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hmad\Downloads\"/>
    </mc:Choice>
  </mc:AlternateContent>
  <xr:revisionPtr revIDLastSave="0" documentId="13_ncr:1_{04965771-BEE4-4046-86D4-E62DFA45D1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 Dashboard" sheetId="8" r:id="rId1"/>
    <sheet name="KPI Definitons" sheetId="15" r:id="rId2"/>
    <sheet name="Data Quality Notes" sheetId="16" r:id="rId3"/>
    <sheet name="SLA Rate by Region" sheetId="11" r:id="rId4"/>
    <sheet name="Pivot - SLA by Priority" sheetId="6" r:id="rId5"/>
    <sheet name="Pivot -First Contact Resolution" sheetId="7" r:id="rId6"/>
    <sheet name="Pivot - Southeast Outages" sheetId="12" r:id="rId7"/>
    <sheet name="Power Query Tickets_Clean" sheetId="3" r:id="rId8"/>
  </sheets>
  <definedNames>
    <definedName name="ExternalData_1" localSheetId="7" hidden="1">'Power Query Tickets_Clean'!$A$1:$V$6001</definedName>
  </definedNames>
  <calcPr calcId="191029"/>
  <pivotCaches>
    <pivotCache cacheId="1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7" l="1"/>
  <c r="G5" i="7"/>
  <c r="G6" i="7"/>
  <c r="A4" i="8"/>
  <c r="B4" i="8"/>
  <c r="C4" i="8"/>
  <c r="D4" i="8"/>
  <c r="E4" i="8"/>
  <c r="F4" i="8"/>
  <c r="X18" i="3"/>
  <c r="X16" i="3"/>
  <c r="X14" i="3"/>
  <c r="X12" i="3"/>
  <c r="X10" i="3"/>
  <c r="X8" i="3"/>
  <c r="X6" i="3"/>
  <c r="X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2FCC37-5D81-4FA1-ABF1-2F0F4388FE36}" keepAlive="1" name="Query - Tickets_Clean" description="Connection to the 'Tickets_Clean' query in the workbook." type="5" refreshedVersion="8" background="1" saveData="1">
    <dbPr connection="Provider=Microsoft.Mashup.OleDb.1;Data Source=$Workbook$;Location=Tickets_Clean;Extended Properties=&quot;&quot;" command="SELECT * FROM [Tickets_Clean]"/>
  </connection>
</connections>
</file>

<file path=xl/sharedStrings.xml><?xml version="1.0" encoding="utf-8"?>
<sst xmlns="http://schemas.openxmlformats.org/spreadsheetml/2006/main" count="78170" uniqueCount="6263">
  <si>
    <t>Ticket ID</t>
  </si>
  <si>
    <t>Created Timestamp</t>
  </si>
  <si>
    <t>Resolved Timestamp</t>
  </si>
  <si>
    <t>Region</t>
  </si>
  <si>
    <t>Issue Category</t>
  </si>
  <si>
    <t>Channel</t>
  </si>
  <si>
    <t>Priority</t>
  </si>
  <si>
    <t>Agent ID</t>
  </si>
  <si>
    <t>Agent Tenure</t>
  </si>
  <si>
    <t>SLA Target Hours</t>
  </si>
  <si>
    <t>Resolution Hours</t>
  </si>
  <si>
    <t>SLA Met</t>
  </si>
  <si>
    <t>First Contact Resolution</t>
  </si>
  <si>
    <t>Repeat Contact 7 Days</t>
  </si>
  <si>
    <t>Escalated</t>
  </si>
  <si>
    <t>CSAT Score</t>
  </si>
  <si>
    <t>Status</t>
  </si>
  <si>
    <t>T000001</t>
  </si>
  <si>
    <t>T000002</t>
  </si>
  <si>
    <t>T000003</t>
  </si>
  <si>
    <t>T000004</t>
  </si>
  <si>
    <t>T000005</t>
  </si>
  <si>
    <t>T000006</t>
  </si>
  <si>
    <t>T000007</t>
  </si>
  <si>
    <t>T000008</t>
  </si>
  <si>
    <t>T000009</t>
  </si>
  <si>
    <t>T000010</t>
  </si>
  <si>
    <t>T000011</t>
  </si>
  <si>
    <t>T000012</t>
  </si>
  <si>
    <t>T000013</t>
  </si>
  <si>
    <t>T000014</t>
  </si>
  <si>
    <t>T000015</t>
  </si>
  <si>
    <t>T000016</t>
  </si>
  <si>
    <t>T000017</t>
  </si>
  <si>
    <t>T000018</t>
  </si>
  <si>
    <t>T000019</t>
  </si>
  <si>
    <t>T000020</t>
  </si>
  <si>
    <t>T000021</t>
  </si>
  <si>
    <t>T000022</t>
  </si>
  <si>
    <t>T000023</t>
  </si>
  <si>
    <t>T000024</t>
  </si>
  <si>
    <t>T000025</t>
  </si>
  <si>
    <t>T000026</t>
  </si>
  <si>
    <t>T000027</t>
  </si>
  <si>
    <t>T000028</t>
  </si>
  <si>
    <t>T000029</t>
  </si>
  <si>
    <t>T000030</t>
  </si>
  <si>
    <t>T000031</t>
  </si>
  <si>
    <t>T000032</t>
  </si>
  <si>
    <t>T000033</t>
  </si>
  <si>
    <t>T000034</t>
  </si>
  <si>
    <t>T000035</t>
  </si>
  <si>
    <t>T000036</t>
  </si>
  <si>
    <t>T000037</t>
  </si>
  <si>
    <t>T000038</t>
  </si>
  <si>
    <t>T000039</t>
  </si>
  <si>
    <t>T000040</t>
  </si>
  <si>
    <t>T000041</t>
  </si>
  <si>
    <t>T000042</t>
  </si>
  <si>
    <t>T000044</t>
  </si>
  <si>
    <t>T000043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</si>
  <si>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</si>
  <si>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</si>
  <si>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</si>
  <si>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</si>
  <si>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</si>
  <si>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</si>
  <si>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</si>
  <si>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</si>
  <si>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</si>
  <si>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</si>
  <si>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</si>
  <si>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</si>
  <si>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</si>
  <si>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</si>
  <si>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</si>
  <si>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</si>
  <si>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</si>
  <si>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</si>
  <si>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T000063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</si>
  <si>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</si>
  <si>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</si>
  <si>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</si>
  <si>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</si>
  <si>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</si>
  <si>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</si>
  <si>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</si>
  <si>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</si>
  <si>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</si>
  <si>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</si>
  <si>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</si>
  <si>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</si>
  <si>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</si>
  <si>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</si>
  <si>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</si>
  <si>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</si>
  <si>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</si>
  <si>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</si>
  <si>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</si>
  <si>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</si>
  <si>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</si>
  <si>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</si>
  <si>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</si>
  <si>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T000087</t>
  </si>
  <si>
    <t>T000088</t>
  </si>
  <si>
    <t>T000089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</si>
  <si>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</si>
  <si>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</si>
  <si>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</si>
  <si>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</si>
  <si>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</si>
  <si>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</si>
  <si>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</si>
  <si>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</si>
  <si>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</si>
  <si>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</si>
  <si>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</si>
  <si>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</si>
  <si>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</si>
  <si>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T000103</t>
  </si>
  <si>
    <t>T000104</t>
  </si>
  <si>
    <t>T000105</t>
  </si>
  <si>
    <t>T000106</t>
  </si>
  <si>
    <t>T000107</t>
  </si>
  <si>
    <t>T000109</t>
  </si>
  <si>
    <t>T000108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</si>
  <si>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</si>
  <si>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</si>
  <si>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</si>
  <si>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</si>
  <si>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</si>
  <si>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</si>
  <si>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</si>
  <si>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</si>
  <si>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</si>
  <si>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</si>
  <si>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</si>
  <si>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</si>
  <si>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</si>
  <si>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</si>
  <si>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</si>
  <si>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</si>
  <si>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</si>
  <si>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</si>
  <si>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</si>
  <si>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</si>
  <si>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</si>
  <si>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</si>
  <si>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</si>
  <si>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</si>
  <si>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</si>
  <si>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</si>
  <si>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</si>
  <si>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</si>
  <si>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</si>
  <si>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</si>
  <si>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T000140</t>
  </si>
  <si>
    <t>T000141</t>
  </si>
  <si>
    <t>T000142</t>
  </si>
  <si>
    <t>T000143</t>
  </si>
  <si>
    <t>T000144</t>
  </si>
  <si>
    <t>T000146</t>
  </si>
  <si>
    <t>T000145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</si>
  <si>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</si>
  <si>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</si>
  <si>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</si>
  <si>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</si>
  <si>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</si>
  <si>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</si>
  <si>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</si>
  <si>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</si>
  <si>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</si>
  <si>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</si>
  <si>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</si>
  <si>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</si>
  <si>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</si>
  <si>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</si>
  <si>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T000161</t>
  </si>
  <si>
    <t>T000162</t>
  </si>
  <si>
    <t>T000163</t>
  </si>
  <si>
    <t>T000164</t>
  </si>
  <si>
    <t>T000165</t>
  </si>
  <si>
    <t>T000166</t>
  </si>
  <si>
    <t>T000167</t>
  </si>
  <si>
    <t>T000168</t>
  </si>
  <si>
    <t>T000169</t>
  </si>
  <si>
    <t>T000170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</si>
  <si>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</si>
  <si>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</si>
  <si>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</si>
  <si>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</si>
  <si>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</si>
  <si>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</si>
  <si>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</si>
  <si>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</si>
  <si>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</si>
  <si>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</si>
  <si>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T000181</t>
  </si>
  <si>
    <t>T000182</t>
  </si>
  <si>
    <t>T000183</t>
  </si>
  <si>
    <t>T000184</t>
  </si>
  <si>
    <t>T000185</t>
  </si>
  <si>
    <t>T000186</t>
  </si>
  <si>
    <t>T000187</t>
  </si>
  <si>
    <t>T000188</t>
  </si>
  <si>
    <t>T000189</t>
  </si>
  <si>
    <t>T000190</t>
  </si>
  <si>
    <t>T000191</t>
  </si>
  <si>
    <t>T000192</t>
  </si>
  <si>
    <t>T000193</t>
  </si>
  <si>
    <t>T000194</t>
  </si>
  <si>
    <t>T000195</t>
  </si>
  <si>
    <t>T000196</t>
  </si>
  <si>
    <t>T000197</t>
  </si>
  <si>
    <t>T000198</t>
  </si>
  <si>
    <t>T000199</t>
  </si>
  <si>
    <t>T000200</t>
  </si>
  <si>
    <t>T000201</t>
  </si>
  <si>
    <t>T000202</t>
  </si>
  <si>
    <t>T000203</t>
  </si>
  <si>
    <t>T000204</t>
  </si>
  <si>
    <t>T000205</t>
  </si>
  <si>
    <t>T000206</t>
  </si>
  <si>
    <t>T000207</t>
  </si>
  <si>
    <t>T000208</t>
  </si>
  <si>
    <t>T000209</t>
  </si>
  <si>
    <t>T000210</t>
  </si>
  <si>
    <t>T000211</t>
  </si>
  <si>
    <t>T000212</t>
  </si>
  <si>
    <t>T000213</t>
  </si>
  <si>
    <t>T000214</t>
  </si>
  <si>
    <t>T000215</t>
  </si>
  <si>
    <t>T000216</t>
  </si>
  <si>
    <t>T000217</t>
  </si>
  <si>
    <t>T000218</t>
  </si>
  <si>
    <t>T000219</t>
  </si>
  <si>
    <t>T000220</t>
  </si>
  <si>
    <t>T000221</t>
  </si>
  <si>
    <t>T000222</t>
  </si>
  <si>
    <t>T000223</t>
  </si>
  <si>
    <t>T000224</t>
  </si>
  <si>
    <t>T000225</t>
  </si>
  <si>
    <t>T000226</t>
  </si>
  <si>
    <t>T000227</t>
  </si>
  <si>
    <t>T000228</t>
  </si>
  <si>
    <t>T000229</t>
  </si>
  <si>
    <t>T000230</t>
  </si>
  <si>
    <t>T000231</t>
  </si>
  <si>
    <t>T000232</t>
  </si>
  <si>
    <t>T000233</t>
  </si>
  <si>
    <t>T000234</t>
  </si>
  <si>
    <t>T000235</t>
  </si>
  <si>
    <t>T000236</t>
  </si>
  <si>
    <t>T000237</t>
  </si>
  <si>
    <t>T000238</t>
  </si>
  <si>
    <t>T000239</t>
  </si>
  <si>
    <t>T000240</t>
  </si>
  <si>
    <t>T000241</t>
  </si>
  <si>
    <t>T000242</t>
  </si>
  <si>
    <t>T000243</t>
  </si>
  <si>
    <t>T000244</t>
  </si>
  <si>
    <t>T000245</t>
  </si>
  <si>
    <t>T000246</t>
  </si>
  <si>
    <t>T000247</t>
  </si>
  <si>
    <t>T000248</t>
  </si>
  <si>
    <t>T000249</t>
  </si>
  <si>
    <t>T000250</t>
  </si>
  <si>
    <t>T000251</t>
  </si>
  <si>
    <t>T000252</t>
  </si>
  <si>
    <t>T000253</t>
  </si>
  <si>
    <t>T000254</t>
  </si>
  <si>
    <t>T000255</t>
  </si>
  <si>
    <t>T000256</t>
  </si>
  <si>
    <t>T000257</t>
  </si>
  <si>
    <t>T000258</t>
  </si>
  <si>
    <t>T000259</t>
  </si>
  <si>
    <t>T000260</t>
  </si>
  <si>
    <t>T000261</t>
  </si>
  <si>
    <t>T000262</t>
  </si>
  <si>
    <t>T000263</t>
  </si>
  <si>
    <t>T000264</t>
  </si>
  <si>
    <t>T000265</t>
  </si>
  <si>
    <t>T000266</t>
  </si>
  <si>
    <t>T000267</t>
  </si>
  <si>
    <t>T000268</t>
  </si>
  <si>
    <t>T000269</t>
  </si>
  <si>
    <t>T000270</t>
  </si>
  <si>
    <t>T000271</t>
  </si>
  <si>
    <t>T000272</t>
  </si>
  <si>
    <t>T000273</t>
  </si>
  <si>
    <t>T000274</t>
  </si>
  <si>
    <t>T000275</t>
  </si>
  <si>
    <t>T000276</t>
  </si>
  <si>
    <t>T000277</t>
  </si>
  <si>
    <t>T000278</t>
  </si>
  <si>
    <t>T000279</t>
  </si>
  <si>
    <t>T000280</t>
  </si>
  <si>
    <t>T000281</t>
  </si>
  <si>
    <t>T000282</t>
  </si>
  <si>
    <t>T000283</t>
  </si>
  <si>
    <t>T000284</t>
  </si>
  <si>
    <t>T000285</t>
  </si>
  <si>
    <t>T000286</t>
  </si>
  <si>
    <t>T000287</t>
  </si>
  <si>
    <t>T000288</t>
  </si>
  <si>
    <t>T000289</t>
  </si>
  <si>
    <t>T000290</t>
  </si>
  <si>
    <t>T000291</t>
  </si>
  <si>
    <t>T000292</t>
  </si>
  <si>
    <t>T000293</t>
  </si>
  <si>
    <t>T000294</t>
  </si>
  <si>
    <t>T000295</t>
  </si>
  <si>
    <t>T000296</t>
  </si>
  <si>
    <t>T000297</t>
  </si>
  <si>
    <t>T000298</t>
  </si>
  <si>
    <t>T000299</t>
  </si>
  <si>
    <t>T000300</t>
  </si>
  <si>
    <t>T000301</t>
  </si>
  <si>
    <t>T000302</t>
  </si>
  <si>
    <t>T000303</t>
  </si>
  <si>
    <t>T000304</t>
  </si>
  <si>
    <t>T000305</t>
  </si>
  <si>
    <t>T000306</t>
  </si>
  <si>
    <t>T000307</t>
  </si>
  <si>
    <t>T000308</t>
  </si>
  <si>
    <t>T000309</t>
  </si>
  <si>
    <t>T000310</t>
  </si>
  <si>
    <t>T000311</t>
  </si>
  <si>
    <t>T000312</t>
  </si>
  <si>
    <t>T000313</t>
  </si>
  <si>
    <t>T000314</t>
  </si>
  <si>
    <t>T000315</t>
  </si>
  <si>
    <t>T000316</t>
  </si>
  <si>
    <t>T000317</t>
  </si>
  <si>
    <t>T000318</t>
  </si>
  <si>
    <t>T000319</t>
  </si>
  <si>
    <t>T000320</t>
  </si>
  <si>
    <t>T000321</t>
  </si>
  <si>
    <t>T000322</t>
  </si>
  <si>
    <t>T000323</t>
  </si>
  <si>
    <t>T000324</t>
  </si>
  <si>
    <t>T000325</t>
  </si>
  <si>
    <t>T000326</t>
  </si>
  <si>
    <t>T000327</t>
  </si>
  <si>
    <t>T000328</t>
  </si>
  <si>
    <t>T000329</t>
  </si>
  <si>
    <t>T000330</t>
  </si>
  <si>
    <t>T000331</t>
  </si>
  <si>
    <t>T000332</t>
  </si>
  <si>
    <t>T000333</t>
  </si>
  <si>
    <t>T000334</t>
  </si>
  <si>
    <t>T000335</t>
  </si>
  <si>
    <t>T000336</t>
  </si>
  <si>
    <t>T000337</t>
  </si>
  <si>
    <t>T000338</t>
  </si>
  <si>
    <t>T000339</t>
  </si>
  <si>
    <t>T000340</t>
  </si>
  <si>
    <t>T000341</t>
  </si>
  <si>
    <t>T000342</t>
  </si>
  <si>
    <t>T000343</t>
  </si>
  <si>
    <t>T000344</t>
  </si>
  <si>
    <t>T000345</t>
  </si>
  <si>
    <t>T000346</t>
  </si>
  <si>
    <t>T000347</t>
  </si>
  <si>
    <t>T000348</t>
  </si>
  <si>
    <t>T000349</t>
  </si>
  <si>
    <t>T000350</t>
  </si>
  <si>
    <t>T000351</t>
  </si>
  <si>
    <t>T000352</t>
  </si>
  <si>
    <t>T000353</t>
  </si>
  <si>
    <t>T000354</t>
  </si>
  <si>
    <t>T000355</t>
  </si>
  <si>
    <t>T000356</t>
  </si>
  <si>
    <t>T000357</t>
  </si>
  <si>
    <t>T000358</t>
  </si>
  <si>
    <t>T000359</t>
  </si>
  <si>
    <t>T000360</t>
  </si>
  <si>
    <t>T000361</t>
  </si>
  <si>
    <t>T000362</t>
  </si>
  <si>
    <t>T000363</t>
  </si>
  <si>
    <t>T000364</t>
  </si>
  <si>
    <t>T000365</t>
  </si>
  <si>
    <t>T000366</t>
  </si>
  <si>
    <t>T000367</t>
  </si>
  <si>
    <t>T000368</t>
  </si>
  <si>
    <t>T000369</t>
  </si>
  <si>
    <t>T000370</t>
  </si>
  <si>
    <t>T000371</t>
  </si>
  <si>
    <t>T000372</t>
  </si>
  <si>
    <t>T000373</t>
  </si>
  <si>
    <t>T000374</t>
  </si>
  <si>
    <t>T000375</t>
  </si>
  <si>
    <t>T000376</t>
  </si>
  <si>
    <t>T000377</t>
  </si>
  <si>
    <t>T000378</t>
  </si>
  <si>
    <t>T000379</t>
  </si>
  <si>
    <t>T000380</t>
  </si>
  <si>
    <t>T000381</t>
  </si>
  <si>
    <t>T000382</t>
  </si>
  <si>
    <t>T000383</t>
  </si>
  <si>
    <t>T000384</t>
  </si>
  <si>
    <t>T000385</t>
  </si>
  <si>
    <t>T000386</t>
  </si>
  <si>
    <t>T000387</t>
  </si>
  <si>
    <t>T000388</t>
  </si>
  <si>
    <t>T000389</t>
  </si>
  <si>
    <t>T000390</t>
  </si>
  <si>
    <t>T000391</t>
  </si>
  <si>
    <t>T000392</t>
  </si>
  <si>
    <t>T000393</t>
  </si>
  <si>
    <t>T000394</t>
  </si>
  <si>
    <t>T000395</t>
  </si>
  <si>
    <t>T000396</t>
  </si>
  <si>
    <t>T000397</t>
  </si>
  <si>
    <t>T000398</t>
  </si>
  <si>
    <t>T000399</t>
  </si>
  <si>
    <t>T000400</t>
  </si>
  <si>
    <t>T000401</t>
  </si>
  <si>
    <t>T000402</t>
  </si>
  <si>
    <t>T000403</t>
  </si>
  <si>
    <t>T000404</t>
  </si>
  <si>
    <t>T000405</t>
  </si>
  <si>
    <t>T000406</t>
  </si>
  <si>
    <t>T000407</t>
  </si>
  <si>
    <t>T000408</t>
  </si>
  <si>
    <t>T000409</t>
  </si>
  <si>
    <t>T000410</t>
  </si>
  <si>
    <t>T000411</t>
  </si>
  <si>
    <t>T000412</t>
  </si>
  <si>
    <t>T000413</t>
  </si>
  <si>
    <t>T000414</t>
  </si>
  <si>
    <t>T000415</t>
  </si>
  <si>
    <t>T000416</t>
  </si>
  <si>
    <t>T000417</t>
  </si>
  <si>
    <t>T000418</t>
  </si>
  <si>
    <t>T000419</t>
  </si>
  <si>
    <t>T000420</t>
  </si>
  <si>
    <t>T000421</t>
  </si>
  <si>
    <t>T000422</t>
  </si>
  <si>
    <t>T000423</t>
  </si>
  <si>
    <t>T000424</t>
  </si>
  <si>
    <t>T000425</t>
  </si>
  <si>
    <t>T000426</t>
  </si>
  <si>
    <t>T000427</t>
  </si>
  <si>
    <t>T000428</t>
  </si>
  <si>
    <t>T000429</t>
  </si>
  <si>
    <t>T000430</t>
  </si>
  <si>
    <t>T000431</t>
  </si>
  <si>
    <t>T000432</t>
  </si>
  <si>
    <t>T000433</t>
  </si>
  <si>
    <t>T000434</t>
  </si>
  <si>
    <t>T000435</t>
  </si>
  <si>
    <t>T000436</t>
  </si>
  <si>
    <t>T000437</t>
  </si>
  <si>
    <t>T000438</t>
  </si>
  <si>
    <t>T000439</t>
  </si>
  <si>
    <t>T000440</t>
  </si>
  <si>
    <t>T000441</t>
  </si>
  <si>
    <t>T000442</t>
  </si>
  <si>
    <t>T000443</t>
  </si>
  <si>
    <t>T000444</t>
  </si>
  <si>
    <t>T000445</t>
  </si>
  <si>
    <t>T000446</t>
  </si>
  <si>
    <t>T000447</t>
  </si>
  <si>
    <t>T000448</t>
  </si>
  <si>
    <t>T000449</t>
  </si>
  <si>
    <t>T000450</t>
  </si>
  <si>
    <t>T000451</t>
  </si>
  <si>
    <t>T000452</t>
  </si>
  <si>
    <t>T000453</t>
  </si>
  <si>
    <t>T000454</t>
  </si>
  <si>
    <t>T000455</t>
  </si>
  <si>
    <t>T000456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</si>
  <si>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</si>
  <si>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</si>
  <si>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</si>
  <si>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</si>
  <si>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</si>
  <si>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</si>
  <si>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</si>
  <si>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</si>
  <si>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</si>
  <si>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</si>
  <si>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</si>
  <si>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</si>
  <si>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</si>
  <si>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</si>
  <si>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</si>
  <si>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</si>
  <si>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</si>
  <si>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</si>
  <si>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</si>
  <si>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</si>
  <si>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</si>
  <si>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</si>
  <si>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</si>
  <si>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</si>
  <si>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</si>
  <si>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</si>
  <si>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</si>
  <si>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</si>
  <si>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T000485</t>
  </si>
  <si>
    <t>T000486</t>
  </si>
  <si>
    <t>T000487</t>
  </si>
  <si>
    <t>T000488</t>
  </si>
  <si>
    <t>T000489</t>
  </si>
  <si>
    <t>T000490</t>
  </si>
  <si>
    <t>T000492</t>
  </si>
  <si>
    <t>T000491</t>
  </si>
  <si>
    <t>T000493</t>
  </si>
  <si>
    <t>T000494</t>
  </si>
  <si>
    <t>T000495</t>
  </si>
  <si>
    <t>T000496</t>
  </si>
  <si>
    <t>T000497</t>
  </si>
  <si>
    <t>T000498</t>
  </si>
  <si>
    <t>T000499</t>
  </si>
  <si>
    <t>T000500</t>
  </si>
  <si>
    <t>T000501</t>
  </si>
  <si>
    <t>T000502</t>
  </si>
  <si>
    <t>T000503</t>
  </si>
  <si>
    <t>T000504</t>
  </si>
  <si>
    <t>T000505</t>
  </si>
  <si>
    <t>T000506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</si>
  <si>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</si>
  <si>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</si>
  <si>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</si>
  <si>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</si>
  <si>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</si>
  <si>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</si>
  <si>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</si>
  <si>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</si>
  <si>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</si>
  <si>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T000516</t>
  </si>
  <si>
    <t>T000517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</si>
  <si>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</si>
  <si>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</si>
  <si>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</si>
  <si>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</si>
  <si>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</si>
  <si>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</si>
  <si>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</si>
  <si>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</si>
  <si>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</si>
  <si>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</si>
  <si>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T000528</t>
  </si>
  <si>
    <t>T000529</t>
  </si>
  <si>
    <t>T000530</t>
  </si>
  <si>
    <t>T000531</t>
  </si>
  <si>
    <t>T000532</t>
  </si>
  <si>
    <t>T000533</t>
  </si>
  <si>
    <t>T000534</t>
  </si>
  <si>
    <t>T000535</t>
  </si>
  <si>
    <t>T000536</t>
  </si>
  <si>
    <t>T000537</t>
  </si>
  <si>
    <t>T000538</t>
  </si>
  <si>
    <t>T000539</t>
  </si>
  <si>
    <t>T000540</t>
  </si>
  <si>
    <t>T000541</t>
  </si>
  <si>
    <t>T000542</t>
  </si>
  <si>
    <t>T000543</t>
  </si>
  <si>
    <t>T000544</t>
  </si>
  <si>
    <t>T000545</t>
  </si>
  <si>
    <t>T000546</t>
  </si>
  <si>
    <t>T000547</t>
  </si>
  <si>
    <t>T000548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</si>
  <si>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</si>
  <si>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</si>
  <si>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</si>
  <si>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</si>
  <si>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</si>
  <si>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</si>
  <si>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</si>
  <si>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</si>
  <si>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T000557</t>
  </si>
  <si>
    <t>T000558</t>
  </si>
  <si>
    <t>T000559</t>
  </si>
  <si>
    <t>T000560</t>
  </si>
  <si>
    <t>T000561</t>
  </si>
  <si>
    <t>T000562</t>
  </si>
  <si>
    <t>T000563</t>
  </si>
  <si>
    <t>T000564</t>
  </si>
  <si>
    <t>T000565</t>
  </si>
  <si>
    <t>T000566</t>
  </si>
  <si>
    <t>T000567</t>
  </si>
  <si>
    <t>T000568</t>
  </si>
  <si>
    <t>T000569</t>
  </si>
  <si>
    <t>T000570</t>
  </si>
  <si>
    <t>T000571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</si>
  <si>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</si>
  <si>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</si>
  <si>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</si>
  <si>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</si>
  <si>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</si>
  <si>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</si>
  <si>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</si>
  <si>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</si>
  <si>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</si>
  <si>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</si>
  <si>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</si>
  <si>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</si>
  <si>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</si>
  <si>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</si>
  <si>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</si>
  <si>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</si>
  <si>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</si>
  <si>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</si>
  <si>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T000590</t>
  </si>
  <si>
    <t>T000591</t>
  </si>
  <si>
    <t>T000592</t>
  </si>
  <si>
    <t>T000593</t>
  </si>
  <si>
    <t>T000594</t>
  </si>
  <si>
    <t>T000595</t>
  </si>
  <si>
    <t>T000596</t>
  </si>
  <si>
    <t>T000597</t>
  </si>
  <si>
    <t>T000598</t>
  </si>
  <si>
    <t>T000599</t>
  </si>
  <si>
    <t>T000600</t>
  </si>
  <si>
    <t>T000601</t>
  </si>
  <si>
    <t>T000602</t>
  </si>
  <si>
    <t>T000603</t>
  </si>
  <si>
    <t>T000604</t>
  </si>
  <si>
    <t>T000605</t>
  </si>
  <si>
    <t>T000606</t>
  </si>
  <si>
    <t>T000607</t>
  </si>
  <si>
    <t>T000608</t>
  </si>
  <si>
    <t>T000609</t>
  </si>
  <si>
    <t>T000610</t>
  </si>
  <si>
    <t>T000611</t>
  </si>
  <si>
    <t>T000612</t>
  </si>
  <si>
    <t>T000613</t>
  </si>
  <si>
    <t>T000614</t>
  </si>
  <si>
    <t>T000615</t>
  </si>
  <si>
    <t>T000616</t>
  </si>
  <si>
    <t>T000617</t>
  </si>
  <si>
    <t>T000618</t>
  </si>
  <si>
    <t>T000619</t>
  </si>
  <si>
    <t>T000620</t>
  </si>
  <si>
    <t>T000621</t>
  </si>
  <si>
    <t>T000622</t>
  </si>
  <si>
    <t>T000623</t>
  </si>
  <si>
    <t>T000624</t>
  </si>
  <si>
    <t>T000625</t>
  </si>
  <si>
    <t>T000626</t>
  </si>
  <si>
    <t>T000627</t>
  </si>
  <si>
    <t>T000628</t>
  </si>
  <si>
    <t>T000629</t>
  </si>
  <si>
    <t>T000630</t>
  </si>
  <si>
    <t>T000631</t>
  </si>
  <si>
    <t>T000632</t>
  </si>
  <si>
    <t>T000633</t>
  </si>
  <si>
    <t>T000634</t>
  </si>
  <si>
    <t>T000635</t>
  </si>
  <si>
    <t>T000636</t>
  </si>
  <si>
    <t>T000637</t>
  </si>
  <si>
    <t>T000638</t>
  </si>
  <si>
    <t>T000640</t>
  </si>
  <si>
    <t>T000639</t>
  </si>
  <si>
    <t>T000641</t>
  </si>
  <si>
    <t>T000642</t>
  </si>
  <si>
    <t>T000643</t>
  </si>
  <si>
    <t>T000644</t>
  </si>
  <si>
    <t>T000645</t>
  </si>
  <si>
    <t>T000646</t>
  </si>
  <si>
    <t>T000647</t>
  </si>
  <si>
    <t>T000648</t>
  </si>
  <si>
    <t>T000649</t>
  </si>
  <si>
    <t>T000650</t>
  </si>
  <si>
    <t>T000651</t>
  </si>
  <si>
    <t>T000652</t>
  </si>
  <si>
    <t>T000653</t>
  </si>
  <si>
    <t>T000654</t>
  </si>
  <si>
    <t>T000655</t>
  </si>
  <si>
    <t>T000656</t>
  </si>
  <si>
    <t>T000657</t>
  </si>
  <si>
    <t>T000658</t>
  </si>
  <si>
    <t>T000659</t>
  </si>
  <si>
    <t>T000660</t>
  </si>
  <si>
    <t>T000661</t>
  </si>
  <si>
    <t>T000662</t>
  </si>
  <si>
    <t>T000663</t>
  </si>
  <si>
    <t>T000664</t>
  </si>
  <si>
    <t>T000665</t>
  </si>
  <si>
    <t>T000666</t>
  </si>
  <si>
    <t>T000667</t>
  </si>
  <si>
    <t>T000668</t>
  </si>
  <si>
    <t>T000669</t>
  </si>
  <si>
    <t>T000670</t>
  </si>
  <si>
    <t>T000671</t>
  </si>
  <si>
    <t>T000672</t>
  </si>
  <si>
    <t>T000673</t>
  </si>
  <si>
    <t>T000674</t>
  </si>
  <si>
    <t>T000675</t>
  </si>
  <si>
    <t>T000676</t>
  </si>
  <si>
    <t>T000677</t>
  </si>
  <si>
    <t>T000678</t>
  </si>
  <si>
    <t>T000679</t>
  </si>
  <si>
    <t>T000680</t>
  </si>
  <si>
    <t>T000681</t>
  </si>
  <si>
    <t>T000682</t>
  </si>
  <si>
    <t>T000683</t>
  </si>
  <si>
    <t>T000684</t>
  </si>
  <si>
    <t>T000685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</si>
  <si>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</si>
  <si>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</si>
  <si>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</si>
  <si>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</si>
  <si>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</si>
  <si>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</si>
  <si>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</si>
  <si>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</si>
  <si>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</si>
  <si>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</si>
  <si>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</si>
  <si>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T000697</t>
  </si>
  <si>
    <t>T000698</t>
  </si>
  <si>
    <t>T000699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</si>
  <si>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</si>
  <si>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</si>
  <si>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</si>
  <si>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</si>
  <si>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</si>
  <si>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</si>
  <si>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</si>
  <si>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</si>
  <si>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T000708</t>
  </si>
  <si>
    <t>T000709</t>
  </si>
  <si>
    <t>T000710</t>
  </si>
  <si>
    <t>T000711</t>
  </si>
  <si>
    <t>T000712</t>
  </si>
  <si>
    <t>T000713</t>
  </si>
  <si>
    <t>T000714</t>
  </si>
  <si>
    <t>T000715</t>
  </si>
  <si>
    <t>T000716</t>
  </si>
  <si>
    <t>T000717</t>
  </si>
  <si>
    <t>T000718</t>
  </si>
  <si>
    <t>T000719</t>
  </si>
  <si>
    <t>T000720</t>
  </si>
  <si>
    <t>T000721</t>
  </si>
  <si>
    <t>T000722</t>
  </si>
  <si>
    <t>T000723</t>
  </si>
  <si>
    <t>T000724</t>
  </si>
  <si>
    <t>T000725</t>
  </si>
  <si>
    <t>T000726</t>
  </si>
  <si>
    <t>T000727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</si>
  <si>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</si>
  <si>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</si>
  <si>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</si>
  <si>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</si>
  <si>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</si>
  <si>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</si>
  <si>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</si>
  <si>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</si>
  <si>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</si>
  <si>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</si>
  <si>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</si>
  <si>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</si>
  <si>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</si>
  <si>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</si>
  <si>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</si>
  <si>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</si>
  <si>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</si>
  <si>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</si>
  <si>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</si>
  <si>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</si>
  <si>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</si>
  <si>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</si>
  <si>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T000750</t>
  </si>
  <si>
    <t>T000751</t>
  </si>
  <si>
    <t>T000752</t>
  </si>
  <si>
    <t>T000753</t>
  </si>
  <si>
    <t>T000754</t>
  </si>
  <si>
    <t>T000755</t>
  </si>
  <si>
    <t>T000756</t>
  </si>
  <si>
    <t>T000757</t>
  </si>
  <si>
    <t>T000758</t>
  </si>
  <si>
    <t>T000759</t>
  </si>
  <si>
    <t>T000760</t>
  </si>
  <si>
    <t>T000761</t>
  </si>
  <si>
    <t>T000762</t>
  </si>
  <si>
    <t>T000763</t>
  </si>
  <si>
    <t>T000764</t>
  </si>
  <si>
    <t>T000765</t>
  </si>
  <si>
    <t>T000766</t>
  </si>
  <si>
    <t>T000767</t>
  </si>
  <si>
    <t>T000768</t>
  </si>
  <si>
    <t>T000769</t>
  </si>
  <si>
    <t>T000770</t>
  </si>
  <si>
    <t>T000771</t>
  </si>
  <si>
    <t>T000772</t>
  </si>
  <si>
    <t>T000773</t>
  </si>
  <si>
    <t>T000774</t>
  </si>
  <si>
    <t>T000775</t>
  </si>
  <si>
    <t>T000776</t>
  </si>
  <si>
    <t>T000777</t>
  </si>
  <si>
    <t>T000778</t>
  </si>
  <si>
    <t>T000779</t>
  </si>
  <si>
    <t>T000780</t>
  </si>
  <si>
    <t>T000781</t>
  </si>
  <si>
    <t>T000782</t>
  </si>
  <si>
    <t>T000783</t>
  </si>
  <si>
    <t>T000784</t>
  </si>
  <si>
    <t>T000785</t>
  </si>
  <si>
    <t>T000786</t>
  </si>
  <si>
    <t>T000787</t>
  </si>
  <si>
    <t>T000788</t>
  </si>
  <si>
    <t>T000789</t>
  </si>
  <si>
    <t>T000790</t>
  </si>
  <si>
    <t>T000791</t>
  </si>
  <si>
    <t>T000792</t>
  </si>
  <si>
    <t>T000793</t>
  </si>
  <si>
    <t>T000794</t>
  </si>
  <si>
    <t>T000795</t>
  </si>
  <si>
    <t>T000796</t>
  </si>
  <si>
    <t>T000797</t>
  </si>
  <si>
    <t>T000798</t>
  </si>
  <si>
    <t>T000799</t>
  </si>
  <si>
    <t>T000800</t>
  </si>
  <si>
    <t>T000801</t>
  </si>
  <si>
    <t>T000802</t>
  </si>
  <si>
    <t>T000803</t>
  </si>
  <si>
    <t>T000804</t>
  </si>
  <si>
    <t>T000805</t>
  </si>
  <si>
    <t>T000806</t>
  </si>
  <si>
    <t>T000807</t>
  </si>
  <si>
    <t>T000808</t>
  </si>
  <si>
    <t>T000809</t>
  </si>
  <si>
    <t>T000810</t>
  </si>
  <si>
    <t>T000811</t>
  </si>
  <si>
    <t>T000812</t>
  </si>
  <si>
    <t>T000813</t>
  </si>
  <si>
    <t>T000814</t>
  </si>
  <si>
    <t>T000815</t>
  </si>
  <si>
    <t>T000816</t>
  </si>
  <si>
    <t>T000817</t>
  </si>
  <si>
    <t>T000818</t>
  </si>
  <si>
    <t>T000819</t>
  </si>
  <si>
    <t>T000820</t>
  </si>
  <si>
    <t>T000821</t>
  </si>
  <si>
    <t>T000822</t>
  </si>
  <si>
    <t>T000823</t>
  </si>
  <si>
    <t>T000824</t>
  </si>
  <si>
    <t>T000825</t>
  </si>
  <si>
    <t>T000826</t>
  </si>
  <si>
    <t>T000827</t>
  </si>
  <si>
    <t>T000828</t>
  </si>
  <si>
    <t>T000829</t>
  </si>
  <si>
    <t>T000830</t>
  </si>
  <si>
    <t>T000831</t>
  </si>
  <si>
    <t>T000832</t>
  </si>
  <si>
    <t>T000833</t>
  </si>
  <si>
    <t>T000834</t>
  </si>
  <si>
    <t>T000835</t>
  </si>
  <si>
    <t>T000836</t>
  </si>
  <si>
    <t>T000837</t>
  </si>
  <si>
    <t>T000838</t>
  </si>
  <si>
    <t>T000839</t>
  </si>
  <si>
    <t>T000840</t>
  </si>
  <si>
    <t>T000841</t>
  </si>
  <si>
    <t>T000842</t>
  </si>
  <si>
    <t>T000843</t>
  </si>
  <si>
    <t>T000844</t>
  </si>
  <si>
    <t>T000845</t>
  </si>
  <si>
    <t>T000846</t>
  </si>
  <si>
    <t>T000847</t>
  </si>
  <si>
    <t>T000848</t>
  </si>
  <si>
    <t>T000849</t>
  </si>
  <si>
    <t>T000850</t>
  </si>
  <si>
    <t>T000851</t>
  </si>
  <si>
    <t>T000852</t>
  </si>
  <si>
    <t>T000853</t>
  </si>
  <si>
    <t>T000854</t>
  </si>
  <si>
    <t>T000855</t>
  </si>
  <si>
    <t>T000856</t>
  </si>
  <si>
    <t>T000857</t>
  </si>
  <si>
    <t>T000858</t>
  </si>
  <si>
    <t>T000859</t>
  </si>
  <si>
    <t>T000860</t>
  </si>
  <si>
    <t>T000861</t>
  </si>
  <si>
    <t>T000862</t>
  </si>
  <si>
    <t>T000863</t>
  </si>
  <si>
    <t>T000864</t>
  </si>
  <si>
    <t>T000865</t>
  </si>
  <si>
    <t>T000867</t>
  </si>
  <si>
    <t>T000866</t>
  </si>
  <si>
    <t>T000868</t>
  </si>
  <si>
    <t>T000869</t>
  </si>
  <si>
    <t>T000870</t>
  </si>
  <si>
    <t>T000871</t>
  </si>
  <si>
    <t>T000872</t>
  </si>
  <si>
    <t>T000873</t>
  </si>
  <si>
    <t>T000874</t>
  </si>
  <si>
    <t>T000875</t>
  </si>
  <si>
    <t>T000876</t>
  </si>
  <si>
    <t>T000877</t>
  </si>
  <si>
    <t>T000878</t>
  </si>
  <si>
    <t>T000879</t>
  </si>
  <si>
    <t>T000880</t>
  </si>
  <si>
    <t>T000881</t>
  </si>
  <si>
    <t>T000882</t>
  </si>
  <si>
    <t>T000883</t>
  </si>
  <si>
    <t>T000884</t>
  </si>
  <si>
    <t>T000885</t>
  </si>
  <si>
    <t>T000886</t>
  </si>
  <si>
    <t>T000887</t>
  </si>
  <si>
    <t>T000888</t>
  </si>
  <si>
    <t>T000889</t>
  </si>
  <si>
    <t>T000890</t>
  </si>
  <si>
    <t>T000891</t>
  </si>
  <si>
    <t>T000892</t>
  </si>
  <si>
    <t>T000893</t>
  </si>
  <si>
    <t>T000894</t>
  </si>
  <si>
    <t>T000895</t>
  </si>
  <si>
    <t>T000896</t>
  </si>
  <si>
    <t>T000897</t>
  </si>
  <si>
    <t>T000898</t>
  </si>
  <si>
    <t>T000899</t>
  </si>
  <si>
    <t>T000900</t>
  </si>
  <si>
    <t>T000901</t>
  </si>
  <si>
    <t>T000902</t>
  </si>
  <si>
    <t>T000903</t>
  </si>
  <si>
    <t>T000904</t>
  </si>
  <si>
    <t>T000905</t>
  </si>
  <si>
    <t>T000906</t>
  </si>
  <si>
    <t>T000907</t>
  </si>
  <si>
    <t>T000908</t>
  </si>
  <si>
    <t>T000909</t>
  </si>
  <si>
    <t>T000910</t>
  </si>
  <si>
    <t>T000911</t>
  </si>
  <si>
    <t>T000912</t>
  </si>
  <si>
    <t>T000913</t>
  </si>
  <si>
    <t>T000914</t>
  </si>
  <si>
    <t>T000915</t>
  </si>
  <si>
    <t>T000916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</si>
  <si>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</si>
  <si>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</si>
  <si>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</si>
  <si>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</si>
  <si>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</si>
  <si>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</si>
  <si>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</si>
  <si>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</si>
  <si>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T000925</t>
  </si>
  <si>
    <t>T000926</t>
  </si>
  <si>
    <t>T000927</t>
  </si>
  <si>
    <t>T000928</t>
  </si>
  <si>
    <t>T000929</t>
  </si>
  <si>
    <t>T000930</t>
  </si>
  <si>
    <t>T000931</t>
  </si>
  <si>
    <t>T000932</t>
  </si>
  <si>
    <t>T000933</t>
  </si>
  <si>
    <t>T000934</t>
  </si>
  <si>
    <t>T000935</t>
  </si>
  <si>
    <t>T000936</t>
  </si>
  <si>
    <t>T000937</t>
  </si>
  <si>
    <t>T000938</t>
  </si>
  <si>
    <t>T000939</t>
  </si>
  <si>
    <t>T000940</t>
  </si>
  <si>
    <t>T000941</t>
  </si>
  <si>
    <t>T000942</t>
  </si>
  <si>
    <t>T000943</t>
  </si>
  <si>
    <t>T000944</t>
  </si>
  <si>
    <t>T000945</t>
  </si>
  <si>
    <t>T000946</t>
  </si>
  <si>
    <t>T000947</t>
  </si>
  <si>
    <t>T000948</t>
  </si>
  <si>
    <t>T000949</t>
  </si>
  <si>
    <t>T000950</t>
  </si>
  <si>
    <t>T000951</t>
  </si>
  <si>
    <t>T000952</t>
  </si>
  <si>
    <t>T000953</t>
  </si>
  <si>
    <t>T000954</t>
  </si>
  <si>
    <t>T000955</t>
  </si>
  <si>
    <t>T000956</t>
  </si>
  <si>
    <t>T000957</t>
  </si>
  <si>
    <t>T000958</t>
  </si>
  <si>
    <t>T000959</t>
  </si>
  <si>
    <t>T000960</t>
  </si>
  <si>
    <t>T000961</t>
  </si>
  <si>
    <t>T000962</t>
  </si>
  <si>
    <t>T000963</t>
  </si>
  <si>
    <t>T000964</t>
  </si>
  <si>
    <t>T000965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</si>
  <si>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</si>
  <si>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</si>
  <si>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</si>
  <si>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</si>
  <si>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</si>
  <si>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</si>
  <si>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</si>
  <si>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</si>
  <si>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T000974</t>
  </si>
  <si>
    <t>T000975</t>
  </si>
  <si>
    <t>T000976</t>
  </si>
  <si>
    <t>T000977</t>
  </si>
  <si>
    <t>T000978</t>
  </si>
  <si>
    <t>T000979</t>
  </si>
  <si>
    <t>T000980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</si>
  <si>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</si>
  <si>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</si>
  <si>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</si>
  <si>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</si>
  <si>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</si>
  <si>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</si>
  <si>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</si>
  <si>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</si>
  <si>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T000989</t>
  </si>
  <si>
    <t>T000990</t>
  </si>
  <si>
    <t>T000991</t>
  </si>
  <si>
    <t>T000992</t>
  </si>
  <si>
    <t>T000993</t>
  </si>
  <si>
    <t>T000994</t>
  </si>
  <si>
    <t>T000995</t>
  </si>
  <si>
    <t>T000996</t>
  </si>
  <si>
    <t>T000997</t>
  </si>
  <si>
    <t>T000998</t>
  </si>
  <si>
    <t>T000999</t>
  </si>
  <si>
    <t>T001000</t>
  </si>
  <si>
    <t>T001001</t>
  </si>
  <si>
    <t>T001002</t>
  </si>
  <si>
    <t>T001003</t>
  </si>
  <si>
    <t>T001004</t>
  </si>
  <si>
    <t>T001005</t>
  </si>
  <si>
    <t>T001006</t>
  </si>
  <si>
    <t>T001007</t>
  </si>
  <si>
    <t>T001008</t>
  </si>
  <si>
    <t>T001009</t>
  </si>
  <si>
    <t>T001010</t>
  </si>
  <si>
    <t>T001011</t>
  </si>
  <si>
    <t>T001012</t>
  </si>
  <si>
    <t>T001013</t>
  </si>
  <si>
    <t>T001014</t>
  </si>
  <si>
    <t>T001015</t>
  </si>
  <si>
    <t>T001016</t>
  </si>
  <si>
    <t>T001017</t>
  </si>
  <si>
    <t>T001018</t>
  </si>
  <si>
    <t>T001019</t>
  </si>
  <si>
    <t>T001020</t>
  </si>
  <si>
    <t>T001021</t>
  </si>
  <si>
    <t>T001022</t>
  </si>
  <si>
    <t>T001023</t>
  </si>
  <si>
    <t>T001024</t>
  </si>
  <si>
    <t>T001025</t>
  </si>
  <si>
    <t>T001026</t>
  </si>
  <si>
    <t>T001027</t>
  </si>
  <si>
    <t>T001028</t>
  </si>
  <si>
    <t>T001029</t>
  </si>
  <si>
    <t>T001030</t>
  </si>
  <si>
    <t>T001031</t>
  </si>
  <si>
    <t>T001032</t>
  </si>
  <si>
    <t>T001033</t>
  </si>
  <si>
    <t>T001034</t>
  </si>
  <si>
    <t>T001035</t>
  </si>
  <si>
    <t>T001036</t>
  </si>
  <si>
    <t>T001037</t>
  </si>
  <si>
    <t>T001038</t>
  </si>
  <si>
    <t>T001039</t>
  </si>
  <si>
    <t>T001040</t>
  </si>
  <si>
    <t>T001041</t>
  </si>
  <si>
    <t>T001042</t>
  </si>
  <si>
    <t>T001043</t>
  </si>
  <si>
    <t>T001044</t>
  </si>
  <si>
    <t>T001045</t>
  </si>
  <si>
    <t>T001046</t>
  </si>
  <si>
    <t>T001047</t>
  </si>
  <si>
    <t>T001048</t>
  </si>
  <si>
    <t>T001049</t>
  </si>
  <si>
    <t>T001050</t>
  </si>
  <si>
    <t>T001051</t>
  </si>
  <si>
    <t>T001052</t>
  </si>
  <si>
    <t>T001053</t>
  </si>
  <si>
    <t>T001054</t>
  </si>
  <si>
    <t>T001055</t>
  </si>
  <si>
    <t>T001056</t>
  </si>
  <si>
    <t>T001057</t>
  </si>
  <si>
    <t>T001058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</si>
  <si>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</si>
  <si>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</si>
  <si>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</si>
  <si>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</si>
  <si>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</si>
  <si>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</si>
  <si>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</si>
  <si>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</si>
  <si>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T001067</t>
  </si>
  <si>
    <t>T001068</t>
  </si>
  <si>
    <t>T001069</t>
  </si>
  <si>
    <t>T001070</t>
  </si>
  <si>
    <t>T001071</t>
  </si>
  <si>
    <t>T001072</t>
  </si>
  <si>
    <t>T001073</t>
  </si>
  <si>
    <t>T001074</t>
  </si>
  <si>
    <t>T001076</t>
  </si>
  <si>
    <t>T001075</t>
  </si>
  <si>
    <t>T001077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</si>
  <si>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</si>
  <si>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</si>
  <si>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</si>
  <si>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</si>
  <si>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</si>
  <si>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</si>
  <si>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</si>
  <si>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</si>
  <si>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T001086</t>
  </si>
  <si>
    <t>T001087</t>
  </si>
  <si>
    <t>T001088</t>
  </si>
  <si>
    <t>T001089</t>
  </si>
  <si>
    <t>T001090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</si>
  <si>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</si>
  <si>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</si>
  <si>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</si>
  <si>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</si>
  <si>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</si>
  <si>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</si>
  <si>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</si>
  <si>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</si>
  <si>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T001099</t>
  </si>
  <si>
    <t>T001100</t>
  </si>
  <si>
    <t>T001101</t>
  </si>
  <si>
    <t>T001102</t>
  </si>
  <si>
    <t>T001103</t>
  </si>
  <si>
    <t>T001104</t>
  </si>
  <si>
    <t>T001105</t>
  </si>
  <si>
    <t>T001106</t>
  </si>
  <si>
    <t>T001107</t>
  </si>
  <si>
    <t>T001108</t>
  </si>
  <si>
    <t>T001109</t>
  </si>
  <si>
    <t>T001110</t>
  </si>
  <si>
    <t>T001111</t>
  </si>
  <si>
    <t>T001112</t>
  </si>
  <si>
    <t>T001113</t>
  </si>
  <si>
    <t>T001114</t>
  </si>
  <si>
    <t>T001115</t>
  </si>
  <si>
    <t>T001116</t>
  </si>
  <si>
    <t>T001117</t>
  </si>
  <si>
    <t>T001118</t>
  </si>
  <si>
    <t>T001119</t>
  </si>
  <si>
    <t>T001120</t>
  </si>
  <si>
    <t>T001121</t>
  </si>
  <si>
    <t>T001122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</si>
  <si>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</si>
  <si>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</si>
  <si>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</si>
  <si>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</si>
  <si>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</si>
  <si>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</si>
  <si>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</si>
  <si>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</si>
  <si>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T001131</t>
  </si>
  <si>
    <t>T001132</t>
  </si>
  <si>
    <t>T001133</t>
  </si>
  <si>
    <t>T001134</t>
  </si>
  <si>
    <t>T001135</t>
  </si>
  <si>
    <t>T001136</t>
  </si>
  <si>
    <t>T001137</t>
  </si>
  <si>
    <t>T001138</t>
  </si>
  <si>
    <t>T001139</t>
  </si>
  <si>
    <t>T001140</t>
  </si>
  <si>
    <t>T001141</t>
  </si>
  <si>
    <t>T001142</t>
  </si>
  <si>
    <t>T001143</t>
  </si>
  <si>
    <t>T001144</t>
  </si>
  <si>
    <t>T001145</t>
  </si>
  <si>
    <t>T001146</t>
  </si>
  <si>
    <t>T001147</t>
  </si>
  <si>
    <t>T001148</t>
  </si>
  <si>
    <t>T001149</t>
  </si>
  <si>
    <t>T001150</t>
  </si>
  <si>
    <t>T001151</t>
  </si>
  <si>
    <t>T001152</t>
  </si>
  <si>
    <t>T001153</t>
  </si>
  <si>
    <t>T001154</t>
  </si>
  <si>
    <t>T001155</t>
  </si>
  <si>
    <t>T001156</t>
  </si>
  <si>
    <t>T001157</t>
  </si>
  <si>
    <t>T001158</t>
  </si>
  <si>
    <t>T001159</t>
  </si>
  <si>
    <t>T001160</t>
  </si>
  <si>
    <t>T001161</t>
  </si>
  <si>
    <t>T001162</t>
  </si>
  <si>
    <t>T001163</t>
  </si>
  <si>
    <t>T001164</t>
  </si>
  <si>
    <t>T001165</t>
  </si>
  <si>
    <t>T001166</t>
  </si>
  <si>
    <t>T001167</t>
  </si>
  <si>
    <t>T001168</t>
  </si>
  <si>
    <t>T001170</t>
  </si>
  <si>
    <t>T001169</t>
  </si>
  <si>
    <t>T001171</t>
  </si>
  <si>
    <t>T001172</t>
  </si>
  <si>
    <t>T001173</t>
  </si>
  <si>
    <t>T001174</t>
  </si>
  <si>
    <t>T001175</t>
  </si>
  <si>
    <t>T001176</t>
  </si>
  <si>
    <t>T001177</t>
  </si>
  <si>
    <t>T001178</t>
  </si>
  <si>
    <t>T001179</t>
  </si>
  <si>
    <t>T001180</t>
  </si>
  <si>
    <t>T001181</t>
  </si>
  <si>
    <t>T001182</t>
  </si>
  <si>
    <t>T001183</t>
  </si>
  <si>
    <t>T001184</t>
  </si>
  <si>
    <t>T001185</t>
  </si>
  <si>
    <t>T001186</t>
  </si>
  <si>
    <t>T001187</t>
  </si>
  <si>
    <t>T001188</t>
  </si>
  <si>
    <t>T001189</t>
  </si>
  <si>
    <t>T001190</t>
  </si>
  <si>
    <t>T001191</t>
  </si>
  <si>
    <t>T001192</t>
  </si>
  <si>
    <t>T001193</t>
  </si>
  <si>
    <t>T001194</t>
  </si>
  <si>
    <t>T001195</t>
  </si>
  <si>
    <t>T001196</t>
  </si>
  <si>
    <t>T001197</t>
  </si>
  <si>
    <t>T001198</t>
  </si>
  <si>
    <t>T001199</t>
  </si>
  <si>
    <t>T001200</t>
  </si>
  <si>
    <t>T001201</t>
  </si>
  <si>
    <t>T001202</t>
  </si>
  <si>
    <t>T001203</t>
  </si>
  <si>
    <t>T001204</t>
  </si>
  <si>
    <t>T001205</t>
  </si>
  <si>
    <t>T001206</t>
  </si>
  <si>
    <t>T001207</t>
  </si>
  <si>
    <t>T001208</t>
  </si>
  <si>
    <t>T001209</t>
  </si>
  <si>
    <t>T001210</t>
  </si>
  <si>
    <t>T001211</t>
  </si>
  <si>
    <t>T001212</t>
  </si>
  <si>
    <t>T001213</t>
  </si>
  <si>
    <t>T001214</t>
  </si>
  <si>
    <t>T001215</t>
  </si>
  <si>
    <t>T001216</t>
  </si>
  <si>
    <t>T001217</t>
  </si>
  <si>
    <t>T001218</t>
  </si>
  <si>
    <t>T001219</t>
  </si>
  <si>
    <t>T001220</t>
  </si>
  <si>
    <t>T001221</t>
  </si>
  <si>
    <t>T001222</t>
  </si>
  <si>
    <t>T001223</t>
  </si>
  <si>
    <t>T001224</t>
  </si>
  <si>
    <t>T001225</t>
  </si>
  <si>
    <t>T001226</t>
  </si>
  <si>
    <t>T001227</t>
  </si>
  <si>
    <t>T001228</t>
  </si>
  <si>
    <t>T001229</t>
  </si>
  <si>
    <t>T001230</t>
  </si>
  <si>
    <t>T001231</t>
  </si>
  <si>
    <t>T001232</t>
  </si>
  <si>
    <t>T001233</t>
  </si>
  <si>
    <t>T001234</t>
  </si>
  <si>
    <t>T001235</t>
  </si>
  <si>
    <t>T001236</t>
  </si>
  <si>
    <t>T001237</t>
  </si>
  <si>
    <t>T001238</t>
  </si>
  <si>
    <t>T001239</t>
  </si>
  <si>
    <t>T001240</t>
  </si>
  <si>
    <t>T001241</t>
  </si>
  <si>
    <t>T001242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</si>
  <si>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</si>
  <si>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</si>
  <si>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</si>
  <si>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</si>
  <si>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</si>
  <si>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</si>
  <si>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</si>
  <si>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</si>
  <si>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</si>
  <si>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</si>
  <si>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</si>
  <si>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T001254</t>
  </si>
  <si>
    <t>T001255</t>
  </si>
  <si>
    <t>T001256</t>
  </si>
  <si>
    <t>T001257</t>
  </si>
  <si>
    <t>T001258</t>
  </si>
  <si>
    <t>T001259</t>
  </si>
  <si>
    <t>T001260</t>
  </si>
  <si>
    <t>T001261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</si>
  <si>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</si>
  <si>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</si>
  <si>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</si>
  <si>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</si>
  <si>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</si>
  <si>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</si>
  <si>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</si>
  <si>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</si>
  <si>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</si>
  <si>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T001271</t>
  </si>
  <si>
    <t>T001272</t>
  </si>
  <si>
    <t>T001273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</si>
  <si>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</si>
  <si>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</si>
  <si>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</si>
  <si>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</si>
  <si>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</si>
  <si>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</si>
  <si>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</si>
  <si>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</si>
  <si>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</si>
  <si>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T001283</t>
  </si>
  <si>
    <t>T001284</t>
  </si>
  <si>
    <t>T001285</t>
  </si>
  <si>
    <t>T001286</t>
  </si>
  <si>
    <t>T001287</t>
  </si>
  <si>
    <t>T001288</t>
  </si>
  <si>
    <t>T001289</t>
  </si>
  <si>
    <t>T001290</t>
  </si>
  <si>
    <t>T001291</t>
  </si>
  <si>
    <t>T001292</t>
  </si>
  <si>
    <t>T001293</t>
  </si>
  <si>
    <t>T001294</t>
  </si>
  <si>
    <t>T001295</t>
  </si>
  <si>
    <t>T001296</t>
  </si>
  <si>
    <t>T001297</t>
  </si>
  <si>
    <t>T001298</t>
  </si>
  <si>
    <t>T001299</t>
  </si>
  <si>
    <t>T001300</t>
  </si>
  <si>
    <t>T001301</t>
  </si>
  <si>
    <t>T001302</t>
  </si>
  <si>
    <t>T001303</t>
  </si>
  <si>
    <t>T001304</t>
  </si>
  <si>
    <t>T001305</t>
  </si>
  <si>
    <t>T001306</t>
  </si>
  <si>
    <t>T001307</t>
  </si>
  <si>
    <t>T001308</t>
  </si>
  <si>
    <t>T001309</t>
  </si>
  <si>
    <t>T001310</t>
  </si>
  <si>
    <t>T001311</t>
  </si>
  <si>
    <t>T001312</t>
  </si>
  <si>
    <t>T001313</t>
  </si>
  <si>
    <t>T001314</t>
  </si>
  <si>
    <t>T001315</t>
  </si>
  <si>
    <t>T001316</t>
  </si>
  <si>
    <t>T001319</t>
  </si>
  <si>
    <t>T001318</t>
  </si>
  <si>
    <t>T001317</t>
  </si>
  <si>
    <t>T001320</t>
  </si>
  <si>
    <t>T001321</t>
  </si>
  <si>
    <t>T001322</t>
  </si>
  <si>
    <t>T001323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</si>
  <si>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</si>
  <si>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</si>
  <si>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</si>
  <si>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</si>
  <si>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</si>
  <si>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</si>
  <si>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</si>
  <si>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</si>
  <si>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</si>
  <si>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T001333</t>
  </si>
  <si>
    <t>T001334</t>
  </si>
  <si>
    <t>T001335</t>
  </si>
  <si>
    <t>T001336</t>
  </si>
  <si>
    <t>T001337</t>
  </si>
  <si>
    <t>T001339</t>
  </si>
  <si>
    <t>T001338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</si>
  <si>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</si>
  <si>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</si>
  <si>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</si>
  <si>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</si>
  <si>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</si>
  <si>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</si>
  <si>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</si>
  <si>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</si>
  <si>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T001348</t>
  </si>
  <si>
    <t>T001349</t>
  </si>
  <si>
    <t>T001350</t>
  </si>
  <si>
    <t>T001351</t>
  </si>
  <si>
    <t>T001352</t>
  </si>
  <si>
    <t>T001353</t>
  </si>
  <si>
    <t>T001354</t>
  </si>
  <si>
    <t>T001355</t>
  </si>
  <si>
    <t>T001356</t>
  </si>
  <si>
    <t>T001357</t>
  </si>
  <si>
    <t>T001358</t>
  </si>
  <si>
    <t>T001359</t>
  </si>
  <si>
    <t>T001360</t>
  </si>
  <si>
    <t>T001361</t>
  </si>
  <si>
    <t>T001362</t>
  </si>
  <si>
    <t>T001363</t>
  </si>
  <si>
    <t>T001364</t>
  </si>
  <si>
    <t>T001365</t>
  </si>
  <si>
    <t>T001366</t>
  </si>
  <si>
    <t>T001367</t>
  </si>
  <si>
    <t>T001371</t>
  </si>
  <si>
    <t>T001372</t>
  </si>
  <si>
    <t>T001368</t>
  </si>
  <si>
    <t>T001370</t>
  </si>
  <si>
    <t>T001369</t>
  </si>
  <si>
    <t>T001379</t>
  </si>
  <si>
    <t>T001375</t>
  </si>
  <si>
    <t>T001374</t>
  </si>
  <si>
    <t>T001373</t>
  </si>
  <si>
    <t>T001376</t>
  </si>
  <si>
    <t>T001378</t>
  </si>
  <si>
    <t>T001377</t>
  </si>
  <si>
    <t>T001380</t>
  </si>
  <si>
    <t>T001381</t>
  </si>
  <si>
    <t>T001382</t>
  </si>
  <si>
    <t>T001383</t>
  </si>
  <si>
    <t>T001384</t>
  </si>
  <si>
    <t>T001386</t>
  </si>
  <si>
    <t>T001385</t>
  </si>
  <si>
    <t>T001387</t>
  </si>
  <si>
    <t>T001388</t>
  </si>
  <si>
    <t>T001389</t>
  </si>
  <si>
    <t>T001390</t>
  </si>
  <si>
    <t>T001391</t>
  </si>
  <si>
    <t>T001392</t>
  </si>
  <si>
    <t>T001393</t>
  </si>
  <si>
    <t>T001394</t>
  </si>
  <si>
    <t>T001395</t>
  </si>
  <si>
    <t>T001397</t>
  </si>
  <si>
    <t>T001398</t>
  </si>
  <si>
    <t>T001399</t>
  </si>
  <si>
    <t>T001396</t>
  </si>
  <si>
    <t>T001400</t>
  </si>
  <si>
    <t>T001401</t>
  </si>
  <si>
    <t>T001402</t>
  </si>
  <si>
    <t>T001403</t>
  </si>
  <si>
    <t>T001404</t>
  </si>
  <si>
    <t>T001405</t>
  </si>
  <si>
    <t>T001406</t>
  </si>
  <si>
    <t>T001407</t>
  </si>
  <si>
    <t>T001408</t>
  </si>
  <si>
    <t>T001409</t>
  </si>
  <si>
    <t>T001410</t>
  </si>
  <si>
    <t>T001412</t>
  </si>
  <si>
    <t>T001411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</si>
  <si>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</si>
  <si>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</si>
  <si>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</si>
  <si>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</si>
  <si>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</si>
  <si>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</si>
  <si>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</si>
  <si>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</si>
  <si>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T001423</t>
  </si>
  <si>
    <t>T001422</t>
  </si>
  <si>
    <t>T001421</t>
  </si>
  <si>
    <t>T001424</t>
  </si>
  <si>
    <t>T001425</t>
  </si>
  <si>
    <t>T001426</t>
  </si>
  <si>
    <t>T001427</t>
  </si>
  <si>
    <t>T001429</t>
  </si>
  <si>
    <t>T001428</t>
  </si>
  <si>
    <t>T001430</t>
  </si>
  <si>
    <t>T001435</t>
  </si>
  <si>
    <t>T001434</t>
  </si>
  <si>
    <t>T001432</t>
  </si>
  <si>
    <t>T001433</t>
  </si>
  <si>
    <t>T001436</t>
  </si>
  <si>
    <t>T001431</t>
  </si>
  <si>
    <t>T001437</t>
  </si>
  <si>
    <t>T001438</t>
  </si>
  <si>
    <t>T001440</t>
  </si>
  <si>
    <t>T001439</t>
  </si>
  <si>
    <t>T001441</t>
  </si>
  <si>
    <t>T001442</t>
  </si>
  <si>
    <t>T001443</t>
  </si>
  <si>
    <t>T001444</t>
  </si>
  <si>
    <t>T001447</t>
  </si>
  <si>
    <t>T001445</t>
  </si>
  <si>
    <t>T001446</t>
  </si>
  <si>
    <t>T001448</t>
  </si>
  <si>
    <t>T001449</t>
  </si>
  <si>
    <t>T001450</t>
  </si>
  <si>
    <t>T001452</t>
  </si>
  <si>
    <t>T001453</t>
  </si>
  <si>
    <t>T001451</t>
  </si>
  <si>
    <t>T001454</t>
  </si>
  <si>
    <t>T001455</t>
  </si>
  <si>
    <t>T001456</t>
  </si>
  <si>
    <t>T001458</t>
  </si>
  <si>
    <t>T001457</t>
  </si>
  <si>
    <t>T001459</t>
  </si>
  <si>
    <t>T001460</t>
  </si>
  <si>
    <t>T001461</t>
  </si>
  <si>
    <t>T001462</t>
  </si>
  <si>
    <t>T001463</t>
  </si>
  <si>
    <t>T001464</t>
  </si>
  <si>
    <t>T001465</t>
  </si>
  <si>
    <t>T001466</t>
  </si>
  <si>
    <t>T001468</t>
  </si>
  <si>
    <t>T001469</t>
  </si>
  <si>
    <t>T001467</t>
  </si>
  <si>
    <t>T001470</t>
  </si>
  <si>
    <t>T001471</t>
  </si>
  <si>
    <t>T001473</t>
  </si>
  <si>
    <t>T001472</t>
  </si>
  <si>
    <t>T001474</t>
  </si>
  <si>
    <t>T001475</t>
  </si>
  <si>
    <t>T001476</t>
  </si>
  <si>
    <t>T001479</t>
  </si>
  <si>
    <t>T001477</t>
  </si>
  <si>
    <t>T001478</t>
  </si>
  <si>
    <t>T001480</t>
  </si>
  <si>
    <t>T001481</t>
  </si>
  <si>
    <t>T001482</t>
  </si>
  <si>
    <t>T001484</t>
  </si>
  <si>
    <t>T001483</t>
  </si>
  <si>
    <t>T001486</t>
  </si>
  <si>
    <t>T001485</t>
  </si>
  <si>
    <t>T001487</t>
  </si>
  <si>
    <t>T001488</t>
  </si>
  <si>
    <t>T001489</t>
  </si>
  <si>
    <t>T001492</t>
  </si>
  <si>
    <t>T001493</t>
  </si>
  <si>
    <t>T001490</t>
  </si>
  <si>
    <t>T001494</t>
  </si>
  <si>
    <t>T001491</t>
  </si>
  <si>
    <t>T001495</t>
  </si>
  <si>
    <t>T001498</t>
  </si>
  <si>
    <t>T001499</t>
  </si>
  <si>
    <t>T001497</t>
  </si>
  <si>
    <t>T001496</t>
  </si>
  <si>
    <t>T001500</t>
  </si>
  <si>
    <t>T001501</t>
  </si>
  <si>
    <t>T001502</t>
  </si>
  <si>
    <t>T001504</t>
  </si>
  <si>
    <t>T001503</t>
  </si>
  <si>
    <t>T001505</t>
  </si>
  <si>
    <t>T001506</t>
  </si>
  <si>
    <t>T001508</t>
  </si>
  <si>
    <t>T001507</t>
  </si>
  <si>
    <t>T001509</t>
  </si>
  <si>
    <t>T001510</t>
  </si>
  <si>
    <t>T001511</t>
  </si>
  <si>
    <t>T001512</t>
  </si>
  <si>
    <t>T001513</t>
  </si>
  <si>
    <t>T001514</t>
  </si>
  <si>
    <t>T001515</t>
  </si>
  <si>
    <t>T001516</t>
  </si>
  <si>
    <t>T001517</t>
  </si>
  <si>
    <t>T001518</t>
  </si>
  <si>
    <t>T001519</t>
  </si>
  <si>
    <t>T001520</t>
  </si>
  <si>
    <t>T001521</t>
  </si>
  <si>
    <t>T001522</t>
  </si>
  <si>
    <t>T001523</t>
  </si>
  <si>
    <t>T001525</t>
  </si>
  <si>
    <t>T001524</t>
  </si>
  <si>
    <t>T001526</t>
  </si>
  <si>
    <t>T001527</t>
  </si>
  <si>
    <t>T001528</t>
  </si>
  <si>
    <t>T001529</t>
  </si>
  <si>
    <t>T001530</t>
  </si>
  <si>
    <t>T001531</t>
  </si>
  <si>
    <t>T001532</t>
  </si>
  <si>
    <t>T001533</t>
  </si>
  <si>
    <t>T001534</t>
  </si>
  <si>
    <t>T001535</t>
  </si>
  <si>
    <t>T001536</t>
  </si>
  <si>
    <t>T001537</t>
  </si>
  <si>
    <t>T001538</t>
  </si>
  <si>
    <t>T001539</t>
  </si>
  <si>
    <t>T001541</t>
  </si>
  <si>
    <t>T001542</t>
  </si>
  <si>
    <t>T001540</t>
  </si>
  <si>
    <t>T001543</t>
  </si>
  <si>
    <t>T001544</t>
  </si>
  <si>
    <t>T001545</t>
  </si>
  <si>
    <t>T001546</t>
  </si>
  <si>
    <t>T001547</t>
  </si>
  <si>
    <t>T001549</t>
  </si>
  <si>
    <t>T001548</t>
  </si>
  <si>
    <t>T001550</t>
  </si>
  <si>
    <t>T001551</t>
  </si>
  <si>
    <t>T001552</t>
  </si>
  <si>
    <t>T001554</t>
  </si>
  <si>
    <t>T001553</t>
  </si>
  <si>
    <t>T001556</t>
  </si>
  <si>
    <t>T001555</t>
  </si>
  <si>
    <t>T001557</t>
  </si>
  <si>
    <t>T001559</t>
  </si>
  <si>
    <t>T001558</t>
  </si>
  <si>
    <t>T001560</t>
  </si>
  <si>
    <t>T001561</t>
  </si>
  <si>
    <t>T001562</t>
  </si>
  <si>
    <t>T001563</t>
  </si>
  <si>
    <t>T001564</t>
  </si>
  <si>
    <t>T001565</t>
  </si>
  <si>
    <t>T001567</t>
  </si>
  <si>
    <t>T001566</t>
  </si>
  <si>
    <t>T001568</t>
  </si>
  <si>
    <t>T001569</t>
  </si>
  <si>
    <t>T001570</t>
  </si>
  <si>
    <t>T001571</t>
  </si>
  <si>
    <t>T001572</t>
  </si>
  <si>
    <t>T001573</t>
  </si>
  <si>
    <t>T001576</t>
  </si>
  <si>
    <t>T001574</t>
  </si>
  <si>
    <t>T001575</t>
  </si>
  <si>
    <t>T001577</t>
  </si>
  <si>
    <t>T001578</t>
  </si>
  <si>
    <t>T001579</t>
  </si>
  <si>
    <t>T001580</t>
  </si>
  <si>
    <t>T001581</t>
  </si>
  <si>
    <t>T001582</t>
  </si>
  <si>
    <t>T001584</t>
  </si>
  <si>
    <t>T001585</t>
  </si>
  <si>
    <t>T001583</t>
  </si>
  <si>
    <t>T001586</t>
  </si>
  <si>
    <t>T001588</t>
  </si>
  <si>
    <t>T001587</t>
  </si>
  <si>
    <t>T001589</t>
  </si>
  <si>
    <t>T001591</t>
  </si>
  <si>
    <t>T001590</t>
  </si>
  <si>
    <t>T001592</t>
  </si>
  <si>
    <t>T001593</t>
  </si>
  <si>
    <t>T001594</t>
  </si>
  <si>
    <t>T001595</t>
  </si>
  <si>
    <t>T001596</t>
  </si>
  <si>
    <t>T001597</t>
  </si>
  <si>
    <t>T001599</t>
  </si>
  <si>
    <t>T001598</t>
  </si>
  <si>
    <t>T001600</t>
  </si>
  <si>
    <t>T001603</t>
  </si>
  <si>
    <t>T001604</t>
  </si>
  <si>
    <t>T001602</t>
  </si>
  <si>
    <t>T001601</t>
  </si>
  <si>
    <t>T001605</t>
  </si>
  <si>
    <t>T001606</t>
  </si>
  <si>
    <t>T001608</t>
  </si>
  <si>
    <t>T001607</t>
  </si>
  <si>
    <t>T001609</t>
  </si>
  <si>
    <t>T001613</t>
  </si>
  <si>
    <t>T001612</t>
  </si>
  <si>
    <t>T001614</t>
  </si>
  <si>
    <t>T001610</t>
  </si>
  <si>
    <t>T001611</t>
  </si>
  <si>
    <t>T001615</t>
  </si>
  <si>
    <t>T001619</t>
  </si>
  <si>
    <t>T001618</t>
  </si>
  <si>
    <t>T001616</t>
  </si>
  <si>
    <t>T001617</t>
  </si>
  <si>
    <t>T001620</t>
  </si>
  <si>
    <t>T001621</t>
  </si>
  <si>
    <t>T001622</t>
  </si>
  <si>
    <t>T001623</t>
  </si>
  <si>
    <t>T001624</t>
  </si>
  <si>
    <t>T001625</t>
  </si>
  <si>
    <t>T001626</t>
  </si>
  <si>
    <t>T001628</t>
  </si>
  <si>
    <t>T001627</t>
  </si>
  <si>
    <t>T001629</t>
  </si>
  <si>
    <t>T001630</t>
  </si>
  <si>
    <t>T001631</t>
  </si>
  <si>
    <t>T001632</t>
  </si>
  <si>
    <t>T001634</t>
  </si>
  <si>
    <t>T001633</t>
  </si>
  <si>
    <t>T001635</t>
  </si>
  <si>
    <t>T001636</t>
  </si>
  <si>
    <t>T001637</t>
  </si>
  <si>
    <t>T001638</t>
  </si>
  <si>
    <t>T001642</t>
  </si>
  <si>
    <t>T001640</t>
  </si>
  <si>
    <t>T001639</t>
  </si>
  <si>
    <t>T001641</t>
  </si>
  <si>
    <t>T001643</t>
  </si>
  <si>
    <t>T001644</t>
  </si>
  <si>
    <t>T001645</t>
  </si>
  <si>
    <t>T001646</t>
  </si>
  <si>
    <t>T001647</t>
  </si>
  <si>
    <t>T001650</t>
  </si>
  <si>
    <t>T001648</t>
  </si>
  <si>
    <t>T001649</t>
  </si>
  <si>
    <t>T001651</t>
  </si>
  <si>
    <t>T001652</t>
  </si>
  <si>
    <t>T001654</t>
  </si>
  <si>
    <t>T001656</t>
  </si>
  <si>
    <t>T001658</t>
  </si>
  <si>
    <t>T001657</t>
  </si>
  <si>
    <t>T001659</t>
  </si>
  <si>
    <t>T001653</t>
  </si>
  <si>
    <t>T001655</t>
  </si>
  <si>
    <t>T001661</t>
  </si>
  <si>
    <t>T001660</t>
  </si>
  <si>
    <t>T001663</t>
  </si>
  <si>
    <t>T001662</t>
  </si>
  <si>
    <t>T001664</t>
  </si>
  <si>
    <t>T001665</t>
  </si>
  <si>
    <t>T001667</t>
  </si>
  <si>
    <t>T001668</t>
  </si>
  <si>
    <t>T001666</t>
  </si>
  <si>
    <t>T001669</t>
  </si>
  <si>
    <t>T001670</t>
  </si>
  <si>
    <t>T001671</t>
  </si>
  <si>
    <t>T001672</t>
  </si>
  <si>
    <t>T001673</t>
  </si>
  <si>
    <t>T001674</t>
  </si>
  <si>
    <t>T001675</t>
  </si>
  <si>
    <t>T001676</t>
  </si>
  <si>
    <t>T001677</t>
  </si>
  <si>
    <t>T001678</t>
  </si>
  <si>
    <t>T001679</t>
  </si>
  <si>
    <t>T001680</t>
  </si>
  <si>
    <t>T001681</t>
  </si>
  <si>
    <t>T001682</t>
  </si>
  <si>
    <t>T001683</t>
  </si>
  <si>
    <t>T001684</t>
  </si>
  <si>
    <t>T001685</t>
  </si>
  <si>
    <t>T001686</t>
  </si>
  <si>
    <t>T001687</t>
  </si>
  <si>
    <t>T001688</t>
  </si>
  <si>
    <t>T001689</t>
  </si>
  <si>
    <t>T001690</t>
  </si>
  <si>
    <t>T001692</t>
  </si>
  <si>
    <t>T001693</t>
  </si>
  <si>
    <t>T001691</t>
  </si>
  <si>
    <t>T001694</t>
  </si>
  <si>
    <t>T001697</t>
  </si>
  <si>
    <t>T001695</t>
  </si>
  <si>
    <t>T001696</t>
  </si>
  <si>
    <t>T001698</t>
  </si>
  <si>
    <t>T001699</t>
  </si>
  <si>
    <t>T001700</t>
  </si>
  <si>
    <t>T001701</t>
  </si>
  <si>
    <t>T001702</t>
  </si>
  <si>
    <t>T001704</t>
  </si>
  <si>
    <t>T001705</t>
  </si>
  <si>
    <t>T001703</t>
  </si>
  <si>
    <t>T001706</t>
  </si>
  <si>
    <t>T001707</t>
  </si>
  <si>
    <t>T001708</t>
  </si>
  <si>
    <t>T001709</t>
  </si>
  <si>
    <t>T001712</t>
  </si>
  <si>
    <t>T001710</t>
  </si>
  <si>
    <t>T001711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</si>
  <si>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</si>
  <si>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</si>
  <si>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</si>
  <si>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</si>
  <si>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</si>
  <si>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</si>
  <si>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</si>
  <si>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</si>
  <si>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T001723</t>
  </si>
  <si>
    <t>T001721</t>
  </si>
  <si>
    <t>T001722</t>
  </si>
  <si>
    <t>T001724</t>
  </si>
  <si>
    <t>T001727</t>
  </si>
  <si>
    <t>T001726</t>
  </si>
  <si>
    <t>T001725</t>
  </si>
  <si>
    <t>T001728</t>
  </si>
  <si>
    <t>T001729</t>
  </si>
  <si>
    <t>T001730</t>
  </si>
  <si>
    <t>T001731</t>
  </si>
  <si>
    <t>T001732</t>
  </si>
  <si>
    <t>T001733</t>
  </si>
  <si>
    <t>T001735</t>
  </si>
  <si>
    <t>T001734</t>
  </si>
  <si>
    <t>T001736</t>
  </si>
  <si>
    <t>T001737</t>
  </si>
  <si>
    <t>T001738</t>
  </si>
  <si>
    <t>T001739</t>
  </si>
  <si>
    <t>T001740</t>
  </si>
  <si>
    <t>T001742</t>
  </si>
  <si>
    <t>T001741</t>
  </si>
  <si>
    <t>T001743</t>
  </si>
  <si>
    <t>T001744</t>
  </si>
  <si>
    <t>T001745</t>
  </si>
  <si>
    <t>T001746</t>
  </si>
  <si>
    <t>T001747</t>
  </si>
  <si>
    <t>T001748</t>
  </si>
  <si>
    <t>T001749</t>
  </si>
  <si>
    <t>T001750</t>
  </si>
  <si>
    <t>T001751</t>
  </si>
  <si>
    <t>T001753</t>
  </si>
  <si>
    <t>T001754</t>
  </si>
  <si>
    <t>T001752</t>
  </si>
  <si>
    <t>T001755</t>
  </si>
  <si>
    <t>T001756</t>
  </si>
  <si>
    <t>T001758</t>
  </si>
  <si>
    <t>T001757</t>
  </si>
  <si>
    <t>T001759</t>
  </si>
  <si>
    <t>T001760</t>
  </si>
  <si>
    <t>T001762</t>
  </si>
  <si>
    <t>T001761</t>
  </si>
  <si>
    <t>T001763</t>
  </si>
  <si>
    <t>T001764</t>
  </si>
  <si>
    <t>T001765</t>
  </si>
  <si>
    <t>T001766</t>
  </si>
  <si>
    <t>T001767</t>
  </si>
  <si>
    <t>T001768</t>
  </si>
  <si>
    <t>T001769</t>
  </si>
  <si>
    <t>T001773</t>
  </si>
  <si>
    <t>T001772</t>
  </si>
  <si>
    <t>T001771</t>
  </si>
  <si>
    <t>T001770</t>
  </si>
  <si>
    <t>T001774</t>
  </si>
  <si>
    <t>T001775</t>
  </si>
  <si>
    <t>T001777</t>
  </si>
  <si>
    <t>T001776</t>
  </si>
  <si>
    <t>T001778</t>
  </si>
  <si>
    <t>T001781</t>
  </si>
  <si>
    <t>T001779</t>
  </si>
  <si>
    <t>T001782</t>
  </si>
  <si>
    <t>T001780</t>
  </si>
  <si>
    <t>T001783</t>
  </si>
  <si>
    <t>T001786</t>
  </si>
  <si>
    <t>T001784</t>
  </si>
  <si>
    <t>T001785</t>
  </si>
  <si>
    <t>T001787</t>
  </si>
  <si>
    <t>T001788</t>
  </si>
  <si>
    <t>T001789</t>
  </si>
  <si>
    <t>T001790</t>
  </si>
  <si>
    <t>T001791</t>
  </si>
  <si>
    <t>T001792</t>
  </si>
  <si>
    <t>T001793</t>
  </si>
  <si>
    <t>T001794</t>
  </si>
  <si>
    <t>T001795</t>
  </si>
  <si>
    <t>T001796</t>
  </si>
  <si>
    <t>T001797</t>
  </si>
  <si>
    <t>T001798</t>
  </si>
  <si>
    <t>T001799</t>
  </si>
  <si>
    <t>T001800</t>
  </si>
  <si>
    <t>T001801</t>
  </si>
  <si>
    <t>T001802</t>
  </si>
  <si>
    <t>T001803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</si>
  <si>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</si>
  <si>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</si>
  <si>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</si>
  <si>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</si>
  <si>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</si>
  <si>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</si>
  <si>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</si>
  <si>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</si>
  <si>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</si>
  <si>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</si>
  <si>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</si>
  <si>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</si>
  <si>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T001816</t>
  </si>
  <si>
    <t>T001817</t>
  </si>
  <si>
    <t>T001818</t>
  </si>
  <si>
    <t>T001819</t>
  </si>
  <si>
    <t>T001820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</si>
  <si>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</si>
  <si>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</si>
  <si>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</si>
  <si>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</si>
  <si>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</si>
  <si>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</si>
  <si>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</si>
  <si>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</si>
  <si>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</si>
  <si>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</si>
  <si>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T001831</t>
  </si>
  <si>
    <t>T001832</t>
  </si>
  <si>
    <t>T001833</t>
  </si>
  <si>
    <t>T001834</t>
  </si>
  <si>
    <t>T001835</t>
  </si>
  <si>
    <t>T001836</t>
  </si>
  <si>
    <t>T001837</t>
  </si>
  <si>
    <t>T001838</t>
  </si>
  <si>
    <t>T001839</t>
  </si>
  <si>
    <t>T001840</t>
  </si>
  <si>
    <t>T001841</t>
  </si>
  <si>
    <t>T001842</t>
  </si>
  <si>
    <t>T001843</t>
  </si>
  <si>
    <t>T001844</t>
  </si>
  <si>
    <t>T001845</t>
  </si>
  <si>
    <t>T001846</t>
  </si>
  <si>
    <t>T001847</t>
  </si>
  <si>
    <t>T001848</t>
  </si>
  <si>
    <t>T001849</t>
  </si>
  <si>
    <t>T001850</t>
  </si>
  <si>
    <t>T001851</t>
  </si>
  <si>
    <t>T001852</t>
  </si>
  <si>
    <t>T001853</t>
  </si>
  <si>
    <t>T001854</t>
  </si>
  <si>
    <t>T001855</t>
  </si>
  <si>
    <t>T001856</t>
  </si>
  <si>
    <t>T001857</t>
  </si>
  <si>
    <t>T001858</t>
  </si>
  <si>
    <t>T001859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</si>
  <si>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</si>
  <si>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</si>
  <si>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</si>
  <si>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</si>
  <si>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</si>
  <si>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</si>
  <si>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</si>
  <si>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</si>
  <si>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</si>
  <si>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</si>
  <si>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</si>
  <si>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</si>
  <si>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</si>
  <si>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</si>
  <si>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</si>
  <si>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</si>
  <si>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</si>
  <si>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T001877</t>
  </si>
  <si>
    <t>T001878</t>
  </si>
  <si>
    <t>T001879</t>
  </si>
  <si>
    <t>T001880</t>
  </si>
  <si>
    <t>T001881</t>
  </si>
  <si>
    <t>T001882</t>
  </si>
  <si>
    <t>T001883</t>
  </si>
  <si>
    <t>T001884</t>
  </si>
  <si>
    <t>T001885</t>
  </si>
  <si>
    <t>T001886</t>
  </si>
  <si>
    <t>T001887</t>
  </si>
  <si>
    <t>T001888</t>
  </si>
  <si>
    <t>T001889</t>
  </si>
  <si>
    <t>T001890</t>
  </si>
  <si>
    <t>T001891</t>
  </si>
  <si>
    <t>T001892</t>
  </si>
  <si>
    <t>T001893</t>
  </si>
  <si>
    <t>T001894</t>
  </si>
  <si>
    <t>T001895</t>
  </si>
  <si>
    <t>T001896</t>
  </si>
  <si>
    <t>T001897</t>
  </si>
  <si>
    <t>T001898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</si>
  <si>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</si>
  <si>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</si>
  <si>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</si>
  <si>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</si>
  <si>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</si>
  <si>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</si>
  <si>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</si>
  <si>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</si>
  <si>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</si>
  <si>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</si>
  <si>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T001909</t>
  </si>
  <si>
    <t>T001910</t>
  </si>
  <si>
    <t>T001911</t>
  </si>
  <si>
    <t>T001912</t>
  </si>
  <si>
    <t>T001913</t>
  </si>
  <si>
    <t>T001914</t>
  </si>
  <si>
    <t>T001915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</si>
  <si>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</si>
  <si>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</si>
  <si>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</si>
  <si>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</si>
  <si>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</si>
  <si>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</si>
  <si>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</si>
  <si>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</si>
  <si>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T001924</t>
  </si>
  <si>
    <t>T001925</t>
  </si>
  <si>
    <t>T001926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</si>
  <si>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</si>
  <si>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</si>
  <si>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</si>
  <si>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</si>
  <si>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</si>
  <si>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</si>
  <si>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</si>
  <si>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</si>
  <si>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T001935</t>
  </si>
  <si>
    <t>T001936</t>
  </si>
  <si>
    <t>T001937</t>
  </si>
  <si>
    <t>T001938</t>
  </si>
  <si>
    <t>T001939</t>
  </si>
  <si>
    <t>T001940</t>
  </si>
  <si>
    <t>T001941</t>
  </si>
  <si>
    <t>T001942</t>
  </si>
  <si>
    <t>T001943</t>
  </si>
  <si>
    <t>T001944</t>
  </si>
  <si>
    <t>T001945</t>
  </si>
  <si>
    <t>T001946</t>
  </si>
  <si>
    <t>T001947</t>
  </si>
  <si>
    <t>T001948</t>
  </si>
  <si>
    <t>T001949</t>
  </si>
  <si>
    <t>T001950</t>
  </si>
  <si>
    <t>T001951</t>
  </si>
  <si>
    <t>T001952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</si>
  <si>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</si>
  <si>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</si>
  <si>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</si>
  <si>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</si>
  <si>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</si>
  <si>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</si>
  <si>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</si>
  <si>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</si>
  <si>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</si>
  <si>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</si>
  <si>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</si>
  <si>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T001964</t>
  </si>
  <si>
    <t>T001965</t>
  </si>
  <si>
    <t>T001966</t>
  </si>
  <si>
    <t>T001967</t>
  </si>
  <si>
    <t>T001968</t>
  </si>
  <si>
    <t>T001969</t>
  </si>
  <si>
    <t>T001970</t>
  </si>
  <si>
    <t>T001971</t>
  </si>
  <si>
    <t>T001972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</si>
  <si>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</si>
  <si>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</si>
  <si>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</si>
  <si>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</si>
  <si>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</si>
  <si>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</si>
  <si>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</si>
  <si>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</si>
  <si>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</si>
  <si>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</si>
  <si>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</si>
  <si>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</si>
  <si>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</si>
  <si>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</si>
  <si>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</si>
  <si>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</si>
  <si>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</si>
  <si>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T001990</t>
  </si>
  <si>
    <t>T001991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</si>
  <si>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</si>
  <si>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</si>
  <si>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</si>
  <si>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</si>
  <si>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</si>
  <si>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</si>
  <si>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</si>
  <si>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</si>
  <si>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</si>
  <si>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</si>
  <si>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</si>
  <si>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</si>
  <si>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</si>
  <si>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</si>
  <si>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</si>
  <si>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</si>
  <si>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</si>
  <si>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</si>
  <si>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</si>
  <si>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</si>
  <si>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</si>
  <si>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</si>
  <si>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</si>
  <si>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</si>
  <si>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</si>
  <si>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T002017</t>
  </si>
  <si>
    <t>T002018</t>
  </si>
  <si>
    <t>T002019</t>
  </si>
  <si>
    <t>T002020</t>
  </si>
  <si>
    <t>T002021</t>
  </si>
  <si>
    <t>T002022</t>
  </si>
  <si>
    <t>T002023</t>
  </si>
  <si>
    <t>T002025</t>
  </si>
  <si>
    <t>T002024</t>
  </si>
  <si>
    <t>T002026</t>
  </si>
  <si>
    <t>T002027</t>
  </si>
  <si>
    <t>T002028</t>
  </si>
  <si>
    <t>T002029</t>
  </si>
  <si>
    <t>T002030</t>
  </si>
  <si>
    <t>T002031</t>
  </si>
  <si>
    <t>T002032</t>
  </si>
  <si>
    <t>T002033</t>
  </si>
  <si>
    <t>T002034</t>
  </si>
  <si>
    <t>T002035</t>
  </si>
  <si>
    <t>T002036</t>
  </si>
  <si>
    <t>T002037</t>
  </si>
  <si>
    <t>T002038</t>
  </si>
  <si>
    <t>T002039</t>
  </si>
  <si>
    <t>T002040</t>
  </si>
  <si>
    <t>T002041</t>
  </si>
  <si>
    <t>T002042</t>
  </si>
  <si>
    <t>T002043</t>
  </si>
  <si>
    <t>T002044</t>
  </si>
  <si>
    <t>T002045</t>
  </si>
  <si>
    <t>T002046</t>
  </si>
  <si>
    <t>T002047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</si>
  <si>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</si>
  <si>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</si>
  <si>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</si>
  <si>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</si>
  <si>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</si>
  <si>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</si>
  <si>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</si>
  <si>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</si>
  <si>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T002056</t>
  </si>
  <si>
    <t>T002057</t>
  </si>
  <si>
    <t>T002058</t>
  </si>
  <si>
    <t>T002059</t>
  </si>
  <si>
    <t>T002060</t>
  </si>
  <si>
    <t>T002061</t>
  </si>
  <si>
    <t>T002062</t>
  </si>
  <si>
    <t>T002063</t>
  </si>
  <si>
    <t>T002064</t>
  </si>
  <si>
    <t>T002065</t>
  </si>
  <si>
    <t>T002066</t>
  </si>
  <si>
    <t>T002067</t>
  </si>
  <si>
    <t>T002068</t>
  </si>
  <si>
    <t>T002069</t>
  </si>
  <si>
    <t>T002070</t>
  </si>
  <si>
    <t>T002071</t>
  </si>
  <si>
    <t>T002072</t>
  </si>
  <si>
    <t>T002073</t>
  </si>
  <si>
    <t>T002074</t>
  </si>
  <si>
    <t>T002075</t>
  </si>
  <si>
    <t>T002076</t>
  </si>
  <si>
    <t>T002077</t>
  </si>
  <si>
    <t>T002078</t>
  </si>
  <si>
    <t>T002079</t>
  </si>
  <si>
    <t>T002080</t>
  </si>
  <si>
    <t>T002081</t>
  </si>
  <si>
    <t>T002082</t>
  </si>
  <si>
    <t>T002083</t>
  </si>
  <si>
    <t>T002084</t>
  </si>
  <si>
    <t>T002085</t>
  </si>
  <si>
    <t>T002086</t>
  </si>
  <si>
    <t>T002087</t>
  </si>
  <si>
    <t>T002088</t>
  </si>
  <si>
    <t>T002089</t>
  </si>
  <si>
    <t>T002090</t>
  </si>
  <si>
    <t>T002091</t>
  </si>
  <si>
    <t>T002092</t>
  </si>
  <si>
    <t>T002093</t>
  </si>
  <si>
    <t>T002094</t>
  </si>
  <si>
    <t>T002095</t>
  </si>
  <si>
    <t>T002096</t>
  </si>
  <si>
    <t>T002097</t>
  </si>
  <si>
    <t>T002098</t>
  </si>
  <si>
    <t>T002099</t>
  </si>
  <si>
    <t>T002100</t>
  </si>
  <si>
    <t>T002101</t>
  </si>
  <si>
    <t>T002102</t>
  </si>
  <si>
    <t>T002103</t>
  </si>
  <si>
    <t>T002104</t>
  </si>
  <si>
    <t>T002105</t>
  </si>
  <si>
    <t>T002106</t>
  </si>
  <si>
    <t>T002107</t>
  </si>
  <si>
    <t>T002108</t>
  </si>
  <si>
    <t>T002110</t>
  </si>
  <si>
    <t>T002109</t>
  </si>
  <si>
    <t>T002111</t>
  </si>
  <si>
    <t>T002112</t>
  </si>
  <si>
    <t>T002113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</si>
  <si>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</si>
  <si>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</si>
  <si>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</si>
  <si>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</si>
  <si>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</si>
  <si>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</si>
  <si>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</si>
  <si>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</si>
  <si>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T002122</t>
  </si>
  <si>
    <t>T002123</t>
  </si>
  <si>
    <t>T002124</t>
  </si>
  <si>
    <t>T002125</t>
  </si>
  <si>
    <t>T002126</t>
  </si>
  <si>
    <t>T002127</t>
  </si>
  <si>
    <t>T002128</t>
  </si>
  <si>
    <t>T002129</t>
  </si>
  <si>
    <t>T002130</t>
  </si>
  <si>
    <t>T002131</t>
  </si>
  <si>
    <t>T002132</t>
  </si>
  <si>
    <t>T002133</t>
  </si>
  <si>
    <t>T002134</t>
  </si>
  <si>
    <t>T002135</t>
  </si>
  <si>
    <t>T002136</t>
  </si>
  <si>
    <t>T002137</t>
  </si>
  <si>
    <t>T002138</t>
  </si>
  <si>
    <t>T002139</t>
  </si>
  <si>
    <t>T002140</t>
  </si>
  <si>
    <t>T002141</t>
  </si>
  <si>
    <t>T002142</t>
  </si>
  <si>
    <t>T002143</t>
  </si>
  <si>
    <t>T002144</t>
  </si>
  <si>
    <t>T002145</t>
  </si>
  <si>
    <t>T002146</t>
  </si>
  <si>
    <t>T002147</t>
  </si>
  <si>
    <t>T002148</t>
  </si>
  <si>
    <t>T002149</t>
  </si>
  <si>
    <t>T002150</t>
  </si>
  <si>
    <t>T002151</t>
  </si>
  <si>
    <t>T002152</t>
  </si>
  <si>
    <t>T002153</t>
  </si>
  <si>
    <t>T002154</t>
  </si>
  <si>
    <t>T002155</t>
  </si>
  <si>
    <t>T002156</t>
  </si>
  <si>
    <t>T002157</t>
  </si>
  <si>
    <t>T002158</t>
  </si>
  <si>
    <t>T002159</t>
  </si>
  <si>
    <t>T002160</t>
  </si>
  <si>
    <t>T002161</t>
  </si>
  <si>
    <t>T002162</t>
  </si>
  <si>
    <t>T002163</t>
  </si>
  <si>
    <t>T002164</t>
  </si>
  <si>
    <t>T002165</t>
  </si>
  <si>
    <t>T002166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</si>
  <si>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</si>
  <si>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</si>
  <si>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</si>
  <si>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</si>
  <si>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</si>
  <si>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</si>
  <si>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</si>
  <si>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</si>
  <si>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</si>
  <si>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</si>
  <si>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</si>
  <si>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</si>
  <si>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</si>
  <si>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</si>
  <si>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</si>
  <si>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T002182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</si>
  <si>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</si>
  <si>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</si>
  <si>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</si>
  <si>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</si>
  <si>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</si>
  <si>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</si>
  <si>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</si>
  <si>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</si>
  <si>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</si>
  <si>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</si>
  <si>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T002193</t>
  </si>
  <si>
    <t>T002194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</si>
  <si>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</si>
  <si>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</si>
  <si>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</si>
  <si>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</si>
  <si>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</si>
  <si>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</si>
  <si>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</si>
  <si>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</si>
  <si>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</si>
  <si>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</si>
  <si>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</si>
  <si>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</si>
  <si>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</si>
  <si>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</si>
  <si>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</si>
  <si>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</si>
  <si>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</si>
  <si>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</si>
  <si>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</si>
  <si>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</si>
  <si>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</si>
  <si>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</si>
  <si>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T002217</t>
  </si>
  <si>
    <t>T002218</t>
  </si>
  <si>
    <t>T002219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</si>
  <si>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</si>
  <si>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</si>
  <si>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</si>
  <si>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</si>
  <si>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</si>
  <si>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</si>
  <si>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</si>
  <si>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</si>
  <si>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</si>
  <si>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T002229</t>
  </si>
  <si>
    <t>T002230</t>
  </si>
  <si>
    <t>T002231</t>
  </si>
  <si>
    <t>T002232</t>
  </si>
  <si>
    <t>T002233</t>
  </si>
  <si>
    <t>T002234</t>
  </si>
  <si>
    <t>T002235</t>
  </si>
  <si>
    <t>T002236</t>
  </si>
  <si>
    <t>T002237</t>
  </si>
  <si>
    <t>T002238</t>
  </si>
  <si>
    <t>T002239</t>
  </si>
  <si>
    <t>T002240</t>
  </si>
  <si>
    <t>T002241</t>
  </si>
  <si>
    <t>T002242</t>
  </si>
  <si>
    <t>T002243</t>
  </si>
  <si>
    <t>T002244</t>
  </si>
  <si>
    <t>T002245</t>
  </si>
  <si>
    <t>T002246</t>
  </si>
  <si>
    <t>T002247</t>
  </si>
  <si>
    <t>T002248</t>
  </si>
  <si>
    <t>T002249</t>
  </si>
  <si>
    <t>T002250</t>
  </si>
  <si>
    <t>T002251</t>
  </si>
  <si>
    <t>T002252</t>
  </si>
  <si>
    <t>T002253</t>
  </si>
  <si>
    <t>T002254</t>
  </si>
  <si>
    <t>T002255</t>
  </si>
  <si>
    <t>T002256</t>
  </si>
  <si>
    <t>T002257</t>
  </si>
  <si>
    <t>T002258</t>
  </si>
  <si>
    <t>T002259</t>
  </si>
  <si>
    <t>T002260</t>
  </si>
  <si>
    <t>T002261</t>
  </si>
  <si>
    <t>T002262</t>
  </si>
  <si>
    <t>T002263</t>
  </si>
  <si>
    <t>T002264</t>
  </si>
  <si>
    <t>T002265</t>
  </si>
  <si>
    <t>T002266</t>
  </si>
  <si>
    <t>T002268</t>
  </si>
  <si>
    <t>T002267</t>
  </si>
  <si>
    <t>T002269</t>
  </si>
  <si>
    <t>T002270</t>
  </si>
  <si>
    <t>T002271</t>
  </si>
  <si>
    <t>T002272</t>
  </si>
  <si>
    <t>T002273</t>
  </si>
  <si>
    <t>T002274</t>
  </si>
  <si>
    <t>T002275</t>
  </si>
  <si>
    <t>T002276</t>
  </si>
  <si>
    <t>T002277</t>
  </si>
  <si>
    <t>T002278</t>
  </si>
  <si>
    <t>T002279</t>
  </si>
  <si>
    <t>T002280</t>
  </si>
  <si>
    <t>T002281</t>
  </si>
  <si>
    <t>T002282</t>
  </si>
  <si>
    <t>T002283</t>
  </si>
  <si>
    <t>T002284</t>
  </si>
  <si>
    <t>T002285</t>
  </si>
  <si>
    <t>T002286</t>
  </si>
  <si>
    <t>T002287</t>
  </si>
  <si>
    <t>T002288</t>
  </si>
  <si>
    <t>T002289</t>
  </si>
  <si>
    <t>T002290</t>
  </si>
  <si>
    <t>T002291</t>
  </si>
  <si>
    <t>T002292</t>
  </si>
  <si>
    <t>T002293</t>
  </si>
  <si>
    <t>T002294</t>
  </si>
  <si>
    <t>T002295</t>
  </si>
  <si>
    <t>T002296</t>
  </si>
  <si>
    <t>T002297</t>
  </si>
  <si>
    <t>T002298</t>
  </si>
  <si>
    <t>T002299</t>
  </si>
  <si>
    <t>T002300</t>
  </si>
  <si>
    <t>T002301</t>
  </si>
  <si>
    <t>T002302</t>
  </si>
  <si>
    <t>T002303</t>
  </si>
  <si>
    <t>T002304</t>
  </si>
  <si>
    <t>T002305</t>
  </si>
  <si>
    <t>T002306</t>
  </si>
  <si>
    <t>T002307</t>
  </si>
  <si>
    <t>T002308</t>
  </si>
  <si>
    <t>T002309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</si>
  <si>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</si>
  <si>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</si>
  <si>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</si>
  <si>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</si>
  <si>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</si>
  <si>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</si>
  <si>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</si>
  <si>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</si>
  <si>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T002318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</si>
  <si>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</si>
  <si>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</si>
  <si>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</si>
  <si>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</si>
  <si>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</si>
  <si>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</si>
  <si>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</si>
  <si>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</si>
  <si>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</si>
  <si>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</si>
  <si>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</si>
  <si>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</si>
  <si>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</si>
  <si>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</si>
  <si>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</si>
  <si>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</si>
  <si>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</si>
  <si>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</si>
  <si>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</si>
  <si>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</si>
  <si>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</si>
  <si>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</si>
  <si>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</si>
  <si>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</si>
  <si>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</si>
  <si>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</si>
  <si>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</si>
  <si>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</si>
  <si>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T002347</t>
  </si>
  <si>
    <t>T002348</t>
  </si>
  <si>
    <t>T002349</t>
  </si>
  <si>
    <t>T002350</t>
  </si>
  <si>
    <t>T002351</t>
  </si>
  <si>
    <t>T002352</t>
  </si>
  <si>
    <t>T002353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</si>
  <si>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</si>
  <si>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</si>
  <si>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</si>
  <si>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</si>
  <si>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</si>
  <si>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</si>
  <si>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</si>
  <si>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</si>
  <si>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</si>
  <si>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</si>
  <si>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</si>
  <si>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T002365</t>
  </si>
  <si>
    <t>T002366</t>
  </si>
  <si>
    <t>T002367</t>
  </si>
  <si>
    <t>T002368</t>
  </si>
  <si>
    <t>T002369</t>
  </si>
  <si>
    <t>T002370</t>
  </si>
  <si>
    <t>T002371</t>
  </si>
  <si>
    <t>T002372</t>
  </si>
  <si>
    <t>T002373</t>
  </si>
  <si>
    <t>T002374</t>
  </si>
  <si>
    <t>T002375</t>
  </si>
  <si>
    <t>T002376</t>
  </si>
  <si>
    <t>T002377</t>
  </si>
  <si>
    <t>T002378</t>
  </si>
  <si>
    <t>T002379</t>
  </si>
  <si>
    <t>T002380</t>
  </si>
  <si>
    <t>T002381</t>
  </si>
  <si>
    <t>T002382</t>
  </si>
  <si>
    <t>T002383</t>
  </si>
  <si>
    <t>T002384</t>
  </si>
  <si>
    <t>T002385</t>
  </si>
  <si>
    <t>T002386</t>
  </si>
  <si>
    <t>T002387</t>
  </si>
  <si>
    <t>T002388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</si>
  <si>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</si>
  <si>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</si>
  <si>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</si>
  <si>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</si>
  <si>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</si>
  <si>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</si>
  <si>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</si>
  <si>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</si>
  <si>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</si>
  <si>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T002398</t>
  </si>
  <si>
    <t>T002399</t>
  </si>
  <si>
    <t>T002400</t>
  </si>
  <si>
    <t>T002401</t>
  </si>
  <si>
    <t>T002402</t>
  </si>
  <si>
    <t>T002403</t>
  </si>
  <si>
    <t>T002404</t>
  </si>
  <si>
    <t>T002405</t>
  </si>
  <si>
    <t>T002406</t>
  </si>
  <si>
    <t>T002407</t>
  </si>
  <si>
    <t>T002408</t>
  </si>
  <si>
    <t>T002409</t>
  </si>
  <si>
    <t>T002410</t>
  </si>
  <si>
    <t>T002411</t>
  </si>
  <si>
    <t>T002412</t>
  </si>
  <si>
    <t>T002413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</si>
  <si>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</si>
  <si>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</si>
  <si>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</si>
  <si>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</si>
  <si>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</si>
  <si>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</si>
  <si>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</si>
  <si>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</si>
  <si>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</si>
  <si>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</si>
  <si>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</si>
  <si>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</si>
  <si>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</si>
  <si>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</si>
  <si>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</si>
  <si>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</si>
  <si>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</si>
  <si>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</si>
  <si>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</si>
  <si>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</si>
  <si>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</si>
  <si>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</si>
  <si>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T002436</t>
  </si>
  <si>
    <t>T002437</t>
  </si>
  <si>
    <t>T002438</t>
  </si>
  <si>
    <t>T002439</t>
  </si>
  <si>
    <t>T002440</t>
  </si>
  <si>
    <t>T002441</t>
  </si>
  <si>
    <t>T002442</t>
  </si>
  <si>
    <t>T002443</t>
  </si>
  <si>
    <t>T002444</t>
  </si>
  <si>
    <t>T002445</t>
  </si>
  <si>
    <t>T002446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</si>
  <si>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</si>
  <si>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</si>
  <si>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</si>
  <si>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</si>
  <si>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</si>
  <si>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</si>
  <si>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</si>
  <si>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</si>
  <si>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</si>
  <si>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</si>
  <si>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</si>
  <si>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</si>
  <si>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</si>
  <si>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</si>
  <si>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T002461</t>
  </si>
  <si>
    <t>T002462</t>
  </si>
  <si>
    <t>T002463</t>
  </si>
  <si>
    <t>T002464</t>
  </si>
  <si>
    <t>T002465</t>
  </si>
  <si>
    <t>T002466</t>
  </si>
  <si>
    <t>T002467</t>
  </si>
  <si>
    <t>T002468</t>
  </si>
  <si>
    <t>T002469</t>
  </si>
  <si>
    <t>T002470</t>
  </si>
  <si>
    <t>T002471</t>
  </si>
  <si>
    <t>T002472</t>
  </si>
  <si>
    <t>T002473</t>
  </si>
  <si>
    <t>T002474</t>
  </si>
  <si>
    <t>T002475</t>
  </si>
  <si>
    <t>T002476</t>
  </si>
  <si>
    <t>T002477</t>
  </si>
  <si>
    <t>T002478</t>
  </si>
  <si>
    <t>T002479</t>
  </si>
  <si>
    <t>T002480</t>
  </si>
  <si>
    <t>T002481</t>
  </si>
  <si>
    <t>T002482</t>
  </si>
  <si>
    <t>T002483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</si>
  <si>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</si>
  <si>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</si>
  <si>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</si>
  <si>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</si>
  <si>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</si>
  <si>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</si>
  <si>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</si>
  <si>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</si>
  <si>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</si>
  <si>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</si>
  <si>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</si>
  <si>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</si>
  <si>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</si>
  <si>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</si>
  <si>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</si>
  <si>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T002499</t>
  </si>
  <si>
    <t>T002500</t>
  </si>
  <si>
    <t>T002501</t>
  </si>
  <si>
    <t>T002502</t>
  </si>
  <si>
    <t>T002503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</si>
  <si>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</si>
  <si>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</si>
  <si>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</si>
  <si>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</si>
  <si>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</si>
  <si>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</si>
  <si>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</si>
  <si>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</si>
  <si>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</si>
  <si>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</si>
  <si>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</si>
  <si>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</si>
  <si>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</si>
  <si>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</si>
  <si>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</si>
  <si>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</si>
  <si>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T002520</t>
  </si>
  <si>
    <t>T002521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</si>
  <si>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</si>
  <si>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</si>
  <si>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</si>
  <si>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</si>
  <si>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</si>
  <si>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</si>
  <si>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</si>
  <si>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</si>
  <si>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T002530</t>
  </si>
  <si>
    <t>T002531</t>
  </si>
  <si>
    <t>T002532</t>
  </si>
  <si>
    <t>T002533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</si>
  <si>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</si>
  <si>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</si>
  <si>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</si>
  <si>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</si>
  <si>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</si>
  <si>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</si>
  <si>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</si>
  <si>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</si>
  <si>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</si>
  <si>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T002543</t>
  </si>
  <si>
    <t>T002544</t>
  </si>
  <si>
    <t>T002545</t>
  </si>
  <si>
    <t>T002546</t>
  </si>
  <si>
    <t>T002547</t>
  </si>
  <si>
    <t>T002548</t>
  </si>
  <si>
    <t>T002549</t>
  </si>
  <si>
    <t>T002550</t>
  </si>
  <si>
    <t>T002551</t>
  </si>
  <si>
    <t>T002552</t>
  </si>
  <si>
    <t>T002553</t>
  </si>
  <si>
    <t>T002554</t>
  </si>
  <si>
    <t>T002555</t>
  </si>
  <si>
    <t>T002556</t>
  </si>
  <si>
    <t>T002557</t>
  </si>
  <si>
    <t>T002558</t>
  </si>
  <si>
    <t>T002559</t>
  </si>
  <si>
    <t>T002560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</si>
  <si>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</si>
  <si>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</si>
  <si>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</si>
  <si>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</si>
  <si>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</si>
  <si>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</si>
  <si>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</si>
  <si>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</si>
  <si>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</si>
  <si>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</si>
  <si>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T002571</t>
  </si>
  <si>
    <t>T002572</t>
  </si>
  <si>
    <t>T002573</t>
  </si>
  <si>
    <t>T002574</t>
  </si>
  <si>
    <t>T002575</t>
  </si>
  <si>
    <t>T002576</t>
  </si>
  <si>
    <t>T002577</t>
  </si>
  <si>
    <t>T002578</t>
  </si>
  <si>
    <t>T002579</t>
  </si>
  <si>
    <t>T002580</t>
  </si>
  <si>
    <t>T002581</t>
  </si>
  <si>
    <t>T002582</t>
  </si>
  <si>
    <t>T002583</t>
  </si>
  <si>
    <t>T002584</t>
  </si>
  <si>
    <t>T002585</t>
  </si>
  <si>
    <t>T002586</t>
  </si>
  <si>
    <t>T002587</t>
  </si>
  <si>
    <t>T002588</t>
  </si>
  <si>
    <t>T002589</t>
  </si>
  <si>
    <t>T002590</t>
  </si>
  <si>
    <t>T002591</t>
  </si>
  <si>
    <t>T002592</t>
  </si>
  <si>
    <t>T002593</t>
  </si>
  <si>
    <t>T002594</t>
  </si>
  <si>
    <t>T002595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</si>
  <si>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</si>
  <si>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</si>
  <si>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</si>
  <si>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</si>
  <si>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</si>
  <si>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</si>
  <si>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</si>
  <si>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</si>
  <si>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T002604</t>
  </si>
  <si>
    <t>T002605</t>
  </si>
  <si>
    <t>T002606</t>
  </si>
  <si>
    <t>T002607</t>
  </si>
  <si>
    <t>T002608</t>
  </si>
  <si>
    <t>T002609</t>
  </si>
  <si>
    <t>T002610</t>
  </si>
  <si>
    <t>T002611</t>
  </si>
  <si>
    <t>T002612</t>
  </si>
  <si>
    <t>T002613</t>
  </si>
  <si>
    <t>T002614</t>
  </si>
  <si>
    <t>T002615</t>
  </si>
  <si>
    <t>T002616</t>
  </si>
  <si>
    <t>T002617</t>
  </si>
  <si>
    <t>T002618</t>
  </si>
  <si>
    <t>T002619</t>
  </si>
  <si>
    <t>T002620</t>
  </si>
  <si>
    <t>T002621</t>
  </si>
  <si>
    <t>T002622</t>
  </si>
  <si>
    <t>T002623</t>
  </si>
  <si>
    <t>T002624</t>
  </si>
  <si>
    <t>T002625</t>
  </si>
  <si>
    <t>T002626</t>
  </si>
  <si>
    <t>T002627</t>
  </si>
  <si>
    <t>T002628</t>
  </si>
  <si>
    <t>T002629</t>
  </si>
  <si>
    <t>T002630</t>
  </si>
  <si>
    <t>T002631</t>
  </si>
  <si>
    <t>T002632</t>
  </si>
  <si>
    <t>T002633</t>
  </si>
  <si>
    <t>T002634</t>
  </si>
  <si>
    <t>T002635</t>
  </si>
  <si>
    <t>T002636</t>
  </si>
  <si>
    <t>T002637</t>
  </si>
  <si>
    <t>T002638</t>
  </si>
  <si>
    <t>T002639</t>
  </si>
  <si>
    <t>T002640</t>
  </si>
  <si>
    <t>T002641</t>
  </si>
  <si>
    <t>T002642</t>
  </si>
  <si>
    <t>T002643</t>
  </si>
  <si>
    <t>T002644</t>
  </si>
  <si>
    <t>T002645</t>
  </si>
  <si>
    <t>T002646</t>
  </si>
  <si>
    <t>T002647</t>
  </si>
  <si>
    <t>T002648</t>
  </si>
  <si>
    <t>T002649</t>
  </si>
  <si>
    <t>T002650</t>
  </si>
  <si>
    <t>T002651</t>
  </si>
  <si>
    <t>T002652</t>
  </si>
  <si>
    <t>T002653</t>
  </si>
  <si>
    <t>T002654</t>
  </si>
  <si>
    <t>T002655</t>
  </si>
  <si>
    <t>T002656</t>
  </si>
  <si>
    <t>T002657</t>
  </si>
  <si>
    <t>T002658</t>
  </si>
  <si>
    <t>T002659</t>
  </si>
  <si>
    <t>T002660</t>
  </si>
  <si>
    <t>T002661</t>
  </si>
  <si>
    <t>T002662</t>
  </si>
  <si>
    <t>T002663</t>
  </si>
  <si>
    <t>T002664</t>
  </si>
  <si>
    <t>T002665</t>
  </si>
  <si>
    <t>T002666</t>
  </si>
  <si>
    <t>T002667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</si>
  <si>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</si>
  <si>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</si>
  <si>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</si>
  <si>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</si>
  <si>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</si>
  <si>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</si>
  <si>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</si>
  <si>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</si>
  <si>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</si>
  <si>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</si>
  <si>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</si>
  <si>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</si>
  <si>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</si>
  <si>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</si>
  <si>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</si>
  <si>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</si>
  <si>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</si>
  <si>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</si>
  <si>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</si>
  <si>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</si>
  <si>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</si>
  <si>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</si>
  <si>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</si>
  <si>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</si>
  <si>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</si>
  <si>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</si>
  <si>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T002694</t>
  </si>
  <si>
    <t>T002695</t>
  </si>
  <si>
    <t>T002696</t>
  </si>
  <si>
    <t>T002697</t>
  </si>
  <si>
    <t>T002698</t>
  </si>
  <si>
    <t>T002699</t>
  </si>
  <si>
    <t>T002700</t>
  </si>
  <si>
    <t>T002701</t>
  </si>
  <si>
    <t>T002702</t>
  </si>
  <si>
    <t>T002703</t>
  </si>
  <si>
    <t>T002704</t>
  </si>
  <si>
    <t>T002705</t>
  </si>
  <si>
    <t>T002706</t>
  </si>
  <si>
    <t>T002707</t>
  </si>
  <si>
    <t>T002708</t>
  </si>
  <si>
    <t>T002709</t>
  </si>
  <si>
    <t>T002710</t>
  </si>
  <si>
    <t>T002711</t>
  </si>
  <si>
    <t>T002712</t>
  </si>
  <si>
    <t>T002713</t>
  </si>
  <si>
    <t>T002714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</si>
  <si>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</si>
  <si>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</si>
  <si>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</si>
  <si>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</si>
  <si>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</si>
  <si>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</si>
  <si>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</si>
  <si>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</si>
  <si>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</si>
  <si>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</si>
  <si>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</si>
  <si>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</si>
  <si>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</si>
  <si>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</si>
  <si>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</si>
  <si>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</si>
  <si>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</si>
  <si>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</si>
  <si>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</si>
  <si>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</si>
  <si>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</si>
  <si>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</si>
  <si>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</si>
  <si>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</si>
  <si>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T002739</t>
  </si>
  <si>
    <t>T002740</t>
  </si>
  <si>
    <t>T002741</t>
  </si>
  <si>
    <t>T002742</t>
  </si>
  <si>
    <t>T002743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</si>
  <si>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</si>
  <si>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</si>
  <si>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</si>
  <si>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</si>
  <si>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</si>
  <si>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</si>
  <si>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</si>
  <si>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</si>
  <si>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</si>
  <si>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</si>
  <si>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</si>
  <si>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</si>
  <si>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</si>
  <si>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</si>
  <si>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</si>
  <si>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T002759</t>
  </si>
  <si>
    <t>T002760</t>
  </si>
  <si>
    <t>T002761</t>
  </si>
  <si>
    <t>T002762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</si>
  <si>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</si>
  <si>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</si>
  <si>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</si>
  <si>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</si>
  <si>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</si>
  <si>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</si>
  <si>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</si>
  <si>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</si>
  <si>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</si>
  <si>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</si>
  <si>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</si>
  <si>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</si>
  <si>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</si>
  <si>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</si>
  <si>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</si>
  <si>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</si>
  <si>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</si>
  <si>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</si>
  <si>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T002781</t>
  </si>
  <si>
    <t>T002782</t>
  </si>
  <si>
    <t>T002783</t>
  </si>
  <si>
    <t>T002784</t>
  </si>
  <si>
    <t>T002785</t>
  </si>
  <si>
    <t>T002786</t>
  </si>
  <si>
    <t>T002787</t>
  </si>
  <si>
    <t>T002788</t>
  </si>
  <si>
    <t>T002789</t>
  </si>
  <si>
    <t>T002790</t>
  </si>
  <si>
    <t>T002791</t>
  </si>
  <si>
    <t>T002792</t>
  </si>
  <si>
    <t>T002793</t>
  </si>
  <si>
    <t>T002794</t>
  </si>
  <si>
    <t>T002796</t>
  </si>
  <si>
    <t>T002795</t>
  </si>
  <si>
    <t>T002797</t>
  </si>
  <si>
    <t>T002798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</si>
  <si>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</si>
  <si>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</si>
  <si>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</si>
  <si>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</si>
  <si>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</si>
  <si>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</si>
  <si>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</si>
  <si>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</si>
  <si>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T002807</t>
  </si>
  <si>
    <t>T002808</t>
  </si>
  <si>
    <t>T002809</t>
  </si>
  <si>
    <t>T002810</t>
  </si>
  <si>
    <t>T002811</t>
  </si>
  <si>
    <t>T002812</t>
  </si>
  <si>
    <t>T002813</t>
  </si>
  <si>
    <t>T002814</t>
  </si>
  <si>
    <t>T002815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</si>
  <si>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</si>
  <si>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</si>
  <si>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</si>
  <si>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</si>
  <si>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</si>
  <si>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</si>
  <si>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</si>
  <si>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</si>
  <si>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</si>
  <si>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</si>
  <si>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</si>
  <si>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</si>
  <si>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</si>
  <si>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</si>
  <si>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</si>
  <si>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</si>
  <si>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</si>
  <si>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</si>
  <si>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</si>
  <si>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</si>
  <si>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</si>
  <si>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T002837</t>
  </si>
  <si>
    <t>T002838</t>
  </si>
  <si>
    <t>T002839</t>
  </si>
  <si>
    <t>T002840</t>
  </si>
  <si>
    <t>T002841</t>
  </si>
  <si>
    <t>T002842</t>
  </si>
  <si>
    <t>T002843</t>
  </si>
  <si>
    <t>T002844</t>
  </si>
  <si>
    <t>T002845</t>
  </si>
  <si>
    <t>T002846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</si>
  <si>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</si>
  <si>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</si>
  <si>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</si>
  <si>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</si>
  <si>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</si>
  <si>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</si>
  <si>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</si>
  <si>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</si>
  <si>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T002855</t>
  </si>
  <si>
    <t>T002856</t>
  </si>
  <si>
    <t>T002857</t>
  </si>
  <si>
    <t>T002858</t>
  </si>
  <si>
    <t>T002859</t>
  </si>
  <si>
    <t>T002860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</si>
  <si>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</si>
  <si>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</si>
  <si>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</si>
  <si>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</si>
  <si>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</si>
  <si>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</si>
  <si>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</si>
  <si>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</si>
  <si>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</si>
  <si>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</si>
  <si>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</si>
  <si>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</si>
  <si>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</si>
  <si>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</si>
  <si>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</si>
  <si>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</si>
  <si>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</si>
  <si>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</si>
  <si>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</si>
  <si>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</si>
  <si>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</si>
  <si>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</si>
  <si>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</si>
  <si>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</si>
  <si>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</si>
  <si>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</si>
  <si>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</si>
  <si>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</si>
  <si>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</si>
  <si>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</si>
  <si>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</si>
  <si>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</si>
  <si>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T002893</t>
  </si>
  <si>
    <t>T002894</t>
  </si>
  <si>
    <t>T002895</t>
  </si>
  <si>
    <t>T002896</t>
  </si>
  <si>
    <t>T002897</t>
  </si>
  <si>
    <t>T002898</t>
  </si>
  <si>
    <t>T002899</t>
  </si>
  <si>
    <t>T002900</t>
  </si>
  <si>
    <t>T002901</t>
  </si>
  <si>
    <t>T002902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</si>
  <si>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</si>
  <si>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</si>
  <si>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</si>
  <si>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</si>
  <si>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</si>
  <si>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</si>
  <si>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</si>
  <si>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</si>
  <si>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T002911</t>
  </si>
  <si>
    <t>T002912</t>
  </si>
  <si>
    <t>T002913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</si>
  <si>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</si>
  <si>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</si>
  <si>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</si>
  <si>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</si>
  <si>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</si>
  <si>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</si>
  <si>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</si>
  <si>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</si>
  <si>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</si>
  <si>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</si>
  <si>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</si>
  <si>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</si>
  <si>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</si>
  <si>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T002927</t>
  </si>
  <si>
    <t>T002928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</si>
  <si>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</si>
  <si>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</si>
  <si>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</si>
  <si>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</si>
  <si>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</si>
  <si>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</si>
  <si>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</si>
  <si>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</si>
  <si>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</si>
  <si>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</si>
  <si>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T002939</t>
  </si>
  <si>
    <t>T002940</t>
  </si>
  <si>
    <t>T002941</t>
  </si>
  <si>
    <t>T002942</t>
  </si>
  <si>
    <t>T002943</t>
  </si>
  <si>
    <t>T002944</t>
  </si>
  <si>
    <t>T002945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</si>
  <si>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</si>
  <si>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</si>
  <si>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</si>
  <si>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</si>
  <si>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</si>
  <si>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</si>
  <si>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</si>
  <si>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</si>
  <si>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</si>
  <si>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</si>
  <si>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</si>
  <si>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</si>
  <si>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</si>
  <si>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</si>
  <si>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</si>
  <si>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</si>
  <si>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</si>
  <si>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</si>
  <si>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T002965</t>
  </si>
  <si>
    <t>T002964</t>
  </si>
  <si>
    <t>T002966</t>
  </si>
  <si>
    <t>T002967</t>
  </si>
  <si>
    <t>T002968</t>
  </si>
  <si>
    <t>T002969</t>
  </si>
  <si>
    <t>T002970</t>
  </si>
  <si>
    <t>T002971</t>
  </si>
  <si>
    <t>T002972</t>
  </si>
  <si>
    <t>T002973</t>
  </si>
  <si>
    <t>T002974</t>
  </si>
  <si>
    <t>T002975</t>
  </si>
  <si>
    <t>T002976</t>
  </si>
  <si>
    <t>T002977</t>
  </si>
  <si>
    <t>T002978</t>
  </si>
  <si>
    <t>T002979</t>
  </si>
  <si>
    <t>T002980</t>
  </si>
  <si>
    <t>T002981</t>
  </si>
  <si>
    <t>T002982</t>
  </si>
  <si>
    <t>T002983</t>
  </si>
  <si>
    <t>T002984</t>
  </si>
  <si>
    <t>T002985</t>
  </si>
  <si>
    <t>T002986</t>
  </si>
  <si>
    <t>T002987</t>
  </si>
  <si>
    <t>T002988</t>
  </si>
  <si>
    <t>T002989</t>
  </si>
  <si>
    <t>T002990</t>
  </si>
  <si>
    <t>T002991</t>
  </si>
  <si>
    <t>T002992</t>
  </si>
  <si>
    <t>T002993</t>
  </si>
  <si>
    <t>T002994</t>
  </si>
  <si>
    <t>T002995</t>
  </si>
  <si>
    <t>T002996</t>
  </si>
  <si>
    <t>T002997</t>
  </si>
  <si>
    <t>T002998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</si>
  <si>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</si>
  <si>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</si>
  <si>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</si>
  <si>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</si>
  <si>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</si>
  <si>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</si>
  <si>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</si>
  <si>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</si>
  <si>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</si>
  <si>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</si>
  <si>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</si>
  <si>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T003010</t>
  </si>
  <si>
    <t>T003011</t>
  </si>
  <si>
    <t>T003012</t>
  </si>
  <si>
    <t>T003013</t>
  </si>
  <si>
    <t>T003014</t>
  </si>
  <si>
    <t>T003015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</si>
  <si>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</si>
  <si>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</si>
  <si>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</si>
  <si>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</si>
  <si>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</si>
  <si>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</si>
  <si>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</si>
  <si>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</si>
  <si>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</si>
  <si>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</si>
  <si>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</si>
  <si>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</si>
  <si>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</si>
  <si>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</si>
  <si>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</si>
  <si>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</si>
  <si>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</si>
  <si>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</si>
  <si>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</si>
  <si>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</si>
  <si>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</si>
  <si>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</si>
  <si>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</si>
  <si>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</si>
  <si>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</si>
  <si>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</si>
  <si>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</si>
  <si>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</si>
  <si>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</si>
  <si>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</si>
  <si>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</si>
  <si>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</si>
  <si>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</si>
  <si>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</si>
  <si>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</si>
  <si>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</si>
  <si>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</si>
  <si>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</si>
  <si>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</si>
  <si>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</si>
  <si>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</si>
  <si>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</si>
  <si>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</si>
  <si>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</si>
  <si>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</si>
  <si>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</si>
  <si>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T003062</t>
  </si>
  <si>
    <t>T003063</t>
  </si>
  <si>
    <t>T003064</t>
  </si>
  <si>
    <t>T003065</t>
  </si>
  <si>
    <t>T003066</t>
  </si>
  <si>
    <t>T003067</t>
  </si>
  <si>
    <t>T003068</t>
  </si>
  <si>
    <t>T003069</t>
  </si>
  <si>
    <t>T003070</t>
  </si>
  <si>
    <t>T003071</t>
  </si>
  <si>
    <t>T003072</t>
  </si>
  <si>
    <t>T003073</t>
  </si>
  <si>
    <t>T003074</t>
  </si>
  <si>
    <t>T003075</t>
  </si>
  <si>
    <t>T003076</t>
  </si>
  <si>
    <t>T003077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</si>
  <si>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</si>
  <si>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</si>
  <si>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</si>
  <si>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</si>
  <si>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</si>
  <si>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</si>
  <si>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</si>
  <si>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</si>
  <si>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</si>
  <si>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</si>
  <si>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</si>
  <si>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</si>
  <si>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</si>
  <si>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</si>
  <si>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</si>
  <si>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</si>
  <si>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</si>
  <si>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</si>
  <si>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</si>
  <si>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</si>
  <si>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</si>
  <si>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</si>
  <si>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</si>
  <si>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</si>
  <si>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</si>
  <si>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T003103</t>
  </si>
  <si>
    <t>T003104</t>
  </si>
  <si>
    <t>T003105</t>
  </si>
  <si>
    <t>T003106</t>
  </si>
  <si>
    <t>T003107</t>
  </si>
  <si>
    <t>T003108</t>
  </si>
  <si>
    <t>T003109</t>
  </si>
  <si>
    <t>T003110</t>
  </si>
  <si>
    <t>T003111</t>
  </si>
  <si>
    <t>T003112</t>
  </si>
  <si>
    <t>T003113</t>
  </si>
  <si>
    <t>T003114</t>
  </si>
  <si>
    <t>T003115</t>
  </si>
  <si>
    <t>T003116</t>
  </si>
  <si>
    <t>T003117</t>
  </si>
  <si>
    <t>T003118</t>
  </si>
  <si>
    <t>T003119</t>
  </si>
  <si>
    <t>T003120</t>
  </si>
  <si>
    <t>T003121</t>
  </si>
  <si>
    <t>T003122</t>
  </si>
  <si>
    <t>T003123</t>
  </si>
  <si>
    <t>T003124</t>
  </si>
  <si>
    <t>T003125</t>
  </si>
  <si>
    <t>T003126</t>
  </si>
  <si>
    <t>T003127</t>
  </si>
  <si>
    <t>T003128</t>
  </si>
  <si>
    <t>T003129</t>
  </si>
  <si>
    <t>T003130</t>
  </si>
  <si>
    <t>T003131</t>
  </si>
  <si>
    <t>T003132</t>
  </si>
  <si>
    <t>T003133</t>
  </si>
  <si>
    <t>T003134</t>
  </si>
  <si>
    <t>T003135</t>
  </si>
  <si>
    <t>T003136</t>
  </si>
  <si>
    <t>T003137</t>
  </si>
  <si>
    <t>T003138</t>
  </si>
  <si>
    <t>T003140</t>
  </si>
  <si>
    <t>T003139</t>
  </si>
  <si>
    <t>T003141</t>
  </si>
  <si>
    <t>T003142</t>
  </si>
  <si>
    <t>T003143</t>
  </si>
  <si>
    <t>T003144</t>
  </si>
  <si>
    <t>T003145</t>
  </si>
  <si>
    <t>T003146</t>
  </si>
  <si>
    <t>T003147</t>
  </si>
  <si>
    <t>T003148</t>
  </si>
  <si>
    <t>T003149</t>
  </si>
  <si>
    <t>T003150</t>
  </si>
  <si>
    <t>T003151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</si>
  <si>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</si>
  <si>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</si>
  <si>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</si>
  <si>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</si>
  <si>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</si>
  <si>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</si>
  <si>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</si>
  <si>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</si>
  <si>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</si>
  <si>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T003161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</si>
  <si>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</si>
  <si>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</si>
  <si>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</si>
  <si>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</si>
  <si>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</si>
  <si>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</si>
  <si>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</si>
  <si>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</si>
  <si>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</si>
  <si>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</si>
  <si>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</si>
  <si>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</si>
  <si>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</si>
  <si>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</si>
  <si>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</si>
  <si>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</si>
  <si>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</si>
  <si>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</si>
  <si>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</si>
  <si>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</si>
  <si>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</si>
  <si>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T003183</t>
  </si>
  <si>
    <t>T003184</t>
  </si>
  <si>
    <t>T003185</t>
  </si>
  <si>
    <t>T003186</t>
  </si>
  <si>
    <t>T003187</t>
  </si>
  <si>
    <t>T003188</t>
  </si>
  <si>
    <t>T003189</t>
  </si>
  <si>
    <t>T003190</t>
  </si>
  <si>
    <t>T003191</t>
  </si>
  <si>
    <t>T003192</t>
  </si>
  <si>
    <t>T003193</t>
  </si>
  <si>
    <t>T003194</t>
  </si>
  <si>
    <t>T003195</t>
  </si>
  <si>
    <t>T003196</t>
  </si>
  <si>
    <t>T003197</t>
  </si>
  <si>
    <t>T003198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</si>
  <si>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</si>
  <si>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</si>
  <si>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</si>
  <si>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</si>
  <si>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</si>
  <si>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</si>
  <si>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</si>
  <si>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</si>
  <si>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</si>
  <si>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</si>
  <si>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</si>
  <si>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</si>
  <si>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</si>
  <si>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</si>
  <si>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</si>
  <si>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</si>
  <si>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</si>
  <si>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</si>
  <si>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</si>
  <si>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</si>
  <si>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</si>
  <si>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</si>
  <si>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</si>
  <si>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</si>
  <si>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</si>
  <si>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</si>
  <si>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</si>
  <si>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</si>
  <si>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</si>
  <si>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</si>
  <si>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</si>
  <si>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T003230</t>
  </si>
  <si>
    <t>T003231</t>
  </si>
  <si>
    <t>T003232</t>
  </si>
  <si>
    <t>T003233</t>
  </si>
  <si>
    <t>T003234</t>
  </si>
  <si>
    <t>T003235</t>
  </si>
  <si>
    <t>T003236</t>
  </si>
  <si>
    <t>T003237</t>
  </si>
  <si>
    <t>T003238</t>
  </si>
  <si>
    <t>T003239</t>
  </si>
  <si>
    <t>T003240</t>
  </si>
  <si>
    <t>T003241</t>
  </si>
  <si>
    <t>T003242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</si>
  <si>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</si>
  <si>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</si>
  <si>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</si>
  <si>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</si>
  <si>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</si>
  <si>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</si>
  <si>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</si>
  <si>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</si>
  <si>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</si>
  <si>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</si>
  <si>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T003253</t>
  </si>
  <si>
    <t>T003254</t>
  </si>
  <si>
    <t>T003255</t>
  </si>
  <si>
    <t>T003256</t>
  </si>
  <si>
    <t>T003257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</si>
  <si>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</si>
  <si>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</si>
  <si>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</si>
  <si>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</si>
  <si>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</si>
  <si>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</si>
  <si>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</si>
  <si>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</si>
  <si>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</si>
  <si>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</si>
  <si>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</si>
  <si>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</si>
  <si>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</si>
  <si>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</si>
  <si>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</si>
  <si>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</si>
  <si>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</si>
  <si>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</si>
  <si>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</si>
  <si>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</si>
  <si>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</si>
  <si>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</si>
  <si>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</si>
  <si>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</si>
  <si>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</si>
  <si>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</si>
  <si>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T003284</t>
  </si>
  <si>
    <t>T003285</t>
  </si>
  <si>
    <t>T003286</t>
  </si>
  <si>
    <t>T003287</t>
  </si>
  <si>
    <t>T003288</t>
  </si>
  <si>
    <t>T003289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</si>
  <si>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</si>
  <si>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</si>
  <si>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</si>
  <si>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</si>
  <si>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</si>
  <si>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</si>
  <si>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</si>
  <si>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</si>
  <si>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</si>
  <si>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</si>
  <si>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</si>
  <si>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</si>
  <si>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</si>
  <si>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</si>
  <si>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</si>
  <si>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</si>
  <si>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</si>
  <si>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</si>
  <si>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T003308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</si>
  <si>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</si>
  <si>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</si>
  <si>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</si>
  <si>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</si>
  <si>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</si>
  <si>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</si>
  <si>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</si>
  <si>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</si>
  <si>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</si>
  <si>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</si>
  <si>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</si>
  <si>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</si>
  <si>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</si>
  <si>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</si>
  <si>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</si>
  <si>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</si>
  <si>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</si>
  <si>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</si>
  <si>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</si>
  <si>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</si>
  <si>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</si>
  <si>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T003330</t>
  </si>
  <si>
    <t>T003331</t>
  </si>
  <si>
    <t>T003332</t>
  </si>
  <si>
    <t>T003333</t>
  </si>
  <si>
    <t>T003334</t>
  </si>
  <si>
    <t>T003335</t>
  </si>
  <si>
    <t>T003336</t>
  </si>
  <si>
    <t>T003337</t>
  </si>
  <si>
    <t>T003338</t>
  </si>
  <si>
    <t>T003339</t>
  </si>
  <si>
    <t>T003340</t>
  </si>
  <si>
    <t>T003341</t>
  </si>
  <si>
    <t>T003342</t>
  </si>
  <si>
    <t>T003343</t>
  </si>
  <si>
    <t>T003344</t>
  </si>
  <si>
    <t>T003345</t>
  </si>
  <si>
    <t>T003346</t>
  </si>
  <si>
    <t>T003347</t>
  </si>
  <si>
    <t>T003348</t>
  </si>
  <si>
    <t>T003349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</si>
  <si>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</si>
  <si>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</si>
  <si>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</si>
  <si>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</si>
  <si>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</si>
  <si>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</si>
  <si>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</si>
  <si>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</si>
  <si>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</si>
  <si>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</si>
  <si>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T003360</t>
  </si>
  <si>
    <t>T003361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</si>
  <si>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</si>
  <si>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</si>
  <si>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</si>
  <si>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</si>
  <si>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</si>
  <si>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</si>
  <si>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</si>
  <si>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</si>
  <si>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</si>
  <si>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</si>
  <si>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</si>
  <si>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</si>
  <si>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</si>
  <si>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</si>
  <si>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</si>
  <si>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</si>
  <si>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</si>
  <si>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</si>
  <si>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</si>
  <si>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</si>
  <si>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</si>
  <si>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</si>
  <si>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</si>
  <si>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</si>
  <si>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</si>
  <si>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</si>
  <si>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</si>
  <si>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</si>
  <si>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</si>
  <si>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</si>
  <si>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T003392</t>
  </si>
  <si>
    <t>T003393</t>
  </si>
  <si>
    <t>T003394</t>
  </si>
  <si>
    <t>T003395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</si>
  <si>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</si>
  <si>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</si>
  <si>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</si>
  <si>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</si>
  <si>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</si>
  <si>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</si>
  <si>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</si>
  <si>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</si>
  <si>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</si>
  <si>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</si>
  <si>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</si>
  <si>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</si>
  <si>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</si>
  <si>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</si>
  <si>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</si>
  <si>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</si>
  <si>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</si>
  <si>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</si>
  <si>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</si>
  <si>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</si>
  <si>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</si>
  <si>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</si>
  <si>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T003418</t>
  </si>
  <si>
    <t>T003419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</si>
  <si>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</si>
  <si>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</si>
  <si>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</si>
  <si>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</si>
  <si>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</si>
  <si>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</si>
  <si>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</si>
  <si>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</si>
  <si>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</si>
  <si>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</si>
  <si>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</si>
  <si>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</si>
  <si>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</si>
  <si>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</si>
  <si>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</si>
  <si>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</si>
  <si>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</si>
  <si>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</si>
  <si>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</si>
  <si>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</si>
  <si>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</si>
  <si>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</si>
  <si>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</si>
  <si>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T003443</t>
  </si>
  <si>
    <t>T003444</t>
  </si>
  <si>
    <t>T003445</t>
  </si>
  <si>
    <t>T003446</t>
  </si>
  <si>
    <t>T003447</t>
  </si>
  <si>
    <t>T003448</t>
  </si>
  <si>
    <t>T003449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</si>
  <si>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</si>
  <si>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</si>
  <si>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</si>
  <si>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</si>
  <si>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</si>
  <si>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</si>
  <si>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</si>
  <si>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</si>
  <si>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</si>
  <si>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</si>
  <si>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</si>
  <si>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</si>
  <si>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</si>
  <si>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</si>
  <si>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</si>
  <si>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</si>
  <si>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</si>
  <si>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</si>
  <si>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</si>
  <si>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</si>
  <si>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</si>
  <si>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</si>
  <si>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</si>
  <si>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</si>
  <si>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</si>
  <si>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</si>
  <si>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</si>
  <si>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</si>
  <si>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</si>
  <si>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</si>
  <si>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</si>
  <si>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</si>
  <si>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</si>
  <si>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</si>
  <si>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</si>
  <si>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</si>
  <si>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</si>
  <si>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</si>
  <si>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</si>
  <si>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</si>
  <si>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</si>
  <si>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</si>
  <si>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</si>
  <si>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</si>
  <si>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</si>
  <si>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</si>
  <si>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</si>
  <si>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</si>
  <si>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</si>
  <si>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</si>
  <si>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T003500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</si>
  <si>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</si>
  <si>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</si>
  <si>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</si>
  <si>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</si>
  <si>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</si>
  <si>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</si>
  <si>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</si>
  <si>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</si>
  <si>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</si>
  <si>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</si>
  <si>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</si>
  <si>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</si>
  <si>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</si>
  <si>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</si>
  <si>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</si>
  <si>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</si>
  <si>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</si>
  <si>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</si>
  <si>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</si>
  <si>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T003521</t>
  </si>
  <si>
    <t>T003520</t>
  </si>
  <si>
    <t>T003522</t>
  </si>
  <si>
    <t>T003523</t>
  </si>
  <si>
    <t>T003524</t>
  </si>
  <si>
    <t>T003525</t>
  </si>
  <si>
    <t>T003526</t>
  </si>
  <si>
    <t>T003527</t>
  </si>
  <si>
    <t>T003528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</si>
  <si>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</si>
  <si>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</si>
  <si>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</si>
  <si>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</si>
  <si>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</si>
  <si>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</si>
  <si>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</si>
  <si>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</si>
  <si>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</si>
  <si>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</si>
  <si>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</si>
  <si>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</si>
  <si>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</si>
  <si>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</si>
  <si>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</si>
  <si>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</si>
  <si>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</si>
  <si>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</si>
  <si>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</si>
  <si>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</si>
  <si>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</si>
  <si>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</si>
  <si>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</si>
  <si>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</si>
  <si>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</si>
  <si>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</si>
  <si>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</si>
  <si>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</si>
  <si>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</si>
  <si>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</si>
  <si>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</si>
  <si>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</si>
  <si>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</si>
  <si>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</si>
  <si>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</si>
  <si>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</si>
  <si>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</si>
  <si>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</si>
  <si>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</si>
  <si>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</si>
  <si>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</si>
  <si>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</si>
  <si>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</si>
  <si>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</si>
  <si>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</si>
  <si>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</si>
  <si>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</si>
  <si>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</si>
  <si>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</si>
  <si>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</si>
  <si>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</si>
  <si>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</si>
  <si>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</si>
  <si>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</si>
  <si>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</si>
  <si>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</si>
  <si>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</si>
  <si>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</si>
  <si>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</si>
  <si>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</si>
  <si>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</si>
  <si>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</si>
  <si>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</si>
  <si>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</si>
  <si>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</si>
  <si>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</si>
  <si>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</si>
  <si>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</si>
  <si>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</si>
  <si>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</si>
  <si>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T003599</t>
  </si>
  <si>
    <t>T003600</t>
  </si>
  <si>
    <t>T003601</t>
  </si>
  <si>
    <t>T003602</t>
  </si>
  <si>
    <t>T003603</t>
  </si>
  <si>
    <t>T003604</t>
  </si>
  <si>
    <t>T003605</t>
  </si>
  <si>
    <t>T003606</t>
  </si>
  <si>
    <t>T003607</t>
  </si>
  <si>
    <t>T003609</t>
  </si>
  <si>
    <t>T003608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</si>
  <si>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</si>
  <si>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</si>
  <si>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</si>
  <si>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</si>
  <si>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</si>
  <si>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</si>
  <si>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</si>
  <si>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</si>
  <si>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</si>
  <si>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T003619</t>
  </si>
  <si>
    <t>T003620</t>
  </si>
  <si>
    <t>T003621</t>
  </si>
  <si>
    <t>T003622</t>
  </si>
  <si>
    <t>T003623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</si>
  <si>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</si>
  <si>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</si>
  <si>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</si>
  <si>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</si>
  <si>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</si>
  <si>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</si>
  <si>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</si>
  <si>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</si>
  <si>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</si>
  <si>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</si>
  <si>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</si>
  <si>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</si>
  <si>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</si>
  <si>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</si>
  <si>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</si>
  <si>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</si>
  <si>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</si>
  <si>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</si>
  <si>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</si>
  <si>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</si>
  <si>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</si>
  <si>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</si>
  <si>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</si>
  <si>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</si>
  <si>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</si>
  <si>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</si>
  <si>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</si>
  <si>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</si>
  <si>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</si>
  <si>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</si>
  <si>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</si>
  <si>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</si>
  <si>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</si>
  <si>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</si>
  <si>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</si>
  <si>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</si>
  <si>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</si>
  <si>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</si>
  <si>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</si>
  <si>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</si>
  <si>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</si>
  <si>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T003665</t>
  </si>
  <si>
    <t>T003666</t>
  </si>
  <si>
    <t>T003667</t>
  </si>
  <si>
    <t>T003668</t>
  </si>
  <si>
    <t>T003669</t>
  </si>
  <si>
    <t>T003670</t>
  </si>
  <si>
    <t>T003671</t>
  </si>
  <si>
    <t>T003672</t>
  </si>
  <si>
    <t>T003673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</si>
  <si>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</si>
  <si>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</si>
  <si>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</si>
  <si>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</si>
  <si>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</si>
  <si>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</si>
  <si>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</si>
  <si>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</si>
  <si>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</si>
  <si>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</si>
  <si>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</si>
  <si>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</si>
  <si>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</si>
  <si>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</si>
  <si>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</si>
  <si>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</si>
  <si>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T003690</t>
  </si>
  <si>
    <t>T003691</t>
  </si>
  <si>
    <t>T003692</t>
  </si>
  <si>
    <t>T003693</t>
  </si>
  <si>
    <t>T003694</t>
  </si>
  <si>
    <t>T003695</t>
  </si>
  <si>
    <t>T003696</t>
  </si>
  <si>
    <t>T003697</t>
  </si>
  <si>
    <t>T003698</t>
  </si>
  <si>
    <t>T003699</t>
  </si>
  <si>
    <t>T003700</t>
  </si>
  <si>
    <t>T003701</t>
  </si>
  <si>
    <t>T003702</t>
  </si>
  <si>
    <t>T003703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</si>
  <si>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</si>
  <si>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</si>
  <si>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</si>
  <si>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</si>
  <si>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</si>
  <si>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</si>
  <si>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</si>
  <si>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</si>
  <si>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</si>
  <si>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T003713</t>
  </si>
  <si>
    <t>T003714</t>
  </si>
  <si>
    <t>T003715</t>
  </si>
  <si>
    <t>T003716</t>
  </si>
  <si>
    <t>T003717</t>
  </si>
  <si>
    <t>T003718</t>
  </si>
  <si>
    <t>T003719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</si>
  <si>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</si>
  <si>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</si>
  <si>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</si>
  <si>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</si>
  <si>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</si>
  <si>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</si>
  <si>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</si>
  <si>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</si>
  <si>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</si>
  <si>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</si>
  <si>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T003731</t>
  </si>
  <si>
    <t>T003730</t>
  </si>
  <si>
    <t>T003732</t>
  </si>
  <si>
    <t>T003733</t>
  </si>
  <si>
    <t>T003734</t>
  </si>
  <si>
    <t>T003735</t>
  </si>
  <si>
    <t>T003736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</si>
  <si>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</si>
  <si>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</si>
  <si>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</si>
  <si>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</si>
  <si>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</si>
  <si>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</si>
  <si>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</si>
  <si>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</si>
  <si>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</si>
  <si>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</si>
  <si>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</si>
  <si>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</si>
  <si>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</si>
  <si>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</si>
  <si>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</si>
  <si>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</si>
  <si>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</si>
  <si>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</si>
  <si>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</si>
  <si>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</si>
  <si>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</si>
  <si>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</si>
  <si>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</si>
  <si>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</si>
  <si>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</si>
  <si>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</si>
  <si>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</si>
  <si>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</si>
  <si>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</si>
  <si>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</si>
  <si>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</si>
  <si>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</si>
  <si>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</si>
  <si>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</si>
  <si>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</si>
  <si>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</si>
  <si>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</si>
  <si>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</si>
  <si>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</si>
  <si>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</si>
  <si>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</si>
  <si>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</si>
  <si>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</si>
  <si>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</si>
  <si>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</si>
  <si>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</si>
  <si>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</si>
  <si>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T003784</t>
  </si>
  <si>
    <t>T003785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</si>
  <si>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</si>
  <si>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</si>
  <si>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</si>
  <si>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</si>
  <si>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</si>
  <si>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</si>
  <si>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</si>
  <si>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</si>
  <si>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</si>
  <si>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</si>
  <si>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</si>
  <si>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</si>
  <si>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</si>
  <si>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</si>
  <si>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</si>
  <si>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</si>
  <si>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</si>
  <si>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</si>
  <si>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</si>
  <si>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</si>
  <si>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</si>
  <si>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</si>
  <si>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</si>
  <si>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</si>
  <si>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</si>
  <si>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</si>
  <si>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</si>
  <si>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</si>
  <si>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</si>
  <si>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</si>
  <si>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</si>
  <si>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</si>
  <si>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</si>
  <si>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</si>
  <si>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</si>
  <si>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</si>
  <si>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</si>
  <si>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</si>
  <si>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</si>
  <si>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</si>
  <si>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</si>
  <si>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</si>
  <si>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T003828</t>
  </si>
  <si>
    <t>T003829</t>
  </si>
  <si>
    <t>T003830</t>
  </si>
  <si>
    <t>T003831</t>
  </si>
  <si>
    <t>T003832</t>
  </si>
  <si>
    <t>T003833</t>
  </si>
  <si>
    <t>T003834</t>
  </si>
  <si>
    <t>T003835</t>
  </si>
  <si>
    <t>T003836</t>
  </si>
  <si>
    <t>T003837</t>
  </si>
  <si>
    <t>T003838</t>
  </si>
  <si>
    <t>T003839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</si>
  <si>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</si>
  <si>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</si>
  <si>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</si>
  <si>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</si>
  <si>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</si>
  <si>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</si>
  <si>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</si>
  <si>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</si>
  <si>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</si>
  <si>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</si>
  <si>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</si>
  <si>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</si>
  <si>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T003852</t>
  </si>
  <si>
    <t>T003853</t>
  </si>
  <si>
    <t>T003854</t>
  </si>
  <si>
    <t>T003855</t>
  </si>
  <si>
    <t>T003856</t>
  </si>
  <si>
    <t>T003857</t>
  </si>
  <si>
    <t>T003858</t>
  </si>
  <si>
    <t>T003859</t>
  </si>
  <si>
    <t>T003860</t>
  </si>
  <si>
    <t>T003861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</si>
  <si>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</si>
  <si>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</si>
  <si>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</si>
  <si>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</si>
  <si>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</si>
  <si>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</si>
  <si>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</si>
  <si>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</si>
  <si>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</si>
  <si>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</si>
  <si>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</si>
  <si>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</si>
  <si>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</si>
  <si>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</si>
  <si>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</si>
  <si>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</si>
  <si>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</si>
  <si>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</si>
  <si>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</si>
  <si>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</si>
  <si>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</si>
  <si>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</si>
  <si>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</si>
  <si>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</si>
  <si>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</si>
  <si>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</si>
  <si>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</si>
  <si>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</si>
  <si>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</si>
  <si>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</si>
  <si>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</si>
  <si>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</si>
  <si>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</si>
  <si>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</si>
  <si>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</si>
  <si>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</si>
  <si>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</si>
  <si>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</si>
  <si>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</si>
  <si>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</si>
  <si>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</si>
  <si>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</si>
  <si>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</si>
  <si>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</si>
  <si>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</si>
  <si>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</si>
  <si>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</si>
  <si>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</si>
  <si>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</si>
  <si>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</si>
  <si>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</si>
  <si>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</si>
  <si>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</si>
  <si>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</si>
  <si>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</si>
  <si>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</si>
  <si>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</si>
  <si>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</si>
  <si>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</si>
  <si>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</si>
  <si>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</si>
  <si>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</si>
  <si>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</si>
  <si>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</si>
  <si>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</si>
  <si>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</si>
  <si>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</si>
  <si>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</si>
  <si>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</si>
  <si>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</si>
  <si>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</si>
  <si>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</si>
  <si>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</si>
  <si>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</si>
  <si>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</si>
  <si>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</si>
  <si>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</si>
  <si>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</si>
  <si>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</si>
  <si>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</si>
  <si>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</si>
  <si>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</si>
  <si>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</si>
  <si>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</si>
  <si>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</si>
  <si>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</si>
  <si>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</si>
  <si>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</si>
  <si>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</si>
  <si>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</si>
  <si>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</si>
  <si>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T003953</t>
  </si>
  <si>
    <t>T003954</t>
  </si>
  <si>
    <t>T003955</t>
  </si>
  <si>
    <t>T003956</t>
  </si>
  <si>
    <t>T003957</t>
  </si>
  <si>
    <t>T003958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</si>
  <si>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</si>
  <si>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</si>
  <si>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</si>
  <si>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</si>
  <si>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</si>
  <si>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</si>
  <si>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</si>
  <si>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</si>
  <si>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</si>
  <si>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</si>
  <si>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</si>
  <si>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</si>
  <si>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</si>
  <si>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</si>
  <si>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</si>
  <si>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</si>
  <si>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</si>
  <si>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</si>
  <si>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</si>
  <si>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</si>
  <si>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</si>
  <si>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T003981</t>
  </si>
  <si>
    <t>T003980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</si>
  <si>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</si>
  <si>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</si>
  <si>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</si>
  <si>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</si>
  <si>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</si>
  <si>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</si>
  <si>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</si>
  <si>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</si>
  <si>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</si>
  <si>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</si>
  <si>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</si>
  <si>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</si>
  <si>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</si>
  <si>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</si>
  <si>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</si>
  <si>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</si>
  <si>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</si>
  <si>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</si>
  <si>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</si>
  <si>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</si>
  <si>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</si>
  <si>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</si>
  <si>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</si>
  <si>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</si>
  <si>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</si>
  <si>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</si>
  <si>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</si>
  <si>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</si>
  <si>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</si>
  <si>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</si>
  <si>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</si>
  <si>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</si>
  <si>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</si>
  <si>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</si>
  <si>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</si>
  <si>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</si>
  <si>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</si>
  <si>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</si>
  <si>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</si>
  <si>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</si>
  <si>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</si>
  <si>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</si>
  <si>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</si>
  <si>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</si>
  <si>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</si>
  <si>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</si>
  <si>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</si>
  <si>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</si>
  <si>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</si>
  <si>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</si>
  <si>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</si>
  <si>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</si>
  <si>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</si>
  <si>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</si>
  <si>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</si>
  <si>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</si>
  <si>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</si>
  <si>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</si>
  <si>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</si>
  <si>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</si>
  <si>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</si>
  <si>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</si>
  <si>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</si>
  <si>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</si>
  <si>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</si>
  <si>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</si>
  <si>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</si>
  <si>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</si>
  <si>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</si>
  <si>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</si>
  <si>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</si>
  <si>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</si>
  <si>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</si>
  <si>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</si>
  <si>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</si>
  <si>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</si>
  <si>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</si>
  <si>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</si>
  <si>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</si>
  <si>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</si>
  <si>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</si>
  <si>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</si>
  <si>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</si>
  <si>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</si>
  <si>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</si>
  <si>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</si>
  <si>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</si>
  <si>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</si>
  <si>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T004070</t>
  </si>
  <si>
    <t>T004071</t>
  </si>
  <si>
    <t>T004072</t>
  </si>
  <si>
    <t>T004073</t>
  </si>
  <si>
    <t>T004074</t>
  </si>
  <si>
    <t>T004075</t>
  </si>
  <si>
    <t>T004076</t>
  </si>
  <si>
    <t>T004077</t>
  </si>
  <si>
    <t>T004078</t>
  </si>
  <si>
    <t>T004079</t>
  </si>
  <si>
    <t>T004080</t>
  </si>
  <si>
    <t>T004081</t>
  </si>
  <si>
    <t>T004082</t>
  </si>
  <si>
    <t>T004083</t>
  </si>
  <si>
    <t>T004084</t>
  </si>
  <si>
    <t>T004085</t>
  </si>
  <si>
    <t>T004086</t>
  </si>
  <si>
    <t>T004087</t>
  </si>
  <si>
    <t>T004088</t>
  </si>
  <si>
    <t>T004089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</si>
  <si>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</si>
  <si>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</si>
  <si>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</si>
  <si>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</si>
  <si>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</si>
  <si>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</si>
  <si>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</si>
  <si>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</si>
  <si>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</si>
  <si>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</si>
  <si>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</si>
  <si>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</si>
  <si>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</si>
  <si>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</si>
  <si>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</si>
  <si>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</si>
  <si>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</si>
  <si>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</si>
  <si>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T004109</t>
  </si>
  <si>
    <t>T004108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</si>
  <si>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</si>
  <si>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</si>
  <si>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</si>
  <si>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</si>
  <si>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</si>
  <si>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</si>
  <si>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</si>
  <si>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</si>
  <si>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</si>
  <si>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</si>
  <si>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</si>
  <si>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</si>
  <si>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</si>
  <si>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</si>
  <si>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</si>
  <si>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</si>
  <si>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</si>
  <si>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</si>
  <si>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</si>
  <si>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</si>
  <si>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</si>
  <si>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</si>
  <si>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</si>
  <si>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</si>
  <si>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</si>
  <si>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</si>
  <si>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</si>
  <si>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</si>
  <si>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</si>
  <si>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</si>
  <si>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</si>
  <si>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</si>
  <si>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</si>
  <si>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</si>
  <si>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</si>
  <si>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</si>
  <si>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</si>
  <si>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</si>
  <si>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</si>
  <si>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</si>
  <si>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</si>
  <si>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</si>
  <si>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</si>
  <si>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</si>
  <si>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</si>
  <si>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</si>
  <si>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</si>
  <si>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</si>
  <si>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</si>
  <si>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</si>
  <si>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</si>
  <si>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</si>
  <si>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</si>
  <si>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</si>
  <si>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</si>
  <si>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</si>
  <si>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</si>
  <si>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</si>
  <si>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</si>
  <si>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</si>
  <si>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</si>
  <si>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</si>
  <si>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</si>
  <si>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</si>
  <si>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</si>
  <si>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</si>
  <si>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</si>
  <si>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</si>
  <si>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</si>
  <si>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</si>
  <si>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</si>
  <si>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</si>
  <si>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</si>
  <si>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</si>
  <si>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</si>
  <si>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</si>
  <si>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</si>
  <si>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</si>
  <si>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</si>
  <si>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</si>
  <si>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</si>
  <si>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</si>
  <si>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</si>
  <si>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</si>
  <si>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</si>
  <si>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</si>
  <si>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</si>
  <si>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</si>
  <si>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</si>
  <si>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</si>
  <si>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</si>
  <si>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</si>
  <si>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T004202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</si>
  <si>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</si>
  <si>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</si>
  <si>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</si>
  <si>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</si>
  <si>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</si>
  <si>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</si>
  <si>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</si>
  <si>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</si>
  <si>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</si>
  <si>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</si>
  <si>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</si>
  <si>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</si>
  <si>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</si>
  <si>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</si>
  <si>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</si>
  <si>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</si>
  <si>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</si>
  <si>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</si>
  <si>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</si>
  <si>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</si>
  <si>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</si>
  <si>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</si>
  <si>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</si>
  <si>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</si>
  <si>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</si>
  <si>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</si>
  <si>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</si>
  <si>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</si>
  <si>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</si>
  <si>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</si>
  <si>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</si>
  <si>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</si>
  <si>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</si>
  <si>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</si>
  <si>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</si>
  <si>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</si>
  <si>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</si>
  <si>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</si>
  <si>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</si>
  <si>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</si>
  <si>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</si>
  <si>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</si>
  <si>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</si>
  <si>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</si>
  <si>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</si>
  <si>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</si>
  <si>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</si>
  <si>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</si>
  <si>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</si>
  <si>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</si>
  <si>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</si>
  <si>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</si>
  <si>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</si>
  <si>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</si>
  <si>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</si>
  <si>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</si>
  <si>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</si>
  <si>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</si>
  <si>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</si>
  <si>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</si>
  <si>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</si>
  <si>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</si>
  <si>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</si>
  <si>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</si>
  <si>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</si>
  <si>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</si>
  <si>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</si>
  <si>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</si>
  <si>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</si>
  <si>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</si>
  <si>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</si>
  <si>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</si>
  <si>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</si>
  <si>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</si>
  <si>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</si>
  <si>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</si>
  <si>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</si>
  <si>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</si>
  <si>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</si>
  <si>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</si>
  <si>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</si>
  <si>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</si>
  <si>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</si>
  <si>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</si>
  <si>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</si>
  <si>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</si>
  <si>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</si>
  <si>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T004290</t>
  </si>
  <si>
    <t>T004291</t>
  </si>
  <si>
    <t>T004292</t>
  </si>
  <si>
    <t>T004293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</si>
  <si>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</si>
  <si>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</si>
  <si>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</si>
  <si>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</si>
  <si>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</si>
  <si>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</si>
  <si>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</si>
  <si>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</si>
  <si>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</si>
  <si>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</si>
  <si>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</si>
  <si>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</si>
  <si>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</si>
  <si>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</si>
  <si>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</si>
  <si>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</si>
  <si>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</si>
  <si>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</si>
  <si>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</si>
  <si>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</si>
  <si>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</si>
  <si>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</si>
  <si>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</si>
  <si>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</si>
  <si>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</si>
  <si>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</si>
  <si>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</si>
  <si>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</si>
  <si>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</si>
  <si>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</si>
  <si>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</si>
  <si>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</si>
  <si>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</si>
  <si>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</si>
  <si>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</si>
  <si>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</si>
  <si>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</si>
  <si>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</si>
  <si>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</si>
  <si>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</si>
  <si>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</si>
  <si>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</si>
  <si>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</si>
  <si>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</si>
  <si>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</si>
  <si>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</si>
  <si>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</si>
  <si>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</si>
  <si>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</si>
  <si>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</si>
  <si>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</si>
  <si>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</si>
  <si>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</si>
  <si>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</si>
  <si>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</si>
  <si>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</si>
  <si>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</si>
  <si>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</si>
  <si>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</si>
  <si>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</si>
  <si>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</si>
  <si>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</si>
  <si>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</si>
  <si>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</si>
  <si>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</si>
  <si>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</si>
  <si>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</si>
  <si>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</si>
  <si>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</si>
  <si>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</si>
  <si>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</si>
  <si>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T004365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</si>
  <si>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</si>
  <si>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</si>
  <si>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</si>
  <si>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</si>
  <si>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</si>
  <si>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</si>
  <si>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</si>
  <si>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</si>
  <si>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</si>
  <si>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T004375</t>
  </si>
  <si>
    <t>T004376</t>
  </si>
  <si>
    <t>T004377</t>
  </si>
  <si>
    <t>T004378</t>
  </si>
  <si>
    <t>T004379</t>
  </si>
  <si>
    <t>T004380</t>
  </si>
  <si>
    <t>T004381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</si>
  <si>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</si>
  <si>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</si>
  <si>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</si>
  <si>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</si>
  <si>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</si>
  <si>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</si>
  <si>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</si>
  <si>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</si>
  <si>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</si>
  <si>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</si>
  <si>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</si>
  <si>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</si>
  <si>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</si>
  <si>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</si>
  <si>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</si>
  <si>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</si>
  <si>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</si>
  <si>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</si>
  <si>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</si>
  <si>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</si>
  <si>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</si>
  <si>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</si>
  <si>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</si>
  <si>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</si>
  <si>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</si>
  <si>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</si>
  <si>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</si>
  <si>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</si>
  <si>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</si>
  <si>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</si>
  <si>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</si>
  <si>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</si>
  <si>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</si>
  <si>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</si>
  <si>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</si>
  <si>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</si>
  <si>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</si>
  <si>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</si>
  <si>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</si>
  <si>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</si>
  <si>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</si>
  <si>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</si>
  <si>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</si>
  <si>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</si>
  <si>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</si>
  <si>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</si>
  <si>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</si>
  <si>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</si>
  <si>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</si>
  <si>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</si>
  <si>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</si>
  <si>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</si>
  <si>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</si>
  <si>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</si>
  <si>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</si>
  <si>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</si>
  <si>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</si>
  <si>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</si>
  <si>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</si>
  <si>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</si>
  <si>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</si>
  <si>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</si>
  <si>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T004444</t>
  </si>
  <si>
    <t>T004445</t>
  </si>
  <si>
    <t>T004446</t>
  </si>
  <si>
    <t>T004447</t>
  </si>
  <si>
    <t>T004448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</si>
  <si>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</si>
  <si>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</si>
  <si>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</si>
  <si>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</si>
  <si>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</si>
  <si>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</si>
  <si>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</si>
  <si>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</si>
  <si>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</si>
  <si>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</si>
  <si>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</si>
  <si>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</si>
  <si>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</si>
  <si>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</si>
  <si>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</si>
  <si>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</si>
  <si>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</si>
  <si>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</si>
  <si>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</si>
  <si>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</si>
  <si>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</si>
  <si>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</si>
  <si>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</si>
  <si>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</si>
  <si>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</si>
  <si>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</si>
  <si>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T004476</t>
  </si>
  <si>
    <t>T004475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</si>
  <si>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</si>
  <si>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</si>
  <si>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</si>
  <si>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</si>
  <si>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</si>
  <si>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</si>
  <si>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</si>
  <si>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</si>
  <si>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</si>
  <si>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</si>
  <si>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</si>
  <si>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</si>
  <si>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</si>
  <si>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</si>
  <si>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</si>
  <si>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</si>
  <si>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</si>
  <si>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</si>
  <si>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</si>
  <si>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</si>
  <si>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</si>
  <si>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</si>
  <si>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</si>
  <si>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</si>
  <si>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</si>
  <si>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</si>
  <si>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</si>
  <si>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</si>
  <si>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</si>
  <si>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</si>
  <si>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</si>
  <si>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</si>
  <si>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</si>
  <si>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</si>
  <si>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</si>
  <si>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T004512</t>
  </si>
  <si>
    <t>T004513</t>
  </si>
  <si>
    <t>T004514</t>
  </si>
  <si>
    <t>T004515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</si>
  <si>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</si>
  <si>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</si>
  <si>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</si>
  <si>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</si>
  <si>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</si>
  <si>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</si>
  <si>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</si>
  <si>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</si>
  <si>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</si>
  <si>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</si>
  <si>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</si>
  <si>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</si>
  <si>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</si>
  <si>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</si>
  <si>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</si>
  <si>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</si>
  <si>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</si>
  <si>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</si>
  <si>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</si>
  <si>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</si>
  <si>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</si>
  <si>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</si>
  <si>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</si>
  <si>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</si>
  <si>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</si>
  <si>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</si>
  <si>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</si>
  <si>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</si>
  <si>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</si>
  <si>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</si>
  <si>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</si>
  <si>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</si>
  <si>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</si>
  <si>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</si>
  <si>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</si>
  <si>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</si>
  <si>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</si>
  <si>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</si>
  <si>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</si>
  <si>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</si>
  <si>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</si>
  <si>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</si>
  <si>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</si>
  <si>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</si>
  <si>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</si>
  <si>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</si>
  <si>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</si>
  <si>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</si>
  <si>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</si>
  <si>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</si>
  <si>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</si>
  <si>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</si>
  <si>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</si>
  <si>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</si>
  <si>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</si>
  <si>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</si>
  <si>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</si>
  <si>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</si>
  <si>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</si>
  <si>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</si>
  <si>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</si>
  <si>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</si>
  <si>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T004578</t>
  </si>
  <si>
    <t>T004579</t>
  </si>
  <si>
    <t>T004580</t>
  </si>
  <si>
    <t>T004581</t>
  </si>
  <si>
    <t>T004582</t>
  </si>
  <si>
    <t>T004583</t>
  </si>
  <si>
    <t>T004584</t>
  </si>
  <si>
    <t>T004586</t>
  </si>
  <si>
    <t>T004585</t>
  </si>
  <si>
    <t>T004587</t>
  </si>
  <si>
    <t>T004588</t>
  </si>
  <si>
    <t>T004589</t>
  </si>
  <si>
    <t>T004590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</si>
  <si>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</si>
  <si>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</si>
  <si>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</si>
  <si>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</si>
  <si>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</si>
  <si>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</si>
  <si>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</si>
  <si>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</si>
  <si>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</si>
  <si>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</si>
  <si>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</si>
  <si>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</si>
  <si>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</si>
  <si>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</si>
  <si>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</si>
  <si>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</si>
  <si>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</si>
  <si>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</si>
  <si>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</si>
  <si>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</si>
  <si>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</si>
  <si>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</si>
  <si>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</si>
  <si>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</si>
  <si>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</si>
  <si>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</si>
  <si>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T004617</t>
  </si>
  <si>
    <t>T004618</t>
  </si>
  <si>
    <t>T004619</t>
  </si>
  <si>
    <t>T004620</t>
  </si>
  <si>
    <t>T004621</t>
  </si>
  <si>
    <t>T004623</t>
  </si>
  <si>
    <t>T004622</t>
  </si>
  <si>
    <t>T004624</t>
  </si>
  <si>
    <t>T004625</t>
  </si>
  <si>
    <t>T004626</t>
  </si>
  <si>
    <t>T004627</t>
  </si>
  <si>
    <t>T004628</t>
  </si>
  <si>
    <t>T004629</t>
  </si>
  <si>
    <t>T004631</t>
  </si>
  <si>
    <t>T004630</t>
  </si>
  <si>
    <t>T004633</t>
  </si>
  <si>
    <t>T004632</t>
  </si>
  <si>
    <t>T004634</t>
  </si>
  <si>
    <t>T004635</t>
  </si>
  <si>
    <t>T004636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</si>
  <si>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</si>
  <si>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</si>
  <si>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</si>
  <si>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</si>
  <si>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</si>
  <si>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</si>
  <si>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</si>
  <si>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</si>
  <si>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</si>
  <si>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</si>
  <si>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</si>
  <si>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</si>
  <si>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</si>
  <si>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</si>
  <si>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</si>
  <si>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</si>
  <si>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</si>
  <si>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</si>
  <si>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</si>
  <si>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</si>
  <si>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</si>
  <si>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</si>
  <si>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</si>
  <si>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</si>
  <si>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</si>
  <si>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</si>
  <si>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</si>
  <si>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</si>
  <si>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</si>
  <si>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</si>
  <si>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</si>
  <si>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</si>
  <si>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</si>
  <si>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</si>
  <si>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</si>
  <si>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</si>
  <si>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</si>
  <si>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</si>
  <si>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</si>
  <si>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</si>
  <si>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</si>
  <si>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</si>
  <si>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</si>
  <si>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</si>
  <si>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</si>
  <si>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</si>
  <si>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</si>
  <si>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</si>
  <si>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</si>
  <si>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</si>
  <si>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</si>
  <si>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</si>
  <si>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</si>
  <si>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</si>
  <si>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</si>
  <si>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</si>
  <si>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</si>
  <si>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</si>
  <si>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</si>
  <si>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</si>
  <si>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</si>
  <si>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</si>
  <si>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</si>
  <si>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</si>
  <si>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</si>
  <si>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</si>
  <si>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</si>
  <si>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</si>
  <si>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</si>
  <si>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</si>
  <si>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</si>
  <si>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</si>
  <si>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</si>
  <si>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</si>
  <si>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</si>
  <si>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</si>
  <si>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</si>
  <si>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</si>
  <si>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</si>
  <si>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</si>
  <si>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</si>
  <si>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</si>
  <si>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T004719</t>
  </si>
  <si>
    <t>T004720</t>
  </si>
  <si>
    <t>T004721</t>
  </si>
  <si>
    <t>T004722</t>
  </si>
  <si>
    <t>T004723</t>
  </si>
  <si>
    <t>T004724</t>
  </si>
  <si>
    <t>T004725</t>
  </si>
  <si>
    <t>T004726</t>
  </si>
  <si>
    <t>T004727</t>
  </si>
  <si>
    <t>T004728</t>
  </si>
  <si>
    <t>T004729</t>
  </si>
  <si>
    <t>T004730</t>
  </si>
  <si>
    <t>T004731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</si>
  <si>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</si>
  <si>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</si>
  <si>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</si>
  <si>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</si>
  <si>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</si>
  <si>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</si>
  <si>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</si>
  <si>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</si>
  <si>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</si>
  <si>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</si>
  <si>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</si>
  <si>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T004743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</si>
  <si>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</si>
  <si>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</si>
  <si>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</si>
  <si>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</si>
  <si>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</si>
  <si>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</si>
  <si>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</si>
  <si>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</si>
  <si>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</si>
  <si>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</si>
  <si>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</si>
  <si>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</si>
  <si>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</si>
  <si>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</si>
  <si>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</si>
  <si>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</si>
  <si>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</si>
  <si>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</si>
  <si>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</si>
  <si>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</si>
  <si>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</si>
  <si>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</si>
  <si>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</si>
  <si>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</si>
  <si>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</si>
  <si>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</si>
  <si>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</si>
  <si>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</si>
  <si>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</si>
  <si>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</si>
  <si>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</si>
  <si>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</si>
  <si>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</si>
  <si>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</si>
  <si>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</si>
  <si>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</si>
  <si>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</si>
  <si>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</si>
  <si>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</si>
  <si>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</si>
  <si>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</si>
  <si>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</si>
  <si>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</si>
  <si>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</si>
  <si>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</si>
  <si>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</si>
  <si>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</si>
  <si>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</si>
  <si>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</si>
  <si>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</si>
  <si>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</si>
  <si>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</si>
  <si>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</si>
  <si>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</si>
  <si>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</si>
  <si>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</si>
  <si>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</si>
  <si>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</si>
  <si>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</si>
  <si>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</si>
  <si>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</si>
  <si>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</si>
  <si>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</si>
  <si>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</si>
  <si>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</si>
  <si>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</si>
  <si>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</si>
  <si>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</si>
  <si>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</si>
  <si>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</si>
  <si>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</si>
  <si>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</si>
  <si>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</si>
  <si>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</si>
  <si>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</si>
  <si>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</si>
  <si>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</si>
  <si>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</si>
  <si>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</si>
  <si>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</si>
  <si>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</si>
  <si>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</si>
  <si>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</si>
  <si>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</si>
  <si>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</si>
  <si>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</si>
  <si>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</si>
  <si>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</si>
  <si>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</si>
  <si>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</si>
  <si>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</si>
  <si>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</si>
  <si>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</si>
  <si>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</si>
  <si>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</si>
  <si>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</si>
  <si>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</si>
  <si>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</si>
  <si>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</si>
  <si>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</si>
  <si>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</si>
  <si>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</si>
  <si>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</si>
  <si>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</si>
  <si>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</si>
  <si>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</si>
  <si>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</si>
  <si>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</si>
  <si>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</si>
  <si>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</si>
  <si>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T004854</t>
  </si>
  <si>
    <t>T004855</t>
  </si>
  <si>
    <t>T004856</t>
  </si>
  <si>
    <t>T004857</t>
  </si>
  <si>
    <t>T004858</t>
  </si>
  <si>
    <t>T004859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</si>
  <si>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</si>
  <si>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</si>
  <si>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</si>
  <si>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</si>
  <si>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</si>
  <si>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</si>
  <si>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</si>
  <si>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</si>
  <si>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</si>
  <si>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</si>
  <si>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</si>
  <si>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</si>
  <si>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</si>
  <si>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</si>
  <si>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</si>
  <si>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</si>
  <si>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</si>
  <si>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</si>
  <si>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</si>
  <si>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</si>
  <si>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</si>
  <si>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</si>
  <si>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</si>
  <si>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</si>
  <si>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</si>
  <si>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</si>
  <si>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</si>
  <si>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</si>
  <si>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</si>
  <si>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</si>
  <si>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</si>
  <si>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</si>
  <si>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</si>
  <si>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</si>
  <si>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</si>
  <si>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</si>
  <si>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</si>
  <si>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</si>
  <si>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</si>
  <si>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</si>
  <si>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</si>
  <si>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</si>
  <si>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</si>
  <si>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</si>
  <si>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</si>
  <si>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</si>
  <si>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</si>
  <si>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</si>
  <si>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</si>
  <si>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</si>
  <si>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</si>
  <si>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</si>
  <si>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</si>
  <si>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</si>
  <si>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</si>
  <si>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</si>
  <si>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</si>
  <si>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</si>
  <si>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</si>
  <si>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</si>
  <si>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</si>
  <si>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</si>
  <si>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</si>
  <si>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</si>
  <si>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</si>
  <si>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</si>
  <si>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</si>
  <si>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</si>
  <si>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</si>
  <si>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</si>
  <si>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</si>
  <si>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</si>
  <si>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</si>
  <si>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</si>
  <si>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</si>
  <si>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</si>
  <si>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</si>
  <si>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</si>
  <si>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</si>
  <si>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</si>
  <si>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</si>
  <si>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</si>
  <si>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</si>
  <si>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</si>
  <si>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</si>
  <si>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</si>
  <si>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</si>
  <si>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</si>
  <si>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</si>
  <si>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</si>
  <si>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</si>
  <si>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</si>
  <si>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</si>
  <si>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</si>
  <si>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</si>
  <si>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</si>
  <si>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</si>
  <si>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</si>
  <si>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</si>
  <si>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</si>
  <si>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</si>
  <si>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</si>
  <si>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</si>
  <si>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</si>
  <si>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</si>
  <si>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</si>
  <si>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</si>
  <si>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</si>
  <si>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</si>
  <si>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</si>
  <si>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</si>
  <si>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</si>
  <si>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</si>
  <si>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</si>
  <si>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</si>
  <si>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</si>
  <si>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</si>
  <si>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</si>
  <si>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</si>
  <si>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</si>
  <si>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T004981</t>
  </si>
  <si>
    <t>T004980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</si>
  <si>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</si>
  <si>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</si>
  <si>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</si>
  <si>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</si>
  <si>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</si>
  <si>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</si>
  <si>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</si>
  <si>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</si>
  <si>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</si>
  <si>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</si>
  <si>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</si>
  <si>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</si>
  <si>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T004994</t>
  </si>
  <si>
    <t>T004995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</si>
  <si>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</si>
  <si>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</si>
  <si>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</si>
  <si>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</si>
  <si>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</si>
  <si>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</si>
  <si>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</si>
  <si>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</si>
  <si>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</si>
  <si>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</si>
  <si>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</si>
  <si>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</si>
  <si>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</si>
  <si>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</si>
  <si>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</si>
  <si>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</si>
  <si>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</si>
  <si>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</si>
  <si>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</si>
  <si>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</si>
  <si>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</si>
  <si>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</si>
  <si>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</si>
  <si>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</si>
  <si>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</si>
  <si>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</si>
  <si>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</si>
  <si>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</si>
  <si>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</si>
  <si>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</si>
  <si>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</si>
  <si>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</si>
  <si>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T005028</t>
  </si>
  <si>
    <t>T005029</t>
  </si>
  <si>
    <t>T005030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</si>
  <si>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</si>
  <si>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</si>
  <si>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</si>
  <si>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</si>
  <si>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</si>
  <si>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</si>
  <si>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</si>
  <si>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</si>
  <si>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</si>
  <si>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T005040</t>
  </si>
  <si>
    <t>T005041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</si>
  <si>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</si>
  <si>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</si>
  <si>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</si>
  <si>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</si>
  <si>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</si>
  <si>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</si>
  <si>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</si>
  <si>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</si>
  <si>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</si>
  <si>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</si>
  <si>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T005052</t>
  </si>
  <si>
    <t>T005054</t>
  </si>
  <si>
    <t>T005053</t>
  </si>
  <si>
    <t>T005055</t>
  </si>
  <si>
    <t>T005056</t>
  </si>
  <si>
    <t>T005057</t>
  </si>
  <si>
    <t>T005058</t>
  </si>
  <si>
    <t>T005059</t>
  </si>
  <si>
    <t>T005060</t>
  </si>
  <si>
    <t>T005061</t>
  </si>
  <si>
    <t>T005062</t>
  </si>
  <si>
    <t>T005063</t>
  </si>
  <si>
    <t>T005064</t>
  </si>
  <si>
    <t>T005065</t>
  </si>
  <si>
    <t>T005066</t>
  </si>
  <si>
    <t>T005067</t>
  </si>
  <si>
    <t>T005068</t>
  </si>
  <si>
    <t>T005069</t>
  </si>
  <si>
    <t>T005070</t>
  </si>
  <si>
    <t>T005071</t>
  </si>
  <si>
    <t>T005072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</si>
  <si>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</si>
  <si>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</si>
  <si>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</si>
  <si>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</si>
  <si>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</si>
  <si>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</si>
  <si>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</si>
  <si>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</si>
  <si>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</si>
  <si>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</si>
  <si>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</si>
  <si>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</si>
  <si>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</si>
  <si>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</si>
  <si>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</si>
  <si>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</si>
  <si>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</si>
  <si>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</si>
  <si>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</si>
  <si>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</si>
  <si>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</si>
  <si>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</si>
  <si>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</si>
  <si>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</si>
  <si>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</si>
  <si>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</si>
  <si>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T005099</t>
  </si>
  <si>
    <t>T005100</t>
  </si>
  <si>
    <t>T005101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</si>
  <si>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</si>
  <si>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</si>
  <si>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</si>
  <si>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</si>
  <si>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</si>
  <si>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</si>
  <si>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</si>
  <si>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</si>
  <si>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</si>
  <si>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</si>
  <si>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</si>
  <si>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</si>
  <si>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</si>
  <si>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</si>
  <si>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</si>
  <si>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</si>
  <si>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</si>
  <si>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</si>
  <si>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</si>
  <si>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</si>
  <si>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</si>
  <si>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</si>
  <si>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</si>
  <si>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</si>
  <si>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</si>
  <si>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</si>
  <si>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</si>
  <si>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</si>
  <si>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</si>
  <si>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</si>
  <si>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</si>
  <si>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</si>
  <si>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</si>
  <si>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</si>
  <si>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</si>
  <si>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</si>
  <si>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</si>
  <si>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</si>
  <si>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</si>
  <si>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</si>
  <si>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</si>
  <si>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</si>
  <si>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</si>
  <si>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</si>
  <si>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</si>
  <si>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</si>
  <si>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</si>
  <si>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</si>
  <si>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</si>
  <si>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</si>
  <si>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</si>
  <si>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</si>
  <si>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</si>
  <si>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</si>
  <si>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</si>
  <si>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</si>
  <si>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</si>
  <si>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</si>
  <si>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</si>
  <si>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</si>
  <si>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</si>
  <si>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</si>
  <si>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</si>
  <si>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</si>
  <si>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T005166</t>
  </si>
  <si>
    <t>T005167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</si>
  <si>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</si>
  <si>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</si>
  <si>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</si>
  <si>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</si>
  <si>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</si>
  <si>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</si>
  <si>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</si>
  <si>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</si>
  <si>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</si>
  <si>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</si>
  <si>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</si>
  <si>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</si>
  <si>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T005180</t>
  </si>
  <si>
    <t>T005181</t>
  </si>
  <si>
    <t>T005182</t>
  </si>
  <si>
    <t>T005183</t>
  </si>
  <si>
    <t>T005184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</si>
  <si>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</si>
  <si>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</si>
  <si>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</si>
  <si>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</si>
  <si>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</si>
  <si>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</si>
  <si>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</si>
  <si>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</si>
  <si>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</si>
  <si>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</si>
  <si>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</si>
  <si>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</si>
  <si>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</si>
  <si>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</si>
  <si>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</si>
  <si>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</si>
  <si>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</si>
  <si>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T005202</t>
  </si>
  <si>
    <t>T005203</t>
  </si>
  <si>
    <t>T005204</t>
  </si>
  <si>
    <t>T005205</t>
  </si>
  <si>
    <t>T005206</t>
  </si>
  <si>
    <t>T005207</t>
  </si>
  <si>
    <t>T005208</t>
  </si>
  <si>
    <t>T005209</t>
  </si>
  <si>
    <t>T005210</t>
  </si>
  <si>
    <t>T005211</t>
  </si>
  <si>
    <t>T005212</t>
  </si>
  <si>
    <t>T005213</t>
  </si>
  <si>
    <t>T005214</t>
  </si>
  <si>
    <t>T005215</t>
  </si>
  <si>
    <t>T005216</t>
  </si>
  <si>
    <t>T005217</t>
  </si>
  <si>
    <t>T005218</t>
  </si>
  <si>
    <t>T005219</t>
  </si>
  <si>
    <t>T005220</t>
  </si>
  <si>
    <t>T005221</t>
  </si>
  <si>
    <t>T005222</t>
  </si>
  <si>
    <t>T005223</t>
  </si>
  <si>
    <t>T005224</t>
  </si>
  <si>
    <t>T005225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</si>
  <si>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</si>
  <si>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</si>
  <si>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</si>
  <si>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</si>
  <si>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</si>
  <si>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</si>
  <si>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</si>
  <si>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</si>
  <si>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</si>
  <si>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</si>
  <si>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</si>
  <si>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</si>
  <si>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</si>
  <si>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</si>
  <si>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</si>
  <si>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</si>
  <si>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</si>
  <si>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</si>
  <si>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</si>
  <si>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</si>
  <si>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T005246</t>
  </si>
  <si>
    <t>T005247</t>
  </si>
  <si>
    <t>T005248</t>
  </si>
  <si>
    <t>T005249</t>
  </si>
  <si>
    <t>T005250</t>
  </si>
  <si>
    <t>T005251</t>
  </si>
  <si>
    <t>T005252</t>
  </si>
  <si>
    <t>T005253</t>
  </si>
  <si>
    <t>T005254</t>
  </si>
  <si>
    <t>T005255</t>
  </si>
  <si>
    <t>T005257</t>
  </si>
  <si>
    <t>T005256</t>
  </si>
  <si>
    <t>T005258</t>
  </si>
  <si>
    <t>T005259</t>
  </si>
  <si>
    <t>T005260</t>
  </si>
  <si>
    <t>T005261</t>
  </si>
  <si>
    <t>T005262</t>
  </si>
  <si>
    <t>T005263</t>
  </si>
  <si>
    <t>T005264</t>
  </si>
  <si>
    <t>T005265</t>
  </si>
  <si>
    <t>T005266</t>
  </si>
  <si>
    <t>T005267</t>
  </si>
  <si>
    <t>T005268</t>
  </si>
  <si>
    <t>T005269</t>
  </si>
  <si>
    <t>T005270</t>
  </si>
  <si>
    <t>T005271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</si>
  <si>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</si>
  <si>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</si>
  <si>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</si>
  <si>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</si>
  <si>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</si>
  <si>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</si>
  <si>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</si>
  <si>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</si>
  <si>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</si>
  <si>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</si>
  <si>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</si>
  <si>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</si>
  <si>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</si>
  <si>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</si>
  <si>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</si>
  <si>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</si>
  <si>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</si>
  <si>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</si>
  <si>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</si>
  <si>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</si>
  <si>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</si>
  <si>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</si>
  <si>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T005294</t>
  </si>
  <si>
    <t>T005295</t>
  </si>
  <si>
    <t>T005296</t>
  </si>
  <si>
    <t>T005297</t>
  </si>
  <si>
    <t>T005298</t>
  </si>
  <si>
    <t>T005299</t>
  </si>
  <si>
    <t>T005300</t>
  </si>
  <si>
    <t>T005301</t>
  </si>
  <si>
    <t>T005302</t>
  </si>
  <si>
    <t>T005303</t>
  </si>
  <si>
    <t>T005304</t>
  </si>
  <si>
    <t>T005305</t>
  </si>
  <si>
    <t>T005306</t>
  </si>
  <si>
    <t>T005307</t>
  </si>
  <si>
    <t>T005308</t>
  </si>
  <si>
    <t>T005309</t>
  </si>
  <si>
    <t>T005310</t>
  </si>
  <si>
    <t>T005311</t>
  </si>
  <si>
    <t>T005312</t>
  </si>
  <si>
    <t>T005313</t>
  </si>
  <si>
    <t>T005314</t>
  </si>
  <si>
    <t>T005315</t>
  </si>
  <si>
    <t>T005316</t>
  </si>
  <si>
    <t>T005317</t>
  </si>
  <si>
    <t>T005318</t>
  </si>
  <si>
    <t>T005319</t>
  </si>
  <si>
    <t>T005320</t>
  </si>
  <si>
    <t>T005321</t>
  </si>
  <si>
    <t>T005322</t>
  </si>
  <si>
    <t>T005323</t>
  </si>
  <si>
    <t>T005324</t>
  </si>
  <si>
    <t>T005325</t>
  </si>
  <si>
    <t>T005326</t>
  </si>
  <si>
    <t>T005327</t>
  </si>
  <si>
    <t>T005328</t>
  </si>
  <si>
    <t>T005330</t>
  </si>
  <si>
    <t>T005329</t>
  </si>
  <si>
    <t>T005331</t>
  </si>
  <si>
    <t>T005332</t>
  </si>
  <si>
    <t>T005333</t>
  </si>
  <si>
    <t>T005334</t>
  </si>
  <si>
    <t>T005335</t>
  </si>
  <si>
    <t>T005336</t>
  </si>
  <si>
    <t>T005337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</si>
  <si>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</si>
  <si>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</si>
  <si>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</si>
  <si>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</si>
  <si>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</si>
  <si>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</si>
  <si>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</si>
  <si>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</si>
  <si>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</si>
  <si>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</si>
  <si>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</si>
  <si>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</si>
  <si>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T005350</t>
  </si>
  <si>
    <t>T005351</t>
  </si>
  <si>
    <t>T005352</t>
  </si>
  <si>
    <t>T005354</t>
  </si>
  <si>
    <t>T005353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</si>
  <si>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</si>
  <si>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</si>
  <si>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</si>
  <si>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</si>
  <si>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</si>
  <si>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</si>
  <si>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</si>
  <si>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</si>
  <si>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</si>
  <si>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</si>
  <si>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</si>
  <si>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T005366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</si>
  <si>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</si>
  <si>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</si>
  <si>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</si>
  <si>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</si>
  <si>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</si>
  <si>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</si>
  <si>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</si>
  <si>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</si>
  <si>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</si>
  <si>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T005376</t>
  </si>
  <si>
    <t>T005377</t>
  </si>
  <si>
    <t>T005378</t>
  </si>
  <si>
    <t>T005379</t>
  </si>
  <si>
    <t>T005380</t>
  </si>
  <si>
    <t>T005381</t>
  </si>
  <si>
    <t>T005383</t>
  </si>
  <si>
    <t>T005382</t>
  </si>
  <si>
    <t>T005384</t>
  </si>
  <si>
    <t>T005385</t>
  </si>
  <si>
    <t>T005386</t>
  </si>
  <si>
    <t>T005387</t>
  </si>
  <si>
    <t>T005388</t>
  </si>
  <si>
    <t>T005389</t>
  </si>
  <si>
    <t>T005390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</si>
  <si>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</si>
  <si>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</si>
  <si>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</si>
  <si>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</si>
  <si>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</si>
  <si>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</si>
  <si>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</si>
  <si>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</si>
  <si>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</si>
  <si>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</si>
  <si>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</si>
  <si>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</si>
  <si>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</si>
  <si>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</si>
  <si>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</si>
  <si>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</si>
  <si>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</si>
  <si>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</si>
  <si>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</si>
  <si>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</si>
  <si>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</si>
  <si>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</si>
  <si>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</si>
  <si>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</si>
  <si>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T005415</t>
  </si>
  <si>
    <t>T005416</t>
  </si>
  <si>
    <t>T005417</t>
  </si>
  <si>
    <t>T005418</t>
  </si>
  <si>
    <t>T005419</t>
  </si>
  <si>
    <t>T005420</t>
  </si>
  <si>
    <t>T005421</t>
  </si>
  <si>
    <t>T005422</t>
  </si>
  <si>
    <t>T005423</t>
  </si>
  <si>
    <t>T005424</t>
  </si>
  <si>
    <t>T005425</t>
  </si>
  <si>
    <t>T005426</t>
  </si>
  <si>
    <t>T005427</t>
  </si>
  <si>
    <t>T005428</t>
  </si>
  <si>
    <t>T005429</t>
  </si>
  <si>
    <t>T005430</t>
  </si>
  <si>
    <t>T005431</t>
  </si>
  <si>
    <t>T005432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</si>
  <si>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</si>
  <si>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</si>
  <si>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</si>
  <si>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</si>
  <si>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</si>
  <si>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</si>
  <si>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</si>
  <si>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</si>
  <si>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T005441</t>
  </si>
  <si>
    <t>T005442</t>
  </si>
  <si>
    <t>T005443</t>
  </si>
  <si>
    <t>T005444</t>
  </si>
  <si>
    <t>T005445</t>
  </si>
  <si>
    <t>T005446</t>
  </si>
  <si>
    <t>T005447</t>
  </si>
  <si>
    <t>T005448</t>
  </si>
  <si>
    <t>T005449</t>
  </si>
  <si>
    <t>T005450</t>
  </si>
  <si>
    <t>T005451</t>
  </si>
  <si>
    <t>T005452</t>
  </si>
  <si>
    <t>T005453</t>
  </si>
  <si>
    <t>T005454</t>
  </si>
  <si>
    <t>T005455</t>
  </si>
  <si>
    <t>T005456</t>
  </si>
  <si>
    <t>T005457</t>
  </si>
  <si>
    <t>T005458</t>
  </si>
  <si>
    <t>T005459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</si>
  <si>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</si>
  <si>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</si>
  <si>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</si>
  <si>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</si>
  <si>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</si>
  <si>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</si>
  <si>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</si>
  <si>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</si>
  <si>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</si>
  <si>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</si>
  <si>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</si>
  <si>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</si>
  <si>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</si>
  <si>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</si>
  <si>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T005474</t>
  </si>
  <si>
    <t>T005475</t>
  </si>
  <si>
    <t>T005476</t>
  </si>
  <si>
    <t>T005477</t>
  </si>
  <si>
    <t>T005478</t>
  </si>
  <si>
    <t>T005479</t>
  </si>
  <si>
    <t>T005480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</si>
  <si>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</si>
  <si>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</si>
  <si>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</si>
  <si>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</si>
  <si>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</si>
  <si>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</si>
  <si>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</si>
  <si>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</si>
  <si>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T005489</t>
  </si>
  <si>
    <t>T005490</t>
  </si>
  <si>
    <t>T005491</t>
  </si>
  <si>
    <t>T005492</t>
  </si>
  <si>
    <t>T005493</t>
  </si>
  <si>
    <t>T005494</t>
  </si>
  <si>
    <t>T005495</t>
  </si>
  <si>
    <t>T005496</t>
  </si>
  <si>
    <t>T005497</t>
  </si>
  <si>
    <t>T005498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</si>
  <si>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</si>
  <si>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</si>
  <si>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</si>
  <si>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</si>
  <si>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</si>
  <si>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</si>
  <si>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</si>
  <si>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</si>
  <si>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T005507</t>
  </si>
  <si>
    <t>T005508</t>
  </si>
  <si>
    <t>T005509</t>
  </si>
  <si>
    <t>T005510</t>
  </si>
  <si>
    <t>T005511</t>
  </si>
  <si>
    <t>T005512</t>
  </si>
  <si>
    <t>T005513</t>
  </si>
  <si>
    <t>T005514</t>
  </si>
  <si>
    <t>T005515</t>
  </si>
  <si>
    <t>T005516</t>
  </si>
  <si>
    <t>T005517</t>
  </si>
  <si>
    <t>T005518</t>
  </si>
  <si>
    <t>T005519</t>
  </si>
  <si>
    <t>T005520</t>
  </si>
  <si>
    <t>T005521</t>
  </si>
  <si>
    <t>T005522</t>
  </si>
  <si>
    <t>T005523</t>
  </si>
  <si>
    <t>T005524</t>
  </si>
  <si>
    <t>T005525</t>
  </si>
  <si>
    <t>T005526</t>
  </si>
  <si>
    <t>T005527</t>
  </si>
  <si>
    <t>T005528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</si>
  <si>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</si>
  <si>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</si>
  <si>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</si>
  <si>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</si>
  <si>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</si>
  <si>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</si>
  <si>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</si>
  <si>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</si>
  <si>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</si>
  <si>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</si>
  <si>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</si>
  <si>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</si>
  <si>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T005541</t>
  </si>
  <si>
    <t>T005542</t>
  </si>
  <si>
    <t>T005543</t>
  </si>
  <si>
    <t>T005544</t>
  </si>
  <si>
    <t>T005545</t>
  </si>
  <si>
    <t>T005546</t>
  </si>
  <si>
    <t>T005547</t>
  </si>
  <si>
    <t>T005548</t>
  </si>
  <si>
    <t>T005549</t>
  </si>
  <si>
    <t>T005550</t>
  </si>
  <si>
    <t>T005551</t>
  </si>
  <si>
    <t>T005552</t>
  </si>
  <si>
    <t>T005553</t>
  </si>
  <si>
    <t>T005554</t>
  </si>
  <si>
    <t>T005555</t>
  </si>
  <si>
    <t>T005556</t>
  </si>
  <si>
    <t>T005557</t>
  </si>
  <si>
    <t>T005558</t>
  </si>
  <si>
    <t>T005559</t>
  </si>
  <si>
    <t>T005560</t>
  </si>
  <si>
    <t>T005561</t>
  </si>
  <si>
    <t>T005562</t>
  </si>
  <si>
    <t>T005563</t>
  </si>
  <si>
    <t>T005564</t>
  </si>
  <si>
    <t>T005565</t>
  </si>
  <si>
    <t>T005566</t>
  </si>
  <si>
    <t>T005567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</si>
  <si>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</si>
  <si>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</si>
  <si>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</si>
  <si>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</si>
  <si>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</si>
  <si>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</si>
  <si>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</si>
  <si>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</si>
  <si>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</si>
  <si>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</si>
  <si>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T005579</t>
  </si>
  <si>
    <t>T005578</t>
  </si>
  <si>
    <t>T005580</t>
  </si>
  <si>
    <t>T005581</t>
  </si>
  <si>
    <t>T005582</t>
  </si>
  <si>
    <t>T005583</t>
  </si>
  <si>
    <t>T005584</t>
  </si>
  <si>
    <t>T005585</t>
  </si>
  <si>
    <t>T005586</t>
  </si>
  <si>
    <t>T005587</t>
  </si>
  <si>
    <t>T005588</t>
  </si>
  <si>
    <t>T005589</t>
  </si>
  <si>
    <t>T005590</t>
  </si>
  <si>
    <t>T005591</t>
  </si>
  <si>
    <t>T005592</t>
  </si>
  <si>
    <t>T005593</t>
  </si>
  <si>
    <t>T005594</t>
  </si>
  <si>
    <t>T005595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</si>
  <si>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</si>
  <si>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</si>
  <si>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</si>
  <si>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</si>
  <si>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</si>
  <si>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</si>
  <si>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</si>
  <si>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</si>
  <si>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</si>
  <si>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</si>
  <si>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</si>
  <si>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</si>
  <si>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</si>
  <si>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</si>
  <si>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</si>
  <si>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</si>
  <si>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</si>
  <si>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</si>
  <si>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T005614</t>
  </si>
  <si>
    <t>T005615</t>
  </si>
  <si>
    <t>T005616</t>
  </si>
  <si>
    <t>T005617</t>
  </si>
  <si>
    <t>T005618</t>
  </si>
  <si>
    <t>T005619</t>
  </si>
  <si>
    <t>T005620</t>
  </si>
  <si>
    <t>T005621</t>
  </si>
  <si>
    <t>T005622</t>
  </si>
  <si>
    <t>T005623</t>
  </si>
  <si>
    <t>T005624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</si>
  <si>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</si>
  <si>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</si>
  <si>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</si>
  <si>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</si>
  <si>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</si>
  <si>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</si>
  <si>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</si>
  <si>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</si>
  <si>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</si>
  <si>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</si>
  <si>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</si>
  <si>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</si>
  <si>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</si>
  <si>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</si>
  <si>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</si>
  <si>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</si>
  <si>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</si>
  <si>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</si>
  <si>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</si>
  <si>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</si>
  <si>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</si>
  <si>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</si>
  <si>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</si>
  <si>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T005648</t>
  </si>
  <si>
    <t>T005649</t>
  </si>
  <si>
    <t>T005650</t>
  </si>
  <si>
    <t>T005651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</si>
  <si>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</si>
  <si>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</si>
  <si>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</si>
  <si>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</si>
  <si>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</si>
  <si>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</si>
  <si>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</si>
  <si>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</si>
  <si>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</si>
  <si>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</si>
  <si>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</si>
  <si>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</si>
  <si>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</si>
  <si>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T005665</t>
  </si>
  <si>
    <t>T005666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</si>
  <si>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</si>
  <si>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</si>
  <si>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</si>
  <si>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</si>
  <si>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</si>
  <si>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</si>
  <si>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</si>
  <si>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</si>
  <si>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</si>
  <si>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</si>
  <si>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</si>
  <si>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</si>
  <si>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</si>
  <si>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</si>
  <si>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</si>
  <si>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</si>
  <si>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T005683</t>
  </si>
  <si>
    <t>T005684</t>
  </si>
  <si>
    <t>T005685</t>
  </si>
  <si>
    <t>T005686</t>
  </si>
  <si>
    <t>T005687</t>
  </si>
  <si>
    <t>T005688</t>
  </si>
  <si>
    <t>T005690</t>
  </si>
  <si>
    <t>T005689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</si>
  <si>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</si>
  <si>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</si>
  <si>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</si>
  <si>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</si>
  <si>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</si>
  <si>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</si>
  <si>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</si>
  <si>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</si>
  <si>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</si>
  <si>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</si>
  <si>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</si>
  <si>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</si>
  <si>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T005703</t>
  </si>
  <si>
    <t>T005704</t>
  </si>
  <si>
    <t>T005705</t>
  </si>
  <si>
    <t>T005706</t>
  </si>
  <si>
    <t>T005707</t>
  </si>
  <si>
    <t>T005708</t>
  </si>
  <si>
    <t>T005709</t>
  </si>
  <si>
    <t>T005710</t>
  </si>
  <si>
    <t>T005711</t>
  </si>
  <si>
    <t>T005712</t>
  </si>
  <si>
    <t>T005713</t>
  </si>
  <si>
    <t>T005714</t>
  </si>
  <si>
    <t>T005715</t>
  </si>
  <si>
    <t>T005716</t>
  </si>
  <si>
    <t>T005717</t>
  </si>
  <si>
    <t>T005718</t>
  </si>
  <si>
    <t>T005719</t>
  </si>
  <si>
    <t>T005720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</si>
  <si>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</si>
  <si>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</si>
  <si>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</si>
  <si>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</si>
  <si>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</si>
  <si>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</si>
  <si>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</si>
  <si>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</si>
  <si>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</si>
  <si>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</si>
  <si>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</si>
  <si>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T005732</t>
  </si>
  <si>
    <t>T005733</t>
  </si>
  <si>
    <t>T005734</t>
  </si>
  <si>
    <t>T005735</t>
  </si>
  <si>
    <t>T005736</t>
  </si>
  <si>
    <t>T005737</t>
  </si>
  <si>
    <t>T005738</t>
  </si>
  <si>
    <t>T005740</t>
  </si>
  <si>
    <t>T005739</t>
  </si>
  <si>
    <t>T005741</t>
  </si>
  <si>
    <t>T005742</t>
  </si>
  <si>
    <t>T005743</t>
  </si>
  <si>
    <t>T005744</t>
  </si>
  <si>
    <t>T005745</t>
  </si>
  <si>
    <t>T005746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</si>
  <si>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</si>
  <si>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</si>
  <si>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</si>
  <si>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</si>
  <si>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</si>
  <si>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</si>
  <si>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</si>
  <si>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</si>
  <si>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</si>
  <si>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</si>
  <si>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</si>
  <si>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</si>
  <si>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</si>
  <si>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</si>
  <si>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</si>
  <si>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</si>
  <si>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</si>
  <si>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</si>
  <si>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</si>
  <si>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T005766</t>
  </si>
  <si>
    <t>T005767</t>
  </si>
  <si>
    <t>T005768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</si>
  <si>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</si>
  <si>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</si>
  <si>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</si>
  <si>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</si>
  <si>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</si>
  <si>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</si>
  <si>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</si>
  <si>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</si>
  <si>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</si>
  <si>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</si>
  <si>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</si>
  <si>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</si>
  <si>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</si>
  <si>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T005782</t>
  </si>
  <si>
    <t>T005783</t>
  </si>
  <si>
    <t>T005784</t>
  </si>
  <si>
    <t>T005785</t>
  </si>
  <si>
    <t>T005786</t>
  </si>
  <si>
    <t>T005787</t>
  </si>
  <si>
    <t>T005788</t>
  </si>
  <si>
    <t>T005789</t>
  </si>
  <si>
    <t>T005790</t>
  </si>
  <si>
    <t>T005791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</si>
  <si>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</si>
  <si>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</si>
  <si>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</si>
  <si>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</si>
  <si>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</si>
  <si>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</si>
  <si>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</si>
  <si>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</si>
  <si>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</si>
  <si>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</si>
  <si>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</si>
  <si>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</si>
  <si>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</si>
  <si>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</si>
  <si>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</si>
  <si>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</si>
  <si>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</si>
  <si>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</si>
  <si>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</si>
  <si>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</si>
  <si>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</si>
  <si>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</si>
  <si>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</si>
  <si>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</si>
  <si>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</si>
  <si>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</si>
  <si>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</si>
  <si>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</si>
  <si>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</si>
  <si>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</si>
  <si>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</si>
  <si>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</si>
  <si>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</si>
  <si>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</si>
  <si>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</si>
  <si>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</si>
  <si>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</si>
  <si>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</si>
  <si>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</si>
  <si>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</si>
  <si>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</si>
  <si>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</si>
  <si>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</si>
  <si>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</si>
  <si>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</si>
  <si>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</si>
  <si>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</si>
  <si>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</si>
  <si>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</si>
  <si>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T005841</t>
  </si>
  <si>
    <t>T005842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</si>
  <si>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</si>
  <si>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</si>
  <si>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</si>
  <si>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</si>
  <si>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</si>
  <si>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</si>
  <si>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</si>
  <si>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</si>
  <si>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T005851</t>
  </si>
  <si>
    <t>T005852</t>
  </si>
  <si>
    <t>T005853</t>
  </si>
  <si>
    <t>T005854</t>
  </si>
  <si>
    <t>T005855</t>
  </si>
  <si>
    <t>T005856</t>
  </si>
  <si>
    <t>T005857</t>
  </si>
  <si>
    <t>T005858</t>
  </si>
  <si>
    <t>T005859</t>
  </si>
  <si>
    <t>T005860</t>
  </si>
  <si>
    <t>T005861</t>
  </si>
  <si>
    <t>T005862</t>
  </si>
  <si>
    <t>T005863</t>
  </si>
  <si>
    <t>T005864</t>
  </si>
  <si>
    <t>T005865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</si>
  <si>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</si>
  <si>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</si>
  <si>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</si>
  <si>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</si>
  <si>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</si>
  <si>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</si>
  <si>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</si>
  <si>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</si>
  <si>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</si>
  <si>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</si>
  <si>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</si>
  <si>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</si>
  <si>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</si>
  <si>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</si>
  <si>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</si>
  <si>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</si>
  <si>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</si>
  <si>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</si>
  <si>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</si>
  <si>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</si>
  <si>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</si>
  <si>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</si>
  <si>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</si>
  <si>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</si>
  <si>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</si>
  <si>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</si>
  <si>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</si>
  <si>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</si>
  <si>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</si>
  <si>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</si>
  <si>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</si>
  <si>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</si>
  <si>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</si>
  <si>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</si>
  <si>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</si>
  <si>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</si>
  <si>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</si>
  <si>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</si>
  <si>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</si>
  <si>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</si>
  <si>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T005906</t>
  </si>
  <si>
    <t>T005907</t>
  </si>
  <si>
    <t>T005908</t>
  </si>
  <si>
    <t>T005909</t>
  </si>
  <si>
    <t>T005910</t>
  </si>
  <si>
    <t>T005911</t>
  </si>
  <si>
    <t>T005912</t>
  </si>
  <si>
    <t>T005913</t>
  </si>
  <si>
    <t>T005914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</si>
  <si>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</si>
  <si>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</si>
  <si>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</si>
  <si>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</si>
  <si>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</si>
  <si>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</si>
  <si>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</si>
  <si>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</si>
  <si>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</si>
  <si>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</si>
  <si>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</si>
  <si>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T005926</t>
  </si>
  <si>
    <t>T005927</t>
  </si>
  <si>
    <t>T005928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</si>
  <si>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</si>
  <si>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</si>
  <si>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</si>
  <si>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</si>
  <si>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</si>
  <si>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</si>
  <si>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</si>
  <si>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</si>
  <si>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</si>
  <si>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</si>
  <si>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</si>
  <si>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T005940</t>
  </si>
  <si>
    <t>T005941</t>
  </si>
  <si>
    <t>T005942</t>
  </si>
  <si>
    <t>T005943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</si>
  <si>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</si>
  <si>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</si>
  <si>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</si>
  <si>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</si>
  <si>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</si>
  <si>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</si>
  <si>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</si>
  <si>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</si>
  <si>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</si>
  <si>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</si>
  <si>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</si>
  <si>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</si>
  <si>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</si>
  <si>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</si>
  <si>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</si>
  <si>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</si>
  <si>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</si>
  <si>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</si>
  <si>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</si>
  <si>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</si>
  <si>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</si>
  <si>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</si>
  <si>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</si>
  <si>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</si>
  <si>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</si>
  <si>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</si>
  <si>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</si>
  <si>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</si>
  <si>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</si>
  <si>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</si>
  <si>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</si>
  <si>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</si>
  <si>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</si>
  <si>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</si>
  <si>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</si>
  <si>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</si>
  <si>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</si>
  <si>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</si>
  <si>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T005982</t>
  </si>
  <si>
    <t>T005983</t>
  </si>
  <si>
    <t>T005984</t>
  </si>
  <si>
    <t>T005985</t>
  </si>
  <si>
    <t>T005986</t>
  </si>
  <si>
    <t>T005987</t>
  </si>
  <si>
    <t>T005988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</si>
  <si>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</si>
  <si>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</si>
  <si>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</si>
  <si>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</si>
  <si>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</si>
  <si>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</si>
  <si>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</si>
  <si>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</si>
  <si>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</si>
  <si>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</si>
  <si>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</si>
  <si>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</si>
  <si>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Texas</t>
  </si>
  <si>
    <t>Southeast</t>
  </si>
  <si>
    <t>Midwest</t>
  </si>
  <si>
    <t>West</t>
  </si>
  <si>
    <t>Northeast</t>
  </si>
  <si>
    <t>Slow Speeds</t>
  </si>
  <si>
    <t>Billing</t>
  </si>
  <si>
    <t>TV/Video</t>
  </si>
  <si>
    <t>Equipment</t>
  </si>
  <si>
    <t>New Install</t>
  </si>
  <si>
    <t>Mobile</t>
  </si>
  <si>
    <t>Internet Outage</t>
  </si>
  <si>
    <t>Phone</t>
  </si>
  <si>
    <t>Chat</t>
  </si>
  <si>
    <t>Field Visit</t>
  </si>
  <si>
    <t>Email</t>
  </si>
  <si>
    <t>Low</t>
  </si>
  <si>
    <t>Medium</t>
  </si>
  <si>
    <t>High</t>
  </si>
  <si>
    <t>A015</t>
  </si>
  <si>
    <t>A010</t>
  </si>
  <si>
    <t>A009</t>
  </si>
  <si>
    <t>A052</t>
  </si>
  <si>
    <t>A044</t>
  </si>
  <si>
    <t>A012</t>
  </si>
  <si>
    <t>A028</t>
  </si>
  <si>
    <t>A041</t>
  </si>
  <si>
    <t>A047</t>
  </si>
  <si>
    <t>A003</t>
  </si>
  <si>
    <t>A023</t>
  </si>
  <si>
    <t>A025</t>
  </si>
  <si>
    <t>A005</t>
  </si>
  <si>
    <t>A053</t>
  </si>
  <si>
    <t>A020</t>
  </si>
  <si>
    <t>A038</t>
  </si>
  <si>
    <t>A022</t>
  </si>
  <si>
    <t>A057</t>
  </si>
  <si>
    <t>A014</t>
  </si>
  <si>
    <t>A007</t>
  </si>
  <si>
    <t>A021</t>
  </si>
  <si>
    <t>A051</t>
  </si>
  <si>
    <t>A017</t>
  </si>
  <si>
    <t>A058</t>
  </si>
  <si>
    <t>A043</t>
  </si>
  <si>
    <t>A001</t>
  </si>
  <si>
    <t>A008</t>
  </si>
  <si>
    <t>A046</t>
  </si>
  <si>
    <t>A013</t>
  </si>
  <si>
    <t>A050</t>
  </si>
  <si>
    <t>A004</t>
  </si>
  <si>
    <t>A030</t>
  </si>
  <si>
    <t>A024</t>
  </si>
  <si>
    <t>A026</t>
  </si>
  <si>
    <t>A037</t>
  </si>
  <si>
    <t>A027</t>
  </si>
  <si>
    <t>A040</t>
  </si>
  <si>
    <t>A002</t>
  </si>
  <si>
    <t>A031</t>
  </si>
  <si>
    <t>A054</t>
  </si>
  <si>
    <t>A060</t>
  </si>
  <si>
    <t>A035</t>
  </si>
  <si>
    <t>A048</t>
  </si>
  <si>
    <t>A056</t>
  </si>
  <si>
    <t>A006</t>
  </si>
  <si>
    <t>A032</t>
  </si>
  <si>
    <t>A039</t>
  </si>
  <si>
    <t>A011</t>
  </si>
  <si>
    <t>A029</t>
  </si>
  <si>
    <t>A036</t>
  </si>
  <si>
    <t>A018</t>
  </si>
  <si>
    <t>A016</t>
  </si>
  <si>
    <t>A059</t>
  </si>
  <si>
    <t>A033</t>
  </si>
  <si>
    <t>A042</t>
  </si>
  <si>
    <t>A045</t>
  </si>
  <si>
    <t>A049</t>
  </si>
  <si>
    <t>A055</t>
  </si>
  <si>
    <t>A034</t>
  </si>
  <si>
    <t>A019</t>
  </si>
  <si>
    <t>0-6 months</t>
  </si>
  <si>
    <t>2+ years</t>
  </si>
  <si>
    <t>6-24 months</t>
  </si>
  <si>
    <t>Yes</t>
  </si>
  <si>
    <t>No</t>
  </si>
  <si>
    <t>Closed</t>
  </si>
  <si>
    <t>Open</t>
  </si>
  <si>
    <t>Month Name</t>
  </si>
  <si>
    <t>Month</t>
  </si>
  <si>
    <t>Year</t>
  </si>
  <si>
    <t>FCR Flag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</si>
  <si>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</si>
  <si>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</si>
  <si>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</si>
  <si>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</si>
  <si>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</si>
  <si>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</si>
  <si>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</si>
  <si>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</si>
  <si>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</si>
  <si>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SlA Flag</t>
  </si>
  <si>
    <t>Row Labels</t>
  </si>
  <si>
    <t>Grand Total</t>
  </si>
  <si>
    <t>Average of SlA Flag</t>
  </si>
  <si>
    <t>Column Labels</t>
  </si>
  <si>
    <t>Count of Ticket ID</t>
  </si>
  <si>
    <t>3-Jan</t>
  </si>
  <si>
    <t>5-Jan</t>
  </si>
  <si>
    <t>6-Jan</t>
  </si>
  <si>
    <t>10-Jan</t>
  </si>
  <si>
    <t>13-Jan</t>
  </si>
  <si>
    <t>15-Jan</t>
  </si>
  <si>
    <t>20-Jan</t>
  </si>
  <si>
    <t>25-Jan</t>
  </si>
  <si>
    <t>27-Jan</t>
  </si>
  <si>
    <t>29-Jan</t>
  </si>
  <si>
    <t>12-Jan</t>
  </si>
  <si>
    <t>22-Jan</t>
  </si>
  <si>
    <t>24-Jan</t>
  </si>
  <si>
    <t>28-Jan</t>
  </si>
  <si>
    <t>30-Jan</t>
  </si>
  <si>
    <t>21-Jan</t>
  </si>
  <si>
    <t>31-Jan</t>
  </si>
  <si>
    <t>8-Jan</t>
  </si>
  <si>
    <t>1-Mar</t>
  </si>
  <si>
    <t>4-Mar</t>
  </si>
  <si>
    <t>9-Mar</t>
  </si>
  <si>
    <t>12-Mar</t>
  </si>
  <si>
    <t>13-Mar</t>
  </si>
  <si>
    <t>14-Mar</t>
  </si>
  <si>
    <t>15-Mar</t>
  </si>
  <si>
    <t>16-Mar</t>
  </si>
  <si>
    <t>18-Mar</t>
  </si>
  <si>
    <t>25-Mar</t>
  </si>
  <si>
    <t>30-Mar</t>
  </si>
  <si>
    <t>6-Mar</t>
  </si>
  <si>
    <t>10-Mar</t>
  </si>
  <si>
    <t>11-Mar</t>
  </si>
  <si>
    <t>20-Mar</t>
  </si>
  <si>
    <t>5-Mar</t>
  </si>
  <si>
    <t>23-Mar</t>
  </si>
  <si>
    <t>28-Mar</t>
  </si>
  <si>
    <t>1-Feb</t>
  </si>
  <si>
    <t>3-Feb</t>
  </si>
  <si>
    <t>7-Feb</t>
  </si>
  <si>
    <t>8-Feb</t>
  </si>
  <si>
    <t>11-Feb</t>
  </si>
  <si>
    <t>14-Feb</t>
  </si>
  <si>
    <t>16-Feb</t>
  </si>
  <si>
    <t>17-Feb</t>
  </si>
  <si>
    <t>19-Feb</t>
  </si>
  <si>
    <t>20-Feb</t>
  </si>
  <si>
    <t>23-Feb</t>
  </si>
  <si>
    <t>25-Feb</t>
  </si>
  <si>
    <t>28-Feb</t>
  </si>
  <si>
    <t>2-Apr</t>
  </si>
  <si>
    <t>3-Apr</t>
  </si>
  <si>
    <t>7-Apr</t>
  </si>
  <si>
    <t>10-Apr</t>
  </si>
  <si>
    <t>11-Apr</t>
  </si>
  <si>
    <t>12-Apr</t>
  </si>
  <si>
    <t>14-Apr</t>
  </si>
  <si>
    <t>15-Apr</t>
  </si>
  <si>
    <t>16-Apr</t>
  </si>
  <si>
    <t>18-Apr</t>
  </si>
  <si>
    <t>22-Apr</t>
  </si>
  <si>
    <t>25-Apr</t>
  </si>
  <si>
    <t>27-Apr</t>
  </si>
  <si>
    <t>29-Apr</t>
  </si>
  <si>
    <t>30-Apr</t>
  </si>
  <si>
    <t>Total Tickets</t>
  </si>
  <si>
    <t>First contact resolution</t>
  </si>
  <si>
    <t>SLA Rate Avg</t>
  </si>
  <si>
    <t>Avg CSAT</t>
  </si>
  <si>
    <t>Avg resolution time (hrs)</t>
  </si>
  <si>
    <t>Southeast outage SLA Mar</t>
  </si>
  <si>
    <t>Open tickets</t>
  </si>
  <si>
    <t>High priority SLA rate</t>
  </si>
  <si>
    <t>Customer Service Operations Data Dashboard</t>
  </si>
  <si>
    <t>High Priority SLA Rate</t>
  </si>
  <si>
    <t>Southeast Outage SLA (Mar)</t>
  </si>
  <si>
    <t>Avg SLA Rate</t>
  </si>
  <si>
    <t>Avg Resolution Time (hrs)</t>
  </si>
  <si>
    <t>(Multiple Items)</t>
  </si>
  <si>
    <t>0-6 Months</t>
  </si>
  <si>
    <t>6-24 Months</t>
  </si>
  <si>
    <t>2+ Years</t>
  </si>
  <si>
    <t>KPI Definitions</t>
  </si>
  <si>
    <t xml:space="preserve">First Contact Resolution </t>
  </si>
  <si>
    <t>Avg Resolution time (hrs)</t>
  </si>
  <si>
    <r>
      <rPr>
        <b/>
        <sz val="11"/>
        <color theme="1"/>
        <rFont val="Calibri"/>
        <family val="2"/>
        <scheme val="minor"/>
      </rPr>
      <t>KPI</t>
    </r>
    <r>
      <rPr>
        <sz val="11"/>
        <color theme="1"/>
        <rFont val="Calibri"/>
        <family val="2"/>
        <scheme val="minor"/>
      </rPr>
      <t xml:space="preserve">   </t>
    </r>
  </si>
  <si>
    <t>What it measures</t>
  </si>
  <si>
    <t xml:space="preserve">How its calculated </t>
  </si>
  <si>
    <t>My number</t>
  </si>
  <si>
    <t>What it tells me</t>
  </si>
  <si>
    <t>6,000 Tickets</t>
  </si>
  <si>
    <t>26.1 hrs</t>
  </si>
  <si>
    <t>How large is the sample I'm analyzing?</t>
  </si>
  <si>
    <t>What share of tickets misses its target? About 1 in 3</t>
  </si>
  <si>
    <t>What is the percentage of customers who need to contact support again?</t>
  </si>
  <si>
    <t>How does it compare with overall rate, and why is that a concern?</t>
  </si>
  <si>
    <t>What's different about this number from the other five? Their was a spike.</t>
  </si>
  <si>
    <t>What is the average hiding? There is some spike days with very long times.</t>
  </si>
  <si>
    <t>Average time each ticket gets fixed by agents, from when the ticket is created to when it is resolved.</t>
  </si>
  <si>
    <t>Total number of support tickets in the dataset</t>
  </si>
  <si>
    <t>The average percent of tickets resolved within their target time.</t>
  </si>
  <si>
    <t>Percentage of ticket solved on the first contact by the agents.</t>
  </si>
  <si>
    <t xml:space="preserve">The percentage of high priority Service level agreement resolved within 4 hour mark. </t>
  </si>
  <si>
    <t>Southeast Internet Outage tickets, March.</t>
  </si>
  <si>
    <t>Used Counta to count every row in the clean data</t>
  </si>
  <si>
    <t>Used average function uses 1 = met target, 0 = missed and then open tickets are left blanked</t>
  </si>
  <si>
    <t>Used average function used 1 = resolved first contact, 0 = not</t>
  </si>
  <si>
    <t>Used average function open tickets are left blank and skipped</t>
  </si>
  <si>
    <t>Used averageifs to find only where rows priority = High</t>
  </si>
  <si>
    <t xml:space="preserve">Used averageifs for only rows where region = southeast, issue category = Internet Outage, and Month = 3 </t>
  </si>
  <si>
    <t>Issue</t>
  </si>
  <si>
    <t>Where</t>
  </si>
  <si>
    <t>Rows Affected</t>
  </si>
  <si>
    <t xml:space="preserve">What I did </t>
  </si>
  <si>
    <t>Why</t>
  </si>
  <si>
    <t>Duplicate Ticket IDs</t>
  </si>
  <si>
    <t>Removed Duplicates</t>
  </si>
  <si>
    <t xml:space="preserve">So the data can be cleaner </t>
  </si>
  <si>
    <t>Inconsistent Region Labels</t>
  </si>
  <si>
    <t>I standardized the rows only to Northeast, Southeast, Midwest, Texas, West</t>
  </si>
  <si>
    <t>So all the formatting can be the same easier to look at</t>
  </si>
  <si>
    <t>Open tickets no resolution time</t>
  </si>
  <si>
    <t>As of Sep 30th, the tickets are still open because they have no resolved time. Avg resolution time and SLA rate skip blank cells so they don’t distort those KPI's.</t>
  </si>
  <si>
    <t xml:space="preserve">About 20 </t>
  </si>
  <si>
    <t>Resolution Timestamp, Resolution Hours</t>
  </si>
  <si>
    <t>Blank CSAT scores</t>
  </si>
  <si>
    <t>The CSAT Score column</t>
  </si>
  <si>
    <t>It affected 2050 rows blank</t>
  </si>
  <si>
    <t>I left the rows blank all</t>
  </si>
  <si>
    <t>Left them in the data and left the cells blank</t>
  </si>
  <si>
    <t xml:space="preserve">These are blank because the customer did not submit a customer satisfaction score out of 5, so dropping them would drop a lot of avg csat by a lot considering there is 2050 rows empty and delete real tickets customers submitted </t>
  </si>
  <si>
    <t>Resolution hours of -1</t>
  </si>
  <si>
    <t>Resolution time in hrs</t>
  </si>
  <si>
    <t>about 15</t>
  </si>
  <si>
    <t>I replaced all the blanks with null if it was a negative number</t>
  </si>
  <si>
    <t>I replaced all -1 in resolution time with nulls considering it doesn't make sense how it can be negative the time the ticket was resolved</t>
  </si>
  <si>
    <t xml:space="preserve">Resolved time earlier than created time </t>
  </si>
  <si>
    <t>Created Timestamp, Resolved Timestamp</t>
  </si>
  <si>
    <t>I left the rows how they are but, I acknowledged them</t>
  </si>
  <si>
    <t>I kept these 25 tickets because they are real customers tickets and deleting them would understate the volume. In a real setting, I would send these rows to the data owner to correct the timestamps.</t>
  </si>
  <si>
    <t>40 rows</t>
  </si>
  <si>
    <t>60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</si>
</sst>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30"/>
      <color rgb="FF1F3864"/>
      <name val="Times New Roman"/>
      <family val="1"/>
    </font>
    <font>
      <b/>
      <sz val="35"/>
      <color theme="3" tint="-0.499984740745262"/>
      <name val="Times New Roman"/>
      <family val="1"/>
    </font>
    <font>
      <b/>
      <sz val="15"/>
      <color theme="1"/>
      <name val="Times New Roman"/>
      <family val="1"/>
    </font>
    <font>
      <sz val="2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2" fillId="0" borderId="0" xfId="1" applyFont="1"/>
    <xf numFmtId="164" fontId="0" fillId="0" borderId="0" xfId="0" applyNumberFormat="1"/>
    <xf numFmtId="164" fontId="0" fillId="0" borderId="0" xfId="1" applyNumberFormat="1" applyFont="1"/>
    <xf numFmtId="2" fontId="0" fillId="0" borderId="0" xfId="0" applyNumberFormat="1"/>
    <xf numFmtId="0" fontId="0" fillId="2" borderId="0" xfId="0" applyFill="1"/>
    <xf numFmtId="0" fontId="3" fillId="2" borderId="0" xfId="0" applyFont="1" applyFill="1"/>
    <xf numFmtId="0" fontId="5" fillId="2" borderId="0" xfId="0" applyFont="1" applyFill="1"/>
    <xf numFmtId="3" fontId="4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wrapText="1"/>
    </xf>
    <xf numFmtId="0" fontId="7" fillId="0" borderId="0" xfId="0" applyFont="1"/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17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</dxfs>
  <tableStyles count="0" defaultTableStyle="TableStyleMedium9" defaultPivotStyle="PivotStyleLight16"/>
  <colors>
    <mruColors>
      <color rgb="FF1F3864"/>
      <color rgb="FF2E75B6"/>
      <color rgb="FFED7D31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[service_ops_dataset.xlsx]Pivot - SLA by Priority!PivotTable3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>
                <a:solidFill>
                  <a:srgbClr val="1F3864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Service Level Agreement rate by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- SLA by Priority'!$B$3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D53-4114-8553-633F19431440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D53-4114-8553-633F19431440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D53-4114-8553-633F194314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- SLA by Priority'!$A$4:$A$7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'Pivot - SLA by Priority'!$B$4:$B$7</c:f>
              <c:numCache>
                <c:formatCode>0.00%</c:formatCode>
                <c:ptCount val="3"/>
                <c:pt idx="0">
                  <c:v>9.3970242756460459E-2</c:v>
                </c:pt>
                <c:pt idx="1">
                  <c:v>0.70423572744014729</c:v>
                </c:pt>
                <c:pt idx="2">
                  <c:v>0.92093258996452099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53-4114-8553-633F1943144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701050272"/>
        <c:axId val="4525231"/>
      </c:barChart>
      <c:catAx>
        <c:axId val="170105027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231"/>
        <c:crosses val="autoZero"/>
        <c:auto val="1"/>
        <c:lblAlgn val="ctr"/>
        <c:lblOffset val="100"/>
        <c:noMultiLvlLbl val="0"/>
      </c:catAx>
      <c:valAx>
        <c:axId val="4525231"/>
        <c:scaling>
          <c:orientation val="minMax"/>
        </c:scaling>
        <c:delete val="0"/>
        <c:axPos val="t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050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[service_ops_dataset.xlsx]SLA Rate by Region!PivotTable6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1">
                <a:solidFill>
                  <a:srgbClr val="1F3864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Southeast has the lowest SLA</a:t>
            </a:r>
            <a:r>
              <a:rPr lang="en-US" sz="2000" b="1" baseline="0">
                <a:solidFill>
                  <a:srgbClr val="1F3864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rate </a:t>
            </a:r>
            <a:endParaRPr lang="en-US" sz="2000" b="1">
              <a:solidFill>
                <a:srgbClr val="1F3864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2E75B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D31"/>
          </a:solidFill>
          <a:ln>
            <a:noFill/>
          </a:ln>
          <a:effectLst/>
        </c:spPr>
      </c:pivotFmt>
      <c:pivotFmt>
        <c:idx val="2"/>
        <c:spPr>
          <a:solidFill>
            <a:srgbClr val="2E75B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7D31"/>
          </a:solidFill>
          <a:ln>
            <a:noFill/>
          </a:ln>
          <a:effectLst/>
        </c:spPr>
      </c:pivotFmt>
      <c:pivotFmt>
        <c:idx val="4"/>
        <c:spPr>
          <a:solidFill>
            <a:srgbClr val="2E75B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D7D31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'SLA Rate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8CE-47D2-B4CF-B244DA0CC1EF}"/>
              </c:ext>
            </c:extLst>
          </c:dPt>
          <c:cat>
            <c:strRef>
              <c:f>'SLA Rate by Region'!$A$4:$A$9</c:f>
              <c:strCache>
                <c:ptCount val="5"/>
                <c:pt idx="0">
                  <c:v>Southeast</c:v>
                </c:pt>
                <c:pt idx="1">
                  <c:v>Midwest</c:v>
                </c:pt>
                <c:pt idx="2">
                  <c:v>West</c:v>
                </c:pt>
                <c:pt idx="3">
                  <c:v>Northeast</c:v>
                </c:pt>
                <c:pt idx="4">
                  <c:v>Texas</c:v>
                </c:pt>
              </c:strCache>
            </c:strRef>
          </c:cat>
          <c:val>
            <c:numRef>
              <c:f>'SLA Rate by Region'!$B$4:$B$9</c:f>
              <c:numCache>
                <c:formatCode>0.00</c:formatCode>
                <c:ptCount val="5"/>
                <c:pt idx="0">
                  <c:v>0.60248853962017024</c:v>
                </c:pt>
                <c:pt idx="1">
                  <c:v>0.62566371681415933</c:v>
                </c:pt>
                <c:pt idx="2">
                  <c:v>0.67090754877014414</c:v>
                </c:pt>
                <c:pt idx="3">
                  <c:v>0.67139656460044805</c:v>
                </c:pt>
                <c:pt idx="4">
                  <c:v>0.67341772151898738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CE-47D2-B4CF-B244DA0CC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087247"/>
        <c:axId val="4685551"/>
      </c:barChart>
      <c:catAx>
        <c:axId val="61208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5551"/>
        <c:crosses val="autoZero"/>
        <c:auto val="1"/>
        <c:lblAlgn val="ctr"/>
        <c:lblOffset val="100"/>
        <c:noMultiLvlLbl val="0"/>
      </c:catAx>
      <c:valAx>
        <c:axId val="46855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08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[service_ops_dataset.xlsx]Pivot - Southeast Outages!PivotTable7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rgbClr val="1F3864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Southeast outage tickets spiked</a:t>
            </a:r>
            <a:r>
              <a:rPr lang="en-US" sz="2000" b="1" baseline="0">
                <a:solidFill>
                  <a:srgbClr val="1F3864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March 9-15</a:t>
            </a:r>
            <a:endParaRPr lang="en-US" sz="2000" b="1">
              <a:solidFill>
                <a:srgbClr val="1F3864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0826504608435573"/>
          <c:y val="3.74637772927390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- Southeast Outages'!$B$5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- Southeast Outages'!$A$6:$A$70</c:f>
              <c:strCache>
                <c:ptCount val="64"/>
                <c:pt idx="0">
                  <c:v>3-Jan</c:v>
                </c:pt>
                <c:pt idx="1">
                  <c:v>5-Jan</c:v>
                </c:pt>
                <c:pt idx="2">
                  <c:v>6-Jan</c:v>
                </c:pt>
                <c:pt idx="3">
                  <c:v>8-Jan</c:v>
                </c:pt>
                <c:pt idx="4">
                  <c:v>10-Jan</c:v>
                </c:pt>
                <c:pt idx="5">
                  <c:v>12-Jan</c:v>
                </c:pt>
                <c:pt idx="6">
                  <c:v>13-Jan</c:v>
                </c:pt>
                <c:pt idx="7">
                  <c:v>15-Jan</c:v>
                </c:pt>
                <c:pt idx="8">
                  <c:v>20-Jan</c:v>
                </c:pt>
                <c:pt idx="9">
                  <c:v>21-Jan</c:v>
                </c:pt>
                <c:pt idx="10">
                  <c:v>22-Jan</c:v>
                </c:pt>
                <c:pt idx="11">
                  <c:v>24-Jan</c:v>
                </c:pt>
                <c:pt idx="12">
                  <c:v>25-Jan</c:v>
                </c:pt>
                <c:pt idx="13">
                  <c:v>27-Jan</c:v>
                </c:pt>
                <c:pt idx="14">
                  <c:v>28-Jan</c:v>
                </c:pt>
                <c:pt idx="15">
                  <c:v>29-Jan</c:v>
                </c:pt>
                <c:pt idx="16">
                  <c:v>30-Jan</c:v>
                </c:pt>
                <c:pt idx="17">
                  <c:v>31-Jan</c:v>
                </c:pt>
                <c:pt idx="18">
                  <c:v>1-Feb</c:v>
                </c:pt>
                <c:pt idx="19">
                  <c:v>3-Feb</c:v>
                </c:pt>
                <c:pt idx="20">
                  <c:v>7-Feb</c:v>
                </c:pt>
                <c:pt idx="21">
                  <c:v>8-Feb</c:v>
                </c:pt>
                <c:pt idx="22">
                  <c:v>11-Feb</c:v>
                </c:pt>
                <c:pt idx="23">
                  <c:v>14-Feb</c:v>
                </c:pt>
                <c:pt idx="24">
                  <c:v>16-Feb</c:v>
                </c:pt>
                <c:pt idx="25">
                  <c:v>17-Feb</c:v>
                </c:pt>
                <c:pt idx="26">
                  <c:v>19-Feb</c:v>
                </c:pt>
                <c:pt idx="27">
                  <c:v>20-Feb</c:v>
                </c:pt>
                <c:pt idx="28">
                  <c:v>23-Feb</c:v>
                </c:pt>
                <c:pt idx="29">
                  <c:v>25-Feb</c:v>
                </c:pt>
                <c:pt idx="30">
                  <c:v>28-Feb</c:v>
                </c:pt>
                <c:pt idx="31">
                  <c:v>1-Mar</c:v>
                </c:pt>
                <c:pt idx="32">
                  <c:v>4-Mar</c:v>
                </c:pt>
                <c:pt idx="33">
                  <c:v>5-Mar</c:v>
                </c:pt>
                <c:pt idx="34">
                  <c:v>6-Mar</c:v>
                </c:pt>
                <c:pt idx="35">
                  <c:v>9-Mar</c:v>
                </c:pt>
                <c:pt idx="36">
                  <c:v>10-Mar</c:v>
                </c:pt>
                <c:pt idx="37">
                  <c:v>11-Mar</c:v>
                </c:pt>
                <c:pt idx="38">
                  <c:v>12-Mar</c:v>
                </c:pt>
                <c:pt idx="39">
                  <c:v>13-Mar</c:v>
                </c:pt>
                <c:pt idx="40">
                  <c:v>14-Mar</c:v>
                </c:pt>
                <c:pt idx="41">
                  <c:v>15-Mar</c:v>
                </c:pt>
                <c:pt idx="42">
                  <c:v>16-Mar</c:v>
                </c:pt>
                <c:pt idx="43">
                  <c:v>18-Mar</c:v>
                </c:pt>
                <c:pt idx="44">
                  <c:v>20-Mar</c:v>
                </c:pt>
                <c:pt idx="45">
                  <c:v>23-Mar</c:v>
                </c:pt>
                <c:pt idx="46">
                  <c:v>25-Mar</c:v>
                </c:pt>
                <c:pt idx="47">
                  <c:v>28-Mar</c:v>
                </c:pt>
                <c:pt idx="48">
                  <c:v>30-Mar</c:v>
                </c:pt>
                <c:pt idx="49">
                  <c:v>2-Apr</c:v>
                </c:pt>
                <c:pt idx="50">
                  <c:v>3-Apr</c:v>
                </c:pt>
                <c:pt idx="51">
                  <c:v>7-Apr</c:v>
                </c:pt>
                <c:pt idx="52">
                  <c:v>10-Apr</c:v>
                </c:pt>
                <c:pt idx="53">
                  <c:v>11-Apr</c:v>
                </c:pt>
                <c:pt idx="54">
                  <c:v>12-Apr</c:v>
                </c:pt>
                <c:pt idx="55">
                  <c:v>14-Apr</c:v>
                </c:pt>
                <c:pt idx="56">
                  <c:v>15-Apr</c:v>
                </c:pt>
                <c:pt idx="57">
                  <c:v>16-Apr</c:v>
                </c:pt>
                <c:pt idx="58">
                  <c:v>18-Apr</c:v>
                </c:pt>
                <c:pt idx="59">
                  <c:v>22-Apr</c:v>
                </c:pt>
                <c:pt idx="60">
                  <c:v>25-Apr</c:v>
                </c:pt>
                <c:pt idx="61">
                  <c:v>27-Apr</c:v>
                </c:pt>
                <c:pt idx="62">
                  <c:v>29-Apr</c:v>
                </c:pt>
                <c:pt idx="63">
                  <c:v>30-Apr</c:v>
                </c:pt>
              </c:strCache>
            </c:strRef>
          </c:cat>
          <c:val>
            <c:numRef>
              <c:f>'Pivot - Southeast Outages'!$B$6:$B$70</c:f>
              <c:numCache>
                <c:formatCode>General</c:formatCode>
                <c:ptCount val="6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5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2</c:v>
                </c:pt>
                <c:pt idx="24">
                  <c:v>1</c:v>
                </c:pt>
                <c:pt idx="25">
                  <c:v>4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2</c:v>
                </c:pt>
                <c:pt idx="30">
                  <c:v>4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44</c:v>
                </c:pt>
                <c:pt idx="36">
                  <c:v>31</c:v>
                </c:pt>
                <c:pt idx="37">
                  <c:v>26</c:v>
                </c:pt>
                <c:pt idx="38">
                  <c:v>27</c:v>
                </c:pt>
                <c:pt idx="39">
                  <c:v>45</c:v>
                </c:pt>
                <c:pt idx="40">
                  <c:v>26</c:v>
                </c:pt>
                <c:pt idx="41">
                  <c:v>38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  <c:pt idx="48">
                  <c:v>1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2</c:v>
                </c:pt>
                <c:pt idx="53">
                  <c:v>1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2</c:v>
                </c:pt>
                <c:pt idx="58">
                  <c:v>4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2</c:v>
                </c:pt>
                <c:pt idx="6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E-487B-8527-39CC1342F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1910463"/>
        <c:axId val="4474351"/>
      </c:lineChart>
      <c:catAx>
        <c:axId val="611910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4351"/>
        <c:crosses val="autoZero"/>
        <c:auto val="1"/>
        <c:lblAlgn val="ctr"/>
        <c:lblOffset val="100"/>
        <c:noMultiLvlLbl val="0"/>
      </c:catAx>
      <c:valAx>
        <c:axId val="447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10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rgbClr val="1F3864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First Contact Resolution rises with agent experience</a:t>
            </a:r>
          </a:p>
        </c:rich>
      </c:tx>
      <c:layout>
        <c:manualLayout>
          <c:xMode val="edge"/>
          <c:yMode val="edge"/>
          <c:x val="0.19573184669956692"/>
          <c:y val="8.19643167172196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-First Contact Resolution'!$G$3</c:f>
              <c:strCache>
                <c:ptCount val="1"/>
                <c:pt idx="0">
                  <c:v>First Contact Resolution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-First Contact Resolution'!$F$4:$F$6</c:f>
              <c:strCache>
                <c:ptCount val="3"/>
                <c:pt idx="0">
                  <c:v>0-6 Months</c:v>
                </c:pt>
                <c:pt idx="1">
                  <c:v>6-24 Months</c:v>
                </c:pt>
                <c:pt idx="2">
                  <c:v>2+ Years</c:v>
                </c:pt>
              </c:strCache>
            </c:strRef>
          </c:cat>
          <c:val>
            <c:numRef>
              <c:f>'Pivot -First Contact Resolution'!$G$4:$G$6</c:f>
              <c:numCache>
                <c:formatCode>0.00%</c:formatCode>
                <c:ptCount val="3"/>
                <c:pt idx="0">
                  <c:v>0.57296272899557799</c:v>
                </c:pt>
                <c:pt idx="1">
                  <c:v>0.68928571428571428</c:v>
                </c:pt>
                <c:pt idx="2">
                  <c:v>0.79568579568579567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2-4F8B-92B0-13BF1970F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44511"/>
        <c:axId val="4484431"/>
      </c:barChart>
      <c:catAx>
        <c:axId val="3354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500" b="1">
                    <a:solidFill>
                      <a:srgbClr val="1F3864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Agents Experience</a:t>
                </a:r>
              </a:p>
            </c:rich>
          </c:tx>
          <c:layout>
            <c:manualLayout>
              <c:xMode val="edge"/>
              <c:yMode val="edge"/>
              <c:x val="0.42552114150471082"/>
              <c:y val="0.89970836978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4431"/>
        <c:crosses val="autoZero"/>
        <c:auto val="1"/>
        <c:lblAlgn val="ctr"/>
        <c:lblOffset val="100"/>
        <c:noMultiLvlLbl val="0"/>
      </c:catAx>
      <c:valAx>
        <c:axId val="448443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4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1059180</xdr:colOff>
      <xdr:row>4</xdr:row>
      <xdr:rowOff>167640</xdr:rowOff>
    </xdr:from>
    <xdr:to>
      <xdr:col>9</xdr:col>
      <xdr:colOff>487680</xdr:colOff>
      <xdr:row>24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CF853-EBAF-4538-805B-95111013F3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1062990</xdr:colOff>
      <xdr:row>25</xdr:row>
      <xdr:rowOff>175260</xdr:rowOff>
    </xdr:from>
    <xdr:to>
      <xdr:col>9</xdr:col>
      <xdr:colOff>502920</xdr:colOff>
      <xdr:row>48</xdr:row>
      <xdr:rowOff>34290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815FD4B-E22C-4A53-8B39-6A8497B37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</xdr:colOff>
      <xdr:row>26</xdr:row>
      <xdr:rowOff>0</xdr:rowOff>
    </xdr:from>
    <xdr:to>
      <xdr:col>4</xdr:col>
      <xdr:colOff>899160</xdr:colOff>
      <xdr:row>48</xdr:row>
      <xdr:rowOff>3810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9AD95E6-93BF-42A2-BB72-25DCBA2FA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</xdr:row>
      <xdr:rowOff>0</xdr:rowOff>
    </xdr:from>
    <xdr:to>
      <xdr:col>4</xdr:col>
      <xdr:colOff>899160</xdr:colOff>
      <xdr:row>25</xdr:row>
      <xdr:rowOff>45720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16EDB90-F705-44AB-9A3D-8A7B60D11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213360</xdr:colOff>
      <xdr:row>48</xdr:row>
      <xdr:rowOff>121920</xdr:rowOff>
    </xdr:from>
    <xdr:to>
      <xdr:col>9</xdr:col>
      <xdr:colOff>426720</xdr:colOff>
      <xdr:row>61</xdr:row>
      <xdr:rowOff>91440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4B1F446-3F55-E4D1-B6BF-8488A2001148}"/>
            </a:ext>
          </a:extLst>
        </xdr:cNvPr>
        <xdr:cNvSpPr txBox="1"/>
      </xdr:nvSpPr>
      <xdr:spPr>
        <a:xfrm>
          <a:off x="213360" y="9845040"/>
          <a:ext cx="14843760" cy="2346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50" b="1"/>
            <a:t>My Findings:</a:t>
          </a:r>
        </a:p>
        <a:p>
          <a:r>
            <a:rPr lang="en-US" sz="1450" b="1"/>
            <a:t>1. </a:t>
          </a:r>
          <a:r>
            <a:rPr lang="en-US" sz="1450"/>
            <a:t>Out of all the</a:t>
          </a:r>
          <a:r>
            <a:rPr lang="en-US" sz="1450" baseline="0"/>
            <a:t> regions the Southeast region had a big spike 252 internet outage tickets in March mostly from March 9th -15th while the other regions only had about 25 each.</a:t>
          </a:r>
          <a:endParaRPr lang="en-US" sz="145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45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r>
            <a:rPr lang="en-US" sz="145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High priority tickets must be resolved within four hours and is only at </a:t>
          </a:r>
          <a:r>
            <a:rPr lang="en-US" sz="1450" baseline="0"/>
            <a:t>9.4% meets the target , </a:t>
          </a:r>
          <a:r>
            <a:rPr lang="en-US" sz="145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while medium is 70.4% meets the target and low is at 92.1% meeting it's target, these tickets are the share of each priority ticket resolved in the target time.</a:t>
          </a:r>
        </a:p>
        <a:p>
          <a:r>
            <a:rPr lang="en-US" sz="1450" b="1" baseline="0"/>
            <a:t>3. </a:t>
          </a:r>
          <a:r>
            <a:rPr lang="en-US" sz="1450" baseline="0"/>
            <a:t>First contact resolution rises from 57.3% (0-6 months) to 68.9% (6-24 months) to 79.6% (2+ years).</a:t>
          </a:r>
        </a:p>
        <a:p>
          <a:r>
            <a:rPr lang="en-US" sz="1450" b="1" baseline="0"/>
            <a:t>Recommendation:</a:t>
          </a:r>
        </a:p>
        <a:p>
          <a:r>
            <a:rPr lang="en-US" sz="1450" baseline="0"/>
            <a:t>To improve I would make it a priority to train and mentor newer agents we should push for this so customers don't have to contact us twice for the same issue. </a:t>
          </a:r>
          <a:r>
            <a:rPr kumimoji="0" lang="en-US" sz="145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First contact resolution with agent experience </a:t>
          </a:r>
          <a:r>
            <a:rPr lang="en-US" sz="1450" baseline="0"/>
            <a:t>0-6 months experience its at 57.3% and 2+ years is at 79.6%. Also the data doesn't show why high priority service level agreement tickets miss our target of four hours by so much to be sitting at 9.4%, so I would review staffing and whether the four hour target is realistic or whether we need to change our service level agreement by priority target. This is a pattern in the data not proof of cause. 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ad Agha" refreshedDate="46309.303859143518" createdVersion="8" refreshedVersion="8" minRefreshableVersion="3" recordCount="6000" xr:uid="{E4A22B94-341D-4837-AD30-698E7D53AEE1}">
  <cacheSource type="worksheet">
    <worksheetSource name="Tickets_Clean"/>
  </cacheSource>
  <cacheFields count="23">
    <cacheField name="Ticket ID" numFmtId="0">
      <sharedItems/>
    </cacheField>
    <cacheField name="Created Timestamp" numFmtId="22">
      <sharedItems containsSemiMixedTypes="0" containsNonDate="0" containsDate="1" containsString="0" minDate="2026-01-01T04:24:00" maxDate="2026-09-30T20:03:00" count="5770">
        <d v="2026-01-01T04:24:00"/>
        <d v="2026-01-01T05:13:00"/>
        <d v="2026-01-01T07:08:00"/>
        <d v="2026-01-01T07:59:00"/>
        <d v="2026-01-01T09:03:00"/>
        <d v="2026-01-01T09:54:00"/>
        <d v="2026-01-01T10:48:00"/>
        <d v="2026-01-01T11:03:00"/>
        <d v="2026-01-01T11:24:00"/>
        <d v="2026-01-01T11:42:00"/>
        <d v="2026-01-01T11:59:00"/>
        <d v="2026-01-01T12:07:00"/>
        <d v="2026-01-01T12:11:00"/>
        <d v="2026-01-01T12:20:00"/>
        <d v="2026-01-01T13:00:00"/>
        <d v="2026-01-01T14:41:00"/>
        <d v="2026-01-01T16:22:00"/>
        <d v="2026-01-01T17:43:00"/>
        <d v="2026-01-01T18:40:00"/>
        <d v="2026-01-01T22:27:00"/>
        <d v="2026-01-02T01:06:00"/>
        <d v="2026-01-02T05:04:00"/>
        <d v="2026-01-02T09:07:00"/>
        <d v="2026-01-02T10:00:00"/>
        <d v="2026-01-02T10:45:00"/>
        <d v="2026-01-02T11:03:00"/>
        <d v="2026-01-02T11:45:00"/>
        <d v="2026-01-02T12:30:00"/>
        <d v="2026-01-02T12:36:00"/>
        <d v="2026-01-02T13:34:00"/>
        <d v="2026-01-02T15:58:00"/>
        <d v="2026-01-02T17:42:00"/>
        <d v="2026-01-02T17:44:00"/>
        <d v="2026-01-02T18:19:00"/>
        <d v="2026-01-02T23:10:00"/>
        <d v="2026-01-03T03:46:00"/>
        <d v="2026-01-03T05:05:00"/>
        <d v="2026-01-03T07:34:00"/>
        <d v="2026-01-03T08:17:00"/>
        <d v="2026-01-03T10:24:00"/>
        <d v="2026-01-03T11:50:00"/>
        <d v="2026-01-03T12:20:00"/>
        <d v="2026-01-03T12:53:00"/>
        <d v="2026-01-03T13:24:00"/>
        <d v="2026-01-03T14:47:00"/>
        <d v="2026-01-03T16:06:00"/>
        <d v="2026-01-03T17:25:00"/>
        <d v="2026-01-03T17:50:00"/>
        <d v="2026-01-03T17:56:00"/>
        <d v="2026-01-03T19:26:00"/>
        <d v="2026-01-03T21:01:00"/>
        <d v="2026-01-03T23:42:00"/>
        <d v="2026-01-04T03:04:00"/>
        <d v="2026-01-04T05:28:00"/>
        <d v="2026-01-04T07:33:00"/>
        <d v="2026-01-04T09:36:00"/>
        <d v="2026-01-04T09:39:00"/>
        <d v="2026-01-04T09:48:00"/>
        <d v="2026-01-04T09:52:00"/>
        <d v="2026-01-04T10:52:00"/>
        <d v="2026-01-04T11:30:00"/>
        <d v="2026-01-04T12:46:00"/>
        <d v="2026-01-04T13:30:00"/>
        <d v="2026-01-04T13:31:00"/>
        <d v="2026-01-04T13:38:00"/>
        <d v="2026-01-04T14:10:00"/>
        <d v="2026-01-04T14:49:00"/>
        <d v="2026-01-04T15:03:00"/>
        <d v="2026-01-04T15:59:00"/>
        <d v="2026-01-04T18:29:00"/>
        <d v="2026-01-04T18:40:00"/>
        <d v="2026-01-04T19:30:00"/>
        <d v="2026-01-04T20:44:00"/>
        <d v="2026-01-04T21:25:00"/>
        <d v="2026-01-05T06:44:00"/>
        <d v="2026-01-05T07:07:00"/>
        <d v="2026-01-05T07:41:00"/>
        <d v="2026-01-05T11:01:00"/>
        <d v="2026-01-05T11:02:00"/>
        <d v="2026-01-05T14:37:00"/>
        <d v="2026-01-05T15:07:00"/>
        <d v="2026-01-05T15:13:00"/>
        <d v="2026-01-05T15:30:00"/>
        <d v="2026-01-05T15:39:00"/>
        <d v="2026-01-05T16:05:00"/>
        <d v="2026-01-05T17:18:00"/>
        <d v="2026-01-05T17:32:00"/>
        <d v="2026-01-05T17:47:00"/>
        <d v="2026-01-05T17:57:00"/>
        <d v="2026-01-05T19:01:00"/>
        <d v="2026-01-05T19:11:00"/>
        <d v="2026-01-05T19:49:00"/>
        <d v="2026-01-06T03:08:00"/>
        <d v="2026-01-06T04:53:00"/>
        <d v="2026-01-06T06:13:00"/>
        <d v="2026-01-06T08:24:00"/>
        <d v="2026-01-06T08:51:00"/>
        <d v="2026-01-06T09:21:00"/>
        <d v="2026-01-06T10:03:00"/>
        <d v="2026-01-06T10:20:00"/>
        <d v="2026-01-06T11:54:00"/>
        <d v="2026-01-06T12:45:00"/>
        <d v="2026-01-06T12:54:00"/>
        <d v="2026-01-06T13:10:00"/>
        <d v="2026-01-06T13:34:00"/>
        <d v="2026-01-06T13:50:00"/>
        <d v="2026-01-06T14:12:00"/>
        <d v="2026-01-06T14:27:00"/>
        <d v="2026-01-06T14:28:00"/>
        <d v="2026-01-06T14:39:00"/>
        <d v="2026-01-06T14:44:00"/>
        <d v="2026-01-06T15:50:00"/>
        <d v="2026-01-06T16:05:00"/>
        <d v="2026-01-06T16:51:00"/>
        <d v="2026-01-06T17:09:00"/>
        <d v="2026-01-07T09:21:00"/>
        <d v="2026-01-07T09:41:00"/>
        <d v="2026-01-07T09:48:00"/>
        <d v="2026-01-07T10:08:00"/>
        <d v="2026-01-07T10:50:00"/>
        <d v="2026-01-07T11:02:00"/>
        <d v="2026-01-07T11:32:00"/>
        <d v="2026-01-07T11:59:00"/>
        <d v="2026-01-07T12:52:00"/>
        <d v="2026-01-07T13:36:00"/>
        <d v="2026-01-07T14:53:00"/>
        <d v="2026-01-07T16:20:00"/>
        <d v="2026-01-07T16:58:00"/>
        <d v="2026-01-07T18:09:00"/>
        <d v="2026-01-07T23:06:00"/>
        <d v="2026-01-08T04:55:00"/>
        <d v="2026-01-08T05:36:00"/>
        <d v="2026-01-08T06:07:00"/>
        <d v="2026-01-08T11:26:00"/>
        <d v="2026-01-08T11:32:00"/>
        <d v="2026-01-08T12:37:00"/>
        <d v="2026-01-08T14:50:00"/>
        <d v="2026-01-08T15:13:00"/>
        <d v="2026-01-08T15:15:00"/>
        <d v="2026-01-08T15:20:00"/>
        <d v="2026-01-08T15:47:00"/>
        <d v="2026-01-08T16:33:00"/>
        <d v="2026-01-08T17:12:00"/>
        <d v="2026-01-08T17:52:00"/>
        <d v="2026-01-08T19:22:00"/>
        <d v="2026-01-09T08:26:00"/>
        <d v="2026-01-09T09:41:00"/>
        <d v="2026-01-09T09:44:00"/>
        <d v="2026-01-09T09:50:00"/>
        <d v="2026-01-09T11:06:00"/>
        <d v="2026-01-09T11:28:00"/>
        <d v="2026-01-09T12:17:00"/>
        <d v="2026-01-09T12:56:00"/>
        <d v="2026-01-09T13:06:00"/>
        <d v="2026-01-09T14:16:00"/>
        <d v="2026-01-09T15:24:00"/>
        <d v="2026-01-09T15:31:00"/>
        <d v="2026-01-09T15:44:00"/>
        <d v="2026-01-09T16:22:00"/>
        <d v="2026-01-09T16:35:00"/>
        <d v="2026-01-09T16:50:00"/>
        <d v="2026-01-09T23:23:00"/>
        <d v="2026-01-10T03:39:00"/>
        <d v="2026-01-10T06:52:00"/>
        <d v="2026-01-10T10:05:00"/>
        <d v="2026-01-10T10:23:00"/>
        <d v="2026-01-10T10:27:00"/>
        <d v="2026-01-10T11:37:00"/>
        <d v="2026-01-10T12:11:00"/>
        <d v="2026-01-10T12:32:00"/>
        <d v="2026-01-10T13:25:00"/>
        <d v="2026-01-10T13:34:00"/>
        <d v="2026-01-10T13:54:00"/>
        <d v="2026-01-10T15:06:00"/>
        <d v="2026-01-10T15:34:00"/>
        <d v="2026-01-10T15:43:00"/>
        <d v="2026-01-10T16:55:00"/>
        <d v="2026-01-10T17:01:00"/>
        <d v="2026-01-10T17:03:00"/>
        <d v="2026-01-10T18:07:00"/>
        <d v="2026-01-10T18:52:00"/>
        <d v="2026-01-10T19:44:00"/>
        <d v="2026-01-10T20:52:00"/>
        <d v="2026-01-10T21:58:00"/>
        <d v="2026-01-10T22:12:00"/>
        <d v="2026-01-10T23:12:00"/>
        <d v="2026-01-11T03:01:00"/>
        <d v="2026-01-11T07:55:00"/>
        <d v="2026-01-11T08:20:00"/>
        <d v="2026-01-11T09:40:00"/>
        <d v="2026-01-11T11:24:00"/>
        <d v="2026-01-11T12:03:00"/>
        <d v="2026-01-11T12:43:00"/>
        <d v="2026-01-11T13:17:00"/>
        <d v="2026-01-11T13:18:00"/>
        <d v="2026-01-11T13:42:00"/>
        <d v="2026-01-11T15:05:00"/>
        <d v="2026-01-11T15:33:00"/>
        <d v="2026-01-11T15:38:00"/>
        <d v="2026-01-11T16:24:00"/>
        <d v="2026-01-11T17:05:00"/>
        <d v="2026-01-12T02:18:00"/>
        <d v="2026-01-12T06:57:00"/>
        <d v="2026-01-12T10:27:00"/>
        <d v="2026-01-12T11:02:00"/>
        <d v="2026-01-12T11:11:00"/>
        <d v="2026-01-12T11:15:00"/>
        <d v="2026-01-12T12:19:00"/>
        <d v="2026-01-12T12:43:00"/>
        <d v="2026-01-12T14:51:00"/>
        <d v="2026-01-12T17:47:00"/>
        <d v="2026-01-12T19:24:00"/>
        <d v="2026-01-12T19:47:00"/>
        <d v="2026-01-12T20:02:00"/>
        <d v="2026-01-12T20:33:00"/>
        <d v="2026-01-12T23:22:00"/>
        <d v="2026-01-13T04:31:00"/>
        <d v="2026-01-13T05:07:00"/>
        <d v="2026-01-13T09:16:00"/>
        <d v="2026-01-13T10:05:00"/>
        <d v="2026-01-13T10:57:00"/>
        <d v="2026-01-13T11:09:00"/>
        <d v="2026-01-13T11:13:00"/>
        <d v="2026-01-13T11:17:00"/>
        <d v="2026-01-13T11:39:00"/>
        <d v="2026-01-13T11:43:00"/>
        <d v="2026-01-13T11:47:00"/>
        <d v="2026-01-13T13:21:00"/>
        <d v="2026-01-13T14:22:00"/>
        <d v="2026-01-13T16:03:00"/>
        <d v="2026-01-13T16:32:00"/>
        <d v="2026-01-13T17:15:00"/>
        <d v="2026-01-13T18:14:00"/>
        <d v="2026-01-13T18:25:00"/>
        <d v="2026-01-13T18:51:00"/>
        <d v="2026-01-14T07:08:00"/>
        <d v="2026-01-14T08:20:00"/>
        <d v="2026-01-14T08:53:00"/>
        <d v="2026-01-14T09:17:00"/>
        <d v="2026-01-14T10:04:00"/>
        <d v="2026-01-14T10:36:00"/>
        <d v="2026-01-14T10:45:00"/>
        <d v="2026-01-14T10:56:00"/>
        <d v="2026-01-14T12:09:00"/>
        <d v="2026-01-14T12:33:00"/>
        <d v="2026-01-14T13:27:00"/>
        <d v="2026-01-14T13:49:00"/>
        <d v="2026-01-14T14:35:00"/>
        <d v="2026-01-14T14:37:00"/>
        <d v="2026-01-14T15:00:00"/>
        <d v="2026-01-14T15:45:00"/>
        <d v="2026-01-14T16:25:00"/>
        <d v="2026-01-14T17:02:00"/>
        <d v="2026-01-14T17:33:00"/>
        <d v="2026-01-15T00:36:00"/>
        <d v="2026-01-15T05:25:00"/>
        <d v="2026-01-15T09:02:00"/>
        <d v="2026-01-15T10:50:00"/>
        <d v="2026-01-15T11:43:00"/>
        <d v="2026-01-15T12:01:00"/>
        <d v="2026-01-15T13:08:00"/>
        <d v="2026-01-15T13:09:00"/>
        <d v="2026-01-15T13:37:00"/>
        <d v="2026-01-15T13:44:00"/>
        <d v="2026-01-15T14:21:00"/>
        <d v="2026-01-15T15:18:00"/>
        <d v="2026-01-15T16:03:00"/>
        <d v="2026-01-15T20:16:00"/>
        <d v="2026-01-15T20:35:00"/>
        <d v="2026-01-15T22:36:00"/>
        <d v="2026-01-16T00:08:00"/>
        <d v="2026-01-16T02:13:00"/>
        <d v="2026-01-16T03:20:00"/>
        <d v="2026-01-16T07:47:00"/>
        <d v="2026-01-16T08:10:00"/>
        <d v="2026-01-16T08:38:00"/>
        <d v="2026-01-16T08:40:00"/>
        <d v="2026-01-16T08:57:00"/>
        <d v="2026-01-16T10:49:00"/>
        <d v="2026-01-16T12:17:00"/>
        <d v="2026-01-16T12:54:00"/>
        <d v="2026-01-16T13:40:00"/>
        <d v="2026-01-16T13:43:00"/>
        <d v="2026-01-16T13:48:00"/>
        <d v="2026-01-16T13:50:00"/>
        <d v="2026-01-16T14:14:00"/>
        <d v="2026-01-16T15:35:00"/>
        <d v="2026-01-16T15:54:00"/>
        <d v="2026-01-16T16:25:00"/>
        <d v="2026-01-16T16:49:00"/>
        <d v="2026-01-16T18:26:00"/>
        <d v="2026-01-16T18:41:00"/>
        <d v="2026-01-17T06:13:00"/>
        <d v="2026-01-17T07:08:00"/>
        <d v="2026-01-17T07:53:00"/>
        <d v="2026-01-17T07:56:00"/>
        <d v="2026-01-17T08:07:00"/>
        <d v="2026-01-17T08:26:00"/>
        <d v="2026-01-17T09:15:00"/>
        <d v="2026-01-17T09:40:00"/>
        <d v="2026-01-17T11:14:00"/>
        <d v="2026-01-17T11:56:00"/>
        <d v="2026-01-17T12:06:00"/>
        <d v="2026-01-17T12:11:00"/>
        <d v="2026-01-17T13:25:00"/>
        <d v="2026-01-17T13:45:00"/>
        <d v="2026-01-17T14:05:00"/>
        <d v="2026-01-17T14:59:00"/>
        <d v="2026-01-17T15:08:00"/>
        <d v="2026-01-17T17:36:00"/>
        <d v="2026-01-17T19:00:00"/>
        <d v="2026-01-17T19:25:00"/>
        <d v="2026-01-17T19:52:00"/>
        <d v="2026-01-17T19:59:00"/>
        <d v="2026-01-17T20:41:00"/>
        <d v="2026-01-17T22:19:00"/>
        <d v="2026-01-18T04:50:00"/>
        <d v="2026-01-18T06:14:00"/>
        <d v="2026-01-18T09:29:00"/>
        <d v="2026-01-18T10:39:00"/>
        <d v="2026-01-18T11:07:00"/>
        <d v="2026-01-18T11:12:00"/>
        <d v="2026-01-18T12:49:00"/>
        <d v="2026-01-18T13:15:00"/>
        <d v="2026-01-18T13:22:00"/>
        <d v="2026-01-18T13:48:00"/>
        <d v="2026-01-18T13:52:00"/>
        <d v="2026-01-18T14:55:00"/>
        <d v="2026-01-18T15:49:00"/>
        <d v="2026-01-18T16:04:00"/>
        <d v="2026-01-18T16:26:00"/>
        <d v="2026-01-18T16:52:00"/>
        <d v="2026-01-18T17:18:00"/>
        <d v="2026-01-18T17:43:00"/>
        <d v="2026-01-18T17:47:00"/>
        <d v="2026-01-19T05:33:00"/>
        <d v="2026-01-19T07:53:00"/>
        <d v="2026-01-19T08:06:00"/>
        <d v="2026-01-19T09:02:00"/>
        <d v="2026-01-19T09:12:00"/>
        <d v="2026-01-19T09:28:00"/>
        <d v="2026-01-19T10:03:00"/>
        <d v="2026-01-19T10:23:00"/>
        <d v="2026-01-19T11:44:00"/>
        <d v="2026-01-19T12:21:00"/>
        <d v="2026-01-19T12:23:00"/>
        <d v="2026-01-19T12:31:00"/>
        <d v="2026-01-19T12:44:00"/>
        <d v="2026-01-19T12:54:00"/>
        <d v="2026-01-19T13:16:00"/>
        <d v="2026-01-19T13:49:00"/>
        <d v="2026-01-19T14:22:00"/>
        <d v="2026-01-19T14:39:00"/>
        <d v="2026-01-19T14:43:00"/>
        <d v="2026-01-19T15:05:00"/>
        <d v="2026-01-19T15:23:00"/>
        <d v="2026-01-19T15:33:00"/>
        <d v="2026-01-19T15:45:00"/>
        <d v="2026-01-19T15:46:00"/>
        <d v="2026-01-19T15:54:00"/>
        <d v="2026-01-19T16:37:00"/>
        <d v="2026-01-19T16:56:00"/>
        <d v="2026-01-19T17:57:00"/>
        <d v="2026-01-19T20:33:00"/>
        <d v="2026-01-20T06:08:00"/>
        <d v="2026-01-20T07:17:00"/>
        <d v="2026-01-20T10:06:00"/>
        <d v="2026-01-20T10:38:00"/>
        <d v="2026-01-20T10:42:00"/>
        <d v="2026-01-20T11:28:00"/>
        <d v="2026-01-20T11:31:00"/>
        <d v="2026-01-20T12:49:00"/>
        <d v="2026-01-20T13:19:00"/>
        <d v="2026-01-20T13:41:00"/>
        <d v="2026-01-20T14:09:00"/>
        <d v="2026-01-20T14:11:00"/>
        <d v="2026-01-20T14:23:00"/>
        <d v="2026-01-20T15:38:00"/>
        <d v="2026-01-20T15:57:00"/>
        <d v="2026-01-20T16:12:00"/>
        <d v="2026-01-20T18:48:00"/>
        <d v="2026-01-20T18:52:00"/>
        <d v="2026-01-20T21:35:00"/>
        <d v="2026-01-21T04:10:00"/>
        <d v="2026-01-21T04:58:00"/>
        <d v="2026-01-21T06:51:00"/>
        <d v="2026-01-21T07:35:00"/>
        <d v="2026-01-21T09:46:00"/>
        <d v="2026-01-21T12:10:00"/>
        <d v="2026-01-21T12:12:00"/>
        <d v="2026-01-21T13:44:00"/>
        <d v="2026-01-21T14:35:00"/>
        <d v="2026-01-21T16:23:00"/>
        <d v="2026-01-21T16:57:00"/>
        <d v="2026-01-21T17:22:00"/>
        <d v="2026-01-21T18:46:00"/>
        <d v="2026-01-21T18:48:00"/>
        <d v="2026-01-21T19:59:00"/>
        <d v="2026-01-21T23:23:00"/>
        <d v="2026-01-22T08:15:00"/>
        <d v="2026-01-22T09:05:00"/>
        <d v="2026-01-22T10:15:00"/>
        <d v="2026-01-22T10:51:00"/>
        <d v="2026-01-22T11:13:00"/>
        <d v="2026-01-22T11:47:00"/>
        <d v="2026-01-22T12:35:00"/>
        <d v="2026-01-22T13:15:00"/>
        <d v="2026-01-22T15:03:00"/>
        <d v="2026-01-22T15:42:00"/>
        <d v="2026-01-22T17:36:00"/>
        <d v="2026-01-22T17:57:00"/>
        <d v="2026-01-22T22:43:00"/>
        <d v="2026-01-22T23:31:00"/>
        <d v="2026-01-23T05:26:00"/>
        <d v="2026-01-23T05:46:00"/>
        <d v="2026-01-23T10:25:00"/>
        <d v="2026-01-23T11:11:00"/>
        <d v="2026-01-23T11:19:00"/>
        <d v="2026-01-23T12:04:00"/>
        <d v="2026-01-23T13:08:00"/>
        <d v="2026-01-23T13:30:00"/>
        <d v="2026-01-23T13:34:00"/>
        <d v="2026-01-23T14:07:00"/>
        <d v="2026-01-23T14:48:00"/>
        <d v="2026-01-23T15:38:00"/>
        <d v="2026-01-23T15:48:00"/>
        <d v="2026-01-23T17:11:00"/>
        <d v="2026-01-23T19:44:00"/>
        <d v="2026-01-23T19:50:00"/>
        <d v="2026-01-24T01:30:00"/>
        <d v="2026-01-24T03:09:00"/>
        <d v="2026-01-24T07:16:00"/>
        <d v="2026-01-24T07:52:00"/>
        <d v="2026-01-24T09:05:00"/>
        <d v="2026-01-24T10:11:00"/>
        <d v="2026-01-24T11:13:00"/>
        <d v="2026-01-24T11:48:00"/>
        <d v="2026-01-24T12:26:00"/>
        <d v="2026-01-24T12:33:00"/>
        <d v="2026-01-24T13:14:00"/>
        <d v="2026-01-24T13:44:00"/>
        <d v="2026-01-24T13:47:00"/>
        <d v="2026-01-24T13:52:00"/>
        <d v="2026-01-24T15:58:00"/>
        <d v="2026-01-24T15:59:00"/>
        <d v="2026-01-24T16:35:00"/>
        <d v="2026-01-24T16:43:00"/>
        <d v="2026-01-24T17:58:00"/>
        <d v="2026-01-24T18:28:00"/>
        <d v="2026-01-24T19:06:00"/>
        <d v="2026-01-24T20:39:00"/>
        <d v="2026-01-25T02:15:00"/>
        <d v="2026-01-25T06:15:00"/>
        <d v="2026-01-25T07:31:00"/>
        <d v="2026-01-25T08:25:00"/>
        <d v="2026-01-25T09:06:00"/>
        <d v="2026-01-25T09:28:00"/>
        <d v="2026-01-25T09:53:00"/>
        <d v="2026-01-25T10:14:00"/>
        <d v="2026-01-25T11:56:00"/>
        <d v="2026-01-25T12:04:00"/>
        <d v="2026-01-25T12:07:00"/>
        <d v="2026-01-25T13:17:00"/>
        <d v="2026-01-25T13:52:00"/>
        <d v="2026-01-25T15:23:00"/>
        <d v="2026-01-25T15:35:00"/>
        <d v="2026-01-25T15:37:00"/>
        <d v="2026-01-25T16:05:00"/>
        <d v="2026-01-25T16:54:00"/>
        <d v="2026-01-25T17:08:00"/>
        <d v="2026-01-25T17:24:00"/>
        <d v="2026-01-25T19:49:00"/>
        <d v="2026-01-26T06:07:00"/>
        <d v="2026-01-26T06:20:00"/>
        <d v="2026-01-26T06:40:00"/>
        <d v="2026-01-26T07:52:00"/>
        <d v="2026-01-26T08:02:00"/>
        <d v="2026-01-26T09:50:00"/>
        <d v="2026-01-26T10:14:00"/>
        <d v="2026-01-26T11:16:00"/>
        <d v="2026-01-26T11:39:00"/>
        <d v="2026-01-26T13:07:00"/>
        <d v="2026-01-26T13:11:00"/>
        <d v="2026-01-26T13:18:00"/>
        <d v="2026-01-26T15:15:00"/>
        <d v="2026-01-26T15:46:00"/>
        <d v="2026-01-26T15:55:00"/>
        <d v="2026-01-26T16:27:00"/>
        <d v="2026-01-26T17:00:00"/>
        <d v="2026-01-26T22:04:00"/>
        <d v="2026-01-27T07:16:00"/>
        <d v="2026-01-27T09:34:00"/>
        <d v="2026-01-27T10:59:00"/>
        <d v="2026-01-27T11:00:00"/>
        <d v="2026-01-27T11:06:00"/>
        <d v="2026-01-27T11:52:00"/>
        <d v="2026-01-27T12:24:00"/>
        <d v="2026-01-27T13:26:00"/>
        <d v="2026-01-27T13:27:00"/>
        <d v="2026-01-27T13:29:00"/>
        <d v="2026-01-27T13:50:00"/>
        <d v="2026-01-27T14:09:00"/>
        <d v="2026-01-27T14:18:00"/>
        <d v="2026-01-27T14:42:00"/>
        <d v="2026-01-27T15:00:00"/>
        <d v="2026-01-27T15:30:00"/>
        <d v="2026-01-27T16:25:00"/>
        <d v="2026-01-27T16:31:00"/>
        <d v="2026-01-27T17:45:00"/>
        <d v="2026-01-27T18:14:00"/>
        <d v="2026-01-27T18:18:00"/>
        <d v="2026-01-27T21:02:00"/>
        <d v="2026-01-28T04:26:00"/>
        <d v="2026-01-28T07:37:00"/>
        <d v="2026-01-28T09:25:00"/>
        <d v="2026-01-28T10:11:00"/>
        <d v="2026-01-28T10:56:00"/>
        <d v="2026-01-28T11:19:00"/>
        <d v="2026-01-28T11:41:00"/>
        <d v="2026-01-28T11:42:00"/>
        <d v="2026-01-28T12:12:00"/>
        <d v="2026-01-28T12:29:00"/>
        <d v="2026-01-28T13:52:00"/>
        <d v="2026-01-28T13:53:00"/>
        <d v="2026-01-28T14:29:00"/>
        <d v="2026-01-28T14:37:00"/>
        <d v="2026-01-28T15:02:00"/>
        <d v="2026-01-28T16:30:00"/>
        <d v="2026-01-28T17:11:00"/>
        <d v="2026-01-28T17:24:00"/>
        <d v="2026-01-28T18:54:00"/>
        <d v="2026-01-28T19:58:00"/>
        <d v="2026-01-28T20:25:00"/>
        <d v="2026-01-29T03:13:00"/>
        <d v="2026-01-29T03:38:00"/>
        <d v="2026-01-29T03:39:00"/>
        <d v="2026-01-29T07:03:00"/>
        <d v="2026-01-29T07:46:00"/>
        <d v="2026-01-29T09:23:00"/>
        <d v="2026-01-29T09:54:00"/>
        <d v="2026-01-29T10:37:00"/>
        <d v="2026-01-29T11:35:00"/>
        <d v="2026-01-29T12:22:00"/>
        <d v="2026-01-29T12:24:00"/>
        <d v="2026-01-29T12:37:00"/>
        <d v="2026-01-29T13:04:00"/>
        <d v="2026-01-29T13:13:00"/>
        <d v="2026-01-29T13:52:00"/>
        <d v="2026-01-29T14:00:00"/>
        <d v="2026-01-29T14:06:00"/>
        <d v="2026-01-29T14:10:00"/>
        <d v="2026-01-29T14:44:00"/>
        <d v="2026-01-29T15:17:00"/>
        <d v="2026-01-29T16:07:00"/>
        <d v="2026-01-29T18:27:00"/>
        <d v="2026-01-29T19:33:00"/>
        <d v="2026-01-29T20:07:00"/>
        <d v="2026-01-29T23:38:00"/>
        <d v="2026-01-29T23:51:00"/>
        <d v="2026-01-29T23:58:00"/>
        <d v="2026-01-30T03:08:00"/>
        <d v="2026-01-30T04:33:00"/>
        <d v="2026-01-30T08:13:00"/>
        <d v="2026-01-30T10:28:00"/>
        <d v="2026-01-30T11:54:00"/>
        <d v="2026-01-30T12:11:00"/>
        <d v="2026-01-30T12:33:00"/>
        <d v="2026-01-30T12:48:00"/>
        <d v="2026-01-30T12:58:00"/>
        <d v="2026-01-30T13:01:00"/>
        <d v="2026-01-30T13:30:00"/>
        <d v="2026-01-30T13:53:00"/>
        <d v="2026-01-30T14:51:00"/>
        <d v="2026-01-30T15:04:00"/>
        <d v="2026-01-30T15:17:00"/>
        <d v="2026-01-30T15:52:00"/>
        <d v="2026-01-30T16:23:00"/>
        <d v="2026-01-30T16:46:00"/>
        <d v="2026-01-30T18:21:00"/>
        <d v="2026-01-31T05:35:00"/>
        <d v="2026-01-31T08:11:00"/>
        <d v="2026-01-31T10:07:00"/>
        <d v="2026-01-31T10:12:00"/>
        <d v="2026-01-31T11:01:00"/>
        <d v="2026-01-31T11:22:00"/>
        <d v="2026-01-31T11:29:00"/>
        <d v="2026-01-31T11:48:00"/>
        <d v="2026-01-31T11:57:00"/>
        <d v="2026-01-31T12:40:00"/>
        <d v="2026-01-31T13:41:00"/>
        <d v="2026-01-31T14:20:00"/>
        <d v="2026-01-31T15:24:00"/>
        <d v="2026-01-31T15:45:00"/>
        <d v="2026-01-31T18:35:00"/>
        <d v="2026-01-31T19:15:00"/>
        <d v="2026-01-31T21:57:00"/>
        <d v="2026-01-31T22:57:00"/>
        <d v="2026-02-01T06:15:00"/>
        <d v="2026-02-01T06:34:00"/>
        <d v="2026-02-01T08:07:00"/>
        <d v="2026-02-01T10:03:00"/>
        <d v="2026-02-01T10:06:00"/>
        <d v="2026-02-01T10:09:00"/>
        <d v="2026-02-01T10:32:00"/>
        <d v="2026-02-01T11:18:00"/>
        <d v="2026-02-01T11:44:00"/>
        <d v="2026-02-01T11:51:00"/>
        <d v="2026-02-01T11:59:00"/>
        <d v="2026-02-01T12:10:00"/>
        <d v="2026-02-01T12:28:00"/>
        <d v="2026-02-01T12:29:00"/>
        <d v="2026-02-01T13:45:00"/>
        <d v="2026-02-01T13:53:00"/>
        <d v="2026-02-01T14:13:00"/>
        <d v="2026-02-01T14:35:00"/>
        <d v="2026-02-01T15:23:00"/>
        <d v="2026-02-01T15:30:00"/>
        <d v="2026-02-01T16:02:00"/>
        <d v="2026-02-01T16:31:00"/>
        <d v="2026-02-01T18:03:00"/>
        <d v="2026-02-01T18:43:00"/>
        <d v="2026-02-01T18:45:00"/>
        <d v="2026-02-01T19:28:00"/>
        <d v="2026-02-01T20:14:00"/>
        <d v="2026-02-02T07:19:00"/>
        <d v="2026-02-02T10:07:00"/>
        <d v="2026-02-02T10:55:00"/>
        <d v="2026-02-02T11:35:00"/>
        <d v="2026-02-02T12:55:00"/>
        <d v="2026-02-02T13:12:00"/>
        <d v="2026-02-02T14:22:00"/>
        <d v="2026-02-02T15:04:00"/>
        <d v="2026-02-02T15:17:00"/>
        <d v="2026-02-02T15:37:00"/>
        <d v="2026-02-02T16:07:00"/>
        <d v="2026-02-02T16:09:00"/>
        <d v="2026-02-02T16:38:00"/>
        <d v="2026-02-02T17:13:00"/>
        <d v="2026-02-02T19:38:00"/>
        <d v="2026-02-02T21:32:00"/>
        <d v="2026-02-03T02:25:00"/>
        <d v="2026-02-03T04:34:00"/>
        <d v="2026-02-03T05:06:00"/>
        <d v="2026-02-03T06:44:00"/>
        <d v="2026-02-03T07:14:00"/>
        <d v="2026-02-03T08:29:00"/>
        <d v="2026-02-03T09:24:00"/>
        <d v="2026-02-03T09:35:00"/>
        <d v="2026-02-03T10:18:00"/>
        <d v="2026-02-03T10:39:00"/>
        <d v="2026-02-03T11:49:00"/>
        <d v="2026-02-03T11:51:00"/>
        <d v="2026-02-03T12:23:00"/>
        <d v="2026-02-03T12:26:00"/>
        <d v="2026-02-03T12:44:00"/>
        <d v="2026-02-03T12:54:00"/>
        <d v="2026-02-03T13:48:00"/>
        <d v="2026-02-03T14:22:00"/>
        <d v="2026-02-03T14:43:00"/>
        <d v="2026-02-03T16:10:00"/>
        <d v="2026-02-03T18:47:00"/>
        <d v="2026-02-03T19:07:00"/>
        <d v="2026-02-03T19:28:00"/>
        <d v="2026-02-04T00:30:00"/>
        <d v="2026-02-04T02:44:00"/>
        <d v="2026-02-04T04:04:00"/>
        <d v="2026-02-04T07:08:00"/>
        <d v="2026-02-04T09:29:00"/>
        <d v="2026-02-04T10:08:00"/>
        <d v="2026-02-04T10:16:00"/>
        <d v="2026-02-04T10:34:00"/>
        <d v="2026-02-04T10:49:00"/>
        <d v="2026-02-04T12:06:00"/>
        <d v="2026-02-04T12:14:00"/>
        <d v="2026-02-04T12:25:00"/>
        <d v="2026-02-04T13:09:00"/>
        <d v="2026-02-04T13:13:00"/>
        <d v="2026-02-04T14:49:00"/>
        <d v="2026-02-04T15:41:00"/>
        <d v="2026-02-04T15:53:00"/>
        <d v="2026-02-04T16:04:00"/>
        <d v="2026-02-04T16:10:00"/>
        <d v="2026-02-04T16:20:00"/>
        <d v="2026-02-04T17:22:00"/>
        <d v="2026-02-04T17:56:00"/>
        <d v="2026-02-04T18:36:00"/>
        <d v="2026-02-04T18:42:00"/>
        <d v="2026-02-04T19:22:00"/>
        <d v="2026-02-04T20:48:00"/>
        <d v="2026-02-04T21:42:00"/>
        <d v="2026-02-04T22:40:00"/>
        <d v="2026-02-05T00:00:00"/>
        <d v="2026-02-05T07:38:00"/>
        <d v="2026-02-05T08:41:00"/>
        <d v="2026-02-05T08:52:00"/>
        <d v="2026-02-05T08:59:00"/>
        <d v="2026-02-05T10:24:00"/>
        <d v="2026-02-05T10:29:00"/>
        <d v="2026-02-05T11:56:00"/>
        <d v="2026-02-05T12:44:00"/>
        <d v="2026-02-05T12:51:00"/>
        <d v="2026-02-05T13:29:00"/>
        <d v="2026-02-05T14:29:00"/>
        <d v="2026-02-05T15:10:00"/>
        <d v="2026-02-05T15:18:00"/>
        <d v="2026-02-05T15:25:00"/>
        <d v="2026-02-05T15:29:00"/>
        <d v="2026-02-05T15:45:00"/>
        <d v="2026-02-05T15:47:00"/>
        <d v="2026-02-05T17:12:00"/>
        <d v="2026-02-05T17:56:00"/>
        <d v="2026-02-05T18:06:00"/>
        <d v="2026-02-05T18:11:00"/>
        <d v="2026-02-06T02:50:00"/>
        <d v="2026-02-06T03:09:00"/>
        <d v="2026-02-06T06:32:00"/>
        <d v="2026-02-06T10:35:00"/>
        <d v="2026-02-06T11:08:00"/>
        <d v="2026-02-06T11:12:00"/>
        <d v="2026-02-06T12:04:00"/>
        <d v="2026-02-06T12:44:00"/>
        <d v="2026-02-06T12:48:00"/>
        <d v="2026-02-06T12:50:00"/>
        <d v="2026-02-06T13:37:00"/>
        <d v="2026-02-06T14:01:00"/>
        <d v="2026-02-06T14:55:00"/>
        <d v="2026-02-06T15:37:00"/>
        <d v="2026-02-06T15:39:00"/>
        <d v="2026-02-06T16:08:00"/>
        <d v="2026-02-06T17:19:00"/>
        <d v="2026-02-06T18:03:00"/>
        <d v="2026-02-06T19:11:00"/>
        <d v="2026-02-06T20:32:00"/>
        <d v="2026-02-07T01:18:00"/>
        <d v="2026-02-07T09:38:00"/>
        <d v="2026-02-07T09:44:00"/>
        <d v="2026-02-07T10:04:00"/>
        <d v="2026-02-07T11:13:00"/>
        <d v="2026-02-07T11:26:00"/>
        <d v="2026-02-07T11:34:00"/>
        <d v="2026-02-07T11:39:00"/>
        <d v="2026-02-07T11:44:00"/>
        <d v="2026-02-07T12:29:00"/>
        <d v="2026-02-07T13:46:00"/>
        <d v="2026-02-07T14:18:00"/>
        <d v="2026-02-07T14:42:00"/>
        <d v="2026-02-07T14:48:00"/>
        <d v="2026-02-07T15:48:00"/>
        <d v="2026-02-07T15:50:00"/>
        <d v="2026-02-07T15:56:00"/>
        <d v="2026-02-07T16:47:00"/>
        <d v="2026-02-07T17:06:00"/>
        <d v="2026-02-07T18:46:00"/>
        <d v="2026-02-08T03:39:00"/>
        <d v="2026-02-08T06:33:00"/>
        <d v="2026-02-08T07:26:00"/>
        <d v="2026-02-08T08:20:00"/>
        <d v="2026-02-08T09:52:00"/>
        <d v="2026-02-08T10:32:00"/>
        <d v="2026-02-08T11:10:00"/>
        <d v="2026-02-08T11:15:00"/>
        <d v="2026-02-08T11:41:00"/>
        <d v="2026-02-08T11:46:00"/>
        <d v="2026-02-08T13:01:00"/>
        <d v="2026-02-08T13:25:00"/>
        <d v="2026-02-08T13:56:00"/>
        <d v="2026-02-08T14:12:00"/>
        <d v="2026-02-08T15:03:00"/>
        <d v="2026-02-08T15:27:00"/>
        <d v="2026-02-08T16:37:00"/>
        <d v="2026-02-08T19:17:00"/>
        <d v="2026-02-08T19:22:00"/>
        <d v="2026-02-09T07:14:00"/>
        <d v="2026-02-09T08:17:00"/>
        <d v="2026-02-09T08:32:00"/>
        <d v="2026-02-09T09:28:00"/>
        <d v="2026-02-09T11:06:00"/>
        <d v="2026-02-09T11:29:00"/>
        <d v="2026-02-09T12:56:00"/>
        <d v="2026-02-09T13:07:00"/>
        <d v="2026-02-09T13:33:00"/>
        <d v="2026-02-09T14:04:00"/>
        <d v="2026-02-09T14:15:00"/>
        <d v="2026-02-09T16:45:00"/>
        <d v="2026-02-09T18:25:00"/>
        <d v="2026-02-09T21:27:00"/>
        <d v="2026-02-10T03:11:00"/>
        <d v="2026-02-10T07:20:00"/>
        <d v="2026-02-10T09:37:00"/>
        <d v="2026-02-10T09:41:00"/>
        <d v="2026-02-10T09:47:00"/>
        <d v="2026-02-10T11:59:00"/>
        <d v="2026-02-10T12:13:00"/>
        <d v="2026-02-10T14:41:00"/>
        <d v="2026-02-10T15:18:00"/>
        <d v="2026-02-10T15:36:00"/>
        <d v="2026-02-10T16:01:00"/>
        <d v="2026-02-10T16:53:00"/>
        <d v="2026-02-10T17:17:00"/>
        <d v="2026-02-10T17:34:00"/>
        <d v="2026-02-10T17:54:00"/>
        <d v="2026-02-10T18:46:00"/>
        <d v="2026-02-11T01:07:00"/>
        <d v="2026-02-11T05:17:00"/>
        <d v="2026-02-11T05:53:00"/>
        <d v="2026-02-11T07:41:00"/>
        <d v="2026-02-11T08:20:00"/>
        <d v="2026-02-11T08:31:00"/>
        <d v="2026-02-11T08:53:00"/>
        <d v="2026-02-11T09:12:00"/>
        <d v="2026-02-11T09:25:00"/>
        <d v="2026-02-11T09:41:00"/>
        <d v="2026-02-11T12:01:00"/>
        <d v="2026-02-11T12:13:00"/>
        <d v="2026-02-11T12:24:00"/>
        <d v="2026-02-11T12:37:00"/>
        <d v="2026-02-11T13:03:00"/>
        <d v="2026-02-11T13:18:00"/>
        <d v="2026-02-11T14:21:00"/>
        <d v="2026-02-11T14:54:00"/>
        <d v="2026-02-11T14:55:00"/>
        <d v="2026-02-11T15:22:00"/>
        <d v="2026-02-11T15:23:00"/>
        <d v="2026-02-11T17:13:00"/>
        <d v="2026-02-11T17:18:00"/>
        <d v="2026-02-11T20:47:00"/>
        <d v="2026-02-11T20:57:00"/>
        <d v="2026-02-11T22:48:00"/>
        <d v="2026-02-12T06:23:00"/>
        <d v="2026-02-12T07:20:00"/>
        <d v="2026-02-12T07:31:00"/>
        <d v="2026-02-12T07:48:00"/>
        <d v="2026-02-12T09:00:00"/>
        <d v="2026-02-12T09:28:00"/>
        <d v="2026-02-12T09:41:00"/>
        <d v="2026-02-12T09:56:00"/>
        <d v="2026-02-12T10:06:00"/>
        <d v="2026-02-12T12:45:00"/>
        <d v="2026-02-12T13:15:00"/>
        <d v="2026-02-12T13:40:00"/>
        <d v="2026-02-12T13:42:00"/>
        <d v="2026-02-12T13:44:00"/>
        <d v="2026-02-12T16:48:00"/>
        <d v="2026-02-12T18:39:00"/>
        <d v="2026-02-12T19:53:00"/>
        <d v="2026-02-12T20:11:00"/>
        <d v="2026-02-13T02:41:00"/>
        <d v="2026-02-13T02:42:00"/>
        <d v="2026-02-13T04:36:00"/>
        <d v="2026-02-13T08:37:00"/>
        <d v="2026-02-13T10:43:00"/>
        <d v="2026-02-13T11:56:00"/>
        <d v="2026-02-13T12:05:00"/>
        <d v="2026-02-13T12:14:00"/>
        <d v="2026-02-13T12:39:00"/>
        <d v="2026-02-13T12:53:00"/>
        <d v="2026-02-13T14:22:00"/>
        <d v="2026-02-13T14:54:00"/>
        <d v="2026-02-13T15:31:00"/>
        <d v="2026-02-13T16:29:00"/>
        <d v="2026-02-13T16:44:00"/>
        <d v="2026-02-13T16:59:00"/>
        <d v="2026-02-13T17:57:00"/>
        <d v="2026-02-13T19:46:00"/>
        <d v="2026-02-13T20:04:00"/>
        <d v="2026-02-13T21:19:00"/>
        <d v="2026-02-14T03:38:00"/>
        <d v="2026-02-14T05:21:00"/>
        <d v="2026-02-14T07:12:00"/>
        <d v="2026-02-14T07:16:00"/>
        <d v="2026-02-14T07:37:00"/>
        <d v="2026-02-14T08:13:00"/>
        <d v="2026-02-14T09:11:00"/>
        <d v="2026-02-14T09:54:00"/>
        <d v="2026-02-14T10:25:00"/>
        <d v="2026-02-14T10:59:00"/>
        <d v="2026-02-14T12:34:00"/>
        <d v="2026-02-14T12:50:00"/>
        <d v="2026-02-14T13:45:00"/>
        <d v="2026-02-14T14:27:00"/>
        <d v="2026-02-14T15:33:00"/>
        <d v="2026-02-14T15:46:00"/>
        <d v="2026-02-14T16:25:00"/>
        <d v="2026-02-14T17:27:00"/>
        <d v="2026-02-14T18:36:00"/>
        <d v="2026-02-14T19:38:00"/>
        <d v="2026-02-14T21:45:00"/>
        <d v="2026-02-15T04:16:00"/>
        <d v="2026-02-15T05:24:00"/>
        <d v="2026-02-15T05:48:00"/>
        <d v="2026-02-15T08:06:00"/>
        <d v="2026-02-15T09:17:00"/>
        <d v="2026-02-15T10:08:00"/>
        <d v="2026-02-15T11:53:00"/>
        <d v="2026-02-15T13:01:00"/>
        <d v="2026-02-15T13:07:00"/>
        <d v="2026-02-15T13:26:00"/>
        <d v="2026-02-15T13:45:00"/>
        <d v="2026-02-15T15:03:00"/>
        <d v="2026-02-15T15:22:00"/>
        <d v="2026-02-15T16:04:00"/>
        <d v="2026-02-15T16:18:00"/>
        <d v="2026-02-15T17:43:00"/>
        <d v="2026-02-15T17:57:00"/>
        <d v="2026-02-15T18:07:00"/>
        <d v="2026-02-15T18:14:00"/>
        <d v="2026-02-15T18:36:00"/>
        <d v="2026-02-15T21:38:00"/>
        <d v="2026-02-16T04:12:00"/>
        <d v="2026-02-16T05:37:00"/>
        <d v="2026-02-16T05:49:00"/>
        <d v="2026-02-16T08:50:00"/>
        <d v="2026-02-16T11:09:00"/>
        <d v="2026-02-16T11:10:00"/>
        <d v="2026-02-16T11:56:00"/>
        <d v="2026-02-16T11:58:00"/>
        <d v="2026-02-16T12:26:00"/>
        <d v="2026-02-16T13:49:00"/>
        <d v="2026-02-16T13:51:00"/>
        <d v="2026-02-16T13:58:00"/>
        <d v="2026-02-16T14:41:00"/>
        <d v="2026-02-16T15:01:00"/>
        <d v="2026-02-16T15:42:00"/>
        <d v="2026-02-16T16:43:00"/>
        <d v="2026-02-16T17:42:00"/>
        <d v="2026-02-16T19:20:00"/>
        <d v="2026-02-17T08:41:00"/>
        <d v="2026-02-17T09:01:00"/>
        <d v="2026-02-17T09:14:00"/>
        <d v="2026-02-17T10:28:00"/>
        <d v="2026-02-17T10:40:00"/>
        <d v="2026-02-17T12:52:00"/>
        <d v="2026-02-17T13:07:00"/>
        <d v="2026-02-17T13:37:00"/>
        <d v="2026-02-17T13:50:00"/>
        <d v="2026-02-17T14:00:00"/>
        <d v="2026-02-17T14:49:00"/>
        <d v="2026-02-17T14:55:00"/>
        <d v="2026-02-17T15:18:00"/>
        <d v="2026-02-17T15:29:00"/>
        <d v="2026-02-17T16:53:00"/>
        <d v="2026-02-17T18:37:00"/>
        <d v="2026-02-17T19:12:00"/>
        <d v="2026-02-17T19:30:00"/>
        <d v="2026-02-17T21:43:00"/>
        <d v="2026-02-18T07:48:00"/>
        <d v="2026-02-18T08:38:00"/>
        <d v="2026-02-18T09:15:00"/>
        <d v="2026-02-18T09:32:00"/>
        <d v="2026-02-18T09:50:00"/>
        <d v="2026-02-18T10:06:00"/>
        <d v="2026-02-18T10:31:00"/>
        <d v="2026-02-18T10:45:00"/>
        <d v="2026-02-18T11:01:00"/>
        <d v="2026-02-18T11:15:00"/>
        <d v="2026-02-18T11:34:00"/>
        <d v="2026-02-18T12:07:00"/>
        <d v="2026-02-18T12:22:00"/>
        <d v="2026-02-18T12:34:00"/>
        <d v="2026-02-18T12:41:00"/>
        <d v="2026-02-18T13:00:00"/>
        <d v="2026-02-18T13:48:00"/>
        <d v="2026-02-18T14:25:00"/>
        <d v="2026-02-18T15:19:00"/>
        <d v="2026-02-18T17:09:00"/>
        <d v="2026-02-18T18:00:00"/>
        <d v="2026-02-18T18:31:00"/>
        <d v="2026-02-18T19:45:00"/>
        <d v="2026-02-19T06:29:00"/>
        <d v="2026-02-19T09:11:00"/>
        <d v="2026-02-19T09:56:00"/>
        <d v="2026-02-19T10:40:00"/>
        <d v="2026-02-19T10:45:00"/>
        <d v="2026-02-19T11:17:00"/>
        <d v="2026-02-19T12:07:00"/>
        <d v="2026-02-19T12:12:00"/>
        <d v="2026-02-19T12:59:00"/>
        <d v="2026-02-19T13:13:00"/>
        <d v="2026-02-19T13:30:00"/>
        <d v="2026-02-19T13:56:00"/>
        <d v="2026-02-19T14:10:00"/>
        <d v="2026-02-19T14:37:00"/>
        <d v="2026-02-19T14:38:00"/>
        <d v="2026-02-19T16:58:00"/>
        <d v="2026-02-19T17:13:00"/>
        <d v="2026-02-19T17:26:00"/>
        <d v="2026-02-19T19:05:00"/>
        <d v="2026-02-19T20:28:00"/>
        <d v="2026-02-20T07:11:00"/>
        <d v="2026-02-20T07:53:00"/>
        <d v="2026-02-20T08:13:00"/>
        <d v="2026-02-20T08:15:00"/>
        <d v="2026-02-20T08:45:00"/>
        <d v="2026-02-20T08:54:00"/>
        <d v="2026-02-20T10:09:00"/>
        <d v="2026-02-20T10:31:00"/>
        <d v="2026-02-20T10:54:00"/>
        <d v="2026-02-20T11:19:00"/>
        <d v="2026-02-20T11:29:00"/>
        <d v="2026-02-20T11:40:00"/>
        <d v="2026-02-20T13:12:00"/>
        <d v="2026-02-20T13:14:00"/>
        <d v="2026-02-20T13:57:00"/>
        <d v="2026-02-20T14:23:00"/>
        <d v="2026-02-20T14:25:00"/>
        <d v="2026-02-20T14:53:00"/>
        <d v="2026-02-20T15:10:00"/>
        <d v="2026-02-20T15:14:00"/>
        <d v="2026-02-20T15:15:00"/>
        <d v="2026-02-20T15:44:00"/>
        <d v="2026-02-20T16:15:00"/>
        <d v="2026-02-20T19:37:00"/>
        <d v="2026-02-21T04:01:00"/>
        <d v="2026-02-21T08:45:00"/>
        <d v="2026-02-21T09:24:00"/>
        <d v="2026-02-21T09:53:00"/>
        <d v="2026-02-21T10:38:00"/>
        <d v="2026-02-21T11:36:00"/>
        <d v="2026-02-21T11:45:00"/>
        <d v="2026-02-21T14:15:00"/>
        <d v="2026-02-21T16:47:00"/>
        <d v="2026-02-21T16:48:00"/>
        <d v="2026-02-21T17:12:00"/>
        <d v="2026-02-21T17:51:00"/>
        <d v="2026-02-21T17:59:00"/>
        <d v="2026-02-21T19:50:00"/>
        <d v="2026-02-21T20:30:00"/>
        <d v="2026-02-21T20:53:00"/>
        <d v="2026-02-22T02:43:00"/>
        <d v="2026-02-22T06:13:00"/>
        <d v="2026-02-22T07:05:00"/>
        <d v="2026-02-22T07:34:00"/>
        <d v="2026-02-22T08:26:00"/>
        <d v="2026-02-22T08:37:00"/>
        <d v="2026-02-22T08:48:00"/>
        <d v="2026-02-22T09:03:00"/>
        <d v="2026-02-22T09:04:00"/>
        <d v="2026-02-22T10:04:00"/>
        <d v="2026-02-22T10:47:00"/>
        <d v="2026-02-22T11:13:00"/>
        <d v="2026-02-22T11:23:00"/>
        <d v="2026-02-22T11:51:00"/>
        <d v="2026-02-22T12:54:00"/>
        <d v="2026-02-22T13:08:00"/>
        <d v="2026-02-22T13:40:00"/>
        <d v="2026-02-22T13:48:00"/>
        <d v="2026-02-22T13:51:00"/>
        <d v="2026-02-22T14:49:00"/>
        <d v="2026-02-22T14:54:00"/>
        <d v="2026-02-22T15:02:00"/>
        <d v="2026-02-22T15:25:00"/>
        <d v="2026-02-22T15:44:00"/>
        <d v="2026-02-22T16:25:00"/>
        <d v="2026-02-22T16:28:00"/>
        <d v="2026-02-22T18:07:00"/>
        <d v="2026-02-22T18:14:00"/>
        <d v="2026-02-22T21:27:00"/>
        <d v="2026-02-23T07:19:00"/>
        <d v="2026-02-23T07:20:00"/>
        <d v="2026-02-23T08:10:00"/>
        <d v="2026-02-23T09:08:00"/>
        <d v="2026-02-23T10:40:00"/>
        <d v="2026-02-23T11:00:00"/>
        <d v="2026-02-23T11:05:00"/>
        <d v="2026-02-23T11:35:00"/>
        <d v="2026-02-23T11:41:00"/>
        <d v="2026-02-23T11:56:00"/>
        <d v="2026-02-23T12:08:00"/>
        <d v="2026-02-23T13:02:00"/>
        <d v="2026-02-23T13:19:00"/>
        <d v="2026-02-23T13:23:00"/>
        <d v="2026-02-23T13:33:00"/>
        <d v="2026-02-23T14:16:00"/>
        <d v="2026-02-23T14:27:00"/>
        <d v="2026-02-23T14:32:00"/>
        <d v="2026-02-23T15:13:00"/>
        <d v="2026-02-23T16:54:00"/>
        <d v="2026-02-23T17:21:00"/>
        <d v="2026-02-23T18:54:00"/>
        <d v="2026-02-23T18:58:00"/>
        <d v="2026-02-23T19:22:00"/>
        <d v="2026-02-23T19:44:00"/>
        <d v="2026-02-24T04:33:00"/>
        <d v="2026-02-24T05:27:00"/>
        <d v="2026-02-24T08:25:00"/>
        <d v="2026-02-24T09:18:00"/>
        <d v="2026-02-24T09:39:00"/>
        <d v="2026-02-24T09:41:00"/>
        <d v="2026-02-24T09:42:00"/>
        <d v="2026-02-24T10:20:00"/>
        <d v="2026-02-24T10:58:00"/>
        <d v="2026-02-24T11:03:00"/>
        <d v="2026-02-24T11:21:00"/>
        <d v="2026-02-24T11:43:00"/>
        <d v="2026-02-24T11:53:00"/>
        <d v="2026-02-24T11:56:00"/>
        <d v="2026-02-24T12:05:00"/>
        <d v="2026-02-24T12:36:00"/>
        <d v="2026-02-24T12:38:00"/>
        <d v="2026-02-24T14:46:00"/>
        <d v="2026-02-24T15:00:00"/>
        <d v="2026-02-24T15:35:00"/>
        <d v="2026-02-24T15:55:00"/>
        <d v="2026-02-24T16:13:00"/>
        <d v="2026-02-24T16:46:00"/>
        <d v="2026-02-24T17:20:00"/>
        <d v="2026-02-24T17:30:00"/>
        <d v="2026-02-24T18:35:00"/>
        <d v="2026-02-24T18:54:00"/>
        <d v="2026-02-24T21:59:00"/>
        <d v="2026-02-24T23:15:00"/>
        <d v="2026-02-25T06:14:00"/>
        <d v="2026-02-25T07:07:00"/>
        <d v="2026-02-25T08:04:00"/>
        <d v="2026-02-25T08:45:00"/>
        <d v="2026-02-25T09:08:00"/>
        <d v="2026-02-25T11:39:00"/>
        <d v="2026-02-25T12:13:00"/>
        <d v="2026-02-25T12:46:00"/>
        <d v="2026-02-25T14:31:00"/>
        <d v="2026-02-25T15:10:00"/>
        <d v="2026-02-25T15:28:00"/>
        <d v="2026-02-25T16:29:00"/>
        <d v="2026-02-25T16:55:00"/>
        <d v="2026-02-25T17:30:00"/>
        <d v="2026-02-25T17:35:00"/>
        <d v="2026-02-25T17:39:00"/>
        <d v="2026-02-25T18:23:00"/>
        <d v="2026-02-25T19:39:00"/>
        <d v="2026-02-25T20:18:00"/>
        <d v="2026-02-26T03:17:00"/>
        <d v="2026-02-26T03:34:00"/>
        <d v="2026-02-26T04:49:00"/>
        <d v="2026-02-26T07:23:00"/>
        <d v="2026-02-26T08:24:00"/>
        <d v="2026-02-26T11:03:00"/>
        <d v="2026-02-26T11:23:00"/>
        <d v="2026-02-26T11:36:00"/>
        <d v="2026-02-26T11:51:00"/>
        <d v="2026-02-26T14:57:00"/>
        <d v="2026-02-26T15:02:00"/>
        <d v="2026-02-26T15:28:00"/>
        <d v="2026-02-26T16:22:00"/>
        <d v="2026-02-26T16:32:00"/>
        <d v="2026-02-26T17:20:00"/>
        <d v="2026-02-26T17:23:00"/>
        <d v="2026-02-26T17:32:00"/>
        <d v="2026-02-26T18:34:00"/>
        <d v="2026-02-26T20:49:00"/>
        <d v="2026-02-27T03:34:00"/>
        <d v="2026-02-27T04:11:00"/>
        <d v="2026-02-27T04:45:00"/>
        <d v="2026-02-27T05:21:00"/>
        <d v="2026-02-27T06:12:00"/>
        <d v="2026-02-27T08:46:00"/>
        <d v="2026-02-27T09:06:00"/>
        <d v="2026-02-27T10:19:00"/>
        <d v="2026-02-27T11:01:00"/>
        <d v="2026-02-27T11:43:00"/>
        <d v="2026-02-27T12:37:00"/>
        <d v="2026-02-27T12:56:00"/>
        <d v="2026-02-27T13:15:00"/>
        <d v="2026-02-27T14:53:00"/>
        <d v="2026-02-27T15:27:00"/>
        <d v="2026-02-27T15:45:00"/>
        <d v="2026-02-27T16:16:00"/>
        <d v="2026-02-27T16:32:00"/>
        <d v="2026-02-27T17:01:00"/>
        <d v="2026-02-27T17:05:00"/>
        <d v="2026-02-27T17:09:00"/>
        <d v="2026-02-27T19:49:00"/>
        <d v="2026-02-27T20:29:00"/>
        <d v="2026-02-28T05:24:00"/>
        <d v="2026-02-28T05:37:00"/>
        <d v="2026-02-28T06:34:00"/>
        <d v="2026-02-28T06:45:00"/>
        <d v="2026-02-28T07:28:00"/>
        <d v="2026-02-28T08:47:00"/>
        <d v="2026-02-28T09:54:00"/>
        <d v="2026-02-28T10:03:00"/>
        <d v="2026-02-28T10:46:00"/>
        <d v="2026-02-28T11:06:00"/>
        <d v="2026-02-28T12:05:00"/>
        <d v="2026-02-28T12:24:00"/>
        <d v="2026-02-28T12:45:00"/>
        <d v="2026-02-28T13:11:00"/>
        <d v="2026-02-28T13:45:00"/>
        <d v="2026-02-28T13:55:00"/>
        <d v="2026-02-28T14:36:00"/>
        <d v="2026-02-28T15:02:00"/>
        <d v="2026-02-28T15:04:00"/>
        <d v="2026-02-28T15:36:00"/>
        <d v="2026-03-01T03:34:00"/>
        <d v="2026-03-01T06:10:00"/>
        <d v="2026-03-01T07:54:00"/>
        <d v="2026-03-01T08:04:00"/>
        <d v="2026-03-01T08:23:00"/>
        <d v="2026-03-01T09:32:00"/>
        <d v="2026-03-01T09:51:00"/>
        <d v="2026-03-01T10:32:00"/>
        <d v="2026-03-01T10:51:00"/>
        <d v="2026-03-01T10:59:00"/>
        <d v="2026-03-01T11:54:00"/>
        <d v="2026-03-01T12:13:00"/>
        <d v="2026-03-01T12:21:00"/>
        <d v="2026-03-01T12:40:00"/>
        <d v="2026-03-01T13:02:00"/>
        <d v="2026-03-01T13:09:00"/>
        <d v="2026-03-01T13:33:00"/>
        <d v="2026-03-01T15:37:00"/>
        <d v="2026-03-01T15:41:00"/>
        <d v="2026-03-01T16:18:00"/>
        <d v="2026-03-01T16:31:00"/>
        <d v="2026-03-01T16:37:00"/>
        <d v="2026-03-01T21:32:00"/>
        <d v="2026-03-01T23:00:00"/>
        <d v="2026-03-02T02:30:00"/>
        <d v="2026-03-02T03:43:00"/>
        <d v="2026-03-02T07:33:00"/>
        <d v="2026-03-02T07:46:00"/>
        <d v="2026-03-02T09:44:00"/>
        <d v="2026-03-02T11:14:00"/>
        <d v="2026-03-02T11:18:00"/>
        <d v="2026-03-02T11:36:00"/>
        <d v="2026-03-02T12:00:00"/>
        <d v="2026-03-02T12:02:00"/>
        <d v="2026-03-02T12:35:00"/>
        <d v="2026-03-02T13:57:00"/>
        <d v="2026-03-02T14:11:00"/>
        <d v="2026-03-02T14:36:00"/>
        <d v="2026-03-02T16:07:00"/>
        <d v="2026-03-02T16:55:00"/>
        <d v="2026-03-02T17:38:00"/>
        <d v="2026-03-02T19:30:00"/>
        <d v="2026-03-02T21:36:00"/>
        <d v="2026-03-03T04:40:00"/>
        <d v="2026-03-03T07:27:00"/>
        <d v="2026-03-03T09:23:00"/>
        <d v="2026-03-03T09:32:00"/>
        <d v="2026-03-03T09:40:00"/>
        <d v="2026-03-03T11:07:00"/>
        <d v="2026-03-03T11:11:00"/>
        <d v="2026-03-03T11:21:00"/>
        <d v="2026-03-03T11:42:00"/>
        <d v="2026-03-03T11:45:00"/>
        <d v="2026-03-03T12:02:00"/>
        <d v="2026-03-03T13:36:00"/>
        <d v="2026-03-03T13:39:00"/>
        <d v="2026-03-03T15:22:00"/>
        <d v="2026-03-03T15:47:00"/>
        <d v="2026-03-03T16:02:00"/>
        <d v="2026-03-03T17:24:00"/>
        <d v="2026-03-03T20:58:00"/>
        <d v="2026-03-03T22:18:00"/>
        <d v="2026-03-04T02:26:00"/>
        <d v="2026-03-04T04:26:00"/>
        <d v="2026-03-04T08:08:00"/>
        <d v="2026-03-04T09:11:00"/>
        <d v="2026-03-04T09:52:00"/>
        <d v="2026-03-04T10:06:00"/>
        <d v="2026-03-04T10:58:00"/>
        <d v="2026-03-04T11:06:00"/>
        <d v="2026-03-04T11:07:00"/>
        <d v="2026-03-04T11:45:00"/>
        <d v="2026-03-04T12:11:00"/>
        <d v="2026-03-04T12:55:00"/>
        <d v="2026-03-04T14:58:00"/>
        <d v="2026-03-04T16:47:00"/>
        <d v="2026-03-04T17:51:00"/>
        <d v="2026-03-04T19:29:00"/>
        <d v="2026-03-04T21:42:00"/>
        <d v="2026-03-05T03:43:00"/>
        <d v="2026-03-05T07:17:00"/>
        <d v="2026-03-05T08:24:00"/>
        <d v="2026-03-05T09:40:00"/>
        <d v="2026-03-05T10:10:00"/>
        <d v="2026-03-05T10:16:00"/>
        <d v="2026-03-05T10:44:00"/>
        <d v="2026-03-05T10:55:00"/>
        <d v="2026-03-05T11:03:00"/>
        <d v="2026-03-05T11:04:00"/>
        <d v="2026-03-05T12:39:00"/>
        <d v="2026-03-05T12:59:00"/>
        <d v="2026-03-05T13:16:00"/>
        <d v="2026-03-05T13:23:00"/>
        <d v="2026-03-05T13:55:00"/>
        <d v="2026-03-05T14:49:00"/>
        <d v="2026-03-05T14:53:00"/>
        <d v="2026-03-05T15:00:00"/>
        <d v="2026-03-05T15:01:00"/>
        <d v="2026-03-05T15:19:00"/>
        <d v="2026-03-05T16:02:00"/>
        <d v="2026-03-05T17:39:00"/>
        <d v="2026-03-05T18:13:00"/>
        <d v="2026-03-05T18:18:00"/>
        <d v="2026-03-05T20:46:00"/>
        <d v="2026-03-06T06:06:00"/>
        <d v="2026-03-06T07:47:00"/>
        <d v="2026-03-06T10:19:00"/>
        <d v="2026-03-06T10:33:00"/>
        <d v="2026-03-06T10:44:00"/>
        <d v="2026-03-06T11:02:00"/>
        <d v="2026-03-06T11:17:00"/>
        <d v="2026-03-06T13:52:00"/>
        <d v="2026-03-06T14:22:00"/>
        <d v="2026-03-06T14:45:00"/>
        <d v="2026-03-06T14:47:00"/>
        <d v="2026-03-06T15:10:00"/>
        <d v="2026-03-06T15:55:00"/>
        <d v="2026-03-06T15:59:00"/>
        <d v="2026-03-06T16:46:00"/>
        <d v="2026-03-06T17:02:00"/>
        <d v="2026-03-06T20:11:00"/>
        <d v="2026-03-06T22:35:00"/>
        <d v="2026-03-07T05:02:00"/>
        <d v="2026-03-07T09:11:00"/>
        <d v="2026-03-07T10:44:00"/>
        <d v="2026-03-07T10:55:00"/>
        <d v="2026-03-07T11:07:00"/>
        <d v="2026-03-07T13:31:00"/>
        <d v="2026-03-07T14:29:00"/>
        <d v="2026-03-07T14:36:00"/>
        <d v="2026-03-07T14:46:00"/>
        <d v="2026-03-07T15:45:00"/>
        <d v="2026-03-07T17:32:00"/>
        <d v="2026-03-07T22:10:00"/>
        <d v="2026-03-08T07:52:00"/>
        <d v="2026-03-08T10:16:00"/>
        <d v="2026-03-08T10:19:00"/>
        <d v="2026-03-08T10:32:00"/>
        <d v="2026-03-08T10:49:00"/>
        <d v="2026-03-08T10:57:00"/>
        <d v="2026-03-08T11:46:00"/>
        <d v="2026-03-08T12:38:00"/>
        <d v="2026-03-08T12:50:00"/>
        <d v="2026-03-08T13:07:00"/>
        <d v="2026-03-08T13:09:00"/>
        <d v="2026-03-08T13:15:00"/>
        <d v="2026-03-08T13:47:00"/>
        <d v="2026-03-08T13:48:00"/>
        <d v="2026-03-08T13:51:00"/>
        <d v="2026-03-08T16:37:00"/>
        <d v="2026-03-08T16:39:00"/>
        <d v="2026-03-08T16:54:00"/>
        <d v="2026-03-08T16:59:00"/>
        <d v="2026-03-08T17:45:00"/>
        <d v="2026-03-08T18:38:00"/>
        <d v="2026-03-08T18:52:00"/>
        <d v="2026-03-08T20:05:00"/>
        <d v="2026-03-08T23:43:00"/>
        <d v="2026-03-09T05:05:00"/>
        <d v="2026-03-09T06:00:00"/>
        <d v="2026-03-09T07:00:00"/>
        <d v="2026-03-09T07:21:00"/>
        <d v="2026-03-09T08:00:00"/>
        <d v="2026-03-09T08:30:00"/>
        <d v="2026-03-09T09:00:00"/>
        <d v="2026-03-09T09:02:00"/>
        <d v="2026-03-09T09:18:00"/>
        <d v="2026-03-09T09:19:00"/>
        <d v="2026-03-09T09:21:00"/>
        <d v="2026-03-09T09:57:00"/>
        <d v="2026-03-09T10:00:00"/>
        <d v="2026-03-09T10:08:00"/>
        <d v="2026-03-09T10:15:00"/>
        <d v="2026-03-09T11:00:00"/>
        <d v="2026-03-09T11:05:00"/>
        <d v="2026-03-09T11:46:00"/>
        <d v="2026-03-09T12:00:00"/>
        <d v="2026-03-09T12:06:00"/>
        <d v="2026-03-09T12:42:00"/>
        <d v="2026-03-09T12:48:00"/>
        <d v="2026-03-09T13:00:00"/>
        <d v="2026-03-09T13:36:00"/>
        <d v="2026-03-09T13:43:00"/>
        <d v="2026-03-09T13:51:00"/>
        <d v="2026-03-09T14:00:00"/>
        <d v="2026-03-09T14:38:00"/>
        <d v="2026-03-09T15:00:00"/>
        <d v="2026-03-09T15:02:00"/>
        <d v="2026-03-09T15:08:00"/>
        <d v="2026-03-09T15:33:00"/>
        <d v="2026-03-09T15:52:00"/>
        <d v="2026-03-09T15:59:00"/>
        <d v="2026-03-09T16:00:00"/>
        <d v="2026-03-09T16:12:00"/>
        <d v="2026-03-09T16:14:00"/>
        <d v="2026-03-09T17:00:00"/>
        <d v="2026-03-09T17:05:00"/>
        <d v="2026-03-09T18:00:00"/>
        <d v="2026-03-09T18:24:00"/>
        <d v="2026-03-09T19:00:00"/>
        <d v="2026-03-09T19:54:00"/>
        <d v="2026-03-09T20:00:00"/>
        <d v="2026-03-09T21:00:00"/>
        <d v="2026-03-09T21:05:00"/>
        <d v="2026-03-10T07:08:00"/>
        <d v="2026-03-10T07:55:00"/>
        <d v="2026-03-10T08:00:00"/>
        <d v="2026-03-10T09:05:00"/>
        <d v="2026-03-10T09:26:00"/>
        <d v="2026-03-10T09:50:00"/>
        <d v="2026-03-10T10:00:00"/>
        <d v="2026-03-10T10:13:00"/>
        <d v="2026-03-10T10:55:00"/>
        <d v="2026-03-10T11:00:00"/>
        <d v="2026-03-10T11:38:00"/>
        <d v="2026-03-10T12:00:00"/>
        <d v="2026-03-10T12:04:00"/>
        <d v="2026-03-10T12:23:00"/>
        <d v="2026-03-10T12:45:00"/>
        <d v="2026-03-10T12:48:00"/>
        <d v="2026-03-10T13:00:00"/>
        <d v="2026-03-10T13:11:00"/>
        <d v="2026-03-10T14:00:00"/>
        <d v="2026-03-10T14:28:00"/>
        <d v="2026-03-10T15:00:00"/>
        <d v="2026-03-10T16:00:00"/>
        <d v="2026-03-10T16:08:00"/>
        <d v="2026-03-10T16:57:00"/>
        <d v="2026-03-10T17:00:00"/>
        <d v="2026-03-10T17:09:00"/>
        <d v="2026-03-10T18:00:00"/>
        <d v="2026-03-10T19:00:00"/>
        <d v="2026-03-10T19:25:00"/>
        <d v="2026-03-10T20:30:00"/>
        <d v="2026-03-10T20:35:00"/>
        <d v="2026-03-10T21:00:00"/>
        <d v="2026-03-11T04:31:00"/>
        <d v="2026-03-11T06:00:00"/>
        <d v="2026-03-11T06:13:00"/>
        <d v="2026-03-11T07:00:00"/>
        <d v="2026-03-11T08:00:00"/>
        <d v="2026-03-11T08:08:00"/>
        <d v="2026-03-11T09:00:00"/>
        <d v="2026-03-11T09:14:00"/>
        <d v="2026-03-11T09:17:00"/>
        <d v="2026-03-11T09:20:00"/>
        <d v="2026-03-11T10:09:00"/>
        <d v="2026-03-11T10:46:00"/>
        <d v="2026-03-11T11:00:00"/>
        <d v="2026-03-11T11:09:00"/>
        <d v="2026-03-11T11:22:00"/>
        <d v="2026-03-11T11:24:00"/>
        <d v="2026-03-11T13:00:00"/>
        <d v="2026-03-11T13:35:00"/>
        <d v="2026-03-11T13:43:00"/>
        <d v="2026-03-11T13:55:00"/>
        <d v="2026-03-11T14:00:00"/>
        <d v="2026-03-11T14:06:00"/>
        <d v="2026-03-11T14:51:00"/>
        <d v="2026-03-11T15:00:00"/>
        <d v="2026-03-11T15:23:00"/>
        <d v="2026-03-11T15:53:00"/>
        <d v="2026-03-11T16:00:00"/>
        <d v="2026-03-11T17:32:00"/>
        <d v="2026-03-11T18:00:00"/>
        <d v="2026-03-11T18:02:00"/>
        <d v="2026-03-11T18:24:00"/>
        <d v="2026-03-11T18:55:00"/>
        <d v="2026-03-11T19:00:00"/>
        <d v="2026-03-11T19:01:00"/>
        <d v="2026-03-11T19:02:00"/>
        <d v="2026-03-11T21:00:00"/>
        <d v="2026-03-11T21:23:00"/>
        <d v="2026-03-12T06:00:00"/>
        <d v="2026-03-12T06:03:00"/>
        <d v="2026-03-12T06:53:00"/>
        <d v="2026-03-12T07:00:00"/>
        <d v="2026-03-12T08:00:00"/>
        <d v="2026-03-12T08:22:00"/>
        <d v="2026-03-12T09:00:00"/>
        <d v="2026-03-12T09:05:00"/>
        <d v="2026-03-12T10:00:00"/>
        <d v="2026-03-12T10:45:00"/>
        <d v="2026-03-12T11:13:00"/>
        <d v="2026-03-12T12:00:00"/>
        <d v="2026-03-12T12:26:00"/>
        <d v="2026-03-12T12:30:00"/>
        <d v="2026-03-12T12:37:00"/>
        <d v="2026-03-12T12:49:00"/>
        <d v="2026-03-12T13:28:00"/>
        <d v="2026-03-12T13:59:00"/>
        <d v="2026-03-12T14:00:00"/>
        <d v="2026-03-12T14:10:00"/>
        <d v="2026-03-12T14:26:00"/>
        <d v="2026-03-12T14:39:00"/>
        <d v="2026-03-12T16:00:00"/>
        <d v="2026-03-12T16:19:00"/>
        <d v="2026-03-12T16:40:00"/>
        <d v="2026-03-12T17:00:00"/>
        <d v="2026-03-12T17:18:00"/>
        <d v="2026-03-12T18:00:00"/>
        <d v="2026-03-12T19:00:00"/>
        <d v="2026-03-12T20:00:00"/>
        <d v="2026-03-12T20:42:00"/>
        <d v="2026-03-12T21:00:00"/>
        <d v="2026-03-12T22:13:00"/>
        <d v="2026-03-13T02:04:00"/>
        <d v="2026-03-13T05:18:00"/>
        <d v="2026-03-13T06:00:00"/>
        <d v="2026-03-13T06:27:00"/>
        <d v="2026-03-13T07:00:00"/>
        <d v="2026-03-13T07:46:00"/>
        <d v="2026-03-13T08:00:00"/>
        <d v="2026-03-13T08:12:00"/>
        <d v="2026-03-13T09:00:00"/>
        <d v="2026-03-13T09:20:00"/>
        <d v="2026-03-13T10:00:00"/>
        <d v="2026-03-13T10:15:00"/>
        <d v="2026-03-13T10:17:00"/>
        <d v="2026-03-13T10:24:00"/>
        <d v="2026-03-13T10:25:00"/>
        <d v="2026-03-13T11:00:00"/>
        <d v="2026-03-13T11:38:00"/>
        <d v="2026-03-13T12:00:00"/>
        <d v="2026-03-13T12:05:00"/>
        <d v="2026-03-13T12:57:00"/>
        <d v="2026-03-13T13:00:00"/>
        <d v="2026-03-13T14:00:00"/>
        <d v="2026-03-13T14:04:00"/>
        <d v="2026-03-13T14:25:00"/>
        <d v="2026-03-13T15:00:00"/>
        <d v="2026-03-13T15:43:00"/>
        <d v="2026-03-13T16:00:00"/>
        <d v="2026-03-13T16:02:00"/>
        <d v="2026-03-13T16:28:00"/>
        <d v="2026-03-13T16:42:00"/>
        <d v="2026-03-13T16:53:00"/>
        <d v="2026-03-13T16:54:00"/>
        <d v="2026-03-13T17:00:00"/>
        <d v="2026-03-13T17:01:00"/>
        <d v="2026-03-13T18:00:00"/>
        <d v="2026-03-13T19:00:00"/>
        <d v="2026-03-13T20:00:00"/>
        <d v="2026-03-13T20:28:00"/>
        <d v="2026-03-14T05:51:00"/>
        <d v="2026-03-14T06:00:00"/>
        <d v="2026-03-14T06:23:00"/>
        <d v="2026-03-14T07:49:00"/>
        <d v="2026-03-14T08:00:00"/>
        <d v="2026-03-14T08:14:00"/>
        <d v="2026-03-14T08:59:00"/>
        <d v="2026-03-14T09:00:00"/>
        <d v="2026-03-14T09:11:00"/>
        <d v="2026-03-14T09:37:00"/>
        <d v="2026-03-14T10:44:00"/>
        <d v="2026-03-14T11:00:00"/>
        <d v="2026-03-14T12:00:00"/>
        <d v="2026-03-14T12:57:00"/>
        <d v="2026-03-14T13:00:00"/>
        <d v="2026-03-14T13:04:00"/>
        <d v="2026-03-14T13:22:00"/>
        <d v="2026-03-14T13:31:00"/>
        <d v="2026-03-14T13:49:00"/>
        <d v="2026-03-14T13:51:00"/>
        <d v="2026-03-14T14:00:00"/>
        <d v="2026-03-14T14:29:00"/>
        <d v="2026-03-14T15:00:00"/>
        <d v="2026-03-14T15:05:00"/>
        <d v="2026-03-14T15:25:00"/>
        <d v="2026-03-14T15:58:00"/>
        <d v="2026-03-14T16:40:00"/>
        <d v="2026-03-14T16:57:00"/>
        <d v="2026-03-14T17:00:00"/>
        <d v="2026-03-14T17:09:00"/>
        <d v="2026-03-14T17:16:00"/>
        <d v="2026-03-14T17:18:00"/>
        <d v="2026-03-14T18:00:00"/>
        <d v="2026-03-14T19:00:00"/>
        <d v="2026-03-14T20:00:00"/>
        <d v="2026-03-14T21:13:00"/>
        <d v="2026-03-14T22:59:00"/>
        <d v="2026-03-15T01:32:00"/>
        <d v="2026-03-15T06:00:00"/>
        <d v="2026-03-15T06:26:00"/>
        <d v="2026-03-15T07:00:00"/>
        <d v="2026-03-15T07:47:00"/>
        <d v="2026-03-15T08:00:00"/>
        <d v="2026-03-15T08:06:00"/>
        <d v="2026-03-15T08:28:00"/>
        <d v="2026-03-15T09:00:00"/>
        <d v="2026-03-15T09:22:00"/>
        <d v="2026-03-15T09:45:00"/>
        <d v="2026-03-15T10:00:00"/>
        <d v="2026-03-15T10:01:00"/>
        <d v="2026-03-15T10:08:00"/>
        <d v="2026-03-15T10:47:00"/>
        <d v="2026-03-15T10:55:00"/>
        <d v="2026-03-15T11:00:00"/>
        <d v="2026-03-15T11:13:00"/>
        <d v="2026-03-15T11:42:00"/>
        <d v="2026-03-15T11:58:00"/>
        <d v="2026-03-15T12:00:00"/>
        <d v="2026-03-15T12:10:00"/>
        <d v="2026-03-15T12:12:00"/>
        <d v="2026-03-15T12:37:00"/>
        <d v="2026-03-15T12:42:00"/>
        <d v="2026-03-15T12:49:00"/>
        <d v="2026-03-15T13:00:00"/>
        <d v="2026-03-15T13:23:00"/>
        <d v="2026-03-15T14:00:00"/>
        <d v="2026-03-15T15:00:00"/>
        <d v="2026-03-15T15:10:00"/>
        <d v="2026-03-15T15:55:00"/>
        <d v="2026-03-15T16:00:00"/>
        <d v="2026-03-15T16:13:00"/>
        <d v="2026-03-15T16:19:00"/>
        <d v="2026-03-15T16:29:00"/>
        <d v="2026-03-15T16:44:00"/>
        <d v="2026-03-15T17:00:00"/>
        <d v="2026-03-15T17:31:00"/>
        <d v="2026-03-15T17:41:00"/>
        <d v="2026-03-15T18:00:00"/>
        <d v="2026-03-15T18:35:00"/>
        <d v="2026-03-15T18:40:00"/>
        <d v="2026-03-15T19:00:00"/>
        <d v="2026-03-15T19:59:00"/>
        <d v="2026-03-15T20:00:00"/>
        <d v="2026-03-15T20:44:00"/>
        <d v="2026-03-15T21:00:00"/>
        <d v="2026-03-15T23:09:00"/>
        <d v="2026-03-16T07:52:00"/>
        <d v="2026-03-16T09:39:00"/>
        <d v="2026-03-16T10:07:00"/>
        <d v="2026-03-16T10:55:00"/>
        <d v="2026-03-16T12:53:00"/>
        <d v="2026-03-16T13:38:00"/>
        <d v="2026-03-16T15:19:00"/>
        <d v="2026-03-16T15:51:00"/>
        <d v="2026-03-16T15:57:00"/>
        <d v="2026-03-16T17:32:00"/>
        <d v="2026-03-16T17:40:00"/>
        <d v="2026-03-16T21:14:00"/>
        <d v="2026-03-17T04:09:00"/>
        <d v="2026-03-17T07:07:00"/>
        <d v="2026-03-17T08:08:00"/>
        <d v="2026-03-17T08:12:00"/>
        <d v="2026-03-17T08:18:00"/>
        <d v="2026-03-17T09:38:00"/>
        <d v="2026-03-17T10:56:00"/>
        <d v="2026-03-17T10:59:00"/>
        <d v="2026-03-17T12:51:00"/>
        <d v="2026-03-17T13:52:00"/>
        <d v="2026-03-17T13:55:00"/>
        <d v="2026-03-17T16:09:00"/>
        <d v="2026-03-17T18:27:00"/>
        <d v="2026-03-17T19:01:00"/>
        <d v="2026-03-17T19:31:00"/>
        <d v="2026-03-17T22:24:00"/>
        <d v="2026-03-17T22:27:00"/>
        <d v="2026-03-17T22:33:00"/>
        <d v="2026-03-18T03:58:00"/>
        <d v="2026-03-18T04:17:00"/>
        <d v="2026-03-18T05:05:00"/>
        <d v="2026-03-18T05:43:00"/>
        <d v="2026-03-18T07:28:00"/>
        <d v="2026-03-18T07:33:00"/>
        <d v="2026-03-18T07:42:00"/>
        <d v="2026-03-18T08:34:00"/>
        <d v="2026-03-18T08:39:00"/>
        <d v="2026-03-18T08:54:00"/>
        <d v="2026-03-18T10:02:00"/>
        <d v="2026-03-18T11:09:00"/>
        <d v="2026-03-18T11:27:00"/>
        <d v="2026-03-18T11:40:00"/>
        <d v="2026-03-18T12:38:00"/>
        <d v="2026-03-18T13:12:00"/>
        <d v="2026-03-18T13:13:00"/>
        <d v="2026-03-18T13:22:00"/>
        <d v="2026-03-18T13:39:00"/>
        <d v="2026-03-18T16:27:00"/>
        <d v="2026-03-18T16:41:00"/>
        <d v="2026-03-18T16:58:00"/>
        <d v="2026-03-18T19:28:00"/>
        <d v="2026-03-18T19:33:00"/>
        <d v="2026-03-18T20:12:00"/>
        <d v="2026-03-18T20:26:00"/>
        <d v="2026-03-18T22:52:00"/>
        <d v="2026-03-19T06:09:00"/>
        <d v="2026-03-19T06:41:00"/>
        <d v="2026-03-19T06:42:00"/>
        <d v="2026-03-19T10:29:00"/>
        <d v="2026-03-19T11:00:00"/>
        <d v="2026-03-19T11:46:00"/>
        <d v="2026-03-19T12:19:00"/>
        <d v="2026-03-19T12:41:00"/>
        <d v="2026-03-19T13:04:00"/>
        <d v="2026-03-19T13:12:00"/>
        <d v="2026-03-19T13:44:00"/>
        <d v="2026-03-19T14:08:00"/>
        <d v="2026-03-19T15:16:00"/>
        <d v="2026-03-19T16:45:00"/>
        <d v="2026-03-19T16:57:00"/>
        <d v="2026-03-19T17:36:00"/>
        <d v="2026-03-19T18:09:00"/>
        <d v="2026-03-19T18:31:00"/>
        <d v="2026-03-19T18:57:00"/>
        <d v="2026-03-19T23:51:00"/>
        <d v="2026-03-20T03:29:00"/>
        <d v="2026-03-20T08:30:00"/>
        <d v="2026-03-20T08:38:00"/>
        <d v="2026-03-20T09:49:00"/>
        <d v="2026-03-20T11:20:00"/>
        <d v="2026-03-20T11:38:00"/>
        <d v="2026-03-20T11:51:00"/>
        <d v="2026-03-20T11:53:00"/>
        <d v="2026-03-20T12:04:00"/>
        <d v="2026-03-20T13:32:00"/>
        <d v="2026-03-20T13:46:00"/>
        <d v="2026-03-20T14:11:00"/>
        <d v="2026-03-20T14:21:00"/>
        <d v="2026-03-20T15:26:00"/>
        <d v="2026-03-20T15:47:00"/>
        <d v="2026-03-20T16:22:00"/>
        <d v="2026-03-20T16:28:00"/>
        <d v="2026-03-20T16:39:00"/>
        <d v="2026-03-20T17:31:00"/>
        <d v="2026-03-21T05:53:00"/>
        <d v="2026-03-21T07:54:00"/>
        <d v="2026-03-21T09:13:00"/>
        <d v="2026-03-21T09:31:00"/>
        <d v="2026-03-21T10:00:00"/>
        <d v="2026-03-21T10:04:00"/>
        <d v="2026-03-21T10:38:00"/>
        <d v="2026-03-21T10:43:00"/>
        <d v="2026-03-21T11:12:00"/>
        <d v="2026-03-21T12:56:00"/>
        <d v="2026-03-21T12:57:00"/>
        <d v="2026-03-21T13:47:00"/>
        <d v="2026-03-21T13:58:00"/>
        <d v="2026-03-21T14:01:00"/>
        <d v="2026-03-21T14:07:00"/>
        <d v="2026-03-21T16:19:00"/>
        <d v="2026-03-21T16:20:00"/>
        <d v="2026-03-21T16:39:00"/>
        <d v="2026-03-21T18:20:00"/>
        <d v="2026-03-21T23:46:00"/>
        <d v="2026-03-21T23:49:00"/>
        <d v="2026-03-22T06:10:00"/>
        <d v="2026-03-22T06:58:00"/>
        <d v="2026-03-22T08:21:00"/>
        <d v="2026-03-22T09:04:00"/>
        <d v="2026-03-22T09:20:00"/>
        <d v="2026-03-22T09:36:00"/>
        <d v="2026-03-22T10:35:00"/>
        <d v="2026-03-22T11:39:00"/>
        <d v="2026-03-22T11:42:00"/>
        <d v="2026-03-22T12:14:00"/>
        <d v="2026-03-22T12:16:00"/>
        <d v="2026-03-22T12:35:00"/>
        <d v="2026-03-22T12:42:00"/>
        <d v="2026-03-22T12:59:00"/>
        <d v="2026-03-22T13:11:00"/>
        <d v="2026-03-22T14:04:00"/>
        <d v="2026-03-22T14:25:00"/>
        <d v="2026-03-22T15:11:00"/>
        <d v="2026-03-22T15:20:00"/>
        <d v="2026-03-22T16:05:00"/>
        <d v="2026-03-22T16:28:00"/>
        <d v="2026-03-22T18:22:00"/>
        <d v="2026-03-22T18:56:00"/>
        <d v="2026-03-22T19:27:00"/>
        <d v="2026-03-22T20:12:00"/>
        <d v="2026-03-22T23:30:00"/>
        <d v="2026-03-23T04:48:00"/>
        <d v="2026-03-23T05:21:00"/>
        <d v="2026-03-23T06:21:00"/>
        <d v="2026-03-23T07:36:00"/>
        <d v="2026-03-23T08:13:00"/>
        <d v="2026-03-23T08:51:00"/>
        <d v="2026-03-23T08:55:00"/>
        <d v="2026-03-23T09:22:00"/>
        <d v="2026-03-23T09:44:00"/>
        <d v="2026-03-23T10:19:00"/>
        <d v="2026-03-23T10:45:00"/>
        <d v="2026-03-23T11:33:00"/>
        <d v="2026-03-23T11:55:00"/>
        <d v="2026-03-23T11:59:00"/>
        <d v="2026-03-23T12:00:00"/>
        <d v="2026-03-23T13:50:00"/>
        <d v="2026-03-23T14:05:00"/>
        <d v="2026-03-23T14:39:00"/>
        <d v="2026-03-23T14:51:00"/>
        <d v="2026-03-23T14:57:00"/>
        <d v="2026-03-23T14:59:00"/>
        <d v="2026-03-23T18:05:00"/>
        <d v="2026-03-23T19:13:00"/>
        <d v="2026-03-24T04:05:00"/>
        <d v="2026-03-24T06:53:00"/>
        <d v="2026-03-24T07:45:00"/>
        <d v="2026-03-24T08:09:00"/>
        <d v="2026-03-24T08:15:00"/>
        <d v="2026-03-24T08:38:00"/>
        <d v="2026-03-24T09:15:00"/>
        <d v="2026-03-24T09:37:00"/>
        <d v="2026-03-24T11:32:00"/>
        <d v="2026-03-24T12:33:00"/>
        <d v="2026-03-24T12:49:00"/>
        <d v="2026-03-24T13:37:00"/>
        <d v="2026-03-24T13:52:00"/>
        <d v="2026-03-24T14:19:00"/>
        <d v="2026-03-24T14:45:00"/>
        <d v="2026-03-24T14:56:00"/>
        <d v="2026-03-24T14:58:00"/>
        <d v="2026-03-24T16:04:00"/>
        <d v="2026-03-24T16:09:00"/>
        <d v="2026-03-24T18:04:00"/>
        <d v="2026-03-24T19:08:00"/>
        <d v="2026-03-24T20:46:00"/>
        <d v="2026-03-24T21:40:00"/>
        <d v="2026-03-24T22:41:00"/>
        <d v="2026-03-25T05:59:00"/>
        <d v="2026-03-25T06:51:00"/>
        <d v="2026-03-25T09:01:00"/>
        <d v="2026-03-25T09:46:00"/>
        <d v="2026-03-25T11:25:00"/>
        <d v="2026-03-25T11:33:00"/>
        <d v="2026-03-25T11:36:00"/>
        <d v="2026-03-25T11:39:00"/>
        <d v="2026-03-25T12:01:00"/>
        <d v="2026-03-25T12:35:00"/>
        <d v="2026-03-25T13:09:00"/>
        <d v="2026-03-25T13:15:00"/>
        <d v="2026-03-25T13:53:00"/>
        <d v="2026-03-25T14:49:00"/>
        <d v="2026-03-25T14:56:00"/>
        <d v="2026-03-25T15:01:00"/>
        <d v="2026-03-25T15:38:00"/>
        <d v="2026-03-25T15:40:00"/>
        <d v="2026-03-25T15:54:00"/>
        <d v="2026-03-25T19:05:00"/>
        <d v="2026-03-25T19:26:00"/>
        <d v="2026-03-26T05:38:00"/>
        <d v="2026-03-26T05:46:00"/>
        <d v="2026-03-26T06:03:00"/>
        <d v="2026-03-26T06:40:00"/>
        <d v="2026-03-26T08:12:00"/>
        <d v="2026-03-26T08:41:00"/>
        <d v="2026-03-26T09:29:00"/>
        <d v="2026-03-26T10:11:00"/>
        <d v="2026-03-26T10:16:00"/>
        <d v="2026-03-26T10:30:00"/>
        <d v="2026-03-26T12:43:00"/>
        <d v="2026-03-26T13:11:00"/>
        <d v="2026-03-26T13:36:00"/>
        <d v="2026-03-26T14:18:00"/>
        <d v="2026-03-26T14:25:00"/>
        <d v="2026-03-26T14:44:00"/>
        <d v="2026-03-26T14:45:00"/>
        <d v="2026-03-26T15:42:00"/>
        <d v="2026-03-26T17:09:00"/>
        <d v="2026-03-26T17:16:00"/>
        <d v="2026-03-26T18:09:00"/>
        <d v="2026-03-26T18:43:00"/>
        <d v="2026-03-26T19:36:00"/>
        <d v="2026-03-27T03:08:00"/>
        <d v="2026-03-27T03:40:00"/>
        <d v="2026-03-27T04:38:00"/>
        <d v="2026-03-27T05:00:00"/>
        <d v="2026-03-27T06:13:00"/>
        <d v="2026-03-27T07:25:00"/>
        <d v="2026-03-27T07:26:00"/>
        <d v="2026-03-27T07:29:00"/>
        <d v="2026-03-27T08:05:00"/>
        <d v="2026-03-27T09:48:00"/>
        <d v="2026-03-27T10:15:00"/>
        <d v="2026-03-27T10:48:00"/>
        <d v="2026-03-27T10:54:00"/>
        <d v="2026-03-27T10:58:00"/>
        <d v="2026-03-27T11:14:00"/>
        <d v="2026-03-27T11:33:00"/>
        <d v="2026-03-27T11:50:00"/>
        <d v="2026-03-27T13:00:00"/>
        <d v="2026-03-27T13:15:00"/>
        <d v="2026-03-27T13:37:00"/>
        <d v="2026-03-27T13:48:00"/>
        <d v="2026-03-27T19:31:00"/>
        <d v="2026-03-28T05:59:00"/>
        <d v="2026-03-28T06:37:00"/>
        <d v="2026-03-28T07:58:00"/>
        <d v="2026-03-28T08:36:00"/>
        <d v="2026-03-28T09:30:00"/>
        <d v="2026-03-28T09:43:00"/>
        <d v="2026-03-28T11:23:00"/>
        <d v="2026-03-28T11:28:00"/>
        <d v="2026-03-28T12:39:00"/>
        <d v="2026-03-28T12:40:00"/>
        <d v="2026-03-28T13:41:00"/>
        <d v="2026-03-28T14:35:00"/>
        <d v="2026-03-28T14:59:00"/>
        <d v="2026-03-28T16:06:00"/>
        <d v="2026-03-28T16:20:00"/>
        <d v="2026-03-28T16:57:00"/>
        <d v="2026-03-28T17:56:00"/>
        <d v="2026-03-28T19:07:00"/>
        <d v="2026-03-28T19:50:00"/>
        <d v="2026-03-28T21:24:00"/>
        <d v="2026-03-29T03:01:00"/>
        <d v="2026-03-29T05:45:00"/>
        <d v="2026-03-29T06:00:00"/>
        <d v="2026-03-29T06:05:00"/>
        <d v="2026-03-29T06:14:00"/>
        <d v="2026-03-29T06:47:00"/>
        <d v="2026-03-29T08:52:00"/>
        <d v="2026-03-29T09:28:00"/>
        <d v="2026-03-29T10:24:00"/>
        <d v="2026-03-29T10:39:00"/>
        <d v="2026-03-29T11:21:00"/>
        <d v="2026-03-29T11:30:00"/>
        <d v="2026-03-29T11:41:00"/>
        <d v="2026-03-29T11:54:00"/>
        <d v="2026-03-29T12:05:00"/>
        <d v="2026-03-29T12:13:00"/>
        <d v="2026-03-29T12:19:00"/>
        <d v="2026-03-29T12:39:00"/>
        <d v="2026-03-29T13:36:00"/>
        <d v="2026-03-29T13:37:00"/>
        <d v="2026-03-29T14:00:00"/>
        <d v="2026-03-29T14:25:00"/>
        <d v="2026-03-29T14:53:00"/>
        <d v="2026-03-29T15:41:00"/>
        <d v="2026-03-29T17:46:00"/>
        <d v="2026-03-29T19:40:00"/>
        <d v="2026-03-30T04:24:00"/>
        <d v="2026-03-30T05:28:00"/>
        <d v="2026-03-30T06:22:00"/>
        <d v="2026-03-30T09:34:00"/>
        <d v="2026-03-30T09:47:00"/>
        <d v="2026-03-30T10:17:00"/>
        <d v="2026-03-30T10:38:00"/>
        <d v="2026-03-30T10:50:00"/>
        <d v="2026-03-30T10:58:00"/>
        <d v="2026-03-30T11:24:00"/>
        <d v="2026-03-30T11:26:00"/>
        <d v="2026-03-30T12:40:00"/>
        <d v="2026-03-30T13:22:00"/>
        <d v="2026-03-30T14:14:00"/>
        <d v="2026-03-30T16:53:00"/>
        <d v="2026-03-30T17:08:00"/>
        <d v="2026-03-31T01:12:00"/>
        <d v="2026-03-31T04:09:00"/>
        <d v="2026-03-31T04:14:00"/>
        <d v="2026-03-31T04:47:00"/>
        <d v="2026-03-31T04:53:00"/>
        <d v="2026-03-31T08:23:00"/>
        <d v="2026-03-31T09:15:00"/>
        <d v="2026-03-31T10:05:00"/>
        <d v="2026-03-31T10:20:00"/>
        <d v="2026-03-31T10:45:00"/>
        <d v="2026-03-31T10:52:00"/>
        <d v="2026-03-31T12:40:00"/>
        <d v="2026-03-31T14:08:00"/>
        <d v="2026-03-31T14:20:00"/>
        <d v="2026-03-31T15:10:00"/>
        <d v="2026-03-31T15:46:00"/>
        <d v="2026-03-31T16:55:00"/>
        <d v="2026-03-31T17:02:00"/>
        <d v="2026-03-31T17:41:00"/>
        <d v="2026-04-01T05:26:00"/>
        <d v="2026-04-01T08:20:00"/>
        <d v="2026-04-01T08:44:00"/>
        <d v="2026-04-01T09:08:00"/>
        <d v="2026-04-01T10:17:00"/>
        <d v="2026-04-01T11:01:00"/>
        <d v="2026-04-01T11:03:00"/>
        <d v="2026-04-01T11:31:00"/>
        <d v="2026-04-01T12:23:00"/>
        <d v="2026-04-01T12:54:00"/>
        <d v="2026-04-01T12:58:00"/>
        <d v="2026-04-01T13:10:00"/>
        <d v="2026-04-01T13:45:00"/>
        <d v="2026-04-01T14:20:00"/>
        <d v="2026-04-01T14:49:00"/>
        <d v="2026-04-01T14:56:00"/>
        <d v="2026-04-01T16:37:00"/>
        <d v="2026-04-01T17:21:00"/>
        <d v="2026-04-01T17:41:00"/>
        <d v="2026-04-01T17:49:00"/>
        <d v="2026-04-01T17:50:00"/>
        <d v="2026-04-01T18:41:00"/>
        <d v="2026-04-01T18:55:00"/>
        <d v="2026-04-01T18:58:00"/>
        <d v="2026-04-01T19:09:00"/>
        <d v="2026-04-01T20:54:00"/>
        <d v="2026-04-02T06:30:00"/>
        <d v="2026-04-02T07:07:00"/>
        <d v="2026-04-02T07:38:00"/>
        <d v="2026-04-02T08:23:00"/>
        <d v="2026-04-02T09:56:00"/>
        <d v="2026-04-02T10:03:00"/>
        <d v="2026-04-02T10:43:00"/>
        <d v="2026-04-02T11:01:00"/>
        <d v="2026-04-02T11:26:00"/>
        <d v="2026-04-02T11:53:00"/>
        <d v="2026-04-02T12:16:00"/>
        <d v="2026-04-02T13:10:00"/>
        <d v="2026-04-02T13:36:00"/>
        <d v="2026-04-02T13:46:00"/>
        <d v="2026-04-02T13:51:00"/>
        <d v="2026-04-02T14:04:00"/>
        <d v="2026-04-02T14:32:00"/>
        <d v="2026-04-02T16:00:00"/>
        <d v="2026-04-02T16:26:00"/>
        <d v="2026-04-02T18:26:00"/>
        <d v="2026-04-02T19:31:00"/>
        <d v="2026-04-02T20:38:00"/>
        <d v="2026-04-02T22:11:00"/>
        <d v="2026-04-03T03:29:00"/>
        <d v="2026-04-03T04:41:00"/>
        <d v="2026-04-03T07:34:00"/>
        <d v="2026-04-03T08:27:00"/>
        <d v="2026-04-03T09:40:00"/>
        <d v="2026-04-03T09:42:00"/>
        <d v="2026-04-03T09:51:00"/>
        <d v="2026-04-03T10:06:00"/>
        <d v="2026-04-03T12:03:00"/>
        <d v="2026-04-03T12:13:00"/>
        <d v="2026-04-03T12:20:00"/>
        <d v="2026-04-03T12:43:00"/>
        <d v="2026-04-03T13:20:00"/>
        <d v="2026-04-03T13:42:00"/>
        <d v="2026-04-03T14:32:00"/>
        <d v="2026-04-03T15:25:00"/>
        <d v="2026-04-03T16:42:00"/>
        <d v="2026-04-03T17:01:00"/>
        <d v="2026-04-03T17:23:00"/>
        <d v="2026-04-03T17:32:00"/>
        <d v="2026-04-03T18:05:00"/>
        <d v="2026-04-03T19:06:00"/>
        <d v="2026-04-03T19:07:00"/>
        <d v="2026-04-03T23:17:00"/>
        <d v="2026-04-04T00:43:00"/>
        <d v="2026-04-04T03:02:00"/>
        <d v="2026-04-04T05:32:00"/>
        <d v="2026-04-04T08:16:00"/>
        <d v="2026-04-04T09:17:00"/>
        <d v="2026-04-04T09:21:00"/>
        <d v="2026-04-04T10:31:00"/>
        <d v="2026-04-04T12:17:00"/>
        <d v="2026-04-04T12:21:00"/>
        <d v="2026-04-04T12:58:00"/>
        <d v="2026-04-04T13:10:00"/>
        <d v="2026-04-04T13:11:00"/>
        <d v="2026-04-04T14:55:00"/>
        <d v="2026-04-04T15:34:00"/>
        <d v="2026-04-04T17:12:00"/>
        <d v="2026-04-04T17:19:00"/>
        <d v="2026-04-04T17:32:00"/>
        <d v="2026-04-04T19:45:00"/>
        <d v="2026-04-04T20:53:00"/>
        <d v="2026-04-04T23:00:00"/>
        <d v="2026-04-05T06:27:00"/>
        <d v="2026-04-05T07:20:00"/>
        <d v="2026-04-05T08:34:00"/>
        <d v="2026-04-05T09:29:00"/>
        <d v="2026-04-05T09:33:00"/>
        <d v="2026-04-05T12:06:00"/>
        <d v="2026-04-05T12:12:00"/>
        <d v="2026-04-05T12:20:00"/>
        <d v="2026-04-05T13:26:00"/>
        <d v="2026-04-05T14:06:00"/>
        <d v="2026-04-05T15:06:00"/>
        <d v="2026-04-05T16:35:00"/>
        <d v="2026-04-06T03:18:00"/>
        <d v="2026-04-06T04:33:00"/>
        <d v="2026-04-06T05:11:00"/>
        <d v="2026-04-06T07:38:00"/>
        <d v="2026-04-06T09:16:00"/>
        <d v="2026-04-06T10:33:00"/>
        <d v="2026-04-06T11:44:00"/>
        <d v="2026-04-06T12:01:00"/>
        <d v="2026-04-06T12:49:00"/>
        <d v="2026-04-06T14:50:00"/>
        <d v="2026-04-06T18:06:00"/>
        <d v="2026-04-07T04:15:00"/>
        <d v="2026-04-07T05:05:00"/>
        <d v="2026-04-07T07:24:00"/>
        <d v="2026-04-07T07:40:00"/>
        <d v="2026-04-07T10:08:00"/>
        <d v="2026-04-07T10:43:00"/>
        <d v="2026-04-07T11:05:00"/>
        <d v="2026-04-07T12:56:00"/>
        <d v="2026-04-07T13:09:00"/>
        <d v="2026-04-07T13:47:00"/>
        <d v="2026-04-07T14:26:00"/>
        <d v="2026-04-07T17:22:00"/>
        <d v="2026-04-07T17:28:00"/>
        <d v="2026-04-07T20:13:00"/>
        <d v="2026-04-07T20:38:00"/>
        <d v="2026-04-08T06:55:00"/>
        <d v="2026-04-08T07:39:00"/>
        <d v="2026-04-08T08:39:00"/>
        <d v="2026-04-08T10:07:00"/>
        <d v="2026-04-08T10:25:00"/>
        <d v="2026-04-08T10:30:00"/>
        <d v="2026-04-08T12:20:00"/>
        <d v="2026-04-08T12:58:00"/>
        <d v="2026-04-08T13:01:00"/>
        <d v="2026-04-08T14:07:00"/>
        <d v="2026-04-08T14:15:00"/>
        <d v="2026-04-08T14:54:00"/>
        <d v="2026-04-08T15:24:00"/>
        <d v="2026-04-08T16:08:00"/>
        <d v="2026-04-08T16:11:00"/>
        <d v="2026-04-08T16:21:00"/>
        <d v="2026-04-08T17:58:00"/>
        <d v="2026-04-08T18:19:00"/>
        <d v="2026-04-08T18:59:00"/>
        <d v="2026-04-08T22:49:00"/>
        <d v="2026-04-09T04:20:00"/>
        <d v="2026-04-09T04:39:00"/>
        <d v="2026-04-09T06:16:00"/>
        <d v="2026-04-09T07:19:00"/>
        <d v="2026-04-09T09:33:00"/>
        <d v="2026-04-09T10:54:00"/>
        <d v="2026-04-09T11:14:00"/>
        <d v="2026-04-09T11:27:00"/>
        <d v="2026-04-09T12:08:00"/>
        <d v="2026-04-09T12:43:00"/>
        <d v="2026-04-09T13:19:00"/>
        <d v="2026-04-09T13:20:00"/>
        <d v="2026-04-09T14:05:00"/>
        <d v="2026-04-09T14:31:00"/>
        <d v="2026-04-09T14:54:00"/>
        <d v="2026-04-09T15:32:00"/>
        <d v="2026-04-09T16:41:00"/>
        <d v="2026-04-09T16:50:00"/>
        <d v="2026-04-09T17:09:00"/>
        <d v="2026-04-09T23:15:00"/>
        <d v="2026-04-10T04:51:00"/>
        <d v="2026-04-10T04:55:00"/>
        <d v="2026-04-10T06:30:00"/>
        <d v="2026-04-10T07:45:00"/>
        <d v="2026-04-10T08:02:00"/>
        <d v="2026-04-10T08:23:00"/>
        <d v="2026-04-10T09:35:00"/>
        <d v="2026-04-10T11:00:00"/>
        <d v="2026-04-10T11:07:00"/>
        <d v="2026-04-10T12:15:00"/>
        <d v="2026-04-10T12:17:00"/>
        <d v="2026-04-10T12:30:00"/>
        <d v="2026-04-10T12:46:00"/>
        <d v="2026-04-10T12:47:00"/>
        <d v="2026-04-10T13:23:00"/>
        <d v="2026-04-10T13:53:00"/>
        <d v="2026-04-10T13:55:00"/>
        <d v="2026-04-10T14:16:00"/>
        <d v="2026-04-10T14:31:00"/>
        <d v="2026-04-10T15:18:00"/>
        <d v="2026-04-10T15:38:00"/>
        <d v="2026-04-10T16:36:00"/>
        <d v="2026-04-10T19:52:00"/>
        <d v="2026-04-10T20:52:00"/>
        <d v="2026-04-11T05:04:00"/>
        <d v="2026-04-11T09:50:00"/>
        <d v="2026-04-11T10:08:00"/>
        <d v="2026-04-11T10:39:00"/>
        <d v="2026-04-11T12:34:00"/>
        <d v="2026-04-11T13:10:00"/>
        <d v="2026-04-11T13:16:00"/>
        <d v="2026-04-11T13:27:00"/>
        <d v="2026-04-11T13:59:00"/>
        <d v="2026-04-11T14:45:00"/>
        <d v="2026-04-11T15:08:00"/>
        <d v="2026-04-11T15:43:00"/>
        <d v="2026-04-11T16:58:00"/>
        <d v="2026-04-11T17:05:00"/>
        <d v="2026-04-11T17:06:00"/>
        <d v="2026-04-11T17:20:00"/>
        <d v="2026-04-11T18:35:00"/>
        <d v="2026-04-11T23:58:00"/>
        <d v="2026-04-12T02:59:00"/>
        <d v="2026-04-12T03:56:00"/>
        <d v="2026-04-12T04:33:00"/>
        <d v="2026-04-12T07:43:00"/>
        <d v="2026-04-12T09:15:00"/>
        <d v="2026-04-12T10:28:00"/>
        <d v="2026-04-12T12:08:00"/>
        <d v="2026-04-12T13:25:00"/>
        <d v="2026-04-12T13:27:00"/>
        <d v="2026-04-12T14:08:00"/>
        <d v="2026-04-12T14:14:00"/>
        <d v="2026-04-12T14:38:00"/>
        <d v="2026-04-12T14:58:00"/>
        <d v="2026-04-12T15:09:00"/>
        <d v="2026-04-12T15:48:00"/>
        <d v="2026-04-12T20:43:00"/>
        <d v="2026-04-12T21:21:00"/>
        <d v="2026-04-12T23:23:00"/>
        <d v="2026-04-13T03:28:00"/>
        <d v="2026-04-13T03:48:00"/>
        <d v="2026-04-13T06:59:00"/>
        <d v="2026-04-13T07:44:00"/>
        <d v="2026-04-13T08:07:00"/>
        <d v="2026-04-13T08:14:00"/>
        <d v="2026-04-13T08:52:00"/>
        <d v="2026-04-13T09:11:00"/>
        <d v="2026-04-13T09:31:00"/>
        <d v="2026-04-13T11:05:00"/>
        <d v="2026-04-13T11:40:00"/>
        <d v="2026-04-13T12:14:00"/>
        <d v="2026-04-13T12:33:00"/>
        <d v="2026-04-13T12:55:00"/>
        <d v="2026-04-13T13:37:00"/>
        <d v="2026-04-13T13:54:00"/>
        <d v="2026-04-13T14:55:00"/>
        <d v="2026-04-13T14:57:00"/>
        <d v="2026-04-13T15:04:00"/>
        <d v="2026-04-13T15:09:00"/>
        <d v="2026-04-13T15:13:00"/>
        <d v="2026-04-13T15:18:00"/>
        <d v="2026-04-13T15:30:00"/>
        <d v="2026-04-13T15:36:00"/>
        <d v="2026-04-13T16:07:00"/>
        <d v="2026-04-13T16:26:00"/>
        <d v="2026-04-13T17:06:00"/>
        <d v="2026-04-13T17:19:00"/>
        <d v="2026-04-13T17:55:00"/>
        <d v="2026-04-13T18:12:00"/>
        <d v="2026-04-13T18:45:00"/>
        <d v="2026-04-14T07:19:00"/>
        <d v="2026-04-14T08:20:00"/>
        <d v="2026-04-14T08:49:00"/>
        <d v="2026-04-14T09:35:00"/>
        <d v="2026-04-14T09:55:00"/>
        <d v="2026-04-14T09:58:00"/>
        <d v="2026-04-14T10:01:00"/>
        <d v="2026-04-14T10:09:00"/>
        <d v="2026-04-14T10:25:00"/>
        <d v="2026-04-14T11:03:00"/>
        <d v="2026-04-14T11:09:00"/>
        <d v="2026-04-14T11:19:00"/>
        <d v="2026-04-14T11:21:00"/>
        <d v="2026-04-14T11:28:00"/>
        <d v="2026-04-14T11:47:00"/>
        <d v="2026-04-14T12:10:00"/>
        <d v="2026-04-14T12:29:00"/>
        <d v="2026-04-14T12:51:00"/>
        <d v="2026-04-14T13:59:00"/>
        <d v="2026-04-14T14:32:00"/>
        <d v="2026-04-14T14:48:00"/>
        <d v="2026-04-14T14:54:00"/>
        <d v="2026-04-14T15:31:00"/>
        <d v="2026-04-14T16:03:00"/>
        <d v="2026-04-14T18:54:00"/>
        <d v="2026-04-14T19:39:00"/>
        <d v="2026-04-15T06:38:00"/>
        <d v="2026-04-15T07:03:00"/>
        <d v="2026-04-15T07:04:00"/>
        <d v="2026-04-15T07:21:00"/>
        <d v="2026-04-15T09:18:00"/>
        <d v="2026-04-15T09:27:00"/>
        <d v="2026-04-15T09:42:00"/>
        <d v="2026-04-15T10:11:00"/>
        <d v="2026-04-15T10:23:00"/>
        <d v="2026-04-15T10:41:00"/>
        <d v="2026-04-15T11:29:00"/>
        <d v="2026-04-15T11:39:00"/>
        <d v="2026-04-15T11:46:00"/>
        <d v="2026-04-15T12:07:00"/>
        <d v="2026-04-15T12:23:00"/>
        <d v="2026-04-15T12:41:00"/>
        <d v="2026-04-15T12:49:00"/>
        <d v="2026-04-15T13:09:00"/>
        <d v="2026-04-15T13:27:00"/>
        <d v="2026-04-15T13:39:00"/>
        <d v="2026-04-15T13:51:00"/>
        <d v="2026-04-15T13:57:00"/>
        <d v="2026-04-15T14:13:00"/>
        <d v="2026-04-15T14:17:00"/>
        <d v="2026-04-15T14:27:00"/>
        <d v="2026-04-15T14:31:00"/>
        <d v="2026-04-15T14:37:00"/>
        <d v="2026-04-15T15:31:00"/>
        <d v="2026-04-15T15:47:00"/>
        <d v="2026-04-15T16:54:00"/>
        <d v="2026-04-15T19:22:00"/>
        <d v="2026-04-15T23:54:00"/>
        <d v="2026-04-16T00:51:00"/>
        <d v="2026-04-16T05:48:00"/>
        <d v="2026-04-16T07:02:00"/>
        <d v="2026-04-16T07:53:00"/>
        <d v="2026-04-16T09:31:00"/>
        <d v="2026-04-16T10:06:00"/>
        <d v="2026-04-16T11:25:00"/>
        <d v="2026-04-16T12:03:00"/>
        <d v="2026-04-16T12:31:00"/>
        <d v="2026-04-16T12:34:00"/>
        <d v="2026-04-16T13:02:00"/>
        <d v="2026-04-16T13:04:00"/>
        <d v="2026-04-16T13:10:00"/>
        <d v="2026-04-16T13:41:00"/>
        <d v="2026-04-16T13:52:00"/>
        <d v="2026-04-16T14:00:00"/>
        <d v="2026-04-16T14:38:00"/>
        <d v="2026-04-16T15:04:00"/>
        <d v="2026-04-16T15:14:00"/>
        <d v="2026-04-16T17:18:00"/>
        <d v="2026-04-16T17:35:00"/>
        <d v="2026-04-16T18:52:00"/>
        <d v="2026-04-16T20:09:00"/>
        <d v="2026-04-16T20:54:00"/>
        <d v="2026-04-16T21:30:00"/>
        <d v="2026-04-17T04:10:00"/>
        <d v="2026-04-17T05:27:00"/>
        <d v="2026-04-17T07:13:00"/>
        <d v="2026-04-17T07:31:00"/>
        <d v="2026-04-17T08:34:00"/>
        <d v="2026-04-17T10:15:00"/>
        <d v="2026-04-17T10:30:00"/>
        <d v="2026-04-17T12:16:00"/>
        <d v="2026-04-17T12:54:00"/>
        <d v="2026-04-17T13:20:00"/>
        <d v="2026-04-17T14:16:00"/>
        <d v="2026-04-17T15:38:00"/>
        <d v="2026-04-17T16:25:00"/>
        <d v="2026-04-17T17:07:00"/>
        <d v="2026-04-17T18:19:00"/>
        <d v="2026-04-17T19:07:00"/>
        <d v="2026-04-18T02:43:00"/>
        <d v="2026-04-18T04:05:00"/>
        <d v="2026-04-18T05:23:00"/>
        <d v="2026-04-18T06:12:00"/>
        <d v="2026-04-18T06:48:00"/>
        <d v="2026-04-18T07:05:00"/>
        <d v="2026-04-18T07:23:00"/>
        <d v="2026-04-18T07:29:00"/>
        <d v="2026-04-18T07:34:00"/>
        <d v="2026-04-18T08:11:00"/>
        <d v="2026-04-18T08:29:00"/>
        <d v="2026-04-18T09:36:00"/>
        <d v="2026-04-18T10:12:00"/>
        <d v="2026-04-18T10:19:00"/>
        <d v="2026-04-18T10:24:00"/>
        <d v="2026-04-18T10:33:00"/>
        <d v="2026-04-18T10:46:00"/>
        <d v="2026-04-18T10:50:00"/>
        <d v="2026-04-18T11:22:00"/>
        <d v="2026-04-18T11:26:00"/>
        <d v="2026-04-18T12:11:00"/>
        <d v="2026-04-18T12:22:00"/>
        <d v="2026-04-18T13:23:00"/>
        <d v="2026-04-18T13:30:00"/>
        <d v="2026-04-18T14:07:00"/>
        <d v="2026-04-18T15:58:00"/>
        <d v="2026-04-18T16:37:00"/>
        <d v="2026-04-18T17:08:00"/>
        <d v="2026-04-18T18:04:00"/>
        <d v="2026-04-18T18:09:00"/>
        <d v="2026-04-18T18:10:00"/>
        <d v="2026-04-18T19:17:00"/>
        <d v="2026-04-18T19:55:00"/>
        <d v="2026-04-18T22:17:00"/>
        <d v="2026-04-19T03:08:00"/>
        <d v="2026-04-19T06:40:00"/>
        <d v="2026-04-19T06:58:00"/>
        <d v="2026-04-19T09:40:00"/>
        <d v="2026-04-19T10:09:00"/>
        <d v="2026-04-19T11:19:00"/>
        <d v="2026-04-19T11:21:00"/>
        <d v="2026-04-19T11:22:00"/>
        <d v="2026-04-19T11:46:00"/>
        <d v="2026-04-19T12:18:00"/>
        <d v="2026-04-19T15:20:00"/>
        <d v="2026-04-19T16:38:00"/>
        <d v="2026-04-19T18:09:00"/>
        <d v="2026-04-19T18:59:00"/>
        <d v="2026-04-19T19:24:00"/>
        <d v="2026-04-19T20:28:00"/>
        <d v="2026-04-19T20:57:00"/>
        <d v="2026-04-19T21:44:00"/>
        <d v="2026-04-20T02:51:00"/>
        <d v="2026-04-20T03:57:00"/>
        <d v="2026-04-20T08:37:00"/>
        <d v="2026-04-20T11:24:00"/>
        <d v="2026-04-20T11:31:00"/>
        <d v="2026-04-20T12:15:00"/>
        <d v="2026-04-20T12:54:00"/>
        <d v="2026-04-20T13:16:00"/>
        <d v="2026-04-20T13:30:00"/>
        <d v="2026-04-20T13:41:00"/>
        <d v="2026-04-20T13:43:00"/>
        <d v="2026-04-20T14:16:00"/>
        <d v="2026-04-20T18:41:00"/>
        <d v="2026-04-20T19:57:00"/>
        <d v="2026-04-20T21:36:00"/>
        <d v="2026-04-21T03:38:00"/>
        <d v="2026-04-21T07:17:00"/>
        <d v="2026-04-21T08:08:00"/>
        <d v="2026-04-21T08:18:00"/>
        <d v="2026-04-21T08:46:00"/>
        <d v="2026-04-21T08:50:00"/>
        <d v="2026-04-21T11:00:00"/>
        <d v="2026-04-21T11:35:00"/>
        <d v="2026-04-21T11:41:00"/>
        <d v="2026-04-21T12:04:00"/>
        <d v="2026-04-21T12:06:00"/>
        <d v="2026-04-21T12:47:00"/>
        <d v="2026-04-21T13:19:00"/>
        <d v="2026-04-21T14:45:00"/>
        <d v="2026-04-21T15:42:00"/>
        <d v="2026-04-21T17:43:00"/>
        <d v="2026-04-21T18:37:00"/>
        <d v="2026-04-21T18:46:00"/>
        <d v="2026-04-21T18:57:00"/>
        <d v="2026-04-21T19:11:00"/>
        <d v="2026-04-21T22:18:00"/>
        <d v="2026-04-22T06:13:00"/>
        <d v="2026-04-22T08:03:00"/>
        <d v="2026-04-22T08:36:00"/>
        <d v="2026-04-22T09:25:00"/>
        <d v="2026-04-22T09:34:00"/>
        <d v="2026-04-22T10:03:00"/>
        <d v="2026-04-22T10:47:00"/>
        <d v="2026-04-22T11:06:00"/>
        <d v="2026-04-22T11:29:00"/>
        <d v="2026-04-22T11:36:00"/>
        <d v="2026-04-22T11:41:00"/>
        <d v="2026-04-22T11:42:00"/>
        <d v="2026-04-22T11:51:00"/>
        <d v="2026-04-22T12:01:00"/>
        <d v="2026-04-22T12:49:00"/>
        <d v="2026-04-22T14:49:00"/>
        <d v="2026-04-22T15:49:00"/>
        <d v="2026-04-22T15:54:00"/>
        <d v="2026-04-22T16:36:00"/>
        <d v="2026-04-22T17:44:00"/>
        <d v="2026-04-22T20:14:00"/>
        <d v="2026-04-22T21:14:00"/>
        <d v="2026-04-22T23:17:00"/>
        <d v="2026-04-23T07:31:00"/>
        <d v="2026-04-23T08:06:00"/>
        <d v="2026-04-23T08:51:00"/>
        <d v="2026-04-23T09:20:00"/>
        <d v="2026-04-23T09:23:00"/>
        <d v="2026-04-23T09:24:00"/>
        <d v="2026-04-23T09:36:00"/>
        <d v="2026-04-23T10:06:00"/>
        <d v="2026-04-23T10:14:00"/>
        <d v="2026-04-23T10:30:00"/>
        <d v="2026-04-23T10:34:00"/>
        <d v="2026-04-23T11:15:00"/>
        <d v="2026-04-23T11:16:00"/>
        <d v="2026-04-23T11:23:00"/>
        <d v="2026-04-23T13:08:00"/>
        <d v="2026-04-23T15:49:00"/>
        <d v="2026-04-23T15:52:00"/>
        <d v="2026-04-23T17:38:00"/>
        <d v="2026-04-23T18:05:00"/>
        <d v="2026-04-23T19:32:00"/>
        <d v="2026-04-23T23:26:00"/>
        <d v="2026-04-24T00:41:00"/>
        <d v="2026-04-24T05:54:00"/>
        <d v="2026-04-24T06:28:00"/>
        <d v="2026-04-24T06:57:00"/>
        <d v="2026-04-24T08:12:00"/>
        <d v="2026-04-24T09:21:00"/>
        <d v="2026-04-24T09:23:00"/>
        <d v="2026-04-24T09:30:00"/>
        <d v="2026-04-24T10:20:00"/>
        <d v="2026-04-24T10:39:00"/>
        <d v="2026-04-24T10:52:00"/>
        <d v="2026-04-24T13:36:00"/>
        <d v="2026-04-24T14:45:00"/>
        <d v="2026-04-24T15:14:00"/>
        <d v="2026-04-24T16:11:00"/>
        <d v="2026-04-24T17:04:00"/>
        <d v="2026-04-24T17:12:00"/>
        <d v="2026-04-25T03:57:00"/>
        <d v="2026-04-25T04:03:00"/>
        <d v="2026-04-25T07:20:00"/>
        <d v="2026-04-25T08:24:00"/>
        <d v="2026-04-25T09:49:00"/>
        <d v="2026-04-25T11:24:00"/>
        <d v="2026-04-25T11:57:00"/>
        <d v="2026-04-25T12:08:00"/>
        <d v="2026-04-25T12:15:00"/>
        <d v="2026-04-25T12:59:00"/>
        <d v="2026-04-25T13:28:00"/>
        <d v="2026-04-25T13:31:00"/>
        <d v="2026-04-25T13:38:00"/>
        <d v="2026-04-25T14:20:00"/>
        <d v="2026-04-25T14:31:00"/>
        <d v="2026-04-25T15:01:00"/>
        <d v="2026-04-25T16:04:00"/>
        <d v="2026-04-25T16:10:00"/>
        <d v="2026-04-25T17:13:00"/>
        <d v="2026-04-25T18:26:00"/>
        <d v="2026-04-26T06:00:00"/>
        <d v="2026-04-26T08:11:00"/>
        <d v="2026-04-26T08:21:00"/>
        <d v="2026-04-26T08:24:00"/>
        <d v="2026-04-26T09:03:00"/>
        <d v="2026-04-26T09:47:00"/>
        <d v="2026-04-26T10:54:00"/>
        <d v="2026-04-26T12:53:00"/>
        <d v="2026-04-26T13:43:00"/>
        <d v="2026-04-26T14:07:00"/>
        <d v="2026-04-26T14:48:00"/>
        <d v="2026-04-26T15:17:00"/>
        <d v="2026-04-26T15:37:00"/>
        <d v="2026-04-26T15:51:00"/>
        <d v="2026-04-26T16:41:00"/>
        <d v="2026-04-26T17:18:00"/>
        <d v="2026-04-26T17:28:00"/>
        <d v="2026-04-26T17:31:00"/>
        <d v="2026-04-26T18:28:00"/>
        <d v="2026-04-26T18:33:00"/>
        <d v="2026-04-26T18:46:00"/>
        <d v="2026-04-27T03:03:00"/>
        <d v="2026-04-27T06:27:00"/>
        <d v="2026-04-27T08:10:00"/>
        <d v="2026-04-27T09:02:00"/>
        <d v="2026-04-27T09:03:00"/>
        <d v="2026-04-27T09:40:00"/>
        <d v="2026-04-27T10:02:00"/>
        <d v="2026-04-27T12:24:00"/>
        <d v="2026-04-27T13:18:00"/>
        <d v="2026-04-27T13:31:00"/>
        <d v="2026-04-27T13:41:00"/>
        <d v="2026-04-27T15:37:00"/>
        <d v="2026-04-27T15:49:00"/>
        <d v="2026-04-27T15:50:00"/>
        <d v="2026-04-27T17:00:00"/>
        <d v="2026-04-27T21:00:00"/>
        <d v="2026-04-28T05:12:00"/>
        <d v="2026-04-28T06:05:00"/>
        <d v="2026-04-28T07:06:00"/>
        <d v="2026-04-28T07:41:00"/>
        <d v="2026-04-28T08:56:00"/>
        <d v="2026-04-28T10:09:00"/>
        <d v="2026-04-28T12:25:00"/>
        <d v="2026-04-28T13:37:00"/>
        <d v="2026-04-28T13:49:00"/>
        <d v="2026-04-28T13:59:00"/>
        <d v="2026-04-28T14:29:00"/>
        <d v="2026-04-28T14:35:00"/>
        <d v="2026-04-28T14:39:00"/>
        <d v="2026-04-28T16:19:00"/>
        <d v="2026-04-29T04:16:00"/>
        <d v="2026-04-29T04:48:00"/>
        <d v="2026-04-29T06:16:00"/>
        <d v="2026-04-29T07:00:00"/>
        <d v="2026-04-29T07:30:00"/>
        <d v="2026-04-29T08:00:00"/>
        <d v="2026-04-29T09:01:00"/>
        <d v="2026-04-29T09:06:00"/>
        <d v="2026-04-29T10:03:00"/>
        <d v="2026-04-29T10:23:00"/>
        <d v="2026-04-29T11:21:00"/>
        <d v="2026-04-29T12:10:00"/>
        <d v="2026-04-29T13:29:00"/>
        <d v="2026-04-29T13:40:00"/>
        <d v="2026-04-29T13:45:00"/>
        <d v="2026-04-29T14:02:00"/>
        <d v="2026-04-29T14:21:00"/>
        <d v="2026-04-29T15:12:00"/>
        <d v="2026-04-29T19:17:00"/>
        <d v="2026-04-29T20:24:00"/>
        <d v="2026-04-29T20:26:00"/>
        <d v="2026-04-29T20:39:00"/>
        <d v="2026-04-29T20:43:00"/>
        <d v="2026-04-29T21:09:00"/>
        <d v="2026-04-30T06:22:00"/>
        <d v="2026-04-30T07:54:00"/>
        <d v="2026-04-30T08:02:00"/>
        <d v="2026-04-30T10:39:00"/>
        <d v="2026-04-30T10:47:00"/>
        <d v="2026-04-30T10:56:00"/>
        <d v="2026-04-30T11:51:00"/>
        <d v="2026-04-30T11:53:00"/>
        <d v="2026-04-30T12:08:00"/>
        <d v="2026-04-30T12:20:00"/>
        <d v="2026-04-30T12:52:00"/>
        <d v="2026-04-30T13:04:00"/>
        <d v="2026-04-30T13:13:00"/>
        <d v="2026-04-30T13:26:00"/>
        <d v="2026-04-30T14:33:00"/>
        <d v="2026-04-30T14:43:00"/>
        <d v="2026-04-30T14:54:00"/>
        <d v="2026-04-30T15:02:00"/>
        <d v="2026-04-30T15:07:00"/>
        <d v="2026-04-30T15:31:00"/>
        <d v="2026-04-30T16:14:00"/>
        <d v="2026-04-30T17:26:00"/>
        <d v="2026-04-30T17:46:00"/>
        <d v="2026-04-30T17:47:00"/>
        <d v="2026-04-30T17:55:00"/>
        <d v="2026-04-30T19:01:00"/>
        <d v="2026-04-30T21:11:00"/>
        <d v="2026-05-01T03:53:00"/>
        <d v="2026-05-01T04:55:00"/>
        <d v="2026-05-01T06:01:00"/>
        <d v="2026-05-01T06:30:00"/>
        <d v="2026-05-01T08:15:00"/>
        <d v="2026-05-01T09:21:00"/>
        <d v="2026-05-01T09:42:00"/>
        <d v="2026-05-01T10:15:00"/>
        <d v="2026-05-01T10:48:00"/>
        <d v="2026-05-01T12:22:00"/>
        <d v="2026-05-01T13:01:00"/>
        <d v="2026-05-01T14:08:00"/>
        <d v="2026-05-01T14:44:00"/>
        <d v="2026-05-01T14:55:00"/>
        <d v="2026-05-01T15:25:00"/>
        <d v="2026-05-01T15:31:00"/>
        <d v="2026-05-01T15:51:00"/>
        <d v="2026-05-01T17:57:00"/>
        <d v="2026-05-01T19:06:00"/>
        <d v="2026-05-01T21:24:00"/>
        <d v="2026-05-02T06:36:00"/>
        <d v="2026-05-02T06:55:00"/>
        <d v="2026-05-02T07:27:00"/>
        <d v="2026-05-02T09:18:00"/>
        <d v="2026-05-02T10:13:00"/>
        <d v="2026-05-02T11:22:00"/>
        <d v="2026-05-02T11:45:00"/>
        <d v="2026-05-02T12:19:00"/>
        <d v="2026-05-02T12:47:00"/>
        <d v="2026-05-02T12:50:00"/>
        <d v="2026-05-02T13:09:00"/>
        <d v="2026-05-02T13:34:00"/>
        <d v="2026-05-02T13:54:00"/>
        <d v="2026-05-02T14:22:00"/>
        <d v="2026-05-02T14:54:00"/>
        <d v="2026-05-02T14:59:00"/>
        <d v="2026-05-02T15:48:00"/>
        <d v="2026-05-02T15:53:00"/>
        <d v="2026-05-02T15:54:00"/>
        <d v="2026-05-02T16:42:00"/>
        <d v="2026-05-02T17:31:00"/>
        <d v="2026-05-02T17:40:00"/>
        <d v="2026-05-02T17:41:00"/>
        <d v="2026-05-02T17:45:00"/>
        <d v="2026-05-02T18:10:00"/>
        <d v="2026-05-03T05:59:00"/>
        <d v="2026-05-03T07:47:00"/>
        <d v="2026-05-03T08:02:00"/>
        <d v="2026-05-03T09:10:00"/>
        <d v="2026-05-03T09:50:00"/>
        <d v="2026-05-03T09:51:00"/>
        <d v="2026-05-03T11:13:00"/>
        <d v="2026-05-03T11:23:00"/>
        <d v="2026-05-03T11:40:00"/>
        <d v="2026-05-03T11:44:00"/>
        <d v="2026-05-03T12:15:00"/>
        <d v="2026-05-03T13:40:00"/>
        <d v="2026-05-03T13:42:00"/>
        <d v="2026-05-03T13:43:00"/>
        <d v="2026-05-03T13:56:00"/>
        <d v="2026-05-03T15:18:00"/>
        <d v="2026-05-03T15:19:00"/>
        <d v="2026-05-03T15:56:00"/>
        <d v="2026-05-03T16:03:00"/>
        <d v="2026-05-03T16:30:00"/>
        <d v="2026-05-03T17:08:00"/>
        <d v="2026-05-03T17:46:00"/>
        <d v="2026-05-03T18:57:00"/>
        <d v="2026-05-03T19:08:00"/>
        <d v="2026-05-03T19:30:00"/>
        <d v="2026-05-03T19:56:00"/>
        <d v="2026-05-03T21:23:00"/>
        <d v="2026-05-04T05:12:00"/>
        <d v="2026-05-04T06:32:00"/>
        <d v="2026-05-04T07:08:00"/>
        <d v="2026-05-04T09:39:00"/>
        <d v="2026-05-04T11:04:00"/>
        <d v="2026-05-04T11:11:00"/>
        <d v="2026-05-04T11:15:00"/>
        <d v="2026-05-04T11:21:00"/>
        <d v="2026-05-04T11:37:00"/>
        <d v="2026-05-04T12:25:00"/>
        <d v="2026-05-04T12:32:00"/>
        <d v="2026-05-04T12:34:00"/>
        <d v="2026-05-04T13:00:00"/>
        <d v="2026-05-04T13:21:00"/>
        <d v="2026-05-04T14:14:00"/>
        <d v="2026-05-04T14:23:00"/>
        <d v="2026-05-04T14:50:00"/>
        <d v="2026-05-04T15:49:00"/>
        <d v="2026-05-04T16:17:00"/>
        <d v="2026-05-04T17:39:00"/>
        <d v="2026-05-04T17:44:00"/>
        <d v="2026-05-04T18:27:00"/>
        <d v="2026-05-04T20:38:00"/>
        <d v="2026-05-05T04:28:00"/>
        <d v="2026-05-05T05:43:00"/>
        <d v="2026-05-05T07:42:00"/>
        <d v="2026-05-05T10:40:00"/>
        <d v="2026-05-05T11:37:00"/>
        <d v="2026-05-05T11:56:00"/>
        <d v="2026-05-05T12:05:00"/>
        <d v="2026-05-05T12:30:00"/>
        <d v="2026-05-05T13:01:00"/>
        <d v="2026-05-05T13:32:00"/>
        <d v="2026-05-05T13:35:00"/>
        <d v="2026-05-05T15:01:00"/>
        <d v="2026-05-05T15:32:00"/>
        <d v="2026-05-05T17:10:00"/>
        <d v="2026-05-05T17:47:00"/>
        <d v="2026-05-05T17:48:00"/>
        <d v="2026-05-05T18:15:00"/>
        <d v="2026-05-05T21:26:00"/>
        <d v="2026-05-05T23:09:00"/>
        <d v="2026-05-06T06:19:00"/>
        <d v="2026-05-06T06:42:00"/>
        <d v="2026-05-06T08:20:00"/>
        <d v="2026-05-06T08:34:00"/>
        <d v="2026-05-06T10:17:00"/>
        <d v="2026-05-06T10:27:00"/>
        <d v="2026-05-06T11:20:00"/>
        <d v="2026-05-06T11:55:00"/>
        <d v="2026-05-06T12:23:00"/>
        <d v="2026-05-06T12:36:00"/>
        <d v="2026-05-06T13:33:00"/>
        <d v="2026-05-06T13:50:00"/>
        <d v="2026-05-06T13:52:00"/>
        <d v="2026-05-06T14:11:00"/>
        <d v="2026-05-06T14:54:00"/>
        <d v="2026-05-06T16:13:00"/>
        <d v="2026-05-06T17:33:00"/>
        <d v="2026-05-06T18:32:00"/>
        <d v="2026-05-06T19:08:00"/>
        <d v="2026-05-06T19:22:00"/>
        <d v="2026-05-07T04:51:00"/>
        <d v="2026-05-07T05:13:00"/>
        <d v="2026-05-07T05:48:00"/>
        <d v="2026-05-07T08:09:00"/>
        <d v="2026-05-07T08:35:00"/>
        <d v="2026-05-07T08:40:00"/>
        <d v="2026-05-07T08:44:00"/>
        <d v="2026-05-07T08:49:00"/>
        <d v="2026-05-07T09:20:00"/>
        <d v="2026-05-07T09:31:00"/>
        <d v="2026-05-07T09:33:00"/>
        <d v="2026-05-07T10:09:00"/>
        <d v="2026-05-07T11:22:00"/>
        <d v="2026-05-07T11:39:00"/>
        <d v="2026-05-07T13:40:00"/>
        <d v="2026-05-07T15:04:00"/>
        <d v="2026-05-07T15:19:00"/>
        <d v="2026-05-07T15:29:00"/>
        <d v="2026-05-07T16:12:00"/>
        <d v="2026-05-07T17:20:00"/>
        <d v="2026-05-07T17:41:00"/>
        <d v="2026-05-07T17:56:00"/>
        <d v="2026-05-07T22:19:00"/>
        <d v="2026-05-08T06:34:00"/>
        <d v="2026-05-08T07:07:00"/>
        <d v="2026-05-08T07:18:00"/>
        <d v="2026-05-08T08:12:00"/>
        <d v="2026-05-08T08:20:00"/>
        <d v="2026-05-08T08:33:00"/>
        <d v="2026-05-08T08:40:00"/>
        <d v="2026-05-08T09:19:00"/>
        <d v="2026-05-08T09:29:00"/>
        <d v="2026-05-08T09:33:00"/>
        <d v="2026-05-08T10:05:00"/>
        <d v="2026-05-08T10:24:00"/>
        <d v="2026-05-08T10:38:00"/>
        <d v="2026-05-08T10:40:00"/>
        <d v="2026-05-08T11:12:00"/>
        <d v="2026-05-08T11:38:00"/>
        <d v="2026-05-08T11:55:00"/>
        <d v="2026-05-08T12:32:00"/>
        <d v="2026-05-08T13:04:00"/>
        <d v="2026-05-08T13:23:00"/>
        <d v="2026-05-08T13:55:00"/>
        <d v="2026-05-08T14:28:00"/>
        <d v="2026-05-08T14:39:00"/>
        <d v="2026-05-08T15:11:00"/>
        <d v="2026-05-08T15:44:00"/>
        <d v="2026-05-08T15:54:00"/>
        <d v="2026-05-08T18:35:00"/>
        <d v="2026-05-09T01:36:00"/>
        <d v="2026-05-09T04:50:00"/>
        <d v="2026-05-09T05:57:00"/>
        <d v="2026-05-09T06:28:00"/>
        <d v="2026-05-09T07:38:00"/>
        <d v="2026-05-09T09:21:00"/>
        <d v="2026-05-09T09:24:00"/>
        <d v="2026-05-09T09:31:00"/>
        <d v="2026-05-09T09:32:00"/>
        <d v="2026-05-09T09:54:00"/>
        <d v="2026-05-09T11:40:00"/>
        <d v="2026-05-09T12:26:00"/>
        <d v="2026-05-09T14:05:00"/>
        <d v="2026-05-09T14:08:00"/>
        <d v="2026-05-09T14:38:00"/>
        <d v="2026-05-09T15:20:00"/>
        <d v="2026-05-09T15:52:00"/>
        <d v="2026-05-09T15:54:00"/>
        <d v="2026-05-09T16:50:00"/>
        <d v="2026-05-09T16:52:00"/>
        <d v="2026-05-09T18:34:00"/>
        <d v="2026-05-09T20:30:00"/>
        <d v="2026-05-10T04:22:00"/>
        <d v="2026-05-10T06:12:00"/>
        <d v="2026-05-10T06:19:00"/>
        <d v="2026-05-10T08:32:00"/>
        <d v="2026-05-10T09:25:00"/>
        <d v="2026-05-10T10:50:00"/>
        <d v="2026-05-10T11:44:00"/>
        <d v="2026-05-10T12:20:00"/>
        <d v="2026-05-10T14:08:00"/>
        <d v="2026-05-10T14:27:00"/>
        <d v="2026-05-10T14:37:00"/>
        <d v="2026-05-10T15:16:00"/>
        <d v="2026-05-10T17:42:00"/>
        <d v="2026-05-10T20:45:00"/>
        <d v="2026-05-10T21:57:00"/>
        <d v="2026-05-11T04:14:00"/>
        <d v="2026-05-11T06:28:00"/>
        <d v="2026-05-11T07:19:00"/>
        <d v="2026-05-11T07:27:00"/>
        <d v="2026-05-11T07:53:00"/>
        <d v="2026-05-11T07:56:00"/>
        <d v="2026-05-11T08:13:00"/>
        <d v="2026-05-11T09:15:00"/>
        <d v="2026-05-11T09:24:00"/>
        <d v="2026-05-11T10:10:00"/>
        <d v="2026-05-11T10:23:00"/>
        <d v="2026-05-11T10:24:00"/>
        <d v="2026-05-11T12:09:00"/>
        <d v="2026-05-11T14:04:00"/>
        <d v="2026-05-11T14:59:00"/>
        <d v="2026-05-11T16:11:00"/>
        <d v="2026-05-11T16:20:00"/>
        <d v="2026-05-11T16:36:00"/>
        <d v="2026-05-11T17:32:00"/>
        <d v="2026-05-11T18:08:00"/>
        <d v="2026-05-11T18:28:00"/>
        <d v="2026-05-11T18:44:00"/>
        <d v="2026-05-12T00:07:00"/>
        <d v="2026-05-12T02:44:00"/>
        <d v="2026-05-12T04:47:00"/>
        <d v="2026-05-12T05:17:00"/>
        <d v="2026-05-12T07:01:00"/>
        <d v="2026-05-12T09:43:00"/>
        <d v="2026-05-12T09:56:00"/>
        <d v="2026-05-12T10:19:00"/>
        <d v="2026-05-12T11:09:00"/>
        <d v="2026-05-12T11:31:00"/>
        <d v="2026-05-12T12:19:00"/>
        <d v="2026-05-12T12:30:00"/>
        <d v="2026-05-12T13:16:00"/>
        <d v="2026-05-12T13:19:00"/>
        <d v="2026-05-12T13:33:00"/>
        <d v="2026-05-12T14:57:00"/>
        <d v="2026-05-12T15:07:00"/>
        <d v="2026-05-12T17:49:00"/>
        <d v="2026-05-12T18:04:00"/>
        <d v="2026-05-13T09:33:00"/>
        <d v="2026-05-13T09:50:00"/>
        <d v="2026-05-13T11:42:00"/>
        <d v="2026-05-13T13:07:00"/>
        <d v="2026-05-13T15:01:00"/>
        <d v="2026-05-13T15:38:00"/>
        <d v="2026-05-13T16:33:00"/>
        <d v="2026-05-13T19:19:00"/>
        <d v="2026-05-14T02:46:00"/>
        <d v="2026-05-14T05:10:00"/>
        <d v="2026-05-14T05:14:00"/>
        <d v="2026-05-14T08:40:00"/>
        <d v="2026-05-14T10:00:00"/>
        <d v="2026-05-14T10:21:00"/>
        <d v="2026-05-14T10:54:00"/>
        <d v="2026-05-14T12:03:00"/>
        <d v="2026-05-14T12:09:00"/>
        <d v="2026-05-14T12:14:00"/>
        <d v="2026-05-14T14:10:00"/>
        <d v="2026-05-14T14:12:00"/>
        <d v="2026-05-14T14:34:00"/>
        <d v="2026-05-14T15:11:00"/>
        <d v="2026-05-14T15:17:00"/>
        <d v="2026-05-14T15:21:00"/>
        <d v="2026-05-14T15:44:00"/>
        <d v="2026-05-14T16:04:00"/>
        <d v="2026-05-14T16:38:00"/>
        <d v="2026-05-14T16:53:00"/>
        <d v="2026-05-14T16:54:00"/>
        <d v="2026-05-14T17:24:00"/>
        <d v="2026-05-14T18:04:00"/>
        <d v="2026-05-14T18:44:00"/>
        <d v="2026-05-14T19:12:00"/>
        <d v="2026-05-14T20:57:00"/>
        <d v="2026-05-15T03:46:00"/>
        <d v="2026-05-15T06:12:00"/>
        <d v="2026-05-15T08:10:00"/>
        <d v="2026-05-15T09:13:00"/>
        <d v="2026-05-15T10:57:00"/>
        <d v="2026-05-15T11:13:00"/>
        <d v="2026-05-15T11:27:00"/>
        <d v="2026-05-15T11:32:00"/>
        <d v="2026-05-15T11:33:00"/>
        <d v="2026-05-15T11:41:00"/>
        <d v="2026-05-15T12:15:00"/>
        <d v="2026-05-15T12:43:00"/>
        <d v="2026-05-15T12:46:00"/>
        <d v="2026-05-15T13:20:00"/>
        <d v="2026-05-15T14:12:00"/>
        <d v="2026-05-15T17:43:00"/>
        <d v="2026-05-15T17:57:00"/>
        <d v="2026-05-15T18:36:00"/>
        <d v="2026-05-15T20:30:00"/>
        <d v="2026-05-15T20:49:00"/>
        <d v="2026-05-16T03:46:00"/>
        <d v="2026-05-16T05:59:00"/>
        <d v="2026-05-16T06:13:00"/>
        <d v="2026-05-16T07:26:00"/>
        <d v="2026-05-16T07:31:00"/>
        <d v="2026-05-16T07:42:00"/>
        <d v="2026-05-16T07:59:00"/>
        <d v="2026-05-16T08:09:00"/>
        <d v="2026-05-16T10:42:00"/>
        <d v="2026-05-16T11:09:00"/>
        <d v="2026-05-16T11:19:00"/>
        <d v="2026-05-16T13:00:00"/>
        <d v="2026-05-16T13:32:00"/>
        <d v="2026-05-16T13:42:00"/>
        <d v="2026-05-16T13:44:00"/>
        <d v="2026-05-16T13:54:00"/>
        <d v="2026-05-16T14:14:00"/>
        <d v="2026-05-16T14:32:00"/>
        <d v="2026-05-16T15:22:00"/>
        <d v="2026-05-16T16:33:00"/>
        <d v="2026-05-16T16:51:00"/>
        <d v="2026-05-16T16:57:00"/>
        <d v="2026-05-16T16:59:00"/>
        <d v="2026-05-16T17:32:00"/>
        <d v="2026-05-16T17:37:00"/>
        <d v="2026-05-16T17:50:00"/>
        <d v="2026-05-16T19:35:00"/>
        <d v="2026-05-17T05:06:00"/>
        <d v="2026-05-17T06:01:00"/>
        <d v="2026-05-17T06:05:00"/>
        <d v="2026-05-17T07:01:00"/>
        <d v="2026-05-17T07:48:00"/>
        <d v="2026-05-17T08:08:00"/>
        <d v="2026-05-17T08:55:00"/>
        <d v="2026-05-17T09:54:00"/>
        <d v="2026-05-17T10:11:00"/>
        <d v="2026-05-17T11:23:00"/>
        <d v="2026-05-17T11:58:00"/>
        <d v="2026-05-17T13:52:00"/>
        <d v="2026-05-17T15:05:00"/>
        <d v="2026-05-17T15:06:00"/>
        <d v="2026-05-17T16:49:00"/>
        <d v="2026-05-17T18:26:00"/>
        <d v="2026-05-17T18:46:00"/>
        <d v="2026-05-17T19:20:00"/>
        <d v="2026-05-18T00:48:00"/>
        <d v="2026-05-18T02:38:00"/>
        <d v="2026-05-18T05:05:00"/>
        <d v="2026-05-18T07:44:00"/>
        <d v="2026-05-18T08:34:00"/>
        <d v="2026-05-18T10:27:00"/>
        <d v="2026-05-18T10:50:00"/>
        <d v="2026-05-18T10:58:00"/>
        <d v="2026-05-18T11:13:00"/>
        <d v="2026-05-18T11:22:00"/>
        <d v="2026-05-18T11:48:00"/>
        <d v="2026-05-18T12:45:00"/>
        <d v="2026-05-18T14:00:00"/>
        <d v="2026-05-18T14:16:00"/>
        <d v="2026-05-18T15:23:00"/>
        <d v="2026-05-18T17:07:00"/>
        <d v="2026-05-18T17:09:00"/>
        <d v="2026-05-18T17:42:00"/>
        <d v="2026-05-18T17:50:00"/>
        <d v="2026-05-18T18:20:00"/>
        <d v="2026-05-18T18:40:00"/>
        <d v="2026-05-19T07:07:00"/>
        <d v="2026-05-19T07:11:00"/>
        <d v="2026-05-19T07:54:00"/>
        <d v="2026-05-19T09:12:00"/>
        <d v="2026-05-19T09:33:00"/>
        <d v="2026-05-19T09:52:00"/>
        <d v="2026-05-19T09:57:00"/>
        <d v="2026-05-19T10:02:00"/>
        <d v="2026-05-19T10:38:00"/>
        <d v="2026-05-19T11:26:00"/>
        <d v="2026-05-19T11:37:00"/>
        <d v="2026-05-19T11:47:00"/>
        <d v="2026-05-19T12:44:00"/>
        <d v="2026-05-19T13:01:00"/>
        <d v="2026-05-19T13:58:00"/>
        <d v="2026-05-19T14:10:00"/>
        <d v="2026-05-19T14:27:00"/>
        <d v="2026-05-19T15:16:00"/>
        <d v="2026-05-19T15:19:00"/>
        <d v="2026-05-19T17:18:00"/>
        <d v="2026-05-19T17:28:00"/>
        <d v="2026-05-19T17:45:00"/>
        <d v="2026-05-19T18:58:00"/>
        <d v="2026-05-19T20:30:00"/>
        <d v="2026-05-19T21:52:00"/>
        <d v="2026-05-20T07:04:00"/>
        <d v="2026-05-20T07:47:00"/>
        <d v="2026-05-20T07:58:00"/>
        <d v="2026-05-20T09:33:00"/>
        <d v="2026-05-20T10:50:00"/>
        <d v="2026-05-20T11:26:00"/>
        <d v="2026-05-20T13:07:00"/>
        <d v="2026-05-20T13:50:00"/>
        <d v="2026-05-20T14:24:00"/>
        <d v="2026-05-20T15:08:00"/>
        <d v="2026-05-20T15:18:00"/>
        <d v="2026-05-20T15:34:00"/>
        <d v="2026-05-20T15:58:00"/>
        <d v="2026-05-20T17:28:00"/>
        <d v="2026-05-20T19:32:00"/>
        <d v="2026-05-21T06:49:00"/>
        <d v="2026-05-21T07:51:00"/>
        <d v="2026-05-21T09:01:00"/>
        <d v="2026-05-21T09:59:00"/>
        <d v="2026-05-21T10:31:00"/>
        <d v="2026-05-21T10:39:00"/>
        <d v="2026-05-21T10:44:00"/>
        <d v="2026-05-21T11:15:00"/>
        <d v="2026-05-21T11:36:00"/>
        <d v="2026-05-21T12:34:00"/>
        <d v="2026-05-21T12:41:00"/>
        <d v="2026-05-21T13:07:00"/>
        <d v="2026-05-21T13:39:00"/>
        <d v="2026-05-21T13:45:00"/>
        <d v="2026-05-21T13:49:00"/>
        <d v="2026-05-21T14:00:00"/>
        <d v="2026-05-21T14:02:00"/>
        <d v="2026-05-21T16:05:00"/>
        <d v="2026-05-21T16:13:00"/>
        <d v="2026-05-21T16:30:00"/>
        <d v="2026-05-21T16:55:00"/>
        <d v="2026-05-21T17:26:00"/>
        <d v="2026-05-21T17:55:00"/>
        <d v="2026-05-21T18:04:00"/>
        <d v="2026-05-21T18:46:00"/>
        <d v="2026-05-21T19:06:00"/>
        <d v="2026-05-21T20:26:00"/>
        <d v="2026-05-21T22:57:00"/>
        <d v="2026-05-22T05:28:00"/>
        <d v="2026-05-22T05:29:00"/>
        <d v="2026-05-22T06:39:00"/>
        <d v="2026-05-22T10:41:00"/>
        <d v="2026-05-22T10:50:00"/>
        <d v="2026-05-22T11:29:00"/>
        <d v="2026-05-22T12:06:00"/>
        <d v="2026-05-22T12:09:00"/>
        <d v="2026-05-22T12:56:00"/>
        <d v="2026-05-22T13:27:00"/>
        <d v="2026-05-22T13:33:00"/>
        <d v="2026-05-22T13:49:00"/>
        <d v="2026-05-22T14:50:00"/>
        <d v="2026-05-22T14:56:00"/>
        <d v="2026-05-22T15:10:00"/>
        <d v="2026-05-22T15:52:00"/>
        <d v="2026-05-22T15:55:00"/>
        <d v="2026-05-22T16:18:00"/>
        <d v="2026-05-22T16:28:00"/>
        <d v="2026-05-22T16:36:00"/>
        <d v="2026-05-22T16:48:00"/>
        <d v="2026-05-22T17:20:00"/>
        <d v="2026-05-22T17:30:00"/>
        <d v="2026-05-22T20:41:00"/>
        <d v="2026-05-23T05:19:00"/>
        <d v="2026-05-23T05:38:00"/>
        <d v="2026-05-23T07:12:00"/>
        <d v="2026-05-23T07:55:00"/>
        <d v="2026-05-23T08:59:00"/>
        <d v="2026-05-23T10:31:00"/>
        <d v="2026-05-23T11:38:00"/>
        <d v="2026-05-23T12:30:00"/>
        <d v="2026-05-23T12:38:00"/>
        <d v="2026-05-23T13:12:00"/>
        <d v="2026-05-23T13:59:00"/>
        <d v="2026-05-23T14:42:00"/>
        <d v="2026-05-23T14:54:00"/>
        <d v="2026-05-23T15:02:00"/>
        <d v="2026-05-23T16:31:00"/>
        <d v="2026-05-23T18:01:00"/>
        <d v="2026-05-23T20:29:00"/>
        <d v="2026-05-24T04:25:00"/>
        <d v="2026-05-24T06:51:00"/>
        <d v="2026-05-24T07:11:00"/>
        <d v="2026-05-24T10:08:00"/>
        <d v="2026-05-24T11:09:00"/>
        <d v="2026-05-24T11:10:00"/>
        <d v="2026-05-24T12:35:00"/>
        <d v="2026-05-24T13:35:00"/>
        <d v="2026-05-24T13:56:00"/>
        <d v="2026-05-24T14:34:00"/>
        <d v="2026-05-24T14:44:00"/>
        <d v="2026-05-24T15:54:00"/>
        <d v="2026-05-24T16:43:00"/>
        <d v="2026-05-24T17:21:00"/>
        <d v="2026-05-24T17:24:00"/>
        <d v="2026-05-24T17:57:00"/>
        <d v="2026-05-25T02:14:00"/>
        <d v="2026-05-25T08:00:00"/>
        <d v="2026-05-25T09:24:00"/>
        <d v="2026-05-25T10:12:00"/>
        <d v="2026-05-25T10:56:00"/>
        <d v="2026-05-25T11:29:00"/>
        <d v="2026-05-25T11:33:00"/>
        <d v="2026-05-25T11:44:00"/>
        <d v="2026-05-25T11:47:00"/>
        <d v="2026-05-25T13:03:00"/>
        <d v="2026-05-25T13:20:00"/>
        <d v="2026-05-25T13:35:00"/>
        <d v="2026-05-25T13:50:00"/>
        <d v="2026-05-25T18:07:00"/>
        <d v="2026-05-26T01:21:00"/>
        <d v="2026-05-26T06:45:00"/>
        <d v="2026-05-26T09:26:00"/>
        <d v="2026-05-26T09:42:00"/>
        <d v="2026-05-26T10:57:00"/>
        <d v="2026-05-26T11:07:00"/>
        <d v="2026-05-26T11:50:00"/>
        <d v="2026-05-26T11:55:00"/>
        <d v="2026-05-26T12:58:00"/>
        <d v="2026-05-26T13:31:00"/>
        <d v="2026-05-26T15:01:00"/>
        <d v="2026-05-26T15:34:00"/>
        <d v="2026-05-26T15:57:00"/>
        <d v="2026-05-26T17:12:00"/>
        <d v="2026-05-26T18:11:00"/>
        <d v="2026-05-26T18:14:00"/>
        <d v="2026-05-26T18:54:00"/>
        <d v="2026-05-26T19:04:00"/>
        <d v="2026-05-26T22:04:00"/>
        <d v="2026-05-26T22:26:00"/>
        <d v="2026-05-26T23:04:00"/>
        <d v="2026-05-26T23:35:00"/>
        <d v="2026-05-27T05:02:00"/>
        <d v="2026-05-27T05:07:00"/>
        <d v="2026-05-27T09:02:00"/>
        <d v="2026-05-27T09:04:00"/>
        <d v="2026-05-27T09:22:00"/>
        <d v="2026-05-27T09:52:00"/>
        <d v="2026-05-27T10:01:00"/>
        <d v="2026-05-27T10:10:00"/>
        <d v="2026-05-27T11:18:00"/>
        <d v="2026-05-27T11:51:00"/>
        <d v="2026-05-27T13:02:00"/>
        <d v="2026-05-27T13:06:00"/>
        <d v="2026-05-27T13:43:00"/>
        <d v="2026-05-27T13:54:00"/>
        <d v="2026-05-27T14:05:00"/>
        <d v="2026-05-27T14:17:00"/>
        <d v="2026-05-27T14:50:00"/>
        <d v="2026-05-27T14:52:00"/>
        <d v="2026-05-27T15:00:00"/>
        <d v="2026-05-27T15:12:00"/>
        <d v="2026-05-27T15:23:00"/>
        <d v="2026-05-27T15:57:00"/>
        <d v="2026-05-27T17:48:00"/>
        <d v="2026-05-27T18:17:00"/>
        <d v="2026-05-27T20:50:00"/>
        <d v="2026-05-28T05:29:00"/>
        <d v="2026-05-28T08:02:00"/>
        <d v="2026-05-28T08:17:00"/>
        <d v="2026-05-28T10:28:00"/>
        <d v="2026-05-28T10:48:00"/>
        <d v="2026-05-28T12:23:00"/>
        <d v="2026-05-28T12:31:00"/>
        <d v="2026-05-28T13:46:00"/>
        <d v="2026-05-28T14:10:00"/>
        <d v="2026-05-28T14:22:00"/>
        <d v="2026-05-28T15:31:00"/>
        <d v="2026-05-28T18:17:00"/>
        <d v="2026-05-28T18:20:00"/>
        <d v="2026-05-28T18:24:00"/>
        <d v="2026-05-28T19:00:00"/>
        <d v="2026-05-28T20:41:00"/>
        <d v="2026-05-28T22:38:00"/>
        <d v="2026-05-29T00:06:00"/>
        <d v="2026-05-29T07:34:00"/>
        <d v="2026-05-29T09:04:00"/>
        <d v="2026-05-29T09:14:00"/>
        <d v="2026-05-29T09:17:00"/>
        <d v="2026-05-29T09:54:00"/>
        <d v="2026-05-29T11:34:00"/>
        <d v="2026-05-29T12:40:00"/>
        <d v="2026-05-29T13:44:00"/>
        <d v="2026-05-29T13:56:00"/>
        <d v="2026-05-29T14:01:00"/>
        <d v="2026-05-29T16:23:00"/>
        <d v="2026-05-29T16:53:00"/>
        <d v="2026-05-29T20:50:00"/>
        <d v="2026-05-29T21:27:00"/>
        <d v="2026-05-29T23:32:00"/>
        <d v="2026-05-30T03:48:00"/>
        <d v="2026-05-30T07:50:00"/>
        <d v="2026-05-30T09:53:00"/>
        <d v="2026-05-30T09:54:00"/>
        <d v="2026-05-30T11:27:00"/>
        <d v="2026-05-30T12:38:00"/>
        <d v="2026-05-30T14:22:00"/>
        <d v="2026-05-30T16:51:00"/>
        <d v="2026-05-30T19:02:00"/>
        <d v="2026-05-30T19:30:00"/>
        <d v="2026-05-30T19:44:00"/>
        <d v="2026-05-30T19:48:00"/>
        <d v="2026-05-30T21:25:00"/>
        <d v="2026-05-31T07:18:00"/>
        <d v="2026-05-31T07:30:00"/>
        <d v="2026-05-31T09:04:00"/>
        <d v="2026-05-31T09:48:00"/>
        <d v="2026-05-31T11:29:00"/>
        <d v="2026-05-31T11:43:00"/>
        <d v="2026-05-31T12:58:00"/>
        <d v="2026-05-31T14:22:00"/>
        <d v="2026-05-31T14:29:00"/>
        <d v="2026-05-31T14:52:00"/>
        <d v="2026-05-31T15:28:00"/>
        <d v="2026-05-31T15:30:00"/>
        <d v="2026-05-31T15:42:00"/>
        <d v="2026-05-31T16:11:00"/>
        <d v="2026-05-31T16:14:00"/>
        <d v="2026-05-31T16:46:00"/>
        <d v="2026-05-31T17:01:00"/>
        <d v="2026-05-31T17:05:00"/>
        <d v="2026-05-31T17:21:00"/>
        <d v="2026-05-31T19:19:00"/>
        <d v="2026-05-31T20:11:00"/>
        <d v="2026-05-31T20:56:00"/>
        <d v="2026-06-01T07:39:00"/>
        <d v="2026-06-01T09:07:00"/>
        <d v="2026-06-01T09:40:00"/>
        <d v="2026-06-01T10:16:00"/>
        <d v="2026-06-01T10:43:00"/>
        <d v="2026-06-01T10:57:00"/>
        <d v="2026-06-01T11:29:00"/>
        <d v="2026-06-01T11:44:00"/>
        <d v="2026-06-01T13:36:00"/>
        <d v="2026-06-01T14:01:00"/>
        <d v="2026-06-01T14:07:00"/>
        <d v="2026-06-01T14:56:00"/>
        <d v="2026-06-01T17:07:00"/>
        <d v="2026-06-01T17:14:00"/>
        <d v="2026-06-02T07:40:00"/>
        <d v="2026-06-02T08:22:00"/>
        <d v="2026-06-02T09:33:00"/>
        <d v="2026-06-02T10:01:00"/>
        <d v="2026-06-02T10:02:00"/>
        <d v="2026-06-02T10:05:00"/>
        <d v="2026-06-02T11:28:00"/>
        <d v="2026-06-02T11:32:00"/>
        <d v="2026-06-02T12:12:00"/>
        <d v="2026-06-02T12:23:00"/>
        <d v="2026-06-02T12:29:00"/>
        <d v="2026-06-02T12:48:00"/>
        <d v="2026-06-02T12:52:00"/>
        <d v="2026-06-02T13:14:00"/>
        <d v="2026-06-02T13:41:00"/>
        <d v="2026-06-02T13:56:00"/>
        <d v="2026-06-02T15:21:00"/>
        <d v="2026-06-02T15:58:00"/>
        <d v="2026-06-02T16:41:00"/>
        <d v="2026-06-02T16:56:00"/>
        <d v="2026-06-02T17:59:00"/>
        <d v="2026-06-02T20:29:00"/>
        <d v="2026-06-02T22:46:00"/>
        <d v="2026-06-03T01:50:00"/>
        <d v="2026-06-03T03:08:00"/>
        <d v="2026-06-03T06:02:00"/>
        <d v="2026-06-03T08:30:00"/>
        <d v="2026-06-03T11:22:00"/>
        <d v="2026-06-03T12:36:00"/>
        <d v="2026-06-03T13:32:00"/>
        <d v="2026-06-03T13:34:00"/>
        <d v="2026-06-03T13:36:00"/>
        <d v="2026-06-03T14:26:00"/>
        <d v="2026-06-03T14:38:00"/>
        <d v="2026-06-03T14:49:00"/>
        <d v="2026-06-03T15:55:00"/>
        <d v="2026-06-03T16:07:00"/>
        <d v="2026-06-03T16:25:00"/>
        <d v="2026-06-03T16:30:00"/>
        <d v="2026-06-03T17:02:00"/>
        <d v="2026-06-03T17:36:00"/>
        <d v="2026-06-03T18:05:00"/>
        <d v="2026-06-03T19:34:00"/>
        <d v="2026-06-03T20:11:00"/>
        <d v="2026-06-03T23:15:00"/>
        <d v="2026-06-04T06:37:00"/>
        <d v="2026-06-04T07:07:00"/>
        <d v="2026-06-04T07:48:00"/>
        <d v="2026-06-04T09:16:00"/>
        <d v="2026-06-04T10:22:00"/>
        <d v="2026-06-04T12:05:00"/>
        <d v="2026-06-04T12:55:00"/>
        <d v="2026-06-04T13:45:00"/>
        <d v="2026-06-04T15:52:00"/>
        <d v="2026-06-04T20:54:00"/>
        <d v="2026-06-04T21:33:00"/>
        <d v="2026-06-05T06:20:00"/>
        <d v="2026-06-05T06:32:00"/>
        <d v="2026-06-05T07:41:00"/>
        <d v="2026-06-05T07:47:00"/>
        <d v="2026-06-05T08:47:00"/>
        <d v="2026-06-05T09:06:00"/>
        <d v="2026-06-05T10:18:00"/>
        <d v="2026-06-05T10:21:00"/>
        <d v="2026-06-05T10:29:00"/>
        <d v="2026-06-05T10:43:00"/>
        <d v="2026-06-05T11:11:00"/>
        <d v="2026-06-05T11:55:00"/>
        <d v="2026-06-05T13:56:00"/>
        <d v="2026-06-05T14:03:00"/>
        <d v="2026-06-05T14:13:00"/>
        <d v="2026-06-05T15:43:00"/>
        <d v="2026-06-05T15:58:00"/>
        <d v="2026-06-05T16:14:00"/>
        <d v="2026-06-05T21:07:00"/>
        <d v="2026-06-06T09:18:00"/>
        <d v="2026-06-06T09:26:00"/>
        <d v="2026-06-06T10:01:00"/>
        <d v="2026-06-06T10:22:00"/>
        <d v="2026-06-06T12:53:00"/>
        <d v="2026-06-06T14:21:00"/>
        <d v="2026-06-06T14:34:00"/>
        <d v="2026-06-06T14:42:00"/>
        <d v="2026-06-06T15:22:00"/>
        <d v="2026-06-06T15:23:00"/>
        <d v="2026-06-06T16:11:00"/>
        <d v="2026-06-06T16:21:00"/>
        <d v="2026-06-06T16:46:00"/>
        <d v="2026-06-06T18:43:00"/>
        <d v="2026-06-06T19:07:00"/>
        <d v="2026-06-06T22:51:00"/>
        <d v="2026-06-07T05:23:00"/>
        <d v="2026-06-07T06:40:00"/>
        <d v="2026-06-07T07:54:00"/>
        <d v="2026-06-07T08:40:00"/>
        <d v="2026-06-07T08:49:00"/>
        <d v="2026-06-07T09:05:00"/>
        <d v="2026-06-07T10:19:00"/>
        <d v="2026-06-07T10:26:00"/>
        <d v="2026-06-07T10:47:00"/>
        <d v="2026-06-07T11:44:00"/>
        <d v="2026-06-07T13:23:00"/>
        <d v="2026-06-07T13:51:00"/>
        <d v="2026-06-07T14:23:00"/>
        <d v="2026-06-07T14:40:00"/>
        <d v="2026-06-07T14:51:00"/>
        <d v="2026-06-07T15:23:00"/>
        <d v="2026-06-07T16:12:00"/>
        <d v="2026-06-07T20:23:00"/>
        <d v="2026-06-08T06:24:00"/>
        <d v="2026-06-08T06:39:00"/>
        <d v="2026-06-08T07:41:00"/>
        <d v="2026-06-08T08:30:00"/>
        <d v="2026-06-08T08:56:00"/>
        <d v="2026-06-08T09:20:00"/>
        <d v="2026-06-08T11:21:00"/>
        <d v="2026-06-08T11:29:00"/>
        <d v="2026-06-08T11:34:00"/>
        <d v="2026-06-08T11:36:00"/>
        <d v="2026-06-08T13:33:00"/>
        <d v="2026-06-08T14:08:00"/>
        <d v="2026-06-08T14:23:00"/>
        <d v="2026-06-08T14:44:00"/>
        <d v="2026-06-08T16:27:00"/>
        <d v="2026-06-08T17:20:00"/>
        <d v="2026-06-08T18:47:00"/>
        <d v="2026-06-08T19:37:00"/>
        <d v="2026-06-08T20:52:00"/>
        <d v="2026-06-09T00:02:00"/>
        <d v="2026-06-09T05:03:00"/>
        <d v="2026-06-09T05:59:00"/>
        <d v="2026-06-09T06:49:00"/>
        <d v="2026-06-09T06:51:00"/>
        <d v="2026-06-09T07:09:00"/>
        <d v="2026-06-09T07:43:00"/>
        <d v="2026-06-09T08:29:00"/>
        <d v="2026-06-09T08:50:00"/>
        <d v="2026-06-09T09:07:00"/>
        <d v="2026-06-09T09:49:00"/>
        <d v="2026-06-09T10:23:00"/>
        <d v="2026-06-09T10:30:00"/>
        <d v="2026-06-09T11:34:00"/>
        <d v="2026-06-09T11:38:00"/>
        <d v="2026-06-09T14:07:00"/>
        <d v="2026-06-09T14:11:00"/>
        <d v="2026-06-09T14:15:00"/>
        <d v="2026-06-09T18:50:00"/>
        <d v="2026-06-10T02:43:00"/>
        <d v="2026-06-10T05:34:00"/>
        <d v="2026-06-10T06:43:00"/>
        <d v="2026-06-10T07:06:00"/>
        <d v="2026-06-10T07:20:00"/>
        <d v="2026-06-10T08:51:00"/>
        <d v="2026-06-10T09:27:00"/>
        <d v="2026-06-10T09:46:00"/>
        <d v="2026-06-10T10:38:00"/>
        <d v="2026-06-10T11:53:00"/>
        <d v="2026-06-10T12:00:00"/>
        <d v="2026-06-10T12:19:00"/>
        <d v="2026-06-10T12:44:00"/>
        <d v="2026-06-10T14:13:00"/>
        <d v="2026-06-10T15:02:00"/>
        <d v="2026-06-10T15:53:00"/>
        <d v="2026-06-10T16:24:00"/>
        <d v="2026-06-10T17:21:00"/>
        <d v="2026-06-10T18:42:00"/>
        <d v="2026-06-10T19:46:00"/>
        <d v="2026-06-11T07:51:00"/>
        <d v="2026-06-11T08:50:00"/>
        <d v="2026-06-11T09:19:00"/>
        <d v="2026-06-11T12:00:00"/>
        <d v="2026-06-11T12:41:00"/>
        <d v="2026-06-11T12:52:00"/>
        <d v="2026-06-11T13:33:00"/>
        <d v="2026-06-11T13:35:00"/>
        <d v="2026-06-11T13:39:00"/>
        <d v="2026-06-11T14:21:00"/>
        <d v="2026-06-11T15:20:00"/>
        <d v="2026-06-11T15:24:00"/>
        <d v="2026-06-11T16:58:00"/>
        <d v="2026-06-11T17:49:00"/>
        <d v="2026-06-12T01:33:00"/>
        <d v="2026-06-12T06:04:00"/>
        <d v="2026-06-12T07:58:00"/>
        <d v="2026-06-12T10:08:00"/>
        <d v="2026-06-12T10:42:00"/>
        <d v="2026-06-12T10:50:00"/>
        <d v="2026-06-12T10:58:00"/>
        <d v="2026-06-12T11:45:00"/>
        <d v="2026-06-12T11:54:00"/>
        <d v="2026-06-12T12:20:00"/>
        <d v="2026-06-12T12:35:00"/>
        <d v="2026-06-12T12:36:00"/>
        <d v="2026-06-12T12:37:00"/>
        <d v="2026-06-12T12:45:00"/>
        <d v="2026-06-12T13:14:00"/>
        <d v="2026-06-12T13:27:00"/>
        <d v="2026-06-12T13:57:00"/>
        <d v="2026-06-12T14:04:00"/>
        <d v="2026-06-12T14:33:00"/>
        <d v="2026-06-12T14:38:00"/>
        <d v="2026-06-12T14:44:00"/>
        <d v="2026-06-12T14:59:00"/>
        <d v="2026-06-12T15:17:00"/>
        <d v="2026-06-12T15:23:00"/>
        <d v="2026-06-12T15:52:00"/>
        <d v="2026-06-12T17:19:00"/>
        <d v="2026-06-12T18:22:00"/>
        <d v="2026-06-12T19:59:00"/>
        <d v="2026-06-12T22:25:00"/>
        <d v="2026-06-13T00:42:00"/>
        <d v="2026-06-13T06:44:00"/>
        <d v="2026-06-13T08:48:00"/>
        <d v="2026-06-13T08:56:00"/>
        <d v="2026-06-13T09:40:00"/>
        <d v="2026-06-13T11:06:00"/>
        <d v="2026-06-13T11:40:00"/>
        <d v="2026-06-13T11:53:00"/>
        <d v="2026-06-13T12:47:00"/>
        <d v="2026-06-13T12:55:00"/>
        <d v="2026-06-13T14:29:00"/>
        <d v="2026-06-13T14:59:00"/>
        <d v="2026-06-13T15:01:00"/>
        <d v="2026-06-13T16:50:00"/>
        <d v="2026-06-13T17:39:00"/>
        <d v="2026-06-13T17:57:00"/>
        <d v="2026-06-13T18:17:00"/>
        <d v="2026-06-13T20:25:00"/>
        <d v="2026-06-13T23:52:00"/>
        <d v="2026-06-14T03:42:00"/>
        <d v="2026-06-14T06:06:00"/>
        <d v="2026-06-14T07:03:00"/>
        <d v="2026-06-14T07:23:00"/>
        <d v="2026-06-14T08:41:00"/>
        <d v="2026-06-14T08:44:00"/>
        <d v="2026-06-14T09:35:00"/>
        <d v="2026-06-14T11:12:00"/>
        <d v="2026-06-14T11:35:00"/>
        <d v="2026-06-14T12:02:00"/>
        <d v="2026-06-14T14:24:00"/>
        <d v="2026-06-14T15:09:00"/>
        <d v="2026-06-14T16:06:00"/>
        <d v="2026-06-14T16:28:00"/>
        <d v="2026-06-14T17:23:00"/>
        <d v="2026-06-14T17:33:00"/>
        <d v="2026-06-14T17:45:00"/>
        <d v="2026-06-14T22:50:00"/>
        <d v="2026-06-15T03:54:00"/>
        <d v="2026-06-15T05:48:00"/>
        <d v="2026-06-15T08:52:00"/>
        <d v="2026-06-15T09:35:00"/>
        <d v="2026-06-15T10:13:00"/>
        <d v="2026-06-15T10:30:00"/>
        <d v="2026-06-15T11:25:00"/>
        <d v="2026-06-15T11:30:00"/>
        <d v="2026-06-15T12:01:00"/>
        <d v="2026-06-15T12:08:00"/>
        <d v="2026-06-15T12:33:00"/>
        <d v="2026-06-15T12:42:00"/>
        <d v="2026-06-15T12:52:00"/>
        <d v="2026-06-15T13:02:00"/>
        <d v="2026-06-15T14:15:00"/>
        <d v="2026-06-15T14:33:00"/>
        <d v="2026-06-15T15:01:00"/>
        <d v="2026-06-15T15:19:00"/>
        <d v="2026-06-15T16:10:00"/>
        <d v="2026-06-15T16:27:00"/>
        <d v="2026-06-15T17:14:00"/>
        <d v="2026-06-15T18:44:00"/>
        <d v="2026-06-15T19:06:00"/>
        <d v="2026-06-15T19:32:00"/>
        <d v="2026-06-15T19:50:00"/>
        <d v="2026-06-15T20:27:00"/>
        <d v="2026-06-15T20:39:00"/>
        <d v="2026-06-15T21:00:00"/>
        <d v="2026-06-16T03:35:00"/>
        <d v="2026-06-16T05:26:00"/>
        <d v="2026-06-16T08:00:00"/>
        <d v="2026-06-16T08:07:00"/>
        <d v="2026-06-16T08:29:00"/>
        <d v="2026-06-16T08:39:00"/>
        <d v="2026-06-16T10:13:00"/>
        <d v="2026-06-16T12:49:00"/>
        <d v="2026-06-16T13:03:00"/>
        <d v="2026-06-16T13:40:00"/>
        <d v="2026-06-16T13:59:00"/>
        <d v="2026-06-16T14:14:00"/>
        <d v="2026-06-16T14:56:00"/>
        <d v="2026-06-16T15:14:00"/>
        <d v="2026-06-16T15:16:00"/>
        <d v="2026-06-16T15:43:00"/>
        <d v="2026-06-16T15:56:00"/>
        <d v="2026-06-16T16:20:00"/>
        <d v="2026-06-16T17:18:00"/>
        <d v="2026-06-16T17:20:00"/>
        <d v="2026-06-16T19:42:00"/>
        <d v="2026-06-17T00:14:00"/>
        <d v="2026-06-17T04:46:00"/>
        <d v="2026-06-17T09:13:00"/>
        <d v="2026-06-17T09:34:00"/>
        <d v="2026-06-17T09:35:00"/>
        <d v="2026-06-17T09:52:00"/>
        <d v="2026-06-17T10:01:00"/>
        <d v="2026-06-17T10:38:00"/>
        <d v="2026-06-17T11:21:00"/>
        <d v="2026-06-17T11:47:00"/>
        <d v="2026-06-17T12:50:00"/>
        <d v="2026-06-17T13:05:00"/>
        <d v="2026-06-17T14:29:00"/>
        <d v="2026-06-17T15:22:00"/>
        <d v="2026-06-17T18:14:00"/>
        <d v="2026-06-17T22:47:00"/>
        <d v="2026-06-18T01:05:00"/>
        <d v="2026-06-18T05:38:00"/>
        <d v="2026-06-18T06:30:00"/>
        <d v="2026-06-18T08:38:00"/>
        <d v="2026-06-18T09:33:00"/>
        <d v="2026-06-18T09:40:00"/>
        <d v="2026-06-18T10:03:00"/>
        <d v="2026-06-18T10:30:00"/>
        <d v="2026-06-18T12:57:00"/>
        <d v="2026-06-18T13:04:00"/>
        <d v="2026-06-18T14:31:00"/>
        <d v="2026-06-18T17:21:00"/>
        <d v="2026-06-18T17:43:00"/>
        <d v="2026-06-18T18:34:00"/>
        <d v="2026-06-18T19:34:00"/>
        <d v="2026-06-18T23:25:00"/>
        <d v="2026-06-19T04:08:00"/>
        <d v="2026-06-19T06:20:00"/>
        <d v="2026-06-19T06:23:00"/>
        <d v="2026-06-19T08:29:00"/>
        <d v="2026-06-19T08:37:00"/>
        <d v="2026-06-19T11:10:00"/>
        <d v="2026-06-19T11:17:00"/>
        <d v="2026-06-19T12:18:00"/>
        <d v="2026-06-19T13:55:00"/>
        <d v="2026-06-19T14:05:00"/>
        <d v="2026-06-19T14:30:00"/>
        <d v="2026-06-19T14:33:00"/>
        <d v="2026-06-19T14:39:00"/>
        <d v="2026-06-19T14:43:00"/>
        <d v="2026-06-19T15:46:00"/>
        <d v="2026-06-19T15:59:00"/>
        <d v="2026-06-19T16:16:00"/>
        <d v="2026-06-19T16:18:00"/>
        <d v="2026-06-19T16:46:00"/>
        <d v="2026-06-19T17:55:00"/>
        <d v="2026-06-19T18:10:00"/>
        <d v="2026-06-19T19:08:00"/>
        <d v="2026-06-19T21:19:00"/>
        <d v="2026-06-19T21:50:00"/>
        <d v="2026-06-20T05:01:00"/>
        <d v="2026-06-20T07:04:00"/>
        <d v="2026-06-20T09:58:00"/>
        <d v="2026-06-20T09:59:00"/>
        <d v="2026-06-20T10:01:00"/>
        <d v="2026-06-20T11:09:00"/>
        <d v="2026-06-20T13:10:00"/>
        <d v="2026-06-20T13:14:00"/>
        <d v="2026-06-20T13:25:00"/>
        <d v="2026-06-20T13:36:00"/>
        <d v="2026-06-20T13:44:00"/>
        <d v="2026-06-20T13:46:00"/>
        <d v="2026-06-20T14:59:00"/>
        <d v="2026-06-20T15:31:00"/>
        <d v="2026-06-20T16:11:00"/>
        <d v="2026-06-20T18:11:00"/>
        <d v="2026-06-20T21:15:00"/>
        <d v="2026-06-21T03:46:00"/>
        <d v="2026-06-21T06:50:00"/>
        <d v="2026-06-21T07:51:00"/>
        <d v="2026-06-21T08:31:00"/>
        <d v="2026-06-21T08:40:00"/>
        <d v="2026-06-21T09:13:00"/>
        <d v="2026-06-21T11:21:00"/>
        <d v="2026-06-21T11:33:00"/>
        <d v="2026-06-21T11:48:00"/>
        <d v="2026-06-21T12:14:00"/>
        <d v="2026-06-21T12:17:00"/>
        <d v="2026-06-21T12:20:00"/>
        <d v="2026-06-21T12:40:00"/>
        <d v="2026-06-21T12:51:00"/>
        <d v="2026-06-21T12:59:00"/>
        <d v="2026-06-21T13:08:00"/>
        <d v="2026-06-21T13:21:00"/>
        <d v="2026-06-21T15:11:00"/>
        <d v="2026-06-21T15:41:00"/>
        <d v="2026-06-21T17:00:00"/>
        <d v="2026-06-21T17:21:00"/>
        <d v="2026-06-21T17:29:00"/>
        <d v="2026-06-21T18:12:00"/>
        <d v="2026-06-21T18:20:00"/>
        <d v="2026-06-21T20:59:00"/>
        <d v="2026-06-21T23:14:00"/>
        <d v="2026-06-21T23:56:00"/>
        <d v="2026-06-22T04:31:00"/>
        <d v="2026-06-22T05:04:00"/>
        <d v="2026-06-22T06:09:00"/>
        <d v="2026-06-22T09:12:00"/>
        <d v="2026-06-22T09:54:00"/>
        <d v="2026-06-22T10:54:00"/>
        <d v="2026-06-22T11:33:00"/>
        <d v="2026-06-22T12:09:00"/>
        <d v="2026-06-22T13:39:00"/>
        <d v="2026-06-22T13:40:00"/>
        <d v="2026-06-22T15:22:00"/>
        <d v="2026-06-22T16:29:00"/>
        <d v="2026-06-22T17:27:00"/>
        <d v="2026-06-22T17:41:00"/>
        <d v="2026-06-22T23:01:00"/>
        <d v="2026-06-23T03:11:00"/>
        <d v="2026-06-23T05:17:00"/>
        <d v="2026-06-23T06:10:00"/>
        <d v="2026-06-23T06:23:00"/>
        <d v="2026-06-23T07:40:00"/>
        <d v="2026-06-23T08:43:00"/>
        <d v="2026-06-23T08:57:00"/>
        <d v="2026-06-23T09:19:00"/>
        <d v="2026-06-23T09:50:00"/>
        <d v="2026-06-23T10:09:00"/>
        <d v="2026-06-23T10:29:00"/>
        <d v="2026-06-23T12:05:00"/>
        <d v="2026-06-23T12:32:00"/>
        <d v="2026-06-23T12:49:00"/>
        <d v="2026-06-23T14:37:00"/>
        <d v="2026-06-23T14:44:00"/>
        <d v="2026-06-23T14:55:00"/>
        <d v="2026-06-23T14:59:00"/>
        <d v="2026-06-23T15:41:00"/>
        <d v="2026-06-23T16:47:00"/>
        <d v="2026-06-23T16:57:00"/>
        <d v="2026-06-23T18:14:00"/>
        <d v="2026-06-23T18:39:00"/>
        <d v="2026-06-23T21:42:00"/>
        <d v="2026-06-23T23:47:00"/>
        <d v="2026-06-24T07:57:00"/>
        <d v="2026-06-24T08:08:00"/>
        <d v="2026-06-24T08:15:00"/>
        <d v="2026-06-24T09:05:00"/>
        <d v="2026-06-24T12:22:00"/>
        <d v="2026-06-24T13:17:00"/>
        <d v="2026-06-24T13:19:00"/>
        <d v="2026-06-24T13:49:00"/>
        <d v="2026-06-24T14:01:00"/>
        <d v="2026-06-24T15:51:00"/>
        <d v="2026-06-24T16:47:00"/>
        <d v="2026-06-24T16:56:00"/>
        <d v="2026-06-24T17:14:00"/>
        <d v="2026-06-24T17:23:00"/>
        <d v="2026-06-24T21:05:00"/>
        <d v="2026-06-24T22:20:00"/>
        <d v="2026-06-24T23:23:00"/>
        <d v="2026-06-25T03:19:00"/>
        <d v="2026-06-25T06:55:00"/>
        <d v="2026-06-25T08:02:00"/>
        <d v="2026-06-25T09:35:00"/>
        <d v="2026-06-25T09:58:00"/>
        <d v="2026-06-25T10:21:00"/>
        <d v="2026-06-25T11:17:00"/>
        <d v="2026-06-25T12:07:00"/>
        <d v="2026-06-25T12:55:00"/>
        <d v="2026-06-25T13:25:00"/>
        <d v="2026-06-25T13:38:00"/>
        <d v="2026-06-25T13:46:00"/>
        <d v="2026-06-25T14:28:00"/>
        <d v="2026-06-25T14:42:00"/>
        <d v="2026-06-25T15:05:00"/>
        <d v="2026-06-25T15:15:00"/>
        <d v="2026-06-25T16:20:00"/>
        <d v="2026-06-25T16:46:00"/>
        <d v="2026-06-25T17:47:00"/>
        <d v="2026-06-25T18:13:00"/>
        <d v="2026-06-25T18:21:00"/>
        <d v="2026-06-25T19:15:00"/>
        <d v="2026-06-25T20:27:00"/>
        <d v="2026-06-26T03:04:00"/>
        <d v="2026-06-26T03:34:00"/>
        <d v="2026-06-26T05:33:00"/>
        <d v="2026-06-26T09:27:00"/>
        <d v="2026-06-26T14:11:00"/>
        <d v="2026-06-26T14:49:00"/>
        <d v="2026-06-26T16:04:00"/>
        <d v="2026-06-26T16:12:00"/>
        <d v="2026-06-26T16:34:00"/>
        <d v="2026-06-26T17:09:00"/>
        <d v="2026-06-26T22:47:00"/>
        <d v="2026-06-26T22:50:00"/>
        <d v="2026-06-27T04:32:00"/>
        <d v="2026-06-27T05:33:00"/>
        <d v="2026-06-27T07:15:00"/>
        <d v="2026-06-27T07:34:00"/>
        <d v="2026-06-27T08:56:00"/>
        <d v="2026-06-27T10:21:00"/>
        <d v="2026-06-27T10:48:00"/>
        <d v="2026-06-27T10:57:00"/>
        <d v="2026-06-27T11:38:00"/>
        <d v="2026-06-27T12:48:00"/>
        <d v="2026-06-27T13:11:00"/>
        <d v="2026-06-27T13:23:00"/>
        <d v="2026-06-27T13:44:00"/>
        <d v="2026-06-27T13:52:00"/>
        <d v="2026-06-27T13:58:00"/>
        <d v="2026-06-27T15:52:00"/>
        <d v="2026-06-27T16:46:00"/>
        <d v="2026-06-27T17:00:00"/>
        <d v="2026-06-27T17:38:00"/>
        <d v="2026-06-28T06:47:00"/>
        <d v="2026-06-28T07:11:00"/>
        <d v="2026-06-28T10:09:00"/>
        <d v="2026-06-28T10:12:00"/>
        <d v="2026-06-28T10:33:00"/>
        <d v="2026-06-28T12:07:00"/>
        <d v="2026-06-28T12:56:00"/>
        <d v="2026-06-28T13:17:00"/>
        <d v="2026-06-28T14:43:00"/>
        <d v="2026-06-28T15:05:00"/>
        <d v="2026-06-28T15:26:00"/>
        <d v="2026-06-28T16:24:00"/>
        <d v="2026-06-28T17:02:00"/>
        <d v="2026-06-28T17:45:00"/>
        <d v="2026-06-28T18:56:00"/>
        <d v="2026-06-28T20:04:00"/>
        <d v="2026-06-29T02:36:00"/>
        <d v="2026-06-29T05:36:00"/>
        <d v="2026-06-29T09:55:00"/>
        <d v="2026-06-29T10:04:00"/>
        <d v="2026-06-29T10:10:00"/>
        <d v="2026-06-29T10:54:00"/>
        <d v="2026-06-29T10:59:00"/>
        <d v="2026-06-29T11:01:00"/>
        <d v="2026-06-29T11:08:00"/>
        <d v="2026-06-29T11:13:00"/>
        <d v="2026-06-29T11:38:00"/>
        <d v="2026-06-29T12:59:00"/>
        <d v="2026-06-29T13:03:00"/>
        <d v="2026-06-29T13:30:00"/>
        <d v="2026-06-29T13:50:00"/>
        <d v="2026-06-29T14:36:00"/>
        <d v="2026-06-29T15:01:00"/>
        <d v="2026-06-29T15:04:00"/>
        <d v="2026-06-29T15:26:00"/>
        <d v="2026-06-29T15:35:00"/>
        <d v="2026-06-29T16:48:00"/>
        <d v="2026-06-29T16:56:00"/>
        <d v="2026-06-29T17:08:00"/>
        <d v="2026-06-29T17:40:00"/>
        <d v="2026-06-29T18:37:00"/>
        <d v="2026-06-29T19:23:00"/>
        <d v="2026-06-29T19:58:00"/>
        <d v="2026-06-30T03:08:00"/>
        <d v="2026-06-30T05:57:00"/>
        <d v="2026-06-30T06:30:00"/>
        <d v="2026-06-30T09:36:00"/>
        <d v="2026-06-30T10:10:00"/>
        <d v="2026-06-30T10:17:00"/>
        <d v="2026-06-30T10:53:00"/>
        <d v="2026-06-30T11:18:00"/>
        <d v="2026-06-30T11:33:00"/>
        <d v="2026-06-30T11:36:00"/>
        <d v="2026-06-30T12:09:00"/>
        <d v="2026-06-30T12:18:00"/>
        <d v="2026-06-30T12:37:00"/>
        <d v="2026-06-30T13:03:00"/>
        <d v="2026-06-30T13:50:00"/>
        <d v="2026-06-30T13:58:00"/>
        <d v="2026-06-30T14:56:00"/>
        <d v="2026-06-30T16:02:00"/>
        <d v="2026-06-30T16:19:00"/>
        <d v="2026-06-30T16:31:00"/>
        <d v="2026-06-30T16:33:00"/>
        <d v="2026-06-30T16:39:00"/>
        <d v="2026-06-30T16:51:00"/>
        <d v="2026-06-30T17:40:00"/>
        <d v="2026-06-30T17:44:00"/>
        <d v="2026-06-30T18:08:00"/>
        <d v="2026-06-30T19:04:00"/>
        <d v="2026-06-30T20:47:00"/>
        <d v="2026-06-30T20:49:00"/>
        <d v="2026-07-01T03:12:00"/>
        <d v="2026-07-01T05:43:00"/>
        <d v="2026-07-01T07:04:00"/>
        <d v="2026-07-01T07:58:00"/>
        <d v="2026-07-01T09:08:00"/>
        <d v="2026-07-01T09:59:00"/>
        <d v="2026-07-01T11:06:00"/>
        <d v="2026-07-01T11:55:00"/>
        <d v="2026-07-01T12:05:00"/>
        <d v="2026-07-01T14:28:00"/>
        <d v="2026-07-01T14:57:00"/>
        <d v="2026-07-01T15:06:00"/>
        <d v="2026-07-01T15:16:00"/>
        <d v="2026-07-01T15:18:00"/>
        <d v="2026-07-01T15:42:00"/>
        <d v="2026-07-01T16:39:00"/>
        <d v="2026-07-01T17:01:00"/>
        <d v="2026-07-01T17:23:00"/>
        <d v="2026-07-01T17:45:00"/>
        <d v="2026-07-01T21:40:00"/>
        <d v="2026-07-02T00:39:00"/>
        <d v="2026-07-02T06:00:00"/>
        <d v="2026-07-02T09:09:00"/>
        <d v="2026-07-02T09:27:00"/>
        <d v="2026-07-02T10:39:00"/>
        <d v="2026-07-02T11:36:00"/>
        <d v="2026-07-02T12:11:00"/>
        <d v="2026-07-02T12:14:00"/>
        <d v="2026-07-02T13:08:00"/>
        <d v="2026-07-02T13:58:00"/>
        <d v="2026-07-02T14:24:00"/>
        <d v="2026-07-02T15:09:00"/>
        <d v="2026-07-02T16:17:00"/>
        <d v="2026-07-02T22:52:00"/>
        <d v="2026-07-03T07:14:00"/>
        <d v="2026-07-03T08:18:00"/>
        <d v="2026-07-03T08:38:00"/>
        <d v="2026-07-03T09:21:00"/>
        <d v="2026-07-03T10:40:00"/>
        <d v="2026-07-03T10:41:00"/>
        <d v="2026-07-03T10:56:00"/>
        <d v="2026-07-03T11:49:00"/>
        <d v="2026-07-03T11:56:00"/>
        <d v="2026-07-03T14:02:00"/>
        <d v="2026-07-03T14:34:00"/>
        <d v="2026-07-03T16:21:00"/>
        <d v="2026-07-03T16:53:00"/>
        <d v="2026-07-03T16:59:00"/>
        <d v="2026-07-03T17:18:00"/>
        <d v="2026-07-03T21:57:00"/>
        <d v="2026-07-03T23:22:00"/>
        <d v="2026-07-04T07:36:00"/>
        <d v="2026-07-04T07:53:00"/>
        <d v="2026-07-04T08:09:00"/>
        <d v="2026-07-04T08:20:00"/>
        <d v="2026-07-04T08:56:00"/>
        <d v="2026-07-04T09:15:00"/>
        <d v="2026-07-04T11:49:00"/>
        <d v="2026-07-04T12:45:00"/>
        <d v="2026-07-04T13:22:00"/>
        <d v="2026-07-04T13:29:00"/>
        <d v="2026-07-04T13:39:00"/>
        <d v="2026-07-04T15:17:00"/>
        <d v="2026-07-04T15:45:00"/>
        <d v="2026-07-04T15:46:00"/>
        <d v="2026-07-04T16:12:00"/>
        <d v="2026-07-04T16:59:00"/>
        <d v="2026-07-04T17:10:00"/>
        <d v="2026-07-04T17:53:00"/>
        <d v="2026-07-04T18:23:00"/>
        <d v="2026-07-04T22:08:00"/>
        <d v="2026-07-04T22:24:00"/>
        <d v="2026-07-05T04:06:00"/>
        <d v="2026-07-05T04:25:00"/>
        <d v="2026-07-05T05:17:00"/>
        <d v="2026-07-05T07:42:00"/>
        <d v="2026-07-05T08:18:00"/>
        <d v="2026-07-05T08:33:00"/>
        <d v="2026-07-05T09:00:00"/>
        <d v="2026-07-05T09:15:00"/>
        <d v="2026-07-05T10:07:00"/>
        <d v="2026-07-05T11:31:00"/>
        <d v="2026-07-05T11:39:00"/>
        <d v="2026-07-05T12:32:00"/>
        <d v="2026-07-05T12:36:00"/>
        <d v="2026-07-05T12:46:00"/>
        <d v="2026-07-05T12:55:00"/>
        <d v="2026-07-05T13:37:00"/>
        <d v="2026-07-05T13:57:00"/>
        <d v="2026-07-05T14:10:00"/>
        <d v="2026-07-05T14:23:00"/>
        <d v="2026-07-05T14:30:00"/>
        <d v="2026-07-05T14:52:00"/>
        <d v="2026-07-05T15:34:00"/>
        <d v="2026-07-05T16:49:00"/>
        <d v="2026-07-05T17:33:00"/>
        <d v="2026-07-05T18:40:00"/>
        <d v="2026-07-05T23:54:00"/>
        <d v="2026-07-06T05:43:00"/>
        <d v="2026-07-06T06:18:00"/>
        <d v="2026-07-06T06:23:00"/>
        <d v="2026-07-06T06:38:00"/>
        <d v="2026-07-06T06:52:00"/>
        <d v="2026-07-06T07:28:00"/>
        <d v="2026-07-06T08:09:00"/>
        <d v="2026-07-06T08:39:00"/>
        <d v="2026-07-06T10:24:00"/>
        <d v="2026-07-06T11:20:00"/>
        <d v="2026-07-06T12:30:00"/>
        <d v="2026-07-06T12:41:00"/>
        <d v="2026-07-06T12:54:00"/>
        <d v="2026-07-06T13:44:00"/>
        <d v="2026-07-06T14:27:00"/>
        <d v="2026-07-06T15:06:00"/>
        <d v="2026-07-06T15:53:00"/>
        <d v="2026-07-06T15:59:00"/>
        <d v="2026-07-06T16:37:00"/>
        <d v="2026-07-06T19:23:00"/>
        <d v="2026-07-06T20:37:00"/>
        <d v="2026-07-06T22:00:00"/>
        <d v="2026-07-07T05:15:00"/>
        <d v="2026-07-07T06:07:00"/>
        <d v="2026-07-07T06:47:00"/>
        <d v="2026-07-07T07:08:00"/>
        <d v="2026-07-07T08:06:00"/>
        <d v="2026-07-07T08:27:00"/>
        <d v="2026-07-07T08:49:00"/>
        <d v="2026-07-07T10:27:00"/>
        <d v="2026-07-07T11:55:00"/>
        <d v="2026-07-07T12:01:00"/>
        <d v="2026-07-07T12:31:00"/>
        <d v="2026-07-07T12:58:00"/>
        <d v="2026-07-07T13:07:00"/>
        <d v="2026-07-07T13:08:00"/>
        <d v="2026-07-07T13:10:00"/>
        <d v="2026-07-07T14:51:00"/>
        <d v="2026-07-07T16:27:00"/>
        <d v="2026-07-07T16:28:00"/>
        <d v="2026-07-07T17:08:00"/>
        <d v="2026-07-07T17:38:00"/>
        <d v="2026-07-07T18:02:00"/>
        <d v="2026-07-07T18:45:00"/>
        <d v="2026-07-08T01:25:00"/>
        <d v="2026-07-08T05:11:00"/>
        <d v="2026-07-08T06:24:00"/>
        <d v="2026-07-08T07:16:00"/>
        <d v="2026-07-08T10:07:00"/>
        <d v="2026-07-08T14:39:00"/>
        <d v="2026-07-08T15:07:00"/>
        <d v="2026-07-08T16:03:00"/>
        <d v="2026-07-08T17:46:00"/>
        <d v="2026-07-08T18:18:00"/>
        <d v="2026-07-08T20:29:00"/>
        <d v="2026-07-09T02:48:00"/>
        <d v="2026-07-09T04:41:00"/>
        <d v="2026-07-09T06:35:00"/>
        <d v="2026-07-09T07:13:00"/>
        <d v="2026-07-09T07:23:00"/>
        <d v="2026-07-09T08:18:00"/>
        <d v="2026-07-09T08:19:00"/>
        <d v="2026-07-09T10:09:00"/>
        <d v="2026-07-09T10:21:00"/>
        <d v="2026-07-09T10:31:00"/>
        <d v="2026-07-09T10:55:00"/>
        <d v="2026-07-09T11:01:00"/>
        <d v="2026-07-09T11:11:00"/>
        <d v="2026-07-09T11:19:00"/>
        <d v="2026-07-09T11:29:00"/>
        <d v="2026-07-09T12:32:00"/>
        <d v="2026-07-09T13:51:00"/>
        <d v="2026-07-09T14:06:00"/>
        <d v="2026-07-09T14:23:00"/>
        <d v="2026-07-09T17:29:00"/>
        <d v="2026-07-09T18:03:00"/>
        <d v="2026-07-09T18:28:00"/>
        <d v="2026-07-09T20:04:00"/>
        <d v="2026-07-09T20:07:00"/>
        <d v="2026-07-10T01:16:00"/>
        <d v="2026-07-10T07:13:00"/>
        <d v="2026-07-10T07:37:00"/>
        <d v="2026-07-10T07:44:00"/>
        <d v="2026-07-10T07:53:00"/>
        <d v="2026-07-10T08:11:00"/>
        <d v="2026-07-10T08:54:00"/>
        <d v="2026-07-10T09:28:00"/>
        <d v="2026-07-10T09:32:00"/>
        <d v="2026-07-10T09:36:00"/>
        <d v="2026-07-10T09:48:00"/>
        <d v="2026-07-10T10:15:00"/>
        <d v="2026-07-10T10:36:00"/>
        <d v="2026-07-10T10:38:00"/>
        <d v="2026-07-10T10:42:00"/>
        <d v="2026-07-10T11:24:00"/>
        <d v="2026-07-10T11:34:00"/>
        <d v="2026-07-10T11:35:00"/>
        <d v="2026-07-10T11:42:00"/>
        <d v="2026-07-10T12:19:00"/>
        <d v="2026-07-10T12:48:00"/>
        <d v="2026-07-10T14:43:00"/>
        <d v="2026-07-10T15:04:00"/>
        <d v="2026-07-10T15:43:00"/>
        <d v="2026-07-10T16:24:00"/>
        <d v="2026-07-10T16:53:00"/>
        <d v="2026-07-10T16:54:00"/>
        <d v="2026-07-10T18:57:00"/>
        <d v="2026-07-10T19:49:00"/>
        <d v="2026-07-11T05:20:00"/>
        <d v="2026-07-11T07:01:00"/>
        <d v="2026-07-11T07:11:00"/>
        <d v="2026-07-11T09:56:00"/>
        <d v="2026-07-11T10:39:00"/>
        <d v="2026-07-11T12:37:00"/>
        <d v="2026-07-11T12:42:00"/>
        <d v="2026-07-11T13:15:00"/>
        <d v="2026-07-11T13:59:00"/>
        <d v="2026-07-11T14:25:00"/>
        <d v="2026-07-11T14:54:00"/>
        <d v="2026-07-11T14:59:00"/>
        <d v="2026-07-11T15:57:00"/>
        <d v="2026-07-11T16:07:00"/>
        <d v="2026-07-11T17:11:00"/>
        <d v="2026-07-11T17:14:00"/>
        <d v="2026-07-11T17:21:00"/>
        <d v="2026-07-11T18:06:00"/>
        <d v="2026-07-11T19:47:00"/>
        <d v="2026-07-11T23:06:00"/>
        <d v="2026-07-12T04:00:00"/>
        <d v="2026-07-12T04:33:00"/>
        <d v="2026-07-12T06:41:00"/>
        <d v="2026-07-12T08:28:00"/>
        <d v="2026-07-12T08:36:00"/>
        <d v="2026-07-12T08:51:00"/>
        <d v="2026-07-12T09:24:00"/>
        <d v="2026-07-12T09:45:00"/>
        <d v="2026-07-12T10:27:00"/>
        <d v="2026-07-12T11:03:00"/>
        <d v="2026-07-12T11:11:00"/>
        <d v="2026-07-12T12:03:00"/>
        <d v="2026-07-12T12:05:00"/>
        <d v="2026-07-12T12:10:00"/>
        <d v="2026-07-12T12:21:00"/>
        <d v="2026-07-12T12:26:00"/>
        <d v="2026-07-12T13:43:00"/>
        <d v="2026-07-12T14:44:00"/>
        <d v="2026-07-12T15:23:00"/>
        <d v="2026-07-12T15:25:00"/>
        <d v="2026-07-12T15:34:00"/>
        <d v="2026-07-12T18:47:00"/>
        <d v="2026-07-12T19:18:00"/>
        <d v="2026-07-12T19:57:00"/>
        <d v="2026-07-13T05:15:00"/>
        <d v="2026-07-13T06:43:00"/>
        <d v="2026-07-13T09:37:00"/>
        <d v="2026-07-13T10:02:00"/>
        <d v="2026-07-13T10:50:00"/>
        <d v="2026-07-13T11:23:00"/>
        <d v="2026-07-13T11:32:00"/>
        <d v="2026-07-13T13:02:00"/>
        <d v="2026-07-13T13:16:00"/>
        <d v="2026-07-13T13:25:00"/>
        <d v="2026-07-13T14:31:00"/>
        <d v="2026-07-13T14:47:00"/>
        <d v="2026-07-13T15:21:00"/>
        <d v="2026-07-13T16:54:00"/>
        <d v="2026-07-13T17:31:00"/>
        <d v="2026-07-13T18:54:00"/>
        <d v="2026-07-13T19:02:00"/>
        <d v="2026-07-13T23:19:00"/>
        <d v="2026-07-14T03:48:00"/>
        <d v="2026-07-14T04:02:00"/>
        <d v="2026-07-14T04:52:00"/>
        <d v="2026-07-14T05:09:00"/>
        <d v="2026-07-14T08:35:00"/>
        <d v="2026-07-14T10:12:00"/>
        <d v="2026-07-14T10:18:00"/>
        <d v="2026-07-14T10:40:00"/>
        <d v="2026-07-14T10:55:00"/>
        <d v="2026-07-14T11:04:00"/>
        <d v="2026-07-14T11:15:00"/>
        <d v="2026-07-14T12:31:00"/>
        <d v="2026-07-14T13:11:00"/>
        <d v="2026-07-14T13:59:00"/>
        <d v="2026-07-14T15:00:00"/>
        <d v="2026-07-14T16:13:00"/>
        <d v="2026-07-14T16:24:00"/>
        <d v="2026-07-14T16:48:00"/>
        <d v="2026-07-14T17:43:00"/>
        <d v="2026-07-14T19:01:00"/>
        <d v="2026-07-14T19:41:00"/>
        <d v="2026-07-14T20:57:00"/>
        <d v="2026-07-14T23:35:00"/>
        <d v="2026-07-15T02:02:00"/>
        <d v="2026-07-15T03:15:00"/>
        <d v="2026-07-15T04:33:00"/>
        <d v="2026-07-15T05:40:00"/>
        <d v="2026-07-15T06:53:00"/>
        <d v="2026-07-15T07:12:00"/>
        <d v="2026-07-15T08:01:00"/>
        <d v="2026-07-15T11:29:00"/>
        <d v="2026-07-15T11:47:00"/>
        <d v="2026-07-15T12:14:00"/>
        <d v="2026-07-15T12:53:00"/>
        <d v="2026-07-15T13:40:00"/>
        <d v="2026-07-15T14:01:00"/>
        <d v="2026-07-15T14:14:00"/>
        <d v="2026-07-15T14:43:00"/>
        <d v="2026-07-15T15:12:00"/>
        <d v="2026-07-15T15:55:00"/>
        <d v="2026-07-15T15:57:00"/>
        <d v="2026-07-15T18:42:00"/>
        <d v="2026-07-15T21:09:00"/>
        <d v="2026-07-16T02:40:00"/>
        <d v="2026-07-16T05:21:00"/>
        <d v="2026-07-16T08:28:00"/>
        <d v="2026-07-16T08:49:00"/>
        <d v="2026-07-16T09:54:00"/>
        <d v="2026-07-16T11:31:00"/>
        <d v="2026-07-16T11:42:00"/>
        <d v="2026-07-16T13:25:00"/>
        <d v="2026-07-16T13:41:00"/>
        <d v="2026-07-16T14:00:00"/>
        <d v="2026-07-16T14:04:00"/>
        <d v="2026-07-16T14:10:00"/>
        <d v="2026-07-16T14:22:00"/>
        <d v="2026-07-16T14:25:00"/>
        <d v="2026-07-16T14:28:00"/>
        <d v="2026-07-16T14:59:00"/>
        <d v="2026-07-16T15:04:00"/>
        <d v="2026-07-16T15:28:00"/>
        <d v="2026-07-16T16:17:00"/>
        <d v="2026-07-16T16:31:00"/>
        <d v="2026-07-16T16:47:00"/>
        <d v="2026-07-16T17:13:00"/>
        <d v="2026-07-16T17:35:00"/>
        <d v="2026-07-16T17:45:00"/>
        <d v="2026-07-16T17:59:00"/>
        <d v="2026-07-16T19:02:00"/>
        <d v="2026-07-16T20:21:00"/>
        <d v="2026-07-17T05:17:00"/>
        <d v="2026-07-17T06:00:00"/>
        <d v="2026-07-17T06:04:00"/>
        <d v="2026-07-17T06:40:00"/>
        <d v="2026-07-17T08:45:00"/>
        <d v="2026-07-17T09:14:00"/>
        <d v="2026-07-17T10:00:00"/>
        <d v="2026-07-17T11:02:00"/>
        <d v="2026-07-17T12:38:00"/>
        <d v="2026-07-17T13:01:00"/>
        <d v="2026-07-17T13:45:00"/>
        <d v="2026-07-17T14:28:00"/>
        <d v="2026-07-17T14:50:00"/>
        <d v="2026-07-17T18:18:00"/>
        <d v="2026-07-17T20:55:00"/>
        <d v="2026-07-18T06:07:00"/>
        <d v="2026-07-18T08:47:00"/>
        <d v="2026-07-18T09:13:00"/>
        <d v="2026-07-18T10:24:00"/>
        <d v="2026-07-18T10:29:00"/>
        <d v="2026-07-18T10:50:00"/>
        <d v="2026-07-18T11:36:00"/>
        <d v="2026-07-18T12:10:00"/>
        <d v="2026-07-18T12:17:00"/>
        <d v="2026-07-18T13:21:00"/>
        <d v="2026-07-18T13:29:00"/>
        <d v="2026-07-18T14:09:00"/>
        <d v="2026-07-18T14:14:00"/>
        <d v="2026-07-18T14:23:00"/>
        <d v="2026-07-18T14:49:00"/>
        <d v="2026-07-18T15:29:00"/>
        <d v="2026-07-18T16:03:00"/>
        <d v="2026-07-18T16:27:00"/>
        <d v="2026-07-18T16:43:00"/>
        <d v="2026-07-18T18:49:00"/>
        <d v="2026-07-18T20:37:00"/>
        <d v="2026-07-19T06:23:00"/>
        <d v="2026-07-19T08:40:00"/>
        <d v="2026-07-19T08:59:00"/>
        <d v="2026-07-19T09:09:00"/>
        <d v="2026-07-19T09:32:00"/>
        <d v="2026-07-19T11:12:00"/>
        <d v="2026-07-19T11:23:00"/>
        <d v="2026-07-19T12:30:00"/>
        <d v="2026-07-19T12:43:00"/>
        <d v="2026-07-19T12:51:00"/>
        <d v="2026-07-19T13:37:00"/>
        <d v="2026-07-19T14:12:00"/>
        <d v="2026-07-19T15:20:00"/>
        <d v="2026-07-19T15:27:00"/>
        <d v="2026-07-19T16:30:00"/>
        <d v="2026-07-19T16:37:00"/>
        <d v="2026-07-19T16:49:00"/>
        <d v="2026-07-19T17:44:00"/>
        <d v="2026-07-19T18:35:00"/>
        <d v="2026-07-19T20:26:00"/>
        <d v="2026-07-20T06:20:00"/>
        <d v="2026-07-20T06:36:00"/>
        <d v="2026-07-20T07:15:00"/>
        <d v="2026-07-20T07:20:00"/>
        <d v="2026-07-20T08:36:00"/>
        <d v="2026-07-20T09:02:00"/>
        <d v="2026-07-20T09:04:00"/>
        <d v="2026-07-20T10:05:00"/>
        <d v="2026-07-20T10:17:00"/>
        <d v="2026-07-20T11:27:00"/>
        <d v="2026-07-20T11:47:00"/>
        <d v="2026-07-20T12:05:00"/>
        <d v="2026-07-20T12:33:00"/>
        <d v="2026-07-20T12:34:00"/>
        <d v="2026-07-20T12:50:00"/>
        <d v="2026-07-20T13:07:00"/>
        <d v="2026-07-20T13:10:00"/>
        <d v="2026-07-20T13:15:00"/>
        <d v="2026-07-20T13:25:00"/>
        <d v="2026-07-20T13:33:00"/>
        <d v="2026-07-20T14:05:00"/>
        <d v="2026-07-20T14:30:00"/>
        <d v="2026-07-20T14:46:00"/>
        <d v="2026-07-20T14:56:00"/>
        <d v="2026-07-20T15:18:00"/>
        <d v="2026-07-20T15:22:00"/>
        <d v="2026-07-20T15:25:00"/>
        <d v="2026-07-20T16:24:00"/>
        <d v="2026-07-20T18:33:00"/>
        <d v="2026-07-20T19:30:00"/>
        <d v="2026-07-20T22:50:00"/>
        <d v="2026-07-21T07:20:00"/>
        <d v="2026-07-21T07:35:00"/>
        <d v="2026-07-21T08:48:00"/>
        <d v="2026-07-21T10:02:00"/>
        <d v="2026-07-21T10:40:00"/>
        <d v="2026-07-21T11:06:00"/>
        <d v="2026-07-21T11:12:00"/>
        <d v="2026-07-21T12:40:00"/>
        <d v="2026-07-21T12:51:00"/>
        <d v="2026-07-21T13:06:00"/>
        <d v="2026-07-21T13:43:00"/>
        <d v="2026-07-21T15:00:00"/>
        <d v="2026-07-21T16:01:00"/>
        <d v="2026-07-21T17:47:00"/>
        <d v="2026-07-21T21:48:00"/>
        <d v="2026-07-21T22:31:00"/>
        <d v="2026-07-22T05:21:00"/>
        <d v="2026-07-22T05:46:00"/>
        <d v="2026-07-22T09:09:00"/>
        <d v="2026-07-22T10:51:00"/>
        <d v="2026-07-22T11:21:00"/>
        <d v="2026-07-22T11:59:00"/>
        <d v="2026-07-22T12:19:00"/>
        <d v="2026-07-22T12:20:00"/>
        <d v="2026-07-22T12:52:00"/>
        <d v="2026-07-22T13:31:00"/>
        <d v="2026-07-22T13:33:00"/>
        <d v="2026-07-22T13:37:00"/>
        <d v="2026-07-22T14:18:00"/>
        <d v="2026-07-22T16:38:00"/>
        <d v="2026-07-22T16:56:00"/>
        <d v="2026-07-22T17:10:00"/>
        <d v="2026-07-22T17:16:00"/>
        <d v="2026-07-22T17:37:00"/>
        <d v="2026-07-22T19:51:00"/>
        <d v="2026-07-22T20:51:00"/>
        <d v="2026-07-22T21:47:00"/>
        <d v="2026-07-22T22:06:00"/>
        <d v="2026-07-23T05:13:00"/>
        <d v="2026-07-23T05:23:00"/>
        <d v="2026-07-23T07:17:00"/>
        <d v="2026-07-23T07:20:00"/>
        <d v="2026-07-23T07:31:00"/>
        <d v="2026-07-23T07:58:00"/>
        <d v="2026-07-23T08:52:00"/>
        <d v="2026-07-23T09:38:00"/>
        <d v="2026-07-23T10:27:00"/>
        <d v="2026-07-23T10:47:00"/>
        <d v="2026-07-23T10:48:00"/>
        <d v="2026-07-23T10:59:00"/>
        <d v="2026-07-23T11:22:00"/>
        <d v="2026-07-23T12:26:00"/>
        <d v="2026-07-23T12:38:00"/>
        <d v="2026-07-23T13:55:00"/>
        <d v="2026-07-23T15:06:00"/>
        <d v="2026-07-23T15:18:00"/>
        <d v="2026-07-23T15:26:00"/>
        <d v="2026-07-23T15:30:00"/>
        <d v="2026-07-23T15:58:00"/>
        <d v="2026-07-23T16:26:00"/>
        <d v="2026-07-23T17:31:00"/>
        <d v="2026-07-23T17:50:00"/>
        <d v="2026-07-23T18:37:00"/>
        <d v="2026-07-23T19:16:00"/>
        <d v="2026-07-24T04:11:00"/>
        <d v="2026-07-24T07:12:00"/>
        <d v="2026-07-24T08:36:00"/>
        <d v="2026-07-24T09:35:00"/>
        <d v="2026-07-24T09:54:00"/>
        <d v="2026-07-24T10:11:00"/>
        <d v="2026-07-24T11:06:00"/>
        <d v="2026-07-24T11:27:00"/>
        <d v="2026-07-24T11:37:00"/>
        <d v="2026-07-24T11:38:00"/>
        <d v="2026-07-24T11:47:00"/>
        <d v="2026-07-24T11:51:00"/>
        <d v="2026-07-24T11:56:00"/>
        <d v="2026-07-24T12:52:00"/>
        <d v="2026-07-24T13:22:00"/>
        <d v="2026-07-24T14:02:00"/>
        <d v="2026-07-24T14:58:00"/>
        <d v="2026-07-24T15:23:00"/>
        <d v="2026-07-24T15:35:00"/>
        <d v="2026-07-24T15:39:00"/>
        <d v="2026-07-24T15:46:00"/>
        <d v="2026-07-24T16:01:00"/>
        <d v="2026-07-24T19:05:00"/>
        <d v="2026-07-24T19:17:00"/>
        <d v="2026-07-24T20:17:00"/>
        <d v="2026-07-24T23:40:00"/>
        <d v="2026-07-25T00:00:00"/>
        <d v="2026-07-25T04:06:00"/>
        <d v="2026-07-25T06:10:00"/>
        <d v="2026-07-25T06:33:00"/>
        <d v="2026-07-25T07:46:00"/>
        <d v="2026-07-25T07:53:00"/>
        <d v="2026-07-25T08:31:00"/>
        <d v="2026-07-25T08:34:00"/>
        <d v="2026-07-25T09:09:00"/>
        <d v="2026-07-25T10:27:00"/>
        <d v="2026-07-25T10:48:00"/>
        <d v="2026-07-25T11:09:00"/>
        <d v="2026-07-25T11:18:00"/>
        <d v="2026-07-25T12:17:00"/>
        <d v="2026-07-25T12:18:00"/>
        <d v="2026-07-25T12:38:00"/>
        <d v="2026-07-25T12:39:00"/>
        <d v="2026-07-25T12:48:00"/>
        <d v="2026-07-25T13:02:00"/>
        <d v="2026-07-25T14:49:00"/>
        <d v="2026-07-25T15:34:00"/>
        <d v="2026-07-25T15:44:00"/>
        <d v="2026-07-25T16:22:00"/>
        <d v="2026-07-25T21:00:00"/>
        <d v="2026-07-26T02:20:00"/>
        <d v="2026-07-26T02:31:00"/>
        <d v="2026-07-26T03:27:00"/>
        <d v="2026-07-26T05:26:00"/>
        <d v="2026-07-26T06:06:00"/>
        <d v="2026-07-26T06:28:00"/>
        <d v="2026-07-26T06:47:00"/>
        <d v="2026-07-26T07:31:00"/>
        <d v="2026-07-26T07:56:00"/>
        <d v="2026-07-26T09:22:00"/>
        <d v="2026-07-26T10:17:00"/>
        <d v="2026-07-26T11:02:00"/>
        <d v="2026-07-26T11:09:00"/>
        <d v="2026-07-26T11:23:00"/>
        <d v="2026-07-26T11:55:00"/>
        <d v="2026-07-26T13:04:00"/>
        <d v="2026-07-26T13:34:00"/>
        <d v="2026-07-26T14:15:00"/>
        <d v="2026-07-26T14:34:00"/>
        <d v="2026-07-26T14:52:00"/>
        <d v="2026-07-26T16:11:00"/>
        <d v="2026-07-26T18:10:00"/>
        <d v="2026-07-26T20:52:00"/>
        <d v="2026-07-26T21:49:00"/>
        <d v="2026-07-26T21:50:00"/>
        <d v="2026-07-27T03:04:00"/>
        <d v="2026-07-27T06:14:00"/>
        <d v="2026-07-27T09:33:00"/>
        <d v="2026-07-27T09:37:00"/>
        <d v="2026-07-27T10:19:00"/>
        <d v="2026-07-27T10:40:00"/>
        <d v="2026-07-27T10:48:00"/>
        <d v="2026-07-27T11:10:00"/>
        <d v="2026-07-27T11:14:00"/>
        <d v="2026-07-27T11:53:00"/>
        <d v="2026-07-27T11:57:00"/>
        <d v="2026-07-27T12:00:00"/>
        <d v="2026-07-27T12:04:00"/>
        <d v="2026-07-27T12:09:00"/>
        <d v="2026-07-27T12:10:00"/>
        <d v="2026-07-27T12:36:00"/>
        <d v="2026-07-27T13:03:00"/>
        <d v="2026-07-27T13:11:00"/>
        <d v="2026-07-27T13:54:00"/>
        <d v="2026-07-27T14:18:00"/>
        <d v="2026-07-27T16:31:00"/>
        <d v="2026-07-27T17:26:00"/>
        <d v="2026-07-27T18:06:00"/>
        <d v="2026-07-27T18:54:00"/>
        <d v="2026-07-27T19:05:00"/>
        <d v="2026-07-27T19:06:00"/>
        <d v="2026-07-28T01:53:00"/>
        <d v="2026-07-28T05:41:00"/>
        <d v="2026-07-28T08:12:00"/>
        <d v="2026-07-28T08:26:00"/>
        <d v="2026-07-28T09:05:00"/>
        <d v="2026-07-28T09:09:00"/>
        <d v="2026-07-28T09:10:00"/>
        <d v="2026-07-28T09:38:00"/>
        <d v="2026-07-28T10:03:00"/>
        <d v="2026-07-28T10:14:00"/>
        <d v="2026-07-28T10:21:00"/>
        <d v="2026-07-28T10:31:00"/>
        <d v="2026-07-28T10:44:00"/>
        <d v="2026-07-28T11:23:00"/>
        <d v="2026-07-28T12:00:00"/>
        <d v="2026-07-28T13:00:00"/>
        <d v="2026-07-28T13:20:00"/>
        <d v="2026-07-28T13:25:00"/>
        <d v="2026-07-28T13:37:00"/>
        <d v="2026-07-28T14:03:00"/>
        <d v="2026-07-28T14:49:00"/>
        <d v="2026-07-28T14:54:00"/>
        <d v="2026-07-28T15:58:00"/>
        <d v="2026-07-28T16:22:00"/>
        <d v="2026-07-28T18:04:00"/>
        <d v="2026-07-28T19:55:00"/>
        <d v="2026-07-29T08:06:00"/>
        <d v="2026-07-29T08:53:00"/>
        <d v="2026-07-29T09:03:00"/>
        <d v="2026-07-29T09:21:00"/>
        <d v="2026-07-29T10:31:00"/>
        <d v="2026-07-29T11:05:00"/>
        <d v="2026-07-29T12:13:00"/>
        <d v="2026-07-29T12:15:00"/>
        <d v="2026-07-29T12:29:00"/>
        <d v="2026-07-29T12:33:00"/>
        <d v="2026-07-29T13:05:00"/>
        <d v="2026-07-29T13:36:00"/>
        <d v="2026-07-29T13:51:00"/>
        <d v="2026-07-29T13:52:00"/>
        <d v="2026-07-29T14:59:00"/>
        <d v="2026-07-29T15:09:00"/>
        <d v="2026-07-29T15:35:00"/>
        <d v="2026-07-29T16:30:00"/>
        <d v="2026-07-29T17:13:00"/>
        <d v="2026-07-29T17:28:00"/>
        <d v="2026-07-29T17:48:00"/>
        <d v="2026-07-29T19:31:00"/>
        <d v="2026-07-30T06:05:00"/>
        <d v="2026-07-30T07:02:00"/>
        <d v="2026-07-30T08:08:00"/>
        <d v="2026-07-30T10:11:00"/>
        <d v="2026-07-30T10:53:00"/>
        <d v="2026-07-30T12:27:00"/>
        <d v="2026-07-30T13:26:00"/>
        <d v="2026-07-30T14:02:00"/>
        <d v="2026-07-30T14:37:00"/>
        <d v="2026-07-30T14:53:00"/>
        <d v="2026-07-30T14:56:00"/>
        <d v="2026-07-30T15:14:00"/>
        <d v="2026-07-30T15:22:00"/>
        <d v="2026-07-30T16:21:00"/>
        <d v="2026-07-30T16:38:00"/>
        <d v="2026-07-30T17:19:00"/>
        <d v="2026-07-30T17:48:00"/>
        <d v="2026-07-30T19:08:00"/>
        <d v="2026-07-30T19:40:00"/>
        <d v="2026-07-31T04:32:00"/>
        <d v="2026-07-31T05:09:00"/>
        <d v="2026-07-31T07:55:00"/>
        <d v="2026-07-31T10:11:00"/>
        <d v="2026-07-31T10:14:00"/>
        <d v="2026-07-31T10:39:00"/>
        <d v="2026-07-31T11:38:00"/>
        <d v="2026-07-31T11:55:00"/>
        <d v="2026-07-31T12:23:00"/>
        <d v="2026-07-31T12:47:00"/>
        <d v="2026-07-31T13:37:00"/>
        <d v="2026-07-31T13:43:00"/>
        <d v="2026-07-31T14:38:00"/>
        <d v="2026-07-31T15:11:00"/>
        <d v="2026-07-31T15:31:00"/>
        <d v="2026-07-31T16:16:00"/>
        <d v="2026-07-31T17:23:00"/>
        <d v="2026-07-31T18:23:00"/>
        <d v="2026-07-31T18:33:00"/>
        <d v="2026-07-31T19:23:00"/>
        <d v="2026-08-01T06:12:00"/>
        <d v="2026-08-01T08:15:00"/>
        <d v="2026-08-01T09:24:00"/>
        <d v="2026-08-01T10:04:00"/>
        <d v="2026-08-01T12:05:00"/>
        <d v="2026-08-01T12:06:00"/>
        <d v="2026-08-01T12:45:00"/>
        <d v="2026-08-01T13:00:00"/>
        <d v="2026-08-01T13:21:00"/>
        <d v="2026-08-01T13:26:00"/>
        <d v="2026-08-01T13:51:00"/>
        <d v="2026-08-01T15:34:00"/>
        <d v="2026-08-01T16:15:00"/>
        <d v="2026-08-01T17:25:00"/>
        <d v="2026-08-01T20:40:00"/>
        <d v="2026-08-01T22:48:00"/>
        <d v="2026-08-02T04:28:00"/>
        <d v="2026-08-02T05:41:00"/>
        <d v="2026-08-02T08:15:00"/>
        <d v="2026-08-02T08:49:00"/>
        <d v="2026-08-02T09:08:00"/>
        <d v="2026-08-02T09:21:00"/>
        <d v="2026-08-02T11:29:00"/>
        <d v="2026-08-02T11:34:00"/>
        <d v="2026-08-02T11:39:00"/>
        <d v="2026-08-02T11:44:00"/>
        <d v="2026-08-02T12:03:00"/>
        <d v="2026-08-02T12:46:00"/>
        <d v="2026-08-02T14:01:00"/>
        <d v="2026-08-02T14:33:00"/>
        <d v="2026-08-02T15:21:00"/>
        <d v="2026-08-02T15:41:00"/>
        <d v="2026-08-02T16:13:00"/>
        <d v="2026-08-02T16:21:00"/>
        <d v="2026-08-02T17:54:00"/>
        <d v="2026-08-02T18:26:00"/>
        <d v="2026-08-03T08:39:00"/>
        <d v="2026-08-03T08:51:00"/>
        <d v="2026-08-03T09:54:00"/>
        <d v="2026-08-03T10:45:00"/>
        <d v="2026-08-03T12:18:00"/>
        <d v="2026-08-03T12:58:00"/>
        <d v="2026-08-03T13:59:00"/>
        <d v="2026-08-03T14:19:00"/>
        <d v="2026-08-03T14:33:00"/>
        <d v="2026-08-03T14:36:00"/>
        <d v="2026-08-03T14:44:00"/>
        <d v="2026-08-03T17:06:00"/>
        <d v="2026-08-03T18:46:00"/>
        <d v="2026-08-03T18:53:00"/>
        <d v="2026-08-04T06:24:00"/>
        <d v="2026-08-04T09:15:00"/>
        <d v="2026-08-04T09:56:00"/>
        <d v="2026-08-04T10:22:00"/>
        <d v="2026-08-04T11:18:00"/>
        <d v="2026-08-04T11:39:00"/>
        <d v="2026-08-04T12:48:00"/>
        <d v="2026-08-04T13:22:00"/>
        <d v="2026-08-04T13:56:00"/>
        <d v="2026-08-04T13:59:00"/>
        <d v="2026-08-04T14:28:00"/>
        <d v="2026-08-04T14:53:00"/>
        <d v="2026-08-04T15:18:00"/>
        <d v="2026-08-04T16:44:00"/>
        <d v="2026-08-04T17:14:00"/>
        <d v="2026-08-04T17:53:00"/>
        <d v="2026-08-04T18:22:00"/>
        <d v="2026-08-04T19:33:00"/>
        <d v="2026-08-04T19:41:00"/>
        <d v="2026-08-04T20:13:00"/>
        <d v="2026-08-04T21:04:00"/>
        <d v="2026-08-05T05:14:00"/>
        <d v="2026-08-05T06:44:00"/>
        <d v="2026-08-05T07:42:00"/>
        <d v="2026-08-05T08:19:00"/>
        <d v="2026-08-05T08:47:00"/>
        <d v="2026-08-05T08:48:00"/>
        <d v="2026-08-05T09:23:00"/>
        <d v="2026-08-05T10:06:00"/>
        <d v="2026-08-05T10:09:00"/>
        <d v="2026-08-05T10:41:00"/>
        <d v="2026-08-05T11:01:00"/>
        <d v="2026-08-05T11:02:00"/>
        <d v="2026-08-05T11:15:00"/>
        <d v="2026-08-05T11:41:00"/>
        <d v="2026-08-05T13:04:00"/>
        <d v="2026-08-05T13:31:00"/>
        <d v="2026-08-05T14:19:00"/>
        <d v="2026-08-05T15:45:00"/>
        <d v="2026-08-05T16:14:00"/>
        <d v="2026-08-05T16:27:00"/>
        <d v="2026-08-05T17:29:00"/>
        <d v="2026-08-05T17:51:00"/>
        <d v="2026-08-05T19:11:00"/>
        <d v="2026-08-05T21:24:00"/>
        <d v="2026-08-05T21:25:00"/>
        <d v="2026-08-05T22:41:00"/>
        <d v="2026-08-06T03:39:00"/>
        <d v="2026-08-06T05:34:00"/>
        <d v="2026-08-06T05:58:00"/>
        <d v="2026-08-06T06:13:00"/>
        <d v="2026-08-06T06:27:00"/>
        <d v="2026-08-06T06:35:00"/>
        <d v="2026-08-06T07:01:00"/>
        <d v="2026-08-06T08:09:00"/>
        <d v="2026-08-06T09:14:00"/>
        <d v="2026-08-06T10:34:00"/>
        <d v="2026-08-06T11:46:00"/>
        <d v="2026-08-06T12:01:00"/>
        <d v="2026-08-06T13:36:00"/>
        <d v="2026-08-06T14:07:00"/>
        <d v="2026-08-06T14:28:00"/>
        <d v="2026-08-06T14:47:00"/>
        <d v="2026-08-06T16:57:00"/>
        <d v="2026-08-06T17:12:00"/>
        <d v="2026-08-06T18:18:00"/>
        <d v="2026-08-06T18:27:00"/>
        <d v="2026-08-06T19:29:00"/>
        <d v="2026-08-06T19:34:00"/>
        <d v="2026-08-06T20:05:00"/>
        <d v="2026-08-06T20:55:00"/>
        <d v="2026-08-06T22:56:00"/>
        <d v="2026-08-07T07:02:00"/>
        <d v="2026-08-07T08:26:00"/>
        <d v="2026-08-07T09:20:00"/>
        <d v="2026-08-07T09:34:00"/>
        <d v="2026-08-07T09:39:00"/>
        <d v="2026-08-07T09:59:00"/>
        <d v="2026-08-07T11:24:00"/>
        <d v="2026-08-07T11:55:00"/>
        <d v="2026-08-07T12:16:00"/>
        <d v="2026-08-07T13:52:00"/>
        <d v="2026-08-07T14:16:00"/>
        <d v="2026-08-07T14:37:00"/>
        <d v="2026-08-07T14:55:00"/>
        <d v="2026-08-07T15:43:00"/>
        <d v="2026-08-07T16:53:00"/>
        <d v="2026-08-07T18:31:00"/>
        <d v="2026-08-07T23:33:00"/>
        <d v="2026-08-08T04:35:00"/>
        <d v="2026-08-08T05:33:00"/>
        <d v="2026-08-08T05:42:00"/>
        <d v="2026-08-08T06:17:00"/>
        <d v="2026-08-08T06:19:00"/>
        <d v="2026-08-08T07:37:00"/>
        <d v="2026-08-08T09:05:00"/>
        <d v="2026-08-08T09:15:00"/>
        <d v="2026-08-08T09:40:00"/>
        <d v="2026-08-08T10:05:00"/>
        <d v="2026-08-08T10:23:00"/>
        <d v="2026-08-08T11:16:00"/>
        <d v="2026-08-08T11:22:00"/>
        <d v="2026-08-08T11:47:00"/>
        <d v="2026-08-08T12:31:00"/>
        <d v="2026-08-08T13:14:00"/>
        <d v="2026-08-08T14:00:00"/>
        <d v="2026-08-08T14:07:00"/>
        <d v="2026-08-08T15:14:00"/>
        <d v="2026-08-08T16:01:00"/>
        <d v="2026-08-08T16:11:00"/>
        <d v="2026-08-08T18:01:00"/>
        <d v="2026-08-08T18:28:00"/>
        <d v="2026-08-08T20:23:00"/>
        <d v="2026-08-08T20:37:00"/>
        <d v="2026-08-08T21:43:00"/>
        <d v="2026-08-09T03:36:00"/>
        <d v="2026-08-09T05:13:00"/>
        <d v="2026-08-09T08:48:00"/>
        <d v="2026-08-09T10:21:00"/>
        <d v="2026-08-09T10:40:00"/>
        <d v="2026-08-09T11:14:00"/>
        <d v="2026-08-09T11:23:00"/>
        <d v="2026-08-09T12:00:00"/>
        <d v="2026-08-09T12:05:00"/>
        <d v="2026-08-09T12:11:00"/>
        <d v="2026-08-09T12:18:00"/>
        <d v="2026-08-09T12:37:00"/>
        <d v="2026-08-09T13:04:00"/>
        <d v="2026-08-09T13:06:00"/>
        <d v="2026-08-09T13:51:00"/>
        <d v="2026-08-09T14:08:00"/>
        <d v="2026-08-09T15:05:00"/>
        <d v="2026-08-09T15:46:00"/>
        <d v="2026-08-09T16:11:00"/>
        <d v="2026-08-09T16:49:00"/>
        <d v="2026-08-09T17:26:00"/>
        <d v="2026-08-10T05:23:00"/>
        <d v="2026-08-10T07:34:00"/>
        <d v="2026-08-10T08:40:00"/>
        <d v="2026-08-10T09:57:00"/>
        <d v="2026-08-10T11:34:00"/>
        <d v="2026-08-10T11:53:00"/>
        <d v="2026-08-10T12:32:00"/>
        <d v="2026-08-10T12:45:00"/>
        <d v="2026-08-10T13:21:00"/>
        <d v="2026-08-10T13:23:00"/>
        <d v="2026-08-10T13:32:00"/>
        <d v="2026-08-10T14:09:00"/>
        <d v="2026-08-10T14:15:00"/>
        <d v="2026-08-10T16:25:00"/>
        <d v="2026-08-10T18:20:00"/>
        <d v="2026-08-10T19:15:00"/>
        <d v="2026-08-10T23:10:00"/>
        <d v="2026-08-11T06:17:00"/>
        <d v="2026-08-11T06:44:00"/>
        <d v="2026-08-11T08:12:00"/>
        <d v="2026-08-11T08:13:00"/>
        <d v="2026-08-11T08:56:00"/>
        <d v="2026-08-11T09:46:00"/>
        <d v="2026-08-11T10:23:00"/>
        <d v="2026-08-11T11:26:00"/>
        <d v="2026-08-11T12:38:00"/>
        <d v="2026-08-11T13:54:00"/>
        <d v="2026-08-11T14:13:00"/>
        <d v="2026-08-11T14:46:00"/>
        <d v="2026-08-11T14:56:00"/>
        <d v="2026-08-11T15:39:00"/>
        <d v="2026-08-11T15:40:00"/>
        <d v="2026-08-11T15:43:00"/>
        <d v="2026-08-11T15:47:00"/>
        <d v="2026-08-11T17:00:00"/>
        <d v="2026-08-11T17:27:00"/>
        <d v="2026-08-11T17:58:00"/>
        <d v="2026-08-11T23:07:00"/>
        <d v="2026-08-11T23:28:00"/>
        <d v="2026-08-12T02:12:00"/>
        <d v="2026-08-12T09:25:00"/>
        <d v="2026-08-12T10:43:00"/>
        <d v="2026-08-12T11:34:00"/>
        <d v="2026-08-12T12:15:00"/>
        <d v="2026-08-12T12:45:00"/>
        <d v="2026-08-12T13:36:00"/>
        <d v="2026-08-12T13:39:00"/>
        <d v="2026-08-12T13:46:00"/>
        <d v="2026-08-12T14:03:00"/>
        <d v="2026-08-12T15:05:00"/>
        <d v="2026-08-12T15:24:00"/>
        <d v="2026-08-12T15:45:00"/>
        <d v="2026-08-12T16:36:00"/>
        <d v="2026-08-12T17:05:00"/>
        <d v="2026-08-12T18:06:00"/>
        <d v="2026-08-12T19:37:00"/>
        <d v="2026-08-12T20:55:00"/>
        <d v="2026-08-13T03:56:00"/>
        <d v="2026-08-13T05:38:00"/>
        <d v="2026-08-13T08:04:00"/>
        <d v="2026-08-13T08:36:00"/>
        <d v="2026-08-13T08:37:00"/>
        <d v="2026-08-13T10:19:00"/>
        <d v="2026-08-13T10:37:00"/>
        <d v="2026-08-13T11:16:00"/>
        <d v="2026-08-13T11:58:00"/>
        <d v="2026-08-13T12:34:00"/>
        <d v="2026-08-13T12:41:00"/>
        <d v="2026-08-13T12:58:00"/>
        <d v="2026-08-13T13:04:00"/>
        <d v="2026-08-13T13:39:00"/>
        <d v="2026-08-13T13:40:00"/>
        <d v="2026-08-13T13:57:00"/>
        <d v="2026-08-13T14:43:00"/>
        <d v="2026-08-13T15:35:00"/>
        <d v="2026-08-13T15:41:00"/>
        <d v="2026-08-13T16:44:00"/>
        <d v="2026-08-13T16:55:00"/>
        <d v="2026-08-13T17:43:00"/>
        <d v="2026-08-13T17:57:00"/>
        <d v="2026-08-13T18:51:00"/>
        <d v="2026-08-13T20:25:00"/>
        <d v="2026-08-14T03:23:00"/>
        <d v="2026-08-14T06:33:00"/>
        <d v="2026-08-14T11:27:00"/>
        <d v="2026-08-14T11:57:00"/>
        <d v="2026-08-14T12:14:00"/>
        <d v="2026-08-14T13:02:00"/>
        <d v="2026-08-14T13:45:00"/>
        <d v="2026-08-14T14:39:00"/>
        <d v="2026-08-14T15:05:00"/>
        <d v="2026-08-14T15:13:00"/>
        <d v="2026-08-14T15:24:00"/>
        <d v="2026-08-14T15:30:00"/>
        <d v="2026-08-14T15:53:00"/>
        <d v="2026-08-14T16:21:00"/>
        <d v="2026-08-14T17:51:00"/>
        <d v="2026-08-14T18:10:00"/>
        <d v="2026-08-14T18:14:00"/>
        <d v="2026-08-14T19:29:00"/>
        <d v="2026-08-14T20:25:00"/>
        <d v="2026-08-14T22:24:00"/>
        <d v="2026-08-15T00:44:00"/>
        <d v="2026-08-15T06:11:00"/>
        <d v="2026-08-15T06:13:00"/>
        <d v="2026-08-15T06:45:00"/>
        <d v="2026-08-15T08:08:00"/>
        <d v="2026-08-15T08:26:00"/>
        <d v="2026-08-15T09:29:00"/>
        <d v="2026-08-15T10:04:00"/>
        <d v="2026-08-15T10:37:00"/>
        <d v="2026-08-15T12:17:00"/>
        <d v="2026-08-15T12:20:00"/>
        <d v="2026-08-15T14:24:00"/>
        <d v="2026-08-15T14:39:00"/>
        <d v="2026-08-15T14:46:00"/>
        <d v="2026-08-15T15:21:00"/>
        <d v="2026-08-15T15:34:00"/>
        <d v="2026-08-15T15:44:00"/>
        <d v="2026-08-15T16:00:00"/>
        <d v="2026-08-15T16:02:00"/>
        <d v="2026-08-15T17:06:00"/>
        <d v="2026-08-15T19:19:00"/>
        <d v="2026-08-15T19:21:00"/>
        <d v="2026-08-15T20:36:00"/>
        <d v="2026-08-15T22:45:00"/>
        <d v="2026-08-15T23:46:00"/>
        <d v="2026-08-16T05:17:00"/>
        <d v="2026-08-16T05:56:00"/>
        <d v="2026-08-16T06:09:00"/>
        <d v="2026-08-16T07:39:00"/>
        <d v="2026-08-16T07:43:00"/>
        <d v="2026-08-16T07:46:00"/>
        <d v="2026-08-16T09:26:00"/>
        <d v="2026-08-16T09:42:00"/>
        <d v="2026-08-16T11:25:00"/>
        <d v="2026-08-16T11:40:00"/>
        <d v="2026-08-16T11:46:00"/>
        <d v="2026-08-16T12:53:00"/>
        <d v="2026-08-16T13:03:00"/>
        <d v="2026-08-16T13:05:00"/>
        <d v="2026-08-16T13:11:00"/>
        <d v="2026-08-16T14:25:00"/>
        <d v="2026-08-16T14:34:00"/>
        <d v="2026-08-16T15:08:00"/>
        <d v="2026-08-16T15:19:00"/>
        <d v="2026-08-16T15:21:00"/>
        <d v="2026-08-16T16:33:00"/>
        <d v="2026-08-16T17:09:00"/>
        <d v="2026-08-16T17:52:00"/>
        <d v="2026-08-16T17:56:00"/>
        <d v="2026-08-16T18:04:00"/>
        <d v="2026-08-16T18:40:00"/>
        <d v="2026-08-16T20:34:00"/>
        <d v="2026-08-16T21:11:00"/>
        <d v="2026-08-16T22:04:00"/>
        <d v="2026-08-17T10:35:00"/>
        <d v="2026-08-17T10:53:00"/>
        <d v="2026-08-17T12:09:00"/>
        <d v="2026-08-17T12:47:00"/>
        <d v="2026-08-17T12:48:00"/>
        <d v="2026-08-17T13:26:00"/>
        <d v="2026-08-17T13:58:00"/>
        <d v="2026-08-17T14:43:00"/>
        <d v="2026-08-17T16:23:00"/>
        <d v="2026-08-17T17:21:00"/>
        <d v="2026-08-17T17:22:00"/>
        <d v="2026-08-18T06:47:00"/>
        <d v="2026-08-18T06:48:00"/>
        <d v="2026-08-18T08:08:00"/>
        <d v="2026-08-18T11:03:00"/>
        <d v="2026-08-18T11:34:00"/>
        <d v="2026-08-18T11:41:00"/>
        <d v="2026-08-18T12:09:00"/>
        <d v="2026-08-18T12:14:00"/>
        <d v="2026-08-18T12:54:00"/>
        <d v="2026-08-18T13:06:00"/>
        <d v="2026-08-18T13:14:00"/>
        <d v="2026-08-18T13:54:00"/>
        <d v="2026-08-18T13:56:00"/>
        <d v="2026-08-18T14:02:00"/>
        <d v="2026-08-18T14:46:00"/>
        <d v="2026-08-18T15:48:00"/>
        <d v="2026-08-18T16:15:00"/>
        <d v="2026-08-18T16:38:00"/>
        <d v="2026-08-18T16:56:00"/>
        <d v="2026-08-18T17:31:00"/>
        <d v="2026-08-18T18:12:00"/>
        <d v="2026-08-18T18:14:00"/>
        <d v="2026-08-18T20:42:00"/>
        <d v="2026-08-18T21:40:00"/>
        <d v="2026-08-19T04:49:00"/>
        <d v="2026-08-19T06:56:00"/>
        <d v="2026-08-19T07:32:00"/>
        <d v="2026-08-19T07:37:00"/>
        <d v="2026-08-19T08:07:00"/>
        <d v="2026-08-19T08:12:00"/>
        <d v="2026-08-19T08:17:00"/>
        <d v="2026-08-19T08:21:00"/>
        <d v="2026-08-19T08:59:00"/>
        <d v="2026-08-19T09:46:00"/>
        <d v="2026-08-19T10:40:00"/>
        <d v="2026-08-19T10:41:00"/>
        <d v="2026-08-19T10:43:00"/>
        <d v="2026-08-19T11:19:00"/>
        <d v="2026-08-19T11:31:00"/>
        <d v="2026-08-19T13:24:00"/>
        <d v="2026-08-19T14:07:00"/>
        <d v="2026-08-19T14:19:00"/>
        <d v="2026-08-19T14:20:00"/>
        <d v="2026-08-19T14:35:00"/>
        <d v="2026-08-19T14:36:00"/>
        <d v="2026-08-19T14:45:00"/>
        <d v="2026-08-19T15:11:00"/>
        <d v="2026-08-19T16:14:00"/>
        <d v="2026-08-19T16:45:00"/>
        <d v="2026-08-19T16:57:00"/>
        <d v="2026-08-19T17:20:00"/>
        <d v="2026-08-19T17:45:00"/>
        <d v="2026-08-19T17:49:00"/>
        <d v="2026-08-19T18:07:00"/>
        <d v="2026-08-19T19:06:00"/>
        <d v="2026-08-20T05:58:00"/>
        <d v="2026-08-20T08:23:00"/>
        <d v="2026-08-20T08:27:00"/>
        <d v="2026-08-20T10:00:00"/>
        <d v="2026-08-20T10:39:00"/>
        <d v="2026-08-20T10:58:00"/>
        <d v="2026-08-20T11:27:00"/>
        <d v="2026-08-20T11:53:00"/>
        <d v="2026-08-20T12:30:00"/>
        <d v="2026-08-20T13:15:00"/>
        <d v="2026-08-20T13:16:00"/>
        <d v="2026-08-20T13:51:00"/>
        <d v="2026-08-20T14:26:00"/>
        <d v="2026-08-20T15:08:00"/>
        <d v="2026-08-20T16:11:00"/>
        <d v="2026-08-20T16:30:00"/>
        <d v="2026-08-20T16:34:00"/>
        <d v="2026-08-20T16:50:00"/>
        <d v="2026-08-20T17:39:00"/>
        <d v="2026-08-20T20:49:00"/>
        <d v="2026-08-21T07:04:00"/>
        <d v="2026-08-21T07:38:00"/>
        <d v="2026-08-21T10:01:00"/>
        <d v="2026-08-21T10:36:00"/>
        <d v="2026-08-21T11:14:00"/>
        <d v="2026-08-21T11:25:00"/>
        <d v="2026-08-21T13:22:00"/>
        <d v="2026-08-21T13:27:00"/>
        <d v="2026-08-21T13:31:00"/>
        <d v="2026-08-21T13:46:00"/>
        <d v="2026-08-21T13:57:00"/>
        <d v="2026-08-21T14:21:00"/>
        <d v="2026-08-21T14:26:00"/>
        <d v="2026-08-21T14:39:00"/>
        <d v="2026-08-21T14:46:00"/>
        <d v="2026-08-21T15:56:00"/>
        <d v="2026-08-21T16:06:00"/>
        <d v="2026-08-21T17:09:00"/>
        <d v="2026-08-21T17:49:00"/>
        <d v="2026-08-21T20:05:00"/>
        <d v="2026-08-21T20:31:00"/>
        <d v="2026-08-21T21:32:00"/>
        <d v="2026-08-21T23:32:00"/>
        <d v="2026-08-22T04:38:00"/>
        <d v="2026-08-22T05:53:00"/>
        <d v="2026-08-22T07:41:00"/>
        <d v="2026-08-22T08:58:00"/>
        <d v="2026-08-22T11:35:00"/>
        <d v="2026-08-22T11:57:00"/>
        <d v="2026-08-22T12:35:00"/>
        <d v="2026-08-22T13:13:00"/>
        <d v="2026-08-22T13:34:00"/>
        <d v="2026-08-22T14:15:00"/>
        <d v="2026-08-22T15:40:00"/>
        <d v="2026-08-22T16:37:00"/>
        <d v="2026-08-22T16:44:00"/>
        <d v="2026-08-22T17:18:00"/>
        <d v="2026-08-22T18:37:00"/>
        <d v="2026-08-22T19:00:00"/>
        <d v="2026-08-22T20:15:00"/>
        <d v="2026-08-22T22:00:00"/>
        <d v="2026-08-23T02:50:00"/>
        <d v="2026-08-23T05:03:00"/>
        <d v="2026-08-23T05:16:00"/>
        <d v="2026-08-23T06:11:00"/>
        <d v="2026-08-23T06:21:00"/>
        <d v="2026-08-23T08:40:00"/>
        <d v="2026-08-23T08:49:00"/>
        <d v="2026-08-23T09:07:00"/>
        <d v="2026-08-23T09:50:00"/>
        <d v="2026-08-23T09:56:00"/>
        <d v="2026-08-23T10:25:00"/>
        <d v="2026-08-23T10:30:00"/>
        <d v="2026-08-23T10:45:00"/>
        <d v="2026-08-23T10:56:00"/>
        <d v="2026-08-23T12:21:00"/>
        <d v="2026-08-23T13:16:00"/>
        <d v="2026-08-23T14:45:00"/>
        <d v="2026-08-23T14:46:00"/>
        <d v="2026-08-23T15:30:00"/>
        <d v="2026-08-23T15:54:00"/>
        <d v="2026-08-23T16:01:00"/>
        <d v="2026-08-23T16:13:00"/>
        <d v="2026-08-23T16:38:00"/>
        <d v="2026-08-23T17:55:00"/>
        <d v="2026-08-23T19:06:00"/>
        <d v="2026-08-23T21:50:00"/>
        <d v="2026-08-23T23:04:00"/>
        <d v="2026-08-24T05:48:00"/>
        <d v="2026-08-24T06:17:00"/>
        <d v="2026-08-24T06:50:00"/>
        <d v="2026-08-24T08:01:00"/>
        <d v="2026-08-24T11:09:00"/>
        <d v="2026-08-24T11:11:00"/>
        <d v="2026-08-24T12:15:00"/>
        <d v="2026-08-24T12:31:00"/>
        <d v="2026-08-24T12:40:00"/>
        <d v="2026-08-24T13:08:00"/>
        <d v="2026-08-24T13:36:00"/>
        <d v="2026-08-24T15:14:00"/>
        <d v="2026-08-24T15:36:00"/>
        <d v="2026-08-24T16:42:00"/>
        <d v="2026-08-24T17:16:00"/>
        <d v="2026-08-24T18:02:00"/>
        <d v="2026-08-24T18:33:00"/>
        <d v="2026-08-24T22:43:00"/>
        <d v="2026-08-25T03:59:00"/>
        <d v="2026-08-25T06:47:00"/>
        <d v="2026-08-25T07:17:00"/>
        <d v="2026-08-25T07:24:00"/>
        <d v="2026-08-25T07:47:00"/>
        <d v="2026-08-25T09:24:00"/>
        <d v="2026-08-25T10:24:00"/>
        <d v="2026-08-25T10:34:00"/>
        <d v="2026-08-25T10:45:00"/>
        <d v="2026-08-25T11:50:00"/>
        <d v="2026-08-25T11:52:00"/>
        <d v="2026-08-25T12:38:00"/>
        <d v="2026-08-25T12:54:00"/>
        <d v="2026-08-25T13:03:00"/>
        <d v="2026-08-25T13:27:00"/>
        <d v="2026-08-25T13:34:00"/>
        <d v="2026-08-25T14:20:00"/>
        <d v="2026-08-25T15:12:00"/>
        <d v="2026-08-25T15:16:00"/>
        <d v="2026-08-25T16:43:00"/>
        <d v="2026-08-25T17:08:00"/>
        <d v="2026-08-25T17:21:00"/>
        <d v="2026-08-25T18:57:00"/>
        <d v="2026-08-25T20:41:00"/>
        <d v="2026-08-25T21:47:00"/>
        <d v="2026-08-26T02:09:00"/>
        <d v="2026-08-26T02:39:00"/>
        <d v="2026-08-26T05:50:00"/>
        <d v="2026-08-26T08:02:00"/>
        <d v="2026-08-26T09:10:00"/>
        <d v="2026-08-26T09:21:00"/>
        <d v="2026-08-26T10:28:00"/>
        <d v="2026-08-26T11:30:00"/>
        <d v="2026-08-26T11:33:00"/>
        <d v="2026-08-26T12:59:00"/>
        <d v="2026-08-26T14:58:00"/>
        <d v="2026-08-26T15:12:00"/>
        <d v="2026-08-26T15:27:00"/>
        <d v="2026-08-26T17:54:00"/>
        <d v="2026-08-26T22:26:00"/>
        <d v="2026-08-27T03:00:00"/>
        <d v="2026-08-27T06:19:00"/>
        <d v="2026-08-27T07:05:00"/>
        <d v="2026-08-27T09:06:00"/>
        <d v="2026-08-27T09:12:00"/>
        <d v="2026-08-27T10:14:00"/>
        <d v="2026-08-27T10:44:00"/>
        <d v="2026-08-27T11:56:00"/>
        <d v="2026-08-27T11:59:00"/>
        <d v="2026-08-27T12:01:00"/>
        <d v="2026-08-27T12:40:00"/>
        <d v="2026-08-27T13:07:00"/>
        <d v="2026-08-27T13:43:00"/>
        <d v="2026-08-27T14:56:00"/>
        <d v="2026-08-27T15:00:00"/>
        <d v="2026-08-27T15:14:00"/>
        <d v="2026-08-27T15:27:00"/>
        <d v="2026-08-27T15:46:00"/>
        <d v="2026-08-27T16:09:00"/>
        <d v="2026-08-27T17:48:00"/>
        <d v="2026-08-27T18:06:00"/>
        <d v="2026-08-27T18:40:00"/>
        <d v="2026-08-27T19:45:00"/>
        <d v="2026-08-28T03:26:00"/>
        <d v="2026-08-28T06:15:00"/>
        <d v="2026-08-28T09:21:00"/>
        <d v="2026-08-28T10:21:00"/>
        <d v="2026-08-28T11:14:00"/>
        <d v="2026-08-28T11:31:00"/>
        <d v="2026-08-28T11:43:00"/>
        <d v="2026-08-28T12:03:00"/>
        <d v="2026-08-28T12:08:00"/>
        <d v="2026-08-28T12:39:00"/>
        <d v="2026-08-28T13:49:00"/>
        <d v="2026-08-28T14:21:00"/>
        <d v="2026-08-28T14:53:00"/>
        <d v="2026-08-28T14:56:00"/>
        <d v="2026-08-28T15:01:00"/>
        <d v="2026-08-28T15:11:00"/>
        <d v="2026-08-28T16:18:00"/>
        <d v="2026-08-28T16:41:00"/>
        <d v="2026-08-28T16:43:00"/>
        <d v="2026-08-28T16:53:00"/>
        <d v="2026-08-28T17:53:00"/>
        <d v="2026-08-29T05:09:00"/>
        <d v="2026-08-29T06:24:00"/>
        <d v="2026-08-29T08:16:00"/>
        <d v="2026-08-29T08:27:00"/>
        <d v="2026-08-29T09:00:00"/>
        <d v="2026-08-29T10:00:00"/>
        <d v="2026-08-29T10:02:00"/>
        <d v="2026-08-29T11:27:00"/>
        <d v="2026-08-29T12:02:00"/>
        <d v="2026-08-29T12:07:00"/>
        <d v="2026-08-29T12:19:00"/>
        <d v="2026-08-29T12:26:00"/>
        <d v="2026-08-29T13:04:00"/>
        <d v="2026-08-29T13:14:00"/>
        <d v="2026-08-29T13:23:00"/>
        <d v="2026-08-29T13:29:00"/>
        <d v="2026-08-29T13:32:00"/>
        <d v="2026-08-29T14:18:00"/>
        <d v="2026-08-29T14:49:00"/>
        <d v="2026-08-29T15:24:00"/>
        <d v="2026-08-29T15:58:00"/>
        <d v="2026-08-29T16:59:00"/>
        <d v="2026-08-29T18:02:00"/>
        <d v="2026-08-29T18:45:00"/>
        <d v="2026-08-29T21:48:00"/>
        <d v="2026-08-29T21:53:00"/>
        <d v="2026-08-29T22:34:00"/>
        <d v="2026-08-30T02:43:00"/>
        <d v="2026-08-30T05:30:00"/>
        <d v="2026-08-30T07:24:00"/>
        <d v="2026-08-30T08:20:00"/>
        <d v="2026-08-30T09:42:00"/>
        <d v="2026-08-30T10:00:00"/>
        <d v="2026-08-30T10:19:00"/>
        <d v="2026-08-30T10:22:00"/>
        <d v="2026-08-30T11:27:00"/>
        <d v="2026-08-30T11:48:00"/>
        <d v="2026-08-30T12:05:00"/>
        <d v="2026-08-30T12:36:00"/>
        <d v="2026-08-30T12:49:00"/>
        <d v="2026-08-30T13:04:00"/>
        <d v="2026-08-30T13:08:00"/>
        <d v="2026-08-30T13:10:00"/>
        <d v="2026-08-30T13:30:00"/>
        <d v="2026-08-30T14:34:00"/>
        <d v="2026-08-30T14:39:00"/>
        <d v="2026-08-30T14:44:00"/>
        <d v="2026-08-30T14:49:00"/>
        <d v="2026-08-30T15:12:00"/>
        <d v="2026-08-30T16:06:00"/>
        <d v="2026-08-30T17:58:00"/>
        <d v="2026-08-30T18:05:00"/>
        <d v="2026-08-30T21:09:00"/>
        <d v="2026-08-31T02:24:00"/>
        <d v="2026-08-31T08:04:00"/>
        <d v="2026-08-31T08:22:00"/>
        <d v="2026-08-31T09:12:00"/>
        <d v="2026-08-31T11:00:00"/>
        <d v="2026-08-31T11:31:00"/>
        <d v="2026-08-31T11:35:00"/>
        <d v="2026-08-31T11:45:00"/>
        <d v="2026-08-31T11:56:00"/>
        <d v="2026-08-31T12:23:00"/>
        <d v="2026-08-31T12:57:00"/>
        <d v="2026-08-31T13:42:00"/>
        <d v="2026-08-31T13:49:00"/>
        <d v="2026-08-31T14:35:00"/>
        <d v="2026-08-31T16:26:00"/>
        <d v="2026-08-31T16:40:00"/>
        <d v="2026-08-31T17:22:00"/>
        <d v="2026-08-31T18:22:00"/>
        <d v="2026-08-31T19:37:00"/>
        <d v="2026-09-01T03:35:00"/>
        <d v="2026-09-01T04:07:00"/>
        <d v="2026-09-01T06:54:00"/>
        <d v="2026-09-01T07:56:00"/>
        <d v="2026-09-01T09:41:00"/>
        <d v="2026-09-01T10:19:00"/>
        <d v="2026-09-01T11:31:00"/>
        <d v="2026-09-01T12:58:00"/>
        <d v="2026-09-01T13:57:00"/>
        <d v="2026-09-01T14:56:00"/>
        <d v="2026-09-01T15:02:00"/>
        <d v="2026-09-01T15:32:00"/>
        <d v="2026-09-01T15:34:00"/>
        <d v="2026-09-01T15:54:00"/>
        <d v="2026-09-01T16:26:00"/>
        <d v="2026-09-01T16:40:00"/>
        <d v="2026-09-01T17:06:00"/>
        <d v="2026-09-01T18:45:00"/>
        <d v="2026-09-01T19:51:00"/>
        <d v="2026-09-01T20:15:00"/>
        <d v="2026-09-01T20:28:00"/>
        <d v="2026-09-01T22:38:00"/>
        <d v="2026-09-02T00:11:00"/>
        <d v="2026-09-02T05:41:00"/>
        <d v="2026-09-02T06:34:00"/>
        <d v="2026-09-02T06:41:00"/>
        <d v="2026-09-02T08:44:00"/>
        <d v="2026-09-02T09:35:00"/>
        <d v="2026-09-02T09:50:00"/>
        <d v="2026-09-02T10:16:00"/>
        <d v="2026-09-02T10:25:00"/>
        <d v="2026-09-02T10:37:00"/>
        <d v="2026-09-02T13:10:00"/>
        <d v="2026-09-02T13:14:00"/>
        <d v="2026-09-02T13:51:00"/>
        <d v="2026-09-02T14:29:00"/>
        <d v="2026-09-02T14:51:00"/>
        <d v="2026-09-02T15:35:00"/>
        <d v="2026-09-02T17:40:00"/>
        <d v="2026-09-02T18:15:00"/>
        <d v="2026-09-02T19:03:00"/>
        <d v="2026-09-02T19:55:00"/>
        <d v="2026-09-02T20:35:00"/>
        <d v="2026-09-03T02:13:00"/>
        <d v="2026-09-03T05:29:00"/>
        <d v="2026-09-03T05:51:00"/>
        <d v="2026-09-03T06:15:00"/>
        <d v="2026-09-03T07:11:00"/>
        <d v="2026-09-03T07:35:00"/>
        <d v="2026-09-03T08:22:00"/>
        <d v="2026-09-03T08:44:00"/>
        <d v="2026-09-03T09:30:00"/>
        <d v="2026-09-03T09:36:00"/>
        <d v="2026-09-03T10:23:00"/>
        <d v="2026-09-03T10:32:00"/>
        <d v="2026-09-03T10:57:00"/>
        <d v="2026-09-03T12:50:00"/>
        <d v="2026-09-03T13:16:00"/>
        <d v="2026-09-03T13:39:00"/>
        <d v="2026-09-03T14:15:00"/>
        <d v="2026-09-03T14:52:00"/>
        <d v="2026-09-03T15:06:00"/>
        <d v="2026-09-03T15:37:00"/>
        <d v="2026-09-03T15:39:00"/>
        <d v="2026-09-03T17:37:00"/>
        <d v="2026-09-03T18:30:00"/>
        <d v="2026-09-03T19:04:00"/>
        <d v="2026-09-04T07:01:00"/>
        <d v="2026-09-04T08:16:00"/>
        <d v="2026-09-04T08:29:00"/>
        <d v="2026-09-04T09:09:00"/>
        <d v="2026-09-04T09:40:00"/>
        <d v="2026-09-04T10:44:00"/>
        <d v="2026-09-04T11:06:00"/>
        <d v="2026-09-04T14:35:00"/>
        <d v="2026-09-04T14:39:00"/>
        <d v="2026-09-04T14:50:00"/>
        <d v="2026-09-04T14:55:00"/>
        <d v="2026-09-04T15:04:00"/>
        <d v="2026-09-04T15:35:00"/>
        <d v="2026-09-04T17:03:00"/>
        <d v="2026-09-04T20:05:00"/>
        <d v="2026-09-04T21:35:00"/>
        <d v="2026-09-05T07:38:00"/>
        <d v="2026-09-05T08:59:00"/>
        <d v="2026-09-05T09:52:00"/>
        <d v="2026-09-05T11:03:00"/>
        <d v="2026-09-05T11:14:00"/>
        <d v="2026-09-05T11:34:00"/>
        <d v="2026-09-05T11:40:00"/>
        <d v="2026-09-05T13:09:00"/>
        <d v="2026-09-05T15:06:00"/>
        <d v="2026-09-05T15:43:00"/>
        <d v="2026-09-05T15:44:00"/>
        <d v="2026-09-05T16:40:00"/>
        <d v="2026-09-05T16:58:00"/>
        <d v="2026-09-05T18:23:00"/>
        <d v="2026-09-05T21:13:00"/>
        <d v="2026-09-05T22:13:00"/>
        <d v="2026-09-06T07:28:00"/>
        <d v="2026-09-06T09:19:00"/>
        <d v="2026-09-06T09:34:00"/>
        <d v="2026-09-06T12:12:00"/>
        <d v="2026-09-06T12:43:00"/>
        <d v="2026-09-06T13:39:00"/>
        <d v="2026-09-06T14:13:00"/>
        <d v="2026-09-06T15:26:00"/>
        <d v="2026-09-06T16:59:00"/>
        <d v="2026-09-06T17:00:00"/>
        <d v="2026-09-06T17:47:00"/>
        <d v="2026-09-06T19:26:00"/>
        <d v="2026-09-06T19:49:00"/>
        <d v="2026-09-06T20:42:00"/>
        <d v="2026-09-07T03:53:00"/>
        <d v="2026-09-07T05:37:00"/>
        <d v="2026-09-07T06:11:00"/>
        <d v="2026-09-07T06:42:00"/>
        <d v="2026-09-07T07:53:00"/>
        <d v="2026-09-07T08:00:00"/>
        <d v="2026-09-07T08:06:00"/>
        <d v="2026-09-07T08:15:00"/>
        <d v="2026-09-07T08:52:00"/>
        <d v="2026-09-07T09:10:00"/>
        <d v="2026-09-07T09:16:00"/>
        <d v="2026-09-07T09:24:00"/>
        <d v="2026-09-07T10:31:00"/>
        <d v="2026-09-07T10:42:00"/>
        <d v="2026-09-07T11:13:00"/>
        <d v="2026-09-07T11:47:00"/>
        <d v="2026-09-07T12:48:00"/>
        <d v="2026-09-07T12:52:00"/>
        <d v="2026-09-07T13:33:00"/>
        <d v="2026-09-07T13:56:00"/>
        <d v="2026-09-07T15:17:00"/>
        <d v="2026-09-07T16:00:00"/>
        <d v="2026-09-07T16:10:00"/>
        <d v="2026-09-07T16:32:00"/>
        <d v="2026-09-07T18:24:00"/>
        <d v="2026-09-07T20:52:00"/>
        <d v="2026-09-07T23:14:00"/>
        <d v="2026-09-08T03:54:00"/>
        <d v="2026-09-08T07:04:00"/>
        <d v="2026-09-08T07:17:00"/>
        <d v="2026-09-08T09:20:00"/>
        <d v="2026-09-08T10:52:00"/>
        <d v="2026-09-08T12:02:00"/>
        <d v="2026-09-08T12:08:00"/>
        <d v="2026-09-08T13:03:00"/>
        <d v="2026-09-08T13:28:00"/>
        <d v="2026-09-08T13:52:00"/>
        <d v="2026-09-08T14:02:00"/>
        <d v="2026-09-08T15:13:00"/>
        <d v="2026-09-08T15:39:00"/>
        <d v="2026-09-08T16:08:00"/>
        <d v="2026-09-08T16:22:00"/>
        <d v="2026-09-08T19:40:00"/>
        <d v="2026-09-08T19:55:00"/>
        <d v="2026-09-08T21:31:00"/>
        <d v="2026-09-09T01:56:00"/>
        <d v="2026-09-09T02:54:00"/>
        <d v="2026-09-09T04:25:00"/>
        <d v="2026-09-09T06:23:00"/>
        <d v="2026-09-09T08:55:00"/>
        <d v="2026-09-09T08:58:00"/>
        <d v="2026-09-09T09:32:00"/>
        <d v="2026-09-09T09:44:00"/>
        <d v="2026-09-09T11:06:00"/>
        <d v="2026-09-09T12:23:00"/>
        <d v="2026-09-09T12:36:00"/>
        <d v="2026-09-09T13:00:00"/>
        <d v="2026-09-09T13:02:00"/>
        <d v="2026-09-09T13:23:00"/>
        <d v="2026-09-09T13:44:00"/>
        <d v="2026-09-09T13:53:00"/>
        <d v="2026-09-09T14:52:00"/>
        <d v="2026-09-09T15:38:00"/>
        <d v="2026-09-09T16:44:00"/>
        <d v="2026-09-09T16:46:00"/>
        <d v="2026-09-09T17:03:00"/>
        <d v="2026-09-09T18:19:00"/>
        <d v="2026-09-09T18:32:00"/>
        <d v="2026-09-10T04:06:00"/>
        <d v="2026-09-10T05:03:00"/>
        <d v="2026-09-10T06:11:00"/>
        <d v="2026-09-10T06:26:00"/>
        <d v="2026-09-10T09:00:00"/>
        <d v="2026-09-10T09:01:00"/>
        <d v="2026-09-10T09:25:00"/>
        <d v="2026-09-10T10:12:00"/>
        <d v="2026-09-10T10:27:00"/>
        <d v="2026-09-10T10:55:00"/>
        <d v="2026-09-10T11:05:00"/>
        <d v="2026-09-10T12:44:00"/>
        <d v="2026-09-10T12:46:00"/>
        <d v="2026-09-10T13:39:00"/>
        <d v="2026-09-10T13:58:00"/>
        <d v="2026-09-10T15:20:00"/>
        <d v="2026-09-10T18:49:00"/>
        <d v="2026-09-11T06:30:00"/>
        <d v="2026-09-11T07:34:00"/>
        <d v="2026-09-11T08:55:00"/>
        <d v="2026-09-11T08:58:00"/>
        <d v="2026-09-11T09:29:00"/>
        <d v="2026-09-11T10:24:00"/>
        <d v="2026-09-11T10:48:00"/>
        <d v="2026-09-11T11:54:00"/>
        <d v="2026-09-11T13:09:00"/>
        <d v="2026-09-11T13:36:00"/>
        <d v="2026-09-11T14:57:00"/>
        <d v="2026-09-11T15:07:00"/>
        <d v="2026-09-11T15:21:00"/>
        <d v="2026-09-11T15:23:00"/>
        <d v="2026-09-11T16:15:00"/>
        <d v="2026-09-11T16:24:00"/>
        <d v="2026-09-11T16:25:00"/>
        <d v="2026-09-11T18:33:00"/>
        <d v="2026-09-11T19:28:00"/>
        <d v="2026-09-11T20:10:00"/>
        <d v="2026-09-11T20:56:00"/>
        <d v="2026-09-12T07:22:00"/>
        <d v="2026-09-12T07:54:00"/>
        <d v="2026-09-12T08:17:00"/>
        <d v="2026-09-12T08:39:00"/>
        <d v="2026-09-12T08:55:00"/>
        <d v="2026-09-12T13:09:00"/>
        <d v="2026-09-12T13:26:00"/>
        <d v="2026-09-12T13:50:00"/>
        <d v="2026-09-12T15:55:00"/>
        <d v="2026-09-12T16:21:00"/>
        <d v="2026-09-12T16:40:00"/>
        <d v="2026-09-12T17:36:00"/>
        <d v="2026-09-12T19:36:00"/>
        <d v="2026-09-12T20:25:00"/>
        <d v="2026-09-12T22:09:00"/>
        <d v="2026-09-13T02:13:00"/>
        <d v="2026-09-13T05:18:00"/>
        <d v="2026-09-13T06:51:00"/>
        <d v="2026-09-13T08:09:00"/>
        <d v="2026-09-13T08:15:00"/>
        <d v="2026-09-13T08:24:00"/>
        <d v="2026-09-13T09:32:00"/>
        <d v="2026-09-13T10:18:00"/>
        <d v="2026-09-13T10:41:00"/>
        <d v="2026-09-13T10:51:00"/>
        <d v="2026-09-13T11:32:00"/>
        <d v="2026-09-13T11:35:00"/>
        <d v="2026-09-13T11:42:00"/>
        <d v="2026-09-13T12:18:00"/>
        <d v="2026-09-13T12:58:00"/>
        <d v="2026-09-13T13:05:00"/>
        <d v="2026-09-13T13:06:00"/>
        <d v="2026-09-13T13:51:00"/>
        <d v="2026-09-13T14:12:00"/>
        <d v="2026-09-13T15:05:00"/>
        <d v="2026-09-13T15:11:00"/>
        <d v="2026-09-13T15:41:00"/>
        <d v="2026-09-13T17:45:00"/>
        <d v="2026-09-13T19:33:00"/>
        <d v="2026-09-14T01:28:00"/>
        <d v="2026-09-14T05:33:00"/>
        <d v="2026-09-14T05:36:00"/>
        <d v="2026-09-14T08:16:00"/>
        <d v="2026-09-14T08:50:00"/>
        <d v="2026-09-14T11:02:00"/>
        <d v="2026-09-14T11:08:00"/>
        <d v="2026-09-14T11:43:00"/>
        <d v="2026-09-14T13:00:00"/>
        <d v="2026-09-14T13:32:00"/>
        <d v="2026-09-14T13:39:00"/>
        <d v="2026-09-14T14:00:00"/>
        <d v="2026-09-14T14:13:00"/>
        <d v="2026-09-14T15:02:00"/>
        <d v="2026-09-14T16:42:00"/>
        <d v="2026-09-14T17:49:00"/>
        <d v="2026-09-14T23:14:00"/>
        <d v="2026-09-15T06:40:00"/>
        <d v="2026-09-15T09:05:00"/>
        <d v="2026-09-15T09:57:00"/>
        <d v="2026-09-15T10:00:00"/>
        <d v="2026-09-15T10:08:00"/>
        <d v="2026-09-15T10:32:00"/>
        <d v="2026-09-15T10:51:00"/>
        <d v="2026-09-15T11:41:00"/>
        <d v="2026-09-15T11:55:00"/>
        <d v="2026-09-15T11:58:00"/>
        <d v="2026-09-15T12:03:00"/>
        <d v="2026-09-15T12:16:00"/>
        <d v="2026-09-15T12:30:00"/>
        <d v="2026-09-15T12:33:00"/>
        <d v="2026-09-15T13:15:00"/>
        <d v="2026-09-15T13:22:00"/>
        <d v="2026-09-15T13:56:00"/>
        <d v="2026-09-15T14:24:00"/>
        <d v="2026-09-15T15:54:00"/>
        <d v="2026-09-15T15:55:00"/>
        <d v="2026-09-15T18:16:00"/>
        <d v="2026-09-15T18:35:00"/>
        <d v="2026-09-15T19:06:00"/>
        <d v="2026-09-15T20:14:00"/>
        <d v="2026-09-16T09:05:00"/>
        <d v="2026-09-16T09:30:00"/>
        <d v="2026-09-16T11:13:00"/>
        <d v="2026-09-16T11:19:00"/>
        <d v="2026-09-16T11:26:00"/>
        <d v="2026-09-16T12:50:00"/>
        <d v="2026-09-16T12:51:00"/>
        <d v="2026-09-16T13:43:00"/>
        <d v="2026-09-16T14:06:00"/>
        <d v="2026-09-16T14:09:00"/>
        <d v="2026-09-16T14:10:00"/>
        <d v="2026-09-16T14:48:00"/>
        <d v="2026-09-16T15:58:00"/>
        <d v="2026-09-16T16:06:00"/>
        <d v="2026-09-16T16:36:00"/>
        <d v="2026-09-16T18:08:00"/>
        <d v="2026-09-16T18:33:00"/>
        <d v="2026-09-16T20:28:00"/>
        <d v="2026-09-17T04:41:00"/>
        <d v="2026-09-17T06:00:00"/>
        <d v="2026-09-17T07:09:00"/>
        <d v="2026-09-17T08:50:00"/>
        <d v="2026-09-17T09:03:00"/>
        <d v="2026-09-17T09:05:00"/>
        <d v="2026-09-17T09:08:00"/>
        <d v="2026-09-17T09:49:00"/>
        <d v="2026-09-17T10:35:00"/>
        <d v="2026-09-17T10:50:00"/>
        <d v="2026-09-17T11:04:00"/>
        <d v="2026-09-17T11:16:00"/>
        <d v="2026-09-17T11:21:00"/>
        <d v="2026-09-17T11:24:00"/>
        <d v="2026-09-17T12:30:00"/>
        <d v="2026-09-17T12:47:00"/>
        <d v="2026-09-17T13:19:00"/>
        <d v="2026-09-17T13:43:00"/>
        <d v="2026-09-17T13:44:00"/>
        <d v="2026-09-17T13:58:00"/>
        <d v="2026-09-17T14:13:00"/>
        <d v="2026-09-17T14:17:00"/>
        <d v="2026-09-17T14:21:00"/>
        <d v="2026-09-17T15:57:00"/>
        <d v="2026-09-17T17:15:00"/>
        <d v="2026-09-17T17:25:00"/>
        <d v="2026-09-17T17:26:00"/>
        <d v="2026-09-17T17:49:00"/>
        <d v="2026-09-18T07:09:00"/>
        <d v="2026-09-18T07:23:00"/>
        <d v="2026-09-18T11:05:00"/>
        <d v="2026-09-18T11:06:00"/>
        <d v="2026-09-18T11:30:00"/>
        <d v="2026-09-18T12:32:00"/>
        <d v="2026-09-18T12:48:00"/>
        <d v="2026-09-18T13:46:00"/>
        <d v="2026-09-18T15:34:00"/>
        <d v="2026-09-18T16:12:00"/>
        <d v="2026-09-18T16:18:00"/>
        <d v="2026-09-18T16:28:00"/>
        <d v="2026-09-19T01:32:00"/>
        <d v="2026-09-19T05:30:00"/>
        <d v="2026-09-19T07:11:00"/>
        <d v="2026-09-19T09:56:00"/>
        <d v="2026-09-19T11:25:00"/>
        <d v="2026-09-19T12:05:00"/>
        <d v="2026-09-19T12:38:00"/>
        <d v="2026-09-19T14:12:00"/>
        <d v="2026-09-19T15:09:00"/>
        <d v="2026-09-19T15:32:00"/>
        <d v="2026-09-19T15:52:00"/>
        <d v="2026-09-19T18:55:00"/>
        <d v="2026-09-19T21:05:00"/>
        <d v="2026-09-19T23:14:00"/>
        <d v="2026-09-20T05:03:00"/>
        <d v="2026-09-20T05:51:00"/>
        <d v="2026-09-20T06:11:00"/>
        <d v="2026-09-20T06:22:00"/>
        <d v="2026-09-20T06:38:00"/>
        <d v="2026-09-20T08:38:00"/>
        <d v="2026-09-20T08:42:00"/>
        <d v="2026-09-20T08:51:00"/>
        <d v="2026-09-20T09:49:00"/>
        <d v="2026-09-20T10:11:00"/>
        <d v="2026-09-20T10:28:00"/>
        <d v="2026-09-20T11:15:00"/>
        <d v="2026-09-20T11:16:00"/>
        <d v="2026-09-20T11:29:00"/>
        <d v="2026-09-20T11:52:00"/>
        <d v="2026-09-20T12:55:00"/>
        <d v="2026-09-20T13:37:00"/>
        <d v="2026-09-20T13:57:00"/>
        <d v="2026-09-20T13:58:00"/>
        <d v="2026-09-20T14:01:00"/>
        <d v="2026-09-20T15:57:00"/>
        <d v="2026-09-20T16:20:00"/>
        <d v="2026-09-20T16:56:00"/>
        <d v="2026-09-20T16:59:00"/>
        <d v="2026-09-20T17:49:00"/>
        <d v="2026-09-20T19:47:00"/>
        <d v="2026-09-21T05:17:00"/>
        <d v="2026-09-21T05:49:00"/>
        <d v="2026-09-21T09:03:00"/>
        <d v="2026-09-21T10:59:00"/>
        <d v="2026-09-21T11:36:00"/>
        <d v="2026-09-21T12:04:00"/>
        <d v="2026-09-21T12:46:00"/>
        <d v="2026-09-21T12:54:00"/>
        <d v="2026-09-21T13:39:00"/>
        <d v="2026-09-21T15:38:00"/>
        <d v="2026-09-21T15:46:00"/>
        <d v="2026-09-21T17:24:00"/>
        <d v="2026-09-21T17:26:00"/>
        <d v="2026-09-21T17:57:00"/>
        <d v="2026-09-21T20:30:00"/>
        <d v="2026-09-22T04:08:00"/>
        <d v="2026-09-22T05:40:00"/>
        <d v="2026-09-22T07:55:00"/>
        <d v="2026-09-22T08:12:00"/>
        <d v="2026-09-22T08:55:00"/>
        <d v="2026-09-22T09:49:00"/>
        <d v="2026-09-22T10:09:00"/>
        <d v="2026-09-22T10:14:00"/>
        <d v="2026-09-22T10:19:00"/>
        <d v="2026-09-22T10:22:00"/>
        <d v="2026-09-22T10:50:00"/>
        <d v="2026-09-22T10:54:00"/>
        <d v="2026-09-22T11:01:00"/>
        <d v="2026-09-22T11:06:00"/>
        <d v="2026-09-22T11:26:00"/>
        <d v="2026-09-22T11:52:00"/>
        <d v="2026-09-22T13:22:00"/>
        <d v="2026-09-22T13:33:00"/>
        <d v="2026-09-22T13:50:00"/>
        <d v="2026-09-22T13:59:00"/>
        <d v="2026-09-22T15:38:00"/>
        <d v="2026-09-22T15:56:00"/>
        <d v="2026-09-22T16:39:00"/>
        <d v="2026-09-22T17:43:00"/>
        <d v="2026-09-22T17:49:00"/>
        <d v="2026-09-22T17:59:00"/>
        <d v="2026-09-22T18:13:00"/>
        <d v="2026-09-22T19:11:00"/>
        <d v="2026-09-22T19:24:00"/>
        <d v="2026-09-22T22:03:00"/>
        <d v="2026-09-22T22:06:00"/>
        <d v="2026-09-23T03:10:00"/>
        <d v="2026-09-23T04:39:00"/>
        <d v="2026-09-23T07:39:00"/>
        <d v="2026-09-23T08:02:00"/>
        <d v="2026-09-23T08:09:00"/>
        <d v="2026-09-23T09:52:00"/>
        <d v="2026-09-23T10:48:00"/>
        <d v="2026-09-23T10:53:00"/>
        <d v="2026-09-23T11:29:00"/>
        <d v="2026-09-23T12:15:00"/>
        <d v="2026-09-23T14:04:00"/>
        <d v="2026-09-23T14:31:00"/>
        <d v="2026-09-23T15:32:00"/>
        <d v="2026-09-23T15:55:00"/>
        <d v="2026-09-23T16:52:00"/>
        <d v="2026-09-23T18:22:00"/>
        <d v="2026-09-24T02:26:00"/>
        <d v="2026-09-24T06:56:00"/>
        <d v="2026-09-24T08:42:00"/>
        <d v="2026-09-24T09:06:00"/>
        <d v="2026-09-24T09:40:00"/>
        <d v="2026-09-24T10:07:00"/>
        <d v="2026-09-24T11:27:00"/>
        <d v="2026-09-24T11:28:00"/>
        <d v="2026-09-24T13:52:00"/>
        <d v="2026-09-24T14:19:00"/>
        <d v="2026-09-24T15:53:00"/>
        <d v="2026-09-24T16:43:00"/>
        <d v="2026-09-24T17:08:00"/>
        <d v="2026-09-24T19:32:00"/>
        <d v="2026-09-24T19:42:00"/>
        <d v="2026-09-24T20:46:00"/>
        <d v="2026-09-24T22:17:00"/>
        <d v="2026-09-24T23:54:00"/>
        <d v="2026-09-25T09:00:00"/>
        <d v="2026-09-25T09:18:00"/>
        <d v="2026-09-25T09:28:00"/>
        <d v="2026-09-25T11:22:00"/>
        <d v="2026-09-25T11:35:00"/>
        <d v="2026-09-25T12:09:00"/>
        <d v="2026-09-25T12:30:00"/>
        <d v="2026-09-25T12:45:00"/>
        <d v="2026-09-25T12:49:00"/>
        <d v="2026-09-25T13:57:00"/>
        <d v="2026-09-25T14:54:00"/>
        <d v="2026-09-25T15:13:00"/>
        <d v="2026-09-25T16:03:00"/>
        <d v="2026-09-25T16:15:00"/>
        <d v="2026-09-25T18:03:00"/>
        <d v="2026-09-25T18:37:00"/>
        <d v="2026-09-25T22:46:00"/>
        <d v="2026-09-25T23:48:00"/>
        <d v="2026-09-25T23:53:00"/>
        <d v="2026-09-26T05:08:00"/>
        <d v="2026-09-26T05:53:00"/>
        <d v="2026-09-26T06:55:00"/>
        <d v="2026-09-26T07:43:00"/>
        <d v="2026-09-26T08:08:00"/>
        <d v="2026-09-26T09:02:00"/>
        <d v="2026-09-26T09:07:00"/>
        <d v="2026-09-26T10:46:00"/>
        <d v="2026-09-26T11:04:00"/>
        <d v="2026-09-26T12:13:00"/>
        <d v="2026-09-26T12:53:00"/>
        <d v="2026-09-26T13:16:00"/>
        <d v="2026-09-26T13:19:00"/>
        <d v="2026-09-26T14:00:00"/>
        <d v="2026-09-26T15:51:00"/>
        <d v="2026-09-26T16:11:00"/>
        <d v="2026-09-26T16:35:00"/>
        <d v="2026-09-26T17:03:00"/>
        <d v="2026-09-26T18:45:00"/>
        <d v="2026-09-27T06:38:00"/>
        <d v="2026-09-27T09:01:00"/>
        <d v="2026-09-27T09:15:00"/>
        <d v="2026-09-27T10:22:00"/>
        <d v="2026-09-27T11:04:00"/>
        <d v="2026-09-27T12:45:00"/>
        <d v="2026-09-27T13:00:00"/>
        <d v="2026-09-27T13:47:00"/>
        <d v="2026-09-27T13:59:00"/>
        <d v="2026-09-27T14:26:00"/>
        <d v="2026-09-27T14:39:00"/>
        <d v="2026-09-27T14:54:00"/>
        <d v="2026-09-27T15:20:00"/>
        <d v="2026-09-27T16:35:00"/>
        <d v="2026-09-27T18:41:00"/>
        <d v="2026-09-27T21:51:00"/>
        <d v="2026-09-27T22:45:00"/>
        <d v="2026-09-27T23:21:00"/>
        <d v="2026-09-28T01:18:00"/>
        <d v="2026-09-28T04:38:00"/>
        <d v="2026-09-28T06:02:00"/>
        <d v="2026-09-28T07:17:00"/>
        <d v="2026-09-28T07:18:00"/>
        <d v="2026-09-28T07:27:00"/>
        <d v="2026-09-28T07:40:00"/>
        <d v="2026-09-28T07:43:00"/>
        <d v="2026-09-28T08:36:00"/>
        <d v="2026-09-28T09:12:00"/>
        <d v="2026-09-28T09:51:00"/>
        <d v="2026-09-28T10:01:00"/>
        <d v="2026-09-28T10:52:00"/>
        <d v="2026-09-28T10:58:00"/>
        <d v="2026-09-28T11:04:00"/>
        <d v="2026-09-28T11:22:00"/>
        <d v="2026-09-28T11:50:00"/>
        <d v="2026-09-28T12:13:00"/>
        <d v="2026-09-28T13:02:00"/>
        <d v="2026-09-28T13:22:00"/>
        <d v="2026-09-28T13:24:00"/>
        <d v="2026-09-28T14:18:00"/>
        <d v="2026-09-28T14:33:00"/>
        <d v="2026-09-28T14:40:00"/>
        <d v="2026-09-28T16:13:00"/>
        <d v="2026-09-28T17:37:00"/>
        <d v="2026-09-28T18:03:00"/>
        <d v="2026-09-28T18:36:00"/>
        <d v="2026-09-28T19:18:00"/>
        <d v="2026-09-28T19:31:00"/>
        <d v="2026-09-28T20:05:00"/>
        <d v="2026-09-29T01:42:00"/>
        <d v="2026-09-29T08:56:00"/>
        <d v="2026-09-29T11:02:00"/>
        <d v="2026-09-29T11:10:00"/>
        <d v="2026-09-29T11:33:00"/>
        <d v="2026-09-29T11:58:00"/>
        <d v="2026-09-29T12:33:00"/>
        <d v="2026-09-29T12:47:00"/>
        <d v="2026-09-29T13:44:00"/>
        <d v="2026-09-29T13:45:00"/>
        <d v="2026-09-29T14:48:00"/>
        <d v="2026-09-29T14:56:00"/>
        <d v="2026-09-29T15:08:00"/>
        <d v="2026-09-29T15:31:00"/>
        <d v="2026-09-29T15:33:00"/>
        <d v="2026-09-29T17:05:00"/>
        <d v="2026-09-29T17:12:00"/>
        <d v="2026-09-29T17:35:00"/>
        <d v="2026-09-29T17:52:00"/>
        <d v="2026-09-29T21:11:00"/>
        <d v="2026-09-29T23:11:00"/>
        <d v="2026-09-30T08:44:00"/>
        <d v="2026-09-30T09:05:00"/>
        <d v="2026-09-30T09:46:00"/>
        <d v="2026-09-30T10:10:00"/>
        <d v="2026-09-30T10:23:00"/>
        <d v="2026-09-30T10:28:00"/>
        <d v="2026-09-30T10:49:00"/>
        <d v="2026-09-30T11:06:00"/>
        <d v="2026-09-30T11:18:00"/>
        <d v="2026-09-30T13:19:00"/>
        <d v="2026-09-30T13:29:00"/>
        <d v="2026-09-30T14:09:00"/>
        <d v="2026-09-30T15:33:00"/>
        <d v="2026-09-30T17:21:00"/>
        <d v="2026-09-30T17:29:00"/>
        <d v="2026-09-30T17:35:00"/>
        <d v="2026-09-30T19:22:00"/>
        <d v="2026-09-30T20:03:00"/>
      </sharedItems>
      <fieldGroup par="22"/>
    </cacheField>
    <cacheField name="Resolved Timestamp" numFmtId="22">
      <sharedItems containsNonDate="0" containsDate="1" containsString="0" containsBlank="1" minDate="2026-01-01T10:25:00" maxDate="2026-09-30T23:45:00"/>
    </cacheField>
    <cacheField name="Issue Category" numFmtId="0">
      <sharedItems count="7">
        <s v="Slow Speeds"/>
        <s v="Billing"/>
        <s v="TV/Video"/>
        <s v="Equipment"/>
        <s v="New Install"/>
        <s v="Mobile"/>
        <s v="Internet Outage"/>
      </sharedItems>
    </cacheField>
    <cacheField name="Channel" numFmtId="0">
      <sharedItems/>
    </cacheField>
    <cacheField name="Priority" numFmtId="0">
      <sharedItems count="3">
        <s v="Low"/>
        <s v="Medium"/>
        <s v="High"/>
      </sharedItems>
    </cacheField>
    <cacheField name="Agent ID" numFmtId="0">
      <sharedItems/>
    </cacheField>
    <cacheField name="Agent Tenure" numFmtId="0">
      <sharedItems count="3">
        <s v="0-6 months"/>
        <s v="2+ years"/>
        <s v="6-24 months"/>
      </sharedItems>
    </cacheField>
    <cacheField name="SLA Target Hours" numFmtId="0">
      <sharedItems containsSemiMixedTypes="0" containsString="0" containsNumber="1" containsInteger="1" minValue="4" maxValue="72"/>
    </cacheField>
    <cacheField name="Resolution Hours" numFmtId="0">
      <sharedItems containsString="0" containsBlank="1" containsNumber="1" minValue="0.5" maxValue="754.6"/>
    </cacheField>
    <cacheField name="First Contact Resolution" numFmtId="0">
      <sharedItems count="2">
        <s v="No"/>
        <s v="Yes"/>
      </sharedItems>
    </cacheField>
    <cacheField name="Repeat Contact 7 Days" numFmtId="0">
      <sharedItems/>
    </cacheField>
    <cacheField name="Escalated" numFmtId="0">
      <sharedItems/>
    </cacheField>
    <cacheField name="CSAT Score" numFmtId="0">
      <sharedItems containsString="0" containsBlank="1" containsNumber="1" containsInteger="1" minValue="1" maxValue="5"/>
    </cacheField>
    <cacheField name="Status" numFmtId="0">
      <sharedItems/>
    </cacheField>
    <cacheField name="Month Name" numFmtId="0">
      <sharedItems/>
    </cacheField>
    <cacheField name="Month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Year" numFmtId="0">
      <sharedItems containsSemiMixedTypes="0" containsString="0" containsNumber="1" containsInteger="1" minValue="2026" maxValue="2026"/>
    </cacheField>
    <cacheField name="SLA Met" numFmtId="0">
      <sharedItems containsBlank="1"/>
    </cacheField>
    <cacheField name="SlA Flag" numFmtId="0">
      <sharedItems containsString="0" containsBlank="1" containsNumber="1" containsInteger="1" minValue="0" maxValue="1"/>
    </cacheField>
    <cacheField name="Region" numFmtId="0">
      <sharedItems count="5">
        <s v="Texas"/>
        <s v="Southeast"/>
        <s v="Midwest"/>
        <s v="West"/>
        <s v="Northeast"/>
      </sharedItems>
    </cacheField>
    <cacheField name="FCR Flag" numFmtId="0">
      <sharedItems containsSemiMixedTypes="0" containsString="0" containsNumber="1" containsInteger="1" minValue="0" maxValue="1"/>
    </cacheField>
    <cacheField name="Days (Created Timestamp)" numFmtId="0" databaseField="0">
      <fieldGroup base="1">
        <rangePr groupBy="days" startDate="2026-01-01T04:24:00" endDate="2026-09-30T20:03:00"/>
        <groupItems count="368">
          <s v="&lt;1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9/3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0">
  <r>
    <s v="T000001"/>
    <x v="0"/>
    <d v="2026-01-02T02:12:00"/>
    <x v="0"/>
    <s v="Phone"/>
    <x v="0"/>
    <s v="A015"/>
    <x v="0"/>
    <n v="72"/>
    <n v="21.8"/>
    <x v="0"/>
    <s v="No"/>
    <s v="No"/>
    <n v="5"/>
    <s v="Closed"/>
    <s v="January"/>
    <x v="0"/>
    <n v="2026"/>
    <s v="Yes"/>
    <n v="1"/>
    <x v="0"/>
    <n v="0"/>
  </r>
  <r>
    <s v="T000002"/>
    <x v="1"/>
    <d v="2026-01-01T10:25:00"/>
    <x v="1"/>
    <s v="Phone"/>
    <x v="1"/>
    <s v="A010"/>
    <x v="0"/>
    <n v="24"/>
    <n v="5.2"/>
    <x v="1"/>
    <s v="No"/>
    <s v="No"/>
    <n v="4"/>
    <s v="Closed"/>
    <s v="January"/>
    <x v="0"/>
    <n v="2026"/>
    <s v="Yes"/>
    <n v="1"/>
    <x v="1"/>
    <n v="1"/>
  </r>
  <r>
    <s v="T000003"/>
    <x v="2"/>
    <d v="2026-01-01T12:56:00"/>
    <x v="2"/>
    <s v="Chat"/>
    <x v="2"/>
    <s v="A009"/>
    <x v="0"/>
    <n v="4"/>
    <n v="5.8"/>
    <x v="1"/>
    <s v="No"/>
    <s v="No"/>
    <n v="3"/>
    <s v="Closed"/>
    <s v="January"/>
    <x v="0"/>
    <n v="2026"/>
    <s v="No"/>
    <n v="0"/>
    <x v="1"/>
    <n v="1"/>
  </r>
  <r>
    <s v="T000004"/>
    <x v="3"/>
    <d v="2026-01-02T10:17:00"/>
    <x v="3"/>
    <s v="Field Visit"/>
    <x v="0"/>
    <s v="A010"/>
    <x v="0"/>
    <n v="72"/>
    <n v="26.3"/>
    <x v="0"/>
    <s v="No"/>
    <s v="No"/>
    <n v="5"/>
    <s v="Closed"/>
    <s v="January"/>
    <x v="0"/>
    <n v="2026"/>
    <s v="Yes"/>
    <n v="1"/>
    <x v="2"/>
    <n v="0"/>
  </r>
  <r>
    <s v="T000005"/>
    <x v="4"/>
    <d v="2026-01-01T15:15:00"/>
    <x v="1"/>
    <s v="Phone"/>
    <x v="0"/>
    <s v="A015"/>
    <x v="0"/>
    <n v="72"/>
    <n v="6.2"/>
    <x v="0"/>
    <s v="Yes"/>
    <s v="No"/>
    <m/>
    <s v="Closed"/>
    <s v="January"/>
    <x v="0"/>
    <n v="2026"/>
    <s v="Yes"/>
    <n v="1"/>
    <x v="1"/>
    <n v="0"/>
  </r>
  <r>
    <s v="T000006"/>
    <x v="5"/>
    <d v="2026-01-02T18:12:00"/>
    <x v="4"/>
    <s v="Field Visit"/>
    <x v="0"/>
    <s v="A052"/>
    <x v="1"/>
    <n v="72"/>
    <n v="32.299999999999997"/>
    <x v="1"/>
    <s v="No"/>
    <s v="No"/>
    <n v="5"/>
    <s v="Closed"/>
    <s v="January"/>
    <x v="0"/>
    <n v="2026"/>
    <s v="Yes"/>
    <n v="1"/>
    <x v="3"/>
    <n v="1"/>
  </r>
  <r>
    <s v="T000007"/>
    <x v="6"/>
    <d v="2026-01-01T16:54:00"/>
    <x v="0"/>
    <s v="Chat"/>
    <x v="1"/>
    <s v="A044"/>
    <x v="1"/>
    <n v="24"/>
    <n v="6.1"/>
    <x v="1"/>
    <s v="No"/>
    <s v="No"/>
    <m/>
    <s v="Closed"/>
    <s v="January"/>
    <x v="0"/>
    <n v="2026"/>
    <s v="Yes"/>
    <n v="1"/>
    <x v="3"/>
    <n v="1"/>
  </r>
  <r>
    <s v="T000008"/>
    <x v="7"/>
    <d v="2026-01-01T23:27:00"/>
    <x v="2"/>
    <s v="Phone"/>
    <x v="0"/>
    <s v="A012"/>
    <x v="0"/>
    <n v="72"/>
    <n v="12.4"/>
    <x v="1"/>
    <s v="No"/>
    <s v="No"/>
    <n v="5"/>
    <s v="Closed"/>
    <s v="January"/>
    <x v="0"/>
    <n v="2026"/>
    <s v="Yes"/>
    <n v="1"/>
    <x v="3"/>
    <n v="1"/>
  </r>
  <r>
    <s v="T000009"/>
    <x v="8"/>
    <d v="2026-01-02T03:24:00"/>
    <x v="5"/>
    <s v="Email"/>
    <x v="1"/>
    <s v="A028"/>
    <x v="2"/>
    <n v="24"/>
    <n v="16"/>
    <x v="1"/>
    <s v="No"/>
    <s v="No"/>
    <n v="5"/>
    <s v="Closed"/>
    <s v="January"/>
    <x v="0"/>
    <n v="2026"/>
    <s v="Yes"/>
    <n v="1"/>
    <x v="4"/>
    <n v="1"/>
  </r>
  <r>
    <s v="T000010"/>
    <x v="9"/>
    <d v="2026-01-02T09:48:00"/>
    <x v="3"/>
    <s v="Phone"/>
    <x v="1"/>
    <s v="A041"/>
    <x v="1"/>
    <n v="24"/>
    <n v="22.1"/>
    <x v="1"/>
    <s v="No"/>
    <s v="No"/>
    <n v="5"/>
    <s v="Closed"/>
    <s v="January"/>
    <x v="0"/>
    <n v="2026"/>
    <s v="Yes"/>
    <n v="1"/>
    <x v="2"/>
    <n v="1"/>
  </r>
  <r>
    <s v="T000011"/>
    <x v="10"/>
    <d v="2026-01-05T01:23:00"/>
    <x v="4"/>
    <s v="Field Visit"/>
    <x v="2"/>
    <s v="A047"/>
    <x v="1"/>
    <n v="4"/>
    <n v="85.4"/>
    <x v="0"/>
    <s v="Yes"/>
    <s v="Yes"/>
    <n v="4"/>
    <s v="Closed"/>
    <s v="January"/>
    <x v="0"/>
    <n v="2026"/>
    <s v="No"/>
    <n v="0"/>
    <x v="1"/>
    <n v="0"/>
  </r>
  <r>
    <s v="T000012"/>
    <x v="11"/>
    <d v="2026-01-01T22:49:00"/>
    <x v="1"/>
    <s v="Email"/>
    <x v="0"/>
    <s v="A003"/>
    <x v="0"/>
    <n v="72"/>
    <n v="10.7"/>
    <x v="0"/>
    <s v="Yes"/>
    <s v="Yes"/>
    <m/>
    <s v="Closed"/>
    <s v="January"/>
    <x v="0"/>
    <n v="2026"/>
    <s v="Yes"/>
    <n v="1"/>
    <x v="1"/>
    <n v="0"/>
  </r>
  <r>
    <s v="T000013"/>
    <x v="12"/>
    <d v="2026-01-01T18:11:00"/>
    <x v="5"/>
    <s v="Phone"/>
    <x v="0"/>
    <s v="A012"/>
    <x v="0"/>
    <n v="72"/>
    <n v="6"/>
    <x v="0"/>
    <s v="No"/>
    <s v="No"/>
    <n v="4"/>
    <s v="Closed"/>
    <s v="January"/>
    <x v="0"/>
    <n v="2026"/>
    <s v="Yes"/>
    <n v="1"/>
    <x v="1"/>
    <n v="0"/>
  </r>
  <r>
    <s v="T000014"/>
    <x v="13"/>
    <d v="2026-01-02T05:26:00"/>
    <x v="3"/>
    <s v="Phone"/>
    <x v="0"/>
    <s v="A023"/>
    <x v="2"/>
    <n v="72"/>
    <n v="17.100000000000001"/>
    <x v="1"/>
    <s v="No"/>
    <s v="No"/>
    <m/>
    <s v="Closed"/>
    <s v="January"/>
    <x v="0"/>
    <n v="2026"/>
    <s v="Yes"/>
    <n v="1"/>
    <x v="3"/>
    <n v="1"/>
  </r>
  <r>
    <s v="T000015"/>
    <x v="14"/>
    <d v="2026-01-14T15:06:00"/>
    <x v="4"/>
    <s v="Field Visit"/>
    <x v="0"/>
    <s v="A023"/>
    <x v="2"/>
    <n v="72"/>
    <n v="314.10000000000002"/>
    <x v="0"/>
    <s v="Yes"/>
    <s v="No"/>
    <m/>
    <s v="Closed"/>
    <s v="January"/>
    <x v="0"/>
    <n v="2026"/>
    <s v="No"/>
    <n v="0"/>
    <x v="1"/>
    <n v="0"/>
  </r>
  <r>
    <s v="T000016"/>
    <x v="15"/>
    <d v="2026-01-03T04:11:00"/>
    <x v="3"/>
    <s v="Field Visit"/>
    <x v="1"/>
    <s v="A025"/>
    <x v="2"/>
    <n v="24"/>
    <n v="37.5"/>
    <x v="0"/>
    <s v="Yes"/>
    <s v="No"/>
    <n v="5"/>
    <s v="Closed"/>
    <s v="January"/>
    <x v="0"/>
    <n v="2026"/>
    <s v="No"/>
    <n v="0"/>
    <x v="0"/>
    <n v="0"/>
  </r>
  <r>
    <s v="T000017"/>
    <x v="16"/>
    <d v="2026-01-03T17:10:00"/>
    <x v="0"/>
    <s v="Field Visit"/>
    <x v="1"/>
    <s v="A005"/>
    <x v="0"/>
    <n v="24"/>
    <n v="48.8"/>
    <x v="1"/>
    <s v="No"/>
    <s v="No"/>
    <n v="5"/>
    <s v="Closed"/>
    <s v="January"/>
    <x v="0"/>
    <n v="2026"/>
    <s v="No"/>
    <n v="0"/>
    <x v="3"/>
    <n v="1"/>
  </r>
  <r>
    <s v="T000018"/>
    <x v="17"/>
    <d v="2026-01-03T02:13:00"/>
    <x v="3"/>
    <s v="Email"/>
    <x v="0"/>
    <s v="A053"/>
    <x v="1"/>
    <n v="72"/>
    <n v="32.5"/>
    <x v="1"/>
    <s v="No"/>
    <s v="No"/>
    <n v="4"/>
    <s v="Closed"/>
    <s v="January"/>
    <x v="0"/>
    <n v="2026"/>
    <s v="Yes"/>
    <n v="1"/>
    <x v="3"/>
    <n v="1"/>
  </r>
  <r>
    <s v="T000019"/>
    <x v="18"/>
    <d v="2026-01-02T02:22:00"/>
    <x v="6"/>
    <s v="Phone"/>
    <x v="2"/>
    <s v="A020"/>
    <x v="2"/>
    <n v="4"/>
    <n v="7.7"/>
    <x v="1"/>
    <s v="No"/>
    <s v="Yes"/>
    <m/>
    <s v="Closed"/>
    <s v="January"/>
    <x v="0"/>
    <n v="2026"/>
    <s v="No"/>
    <n v="0"/>
    <x v="3"/>
    <n v="1"/>
  </r>
  <r>
    <s v="T000020"/>
    <x v="19"/>
    <d v="2026-01-03T22:15:00"/>
    <x v="4"/>
    <s v="Field Visit"/>
    <x v="0"/>
    <s v="A038"/>
    <x v="1"/>
    <n v="72"/>
    <n v="47.8"/>
    <x v="1"/>
    <s v="No"/>
    <s v="Yes"/>
    <m/>
    <s v="Closed"/>
    <s v="January"/>
    <x v="0"/>
    <n v="2026"/>
    <s v="Yes"/>
    <n v="1"/>
    <x v="1"/>
    <n v="1"/>
  </r>
  <r>
    <s v="T000021"/>
    <x v="20"/>
    <d v="2026-01-02T14:48:00"/>
    <x v="3"/>
    <s v="Chat"/>
    <x v="1"/>
    <s v="A044"/>
    <x v="1"/>
    <n v="24"/>
    <n v="13.7"/>
    <x v="1"/>
    <s v="No"/>
    <s v="No"/>
    <n v="4"/>
    <s v="Closed"/>
    <s v="January"/>
    <x v="0"/>
    <n v="2026"/>
    <s v="Yes"/>
    <n v="1"/>
    <x v="3"/>
    <n v="1"/>
  </r>
  <r>
    <s v="T000022"/>
    <x v="21"/>
    <d v="2026-01-05T08:46:00"/>
    <x v="4"/>
    <s v="Field Visit"/>
    <x v="0"/>
    <s v="A044"/>
    <x v="1"/>
    <n v="72"/>
    <n v="75.7"/>
    <x v="1"/>
    <s v="No"/>
    <s v="No"/>
    <n v="5"/>
    <s v="Closed"/>
    <s v="January"/>
    <x v="0"/>
    <n v="2026"/>
    <s v="No"/>
    <n v="0"/>
    <x v="4"/>
    <n v="1"/>
  </r>
  <r>
    <s v="T000023"/>
    <x v="22"/>
    <d v="2026-01-05T23:31:00"/>
    <x v="6"/>
    <s v="Field Visit"/>
    <x v="2"/>
    <s v="A010"/>
    <x v="0"/>
    <n v="4"/>
    <n v="86.4"/>
    <x v="1"/>
    <s v="No"/>
    <s v="Yes"/>
    <m/>
    <s v="Closed"/>
    <s v="January"/>
    <x v="0"/>
    <n v="2026"/>
    <s v="No"/>
    <n v="0"/>
    <x v="0"/>
    <n v="1"/>
  </r>
  <r>
    <s v="T000024"/>
    <x v="23"/>
    <d v="2026-01-03T21:06:00"/>
    <x v="4"/>
    <s v="Phone"/>
    <x v="0"/>
    <s v="A022"/>
    <x v="2"/>
    <n v="72"/>
    <n v="35.1"/>
    <x v="0"/>
    <s v="Yes"/>
    <s v="No"/>
    <m/>
    <s v="Closed"/>
    <s v="January"/>
    <x v="0"/>
    <n v="2026"/>
    <s v="Yes"/>
    <n v="1"/>
    <x v="0"/>
    <n v="0"/>
  </r>
  <r>
    <s v="T000025"/>
    <x v="24"/>
    <d v="2026-01-03T18:45:00"/>
    <x v="5"/>
    <s v="Field Visit"/>
    <x v="1"/>
    <s v="A047"/>
    <x v="1"/>
    <n v="24"/>
    <n v="32"/>
    <x v="1"/>
    <s v="No"/>
    <s v="No"/>
    <n v="3"/>
    <s v="Closed"/>
    <s v="January"/>
    <x v="0"/>
    <n v="2026"/>
    <s v="No"/>
    <n v="0"/>
    <x v="4"/>
    <n v="1"/>
  </r>
  <r>
    <s v="T000026"/>
    <x v="25"/>
    <d v="2026-01-02T23:09:00"/>
    <x v="3"/>
    <s v="Field Visit"/>
    <x v="0"/>
    <s v="A038"/>
    <x v="1"/>
    <n v="72"/>
    <n v="12.1"/>
    <x v="1"/>
    <s v="No"/>
    <s v="No"/>
    <n v="4"/>
    <s v="Closed"/>
    <s v="January"/>
    <x v="0"/>
    <n v="2026"/>
    <s v="Yes"/>
    <n v="1"/>
    <x v="3"/>
    <n v="1"/>
  </r>
  <r>
    <s v="T000027"/>
    <x v="26"/>
    <d v="2026-01-02T21:09:00"/>
    <x v="5"/>
    <s v="Phone"/>
    <x v="1"/>
    <s v="A015"/>
    <x v="0"/>
    <n v="24"/>
    <n v="9.4"/>
    <x v="1"/>
    <s v="No"/>
    <s v="No"/>
    <m/>
    <s v="Closed"/>
    <s v="January"/>
    <x v="0"/>
    <n v="2026"/>
    <s v="Yes"/>
    <n v="1"/>
    <x v="0"/>
    <n v="1"/>
  </r>
  <r>
    <s v="T000028"/>
    <x v="27"/>
    <d v="2026-01-03T11:00:00"/>
    <x v="6"/>
    <s v="Field Visit"/>
    <x v="0"/>
    <s v="A023"/>
    <x v="2"/>
    <n v="72"/>
    <n v="22.5"/>
    <x v="1"/>
    <s v="No"/>
    <s v="No"/>
    <n v="3"/>
    <s v="Closed"/>
    <s v="January"/>
    <x v="0"/>
    <n v="2026"/>
    <s v="Yes"/>
    <n v="1"/>
    <x v="2"/>
    <n v="1"/>
  </r>
  <r>
    <s v="T000029"/>
    <x v="28"/>
    <d v="2026-01-02T22:54:00"/>
    <x v="1"/>
    <s v="Phone"/>
    <x v="0"/>
    <s v="A057"/>
    <x v="1"/>
    <n v="72"/>
    <n v="10.3"/>
    <x v="1"/>
    <s v="No"/>
    <s v="No"/>
    <m/>
    <s v="Closed"/>
    <s v="January"/>
    <x v="0"/>
    <n v="2026"/>
    <s v="Yes"/>
    <n v="1"/>
    <x v="1"/>
    <n v="1"/>
  </r>
  <r>
    <s v="T000030"/>
    <x v="29"/>
    <d v="2026-01-03T09:22:00"/>
    <x v="0"/>
    <s v="Field Visit"/>
    <x v="0"/>
    <s v="A014"/>
    <x v="0"/>
    <n v="72"/>
    <n v="19.8"/>
    <x v="0"/>
    <s v="Yes"/>
    <s v="No"/>
    <n v="4"/>
    <s v="Closed"/>
    <s v="January"/>
    <x v="0"/>
    <n v="2026"/>
    <s v="Yes"/>
    <n v="1"/>
    <x v="1"/>
    <n v="0"/>
  </r>
  <r>
    <s v="T000031"/>
    <x v="30"/>
    <d v="2026-01-04T15:46:00"/>
    <x v="4"/>
    <s v="Chat"/>
    <x v="2"/>
    <s v="A007"/>
    <x v="0"/>
    <n v="4"/>
    <n v="47.8"/>
    <x v="1"/>
    <s v="No"/>
    <s v="No"/>
    <n v="4"/>
    <s v="Closed"/>
    <s v="January"/>
    <x v="0"/>
    <n v="2026"/>
    <s v="No"/>
    <n v="0"/>
    <x v="4"/>
    <n v="1"/>
  </r>
  <r>
    <s v="T000032"/>
    <x v="31"/>
    <d v="2026-01-03T01:30:00"/>
    <x v="6"/>
    <s v="Phone"/>
    <x v="2"/>
    <s v="A021"/>
    <x v="2"/>
    <n v="4"/>
    <n v="7.8"/>
    <x v="1"/>
    <s v="No"/>
    <s v="No"/>
    <m/>
    <s v="Closed"/>
    <s v="January"/>
    <x v="0"/>
    <n v="2026"/>
    <s v="No"/>
    <n v="0"/>
    <x v="3"/>
    <n v="1"/>
  </r>
  <r>
    <s v="T000033"/>
    <x v="32"/>
    <d v="2026-01-03T01:56:00"/>
    <x v="0"/>
    <s v="Email"/>
    <x v="1"/>
    <s v="A051"/>
    <x v="1"/>
    <n v="24"/>
    <n v="8.1999999999999993"/>
    <x v="1"/>
    <s v="No"/>
    <s v="No"/>
    <m/>
    <s v="Closed"/>
    <s v="January"/>
    <x v="0"/>
    <n v="2026"/>
    <s v="Yes"/>
    <n v="1"/>
    <x v="3"/>
    <n v="1"/>
  </r>
  <r>
    <s v="T000034"/>
    <x v="33"/>
    <d v="2026-01-03T14:31:00"/>
    <x v="2"/>
    <s v="Chat"/>
    <x v="1"/>
    <s v="A010"/>
    <x v="0"/>
    <n v="24"/>
    <n v="20.2"/>
    <x v="1"/>
    <s v="No"/>
    <s v="No"/>
    <n v="5"/>
    <s v="Closed"/>
    <s v="January"/>
    <x v="0"/>
    <n v="2026"/>
    <s v="Yes"/>
    <n v="1"/>
    <x v="2"/>
    <n v="1"/>
  </r>
  <r>
    <s v="T000035"/>
    <x v="34"/>
    <d v="2026-01-03T10:16:00"/>
    <x v="0"/>
    <s v="Phone"/>
    <x v="1"/>
    <s v="A052"/>
    <x v="1"/>
    <n v="24"/>
    <n v="11.1"/>
    <x v="1"/>
    <s v="No"/>
    <s v="No"/>
    <m/>
    <s v="Closed"/>
    <s v="January"/>
    <x v="0"/>
    <n v="2026"/>
    <s v="Yes"/>
    <n v="1"/>
    <x v="1"/>
    <n v="1"/>
  </r>
  <r>
    <s v="T000036"/>
    <x v="35"/>
    <d v="2026-01-04T20:16:00"/>
    <x v="5"/>
    <s v="Field Visit"/>
    <x v="1"/>
    <s v="A052"/>
    <x v="1"/>
    <n v="24"/>
    <n v="40.5"/>
    <x v="1"/>
    <s v="No"/>
    <s v="No"/>
    <n v="5"/>
    <s v="Closed"/>
    <s v="January"/>
    <x v="0"/>
    <n v="2026"/>
    <s v="No"/>
    <n v="0"/>
    <x v="2"/>
    <n v="1"/>
  </r>
  <r>
    <s v="T000037"/>
    <x v="36"/>
    <d v="2026-01-03T08:59:00"/>
    <x v="2"/>
    <s v="Chat"/>
    <x v="0"/>
    <s v="A017"/>
    <x v="2"/>
    <n v="72"/>
    <n v="3.9"/>
    <x v="1"/>
    <s v="No"/>
    <s v="No"/>
    <n v="5"/>
    <s v="Closed"/>
    <s v="January"/>
    <x v="0"/>
    <n v="2026"/>
    <s v="Yes"/>
    <n v="1"/>
    <x v="4"/>
    <n v="1"/>
  </r>
  <r>
    <s v="T000038"/>
    <x v="37"/>
    <d v="2026-01-05T10:52:00"/>
    <x v="0"/>
    <s v="Field Visit"/>
    <x v="1"/>
    <s v="A021"/>
    <x v="2"/>
    <n v="24"/>
    <n v="51.3"/>
    <x v="1"/>
    <s v="No"/>
    <s v="No"/>
    <n v="4"/>
    <s v="Closed"/>
    <s v="January"/>
    <x v="0"/>
    <n v="2026"/>
    <s v="No"/>
    <n v="0"/>
    <x v="0"/>
    <n v="1"/>
  </r>
  <r>
    <s v="T000039"/>
    <x v="38"/>
    <d v="2026-01-06T17:41:00"/>
    <x v="4"/>
    <s v="Field Visit"/>
    <x v="0"/>
    <s v="A058"/>
    <x v="1"/>
    <n v="72"/>
    <n v="81.400000000000006"/>
    <x v="0"/>
    <s v="Yes"/>
    <s v="No"/>
    <m/>
    <s v="Closed"/>
    <s v="January"/>
    <x v="0"/>
    <n v="2026"/>
    <s v="No"/>
    <n v="0"/>
    <x v="4"/>
    <n v="0"/>
  </r>
  <r>
    <s v="T000040"/>
    <x v="39"/>
    <d v="2026-01-04T00:36:00"/>
    <x v="1"/>
    <s v="Phone"/>
    <x v="0"/>
    <s v="A043"/>
    <x v="1"/>
    <n v="72"/>
    <n v="14.2"/>
    <x v="1"/>
    <s v="No"/>
    <s v="No"/>
    <n v="4"/>
    <s v="Closed"/>
    <s v="January"/>
    <x v="0"/>
    <n v="2026"/>
    <s v="Yes"/>
    <n v="1"/>
    <x v="2"/>
    <n v="1"/>
  </r>
  <r>
    <s v="T000041"/>
    <x v="40"/>
    <d v="2026-01-04T11:08:00"/>
    <x v="1"/>
    <s v="Phone"/>
    <x v="1"/>
    <s v="A001"/>
    <x v="0"/>
    <n v="24"/>
    <n v="23.3"/>
    <x v="1"/>
    <s v="No"/>
    <s v="No"/>
    <n v="4"/>
    <s v="Closed"/>
    <s v="January"/>
    <x v="0"/>
    <n v="2026"/>
    <s v="Yes"/>
    <n v="1"/>
    <x v="2"/>
    <n v="1"/>
  </r>
  <r>
    <s v="T000042"/>
    <x v="41"/>
    <d v="2026-01-04T02:56:00"/>
    <x v="0"/>
    <s v="Chat"/>
    <x v="0"/>
    <s v="A028"/>
    <x v="2"/>
    <n v="72"/>
    <n v="14.6"/>
    <x v="0"/>
    <s v="Yes"/>
    <s v="No"/>
    <n v="5"/>
    <s v="Closed"/>
    <s v="January"/>
    <x v="0"/>
    <n v="2026"/>
    <s v="Yes"/>
    <n v="1"/>
    <x v="0"/>
    <n v="0"/>
  </r>
  <r>
    <s v="T000044"/>
    <x v="42"/>
    <d v="2026-01-04T02:05:00"/>
    <x v="1"/>
    <s v="Chat"/>
    <x v="1"/>
    <s v="A008"/>
    <x v="0"/>
    <n v="24"/>
    <n v="13.2"/>
    <x v="1"/>
    <s v="No"/>
    <s v="No"/>
    <n v="5"/>
    <s v="Closed"/>
    <s v="January"/>
    <x v="0"/>
    <n v="2026"/>
    <s v="Yes"/>
    <n v="1"/>
    <x v="4"/>
    <n v="1"/>
  </r>
  <r>
    <s v="T000043"/>
    <x v="42"/>
    <d v="2026-01-03T19:53:00"/>
    <x v="6"/>
    <s v="Phone"/>
    <x v="2"/>
    <s v="A021"/>
    <x v="2"/>
    <n v="4"/>
    <n v="7"/>
    <x v="1"/>
    <s v="No"/>
    <s v="No"/>
    <n v="4"/>
    <s v="Closed"/>
    <s v="January"/>
    <x v="0"/>
    <n v="2026"/>
    <s v="No"/>
    <n v="0"/>
    <x v="0"/>
    <n v="1"/>
  </r>
  <r>
    <s v="T000045"/>
    <x v="43"/>
    <d v="2026-01-04T00:00:00"/>
    <x v="5"/>
    <s v="Chat"/>
    <x v="1"/>
    <s v="A047"/>
    <x v="1"/>
    <n v="24"/>
    <n v="10.6"/>
    <x v="0"/>
    <s v="No"/>
    <s v="No"/>
    <m/>
    <s v="Closed"/>
    <s v="January"/>
    <x v="0"/>
    <n v="2026"/>
    <s v="Yes"/>
    <n v="1"/>
    <x v="2"/>
    <n v="0"/>
  </r>
  <r>
    <s v="T000046"/>
    <x v="44"/>
    <d v="2026-01-04T21:17:00"/>
    <x v="2"/>
    <s v="Field Visit"/>
    <x v="0"/>
    <s v="A046"/>
    <x v="1"/>
    <n v="72"/>
    <n v="30.5"/>
    <x v="1"/>
    <s v="No"/>
    <s v="No"/>
    <m/>
    <s v="Closed"/>
    <s v="January"/>
    <x v="0"/>
    <n v="2026"/>
    <s v="Yes"/>
    <n v="1"/>
    <x v="1"/>
    <n v="1"/>
  </r>
  <r>
    <s v="T000047"/>
    <x v="45"/>
    <d v="2026-01-08T06:18:00"/>
    <x v="4"/>
    <s v="Field Visit"/>
    <x v="0"/>
    <s v="A013"/>
    <x v="0"/>
    <n v="72"/>
    <n v="110.2"/>
    <x v="1"/>
    <s v="No"/>
    <s v="No"/>
    <m/>
    <s v="Closed"/>
    <s v="January"/>
    <x v="0"/>
    <n v="2026"/>
    <s v="No"/>
    <n v="0"/>
    <x v="0"/>
    <n v="1"/>
  </r>
  <r>
    <s v="T000048"/>
    <x v="46"/>
    <d v="2026-01-04T00:31:00"/>
    <x v="6"/>
    <s v="Field Visit"/>
    <x v="1"/>
    <s v="A050"/>
    <x v="1"/>
    <n v="24"/>
    <n v="7.1"/>
    <x v="1"/>
    <s v="No"/>
    <s v="No"/>
    <m/>
    <s v="Closed"/>
    <s v="January"/>
    <x v="0"/>
    <n v="2026"/>
    <s v="Yes"/>
    <n v="1"/>
    <x v="1"/>
    <n v="1"/>
  </r>
  <r>
    <s v="T000049"/>
    <x v="47"/>
    <d v="2026-01-04T17:08:00"/>
    <x v="3"/>
    <s v="Phone"/>
    <x v="0"/>
    <s v="A004"/>
    <x v="0"/>
    <n v="72"/>
    <n v="23.3"/>
    <x v="1"/>
    <s v="No"/>
    <s v="No"/>
    <n v="5"/>
    <s v="Closed"/>
    <s v="January"/>
    <x v="0"/>
    <n v="2026"/>
    <s v="Yes"/>
    <n v="1"/>
    <x v="4"/>
    <n v="1"/>
  </r>
  <r>
    <s v="T000050"/>
    <x v="48"/>
    <d v="2026-01-04T19:14:00"/>
    <x v="5"/>
    <s v="Email"/>
    <x v="0"/>
    <s v="A013"/>
    <x v="0"/>
    <n v="72"/>
    <n v="25.3"/>
    <x v="1"/>
    <s v="No"/>
    <s v="No"/>
    <n v="4"/>
    <s v="Closed"/>
    <s v="January"/>
    <x v="0"/>
    <n v="2026"/>
    <s v="Yes"/>
    <n v="1"/>
    <x v="1"/>
    <n v="1"/>
  </r>
  <r>
    <s v="T000051"/>
    <x v="49"/>
    <d v="2026-01-04T06:38:00"/>
    <x v="5"/>
    <s v="Phone"/>
    <x v="1"/>
    <s v="A030"/>
    <x v="2"/>
    <n v="24"/>
    <n v="11.2"/>
    <x v="1"/>
    <s v="No"/>
    <s v="No"/>
    <n v="4"/>
    <s v="Closed"/>
    <s v="January"/>
    <x v="0"/>
    <n v="2026"/>
    <s v="Yes"/>
    <n v="1"/>
    <x v="3"/>
    <n v="1"/>
  </r>
  <r>
    <s v="T000052"/>
    <x v="50"/>
    <d v="2026-01-05T08:43:00"/>
    <x v="3"/>
    <s v="Phone"/>
    <x v="0"/>
    <s v="A009"/>
    <x v="0"/>
    <n v="72"/>
    <n v="35.700000000000003"/>
    <x v="1"/>
    <s v="No"/>
    <s v="No"/>
    <m/>
    <s v="Closed"/>
    <s v="January"/>
    <x v="0"/>
    <n v="2026"/>
    <s v="Yes"/>
    <n v="1"/>
    <x v="1"/>
    <n v="1"/>
  </r>
  <r>
    <s v="T000053"/>
    <x v="51"/>
    <d v="2026-01-04T05:36:00"/>
    <x v="1"/>
    <s v="Phone"/>
    <x v="1"/>
    <s v="A030"/>
    <x v="2"/>
    <n v="24"/>
    <n v="5.9"/>
    <x v="0"/>
    <s v="No"/>
    <s v="No"/>
    <n v="5"/>
    <s v="Closed"/>
    <s v="January"/>
    <x v="0"/>
    <n v="2026"/>
    <s v="Yes"/>
    <n v="1"/>
    <x v="4"/>
    <n v="0"/>
  </r>
  <r>
    <s v="T000054"/>
    <x v="52"/>
    <d v="2026-01-04T08:58:00"/>
    <x v="3"/>
    <s v="Chat"/>
    <x v="2"/>
    <s v="A024"/>
    <x v="2"/>
    <n v="4"/>
    <n v="5.9"/>
    <x v="1"/>
    <s v="No"/>
    <s v="No"/>
    <m/>
    <s v="Closed"/>
    <s v="January"/>
    <x v="0"/>
    <n v="2026"/>
    <s v="No"/>
    <n v="0"/>
    <x v="0"/>
    <n v="1"/>
  </r>
  <r>
    <s v="T000055"/>
    <x v="53"/>
    <d v="2026-01-05T05:04:00"/>
    <x v="3"/>
    <s v="Chat"/>
    <x v="1"/>
    <s v="A043"/>
    <x v="1"/>
    <n v="24"/>
    <n v="23.6"/>
    <x v="0"/>
    <s v="No"/>
    <s v="No"/>
    <n v="5"/>
    <s v="Closed"/>
    <s v="January"/>
    <x v="0"/>
    <n v="2026"/>
    <s v="Yes"/>
    <n v="1"/>
    <x v="3"/>
    <n v="0"/>
  </r>
  <r>
    <s v="T000056"/>
    <x v="54"/>
    <d v="2026-01-04T16:21:00"/>
    <x v="1"/>
    <s v="Phone"/>
    <x v="1"/>
    <s v="A022"/>
    <x v="2"/>
    <n v="24"/>
    <n v="8.8000000000000007"/>
    <x v="1"/>
    <s v="No"/>
    <s v="No"/>
    <n v="5"/>
    <s v="Closed"/>
    <s v="January"/>
    <x v="0"/>
    <n v="2026"/>
    <s v="Yes"/>
    <n v="1"/>
    <x v="4"/>
    <n v="1"/>
  </r>
  <r>
    <s v="T000057"/>
    <x v="55"/>
    <d v="2026-01-05T21:18:00"/>
    <x v="0"/>
    <s v="Email"/>
    <x v="1"/>
    <s v="A030"/>
    <x v="2"/>
    <n v="24"/>
    <n v="35.700000000000003"/>
    <x v="0"/>
    <s v="Yes"/>
    <s v="No"/>
    <m/>
    <s v="Closed"/>
    <s v="January"/>
    <x v="0"/>
    <n v="2026"/>
    <s v="No"/>
    <n v="0"/>
    <x v="3"/>
    <n v="0"/>
  </r>
  <r>
    <s v="T000058"/>
    <x v="56"/>
    <d v="2026-01-04T15:39:00"/>
    <x v="1"/>
    <s v="Chat"/>
    <x v="0"/>
    <s v="A004"/>
    <x v="0"/>
    <n v="72"/>
    <n v="6"/>
    <x v="1"/>
    <s v="No"/>
    <s v="No"/>
    <n v="5"/>
    <s v="Closed"/>
    <s v="January"/>
    <x v="0"/>
    <n v="2026"/>
    <s v="Yes"/>
    <n v="1"/>
    <x v="1"/>
    <n v="1"/>
  </r>
  <r>
    <s v="T000059"/>
    <x v="57"/>
    <d v="2026-01-05T23:42:00"/>
    <x v="0"/>
    <s v="Field Visit"/>
    <x v="1"/>
    <s v="A026"/>
    <x v="2"/>
    <n v="24"/>
    <n v="37.9"/>
    <x v="0"/>
    <s v="No"/>
    <s v="No"/>
    <n v="5"/>
    <s v="Closed"/>
    <s v="January"/>
    <x v="0"/>
    <n v="2026"/>
    <s v="No"/>
    <n v="0"/>
    <x v="4"/>
    <n v="0"/>
  </r>
  <r>
    <s v="T000060"/>
    <x v="58"/>
    <d v="2026-01-09T00:58:00"/>
    <x v="4"/>
    <s v="Field Visit"/>
    <x v="2"/>
    <s v="A037"/>
    <x v="1"/>
    <n v="4"/>
    <n v="111.1"/>
    <x v="0"/>
    <s v="No"/>
    <s v="No"/>
    <n v="3"/>
    <s v="Closed"/>
    <s v="January"/>
    <x v="0"/>
    <n v="2026"/>
    <s v="No"/>
    <n v="0"/>
    <x v="2"/>
    <n v="0"/>
  </r>
  <r>
    <s v="T000061"/>
    <x v="59"/>
    <d v="2026-01-04T00:52:00"/>
    <x v="1"/>
    <s v="Phone"/>
    <x v="0"/>
    <s v="A027"/>
    <x v="2"/>
    <n v="72"/>
    <n v="1.3"/>
    <x v="1"/>
    <s v="No"/>
    <s v="No"/>
    <n v="5"/>
    <s v="Closed"/>
    <s v="January"/>
    <x v="0"/>
    <n v="2026"/>
    <s v="Yes"/>
    <n v="1"/>
    <x v="3"/>
    <n v="1"/>
  </r>
  <r>
    <s v="T000062"/>
    <x v="60"/>
    <d v="2026-01-04T16:12:00"/>
    <x v="1"/>
    <s v="Phone"/>
    <x v="1"/>
    <s v="A028"/>
    <x v="2"/>
    <n v="24"/>
    <n v="4.7"/>
    <x v="0"/>
    <s v="No"/>
    <s v="Yes"/>
    <m/>
    <s v="Closed"/>
    <s v="January"/>
    <x v="0"/>
    <n v="2026"/>
    <s v="Yes"/>
    <n v="1"/>
    <x v="1"/>
    <n v="0"/>
  </r>
  <r>
    <s v="T000063"/>
    <x v="61"/>
    <d v="2026-01-05T05:34:00"/>
    <x v="0"/>
    <s v="Phone"/>
    <x v="1"/>
    <s v="A043"/>
    <x v="1"/>
    <n v="24"/>
    <n v="16.8"/>
    <x v="1"/>
    <s v="No"/>
    <s v="No"/>
    <n v="5"/>
    <s v="Closed"/>
    <s v="January"/>
    <x v="0"/>
    <n v="2026"/>
    <s v="Yes"/>
    <n v="1"/>
    <x v="1"/>
    <n v="1"/>
  </r>
  <r>
    <s v="T000064"/>
    <x v="62"/>
    <d v="2026-01-05T08:06:00"/>
    <x v="2"/>
    <s v="Chat"/>
    <x v="1"/>
    <s v="A030"/>
    <x v="2"/>
    <n v="24"/>
    <n v="18.600000000000001"/>
    <x v="1"/>
    <s v="No"/>
    <s v="No"/>
    <m/>
    <s v="Closed"/>
    <s v="January"/>
    <x v="0"/>
    <n v="2026"/>
    <s v="Yes"/>
    <n v="1"/>
    <x v="0"/>
    <n v="1"/>
  </r>
  <r>
    <s v="T000065"/>
    <x v="63"/>
    <d v="2026-01-05T23:19:00"/>
    <x v="2"/>
    <s v="Email"/>
    <x v="0"/>
    <s v="A001"/>
    <x v="0"/>
    <n v="72"/>
    <n v="33.799999999999997"/>
    <x v="1"/>
    <s v="No"/>
    <s v="No"/>
    <n v="4"/>
    <s v="Closed"/>
    <s v="January"/>
    <x v="0"/>
    <n v="2026"/>
    <s v="Yes"/>
    <n v="1"/>
    <x v="3"/>
    <n v="1"/>
  </r>
  <r>
    <s v="T000066"/>
    <x v="64"/>
    <d v="2026-01-04T18:32:00"/>
    <x v="2"/>
    <s v="Chat"/>
    <x v="0"/>
    <s v="A057"/>
    <x v="1"/>
    <n v="72"/>
    <n v="4.9000000000000004"/>
    <x v="1"/>
    <s v="No"/>
    <s v="No"/>
    <n v="5"/>
    <s v="Closed"/>
    <s v="January"/>
    <x v="0"/>
    <n v="2026"/>
    <s v="Yes"/>
    <n v="1"/>
    <x v="3"/>
    <n v="1"/>
  </r>
  <r>
    <s v="T000067"/>
    <x v="65"/>
    <d v="2026-01-07T07:16:00"/>
    <x v="3"/>
    <s v="Field Visit"/>
    <x v="1"/>
    <s v="A040"/>
    <x v="1"/>
    <n v="24"/>
    <n v="65.099999999999994"/>
    <x v="1"/>
    <s v="No"/>
    <s v="No"/>
    <n v="4"/>
    <s v="Closed"/>
    <s v="January"/>
    <x v="0"/>
    <n v="2026"/>
    <s v="No"/>
    <n v="0"/>
    <x v="3"/>
    <n v="1"/>
  </r>
  <r>
    <s v="T000068"/>
    <x v="66"/>
    <d v="2026-01-11T02:13:00"/>
    <x v="4"/>
    <s v="Field Visit"/>
    <x v="0"/>
    <s v="A002"/>
    <x v="0"/>
    <n v="72"/>
    <n v="155.4"/>
    <x v="1"/>
    <s v="No"/>
    <s v="No"/>
    <n v="4"/>
    <s v="Closed"/>
    <s v="January"/>
    <x v="0"/>
    <n v="2026"/>
    <s v="No"/>
    <n v="0"/>
    <x v="2"/>
    <n v="1"/>
  </r>
  <r>
    <s v="T000069"/>
    <x v="67"/>
    <d v="2026-01-05T05:03:00"/>
    <x v="5"/>
    <s v="Chat"/>
    <x v="1"/>
    <s v="A022"/>
    <x v="2"/>
    <n v="24"/>
    <n v="14"/>
    <x v="0"/>
    <s v="Yes"/>
    <s v="No"/>
    <m/>
    <s v="Closed"/>
    <s v="January"/>
    <x v="0"/>
    <n v="2026"/>
    <s v="Yes"/>
    <n v="1"/>
    <x v="4"/>
    <n v="0"/>
  </r>
  <r>
    <s v="T000070"/>
    <x v="68"/>
    <d v="2026-01-05T00:29:00"/>
    <x v="5"/>
    <s v="Phone"/>
    <x v="1"/>
    <s v="A022"/>
    <x v="2"/>
    <n v="24"/>
    <n v="8.5"/>
    <x v="0"/>
    <s v="No"/>
    <s v="No"/>
    <m/>
    <s v="Closed"/>
    <s v="January"/>
    <x v="0"/>
    <n v="2026"/>
    <s v="Yes"/>
    <n v="1"/>
    <x v="2"/>
    <n v="0"/>
  </r>
  <r>
    <s v="T000071"/>
    <x v="69"/>
    <d v="2026-01-04T22:47:00"/>
    <x v="1"/>
    <s v="Phone"/>
    <x v="1"/>
    <s v="A041"/>
    <x v="1"/>
    <n v="24"/>
    <n v="4.3"/>
    <x v="0"/>
    <s v="Yes"/>
    <s v="No"/>
    <m/>
    <s v="Closed"/>
    <s v="January"/>
    <x v="0"/>
    <n v="2026"/>
    <s v="Yes"/>
    <n v="1"/>
    <x v="1"/>
    <n v="0"/>
  </r>
  <r>
    <s v="T000072"/>
    <x v="70"/>
    <d v="2026-01-04T21:46:00"/>
    <x v="6"/>
    <s v="Phone"/>
    <x v="2"/>
    <s v="A031"/>
    <x v="2"/>
    <n v="4"/>
    <n v="3.1"/>
    <x v="1"/>
    <s v="No"/>
    <s v="Yes"/>
    <m/>
    <s v="Closed"/>
    <s v="January"/>
    <x v="0"/>
    <n v="2026"/>
    <s v="Yes"/>
    <n v="1"/>
    <x v="4"/>
    <n v="1"/>
  </r>
  <r>
    <s v="T000073"/>
    <x v="71"/>
    <d v="2026-01-05T17:48:00"/>
    <x v="3"/>
    <s v="Field Visit"/>
    <x v="1"/>
    <s v="A054"/>
    <x v="1"/>
    <n v="24"/>
    <n v="22.3"/>
    <x v="1"/>
    <s v="No"/>
    <s v="No"/>
    <n v="5"/>
    <s v="Closed"/>
    <s v="January"/>
    <x v="0"/>
    <n v="2026"/>
    <s v="Yes"/>
    <n v="1"/>
    <x v="1"/>
    <n v="1"/>
  </r>
  <r>
    <s v="T000074"/>
    <x v="72"/>
    <d v="2026-01-05T00:56:00"/>
    <x v="2"/>
    <s v="Chat"/>
    <x v="0"/>
    <s v="A060"/>
    <x v="1"/>
    <n v="72"/>
    <n v="4.2"/>
    <x v="1"/>
    <s v="No"/>
    <s v="No"/>
    <m/>
    <s v="Closed"/>
    <s v="January"/>
    <x v="0"/>
    <n v="2026"/>
    <s v="Yes"/>
    <n v="1"/>
    <x v="1"/>
    <n v="1"/>
  </r>
  <r>
    <s v="T000075"/>
    <x v="73"/>
    <d v="2026-01-05T03:01:00"/>
    <x v="1"/>
    <s v="Chat"/>
    <x v="0"/>
    <s v="A008"/>
    <x v="0"/>
    <n v="72"/>
    <n v="5.6"/>
    <x v="1"/>
    <s v="No"/>
    <s v="No"/>
    <n v="3"/>
    <s v="Closed"/>
    <s v="January"/>
    <x v="0"/>
    <n v="2026"/>
    <s v="Yes"/>
    <n v="1"/>
    <x v="4"/>
    <n v="1"/>
  </r>
  <r>
    <s v="T000076"/>
    <x v="74"/>
    <d v="2026-01-05T14:08:00"/>
    <x v="6"/>
    <s v="Phone"/>
    <x v="2"/>
    <s v="A035"/>
    <x v="2"/>
    <n v="4"/>
    <n v="7.4"/>
    <x v="0"/>
    <s v="No"/>
    <s v="No"/>
    <m/>
    <s v="Closed"/>
    <s v="January"/>
    <x v="0"/>
    <n v="2026"/>
    <s v="No"/>
    <n v="0"/>
    <x v="2"/>
    <n v="0"/>
  </r>
  <r>
    <s v="T000077"/>
    <x v="75"/>
    <d v="2026-01-05T14:49:00"/>
    <x v="6"/>
    <s v="Phone"/>
    <x v="1"/>
    <s v="A048"/>
    <x v="1"/>
    <n v="24"/>
    <n v="7.7"/>
    <x v="1"/>
    <s v="No"/>
    <s v="No"/>
    <n v="4"/>
    <s v="Closed"/>
    <s v="January"/>
    <x v="0"/>
    <n v="2026"/>
    <s v="Yes"/>
    <n v="1"/>
    <x v="4"/>
    <n v="1"/>
  </r>
  <r>
    <s v="T000078"/>
    <x v="76"/>
    <d v="2026-01-06T04:29:00"/>
    <x v="0"/>
    <s v="Email"/>
    <x v="0"/>
    <s v="A056"/>
    <x v="1"/>
    <n v="72"/>
    <n v="20.8"/>
    <x v="1"/>
    <s v="No"/>
    <s v="No"/>
    <m/>
    <s v="Closed"/>
    <s v="January"/>
    <x v="0"/>
    <n v="2026"/>
    <s v="Yes"/>
    <n v="1"/>
    <x v="1"/>
    <n v="1"/>
  </r>
  <r>
    <s v="T000079"/>
    <x v="77"/>
    <d v="2026-01-07T13:13:00"/>
    <x v="0"/>
    <s v="Email"/>
    <x v="0"/>
    <s v="A022"/>
    <x v="2"/>
    <n v="72"/>
    <n v="50.2"/>
    <x v="1"/>
    <s v="No"/>
    <s v="No"/>
    <n v="4"/>
    <s v="Closed"/>
    <s v="January"/>
    <x v="0"/>
    <n v="2026"/>
    <s v="Yes"/>
    <n v="1"/>
    <x v="1"/>
    <n v="1"/>
  </r>
  <r>
    <s v="T000080"/>
    <x v="78"/>
    <d v="2026-01-05T23:38:00"/>
    <x v="0"/>
    <s v="Chat"/>
    <x v="2"/>
    <s v="A004"/>
    <x v="0"/>
    <n v="4"/>
    <n v="12.6"/>
    <x v="0"/>
    <s v="No"/>
    <s v="No"/>
    <m/>
    <s v="Closed"/>
    <s v="January"/>
    <x v="0"/>
    <n v="2026"/>
    <s v="No"/>
    <n v="0"/>
    <x v="0"/>
    <n v="0"/>
  </r>
  <r>
    <s v="T000081"/>
    <x v="79"/>
    <d v="2026-01-06T08:43:00"/>
    <x v="6"/>
    <s v="Field Visit"/>
    <x v="2"/>
    <s v="A060"/>
    <x v="1"/>
    <n v="4"/>
    <n v="18.100000000000001"/>
    <x v="0"/>
    <s v="No"/>
    <s v="No"/>
    <m/>
    <s v="Closed"/>
    <s v="January"/>
    <x v="0"/>
    <n v="2026"/>
    <s v="No"/>
    <n v="0"/>
    <x v="0"/>
    <n v="0"/>
  </r>
  <r>
    <s v="T000082"/>
    <x v="80"/>
    <d v="2026-01-05T17:31:00"/>
    <x v="1"/>
    <s v="Phone"/>
    <x v="0"/>
    <s v="A006"/>
    <x v="0"/>
    <n v="72"/>
    <n v="2.4"/>
    <x v="0"/>
    <s v="No"/>
    <s v="No"/>
    <n v="4"/>
    <s v="Closed"/>
    <s v="January"/>
    <x v="0"/>
    <n v="2026"/>
    <s v="Yes"/>
    <n v="1"/>
    <x v="1"/>
    <n v="0"/>
  </r>
  <r>
    <s v="T000083"/>
    <x v="81"/>
    <d v="2026-01-05T21:31:00"/>
    <x v="1"/>
    <s v="Chat"/>
    <x v="0"/>
    <s v="A032"/>
    <x v="2"/>
    <n v="72"/>
    <n v="6.3"/>
    <x v="0"/>
    <s v="Yes"/>
    <s v="No"/>
    <m/>
    <s v="Closed"/>
    <s v="January"/>
    <x v="0"/>
    <n v="2026"/>
    <s v="Yes"/>
    <n v="1"/>
    <x v="2"/>
    <n v="0"/>
  </r>
  <r>
    <s v="T000084"/>
    <x v="82"/>
    <d v="2026-01-05T22:18:00"/>
    <x v="5"/>
    <s v="Chat"/>
    <x v="1"/>
    <s v="A028"/>
    <x v="2"/>
    <n v="24"/>
    <n v="6.8"/>
    <x v="0"/>
    <s v="Yes"/>
    <s v="Yes"/>
    <n v="3"/>
    <s v="Closed"/>
    <s v="January"/>
    <x v="0"/>
    <n v="2026"/>
    <s v="Yes"/>
    <n v="1"/>
    <x v="3"/>
    <n v="0"/>
  </r>
  <r>
    <s v="T000085"/>
    <x v="83"/>
    <d v="2026-01-05T22:45:00"/>
    <x v="6"/>
    <s v="Phone"/>
    <x v="1"/>
    <s v="A052"/>
    <x v="1"/>
    <n v="24"/>
    <n v="7.1"/>
    <x v="0"/>
    <s v="Yes"/>
    <s v="Yes"/>
    <n v="3"/>
    <s v="Closed"/>
    <s v="January"/>
    <x v="0"/>
    <n v="2026"/>
    <s v="Yes"/>
    <n v="1"/>
    <x v="3"/>
    <n v="0"/>
  </r>
  <r>
    <s v="T000086"/>
    <x v="84"/>
    <d v="2026-01-05T23:23:00"/>
    <x v="1"/>
    <s v="Phone"/>
    <x v="2"/>
    <s v="A028"/>
    <x v="2"/>
    <n v="4"/>
    <n v="7.3"/>
    <x v="0"/>
    <s v="Yes"/>
    <s v="Yes"/>
    <n v="2"/>
    <s v="Closed"/>
    <s v="January"/>
    <x v="0"/>
    <n v="2026"/>
    <s v="No"/>
    <n v="0"/>
    <x v="0"/>
    <n v="0"/>
  </r>
  <r>
    <s v="T000087"/>
    <x v="85"/>
    <d v="2026-01-06T21:30:00"/>
    <x v="1"/>
    <s v="Email"/>
    <x v="0"/>
    <s v="A053"/>
    <x v="1"/>
    <n v="72"/>
    <n v="28.2"/>
    <x v="1"/>
    <s v="No"/>
    <s v="No"/>
    <n v="5"/>
    <s v="Closed"/>
    <s v="January"/>
    <x v="0"/>
    <n v="2026"/>
    <s v="Yes"/>
    <n v="1"/>
    <x v="4"/>
    <n v="1"/>
  </r>
  <r>
    <s v="T000088"/>
    <x v="86"/>
    <d v="2026-01-05T20:20:00"/>
    <x v="2"/>
    <s v="Chat"/>
    <x v="0"/>
    <s v="A047"/>
    <x v="1"/>
    <n v="72"/>
    <n v="2.8"/>
    <x v="0"/>
    <s v="No"/>
    <s v="No"/>
    <n v="4"/>
    <s v="Closed"/>
    <s v="January"/>
    <x v="0"/>
    <n v="2026"/>
    <s v="Yes"/>
    <n v="1"/>
    <x v="1"/>
    <n v="0"/>
  </r>
  <r>
    <s v="T000089"/>
    <x v="87"/>
    <d v="2026-01-06T11:41:00"/>
    <x v="5"/>
    <s v="Phone"/>
    <x v="1"/>
    <s v="A060"/>
    <x v="1"/>
    <n v="24"/>
    <n v="17.899999999999999"/>
    <x v="1"/>
    <s v="No"/>
    <s v="No"/>
    <n v="5"/>
    <s v="Closed"/>
    <s v="January"/>
    <x v="0"/>
    <n v="2026"/>
    <s v="Yes"/>
    <n v="1"/>
    <x v="4"/>
    <n v="1"/>
  </r>
  <r>
    <s v="T000090"/>
    <x v="88"/>
    <d v="2026-01-05T21:51:00"/>
    <x v="6"/>
    <s v="Phone"/>
    <x v="0"/>
    <s v="A022"/>
    <x v="2"/>
    <n v="72"/>
    <n v="3.9"/>
    <x v="1"/>
    <s v="No"/>
    <s v="No"/>
    <n v="4"/>
    <s v="Closed"/>
    <s v="January"/>
    <x v="0"/>
    <n v="2026"/>
    <s v="Yes"/>
    <n v="1"/>
    <x v="1"/>
    <n v="1"/>
  </r>
  <r>
    <s v="T000091"/>
    <x v="89"/>
    <d v="2026-01-05T21:25:00"/>
    <x v="1"/>
    <s v="Chat"/>
    <x v="0"/>
    <s v="A001"/>
    <x v="0"/>
    <n v="72"/>
    <n v="2.4"/>
    <x v="0"/>
    <s v="No"/>
    <s v="No"/>
    <m/>
    <s v="Closed"/>
    <s v="January"/>
    <x v="0"/>
    <n v="2026"/>
    <s v="Yes"/>
    <n v="1"/>
    <x v="1"/>
    <n v="0"/>
  </r>
  <r>
    <s v="T000092"/>
    <x v="90"/>
    <d v="2026-01-06T08:59:00"/>
    <x v="0"/>
    <s v="Field Visit"/>
    <x v="0"/>
    <s v="A039"/>
    <x v="1"/>
    <n v="72"/>
    <n v="13.8"/>
    <x v="1"/>
    <s v="No"/>
    <s v="No"/>
    <m/>
    <s v="Closed"/>
    <s v="January"/>
    <x v="0"/>
    <n v="2026"/>
    <s v="Yes"/>
    <n v="1"/>
    <x v="4"/>
    <n v="1"/>
  </r>
  <r>
    <s v="T000093"/>
    <x v="91"/>
    <d v="2026-01-07T06:19:00"/>
    <x v="6"/>
    <s v="Field Visit"/>
    <x v="2"/>
    <s v="A009"/>
    <x v="0"/>
    <n v="4"/>
    <n v="34.5"/>
    <x v="1"/>
    <s v="No"/>
    <s v="No"/>
    <n v="5"/>
    <s v="Closed"/>
    <s v="January"/>
    <x v="0"/>
    <n v="2026"/>
    <s v="No"/>
    <n v="0"/>
    <x v="2"/>
    <n v="1"/>
  </r>
  <r>
    <s v="T000094"/>
    <x v="92"/>
    <d v="2026-01-06T21:50:00"/>
    <x v="1"/>
    <s v="Email"/>
    <x v="0"/>
    <s v="A057"/>
    <x v="1"/>
    <n v="72"/>
    <n v="18.7"/>
    <x v="0"/>
    <s v="Yes"/>
    <s v="No"/>
    <m/>
    <s v="Closed"/>
    <s v="January"/>
    <x v="0"/>
    <n v="2026"/>
    <s v="Yes"/>
    <n v="1"/>
    <x v="4"/>
    <n v="0"/>
  </r>
  <r>
    <s v="T000095"/>
    <x v="93"/>
    <d v="2026-01-06T19:29:00"/>
    <x v="6"/>
    <s v="Phone"/>
    <x v="1"/>
    <s v="A035"/>
    <x v="2"/>
    <n v="24"/>
    <n v="14.6"/>
    <x v="1"/>
    <s v="No"/>
    <s v="No"/>
    <n v="5"/>
    <s v="Closed"/>
    <s v="January"/>
    <x v="0"/>
    <n v="2026"/>
    <s v="Yes"/>
    <n v="1"/>
    <x v="3"/>
    <n v="1"/>
  </r>
  <r>
    <s v="T000096"/>
    <x v="94"/>
    <d v="2026-01-08T05:31:00"/>
    <x v="2"/>
    <s v="Field Visit"/>
    <x v="1"/>
    <s v="A008"/>
    <x v="0"/>
    <n v="24"/>
    <n v="47.3"/>
    <x v="0"/>
    <s v="Yes"/>
    <s v="No"/>
    <n v="3"/>
    <s v="Closed"/>
    <s v="January"/>
    <x v="0"/>
    <n v="2026"/>
    <s v="No"/>
    <n v="0"/>
    <x v="1"/>
    <n v="0"/>
  </r>
  <r>
    <s v="T000097"/>
    <x v="95"/>
    <d v="2026-01-06T23:42:00"/>
    <x v="6"/>
    <s v="Email"/>
    <x v="2"/>
    <s v="A041"/>
    <x v="1"/>
    <n v="4"/>
    <n v="15.3"/>
    <x v="1"/>
    <s v="No"/>
    <s v="No"/>
    <m/>
    <s v="Closed"/>
    <s v="January"/>
    <x v="0"/>
    <n v="2026"/>
    <s v="No"/>
    <n v="0"/>
    <x v="1"/>
    <n v="1"/>
  </r>
  <r>
    <s v="T000098"/>
    <x v="96"/>
    <d v="2026-01-06T16:51:00"/>
    <x v="1"/>
    <s v="Phone"/>
    <x v="1"/>
    <s v="A051"/>
    <x v="1"/>
    <n v="24"/>
    <n v="8"/>
    <x v="0"/>
    <s v="Yes"/>
    <s v="No"/>
    <n v="3"/>
    <s v="Closed"/>
    <s v="January"/>
    <x v="0"/>
    <n v="2026"/>
    <s v="Yes"/>
    <n v="1"/>
    <x v="2"/>
    <n v="0"/>
  </r>
  <r>
    <s v="T000099"/>
    <x v="97"/>
    <d v="2026-01-06T17:03:00"/>
    <x v="5"/>
    <s v="Chat"/>
    <x v="0"/>
    <s v="A057"/>
    <x v="1"/>
    <n v="72"/>
    <n v="7.7"/>
    <x v="1"/>
    <s v="No"/>
    <s v="No"/>
    <n v="5"/>
    <s v="Closed"/>
    <s v="January"/>
    <x v="0"/>
    <n v="2026"/>
    <s v="Yes"/>
    <n v="1"/>
    <x v="4"/>
    <n v="1"/>
  </r>
  <r>
    <s v="T000100"/>
    <x v="98"/>
    <d v="2026-01-11T05:15:00"/>
    <x v="3"/>
    <s v="Field Visit"/>
    <x v="1"/>
    <s v="A011"/>
    <x v="0"/>
    <n v="24"/>
    <n v="115.2"/>
    <x v="1"/>
    <s v="No"/>
    <s v="No"/>
    <n v="4"/>
    <s v="Closed"/>
    <s v="January"/>
    <x v="0"/>
    <n v="2026"/>
    <s v="No"/>
    <n v="0"/>
    <x v="0"/>
    <n v="1"/>
  </r>
  <r>
    <s v="T000101"/>
    <x v="99"/>
    <d v="2026-01-06T15:20:00"/>
    <x v="1"/>
    <s v="Chat"/>
    <x v="0"/>
    <s v="A032"/>
    <x v="2"/>
    <n v="72"/>
    <n v="5"/>
    <x v="1"/>
    <s v="No"/>
    <s v="No"/>
    <n v="5"/>
    <s v="Closed"/>
    <s v="January"/>
    <x v="0"/>
    <n v="2026"/>
    <s v="Yes"/>
    <n v="1"/>
    <x v="3"/>
    <n v="1"/>
  </r>
  <r>
    <s v="T000102"/>
    <x v="100"/>
    <d v="2026-01-06T18:00:00"/>
    <x v="5"/>
    <s v="Phone"/>
    <x v="1"/>
    <s v="A053"/>
    <x v="1"/>
    <n v="24"/>
    <n v="6.1"/>
    <x v="0"/>
    <s v="Yes"/>
    <s v="No"/>
    <n v="4"/>
    <s v="Closed"/>
    <s v="January"/>
    <x v="0"/>
    <n v="2026"/>
    <s v="Yes"/>
    <n v="1"/>
    <x v="1"/>
    <n v="0"/>
  </r>
  <r>
    <s v="T000103"/>
    <x v="101"/>
    <d v="2026-01-07T11:33:00"/>
    <x v="0"/>
    <s v="Field Visit"/>
    <x v="1"/>
    <s v="A017"/>
    <x v="2"/>
    <n v="24"/>
    <n v="22.8"/>
    <x v="1"/>
    <s v="No"/>
    <s v="No"/>
    <n v="5"/>
    <s v="Closed"/>
    <s v="January"/>
    <x v="0"/>
    <n v="2026"/>
    <s v="Yes"/>
    <n v="1"/>
    <x v="4"/>
    <n v="1"/>
  </r>
  <r>
    <s v="T000104"/>
    <x v="102"/>
    <d v="2026-01-06T18:24:00"/>
    <x v="1"/>
    <s v="Chat"/>
    <x v="0"/>
    <s v="A029"/>
    <x v="2"/>
    <n v="72"/>
    <n v="5.5"/>
    <x v="0"/>
    <s v="Yes"/>
    <s v="No"/>
    <n v="3"/>
    <s v="Closed"/>
    <s v="January"/>
    <x v="0"/>
    <n v="2026"/>
    <s v="Yes"/>
    <n v="1"/>
    <x v="4"/>
    <n v="0"/>
  </r>
  <r>
    <s v="T000105"/>
    <x v="103"/>
    <d v="2026-01-06T19:04:00"/>
    <x v="2"/>
    <s v="Chat"/>
    <x v="0"/>
    <s v="A011"/>
    <x v="0"/>
    <n v="72"/>
    <n v="5.9"/>
    <x v="0"/>
    <s v="Yes"/>
    <s v="No"/>
    <m/>
    <s v="Closed"/>
    <s v="January"/>
    <x v="0"/>
    <n v="2026"/>
    <s v="Yes"/>
    <n v="1"/>
    <x v="3"/>
    <n v="0"/>
  </r>
  <r>
    <s v="T000106"/>
    <x v="104"/>
    <d v="2026-01-07T03:16:00"/>
    <x v="1"/>
    <s v="Phone"/>
    <x v="0"/>
    <s v="A010"/>
    <x v="0"/>
    <n v="72"/>
    <n v="13.7"/>
    <x v="0"/>
    <s v="No"/>
    <s v="No"/>
    <n v="5"/>
    <s v="Closed"/>
    <s v="January"/>
    <x v="0"/>
    <n v="2026"/>
    <s v="Yes"/>
    <n v="1"/>
    <x v="1"/>
    <n v="0"/>
  </r>
  <r>
    <s v="T000107"/>
    <x v="105"/>
    <d v="2026-01-06T19:02:00"/>
    <x v="0"/>
    <s v="Phone"/>
    <x v="1"/>
    <s v="A032"/>
    <x v="2"/>
    <n v="24"/>
    <n v="5.2"/>
    <x v="1"/>
    <s v="No"/>
    <s v="No"/>
    <m/>
    <s v="Closed"/>
    <s v="January"/>
    <x v="0"/>
    <n v="2026"/>
    <s v="Yes"/>
    <n v="1"/>
    <x v="1"/>
    <n v="1"/>
  </r>
  <r>
    <s v="T000109"/>
    <x v="106"/>
    <d v="2026-01-07T03:00:00"/>
    <x v="1"/>
    <s v="Email"/>
    <x v="1"/>
    <s v="A036"/>
    <x v="1"/>
    <n v="24"/>
    <n v="12.8"/>
    <x v="1"/>
    <s v="No"/>
    <s v="Yes"/>
    <n v="2"/>
    <s v="Closed"/>
    <s v="January"/>
    <x v="0"/>
    <n v="2026"/>
    <s v="Yes"/>
    <n v="1"/>
    <x v="2"/>
    <n v="1"/>
  </r>
  <r>
    <s v="T000108"/>
    <x v="106"/>
    <d v="2026-01-07T04:00:00"/>
    <x v="5"/>
    <s v="Phone"/>
    <x v="1"/>
    <s v="A047"/>
    <x v="1"/>
    <n v="24"/>
    <n v="13.8"/>
    <x v="1"/>
    <s v="No"/>
    <s v="No"/>
    <n v="5"/>
    <s v="Closed"/>
    <s v="January"/>
    <x v="0"/>
    <n v="2026"/>
    <s v="Yes"/>
    <n v="1"/>
    <x v="2"/>
    <n v="1"/>
  </r>
  <r>
    <s v="T000110"/>
    <x v="107"/>
    <d v="2026-01-06T18:09:00"/>
    <x v="1"/>
    <s v="Phone"/>
    <x v="1"/>
    <s v="A058"/>
    <x v="1"/>
    <n v="24"/>
    <n v="3.7"/>
    <x v="1"/>
    <s v="No"/>
    <s v="No"/>
    <m/>
    <s v="Closed"/>
    <s v="January"/>
    <x v="0"/>
    <n v="2026"/>
    <s v="Yes"/>
    <n v="1"/>
    <x v="3"/>
    <n v="1"/>
  </r>
  <r>
    <s v="T000111"/>
    <x v="108"/>
    <d v="2026-01-07T23:52:00"/>
    <x v="4"/>
    <s v="Field Visit"/>
    <x v="0"/>
    <s v="A018"/>
    <x v="2"/>
    <n v="72"/>
    <n v="33.4"/>
    <x v="0"/>
    <s v="Yes"/>
    <s v="No"/>
    <n v="5"/>
    <s v="Closed"/>
    <s v="January"/>
    <x v="0"/>
    <n v="2026"/>
    <s v="Yes"/>
    <n v="1"/>
    <x v="4"/>
    <n v="0"/>
  </r>
  <r>
    <s v="T000112"/>
    <x v="109"/>
    <d v="2026-01-07T18:09:00"/>
    <x v="3"/>
    <s v="Phone"/>
    <x v="2"/>
    <s v="A014"/>
    <x v="0"/>
    <n v="4"/>
    <n v="27.5"/>
    <x v="0"/>
    <s v="Yes"/>
    <s v="No"/>
    <n v="1"/>
    <s v="Closed"/>
    <s v="January"/>
    <x v="0"/>
    <n v="2026"/>
    <s v="No"/>
    <n v="0"/>
    <x v="3"/>
    <n v="0"/>
  </r>
  <r>
    <s v="T000113"/>
    <x v="110"/>
    <d v="2026-01-07T14:26:00"/>
    <x v="5"/>
    <s v="Field Visit"/>
    <x v="0"/>
    <s v="A047"/>
    <x v="1"/>
    <n v="72"/>
    <n v="23.7"/>
    <x v="1"/>
    <s v="No"/>
    <s v="No"/>
    <n v="4"/>
    <s v="Closed"/>
    <s v="January"/>
    <x v="0"/>
    <n v="2026"/>
    <s v="Yes"/>
    <n v="1"/>
    <x v="0"/>
    <n v="1"/>
  </r>
  <r>
    <s v="T000114"/>
    <x v="111"/>
    <d v="2026-01-07T10:44:00"/>
    <x v="4"/>
    <s v="Chat"/>
    <x v="1"/>
    <s v="A015"/>
    <x v="0"/>
    <n v="24"/>
    <n v="18.899999999999999"/>
    <x v="0"/>
    <s v="Yes"/>
    <s v="No"/>
    <m/>
    <s v="Closed"/>
    <s v="January"/>
    <x v="0"/>
    <n v="2026"/>
    <s v="Yes"/>
    <n v="1"/>
    <x v="3"/>
    <n v="0"/>
  </r>
  <r>
    <s v="T000115"/>
    <x v="112"/>
    <d v="2026-01-07T23:23:00"/>
    <x v="3"/>
    <s v="Field Visit"/>
    <x v="0"/>
    <s v="A047"/>
    <x v="1"/>
    <n v="72"/>
    <n v="31.3"/>
    <x v="1"/>
    <s v="No"/>
    <s v="No"/>
    <n v="5"/>
    <s v="Closed"/>
    <s v="January"/>
    <x v="0"/>
    <n v="2026"/>
    <s v="Yes"/>
    <n v="1"/>
    <x v="1"/>
    <n v="1"/>
  </r>
  <r>
    <s v="T000116"/>
    <x v="113"/>
    <d v="2026-01-07T01:21:00"/>
    <x v="2"/>
    <s v="Phone"/>
    <x v="1"/>
    <s v="A007"/>
    <x v="0"/>
    <n v="24"/>
    <n v="8.5"/>
    <x v="1"/>
    <s v="No"/>
    <s v="No"/>
    <m/>
    <s v="Closed"/>
    <s v="January"/>
    <x v="0"/>
    <n v="2026"/>
    <s v="Yes"/>
    <n v="1"/>
    <x v="2"/>
    <n v="1"/>
  </r>
  <r>
    <s v="T000117"/>
    <x v="114"/>
    <d v="2026-01-06T20:33:00"/>
    <x v="6"/>
    <s v="Chat"/>
    <x v="2"/>
    <s v="A009"/>
    <x v="0"/>
    <n v="4"/>
    <n v="3.4"/>
    <x v="0"/>
    <s v="Yes"/>
    <s v="No"/>
    <n v="4"/>
    <s v="Closed"/>
    <s v="January"/>
    <x v="0"/>
    <n v="2026"/>
    <s v="Yes"/>
    <n v="1"/>
    <x v="1"/>
    <n v="0"/>
  </r>
  <r>
    <s v="T000118"/>
    <x v="115"/>
    <d v="2026-01-07T21:45:00"/>
    <x v="5"/>
    <s v="Email"/>
    <x v="1"/>
    <s v="A016"/>
    <x v="2"/>
    <n v="24"/>
    <n v="12.4"/>
    <x v="0"/>
    <s v="No"/>
    <s v="No"/>
    <n v="5"/>
    <s v="Closed"/>
    <s v="January"/>
    <x v="0"/>
    <n v="2026"/>
    <s v="Yes"/>
    <n v="1"/>
    <x v="2"/>
    <n v="0"/>
  </r>
  <r>
    <s v="T000119"/>
    <x v="116"/>
    <d v="2026-01-08T01:17:00"/>
    <x v="4"/>
    <s v="Chat"/>
    <x v="0"/>
    <s v="A026"/>
    <x v="2"/>
    <n v="72"/>
    <n v="15.6"/>
    <x v="0"/>
    <s v="Yes"/>
    <s v="No"/>
    <n v="4"/>
    <s v="Closed"/>
    <s v="January"/>
    <x v="0"/>
    <n v="2026"/>
    <s v="Yes"/>
    <n v="1"/>
    <x v="0"/>
    <n v="0"/>
  </r>
  <r>
    <s v="T000120"/>
    <x v="117"/>
    <d v="2026-01-07T18:06:00"/>
    <x v="1"/>
    <s v="Phone"/>
    <x v="0"/>
    <s v="A035"/>
    <x v="2"/>
    <n v="72"/>
    <n v="8.3000000000000007"/>
    <x v="0"/>
    <s v="Yes"/>
    <s v="No"/>
    <n v="5"/>
    <s v="Closed"/>
    <s v="January"/>
    <x v="0"/>
    <n v="2026"/>
    <s v="Yes"/>
    <n v="1"/>
    <x v="0"/>
    <n v="0"/>
  </r>
  <r>
    <s v="T000121"/>
    <x v="118"/>
    <d v="2026-01-07T20:38:00"/>
    <x v="5"/>
    <s v="Field Visit"/>
    <x v="1"/>
    <s v="A038"/>
    <x v="1"/>
    <n v="24"/>
    <n v="10.5"/>
    <x v="1"/>
    <s v="No"/>
    <s v="No"/>
    <n v="5"/>
    <s v="Closed"/>
    <s v="January"/>
    <x v="0"/>
    <n v="2026"/>
    <s v="Yes"/>
    <n v="1"/>
    <x v="4"/>
    <n v="1"/>
  </r>
  <r>
    <s v="T000122"/>
    <x v="119"/>
    <d v="2026-01-07T15:38:00"/>
    <x v="1"/>
    <s v="Email"/>
    <x v="1"/>
    <s v="A031"/>
    <x v="2"/>
    <n v="24"/>
    <n v="4.8"/>
    <x v="1"/>
    <s v="No"/>
    <s v="No"/>
    <m/>
    <s v="Closed"/>
    <s v="January"/>
    <x v="0"/>
    <n v="2026"/>
    <s v="Yes"/>
    <n v="1"/>
    <x v="2"/>
    <n v="1"/>
  </r>
  <r>
    <s v="T000123"/>
    <x v="120"/>
    <d v="2026-01-07T22:26:00"/>
    <x v="1"/>
    <s v="Phone"/>
    <x v="1"/>
    <s v="A009"/>
    <x v="0"/>
    <n v="24"/>
    <n v="11.4"/>
    <x v="1"/>
    <s v="No"/>
    <s v="No"/>
    <n v="5"/>
    <s v="Closed"/>
    <s v="January"/>
    <x v="0"/>
    <n v="2026"/>
    <s v="Yes"/>
    <n v="1"/>
    <x v="3"/>
    <n v="1"/>
  </r>
  <r>
    <s v="T000124"/>
    <x v="121"/>
    <d v="2026-01-07T16:56:00"/>
    <x v="5"/>
    <s v="Chat"/>
    <x v="2"/>
    <s v="A059"/>
    <x v="1"/>
    <n v="4"/>
    <n v="5.4"/>
    <x v="1"/>
    <s v="No"/>
    <s v="No"/>
    <m/>
    <s v="Closed"/>
    <s v="January"/>
    <x v="0"/>
    <n v="2026"/>
    <s v="No"/>
    <n v="0"/>
    <x v="3"/>
    <n v="1"/>
  </r>
  <r>
    <s v="T000125"/>
    <x v="122"/>
    <d v="2026-01-07T16:05:00"/>
    <x v="5"/>
    <s v="Chat"/>
    <x v="1"/>
    <s v="A041"/>
    <x v="1"/>
    <n v="24"/>
    <n v="4.0999999999999996"/>
    <x v="1"/>
    <s v="No"/>
    <s v="No"/>
    <n v="5"/>
    <s v="Closed"/>
    <s v="January"/>
    <x v="0"/>
    <n v="2026"/>
    <s v="Yes"/>
    <n v="1"/>
    <x v="4"/>
    <n v="1"/>
  </r>
  <r>
    <s v="T000126"/>
    <x v="123"/>
    <d v="2026-01-08T08:40:00"/>
    <x v="4"/>
    <s v="Phone"/>
    <x v="1"/>
    <s v="A024"/>
    <x v="2"/>
    <n v="24"/>
    <n v="19.8"/>
    <x v="0"/>
    <s v="No"/>
    <s v="No"/>
    <m/>
    <s v="Closed"/>
    <s v="January"/>
    <x v="0"/>
    <n v="2026"/>
    <s v="Yes"/>
    <n v="1"/>
    <x v="1"/>
    <n v="0"/>
  </r>
  <r>
    <s v="T000127"/>
    <x v="124"/>
    <d v="2026-01-10T02:48:00"/>
    <x v="3"/>
    <s v="Email"/>
    <x v="1"/>
    <s v="A006"/>
    <x v="0"/>
    <n v="24"/>
    <n v="61.2"/>
    <x v="1"/>
    <s v="No"/>
    <s v="No"/>
    <m/>
    <s v="Closed"/>
    <s v="January"/>
    <x v="0"/>
    <n v="2026"/>
    <s v="No"/>
    <n v="0"/>
    <x v="4"/>
    <n v="1"/>
  </r>
  <r>
    <s v="T000128"/>
    <x v="125"/>
    <d v="2026-01-08T00:41:00"/>
    <x v="6"/>
    <s v="Chat"/>
    <x v="2"/>
    <s v="A017"/>
    <x v="2"/>
    <n v="4"/>
    <n v="9.8000000000000007"/>
    <x v="1"/>
    <s v="No"/>
    <s v="No"/>
    <n v="4"/>
    <s v="Closed"/>
    <s v="January"/>
    <x v="0"/>
    <n v="2026"/>
    <s v="No"/>
    <n v="0"/>
    <x v="2"/>
    <n v="1"/>
  </r>
  <r>
    <s v="T000129"/>
    <x v="126"/>
    <d v="2026-01-07T19:50:00"/>
    <x v="5"/>
    <s v="Phone"/>
    <x v="2"/>
    <s v="A054"/>
    <x v="1"/>
    <n v="4"/>
    <n v="3.5"/>
    <x v="1"/>
    <s v="No"/>
    <s v="Yes"/>
    <n v="5"/>
    <s v="Closed"/>
    <s v="January"/>
    <x v="0"/>
    <n v="2026"/>
    <s v="Yes"/>
    <n v="1"/>
    <x v="4"/>
    <n v="1"/>
  </r>
  <r>
    <s v="T000130"/>
    <x v="127"/>
    <d v="2026-01-08T07:10:00"/>
    <x v="0"/>
    <s v="Phone"/>
    <x v="0"/>
    <s v="A046"/>
    <x v="1"/>
    <n v="72"/>
    <n v="14.2"/>
    <x v="0"/>
    <s v="No"/>
    <s v="No"/>
    <n v="4"/>
    <s v="Closed"/>
    <s v="January"/>
    <x v="0"/>
    <n v="2026"/>
    <s v="Yes"/>
    <n v="1"/>
    <x v="0"/>
    <n v="0"/>
  </r>
  <r>
    <s v="T000131"/>
    <x v="128"/>
    <d v="2026-01-08T00:03:00"/>
    <x v="6"/>
    <s v="Phone"/>
    <x v="2"/>
    <s v="A033"/>
    <x v="2"/>
    <n v="4"/>
    <n v="5.9"/>
    <x v="0"/>
    <s v="No"/>
    <s v="No"/>
    <m/>
    <s v="Closed"/>
    <s v="January"/>
    <x v="0"/>
    <n v="2026"/>
    <s v="No"/>
    <n v="0"/>
    <x v="4"/>
    <n v="0"/>
  </r>
  <r>
    <s v="T000132"/>
    <x v="129"/>
    <d v="2026-01-08T02:30:00"/>
    <x v="1"/>
    <s v="Chat"/>
    <x v="0"/>
    <s v="A005"/>
    <x v="0"/>
    <n v="72"/>
    <n v="3.4"/>
    <x v="1"/>
    <s v="No"/>
    <s v="No"/>
    <m/>
    <s v="Closed"/>
    <s v="January"/>
    <x v="0"/>
    <n v="2026"/>
    <s v="Yes"/>
    <n v="1"/>
    <x v="2"/>
    <n v="1"/>
  </r>
  <r>
    <s v="T000133"/>
    <x v="130"/>
    <d v="2026-01-08T15:13:00"/>
    <x v="0"/>
    <s v="Phone"/>
    <x v="2"/>
    <s v="A047"/>
    <x v="1"/>
    <n v="4"/>
    <n v="10.3"/>
    <x v="1"/>
    <s v="No"/>
    <s v="Yes"/>
    <n v="4"/>
    <s v="Closed"/>
    <s v="January"/>
    <x v="0"/>
    <n v="2026"/>
    <s v="No"/>
    <n v="0"/>
    <x v="4"/>
    <n v="1"/>
  </r>
  <r>
    <s v="T000134"/>
    <x v="131"/>
    <d v="2026-01-13T04:12:00"/>
    <x v="4"/>
    <s v="Field Visit"/>
    <x v="0"/>
    <s v="A051"/>
    <x v="1"/>
    <n v="72"/>
    <n v="118.6"/>
    <x v="1"/>
    <s v="No"/>
    <s v="No"/>
    <n v="3"/>
    <s v="Closed"/>
    <s v="January"/>
    <x v="0"/>
    <n v="2026"/>
    <s v="No"/>
    <n v="0"/>
    <x v="4"/>
    <n v="1"/>
  </r>
  <r>
    <s v="T000135"/>
    <x v="132"/>
    <d v="2026-01-10T01:43:00"/>
    <x v="2"/>
    <s v="Field Visit"/>
    <x v="1"/>
    <s v="A033"/>
    <x v="2"/>
    <n v="24"/>
    <n v="43.6"/>
    <x v="1"/>
    <s v="No"/>
    <s v="No"/>
    <n v="5"/>
    <s v="Closed"/>
    <s v="January"/>
    <x v="0"/>
    <n v="2026"/>
    <s v="No"/>
    <n v="0"/>
    <x v="2"/>
    <n v="1"/>
  </r>
  <r>
    <s v="T000136"/>
    <x v="133"/>
    <d v="2026-01-09T06:14:00"/>
    <x v="3"/>
    <s v="Phone"/>
    <x v="1"/>
    <s v="A023"/>
    <x v="2"/>
    <n v="24"/>
    <n v="18.8"/>
    <x v="0"/>
    <s v="No"/>
    <s v="No"/>
    <n v="5"/>
    <s v="Closed"/>
    <s v="January"/>
    <x v="0"/>
    <n v="2026"/>
    <s v="Yes"/>
    <n v="1"/>
    <x v="3"/>
    <n v="0"/>
  </r>
  <r>
    <s v="T000137"/>
    <x v="134"/>
    <d v="2026-01-08T16:50:00"/>
    <x v="1"/>
    <s v="Chat"/>
    <x v="1"/>
    <s v="A059"/>
    <x v="1"/>
    <n v="24"/>
    <n v="5.3"/>
    <x v="1"/>
    <s v="No"/>
    <s v="No"/>
    <n v="5"/>
    <s v="Closed"/>
    <s v="January"/>
    <x v="0"/>
    <n v="2026"/>
    <s v="Yes"/>
    <n v="1"/>
    <x v="4"/>
    <n v="1"/>
  </r>
  <r>
    <s v="T000138"/>
    <x v="135"/>
    <d v="2026-01-08T20:13:00"/>
    <x v="3"/>
    <s v="Field Visit"/>
    <x v="2"/>
    <s v="A059"/>
    <x v="1"/>
    <n v="4"/>
    <n v="7.6"/>
    <x v="1"/>
    <s v="No"/>
    <s v="Yes"/>
    <n v="4"/>
    <s v="Closed"/>
    <s v="January"/>
    <x v="0"/>
    <n v="2026"/>
    <s v="No"/>
    <n v="0"/>
    <x v="0"/>
    <n v="1"/>
  </r>
  <r>
    <s v="T000139"/>
    <x v="136"/>
    <d v="2026-01-10T08:38:00"/>
    <x v="3"/>
    <s v="Field Visit"/>
    <x v="0"/>
    <s v="A059"/>
    <x v="1"/>
    <n v="72"/>
    <n v="41.8"/>
    <x v="1"/>
    <s v="No"/>
    <s v="No"/>
    <m/>
    <s v="Closed"/>
    <s v="January"/>
    <x v="0"/>
    <n v="2026"/>
    <s v="Yes"/>
    <n v="1"/>
    <x v="0"/>
    <n v="1"/>
  </r>
  <r>
    <s v="T000140"/>
    <x v="137"/>
    <d v="2026-01-09T11:31:00"/>
    <x v="0"/>
    <s v="Phone"/>
    <x v="1"/>
    <s v="A005"/>
    <x v="0"/>
    <n v="24"/>
    <n v="20.3"/>
    <x v="0"/>
    <s v="No"/>
    <s v="No"/>
    <n v="4"/>
    <s v="Closed"/>
    <s v="January"/>
    <x v="0"/>
    <n v="2026"/>
    <s v="Yes"/>
    <n v="1"/>
    <x v="3"/>
    <n v="0"/>
  </r>
  <r>
    <s v="T000141"/>
    <x v="138"/>
    <d v="2026-01-09T07:39:00"/>
    <x v="6"/>
    <s v="Phone"/>
    <x v="2"/>
    <s v="A002"/>
    <x v="0"/>
    <n v="4"/>
    <n v="16.399999999999999"/>
    <x v="1"/>
    <s v="No"/>
    <s v="No"/>
    <n v="5"/>
    <s v="Closed"/>
    <s v="January"/>
    <x v="0"/>
    <n v="2026"/>
    <s v="No"/>
    <n v="0"/>
    <x v="0"/>
    <n v="1"/>
  </r>
  <r>
    <s v="T000142"/>
    <x v="139"/>
    <d v="2026-01-10T19:56:00"/>
    <x v="2"/>
    <s v="Phone"/>
    <x v="1"/>
    <s v="A016"/>
    <x v="2"/>
    <n v="24"/>
    <n v="52.6"/>
    <x v="1"/>
    <s v="No"/>
    <s v="Yes"/>
    <n v="3"/>
    <s v="Closed"/>
    <s v="January"/>
    <x v="0"/>
    <n v="2026"/>
    <s v="No"/>
    <n v="0"/>
    <x v="1"/>
    <n v="1"/>
  </r>
  <r>
    <s v="T000143"/>
    <x v="140"/>
    <d v="2026-01-08T21:59:00"/>
    <x v="3"/>
    <s v="Phone"/>
    <x v="0"/>
    <s v="A028"/>
    <x v="2"/>
    <n v="72"/>
    <n v="6.2"/>
    <x v="1"/>
    <s v="No"/>
    <s v="No"/>
    <n v="5"/>
    <s v="Closed"/>
    <s v="January"/>
    <x v="0"/>
    <n v="2026"/>
    <s v="Yes"/>
    <n v="1"/>
    <x v="3"/>
    <n v="1"/>
  </r>
  <r>
    <s v="T000144"/>
    <x v="141"/>
    <d v="2026-01-09T00:15:00"/>
    <x v="6"/>
    <s v="Field Visit"/>
    <x v="2"/>
    <s v="A020"/>
    <x v="2"/>
    <n v="4"/>
    <n v="7.7"/>
    <x v="0"/>
    <s v="Yes"/>
    <s v="No"/>
    <n v="3"/>
    <s v="Closed"/>
    <s v="January"/>
    <x v="0"/>
    <n v="2026"/>
    <s v="No"/>
    <n v="0"/>
    <x v="1"/>
    <n v="0"/>
  </r>
  <r>
    <s v="T000146"/>
    <x v="142"/>
    <d v="2026-01-08T20:30:00"/>
    <x v="1"/>
    <s v="Chat"/>
    <x v="1"/>
    <s v="A027"/>
    <x v="2"/>
    <n v="24"/>
    <n v="3.3"/>
    <x v="1"/>
    <s v="No"/>
    <s v="No"/>
    <n v="5"/>
    <s v="Closed"/>
    <s v="January"/>
    <x v="0"/>
    <n v="2026"/>
    <s v="Yes"/>
    <n v="1"/>
    <x v="4"/>
    <n v="1"/>
  </r>
  <r>
    <s v="T000145"/>
    <x v="142"/>
    <d v="2026-01-09T00:00:00"/>
    <x v="2"/>
    <s v="Chat"/>
    <x v="0"/>
    <s v="A025"/>
    <x v="2"/>
    <n v="72"/>
    <n v="6.8"/>
    <x v="0"/>
    <s v="No"/>
    <s v="No"/>
    <n v="4"/>
    <s v="Closed"/>
    <s v="January"/>
    <x v="0"/>
    <n v="2026"/>
    <s v="Yes"/>
    <n v="1"/>
    <x v="1"/>
    <n v="0"/>
  </r>
  <r>
    <s v="T000147"/>
    <x v="143"/>
    <d v="2026-01-11T20:52:00"/>
    <x v="4"/>
    <s v="Field Visit"/>
    <x v="0"/>
    <s v="A054"/>
    <x v="1"/>
    <n v="72"/>
    <n v="75"/>
    <x v="0"/>
    <s v="Yes"/>
    <s v="No"/>
    <n v="4"/>
    <s v="Closed"/>
    <s v="January"/>
    <x v="0"/>
    <n v="2026"/>
    <s v="No"/>
    <n v="0"/>
    <x v="1"/>
    <n v="0"/>
  </r>
  <r>
    <s v="T000148"/>
    <x v="144"/>
    <d v="2026-01-09T00:28:00"/>
    <x v="2"/>
    <s v="Chat"/>
    <x v="0"/>
    <s v="A023"/>
    <x v="2"/>
    <n v="72"/>
    <n v="5.0999999999999996"/>
    <x v="1"/>
    <s v="No"/>
    <s v="No"/>
    <n v="4"/>
    <s v="Closed"/>
    <s v="January"/>
    <x v="0"/>
    <n v="2026"/>
    <s v="Yes"/>
    <n v="1"/>
    <x v="2"/>
    <n v="1"/>
  </r>
  <r>
    <s v="T000149"/>
    <x v="145"/>
    <d v="2026-01-09T21:14:00"/>
    <x v="1"/>
    <s v="Email"/>
    <x v="0"/>
    <s v="A047"/>
    <x v="1"/>
    <n v="72"/>
    <n v="12.8"/>
    <x v="1"/>
    <s v="No"/>
    <s v="No"/>
    <n v="5"/>
    <s v="Closed"/>
    <s v="January"/>
    <x v="0"/>
    <n v="2026"/>
    <s v="Yes"/>
    <n v="1"/>
    <x v="3"/>
    <n v="1"/>
  </r>
  <r>
    <s v="T000150"/>
    <x v="146"/>
    <d v="2026-01-10T21:59:00"/>
    <x v="3"/>
    <s v="Field Visit"/>
    <x v="1"/>
    <s v="A033"/>
    <x v="2"/>
    <n v="24"/>
    <n v="36.299999999999997"/>
    <x v="1"/>
    <s v="No"/>
    <s v="No"/>
    <n v="4"/>
    <s v="Closed"/>
    <s v="January"/>
    <x v="0"/>
    <n v="2026"/>
    <s v="No"/>
    <n v="0"/>
    <x v="1"/>
    <n v="1"/>
  </r>
  <r>
    <s v="T000151"/>
    <x v="147"/>
    <d v="2026-01-09T13:26:00"/>
    <x v="1"/>
    <s v="Chat"/>
    <x v="0"/>
    <s v="A011"/>
    <x v="0"/>
    <n v="72"/>
    <n v="3.7"/>
    <x v="1"/>
    <s v="No"/>
    <s v="No"/>
    <m/>
    <s v="Closed"/>
    <s v="January"/>
    <x v="0"/>
    <n v="2026"/>
    <s v="Yes"/>
    <n v="1"/>
    <x v="4"/>
    <n v="1"/>
  </r>
  <r>
    <s v="T000152"/>
    <x v="148"/>
    <d v="2026-01-09T15:56:00"/>
    <x v="3"/>
    <s v="Field Visit"/>
    <x v="0"/>
    <s v="A027"/>
    <x v="2"/>
    <n v="72"/>
    <n v="6.1"/>
    <x v="0"/>
    <s v="No"/>
    <s v="Yes"/>
    <n v="4"/>
    <s v="Closed"/>
    <s v="January"/>
    <x v="0"/>
    <n v="2026"/>
    <s v="Yes"/>
    <n v="1"/>
    <x v="3"/>
    <n v="0"/>
  </r>
  <r>
    <s v="T000153"/>
    <x v="149"/>
    <d v="2026-01-09T13:42:00"/>
    <x v="5"/>
    <s v="Phone"/>
    <x v="1"/>
    <s v="A042"/>
    <x v="1"/>
    <n v="24"/>
    <n v="2.6"/>
    <x v="0"/>
    <s v="No"/>
    <s v="Yes"/>
    <m/>
    <s v="Closed"/>
    <s v="January"/>
    <x v="0"/>
    <n v="2026"/>
    <s v="Yes"/>
    <n v="1"/>
    <x v="1"/>
    <n v="0"/>
  </r>
  <r>
    <s v="T000154"/>
    <x v="150"/>
    <d v="2026-01-09T15:40:00"/>
    <x v="6"/>
    <s v="Phone"/>
    <x v="0"/>
    <s v="A045"/>
    <x v="1"/>
    <n v="72"/>
    <n v="4.2"/>
    <x v="1"/>
    <s v="No"/>
    <s v="No"/>
    <n v="5"/>
    <s v="Closed"/>
    <s v="January"/>
    <x v="0"/>
    <n v="2026"/>
    <s v="Yes"/>
    <n v="1"/>
    <x v="4"/>
    <n v="1"/>
  </r>
  <r>
    <s v="T000155"/>
    <x v="151"/>
    <d v="2026-01-11T09:53:00"/>
    <x v="0"/>
    <s v="Field Visit"/>
    <x v="0"/>
    <s v="A033"/>
    <x v="2"/>
    <n v="72"/>
    <n v="45.6"/>
    <x v="1"/>
    <s v="No"/>
    <s v="No"/>
    <n v="3"/>
    <s v="Closed"/>
    <s v="January"/>
    <x v="0"/>
    <n v="2026"/>
    <s v="Yes"/>
    <n v="1"/>
    <x v="1"/>
    <n v="1"/>
  </r>
  <r>
    <s v="T000156"/>
    <x v="152"/>
    <d v="2026-01-09T17:50:00"/>
    <x v="5"/>
    <s v="Chat"/>
    <x v="0"/>
    <s v="A001"/>
    <x v="0"/>
    <n v="72"/>
    <n v="4.9000000000000004"/>
    <x v="0"/>
    <s v="Yes"/>
    <s v="Yes"/>
    <n v="5"/>
    <s v="Closed"/>
    <s v="January"/>
    <x v="0"/>
    <n v="2026"/>
    <s v="Yes"/>
    <n v="1"/>
    <x v="1"/>
    <n v="0"/>
  </r>
  <r>
    <s v="T000157"/>
    <x v="153"/>
    <d v="2026-01-14T00:42:00"/>
    <x v="4"/>
    <s v="Field Visit"/>
    <x v="1"/>
    <s v="A058"/>
    <x v="1"/>
    <n v="24"/>
    <n v="107.6"/>
    <x v="1"/>
    <s v="No"/>
    <s v="No"/>
    <n v="4"/>
    <s v="Closed"/>
    <s v="January"/>
    <x v="0"/>
    <n v="2026"/>
    <s v="No"/>
    <n v="0"/>
    <x v="1"/>
    <n v="1"/>
  </r>
  <r>
    <s v="T000158"/>
    <x v="154"/>
    <d v="2026-01-11T23:16:00"/>
    <x v="3"/>
    <s v="Field Visit"/>
    <x v="1"/>
    <s v="A013"/>
    <x v="0"/>
    <n v="24"/>
    <n v="57"/>
    <x v="0"/>
    <s v="Yes"/>
    <s v="No"/>
    <m/>
    <s v="Closed"/>
    <s v="January"/>
    <x v="0"/>
    <n v="2026"/>
    <s v="No"/>
    <n v="0"/>
    <x v="2"/>
    <n v="0"/>
  </r>
  <r>
    <s v="T000159"/>
    <x v="155"/>
    <d v="2026-01-09T21:06:00"/>
    <x v="0"/>
    <s v="Chat"/>
    <x v="1"/>
    <s v="A042"/>
    <x v="1"/>
    <n v="24"/>
    <n v="5.7"/>
    <x v="1"/>
    <s v="No"/>
    <s v="No"/>
    <m/>
    <s v="Closed"/>
    <s v="January"/>
    <x v="0"/>
    <n v="2026"/>
    <s v="Yes"/>
    <n v="1"/>
    <x v="4"/>
    <n v="1"/>
  </r>
  <r>
    <s v="T000160"/>
    <x v="156"/>
    <d v="2026-01-07T23:31:00"/>
    <x v="0"/>
    <s v="Phone"/>
    <x v="0"/>
    <s v="A026"/>
    <x v="2"/>
    <n v="72"/>
    <n v="23.9"/>
    <x v="1"/>
    <s v="No"/>
    <s v="No"/>
    <m/>
    <s v="Closed"/>
    <s v="January"/>
    <x v="0"/>
    <n v="2026"/>
    <s v="Yes"/>
    <n v="1"/>
    <x v="1"/>
    <n v="1"/>
  </r>
  <r>
    <s v="T000161"/>
    <x v="157"/>
    <d v="2026-01-09T19:38:00"/>
    <x v="0"/>
    <s v="Chat"/>
    <x v="1"/>
    <s v="A026"/>
    <x v="2"/>
    <n v="24"/>
    <n v="3.9"/>
    <x v="1"/>
    <s v="No"/>
    <s v="No"/>
    <n v="5"/>
    <s v="Closed"/>
    <s v="January"/>
    <x v="0"/>
    <n v="2026"/>
    <s v="Yes"/>
    <n v="1"/>
    <x v="4"/>
    <n v="1"/>
  </r>
  <r>
    <s v="T000162"/>
    <x v="158"/>
    <d v="2026-01-11T21:58:00"/>
    <x v="0"/>
    <s v="Email"/>
    <x v="1"/>
    <s v="A003"/>
    <x v="0"/>
    <n v="24"/>
    <n v="53.6"/>
    <x v="0"/>
    <s v="Yes"/>
    <s v="No"/>
    <n v="3"/>
    <s v="Closed"/>
    <s v="January"/>
    <x v="0"/>
    <n v="2026"/>
    <s v="No"/>
    <n v="0"/>
    <x v="2"/>
    <n v="0"/>
  </r>
  <r>
    <s v="T000163"/>
    <x v="159"/>
    <d v="2026-01-10T00:41:00"/>
    <x v="2"/>
    <s v="Chat"/>
    <x v="0"/>
    <s v="A033"/>
    <x v="2"/>
    <n v="72"/>
    <n v="8.1"/>
    <x v="0"/>
    <s v="No"/>
    <s v="No"/>
    <m/>
    <s v="Closed"/>
    <s v="January"/>
    <x v="0"/>
    <n v="2026"/>
    <s v="Yes"/>
    <n v="1"/>
    <x v="0"/>
    <n v="0"/>
  </r>
  <r>
    <s v="T000164"/>
    <x v="160"/>
    <d v="2026-01-10T08:26:00"/>
    <x v="3"/>
    <s v="Chat"/>
    <x v="0"/>
    <s v="A015"/>
    <x v="0"/>
    <n v="72"/>
    <n v="15.6"/>
    <x v="0"/>
    <s v="No"/>
    <s v="No"/>
    <n v="3"/>
    <s v="Closed"/>
    <s v="January"/>
    <x v="0"/>
    <n v="2026"/>
    <s v="Yes"/>
    <n v="1"/>
    <x v="0"/>
    <n v="0"/>
  </r>
  <r>
    <s v="T000165"/>
    <x v="161"/>
    <d v="2026-01-10T20:59:00"/>
    <x v="6"/>
    <s v="Field Visit"/>
    <x v="0"/>
    <s v="A053"/>
    <x v="1"/>
    <n v="72"/>
    <n v="21.6"/>
    <x v="1"/>
    <s v="No"/>
    <s v="No"/>
    <n v="3"/>
    <s v="Closed"/>
    <s v="January"/>
    <x v="0"/>
    <n v="2026"/>
    <s v="Yes"/>
    <n v="1"/>
    <x v="4"/>
    <n v="1"/>
  </r>
  <r>
    <s v="T000166"/>
    <x v="162"/>
    <d v="2026-01-10T12:33:00"/>
    <x v="3"/>
    <s v="Phone"/>
    <x v="0"/>
    <s v="A040"/>
    <x v="1"/>
    <n v="72"/>
    <n v="8.9"/>
    <x v="1"/>
    <s v="No"/>
    <s v="No"/>
    <n v="5"/>
    <s v="Closed"/>
    <s v="January"/>
    <x v="0"/>
    <n v="2026"/>
    <s v="Yes"/>
    <n v="1"/>
    <x v="3"/>
    <n v="1"/>
  </r>
  <r>
    <s v="T000167"/>
    <x v="163"/>
    <d v="2026-01-12T20:04:00"/>
    <x v="3"/>
    <s v="Field Visit"/>
    <x v="1"/>
    <s v="A023"/>
    <x v="2"/>
    <n v="24"/>
    <n v="61.2"/>
    <x v="0"/>
    <s v="Yes"/>
    <s v="No"/>
    <n v="1"/>
    <s v="Closed"/>
    <s v="January"/>
    <x v="0"/>
    <n v="2026"/>
    <s v="No"/>
    <n v="0"/>
    <x v="1"/>
    <n v="0"/>
  </r>
  <r>
    <s v="T000168"/>
    <x v="164"/>
    <d v="2026-01-10T13:41:00"/>
    <x v="6"/>
    <s v="Phone"/>
    <x v="2"/>
    <s v="A049"/>
    <x v="1"/>
    <n v="4"/>
    <n v="3.6"/>
    <x v="1"/>
    <s v="No"/>
    <s v="No"/>
    <m/>
    <s v="Closed"/>
    <s v="January"/>
    <x v="0"/>
    <n v="2026"/>
    <s v="Yes"/>
    <n v="1"/>
    <x v="1"/>
    <n v="1"/>
  </r>
  <r>
    <s v="T000169"/>
    <x v="165"/>
    <d v="2026-01-12T15:35:00"/>
    <x v="5"/>
    <s v="Field Visit"/>
    <x v="0"/>
    <s v="A042"/>
    <x v="1"/>
    <n v="72"/>
    <n v="53.2"/>
    <x v="0"/>
    <s v="No"/>
    <s v="Yes"/>
    <n v="5"/>
    <s v="Closed"/>
    <s v="January"/>
    <x v="0"/>
    <n v="2026"/>
    <s v="Yes"/>
    <n v="1"/>
    <x v="3"/>
    <n v="0"/>
  </r>
  <r>
    <s v="T000170"/>
    <x v="166"/>
    <d v="2026-01-11T00:57:00"/>
    <x v="6"/>
    <s v="Field Visit"/>
    <x v="0"/>
    <s v="A018"/>
    <x v="2"/>
    <n v="72"/>
    <n v="14.5"/>
    <x v="1"/>
    <s v="No"/>
    <s v="No"/>
    <n v="5"/>
    <s v="Closed"/>
    <s v="January"/>
    <x v="0"/>
    <n v="2026"/>
    <s v="Yes"/>
    <n v="1"/>
    <x v="1"/>
    <n v="1"/>
  </r>
  <r>
    <s v="T000171"/>
    <x v="167"/>
    <d v="2026-01-11T04:49:00"/>
    <x v="6"/>
    <s v="Chat"/>
    <x v="2"/>
    <s v="A004"/>
    <x v="0"/>
    <n v="4"/>
    <n v="17.2"/>
    <x v="1"/>
    <s v="No"/>
    <s v="No"/>
    <n v="4"/>
    <s v="Closed"/>
    <s v="January"/>
    <x v="0"/>
    <n v="2026"/>
    <s v="No"/>
    <n v="0"/>
    <x v="4"/>
    <n v="1"/>
  </r>
  <r>
    <s v="T000172"/>
    <x v="168"/>
    <d v="2026-01-10T15:23:00"/>
    <x v="1"/>
    <s v="Phone"/>
    <x v="2"/>
    <s v="A031"/>
    <x v="2"/>
    <n v="4"/>
    <n v="3.2"/>
    <x v="1"/>
    <s v="No"/>
    <s v="No"/>
    <n v="5"/>
    <s v="Closed"/>
    <s v="January"/>
    <x v="0"/>
    <n v="2026"/>
    <s v="Yes"/>
    <n v="1"/>
    <x v="1"/>
    <n v="1"/>
  </r>
  <r>
    <s v="T000173"/>
    <x v="169"/>
    <d v="2026-01-11T02:44:00"/>
    <x v="6"/>
    <s v="Phone"/>
    <x v="2"/>
    <s v="A055"/>
    <x v="1"/>
    <n v="4"/>
    <n v="14.2"/>
    <x v="1"/>
    <s v="No"/>
    <s v="No"/>
    <m/>
    <s v="Closed"/>
    <s v="January"/>
    <x v="0"/>
    <n v="2026"/>
    <s v="No"/>
    <n v="0"/>
    <x v="0"/>
    <n v="1"/>
  </r>
  <r>
    <s v="T000174"/>
    <x v="170"/>
    <d v="2026-01-13T00:55:00"/>
    <x v="3"/>
    <s v="Email"/>
    <x v="1"/>
    <s v="A033"/>
    <x v="2"/>
    <n v="24"/>
    <n v="59.5"/>
    <x v="1"/>
    <s v="No"/>
    <s v="No"/>
    <n v="5"/>
    <s v="Closed"/>
    <s v="January"/>
    <x v="0"/>
    <n v="2026"/>
    <s v="No"/>
    <n v="0"/>
    <x v="1"/>
    <n v="1"/>
  </r>
  <r>
    <s v="T000175"/>
    <x v="171"/>
    <d v="2026-01-12T16:04:00"/>
    <x v="4"/>
    <s v="Chat"/>
    <x v="1"/>
    <s v="A055"/>
    <x v="1"/>
    <n v="24"/>
    <n v="50.5"/>
    <x v="1"/>
    <s v="No"/>
    <s v="No"/>
    <n v="4"/>
    <s v="Closed"/>
    <s v="January"/>
    <x v="0"/>
    <n v="2026"/>
    <s v="No"/>
    <n v="0"/>
    <x v="2"/>
    <n v="1"/>
  </r>
  <r>
    <s v="T000176"/>
    <x v="172"/>
    <d v="2026-01-11T08:24:00"/>
    <x v="4"/>
    <s v="Chat"/>
    <x v="1"/>
    <s v="A014"/>
    <x v="0"/>
    <n v="24"/>
    <n v="18.5"/>
    <x v="0"/>
    <s v="Yes"/>
    <s v="No"/>
    <n v="4"/>
    <s v="Closed"/>
    <s v="January"/>
    <x v="0"/>
    <n v="2026"/>
    <s v="Yes"/>
    <n v="1"/>
    <x v="2"/>
    <n v="0"/>
  </r>
  <r>
    <s v="T000177"/>
    <x v="173"/>
    <d v="2026-01-11T18:30:00"/>
    <x v="2"/>
    <s v="Email"/>
    <x v="1"/>
    <s v="A058"/>
    <x v="1"/>
    <n v="24"/>
    <n v="27.4"/>
    <x v="1"/>
    <s v="No"/>
    <s v="Yes"/>
    <m/>
    <s v="Closed"/>
    <s v="January"/>
    <x v="0"/>
    <n v="2026"/>
    <s v="No"/>
    <n v="0"/>
    <x v="1"/>
    <n v="1"/>
  </r>
  <r>
    <s v="T000178"/>
    <x v="174"/>
    <d v="2026-01-11T03:46:00"/>
    <x v="2"/>
    <s v="Phone"/>
    <x v="1"/>
    <s v="A028"/>
    <x v="2"/>
    <n v="24"/>
    <n v="12.2"/>
    <x v="1"/>
    <s v="No"/>
    <s v="No"/>
    <n v="5"/>
    <s v="Closed"/>
    <s v="January"/>
    <x v="0"/>
    <n v="2026"/>
    <s v="Yes"/>
    <n v="1"/>
    <x v="3"/>
    <n v="1"/>
  </r>
  <r>
    <s v="T000179"/>
    <x v="175"/>
    <d v="2026-01-11T00:07:00"/>
    <x v="1"/>
    <s v="Email"/>
    <x v="1"/>
    <s v="A039"/>
    <x v="1"/>
    <n v="24"/>
    <n v="8.4"/>
    <x v="1"/>
    <s v="No"/>
    <s v="No"/>
    <m/>
    <s v="Closed"/>
    <s v="January"/>
    <x v="0"/>
    <n v="2026"/>
    <s v="Yes"/>
    <n v="1"/>
    <x v="3"/>
    <n v="1"/>
  </r>
  <r>
    <s v="T000180"/>
    <x v="176"/>
    <d v="2026-01-12T04:43:00"/>
    <x v="0"/>
    <s v="Field Visit"/>
    <x v="1"/>
    <s v="A004"/>
    <x v="0"/>
    <n v="24"/>
    <n v="35.799999999999997"/>
    <x v="1"/>
    <s v="No"/>
    <s v="No"/>
    <n v="5"/>
    <s v="Closed"/>
    <s v="January"/>
    <x v="0"/>
    <n v="2026"/>
    <s v="No"/>
    <n v="0"/>
    <x v="4"/>
    <n v="1"/>
  </r>
  <r>
    <s v="T000181"/>
    <x v="177"/>
    <d v="2026-01-11T04:55:00"/>
    <x v="6"/>
    <s v="Email"/>
    <x v="1"/>
    <s v="A054"/>
    <x v="1"/>
    <n v="24"/>
    <n v="11.9"/>
    <x v="1"/>
    <s v="No"/>
    <s v="Yes"/>
    <n v="5"/>
    <s v="Closed"/>
    <s v="January"/>
    <x v="0"/>
    <n v="2026"/>
    <s v="Yes"/>
    <n v="1"/>
    <x v="1"/>
    <n v="1"/>
  </r>
  <r>
    <s v="T000182"/>
    <x v="178"/>
    <d v="2026-01-10T22:09:00"/>
    <x v="2"/>
    <s v="Chat"/>
    <x v="0"/>
    <s v="A031"/>
    <x v="2"/>
    <n v="72"/>
    <n v="5.0999999999999996"/>
    <x v="1"/>
    <s v="No"/>
    <s v="No"/>
    <n v="5"/>
    <s v="Closed"/>
    <s v="January"/>
    <x v="0"/>
    <n v="2026"/>
    <s v="Yes"/>
    <n v="1"/>
    <x v="4"/>
    <n v="1"/>
  </r>
  <r>
    <s v="T000183"/>
    <x v="179"/>
    <d v="2026-01-10T20:55:00"/>
    <x v="1"/>
    <s v="Chat"/>
    <x v="1"/>
    <s v="A028"/>
    <x v="2"/>
    <n v="24"/>
    <n v="2.8"/>
    <x v="1"/>
    <s v="No"/>
    <s v="No"/>
    <n v="5"/>
    <s v="Closed"/>
    <s v="January"/>
    <x v="0"/>
    <n v="2026"/>
    <s v="Yes"/>
    <n v="1"/>
    <x v="3"/>
    <n v="1"/>
  </r>
  <r>
    <s v="T000184"/>
    <x v="180"/>
    <d v="2026-01-11T07:16:00"/>
    <x v="0"/>
    <s v="Chat"/>
    <x v="1"/>
    <s v="A058"/>
    <x v="1"/>
    <n v="24"/>
    <n v="12.4"/>
    <x v="1"/>
    <s v="No"/>
    <s v="No"/>
    <m/>
    <s v="Closed"/>
    <s v="January"/>
    <x v="0"/>
    <n v="2026"/>
    <s v="Yes"/>
    <n v="1"/>
    <x v="0"/>
    <n v="1"/>
  </r>
  <r>
    <s v="T000185"/>
    <x v="181"/>
    <d v="2026-01-11T09:50:00"/>
    <x v="5"/>
    <s v="Chat"/>
    <x v="1"/>
    <s v="A031"/>
    <x v="2"/>
    <n v="24"/>
    <n v="14.1"/>
    <x v="1"/>
    <s v="No"/>
    <s v="No"/>
    <m/>
    <s v="Closed"/>
    <s v="January"/>
    <x v="0"/>
    <n v="2026"/>
    <s v="Yes"/>
    <n v="1"/>
    <x v="2"/>
    <n v="1"/>
  </r>
  <r>
    <s v="T000186"/>
    <x v="182"/>
    <d v="2026-01-11T01:58:00"/>
    <x v="1"/>
    <s v="Chat"/>
    <x v="0"/>
    <s v="A046"/>
    <x v="1"/>
    <n v="72"/>
    <m/>
    <x v="1"/>
    <s v="No"/>
    <s v="No"/>
    <m/>
    <s v="Closed"/>
    <s v="January"/>
    <x v="0"/>
    <n v="2026"/>
    <m/>
    <m/>
    <x v="2"/>
    <n v="1"/>
  </r>
  <r>
    <s v="T000187"/>
    <x v="183"/>
    <d v="2026-01-11T06:28:00"/>
    <x v="2"/>
    <s v="Chat"/>
    <x v="1"/>
    <s v="A043"/>
    <x v="1"/>
    <n v="24"/>
    <n v="8.5"/>
    <x v="1"/>
    <s v="No"/>
    <s v="No"/>
    <n v="5"/>
    <s v="Closed"/>
    <s v="January"/>
    <x v="0"/>
    <n v="2026"/>
    <s v="Yes"/>
    <n v="1"/>
    <x v="2"/>
    <n v="1"/>
  </r>
  <r>
    <s v="T000188"/>
    <x v="184"/>
    <d v="2026-01-11T14:06:00"/>
    <x v="0"/>
    <s v="Phone"/>
    <x v="1"/>
    <s v="A057"/>
    <x v="1"/>
    <n v="24"/>
    <n v="15.9"/>
    <x v="1"/>
    <s v="No"/>
    <s v="No"/>
    <m/>
    <s v="Closed"/>
    <s v="January"/>
    <x v="0"/>
    <n v="2026"/>
    <s v="Yes"/>
    <n v="1"/>
    <x v="0"/>
    <n v="1"/>
  </r>
  <r>
    <s v="T000189"/>
    <x v="185"/>
    <d v="2026-01-11T01:48:00"/>
    <x v="0"/>
    <s v="Chat"/>
    <x v="1"/>
    <s v="A033"/>
    <x v="2"/>
    <n v="24"/>
    <n v="2.6"/>
    <x v="0"/>
    <s v="No"/>
    <s v="No"/>
    <m/>
    <s v="Closed"/>
    <s v="January"/>
    <x v="0"/>
    <n v="2026"/>
    <s v="Yes"/>
    <n v="1"/>
    <x v="2"/>
    <n v="0"/>
  </r>
  <r>
    <s v="T000190"/>
    <x v="186"/>
    <d v="2026-01-11T09:55:00"/>
    <x v="1"/>
    <s v="Chat"/>
    <x v="0"/>
    <s v="A040"/>
    <x v="1"/>
    <n v="72"/>
    <n v="6.9"/>
    <x v="0"/>
    <s v="Yes"/>
    <s v="No"/>
    <n v="4"/>
    <s v="Closed"/>
    <s v="January"/>
    <x v="0"/>
    <n v="2026"/>
    <s v="Yes"/>
    <n v="1"/>
    <x v="1"/>
    <n v="0"/>
  </r>
  <r>
    <s v="T000191"/>
    <x v="187"/>
    <d v="2026-01-12T23:07:00"/>
    <x v="1"/>
    <s v="Email"/>
    <x v="2"/>
    <s v="A001"/>
    <x v="0"/>
    <n v="4"/>
    <n v="39.200000000000003"/>
    <x v="0"/>
    <s v="No"/>
    <s v="No"/>
    <n v="3"/>
    <s v="Closed"/>
    <s v="January"/>
    <x v="0"/>
    <n v="2026"/>
    <s v="No"/>
    <n v="0"/>
    <x v="2"/>
    <n v="0"/>
  </r>
  <r>
    <s v="T000192"/>
    <x v="188"/>
    <d v="2026-01-11T16:44:00"/>
    <x v="2"/>
    <s v="Phone"/>
    <x v="1"/>
    <s v="A011"/>
    <x v="0"/>
    <n v="24"/>
    <n v="8.4"/>
    <x v="0"/>
    <s v="Yes"/>
    <s v="No"/>
    <n v="3"/>
    <s v="Closed"/>
    <s v="January"/>
    <x v="0"/>
    <n v="2026"/>
    <s v="Yes"/>
    <n v="1"/>
    <x v="2"/>
    <n v="0"/>
  </r>
  <r>
    <s v="T000193"/>
    <x v="189"/>
    <d v="2026-01-12T05:52:00"/>
    <x v="0"/>
    <s v="Phone"/>
    <x v="1"/>
    <s v="A016"/>
    <x v="2"/>
    <n v="24"/>
    <n v="20.2"/>
    <x v="1"/>
    <s v="No"/>
    <s v="No"/>
    <n v="5"/>
    <s v="Closed"/>
    <s v="January"/>
    <x v="0"/>
    <n v="2026"/>
    <s v="Yes"/>
    <n v="1"/>
    <x v="3"/>
    <n v="1"/>
  </r>
  <r>
    <s v="T000194"/>
    <x v="190"/>
    <d v="2026-01-16T20:06:00"/>
    <x v="3"/>
    <s v="Field Visit"/>
    <x v="1"/>
    <s v="A021"/>
    <x v="2"/>
    <n v="24"/>
    <n v="128.69999999999999"/>
    <x v="1"/>
    <s v="No"/>
    <s v="No"/>
    <m/>
    <s v="Closed"/>
    <s v="January"/>
    <x v="0"/>
    <n v="2026"/>
    <s v="No"/>
    <n v="0"/>
    <x v="0"/>
    <n v="1"/>
  </r>
  <r>
    <s v="T000195"/>
    <x v="191"/>
    <d v="2026-01-11T18:39:00"/>
    <x v="0"/>
    <s v="Chat"/>
    <x v="0"/>
    <s v="A029"/>
    <x v="2"/>
    <n v="72"/>
    <n v="6.6"/>
    <x v="1"/>
    <s v="No"/>
    <s v="No"/>
    <n v="4"/>
    <s v="Closed"/>
    <s v="January"/>
    <x v="0"/>
    <n v="2026"/>
    <s v="Yes"/>
    <n v="1"/>
    <x v="2"/>
    <n v="1"/>
  </r>
  <r>
    <s v="T000196"/>
    <x v="192"/>
    <d v="2026-01-13T03:01:00"/>
    <x v="3"/>
    <s v="Email"/>
    <x v="0"/>
    <s v="A029"/>
    <x v="2"/>
    <n v="72"/>
    <n v="38.299999999999997"/>
    <x v="1"/>
    <s v="No"/>
    <s v="No"/>
    <n v="4"/>
    <s v="Closed"/>
    <s v="January"/>
    <x v="0"/>
    <n v="2026"/>
    <s v="Yes"/>
    <n v="1"/>
    <x v="4"/>
    <n v="1"/>
  </r>
  <r>
    <s v="T000197"/>
    <x v="192"/>
    <d v="2026-01-12T02:49:00"/>
    <x v="5"/>
    <s v="Field Visit"/>
    <x v="1"/>
    <s v="A022"/>
    <x v="2"/>
    <n v="24"/>
    <n v="14.1"/>
    <x v="0"/>
    <s v="Yes"/>
    <s v="No"/>
    <n v="3"/>
    <s v="Closed"/>
    <s v="January"/>
    <x v="0"/>
    <n v="2026"/>
    <s v="Yes"/>
    <n v="1"/>
    <x v="4"/>
    <n v="0"/>
  </r>
  <r>
    <s v="T000198"/>
    <x v="193"/>
    <d v="2026-01-13T11:23:00"/>
    <x v="3"/>
    <s v="Field Visit"/>
    <x v="1"/>
    <s v="A032"/>
    <x v="2"/>
    <n v="24"/>
    <n v="46.1"/>
    <x v="1"/>
    <s v="No"/>
    <s v="No"/>
    <m/>
    <s v="Closed"/>
    <s v="January"/>
    <x v="0"/>
    <n v="2026"/>
    <s v="No"/>
    <n v="0"/>
    <x v="2"/>
    <n v="1"/>
  </r>
  <r>
    <s v="T000199"/>
    <x v="194"/>
    <d v="2026-01-12T16:24:00"/>
    <x v="0"/>
    <s v="Phone"/>
    <x v="2"/>
    <s v="A053"/>
    <x v="1"/>
    <n v="4"/>
    <n v="27.1"/>
    <x v="1"/>
    <s v="No"/>
    <s v="No"/>
    <n v="5"/>
    <s v="Closed"/>
    <s v="January"/>
    <x v="0"/>
    <n v="2026"/>
    <s v="No"/>
    <n v="0"/>
    <x v="2"/>
    <n v="1"/>
  </r>
  <r>
    <s v="T000200"/>
    <x v="195"/>
    <d v="2026-01-12T14:06:00"/>
    <x v="1"/>
    <s v="Email"/>
    <x v="1"/>
    <s v="A014"/>
    <x v="0"/>
    <n v="24"/>
    <n v="24.4"/>
    <x v="0"/>
    <s v="No"/>
    <s v="No"/>
    <n v="3"/>
    <s v="Closed"/>
    <s v="January"/>
    <x v="0"/>
    <n v="2026"/>
    <s v="No"/>
    <n v="0"/>
    <x v="0"/>
    <n v="0"/>
  </r>
  <r>
    <s v="T000201"/>
    <x v="196"/>
    <d v="2026-01-11T20:53:00"/>
    <x v="2"/>
    <s v="Chat"/>
    <x v="1"/>
    <s v="A047"/>
    <x v="1"/>
    <n v="24"/>
    <n v="5.8"/>
    <x v="1"/>
    <s v="No"/>
    <s v="No"/>
    <m/>
    <s v="Closed"/>
    <s v="January"/>
    <x v="0"/>
    <n v="2026"/>
    <s v="Yes"/>
    <n v="1"/>
    <x v="3"/>
    <n v="1"/>
  </r>
  <r>
    <s v="T000202"/>
    <x v="197"/>
    <d v="2026-01-12T13:15:00"/>
    <x v="0"/>
    <s v="Email"/>
    <x v="0"/>
    <s v="A035"/>
    <x v="2"/>
    <n v="72"/>
    <n v="21.7"/>
    <x v="0"/>
    <s v="Yes"/>
    <s v="No"/>
    <n v="2"/>
    <s v="Closed"/>
    <s v="January"/>
    <x v="0"/>
    <n v="2026"/>
    <s v="Yes"/>
    <n v="1"/>
    <x v="1"/>
    <n v="0"/>
  </r>
  <r>
    <s v="T000203"/>
    <x v="198"/>
    <d v="2026-01-12T13:20:00"/>
    <x v="2"/>
    <s v="Chat"/>
    <x v="0"/>
    <s v="A030"/>
    <x v="2"/>
    <n v="72"/>
    <n v="21.7"/>
    <x v="1"/>
    <s v="No"/>
    <s v="No"/>
    <n v="5"/>
    <s v="Closed"/>
    <s v="January"/>
    <x v="0"/>
    <n v="2026"/>
    <s v="Yes"/>
    <n v="1"/>
    <x v="3"/>
    <n v="1"/>
  </r>
  <r>
    <s v="T000204"/>
    <x v="199"/>
    <d v="2026-01-11T23:42:00"/>
    <x v="0"/>
    <s v="Chat"/>
    <x v="0"/>
    <s v="A049"/>
    <x v="1"/>
    <n v="72"/>
    <n v="7.3"/>
    <x v="1"/>
    <s v="No"/>
    <s v="No"/>
    <n v="4"/>
    <s v="Closed"/>
    <s v="January"/>
    <x v="0"/>
    <n v="2026"/>
    <s v="Yes"/>
    <n v="1"/>
    <x v="3"/>
    <n v="1"/>
  </r>
  <r>
    <s v="T000205"/>
    <x v="200"/>
    <d v="2026-01-13T10:11:00"/>
    <x v="1"/>
    <s v="Email"/>
    <x v="0"/>
    <s v="A008"/>
    <x v="0"/>
    <n v="72"/>
    <n v="41.1"/>
    <x v="1"/>
    <s v="No"/>
    <s v="No"/>
    <m/>
    <s v="Closed"/>
    <s v="January"/>
    <x v="0"/>
    <n v="2026"/>
    <s v="Yes"/>
    <n v="1"/>
    <x v="4"/>
    <n v="1"/>
  </r>
  <r>
    <s v="T000206"/>
    <x v="201"/>
    <d v="2026-01-24T15:42:00"/>
    <x v="3"/>
    <s v="Field Visit"/>
    <x v="2"/>
    <s v="A014"/>
    <x v="0"/>
    <n v="4"/>
    <n v="301.39999999999998"/>
    <x v="0"/>
    <s v="Yes"/>
    <s v="No"/>
    <m/>
    <s v="Closed"/>
    <s v="January"/>
    <x v="0"/>
    <n v="2026"/>
    <s v="No"/>
    <n v="0"/>
    <x v="1"/>
    <n v="0"/>
  </r>
  <r>
    <s v="T000207"/>
    <x v="202"/>
    <d v="2026-01-13T02:57:00"/>
    <x v="5"/>
    <s v="Email"/>
    <x v="1"/>
    <s v="A007"/>
    <x v="0"/>
    <n v="24"/>
    <n v="20"/>
    <x v="1"/>
    <s v="No"/>
    <s v="No"/>
    <n v="5"/>
    <s v="Closed"/>
    <s v="January"/>
    <x v="0"/>
    <n v="2026"/>
    <s v="Yes"/>
    <n v="1"/>
    <x v="1"/>
    <n v="1"/>
  </r>
  <r>
    <s v="T000208"/>
    <x v="203"/>
    <d v="2026-01-15T23:39:00"/>
    <x v="4"/>
    <s v="Field Visit"/>
    <x v="2"/>
    <s v="A009"/>
    <x v="0"/>
    <n v="4"/>
    <n v="85.2"/>
    <x v="0"/>
    <s v="Yes"/>
    <s v="No"/>
    <n v="3"/>
    <s v="Closed"/>
    <s v="January"/>
    <x v="0"/>
    <n v="2026"/>
    <s v="No"/>
    <n v="0"/>
    <x v="3"/>
    <n v="0"/>
  </r>
  <r>
    <s v="T000209"/>
    <x v="204"/>
    <d v="2026-01-12T19:14:00"/>
    <x v="0"/>
    <s v="Phone"/>
    <x v="1"/>
    <s v="A027"/>
    <x v="2"/>
    <n v="24"/>
    <n v="8.1999999999999993"/>
    <x v="1"/>
    <s v="No"/>
    <s v="No"/>
    <n v="5"/>
    <s v="Closed"/>
    <s v="January"/>
    <x v="0"/>
    <n v="2026"/>
    <s v="Yes"/>
    <n v="1"/>
    <x v="0"/>
    <n v="1"/>
  </r>
  <r>
    <s v="T000210"/>
    <x v="205"/>
    <d v="2026-01-13T10:53:00"/>
    <x v="4"/>
    <s v="Chat"/>
    <x v="2"/>
    <s v="A023"/>
    <x v="2"/>
    <n v="4"/>
    <n v="23.7"/>
    <x v="0"/>
    <s v="No"/>
    <s v="No"/>
    <n v="4"/>
    <s v="Closed"/>
    <s v="January"/>
    <x v="0"/>
    <n v="2026"/>
    <s v="No"/>
    <n v="0"/>
    <x v="1"/>
    <n v="0"/>
  </r>
  <r>
    <s v="T000211"/>
    <x v="206"/>
    <d v="2026-01-13T19:15:00"/>
    <x v="5"/>
    <s v="Field Visit"/>
    <x v="1"/>
    <s v="A052"/>
    <x v="1"/>
    <n v="24"/>
    <n v="32"/>
    <x v="1"/>
    <s v="No"/>
    <s v="No"/>
    <n v="5"/>
    <s v="Closed"/>
    <s v="January"/>
    <x v="0"/>
    <n v="2026"/>
    <s v="No"/>
    <n v="0"/>
    <x v="4"/>
    <n v="1"/>
  </r>
  <r>
    <s v="T000212"/>
    <x v="207"/>
    <d v="2026-01-12T23:25:00"/>
    <x v="3"/>
    <s v="Chat"/>
    <x v="2"/>
    <s v="A015"/>
    <x v="0"/>
    <n v="4"/>
    <n v="11.1"/>
    <x v="0"/>
    <s v="No"/>
    <s v="No"/>
    <n v="4"/>
    <s v="Closed"/>
    <s v="January"/>
    <x v="0"/>
    <n v="2026"/>
    <s v="No"/>
    <n v="0"/>
    <x v="2"/>
    <n v="0"/>
  </r>
  <r>
    <s v="T000213"/>
    <x v="208"/>
    <d v="2026-01-12T21:19:00"/>
    <x v="5"/>
    <s v="Phone"/>
    <x v="2"/>
    <s v="A028"/>
    <x v="2"/>
    <n v="4"/>
    <n v="8.6"/>
    <x v="1"/>
    <s v="No"/>
    <s v="Yes"/>
    <n v="1"/>
    <s v="Closed"/>
    <s v="January"/>
    <x v="0"/>
    <n v="2026"/>
    <s v="No"/>
    <n v="0"/>
    <x v="2"/>
    <n v="1"/>
  </r>
  <r>
    <s v="T000214"/>
    <x v="209"/>
    <d v="2026-01-12T21:03:00"/>
    <x v="6"/>
    <s v="Phone"/>
    <x v="2"/>
    <s v="A055"/>
    <x v="1"/>
    <n v="4"/>
    <n v="6.2"/>
    <x v="1"/>
    <s v="No"/>
    <s v="No"/>
    <m/>
    <s v="Closed"/>
    <s v="January"/>
    <x v="0"/>
    <n v="2026"/>
    <s v="No"/>
    <n v="0"/>
    <x v="3"/>
    <n v="1"/>
  </r>
  <r>
    <s v="T000215"/>
    <x v="210"/>
    <d v="2026-01-13T11:17:00"/>
    <x v="6"/>
    <s v="Field Visit"/>
    <x v="2"/>
    <s v="A009"/>
    <x v="0"/>
    <n v="4"/>
    <n v="17.5"/>
    <x v="1"/>
    <s v="No"/>
    <s v="No"/>
    <n v="5"/>
    <s v="Closed"/>
    <s v="January"/>
    <x v="0"/>
    <n v="2026"/>
    <s v="No"/>
    <n v="0"/>
    <x v="1"/>
    <n v="1"/>
  </r>
  <r>
    <s v="T000216"/>
    <x v="211"/>
    <d v="2026-01-12T21:36:00"/>
    <x v="1"/>
    <s v="Chat"/>
    <x v="0"/>
    <s v="A051"/>
    <x v="1"/>
    <n v="72"/>
    <n v="2.2000000000000002"/>
    <x v="1"/>
    <s v="No"/>
    <s v="No"/>
    <n v="5"/>
    <s v="Closed"/>
    <s v="January"/>
    <x v="0"/>
    <n v="2026"/>
    <s v="Yes"/>
    <n v="1"/>
    <x v="3"/>
    <n v="1"/>
  </r>
  <r>
    <s v="T000217"/>
    <x v="212"/>
    <d v="2026-01-13T00:23:00"/>
    <x v="3"/>
    <s v="Chat"/>
    <x v="2"/>
    <s v="A059"/>
    <x v="1"/>
    <n v="4"/>
    <n v="4.5999999999999996"/>
    <x v="0"/>
    <s v="Yes"/>
    <s v="No"/>
    <n v="2"/>
    <s v="Closed"/>
    <s v="January"/>
    <x v="0"/>
    <n v="2026"/>
    <s v="No"/>
    <n v="0"/>
    <x v="0"/>
    <n v="0"/>
  </r>
  <r>
    <s v="T000218"/>
    <x v="213"/>
    <d v="2026-01-13T16:02:00"/>
    <x v="0"/>
    <s v="Field Visit"/>
    <x v="1"/>
    <s v="A029"/>
    <x v="2"/>
    <n v="24"/>
    <n v="20"/>
    <x v="1"/>
    <s v="No"/>
    <s v="No"/>
    <m/>
    <s v="Closed"/>
    <s v="January"/>
    <x v="0"/>
    <n v="2026"/>
    <s v="Yes"/>
    <n v="1"/>
    <x v="2"/>
    <n v="1"/>
  </r>
  <r>
    <s v="T000219"/>
    <x v="214"/>
    <d v="2026-01-13T01:21:00"/>
    <x v="0"/>
    <s v="Phone"/>
    <x v="1"/>
    <s v="A007"/>
    <x v="0"/>
    <n v="24"/>
    <n v="4.8"/>
    <x v="0"/>
    <s v="Yes"/>
    <s v="No"/>
    <n v="5"/>
    <s v="Closed"/>
    <s v="January"/>
    <x v="0"/>
    <n v="2026"/>
    <s v="Yes"/>
    <n v="1"/>
    <x v="1"/>
    <n v="0"/>
  </r>
  <r>
    <s v="T000220"/>
    <x v="215"/>
    <d v="2026-01-13T08:16:00"/>
    <x v="1"/>
    <s v="Phone"/>
    <x v="0"/>
    <s v="A002"/>
    <x v="0"/>
    <n v="72"/>
    <n v="8.9"/>
    <x v="1"/>
    <s v="No"/>
    <s v="No"/>
    <m/>
    <s v="Closed"/>
    <s v="January"/>
    <x v="0"/>
    <n v="2026"/>
    <s v="Yes"/>
    <n v="1"/>
    <x v="4"/>
    <n v="1"/>
  </r>
  <r>
    <s v="T000221"/>
    <x v="216"/>
    <d v="2026-01-13T14:49:00"/>
    <x v="2"/>
    <s v="Chat"/>
    <x v="2"/>
    <s v="A027"/>
    <x v="2"/>
    <n v="4"/>
    <n v="10.3"/>
    <x v="1"/>
    <s v="No"/>
    <s v="Yes"/>
    <m/>
    <s v="Closed"/>
    <s v="January"/>
    <x v="0"/>
    <n v="2026"/>
    <s v="No"/>
    <n v="0"/>
    <x v="4"/>
    <n v="1"/>
  </r>
  <r>
    <s v="T000222"/>
    <x v="217"/>
    <d v="2026-01-13T18:25:00"/>
    <x v="1"/>
    <s v="Email"/>
    <x v="0"/>
    <s v="A052"/>
    <x v="1"/>
    <n v="72"/>
    <n v="13.3"/>
    <x v="1"/>
    <s v="No"/>
    <s v="No"/>
    <m/>
    <s v="Closed"/>
    <s v="January"/>
    <x v="0"/>
    <n v="2026"/>
    <s v="Yes"/>
    <n v="1"/>
    <x v="0"/>
    <n v="1"/>
  </r>
  <r>
    <s v="T000223"/>
    <x v="218"/>
    <d v="2026-01-14T00:52:00"/>
    <x v="3"/>
    <s v="Chat"/>
    <x v="1"/>
    <s v="A046"/>
    <x v="1"/>
    <n v="24"/>
    <n v="15.6"/>
    <x v="0"/>
    <s v="No"/>
    <s v="No"/>
    <n v="3"/>
    <s v="Closed"/>
    <s v="January"/>
    <x v="0"/>
    <n v="2026"/>
    <s v="Yes"/>
    <n v="1"/>
    <x v="4"/>
    <n v="0"/>
  </r>
  <r>
    <s v="T000224"/>
    <x v="219"/>
    <d v="2026-01-13T21:53:00"/>
    <x v="1"/>
    <s v="Phone"/>
    <x v="0"/>
    <s v="A047"/>
    <x v="1"/>
    <n v="72"/>
    <n v="11.8"/>
    <x v="1"/>
    <s v="No"/>
    <s v="No"/>
    <n v="5"/>
    <s v="Closed"/>
    <s v="January"/>
    <x v="0"/>
    <n v="2026"/>
    <s v="Yes"/>
    <n v="1"/>
    <x v="4"/>
    <n v="1"/>
  </r>
  <r>
    <s v="T000225"/>
    <x v="220"/>
    <d v="2026-01-13T19:33:00"/>
    <x v="1"/>
    <s v="Chat"/>
    <x v="0"/>
    <s v="A009"/>
    <x v="0"/>
    <n v="72"/>
    <n v="8.6"/>
    <x v="1"/>
    <s v="No"/>
    <s v="No"/>
    <n v="5"/>
    <s v="Closed"/>
    <s v="January"/>
    <x v="0"/>
    <n v="2026"/>
    <s v="Yes"/>
    <n v="1"/>
    <x v="4"/>
    <n v="1"/>
  </r>
  <r>
    <s v="T000226"/>
    <x v="221"/>
    <d v="2026-01-14T11:57:00"/>
    <x v="3"/>
    <s v="Field Visit"/>
    <x v="1"/>
    <s v="A024"/>
    <x v="2"/>
    <n v="24"/>
    <n v="24.8"/>
    <x v="0"/>
    <s v="No"/>
    <s v="No"/>
    <m/>
    <s v="Closed"/>
    <s v="January"/>
    <x v="0"/>
    <n v="2026"/>
    <s v="No"/>
    <n v="0"/>
    <x v="3"/>
    <n v="0"/>
  </r>
  <r>
    <s v="T000227"/>
    <x v="222"/>
    <d v="2026-01-13T18:43:00"/>
    <x v="6"/>
    <s v="Chat"/>
    <x v="0"/>
    <s v="A020"/>
    <x v="2"/>
    <n v="72"/>
    <n v="7.5"/>
    <x v="1"/>
    <s v="No"/>
    <s v="No"/>
    <n v="5"/>
    <s v="Closed"/>
    <s v="January"/>
    <x v="0"/>
    <n v="2026"/>
    <s v="Yes"/>
    <n v="1"/>
    <x v="2"/>
    <n v="1"/>
  </r>
  <r>
    <s v="T000228"/>
    <x v="223"/>
    <d v="2026-01-13T16:17:00"/>
    <x v="3"/>
    <s v="Chat"/>
    <x v="1"/>
    <s v="A044"/>
    <x v="1"/>
    <n v="24"/>
    <n v="5"/>
    <x v="1"/>
    <s v="No"/>
    <s v="No"/>
    <n v="3"/>
    <s v="Closed"/>
    <s v="January"/>
    <x v="0"/>
    <n v="2026"/>
    <s v="Yes"/>
    <n v="1"/>
    <x v="2"/>
    <n v="1"/>
  </r>
  <r>
    <s v="T000229"/>
    <x v="224"/>
    <d v="2026-01-14T03:09:00"/>
    <x v="0"/>
    <s v="Field Visit"/>
    <x v="1"/>
    <s v="A036"/>
    <x v="1"/>
    <n v="24"/>
    <n v="15.5"/>
    <x v="1"/>
    <s v="No"/>
    <s v="No"/>
    <m/>
    <s v="Closed"/>
    <s v="January"/>
    <x v="0"/>
    <n v="2026"/>
    <s v="Yes"/>
    <n v="1"/>
    <x v="1"/>
    <n v="1"/>
  </r>
  <r>
    <s v="T000230"/>
    <x v="225"/>
    <d v="2026-01-15T00:25:00"/>
    <x v="0"/>
    <s v="Field Visit"/>
    <x v="0"/>
    <s v="A032"/>
    <x v="2"/>
    <n v="72"/>
    <n v="36.700000000000003"/>
    <x v="1"/>
    <s v="No"/>
    <s v="Yes"/>
    <m/>
    <s v="Closed"/>
    <s v="January"/>
    <x v="0"/>
    <n v="2026"/>
    <s v="Yes"/>
    <n v="1"/>
    <x v="3"/>
    <n v="1"/>
  </r>
  <r>
    <s v="T000231"/>
    <x v="226"/>
    <d v="2026-01-18T23:11:00"/>
    <x v="4"/>
    <s v="Email"/>
    <x v="2"/>
    <s v="A034"/>
    <x v="2"/>
    <n v="4"/>
    <n v="131.4"/>
    <x v="0"/>
    <s v="Yes"/>
    <s v="No"/>
    <n v="3"/>
    <s v="Closed"/>
    <s v="January"/>
    <x v="0"/>
    <n v="2026"/>
    <s v="No"/>
    <n v="0"/>
    <x v="3"/>
    <n v="0"/>
  </r>
  <r>
    <s v="T000232"/>
    <x v="227"/>
    <d v="2026-01-17T22:27:00"/>
    <x v="4"/>
    <s v="Field Visit"/>
    <x v="1"/>
    <s v="A024"/>
    <x v="2"/>
    <n v="24"/>
    <n v="105.1"/>
    <x v="1"/>
    <s v="No"/>
    <s v="Yes"/>
    <n v="4"/>
    <s v="Closed"/>
    <s v="January"/>
    <x v="0"/>
    <n v="2026"/>
    <s v="No"/>
    <n v="0"/>
    <x v="3"/>
    <n v="1"/>
  </r>
  <r>
    <s v="T000233"/>
    <x v="228"/>
    <d v="2026-01-14T00:04:00"/>
    <x v="6"/>
    <s v="Phone"/>
    <x v="2"/>
    <s v="A011"/>
    <x v="0"/>
    <n v="4"/>
    <n v="9.6999999999999993"/>
    <x v="0"/>
    <s v="Yes"/>
    <s v="No"/>
    <m/>
    <s v="Closed"/>
    <s v="January"/>
    <x v="0"/>
    <n v="2026"/>
    <s v="No"/>
    <n v="0"/>
    <x v="1"/>
    <n v="0"/>
  </r>
  <r>
    <s v="T000234"/>
    <x v="229"/>
    <d v="2026-01-14T04:39:00"/>
    <x v="3"/>
    <s v="Field Visit"/>
    <x v="0"/>
    <s v="A024"/>
    <x v="2"/>
    <n v="72"/>
    <n v="12.6"/>
    <x v="0"/>
    <s v="Yes"/>
    <s v="No"/>
    <n v="4"/>
    <s v="Closed"/>
    <s v="January"/>
    <x v="0"/>
    <n v="2026"/>
    <s v="Yes"/>
    <n v="1"/>
    <x v="1"/>
    <n v="0"/>
  </r>
  <r>
    <s v="T000235"/>
    <x v="230"/>
    <d v="2026-01-14T08:20:00"/>
    <x v="5"/>
    <s v="Phone"/>
    <x v="0"/>
    <s v="A032"/>
    <x v="2"/>
    <n v="72"/>
    <n v="15.8"/>
    <x v="1"/>
    <s v="No"/>
    <s v="No"/>
    <n v="5"/>
    <s v="Closed"/>
    <s v="January"/>
    <x v="0"/>
    <n v="2026"/>
    <s v="Yes"/>
    <n v="1"/>
    <x v="1"/>
    <n v="1"/>
  </r>
  <r>
    <s v="T000236"/>
    <x v="231"/>
    <d v="2026-01-17T01:33:00"/>
    <x v="4"/>
    <s v="Email"/>
    <x v="1"/>
    <s v="A007"/>
    <x v="0"/>
    <n v="24"/>
    <n v="80.3"/>
    <x v="0"/>
    <s v="No"/>
    <s v="No"/>
    <n v="4"/>
    <s v="Closed"/>
    <s v="January"/>
    <x v="0"/>
    <n v="2026"/>
    <s v="No"/>
    <n v="0"/>
    <x v="2"/>
    <n v="0"/>
  </r>
  <r>
    <s v="T000237"/>
    <x v="232"/>
    <d v="2026-01-13T20:56:00"/>
    <x v="1"/>
    <s v="Phone"/>
    <x v="0"/>
    <s v="A042"/>
    <x v="1"/>
    <n v="72"/>
    <n v="2.7"/>
    <x v="1"/>
    <s v="No"/>
    <s v="No"/>
    <n v="5"/>
    <s v="Closed"/>
    <s v="January"/>
    <x v="0"/>
    <n v="2026"/>
    <s v="Yes"/>
    <n v="1"/>
    <x v="1"/>
    <n v="1"/>
  </r>
  <r>
    <s v="T000238"/>
    <x v="233"/>
    <d v="2026-01-13T20:49:00"/>
    <x v="1"/>
    <s v="Chat"/>
    <x v="0"/>
    <s v="A029"/>
    <x v="2"/>
    <n v="72"/>
    <n v="2.4"/>
    <x v="0"/>
    <s v="No"/>
    <s v="Yes"/>
    <n v="5"/>
    <s v="Closed"/>
    <s v="January"/>
    <x v="0"/>
    <n v="2026"/>
    <s v="Yes"/>
    <n v="1"/>
    <x v="2"/>
    <n v="0"/>
  </r>
  <r>
    <s v="T000239"/>
    <x v="234"/>
    <d v="2026-01-13T23:21:00"/>
    <x v="6"/>
    <s v="Phone"/>
    <x v="2"/>
    <s v="A020"/>
    <x v="2"/>
    <n v="4"/>
    <n v="4.5"/>
    <x v="1"/>
    <s v="No"/>
    <s v="No"/>
    <n v="4"/>
    <s v="Closed"/>
    <s v="January"/>
    <x v="0"/>
    <n v="2026"/>
    <s v="No"/>
    <n v="0"/>
    <x v="0"/>
    <n v="1"/>
  </r>
  <r>
    <s v="T000240"/>
    <x v="235"/>
    <d v="2026-01-17T05:02:00"/>
    <x v="0"/>
    <s v="Field Visit"/>
    <x v="0"/>
    <s v="A007"/>
    <x v="0"/>
    <n v="72"/>
    <n v="69.900000000000006"/>
    <x v="0"/>
    <s v="Yes"/>
    <s v="No"/>
    <n v="3"/>
    <s v="Closed"/>
    <s v="January"/>
    <x v="0"/>
    <n v="2026"/>
    <s v="Yes"/>
    <n v="1"/>
    <x v="4"/>
    <n v="0"/>
  </r>
  <r>
    <s v="T000241"/>
    <x v="236"/>
    <d v="2026-01-15T12:08:00"/>
    <x v="2"/>
    <s v="Field Visit"/>
    <x v="1"/>
    <s v="A052"/>
    <x v="1"/>
    <n v="24"/>
    <n v="27.8"/>
    <x v="0"/>
    <s v="No"/>
    <s v="No"/>
    <n v="4"/>
    <s v="Closed"/>
    <s v="January"/>
    <x v="0"/>
    <n v="2026"/>
    <s v="No"/>
    <n v="0"/>
    <x v="3"/>
    <n v="0"/>
  </r>
  <r>
    <s v="T000242"/>
    <x v="237"/>
    <d v="2026-01-14T13:59:00"/>
    <x v="0"/>
    <s v="Phone"/>
    <x v="1"/>
    <s v="A058"/>
    <x v="1"/>
    <n v="24"/>
    <n v="5.0999999999999996"/>
    <x v="1"/>
    <s v="No"/>
    <s v="Yes"/>
    <m/>
    <s v="Closed"/>
    <s v="January"/>
    <x v="0"/>
    <n v="2026"/>
    <s v="Yes"/>
    <n v="1"/>
    <x v="3"/>
    <n v="1"/>
  </r>
  <r>
    <s v="T000243"/>
    <x v="238"/>
    <d v="2026-01-17T23:29:00"/>
    <x v="3"/>
    <s v="Field Visit"/>
    <x v="1"/>
    <s v="A037"/>
    <x v="1"/>
    <n v="24"/>
    <n v="86.2"/>
    <x v="1"/>
    <s v="No"/>
    <s v="No"/>
    <n v="4"/>
    <s v="Closed"/>
    <s v="January"/>
    <x v="0"/>
    <n v="2026"/>
    <s v="No"/>
    <n v="0"/>
    <x v="3"/>
    <n v="1"/>
  </r>
  <r>
    <s v="T000244"/>
    <x v="239"/>
    <d v="2026-01-14T15:16:00"/>
    <x v="2"/>
    <s v="Phone"/>
    <x v="1"/>
    <s v="A054"/>
    <x v="1"/>
    <n v="24"/>
    <n v="5.2"/>
    <x v="1"/>
    <s v="No"/>
    <s v="No"/>
    <n v="5"/>
    <s v="Closed"/>
    <s v="January"/>
    <x v="0"/>
    <n v="2026"/>
    <s v="Yes"/>
    <n v="1"/>
    <x v="3"/>
    <n v="1"/>
  </r>
  <r>
    <s v="T000245"/>
    <x v="240"/>
    <d v="2026-01-14T12:42:00"/>
    <x v="1"/>
    <s v="Phone"/>
    <x v="1"/>
    <s v="A057"/>
    <x v="1"/>
    <n v="24"/>
    <n v="2.1"/>
    <x v="0"/>
    <s v="Yes"/>
    <s v="No"/>
    <n v="4"/>
    <s v="Closed"/>
    <s v="January"/>
    <x v="0"/>
    <n v="2026"/>
    <s v="Yes"/>
    <n v="1"/>
    <x v="0"/>
    <n v="0"/>
  </r>
  <r>
    <s v="T000246"/>
    <x v="241"/>
    <d v="2026-01-14T20:15:00"/>
    <x v="0"/>
    <s v="Phone"/>
    <x v="0"/>
    <s v="A047"/>
    <x v="1"/>
    <n v="72"/>
    <n v="9.5"/>
    <x v="1"/>
    <s v="No"/>
    <s v="No"/>
    <n v="5"/>
    <s v="Closed"/>
    <s v="January"/>
    <x v="0"/>
    <n v="2026"/>
    <s v="Yes"/>
    <n v="1"/>
    <x v="0"/>
    <n v="1"/>
  </r>
  <r>
    <s v="T000247"/>
    <x v="242"/>
    <d v="2026-01-15T10:02:00"/>
    <x v="0"/>
    <s v="Phone"/>
    <x v="1"/>
    <s v="A057"/>
    <x v="1"/>
    <n v="24"/>
    <n v="23.1"/>
    <x v="1"/>
    <s v="No"/>
    <s v="No"/>
    <m/>
    <s v="Closed"/>
    <s v="January"/>
    <x v="0"/>
    <n v="2026"/>
    <s v="Yes"/>
    <n v="1"/>
    <x v="3"/>
    <n v="1"/>
  </r>
  <r>
    <s v="T000248"/>
    <x v="243"/>
    <d v="2026-01-14T23:57:00"/>
    <x v="0"/>
    <s v="Phone"/>
    <x v="1"/>
    <s v="A013"/>
    <x v="0"/>
    <n v="24"/>
    <n v="11.8"/>
    <x v="0"/>
    <s v="Yes"/>
    <s v="No"/>
    <n v="1"/>
    <s v="Closed"/>
    <s v="January"/>
    <x v="0"/>
    <n v="2026"/>
    <s v="Yes"/>
    <n v="1"/>
    <x v="3"/>
    <n v="0"/>
  </r>
  <r>
    <s v="T000249"/>
    <x v="244"/>
    <d v="2026-01-14T13:33:00"/>
    <x v="1"/>
    <s v="Phone"/>
    <x v="0"/>
    <s v="A023"/>
    <x v="2"/>
    <n v="72"/>
    <n v="1"/>
    <x v="0"/>
    <s v="No"/>
    <s v="No"/>
    <n v="4"/>
    <s v="Closed"/>
    <s v="January"/>
    <x v="0"/>
    <n v="2026"/>
    <s v="Yes"/>
    <n v="1"/>
    <x v="1"/>
    <n v="0"/>
  </r>
  <r>
    <s v="T000250"/>
    <x v="245"/>
    <d v="2026-01-14T23:03:00"/>
    <x v="0"/>
    <s v="Phone"/>
    <x v="0"/>
    <s v="A050"/>
    <x v="1"/>
    <n v="72"/>
    <n v="9.6"/>
    <x v="1"/>
    <s v="No"/>
    <s v="No"/>
    <n v="5"/>
    <s v="Closed"/>
    <s v="January"/>
    <x v="0"/>
    <n v="2026"/>
    <s v="Yes"/>
    <n v="1"/>
    <x v="4"/>
    <n v="1"/>
  </r>
  <r>
    <s v="T000251"/>
    <x v="246"/>
    <d v="2026-01-14T18:13:00"/>
    <x v="5"/>
    <s v="Chat"/>
    <x v="1"/>
    <s v="A052"/>
    <x v="1"/>
    <n v="24"/>
    <n v="4.4000000000000004"/>
    <x v="1"/>
    <s v="No"/>
    <s v="No"/>
    <n v="5"/>
    <s v="Closed"/>
    <s v="January"/>
    <x v="0"/>
    <n v="2026"/>
    <s v="Yes"/>
    <n v="1"/>
    <x v="3"/>
    <n v="1"/>
  </r>
  <r>
    <s v="T000252"/>
    <x v="247"/>
    <d v="2026-01-14T22:41:00"/>
    <x v="3"/>
    <s v="Chat"/>
    <x v="2"/>
    <s v="A059"/>
    <x v="1"/>
    <n v="4"/>
    <n v="8.1"/>
    <x v="0"/>
    <s v="Yes"/>
    <s v="No"/>
    <m/>
    <s v="Closed"/>
    <s v="January"/>
    <x v="0"/>
    <n v="2026"/>
    <s v="No"/>
    <n v="0"/>
    <x v="1"/>
    <n v="0"/>
  </r>
  <r>
    <s v="T000253"/>
    <x v="248"/>
    <d v="2026-01-15T09:01:00"/>
    <x v="6"/>
    <s v="Field Visit"/>
    <x v="1"/>
    <s v="A016"/>
    <x v="2"/>
    <n v="24"/>
    <n v="18.399999999999999"/>
    <x v="0"/>
    <s v="Yes"/>
    <s v="No"/>
    <n v="4"/>
    <s v="Closed"/>
    <s v="January"/>
    <x v="0"/>
    <n v="2026"/>
    <s v="Yes"/>
    <n v="1"/>
    <x v="2"/>
    <n v="0"/>
  </r>
  <r>
    <s v="T000254"/>
    <x v="249"/>
    <d v="2026-01-14T23:18:00"/>
    <x v="1"/>
    <s v="Phone"/>
    <x v="2"/>
    <s v="A030"/>
    <x v="2"/>
    <n v="4"/>
    <n v="8.3000000000000007"/>
    <x v="0"/>
    <s v="No"/>
    <s v="No"/>
    <n v="4"/>
    <s v="Closed"/>
    <s v="January"/>
    <x v="0"/>
    <n v="2026"/>
    <s v="No"/>
    <n v="0"/>
    <x v="4"/>
    <n v="0"/>
  </r>
  <r>
    <s v="T000255"/>
    <x v="250"/>
    <d v="2026-01-15T10:27:00"/>
    <x v="1"/>
    <s v="Email"/>
    <x v="1"/>
    <s v="A034"/>
    <x v="2"/>
    <n v="24"/>
    <n v="18.7"/>
    <x v="1"/>
    <s v="No"/>
    <s v="No"/>
    <m/>
    <s v="Closed"/>
    <s v="January"/>
    <x v="0"/>
    <n v="2026"/>
    <s v="Yes"/>
    <n v="1"/>
    <x v="0"/>
    <n v="1"/>
  </r>
  <r>
    <s v="T000256"/>
    <x v="251"/>
    <d v="2026-01-14T22:13:00"/>
    <x v="6"/>
    <s v="Phone"/>
    <x v="2"/>
    <s v="A029"/>
    <x v="2"/>
    <n v="4"/>
    <n v="5.8"/>
    <x v="1"/>
    <s v="No"/>
    <s v="No"/>
    <n v="5"/>
    <s v="Closed"/>
    <s v="January"/>
    <x v="0"/>
    <n v="2026"/>
    <s v="No"/>
    <n v="0"/>
    <x v="0"/>
    <n v="1"/>
  </r>
  <r>
    <s v="T000257"/>
    <x v="252"/>
    <d v="2026-01-14T20:32:00"/>
    <x v="0"/>
    <s v="Phone"/>
    <x v="0"/>
    <s v="A030"/>
    <x v="2"/>
    <n v="72"/>
    <n v="3.5"/>
    <x v="0"/>
    <s v="Yes"/>
    <s v="No"/>
    <n v="3"/>
    <s v="Closed"/>
    <s v="January"/>
    <x v="0"/>
    <n v="2026"/>
    <s v="Yes"/>
    <n v="1"/>
    <x v="3"/>
    <n v="0"/>
  </r>
  <r>
    <s v="T000258"/>
    <x v="253"/>
    <d v="2026-01-14T22:09:00"/>
    <x v="6"/>
    <s v="Phone"/>
    <x v="1"/>
    <s v="A046"/>
    <x v="1"/>
    <n v="24"/>
    <n v="4.5999999999999996"/>
    <x v="1"/>
    <s v="No"/>
    <s v="Yes"/>
    <n v="5"/>
    <s v="Closed"/>
    <s v="January"/>
    <x v="0"/>
    <n v="2026"/>
    <s v="Yes"/>
    <n v="1"/>
    <x v="3"/>
    <n v="1"/>
  </r>
  <r>
    <s v="T000259"/>
    <x v="254"/>
    <d v="2026-01-17T09:06:00"/>
    <x v="3"/>
    <s v="Email"/>
    <x v="0"/>
    <s v="A028"/>
    <x v="2"/>
    <n v="72"/>
    <n v="56.5"/>
    <x v="1"/>
    <s v="No"/>
    <s v="No"/>
    <n v="5"/>
    <s v="Closed"/>
    <s v="January"/>
    <x v="0"/>
    <n v="2026"/>
    <s v="Yes"/>
    <n v="1"/>
    <x v="4"/>
    <n v="1"/>
  </r>
  <r>
    <s v="T000260"/>
    <x v="255"/>
    <d v="2026-01-15T15:19:00"/>
    <x v="5"/>
    <s v="Phone"/>
    <x v="0"/>
    <s v="A056"/>
    <x v="1"/>
    <n v="72"/>
    <n v="9.9"/>
    <x v="1"/>
    <s v="No"/>
    <s v="No"/>
    <n v="5"/>
    <s v="Closed"/>
    <s v="January"/>
    <x v="0"/>
    <n v="2026"/>
    <s v="Yes"/>
    <n v="1"/>
    <x v="4"/>
    <n v="1"/>
  </r>
  <r>
    <s v="T000261"/>
    <x v="256"/>
    <d v="2026-01-17T15:26:00"/>
    <x v="3"/>
    <s v="Field Visit"/>
    <x v="1"/>
    <s v="A012"/>
    <x v="0"/>
    <n v="24"/>
    <n v="54.4"/>
    <x v="1"/>
    <s v="No"/>
    <s v="No"/>
    <m/>
    <s v="Closed"/>
    <s v="January"/>
    <x v="0"/>
    <n v="2026"/>
    <s v="No"/>
    <n v="0"/>
    <x v="3"/>
    <n v="1"/>
  </r>
  <r>
    <s v="T000262"/>
    <x v="257"/>
    <d v="2026-01-15T12:38:00"/>
    <x v="3"/>
    <s v="Chat"/>
    <x v="1"/>
    <s v="A018"/>
    <x v="2"/>
    <n v="24"/>
    <n v="1.8"/>
    <x v="1"/>
    <s v="No"/>
    <s v="No"/>
    <m/>
    <s v="Closed"/>
    <s v="January"/>
    <x v="0"/>
    <n v="2026"/>
    <s v="Yes"/>
    <n v="1"/>
    <x v="3"/>
    <n v="1"/>
  </r>
  <r>
    <s v="T000263"/>
    <x v="258"/>
    <d v="2026-01-15T16:07:00"/>
    <x v="6"/>
    <s v="Phone"/>
    <x v="2"/>
    <s v="A019"/>
    <x v="2"/>
    <n v="4"/>
    <n v="4.4000000000000004"/>
    <x v="0"/>
    <s v="Yes"/>
    <s v="Yes"/>
    <n v="3"/>
    <s v="Closed"/>
    <s v="January"/>
    <x v="0"/>
    <n v="2026"/>
    <s v="No"/>
    <n v="0"/>
    <x v="1"/>
    <n v="0"/>
  </r>
  <r>
    <s v="T000264"/>
    <x v="259"/>
    <d v="2026-01-16T01:43:00"/>
    <x v="6"/>
    <s v="Field Visit"/>
    <x v="1"/>
    <s v="A051"/>
    <x v="1"/>
    <n v="24"/>
    <n v="13.7"/>
    <x v="1"/>
    <s v="No"/>
    <s v="No"/>
    <n v="4"/>
    <s v="Closed"/>
    <s v="January"/>
    <x v="0"/>
    <n v="2026"/>
    <s v="Yes"/>
    <n v="1"/>
    <x v="1"/>
    <n v="1"/>
  </r>
  <r>
    <s v="T000265"/>
    <x v="260"/>
    <d v="2026-01-15T19:44:00"/>
    <x v="5"/>
    <s v="Phone"/>
    <x v="0"/>
    <s v="A035"/>
    <x v="2"/>
    <n v="72"/>
    <n v="6.6"/>
    <x v="0"/>
    <s v="Yes"/>
    <s v="No"/>
    <m/>
    <s v="Closed"/>
    <s v="January"/>
    <x v="0"/>
    <n v="2026"/>
    <s v="Yes"/>
    <n v="1"/>
    <x v="1"/>
    <n v="0"/>
  </r>
  <r>
    <s v="T000266"/>
    <x v="261"/>
    <d v="2026-01-15T17:45:00"/>
    <x v="5"/>
    <s v="Phone"/>
    <x v="1"/>
    <s v="A051"/>
    <x v="1"/>
    <n v="24"/>
    <n v="4.5999999999999996"/>
    <x v="1"/>
    <s v="No"/>
    <s v="No"/>
    <n v="4"/>
    <s v="Closed"/>
    <s v="January"/>
    <x v="0"/>
    <n v="2026"/>
    <s v="Yes"/>
    <n v="1"/>
    <x v="4"/>
    <n v="1"/>
  </r>
  <r>
    <s v="T000267"/>
    <x v="262"/>
    <d v="2026-01-21T06:19:00"/>
    <x v="4"/>
    <s v="Field Visit"/>
    <x v="1"/>
    <s v="A039"/>
    <x v="1"/>
    <n v="24"/>
    <n v="136.69999999999999"/>
    <x v="0"/>
    <s v="Yes"/>
    <s v="Yes"/>
    <n v="3"/>
    <s v="Closed"/>
    <s v="January"/>
    <x v="0"/>
    <n v="2026"/>
    <s v="No"/>
    <n v="0"/>
    <x v="3"/>
    <n v="0"/>
  </r>
  <r>
    <s v="T000268"/>
    <x v="263"/>
    <d v="2026-01-18T22:20:00"/>
    <x v="3"/>
    <s v="Field Visit"/>
    <x v="0"/>
    <s v="A037"/>
    <x v="1"/>
    <n v="72"/>
    <n v="80.599999999999994"/>
    <x v="1"/>
    <s v="No"/>
    <s v="No"/>
    <n v="4"/>
    <s v="Closed"/>
    <s v="January"/>
    <x v="0"/>
    <n v="2026"/>
    <s v="No"/>
    <n v="0"/>
    <x v="2"/>
    <n v="1"/>
  </r>
  <r>
    <s v="T000269"/>
    <x v="264"/>
    <d v="2026-01-15T15:57:00"/>
    <x v="1"/>
    <s v="Chat"/>
    <x v="0"/>
    <s v="A039"/>
    <x v="1"/>
    <n v="72"/>
    <n v="1.6"/>
    <x v="1"/>
    <s v="No"/>
    <s v="No"/>
    <n v="5"/>
    <s v="Closed"/>
    <s v="January"/>
    <x v="0"/>
    <n v="2026"/>
    <s v="Yes"/>
    <n v="1"/>
    <x v="2"/>
    <n v="1"/>
  </r>
  <r>
    <s v="T000270"/>
    <x v="265"/>
    <d v="2026-01-15T20:48:00"/>
    <x v="0"/>
    <s v="Chat"/>
    <x v="0"/>
    <s v="A029"/>
    <x v="2"/>
    <n v="72"/>
    <n v="5.5"/>
    <x v="0"/>
    <s v="Yes"/>
    <s v="No"/>
    <m/>
    <s v="Closed"/>
    <s v="January"/>
    <x v="0"/>
    <n v="2026"/>
    <s v="Yes"/>
    <n v="1"/>
    <x v="3"/>
    <n v="0"/>
  </r>
  <r>
    <s v="T000271"/>
    <x v="266"/>
    <d v="2026-01-15T18:39:00"/>
    <x v="0"/>
    <s v="Phone"/>
    <x v="1"/>
    <s v="A021"/>
    <x v="2"/>
    <n v="24"/>
    <n v="2.6"/>
    <x v="1"/>
    <s v="No"/>
    <s v="No"/>
    <m/>
    <s v="Closed"/>
    <s v="January"/>
    <x v="0"/>
    <n v="2026"/>
    <s v="Yes"/>
    <n v="1"/>
    <x v="4"/>
    <n v="1"/>
  </r>
  <r>
    <s v="T000272"/>
    <x v="267"/>
    <d v="2026-01-15T23:10:00"/>
    <x v="1"/>
    <s v="Chat"/>
    <x v="0"/>
    <s v="A047"/>
    <x v="1"/>
    <n v="72"/>
    <n v="2.9"/>
    <x v="1"/>
    <s v="No"/>
    <s v="No"/>
    <m/>
    <s v="Closed"/>
    <s v="January"/>
    <x v="0"/>
    <n v="2026"/>
    <s v="Yes"/>
    <n v="1"/>
    <x v="2"/>
    <n v="1"/>
  </r>
  <r>
    <s v="T000273"/>
    <x v="268"/>
    <d v="2026-01-16T12:41:00"/>
    <x v="6"/>
    <s v="Phone"/>
    <x v="2"/>
    <s v="A058"/>
    <x v="1"/>
    <n v="4"/>
    <n v="16.100000000000001"/>
    <x v="1"/>
    <s v="No"/>
    <s v="Yes"/>
    <m/>
    <s v="Closed"/>
    <s v="January"/>
    <x v="0"/>
    <n v="2026"/>
    <s v="No"/>
    <n v="0"/>
    <x v="0"/>
    <n v="1"/>
  </r>
  <r>
    <s v="T000274"/>
    <x v="269"/>
    <d v="2026-01-16T10:06:00"/>
    <x v="0"/>
    <s v="Phone"/>
    <x v="1"/>
    <s v="A028"/>
    <x v="2"/>
    <n v="24"/>
    <n v="11.5"/>
    <x v="1"/>
    <s v="No"/>
    <s v="No"/>
    <m/>
    <s v="Closed"/>
    <s v="January"/>
    <x v="0"/>
    <n v="2026"/>
    <s v="Yes"/>
    <n v="1"/>
    <x v="2"/>
    <n v="1"/>
  </r>
  <r>
    <s v="T000275"/>
    <x v="270"/>
    <d v="2026-01-16T02:38:00"/>
    <x v="6"/>
    <s v="Phone"/>
    <x v="2"/>
    <s v="A002"/>
    <x v="0"/>
    <n v="4"/>
    <n v="2.5"/>
    <x v="1"/>
    <s v="No"/>
    <s v="No"/>
    <m/>
    <s v="Closed"/>
    <s v="January"/>
    <x v="0"/>
    <n v="2026"/>
    <s v="Yes"/>
    <n v="1"/>
    <x v="0"/>
    <n v="1"/>
  </r>
  <r>
    <s v="T000276"/>
    <x v="271"/>
    <d v="2026-01-16T16:31:00"/>
    <x v="4"/>
    <s v="Phone"/>
    <x v="0"/>
    <s v="A043"/>
    <x v="1"/>
    <n v="72"/>
    <n v="14.3"/>
    <x v="1"/>
    <s v="No"/>
    <s v="No"/>
    <n v="5"/>
    <s v="Closed"/>
    <s v="January"/>
    <x v="0"/>
    <n v="2026"/>
    <s v="Yes"/>
    <n v="1"/>
    <x v="0"/>
    <n v="1"/>
  </r>
  <r>
    <s v="T000277"/>
    <x v="272"/>
    <d v="2026-01-16T08:44:00"/>
    <x v="1"/>
    <s v="Phone"/>
    <x v="0"/>
    <s v="A018"/>
    <x v="2"/>
    <n v="72"/>
    <n v="5.4"/>
    <x v="1"/>
    <s v="No"/>
    <s v="No"/>
    <m/>
    <s v="Closed"/>
    <s v="January"/>
    <x v="0"/>
    <n v="2026"/>
    <s v="Yes"/>
    <n v="1"/>
    <x v="3"/>
    <n v="1"/>
  </r>
  <r>
    <s v="T000278"/>
    <x v="273"/>
    <d v="2026-01-16T11:05:00"/>
    <x v="1"/>
    <s v="Chat"/>
    <x v="0"/>
    <s v="A019"/>
    <x v="2"/>
    <n v="72"/>
    <n v="3.3"/>
    <x v="1"/>
    <s v="No"/>
    <s v="Yes"/>
    <n v="4"/>
    <s v="Closed"/>
    <s v="January"/>
    <x v="0"/>
    <n v="2026"/>
    <s v="Yes"/>
    <n v="1"/>
    <x v="0"/>
    <n v="1"/>
  </r>
  <r>
    <s v="T000279"/>
    <x v="274"/>
    <d v="2026-01-16T12:34:00"/>
    <x v="0"/>
    <s v="Chat"/>
    <x v="1"/>
    <s v="A030"/>
    <x v="2"/>
    <n v="24"/>
    <n v="4.4000000000000004"/>
    <x v="0"/>
    <s v="No"/>
    <s v="No"/>
    <n v="4"/>
    <s v="Closed"/>
    <s v="January"/>
    <x v="0"/>
    <n v="2026"/>
    <s v="Yes"/>
    <n v="1"/>
    <x v="1"/>
    <n v="0"/>
  </r>
  <r>
    <s v="T000280"/>
    <x v="275"/>
    <d v="2026-01-16T19:38:00"/>
    <x v="2"/>
    <s v="Chat"/>
    <x v="2"/>
    <s v="A014"/>
    <x v="0"/>
    <n v="4"/>
    <n v="11"/>
    <x v="0"/>
    <s v="Yes"/>
    <s v="No"/>
    <n v="1"/>
    <s v="Closed"/>
    <s v="January"/>
    <x v="0"/>
    <n v="2026"/>
    <s v="No"/>
    <n v="0"/>
    <x v="4"/>
    <n v="0"/>
  </r>
  <r>
    <s v="T000281"/>
    <x v="276"/>
    <d v="2026-01-16T19:10:00"/>
    <x v="2"/>
    <s v="Phone"/>
    <x v="1"/>
    <s v="A022"/>
    <x v="2"/>
    <n v="24"/>
    <n v="10.5"/>
    <x v="0"/>
    <s v="No"/>
    <s v="No"/>
    <n v="4"/>
    <s v="Closed"/>
    <s v="January"/>
    <x v="0"/>
    <n v="2026"/>
    <s v="Yes"/>
    <n v="1"/>
    <x v="0"/>
    <n v="0"/>
  </r>
  <r>
    <s v="T000282"/>
    <x v="277"/>
    <d v="2026-01-17T02:39:00"/>
    <x v="5"/>
    <s v="Field Visit"/>
    <x v="0"/>
    <s v="A023"/>
    <x v="2"/>
    <n v="72"/>
    <n v="17.7"/>
    <x v="1"/>
    <s v="No"/>
    <s v="Yes"/>
    <n v="4"/>
    <s v="Closed"/>
    <s v="January"/>
    <x v="0"/>
    <n v="2026"/>
    <s v="Yes"/>
    <n v="1"/>
    <x v="1"/>
    <n v="1"/>
  </r>
  <r>
    <s v="T000283"/>
    <x v="278"/>
    <d v="2026-01-18T21:49:00"/>
    <x v="3"/>
    <s v="Field Visit"/>
    <x v="1"/>
    <s v="A039"/>
    <x v="1"/>
    <n v="24"/>
    <n v="59"/>
    <x v="1"/>
    <s v="No"/>
    <s v="No"/>
    <n v="5"/>
    <s v="Closed"/>
    <s v="January"/>
    <x v="0"/>
    <n v="2026"/>
    <s v="No"/>
    <n v="0"/>
    <x v="3"/>
    <n v="1"/>
  </r>
  <r>
    <s v="T000284"/>
    <x v="279"/>
    <d v="2026-01-16T14:59:00"/>
    <x v="1"/>
    <s v="Phone"/>
    <x v="0"/>
    <s v="A060"/>
    <x v="1"/>
    <n v="72"/>
    <n v="2.7"/>
    <x v="1"/>
    <s v="No"/>
    <s v="No"/>
    <m/>
    <s v="Closed"/>
    <s v="January"/>
    <x v="0"/>
    <n v="2026"/>
    <s v="Yes"/>
    <n v="1"/>
    <x v="1"/>
    <n v="1"/>
  </r>
  <r>
    <s v="T000285"/>
    <x v="280"/>
    <d v="2026-01-16T20:18:00"/>
    <x v="5"/>
    <s v="Phone"/>
    <x v="2"/>
    <s v="A037"/>
    <x v="1"/>
    <n v="4"/>
    <n v="7.4"/>
    <x v="1"/>
    <s v="No"/>
    <s v="No"/>
    <n v="4"/>
    <s v="Closed"/>
    <s v="January"/>
    <x v="0"/>
    <n v="2026"/>
    <s v="No"/>
    <n v="0"/>
    <x v="0"/>
    <n v="1"/>
  </r>
  <r>
    <s v="T000286"/>
    <x v="281"/>
    <d v="2026-01-16T23:34:00"/>
    <x v="1"/>
    <s v="Email"/>
    <x v="0"/>
    <s v="A041"/>
    <x v="1"/>
    <n v="72"/>
    <n v="9.9"/>
    <x v="0"/>
    <s v="Yes"/>
    <s v="No"/>
    <n v="5"/>
    <s v="Closed"/>
    <s v="January"/>
    <x v="0"/>
    <n v="2026"/>
    <s v="Yes"/>
    <n v="1"/>
    <x v="3"/>
    <n v="0"/>
  </r>
  <r>
    <s v="T000287"/>
    <x v="282"/>
    <d v="2026-01-17T16:43:00"/>
    <x v="1"/>
    <s v="Email"/>
    <x v="1"/>
    <s v="A040"/>
    <x v="1"/>
    <n v="24"/>
    <n v="27"/>
    <x v="1"/>
    <s v="No"/>
    <s v="No"/>
    <n v="4"/>
    <s v="Closed"/>
    <s v="January"/>
    <x v="0"/>
    <n v="2026"/>
    <s v="No"/>
    <n v="0"/>
    <x v="1"/>
    <n v="1"/>
  </r>
  <r>
    <s v="T000288"/>
    <x v="283"/>
    <d v="2026-01-17T08:12:00"/>
    <x v="2"/>
    <s v="Field Visit"/>
    <x v="1"/>
    <s v="A043"/>
    <x v="1"/>
    <n v="24"/>
    <n v="18.399999999999999"/>
    <x v="1"/>
    <s v="No"/>
    <s v="No"/>
    <m/>
    <s v="Closed"/>
    <s v="January"/>
    <x v="0"/>
    <n v="2026"/>
    <s v="Yes"/>
    <n v="1"/>
    <x v="1"/>
    <n v="1"/>
  </r>
  <r>
    <s v="T000289"/>
    <x v="284"/>
    <d v="2026-01-16T22:20:00"/>
    <x v="1"/>
    <s v="Chat"/>
    <x v="0"/>
    <s v="A016"/>
    <x v="2"/>
    <n v="72"/>
    <n v="8.5"/>
    <x v="0"/>
    <s v="Yes"/>
    <s v="No"/>
    <m/>
    <s v="Closed"/>
    <s v="January"/>
    <x v="0"/>
    <n v="2026"/>
    <s v="Yes"/>
    <n v="1"/>
    <x v="1"/>
    <n v="0"/>
  </r>
  <r>
    <s v="T000290"/>
    <x v="285"/>
    <d v="2026-01-17T22:50:00"/>
    <x v="6"/>
    <s v="Field Visit"/>
    <x v="2"/>
    <s v="A014"/>
    <x v="0"/>
    <n v="4"/>
    <n v="32.6"/>
    <x v="1"/>
    <s v="No"/>
    <s v="No"/>
    <n v="3"/>
    <s v="Closed"/>
    <s v="January"/>
    <x v="0"/>
    <n v="2026"/>
    <s v="No"/>
    <n v="0"/>
    <x v="4"/>
    <n v="1"/>
  </r>
  <r>
    <s v="T000291"/>
    <x v="286"/>
    <d v="2026-01-17T16:47:00"/>
    <x v="3"/>
    <s v="Email"/>
    <x v="1"/>
    <s v="A028"/>
    <x v="2"/>
    <n v="24"/>
    <n v="25.2"/>
    <x v="1"/>
    <s v="No"/>
    <s v="No"/>
    <n v="4"/>
    <s v="Closed"/>
    <s v="January"/>
    <x v="0"/>
    <n v="2026"/>
    <s v="No"/>
    <n v="0"/>
    <x v="2"/>
    <n v="1"/>
  </r>
  <r>
    <s v="T000292"/>
    <x v="286"/>
    <d v="2026-01-17T15:59:00"/>
    <x v="3"/>
    <s v="Phone"/>
    <x v="1"/>
    <s v="A037"/>
    <x v="1"/>
    <n v="24"/>
    <n v="24.4"/>
    <x v="0"/>
    <s v="Yes"/>
    <s v="No"/>
    <n v="4"/>
    <s v="Closed"/>
    <s v="January"/>
    <x v="0"/>
    <n v="2026"/>
    <s v="No"/>
    <n v="0"/>
    <x v="3"/>
    <n v="0"/>
  </r>
  <r>
    <s v="T000293"/>
    <x v="287"/>
    <d v="2026-01-16T22:42:00"/>
    <x v="4"/>
    <s v="Phone"/>
    <x v="0"/>
    <s v="A047"/>
    <x v="1"/>
    <n v="72"/>
    <n v="6.8"/>
    <x v="1"/>
    <s v="No"/>
    <s v="No"/>
    <n v="5"/>
    <s v="Closed"/>
    <s v="January"/>
    <x v="0"/>
    <n v="2026"/>
    <s v="Yes"/>
    <n v="1"/>
    <x v="3"/>
    <n v="1"/>
  </r>
  <r>
    <s v="T000294"/>
    <x v="288"/>
    <d v="2026-01-17T10:37:00"/>
    <x v="6"/>
    <s v="Field Visit"/>
    <x v="1"/>
    <s v="A047"/>
    <x v="1"/>
    <n v="24"/>
    <n v="18.2"/>
    <x v="1"/>
    <s v="No"/>
    <s v="No"/>
    <m/>
    <s v="Closed"/>
    <s v="January"/>
    <x v="0"/>
    <n v="2026"/>
    <s v="Yes"/>
    <n v="1"/>
    <x v="2"/>
    <n v="1"/>
  </r>
  <r>
    <s v="T000295"/>
    <x v="289"/>
    <d v="2026-01-17T09:01:00"/>
    <x v="3"/>
    <s v="Phone"/>
    <x v="1"/>
    <s v="A043"/>
    <x v="1"/>
    <n v="24"/>
    <n v="16.2"/>
    <x v="1"/>
    <s v="No"/>
    <s v="Yes"/>
    <m/>
    <s v="Closed"/>
    <s v="January"/>
    <x v="0"/>
    <n v="2026"/>
    <s v="Yes"/>
    <n v="1"/>
    <x v="4"/>
    <n v="1"/>
  </r>
  <r>
    <s v="T000296"/>
    <x v="290"/>
    <d v="2026-01-17T02:38:00"/>
    <x v="5"/>
    <s v="Chat"/>
    <x v="0"/>
    <s v="A011"/>
    <x v="0"/>
    <n v="72"/>
    <n v="8.1999999999999993"/>
    <x v="0"/>
    <s v="Yes"/>
    <s v="No"/>
    <n v="4"/>
    <s v="Closed"/>
    <s v="January"/>
    <x v="0"/>
    <n v="2026"/>
    <s v="Yes"/>
    <n v="1"/>
    <x v="1"/>
    <n v="0"/>
  </r>
  <r>
    <s v="T000297"/>
    <x v="291"/>
    <d v="2026-01-19T02:59:00"/>
    <x v="4"/>
    <s v="Phone"/>
    <x v="1"/>
    <s v="A014"/>
    <x v="0"/>
    <n v="24"/>
    <n v="56.3"/>
    <x v="0"/>
    <s v="Yes"/>
    <s v="No"/>
    <n v="4"/>
    <s v="Closed"/>
    <s v="January"/>
    <x v="0"/>
    <n v="2026"/>
    <s v="No"/>
    <n v="0"/>
    <x v="3"/>
    <n v="0"/>
  </r>
  <r>
    <s v="T000298"/>
    <x v="292"/>
    <d v="2026-01-17T17:07:00"/>
    <x v="1"/>
    <s v="Phone"/>
    <x v="0"/>
    <s v="A040"/>
    <x v="1"/>
    <n v="72"/>
    <n v="10.9"/>
    <x v="1"/>
    <s v="No"/>
    <s v="No"/>
    <n v="5"/>
    <s v="Closed"/>
    <s v="January"/>
    <x v="0"/>
    <n v="2026"/>
    <s v="Yes"/>
    <n v="1"/>
    <x v="0"/>
    <n v="1"/>
  </r>
  <r>
    <s v="T000299"/>
    <x v="293"/>
    <d v="2026-01-20T06:38:00"/>
    <x v="4"/>
    <s v="Email"/>
    <x v="1"/>
    <s v="A034"/>
    <x v="2"/>
    <n v="24"/>
    <n v="71.5"/>
    <x v="1"/>
    <s v="No"/>
    <s v="No"/>
    <n v="4"/>
    <s v="Closed"/>
    <s v="January"/>
    <x v="0"/>
    <n v="2026"/>
    <s v="No"/>
    <n v="0"/>
    <x v="2"/>
    <n v="1"/>
  </r>
  <r>
    <s v="T000300"/>
    <x v="294"/>
    <d v="2026-01-17T18:59:00"/>
    <x v="1"/>
    <s v="Phone"/>
    <x v="1"/>
    <s v="A039"/>
    <x v="1"/>
    <n v="24"/>
    <n v="11.1"/>
    <x v="1"/>
    <s v="No"/>
    <s v="No"/>
    <m/>
    <s v="Closed"/>
    <s v="January"/>
    <x v="0"/>
    <n v="2026"/>
    <s v="Yes"/>
    <n v="1"/>
    <x v="2"/>
    <n v="1"/>
  </r>
  <r>
    <s v="T000301"/>
    <x v="295"/>
    <d v="2026-01-19T08:20:00"/>
    <x v="4"/>
    <s v="Email"/>
    <x v="1"/>
    <s v="A008"/>
    <x v="0"/>
    <n v="24"/>
    <n v="48.4"/>
    <x v="1"/>
    <s v="No"/>
    <s v="No"/>
    <n v="4"/>
    <s v="Closed"/>
    <s v="January"/>
    <x v="0"/>
    <n v="2026"/>
    <s v="No"/>
    <n v="0"/>
    <x v="4"/>
    <n v="1"/>
  </r>
  <r>
    <s v="T000302"/>
    <x v="296"/>
    <d v="2026-01-17T13:19:00"/>
    <x v="3"/>
    <s v="Phone"/>
    <x v="2"/>
    <s v="A036"/>
    <x v="1"/>
    <n v="4"/>
    <n v="5.2"/>
    <x v="1"/>
    <s v="No"/>
    <s v="No"/>
    <m/>
    <s v="Closed"/>
    <s v="January"/>
    <x v="0"/>
    <n v="2026"/>
    <s v="No"/>
    <n v="0"/>
    <x v="3"/>
    <n v="1"/>
  </r>
  <r>
    <s v="T000303"/>
    <x v="297"/>
    <d v="2026-01-18T14:32:00"/>
    <x v="2"/>
    <s v="Email"/>
    <x v="2"/>
    <s v="A029"/>
    <x v="2"/>
    <n v="4"/>
    <n v="30.1"/>
    <x v="1"/>
    <s v="No"/>
    <s v="No"/>
    <n v="4"/>
    <s v="Closed"/>
    <s v="January"/>
    <x v="0"/>
    <n v="2026"/>
    <s v="No"/>
    <n v="0"/>
    <x v="3"/>
    <n v="1"/>
  </r>
  <r>
    <s v="T000304"/>
    <x v="298"/>
    <d v="2026-01-17T11:15:00"/>
    <x v="1"/>
    <s v="Chat"/>
    <x v="1"/>
    <s v="A034"/>
    <x v="2"/>
    <n v="24"/>
    <n v="2"/>
    <x v="1"/>
    <s v="No"/>
    <s v="No"/>
    <n v="3"/>
    <s v="Closed"/>
    <s v="January"/>
    <x v="0"/>
    <n v="2026"/>
    <s v="Yes"/>
    <n v="1"/>
    <x v="1"/>
    <n v="1"/>
  </r>
  <r>
    <s v="T000305"/>
    <x v="299"/>
    <d v="2026-01-17T20:16:00"/>
    <x v="5"/>
    <s v="Chat"/>
    <x v="0"/>
    <s v="A039"/>
    <x v="1"/>
    <n v="72"/>
    <n v="10.6"/>
    <x v="0"/>
    <s v="Yes"/>
    <s v="No"/>
    <n v="4"/>
    <s v="Closed"/>
    <s v="January"/>
    <x v="0"/>
    <n v="2026"/>
    <s v="Yes"/>
    <n v="1"/>
    <x v="2"/>
    <n v="0"/>
  </r>
  <r>
    <s v="T000306"/>
    <x v="300"/>
    <d v="2026-01-17T19:44:00"/>
    <x v="6"/>
    <s v="Phone"/>
    <x v="2"/>
    <s v="A016"/>
    <x v="2"/>
    <n v="4"/>
    <n v="8.5"/>
    <x v="1"/>
    <s v="No"/>
    <s v="No"/>
    <n v="5"/>
    <s v="Closed"/>
    <s v="January"/>
    <x v="0"/>
    <n v="2026"/>
    <s v="No"/>
    <n v="0"/>
    <x v="4"/>
    <n v="1"/>
  </r>
  <r>
    <s v="T000307"/>
    <x v="301"/>
    <d v="2026-01-20T20:56:00"/>
    <x v="2"/>
    <s v="Field Visit"/>
    <x v="0"/>
    <s v="A008"/>
    <x v="0"/>
    <n v="72"/>
    <n v="81"/>
    <x v="1"/>
    <s v="No"/>
    <s v="No"/>
    <n v="5"/>
    <s v="Closed"/>
    <s v="January"/>
    <x v="0"/>
    <n v="2026"/>
    <s v="No"/>
    <n v="0"/>
    <x v="2"/>
    <n v="1"/>
  </r>
  <r>
    <s v="T000308"/>
    <x v="302"/>
    <d v="2026-01-17T13:42:00"/>
    <x v="1"/>
    <s v="Chat"/>
    <x v="1"/>
    <s v="A051"/>
    <x v="1"/>
    <n v="24"/>
    <n v="1.6"/>
    <x v="1"/>
    <s v="No"/>
    <s v="No"/>
    <n v="5"/>
    <s v="Closed"/>
    <s v="January"/>
    <x v="0"/>
    <n v="2026"/>
    <s v="Yes"/>
    <n v="1"/>
    <x v="1"/>
    <n v="1"/>
  </r>
  <r>
    <s v="T000309"/>
    <x v="303"/>
    <d v="2026-01-19T20:59:00"/>
    <x v="0"/>
    <s v="Phone"/>
    <x v="1"/>
    <s v="A018"/>
    <x v="2"/>
    <n v="24"/>
    <n v="56.8"/>
    <x v="1"/>
    <s v="No"/>
    <s v="No"/>
    <n v="4"/>
    <s v="Closed"/>
    <s v="January"/>
    <x v="0"/>
    <n v="2026"/>
    <s v="No"/>
    <n v="0"/>
    <x v="4"/>
    <n v="1"/>
  </r>
  <r>
    <s v="T000310"/>
    <x v="304"/>
    <d v="2026-01-18T00:13:00"/>
    <x v="6"/>
    <s v="Phone"/>
    <x v="2"/>
    <s v="A021"/>
    <x v="2"/>
    <n v="4"/>
    <n v="10.8"/>
    <x v="1"/>
    <s v="No"/>
    <s v="No"/>
    <n v="3"/>
    <s v="Closed"/>
    <s v="January"/>
    <x v="0"/>
    <n v="2026"/>
    <s v="No"/>
    <n v="0"/>
    <x v="4"/>
    <n v="1"/>
  </r>
  <r>
    <s v="T000311"/>
    <x v="305"/>
    <d v="2026-01-17T21:15:00"/>
    <x v="1"/>
    <s v="Phone"/>
    <x v="0"/>
    <s v="A054"/>
    <x v="1"/>
    <n v="72"/>
    <n v="7.5"/>
    <x v="1"/>
    <s v="No"/>
    <s v="No"/>
    <n v="5"/>
    <s v="Closed"/>
    <s v="January"/>
    <x v="0"/>
    <n v="2026"/>
    <s v="Yes"/>
    <n v="1"/>
    <x v="4"/>
    <n v="1"/>
  </r>
  <r>
    <s v="T000312"/>
    <x v="306"/>
    <d v="2026-01-20T13:29:00"/>
    <x v="4"/>
    <s v="Field Visit"/>
    <x v="0"/>
    <s v="A047"/>
    <x v="1"/>
    <n v="72"/>
    <n v="71.400000000000006"/>
    <x v="0"/>
    <s v="No"/>
    <s v="No"/>
    <n v="4"/>
    <s v="Closed"/>
    <s v="January"/>
    <x v="0"/>
    <n v="2026"/>
    <s v="Yes"/>
    <n v="1"/>
    <x v="3"/>
    <n v="0"/>
  </r>
  <r>
    <s v="T000313"/>
    <x v="307"/>
    <d v="2026-01-19T04:47:00"/>
    <x v="6"/>
    <s v="Field Visit"/>
    <x v="2"/>
    <s v="A014"/>
    <x v="0"/>
    <n v="4"/>
    <n v="37.799999999999997"/>
    <x v="1"/>
    <s v="No"/>
    <s v="No"/>
    <n v="5"/>
    <s v="Closed"/>
    <s v="January"/>
    <x v="0"/>
    <n v="2026"/>
    <s v="No"/>
    <n v="0"/>
    <x v="2"/>
    <n v="1"/>
  </r>
  <r>
    <s v="T000314"/>
    <x v="308"/>
    <d v="2026-01-18T12:02:00"/>
    <x v="2"/>
    <s v="Field Visit"/>
    <x v="1"/>
    <s v="A042"/>
    <x v="1"/>
    <n v="24"/>
    <n v="20.9"/>
    <x v="1"/>
    <s v="No"/>
    <s v="No"/>
    <m/>
    <s v="Closed"/>
    <s v="January"/>
    <x v="0"/>
    <n v="2026"/>
    <s v="Yes"/>
    <n v="1"/>
    <x v="1"/>
    <n v="1"/>
  </r>
  <r>
    <s v="T000315"/>
    <x v="309"/>
    <d v="2026-01-19T09:24:00"/>
    <x v="0"/>
    <s v="Field Visit"/>
    <x v="1"/>
    <s v="A027"/>
    <x v="2"/>
    <n v="24"/>
    <n v="39.799999999999997"/>
    <x v="1"/>
    <s v="No"/>
    <s v="No"/>
    <m/>
    <s v="Closed"/>
    <s v="January"/>
    <x v="0"/>
    <n v="2026"/>
    <s v="No"/>
    <n v="0"/>
    <x v="0"/>
    <n v="1"/>
  </r>
  <r>
    <s v="T000316"/>
    <x v="310"/>
    <d v="2026-01-17T23:42:00"/>
    <x v="1"/>
    <s v="Chat"/>
    <x v="0"/>
    <s v="A031"/>
    <x v="2"/>
    <n v="72"/>
    <n v="4.7"/>
    <x v="0"/>
    <s v="Yes"/>
    <s v="No"/>
    <m/>
    <s v="Closed"/>
    <s v="January"/>
    <x v="0"/>
    <n v="2026"/>
    <s v="Yes"/>
    <n v="1"/>
    <x v="4"/>
    <n v="0"/>
  </r>
  <r>
    <s v="T000317"/>
    <x v="311"/>
    <d v="2026-01-26T20:07:00"/>
    <x v="4"/>
    <s v="Field Visit"/>
    <x v="0"/>
    <s v="A024"/>
    <x v="2"/>
    <n v="72"/>
    <n v="216.7"/>
    <x v="1"/>
    <s v="No"/>
    <s v="No"/>
    <n v="5"/>
    <s v="Closed"/>
    <s v="January"/>
    <x v="0"/>
    <n v="2026"/>
    <s v="No"/>
    <n v="0"/>
    <x v="1"/>
    <n v="1"/>
  </r>
  <r>
    <s v="T000318"/>
    <x v="312"/>
    <d v="2026-01-18T08:04:00"/>
    <x v="6"/>
    <s v="Phone"/>
    <x v="2"/>
    <s v="A002"/>
    <x v="0"/>
    <n v="4"/>
    <n v="12.2"/>
    <x v="0"/>
    <s v="Yes"/>
    <s v="No"/>
    <n v="3"/>
    <s v="Closed"/>
    <s v="January"/>
    <x v="0"/>
    <n v="2026"/>
    <s v="No"/>
    <n v="0"/>
    <x v="4"/>
    <n v="0"/>
  </r>
  <r>
    <s v="T000319"/>
    <x v="313"/>
    <d v="2026-01-18T07:29:00"/>
    <x v="5"/>
    <s v="Phone"/>
    <x v="0"/>
    <s v="A034"/>
    <x v="2"/>
    <n v="72"/>
    <n v="11.5"/>
    <x v="0"/>
    <s v="No"/>
    <s v="No"/>
    <n v="4"/>
    <s v="Closed"/>
    <s v="January"/>
    <x v="0"/>
    <n v="2026"/>
    <s v="Yes"/>
    <n v="1"/>
    <x v="0"/>
    <n v="0"/>
  </r>
  <r>
    <s v="T000320"/>
    <x v="314"/>
    <d v="2026-01-18T02:05:00"/>
    <x v="5"/>
    <s v="Phone"/>
    <x v="1"/>
    <s v="A040"/>
    <x v="1"/>
    <n v="24"/>
    <n v="5.4"/>
    <x v="1"/>
    <s v="No"/>
    <s v="Yes"/>
    <n v="5"/>
    <s v="Closed"/>
    <s v="January"/>
    <x v="0"/>
    <n v="2026"/>
    <s v="Yes"/>
    <n v="1"/>
    <x v="3"/>
    <n v="1"/>
  </r>
  <r>
    <s v="T000321"/>
    <x v="315"/>
    <d v="2026-01-19T03:55:00"/>
    <x v="2"/>
    <s v="Email"/>
    <x v="2"/>
    <s v="A013"/>
    <x v="0"/>
    <n v="4"/>
    <n v="29.6"/>
    <x v="1"/>
    <s v="No"/>
    <s v="No"/>
    <n v="3"/>
    <s v="Closed"/>
    <s v="January"/>
    <x v="0"/>
    <n v="2026"/>
    <s v="No"/>
    <n v="0"/>
    <x v="3"/>
    <n v="1"/>
  </r>
  <r>
    <s v="T000322"/>
    <x v="316"/>
    <d v="2026-01-18T07:32:00"/>
    <x v="1"/>
    <s v="Chat"/>
    <x v="2"/>
    <s v="A055"/>
    <x v="1"/>
    <n v="4"/>
    <n v="2.7"/>
    <x v="1"/>
    <s v="No"/>
    <s v="No"/>
    <m/>
    <s v="Closed"/>
    <s v="January"/>
    <x v="0"/>
    <n v="2026"/>
    <s v="Yes"/>
    <n v="1"/>
    <x v="0"/>
    <n v="1"/>
  </r>
  <r>
    <s v="T000323"/>
    <x v="317"/>
    <d v="2026-01-18T17:56:00"/>
    <x v="0"/>
    <s v="Phone"/>
    <x v="0"/>
    <s v="A050"/>
    <x v="1"/>
    <n v="72"/>
    <n v="11.7"/>
    <x v="1"/>
    <s v="No"/>
    <s v="No"/>
    <n v="4"/>
    <s v="Closed"/>
    <s v="January"/>
    <x v="0"/>
    <n v="2026"/>
    <s v="Yes"/>
    <n v="1"/>
    <x v="2"/>
    <n v="1"/>
  </r>
  <r>
    <s v="T000324"/>
    <x v="318"/>
    <d v="2026-01-19T15:29:00"/>
    <x v="5"/>
    <s v="Email"/>
    <x v="1"/>
    <s v="A056"/>
    <x v="1"/>
    <n v="24"/>
    <n v="30"/>
    <x v="1"/>
    <s v="No"/>
    <s v="No"/>
    <n v="3"/>
    <s v="Closed"/>
    <s v="January"/>
    <x v="0"/>
    <n v="2026"/>
    <s v="No"/>
    <n v="0"/>
    <x v="2"/>
    <n v="1"/>
  </r>
  <r>
    <s v="T000325"/>
    <x v="319"/>
    <d v="2026-01-18T17:27:00"/>
    <x v="2"/>
    <s v="Chat"/>
    <x v="1"/>
    <s v="A005"/>
    <x v="0"/>
    <n v="24"/>
    <n v="6.8"/>
    <x v="0"/>
    <s v="No"/>
    <s v="No"/>
    <m/>
    <s v="Closed"/>
    <s v="January"/>
    <x v="0"/>
    <n v="2026"/>
    <s v="Yes"/>
    <n v="1"/>
    <x v="4"/>
    <n v="0"/>
  </r>
  <r>
    <s v="T000326"/>
    <x v="320"/>
    <d v="2026-01-18T19:25:00"/>
    <x v="1"/>
    <s v="Phone"/>
    <x v="0"/>
    <s v="A052"/>
    <x v="1"/>
    <n v="72"/>
    <n v="8.3000000000000007"/>
    <x v="1"/>
    <s v="No"/>
    <s v="Yes"/>
    <n v="5"/>
    <s v="Closed"/>
    <s v="January"/>
    <x v="0"/>
    <n v="2026"/>
    <s v="Yes"/>
    <n v="1"/>
    <x v="1"/>
    <n v="1"/>
  </r>
  <r>
    <s v="T000327"/>
    <x v="321"/>
    <d v="2026-01-19T23:36:00"/>
    <x v="2"/>
    <s v="Phone"/>
    <x v="0"/>
    <s v="A025"/>
    <x v="2"/>
    <n v="72"/>
    <n v="36.4"/>
    <x v="0"/>
    <s v="Yes"/>
    <s v="No"/>
    <m/>
    <s v="Closed"/>
    <s v="January"/>
    <x v="0"/>
    <n v="2026"/>
    <s v="Yes"/>
    <n v="1"/>
    <x v="2"/>
    <n v="0"/>
  </r>
  <r>
    <s v="T000328"/>
    <x v="322"/>
    <d v="2026-01-18T17:13:00"/>
    <x v="6"/>
    <s v="Chat"/>
    <x v="1"/>
    <s v="A051"/>
    <x v="1"/>
    <n v="24"/>
    <n v="4.4000000000000004"/>
    <x v="1"/>
    <s v="No"/>
    <s v="No"/>
    <n v="5"/>
    <s v="Closed"/>
    <s v="January"/>
    <x v="0"/>
    <n v="2026"/>
    <s v="Yes"/>
    <n v="1"/>
    <x v="4"/>
    <n v="1"/>
  </r>
  <r>
    <s v="T000329"/>
    <x v="323"/>
    <d v="2026-01-20T06:51:00"/>
    <x v="4"/>
    <s v="Phone"/>
    <x v="0"/>
    <s v="A030"/>
    <x v="2"/>
    <n v="72"/>
    <n v="41.6"/>
    <x v="0"/>
    <s v="No"/>
    <s v="No"/>
    <n v="3"/>
    <s v="Closed"/>
    <s v="January"/>
    <x v="0"/>
    <n v="2026"/>
    <s v="Yes"/>
    <n v="1"/>
    <x v="0"/>
    <n v="0"/>
  </r>
  <r>
    <s v="T000330"/>
    <x v="324"/>
    <d v="2026-01-19T09:34:00"/>
    <x v="4"/>
    <s v="Phone"/>
    <x v="0"/>
    <s v="A041"/>
    <x v="1"/>
    <n v="72"/>
    <n v="20.2"/>
    <x v="0"/>
    <s v="No"/>
    <s v="No"/>
    <n v="3"/>
    <s v="Closed"/>
    <s v="January"/>
    <x v="0"/>
    <n v="2026"/>
    <s v="Yes"/>
    <n v="1"/>
    <x v="3"/>
    <n v="0"/>
  </r>
  <r>
    <s v="T000331"/>
    <x v="325"/>
    <d v="2026-01-25T19:24:00"/>
    <x v="4"/>
    <s v="Field Visit"/>
    <x v="1"/>
    <s v="A001"/>
    <x v="0"/>
    <n v="24"/>
    <n v="173.6"/>
    <x v="0"/>
    <s v="Yes"/>
    <s v="No"/>
    <m/>
    <s v="Closed"/>
    <s v="January"/>
    <x v="0"/>
    <n v="2026"/>
    <s v="No"/>
    <n v="0"/>
    <x v="1"/>
    <n v="0"/>
  </r>
  <r>
    <s v="T000332"/>
    <x v="326"/>
    <d v="2026-01-23T08:16:00"/>
    <x v="4"/>
    <s v="Field Visit"/>
    <x v="0"/>
    <s v="A041"/>
    <x v="1"/>
    <n v="72"/>
    <n v="114.4"/>
    <x v="1"/>
    <s v="No"/>
    <s v="No"/>
    <n v="4"/>
    <s v="Closed"/>
    <s v="January"/>
    <x v="0"/>
    <n v="2026"/>
    <s v="No"/>
    <n v="0"/>
    <x v="1"/>
    <n v="1"/>
  </r>
  <r>
    <s v="T000333"/>
    <x v="327"/>
    <d v="2026-01-19T10:43:00"/>
    <x v="1"/>
    <s v="Chat"/>
    <x v="2"/>
    <s v="A002"/>
    <x v="0"/>
    <n v="4"/>
    <n v="19.8"/>
    <x v="0"/>
    <s v="No"/>
    <s v="No"/>
    <m/>
    <s v="Closed"/>
    <s v="January"/>
    <x v="0"/>
    <n v="2026"/>
    <s v="No"/>
    <n v="0"/>
    <x v="0"/>
    <n v="0"/>
  </r>
  <r>
    <s v="T000334"/>
    <x v="328"/>
    <d v="2026-01-19T15:25:00"/>
    <x v="2"/>
    <s v="Field Visit"/>
    <x v="0"/>
    <s v="A060"/>
    <x v="1"/>
    <n v="72"/>
    <n v="23.6"/>
    <x v="1"/>
    <s v="No"/>
    <s v="No"/>
    <m/>
    <s v="Closed"/>
    <s v="January"/>
    <x v="0"/>
    <n v="2026"/>
    <s v="Yes"/>
    <n v="1"/>
    <x v="1"/>
    <n v="1"/>
  </r>
  <r>
    <s v="T000335"/>
    <x v="329"/>
    <d v="2026-01-21T07:04:00"/>
    <x v="4"/>
    <s v="Field Visit"/>
    <x v="1"/>
    <s v="A022"/>
    <x v="2"/>
    <n v="24"/>
    <n v="63"/>
    <x v="0"/>
    <s v="No"/>
    <s v="No"/>
    <n v="2"/>
    <s v="Closed"/>
    <s v="January"/>
    <x v="0"/>
    <n v="2026"/>
    <s v="No"/>
    <n v="0"/>
    <x v="0"/>
    <n v="0"/>
  </r>
  <r>
    <s v="T000336"/>
    <x v="330"/>
    <d v="2026-01-21T09:50:00"/>
    <x v="3"/>
    <s v="Field Visit"/>
    <x v="1"/>
    <s v="A023"/>
    <x v="2"/>
    <n v="24"/>
    <n v="65.400000000000006"/>
    <x v="1"/>
    <s v="No"/>
    <s v="No"/>
    <n v="3"/>
    <s v="Closed"/>
    <s v="January"/>
    <x v="0"/>
    <n v="2026"/>
    <s v="No"/>
    <n v="0"/>
    <x v="0"/>
    <n v="1"/>
  </r>
  <r>
    <s v="T000337"/>
    <x v="331"/>
    <d v="2026-01-19T04:40:00"/>
    <x v="0"/>
    <s v="Phone"/>
    <x v="1"/>
    <s v="A006"/>
    <x v="0"/>
    <n v="24"/>
    <n v="11.8"/>
    <x v="1"/>
    <s v="No"/>
    <s v="No"/>
    <n v="3"/>
    <s v="Closed"/>
    <s v="January"/>
    <x v="0"/>
    <n v="2026"/>
    <s v="Yes"/>
    <n v="1"/>
    <x v="1"/>
    <n v="1"/>
  </r>
  <r>
    <s v="T000338"/>
    <x v="332"/>
    <d v="2026-01-19T15:24:00"/>
    <x v="0"/>
    <s v="Phone"/>
    <x v="1"/>
    <s v="A006"/>
    <x v="0"/>
    <n v="24"/>
    <n v="22.1"/>
    <x v="0"/>
    <s v="Yes"/>
    <s v="No"/>
    <m/>
    <s v="Closed"/>
    <s v="January"/>
    <x v="0"/>
    <n v="2026"/>
    <s v="Yes"/>
    <n v="1"/>
    <x v="4"/>
    <n v="0"/>
  </r>
  <r>
    <s v="T000339"/>
    <x v="333"/>
    <d v="2026-01-20T15:19:00"/>
    <x v="0"/>
    <s v="Email"/>
    <x v="0"/>
    <s v="A053"/>
    <x v="1"/>
    <n v="72"/>
    <n v="45.6"/>
    <x v="1"/>
    <s v="No"/>
    <s v="No"/>
    <n v="3"/>
    <s v="Closed"/>
    <s v="January"/>
    <x v="0"/>
    <n v="2026"/>
    <s v="Yes"/>
    <n v="1"/>
    <x v="2"/>
    <n v="1"/>
  </r>
  <r>
    <s v="T000340"/>
    <x v="334"/>
    <d v="2026-01-18T21:17:00"/>
    <x v="1"/>
    <s v="Chat"/>
    <x v="2"/>
    <s v="A043"/>
    <x v="1"/>
    <n v="4"/>
    <n v="3.5"/>
    <x v="1"/>
    <s v="No"/>
    <s v="Yes"/>
    <n v="4"/>
    <s v="Closed"/>
    <s v="January"/>
    <x v="0"/>
    <n v="2026"/>
    <s v="Yes"/>
    <n v="1"/>
    <x v="3"/>
    <n v="1"/>
  </r>
  <r>
    <s v="T000341"/>
    <x v="335"/>
    <d v="2026-01-19T21:27:00"/>
    <x v="0"/>
    <s v="Chat"/>
    <x v="0"/>
    <s v="A049"/>
    <x v="1"/>
    <n v="72"/>
    <n v="15.9"/>
    <x v="1"/>
    <s v="No"/>
    <s v="No"/>
    <n v="5"/>
    <s v="Closed"/>
    <s v="January"/>
    <x v="0"/>
    <n v="2026"/>
    <s v="Yes"/>
    <n v="1"/>
    <x v="2"/>
    <n v="1"/>
  </r>
  <r>
    <s v="T000342"/>
    <x v="336"/>
    <d v="2026-01-19T16:53:00"/>
    <x v="5"/>
    <s v="Chat"/>
    <x v="1"/>
    <s v="A047"/>
    <x v="1"/>
    <n v="24"/>
    <n v="9"/>
    <x v="1"/>
    <s v="No"/>
    <s v="No"/>
    <n v="5"/>
    <s v="Closed"/>
    <s v="January"/>
    <x v="0"/>
    <n v="2026"/>
    <s v="Yes"/>
    <n v="1"/>
    <x v="1"/>
    <n v="1"/>
  </r>
  <r>
    <s v="T000343"/>
    <x v="337"/>
    <d v="2026-01-21T00:30:00"/>
    <x v="0"/>
    <s v="Email"/>
    <x v="1"/>
    <s v="A034"/>
    <x v="2"/>
    <n v="24"/>
    <n v="40.4"/>
    <x v="1"/>
    <s v="No"/>
    <s v="No"/>
    <n v="5"/>
    <s v="Closed"/>
    <s v="January"/>
    <x v="0"/>
    <n v="2026"/>
    <s v="No"/>
    <n v="0"/>
    <x v="2"/>
    <n v="1"/>
  </r>
  <r>
    <s v="T000344"/>
    <x v="338"/>
    <d v="2026-01-21T11:14:00"/>
    <x v="3"/>
    <s v="Field Visit"/>
    <x v="1"/>
    <s v="A053"/>
    <x v="1"/>
    <n v="24"/>
    <n v="50.2"/>
    <x v="1"/>
    <s v="No"/>
    <s v="No"/>
    <n v="3"/>
    <s v="Closed"/>
    <s v="January"/>
    <x v="0"/>
    <n v="2026"/>
    <s v="No"/>
    <n v="0"/>
    <x v="1"/>
    <n v="1"/>
  </r>
  <r>
    <s v="T000345"/>
    <x v="339"/>
    <d v="2026-01-19T13:30:00"/>
    <x v="0"/>
    <s v="Phone"/>
    <x v="1"/>
    <s v="A033"/>
    <x v="2"/>
    <n v="24"/>
    <n v="4.3"/>
    <x v="1"/>
    <s v="No"/>
    <s v="No"/>
    <m/>
    <s v="Closed"/>
    <s v="January"/>
    <x v="0"/>
    <n v="2026"/>
    <s v="Yes"/>
    <n v="1"/>
    <x v="4"/>
    <n v="1"/>
  </r>
  <r>
    <s v="T000346"/>
    <x v="340"/>
    <d v="2026-01-28T02:16:00"/>
    <x v="4"/>
    <s v="Field Visit"/>
    <x v="1"/>
    <s v="A002"/>
    <x v="0"/>
    <n v="24"/>
    <n v="208.8"/>
    <x v="1"/>
    <s v="No"/>
    <s v="Yes"/>
    <n v="4"/>
    <s v="Closed"/>
    <s v="January"/>
    <x v="0"/>
    <n v="2026"/>
    <s v="No"/>
    <n v="0"/>
    <x v="1"/>
    <n v="1"/>
  </r>
  <r>
    <s v="T000347"/>
    <x v="341"/>
    <d v="2026-01-20T22:51:00"/>
    <x v="2"/>
    <s v="Email"/>
    <x v="0"/>
    <s v="A018"/>
    <x v="2"/>
    <n v="72"/>
    <n v="36.799999999999997"/>
    <x v="1"/>
    <s v="No"/>
    <s v="No"/>
    <n v="5"/>
    <s v="Closed"/>
    <s v="January"/>
    <x v="0"/>
    <n v="2026"/>
    <s v="Yes"/>
    <n v="1"/>
    <x v="1"/>
    <n v="1"/>
  </r>
  <r>
    <s v="T000348"/>
    <x v="342"/>
    <d v="2026-01-19T14:11:00"/>
    <x v="5"/>
    <s v="Chat"/>
    <x v="0"/>
    <s v="A013"/>
    <x v="0"/>
    <n v="72"/>
    <n v="3.8"/>
    <x v="1"/>
    <s v="No"/>
    <s v="No"/>
    <n v="4"/>
    <s v="Closed"/>
    <s v="January"/>
    <x v="0"/>
    <n v="2026"/>
    <s v="Yes"/>
    <n v="1"/>
    <x v="4"/>
    <n v="1"/>
  </r>
  <r>
    <s v="T000349"/>
    <x v="343"/>
    <d v="2026-01-19T12:38:00"/>
    <x v="1"/>
    <s v="Chat"/>
    <x v="0"/>
    <s v="A019"/>
    <x v="2"/>
    <n v="72"/>
    <n v="0.9"/>
    <x v="0"/>
    <s v="No"/>
    <s v="No"/>
    <n v="2"/>
    <s v="Closed"/>
    <s v="January"/>
    <x v="0"/>
    <n v="2026"/>
    <s v="Yes"/>
    <n v="1"/>
    <x v="1"/>
    <n v="0"/>
  </r>
  <r>
    <s v="T000350"/>
    <x v="344"/>
    <d v="2026-01-22T18:45:00"/>
    <x v="4"/>
    <s v="Field Visit"/>
    <x v="0"/>
    <s v="A015"/>
    <x v="0"/>
    <n v="72"/>
    <n v="78.400000000000006"/>
    <x v="1"/>
    <s v="No"/>
    <s v="No"/>
    <n v="3"/>
    <s v="Closed"/>
    <s v="January"/>
    <x v="0"/>
    <n v="2026"/>
    <s v="No"/>
    <n v="0"/>
    <x v="4"/>
    <n v="1"/>
  </r>
  <r>
    <s v="T000351"/>
    <x v="345"/>
    <d v="2026-01-22T19:11:00"/>
    <x v="3"/>
    <s v="Field Visit"/>
    <x v="2"/>
    <s v="A011"/>
    <x v="0"/>
    <n v="4"/>
    <n v="78.8"/>
    <x v="0"/>
    <s v="Yes"/>
    <s v="No"/>
    <n v="1"/>
    <s v="Closed"/>
    <s v="January"/>
    <x v="0"/>
    <n v="2026"/>
    <s v="No"/>
    <n v="0"/>
    <x v="0"/>
    <n v="0"/>
  </r>
  <r>
    <s v="T000352"/>
    <x v="346"/>
    <d v="2026-01-23T01:55:00"/>
    <x v="3"/>
    <s v="Field Visit"/>
    <x v="1"/>
    <s v="A045"/>
    <x v="1"/>
    <n v="24"/>
    <n v="85.4"/>
    <x v="1"/>
    <s v="No"/>
    <s v="No"/>
    <n v="4"/>
    <s v="Closed"/>
    <s v="January"/>
    <x v="0"/>
    <n v="2026"/>
    <s v="No"/>
    <n v="0"/>
    <x v="0"/>
    <n v="1"/>
  </r>
  <r>
    <s v="T000353"/>
    <x v="347"/>
    <d v="2026-01-19T15:32:00"/>
    <x v="1"/>
    <s v="Chat"/>
    <x v="0"/>
    <s v="A048"/>
    <x v="1"/>
    <n v="72"/>
    <n v="2.8"/>
    <x v="1"/>
    <s v="No"/>
    <s v="No"/>
    <n v="5"/>
    <s v="Closed"/>
    <s v="January"/>
    <x v="0"/>
    <n v="2026"/>
    <s v="Yes"/>
    <n v="1"/>
    <x v="1"/>
    <n v="1"/>
  </r>
  <r>
    <s v="T000354"/>
    <x v="348"/>
    <d v="2026-01-19T15:54:00"/>
    <x v="5"/>
    <s v="Chat"/>
    <x v="2"/>
    <s v="A050"/>
    <x v="1"/>
    <n v="4"/>
    <n v="3"/>
    <x v="1"/>
    <s v="No"/>
    <s v="No"/>
    <n v="4"/>
    <s v="Closed"/>
    <s v="January"/>
    <x v="0"/>
    <n v="2026"/>
    <s v="Yes"/>
    <n v="1"/>
    <x v="0"/>
    <n v="1"/>
  </r>
  <r>
    <s v="T000355"/>
    <x v="349"/>
    <d v="2026-01-19T19:34:00"/>
    <x v="6"/>
    <s v="Chat"/>
    <x v="2"/>
    <s v="A039"/>
    <x v="1"/>
    <n v="4"/>
    <n v="6.3"/>
    <x v="0"/>
    <s v="Yes"/>
    <s v="Yes"/>
    <m/>
    <s v="Closed"/>
    <s v="January"/>
    <x v="0"/>
    <n v="2026"/>
    <s v="No"/>
    <n v="0"/>
    <x v="4"/>
    <n v="0"/>
  </r>
  <r>
    <s v="T000356"/>
    <x v="350"/>
    <d v="2026-01-24T04:49:00"/>
    <x v="4"/>
    <s v="Field Visit"/>
    <x v="1"/>
    <s v="A004"/>
    <x v="0"/>
    <n v="24"/>
    <n v="111"/>
    <x v="0"/>
    <s v="Yes"/>
    <s v="No"/>
    <n v="3"/>
    <s v="Closed"/>
    <s v="January"/>
    <x v="0"/>
    <n v="2026"/>
    <s v="No"/>
    <n v="0"/>
    <x v="4"/>
    <n v="0"/>
  </r>
  <r>
    <s v="T000357"/>
    <x v="351"/>
    <d v="2026-01-21T08:58:00"/>
    <x v="3"/>
    <s v="Phone"/>
    <x v="0"/>
    <s v="A045"/>
    <x v="1"/>
    <n v="72"/>
    <n v="42.6"/>
    <x v="1"/>
    <s v="No"/>
    <s v="Yes"/>
    <m/>
    <s v="Closed"/>
    <s v="January"/>
    <x v="0"/>
    <n v="2026"/>
    <s v="Yes"/>
    <n v="1"/>
    <x v="0"/>
    <n v="1"/>
  </r>
  <r>
    <s v="T000358"/>
    <x v="352"/>
    <d v="2026-01-20T02:03:00"/>
    <x v="5"/>
    <s v="Phone"/>
    <x v="1"/>
    <s v="A050"/>
    <x v="1"/>
    <n v="24"/>
    <n v="11.4"/>
    <x v="1"/>
    <s v="No"/>
    <s v="Yes"/>
    <n v="5"/>
    <s v="Closed"/>
    <s v="January"/>
    <x v="0"/>
    <n v="2026"/>
    <s v="Yes"/>
    <n v="1"/>
    <x v="2"/>
    <n v="1"/>
  </r>
  <r>
    <s v="T000359"/>
    <x v="353"/>
    <d v="2026-01-20T10:13:00"/>
    <x v="4"/>
    <s v="Chat"/>
    <x v="1"/>
    <s v="A048"/>
    <x v="1"/>
    <n v="24"/>
    <n v="19.5"/>
    <x v="0"/>
    <s v="No"/>
    <s v="No"/>
    <m/>
    <s v="Closed"/>
    <s v="January"/>
    <x v="0"/>
    <n v="2026"/>
    <s v="Yes"/>
    <n v="1"/>
    <x v="1"/>
    <n v="0"/>
  </r>
  <r>
    <s v="T000360"/>
    <x v="354"/>
    <d v="2026-01-19T21:53:00"/>
    <x v="4"/>
    <s v="Chat"/>
    <x v="0"/>
    <s v="A018"/>
    <x v="2"/>
    <n v="72"/>
    <n v="6.8"/>
    <x v="1"/>
    <s v="No"/>
    <s v="No"/>
    <n v="5"/>
    <s v="Closed"/>
    <s v="January"/>
    <x v="0"/>
    <n v="2026"/>
    <s v="Yes"/>
    <n v="1"/>
    <x v="4"/>
    <n v="1"/>
  </r>
  <r>
    <s v="T000361"/>
    <x v="355"/>
    <d v="2026-01-20T02:41:00"/>
    <x v="5"/>
    <s v="Phone"/>
    <x v="1"/>
    <s v="A022"/>
    <x v="2"/>
    <n v="24"/>
    <n v="11.3"/>
    <x v="1"/>
    <s v="No"/>
    <s v="No"/>
    <m/>
    <s v="Closed"/>
    <s v="January"/>
    <x v="0"/>
    <n v="2026"/>
    <s v="Yes"/>
    <n v="1"/>
    <x v="0"/>
    <n v="1"/>
  </r>
  <r>
    <s v="T000362"/>
    <x v="356"/>
    <d v="2026-01-19T20:33:00"/>
    <x v="6"/>
    <s v="Phone"/>
    <x v="1"/>
    <s v="A037"/>
    <x v="1"/>
    <n v="24"/>
    <n v="5"/>
    <x v="1"/>
    <s v="No"/>
    <s v="No"/>
    <m/>
    <s v="Closed"/>
    <s v="January"/>
    <x v="0"/>
    <n v="2026"/>
    <s v="Yes"/>
    <n v="1"/>
    <x v="0"/>
    <n v="1"/>
  </r>
  <r>
    <s v="T000363"/>
    <x v="357"/>
    <d v="2026-01-19T18:57:00"/>
    <x v="1"/>
    <s v="Chat"/>
    <x v="1"/>
    <s v="A051"/>
    <x v="1"/>
    <n v="24"/>
    <n v="3.2"/>
    <x v="0"/>
    <s v="No"/>
    <s v="No"/>
    <m/>
    <s v="Closed"/>
    <s v="January"/>
    <x v="0"/>
    <n v="2026"/>
    <s v="Yes"/>
    <n v="1"/>
    <x v="0"/>
    <n v="0"/>
  </r>
  <r>
    <s v="T000364"/>
    <x v="358"/>
    <d v="2026-01-19T23:28:00"/>
    <x v="2"/>
    <s v="Phone"/>
    <x v="1"/>
    <s v="A050"/>
    <x v="1"/>
    <n v="24"/>
    <n v="7.7"/>
    <x v="1"/>
    <s v="No"/>
    <s v="No"/>
    <n v="5"/>
    <s v="Closed"/>
    <s v="January"/>
    <x v="0"/>
    <n v="2026"/>
    <s v="Yes"/>
    <n v="1"/>
    <x v="3"/>
    <n v="1"/>
  </r>
  <r>
    <s v="T000365"/>
    <x v="359"/>
    <d v="2026-01-19T21:24:00"/>
    <x v="1"/>
    <s v="Phone"/>
    <x v="1"/>
    <s v="A057"/>
    <x v="1"/>
    <n v="24"/>
    <n v="5.5"/>
    <x v="1"/>
    <s v="No"/>
    <s v="No"/>
    <m/>
    <s v="Closed"/>
    <s v="January"/>
    <x v="0"/>
    <n v="2026"/>
    <s v="Yes"/>
    <n v="1"/>
    <x v="4"/>
    <n v="1"/>
  </r>
  <r>
    <s v="T000366"/>
    <x v="360"/>
    <d v="2026-01-22T02:55:00"/>
    <x v="3"/>
    <s v="Phone"/>
    <x v="1"/>
    <s v="A008"/>
    <x v="0"/>
    <n v="24"/>
    <n v="58.3"/>
    <x v="0"/>
    <s v="No"/>
    <s v="No"/>
    <n v="3"/>
    <s v="Closed"/>
    <s v="January"/>
    <x v="0"/>
    <n v="2026"/>
    <s v="No"/>
    <n v="0"/>
    <x v="1"/>
    <n v="0"/>
  </r>
  <r>
    <s v="T000367"/>
    <x v="361"/>
    <d v="2026-01-22T21:50:00"/>
    <x v="3"/>
    <s v="Field Visit"/>
    <x v="0"/>
    <s v="A056"/>
    <x v="1"/>
    <n v="72"/>
    <n v="76.900000000000006"/>
    <x v="1"/>
    <s v="No"/>
    <s v="No"/>
    <m/>
    <s v="Closed"/>
    <s v="January"/>
    <x v="0"/>
    <n v="2026"/>
    <s v="No"/>
    <n v="0"/>
    <x v="1"/>
    <n v="1"/>
  </r>
  <r>
    <s v="T000368"/>
    <x v="362"/>
    <d v="2026-01-20T04:33:00"/>
    <x v="3"/>
    <s v="Phone"/>
    <x v="0"/>
    <s v="A060"/>
    <x v="1"/>
    <n v="72"/>
    <n v="10.6"/>
    <x v="1"/>
    <s v="No"/>
    <s v="No"/>
    <m/>
    <s v="Closed"/>
    <s v="January"/>
    <x v="0"/>
    <n v="2026"/>
    <s v="Yes"/>
    <n v="1"/>
    <x v="4"/>
    <n v="1"/>
  </r>
  <r>
    <s v="T000369"/>
    <x v="363"/>
    <d v="2026-01-20T17:15:00"/>
    <x v="2"/>
    <s v="Field Visit"/>
    <x v="0"/>
    <s v="A011"/>
    <x v="0"/>
    <n v="72"/>
    <n v="20.7"/>
    <x v="1"/>
    <s v="No"/>
    <s v="No"/>
    <n v="5"/>
    <s v="Closed"/>
    <s v="January"/>
    <x v="0"/>
    <n v="2026"/>
    <s v="Yes"/>
    <n v="1"/>
    <x v="1"/>
    <n v="1"/>
  </r>
  <r>
    <s v="T000370"/>
    <x v="364"/>
    <d v="2026-01-21T16:56:00"/>
    <x v="0"/>
    <s v="Field Visit"/>
    <x v="0"/>
    <s v="A029"/>
    <x v="2"/>
    <n v="72"/>
    <n v="34.799999999999997"/>
    <x v="1"/>
    <s v="No"/>
    <s v="No"/>
    <n v="5"/>
    <s v="Closed"/>
    <s v="January"/>
    <x v="0"/>
    <n v="2026"/>
    <s v="Yes"/>
    <n v="1"/>
    <x v="1"/>
    <n v="1"/>
  </r>
  <r>
    <s v="T000371"/>
    <x v="365"/>
    <d v="2026-01-20T19:35:00"/>
    <x v="2"/>
    <s v="Phone"/>
    <x v="0"/>
    <s v="A002"/>
    <x v="0"/>
    <n v="72"/>
    <n v="12.3"/>
    <x v="1"/>
    <s v="No"/>
    <s v="No"/>
    <m/>
    <s v="Closed"/>
    <s v="January"/>
    <x v="0"/>
    <n v="2026"/>
    <s v="Yes"/>
    <n v="1"/>
    <x v="3"/>
    <n v="1"/>
  </r>
  <r>
    <s v="T000372"/>
    <x v="366"/>
    <d v="2026-01-20T20:00:00"/>
    <x v="3"/>
    <s v="Field Visit"/>
    <x v="2"/>
    <s v="A038"/>
    <x v="1"/>
    <n v="4"/>
    <n v="9.9"/>
    <x v="1"/>
    <s v="No"/>
    <s v="No"/>
    <m/>
    <s v="Closed"/>
    <s v="January"/>
    <x v="0"/>
    <n v="2026"/>
    <s v="No"/>
    <n v="0"/>
    <x v="3"/>
    <n v="1"/>
  </r>
  <r>
    <s v="T000373"/>
    <x v="367"/>
    <d v="2026-01-21T11:38:00"/>
    <x v="0"/>
    <s v="Chat"/>
    <x v="1"/>
    <s v="A003"/>
    <x v="0"/>
    <n v="24"/>
    <n v="25"/>
    <x v="1"/>
    <s v="No"/>
    <s v="No"/>
    <m/>
    <s v="Closed"/>
    <s v="January"/>
    <x v="0"/>
    <n v="2026"/>
    <s v="No"/>
    <n v="0"/>
    <x v="4"/>
    <n v="1"/>
  </r>
  <r>
    <s v="T000374"/>
    <x v="368"/>
    <d v="2026-01-20T15:54:00"/>
    <x v="5"/>
    <s v="Phone"/>
    <x v="1"/>
    <s v="A009"/>
    <x v="0"/>
    <n v="24"/>
    <n v="5.2"/>
    <x v="1"/>
    <s v="No"/>
    <s v="No"/>
    <n v="3"/>
    <s v="Closed"/>
    <s v="January"/>
    <x v="0"/>
    <n v="2026"/>
    <s v="Yes"/>
    <n v="1"/>
    <x v="4"/>
    <n v="1"/>
  </r>
  <r>
    <s v="T000375"/>
    <x v="369"/>
    <d v="2026-01-20T16:52:00"/>
    <x v="6"/>
    <s v="Phone"/>
    <x v="1"/>
    <s v="A020"/>
    <x v="2"/>
    <n v="24"/>
    <n v="5.4"/>
    <x v="1"/>
    <s v="No"/>
    <s v="No"/>
    <m/>
    <s v="Closed"/>
    <s v="January"/>
    <x v="0"/>
    <n v="2026"/>
    <s v="Yes"/>
    <n v="1"/>
    <x v="1"/>
    <n v="1"/>
  </r>
  <r>
    <s v="T000376"/>
    <x v="370"/>
    <d v="2026-01-21T05:55:00"/>
    <x v="6"/>
    <s v="Field Visit"/>
    <x v="2"/>
    <s v="A053"/>
    <x v="1"/>
    <n v="4"/>
    <n v="18.399999999999999"/>
    <x v="1"/>
    <s v="No"/>
    <s v="No"/>
    <n v="4"/>
    <s v="Closed"/>
    <s v="January"/>
    <x v="0"/>
    <n v="2026"/>
    <s v="No"/>
    <n v="0"/>
    <x v="0"/>
    <n v="1"/>
  </r>
  <r>
    <s v="T000377"/>
    <x v="371"/>
    <d v="2026-01-22T13:37:00"/>
    <x v="6"/>
    <s v="Field Visit"/>
    <x v="2"/>
    <s v="A035"/>
    <x v="2"/>
    <n v="4"/>
    <n v="48.8"/>
    <x v="1"/>
    <s v="No"/>
    <s v="No"/>
    <n v="3"/>
    <s v="Closed"/>
    <s v="January"/>
    <x v="0"/>
    <n v="2026"/>
    <s v="No"/>
    <n v="0"/>
    <x v="4"/>
    <n v="1"/>
  </r>
  <r>
    <s v="T000378"/>
    <x v="372"/>
    <d v="2026-01-21T00:31:00"/>
    <x v="2"/>
    <s v="Phone"/>
    <x v="2"/>
    <s v="A043"/>
    <x v="1"/>
    <n v="4"/>
    <n v="11.2"/>
    <x v="1"/>
    <s v="No"/>
    <s v="No"/>
    <n v="5"/>
    <s v="Closed"/>
    <s v="January"/>
    <x v="0"/>
    <n v="2026"/>
    <s v="No"/>
    <n v="0"/>
    <x v="1"/>
    <n v="1"/>
  </r>
  <r>
    <s v="T000379"/>
    <x v="373"/>
    <d v="2026-01-21T00:17:00"/>
    <x v="0"/>
    <s v="Chat"/>
    <x v="1"/>
    <s v="A048"/>
    <x v="1"/>
    <n v="24"/>
    <n v="10.6"/>
    <x v="1"/>
    <s v="No"/>
    <s v="No"/>
    <n v="5"/>
    <s v="Closed"/>
    <s v="January"/>
    <x v="0"/>
    <n v="2026"/>
    <s v="Yes"/>
    <n v="1"/>
    <x v="3"/>
    <n v="1"/>
  </r>
  <r>
    <s v="T000380"/>
    <x v="374"/>
    <d v="2026-01-20T18:33:00"/>
    <x v="1"/>
    <s v="Phone"/>
    <x v="0"/>
    <s v="A056"/>
    <x v="1"/>
    <n v="72"/>
    <n v="4.4000000000000004"/>
    <x v="1"/>
    <s v="No"/>
    <s v="Yes"/>
    <m/>
    <s v="Closed"/>
    <s v="January"/>
    <x v="0"/>
    <n v="2026"/>
    <s v="Yes"/>
    <n v="1"/>
    <x v="0"/>
    <n v="1"/>
  </r>
  <r>
    <s v="T000381"/>
    <x v="375"/>
    <d v="2026-01-20T19:41:00"/>
    <x v="1"/>
    <s v="Phone"/>
    <x v="1"/>
    <s v="A054"/>
    <x v="1"/>
    <n v="24"/>
    <n v="5.5"/>
    <x v="0"/>
    <s v="No"/>
    <s v="No"/>
    <n v="3"/>
    <s v="Closed"/>
    <s v="January"/>
    <x v="0"/>
    <n v="2026"/>
    <s v="Yes"/>
    <n v="1"/>
    <x v="4"/>
    <n v="0"/>
  </r>
  <r>
    <s v="T000382"/>
    <x v="376"/>
    <d v="2026-01-22T05:29:00"/>
    <x v="6"/>
    <s v="Field Visit"/>
    <x v="2"/>
    <s v="A039"/>
    <x v="1"/>
    <n v="4"/>
    <n v="39.1"/>
    <x v="1"/>
    <s v="No"/>
    <s v="Yes"/>
    <n v="4"/>
    <s v="Closed"/>
    <s v="January"/>
    <x v="0"/>
    <n v="2026"/>
    <s v="No"/>
    <n v="0"/>
    <x v="3"/>
    <n v="1"/>
  </r>
  <r>
    <s v="T000383"/>
    <x v="377"/>
    <d v="2026-01-21T02:50:00"/>
    <x v="0"/>
    <s v="Chat"/>
    <x v="1"/>
    <s v="A018"/>
    <x v="2"/>
    <n v="24"/>
    <n v="11.2"/>
    <x v="1"/>
    <s v="No"/>
    <s v="No"/>
    <m/>
    <s v="Closed"/>
    <s v="January"/>
    <x v="0"/>
    <n v="2026"/>
    <s v="Yes"/>
    <n v="1"/>
    <x v="4"/>
    <n v="1"/>
  </r>
  <r>
    <s v="T000384"/>
    <x v="378"/>
    <d v="2026-01-21T00:09:00"/>
    <x v="2"/>
    <s v="Phone"/>
    <x v="1"/>
    <s v="A026"/>
    <x v="2"/>
    <n v="24"/>
    <n v="8.1999999999999993"/>
    <x v="0"/>
    <s v="No"/>
    <s v="No"/>
    <m/>
    <s v="Closed"/>
    <s v="January"/>
    <x v="0"/>
    <n v="2026"/>
    <s v="Yes"/>
    <n v="1"/>
    <x v="2"/>
    <n v="0"/>
  </r>
  <r>
    <s v="T000385"/>
    <x v="379"/>
    <d v="2026-01-21T09:48:00"/>
    <x v="1"/>
    <s v="Phone"/>
    <x v="1"/>
    <s v="A006"/>
    <x v="0"/>
    <n v="24"/>
    <n v="17.600000000000001"/>
    <x v="1"/>
    <s v="No"/>
    <s v="No"/>
    <m/>
    <s v="Closed"/>
    <s v="January"/>
    <x v="0"/>
    <n v="2026"/>
    <s v="Yes"/>
    <n v="1"/>
    <x v="2"/>
    <n v="1"/>
  </r>
  <r>
    <s v="T000386"/>
    <x v="380"/>
    <d v="2026-01-21T04:54:00"/>
    <x v="0"/>
    <s v="Email"/>
    <x v="0"/>
    <s v="A046"/>
    <x v="1"/>
    <n v="72"/>
    <n v="10.1"/>
    <x v="0"/>
    <s v="No"/>
    <s v="No"/>
    <n v="4"/>
    <s v="Closed"/>
    <s v="January"/>
    <x v="0"/>
    <n v="2026"/>
    <s v="Yes"/>
    <n v="1"/>
    <x v="3"/>
    <n v="0"/>
  </r>
  <r>
    <s v="T000387"/>
    <x v="381"/>
    <d v="2026-01-20T22:10:00"/>
    <x v="5"/>
    <s v="Phone"/>
    <x v="1"/>
    <s v="A057"/>
    <x v="1"/>
    <n v="24"/>
    <n v="3.3"/>
    <x v="1"/>
    <s v="No"/>
    <s v="No"/>
    <n v="5"/>
    <s v="Closed"/>
    <s v="January"/>
    <x v="0"/>
    <n v="2026"/>
    <s v="Yes"/>
    <n v="1"/>
    <x v="0"/>
    <n v="1"/>
  </r>
  <r>
    <s v="T000388"/>
    <x v="382"/>
    <d v="2026-01-21T21:59:00"/>
    <x v="0"/>
    <s v="Email"/>
    <x v="1"/>
    <s v="A030"/>
    <x v="2"/>
    <n v="24"/>
    <n v="24.4"/>
    <x v="1"/>
    <s v="No"/>
    <s v="No"/>
    <n v="4"/>
    <s v="Closed"/>
    <s v="January"/>
    <x v="0"/>
    <n v="2026"/>
    <s v="No"/>
    <n v="0"/>
    <x v="2"/>
    <n v="1"/>
  </r>
  <r>
    <s v="T000389"/>
    <x v="383"/>
    <d v="2026-01-21T17:22:00"/>
    <x v="1"/>
    <s v="Email"/>
    <x v="0"/>
    <s v="A051"/>
    <x v="1"/>
    <n v="72"/>
    <n v="13.2"/>
    <x v="1"/>
    <s v="No"/>
    <s v="No"/>
    <m/>
    <s v="Closed"/>
    <s v="January"/>
    <x v="0"/>
    <n v="2026"/>
    <s v="Yes"/>
    <n v="1"/>
    <x v="4"/>
    <n v="1"/>
  </r>
  <r>
    <s v="T000390"/>
    <x v="384"/>
    <d v="2026-01-21T12:52:00"/>
    <x v="6"/>
    <s v="Chat"/>
    <x v="0"/>
    <s v="A026"/>
    <x v="2"/>
    <n v="72"/>
    <n v="7.9"/>
    <x v="1"/>
    <s v="No"/>
    <s v="No"/>
    <n v="5"/>
    <s v="Closed"/>
    <s v="January"/>
    <x v="0"/>
    <n v="2026"/>
    <s v="Yes"/>
    <n v="1"/>
    <x v="3"/>
    <n v="1"/>
  </r>
  <r>
    <s v="T000391"/>
    <x v="385"/>
    <d v="2026-01-21T11:45:00"/>
    <x v="6"/>
    <s v="Phone"/>
    <x v="1"/>
    <s v="A032"/>
    <x v="2"/>
    <n v="24"/>
    <n v="4.9000000000000004"/>
    <x v="1"/>
    <s v="No"/>
    <s v="No"/>
    <n v="5"/>
    <s v="Closed"/>
    <s v="January"/>
    <x v="0"/>
    <n v="2026"/>
    <s v="Yes"/>
    <n v="1"/>
    <x v="1"/>
    <n v="1"/>
  </r>
  <r>
    <s v="T000392"/>
    <x v="386"/>
    <d v="2026-01-22T16:05:00"/>
    <x v="0"/>
    <s v="Phone"/>
    <x v="1"/>
    <s v="A003"/>
    <x v="0"/>
    <n v="24"/>
    <n v="32.5"/>
    <x v="1"/>
    <s v="No"/>
    <s v="No"/>
    <n v="4"/>
    <s v="Closed"/>
    <s v="January"/>
    <x v="0"/>
    <n v="2026"/>
    <s v="No"/>
    <n v="0"/>
    <x v="3"/>
    <n v="1"/>
  </r>
  <r>
    <s v="T000393"/>
    <x v="387"/>
    <d v="2026-01-27T20:52:00"/>
    <x v="4"/>
    <s v="Field Visit"/>
    <x v="0"/>
    <s v="A059"/>
    <x v="1"/>
    <n v="72"/>
    <n v="155.1"/>
    <x v="1"/>
    <s v="No"/>
    <s v="No"/>
    <n v="4"/>
    <s v="Closed"/>
    <s v="January"/>
    <x v="0"/>
    <n v="2026"/>
    <s v="No"/>
    <n v="0"/>
    <x v="2"/>
    <n v="1"/>
  </r>
  <r>
    <s v="T000394"/>
    <x v="388"/>
    <d v="2026-01-21T14:22:00"/>
    <x v="1"/>
    <s v="Phone"/>
    <x v="0"/>
    <s v="A054"/>
    <x v="1"/>
    <n v="72"/>
    <n v="2.2000000000000002"/>
    <x v="1"/>
    <s v="No"/>
    <s v="No"/>
    <n v="5"/>
    <s v="Closed"/>
    <s v="January"/>
    <x v="0"/>
    <n v="2026"/>
    <s v="Yes"/>
    <n v="1"/>
    <x v="0"/>
    <n v="1"/>
  </r>
  <r>
    <s v="T000395"/>
    <x v="389"/>
    <d v="2026-01-21T15:54:00"/>
    <x v="0"/>
    <s v="Phone"/>
    <x v="1"/>
    <s v="A055"/>
    <x v="1"/>
    <n v="24"/>
    <n v="3.7"/>
    <x v="1"/>
    <s v="No"/>
    <s v="No"/>
    <m/>
    <s v="Closed"/>
    <s v="January"/>
    <x v="0"/>
    <n v="2026"/>
    <s v="Yes"/>
    <n v="1"/>
    <x v="0"/>
    <n v="1"/>
  </r>
  <r>
    <s v="T000396"/>
    <x v="390"/>
    <d v="2026-01-21T23:08:00"/>
    <x v="0"/>
    <s v="Chat"/>
    <x v="0"/>
    <s v="A059"/>
    <x v="1"/>
    <n v="72"/>
    <n v="9.4"/>
    <x v="1"/>
    <s v="No"/>
    <s v="No"/>
    <m/>
    <s v="Closed"/>
    <s v="January"/>
    <x v="0"/>
    <n v="2026"/>
    <s v="Yes"/>
    <n v="1"/>
    <x v="1"/>
    <n v="1"/>
  </r>
  <r>
    <s v="T000397"/>
    <x v="391"/>
    <d v="2026-01-21T18:29:00"/>
    <x v="2"/>
    <s v="Chat"/>
    <x v="1"/>
    <s v="A046"/>
    <x v="1"/>
    <n v="24"/>
    <n v="3.9"/>
    <x v="0"/>
    <s v="No"/>
    <s v="No"/>
    <n v="5"/>
    <s v="Closed"/>
    <s v="January"/>
    <x v="0"/>
    <n v="2026"/>
    <s v="Yes"/>
    <n v="1"/>
    <x v="0"/>
    <n v="0"/>
  </r>
  <r>
    <s v="T000398"/>
    <x v="392"/>
    <d v="2026-01-21T22:29:00"/>
    <x v="6"/>
    <s v="Phone"/>
    <x v="1"/>
    <s v="A017"/>
    <x v="2"/>
    <n v="24"/>
    <n v="6.1"/>
    <x v="0"/>
    <s v="Yes"/>
    <s v="No"/>
    <m/>
    <s v="Closed"/>
    <s v="January"/>
    <x v="0"/>
    <n v="2026"/>
    <s v="Yes"/>
    <n v="1"/>
    <x v="1"/>
    <n v="0"/>
  </r>
  <r>
    <s v="T000399"/>
    <x v="393"/>
    <d v="2026-01-22T15:15:00"/>
    <x v="1"/>
    <s v="Email"/>
    <x v="1"/>
    <s v="A020"/>
    <x v="2"/>
    <n v="24"/>
    <n v="22.3"/>
    <x v="1"/>
    <s v="No"/>
    <s v="No"/>
    <m/>
    <s v="Closed"/>
    <s v="January"/>
    <x v="0"/>
    <n v="2026"/>
    <s v="Yes"/>
    <n v="1"/>
    <x v="4"/>
    <n v="1"/>
  </r>
  <r>
    <s v="T000400"/>
    <x v="394"/>
    <d v="2026-01-22T21:40:00"/>
    <x v="3"/>
    <s v="Phone"/>
    <x v="1"/>
    <s v="A053"/>
    <x v="1"/>
    <n v="24"/>
    <n v="28.3"/>
    <x v="1"/>
    <s v="No"/>
    <s v="No"/>
    <m/>
    <s v="Closed"/>
    <s v="January"/>
    <x v="0"/>
    <n v="2026"/>
    <s v="No"/>
    <n v="0"/>
    <x v="1"/>
    <n v="1"/>
  </r>
  <r>
    <s v="T000401"/>
    <x v="395"/>
    <d v="2026-01-22T18:22:00"/>
    <x v="2"/>
    <s v="Field Visit"/>
    <x v="1"/>
    <s v="A003"/>
    <x v="0"/>
    <n v="24"/>
    <n v="23.6"/>
    <x v="1"/>
    <s v="No"/>
    <s v="No"/>
    <n v="5"/>
    <s v="Closed"/>
    <s v="January"/>
    <x v="0"/>
    <n v="2026"/>
    <s v="Yes"/>
    <n v="1"/>
    <x v="3"/>
    <n v="1"/>
  </r>
  <r>
    <s v="T000402"/>
    <x v="396"/>
    <d v="2026-01-22T02:18:00"/>
    <x v="6"/>
    <s v="Phone"/>
    <x v="0"/>
    <s v="A002"/>
    <x v="0"/>
    <n v="72"/>
    <n v="7.5"/>
    <x v="1"/>
    <s v="No"/>
    <s v="No"/>
    <n v="2"/>
    <s v="Closed"/>
    <s v="January"/>
    <x v="0"/>
    <n v="2026"/>
    <s v="Yes"/>
    <n v="1"/>
    <x v="2"/>
    <n v="1"/>
  </r>
  <r>
    <s v="T000403"/>
    <x v="397"/>
    <d v="2026-01-22T09:59:00"/>
    <x v="0"/>
    <s v="Email"/>
    <x v="0"/>
    <s v="A025"/>
    <x v="2"/>
    <n v="72"/>
    <n v="14"/>
    <x v="1"/>
    <s v="No"/>
    <s v="No"/>
    <n v="4"/>
    <s v="Closed"/>
    <s v="January"/>
    <x v="0"/>
    <n v="2026"/>
    <s v="Yes"/>
    <n v="1"/>
    <x v="4"/>
    <n v="1"/>
  </r>
  <r>
    <s v="T000404"/>
    <x v="398"/>
    <d v="2026-01-22T02:29:00"/>
    <x v="1"/>
    <s v="Phone"/>
    <x v="1"/>
    <s v="A045"/>
    <x v="1"/>
    <n v="24"/>
    <n v="3.1"/>
    <x v="1"/>
    <s v="No"/>
    <s v="No"/>
    <m/>
    <s v="Closed"/>
    <s v="January"/>
    <x v="0"/>
    <n v="2026"/>
    <s v="Yes"/>
    <n v="1"/>
    <x v="1"/>
    <n v="1"/>
  </r>
  <r>
    <s v="T000405"/>
    <x v="399"/>
    <d v="2026-01-23T18:51:00"/>
    <x v="3"/>
    <s v="Field Visit"/>
    <x v="0"/>
    <s v="A034"/>
    <x v="2"/>
    <n v="72"/>
    <n v="34.6"/>
    <x v="1"/>
    <s v="No"/>
    <s v="No"/>
    <n v="4"/>
    <s v="Closed"/>
    <s v="January"/>
    <x v="0"/>
    <n v="2026"/>
    <s v="Yes"/>
    <n v="1"/>
    <x v="3"/>
    <n v="1"/>
  </r>
  <r>
    <s v="T000406"/>
    <x v="400"/>
    <d v="2026-01-22T22:59:00"/>
    <x v="3"/>
    <s v="Chat"/>
    <x v="1"/>
    <s v="A044"/>
    <x v="1"/>
    <n v="24"/>
    <n v="13.9"/>
    <x v="1"/>
    <s v="No"/>
    <s v="No"/>
    <m/>
    <s v="Closed"/>
    <s v="January"/>
    <x v="0"/>
    <n v="2026"/>
    <s v="Yes"/>
    <n v="1"/>
    <x v="1"/>
    <n v="1"/>
  </r>
  <r>
    <s v="T000407"/>
    <x v="401"/>
    <d v="2026-01-24T02:21:00"/>
    <x v="3"/>
    <s v="Phone"/>
    <x v="1"/>
    <s v="A058"/>
    <x v="1"/>
    <n v="24"/>
    <n v="40.1"/>
    <x v="1"/>
    <s v="No"/>
    <s v="No"/>
    <m/>
    <s v="Closed"/>
    <s v="January"/>
    <x v="0"/>
    <n v="2026"/>
    <s v="No"/>
    <n v="0"/>
    <x v="1"/>
    <n v="1"/>
  </r>
  <r>
    <s v="T000408"/>
    <x v="401"/>
    <d v="2026-01-22T21:21:00"/>
    <x v="1"/>
    <s v="Phone"/>
    <x v="0"/>
    <s v="A017"/>
    <x v="2"/>
    <n v="72"/>
    <n v="11.1"/>
    <x v="1"/>
    <s v="No"/>
    <s v="No"/>
    <m/>
    <s v="Closed"/>
    <s v="January"/>
    <x v="0"/>
    <n v="2026"/>
    <s v="Yes"/>
    <n v="1"/>
    <x v="0"/>
    <n v="1"/>
  </r>
  <r>
    <s v="T000409"/>
    <x v="402"/>
    <d v="2026-01-22T17:57:00"/>
    <x v="0"/>
    <s v="Chat"/>
    <x v="0"/>
    <s v="A023"/>
    <x v="2"/>
    <n v="72"/>
    <n v="7.1"/>
    <x v="1"/>
    <s v="No"/>
    <s v="No"/>
    <n v="5"/>
    <s v="Closed"/>
    <s v="January"/>
    <x v="0"/>
    <n v="2026"/>
    <s v="Yes"/>
    <n v="1"/>
    <x v="1"/>
    <n v="1"/>
  </r>
  <r>
    <s v="T000410"/>
    <x v="403"/>
    <d v="2026-01-23T02:37:00"/>
    <x v="1"/>
    <s v="Phone"/>
    <x v="1"/>
    <s v="A056"/>
    <x v="1"/>
    <n v="24"/>
    <n v="15.4"/>
    <x v="0"/>
    <s v="No"/>
    <s v="No"/>
    <n v="4"/>
    <s v="Closed"/>
    <s v="January"/>
    <x v="0"/>
    <n v="2026"/>
    <s v="Yes"/>
    <n v="1"/>
    <x v="1"/>
    <n v="0"/>
  </r>
  <r>
    <s v="T000411"/>
    <x v="404"/>
    <d v="2026-01-22T13:35:00"/>
    <x v="5"/>
    <s v="Phone"/>
    <x v="1"/>
    <s v="A046"/>
    <x v="1"/>
    <n v="24"/>
    <n v="1.8"/>
    <x v="0"/>
    <s v="Yes"/>
    <s v="No"/>
    <n v="4"/>
    <s v="Closed"/>
    <s v="January"/>
    <x v="0"/>
    <n v="2026"/>
    <s v="Yes"/>
    <n v="1"/>
    <x v="1"/>
    <n v="0"/>
  </r>
  <r>
    <s v="T000412"/>
    <x v="405"/>
    <d v="2026-01-23T10:23:00"/>
    <x v="5"/>
    <s v="Email"/>
    <x v="1"/>
    <s v="A028"/>
    <x v="2"/>
    <n v="24"/>
    <n v="21.8"/>
    <x v="1"/>
    <s v="No"/>
    <s v="No"/>
    <n v="5"/>
    <s v="Closed"/>
    <s v="January"/>
    <x v="0"/>
    <n v="2026"/>
    <s v="Yes"/>
    <n v="1"/>
    <x v="4"/>
    <n v="1"/>
  </r>
  <r>
    <s v="T000413"/>
    <x v="406"/>
    <d v="2026-01-23T20:33:00"/>
    <x v="0"/>
    <s v="Email"/>
    <x v="1"/>
    <s v="A001"/>
    <x v="0"/>
    <n v="24"/>
    <n v="31.3"/>
    <x v="1"/>
    <s v="No"/>
    <s v="No"/>
    <n v="3"/>
    <s v="Closed"/>
    <s v="January"/>
    <x v="0"/>
    <n v="2026"/>
    <s v="No"/>
    <n v="0"/>
    <x v="3"/>
    <n v="1"/>
  </r>
  <r>
    <s v="T000414"/>
    <x v="407"/>
    <d v="2026-01-22T21:39:00"/>
    <x v="6"/>
    <s v="Phone"/>
    <x v="2"/>
    <s v="A041"/>
    <x v="1"/>
    <n v="4"/>
    <n v="6.6"/>
    <x v="1"/>
    <s v="No"/>
    <s v="No"/>
    <n v="5"/>
    <s v="Closed"/>
    <s v="January"/>
    <x v="0"/>
    <n v="2026"/>
    <s v="No"/>
    <n v="0"/>
    <x v="1"/>
    <n v="1"/>
  </r>
  <r>
    <s v="T000415"/>
    <x v="408"/>
    <d v="2026-01-23T03:24:00"/>
    <x v="3"/>
    <s v="Phone"/>
    <x v="0"/>
    <s v="A038"/>
    <x v="1"/>
    <n v="72"/>
    <n v="11.7"/>
    <x v="1"/>
    <s v="No"/>
    <s v="Yes"/>
    <n v="5"/>
    <s v="Closed"/>
    <s v="January"/>
    <x v="0"/>
    <n v="2026"/>
    <s v="Yes"/>
    <n v="1"/>
    <x v="2"/>
    <n v="1"/>
  </r>
  <r>
    <s v="T000416"/>
    <x v="409"/>
    <d v="2026-01-23T09:30:00"/>
    <x v="0"/>
    <s v="Phone"/>
    <x v="1"/>
    <s v="A048"/>
    <x v="1"/>
    <n v="24"/>
    <n v="15.9"/>
    <x v="1"/>
    <s v="No"/>
    <s v="No"/>
    <n v="4"/>
    <s v="Closed"/>
    <s v="January"/>
    <x v="0"/>
    <n v="2026"/>
    <s v="Yes"/>
    <n v="1"/>
    <x v="3"/>
    <n v="1"/>
  </r>
  <r>
    <s v="T000417"/>
    <x v="410"/>
    <d v="2026-01-28T22:39:00"/>
    <x v="4"/>
    <s v="Field Visit"/>
    <x v="1"/>
    <s v="A012"/>
    <x v="0"/>
    <n v="24"/>
    <n v="148.69999999999999"/>
    <x v="1"/>
    <s v="No"/>
    <s v="No"/>
    <n v="5"/>
    <s v="Closed"/>
    <s v="January"/>
    <x v="0"/>
    <n v="2026"/>
    <s v="No"/>
    <n v="0"/>
    <x v="3"/>
    <n v="1"/>
  </r>
  <r>
    <s v="T000418"/>
    <x v="411"/>
    <d v="2026-01-24T01:07:00"/>
    <x v="0"/>
    <s v="Phone"/>
    <x v="0"/>
    <s v="A038"/>
    <x v="1"/>
    <n v="72"/>
    <n v="26.4"/>
    <x v="1"/>
    <s v="No"/>
    <s v="No"/>
    <n v="4"/>
    <s v="Closed"/>
    <s v="January"/>
    <x v="0"/>
    <n v="2026"/>
    <s v="Yes"/>
    <n v="1"/>
    <x v="4"/>
    <n v="1"/>
  </r>
  <r>
    <s v="T000419"/>
    <x v="412"/>
    <d v="2026-01-24T03:01:00"/>
    <x v="3"/>
    <s v="Field Visit"/>
    <x v="1"/>
    <s v="A056"/>
    <x v="1"/>
    <n v="24"/>
    <n v="27.5"/>
    <x v="1"/>
    <s v="No"/>
    <s v="No"/>
    <n v="5"/>
    <s v="Closed"/>
    <s v="January"/>
    <x v="0"/>
    <n v="2026"/>
    <s v="No"/>
    <n v="0"/>
    <x v="1"/>
    <n v="1"/>
  </r>
  <r>
    <s v="T000420"/>
    <x v="413"/>
    <d v="2026-01-24T19:50:00"/>
    <x v="5"/>
    <s v="Field Visit"/>
    <x v="0"/>
    <s v="A038"/>
    <x v="1"/>
    <n v="72"/>
    <n v="38.4"/>
    <x v="1"/>
    <s v="No"/>
    <s v="No"/>
    <m/>
    <s v="Closed"/>
    <s v="January"/>
    <x v="0"/>
    <n v="2026"/>
    <s v="Yes"/>
    <n v="1"/>
    <x v="4"/>
    <n v="1"/>
  </r>
  <r>
    <s v="T000421"/>
    <x v="414"/>
    <d v="2026-01-27T02:52:00"/>
    <x v="0"/>
    <s v="Field Visit"/>
    <x v="1"/>
    <s v="A041"/>
    <x v="1"/>
    <n v="24"/>
    <n v="93.1"/>
    <x v="1"/>
    <s v="No"/>
    <s v="No"/>
    <m/>
    <s v="Closed"/>
    <s v="January"/>
    <x v="0"/>
    <n v="2026"/>
    <s v="No"/>
    <n v="0"/>
    <x v="2"/>
    <n v="1"/>
  </r>
  <r>
    <s v="T000422"/>
    <x v="415"/>
    <d v="2026-01-24T11:07:00"/>
    <x v="4"/>
    <s v="Chat"/>
    <x v="1"/>
    <s v="A050"/>
    <x v="1"/>
    <n v="24"/>
    <n v="24.7"/>
    <x v="1"/>
    <s v="No"/>
    <s v="No"/>
    <n v="3"/>
    <s v="Closed"/>
    <s v="January"/>
    <x v="0"/>
    <n v="2026"/>
    <s v="No"/>
    <n v="0"/>
    <x v="1"/>
    <n v="1"/>
  </r>
  <r>
    <s v="T000423"/>
    <x v="416"/>
    <d v="2026-01-23T19:11:00"/>
    <x v="0"/>
    <s v="Chat"/>
    <x v="0"/>
    <s v="A006"/>
    <x v="0"/>
    <n v="72"/>
    <n v="8"/>
    <x v="1"/>
    <s v="No"/>
    <s v="No"/>
    <n v="5"/>
    <s v="Closed"/>
    <s v="January"/>
    <x v="0"/>
    <n v="2026"/>
    <s v="Yes"/>
    <n v="1"/>
    <x v="1"/>
    <n v="1"/>
  </r>
  <r>
    <s v="T000424"/>
    <x v="417"/>
    <d v="2026-01-23T18:01:00"/>
    <x v="2"/>
    <s v="Chat"/>
    <x v="0"/>
    <s v="A009"/>
    <x v="0"/>
    <n v="72"/>
    <n v="6.7"/>
    <x v="1"/>
    <s v="No"/>
    <s v="No"/>
    <m/>
    <s v="Closed"/>
    <s v="January"/>
    <x v="0"/>
    <n v="2026"/>
    <s v="Yes"/>
    <n v="1"/>
    <x v="1"/>
    <n v="1"/>
  </r>
  <r>
    <s v="T000425"/>
    <x v="418"/>
    <d v="2026-01-23T17:22:00"/>
    <x v="0"/>
    <s v="Phone"/>
    <x v="1"/>
    <s v="A014"/>
    <x v="0"/>
    <n v="24"/>
    <n v="5.3"/>
    <x v="0"/>
    <s v="Yes"/>
    <s v="No"/>
    <m/>
    <s v="Closed"/>
    <s v="January"/>
    <x v="0"/>
    <n v="2026"/>
    <s v="Yes"/>
    <n v="1"/>
    <x v="4"/>
    <n v="0"/>
  </r>
  <r>
    <s v="T000426"/>
    <x v="419"/>
    <d v="2026-01-25T18:32:00"/>
    <x v="3"/>
    <s v="Field Visit"/>
    <x v="2"/>
    <s v="A046"/>
    <x v="1"/>
    <n v="4"/>
    <n v="53.4"/>
    <x v="1"/>
    <s v="No"/>
    <s v="Yes"/>
    <m/>
    <s v="Closed"/>
    <s v="January"/>
    <x v="0"/>
    <n v="2026"/>
    <s v="No"/>
    <n v="0"/>
    <x v="2"/>
    <n v="1"/>
  </r>
  <r>
    <s v="T000427"/>
    <x v="420"/>
    <d v="2026-01-25T03:06:00"/>
    <x v="6"/>
    <s v="Email"/>
    <x v="2"/>
    <s v="A050"/>
    <x v="1"/>
    <n v="4"/>
    <n v="37.6"/>
    <x v="1"/>
    <s v="No"/>
    <s v="Yes"/>
    <n v="3"/>
    <s v="Closed"/>
    <s v="January"/>
    <x v="0"/>
    <n v="2026"/>
    <s v="No"/>
    <n v="0"/>
    <x v="3"/>
    <n v="1"/>
  </r>
  <r>
    <s v="T000428"/>
    <x v="421"/>
    <d v="2026-01-23T20:40:00"/>
    <x v="6"/>
    <s v="Phone"/>
    <x v="1"/>
    <s v="A030"/>
    <x v="2"/>
    <n v="24"/>
    <n v="7.1"/>
    <x v="1"/>
    <s v="No"/>
    <s v="No"/>
    <m/>
    <s v="Closed"/>
    <s v="January"/>
    <x v="0"/>
    <n v="2026"/>
    <s v="Yes"/>
    <n v="1"/>
    <x v="4"/>
    <n v="1"/>
  </r>
  <r>
    <s v="T000429"/>
    <x v="422"/>
    <d v="2026-01-23T17:01:00"/>
    <x v="0"/>
    <s v="Phone"/>
    <x v="1"/>
    <s v="A052"/>
    <x v="1"/>
    <n v="24"/>
    <n v="2.9"/>
    <x v="1"/>
    <s v="No"/>
    <s v="No"/>
    <n v="5"/>
    <s v="Closed"/>
    <s v="January"/>
    <x v="0"/>
    <n v="2026"/>
    <s v="Yes"/>
    <n v="1"/>
    <x v="2"/>
    <n v="1"/>
  </r>
  <r>
    <s v="T000430"/>
    <x v="423"/>
    <d v="2026-01-23T20:06:00"/>
    <x v="5"/>
    <s v="Phone"/>
    <x v="0"/>
    <s v="A032"/>
    <x v="2"/>
    <n v="72"/>
    <n v="5.3"/>
    <x v="1"/>
    <s v="No"/>
    <s v="No"/>
    <n v="5"/>
    <s v="Closed"/>
    <s v="January"/>
    <x v="0"/>
    <n v="2026"/>
    <s v="Yes"/>
    <n v="1"/>
    <x v="3"/>
    <n v="1"/>
  </r>
  <r>
    <s v="T000431"/>
    <x v="424"/>
    <d v="2026-01-23T20:56:00"/>
    <x v="0"/>
    <s v="Chat"/>
    <x v="2"/>
    <s v="A024"/>
    <x v="2"/>
    <n v="4"/>
    <n v="5.3"/>
    <x v="1"/>
    <s v="No"/>
    <s v="No"/>
    <m/>
    <s v="Closed"/>
    <s v="January"/>
    <x v="0"/>
    <n v="2026"/>
    <s v="No"/>
    <n v="0"/>
    <x v="2"/>
    <n v="1"/>
  </r>
  <r>
    <s v="T000432"/>
    <x v="425"/>
    <d v="2026-01-24T01:18:00"/>
    <x v="0"/>
    <s v="Chat"/>
    <x v="1"/>
    <s v="A018"/>
    <x v="2"/>
    <n v="24"/>
    <n v="9.5"/>
    <x v="1"/>
    <s v="No"/>
    <s v="No"/>
    <n v="5"/>
    <s v="Closed"/>
    <s v="January"/>
    <x v="0"/>
    <n v="2026"/>
    <s v="Yes"/>
    <n v="1"/>
    <x v="1"/>
    <n v="1"/>
  </r>
  <r>
    <s v="T000433"/>
    <x v="426"/>
    <d v="2026-01-24T01:59:00"/>
    <x v="0"/>
    <s v="Phone"/>
    <x v="1"/>
    <s v="A022"/>
    <x v="2"/>
    <n v="24"/>
    <n v="8.8000000000000007"/>
    <x v="1"/>
    <s v="No"/>
    <s v="No"/>
    <m/>
    <s v="Closed"/>
    <s v="January"/>
    <x v="0"/>
    <n v="2026"/>
    <s v="Yes"/>
    <n v="1"/>
    <x v="4"/>
    <n v="1"/>
  </r>
  <r>
    <s v="T000434"/>
    <x v="427"/>
    <d v="2026-01-24T05:26:00"/>
    <x v="3"/>
    <s v="Phone"/>
    <x v="1"/>
    <s v="A021"/>
    <x v="2"/>
    <n v="24"/>
    <n v="9.6999999999999993"/>
    <x v="0"/>
    <s v="No"/>
    <s v="Yes"/>
    <n v="3"/>
    <s v="Closed"/>
    <s v="January"/>
    <x v="0"/>
    <n v="2026"/>
    <s v="Yes"/>
    <n v="1"/>
    <x v="3"/>
    <n v="0"/>
  </r>
  <r>
    <s v="T000435"/>
    <x v="428"/>
    <d v="2026-01-24T19:38:00"/>
    <x v="3"/>
    <s v="Phone"/>
    <x v="0"/>
    <s v="A033"/>
    <x v="2"/>
    <n v="72"/>
    <n v="23.8"/>
    <x v="1"/>
    <s v="No"/>
    <s v="No"/>
    <n v="5"/>
    <s v="Closed"/>
    <s v="January"/>
    <x v="0"/>
    <n v="2026"/>
    <s v="Yes"/>
    <n v="1"/>
    <x v="2"/>
    <n v="1"/>
  </r>
  <r>
    <s v="T000436"/>
    <x v="429"/>
    <d v="2026-01-25T13:18:00"/>
    <x v="3"/>
    <s v="Email"/>
    <x v="0"/>
    <s v="A045"/>
    <x v="1"/>
    <n v="72"/>
    <n v="35.799999999999997"/>
    <x v="0"/>
    <s v="Yes"/>
    <s v="No"/>
    <n v="5"/>
    <s v="Closed"/>
    <s v="January"/>
    <x v="0"/>
    <n v="2026"/>
    <s v="Yes"/>
    <n v="1"/>
    <x v="1"/>
    <n v="0"/>
  </r>
  <r>
    <s v="T000437"/>
    <x v="430"/>
    <d v="2026-01-24T14:15:00"/>
    <x v="5"/>
    <s v="Phone"/>
    <x v="0"/>
    <s v="A059"/>
    <x v="1"/>
    <n v="72"/>
    <n v="11.1"/>
    <x v="1"/>
    <s v="No"/>
    <s v="No"/>
    <m/>
    <s v="Closed"/>
    <s v="January"/>
    <x v="0"/>
    <n v="2026"/>
    <s v="Yes"/>
    <n v="1"/>
    <x v="2"/>
    <n v="1"/>
  </r>
  <r>
    <s v="T000438"/>
    <x v="431"/>
    <d v="2026-01-26T08:58:00"/>
    <x v="3"/>
    <s v="Field Visit"/>
    <x v="0"/>
    <s v="A050"/>
    <x v="1"/>
    <n v="72"/>
    <n v="49.7"/>
    <x v="0"/>
    <s v="Yes"/>
    <s v="No"/>
    <n v="4"/>
    <s v="Closed"/>
    <s v="January"/>
    <x v="0"/>
    <n v="2026"/>
    <s v="Yes"/>
    <n v="1"/>
    <x v="2"/>
    <n v="0"/>
  </r>
  <r>
    <s v="T000439"/>
    <x v="432"/>
    <d v="2026-01-24T21:10:00"/>
    <x v="1"/>
    <s v="Phone"/>
    <x v="1"/>
    <s v="A007"/>
    <x v="0"/>
    <n v="24"/>
    <n v="13.3"/>
    <x v="1"/>
    <s v="No"/>
    <s v="No"/>
    <n v="5"/>
    <s v="Closed"/>
    <s v="January"/>
    <x v="0"/>
    <n v="2026"/>
    <s v="Yes"/>
    <n v="1"/>
    <x v="4"/>
    <n v="1"/>
  </r>
  <r>
    <s v="T000440"/>
    <x v="433"/>
    <d v="2026-01-24T18:05:00"/>
    <x v="0"/>
    <s v="Chat"/>
    <x v="0"/>
    <s v="A057"/>
    <x v="1"/>
    <n v="72"/>
    <n v="9"/>
    <x v="1"/>
    <s v="No"/>
    <s v="Yes"/>
    <m/>
    <s v="Closed"/>
    <s v="January"/>
    <x v="0"/>
    <n v="2026"/>
    <s v="Yes"/>
    <n v="1"/>
    <x v="1"/>
    <n v="1"/>
  </r>
  <r>
    <s v="T000441"/>
    <x v="434"/>
    <d v="2026-01-24T22:23:00"/>
    <x v="0"/>
    <s v="Phone"/>
    <x v="0"/>
    <s v="A032"/>
    <x v="2"/>
    <n v="72"/>
    <n v="12.2"/>
    <x v="1"/>
    <s v="No"/>
    <s v="No"/>
    <n v="5"/>
    <s v="Closed"/>
    <s v="January"/>
    <x v="0"/>
    <n v="2026"/>
    <s v="Yes"/>
    <n v="1"/>
    <x v="1"/>
    <n v="1"/>
  </r>
  <r>
    <s v="T000442"/>
    <x v="435"/>
    <d v="2026-01-30T05:07:00"/>
    <x v="3"/>
    <s v="Field Visit"/>
    <x v="1"/>
    <s v="A050"/>
    <x v="1"/>
    <n v="24"/>
    <n v="137.9"/>
    <x v="1"/>
    <s v="No"/>
    <s v="No"/>
    <n v="4"/>
    <s v="Closed"/>
    <s v="January"/>
    <x v="0"/>
    <n v="2026"/>
    <s v="No"/>
    <n v="0"/>
    <x v="4"/>
    <n v="1"/>
  </r>
  <r>
    <s v="T000443"/>
    <x v="436"/>
    <d v="2026-01-24T19:54:00"/>
    <x v="6"/>
    <s v="Phone"/>
    <x v="1"/>
    <s v="A019"/>
    <x v="2"/>
    <n v="24"/>
    <n v="8.1"/>
    <x v="1"/>
    <s v="No"/>
    <s v="No"/>
    <n v="5"/>
    <s v="Closed"/>
    <s v="January"/>
    <x v="0"/>
    <n v="2026"/>
    <s v="Yes"/>
    <n v="1"/>
    <x v="1"/>
    <n v="1"/>
  </r>
  <r>
    <s v="T000444"/>
    <x v="437"/>
    <d v="2026-01-27T08:26:00"/>
    <x v="6"/>
    <s v="Field Visit"/>
    <x v="1"/>
    <s v="A003"/>
    <x v="0"/>
    <n v="24"/>
    <n v="68"/>
    <x v="0"/>
    <s v="No"/>
    <s v="No"/>
    <n v="4"/>
    <s v="Closed"/>
    <s v="January"/>
    <x v="0"/>
    <n v="2026"/>
    <s v="No"/>
    <n v="0"/>
    <x v="3"/>
    <n v="0"/>
  </r>
  <r>
    <s v="T000445"/>
    <x v="438"/>
    <d v="2026-01-24T14:21:00"/>
    <x v="1"/>
    <s v="Phone"/>
    <x v="0"/>
    <s v="A053"/>
    <x v="1"/>
    <n v="72"/>
    <n v="1.8"/>
    <x v="1"/>
    <s v="No"/>
    <s v="No"/>
    <m/>
    <s v="Closed"/>
    <s v="January"/>
    <x v="0"/>
    <n v="2026"/>
    <s v="Yes"/>
    <n v="1"/>
    <x v="3"/>
    <n v="1"/>
  </r>
  <r>
    <s v="T000446"/>
    <x v="439"/>
    <d v="2026-01-26T19:56:00"/>
    <x v="3"/>
    <s v="Field Visit"/>
    <x v="0"/>
    <s v="A060"/>
    <x v="1"/>
    <n v="72"/>
    <n v="54.7"/>
    <x v="1"/>
    <s v="No"/>
    <s v="No"/>
    <m/>
    <s v="Closed"/>
    <s v="January"/>
    <x v="0"/>
    <n v="2026"/>
    <s v="Yes"/>
    <n v="1"/>
    <x v="4"/>
    <n v="1"/>
  </r>
  <r>
    <s v="T000447"/>
    <x v="440"/>
    <d v="2026-01-26T18:26:00"/>
    <x v="6"/>
    <s v="Field Visit"/>
    <x v="2"/>
    <s v="A010"/>
    <x v="0"/>
    <n v="4"/>
    <n v="52.7"/>
    <x v="1"/>
    <s v="No"/>
    <s v="No"/>
    <m/>
    <s v="Closed"/>
    <s v="January"/>
    <x v="0"/>
    <n v="2026"/>
    <s v="No"/>
    <n v="0"/>
    <x v="3"/>
    <n v="1"/>
  </r>
  <r>
    <s v="T000448"/>
    <x v="441"/>
    <d v="2026-01-29T22:29:00"/>
    <x v="4"/>
    <s v="Field Visit"/>
    <x v="2"/>
    <s v="A045"/>
    <x v="1"/>
    <n v="4"/>
    <n v="128.69999999999999"/>
    <x v="0"/>
    <s v="No"/>
    <s v="No"/>
    <n v="3"/>
    <s v="Closed"/>
    <s v="January"/>
    <x v="0"/>
    <n v="2026"/>
    <s v="No"/>
    <n v="0"/>
    <x v="2"/>
    <n v="0"/>
  </r>
  <r>
    <s v="T000449"/>
    <x v="442"/>
    <d v="2026-01-28T04:04:00"/>
    <x v="0"/>
    <s v="Email"/>
    <x v="2"/>
    <s v="A006"/>
    <x v="0"/>
    <n v="4"/>
    <n v="86.2"/>
    <x v="0"/>
    <s v="Yes"/>
    <s v="No"/>
    <m/>
    <s v="Closed"/>
    <s v="January"/>
    <x v="0"/>
    <n v="2026"/>
    <s v="No"/>
    <n v="0"/>
    <x v="2"/>
    <n v="0"/>
  </r>
  <r>
    <s v="T000450"/>
    <x v="443"/>
    <d v="2026-01-24T20:40:00"/>
    <x v="6"/>
    <s v="Phone"/>
    <x v="2"/>
    <s v="A054"/>
    <x v="1"/>
    <n v="4"/>
    <n v="4.7"/>
    <x v="0"/>
    <s v="No"/>
    <s v="No"/>
    <n v="5"/>
    <s v="Closed"/>
    <s v="January"/>
    <x v="0"/>
    <n v="2026"/>
    <s v="No"/>
    <n v="0"/>
    <x v="1"/>
    <n v="0"/>
  </r>
  <r>
    <s v="T000451"/>
    <x v="444"/>
    <d v="2026-01-27T22:41:00"/>
    <x v="3"/>
    <s v="Field Visit"/>
    <x v="0"/>
    <s v="A017"/>
    <x v="2"/>
    <n v="72"/>
    <n v="78.7"/>
    <x v="1"/>
    <s v="No"/>
    <s v="Yes"/>
    <n v="3"/>
    <s v="Closed"/>
    <s v="January"/>
    <x v="0"/>
    <n v="2026"/>
    <s v="No"/>
    <n v="0"/>
    <x v="2"/>
    <n v="1"/>
  </r>
  <r>
    <s v="T000452"/>
    <x v="445"/>
    <d v="2026-01-25T15:11:00"/>
    <x v="0"/>
    <s v="Phone"/>
    <x v="1"/>
    <s v="A038"/>
    <x v="1"/>
    <n v="24"/>
    <n v="22.6"/>
    <x v="1"/>
    <s v="No"/>
    <s v="No"/>
    <n v="5"/>
    <s v="Closed"/>
    <s v="January"/>
    <x v="0"/>
    <n v="2026"/>
    <s v="Yes"/>
    <n v="1"/>
    <x v="1"/>
    <n v="1"/>
  </r>
  <r>
    <s v="T000453"/>
    <x v="446"/>
    <d v="2026-01-24T20:25:00"/>
    <x v="2"/>
    <s v="Chat"/>
    <x v="0"/>
    <s v="A031"/>
    <x v="2"/>
    <n v="72"/>
    <n v="3.7"/>
    <x v="1"/>
    <s v="No"/>
    <s v="No"/>
    <n v="4"/>
    <s v="Closed"/>
    <s v="January"/>
    <x v="0"/>
    <n v="2026"/>
    <s v="Yes"/>
    <n v="1"/>
    <x v="3"/>
    <n v="1"/>
  </r>
  <r>
    <s v="T000454"/>
    <x v="447"/>
    <d v="2026-01-25T02:46:00"/>
    <x v="2"/>
    <s v="Chat"/>
    <x v="2"/>
    <s v="A029"/>
    <x v="2"/>
    <n v="4"/>
    <n v="8.8000000000000007"/>
    <x v="1"/>
    <s v="No"/>
    <s v="No"/>
    <n v="2"/>
    <s v="Closed"/>
    <s v="January"/>
    <x v="0"/>
    <n v="2026"/>
    <s v="No"/>
    <n v="0"/>
    <x v="4"/>
    <n v="1"/>
  </r>
  <r>
    <s v="T000455"/>
    <x v="448"/>
    <d v="2026-01-25T04:52:00"/>
    <x v="0"/>
    <s v="Chat"/>
    <x v="0"/>
    <s v="A017"/>
    <x v="2"/>
    <n v="72"/>
    <n v="10.4"/>
    <x v="1"/>
    <s v="No"/>
    <s v="No"/>
    <m/>
    <s v="Closed"/>
    <s v="January"/>
    <x v="0"/>
    <n v="2026"/>
    <s v="Yes"/>
    <n v="1"/>
    <x v="4"/>
    <n v="1"/>
  </r>
  <r>
    <s v="T000456"/>
    <x v="449"/>
    <d v="2026-01-25T04:42:00"/>
    <x v="0"/>
    <s v="Chat"/>
    <x v="1"/>
    <s v="A024"/>
    <x v="2"/>
    <n v="24"/>
    <n v="9.6"/>
    <x v="1"/>
    <s v="No"/>
    <s v="No"/>
    <n v="4"/>
    <s v="Closed"/>
    <s v="January"/>
    <x v="0"/>
    <n v="2026"/>
    <s v="Yes"/>
    <n v="1"/>
    <x v="2"/>
    <n v="1"/>
  </r>
  <r>
    <s v="T000457"/>
    <x v="450"/>
    <d v="2026-01-25T03:27:00"/>
    <x v="6"/>
    <s v="Chat"/>
    <x v="1"/>
    <s v="A017"/>
    <x v="2"/>
    <n v="24"/>
    <n v="6.8"/>
    <x v="1"/>
    <s v="No"/>
    <s v="No"/>
    <m/>
    <s v="Closed"/>
    <s v="January"/>
    <x v="0"/>
    <n v="2026"/>
    <s v="Yes"/>
    <n v="1"/>
    <x v="3"/>
    <n v="1"/>
  </r>
  <r>
    <s v="T000458"/>
    <x v="451"/>
    <d v="2026-01-26T06:27:00"/>
    <x v="2"/>
    <s v="Field Visit"/>
    <x v="1"/>
    <s v="A041"/>
    <x v="1"/>
    <n v="24"/>
    <n v="28.2"/>
    <x v="1"/>
    <s v="No"/>
    <s v="Yes"/>
    <m/>
    <s v="Closed"/>
    <s v="January"/>
    <x v="0"/>
    <n v="2026"/>
    <s v="No"/>
    <n v="0"/>
    <x v="1"/>
    <n v="1"/>
  </r>
  <r>
    <s v="T000459"/>
    <x v="452"/>
    <d v="2026-01-25T13:51:00"/>
    <x v="2"/>
    <s v="Phone"/>
    <x v="1"/>
    <s v="A019"/>
    <x v="2"/>
    <n v="24"/>
    <n v="7.6"/>
    <x v="1"/>
    <s v="No"/>
    <s v="No"/>
    <n v="5"/>
    <s v="Closed"/>
    <s v="January"/>
    <x v="0"/>
    <n v="2026"/>
    <s v="Yes"/>
    <n v="1"/>
    <x v="3"/>
    <n v="1"/>
  </r>
  <r>
    <s v="T000460"/>
    <x v="453"/>
    <d v="2026-01-28T13:19:00"/>
    <x v="5"/>
    <s v="Phone"/>
    <x v="2"/>
    <s v="A052"/>
    <x v="1"/>
    <n v="4"/>
    <n v="77.8"/>
    <x v="1"/>
    <s v="No"/>
    <s v="No"/>
    <n v="4"/>
    <s v="Closed"/>
    <s v="January"/>
    <x v="0"/>
    <n v="2026"/>
    <s v="No"/>
    <n v="0"/>
    <x v="1"/>
    <n v="1"/>
  </r>
  <r>
    <s v="T000461"/>
    <x v="454"/>
    <d v="2026-01-25T11:49:00"/>
    <x v="6"/>
    <s v="Chat"/>
    <x v="1"/>
    <s v="A017"/>
    <x v="2"/>
    <n v="24"/>
    <n v="3.4"/>
    <x v="1"/>
    <s v="No"/>
    <s v="No"/>
    <m/>
    <s v="Closed"/>
    <s v="January"/>
    <x v="0"/>
    <n v="2026"/>
    <s v="Yes"/>
    <n v="1"/>
    <x v="1"/>
    <n v="1"/>
  </r>
  <r>
    <s v="T000462"/>
    <x v="455"/>
    <d v="2026-01-25T22:48:00"/>
    <x v="6"/>
    <s v="Chat"/>
    <x v="2"/>
    <s v="A002"/>
    <x v="0"/>
    <n v="4"/>
    <n v="13.7"/>
    <x v="0"/>
    <s v="Yes"/>
    <s v="Yes"/>
    <m/>
    <s v="Closed"/>
    <s v="January"/>
    <x v="0"/>
    <n v="2026"/>
    <s v="No"/>
    <n v="0"/>
    <x v="2"/>
    <n v="0"/>
  </r>
  <r>
    <s v="T000463"/>
    <x v="456"/>
    <d v="2026-01-26T14:40:00"/>
    <x v="0"/>
    <s v="Email"/>
    <x v="0"/>
    <s v="A058"/>
    <x v="1"/>
    <n v="72"/>
    <n v="29.2"/>
    <x v="1"/>
    <s v="No"/>
    <s v="No"/>
    <n v="5"/>
    <s v="Closed"/>
    <s v="January"/>
    <x v="0"/>
    <n v="2026"/>
    <s v="Yes"/>
    <n v="1"/>
    <x v="0"/>
    <n v="1"/>
  </r>
  <r>
    <s v="T000464"/>
    <x v="457"/>
    <d v="2026-01-25T14:59:00"/>
    <x v="2"/>
    <s v="Chat"/>
    <x v="0"/>
    <s v="A051"/>
    <x v="1"/>
    <n v="72"/>
    <n v="5.0999999999999996"/>
    <x v="0"/>
    <s v="No"/>
    <s v="No"/>
    <n v="4"/>
    <s v="Closed"/>
    <s v="January"/>
    <x v="0"/>
    <n v="2026"/>
    <s v="Yes"/>
    <n v="1"/>
    <x v="4"/>
    <n v="0"/>
  </r>
  <r>
    <s v="T000465"/>
    <x v="458"/>
    <d v="2026-01-27T01:08:00"/>
    <x v="4"/>
    <s v="Email"/>
    <x v="2"/>
    <s v="A035"/>
    <x v="2"/>
    <n v="4"/>
    <n v="38.9"/>
    <x v="0"/>
    <s v="Yes"/>
    <s v="No"/>
    <n v="5"/>
    <s v="Closed"/>
    <s v="January"/>
    <x v="0"/>
    <n v="2026"/>
    <s v="No"/>
    <n v="0"/>
    <x v="1"/>
    <n v="0"/>
  </r>
  <r>
    <s v="T000466"/>
    <x v="459"/>
    <d v="2026-01-25T21:50:00"/>
    <x v="1"/>
    <s v="Email"/>
    <x v="0"/>
    <s v="A025"/>
    <x v="2"/>
    <n v="72"/>
    <n v="9.9"/>
    <x v="1"/>
    <s v="No"/>
    <s v="No"/>
    <m/>
    <s v="Closed"/>
    <s v="January"/>
    <x v="0"/>
    <n v="2026"/>
    <s v="Yes"/>
    <n v="1"/>
    <x v="1"/>
    <n v="1"/>
  </r>
  <r>
    <s v="T000467"/>
    <x v="460"/>
    <d v="2026-01-25T16:40:00"/>
    <x v="1"/>
    <s v="Phone"/>
    <x v="1"/>
    <s v="A008"/>
    <x v="0"/>
    <n v="24"/>
    <n v="4.5999999999999996"/>
    <x v="1"/>
    <s v="No"/>
    <s v="No"/>
    <n v="5"/>
    <s v="Closed"/>
    <s v="January"/>
    <x v="0"/>
    <n v="2026"/>
    <s v="Yes"/>
    <n v="1"/>
    <x v="1"/>
    <n v="1"/>
  </r>
  <r>
    <s v="T000468"/>
    <x v="461"/>
    <d v="2026-01-25T18:19:00"/>
    <x v="5"/>
    <s v="Chat"/>
    <x v="0"/>
    <s v="A056"/>
    <x v="1"/>
    <n v="72"/>
    <n v="6.2"/>
    <x v="1"/>
    <s v="No"/>
    <s v="No"/>
    <m/>
    <s v="Closed"/>
    <s v="January"/>
    <x v="0"/>
    <n v="2026"/>
    <s v="Yes"/>
    <n v="1"/>
    <x v="2"/>
    <n v="1"/>
  </r>
  <r>
    <s v="T000469"/>
    <x v="462"/>
    <d v="2026-01-28T02:53:00"/>
    <x v="2"/>
    <s v="Field Visit"/>
    <x v="1"/>
    <s v="A004"/>
    <x v="0"/>
    <n v="24"/>
    <n v="61.6"/>
    <x v="1"/>
    <s v="No"/>
    <s v="No"/>
    <n v="4"/>
    <s v="Closed"/>
    <s v="January"/>
    <x v="0"/>
    <n v="2026"/>
    <s v="No"/>
    <n v="0"/>
    <x v="0"/>
    <n v="1"/>
  </r>
  <r>
    <s v="T000470"/>
    <x v="463"/>
    <d v="2026-01-26T02:34:00"/>
    <x v="1"/>
    <s v="Phone"/>
    <x v="0"/>
    <s v="A004"/>
    <x v="0"/>
    <n v="72"/>
    <n v="12.7"/>
    <x v="1"/>
    <s v="No"/>
    <s v="No"/>
    <n v="5"/>
    <s v="Closed"/>
    <s v="January"/>
    <x v="0"/>
    <n v="2026"/>
    <s v="Yes"/>
    <n v="1"/>
    <x v="2"/>
    <n v="1"/>
  </r>
  <r>
    <s v="T000471"/>
    <x v="464"/>
    <d v="2026-01-26T07:35:00"/>
    <x v="1"/>
    <s v="Email"/>
    <x v="0"/>
    <s v="A014"/>
    <x v="0"/>
    <n v="72"/>
    <n v="16.2"/>
    <x v="1"/>
    <s v="No"/>
    <s v="No"/>
    <m/>
    <s v="Closed"/>
    <s v="January"/>
    <x v="0"/>
    <n v="2026"/>
    <s v="Yes"/>
    <n v="1"/>
    <x v="3"/>
    <n v="1"/>
  </r>
  <r>
    <s v="T000472"/>
    <x v="465"/>
    <d v="2026-01-25T22:17:00"/>
    <x v="3"/>
    <s v="Chat"/>
    <x v="1"/>
    <s v="A058"/>
    <x v="1"/>
    <n v="24"/>
    <n v="6.7"/>
    <x v="1"/>
    <s v="No"/>
    <s v="No"/>
    <n v="4"/>
    <s v="Closed"/>
    <s v="January"/>
    <x v="0"/>
    <n v="2026"/>
    <s v="Yes"/>
    <n v="1"/>
    <x v="4"/>
    <n v="1"/>
  </r>
  <r>
    <s v="T000473"/>
    <x v="466"/>
    <d v="2026-01-26T05:19:00"/>
    <x v="0"/>
    <s v="Phone"/>
    <x v="1"/>
    <s v="A040"/>
    <x v="1"/>
    <n v="24"/>
    <n v="13.7"/>
    <x v="1"/>
    <s v="No"/>
    <s v="No"/>
    <n v="4"/>
    <s v="Closed"/>
    <s v="January"/>
    <x v="0"/>
    <n v="2026"/>
    <s v="Yes"/>
    <n v="1"/>
    <x v="3"/>
    <n v="1"/>
  </r>
  <r>
    <s v="T000474"/>
    <x v="467"/>
    <d v="2026-01-25T22:11:00"/>
    <x v="1"/>
    <s v="Email"/>
    <x v="0"/>
    <s v="A022"/>
    <x v="2"/>
    <n v="72"/>
    <n v="6.1"/>
    <x v="1"/>
    <s v="No"/>
    <s v="No"/>
    <n v="5"/>
    <s v="Closed"/>
    <s v="January"/>
    <x v="0"/>
    <n v="2026"/>
    <s v="Yes"/>
    <n v="1"/>
    <x v="0"/>
    <n v="1"/>
  </r>
  <r>
    <s v="T000475"/>
    <x v="468"/>
    <d v="2026-01-27T04:36:00"/>
    <x v="4"/>
    <s v="Chat"/>
    <x v="1"/>
    <s v="A057"/>
    <x v="1"/>
    <n v="24"/>
    <n v="35.700000000000003"/>
    <x v="1"/>
    <s v="No"/>
    <s v="No"/>
    <n v="5"/>
    <s v="Closed"/>
    <s v="January"/>
    <x v="0"/>
    <n v="2026"/>
    <s v="No"/>
    <n v="0"/>
    <x v="1"/>
    <n v="1"/>
  </r>
  <r>
    <s v="T000476"/>
    <x v="469"/>
    <d v="2026-01-26T14:20:00"/>
    <x v="2"/>
    <s v="Email"/>
    <x v="1"/>
    <s v="A055"/>
    <x v="1"/>
    <n v="24"/>
    <n v="21.2"/>
    <x v="1"/>
    <s v="No"/>
    <s v="No"/>
    <n v="4"/>
    <s v="Closed"/>
    <s v="January"/>
    <x v="0"/>
    <n v="2026"/>
    <s v="Yes"/>
    <n v="1"/>
    <x v="2"/>
    <n v="1"/>
  </r>
  <r>
    <s v="T000477"/>
    <x v="470"/>
    <d v="2026-01-25T22:24:00"/>
    <x v="0"/>
    <s v="Chat"/>
    <x v="0"/>
    <s v="A041"/>
    <x v="1"/>
    <n v="72"/>
    <n v="5"/>
    <x v="1"/>
    <s v="No"/>
    <s v="No"/>
    <n v="5"/>
    <s v="Closed"/>
    <s v="January"/>
    <x v="0"/>
    <n v="2026"/>
    <s v="Yes"/>
    <n v="1"/>
    <x v="4"/>
    <n v="1"/>
  </r>
  <r>
    <s v="T000478"/>
    <x v="471"/>
    <d v="2026-01-26T20:55:00"/>
    <x v="3"/>
    <s v="Phone"/>
    <x v="2"/>
    <s v="A013"/>
    <x v="0"/>
    <n v="4"/>
    <n v="25.1"/>
    <x v="0"/>
    <s v="No"/>
    <s v="No"/>
    <n v="3"/>
    <s v="Closed"/>
    <s v="January"/>
    <x v="0"/>
    <n v="2026"/>
    <s v="No"/>
    <n v="0"/>
    <x v="4"/>
    <n v="0"/>
  </r>
  <r>
    <s v="T000479"/>
    <x v="472"/>
    <d v="2026-01-26T20:37:00"/>
    <x v="0"/>
    <s v="Phone"/>
    <x v="2"/>
    <s v="A005"/>
    <x v="0"/>
    <n v="4"/>
    <n v="14.5"/>
    <x v="1"/>
    <s v="No"/>
    <s v="No"/>
    <n v="5"/>
    <s v="Closed"/>
    <s v="January"/>
    <x v="0"/>
    <n v="2026"/>
    <s v="No"/>
    <n v="0"/>
    <x v="2"/>
    <n v="1"/>
  </r>
  <r>
    <s v="T000480"/>
    <x v="473"/>
    <d v="2026-01-28T00:56:00"/>
    <x v="1"/>
    <s v="Email"/>
    <x v="0"/>
    <s v="A015"/>
    <x v="0"/>
    <n v="72"/>
    <n v="42.6"/>
    <x v="1"/>
    <s v="No"/>
    <s v="No"/>
    <n v="4"/>
    <s v="Closed"/>
    <s v="January"/>
    <x v="0"/>
    <n v="2026"/>
    <s v="Yes"/>
    <n v="1"/>
    <x v="2"/>
    <n v="1"/>
  </r>
  <r>
    <s v="T000481"/>
    <x v="474"/>
    <d v="2026-01-27T07:58:00"/>
    <x v="2"/>
    <s v="Phone"/>
    <x v="1"/>
    <s v="A003"/>
    <x v="0"/>
    <n v="24"/>
    <n v="25.3"/>
    <x v="1"/>
    <s v="No"/>
    <s v="No"/>
    <n v="4"/>
    <s v="Closed"/>
    <s v="January"/>
    <x v="0"/>
    <n v="2026"/>
    <s v="No"/>
    <n v="0"/>
    <x v="2"/>
    <n v="1"/>
  </r>
  <r>
    <s v="T000482"/>
    <x v="475"/>
    <d v="2026-01-26T09:40:00"/>
    <x v="1"/>
    <s v="Email"/>
    <x v="1"/>
    <s v="A029"/>
    <x v="2"/>
    <n v="24"/>
    <n v="1.8"/>
    <x v="1"/>
    <s v="No"/>
    <s v="No"/>
    <n v="5"/>
    <s v="Closed"/>
    <s v="January"/>
    <x v="0"/>
    <n v="2026"/>
    <s v="Yes"/>
    <n v="1"/>
    <x v="3"/>
    <n v="1"/>
  </r>
  <r>
    <s v="T000483"/>
    <x v="476"/>
    <d v="2026-01-26T20:50:00"/>
    <x v="4"/>
    <s v="Chat"/>
    <x v="0"/>
    <s v="A019"/>
    <x v="2"/>
    <n v="72"/>
    <n v="12.8"/>
    <x v="1"/>
    <s v="No"/>
    <s v="No"/>
    <m/>
    <s v="Closed"/>
    <s v="January"/>
    <x v="0"/>
    <n v="2026"/>
    <s v="Yes"/>
    <n v="1"/>
    <x v="0"/>
    <n v="1"/>
  </r>
  <r>
    <s v="T000484"/>
    <x v="477"/>
    <d v="2026-02-01T22:20:00"/>
    <x v="4"/>
    <s v="Field Visit"/>
    <x v="2"/>
    <s v="A014"/>
    <x v="0"/>
    <n v="4"/>
    <n v="156.5"/>
    <x v="1"/>
    <s v="No"/>
    <s v="No"/>
    <n v="4"/>
    <s v="Closed"/>
    <s v="January"/>
    <x v="0"/>
    <n v="2026"/>
    <s v="No"/>
    <n v="0"/>
    <x v="2"/>
    <n v="1"/>
  </r>
  <r>
    <s v="T000485"/>
    <x v="478"/>
    <d v="2026-01-27T06:02:00"/>
    <x v="6"/>
    <s v="Field Visit"/>
    <x v="2"/>
    <s v="A039"/>
    <x v="1"/>
    <n v="4"/>
    <n v="19.8"/>
    <x v="0"/>
    <s v="No"/>
    <s v="Yes"/>
    <n v="2"/>
    <s v="Closed"/>
    <s v="January"/>
    <x v="0"/>
    <n v="2026"/>
    <s v="No"/>
    <n v="0"/>
    <x v="2"/>
    <n v="0"/>
  </r>
  <r>
    <s v="T000486"/>
    <x v="479"/>
    <d v="2026-01-26T17:16:00"/>
    <x v="5"/>
    <s v="Chat"/>
    <x v="1"/>
    <s v="A002"/>
    <x v="0"/>
    <n v="24"/>
    <n v="6"/>
    <x v="0"/>
    <s v="Yes"/>
    <s v="No"/>
    <n v="2"/>
    <s v="Closed"/>
    <s v="January"/>
    <x v="0"/>
    <n v="2026"/>
    <s v="Yes"/>
    <n v="1"/>
    <x v="1"/>
    <n v="0"/>
  </r>
  <r>
    <s v="T000487"/>
    <x v="480"/>
    <d v="2026-01-26T00:39:00"/>
    <x v="0"/>
    <s v="Chat"/>
    <x v="1"/>
    <s v="A029"/>
    <x v="2"/>
    <n v="24"/>
    <n v="4.5999999999999996"/>
    <x v="1"/>
    <s v="No"/>
    <s v="No"/>
    <n v="5"/>
    <s v="Closed"/>
    <s v="January"/>
    <x v="0"/>
    <n v="2026"/>
    <s v="Yes"/>
    <n v="1"/>
    <x v="2"/>
    <n v="1"/>
  </r>
  <r>
    <s v="T000488"/>
    <x v="481"/>
    <d v="2026-01-26T18:25:00"/>
    <x v="5"/>
    <s v="Phone"/>
    <x v="1"/>
    <s v="A017"/>
    <x v="2"/>
    <n v="24"/>
    <n v="5.3"/>
    <x v="0"/>
    <s v="No"/>
    <s v="No"/>
    <m/>
    <s v="Closed"/>
    <s v="January"/>
    <x v="0"/>
    <n v="2026"/>
    <s v="Yes"/>
    <n v="1"/>
    <x v="0"/>
    <n v="0"/>
  </r>
  <r>
    <s v="T000489"/>
    <x v="482"/>
    <d v="2026-01-26T16:47:00"/>
    <x v="5"/>
    <s v="Chat"/>
    <x v="2"/>
    <s v="A037"/>
    <x v="1"/>
    <n v="4"/>
    <n v="3.6"/>
    <x v="1"/>
    <s v="No"/>
    <s v="No"/>
    <n v="4"/>
    <s v="Closed"/>
    <s v="January"/>
    <x v="0"/>
    <n v="2026"/>
    <s v="Yes"/>
    <n v="1"/>
    <x v="2"/>
    <n v="1"/>
  </r>
  <r>
    <s v="T000490"/>
    <x v="483"/>
    <d v="2026-01-26T18:42:00"/>
    <x v="1"/>
    <s v="Phone"/>
    <x v="0"/>
    <s v="A040"/>
    <x v="1"/>
    <n v="72"/>
    <n v="5.4"/>
    <x v="0"/>
    <s v="No"/>
    <s v="No"/>
    <n v="4"/>
    <s v="Closed"/>
    <s v="January"/>
    <x v="0"/>
    <n v="2026"/>
    <s v="Yes"/>
    <n v="1"/>
    <x v="1"/>
    <n v="0"/>
  </r>
  <r>
    <s v="T000492"/>
    <x v="484"/>
    <d v="2026-01-27T00:57:00"/>
    <x v="0"/>
    <s v="Email"/>
    <x v="0"/>
    <s v="A039"/>
    <x v="1"/>
    <n v="72"/>
    <n v="9.6999999999999993"/>
    <x v="1"/>
    <s v="No"/>
    <s v="No"/>
    <n v="5"/>
    <s v="Closed"/>
    <s v="January"/>
    <x v="0"/>
    <n v="2026"/>
    <s v="Yes"/>
    <n v="1"/>
    <x v="4"/>
    <n v="1"/>
  </r>
  <r>
    <s v="T000491"/>
    <x v="484"/>
    <d v="2026-01-27T09:21:00"/>
    <x v="5"/>
    <s v="Email"/>
    <x v="1"/>
    <s v="A059"/>
    <x v="1"/>
    <n v="24"/>
    <n v="18.100000000000001"/>
    <x v="1"/>
    <s v="No"/>
    <s v="No"/>
    <n v="5"/>
    <s v="Closed"/>
    <s v="January"/>
    <x v="0"/>
    <n v="2026"/>
    <s v="Yes"/>
    <n v="1"/>
    <x v="2"/>
    <n v="1"/>
  </r>
  <r>
    <s v="T000493"/>
    <x v="485"/>
    <d v="2026-01-27T00:40:00"/>
    <x v="2"/>
    <s v="Chat"/>
    <x v="1"/>
    <s v="A046"/>
    <x v="1"/>
    <n v="24"/>
    <n v="8.9"/>
    <x v="1"/>
    <s v="No"/>
    <s v="No"/>
    <n v="4"/>
    <s v="Closed"/>
    <s v="January"/>
    <x v="0"/>
    <n v="2026"/>
    <s v="Yes"/>
    <n v="1"/>
    <x v="1"/>
    <n v="1"/>
  </r>
  <r>
    <s v="T000494"/>
    <x v="486"/>
    <d v="2026-01-27T02:49:00"/>
    <x v="1"/>
    <s v="Email"/>
    <x v="1"/>
    <s v="A039"/>
    <x v="1"/>
    <n v="24"/>
    <n v="10.9"/>
    <x v="1"/>
    <s v="No"/>
    <s v="No"/>
    <n v="4"/>
    <s v="Closed"/>
    <s v="January"/>
    <x v="0"/>
    <n v="2026"/>
    <s v="Yes"/>
    <n v="1"/>
    <x v="0"/>
    <n v="1"/>
  </r>
  <r>
    <s v="T000495"/>
    <x v="487"/>
    <d v="2026-01-27T15:51:00"/>
    <x v="1"/>
    <s v="Phone"/>
    <x v="1"/>
    <s v="A012"/>
    <x v="0"/>
    <n v="24"/>
    <n v="23.4"/>
    <x v="1"/>
    <s v="No"/>
    <s v="No"/>
    <m/>
    <s v="Closed"/>
    <s v="January"/>
    <x v="0"/>
    <n v="2026"/>
    <s v="Yes"/>
    <n v="1"/>
    <x v="1"/>
    <n v="1"/>
  </r>
  <r>
    <s v="T000496"/>
    <x v="488"/>
    <d v="2026-01-27T05:42:00"/>
    <x v="2"/>
    <s v="Phone"/>
    <x v="2"/>
    <s v="A027"/>
    <x v="2"/>
    <n v="4"/>
    <n v="12.7"/>
    <x v="0"/>
    <s v="No"/>
    <s v="No"/>
    <n v="5"/>
    <s v="Closed"/>
    <s v="January"/>
    <x v="0"/>
    <n v="2026"/>
    <s v="No"/>
    <n v="0"/>
    <x v="2"/>
    <n v="0"/>
  </r>
  <r>
    <s v="T000497"/>
    <x v="489"/>
    <d v="2026-01-27T03:40:00"/>
    <x v="1"/>
    <s v="Phone"/>
    <x v="1"/>
    <s v="A040"/>
    <x v="1"/>
    <n v="24"/>
    <n v="5.6"/>
    <x v="1"/>
    <s v="No"/>
    <s v="No"/>
    <n v="4"/>
    <s v="Closed"/>
    <s v="January"/>
    <x v="0"/>
    <n v="2026"/>
    <s v="Yes"/>
    <n v="1"/>
    <x v="4"/>
    <n v="1"/>
  </r>
  <r>
    <s v="T000498"/>
    <x v="490"/>
    <d v="2026-01-27T18:40:00"/>
    <x v="6"/>
    <s v="Field Visit"/>
    <x v="1"/>
    <s v="A030"/>
    <x v="2"/>
    <n v="24"/>
    <n v="11.4"/>
    <x v="1"/>
    <s v="No"/>
    <s v="No"/>
    <n v="5"/>
    <s v="Closed"/>
    <s v="January"/>
    <x v="0"/>
    <n v="2026"/>
    <s v="Yes"/>
    <n v="1"/>
    <x v="1"/>
    <n v="1"/>
  </r>
  <r>
    <s v="T000499"/>
    <x v="491"/>
    <d v="2026-01-27T11:40:00"/>
    <x v="1"/>
    <s v="Chat"/>
    <x v="0"/>
    <s v="A028"/>
    <x v="2"/>
    <n v="72"/>
    <n v="2.1"/>
    <x v="0"/>
    <s v="No"/>
    <s v="No"/>
    <n v="3"/>
    <s v="Closed"/>
    <s v="January"/>
    <x v="0"/>
    <n v="2026"/>
    <s v="Yes"/>
    <n v="1"/>
    <x v="4"/>
    <n v="0"/>
  </r>
  <r>
    <s v="T000500"/>
    <x v="492"/>
    <d v="2026-01-27T19:47:00"/>
    <x v="1"/>
    <s v="Chat"/>
    <x v="2"/>
    <s v="A004"/>
    <x v="0"/>
    <n v="4"/>
    <n v="8.8000000000000007"/>
    <x v="0"/>
    <s v="Yes"/>
    <s v="No"/>
    <n v="4"/>
    <s v="Closed"/>
    <s v="January"/>
    <x v="0"/>
    <n v="2026"/>
    <s v="No"/>
    <n v="0"/>
    <x v="4"/>
    <n v="0"/>
  </r>
  <r>
    <s v="T000501"/>
    <x v="493"/>
    <d v="2026-01-27T12:00:00"/>
    <x v="1"/>
    <s v="Chat"/>
    <x v="0"/>
    <s v="A016"/>
    <x v="2"/>
    <n v="72"/>
    <n v="1"/>
    <x v="1"/>
    <s v="No"/>
    <s v="No"/>
    <n v="5"/>
    <s v="Closed"/>
    <s v="January"/>
    <x v="0"/>
    <n v="2026"/>
    <s v="Yes"/>
    <n v="1"/>
    <x v="1"/>
    <n v="1"/>
  </r>
  <r>
    <s v="T000502"/>
    <x v="494"/>
    <d v="2026-01-29T05:48:00"/>
    <x v="0"/>
    <s v="Field Visit"/>
    <x v="1"/>
    <s v="A050"/>
    <x v="1"/>
    <n v="24"/>
    <n v="42.7"/>
    <x v="1"/>
    <s v="No"/>
    <s v="No"/>
    <m/>
    <s v="Closed"/>
    <s v="January"/>
    <x v="0"/>
    <n v="2026"/>
    <s v="No"/>
    <n v="0"/>
    <x v="4"/>
    <n v="1"/>
  </r>
  <r>
    <s v="T000503"/>
    <x v="495"/>
    <d v="2026-01-27T22:16:00"/>
    <x v="2"/>
    <s v="Chat"/>
    <x v="2"/>
    <s v="A055"/>
    <x v="1"/>
    <n v="4"/>
    <n v="10.4"/>
    <x v="0"/>
    <s v="No"/>
    <s v="No"/>
    <m/>
    <s v="Closed"/>
    <s v="January"/>
    <x v="0"/>
    <n v="2026"/>
    <s v="No"/>
    <n v="0"/>
    <x v="2"/>
    <n v="0"/>
  </r>
  <r>
    <s v="T000504"/>
    <x v="496"/>
    <d v="2026-01-28T01:18:00"/>
    <x v="6"/>
    <s v="Phone"/>
    <x v="2"/>
    <s v="A025"/>
    <x v="2"/>
    <n v="4"/>
    <n v="12.9"/>
    <x v="1"/>
    <s v="No"/>
    <s v="No"/>
    <m/>
    <s v="Closed"/>
    <s v="January"/>
    <x v="0"/>
    <n v="2026"/>
    <s v="No"/>
    <n v="0"/>
    <x v="2"/>
    <n v="1"/>
  </r>
  <r>
    <s v="T000505"/>
    <x v="497"/>
    <d v="2026-01-30T03:20:00"/>
    <x v="0"/>
    <s v="Email"/>
    <x v="1"/>
    <s v="A036"/>
    <x v="1"/>
    <n v="24"/>
    <n v="61.9"/>
    <x v="0"/>
    <s v="Yes"/>
    <s v="No"/>
    <n v="2"/>
    <s v="Closed"/>
    <s v="January"/>
    <x v="0"/>
    <n v="2026"/>
    <s v="No"/>
    <n v="0"/>
    <x v="4"/>
    <n v="0"/>
  </r>
  <r>
    <s v="T000506"/>
    <x v="498"/>
    <d v="2026-01-28T17:15:00"/>
    <x v="0"/>
    <s v="Field Visit"/>
    <x v="2"/>
    <s v="A056"/>
    <x v="1"/>
    <n v="4"/>
    <n v="27.8"/>
    <x v="1"/>
    <s v="No"/>
    <s v="No"/>
    <n v="4"/>
    <s v="Closed"/>
    <s v="January"/>
    <x v="0"/>
    <n v="2026"/>
    <s v="No"/>
    <n v="0"/>
    <x v="2"/>
    <n v="1"/>
  </r>
  <r>
    <s v="T000507"/>
    <x v="499"/>
    <d v="2026-01-28T01:41:00"/>
    <x v="5"/>
    <s v="Chat"/>
    <x v="2"/>
    <s v="A045"/>
    <x v="1"/>
    <n v="4"/>
    <n v="12.2"/>
    <x v="1"/>
    <s v="No"/>
    <s v="No"/>
    <m/>
    <s v="Closed"/>
    <s v="January"/>
    <x v="0"/>
    <n v="2026"/>
    <s v="No"/>
    <n v="0"/>
    <x v="0"/>
    <n v="1"/>
  </r>
  <r>
    <s v="T000508"/>
    <x v="500"/>
    <d v="2026-01-28T07:14:00"/>
    <x v="0"/>
    <s v="Phone"/>
    <x v="0"/>
    <s v="A018"/>
    <x v="2"/>
    <n v="72"/>
    <n v="17.399999999999999"/>
    <x v="1"/>
    <s v="No"/>
    <s v="No"/>
    <n v="4"/>
    <s v="Closed"/>
    <s v="January"/>
    <x v="0"/>
    <n v="2026"/>
    <s v="Yes"/>
    <n v="1"/>
    <x v="1"/>
    <n v="1"/>
  </r>
  <r>
    <s v="T000509"/>
    <x v="501"/>
    <d v="2026-01-27T16:51:00"/>
    <x v="1"/>
    <s v="Phone"/>
    <x v="0"/>
    <s v="A025"/>
    <x v="2"/>
    <n v="72"/>
    <n v="2.7"/>
    <x v="1"/>
    <s v="No"/>
    <s v="No"/>
    <n v="4"/>
    <s v="Closed"/>
    <s v="January"/>
    <x v="0"/>
    <n v="2026"/>
    <s v="Yes"/>
    <n v="1"/>
    <x v="1"/>
    <n v="1"/>
  </r>
  <r>
    <s v="T000510"/>
    <x v="502"/>
    <d v="2026-01-28T20:00:00"/>
    <x v="2"/>
    <s v="Email"/>
    <x v="0"/>
    <s v="A049"/>
    <x v="1"/>
    <n v="72"/>
    <n v="29.7"/>
    <x v="0"/>
    <s v="No"/>
    <s v="No"/>
    <m/>
    <s v="Closed"/>
    <s v="January"/>
    <x v="0"/>
    <n v="2026"/>
    <s v="Yes"/>
    <n v="1"/>
    <x v="3"/>
    <n v="0"/>
  </r>
  <r>
    <s v="T000511"/>
    <x v="503"/>
    <d v="2026-01-27T19:06:00"/>
    <x v="2"/>
    <s v="Chat"/>
    <x v="2"/>
    <s v="A028"/>
    <x v="2"/>
    <n v="4"/>
    <n v="4.4000000000000004"/>
    <x v="1"/>
    <s v="No"/>
    <s v="No"/>
    <m/>
    <s v="Closed"/>
    <s v="January"/>
    <x v="0"/>
    <n v="2026"/>
    <s v="No"/>
    <n v="0"/>
    <x v="0"/>
    <n v="1"/>
  </r>
  <r>
    <s v="T000512"/>
    <x v="504"/>
    <d v="2026-01-28T10:06:00"/>
    <x v="0"/>
    <s v="Chat"/>
    <x v="2"/>
    <s v="A054"/>
    <x v="1"/>
    <n v="4"/>
    <n v="19.100000000000001"/>
    <x v="1"/>
    <s v="No"/>
    <s v="No"/>
    <n v="5"/>
    <s v="Closed"/>
    <s v="January"/>
    <x v="0"/>
    <n v="2026"/>
    <s v="No"/>
    <n v="0"/>
    <x v="0"/>
    <n v="1"/>
  </r>
  <r>
    <s v="T000513"/>
    <x v="505"/>
    <d v="2026-01-29T09:12:00"/>
    <x v="5"/>
    <s v="Field Visit"/>
    <x v="0"/>
    <s v="A026"/>
    <x v="2"/>
    <n v="72"/>
    <n v="41.7"/>
    <x v="0"/>
    <s v="No"/>
    <s v="No"/>
    <m/>
    <s v="Closed"/>
    <s v="January"/>
    <x v="0"/>
    <n v="2026"/>
    <s v="Yes"/>
    <n v="1"/>
    <x v="1"/>
    <n v="0"/>
  </r>
  <r>
    <s v="T000514"/>
    <x v="506"/>
    <d v="2026-01-27T23:01:00"/>
    <x v="5"/>
    <s v="Chat"/>
    <x v="0"/>
    <s v="A013"/>
    <x v="0"/>
    <n v="72"/>
    <n v="6.6"/>
    <x v="1"/>
    <s v="No"/>
    <s v="No"/>
    <n v="5"/>
    <s v="Closed"/>
    <s v="January"/>
    <x v="0"/>
    <n v="2026"/>
    <s v="Yes"/>
    <n v="1"/>
    <x v="3"/>
    <n v="1"/>
  </r>
  <r>
    <s v="T000515"/>
    <x v="507"/>
    <d v="2026-01-28T00:55:00"/>
    <x v="1"/>
    <s v="Phone"/>
    <x v="0"/>
    <s v="A046"/>
    <x v="1"/>
    <n v="72"/>
    <n v="8.4"/>
    <x v="0"/>
    <s v="Yes"/>
    <s v="No"/>
    <n v="2"/>
    <s v="Closed"/>
    <s v="January"/>
    <x v="0"/>
    <n v="2026"/>
    <s v="Yes"/>
    <n v="1"/>
    <x v="2"/>
    <n v="0"/>
  </r>
  <r>
    <s v="T000516"/>
    <x v="508"/>
    <d v="2026-01-30T08:03:00"/>
    <x v="3"/>
    <s v="Field Visit"/>
    <x v="0"/>
    <s v="A009"/>
    <x v="0"/>
    <n v="72"/>
    <n v="62.3"/>
    <x v="1"/>
    <s v="No"/>
    <s v="No"/>
    <n v="4"/>
    <s v="Closed"/>
    <s v="January"/>
    <x v="0"/>
    <n v="2026"/>
    <s v="Yes"/>
    <n v="1"/>
    <x v="3"/>
    <n v="1"/>
  </r>
  <r>
    <s v="T000517"/>
    <x v="509"/>
    <d v="2026-01-30T02:14:00"/>
    <x v="3"/>
    <s v="Field Visit"/>
    <x v="0"/>
    <s v="A050"/>
    <x v="1"/>
    <n v="72"/>
    <n v="56"/>
    <x v="0"/>
    <s v="No"/>
    <s v="No"/>
    <n v="5"/>
    <s v="Closed"/>
    <s v="January"/>
    <x v="0"/>
    <n v="2026"/>
    <s v="Yes"/>
    <n v="1"/>
    <x v="0"/>
    <n v="0"/>
  </r>
  <r>
    <s v="T000518"/>
    <x v="510"/>
    <d v="2026-01-28T05:30:00"/>
    <x v="1"/>
    <s v="Phone"/>
    <x v="0"/>
    <s v="A009"/>
    <x v="0"/>
    <n v="72"/>
    <n v="11.2"/>
    <x v="0"/>
    <s v="No"/>
    <s v="No"/>
    <n v="4"/>
    <s v="Closed"/>
    <s v="January"/>
    <x v="0"/>
    <n v="2026"/>
    <s v="Yes"/>
    <n v="1"/>
    <x v="4"/>
    <n v="0"/>
  </r>
  <r>
    <s v="T000519"/>
    <x v="511"/>
    <d v="2026-01-28T11:08:00"/>
    <x v="0"/>
    <s v="Field Visit"/>
    <x v="0"/>
    <s v="A052"/>
    <x v="1"/>
    <n v="72"/>
    <n v="14.1"/>
    <x v="1"/>
    <s v="No"/>
    <s v="Yes"/>
    <n v="5"/>
    <s v="Closed"/>
    <s v="January"/>
    <x v="0"/>
    <n v="2026"/>
    <s v="Yes"/>
    <n v="1"/>
    <x v="1"/>
    <n v="1"/>
  </r>
  <r>
    <s v="T000520"/>
    <x v="512"/>
    <d v="2026-01-28T16:38:00"/>
    <x v="6"/>
    <s v="Phone"/>
    <x v="1"/>
    <s v="A056"/>
    <x v="1"/>
    <n v="24"/>
    <n v="12.2"/>
    <x v="1"/>
    <s v="No"/>
    <s v="No"/>
    <n v="4"/>
    <s v="Closed"/>
    <s v="January"/>
    <x v="0"/>
    <n v="2026"/>
    <s v="Yes"/>
    <n v="1"/>
    <x v="2"/>
    <n v="1"/>
  </r>
  <r>
    <s v="T000521"/>
    <x v="513"/>
    <d v="2026-01-28T15:13:00"/>
    <x v="1"/>
    <s v="Chat"/>
    <x v="0"/>
    <s v="A002"/>
    <x v="0"/>
    <n v="72"/>
    <n v="7.6"/>
    <x v="1"/>
    <s v="No"/>
    <s v="No"/>
    <n v="4"/>
    <s v="Closed"/>
    <s v="January"/>
    <x v="0"/>
    <n v="2026"/>
    <s v="Yes"/>
    <n v="1"/>
    <x v="3"/>
    <n v="1"/>
  </r>
  <r>
    <s v="T000522"/>
    <x v="514"/>
    <d v="2026-01-29T12:01:00"/>
    <x v="6"/>
    <s v="Phone"/>
    <x v="1"/>
    <s v="A006"/>
    <x v="0"/>
    <n v="24"/>
    <n v="26.6"/>
    <x v="0"/>
    <s v="Yes"/>
    <s v="No"/>
    <n v="4"/>
    <s v="Closed"/>
    <s v="January"/>
    <x v="0"/>
    <n v="2026"/>
    <s v="No"/>
    <n v="0"/>
    <x v="3"/>
    <n v="0"/>
  </r>
  <r>
    <s v="T000523"/>
    <x v="515"/>
    <d v="2026-01-28T23:35:00"/>
    <x v="3"/>
    <s v="Chat"/>
    <x v="1"/>
    <s v="A058"/>
    <x v="1"/>
    <n v="24"/>
    <n v="13.4"/>
    <x v="0"/>
    <s v="No"/>
    <s v="No"/>
    <m/>
    <s v="Closed"/>
    <s v="January"/>
    <x v="0"/>
    <n v="2026"/>
    <s v="Yes"/>
    <n v="1"/>
    <x v="3"/>
    <n v="0"/>
  </r>
  <r>
    <s v="T000524"/>
    <x v="516"/>
    <d v="2026-01-28T13:56:00"/>
    <x v="6"/>
    <s v="Chat"/>
    <x v="2"/>
    <s v="A047"/>
    <x v="1"/>
    <n v="4"/>
    <n v="3"/>
    <x v="1"/>
    <s v="No"/>
    <s v="No"/>
    <n v="5"/>
    <s v="Closed"/>
    <s v="January"/>
    <x v="0"/>
    <n v="2026"/>
    <s v="Yes"/>
    <n v="1"/>
    <x v="4"/>
    <n v="1"/>
  </r>
  <r>
    <s v="T000525"/>
    <x v="517"/>
    <d v="2026-02-03T22:49:00"/>
    <x v="4"/>
    <s v="Phone"/>
    <x v="1"/>
    <s v="A023"/>
    <x v="2"/>
    <n v="24"/>
    <n v="155.5"/>
    <x v="1"/>
    <s v="No"/>
    <s v="No"/>
    <n v="4"/>
    <s v="Closed"/>
    <s v="January"/>
    <x v="0"/>
    <n v="2026"/>
    <s v="No"/>
    <n v="0"/>
    <x v="4"/>
    <n v="1"/>
  </r>
  <r>
    <s v="T000526"/>
    <x v="518"/>
    <d v="2026-01-29T07:05:00"/>
    <x v="0"/>
    <s v="Email"/>
    <x v="1"/>
    <s v="A057"/>
    <x v="1"/>
    <n v="24"/>
    <n v="19.399999999999999"/>
    <x v="1"/>
    <s v="No"/>
    <s v="No"/>
    <m/>
    <s v="Closed"/>
    <s v="January"/>
    <x v="0"/>
    <n v="2026"/>
    <s v="Yes"/>
    <n v="1"/>
    <x v="2"/>
    <n v="1"/>
  </r>
  <r>
    <s v="T000527"/>
    <x v="519"/>
    <d v="2026-01-29T06:06:00"/>
    <x v="2"/>
    <s v="Phone"/>
    <x v="0"/>
    <s v="A046"/>
    <x v="1"/>
    <n v="72"/>
    <n v="18.399999999999999"/>
    <x v="1"/>
    <s v="No"/>
    <s v="No"/>
    <n v="5"/>
    <s v="Closed"/>
    <s v="January"/>
    <x v="0"/>
    <n v="2026"/>
    <s v="Yes"/>
    <n v="1"/>
    <x v="3"/>
    <n v="1"/>
  </r>
  <r>
    <s v="T000528"/>
    <x v="520"/>
    <d v="2026-01-28T20:00:00"/>
    <x v="3"/>
    <s v="Phone"/>
    <x v="1"/>
    <s v="A040"/>
    <x v="1"/>
    <n v="24"/>
    <n v="7.8"/>
    <x v="1"/>
    <s v="No"/>
    <s v="No"/>
    <n v="5"/>
    <s v="Closed"/>
    <s v="January"/>
    <x v="0"/>
    <n v="2026"/>
    <s v="Yes"/>
    <n v="1"/>
    <x v="2"/>
    <n v="1"/>
  </r>
  <r>
    <s v="T000529"/>
    <x v="521"/>
    <d v="2026-01-29T00:35:00"/>
    <x v="1"/>
    <s v="Phone"/>
    <x v="0"/>
    <s v="A015"/>
    <x v="0"/>
    <n v="72"/>
    <n v="12.1"/>
    <x v="1"/>
    <s v="No"/>
    <s v="No"/>
    <m/>
    <s v="Closed"/>
    <s v="January"/>
    <x v="0"/>
    <n v="2026"/>
    <s v="Yes"/>
    <n v="1"/>
    <x v="1"/>
    <n v="1"/>
  </r>
  <r>
    <s v="T000530"/>
    <x v="522"/>
    <d v="2026-01-28T17:52:00"/>
    <x v="2"/>
    <s v="Phone"/>
    <x v="1"/>
    <s v="A037"/>
    <x v="1"/>
    <n v="24"/>
    <n v="4"/>
    <x v="1"/>
    <s v="No"/>
    <s v="No"/>
    <n v="5"/>
    <s v="Closed"/>
    <s v="January"/>
    <x v="0"/>
    <n v="2026"/>
    <s v="Yes"/>
    <n v="1"/>
    <x v="1"/>
    <n v="1"/>
  </r>
  <r>
    <s v="T000531"/>
    <x v="523"/>
    <d v="2026-01-28T19:05:00"/>
    <x v="3"/>
    <s v="Chat"/>
    <x v="0"/>
    <s v="A022"/>
    <x v="2"/>
    <n v="72"/>
    <n v="5.2"/>
    <x v="1"/>
    <s v="No"/>
    <s v="No"/>
    <n v="4"/>
    <s v="Closed"/>
    <s v="January"/>
    <x v="0"/>
    <n v="2026"/>
    <s v="Yes"/>
    <n v="1"/>
    <x v="4"/>
    <n v="1"/>
  </r>
  <r>
    <s v="T000532"/>
    <x v="524"/>
    <d v="2026-01-28T18:41:00"/>
    <x v="6"/>
    <s v="Phone"/>
    <x v="0"/>
    <s v="A028"/>
    <x v="2"/>
    <n v="72"/>
    <n v="4.2"/>
    <x v="1"/>
    <s v="No"/>
    <s v="No"/>
    <n v="5"/>
    <s v="Closed"/>
    <s v="January"/>
    <x v="0"/>
    <n v="2026"/>
    <s v="Yes"/>
    <n v="1"/>
    <x v="1"/>
    <n v="1"/>
  </r>
  <r>
    <s v="T000533"/>
    <x v="525"/>
    <d v="2026-01-30T06:07:00"/>
    <x v="2"/>
    <s v="Email"/>
    <x v="0"/>
    <s v="A011"/>
    <x v="0"/>
    <n v="72"/>
    <n v="39.5"/>
    <x v="1"/>
    <s v="No"/>
    <s v="No"/>
    <n v="3"/>
    <s v="Closed"/>
    <s v="January"/>
    <x v="0"/>
    <n v="2026"/>
    <s v="Yes"/>
    <n v="1"/>
    <x v="3"/>
    <n v="1"/>
  </r>
  <r>
    <s v="T000534"/>
    <x v="526"/>
    <d v="2026-01-28T22:56:00"/>
    <x v="3"/>
    <s v="Phone"/>
    <x v="1"/>
    <s v="A016"/>
    <x v="2"/>
    <n v="24"/>
    <n v="7.9"/>
    <x v="1"/>
    <s v="No"/>
    <s v="No"/>
    <n v="5"/>
    <s v="Closed"/>
    <s v="January"/>
    <x v="0"/>
    <n v="2026"/>
    <s v="Yes"/>
    <n v="1"/>
    <x v="0"/>
    <n v="1"/>
  </r>
  <r>
    <s v="T000535"/>
    <x v="527"/>
    <d v="2026-01-28T23:00:00"/>
    <x v="6"/>
    <s v="Phone"/>
    <x v="2"/>
    <s v="A054"/>
    <x v="1"/>
    <n v="4"/>
    <n v="6.5"/>
    <x v="1"/>
    <s v="No"/>
    <s v="Yes"/>
    <n v="2"/>
    <s v="Closed"/>
    <s v="January"/>
    <x v="0"/>
    <n v="2026"/>
    <s v="No"/>
    <n v="0"/>
    <x v="4"/>
    <n v="1"/>
  </r>
  <r>
    <s v="T000536"/>
    <x v="528"/>
    <d v="2026-01-28T23:35:00"/>
    <x v="2"/>
    <s v="Chat"/>
    <x v="0"/>
    <s v="A029"/>
    <x v="2"/>
    <n v="72"/>
    <n v="6.4"/>
    <x v="1"/>
    <s v="No"/>
    <s v="No"/>
    <m/>
    <s v="Closed"/>
    <s v="January"/>
    <x v="0"/>
    <n v="2026"/>
    <s v="Yes"/>
    <n v="1"/>
    <x v="3"/>
    <n v="1"/>
  </r>
  <r>
    <s v="T000537"/>
    <x v="529"/>
    <d v="2026-02-01T04:24:00"/>
    <x v="0"/>
    <s v="Email"/>
    <x v="0"/>
    <s v="A042"/>
    <x v="1"/>
    <n v="72"/>
    <n v="83"/>
    <x v="1"/>
    <s v="No"/>
    <s v="No"/>
    <n v="3"/>
    <s v="Closed"/>
    <s v="January"/>
    <x v="0"/>
    <n v="2026"/>
    <s v="No"/>
    <n v="0"/>
    <x v="0"/>
    <n v="1"/>
  </r>
  <r>
    <s v="T000538"/>
    <x v="530"/>
    <d v="2026-01-29T18:24:00"/>
    <x v="3"/>
    <s v="Phone"/>
    <x v="1"/>
    <s v="A041"/>
    <x v="1"/>
    <n v="24"/>
    <n v="23.5"/>
    <x v="1"/>
    <s v="No"/>
    <s v="No"/>
    <n v="4"/>
    <s v="Closed"/>
    <s v="January"/>
    <x v="0"/>
    <n v="2026"/>
    <s v="Yes"/>
    <n v="1"/>
    <x v="2"/>
    <n v="1"/>
  </r>
  <r>
    <s v="T000539"/>
    <x v="531"/>
    <d v="2026-01-28T23:04:00"/>
    <x v="5"/>
    <s v="Phone"/>
    <x v="1"/>
    <s v="A048"/>
    <x v="1"/>
    <n v="24"/>
    <n v="3.1"/>
    <x v="1"/>
    <s v="No"/>
    <s v="Yes"/>
    <n v="4"/>
    <s v="Closed"/>
    <s v="January"/>
    <x v="0"/>
    <n v="2026"/>
    <s v="Yes"/>
    <n v="1"/>
    <x v="1"/>
    <n v="1"/>
  </r>
  <r>
    <s v="T000540"/>
    <x v="532"/>
    <d v="2026-01-28T22:19:00"/>
    <x v="1"/>
    <s v="Chat"/>
    <x v="0"/>
    <s v="A048"/>
    <x v="1"/>
    <n v="72"/>
    <n v="1.9"/>
    <x v="1"/>
    <s v="No"/>
    <s v="No"/>
    <n v="4"/>
    <s v="Closed"/>
    <s v="January"/>
    <x v="0"/>
    <n v="2026"/>
    <s v="Yes"/>
    <n v="1"/>
    <x v="4"/>
    <n v="1"/>
  </r>
  <r>
    <s v="T000541"/>
    <x v="533"/>
    <d v="2026-01-29T03:43:00"/>
    <x v="1"/>
    <s v="Phone"/>
    <x v="0"/>
    <s v="A034"/>
    <x v="2"/>
    <n v="72"/>
    <n v="0.5"/>
    <x v="1"/>
    <s v="No"/>
    <s v="No"/>
    <n v="5"/>
    <s v="Closed"/>
    <s v="January"/>
    <x v="0"/>
    <n v="2026"/>
    <s v="Yes"/>
    <n v="1"/>
    <x v="3"/>
    <n v="1"/>
  </r>
  <r>
    <s v="T000542"/>
    <x v="534"/>
    <d v="2026-01-29T13:02:00"/>
    <x v="5"/>
    <s v="Phone"/>
    <x v="0"/>
    <s v="A056"/>
    <x v="1"/>
    <n v="72"/>
    <n v="9.4"/>
    <x v="1"/>
    <s v="No"/>
    <s v="No"/>
    <n v="4"/>
    <s v="Closed"/>
    <s v="January"/>
    <x v="0"/>
    <n v="2026"/>
    <s v="Yes"/>
    <n v="1"/>
    <x v="2"/>
    <n v="1"/>
  </r>
  <r>
    <s v="T000543"/>
    <x v="535"/>
    <d v="2026-01-29T08:27:00"/>
    <x v="3"/>
    <s v="Chat"/>
    <x v="0"/>
    <s v="A044"/>
    <x v="1"/>
    <n v="72"/>
    <n v="4.8"/>
    <x v="1"/>
    <s v="No"/>
    <s v="No"/>
    <n v="3"/>
    <s v="Closed"/>
    <s v="January"/>
    <x v="0"/>
    <n v="2026"/>
    <s v="Yes"/>
    <n v="1"/>
    <x v="3"/>
    <n v="1"/>
  </r>
  <r>
    <s v="T000544"/>
    <x v="536"/>
    <d v="2026-01-29T16:15:00"/>
    <x v="1"/>
    <s v="Email"/>
    <x v="0"/>
    <s v="A039"/>
    <x v="1"/>
    <n v="72"/>
    <n v="9.1999999999999993"/>
    <x v="1"/>
    <s v="No"/>
    <s v="No"/>
    <m/>
    <s v="Closed"/>
    <s v="January"/>
    <x v="0"/>
    <n v="2026"/>
    <s v="Yes"/>
    <n v="1"/>
    <x v="0"/>
    <n v="1"/>
  </r>
  <r>
    <s v="T000545"/>
    <x v="537"/>
    <d v="2026-01-29T13:16:00"/>
    <x v="5"/>
    <s v="Phone"/>
    <x v="1"/>
    <s v="A038"/>
    <x v="1"/>
    <n v="24"/>
    <n v="5.5"/>
    <x v="1"/>
    <s v="No"/>
    <s v="No"/>
    <n v="5"/>
    <s v="Closed"/>
    <s v="January"/>
    <x v="0"/>
    <n v="2026"/>
    <s v="Yes"/>
    <n v="1"/>
    <x v="4"/>
    <n v="1"/>
  </r>
  <r>
    <s v="T000546"/>
    <x v="538"/>
    <d v="2026-01-29T22:11:00"/>
    <x v="1"/>
    <s v="Email"/>
    <x v="0"/>
    <s v="A022"/>
    <x v="2"/>
    <n v="72"/>
    <n v="12.8"/>
    <x v="1"/>
    <s v="No"/>
    <s v="No"/>
    <m/>
    <s v="Closed"/>
    <s v="January"/>
    <x v="0"/>
    <n v="2026"/>
    <s v="Yes"/>
    <n v="1"/>
    <x v="3"/>
    <n v="1"/>
  </r>
  <r>
    <s v="T000547"/>
    <x v="539"/>
    <d v="2026-02-02T18:36:00"/>
    <x v="3"/>
    <s v="Email"/>
    <x v="0"/>
    <s v="A031"/>
    <x v="2"/>
    <n v="72"/>
    <n v="104.7"/>
    <x v="1"/>
    <s v="No"/>
    <s v="No"/>
    <n v="4"/>
    <s v="Closed"/>
    <s v="January"/>
    <x v="0"/>
    <n v="2026"/>
    <s v="No"/>
    <n v="0"/>
    <x v="4"/>
    <n v="1"/>
  </r>
  <r>
    <s v="T000548"/>
    <x v="540"/>
    <d v="2026-01-29T19:49:00"/>
    <x v="3"/>
    <s v="Email"/>
    <x v="1"/>
    <s v="A050"/>
    <x v="1"/>
    <n v="24"/>
    <n v="9.1999999999999993"/>
    <x v="1"/>
    <s v="No"/>
    <s v="No"/>
    <n v="5"/>
    <s v="Closed"/>
    <s v="January"/>
    <x v="0"/>
    <n v="2026"/>
    <s v="Yes"/>
    <n v="1"/>
    <x v="0"/>
    <n v="1"/>
  </r>
  <r>
    <s v="T000549"/>
    <x v="541"/>
    <d v="2026-01-29T13:17:00"/>
    <x v="6"/>
    <s v="Chat"/>
    <x v="2"/>
    <s v="A003"/>
    <x v="0"/>
    <n v="4"/>
    <n v="1.7"/>
    <x v="0"/>
    <s v="No"/>
    <s v="No"/>
    <m/>
    <s v="Closed"/>
    <s v="January"/>
    <x v="0"/>
    <n v="2026"/>
    <s v="Yes"/>
    <n v="1"/>
    <x v="4"/>
    <n v="0"/>
  </r>
  <r>
    <s v="T000550"/>
    <x v="542"/>
    <d v="2026-01-29T22:58:00"/>
    <x v="6"/>
    <s v="Phone"/>
    <x v="2"/>
    <s v="A031"/>
    <x v="2"/>
    <n v="4"/>
    <n v="10.6"/>
    <x v="1"/>
    <s v="No"/>
    <s v="Yes"/>
    <n v="3"/>
    <s v="Closed"/>
    <s v="January"/>
    <x v="0"/>
    <n v="2026"/>
    <s v="No"/>
    <n v="0"/>
    <x v="1"/>
    <n v="1"/>
  </r>
  <r>
    <s v="T000551"/>
    <x v="543"/>
    <d v="2026-01-29T19:00:00"/>
    <x v="1"/>
    <s v="Phone"/>
    <x v="1"/>
    <s v="A060"/>
    <x v="1"/>
    <n v="24"/>
    <n v="6.6"/>
    <x v="1"/>
    <s v="No"/>
    <s v="Yes"/>
    <n v="5"/>
    <s v="Closed"/>
    <s v="January"/>
    <x v="0"/>
    <n v="2026"/>
    <s v="Yes"/>
    <n v="1"/>
    <x v="1"/>
    <n v="1"/>
  </r>
  <r>
    <s v="T000552"/>
    <x v="544"/>
    <d v="2026-01-29T20:01:00"/>
    <x v="2"/>
    <s v="Chat"/>
    <x v="1"/>
    <s v="A033"/>
    <x v="2"/>
    <n v="24"/>
    <n v="7.4"/>
    <x v="1"/>
    <s v="No"/>
    <s v="No"/>
    <n v="5"/>
    <s v="Closed"/>
    <s v="January"/>
    <x v="0"/>
    <n v="2026"/>
    <s v="Yes"/>
    <n v="1"/>
    <x v="4"/>
    <n v="1"/>
  </r>
  <r>
    <s v="T000553"/>
    <x v="545"/>
    <d v="2026-01-29T21:40:00"/>
    <x v="1"/>
    <s v="Email"/>
    <x v="0"/>
    <s v="A015"/>
    <x v="0"/>
    <n v="72"/>
    <n v="8.6"/>
    <x v="0"/>
    <s v="No"/>
    <s v="No"/>
    <n v="3"/>
    <s v="Closed"/>
    <s v="January"/>
    <x v="0"/>
    <n v="2026"/>
    <s v="Yes"/>
    <n v="1"/>
    <x v="2"/>
    <n v="0"/>
  </r>
  <r>
    <s v="T000554"/>
    <x v="546"/>
    <d v="2026-01-29T20:31:00"/>
    <x v="6"/>
    <s v="Phone"/>
    <x v="2"/>
    <s v="A047"/>
    <x v="1"/>
    <n v="4"/>
    <n v="7.3"/>
    <x v="1"/>
    <s v="No"/>
    <s v="No"/>
    <n v="3"/>
    <s v="Closed"/>
    <s v="January"/>
    <x v="0"/>
    <n v="2026"/>
    <s v="No"/>
    <n v="0"/>
    <x v="2"/>
    <n v="1"/>
  </r>
  <r>
    <s v="T000555"/>
    <x v="547"/>
    <d v="2026-01-30T15:16:00"/>
    <x v="0"/>
    <s v="Email"/>
    <x v="1"/>
    <s v="A003"/>
    <x v="0"/>
    <n v="24"/>
    <n v="25.4"/>
    <x v="1"/>
    <s v="No"/>
    <s v="No"/>
    <m/>
    <s v="Closed"/>
    <s v="January"/>
    <x v="0"/>
    <n v="2026"/>
    <s v="No"/>
    <n v="0"/>
    <x v="4"/>
    <n v="1"/>
  </r>
  <r>
    <s v="T000556"/>
    <x v="548"/>
    <d v="2026-02-02T05:54:00"/>
    <x v="5"/>
    <s v="Field Visit"/>
    <x v="1"/>
    <s v="A013"/>
    <x v="0"/>
    <n v="24"/>
    <n v="87.9"/>
    <x v="1"/>
    <s v="No"/>
    <s v="No"/>
    <n v="5"/>
    <s v="Closed"/>
    <s v="January"/>
    <x v="0"/>
    <n v="2026"/>
    <s v="No"/>
    <n v="0"/>
    <x v="4"/>
    <n v="1"/>
  </r>
  <r>
    <s v="T000557"/>
    <x v="549"/>
    <d v="2026-01-30T21:48:00"/>
    <x v="0"/>
    <s v="Email"/>
    <x v="1"/>
    <s v="A018"/>
    <x v="2"/>
    <n v="24"/>
    <n v="31.7"/>
    <x v="0"/>
    <s v="No"/>
    <s v="No"/>
    <n v="3"/>
    <s v="Closed"/>
    <s v="January"/>
    <x v="0"/>
    <n v="2026"/>
    <s v="No"/>
    <n v="0"/>
    <x v="0"/>
    <n v="0"/>
  </r>
  <r>
    <s v="T000558"/>
    <x v="550"/>
    <d v="2026-01-30T01:28:00"/>
    <x v="0"/>
    <s v="Chat"/>
    <x v="1"/>
    <s v="A002"/>
    <x v="0"/>
    <n v="24"/>
    <n v="11.3"/>
    <x v="0"/>
    <s v="Yes"/>
    <s v="No"/>
    <n v="4"/>
    <s v="Closed"/>
    <s v="January"/>
    <x v="0"/>
    <n v="2026"/>
    <s v="Yes"/>
    <n v="1"/>
    <x v="0"/>
    <n v="0"/>
  </r>
  <r>
    <s v="T000559"/>
    <x v="551"/>
    <d v="2026-01-30T06:38:00"/>
    <x v="4"/>
    <s v="Phone"/>
    <x v="0"/>
    <s v="A017"/>
    <x v="2"/>
    <n v="72"/>
    <n v="15.9"/>
    <x v="1"/>
    <s v="No"/>
    <s v="No"/>
    <n v="3"/>
    <s v="Closed"/>
    <s v="January"/>
    <x v="0"/>
    <n v="2026"/>
    <s v="Yes"/>
    <n v="1"/>
    <x v="1"/>
    <n v="1"/>
  </r>
  <r>
    <s v="T000560"/>
    <x v="552"/>
    <d v="2026-01-30T07:47:00"/>
    <x v="3"/>
    <s v="Field Visit"/>
    <x v="1"/>
    <s v="A050"/>
    <x v="1"/>
    <n v="24"/>
    <n v="16.5"/>
    <x v="1"/>
    <s v="No"/>
    <s v="No"/>
    <n v="4"/>
    <s v="Closed"/>
    <s v="January"/>
    <x v="0"/>
    <n v="2026"/>
    <s v="Yes"/>
    <n v="1"/>
    <x v="0"/>
    <n v="1"/>
  </r>
  <r>
    <s v="T000561"/>
    <x v="553"/>
    <d v="2026-01-29T20:13:00"/>
    <x v="5"/>
    <s v="Phone"/>
    <x v="0"/>
    <s v="A044"/>
    <x v="1"/>
    <n v="72"/>
    <n v="4.0999999999999996"/>
    <x v="0"/>
    <s v="Yes"/>
    <s v="No"/>
    <n v="4"/>
    <s v="Closed"/>
    <s v="January"/>
    <x v="0"/>
    <n v="2026"/>
    <s v="Yes"/>
    <n v="1"/>
    <x v="4"/>
    <n v="0"/>
  </r>
  <r>
    <s v="T000562"/>
    <x v="554"/>
    <d v="2026-01-30T13:45:00"/>
    <x v="0"/>
    <s v="Field Visit"/>
    <x v="1"/>
    <s v="A021"/>
    <x v="2"/>
    <n v="24"/>
    <n v="19.3"/>
    <x v="1"/>
    <s v="No"/>
    <s v="No"/>
    <m/>
    <s v="Closed"/>
    <s v="January"/>
    <x v="0"/>
    <n v="2026"/>
    <s v="Yes"/>
    <n v="1"/>
    <x v="3"/>
    <n v="1"/>
  </r>
  <r>
    <s v="T000563"/>
    <x v="555"/>
    <d v="2026-01-30T02:51:00"/>
    <x v="6"/>
    <s v="Phone"/>
    <x v="2"/>
    <s v="A003"/>
    <x v="0"/>
    <n v="4"/>
    <n v="7.3"/>
    <x v="0"/>
    <s v="Yes"/>
    <s v="Yes"/>
    <n v="2"/>
    <s v="Closed"/>
    <s v="January"/>
    <x v="0"/>
    <n v="2026"/>
    <s v="No"/>
    <n v="0"/>
    <x v="1"/>
    <n v="0"/>
  </r>
  <r>
    <s v="T000564"/>
    <x v="556"/>
    <d v="2026-01-31T17:13:00"/>
    <x v="3"/>
    <s v="Field Visit"/>
    <x v="0"/>
    <s v="A008"/>
    <x v="0"/>
    <n v="72"/>
    <n v="45.1"/>
    <x v="1"/>
    <s v="No"/>
    <s v="Yes"/>
    <n v="3"/>
    <s v="Closed"/>
    <s v="January"/>
    <x v="0"/>
    <n v="2026"/>
    <s v="Yes"/>
    <n v="1"/>
    <x v="1"/>
    <n v="1"/>
  </r>
  <r>
    <s v="T000565"/>
    <x v="557"/>
    <d v="2026-01-30T03:26:00"/>
    <x v="6"/>
    <s v="Phone"/>
    <x v="2"/>
    <s v="A048"/>
    <x v="1"/>
    <n v="4"/>
    <n v="3.8"/>
    <x v="1"/>
    <s v="No"/>
    <s v="No"/>
    <n v="5"/>
    <s v="Closed"/>
    <s v="January"/>
    <x v="0"/>
    <n v="2026"/>
    <s v="Yes"/>
    <n v="1"/>
    <x v="2"/>
    <n v="1"/>
  </r>
  <r>
    <s v="T000566"/>
    <x v="558"/>
    <d v="2026-01-30T09:21:00"/>
    <x v="5"/>
    <s v="Phone"/>
    <x v="2"/>
    <s v="A044"/>
    <x v="1"/>
    <n v="4"/>
    <n v="9.5"/>
    <x v="0"/>
    <s v="No"/>
    <s v="Yes"/>
    <m/>
    <s v="Closed"/>
    <s v="January"/>
    <x v="0"/>
    <n v="2026"/>
    <s v="No"/>
    <n v="0"/>
    <x v="0"/>
    <n v="0"/>
  </r>
  <r>
    <s v="T000567"/>
    <x v="559"/>
    <d v="2026-01-30T12:46:00"/>
    <x v="3"/>
    <s v="Phone"/>
    <x v="1"/>
    <s v="A026"/>
    <x v="2"/>
    <n v="24"/>
    <n v="12.8"/>
    <x v="0"/>
    <s v="Yes"/>
    <s v="No"/>
    <n v="4"/>
    <s v="Closed"/>
    <s v="January"/>
    <x v="0"/>
    <n v="2026"/>
    <s v="Yes"/>
    <n v="1"/>
    <x v="1"/>
    <n v="0"/>
  </r>
  <r>
    <s v="T000568"/>
    <x v="560"/>
    <d v="2026-01-30T07:02:00"/>
    <x v="5"/>
    <s v="Phone"/>
    <x v="2"/>
    <s v="A017"/>
    <x v="2"/>
    <n v="4"/>
    <n v="3.9"/>
    <x v="1"/>
    <s v="No"/>
    <s v="No"/>
    <m/>
    <s v="Closed"/>
    <s v="January"/>
    <x v="0"/>
    <n v="2026"/>
    <s v="Yes"/>
    <n v="1"/>
    <x v="1"/>
    <n v="1"/>
  </r>
  <r>
    <s v="T000569"/>
    <x v="561"/>
    <d v="2026-01-30T14:51:00"/>
    <x v="6"/>
    <s v="Phone"/>
    <x v="2"/>
    <s v="A019"/>
    <x v="2"/>
    <n v="4"/>
    <n v="10.3"/>
    <x v="1"/>
    <s v="No"/>
    <s v="No"/>
    <n v="4"/>
    <s v="Closed"/>
    <s v="January"/>
    <x v="0"/>
    <n v="2026"/>
    <s v="No"/>
    <n v="0"/>
    <x v="0"/>
    <n v="1"/>
  </r>
  <r>
    <s v="T000570"/>
    <x v="562"/>
    <d v="2026-01-30T11:01:00"/>
    <x v="6"/>
    <s v="Phone"/>
    <x v="1"/>
    <s v="A045"/>
    <x v="1"/>
    <n v="24"/>
    <n v="2.8"/>
    <x v="0"/>
    <s v="No"/>
    <s v="No"/>
    <n v="5"/>
    <s v="Closed"/>
    <s v="January"/>
    <x v="0"/>
    <n v="2026"/>
    <s v="Yes"/>
    <n v="1"/>
    <x v="4"/>
    <n v="0"/>
  </r>
  <r>
    <s v="T000571"/>
    <x v="563"/>
    <d v="2026-01-28T15:28:00"/>
    <x v="0"/>
    <s v="Field Visit"/>
    <x v="0"/>
    <s v="A054"/>
    <x v="1"/>
    <n v="72"/>
    <n v="27.8"/>
    <x v="1"/>
    <s v="No"/>
    <s v="No"/>
    <n v="5"/>
    <s v="Closed"/>
    <s v="January"/>
    <x v="0"/>
    <n v="2026"/>
    <s v="Yes"/>
    <n v="1"/>
    <x v="1"/>
    <n v="1"/>
  </r>
  <r>
    <s v="T000572"/>
    <x v="564"/>
    <d v="2026-01-30T23:12:00"/>
    <x v="6"/>
    <s v="Field Visit"/>
    <x v="1"/>
    <s v="A016"/>
    <x v="2"/>
    <n v="24"/>
    <n v="11.3"/>
    <x v="1"/>
    <s v="No"/>
    <s v="No"/>
    <m/>
    <s v="Closed"/>
    <s v="January"/>
    <x v="0"/>
    <n v="2026"/>
    <s v="Yes"/>
    <n v="1"/>
    <x v="4"/>
    <n v="1"/>
  </r>
  <r>
    <s v="T000573"/>
    <x v="565"/>
    <d v="2026-01-31T17:41:00"/>
    <x v="3"/>
    <s v="Field Visit"/>
    <x v="1"/>
    <s v="A053"/>
    <x v="1"/>
    <n v="24"/>
    <n v="29.5"/>
    <x v="1"/>
    <s v="No"/>
    <s v="No"/>
    <n v="5"/>
    <s v="Closed"/>
    <s v="January"/>
    <x v="0"/>
    <n v="2026"/>
    <s v="No"/>
    <n v="0"/>
    <x v="4"/>
    <n v="1"/>
  </r>
  <r>
    <s v="T000574"/>
    <x v="566"/>
    <d v="2026-02-01T08:21:00"/>
    <x v="5"/>
    <s v="Email"/>
    <x v="1"/>
    <s v="A003"/>
    <x v="0"/>
    <n v="24"/>
    <n v="43.8"/>
    <x v="0"/>
    <s v="No"/>
    <s v="No"/>
    <n v="3"/>
    <s v="Closed"/>
    <s v="January"/>
    <x v="0"/>
    <n v="2026"/>
    <s v="No"/>
    <n v="0"/>
    <x v="1"/>
    <n v="0"/>
  </r>
  <r>
    <s v="T000575"/>
    <x v="567"/>
    <d v="2026-01-31T18:54:00"/>
    <x v="3"/>
    <s v="Field Visit"/>
    <x v="0"/>
    <s v="A032"/>
    <x v="2"/>
    <n v="72"/>
    <n v="30.1"/>
    <x v="1"/>
    <s v="No"/>
    <s v="No"/>
    <n v="5"/>
    <s v="Closed"/>
    <s v="January"/>
    <x v="0"/>
    <n v="2026"/>
    <s v="Yes"/>
    <n v="1"/>
    <x v="1"/>
    <n v="1"/>
  </r>
  <r>
    <s v="T000576"/>
    <x v="568"/>
    <d v="2026-01-30T17:58:00"/>
    <x v="6"/>
    <s v="Phone"/>
    <x v="1"/>
    <s v="A025"/>
    <x v="2"/>
    <n v="24"/>
    <n v="5"/>
    <x v="1"/>
    <s v="No"/>
    <s v="No"/>
    <m/>
    <s v="Closed"/>
    <s v="January"/>
    <x v="0"/>
    <n v="2026"/>
    <s v="Yes"/>
    <n v="1"/>
    <x v="2"/>
    <n v="1"/>
  </r>
  <r>
    <s v="T000577"/>
    <x v="569"/>
    <d v="2026-01-31T06:07:00"/>
    <x v="6"/>
    <s v="Field Visit"/>
    <x v="2"/>
    <s v="A050"/>
    <x v="1"/>
    <n v="4"/>
    <n v="17.100000000000001"/>
    <x v="1"/>
    <s v="No"/>
    <s v="No"/>
    <m/>
    <s v="Closed"/>
    <s v="January"/>
    <x v="0"/>
    <n v="2026"/>
    <s v="No"/>
    <n v="0"/>
    <x v="3"/>
    <n v="1"/>
  </r>
  <r>
    <s v="T000578"/>
    <x v="570"/>
    <d v="2026-01-31T14:36:00"/>
    <x v="0"/>
    <s v="Email"/>
    <x v="1"/>
    <s v="A055"/>
    <x v="1"/>
    <n v="24"/>
    <n v="25.1"/>
    <x v="1"/>
    <s v="No"/>
    <s v="No"/>
    <n v="5"/>
    <s v="Closed"/>
    <s v="January"/>
    <x v="0"/>
    <n v="2026"/>
    <s v="No"/>
    <n v="0"/>
    <x v="3"/>
    <n v="1"/>
  </r>
  <r>
    <s v="T000579"/>
    <x v="571"/>
    <d v="2026-01-30T15:23:00"/>
    <x v="5"/>
    <s v="Chat"/>
    <x v="1"/>
    <s v="A048"/>
    <x v="1"/>
    <n v="24"/>
    <n v="1.5"/>
    <x v="1"/>
    <s v="No"/>
    <s v="No"/>
    <m/>
    <s v="Closed"/>
    <s v="January"/>
    <x v="0"/>
    <n v="2026"/>
    <s v="Yes"/>
    <n v="1"/>
    <x v="4"/>
    <n v="1"/>
  </r>
  <r>
    <s v="T000580"/>
    <x v="572"/>
    <d v="2026-01-30T19:09:00"/>
    <x v="6"/>
    <s v="Chat"/>
    <x v="2"/>
    <s v="A017"/>
    <x v="2"/>
    <n v="4"/>
    <n v="4.3"/>
    <x v="1"/>
    <s v="No"/>
    <s v="No"/>
    <n v="4"/>
    <s v="Closed"/>
    <s v="January"/>
    <x v="0"/>
    <n v="2026"/>
    <s v="No"/>
    <n v="0"/>
    <x v="0"/>
    <n v="1"/>
  </r>
  <r>
    <s v="T000581"/>
    <x v="573"/>
    <d v="2026-01-30T17:46:00"/>
    <x v="1"/>
    <s v="Phone"/>
    <x v="1"/>
    <s v="A017"/>
    <x v="2"/>
    <n v="24"/>
    <n v="2.7"/>
    <x v="1"/>
    <s v="No"/>
    <s v="No"/>
    <m/>
    <s v="Closed"/>
    <s v="January"/>
    <x v="0"/>
    <n v="2026"/>
    <s v="Yes"/>
    <n v="1"/>
    <x v="0"/>
    <n v="1"/>
  </r>
  <r>
    <s v="T000582"/>
    <x v="574"/>
    <d v="2026-01-30T22:41:00"/>
    <x v="2"/>
    <s v="Chat"/>
    <x v="0"/>
    <s v="A051"/>
    <x v="1"/>
    <n v="72"/>
    <n v="7.4"/>
    <x v="1"/>
    <s v="No"/>
    <s v="No"/>
    <n v="5"/>
    <s v="Closed"/>
    <s v="January"/>
    <x v="0"/>
    <n v="2026"/>
    <s v="Yes"/>
    <n v="1"/>
    <x v="3"/>
    <n v="1"/>
  </r>
  <r>
    <s v="T000583"/>
    <x v="575"/>
    <d v="2026-01-31T06:58:00"/>
    <x v="6"/>
    <s v="Field Visit"/>
    <x v="2"/>
    <s v="A043"/>
    <x v="1"/>
    <n v="4"/>
    <n v="15.1"/>
    <x v="1"/>
    <s v="No"/>
    <s v="No"/>
    <m/>
    <s v="Closed"/>
    <s v="January"/>
    <x v="0"/>
    <n v="2026"/>
    <s v="No"/>
    <n v="0"/>
    <x v="1"/>
    <n v="1"/>
  </r>
  <r>
    <s v="T000584"/>
    <x v="576"/>
    <d v="2026-01-30T21:11:00"/>
    <x v="2"/>
    <s v="Chat"/>
    <x v="1"/>
    <s v="A039"/>
    <x v="1"/>
    <n v="24"/>
    <n v="4.8"/>
    <x v="1"/>
    <s v="No"/>
    <s v="No"/>
    <n v="4"/>
    <s v="Closed"/>
    <s v="January"/>
    <x v="0"/>
    <n v="2026"/>
    <s v="Yes"/>
    <n v="1"/>
    <x v="1"/>
    <n v="1"/>
  </r>
  <r>
    <s v="T000585"/>
    <x v="577"/>
    <d v="2026-01-31T08:34:00"/>
    <x v="3"/>
    <s v="Chat"/>
    <x v="0"/>
    <s v="A002"/>
    <x v="0"/>
    <n v="72"/>
    <n v="15.8"/>
    <x v="0"/>
    <s v="Yes"/>
    <s v="No"/>
    <n v="5"/>
    <s v="Closed"/>
    <s v="January"/>
    <x v="0"/>
    <n v="2026"/>
    <s v="Yes"/>
    <n v="1"/>
    <x v="2"/>
    <n v="0"/>
  </r>
  <r>
    <s v="T000586"/>
    <x v="578"/>
    <d v="2026-01-30T23:27:00"/>
    <x v="6"/>
    <s v="Phone"/>
    <x v="0"/>
    <s v="A043"/>
    <x v="1"/>
    <n v="72"/>
    <n v="5.0999999999999996"/>
    <x v="1"/>
    <s v="No"/>
    <s v="No"/>
    <n v="5"/>
    <s v="Closed"/>
    <s v="January"/>
    <x v="0"/>
    <n v="2026"/>
    <s v="Yes"/>
    <n v="1"/>
    <x v="0"/>
    <n v="1"/>
  </r>
  <r>
    <s v="T000587"/>
    <x v="579"/>
    <d v="2026-01-31T13:47:00"/>
    <x v="0"/>
    <s v="Phone"/>
    <x v="0"/>
    <s v="A028"/>
    <x v="2"/>
    <n v="72"/>
    <n v="8.1999999999999993"/>
    <x v="1"/>
    <s v="No"/>
    <s v="No"/>
    <m/>
    <s v="Closed"/>
    <s v="January"/>
    <x v="0"/>
    <n v="2026"/>
    <s v="Yes"/>
    <n v="1"/>
    <x v="2"/>
    <n v="1"/>
  </r>
  <r>
    <s v="T000588"/>
    <x v="580"/>
    <d v="2026-02-03T05:41:00"/>
    <x v="2"/>
    <s v="Email"/>
    <x v="2"/>
    <s v="A041"/>
    <x v="1"/>
    <n v="4"/>
    <n v="69.5"/>
    <x v="1"/>
    <s v="No"/>
    <s v="No"/>
    <m/>
    <s v="Closed"/>
    <s v="January"/>
    <x v="0"/>
    <n v="2026"/>
    <s v="No"/>
    <n v="0"/>
    <x v="2"/>
    <n v="1"/>
  </r>
  <r>
    <s v="T000589"/>
    <x v="581"/>
    <d v="2026-01-31T21:19:00"/>
    <x v="0"/>
    <s v="Chat"/>
    <x v="0"/>
    <s v="A060"/>
    <x v="1"/>
    <n v="72"/>
    <n v="11.2"/>
    <x v="1"/>
    <s v="No"/>
    <s v="No"/>
    <n v="4"/>
    <s v="Closed"/>
    <s v="January"/>
    <x v="0"/>
    <n v="2026"/>
    <s v="Yes"/>
    <n v="1"/>
    <x v="1"/>
    <n v="1"/>
  </r>
  <r>
    <s v="T000590"/>
    <x v="582"/>
    <d v="2026-01-31T14:24:00"/>
    <x v="1"/>
    <s v="Chat"/>
    <x v="1"/>
    <s v="A002"/>
    <x v="0"/>
    <n v="24"/>
    <n v="4.2"/>
    <x v="0"/>
    <s v="No"/>
    <s v="No"/>
    <m/>
    <s v="Closed"/>
    <s v="January"/>
    <x v="0"/>
    <n v="2026"/>
    <s v="Yes"/>
    <n v="1"/>
    <x v="0"/>
    <n v="0"/>
  </r>
  <r>
    <s v="T000591"/>
    <x v="583"/>
    <d v="2026-02-01T22:43:00"/>
    <x v="6"/>
    <s v="Field Visit"/>
    <x v="2"/>
    <s v="A052"/>
    <x v="1"/>
    <n v="4"/>
    <n v="35.700000000000003"/>
    <x v="0"/>
    <s v="No"/>
    <s v="No"/>
    <n v="4"/>
    <s v="Closed"/>
    <s v="January"/>
    <x v="0"/>
    <n v="2026"/>
    <s v="No"/>
    <n v="0"/>
    <x v="3"/>
    <n v="0"/>
  </r>
  <r>
    <s v="T000592"/>
    <x v="584"/>
    <d v="2026-01-31T21:34:00"/>
    <x v="3"/>
    <s v="Phone"/>
    <x v="1"/>
    <s v="A056"/>
    <x v="1"/>
    <n v="24"/>
    <n v="10.199999999999999"/>
    <x v="1"/>
    <s v="No"/>
    <s v="No"/>
    <m/>
    <s v="Closed"/>
    <s v="January"/>
    <x v="0"/>
    <n v="2026"/>
    <s v="Yes"/>
    <n v="1"/>
    <x v="3"/>
    <n v="1"/>
  </r>
  <r>
    <s v="T000593"/>
    <x v="585"/>
    <d v="2026-01-31T22:29:00"/>
    <x v="5"/>
    <s v="Chat"/>
    <x v="0"/>
    <s v="A048"/>
    <x v="1"/>
    <n v="72"/>
    <n v="11"/>
    <x v="0"/>
    <s v="Yes"/>
    <s v="No"/>
    <m/>
    <s v="Closed"/>
    <s v="January"/>
    <x v="0"/>
    <n v="2026"/>
    <s v="Yes"/>
    <n v="1"/>
    <x v="1"/>
    <n v="0"/>
  </r>
  <r>
    <s v="T000594"/>
    <x v="586"/>
    <d v="2026-02-01T07:18:00"/>
    <x v="0"/>
    <s v="Chat"/>
    <x v="0"/>
    <s v="A002"/>
    <x v="0"/>
    <n v="72"/>
    <n v="19.5"/>
    <x v="0"/>
    <s v="Yes"/>
    <s v="No"/>
    <n v="3"/>
    <s v="Closed"/>
    <s v="January"/>
    <x v="0"/>
    <n v="2026"/>
    <s v="Yes"/>
    <n v="1"/>
    <x v="0"/>
    <n v="0"/>
  </r>
  <r>
    <s v="T000595"/>
    <x v="587"/>
    <d v="2026-02-01T03:03:00"/>
    <x v="1"/>
    <s v="Phone"/>
    <x v="0"/>
    <s v="A026"/>
    <x v="2"/>
    <n v="72"/>
    <n v="15.1"/>
    <x v="1"/>
    <s v="No"/>
    <s v="No"/>
    <n v="5"/>
    <s v="Closed"/>
    <s v="January"/>
    <x v="0"/>
    <n v="2026"/>
    <s v="Yes"/>
    <n v="1"/>
    <x v="3"/>
    <n v="1"/>
  </r>
  <r>
    <s v="T000596"/>
    <x v="588"/>
    <d v="2026-02-01T19:28:00"/>
    <x v="6"/>
    <s v="Phone"/>
    <x v="1"/>
    <s v="A003"/>
    <x v="0"/>
    <n v="24"/>
    <n v="30.8"/>
    <x v="0"/>
    <s v="Yes"/>
    <s v="No"/>
    <n v="4"/>
    <s v="Closed"/>
    <s v="January"/>
    <x v="0"/>
    <n v="2026"/>
    <s v="No"/>
    <n v="0"/>
    <x v="1"/>
    <n v="0"/>
  </r>
  <r>
    <s v="T000597"/>
    <x v="589"/>
    <d v="2026-02-01T03:23:00"/>
    <x v="0"/>
    <s v="Phone"/>
    <x v="2"/>
    <s v="A015"/>
    <x v="0"/>
    <n v="4"/>
    <n v="13.7"/>
    <x v="1"/>
    <s v="No"/>
    <s v="No"/>
    <n v="4"/>
    <s v="Closed"/>
    <s v="January"/>
    <x v="0"/>
    <n v="2026"/>
    <s v="No"/>
    <n v="0"/>
    <x v="3"/>
    <n v="1"/>
  </r>
  <r>
    <s v="T000598"/>
    <x v="590"/>
    <d v="2026-01-31T17:14:00"/>
    <x v="1"/>
    <s v="Chat"/>
    <x v="0"/>
    <s v="A045"/>
    <x v="1"/>
    <n v="72"/>
    <n v="2.9"/>
    <x v="1"/>
    <s v="No"/>
    <s v="No"/>
    <n v="5"/>
    <s v="Closed"/>
    <s v="January"/>
    <x v="0"/>
    <n v="2026"/>
    <s v="Yes"/>
    <n v="1"/>
    <x v="4"/>
    <n v="1"/>
  </r>
  <r>
    <s v="T000599"/>
    <x v="591"/>
    <d v="2026-02-01T02:06:00"/>
    <x v="6"/>
    <s v="Phone"/>
    <x v="2"/>
    <s v="A025"/>
    <x v="2"/>
    <n v="4"/>
    <n v="10.7"/>
    <x v="0"/>
    <s v="No"/>
    <s v="Yes"/>
    <n v="4"/>
    <s v="Closed"/>
    <s v="January"/>
    <x v="0"/>
    <n v="2026"/>
    <s v="No"/>
    <n v="0"/>
    <x v="4"/>
    <n v="0"/>
  </r>
  <r>
    <s v="T000600"/>
    <x v="592"/>
    <d v="2026-02-01T08:09:00"/>
    <x v="2"/>
    <s v="Field Visit"/>
    <x v="1"/>
    <s v="A001"/>
    <x v="0"/>
    <n v="24"/>
    <n v="16.399999999999999"/>
    <x v="1"/>
    <s v="No"/>
    <s v="No"/>
    <n v="4"/>
    <s v="Closed"/>
    <s v="January"/>
    <x v="0"/>
    <n v="2026"/>
    <s v="Yes"/>
    <n v="1"/>
    <x v="0"/>
    <n v="1"/>
  </r>
  <r>
    <s v="T000601"/>
    <x v="593"/>
    <d v="2026-02-02T00:53:00"/>
    <x v="6"/>
    <s v="Phone"/>
    <x v="0"/>
    <s v="A049"/>
    <x v="1"/>
    <n v="72"/>
    <n v="30.3"/>
    <x v="1"/>
    <s v="No"/>
    <s v="No"/>
    <m/>
    <s v="Closed"/>
    <s v="January"/>
    <x v="0"/>
    <n v="2026"/>
    <s v="Yes"/>
    <n v="1"/>
    <x v="0"/>
    <n v="1"/>
  </r>
  <r>
    <s v="T000602"/>
    <x v="594"/>
    <d v="2026-02-01T11:27:00"/>
    <x v="5"/>
    <s v="Phone"/>
    <x v="1"/>
    <s v="A006"/>
    <x v="0"/>
    <n v="24"/>
    <n v="16.2"/>
    <x v="0"/>
    <s v="No"/>
    <s v="No"/>
    <n v="4"/>
    <s v="Closed"/>
    <s v="January"/>
    <x v="0"/>
    <n v="2026"/>
    <s v="Yes"/>
    <n v="1"/>
    <x v="4"/>
    <n v="0"/>
  </r>
  <r>
    <s v="T000603"/>
    <x v="595"/>
    <d v="2026-02-03T12:03:00"/>
    <x v="3"/>
    <s v="Field Visit"/>
    <x v="1"/>
    <s v="A052"/>
    <x v="1"/>
    <n v="24"/>
    <n v="62.1"/>
    <x v="1"/>
    <s v="No"/>
    <s v="No"/>
    <n v="5"/>
    <s v="Closed"/>
    <s v="January"/>
    <x v="0"/>
    <n v="2026"/>
    <s v="No"/>
    <n v="0"/>
    <x v="4"/>
    <n v="1"/>
  </r>
  <r>
    <s v="T000604"/>
    <x v="596"/>
    <d v="2026-02-02T04:39:00"/>
    <x v="3"/>
    <s v="Field Visit"/>
    <x v="1"/>
    <s v="A060"/>
    <x v="1"/>
    <n v="24"/>
    <n v="29.7"/>
    <x v="0"/>
    <s v="Yes"/>
    <s v="No"/>
    <n v="3"/>
    <s v="Closed"/>
    <s v="January"/>
    <x v="0"/>
    <n v="2026"/>
    <s v="No"/>
    <n v="0"/>
    <x v="4"/>
    <n v="0"/>
  </r>
  <r>
    <s v="T000605"/>
    <x v="597"/>
    <d v="2026-02-01T09:39:00"/>
    <x v="1"/>
    <s v="Phone"/>
    <x v="0"/>
    <s v="A058"/>
    <x v="1"/>
    <n v="72"/>
    <n v="3.4"/>
    <x v="0"/>
    <s v="Yes"/>
    <s v="No"/>
    <m/>
    <s v="Closed"/>
    <s v="February"/>
    <x v="1"/>
    <n v="2026"/>
    <s v="Yes"/>
    <n v="1"/>
    <x v="1"/>
    <n v="0"/>
  </r>
  <r>
    <s v="T000606"/>
    <x v="598"/>
    <d v="2026-02-01T19:04:00"/>
    <x v="3"/>
    <s v="Chat"/>
    <x v="1"/>
    <s v="A010"/>
    <x v="0"/>
    <n v="24"/>
    <n v="12.5"/>
    <x v="0"/>
    <s v="No"/>
    <s v="No"/>
    <m/>
    <s v="Closed"/>
    <s v="February"/>
    <x v="1"/>
    <n v="2026"/>
    <s v="Yes"/>
    <n v="1"/>
    <x v="3"/>
    <n v="0"/>
  </r>
  <r>
    <s v="T000607"/>
    <x v="599"/>
    <d v="2026-02-02T20:01:00"/>
    <x v="3"/>
    <s v="Email"/>
    <x v="2"/>
    <s v="A003"/>
    <x v="0"/>
    <n v="4"/>
    <n v="35.9"/>
    <x v="1"/>
    <s v="No"/>
    <s v="No"/>
    <m/>
    <s v="Closed"/>
    <s v="February"/>
    <x v="1"/>
    <n v="2026"/>
    <s v="No"/>
    <n v="0"/>
    <x v="1"/>
    <n v="1"/>
  </r>
  <r>
    <s v="T000608"/>
    <x v="600"/>
    <d v="2026-02-02T02:09:00"/>
    <x v="0"/>
    <s v="Email"/>
    <x v="2"/>
    <s v="A048"/>
    <x v="1"/>
    <n v="4"/>
    <n v="16.100000000000001"/>
    <x v="0"/>
    <s v="Yes"/>
    <s v="No"/>
    <n v="2"/>
    <s v="Closed"/>
    <s v="February"/>
    <x v="1"/>
    <n v="2026"/>
    <s v="No"/>
    <n v="0"/>
    <x v="1"/>
    <n v="0"/>
  </r>
  <r>
    <s v="T000609"/>
    <x v="601"/>
    <d v="2026-02-01T15:36:00"/>
    <x v="5"/>
    <s v="Chat"/>
    <x v="1"/>
    <s v="A016"/>
    <x v="2"/>
    <n v="24"/>
    <n v="5.5"/>
    <x v="1"/>
    <s v="No"/>
    <s v="No"/>
    <n v="4"/>
    <s v="Closed"/>
    <s v="February"/>
    <x v="1"/>
    <n v="2026"/>
    <s v="Yes"/>
    <n v="1"/>
    <x v="1"/>
    <n v="1"/>
  </r>
  <r>
    <s v="T000610"/>
    <x v="602"/>
    <d v="2026-02-04T01:21:00"/>
    <x v="4"/>
    <s v="Email"/>
    <x v="0"/>
    <s v="A022"/>
    <x v="2"/>
    <n v="72"/>
    <n v="63.2"/>
    <x v="0"/>
    <s v="Yes"/>
    <s v="No"/>
    <n v="3"/>
    <s v="Closed"/>
    <s v="February"/>
    <x v="1"/>
    <n v="2026"/>
    <s v="Yes"/>
    <n v="1"/>
    <x v="1"/>
    <n v="0"/>
  </r>
  <r>
    <s v="T000611"/>
    <x v="603"/>
    <d v="2026-02-01T23:56:00"/>
    <x v="2"/>
    <s v="Phone"/>
    <x v="0"/>
    <s v="A052"/>
    <x v="1"/>
    <n v="72"/>
    <n v="13.4"/>
    <x v="1"/>
    <s v="No"/>
    <s v="No"/>
    <n v="5"/>
    <s v="Closed"/>
    <s v="February"/>
    <x v="1"/>
    <n v="2026"/>
    <s v="Yes"/>
    <n v="1"/>
    <x v="4"/>
    <n v="1"/>
  </r>
  <r>
    <s v="T000612"/>
    <x v="604"/>
    <d v="2026-02-01T17:06:00"/>
    <x v="2"/>
    <s v="Chat"/>
    <x v="2"/>
    <s v="A008"/>
    <x v="0"/>
    <n v="4"/>
    <n v="5.8"/>
    <x v="0"/>
    <s v="No"/>
    <s v="No"/>
    <n v="3"/>
    <s v="Closed"/>
    <s v="February"/>
    <x v="1"/>
    <n v="2026"/>
    <s v="No"/>
    <n v="0"/>
    <x v="4"/>
    <n v="0"/>
  </r>
  <r>
    <s v="T000613"/>
    <x v="605"/>
    <d v="2026-02-02T09:56:00"/>
    <x v="1"/>
    <s v="Email"/>
    <x v="1"/>
    <s v="A047"/>
    <x v="1"/>
    <n v="24"/>
    <n v="22.2"/>
    <x v="0"/>
    <s v="Yes"/>
    <s v="Yes"/>
    <n v="3"/>
    <s v="Closed"/>
    <s v="February"/>
    <x v="1"/>
    <n v="2026"/>
    <s v="Yes"/>
    <n v="1"/>
    <x v="1"/>
    <n v="0"/>
  </r>
  <r>
    <s v="T000614"/>
    <x v="606"/>
    <d v="2026-02-10T12:15:00"/>
    <x v="4"/>
    <s v="Field Visit"/>
    <x v="1"/>
    <s v="A041"/>
    <x v="1"/>
    <n v="24"/>
    <n v="216.4"/>
    <x v="1"/>
    <s v="No"/>
    <s v="No"/>
    <n v="4"/>
    <s v="Closed"/>
    <s v="February"/>
    <x v="1"/>
    <n v="2026"/>
    <s v="No"/>
    <n v="0"/>
    <x v="2"/>
    <n v="1"/>
  </r>
  <r>
    <s v="T000615"/>
    <x v="607"/>
    <d v="2026-02-01T18:23:00"/>
    <x v="1"/>
    <s v="Chat"/>
    <x v="1"/>
    <s v="A049"/>
    <x v="1"/>
    <n v="24"/>
    <n v="6.4"/>
    <x v="1"/>
    <s v="No"/>
    <s v="No"/>
    <m/>
    <s v="Closed"/>
    <s v="February"/>
    <x v="1"/>
    <n v="2026"/>
    <s v="Yes"/>
    <n v="1"/>
    <x v="4"/>
    <n v="1"/>
  </r>
  <r>
    <s v="T000616"/>
    <x v="608"/>
    <d v="2026-02-05T13:46:00"/>
    <x v="4"/>
    <s v="Field Visit"/>
    <x v="1"/>
    <s v="A024"/>
    <x v="2"/>
    <n v="24"/>
    <n v="97.6"/>
    <x v="0"/>
    <s v="No"/>
    <s v="No"/>
    <m/>
    <s v="Closed"/>
    <s v="February"/>
    <x v="1"/>
    <n v="2026"/>
    <s v="No"/>
    <n v="0"/>
    <x v="1"/>
    <n v="0"/>
  </r>
  <r>
    <s v="T000617"/>
    <x v="609"/>
    <d v="2026-02-04T22:34:00"/>
    <x v="0"/>
    <s v="Email"/>
    <x v="1"/>
    <s v="A021"/>
    <x v="2"/>
    <n v="24"/>
    <n v="82.1"/>
    <x v="1"/>
    <s v="No"/>
    <s v="No"/>
    <m/>
    <s v="Closed"/>
    <s v="February"/>
    <x v="1"/>
    <n v="2026"/>
    <s v="No"/>
    <n v="0"/>
    <x v="4"/>
    <n v="1"/>
  </r>
  <r>
    <s v="T000618"/>
    <x v="610"/>
    <d v="2026-02-01T16:35:00"/>
    <x v="3"/>
    <s v="Phone"/>
    <x v="0"/>
    <s v="A046"/>
    <x v="1"/>
    <n v="72"/>
    <n v="4.0999999999999996"/>
    <x v="0"/>
    <s v="Yes"/>
    <s v="No"/>
    <n v="5"/>
    <s v="Closed"/>
    <s v="February"/>
    <x v="1"/>
    <n v="2026"/>
    <s v="Yes"/>
    <n v="1"/>
    <x v="4"/>
    <n v="0"/>
  </r>
  <r>
    <s v="T000619"/>
    <x v="611"/>
    <d v="2026-02-03T15:33:00"/>
    <x v="4"/>
    <s v="Field Visit"/>
    <x v="2"/>
    <s v="A043"/>
    <x v="1"/>
    <n v="4"/>
    <n v="49.8"/>
    <x v="0"/>
    <s v="Yes"/>
    <s v="No"/>
    <m/>
    <s v="Closed"/>
    <s v="February"/>
    <x v="1"/>
    <n v="2026"/>
    <s v="No"/>
    <n v="0"/>
    <x v="4"/>
    <n v="0"/>
  </r>
  <r>
    <s v="T000620"/>
    <x v="612"/>
    <d v="2026-02-01T22:29:00"/>
    <x v="3"/>
    <s v="Phone"/>
    <x v="0"/>
    <s v="A030"/>
    <x v="2"/>
    <n v="72"/>
    <n v="8.6"/>
    <x v="1"/>
    <s v="No"/>
    <s v="No"/>
    <n v="4"/>
    <s v="Closed"/>
    <s v="February"/>
    <x v="1"/>
    <n v="2026"/>
    <s v="Yes"/>
    <n v="1"/>
    <x v="1"/>
    <n v="1"/>
  </r>
  <r>
    <s v="T000621"/>
    <x v="612"/>
    <d v="2026-02-02T01:47:00"/>
    <x v="1"/>
    <s v="Phone"/>
    <x v="0"/>
    <s v="A010"/>
    <x v="0"/>
    <n v="72"/>
    <n v="11.9"/>
    <x v="1"/>
    <s v="No"/>
    <s v="No"/>
    <n v="5"/>
    <s v="Closed"/>
    <s v="February"/>
    <x v="1"/>
    <n v="2026"/>
    <s v="Yes"/>
    <n v="1"/>
    <x v="4"/>
    <n v="1"/>
  </r>
  <r>
    <s v="T000622"/>
    <x v="613"/>
    <d v="2026-02-02T17:25:00"/>
    <x v="3"/>
    <s v="Phone"/>
    <x v="0"/>
    <s v="A058"/>
    <x v="1"/>
    <n v="72"/>
    <n v="27.2"/>
    <x v="1"/>
    <s v="No"/>
    <s v="No"/>
    <n v="5"/>
    <s v="Closed"/>
    <s v="February"/>
    <x v="1"/>
    <n v="2026"/>
    <s v="Yes"/>
    <n v="1"/>
    <x v="2"/>
    <n v="1"/>
  </r>
  <r>
    <s v="T000623"/>
    <x v="614"/>
    <d v="2026-02-04T00:23:00"/>
    <x v="1"/>
    <s v="Email"/>
    <x v="1"/>
    <s v="A032"/>
    <x v="2"/>
    <n v="24"/>
    <n v="57.8"/>
    <x v="0"/>
    <s v="Yes"/>
    <s v="No"/>
    <n v="4"/>
    <s v="Closed"/>
    <s v="February"/>
    <x v="1"/>
    <n v="2026"/>
    <s v="No"/>
    <n v="0"/>
    <x v="2"/>
    <n v="0"/>
  </r>
  <r>
    <s v="T000624"/>
    <x v="615"/>
    <d v="2026-02-03T02:41:00"/>
    <x v="3"/>
    <s v="Phone"/>
    <x v="0"/>
    <s v="A020"/>
    <x v="2"/>
    <n v="72"/>
    <n v="35.299999999999997"/>
    <x v="1"/>
    <s v="No"/>
    <s v="No"/>
    <n v="5"/>
    <s v="Closed"/>
    <s v="February"/>
    <x v="1"/>
    <n v="2026"/>
    <s v="Yes"/>
    <n v="1"/>
    <x v="3"/>
    <n v="1"/>
  </r>
  <r>
    <s v="T000625"/>
    <x v="616"/>
    <d v="2026-02-01T23:12:00"/>
    <x v="1"/>
    <s v="Phone"/>
    <x v="1"/>
    <s v="A028"/>
    <x v="2"/>
    <n v="24"/>
    <n v="7.7"/>
    <x v="1"/>
    <s v="No"/>
    <s v="No"/>
    <m/>
    <s v="Closed"/>
    <s v="February"/>
    <x v="1"/>
    <n v="2026"/>
    <s v="Yes"/>
    <n v="1"/>
    <x v="0"/>
    <n v="1"/>
  </r>
  <r>
    <s v="T000626"/>
    <x v="617"/>
    <d v="2026-02-02T02:38:00"/>
    <x v="2"/>
    <s v="Chat"/>
    <x v="1"/>
    <s v="A059"/>
    <x v="1"/>
    <n v="24"/>
    <n v="10.6"/>
    <x v="1"/>
    <s v="No"/>
    <s v="No"/>
    <n v="5"/>
    <s v="Closed"/>
    <s v="February"/>
    <x v="1"/>
    <n v="2026"/>
    <s v="Yes"/>
    <n v="1"/>
    <x v="1"/>
    <n v="1"/>
  </r>
  <r>
    <s v="T000627"/>
    <x v="618"/>
    <d v="2026-02-02T03:07:00"/>
    <x v="1"/>
    <s v="Phone"/>
    <x v="1"/>
    <s v="A009"/>
    <x v="0"/>
    <n v="24"/>
    <n v="10.6"/>
    <x v="0"/>
    <s v="Yes"/>
    <s v="No"/>
    <n v="4"/>
    <s v="Closed"/>
    <s v="February"/>
    <x v="1"/>
    <n v="2026"/>
    <s v="Yes"/>
    <n v="1"/>
    <x v="3"/>
    <n v="0"/>
  </r>
  <r>
    <s v="T000628"/>
    <x v="619"/>
    <d v="2026-02-02T00:33:00"/>
    <x v="1"/>
    <s v="Chat"/>
    <x v="0"/>
    <s v="A012"/>
    <x v="0"/>
    <n v="72"/>
    <n v="6.5"/>
    <x v="1"/>
    <s v="No"/>
    <s v="No"/>
    <n v="5"/>
    <s v="Closed"/>
    <s v="February"/>
    <x v="1"/>
    <n v="2026"/>
    <s v="Yes"/>
    <n v="1"/>
    <x v="2"/>
    <n v="1"/>
  </r>
  <r>
    <s v="T000629"/>
    <x v="620"/>
    <d v="2026-02-02T10:37:00"/>
    <x v="6"/>
    <s v="Field Visit"/>
    <x v="1"/>
    <s v="A013"/>
    <x v="0"/>
    <n v="24"/>
    <n v="15.9"/>
    <x v="0"/>
    <s v="Yes"/>
    <s v="Yes"/>
    <m/>
    <s v="Closed"/>
    <s v="February"/>
    <x v="1"/>
    <n v="2026"/>
    <s v="Yes"/>
    <n v="1"/>
    <x v="1"/>
    <n v="0"/>
  </r>
  <r>
    <s v="T000630"/>
    <x v="621"/>
    <d v="2026-02-02T08:15:00"/>
    <x v="3"/>
    <s v="Phone"/>
    <x v="0"/>
    <s v="A040"/>
    <x v="1"/>
    <n v="72"/>
    <n v="13.5"/>
    <x v="1"/>
    <s v="No"/>
    <s v="No"/>
    <n v="4"/>
    <s v="Closed"/>
    <s v="February"/>
    <x v="1"/>
    <n v="2026"/>
    <s v="Yes"/>
    <n v="1"/>
    <x v="1"/>
    <n v="1"/>
  </r>
  <r>
    <s v="T000631"/>
    <x v="622"/>
    <d v="2026-02-03T02:22:00"/>
    <x v="0"/>
    <s v="Phone"/>
    <x v="1"/>
    <s v="A033"/>
    <x v="2"/>
    <n v="24"/>
    <n v="30.9"/>
    <x v="1"/>
    <s v="No"/>
    <s v="No"/>
    <n v="5"/>
    <s v="Closed"/>
    <s v="February"/>
    <x v="1"/>
    <n v="2026"/>
    <s v="No"/>
    <n v="0"/>
    <x v="2"/>
    <n v="1"/>
  </r>
  <r>
    <s v="T000632"/>
    <x v="623"/>
    <d v="2026-02-02T09:08:00"/>
    <x v="6"/>
    <s v="Field Visit"/>
    <x v="1"/>
    <s v="A005"/>
    <x v="0"/>
    <n v="24"/>
    <n v="12.9"/>
    <x v="1"/>
    <s v="No"/>
    <s v="No"/>
    <n v="5"/>
    <s v="Closed"/>
    <s v="February"/>
    <x v="1"/>
    <n v="2026"/>
    <s v="Yes"/>
    <n v="1"/>
    <x v="2"/>
    <n v="1"/>
  </r>
  <r>
    <s v="T000633"/>
    <x v="624"/>
    <d v="2026-02-02T17:25:00"/>
    <x v="2"/>
    <s v="Phone"/>
    <x v="0"/>
    <s v="A031"/>
    <x v="2"/>
    <n v="72"/>
    <n v="10.1"/>
    <x v="0"/>
    <s v="Yes"/>
    <s v="No"/>
    <n v="3"/>
    <s v="Closed"/>
    <s v="February"/>
    <x v="1"/>
    <n v="2026"/>
    <s v="Yes"/>
    <n v="1"/>
    <x v="1"/>
    <n v="0"/>
  </r>
  <r>
    <s v="T000634"/>
    <x v="625"/>
    <d v="2026-02-02T12:49:00"/>
    <x v="1"/>
    <s v="Phone"/>
    <x v="1"/>
    <s v="A059"/>
    <x v="1"/>
    <n v="24"/>
    <n v="2.7"/>
    <x v="1"/>
    <s v="No"/>
    <s v="No"/>
    <m/>
    <s v="Closed"/>
    <s v="February"/>
    <x v="1"/>
    <n v="2026"/>
    <s v="Yes"/>
    <n v="1"/>
    <x v="4"/>
    <n v="1"/>
  </r>
  <r>
    <s v="T000635"/>
    <x v="626"/>
    <d v="2026-02-03T18:25:00"/>
    <x v="0"/>
    <s v="Field Visit"/>
    <x v="0"/>
    <s v="A026"/>
    <x v="2"/>
    <n v="72"/>
    <n v="31.5"/>
    <x v="1"/>
    <s v="No"/>
    <s v="No"/>
    <m/>
    <s v="Closed"/>
    <s v="February"/>
    <x v="1"/>
    <n v="2026"/>
    <s v="Yes"/>
    <n v="1"/>
    <x v="3"/>
    <n v="1"/>
  </r>
  <r>
    <s v="T000636"/>
    <x v="627"/>
    <d v="2026-02-01T09:35:00"/>
    <x v="6"/>
    <s v="Phone"/>
    <x v="2"/>
    <s v="A038"/>
    <x v="1"/>
    <n v="4"/>
    <n v="4.0999999999999996"/>
    <x v="1"/>
    <s v="No"/>
    <s v="No"/>
    <n v="5"/>
    <s v="Closed"/>
    <s v="February"/>
    <x v="1"/>
    <n v="2026"/>
    <s v="No"/>
    <n v="0"/>
    <x v="4"/>
    <n v="1"/>
  </r>
  <r>
    <s v="T000637"/>
    <x v="628"/>
    <d v="2026-02-03T17:01:00"/>
    <x v="1"/>
    <s v="Email"/>
    <x v="0"/>
    <s v="A034"/>
    <x v="2"/>
    <n v="72"/>
    <n v="28.1"/>
    <x v="1"/>
    <s v="No"/>
    <s v="No"/>
    <n v="5"/>
    <s v="Closed"/>
    <s v="February"/>
    <x v="1"/>
    <n v="2026"/>
    <s v="Yes"/>
    <n v="1"/>
    <x v="2"/>
    <n v="1"/>
  </r>
  <r>
    <s v="T000638"/>
    <x v="629"/>
    <d v="2026-02-02T18:36:00"/>
    <x v="6"/>
    <s v="Chat"/>
    <x v="1"/>
    <s v="A011"/>
    <x v="0"/>
    <n v="24"/>
    <n v="5.4"/>
    <x v="1"/>
    <s v="No"/>
    <s v="No"/>
    <m/>
    <s v="Closed"/>
    <s v="February"/>
    <x v="1"/>
    <n v="2026"/>
    <s v="Yes"/>
    <n v="1"/>
    <x v="2"/>
    <n v="1"/>
  </r>
  <r>
    <s v="T000640"/>
    <x v="630"/>
    <d v="2026-02-09T01:10:00"/>
    <x v="5"/>
    <s v="Field Visit"/>
    <x v="1"/>
    <s v="A054"/>
    <x v="1"/>
    <n v="24"/>
    <n v="154.80000000000001"/>
    <x v="1"/>
    <s v="No"/>
    <s v="No"/>
    <n v="4"/>
    <s v="Closed"/>
    <s v="February"/>
    <x v="1"/>
    <n v="2026"/>
    <s v="No"/>
    <n v="0"/>
    <x v="2"/>
    <n v="1"/>
  </r>
  <r>
    <s v="T000639"/>
    <x v="630"/>
    <d v="2026-02-03T05:28:00"/>
    <x v="3"/>
    <s v="Phone"/>
    <x v="0"/>
    <s v="A043"/>
    <x v="1"/>
    <n v="72"/>
    <n v="15.1"/>
    <x v="1"/>
    <s v="No"/>
    <s v="No"/>
    <n v="4"/>
    <s v="Closed"/>
    <s v="February"/>
    <x v="1"/>
    <n v="2026"/>
    <s v="Yes"/>
    <n v="1"/>
    <x v="2"/>
    <n v="1"/>
  </r>
  <r>
    <s v="T000641"/>
    <x v="631"/>
    <d v="2026-02-03T07:16:00"/>
    <x v="4"/>
    <s v="Chat"/>
    <x v="2"/>
    <s v="A019"/>
    <x v="2"/>
    <n v="4"/>
    <n v="16.2"/>
    <x v="1"/>
    <s v="No"/>
    <s v="No"/>
    <m/>
    <s v="Closed"/>
    <s v="February"/>
    <x v="1"/>
    <n v="2026"/>
    <s v="No"/>
    <n v="0"/>
    <x v="4"/>
    <n v="1"/>
  </r>
  <r>
    <s v="T000642"/>
    <x v="632"/>
    <d v="2026-02-02T22:47:00"/>
    <x v="0"/>
    <s v="Phone"/>
    <x v="0"/>
    <s v="A001"/>
    <x v="0"/>
    <n v="72"/>
    <n v="7.5"/>
    <x v="1"/>
    <s v="No"/>
    <s v="No"/>
    <n v="5"/>
    <s v="Closed"/>
    <s v="February"/>
    <x v="1"/>
    <n v="2026"/>
    <s v="Yes"/>
    <n v="1"/>
    <x v="3"/>
    <n v="1"/>
  </r>
  <r>
    <s v="T000643"/>
    <x v="633"/>
    <d v="2026-02-04T15:25:00"/>
    <x v="4"/>
    <s v="Field Visit"/>
    <x v="0"/>
    <s v="A023"/>
    <x v="2"/>
    <n v="72"/>
    <n v="47.8"/>
    <x v="1"/>
    <s v="No"/>
    <s v="No"/>
    <n v="4"/>
    <s v="Closed"/>
    <s v="February"/>
    <x v="1"/>
    <n v="2026"/>
    <s v="Yes"/>
    <n v="1"/>
    <x v="0"/>
    <n v="1"/>
  </r>
  <r>
    <s v="T000644"/>
    <x v="634"/>
    <d v="2026-02-03T02:19:00"/>
    <x v="6"/>
    <s v="Phone"/>
    <x v="1"/>
    <s v="A019"/>
    <x v="2"/>
    <n v="24"/>
    <n v="10.199999999999999"/>
    <x v="0"/>
    <s v="Yes"/>
    <s v="No"/>
    <m/>
    <s v="Closed"/>
    <s v="February"/>
    <x v="1"/>
    <n v="2026"/>
    <s v="Yes"/>
    <n v="1"/>
    <x v="4"/>
    <n v="0"/>
  </r>
  <r>
    <s v="T000645"/>
    <x v="635"/>
    <d v="2026-02-02T22:45:00"/>
    <x v="1"/>
    <s v="Phone"/>
    <x v="0"/>
    <s v="A057"/>
    <x v="1"/>
    <n v="72"/>
    <n v="6.6"/>
    <x v="1"/>
    <s v="No"/>
    <s v="No"/>
    <m/>
    <s v="Closed"/>
    <s v="February"/>
    <x v="1"/>
    <n v="2026"/>
    <s v="Yes"/>
    <n v="1"/>
    <x v="0"/>
    <n v="1"/>
  </r>
  <r>
    <s v="T000646"/>
    <x v="636"/>
    <d v="2026-02-02T20:44:00"/>
    <x v="1"/>
    <s v="Phone"/>
    <x v="0"/>
    <s v="A018"/>
    <x v="2"/>
    <n v="72"/>
    <n v="4.0999999999999996"/>
    <x v="1"/>
    <s v="No"/>
    <s v="No"/>
    <n v="5"/>
    <s v="Closed"/>
    <s v="February"/>
    <x v="1"/>
    <n v="2026"/>
    <s v="Yes"/>
    <n v="1"/>
    <x v="3"/>
    <n v="1"/>
  </r>
  <r>
    <s v="T000647"/>
    <x v="637"/>
    <d v="2026-02-02T20:01:00"/>
    <x v="1"/>
    <s v="Phone"/>
    <x v="1"/>
    <s v="A052"/>
    <x v="1"/>
    <n v="24"/>
    <n v="2.8"/>
    <x v="1"/>
    <s v="No"/>
    <s v="Yes"/>
    <m/>
    <s v="Closed"/>
    <s v="February"/>
    <x v="1"/>
    <n v="2026"/>
    <s v="Yes"/>
    <n v="1"/>
    <x v="4"/>
    <n v="1"/>
  </r>
  <r>
    <s v="T000648"/>
    <x v="638"/>
    <d v="2026-02-04T11:08:00"/>
    <x v="0"/>
    <s v="Email"/>
    <x v="1"/>
    <s v="A031"/>
    <x v="2"/>
    <n v="24"/>
    <n v="39.5"/>
    <x v="0"/>
    <s v="No"/>
    <s v="No"/>
    <n v="4"/>
    <s v="Closed"/>
    <s v="February"/>
    <x v="1"/>
    <n v="2026"/>
    <s v="No"/>
    <n v="0"/>
    <x v="2"/>
    <n v="0"/>
  </r>
  <r>
    <s v="T000649"/>
    <x v="639"/>
    <d v="2026-02-03T10:02:00"/>
    <x v="0"/>
    <s v="Phone"/>
    <x v="1"/>
    <s v="A053"/>
    <x v="1"/>
    <n v="24"/>
    <n v="12.5"/>
    <x v="1"/>
    <s v="No"/>
    <s v="No"/>
    <n v="3"/>
    <s v="Closed"/>
    <s v="February"/>
    <x v="1"/>
    <n v="2026"/>
    <s v="Yes"/>
    <n v="1"/>
    <x v="2"/>
    <n v="1"/>
  </r>
  <r>
    <s v="T000650"/>
    <x v="640"/>
    <d v="2026-02-03T05:55:00"/>
    <x v="6"/>
    <s v="Phone"/>
    <x v="0"/>
    <s v="A028"/>
    <x v="2"/>
    <n v="72"/>
    <n v="3.5"/>
    <x v="1"/>
    <s v="No"/>
    <s v="No"/>
    <n v="5"/>
    <s v="Closed"/>
    <s v="February"/>
    <x v="1"/>
    <n v="2026"/>
    <s v="Yes"/>
    <n v="1"/>
    <x v="0"/>
    <n v="1"/>
  </r>
  <r>
    <s v="T000651"/>
    <x v="641"/>
    <d v="2026-02-03T02:34:00"/>
    <x v="3"/>
    <s v="Field Visit"/>
    <x v="2"/>
    <s v="A017"/>
    <x v="2"/>
    <n v="4"/>
    <n v="44.9"/>
    <x v="1"/>
    <s v="No"/>
    <s v="No"/>
    <n v="3"/>
    <s v="Closed"/>
    <s v="February"/>
    <x v="1"/>
    <n v="2026"/>
    <s v="No"/>
    <n v="0"/>
    <x v="2"/>
    <n v="1"/>
  </r>
  <r>
    <s v="T000652"/>
    <x v="642"/>
    <d v="2026-02-03T10:24:00"/>
    <x v="2"/>
    <s v="Chat"/>
    <x v="2"/>
    <s v="A023"/>
    <x v="2"/>
    <n v="4"/>
    <n v="5.3"/>
    <x v="1"/>
    <s v="No"/>
    <s v="No"/>
    <n v="5"/>
    <s v="Closed"/>
    <s v="February"/>
    <x v="1"/>
    <n v="2026"/>
    <s v="No"/>
    <n v="0"/>
    <x v="1"/>
    <n v="1"/>
  </r>
  <r>
    <s v="T000653"/>
    <x v="643"/>
    <d v="2026-02-01T11:44:00"/>
    <x v="5"/>
    <s v="Chat"/>
    <x v="1"/>
    <s v="A015"/>
    <x v="0"/>
    <n v="24"/>
    <n v="9.4"/>
    <x v="1"/>
    <s v="No"/>
    <s v="No"/>
    <m/>
    <s v="Closed"/>
    <s v="February"/>
    <x v="1"/>
    <n v="2026"/>
    <s v="Yes"/>
    <n v="1"/>
    <x v="3"/>
    <n v="1"/>
  </r>
  <r>
    <s v="T000654"/>
    <x v="644"/>
    <d v="2026-02-03T10:32:00"/>
    <x v="6"/>
    <s v="Chat"/>
    <x v="2"/>
    <s v="A055"/>
    <x v="1"/>
    <n v="4"/>
    <n v="3.3"/>
    <x v="1"/>
    <s v="No"/>
    <s v="No"/>
    <n v="4"/>
    <s v="Closed"/>
    <s v="February"/>
    <x v="1"/>
    <n v="2026"/>
    <s v="Yes"/>
    <n v="1"/>
    <x v="1"/>
    <n v="1"/>
  </r>
  <r>
    <s v="T000655"/>
    <x v="645"/>
    <d v="2026-02-03T14:35:00"/>
    <x v="6"/>
    <s v="Phone"/>
    <x v="1"/>
    <s v="A021"/>
    <x v="2"/>
    <n v="24"/>
    <n v="6.1"/>
    <x v="1"/>
    <s v="No"/>
    <s v="No"/>
    <n v="5"/>
    <s v="Closed"/>
    <s v="February"/>
    <x v="1"/>
    <n v="2026"/>
    <s v="Yes"/>
    <n v="1"/>
    <x v="1"/>
    <n v="1"/>
  </r>
  <r>
    <s v="T000656"/>
    <x v="646"/>
    <d v="2026-02-03T17:12:00"/>
    <x v="5"/>
    <s v="Phone"/>
    <x v="1"/>
    <s v="A017"/>
    <x v="2"/>
    <n v="24"/>
    <n v="7.8"/>
    <x v="1"/>
    <s v="No"/>
    <s v="No"/>
    <n v="4"/>
    <s v="Closed"/>
    <s v="February"/>
    <x v="1"/>
    <n v="2026"/>
    <s v="Yes"/>
    <n v="1"/>
    <x v="2"/>
    <n v="1"/>
  </r>
  <r>
    <s v="T000657"/>
    <x v="647"/>
    <d v="2026-02-03T15:17:00"/>
    <x v="0"/>
    <s v="Chat"/>
    <x v="0"/>
    <s v="A015"/>
    <x v="0"/>
    <n v="72"/>
    <n v="5.7"/>
    <x v="0"/>
    <s v="Yes"/>
    <s v="No"/>
    <n v="3"/>
    <s v="Closed"/>
    <s v="February"/>
    <x v="1"/>
    <n v="2026"/>
    <s v="Yes"/>
    <n v="1"/>
    <x v="2"/>
    <n v="0"/>
  </r>
  <r>
    <s v="T000658"/>
    <x v="648"/>
    <d v="2026-02-03T22:48:00"/>
    <x v="6"/>
    <s v="Field Visit"/>
    <x v="0"/>
    <s v="A027"/>
    <x v="2"/>
    <n v="72"/>
    <n v="12.5"/>
    <x v="1"/>
    <s v="No"/>
    <s v="No"/>
    <n v="5"/>
    <s v="Closed"/>
    <s v="February"/>
    <x v="1"/>
    <n v="2026"/>
    <s v="Yes"/>
    <n v="1"/>
    <x v="1"/>
    <n v="1"/>
  </r>
  <r>
    <s v="T000659"/>
    <x v="649"/>
    <d v="2026-02-06T05:21:00"/>
    <x v="3"/>
    <s v="Field Visit"/>
    <x v="0"/>
    <s v="A041"/>
    <x v="1"/>
    <n v="72"/>
    <n v="66.7"/>
    <x v="1"/>
    <s v="No"/>
    <s v="No"/>
    <m/>
    <s v="Closed"/>
    <s v="February"/>
    <x v="1"/>
    <n v="2026"/>
    <s v="Yes"/>
    <n v="1"/>
    <x v="2"/>
    <n v="1"/>
  </r>
  <r>
    <s v="T000660"/>
    <x v="650"/>
    <d v="2026-02-04T05:25:00"/>
    <x v="6"/>
    <s v="Phone"/>
    <x v="2"/>
    <s v="A056"/>
    <x v="1"/>
    <n v="4"/>
    <n v="17.600000000000001"/>
    <x v="1"/>
    <s v="No"/>
    <s v="Yes"/>
    <m/>
    <s v="Closed"/>
    <s v="February"/>
    <x v="1"/>
    <n v="2026"/>
    <s v="No"/>
    <n v="0"/>
    <x v="1"/>
    <n v="1"/>
  </r>
  <r>
    <s v="T000661"/>
    <x v="651"/>
    <d v="2026-02-04T03:45:00"/>
    <x v="3"/>
    <s v="Email"/>
    <x v="1"/>
    <s v="A003"/>
    <x v="0"/>
    <n v="24"/>
    <n v="15.9"/>
    <x v="1"/>
    <s v="No"/>
    <s v="Yes"/>
    <m/>
    <s v="Closed"/>
    <s v="February"/>
    <x v="1"/>
    <n v="2026"/>
    <s v="Yes"/>
    <n v="1"/>
    <x v="4"/>
    <n v="1"/>
  </r>
  <r>
    <s v="T000662"/>
    <x v="652"/>
    <d v="2026-02-03T20:47:00"/>
    <x v="1"/>
    <s v="Phone"/>
    <x v="2"/>
    <s v="A002"/>
    <x v="0"/>
    <n v="4"/>
    <n v="8.4"/>
    <x v="0"/>
    <s v="No"/>
    <s v="No"/>
    <n v="4"/>
    <s v="Closed"/>
    <s v="February"/>
    <x v="1"/>
    <n v="2026"/>
    <s v="No"/>
    <n v="0"/>
    <x v="1"/>
    <n v="0"/>
  </r>
  <r>
    <s v="T000663"/>
    <x v="653"/>
    <d v="2026-02-03T18:50:00"/>
    <x v="1"/>
    <s v="Phone"/>
    <x v="0"/>
    <s v="A012"/>
    <x v="0"/>
    <n v="72"/>
    <n v="6.4"/>
    <x v="1"/>
    <s v="No"/>
    <s v="No"/>
    <n v="3"/>
    <s v="Closed"/>
    <s v="February"/>
    <x v="1"/>
    <n v="2026"/>
    <s v="Yes"/>
    <n v="1"/>
    <x v="2"/>
    <n v="1"/>
  </r>
  <r>
    <s v="T000664"/>
    <x v="654"/>
    <d v="2026-02-06T07:02:00"/>
    <x v="0"/>
    <s v="Field Visit"/>
    <x v="0"/>
    <s v="A028"/>
    <x v="2"/>
    <n v="72"/>
    <n v="66.3"/>
    <x v="1"/>
    <s v="No"/>
    <s v="No"/>
    <m/>
    <s v="Closed"/>
    <s v="February"/>
    <x v="1"/>
    <n v="2026"/>
    <s v="Yes"/>
    <n v="1"/>
    <x v="2"/>
    <n v="1"/>
  </r>
  <r>
    <s v="T000665"/>
    <x v="655"/>
    <d v="2026-02-04T10:18:00"/>
    <x v="6"/>
    <s v="Email"/>
    <x v="1"/>
    <s v="A004"/>
    <x v="0"/>
    <n v="24"/>
    <n v="21.4"/>
    <x v="1"/>
    <s v="No"/>
    <s v="No"/>
    <m/>
    <s v="Closed"/>
    <s v="February"/>
    <x v="1"/>
    <n v="2026"/>
    <s v="Yes"/>
    <n v="1"/>
    <x v="2"/>
    <n v="1"/>
  </r>
  <r>
    <s v="T000666"/>
    <x v="656"/>
    <d v="2026-02-04T02:06:00"/>
    <x v="1"/>
    <s v="Phone"/>
    <x v="1"/>
    <s v="A011"/>
    <x v="0"/>
    <n v="24"/>
    <n v="12.3"/>
    <x v="1"/>
    <s v="No"/>
    <s v="Yes"/>
    <n v="5"/>
    <s v="Closed"/>
    <s v="February"/>
    <x v="1"/>
    <n v="2026"/>
    <s v="Yes"/>
    <n v="1"/>
    <x v="1"/>
    <n v="1"/>
  </r>
  <r>
    <s v="T000667"/>
    <x v="657"/>
    <d v="2026-02-03T15:34:00"/>
    <x v="0"/>
    <s v="Chat"/>
    <x v="1"/>
    <s v="A016"/>
    <x v="2"/>
    <n v="24"/>
    <n v="1.2"/>
    <x v="1"/>
    <s v="No"/>
    <s v="Yes"/>
    <n v="5"/>
    <s v="Closed"/>
    <s v="February"/>
    <x v="1"/>
    <n v="2026"/>
    <s v="Yes"/>
    <n v="1"/>
    <x v="4"/>
    <n v="1"/>
  </r>
  <r>
    <s v="T000668"/>
    <x v="658"/>
    <d v="2026-02-04T03:25:00"/>
    <x v="1"/>
    <s v="Email"/>
    <x v="0"/>
    <s v="A029"/>
    <x v="2"/>
    <n v="72"/>
    <n v="12.7"/>
    <x v="1"/>
    <s v="No"/>
    <s v="No"/>
    <n v="5"/>
    <s v="Closed"/>
    <s v="February"/>
    <x v="1"/>
    <n v="2026"/>
    <s v="Yes"/>
    <n v="1"/>
    <x v="4"/>
    <n v="1"/>
  </r>
  <r>
    <s v="T000669"/>
    <x v="659"/>
    <d v="2026-02-04T08:46:00"/>
    <x v="1"/>
    <s v="Email"/>
    <x v="0"/>
    <s v="A056"/>
    <x v="1"/>
    <n v="72"/>
    <n v="16.600000000000001"/>
    <x v="1"/>
    <s v="No"/>
    <s v="No"/>
    <n v="5"/>
    <s v="Closed"/>
    <s v="February"/>
    <x v="1"/>
    <n v="2026"/>
    <s v="Yes"/>
    <n v="1"/>
    <x v="0"/>
    <n v="1"/>
  </r>
  <r>
    <s v="T000670"/>
    <x v="660"/>
    <d v="2026-02-04T10:35:00"/>
    <x v="6"/>
    <s v="Field Visit"/>
    <x v="1"/>
    <s v="A053"/>
    <x v="1"/>
    <n v="24"/>
    <n v="15.8"/>
    <x v="1"/>
    <s v="No"/>
    <s v="No"/>
    <n v="4"/>
    <s v="Closed"/>
    <s v="February"/>
    <x v="1"/>
    <n v="2026"/>
    <s v="Yes"/>
    <n v="1"/>
    <x v="1"/>
    <n v="1"/>
  </r>
  <r>
    <s v="T000671"/>
    <x v="661"/>
    <d v="2026-02-05T06:37:00"/>
    <x v="0"/>
    <s v="Phone"/>
    <x v="1"/>
    <s v="A007"/>
    <x v="0"/>
    <n v="24"/>
    <n v="35.5"/>
    <x v="1"/>
    <s v="No"/>
    <s v="No"/>
    <m/>
    <s v="Closed"/>
    <s v="February"/>
    <x v="1"/>
    <n v="2026"/>
    <s v="No"/>
    <n v="0"/>
    <x v="1"/>
    <n v="1"/>
  </r>
  <r>
    <s v="T000672"/>
    <x v="662"/>
    <d v="2026-02-04T02:34:00"/>
    <x v="5"/>
    <s v="Chat"/>
    <x v="0"/>
    <s v="A040"/>
    <x v="1"/>
    <n v="72"/>
    <n v="7.1"/>
    <x v="1"/>
    <s v="No"/>
    <s v="No"/>
    <n v="4"/>
    <s v="Closed"/>
    <s v="February"/>
    <x v="1"/>
    <n v="2026"/>
    <s v="Yes"/>
    <n v="1"/>
    <x v="2"/>
    <n v="1"/>
  </r>
  <r>
    <s v="T000673"/>
    <x v="663"/>
    <d v="2026-02-04T16:00:00"/>
    <x v="2"/>
    <s v="Chat"/>
    <x v="1"/>
    <s v="A010"/>
    <x v="0"/>
    <n v="24"/>
    <n v="15.5"/>
    <x v="0"/>
    <s v="Yes"/>
    <s v="No"/>
    <m/>
    <s v="Closed"/>
    <s v="February"/>
    <x v="1"/>
    <n v="2026"/>
    <s v="Yes"/>
    <n v="1"/>
    <x v="3"/>
    <n v="0"/>
  </r>
  <r>
    <s v="T000674"/>
    <x v="664"/>
    <d v="2026-02-04T11:08:00"/>
    <x v="5"/>
    <s v="Chat"/>
    <x v="1"/>
    <s v="A001"/>
    <x v="0"/>
    <n v="24"/>
    <n v="8.4"/>
    <x v="0"/>
    <s v="No"/>
    <s v="No"/>
    <m/>
    <s v="Closed"/>
    <s v="February"/>
    <x v="1"/>
    <n v="2026"/>
    <s v="Yes"/>
    <n v="1"/>
    <x v="3"/>
    <n v="0"/>
  </r>
  <r>
    <s v="T000675"/>
    <x v="665"/>
    <d v="2026-02-07T03:52:00"/>
    <x v="0"/>
    <s v="Field Visit"/>
    <x v="1"/>
    <s v="A004"/>
    <x v="0"/>
    <n v="24"/>
    <n v="71.8"/>
    <x v="1"/>
    <s v="No"/>
    <s v="No"/>
    <n v="3"/>
    <s v="Closed"/>
    <s v="February"/>
    <x v="1"/>
    <n v="2026"/>
    <s v="No"/>
    <n v="0"/>
    <x v="1"/>
    <n v="1"/>
  </r>
  <r>
    <s v="T000676"/>
    <x v="666"/>
    <d v="2026-02-04T17:44:00"/>
    <x v="3"/>
    <s v="Phone"/>
    <x v="2"/>
    <s v="A027"/>
    <x v="2"/>
    <n v="4"/>
    <n v="10.6"/>
    <x v="0"/>
    <s v="Yes"/>
    <s v="No"/>
    <m/>
    <s v="Closed"/>
    <s v="February"/>
    <x v="1"/>
    <n v="2026"/>
    <s v="No"/>
    <n v="0"/>
    <x v="3"/>
    <n v="0"/>
  </r>
  <r>
    <s v="T000677"/>
    <x v="667"/>
    <d v="2026-02-07T15:41:00"/>
    <x v="3"/>
    <s v="Email"/>
    <x v="0"/>
    <s v="A044"/>
    <x v="1"/>
    <n v="72"/>
    <n v="78.2"/>
    <x v="1"/>
    <s v="No"/>
    <s v="No"/>
    <m/>
    <s v="Closed"/>
    <s v="February"/>
    <x v="1"/>
    <n v="2026"/>
    <s v="No"/>
    <n v="0"/>
    <x v="2"/>
    <n v="1"/>
  </r>
  <r>
    <s v="T000678"/>
    <x v="668"/>
    <d v="2026-02-04T12:20:00"/>
    <x v="1"/>
    <s v="Phone"/>
    <x v="0"/>
    <s v="A041"/>
    <x v="1"/>
    <n v="72"/>
    <n v="2.2000000000000002"/>
    <x v="0"/>
    <s v="Yes"/>
    <s v="No"/>
    <n v="3"/>
    <s v="Closed"/>
    <s v="February"/>
    <x v="1"/>
    <n v="2026"/>
    <s v="Yes"/>
    <n v="1"/>
    <x v="0"/>
    <n v="0"/>
  </r>
  <r>
    <s v="T000679"/>
    <x v="669"/>
    <d v="2026-02-07T05:46:00"/>
    <x v="4"/>
    <s v="Phone"/>
    <x v="2"/>
    <s v="A056"/>
    <x v="1"/>
    <n v="4"/>
    <n v="67.5"/>
    <x v="0"/>
    <s v="No"/>
    <s v="No"/>
    <n v="5"/>
    <s v="Closed"/>
    <s v="February"/>
    <x v="1"/>
    <n v="2026"/>
    <s v="No"/>
    <n v="0"/>
    <x v="4"/>
    <n v="0"/>
  </r>
  <r>
    <s v="T000680"/>
    <x v="670"/>
    <d v="2026-02-04T13:46:00"/>
    <x v="6"/>
    <s v="Phone"/>
    <x v="2"/>
    <s v="A040"/>
    <x v="1"/>
    <n v="4"/>
    <n v="3.2"/>
    <x v="1"/>
    <s v="No"/>
    <s v="No"/>
    <m/>
    <s v="Closed"/>
    <s v="February"/>
    <x v="1"/>
    <n v="2026"/>
    <s v="Yes"/>
    <n v="1"/>
    <x v="3"/>
    <n v="1"/>
  </r>
  <r>
    <s v="T000681"/>
    <x v="671"/>
    <d v="2026-02-04T17:49:00"/>
    <x v="5"/>
    <s v="Chat"/>
    <x v="1"/>
    <s v="A040"/>
    <x v="1"/>
    <n v="24"/>
    <n v="7"/>
    <x v="1"/>
    <s v="No"/>
    <s v="No"/>
    <n v="4"/>
    <s v="Closed"/>
    <s v="February"/>
    <x v="1"/>
    <n v="2026"/>
    <s v="Yes"/>
    <n v="1"/>
    <x v="4"/>
    <n v="1"/>
  </r>
  <r>
    <s v="T000682"/>
    <x v="672"/>
    <d v="2026-02-05T03:42:00"/>
    <x v="0"/>
    <s v="Phone"/>
    <x v="1"/>
    <s v="A038"/>
    <x v="1"/>
    <n v="24"/>
    <n v="15.6"/>
    <x v="1"/>
    <s v="No"/>
    <s v="No"/>
    <m/>
    <s v="Closed"/>
    <s v="February"/>
    <x v="1"/>
    <n v="2026"/>
    <s v="Yes"/>
    <n v="1"/>
    <x v="3"/>
    <n v="1"/>
  </r>
  <r>
    <s v="T000683"/>
    <x v="673"/>
    <d v="2026-02-04T18:20:00"/>
    <x v="1"/>
    <s v="Chat"/>
    <x v="1"/>
    <s v="A017"/>
    <x v="2"/>
    <n v="24"/>
    <n v="6.1"/>
    <x v="1"/>
    <s v="No"/>
    <s v="No"/>
    <n v="5"/>
    <s v="Closed"/>
    <s v="February"/>
    <x v="1"/>
    <n v="2026"/>
    <s v="Yes"/>
    <n v="1"/>
    <x v="2"/>
    <n v="1"/>
  </r>
  <r>
    <s v="T000684"/>
    <x v="674"/>
    <d v="2026-02-07T09:43:00"/>
    <x v="4"/>
    <s v="Field Visit"/>
    <x v="1"/>
    <s v="A036"/>
    <x v="1"/>
    <n v="24"/>
    <n v="69.3"/>
    <x v="0"/>
    <s v="Yes"/>
    <s v="No"/>
    <n v="2"/>
    <s v="Closed"/>
    <s v="February"/>
    <x v="1"/>
    <n v="2026"/>
    <s v="No"/>
    <n v="0"/>
    <x v="2"/>
    <n v="0"/>
  </r>
  <r>
    <s v="T000685"/>
    <x v="675"/>
    <d v="2026-02-06T07:33:00"/>
    <x v="3"/>
    <s v="Phone"/>
    <x v="0"/>
    <s v="A033"/>
    <x v="2"/>
    <n v="72"/>
    <n v="42.4"/>
    <x v="1"/>
    <s v="No"/>
    <s v="No"/>
    <n v="3"/>
    <s v="Closed"/>
    <s v="February"/>
    <x v="1"/>
    <n v="2026"/>
    <s v="Yes"/>
    <n v="1"/>
    <x v="4"/>
    <n v="1"/>
  </r>
  <r>
    <s v="T000686"/>
    <x v="676"/>
    <d v="2026-02-04T23:19:00"/>
    <x v="0"/>
    <s v="Phone"/>
    <x v="1"/>
    <s v="A025"/>
    <x v="2"/>
    <n v="24"/>
    <n v="10.1"/>
    <x v="1"/>
    <s v="No"/>
    <s v="No"/>
    <n v="5"/>
    <s v="Closed"/>
    <s v="February"/>
    <x v="1"/>
    <n v="2026"/>
    <s v="Yes"/>
    <n v="1"/>
    <x v="4"/>
    <n v="1"/>
  </r>
  <r>
    <s v="T000687"/>
    <x v="677"/>
    <d v="2026-02-05T07:19:00"/>
    <x v="2"/>
    <s v="Email"/>
    <x v="0"/>
    <s v="A013"/>
    <x v="0"/>
    <n v="72"/>
    <n v="16.5"/>
    <x v="1"/>
    <s v="No"/>
    <s v="No"/>
    <n v="5"/>
    <s v="Closed"/>
    <s v="February"/>
    <x v="1"/>
    <n v="2026"/>
    <s v="Yes"/>
    <n v="1"/>
    <x v="2"/>
    <n v="1"/>
  </r>
  <r>
    <s v="T000688"/>
    <x v="678"/>
    <d v="2026-02-04T23:05:00"/>
    <x v="3"/>
    <s v="Chat"/>
    <x v="1"/>
    <s v="A005"/>
    <x v="0"/>
    <n v="24"/>
    <n v="7.4"/>
    <x v="1"/>
    <s v="No"/>
    <s v="No"/>
    <n v="4"/>
    <s v="Closed"/>
    <s v="February"/>
    <x v="1"/>
    <n v="2026"/>
    <s v="Yes"/>
    <n v="1"/>
    <x v="0"/>
    <n v="1"/>
  </r>
  <r>
    <s v="T000689"/>
    <x v="679"/>
    <d v="2026-02-05T09:53:00"/>
    <x v="6"/>
    <s v="Field Visit"/>
    <x v="0"/>
    <s v="A059"/>
    <x v="1"/>
    <n v="72"/>
    <n v="18"/>
    <x v="1"/>
    <s v="No"/>
    <s v="No"/>
    <n v="4"/>
    <s v="Closed"/>
    <s v="February"/>
    <x v="1"/>
    <n v="2026"/>
    <s v="Yes"/>
    <n v="1"/>
    <x v="3"/>
    <n v="1"/>
  </r>
  <r>
    <s v="T000690"/>
    <x v="680"/>
    <d v="2026-02-05T05:04:00"/>
    <x v="1"/>
    <s v="Phone"/>
    <x v="0"/>
    <s v="A008"/>
    <x v="0"/>
    <n v="72"/>
    <n v="13"/>
    <x v="1"/>
    <s v="No"/>
    <s v="No"/>
    <n v="5"/>
    <s v="Closed"/>
    <s v="February"/>
    <x v="1"/>
    <n v="2026"/>
    <s v="Yes"/>
    <n v="1"/>
    <x v="1"/>
    <n v="1"/>
  </r>
  <r>
    <s v="T000691"/>
    <x v="681"/>
    <d v="2026-02-05T10:22:00"/>
    <x v="6"/>
    <s v="Field Visit"/>
    <x v="2"/>
    <s v="A041"/>
    <x v="1"/>
    <n v="4"/>
    <n v="18.2"/>
    <x v="1"/>
    <s v="No"/>
    <s v="No"/>
    <m/>
    <s v="Closed"/>
    <s v="February"/>
    <x v="1"/>
    <n v="2026"/>
    <s v="No"/>
    <n v="0"/>
    <x v="0"/>
    <n v="1"/>
  </r>
  <r>
    <s v="T000692"/>
    <x v="682"/>
    <d v="2026-02-06T06:56:00"/>
    <x v="2"/>
    <s v="Field Visit"/>
    <x v="0"/>
    <s v="A034"/>
    <x v="2"/>
    <n v="72"/>
    <n v="38.6"/>
    <x v="1"/>
    <s v="No"/>
    <s v="No"/>
    <m/>
    <s v="Closed"/>
    <s v="February"/>
    <x v="1"/>
    <n v="2026"/>
    <s v="Yes"/>
    <n v="1"/>
    <x v="2"/>
    <n v="1"/>
  </r>
  <r>
    <s v="T000693"/>
    <x v="683"/>
    <d v="2026-02-04T21:40:00"/>
    <x v="2"/>
    <s v="Phone"/>
    <x v="0"/>
    <s v="A006"/>
    <x v="0"/>
    <n v="72"/>
    <n v="4.3"/>
    <x v="1"/>
    <s v="No"/>
    <s v="No"/>
    <n v="4"/>
    <s v="Closed"/>
    <s v="February"/>
    <x v="1"/>
    <n v="2026"/>
    <s v="Yes"/>
    <n v="1"/>
    <x v="3"/>
    <n v="1"/>
  </r>
  <r>
    <s v="T000694"/>
    <x v="684"/>
    <d v="2026-02-04T21:08:00"/>
    <x v="1"/>
    <s v="Chat"/>
    <x v="0"/>
    <s v="A032"/>
    <x v="2"/>
    <n v="72"/>
    <n v="3.2"/>
    <x v="1"/>
    <s v="No"/>
    <s v="No"/>
    <n v="5"/>
    <s v="Closed"/>
    <s v="February"/>
    <x v="1"/>
    <n v="2026"/>
    <s v="Yes"/>
    <n v="1"/>
    <x v="1"/>
    <n v="1"/>
  </r>
  <r>
    <s v="T000695"/>
    <x v="685"/>
    <d v="2026-02-05T10:54:00"/>
    <x v="6"/>
    <s v="Phone"/>
    <x v="1"/>
    <s v="A011"/>
    <x v="0"/>
    <n v="24"/>
    <n v="16.3"/>
    <x v="0"/>
    <s v="No"/>
    <s v="No"/>
    <m/>
    <s v="Closed"/>
    <s v="February"/>
    <x v="1"/>
    <n v="2026"/>
    <s v="Yes"/>
    <n v="1"/>
    <x v="0"/>
    <n v="0"/>
  </r>
  <r>
    <s v="T000696"/>
    <x v="686"/>
    <d v="2026-02-04T22:12:00"/>
    <x v="5"/>
    <s v="Chat"/>
    <x v="1"/>
    <s v="A052"/>
    <x v="1"/>
    <n v="24"/>
    <n v="3.5"/>
    <x v="1"/>
    <s v="No"/>
    <s v="No"/>
    <m/>
    <s v="Closed"/>
    <s v="February"/>
    <x v="1"/>
    <n v="2026"/>
    <s v="Yes"/>
    <n v="1"/>
    <x v="4"/>
    <n v="1"/>
  </r>
  <r>
    <s v="T000697"/>
    <x v="687"/>
    <d v="2026-02-05T15:16:00"/>
    <x v="0"/>
    <s v="Chat"/>
    <x v="1"/>
    <s v="A011"/>
    <x v="0"/>
    <n v="24"/>
    <n v="19.899999999999999"/>
    <x v="0"/>
    <s v="No"/>
    <s v="No"/>
    <n v="5"/>
    <s v="Closed"/>
    <s v="February"/>
    <x v="1"/>
    <n v="2026"/>
    <s v="Yes"/>
    <n v="1"/>
    <x v="1"/>
    <n v="0"/>
  </r>
  <r>
    <s v="T000698"/>
    <x v="688"/>
    <d v="2026-02-05T00:48:00"/>
    <x v="1"/>
    <s v="Email"/>
    <x v="1"/>
    <s v="A036"/>
    <x v="1"/>
    <n v="24"/>
    <n v="4"/>
    <x v="1"/>
    <s v="No"/>
    <s v="No"/>
    <n v="5"/>
    <s v="Closed"/>
    <s v="February"/>
    <x v="1"/>
    <n v="2026"/>
    <s v="Yes"/>
    <n v="1"/>
    <x v="4"/>
    <n v="1"/>
  </r>
  <r>
    <s v="T000699"/>
    <x v="689"/>
    <d v="2026-02-07T04:18:00"/>
    <x v="4"/>
    <s v="Phone"/>
    <x v="1"/>
    <s v="A017"/>
    <x v="2"/>
    <n v="24"/>
    <n v="54.6"/>
    <x v="1"/>
    <s v="No"/>
    <s v="No"/>
    <n v="5"/>
    <s v="Closed"/>
    <s v="February"/>
    <x v="1"/>
    <n v="2026"/>
    <s v="No"/>
    <n v="0"/>
    <x v="2"/>
    <n v="1"/>
  </r>
  <r>
    <s v="T000700"/>
    <x v="690"/>
    <d v="2026-02-05T21:40:00"/>
    <x v="2"/>
    <s v="Phone"/>
    <x v="0"/>
    <s v="A002"/>
    <x v="0"/>
    <n v="72"/>
    <n v="23"/>
    <x v="1"/>
    <s v="No"/>
    <s v="No"/>
    <n v="4"/>
    <s v="Closed"/>
    <s v="February"/>
    <x v="1"/>
    <n v="2026"/>
    <s v="Yes"/>
    <n v="1"/>
    <x v="0"/>
    <n v="1"/>
  </r>
  <r>
    <s v="T000701"/>
    <x v="691"/>
    <d v="2026-02-05T09:42:00"/>
    <x v="0"/>
    <s v="Phone"/>
    <x v="0"/>
    <s v="A040"/>
    <x v="1"/>
    <n v="72"/>
    <n v="9.6999999999999993"/>
    <x v="1"/>
    <s v="No"/>
    <s v="No"/>
    <n v="5"/>
    <s v="Closed"/>
    <s v="February"/>
    <x v="1"/>
    <n v="2026"/>
    <s v="Yes"/>
    <n v="1"/>
    <x v="4"/>
    <n v="1"/>
  </r>
  <r>
    <s v="T000702"/>
    <x v="692"/>
    <d v="2026-02-05T13:02:00"/>
    <x v="5"/>
    <s v="Phone"/>
    <x v="0"/>
    <s v="A007"/>
    <x v="0"/>
    <n v="72"/>
    <n v="5.4"/>
    <x v="0"/>
    <s v="Yes"/>
    <s v="No"/>
    <n v="5"/>
    <s v="Closed"/>
    <s v="February"/>
    <x v="1"/>
    <n v="2026"/>
    <s v="Yes"/>
    <n v="1"/>
    <x v="0"/>
    <n v="0"/>
  </r>
  <r>
    <s v="T000703"/>
    <x v="693"/>
    <d v="2026-02-06T21:05:00"/>
    <x v="2"/>
    <s v="Email"/>
    <x v="1"/>
    <s v="A055"/>
    <x v="1"/>
    <n v="24"/>
    <n v="36.4"/>
    <x v="1"/>
    <s v="No"/>
    <s v="No"/>
    <n v="5"/>
    <s v="Closed"/>
    <s v="February"/>
    <x v="1"/>
    <n v="2026"/>
    <s v="No"/>
    <n v="0"/>
    <x v="2"/>
    <n v="1"/>
  </r>
  <r>
    <s v="T000704"/>
    <x v="694"/>
    <d v="2026-02-06T09:34:00"/>
    <x v="0"/>
    <s v="Field Visit"/>
    <x v="0"/>
    <s v="A005"/>
    <x v="0"/>
    <n v="72"/>
    <n v="24.7"/>
    <x v="1"/>
    <s v="No"/>
    <s v="No"/>
    <m/>
    <s v="Closed"/>
    <s v="February"/>
    <x v="1"/>
    <n v="2026"/>
    <s v="Yes"/>
    <n v="1"/>
    <x v="1"/>
    <n v="1"/>
  </r>
  <r>
    <s v="T000705"/>
    <x v="695"/>
    <d v="2026-02-11T10:53:00"/>
    <x v="3"/>
    <s v="Field Visit"/>
    <x v="0"/>
    <s v="A004"/>
    <x v="0"/>
    <n v="72"/>
    <n v="145.9"/>
    <x v="0"/>
    <s v="No"/>
    <s v="No"/>
    <n v="3"/>
    <s v="Closed"/>
    <s v="February"/>
    <x v="1"/>
    <n v="2026"/>
    <s v="No"/>
    <n v="0"/>
    <x v="3"/>
    <n v="0"/>
  </r>
  <r>
    <s v="T000706"/>
    <x v="696"/>
    <d v="2026-02-05T16:30:00"/>
    <x v="0"/>
    <s v="Chat"/>
    <x v="1"/>
    <s v="A049"/>
    <x v="1"/>
    <n v="24"/>
    <n v="6.1"/>
    <x v="1"/>
    <s v="No"/>
    <s v="No"/>
    <m/>
    <s v="Closed"/>
    <s v="February"/>
    <x v="1"/>
    <n v="2026"/>
    <s v="Yes"/>
    <n v="1"/>
    <x v="2"/>
    <n v="1"/>
  </r>
  <r>
    <s v="T000707"/>
    <x v="697"/>
    <d v="2026-02-09T03:59:00"/>
    <x v="4"/>
    <s v="Field Visit"/>
    <x v="1"/>
    <s v="A021"/>
    <x v="2"/>
    <n v="24"/>
    <n v="89.5"/>
    <x v="0"/>
    <s v="Yes"/>
    <s v="No"/>
    <n v="3"/>
    <s v="Closed"/>
    <s v="February"/>
    <x v="1"/>
    <n v="2026"/>
    <s v="No"/>
    <n v="0"/>
    <x v="3"/>
    <n v="0"/>
  </r>
  <r>
    <s v="T000708"/>
    <x v="698"/>
    <d v="2026-02-05T15:44:00"/>
    <x v="1"/>
    <s v="Chat"/>
    <x v="1"/>
    <s v="A050"/>
    <x v="1"/>
    <n v="24"/>
    <n v="3.8"/>
    <x v="1"/>
    <s v="No"/>
    <s v="No"/>
    <n v="5"/>
    <s v="Closed"/>
    <s v="February"/>
    <x v="1"/>
    <n v="2026"/>
    <s v="Yes"/>
    <n v="1"/>
    <x v="3"/>
    <n v="1"/>
  </r>
  <r>
    <s v="T000709"/>
    <x v="699"/>
    <d v="2026-02-07T03:44:00"/>
    <x v="2"/>
    <s v="Phone"/>
    <x v="0"/>
    <s v="A004"/>
    <x v="0"/>
    <n v="72"/>
    <n v="39"/>
    <x v="1"/>
    <s v="No"/>
    <s v="No"/>
    <m/>
    <s v="Closed"/>
    <s v="February"/>
    <x v="1"/>
    <n v="2026"/>
    <s v="Yes"/>
    <n v="1"/>
    <x v="3"/>
    <n v="1"/>
  </r>
  <r>
    <s v="T000710"/>
    <x v="700"/>
    <d v="2026-02-06T06:27:00"/>
    <x v="0"/>
    <s v="Email"/>
    <x v="1"/>
    <s v="A016"/>
    <x v="2"/>
    <n v="24"/>
    <n v="17.600000000000001"/>
    <x v="1"/>
    <s v="No"/>
    <s v="No"/>
    <m/>
    <s v="Closed"/>
    <s v="February"/>
    <x v="1"/>
    <n v="2026"/>
    <s v="Yes"/>
    <n v="1"/>
    <x v="4"/>
    <n v="1"/>
  </r>
  <r>
    <s v="T000711"/>
    <x v="701"/>
    <d v="2026-02-06T10:53:00"/>
    <x v="0"/>
    <s v="Phone"/>
    <x v="0"/>
    <s v="A055"/>
    <x v="1"/>
    <n v="72"/>
    <n v="21.4"/>
    <x v="1"/>
    <s v="No"/>
    <s v="No"/>
    <n v="5"/>
    <s v="Closed"/>
    <s v="February"/>
    <x v="1"/>
    <n v="2026"/>
    <s v="Yes"/>
    <n v="1"/>
    <x v="1"/>
    <n v="1"/>
  </r>
  <r>
    <s v="T000712"/>
    <x v="702"/>
    <d v="2026-02-06T03:17:00"/>
    <x v="2"/>
    <s v="Phone"/>
    <x v="1"/>
    <s v="A044"/>
    <x v="1"/>
    <n v="24"/>
    <n v="12.8"/>
    <x v="0"/>
    <s v="No"/>
    <s v="No"/>
    <n v="4"/>
    <s v="Closed"/>
    <s v="February"/>
    <x v="1"/>
    <n v="2026"/>
    <s v="Yes"/>
    <n v="1"/>
    <x v="1"/>
    <n v="0"/>
  </r>
  <r>
    <s v="T000713"/>
    <x v="703"/>
    <d v="2026-02-05T17:52:00"/>
    <x v="6"/>
    <s v="Phone"/>
    <x v="2"/>
    <s v="A034"/>
    <x v="2"/>
    <n v="4"/>
    <n v="2.7"/>
    <x v="1"/>
    <s v="No"/>
    <s v="No"/>
    <n v="5"/>
    <s v="Closed"/>
    <s v="February"/>
    <x v="1"/>
    <n v="2026"/>
    <s v="Yes"/>
    <n v="1"/>
    <x v="0"/>
    <n v="1"/>
  </r>
  <r>
    <s v="T000714"/>
    <x v="704"/>
    <d v="2026-02-06T09:54:00"/>
    <x v="0"/>
    <s v="Email"/>
    <x v="0"/>
    <s v="A029"/>
    <x v="2"/>
    <n v="72"/>
    <n v="18.600000000000001"/>
    <x v="1"/>
    <s v="No"/>
    <s v="No"/>
    <n v="5"/>
    <s v="Closed"/>
    <s v="February"/>
    <x v="1"/>
    <n v="2026"/>
    <s v="Yes"/>
    <n v="1"/>
    <x v="3"/>
    <n v="1"/>
  </r>
  <r>
    <s v="T000715"/>
    <x v="705"/>
    <d v="2026-02-05T21:55:00"/>
    <x v="2"/>
    <s v="Chat"/>
    <x v="2"/>
    <s v="A033"/>
    <x v="2"/>
    <n v="4"/>
    <n v="6.5"/>
    <x v="1"/>
    <s v="No"/>
    <s v="No"/>
    <n v="4"/>
    <s v="Closed"/>
    <s v="February"/>
    <x v="1"/>
    <n v="2026"/>
    <s v="No"/>
    <n v="0"/>
    <x v="2"/>
    <n v="1"/>
  </r>
  <r>
    <s v="T000716"/>
    <x v="706"/>
    <d v="2026-02-06T15:59:00"/>
    <x v="1"/>
    <s v="Email"/>
    <x v="0"/>
    <s v="A060"/>
    <x v="1"/>
    <n v="72"/>
    <n v="24.5"/>
    <x v="1"/>
    <s v="No"/>
    <s v="No"/>
    <n v="4"/>
    <s v="Closed"/>
    <s v="February"/>
    <x v="1"/>
    <n v="2026"/>
    <s v="Yes"/>
    <n v="1"/>
    <x v="0"/>
    <n v="1"/>
  </r>
  <r>
    <s v="T000717"/>
    <x v="707"/>
    <d v="2026-02-06T00:45:00"/>
    <x v="2"/>
    <s v="Phone"/>
    <x v="1"/>
    <s v="A024"/>
    <x v="2"/>
    <n v="24"/>
    <n v="9"/>
    <x v="1"/>
    <s v="No"/>
    <s v="No"/>
    <n v="5"/>
    <s v="Closed"/>
    <s v="February"/>
    <x v="1"/>
    <n v="2026"/>
    <s v="Yes"/>
    <n v="1"/>
    <x v="2"/>
    <n v="1"/>
  </r>
  <r>
    <s v="T000718"/>
    <x v="708"/>
    <d v="2026-02-06T11:11:00"/>
    <x v="2"/>
    <s v="Email"/>
    <x v="1"/>
    <s v="A059"/>
    <x v="1"/>
    <n v="24"/>
    <n v="19.399999999999999"/>
    <x v="1"/>
    <s v="No"/>
    <s v="No"/>
    <n v="5"/>
    <s v="Closed"/>
    <s v="February"/>
    <x v="1"/>
    <n v="2026"/>
    <s v="Yes"/>
    <n v="1"/>
    <x v="4"/>
    <n v="1"/>
  </r>
  <r>
    <s v="T000719"/>
    <x v="709"/>
    <d v="2026-02-06T02:24:00"/>
    <x v="1"/>
    <s v="Email"/>
    <x v="0"/>
    <s v="A021"/>
    <x v="2"/>
    <n v="72"/>
    <n v="9.1999999999999993"/>
    <x v="1"/>
    <s v="No"/>
    <s v="No"/>
    <n v="4"/>
    <s v="Closed"/>
    <s v="February"/>
    <x v="1"/>
    <n v="2026"/>
    <s v="Yes"/>
    <n v="1"/>
    <x v="1"/>
    <n v="1"/>
  </r>
  <r>
    <s v="T000720"/>
    <x v="710"/>
    <d v="2026-02-06T02:44:00"/>
    <x v="2"/>
    <s v="Chat"/>
    <x v="1"/>
    <s v="A017"/>
    <x v="2"/>
    <n v="24"/>
    <n v="8.8000000000000007"/>
    <x v="1"/>
    <s v="No"/>
    <s v="No"/>
    <n v="5"/>
    <s v="Closed"/>
    <s v="February"/>
    <x v="1"/>
    <n v="2026"/>
    <s v="Yes"/>
    <n v="1"/>
    <x v="0"/>
    <n v="1"/>
  </r>
  <r>
    <s v="T000721"/>
    <x v="711"/>
    <d v="2026-02-06T13:06:00"/>
    <x v="6"/>
    <s v="Phone"/>
    <x v="2"/>
    <s v="A015"/>
    <x v="0"/>
    <n v="4"/>
    <n v="19"/>
    <x v="1"/>
    <s v="No"/>
    <s v="Yes"/>
    <m/>
    <s v="Closed"/>
    <s v="February"/>
    <x v="1"/>
    <n v="2026"/>
    <s v="No"/>
    <n v="0"/>
    <x v="0"/>
    <n v="1"/>
  </r>
  <r>
    <s v="T000722"/>
    <x v="712"/>
    <d v="2026-02-07T12:11:00"/>
    <x v="4"/>
    <s v="Phone"/>
    <x v="1"/>
    <s v="A007"/>
    <x v="0"/>
    <n v="24"/>
    <n v="42"/>
    <x v="0"/>
    <s v="No"/>
    <s v="Yes"/>
    <m/>
    <s v="Closed"/>
    <s v="February"/>
    <x v="1"/>
    <n v="2026"/>
    <s v="No"/>
    <n v="0"/>
    <x v="1"/>
    <n v="0"/>
  </r>
  <r>
    <s v="T000723"/>
    <x v="713"/>
    <d v="2026-02-06T05:26:00"/>
    <x v="1"/>
    <s v="Phone"/>
    <x v="2"/>
    <s v="A043"/>
    <x v="1"/>
    <n v="4"/>
    <n v="2.6"/>
    <x v="1"/>
    <s v="No"/>
    <s v="Yes"/>
    <n v="5"/>
    <s v="Closed"/>
    <s v="February"/>
    <x v="1"/>
    <n v="2026"/>
    <s v="Yes"/>
    <n v="1"/>
    <x v="0"/>
    <n v="1"/>
  </r>
  <r>
    <s v="T000724"/>
    <x v="714"/>
    <d v="2026-02-06T12:39:00"/>
    <x v="1"/>
    <s v="Email"/>
    <x v="0"/>
    <s v="A002"/>
    <x v="0"/>
    <n v="72"/>
    <n v="9.5"/>
    <x v="0"/>
    <s v="No"/>
    <s v="No"/>
    <n v="5"/>
    <s v="Closed"/>
    <s v="February"/>
    <x v="1"/>
    <n v="2026"/>
    <s v="Yes"/>
    <n v="1"/>
    <x v="3"/>
    <n v="0"/>
  </r>
  <r>
    <s v="T000725"/>
    <x v="715"/>
    <d v="2026-02-06T11:20:00"/>
    <x v="1"/>
    <s v="Chat"/>
    <x v="1"/>
    <s v="A026"/>
    <x v="2"/>
    <n v="24"/>
    <n v="4.8"/>
    <x v="1"/>
    <s v="No"/>
    <s v="No"/>
    <n v="3"/>
    <s v="Closed"/>
    <s v="February"/>
    <x v="1"/>
    <n v="2026"/>
    <s v="Yes"/>
    <n v="1"/>
    <x v="2"/>
    <n v="1"/>
  </r>
  <r>
    <s v="T000726"/>
    <x v="716"/>
    <d v="2026-02-07T20:53:00"/>
    <x v="0"/>
    <s v="Phone"/>
    <x v="1"/>
    <s v="A060"/>
    <x v="1"/>
    <n v="24"/>
    <n v="34.299999999999997"/>
    <x v="0"/>
    <s v="No"/>
    <s v="No"/>
    <n v="3"/>
    <s v="Closed"/>
    <s v="February"/>
    <x v="1"/>
    <n v="2026"/>
    <s v="No"/>
    <n v="0"/>
    <x v="2"/>
    <n v="0"/>
  </r>
  <r>
    <s v="T000727"/>
    <x v="717"/>
    <d v="2026-02-06T19:26:00"/>
    <x v="0"/>
    <s v="Phone"/>
    <x v="0"/>
    <s v="A023"/>
    <x v="2"/>
    <n v="72"/>
    <n v="8.3000000000000007"/>
    <x v="0"/>
    <s v="No"/>
    <s v="No"/>
    <n v="5"/>
    <s v="Closed"/>
    <s v="February"/>
    <x v="1"/>
    <n v="2026"/>
    <s v="Yes"/>
    <n v="1"/>
    <x v="0"/>
    <n v="0"/>
  </r>
  <r>
    <s v="T000728"/>
    <x v="718"/>
    <d v="2026-02-06T22:54:00"/>
    <x v="6"/>
    <s v="Field Visit"/>
    <x v="1"/>
    <s v="A005"/>
    <x v="0"/>
    <n v="24"/>
    <n v="11.7"/>
    <x v="1"/>
    <s v="No"/>
    <s v="No"/>
    <n v="5"/>
    <s v="Closed"/>
    <s v="February"/>
    <x v="1"/>
    <n v="2026"/>
    <s v="Yes"/>
    <n v="1"/>
    <x v="4"/>
    <n v="1"/>
  </r>
  <r>
    <s v="T000729"/>
    <x v="719"/>
    <d v="2026-02-07T06:04:00"/>
    <x v="3"/>
    <s v="Chat"/>
    <x v="0"/>
    <s v="A060"/>
    <x v="1"/>
    <n v="72"/>
    <n v="18"/>
    <x v="1"/>
    <s v="No"/>
    <s v="No"/>
    <m/>
    <s v="Closed"/>
    <s v="February"/>
    <x v="1"/>
    <n v="2026"/>
    <s v="Yes"/>
    <n v="1"/>
    <x v="1"/>
    <n v="1"/>
  </r>
  <r>
    <s v="T000730"/>
    <x v="720"/>
    <d v="2026-02-06T23:44:00"/>
    <x v="0"/>
    <s v="Phone"/>
    <x v="1"/>
    <s v="A012"/>
    <x v="0"/>
    <n v="24"/>
    <n v="11"/>
    <x v="1"/>
    <s v="No"/>
    <s v="No"/>
    <n v="5"/>
    <s v="Closed"/>
    <s v="February"/>
    <x v="1"/>
    <n v="2026"/>
    <s v="Yes"/>
    <n v="1"/>
    <x v="3"/>
    <n v="1"/>
  </r>
  <r>
    <s v="T000731"/>
    <x v="721"/>
    <d v="2026-02-07T05:24:00"/>
    <x v="4"/>
    <s v="Phone"/>
    <x v="0"/>
    <s v="A057"/>
    <x v="1"/>
    <n v="72"/>
    <n v="16.600000000000001"/>
    <x v="1"/>
    <s v="No"/>
    <s v="No"/>
    <m/>
    <s v="Closed"/>
    <s v="February"/>
    <x v="1"/>
    <n v="2026"/>
    <s v="Yes"/>
    <n v="1"/>
    <x v="3"/>
    <n v="1"/>
  </r>
  <r>
    <s v="T000732"/>
    <x v="722"/>
    <d v="2026-02-09T10:02:00"/>
    <x v="6"/>
    <s v="Field Visit"/>
    <x v="1"/>
    <s v="A037"/>
    <x v="1"/>
    <n v="24"/>
    <n v="69.2"/>
    <x v="1"/>
    <s v="No"/>
    <s v="No"/>
    <m/>
    <s v="Closed"/>
    <s v="February"/>
    <x v="1"/>
    <n v="2026"/>
    <s v="No"/>
    <n v="0"/>
    <x v="2"/>
    <n v="1"/>
  </r>
  <r>
    <s v="T000733"/>
    <x v="723"/>
    <d v="2026-02-10T01:37:00"/>
    <x v="4"/>
    <s v="Phone"/>
    <x v="1"/>
    <s v="A015"/>
    <x v="0"/>
    <n v="24"/>
    <n v="84"/>
    <x v="1"/>
    <s v="No"/>
    <s v="No"/>
    <n v="5"/>
    <s v="Closed"/>
    <s v="February"/>
    <x v="1"/>
    <n v="2026"/>
    <s v="No"/>
    <n v="0"/>
    <x v="0"/>
    <n v="1"/>
  </r>
  <r>
    <s v="T000734"/>
    <x v="724"/>
    <d v="2026-02-06T17:19:00"/>
    <x v="2"/>
    <s v="Chat"/>
    <x v="0"/>
    <s v="A019"/>
    <x v="2"/>
    <n v="72"/>
    <n v="3.3"/>
    <x v="1"/>
    <s v="No"/>
    <s v="No"/>
    <n v="4"/>
    <s v="Closed"/>
    <s v="February"/>
    <x v="1"/>
    <n v="2026"/>
    <s v="Yes"/>
    <n v="1"/>
    <x v="1"/>
    <n v="1"/>
  </r>
  <r>
    <s v="T000735"/>
    <x v="725"/>
    <d v="2026-02-07T05:07:00"/>
    <x v="0"/>
    <s v="Phone"/>
    <x v="0"/>
    <s v="A019"/>
    <x v="2"/>
    <n v="72"/>
    <n v="14.2"/>
    <x v="1"/>
    <s v="No"/>
    <s v="No"/>
    <n v="5"/>
    <s v="Closed"/>
    <s v="February"/>
    <x v="1"/>
    <n v="2026"/>
    <s v="Yes"/>
    <n v="1"/>
    <x v="1"/>
    <n v="1"/>
  </r>
  <r>
    <s v="T000736"/>
    <x v="726"/>
    <d v="2026-02-09T10:01:00"/>
    <x v="4"/>
    <s v="Field Visit"/>
    <x v="1"/>
    <s v="A016"/>
    <x v="2"/>
    <n v="24"/>
    <n v="66.400000000000006"/>
    <x v="0"/>
    <s v="No"/>
    <s v="No"/>
    <n v="3"/>
    <s v="Closed"/>
    <s v="February"/>
    <x v="1"/>
    <n v="2026"/>
    <s v="No"/>
    <n v="0"/>
    <x v="3"/>
    <n v="0"/>
  </r>
  <r>
    <s v="T000737"/>
    <x v="727"/>
    <d v="2026-02-06T21:39:00"/>
    <x v="0"/>
    <s v="Chat"/>
    <x v="1"/>
    <s v="A008"/>
    <x v="0"/>
    <n v="24"/>
    <n v="6"/>
    <x v="1"/>
    <s v="No"/>
    <s v="No"/>
    <m/>
    <s v="Closed"/>
    <s v="February"/>
    <x v="1"/>
    <n v="2026"/>
    <s v="Yes"/>
    <n v="1"/>
    <x v="0"/>
    <n v="1"/>
  </r>
  <r>
    <s v="T000738"/>
    <x v="728"/>
    <d v="2026-02-06T18:56:00"/>
    <x v="5"/>
    <s v="Chat"/>
    <x v="0"/>
    <s v="A056"/>
    <x v="1"/>
    <n v="72"/>
    <n v="2.8"/>
    <x v="1"/>
    <s v="No"/>
    <s v="Yes"/>
    <m/>
    <s v="Closed"/>
    <s v="February"/>
    <x v="1"/>
    <n v="2026"/>
    <s v="Yes"/>
    <n v="1"/>
    <x v="2"/>
    <n v="1"/>
  </r>
  <r>
    <s v="T000739"/>
    <x v="729"/>
    <d v="2026-02-07T21:55:00"/>
    <x v="3"/>
    <s v="Chat"/>
    <x v="2"/>
    <s v="A014"/>
    <x v="0"/>
    <n v="4"/>
    <n v="28.6"/>
    <x v="0"/>
    <s v="No"/>
    <s v="No"/>
    <n v="4"/>
    <s v="Closed"/>
    <s v="February"/>
    <x v="1"/>
    <n v="2026"/>
    <s v="No"/>
    <n v="0"/>
    <x v="2"/>
    <n v="0"/>
  </r>
  <r>
    <s v="T000740"/>
    <x v="730"/>
    <d v="2026-02-12T22:15:00"/>
    <x v="4"/>
    <s v="Field Visit"/>
    <x v="0"/>
    <s v="A010"/>
    <x v="0"/>
    <n v="72"/>
    <n v="148.19999999999999"/>
    <x v="1"/>
    <s v="No"/>
    <s v="No"/>
    <n v="3"/>
    <s v="Closed"/>
    <s v="February"/>
    <x v="1"/>
    <n v="2026"/>
    <s v="No"/>
    <n v="0"/>
    <x v="1"/>
    <n v="1"/>
  </r>
  <r>
    <s v="T000741"/>
    <x v="731"/>
    <d v="2026-02-11T07:23:00"/>
    <x v="4"/>
    <s v="Field Visit"/>
    <x v="1"/>
    <s v="A058"/>
    <x v="1"/>
    <n v="24"/>
    <n v="108.2"/>
    <x v="1"/>
    <s v="No"/>
    <s v="No"/>
    <n v="4"/>
    <s v="Closed"/>
    <s v="February"/>
    <x v="1"/>
    <n v="2026"/>
    <s v="No"/>
    <n v="0"/>
    <x v="0"/>
    <n v="1"/>
  </r>
  <r>
    <s v="T000742"/>
    <x v="732"/>
    <d v="2026-02-07T04:50:00"/>
    <x v="0"/>
    <s v="Chat"/>
    <x v="0"/>
    <s v="A052"/>
    <x v="1"/>
    <n v="72"/>
    <n v="8.3000000000000007"/>
    <x v="1"/>
    <s v="No"/>
    <s v="No"/>
    <n v="4"/>
    <s v="Closed"/>
    <s v="February"/>
    <x v="1"/>
    <n v="2026"/>
    <s v="Yes"/>
    <n v="1"/>
    <x v="2"/>
    <n v="1"/>
  </r>
  <r>
    <s v="T000743"/>
    <x v="733"/>
    <d v="2026-02-07T08:36:00"/>
    <x v="1"/>
    <s v="Phone"/>
    <x v="1"/>
    <s v="A010"/>
    <x v="0"/>
    <n v="24"/>
    <n v="7.3"/>
    <x v="0"/>
    <s v="No"/>
    <s v="No"/>
    <n v="5"/>
    <s v="Closed"/>
    <s v="February"/>
    <x v="1"/>
    <n v="2026"/>
    <s v="Yes"/>
    <n v="1"/>
    <x v="1"/>
    <n v="0"/>
  </r>
  <r>
    <s v="T000744"/>
    <x v="734"/>
    <d v="2026-02-07T18:50:00"/>
    <x v="2"/>
    <s v="Chat"/>
    <x v="1"/>
    <s v="A019"/>
    <x v="2"/>
    <n v="24"/>
    <n v="9.1999999999999993"/>
    <x v="0"/>
    <s v="Yes"/>
    <s v="No"/>
    <n v="4"/>
    <s v="Closed"/>
    <s v="February"/>
    <x v="1"/>
    <n v="2026"/>
    <s v="Yes"/>
    <n v="1"/>
    <x v="1"/>
    <n v="0"/>
  </r>
  <r>
    <s v="T000745"/>
    <x v="735"/>
    <d v="2026-02-10T11:32:00"/>
    <x v="6"/>
    <s v="Field Visit"/>
    <x v="1"/>
    <s v="A058"/>
    <x v="1"/>
    <n v="24"/>
    <n v="73.8"/>
    <x v="1"/>
    <s v="No"/>
    <s v="Yes"/>
    <m/>
    <s v="Closed"/>
    <s v="February"/>
    <x v="1"/>
    <n v="2026"/>
    <s v="No"/>
    <n v="0"/>
    <x v="2"/>
    <n v="1"/>
  </r>
  <r>
    <s v="T000746"/>
    <x v="736"/>
    <d v="2026-02-08T00:58:00"/>
    <x v="1"/>
    <s v="Email"/>
    <x v="0"/>
    <s v="A013"/>
    <x v="0"/>
    <n v="72"/>
    <n v="14.9"/>
    <x v="1"/>
    <s v="No"/>
    <s v="No"/>
    <n v="5"/>
    <s v="Closed"/>
    <s v="February"/>
    <x v="1"/>
    <n v="2026"/>
    <s v="Yes"/>
    <n v="1"/>
    <x v="0"/>
    <n v="1"/>
  </r>
  <r>
    <s v="T000747"/>
    <x v="737"/>
    <d v="2026-02-12T00:07:00"/>
    <x v="4"/>
    <s v="Field Visit"/>
    <x v="0"/>
    <s v="A037"/>
    <x v="1"/>
    <n v="72"/>
    <n v="108.9"/>
    <x v="1"/>
    <s v="No"/>
    <s v="No"/>
    <m/>
    <s v="Closed"/>
    <s v="February"/>
    <x v="1"/>
    <n v="2026"/>
    <s v="No"/>
    <n v="0"/>
    <x v="3"/>
    <n v="1"/>
  </r>
  <r>
    <s v="T000748"/>
    <x v="738"/>
    <d v="2026-02-10T22:20:00"/>
    <x v="0"/>
    <s v="Field Visit"/>
    <x v="2"/>
    <s v="A013"/>
    <x v="0"/>
    <n v="4"/>
    <n v="82.9"/>
    <x v="1"/>
    <s v="No"/>
    <s v="No"/>
    <m/>
    <s v="Closed"/>
    <s v="February"/>
    <x v="1"/>
    <n v="2026"/>
    <s v="No"/>
    <n v="0"/>
    <x v="3"/>
    <n v="1"/>
  </r>
  <r>
    <s v="T000749"/>
    <x v="739"/>
    <d v="2026-02-08T00:16:00"/>
    <x v="0"/>
    <s v="Chat"/>
    <x v="0"/>
    <s v="A058"/>
    <x v="1"/>
    <n v="72"/>
    <n v="12.7"/>
    <x v="1"/>
    <s v="No"/>
    <s v="No"/>
    <m/>
    <s v="Closed"/>
    <s v="February"/>
    <x v="1"/>
    <n v="2026"/>
    <s v="Yes"/>
    <n v="1"/>
    <x v="3"/>
    <n v="1"/>
  </r>
  <r>
    <s v="T000750"/>
    <x v="740"/>
    <d v="2026-02-07T18:51:00"/>
    <x v="2"/>
    <s v="Chat"/>
    <x v="1"/>
    <s v="A030"/>
    <x v="2"/>
    <n v="24"/>
    <n v="7.2"/>
    <x v="1"/>
    <s v="No"/>
    <s v="No"/>
    <n v="5"/>
    <s v="Closed"/>
    <s v="February"/>
    <x v="1"/>
    <n v="2026"/>
    <s v="Yes"/>
    <n v="1"/>
    <x v="3"/>
    <n v="1"/>
  </r>
  <r>
    <s v="T000751"/>
    <x v="741"/>
    <d v="2026-02-07T22:44:00"/>
    <x v="0"/>
    <s v="Phone"/>
    <x v="0"/>
    <s v="A036"/>
    <x v="1"/>
    <n v="72"/>
    <n v="11"/>
    <x v="1"/>
    <s v="No"/>
    <s v="No"/>
    <n v="5"/>
    <s v="Closed"/>
    <s v="February"/>
    <x v="1"/>
    <n v="2026"/>
    <s v="Yes"/>
    <n v="1"/>
    <x v="4"/>
    <n v="1"/>
  </r>
  <r>
    <s v="T000752"/>
    <x v="742"/>
    <d v="2026-02-07T17:23:00"/>
    <x v="6"/>
    <s v="Phone"/>
    <x v="2"/>
    <s v="A055"/>
    <x v="1"/>
    <n v="4"/>
    <n v="4.9000000000000004"/>
    <x v="1"/>
    <s v="No"/>
    <s v="No"/>
    <n v="5"/>
    <s v="Closed"/>
    <s v="February"/>
    <x v="1"/>
    <n v="2026"/>
    <s v="No"/>
    <n v="0"/>
    <x v="2"/>
    <n v="1"/>
  </r>
  <r>
    <s v="T000753"/>
    <x v="743"/>
    <d v="2026-02-08T20:10:00"/>
    <x v="2"/>
    <s v="Phone"/>
    <x v="1"/>
    <s v="A012"/>
    <x v="0"/>
    <n v="24"/>
    <n v="30.4"/>
    <x v="1"/>
    <s v="No"/>
    <s v="Yes"/>
    <n v="4"/>
    <s v="Closed"/>
    <s v="February"/>
    <x v="1"/>
    <n v="2026"/>
    <s v="No"/>
    <n v="0"/>
    <x v="1"/>
    <n v="1"/>
  </r>
  <r>
    <s v="T000754"/>
    <x v="744"/>
    <d v="2026-02-08T11:42:00"/>
    <x v="6"/>
    <s v="Field Visit"/>
    <x v="1"/>
    <s v="A017"/>
    <x v="2"/>
    <n v="24"/>
    <n v="21.4"/>
    <x v="1"/>
    <s v="No"/>
    <s v="No"/>
    <m/>
    <s v="Closed"/>
    <s v="February"/>
    <x v="1"/>
    <n v="2026"/>
    <s v="Yes"/>
    <n v="1"/>
    <x v="1"/>
    <n v="1"/>
  </r>
  <r>
    <s v="T000755"/>
    <x v="745"/>
    <d v="2026-02-07T22:12:00"/>
    <x v="5"/>
    <s v="Chat"/>
    <x v="1"/>
    <s v="A010"/>
    <x v="0"/>
    <n v="24"/>
    <n v="7.5"/>
    <x v="0"/>
    <s v="No"/>
    <s v="No"/>
    <m/>
    <s v="Closed"/>
    <s v="February"/>
    <x v="1"/>
    <n v="2026"/>
    <s v="Yes"/>
    <n v="1"/>
    <x v="2"/>
    <n v="0"/>
  </r>
  <r>
    <s v="T000756"/>
    <x v="746"/>
    <d v="2026-02-08T03:30:00"/>
    <x v="2"/>
    <s v="Phone"/>
    <x v="0"/>
    <s v="A009"/>
    <x v="0"/>
    <n v="72"/>
    <n v="12.7"/>
    <x v="0"/>
    <s v="Yes"/>
    <s v="No"/>
    <n v="3"/>
    <s v="Closed"/>
    <s v="February"/>
    <x v="1"/>
    <n v="2026"/>
    <s v="Yes"/>
    <n v="1"/>
    <x v="4"/>
    <n v="0"/>
  </r>
  <r>
    <s v="T000757"/>
    <x v="747"/>
    <d v="2026-02-07T20:12:00"/>
    <x v="5"/>
    <s v="Chat"/>
    <x v="2"/>
    <s v="A036"/>
    <x v="1"/>
    <n v="4"/>
    <n v="4.4000000000000004"/>
    <x v="1"/>
    <s v="No"/>
    <s v="No"/>
    <n v="3"/>
    <s v="Closed"/>
    <s v="February"/>
    <x v="1"/>
    <n v="2026"/>
    <s v="No"/>
    <n v="0"/>
    <x v="4"/>
    <n v="1"/>
  </r>
  <r>
    <s v="T000758"/>
    <x v="748"/>
    <d v="2026-02-07T18:32:00"/>
    <x v="1"/>
    <s v="Phone"/>
    <x v="1"/>
    <s v="A018"/>
    <x v="2"/>
    <n v="24"/>
    <n v="2.7"/>
    <x v="1"/>
    <s v="No"/>
    <s v="No"/>
    <n v="4"/>
    <s v="Closed"/>
    <s v="February"/>
    <x v="1"/>
    <n v="2026"/>
    <s v="Yes"/>
    <n v="1"/>
    <x v="4"/>
    <n v="1"/>
  </r>
  <r>
    <s v="T000759"/>
    <x v="749"/>
    <d v="2026-02-07T21:14:00"/>
    <x v="1"/>
    <s v="Chat"/>
    <x v="1"/>
    <s v="A011"/>
    <x v="0"/>
    <n v="24"/>
    <n v="5.3"/>
    <x v="0"/>
    <s v="No"/>
    <s v="No"/>
    <m/>
    <s v="Closed"/>
    <s v="February"/>
    <x v="1"/>
    <n v="2026"/>
    <s v="Yes"/>
    <n v="1"/>
    <x v="1"/>
    <n v="0"/>
  </r>
  <r>
    <s v="T000760"/>
    <x v="750"/>
    <d v="2026-02-07T05:47:00"/>
    <x v="2"/>
    <s v="Field Visit"/>
    <x v="0"/>
    <s v="A058"/>
    <x v="1"/>
    <n v="72"/>
    <n v="36.6"/>
    <x v="1"/>
    <s v="No"/>
    <s v="No"/>
    <n v="4"/>
    <s v="Closed"/>
    <s v="February"/>
    <x v="1"/>
    <n v="2026"/>
    <s v="Yes"/>
    <n v="1"/>
    <x v="1"/>
    <n v="1"/>
  </r>
  <r>
    <s v="T000761"/>
    <x v="751"/>
    <d v="2026-02-07T22:24:00"/>
    <x v="6"/>
    <s v="Phone"/>
    <x v="1"/>
    <s v="A002"/>
    <x v="0"/>
    <n v="24"/>
    <n v="5.3"/>
    <x v="1"/>
    <s v="No"/>
    <s v="No"/>
    <n v="5"/>
    <s v="Closed"/>
    <s v="February"/>
    <x v="1"/>
    <n v="2026"/>
    <s v="Yes"/>
    <n v="1"/>
    <x v="3"/>
    <n v="1"/>
  </r>
  <r>
    <s v="T000762"/>
    <x v="752"/>
    <d v="2026-02-08T18:04:00"/>
    <x v="2"/>
    <s v="Phone"/>
    <x v="2"/>
    <s v="A045"/>
    <x v="1"/>
    <n v="4"/>
    <n v="23.3"/>
    <x v="1"/>
    <s v="No"/>
    <s v="No"/>
    <n v="5"/>
    <s v="Closed"/>
    <s v="February"/>
    <x v="1"/>
    <n v="2026"/>
    <s v="No"/>
    <n v="0"/>
    <x v="4"/>
    <n v="1"/>
  </r>
  <r>
    <s v="T000763"/>
    <x v="753"/>
    <d v="2026-02-10T14:45:00"/>
    <x v="4"/>
    <s v="Field Visit"/>
    <x v="0"/>
    <s v="A038"/>
    <x v="1"/>
    <n v="72"/>
    <n v="59.1"/>
    <x v="0"/>
    <s v="No"/>
    <s v="No"/>
    <n v="5"/>
    <s v="Closed"/>
    <s v="February"/>
    <x v="1"/>
    <n v="2026"/>
    <s v="Yes"/>
    <n v="1"/>
    <x v="0"/>
    <n v="0"/>
  </r>
  <r>
    <s v="T000764"/>
    <x v="754"/>
    <d v="2026-02-11T05:09:00"/>
    <x v="3"/>
    <s v="Field Visit"/>
    <x v="1"/>
    <s v="A039"/>
    <x v="1"/>
    <n v="24"/>
    <n v="70.599999999999994"/>
    <x v="1"/>
    <s v="No"/>
    <s v="No"/>
    <m/>
    <s v="Closed"/>
    <s v="February"/>
    <x v="1"/>
    <n v="2026"/>
    <s v="No"/>
    <n v="0"/>
    <x v="3"/>
    <n v="1"/>
  </r>
  <r>
    <s v="T000765"/>
    <x v="755"/>
    <d v="2026-02-09T10:02:00"/>
    <x v="1"/>
    <s v="Email"/>
    <x v="2"/>
    <s v="A015"/>
    <x v="0"/>
    <n v="4"/>
    <n v="26.6"/>
    <x v="0"/>
    <s v="No"/>
    <s v="No"/>
    <n v="4"/>
    <s v="Closed"/>
    <s v="February"/>
    <x v="1"/>
    <n v="2026"/>
    <s v="No"/>
    <n v="0"/>
    <x v="0"/>
    <n v="0"/>
  </r>
  <r>
    <s v="T000766"/>
    <x v="756"/>
    <d v="2026-02-08T12:26:00"/>
    <x v="6"/>
    <s v="Phone"/>
    <x v="2"/>
    <s v="A050"/>
    <x v="1"/>
    <n v="4"/>
    <n v="4.0999999999999996"/>
    <x v="0"/>
    <s v="No"/>
    <s v="No"/>
    <n v="4"/>
    <s v="Closed"/>
    <s v="February"/>
    <x v="1"/>
    <n v="2026"/>
    <s v="No"/>
    <n v="0"/>
    <x v="4"/>
    <n v="0"/>
  </r>
  <r>
    <s v="T000767"/>
    <x v="757"/>
    <d v="2026-02-09T04:10:00"/>
    <x v="0"/>
    <s v="Phone"/>
    <x v="0"/>
    <s v="A026"/>
    <x v="2"/>
    <n v="72"/>
    <n v="18.3"/>
    <x v="1"/>
    <s v="No"/>
    <s v="No"/>
    <m/>
    <s v="Closed"/>
    <s v="February"/>
    <x v="1"/>
    <n v="2026"/>
    <s v="Yes"/>
    <n v="1"/>
    <x v="2"/>
    <n v="1"/>
  </r>
  <r>
    <s v="T000768"/>
    <x v="758"/>
    <d v="2026-02-09T02:32:00"/>
    <x v="6"/>
    <s v="Phone"/>
    <x v="2"/>
    <s v="A027"/>
    <x v="2"/>
    <n v="4"/>
    <n v="16"/>
    <x v="0"/>
    <s v="No"/>
    <s v="Yes"/>
    <n v="4"/>
    <s v="Closed"/>
    <s v="February"/>
    <x v="1"/>
    <n v="2026"/>
    <s v="No"/>
    <n v="0"/>
    <x v="0"/>
    <n v="0"/>
  </r>
  <r>
    <s v="T000769"/>
    <x v="759"/>
    <d v="2026-02-08T22:52:00"/>
    <x v="1"/>
    <s v="Phone"/>
    <x v="0"/>
    <s v="A057"/>
    <x v="1"/>
    <n v="72"/>
    <n v="11.7"/>
    <x v="1"/>
    <s v="No"/>
    <s v="No"/>
    <n v="5"/>
    <s v="Closed"/>
    <s v="February"/>
    <x v="1"/>
    <n v="2026"/>
    <s v="Yes"/>
    <n v="1"/>
    <x v="2"/>
    <n v="1"/>
  </r>
  <r>
    <s v="T000770"/>
    <x v="760"/>
    <d v="2026-02-09T02:09:00"/>
    <x v="1"/>
    <s v="Phone"/>
    <x v="0"/>
    <s v="A006"/>
    <x v="0"/>
    <n v="72"/>
    <n v="14.9"/>
    <x v="0"/>
    <s v="Yes"/>
    <s v="No"/>
    <m/>
    <s v="Closed"/>
    <s v="February"/>
    <x v="1"/>
    <n v="2026"/>
    <s v="Yes"/>
    <n v="1"/>
    <x v="3"/>
    <n v="0"/>
  </r>
  <r>
    <s v="T000771"/>
    <x v="761"/>
    <d v="2026-02-08T18:35:00"/>
    <x v="1"/>
    <s v="Chat"/>
    <x v="0"/>
    <s v="A058"/>
    <x v="1"/>
    <n v="72"/>
    <n v="6.9"/>
    <x v="1"/>
    <s v="No"/>
    <s v="No"/>
    <n v="4"/>
    <s v="Closed"/>
    <s v="February"/>
    <x v="1"/>
    <n v="2026"/>
    <s v="Yes"/>
    <n v="1"/>
    <x v="4"/>
    <n v="1"/>
  </r>
  <r>
    <s v="T000772"/>
    <x v="762"/>
    <d v="2026-02-09T08:16:00"/>
    <x v="6"/>
    <s v="Field Visit"/>
    <x v="2"/>
    <s v="A041"/>
    <x v="1"/>
    <n v="4"/>
    <n v="20.5"/>
    <x v="1"/>
    <s v="No"/>
    <s v="No"/>
    <m/>
    <s v="Closed"/>
    <s v="February"/>
    <x v="1"/>
    <n v="2026"/>
    <s v="No"/>
    <n v="0"/>
    <x v="4"/>
    <n v="1"/>
  </r>
  <r>
    <s v="T000773"/>
    <x v="763"/>
    <d v="2026-02-08T23:55:00"/>
    <x v="6"/>
    <s v="Field Visit"/>
    <x v="0"/>
    <s v="A015"/>
    <x v="0"/>
    <n v="72"/>
    <n v="10.9"/>
    <x v="0"/>
    <s v="Yes"/>
    <s v="No"/>
    <m/>
    <s v="Closed"/>
    <s v="February"/>
    <x v="1"/>
    <n v="2026"/>
    <s v="Yes"/>
    <n v="1"/>
    <x v="1"/>
    <n v="0"/>
  </r>
  <r>
    <s v="T000774"/>
    <x v="764"/>
    <d v="2026-02-10T04:19:00"/>
    <x v="5"/>
    <s v="Field Visit"/>
    <x v="0"/>
    <s v="A006"/>
    <x v="0"/>
    <n v="72"/>
    <n v="38.9"/>
    <x v="0"/>
    <s v="No"/>
    <s v="No"/>
    <n v="5"/>
    <s v="Closed"/>
    <s v="February"/>
    <x v="1"/>
    <n v="2026"/>
    <s v="Yes"/>
    <n v="1"/>
    <x v="2"/>
    <n v="0"/>
  </r>
  <r>
    <s v="T000775"/>
    <x v="765"/>
    <d v="2026-02-10T01:26:00"/>
    <x v="3"/>
    <s v="Email"/>
    <x v="1"/>
    <s v="A020"/>
    <x v="2"/>
    <n v="24"/>
    <n v="35.5"/>
    <x v="1"/>
    <s v="No"/>
    <s v="No"/>
    <n v="4"/>
    <s v="Closed"/>
    <s v="February"/>
    <x v="1"/>
    <n v="2026"/>
    <s v="No"/>
    <n v="0"/>
    <x v="2"/>
    <n v="1"/>
  </r>
  <r>
    <s v="T000776"/>
    <x v="766"/>
    <d v="2026-02-11T11:12:00"/>
    <x v="3"/>
    <s v="Field Visit"/>
    <x v="1"/>
    <s v="A017"/>
    <x v="2"/>
    <n v="24"/>
    <n v="69"/>
    <x v="0"/>
    <s v="Yes"/>
    <s v="No"/>
    <n v="2"/>
    <s v="Closed"/>
    <s v="February"/>
    <x v="1"/>
    <n v="2026"/>
    <s v="No"/>
    <n v="0"/>
    <x v="1"/>
    <n v="0"/>
  </r>
  <r>
    <s v="T000777"/>
    <x v="767"/>
    <d v="2026-02-09T11:09:00"/>
    <x v="1"/>
    <s v="Chat"/>
    <x v="1"/>
    <s v="A011"/>
    <x v="0"/>
    <n v="24"/>
    <n v="20.100000000000001"/>
    <x v="1"/>
    <s v="No"/>
    <s v="No"/>
    <n v="4"/>
    <s v="Closed"/>
    <s v="February"/>
    <x v="1"/>
    <n v="2026"/>
    <s v="Yes"/>
    <n v="1"/>
    <x v="3"/>
    <n v="1"/>
  </r>
  <r>
    <s v="T000778"/>
    <x v="768"/>
    <d v="2026-02-08T16:27:00"/>
    <x v="6"/>
    <s v="Chat"/>
    <x v="0"/>
    <s v="A037"/>
    <x v="1"/>
    <n v="72"/>
    <n v="1"/>
    <x v="1"/>
    <s v="No"/>
    <s v="No"/>
    <n v="4"/>
    <s v="Closed"/>
    <s v="February"/>
    <x v="1"/>
    <n v="2026"/>
    <s v="Yes"/>
    <n v="1"/>
    <x v="4"/>
    <n v="1"/>
  </r>
  <r>
    <s v="T000779"/>
    <x v="769"/>
    <d v="2026-02-09T12:49:00"/>
    <x v="0"/>
    <s v="Chat"/>
    <x v="1"/>
    <s v="A001"/>
    <x v="0"/>
    <n v="24"/>
    <n v="20.2"/>
    <x v="1"/>
    <s v="No"/>
    <s v="No"/>
    <n v="5"/>
    <s v="Closed"/>
    <s v="February"/>
    <x v="1"/>
    <n v="2026"/>
    <s v="Yes"/>
    <n v="1"/>
    <x v="1"/>
    <n v="1"/>
  </r>
  <r>
    <s v="T000780"/>
    <x v="770"/>
    <d v="2026-02-08T23:47:00"/>
    <x v="5"/>
    <s v="Chat"/>
    <x v="0"/>
    <s v="A030"/>
    <x v="2"/>
    <n v="72"/>
    <n v="4.5"/>
    <x v="1"/>
    <s v="No"/>
    <s v="No"/>
    <m/>
    <s v="Closed"/>
    <s v="February"/>
    <x v="1"/>
    <n v="2026"/>
    <s v="Yes"/>
    <n v="1"/>
    <x v="3"/>
    <n v="1"/>
  </r>
  <r>
    <s v="T000781"/>
    <x v="771"/>
    <d v="2026-02-12T22:10:00"/>
    <x v="4"/>
    <s v="Field Visit"/>
    <x v="1"/>
    <s v="A049"/>
    <x v="1"/>
    <n v="24"/>
    <n v="98.8"/>
    <x v="1"/>
    <s v="No"/>
    <s v="No"/>
    <n v="5"/>
    <s v="Closed"/>
    <s v="February"/>
    <x v="1"/>
    <n v="2026"/>
    <s v="No"/>
    <n v="0"/>
    <x v="3"/>
    <n v="1"/>
  </r>
  <r>
    <s v="T000782"/>
    <x v="772"/>
    <d v="2026-02-09T09:50:00"/>
    <x v="1"/>
    <s v="Chat"/>
    <x v="1"/>
    <s v="A004"/>
    <x v="0"/>
    <n v="24"/>
    <n v="2.6"/>
    <x v="0"/>
    <s v="Yes"/>
    <s v="No"/>
    <m/>
    <s v="Closed"/>
    <s v="February"/>
    <x v="1"/>
    <n v="2026"/>
    <s v="Yes"/>
    <n v="1"/>
    <x v="0"/>
    <n v="0"/>
  </r>
  <r>
    <s v="T000783"/>
    <x v="773"/>
    <d v="2026-02-09T21:47:00"/>
    <x v="6"/>
    <s v="Field Visit"/>
    <x v="1"/>
    <s v="A042"/>
    <x v="1"/>
    <n v="24"/>
    <n v="13.5"/>
    <x v="1"/>
    <s v="No"/>
    <s v="No"/>
    <m/>
    <s v="Closed"/>
    <s v="February"/>
    <x v="1"/>
    <n v="2026"/>
    <s v="Yes"/>
    <n v="1"/>
    <x v="3"/>
    <n v="1"/>
  </r>
  <r>
    <s v="T000784"/>
    <x v="774"/>
    <d v="2026-02-10T02:14:00"/>
    <x v="1"/>
    <s v="Email"/>
    <x v="1"/>
    <s v="A058"/>
    <x v="1"/>
    <n v="24"/>
    <n v="17.7"/>
    <x v="1"/>
    <s v="No"/>
    <s v="No"/>
    <n v="5"/>
    <s v="Closed"/>
    <s v="February"/>
    <x v="1"/>
    <n v="2026"/>
    <s v="Yes"/>
    <n v="1"/>
    <x v="0"/>
    <n v="1"/>
  </r>
  <r>
    <s v="T000785"/>
    <x v="775"/>
    <d v="2026-02-12T15:58:00"/>
    <x v="3"/>
    <s v="Field Visit"/>
    <x v="0"/>
    <s v="A002"/>
    <x v="0"/>
    <n v="72"/>
    <n v="78.5"/>
    <x v="1"/>
    <s v="No"/>
    <s v="No"/>
    <n v="3"/>
    <s v="Closed"/>
    <s v="February"/>
    <x v="1"/>
    <n v="2026"/>
    <s v="No"/>
    <n v="0"/>
    <x v="1"/>
    <n v="1"/>
  </r>
  <r>
    <s v="T000786"/>
    <x v="776"/>
    <d v="2026-02-09T22:06:00"/>
    <x v="6"/>
    <s v="Field Visit"/>
    <x v="1"/>
    <s v="A017"/>
    <x v="2"/>
    <n v="24"/>
    <n v="11"/>
    <x v="1"/>
    <s v="No"/>
    <s v="No"/>
    <n v="5"/>
    <s v="Closed"/>
    <s v="February"/>
    <x v="1"/>
    <n v="2026"/>
    <s v="Yes"/>
    <n v="1"/>
    <x v="2"/>
    <n v="1"/>
  </r>
  <r>
    <s v="T000787"/>
    <x v="777"/>
    <d v="2026-02-09T15:53:00"/>
    <x v="1"/>
    <s v="Phone"/>
    <x v="1"/>
    <s v="A037"/>
    <x v="1"/>
    <n v="24"/>
    <n v="4.4000000000000004"/>
    <x v="1"/>
    <s v="No"/>
    <s v="No"/>
    <m/>
    <s v="Closed"/>
    <s v="February"/>
    <x v="1"/>
    <n v="2026"/>
    <s v="Yes"/>
    <n v="1"/>
    <x v="3"/>
    <n v="1"/>
  </r>
  <r>
    <s v="T000788"/>
    <x v="778"/>
    <d v="2026-02-10T16:08:00"/>
    <x v="0"/>
    <s v="Field Visit"/>
    <x v="0"/>
    <s v="A036"/>
    <x v="1"/>
    <n v="72"/>
    <n v="27.2"/>
    <x v="0"/>
    <s v="Yes"/>
    <s v="No"/>
    <m/>
    <s v="Closed"/>
    <s v="February"/>
    <x v="1"/>
    <n v="2026"/>
    <s v="Yes"/>
    <n v="1"/>
    <x v="4"/>
    <n v="0"/>
  </r>
  <r>
    <s v="T000789"/>
    <x v="779"/>
    <d v="2026-02-09T22:25:00"/>
    <x v="3"/>
    <s v="Chat"/>
    <x v="1"/>
    <s v="A031"/>
    <x v="2"/>
    <n v="24"/>
    <n v="9.3000000000000007"/>
    <x v="0"/>
    <s v="Yes"/>
    <s v="No"/>
    <n v="3"/>
    <s v="Closed"/>
    <s v="February"/>
    <x v="1"/>
    <n v="2026"/>
    <s v="Yes"/>
    <n v="1"/>
    <x v="2"/>
    <n v="0"/>
  </r>
  <r>
    <s v="T000790"/>
    <x v="780"/>
    <d v="2026-02-10T15:03:00"/>
    <x v="1"/>
    <s v="Email"/>
    <x v="1"/>
    <s v="A050"/>
    <x v="1"/>
    <n v="24"/>
    <n v="25.5"/>
    <x v="0"/>
    <s v="No"/>
    <s v="No"/>
    <m/>
    <s v="Closed"/>
    <s v="February"/>
    <x v="1"/>
    <n v="2026"/>
    <s v="No"/>
    <n v="0"/>
    <x v="3"/>
    <n v="0"/>
  </r>
  <r>
    <s v="T000791"/>
    <x v="781"/>
    <d v="2026-02-10T23:52:00"/>
    <x v="0"/>
    <s v="Phone"/>
    <x v="0"/>
    <s v="A004"/>
    <x v="0"/>
    <n v="72"/>
    <n v="33.799999999999997"/>
    <x v="1"/>
    <s v="No"/>
    <s v="No"/>
    <n v="5"/>
    <s v="Closed"/>
    <s v="February"/>
    <x v="1"/>
    <n v="2026"/>
    <s v="Yes"/>
    <n v="1"/>
    <x v="4"/>
    <n v="1"/>
  </r>
  <r>
    <s v="T000792"/>
    <x v="782"/>
    <d v="2026-02-09T16:57:00"/>
    <x v="6"/>
    <s v="Phone"/>
    <x v="2"/>
    <s v="A012"/>
    <x v="0"/>
    <n v="4"/>
    <n v="2.7"/>
    <x v="0"/>
    <s v="Yes"/>
    <s v="No"/>
    <n v="3"/>
    <s v="Closed"/>
    <s v="February"/>
    <x v="1"/>
    <n v="2026"/>
    <s v="Yes"/>
    <n v="1"/>
    <x v="4"/>
    <n v="0"/>
  </r>
  <r>
    <s v="T000793"/>
    <x v="783"/>
    <d v="2026-02-09T22:51:00"/>
    <x v="1"/>
    <s v="Phone"/>
    <x v="1"/>
    <s v="A049"/>
    <x v="1"/>
    <n v="24"/>
    <n v="6.1"/>
    <x v="1"/>
    <s v="No"/>
    <s v="No"/>
    <m/>
    <s v="Closed"/>
    <s v="February"/>
    <x v="1"/>
    <n v="2026"/>
    <s v="Yes"/>
    <n v="1"/>
    <x v="0"/>
    <n v="1"/>
  </r>
  <r>
    <s v="T000794"/>
    <x v="784"/>
    <d v="2026-02-10T03:55:00"/>
    <x v="1"/>
    <s v="Email"/>
    <x v="0"/>
    <s v="A003"/>
    <x v="0"/>
    <n v="72"/>
    <n v="9.5"/>
    <x v="1"/>
    <s v="No"/>
    <s v="No"/>
    <n v="5"/>
    <s v="Closed"/>
    <s v="February"/>
    <x v="1"/>
    <n v="2026"/>
    <s v="Yes"/>
    <n v="1"/>
    <x v="1"/>
    <n v="1"/>
  </r>
  <r>
    <s v="T000795"/>
    <x v="785"/>
    <d v="2026-02-10T00:09:00"/>
    <x v="1"/>
    <s v="Chat"/>
    <x v="0"/>
    <s v="A023"/>
    <x v="2"/>
    <n v="72"/>
    <n v="2.7"/>
    <x v="1"/>
    <s v="No"/>
    <s v="Yes"/>
    <n v="5"/>
    <s v="Closed"/>
    <s v="February"/>
    <x v="1"/>
    <n v="2026"/>
    <s v="Yes"/>
    <n v="1"/>
    <x v="3"/>
    <n v="1"/>
  </r>
  <r>
    <s v="T000796"/>
    <x v="786"/>
    <d v="2026-02-10T10:47:00"/>
    <x v="0"/>
    <s v="Email"/>
    <x v="1"/>
    <s v="A023"/>
    <x v="2"/>
    <n v="24"/>
    <n v="7.6"/>
    <x v="0"/>
    <s v="Yes"/>
    <s v="No"/>
    <n v="3"/>
    <s v="Closed"/>
    <s v="February"/>
    <x v="1"/>
    <n v="2026"/>
    <s v="Yes"/>
    <n v="1"/>
    <x v="4"/>
    <n v="0"/>
  </r>
  <r>
    <s v="T000797"/>
    <x v="787"/>
    <d v="2026-02-10T11:26:00"/>
    <x v="0"/>
    <s v="Chat"/>
    <x v="1"/>
    <s v="A016"/>
    <x v="2"/>
    <n v="24"/>
    <n v="4.0999999999999996"/>
    <x v="1"/>
    <s v="No"/>
    <s v="No"/>
    <n v="4"/>
    <s v="Closed"/>
    <s v="February"/>
    <x v="1"/>
    <n v="2026"/>
    <s v="Yes"/>
    <n v="1"/>
    <x v="4"/>
    <n v="1"/>
  </r>
  <r>
    <s v="T000798"/>
    <x v="788"/>
    <d v="2026-02-10T19:55:00"/>
    <x v="3"/>
    <s v="Phone"/>
    <x v="0"/>
    <s v="A027"/>
    <x v="2"/>
    <n v="72"/>
    <n v="10.3"/>
    <x v="1"/>
    <s v="No"/>
    <s v="No"/>
    <n v="5"/>
    <s v="Closed"/>
    <s v="February"/>
    <x v="1"/>
    <n v="2026"/>
    <s v="Yes"/>
    <n v="1"/>
    <x v="1"/>
    <n v="1"/>
  </r>
  <r>
    <s v="T000799"/>
    <x v="789"/>
    <d v="2026-02-11T13:41:00"/>
    <x v="3"/>
    <s v="Field Visit"/>
    <x v="1"/>
    <s v="A043"/>
    <x v="1"/>
    <n v="24"/>
    <n v="28"/>
    <x v="1"/>
    <s v="No"/>
    <s v="No"/>
    <n v="3"/>
    <s v="Closed"/>
    <s v="February"/>
    <x v="1"/>
    <n v="2026"/>
    <s v="No"/>
    <n v="0"/>
    <x v="2"/>
    <n v="1"/>
  </r>
  <r>
    <s v="T000800"/>
    <x v="790"/>
    <d v="2026-02-10T23:59:00"/>
    <x v="6"/>
    <s v="Chat"/>
    <x v="1"/>
    <s v="A013"/>
    <x v="0"/>
    <n v="24"/>
    <n v="14.2"/>
    <x v="1"/>
    <s v="No"/>
    <s v="Yes"/>
    <n v="4"/>
    <s v="Closed"/>
    <s v="February"/>
    <x v="1"/>
    <n v="2026"/>
    <s v="Yes"/>
    <n v="1"/>
    <x v="4"/>
    <n v="1"/>
  </r>
  <r>
    <s v="T000801"/>
    <x v="791"/>
    <d v="2026-02-10T15:35:00"/>
    <x v="1"/>
    <s v="Chat"/>
    <x v="0"/>
    <s v="A035"/>
    <x v="2"/>
    <n v="72"/>
    <n v="3.6"/>
    <x v="1"/>
    <s v="No"/>
    <s v="No"/>
    <n v="5"/>
    <s v="Closed"/>
    <s v="February"/>
    <x v="1"/>
    <n v="2026"/>
    <s v="Yes"/>
    <n v="1"/>
    <x v="1"/>
    <n v="1"/>
  </r>
  <r>
    <s v="T000802"/>
    <x v="792"/>
    <d v="2026-02-11T07:19:00"/>
    <x v="2"/>
    <s v="Email"/>
    <x v="0"/>
    <s v="A057"/>
    <x v="1"/>
    <n v="72"/>
    <n v="19.100000000000001"/>
    <x v="1"/>
    <s v="No"/>
    <s v="No"/>
    <n v="4"/>
    <s v="Closed"/>
    <s v="February"/>
    <x v="1"/>
    <n v="2026"/>
    <s v="Yes"/>
    <n v="1"/>
    <x v="2"/>
    <n v="1"/>
  </r>
  <r>
    <s v="T000803"/>
    <x v="793"/>
    <d v="2026-02-14T19:23:00"/>
    <x v="4"/>
    <s v="Email"/>
    <x v="0"/>
    <s v="A055"/>
    <x v="1"/>
    <n v="72"/>
    <n v="100.7"/>
    <x v="0"/>
    <s v="No"/>
    <s v="No"/>
    <n v="4"/>
    <s v="Closed"/>
    <s v="February"/>
    <x v="1"/>
    <n v="2026"/>
    <s v="No"/>
    <n v="0"/>
    <x v="1"/>
    <n v="0"/>
  </r>
  <r>
    <s v="T000804"/>
    <x v="794"/>
    <d v="2026-02-13T01:42:00"/>
    <x v="4"/>
    <s v="Field Visit"/>
    <x v="1"/>
    <s v="A022"/>
    <x v="2"/>
    <n v="24"/>
    <n v="58.4"/>
    <x v="0"/>
    <s v="Yes"/>
    <s v="No"/>
    <n v="2"/>
    <s v="Closed"/>
    <s v="February"/>
    <x v="1"/>
    <n v="2026"/>
    <s v="No"/>
    <n v="0"/>
    <x v="0"/>
    <n v="0"/>
  </r>
  <r>
    <s v="T000805"/>
    <x v="795"/>
    <d v="2026-02-11T01:00:00"/>
    <x v="5"/>
    <s v="Phone"/>
    <x v="0"/>
    <s v="A040"/>
    <x v="1"/>
    <n v="72"/>
    <n v="9.4"/>
    <x v="1"/>
    <s v="No"/>
    <s v="Yes"/>
    <n v="4"/>
    <s v="Closed"/>
    <s v="February"/>
    <x v="1"/>
    <n v="2026"/>
    <s v="Yes"/>
    <n v="1"/>
    <x v="0"/>
    <n v="1"/>
  </r>
  <r>
    <s v="T000806"/>
    <x v="796"/>
    <d v="2026-02-12T18:07:00"/>
    <x v="4"/>
    <s v="Field Visit"/>
    <x v="1"/>
    <s v="A031"/>
    <x v="2"/>
    <n v="24"/>
    <n v="50.1"/>
    <x v="1"/>
    <s v="No"/>
    <s v="No"/>
    <n v="4"/>
    <s v="Closed"/>
    <s v="February"/>
    <x v="1"/>
    <n v="2026"/>
    <s v="No"/>
    <n v="0"/>
    <x v="3"/>
    <n v="1"/>
  </r>
  <r>
    <s v="T000807"/>
    <x v="797"/>
    <d v="2026-02-10T23:35:00"/>
    <x v="6"/>
    <s v="Phone"/>
    <x v="1"/>
    <s v="A055"/>
    <x v="1"/>
    <n v="24"/>
    <n v="6.7"/>
    <x v="0"/>
    <s v="No"/>
    <s v="No"/>
    <n v="5"/>
    <s v="Closed"/>
    <s v="February"/>
    <x v="1"/>
    <n v="2026"/>
    <s v="Yes"/>
    <n v="1"/>
    <x v="4"/>
    <n v="0"/>
  </r>
  <r>
    <s v="T000808"/>
    <x v="798"/>
    <d v="2026-02-11T04:47:00"/>
    <x v="5"/>
    <s v="Field Visit"/>
    <x v="1"/>
    <s v="A051"/>
    <x v="1"/>
    <n v="24"/>
    <n v="11.5"/>
    <x v="1"/>
    <s v="No"/>
    <s v="No"/>
    <m/>
    <s v="Closed"/>
    <s v="February"/>
    <x v="1"/>
    <n v="2026"/>
    <s v="Yes"/>
    <n v="1"/>
    <x v="3"/>
    <n v="1"/>
  </r>
  <r>
    <s v="T000809"/>
    <x v="799"/>
    <d v="2026-02-10T22:52:00"/>
    <x v="0"/>
    <s v="Chat"/>
    <x v="0"/>
    <s v="A011"/>
    <x v="0"/>
    <n v="72"/>
    <n v="5.3"/>
    <x v="1"/>
    <s v="No"/>
    <s v="No"/>
    <m/>
    <s v="Closed"/>
    <s v="February"/>
    <x v="1"/>
    <n v="2026"/>
    <s v="Yes"/>
    <n v="1"/>
    <x v="3"/>
    <n v="1"/>
  </r>
  <r>
    <s v="T000810"/>
    <x v="800"/>
    <d v="2026-02-10T23:06:00"/>
    <x v="2"/>
    <s v="Chat"/>
    <x v="2"/>
    <s v="A040"/>
    <x v="1"/>
    <n v="4"/>
    <n v="5.2"/>
    <x v="1"/>
    <s v="No"/>
    <s v="No"/>
    <n v="5"/>
    <s v="Closed"/>
    <s v="February"/>
    <x v="1"/>
    <n v="2026"/>
    <s v="No"/>
    <n v="0"/>
    <x v="3"/>
    <n v="1"/>
  </r>
  <r>
    <s v="T000811"/>
    <x v="801"/>
    <d v="2026-02-10T21:22:00"/>
    <x v="6"/>
    <s v="Chat"/>
    <x v="2"/>
    <s v="A040"/>
    <x v="1"/>
    <n v="4"/>
    <n v="2.6"/>
    <x v="1"/>
    <s v="No"/>
    <s v="No"/>
    <m/>
    <s v="Closed"/>
    <s v="February"/>
    <x v="1"/>
    <n v="2026"/>
    <s v="Yes"/>
    <n v="1"/>
    <x v="3"/>
    <n v="1"/>
  </r>
  <r>
    <s v="T000812"/>
    <x v="802"/>
    <d v="2026-02-11T07:49:00"/>
    <x v="1"/>
    <s v="Phone"/>
    <x v="0"/>
    <s v="A030"/>
    <x v="2"/>
    <n v="72"/>
    <n v="6.7"/>
    <x v="1"/>
    <s v="No"/>
    <s v="No"/>
    <n v="4"/>
    <s v="Closed"/>
    <s v="February"/>
    <x v="1"/>
    <n v="2026"/>
    <s v="Yes"/>
    <n v="1"/>
    <x v="3"/>
    <n v="1"/>
  </r>
  <r>
    <s v="T000813"/>
    <x v="803"/>
    <d v="2026-02-15T18:05:00"/>
    <x v="3"/>
    <s v="Field Visit"/>
    <x v="0"/>
    <s v="A009"/>
    <x v="0"/>
    <n v="72"/>
    <n v="108.8"/>
    <x v="1"/>
    <s v="No"/>
    <s v="No"/>
    <n v="4"/>
    <s v="Closed"/>
    <s v="February"/>
    <x v="1"/>
    <n v="2026"/>
    <s v="No"/>
    <n v="0"/>
    <x v="0"/>
    <n v="1"/>
  </r>
  <r>
    <s v="T000814"/>
    <x v="804"/>
    <d v="2026-02-13T01:05:00"/>
    <x v="6"/>
    <s v="Field Visit"/>
    <x v="1"/>
    <s v="A016"/>
    <x v="2"/>
    <n v="24"/>
    <n v="43.2"/>
    <x v="1"/>
    <s v="No"/>
    <s v="No"/>
    <n v="4"/>
    <s v="Closed"/>
    <s v="February"/>
    <x v="1"/>
    <n v="2026"/>
    <s v="No"/>
    <n v="0"/>
    <x v="4"/>
    <n v="1"/>
  </r>
  <r>
    <s v="T000815"/>
    <x v="805"/>
    <d v="2026-02-13T21:41:00"/>
    <x v="5"/>
    <s v="Field Visit"/>
    <x v="0"/>
    <s v="A007"/>
    <x v="0"/>
    <n v="72"/>
    <n v="62"/>
    <x v="0"/>
    <s v="Yes"/>
    <s v="No"/>
    <n v="5"/>
    <s v="Closed"/>
    <s v="February"/>
    <x v="1"/>
    <n v="2026"/>
    <s v="Yes"/>
    <n v="1"/>
    <x v="1"/>
    <n v="0"/>
  </r>
  <r>
    <s v="T000816"/>
    <x v="806"/>
    <d v="2026-02-12T02:56:00"/>
    <x v="3"/>
    <s v="Chat"/>
    <x v="2"/>
    <s v="A008"/>
    <x v="0"/>
    <n v="4"/>
    <n v="18.600000000000001"/>
    <x v="1"/>
    <s v="No"/>
    <s v="Yes"/>
    <n v="4"/>
    <s v="Closed"/>
    <s v="February"/>
    <x v="1"/>
    <n v="2026"/>
    <s v="No"/>
    <n v="0"/>
    <x v="1"/>
    <n v="1"/>
  </r>
  <r>
    <s v="T000817"/>
    <x v="807"/>
    <d v="2026-02-11T09:49:00"/>
    <x v="1"/>
    <s v="Chat"/>
    <x v="0"/>
    <s v="A055"/>
    <x v="1"/>
    <n v="72"/>
    <n v="1.3"/>
    <x v="0"/>
    <s v="No"/>
    <s v="No"/>
    <n v="5"/>
    <s v="Closed"/>
    <s v="February"/>
    <x v="1"/>
    <n v="2026"/>
    <s v="Yes"/>
    <n v="1"/>
    <x v="4"/>
    <n v="0"/>
  </r>
  <r>
    <s v="T000818"/>
    <x v="808"/>
    <d v="2026-02-12T02:29:00"/>
    <x v="5"/>
    <s v="Phone"/>
    <x v="1"/>
    <s v="A053"/>
    <x v="1"/>
    <n v="24"/>
    <n v="17.600000000000001"/>
    <x v="1"/>
    <s v="No"/>
    <s v="No"/>
    <n v="5"/>
    <s v="Closed"/>
    <s v="February"/>
    <x v="1"/>
    <n v="2026"/>
    <s v="Yes"/>
    <n v="1"/>
    <x v="2"/>
    <n v="1"/>
  </r>
  <r>
    <s v="T000819"/>
    <x v="809"/>
    <d v="2026-02-11T15:36:00"/>
    <x v="6"/>
    <s v="Phone"/>
    <x v="2"/>
    <s v="A027"/>
    <x v="2"/>
    <n v="4"/>
    <n v="6.4"/>
    <x v="0"/>
    <s v="No"/>
    <s v="Yes"/>
    <m/>
    <s v="Closed"/>
    <s v="February"/>
    <x v="1"/>
    <n v="2026"/>
    <s v="No"/>
    <n v="0"/>
    <x v="0"/>
    <n v="0"/>
  </r>
  <r>
    <s v="T000820"/>
    <x v="810"/>
    <d v="2026-02-11T14:19:00"/>
    <x v="6"/>
    <s v="Phone"/>
    <x v="2"/>
    <s v="A039"/>
    <x v="1"/>
    <n v="4"/>
    <n v="4.9000000000000004"/>
    <x v="0"/>
    <s v="No"/>
    <s v="No"/>
    <n v="2"/>
    <s v="Closed"/>
    <s v="February"/>
    <x v="1"/>
    <n v="2026"/>
    <s v="No"/>
    <n v="0"/>
    <x v="0"/>
    <n v="0"/>
  </r>
  <r>
    <s v="T000821"/>
    <x v="811"/>
    <d v="2026-02-12T09:41:00"/>
    <x v="0"/>
    <s v="Field Visit"/>
    <x v="2"/>
    <s v="A006"/>
    <x v="0"/>
    <n v="4"/>
    <n v="24"/>
    <x v="1"/>
    <s v="No"/>
    <s v="Yes"/>
    <m/>
    <s v="Closed"/>
    <s v="February"/>
    <x v="1"/>
    <n v="2026"/>
    <s v="No"/>
    <n v="0"/>
    <x v="3"/>
    <n v="1"/>
  </r>
  <r>
    <s v="T000822"/>
    <x v="812"/>
    <d v="2026-02-13T14:49:00"/>
    <x v="2"/>
    <s v="Phone"/>
    <x v="2"/>
    <s v="A058"/>
    <x v="1"/>
    <n v="4"/>
    <n v="50.8"/>
    <x v="1"/>
    <s v="No"/>
    <s v="No"/>
    <n v="5"/>
    <s v="Closed"/>
    <s v="February"/>
    <x v="1"/>
    <n v="2026"/>
    <s v="No"/>
    <n v="0"/>
    <x v="3"/>
    <n v="1"/>
  </r>
  <r>
    <s v="T000823"/>
    <x v="813"/>
    <d v="2026-02-12T08:19:00"/>
    <x v="3"/>
    <s v="Chat"/>
    <x v="0"/>
    <s v="A025"/>
    <x v="2"/>
    <n v="72"/>
    <n v="20.100000000000001"/>
    <x v="1"/>
    <s v="No"/>
    <s v="No"/>
    <n v="5"/>
    <s v="Closed"/>
    <s v="February"/>
    <x v="1"/>
    <n v="2026"/>
    <s v="Yes"/>
    <n v="1"/>
    <x v="1"/>
    <n v="1"/>
  </r>
  <r>
    <s v="T000824"/>
    <x v="814"/>
    <d v="2026-02-11T22:00:00"/>
    <x v="2"/>
    <s v="Phone"/>
    <x v="2"/>
    <s v="A034"/>
    <x v="2"/>
    <n v="4"/>
    <n v="9.6"/>
    <x v="1"/>
    <s v="No"/>
    <s v="No"/>
    <m/>
    <s v="Closed"/>
    <s v="February"/>
    <x v="1"/>
    <n v="2026"/>
    <s v="No"/>
    <n v="0"/>
    <x v="3"/>
    <n v="1"/>
  </r>
  <r>
    <s v="T000825"/>
    <x v="815"/>
    <d v="2026-02-14T15:55:00"/>
    <x v="0"/>
    <s v="Field Visit"/>
    <x v="1"/>
    <s v="A017"/>
    <x v="2"/>
    <n v="24"/>
    <n v="75.3"/>
    <x v="0"/>
    <s v="No"/>
    <s v="No"/>
    <m/>
    <s v="Closed"/>
    <s v="February"/>
    <x v="1"/>
    <n v="2026"/>
    <s v="No"/>
    <n v="0"/>
    <x v="2"/>
    <n v="0"/>
  </r>
  <r>
    <s v="T000826"/>
    <x v="816"/>
    <d v="2026-02-11T13:57:00"/>
    <x v="1"/>
    <s v="Chat"/>
    <x v="0"/>
    <s v="A060"/>
    <x v="1"/>
    <n v="72"/>
    <n v="0.9"/>
    <x v="0"/>
    <s v="No"/>
    <s v="No"/>
    <n v="4"/>
    <s v="Closed"/>
    <s v="February"/>
    <x v="1"/>
    <n v="2026"/>
    <s v="Yes"/>
    <n v="1"/>
    <x v="1"/>
    <n v="0"/>
  </r>
  <r>
    <s v="T000827"/>
    <x v="817"/>
    <d v="2026-02-12T05:24:00"/>
    <x v="1"/>
    <s v="Phone"/>
    <x v="0"/>
    <s v="A035"/>
    <x v="2"/>
    <n v="72"/>
    <n v="16.100000000000001"/>
    <x v="1"/>
    <s v="No"/>
    <s v="Yes"/>
    <m/>
    <s v="Closed"/>
    <s v="February"/>
    <x v="1"/>
    <n v="2026"/>
    <s v="Yes"/>
    <n v="1"/>
    <x v="4"/>
    <n v="1"/>
  </r>
  <r>
    <s v="T000828"/>
    <x v="818"/>
    <d v="2026-02-11T16:57:00"/>
    <x v="6"/>
    <s v="Phone"/>
    <x v="1"/>
    <s v="A025"/>
    <x v="2"/>
    <n v="24"/>
    <n v="2.6"/>
    <x v="1"/>
    <s v="No"/>
    <s v="No"/>
    <m/>
    <s v="Closed"/>
    <s v="February"/>
    <x v="1"/>
    <n v="2026"/>
    <s v="Yes"/>
    <n v="1"/>
    <x v="1"/>
    <n v="1"/>
  </r>
  <r>
    <s v="T000829"/>
    <x v="819"/>
    <d v="2026-02-12T00:42:00"/>
    <x v="1"/>
    <s v="Email"/>
    <x v="1"/>
    <s v="A044"/>
    <x v="1"/>
    <n v="24"/>
    <n v="9.8000000000000007"/>
    <x v="0"/>
    <s v="Yes"/>
    <s v="No"/>
    <n v="4"/>
    <s v="Closed"/>
    <s v="February"/>
    <x v="1"/>
    <n v="2026"/>
    <s v="Yes"/>
    <n v="1"/>
    <x v="3"/>
    <n v="0"/>
  </r>
  <r>
    <s v="T000830"/>
    <x v="820"/>
    <d v="2026-02-11T19:37:00"/>
    <x v="1"/>
    <s v="Phone"/>
    <x v="0"/>
    <s v="A017"/>
    <x v="2"/>
    <n v="72"/>
    <n v="4.7"/>
    <x v="0"/>
    <s v="Yes"/>
    <s v="No"/>
    <m/>
    <s v="Closed"/>
    <s v="February"/>
    <x v="1"/>
    <n v="2026"/>
    <s v="Yes"/>
    <n v="1"/>
    <x v="3"/>
    <n v="0"/>
  </r>
  <r>
    <s v="T000831"/>
    <x v="821"/>
    <d v="2026-02-11T23:40:00"/>
    <x v="6"/>
    <s v="Phone"/>
    <x v="2"/>
    <s v="A030"/>
    <x v="2"/>
    <n v="4"/>
    <n v="8.3000000000000007"/>
    <x v="1"/>
    <s v="No"/>
    <s v="Yes"/>
    <n v="4"/>
    <s v="Closed"/>
    <s v="February"/>
    <x v="1"/>
    <n v="2026"/>
    <s v="No"/>
    <n v="0"/>
    <x v="0"/>
    <n v="1"/>
  </r>
  <r>
    <s v="T000832"/>
    <x v="822"/>
    <d v="2026-02-12T04:59:00"/>
    <x v="2"/>
    <s v="Field Visit"/>
    <x v="0"/>
    <s v="A033"/>
    <x v="2"/>
    <n v="72"/>
    <n v="13.6"/>
    <x v="0"/>
    <s v="No"/>
    <s v="No"/>
    <n v="4"/>
    <s v="Closed"/>
    <s v="February"/>
    <x v="1"/>
    <n v="2026"/>
    <s v="Yes"/>
    <n v="1"/>
    <x v="1"/>
    <n v="0"/>
  </r>
  <r>
    <s v="T000833"/>
    <x v="823"/>
    <d v="2026-02-11T19:13:00"/>
    <x v="1"/>
    <s v="Phone"/>
    <x v="1"/>
    <s v="A010"/>
    <x v="0"/>
    <n v="24"/>
    <n v="2"/>
    <x v="1"/>
    <s v="No"/>
    <s v="No"/>
    <n v="5"/>
    <s v="Closed"/>
    <s v="February"/>
    <x v="1"/>
    <n v="2026"/>
    <s v="Yes"/>
    <n v="1"/>
    <x v="3"/>
    <n v="1"/>
  </r>
  <r>
    <s v="T000834"/>
    <x v="824"/>
    <d v="2026-02-11T21:36:00"/>
    <x v="1"/>
    <s v="Phone"/>
    <x v="0"/>
    <s v="A042"/>
    <x v="1"/>
    <n v="72"/>
    <n v="4.3"/>
    <x v="1"/>
    <s v="No"/>
    <s v="No"/>
    <m/>
    <s v="Closed"/>
    <s v="February"/>
    <x v="1"/>
    <n v="2026"/>
    <s v="Yes"/>
    <n v="1"/>
    <x v="2"/>
    <n v="1"/>
  </r>
  <r>
    <s v="T000835"/>
    <x v="825"/>
    <d v="2026-02-12T05:53:00"/>
    <x v="1"/>
    <s v="Email"/>
    <x v="0"/>
    <s v="A027"/>
    <x v="2"/>
    <n v="72"/>
    <n v="9.1"/>
    <x v="0"/>
    <s v="No"/>
    <s v="No"/>
    <n v="5"/>
    <s v="Closed"/>
    <s v="February"/>
    <x v="1"/>
    <n v="2026"/>
    <s v="Yes"/>
    <n v="1"/>
    <x v="2"/>
    <n v="0"/>
  </r>
  <r>
    <s v="T000836"/>
    <x v="826"/>
    <d v="2026-02-12T06:27:00"/>
    <x v="0"/>
    <s v="Chat"/>
    <x v="0"/>
    <s v="A010"/>
    <x v="0"/>
    <n v="72"/>
    <n v="9.5"/>
    <x v="1"/>
    <s v="No"/>
    <s v="No"/>
    <n v="5"/>
    <s v="Closed"/>
    <s v="February"/>
    <x v="1"/>
    <n v="2026"/>
    <s v="Yes"/>
    <n v="1"/>
    <x v="4"/>
    <n v="1"/>
  </r>
  <r>
    <s v="T000837"/>
    <x v="827"/>
    <d v="2026-02-12T01:42:00"/>
    <x v="2"/>
    <s v="Chat"/>
    <x v="0"/>
    <s v="A057"/>
    <x v="1"/>
    <n v="72"/>
    <n v="2.9"/>
    <x v="1"/>
    <s v="No"/>
    <s v="No"/>
    <m/>
    <s v="Closed"/>
    <s v="February"/>
    <x v="1"/>
    <n v="2026"/>
    <s v="Yes"/>
    <n v="1"/>
    <x v="3"/>
    <n v="1"/>
  </r>
  <r>
    <s v="T000838"/>
    <x v="828"/>
    <d v="2026-02-12T18:59:00"/>
    <x v="4"/>
    <s v="Chat"/>
    <x v="0"/>
    <s v="A006"/>
    <x v="0"/>
    <n v="72"/>
    <n v="12.6"/>
    <x v="1"/>
    <s v="No"/>
    <s v="No"/>
    <n v="5"/>
    <s v="Closed"/>
    <s v="February"/>
    <x v="1"/>
    <n v="2026"/>
    <s v="Yes"/>
    <n v="1"/>
    <x v="1"/>
    <n v="1"/>
  </r>
  <r>
    <s v="T000839"/>
    <x v="829"/>
    <d v="2026-02-12T10:56:00"/>
    <x v="1"/>
    <s v="Chat"/>
    <x v="1"/>
    <s v="A030"/>
    <x v="2"/>
    <n v="24"/>
    <n v="3.6"/>
    <x v="1"/>
    <s v="No"/>
    <s v="No"/>
    <m/>
    <s v="Closed"/>
    <s v="February"/>
    <x v="1"/>
    <n v="2026"/>
    <s v="Yes"/>
    <n v="1"/>
    <x v="2"/>
    <n v="1"/>
  </r>
  <r>
    <s v="T000840"/>
    <x v="830"/>
    <d v="2026-02-13T07:49:00"/>
    <x v="6"/>
    <s v="Field Visit"/>
    <x v="2"/>
    <s v="A042"/>
    <x v="1"/>
    <n v="4"/>
    <n v="24.3"/>
    <x v="1"/>
    <s v="No"/>
    <s v="No"/>
    <n v="3"/>
    <s v="Closed"/>
    <s v="February"/>
    <x v="1"/>
    <n v="2026"/>
    <s v="No"/>
    <n v="0"/>
    <x v="3"/>
    <n v="1"/>
  </r>
  <r>
    <s v="T000841"/>
    <x v="831"/>
    <d v="2026-02-12T12:54:00"/>
    <x v="6"/>
    <s v="Field Visit"/>
    <x v="2"/>
    <s v="A010"/>
    <x v="0"/>
    <n v="4"/>
    <n v="5.0999999999999996"/>
    <x v="1"/>
    <s v="No"/>
    <s v="No"/>
    <m/>
    <s v="Closed"/>
    <s v="February"/>
    <x v="1"/>
    <n v="2026"/>
    <s v="No"/>
    <n v="0"/>
    <x v="3"/>
    <n v="1"/>
  </r>
  <r>
    <s v="T000842"/>
    <x v="832"/>
    <d v="2026-02-12T15:30:00"/>
    <x v="6"/>
    <s v="Phone"/>
    <x v="1"/>
    <s v="A024"/>
    <x v="2"/>
    <n v="24"/>
    <n v="6.5"/>
    <x v="1"/>
    <s v="No"/>
    <s v="No"/>
    <n v="5"/>
    <s v="Closed"/>
    <s v="February"/>
    <x v="1"/>
    <n v="2026"/>
    <s v="Yes"/>
    <n v="1"/>
    <x v="0"/>
    <n v="1"/>
  </r>
  <r>
    <s v="T000843"/>
    <x v="833"/>
    <d v="2026-02-12T19:52:00"/>
    <x v="0"/>
    <s v="Phone"/>
    <x v="1"/>
    <s v="A019"/>
    <x v="2"/>
    <n v="24"/>
    <n v="10.4"/>
    <x v="1"/>
    <s v="No"/>
    <s v="No"/>
    <n v="5"/>
    <s v="Closed"/>
    <s v="February"/>
    <x v="1"/>
    <n v="2026"/>
    <s v="Yes"/>
    <n v="1"/>
    <x v="1"/>
    <n v="1"/>
  </r>
  <r>
    <s v="T000844"/>
    <x v="834"/>
    <d v="2026-02-12T11:11:00"/>
    <x v="6"/>
    <s v="Chat"/>
    <x v="1"/>
    <s v="A020"/>
    <x v="2"/>
    <n v="24"/>
    <n v="1.5"/>
    <x v="1"/>
    <s v="No"/>
    <s v="No"/>
    <m/>
    <s v="Closed"/>
    <s v="February"/>
    <x v="1"/>
    <n v="2026"/>
    <s v="Yes"/>
    <n v="1"/>
    <x v="4"/>
    <n v="1"/>
  </r>
  <r>
    <s v="T000845"/>
    <x v="835"/>
    <d v="2026-02-13T18:38:00"/>
    <x v="3"/>
    <s v="Field Visit"/>
    <x v="1"/>
    <s v="A047"/>
    <x v="1"/>
    <n v="24"/>
    <n v="32.700000000000003"/>
    <x v="0"/>
    <s v="Yes"/>
    <s v="No"/>
    <n v="2"/>
    <s v="Closed"/>
    <s v="February"/>
    <x v="1"/>
    <n v="2026"/>
    <s v="No"/>
    <n v="0"/>
    <x v="4"/>
    <n v="0"/>
  </r>
  <r>
    <s v="T000846"/>
    <x v="836"/>
    <d v="2026-02-12T23:36:00"/>
    <x v="0"/>
    <s v="Phone"/>
    <x v="1"/>
    <s v="A034"/>
    <x v="2"/>
    <n v="24"/>
    <n v="13.5"/>
    <x v="1"/>
    <s v="No"/>
    <s v="No"/>
    <n v="5"/>
    <s v="Closed"/>
    <s v="February"/>
    <x v="1"/>
    <n v="2026"/>
    <s v="Yes"/>
    <n v="1"/>
    <x v="4"/>
    <n v="1"/>
  </r>
  <r>
    <s v="T000847"/>
    <x v="837"/>
    <d v="2026-02-12T16:33:00"/>
    <x v="5"/>
    <s v="Phone"/>
    <x v="0"/>
    <s v="A054"/>
    <x v="1"/>
    <n v="72"/>
    <n v="3.8"/>
    <x v="1"/>
    <s v="No"/>
    <s v="No"/>
    <n v="5"/>
    <s v="Closed"/>
    <s v="February"/>
    <x v="1"/>
    <n v="2026"/>
    <s v="Yes"/>
    <n v="1"/>
    <x v="3"/>
    <n v="1"/>
  </r>
  <r>
    <s v="T000848"/>
    <x v="838"/>
    <d v="2026-02-13T00:27:00"/>
    <x v="1"/>
    <s v="Phone"/>
    <x v="1"/>
    <s v="A029"/>
    <x v="2"/>
    <n v="24"/>
    <n v="11.2"/>
    <x v="1"/>
    <s v="No"/>
    <s v="No"/>
    <n v="4"/>
    <s v="Closed"/>
    <s v="February"/>
    <x v="1"/>
    <n v="2026"/>
    <s v="Yes"/>
    <n v="1"/>
    <x v="2"/>
    <n v="1"/>
  </r>
  <r>
    <s v="T000849"/>
    <x v="839"/>
    <d v="2026-02-13T05:22:00"/>
    <x v="0"/>
    <s v="Email"/>
    <x v="1"/>
    <s v="A037"/>
    <x v="1"/>
    <n v="24"/>
    <n v="15.7"/>
    <x v="1"/>
    <s v="No"/>
    <s v="No"/>
    <n v="4"/>
    <s v="Closed"/>
    <s v="February"/>
    <x v="1"/>
    <n v="2026"/>
    <s v="Yes"/>
    <n v="1"/>
    <x v="0"/>
    <n v="1"/>
  </r>
  <r>
    <s v="T000850"/>
    <x v="840"/>
    <d v="2026-02-13T16:42:00"/>
    <x v="6"/>
    <s v="Phone"/>
    <x v="2"/>
    <s v="A003"/>
    <x v="0"/>
    <n v="4"/>
    <n v="27"/>
    <x v="1"/>
    <s v="No"/>
    <s v="No"/>
    <n v="5"/>
    <s v="Closed"/>
    <s v="February"/>
    <x v="1"/>
    <n v="2026"/>
    <s v="No"/>
    <n v="0"/>
    <x v="4"/>
    <n v="1"/>
  </r>
  <r>
    <s v="T000851"/>
    <x v="841"/>
    <d v="2026-02-12T15:02:00"/>
    <x v="1"/>
    <s v="Chat"/>
    <x v="0"/>
    <s v="A029"/>
    <x v="2"/>
    <n v="72"/>
    <n v="1.3"/>
    <x v="1"/>
    <s v="No"/>
    <s v="No"/>
    <n v="4"/>
    <s v="Closed"/>
    <s v="February"/>
    <x v="1"/>
    <n v="2026"/>
    <s v="Yes"/>
    <n v="1"/>
    <x v="1"/>
    <n v="1"/>
  </r>
  <r>
    <s v="T000852"/>
    <x v="842"/>
    <d v="2026-02-13T17:00:00"/>
    <x v="3"/>
    <s v="Chat"/>
    <x v="0"/>
    <s v="A019"/>
    <x v="2"/>
    <n v="72"/>
    <n v="24.2"/>
    <x v="1"/>
    <s v="No"/>
    <s v="No"/>
    <n v="5"/>
    <s v="Closed"/>
    <s v="February"/>
    <x v="1"/>
    <n v="2026"/>
    <s v="Yes"/>
    <n v="1"/>
    <x v="3"/>
    <n v="1"/>
  </r>
  <r>
    <s v="T000853"/>
    <x v="843"/>
    <d v="2026-02-13T19:15:00"/>
    <x v="3"/>
    <s v="Phone"/>
    <x v="0"/>
    <s v="A050"/>
    <x v="1"/>
    <n v="72"/>
    <n v="24.6"/>
    <x v="1"/>
    <s v="No"/>
    <s v="No"/>
    <n v="5"/>
    <s v="Closed"/>
    <s v="February"/>
    <x v="1"/>
    <n v="2026"/>
    <s v="Yes"/>
    <n v="1"/>
    <x v="0"/>
    <n v="1"/>
  </r>
  <r>
    <s v="T000854"/>
    <x v="844"/>
    <d v="2026-02-13T01:05:00"/>
    <x v="3"/>
    <s v="Phone"/>
    <x v="0"/>
    <s v="A053"/>
    <x v="1"/>
    <n v="72"/>
    <n v="5.2"/>
    <x v="1"/>
    <s v="No"/>
    <s v="No"/>
    <m/>
    <s v="Closed"/>
    <s v="February"/>
    <x v="1"/>
    <n v="2026"/>
    <s v="Yes"/>
    <n v="1"/>
    <x v="3"/>
    <n v="1"/>
  </r>
  <r>
    <s v="T000855"/>
    <x v="845"/>
    <d v="2026-02-17T10:05:00"/>
    <x v="4"/>
    <s v="Field Visit"/>
    <x v="1"/>
    <s v="A011"/>
    <x v="0"/>
    <n v="24"/>
    <n v="109.9"/>
    <x v="0"/>
    <s v="Yes"/>
    <s v="No"/>
    <m/>
    <s v="Closed"/>
    <s v="February"/>
    <x v="1"/>
    <n v="2026"/>
    <s v="No"/>
    <n v="0"/>
    <x v="4"/>
    <n v="0"/>
  </r>
  <r>
    <s v="T000856"/>
    <x v="846"/>
    <d v="2026-02-13T10:05:00"/>
    <x v="3"/>
    <s v="Phone"/>
    <x v="1"/>
    <s v="A020"/>
    <x v="2"/>
    <n v="24"/>
    <n v="7.4"/>
    <x v="1"/>
    <s v="No"/>
    <s v="No"/>
    <n v="5"/>
    <s v="Closed"/>
    <s v="February"/>
    <x v="1"/>
    <n v="2026"/>
    <s v="Yes"/>
    <n v="1"/>
    <x v="2"/>
    <n v="1"/>
  </r>
  <r>
    <s v="T000857"/>
    <x v="847"/>
    <d v="2026-02-13T12:48:00"/>
    <x v="0"/>
    <s v="Chat"/>
    <x v="2"/>
    <s v="A045"/>
    <x v="1"/>
    <n v="4"/>
    <n v="10.1"/>
    <x v="1"/>
    <s v="No"/>
    <s v="No"/>
    <n v="5"/>
    <s v="Closed"/>
    <s v="February"/>
    <x v="1"/>
    <n v="2026"/>
    <s v="No"/>
    <n v="0"/>
    <x v="3"/>
    <n v="1"/>
  </r>
  <r>
    <s v="T000858"/>
    <x v="848"/>
    <d v="2026-02-13T05:30:00"/>
    <x v="1"/>
    <s v="Phone"/>
    <x v="0"/>
    <s v="A028"/>
    <x v="2"/>
    <n v="72"/>
    <n v="0.9"/>
    <x v="1"/>
    <s v="No"/>
    <s v="No"/>
    <n v="5"/>
    <s v="Closed"/>
    <s v="February"/>
    <x v="1"/>
    <n v="2026"/>
    <s v="Yes"/>
    <n v="1"/>
    <x v="0"/>
    <n v="1"/>
  </r>
  <r>
    <s v="T000859"/>
    <x v="849"/>
    <d v="2026-02-14T01:07:00"/>
    <x v="1"/>
    <s v="Email"/>
    <x v="1"/>
    <s v="A004"/>
    <x v="0"/>
    <n v="24"/>
    <n v="16.5"/>
    <x v="1"/>
    <s v="No"/>
    <s v="No"/>
    <n v="4"/>
    <s v="Closed"/>
    <s v="February"/>
    <x v="1"/>
    <n v="2026"/>
    <s v="Yes"/>
    <n v="1"/>
    <x v="3"/>
    <n v="1"/>
  </r>
  <r>
    <s v="T000860"/>
    <x v="850"/>
    <d v="2026-02-13T12:49:00"/>
    <x v="6"/>
    <s v="Phone"/>
    <x v="2"/>
    <s v="A039"/>
    <x v="1"/>
    <n v="4"/>
    <n v="2.1"/>
    <x v="0"/>
    <s v="Yes"/>
    <s v="No"/>
    <n v="4"/>
    <s v="Closed"/>
    <s v="February"/>
    <x v="1"/>
    <n v="2026"/>
    <s v="Yes"/>
    <n v="1"/>
    <x v="4"/>
    <n v="0"/>
  </r>
  <r>
    <s v="T000861"/>
    <x v="851"/>
    <d v="2026-02-13T18:32:00"/>
    <x v="6"/>
    <s v="Chat"/>
    <x v="2"/>
    <s v="A017"/>
    <x v="2"/>
    <n v="4"/>
    <n v="6.6"/>
    <x v="1"/>
    <s v="No"/>
    <s v="No"/>
    <m/>
    <s v="Closed"/>
    <s v="February"/>
    <x v="1"/>
    <n v="2026"/>
    <s v="No"/>
    <n v="0"/>
    <x v="3"/>
    <n v="1"/>
  </r>
  <r>
    <s v="T000862"/>
    <x v="852"/>
    <d v="2026-02-15T02:47:00"/>
    <x v="0"/>
    <s v="Field Visit"/>
    <x v="1"/>
    <s v="A050"/>
    <x v="1"/>
    <n v="24"/>
    <n v="38.700000000000003"/>
    <x v="1"/>
    <s v="No"/>
    <s v="No"/>
    <m/>
    <s v="Closed"/>
    <s v="February"/>
    <x v="1"/>
    <n v="2026"/>
    <s v="No"/>
    <n v="0"/>
    <x v="1"/>
    <n v="1"/>
  </r>
  <r>
    <s v="T000863"/>
    <x v="853"/>
    <d v="2026-02-21T10:56:00"/>
    <x v="4"/>
    <s v="Field Visit"/>
    <x v="0"/>
    <s v="A023"/>
    <x v="2"/>
    <n v="72"/>
    <n v="190.7"/>
    <x v="1"/>
    <s v="No"/>
    <s v="No"/>
    <m/>
    <s v="Closed"/>
    <s v="February"/>
    <x v="1"/>
    <n v="2026"/>
    <s v="No"/>
    <n v="0"/>
    <x v="1"/>
    <n v="1"/>
  </r>
  <r>
    <s v="T000864"/>
    <x v="854"/>
    <d v="2026-02-14T10:33:00"/>
    <x v="3"/>
    <s v="Email"/>
    <x v="2"/>
    <s v="A038"/>
    <x v="1"/>
    <n v="4"/>
    <n v="21.9"/>
    <x v="1"/>
    <s v="No"/>
    <s v="Yes"/>
    <n v="3"/>
    <s v="Closed"/>
    <s v="February"/>
    <x v="1"/>
    <n v="2026"/>
    <s v="No"/>
    <n v="0"/>
    <x v="1"/>
    <n v="1"/>
  </r>
  <r>
    <s v="T000865"/>
    <x v="855"/>
    <d v="2026-02-13T22:23:00"/>
    <x v="0"/>
    <s v="Chat"/>
    <x v="1"/>
    <s v="A009"/>
    <x v="0"/>
    <n v="24"/>
    <n v="9.5"/>
    <x v="1"/>
    <s v="No"/>
    <s v="No"/>
    <m/>
    <s v="Closed"/>
    <s v="February"/>
    <x v="1"/>
    <n v="2026"/>
    <s v="Yes"/>
    <n v="1"/>
    <x v="4"/>
    <n v="1"/>
  </r>
  <r>
    <s v="T000867"/>
    <x v="856"/>
    <d v="2026-02-13T18:52:00"/>
    <x v="2"/>
    <s v="Chat"/>
    <x v="1"/>
    <s v="A014"/>
    <x v="0"/>
    <n v="24"/>
    <n v="4.5"/>
    <x v="0"/>
    <s v="Yes"/>
    <s v="No"/>
    <m/>
    <s v="Closed"/>
    <s v="February"/>
    <x v="1"/>
    <n v="2026"/>
    <s v="Yes"/>
    <n v="1"/>
    <x v="0"/>
    <n v="0"/>
  </r>
  <r>
    <s v="T000866"/>
    <x v="856"/>
    <d v="2026-02-14T00:40:00"/>
    <x v="2"/>
    <s v="Chat"/>
    <x v="1"/>
    <s v="A008"/>
    <x v="0"/>
    <n v="24"/>
    <n v="10.3"/>
    <x v="1"/>
    <s v="No"/>
    <s v="No"/>
    <n v="5"/>
    <s v="Closed"/>
    <s v="February"/>
    <x v="1"/>
    <n v="2026"/>
    <s v="Yes"/>
    <n v="1"/>
    <x v="3"/>
    <n v="1"/>
  </r>
  <r>
    <s v="T000868"/>
    <x v="857"/>
    <d v="2026-02-14T08:30:00"/>
    <x v="6"/>
    <s v="Phone"/>
    <x v="2"/>
    <s v="A014"/>
    <x v="0"/>
    <n v="4"/>
    <n v="17.600000000000001"/>
    <x v="0"/>
    <s v="Yes"/>
    <s v="Yes"/>
    <n v="2"/>
    <s v="Closed"/>
    <s v="February"/>
    <x v="1"/>
    <n v="2026"/>
    <s v="No"/>
    <n v="0"/>
    <x v="2"/>
    <n v="0"/>
  </r>
  <r>
    <s v="T000869"/>
    <x v="858"/>
    <d v="2026-02-13T23:49:00"/>
    <x v="0"/>
    <s v="Phone"/>
    <x v="0"/>
    <s v="A032"/>
    <x v="2"/>
    <n v="72"/>
    <n v="8.3000000000000007"/>
    <x v="1"/>
    <s v="No"/>
    <s v="No"/>
    <n v="5"/>
    <s v="Closed"/>
    <s v="February"/>
    <x v="1"/>
    <n v="2026"/>
    <s v="Yes"/>
    <n v="1"/>
    <x v="2"/>
    <n v="1"/>
  </r>
  <r>
    <s v="T000870"/>
    <x v="859"/>
    <d v="2026-02-16T20:05:00"/>
    <x v="2"/>
    <s v="Field Visit"/>
    <x v="0"/>
    <s v="A002"/>
    <x v="0"/>
    <n v="72"/>
    <n v="75.599999999999994"/>
    <x v="0"/>
    <s v="Yes"/>
    <s v="No"/>
    <n v="1"/>
    <s v="Closed"/>
    <s v="February"/>
    <x v="1"/>
    <n v="2026"/>
    <s v="No"/>
    <n v="0"/>
    <x v="1"/>
    <n v="0"/>
  </r>
  <r>
    <s v="T000871"/>
    <x v="860"/>
    <d v="2026-02-14T02:14:00"/>
    <x v="3"/>
    <s v="Phone"/>
    <x v="0"/>
    <s v="A022"/>
    <x v="2"/>
    <n v="72"/>
    <n v="9.5"/>
    <x v="1"/>
    <s v="No"/>
    <s v="No"/>
    <n v="4"/>
    <s v="Closed"/>
    <s v="February"/>
    <x v="1"/>
    <n v="2026"/>
    <s v="Yes"/>
    <n v="1"/>
    <x v="4"/>
    <n v="1"/>
  </r>
  <r>
    <s v="T000872"/>
    <x v="861"/>
    <d v="2026-02-13T22:59:00"/>
    <x v="1"/>
    <s v="Chat"/>
    <x v="1"/>
    <s v="A009"/>
    <x v="0"/>
    <n v="24"/>
    <n v="6"/>
    <x v="0"/>
    <s v="No"/>
    <s v="No"/>
    <n v="3"/>
    <s v="Closed"/>
    <s v="February"/>
    <x v="1"/>
    <n v="2026"/>
    <s v="Yes"/>
    <n v="1"/>
    <x v="1"/>
    <n v="0"/>
  </r>
  <r>
    <s v="T000873"/>
    <x v="862"/>
    <d v="2026-02-13T22:03:00"/>
    <x v="1"/>
    <s v="Chat"/>
    <x v="2"/>
    <s v="A011"/>
    <x v="0"/>
    <n v="4"/>
    <n v="4.0999999999999996"/>
    <x v="0"/>
    <s v="No"/>
    <s v="No"/>
    <n v="3"/>
    <s v="Closed"/>
    <s v="February"/>
    <x v="1"/>
    <n v="2026"/>
    <s v="No"/>
    <n v="0"/>
    <x v="0"/>
    <n v="0"/>
  </r>
  <r>
    <s v="T000874"/>
    <x v="863"/>
    <d v="2026-02-13T23:10:00"/>
    <x v="1"/>
    <s v="Phone"/>
    <x v="0"/>
    <s v="A005"/>
    <x v="0"/>
    <n v="72"/>
    <n v="3.4"/>
    <x v="0"/>
    <s v="Yes"/>
    <s v="No"/>
    <m/>
    <s v="Closed"/>
    <s v="February"/>
    <x v="1"/>
    <n v="2026"/>
    <s v="Yes"/>
    <n v="1"/>
    <x v="4"/>
    <n v="0"/>
  </r>
  <r>
    <s v="T000875"/>
    <x v="864"/>
    <d v="2026-02-15T07:28:00"/>
    <x v="1"/>
    <s v="Email"/>
    <x v="1"/>
    <s v="A025"/>
    <x v="2"/>
    <n v="24"/>
    <n v="35.4"/>
    <x v="1"/>
    <s v="No"/>
    <s v="No"/>
    <n v="4"/>
    <s v="Closed"/>
    <s v="February"/>
    <x v="1"/>
    <n v="2026"/>
    <s v="No"/>
    <n v="0"/>
    <x v="3"/>
    <n v="1"/>
  </r>
  <r>
    <s v="T000876"/>
    <x v="865"/>
    <d v="2026-02-13T23:19:00"/>
    <x v="5"/>
    <s v="Phone"/>
    <x v="1"/>
    <s v="A035"/>
    <x v="2"/>
    <n v="24"/>
    <n v="2"/>
    <x v="1"/>
    <s v="No"/>
    <s v="No"/>
    <n v="4"/>
    <s v="Closed"/>
    <s v="February"/>
    <x v="1"/>
    <n v="2026"/>
    <s v="Yes"/>
    <n v="1"/>
    <x v="4"/>
    <n v="1"/>
  </r>
  <r>
    <s v="T000877"/>
    <x v="866"/>
    <d v="2026-02-14T09:08:00"/>
    <x v="5"/>
    <s v="Phone"/>
    <x v="1"/>
    <s v="A054"/>
    <x v="1"/>
    <n v="24"/>
    <n v="5.5"/>
    <x v="1"/>
    <s v="No"/>
    <s v="No"/>
    <n v="5"/>
    <s v="Closed"/>
    <s v="February"/>
    <x v="1"/>
    <n v="2026"/>
    <s v="Yes"/>
    <n v="1"/>
    <x v="4"/>
    <n v="1"/>
  </r>
  <r>
    <s v="T000878"/>
    <x v="867"/>
    <d v="2026-02-18T05:15:00"/>
    <x v="0"/>
    <s v="Field Visit"/>
    <x v="1"/>
    <s v="A059"/>
    <x v="1"/>
    <n v="24"/>
    <n v="95.9"/>
    <x v="1"/>
    <s v="No"/>
    <s v="No"/>
    <m/>
    <s v="Closed"/>
    <s v="February"/>
    <x v="1"/>
    <n v="2026"/>
    <s v="No"/>
    <n v="0"/>
    <x v="3"/>
    <n v="1"/>
  </r>
  <r>
    <s v="T000879"/>
    <x v="868"/>
    <d v="2026-02-15T00:42:00"/>
    <x v="3"/>
    <s v="Phone"/>
    <x v="0"/>
    <s v="A046"/>
    <x v="1"/>
    <n v="72"/>
    <n v="17.5"/>
    <x v="1"/>
    <s v="No"/>
    <s v="No"/>
    <m/>
    <s v="Closed"/>
    <s v="February"/>
    <x v="1"/>
    <n v="2026"/>
    <s v="Yes"/>
    <n v="1"/>
    <x v="3"/>
    <n v="1"/>
  </r>
  <r>
    <s v="T000880"/>
    <x v="869"/>
    <d v="2026-02-17T14:52:00"/>
    <x v="3"/>
    <s v="Field Visit"/>
    <x v="1"/>
    <s v="A047"/>
    <x v="1"/>
    <n v="24"/>
    <n v="79.599999999999994"/>
    <x v="1"/>
    <s v="No"/>
    <s v="No"/>
    <m/>
    <s v="Closed"/>
    <s v="February"/>
    <x v="1"/>
    <n v="2026"/>
    <s v="No"/>
    <n v="0"/>
    <x v="0"/>
    <n v="1"/>
  </r>
  <r>
    <s v="T000881"/>
    <x v="870"/>
    <d v="2026-02-15T17:07:00"/>
    <x v="4"/>
    <s v="Field Visit"/>
    <x v="1"/>
    <s v="A053"/>
    <x v="1"/>
    <n v="24"/>
    <n v="33.5"/>
    <x v="1"/>
    <s v="No"/>
    <s v="No"/>
    <n v="5"/>
    <s v="Closed"/>
    <s v="February"/>
    <x v="1"/>
    <n v="2026"/>
    <s v="No"/>
    <n v="0"/>
    <x v="3"/>
    <n v="1"/>
  </r>
  <r>
    <s v="T000882"/>
    <x v="871"/>
    <d v="2026-02-14T17:49:00"/>
    <x v="1"/>
    <s v="Phone"/>
    <x v="0"/>
    <s v="A026"/>
    <x v="2"/>
    <n v="72"/>
    <n v="9.6"/>
    <x v="1"/>
    <s v="No"/>
    <s v="No"/>
    <m/>
    <s v="Closed"/>
    <s v="February"/>
    <x v="1"/>
    <n v="2026"/>
    <s v="Yes"/>
    <n v="1"/>
    <x v="4"/>
    <n v="1"/>
  </r>
  <r>
    <s v="T000883"/>
    <x v="872"/>
    <d v="2026-02-14T13:35:00"/>
    <x v="1"/>
    <s v="Chat"/>
    <x v="1"/>
    <s v="A015"/>
    <x v="0"/>
    <n v="24"/>
    <n v="4.4000000000000004"/>
    <x v="1"/>
    <s v="No"/>
    <s v="No"/>
    <n v="3"/>
    <s v="Closed"/>
    <s v="February"/>
    <x v="1"/>
    <n v="2026"/>
    <s v="Yes"/>
    <n v="1"/>
    <x v="4"/>
    <n v="1"/>
  </r>
  <r>
    <s v="T000884"/>
    <x v="873"/>
    <d v="2026-02-14T14:00:00"/>
    <x v="1"/>
    <s v="Chat"/>
    <x v="1"/>
    <s v="A019"/>
    <x v="2"/>
    <n v="24"/>
    <n v="4.0999999999999996"/>
    <x v="1"/>
    <s v="No"/>
    <s v="No"/>
    <n v="5"/>
    <s v="Closed"/>
    <s v="February"/>
    <x v="1"/>
    <n v="2026"/>
    <s v="Yes"/>
    <n v="1"/>
    <x v="4"/>
    <n v="1"/>
  </r>
  <r>
    <s v="T000885"/>
    <x v="874"/>
    <d v="2026-02-16T00:43:00"/>
    <x v="1"/>
    <s v="Email"/>
    <x v="1"/>
    <s v="A025"/>
    <x v="2"/>
    <n v="24"/>
    <n v="38.299999999999997"/>
    <x v="0"/>
    <s v="No"/>
    <s v="Yes"/>
    <m/>
    <s v="Closed"/>
    <s v="February"/>
    <x v="1"/>
    <n v="2026"/>
    <s v="No"/>
    <n v="0"/>
    <x v="2"/>
    <n v="0"/>
  </r>
  <r>
    <s v="T000886"/>
    <x v="875"/>
    <d v="2026-02-14T18:11:00"/>
    <x v="6"/>
    <s v="Phone"/>
    <x v="1"/>
    <s v="A016"/>
    <x v="2"/>
    <n v="24"/>
    <n v="7.2"/>
    <x v="1"/>
    <s v="No"/>
    <s v="No"/>
    <m/>
    <s v="Closed"/>
    <s v="February"/>
    <x v="1"/>
    <n v="2026"/>
    <s v="Yes"/>
    <n v="1"/>
    <x v="3"/>
    <n v="1"/>
  </r>
  <r>
    <s v="T000887"/>
    <x v="876"/>
    <d v="2026-02-27T22:58:00"/>
    <x v="4"/>
    <s v="Field Visit"/>
    <x v="1"/>
    <s v="A005"/>
    <x v="0"/>
    <n v="24"/>
    <n v="322.39999999999998"/>
    <x v="1"/>
    <s v="No"/>
    <s v="No"/>
    <m/>
    <s v="Closed"/>
    <s v="February"/>
    <x v="1"/>
    <n v="2026"/>
    <s v="No"/>
    <n v="0"/>
    <x v="3"/>
    <n v="1"/>
  </r>
  <r>
    <s v="T000888"/>
    <x v="877"/>
    <d v="2026-02-14T16:26:00"/>
    <x v="1"/>
    <s v="Phone"/>
    <x v="1"/>
    <s v="A055"/>
    <x v="1"/>
    <n v="24"/>
    <n v="3.6"/>
    <x v="1"/>
    <s v="No"/>
    <s v="No"/>
    <n v="4"/>
    <s v="Closed"/>
    <s v="February"/>
    <x v="1"/>
    <n v="2026"/>
    <s v="Yes"/>
    <n v="1"/>
    <x v="2"/>
    <n v="1"/>
  </r>
  <r>
    <s v="T000889"/>
    <x v="878"/>
    <d v="2026-02-16T17:57:00"/>
    <x v="2"/>
    <s v="Phone"/>
    <x v="2"/>
    <s v="A007"/>
    <x v="0"/>
    <n v="4"/>
    <n v="52.2"/>
    <x v="1"/>
    <s v="No"/>
    <s v="No"/>
    <n v="5"/>
    <s v="Closed"/>
    <s v="February"/>
    <x v="1"/>
    <n v="2026"/>
    <s v="No"/>
    <n v="0"/>
    <x v="2"/>
    <n v="1"/>
  </r>
  <r>
    <s v="T000890"/>
    <x v="879"/>
    <d v="2026-02-21T03:15:00"/>
    <x v="3"/>
    <s v="Field Visit"/>
    <x v="1"/>
    <s v="A037"/>
    <x v="1"/>
    <n v="24"/>
    <n v="156.80000000000001"/>
    <x v="0"/>
    <s v="Yes"/>
    <s v="No"/>
    <n v="3"/>
    <s v="Closed"/>
    <s v="February"/>
    <x v="1"/>
    <n v="2026"/>
    <s v="No"/>
    <n v="0"/>
    <x v="1"/>
    <n v="0"/>
  </r>
  <r>
    <s v="T000891"/>
    <x v="880"/>
    <d v="2026-02-15T19:15:00"/>
    <x v="3"/>
    <s v="Phone"/>
    <x v="1"/>
    <s v="A033"/>
    <x v="2"/>
    <n v="24"/>
    <n v="27.7"/>
    <x v="1"/>
    <s v="No"/>
    <s v="No"/>
    <n v="3"/>
    <s v="Closed"/>
    <s v="February"/>
    <x v="1"/>
    <n v="2026"/>
    <s v="No"/>
    <n v="0"/>
    <x v="3"/>
    <n v="1"/>
  </r>
  <r>
    <s v="T000892"/>
    <x v="881"/>
    <d v="2026-02-15T18:28:00"/>
    <x v="0"/>
    <s v="Field Visit"/>
    <x v="0"/>
    <s v="A005"/>
    <x v="0"/>
    <n v="72"/>
    <n v="26.7"/>
    <x v="0"/>
    <s v="Yes"/>
    <s v="Yes"/>
    <n v="2"/>
    <s v="Closed"/>
    <s v="February"/>
    <x v="1"/>
    <n v="2026"/>
    <s v="Yes"/>
    <n v="1"/>
    <x v="3"/>
    <n v="0"/>
  </r>
  <r>
    <s v="T000893"/>
    <x v="882"/>
    <d v="2026-02-15T21:49:00"/>
    <x v="6"/>
    <s v="Field Visit"/>
    <x v="1"/>
    <s v="A016"/>
    <x v="2"/>
    <n v="24"/>
    <n v="29.4"/>
    <x v="1"/>
    <s v="No"/>
    <s v="No"/>
    <n v="4"/>
    <s v="Closed"/>
    <s v="February"/>
    <x v="1"/>
    <n v="2026"/>
    <s v="No"/>
    <n v="0"/>
    <x v="1"/>
    <n v="1"/>
  </r>
  <r>
    <s v="T000894"/>
    <x v="883"/>
    <d v="2026-02-15T08:39:00"/>
    <x v="6"/>
    <s v="Field Visit"/>
    <x v="2"/>
    <s v="A050"/>
    <x v="1"/>
    <n v="4"/>
    <n v="15.2"/>
    <x v="1"/>
    <s v="No"/>
    <s v="No"/>
    <m/>
    <s v="Closed"/>
    <s v="February"/>
    <x v="1"/>
    <n v="2026"/>
    <s v="No"/>
    <n v="0"/>
    <x v="4"/>
    <n v="1"/>
  </r>
  <r>
    <s v="T000895"/>
    <x v="884"/>
    <d v="2026-02-15T00:54:00"/>
    <x v="1"/>
    <s v="Phone"/>
    <x v="0"/>
    <s v="A020"/>
    <x v="2"/>
    <n v="72"/>
    <n v="6.3"/>
    <x v="1"/>
    <s v="No"/>
    <s v="No"/>
    <n v="5"/>
    <s v="Closed"/>
    <s v="February"/>
    <x v="1"/>
    <n v="2026"/>
    <s v="Yes"/>
    <n v="1"/>
    <x v="2"/>
    <n v="1"/>
  </r>
  <r>
    <s v="T000896"/>
    <x v="885"/>
    <d v="2026-02-15T07:08:00"/>
    <x v="3"/>
    <s v="Chat"/>
    <x v="0"/>
    <s v="A018"/>
    <x v="2"/>
    <n v="72"/>
    <n v="11.5"/>
    <x v="0"/>
    <s v="No"/>
    <s v="No"/>
    <n v="3"/>
    <s v="Closed"/>
    <s v="February"/>
    <x v="1"/>
    <n v="2026"/>
    <s v="Yes"/>
    <n v="1"/>
    <x v="4"/>
    <n v="0"/>
  </r>
  <r>
    <s v="T000897"/>
    <x v="886"/>
    <d v="2026-02-15T09:39:00"/>
    <x v="6"/>
    <s v="Phone"/>
    <x v="2"/>
    <s v="A040"/>
    <x v="1"/>
    <n v="4"/>
    <n v="11.9"/>
    <x v="1"/>
    <s v="No"/>
    <s v="Yes"/>
    <n v="3"/>
    <s v="Closed"/>
    <s v="February"/>
    <x v="1"/>
    <n v="2026"/>
    <s v="No"/>
    <n v="0"/>
    <x v="1"/>
    <n v="1"/>
  </r>
  <r>
    <s v="T000898"/>
    <x v="887"/>
    <d v="2026-02-15T10:16:00"/>
    <x v="3"/>
    <s v="Chat"/>
    <x v="1"/>
    <s v="A051"/>
    <x v="1"/>
    <n v="24"/>
    <n v="6"/>
    <x v="1"/>
    <s v="No"/>
    <s v="Yes"/>
    <n v="3"/>
    <s v="Closed"/>
    <s v="February"/>
    <x v="1"/>
    <n v="2026"/>
    <s v="Yes"/>
    <n v="1"/>
    <x v="0"/>
    <n v="1"/>
  </r>
  <r>
    <s v="T000899"/>
    <x v="888"/>
    <d v="2026-02-16T19:42:00"/>
    <x v="0"/>
    <s v="Email"/>
    <x v="0"/>
    <s v="A022"/>
    <x v="2"/>
    <n v="72"/>
    <n v="38.299999999999997"/>
    <x v="1"/>
    <s v="No"/>
    <s v="No"/>
    <m/>
    <s v="Closed"/>
    <s v="February"/>
    <x v="1"/>
    <n v="2026"/>
    <s v="Yes"/>
    <n v="1"/>
    <x v="2"/>
    <n v="1"/>
  </r>
  <r>
    <s v="T000900"/>
    <x v="889"/>
    <d v="2026-02-15T08:54:00"/>
    <x v="1"/>
    <s v="Phone"/>
    <x v="2"/>
    <s v="A042"/>
    <x v="1"/>
    <n v="4"/>
    <n v="3.1"/>
    <x v="1"/>
    <s v="No"/>
    <s v="No"/>
    <m/>
    <s v="Closed"/>
    <s v="February"/>
    <x v="1"/>
    <n v="2026"/>
    <s v="Yes"/>
    <n v="1"/>
    <x v="1"/>
    <n v="1"/>
  </r>
  <r>
    <s v="T000901"/>
    <x v="890"/>
    <d v="2026-02-19T05:30:00"/>
    <x v="3"/>
    <s v="Field Visit"/>
    <x v="1"/>
    <s v="A039"/>
    <x v="1"/>
    <n v="24"/>
    <n v="93.4"/>
    <x v="1"/>
    <s v="No"/>
    <s v="No"/>
    <m/>
    <s v="Closed"/>
    <s v="February"/>
    <x v="1"/>
    <n v="2026"/>
    <s v="No"/>
    <n v="0"/>
    <x v="2"/>
    <n v="1"/>
  </r>
  <r>
    <s v="T000902"/>
    <x v="891"/>
    <d v="2026-02-16T02:53:00"/>
    <x v="5"/>
    <s v="Email"/>
    <x v="1"/>
    <s v="A039"/>
    <x v="1"/>
    <n v="24"/>
    <n v="17.600000000000001"/>
    <x v="1"/>
    <s v="No"/>
    <s v="No"/>
    <n v="5"/>
    <s v="Closed"/>
    <s v="February"/>
    <x v="1"/>
    <n v="2026"/>
    <s v="Yes"/>
    <n v="1"/>
    <x v="3"/>
    <n v="1"/>
  </r>
  <r>
    <s v="T000903"/>
    <x v="892"/>
    <d v="2026-02-15T20:44:00"/>
    <x v="0"/>
    <s v="Chat"/>
    <x v="0"/>
    <s v="A037"/>
    <x v="1"/>
    <n v="72"/>
    <n v="10.6"/>
    <x v="1"/>
    <s v="No"/>
    <s v="No"/>
    <n v="4"/>
    <s v="Closed"/>
    <s v="February"/>
    <x v="1"/>
    <n v="2026"/>
    <s v="Yes"/>
    <n v="1"/>
    <x v="2"/>
    <n v="1"/>
  </r>
  <r>
    <s v="T000904"/>
    <x v="893"/>
    <d v="2026-02-15T17:53:00"/>
    <x v="5"/>
    <s v="Chat"/>
    <x v="1"/>
    <s v="A011"/>
    <x v="0"/>
    <n v="24"/>
    <n v="6"/>
    <x v="0"/>
    <s v="Yes"/>
    <s v="No"/>
    <n v="5"/>
    <s v="Closed"/>
    <s v="February"/>
    <x v="1"/>
    <n v="2026"/>
    <s v="Yes"/>
    <n v="1"/>
    <x v="1"/>
    <n v="0"/>
  </r>
  <r>
    <s v="T000905"/>
    <x v="894"/>
    <d v="2026-02-15T22:43:00"/>
    <x v="6"/>
    <s v="Phone"/>
    <x v="1"/>
    <s v="A033"/>
    <x v="2"/>
    <n v="24"/>
    <n v="9.6999999999999993"/>
    <x v="0"/>
    <s v="Yes"/>
    <s v="No"/>
    <n v="2"/>
    <s v="Closed"/>
    <s v="February"/>
    <x v="1"/>
    <n v="2026"/>
    <s v="Yes"/>
    <n v="1"/>
    <x v="3"/>
    <n v="0"/>
  </r>
  <r>
    <s v="T000906"/>
    <x v="895"/>
    <d v="2026-02-15T20:43:00"/>
    <x v="0"/>
    <s v="Phone"/>
    <x v="0"/>
    <s v="A040"/>
    <x v="1"/>
    <n v="72"/>
    <n v="7.6"/>
    <x v="1"/>
    <s v="No"/>
    <s v="No"/>
    <n v="5"/>
    <s v="Closed"/>
    <s v="February"/>
    <x v="1"/>
    <n v="2026"/>
    <s v="Yes"/>
    <n v="1"/>
    <x v="3"/>
    <n v="1"/>
  </r>
  <r>
    <s v="T000907"/>
    <x v="896"/>
    <d v="2026-02-15T23:32:00"/>
    <x v="0"/>
    <s v="Email"/>
    <x v="1"/>
    <s v="A003"/>
    <x v="0"/>
    <n v="24"/>
    <n v="10.1"/>
    <x v="1"/>
    <s v="No"/>
    <s v="No"/>
    <n v="5"/>
    <s v="Closed"/>
    <s v="February"/>
    <x v="1"/>
    <n v="2026"/>
    <s v="Yes"/>
    <n v="1"/>
    <x v="1"/>
    <n v="1"/>
  </r>
  <r>
    <s v="T000908"/>
    <x v="897"/>
    <d v="2026-02-16T14:51:00"/>
    <x v="1"/>
    <s v="Email"/>
    <x v="1"/>
    <s v="A045"/>
    <x v="1"/>
    <n v="24"/>
    <n v="25.1"/>
    <x v="1"/>
    <s v="No"/>
    <s v="No"/>
    <m/>
    <s v="Closed"/>
    <s v="February"/>
    <x v="1"/>
    <n v="2026"/>
    <s v="No"/>
    <n v="0"/>
    <x v="1"/>
    <n v="1"/>
  </r>
  <r>
    <s v="T000909"/>
    <x v="898"/>
    <d v="2026-02-16T22:21:00"/>
    <x v="0"/>
    <s v="Chat"/>
    <x v="0"/>
    <s v="A001"/>
    <x v="0"/>
    <n v="72"/>
    <n v="31.3"/>
    <x v="0"/>
    <s v="No"/>
    <s v="No"/>
    <m/>
    <s v="Closed"/>
    <s v="February"/>
    <x v="1"/>
    <n v="2026"/>
    <s v="Yes"/>
    <n v="1"/>
    <x v="1"/>
    <n v="0"/>
  </r>
  <r>
    <s v="T000910"/>
    <x v="899"/>
    <d v="2026-02-20T03:28:00"/>
    <x v="0"/>
    <s v="Email"/>
    <x v="1"/>
    <s v="A015"/>
    <x v="0"/>
    <n v="24"/>
    <n v="108.1"/>
    <x v="1"/>
    <s v="No"/>
    <s v="No"/>
    <m/>
    <s v="Closed"/>
    <s v="February"/>
    <x v="1"/>
    <n v="2026"/>
    <s v="No"/>
    <n v="0"/>
    <x v="2"/>
    <n v="1"/>
  </r>
  <r>
    <s v="T000911"/>
    <x v="900"/>
    <d v="2026-02-17T02:58:00"/>
    <x v="6"/>
    <s v="Field Visit"/>
    <x v="2"/>
    <s v="A007"/>
    <x v="0"/>
    <n v="4"/>
    <n v="34.9"/>
    <x v="0"/>
    <s v="No"/>
    <s v="Yes"/>
    <n v="3"/>
    <s v="Closed"/>
    <s v="February"/>
    <x v="1"/>
    <n v="2026"/>
    <s v="No"/>
    <n v="0"/>
    <x v="0"/>
    <n v="0"/>
  </r>
  <r>
    <s v="T000912"/>
    <x v="901"/>
    <d v="2026-02-16T00:24:00"/>
    <x v="5"/>
    <s v="Field Visit"/>
    <x v="1"/>
    <s v="A028"/>
    <x v="2"/>
    <n v="24"/>
    <n v="8.1"/>
    <x v="1"/>
    <s v="No"/>
    <s v="No"/>
    <n v="5"/>
    <s v="Closed"/>
    <s v="February"/>
    <x v="1"/>
    <n v="2026"/>
    <s v="Yes"/>
    <n v="1"/>
    <x v="0"/>
    <n v="1"/>
  </r>
  <r>
    <s v="T000913"/>
    <x v="902"/>
    <d v="2026-02-22T04:01:00"/>
    <x v="3"/>
    <s v="Field Visit"/>
    <x v="0"/>
    <s v="A048"/>
    <x v="1"/>
    <n v="72"/>
    <n v="154.30000000000001"/>
    <x v="1"/>
    <s v="No"/>
    <s v="No"/>
    <n v="5"/>
    <s v="Closed"/>
    <s v="February"/>
    <x v="1"/>
    <n v="2026"/>
    <s v="No"/>
    <n v="0"/>
    <x v="4"/>
    <n v="1"/>
  </r>
  <r>
    <s v="T000914"/>
    <x v="903"/>
    <d v="2026-02-16T08:03:00"/>
    <x v="5"/>
    <s v="Phone"/>
    <x v="0"/>
    <s v="A038"/>
    <x v="1"/>
    <n v="72"/>
    <n v="14.1"/>
    <x v="0"/>
    <s v="Yes"/>
    <s v="No"/>
    <m/>
    <s v="Closed"/>
    <s v="February"/>
    <x v="1"/>
    <n v="2026"/>
    <s v="Yes"/>
    <n v="1"/>
    <x v="3"/>
    <n v="0"/>
  </r>
  <r>
    <s v="T000915"/>
    <x v="904"/>
    <d v="2026-02-16T01:01:00"/>
    <x v="2"/>
    <s v="Phone"/>
    <x v="1"/>
    <s v="A042"/>
    <x v="1"/>
    <n v="24"/>
    <n v="6.9"/>
    <x v="1"/>
    <s v="No"/>
    <s v="No"/>
    <n v="5"/>
    <s v="Closed"/>
    <s v="February"/>
    <x v="1"/>
    <n v="2026"/>
    <s v="Yes"/>
    <n v="1"/>
    <x v="2"/>
    <n v="1"/>
  </r>
  <r>
    <s v="T000916"/>
    <x v="905"/>
    <d v="2026-02-17T03:38:00"/>
    <x v="0"/>
    <s v="Field Visit"/>
    <x v="0"/>
    <s v="A059"/>
    <x v="1"/>
    <n v="72"/>
    <n v="33.4"/>
    <x v="1"/>
    <s v="No"/>
    <s v="No"/>
    <m/>
    <s v="Closed"/>
    <s v="February"/>
    <x v="1"/>
    <n v="2026"/>
    <s v="Yes"/>
    <n v="1"/>
    <x v="1"/>
    <n v="1"/>
  </r>
  <r>
    <s v="T000917"/>
    <x v="906"/>
    <d v="2026-02-15T22:06:00"/>
    <x v="6"/>
    <s v="Chat"/>
    <x v="2"/>
    <s v="A043"/>
    <x v="1"/>
    <n v="4"/>
    <n v="3.5"/>
    <x v="1"/>
    <s v="No"/>
    <s v="No"/>
    <n v="4"/>
    <s v="Closed"/>
    <s v="February"/>
    <x v="1"/>
    <n v="2026"/>
    <s v="Yes"/>
    <n v="1"/>
    <x v="0"/>
    <n v="1"/>
  </r>
  <r>
    <s v="T000918"/>
    <x v="907"/>
    <d v="2026-02-16T23:32:00"/>
    <x v="3"/>
    <s v="Phone"/>
    <x v="1"/>
    <s v="A029"/>
    <x v="2"/>
    <n v="24"/>
    <n v="25.9"/>
    <x v="0"/>
    <s v="No"/>
    <s v="No"/>
    <n v="2"/>
    <s v="Closed"/>
    <s v="February"/>
    <x v="1"/>
    <n v="2026"/>
    <s v="No"/>
    <n v="0"/>
    <x v="3"/>
    <n v="0"/>
  </r>
  <r>
    <s v="T000919"/>
    <x v="908"/>
    <d v="2026-02-16T11:18:00"/>
    <x v="0"/>
    <s v="Chat"/>
    <x v="0"/>
    <s v="A002"/>
    <x v="0"/>
    <n v="72"/>
    <n v="7.1"/>
    <x v="1"/>
    <s v="No"/>
    <s v="No"/>
    <m/>
    <s v="Closed"/>
    <s v="February"/>
    <x v="1"/>
    <n v="2026"/>
    <s v="Yes"/>
    <n v="1"/>
    <x v="3"/>
    <n v="1"/>
  </r>
  <r>
    <s v="T000920"/>
    <x v="909"/>
    <d v="2026-02-17T06:13:00"/>
    <x v="3"/>
    <s v="Field Visit"/>
    <x v="0"/>
    <s v="A032"/>
    <x v="2"/>
    <n v="72"/>
    <n v="24.6"/>
    <x v="1"/>
    <s v="No"/>
    <s v="No"/>
    <m/>
    <s v="Closed"/>
    <s v="February"/>
    <x v="1"/>
    <n v="2026"/>
    <s v="Yes"/>
    <n v="1"/>
    <x v="0"/>
    <n v="1"/>
  </r>
  <r>
    <s v="T000921"/>
    <x v="910"/>
    <d v="2026-02-21T10:55:00"/>
    <x v="4"/>
    <s v="Field Visit"/>
    <x v="0"/>
    <s v="A057"/>
    <x v="1"/>
    <n v="72"/>
    <n v="125.1"/>
    <x v="1"/>
    <s v="No"/>
    <s v="No"/>
    <n v="5"/>
    <s v="Closed"/>
    <s v="February"/>
    <x v="1"/>
    <n v="2026"/>
    <s v="No"/>
    <n v="0"/>
    <x v="4"/>
    <n v="1"/>
  </r>
  <r>
    <s v="T000922"/>
    <x v="911"/>
    <d v="2026-02-15T13:50:00"/>
    <x v="3"/>
    <s v="Phone"/>
    <x v="1"/>
    <s v="A022"/>
    <x v="2"/>
    <n v="24"/>
    <n v="16.399999999999999"/>
    <x v="1"/>
    <s v="No"/>
    <s v="No"/>
    <n v="5"/>
    <s v="Closed"/>
    <s v="February"/>
    <x v="1"/>
    <n v="2026"/>
    <s v="Yes"/>
    <n v="1"/>
    <x v="0"/>
    <n v="1"/>
  </r>
  <r>
    <s v="T000923"/>
    <x v="912"/>
    <d v="2026-02-16T16:03:00"/>
    <x v="6"/>
    <s v="Field Visit"/>
    <x v="1"/>
    <s v="A018"/>
    <x v="2"/>
    <n v="24"/>
    <n v="4.9000000000000004"/>
    <x v="1"/>
    <s v="No"/>
    <s v="No"/>
    <m/>
    <s v="Closed"/>
    <s v="February"/>
    <x v="1"/>
    <n v="2026"/>
    <s v="Yes"/>
    <n v="1"/>
    <x v="0"/>
    <n v="1"/>
  </r>
  <r>
    <s v="T000924"/>
    <x v="913"/>
    <d v="2026-02-16T14:28:00"/>
    <x v="1"/>
    <s v="Phone"/>
    <x v="1"/>
    <s v="A057"/>
    <x v="1"/>
    <n v="24"/>
    <n v="3.3"/>
    <x v="0"/>
    <s v="Yes"/>
    <s v="No"/>
    <n v="3"/>
    <s v="Closed"/>
    <s v="February"/>
    <x v="1"/>
    <n v="2026"/>
    <s v="Yes"/>
    <n v="1"/>
    <x v="3"/>
    <n v="0"/>
  </r>
  <r>
    <s v="T000925"/>
    <x v="914"/>
    <d v="2026-02-16T15:38:00"/>
    <x v="2"/>
    <s v="Chat"/>
    <x v="1"/>
    <s v="A049"/>
    <x v="1"/>
    <n v="24"/>
    <n v="3.7"/>
    <x v="1"/>
    <s v="No"/>
    <s v="No"/>
    <m/>
    <s v="Closed"/>
    <s v="February"/>
    <x v="1"/>
    <n v="2026"/>
    <s v="Yes"/>
    <n v="1"/>
    <x v="1"/>
    <n v="1"/>
  </r>
  <r>
    <s v="T000926"/>
    <x v="915"/>
    <d v="2026-02-16T21:58:00"/>
    <x v="1"/>
    <s v="Email"/>
    <x v="0"/>
    <s v="A054"/>
    <x v="1"/>
    <n v="72"/>
    <n v="10"/>
    <x v="1"/>
    <s v="No"/>
    <s v="No"/>
    <n v="5"/>
    <s v="Closed"/>
    <s v="February"/>
    <x v="1"/>
    <n v="2026"/>
    <s v="Yes"/>
    <n v="1"/>
    <x v="1"/>
    <n v="1"/>
  </r>
  <r>
    <s v="T000927"/>
    <x v="916"/>
    <d v="2026-02-16T18:32:00"/>
    <x v="0"/>
    <s v="Chat"/>
    <x v="0"/>
    <s v="A008"/>
    <x v="0"/>
    <n v="72"/>
    <n v="6.1"/>
    <x v="0"/>
    <s v="No"/>
    <s v="No"/>
    <n v="5"/>
    <s v="Closed"/>
    <s v="February"/>
    <x v="1"/>
    <n v="2026"/>
    <s v="Yes"/>
    <n v="1"/>
    <x v="0"/>
    <n v="0"/>
  </r>
  <r>
    <s v="T000928"/>
    <x v="917"/>
    <d v="2026-02-20T20:43:00"/>
    <x v="4"/>
    <s v="Field Visit"/>
    <x v="1"/>
    <s v="A032"/>
    <x v="2"/>
    <n v="24"/>
    <n v="102.9"/>
    <x v="0"/>
    <s v="No"/>
    <s v="No"/>
    <n v="3"/>
    <s v="Closed"/>
    <s v="February"/>
    <x v="1"/>
    <n v="2026"/>
    <s v="No"/>
    <n v="0"/>
    <x v="2"/>
    <n v="0"/>
  </r>
  <r>
    <s v="T000929"/>
    <x v="918"/>
    <d v="2026-02-16T21:15:00"/>
    <x v="6"/>
    <s v="Chat"/>
    <x v="2"/>
    <s v="A038"/>
    <x v="1"/>
    <n v="4"/>
    <n v="7.4"/>
    <x v="1"/>
    <s v="No"/>
    <s v="Yes"/>
    <n v="5"/>
    <s v="Closed"/>
    <s v="February"/>
    <x v="1"/>
    <n v="2026"/>
    <s v="No"/>
    <n v="0"/>
    <x v="2"/>
    <n v="1"/>
  </r>
  <r>
    <s v="T000930"/>
    <x v="919"/>
    <d v="2026-02-16T19:16:00"/>
    <x v="5"/>
    <s v="Phone"/>
    <x v="1"/>
    <s v="A045"/>
    <x v="1"/>
    <n v="24"/>
    <n v="5.3"/>
    <x v="1"/>
    <s v="No"/>
    <s v="No"/>
    <n v="5"/>
    <s v="Closed"/>
    <s v="February"/>
    <x v="1"/>
    <n v="2026"/>
    <s v="Yes"/>
    <n v="1"/>
    <x v="4"/>
    <n v="1"/>
  </r>
  <r>
    <s v="T000931"/>
    <x v="920"/>
    <d v="2026-02-16T22:29:00"/>
    <x v="6"/>
    <s v="Phone"/>
    <x v="2"/>
    <s v="A047"/>
    <x v="1"/>
    <n v="4"/>
    <n v="7.8"/>
    <x v="1"/>
    <s v="No"/>
    <s v="No"/>
    <m/>
    <s v="Closed"/>
    <s v="February"/>
    <x v="1"/>
    <n v="2026"/>
    <s v="No"/>
    <n v="0"/>
    <x v="1"/>
    <n v="1"/>
  </r>
  <r>
    <s v="T000932"/>
    <x v="921"/>
    <d v="2026-02-17T08:31:00"/>
    <x v="0"/>
    <s v="Phone"/>
    <x v="1"/>
    <s v="A010"/>
    <x v="0"/>
    <n v="24"/>
    <n v="17.5"/>
    <x v="1"/>
    <s v="No"/>
    <s v="No"/>
    <n v="4"/>
    <s v="Closed"/>
    <s v="February"/>
    <x v="1"/>
    <n v="2026"/>
    <s v="Yes"/>
    <n v="1"/>
    <x v="2"/>
    <n v="1"/>
  </r>
  <r>
    <s v="T000933"/>
    <x v="922"/>
    <d v="2026-02-18T00:48:00"/>
    <x v="0"/>
    <s v="Email"/>
    <x v="1"/>
    <s v="A043"/>
    <x v="1"/>
    <n v="24"/>
    <n v="33.1"/>
    <x v="1"/>
    <s v="No"/>
    <s v="No"/>
    <n v="4"/>
    <s v="Closed"/>
    <s v="February"/>
    <x v="1"/>
    <n v="2026"/>
    <s v="No"/>
    <n v="0"/>
    <x v="4"/>
    <n v="1"/>
  </r>
  <r>
    <s v="T000934"/>
    <x v="923"/>
    <d v="2026-02-16T21:55:00"/>
    <x v="1"/>
    <s v="Chat"/>
    <x v="1"/>
    <s v="A024"/>
    <x v="2"/>
    <n v="24"/>
    <n v="5.2"/>
    <x v="1"/>
    <s v="No"/>
    <s v="No"/>
    <n v="4"/>
    <s v="Closed"/>
    <s v="February"/>
    <x v="1"/>
    <n v="2026"/>
    <s v="Yes"/>
    <n v="1"/>
    <x v="4"/>
    <n v="1"/>
  </r>
  <r>
    <s v="T000935"/>
    <x v="924"/>
    <d v="2026-02-17T02:12:00"/>
    <x v="1"/>
    <s v="Chat"/>
    <x v="1"/>
    <s v="A022"/>
    <x v="2"/>
    <n v="24"/>
    <n v="8.5"/>
    <x v="1"/>
    <s v="No"/>
    <s v="No"/>
    <n v="5"/>
    <s v="Closed"/>
    <s v="February"/>
    <x v="1"/>
    <n v="2026"/>
    <s v="Yes"/>
    <n v="1"/>
    <x v="1"/>
    <n v="1"/>
  </r>
  <r>
    <s v="T000936"/>
    <x v="925"/>
    <d v="2026-02-17T22:56:00"/>
    <x v="5"/>
    <s v="Field Visit"/>
    <x v="1"/>
    <s v="A041"/>
    <x v="1"/>
    <n v="24"/>
    <n v="27.6"/>
    <x v="0"/>
    <s v="No"/>
    <s v="Yes"/>
    <n v="4"/>
    <s v="Closed"/>
    <s v="February"/>
    <x v="1"/>
    <n v="2026"/>
    <s v="No"/>
    <n v="0"/>
    <x v="2"/>
    <n v="0"/>
  </r>
  <r>
    <s v="T000937"/>
    <x v="926"/>
    <d v="2026-02-17T11:29:00"/>
    <x v="1"/>
    <s v="Phone"/>
    <x v="1"/>
    <s v="A045"/>
    <x v="1"/>
    <n v="24"/>
    <n v="2.8"/>
    <x v="1"/>
    <s v="No"/>
    <s v="No"/>
    <n v="5"/>
    <s v="Closed"/>
    <s v="February"/>
    <x v="1"/>
    <n v="2026"/>
    <s v="Yes"/>
    <n v="1"/>
    <x v="2"/>
    <n v="1"/>
  </r>
  <r>
    <s v="T000938"/>
    <x v="927"/>
    <d v="2026-02-20T17:31:00"/>
    <x v="3"/>
    <s v="Field Visit"/>
    <x v="1"/>
    <s v="A044"/>
    <x v="1"/>
    <n v="24"/>
    <n v="80.5"/>
    <x v="1"/>
    <s v="No"/>
    <s v="No"/>
    <m/>
    <s v="Closed"/>
    <s v="February"/>
    <x v="1"/>
    <n v="2026"/>
    <s v="No"/>
    <n v="0"/>
    <x v="2"/>
    <n v="1"/>
  </r>
  <r>
    <s v="T000939"/>
    <x v="928"/>
    <d v="2026-02-17T14:02:00"/>
    <x v="6"/>
    <s v="Phone"/>
    <x v="2"/>
    <s v="A059"/>
    <x v="1"/>
    <n v="4"/>
    <n v="4.8"/>
    <x v="1"/>
    <s v="No"/>
    <s v="No"/>
    <n v="3"/>
    <s v="Closed"/>
    <s v="February"/>
    <x v="1"/>
    <n v="2026"/>
    <s v="No"/>
    <n v="0"/>
    <x v="1"/>
    <n v="1"/>
  </r>
  <r>
    <s v="T000940"/>
    <x v="929"/>
    <d v="2026-02-17T19:28:00"/>
    <x v="6"/>
    <s v="Phone"/>
    <x v="2"/>
    <s v="A020"/>
    <x v="2"/>
    <n v="4"/>
    <n v="9"/>
    <x v="1"/>
    <s v="No"/>
    <s v="No"/>
    <n v="5"/>
    <s v="Closed"/>
    <s v="February"/>
    <x v="1"/>
    <n v="2026"/>
    <s v="No"/>
    <n v="0"/>
    <x v="1"/>
    <n v="1"/>
  </r>
  <r>
    <s v="T000941"/>
    <x v="930"/>
    <d v="2026-02-20T16:34:00"/>
    <x v="6"/>
    <s v="Field Visit"/>
    <x v="2"/>
    <s v="A012"/>
    <x v="0"/>
    <n v="4"/>
    <n v="77.900000000000006"/>
    <x v="0"/>
    <s v="Yes"/>
    <s v="No"/>
    <m/>
    <s v="Closed"/>
    <s v="February"/>
    <x v="1"/>
    <n v="2026"/>
    <s v="No"/>
    <n v="0"/>
    <x v="1"/>
    <n v="0"/>
  </r>
  <r>
    <s v="T000942"/>
    <x v="931"/>
    <d v="2026-02-17T23:52:00"/>
    <x v="2"/>
    <s v="Phone"/>
    <x v="2"/>
    <s v="A020"/>
    <x v="2"/>
    <n v="4"/>
    <n v="11"/>
    <x v="1"/>
    <s v="No"/>
    <s v="No"/>
    <n v="4"/>
    <s v="Closed"/>
    <s v="February"/>
    <x v="1"/>
    <n v="2026"/>
    <s v="No"/>
    <n v="0"/>
    <x v="2"/>
    <n v="1"/>
  </r>
  <r>
    <s v="T000943"/>
    <x v="932"/>
    <d v="2026-02-17T19:37:00"/>
    <x v="5"/>
    <s v="Chat"/>
    <x v="0"/>
    <s v="A054"/>
    <x v="1"/>
    <n v="72"/>
    <n v="6.5"/>
    <x v="1"/>
    <s v="No"/>
    <s v="No"/>
    <m/>
    <s v="Closed"/>
    <s v="February"/>
    <x v="1"/>
    <n v="2026"/>
    <s v="Yes"/>
    <n v="1"/>
    <x v="4"/>
    <n v="1"/>
  </r>
  <r>
    <s v="T000944"/>
    <x v="933"/>
    <d v="2026-02-18T01:43:00"/>
    <x v="1"/>
    <s v="Chat"/>
    <x v="0"/>
    <s v="A057"/>
    <x v="1"/>
    <n v="72"/>
    <n v="12.1"/>
    <x v="1"/>
    <s v="No"/>
    <s v="No"/>
    <m/>
    <s v="Closed"/>
    <s v="February"/>
    <x v="1"/>
    <n v="2026"/>
    <s v="Yes"/>
    <n v="1"/>
    <x v="2"/>
    <n v="1"/>
  </r>
  <r>
    <s v="T000945"/>
    <x v="934"/>
    <d v="2026-02-17T21:14:00"/>
    <x v="6"/>
    <s v="Phone"/>
    <x v="2"/>
    <s v="A005"/>
    <x v="0"/>
    <n v="4"/>
    <n v="7.4"/>
    <x v="1"/>
    <s v="No"/>
    <s v="No"/>
    <n v="3"/>
    <s v="Closed"/>
    <s v="February"/>
    <x v="1"/>
    <n v="2026"/>
    <s v="No"/>
    <n v="0"/>
    <x v="1"/>
    <n v="1"/>
  </r>
  <r>
    <s v="T000946"/>
    <x v="935"/>
    <d v="2026-02-17T16:12:00"/>
    <x v="1"/>
    <s v="Phone"/>
    <x v="1"/>
    <s v="A035"/>
    <x v="2"/>
    <n v="24"/>
    <n v="2.2000000000000002"/>
    <x v="1"/>
    <s v="No"/>
    <s v="No"/>
    <n v="5"/>
    <s v="Closed"/>
    <s v="February"/>
    <x v="1"/>
    <n v="2026"/>
    <s v="Yes"/>
    <n v="1"/>
    <x v="4"/>
    <n v="1"/>
  </r>
  <r>
    <s v="T000947"/>
    <x v="936"/>
    <d v="2026-02-19T07:07:00"/>
    <x v="3"/>
    <s v="Phone"/>
    <x v="0"/>
    <s v="A004"/>
    <x v="0"/>
    <n v="72"/>
    <n v="40.299999999999997"/>
    <x v="1"/>
    <s v="No"/>
    <s v="No"/>
    <m/>
    <s v="Closed"/>
    <s v="February"/>
    <x v="1"/>
    <n v="2026"/>
    <s v="Yes"/>
    <n v="1"/>
    <x v="3"/>
    <n v="1"/>
  </r>
  <r>
    <s v="T000948"/>
    <x v="937"/>
    <d v="2026-02-18T23:55:00"/>
    <x v="3"/>
    <s v="Field Visit"/>
    <x v="1"/>
    <s v="A058"/>
    <x v="1"/>
    <n v="24"/>
    <n v="33"/>
    <x v="1"/>
    <s v="No"/>
    <s v="No"/>
    <n v="4"/>
    <s v="Closed"/>
    <s v="February"/>
    <x v="1"/>
    <n v="2026"/>
    <s v="No"/>
    <n v="0"/>
    <x v="4"/>
    <n v="1"/>
  </r>
  <r>
    <s v="T000949"/>
    <x v="938"/>
    <d v="2026-02-17T23:54:00"/>
    <x v="3"/>
    <s v="Phone"/>
    <x v="0"/>
    <s v="A041"/>
    <x v="1"/>
    <n v="72"/>
    <n v="8.6"/>
    <x v="1"/>
    <s v="No"/>
    <s v="No"/>
    <n v="5"/>
    <s v="Closed"/>
    <s v="February"/>
    <x v="1"/>
    <n v="2026"/>
    <s v="Yes"/>
    <n v="1"/>
    <x v="1"/>
    <n v="1"/>
  </r>
  <r>
    <s v="T000950"/>
    <x v="939"/>
    <d v="2026-02-17T20:41:00"/>
    <x v="3"/>
    <s v="Chat"/>
    <x v="1"/>
    <s v="A004"/>
    <x v="0"/>
    <n v="24"/>
    <n v="5.2"/>
    <x v="1"/>
    <s v="No"/>
    <s v="No"/>
    <n v="5"/>
    <s v="Closed"/>
    <s v="February"/>
    <x v="1"/>
    <n v="2026"/>
    <s v="Yes"/>
    <n v="1"/>
    <x v="4"/>
    <n v="1"/>
  </r>
  <r>
    <s v="T000951"/>
    <x v="940"/>
    <d v="2026-02-17T21:29:00"/>
    <x v="1"/>
    <s v="Chat"/>
    <x v="1"/>
    <s v="A009"/>
    <x v="0"/>
    <n v="24"/>
    <n v="4.5999999999999996"/>
    <x v="0"/>
    <s v="Yes"/>
    <s v="No"/>
    <n v="3"/>
    <s v="Closed"/>
    <s v="February"/>
    <x v="1"/>
    <n v="2026"/>
    <s v="Yes"/>
    <n v="1"/>
    <x v="0"/>
    <n v="0"/>
  </r>
  <r>
    <s v="T000952"/>
    <x v="941"/>
    <d v="2026-02-17T21:19:00"/>
    <x v="6"/>
    <s v="Chat"/>
    <x v="0"/>
    <s v="A034"/>
    <x v="2"/>
    <n v="72"/>
    <n v="2.7"/>
    <x v="1"/>
    <s v="No"/>
    <s v="No"/>
    <m/>
    <s v="Closed"/>
    <s v="February"/>
    <x v="1"/>
    <n v="2026"/>
    <s v="Yes"/>
    <n v="1"/>
    <x v="0"/>
    <n v="1"/>
  </r>
  <r>
    <s v="T000953"/>
    <x v="942"/>
    <d v="2026-02-19T08:06:00"/>
    <x v="3"/>
    <s v="Phone"/>
    <x v="1"/>
    <s v="A021"/>
    <x v="2"/>
    <n v="24"/>
    <n v="36.9"/>
    <x v="1"/>
    <s v="No"/>
    <s v="No"/>
    <n v="3"/>
    <s v="Closed"/>
    <s v="February"/>
    <x v="1"/>
    <n v="2026"/>
    <s v="No"/>
    <n v="0"/>
    <x v="1"/>
    <n v="1"/>
  </r>
  <r>
    <s v="T000954"/>
    <x v="943"/>
    <d v="2026-02-18T04:00:00"/>
    <x v="1"/>
    <s v="Chat"/>
    <x v="1"/>
    <s v="A008"/>
    <x v="0"/>
    <n v="24"/>
    <n v="8.5"/>
    <x v="1"/>
    <s v="No"/>
    <s v="No"/>
    <m/>
    <s v="Closed"/>
    <s v="February"/>
    <x v="1"/>
    <n v="2026"/>
    <s v="Yes"/>
    <n v="1"/>
    <x v="0"/>
    <n v="1"/>
  </r>
  <r>
    <s v="T000955"/>
    <x v="944"/>
    <d v="2026-02-18T10:55:00"/>
    <x v="2"/>
    <s v="Field Visit"/>
    <x v="2"/>
    <s v="A057"/>
    <x v="1"/>
    <n v="4"/>
    <n v="13.2"/>
    <x v="0"/>
    <s v="Yes"/>
    <s v="No"/>
    <n v="3"/>
    <s v="Closed"/>
    <s v="February"/>
    <x v="1"/>
    <n v="2026"/>
    <s v="No"/>
    <n v="0"/>
    <x v="1"/>
    <n v="0"/>
  </r>
  <r>
    <s v="T000956"/>
    <x v="945"/>
    <d v="2026-02-19T15:48:00"/>
    <x v="0"/>
    <s v="Email"/>
    <x v="1"/>
    <s v="A055"/>
    <x v="1"/>
    <n v="24"/>
    <n v="32"/>
    <x v="1"/>
    <s v="No"/>
    <s v="Yes"/>
    <m/>
    <s v="Closed"/>
    <s v="February"/>
    <x v="1"/>
    <n v="2026"/>
    <s v="No"/>
    <n v="0"/>
    <x v="2"/>
    <n v="1"/>
  </r>
  <r>
    <s v="T000957"/>
    <x v="946"/>
    <d v="2026-02-18T20:32:00"/>
    <x v="5"/>
    <s v="Phone"/>
    <x v="0"/>
    <s v="A052"/>
    <x v="1"/>
    <n v="72"/>
    <n v="11.9"/>
    <x v="1"/>
    <s v="No"/>
    <s v="No"/>
    <m/>
    <s v="Closed"/>
    <s v="February"/>
    <x v="1"/>
    <n v="2026"/>
    <s v="Yes"/>
    <n v="1"/>
    <x v="1"/>
    <n v="1"/>
  </r>
  <r>
    <s v="T000958"/>
    <x v="947"/>
    <d v="2026-02-18T15:09:00"/>
    <x v="2"/>
    <s v="Phone"/>
    <x v="1"/>
    <s v="A017"/>
    <x v="2"/>
    <n v="24"/>
    <n v="5.9"/>
    <x v="1"/>
    <s v="No"/>
    <s v="No"/>
    <n v="4"/>
    <s v="Closed"/>
    <s v="February"/>
    <x v="1"/>
    <n v="2026"/>
    <s v="Yes"/>
    <n v="1"/>
    <x v="1"/>
    <n v="1"/>
  </r>
  <r>
    <s v="T000959"/>
    <x v="948"/>
    <d v="2026-02-18T11:14:00"/>
    <x v="1"/>
    <s v="Phone"/>
    <x v="1"/>
    <s v="A035"/>
    <x v="2"/>
    <n v="24"/>
    <n v="1.7"/>
    <x v="1"/>
    <s v="No"/>
    <s v="Yes"/>
    <n v="5"/>
    <s v="Closed"/>
    <s v="February"/>
    <x v="1"/>
    <n v="2026"/>
    <s v="Yes"/>
    <n v="1"/>
    <x v="2"/>
    <n v="1"/>
  </r>
  <r>
    <s v="T000960"/>
    <x v="949"/>
    <d v="2026-02-18T15:02:00"/>
    <x v="2"/>
    <s v="Phone"/>
    <x v="0"/>
    <s v="A016"/>
    <x v="2"/>
    <n v="72"/>
    <n v="5.2"/>
    <x v="1"/>
    <s v="No"/>
    <s v="No"/>
    <m/>
    <s v="Closed"/>
    <s v="February"/>
    <x v="1"/>
    <n v="2026"/>
    <s v="Yes"/>
    <n v="1"/>
    <x v="4"/>
    <n v="1"/>
  </r>
  <r>
    <s v="T000961"/>
    <x v="950"/>
    <d v="2026-02-18T19:00:00"/>
    <x v="0"/>
    <s v="Chat"/>
    <x v="1"/>
    <s v="A052"/>
    <x v="1"/>
    <n v="24"/>
    <n v="8.9"/>
    <x v="0"/>
    <s v="Yes"/>
    <s v="No"/>
    <n v="4"/>
    <s v="Closed"/>
    <s v="February"/>
    <x v="1"/>
    <n v="2026"/>
    <s v="Yes"/>
    <n v="1"/>
    <x v="1"/>
    <n v="0"/>
  </r>
  <r>
    <s v="T000962"/>
    <x v="951"/>
    <d v="2026-02-18T14:07:00"/>
    <x v="6"/>
    <s v="Chat"/>
    <x v="2"/>
    <s v="A010"/>
    <x v="0"/>
    <n v="4"/>
    <n v="3.6"/>
    <x v="1"/>
    <s v="No"/>
    <s v="No"/>
    <n v="5"/>
    <s v="Closed"/>
    <s v="February"/>
    <x v="1"/>
    <n v="2026"/>
    <s v="Yes"/>
    <n v="1"/>
    <x v="3"/>
    <n v="1"/>
  </r>
  <r>
    <s v="T000963"/>
    <x v="952"/>
    <d v="2026-02-24T00:39:00"/>
    <x v="4"/>
    <s v="Field Visit"/>
    <x v="1"/>
    <s v="A057"/>
    <x v="1"/>
    <n v="24"/>
    <n v="133.9"/>
    <x v="1"/>
    <s v="No"/>
    <s v="No"/>
    <m/>
    <s v="Closed"/>
    <s v="February"/>
    <x v="1"/>
    <n v="2026"/>
    <s v="No"/>
    <n v="0"/>
    <x v="2"/>
    <n v="1"/>
  </r>
  <r>
    <s v="T000964"/>
    <x v="953"/>
    <d v="2026-02-18T16:25:00"/>
    <x v="3"/>
    <s v="Chat"/>
    <x v="0"/>
    <s v="A026"/>
    <x v="2"/>
    <n v="72"/>
    <n v="5.4"/>
    <x v="0"/>
    <s v="No"/>
    <s v="Yes"/>
    <n v="4"/>
    <s v="Closed"/>
    <s v="February"/>
    <x v="1"/>
    <n v="2026"/>
    <s v="Yes"/>
    <n v="1"/>
    <x v="4"/>
    <n v="0"/>
  </r>
  <r>
    <s v="T000965"/>
    <x v="954"/>
    <d v="2026-02-18T21:33:00"/>
    <x v="2"/>
    <s v="Chat"/>
    <x v="1"/>
    <s v="A005"/>
    <x v="0"/>
    <n v="24"/>
    <n v="10.3"/>
    <x v="1"/>
    <s v="No"/>
    <s v="No"/>
    <m/>
    <s v="Closed"/>
    <s v="February"/>
    <x v="1"/>
    <n v="2026"/>
    <s v="Yes"/>
    <n v="1"/>
    <x v="1"/>
    <n v="1"/>
  </r>
  <r>
    <s v="T000966"/>
    <x v="955"/>
    <d v="2026-02-19T00:22:00"/>
    <x v="0"/>
    <s v="Phone"/>
    <x v="1"/>
    <s v="A032"/>
    <x v="2"/>
    <n v="24"/>
    <n v="12.8"/>
    <x v="1"/>
    <s v="No"/>
    <s v="Yes"/>
    <m/>
    <s v="Closed"/>
    <s v="February"/>
    <x v="1"/>
    <n v="2026"/>
    <s v="Yes"/>
    <n v="1"/>
    <x v="3"/>
    <n v="1"/>
  </r>
  <r>
    <s v="T000967"/>
    <x v="956"/>
    <d v="2026-02-18T15:37:00"/>
    <x v="1"/>
    <s v="Phone"/>
    <x v="0"/>
    <s v="A047"/>
    <x v="1"/>
    <n v="72"/>
    <n v="3.5"/>
    <x v="1"/>
    <s v="No"/>
    <s v="No"/>
    <m/>
    <s v="Closed"/>
    <s v="February"/>
    <x v="1"/>
    <n v="2026"/>
    <s v="Yes"/>
    <n v="1"/>
    <x v="4"/>
    <n v="1"/>
  </r>
  <r>
    <s v="T000968"/>
    <x v="957"/>
    <d v="2026-02-19T04:22:00"/>
    <x v="3"/>
    <s v="Chat"/>
    <x v="1"/>
    <s v="A002"/>
    <x v="0"/>
    <n v="24"/>
    <n v="16"/>
    <x v="1"/>
    <s v="No"/>
    <s v="No"/>
    <n v="4"/>
    <s v="Closed"/>
    <s v="February"/>
    <x v="1"/>
    <n v="2026"/>
    <s v="Yes"/>
    <n v="1"/>
    <x v="4"/>
    <n v="1"/>
  </r>
  <r>
    <s v="T000969"/>
    <x v="958"/>
    <d v="2026-02-18T15:52:00"/>
    <x v="6"/>
    <s v="Phone"/>
    <x v="1"/>
    <s v="A060"/>
    <x v="1"/>
    <n v="24"/>
    <n v="3.3"/>
    <x v="0"/>
    <s v="No"/>
    <s v="No"/>
    <n v="4"/>
    <s v="Closed"/>
    <s v="February"/>
    <x v="1"/>
    <n v="2026"/>
    <s v="Yes"/>
    <n v="1"/>
    <x v="0"/>
    <n v="0"/>
  </r>
  <r>
    <s v="T000970"/>
    <x v="959"/>
    <d v="2026-02-19T23:35:00"/>
    <x v="6"/>
    <s v="Field Visit"/>
    <x v="2"/>
    <s v="A054"/>
    <x v="1"/>
    <n v="4"/>
    <n v="34.9"/>
    <x v="1"/>
    <s v="No"/>
    <s v="No"/>
    <n v="5"/>
    <s v="Closed"/>
    <s v="February"/>
    <x v="1"/>
    <n v="2026"/>
    <s v="No"/>
    <n v="0"/>
    <x v="3"/>
    <n v="1"/>
  </r>
  <r>
    <s v="T000971"/>
    <x v="960"/>
    <d v="2026-02-20T06:42:00"/>
    <x v="1"/>
    <s v="Email"/>
    <x v="1"/>
    <s v="A017"/>
    <x v="2"/>
    <n v="24"/>
    <n v="41.7"/>
    <x v="1"/>
    <s v="No"/>
    <s v="No"/>
    <n v="4"/>
    <s v="Closed"/>
    <s v="February"/>
    <x v="1"/>
    <n v="2026"/>
    <s v="No"/>
    <n v="0"/>
    <x v="2"/>
    <n v="1"/>
  </r>
  <r>
    <s v="T000972"/>
    <x v="961"/>
    <d v="2026-02-19T16:06:00"/>
    <x v="2"/>
    <s v="Phone"/>
    <x v="2"/>
    <s v="A048"/>
    <x v="1"/>
    <n v="4"/>
    <n v="26.3"/>
    <x v="0"/>
    <s v="No"/>
    <s v="No"/>
    <m/>
    <s v="Closed"/>
    <s v="February"/>
    <x v="1"/>
    <n v="2026"/>
    <s v="No"/>
    <n v="0"/>
    <x v="2"/>
    <n v="0"/>
  </r>
  <r>
    <s v="T000973"/>
    <x v="962"/>
    <d v="2026-02-19T16:55:00"/>
    <x v="3"/>
    <s v="Chat"/>
    <x v="0"/>
    <s v="A005"/>
    <x v="0"/>
    <n v="72"/>
    <n v="26.5"/>
    <x v="0"/>
    <s v="Yes"/>
    <s v="No"/>
    <n v="5"/>
    <s v="Closed"/>
    <s v="February"/>
    <x v="1"/>
    <n v="2026"/>
    <s v="Yes"/>
    <n v="1"/>
    <x v="2"/>
    <n v="0"/>
  </r>
  <r>
    <s v="T000974"/>
    <x v="963"/>
    <d v="2026-02-19T12:55:00"/>
    <x v="5"/>
    <s v="Field Visit"/>
    <x v="1"/>
    <s v="A050"/>
    <x v="1"/>
    <n v="24"/>
    <n v="21.6"/>
    <x v="1"/>
    <s v="No"/>
    <s v="No"/>
    <n v="5"/>
    <s v="Closed"/>
    <s v="February"/>
    <x v="1"/>
    <n v="2026"/>
    <s v="Yes"/>
    <n v="1"/>
    <x v="4"/>
    <n v="1"/>
  </r>
  <r>
    <s v="T000975"/>
    <x v="964"/>
    <d v="2026-02-18T20:57:00"/>
    <x v="1"/>
    <s v="Phone"/>
    <x v="0"/>
    <s v="A015"/>
    <x v="0"/>
    <n v="72"/>
    <n v="3.8"/>
    <x v="1"/>
    <s v="No"/>
    <s v="No"/>
    <n v="5"/>
    <s v="Closed"/>
    <s v="February"/>
    <x v="1"/>
    <n v="2026"/>
    <s v="Yes"/>
    <n v="1"/>
    <x v="0"/>
    <n v="1"/>
  </r>
  <r>
    <s v="T000976"/>
    <x v="965"/>
    <d v="2026-02-18T20:00:00"/>
    <x v="1"/>
    <s v="Chat"/>
    <x v="0"/>
    <s v="A014"/>
    <x v="0"/>
    <n v="72"/>
    <n v="2"/>
    <x v="1"/>
    <s v="No"/>
    <s v="No"/>
    <n v="5"/>
    <s v="Closed"/>
    <s v="February"/>
    <x v="1"/>
    <n v="2026"/>
    <s v="Yes"/>
    <n v="1"/>
    <x v="3"/>
    <n v="1"/>
  </r>
  <r>
    <s v="T000977"/>
    <x v="966"/>
    <d v="2026-02-19T05:07:00"/>
    <x v="0"/>
    <s v="Email"/>
    <x v="0"/>
    <s v="A060"/>
    <x v="1"/>
    <n v="72"/>
    <n v="10.6"/>
    <x v="1"/>
    <s v="No"/>
    <s v="No"/>
    <n v="5"/>
    <s v="Closed"/>
    <s v="February"/>
    <x v="1"/>
    <n v="2026"/>
    <s v="Yes"/>
    <n v="1"/>
    <x v="3"/>
    <n v="1"/>
  </r>
  <r>
    <s v="T000978"/>
    <x v="967"/>
    <d v="2026-02-23T18:15:00"/>
    <x v="4"/>
    <s v="Field Visit"/>
    <x v="0"/>
    <s v="A035"/>
    <x v="2"/>
    <n v="72"/>
    <n v="118.5"/>
    <x v="1"/>
    <s v="No"/>
    <s v="No"/>
    <n v="4"/>
    <s v="Closed"/>
    <s v="February"/>
    <x v="1"/>
    <n v="2026"/>
    <s v="No"/>
    <n v="0"/>
    <x v="0"/>
    <n v="1"/>
  </r>
  <r>
    <s v="T000979"/>
    <x v="968"/>
    <d v="2026-02-19T19:05:00"/>
    <x v="1"/>
    <s v="Email"/>
    <x v="1"/>
    <s v="A020"/>
    <x v="2"/>
    <n v="24"/>
    <n v="12.6"/>
    <x v="1"/>
    <s v="No"/>
    <s v="No"/>
    <n v="4"/>
    <s v="Closed"/>
    <s v="February"/>
    <x v="1"/>
    <n v="2026"/>
    <s v="Yes"/>
    <n v="1"/>
    <x v="2"/>
    <n v="1"/>
  </r>
  <r>
    <s v="T000980"/>
    <x v="969"/>
    <d v="2026-02-19T15:35:00"/>
    <x v="2"/>
    <s v="Phone"/>
    <x v="2"/>
    <s v="A036"/>
    <x v="1"/>
    <n v="4"/>
    <n v="6.4"/>
    <x v="1"/>
    <s v="No"/>
    <s v="No"/>
    <m/>
    <s v="Closed"/>
    <s v="February"/>
    <x v="1"/>
    <n v="2026"/>
    <s v="No"/>
    <n v="0"/>
    <x v="0"/>
    <n v="1"/>
  </r>
  <r>
    <s v="T000981"/>
    <x v="970"/>
    <d v="2026-02-21T17:38:00"/>
    <x v="2"/>
    <s v="Field Visit"/>
    <x v="2"/>
    <s v="A012"/>
    <x v="0"/>
    <n v="4"/>
    <n v="55.7"/>
    <x v="0"/>
    <s v="No"/>
    <s v="No"/>
    <m/>
    <s v="Closed"/>
    <s v="February"/>
    <x v="1"/>
    <n v="2026"/>
    <s v="No"/>
    <n v="0"/>
    <x v="0"/>
    <n v="0"/>
  </r>
  <r>
    <s v="T000982"/>
    <x v="971"/>
    <d v="2026-02-20T07:58:00"/>
    <x v="6"/>
    <s v="Field Visit"/>
    <x v="2"/>
    <s v="A050"/>
    <x v="1"/>
    <n v="4"/>
    <n v="21.3"/>
    <x v="1"/>
    <s v="No"/>
    <s v="Yes"/>
    <m/>
    <s v="Closed"/>
    <s v="February"/>
    <x v="1"/>
    <n v="2026"/>
    <s v="No"/>
    <n v="0"/>
    <x v="1"/>
    <n v="1"/>
  </r>
  <r>
    <s v="T000983"/>
    <x v="972"/>
    <d v="2026-02-19T12:27:00"/>
    <x v="0"/>
    <s v="Chat"/>
    <x v="1"/>
    <s v="A011"/>
    <x v="0"/>
    <n v="24"/>
    <n v="1.7"/>
    <x v="0"/>
    <s v="No"/>
    <s v="No"/>
    <n v="3"/>
    <s v="Closed"/>
    <s v="February"/>
    <x v="1"/>
    <n v="2026"/>
    <s v="Yes"/>
    <n v="1"/>
    <x v="0"/>
    <n v="0"/>
  </r>
  <r>
    <s v="T000984"/>
    <x v="973"/>
    <d v="2026-02-24T09:29:00"/>
    <x v="4"/>
    <s v="Field Visit"/>
    <x v="0"/>
    <s v="A051"/>
    <x v="1"/>
    <n v="72"/>
    <n v="118.2"/>
    <x v="0"/>
    <s v="No"/>
    <s v="No"/>
    <n v="2"/>
    <s v="Closed"/>
    <s v="February"/>
    <x v="1"/>
    <n v="2026"/>
    <s v="No"/>
    <n v="0"/>
    <x v="3"/>
    <n v="0"/>
  </r>
  <r>
    <s v="T000985"/>
    <x v="974"/>
    <d v="2026-02-20T09:31:00"/>
    <x v="3"/>
    <s v="Field Visit"/>
    <x v="1"/>
    <s v="A026"/>
    <x v="2"/>
    <n v="24"/>
    <n v="21.4"/>
    <x v="1"/>
    <s v="No"/>
    <s v="No"/>
    <m/>
    <s v="Closed"/>
    <s v="February"/>
    <x v="1"/>
    <n v="2026"/>
    <s v="Yes"/>
    <n v="1"/>
    <x v="1"/>
    <n v="1"/>
  </r>
  <r>
    <s v="T000986"/>
    <x v="975"/>
    <d v="2026-02-20T06:06:00"/>
    <x v="0"/>
    <s v="Phone"/>
    <x v="1"/>
    <s v="A031"/>
    <x v="2"/>
    <n v="24"/>
    <n v="17.899999999999999"/>
    <x v="1"/>
    <s v="No"/>
    <s v="No"/>
    <m/>
    <s v="Closed"/>
    <s v="February"/>
    <x v="1"/>
    <n v="2026"/>
    <s v="Yes"/>
    <n v="1"/>
    <x v="0"/>
    <n v="1"/>
  </r>
  <r>
    <s v="T000987"/>
    <x v="976"/>
    <d v="2026-02-20T06:41:00"/>
    <x v="1"/>
    <s v="Email"/>
    <x v="1"/>
    <s v="A014"/>
    <x v="0"/>
    <n v="24"/>
    <n v="17.7"/>
    <x v="1"/>
    <s v="No"/>
    <s v="No"/>
    <m/>
    <s v="Closed"/>
    <s v="February"/>
    <x v="1"/>
    <n v="2026"/>
    <s v="Yes"/>
    <n v="1"/>
    <x v="1"/>
    <n v="1"/>
  </r>
  <r>
    <s v="T000988"/>
    <x v="977"/>
    <d v="2026-02-20T04:01:00"/>
    <x v="5"/>
    <s v="Chat"/>
    <x v="1"/>
    <s v="A012"/>
    <x v="0"/>
    <n v="24"/>
    <n v="14.8"/>
    <x v="1"/>
    <s v="No"/>
    <s v="No"/>
    <n v="5"/>
    <s v="Closed"/>
    <s v="February"/>
    <x v="1"/>
    <n v="2026"/>
    <s v="Yes"/>
    <n v="1"/>
    <x v="4"/>
    <n v="1"/>
  </r>
  <r>
    <s v="T000989"/>
    <x v="978"/>
    <d v="2026-02-19T18:12:00"/>
    <x v="6"/>
    <s v="Chat"/>
    <x v="1"/>
    <s v="A048"/>
    <x v="1"/>
    <n v="24"/>
    <n v="4.7"/>
    <x v="1"/>
    <s v="No"/>
    <s v="No"/>
    <n v="5"/>
    <s v="Closed"/>
    <s v="February"/>
    <x v="1"/>
    <n v="2026"/>
    <s v="Yes"/>
    <n v="1"/>
    <x v="4"/>
    <n v="1"/>
  </r>
  <r>
    <s v="T000990"/>
    <x v="979"/>
    <d v="2026-02-20T04:20:00"/>
    <x v="6"/>
    <s v="Field Visit"/>
    <x v="2"/>
    <s v="A056"/>
    <x v="1"/>
    <n v="4"/>
    <n v="14.4"/>
    <x v="1"/>
    <s v="No"/>
    <s v="No"/>
    <n v="5"/>
    <s v="Closed"/>
    <s v="February"/>
    <x v="1"/>
    <n v="2026"/>
    <s v="No"/>
    <n v="0"/>
    <x v="3"/>
    <n v="1"/>
  </r>
  <r>
    <s v="T000991"/>
    <x v="980"/>
    <d v="2026-02-19T17:46:00"/>
    <x v="6"/>
    <s v="Field Visit"/>
    <x v="2"/>
    <s v="A023"/>
    <x v="2"/>
    <n v="4"/>
    <n v="3.6"/>
    <x v="0"/>
    <s v="Yes"/>
    <s v="No"/>
    <m/>
    <s v="Closed"/>
    <s v="February"/>
    <x v="1"/>
    <n v="2026"/>
    <s v="Yes"/>
    <n v="1"/>
    <x v="3"/>
    <n v="0"/>
  </r>
  <r>
    <s v="T000992"/>
    <x v="981"/>
    <d v="2026-02-19T17:31:00"/>
    <x v="2"/>
    <s v="Chat"/>
    <x v="1"/>
    <s v="A044"/>
    <x v="1"/>
    <n v="24"/>
    <n v="2.9"/>
    <x v="1"/>
    <s v="No"/>
    <s v="No"/>
    <m/>
    <s v="Closed"/>
    <s v="February"/>
    <x v="1"/>
    <n v="2026"/>
    <s v="Yes"/>
    <n v="1"/>
    <x v="2"/>
    <n v="1"/>
  </r>
  <r>
    <s v="T000993"/>
    <x v="982"/>
    <d v="2026-02-21T15:38:00"/>
    <x v="3"/>
    <s v="Field Visit"/>
    <x v="1"/>
    <s v="A044"/>
    <x v="1"/>
    <n v="24"/>
    <n v="49"/>
    <x v="0"/>
    <s v="Yes"/>
    <s v="No"/>
    <n v="3"/>
    <s v="Closed"/>
    <s v="February"/>
    <x v="1"/>
    <n v="2026"/>
    <s v="No"/>
    <n v="0"/>
    <x v="4"/>
    <n v="0"/>
  </r>
  <r>
    <s v="T000994"/>
    <x v="983"/>
    <d v="2026-02-19T18:58:00"/>
    <x v="0"/>
    <s v="Chat"/>
    <x v="1"/>
    <s v="A028"/>
    <x v="2"/>
    <n v="24"/>
    <n v="2"/>
    <x v="1"/>
    <s v="No"/>
    <s v="No"/>
    <n v="3"/>
    <s v="Closed"/>
    <s v="February"/>
    <x v="1"/>
    <n v="2026"/>
    <s v="Yes"/>
    <n v="1"/>
    <x v="4"/>
    <n v="1"/>
  </r>
  <r>
    <s v="T000995"/>
    <x v="984"/>
    <d v="2026-02-19T21:43:00"/>
    <x v="6"/>
    <s v="Chat"/>
    <x v="2"/>
    <s v="A038"/>
    <x v="1"/>
    <n v="4"/>
    <n v="4.5"/>
    <x v="1"/>
    <s v="No"/>
    <s v="No"/>
    <n v="3"/>
    <s v="Closed"/>
    <s v="February"/>
    <x v="1"/>
    <n v="2026"/>
    <s v="No"/>
    <n v="0"/>
    <x v="2"/>
    <n v="1"/>
  </r>
  <r>
    <s v="T000996"/>
    <x v="985"/>
    <d v="2026-02-19T22:50:00"/>
    <x v="1"/>
    <s v="Chat"/>
    <x v="0"/>
    <s v="A041"/>
    <x v="1"/>
    <n v="72"/>
    <n v="5.4"/>
    <x v="1"/>
    <s v="No"/>
    <s v="No"/>
    <m/>
    <s v="Closed"/>
    <s v="February"/>
    <x v="1"/>
    <n v="2026"/>
    <s v="Yes"/>
    <n v="1"/>
    <x v="1"/>
    <n v="1"/>
  </r>
  <r>
    <s v="T000997"/>
    <x v="986"/>
    <d v="2026-02-20T17:29:00"/>
    <x v="2"/>
    <s v="Phone"/>
    <x v="1"/>
    <s v="A038"/>
    <x v="1"/>
    <n v="24"/>
    <n v="22.4"/>
    <x v="1"/>
    <s v="No"/>
    <s v="No"/>
    <m/>
    <s v="Closed"/>
    <s v="February"/>
    <x v="1"/>
    <n v="2026"/>
    <s v="Yes"/>
    <n v="1"/>
    <x v="2"/>
    <n v="1"/>
  </r>
  <r>
    <s v="T000998"/>
    <x v="987"/>
    <d v="2026-02-23T00:22:00"/>
    <x v="0"/>
    <s v="Field Visit"/>
    <x v="2"/>
    <s v="A021"/>
    <x v="2"/>
    <n v="4"/>
    <n v="75.900000000000006"/>
    <x v="0"/>
    <s v="Yes"/>
    <s v="No"/>
    <n v="3"/>
    <s v="Closed"/>
    <s v="February"/>
    <x v="1"/>
    <n v="2026"/>
    <s v="No"/>
    <n v="0"/>
    <x v="4"/>
    <n v="0"/>
  </r>
  <r>
    <s v="T000999"/>
    <x v="988"/>
    <d v="2026-02-26T12:11:00"/>
    <x v="3"/>
    <s v="Field Visit"/>
    <x v="2"/>
    <s v="A045"/>
    <x v="1"/>
    <n v="4"/>
    <n v="149"/>
    <x v="1"/>
    <s v="No"/>
    <s v="No"/>
    <n v="3"/>
    <s v="Closed"/>
    <s v="February"/>
    <x v="1"/>
    <n v="2026"/>
    <s v="No"/>
    <n v="0"/>
    <x v="1"/>
    <n v="1"/>
  </r>
  <r>
    <s v="T001000"/>
    <x v="989"/>
    <d v="2026-02-21T03:17:00"/>
    <x v="0"/>
    <s v="Field Visit"/>
    <x v="1"/>
    <s v="A057"/>
    <x v="1"/>
    <n v="24"/>
    <n v="19.399999999999999"/>
    <x v="1"/>
    <s v="No"/>
    <s v="No"/>
    <n v="5"/>
    <s v="Closed"/>
    <s v="February"/>
    <x v="1"/>
    <n v="2026"/>
    <s v="Yes"/>
    <n v="1"/>
    <x v="1"/>
    <n v="1"/>
  </r>
  <r>
    <s v="T001001"/>
    <x v="990"/>
    <d v="2026-02-20T15:13:00"/>
    <x v="6"/>
    <s v="Chat"/>
    <x v="0"/>
    <s v="A031"/>
    <x v="2"/>
    <n v="72"/>
    <n v="7"/>
    <x v="1"/>
    <s v="No"/>
    <s v="No"/>
    <n v="5"/>
    <s v="Closed"/>
    <s v="February"/>
    <x v="1"/>
    <n v="2026"/>
    <s v="Yes"/>
    <n v="1"/>
    <x v="4"/>
    <n v="1"/>
  </r>
  <r>
    <s v="T001002"/>
    <x v="991"/>
    <d v="2026-02-23T08:33:00"/>
    <x v="4"/>
    <s v="Field Visit"/>
    <x v="1"/>
    <s v="A056"/>
    <x v="1"/>
    <n v="24"/>
    <n v="72.3"/>
    <x v="1"/>
    <s v="No"/>
    <s v="No"/>
    <m/>
    <s v="Closed"/>
    <s v="February"/>
    <x v="1"/>
    <n v="2026"/>
    <s v="No"/>
    <n v="0"/>
    <x v="2"/>
    <n v="1"/>
  </r>
  <r>
    <s v="T001003"/>
    <x v="992"/>
    <d v="2026-02-21T02:33:00"/>
    <x v="4"/>
    <s v="Chat"/>
    <x v="1"/>
    <s v="A043"/>
    <x v="1"/>
    <n v="24"/>
    <n v="17.8"/>
    <x v="0"/>
    <s v="Yes"/>
    <s v="No"/>
    <n v="2"/>
    <s v="Closed"/>
    <s v="February"/>
    <x v="1"/>
    <n v="2026"/>
    <s v="Yes"/>
    <n v="1"/>
    <x v="4"/>
    <n v="0"/>
  </r>
  <r>
    <s v="T001004"/>
    <x v="993"/>
    <d v="2026-02-21T05:24:00"/>
    <x v="0"/>
    <s v="Email"/>
    <x v="2"/>
    <s v="A055"/>
    <x v="1"/>
    <n v="4"/>
    <n v="20.5"/>
    <x v="1"/>
    <s v="No"/>
    <s v="Yes"/>
    <n v="4"/>
    <s v="Closed"/>
    <s v="February"/>
    <x v="1"/>
    <n v="2026"/>
    <s v="No"/>
    <n v="0"/>
    <x v="3"/>
    <n v="1"/>
  </r>
  <r>
    <s v="T001005"/>
    <x v="994"/>
    <d v="2026-02-20T19:09:00"/>
    <x v="0"/>
    <s v="Phone"/>
    <x v="2"/>
    <s v="A016"/>
    <x v="2"/>
    <n v="4"/>
    <n v="9"/>
    <x v="0"/>
    <s v="No"/>
    <s v="No"/>
    <m/>
    <s v="Closed"/>
    <s v="February"/>
    <x v="1"/>
    <n v="2026"/>
    <s v="No"/>
    <n v="0"/>
    <x v="4"/>
    <n v="0"/>
  </r>
  <r>
    <s v="T001006"/>
    <x v="995"/>
    <d v="2026-02-20T14:19:00"/>
    <x v="1"/>
    <s v="Phone"/>
    <x v="1"/>
    <s v="A045"/>
    <x v="1"/>
    <n v="24"/>
    <n v="3.8"/>
    <x v="1"/>
    <s v="No"/>
    <s v="No"/>
    <m/>
    <s v="Closed"/>
    <s v="February"/>
    <x v="1"/>
    <n v="2026"/>
    <s v="Yes"/>
    <n v="1"/>
    <x v="1"/>
    <n v="1"/>
  </r>
  <r>
    <s v="T001007"/>
    <x v="996"/>
    <d v="2026-02-20T13:36:00"/>
    <x v="1"/>
    <s v="Chat"/>
    <x v="1"/>
    <s v="A047"/>
    <x v="1"/>
    <n v="24"/>
    <n v="2.7"/>
    <x v="1"/>
    <s v="No"/>
    <s v="No"/>
    <m/>
    <s v="Closed"/>
    <s v="February"/>
    <x v="1"/>
    <n v="2026"/>
    <s v="Yes"/>
    <n v="1"/>
    <x v="1"/>
    <n v="1"/>
  </r>
  <r>
    <s v="T001008"/>
    <x v="997"/>
    <d v="2026-02-21T06:49:00"/>
    <x v="4"/>
    <s v="Field Visit"/>
    <x v="1"/>
    <s v="A030"/>
    <x v="2"/>
    <n v="24"/>
    <n v="19.5"/>
    <x v="1"/>
    <s v="No"/>
    <s v="No"/>
    <n v="5"/>
    <s v="Closed"/>
    <s v="February"/>
    <x v="1"/>
    <n v="2026"/>
    <s v="Yes"/>
    <n v="1"/>
    <x v="1"/>
    <n v="1"/>
  </r>
  <r>
    <s v="T001009"/>
    <x v="998"/>
    <d v="2026-02-20T15:11:00"/>
    <x v="1"/>
    <s v="Chat"/>
    <x v="0"/>
    <s v="A007"/>
    <x v="0"/>
    <n v="72"/>
    <n v="3.7"/>
    <x v="1"/>
    <s v="No"/>
    <s v="No"/>
    <m/>
    <s v="Closed"/>
    <s v="February"/>
    <x v="1"/>
    <n v="2026"/>
    <s v="Yes"/>
    <n v="1"/>
    <x v="3"/>
    <n v="1"/>
  </r>
  <r>
    <s v="T001010"/>
    <x v="999"/>
    <d v="2026-02-22T20:46:00"/>
    <x v="5"/>
    <s v="Email"/>
    <x v="1"/>
    <s v="A016"/>
    <x v="2"/>
    <n v="24"/>
    <n v="57.1"/>
    <x v="0"/>
    <s v="Yes"/>
    <s v="No"/>
    <n v="3"/>
    <s v="Closed"/>
    <s v="February"/>
    <x v="1"/>
    <n v="2026"/>
    <s v="No"/>
    <n v="0"/>
    <x v="1"/>
    <n v="0"/>
  </r>
  <r>
    <s v="T001011"/>
    <x v="1000"/>
    <d v="2026-02-21T23:54:00"/>
    <x v="2"/>
    <s v="Email"/>
    <x v="0"/>
    <s v="A045"/>
    <x v="1"/>
    <n v="72"/>
    <n v="34.700000000000003"/>
    <x v="1"/>
    <s v="No"/>
    <s v="No"/>
    <m/>
    <s v="Closed"/>
    <s v="February"/>
    <x v="1"/>
    <n v="2026"/>
    <s v="Yes"/>
    <n v="1"/>
    <x v="2"/>
    <n v="1"/>
  </r>
  <r>
    <s v="T001012"/>
    <x v="1001"/>
    <d v="2026-02-20T15:50:00"/>
    <x v="6"/>
    <s v="Phone"/>
    <x v="2"/>
    <s v="A025"/>
    <x v="2"/>
    <n v="4"/>
    <n v="2.6"/>
    <x v="0"/>
    <s v="Yes"/>
    <s v="No"/>
    <n v="3"/>
    <s v="Closed"/>
    <s v="February"/>
    <x v="1"/>
    <n v="2026"/>
    <s v="Yes"/>
    <n v="1"/>
    <x v="3"/>
    <n v="0"/>
  </r>
  <r>
    <s v="T001013"/>
    <x v="1002"/>
    <d v="2026-02-28T18:51:00"/>
    <x v="4"/>
    <s v="Field Visit"/>
    <x v="1"/>
    <s v="A014"/>
    <x v="0"/>
    <n v="24"/>
    <n v="196.9"/>
    <x v="0"/>
    <s v="Yes"/>
    <s v="No"/>
    <n v="2"/>
    <s v="Closed"/>
    <s v="February"/>
    <x v="1"/>
    <n v="2026"/>
    <s v="No"/>
    <n v="0"/>
    <x v="3"/>
    <n v="0"/>
  </r>
  <r>
    <s v="T001014"/>
    <x v="1003"/>
    <d v="2026-02-20T23:41:00"/>
    <x v="5"/>
    <s v="Phone"/>
    <x v="2"/>
    <s v="A017"/>
    <x v="2"/>
    <n v="4"/>
    <n v="9.3000000000000007"/>
    <x v="1"/>
    <s v="No"/>
    <s v="Yes"/>
    <n v="3"/>
    <s v="Closed"/>
    <s v="February"/>
    <x v="1"/>
    <n v="2026"/>
    <s v="No"/>
    <n v="0"/>
    <x v="4"/>
    <n v="1"/>
  </r>
  <r>
    <s v="T001015"/>
    <x v="1004"/>
    <d v="2026-02-20T22:01:00"/>
    <x v="5"/>
    <s v="Email"/>
    <x v="1"/>
    <s v="A030"/>
    <x v="2"/>
    <n v="24"/>
    <n v="7.6"/>
    <x v="0"/>
    <s v="Yes"/>
    <s v="No"/>
    <m/>
    <s v="Closed"/>
    <s v="February"/>
    <x v="1"/>
    <n v="2026"/>
    <s v="Yes"/>
    <n v="1"/>
    <x v="3"/>
    <n v="0"/>
  </r>
  <r>
    <s v="T001016"/>
    <x v="1005"/>
    <d v="2026-02-21T23:29:00"/>
    <x v="3"/>
    <s v="Field Visit"/>
    <x v="1"/>
    <s v="A037"/>
    <x v="1"/>
    <n v="24"/>
    <n v="32.6"/>
    <x v="0"/>
    <s v="No"/>
    <s v="No"/>
    <n v="4"/>
    <s v="Closed"/>
    <s v="February"/>
    <x v="1"/>
    <n v="2026"/>
    <s v="No"/>
    <n v="0"/>
    <x v="4"/>
    <n v="0"/>
  </r>
  <r>
    <s v="T001017"/>
    <x v="1006"/>
    <d v="2026-02-20T17:46:00"/>
    <x v="1"/>
    <s v="Chat"/>
    <x v="1"/>
    <s v="A013"/>
    <x v="0"/>
    <n v="24"/>
    <n v="2.6"/>
    <x v="1"/>
    <s v="No"/>
    <s v="No"/>
    <n v="4"/>
    <s v="Closed"/>
    <s v="February"/>
    <x v="1"/>
    <n v="2026"/>
    <s v="Yes"/>
    <n v="1"/>
    <x v="0"/>
    <n v="1"/>
  </r>
  <r>
    <s v="T001018"/>
    <x v="1007"/>
    <d v="2026-02-20T23:50:00"/>
    <x v="0"/>
    <s v="Phone"/>
    <x v="0"/>
    <s v="A059"/>
    <x v="1"/>
    <n v="72"/>
    <n v="8.6"/>
    <x v="1"/>
    <s v="No"/>
    <s v="No"/>
    <m/>
    <s v="Closed"/>
    <s v="February"/>
    <x v="1"/>
    <n v="2026"/>
    <s v="Yes"/>
    <n v="1"/>
    <x v="4"/>
    <n v="1"/>
  </r>
  <r>
    <s v="T001019"/>
    <x v="1008"/>
    <d v="2026-02-20T18:39:00"/>
    <x v="5"/>
    <s v="Chat"/>
    <x v="0"/>
    <s v="A003"/>
    <x v="0"/>
    <n v="72"/>
    <n v="3.4"/>
    <x v="0"/>
    <s v="Yes"/>
    <s v="No"/>
    <m/>
    <s v="Closed"/>
    <s v="February"/>
    <x v="1"/>
    <n v="2026"/>
    <s v="Yes"/>
    <n v="1"/>
    <x v="4"/>
    <n v="0"/>
  </r>
  <r>
    <s v="T001020"/>
    <x v="1009"/>
    <d v="2026-02-20T17:56:00"/>
    <x v="6"/>
    <s v="Chat"/>
    <x v="2"/>
    <s v="A012"/>
    <x v="0"/>
    <n v="4"/>
    <n v="2.2000000000000002"/>
    <x v="0"/>
    <s v="No"/>
    <s v="Yes"/>
    <n v="3"/>
    <s v="Closed"/>
    <s v="February"/>
    <x v="1"/>
    <n v="2026"/>
    <s v="Yes"/>
    <n v="1"/>
    <x v="1"/>
    <n v="0"/>
  </r>
  <r>
    <s v="T001021"/>
    <x v="1010"/>
    <d v="2026-02-21T16:15:00"/>
    <x v="2"/>
    <s v="Phone"/>
    <x v="2"/>
    <s v="A037"/>
    <x v="1"/>
    <n v="4"/>
    <n v="24"/>
    <x v="1"/>
    <s v="No"/>
    <s v="Yes"/>
    <n v="3"/>
    <s v="Closed"/>
    <s v="February"/>
    <x v="1"/>
    <n v="2026"/>
    <s v="No"/>
    <n v="0"/>
    <x v="2"/>
    <n v="1"/>
  </r>
  <r>
    <s v="T001022"/>
    <x v="1011"/>
    <d v="2026-02-23T10:25:00"/>
    <x v="3"/>
    <s v="Field Visit"/>
    <x v="2"/>
    <s v="A051"/>
    <x v="1"/>
    <n v="4"/>
    <n v="62.8"/>
    <x v="1"/>
    <s v="No"/>
    <s v="No"/>
    <m/>
    <s v="Closed"/>
    <s v="February"/>
    <x v="1"/>
    <n v="2026"/>
    <s v="No"/>
    <n v="0"/>
    <x v="1"/>
    <n v="1"/>
  </r>
  <r>
    <s v="T001023"/>
    <x v="1012"/>
    <d v="2026-02-23T22:49:00"/>
    <x v="3"/>
    <s v="Field Visit"/>
    <x v="1"/>
    <s v="A043"/>
    <x v="1"/>
    <n v="24"/>
    <n v="66.8"/>
    <x v="0"/>
    <s v="Yes"/>
    <s v="No"/>
    <m/>
    <s v="Closed"/>
    <s v="February"/>
    <x v="1"/>
    <n v="2026"/>
    <s v="No"/>
    <n v="0"/>
    <x v="2"/>
    <n v="0"/>
  </r>
  <r>
    <s v="T001024"/>
    <x v="1013"/>
    <d v="2026-02-22T07:09:00"/>
    <x v="6"/>
    <s v="Field Visit"/>
    <x v="1"/>
    <s v="A039"/>
    <x v="1"/>
    <n v="24"/>
    <n v="22.4"/>
    <x v="1"/>
    <s v="No"/>
    <s v="Yes"/>
    <m/>
    <s v="Closed"/>
    <s v="February"/>
    <x v="1"/>
    <n v="2026"/>
    <s v="Yes"/>
    <n v="1"/>
    <x v="2"/>
    <n v="1"/>
  </r>
  <r>
    <s v="T001025"/>
    <x v="1014"/>
    <d v="2026-02-22T04:12:00"/>
    <x v="2"/>
    <s v="Chat"/>
    <x v="0"/>
    <s v="A030"/>
    <x v="2"/>
    <n v="72"/>
    <n v="18.8"/>
    <x v="1"/>
    <s v="No"/>
    <s v="No"/>
    <m/>
    <s v="Closed"/>
    <s v="February"/>
    <x v="1"/>
    <n v="2026"/>
    <s v="Yes"/>
    <n v="1"/>
    <x v="2"/>
    <n v="1"/>
  </r>
  <r>
    <s v="T001026"/>
    <x v="1015"/>
    <d v="2026-02-21T14:35:00"/>
    <x v="5"/>
    <s v="Phone"/>
    <x v="0"/>
    <s v="A039"/>
    <x v="1"/>
    <n v="72"/>
    <n v="4.7"/>
    <x v="1"/>
    <s v="No"/>
    <s v="No"/>
    <n v="4"/>
    <s v="Closed"/>
    <s v="February"/>
    <x v="1"/>
    <n v="2026"/>
    <s v="Yes"/>
    <n v="1"/>
    <x v="4"/>
    <n v="1"/>
  </r>
  <r>
    <s v="T001027"/>
    <x v="1016"/>
    <d v="2026-02-22T12:08:00"/>
    <x v="5"/>
    <s v="Email"/>
    <x v="1"/>
    <s v="A012"/>
    <x v="0"/>
    <n v="24"/>
    <n v="25.5"/>
    <x v="0"/>
    <s v="No"/>
    <s v="No"/>
    <m/>
    <s v="Closed"/>
    <s v="February"/>
    <x v="1"/>
    <n v="2026"/>
    <s v="No"/>
    <n v="0"/>
    <x v="1"/>
    <n v="0"/>
  </r>
  <r>
    <s v="T001028"/>
    <x v="1017"/>
    <d v="2026-02-22T00:12:00"/>
    <x v="1"/>
    <s v="Phone"/>
    <x v="1"/>
    <s v="A005"/>
    <x v="0"/>
    <n v="24"/>
    <n v="12.6"/>
    <x v="0"/>
    <s v="No"/>
    <s v="Yes"/>
    <n v="4"/>
    <s v="Closed"/>
    <s v="February"/>
    <x v="1"/>
    <n v="2026"/>
    <s v="Yes"/>
    <n v="1"/>
    <x v="0"/>
    <n v="0"/>
  </r>
  <r>
    <s v="T001029"/>
    <x v="1018"/>
    <d v="2026-02-23T21:15:00"/>
    <x v="6"/>
    <s v="Field Visit"/>
    <x v="2"/>
    <s v="A028"/>
    <x v="2"/>
    <n v="4"/>
    <n v="57.5"/>
    <x v="1"/>
    <s v="No"/>
    <s v="No"/>
    <n v="5"/>
    <s v="Closed"/>
    <s v="February"/>
    <x v="1"/>
    <n v="2026"/>
    <s v="No"/>
    <n v="0"/>
    <x v="2"/>
    <n v="1"/>
  </r>
  <r>
    <s v="T001030"/>
    <x v="1019"/>
    <d v="2026-02-22T11:03:00"/>
    <x v="2"/>
    <s v="Phone"/>
    <x v="0"/>
    <s v="A005"/>
    <x v="0"/>
    <n v="72"/>
    <n v="20.8"/>
    <x v="1"/>
    <s v="No"/>
    <s v="No"/>
    <n v="5"/>
    <s v="Closed"/>
    <s v="February"/>
    <x v="1"/>
    <n v="2026"/>
    <s v="Yes"/>
    <n v="1"/>
    <x v="2"/>
    <n v="1"/>
  </r>
  <r>
    <s v="T001031"/>
    <x v="1020"/>
    <d v="2026-02-23T02:11:00"/>
    <x v="3"/>
    <s v="Phone"/>
    <x v="1"/>
    <s v="A049"/>
    <x v="1"/>
    <n v="24"/>
    <n v="33.4"/>
    <x v="1"/>
    <s v="No"/>
    <s v="No"/>
    <n v="4"/>
    <s v="Closed"/>
    <s v="February"/>
    <x v="1"/>
    <n v="2026"/>
    <s v="No"/>
    <n v="0"/>
    <x v="2"/>
    <n v="1"/>
  </r>
  <r>
    <s v="T001032"/>
    <x v="1021"/>
    <d v="2026-02-22T13:12:00"/>
    <x v="2"/>
    <s v="Chat"/>
    <x v="0"/>
    <s v="A029"/>
    <x v="2"/>
    <n v="72"/>
    <n v="20.399999999999999"/>
    <x v="1"/>
    <s v="No"/>
    <s v="No"/>
    <m/>
    <s v="Closed"/>
    <s v="February"/>
    <x v="1"/>
    <n v="2026"/>
    <s v="Yes"/>
    <n v="1"/>
    <x v="1"/>
    <n v="1"/>
  </r>
  <r>
    <s v="T001033"/>
    <x v="1022"/>
    <d v="2026-02-22T04:30:00"/>
    <x v="5"/>
    <s v="Phone"/>
    <x v="0"/>
    <s v="A018"/>
    <x v="2"/>
    <n v="72"/>
    <n v="11.3"/>
    <x v="1"/>
    <s v="No"/>
    <s v="No"/>
    <n v="5"/>
    <s v="Closed"/>
    <s v="February"/>
    <x v="1"/>
    <n v="2026"/>
    <s v="Yes"/>
    <n v="1"/>
    <x v="4"/>
    <n v="1"/>
  </r>
  <r>
    <s v="T001034"/>
    <x v="1023"/>
    <d v="2026-02-22T11:51:00"/>
    <x v="6"/>
    <s v="Field Visit"/>
    <x v="2"/>
    <s v="A021"/>
    <x v="2"/>
    <n v="4"/>
    <n v="18"/>
    <x v="0"/>
    <s v="No"/>
    <s v="Yes"/>
    <m/>
    <s v="Closed"/>
    <s v="February"/>
    <x v="1"/>
    <n v="2026"/>
    <s v="No"/>
    <n v="0"/>
    <x v="0"/>
    <n v="0"/>
  </r>
  <r>
    <s v="T001035"/>
    <x v="1024"/>
    <d v="2026-02-22T21:41:00"/>
    <x v="6"/>
    <s v="Field Visit"/>
    <x v="2"/>
    <s v="A045"/>
    <x v="1"/>
    <n v="4"/>
    <n v="27.7"/>
    <x v="0"/>
    <s v="No"/>
    <s v="No"/>
    <n v="4"/>
    <s v="Closed"/>
    <s v="February"/>
    <x v="1"/>
    <n v="2026"/>
    <s v="No"/>
    <n v="0"/>
    <x v="3"/>
    <n v="0"/>
  </r>
  <r>
    <s v="T001036"/>
    <x v="1025"/>
    <d v="2026-02-22T02:38:00"/>
    <x v="6"/>
    <s v="Chat"/>
    <x v="2"/>
    <s v="A056"/>
    <x v="1"/>
    <n v="4"/>
    <n v="6.8"/>
    <x v="1"/>
    <s v="No"/>
    <s v="No"/>
    <m/>
    <s v="Closed"/>
    <s v="February"/>
    <x v="1"/>
    <n v="2026"/>
    <s v="No"/>
    <n v="0"/>
    <x v="4"/>
    <n v="1"/>
  </r>
  <r>
    <s v="T001037"/>
    <x v="1026"/>
    <d v="2026-02-23T22:36:00"/>
    <x v="3"/>
    <s v="Phone"/>
    <x v="1"/>
    <s v="A004"/>
    <x v="0"/>
    <n v="24"/>
    <n v="50.1"/>
    <x v="0"/>
    <s v="Yes"/>
    <s v="No"/>
    <n v="2"/>
    <s v="Closed"/>
    <s v="February"/>
    <x v="1"/>
    <n v="2026"/>
    <s v="No"/>
    <n v="0"/>
    <x v="4"/>
    <n v="0"/>
  </r>
  <r>
    <s v="T001038"/>
    <x v="1027"/>
    <d v="2026-02-25T02:35:00"/>
    <x v="4"/>
    <s v="Chat"/>
    <x v="1"/>
    <s v="A058"/>
    <x v="1"/>
    <n v="24"/>
    <n v="77.7"/>
    <x v="0"/>
    <s v="Yes"/>
    <s v="No"/>
    <m/>
    <s v="Closed"/>
    <s v="February"/>
    <x v="1"/>
    <n v="2026"/>
    <s v="No"/>
    <n v="0"/>
    <x v="2"/>
    <n v="0"/>
  </r>
  <r>
    <s v="T001039"/>
    <x v="1028"/>
    <d v="2026-02-22T10:43:00"/>
    <x v="6"/>
    <s v="Chat"/>
    <x v="0"/>
    <s v="A021"/>
    <x v="2"/>
    <n v="72"/>
    <n v="8"/>
    <x v="1"/>
    <s v="No"/>
    <s v="Yes"/>
    <n v="4"/>
    <s v="Closed"/>
    <s v="February"/>
    <x v="1"/>
    <n v="2026"/>
    <s v="Yes"/>
    <n v="1"/>
    <x v="3"/>
    <n v="1"/>
  </r>
  <r>
    <s v="T001040"/>
    <x v="1029"/>
    <d v="2026-02-22T18:37:00"/>
    <x v="1"/>
    <s v="Phone"/>
    <x v="0"/>
    <s v="A044"/>
    <x v="1"/>
    <n v="72"/>
    <n v="12.4"/>
    <x v="1"/>
    <s v="No"/>
    <s v="No"/>
    <n v="5"/>
    <s v="Closed"/>
    <s v="February"/>
    <x v="1"/>
    <n v="2026"/>
    <s v="Yes"/>
    <n v="1"/>
    <x v="0"/>
    <n v="1"/>
  </r>
  <r>
    <s v="T001041"/>
    <x v="1030"/>
    <d v="2026-02-22T21:41:00"/>
    <x v="6"/>
    <s v="Field Visit"/>
    <x v="1"/>
    <s v="A043"/>
    <x v="1"/>
    <n v="24"/>
    <n v="14.6"/>
    <x v="0"/>
    <s v="Yes"/>
    <s v="No"/>
    <n v="1"/>
    <s v="Closed"/>
    <s v="February"/>
    <x v="1"/>
    <n v="2026"/>
    <s v="Yes"/>
    <n v="1"/>
    <x v="3"/>
    <n v="0"/>
  </r>
  <r>
    <s v="T001042"/>
    <x v="1031"/>
    <d v="2026-02-22T16:52:00"/>
    <x v="2"/>
    <s v="Chat"/>
    <x v="1"/>
    <s v="A020"/>
    <x v="2"/>
    <n v="24"/>
    <n v="9.3000000000000007"/>
    <x v="1"/>
    <s v="No"/>
    <s v="No"/>
    <n v="4"/>
    <s v="Closed"/>
    <s v="February"/>
    <x v="1"/>
    <n v="2026"/>
    <s v="Yes"/>
    <n v="1"/>
    <x v="4"/>
    <n v="1"/>
  </r>
  <r>
    <s v="T001043"/>
    <x v="1032"/>
    <d v="2026-02-22T15:44:00"/>
    <x v="2"/>
    <s v="Phone"/>
    <x v="2"/>
    <s v="A039"/>
    <x v="1"/>
    <n v="4"/>
    <n v="7.3"/>
    <x v="1"/>
    <s v="No"/>
    <s v="No"/>
    <n v="2"/>
    <s v="Closed"/>
    <s v="February"/>
    <x v="1"/>
    <n v="2026"/>
    <s v="No"/>
    <n v="0"/>
    <x v="4"/>
    <n v="1"/>
  </r>
  <r>
    <s v="T001044"/>
    <x v="1033"/>
    <d v="2026-02-22T17:25:00"/>
    <x v="2"/>
    <s v="Phone"/>
    <x v="2"/>
    <s v="A018"/>
    <x v="2"/>
    <n v="4"/>
    <n v="8.8000000000000007"/>
    <x v="1"/>
    <s v="No"/>
    <s v="No"/>
    <m/>
    <s v="Closed"/>
    <s v="February"/>
    <x v="1"/>
    <n v="2026"/>
    <s v="No"/>
    <n v="0"/>
    <x v="3"/>
    <n v="1"/>
  </r>
  <r>
    <s v="T001045"/>
    <x v="1034"/>
    <d v="2026-02-23T01:06:00"/>
    <x v="2"/>
    <s v="Phone"/>
    <x v="0"/>
    <s v="A057"/>
    <x v="1"/>
    <n v="72"/>
    <n v="16.3"/>
    <x v="1"/>
    <s v="No"/>
    <s v="No"/>
    <n v="5"/>
    <s v="Closed"/>
    <s v="February"/>
    <x v="1"/>
    <n v="2026"/>
    <s v="Yes"/>
    <n v="1"/>
    <x v="3"/>
    <n v="1"/>
  </r>
  <r>
    <s v="T001046"/>
    <x v="1035"/>
    <d v="2026-02-25T02:27:00"/>
    <x v="2"/>
    <s v="Field Visit"/>
    <x v="1"/>
    <s v="A006"/>
    <x v="0"/>
    <n v="24"/>
    <n v="65.400000000000006"/>
    <x v="0"/>
    <s v="Yes"/>
    <s v="No"/>
    <m/>
    <s v="Closed"/>
    <s v="February"/>
    <x v="1"/>
    <n v="2026"/>
    <s v="No"/>
    <n v="0"/>
    <x v="4"/>
    <n v="0"/>
  </r>
  <r>
    <s v="T001047"/>
    <x v="1036"/>
    <d v="2026-02-22T15:10:00"/>
    <x v="1"/>
    <s v="Phone"/>
    <x v="1"/>
    <s v="A056"/>
    <x v="1"/>
    <n v="24"/>
    <n v="6.1"/>
    <x v="1"/>
    <s v="No"/>
    <s v="No"/>
    <m/>
    <s v="Closed"/>
    <s v="February"/>
    <x v="1"/>
    <n v="2026"/>
    <s v="Yes"/>
    <n v="1"/>
    <x v="0"/>
    <n v="1"/>
  </r>
  <r>
    <s v="T001048"/>
    <x v="1037"/>
    <d v="2026-02-22T15:52:00"/>
    <x v="1"/>
    <s v="Phone"/>
    <x v="0"/>
    <s v="A040"/>
    <x v="1"/>
    <n v="72"/>
    <n v="5.8"/>
    <x v="1"/>
    <s v="No"/>
    <s v="No"/>
    <m/>
    <s v="Closed"/>
    <s v="February"/>
    <x v="1"/>
    <n v="2026"/>
    <s v="Yes"/>
    <n v="1"/>
    <x v="4"/>
    <n v="1"/>
  </r>
  <r>
    <s v="T001049"/>
    <x v="1038"/>
    <d v="2026-02-23T09:23:00"/>
    <x v="6"/>
    <s v="Phone"/>
    <x v="2"/>
    <s v="A002"/>
    <x v="0"/>
    <n v="4"/>
    <n v="22.6"/>
    <x v="0"/>
    <s v="Yes"/>
    <s v="No"/>
    <m/>
    <s v="Closed"/>
    <s v="February"/>
    <x v="1"/>
    <n v="2026"/>
    <s v="No"/>
    <n v="0"/>
    <x v="2"/>
    <n v="0"/>
  </r>
  <r>
    <s v="T001050"/>
    <x v="1039"/>
    <d v="2026-02-23T01:01:00"/>
    <x v="1"/>
    <s v="Phone"/>
    <x v="0"/>
    <s v="A037"/>
    <x v="1"/>
    <n v="72"/>
    <n v="13.8"/>
    <x v="1"/>
    <s v="No"/>
    <s v="No"/>
    <n v="5"/>
    <s v="Closed"/>
    <s v="February"/>
    <x v="1"/>
    <n v="2026"/>
    <s v="Yes"/>
    <n v="1"/>
    <x v="4"/>
    <n v="1"/>
  </r>
  <r>
    <s v="T001051"/>
    <x v="1040"/>
    <d v="2026-02-23T13:29:00"/>
    <x v="0"/>
    <s v="Field Visit"/>
    <x v="2"/>
    <s v="A052"/>
    <x v="1"/>
    <n v="4"/>
    <n v="26.1"/>
    <x v="0"/>
    <s v="No"/>
    <s v="No"/>
    <m/>
    <s v="Closed"/>
    <s v="February"/>
    <x v="1"/>
    <n v="2026"/>
    <s v="No"/>
    <n v="0"/>
    <x v="2"/>
    <n v="0"/>
  </r>
  <r>
    <s v="T001052"/>
    <x v="1041"/>
    <d v="2026-03-07T18:39:00"/>
    <x v="4"/>
    <s v="Field Visit"/>
    <x v="2"/>
    <s v="A002"/>
    <x v="0"/>
    <n v="4"/>
    <n v="318.8"/>
    <x v="1"/>
    <s v="No"/>
    <s v="No"/>
    <n v="4"/>
    <s v="Closed"/>
    <s v="February"/>
    <x v="1"/>
    <n v="2026"/>
    <s v="No"/>
    <n v="0"/>
    <x v="2"/>
    <n v="1"/>
  </r>
  <r>
    <s v="T001053"/>
    <x v="1042"/>
    <d v="2026-02-23T13:18:00"/>
    <x v="0"/>
    <s v="Phone"/>
    <x v="0"/>
    <s v="A040"/>
    <x v="1"/>
    <n v="72"/>
    <n v="24.4"/>
    <x v="0"/>
    <s v="No"/>
    <s v="No"/>
    <m/>
    <s v="Closed"/>
    <s v="February"/>
    <x v="1"/>
    <n v="2026"/>
    <s v="Yes"/>
    <n v="1"/>
    <x v="0"/>
    <n v="0"/>
  </r>
  <r>
    <s v="T001054"/>
    <x v="1043"/>
    <d v="2026-02-22T16:14:00"/>
    <x v="1"/>
    <s v="Chat"/>
    <x v="0"/>
    <s v="A044"/>
    <x v="1"/>
    <n v="72"/>
    <n v="3.1"/>
    <x v="0"/>
    <s v="No"/>
    <s v="No"/>
    <n v="4"/>
    <s v="Closed"/>
    <s v="February"/>
    <x v="1"/>
    <n v="2026"/>
    <s v="Yes"/>
    <n v="1"/>
    <x v="4"/>
    <n v="0"/>
  </r>
  <r>
    <s v="T001055"/>
    <x v="1044"/>
    <d v="2026-02-22T23:22:00"/>
    <x v="0"/>
    <s v="Chat"/>
    <x v="0"/>
    <s v="A035"/>
    <x v="2"/>
    <n v="72"/>
    <n v="9.6999999999999993"/>
    <x v="1"/>
    <s v="No"/>
    <s v="No"/>
    <n v="5"/>
    <s v="Closed"/>
    <s v="February"/>
    <x v="1"/>
    <n v="2026"/>
    <s v="Yes"/>
    <n v="1"/>
    <x v="2"/>
    <n v="1"/>
  </r>
  <r>
    <s v="T001056"/>
    <x v="1045"/>
    <d v="2026-02-28T17:06:00"/>
    <x v="4"/>
    <s v="Field Visit"/>
    <x v="1"/>
    <s v="A020"/>
    <x v="2"/>
    <n v="24"/>
    <n v="147.30000000000001"/>
    <x v="1"/>
    <s v="No"/>
    <s v="Yes"/>
    <m/>
    <s v="Closed"/>
    <s v="February"/>
    <x v="1"/>
    <n v="2026"/>
    <s v="No"/>
    <n v="0"/>
    <x v="0"/>
    <n v="1"/>
  </r>
  <r>
    <s v="T001057"/>
    <x v="1046"/>
    <d v="2026-02-24T06:39:00"/>
    <x v="4"/>
    <s v="Field Visit"/>
    <x v="2"/>
    <s v="A040"/>
    <x v="1"/>
    <n v="4"/>
    <n v="40.799999999999997"/>
    <x v="1"/>
    <s v="No"/>
    <s v="No"/>
    <n v="4"/>
    <s v="Closed"/>
    <s v="February"/>
    <x v="1"/>
    <n v="2026"/>
    <s v="No"/>
    <n v="0"/>
    <x v="1"/>
    <n v="1"/>
  </r>
  <r>
    <s v="T001058"/>
    <x v="1047"/>
    <d v="2026-02-26T09:31:00"/>
    <x v="4"/>
    <s v="Field Visit"/>
    <x v="1"/>
    <s v="A054"/>
    <x v="1"/>
    <n v="24"/>
    <n v="90.7"/>
    <x v="0"/>
    <s v="No"/>
    <s v="Yes"/>
    <n v="2"/>
    <s v="Closed"/>
    <s v="February"/>
    <x v="1"/>
    <n v="2026"/>
    <s v="No"/>
    <n v="0"/>
    <x v="4"/>
    <n v="0"/>
  </r>
  <r>
    <s v="T001059"/>
    <x v="1048"/>
    <d v="2026-02-23T05:30:00"/>
    <x v="1"/>
    <s v="Email"/>
    <x v="0"/>
    <s v="A053"/>
    <x v="1"/>
    <n v="72"/>
    <n v="14.6"/>
    <x v="1"/>
    <s v="No"/>
    <s v="No"/>
    <m/>
    <s v="Closed"/>
    <s v="February"/>
    <x v="1"/>
    <n v="2026"/>
    <s v="Yes"/>
    <n v="1"/>
    <x v="2"/>
    <n v="1"/>
  </r>
  <r>
    <s v="T001060"/>
    <x v="1049"/>
    <d v="2026-02-24T11:38:00"/>
    <x v="1"/>
    <s v="Email"/>
    <x v="0"/>
    <s v="A052"/>
    <x v="1"/>
    <n v="72"/>
    <n v="44.6"/>
    <x v="1"/>
    <s v="No"/>
    <s v="No"/>
    <n v="5"/>
    <s v="Closed"/>
    <s v="February"/>
    <x v="1"/>
    <n v="2026"/>
    <s v="Yes"/>
    <n v="1"/>
    <x v="4"/>
    <n v="1"/>
  </r>
  <r>
    <s v="T001061"/>
    <x v="1050"/>
    <d v="2026-02-23T07:31:00"/>
    <x v="3"/>
    <s v="Chat"/>
    <x v="1"/>
    <s v="A023"/>
    <x v="2"/>
    <n v="24"/>
    <n v="16.100000000000001"/>
    <x v="1"/>
    <s v="No"/>
    <s v="No"/>
    <n v="5"/>
    <s v="Closed"/>
    <s v="February"/>
    <x v="1"/>
    <n v="2026"/>
    <s v="Yes"/>
    <n v="1"/>
    <x v="4"/>
    <n v="1"/>
  </r>
  <r>
    <s v="T001062"/>
    <x v="1051"/>
    <d v="2026-02-23T00:02:00"/>
    <x v="1"/>
    <s v="Chat"/>
    <x v="0"/>
    <s v="A029"/>
    <x v="2"/>
    <n v="72"/>
    <n v="8.3000000000000007"/>
    <x v="0"/>
    <s v="Yes"/>
    <s v="No"/>
    <m/>
    <s v="Closed"/>
    <s v="February"/>
    <x v="1"/>
    <n v="2026"/>
    <s v="Yes"/>
    <n v="1"/>
    <x v="3"/>
    <n v="0"/>
  </r>
  <r>
    <s v="T001063"/>
    <x v="1052"/>
    <d v="2026-02-26T04:25:00"/>
    <x v="4"/>
    <s v="Field Visit"/>
    <x v="2"/>
    <s v="A043"/>
    <x v="1"/>
    <n v="4"/>
    <n v="84"/>
    <x v="0"/>
    <s v="Yes"/>
    <s v="No"/>
    <n v="3"/>
    <s v="Closed"/>
    <s v="February"/>
    <x v="1"/>
    <n v="2026"/>
    <s v="No"/>
    <n v="0"/>
    <x v="4"/>
    <n v="0"/>
  </r>
  <r>
    <s v="T001064"/>
    <x v="1053"/>
    <d v="2026-02-24T13:58:00"/>
    <x v="0"/>
    <s v="Field Visit"/>
    <x v="0"/>
    <s v="A022"/>
    <x v="2"/>
    <n v="72"/>
    <n v="45.5"/>
    <x v="0"/>
    <s v="No"/>
    <s v="No"/>
    <m/>
    <s v="Closed"/>
    <s v="February"/>
    <x v="1"/>
    <n v="2026"/>
    <s v="Yes"/>
    <n v="1"/>
    <x v="1"/>
    <n v="0"/>
  </r>
  <r>
    <s v="T001065"/>
    <x v="1054"/>
    <d v="2026-02-23T18:13:00"/>
    <x v="0"/>
    <s v="Field Visit"/>
    <x v="2"/>
    <s v="A041"/>
    <x v="1"/>
    <n v="4"/>
    <n v="24.1"/>
    <x v="0"/>
    <s v="Yes"/>
    <s v="No"/>
    <m/>
    <s v="Closed"/>
    <s v="February"/>
    <x v="1"/>
    <n v="2026"/>
    <s v="No"/>
    <n v="0"/>
    <x v="1"/>
    <n v="0"/>
  </r>
  <r>
    <s v="T001066"/>
    <x v="1055"/>
    <d v="2026-02-23T14:26:00"/>
    <x v="3"/>
    <s v="Field Visit"/>
    <x v="0"/>
    <s v="A045"/>
    <x v="1"/>
    <n v="72"/>
    <n v="20.2"/>
    <x v="1"/>
    <s v="No"/>
    <s v="No"/>
    <m/>
    <s v="Closed"/>
    <s v="February"/>
    <x v="1"/>
    <n v="2026"/>
    <s v="Yes"/>
    <n v="1"/>
    <x v="0"/>
    <n v="1"/>
  </r>
  <r>
    <s v="T001067"/>
    <x v="1056"/>
    <d v="2026-02-23T02:57:00"/>
    <x v="6"/>
    <s v="Chat"/>
    <x v="1"/>
    <s v="A019"/>
    <x v="2"/>
    <n v="24"/>
    <n v="5.5"/>
    <x v="1"/>
    <s v="No"/>
    <s v="No"/>
    <n v="5"/>
    <s v="Closed"/>
    <s v="February"/>
    <x v="1"/>
    <n v="2026"/>
    <s v="Yes"/>
    <n v="1"/>
    <x v="0"/>
    <n v="1"/>
  </r>
  <r>
    <s v="T001068"/>
    <x v="1057"/>
    <d v="2026-02-24T08:49:00"/>
    <x v="3"/>
    <s v="Field Visit"/>
    <x v="1"/>
    <s v="A048"/>
    <x v="1"/>
    <n v="24"/>
    <n v="25.5"/>
    <x v="1"/>
    <s v="No"/>
    <s v="No"/>
    <n v="4"/>
    <s v="Closed"/>
    <s v="February"/>
    <x v="1"/>
    <n v="2026"/>
    <s v="No"/>
    <n v="0"/>
    <x v="2"/>
    <n v="1"/>
  </r>
  <r>
    <s v="T001069"/>
    <x v="1058"/>
    <d v="2026-02-23T12:02:00"/>
    <x v="5"/>
    <s v="Phone"/>
    <x v="1"/>
    <s v="A035"/>
    <x v="2"/>
    <n v="24"/>
    <n v="4.7"/>
    <x v="0"/>
    <s v="No"/>
    <s v="Yes"/>
    <m/>
    <s v="Closed"/>
    <s v="February"/>
    <x v="1"/>
    <n v="2026"/>
    <s v="Yes"/>
    <n v="1"/>
    <x v="1"/>
    <n v="0"/>
  </r>
  <r>
    <s v="T001070"/>
    <x v="1059"/>
    <d v="2026-02-24T20:04:00"/>
    <x v="0"/>
    <s v="Field Visit"/>
    <x v="1"/>
    <s v="A026"/>
    <x v="2"/>
    <n v="24"/>
    <n v="35.9"/>
    <x v="1"/>
    <s v="No"/>
    <s v="No"/>
    <n v="5"/>
    <s v="Closed"/>
    <s v="February"/>
    <x v="1"/>
    <n v="2026"/>
    <s v="No"/>
    <n v="0"/>
    <x v="4"/>
    <n v="1"/>
  </r>
  <r>
    <s v="T001071"/>
    <x v="1060"/>
    <d v="2026-02-23T10:56:00"/>
    <x v="1"/>
    <s v="Chat"/>
    <x v="0"/>
    <s v="A034"/>
    <x v="2"/>
    <n v="72"/>
    <n v="1.8"/>
    <x v="0"/>
    <s v="Yes"/>
    <s v="No"/>
    <n v="3"/>
    <s v="Closed"/>
    <s v="February"/>
    <x v="1"/>
    <n v="2026"/>
    <s v="Yes"/>
    <n v="1"/>
    <x v="0"/>
    <n v="0"/>
  </r>
  <r>
    <s v="T001072"/>
    <x v="1061"/>
    <d v="2026-02-25T10:28:00"/>
    <x v="4"/>
    <s v="Phone"/>
    <x v="2"/>
    <s v="A016"/>
    <x v="2"/>
    <n v="4"/>
    <n v="47.8"/>
    <x v="1"/>
    <s v="No"/>
    <s v="Yes"/>
    <n v="4"/>
    <s v="Closed"/>
    <s v="February"/>
    <x v="1"/>
    <n v="2026"/>
    <s v="No"/>
    <n v="0"/>
    <x v="2"/>
    <n v="1"/>
  </r>
  <r>
    <s v="T001073"/>
    <x v="1062"/>
    <d v="2026-02-23T19:06:00"/>
    <x v="6"/>
    <s v="Phone"/>
    <x v="2"/>
    <s v="A037"/>
    <x v="1"/>
    <n v="4"/>
    <n v="8.1"/>
    <x v="1"/>
    <s v="No"/>
    <s v="Yes"/>
    <m/>
    <s v="Closed"/>
    <s v="February"/>
    <x v="1"/>
    <n v="2026"/>
    <s v="No"/>
    <n v="0"/>
    <x v="4"/>
    <n v="1"/>
  </r>
  <r>
    <s v="T001074"/>
    <x v="1063"/>
    <d v="2026-02-23T16:35:00"/>
    <x v="1"/>
    <s v="Phone"/>
    <x v="1"/>
    <s v="A037"/>
    <x v="1"/>
    <n v="24"/>
    <n v="5.5"/>
    <x v="0"/>
    <s v="No"/>
    <s v="No"/>
    <n v="4"/>
    <s v="Closed"/>
    <s v="February"/>
    <x v="1"/>
    <n v="2026"/>
    <s v="Yes"/>
    <n v="1"/>
    <x v="3"/>
    <n v="0"/>
  </r>
  <r>
    <s v="T001076"/>
    <x v="1064"/>
    <d v="2026-02-23T15:53:00"/>
    <x v="5"/>
    <s v="Phone"/>
    <x v="2"/>
    <s v="A028"/>
    <x v="2"/>
    <n v="4"/>
    <n v="4.3"/>
    <x v="1"/>
    <s v="No"/>
    <s v="No"/>
    <m/>
    <s v="Closed"/>
    <s v="February"/>
    <x v="1"/>
    <n v="2026"/>
    <s v="No"/>
    <n v="0"/>
    <x v="1"/>
    <n v="1"/>
  </r>
  <r>
    <s v="T001075"/>
    <x v="1064"/>
    <d v="2026-02-24T08:41:00"/>
    <x v="3"/>
    <s v="Field Visit"/>
    <x v="2"/>
    <s v="A017"/>
    <x v="2"/>
    <n v="4"/>
    <n v="21.1"/>
    <x v="0"/>
    <s v="Yes"/>
    <s v="Yes"/>
    <m/>
    <s v="Closed"/>
    <s v="February"/>
    <x v="1"/>
    <n v="2026"/>
    <s v="No"/>
    <n v="0"/>
    <x v="2"/>
    <n v="0"/>
  </r>
  <r>
    <s v="T001077"/>
    <x v="1065"/>
    <d v="2026-02-23T14:29:00"/>
    <x v="6"/>
    <s v="Chat"/>
    <x v="2"/>
    <s v="A048"/>
    <x v="1"/>
    <n v="4"/>
    <n v="2.8"/>
    <x v="1"/>
    <s v="No"/>
    <s v="No"/>
    <n v="5"/>
    <s v="Closed"/>
    <s v="February"/>
    <x v="1"/>
    <n v="2026"/>
    <s v="Yes"/>
    <n v="1"/>
    <x v="3"/>
    <n v="1"/>
  </r>
  <r>
    <s v="T001078"/>
    <x v="1066"/>
    <d v="2026-02-24T00:26:00"/>
    <x v="0"/>
    <s v="Chat"/>
    <x v="0"/>
    <s v="A040"/>
    <x v="1"/>
    <n v="72"/>
    <n v="12.5"/>
    <x v="1"/>
    <s v="No"/>
    <s v="No"/>
    <n v="5"/>
    <s v="Closed"/>
    <s v="February"/>
    <x v="1"/>
    <n v="2026"/>
    <s v="Yes"/>
    <n v="1"/>
    <x v="4"/>
    <n v="1"/>
  </r>
  <r>
    <s v="T001079"/>
    <x v="1067"/>
    <d v="2026-02-23T17:20:00"/>
    <x v="5"/>
    <s v="Chat"/>
    <x v="1"/>
    <s v="A019"/>
    <x v="2"/>
    <n v="24"/>
    <n v="5.2"/>
    <x v="1"/>
    <s v="No"/>
    <s v="No"/>
    <m/>
    <s v="Closed"/>
    <s v="February"/>
    <x v="1"/>
    <n v="2026"/>
    <s v="Yes"/>
    <n v="1"/>
    <x v="3"/>
    <n v="1"/>
  </r>
  <r>
    <s v="T001080"/>
    <x v="1068"/>
    <d v="2026-02-23T19:38:00"/>
    <x v="0"/>
    <s v="Email"/>
    <x v="0"/>
    <s v="A025"/>
    <x v="2"/>
    <n v="72"/>
    <n v="6.6"/>
    <x v="1"/>
    <s v="No"/>
    <s v="No"/>
    <n v="5"/>
    <s v="Closed"/>
    <s v="February"/>
    <x v="1"/>
    <n v="2026"/>
    <s v="Yes"/>
    <n v="1"/>
    <x v="1"/>
    <n v="1"/>
  </r>
  <r>
    <s v="T001081"/>
    <x v="1069"/>
    <d v="2026-02-23T18:49:00"/>
    <x v="1"/>
    <s v="Chat"/>
    <x v="0"/>
    <s v="A028"/>
    <x v="2"/>
    <n v="72"/>
    <n v="5.5"/>
    <x v="0"/>
    <s v="No"/>
    <s v="No"/>
    <n v="5"/>
    <s v="Closed"/>
    <s v="February"/>
    <x v="1"/>
    <n v="2026"/>
    <s v="Yes"/>
    <n v="1"/>
    <x v="3"/>
    <n v="0"/>
  </r>
  <r>
    <s v="T001082"/>
    <x v="1070"/>
    <d v="2026-02-24T00:59:00"/>
    <x v="0"/>
    <s v="Phone"/>
    <x v="1"/>
    <s v="A044"/>
    <x v="1"/>
    <n v="24"/>
    <n v="11.6"/>
    <x v="0"/>
    <s v="No"/>
    <s v="Yes"/>
    <m/>
    <s v="Closed"/>
    <s v="February"/>
    <x v="1"/>
    <n v="2026"/>
    <s v="Yes"/>
    <n v="1"/>
    <x v="1"/>
    <n v="0"/>
  </r>
  <r>
    <s v="T001083"/>
    <x v="1071"/>
    <d v="2026-02-27T07:57:00"/>
    <x v="4"/>
    <s v="Field Visit"/>
    <x v="0"/>
    <s v="A029"/>
    <x v="2"/>
    <n v="72"/>
    <n v="90.4"/>
    <x v="1"/>
    <s v="No"/>
    <s v="No"/>
    <n v="5"/>
    <s v="Closed"/>
    <s v="February"/>
    <x v="1"/>
    <n v="2026"/>
    <s v="No"/>
    <n v="0"/>
    <x v="2"/>
    <n v="1"/>
  </r>
  <r>
    <s v="T001084"/>
    <x v="1072"/>
    <d v="2026-02-24T10:52:00"/>
    <x v="4"/>
    <s v="Email"/>
    <x v="1"/>
    <s v="A050"/>
    <x v="1"/>
    <n v="24"/>
    <n v="20.6"/>
    <x v="0"/>
    <s v="Yes"/>
    <s v="No"/>
    <n v="4"/>
    <s v="Closed"/>
    <s v="February"/>
    <x v="1"/>
    <n v="2026"/>
    <s v="Yes"/>
    <n v="1"/>
    <x v="2"/>
    <n v="0"/>
  </r>
  <r>
    <s v="T001085"/>
    <x v="1073"/>
    <d v="2026-02-24T03:15:00"/>
    <x v="0"/>
    <s v="Phone"/>
    <x v="1"/>
    <s v="A059"/>
    <x v="1"/>
    <n v="24"/>
    <n v="12.8"/>
    <x v="1"/>
    <s v="No"/>
    <s v="No"/>
    <m/>
    <s v="Closed"/>
    <s v="February"/>
    <x v="1"/>
    <n v="2026"/>
    <s v="Yes"/>
    <n v="1"/>
    <x v="3"/>
    <n v="1"/>
  </r>
  <r>
    <s v="T001086"/>
    <x v="1074"/>
    <d v="2026-02-24T05:02:00"/>
    <x v="6"/>
    <s v="Phone"/>
    <x v="2"/>
    <s v="A030"/>
    <x v="2"/>
    <n v="4"/>
    <n v="14.5"/>
    <x v="0"/>
    <s v="Yes"/>
    <s v="No"/>
    <n v="4"/>
    <s v="Closed"/>
    <s v="February"/>
    <x v="1"/>
    <n v="2026"/>
    <s v="No"/>
    <n v="0"/>
    <x v="1"/>
    <n v="0"/>
  </r>
  <r>
    <s v="T001087"/>
    <x v="1075"/>
    <d v="2026-02-24T03:49:00"/>
    <x v="4"/>
    <s v="Chat"/>
    <x v="1"/>
    <s v="A003"/>
    <x v="0"/>
    <n v="24"/>
    <n v="12.6"/>
    <x v="0"/>
    <s v="No"/>
    <s v="No"/>
    <n v="5"/>
    <s v="Closed"/>
    <s v="February"/>
    <x v="1"/>
    <n v="2026"/>
    <s v="Yes"/>
    <n v="1"/>
    <x v="2"/>
    <n v="0"/>
  </r>
  <r>
    <s v="T001088"/>
    <x v="1076"/>
    <d v="2026-02-26T19:24:00"/>
    <x v="4"/>
    <s v="Field Visit"/>
    <x v="0"/>
    <s v="A053"/>
    <x v="1"/>
    <n v="72"/>
    <n v="74.5"/>
    <x v="1"/>
    <s v="No"/>
    <s v="No"/>
    <m/>
    <s v="Closed"/>
    <s v="February"/>
    <x v="1"/>
    <n v="2026"/>
    <s v="No"/>
    <n v="0"/>
    <x v="4"/>
    <n v="1"/>
  </r>
  <r>
    <s v="T001089"/>
    <x v="1077"/>
    <d v="2026-02-24T01:33:00"/>
    <x v="1"/>
    <s v="Phone"/>
    <x v="0"/>
    <s v="A060"/>
    <x v="1"/>
    <n v="72"/>
    <n v="8.1999999999999993"/>
    <x v="1"/>
    <s v="No"/>
    <s v="No"/>
    <n v="5"/>
    <s v="Closed"/>
    <s v="February"/>
    <x v="1"/>
    <n v="2026"/>
    <s v="Yes"/>
    <n v="1"/>
    <x v="3"/>
    <n v="1"/>
  </r>
  <r>
    <s v="T001090"/>
    <x v="1078"/>
    <d v="2026-02-24T03:06:00"/>
    <x v="0"/>
    <s v="Chat"/>
    <x v="0"/>
    <s v="A001"/>
    <x v="0"/>
    <n v="72"/>
    <n v="8.1999999999999993"/>
    <x v="0"/>
    <s v="Yes"/>
    <s v="Yes"/>
    <m/>
    <s v="Closed"/>
    <s v="February"/>
    <x v="1"/>
    <n v="2026"/>
    <s v="Yes"/>
    <n v="1"/>
    <x v="1"/>
    <n v="0"/>
  </r>
  <r>
    <s v="T001091"/>
    <x v="1079"/>
    <d v="2026-02-24T03:10:00"/>
    <x v="6"/>
    <s v="Phone"/>
    <x v="2"/>
    <s v="A015"/>
    <x v="0"/>
    <n v="4"/>
    <n v="8.1999999999999993"/>
    <x v="0"/>
    <s v="No"/>
    <s v="No"/>
    <n v="2"/>
    <s v="Closed"/>
    <s v="February"/>
    <x v="1"/>
    <n v="2026"/>
    <s v="No"/>
    <n v="0"/>
    <x v="4"/>
    <n v="0"/>
  </r>
  <r>
    <s v="T001092"/>
    <x v="1080"/>
    <d v="2026-02-28T21:34:00"/>
    <x v="4"/>
    <s v="Field Visit"/>
    <x v="0"/>
    <s v="A057"/>
    <x v="1"/>
    <n v="72"/>
    <n v="122.2"/>
    <x v="1"/>
    <s v="No"/>
    <s v="Yes"/>
    <n v="5"/>
    <s v="Closed"/>
    <s v="February"/>
    <x v="1"/>
    <n v="2026"/>
    <s v="No"/>
    <n v="0"/>
    <x v="4"/>
    <n v="1"/>
  </r>
  <r>
    <s v="T001093"/>
    <x v="1081"/>
    <d v="2026-02-25T15:14:00"/>
    <x v="4"/>
    <s v="Phone"/>
    <x v="2"/>
    <s v="A039"/>
    <x v="1"/>
    <n v="4"/>
    <n v="43.5"/>
    <x v="1"/>
    <s v="No"/>
    <s v="No"/>
    <m/>
    <s v="Closed"/>
    <s v="February"/>
    <x v="1"/>
    <n v="2026"/>
    <s v="No"/>
    <n v="0"/>
    <x v="2"/>
    <n v="1"/>
  </r>
  <r>
    <s v="T001094"/>
    <x v="1082"/>
    <d v="2026-02-24T14:03:00"/>
    <x v="5"/>
    <s v="Phone"/>
    <x v="2"/>
    <s v="A027"/>
    <x v="2"/>
    <n v="4"/>
    <n v="9.5"/>
    <x v="1"/>
    <s v="No"/>
    <s v="No"/>
    <n v="4"/>
    <s v="Closed"/>
    <s v="February"/>
    <x v="1"/>
    <n v="2026"/>
    <s v="No"/>
    <n v="0"/>
    <x v="2"/>
    <n v="1"/>
  </r>
  <r>
    <s v="T001095"/>
    <x v="1083"/>
    <d v="2026-02-26T17:33:00"/>
    <x v="4"/>
    <s v="Field Visit"/>
    <x v="2"/>
    <s v="A052"/>
    <x v="1"/>
    <n v="4"/>
    <n v="60.1"/>
    <x v="0"/>
    <s v="No"/>
    <s v="No"/>
    <n v="5"/>
    <s v="Closed"/>
    <s v="February"/>
    <x v="1"/>
    <n v="2026"/>
    <s v="No"/>
    <n v="0"/>
    <x v="1"/>
    <n v="0"/>
  </r>
  <r>
    <s v="T001096"/>
    <x v="1084"/>
    <d v="2026-02-24T13:55:00"/>
    <x v="6"/>
    <s v="Chat"/>
    <x v="1"/>
    <s v="A026"/>
    <x v="2"/>
    <n v="24"/>
    <n v="5.5"/>
    <x v="1"/>
    <s v="No"/>
    <s v="No"/>
    <n v="5"/>
    <s v="Closed"/>
    <s v="February"/>
    <x v="1"/>
    <n v="2026"/>
    <s v="Yes"/>
    <n v="1"/>
    <x v="2"/>
    <n v="1"/>
  </r>
  <r>
    <s v="T001097"/>
    <x v="1085"/>
    <d v="2026-02-24T13:18:00"/>
    <x v="1"/>
    <s v="Chat"/>
    <x v="1"/>
    <s v="A022"/>
    <x v="2"/>
    <n v="24"/>
    <n v="4"/>
    <x v="0"/>
    <s v="Yes"/>
    <s v="No"/>
    <n v="4"/>
    <s v="Closed"/>
    <s v="February"/>
    <x v="1"/>
    <n v="2026"/>
    <s v="Yes"/>
    <n v="1"/>
    <x v="3"/>
    <n v="0"/>
  </r>
  <r>
    <s v="T001098"/>
    <x v="1086"/>
    <d v="2026-02-25T22:15:00"/>
    <x v="4"/>
    <s v="Field Visit"/>
    <x v="0"/>
    <s v="A048"/>
    <x v="1"/>
    <n v="72"/>
    <n v="36.6"/>
    <x v="1"/>
    <s v="No"/>
    <s v="No"/>
    <m/>
    <s v="Closed"/>
    <s v="February"/>
    <x v="1"/>
    <n v="2026"/>
    <s v="Yes"/>
    <n v="1"/>
    <x v="2"/>
    <n v="1"/>
  </r>
  <r>
    <s v="T001099"/>
    <x v="1087"/>
    <d v="2026-02-24T14:29:00"/>
    <x v="6"/>
    <s v="Phone"/>
    <x v="2"/>
    <s v="A030"/>
    <x v="2"/>
    <n v="4"/>
    <n v="4.8"/>
    <x v="1"/>
    <s v="No"/>
    <s v="Yes"/>
    <n v="4"/>
    <s v="Closed"/>
    <s v="February"/>
    <x v="1"/>
    <n v="2026"/>
    <s v="No"/>
    <n v="0"/>
    <x v="4"/>
    <n v="1"/>
  </r>
  <r>
    <s v="T001100"/>
    <x v="1088"/>
    <d v="2026-02-24T15:12:00"/>
    <x v="0"/>
    <s v="Chat"/>
    <x v="1"/>
    <s v="A047"/>
    <x v="1"/>
    <n v="24"/>
    <n v="5.5"/>
    <x v="1"/>
    <s v="No"/>
    <s v="No"/>
    <m/>
    <s v="Closed"/>
    <s v="February"/>
    <x v="1"/>
    <n v="2026"/>
    <s v="Yes"/>
    <n v="1"/>
    <x v="4"/>
    <n v="1"/>
  </r>
  <r>
    <s v="T001101"/>
    <x v="1089"/>
    <d v="2026-02-25T05:08:00"/>
    <x v="4"/>
    <s v="Phone"/>
    <x v="0"/>
    <s v="A029"/>
    <x v="2"/>
    <n v="72"/>
    <n v="18.8"/>
    <x v="1"/>
    <s v="No"/>
    <s v="No"/>
    <n v="4"/>
    <s v="Closed"/>
    <s v="February"/>
    <x v="1"/>
    <n v="2026"/>
    <s v="Yes"/>
    <n v="1"/>
    <x v="3"/>
    <n v="1"/>
  </r>
  <r>
    <s v="T001102"/>
    <x v="1090"/>
    <d v="2026-02-24T19:52:00"/>
    <x v="1"/>
    <s v="Phone"/>
    <x v="0"/>
    <s v="A060"/>
    <x v="1"/>
    <n v="72"/>
    <n v="8.9"/>
    <x v="1"/>
    <s v="No"/>
    <s v="No"/>
    <m/>
    <s v="Closed"/>
    <s v="February"/>
    <x v="1"/>
    <n v="2026"/>
    <s v="Yes"/>
    <n v="1"/>
    <x v="2"/>
    <n v="1"/>
  </r>
  <r>
    <s v="T001103"/>
    <x v="1091"/>
    <d v="2026-02-25T16:03:00"/>
    <x v="0"/>
    <s v="Email"/>
    <x v="1"/>
    <s v="A022"/>
    <x v="2"/>
    <n v="24"/>
    <n v="29"/>
    <x v="1"/>
    <s v="No"/>
    <s v="No"/>
    <m/>
    <s v="Closed"/>
    <s v="February"/>
    <x v="1"/>
    <n v="2026"/>
    <s v="No"/>
    <n v="0"/>
    <x v="4"/>
    <n v="1"/>
  </r>
  <r>
    <s v="T001104"/>
    <x v="1092"/>
    <d v="2026-02-24T20:45:00"/>
    <x v="2"/>
    <s v="Phone"/>
    <x v="1"/>
    <s v="A057"/>
    <x v="1"/>
    <n v="24"/>
    <n v="9.4"/>
    <x v="1"/>
    <s v="No"/>
    <s v="No"/>
    <n v="5"/>
    <s v="Closed"/>
    <s v="February"/>
    <x v="1"/>
    <n v="2026"/>
    <s v="Yes"/>
    <n v="1"/>
    <x v="1"/>
    <n v="1"/>
  </r>
  <r>
    <s v="T001105"/>
    <x v="1093"/>
    <d v="2026-02-24T22:07:00"/>
    <x v="2"/>
    <s v="Chat"/>
    <x v="1"/>
    <s v="A015"/>
    <x v="0"/>
    <n v="24"/>
    <n v="10.4"/>
    <x v="1"/>
    <s v="No"/>
    <s v="No"/>
    <n v="4"/>
    <s v="Closed"/>
    <s v="February"/>
    <x v="1"/>
    <n v="2026"/>
    <s v="Yes"/>
    <n v="1"/>
    <x v="4"/>
    <n v="1"/>
  </r>
  <r>
    <s v="T001106"/>
    <x v="1094"/>
    <d v="2026-02-25T10:35:00"/>
    <x v="6"/>
    <s v="Field Visit"/>
    <x v="1"/>
    <s v="A042"/>
    <x v="1"/>
    <n v="24"/>
    <n v="22.7"/>
    <x v="0"/>
    <s v="No"/>
    <s v="No"/>
    <m/>
    <s v="Closed"/>
    <s v="February"/>
    <x v="1"/>
    <n v="2026"/>
    <s v="Yes"/>
    <n v="1"/>
    <x v="4"/>
    <n v="0"/>
  </r>
  <r>
    <s v="T001107"/>
    <x v="1095"/>
    <d v="2026-02-25T11:08:00"/>
    <x v="5"/>
    <s v="Phone"/>
    <x v="2"/>
    <s v="A032"/>
    <x v="2"/>
    <n v="4"/>
    <n v="23.2"/>
    <x v="0"/>
    <s v="No"/>
    <s v="No"/>
    <m/>
    <s v="Closed"/>
    <s v="February"/>
    <x v="1"/>
    <n v="2026"/>
    <s v="No"/>
    <n v="0"/>
    <x v="4"/>
    <n v="0"/>
  </r>
  <r>
    <s v="T001108"/>
    <x v="1096"/>
    <d v="2026-02-25T00:41:00"/>
    <x v="1"/>
    <s v="Email"/>
    <x v="0"/>
    <s v="A053"/>
    <x v="1"/>
    <n v="72"/>
    <n v="12.6"/>
    <x v="1"/>
    <s v="No"/>
    <s v="No"/>
    <n v="5"/>
    <s v="Closed"/>
    <s v="February"/>
    <x v="1"/>
    <n v="2026"/>
    <s v="Yes"/>
    <n v="1"/>
    <x v="3"/>
    <n v="1"/>
  </r>
  <r>
    <s v="T001109"/>
    <x v="1097"/>
    <d v="2026-02-24T17:54:00"/>
    <x v="1"/>
    <s v="Phone"/>
    <x v="1"/>
    <s v="A030"/>
    <x v="2"/>
    <n v="24"/>
    <n v="5.3"/>
    <x v="1"/>
    <s v="No"/>
    <s v="No"/>
    <m/>
    <s v="Closed"/>
    <s v="February"/>
    <x v="1"/>
    <n v="2026"/>
    <s v="Yes"/>
    <n v="1"/>
    <x v="0"/>
    <n v="1"/>
  </r>
  <r>
    <s v="T001110"/>
    <x v="1098"/>
    <d v="2026-02-24T15:26:00"/>
    <x v="0"/>
    <s v="Chat"/>
    <x v="1"/>
    <s v="A002"/>
    <x v="0"/>
    <n v="24"/>
    <n v="2.8"/>
    <x v="1"/>
    <s v="No"/>
    <s v="No"/>
    <m/>
    <s v="Closed"/>
    <s v="February"/>
    <x v="1"/>
    <n v="2026"/>
    <s v="Yes"/>
    <n v="1"/>
    <x v="3"/>
    <n v="1"/>
  </r>
  <r>
    <s v="T001111"/>
    <x v="1099"/>
    <d v="2026-02-24T21:28:00"/>
    <x v="1"/>
    <s v="Phone"/>
    <x v="1"/>
    <s v="A060"/>
    <x v="1"/>
    <n v="24"/>
    <n v="6.7"/>
    <x v="1"/>
    <s v="No"/>
    <s v="No"/>
    <n v="5"/>
    <s v="Closed"/>
    <s v="February"/>
    <x v="1"/>
    <n v="2026"/>
    <s v="Yes"/>
    <n v="1"/>
    <x v="2"/>
    <n v="1"/>
  </r>
  <r>
    <s v="T001112"/>
    <x v="1100"/>
    <d v="2026-02-24T20:30:00"/>
    <x v="5"/>
    <s v="Chat"/>
    <x v="0"/>
    <s v="A037"/>
    <x v="1"/>
    <n v="72"/>
    <n v="5.5"/>
    <x v="1"/>
    <s v="No"/>
    <s v="No"/>
    <n v="5"/>
    <s v="Closed"/>
    <s v="February"/>
    <x v="1"/>
    <n v="2026"/>
    <s v="Yes"/>
    <n v="1"/>
    <x v="1"/>
    <n v="1"/>
  </r>
  <r>
    <s v="T001113"/>
    <x v="1101"/>
    <d v="2026-02-24T18:05:00"/>
    <x v="6"/>
    <s v="Phone"/>
    <x v="2"/>
    <s v="A038"/>
    <x v="1"/>
    <n v="4"/>
    <n v="2.5"/>
    <x v="1"/>
    <s v="No"/>
    <s v="Yes"/>
    <n v="4"/>
    <s v="Closed"/>
    <s v="February"/>
    <x v="1"/>
    <n v="2026"/>
    <s v="Yes"/>
    <n v="1"/>
    <x v="3"/>
    <n v="1"/>
  </r>
  <r>
    <s v="T001114"/>
    <x v="1102"/>
    <d v="2026-02-24T20:55:00"/>
    <x v="0"/>
    <s v="Phone"/>
    <x v="1"/>
    <s v="A032"/>
    <x v="2"/>
    <n v="24"/>
    <n v="5"/>
    <x v="1"/>
    <s v="No"/>
    <s v="Yes"/>
    <m/>
    <s v="Closed"/>
    <s v="February"/>
    <x v="1"/>
    <n v="2026"/>
    <s v="Yes"/>
    <n v="1"/>
    <x v="1"/>
    <n v="1"/>
  </r>
  <r>
    <s v="T001115"/>
    <x v="1103"/>
    <d v="2026-02-25T02:55:00"/>
    <x v="6"/>
    <s v="Phone"/>
    <x v="2"/>
    <s v="A051"/>
    <x v="1"/>
    <n v="4"/>
    <n v="10.7"/>
    <x v="1"/>
    <s v="No"/>
    <s v="Yes"/>
    <n v="4"/>
    <s v="Closed"/>
    <s v="February"/>
    <x v="1"/>
    <n v="2026"/>
    <s v="No"/>
    <n v="0"/>
    <x v="2"/>
    <n v="1"/>
  </r>
  <r>
    <s v="T001116"/>
    <x v="1104"/>
    <d v="2026-02-25T03:40:00"/>
    <x v="6"/>
    <s v="Phone"/>
    <x v="2"/>
    <s v="A012"/>
    <x v="0"/>
    <n v="4"/>
    <n v="10.9"/>
    <x v="0"/>
    <s v="No"/>
    <s v="Yes"/>
    <n v="4"/>
    <s v="Closed"/>
    <s v="February"/>
    <x v="1"/>
    <n v="2026"/>
    <s v="No"/>
    <n v="0"/>
    <x v="3"/>
    <n v="0"/>
  </r>
  <r>
    <s v="T001117"/>
    <x v="1105"/>
    <d v="2026-02-24T19:50:00"/>
    <x v="5"/>
    <s v="Phone"/>
    <x v="2"/>
    <s v="A035"/>
    <x v="2"/>
    <n v="4"/>
    <n v="2.5"/>
    <x v="1"/>
    <s v="No"/>
    <s v="No"/>
    <m/>
    <s v="Closed"/>
    <s v="February"/>
    <x v="1"/>
    <n v="2026"/>
    <s v="Yes"/>
    <n v="1"/>
    <x v="0"/>
    <n v="1"/>
  </r>
  <r>
    <s v="T001118"/>
    <x v="1106"/>
    <d v="2026-02-26T00:12:00"/>
    <x v="2"/>
    <s v="Phone"/>
    <x v="1"/>
    <s v="A042"/>
    <x v="1"/>
    <n v="24"/>
    <n v="30.7"/>
    <x v="1"/>
    <s v="No"/>
    <s v="No"/>
    <n v="3"/>
    <s v="Closed"/>
    <s v="February"/>
    <x v="1"/>
    <n v="2026"/>
    <s v="No"/>
    <n v="0"/>
    <x v="4"/>
    <n v="1"/>
  </r>
  <r>
    <s v="T001119"/>
    <x v="1107"/>
    <d v="2026-02-24T21:05:00"/>
    <x v="1"/>
    <s v="Chat"/>
    <x v="1"/>
    <s v="A028"/>
    <x v="2"/>
    <n v="24"/>
    <n v="2.5"/>
    <x v="0"/>
    <s v="Yes"/>
    <s v="Yes"/>
    <n v="3"/>
    <s v="Closed"/>
    <s v="February"/>
    <x v="1"/>
    <n v="2026"/>
    <s v="Yes"/>
    <n v="1"/>
    <x v="0"/>
    <n v="0"/>
  </r>
  <r>
    <s v="T001120"/>
    <x v="1108"/>
    <d v="2026-02-27T20:54:00"/>
    <x v="3"/>
    <s v="Field Visit"/>
    <x v="2"/>
    <s v="A005"/>
    <x v="0"/>
    <n v="4"/>
    <n v="74"/>
    <x v="1"/>
    <s v="No"/>
    <s v="No"/>
    <n v="4"/>
    <s v="Closed"/>
    <s v="February"/>
    <x v="1"/>
    <n v="2026"/>
    <s v="No"/>
    <n v="0"/>
    <x v="0"/>
    <n v="1"/>
  </r>
  <r>
    <s v="T001121"/>
    <x v="1109"/>
    <d v="2026-02-26T19:11:00"/>
    <x v="0"/>
    <s v="Email"/>
    <x v="1"/>
    <s v="A021"/>
    <x v="2"/>
    <n v="24"/>
    <n v="45.2"/>
    <x v="1"/>
    <s v="No"/>
    <s v="No"/>
    <n v="4"/>
    <s v="Closed"/>
    <s v="February"/>
    <x v="1"/>
    <n v="2026"/>
    <s v="No"/>
    <n v="0"/>
    <x v="2"/>
    <n v="1"/>
  </r>
  <r>
    <s v="T001122"/>
    <x v="1110"/>
    <d v="2026-02-25T02:39:00"/>
    <x v="1"/>
    <s v="Phone"/>
    <x v="1"/>
    <s v="A043"/>
    <x v="1"/>
    <n v="24"/>
    <n v="3.4"/>
    <x v="1"/>
    <s v="No"/>
    <s v="No"/>
    <m/>
    <s v="Closed"/>
    <s v="February"/>
    <x v="1"/>
    <n v="2026"/>
    <s v="Yes"/>
    <n v="1"/>
    <x v="3"/>
    <n v="1"/>
  </r>
  <r>
    <s v="T001123"/>
    <x v="1111"/>
    <d v="2026-02-25T13:50:00"/>
    <x v="5"/>
    <s v="Chat"/>
    <x v="1"/>
    <s v="A001"/>
    <x v="0"/>
    <n v="24"/>
    <n v="7.6"/>
    <x v="1"/>
    <s v="No"/>
    <s v="No"/>
    <n v="4"/>
    <s v="Closed"/>
    <s v="February"/>
    <x v="1"/>
    <n v="2026"/>
    <s v="Yes"/>
    <n v="1"/>
    <x v="2"/>
    <n v="1"/>
  </r>
  <r>
    <s v="T001124"/>
    <x v="1112"/>
    <d v="2026-02-25T18:37:00"/>
    <x v="6"/>
    <s v="Field Visit"/>
    <x v="2"/>
    <s v="A049"/>
    <x v="1"/>
    <n v="4"/>
    <n v="11.5"/>
    <x v="1"/>
    <s v="No"/>
    <s v="No"/>
    <n v="4"/>
    <s v="Closed"/>
    <s v="February"/>
    <x v="1"/>
    <n v="2026"/>
    <s v="No"/>
    <n v="0"/>
    <x v="1"/>
    <n v="1"/>
  </r>
  <r>
    <s v="T001125"/>
    <x v="1113"/>
    <d v="2026-02-25T10:04:00"/>
    <x v="0"/>
    <s v="Chat"/>
    <x v="2"/>
    <s v="A019"/>
    <x v="2"/>
    <n v="4"/>
    <n v="2"/>
    <x v="1"/>
    <s v="No"/>
    <s v="Yes"/>
    <m/>
    <s v="Closed"/>
    <s v="February"/>
    <x v="1"/>
    <n v="2026"/>
    <s v="Yes"/>
    <n v="1"/>
    <x v="4"/>
    <n v="1"/>
  </r>
  <r>
    <s v="T001126"/>
    <x v="1114"/>
    <d v="2026-02-26T03:45:00"/>
    <x v="6"/>
    <s v="Field Visit"/>
    <x v="2"/>
    <s v="A050"/>
    <x v="1"/>
    <n v="4"/>
    <n v="19"/>
    <x v="1"/>
    <s v="No"/>
    <s v="Yes"/>
    <m/>
    <s v="Closed"/>
    <s v="February"/>
    <x v="1"/>
    <n v="2026"/>
    <s v="No"/>
    <n v="0"/>
    <x v="0"/>
    <n v="1"/>
  </r>
  <r>
    <s v="T001127"/>
    <x v="1115"/>
    <d v="2026-02-26T02:08:00"/>
    <x v="5"/>
    <s v="Field Visit"/>
    <x v="1"/>
    <s v="A005"/>
    <x v="0"/>
    <n v="24"/>
    <n v="17"/>
    <x v="1"/>
    <s v="No"/>
    <s v="No"/>
    <n v="5"/>
    <s v="Closed"/>
    <s v="February"/>
    <x v="1"/>
    <n v="2026"/>
    <s v="Yes"/>
    <n v="1"/>
    <x v="1"/>
    <n v="1"/>
  </r>
  <r>
    <s v="T001128"/>
    <x v="1116"/>
    <d v="2026-02-25T16:45:00"/>
    <x v="1"/>
    <s v="Phone"/>
    <x v="0"/>
    <s v="A059"/>
    <x v="1"/>
    <n v="72"/>
    <n v="5.0999999999999996"/>
    <x v="1"/>
    <s v="No"/>
    <s v="No"/>
    <n v="4"/>
    <s v="Closed"/>
    <s v="February"/>
    <x v="1"/>
    <n v="2026"/>
    <s v="Yes"/>
    <n v="1"/>
    <x v="0"/>
    <n v="1"/>
  </r>
  <r>
    <s v="T001129"/>
    <x v="1117"/>
    <d v="2026-02-25T17:31:00"/>
    <x v="1"/>
    <s v="Chat"/>
    <x v="1"/>
    <s v="A043"/>
    <x v="1"/>
    <n v="24"/>
    <n v="5.3"/>
    <x v="1"/>
    <s v="No"/>
    <s v="No"/>
    <n v="5"/>
    <s v="Closed"/>
    <s v="February"/>
    <x v="1"/>
    <n v="2026"/>
    <s v="Yes"/>
    <n v="1"/>
    <x v="4"/>
    <n v="1"/>
  </r>
  <r>
    <s v="T001130"/>
    <x v="1118"/>
    <d v="2026-02-26T03:58:00"/>
    <x v="6"/>
    <s v="Field Visit"/>
    <x v="2"/>
    <s v="A004"/>
    <x v="0"/>
    <n v="4"/>
    <n v="15.2"/>
    <x v="1"/>
    <s v="No"/>
    <s v="No"/>
    <n v="5"/>
    <s v="Closed"/>
    <s v="February"/>
    <x v="1"/>
    <n v="2026"/>
    <s v="No"/>
    <n v="0"/>
    <x v="3"/>
    <n v="1"/>
  </r>
  <r>
    <s v="T001131"/>
    <x v="1119"/>
    <d v="2026-03-02T05:43:00"/>
    <x v="4"/>
    <s v="Field Visit"/>
    <x v="1"/>
    <s v="A041"/>
    <x v="1"/>
    <n v="24"/>
    <n v="111.2"/>
    <x v="0"/>
    <s v="No"/>
    <s v="No"/>
    <m/>
    <s v="Closed"/>
    <s v="February"/>
    <x v="1"/>
    <n v="2026"/>
    <s v="No"/>
    <n v="0"/>
    <x v="0"/>
    <n v="0"/>
  </r>
  <r>
    <s v="T001132"/>
    <x v="1120"/>
    <d v="2026-03-02T14:16:00"/>
    <x v="4"/>
    <s v="Field Visit"/>
    <x v="1"/>
    <s v="A017"/>
    <x v="2"/>
    <n v="24"/>
    <n v="119.1"/>
    <x v="1"/>
    <s v="No"/>
    <s v="No"/>
    <n v="4"/>
    <s v="Closed"/>
    <s v="February"/>
    <x v="1"/>
    <n v="2026"/>
    <s v="No"/>
    <n v="0"/>
    <x v="4"/>
    <n v="1"/>
  </r>
  <r>
    <s v="T001133"/>
    <x v="1121"/>
    <d v="2026-02-26T15:28:00"/>
    <x v="0"/>
    <s v="Email"/>
    <x v="1"/>
    <s v="A005"/>
    <x v="0"/>
    <n v="24"/>
    <n v="24"/>
    <x v="0"/>
    <s v="No"/>
    <s v="No"/>
    <m/>
    <s v="Closed"/>
    <s v="February"/>
    <x v="1"/>
    <n v="2026"/>
    <s v="Yes"/>
    <n v="1"/>
    <x v="2"/>
    <n v="0"/>
  </r>
  <r>
    <s v="T001134"/>
    <x v="1122"/>
    <d v="2026-02-25T21:41:00"/>
    <x v="0"/>
    <s v="Phone"/>
    <x v="2"/>
    <s v="A018"/>
    <x v="2"/>
    <n v="4"/>
    <n v="5.2"/>
    <x v="1"/>
    <s v="No"/>
    <s v="No"/>
    <n v="3"/>
    <s v="Closed"/>
    <s v="February"/>
    <x v="1"/>
    <n v="2026"/>
    <s v="No"/>
    <n v="0"/>
    <x v="4"/>
    <n v="1"/>
  </r>
  <r>
    <s v="T001135"/>
    <x v="1123"/>
    <d v="2026-02-26T15:07:00"/>
    <x v="4"/>
    <s v="Field Visit"/>
    <x v="1"/>
    <s v="A015"/>
    <x v="0"/>
    <n v="24"/>
    <n v="22.2"/>
    <x v="1"/>
    <s v="No"/>
    <s v="No"/>
    <m/>
    <s v="Closed"/>
    <s v="February"/>
    <x v="1"/>
    <n v="2026"/>
    <s v="Yes"/>
    <n v="1"/>
    <x v="2"/>
    <n v="1"/>
  </r>
  <r>
    <s v="T001136"/>
    <x v="1124"/>
    <d v="2026-02-25T21:00:00"/>
    <x v="6"/>
    <s v="Chat"/>
    <x v="2"/>
    <s v="A030"/>
    <x v="2"/>
    <n v="4"/>
    <n v="3.5"/>
    <x v="1"/>
    <s v="No"/>
    <s v="No"/>
    <n v="5"/>
    <s v="Closed"/>
    <s v="February"/>
    <x v="1"/>
    <n v="2026"/>
    <s v="Yes"/>
    <n v="1"/>
    <x v="2"/>
    <n v="1"/>
  </r>
  <r>
    <s v="T001137"/>
    <x v="1125"/>
    <d v="2026-02-26T01:41:00"/>
    <x v="6"/>
    <s v="Chat"/>
    <x v="2"/>
    <s v="A014"/>
    <x v="0"/>
    <n v="4"/>
    <n v="8.1"/>
    <x v="0"/>
    <s v="No"/>
    <s v="No"/>
    <m/>
    <s v="Closed"/>
    <s v="February"/>
    <x v="1"/>
    <n v="2026"/>
    <s v="No"/>
    <n v="0"/>
    <x v="2"/>
    <n v="0"/>
  </r>
  <r>
    <s v="T001138"/>
    <x v="1126"/>
    <d v="2026-02-26T17:21:00"/>
    <x v="0"/>
    <s v="Field Visit"/>
    <x v="1"/>
    <s v="A056"/>
    <x v="1"/>
    <n v="24"/>
    <n v="23.7"/>
    <x v="0"/>
    <s v="No"/>
    <s v="Yes"/>
    <n v="4"/>
    <s v="Closed"/>
    <s v="February"/>
    <x v="1"/>
    <n v="2026"/>
    <s v="Yes"/>
    <n v="1"/>
    <x v="3"/>
    <n v="0"/>
  </r>
  <r>
    <s v="T001139"/>
    <x v="1127"/>
    <d v="2026-02-26T03:41:00"/>
    <x v="2"/>
    <s v="Phone"/>
    <x v="1"/>
    <s v="A014"/>
    <x v="0"/>
    <n v="24"/>
    <n v="9.3000000000000007"/>
    <x v="0"/>
    <s v="Yes"/>
    <s v="No"/>
    <n v="4"/>
    <s v="Closed"/>
    <s v="February"/>
    <x v="1"/>
    <n v="2026"/>
    <s v="Yes"/>
    <n v="1"/>
    <x v="2"/>
    <n v="0"/>
  </r>
  <r>
    <s v="T001140"/>
    <x v="1128"/>
    <d v="2026-02-26T20:57:00"/>
    <x v="5"/>
    <s v="Field Visit"/>
    <x v="1"/>
    <s v="A058"/>
    <x v="1"/>
    <n v="24"/>
    <n v="25.3"/>
    <x v="1"/>
    <s v="No"/>
    <s v="No"/>
    <n v="5"/>
    <s v="Closed"/>
    <s v="February"/>
    <x v="1"/>
    <n v="2026"/>
    <s v="No"/>
    <n v="0"/>
    <x v="2"/>
    <n v="1"/>
  </r>
  <r>
    <s v="T001141"/>
    <x v="1129"/>
    <d v="2026-02-27T03:00:00"/>
    <x v="6"/>
    <s v="Field Visit"/>
    <x v="2"/>
    <s v="A011"/>
    <x v="0"/>
    <n v="4"/>
    <n v="30.7"/>
    <x v="1"/>
    <s v="No"/>
    <s v="No"/>
    <n v="5"/>
    <s v="Closed"/>
    <s v="February"/>
    <x v="1"/>
    <n v="2026"/>
    <s v="No"/>
    <n v="0"/>
    <x v="1"/>
    <n v="1"/>
  </r>
  <r>
    <s v="T001142"/>
    <x v="1130"/>
    <d v="2026-02-26T17:29:00"/>
    <x v="2"/>
    <s v="Phone"/>
    <x v="0"/>
    <s v="A018"/>
    <x v="2"/>
    <n v="72"/>
    <n v="14.2"/>
    <x v="1"/>
    <s v="No"/>
    <s v="Yes"/>
    <n v="4"/>
    <s v="Closed"/>
    <s v="February"/>
    <x v="1"/>
    <n v="2026"/>
    <s v="Yes"/>
    <n v="1"/>
    <x v="1"/>
    <n v="1"/>
  </r>
  <r>
    <s v="T001143"/>
    <x v="1131"/>
    <d v="2026-02-26T13:46:00"/>
    <x v="1"/>
    <s v="Phone"/>
    <x v="0"/>
    <s v="A018"/>
    <x v="2"/>
    <n v="72"/>
    <n v="10.199999999999999"/>
    <x v="0"/>
    <s v="No"/>
    <s v="No"/>
    <n v="4"/>
    <s v="Closed"/>
    <s v="February"/>
    <x v="1"/>
    <n v="2026"/>
    <s v="Yes"/>
    <n v="1"/>
    <x v="4"/>
    <n v="0"/>
  </r>
  <r>
    <s v="T001144"/>
    <x v="1132"/>
    <d v="2026-02-26T08:55:00"/>
    <x v="1"/>
    <s v="Phone"/>
    <x v="0"/>
    <s v="A014"/>
    <x v="0"/>
    <n v="72"/>
    <n v="4.0999999999999996"/>
    <x v="0"/>
    <s v="No"/>
    <s v="No"/>
    <n v="4"/>
    <s v="Closed"/>
    <s v="February"/>
    <x v="1"/>
    <n v="2026"/>
    <s v="Yes"/>
    <n v="1"/>
    <x v="3"/>
    <n v="0"/>
  </r>
  <r>
    <s v="T001145"/>
    <x v="1133"/>
    <d v="2026-02-26T10:53:00"/>
    <x v="1"/>
    <s v="Chat"/>
    <x v="1"/>
    <s v="A031"/>
    <x v="2"/>
    <n v="24"/>
    <n v="3.5"/>
    <x v="0"/>
    <s v="No"/>
    <s v="No"/>
    <n v="5"/>
    <s v="Closed"/>
    <s v="February"/>
    <x v="1"/>
    <n v="2026"/>
    <s v="Yes"/>
    <n v="1"/>
    <x v="4"/>
    <n v="0"/>
  </r>
  <r>
    <s v="T001146"/>
    <x v="1134"/>
    <d v="2026-02-26T10:42:00"/>
    <x v="5"/>
    <s v="Chat"/>
    <x v="2"/>
    <s v="A005"/>
    <x v="0"/>
    <n v="4"/>
    <n v="2.2999999999999998"/>
    <x v="0"/>
    <s v="No"/>
    <s v="No"/>
    <n v="3"/>
    <s v="Closed"/>
    <s v="February"/>
    <x v="1"/>
    <n v="2026"/>
    <s v="Yes"/>
    <n v="1"/>
    <x v="1"/>
    <n v="0"/>
  </r>
  <r>
    <s v="T001147"/>
    <x v="1135"/>
    <d v="2026-03-29T21:39:00"/>
    <x v="4"/>
    <s v="Field Visit"/>
    <x v="2"/>
    <s v="A046"/>
    <x v="1"/>
    <n v="4"/>
    <n v="754.6"/>
    <x v="1"/>
    <s v="No"/>
    <s v="No"/>
    <n v="3"/>
    <s v="Closed"/>
    <s v="February"/>
    <x v="1"/>
    <n v="2026"/>
    <s v="No"/>
    <n v="0"/>
    <x v="2"/>
    <n v="1"/>
  </r>
  <r>
    <s v="T001148"/>
    <x v="1136"/>
    <d v="2026-02-26T22:47:00"/>
    <x v="0"/>
    <s v="Chat"/>
    <x v="1"/>
    <s v="A032"/>
    <x v="2"/>
    <n v="24"/>
    <n v="11.4"/>
    <x v="1"/>
    <s v="No"/>
    <s v="No"/>
    <n v="5"/>
    <s v="Closed"/>
    <s v="February"/>
    <x v="1"/>
    <n v="2026"/>
    <s v="Yes"/>
    <n v="1"/>
    <x v="1"/>
    <n v="1"/>
  </r>
  <r>
    <s v="T001149"/>
    <x v="1137"/>
    <d v="2026-02-28T06:54:00"/>
    <x v="4"/>
    <s v="Phone"/>
    <x v="1"/>
    <s v="A027"/>
    <x v="2"/>
    <n v="24"/>
    <n v="43.3"/>
    <x v="0"/>
    <s v="No"/>
    <s v="No"/>
    <n v="3"/>
    <s v="Closed"/>
    <s v="February"/>
    <x v="1"/>
    <n v="2026"/>
    <s v="No"/>
    <n v="0"/>
    <x v="1"/>
    <n v="0"/>
  </r>
  <r>
    <s v="T001150"/>
    <x v="1138"/>
    <d v="2026-02-26T13:45:00"/>
    <x v="1"/>
    <s v="Phone"/>
    <x v="1"/>
    <s v="A039"/>
    <x v="1"/>
    <n v="24"/>
    <n v="1.9"/>
    <x v="1"/>
    <s v="No"/>
    <s v="No"/>
    <n v="5"/>
    <s v="Closed"/>
    <s v="February"/>
    <x v="1"/>
    <n v="2026"/>
    <s v="Yes"/>
    <n v="1"/>
    <x v="0"/>
    <n v="1"/>
  </r>
  <r>
    <s v="T001151"/>
    <x v="1139"/>
    <d v="2026-02-27T03:21:00"/>
    <x v="5"/>
    <s v="Field Visit"/>
    <x v="2"/>
    <s v="A024"/>
    <x v="2"/>
    <n v="4"/>
    <n v="12.4"/>
    <x v="1"/>
    <s v="No"/>
    <s v="Yes"/>
    <n v="3"/>
    <s v="Closed"/>
    <s v="February"/>
    <x v="1"/>
    <n v="2026"/>
    <s v="No"/>
    <n v="0"/>
    <x v="4"/>
    <n v="1"/>
  </r>
  <r>
    <s v="T001152"/>
    <x v="1140"/>
    <d v="2026-02-27T11:32:00"/>
    <x v="0"/>
    <s v="Email"/>
    <x v="1"/>
    <s v="A046"/>
    <x v="1"/>
    <n v="24"/>
    <n v="20.5"/>
    <x v="1"/>
    <s v="No"/>
    <s v="No"/>
    <n v="5"/>
    <s v="Closed"/>
    <s v="February"/>
    <x v="1"/>
    <n v="2026"/>
    <s v="Yes"/>
    <n v="1"/>
    <x v="1"/>
    <n v="1"/>
  </r>
  <r>
    <s v="T001153"/>
    <x v="1141"/>
    <d v="2026-02-26T22:46:00"/>
    <x v="2"/>
    <s v="Chat"/>
    <x v="0"/>
    <s v="A005"/>
    <x v="0"/>
    <n v="72"/>
    <n v="7.3"/>
    <x v="0"/>
    <s v="No"/>
    <s v="No"/>
    <n v="5"/>
    <s v="Closed"/>
    <s v="February"/>
    <x v="1"/>
    <n v="2026"/>
    <s v="Yes"/>
    <n v="1"/>
    <x v="3"/>
    <n v="0"/>
  </r>
  <r>
    <s v="T001154"/>
    <x v="1142"/>
    <d v="2026-02-27T16:10:00"/>
    <x v="3"/>
    <s v="Field Visit"/>
    <x v="2"/>
    <s v="A055"/>
    <x v="1"/>
    <n v="4"/>
    <n v="23.8"/>
    <x v="1"/>
    <s v="No"/>
    <s v="No"/>
    <n v="4"/>
    <s v="Closed"/>
    <s v="February"/>
    <x v="1"/>
    <n v="2026"/>
    <s v="No"/>
    <n v="0"/>
    <x v="4"/>
    <n v="1"/>
  </r>
  <r>
    <s v="T001155"/>
    <x v="1143"/>
    <d v="2026-02-26T23:26:00"/>
    <x v="3"/>
    <s v="Phone"/>
    <x v="0"/>
    <s v="A058"/>
    <x v="1"/>
    <n v="72"/>
    <n v="6.9"/>
    <x v="1"/>
    <s v="No"/>
    <s v="No"/>
    <n v="4"/>
    <s v="Closed"/>
    <s v="February"/>
    <x v="1"/>
    <n v="2026"/>
    <s v="Yes"/>
    <n v="1"/>
    <x v="4"/>
    <n v="1"/>
  </r>
  <r>
    <s v="T001156"/>
    <x v="1144"/>
    <d v="2026-02-27T03:20:00"/>
    <x v="5"/>
    <s v="Phone"/>
    <x v="1"/>
    <s v="A013"/>
    <x v="0"/>
    <n v="24"/>
    <n v="10"/>
    <x v="1"/>
    <s v="No"/>
    <s v="No"/>
    <m/>
    <s v="Closed"/>
    <s v="February"/>
    <x v="1"/>
    <n v="2026"/>
    <s v="Yes"/>
    <n v="1"/>
    <x v="1"/>
    <n v="1"/>
  </r>
  <r>
    <s v="T001157"/>
    <x v="1145"/>
    <d v="2026-02-27T00:23:00"/>
    <x v="1"/>
    <s v="Chat"/>
    <x v="2"/>
    <s v="A060"/>
    <x v="1"/>
    <n v="4"/>
    <n v="7"/>
    <x v="1"/>
    <s v="No"/>
    <s v="No"/>
    <n v="3"/>
    <s v="Closed"/>
    <s v="February"/>
    <x v="1"/>
    <n v="2026"/>
    <s v="No"/>
    <n v="0"/>
    <x v="3"/>
    <n v="1"/>
  </r>
  <r>
    <s v="T001158"/>
    <x v="1146"/>
    <d v="2026-02-28T03:56:00"/>
    <x v="3"/>
    <s v="Email"/>
    <x v="1"/>
    <s v="A009"/>
    <x v="0"/>
    <n v="24"/>
    <n v="34.4"/>
    <x v="1"/>
    <s v="No"/>
    <s v="No"/>
    <n v="5"/>
    <s v="Closed"/>
    <s v="February"/>
    <x v="1"/>
    <n v="2026"/>
    <s v="No"/>
    <n v="0"/>
    <x v="3"/>
    <n v="1"/>
  </r>
  <r>
    <s v="T001159"/>
    <x v="1147"/>
    <d v="2026-02-27T15:52:00"/>
    <x v="3"/>
    <s v="Chat"/>
    <x v="2"/>
    <s v="A012"/>
    <x v="0"/>
    <n v="4"/>
    <n v="21.3"/>
    <x v="0"/>
    <s v="Yes"/>
    <s v="No"/>
    <n v="2"/>
    <s v="Closed"/>
    <s v="February"/>
    <x v="1"/>
    <n v="2026"/>
    <s v="No"/>
    <n v="0"/>
    <x v="2"/>
    <n v="0"/>
  </r>
  <r>
    <s v="T001160"/>
    <x v="1148"/>
    <d v="2026-02-27T03:01:00"/>
    <x v="3"/>
    <s v="Chat"/>
    <x v="1"/>
    <s v="A005"/>
    <x v="0"/>
    <n v="24"/>
    <n v="6.2"/>
    <x v="0"/>
    <s v="No"/>
    <s v="No"/>
    <n v="5"/>
    <s v="Closed"/>
    <s v="February"/>
    <x v="1"/>
    <n v="2026"/>
    <s v="Yes"/>
    <n v="1"/>
    <x v="4"/>
    <n v="0"/>
  </r>
  <r>
    <s v="T001161"/>
    <x v="1149"/>
    <d v="2026-02-27T11:46:00"/>
    <x v="6"/>
    <s v="Field Visit"/>
    <x v="0"/>
    <s v="A050"/>
    <x v="1"/>
    <n v="72"/>
    <n v="8.1999999999999993"/>
    <x v="1"/>
    <s v="No"/>
    <s v="No"/>
    <m/>
    <s v="Closed"/>
    <s v="February"/>
    <x v="1"/>
    <n v="2026"/>
    <s v="Yes"/>
    <n v="1"/>
    <x v="3"/>
    <n v="1"/>
  </r>
  <r>
    <s v="T001162"/>
    <x v="1150"/>
    <d v="2026-03-02T02:17:00"/>
    <x v="4"/>
    <s v="Chat"/>
    <x v="0"/>
    <s v="A020"/>
    <x v="2"/>
    <n v="72"/>
    <n v="70.099999999999994"/>
    <x v="1"/>
    <s v="No"/>
    <s v="Yes"/>
    <n v="5"/>
    <s v="Closed"/>
    <s v="February"/>
    <x v="1"/>
    <n v="2026"/>
    <s v="Yes"/>
    <n v="1"/>
    <x v="2"/>
    <n v="1"/>
  </r>
  <r>
    <s v="T001163"/>
    <x v="1151"/>
    <d v="2026-02-27T11:45:00"/>
    <x v="1"/>
    <s v="Phone"/>
    <x v="1"/>
    <s v="A030"/>
    <x v="2"/>
    <n v="24"/>
    <n v="7"/>
    <x v="0"/>
    <s v="Yes"/>
    <s v="No"/>
    <n v="4"/>
    <s v="Closed"/>
    <s v="February"/>
    <x v="1"/>
    <n v="2026"/>
    <s v="Yes"/>
    <n v="1"/>
    <x v="4"/>
    <n v="0"/>
  </r>
  <r>
    <s v="T001164"/>
    <x v="1152"/>
    <d v="2026-02-28T19:39:00"/>
    <x v="0"/>
    <s v="Phone"/>
    <x v="0"/>
    <s v="A009"/>
    <x v="0"/>
    <n v="72"/>
    <n v="38.299999999999997"/>
    <x v="0"/>
    <s v="Yes"/>
    <s v="No"/>
    <m/>
    <s v="Closed"/>
    <s v="February"/>
    <x v="1"/>
    <n v="2026"/>
    <s v="Yes"/>
    <n v="1"/>
    <x v="2"/>
    <n v="0"/>
  </r>
  <r>
    <s v="T001165"/>
    <x v="1153"/>
    <d v="2026-02-27T17:54:00"/>
    <x v="3"/>
    <s v="Field Visit"/>
    <x v="2"/>
    <s v="A046"/>
    <x v="1"/>
    <n v="4"/>
    <n v="11.7"/>
    <x v="1"/>
    <s v="No"/>
    <s v="No"/>
    <m/>
    <s v="Closed"/>
    <s v="February"/>
    <x v="1"/>
    <n v="2026"/>
    <s v="No"/>
    <n v="0"/>
    <x v="4"/>
    <n v="1"/>
  </r>
  <r>
    <s v="T001166"/>
    <x v="1154"/>
    <d v="2026-02-27T16:16:00"/>
    <x v="1"/>
    <s v="Phone"/>
    <x v="0"/>
    <s v="A052"/>
    <x v="1"/>
    <n v="72"/>
    <n v="7.5"/>
    <x v="1"/>
    <s v="No"/>
    <s v="No"/>
    <n v="5"/>
    <s v="Closed"/>
    <s v="February"/>
    <x v="1"/>
    <n v="2026"/>
    <s v="Yes"/>
    <n v="1"/>
    <x v="2"/>
    <n v="1"/>
  </r>
  <r>
    <s v="T001167"/>
    <x v="1155"/>
    <d v="2026-02-27T18:12:00"/>
    <x v="6"/>
    <s v="Phone"/>
    <x v="1"/>
    <s v="A059"/>
    <x v="1"/>
    <n v="24"/>
    <n v="9.1"/>
    <x v="1"/>
    <s v="No"/>
    <s v="No"/>
    <n v="4"/>
    <s v="Closed"/>
    <s v="February"/>
    <x v="1"/>
    <n v="2026"/>
    <s v="Yes"/>
    <n v="1"/>
    <x v="4"/>
    <n v="1"/>
  </r>
  <r>
    <s v="T001168"/>
    <x v="1156"/>
    <d v="2026-02-27T12:01:00"/>
    <x v="1"/>
    <s v="Chat"/>
    <x v="1"/>
    <s v="A042"/>
    <x v="1"/>
    <n v="24"/>
    <n v="1.7"/>
    <x v="1"/>
    <s v="No"/>
    <s v="No"/>
    <m/>
    <s v="Closed"/>
    <s v="February"/>
    <x v="1"/>
    <n v="2026"/>
    <s v="Yes"/>
    <n v="1"/>
    <x v="3"/>
    <n v="1"/>
  </r>
  <r>
    <s v="T001170"/>
    <x v="1157"/>
    <d v="2026-02-28T03:25:00"/>
    <x v="3"/>
    <s v="Field Visit"/>
    <x v="1"/>
    <s v="A034"/>
    <x v="2"/>
    <n v="24"/>
    <n v="16.399999999999999"/>
    <x v="1"/>
    <s v="No"/>
    <s v="No"/>
    <m/>
    <s v="Closed"/>
    <s v="February"/>
    <x v="1"/>
    <n v="2026"/>
    <s v="Yes"/>
    <n v="1"/>
    <x v="3"/>
    <n v="1"/>
  </r>
  <r>
    <s v="T001169"/>
    <x v="1157"/>
    <d v="2026-02-28T08:07:00"/>
    <x v="3"/>
    <s v="Chat"/>
    <x v="0"/>
    <s v="A015"/>
    <x v="0"/>
    <n v="72"/>
    <n v="21.1"/>
    <x v="0"/>
    <s v="No"/>
    <s v="No"/>
    <n v="4"/>
    <s v="Closed"/>
    <s v="February"/>
    <x v="1"/>
    <n v="2026"/>
    <s v="Yes"/>
    <n v="1"/>
    <x v="3"/>
    <n v="0"/>
  </r>
  <r>
    <s v="T001171"/>
    <x v="1158"/>
    <d v="2026-02-27T19:13:00"/>
    <x v="1"/>
    <s v="Chat"/>
    <x v="0"/>
    <s v="A032"/>
    <x v="2"/>
    <n v="72"/>
    <n v="7.5"/>
    <x v="1"/>
    <s v="No"/>
    <s v="No"/>
    <n v="4"/>
    <s v="Closed"/>
    <s v="February"/>
    <x v="1"/>
    <n v="2026"/>
    <s v="Yes"/>
    <n v="1"/>
    <x v="2"/>
    <n v="1"/>
  </r>
  <r>
    <s v="T001172"/>
    <x v="1159"/>
    <d v="2026-03-01T00:19:00"/>
    <x v="0"/>
    <s v="Email"/>
    <x v="1"/>
    <s v="A002"/>
    <x v="0"/>
    <n v="24"/>
    <n v="35.700000000000003"/>
    <x v="1"/>
    <s v="No"/>
    <s v="No"/>
    <m/>
    <s v="Closed"/>
    <s v="February"/>
    <x v="1"/>
    <n v="2026"/>
    <s v="No"/>
    <n v="0"/>
    <x v="3"/>
    <n v="1"/>
  </r>
  <r>
    <s v="T001173"/>
    <x v="1160"/>
    <d v="2026-02-28T00:02:00"/>
    <x v="2"/>
    <s v="Phone"/>
    <x v="0"/>
    <s v="A016"/>
    <x v="2"/>
    <n v="72"/>
    <n v="11.1"/>
    <x v="1"/>
    <s v="No"/>
    <s v="No"/>
    <n v="5"/>
    <s v="Closed"/>
    <s v="February"/>
    <x v="1"/>
    <n v="2026"/>
    <s v="Yes"/>
    <n v="1"/>
    <x v="4"/>
    <n v="1"/>
  </r>
  <r>
    <s v="T001174"/>
    <x v="1161"/>
    <d v="2026-03-01T22:45:00"/>
    <x v="3"/>
    <s v="Email"/>
    <x v="1"/>
    <s v="A021"/>
    <x v="2"/>
    <n v="24"/>
    <n v="57.5"/>
    <x v="1"/>
    <s v="No"/>
    <s v="No"/>
    <m/>
    <s v="Closed"/>
    <s v="February"/>
    <x v="1"/>
    <n v="2026"/>
    <s v="No"/>
    <n v="0"/>
    <x v="1"/>
    <n v="1"/>
  </r>
  <r>
    <s v="T001175"/>
    <x v="1162"/>
    <d v="2026-02-27T20:53:00"/>
    <x v="1"/>
    <s v="Phone"/>
    <x v="0"/>
    <s v="A003"/>
    <x v="0"/>
    <n v="72"/>
    <n v="6"/>
    <x v="0"/>
    <s v="Yes"/>
    <s v="No"/>
    <n v="3"/>
    <s v="Closed"/>
    <s v="February"/>
    <x v="1"/>
    <n v="2026"/>
    <s v="Yes"/>
    <n v="1"/>
    <x v="1"/>
    <n v="0"/>
  </r>
  <r>
    <s v="T001176"/>
    <x v="1163"/>
    <d v="2026-02-28T18:21:00"/>
    <x v="1"/>
    <s v="Email"/>
    <x v="1"/>
    <s v="A015"/>
    <x v="0"/>
    <n v="24"/>
    <n v="26.9"/>
    <x v="1"/>
    <s v="No"/>
    <s v="No"/>
    <m/>
    <s v="Closed"/>
    <s v="February"/>
    <x v="1"/>
    <n v="2026"/>
    <s v="No"/>
    <n v="0"/>
    <x v="3"/>
    <n v="1"/>
  </r>
  <r>
    <s v="T001177"/>
    <x v="1164"/>
    <d v="2026-02-27T22:21:00"/>
    <x v="1"/>
    <s v="Chat"/>
    <x v="1"/>
    <s v="A033"/>
    <x v="2"/>
    <n v="24"/>
    <n v="6.6"/>
    <x v="0"/>
    <s v="Yes"/>
    <s v="No"/>
    <n v="3"/>
    <s v="Closed"/>
    <s v="February"/>
    <x v="1"/>
    <n v="2026"/>
    <s v="Yes"/>
    <n v="1"/>
    <x v="0"/>
    <n v="0"/>
  </r>
  <r>
    <s v="T001178"/>
    <x v="1165"/>
    <d v="2026-02-27T18:10:00"/>
    <x v="0"/>
    <s v="Chat"/>
    <x v="0"/>
    <s v="A057"/>
    <x v="1"/>
    <n v="72"/>
    <n v="1.9"/>
    <x v="1"/>
    <s v="No"/>
    <s v="No"/>
    <n v="3"/>
    <s v="Closed"/>
    <s v="February"/>
    <x v="1"/>
    <n v="2026"/>
    <s v="Yes"/>
    <n v="1"/>
    <x v="0"/>
    <n v="1"/>
  </r>
  <r>
    <s v="T001179"/>
    <x v="1166"/>
    <d v="2026-02-27T21:14:00"/>
    <x v="1"/>
    <s v="Phone"/>
    <x v="1"/>
    <s v="A052"/>
    <x v="1"/>
    <n v="24"/>
    <n v="4.7"/>
    <x v="0"/>
    <s v="Yes"/>
    <s v="No"/>
    <n v="4"/>
    <s v="Closed"/>
    <s v="February"/>
    <x v="1"/>
    <n v="2026"/>
    <s v="Yes"/>
    <n v="1"/>
    <x v="2"/>
    <n v="0"/>
  </r>
  <r>
    <s v="T001180"/>
    <x v="1167"/>
    <d v="2026-02-28T11:19:00"/>
    <x v="2"/>
    <s v="Phone"/>
    <x v="1"/>
    <s v="A010"/>
    <x v="0"/>
    <n v="24"/>
    <n v="18.3"/>
    <x v="1"/>
    <s v="No"/>
    <s v="No"/>
    <n v="5"/>
    <s v="Closed"/>
    <s v="February"/>
    <x v="1"/>
    <n v="2026"/>
    <s v="Yes"/>
    <n v="1"/>
    <x v="0"/>
    <n v="1"/>
  </r>
  <r>
    <s v="T001181"/>
    <x v="1168"/>
    <d v="2026-02-28T06:53:00"/>
    <x v="6"/>
    <s v="Phone"/>
    <x v="2"/>
    <s v="A043"/>
    <x v="1"/>
    <n v="4"/>
    <n v="13.8"/>
    <x v="1"/>
    <s v="No"/>
    <s v="No"/>
    <n v="5"/>
    <s v="Closed"/>
    <s v="February"/>
    <x v="1"/>
    <n v="2026"/>
    <s v="No"/>
    <n v="0"/>
    <x v="3"/>
    <n v="1"/>
  </r>
  <r>
    <s v="T001182"/>
    <x v="1169"/>
    <d v="2026-02-28T08:27:00"/>
    <x v="6"/>
    <s v="Field Visit"/>
    <x v="2"/>
    <s v="A060"/>
    <x v="1"/>
    <n v="4"/>
    <n v="15.3"/>
    <x v="0"/>
    <s v="Yes"/>
    <s v="No"/>
    <m/>
    <s v="Closed"/>
    <s v="February"/>
    <x v="1"/>
    <n v="2026"/>
    <s v="No"/>
    <n v="0"/>
    <x v="4"/>
    <n v="0"/>
  </r>
  <r>
    <s v="T001183"/>
    <x v="1170"/>
    <d v="2026-02-28T05:49:00"/>
    <x v="6"/>
    <s v="Chat"/>
    <x v="2"/>
    <s v="A017"/>
    <x v="2"/>
    <n v="4"/>
    <n v="10"/>
    <x v="1"/>
    <s v="No"/>
    <s v="Yes"/>
    <n v="4"/>
    <s v="Closed"/>
    <s v="February"/>
    <x v="1"/>
    <n v="2026"/>
    <s v="No"/>
    <n v="0"/>
    <x v="2"/>
    <n v="1"/>
  </r>
  <r>
    <s v="T001184"/>
    <x v="1171"/>
    <d v="2026-02-28T00:47:00"/>
    <x v="5"/>
    <s v="Phone"/>
    <x v="1"/>
    <s v="A042"/>
    <x v="1"/>
    <n v="24"/>
    <n v="4.3"/>
    <x v="0"/>
    <s v="Yes"/>
    <s v="No"/>
    <m/>
    <s v="Closed"/>
    <s v="February"/>
    <x v="1"/>
    <n v="2026"/>
    <s v="Yes"/>
    <n v="1"/>
    <x v="4"/>
    <n v="0"/>
  </r>
  <r>
    <s v="T001185"/>
    <x v="1172"/>
    <d v="2026-03-01T02:06:00"/>
    <x v="2"/>
    <s v="Phone"/>
    <x v="1"/>
    <s v="A001"/>
    <x v="0"/>
    <n v="24"/>
    <n v="20.7"/>
    <x v="1"/>
    <s v="No"/>
    <s v="No"/>
    <n v="5"/>
    <s v="Closed"/>
    <s v="February"/>
    <x v="1"/>
    <n v="2026"/>
    <s v="Yes"/>
    <n v="1"/>
    <x v="4"/>
    <n v="1"/>
  </r>
  <r>
    <s v="T001186"/>
    <x v="1173"/>
    <d v="2026-02-28T18:01:00"/>
    <x v="1"/>
    <s v="Phone"/>
    <x v="0"/>
    <s v="A031"/>
    <x v="2"/>
    <n v="72"/>
    <n v="12.4"/>
    <x v="0"/>
    <s v="Yes"/>
    <s v="No"/>
    <m/>
    <s v="Closed"/>
    <s v="February"/>
    <x v="1"/>
    <n v="2026"/>
    <s v="Yes"/>
    <n v="1"/>
    <x v="2"/>
    <n v="0"/>
  </r>
  <r>
    <s v="T001187"/>
    <x v="1174"/>
    <d v="2026-03-01T13:04:00"/>
    <x v="6"/>
    <s v="Field Visit"/>
    <x v="2"/>
    <s v="A043"/>
    <x v="1"/>
    <n v="4"/>
    <n v="30.5"/>
    <x v="1"/>
    <s v="No"/>
    <s v="No"/>
    <n v="5"/>
    <s v="Closed"/>
    <s v="February"/>
    <x v="1"/>
    <n v="2026"/>
    <s v="No"/>
    <n v="0"/>
    <x v="1"/>
    <n v="1"/>
  </r>
  <r>
    <s v="T001188"/>
    <x v="1175"/>
    <d v="2026-03-05T19:51:00"/>
    <x v="4"/>
    <s v="Field Visit"/>
    <x v="0"/>
    <s v="A019"/>
    <x v="2"/>
    <n v="72"/>
    <n v="133.1"/>
    <x v="0"/>
    <s v="Yes"/>
    <s v="No"/>
    <n v="2"/>
    <s v="Closed"/>
    <s v="February"/>
    <x v="1"/>
    <n v="2026"/>
    <s v="No"/>
    <n v="0"/>
    <x v="4"/>
    <n v="0"/>
  </r>
  <r>
    <s v="T001189"/>
    <x v="1176"/>
    <d v="2026-03-02T23:34:00"/>
    <x v="0"/>
    <s v="Field Visit"/>
    <x v="1"/>
    <s v="A030"/>
    <x v="2"/>
    <n v="24"/>
    <n v="64.099999999999994"/>
    <x v="1"/>
    <s v="No"/>
    <s v="No"/>
    <m/>
    <s v="Closed"/>
    <s v="February"/>
    <x v="1"/>
    <n v="2026"/>
    <s v="No"/>
    <n v="0"/>
    <x v="3"/>
    <n v="1"/>
  </r>
  <r>
    <s v="T001190"/>
    <x v="1177"/>
    <d v="2026-03-04T07:05:00"/>
    <x v="4"/>
    <s v="Field Visit"/>
    <x v="1"/>
    <s v="A045"/>
    <x v="1"/>
    <n v="24"/>
    <n v="94.3"/>
    <x v="1"/>
    <s v="No"/>
    <s v="Yes"/>
    <n v="4"/>
    <s v="Closed"/>
    <s v="February"/>
    <x v="1"/>
    <n v="2026"/>
    <s v="No"/>
    <n v="0"/>
    <x v="1"/>
    <n v="1"/>
  </r>
  <r>
    <s v="T001191"/>
    <x v="1178"/>
    <d v="2026-02-28T15:36:00"/>
    <x v="6"/>
    <s v="Phone"/>
    <x v="2"/>
    <s v="A006"/>
    <x v="0"/>
    <n v="4"/>
    <n v="5.7"/>
    <x v="0"/>
    <s v="Yes"/>
    <s v="No"/>
    <n v="2"/>
    <s v="Closed"/>
    <s v="February"/>
    <x v="1"/>
    <n v="2026"/>
    <s v="No"/>
    <n v="0"/>
    <x v="1"/>
    <n v="0"/>
  </r>
  <r>
    <s v="T001192"/>
    <x v="1179"/>
    <d v="2026-02-28T17:33:00"/>
    <x v="6"/>
    <s v="Phone"/>
    <x v="2"/>
    <s v="A057"/>
    <x v="1"/>
    <n v="4"/>
    <n v="7.5"/>
    <x v="1"/>
    <s v="No"/>
    <s v="No"/>
    <n v="5"/>
    <s v="Closed"/>
    <s v="February"/>
    <x v="1"/>
    <n v="2026"/>
    <s v="No"/>
    <n v="0"/>
    <x v="0"/>
    <n v="1"/>
  </r>
  <r>
    <s v="T001193"/>
    <x v="1180"/>
    <d v="2026-03-01T23:28:00"/>
    <x v="3"/>
    <s v="Phone"/>
    <x v="0"/>
    <s v="A002"/>
    <x v="0"/>
    <n v="72"/>
    <n v="36.700000000000003"/>
    <x v="0"/>
    <s v="Yes"/>
    <s v="No"/>
    <m/>
    <s v="Closed"/>
    <s v="February"/>
    <x v="1"/>
    <n v="2026"/>
    <s v="Yes"/>
    <n v="1"/>
    <x v="2"/>
    <n v="0"/>
  </r>
  <r>
    <s v="T001194"/>
    <x v="1181"/>
    <d v="2026-03-04T13:18:00"/>
    <x v="0"/>
    <s v="Field Visit"/>
    <x v="0"/>
    <s v="A035"/>
    <x v="2"/>
    <n v="72"/>
    <n v="98.2"/>
    <x v="1"/>
    <s v="No"/>
    <s v="No"/>
    <n v="2"/>
    <s v="Closed"/>
    <s v="February"/>
    <x v="1"/>
    <n v="2026"/>
    <s v="No"/>
    <n v="0"/>
    <x v="3"/>
    <n v="1"/>
  </r>
  <r>
    <s v="T001195"/>
    <x v="1182"/>
    <d v="2026-03-01T04:23:00"/>
    <x v="5"/>
    <s v="Email"/>
    <x v="0"/>
    <s v="A033"/>
    <x v="2"/>
    <n v="72"/>
    <n v="16.3"/>
    <x v="1"/>
    <s v="No"/>
    <s v="No"/>
    <n v="5"/>
    <s v="Closed"/>
    <s v="February"/>
    <x v="1"/>
    <n v="2026"/>
    <s v="Yes"/>
    <n v="1"/>
    <x v="2"/>
    <n v="1"/>
  </r>
  <r>
    <s v="T001196"/>
    <x v="1183"/>
    <d v="2026-03-01T00:00:00"/>
    <x v="6"/>
    <s v="Chat"/>
    <x v="1"/>
    <s v="A005"/>
    <x v="0"/>
    <n v="24"/>
    <n v="11.6"/>
    <x v="0"/>
    <s v="Yes"/>
    <s v="No"/>
    <m/>
    <s v="Closed"/>
    <s v="February"/>
    <x v="1"/>
    <n v="2026"/>
    <s v="Yes"/>
    <n v="1"/>
    <x v="4"/>
    <n v="0"/>
  </r>
  <r>
    <s v="T001197"/>
    <x v="1184"/>
    <d v="2026-03-01T04:09:00"/>
    <x v="6"/>
    <s v="Field Visit"/>
    <x v="2"/>
    <s v="A028"/>
    <x v="2"/>
    <n v="4"/>
    <n v="15.4"/>
    <x v="1"/>
    <s v="No"/>
    <s v="No"/>
    <n v="4"/>
    <s v="Closed"/>
    <s v="February"/>
    <x v="1"/>
    <n v="2026"/>
    <s v="No"/>
    <n v="0"/>
    <x v="1"/>
    <n v="1"/>
  </r>
  <r>
    <s v="T001198"/>
    <x v="1185"/>
    <d v="2026-03-01T15:11:00"/>
    <x v="6"/>
    <s v="Field Visit"/>
    <x v="2"/>
    <s v="A020"/>
    <x v="2"/>
    <n v="4"/>
    <n v="26"/>
    <x v="1"/>
    <s v="No"/>
    <s v="Yes"/>
    <n v="4"/>
    <s v="Closed"/>
    <s v="February"/>
    <x v="1"/>
    <n v="2026"/>
    <s v="No"/>
    <n v="0"/>
    <x v="1"/>
    <n v="1"/>
  </r>
  <r>
    <s v="T001199"/>
    <x v="1186"/>
    <d v="2026-03-03T15:09:00"/>
    <x v="3"/>
    <s v="Phone"/>
    <x v="1"/>
    <s v="A050"/>
    <x v="1"/>
    <n v="24"/>
    <n v="73.400000000000006"/>
    <x v="1"/>
    <s v="No"/>
    <s v="No"/>
    <n v="4"/>
    <s v="Closed"/>
    <s v="February"/>
    <x v="1"/>
    <n v="2026"/>
    <s v="No"/>
    <n v="0"/>
    <x v="0"/>
    <n v="1"/>
  </r>
  <r>
    <s v="T001200"/>
    <x v="1187"/>
    <d v="2026-02-28T16:25:00"/>
    <x v="1"/>
    <s v="Phone"/>
    <x v="2"/>
    <s v="A037"/>
    <x v="1"/>
    <n v="4"/>
    <n v="2.5"/>
    <x v="1"/>
    <s v="No"/>
    <s v="No"/>
    <n v="5"/>
    <s v="Closed"/>
    <s v="February"/>
    <x v="1"/>
    <n v="2026"/>
    <s v="Yes"/>
    <n v="1"/>
    <x v="4"/>
    <n v="1"/>
  </r>
  <r>
    <s v="T001201"/>
    <x v="1188"/>
    <d v="2026-03-01T06:36:00"/>
    <x v="2"/>
    <s v="Phone"/>
    <x v="2"/>
    <s v="A004"/>
    <x v="0"/>
    <n v="4"/>
    <n v="16"/>
    <x v="1"/>
    <s v="No"/>
    <s v="Yes"/>
    <m/>
    <s v="Closed"/>
    <s v="February"/>
    <x v="1"/>
    <n v="2026"/>
    <s v="No"/>
    <n v="0"/>
    <x v="3"/>
    <n v="1"/>
  </r>
  <r>
    <s v="T001202"/>
    <x v="1189"/>
    <d v="2026-03-06T03:50:00"/>
    <x v="4"/>
    <s v="Field Visit"/>
    <x v="2"/>
    <s v="A005"/>
    <x v="0"/>
    <n v="4"/>
    <m/>
    <x v="0"/>
    <s v="Yes"/>
    <s v="No"/>
    <n v="3"/>
    <s v="Closed"/>
    <s v="February"/>
    <x v="1"/>
    <n v="2026"/>
    <m/>
    <m/>
    <x v="0"/>
    <n v="0"/>
  </r>
  <r>
    <s v="T001203"/>
    <x v="1190"/>
    <d v="2026-03-01T11:46:00"/>
    <x v="1"/>
    <s v="Email"/>
    <x v="1"/>
    <s v="A054"/>
    <x v="1"/>
    <n v="24"/>
    <n v="20.7"/>
    <x v="0"/>
    <s v="Yes"/>
    <s v="No"/>
    <n v="4"/>
    <s v="Closed"/>
    <s v="February"/>
    <x v="1"/>
    <n v="2026"/>
    <s v="Yes"/>
    <n v="1"/>
    <x v="4"/>
    <n v="0"/>
  </r>
  <r>
    <s v="T001204"/>
    <x v="1191"/>
    <d v="2026-03-01T04:30:00"/>
    <x v="2"/>
    <s v="Phone"/>
    <x v="2"/>
    <s v="A037"/>
    <x v="1"/>
    <n v="4"/>
    <n v="12.9"/>
    <x v="1"/>
    <s v="No"/>
    <s v="No"/>
    <n v="4"/>
    <s v="Closed"/>
    <s v="February"/>
    <x v="1"/>
    <n v="2026"/>
    <s v="No"/>
    <n v="0"/>
    <x v="4"/>
    <n v="1"/>
  </r>
  <r>
    <s v="T001205"/>
    <x v="1192"/>
    <d v="2026-03-01T08:22:00"/>
    <x v="1"/>
    <s v="Chat"/>
    <x v="0"/>
    <s v="A037"/>
    <x v="1"/>
    <n v="72"/>
    <n v="4.8"/>
    <x v="1"/>
    <s v="No"/>
    <s v="No"/>
    <m/>
    <s v="Closed"/>
    <s v="March"/>
    <x v="2"/>
    <n v="2026"/>
    <s v="Yes"/>
    <n v="1"/>
    <x v="3"/>
    <n v="1"/>
  </r>
  <r>
    <s v="T001206"/>
    <x v="1193"/>
    <d v="2026-03-02T22:40:00"/>
    <x v="5"/>
    <s v="Field Visit"/>
    <x v="2"/>
    <s v="A034"/>
    <x v="2"/>
    <n v="4"/>
    <n v="40.5"/>
    <x v="1"/>
    <s v="No"/>
    <s v="Yes"/>
    <n v="5"/>
    <s v="Closed"/>
    <s v="March"/>
    <x v="2"/>
    <n v="2026"/>
    <s v="No"/>
    <n v="0"/>
    <x v="2"/>
    <n v="1"/>
  </r>
  <r>
    <s v="T001207"/>
    <x v="1194"/>
    <d v="2026-03-01T13:42:00"/>
    <x v="6"/>
    <s v="Chat"/>
    <x v="1"/>
    <s v="A056"/>
    <x v="1"/>
    <n v="24"/>
    <n v="5.8"/>
    <x v="1"/>
    <s v="No"/>
    <s v="No"/>
    <n v="3"/>
    <s v="Closed"/>
    <s v="March"/>
    <x v="2"/>
    <n v="2026"/>
    <s v="Yes"/>
    <n v="1"/>
    <x v="1"/>
    <n v="1"/>
  </r>
  <r>
    <s v="T001208"/>
    <x v="1195"/>
    <d v="2026-03-03T04:04:00"/>
    <x v="6"/>
    <s v="Field Visit"/>
    <x v="0"/>
    <s v="A022"/>
    <x v="2"/>
    <n v="72"/>
    <n v="44"/>
    <x v="1"/>
    <s v="No"/>
    <s v="No"/>
    <n v="5"/>
    <s v="Closed"/>
    <s v="March"/>
    <x v="2"/>
    <n v="2026"/>
    <s v="Yes"/>
    <n v="1"/>
    <x v="3"/>
    <n v="1"/>
  </r>
  <r>
    <s v="T001209"/>
    <x v="1196"/>
    <d v="2026-03-01T17:05:00"/>
    <x v="0"/>
    <s v="Chat"/>
    <x v="0"/>
    <s v="A047"/>
    <x v="1"/>
    <n v="72"/>
    <n v="8.6999999999999993"/>
    <x v="1"/>
    <s v="No"/>
    <s v="No"/>
    <n v="4"/>
    <s v="Closed"/>
    <s v="March"/>
    <x v="2"/>
    <n v="2026"/>
    <s v="Yes"/>
    <n v="1"/>
    <x v="1"/>
    <n v="1"/>
  </r>
  <r>
    <s v="T001210"/>
    <x v="1197"/>
    <d v="2026-03-01T15:20:00"/>
    <x v="6"/>
    <s v="Phone"/>
    <x v="2"/>
    <s v="A050"/>
    <x v="1"/>
    <n v="4"/>
    <n v="5.8"/>
    <x v="1"/>
    <s v="No"/>
    <s v="No"/>
    <n v="4"/>
    <s v="Closed"/>
    <s v="March"/>
    <x v="2"/>
    <n v="2026"/>
    <s v="No"/>
    <n v="0"/>
    <x v="0"/>
    <n v="1"/>
  </r>
  <r>
    <s v="T001211"/>
    <x v="1198"/>
    <d v="2026-03-01T20:57:00"/>
    <x v="2"/>
    <s v="Chat"/>
    <x v="0"/>
    <s v="A055"/>
    <x v="1"/>
    <n v="72"/>
    <n v="11.1"/>
    <x v="1"/>
    <s v="No"/>
    <s v="No"/>
    <n v="5"/>
    <s v="Closed"/>
    <s v="March"/>
    <x v="2"/>
    <n v="2026"/>
    <s v="Yes"/>
    <n v="1"/>
    <x v="1"/>
    <n v="1"/>
  </r>
  <r>
    <s v="T001212"/>
    <x v="1199"/>
    <d v="2026-03-03T21:02:00"/>
    <x v="1"/>
    <s v="Email"/>
    <x v="1"/>
    <s v="A048"/>
    <x v="1"/>
    <n v="24"/>
    <n v="58.5"/>
    <x v="1"/>
    <s v="No"/>
    <s v="No"/>
    <n v="5"/>
    <s v="Closed"/>
    <s v="March"/>
    <x v="2"/>
    <n v="2026"/>
    <s v="No"/>
    <n v="0"/>
    <x v="1"/>
    <n v="1"/>
  </r>
  <r>
    <s v="T001213"/>
    <x v="1200"/>
    <d v="2026-03-02T20:45:00"/>
    <x v="1"/>
    <s v="Phone"/>
    <x v="1"/>
    <s v="A019"/>
    <x v="2"/>
    <n v="24"/>
    <n v="33.9"/>
    <x v="1"/>
    <s v="No"/>
    <s v="No"/>
    <n v="2"/>
    <s v="Closed"/>
    <s v="March"/>
    <x v="2"/>
    <n v="2026"/>
    <s v="No"/>
    <n v="0"/>
    <x v="2"/>
    <n v="1"/>
  </r>
  <r>
    <s v="T001214"/>
    <x v="1201"/>
    <d v="2026-03-01T16:47:00"/>
    <x v="1"/>
    <s v="Chat"/>
    <x v="2"/>
    <s v="A043"/>
    <x v="1"/>
    <n v="4"/>
    <n v="5.8"/>
    <x v="1"/>
    <s v="No"/>
    <s v="No"/>
    <n v="5"/>
    <s v="Closed"/>
    <s v="March"/>
    <x v="2"/>
    <n v="2026"/>
    <s v="No"/>
    <n v="0"/>
    <x v="2"/>
    <n v="1"/>
  </r>
  <r>
    <s v="T001215"/>
    <x v="1202"/>
    <d v="2026-03-01T15:42:00"/>
    <x v="6"/>
    <s v="Chat"/>
    <x v="1"/>
    <s v="A036"/>
    <x v="1"/>
    <n v="24"/>
    <n v="3.8"/>
    <x v="1"/>
    <s v="No"/>
    <s v="No"/>
    <m/>
    <s v="Closed"/>
    <s v="March"/>
    <x v="2"/>
    <n v="2026"/>
    <s v="Yes"/>
    <n v="1"/>
    <x v="1"/>
    <n v="1"/>
  </r>
  <r>
    <s v="T001216"/>
    <x v="1203"/>
    <d v="2026-03-01T15:55:00"/>
    <x v="6"/>
    <s v="Chat"/>
    <x v="1"/>
    <s v="A003"/>
    <x v="0"/>
    <n v="24"/>
    <n v="3.7"/>
    <x v="0"/>
    <s v="Yes"/>
    <s v="No"/>
    <n v="5"/>
    <s v="Closed"/>
    <s v="March"/>
    <x v="2"/>
    <n v="2026"/>
    <s v="Yes"/>
    <n v="1"/>
    <x v="4"/>
    <n v="0"/>
  </r>
  <r>
    <s v="T001217"/>
    <x v="1204"/>
    <d v="2026-03-03T07:27:00"/>
    <x v="0"/>
    <s v="Phone"/>
    <x v="0"/>
    <s v="A047"/>
    <x v="1"/>
    <n v="72"/>
    <n v="43.1"/>
    <x v="1"/>
    <s v="No"/>
    <s v="No"/>
    <n v="4"/>
    <s v="Closed"/>
    <s v="March"/>
    <x v="2"/>
    <n v="2026"/>
    <s v="Yes"/>
    <n v="1"/>
    <x v="4"/>
    <n v="1"/>
  </r>
  <r>
    <s v="T001218"/>
    <x v="1205"/>
    <d v="2026-03-04T02:40:00"/>
    <x v="2"/>
    <s v="Email"/>
    <x v="1"/>
    <s v="A042"/>
    <x v="1"/>
    <n v="24"/>
    <n v="62"/>
    <x v="1"/>
    <s v="No"/>
    <s v="No"/>
    <n v="5"/>
    <s v="Closed"/>
    <s v="March"/>
    <x v="2"/>
    <n v="2026"/>
    <s v="No"/>
    <n v="0"/>
    <x v="1"/>
    <n v="1"/>
  </r>
  <r>
    <s v="T001219"/>
    <x v="1206"/>
    <d v="2026-03-02T00:02:00"/>
    <x v="1"/>
    <s v="Phone"/>
    <x v="2"/>
    <s v="A038"/>
    <x v="1"/>
    <n v="4"/>
    <n v="11"/>
    <x v="1"/>
    <s v="No"/>
    <s v="No"/>
    <n v="5"/>
    <s v="Closed"/>
    <s v="March"/>
    <x v="2"/>
    <n v="2026"/>
    <s v="No"/>
    <n v="0"/>
    <x v="4"/>
    <n v="1"/>
  </r>
  <r>
    <s v="T001220"/>
    <x v="1207"/>
    <d v="2026-03-01T19:57:00"/>
    <x v="3"/>
    <s v="Phone"/>
    <x v="2"/>
    <s v="A056"/>
    <x v="1"/>
    <n v="4"/>
    <n v="6.8"/>
    <x v="0"/>
    <s v="No"/>
    <s v="No"/>
    <m/>
    <s v="Closed"/>
    <s v="March"/>
    <x v="2"/>
    <n v="2026"/>
    <s v="No"/>
    <n v="0"/>
    <x v="1"/>
    <n v="0"/>
  </r>
  <r>
    <s v="T001221"/>
    <x v="1208"/>
    <d v="2026-03-02T04:57:00"/>
    <x v="0"/>
    <s v="Phone"/>
    <x v="1"/>
    <s v="A045"/>
    <x v="1"/>
    <n v="24"/>
    <n v="15.4"/>
    <x v="1"/>
    <s v="No"/>
    <s v="Yes"/>
    <m/>
    <s v="Closed"/>
    <s v="March"/>
    <x v="2"/>
    <n v="2026"/>
    <s v="Yes"/>
    <n v="1"/>
    <x v="3"/>
    <n v="1"/>
  </r>
  <r>
    <s v="T001222"/>
    <x v="1209"/>
    <d v="2026-03-01T21:43:00"/>
    <x v="5"/>
    <s v="Phone"/>
    <x v="1"/>
    <s v="A046"/>
    <x v="1"/>
    <n v="24"/>
    <n v="6.1"/>
    <x v="1"/>
    <s v="No"/>
    <s v="No"/>
    <n v="5"/>
    <s v="Closed"/>
    <s v="March"/>
    <x v="2"/>
    <n v="2026"/>
    <s v="Yes"/>
    <n v="1"/>
    <x v="0"/>
    <n v="1"/>
  </r>
  <r>
    <s v="T001223"/>
    <x v="1210"/>
    <d v="2026-03-06T07:59:00"/>
    <x v="4"/>
    <s v="Field Visit"/>
    <x v="1"/>
    <s v="A019"/>
    <x v="2"/>
    <n v="24"/>
    <n v="112.3"/>
    <x v="1"/>
    <s v="No"/>
    <s v="No"/>
    <m/>
    <s v="Closed"/>
    <s v="March"/>
    <x v="2"/>
    <n v="2026"/>
    <s v="No"/>
    <n v="0"/>
    <x v="3"/>
    <n v="1"/>
  </r>
  <r>
    <s v="T001224"/>
    <x v="1211"/>
    <d v="2026-03-02T10:36:00"/>
    <x v="6"/>
    <s v="Field Visit"/>
    <x v="1"/>
    <s v="A056"/>
    <x v="1"/>
    <n v="24"/>
    <n v="18.3"/>
    <x v="1"/>
    <s v="No"/>
    <s v="No"/>
    <m/>
    <s v="Closed"/>
    <s v="March"/>
    <x v="2"/>
    <n v="2026"/>
    <s v="Yes"/>
    <n v="1"/>
    <x v="1"/>
    <n v="1"/>
  </r>
  <r>
    <s v="T001225"/>
    <x v="1212"/>
    <d v="2026-03-01T23:19:00"/>
    <x v="1"/>
    <s v="Phone"/>
    <x v="0"/>
    <s v="A039"/>
    <x v="1"/>
    <n v="72"/>
    <n v="6.8"/>
    <x v="1"/>
    <s v="No"/>
    <s v="No"/>
    <m/>
    <s v="Closed"/>
    <s v="March"/>
    <x v="2"/>
    <n v="2026"/>
    <s v="Yes"/>
    <n v="1"/>
    <x v="4"/>
    <n v="1"/>
  </r>
  <r>
    <s v="T001226"/>
    <x v="1213"/>
    <d v="2026-03-01T21:25:00"/>
    <x v="5"/>
    <s v="Phone"/>
    <x v="1"/>
    <s v="A004"/>
    <x v="0"/>
    <n v="24"/>
    <n v="4.8"/>
    <x v="1"/>
    <s v="No"/>
    <s v="No"/>
    <n v="5"/>
    <s v="Closed"/>
    <s v="March"/>
    <x v="2"/>
    <n v="2026"/>
    <s v="Yes"/>
    <n v="1"/>
    <x v="4"/>
    <n v="1"/>
  </r>
  <r>
    <s v="T001227"/>
    <x v="1214"/>
    <d v="2026-03-02T00:20:00"/>
    <x v="6"/>
    <s v="Phone"/>
    <x v="2"/>
    <s v="A056"/>
    <x v="1"/>
    <n v="4"/>
    <n v="2.8"/>
    <x v="1"/>
    <s v="No"/>
    <s v="Yes"/>
    <m/>
    <s v="Closed"/>
    <s v="March"/>
    <x v="2"/>
    <n v="2026"/>
    <s v="Yes"/>
    <n v="1"/>
    <x v="3"/>
    <n v="1"/>
  </r>
  <r>
    <s v="T001228"/>
    <x v="1215"/>
    <d v="2026-03-02T12:42:00"/>
    <x v="5"/>
    <s v="Chat"/>
    <x v="1"/>
    <s v="A041"/>
    <x v="1"/>
    <n v="24"/>
    <n v="13.7"/>
    <x v="1"/>
    <s v="No"/>
    <s v="No"/>
    <n v="5"/>
    <s v="Closed"/>
    <s v="March"/>
    <x v="2"/>
    <n v="2026"/>
    <s v="Yes"/>
    <n v="1"/>
    <x v="2"/>
    <n v="1"/>
  </r>
  <r>
    <s v="T001229"/>
    <x v="1216"/>
    <d v="2026-03-02T06:06:00"/>
    <x v="1"/>
    <s v="Chat"/>
    <x v="0"/>
    <s v="A023"/>
    <x v="2"/>
    <n v="72"/>
    <n v="3.6"/>
    <x v="1"/>
    <s v="No"/>
    <s v="No"/>
    <m/>
    <s v="Closed"/>
    <s v="March"/>
    <x v="2"/>
    <n v="2026"/>
    <s v="Yes"/>
    <n v="1"/>
    <x v="3"/>
    <n v="1"/>
  </r>
  <r>
    <s v="T001230"/>
    <x v="1217"/>
    <d v="2026-03-03T18:13:00"/>
    <x v="4"/>
    <s v="Phone"/>
    <x v="0"/>
    <s v="A038"/>
    <x v="1"/>
    <n v="72"/>
    <n v="38.5"/>
    <x v="1"/>
    <s v="No"/>
    <s v="No"/>
    <n v="4"/>
    <s v="Closed"/>
    <s v="March"/>
    <x v="2"/>
    <n v="2026"/>
    <s v="Yes"/>
    <n v="1"/>
    <x v="4"/>
    <n v="1"/>
  </r>
  <r>
    <s v="T001231"/>
    <x v="1218"/>
    <d v="2026-03-03T11:21:00"/>
    <x v="6"/>
    <s v="Field Visit"/>
    <x v="1"/>
    <s v="A021"/>
    <x v="2"/>
    <n v="24"/>
    <n v="27.8"/>
    <x v="1"/>
    <s v="No"/>
    <s v="No"/>
    <n v="4"/>
    <s v="Closed"/>
    <s v="March"/>
    <x v="2"/>
    <n v="2026"/>
    <s v="No"/>
    <n v="0"/>
    <x v="0"/>
    <n v="1"/>
  </r>
  <r>
    <s v="T001232"/>
    <x v="1219"/>
    <d v="2026-03-02T15:40:00"/>
    <x v="1"/>
    <s v="Email"/>
    <x v="0"/>
    <s v="A059"/>
    <x v="1"/>
    <n v="72"/>
    <n v="7.9"/>
    <x v="1"/>
    <s v="No"/>
    <s v="No"/>
    <n v="5"/>
    <s v="Closed"/>
    <s v="March"/>
    <x v="2"/>
    <n v="2026"/>
    <s v="Yes"/>
    <n v="1"/>
    <x v="1"/>
    <n v="1"/>
  </r>
  <r>
    <s v="T001233"/>
    <x v="1220"/>
    <d v="2026-03-02T18:50:00"/>
    <x v="2"/>
    <s v="Chat"/>
    <x v="0"/>
    <s v="A014"/>
    <x v="0"/>
    <n v="72"/>
    <n v="9.1"/>
    <x v="0"/>
    <s v="Yes"/>
    <s v="No"/>
    <n v="3"/>
    <s v="Closed"/>
    <s v="March"/>
    <x v="2"/>
    <n v="2026"/>
    <s v="Yes"/>
    <n v="1"/>
    <x v="4"/>
    <n v="0"/>
  </r>
  <r>
    <s v="T001234"/>
    <x v="1221"/>
    <d v="2026-03-04T09:50:00"/>
    <x v="0"/>
    <s v="Field Visit"/>
    <x v="0"/>
    <s v="A041"/>
    <x v="1"/>
    <n v="72"/>
    <n v="46.6"/>
    <x v="0"/>
    <s v="No"/>
    <s v="No"/>
    <n v="4"/>
    <s v="Closed"/>
    <s v="March"/>
    <x v="2"/>
    <n v="2026"/>
    <s v="Yes"/>
    <n v="1"/>
    <x v="3"/>
    <n v="0"/>
  </r>
  <r>
    <s v="T001235"/>
    <x v="1222"/>
    <d v="2026-03-03T02:42:00"/>
    <x v="3"/>
    <s v="Phone"/>
    <x v="1"/>
    <s v="A018"/>
    <x v="2"/>
    <n v="24"/>
    <n v="15.4"/>
    <x v="1"/>
    <s v="No"/>
    <s v="No"/>
    <n v="5"/>
    <s v="Closed"/>
    <s v="March"/>
    <x v="2"/>
    <n v="2026"/>
    <s v="Yes"/>
    <n v="1"/>
    <x v="1"/>
    <n v="1"/>
  </r>
  <r>
    <s v="T001236"/>
    <x v="1223"/>
    <d v="2026-03-10T02:24:00"/>
    <x v="4"/>
    <s v="Field Visit"/>
    <x v="1"/>
    <s v="A009"/>
    <x v="0"/>
    <n v="24"/>
    <n v="182.8"/>
    <x v="1"/>
    <s v="No"/>
    <s v="No"/>
    <m/>
    <s v="Closed"/>
    <s v="March"/>
    <x v="2"/>
    <n v="2026"/>
    <s v="No"/>
    <n v="0"/>
    <x v="4"/>
    <n v="1"/>
  </r>
  <r>
    <s v="T001237"/>
    <x v="1224"/>
    <d v="2026-03-02T19:18:00"/>
    <x v="6"/>
    <s v="Field Visit"/>
    <x v="2"/>
    <s v="A044"/>
    <x v="1"/>
    <n v="4"/>
    <n v="7.3"/>
    <x v="1"/>
    <s v="No"/>
    <s v="Yes"/>
    <n v="3"/>
    <s v="Closed"/>
    <s v="March"/>
    <x v="2"/>
    <n v="2026"/>
    <s v="No"/>
    <n v="0"/>
    <x v="0"/>
    <n v="1"/>
  </r>
  <r>
    <s v="T001238"/>
    <x v="1225"/>
    <d v="2026-03-02T22:26:00"/>
    <x v="6"/>
    <s v="Phone"/>
    <x v="2"/>
    <s v="A045"/>
    <x v="1"/>
    <n v="4"/>
    <n v="10.4"/>
    <x v="1"/>
    <s v="No"/>
    <s v="Yes"/>
    <m/>
    <s v="Closed"/>
    <s v="March"/>
    <x v="2"/>
    <n v="2026"/>
    <s v="No"/>
    <n v="0"/>
    <x v="3"/>
    <n v="1"/>
  </r>
  <r>
    <s v="T001239"/>
    <x v="1226"/>
    <d v="2026-03-02T23:29:00"/>
    <x v="1"/>
    <s v="Chat"/>
    <x v="1"/>
    <s v="A052"/>
    <x v="1"/>
    <n v="24"/>
    <n v="10.9"/>
    <x v="1"/>
    <s v="No"/>
    <s v="No"/>
    <m/>
    <s v="Closed"/>
    <s v="March"/>
    <x v="2"/>
    <n v="2026"/>
    <s v="Yes"/>
    <n v="1"/>
    <x v="4"/>
    <n v="1"/>
  </r>
  <r>
    <s v="T001240"/>
    <x v="1227"/>
    <d v="2026-03-03T01:39:00"/>
    <x v="6"/>
    <s v="Phone"/>
    <x v="0"/>
    <s v="A011"/>
    <x v="0"/>
    <n v="72"/>
    <n v="11.7"/>
    <x v="0"/>
    <s v="No"/>
    <s v="No"/>
    <m/>
    <s v="Closed"/>
    <s v="March"/>
    <x v="2"/>
    <n v="2026"/>
    <s v="Yes"/>
    <n v="1"/>
    <x v="2"/>
    <n v="0"/>
  </r>
  <r>
    <s v="T001241"/>
    <x v="1228"/>
    <d v="2026-03-03T07:05:00"/>
    <x v="1"/>
    <s v="Phone"/>
    <x v="1"/>
    <s v="A025"/>
    <x v="2"/>
    <n v="24"/>
    <n v="16.899999999999999"/>
    <x v="1"/>
    <s v="No"/>
    <s v="No"/>
    <m/>
    <s v="Closed"/>
    <s v="March"/>
    <x v="2"/>
    <n v="2026"/>
    <s v="Yes"/>
    <n v="1"/>
    <x v="4"/>
    <n v="1"/>
  </r>
  <r>
    <s v="T001242"/>
    <x v="1229"/>
    <d v="2026-03-03T03:24:00"/>
    <x v="1"/>
    <s v="Phone"/>
    <x v="0"/>
    <s v="A041"/>
    <x v="1"/>
    <n v="72"/>
    <n v="12.8"/>
    <x v="1"/>
    <s v="No"/>
    <s v="No"/>
    <n v="5"/>
    <s v="Closed"/>
    <s v="March"/>
    <x v="2"/>
    <n v="2026"/>
    <s v="Yes"/>
    <n v="1"/>
    <x v="2"/>
    <n v="1"/>
  </r>
  <r>
    <s v="T001243"/>
    <x v="1230"/>
    <d v="2026-03-03T02:13:00"/>
    <x v="1"/>
    <s v="Phone"/>
    <x v="1"/>
    <s v="A013"/>
    <x v="0"/>
    <n v="24"/>
    <n v="10.1"/>
    <x v="0"/>
    <s v="No"/>
    <s v="Yes"/>
    <m/>
    <s v="Closed"/>
    <s v="March"/>
    <x v="2"/>
    <n v="2026"/>
    <s v="Yes"/>
    <n v="1"/>
    <x v="2"/>
    <n v="0"/>
  </r>
  <r>
    <s v="T001244"/>
    <x v="1231"/>
    <d v="2026-03-03T01:01:00"/>
    <x v="2"/>
    <s v="Phone"/>
    <x v="0"/>
    <s v="A015"/>
    <x v="0"/>
    <n v="72"/>
    <n v="8.1"/>
    <x v="0"/>
    <s v="Yes"/>
    <s v="No"/>
    <n v="4"/>
    <s v="Closed"/>
    <s v="March"/>
    <x v="2"/>
    <n v="2026"/>
    <s v="Yes"/>
    <n v="1"/>
    <x v="0"/>
    <n v="0"/>
  </r>
  <r>
    <s v="T001245"/>
    <x v="1232"/>
    <d v="2026-03-02T21:56:00"/>
    <x v="5"/>
    <s v="Phone"/>
    <x v="1"/>
    <s v="A013"/>
    <x v="0"/>
    <n v="24"/>
    <n v="4.3"/>
    <x v="1"/>
    <s v="No"/>
    <s v="No"/>
    <m/>
    <s v="Closed"/>
    <s v="March"/>
    <x v="2"/>
    <n v="2026"/>
    <s v="Yes"/>
    <n v="1"/>
    <x v="1"/>
    <n v="1"/>
  </r>
  <r>
    <s v="T001246"/>
    <x v="1233"/>
    <d v="2026-03-07T04:12:00"/>
    <x v="0"/>
    <s v="Field Visit"/>
    <x v="0"/>
    <s v="A005"/>
    <x v="0"/>
    <n v="72"/>
    <n v="104.7"/>
    <x v="1"/>
    <s v="No"/>
    <s v="No"/>
    <n v="5"/>
    <s v="Closed"/>
    <s v="March"/>
    <x v="2"/>
    <n v="2026"/>
    <s v="No"/>
    <n v="0"/>
    <x v="3"/>
    <n v="1"/>
  </r>
  <r>
    <s v="T001247"/>
    <x v="1234"/>
    <d v="2026-03-05T06:42:00"/>
    <x v="4"/>
    <s v="Field Visit"/>
    <x v="2"/>
    <s v="A043"/>
    <x v="1"/>
    <n v="4"/>
    <n v="57.1"/>
    <x v="1"/>
    <s v="No"/>
    <s v="No"/>
    <m/>
    <s v="Closed"/>
    <s v="March"/>
    <x v="2"/>
    <n v="2026"/>
    <s v="No"/>
    <n v="0"/>
    <x v="4"/>
    <n v="1"/>
  </r>
  <r>
    <s v="T001248"/>
    <x v="1235"/>
    <d v="2026-03-03T07:10:00"/>
    <x v="0"/>
    <s v="Chat"/>
    <x v="2"/>
    <s v="A030"/>
    <x v="2"/>
    <n v="4"/>
    <n v="2.5"/>
    <x v="0"/>
    <s v="Yes"/>
    <s v="No"/>
    <m/>
    <s v="Closed"/>
    <s v="March"/>
    <x v="2"/>
    <n v="2026"/>
    <s v="Yes"/>
    <n v="1"/>
    <x v="0"/>
    <n v="0"/>
  </r>
  <r>
    <s v="T001249"/>
    <x v="1236"/>
    <d v="2026-03-03T10:21:00"/>
    <x v="5"/>
    <s v="Chat"/>
    <x v="1"/>
    <s v="A037"/>
    <x v="1"/>
    <n v="24"/>
    <n v="2.9"/>
    <x v="1"/>
    <s v="No"/>
    <s v="No"/>
    <n v="4"/>
    <s v="Closed"/>
    <s v="March"/>
    <x v="2"/>
    <n v="2026"/>
    <s v="Yes"/>
    <n v="1"/>
    <x v="3"/>
    <n v="1"/>
  </r>
  <r>
    <s v="T001250"/>
    <x v="1237"/>
    <d v="2026-03-05T01:41:00"/>
    <x v="6"/>
    <s v="Field Visit"/>
    <x v="2"/>
    <s v="A018"/>
    <x v="2"/>
    <n v="4"/>
    <n v="40.299999999999997"/>
    <x v="1"/>
    <s v="No"/>
    <s v="No"/>
    <n v="5"/>
    <s v="Closed"/>
    <s v="March"/>
    <x v="2"/>
    <n v="2026"/>
    <s v="No"/>
    <n v="0"/>
    <x v="2"/>
    <n v="1"/>
  </r>
  <r>
    <s v="T001251"/>
    <x v="1238"/>
    <d v="2026-03-03T17:50:00"/>
    <x v="5"/>
    <s v="Phone"/>
    <x v="1"/>
    <s v="A060"/>
    <x v="1"/>
    <n v="24"/>
    <n v="8.3000000000000007"/>
    <x v="1"/>
    <s v="No"/>
    <s v="No"/>
    <n v="5"/>
    <s v="Closed"/>
    <s v="March"/>
    <x v="2"/>
    <n v="2026"/>
    <s v="Yes"/>
    <n v="1"/>
    <x v="4"/>
    <n v="1"/>
  </r>
  <r>
    <s v="T001252"/>
    <x v="1239"/>
    <d v="2026-03-03T15:52:00"/>
    <x v="6"/>
    <s v="Chat"/>
    <x v="2"/>
    <s v="A045"/>
    <x v="1"/>
    <n v="4"/>
    <n v="6.2"/>
    <x v="0"/>
    <s v="Yes"/>
    <s v="No"/>
    <n v="2"/>
    <s v="Closed"/>
    <s v="March"/>
    <x v="2"/>
    <n v="2026"/>
    <s v="No"/>
    <n v="0"/>
    <x v="0"/>
    <n v="0"/>
  </r>
  <r>
    <s v="T001253"/>
    <x v="1240"/>
    <d v="2026-03-03T21:55:00"/>
    <x v="6"/>
    <s v="Field Visit"/>
    <x v="1"/>
    <s v="A053"/>
    <x v="1"/>
    <n v="24"/>
    <n v="10.8"/>
    <x v="1"/>
    <s v="No"/>
    <s v="No"/>
    <n v="4"/>
    <s v="Closed"/>
    <s v="March"/>
    <x v="2"/>
    <n v="2026"/>
    <s v="Yes"/>
    <n v="1"/>
    <x v="3"/>
    <n v="1"/>
  </r>
  <r>
    <s v="T001254"/>
    <x v="1241"/>
    <d v="2026-03-03T14:05:00"/>
    <x v="1"/>
    <s v="Chat"/>
    <x v="1"/>
    <s v="A010"/>
    <x v="0"/>
    <n v="24"/>
    <n v="2.9"/>
    <x v="0"/>
    <s v="No"/>
    <s v="No"/>
    <m/>
    <s v="Closed"/>
    <s v="March"/>
    <x v="2"/>
    <n v="2026"/>
    <s v="Yes"/>
    <n v="1"/>
    <x v="4"/>
    <n v="0"/>
  </r>
  <r>
    <s v="T001255"/>
    <x v="1242"/>
    <d v="2026-03-03T19:45:00"/>
    <x v="3"/>
    <s v="Phone"/>
    <x v="0"/>
    <s v="A007"/>
    <x v="0"/>
    <n v="72"/>
    <n v="8.4"/>
    <x v="0"/>
    <s v="No"/>
    <s v="No"/>
    <n v="3"/>
    <s v="Closed"/>
    <s v="March"/>
    <x v="2"/>
    <n v="2026"/>
    <s v="Yes"/>
    <n v="1"/>
    <x v="3"/>
    <n v="0"/>
  </r>
  <r>
    <s v="T001256"/>
    <x v="1243"/>
    <d v="2026-03-03T17:54:00"/>
    <x v="1"/>
    <s v="Phone"/>
    <x v="1"/>
    <s v="A006"/>
    <x v="0"/>
    <n v="24"/>
    <n v="6.2"/>
    <x v="1"/>
    <s v="No"/>
    <s v="No"/>
    <n v="5"/>
    <s v="Closed"/>
    <s v="March"/>
    <x v="2"/>
    <n v="2026"/>
    <s v="Yes"/>
    <n v="1"/>
    <x v="0"/>
    <n v="1"/>
  </r>
  <r>
    <s v="T001257"/>
    <x v="1244"/>
    <d v="2026-03-07T05:33:00"/>
    <x v="4"/>
    <s v="Field Visit"/>
    <x v="1"/>
    <s v="A051"/>
    <x v="1"/>
    <n v="24"/>
    <n v="89.8"/>
    <x v="1"/>
    <s v="No"/>
    <s v="No"/>
    <n v="5"/>
    <s v="Closed"/>
    <s v="March"/>
    <x v="2"/>
    <n v="2026"/>
    <s v="No"/>
    <n v="0"/>
    <x v="2"/>
    <n v="1"/>
  </r>
  <r>
    <s v="T001258"/>
    <x v="1245"/>
    <d v="2026-03-03T20:44:00"/>
    <x v="4"/>
    <s v="Chat"/>
    <x v="0"/>
    <s v="A024"/>
    <x v="2"/>
    <n v="72"/>
    <n v="8.6999999999999993"/>
    <x v="1"/>
    <s v="No"/>
    <s v="No"/>
    <m/>
    <s v="Closed"/>
    <s v="March"/>
    <x v="2"/>
    <n v="2026"/>
    <s v="Yes"/>
    <n v="1"/>
    <x v="4"/>
    <n v="1"/>
  </r>
  <r>
    <s v="T001259"/>
    <x v="1246"/>
    <d v="2026-03-05T00:00:00"/>
    <x v="3"/>
    <s v="Phone"/>
    <x v="2"/>
    <s v="A009"/>
    <x v="0"/>
    <n v="4"/>
    <n v="34.4"/>
    <x v="1"/>
    <s v="No"/>
    <s v="No"/>
    <n v="4"/>
    <s v="Closed"/>
    <s v="March"/>
    <x v="2"/>
    <n v="2026"/>
    <s v="No"/>
    <n v="0"/>
    <x v="3"/>
    <n v="1"/>
  </r>
  <r>
    <s v="T001260"/>
    <x v="1247"/>
    <d v="2026-03-03T17:27:00"/>
    <x v="1"/>
    <s v="Email"/>
    <x v="0"/>
    <s v="A019"/>
    <x v="2"/>
    <n v="72"/>
    <n v="3.8"/>
    <x v="1"/>
    <s v="No"/>
    <s v="Yes"/>
    <m/>
    <s v="Closed"/>
    <s v="March"/>
    <x v="2"/>
    <n v="2026"/>
    <s v="Yes"/>
    <n v="1"/>
    <x v="3"/>
    <n v="1"/>
  </r>
  <r>
    <s v="T001261"/>
    <x v="1248"/>
    <d v="2026-03-03T19:04:00"/>
    <x v="1"/>
    <s v="Phone"/>
    <x v="0"/>
    <s v="A043"/>
    <x v="1"/>
    <n v="72"/>
    <n v="3.7"/>
    <x v="1"/>
    <s v="No"/>
    <s v="No"/>
    <n v="5"/>
    <s v="Closed"/>
    <s v="March"/>
    <x v="2"/>
    <n v="2026"/>
    <s v="Yes"/>
    <n v="1"/>
    <x v="4"/>
    <n v="1"/>
  </r>
  <r>
    <s v="T001262"/>
    <x v="1249"/>
    <d v="2026-03-04T06:59:00"/>
    <x v="0"/>
    <s v="Chat"/>
    <x v="0"/>
    <s v="A031"/>
    <x v="2"/>
    <n v="72"/>
    <n v="15.2"/>
    <x v="0"/>
    <s v="No"/>
    <s v="No"/>
    <n v="5"/>
    <s v="Closed"/>
    <s v="March"/>
    <x v="2"/>
    <n v="2026"/>
    <s v="Yes"/>
    <n v="1"/>
    <x v="2"/>
    <n v="0"/>
  </r>
  <r>
    <s v="T001263"/>
    <x v="1250"/>
    <d v="2026-03-04T07:20:00"/>
    <x v="3"/>
    <s v="Field Visit"/>
    <x v="0"/>
    <s v="A037"/>
    <x v="1"/>
    <n v="72"/>
    <n v="15.3"/>
    <x v="0"/>
    <s v="Yes"/>
    <s v="No"/>
    <n v="3"/>
    <s v="Closed"/>
    <s v="March"/>
    <x v="2"/>
    <n v="2026"/>
    <s v="Yes"/>
    <n v="1"/>
    <x v="1"/>
    <n v="0"/>
  </r>
  <r>
    <s v="T001264"/>
    <x v="1251"/>
    <d v="2026-03-04T00:48:00"/>
    <x v="1"/>
    <s v="Email"/>
    <x v="0"/>
    <s v="A023"/>
    <x v="2"/>
    <n v="72"/>
    <n v="7.4"/>
    <x v="1"/>
    <s v="No"/>
    <s v="No"/>
    <m/>
    <s v="Closed"/>
    <s v="March"/>
    <x v="2"/>
    <n v="2026"/>
    <s v="Yes"/>
    <n v="1"/>
    <x v="3"/>
    <n v="1"/>
  </r>
  <r>
    <s v="T001265"/>
    <x v="1252"/>
    <d v="2026-03-04T10:04:00"/>
    <x v="3"/>
    <s v="Phone"/>
    <x v="1"/>
    <s v="A045"/>
    <x v="1"/>
    <n v="24"/>
    <n v="13.1"/>
    <x v="1"/>
    <s v="No"/>
    <s v="No"/>
    <m/>
    <s v="Closed"/>
    <s v="March"/>
    <x v="2"/>
    <n v="2026"/>
    <s v="Yes"/>
    <n v="1"/>
    <x v="2"/>
    <n v="1"/>
  </r>
  <r>
    <s v="T001266"/>
    <x v="1253"/>
    <d v="2026-03-04T20:30:00"/>
    <x v="5"/>
    <s v="Email"/>
    <x v="0"/>
    <s v="A033"/>
    <x v="2"/>
    <n v="72"/>
    <n v="22.2"/>
    <x v="1"/>
    <s v="No"/>
    <s v="No"/>
    <n v="5"/>
    <s v="Closed"/>
    <s v="March"/>
    <x v="2"/>
    <n v="2026"/>
    <s v="Yes"/>
    <n v="1"/>
    <x v="0"/>
    <n v="1"/>
  </r>
  <r>
    <s v="T001267"/>
    <x v="1254"/>
    <d v="2026-03-04T23:56:00"/>
    <x v="1"/>
    <s v="Email"/>
    <x v="1"/>
    <s v="A009"/>
    <x v="0"/>
    <n v="24"/>
    <n v="21.5"/>
    <x v="1"/>
    <s v="No"/>
    <s v="No"/>
    <n v="5"/>
    <s v="Closed"/>
    <s v="March"/>
    <x v="2"/>
    <n v="2026"/>
    <s v="Yes"/>
    <n v="1"/>
    <x v="0"/>
    <n v="1"/>
  </r>
  <r>
    <s v="T001268"/>
    <x v="1255"/>
    <d v="2026-03-04T08:32:00"/>
    <x v="1"/>
    <s v="Phone"/>
    <x v="0"/>
    <s v="A056"/>
    <x v="1"/>
    <n v="72"/>
    <n v="4.0999999999999996"/>
    <x v="1"/>
    <s v="No"/>
    <s v="No"/>
    <n v="4"/>
    <s v="Closed"/>
    <s v="March"/>
    <x v="2"/>
    <n v="2026"/>
    <s v="Yes"/>
    <n v="1"/>
    <x v="4"/>
    <n v="1"/>
  </r>
  <r>
    <s v="T001269"/>
    <x v="1256"/>
    <d v="2026-03-04T17:14:00"/>
    <x v="5"/>
    <s v="Phone"/>
    <x v="1"/>
    <s v="A043"/>
    <x v="1"/>
    <n v="24"/>
    <n v="9.1"/>
    <x v="0"/>
    <s v="No"/>
    <s v="No"/>
    <n v="3"/>
    <s v="Closed"/>
    <s v="March"/>
    <x v="2"/>
    <n v="2026"/>
    <s v="Yes"/>
    <n v="1"/>
    <x v="4"/>
    <n v="0"/>
  </r>
  <r>
    <s v="T001270"/>
    <x v="1257"/>
    <d v="2026-03-05T04:59:00"/>
    <x v="2"/>
    <s v="Chat"/>
    <x v="1"/>
    <s v="A045"/>
    <x v="1"/>
    <n v="24"/>
    <n v="19.8"/>
    <x v="1"/>
    <s v="No"/>
    <s v="No"/>
    <n v="5"/>
    <s v="Closed"/>
    <s v="March"/>
    <x v="2"/>
    <n v="2026"/>
    <s v="Yes"/>
    <n v="1"/>
    <x v="4"/>
    <n v="1"/>
  </r>
  <r>
    <s v="T001271"/>
    <x v="1258"/>
    <d v="2026-03-07T02:34:00"/>
    <x v="3"/>
    <s v="Email"/>
    <x v="1"/>
    <s v="A048"/>
    <x v="1"/>
    <n v="24"/>
    <n v="64.7"/>
    <x v="0"/>
    <s v="No"/>
    <s v="No"/>
    <n v="4"/>
    <s v="Closed"/>
    <s v="March"/>
    <x v="2"/>
    <n v="2026"/>
    <s v="No"/>
    <n v="0"/>
    <x v="2"/>
    <n v="0"/>
  </r>
  <r>
    <s v="T001272"/>
    <x v="1259"/>
    <d v="2026-03-05T01:48:00"/>
    <x v="5"/>
    <s v="Email"/>
    <x v="0"/>
    <s v="A003"/>
    <x v="0"/>
    <n v="72"/>
    <n v="15.7"/>
    <x v="0"/>
    <s v="Yes"/>
    <s v="No"/>
    <n v="3"/>
    <s v="Closed"/>
    <s v="March"/>
    <x v="2"/>
    <n v="2026"/>
    <s v="Yes"/>
    <n v="1"/>
    <x v="2"/>
    <n v="0"/>
  </r>
  <r>
    <s v="T001273"/>
    <x v="1260"/>
    <d v="2026-03-04T18:34:00"/>
    <x v="1"/>
    <s v="Phone"/>
    <x v="1"/>
    <s v="A041"/>
    <x v="1"/>
    <n v="24"/>
    <n v="7.6"/>
    <x v="1"/>
    <s v="No"/>
    <s v="No"/>
    <n v="5"/>
    <s v="Closed"/>
    <s v="March"/>
    <x v="2"/>
    <n v="2026"/>
    <s v="Yes"/>
    <n v="1"/>
    <x v="2"/>
    <n v="1"/>
  </r>
  <r>
    <s v="T001274"/>
    <x v="1261"/>
    <d v="2026-03-04T15:54:00"/>
    <x v="5"/>
    <s v="Phone"/>
    <x v="2"/>
    <s v="A019"/>
    <x v="2"/>
    <n v="4"/>
    <n v="4.8"/>
    <x v="1"/>
    <s v="No"/>
    <s v="No"/>
    <n v="3"/>
    <s v="Closed"/>
    <s v="March"/>
    <x v="2"/>
    <n v="2026"/>
    <s v="No"/>
    <n v="0"/>
    <x v="4"/>
    <n v="1"/>
  </r>
  <r>
    <s v="T001275"/>
    <x v="1262"/>
    <d v="2026-03-04T13:37:00"/>
    <x v="1"/>
    <s v="Phone"/>
    <x v="1"/>
    <s v="A036"/>
    <x v="1"/>
    <n v="24"/>
    <n v="2.5"/>
    <x v="1"/>
    <s v="No"/>
    <s v="No"/>
    <m/>
    <s v="Closed"/>
    <s v="March"/>
    <x v="2"/>
    <n v="2026"/>
    <s v="Yes"/>
    <n v="1"/>
    <x v="2"/>
    <n v="1"/>
  </r>
  <r>
    <s v="T001276"/>
    <x v="1263"/>
    <d v="2026-03-04T22:57:00"/>
    <x v="0"/>
    <s v="Phone"/>
    <x v="1"/>
    <s v="A059"/>
    <x v="1"/>
    <n v="24"/>
    <n v="11.2"/>
    <x v="1"/>
    <s v="No"/>
    <s v="No"/>
    <n v="4"/>
    <s v="Closed"/>
    <s v="March"/>
    <x v="2"/>
    <n v="2026"/>
    <s v="Yes"/>
    <n v="1"/>
    <x v="4"/>
    <n v="1"/>
  </r>
  <r>
    <s v="T001277"/>
    <x v="1264"/>
    <d v="2026-03-05T03:05:00"/>
    <x v="6"/>
    <s v="Phone"/>
    <x v="2"/>
    <s v="A048"/>
    <x v="1"/>
    <n v="4"/>
    <n v="14.9"/>
    <x v="1"/>
    <s v="No"/>
    <s v="No"/>
    <m/>
    <s v="Closed"/>
    <s v="March"/>
    <x v="2"/>
    <n v="2026"/>
    <s v="No"/>
    <n v="0"/>
    <x v="1"/>
    <n v="1"/>
  </r>
  <r>
    <s v="T001278"/>
    <x v="1265"/>
    <d v="2026-03-04T18:55:00"/>
    <x v="1"/>
    <s v="Chat"/>
    <x v="0"/>
    <s v="A027"/>
    <x v="2"/>
    <n v="72"/>
    <n v="6"/>
    <x v="1"/>
    <s v="No"/>
    <s v="No"/>
    <m/>
    <s v="Closed"/>
    <s v="March"/>
    <x v="2"/>
    <n v="2026"/>
    <s v="Yes"/>
    <n v="1"/>
    <x v="4"/>
    <n v="1"/>
  </r>
  <r>
    <s v="T001279"/>
    <x v="1266"/>
    <d v="2026-03-04T20:10:00"/>
    <x v="1"/>
    <s v="Phone"/>
    <x v="1"/>
    <s v="A023"/>
    <x v="2"/>
    <n v="24"/>
    <n v="5.2"/>
    <x v="1"/>
    <s v="No"/>
    <s v="No"/>
    <m/>
    <s v="Closed"/>
    <s v="March"/>
    <x v="2"/>
    <n v="2026"/>
    <s v="Yes"/>
    <n v="1"/>
    <x v="3"/>
    <n v="1"/>
  </r>
  <r>
    <s v="T001280"/>
    <x v="1266"/>
    <d v="2026-03-05T01:34:00"/>
    <x v="1"/>
    <s v="Email"/>
    <x v="1"/>
    <s v="A053"/>
    <x v="1"/>
    <n v="24"/>
    <n v="10.6"/>
    <x v="1"/>
    <s v="No"/>
    <s v="No"/>
    <n v="3"/>
    <s v="Closed"/>
    <s v="March"/>
    <x v="2"/>
    <n v="2026"/>
    <s v="Yes"/>
    <n v="1"/>
    <x v="1"/>
    <n v="1"/>
  </r>
  <r>
    <s v="T001281"/>
    <x v="1267"/>
    <d v="2026-03-07T02:59:00"/>
    <x v="3"/>
    <s v="Field Visit"/>
    <x v="2"/>
    <s v="A028"/>
    <x v="2"/>
    <n v="4"/>
    <n v="58.2"/>
    <x v="1"/>
    <s v="No"/>
    <s v="No"/>
    <m/>
    <s v="Closed"/>
    <s v="March"/>
    <x v="2"/>
    <n v="2026"/>
    <s v="No"/>
    <n v="0"/>
    <x v="0"/>
    <n v="1"/>
  </r>
  <r>
    <s v="T001282"/>
    <x v="1268"/>
    <d v="2026-03-05T11:45:00"/>
    <x v="3"/>
    <s v="Phone"/>
    <x v="0"/>
    <s v="A036"/>
    <x v="1"/>
    <n v="72"/>
    <n v="17.899999999999999"/>
    <x v="1"/>
    <s v="No"/>
    <s v="No"/>
    <n v="4"/>
    <s v="Closed"/>
    <s v="March"/>
    <x v="2"/>
    <n v="2026"/>
    <s v="Yes"/>
    <n v="1"/>
    <x v="2"/>
    <n v="1"/>
  </r>
  <r>
    <s v="T001283"/>
    <x v="1269"/>
    <d v="2026-03-05T21:47:00"/>
    <x v="0"/>
    <s v="Chat"/>
    <x v="0"/>
    <s v="A028"/>
    <x v="2"/>
    <n v="72"/>
    <n v="26.3"/>
    <x v="1"/>
    <s v="No"/>
    <s v="No"/>
    <m/>
    <s v="Closed"/>
    <s v="March"/>
    <x v="2"/>
    <n v="2026"/>
    <s v="Yes"/>
    <n v="1"/>
    <x v="2"/>
    <n v="1"/>
  </r>
  <r>
    <s v="T001284"/>
    <x v="1270"/>
    <d v="2026-03-05T01:30:00"/>
    <x v="0"/>
    <s v="Chat"/>
    <x v="1"/>
    <s v="A017"/>
    <x v="2"/>
    <n v="24"/>
    <n v="3.8"/>
    <x v="0"/>
    <s v="Yes"/>
    <s v="No"/>
    <m/>
    <s v="Closed"/>
    <s v="March"/>
    <x v="2"/>
    <n v="2026"/>
    <s v="Yes"/>
    <n v="1"/>
    <x v="4"/>
    <n v="0"/>
  </r>
  <r>
    <s v="T001285"/>
    <x v="1271"/>
    <d v="2026-03-05T16:01:00"/>
    <x v="0"/>
    <s v="Field Visit"/>
    <x v="1"/>
    <s v="A010"/>
    <x v="0"/>
    <n v="24"/>
    <n v="12.3"/>
    <x v="1"/>
    <s v="No"/>
    <s v="No"/>
    <m/>
    <s v="Closed"/>
    <s v="March"/>
    <x v="2"/>
    <n v="2026"/>
    <s v="Yes"/>
    <n v="1"/>
    <x v="1"/>
    <n v="1"/>
  </r>
  <r>
    <s v="T001286"/>
    <x v="1272"/>
    <d v="2026-03-05T10:05:00"/>
    <x v="5"/>
    <s v="Chat"/>
    <x v="0"/>
    <s v="A025"/>
    <x v="2"/>
    <n v="72"/>
    <n v="2.8"/>
    <x v="0"/>
    <s v="No"/>
    <s v="No"/>
    <n v="3"/>
    <s v="Closed"/>
    <s v="March"/>
    <x v="2"/>
    <n v="2026"/>
    <s v="Yes"/>
    <n v="1"/>
    <x v="0"/>
    <n v="0"/>
  </r>
  <r>
    <s v="T001287"/>
    <x v="1273"/>
    <d v="2026-03-05T14:54:00"/>
    <x v="1"/>
    <s v="Chat"/>
    <x v="1"/>
    <s v="A026"/>
    <x v="2"/>
    <n v="24"/>
    <n v="6.5"/>
    <x v="0"/>
    <s v="Yes"/>
    <s v="No"/>
    <n v="2"/>
    <s v="Closed"/>
    <s v="March"/>
    <x v="2"/>
    <n v="2026"/>
    <s v="Yes"/>
    <n v="1"/>
    <x v="0"/>
    <n v="0"/>
  </r>
  <r>
    <s v="T001288"/>
    <x v="1274"/>
    <d v="2026-03-05T17:22:00"/>
    <x v="1"/>
    <s v="Phone"/>
    <x v="0"/>
    <s v="A003"/>
    <x v="0"/>
    <n v="72"/>
    <n v="7.7"/>
    <x v="0"/>
    <s v="No"/>
    <s v="No"/>
    <n v="2"/>
    <s v="Closed"/>
    <s v="March"/>
    <x v="2"/>
    <n v="2026"/>
    <s v="Yes"/>
    <n v="1"/>
    <x v="0"/>
    <n v="0"/>
  </r>
  <r>
    <s v="T001289"/>
    <x v="1275"/>
    <d v="2026-03-05T20:58:00"/>
    <x v="6"/>
    <s v="Phone"/>
    <x v="2"/>
    <s v="A033"/>
    <x v="2"/>
    <n v="4"/>
    <n v="10.8"/>
    <x v="1"/>
    <s v="No"/>
    <s v="No"/>
    <m/>
    <s v="Closed"/>
    <s v="March"/>
    <x v="2"/>
    <n v="2026"/>
    <s v="No"/>
    <n v="0"/>
    <x v="1"/>
    <n v="1"/>
  </r>
  <r>
    <s v="T001290"/>
    <x v="1276"/>
    <d v="2026-03-13T17:40:00"/>
    <x v="4"/>
    <s v="Field Visit"/>
    <x v="1"/>
    <s v="A016"/>
    <x v="2"/>
    <n v="24"/>
    <n v="199.4"/>
    <x v="1"/>
    <s v="No"/>
    <s v="No"/>
    <n v="5"/>
    <s v="Closed"/>
    <s v="March"/>
    <x v="2"/>
    <n v="2026"/>
    <s v="No"/>
    <n v="0"/>
    <x v="3"/>
    <n v="1"/>
  </r>
  <r>
    <s v="T001291"/>
    <x v="1277"/>
    <d v="2026-03-05T16:56:00"/>
    <x v="5"/>
    <s v="Chat"/>
    <x v="0"/>
    <s v="A008"/>
    <x v="0"/>
    <n v="72"/>
    <n v="6.2"/>
    <x v="1"/>
    <s v="No"/>
    <s v="No"/>
    <n v="4"/>
    <s v="Closed"/>
    <s v="March"/>
    <x v="2"/>
    <n v="2026"/>
    <s v="Yes"/>
    <n v="1"/>
    <x v="4"/>
    <n v="1"/>
  </r>
  <r>
    <s v="T001292"/>
    <x v="1278"/>
    <d v="2026-03-05T17:49:00"/>
    <x v="1"/>
    <s v="Phone"/>
    <x v="1"/>
    <s v="A027"/>
    <x v="2"/>
    <n v="24"/>
    <n v="6.9"/>
    <x v="1"/>
    <s v="No"/>
    <s v="No"/>
    <n v="4"/>
    <s v="Closed"/>
    <s v="March"/>
    <x v="2"/>
    <n v="2026"/>
    <s v="Yes"/>
    <n v="1"/>
    <x v="1"/>
    <n v="1"/>
  </r>
  <r>
    <s v="T001293"/>
    <x v="1279"/>
    <d v="2026-03-05T17:15:00"/>
    <x v="2"/>
    <s v="Phone"/>
    <x v="1"/>
    <s v="A022"/>
    <x v="2"/>
    <n v="24"/>
    <n v="6.2"/>
    <x v="0"/>
    <s v="Yes"/>
    <s v="No"/>
    <m/>
    <s v="Closed"/>
    <s v="March"/>
    <x v="2"/>
    <n v="2026"/>
    <s v="Yes"/>
    <n v="1"/>
    <x v="4"/>
    <n v="0"/>
  </r>
  <r>
    <s v="T001294"/>
    <x v="1280"/>
    <d v="2026-03-06T20:46:00"/>
    <x v="3"/>
    <s v="Email"/>
    <x v="2"/>
    <s v="A048"/>
    <x v="1"/>
    <n v="4"/>
    <n v="33.700000000000003"/>
    <x v="0"/>
    <s v="Yes"/>
    <s v="No"/>
    <n v="3"/>
    <s v="Closed"/>
    <s v="March"/>
    <x v="2"/>
    <n v="2026"/>
    <s v="No"/>
    <n v="0"/>
    <x v="0"/>
    <n v="0"/>
  </r>
  <r>
    <s v="T001295"/>
    <x v="1281"/>
    <d v="2026-03-05T18:03:00"/>
    <x v="6"/>
    <s v="Chat"/>
    <x v="2"/>
    <s v="A024"/>
    <x v="2"/>
    <n v="4"/>
    <n v="5.4"/>
    <x v="1"/>
    <s v="No"/>
    <s v="No"/>
    <n v="5"/>
    <s v="Closed"/>
    <s v="March"/>
    <x v="2"/>
    <n v="2026"/>
    <s v="No"/>
    <n v="0"/>
    <x v="3"/>
    <n v="1"/>
  </r>
  <r>
    <s v="T001296"/>
    <x v="1282"/>
    <d v="2026-03-05T20:11:00"/>
    <x v="1"/>
    <s v="Phone"/>
    <x v="0"/>
    <s v="A039"/>
    <x v="1"/>
    <n v="72"/>
    <n v="7.2"/>
    <x v="1"/>
    <s v="No"/>
    <s v="No"/>
    <n v="3"/>
    <s v="Closed"/>
    <s v="March"/>
    <x v="2"/>
    <n v="2026"/>
    <s v="Yes"/>
    <n v="1"/>
    <x v="0"/>
    <n v="1"/>
  </r>
  <r>
    <s v="T001297"/>
    <x v="1283"/>
    <d v="2026-03-06T12:40:00"/>
    <x v="2"/>
    <s v="Field Visit"/>
    <x v="1"/>
    <s v="A054"/>
    <x v="1"/>
    <n v="24"/>
    <n v="23.4"/>
    <x v="1"/>
    <s v="No"/>
    <s v="No"/>
    <m/>
    <s v="Closed"/>
    <s v="March"/>
    <x v="2"/>
    <n v="2026"/>
    <s v="Yes"/>
    <n v="1"/>
    <x v="1"/>
    <n v="1"/>
  </r>
  <r>
    <s v="T001298"/>
    <x v="1284"/>
    <d v="2026-03-06T00:59:00"/>
    <x v="0"/>
    <s v="Chat"/>
    <x v="1"/>
    <s v="A033"/>
    <x v="2"/>
    <n v="24"/>
    <n v="11.6"/>
    <x v="1"/>
    <s v="No"/>
    <s v="No"/>
    <n v="5"/>
    <s v="Closed"/>
    <s v="March"/>
    <x v="2"/>
    <n v="2026"/>
    <s v="Yes"/>
    <n v="1"/>
    <x v="3"/>
    <n v="1"/>
  </r>
  <r>
    <s v="T001299"/>
    <x v="1285"/>
    <d v="2026-03-06T02:19:00"/>
    <x v="1"/>
    <s v="Phone"/>
    <x v="1"/>
    <s v="A028"/>
    <x v="2"/>
    <n v="24"/>
    <n v="12.4"/>
    <x v="0"/>
    <s v="Yes"/>
    <s v="No"/>
    <m/>
    <s v="Closed"/>
    <s v="March"/>
    <x v="2"/>
    <n v="2026"/>
    <s v="Yes"/>
    <n v="1"/>
    <x v="1"/>
    <n v="0"/>
  </r>
  <r>
    <s v="T001300"/>
    <x v="1286"/>
    <d v="2026-03-06T01:37:00"/>
    <x v="1"/>
    <s v="Email"/>
    <x v="1"/>
    <s v="A031"/>
    <x v="2"/>
    <n v="24"/>
    <n v="10.8"/>
    <x v="1"/>
    <s v="No"/>
    <s v="No"/>
    <m/>
    <s v="Closed"/>
    <s v="March"/>
    <x v="2"/>
    <n v="2026"/>
    <s v="Yes"/>
    <n v="1"/>
    <x v="3"/>
    <n v="1"/>
  </r>
  <r>
    <s v="T001301"/>
    <x v="1287"/>
    <d v="2026-03-05T22:59:00"/>
    <x v="6"/>
    <s v="Field Visit"/>
    <x v="2"/>
    <s v="A049"/>
    <x v="1"/>
    <n v="4"/>
    <n v="8.1"/>
    <x v="1"/>
    <s v="No"/>
    <s v="No"/>
    <n v="3"/>
    <s v="Closed"/>
    <s v="March"/>
    <x v="2"/>
    <n v="2026"/>
    <s v="No"/>
    <n v="0"/>
    <x v="0"/>
    <n v="1"/>
  </r>
  <r>
    <s v="T001302"/>
    <x v="1288"/>
    <d v="2026-03-05T21:12:00"/>
    <x v="2"/>
    <s v="Phone"/>
    <x v="1"/>
    <s v="A057"/>
    <x v="1"/>
    <n v="24"/>
    <n v="6.2"/>
    <x v="0"/>
    <s v="No"/>
    <s v="No"/>
    <m/>
    <s v="Closed"/>
    <s v="March"/>
    <x v="2"/>
    <n v="2026"/>
    <s v="Yes"/>
    <n v="1"/>
    <x v="1"/>
    <n v="0"/>
  </r>
  <r>
    <s v="T001303"/>
    <x v="1289"/>
    <d v="2026-03-09T13:43:00"/>
    <x v="4"/>
    <s v="Field Visit"/>
    <x v="1"/>
    <s v="A028"/>
    <x v="2"/>
    <n v="24"/>
    <n v="94.7"/>
    <x v="1"/>
    <s v="No"/>
    <s v="No"/>
    <n v="4"/>
    <s v="Closed"/>
    <s v="March"/>
    <x v="2"/>
    <n v="2026"/>
    <s v="No"/>
    <n v="0"/>
    <x v="2"/>
    <n v="1"/>
  </r>
  <r>
    <s v="T001304"/>
    <x v="1290"/>
    <d v="2026-03-05T21:07:00"/>
    <x v="5"/>
    <s v="Phone"/>
    <x v="1"/>
    <s v="A057"/>
    <x v="1"/>
    <n v="24"/>
    <n v="5.8"/>
    <x v="0"/>
    <s v="Yes"/>
    <s v="No"/>
    <n v="2"/>
    <s v="Closed"/>
    <s v="March"/>
    <x v="2"/>
    <n v="2026"/>
    <s v="Yes"/>
    <n v="1"/>
    <x v="1"/>
    <n v="0"/>
  </r>
  <r>
    <s v="T001305"/>
    <x v="1291"/>
    <d v="2026-03-06T12:26:00"/>
    <x v="5"/>
    <s v="Email"/>
    <x v="0"/>
    <s v="A005"/>
    <x v="0"/>
    <n v="72"/>
    <n v="20.399999999999999"/>
    <x v="1"/>
    <s v="No"/>
    <s v="No"/>
    <n v="4"/>
    <s v="Closed"/>
    <s v="March"/>
    <x v="2"/>
    <n v="2026"/>
    <s v="Yes"/>
    <n v="1"/>
    <x v="0"/>
    <n v="1"/>
  </r>
  <r>
    <s v="T001306"/>
    <x v="1292"/>
    <d v="2026-03-06T04:39:00"/>
    <x v="6"/>
    <s v="Phone"/>
    <x v="0"/>
    <s v="A013"/>
    <x v="0"/>
    <n v="72"/>
    <n v="11"/>
    <x v="1"/>
    <s v="No"/>
    <s v="No"/>
    <m/>
    <s v="Closed"/>
    <s v="March"/>
    <x v="2"/>
    <n v="2026"/>
    <s v="Yes"/>
    <n v="1"/>
    <x v="3"/>
    <n v="1"/>
  </r>
  <r>
    <s v="T001307"/>
    <x v="1293"/>
    <d v="2026-03-06T07:01:00"/>
    <x v="2"/>
    <s v="Field Visit"/>
    <x v="1"/>
    <s v="A031"/>
    <x v="2"/>
    <n v="24"/>
    <n v="12.8"/>
    <x v="1"/>
    <s v="No"/>
    <s v="No"/>
    <m/>
    <s v="Closed"/>
    <s v="March"/>
    <x v="2"/>
    <n v="2026"/>
    <s v="Yes"/>
    <n v="1"/>
    <x v="0"/>
    <n v="1"/>
  </r>
  <r>
    <s v="T001308"/>
    <x v="1294"/>
    <d v="2026-03-07T19:12:00"/>
    <x v="0"/>
    <s v="Field Visit"/>
    <x v="1"/>
    <s v="A058"/>
    <x v="1"/>
    <n v="24"/>
    <n v="48.9"/>
    <x v="0"/>
    <s v="No"/>
    <s v="No"/>
    <n v="3"/>
    <s v="Closed"/>
    <s v="March"/>
    <x v="2"/>
    <n v="2026"/>
    <s v="No"/>
    <n v="0"/>
    <x v="1"/>
    <n v="0"/>
  </r>
  <r>
    <s v="T001309"/>
    <x v="1295"/>
    <d v="2026-03-06T18:04:00"/>
    <x v="6"/>
    <s v="Field Visit"/>
    <x v="1"/>
    <s v="A055"/>
    <x v="1"/>
    <n v="24"/>
    <n v="21.3"/>
    <x v="0"/>
    <s v="Yes"/>
    <s v="No"/>
    <n v="3"/>
    <s v="Closed"/>
    <s v="March"/>
    <x v="2"/>
    <n v="2026"/>
    <s v="Yes"/>
    <n v="1"/>
    <x v="4"/>
    <n v="0"/>
  </r>
  <r>
    <s v="T001310"/>
    <x v="1296"/>
    <d v="2026-03-06T15:24:00"/>
    <x v="1"/>
    <s v="Phone"/>
    <x v="0"/>
    <s v="A050"/>
    <x v="1"/>
    <n v="72"/>
    <n v="9.3000000000000007"/>
    <x v="1"/>
    <s v="No"/>
    <s v="No"/>
    <m/>
    <s v="Closed"/>
    <s v="March"/>
    <x v="2"/>
    <n v="2026"/>
    <s v="Yes"/>
    <n v="1"/>
    <x v="4"/>
    <n v="1"/>
  </r>
  <r>
    <s v="T001311"/>
    <x v="1297"/>
    <d v="2026-03-06T11:53:00"/>
    <x v="0"/>
    <s v="Chat"/>
    <x v="1"/>
    <s v="A035"/>
    <x v="2"/>
    <n v="24"/>
    <n v="4.0999999999999996"/>
    <x v="0"/>
    <s v="Yes"/>
    <s v="No"/>
    <m/>
    <s v="Closed"/>
    <s v="March"/>
    <x v="2"/>
    <n v="2026"/>
    <s v="Yes"/>
    <n v="1"/>
    <x v="1"/>
    <n v="0"/>
  </r>
  <r>
    <s v="T001312"/>
    <x v="1298"/>
    <d v="2026-03-06T13:37:00"/>
    <x v="2"/>
    <s v="Phone"/>
    <x v="2"/>
    <s v="A060"/>
    <x v="1"/>
    <n v="4"/>
    <n v="3.3"/>
    <x v="1"/>
    <s v="No"/>
    <s v="No"/>
    <n v="3"/>
    <s v="Closed"/>
    <s v="March"/>
    <x v="2"/>
    <n v="2026"/>
    <s v="Yes"/>
    <n v="1"/>
    <x v="4"/>
    <n v="1"/>
  </r>
  <r>
    <s v="T001313"/>
    <x v="1299"/>
    <d v="2026-03-06T16:21:00"/>
    <x v="1"/>
    <s v="Phone"/>
    <x v="0"/>
    <s v="A044"/>
    <x v="1"/>
    <n v="72"/>
    <n v="5.8"/>
    <x v="1"/>
    <s v="No"/>
    <s v="No"/>
    <n v="3"/>
    <s v="Closed"/>
    <s v="March"/>
    <x v="2"/>
    <n v="2026"/>
    <s v="Yes"/>
    <n v="1"/>
    <x v="3"/>
    <n v="1"/>
  </r>
  <r>
    <s v="T001314"/>
    <x v="1300"/>
    <d v="2026-03-07T06:26:00"/>
    <x v="0"/>
    <s v="Phone"/>
    <x v="0"/>
    <s v="A003"/>
    <x v="0"/>
    <n v="72"/>
    <n v="19.7"/>
    <x v="1"/>
    <s v="No"/>
    <s v="No"/>
    <n v="5"/>
    <s v="Closed"/>
    <s v="March"/>
    <x v="2"/>
    <n v="2026"/>
    <s v="Yes"/>
    <n v="1"/>
    <x v="1"/>
    <n v="1"/>
  </r>
  <r>
    <s v="T001315"/>
    <x v="1301"/>
    <d v="2026-03-06T18:38:00"/>
    <x v="5"/>
    <s v="Chat"/>
    <x v="0"/>
    <s v="A009"/>
    <x v="0"/>
    <n v="72"/>
    <n v="7.6"/>
    <x v="0"/>
    <s v="No"/>
    <s v="No"/>
    <n v="4"/>
    <s v="Closed"/>
    <s v="March"/>
    <x v="2"/>
    <n v="2026"/>
    <s v="Yes"/>
    <n v="1"/>
    <x v="4"/>
    <n v="0"/>
  </r>
  <r>
    <s v="T001316"/>
    <x v="1302"/>
    <d v="2026-03-06T17:29:00"/>
    <x v="5"/>
    <s v="Email"/>
    <x v="0"/>
    <s v="A050"/>
    <x v="1"/>
    <n v="72"/>
    <n v="6.2"/>
    <x v="1"/>
    <s v="No"/>
    <s v="No"/>
    <n v="4"/>
    <s v="Closed"/>
    <s v="March"/>
    <x v="2"/>
    <n v="2026"/>
    <s v="Yes"/>
    <n v="1"/>
    <x v="1"/>
    <n v="1"/>
  </r>
  <r>
    <s v="T001319"/>
    <x v="1303"/>
    <d v="2026-03-07T12:28:00"/>
    <x v="6"/>
    <s v="Field Visit"/>
    <x v="2"/>
    <s v="A058"/>
    <x v="1"/>
    <n v="4"/>
    <n v="22.6"/>
    <x v="1"/>
    <s v="No"/>
    <s v="No"/>
    <m/>
    <s v="Closed"/>
    <s v="March"/>
    <x v="2"/>
    <n v="2026"/>
    <s v="No"/>
    <n v="0"/>
    <x v="1"/>
    <n v="1"/>
  </r>
  <r>
    <s v="T001318"/>
    <x v="1303"/>
    <d v="2026-03-06T22:16:00"/>
    <x v="6"/>
    <s v="Phone"/>
    <x v="0"/>
    <s v="A047"/>
    <x v="1"/>
    <n v="72"/>
    <n v="8.4"/>
    <x v="1"/>
    <s v="No"/>
    <s v="No"/>
    <n v="5"/>
    <s v="Closed"/>
    <s v="March"/>
    <x v="2"/>
    <n v="2026"/>
    <s v="Yes"/>
    <n v="1"/>
    <x v="0"/>
    <n v="1"/>
  </r>
  <r>
    <s v="T001317"/>
    <x v="1303"/>
    <d v="2026-03-06T22:10:00"/>
    <x v="0"/>
    <s v="Phone"/>
    <x v="1"/>
    <s v="A013"/>
    <x v="0"/>
    <n v="24"/>
    <n v="8.3000000000000007"/>
    <x v="1"/>
    <s v="No"/>
    <s v="No"/>
    <m/>
    <s v="Closed"/>
    <s v="March"/>
    <x v="2"/>
    <n v="2026"/>
    <s v="Yes"/>
    <n v="1"/>
    <x v="3"/>
    <n v="1"/>
  </r>
  <r>
    <s v="T001320"/>
    <x v="1304"/>
    <d v="2026-03-06T18:46:00"/>
    <x v="2"/>
    <s v="Phone"/>
    <x v="0"/>
    <s v="A002"/>
    <x v="0"/>
    <n v="72"/>
    <n v="4.4000000000000004"/>
    <x v="1"/>
    <s v="No"/>
    <s v="No"/>
    <n v="5"/>
    <s v="Closed"/>
    <s v="March"/>
    <x v="2"/>
    <n v="2026"/>
    <s v="Yes"/>
    <n v="1"/>
    <x v="0"/>
    <n v="1"/>
  </r>
  <r>
    <s v="T001321"/>
    <x v="1305"/>
    <d v="2026-03-06T18:39:00"/>
    <x v="6"/>
    <s v="Phone"/>
    <x v="2"/>
    <s v="A039"/>
    <x v="1"/>
    <n v="4"/>
    <n v="3.9"/>
    <x v="1"/>
    <s v="No"/>
    <s v="No"/>
    <n v="5"/>
    <s v="Closed"/>
    <s v="March"/>
    <x v="2"/>
    <n v="2026"/>
    <s v="Yes"/>
    <n v="1"/>
    <x v="1"/>
    <n v="1"/>
  </r>
  <r>
    <s v="T001322"/>
    <x v="1306"/>
    <d v="2026-03-07T01:11:00"/>
    <x v="0"/>
    <s v="Chat"/>
    <x v="0"/>
    <s v="A018"/>
    <x v="2"/>
    <n v="72"/>
    <n v="10.4"/>
    <x v="1"/>
    <s v="No"/>
    <s v="No"/>
    <n v="5"/>
    <s v="Closed"/>
    <s v="March"/>
    <x v="2"/>
    <n v="2026"/>
    <s v="Yes"/>
    <n v="1"/>
    <x v="0"/>
    <n v="1"/>
  </r>
  <r>
    <s v="T001323"/>
    <x v="1307"/>
    <d v="2026-03-08T20:34:00"/>
    <x v="3"/>
    <s v="Field Visit"/>
    <x v="1"/>
    <s v="A011"/>
    <x v="0"/>
    <n v="24"/>
    <n v="53.4"/>
    <x v="1"/>
    <s v="No"/>
    <s v="No"/>
    <m/>
    <s v="Closed"/>
    <s v="March"/>
    <x v="2"/>
    <n v="2026"/>
    <s v="No"/>
    <n v="0"/>
    <x v="3"/>
    <n v="1"/>
  </r>
  <r>
    <s v="T001324"/>
    <x v="1308"/>
    <d v="2026-03-09T06:13:00"/>
    <x v="5"/>
    <s v="Email"/>
    <x v="1"/>
    <s v="A008"/>
    <x v="0"/>
    <n v="24"/>
    <n v="62.3"/>
    <x v="1"/>
    <s v="No"/>
    <s v="No"/>
    <m/>
    <s v="Closed"/>
    <s v="March"/>
    <x v="2"/>
    <n v="2026"/>
    <s v="No"/>
    <n v="0"/>
    <x v="0"/>
    <n v="1"/>
  </r>
  <r>
    <s v="T001325"/>
    <x v="1309"/>
    <d v="2026-03-06T23:17:00"/>
    <x v="1"/>
    <s v="Phone"/>
    <x v="0"/>
    <s v="A020"/>
    <x v="2"/>
    <n v="72"/>
    <n v="7.3"/>
    <x v="1"/>
    <s v="No"/>
    <s v="No"/>
    <m/>
    <s v="Closed"/>
    <s v="March"/>
    <x v="2"/>
    <n v="2026"/>
    <s v="Yes"/>
    <n v="1"/>
    <x v="3"/>
    <n v="1"/>
  </r>
  <r>
    <s v="T001326"/>
    <x v="1310"/>
    <d v="2026-03-06T23:40:00"/>
    <x v="2"/>
    <s v="Chat"/>
    <x v="0"/>
    <s v="A016"/>
    <x v="2"/>
    <n v="72"/>
    <n v="6.9"/>
    <x v="1"/>
    <s v="No"/>
    <s v="No"/>
    <n v="3"/>
    <s v="Closed"/>
    <s v="March"/>
    <x v="2"/>
    <n v="2026"/>
    <s v="Yes"/>
    <n v="1"/>
    <x v="4"/>
    <n v="1"/>
  </r>
  <r>
    <s v="T001327"/>
    <x v="1311"/>
    <d v="2026-03-23T00:02:00"/>
    <x v="4"/>
    <s v="Field Visit"/>
    <x v="1"/>
    <s v="A002"/>
    <x v="0"/>
    <n v="24"/>
    <n v="391"/>
    <x v="1"/>
    <s v="No"/>
    <s v="No"/>
    <n v="5"/>
    <s v="Closed"/>
    <s v="March"/>
    <x v="2"/>
    <n v="2026"/>
    <s v="No"/>
    <n v="0"/>
    <x v="2"/>
    <n v="1"/>
  </r>
  <r>
    <s v="T001328"/>
    <x v="1312"/>
    <d v="2026-03-07T14:53:00"/>
    <x v="2"/>
    <s v="Phone"/>
    <x v="2"/>
    <s v="A038"/>
    <x v="1"/>
    <n v="4"/>
    <n v="18.7"/>
    <x v="1"/>
    <s v="No"/>
    <s v="No"/>
    <m/>
    <s v="Closed"/>
    <s v="March"/>
    <x v="2"/>
    <n v="2026"/>
    <s v="No"/>
    <n v="0"/>
    <x v="3"/>
    <n v="1"/>
  </r>
  <r>
    <s v="T001329"/>
    <x v="1313"/>
    <d v="2026-03-07T02:17:00"/>
    <x v="1"/>
    <s v="Phone"/>
    <x v="0"/>
    <s v="A021"/>
    <x v="2"/>
    <n v="72"/>
    <n v="3.7"/>
    <x v="1"/>
    <s v="No"/>
    <s v="No"/>
    <n v="3"/>
    <s v="Closed"/>
    <s v="March"/>
    <x v="2"/>
    <n v="2026"/>
    <s v="Yes"/>
    <n v="1"/>
    <x v="1"/>
    <n v="1"/>
  </r>
  <r>
    <s v="T001330"/>
    <x v="1314"/>
    <d v="2026-03-11T17:14:00"/>
    <x v="4"/>
    <s v="Field Visit"/>
    <x v="0"/>
    <s v="A032"/>
    <x v="2"/>
    <n v="72"/>
    <n v="108.2"/>
    <x v="0"/>
    <s v="Yes"/>
    <s v="No"/>
    <m/>
    <s v="Closed"/>
    <s v="March"/>
    <x v="2"/>
    <n v="2026"/>
    <s v="No"/>
    <n v="0"/>
    <x v="2"/>
    <n v="0"/>
  </r>
  <r>
    <s v="T001331"/>
    <x v="1315"/>
    <d v="2026-03-07T23:23:00"/>
    <x v="6"/>
    <s v="Field Visit"/>
    <x v="0"/>
    <s v="A054"/>
    <x v="1"/>
    <n v="72"/>
    <n v="14.2"/>
    <x v="0"/>
    <s v="Yes"/>
    <s v="No"/>
    <m/>
    <s v="Closed"/>
    <s v="March"/>
    <x v="2"/>
    <n v="2026"/>
    <s v="Yes"/>
    <n v="1"/>
    <x v="4"/>
    <n v="0"/>
  </r>
  <r>
    <s v="T001332"/>
    <x v="1316"/>
    <d v="2026-03-08T05:50:00"/>
    <x v="2"/>
    <s v="Field Visit"/>
    <x v="1"/>
    <s v="A053"/>
    <x v="1"/>
    <n v="24"/>
    <n v="19.100000000000001"/>
    <x v="1"/>
    <s v="No"/>
    <s v="No"/>
    <m/>
    <s v="Closed"/>
    <s v="March"/>
    <x v="2"/>
    <n v="2026"/>
    <s v="Yes"/>
    <n v="1"/>
    <x v="1"/>
    <n v="1"/>
  </r>
  <r>
    <s v="T001333"/>
    <x v="1317"/>
    <d v="2026-03-07T23:01:00"/>
    <x v="1"/>
    <s v="Phone"/>
    <x v="0"/>
    <s v="A056"/>
    <x v="1"/>
    <n v="72"/>
    <n v="12.1"/>
    <x v="1"/>
    <s v="No"/>
    <s v="No"/>
    <m/>
    <s v="Closed"/>
    <s v="March"/>
    <x v="2"/>
    <n v="2026"/>
    <s v="Yes"/>
    <n v="1"/>
    <x v="3"/>
    <n v="1"/>
  </r>
  <r>
    <s v="T001334"/>
    <x v="1318"/>
    <d v="2026-03-07T14:55:00"/>
    <x v="2"/>
    <s v="Chat"/>
    <x v="1"/>
    <s v="A044"/>
    <x v="1"/>
    <n v="24"/>
    <n v="3.8"/>
    <x v="1"/>
    <s v="No"/>
    <s v="Yes"/>
    <n v="4"/>
    <s v="Closed"/>
    <s v="March"/>
    <x v="2"/>
    <n v="2026"/>
    <s v="Yes"/>
    <n v="1"/>
    <x v="1"/>
    <n v="1"/>
  </r>
  <r>
    <s v="T001335"/>
    <x v="1319"/>
    <d v="2026-03-07T23:13:00"/>
    <x v="3"/>
    <s v="Chat"/>
    <x v="0"/>
    <s v="A056"/>
    <x v="1"/>
    <n v="72"/>
    <n v="9.6999999999999993"/>
    <x v="1"/>
    <s v="No"/>
    <s v="No"/>
    <m/>
    <s v="Closed"/>
    <s v="March"/>
    <x v="2"/>
    <n v="2026"/>
    <s v="Yes"/>
    <n v="1"/>
    <x v="0"/>
    <n v="1"/>
  </r>
  <r>
    <s v="T001336"/>
    <x v="1320"/>
    <d v="2026-03-12T23:23:00"/>
    <x v="3"/>
    <s v="Field Visit"/>
    <x v="1"/>
    <s v="A014"/>
    <x v="0"/>
    <n v="24"/>
    <n v="128.9"/>
    <x v="0"/>
    <s v="No"/>
    <s v="No"/>
    <n v="3"/>
    <s v="Closed"/>
    <s v="March"/>
    <x v="2"/>
    <n v="2026"/>
    <s v="No"/>
    <n v="0"/>
    <x v="1"/>
    <n v="0"/>
  </r>
  <r>
    <s v="T001337"/>
    <x v="1321"/>
    <d v="2026-03-08T01:12:00"/>
    <x v="5"/>
    <s v="Phone"/>
    <x v="1"/>
    <s v="A046"/>
    <x v="1"/>
    <n v="24"/>
    <n v="10.6"/>
    <x v="1"/>
    <s v="No"/>
    <s v="Yes"/>
    <m/>
    <s v="Closed"/>
    <s v="March"/>
    <x v="2"/>
    <n v="2026"/>
    <s v="Yes"/>
    <n v="1"/>
    <x v="4"/>
    <n v="1"/>
  </r>
  <r>
    <s v="T001339"/>
    <x v="1322"/>
    <d v="2026-03-08T07:52:00"/>
    <x v="2"/>
    <s v="Phone"/>
    <x v="1"/>
    <s v="A028"/>
    <x v="2"/>
    <n v="24"/>
    <n v="17.100000000000001"/>
    <x v="0"/>
    <s v="Yes"/>
    <s v="No"/>
    <m/>
    <s v="Closed"/>
    <s v="March"/>
    <x v="2"/>
    <n v="2026"/>
    <s v="Yes"/>
    <n v="1"/>
    <x v="4"/>
    <n v="0"/>
  </r>
  <r>
    <s v="T001338"/>
    <x v="1322"/>
    <d v="2026-03-12T18:22:00"/>
    <x v="4"/>
    <s v="Field Visit"/>
    <x v="0"/>
    <s v="A012"/>
    <x v="0"/>
    <n v="72"/>
    <n v="123.6"/>
    <x v="1"/>
    <s v="No"/>
    <s v="No"/>
    <m/>
    <s v="Closed"/>
    <s v="March"/>
    <x v="2"/>
    <n v="2026"/>
    <s v="No"/>
    <n v="0"/>
    <x v="1"/>
    <n v="1"/>
  </r>
  <r>
    <s v="T001340"/>
    <x v="1323"/>
    <d v="2026-03-08T04:27:00"/>
    <x v="0"/>
    <s v="Chat"/>
    <x v="0"/>
    <s v="A029"/>
    <x v="2"/>
    <n v="72"/>
    <n v="12.7"/>
    <x v="0"/>
    <s v="No"/>
    <s v="Yes"/>
    <n v="4"/>
    <s v="Closed"/>
    <s v="March"/>
    <x v="2"/>
    <n v="2026"/>
    <s v="Yes"/>
    <n v="1"/>
    <x v="1"/>
    <n v="0"/>
  </r>
  <r>
    <s v="T001341"/>
    <x v="1324"/>
    <d v="2026-03-08T20:38:00"/>
    <x v="6"/>
    <s v="Field Visit"/>
    <x v="1"/>
    <s v="A055"/>
    <x v="1"/>
    <n v="24"/>
    <n v="27.1"/>
    <x v="1"/>
    <s v="No"/>
    <s v="No"/>
    <n v="4"/>
    <s v="Closed"/>
    <s v="March"/>
    <x v="2"/>
    <n v="2026"/>
    <s v="No"/>
    <n v="0"/>
    <x v="0"/>
    <n v="1"/>
  </r>
  <r>
    <s v="T001342"/>
    <x v="1325"/>
    <d v="2026-03-11T00:28:00"/>
    <x v="3"/>
    <s v="Field Visit"/>
    <x v="1"/>
    <s v="A019"/>
    <x v="2"/>
    <n v="24"/>
    <n v="74.3"/>
    <x v="1"/>
    <s v="No"/>
    <s v="No"/>
    <n v="4"/>
    <s v="Closed"/>
    <s v="March"/>
    <x v="2"/>
    <n v="2026"/>
    <s v="No"/>
    <n v="0"/>
    <x v="2"/>
    <n v="1"/>
  </r>
  <r>
    <s v="T001343"/>
    <x v="1326"/>
    <d v="2026-03-08T18:22:00"/>
    <x v="5"/>
    <s v="Phone"/>
    <x v="1"/>
    <s v="A006"/>
    <x v="0"/>
    <n v="24"/>
    <n v="10.5"/>
    <x v="1"/>
    <s v="No"/>
    <s v="No"/>
    <n v="4"/>
    <s v="Closed"/>
    <s v="March"/>
    <x v="2"/>
    <n v="2026"/>
    <s v="Yes"/>
    <n v="1"/>
    <x v="1"/>
    <n v="1"/>
  </r>
  <r>
    <s v="T001344"/>
    <x v="1327"/>
    <d v="2026-03-11T01:34:00"/>
    <x v="3"/>
    <s v="Email"/>
    <x v="0"/>
    <s v="A020"/>
    <x v="2"/>
    <n v="72"/>
    <n v="63.3"/>
    <x v="1"/>
    <s v="No"/>
    <s v="No"/>
    <n v="4"/>
    <s v="Closed"/>
    <s v="March"/>
    <x v="2"/>
    <n v="2026"/>
    <s v="Yes"/>
    <n v="1"/>
    <x v="4"/>
    <n v="1"/>
  </r>
  <r>
    <s v="T001345"/>
    <x v="1328"/>
    <d v="2026-03-08T22:01:00"/>
    <x v="0"/>
    <s v="Chat"/>
    <x v="0"/>
    <s v="A018"/>
    <x v="2"/>
    <n v="72"/>
    <n v="11.7"/>
    <x v="1"/>
    <s v="No"/>
    <s v="No"/>
    <m/>
    <s v="Closed"/>
    <s v="March"/>
    <x v="2"/>
    <n v="2026"/>
    <s v="Yes"/>
    <n v="1"/>
    <x v="0"/>
    <n v="1"/>
  </r>
  <r>
    <s v="T001346"/>
    <x v="1329"/>
    <d v="2026-03-09T08:02:00"/>
    <x v="3"/>
    <s v="Field Visit"/>
    <x v="0"/>
    <s v="A010"/>
    <x v="0"/>
    <n v="72"/>
    <n v="21.5"/>
    <x v="1"/>
    <s v="No"/>
    <s v="No"/>
    <m/>
    <s v="Closed"/>
    <s v="March"/>
    <x v="2"/>
    <n v="2026"/>
    <s v="Yes"/>
    <n v="1"/>
    <x v="1"/>
    <n v="1"/>
  </r>
  <r>
    <s v="T001347"/>
    <x v="1330"/>
    <d v="2026-03-10T21:43:00"/>
    <x v="1"/>
    <s v="Email"/>
    <x v="1"/>
    <s v="A014"/>
    <x v="0"/>
    <n v="24"/>
    <n v="58.9"/>
    <x v="1"/>
    <s v="No"/>
    <s v="Yes"/>
    <n v="4"/>
    <s v="Closed"/>
    <s v="March"/>
    <x v="2"/>
    <n v="2026"/>
    <s v="No"/>
    <n v="0"/>
    <x v="0"/>
    <n v="1"/>
  </r>
  <r>
    <s v="T001348"/>
    <x v="1331"/>
    <d v="2026-03-08T20:57:00"/>
    <x v="2"/>
    <s v="Phone"/>
    <x v="1"/>
    <s v="A029"/>
    <x v="2"/>
    <n v="24"/>
    <n v="10"/>
    <x v="0"/>
    <s v="Yes"/>
    <s v="No"/>
    <n v="3"/>
    <s v="Closed"/>
    <s v="March"/>
    <x v="2"/>
    <n v="2026"/>
    <s v="Yes"/>
    <n v="1"/>
    <x v="4"/>
    <n v="0"/>
  </r>
  <r>
    <s v="T001349"/>
    <x v="1332"/>
    <d v="2026-03-08T17:22:00"/>
    <x v="1"/>
    <s v="Phone"/>
    <x v="1"/>
    <s v="A033"/>
    <x v="2"/>
    <n v="24"/>
    <n v="5.6"/>
    <x v="1"/>
    <s v="No"/>
    <s v="No"/>
    <m/>
    <s v="Closed"/>
    <s v="March"/>
    <x v="2"/>
    <n v="2026"/>
    <s v="Yes"/>
    <n v="1"/>
    <x v="3"/>
    <n v="1"/>
  </r>
  <r>
    <s v="T001350"/>
    <x v="1333"/>
    <d v="2026-03-09T01:20:00"/>
    <x v="1"/>
    <s v="Phone"/>
    <x v="1"/>
    <s v="A051"/>
    <x v="1"/>
    <n v="24"/>
    <n v="12.7"/>
    <x v="1"/>
    <s v="No"/>
    <s v="No"/>
    <n v="5"/>
    <s v="Closed"/>
    <s v="March"/>
    <x v="2"/>
    <n v="2026"/>
    <s v="Yes"/>
    <n v="1"/>
    <x v="3"/>
    <n v="1"/>
  </r>
  <r>
    <s v="T001351"/>
    <x v="1334"/>
    <d v="2026-03-09T00:08:00"/>
    <x v="0"/>
    <s v="Chat"/>
    <x v="1"/>
    <s v="A024"/>
    <x v="2"/>
    <n v="24"/>
    <n v="11.3"/>
    <x v="1"/>
    <s v="No"/>
    <s v="No"/>
    <m/>
    <s v="Closed"/>
    <s v="March"/>
    <x v="2"/>
    <n v="2026"/>
    <s v="Yes"/>
    <n v="1"/>
    <x v="2"/>
    <n v="1"/>
  </r>
  <r>
    <s v="T001352"/>
    <x v="1335"/>
    <d v="2026-03-09T16:19:00"/>
    <x v="3"/>
    <s v="Phone"/>
    <x v="0"/>
    <s v="A049"/>
    <x v="1"/>
    <n v="72"/>
    <n v="27.2"/>
    <x v="1"/>
    <s v="No"/>
    <s v="No"/>
    <m/>
    <s v="Closed"/>
    <s v="March"/>
    <x v="2"/>
    <n v="2026"/>
    <s v="Yes"/>
    <n v="1"/>
    <x v="1"/>
    <n v="1"/>
  </r>
  <r>
    <s v="T001353"/>
    <x v="1336"/>
    <d v="2026-03-09T00:21:00"/>
    <x v="0"/>
    <s v="Phone"/>
    <x v="1"/>
    <s v="A054"/>
    <x v="1"/>
    <n v="24"/>
    <n v="11.2"/>
    <x v="0"/>
    <s v="Yes"/>
    <s v="Yes"/>
    <n v="5"/>
    <s v="Closed"/>
    <s v="March"/>
    <x v="2"/>
    <n v="2026"/>
    <s v="Yes"/>
    <n v="1"/>
    <x v="2"/>
    <n v="0"/>
  </r>
  <r>
    <s v="T001354"/>
    <x v="1337"/>
    <d v="2026-03-09T01:15:00"/>
    <x v="2"/>
    <s v="Email"/>
    <x v="1"/>
    <s v="A017"/>
    <x v="2"/>
    <n v="24"/>
    <n v="12"/>
    <x v="0"/>
    <s v="No"/>
    <s v="No"/>
    <n v="4"/>
    <s v="Closed"/>
    <s v="March"/>
    <x v="2"/>
    <n v="2026"/>
    <s v="Yes"/>
    <n v="1"/>
    <x v="0"/>
    <n v="0"/>
  </r>
  <r>
    <s v="T001355"/>
    <x v="1338"/>
    <d v="2026-03-09T14:35:00"/>
    <x v="1"/>
    <s v="Email"/>
    <x v="0"/>
    <s v="A003"/>
    <x v="0"/>
    <n v="72"/>
    <n v="24.8"/>
    <x v="1"/>
    <s v="No"/>
    <s v="No"/>
    <n v="4"/>
    <s v="Closed"/>
    <s v="March"/>
    <x v="2"/>
    <n v="2026"/>
    <s v="Yes"/>
    <n v="1"/>
    <x v="3"/>
    <n v="1"/>
  </r>
  <r>
    <s v="T001356"/>
    <x v="1339"/>
    <d v="2026-03-08T16:36:00"/>
    <x v="6"/>
    <s v="Phone"/>
    <x v="0"/>
    <s v="A027"/>
    <x v="2"/>
    <n v="72"/>
    <n v="2.8"/>
    <x v="1"/>
    <s v="No"/>
    <s v="No"/>
    <m/>
    <s v="Closed"/>
    <s v="March"/>
    <x v="2"/>
    <n v="2026"/>
    <s v="Yes"/>
    <n v="1"/>
    <x v="0"/>
    <n v="1"/>
  </r>
  <r>
    <s v="T001357"/>
    <x v="1340"/>
    <d v="2026-03-11T03:33:00"/>
    <x v="4"/>
    <s v="Phone"/>
    <x v="2"/>
    <s v="A016"/>
    <x v="2"/>
    <n v="4"/>
    <n v="61.7"/>
    <x v="0"/>
    <s v="No"/>
    <s v="Yes"/>
    <n v="2"/>
    <s v="Closed"/>
    <s v="March"/>
    <x v="2"/>
    <n v="2026"/>
    <s v="No"/>
    <n v="0"/>
    <x v="2"/>
    <n v="0"/>
  </r>
  <r>
    <s v="T001358"/>
    <x v="1341"/>
    <d v="2026-03-09T02:25:00"/>
    <x v="0"/>
    <s v="Phone"/>
    <x v="0"/>
    <s v="A033"/>
    <x v="2"/>
    <n v="72"/>
    <n v="9.8000000000000007"/>
    <x v="0"/>
    <s v="Yes"/>
    <s v="No"/>
    <m/>
    <s v="Closed"/>
    <s v="March"/>
    <x v="2"/>
    <n v="2026"/>
    <s v="Yes"/>
    <n v="1"/>
    <x v="1"/>
    <n v="0"/>
  </r>
  <r>
    <s v="T001359"/>
    <x v="1342"/>
    <d v="2026-03-09T02:33:00"/>
    <x v="1"/>
    <s v="Chat"/>
    <x v="0"/>
    <s v="A007"/>
    <x v="0"/>
    <n v="72"/>
    <n v="9.9"/>
    <x v="1"/>
    <s v="No"/>
    <s v="No"/>
    <n v="5"/>
    <s v="Closed"/>
    <s v="March"/>
    <x v="2"/>
    <n v="2026"/>
    <s v="Yes"/>
    <n v="1"/>
    <x v="4"/>
    <n v="1"/>
  </r>
  <r>
    <s v="T001360"/>
    <x v="1343"/>
    <d v="2026-03-09T01:24:00"/>
    <x v="2"/>
    <s v="Chat"/>
    <x v="1"/>
    <s v="A016"/>
    <x v="2"/>
    <n v="24"/>
    <n v="8.5"/>
    <x v="1"/>
    <s v="No"/>
    <s v="No"/>
    <n v="4"/>
    <s v="Closed"/>
    <s v="March"/>
    <x v="2"/>
    <n v="2026"/>
    <s v="Yes"/>
    <n v="1"/>
    <x v="1"/>
    <n v="1"/>
  </r>
  <r>
    <s v="T001361"/>
    <x v="1344"/>
    <d v="2026-03-13T14:05:00"/>
    <x v="0"/>
    <s v="Field Visit"/>
    <x v="0"/>
    <s v="A036"/>
    <x v="1"/>
    <n v="72"/>
    <n v="117.1"/>
    <x v="0"/>
    <s v="No"/>
    <s v="No"/>
    <n v="5"/>
    <s v="Closed"/>
    <s v="March"/>
    <x v="2"/>
    <n v="2026"/>
    <s v="No"/>
    <n v="0"/>
    <x v="0"/>
    <n v="0"/>
  </r>
  <r>
    <s v="T001362"/>
    <x v="1345"/>
    <d v="2026-03-08T23:21:00"/>
    <x v="6"/>
    <s v="Phone"/>
    <x v="2"/>
    <s v="A038"/>
    <x v="1"/>
    <n v="4"/>
    <n v="5.6"/>
    <x v="0"/>
    <s v="No"/>
    <s v="No"/>
    <n v="4"/>
    <s v="Closed"/>
    <s v="March"/>
    <x v="2"/>
    <n v="2026"/>
    <s v="No"/>
    <n v="0"/>
    <x v="3"/>
    <n v="0"/>
  </r>
  <r>
    <s v="T001363"/>
    <x v="1346"/>
    <d v="2026-03-09T01:14:00"/>
    <x v="5"/>
    <s v="Chat"/>
    <x v="0"/>
    <s v="A017"/>
    <x v="2"/>
    <n v="72"/>
    <n v="6.6"/>
    <x v="1"/>
    <s v="No"/>
    <s v="No"/>
    <m/>
    <s v="Closed"/>
    <s v="March"/>
    <x v="2"/>
    <n v="2026"/>
    <s v="Yes"/>
    <n v="1"/>
    <x v="4"/>
    <n v="1"/>
  </r>
  <r>
    <s v="T001364"/>
    <x v="1347"/>
    <d v="2026-03-11T13:04:00"/>
    <x v="4"/>
    <s v="Chat"/>
    <x v="2"/>
    <s v="A001"/>
    <x v="0"/>
    <n v="4"/>
    <n v="66.2"/>
    <x v="0"/>
    <s v="Yes"/>
    <s v="No"/>
    <n v="4"/>
    <s v="Closed"/>
    <s v="March"/>
    <x v="2"/>
    <n v="2026"/>
    <s v="No"/>
    <n v="0"/>
    <x v="0"/>
    <n v="0"/>
  </r>
  <r>
    <s v="T001365"/>
    <x v="1348"/>
    <d v="2026-03-09T06:35:00"/>
    <x v="2"/>
    <s v="Phone"/>
    <x v="1"/>
    <s v="A046"/>
    <x v="1"/>
    <n v="24"/>
    <n v="10.5"/>
    <x v="1"/>
    <s v="No"/>
    <s v="No"/>
    <m/>
    <s v="Closed"/>
    <s v="March"/>
    <x v="2"/>
    <n v="2026"/>
    <s v="Yes"/>
    <n v="1"/>
    <x v="4"/>
    <n v="1"/>
  </r>
  <r>
    <s v="T001366"/>
    <x v="1349"/>
    <d v="2026-03-10T04:01:00"/>
    <x v="0"/>
    <s v="Email"/>
    <x v="1"/>
    <s v="A037"/>
    <x v="1"/>
    <n v="24"/>
    <n v="28.3"/>
    <x v="1"/>
    <s v="No"/>
    <s v="No"/>
    <m/>
    <s v="Closed"/>
    <s v="March"/>
    <x v="2"/>
    <n v="2026"/>
    <s v="No"/>
    <n v="0"/>
    <x v="4"/>
    <n v="1"/>
  </r>
  <r>
    <s v="T001367"/>
    <x v="1350"/>
    <d v="2026-03-09T11:05:00"/>
    <x v="1"/>
    <s v="Phone"/>
    <x v="1"/>
    <s v="A026"/>
    <x v="2"/>
    <n v="24"/>
    <n v="6"/>
    <x v="1"/>
    <s v="No"/>
    <s v="No"/>
    <n v="4"/>
    <s v="Closed"/>
    <s v="March"/>
    <x v="2"/>
    <n v="2026"/>
    <s v="Yes"/>
    <n v="1"/>
    <x v="2"/>
    <n v="1"/>
  </r>
  <r>
    <s v="T001371"/>
    <x v="1351"/>
    <d v="2026-03-13T11:06:00"/>
    <x v="6"/>
    <s v="Field Visit"/>
    <x v="2"/>
    <s v="A005"/>
    <x v="0"/>
    <n v="4"/>
    <n v="101.1"/>
    <x v="0"/>
    <s v="No"/>
    <s v="No"/>
    <n v="3"/>
    <s v="Closed"/>
    <s v="March"/>
    <x v="2"/>
    <n v="2026"/>
    <s v="No"/>
    <n v="0"/>
    <x v="1"/>
    <n v="0"/>
  </r>
  <r>
    <s v="T001372"/>
    <x v="1351"/>
    <d v="2026-03-12T09:48:00"/>
    <x v="6"/>
    <s v="Field Visit"/>
    <x v="0"/>
    <s v="A004"/>
    <x v="0"/>
    <n v="72"/>
    <n v="75.8"/>
    <x v="1"/>
    <s v="No"/>
    <s v="No"/>
    <n v="4"/>
    <s v="Closed"/>
    <s v="March"/>
    <x v="2"/>
    <n v="2026"/>
    <s v="No"/>
    <n v="0"/>
    <x v="1"/>
    <n v="1"/>
  </r>
  <r>
    <s v="T001368"/>
    <x v="1351"/>
    <d v="2026-03-10T21:24:00"/>
    <x v="6"/>
    <s v="Phone"/>
    <x v="1"/>
    <s v="A032"/>
    <x v="2"/>
    <n v="24"/>
    <n v="39.4"/>
    <x v="1"/>
    <s v="No"/>
    <s v="No"/>
    <n v="4"/>
    <s v="Closed"/>
    <s v="March"/>
    <x v="2"/>
    <n v="2026"/>
    <s v="No"/>
    <n v="0"/>
    <x v="1"/>
    <n v="1"/>
  </r>
  <r>
    <s v="T001370"/>
    <x v="1351"/>
    <d v="2026-03-09T17:24:00"/>
    <x v="6"/>
    <s v="Chat"/>
    <x v="1"/>
    <s v="A002"/>
    <x v="0"/>
    <n v="24"/>
    <n v="11.4"/>
    <x v="1"/>
    <s v="No"/>
    <s v="No"/>
    <n v="4"/>
    <s v="Closed"/>
    <s v="March"/>
    <x v="2"/>
    <n v="2026"/>
    <s v="Yes"/>
    <n v="1"/>
    <x v="1"/>
    <n v="1"/>
  </r>
  <r>
    <s v="T001369"/>
    <x v="1351"/>
    <d v="2026-03-10T14:18:00"/>
    <x v="6"/>
    <s v="Chat"/>
    <x v="2"/>
    <s v="A051"/>
    <x v="1"/>
    <n v="4"/>
    <n v="32.299999999999997"/>
    <x v="1"/>
    <s v="No"/>
    <s v="Yes"/>
    <m/>
    <s v="Closed"/>
    <s v="March"/>
    <x v="2"/>
    <n v="2026"/>
    <s v="No"/>
    <n v="0"/>
    <x v="1"/>
    <n v="1"/>
  </r>
  <r>
    <s v="T001379"/>
    <x v="1352"/>
    <d v="2026-03-10T02:48:00"/>
    <x v="6"/>
    <s v="Phone"/>
    <x v="2"/>
    <s v="A008"/>
    <x v="0"/>
    <n v="4"/>
    <n v="19.8"/>
    <x v="0"/>
    <s v="Yes"/>
    <s v="Yes"/>
    <n v="3"/>
    <s v="Closed"/>
    <s v="March"/>
    <x v="2"/>
    <n v="2026"/>
    <s v="No"/>
    <n v="0"/>
    <x v="1"/>
    <n v="0"/>
  </r>
  <r>
    <s v="T001375"/>
    <x v="1352"/>
    <d v="2026-03-09T18:06:00"/>
    <x v="6"/>
    <s v="Phone"/>
    <x v="1"/>
    <s v="A038"/>
    <x v="1"/>
    <n v="24"/>
    <n v="11.1"/>
    <x v="0"/>
    <s v="Yes"/>
    <s v="No"/>
    <m/>
    <s v="Closed"/>
    <s v="March"/>
    <x v="2"/>
    <n v="2026"/>
    <s v="Yes"/>
    <n v="1"/>
    <x v="1"/>
    <n v="0"/>
  </r>
  <r>
    <s v="T001374"/>
    <x v="1352"/>
    <d v="2026-03-10T03:30:00"/>
    <x v="6"/>
    <s v="Phone"/>
    <x v="1"/>
    <s v="A028"/>
    <x v="2"/>
    <n v="24"/>
    <n v="20.5"/>
    <x v="1"/>
    <s v="No"/>
    <s v="No"/>
    <m/>
    <s v="Closed"/>
    <s v="March"/>
    <x v="2"/>
    <n v="2026"/>
    <s v="Yes"/>
    <n v="1"/>
    <x v="1"/>
    <n v="1"/>
  </r>
  <r>
    <s v="T001373"/>
    <x v="1352"/>
    <d v="2026-03-10T12:30:00"/>
    <x v="6"/>
    <s v="Field Visit"/>
    <x v="0"/>
    <s v="A042"/>
    <x v="1"/>
    <n v="72"/>
    <n v="29.5"/>
    <x v="1"/>
    <s v="No"/>
    <s v="No"/>
    <n v="3"/>
    <s v="Closed"/>
    <s v="March"/>
    <x v="2"/>
    <n v="2026"/>
    <s v="Yes"/>
    <n v="1"/>
    <x v="4"/>
    <n v="1"/>
  </r>
  <r>
    <s v="T001376"/>
    <x v="1352"/>
    <d v="2026-03-12T00:42:00"/>
    <x v="6"/>
    <s v="Field Visit"/>
    <x v="1"/>
    <s v="A019"/>
    <x v="2"/>
    <n v="24"/>
    <n v="65.7"/>
    <x v="0"/>
    <s v="Yes"/>
    <s v="No"/>
    <m/>
    <s v="Closed"/>
    <s v="March"/>
    <x v="2"/>
    <n v="2026"/>
    <s v="No"/>
    <n v="0"/>
    <x v="1"/>
    <n v="0"/>
  </r>
  <r>
    <s v="T001378"/>
    <x v="1352"/>
    <d v="2026-03-09T21:42:00"/>
    <x v="6"/>
    <s v="Phone"/>
    <x v="2"/>
    <s v="A012"/>
    <x v="0"/>
    <n v="4"/>
    <n v="14.7"/>
    <x v="1"/>
    <s v="No"/>
    <s v="Yes"/>
    <m/>
    <s v="Closed"/>
    <s v="March"/>
    <x v="2"/>
    <n v="2026"/>
    <s v="No"/>
    <n v="0"/>
    <x v="1"/>
    <n v="1"/>
  </r>
  <r>
    <s v="T001377"/>
    <x v="1352"/>
    <d v="2026-03-10T18:30:00"/>
    <x v="6"/>
    <s v="Phone"/>
    <x v="1"/>
    <s v="A057"/>
    <x v="1"/>
    <n v="24"/>
    <n v="35.5"/>
    <x v="1"/>
    <s v="No"/>
    <s v="No"/>
    <n v="5"/>
    <s v="Closed"/>
    <s v="March"/>
    <x v="2"/>
    <n v="2026"/>
    <s v="No"/>
    <n v="0"/>
    <x v="1"/>
    <n v="1"/>
  </r>
  <r>
    <s v="T001380"/>
    <x v="1353"/>
    <d v="2026-03-10T04:33:00"/>
    <x v="0"/>
    <s v="Email"/>
    <x v="0"/>
    <s v="A054"/>
    <x v="1"/>
    <n v="72"/>
    <n v="21.2"/>
    <x v="1"/>
    <s v="No"/>
    <s v="No"/>
    <n v="3"/>
    <s v="Closed"/>
    <s v="March"/>
    <x v="2"/>
    <n v="2026"/>
    <s v="Yes"/>
    <n v="1"/>
    <x v="4"/>
    <n v="1"/>
  </r>
  <r>
    <s v="T001381"/>
    <x v="1354"/>
    <d v="2026-03-11T08:24:00"/>
    <x v="6"/>
    <s v="Field Visit"/>
    <x v="2"/>
    <s v="A030"/>
    <x v="2"/>
    <n v="4"/>
    <n v="48.4"/>
    <x v="0"/>
    <s v="Yes"/>
    <s v="Yes"/>
    <n v="1"/>
    <s v="Closed"/>
    <s v="March"/>
    <x v="2"/>
    <n v="2026"/>
    <s v="No"/>
    <n v="0"/>
    <x v="1"/>
    <n v="0"/>
  </r>
  <r>
    <s v="T001382"/>
    <x v="1354"/>
    <d v="2026-03-10T01:30:00"/>
    <x v="6"/>
    <s v="Phone"/>
    <x v="1"/>
    <s v="A035"/>
    <x v="2"/>
    <n v="24"/>
    <n v="17.5"/>
    <x v="1"/>
    <s v="No"/>
    <s v="Yes"/>
    <m/>
    <s v="Closed"/>
    <s v="March"/>
    <x v="2"/>
    <n v="2026"/>
    <s v="Yes"/>
    <n v="1"/>
    <x v="1"/>
    <n v="1"/>
  </r>
  <r>
    <s v="T001383"/>
    <x v="1355"/>
    <d v="2026-03-09T13:18:00"/>
    <x v="6"/>
    <s v="Phone"/>
    <x v="2"/>
    <s v="A014"/>
    <x v="0"/>
    <n v="4"/>
    <n v="4.8"/>
    <x v="0"/>
    <s v="No"/>
    <s v="Yes"/>
    <n v="4"/>
    <s v="Closed"/>
    <s v="March"/>
    <x v="2"/>
    <n v="2026"/>
    <s v="No"/>
    <n v="0"/>
    <x v="3"/>
    <n v="0"/>
  </r>
  <r>
    <s v="T001384"/>
    <x v="1356"/>
    <d v="2026-03-09T21:30:00"/>
    <x v="6"/>
    <s v="Chat"/>
    <x v="2"/>
    <s v="A055"/>
    <x v="1"/>
    <n v="4"/>
    <n v="12.5"/>
    <x v="1"/>
    <s v="No"/>
    <s v="No"/>
    <m/>
    <s v="Closed"/>
    <s v="March"/>
    <x v="2"/>
    <n v="2026"/>
    <s v="No"/>
    <n v="0"/>
    <x v="1"/>
    <n v="1"/>
  </r>
  <r>
    <s v="T001386"/>
    <x v="1356"/>
    <d v="2026-03-10T13:36:00"/>
    <x v="6"/>
    <s v="Field Visit"/>
    <x v="2"/>
    <s v="A040"/>
    <x v="1"/>
    <n v="4"/>
    <n v="28.6"/>
    <x v="1"/>
    <s v="No"/>
    <s v="No"/>
    <n v="5"/>
    <s v="Closed"/>
    <s v="March"/>
    <x v="2"/>
    <n v="2026"/>
    <s v="No"/>
    <n v="0"/>
    <x v="1"/>
    <n v="1"/>
  </r>
  <r>
    <s v="T001385"/>
    <x v="1356"/>
    <d v="2026-03-11T21:24:00"/>
    <x v="6"/>
    <s v="Field Visit"/>
    <x v="1"/>
    <s v="A011"/>
    <x v="0"/>
    <n v="24"/>
    <n v="60.4"/>
    <x v="1"/>
    <s v="No"/>
    <s v="No"/>
    <m/>
    <s v="Closed"/>
    <s v="March"/>
    <x v="2"/>
    <n v="2026"/>
    <s v="No"/>
    <n v="0"/>
    <x v="1"/>
    <n v="1"/>
  </r>
  <r>
    <s v="T001387"/>
    <x v="1357"/>
    <d v="2026-03-09T14:14:00"/>
    <x v="3"/>
    <s v="Phone"/>
    <x v="2"/>
    <s v="A029"/>
    <x v="2"/>
    <n v="4"/>
    <n v="5.2"/>
    <x v="1"/>
    <s v="No"/>
    <s v="No"/>
    <n v="5"/>
    <s v="Closed"/>
    <s v="March"/>
    <x v="2"/>
    <n v="2026"/>
    <s v="No"/>
    <n v="0"/>
    <x v="0"/>
    <n v="1"/>
  </r>
  <r>
    <s v="T001388"/>
    <x v="1358"/>
    <d v="2026-03-09T21:36:00"/>
    <x v="3"/>
    <s v="Chat"/>
    <x v="1"/>
    <s v="A026"/>
    <x v="2"/>
    <n v="24"/>
    <n v="12.3"/>
    <x v="1"/>
    <s v="No"/>
    <s v="No"/>
    <n v="5"/>
    <s v="Closed"/>
    <s v="March"/>
    <x v="2"/>
    <n v="2026"/>
    <s v="Yes"/>
    <n v="1"/>
    <x v="0"/>
    <n v="1"/>
  </r>
  <r>
    <s v="T001389"/>
    <x v="1359"/>
    <d v="2026-03-09T19:13:00"/>
    <x v="5"/>
    <s v="Chat"/>
    <x v="0"/>
    <s v="A057"/>
    <x v="1"/>
    <n v="72"/>
    <n v="9.9"/>
    <x v="1"/>
    <s v="No"/>
    <s v="No"/>
    <n v="3"/>
    <s v="Closed"/>
    <s v="March"/>
    <x v="2"/>
    <n v="2026"/>
    <s v="Yes"/>
    <n v="1"/>
    <x v="0"/>
    <n v="1"/>
  </r>
  <r>
    <s v="T001390"/>
    <x v="1360"/>
    <d v="2026-03-10T02:57:00"/>
    <x v="6"/>
    <s v="Field Visit"/>
    <x v="2"/>
    <s v="A038"/>
    <x v="1"/>
    <n v="4"/>
    <n v="17.600000000000001"/>
    <x v="1"/>
    <s v="No"/>
    <s v="No"/>
    <n v="5"/>
    <s v="Closed"/>
    <s v="March"/>
    <x v="2"/>
    <n v="2026"/>
    <s v="No"/>
    <n v="0"/>
    <x v="0"/>
    <n v="1"/>
  </r>
  <r>
    <s v="T001391"/>
    <x v="1361"/>
    <d v="2026-03-09T20:15:00"/>
    <x v="3"/>
    <s v="Phone"/>
    <x v="1"/>
    <s v="A008"/>
    <x v="0"/>
    <n v="24"/>
    <n v="10.3"/>
    <x v="1"/>
    <s v="No"/>
    <s v="No"/>
    <n v="5"/>
    <s v="Closed"/>
    <s v="March"/>
    <x v="2"/>
    <n v="2026"/>
    <s v="Yes"/>
    <n v="1"/>
    <x v="1"/>
    <n v="1"/>
  </r>
  <r>
    <s v="T001392"/>
    <x v="1362"/>
    <d v="2026-03-09T20:12:00"/>
    <x v="6"/>
    <s v="Phone"/>
    <x v="2"/>
    <s v="A035"/>
    <x v="2"/>
    <n v="4"/>
    <n v="10.199999999999999"/>
    <x v="0"/>
    <s v="No"/>
    <s v="No"/>
    <n v="4"/>
    <s v="Closed"/>
    <s v="March"/>
    <x v="2"/>
    <n v="2026"/>
    <s v="No"/>
    <n v="0"/>
    <x v="1"/>
    <n v="0"/>
  </r>
  <r>
    <s v="T001393"/>
    <x v="1362"/>
    <d v="2026-03-12T15:12:00"/>
    <x v="6"/>
    <s v="Field Visit"/>
    <x v="2"/>
    <s v="A060"/>
    <x v="1"/>
    <n v="4"/>
    <n v="77.2"/>
    <x v="1"/>
    <s v="No"/>
    <s v="No"/>
    <n v="4"/>
    <s v="Closed"/>
    <s v="March"/>
    <x v="2"/>
    <n v="2026"/>
    <s v="No"/>
    <n v="0"/>
    <x v="1"/>
    <n v="1"/>
  </r>
  <r>
    <s v="T001394"/>
    <x v="1363"/>
    <d v="2026-03-10T01:20:00"/>
    <x v="6"/>
    <s v="Field Visit"/>
    <x v="1"/>
    <s v="A057"/>
    <x v="1"/>
    <n v="24"/>
    <n v="15.2"/>
    <x v="1"/>
    <s v="No"/>
    <s v="No"/>
    <m/>
    <s v="Closed"/>
    <s v="March"/>
    <x v="2"/>
    <n v="2026"/>
    <s v="Yes"/>
    <n v="1"/>
    <x v="4"/>
    <n v="1"/>
  </r>
  <r>
    <s v="T001395"/>
    <x v="1364"/>
    <d v="2026-03-09T12:39:00"/>
    <x v="1"/>
    <s v="Chat"/>
    <x v="1"/>
    <s v="A046"/>
    <x v="1"/>
    <n v="24"/>
    <n v="2.4"/>
    <x v="1"/>
    <s v="No"/>
    <s v="No"/>
    <n v="5"/>
    <s v="Closed"/>
    <s v="March"/>
    <x v="2"/>
    <n v="2026"/>
    <s v="Yes"/>
    <n v="1"/>
    <x v="4"/>
    <n v="1"/>
  </r>
  <r>
    <s v="T001397"/>
    <x v="1365"/>
    <d v="2026-03-10T02:18:00"/>
    <x v="6"/>
    <s v="Field Visit"/>
    <x v="1"/>
    <s v="A007"/>
    <x v="0"/>
    <n v="24"/>
    <n v="15.3"/>
    <x v="1"/>
    <s v="No"/>
    <s v="No"/>
    <n v="5"/>
    <s v="Closed"/>
    <s v="March"/>
    <x v="2"/>
    <n v="2026"/>
    <s v="Yes"/>
    <n v="1"/>
    <x v="1"/>
    <n v="1"/>
  </r>
  <r>
    <s v="T001398"/>
    <x v="1365"/>
    <d v="2026-03-13T15:00:00"/>
    <x v="6"/>
    <s v="Field Visit"/>
    <x v="1"/>
    <s v="A013"/>
    <x v="0"/>
    <n v="24"/>
    <n v="100"/>
    <x v="0"/>
    <s v="Yes"/>
    <s v="No"/>
    <n v="4"/>
    <s v="Closed"/>
    <s v="March"/>
    <x v="2"/>
    <n v="2026"/>
    <s v="No"/>
    <n v="0"/>
    <x v="1"/>
    <n v="0"/>
  </r>
  <r>
    <s v="T001399"/>
    <x v="1365"/>
    <d v="2026-03-10T04:54:00"/>
    <x v="6"/>
    <s v="Chat"/>
    <x v="2"/>
    <s v="A042"/>
    <x v="1"/>
    <n v="4"/>
    <n v="17.899999999999999"/>
    <x v="1"/>
    <s v="No"/>
    <s v="No"/>
    <m/>
    <s v="Closed"/>
    <s v="March"/>
    <x v="2"/>
    <n v="2026"/>
    <s v="No"/>
    <n v="0"/>
    <x v="1"/>
    <n v="1"/>
  </r>
  <r>
    <s v="T001396"/>
    <x v="1365"/>
    <d v="2026-03-10T01:06:00"/>
    <x v="6"/>
    <s v="Chat"/>
    <x v="2"/>
    <s v="A041"/>
    <x v="1"/>
    <n v="4"/>
    <n v="14.1"/>
    <x v="1"/>
    <s v="No"/>
    <s v="Yes"/>
    <n v="3"/>
    <s v="Closed"/>
    <s v="March"/>
    <x v="2"/>
    <n v="2026"/>
    <s v="No"/>
    <n v="0"/>
    <x v="1"/>
    <n v="1"/>
  </r>
  <r>
    <s v="T001400"/>
    <x v="1366"/>
    <d v="2026-03-09T17:41:00"/>
    <x v="0"/>
    <s v="Chat"/>
    <x v="1"/>
    <s v="A026"/>
    <x v="2"/>
    <n v="24"/>
    <n v="6.6"/>
    <x v="1"/>
    <s v="No"/>
    <s v="No"/>
    <n v="5"/>
    <s v="Closed"/>
    <s v="March"/>
    <x v="2"/>
    <n v="2026"/>
    <s v="Yes"/>
    <n v="1"/>
    <x v="0"/>
    <n v="1"/>
  </r>
  <r>
    <s v="T001401"/>
    <x v="1367"/>
    <d v="2026-03-09T21:40:00"/>
    <x v="2"/>
    <s v="Field Visit"/>
    <x v="1"/>
    <s v="A043"/>
    <x v="1"/>
    <n v="24"/>
    <n v="9.9"/>
    <x v="0"/>
    <s v="No"/>
    <s v="No"/>
    <n v="3"/>
    <s v="Closed"/>
    <s v="March"/>
    <x v="2"/>
    <n v="2026"/>
    <s v="Yes"/>
    <n v="1"/>
    <x v="3"/>
    <n v="0"/>
  </r>
  <r>
    <s v="T001402"/>
    <x v="1368"/>
    <d v="2026-03-11T02:12:00"/>
    <x v="6"/>
    <s v="Phone"/>
    <x v="2"/>
    <s v="A009"/>
    <x v="0"/>
    <n v="4"/>
    <n v="38.200000000000003"/>
    <x v="1"/>
    <s v="No"/>
    <s v="No"/>
    <n v="5"/>
    <s v="Closed"/>
    <s v="March"/>
    <x v="2"/>
    <n v="2026"/>
    <s v="No"/>
    <n v="0"/>
    <x v="1"/>
    <n v="1"/>
  </r>
  <r>
    <s v="T001403"/>
    <x v="1368"/>
    <d v="2026-03-10T11:42:00"/>
    <x v="6"/>
    <s v="Chat"/>
    <x v="2"/>
    <s v="A009"/>
    <x v="0"/>
    <n v="4"/>
    <n v="23.7"/>
    <x v="1"/>
    <s v="No"/>
    <s v="No"/>
    <n v="3"/>
    <s v="Closed"/>
    <s v="March"/>
    <x v="2"/>
    <n v="2026"/>
    <s v="No"/>
    <n v="0"/>
    <x v="1"/>
    <n v="1"/>
  </r>
  <r>
    <s v="T001404"/>
    <x v="1369"/>
    <d v="2026-03-10T10:24:00"/>
    <x v="2"/>
    <s v="Phone"/>
    <x v="0"/>
    <s v="A008"/>
    <x v="0"/>
    <n v="72"/>
    <n v="22.3"/>
    <x v="0"/>
    <s v="Yes"/>
    <s v="No"/>
    <n v="3"/>
    <s v="Closed"/>
    <s v="March"/>
    <x v="2"/>
    <n v="2026"/>
    <s v="Yes"/>
    <n v="1"/>
    <x v="0"/>
    <n v="0"/>
  </r>
  <r>
    <s v="T001405"/>
    <x v="1370"/>
    <d v="2026-03-09T18:12:00"/>
    <x v="2"/>
    <s v="Chat"/>
    <x v="0"/>
    <s v="A035"/>
    <x v="2"/>
    <n v="72"/>
    <n v="5.5"/>
    <x v="1"/>
    <s v="No"/>
    <s v="No"/>
    <n v="4"/>
    <s v="Closed"/>
    <s v="March"/>
    <x v="2"/>
    <n v="2026"/>
    <s v="Yes"/>
    <n v="1"/>
    <x v="4"/>
    <n v="1"/>
  </r>
  <r>
    <s v="T001406"/>
    <x v="1371"/>
    <d v="2026-03-09T20:42:00"/>
    <x v="5"/>
    <s v="Chat"/>
    <x v="1"/>
    <s v="A012"/>
    <x v="0"/>
    <n v="24"/>
    <n v="7.9"/>
    <x v="1"/>
    <s v="No"/>
    <s v="No"/>
    <m/>
    <s v="Closed"/>
    <s v="March"/>
    <x v="2"/>
    <n v="2026"/>
    <s v="Yes"/>
    <n v="1"/>
    <x v="2"/>
    <n v="1"/>
  </r>
  <r>
    <s v="T001407"/>
    <x v="1372"/>
    <d v="2026-03-11T22:42:00"/>
    <x v="6"/>
    <s v="Field Visit"/>
    <x v="1"/>
    <s v="A003"/>
    <x v="0"/>
    <n v="24"/>
    <n v="57.7"/>
    <x v="0"/>
    <s v="No"/>
    <s v="Yes"/>
    <n v="4"/>
    <s v="Closed"/>
    <s v="March"/>
    <x v="2"/>
    <n v="2026"/>
    <s v="No"/>
    <n v="0"/>
    <x v="1"/>
    <n v="0"/>
  </r>
  <r>
    <s v="T001408"/>
    <x v="1373"/>
    <d v="2026-03-10T14:36:00"/>
    <x v="1"/>
    <s v="Chat"/>
    <x v="1"/>
    <s v="A058"/>
    <x v="1"/>
    <n v="24"/>
    <n v="25"/>
    <x v="1"/>
    <s v="No"/>
    <s v="No"/>
    <m/>
    <s v="Closed"/>
    <s v="March"/>
    <x v="2"/>
    <n v="2026"/>
    <s v="No"/>
    <n v="0"/>
    <x v="2"/>
    <n v="1"/>
  </r>
  <r>
    <s v="T001409"/>
    <x v="1374"/>
    <d v="2026-03-09T20:31:00"/>
    <x v="1"/>
    <s v="Phone"/>
    <x v="0"/>
    <s v="A016"/>
    <x v="2"/>
    <n v="72"/>
    <n v="6.8"/>
    <x v="1"/>
    <s v="No"/>
    <s v="No"/>
    <m/>
    <s v="Closed"/>
    <s v="March"/>
    <x v="2"/>
    <n v="2026"/>
    <s v="Yes"/>
    <n v="1"/>
    <x v="0"/>
    <n v="1"/>
  </r>
  <r>
    <s v="T001410"/>
    <x v="1375"/>
    <d v="2026-03-10T14:03:00"/>
    <x v="0"/>
    <s v="Email"/>
    <x v="2"/>
    <s v="A033"/>
    <x v="2"/>
    <n v="4"/>
    <n v="24.2"/>
    <x v="1"/>
    <s v="No"/>
    <s v="No"/>
    <m/>
    <s v="Closed"/>
    <s v="March"/>
    <x v="2"/>
    <n v="2026"/>
    <s v="No"/>
    <n v="0"/>
    <x v="4"/>
    <n v="1"/>
  </r>
  <r>
    <s v="T001412"/>
    <x v="1376"/>
    <d v="2026-03-12T06:48:00"/>
    <x v="6"/>
    <s v="Field Visit"/>
    <x v="1"/>
    <s v="A015"/>
    <x v="0"/>
    <n v="24"/>
    <n v="64.8"/>
    <x v="0"/>
    <s v="No"/>
    <s v="No"/>
    <n v="3"/>
    <s v="Closed"/>
    <s v="March"/>
    <x v="2"/>
    <n v="2026"/>
    <s v="No"/>
    <n v="0"/>
    <x v="1"/>
    <n v="0"/>
  </r>
  <r>
    <s v="T001411"/>
    <x v="1376"/>
    <d v="2026-03-11T08:42:00"/>
    <x v="6"/>
    <s v="Field Visit"/>
    <x v="2"/>
    <s v="A047"/>
    <x v="1"/>
    <n v="4"/>
    <n v="42.7"/>
    <x v="0"/>
    <s v="Yes"/>
    <s v="No"/>
    <m/>
    <s v="Closed"/>
    <s v="March"/>
    <x v="2"/>
    <n v="2026"/>
    <s v="No"/>
    <n v="0"/>
    <x v="2"/>
    <n v="0"/>
  </r>
  <r>
    <s v="T001413"/>
    <x v="1376"/>
    <d v="2026-03-11T10:06:00"/>
    <x v="6"/>
    <s v="Email"/>
    <x v="1"/>
    <s v="A013"/>
    <x v="0"/>
    <n v="24"/>
    <n v="44.1"/>
    <x v="0"/>
    <s v="Yes"/>
    <s v="No"/>
    <n v="3"/>
    <s v="Closed"/>
    <s v="March"/>
    <x v="2"/>
    <n v="2026"/>
    <s v="No"/>
    <n v="0"/>
    <x v="1"/>
    <n v="0"/>
  </r>
  <r>
    <s v="T001414"/>
    <x v="1377"/>
    <d v="2026-03-09T20:50:00"/>
    <x v="2"/>
    <s v="Chat"/>
    <x v="0"/>
    <s v="A001"/>
    <x v="0"/>
    <n v="72"/>
    <n v="6.2"/>
    <x v="0"/>
    <s v="No"/>
    <s v="No"/>
    <n v="3"/>
    <s v="Closed"/>
    <s v="March"/>
    <x v="2"/>
    <n v="2026"/>
    <s v="Yes"/>
    <n v="1"/>
    <x v="1"/>
    <n v="0"/>
  </r>
  <r>
    <s v="T001415"/>
    <x v="1378"/>
    <d v="2026-03-11T08:54:00"/>
    <x v="6"/>
    <s v="Field Visit"/>
    <x v="2"/>
    <s v="A051"/>
    <x v="1"/>
    <n v="4"/>
    <n v="41.9"/>
    <x v="0"/>
    <s v="Yes"/>
    <s v="Yes"/>
    <n v="2"/>
    <s v="Closed"/>
    <s v="March"/>
    <x v="2"/>
    <n v="2026"/>
    <s v="No"/>
    <n v="0"/>
    <x v="1"/>
    <n v="0"/>
  </r>
  <r>
    <s v="T001416"/>
    <x v="1379"/>
    <d v="2026-03-10T20:20:00"/>
    <x v="3"/>
    <s v="Field Visit"/>
    <x v="0"/>
    <s v="A043"/>
    <x v="1"/>
    <n v="72"/>
    <n v="29.3"/>
    <x v="0"/>
    <s v="No"/>
    <s v="No"/>
    <n v="2"/>
    <s v="Closed"/>
    <s v="March"/>
    <x v="2"/>
    <n v="2026"/>
    <s v="Yes"/>
    <n v="1"/>
    <x v="4"/>
    <n v="0"/>
  </r>
  <r>
    <s v="T001417"/>
    <x v="1380"/>
    <d v="2026-03-09T22:56:00"/>
    <x v="2"/>
    <s v="Chat"/>
    <x v="1"/>
    <s v="A041"/>
    <x v="1"/>
    <n v="24"/>
    <n v="7.8"/>
    <x v="0"/>
    <s v="No"/>
    <s v="No"/>
    <m/>
    <s v="Closed"/>
    <s v="March"/>
    <x v="2"/>
    <n v="2026"/>
    <s v="Yes"/>
    <n v="1"/>
    <x v="2"/>
    <n v="0"/>
  </r>
  <r>
    <s v="T001418"/>
    <x v="1381"/>
    <d v="2026-03-09T18:45:00"/>
    <x v="1"/>
    <s v="Phone"/>
    <x v="0"/>
    <s v="A020"/>
    <x v="2"/>
    <n v="72"/>
    <n v="3.2"/>
    <x v="1"/>
    <s v="No"/>
    <s v="No"/>
    <m/>
    <s v="Closed"/>
    <s v="March"/>
    <x v="2"/>
    <n v="2026"/>
    <s v="Yes"/>
    <n v="1"/>
    <x v="3"/>
    <n v="1"/>
  </r>
  <r>
    <s v="T001419"/>
    <x v="1382"/>
    <d v="2026-03-10T22:46:00"/>
    <x v="3"/>
    <s v="Field Visit"/>
    <x v="0"/>
    <s v="A038"/>
    <x v="1"/>
    <n v="72"/>
    <n v="30.9"/>
    <x v="1"/>
    <s v="No"/>
    <s v="No"/>
    <n v="3"/>
    <s v="Closed"/>
    <s v="March"/>
    <x v="2"/>
    <n v="2026"/>
    <s v="Yes"/>
    <n v="1"/>
    <x v="4"/>
    <n v="1"/>
  </r>
  <r>
    <s v="T001420"/>
    <x v="1383"/>
    <d v="2026-03-10T03:47:00"/>
    <x v="0"/>
    <s v="Phone"/>
    <x v="1"/>
    <s v="A060"/>
    <x v="1"/>
    <n v="24"/>
    <n v="11.8"/>
    <x v="1"/>
    <s v="No"/>
    <s v="No"/>
    <n v="5"/>
    <s v="Closed"/>
    <s v="March"/>
    <x v="2"/>
    <n v="2026"/>
    <s v="Yes"/>
    <n v="1"/>
    <x v="1"/>
    <n v="1"/>
  </r>
  <r>
    <s v="T001423"/>
    <x v="1384"/>
    <d v="2026-03-10T19:48:00"/>
    <x v="6"/>
    <s v="Phone"/>
    <x v="2"/>
    <s v="A013"/>
    <x v="0"/>
    <n v="4"/>
    <n v="27.8"/>
    <x v="0"/>
    <s v="Yes"/>
    <s v="No"/>
    <m/>
    <s v="Closed"/>
    <s v="March"/>
    <x v="2"/>
    <n v="2026"/>
    <s v="No"/>
    <n v="0"/>
    <x v="1"/>
    <n v="0"/>
  </r>
  <r>
    <s v="T001422"/>
    <x v="1384"/>
    <d v="2026-03-10T15:24:00"/>
    <x v="6"/>
    <s v="Phone"/>
    <x v="2"/>
    <s v="A017"/>
    <x v="2"/>
    <n v="4"/>
    <n v="23.4"/>
    <x v="1"/>
    <s v="No"/>
    <s v="No"/>
    <m/>
    <s v="Closed"/>
    <s v="March"/>
    <x v="2"/>
    <n v="2026"/>
    <s v="No"/>
    <n v="0"/>
    <x v="1"/>
    <n v="1"/>
  </r>
  <r>
    <s v="T001421"/>
    <x v="1384"/>
    <d v="2026-03-12T06:24:00"/>
    <x v="6"/>
    <s v="Field Visit"/>
    <x v="2"/>
    <s v="A027"/>
    <x v="2"/>
    <n v="4"/>
    <n v="62.4"/>
    <x v="1"/>
    <s v="No"/>
    <s v="No"/>
    <m/>
    <s v="Closed"/>
    <s v="March"/>
    <x v="2"/>
    <n v="2026"/>
    <s v="No"/>
    <n v="0"/>
    <x v="1"/>
    <n v="1"/>
  </r>
  <r>
    <s v="T001424"/>
    <x v="1385"/>
    <d v="2026-03-10T06:42:00"/>
    <x v="2"/>
    <s v="Phone"/>
    <x v="1"/>
    <s v="A033"/>
    <x v="2"/>
    <n v="24"/>
    <n v="14.5"/>
    <x v="1"/>
    <s v="No"/>
    <s v="No"/>
    <n v="5"/>
    <s v="Closed"/>
    <s v="March"/>
    <x v="2"/>
    <n v="2026"/>
    <s v="Yes"/>
    <n v="1"/>
    <x v="0"/>
    <n v="1"/>
  </r>
  <r>
    <s v="T001425"/>
    <x v="1386"/>
    <d v="2026-03-10T08:26:00"/>
    <x v="6"/>
    <s v="Phone"/>
    <x v="2"/>
    <s v="A022"/>
    <x v="2"/>
    <n v="4"/>
    <n v="16.2"/>
    <x v="1"/>
    <s v="No"/>
    <s v="No"/>
    <n v="4"/>
    <s v="Closed"/>
    <s v="March"/>
    <x v="2"/>
    <n v="2026"/>
    <s v="No"/>
    <n v="0"/>
    <x v="2"/>
    <n v="1"/>
  </r>
  <r>
    <s v="T001426"/>
    <x v="1387"/>
    <d v="2026-03-10T08:18:00"/>
    <x v="6"/>
    <s v="Phone"/>
    <x v="1"/>
    <s v="A045"/>
    <x v="1"/>
    <n v="24"/>
    <n v="15.3"/>
    <x v="1"/>
    <s v="No"/>
    <s v="Yes"/>
    <n v="5"/>
    <s v="Closed"/>
    <s v="March"/>
    <x v="2"/>
    <n v="2026"/>
    <s v="Yes"/>
    <n v="1"/>
    <x v="1"/>
    <n v="1"/>
  </r>
  <r>
    <s v="T001427"/>
    <x v="1388"/>
    <d v="2026-03-09T23:17:00"/>
    <x v="1"/>
    <s v="Phone"/>
    <x v="0"/>
    <s v="A009"/>
    <x v="0"/>
    <n v="72"/>
    <n v="6.2"/>
    <x v="1"/>
    <s v="No"/>
    <s v="No"/>
    <n v="5"/>
    <s v="Closed"/>
    <s v="March"/>
    <x v="2"/>
    <n v="2026"/>
    <s v="Yes"/>
    <n v="1"/>
    <x v="3"/>
    <n v="1"/>
  </r>
  <r>
    <s v="T001429"/>
    <x v="1389"/>
    <d v="2026-03-10T23:42:00"/>
    <x v="6"/>
    <s v="Phone"/>
    <x v="2"/>
    <s v="A049"/>
    <x v="1"/>
    <n v="4"/>
    <n v="29.7"/>
    <x v="1"/>
    <s v="No"/>
    <s v="No"/>
    <m/>
    <s v="Closed"/>
    <s v="March"/>
    <x v="2"/>
    <n v="2026"/>
    <s v="No"/>
    <n v="0"/>
    <x v="1"/>
    <n v="1"/>
  </r>
  <r>
    <s v="T001428"/>
    <x v="1389"/>
    <d v="2026-03-12T02:36:00"/>
    <x v="6"/>
    <s v="Field Visit"/>
    <x v="2"/>
    <s v="A041"/>
    <x v="1"/>
    <n v="4"/>
    <n v="56.6"/>
    <x v="1"/>
    <s v="No"/>
    <s v="No"/>
    <n v="5"/>
    <s v="Closed"/>
    <s v="March"/>
    <x v="2"/>
    <n v="2026"/>
    <s v="No"/>
    <n v="0"/>
    <x v="1"/>
    <n v="1"/>
  </r>
  <r>
    <s v="T001430"/>
    <x v="1390"/>
    <d v="2026-03-10T06:12:00"/>
    <x v="0"/>
    <s v="Chat"/>
    <x v="2"/>
    <s v="A018"/>
    <x v="2"/>
    <n v="4"/>
    <n v="11.8"/>
    <x v="1"/>
    <s v="No"/>
    <s v="No"/>
    <m/>
    <s v="Closed"/>
    <s v="March"/>
    <x v="2"/>
    <n v="2026"/>
    <s v="No"/>
    <n v="0"/>
    <x v="1"/>
    <n v="1"/>
  </r>
  <r>
    <s v="T001435"/>
    <x v="1391"/>
    <d v="2026-03-10T02:36:00"/>
    <x v="6"/>
    <s v="Phone"/>
    <x v="1"/>
    <s v="A002"/>
    <x v="0"/>
    <n v="24"/>
    <n v="7.6"/>
    <x v="0"/>
    <s v="Yes"/>
    <s v="No"/>
    <n v="3"/>
    <s v="Closed"/>
    <s v="March"/>
    <x v="2"/>
    <n v="2026"/>
    <s v="Yes"/>
    <n v="1"/>
    <x v="1"/>
    <n v="0"/>
  </r>
  <r>
    <s v="T001434"/>
    <x v="1391"/>
    <d v="2026-03-11T15:12:00"/>
    <x v="6"/>
    <s v="Email"/>
    <x v="2"/>
    <s v="A022"/>
    <x v="2"/>
    <n v="4"/>
    <n v="44.2"/>
    <x v="1"/>
    <s v="No"/>
    <s v="No"/>
    <m/>
    <s v="Closed"/>
    <s v="March"/>
    <x v="2"/>
    <n v="2026"/>
    <s v="No"/>
    <n v="0"/>
    <x v="1"/>
    <n v="1"/>
  </r>
  <r>
    <s v="T001432"/>
    <x v="1391"/>
    <d v="2026-03-11T04:12:00"/>
    <x v="6"/>
    <s v="Phone"/>
    <x v="1"/>
    <s v="A053"/>
    <x v="1"/>
    <n v="24"/>
    <n v="33.200000000000003"/>
    <x v="1"/>
    <s v="No"/>
    <s v="No"/>
    <m/>
    <s v="Closed"/>
    <s v="March"/>
    <x v="2"/>
    <n v="2026"/>
    <s v="No"/>
    <n v="0"/>
    <x v="1"/>
    <n v="1"/>
  </r>
  <r>
    <s v="T001433"/>
    <x v="1391"/>
    <d v="2026-03-10T05:42:00"/>
    <x v="6"/>
    <s v="Chat"/>
    <x v="1"/>
    <s v="A045"/>
    <x v="1"/>
    <n v="24"/>
    <n v="10.7"/>
    <x v="1"/>
    <s v="No"/>
    <s v="No"/>
    <n v="5"/>
    <s v="Closed"/>
    <s v="March"/>
    <x v="2"/>
    <n v="2026"/>
    <s v="Yes"/>
    <n v="1"/>
    <x v="1"/>
    <n v="1"/>
  </r>
  <r>
    <s v="T001436"/>
    <x v="1391"/>
    <d v="2026-03-13T03:18:00"/>
    <x v="6"/>
    <s v="Field Visit"/>
    <x v="2"/>
    <s v="A026"/>
    <x v="2"/>
    <n v="4"/>
    <n v="80.3"/>
    <x v="1"/>
    <s v="No"/>
    <s v="No"/>
    <n v="4"/>
    <s v="Closed"/>
    <s v="March"/>
    <x v="2"/>
    <n v="2026"/>
    <s v="No"/>
    <n v="0"/>
    <x v="1"/>
    <n v="1"/>
  </r>
  <r>
    <s v="T001431"/>
    <x v="1391"/>
    <d v="2026-03-14T15:30:00"/>
    <x v="6"/>
    <s v="Field Visit"/>
    <x v="2"/>
    <s v="A005"/>
    <x v="0"/>
    <n v="4"/>
    <n v="116.5"/>
    <x v="0"/>
    <s v="No"/>
    <s v="Yes"/>
    <m/>
    <s v="Closed"/>
    <s v="March"/>
    <x v="2"/>
    <n v="2026"/>
    <s v="No"/>
    <n v="0"/>
    <x v="1"/>
    <n v="0"/>
  </r>
  <r>
    <s v="T001437"/>
    <x v="1392"/>
    <d v="2026-03-10T07:48:00"/>
    <x v="5"/>
    <s v="Phone"/>
    <x v="0"/>
    <s v="A010"/>
    <x v="0"/>
    <n v="72"/>
    <n v="11.9"/>
    <x v="1"/>
    <s v="No"/>
    <s v="No"/>
    <n v="4"/>
    <s v="Closed"/>
    <s v="March"/>
    <x v="2"/>
    <n v="2026"/>
    <s v="Yes"/>
    <n v="1"/>
    <x v="4"/>
    <n v="1"/>
  </r>
  <r>
    <s v="T001438"/>
    <x v="1393"/>
    <d v="2026-03-10T11:12:00"/>
    <x v="6"/>
    <s v="Chat"/>
    <x v="2"/>
    <s v="A039"/>
    <x v="1"/>
    <n v="4"/>
    <n v="15.2"/>
    <x v="1"/>
    <s v="No"/>
    <s v="No"/>
    <m/>
    <s v="Closed"/>
    <s v="March"/>
    <x v="2"/>
    <n v="2026"/>
    <s v="No"/>
    <n v="0"/>
    <x v="1"/>
    <n v="1"/>
  </r>
  <r>
    <s v="T001440"/>
    <x v="1394"/>
    <d v="2026-03-11T00:00:00"/>
    <x v="6"/>
    <s v="Phone"/>
    <x v="2"/>
    <s v="A010"/>
    <x v="0"/>
    <n v="4"/>
    <n v="27"/>
    <x v="1"/>
    <s v="No"/>
    <s v="No"/>
    <n v="4"/>
    <s v="Closed"/>
    <s v="March"/>
    <x v="2"/>
    <n v="2026"/>
    <s v="No"/>
    <n v="0"/>
    <x v="1"/>
    <n v="1"/>
  </r>
  <r>
    <s v="T001439"/>
    <x v="1394"/>
    <d v="2026-03-12T04:18:00"/>
    <x v="6"/>
    <s v="Phone"/>
    <x v="1"/>
    <s v="A008"/>
    <x v="0"/>
    <n v="24"/>
    <n v="55.3"/>
    <x v="0"/>
    <s v="No"/>
    <s v="No"/>
    <n v="2"/>
    <s v="Closed"/>
    <s v="March"/>
    <x v="2"/>
    <n v="2026"/>
    <s v="No"/>
    <n v="0"/>
    <x v="1"/>
    <n v="0"/>
  </r>
  <r>
    <s v="T001441"/>
    <x v="1394"/>
    <d v="2026-03-11T13:30:00"/>
    <x v="6"/>
    <s v="Field Visit"/>
    <x v="0"/>
    <s v="A043"/>
    <x v="1"/>
    <n v="72"/>
    <n v="40.5"/>
    <x v="1"/>
    <s v="No"/>
    <s v="No"/>
    <n v="5"/>
    <s v="Closed"/>
    <s v="March"/>
    <x v="2"/>
    <n v="2026"/>
    <s v="Yes"/>
    <n v="1"/>
    <x v="1"/>
    <n v="1"/>
  </r>
  <r>
    <s v="T001442"/>
    <x v="1395"/>
    <d v="2026-03-10T10:05:00"/>
    <x v="1"/>
    <s v="Email"/>
    <x v="0"/>
    <s v="A018"/>
    <x v="2"/>
    <n v="72"/>
    <n v="13"/>
    <x v="0"/>
    <s v="Yes"/>
    <s v="No"/>
    <m/>
    <s v="Closed"/>
    <s v="March"/>
    <x v="2"/>
    <n v="2026"/>
    <s v="Yes"/>
    <n v="1"/>
    <x v="1"/>
    <n v="0"/>
  </r>
  <r>
    <s v="T001443"/>
    <x v="1396"/>
    <d v="2026-03-10T17:32:00"/>
    <x v="3"/>
    <s v="Phone"/>
    <x v="1"/>
    <s v="A009"/>
    <x v="0"/>
    <n v="24"/>
    <n v="10.4"/>
    <x v="0"/>
    <s v="No"/>
    <s v="Yes"/>
    <n v="5"/>
    <s v="Closed"/>
    <s v="March"/>
    <x v="2"/>
    <n v="2026"/>
    <s v="Yes"/>
    <n v="1"/>
    <x v="4"/>
    <n v="0"/>
  </r>
  <r>
    <s v="T001444"/>
    <x v="1397"/>
    <d v="2026-03-10T22:49:00"/>
    <x v="5"/>
    <s v="Field Visit"/>
    <x v="1"/>
    <s v="A056"/>
    <x v="1"/>
    <n v="24"/>
    <n v="14.9"/>
    <x v="1"/>
    <s v="No"/>
    <s v="No"/>
    <n v="3"/>
    <s v="Closed"/>
    <s v="March"/>
    <x v="2"/>
    <n v="2026"/>
    <s v="Yes"/>
    <n v="1"/>
    <x v="4"/>
    <n v="1"/>
  </r>
  <r>
    <s v="T001447"/>
    <x v="1398"/>
    <d v="2026-03-12T18:18:00"/>
    <x v="6"/>
    <s v="Chat"/>
    <x v="2"/>
    <s v="A026"/>
    <x v="2"/>
    <n v="4"/>
    <n v="58.3"/>
    <x v="1"/>
    <s v="No"/>
    <s v="No"/>
    <n v="4"/>
    <s v="Closed"/>
    <s v="March"/>
    <x v="2"/>
    <n v="2026"/>
    <s v="No"/>
    <n v="0"/>
    <x v="1"/>
    <n v="1"/>
  </r>
  <r>
    <s v="T001445"/>
    <x v="1398"/>
    <d v="2026-03-11T14:54:00"/>
    <x v="6"/>
    <s v="Field Visit"/>
    <x v="1"/>
    <s v="A031"/>
    <x v="2"/>
    <n v="24"/>
    <n v="30.9"/>
    <x v="1"/>
    <s v="No"/>
    <s v="No"/>
    <n v="3"/>
    <s v="Closed"/>
    <s v="March"/>
    <x v="2"/>
    <n v="2026"/>
    <s v="No"/>
    <n v="0"/>
    <x v="1"/>
    <n v="1"/>
  </r>
  <r>
    <s v="T001446"/>
    <x v="1398"/>
    <d v="2026-03-13T14:30:00"/>
    <x v="6"/>
    <s v="Field Visit"/>
    <x v="2"/>
    <s v="A050"/>
    <x v="1"/>
    <n v="4"/>
    <n v="78.5"/>
    <x v="1"/>
    <s v="No"/>
    <s v="Yes"/>
    <n v="4"/>
    <s v="Closed"/>
    <s v="March"/>
    <x v="2"/>
    <n v="2026"/>
    <s v="No"/>
    <n v="0"/>
    <x v="1"/>
    <n v="1"/>
  </r>
  <r>
    <s v="T001448"/>
    <x v="1399"/>
    <d v="2026-03-15T09:59:00"/>
    <x v="4"/>
    <s v="Phone"/>
    <x v="0"/>
    <s v="A004"/>
    <x v="0"/>
    <n v="72"/>
    <n v="120.9"/>
    <x v="0"/>
    <s v="Yes"/>
    <s v="No"/>
    <n v="3"/>
    <s v="Closed"/>
    <s v="March"/>
    <x v="2"/>
    <n v="2026"/>
    <s v="No"/>
    <n v="0"/>
    <x v="1"/>
    <n v="0"/>
  </r>
  <r>
    <s v="T001449"/>
    <x v="1400"/>
    <d v="2026-03-11T14:26:00"/>
    <x v="0"/>
    <s v="Email"/>
    <x v="0"/>
    <s v="A034"/>
    <x v="2"/>
    <n v="72"/>
    <n v="29"/>
    <x v="1"/>
    <s v="No"/>
    <s v="No"/>
    <n v="5"/>
    <s v="Closed"/>
    <s v="March"/>
    <x v="2"/>
    <n v="2026"/>
    <s v="Yes"/>
    <n v="1"/>
    <x v="1"/>
    <n v="1"/>
  </r>
  <r>
    <s v="T001450"/>
    <x v="1401"/>
    <d v="2026-03-15T08:20:00"/>
    <x v="4"/>
    <s v="Phone"/>
    <x v="1"/>
    <s v="A036"/>
    <x v="1"/>
    <n v="24"/>
    <n v="118.5"/>
    <x v="1"/>
    <s v="No"/>
    <s v="No"/>
    <n v="3"/>
    <s v="Closed"/>
    <s v="March"/>
    <x v="2"/>
    <n v="2026"/>
    <s v="No"/>
    <n v="0"/>
    <x v="0"/>
    <n v="1"/>
  </r>
  <r>
    <s v="T001452"/>
    <x v="1402"/>
    <d v="2026-03-17T03:12:00"/>
    <x v="6"/>
    <s v="Field Visit"/>
    <x v="2"/>
    <s v="A044"/>
    <x v="1"/>
    <n v="4"/>
    <n v="161.19999999999999"/>
    <x v="1"/>
    <s v="No"/>
    <s v="No"/>
    <n v="3"/>
    <s v="Closed"/>
    <s v="March"/>
    <x v="2"/>
    <n v="2026"/>
    <s v="No"/>
    <n v="0"/>
    <x v="1"/>
    <n v="1"/>
  </r>
  <r>
    <s v="T001453"/>
    <x v="1402"/>
    <d v="2026-03-11T21:12:00"/>
    <x v="6"/>
    <s v="Chat"/>
    <x v="2"/>
    <s v="A012"/>
    <x v="0"/>
    <n v="4"/>
    <n v="35.200000000000003"/>
    <x v="1"/>
    <s v="No"/>
    <s v="Yes"/>
    <n v="4"/>
    <s v="Closed"/>
    <s v="March"/>
    <x v="2"/>
    <n v="2026"/>
    <s v="No"/>
    <n v="0"/>
    <x v="1"/>
    <n v="1"/>
  </r>
  <r>
    <s v="T001451"/>
    <x v="1402"/>
    <d v="2026-03-10T22:36:00"/>
    <x v="6"/>
    <s v="Phone"/>
    <x v="2"/>
    <s v="A004"/>
    <x v="0"/>
    <n v="4"/>
    <n v="12.6"/>
    <x v="0"/>
    <s v="Yes"/>
    <s v="Yes"/>
    <n v="2"/>
    <s v="Closed"/>
    <s v="March"/>
    <x v="2"/>
    <n v="2026"/>
    <s v="No"/>
    <n v="0"/>
    <x v="1"/>
    <n v="0"/>
  </r>
  <r>
    <s v="T001454"/>
    <x v="1403"/>
    <d v="2026-03-10T20:01:00"/>
    <x v="1"/>
    <s v="Chat"/>
    <x v="1"/>
    <s v="A012"/>
    <x v="0"/>
    <n v="24"/>
    <n v="9.8000000000000007"/>
    <x v="0"/>
    <s v="No"/>
    <s v="No"/>
    <m/>
    <s v="Closed"/>
    <s v="March"/>
    <x v="2"/>
    <n v="2026"/>
    <s v="Yes"/>
    <n v="1"/>
    <x v="3"/>
    <n v="0"/>
  </r>
  <r>
    <s v="T001455"/>
    <x v="1403"/>
    <d v="2026-03-10T14:37:00"/>
    <x v="1"/>
    <s v="Phone"/>
    <x v="0"/>
    <s v="A028"/>
    <x v="2"/>
    <n v="72"/>
    <n v="4.4000000000000004"/>
    <x v="0"/>
    <s v="Yes"/>
    <s v="No"/>
    <n v="5"/>
    <s v="Closed"/>
    <s v="March"/>
    <x v="2"/>
    <n v="2026"/>
    <s v="Yes"/>
    <n v="1"/>
    <x v="1"/>
    <n v="0"/>
  </r>
  <r>
    <s v="T001456"/>
    <x v="1404"/>
    <d v="2026-03-10T12:49:00"/>
    <x v="1"/>
    <s v="Chat"/>
    <x v="1"/>
    <s v="A032"/>
    <x v="2"/>
    <n v="24"/>
    <n v="1.9"/>
    <x v="1"/>
    <s v="No"/>
    <s v="No"/>
    <n v="4"/>
    <s v="Closed"/>
    <s v="March"/>
    <x v="2"/>
    <n v="2026"/>
    <s v="Yes"/>
    <n v="1"/>
    <x v="3"/>
    <n v="1"/>
  </r>
  <r>
    <s v="T001458"/>
    <x v="1405"/>
    <d v="2026-03-11T03:24:00"/>
    <x v="6"/>
    <s v="Phone"/>
    <x v="1"/>
    <s v="A017"/>
    <x v="2"/>
    <n v="24"/>
    <n v="16.399999999999999"/>
    <x v="1"/>
    <s v="No"/>
    <s v="No"/>
    <n v="3"/>
    <s v="Closed"/>
    <s v="March"/>
    <x v="2"/>
    <n v="2026"/>
    <s v="Yes"/>
    <n v="1"/>
    <x v="1"/>
    <n v="1"/>
  </r>
  <r>
    <s v="T001457"/>
    <x v="1405"/>
    <d v="2026-03-11T00:06:00"/>
    <x v="6"/>
    <s v="Phone"/>
    <x v="2"/>
    <s v="A051"/>
    <x v="1"/>
    <n v="4"/>
    <n v="13.1"/>
    <x v="1"/>
    <s v="No"/>
    <s v="No"/>
    <m/>
    <s v="Closed"/>
    <s v="March"/>
    <x v="2"/>
    <n v="2026"/>
    <s v="No"/>
    <n v="0"/>
    <x v="1"/>
    <n v="1"/>
  </r>
  <r>
    <s v="T001459"/>
    <x v="1406"/>
    <d v="2026-03-12T11:44:00"/>
    <x v="2"/>
    <s v="Field Visit"/>
    <x v="0"/>
    <s v="A038"/>
    <x v="1"/>
    <n v="72"/>
    <n v="48.1"/>
    <x v="0"/>
    <s v="Yes"/>
    <s v="No"/>
    <n v="4"/>
    <s v="Closed"/>
    <s v="March"/>
    <x v="2"/>
    <n v="2026"/>
    <s v="Yes"/>
    <n v="1"/>
    <x v="2"/>
    <n v="0"/>
  </r>
  <r>
    <s v="T001460"/>
    <x v="1407"/>
    <d v="2026-03-13T10:18:00"/>
    <x v="6"/>
    <s v="Field Visit"/>
    <x v="2"/>
    <s v="A013"/>
    <x v="0"/>
    <n v="4"/>
    <n v="70.3"/>
    <x v="1"/>
    <s v="No"/>
    <s v="No"/>
    <m/>
    <s v="Closed"/>
    <s v="March"/>
    <x v="2"/>
    <n v="2026"/>
    <s v="No"/>
    <n v="0"/>
    <x v="1"/>
    <n v="1"/>
  </r>
  <r>
    <s v="T001461"/>
    <x v="1408"/>
    <d v="2026-03-11T13:04:00"/>
    <x v="4"/>
    <s v="Phone"/>
    <x v="1"/>
    <s v="A032"/>
    <x v="2"/>
    <n v="24"/>
    <n v="25"/>
    <x v="0"/>
    <s v="Yes"/>
    <s v="No"/>
    <n v="3"/>
    <s v="Closed"/>
    <s v="March"/>
    <x v="2"/>
    <n v="2026"/>
    <s v="No"/>
    <n v="0"/>
    <x v="1"/>
    <n v="0"/>
  </r>
  <r>
    <s v="T001462"/>
    <x v="1409"/>
    <d v="2026-03-10T17:41:00"/>
    <x v="6"/>
    <s v="Phone"/>
    <x v="1"/>
    <s v="A021"/>
    <x v="2"/>
    <n v="24"/>
    <n v="5.3"/>
    <x v="0"/>
    <s v="No"/>
    <s v="No"/>
    <n v="3"/>
    <s v="Closed"/>
    <s v="March"/>
    <x v="2"/>
    <n v="2026"/>
    <s v="Yes"/>
    <n v="1"/>
    <x v="1"/>
    <n v="0"/>
  </r>
  <r>
    <s v="T001463"/>
    <x v="1410"/>
    <d v="2026-03-10T22:15:00"/>
    <x v="1"/>
    <s v="Phone"/>
    <x v="0"/>
    <s v="A014"/>
    <x v="0"/>
    <n v="72"/>
    <n v="9.5"/>
    <x v="0"/>
    <s v="No"/>
    <s v="No"/>
    <n v="5"/>
    <s v="Closed"/>
    <s v="March"/>
    <x v="2"/>
    <n v="2026"/>
    <s v="Yes"/>
    <n v="1"/>
    <x v="4"/>
    <n v="0"/>
  </r>
  <r>
    <s v="T001464"/>
    <x v="1411"/>
    <d v="2026-03-10T21:54:00"/>
    <x v="6"/>
    <s v="Field Visit"/>
    <x v="2"/>
    <s v="A059"/>
    <x v="1"/>
    <n v="4"/>
    <n v="9.1"/>
    <x v="1"/>
    <s v="No"/>
    <s v="No"/>
    <n v="4"/>
    <s v="Closed"/>
    <s v="March"/>
    <x v="2"/>
    <n v="2026"/>
    <s v="No"/>
    <n v="0"/>
    <x v="3"/>
    <n v="1"/>
  </r>
  <r>
    <s v="T001465"/>
    <x v="1412"/>
    <d v="2026-03-11T01:48:00"/>
    <x v="6"/>
    <s v="Phone"/>
    <x v="2"/>
    <s v="A019"/>
    <x v="2"/>
    <n v="4"/>
    <n v="12.8"/>
    <x v="1"/>
    <s v="No"/>
    <s v="Yes"/>
    <m/>
    <s v="Closed"/>
    <s v="March"/>
    <x v="2"/>
    <n v="2026"/>
    <s v="No"/>
    <n v="0"/>
    <x v="1"/>
    <n v="1"/>
  </r>
  <r>
    <s v="T001466"/>
    <x v="1413"/>
    <d v="2026-03-11T03:47:00"/>
    <x v="0"/>
    <s v="Chat"/>
    <x v="1"/>
    <s v="A052"/>
    <x v="1"/>
    <n v="24"/>
    <n v="14.6"/>
    <x v="1"/>
    <s v="No"/>
    <s v="No"/>
    <m/>
    <s v="Closed"/>
    <s v="March"/>
    <x v="2"/>
    <n v="2026"/>
    <s v="Yes"/>
    <n v="1"/>
    <x v="4"/>
    <n v="1"/>
  </r>
  <r>
    <s v="T001468"/>
    <x v="1414"/>
    <d v="2026-03-11T00:54:00"/>
    <x v="6"/>
    <s v="Chat"/>
    <x v="1"/>
    <s v="A045"/>
    <x v="1"/>
    <n v="24"/>
    <n v="10.9"/>
    <x v="1"/>
    <s v="No"/>
    <s v="No"/>
    <n v="4"/>
    <s v="Closed"/>
    <s v="March"/>
    <x v="2"/>
    <n v="2026"/>
    <s v="Yes"/>
    <n v="1"/>
    <x v="1"/>
    <n v="1"/>
  </r>
  <r>
    <s v="T001469"/>
    <x v="1414"/>
    <d v="2026-03-11T12:54:00"/>
    <x v="6"/>
    <s v="Chat"/>
    <x v="1"/>
    <s v="A057"/>
    <x v="1"/>
    <n v="24"/>
    <n v="22.9"/>
    <x v="1"/>
    <s v="No"/>
    <s v="No"/>
    <n v="3"/>
    <s v="Closed"/>
    <s v="March"/>
    <x v="2"/>
    <n v="2026"/>
    <s v="Yes"/>
    <n v="1"/>
    <x v="1"/>
    <n v="1"/>
  </r>
  <r>
    <s v="T001467"/>
    <x v="1414"/>
    <d v="2026-03-10T19:36:00"/>
    <x v="6"/>
    <s v="Phone"/>
    <x v="2"/>
    <s v="A024"/>
    <x v="2"/>
    <n v="4"/>
    <n v="5.6"/>
    <x v="1"/>
    <s v="No"/>
    <s v="Yes"/>
    <m/>
    <s v="Closed"/>
    <s v="March"/>
    <x v="2"/>
    <n v="2026"/>
    <s v="No"/>
    <n v="0"/>
    <x v="1"/>
    <n v="1"/>
  </r>
  <r>
    <s v="T001470"/>
    <x v="1415"/>
    <d v="2026-03-11T09:16:00"/>
    <x v="1"/>
    <s v="Email"/>
    <x v="0"/>
    <s v="A051"/>
    <x v="1"/>
    <n v="72"/>
    <n v="18.8"/>
    <x v="1"/>
    <s v="No"/>
    <s v="No"/>
    <m/>
    <s v="Closed"/>
    <s v="March"/>
    <x v="2"/>
    <n v="2026"/>
    <s v="Yes"/>
    <n v="1"/>
    <x v="0"/>
    <n v="1"/>
  </r>
  <r>
    <s v="T001471"/>
    <x v="1416"/>
    <d v="2026-03-14T00:24:00"/>
    <x v="6"/>
    <s v="Field Visit"/>
    <x v="1"/>
    <s v="A014"/>
    <x v="0"/>
    <n v="24"/>
    <n v="81.400000000000006"/>
    <x v="0"/>
    <s v="Yes"/>
    <s v="No"/>
    <n v="2"/>
    <s v="Closed"/>
    <s v="March"/>
    <x v="2"/>
    <n v="2026"/>
    <s v="No"/>
    <n v="0"/>
    <x v="1"/>
    <n v="0"/>
  </r>
  <r>
    <s v="T001473"/>
    <x v="1417"/>
    <d v="2026-03-12T10:18:00"/>
    <x v="6"/>
    <s v="Phone"/>
    <x v="0"/>
    <s v="A042"/>
    <x v="1"/>
    <n v="72"/>
    <n v="42.3"/>
    <x v="1"/>
    <s v="No"/>
    <s v="No"/>
    <n v="5"/>
    <s v="Closed"/>
    <s v="March"/>
    <x v="2"/>
    <n v="2026"/>
    <s v="Yes"/>
    <n v="1"/>
    <x v="1"/>
    <n v="1"/>
  </r>
  <r>
    <s v="T001472"/>
    <x v="1417"/>
    <d v="2026-03-11T15:30:00"/>
    <x v="6"/>
    <s v="Field Visit"/>
    <x v="2"/>
    <s v="A020"/>
    <x v="2"/>
    <n v="4"/>
    <n v="23.5"/>
    <x v="1"/>
    <s v="No"/>
    <s v="No"/>
    <m/>
    <s v="Closed"/>
    <s v="March"/>
    <x v="2"/>
    <n v="2026"/>
    <s v="No"/>
    <n v="0"/>
    <x v="1"/>
    <n v="1"/>
  </r>
  <r>
    <s v="T001474"/>
    <x v="1418"/>
    <d v="2026-03-11T07:20:00"/>
    <x v="5"/>
    <s v="Field Visit"/>
    <x v="1"/>
    <s v="A003"/>
    <x v="0"/>
    <n v="24"/>
    <n v="15.2"/>
    <x v="1"/>
    <s v="No"/>
    <s v="No"/>
    <n v="4"/>
    <s v="Closed"/>
    <s v="March"/>
    <x v="2"/>
    <n v="2026"/>
    <s v="Yes"/>
    <n v="1"/>
    <x v="2"/>
    <n v="1"/>
  </r>
  <r>
    <s v="T001475"/>
    <x v="1419"/>
    <d v="2026-03-11T08:45:00"/>
    <x v="0"/>
    <s v="Field Visit"/>
    <x v="0"/>
    <s v="A033"/>
    <x v="2"/>
    <n v="72"/>
    <n v="15.8"/>
    <x v="1"/>
    <s v="No"/>
    <s v="No"/>
    <n v="5"/>
    <s v="Closed"/>
    <s v="March"/>
    <x v="2"/>
    <n v="2026"/>
    <s v="Yes"/>
    <n v="1"/>
    <x v="2"/>
    <n v="1"/>
  </r>
  <r>
    <s v="T001476"/>
    <x v="1419"/>
    <d v="2026-03-13T15:21:00"/>
    <x v="4"/>
    <s v="Field Visit"/>
    <x v="1"/>
    <s v="A019"/>
    <x v="2"/>
    <n v="24"/>
    <n v="70.400000000000006"/>
    <x v="0"/>
    <s v="No"/>
    <s v="No"/>
    <n v="3"/>
    <s v="Closed"/>
    <s v="March"/>
    <x v="2"/>
    <n v="2026"/>
    <s v="No"/>
    <n v="0"/>
    <x v="1"/>
    <n v="0"/>
  </r>
  <r>
    <s v="T001479"/>
    <x v="1420"/>
    <d v="2026-03-11T00:48:00"/>
    <x v="6"/>
    <s v="Phone"/>
    <x v="2"/>
    <s v="A044"/>
    <x v="1"/>
    <n v="4"/>
    <n v="7.8"/>
    <x v="1"/>
    <s v="No"/>
    <s v="No"/>
    <n v="5"/>
    <s v="Closed"/>
    <s v="March"/>
    <x v="2"/>
    <n v="2026"/>
    <s v="No"/>
    <n v="0"/>
    <x v="1"/>
    <n v="1"/>
  </r>
  <r>
    <s v="T001477"/>
    <x v="1420"/>
    <d v="2026-03-11T06:00:00"/>
    <x v="6"/>
    <s v="Phone"/>
    <x v="2"/>
    <s v="A055"/>
    <x v="1"/>
    <n v="4"/>
    <n v="13"/>
    <x v="1"/>
    <s v="No"/>
    <s v="No"/>
    <n v="5"/>
    <s v="Closed"/>
    <s v="March"/>
    <x v="2"/>
    <n v="2026"/>
    <s v="No"/>
    <n v="0"/>
    <x v="1"/>
    <n v="1"/>
  </r>
  <r>
    <s v="T001478"/>
    <x v="1420"/>
    <d v="2026-03-13T15:06:00"/>
    <x v="6"/>
    <s v="Email"/>
    <x v="2"/>
    <s v="A021"/>
    <x v="2"/>
    <n v="4"/>
    <n v="70.099999999999994"/>
    <x v="1"/>
    <s v="No"/>
    <s v="No"/>
    <m/>
    <s v="Closed"/>
    <s v="March"/>
    <x v="2"/>
    <n v="2026"/>
    <s v="No"/>
    <n v="0"/>
    <x v="1"/>
    <n v="1"/>
  </r>
  <r>
    <s v="T001480"/>
    <x v="1421"/>
    <d v="2026-03-11T06:39:00"/>
    <x v="0"/>
    <s v="Phone"/>
    <x v="1"/>
    <s v="A053"/>
    <x v="1"/>
    <n v="24"/>
    <n v="13.5"/>
    <x v="1"/>
    <s v="No"/>
    <s v="No"/>
    <n v="5"/>
    <s v="Closed"/>
    <s v="March"/>
    <x v="2"/>
    <n v="2026"/>
    <s v="Yes"/>
    <n v="1"/>
    <x v="4"/>
    <n v="1"/>
  </r>
  <r>
    <s v="T001481"/>
    <x v="1422"/>
    <d v="2026-03-12T08:54:00"/>
    <x v="6"/>
    <s v="Field Visit"/>
    <x v="2"/>
    <s v="A014"/>
    <x v="0"/>
    <n v="4"/>
    <n v="38.9"/>
    <x v="1"/>
    <s v="No"/>
    <s v="No"/>
    <n v="4"/>
    <s v="Closed"/>
    <s v="March"/>
    <x v="2"/>
    <n v="2026"/>
    <s v="No"/>
    <n v="0"/>
    <x v="1"/>
    <n v="1"/>
  </r>
  <r>
    <s v="T001482"/>
    <x v="1422"/>
    <d v="2026-03-11T12:00:00"/>
    <x v="6"/>
    <s v="Phone"/>
    <x v="2"/>
    <s v="A034"/>
    <x v="2"/>
    <n v="4"/>
    <n v="18"/>
    <x v="1"/>
    <s v="No"/>
    <s v="Yes"/>
    <m/>
    <s v="Closed"/>
    <s v="March"/>
    <x v="2"/>
    <n v="2026"/>
    <s v="No"/>
    <n v="0"/>
    <x v="1"/>
    <n v="1"/>
  </r>
  <r>
    <s v="T001484"/>
    <x v="1423"/>
    <d v="2026-03-11T15:48:00"/>
    <x v="6"/>
    <s v="Phone"/>
    <x v="0"/>
    <s v="A011"/>
    <x v="0"/>
    <n v="72"/>
    <n v="20.8"/>
    <x v="0"/>
    <s v="No"/>
    <s v="No"/>
    <n v="5"/>
    <s v="Closed"/>
    <s v="March"/>
    <x v="2"/>
    <n v="2026"/>
    <s v="Yes"/>
    <n v="1"/>
    <x v="1"/>
    <n v="0"/>
  </r>
  <r>
    <s v="T001483"/>
    <x v="1423"/>
    <d v="2026-03-11T21:42:00"/>
    <x v="6"/>
    <s v="Phone"/>
    <x v="1"/>
    <s v="A042"/>
    <x v="1"/>
    <n v="24"/>
    <n v="26.7"/>
    <x v="1"/>
    <s v="No"/>
    <s v="No"/>
    <m/>
    <s v="Closed"/>
    <s v="March"/>
    <x v="2"/>
    <n v="2026"/>
    <s v="No"/>
    <n v="0"/>
    <x v="1"/>
    <n v="1"/>
  </r>
  <r>
    <s v="T001486"/>
    <x v="1423"/>
    <d v="2026-03-11T22:12:00"/>
    <x v="6"/>
    <s v="Phone"/>
    <x v="1"/>
    <s v="A017"/>
    <x v="2"/>
    <n v="24"/>
    <n v="27.2"/>
    <x v="1"/>
    <s v="No"/>
    <s v="No"/>
    <n v="3"/>
    <s v="Closed"/>
    <s v="March"/>
    <x v="2"/>
    <n v="2026"/>
    <s v="No"/>
    <n v="0"/>
    <x v="1"/>
    <n v="1"/>
  </r>
  <r>
    <s v="T001485"/>
    <x v="1423"/>
    <d v="2026-03-11T15:24:00"/>
    <x v="6"/>
    <s v="Phone"/>
    <x v="2"/>
    <s v="A037"/>
    <x v="1"/>
    <n v="4"/>
    <n v="20.399999999999999"/>
    <x v="1"/>
    <s v="No"/>
    <s v="No"/>
    <m/>
    <s v="Closed"/>
    <s v="March"/>
    <x v="2"/>
    <n v="2026"/>
    <s v="No"/>
    <n v="0"/>
    <x v="1"/>
    <n v="1"/>
  </r>
  <r>
    <s v="T001487"/>
    <x v="1424"/>
    <d v="2026-03-14T13:13:00"/>
    <x v="4"/>
    <s v="Email"/>
    <x v="2"/>
    <s v="A002"/>
    <x v="0"/>
    <n v="4"/>
    <n v="89.8"/>
    <x v="0"/>
    <s v="Yes"/>
    <s v="No"/>
    <n v="2"/>
    <s v="Closed"/>
    <s v="March"/>
    <x v="2"/>
    <n v="2026"/>
    <s v="No"/>
    <n v="0"/>
    <x v="4"/>
    <n v="0"/>
  </r>
  <r>
    <s v="T001488"/>
    <x v="1425"/>
    <d v="2026-03-11T06:00:00"/>
    <x v="2"/>
    <s v="Phone"/>
    <x v="1"/>
    <s v="A022"/>
    <x v="2"/>
    <n v="24"/>
    <n v="9.5"/>
    <x v="0"/>
    <s v="No"/>
    <s v="No"/>
    <n v="3"/>
    <s v="Closed"/>
    <s v="March"/>
    <x v="2"/>
    <n v="2026"/>
    <s v="Yes"/>
    <n v="1"/>
    <x v="3"/>
    <n v="0"/>
  </r>
  <r>
    <s v="T001489"/>
    <x v="1426"/>
    <d v="2026-03-11T03:17:00"/>
    <x v="5"/>
    <s v="Email"/>
    <x v="1"/>
    <s v="A027"/>
    <x v="2"/>
    <n v="24"/>
    <n v="6.7"/>
    <x v="0"/>
    <s v="No"/>
    <s v="No"/>
    <n v="5"/>
    <s v="Closed"/>
    <s v="March"/>
    <x v="2"/>
    <n v="2026"/>
    <s v="Yes"/>
    <n v="1"/>
    <x v="1"/>
    <n v="0"/>
  </r>
  <r>
    <s v="T001492"/>
    <x v="1427"/>
    <d v="2026-03-13T04:48:00"/>
    <x v="6"/>
    <s v="Email"/>
    <x v="2"/>
    <s v="A038"/>
    <x v="1"/>
    <n v="4"/>
    <n v="55.8"/>
    <x v="0"/>
    <s v="No"/>
    <s v="No"/>
    <n v="4"/>
    <s v="Closed"/>
    <s v="March"/>
    <x v="2"/>
    <n v="2026"/>
    <s v="No"/>
    <n v="0"/>
    <x v="1"/>
    <n v="0"/>
  </r>
  <r>
    <s v="T001493"/>
    <x v="1427"/>
    <d v="2026-03-12T10:12:00"/>
    <x v="6"/>
    <s v="Phone"/>
    <x v="1"/>
    <s v="A015"/>
    <x v="0"/>
    <n v="24"/>
    <n v="37.200000000000003"/>
    <x v="1"/>
    <s v="No"/>
    <s v="No"/>
    <n v="4"/>
    <s v="Closed"/>
    <s v="March"/>
    <x v="2"/>
    <n v="2026"/>
    <s v="No"/>
    <n v="0"/>
    <x v="1"/>
    <n v="1"/>
  </r>
  <r>
    <s v="T001490"/>
    <x v="1427"/>
    <d v="2026-03-13T10:36:00"/>
    <x v="6"/>
    <s v="Field Visit"/>
    <x v="1"/>
    <s v="A053"/>
    <x v="1"/>
    <n v="24"/>
    <n v="61.6"/>
    <x v="1"/>
    <s v="No"/>
    <s v="Yes"/>
    <m/>
    <s v="Closed"/>
    <s v="March"/>
    <x v="2"/>
    <n v="2026"/>
    <s v="No"/>
    <n v="0"/>
    <x v="1"/>
    <n v="1"/>
  </r>
  <r>
    <s v="T001494"/>
    <x v="1427"/>
    <d v="2026-03-11T06:24:00"/>
    <x v="6"/>
    <s v="Chat"/>
    <x v="1"/>
    <s v="A046"/>
    <x v="1"/>
    <n v="24"/>
    <n v="9.4"/>
    <x v="1"/>
    <s v="No"/>
    <s v="No"/>
    <n v="5"/>
    <s v="Closed"/>
    <s v="March"/>
    <x v="2"/>
    <n v="2026"/>
    <s v="Yes"/>
    <n v="1"/>
    <x v="1"/>
    <n v="1"/>
  </r>
  <r>
    <s v="T001491"/>
    <x v="1427"/>
    <d v="2026-03-14T03:30:00"/>
    <x v="6"/>
    <s v="Field Visit"/>
    <x v="2"/>
    <s v="A047"/>
    <x v="1"/>
    <n v="4"/>
    <n v="78.5"/>
    <x v="0"/>
    <s v="No"/>
    <s v="No"/>
    <n v="3"/>
    <s v="Closed"/>
    <s v="March"/>
    <x v="2"/>
    <n v="2026"/>
    <s v="No"/>
    <n v="0"/>
    <x v="1"/>
    <n v="0"/>
  </r>
  <r>
    <s v="T001495"/>
    <x v="1428"/>
    <d v="2026-03-13T10:13:00"/>
    <x v="2"/>
    <s v="Field Visit"/>
    <x v="0"/>
    <s v="A053"/>
    <x v="1"/>
    <n v="72"/>
    <n v="53.7"/>
    <x v="1"/>
    <s v="No"/>
    <s v="No"/>
    <n v="4"/>
    <s v="Closed"/>
    <s v="March"/>
    <x v="2"/>
    <n v="2026"/>
    <s v="Yes"/>
    <n v="1"/>
    <x v="2"/>
    <n v="1"/>
  </r>
  <r>
    <s v="T001498"/>
    <x v="1429"/>
    <d v="2026-03-11T11:54:00"/>
    <x v="6"/>
    <s v="Chat"/>
    <x v="0"/>
    <s v="A016"/>
    <x v="2"/>
    <n v="72"/>
    <n v="5.9"/>
    <x v="1"/>
    <s v="No"/>
    <s v="No"/>
    <m/>
    <s v="Closed"/>
    <s v="March"/>
    <x v="2"/>
    <n v="2026"/>
    <s v="Yes"/>
    <n v="1"/>
    <x v="1"/>
    <n v="1"/>
  </r>
  <r>
    <s v="T001499"/>
    <x v="1429"/>
    <d v="2026-03-13T21:36:00"/>
    <x v="6"/>
    <s v="Field Visit"/>
    <x v="1"/>
    <s v="A016"/>
    <x v="2"/>
    <n v="24"/>
    <n v="63.6"/>
    <x v="1"/>
    <s v="No"/>
    <s v="No"/>
    <m/>
    <s v="Closed"/>
    <s v="March"/>
    <x v="2"/>
    <n v="2026"/>
    <s v="No"/>
    <n v="0"/>
    <x v="1"/>
    <n v="1"/>
  </r>
  <r>
    <s v="T001497"/>
    <x v="1429"/>
    <d v="2026-03-14T00:12:00"/>
    <x v="6"/>
    <s v="Field Visit"/>
    <x v="1"/>
    <s v="A006"/>
    <x v="0"/>
    <n v="24"/>
    <n v="66.2"/>
    <x v="1"/>
    <s v="No"/>
    <s v="No"/>
    <n v="3"/>
    <s v="Closed"/>
    <s v="March"/>
    <x v="2"/>
    <n v="2026"/>
    <s v="No"/>
    <n v="0"/>
    <x v="1"/>
    <n v="1"/>
  </r>
  <r>
    <s v="T001496"/>
    <x v="1429"/>
    <d v="2026-03-13T21:48:00"/>
    <x v="6"/>
    <s v="Phone"/>
    <x v="2"/>
    <s v="A050"/>
    <x v="1"/>
    <n v="4"/>
    <n v="63.8"/>
    <x v="1"/>
    <s v="No"/>
    <s v="Yes"/>
    <m/>
    <s v="Closed"/>
    <s v="March"/>
    <x v="2"/>
    <n v="2026"/>
    <s v="No"/>
    <n v="0"/>
    <x v="1"/>
    <n v="1"/>
  </r>
  <r>
    <s v="T001500"/>
    <x v="1430"/>
    <d v="2026-03-11T13:43:00"/>
    <x v="6"/>
    <s v="Chat"/>
    <x v="2"/>
    <s v="A004"/>
    <x v="0"/>
    <n v="4"/>
    <n v="7.5"/>
    <x v="1"/>
    <s v="No"/>
    <s v="No"/>
    <m/>
    <s v="Closed"/>
    <s v="March"/>
    <x v="2"/>
    <n v="2026"/>
    <s v="No"/>
    <n v="0"/>
    <x v="1"/>
    <n v="1"/>
  </r>
  <r>
    <s v="T001501"/>
    <x v="1431"/>
    <d v="2026-03-11T16:54:00"/>
    <x v="6"/>
    <s v="Phone"/>
    <x v="1"/>
    <s v="A060"/>
    <x v="1"/>
    <n v="24"/>
    <n v="9.9"/>
    <x v="1"/>
    <s v="No"/>
    <s v="No"/>
    <n v="4"/>
    <s v="Closed"/>
    <s v="March"/>
    <x v="2"/>
    <n v="2026"/>
    <s v="Yes"/>
    <n v="1"/>
    <x v="1"/>
    <n v="1"/>
  </r>
  <r>
    <s v="T001502"/>
    <x v="1431"/>
    <d v="2026-03-12T13:24:00"/>
    <x v="6"/>
    <s v="Field Visit"/>
    <x v="2"/>
    <s v="A017"/>
    <x v="2"/>
    <n v="4"/>
    <n v="30.4"/>
    <x v="1"/>
    <s v="No"/>
    <s v="No"/>
    <n v="5"/>
    <s v="Closed"/>
    <s v="March"/>
    <x v="2"/>
    <n v="2026"/>
    <s v="No"/>
    <n v="0"/>
    <x v="0"/>
    <n v="1"/>
  </r>
  <r>
    <s v="T001504"/>
    <x v="1432"/>
    <d v="2026-03-12T12:24:00"/>
    <x v="6"/>
    <s v="Phone"/>
    <x v="2"/>
    <s v="A006"/>
    <x v="0"/>
    <n v="4"/>
    <n v="28.4"/>
    <x v="1"/>
    <s v="No"/>
    <s v="No"/>
    <m/>
    <s v="Closed"/>
    <s v="March"/>
    <x v="2"/>
    <n v="2026"/>
    <s v="No"/>
    <n v="0"/>
    <x v="1"/>
    <n v="1"/>
  </r>
  <r>
    <s v="T001503"/>
    <x v="1432"/>
    <d v="2026-03-11T10:54:00"/>
    <x v="6"/>
    <s v="Chat"/>
    <x v="1"/>
    <s v="A031"/>
    <x v="2"/>
    <n v="24"/>
    <n v="2.9"/>
    <x v="1"/>
    <s v="No"/>
    <s v="No"/>
    <n v="5"/>
    <s v="Closed"/>
    <s v="March"/>
    <x v="2"/>
    <n v="2026"/>
    <s v="Yes"/>
    <n v="1"/>
    <x v="1"/>
    <n v="1"/>
  </r>
  <r>
    <s v="T001505"/>
    <x v="1433"/>
    <d v="2026-03-11T13:14:00"/>
    <x v="1"/>
    <s v="Phone"/>
    <x v="1"/>
    <s v="A047"/>
    <x v="1"/>
    <n v="24"/>
    <n v="5.0999999999999996"/>
    <x v="1"/>
    <s v="No"/>
    <s v="Yes"/>
    <n v="5"/>
    <s v="Closed"/>
    <s v="March"/>
    <x v="2"/>
    <n v="2026"/>
    <s v="Yes"/>
    <n v="1"/>
    <x v="4"/>
    <n v="1"/>
  </r>
  <r>
    <s v="T001506"/>
    <x v="1434"/>
    <d v="2026-03-13T00:48:00"/>
    <x v="6"/>
    <s v="Field Visit"/>
    <x v="2"/>
    <s v="A011"/>
    <x v="0"/>
    <n v="4"/>
    <n v="39.799999999999997"/>
    <x v="1"/>
    <s v="No"/>
    <s v="No"/>
    <n v="4"/>
    <s v="Closed"/>
    <s v="March"/>
    <x v="2"/>
    <n v="2026"/>
    <s v="No"/>
    <n v="0"/>
    <x v="1"/>
    <n v="1"/>
  </r>
  <r>
    <s v="T001508"/>
    <x v="1434"/>
    <d v="2026-03-12T19:36:00"/>
    <x v="6"/>
    <s v="Chat"/>
    <x v="2"/>
    <s v="A012"/>
    <x v="0"/>
    <n v="4"/>
    <n v="34.6"/>
    <x v="1"/>
    <s v="No"/>
    <s v="No"/>
    <n v="4"/>
    <s v="Closed"/>
    <s v="March"/>
    <x v="2"/>
    <n v="2026"/>
    <s v="No"/>
    <n v="0"/>
    <x v="1"/>
    <n v="1"/>
  </r>
  <r>
    <s v="T001507"/>
    <x v="1434"/>
    <d v="2026-03-19T18:36:00"/>
    <x v="6"/>
    <s v="Field Visit"/>
    <x v="2"/>
    <s v="A012"/>
    <x v="0"/>
    <n v="4"/>
    <n v="201.6"/>
    <x v="1"/>
    <s v="No"/>
    <s v="Yes"/>
    <n v="3"/>
    <s v="Closed"/>
    <s v="March"/>
    <x v="2"/>
    <n v="2026"/>
    <s v="No"/>
    <n v="0"/>
    <x v="1"/>
    <n v="1"/>
  </r>
  <r>
    <s v="T001509"/>
    <x v="1435"/>
    <d v="2026-03-11T13:56:00"/>
    <x v="1"/>
    <s v="Chat"/>
    <x v="0"/>
    <s v="A006"/>
    <x v="0"/>
    <n v="72"/>
    <n v="4.7"/>
    <x v="0"/>
    <s v="Yes"/>
    <s v="No"/>
    <m/>
    <s v="Closed"/>
    <s v="March"/>
    <x v="2"/>
    <n v="2026"/>
    <s v="Yes"/>
    <n v="1"/>
    <x v="4"/>
    <n v="0"/>
  </r>
  <r>
    <s v="T001510"/>
    <x v="1436"/>
    <d v="2026-03-13T19:17:00"/>
    <x v="4"/>
    <s v="Field Visit"/>
    <x v="0"/>
    <s v="A036"/>
    <x v="1"/>
    <n v="72"/>
    <n v="58"/>
    <x v="0"/>
    <s v="Yes"/>
    <s v="No"/>
    <n v="5"/>
    <s v="Closed"/>
    <s v="March"/>
    <x v="2"/>
    <n v="2026"/>
    <s v="Yes"/>
    <n v="1"/>
    <x v="1"/>
    <n v="0"/>
  </r>
  <r>
    <s v="T001511"/>
    <x v="1437"/>
    <d v="2026-03-11T13:20:00"/>
    <x v="5"/>
    <s v="Chat"/>
    <x v="2"/>
    <s v="A013"/>
    <x v="0"/>
    <n v="4"/>
    <n v="4"/>
    <x v="1"/>
    <s v="No"/>
    <s v="No"/>
    <n v="5"/>
    <s v="Closed"/>
    <s v="March"/>
    <x v="2"/>
    <n v="2026"/>
    <s v="Yes"/>
    <n v="1"/>
    <x v="2"/>
    <n v="1"/>
  </r>
  <r>
    <s v="T001512"/>
    <x v="1438"/>
    <d v="2026-03-11T14:51:00"/>
    <x v="5"/>
    <s v="Phone"/>
    <x v="0"/>
    <s v="A032"/>
    <x v="2"/>
    <n v="72"/>
    <n v="4.7"/>
    <x v="1"/>
    <s v="No"/>
    <s v="No"/>
    <m/>
    <s v="Closed"/>
    <s v="March"/>
    <x v="2"/>
    <n v="2026"/>
    <s v="Yes"/>
    <n v="1"/>
    <x v="4"/>
    <n v="1"/>
  </r>
  <r>
    <s v="T001513"/>
    <x v="1439"/>
    <d v="2026-03-14T01:28:00"/>
    <x v="3"/>
    <s v="Field Visit"/>
    <x v="2"/>
    <s v="A033"/>
    <x v="2"/>
    <n v="4"/>
    <n v="62.7"/>
    <x v="1"/>
    <s v="No"/>
    <s v="No"/>
    <n v="5"/>
    <s v="Closed"/>
    <s v="March"/>
    <x v="2"/>
    <n v="2026"/>
    <s v="No"/>
    <n v="0"/>
    <x v="2"/>
    <n v="1"/>
  </r>
  <r>
    <s v="T001514"/>
    <x v="1440"/>
    <d v="2026-03-12T18:12:00"/>
    <x v="6"/>
    <s v="Email"/>
    <x v="1"/>
    <s v="A023"/>
    <x v="2"/>
    <n v="24"/>
    <n v="31.2"/>
    <x v="1"/>
    <s v="No"/>
    <s v="No"/>
    <n v="3"/>
    <s v="Closed"/>
    <s v="March"/>
    <x v="2"/>
    <n v="2026"/>
    <s v="No"/>
    <n v="0"/>
    <x v="1"/>
    <n v="1"/>
  </r>
  <r>
    <s v="T001515"/>
    <x v="1440"/>
    <d v="2026-03-13T07:24:00"/>
    <x v="6"/>
    <s v="Phone"/>
    <x v="0"/>
    <s v="A023"/>
    <x v="2"/>
    <n v="72"/>
    <n v="44.4"/>
    <x v="0"/>
    <s v="Yes"/>
    <s v="No"/>
    <n v="4"/>
    <s v="Closed"/>
    <s v="March"/>
    <x v="2"/>
    <n v="2026"/>
    <s v="Yes"/>
    <n v="1"/>
    <x v="1"/>
    <n v="0"/>
  </r>
  <r>
    <s v="T001516"/>
    <x v="1441"/>
    <d v="2026-03-12T02:15:00"/>
    <x v="0"/>
    <s v="Email"/>
    <x v="1"/>
    <s v="A033"/>
    <x v="2"/>
    <n v="24"/>
    <n v="15.1"/>
    <x v="1"/>
    <s v="No"/>
    <s v="No"/>
    <m/>
    <s v="Closed"/>
    <s v="March"/>
    <x v="2"/>
    <n v="2026"/>
    <s v="Yes"/>
    <n v="1"/>
    <x v="3"/>
    <n v="1"/>
  </r>
  <r>
    <s v="T001517"/>
    <x v="1442"/>
    <d v="2026-03-13T16:34:00"/>
    <x v="3"/>
    <s v="Field Visit"/>
    <x v="2"/>
    <s v="A050"/>
    <x v="1"/>
    <n v="4"/>
    <n v="53.2"/>
    <x v="1"/>
    <s v="No"/>
    <s v="No"/>
    <n v="5"/>
    <s v="Closed"/>
    <s v="March"/>
    <x v="2"/>
    <n v="2026"/>
    <s v="No"/>
    <n v="0"/>
    <x v="4"/>
    <n v="1"/>
  </r>
  <r>
    <s v="T001518"/>
    <x v="1443"/>
    <d v="2026-03-11T17:06:00"/>
    <x v="1"/>
    <s v="Phone"/>
    <x v="1"/>
    <s v="A043"/>
    <x v="1"/>
    <n v="24"/>
    <n v="5.7"/>
    <x v="1"/>
    <s v="No"/>
    <s v="No"/>
    <n v="4"/>
    <s v="Closed"/>
    <s v="March"/>
    <x v="2"/>
    <n v="2026"/>
    <s v="Yes"/>
    <n v="1"/>
    <x v="1"/>
    <n v="1"/>
  </r>
  <r>
    <s v="T001519"/>
    <x v="1444"/>
    <d v="2026-03-16T20:30:00"/>
    <x v="6"/>
    <s v="Field Visit"/>
    <x v="2"/>
    <s v="A005"/>
    <x v="0"/>
    <n v="4"/>
    <n v="127.5"/>
    <x v="1"/>
    <s v="No"/>
    <s v="Yes"/>
    <n v="4"/>
    <s v="Closed"/>
    <s v="March"/>
    <x v="2"/>
    <n v="2026"/>
    <s v="No"/>
    <n v="0"/>
    <x v="1"/>
    <n v="1"/>
  </r>
  <r>
    <s v="T001520"/>
    <x v="1444"/>
    <d v="2026-03-12T19:42:00"/>
    <x v="6"/>
    <s v="Phone"/>
    <x v="2"/>
    <s v="A028"/>
    <x v="2"/>
    <n v="4"/>
    <n v="30.7"/>
    <x v="0"/>
    <s v="Yes"/>
    <s v="No"/>
    <n v="3"/>
    <s v="Closed"/>
    <s v="March"/>
    <x v="2"/>
    <n v="2026"/>
    <s v="No"/>
    <n v="0"/>
    <x v="1"/>
    <n v="0"/>
  </r>
  <r>
    <s v="T001521"/>
    <x v="1445"/>
    <d v="2026-03-12T01:47:00"/>
    <x v="6"/>
    <s v="Phone"/>
    <x v="2"/>
    <s v="A038"/>
    <x v="1"/>
    <n v="4"/>
    <n v="12.2"/>
    <x v="0"/>
    <s v="Yes"/>
    <s v="Yes"/>
    <n v="4"/>
    <s v="Closed"/>
    <s v="March"/>
    <x v="2"/>
    <n v="2026"/>
    <s v="No"/>
    <n v="0"/>
    <x v="4"/>
    <n v="0"/>
  </r>
  <r>
    <s v="T001522"/>
    <x v="1446"/>
    <d v="2026-03-12T00:01:00"/>
    <x v="0"/>
    <s v="Chat"/>
    <x v="2"/>
    <s v="A058"/>
    <x v="1"/>
    <n v="4"/>
    <n v="10.3"/>
    <x v="1"/>
    <s v="No"/>
    <s v="Yes"/>
    <n v="3"/>
    <s v="Closed"/>
    <s v="March"/>
    <x v="2"/>
    <n v="2026"/>
    <s v="No"/>
    <n v="0"/>
    <x v="2"/>
    <n v="1"/>
  </r>
  <r>
    <s v="T001523"/>
    <x v="1447"/>
    <d v="2026-03-11T17:25:00"/>
    <x v="1"/>
    <s v="Chat"/>
    <x v="0"/>
    <s v="A056"/>
    <x v="1"/>
    <n v="72"/>
    <n v="3.5"/>
    <x v="1"/>
    <s v="No"/>
    <s v="No"/>
    <n v="4"/>
    <s v="Closed"/>
    <s v="March"/>
    <x v="2"/>
    <n v="2026"/>
    <s v="Yes"/>
    <n v="1"/>
    <x v="3"/>
    <n v="1"/>
  </r>
  <r>
    <s v="T001525"/>
    <x v="1448"/>
    <d v="2026-03-13T12:30:00"/>
    <x v="6"/>
    <s v="Phone"/>
    <x v="2"/>
    <s v="A057"/>
    <x v="1"/>
    <n v="4"/>
    <n v="46.5"/>
    <x v="1"/>
    <s v="No"/>
    <s v="No"/>
    <n v="4"/>
    <s v="Closed"/>
    <s v="March"/>
    <x v="2"/>
    <n v="2026"/>
    <s v="No"/>
    <n v="0"/>
    <x v="1"/>
    <n v="1"/>
  </r>
  <r>
    <s v="T001524"/>
    <x v="1448"/>
    <d v="2026-03-17T03:24:00"/>
    <x v="6"/>
    <s v="Field Visit"/>
    <x v="2"/>
    <s v="A004"/>
    <x v="0"/>
    <n v="4"/>
    <n v="133.4"/>
    <x v="1"/>
    <s v="No"/>
    <s v="Yes"/>
    <m/>
    <s v="Closed"/>
    <s v="March"/>
    <x v="2"/>
    <n v="2026"/>
    <s v="No"/>
    <n v="0"/>
    <x v="1"/>
    <n v="1"/>
  </r>
  <r>
    <s v="T001526"/>
    <x v="1449"/>
    <d v="2026-03-11T18:48:00"/>
    <x v="0"/>
    <s v="Phone"/>
    <x v="0"/>
    <s v="A038"/>
    <x v="1"/>
    <n v="72"/>
    <n v="4.7"/>
    <x v="1"/>
    <s v="No"/>
    <s v="Yes"/>
    <n v="4"/>
    <s v="Closed"/>
    <s v="March"/>
    <x v="2"/>
    <n v="2026"/>
    <s v="Yes"/>
    <n v="1"/>
    <x v="3"/>
    <n v="1"/>
  </r>
  <r>
    <s v="T001527"/>
    <x v="1450"/>
    <d v="2026-03-13T20:21:00"/>
    <x v="2"/>
    <s v="Field Visit"/>
    <x v="1"/>
    <s v="A029"/>
    <x v="2"/>
    <n v="24"/>
    <n v="53.5"/>
    <x v="0"/>
    <s v="No"/>
    <s v="No"/>
    <m/>
    <s v="Closed"/>
    <s v="March"/>
    <x v="2"/>
    <n v="2026"/>
    <s v="No"/>
    <n v="0"/>
    <x v="1"/>
    <n v="0"/>
  </r>
  <r>
    <s v="T001528"/>
    <x v="1451"/>
    <d v="2026-03-12T01:12:00"/>
    <x v="6"/>
    <s v="Chat"/>
    <x v="2"/>
    <s v="A055"/>
    <x v="1"/>
    <n v="4"/>
    <n v="10.199999999999999"/>
    <x v="0"/>
    <s v="Yes"/>
    <s v="Yes"/>
    <n v="4"/>
    <s v="Closed"/>
    <s v="March"/>
    <x v="2"/>
    <n v="2026"/>
    <s v="No"/>
    <n v="0"/>
    <x v="1"/>
    <n v="0"/>
  </r>
  <r>
    <s v="T001529"/>
    <x v="1451"/>
    <d v="2026-03-12T23:12:00"/>
    <x v="6"/>
    <s v="Chat"/>
    <x v="0"/>
    <s v="A002"/>
    <x v="0"/>
    <n v="72"/>
    <n v="32.200000000000003"/>
    <x v="0"/>
    <s v="No"/>
    <s v="No"/>
    <m/>
    <s v="Closed"/>
    <s v="March"/>
    <x v="2"/>
    <n v="2026"/>
    <s v="Yes"/>
    <n v="1"/>
    <x v="1"/>
    <n v="0"/>
  </r>
  <r>
    <s v="T001530"/>
    <x v="1451"/>
    <d v="2026-03-12T15:18:00"/>
    <x v="6"/>
    <s v="Phone"/>
    <x v="2"/>
    <s v="A029"/>
    <x v="2"/>
    <n v="4"/>
    <n v="24.3"/>
    <x v="1"/>
    <s v="No"/>
    <s v="No"/>
    <m/>
    <s v="Closed"/>
    <s v="March"/>
    <x v="2"/>
    <n v="2026"/>
    <s v="No"/>
    <n v="0"/>
    <x v="1"/>
    <n v="1"/>
  </r>
  <r>
    <s v="T001531"/>
    <x v="1452"/>
    <d v="2026-03-14T21:47:00"/>
    <x v="4"/>
    <s v="Field Visit"/>
    <x v="0"/>
    <s v="A044"/>
    <x v="1"/>
    <n v="72"/>
    <n v="78.400000000000006"/>
    <x v="1"/>
    <s v="No"/>
    <s v="No"/>
    <m/>
    <s v="Closed"/>
    <s v="March"/>
    <x v="2"/>
    <n v="2026"/>
    <s v="No"/>
    <n v="0"/>
    <x v="3"/>
    <n v="1"/>
  </r>
  <r>
    <s v="T001532"/>
    <x v="1453"/>
    <d v="2026-03-12T04:35:00"/>
    <x v="6"/>
    <s v="Phone"/>
    <x v="2"/>
    <s v="A018"/>
    <x v="2"/>
    <n v="4"/>
    <n v="12.7"/>
    <x v="0"/>
    <s v="No"/>
    <s v="No"/>
    <n v="4"/>
    <s v="Closed"/>
    <s v="March"/>
    <x v="2"/>
    <n v="2026"/>
    <s v="No"/>
    <n v="0"/>
    <x v="2"/>
    <n v="0"/>
  </r>
  <r>
    <s v="T001533"/>
    <x v="1454"/>
    <d v="2026-03-14T14:00:00"/>
    <x v="6"/>
    <s v="Field Visit"/>
    <x v="2"/>
    <s v="A026"/>
    <x v="2"/>
    <n v="4"/>
    <n v="70"/>
    <x v="1"/>
    <s v="No"/>
    <s v="No"/>
    <n v="4"/>
    <s v="Closed"/>
    <s v="March"/>
    <x v="2"/>
    <n v="2026"/>
    <s v="No"/>
    <n v="0"/>
    <x v="1"/>
    <n v="1"/>
  </r>
  <r>
    <s v="T001534"/>
    <x v="1455"/>
    <d v="2026-03-11T21:08:00"/>
    <x v="1"/>
    <s v="Chat"/>
    <x v="0"/>
    <s v="A031"/>
    <x v="2"/>
    <n v="72"/>
    <n v="3.6"/>
    <x v="1"/>
    <s v="No"/>
    <s v="No"/>
    <m/>
    <s v="Closed"/>
    <s v="March"/>
    <x v="2"/>
    <n v="2026"/>
    <s v="Yes"/>
    <n v="1"/>
    <x v="4"/>
    <n v="1"/>
  </r>
  <r>
    <s v="T001535"/>
    <x v="1456"/>
    <d v="2026-03-12T06:24:00"/>
    <x v="6"/>
    <s v="Chat"/>
    <x v="0"/>
    <s v="A001"/>
    <x v="0"/>
    <n v="72"/>
    <n v="12.4"/>
    <x v="0"/>
    <s v="Yes"/>
    <s v="No"/>
    <n v="3"/>
    <s v="Closed"/>
    <s v="March"/>
    <x v="2"/>
    <n v="2026"/>
    <s v="Yes"/>
    <n v="1"/>
    <x v="1"/>
    <n v="0"/>
  </r>
  <r>
    <s v="T001536"/>
    <x v="1457"/>
    <d v="2026-03-12T13:08:00"/>
    <x v="0"/>
    <s v="Phone"/>
    <x v="2"/>
    <s v="A035"/>
    <x v="2"/>
    <n v="4"/>
    <n v="19.100000000000001"/>
    <x v="1"/>
    <s v="No"/>
    <s v="No"/>
    <n v="4"/>
    <s v="Closed"/>
    <s v="March"/>
    <x v="2"/>
    <n v="2026"/>
    <s v="No"/>
    <n v="0"/>
    <x v="1"/>
    <n v="1"/>
  </r>
  <r>
    <s v="T001537"/>
    <x v="1457"/>
    <d v="2026-03-12T00:44:00"/>
    <x v="1"/>
    <s v="Phone"/>
    <x v="0"/>
    <s v="A045"/>
    <x v="1"/>
    <n v="72"/>
    <n v="6.7"/>
    <x v="1"/>
    <s v="No"/>
    <s v="No"/>
    <n v="5"/>
    <s v="Closed"/>
    <s v="March"/>
    <x v="2"/>
    <n v="2026"/>
    <s v="Yes"/>
    <n v="1"/>
    <x v="3"/>
    <n v="1"/>
  </r>
  <r>
    <s v="T001538"/>
    <x v="1458"/>
    <d v="2026-03-12T00:06:00"/>
    <x v="0"/>
    <s v="Chat"/>
    <x v="0"/>
    <s v="A050"/>
    <x v="1"/>
    <n v="72"/>
    <n v="5.7"/>
    <x v="0"/>
    <s v="No"/>
    <s v="No"/>
    <m/>
    <s v="Closed"/>
    <s v="March"/>
    <x v="2"/>
    <n v="2026"/>
    <s v="Yes"/>
    <n v="1"/>
    <x v="0"/>
    <n v="0"/>
  </r>
  <r>
    <s v="T001539"/>
    <x v="1459"/>
    <d v="2026-03-12T17:07:00"/>
    <x v="5"/>
    <s v="Field Visit"/>
    <x v="2"/>
    <s v="A036"/>
    <x v="1"/>
    <n v="4"/>
    <n v="22.2"/>
    <x v="0"/>
    <s v="Yes"/>
    <s v="Yes"/>
    <m/>
    <s v="Closed"/>
    <s v="March"/>
    <x v="2"/>
    <n v="2026"/>
    <s v="No"/>
    <n v="0"/>
    <x v="3"/>
    <n v="0"/>
  </r>
  <r>
    <s v="T001541"/>
    <x v="1460"/>
    <d v="2026-03-12T19:42:00"/>
    <x v="6"/>
    <s v="Phone"/>
    <x v="1"/>
    <s v="A019"/>
    <x v="2"/>
    <n v="24"/>
    <n v="24.7"/>
    <x v="1"/>
    <s v="No"/>
    <s v="No"/>
    <n v="5"/>
    <s v="Closed"/>
    <s v="March"/>
    <x v="2"/>
    <n v="2026"/>
    <s v="No"/>
    <n v="0"/>
    <x v="0"/>
    <n v="1"/>
  </r>
  <r>
    <s v="T001542"/>
    <x v="1460"/>
    <d v="2026-03-13T00:24:00"/>
    <x v="6"/>
    <s v="Phone"/>
    <x v="2"/>
    <s v="A015"/>
    <x v="0"/>
    <n v="4"/>
    <n v="29.4"/>
    <x v="0"/>
    <s v="No"/>
    <s v="No"/>
    <n v="3"/>
    <s v="Closed"/>
    <s v="March"/>
    <x v="2"/>
    <n v="2026"/>
    <s v="No"/>
    <n v="0"/>
    <x v="1"/>
    <n v="0"/>
  </r>
  <r>
    <s v="T001540"/>
    <x v="1460"/>
    <d v="2026-03-16T11:18:00"/>
    <x v="6"/>
    <s v="Field Visit"/>
    <x v="2"/>
    <s v="A015"/>
    <x v="0"/>
    <n v="4"/>
    <n v="112.3"/>
    <x v="1"/>
    <s v="No"/>
    <s v="No"/>
    <m/>
    <s v="Closed"/>
    <s v="March"/>
    <x v="2"/>
    <n v="2026"/>
    <s v="No"/>
    <n v="0"/>
    <x v="1"/>
    <n v="1"/>
  </r>
  <r>
    <s v="T001543"/>
    <x v="1461"/>
    <d v="2026-03-12T19:55:00"/>
    <x v="0"/>
    <s v="Phone"/>
    <x v="2"/>
    <s v="A038"/>
    <x v="1"/>
    <n v="4"/>
    <n v="24.9"/>
    <x v="1"/>
    <s v="No"/>
    <s v="No"/>
    <n v="3"/>
    <s v="Closed"/>
    <s v="March"/>
    <x v="2"/>
    <n v="2026"/>
    <s v="No"/>
    <n v="0"/>
    <x v="2"/>
    <n v="1"/>
  </r>
  <r>
    <s v="T001544"/>
    <x v="1462"/>
    <d v="2026-03-12T21:14:00"/>
    <x v="0"/>
    <s v="Field Visit"/>
    <x v="1"/>
    <s v="A055"/>
    <x v="1"/>
    <n v="24"/>
    <n v="26.2"/>
    <x v="1"/>
    <s v="No"/>
    <s v="No"/>
    <n v="3"/>
    <s v="Closed"/>
    <s v="March"/>
    <x v="2"/>
    <n v="2026"/>
    <s v="No"/>
    <n v="0"/>
    <x v="0"/>
    <n v="1"/>
  </r>
  <r>
    <s v="T001545"/>
    <x v="1463"/>
    <d v="2026-03-16T21:06:00"/>
    <x v="6"/>
    <s v="Field Visit"/>
    <x v="2"/>
    <s v="A043"/>
    <x v="1"/>
    <n v="4"/>
    <n v="120.1"/>
    <x v="1"/>
    <s v="No"/>
    <s v="Yes"/>
    <n v="3"/>
    <s v="Closed"/>
    <s v="March"/>
    <x v="2"/>
    <n v="2026"/>
    <s v="No"/>
    <n v="0"/>
    <x v="1"/>
    <n v="1"/>
  </r>
  <r>
    <s v="T001546"/>
    <x v="1463"/>
    <d v="2026-03-13T00:18:00"/>
    <x v="6"/>
    <s v="Field Visit"/>
    <x v="1"/>
    <s v="A058"/>
    <x v="1"/>
    <n v="24"/>
    <n v="27.3"/>
    <x v="1"/>
    <s v="No"/>
    <s v="No"/>
    <m/>
    <s v="Closed"/>
    <s v="March"/>
    <x v="2"/>
    <n v="2026"/>
    <s v="No"/>
    <n v="0"/>
    <x v="1"/>
    <n v="1"/>
  </r>
  <r>
    <s v="T001547"/>
    <x v="1464"/>
    <d v="2026-03-12T01:59:00"/>
    <x v="2"/>
    <s v="Chat"/>
    <x v="0"/>
    <s v="A054"/>
    <x v="1"/>
    <n v="72"/>
    <n v="4.5999999999999996"/>
    <x v="1"/>
    <s v="No"/>
    <s v="No"/>
    <n v="4"/>
    <s v="Closed"/>
    <s v="March"/>
    <x v="2"/>
    <n v="2026"/>
    <s v="Yes"/>
    <n v="1"/>
    <x v="4"/>
    <n v="1"/>
  </r>
  <r>
    <s v="T001549"/>
    <x v="1465"/>
    <d v="2026-03-12T23:48:00"/>
    <x v="6"/>
    <s v="Phone"/>
    <x v="1"/>
    <s v="A014"/>
    <x v="0"/>
    <n v="24"/>
    <n v="17.8"/>
    <x v="1"/>
    <s v="No"/>
    <s v="No"/>
    <m/>
    <s v="Closed"/>
    <s v="March"/>
    <x v="2"/>
    <n v="2026"/>
    <s v="Yes"/>
    <n v="1"/>
    <x v="1"/>
    <n v="1"/>
  </r>
  <r>
    <s v="T001548"/>
    <x v="1465"/>
    <d v="2026-03-12T15:24:00"/>
    <x v="6"/>
    <s v="Phone"/>
    <x v="2"/>
    <s v="A060"/>
    <x v="1"/>
    <n v="4"/>
    <n v="9.4"/>
    <x v="1"/>
    <s v="No"/>
    <s v="No"/>
    <n v="4"/>
    <s v="Closed"/>
    <s v="March"/>
    <x v="2"/>
    <n v="2026"/>
    <s v="No"/>
    <n v="0"/>
    <x v="1"/>
    <n v="1"/>
  </r>
  <r>
    <s v="T001550"/>
    <x v="1466"/>
    <d v="2026-03-12T08:15:00"/>
    <x v="6"/>
    <s v="Phone"/>
    <x v="2"/>
    <s v="A052"/>
    <x v="1"/>
    <n v="4"/>
    <n v="2.2000000000000002"/>
    <x v="1"/>
    <s v="No"/>
    <s v="Yes"/>
    <n v="5"/>
    <s v="Closed"/>
    <s v="March"/>
    <x v="2"/>
    <n v="2026"/>
    <s v="Yes"/>
    <n v="1"/>
    <x v="3"/>
    <n v="1"/>
  </r>
  <r>
    <s v="T001551"/>
    <x v="1467"/>
    <d v="2026-03-12T19:53:00"/>
    <x v="2"/>
    <s v="Email"/>
    <x v="1"/>
    <s v="A031"/>
    <x v="2"/>
    <n v="24"/>
    <n v="13"/>
    <x v="1"/>
    <s v="No"/>
    <s v="No"/>
    <n v="4"/>
    <s v="Closed"/>
    <s v="March"/>
    <x v="2"/>
    <n v="2026"/>
    <s v="Yes"/>
    <n v="1"/>
    <x v="4"/>
    <n v="1"/>
  </r>
  <r>
    <s v="T001552"/>
    <x v="1468"/>
    <d v="2026-03-13T18:48:00"/>
    <x v="6"/>
    <s v="Field Visit"/>
    <x v="1"/>
    <s v="A036"/>
    <x v="1"/>
    <n v="24"/>
    <n v="35.799999999999997"/>
    <x v="1"/>
    <s v="No"/>
    <s v="No"/>
    <n v="5"/>
    <s v="Closed"/>
    <s v="March"/>
    <x v="2"/>
    <n v="2026"/>
    <s v="No"/>
    <n v="0"/>
    <x v="1"/>
    <n v="1"/>
  </r>
  <r>
    <s v="T001554"/>
    <x v="1469"/>
    <d v="2026-03-14T15:06:00"/>
    <x v="6"/>
    <s v="Field Visit"/>
    <x v="2"/>
    <s v="A038"/>
    <x v="1"/>
    <n v="4"/>
    <n v="55.1"/>
    <x v="1"/>
    <s v="No"/>
    <s v="Yes"/>
    <n v="4"/>
    <s v="Closed"/>
    <s v="March"/>
    <x v="2"/>
    <n v="2026"/>
    <s v="No"/>
    <n v="0"/>
    <x v="1"/>
    <n v="1"/>
  </r>
  <r>
    <s v="T001553"/>
    <x v="1469"/>
    <d v="2026-03-14T03:12:00"/>
    <x v="6"/>
    <s v="Field Visit"/>
    <x v="0"/>
    <s v="A019"/>
    <x v="2"/>
    <n v="72"/>
    <n v="43.2"/>
    <x v="0"/>
    <s v="Yes"/>
    <s v="Yes"/>
    <n v="4"/>
    <s v="Closed"/>
    <s v="March"/>
    <x v="2"/>
    <n v="2026"/>
    <s v="Yes"/>
    <n v="1"/>
    <x v="1"/>
    <n v="0"/>
  </r>
  <r>
    <s v="T001556"/>
    <x v="1469"/>
    <d v="2026-03-12T11:42:00"/>
    <x v="1"/>
    <s v="Phone"/>
    <x v="0"/>
    <s v="A017"/>
    <x v="2"/>
    <n v="72"/>
    <n v="3.7"/>
    <x v="1"/>
    <s v="No"/>
    <s v="No"/>
    <n v="5"/>
    <s v="Closed"/>
    <s v="March"/>
    <x v="2"/>
    <n v="2026"/>
    <s v="Yes"/>
    <n v="1"/>
    <x v="2"/>
    <n v="1"/>
  </r>
  <r>
    <s v="T001555"/>
    <x v="1469"/>
    <d v="2026-03-13T05:48:00"/>
    <x v="6"/>
    <s v="Field Visit"/>
    <x v="2"/>
    <s v="A015"/>
    <x v="0"/>
    <n v="4"/>
    <n v="21.8"/>
    <x v="0"/>
    <s v="No"/>
    <s v="No"/>
    <n v="4"/>
    <s v="Closed"/>
    <s v="March"/>
    <x v="2"/>
    <n v="2026"/>
    <s v="No"/>
    <n v="0"/>
    <x v="1"/>
    <n v="0"/>
  </r>
  <r>
    <s v="T001557"/>
    <x v="1470"/>
    <d v="2026-03-14T00:10:00"/>
    <x v="0"/>
    <s v="Email"/>
    <x v="1"/>
    <s v="A011"/>
    <x v="0"/>
    <n v="24"/>
    <n v="39.799999999999997"/>
    <x v="1"/>
    <s v="No"/>
    <s v="No"/>
    <n v="4"/>
    <s v="Closed"/>
    <s v="March"/>
    <x v="2"/>
    <n v="2026"/>
    <s v="No"/>
    <n v="0"/>
    <x v="1"/>
    <n v="1"/>
  </r>
  <r>
    <s v="T001559"/>
    <x v="1471"/>
    <d v="2026-03-13T07:24:00"/>
    <x v="6"/>
    <s v="Phone"/>
    <x v="0"/>
    <s v="A035"/>
    <x v="2"/>
    <n v="72"/>
    <n v="22.4"/>
    <x v="1"/>
    <s v="No"/>
    <s v="No"/>
    <m/>
    <s v="Closed"/>
    <s v="March"/>
    <x v="2"/>
    <n v="2026"/>
    <s v="Yes"/>
    <n v="1"/>
    <x v="1"/>
    <n v="1"/>
  </r>
  <r>
    <s v="T001558"/>
    <x v="1471"/>
    <d v="2026-03-16T18:36:00"/>
    <x v="6"/>
    <s v="Email"/>
    <x v="2"/>
    <s v="A012"/>
    <x v="0"/>
    <n v="4"/>
    <n v="105.6"/>
    <x v="0"/>
    <s v="Yes"/>
    <s v="No"/>
    <n v="3"/>
    <s v="Closed"/>
    <s v="March"/>
    <x v="2"/>
    <n v="2026"/>
    <s v="No"/>
    <n v="0"/>
    <x v="1"/>
    <n v="0"/>
  </r>
  <r>
    <s v="T001560"/>
    <x v="1472"/>
    <d v="2026-03-12T13:47:00"/>
    <x v="6"/>
    <s v="Phone"/>
    <x v="2"/>
    <s v="A045"/>
    <x v="1"/>
    <n v="4"/>
    <n v="4.7"/>
    <x v="0"/>
    <s v="Yes"/>
    <s v="Yes"/>
    <n v="2"/>
    <s v="Closed"/>
    <s v="March"/>
    <x v="2"/>
    <n v="2026"/>
    <s v="No"/>
    <n v="0"/>
    <x v="0"/>
    <n v="0"/>
  </r>
  <r>
    <s v="T001561"/>
    <x v="1473"/>
    <d v="2026-03-13T05:48:00"/>
    <x v="6"/>
    <s v="Chat"/>
    <x v="0"/>
    <s v="A033"/>
    <x v="2"/>
    <n v="72"/>
    <n v="19.8"/>
    <x v="1"/>
    <s v="No"/>
    <s v="No"/>
    <n v="5"/>
    <s v="Closed"/>
    <s v="March"/>
    <x v="2"/>
    <n v="2026"/>
    <s v="Yes"/>
    <n v="1"/>
    <x v="1"/>
    <n v="1"/>
  </r>
  <r>
    <s v="T001562"/>
    <x v="1473"/>
    <d v="2026-03-15T02:12:00"/>
    <x v="6"/>
    <s v="Field Visit"/>
    <x v="1"/>
    <s v="A012"/>
    <x v="0"/>
    <n v="24"/>
    <n v="64.2"/>
    <x v="1"/>
    <s v="No"/>
    <s v="No"/>
    <n v="5"/>
    <s v="Closed"/>
    <s v="March"/>
    <x v="2"/>
    <n v="2026"/>
    <s v="No"/>
    <n v="0"/>
    <x v="1"/>
    <n v="1"/>
  </r>
  <r>
    <s v="T001563"/>
    <x v="1474"/>
    <d v="2026-03-12T22:51:00"/>
    <x v="1"/>
    <s v="Email"/>
    <x v="1"/>
    <s v="A048"/>
    <x v="1"/>
    <n v="24"/>
    <n v="12.1"/>
    <x v="1"/>
    <s v="No"/>
    <s v="No"/>
    <n v="5"/>
    <s v="Closed"/>
    <s v="March"/>
    <x v="2"/>
    <n v="2026"/>
    <s v="Yes"/>
    <n v="1"/>
    <x v="3"/>
    <n v="1"/>
  </r>
  <r>
    <s v="T001564"/>
    <x v="1475"/>
    <d v="2026-03-12T19:25:00"/>
    <x v="6"/>
    <s v="Phone"/>
    <x v="1"/>
    <s v="A019"/>
    <x v="2"/>
    <n v="24"/>
    <n v="8.1999999999999993"/>
    <x v="0"/>
    <s v="No"/>
    <s v="No"/>
    <n v="4"/>
    <s v="Closed"/>
    <s v="March"/>
    <x v="2"/>
    <n v="2026"/>
    <s v="Yes"/>
    <n v="1"/>
    <x v="4"/>
    <n v="0"/>
  </r>
  <r>
    <s v="T001565"/>
    <x v="1476"/>
    <d v="2026-03-13T02:00:00"/>
    <x v="6"/>
    <s v="Chat"/>
    <x v="2"/>
    <s v="A013"/>
    <x v="0"/>
    <n v="4"/>
    <n v="14"/>
    <x v="1"/>
    <s v="No"/>
    <s v="Yes"/>
    <n v="4"/>
    <s v="Closed"/>
    <s v="March"/>
    <x v="2"/>
    <n v="2026"/>
    <s v="No"/>
    <n v="0"/>
    <x v="1"/>
    <n v="1"/>
  </r>
  <r>
    <s v="T001567"/>
    <x v="1476"/>
    <d v="2026-03-13T21:24:00"/>
    <x v="6"/>
    <s v="Phone"/>
    <x v="2"/>
    <s v="A044"/>
    <x v="1"/>
    <n v="4"/>
    <n v="33.4"/>
    <x v="1"/>
    <s v="No"/>
    <s v="No"/>
    <n v="4"/>
    <s v="Closed"/>
    <s v="March"/>
    <x v="2"/>
    <n v="2026"/>
    <s v="No"/>
    <n v="0"/>
    <x v="1"/>
    <n v="1"/>
  </r>
  <r>
    <s v="T001566"/>
    <x v="1476"/>
    <d v="2026-03-13T16:24:00"/>
    <x v="6"/>
    <s v="Phone"/>
    <x v="0"/>
    <s v="A033"/>
    <x v="2"/>
    <n v="72"/>
    <n v="28.4"/>
    <x v="1"/>
    <s v="No"/>
    <s v="No"/>
    <n v="5"/>
    <s v="Closed"/>
    <s v="March"/>
    <x v="2"/>
    <n v="2026"/>
    <s v="Yes"/>
    <n v="1"/>
    <x v="1"/>
    <n v="1"/>
  </r>
  <r>
    <s v="T001568"/>
    <x v="1477"/>
    <d v="2026-03-13T04:38:00"/>
    <x v="3"/>
    <s v="Phone"/>
    <x v="0"/>
    <s v="A054"/>
    <x v="1"/>
    <n v="72"/>
    <n v="16.2"/>
    <x v="1"/>
    <s v="No"/>
    <s v="No"/>
    <n v="5"/>
    <s v="Closed"/>
    <s v="March"/>
    <x v="2"/>
    <n v="2026"/>
    <s v="Yes"/>
    <n v="1"/>
    <x v="3"/>
    <n v="1"/>
  </r>
  <r>
    <s v="T001569"/>
    <x v="1478"/>
    <d v="2026-03-12T13:24:00"/>
    <x v="6"/>
    <s v="Chat"/>
    <x v="2"/>
    <s v="A046"/>
    <x v="1"/>
    <n v="4"/>
    <n v="0.9"/>
    <x v="1"/>
    <s v="No"/>
    <s v="No"/>
    <n v="5"/>
    <s v="Closed"/>
    <s v="March"/>
    <x v="2"/>
    <n v="2026"/>
    <s v="Yes"/>
    <n v="1"/>
    <x v="0"/>
    <n v="1"/>
  </r>
  <r>
    <s v="T001570"/>
    <x v="1479"/>
    <d v="2026-03-13T10:43:00"/>
    <x v="5"/>
    <s v="Chat"/>
    <x v="1"/>
    <s v="A007"/>
    <x v="0"/>
    <n v="24"/>
    <n v="22.1"/>
    <x v="0"/>
    <s v="No"/>
    <s v="Yes"/>
    <n v="4"/>
    <s v="Closed"/>
    <s v="March"/>
    <x v="2"/>
    <n v="2026"/>
    <s v="Yes"/>
    <n v="1"/>
    <x v="2"/>
    <n v="0"/>
  </r>
  <r>
    <s v="T001571"/>
    <x v="1480"/>
    <d v="2026-03-13T19:19:00"/>
    <x v="3"/>
    <s v="Email"/>
    <x v="1"/>
    <s v="A040"/>
    <x v="1"/>
    <n v="24"/>
    <n v="30.5"/>
    <x v="1"/>
    <s v="No"/>
    <s v="No"/>
    <n v="5"/>
    <s v="Closed"/>
    <s v="March"/>
    <x v="2"/>
    <n v="2026"/>
    <s v="No"/>
    <n v="0"/>
    <x v="1"/>
    <n v="1"/>
  </r>
  <r>
    <s v="T001572"/>
    <x v="1481"/>
    <d v="2026-03-12T20:22:00"/>
    <x v="0"/>
    <s v="Chat"/>
    <x v="1"/>
    <s v="A001"/>
    <x v="0"/>
    <n v="24"/>
    <n v="6.9"/>
    <x v="0"/>
    <s v="Yes"/>
    <s v="No"/>
    <n v="5"/>
    <s v="Closed"/>
    <s v="March"/>
    <x v="2"/>
    <n v="2026"/>
    <s v="Yes"/>
    <n v="1"/>
    <x v="4"/>
    <n v="0"/>
  </r>
  <r>
    <s v="T001573"/>
    <x v="1482"/>
    <d v="2026-03-13T10:59:00"/>
    <x v="6"/>
    <s v="Field Visit"/>
    <x v="1"/>
    <s v="A051"/>
    <x v="1"/>
    <n v="24"/>
    <n v="21"/>
    <x v="1"/>
    <s v="No"/>
    <s v="No"/>
    <n v="4"/>
    <s v="Closed"/>
    <s v="March"/>
    <x v="2"/>
    <n v="2026"/>
    <s v="Yes"/>
    <n v="1"/>
    <x v="0"/>
    <n v="1"/>
  </r>
  <r>
    <s v="T001576"/>
    <x v="1483"/>
    <d v="2026-03-14T00:48:00"/>
    <x v="6"/>
    <s v="Email"/>
    <x v="2"/>
    <s v="A004"/>
    <x v="0"/>
    <n v="4"/>
    <n v="34.799999999999997"/>
    <x v="0"/>
    <s v="Yes"/>
    <s v="No"/>
    <m/>
    <s v="Closed"/>
    <s v="March"/>
    <x v="2"/>
    <n v="2026"/>
    <s v="No"/>
    <n v="0"/>
    <x v="1"/>
    <n v="0"/>
  </r>
  <r>
    <s v="T001574"/>
    <x v="1483"/>
    <d v="2026-03-13T07:06:00"/>
    <x v="6"/>
    <s v="Phone"/>
    <x v="0"/>
    <s v="A004"/>
    <x v="0"/>
    <n v="72"/>
    <n v="17.100000000000001"/>
    <x v="1"/>
    <s v="No"/>
    <s v="No"/>
    <n v="5"/>
    <s v="Closed"/>
    <s v="March"/>
    <x v="2"/>
    <n v="2026"/>
    <s v="Yes"/>
    <n v="1"/>
    <x v="1"/>
    <n v="1"/>
  </r>
  <r>
    <s v="T001575"/>
    <x v="1483"/>
    <d v="2026-03-13T22:42:00"/>
    <x v="6"/>
    <s v="Phone"/>
    <x v="2"/>
    <s v="A022"/>
    <x v="2"/>
    <n v="4"/>
    <n v="32.700000000000003"/>
    <x v="1"/>
    <s v="No"/>
    <s v="No"/>
    <n v="4"/>
    <s v="Closed"/>
    <s v="March"/>
    <x v="2"/>
    <n v="2026"/>
    <s v="No"/>
    <n v="0"/>
    <x v="1"/>
    <n v="1"/>
  </r>
  <r>
    <s v="T001577"/>
    <x v="1484"/>
    <d v="2026-03-12T19:40:00"/>
    <x v="0"/>
    <s v="Phone"/>
    <x v="1"/>
    <s v="A001"/>
    <x v="0"/>
    <n v="24"/>
    <n v="5.5"/>
    <x v="0"/>
    <s v="Yes"/>
    <s v="No"/>
    <m/>
    <s v="Closed"/>
    <s v="March"/>
    <x v="2"/>
    <n v="2026"/>
    <s v="Yes"/>
    <n v="1"/>
    <x v="4"/>
    <n v="0"/>
  </r>
  <r>
    <s v="T001578"/>
    <x v="1485"/>
    <d v="2026-03-13T20:50:00"/>
    <x v="0"/>
    <s v="Phone"/>
    <x v="0"/>
    <s v="A047"/>
    <x v="1"/>
    <n v="72"/>
    <n v="30.4"/>
    <x v="1"/>
    <s v="No"/>
    <s v="No"/>
    <n v="4"/>
    <s v="Closed"/>
    <s v="March"/>
    <x v="2"/>
    <n v="2026"/>
    <s v="Yes"/>
    <n v="1"/>
    <x v="4"/>
    <n v="1"/>
  </r>
  <r>
    <s v="T001579"/>
    <x v="1486"/>
    <d v="2026-03-13T08:51:00"/>
    <x v="0"/>
    <s v="Chat"/>
    <x v="2"/>
    <s v="A047"/>
    <x v="1"/>
    <n v="4"/>
    <n v="18.2"/>
    <x v="1"/>
    <s v="No"/>
    <s v="No"/>
    <n v="5"/>
    <s v="Closed"/>
    <s v="March"/>
    <x v="2"/>
    <n v="2026"/>
    <s v="No"/>
    <n v="0"/>
    <x v="1"/>
    <n v="1"/>
  </r>
  <r>
    <s v="T001580"/>
    <x v="1487"/>
    <d v="2026-03-13T01:18:00"/>
    <x v="6"/>
    <s v="Chat"/>
    <x v="2"/>
    <s v="A050"/>
    <x v="1"/>
    <n v="4"/>
    <n v="9.3000000000000007"/>
    <x v="1"/>
    <s v="No"/>
    <s v="Yes"/>
    <n v="2"/>
    <s v="Closed"/>
    <s v="March"/>
    <x v="2"/>
    <n v="2026"/>
    <s v="No"/>
    <n v="0"/>
    <x v="1"/>
    <n v="1"/>
  </r>
  <r>
    <s v="T001581"/>
    <x v="1488"/>
    <d v="2026-03-12T22:07:00"/>
    <x v="2"/>
    <s v="Chat"/>
    <x v="1"/>
    <s v="A048"/>
    <x v="1"/>
    <n v="24"/>
    <n v="5.8"/>
    <x v="1"/>
    <s v="No"/>
    <s v="No"/>
    <m/>
    <s v="Closed"/>
    <s v="March"/>
    <x v="2"/>
    <n v="2026"/>
    <s v="Yes"/>
    <n v="1"/>
    <x v="0"/>
    <n v="1"/>
  </r>
  <r>
    <s v="T001582"/>
    <x v="1489"/>
    <d v="2026-03-13T08:34:00"/>
    <x v="3"/>
    <s v="Field Visit"/>
    <x v="1"/>
    <s v="A039"/>
    <x v="1"/>
    <n v="24"/>
    <n v="15.9"/>
    <x v="1"/>
    <s v="No"/>
    <s v="No"/>
    <n v="5"/>
    <s v="Closed"/>
    <s v="March"/>
    <x v="2"/>
    <n v="2026"/>
    <s v="Yes"/>
    <n v="1"/>
    <x v="4"/>
    <n v="1"/>
  </r>
  <r>
    <s v="T001584"/>
    <x v="1490"/>
    <d v="2026-03-13T18:00:00"/>
    <x v="6"/>
    <s v="Phone"/>
    <x v="2"/>
    <s v="A040"/>
    <x v="1"/>
    <n v="4"/>
    <n v="25"/>
    <x v="1"/>
    <s v="No"/>
    <s v="No"/>
    <m/>
    <s v="Closed"/>
    <s v="March"/>
    <x v="2"/>
    <n v="2026"/>
    <s v="No"/>
    <n v="0"/>
    <x v="1"/>
    <n v="1"/>
  </r>
  <r>
    <s v="T001585"/>
    <x v="1490"/>
    <d v="2026-03-14T04:48:00"/>
    <x v="6"/>
    <s v="Chat"/>
    <x v="2"/>
    <s v="A013"/>
    <x v="0"/>
    <n v="4"/>
    <n v="35.799999999999997"/>
    <x v="1"/>
    <s v="No"/>
    <s v="No"/>
    <n v="3"/>
    <s v="Closed"/>
    <s v="March"/>
    <x v="2"/>
    <n v="2026"/>
    <s v="No"/>
    <n v="0"/>
    <x v="1"/>
    <n v="1"/>
  </r>
  <r>
    <s v="T001583"/>
    <x v="1490"/>
    <d v="2026-03-13T21:48:00"/>
    <x v="6"/>
    <s v="Phone"/>
    <x v="1"/>
    <s v="A012"/>
    <x v="0"/>
    <n v="24"/>
    <n v="28.8"/>
    <x v="0"/>
    <s v="Yes"/>
    <s v="No"/>
    <n v="1"/>
    <s v="Closed"/>
    <s v="March"/>
    <x v="2"/>
    <n v="2026"/>
    <s v="No"/>
    <n v="0"/>
    <x v="1"/>
    <n v="0"/>
  </r>
  <r>
    <s v="T001586"/>
    <x v="1491"/>
    <d v="2026-03-13T02:30:00"/>
    <x v="2"/>
    <s v="Phone"/>
    <x v="0"/>
    <s v="A051"/>
    <x v="1"/>
    <n v="72"/>
    <n v="9.1999999999999993"/>
    <x v="1"/>
    <s v="No"/>
    <s v="No"/>
    <n v="4"/>
    <s v="Closed"/>
    <s v="March"/>
    <x v="2"/>
    <n v="2026"/>
    <s v="Yes"/>
    <n v="1"/>
    <x v="1"/>
    <n v="1"/>
  </r>
  <r>
    <s v="T001588"/>
    <x v="1492"/>
    <d v="2026-03-14T09:42:00"/>
    <x v="6"/>
    <s v="Field Visit"/>
    <x v="0"/>
    <s v="A046"/>
    <x v="1"/>
    <n v="72"/>
    <n v="39.700000000000003"/>
    <x v="0"/>
    <s v="No"/>
    <s v="Yes"/>
    <n v="4"/>
    <s v="Closed"/>
    <s v="March"/>
    <x v="2"/>
    <n v="2026"/>
    <s v="Yes"/>
    <n v="1"/>
    <x v="1"/>
    <n v="0"/>
  </r>
  <r>
    <s v="T001587"/>
    <x v="1492"/>
    <d v="2026-03-13T10:30:00"/>
    <x v="6"/>
    <s v="Chat"/>
    <x v="1"/>
    <s v="A056"/>
    <x v="1"/>
    <n v="24"/>
    <n v="16.5"/>
    <x v="1"/>
    <s v="No"/>
    <s v="No"/>
    <n v="4"/>
    <s v="Closed"/>
    <s v="March"/>
    <x v="2"/>
    <n v="2026"/>
    <s v="Yes"/>
    <n v="1"/>
    <x v="1"/>
    <n v="1"/>
  </r>
  <r>
    <s v="T001589"/>
    <x v="1493"/>
    <d v="2026-03-14T06:42:00"/>
    <x v="6"/>
    <s v="Phone"/>
    <x v="1"/>
    <s v="A057"/>
    <x v="1"/>
    <n v="24"/>
    <n v="35.700000000000003"/>
    <x v="1"/>
    <s v="No"/>
    <s v="No"/>
    <m/>
    <s v="Closed"/>
    <s v="March"/>
    <x v="2"/>
    <n v="2026"/>
    <s v="No"/>
    <n v="0"/>
    <x v="1"/>
    <n v="1"/>
  </r>
  <r>
    <s v="T001591"/>
    <x v="1494"/>
    <d v="2026-03-13T03:24:00"/>
    <x v="6"/>
    <s v="Chat"/>
    <x v="2"/>
    <s v="A033"/>
    <x v="2"/>
    <n v="4"/>
    <n v="7.4"/>
    <x v="1"/>
    <s v="No"/>
    <s v="Yes"/>
    <n v="2"/>
    <s v="Closed"/>
    <s v="March"/>
    <x v="2"/>
    <n v="2026"/>
    <s v="No"/>
    <n v="0"/>
    <x v="1"/>
    <n v="1"/>
  </r>
  <r>
    <s v="T001590"/>
    <x v="1494"/>
    <d v="2026-03-13T16:36:00"/>
    <x v="6"/>
    <s v="Chat"/>
    <x v="0"/>
    <s v="A001"/>
    <x v="0"/>
    <n v="72"/>
    <n v="20.6"/>
    <x v="1"/>
    <s v="No"/>
    <s v="No"/>
    <m/>
    <s v="Closed"/>
    <s v="March"/>
    <x v="2"/>
    <n v="2026"/>
    <s v="Yes"/>
    <n v="1"/>
    <x v="1"/>
    <n v="1"/>
  </r>
  <r>
    <s v="T001592"/>
    <x v="1495"/>
    <d v="2026-03-15T04:48:00"/>
    <x v="0"/>
    <s v="Phone"/>
    <x v="2"/>
    <s v="A003"/>
    <x v="0"/>
    <n v="4"/>
    <n v="56.1"/>
    <x v="1"/>
    <s v="No"/>
    <s v="Yes"/>
    <n v="2"/>
    <s v="Closed"/>
    <s v="March"/>
    <x v="2"/>
    <n v="2026"/>
    <s v="No"/>
    <n v="0"/>
    <x v="3"/>
    <n v="1"/>
  </r>
  <r>
    <s v="T001593"/>
    <x v="1496"/>
    <d v="2026-03-13T03:30:00"/>
    <x v="6"/>
    <s v="Chat"/>
    <x v="2"/>
    <s v="A059"/>
    <x v="1"/>
    <n v="4"/>
    <n v="6.5"/>
    <x v="1"/>
    <s v="No"/>
    <s v="Yes"/>
    <m/>
    <s v="Closed"/>
    <s v="March"/>
    <x v="2"/>
    <n v="2026"/>
    <s v="No"/>
    <n v="0"/>
    <x v="1"/>
    <n v="1"/>
  </r>
  <r>
    <s v="T001594"/>
    <x v="1496"/>
    <d v="2026-03-13T04:42:00"/>
    <x v="6"/>
    <s v="Chat"/>
    <x v="1"/>
    <s v="A018"/>
    <x v="2"/>
    <n v="24"/>
    <n v="7.7"/>
    <x v="1"/>
    <s v="No"/>
    <s v="No"/>
    <n v="4"/>
    <s v="Closed"/>
    <s v="March"/>
    <x v="2"/>
    <n v="2026"/>
    <s v="Yes"/>
    <n v="1"/>
    <x v="1"/>
    <n v="1"/>
  </r>
  <r>
    <s v="T001595"/>
    <x v="1497"/>
    <d v="2026-03-12T23:49:00"/>
    <x v="6"/>
    <s v="Chat"/>
    <x v="2"/>
    <s v="A006"/>
    <x v="0"/>
    <n v="4"/>
    <n v="1.6"/>
    <x v="1"/>
    <s v="No"/>
    <s v="No"/>
    <n v="5"/>
    <s v="Closed"/>
    <s v="March"/>
    <x v="2"/>
    <n v="2026"/>
    <s v="Yes"/>
    <n v="1"/>
    <x v="4"/>
    <n v="1"/>
  </r>
  <r>
    <s v="T001596"/>
    <x v="1498"/>
    <d v="2026-03-13T12:22:00"/>
    <x v="3"/>
    <s v="Chat"/>
    <x v="1"/>
    <s v="A004"/>
    <x v="0"/>
    <n v="24"/>
    <n v="10.3"/>
    <x v="1"/>
    <s v="No"/>
    <s v="No"/>
    <n v="5"/>
    <s v="Closed"/>
    <s v="March"/>
    <x v="2"/>
    <n v="2026"/>
    <s v="Yes"/>
    <n v="1"/>
    <x v="1"/>
    <n v="1"/>
  </r>
  <r>
    <s v="T001597"/>
    <x v="1499"/>
    <d v="2026-03-13T15:06:00"/>
    <x v="0"/>
    <s v="Chat"/>
    <x v="1"/>
    <s v="A040"/>
    <x v="1"/>
    <n v="24"/>
    <n v="9.8000000000000007"/>
    <x v="1"/>
    <s v="No"/>
    <s v="No"/>
    <n v="5"/>
    <s v="Closed"/>
    <s v="March"/>
    <x v="2"/>
    <n v="2026"/>
    <s v="Yes"/>
    <n v="1"/>
    <x v="3"/>
    <n v="1"/>
  </r>
  <r>
    <s v="T001599"/>
    <x v="1500"/>
    <d v="2026-03-13T19:54:00"/>
    <x v="6"/>
    <s v="Chat"/>
    <x v="2"/>
    <s v="A046"/>
    <x v="1"/>
    <n v="4"/>
    <n v="13.9"/>
    <x v="1"/>
    <s v="No"/>
    <s v="No"/>
    <n v="5"/>
    <s v="Closed"/>
    <s v="March"/>
    <x v="2"/>
    <n v="2026"/>
    <s v="No"/>
    <n v="0"/>
    <x v="1"/>
    <n v="1"/>
  </r>
  <r>
    <s v="T001598"/>
    <x v="1500"/>
    <d v="2026-03-14T08:54:00"/>
    <x v="6"/>
    <s v="Phone"/>
    <x v="2"/>
    <s v="A031"/>
    <x v="2"/>
    <n v="4"/>
    <n v="26.9"/>
    <x v="1"/>
    <s v="No"/>
    <s v="No"/>
    <n v="5"/>
    <s v="Closed"/>
    <s v="March"/>
    <x v="2"/>
    <n v="2026"/>
    <s v="No"/>
    <n v="0"/>
    <x v="1"/>
    <n v="1"/>
  </r>
  <r>
    <s v="T001600"/>
    <x v="1501"/>
    <d v="2026-03-14T00:21:00"/>
    <x v="1"/>
    <s v="Email"/>
    <x v="0"/>
    <s v="A009"/>
    <x v="0"/>
    <n v="72"/>
    <n v="17.899999999999999"/>
    <x v="1"/>
    <s v="No"/>
    <s v="No"/>
    <m/>
    <s v="Closed"/>
    <s v="March"/>
    <x v="2"/>
    <n v="2026"/>
    <s v="Yes"/>
    <n v="1"/>
    <x v="2"/>
    <n v="1"/>
  </r>
  <r>
    <s v="T001603"/>
    <x v="1502"/>
    <d v="2026-03-15T05:24:00"/>
    <x v="6"/>
    <s v="Email"/>
    <x v="0"/>
    <s v="A055"/>
    <x v="1"/>
    <n v="72"/>
    <n v="46.4"/>
    <x v="1"/>
    <s v="No"/>
    <s v="No"/>
    <n v="5"/>
    <s v="Closed"/>
    <s v="March"/>
    <x v="2"/>
    <n v="2026"/>
    <s v="Yes"/>
    <n v="1"/>
    <x v="1"/>
    <n v="1"/>
  </r>
  <r>
    <s v="T001604"/>
    <x v="1502"/>
    <d v="2026-03-13T14:30:00"/>
    <x v="6"/>
    <s v="Chat"/>
    <x v="0"/>
    <s v="A050"/>
    <x v="1"/>
    <n v="72"/>
    <n v="7.5"/>
    <x v="1"/>
    <s v="No"/>
    <s v="No"/>
    <m/>
    <s v="Closed"/>
    <s v="March"/>
    <x v="2"/>
    <n v="2026"/>
    <s v="Yes"/>
    <n v="1"/>
    <x v="1"/>
    <n v="1"/>
  </r>
  <r>
    <s v="T001602"/>
    <x v="1502"/>
    <d v="2026-03-14T01:54:00"/>
    <x v="6"/>
    <s v="Chat"/>
    <x v="2"/>
    <s v="A025"/>
    <x v="2"/>
    <n v="4"/>
    <n v="18.899999999999999"/>
    <x v="0"/>
    <s v="Yes"/>
    <s v="No"/>
    <m/>
    <s v="Closed"/>
    <s v="March"/>
    <x v="2"/>
    <n v="2026"/>
    <s v="No"/>
    <n v="0"/>
    <x v="1"/>
    <n v="0"/>
  </r>
  <r>
    <s v="T001601"/>
    <x v="1502"/>
    <d v="2026-03-14T12:48:00"/>
    <x v="6"/>
    <s v="Field Visit"/>
    <x v="2"/>
    <s v="A010"/>
    <x v="0"/>
    <n v="4"/>
    <n v="29.8"/>
    <x v="0"/>
    <s v="No"/>
    <s v="No"/>
    <n v="3"/>
    <s v="Closed"/>
    <s v="March"/>
    <x v="2"/>
    <n v="2026"/>
    <s v="No"/>
    <n v="0"/>
    <x v="1"/>
    <n v="0"/>
  </r>
  <r>
    <s v="T001605"/>
    <x v="1503"/>
    <d v="2026-03-13T13:40:00"/>
    <x v="1"/>
    <s v="Chat"/>
    <x v="0"/>
    <s v="A005"/>
    <x v="0"/>
    <n v="72"/>
    <n v="5.9"/>
    <x v="1"/>
    <s v="No"/>
    <s v="No"/>
    <n v="4"/>
    <s v="Closed"/>
    <s v="March"/>
    <x v="2"/>
    <n v="2026"/>
    <s v="Yes"/>
    <n v="1"/>
    <x v="4"/>
    <n v="1"/>
  </r>
  <r>
    <s v="T001606"/>
    <x v="1504"/>
    <d v="2026-03-14T04:12:00"/>
    <x v="6"/>
    <s v="Phone"/>
    <x v="2"/>
    <s v="A010"/>
    <x v="0"/>
    <n v="4"/>
    <n v="20.2"/>
    <x v="1"/>
    <s v="No"/>
    <s v="No"/>
    <m/>
    <s v="Closed"/>
    <s v="March"/>
    <x v="2"/>
    <n v="2026"/>
    <s v="No"/>
    <n v="0"/>
    <x v="1"/>
    <n v="1"/>
  </r>
  <r>
    <s v="T001608"/>
    <x v="1504"/>
    <d v="2026-03-14T09:12:00"/>
    <x v="6"/>
    <s v="Phone"/>
    <x v="2"/>
    <s v="A051"/>
    <x v="1"/>
    <n v="4"/>
    <n v="25.2"/>
    <x v="1"/>
    <s v="No"/>
    <s v="Yes"/>
    <n v="4"/>
    <s v="Closed"/>
    <s v="March"/>
    <x v="2"/>
    <n v="2026"/>
    <s v="No"/>
    <n v="0"/>
    <x v="1"/>
    <n v="1"/>
  </r>
  <r>
    <s v="T001607"/>
    <x v="1504"/>
    <d v="2026-03-13T20:30:00"/>
    <x v="6"/>
    <s v="Chat"/>
    <x v="2"/>
    <s v="A058"/>
    <x v="1"/>
    <n v="4"/>
    <n v="12.5"/>
    <x v="1"/>
    <s v="No"/>
    <s v="No"/>
    <n v="4"/>
    <s v="Closed"/>
    <s v="March"/>
    <x v="2"/>
    <n v="2026"/>
    <s v="No"/>
    <n v="0"/>
    <x v="1"/>
    <n v="1"/>
  </r>
  <r>
    <s v="T001609"/>
    <x v="1505"/>
    <d v="2026-03-13T16:00:00"/>
    <x v="5"/>
    <s v="Phone"/>
    <x v="2"/>
    <s v="A036"/>
    <x v="1"/>
    <n v="4"/>
    <n v="7.8"/>
    <x v="1"/>
    <s v="No"/>
    <s v="No"/>
    <n v="5"/>
    <s v="Closed"/>
    <s v="March"/>
    <x v="2"/>
    <n v="2026"/>
    <s v="No"/>
    <n v="0"/>
    <x v="4"/>
    <n v="1"/>
  </r>
  <r>
    <s v="T001613"/>
    <x v="1506"/>
    <d v="2026-03-14T07:54:00"/>
    <x v="6"/>
    <s v="Phone"/>
    <x v="2"/>
    <s v="A001"/>
    <x v="0"/>
    <n v="4"/>
    <n v="22.9"/>
    <x v="0"/>
    <s v="Yes"/>
    <s v="No"/>
    <m/>
    <s v="Closed"/>
    <s v="March"/>
    <x v="2"/>
    <n v="2026"/>
    <s v="No"/>
    <n v="0"/>
    <x v="1"/>
    <n v="0"/>
  </r>
  <r>
    <s v="T001612"/>
    <x v="1506"/>
    <d v="2026-03-14T02:24:00"/>
    <x v="6"/>
    <s v="Phone"/>
    <x v="2"/>
    <s v="A007"/>
    <x v="0"/>
    <n v="4"/>
    <n v="17.399999999999999"/>
    <x v="1"/>
    <s v="No"/>
    <s v="No"/>
    <m/>
    <s v="Closed"/>
    <s v="March"/>
    <x v="2"/>
    <n v="2026"/>
    <s v="No"/>
    <n v="0"/>
    <x v="1"/>
    <n v="1"/>
  </r>
  <r>
    <s v="T001614"/>
    <x v="1506"/>
    <d v="2026-03-14T21:54:00"/>
    <x v="6"/>
    <s v="Phone"/>
    <x v="2"/>
    <s v="A015"/>
    <x v="0"/>
    <n v="4"/>
    <n v="36.9"/>
    <x v="1"/>
    <s v="No"/>
    <s v="No"/>
    <n v="5"/>
    <s v="Closed"/>
    <s v="March"/>
    <x v="2"/>
    <n v="2026"/>
    <s v="No"/>
    <n v="0"/>
    <x v="1"/>
    <n v="1"/>
  </r>
  <r>
    <s v="T001610"/>
    <x v="1506"/>
    <d v="2026-03-14T16:24:00"/>
    <x v="6"/>
    <s v="Email"/>
    <x v="2"/>
    <s v="A020"/>
    <x v="2"/>
    <n v="4"/>
    <n v="31.4"/>
    <x v="1"/>
    <s v="No"/>
    <s v="No"/>
    <n v="4"/>
    <s v="Closed"/>
    <s v="March"/>
    <x v="2"/>
    <n v="2026"/>
    <s v="No"/>
    <n v="0"/>
    <x v="1"/>
    <n v="1"/>
  </r>
  <r>
    <s v="T001611"/>
    <x v="1506"/>
    <d v="2026-03-14T21:18:00"/>
    <x v="6"/>
    <s v="Phone"/>
    <x v="2"/>
    <s v="A004"/>
    <x v="0"/>
    <n v="4"/>
    <n v="36.299999999999997"/>
    <x v="0"/>
    <s v="No"/>
    <s v="Yes"/>
    <n v="3"/>
    <s v="Closed"/>
    <s v="March"/>
    <x v="2"/>
    <n v="2026"/>
    <s v="No"/>
    <n v="0"/>
    <x v="1"/>
    <n v="0"/>
  </r>
  <r>
    <s v="T001615"/>
    <x v="1507"/>
    <d v="2026-03-16T10:50:00"/>
    <x v="3"/>
    <s v="Field Visit"/>
    <x v="1"/>
    <s v="A033"/>
    <x v="2"/>
    <n v="24"/>
    <n v="73.5"/>
    <x v="1"/>
    <s v="No"/>
    <s v="No"/>
    <m/>
    <s v="Closed"/>
    <s v="March"/>
    <x v="2"/>
    <n v="2026"/>
    <s v="No"/>
    <n v="0"/>
    <x v="3"/>
    <n v="1"/>
  </r>
  <r>
    <s v="T001619"/>
    <x v="1508"/>
    <d v="2026-03-16T13:42:00"/>
    <x v="6"/>
    <s v="Field Visit"/>
    <x v="2"/>
    <s v="A012"/>
    <x v="0"/>
    <n v="4"/>
    <n v="75.7"/>
    <x v="1"/>
    <s v="No"/>
    <s v="Yes"/>
    <n v="3"/>
    <s v="Closed"/>
    <s v="March"/>
    <x v="2"/>
    <n v="2026"/>
    <s v="No"/>
    <n v="0"/>
    <x v="1"/>
    <n v="1"/>
  </r>
  <r>
    <s v="T001618"/>
    <x v="1508"/>
    <d v="2026-03-14T19:00:00"/>
    <x v="6"/>
    <s v="Phone"/>
    <x v="1"/>
    <s v="A020"/>
    <x v="2"/>
    <n v="24"/>
    <n v="33"/>
    <x v="1"/>
    <s v="No"/>
    <s v="No"/>
    <m/>
    <s v="Closed"/>
    <s v="March"/>
    <x v="2"/>
    <n v="2026"/>
    <s v="No"/>
    <n v="0"/>
    <x v="1"/>
    <n v="1"/>
  </r>
  <r>
    <s v="T001616"/>
    <x v="1508"/>
    <d v="2026-03-15T16:42:00"/>
    <x v="6"/>
    <s v="Email"/>
    <x v="1"/>
    <s v="A019"/>
    <x v="2"/>
    <n v="24"/>
    <n v="54.7"/>
    <x v="0"/>
    <s v="Yes"/>
    <s v="No"/>
    <n v="3"/>
    <s v="Closed"/>
    <s v="March"/>
    <x v="2"/>
    <n v="2026"/>
    <s v="No"/>
    <n v="0"/>
    <x v="1"/>
    <n v="0"/>
  </r>
  <r>
    <s v="T001617"/>
    <x v="1508"/>
    <d v="2026-03-18T18:24:00"/>
    <x v="6"/>
    <s v="Field Visit"/>
    <x v="0"/>
    <s v="A021"/>
    <x v="2"/>
    <n v="72"/>
    <n v="128.4"/>
    <x v="1"/>
    <s v="No"/>
    <s v="No"/>
    <m/>
    <s v="Closed"/>
    <s v="March"/>
    <x v="2"/>
    <n v="2026"/>
    <s v="No"/>
    <n v="0"/>
    <x v="1"/>
    <n v="1"/>
  </r>
  <r>
    <s v="T001620"/>
    <x v="1509"/>
    <d v="2026-03-14T02:27:00"/>
    <x v="0"/>
    <s v="Phone"/>
    <x v="1"/>
    <s v="A036"/>
    <x v="1"/>
    <n v="24"/>
    <n v="16.2"/>
    <x v="1"/>
    <s v="No"/>
    <s v="No"/>
    <m/>
    <s v="Closed"/>
    <s v="March"/>
    <x v="2"/>
    <n v="2026"/>
    <s v="Yes"/>
    <n v="1"/>
    <x v="0"/>
    <n v="1"/>
  </r>
  <r>
    <s v="T001621"/>
    <x v="1510"/>
    <d v="2026-03-13T19:35:00"/>
    <x v="3"/>
    <s v="Phone"/>
    <x v="1"/>
    <s v="A019"/>
    <x v="2"/>
    <n v="24"/>
    <n v="9.3000000000000007"/>
    <x v="1"/>
    <s v="No"/>
    <s v="No"/>
    <m/>
    <s v="Closed"/>
    <s v="March"/>
    <x v="2"/>
    <n v="2026"/>
    <s v="Yes"/>
    <n v="1"/>
    <x v="0"/>
    <n v="1"/>
  </r>
  <r>
    <s v="T001622"/>
    <x v="1511"/>
    <d v="2026-03-13T16:00:00"/>
    <x v="1"/>
    <s v="Email"/>
    <x v="1"/>
    <s v="A016"/>
    <x v="2"/>
    <n v="24"/>
    <n v="5.6"/>
    <x v="1"/>
    <s v="No"/>
    <s v="No"/>
    <n v="4"/>
    <s v="Closed"/>
    <s v="March"/>
    <x v="2"/>
    <n v="2026"/>
    <s v="Yes"/>
    <n v="1"/>
    <x v="4"/>
    <n v="1"/>
  </r>
  <r>
    <s v="T001623"/>
    <x v="1512"/>
    <d v="2026-03-13T17:13:00"/>
    <x v="1"/>
    <s v="Phone"/>
    <x v="1"/>
    <s v="A039"/>
    <x v="1"/>
    <n v="24"/>
    <n v="6.8"/>
    <x v="1"/>
    <s v="No"/>
    <s v="No"/>
    <m/>
    <s v="Closed"/>
    <s v="March"/>
    <x v="2"/>
    <n v="2026"/>
    <s v="Yes"/>
    <n v="1"/>
    <x v="2"/>
    <n v="1"/>
  </r>
  <r>
    <s v="T001624"/>
    <x v="1513"/>
    <d v="2026-03-15T04:42:00"/>
    <x v="6"/>
    <s v="Field Visit"/>
    <x v="1"/>
    <s v="A046"/>
    <x v="1"/>
    <n v="24"/>
    <n v="41.7"/>
    <x v="1"/>
    <s v="No"/>
    <s v="No"/>
    <m/>
    <s v="Closed"/>
    <s v="March"/>
    <x v="2"/>
    <n v="2026"/>
    <s v="No"/>
    <n v="0"/>
    <x v="1"/>
    <n v="1"/>
  </r>
  <r>
    <s v="T001625"/>
    <x v="1514"/>
    <d v="2026-03-13T21:20:00"/>
    <x v="1"/>
    <s v="Phone"/>
    <x v="1"/>
    <s v="A007"/>
    <x v="0"/>
    <n v="24"/>
    <n v="9.6999999999999993"/>
    <x v="1"/>
    <s v="No"/>
    <s v="No"/>
    <n v="5"/>
    <s v="Closed"/>
    <s v="March"/>
    <x v="2"/>
    <n v="2026"/>
    <s v="Yes"/>
    <n v="1"/>
    <x v="4"/>
    <n v="1"/>
  </r>
  <r>
    <s v="T001626"/>
    <x v="1515"/>
    <d v="2026-03-14T01:42:00"/>
    <x v="6"/>
    <s v="Chat"/>
    <x v="0"/>
    <s v="A003"/>
    <x v="0"/>
    <n v="72"/>
    <n v="13.7"/>
    <x v="0"/>
    <s v="No"/>
    <s v="No"/>
    <m/>
    <s v="Closed"/>
    <s v="March"/>
    <x v="2"/>
    <n v="2026"/>
    <s v="Yes"/>
    <n v="1"/>
    <x v="1"/>
    <n v="0"/>
  </r>
  <r>
    <s v="T001628"/>
    <x v="1515"/>
    <d v="2026-03-15T04:30:00"/>
    <x v="6"/>
    <s v="Phone"/>
    <x v="2"/>
    <s v="A007"/>
    <x v="0"/>
    <n v="4"/>
    <n v="40.5"/>
    <x v="1"/>
    <s v="No"/>
    <s v="No"/>
    <m/>
    <s v="Closed"/>
    <s v="March"/>
    <x v="2"/>
    <n v="2026"/>
    <s v="No"/>
    <n v="0"/>
    <x v="1"/>
    <n v="1"/>
  </r>
  <r>
    <s v="T001627"/>
    <x v="1515"/>
    <d v="2026-03-14T09:42:00"/>
    <x v="6"/>
    <s v="Chat"/>
    <x v="1"/>
    <s v="A003"/>
    <x v="0"/>
    <n v="24"/>
    <n v="21.7"/>
    <x v="1"/>
    <s v="No"/>
    <s v="No"/>
    <m/>
    <s v="Closed"/>
    <s v="March"/>
    <x v="2"/>
    <n v="2026"/>
    <s v="Yes"/>
    <n v="1"/>
    <x v="1"/>
    <n v="1"/>
  </r>
  <r>
    <s v="T001629"/>
    <x v="1515"/>
    <d v="2026-03-16T22:18:00"/>
    <x v="6"/>
    <s v="Field Visit"/>
    <x v="2"/>
    <s v="A001"/>
    <x v="0"/>
    <n v="4"/>
    <n v="82.3"/>
    <x v="1"/>
    <s v="No"/>
    <s v="No"/>
    <n v="3"/>
    <s v="Closed"/>
    <s v="March"/>
    <x v="2"/>
    <n v="2026"/>
    <s v="No"/>
    <n v="0"/>
    <x v="1"/>
    <n v="1"/>
  </r>
  <r>
    <s v="T001630"/>
    <x v="1516"/>
    <d v="2026-03-13T23:11:00"/>
    <x v="0"/>
    <s v="Phone"/>
    <x v="2"/>
    <s v="A015"/>
    <x v="0"/>
    <n v="4"/>
    <n v="11.1"/>
    <x v="1"/>
    <s v="No"/>
    <s v="Yes"/>
    <n v="2"/>
    <s v="Closed"/>
    <s v="March"/>
    <x v="2"/>
    <n v="2026"/>
    <s v="No"/>
    <n v="0"/>
    <x v="2"/>
    <n v="1"/>
  </r>
  <r>
    <s v="T001631"/>
    <x v="1517"/>
    <d v="2026-03-13T22:51:00"/>
    <x v="6"/>
    <s v="Phone"/>
    <x v="2"/>
    <s v="A008"/>
    <x v="0"/>
    <n v="4"/>
    <n v="9.9"/>
    <x v="1"/>
    <s v="No"/>
    <s v="No"/>
    <n v="3"/>
    <s v="Closed"/>
    <s v="March"/>
    <x v="2"/>
    <n v="2026"/>
    <s v="No"/>
    <n v="0"/>
    <x v="2"/>
    <n v="1"/>
  </r>
  <r>
    <s v="T001632"/>
    <x v="1518"/>
    <d v="2026-03-15T00:24:00"/>
    <x v="6"/>
    <s v="Chat"/>
    <x v="1"/>
    <s v="A054"/>
    <x v="1"/>
    <n v="24"/>
    <n v="35.4"/>
    <x v="1"/>
    <s v="No"/>
    <s v="No"/>
    <n v="5"/>
    <s v="Closed"/>
    <s v="March"/>
    <x v="2"/>
    <n v="2026"/>
    <s v="No"/>
    <n v="0"/>
    <x v="1"/>
    <n v="1"/>
  </r>
  <r>
    <s v="T001634"/>
    <x v="1519"/>
    <d v="2026-03-14T15:06:00"/>
    <x v="6"/>
    <s v="Field Visit"/>
    <x v="2"/>
    <s v="A016"/>
    <x v="2"/>
    <n v="4"/>
    <n v="25.1"/>
    <x v="1"/>
    <s v="No"/>
    <s v="No"/>
    <n v="2"/>
    <s v="Closed"/>
    <s v="March"/>
    <x v="2"/>
    <n v="2026"/>
    <s v="No"/>
    <n v="0"/>
    <x v="1"/>
    <n v="1"/>
  </r>
  <r>
    <s v="T001633"/>
    <x v="1519"/>
    <d v="2026-03-14T00:54:00"/>
    <x v="6"/>
    <s v="Phone"/>
    <x v="2"/>
    <s v="A028"/>
    <x v="2"/>
    <n v="4"/>
    <n v="10.9"/>
    <x v="1"/>
    <s v="No"/>
    <s v="Yes"/>
    <m/>
    <s v="Closed"/>
    <s v="March"/>
    <x v="2"/>
    <n v="2026"/>
    <s v="No"/>
    <n v="0"/>
    <x v="1"/>
    <n v="1"/>
  </r>
  <r>
    <s v="T001635"/>
    <x v="1520"/>
    <d v="2026-03-13T18:40:00"/>
    <x v="0"/>
    <s v="Chat"/>
    <x v="1"/>
    <s v="A032"/>
    <x v="2"/>
    <n v="24"/>
    <n v="4.5999999999999996"/>
    <x v="1"/>
    <s v="No"/>
    <s v="No"/>
    <m/>
    <s v="Closed"/>
    <s v="March"/>
    <x v="2"/>
    <n v="2026"/>
    <s v="Yes"/>
    <n v="1"/>
    <x v="1"/>
    <n v="1"/>
  </r>
  <r>
    <s v="T001636"/>
    <x v="1521"/>
    <d v="2026-03-14T01:55:00"/>
    <x v="1"/>
    <s v="Email"/>
    <x v="0"/>
    <s v="A012"/>
    <x v="0"/>
    <n v="72"/>
    <n v="11.5"/>
    <x v="0"/>
    <s v="No"/>
    <s v="No"/>
    <n v="4"/>
    <s v="Closed"/>
    <s v="March"/>
    <x v="2"/>
    <n v="2026"/>
    <s v="Yes"/>
    <n v="1"/>
    <x v="2"/>
    <n v="0"/>
  </r>
  <r>
    <s v="T001637"/>
    <x v="1522"/>
    <d v="2026-03-14T08:48:00"/>
    <x v="6"/>
    <s v="Phone"/>
    <x v="1"/>
    <s v="A032"/>
    <x v="2"/>
    <n v="24"/>
    <n v="17.8"/>
    <x v="1"/>
    <s v="No"/>
    <s v="No"/>
    <m/>
    <s v="Closed"/>
    <s v="March"/>
    <x v="2"/>
    <n v="2026"/>
    <s v="Yes"/>
    <n v="1"/>
    <x v="1"/>
    <n v="1"/>
  </r>
  <r>
    <s v="T001638"/>
    <x v="1523"/>
    <d v="2026-03-13T22:49:00"/>
    <x v="2"/>
    <s v="Chat"/>
    <x v="1"/>
    <s v="A028"/>
    <x v="2"/>
    <n v="24"/>
    <n v="7.1"/>
    <x v="1"/>
    <s v="No"/>
    <s v="Yes"/>
    <n v="5"/>
    <s v="Closed"/>
    <s v="March"/>
    <x v="2"/>
    <n v="2026"/>
    <s v="Yes"/>
    <n v="1"/>
    <x v="4"/>
    <n v="1"/>
  </r>
  <r>
    <s v="T001642"/>
    <x v="1524"/>
    <d v="2026-03-14T07:12:00"/>
    <x v="6"/>
    <s v="Phone"/>
    <x v="1"/>
    <s v="A049"/>
    <x v="1"/>
    <n v="24"/>
    <n v="15.2"/>
    <x v="0"/>
    <s v="Yes"/>
    <s v="No"/>
    <n v="5"/>
    <s v="Closed"/>
    <s v="March"/>
    <x v="2"/>
    <n v="2026"/>
    <s v="Yes"/>
    <n v="1"/>
    <x v="1"/>
    <n v="0"/>
  </r>
  <r>
    <s v="T001640"/>
    <x v="1524"/>
    <d v="2026-03-15T09:18:00"/>
    <x v="6"/>
    <s v="Phone"/>
    <x v="2"/>
    <s v="A038"/>
    <x v="1"/>
    <n v="4"/>
    <n v="41.3"/>
    <x v="1"/>
    <s v="No"/>
    <s v="No"/>
    <n v="3"/>
    <s v="Closed"/>
    <s v="March"/>
    <x v="2"/>
    <n v="2026"/>
    <s v="No"/>
    <n v="0"/>
    <x v="1"/>
    <n v="1"/>
  </r>
  <r>
    <s v="T001639"/>
    <x v="1524"/>
    <d v="2026-03-15T22:30:00"/>
    <x v="6"/>
    <s v="Field Visit"/>
    <x v="2"/>
    <s v="A041"/>
    <x v="1"/>
    <n v="4"/>
    <n v="54.5"/>
    <x v="1"/>
    <s v="No"/>
    <s v="No"/>
    <m/>
    <s v="Closed"/>
    <s v="March"/>
    <x v="2"/>
    <n v="2026"/>
    <s v="No"/>
    <n v="0"/>
    <x v="1"/>
    <n v="1"/>
  </r>
  <r>
    <s v="T001641"/>
    <x v="1524"/>
    <d v="2026-03-15T16:54:00"/>
    <x v="6"/>
    <s v="Field Visit"/>
    <x v="1"/>
    <s v="A040"/>
    <x v="1"/>
    <n v="24"/>
    <n v="48.9"/>
    <x v="0"/>
    <s v="Yes"/>
    <s v="No"/>
    <n v="4"/>
    <s v="Closed"/>
    <s v="March"/>
    <x v="2"/>
    <n v="2026"/>
    <s v="No"/>
    <n v="0"/>
    <x v="1"/>
    <n v="0"/>
  </r>
  <r>
    <s v="T001643"/>
    <x v="1525"/>
    <d v="2026-03-13T21:50:00"/>
    <x v="0"/>
    <s v="Phone"/>
    <x v="1"/>
    <s v="A052"/>
    <x v="1"/>
    <n v="24"/>
    <n v="5.8"/>
    <x v="0"/>
    <s v="Yes"/>
    <s v="Yes"/>
    <n v="2"/>
    <s v="Closed"/>
    <s v="March"/>
    <x v="2"/>
    <n v="2026"/>
    <s v="Yes"/>
    <n v="1"/>
    <x v="1"/>
    <n v="0"/>
  </r>
  <r>
    <s v="T001644"/>
    <x v="1526"/>
    <d v="2026-03-21T09:28:00"/>
    <x v="4"/>
    <s v="Field Visit"/>
    <x v="0"/>
    <s v="A047"/>
    <x v="1"/>
    <n v="72"/>
    <n v="185"/>
    <x v="0"/>
    <s v="Yes"/>
    <s v="No"/>
    <m/>
    <s v="Closed"/>
    <s v="March"/>
    <x v="2"/>
    <n v="2026"/>
    <s v="No"/>
    <n v="0"/>
    <x v="1"/>
    <n v="0"/>
  </r>
  <r>
    <s v="T001645"/>
    <x v="1527"/>
    <d v="2026-03-14T00:42:00"/>
    <x v="3"/>
    <s v="Phone"/>
    <x v="1"/>
    <s v="A054"/>
    <x v="1"/>
    <n v="24"/>
    <n v="8"/>
    <x v="1"/>
    <s v="No"/>
    <s v="No"/>
    <n v="5"/>
    <s v="Closed"/>
    <s v="March"/>
    <x v="2"/>
    <n v="2026"/>
    <s v="Yes"/>
    <n v="1"/>
    <x v="1"/>
    <n v="1"/>
  </r>
  <r>
    <s v="T001646"/>
    <x v="1528"/>
    <d v="2026-03-13T19:41:00"/>
    <x v="6"/>
    <s v="Chat"/>
    <x v="0"/>
    <s v="A002"/>
    <x v="0"/>
    <n v="72"/>
    <n v="2.8"/>
    <x v="0"/>
    <s v="No"/>
    <s v="No"/>
    <m/>
    <s v="Closed"/>
    <s v="March"/>
    <x v="2"/>
    <n v="2026"/>
    <s v="Yes"/>
    <n v="1"/>
    <x v="4"/>
    <n v="0"/>
  </r>
  <r>
    <s v="T001647"/>
    <x v="1529"/>
    <d v="2026-03-14T01:36:00"/>
    <x v="5"/>
    <s v="Phone"/>
    <x v="0"/>
    <s v="A011"/>
    <x v="0"/>
    <n v="72"/>
    <n v="8.6999999999999993"/>
    <x v="1"/>
    <s v="No"/>
    <s v="No"/>
    <n v="5"/>
    <s v="Closed"/>
    <s v="March"/>
    <x v="2"/>
    <n v="2026"/>
    <s v="Yes"/>
    <n v="1"/>
    <x v="4"/>
    <n v="1"/>
  </r>
  <r>
    <s v="T001650"/>
    <x v="1530"/>
    <d v="2026-03-14T08:36:00"/>
    <x v="6"/>
    <s v="Phone"/>
    <x v="2"/>
    <s v="A060"/>
    <x v="1"/>
    <n v="4"/>
    <n v="15.6"/>
    <x v="1"/>
    <s v="No"/>
    <s v="No"/>
    <n v="4"/>
    <s v="Closed"/>
    <s v="March"/>
    <x v="2"/>
    <n v="2026"/>
    <s v="No"/>
    <n v="0"/>
    <x v="1"/>
    <n v="1"/>
  </r>
  <r>
    <s v="T001648"/>
    <x v="1530"/>
    <d v="2026-03-14T02:30:00"/>
    <x v="6"/>
    <s v="Phone"/>
    <x v="1"/>
    <s v="A017"/>
    <x v="2"/>
    <n v="24"/>
    <n v="9.5"/>
    <x v="1"/>
    <s v="No"/>
    <s v="No"/>
    <n v="5"/>
    <s v="Closed"/>
    <s v="March"/>
    <x v="2"/>
    <n v="2026"/>
    <s v="Yes"/>
    <n v="1"/>
    <x v="1"/>
    <n v="1"/>
  </r>
  <r>
    <s v="T001649"/>
    <x v="1530"/>
    <d v="2026-03-16T04:54:00"/>
    <x v="6"/>
    <s v="Field Visit"/>
    <x v="0"/>
    <s v="A031"/>
    <x v="2"/>
    <n v="72"/>
    <n v="59.9"/>
    <x v="1"/>
    <s v="No"/>
    <s v="No"/>
    <m/>
    <s v="Closed"/>
    <s v="March"/>
    <x v="2"/>
    <n v="2026"/>
    <s v="Yes"/>
    <n v="1"/>
    <x v="1"/>
    <n v="1"/>
  </r>
  <r>
    <s v="T001651"/>
    <x v="1530"/>
    <d v="2026-03-14T10:12:00"/>
    <x v="3"/>
    <s v="Chat"/>
    <x v="1"/>
    <s v="A010"/>
    <x v="0"/>
    <n v="24"/>
    <n v="17.2"/>
    <x v="1"/>
    <s v="No"/>
    <s v="No"/>
    <n v="4"/>
    <s v="Closed"/>
    <s v="March"/>
    <x v="2"/>
    <n v="2026"/>
    <s v="Yes"/>
    <n v="1"/>
    <x v="2"/>
    <n v="1"/>
  </r>
  <r>
    <s v="T001652"/>
    <x v="1531"/>
    <d v="2026-03-14T03:01:00"/>
    <x v="5"/>
    <s v="Phone"/>
    <x v="1"/>
    <s v="A042"/>
    <x v="1"/>
    <n v="24"/>
    <n v="10"/>
    <x v="1"/>
    <s v="No"/>
    <s v="No"/>
    <n v="4"/>
    <s v="Closed"/>
    <s v="March"/>
    <x v="2"/>
    <n v="2026"/>
    <s v="Yes"/>
    <n v="1"/>
    <x v="2"/>
    <n v="1"/>
  </r>
  <r>
    <s v="T001654"/>
    <x v="1532"/>
    <d v="2026-03-16T00:36:00"/>
    <x v="6"/>
    <s v="Phone"/>
    <x v="2"/>
    <s v="A006"/>
    <x v="0"/>
    <n v="4"/>
    <n v="54.6"/>
    <x v="0"/>
    <s v="Yes"/>
    <s v="No"/>
    <n v="3"/>
    <s v="Closed"/>
    <s v="March"/>
    <x v="2"/>
    <n v="2026"/>
    <s v="No"/>
    <n v="0"/>
    <x v="1"/>
    <n v="0"/>
  </r>
  <r>
    <s v="T001656"/>
    <x v="1532"/>
    <d v="2026-03-15T11:00:00"/>
    <x v="6"/>
    <s v="Phone"/>
    <x v="2"/>
    <s v="A013"/>
    <x v="0"/>
    <n v="4"/>
    <n v="41"/>
    <x v="1"/>
    <s v="No"/>
    <s v="No"/>
    <n v="4"/>
    <s v="Closed"/>
    <s v="March"/>
    <x v="2"/>
    <n v="2026"/>
    <s v="No"/>
    <n v="0"/>
    <x v="1"/>
    <n v="1"/>
  </r>
  <r>
    <s v="T001658"/>
    <x v="1532"/>
    <d v="2026-03-14T08:18:00"/>
    <x v="6"/>
    <s v="Chat"/>
    <x v="1"/>
    <s v="A021"/>
    <x v="2"/>
    <n v="24"/>
    <n v="14.3"/>
    <x v="1"/>
    <s v="No"/>
    <s v="No"/>
    <n v="3"/>
    <s v="Closed"/>
    <s v="March"/>
    <x v="2"/>
    <n v="2026"/>
    <s v="Yes"/>
    <n v="1"/>
    <x v="1"/>
    <n v="1"/>
  </r>
  <r>
    <s v="T001657"/>
    <x v="1532"/>
    <d v="2026-03-15T02:42:00"/>
    <x v="6"/>
    <s v="Chat"/>
    <x v="1"/>
    <s v="A029"/>
    <x v="2"/>
    <n v="24"/>
    <n v="32.700000000000003"/>
    <x v="0"/>
    <s v="No"/>
    <s v="Yes"/>
    <n v="4"/>
    <s v="Closed"/>
    <s v="March"/>
    <x v="2"/>
    <n v="2026"/>
    <s v="No"/>
    <n v="0"/>
    <x v="1"/>
    <n v="0"/>
  </r>
  <r>
    <s v="T001659"/>
    <x v="1532"/>
    <d v="2026-03-14T00:54:00"/>
    <x v="6"/>
    <s v="Phone"/>
    <x v="0"/>
    <s v="A044"/>
    <x v="1"/>
    <n v="72"/>
    <n v="6.9"/>
    <x v="1"/>
    <s v="No"/>
    <s v="No"/>
    <n v="5"/>
    <s v="Closed"/>
    <s v="March"/>
    <x v="2"/>
    <n v="2026"/>
    <s v="Yes"/>
    <n v="1"/>
    <x v="1"/>
    <n v="1"/>
  </r>
  <r>
    <s v="T001653"/>
    <x v="1532"/>
    <d v="2026-03-14T03:54:00"/>
    <x v="6"/>
    <s v="Phone"/>
    <x v="2"/>
    <s v="A013"/>
    <x v="0"/>
    <n v="4"/>
    <n v="9.9"/>
    <x v="0"/>
    <s v="Yes"/>
    <s v="Yes"/>
    <n v="3"/>
    <s v="Closed"/>
    <s v="March"/>
    <x v="2"/>
    <n v="2026"/>
    <s v="No"/>
    <n v="0"/>
    <x v="1"/>
    <n v="0"/>
  </r>
  <r>
    <s v="T001655"/>
    <x v="1532"/>
    <d v="2026-03-14T05:00:00"/>
    <x v="6"/>
    <s v="Phone"/>
    <x v="2"/>
    <s v="A042"/>
    <x v="1"/>
    <n v="4"/>
    <n v="11"/>
    <x v="1"/>
    <s v="No"/>
    <s v="No"/>
    <n v="5"/>
    <s v="Closed"/>
    <s v="March"/>
    <x v="2"/>
    <n v="2026"/>
    <s v="No"/>
    <n v="0"/>
    <x v="1"/>
    <n v="1"/>
  </r>
  <r>
    <s v="T001661"/>
    <x v="1533"/>
    <d v="2026-03-14T02:30:00"/>
    <x v="6"/>
    <s v="Phone"/>
    <x v="2"/>
    <s v="A009"/>
    <x v="0"/>
    <n v="4"/>
    <n v="7.5"/>
    <x v="1"/>
    <s v="No"/>
    <s v="No"/>
    <m/>
    <s v="Closed"/>
    <s v="March"/>
    <x v="2"/>
    <n v="2026"/>
    <s v="No"/>
    <n v="0"/>
    <x v="1"/>
    <n v="1"/>
  </r>
  <r>
    <s v="T001660"/>
    <x v="1533"/>
    <d v="2026-03-13T04:00:00"/>
    <x v="6"/>
    <s v="Field Visit"/>
    <x v="1"/>
    <s v="A041"/>
    <x v="1"/>
    <n v="24"/>
    <n v="58.7"/>
    <x v="1"/>
    <s v="No"/>
    <s v="No"/>
    <m/>
    <s v="Closed"/>
    <s v="March"/>
    <x v="2"/>
    <n v="2026"/>
    <s v="No"/>
    <n v="0"/>
    <x v="1"/>
    <n v="1"/>
  </r>
  <r>
    <s v="T001663"/>
    <x v="1534"/>
    <d v="2026-03-14T15:06:00"/>
    <x v="6"/>
    <s v="Phone"/>
    <x v="2"/>
    <s v="A037"/>
    <x v="1"/>
    <n v="4"/>
    <n v="19.100000000000001"/>
    <x v="1"/>
    <s v="No"/>
    <s v="No"/>
    <n v="3"/>
    <s v="Closed"/>
    <s v="March"/>
    <x v="2"/>
    <n v="2026"/>
    <s v="No"/>
    <n v="0"/>
    <x v="1"/>
    <n v="1"/>
  </r>
  <r>
    <s v="T001662"/>
    <x v="1534"/>
    <d v="2026-03-18T01:18:00"/>
    <x v="6"/>
    <s v="Field Visit"/>
    <x v="1"/>
    <s v="A053"/>
    <x v="1"/>
    <n v="24"/>
    <n v="101.3"/>
    <x v="1"/>
    <s v="No"/>
    <s v="No"/>
    <n v="3"/>
    <s v="Closed"/>
    <s v="March"/>
    <x v="2"/>
    <n v="2026"/>
    <s v="No"/>
    <n v="0"/>
    <x v="1"/>
    <n v="1"/>
  </r>
  <r>
    <s v="T001664"/>
    <x v="1535"/>
    <d v="2026-03-14T04:46:00"/>
    <x v="5"/>
    <s v="Phone"/>
    <x v="0"/>
    <s v="A044"/>
    <x v="1"/>
    <n v="72"/>
    <n v="8.3000000000000007"/>
    <x v="1"/>
    <s v="No"/>
    <s v="No"/>
    <n v="5"/>
    <s v="Closed"/>
    <s v="March"/>
    <x v="2"/>
    <n v="2026"/>
    <s v="Yes"/>
    <n v="1"/>
    <x v="1"/>
    <n v="1"/>
  </r>
  <r>
    <s v="T001665"/>
    <x v="1536"/>
    <d v="2026-03-14T09:45:00"/>
    <x v="5"/>
    <s v="Chat"/>
    <x v="0"/>
    <s v="A030"/>
    <x v="2"/>
    <n v="72"/>
    <n v="3.9"/>
    <x v="1"/>
    <s v="No"/>
    <s v="No"/>
    <n v="3"/>
    <s v="Closed"/>
    <s v="March"/>
    <x v="2"/>
    <n v="2026"/>
    <s v="Yes"/>
    <n v="1"/>
    <x v="0"/>
    <n v="1"/>
  </r>
  <r>
    <s v="T001667"/>
    <x v="1537"/>
    <d v="2026-03-17T07:30:00"/>
    <x v="6"/>
    <s v="Field Visit"/>
    <x v="1"/>
    <s v="A050"/>
    <x v="1"/>
    <n v="24"/>
    <n v="73.5"/>
    <x v="1"/>
    <s v="No"/>
    <s v="No"/>
    <m/>
    <s v="Closed"/>
    <s v="March"/>
    <x v="2"/>
    <n v="2026"/>
    <s v="No"/>
    <n v="0"/>
    <x v="1"/>
    <n v="1"/>
  </r>
  <r>
    <s v="T001668"/>
    <x v="1537"/>
    <d v="2026-03-17T11:42:00"/>
    <x v="6"/>
    <s v="Field Visit"/>
    <x v="2"/>
    <s v="A008"/>
    <x v="0"/>
    <n v="4"/>
    <n v="77.7"/>
    <x v="0"/>
    <s v="Yes"/>
    <s v="No"/>
    <m/>
    <s v="Closed"/>
    <s v="March"/>
    <x v="2"/>
    <n v="2026"/>
    <s v="No"/>
    <n v="0"/>
    <x v="2"/>
    <n v="0"/>
  </r>
  <r>
    <s v="T001666"/>
    <x v="1537"/>
    <d v="2026-03-15T09:12:00"/>
    <x v="6"/>
    <s v="Phone"/>
    <x v="2"/>
    <s v="A050"/>
    <x v="1"/>
    <n v="4"/>
    <n v="27.2"/>
    <x v="1"/>
    <s v="No"/>
    <s v="No"/>
    <n v="5"/>
    <s v="Closed"/>
    <s v="March"/>
    <x v="2"/>
    <n v="2026"/>
    <s v="No"/>
    <n v="0"/>
    <x v="1"/>
    <n v="1"/>
  </r>
  <r>
    <s v="T001669"/>
    <x v="1538"/>
    <d v="2026-03-16T12:11:00"/>
    <x v="3"/>
    <s v="Chat"/>
    <x v="1"/>
    <s v="A045"/>
    <x v="1"/>
    <n v="24"/>
    <n v="53.8"/>
    <x v="1"/>
    <s v="No"/>
    <s v="No"/>
    <m/>
    <s v="Closed"/>
    <s v="March"/>
    <x v="2"/>
    <n v="2026"/>
    <s v="No"/>
    <n v="0"/>
    <x v="3"/>
    <n v="1"/>
  </r>
  <r>
    <s v="T001670"/>
    <x v="1539"/>
    <d v="2026-03-15T13:31:00"/>
    <x v="3"/>
    <s v="Phone"/>
    <x v="0"/>
    <s v="A042"/>
    <x v="1"/>
    <n v="72"/>
    <n v="29.7"/>
    <x v="1"/>
    <s v="No"/>
    <s v="Yes"/>
    <n v="4"/>
    <s v="Closed"/>
    <s v="March"/>
    <x v="2"/>
    <n v="2026"/>
    <s v="Yes"/>
    <n v="1"/>
    <x v="4"/>
    <n v="1"/>
  </r>
  <r>
    <s v="T001671"/>
    <x v="1540"/>
    <d v="2026-03-16T12:06:00"/>
    <x v="6"/>
    <s v="Phone"/>
    <x v="1"/>
    <s v="A051"/>
    <x v="1"/>
    <n v="24"/>
    <n v="52.1"/>
    <x v="1"/>
    <s v="No"/>
    <s v="No"/>
    <n v="5"/>
    <s v="Closed"/>
    <s v="March"/>
    <x v="2"/>
    <n v="2026"/>
    <s v="No"/>
    <n v="0"/>
    <x v="1"/>
    <n v="1"/>
  </r>
  <r>
    <s v="T001672"/>
    <x v="1540"/>
    <d v="2026-03-15T08:48:00"/>
    <x v="6"/>
    <s v="Phone"/>
    <x v="1"/>
    <s v="A046"/>
    <x v="1"/>
    <n v="24"/>
    <n v="24.8"/>
    <x v="1"/>
    <s v="No"/>
    <s v="No"/>
    <n v="4"/>
    <s v="Closed"/>
    <s v="March"/>
    <x v="2"/>
    <n v="2026"/>
    <s v="No"/>
    <n v="0"/>
    <x v="1"/>
    <n v="1"/>
  </r>
  <r>
    <s v="T001673"/>
    <x v="1541"/>
    <d v="2026-03-16T01:14:00"/>
    <x v="1"/>
    <s v="Email"/>
    <x v="1"/>
    <s v="A040"/>
    <x v="1"/>
    <n v="24"/>
    <n v="41"/>
    <x v="1"/>
    <s v="No"/>
    <s v="No"/>
    <n v="4"/>
    <s v="Closed"/>
    <s v="March"/>
    <x v="2"/>
    <n v="2026"/>
    <s v="No"/>
    <n v="0"/>
    <x v="4"/>
    <n v="1"/>
  </r>
  <r>
    <s v="T001674"/>
    <x v="1542"/>
    <d v="2026-03-14T14:17:00"/>
    <x v="1"/>
    <s v="Chat"/>
    <x v="1"/>
    <s v="A020"/>
    <x v="2"/>
    <n v="24"/>
    <n v="5.3"/>
    <x v="1"/>
    <s v="No"/>
    <s v="No"/>
    <m/>
    <s v="Closed"/>
    <s v="March"/>
    <x v="2"/>
    <n v="2026"/>
    <s v="Yes"/>
    <n v="1"/>
    <x v="4"/>
    <n v="1"/>
  </r>
  <r>
    <s v="T001675"/>
    <x v="1543"/>
    <d v="2026-03-19T03:36:00"/>
    <x v="6"/>
    <s v="Chat"/>
    <x v="1"/>
    <s v="A013"/>
    <x v="0"/>
    <n v="24"/>
    <n v="114.6"/>
    <x v="1"/>
    <s v="No"/>
    <s v="No"/>
    <n v="5"/>
    <s v="Closed"/>
    <s v="March"/>
    <x v="2"/>
    <n v="2026"/>
    <s v="No"/>
    <n v="0"/>
    <x v="1"/>
    <n v="1"/>
  </r>
  <r>
    <s v="T001676"/>
    <x v="1544"/>
    <d v="2026-03-16T03:23:00"/>
    <x v="4"/>
    <s v="Field Visit"/>
    <x v="1"/>
    <s v="A024"/>
    <x v="2"/>
    <n v="24"/>
    <n v="42.2"/>
    <x v="1"/>
    <s v="No"/>
    <s v="No"/>
    <m/>
    <s v="Closed"/>
    <s v="March"/>
    <x v="2"/>
    <n v="2026"/>
    <s v="No"/>
    <n v="0"/>
    <x v="0"/>
    <n v="1"/>
  </r>
  <r>
    <s v="T001677"/>
    <x v="1545"/>
    <d v="2026-03-14T16:31:00"/>
    <x v="6"/>
    <s v="Phone"/>
    <x v="1"/>
    <s v="A051"/>
    <x v="1"/>
    <n v="24"/>
    <n v="6.9"/>
    <x v="1"/>
    <s v="No"/>
    <s v="No"/>
    <m/>
    <s v="Closed"/>
    <s v="March"/>
    <x v="2"/>
    <n v="2026"/>
    <s v="Yes"/>
    <n v="1"/>
    <x v="2"/>
    <n v="1"/>
  </r>
  <r>
    <s v="T001678"/>
    <x v="1546"/>
    <d v="2026-03-17T04:38:00"/>
    <x v="4"/>
    <s v="Field Visit"/>
    <x v="0"/>
    <s v="A004"/>
    <x v="0"/>
    <n v="72"/>
    <n v="65.900000000000006"/>
    <x v="1"/>
    <s v="No"/>
    <s v="No"/>
    <n v="5"/>
    <s v="Closed"/>
    <s v="March"/>
    <x v="2"/>
    <n v="2026"/>
    <s v="Yes"/>
    <n v="1"/>
    <x v="2"/>
    <n v="1"/>
  </r>
  <r>
    <s v="T001679"/>
    <x v="1547"/>
    <d v="2026-03-15T07:18:00"/>
    <x v="6"/>
    <s v="Phone"/>
    <x v="2"/>
    <s v="A006"/>
    <x v="0"/>
    <n v="4"/>
    <n v="20.3"/>
    <x v="0"/>
    <s v="Yes"/>
    <s v="No"/>
    <m/>
    <s v="Closed"/>
    <s v="March"/>
    <x v="2"/>
    <n v="2026"/>
    <s v="No"/>
    <n v="0"/>
    <x v="1"/>
    <n v="0"/>
  </r>
  <r>
    <s v="T001680"/>
    <x v="1548"/>
    <d v="2026-03-16T23:42:00"/>
    <x v="6"/>
    <s v="Phone"/>
    <x v="2"/>
    <s v="A042"/>
    <x v="1"/>
    <n v="4"/>
    <n v="59.7"/>
    <x v="1"/>
    <s v="No"/>
    <s v="No"/>
    <n v="5"/>
    <s v="Closed"/>
    <s v="March"/>
    <x v="2"/>
    <n v="2026"/>
    <s v="No"/>
    <n v="0"/>
    <x v="1"/>
    <n v="1"/>
  </r>
  <r>
    <s v="T001681"/>
    <x v="1548"/>
    <d v="2026-03-17T11:12:00"/>
    <x v="6"/>
    <s v="Field Visit"/>
    <x v="1"/>
    <s v="A050"/>
    <x v="1"/>
    <n v="24"/>
    <n v="71.2"/>
    <x v="0"/>
    <s v="Yes"/>
    <s v="No"/>
    <m/>
    <s v="Closed"/>
    <s v="March"/>
    <x v="2"/>
    <n v="2026"/>
    <s v="No"/>
    <n v="0"/>
    <x v="1"/>
    <n v="0"/>
  </r>
  <r>
    <s v="T001682"/>
    <x v="1549"/>
    <d v="2026-03-15T17:27:00"/>
    <x v="3"/>
    <s v="Email"/>
    <x v="1"/>
    <s v="A059"/>
    <x v="1"/>
    <n v="24"/>
    <n v="28.5"/>
    <x v="1"/>
    <s v="No"/>
    <s v="No"/>
    <m/>
    <s v="Closed"/>
    <s v="March"/>
    <x v="2"/>
    <n v="2026"/>
    <s v="No"/>
    <n v="0"/>
    <x v="1"/>
    <n v="1"/>
  </r>
  <r>
    <s v="T001683"/>
    <x v="1550"/>
    <d v="2026-03-14T21:36:00"/>
    <x v="6"/>
    <s v="Phone"/>
    <x v="2"/>
    <s v="A007"/>
    <x v="0"/>
    <n v="4"/>
    <n v="8.6"/>
    <x v="1"/>
    <s v="No"/>
    <s v="Yes"/>
    <n v="5"/>
    <s v="Closed"/>
    <s v="March"/>
    <x v="2"/>
    <n v="2026"/>
    <s v="No"/>
    <n v="0"/>
    <x v="1"/>
    <n v="1"/>
  </r>
  <r>
    <s v="T001684"/>
    <x v="1550"/>
    <d v="2026-03-20T12:48:00"/>
    <x v="6"/>
    <s v="Field Visit"/>
    <x v="2"/>
    <s v="A049"/>
    <x v="1"/>
    <n v="4"/>
    <n v="143.80000000000001"/>
    <x v="0"/>
    <s v="Yes"/>
    <s v="Yes"/>
    <n v="3"/>
    <s v="Closed"/>
    <s v="March"/>
    <x v="2"/>
    <n v="2026"/>
    <s v="No"/>
    <n v="0"/>
    <x v="1"/>
    <n v="0"/>
  </r>
  <r>
    <s v="T001685"/>
    <x v="1550"/>
    <d v="2026-03-15T01:24:00"/>
    <x v="6"/>
    <s v="Phone"/>
    <x v="0"/>
    <s v="A031"/>
    <x v="2"/>
    <n v="72"/>
    <n v="12.4"/>
    <x v="1"/>
    <s v="No"/>
    <s v="No"/>
    <n v="5"/>
    <s v="Closed"/>
    <s v="March"/>
    <x v="2"/>
    <n v="2026"/>
    <s v="Yes"/>
    <n v="1"/>
    <x v="1"/>
    <n v="1"/>
  </r>
  <r>
    <s v="T001686"/>
    <x v="1551"/>
    <d v="2026-03-14T19:58:00"/>
    <x v="6"/>
    <s v="Phone"/>
    <x v="2"/>
    <s v="A027"/>
    <x v="2"/>
    <n v="4"/>
    <n v="6.9"/>
    <x v="0"/>
    <s v="Yes"/>
    <s v="Yes"/>
    <m/>
    <s v="Closed"/>
    <s v="March"/>
    <x v="2"/>
    <n v="2026"/>
    <s v="No"/>
    <n v="0"/>
    <x v="4"/>
    <n v="0"/>
  </r>
  <r>
    <s v="T001687"/>
    <x v="1552"/>
    <d v="2026-03-14T19:34:00"/>
    <x v="1"/>
    <s v="Chat"/>
    <x v="0"/>
    <s v="A058"/>
    <x v="1"/>
    <n v="72"/>
    <n v="6.2"/>
    <x v="0"/>
    <s v="Yes"/>
    <s v="No"/>
    <m/>
    <s v="Closed"/>
    <s v="March"/>
    <x v="2"/>
    <n v="2026"/>
    <s v="Yes"/>
    <n v="1"/>
    <x v="2"/>
    <n v="0"/>
  </r>
  <r>
    <s v="T001688"/>
    <x v="1553"/>
    <d v="2026-03-17T03:55:00"/>
    <x v="6"/>
    <s v="Field Visit"/>
    <x v="2"/>
    <s v="A005"/>
    <x v="0"/>
    <n v="4"/>
    <n v="62.4"/>
    <x v="0"/>
    <s v="Yes"/>
    <s v="No"/>
    <m/>
    <s v="Closed"/>
    <s v="March"/>
    <x v="2"/>
    <n v="2026"/>
    <s v="No"/>
    <n v="0"/>
    <x v="4"/>
    <n v="0"/>
  </r>
  <r>
    <s v="T001689"/>
    <x v="1554"/>
    <d v="2026-03-17T10:55:00"/>
    <x v="2"/>
    <s v="Field Visit"/>
    <x v="2"/>
    <s v="A021"/>
    <x v="2"/>
    <n v="4"/>
    <n v="69.099999999999994"/>
    <x v="1"/>
    <s v="No"/>
    <s v="No"/>
    <m/>
    <s v="Closed"/>
    <s v="March"/>
    <x v="2"/>
    <n v="2026"/>
    <s v="No"/>
    <n v="0"/>
    <x v="2"/>
    <n v="1"/>
  </r>
  <r>
    <s v="T001690"/>
    <x v="1555"/>
    <d v="2026-03-19T15:09:00"/>
    <x v="3"/>
    <s v="Field Visit"/>
    <x v="0"/>
    <s v="A033"/>
    <x v="2"/>
    <n v="72"/>
    <n v="121.3"/>
    <x v="0"/>
    <s v="Yes"/>
    <s v="No"/>
    <m/>
    <s v="Closed"/>
    <s v="March"/>
    <x v="2"/>
    <n v="2026"/>
    <s v="No"/>
    <n v="0"/>
    <x v="2"/>
    <n v="0"/>
  </r>
  <r>
    <s v="T001692"/>
    <x v="1556"/>
    <d v="2026-03-15T20:54:00"/>
    <x v="6"/>
    <s v="Phone"/>
    <x v="1"/>
    <s v="A007"/>
    <x v="0"/>
    <n v="24"/>
    <n v="30.9"/>
    <x v="0"/>
    <s v="No"/>
    <s v="No"/>
    <n v="4"/>
    <s v="Closed"/>
    <s v="March"/>
    <x v="2"/>
    <n v="2026"/>
    <s v="No"/>
    <n v="0"/>
    <x v="1"/>
    <n v="0"/>
  </r>
  <r>
    <s v="T001693"/>
    <x v="1556"/>
    <d v="2026-03-15T14:18:00"/>
    <x v="6"/>
    <s v="Phone"/>
    <x v="1"/>
    <s v="A020"/>
    <x v="2"/>
    <n v="24"/>
    <n v="24.3"/>
    <x v="1"/>
    <s v="No"/>
    <s v="No"/>
    <n v="3"/>
    <s v="Closed"/>
    <s v="March"/>
    <x v="2"/>
    <n v="2026"/>
    <s v="No"/>
    <n v="0"/>
    <x v="1"/>
    <n v="1"/>
  </r>
  <r>
    <s v="T001691"/>
    <x v="1556"/>
    <d v="2026-03-19T00:24:00"/>
    <x v="6"/>
    <s v="Field Visit"/>
    <x v="1"/>
    <s v="A020"/>
    <x v="2"/>
    <n v="24"/>
    <n v="106.4"/>
    <x v="1"/>
    <s v="No"/>
    <s v="Yes"/>
    <m/>
    <s v="Closed"/>
    <s v="March"/>
    <x v="2"/>
    <n v="2026"/>
    <s v="No"/>
    <n v="0"/>
    <x v="1"/>
    <n v="1"/>
  </r>
  <r>
    <s v="T001694"/>
    <x v="1557"/>
    <d v="2026-03-15T01:17:00"/>
    <x v="1"/>
    <s v="Phone"/>
    <x v="1"/>
    <s v="A024"/>
    <x v="2"/>
    <n v="24"/>
    <n v="10.8"/>
    <x v="1"/>
    <s v="No"/>
    <s v="No"/>
    <n v="5"/>
    <s v="Closed"/>
    <s v="March"/>
    <x v="2"/>
    <n v="2026"/>
    <s v="Yes"/>
    <n v="1"/>
    <x v="0"/>
    <n v="1"/>
  </r>
  <r>
    <s v="T001697"/>
    <x v="1558"/>
    <d v="2026-03-15T18:54:00"/>
    <x v="6"/>
    <s v="Phone"/>
    <x v="2"/>
    <s v="A006"/>
    <x v="0"/>
    <n v="4"/>
    <n v="27.9"/>
    <x v="0"/>
    <s v="No"/>
    <s v="No"/>
    <n v="3"/>
    <s v="Closed"/>
    <s v="March"/>
    <x v="2"/>
    <n v="2026"/>
    <s v="No"/>
    <n v="0"/>
    <x v="1"/>
    <n v="0"/>
  </r>
  <r>
    <s v="T001695"/>
    <x v="1558"/>
    <d v="2026-03-15T18:54:00"/>
    <x v="6"/>
    <s v="Field Visit"/>
    <x v="2"/>
    <s v="A022"/>
    <x v="2"/>
    <n v="4"/>
    <n v="27.9"/>
    <x v="1"/>
    <s v="No"/>
    <s v="Yes"/>
    <m/>
    <s v="Closed"/>
    <s v="March"/>
    <x v="2"/>
    <n v="2026"/>
    <s v="No"/>
    <n v="0"/>
    <x v="1"/>
    <n v="1"/>
  </r>
  <r>
    <s v="T001696"/>
    <x v="1558"/>
    <d v="2026-03-15T13:36:00"/>
    <x v="6"/>
    <s v="Chat"/>
    <x v="2"/>
    <s v="A035"/>
    <x v="2"/>
    <n v="4"/>
    <n v="22.6"/>
    <x v="1"/>
    <s v="No"/>
    <s v="No"/>
    <n v="2"/>
    <s v="Closed"/>
    <s v="March"/>
    <x v="2"/>
    <n v="2026"/>
    <s v="No"/>
    <n v="0"/>
    <x v="1"/>
    <n v="1"/>
  </r>
  <r>
    <s v="T001698"/>
    <x v="1559"/>
    <d v="2026-03-15T07:29:00"/>
    <x v="5"/>
    <s v="Field Visit"/>
    <x v="0"/>
    <s v="A031"/>
    <x v="2"/>
    <n v="72"/>
    <n v="16.399999999999999"/>
    <x v="0"/>
    <s v="No"/>
    <s v="No"/>
    <n v="3"/>
    <s v="Closed"/>
    <s v="March"/>
    <x v="2"/>
    <n v="2026"/>
    <s v="Yes"/>
    <n v="1"/>
    <x v="2"/>
    <n v="0"/>
  </r>
  <r>
    <s v="T001699"/>
    <x v="1560"/>
    <d v="2026-03-21T05:37:00"/>
    <x v="4"/>
    <s v="Field Visit"/>
    <x v="2"/>
    <s v="A054"/>
    <x v="1"/>
    <n v="4"/>
    <n v="158.19999999999999"/>
    <x v="0"/>
    <s v="Yes"/>
    <s v="Yes"/>
    <m/>
    <s v="Closed"/>
    <s v="March"/>
    <x v="2"/>
    <n v="2026"/>
    <s v="No"/>
    <n v="0"/>
    <x v="4"/>
    <n v="0"/>
  </r>
  <r>
    <s v="T001700"/>
    <x v="1561"/>
    <d v="2026-03-17T06:58:00"/>
    <x v="4"/>
    <s v="Field Visit"/>
    <x v="1"/>
    <s v="A014"/>
    <x v="0"/>
    <n v="24"/>
    <n v="63"/>
    <x v="1"/>
    <s v="No"/>
    <s v="No"/>
    <m/>
    <s v="Closed"/>
    <s v="March"/>
    <x v="2"/>
    <n v="2026"/>
    <s v="No"/>
    <n v="0"/>
    <x v="2"/>
    <n v="1"/>
  </r>
  <r>
    <s v="T001701"/>
    <x v="1562"/>
    <d v="2026-03-14T21:04:00"/>
    <x v="6"/>
    <s v="Phone"/>
    <x v="2"/>
    <s v="A037"/>
    <x v="1"/>
    <n v="4"/>
    <n v="4.4000000000000004"/>
    <x v="1"/>
    <s v="No"/>
    <s v="No"/>
    <n v="4"/>
    <s v="Closed"/>
    <s v="March"/>
    <x v="2"/>
    <n v="2026"/>
    <s v="No"/>
    <n v="0"/>
    <x v="2"/>
    <n v="1"/>
  </r>
  <r>
    <s v="T001702"/>
    <x v="1563"/>
    <d v="2026-03-15T13:51:00"/>
    <x v="0"/>
    <s v="Field Visit"/>
    <x v="2"/>
    <s v="A021"/>
    <x v="2"/>
    <n v="4"/>
    <n v="20.9"/>
    <x v="1"/>
    <s v="No"/>
    <s v="No"/>
    <n v="4"/>
    <s v="Closed"/>
    <s v="March"/>
    <x v="2"/>
    <n v="2026"/>
    <s v="No"/>
    <n v="0"/>
    <x v="2"/>
    <n v="1"/>
  </r>
  <r>
    <s v="T001704"/>
    <x v="1564"/>
    <d v="2026-03-24T13:00:00"/>
    <x v="6"/>
    <s v="Field Visit"/>
    <x v="2"/>
    <s v="A023"/>
    <x v="2"/>
    <n v="4"/>
    <n v="236"/>
    <x v="1"/>
    <s v="No"/>
    <s v="No"/>
    <n v="3"/>
    <s v="Closed"/>
    <s v="March"/>
    <x v="2"/>
    <n v="2026"/>
    <s v="No"/>
    <n v="0"/>
    <x v="1"/>
    <n v="1"/>
  </r>
  <r>
    <s v="T001705"/>
    <x v="1564"/>
    <d v="2026-03-30T13:24:00"/>
    <x v="6"/>
    <s v="Field Visit"/>
    <x v="1"/>
    <s v="A012"/>
    <x v="0"/>
    <n v="24"/>
    <n v="380.4"/>
    <x v="0"/>
    <s v="Yes"/>
    <s v="No"/>
    <n v="2"/>
    <s v="Closed"/>
    <s v="March"/>
    <x v="2"/>
    <n v="2026"/>
    <s v="No"/>
    <n v="0"/>
    <x v="1"/>
    <n v="0"/>
  </r>
  <r>
    <s v="T001703"/>
    <x v="1564"/>
    <d v="2026-03-18T08:30:00"/>
    <x v="6"/>
    <s v="Field Visit"/>
    <x v="2"/>
    <s v="A040"/>
    <x v="1"/>
    <n v="4"/>
    <n v="87.5"/>
    <x v="0"/>
    <s v="No"/>
    <s v="No"/>
    <n v="3"/>
    <s v="Closed"/>
    <s v="March"/>
    <x v="2"/>
    <n v="2026"/>
    <s v="No"/>
    <n v="0"/>
    <x v="1"/>
    <n v="0"/>
  </r>
  <r>
    <s v="T001706"/>
    <x v="1565"/>
    <d v="2026-03-16T11:03:00"/>
    <x v="0"/>
    <s v="Phone"/>
    <x v="1"/>
    <s v="A011"/>
    <x v="0"/>
    <n v="24"/>
    <n v="41.9"/>
    <x v="1"/>
    <s v="No"/>
    <s v="No"/>
    <m/>
    <s v="Closed"/>
    <s v="March"/>
    <x v="2"/>
    <n v="2026"/>
    <s v="No"/>
    <n v="0"/>
    <x v="3"/>
    <n v="1"/>
  </r>
  <r>
    <s v="T001707"/>
    <x v="1566"/>
    <d v="2026-03-14T21:28:00"/>
    <x v="1"/>
    <s v="Chat"/>
    <x v="1"/>
    <s v="A005"/>
    <x v="0"/>
    <n v="24"/>
    <n v="4.2"/>
    <x v="1"/>
    <s v="No"/>
    <s v="No"/>
    <n v="4"/>
    <s v="Closed"/>
    <s v="March"/>
    <x v="2"/>
    <n v="2026"/>
    <s v="Yes"/>
    <n v="1"/>
    <x v="3"/>
    <n v="1"/>
  </r>
  <r>
    <s v="T001708"/>
    <x v="1567"/>
    <d v="2026-03-14T21:48:00"/>
    <x v="5"/>
    <s v="Chat"/>
    <x v="0"/>
    <s v="A010"/>
    <x v="0"/>
    <n v="72"/>
    <n v="4.5"/>
    <x v="1"/>
    <s v="No"/>
    <s v="No"/>
    <m/>
    <s v="Closed"/>
    <s v="March"/>
    <x v="2"/>
    <n v="2026"/>
    <s v="Yes"/>
    <n v="1"/>
    <x v="0"/>
    <n v="1"/>
  </r>
  <r>
    <s v="T001709"/>
    <x v="1568"/>
    <d v="2026-03-19T09:42:00"/>
    <x v="6"/>
    <s v="Field Visit"/>
    <x v="1"/>
    <s v="A041"/>
    <x v="1"/>
    <n v="24"/>
    <n v="111.7"/>
    <x v="1"/>
    <s v="No"/>
    <s v="No"/>
    <n v="4"/>
    <s v="Closed"/>
    <s v="March"/>
    <x v="2"/>
    <n v="2026"/>
    <s v="No"/>
    <n v="0"/>
    <x v="1"/>
    <n v="1"/>
  </r>
  <r>
    <s v="T001712"/>
    <x v="1569"/>
    <d v="2026-03-17T02:48:00"/>
    <x v="6"/>
    <s v="Field Visit"/>
    <x v="1"/>
    <s v="A046"/>
    <x v="1"/>
    <n v="24"/>
    <n v="55.8"/>
    <x v="0"/>
    <s v="No"/>
    <s v="No"/>
    <n v="4"/>
    <s v="Closed"/>
    <s v="March"/>
    <x v="2"/>
    <n v="2026"/>
    <s v="No"/>
    <n v="0"/>
    <x v="1"/>
    <n v="0"/>
  </r>
  <r>
    <s v="T001710"/>
    <x v="1569"/>
    <d v="2026-03-17T16:36:00"/>
    <x v="6"/>
    <s v="Chat"/>
    <x v="2"/>
    <s v="A041"/>
    <x v="1"/>
    <n v="4"/>
    <n v="69.599999999999994"/>
    <x v="1"/>
    <s v="No"/>
    <s v="No"/>
    <n v="4"/>
    <s v="Closed"/>
    <s v="March"/>
    <x v="2"/>
    <n v="2026"/>
    <s v="No"/>
    <n v="0"/>
    <x v="1"/>
    <n v="1"/>
  </r>
  <r>
    <s v="T001711"/>
    <x v="1569"/>
    <d v="2026-03-17T22:00:00"/>
    <x v="6"/>
    <s v="Field Visit"/>
    <x v="1"/>
    <s v="A029"/>
    <x v="2"/>
    <n v="24"/>
    <n v="75"/>
    <x v="0"/>
    <s v="Yes"/>
    <s v="No"/>
    <n v="5"/>
    <s v="Closed"/>
    <s v="March"/>
    <x v="2"/>
    <n v="2026"/>
    <s v="No"/>
    <n v="0"/>
    <x v="1"/>
    <n v="0"/>
  </r>
  <r>
    <s v="T001713"/>
    <x v="1570"/>
    <d v="2026-03-17T11:36:00"/>
    <x v="6"/>
    <s v="Email"/>
    <x v="2"/>
    <s v="A039"/>
    <x v="1"/>
    <n v="4"/>
    <n v="63.6"/>
    <x v="0"/>
    <s v="Yes"/>
    <s v="No"/>
    <n v="3"/>
    <s v="Closed"/>
    <s v="March"/>
    <x v="2"/>
    <n v="2026"/>
    <s v="No"/>
    <n v="0"/>
    <x v="1"/>
    <n v="0"/>
  </r>
  <r>
    <s v="T001714"/>
    <x v="1570"/>
    <d v="2026-03-15T10:36:00"/>
    <x v="6"/>
    <s v="Phone"/>
    <x v="2"/>
    <s v="A041"/>
    <x v="1"/>
    <n v="4"/>
    <n v="14.6"/>
    <x v="1"/>
    <s v="No"/>
    <s v="Yes"/>
    <m/>
    <s v="Closed"/>
    <s v="March"/>
    <x v="2"/>
    <n v="2026"/>
    <s v="No"/>
    <n v="0"/>
    <x v="1"/>
    <n v="1"/>
  </r>
  <r>
    <s v="T001715"/>
    <x v="1571"/>
    <d v="2026-03-16T03:49:00"/>
    <x v="0"/>
    <s v="Email"/>
    <x v="1"/>
    <s v="A035"/>
    <x v="2"/>
    <n v="24"/>
    <n v="30.6"/>
    <x v="1"/>
    <s v="No"/>
    <s v="No"/>
    <n v="4"/>
    <s v="Closed"/>
    <s v="March"/>
    <x v="2"/>
    <n v="2026"/>
    <s v="No"/>
    <n v="0"/>
    <x v="4"/>
    <n v="1"/>
  </r>
  <r>
    <s v="T001716"/>
    <x v="1572"/>
    <d v="2026-03-15T03:29:00"/>
    <x v="1"/>
    <s v="Phone"/>
    <x v="2"/>
    <s v="A042"/>
    <x v="1"/>
    <n v="4"/>
    <n v="4.5"/>
    <x v="1"/>
    <s v="No"/>
    <s v="Yes"/>
    <n v="1"/>
    <s v="Closed"/>
    <s v="March"/>
    <x v="2"/>
    <n v="2026"/>
    <s v="No"/>
    <n v="0"/>
    <x v="1"/>
    <n v="1"/>
  </r>
  <r>
    <s v="T001717"/>
    <x v="1573"/>
    <d v="2026-03-15T10:14:00"/>
    <x v="6"/>
    <s v="Phone"/>
    <x v="1"/>
    <s v="A027"/>
    <x v="2"/>
    <n v="24"/>
    <n v="8.6999999999999993"/>
    <x v="1"/>
    <s v="No"/>
    <s v="No"/>
    <m/>
    <s v="Closed"/>
    <s v="March"/>
    <x v="2"/>
    <n v="2026"/>
    <s v="Yes"/>
    <n v="1"/>
    <x v="1"/>
    <n v="1"/>
  </r>
  <r>
    <s v="T001718"/>
    <x v="1574"/>
    <d v="2026-03-18T03:30:00"/>
    <x v="6"/>
    <s v="Field Visit"/>
    <x v="1"/>
    <s v="A056"/>
    <x v="1"/>
    <n v="24"/>
    <n v="69.5"/>
    <x v="1"/>
    <s v="No"/>
    <s v="Yes"/>
    <n v="4"/>
    <s v="Closed"/>
    <s v="March"/>
    <x v="2"/>
    <n v="2026"/>
    <s v="No"/>
    <n v="0"/>
    <x v="1"/>
    <n v="1"/>
  </r>
  <r>
    <s v="T001719"/>
    <x v="1574"/>
    <d v="2026-03-16T02:06:00"/>
    <x v="6"/>
    <s v="Chat"/>
    <x v="2"/>
    <s v="A037"/>
    <x v="1"/>
    <n v="4"/>
    <n v="20.100000000000001"/>
    <x v="1"/>
    <s v="No"/>
    <s v="No"/>
    <n v="4"/>
    <s v="Closed"/>
    <s v="March"/>
    <x v="2"/>
    <n v="2026"/>
    <s v="No"/>
    <n v="0"/>
    <x v="1"/>
    <n v="1"/>
  </r>
  <r>
    <s v="T001720"/>
    <x v="1575"/>
    <d v="2026-03-15T19:56:00"/>
    <x v="1"/>
    <s v="Email"/>
    <x v="0"/>
    <s v="A039"/>
    <x v="1"/>
    <n v="72"/>
    <n v="13.5"/>
    <x v="1"/>
    <s v="No"/>
    <s v="No"/>
    <n v="5"/>
    <s v="Closed"/>
    <s v="March"/>
    <x v="2"/>
    <n v="2026"/>
    <s v="Yes"/>
    <n v="1"/>
    <x v="4"/>
    <n v="1"/>
  </r>
  <r>
    <s v="T001723"/>
    <x v="1576"/>
    <d v="2026-03-18T23:18:00"/>
    <x v="6"/>
    <s v="Field Visit"/>
    <x v="1"/>
    <s v="A006"/>
    <x v="0"/>
    <n v="24"/>
    <n v="88.3"/>
    <x v="0"/>
    <s v="No"/>
    <s v="No"/>
    <m/>
    <s v="Closed"/>
    <s v="March"/>
    <x v="2"/>
    <n v="2026"/>
    <s v="No"/>
    <n v="0"/>
    <x v="1"/>
    <n v="0"/>
  </r>
  <r>
    <s v="T001721"/>
    <x v="1576"/>
    <d v="2026-03-16T02:42:00"/>
    <x v="6"/>
    <s v="Chat"/>
    <x v="2"/>
    <s v="A004"/>
    <x v="0"/>
    <n v="4"/>
    <n v="19.7"/>
    <x v="1"/>
    <s v="No"/>
    <s v="Yes"/>
    <n v="4"/>
    <s v="Closed"/>
    <s v="March"/>
    <x v="2"/>
    <n v="2026"/>
    <s v="No"/>
    <n v="0"/>
    <x v="1"/>
    <n v="1"/>
  </r>
  <r>
    <s v="T001722"/>
    <x v="1576"/>
    <d v="2026-03-16T13:12:00"/>
    <x v="6"/>
    <s v="Phone"/>
    <x v="2"/>
    <s v="A022"/>
    <x v="2"/>
    <n v="4"/>
    <n v="30.2"/>
    <x v="1"/>
    <s v="No"/>
    <s v="No"/>
    <m/>
    <s v="Closed"/>
    <s v="March"/>
    <x v="2"/>
    <n v="2026"/>
    <s v="No"/>
    <n v="0"/>
    <x v="1"/>
    <n v="1"/>
  </r>
  <r>
    <s v="T001724"/>
    <x v="1577"/>
    <d v="2026-03-17T08:35:00"/>
    <x v="2"/>
    <s v="Phone"/>
    <x v="0"/>
    <s v="A034"/>
    <x v="2"/>
    <n v="72"/>
    <n v="48.8"/>
    <x v="0"/>
    <s v="Yes"/>
    <s v="Yes"/>
    <m/>
    <s v="Closed"/>
    <s v="March"/>
    <x v="2"/>
    <n v="2026"/>
    <s v="Yes"/>
    <n v="1"/>
    <x v="4"/>
    <n v="0"/>
  </r>
  <r>
    <s v="T001727"/>
    <x v="1578"/>
    <d v="2026-03-16T22:24:00"/>
    <x v="6"/>
    <s v="Phone"/>
    <x v="2"/>
    <s v="A015"/>
    <x v="0"/>
    <n v="4"/>
    <n v="38.4"/>
    <x v="0"/>
    <s v="Yes"/>
    <s v="No"/>
    <n v="4"/>
    <s v="Closed"/>
    <s v="March"/>
    <x v="2"/>
    <n v="2026"/>
    <s v="No"/>
    <n v="0"/>
    <x v="1"/>
    <n v="0"/>
  </r>
  <r>
    <s v="T001726"/>
    <x v="1578"/>
    <d v="2026-03-16T03:00:00"/>
    <x v="6"/>
    <s v="Phone"/>
    <x v="1"/>
    <s v="A045"/>
    <x v="1"/>
    <n v="24"/>
    <n v="19"/>
    <x v="0"/>
    <s v="Yes"/>
    <s v="No"/>
    <n v="3"/>
    <s v="Closed"/>
    <s v="March"/>
    <x v="2"/>
    <n v="2026"/>
    <s v="Yes"/>
    <n v="1"/>
    <x v="1"/>
    <n v="0"/>
  </r>
  <r>
    <s v="T001725"/>
    <x v="1578"/>
    <d v="2026-03-16T03:36:00"/>
    <x v="6"/>
    <s v="Phone"/>
    <x v="1"/>
    <s v="A031"/>
    <x v="2"/>
    <n v="24"/>
    <n v="19.600000000000001"/>
    <x v="1"/>
    <s v="No"/>
    <s v="No"/>
    <n v="3"/>
    <s v="Closed"/>
    <s v="March"/>
    <x v="2"/>
    <n v="2026"/>
    <s v="Yes"/>
    <n v="1"/>
    <x v="1"/>
    <n v="1"/>
  </r>
  <r>
    <s v="T001728"/>
    <x v="1579"/>
    <d v="2026-03-16T08:00:00"/>
    <x v="0"/>
    <s v="Phone"/>
    <x v="2"/>
    <s v="A019"/>
    <x v="2"/>
    <n v="4"/>
    <n v="23.9"/>
    <x v="0"/>
    <s v="Yes"/>
    <s v="No"/>
    <n v="4"/>
    <s v="Closed"/>
    <s v="March"/>
    <x v="2"/>
    <n v="2026"/>
    <s v="No"/>
    <n v="0"/>
    <x v="2"/>
    <n v="0"/>
  </r>
  <r>
    <s v="T001729"/>
    <x v="1580"/>
    <d v="2026-03-16T18:52:00"/>
    <x v="0"/>
    <s v="Chat"/>
    <x v="1"/>
    <s v="A045"/>
    <x v="1"/>
    <n v="24"/>
    <n v="34.4"/>
    <x v="1"/>
    <s v="No"/>
    <s v="No"/>
    <n v="4"/>
    <s v="Closed"/>
    <s v="March"/>
    <x v="2"/>
    <n v="2026"/>
    <s v="No"/>
    <n v="0"/>
    <x v="4"/>
    <n v="1"/>
  </r>
  <r>
    <s v="T001730"/>
    <x v="1581"/>
    <d v="2026-03-15T20:48:00"/>
    <x v="6"/>
    <s v="Chat"/>
    <x v="1"/>
    <s v="A039"/>
    <x v="1"/>
    <n v="24"/>
    <n v="11.8"/>
    <x v="1"/>
    <s v="No"/>
    <s v="No"/>
    <n v="5"/>
    <s v="Closed"/>
    <s v="March"/>
    <x v="2"/>
    <n v="2026"/>
    <s v="Yes"/>
    <n v="1"/>
    <x v="1"/>
    <n v="1"/>
  </r>
  <r>
    <s v="T001731"/>
    <x v="1582"/>
    <d v="2026-03-15T17:40:00"/>
    <x v="2"/>
    <s v="Chat"/>
    <x v="1"/>
    <s v="A054"/>
    <x v="1"/>
    <n v="24"/>
    <n v="8.3000000000000007"/>
    <x v="1"/>
    <s v="No"/>
    <s v="No"/>
    <n v="3"/>
    <s v="Closed"/>
    <s v="March"/>
    <x v="2"/>
    <n v="2026"/>
    <s v="Yes"/>
    <n v="1"/>
    <x v="4"/>
    <n v="1"/>
  </r>
  <r>
    <s v="T001732"/>
    <x v="1583"/>
    <d v="2026-03-16T13:21:00"/>
    <x v="0"/>
    <s v="Phone"/>
    <x v="2"/>
    <s v="A005"/>
    <x v="0"/>
    <n v="4"/>
    <n v="27.6"/>
    <x v="1"/>
    <s v="No"/>
    <s v="No"/>
    <m/>
    <s v="Closed"/>
    <s v="March"/>
    <x v="2"/>
    <n v="2026"/>
    <s v="No"/>
    <n v="0"/>
    <x v="0"/>
    <n v="1"/>
  </r>
  <r>
    <s v="T001733"/>
    <x v="1584"/>
    <d v="2026-03-16T18:36:00"/>
    <x v="6"/>
    <s v="Field Visit"/>
    <x v="1"/>
    <s v="A035"/>
    <x v="2"/>
    <n v="24"/>
    <n v="32.6"/>
    <x v="1"/>
    <s v="No"/>
    <s v="No"/>
    <m/>
    <s v="Closed"/>
    <s v="March"/>
    <x v="2"/>
    <n v="2026"/>
    <s v="No"/>
    <n v="0"/>
    <x v="1"/>
    <n v="1"/>
  </r>
  <r>
    <s v="T001735"/>
    <x v="1584"/>
    <d v="2026-03-15T19:00:00"/>
    <x v="6"/>
    <s v="Chat"/>
    <x v="2"/>
    <s v="A051"/>
    <x v="1"/>
    <n v="4"/>
    <n v="9"/>
    <x v="1"/>
    <s v="No"/>
    <s v="No"/>
    <n v="4"/>
    <s v="Closed"/>
    <s v="March"/>
    <x v="2"/>
    <n v="2026"/>
    <s v="No"/>
    <n v="0"/>
    <x v="1"/>
    <n v="1"/>
  </r>
  <r>
    <s v="T001734"/>
    <x v="1584"/>
    <d v="2026-03-16T08:30:00"/>
    <x v="6"/>
    <s v="Phone"/>
    <x v="2"/>
    <s v="A002"/>
    <x v="0"/>
    <n v="4"/>
    <n v="22.5"/>
    <x v="1"/>
    <s v="No"/>
    <s v="No"/>
    <m/>
    <s v="Closed"/>
    <s v="March"/>
    <x v="2"/>
    <n v="2026"/>
    <s v="No"/>
    <n v="0"/>
    <x v="0"/>
    <n v="1"/>
  </r>
  <r>
    <s v="T001736"/>
    <x v="1585"/>
    <d v="2026-03-16T01:31:00"/>
    <x v="0"/>
    <s v="Phone"/>
    <x v="1"/>
    <s v="A036"/>
    <x v="1"/>
    <n v="24"/>
    <n v="15.5"/>
    <x v="0"/>
    <s v="Yes"/>
    <s v="No"/>
    <n v="4"/>
    <s v="Closed"/>
    <s v="March"/>
    <x v="2"/>
    <n v="2026"/>
    <s v="Yes"/>
    <n v="1"/>
    <x v="1"/>
    <n v="0"/>
  </r>
  <r>
    <s v="T001737"/>
    <x v="1586"/>
    <d v="2026-03-16T04:32:00"/>
    <x v="1"/>
    <s v="Email"/>
    <x v="1"/>
    <s v="A050"/>
    <x v="1"/>
    <n v="24"/>
    <n v="18.399999999999999"/>
    <x v="1"/>
    <s v="No"/>
    <s v="No"/>
    <n v="5"/>
    <s v="Closed"/>
    <s v="March"/>
    <x v="2"/>
    <n v="2026"/>
    <s v="Yes"/>
    <n v="1"/>
    <x v="4"/>
    <n v="1"/>
  </r>
  <r>
    <s v="T001738"/>
    <x v="1587"/>
    <d v="2026-03-15T14:29:00"/>
    <x v="1"/>
    <s v="Chat"/>
    <x v="0"/>
    <s v="A044"/>
    <x v="1"/>
    <n v="72"/>
    <n v="3.7"/>
    <x v="0"/>
    <s v="Yes"/>
    <s v="Yes"/>
    <n v="4"/>
    <s v="Closed"/>
    <s v="March"/>
    <x v="2"/>
    <n v="2026"/>
    <s v="Yes"/>
    <n v="1"/>
    <x v="4"/>
    <n v="0"/>
  </r>
  <r>
    <s v="T001739"/>
    <x v="1588"/>
    <d v="2026-03-16T05:19:00"/>
    <x v="1"/>
    <s v="Phone"/>
    <x v="1"/>
    <s v="A009"/>
    <x v="0"/>
    <n v="24"/>
    <n v="18.399999999999999"/>
    <x v="1"/>
    <s v="No"/>
    <s v="No"/>
    <n v="5"/>
    <s v="Closed"/>
    <s v="March"/>
    <x v="2"/>
    <n v="2026"/>
    <s v="Yes"/>
    <n v="1"/>
    <x v="4"/>
    <n v="1"/>
  </r>
  <r>
    <s v="T001740"/>
    <x v="1589"/>
    <d v="2026-03-21T12:00:00"/>
    <x v="6"/>
    <s v="Field Visit"/>
    <x v="2"/>
    <s v="A039"/>
    <x v="1"/>
    <n v="4"/>
    <n v="145"/>
    <x v="1"/>
    <s v="No"/>
    <s v="No"/>
    <n v="4"/>
    <s v="Closed"/>
    <s v="March"/>
    <x v="2"/>
    <n v="2026"/>
    <s v="No"/>
    <n v="0"/>
    <x v="1"/>
    <n v="1"/>
  </r>
  <r>
    <s v="T001742"/>
    <x v="1589"/>
    <d v="2026-03-16T23:30:00"/>
    <x v="6"/>
    <s v="Phone"/>
    <x v="0"/>
    <s v="A052"/>
    <x v="1"/>
    <n v="72"/>
    <n v="36.5"/>
    <x v="0"/>
    <s v="Yes"/>
    <s v="No"/>
    <n v="5"/>
    <s v="Closed"/>
    <s v="March"/>
    <x v="2"/>
    <n v="2026"/>
    <s v="Yes"/>
    <n v="1"/>
    <x v="1"/>
    <n v="0"/>
  </r>
  <r>
    <s v="T001741"/>
    <x v="1589"/>
    <d v="2026-03-17T03:12:00"/>
    <x v="6"/>
    <s v="Phone"/>
    <x v="2"/>
    <s v="A045"/>
    <x v="1"/>
    <n v="4"/>
    <n v="40.200000000000003"/>
    <x v="1"/>
    <s v="No"/>
    <s v="No"/>
    <n v="4"/>
    <s v="Closed"/>
    <s v="March"/>
    <x v="2"/>
    <n v="2026"/>
    <s v="No"/>
    <n v="0"/>
    <x v="1"/>
    <n v="1"/>
  </r>
  <r>
    <s v="T001743"/>
    <x v="1590"/>
    <d v="2026-03-15T18:13:00"/>
    <x v="2"/>
    <s v="Phone"/>
    <x v="0"/>
    <s v="A021"/>
    <x v="2"/>
    <n v="72"/>
    <n v="7"/>
    <x v="0"/>
    <s v="Yes"/>
    <s v="No"/>
    <m/>
    <s v="Closed"/>
    <s v="March"/>
    <x v="2"/>
    <n v="2026"/>
    <s v="Yes"/>
    <n v="1"/>
    <x v="4"/>
    <n v="0"/>
  </r>
  <r>
    <s v="T001744"/>
    <x v="1591"/>
    <d v="2026-03-15T18:36:00"/>
    <x v="6"/>
    <s v="Chat"/>
    <x v="1"/>
    <s v="A003"/>
    <x v="0"/>
    <n v="24"/>
    <n v="6.9"/>
    <x v="1"/>
    <s v="No"/>
    <s v="No"/>
    <n v="5"/>
    <s v="Closed"/>
    <s v="March"/>
    <x v="2"/>
    <n v="2026"/>
    <s v="Yes"/>
    <n v="1"/>
    <x v="2"/>
    <n v="1"/>
  </r>
  <r>
    <s v="T001745"/>
    <x v="1592"/>
    <d v="2026-03-15T17:04:00"/>
    <x v="2"/>
    <s v="Phone"/>
    <x v="1"/>
    <s v="A053"/>
    <x v="1"/>
    <n v="24"/>
    <n v="5.0999999999999996"/>
    <x v="1"/>
    <s v="No"/>
    <s v="No"/>
    <n v="5"/>
    <s v="Closed"/>
    <s v="March"/>
    <x v="2"/>
    <n v="2026"/>
    <s v="Yes"/>
    <n v="1"/>
    <x v="1"/>
    <n v="1"/>
  </r>
  <r>
    <s v="T001746"/>
    <x v="1593"/>
    <d v="2026-03-16T07:24:00"/>
    <x v="6"/>
    <s v="Phone"/>
    <x v="2"/>
    <s v="A014"/>
    <x v="0"/>
    <n v="4"/>
    <n v="19.399999999999999"/>
    <x v="1"/>
    <s v="No"/>
    <s v="No"/>
    <n v="4"/>
    <s v="Closed"/>
    <s v="March"/>
    <x v="2"/>
    <n v="2026"/>
    <s v="No"/>
    <n v="0"/>
    <x v="1"/>
    <n v="1"/>
  </r>
  <r>
    <s v="T001747"/>
    <x v="1594"/>
    <d v="2026-03-16T06:10:00"/>
    <x v="3"/>
    <s v="Phone"/>
    <x v="0"/>
    <s v="A006"/>
    <x v="0"/>
    <n v="72"/>
    <n v="18"/>
    <x v="0"/>
    <s v="Yes"/>
    <s v="No"/>
    <n v="5"/>
    <s v="Closed"/>
    <s v="March"/>
    <x v="2"/>
    <n v="2026"/>
    <s v="Yes"/>
    <n v="1"/>
    <x v="1"/>
    <n v="0"/>
  </r>
  <r>
    <s v="T001748"/>
    <x v="1595"/>
    <d v="2026-03-15T16:36:00"/>
    <x v="1"/>
    <s v="Chat"/>
    <x v="1"/>
    <s v="A011"/>
    <x v="0"/>
    <n v="24"/>
    <n v="4.4000000000000004"/>
    <x v="1"/>
    <s v="No"/>
    <s v="No"/>
    <n v="5"/>
    <s v="Closed"/>
    <s v="March"/>
    <x v="2"/>
    <n v="2026"/>
    <s v="Yes"/>
    <n v="1"/>
    <x v="2"/>
    <n v="1"/>
  </r>
  <r>
    <s v="T001749"/>
    <x v="1596"/>
    <d v="2026-03-15T21:25:00"/>
    <x v="1"/>
    <s v="Chat"/>
    <x v="0"/>
    <s v="A014"/>
    <x v="0"/>
    <n v="72"/>
    <n v="8.8000000000000007"/>
    <x v="1"/>
    <s v="No"/>
    <s v="No"/>
    <m/>
    <s v="Closed"/>
    <s v="March"/>
    <x v="2"/>
    <n v="2026"/>
    <s v="Yes"/>
    <n v="1"/>
    <x v="1"/>
    <n v="1"/>
  </r>
  <r>
    <s v="T001750"/>
    <x v="1597"/>
    <d v="2026-03-16T13:12:00"/>
    <x v="0"/>
    <s v="Field Visit"/>
    <x v="1"/>
    <s v="A028"/>
    <x v="2"/>
    <n v="24"/>
    <n v="24.5"/>
    <x v="1"/>
    <s v="No"/>
    <s v="No"/>
    <n v="4"/>
    <s v="Closed"/>
    <s v="March"/>
    <x v="2"/>
    <n v="2026"/>
    <s v="No"/>
    <n v="0"/>
    <x v="3"/>
    <n v="1"/>
  </r>
  <r>
    <s v="T001751"/>
    <x v="1598"/>
    <d v="2026-03-17T03:49:00"/>
    <x v="2"/>
    <s v="Email"/>
    <x v="1"/>
    <s v="A023"/>
    <x v="2"/>
    <n v="24"/>
    <n v="39"/>
    <x v="0"/>
    <s v="No"/>
    <s v="No"/>
    <m/>
    <s v="Closed"/>
    <s v="March"/>
    <x v="2"/>
    <n v="2026"/>
    <s v="No"/>
    <n v="0"/>
    <x v="4"/>
    <n v="0"/>
  </r>
  <r>
    <s v="T001753"/>
    <x v="1599"/>
    <d v="2026-03-15T23:30:00"/>
    <x v="6"/>
    <s v="Chat"/>
    <x v="2"/>
    <s v="A020"/>
    <x v="2"/>
    <n v="4"/>
    <n v="10.5"/>
    <x v="1"/>
    <s v="No"/>
    <s v="No"/>
    <n v="4"/>
    <s v="Closed"/>
    <s v="March"/>
    <x v="2"/>
    <n v="2026"/>
    <s v="No"/>
    <n v="0"/>
    <x v="1"/>
    <n v="1"/>
  </r>
  <r>
    <s v="T001754"/>
    <x v="1599"/>
    <d v="2026-03-16T18:48:00"/>
    <x v="6"/>
    <s v="Field Visit"/>
    <x v="2"/>
    <s v="A053"/>
    <x v="1"/>
    <n v="4"/>
    <n v="29.8"/>
    <x v="0"/>
    <s v="Yes"/>
    <s v="No"/>
    <n v="3"/>
    <s v="Closed"/>
    <s v="March"/>
    <x v="2"/>
    <n v="2026"/>
    <s v="No"/>
    <n v="0"/>
    <x v="1"/>
    <n v="0"/>
  </r>
  <r>
    <s v="T001752"/>
    <x v="1599"/>
    <d v="2026-03-19T12:00:00"/>
    <x v="6"/>
    <s v="Phone"/>
    <x v="2"/>
    <s v="A015"/>
    <x v="0"/>
    <n v="4"/>
    <n v="95"/>
    <x v="1"/>
    <s v="No"/>
    <s v="Yes"/>
    <m/>
    <s v="Closed"/>
    <s v="March"/>
    <x v="2"/>
    <n v="2026"/>
    <s v="No"/>
    <n v="0"/>
    <x v="1"/>
    <n v="1"/>
  </r>
  <r>
    <s v="T001755"/>
    <x v="1600"/>
    <d v="2026-03-17T00:41:00"/>
    <x v="3"/>
    <s v="Phone"/>
    <x v="1"/>
    <s v="A060"/>
    <x v="1"/>
    <n v="24"/>
    <n v="35.299999999999997"/>
    <x v="1"/>
    <s v="No"/>
    <s v="No"/>
    <m/>
    <s v="Closed"/>
    <s v="March"/>
    <x v="2"/>
    <n v="2026"/>
    <s v="No"/>
    <n v="0"/>
    <x v="2"/>
    <n v="1"/>
  </r>
  <r>
    <s v="T001756"/>
    <x v="1601"/>
    <d v="2026-03-17T23:24:00"/>
    <x v="6"/>
    <s v="Phone"/>
    <x v="0"/>
    <s v="A011"/>
    <x v="0"/>
    <n v="72"/>
    <n v="57.4"/>
    <x v="1"/>
    <s v="No"/>
    <s v="No"/>
    <n v="5"/>
    <s v="Closed"/>
    <s v="March"/>
    <x v="2"/>
    <n v="2026"/>
    <s v="Yes"/>
    <n v="1"/>
    <x v="1"/>
    <n v="1"/>
  </r>
  <r>
    <s v="T001758"/>
    <x v="1602"/>
    <d v="2026-03-16T02:00:00"/>
    <x v="6"/>
    <s v="Chat"/>
    <x v="2"/>
    <s v="A020"/>
    <x v="2"/>
    <n v="4"/>
    <n v="11"/>
    <x v="0"/>
    <s v="No"/>
    <s v="No"/>
    <m/>
    <s v="Closed"/>
    <s v="March"/>
    <x v="2"/>
    <n v="2026"/>
    <s v="No"/>
    <n v="0"/>
    <x v="1"/>
    <n v="0"/>
  </r>
  <r>
    <s v="T001757"/>
    <x v="1602"/>
    <d v="2026-03-15T23:06:00"/>
    <x v="6"/>
    <s v="Phone"/>
    <x v="2"/>
    <s v="A050"/>
    <x v="1"/>
    <n v="4"/>
    <n v="8.1"/>
    <x v="1"/>
    <s v="No"/>
    <s v="No"/>
    <m/>
    <s v="Closed"/>
    <s v="March"/>
    <x v="2"/>
    <n v="2026"/>
    <s v="No"/>
    <n v="0"/>
    <x v="1"/>
    <n v="1"/>
  </r>
  <r>
    <s v="T001759"/>
    <x v="1603"/>
    <d v="2026-03-16T02:04:00"/>
    <x v="5"/>
    <s v="Phone"/>
    <x v="1"/>
    <s v="A033"/>
    <x v="2"/>
    <n v="24"/>
    <n v="10.9"/>
    <x v="1"/>
    <s v="No"/>
    <s v="Yes"/>
    <n v="5"/>
    <s v="Closed"/>
    <s v="March"/>
    <x v="2"/>
    <n v="2026"/>
    <s v="Yes"/>
    <n v="1"/>
    <x v="2"/>
    <n v="1"/>
  </r>
  <r>
    <s v="T001760"/>
    <x v="1604"/>
    <d v="2026-03-16T16:31:00"/>
    <x v="5"/>
    <s v="Field Visit"/>
    <x v="1"/>
    <s v="A049"/>
    <x v="1"/>
    <n v="24"/>
    <n v="24.6"/>
    <x v="1"/>
    <s v="No"/>
    <s v="No"/>
    <n v="4"/>
    <s v="Closed"/>
    <s v="March"/>
    <x v="2"/>
    <n v="2026"/>
    <s v="No"/>
    <n v="0"/>
    <x v="1"/>
    <n v="1"/>
  </r>
  <r>
    <s v="T001762"/>
    <x v="1605"/>
    <d v="2026-03-20T00:36:00"/>
    <x v="6"/>
    <s v="Field Visit"/>
    <x v="0"/>
    <s v="A005"/>
    <x v="0"/>
    <n v="72"/>
    <n v="104.6"/>
    <x v="1"/>
    <s v="No"/>
    <s v="No"/>
    <n v="5"/>
    <s v="Closed"/>
    <s v="March"/>
    <x v="2"/>
    <n v="2026"/>
    <s v="No"/>
    <n v="0"/>
    <x v="1"/>
    <n v="1"/>
  </r>
  <r>
    <s v="T001761"/>
    <x v="1605"/>
    <d v="2026-03-16T00:54:00"/>
    <x v="6"/>
    <s v="Chat"/>
    <x v="1"/>
    <s v="A014"/>
    <x v="0"/>
    <n v="24"/>
    <n v="8.9"/>
    <x v="0"/>
    <s v="Yes"/>
    <s v="No"/>
    <n v="4"/>
    <s v="Closed"/>
    <s v="March"/>
    <x v="2"/>
    <n v="2026"/>
    <s v="Yes"/>
    <n v="1"/>
    <x v="1"/>
    <n v="0"/>
  </r>
  <r>
    <s v="T001763"/>
    <x v="1606"/>
    <d v="2026-03-15T23:37:00"/>
    <x v="1"/>
    <s v="Phone"/>
    <x v="0"/>
    <s v="A024"/>
    <x v="2"/>
    <n v="72"/>
    <n v="7.4"/>
    <x v="0"/>
    <s v="Yes"/>
    <s v="No"/>
    <n v="5"/>
    <s v="Closed"/>
    <s v="March"/>
    <x v="2"/>
    <n v="2026"/>
    <s v="Yes"/>
    <n v="1"/>
    <x v="4"/>
    <n v="0"/>
  </r>
  <r>
    <s v="T001764"/>
    <x v="1607"/>
    <d v="2026-03-15T21:49:00"/>
    <x v="1"/>
    <s v="Phone"/>
    <x v="0"/>
    <s v="A001"/>
    <x v="0"/>
    <n v="72"/>
    <n v="5.5"/>
    <x v="0"/>
    <s v="Yes"/>
    <s v="No"/>
    <m/>
    <s v="Closed"/>
    <s v="March"/>
    <x v="2"/>
    <n v="2026"/>
    <s v="Yes"/>
    <n v="1"/>
    <x v="1"/>
    <n v="0"/>
  </r>
  <r>
    <s v="T001765"/>
    <x v="1608"/>
    <d v="2026-03-16T07:35:00"/>
    <x v="2"/>
    <s v="Field Visit"/>
    <x v="2"/>
    <s v="A044"/>
    <x v="1"/>
    <n v="4"/>
    <n v="15.1"/>
    <x v="1"/>
    <s v="No"/>
    <s v="No"/>
    <n v="4"/>
    <s v="Closed"/>
    <s v="March"/>
    <x v="2"/>
    <n v="2026"/>
    <s v="No"/>
    <n v="0"/>
    <x v="3"/>
    <n v="1"/>
  </r>
  <r>
    <s v="T001766"/>
    <x v="1609"/>
    <d v="2026-03-23T00:32:00"/>
    <x v="3"/>
    <s v="Field Visit"/>
    <x v="1"/>
    <s v="A041"/>
    <x v="1"/>
    <n v="24"/>
    <n v="175.8"/>
    <x v="1"/>
    <s v="No"/>
    <s v="No"/>
    <n v="3"/>
    <s v="Closed"/>
    <s v="March"/>
    <x v="2"/>
    <n v="2026"/>
    <s v="No"/>
    <n v="0"/>
    <x v="1"/>
    <n v="1"/>
  </r>
  <r>
    <s v="T001767"/>
    <x v="1610"/>
    <d v="2026-03-18T11:00:00"/>
    <x v="6"/>
    <s v="Field Visit"/>
    <x v="0"/>
    <s v="A051"/>
    <x v="1"/>
    <n v="72"/>
    <n v="66"/>
    <x v="1"/>
    <s v="No"/>
    <s v="No"/>
    <n v="4"/>
    <s v="Closed"/>
    <s v="March"/>
    <x v="2"/>
    <n v="2026"/>
    <s v="Yes"/>
    <n v="1"/>
    <x v="1"/>
    <n v="1"/>
  </r>
  <r>
    <s v="T001768"/>
    <x v="1611"/>
    <d v="2026-03-16T01:43:00"/>
    <x v="2"/>
    <s v="Chat"/>
    <x v="0"/>
    <s v="A008"/>
    <x v="0"/>
    <n v="72"/>
    <n v="8.1999999999999993"/>
    <x v="0"/>
    <s v="Yes"/>
    <s v="No"/>
    <n v="3"/>
    <s v="Closed"/>
    <s v="March"/>
    <x v="2"/>
    <n v="2026"/>
    <s v="Yes"/>
    <n v="1"/>
    <x v="2"/>
    <n v="0"/>
  </r>
  <r>
    <s v="T001769"/>
    <x v="1612"/>
    <d v="2026-03-20T19:47:00"/>
    <x v="4"/>
    <s v="Field Visit"/>
    <x v="1"/>
    <s v="A023"/>
    <x v="2"/>
    <n v="24"/>
    <n v="122.1"/>
    <x v="1"/>
    <s v="No"/>
    <s v="No"/>
    <n v="5"/>
    <s v="Closed"/>
    <s v="March"/>
    <x v="2"/>
    <n v="2026"/>
    <s v="No"/>
    <n v="0"/>
    <x v="3"/>
    <n v="1"/>
  </r>
  <r>
    <s v="T001773"/>
    <x v="1613"/>
    <d v="2026-03-17T06:42:00"/>
    <x v="6"/>
    <s v="Chat"/>
    <x v="1"/>
    <s v="A008"/>
    <x v="0"/>
    <n v="24"/>
    <n v="36.700000000000003"/>
    <x v="1"/>
    <s v="No"/>
    <s v="No"/>
    <m/>
    <s v="Closed"/>
    <s v="March"/>
    <x v="2"/>
    <n v="2026"/>
    <s v="No"/>
    <n v="0"/>
    <x v="1"/>
    <n v="1"/>
  </r>
  <r>
    <s v="T001772"/>
    <x v="1613"/>
    <d v="2026-03-16T15:36:00"/>
    <x v="6"/>
    <s v="Chat"/>
    <x v="1"/>
    <s v="A008"/>
    <x v="0"/>
    <n v="24"/>
    <n v="21.6"/>
    <x v="1"/>
    <s v="No"/>
    <s v="No"/>
    <n v="5"/>
    <s v="Closed"/>
    <s v="March"/>
    <x v="2"/>
    <n v="2026"/>
    <s v="Yes"/>
    <n v="1"/>
    <x v="1"/>
    <n v="1"/>
  </r>
  <r>
    <s v="T001771"/>
    <x v="1613"/>
    <d v="2026-03-16T00:36:00"/>
    <x v="6"/>
    <s v="Chat"/>
    <x v="0"/>
    <s v="A047"/>
    <x v="1"/>
    <n v="72"/>
    <n v="6.6"/>
    <x v="1"/>
    <s v="No"/>
    <s v="No"/>
    <n v="5"/>
    <s v="Closed"/>
    <s v="March"/>
    <x v="2"/>
    <n v="2026"/>
    <s v="Yes"/>
    <n v="1"/>
    <x v="1"/>
    <n v="1"/>
  </r>
  <r>
    <s v="T001770"/>
    <x v="1613"/>
    <d v="2026-03-20T19:00:00"/>
    <x v="6"/>
    <s v="Email"/>
    <x v="1"/>
    <s v="A046"/>
    <x v="1"/>
    <n v="24"/>
    <n v="121"/>
    <x v="1"/>
    <s v="No"/>
    <s v="No"/>
    <n v="2"/>
    <s v="Closed"/>
    <s v="March"/>
    <x v="2"/>
    <n v="2026"/>
    <s v="No"/>
    <n v="0"/>
    <x v="1"/>
    <n v="1"/>
  </r>
  <r>
    <s v="T001774"/>
    <x v="1614"/>
    <d v="2026-03-17T02:17:00"/>
    <x v="1"/>
    <s v="Email"/>
    <x v="1"/>
    <s v="A046"/>
    <x v="1"/>
    <n v="24"/>
    <n v="31.7"/>
    <x v="1"/>
    <s v="No"/>
    <s v="Yes"/>
    <n v="3"/>
    <s v="Closed"/>
    <s v="March"/>
    <x v="2"/>
    <n v="2026"/>
    <s v="No"/>
    <n v="0"/>
    <x v="3"/>
    <n v="1"/>
  </r>
  <r>
    <s v="T001775"/>
    <x v="1615"/>
    <d v="2026-03-20T15:22:00"/>
    <x v="3"/>
    <s v="Email"/>
    <x v="0"/>
    <s v="A037"/>
    <x v="1"/>
    <n v="72"/>
    <n v="116.7"/>
    <x v="1"/>
    <s v="No"/>
    <s v="No"/>
    <n v="4"/>
    <s v="Closed"/>
    <s v="March"/>
    <x v="2"/>
    <n v="2026"/>
    <s v="No"/>
    <n v="0"/>
    <x v="3"/>
    <n v="1"/>
  </r>
  <r>
    <s v="T001777"/>
    <x v="1616"/>
    <d v="2026-03-16T22:12:00"/>
    <x v="6"/>
    <s v="Phone"/>
    <x v="2"/>
    <s v="A058"/>
    <x v="1"/>
    <n v="4"/>
    <n v="27.2"/>
    <x v="1"/>
    <s v="No"/>
    <s v="No"/>
    <m/>
    <s v="Closed"/>
    <s v="March"/>
    <x v="2"/>
    <n v="2026"/>
    <s v="No"/>
    <n v="0"/>
    <x v="1"/>
    <n v="1"/>
  </r>
  <r>
    <s v="T001776"/>
    <x v="1616"/>
    <d v="2026-03-17T05:30:00"/>
    <x v="6"/>
    <s v="Phone"/>
    <x v="2"/>
    <s v="A003"/>
    <x v="0"/>
    <n v="4"/>
    <n v="34.5"/>
    <x v="1"/>
    <s v="No"/>
    <s v="Yes"/>
    <n v="4"/>
    <s v="Closed"/>
    <s v="March"/>
    <x v="2"/>
    <n v="2026"/>
    <s v="No"/>
    <n v="0"/>
    <x v="1"/>
    <n v="1"/>
  </r>
  <r>
    <s v="T001778"/>
    <x v="1617"/>
    <d v="2026-03-16T03:29:00"/>
    <x v="1"/>
    <s v="Chat"/>
    <x v="0"/>
    <s v="A024"/>
    <x v="2"/>
    <n v="72"/>
    <n v="7.5"/>
    <x v="1"/>
    <s v="No"/>
    <s v="No"/>
    <m/>
    <s v="Closed"/>
    <s v="March"/>
    <x v="2"/>
    <n v="2026"/>
    <s v="Yes"/>
    <n v="1"/>
    <x v="2"/>
    <n v="1"/>
  </r>
  <r>
    <s v="T001781"/>
    <x v="1618"/>
    <d v="2026-03-19T16:54:00"/>
    <x v="6"/>
    <s v="Field Visit"/>
    <x v="2"/>
    <s v="A016"/>
    <x v="2"/>
    <n v="4"/>
    <n v="92.9"/>
    <x v="1"/>
    <s v="No"/>
    <s v="No"/>
    <n v="3"/>
    <s v="Closed"/>
    <s v="March"/>
    <x v="2"/>
    <n v="2026"/>
    <s v="No"/>
    <n v="0"/>
    <x v="1"/>
    <n v="1"/>
  </r>
  <r>
    <s v="T001779"/>
    <x v="1618"/>
    <d v="2026-03-21T02:54:00"/>
    <x v="6"/>
    <s v="Field Visit"/>
    <x v="2"/>
    <s v="A055"/>
    <x v="1"/>
    <n v="4"/>
    <n v="126.9"/>
    <x v="1"/>
    <s v="No"/>
    <s v="Yes"/>
    <m/>
    <s v="Closed"/>
    <s v="March"/>
    <x v="2"/>
    <n v="2026"/>
    <s v="No"/>
    <n v="0"/>
    <x v="1"/>
    <n v="1"/>
  </r>
  <r>
    <s v="T001782"/>
    <x v="1618"/>
    <d v="2026-03-17T22:30:00"/>
    <x v="6"/>
    <s v="Field Visit"/>
    <x v="1"/>
    <s v="A007"/>
    <x v="0"/>
    <n v="24"/>
    <n v="50.5"/>
    <x v="0"/>
    <s v="Yes"/>
    <s v="Yes"/>
    <n v="2"/>
    <s v="Closed"/>
    <s v="March"/>
    <x v="2"/>
    <n v="2026"/>
    <s v="No"/>
    <n v="0"/>
    <x v="1"/>
    <n v="0"/>
  </r>
  <r>
    <s v="T001780"/>
    <x v="1618"/>
    <d v="2026-03-16T15:24:00"/>
    <x v="6"/>
    <s v="Phone"/>
    <x v="1"/>
    <s v="A032"/>
    <x v="2"/>
    <n v="24"/>
    <n v="19.399999999999999"/>
    <x v="1"/>
    <s v="No"/>
    <s v="No"/>
    <n v="4"/>
    <s v="Closed"/>
    <s v="March"/>
    <x v="2"/>
    <n v="2026"/>
    <s v="Yes"/>
    <n v="1"/>
    <x v="1"/>
    <n v="1"/>
  </r>
  <r>
    <s v="T001783"/>
    <x v="1619"/>
    <d v="2026-03-16T08:26:00"/>
    <x v="1"/>
    <s v="Email"/>
    <x v="0"/>
    <s v="A024"/>
    <x v="2"/>
    <n v="72"/>
    <n v="11.7"/>
    <x v="1"/>
    <s v="No"/>
    <s v="No"/>
    <m/>
    <s v="Closed"/>
    <s v="March"/>
    <x v="2"/>
    <n v="2026"/>
    <s v="Yes"/>
    <n v="1"/>
    <x v="4"/>
    <n v="1"/>
  </r>
  <r>
    <s v="T001786"/>
    <x v="1620"/>
    <d v="2026-03-18T02:24:00"/>
    <x v="6"/>
    <s v="Phone"/>
    <x v="1"/>
    <s v="A008"/>
    <x v="0"/>
    <n v="24"/>
    <n v="53.4"/>
    <x v="0"/>
    <s v="Yes"/>
    <s v="No"/>
    <n v="3"/>
    <s v="Closed"/>
    <s v="March"/>
    <x v="2"/>
    <n v="2026"/>
    <s v="No"/>
    <n v="0"/>
    <x v="1"/>
    <n v="0"/>
  </r>
  <r>
    <s v="T001784"/>
    <x v="1620"/>
    <d v="2026-03-18T16:12:00"/>
    <x v="6"/>
    <s v="Field Visit"/>
    <x v="1"/>
    <s v="A036"/>
    <x v="1"/>
    <n v="24"/>
    <n v="67.2"/>
    <x v="1"/>
    <s v="No"/>
    <s v="No"/>
    <n v="3"/>
    <s v="Closed"/>
    <s v="March"/>
    <x v="2"/>
    <n v="2026"/>
    <s v="No"/>
    <n v="0"/>
    <x v="1"/>
    <n v="1"/>
  </r>
  <r>
    <s v="T001785"/>
    <x v="1620"/>
    <d v="2026-03-17T03:54:00"/>
    <x v="6"/>
    <s v="Field Visit"/>
    <x v="1"/>
    <s v="A052"/>
    <x v="1"/>
    <n v="24"/>
    <n v="30.9"/>
    <x v="1"/>
    <s v="No"/>
    <s v="No"/>
    <m/>
    <s v="Closed"/>
    <s v="March"/>
    <x v="2"/>
    <n v="2026"/>
    <s v="No"/>
    <n v="0"/>
    <x v="1"/>
    <n v="1"/>
  </r>
  <r>
    <s v="T001787"/>
    <x v="1621"/>
    <d v="2026-04-10T22:33:00"/>
    <x v="4"/>
    <s v="Field Visit"/>
    <x v="0"/>
    <s v="A049"/>
    <x v="1"/>
    <n v="72"/>
    <n v="623.4"/>
    <x v="0"/>
    <s v="No"/>
    <s v="No"/>
    <n v="2"/>
    <s v="Closed"/>
    <s v="March"/>
    <x v="2"/>
    <n v="2026"/>
    <s v="No"/>
    <n v="0"/>
    <x v="1"/>
    <n v="0"/>
  </r>
  <r>
    <s v="T001788"/>
    <x v="1622"/>
    <d v="2026-03-17T12:40:00"/>
    <x v="0"/>
    <s v="Field Visit"/>
    <x v="1"/>
    <s v="A058"/>
    <x v="1"/>
    <n v="24"/>
    <n v="28.8"/>
    <x v="1"/>
    <s v="No"/>
    <s v="No"/>
    <n v="4"/>
    <s v="Closed"/>
    <s v="March"/>
    <x v="2"/>
    <n v="2026"/>
    <s v="No"/>
    <n v="0"/>
    <x v="2"/>
    <n v="1"/>
  </r>
  <r>
    <s v="T001789"/>
    <x v="1623"/>
    <d v="2026-03-16T12:09:00"/>
    <x v="6"/>
    <s v="Phone"/>
    <x v="1"/>
    <s v="A026"/>
    <x v="2"/>
    <n v="24"/>
    <n v="2.5"/>
    <x v="1"/>
    <s v="No"/>
    <s v="No"/>
    <n v="5"/>
    <s v="Closed"/>
    <s v="March"/>
    <x v="2"/>
    <n v="2026"/>
    <s v="Yes"/>
    <n v="1"/>
    <x v="1"/>
    <n v="1"/>
  </r>
  <r>
    <s v="T001790"/>
    <x v="1624"/>
    <d v="2026-03-16T16:49:00"/>
    <x v="2"/>
    <s v="Chat"/>
    <x v="1"/>
    <s v="A029"/>
    <x v="2"/>
    <n v="24"/>
    <n v="6.7"/>
    <x v="1"/>
    <s v="No"/>
    <s v="No"/>
    <m/>
    <s v="Closed"/>
    <s v="March"/>
    <x v="2"/>
    <n v="2026"/>
    <s v="Yes"/>
    <n v="1"/>
    <x v="4"/>
    <n v="1"/>
  </r>
  <r>
    <s v="T001791"/>
    <x v="1625"/>
    <d v="2026-03-16T20:31:00"/>
    <x v="6"/>
    <s v="Phone"/>
    <x v="1"/>
    <s v="A038"/>
    <x v="1"/>
    <n v="24"/>
    <n v="9.6"/>
    <x v="1"/>
    <s v="No"/>
    <s v="No"/>
    <m/>
    <s v="Closed"/>
    <s v="March"/>
    <x v="2"/>
    <n v="2026"/>
    <s v="Yes"/>
    <n v="1"/>
    <x v="3"/>
    <n v="1"/>
  </r>
  <r>
    <s v="T001792"/>
    <x v="1626"/>
    <d v="2026-03-17T01:35:00"/>
    <x v="1"/>
    <s v="Email"/>
    <x v="2"/>
    <s v="A059"/>
    <x v="1"/>
    <n v="4"/>
    <n v="12.7"/>
    <x v="1"/>
    <s v="No"/>
    <s v="No"/>
    <m/>
    <s v="Closed"/>
    <s v="March"/>
    <x v="2"/>
    <n v="2026"/>
    <s v="No"/>
    <n v="0"/>
    <x v="2"/>
    <n v="1"/>
  </r>
  <r>
    <s v="T001793"/>
    <x v="1627"/>
    <d v="2026-03-17T15:50:00"/>
    <x v="0"/>
    <s v="Field Visit"/>
    <x v="2"/>
    <s v="A008"/>
    <x v="0"/>
    <n v="4"/>
    <n v="26.2"/>
    <x v="1"/>
    <s v="No"/>
    <s v="No"/>
    <n v="3"/>
    <s v="Closed"/>
    <s v="March"/>
    <x v="2"/>
    <n v="2026"/>
    <s v="No"/>
    <n v="0"/>
    <x v="1"/>
    <n v="1"/>
  </r>
  <r>
    <s v="T001794"/>
    <x v="1628"/>
    <d v="2026-03-16T22:37:00"/>
    <x v="1"/>
    <s v="Chat"/>
    <x v="1"/>
    <s v="A002"/>
    <x v="0"/>
    <n v="24"/>
    <n v="7.3"/>
    <x v="1"/>
    <s v="No"/>
    <s v="No"/>
    <n v="5"/>
    <s v="Closed"/>
    <s v="March"/>
    <x v="2"/>
    <n v="2026"/>
    <s v="Yes"/>
    <n v="1"/>
    <x v="4"/>
    <n v="1"/>
  </r>
  <r>
    <s v="T001795"/>
    <x v="1629"/>
    <d v="2026-03-17T17:57:00"/>
    <x v="6"/>
    <s v="Phone"/>
    <x v="2"/>
    <s v="A019"/>
    <x v="2"/>
    <n v="4"/>
    <n v="26.1"/>
    <x v="1"/>
    <s v="No"/>
    <s v="No"/>
    <m/>
    <s v="Closed"/>
    <s v="March"/>
    <x v="2"/>
    <n v="2026"/>
    <s v="No"/>
    <n v="0"/>
    <x v="2"/>
    <n v="1"/>
  </r>
  <r>
    <s v="T001796"/>
    <x v="1630"/>
    <d v="2026-03-16T20:03:00"/>
    <x v="0"/>
    <s v="Chat"/>
    <x v="1"/>
    <s v="A004"/>
    <x v="0"/>
    <n v="24"/>
    <n v="4.0999999999999996"/>
    <x v="1"/>
    <s v="No"/>
    <s v="No"/>
    <n v="5"/>
    <s v="Closed"/>
    <s v="March"/>
    <x v="2"/>
    <n v="2026"/>
    <s v="Yes"/>
    <n v="1"/>
    <x v="3"/>
    <n v="1"/>
  </r>
  <r>
    <s v="T001797"/>
    <x v="1631"/>
    <d v="2026-03-16T23:38:00"/>
    <x v="6"/>
    <s v="Chat"/>
    <x v="1"/>
    <s v="A036"/>
    <x v="1"/>
    <n v="24"/>
    <n v="6.1"/>
    <x v="1"/>
    <s v="No"/>
    <s v="No"/>
    <n v="5"/>
    <s v="Closed"/>
    <s v="March"/>
    <x v="2"/>
    <n v="2026"/>
    <s v="Yes"/>
    <n v="1"/>
    <x v="4"/>
    <n v="1"/>
  </r>
  <r>
    <s v="T001798"/>
    <x v="1632"/>
    <d v="2026-03-16T23:46:00"/>
    <x v="5"/>
    <s v="Chat"/>
    <x v="0"/>
    <s v="A052"/>
    <x v="1"/>
    <n v="72"/>
    <n v="6.1"/>
    <x v="1"/>
    <s v="No"/>
    <s v="No"/>
    <m/>
    <s v="Closed"/>
    <s v="March"/>
    <x v="2"/>
    <n v="2026"/>
    <s v="Yes"/>
    <n v="1"/>
    <x v="4"/>
    <n v="1"/>
  </r>
  <r>
    <s v="T001799"/>
    <x v="1633"/>
    <d v="2026-03-18T16:44:00"/>
    <x v="4"/>
    <s v="Chat"/>
    <x v="2"/>
    <s v="A040"/>
    <x v="1"/>
    <n v="4"/>
    <n v="43.5"/>
    <x v="1"/>
    <s v="No"/>
    <s v="Yes"/>
    <m/>
    <s v="Closed"/>
    <s v="March"/>
    <x v="2"/>
    <n v="2026"/>
    <s v="No"/>
    <n v="0"/>
    <x v="1"/>
    <n v="1"/>
  </r>
  <r>
    <s v="T001800"/>
    <x v="1634"/>
    <d v="2026-03-19T10:39:00"/>
    <x v="4"/>
    <s v="Email"/>
    <x v="1"/>
    <s v="A018"/>
    <x v="2"/>
    <n v="24"/>
    <n v="54.5"/>
    <x v="1"/>
    <s v="No"/>
    <s v="No"/>
    <m/>
    <s v="Closed"/>
    <s v="March"/>
    <x v="2"/>
    <n v="2026"/>
    <s v="No"/>
    <n v="0"/>
    <x v="1"/>
    <n v="1"/>
  </r>
  <r>
    <s v="T001801"/>
    <x v="1635"/>
    <d v="2026-03-17T15:55:00"/>
    <x v="3"/>
    <s v="Chat"/>
    <x v="1"/>
    <s v="A039"/>
    <x v="1"/>
    <n v="24"/>
    <n v="8.8000000000000007"/>
    <x v="1"/>
    <s v="No"/>
    <s v="No"/>
    <n v="4"/>
    <s v="Closed"/>
    <s v="March"/>
    <x v="2"/>
    <n v="2026"/>
    <s v="Yes"/>
    <n v="1"/>
    <x v="1"/>
    <n v="1"/>
  </r>
  <r>
    <s v="T001802"/>
    <x v="1636"/>
    <d v="2026-03-18T00:50:00"/>
    <x v="0"/>
    <s v="Chat"/>
    <x v="2"/>
    <s v="A028"/>
    <x v="2"/>
    <n v="4"/>
    <n v="16.7"/>
    <x v="1"/>
    <s v="No"/>
    <s v="No"/>
    <n v="3"/>
    <s v="Closed"/>
    <s v="March"/>
    <x v="2"/>
    <n v="2026"/>
    <s v="No"/>
    <n v="0"/>
    <x v="4"/>
    <n v="1"/>
  </r>
  <r>
    <s v="T001803"/>
    <x v="1637"/>
    <d v="2026-03-18T06:48:00"/>
    <x v="6"/>
    <s v="Field Visit"/>
    <x v="1"/>
    <s v="A036"/>
    <x v="1"/>
    <n v="24"/>
    <n v="22.6"/>
    <x v="1"/>
    <s v="No"/>
    <s v="No"/>
    <n v="5"/>
    <s v="Closed"/>
    <s v="March"/>
    <x v="2"/>
    <n v="2026"/>
    <s v="Yes"/>
    <n v="1"/>
    <x v="2"/>
    <n v="1"/>
  </r>
  <r>
    <s v="T001804"/>
    <x v="1638"/>
    <d v="2026-03-21T01:24:00"/>
    <x v="4"/>
    <s v="Email"/>
    <x v="1"/>
    <s v="A056"/>
    <x v="1"/>
    <n v="24"/>
    <m/>
    <x v="0"/>
    <s v="Yes"/>
    <s v="No"/>
    <m/>
    <s v="Closed"/>
    <s v="March"/>
    <x v="2"/>
    <n v="2026"/>
    <m/>
    <m/>
    <x v="4"/>
    <n v="0"/>
  </r>
  <r>
    <s v="T001805"/>
    <x v="1639"/>
    <d v="2026-03-18T07:50:00"/>
    <x v="3"/>
    <s v="Field Visit"/>
    <x v="1"/>
    <s v="A014"/>
    <x v="0"/>
    <n v="24"/>
    <n v="22.2"/>
    <x v="1"/>
    <s v="No"/>
    <s v="No"/>
    <n v="5"/>
    <s v="Closed"/>
    <s v="March"/>
    <x v="2"/>
    <n v="2026"/>
    <s v="Yes"/>
    <n v="1"/>
    <x v="4"/>
    <n v="1"/>
  </r>
  <r>
    <s v="T001806"/>
    <x v="1640"/>
    <d v="2026-03-17T15:38:00"/>
    <x v="2"/>
    <s v="Chat"/>
    <x v="0"/>
    <s v="A025"/>
    <x v="2"/>
    <n v="72"/>
    <n v="4.7"/>
    <x v="0"/>
    <s v="No"/>
    <s v="No"/>
    <n v="4"/>
    <s v="Closed"/>
    <s v="March"/>
    <x v="2"/>
    <n v="2026"/>
    <s v="Yes"/>
    <n v="1"/>
    <x v="4"/>
    <n v="0"/>
  </r>
  <r>
    <s v="T001807"/>
    <x v="1641"/>
    <d v="2026-03-17T18:53:00"/>
    <x v="2"/>
    <s v="Phone"/>
    <x v="1"/>
    <s v="A001"/>
    <x v="0"/>
    <n v="24"/>
    <n v="7.9"/>
    <x v="0"/>
    <s v="Yes"/>
    <s v="No"/>
    <m/>
    <s v="Closed"/>
    <s v="March"/>
    <x v="2"/>
    <n v="2026"/>
    <s v="Yes"/>
    <n v="1"/>
    <x v="2"/>
    <n v="0"/>
  </r>
  <r>
    <s v="T001808"/>
    <x v="1642"/>
    <d v="2026-03-17T16:03:00"/>
    <x v="1"/>
    <s v="Phone"/>
    <x v="1"/>
    <s v="A016"/>
    <x v="2"/>
    <n v="24"/>
    <n v="3.2"/>
    <x v="1"/>
    <s v="No"/>
    <s v="No"/>
    <m/>
    <s v="Closed"/>
    <s v="March"/>
    <x v="2"/>
    <n v="2026"/>
    <s v="Yes"/>
    <n v="1"/>
    <x v="3"/>
    <n v="1"/>
  </r>
  <r>
    <s v="T001809"/>
    <x v="1643"/>
    <d v="2026-03-17T18:52:00"/>
    <x v="1"/>
    <s v="Phone"/>
    <x v="1"/>
    <s v="A002"/>
    <x v="0"/>
    <n v="24"/>
    <n v="5"/>
    <x v="0"/>
    <s v="No"/>
    <s v="No"/>
    <n v="4"/>
    <s v="Closed"/>
    <s v="March"/>
    <x v="2"/>
    <n v="2026"/>
    <s v="Yes"/>
    <n v="1"/>
    <x v="0"/>
    <n v="0"/>
  </r>
  <r>
    <s v="T001810"/>
    <x v="1644"/>
    <d v="2026-03-23T01:37:00"/>
    <x v="4"/>
    <s v="Field Visit"/>
    <x v="1"/>
    <s v="A017"/>
    <x v="2"/>
    <n v="24"/>
    <n v="131.69999999999999"/>
    <x v="0"/>
    <s v="Yes"/>
    <s v="No"/>
    <n v="2"/>
    <s v="Closed"/>
    <s v="March"/>
    <x v="2"/>
    <n v="2026"/>
    <s v="No"/>
    <n v="0"/>
    <x v="2"/>
    <n v="0"/>
  </r>
  <r>
    <s v="T001811"/>
    <x v="1645"/>
    <d v="2026-03-18T22:09:00"/>
    <x v="4"/>
    <s v="Phone"/>
    <x v="1"/>
    <s v="A007"/>
    <x v="0"/>
    <n v="24"/>
    <n v="30"/>
    <x v="0"/>
    <s v="No"/>
    <s v="No"/>
    <m/>
    <s v="Closed"/>
    <s v="March"/>
    <x v="2"/>
    <n v="2026"/>
    <s v="No"/>
    <n v="0"/>
    <x v="2"/>
    <n v="0"/>
  </r>
  <r>
    <s v="T001812"/>
    <x v="1646"/>
    <d v="2026-03-17T23:45:00"/>
    <x v="1"/>
    <s v="Phone"/>
    <x v="0"/>
    <s v="A023"/>
    <x v="2"/>
    <n v="72"/>
    <n v="5.3"/>
    <x v="1"/>
    <s v="No"/>
    <s v="No"/>
    <n v="4"/>
    <s v="Closed"/>
    <s v="March"/>
    <x v="2"/>
    <n v="2026"/>
    <s v="Yes"/>
    <n v="1"/>
    <x v="3"/>
    <n v="1"/>
  </r>
  <r>
    <s v="T001813"/>
    <x v="1647"/>
    <d v="2026-03-18T10:49:00"/>
    <x v="6"/>
    <s v="Field Visit"/>
    <x v="2"/>
    <s v="A026"/>
    <x v="2"/>
    <n v="4"/>
    <n v="15.8"/>
    <x v="1"/>
    <s v="No"/>
    <s v="No"/>
    <m/>
    <s v="Closed"/>
    <s v="March"/>
    <x v="2"/>
    <n v="2026"/>
    <s v="No"/>
    <n v="0"/>
    <x v="3"/>
    <n v="1"/>
  </r>
  <r>
    <s v="T001814"/>
    <x v="1648"/>
    <d v="2026-03-18T18:43:00"/>
    <x v="5"/>
    <s v="Field Visit"/>
    <x v="0"/>
    <s v="A014"/>
    <x v="0"/>
    <n v="72"/>
    <n v="23.2"/>
    <x v="0"/>
    <s v="Yes"/>
    <s v="No"/>
    <n v="5"/>
    <s v="Closed"/>
    <s v="March"/>
    <x v="2"/>
    <n v="2026"/>
    <s v="Yes"/>
    <n v="1"/>
    <x v="0"/>
    <n v="0"/>
  </r>
  <r>
    <s v="T001815"/>
    <x v="1649"/>
    <d v="2026-03-18T17:00:00"/>
    <x v="3"/>
    <s v="Chat"/>
    <x v="1"/>
    <s v="A045"/>
    <x v="1"/>
    <n v="24"/>
    <n v="18.600000000000001"/>
    <x v="1"/>
    <s v="No"/>
    <s v="Yes"/>
    <n v="4"/>
    <s v="Closed"/>
    <s v="March"/>
    <x v="2"/>
    <n v="2026"/>
    <s v="Yes"/>
    <n v="1"/>
    <x v="4"/>
    <n v="1"/>
  </r>
  <r>
    <s v="T001816"/>
    <x v="1650"/>
    <d v="2026-03-18T00:03:00"/>
    <x v="6"/>
    <s v="Chat"/>
    <x v="2"/>
    <s v="A017"/>
    <x v="2"/>
    <n v="4"/>
    <n v="1.6"/>
    <x v="1"/>
    <s v="No"/>
    <s v="No"/>
    <m/>
    <s v="Closed"/>
    <s v="March"/>
    <x v="2"/>
    <n v="2026"/>
    <s v="Yes"/>
    <n v="1"/>
    <x v="3"/>
    <n v="1"/>
  </r>
  <r>
    <s v="T001817"/>
    <x v="1651"/>
    <d v="2026-03-24T02:21:00"/>
    <x v="4"/>
    <s v="Field Visit"/>
    <x v="1"/>
    <s v="A057"/>
    <x v="1"/>
    <n v="24"/>
    <n v="147.80000000000001"/>
    <x v="1"/>
    <s v="No"/>
    <s v="No"/>
    <n v="3"/>
    <s v="Closed"/>
    <s v="March"/>
    <x v="2"/>
    <n v="2026"/>
    <s v="No"/>
    <n v="0"/>
    <x v="2"/>
    <n v="1"/>
  </r>
  <r>
    <s v="T001818"/>
    <x v="1652"/>
    <d v="2026-03-18T10:16:00"/>
    <x v="6"/>
    <s v="Phone"/>
    <x v="1"/>
    <s v="A043"/>
    <x v="1"/>
    <n v="24"/>
    <n v="6.3"/>
    <x v="1"/>
    <s v="No"/>
    <s v="No"/>
    <n v="5"/>
    <s v="Closed"/>
    <s v="March"/>
    <x v="2"/>
    <n v="2026"/>
    <s v="Yes"/>
    <n v="1"/>
    <x v="0"/>
    <n v="1"/>
  </r>
  <r>
    <s v="T001819"/>
    <x v="1653"/>
    <d v="2026-03-18T07:59:00"/>
    <x v="6"/>
    <s v="Phone"/>
    <x v="2"/>
    <s v="A045"/>
    <x v="1"/>
    <n v="4"/>
    <n v="3.7"/>
    <x v="1"/>
    <s v="No"/>
    <s v="Yes"/>
    <n v="3"/>
    <s v="Closed"/>
    <s v="March"/>
    <x v="2"/>
    <n v="2026"/>
    <s v="Yes"/>
    <n v="1"/>
    <x v="2"/>
    <n v="1"/>
  </r>
  <r>
    <s v="T001820"/>
    <x v="1654"/>
    <d v="2026-03-18T09:17:00"/>
    <x v="6"/>
    <s v="Phone"/>
    <x v="1"/>
    <s v="A054"/>
    <x v="1"/>
    <n v="24"/>
    <n v="4.2"/>
    <x v="1"/>
    <s v="No"/>
    <s v="No"/>
    <m/>
    <s v="Closed"/>
    <s v="March"/>
    <x v="2"/>
    <n v="2026"/>
    <s v="Yes"/>
    <n v="1"/>
    <x v="1"/>
    <n v="1"/>
  </r>
  <r>
    <s v="T001821"/>
    <x v="1655"/>
    <d v="2026-03-18T10:25:00"/>
    <x v="3"/>
    <s v="Phone"/>
    <x v="1"/>
    <s v="A005"/>
    <x v="0"/>
    <n v="24"/>
    <n v="4.7"/>
    <x v="0"/>
    <s v="No"/>
    <s v="No"/>
    <m/>
    <s v="Closed"/>
    <s v="March"/>
    <x v="2"/>
    <n v="2026"/>
    <s v="Yes"/>
    <n v="1"/>
    <x v="1"/>
    <n v="0"/>
  </r>
  <r>
    <s v="T001822"/>
    <x v="1656"/>
    <d v="2026-03-19T06:16:00"/>
    <x v="3"/>
    <s v="Phone"/>
    <x v="2"/>
    <s v="A040"/>
    <x v="1"/>
    <n v="4"/>
    <n v="22.8"/>
    <x v="1"/>
    <s v="No"/>
    <s v="No"/>
    <m/>
    <s v="Closed"/>
    <s v="March"/>
    <x v="2"/>
    <n v="2026"/>
    <s v="No"/>
    <n v="0"/>
    <x v="3"/>
    <n v="1"/>
  </r>
  <r>
    <s v="T001823"/>
    <x v="1657"/>
    <d v="2026-03-19T08:57:00"/>
    <x v="3"/>
    <s v="Chat"/>
    <x v="1"/>
    <s v="A042"/>
    <x v="1"/>
    <n v="24"/>
    <n v="25.4"/>
    <x v="0"/>
    <s v="Yes"/>
    <s v="No"/>
    <n v="5"/>
    <s v="Closed"/>
    <s v="March"/>
    <x v="2"/>
    <n v="2026"/>
    <s v="No"/>
    <n v="0"/>
    <x v="3"/>
    <n v="0"/>
  </r>
  <r>
    <s v="T001824"/>
    <x v="1658"/>
    <d v="2026-03-18T12:48:00"/>
    <x v="2"/>
    <s v="Phone"/>
    <x v="2"/>
    <s v="A007"/>
    <x v="0"/>
    <n v="4"/>
    <n v="5.0999999999999996"/>
    <x v="0"/>
    <s v="Yes"/>
    <s v="No"/>
    <m/>
    <s v="Closed"/>
    <s v="March"/>
    <x v="2"/>
    <n v="2026"/>
    <s v="No"/>
    <n v="0"/>
    <x v="3"/>
    <n v="0"/>
  </r>
  <r>
    <s v="T001825"/>
    <x v="1659"/>
    <d v="2026-03-18T15:46:00"/>
    <x v="6"/>
    <s v="Phone"/>
    <x v="1"/>
    <s v="A011"/>
    <x v="0"/>
    <n v="24"/>
    <n v="7.2"/>
    <x v="0"/>
    <s v="No"/>
    <s v="No"/>
    <n v="5"/>
    <s v="Closed"/>
    <s v="March"/>
    <x v="2"/>
    <n v="2026"/>
    <s v="Yes"/>
    <n v="1"/>
    <x v="4"/>
    <n v="0"/>
  </r>
  <r>
    <s v="T001826"/>
    <x v="1660"/>
    <d v="2026-03-18T16:57:00"/>
    <x v="6"/>
    <s v="Phone"/>
    <x v="1"/>
    <s v="A040"/>
    <x v="1"/>
    <n v="24"/>
    <n v="8.3000000000000007"/>
    <x v="1"/>
    <s v="No"/>
    <s v="Yes"/>
    <n v="3"/>
    <s v="Closed"/>
    <s v="March"/>
    <x v="2"/>
    <n v="2026"/>
    <s v="Yes"/>
    <n v="1"/>
    <x v="3"/>
    <n v="1"/>
  </r>
  <r>
    <s v="T001827"/>
    <x v="1661"/>
    <d v="2026-03-18T13:36:00"/>
    <x v="1"/>
    <s v="Chat"/>
    <x v="1"/>
    <s v="A002"/>
    <x v="0"/>
    <n v="24"/>
    <n v="4.7"/>
    <x v="0"/>
    <s v="Yes"/>
    <s v="No"/>
    <n v="5"/>
    <s v="Closed"/>
    <s v="March"/>
    <x v="2"/>
    <n v="2026"/>
    <s v="Yes"/>
    <n v="1"/>
    <x v="1"/>
    <n v="0"/>
  </r>
  <r>
    <s v="T001828"/>
    <x v="1662"/>
    <d v="2026-03-18T18:50:00"/>
    <x v="1"/>
    <s v="Chat"/>
    <x v="0"/>
    <s v="A026"/>
    <x v="2"/>
    <n v="72"/>
    <n v="8.8000000000000007"/>
    <x v="1"/>
    <s v="No"/>
    <s v="No"/>
    <m/>
    <s v="Closed"/>
    <s v="March"/>
    <x v="2"/>
    <n v="2026"/>
    <s v="Yes"/>
    <n v="1"/>
    <x v="1"/>
    <n v="1"/>
  </r>
  <r>
    <s v="T001829"/>
    <x v="1663"/>
    <d v="2026-03-18T18:09:00"/>
    <x v="3"/>
    <s v="Phone"/>
    <x v="2"/>
    <s v="A057"/>
    <x v="1"/>
    <n v="4"/>
    <n v="7"/>
    <x v="1"/>
    <s v="No"/>
    <s v="No"/>
    <n v="4"/>
    <s v="Closed"/>
    <s v="March"/>
    <x v="2"/>
    <n v="2026"/>
    <s v="No"/>
    <n v="0"/>
    <x v="1"/>
    <n v="1"/>
  </r>
  <r>
    <s v="T001830"/>
    <x v="1664"/>
    <d v="2026-03-20T08:09:00"/>
    <x v="3"/>
    <s v="Phone"/>
    <x v="1"/>
    <s v="A007"/>
    <x v="0"/>
    <n v="24"/>
    <n v="44.7"/>
    <x v="0"/>
    <s v="Yes"/>
    <s v="No"/>
    <m/>
    <s v="Closed"/>
    <s v="March"/>
    <x v="2"/>
    <n v="2026"/>
    <s v="No"/>
    <n v="0"/>
    <x v="3"/>
    <n v="0"/>
  </r>
  <r>
    <s v="T001831"/>
    <x v="1665"/>
    <d v="2026-03-19T11:58:00"/>
    <x v="2"/>
    <s v="Email"/>
    <x v="1"/>
    <s v="A052"/>
    <x v="1"/>
    <n v="24"/>
    <n v="24.3"/>
    <x v="1"/>
    <s v="No"/>
    <s v="No"/>
    <n v="3"/>
    <s v="Closed"/>
    <s v="March"/>
    <x v="2"/>
    <n v="2026"/>
    <s v="No"/>
    <n v="0"/>
    <x v="4"/>
    <n v="1"/>
  </r>
  <r>
    <s v="T001832"/>
    <x v="1666"/>
    <d v="2026-03-18T19:50:00"/>
    <x v="6"/>
    <s v="Phone"/>
    <x v="2"/>
    <s v="A016"/>
    <x v="2"/>
    <n v="4"/>
    <n v="7.2"/>
    <x v="0"/>
    <s v="No"/>
    <s v="No"/>
    <n v="4"/>
    <s v="Closed"/>
    <s v="March"/>
    <x v="2"/>
    <n v="2026"/>
    <s v="No"/>
    <n v="0"/>
    <x v="4"/>
    <n v="0"/>
  </r>
  <r>
    <s v="T001833"/>
    <x v="1667"/>
    <d v="2026-03-21T18:48:00"/>
    <x v="3"/>
    <s v="Phone"/>
    <x v="1"/>
    <s v="A010"/>
    <x v="0"/>
    <n v="24"/>
    <n v="77.599999999999994"/>
    <x v="1"/>
    <s v="No"/>
    <s v="No"/>
    <n v="3"/>
    <s v="Closed"/>
    <s v="March"/>
    <x v="2"/>
    <n v="2026"/>
    <s v="No"/>
    <n v="0"/>
    <x v="2"/>
    <n v="1"/>
  </r>
  <r>
    <s v="T001834"/>
    <x v="1668"/>
    <d v="2026-03-18T16:31:00"/>
    <x v="5"/>
    <s v="Phone"/>
    <x v="1"/>
    <s v="A004"/>
    <x v="0"/>
    <n v="24"/>
    <n v="3.3"/>
    <x v="0"/>
    <s v="Yes"/>
    <s v="No"/>
    <m/>
    <s v="Closed"/>
    <s v="March"/>
    <x v="2"/>
    <n v="2026"/>
    <s v="Yes"/>
    <n v="1"/>
    <x v="1"/>
    <n v="0"/>
  </r>
  <r>
    <s v="T001835"/>
    <x v="1669"/>
    <d v="2026-03-19T11:40:00"/>
    <x v="1"/>
    <s v="Email"/>
    <x v="1"/>
    <s v="A013"/>
    <x v="0"/>
    <n v="24"/>
    <n v="22.3"/>
    <x v="0"/>
    <s v="Yes"/>
    <s v="No"/>
    <n v="3"/>
    <s v="Closed"/>
    <s v="March"/>
    <x v="2"/>
    <n v="2026"/>
    <s v="Yes"/>
    <n v="1"/>
    <x v="2"/>
    <n v="0"/>
  </r>
  <r>
    <s v="T001836"/>
    <x v="1670"/>
    <d v="2026-03-18T16:27:00"/>
    <x v="1"/>
    <s v="Phone"/>
    <x v="0"/>
    <s v="A003"/>
    <x v="0"/>
    <n v="72"/>
    <n v="2.8"/>
    <x v="1"/>
    <s v="No"/>
    <s v="No"/>
    <n v="5"/>
    <s v="Closed"/>
    <s v="March"/>
    <x v="2"/>
    <n v="2026"/>
    <s v="Yes"/>
    <n v="1"/>
    <x v="4"/>
    <n v="1"/>
  </r>
  <r>
    <s v="T001837"/>
    <x v="1671"/>
    <d v="2026-03-31T01:09:00"/>
    <x v="4"/>
    <s v="Field Visit"/>
    <x v="1"/>
    <s v="A013"/>
    <x v="0"/>
    <n v="24"/>
    <n v="296.7"/>
    <x v="0"/>
    <s v="Yes"/>
    <s v="No"/>
    <m/>
    <s v="Closed"/>
    <s v="March"/>
    <x v="2"/>
    <n v="2026"/>
    <s v="No"/>
    <n v="0"/>
    <x v="4"/>
    <n v="0"/>
  </r>
  <r>
    <s v="T001838"/>
    <x v="1672"/>
    <d v="2026-03-18T23:11:00"/>
    <x v="2"/>
    <s v="Chat"/>
    <x v="0"/>
    <s v="A053"/>
    <x v="1"/>
    <n v="72"/>
    <n v="6.5"/>
    <x v="1"/>
    <s v="No"/>
    <s v="No"/>
    <n v="4"/>
    <s v="Closed"/>
    <s v="March"/>
    <x v="2"/>
    <n v="2026"/>
    <s v="Yes"/>
    <n v="1"/>
    <x v="2"/>
    <n v="1"/>
  </r>
  <r>
    <s v="T001839"/>
    <x v="1673"/>
    <d v="2026-03-20T04:34:00"/>
    <x v="0"/>
    <s v="Phone"/>
    <x v="1"/>
    <s v="A036"/>
    <x v="1"/>
    <n v="24"/>
    <n v="35.6"/>
    <x v="1"/>
    <s v="No"/>
    <s v="No"/>
    <m/>
    <s v="Closed"/>
    <s v="March"/>
    <x v="2"/>
    <n v="2026"/>
    <s v="No"/>
    <n v="0"/>
    <x v="1"/>
    <n v="1"/>
  </r>
  <r>
    <s v="T001840"/>
    <x v="1674"/>
    <d v="2026-03-18T22:28:00"/>
    <x v="1"/>
    <s v="Phone"/>
    <x v="0"/>
    <s v="A036"/>
    <x v="1"/>
    <n v="72"/>
    <n v="3"/>
    <x v="1"/>
    <s v="No"/>
    <s v="Yes"/>
    <n v="5"/>
    <s v="Closed"/>
    <s v="March"/>
    <x v="2"/>
    <n v="2026"/>
    <s v="Yes"/>
    <n v="1"/>
    <x v="4"/>
    <n v="1"/>
  </r>
  <r>
    <s v="T001841"/>
    <x v="1675"/>
    <d v="2026-03-19T11:39:00"/>
    <x v="1"/>
    <s v="Chat"/>
    <x v="0"/>
    <s v="A016"/>
    <x v="2"/>
    <n v="72"/>
    <n v="16.100000000000001"/>
    <x v="1"/>
    <s v="No"/>
    <s v="No"/>
    <n v="4"/>
    <s v="Closed"/>
    <s v="March"/>
    <x v="2"/>
    <n v="2026"/>
    <s v="Yes"/>
    <n v="1"/>
    <x v="3"/>
    <n v="1"/>
  </r>
  <r>
    <s v="T001842"/>
    <x v="1676"/>
    <d v="2026-03-19T12:30:00"/>
    <x v="5"/>
    <s v="Field Visit"/>
    <x v="1"/>
    <s v="A020"/>
    <x v="2"/>
    <n v="24"/>
    <n v="16.3"/>
    <x v="1"/>
    <s v="No"/>
    <s v="No"/>
    <m/>
    <s v="Closed"/>
    <s v="March"/>
    <x v="2"/>
    <n v="2026"/>
    <s v="Yes"/>
    <n v="1"/>
    <x v="3"/>
    <n v="1"/>
  </r>
  <r>
    <s v="T001843"/>
    <x v="1677"/>
    <d v="2026-03-19T10:26:00"/>
    <x v="2"/>
    <s v="Phone"/>
    <x v="1"/>
    <s v="A059"/>
    <x v="1"/>
    <n v="24"/>
    <n v="14"/>
    <x v="0"/>
    <s v="No"/>
    <s v="No"/>
    <n v="4"/>
    <s v="Closed"/>
    <s v="March"/>
    <x v="2"/>
    <n v="2026"/>
    <s v="Yes"/>
    <n v="1"/>
    <x v="0"/>
    <n v="0"/>
  </r>
  <r>
    <s v="T001844"/>
    <x v="1678"/>
    <d v="2026-03-19T05:40:00"/>
    <x v="0"/>
    <s v="Chat"/>
    <x v="1"/>
    <s v="A029"/>
    <x v="2"/>
    <n v="24"/>
    <n v="6.8"/>
    <x v="1"/>
    <s v="No"/>
    <s v="No"/>
    <m/>
    <s v="Closed"/>
    <s v="March"/>
    <x v="2"/>
    <n v="2026"/>
    <s v="Yes"/>
    <n v="1"/>
    <x v="4"/>
    <n v="1"/>
  </r>
  <r>
    <s v="T001845"/>
    <x v="1679"/>
    <d v="2026-03-19T15:15:00"/>
    <x v="3"/>
    <s v="Chat"/>
    <x v="1"/>
    <s v="A023"/>
    <x v="2"/>
    <n v="24"/>
    <n v="9.1"/>
    <x v="1"/>
    <s v="No"/>
    <s v="No"/>
    <n v="4"/>
    <s v="Closed"/>
    <s v="March"/>
    <x v="2"/>
    <n v="2026"/>
    <s v="Yes"/>
    <n v="1"/>
    <x v="1"/>
    <n v="1"/>
  </r>
  <r>
    <s v="T001846"/>
    <x v="1680"/>
    <d v="2026-03-21T19:47:00"/>
    <x v="4"/>
    <s v="Email"/>
    <x v="1"/>
    <s v="A035"/>
    <x v="2"/>
    <n v="24"/>
    <n v="61.1"/>
    <x v="1"/>
    <s v="No"/>
    <s v="No"/>
    <n v="4"/>
    <s v="Closed"/>
    <s v="March"/>
    <x v="2"/>
    <n v="2026"/>
    <s v="No"/>
    <n v="0"/>
    <x v="4"/>
    <n v="1"/>
  </r>
  <r>
    <s v="T001847"/>
    <x v="1681"/>
    <d v="2026-03-19T12:12:00"/>
    <x v="1"/>
    <s v="Email"/>
    <x v="0"/>
    <s v="A018"/>
    <x v="2"/>
    <n v="72"/>
    <n v="5.5"/>
    <x v="0"/>
    <s v="Yes"/>
    <s v="No"/>
    <n v="5"/>
    <s v="Closed"/>
    <s v="March"/>
    <x v="2"/>
    <n v="2026"/>
    <s v="Yes"/>
    <n v="1"/>
    <x v="4"/>
    <n v="0"/>
  </r>
  <r>
    <s v="T001848"/>
    <x v="1682"/>
    <d v="2026-03-19T18:05:00"/>
    <x v="0"/>
    <s v="Phone"/>
    <x v="0"/>
    <s v="A043"/>
    <x v="1"/>
    <n v="72"/>
    <n v="7.6"/>
    <x v="1"/>
    <s v="No"/>
    <s v="No"/>
    <n v="5"/>
    <s v="Closed"/>
    <s v="March"/>
    <x v="2"/>
    <n v="2026"/>
    <s v="Yes"/>
    <n v="1"/>
    <x v="4"/>
    <n v="1"/>
  </r>
  <r>
    <s v="T001849"/>
    <x v="1683"/>
    <d v="2026-03-20T13:24:00"/>
    <x v="1"/>
    <s v="Phone"/>
    <x v="1"/>
    <s v="A011"/>
    <x v="0"/>
    <n v="24"/>
    <n v="26.4"/>
    <x v="1"/>
    <s v="No"/>
    <s v="No"/>
    <m/>
    <s v="Closed"/>
    <s v="March"/>
    <x v="2"/>
    <n v="2026"/>
    <s v="No"/>
    <n v="0"/>
    <x v="1"/>
    <n v="1"/>
  </r>
  <r>
    <s v="T001850"/>
    <x v="1684"/>
    <d v="2026-03-21T01:10:00"/>
    <x v="6"/>
    <s v="Email"/>
    <x v="1"/>
    <s v="A034"/>
    <x v="2"/>
    <n v="24"/>
    <n v="37.4"/>
    <x v="1"/>
    <s v="No"/>
    <s v="No"/>
    <n v="4"/>
    <s v="Closed"/>
    <s v="March"/>
    <x v="2"/>
    <n v="2026"/>
    <s v="No"/>
    <n v="0"/>
    <x v="2"/>
    <n v="1"/>
  </r>
  <r>
    <s v="T001851"/>
    <x v="1685"/>
    <d v="2026-03-19T18:07:00"/>
    <x v="6"/>
    <s v="Phone"/>
    <x v="2"/>
    <s v="A050"/>
    <x v="1"/>
    <n v="4"/>
    <n v="5.8"/>
    <x v="1"/>
    <s v="No"/>
    <s v="No"/>
    <n v="5"/>
    <s v="Closed"/>
    <s v="March"/>
    <x v="2"/>
    <n v="2026"/>
    <s v="No"/>
    <n v="0"/>
    <x v="4"/>
    <n v="1"/>
  </r>
  <r>
    <s v="T001852"/>
    <x v="1686"/>
    <d v="2026-03-19T23:05:00"/>
    <x v="0"/>
    <s v="Email"/>
    <x v="0"/>
    <s v="A013"/>
    <x v="0"/>
    <n v="72"/>
    <n v="10.4"/>
    <x v="1"/>
    <s v="No"/>
    <s v="No"/>
    <n v="5"/>
    <s v="Closed"/>
    <s v="March"/>
    <x v="2"/>
    <n v="2026"/>
    <s v="Yes"/>
    <n v="1"/>
    <x v="1"/>
    <n v="1"/>
  </r>
  <r>
    <s v="T001853"/>
    <x v="1686"/>
    <d v="2026-03-19T22:17:00"/>
    <x v="1"/>
    <s v="Email"/>
    <x v="1"/>
    <s v="A019"/>
    <x v="2"/>
    <n v="24"/>
    <n v="9.6"/>
    <x v="1"/>
    <s v="No"/>
    <s v="No"/>
    <n v="5"/>
    <s v="Closed"/>
    <s v="March"/>
    <x v="2"/>
    <n v="2026"/>
    <s v="Yes"/>
    <n v="1"/>
    <x v="0"/>
    <n v="1"/>
  </r>
  <r>
    <s v="T001854"/>
    <x v="1687"/>
    <d v="2026-03-19T23:46:00"/>
    <x v="6"/>
    <s v="Phone"/>
    <x v="2"/>
    <s v="A013"/>
    <x v="0"/>
    <n v="4"/>
    <n v="10.7"/>
    <x v="0"/>
    <s v="No"/>
    <s v="Yes"/>
    <n v="3"/>
    <s v="Closed"/>
    <s v="March"/>
    <x v="2"/>
    <n v="2026"/>
    <s v="No"/>
    <n v="0"/>
    <x v="0"/>
    <n v="0"/>
  </r>
  <r>
    <s v="T001855"/>
    <x v="1688"/>
    <d v="2026-03-19T18:06:00"/>
    <x v="0"/>
    <s v="Chat"/>
    <x v="1"/>
    <s v="A028"/>
    <x v="2"/>
    <n v="24"/>
    <n v="4.9000000000000004"/>
    <x v="1"/>
    <s v="No"/>
    <s v="Yes"/>
    <n v="5"/>
    <s v="Closed"/>
    <s v="March"/>
    <x v="2"/>
    <n v="2026"/>
    <s v="Yes"/>
    <n v="1"/>
    <x v="3"/>
    <n v="1"/>
  </r>
  <r>
    <s v="T001856"/>
    <x v="1689"/>
    <d v="2026-03-20T05:32:00"/>
    <x v="5"/>
    <s v="Email"/>
    <x v="0"/>
    <s v="A024"/>
    <x v="2"/>
    <n v="72"/>
    <n v="15.8"/>
    <x v="0"/>
    <s v="No"/>
    <s v="No"/>
    <n v="4"/>
    <s v="Closed"/>
    <s v="March"/>
    <x v="2"/>
    <n v="2026"/>
    <s v="Yes"/>
    <n v="1"/>
    <x v="1"/>
    <n v="0"/>
  </r>
  <r>
    <s v="T001857"/>
    <x v="1690"/>
    <d v="2026-03-19T16:08:00"/>
    <x v="1"/>
    <s v="Chat"/>
    <x v="0"/>
    <s v="A033"/>
    <x v="2"/>
    <n v="72"/>
    <n v="2"/>
    <x v="0"/>
    <s v="Yes"/>
    <s v="No"/>
    <n v="4"/>
    <s v="Closed"/>
    <s v="March"/>
    <x v="2"/>
    <n v="2026"/>
    <s v="Yes"/>
    <n v="1"/>
    <x v="0"/>
    <n v="0"/>
  </r>
  <r>
    <s v="T001858"/>
    <x v="1691"/>
    <d v="2026-03-19T22:52:00"/>
    <x v="0"/>
    <s v="Phone"/>
    <x v="1"/>
    <s v="A038"/>
    <x v="1"/>
    <n v="24"/>
    <n v="7.6"/>
    <x v="1"/>
    <s v="No"/>
    <s v="No"/>
    <m/>
    <s v="Closed"/>
    <s v="March"/>
    <x v="2"/>
    <n v="2026"/>
    <s v="Yes"/>
    <n v="1"/>
    <x v="0"/>
    <n v="1"/>
  </r>
  <r>
    <s v="T001859"/>
    <x v="1692"/>
    <d v="2026-03-20T08:45:00"/>
    <x v="0"/>
    <s v="Phone"/>
    <x v="1"/>
    <s v="A039"/>
    <x v="1"/>
    <n v="24"/>
    <n v="16"/>
    <x v="1"/>
    <s v="No"/>
    <s v="No"/>
    <m/>
    <s v="Closed"/>
    <s v="March"/>
    <x v="2"/>
    <n v="2026"/>
    <s v="Yes"/>
    <n v="1"/>
    <x v="2"/>
    <n v="1"/>
  </r>
  <r>
    <s v="T001860"/>
    <x v="1693"/>
    <d v="2026-03-20T11:09:00"/>
    <x v="2"/>
    <s v="Field Visit"/>
    <x v="0"/>
    <s v="A023"/>
    <x v="2"/>
    <n v="72"/>
    <n v="18.2"/>
    <x v="1"/>
    <s v="No"/>
    <s v="No"/>
    <n v="5"/>
    <s v="Closed"/>
    <s v="March"/>
    <x v="2"/>
    <n v="2026"/>
    <s v="Yes"/>
    <n v="1"/>
    <x v="4"/>
    <n v="1"/>
  </r>
  <r>
    <s v="T001861"/>
    <x v="1694"/>
    <d v="2026-03-20T13:00:00"/>
    <x v="5"/>
    <s v="Phone"/>
    <x v="0"/>
    <s v="A043"/>
    <x v="1"/>
    <n v="72"/>
    <n v="19.399999999999999"/>
    <x v="1"/>
    <s v="No"/>
    <s v="Yes"/>
    <m/>
    <s v="Closed"/>
    <s v="March"/>
    <x v="2"/>
    <n v="2026"/>
    <s v="Yes"/>
    <n v="1"/>
    <x v="4"/>
    <n v="1"/>
  </r>
  <r>
    <s v="T001862"/>
    <x v="1695"/>
    <d v="2026-03-19T21:57:00"/>
    <x v="1"/>
    <s v="Chat"/>
    <x v="0"/>
    <s v="A031"/>
    <x v="2"/>
    <n v="72"/>
    <n v="3.8"/>
    <x v="1"/>
    <s v="No"/>
    <s v="No"/>
    <m/>
    <s v="Closed"/>
    <s v="March"/>
    <x v="2"/>
    <n v="2026"/>
    <s v="Yes"/>
    <n v="1"/>
    <x v="1"/>
    <n v="1"/>
  </r>
  <r>
    <s v="T001863"/>
    <x v="1696"/>
    <d v="2026-03-19T22:13:00"/>
    <x v="2"/>
    <s v="Chat"/>
    <x v="0"/>
    <s v="A048"/>
    <x v="1"/>
    <n v="72"/>
    <n v="3.7"/>
    <x v="1"/>
    <s v="No"/>
    <s v="No"/>
    <m/>
    <s v="Closed"/>
    <s v="March"/>
    <x v="2"/>
    <n v="2026"/>
    <s v="Yes"/>
    <n v="1"/>
    <x v="0"/>
    <n v="1"/>
  </r>
  <r>
    <s v="T001864"/>
    <x v="1697"/>
    <d v="2026-03-22T08:33:00"/>
    <x v="4"/>
    <s v="Phone"/>
    <x v="1"/>
    <s v="A039"/>
    <x v="1"/>
    <n v="24"/>
    <n v="61.6"/>
    <x v="1"/>
    <s v="No"/>
    <s v="No"/>
    <m/>
    <s v="Closed"/>
    <s v="March"/>
    <x v="2"/>
    <n v="2026"/>
    <s v="No"/>
    <n v="0"/>
    <x v="2"/>
    <n v="1"/>
  </r>
  <r>
    <s v="T001865"/>
    <x v="1698"/>
    <d v="2026-03-20T02:57:00"/>
    <x v="1"/>
    <s v="Chat"/>
    <x v="0"/>
    <s v="A031"/>
    <x v="2"/>
    <n v="72"/>
    <n v="3.1"/>
    <x v="1"/>
    <s v="No"/>
    <s v="No"/>
    <n v="4"/>
    <s v="Closed"/>
    <s v="March"/>
    <x v="2"/>
    <n v="2026"/>
    <s v="Yes"/>
    <n v="1"/>
    <x v="3"/>
    <n v="1"/>
  </r>
  <r>
    <s v="T001866"/>
    <x v="1699"/>
    <d v="2026-03-20T19:53:00"/>
    <x v="6"/>
    <s v="Email"/>
    <x v="2"/>
    <s v="A017"/>
    <x v="2"/>
    <n v="4"/>
    <n v="16.399999999999999"/>
    <x v="1"/>
    <s v="No"/>
    <s v="Yes"/>
    <n v="2"/>
    <s v="Closed"/>
    <s v="March"/>
    <x v="2"/>
    <n v="2026"/>
    <s v="No"/>
    <n v="0"/>
    <x v="2"/>
    <n v="1"/>
  </r>
  <r>
    <s v="T001867"/>
    <x v="1700"/>
    <d v="2026-03-21T12:54:00"/>
    <x v="3"/>
    <s v="Field Visit"/>
    <x v="2"/>
    <s v="A047"/>
    <x v="1"/>
    <n v="4"/>
    <n v="28.4"/>
    <x v="1"/>
    <s v="No"/>
    <s v="No"/>
    <m/>
    <s v="Closed"/>
    <s v="March"/>
    <x v="2"/>
    <n v="2026"/>
    <s v="No"/>
    <n v="0"/>
    <x v="0"/>
    <n v="1"/>
  </r>
  <r>
    <s v="T001868"/>
    <x v="1701"/>
    <d v="2026-03-20T14:26:00"/>
    <x v="1"/>
    <s v="Phone"/>
    <x v="0"/>
    <s v="A052"/>
    <x v="1"/>
    <n v="72"/>
    <n v="5.8"/>
    <x v="1"/>
    <s v="No"/>
    <s v="Yes"/>
    <n v="5"/>
    <s v="Closed"/>
    <s v="March"/>
    <x v="2"/>
    <n v="2026"/>
    <s v="Yes"/>
    <n v="1"/>
    <x v="1"/>
    <n v="1"/>
  </r>
  <r>
    <s v="T001869"/>
    <x v="1702"/>
    <d v="2026-03-21T12:07:00"/>
    <x v="3"/>
    <s v="Field Visit"/>
    <x v="1"/>
    <s v="A050"/>
    <x v="1"/>
    <n v="24"/>
    <n v="26.3"/>
    <x v="1"/>
    <s v="No"/>
    <s v="No"/>
    <m/>
    <s v="Closed"/>
    <s v="March"/>
    <x v="2"/>
    <n v="2026"/>
    <s v="No"/>
    <n v="0"/>
    <x v="0"/>
    <n v="1"/>
  </r>
  <r>
    <s v="T001870"/>
    <x v="1703"/>
    <d v="2026-03-21T12:50:00"/>
    <x v="6"/>
    <s v="Field Visit"/>
    <x v="0"/>
    <s v="A056"/>
    <x v="1"/>
    <n v="72"/>
    <n v="25.5"/>
    <x v="1"/>
    <s v="No"/>
    <s v="Yes"/>
    <n v="4"/>
    <s v="Closed"/>
    <s v="March"/>
    <x v="2"/>
    <n v="2026"/>
    <s v="Yes"/>
    <n v="1"/>
    <x v="3"/>
    <n v="1"/>
  </r>
  <r>
    <s v="T001871"/>
    <x v="1704"/>
    <d v="2026-03-21T17:14:00"/>
    <x v="0"/>
    <s v="Email"/>
    <x v="1"/>
    <s v="A013"/>
    <x v="0"/>
    <n v="24"/>
    <n v="29.6"/>
    <x v="1"/>
    <s v="No"/>
    <s v="Yes"/>
    <n v="4"/>
    <s v="Closed"/>
    <s v="March"/>
    <x v="2"/>
    <n v="2026"/>
    <s v="No"/>
    <n v="0"/>
    <x v="2"/>
    <n v="1"/>
  </r>
  <r>
    <s v="T001872"/>
    <x v="1705"/>
    <d v="2026-03-22T00:09:00"/>
    <x v="3"/>
    <s v="Field Visit"/>
    <x v="2"/>
    <s v="A056"/>
    <x v="1"/>
    <n v="4"/>
    <n v="36.299999999999997"/>
    <x v="1"/>
    <s v="No"/>
    <s v="No"/>
    <n v="4"/>
    <s v="Closed"/>
    <s v="March"/>
    <x v="2"/>
    <n v="2026"/>
    <s v="No"/>
    <n v="0"/>
    <x v="4"/>
    <n v="1"/>
  </r>
  <r>
    <s v="T001873"/>
    <x v="1706"/>
    <d v="2026-03-21T00:53:00"/>
    <x v="2"/>
    <s v="Phone"/>
    <x v="0"/>
    <s v="A048"/>
    <x v="1"/>
    <n v="72"/>
    <n v="13"/>
    <x v="1"/>
    <s v="No"/>
    <s v="No"/>
    <m/>
    <s v="Closed"/>
    <s v="March"/>
    <x v="2"/>
    <n v="2026"/>
    <s v="Yes"/>
    <n v="1"/>
    <x v="4"/>
    <n v="1"/>
  </r>
  <r>
    <s v="T001874"/>
    <x v="1707"/>
    <d v="2026-03-20T18:34:00"/>
    <x v="3"/>
    <s v="Chat"/>
    <x v="0"/>
    <s v="A025"/>
    <x v="2"/>
    <n v="72"/>
    <n v="6.5"/>
    <x v="1"/>
    <s v="No"/>
    <s v="No"/>
    <m/>
    <s v="Closed"/>
    <s v="March"/>
    <x v="2"/>
    <n v="2026"/>
    <s v="Yes"/>
    <n v="1"/>
    <x v="4"/>
    <n v="1"/>
  </r>
  <r>
    <s v="T001875"/>
    <x v="1708"/>
    <d v="2026-03-25T08:26:00"/>
    <x v="4"/>
    <s v="Field Visit"/>
    <x v="0"/>
    <s v="A042"/>
    <x v="1"/>
    <n v="72"/>
    <n v="114.9"/>
    <x v="0"/>
    <s v="No"/>
    <s v="No"/>
    <n v="3"/>
    <s v="Closed"/>
    <s v="March"/>
    <x v="2"/>
    <n v="2026"/>
    <s v="No"/>
    <n v="0"/>
    <x v="2"/>
    <n v="0"/>
  </r>
  <r>
    <s v="T001876"/>
    <x v="1709"/>
    <d v="2026-03-21T01:40:00"/>
    <x v="5"/>
    <s v="Phone"/>
    <x v="0"/>
    <s v="A019"/>
    <x v="2"/>
    <n v="72"/>
    <n v="11.9"/>
    <x v="0"/>
    <s v="No"/>
    <s v="No"/>
    <m/>
    <s v="Closed"/>
    <s v="March"/>
    <x v="2"/>
    <n v="2026"/>
    <s v="Yes"/>
    <n v="1"/>
    <x v="2"/>
    <n v="0"/>
  </r>
  <r>
    <s v="T001877"/>
    <x v="1710"/>
    <d v="2026-03-21T10:17:00"/>
    <x v="6"/>
    <s v="Field Visit"/>
    <x v="2"/>
    <s v="A038"/>
    <x v="1"/>
    <n v="4"/>
    <n v="20.100000000000001"/>
    <x v="1"/>
    <s v="No"/>
    <s v="No"/>
    <n v="4"/>
    <s v="Closed"/>
    <s v="March"/>
    <x v="2"/>
    <n v="2026"/>
    <s v="No"/>
    <n v="0"/>
    <x v="4"/>
    <n v="1"/>
  </r>
  <r>
    <s v="T001878"/>
    <x v="1711"/>
    <d v="2026-03-21T19:21:00"/>
    <x v="6"/>
    <s v="Field Visit"/>
    <x v="2"/>
    <s v="A048"/>
    <x v="1"/>
    <n v="4"/>
    <n v="29"/>
    <x v="1"/>
    <s v="No"/>
    <s v="No"/>
    <m/>
    <s v="Closed"/>
    <s v="March"/>
    <x v="2"/>
    <n v="2026"/>
    <s v="No"/>
    <n v="0"/>
    <x v="1"/>
    <n v="1"/>
  </r>
  <r>
    <s v="T001879"/>
    <x v="1712"/>
    <d v="2026-03-21T06:32:00"/>
    <x v="6"/>
    <s v="Field Visit"/>
    <x v="1"/>
    <s v="A014"/>
    <x v="0"/>
    <n v="24"/>
    <n v="15.1"/>
    <x v="1"/>
    <s v="No"/>
    <s v="No"/>
    <m/>
    <s v="Closed"/>
    <s v="March"/>
    <x v="2"/>
    <n v="2026"/>
    <s v="Yes"/>
    <n v="1"/>
    <x v="2"/>
    <n v="1"/>
  </r>
  <r>
    <s v="T001880"/>
    <x v="1713"/>
    <d v="2026-03-20T20:17:00"/>
    <x v="1"/>
    <s v="Chat"/>
    <x v="0"/>
    <s v="A022"/>
    <x v="2"/>
    <n v="72"/>
    <n v="4.5"/>
    <x v="0"/>
    <s v="No"/>
    <s v="No"/>
    <m/>
    <s v="Closed"/>
    <s v="March"/>
    <x v="2"/>
    <n v="2026"/>
    <s v="Yes"/>
    <n v="1"/>
    <x v="4"/>
    <n v="0"/>
  </r>
  <r>
    <s v="T001881"/>
    <x v="1714"/>
    <d v="2026-03-21T12:40:00"/>
    <x v="0"/>
    <s v="Field Visit"/>
    <x v="1"/>
    <s v="A009"/>
    <x v="0"/>
    <n v="24"/>
    <n v="20.3"/>
    <x v="1"/>
    <s v="No"/>
    <s v="No"/>
    <n v="5"/>
    <s v="Closed"/>
    <s v="March"/>
    <x v="2"/>
    <n v="2026"/>
    <s v="Yes"/>
    <n v="1"/>
    <x v="0"/>
    <n v="1"/>
  </r>
  <r>
    <s v="T001882"/>
    <x v="1715"/>
    <d v="2026-03-22T10:28:00"/>
    <x v="4"/>
    <s v="Phone"/>
    <x v="0"/>
    <s v="A040"/>
    <x v="1"/>
    <n v="72"/>
    <n v="42"/>
    <x v="1"/>
    <s v="No"/>
    <s v="No"/>
    <m/>
    <s v="Closed"/>
    <s v="March"/>
    <x v="2"/>
    <n v="2026"/>
    <s v="Yes"/>
    <n v="1"/>
    <x v="2"/>
    <n v="1"/>
  </r>
  <r>
    <s v="T001883"/>
    <x v="1716"/>
    <d v="2026-03-21T00:15:00"/>
    <x v="6"/>
    <s v="Phone"/>
    <x v="1"/>
    <s v="A002"/>
    <x v="0"/>
    <n v="24"/>
    <n v="7.6"/>
    <x v="0"/>
    <s v="Yes"/>
    <s v="No"/>
    <n v="5"/>
    <s v="Closed"/>
    <s v="March"/>
    <x v="2"/>
    <n v="2026"/>
    <s v="Yes"/>
    <n v="1"/>
    <x v="0"/>
    <n v="0"/>
  </r>
  <r>
    <s v="T001884"/>
    <x v="1717"/>
    <d v="2026-03-21T00:37:00"/>
    <x v="5"/>
    <s v="Chat"/>
    <x v="1"/>
    <s v="A004"/>
    <x v="0"/>
    <n v="24"/>
    <n v="7.1"/>
    <x v="1"/>
    <s v="No"/>
    <s v="No"/>
    <n v="5"/>
    <s v="Closed"/>
    <s v="March"/>
    <x v="2"/>
    <n v="2026"/>
    <s v="Yes"/>
    <n v="1"/>
    <x v="4"/>
    <n v="1"/>
  </r>
  <r>
    <s v="T001885"/>
    <x v="1718"/>
    <d v="2026-03-25T05:29:00"/>
    <x v="4"/>
    <s v="Field Visit"/>
    <x v="1"/>
    <s v="A013"/>
    <x v="0"/>
    <n v="24"/>
    <n v="95.6"/>
    <x v="0"/>
    <s v="Yes"/>
    <s v="No"/>
    <n v="4"/>
    <s v="Closed"/>
    <s v="March"/>
    <x v="2"/>
    <n v="2026"/>
    <s v="No"/>
    <n v="0"/>
    <x v="0"/>
    <n v="0"/>
  </r>
  <r>
    <s v="T001886"/>
    <x v="1719"/>
    <d v="2026-03-21T19:24:00"/>
    <x v="5"/>
    <s v="Chat"/>
    <x v="0"/>
    <s v="A010"/>
    <x v="0"/>
    <n v="72"/>
    <n v="11.5"/>
    <x v="1"/>
    <s v="No"/>
    <s v="No"/>
    <n v="4"/>
    <s v="Closed"/>
    <s v="March"/>
    <x v="2"/>
    <n v="2026"/>
    <s v="Yes"/>
    <n v="1"/>
    <x v="0"/>
    <n v="1"/>
  </r>
  <r>
    <s v="T001887"/>
    <x v="1720"/>
    <d v="2026-03-21T21:43:00"/>
    <x v="2"/>
    <s v="Chat"/>
    <x v="1"/>
    <s v="A014"/>
    <x v="0"/>
    <n v="24"/>
    <n v="12.5"/>
    <x v="1"/>
    <s v="No"/>
    <s v="No"/>
    <n v="5"/>
    <s v="Closed"/>
    <s v="March"/>
    <x v="2"/>
    <n v="2026"/>
    <s v="Yes"/>
    <n v="1"/>
    <x v="3"/>
    <n v="1"/>
  </r>
  <r>
    <s v="T001888"/>
    <x v="1721"/>
    <d v="2026-03-21T16:49:00"/>
    <x v="5"/>
    <s v="Phone"/>
    <x v="1"/>
    <s v="A050"/>
    <x v="1"/>
    <n v="24"/>
    <n v="7.3"/>
    <x v="1"/>
    <s v="No"/>
    <s v="No"/>
    <n v="5"/>
    <s v="Closed"/>
    <s v="March"/>
    <x v="2"/>
    <n v="2026"/>
    <s v="Yes"/>
    <n v="1"/>
    <x v="4"/>
    <n v="1"/>
  </r>
  <r>
    <s v="T001889"/>
    <x v="1722"/>
    <d v="2026-03-21T18:54:00"/>
    <x v="2"/>
    <s v="Chat"/>
    <x v="1"/>
    <s v="A001"/>
    <x v="0"/>
    <n v="24"/>
    <n v="8.9"/>
    <x v="1"/>
    <s v="No"/>
    <s v="No"/>
    <n v="5"/>
    <s v="Closed"/>
    <s v="March"/>
    <x v="2"/>
    <n v="2026"/>
    <s v="Yes"/>
    <n v="1"/>
    <x v="3"/>
    <n v="1"/>
  </r>
  <r>
    <s v="T001890"/>
    <x v="1723"/>
    <d v="2026-03-26T02:46:00"/>
    <x v="4"/>
    <s v="Field Visit"/>
    <x v="1"/>
    <s v="A024"/>
    <x v="2"/>
    <n v="24"/>
    <n v="112.7"/>
    <x v="0"/>
    <s v="No"/>
    <s v="No"/>
    <n v="3"/>
    <s v="Closed"/>
    <s v="March"/>
    <x v="2"/>
    <n v="2026"/>
    <s v="No"/>
    <n v="0"/>
    <x v="4"/>
    <n v="0"/>
  </r>
  <r>
    <s v="T001891"/>
    <x v="1724"/>
    <d v="2026-03-22T05:56:00"/>
    <x v="3"/>
    <s v="Phone"/>
    <x v="1"/>
    <s v="A009"/>
    <x v="0"/>
    <n v="24"/>
    <n v="19.3"/>
    <x v="1"/>
    <s v="No"/>
    <s v="No"/>
    <n v="5"/>
    <s v="Closed"/>
    <s v="March"/>
    <x v="2"/>
    <n v="2026"/>
    <s v="Yes"/>
    <n v="1"/>
    <x v="3"/>
    <n v="1"/>
  </r>
  <r>
    <s v="T001892"/>
    <x v="1725"/>
    <d v="2026-03-21T17:31:00"/>
    <x v="0"/>
    <s v="Phone"/>
    <x v="0"/>
    <s v="A038"/>
    <x v="1"/>
    <n v="72"/>
    <n v="6.8"/>
    <x v="1"/>
    <s v="No"/>
    <s v="No"/>
    <n v="3"/>
    <s v="Closed"/>
    <s v="March"/>
    <x v="2"/>
    <n v="2026"/>
    <s v="Yes"/>
    <n v="1"/>
    <x v="2"/>
    <n v="1"/>
  </r>
  <r>
    <s v="T001893"/>
    <x v="1726"/>
    <d v="2026-03-21T21:12:00"/>
    <x v="1"/>
    <s v="Email"/>
    <x v="0"/>
    <s v="A003"/>
    <x v="0"/>
    <n v="72"/>
    <n v="10"/>
    <x v="0"/>
    <s v="Yes"/>
    <s v="No"/>
    <n v="4"/>
    <s v="Closed"/>
    <s v="March"/>
    <x v="2"/>
    <n v="2026"/>
    <s v="Yes"/>
    <n v="1"/>
    <x v="0"/>
    <n v="0"/>
  </r>
  <r>
    <s v="T001894"/>
    <x v="1727"/>
    <d v="2026-03-22T08:26:00"/>
    <x v="3"/>
    <s v="Chat"/>
    <x v="0"/>
    <s v="A005"/>
    <x v="0"/>
    <n v="72"/>
    <n v="19.5"/>
    <x v="0"/>
    <s v="Yes"/>
    <s v="No"/>
    <n v="5"/>
    <s v="Closed"/>
    <s v="March"/>
    <x v="2"/>
    <n v="2026"/>
    <s v="Yes"/>
    <n v="1"/>
    <x v="2"/>
    <n v="0"/>
  </r>
  <r>
    <s v="T001895"/>
    <x v="1728"/>
    <d v="2026-03-21T19:57:00"/>
    <x v="0"/>
    <s v="Phone"/>
    <x v="0"/>
    <s v="A016"/>
    <x v="2"/>
    <n v="72"/>
    <n v="7"/>
    <x v="1"/>
    <s v="No"/>
    <s v="No"/>
    <n v="4"/>
    <s v="Closed"/>
    <s v="March"/>
    <x v="2"/>
    <n v="2026"/>
    <s v="Yes"/>
    <n v="1"/>
    <x v="3"/>
    <n v="1"/>
  </r>
  <r>
    <s v="T001896"/>
    <x v="1729"/>
    <d v="2026-03-22T01:47:00"/>
    <x v="5"/>
    <s v="Phone"/>
    <x v="1"/>
    <s v="A001"/>
    <x v="0"/>
    <n v="24"/>
    <n v="12"/>
    <x v="1"/>
    <s v="No"/>
    <s v="No"/>
    <n v="5"/>
    <s v="Closed"/>
    <s v="March"/>
    <x v="2"/>
    <n v="2026"/>
    <s v="Yes"/>
    <n v="1"/>
    <x v="2"/>
    <n v="1"/>
  </r>
  <r>
    <s v="T001897"/>
    <x v="1730"/>
    <d v="2026-03-22T00:28:00"/>
    <x v="5"/>
    <s v="Phone"/>
    <x v="0"/>
    <s v="A035"/>
    <x v="2"/>
    <n v="72"/>
    <n v="10.5"/>
    <x v="1"/>
    <s v="No"/>
    <s v="No"/>
    <n v="5"/>
    <s v="Closed"/>
    <s v="March"/>
    <x v="2"/>
    <n v="2026"/>
    <s v="Yes"/>
    <n v="1"/>
    <x v="3"/>
    <n v="1"/>
  </r>
  <r>
    <s v="T001898"/>
    <x v="1731"/>
    <d v="2026-03-21T22:37:00"/>
    <x v="0"/>
    <s v="Chat"/>
    <x v="2"/>
    <s v="A039"/>
    <x v="1"/>
    <n v="4"/>
    <n v="8.6"/>
    <x v="1"/>
    <s v="No"/>
    <s v="No"/>
    <m/>
    <s v="Closed"/>
    <s v="March"/>
    <x v="2"/>
    <n v="2026"/>
    <s v="No"/>
    <n v="0"/>
    <x v="3"/>
    <n v="1"/>
  </r>
  <r>
    <s v="T001899"/>
    <x v="1732"/>
    <d v="2026-03-23T19:55:00"/>
    <x v="4"/>
    <s v="Field Visit"/>
    <x v="2"/>
    <s v="A038"/>
    <x v="1"/>
    <n v="4"/>
    <n v="53.8"/>
    <x v="1"/>
    <s v="No"/>
    <s v="No"/>
    <n v="4"/>
    <s v="Closed"/>
    <s v="March"/>
    <x v="2"/>
    <n v="2026"/>
    <s v="No"/>
    <n v="0"/>
    <x v="4"/>
    <n v="1"/>
  </r>
  <r>
    <s v="T001900"/>
    <x v="1733"/>
    <d v="2026-03-22T06:07:00"/>
    <x v="6"/>
    <s v="Field Visit"/>
    <x v="2"/>
    <s v="A042"/>
    <x v="1"/>
    <n v="4"/>
    <n v="13.8"/>
    <x v="1"/>
    <s v="No"/>
    <s v="No"/>
    <m/>
    <s v="Closed"/>
    <s v="March"/>
    <x v="2"/>
    <n v="2026"/>
    <s v="No"/>
    <n v="0"/>
    <x v="4"/>
    <n v="1"/>
  </r>
  <r>
    <s v="T001901"/>
    <x v="1734"/>
    <d v="2026-03-22T00:38:00"/>
    <x v="2"/>
    <s v="Phone"/>
    <x v="0"/>
    <s v="A057"/>
    <x v="1"/>
    <n v="72"/>
    <m/>
    <x v="1"/>
    <s v="No"/>
    <s v="No"/>
    <m/>
    <s v="Closed"/>
    <s v="March"/>
    <x v="2"/>
    <n v="2026"/>
    <m/>
    <m/>
    <x v="2"/>
    <n v="1"/>
  </r>
  <r>
    <s v="T001902"/>
    <x v="1735"/>
    <d v="2026-03-26T14:57:00"/>
    <x v="4"/>
    <s v="Field Visit"/>
    <x v="1"/>
    <s v="A016"/>
    <x v="2"/>
    <n v="24"/>
    <n v="118.3"/>
    <x v="0"/>
    <s v="No"/>
    <s v="No"/>
    <n v="4"/>
    <s v="Closed"/>
    <s v="March"/>
    <x v="2"/>
    <n v="2026"/>
    <s v="No"/>
    <n v="0"/>
    <x v="0"/>
    <n v="0"/>
  </r>
  <r>
    <s v="T001903"/>
    <x v="1736"/>
    <d v="2026-03-21T21:56:00"/>
    <x v="1"/>
    <s v="Chat"/>
    <x v="1"/>
    <s v="A017"/>
    <x v="2"/>
    <n v="24"/>
    <n v="3.6"/>
    <x v="1"/>
    <s v="No"/>
    <s v="No"/>
    <m/>
    <s v="Closed"/>
    <s v="March"/>
    <x v="2"/>
    <n v="2026"/>
    <s v="Yes"/>
    <n v="1"/>
    <x v="3"/>
    <n v="1"/>
  </r>
  <r>
    <s v="T001904"/>
    <x v="1737"/>
    <d v="2026-03-22T11:04:00"/>
    <x v="0"/>
    <s v="Phone"/>
    <x v="0"/>
    <s v="A047"/>
    <x v="1"/>
    <n v="72"/>
    <n v="11.3"/>
    <x v="1"/>
    <s v="No"/>
    <s v="No"/>
    <m/>
    <s v="Closed"/>
    <s v="March"/>
    <x v="2"/>
    <n v="2026"/>
    <s v="Yes"/>
    <n v="1"/>
    <x v="1"/>
    <n v="1"/>
  </r>
  <r>
    <s v="T001905"/>
    <x v="1738"/>
    <d v="2026-03-22T10:43:00"/>
    <x v="1"/>
    <s v="Phone"/>
    <x v="0"/>
    <s v="A029"/>
    <x v="2"/>
    <n v="72"/>
    <n v="10.9"/>
    <x v="1"/>
    <s v="No"/>
    <s v="No"/>
    <n v="3"/>
    <s v="Closed"/>
    <s v="March"/>
    <x v="2"/>
    <n v="2026"/>
    <s v="Yes"/>
    <n v="1"/>
    <x v="0"/>
    <n v="1"/>
  </r>
  <r>
    <s v="T001906"/>
    <x v="1739"/>
    <d v="2026-03-23T18:58:00"/>
    <x v="0"/>
    <s v="Email"/>
    <x v="0"/>
    <s v="A047"/>
    <x v="1"/>
    <n v="72"/>
    <n v="36.799999999999997"/>
    <x v="1"/>
    <s v="No"/>
    <s v="No"/>
    <n v="5"/>
    <s v="Closed"/>
    <s v="March"/>
    <x v="2"/>
    <n v="2026"/>
    <s v="Yes"/>
    <n v="1"/>
    <x v="3"/>
    <n v="1"/>
  </r>
  <r>
    <s v="T001907"/>
    <x v="1740"/>
    <d v="2026-03-22T20:40:00"/>
    <x v="2"/>
    <s v="Field Visit"/>
    <x v="1"/>
    <s v="A017"/>
    <x v="2"/>
    <n v="24"/>
    <n v="13.7"/>
    <x v="0"/>
    <s v="Yes"/>
    <s v="No"/>
    <n v="3"/>
    <s v="Closed"/>
    <s v="March"/>
    <x v="2"/>
    <n v="2026"/>
    <s v="Yes"/>
    <n v="1"/>
    <x v="4"/>
    <n v="0"/>
  </r>
  <r>
    <s v="T001908"/>
    <x v="1741"/>
    <d v="2026-03-22T10:21:00"/>
    <x v="6"/>
    <s v="Phone"/>
    <x v="1"/>
    <s v="A056"/>
    <x v="1"/>
    <n v="24"/>
    <n v="2"/>
    <x v="1"/>
    <s v="No"/>
    <s v="No"/>
    <n v="5"/>
    <s v="Closed"/>
    <s v="March"/>
    <x v="2"/>
    <n v="2026"/>
    <s v="Yes"/>
    <n v="1"/>
    <x v="3"/>
    <n v="1"/>
  </r>
  <r>
    <s v="T001909"/>
    <x v="1742"/>
    <d v="2026-03-25T19:16:00"/>
    <x v="3"/>
    <s v="Field Visit"/>
    <x v="1"/>
    <s v="A010"/>
    <x v="0"/>
    <n v="24"/>
    <n v="82.2"/>
    <x v="1"/>
    <s v="No"/>
    <s v="No"/>
    <m/>
    <s v="Closed"/>
    <s v="March"/>
    <x v="2"/>
    <n v="2026"/>
    <s v="No"/>
    <n v="0"/>
    <x v="1"/>
    <n v="1"/>
  </r>
  <r>
    <s v="T001910"/>
    <x v="1743"/>
    <d v="2026-03-22T23:08:00"/>
    <x v="0"/>
    <s v="Phone"/>
    <x v="1"/>
    <s v="A022"/>
    <x v="2"/>
    <n v="24"/>
    <n v="13.8"/>
    <x v="1"/>
    <s v="No"/>
    <s v="No"/>
    <n v="4"/>
    <s v="Closed"/>
    <s v="March"/>
    <x v="2"/>
    <n v="2026"/>
    <s v="Yes"/>
    <n v="1"/>
    <x v="0"/>
    <n v="1"/>
  </r>
  <r>
    <s v="T001911"/>
    <x v="1744"/>
    <d v="2026-04-01T03:06:00"/>
    <x v="4"/>
    <s v="Email"/>
    <x v="1"/>
    <s v="A004"/>
    <x v="0"/>
    <n v="24"/>
    <n v="233.5"/>
    <x v="0"/>
    <s v="No"/>
    <s v="No"/>
    <m/>
    <s v="Closed"/>
    <s v="March"/>
    <x v="2"/>
    <n v="2026"/>
    <s v="No"/>
    <n v="0"/>
    <x v="3"/>
    <n v="0"/>
  </r>
  <r>
    <s v="T001912"/>
    <x v="1745"/>
    <d v="2026-03-23T16:05:00"/>
    <x v="4"/>
    <s v="Chat"/>
    <x v="2"/>
    <s v="A057"/>
    <x v="1"/>
    <n v="4"/>
    <n v="29.5"/>
    <x v="1"/>
    <s v="No"/>
    <s v="No"/>
    <n v="4"/>
    <s v="Closed"/>
    <s v="March"/>
    <x v="2"/>
    <n v="2026"/>
    <s v="No"/>
    <n v="0"/>
    <x v="0"/>
    <n v="1"/>
  </r>
  <r>
    <s v="T001913"/>
    <x v="1746"/>
    <d v="2026-03-23T08:39:00"/>
    <x v="3"/>
    <s v="Chat"/>
    <x v="0"/>
    <s v="A060"/>
    <x v="1"/>
    <n v="72"/>
    <n v="21"/>
    <x v="0"/>
    <s v="Yes"/>
    <s v="Yes"/>
    <n v="3"/>
    <s v="Closed"/>
    <s v="March"/>
    <x v="2"/>
    <n v="2026"/>
    <s v="Yes"/>
    <n v="1"/>
    <x v="0"/>
    <n v="0"/>
  </r>
  <r>
    <s v="T001914"/>
    <x v="1747"/>
    <d v="2026-03-23T22:42:00"/>
    <x v="3"/>
    <s v="Field Visit"/>
    <x v="1"/>
    <s v="A047"/>
    <x v="1"/>
    <n v="24"/>
    <n v="35"/>
    <x v="1"/>
    <s v="No"/>
    <s v="Yes"/>
    <n v="4"/>
    <s v="Closed"/>
    <s v="March"/>
    <x v="2"/>
    <n v="2026"/>
    <s v="No"/>
    <n v="0"/>
    <x v="0"/>
    <n v="1"/>
  </r>
  <r>
    <s v="T001915"/>
    <x v="1748"/>
    <d v="2026-03-23T06:38:00"/>
    <x v="6"/>
    <s v="Field Visit"/>
    <x v="0"/>
    <s v="A031"/>
    <x v="2"/>
    <n v="72"/>
    <n v="18.399999999999999"/>
    <x v="0"/>
    <s v="Yes"/>
    <s v="No"/>
    <n v="5"/>
    <s v="Closed"/>
    <s v="March"/>
    <x v="2"/>
    <n v="2026"/>
    <s v="Yes"/>
    <n v="1"/>
    <x v="0"/>
    <n v="0"/>
  </r>
  <r>
    <s v="T001916"/>
    <x v="1749"/>
    <d v="2026-03-23T09:16:00"/>
    <x v="3"/>
    <s v="Chat"/>
    <x v="0"/>
    <s v="A058"/>
    <x v="1"/>
    <n v="72"/>
    <n v="21"/>
    <x v="1"/>
    <s v="No"/>
    <s v="No"/>
    <m/>
    <s v="Closed"/>
    <s v="March"/>
    <x v="2"/>
    <n v="2026"/>
    <s v="Yes"/>
    <n v="1"/>
    <x v="1"/>
    <n v="1"/>
  </r>
  <r>
    <s v="T001917"/>
    <x v="1750"/>
    <d v="2026-03-24T00:47:00"/>
    <x v="0"/>
    <s v="Field Visit"/>
    <x v="1"/>
    <s v="A053"/>
    <x v="1"/>
    <n v="24"/>
    <n v="36.200000000000003"/>
    <x v="1"/>
    <s v="No"/>
    <s v="No"/>
    <n v="4"/>
    <s v="Closed"/>
    <s v="March"/>
    <x v="2"/>
    <n v="2026"/>
    <s v="No"/>
    <n v="0"/>
    <x v="0"/>
    <n v="1"/>
  </r>
  <r>
    <s v="T001918"/>
    <x v="1751"/>
    <d v="2026-03-23T05:24:00"/>
    <x v="6"/>
    <s v="Field Visit"/>
    <x v="1"/>
    <s v="A040"/>
    <x v="1"/>
    <n v="24"/>
    <n v="16.7"/>
    <x v="0"/>
    <s v="Yes"/>
    <s v="No"/>
    <n v="5"/>
    <s v="Closed"/>
    <s v="March"/>
    <x v="2"/>
    <n v="2026"/>
    <s v="Yes"/>
    <n v="1"/>
    <x v="2"/>
    <n v="0"/>
  </r>
  <r>
    <s v="T001919"/>
    <x v="1752"/>
    <d v="2026-03-22T19:59:00"/>
    <x v="2"/>
    <s v="Phone"/>
    <x v="2"/>
    <s v="A020"/>
    <x v="2"/>
    <n v="4"/>
    <n v="7"/>
    <x v="1"/>
    <s v="No"/>
    <s v="Yes"/>
    <n v="5"/>
    <s v="Closed"/>
    <s v="March"/>
    <x v="2"/>
    <n v="2026"/>
    <s v="No"/>
    <n v="0"/>
    <x v="1"/>
    <n v="1"/>
  </r>
  <r>
    <s v="T001920"/>
    <x v="1753"/>
    <d v="2026-03-23T08:23:00"/>
    <x v="2"/>
    <s v="Field Visit"/>
    <x v="1"/>
    <s v="A014"/>
    <x v="0"/>
    <n v="24"/>
    <n v="19.2"/>
    <x v="1"/>
    <s v="No"/>
    <s v="No"/>
    <m/>
    <s v="Closed"/>
    <s v="March"/>
    <x v="2"/>
    <n v="2026"/>
    <s v="Yes"/>
    <n v="1"/>
    <x v="3"/>
    <n v="1"/>
  </r>
  <r>
    <s v="T001921"/>
    <x v="1754"/>
    <d v="2026-03-22T19:34:00"/>
    <x v="6"/>
    <s v="Phone"/>
    <x v="0"/>
    <s v="A022"/>
    <x v="2"/>
    <n v="72"/>
    <n v="5.5"/>
    <x v="1"/>
    <s v="No"/>
    <s v="No"/>
    <n v="5"/>
    <s v="Closed"/>
    <s v="March"/>
    <x v="2"/>
    <n v="2026"/>
    <s v="Yes"/>
    <n v="1"/>
    <x v="2"/>
    <n v="1"/>
  </r>
  <r>
    <s v="T001922"/>
    <x v="1755"/>
    <d v="2026-03-23T00:13:00"/>
    <x v="1"/>
    <s v="Phone"/>
    <x v="1"/>
    <s v="A059"/>
    <x v="1"/>
    <n v="24"/>
    <n v="9.8000000000000007"/>
    <x v="1"/>
    <s v="No"/>
    <s v="No"/>
    <m/>
    <s v="Closed"/>
    <s v="March"/>
    <x v="2"/>
    <n v="2026"/>
    <s v="Yes"/>
    <n v="1"/>
    <x v="2"/>
    <n v="1"/>
  </r>
  <r>
    <s v="T001923"/>
    <x v="1756"/>
    <d v="2026-03-23T19:35:00"/>
    <x v="3"/>
    <s v="Chat"/>
    <x v="1"/>
    <s v="A028"/>
    <x v="2"/>
    <n v="24"/>
    <n v="28.4"/>
    <x v="1"/>
    <s v="No"/>
    <s v="No"/>
    <n v="3"/>
    <s v="Closed"/>
    <s v="March"/>
    <x v="2"/>
    <n v="2026"/>
    <s v="No"/>
    <n v="0"/>
    <x v="1"/>
    <n v="1"/>
  </r>
  <r>
    <s v="T001924"/>
    <x v="1757"/>
    <d v="2026-03-23T02:32:00"/>
    <x v="1"/>
    <s v="Email"/>
    <x v="0"/>
    <s v="A047"/>
    <x v="1"/>
    <n v="72"/>
    <n v="11.2"/>
    <x v="0"/>
    <s v="Yes"/>
    <s v="No"/>
    <n v="2"/>
    <s v="Closed"/>
    <s v="March"/>
    <x v="2"/>
    <n v="2026"/>
    <s v="Yes"/>
    <n v="1"/>
    <x v="1"/>
    <n v="0"/>
  </r>
  <r>
    <s v="T001925"/>
    <x v="1758"/>
    <d v="2026-03-23T08:59:00"/>
    <x v="5"/>
    <s v="Field Visit"/>
    <x v="1"/>
    <s v="A058"/>
    <x v="1"/>
    <n v="24"/>
    <n v="16.899999999999999"/>
    <x v="1"/>
    <s v="No"/>
    <s v="No"/>
    <m/>
    <s v="Closed"/>
    <s v="March"/>
    <x v="2"/>
    <n v="2026"/>
    <s v="Yes"/>
    <n v="1"/>
    <x v="1"/>
    <n v="1"/>
  </r>
  <r>
    <s v="T001926"/>
    <x v="1759"/>
    <d v="2026-03-24T09:40:00"/>
    <x v="2"/>
    <s v="Email"/>
    <x v="1"/>
    <s v="A013"/>
    <x v="0"/>
    <n v="24"/>
    <n v="41.2"/>
    <x v="0"/>
    <s v="Yes"/>
    <s v="No"/>
    <n v="3"/>
    <s v="Closed"/>
    <s v="March"/>
    <x v="2"/>
    <n v="2026"/>
    <s v="No"/>
    <n v="0"/>
    <x v="2"/>
    <n v="0"/>
  </r>
  <r>
    <s v="T001927"/>
    <x v="1760"/>
    <d v="2026-03-22T21:46:00"/>
    <x v="1"/>
    <s v="Phone"/>
    <x v="1"/>
    <s v="A027"/>
    <x v="2"/>
    <n v="24"/>
    <n v="3.4"/>
    <x v="0"/>
    <s v="No"/>
    <s v="No"/>
    <n v="4"/>
    <s v="Closed"/>
    <s v="March"/>
    <x v="2"/>
    <n v="2026"/>
    <s v="Yes"/>
    <n v="1"/>
    <x v="3"/>
    <n v="0"/>
  </r>
  <r>
    <s v="T001928"/>
    <x v="1761"/>
    <d v="2026-03-23T14:56:00"/>
    <x v="2"/>
    <s v="Chat"/>
    <x v="1"/>
    <s v="A001"/>
    <x v="0"/>
    <n v="24"/>
    <n v="20"/>
    <x v="0"/>
    <s v="No"/>
    <s v="No"/>
    <n v="5"/>
    <s v="Closed"/>
    <s v="March"/>
    <x v="2"/>
    <n v="2026"/>
    <s v="Yes"/>
    <n v="1"/>
    <x v="1"/>
    <n v="0"/>
  </r>
  <r>
    <s v="T001929"/>
    <x v="1762"/>
    <d v="2026-03-23T03:21:00"/>
    <x v="1"/>
    <s v="Phone"/>
    <x v="1"/>
    <s v="A008"/>
    <x v="0"/>
    <n v="24"/>
    <n v="7.9"/>
    <x v="0"/>
    <s v="Yes"/>
    <s v="No"/>
    <n v="2"/>
    <s v="Closed"/>
    <s v="March"/>
    <x v="2"/>
    <n v="2026"/>
    <s v="Yes"/>
    <n v="1"/>
    <x v="2"/>
    <n v="0"/>
  </r>
  <r>
    <s v="T001930"/>
    <x v="1763"/>
    <d v="2026-03-30T06:30:00"/>
    <x v="4"/>
    <s v="Field Visit"/>
    <x v="2"/>
    <s v="A011"/>
    <x v="0"/>
    <n v="4"/>
    <n v="178.3"/>
    <x v="0"/>
    <s v="No"/>
    <s v="No"/>
    <n v="3"/>
    <s v="Closed"/>
    <s v="March"/>
    <x v="2"/>
    <n v="2026"/>
    <s v="No"/>
    <n v="0"/>
    <x v="0"/>
    <n v="0"/>
  </r>
  <r>
    <s v="T001931"/>
    <x v="1764"/>
    <d v="2026-03-23T12:18:00"/>
    <x v="0"/>
    <s v="Phone"/>
    <x v="0"/>
    <s v="A045"/>
    <x v="1"/>
    <n v="72"/>
    <n v="12.8"/>
    <x v="1"/>
    <s v="No"/>
    <s v="Yes"/>
    <n v="4"/>
    <s v="Closed"/>
    <s v="March"/>
    <x v="2"/>
    <n v="2026"/>
    <s v="Yes"/>
    <n v="1"/>
    <x v="0"/>
    <n v="1"/>
  </r>
  <r>
    <s v="T001932"/>
    <x v="1765"/>
    <d v="2026-03-23T09:18:00"/>
    <x v="0"/>
    <s v="Chat"/>
    <x v="1"/>
    <s v="A015"/>
    <x v="0"/>
    <n v="24"/>
    <n v="4.5"/>
    <x v="1"/>
    <s v="No"/>
    <s v="No"/>
    <m/>
    <s v="Closed"/>
    <s v="March"/>
    <x v="2"/>
    <n v="2026"/>
    <s v="Yes"/>
    <n v="1"/>
    <x v="3"/>
    <n v="1"/>
  </r>
  <r>
    <s v="T001933"/>
    <x v="1766"/>
    <d v="2026-03-25T12:03:00"/>
    <x v="4"/>
    <s v="Email"/>
    <x v="0"/>
    <s v="A006"/>
    <x v="0"/>
    <n v="72"/>
    <n v="54.7"/>
    <x v="0"/>
    <s v="No"/>
    <s v="No"/>
    <m/>
    <s v="Closed"/>
    <s v="March"/>
    <x v="2"/>
    <n v="2026"/>
    <s v="Yes"/>
    <n v="1"/>
    <x v="4"/>
    <n v="0"/>
  </r>
  <r>
    <s v="T001934"/>
    <x v="1767"/>
    <d v="2026-03-26T08:39:00"/>
    <x v="4"/>
    <s v="Field Visit"/>
    <x v="0"/>
    <s v="A057"/>
    <x v="1"/>
    <n v="72"/>
    <n v="74.3"/>
    <x v="1"/>
    <s v="No"/>
    <s v="No"/>
    <m/>
    <s v="Closed"/>
    <s v="March"/>
    <x v="2"/>
    <n v="2026"/>
    <s v="No"/>
    <n v="0"/>
    <x v="3"/>
    <n v="1"/>
  </r>
  <r>
    <s v="T001935"/>
    <x v="1768"/>
    <d v="2026-03-23T09:30:00"/>
    <x v="5"/>
    <s v="Phone"/>
    <x v="2"/>
    <s v="A053"/>
    <x v="1"/>
    <n v="4"/>
    <n v="1.9"/>
    <x v="1"/>
    <s v="No"/>
    <s v="No"/>
    <m/>
    <s v="Closed"/>
    <s v="March"/>
    <x v="2"/>
    <n v="2026"/>
    <s v="Yes"/>
    <n v="1"/>
    <x v="3"/>
    <n v="1"/>
  </r>
  <r>
    <s v="T001936"/>
    <x v="1769"/>
    <d v="2026-03-23T15:19:00"/>
    <x v="4"/>
    <s v="Chat"/>
    <x v="0"/>
    <s v="A048"/>
    <x v="1"/>
    <n v="72"/>
    <n v="7.1"/>
    <x v="1"/>
    <s v="No"/>
    <s v="No"/>
    <n v="5"/>
    <s v="Closed"/>
    <s v="March"/>
    <x v="2"/>
    <n v="2026"/>
    <s v="Yes"/>
    <n v="1"/>
    <x v="0"/>
    <n v="1"/>
  </r>
  <r>
    <s v="T001937"/>
    <x v="1770"/>
    <d v="2026-03-23T14:51:00"/>
    <x v="5"/>
    <s v="Chat"/>
    <x v="0"/>
    <s v="A032"/>
    <x v="2"/>
    <n v="72"/>
    <n v="6"/>
    <x v="1"/>
    <s v="No"/>
    <s v="No"/>
    <n v="4"/>
    <s v="Closed"/>
    <s v="March"/>
    <x v="2"/>
    <n v="2026"/>
    <s v="Yes"/>
    <n v="1"/>
    <x v="1"/>
    <n v="1"/>
  </r>
  <r>
    <s v="T001938"/>
    <x v="1771"/>
    <d v="2026-03-24T08:01:00"/>
    <x v="6"/>
    <s v="Phone"/>
    <x v="2"/>
    <s v="A047"/>
    <x v="1"/>
    <n v="4"/>
    <n v="23.1"/>
    <x v="0"/>
    <s v="Yes"/>
    <s v="No"/>
    <n v="3"/>
    <s v="Closed"/>
    <s v="March"/>
    <x v="2"/>
    <n v="2026"/>
    <s v="No"/>
    <n v="0"/>
    <x v="2"/>
    <n v="0"/>
  </r>
  <r>
    <s v="T001939"/>
    <x v="1771"/>
    <d v="2026-03-23T15:19:00"/>
    <x v="0"/>
    <s v="Phone"/>
    <x v="2"/>
    <s v="A041"/>
    <x v="1"/>
    <n v="4"/>
    <n v="6.4"/>
    <x v="1"/>
    <s v="No"/>
    <s v="No"/>
    <n v="5"/>
    <s v="Closed"/>
    <s v="March"/>
    <x v="2"/>
    <n v="2026"/>
    <s v="No"/>
    <n v="0"/>
    <x v="1"/>
    <n v="1"/>
  </r>
  <r>
    <s v="T001940"/>
    <x v="1772"/>
    <d v="2026-03-23T23:34:00"/>
    <x v="5"/>
    <s v="Phone"/>
    <x v="1"/>
    <s v="A033"/>
    <x v="2"/>
    <n v="24"/>
    <n v="14.2"/>
    <x v="0"/>
    <s v="No"/>
    <s v="No"/>
    <n v="4"/>
    <s v="Closed"/>
    <s v="March"/>
    <x v="2"/>
    <n v="2026"/>
    <s v="Yes"/>
    <n v="1"/>
    <x v="2"/>
    <n v="0"/>
  </r>
  <r>
    <s v="T001941"/>
    <x v="1773"/>
    <d v="2026-03-24T04:32:00"/>
    <x v="3"/>
    <s v="Field Visit"/>
    <x v="2"/>
    <s v="A050"/>
    <x v="1"/>
    <n v="4"/>
    <n v="18.8"/>
    <x v="0"/>
    <s v="Yes"/>
    <s v="No"/>
    <n v="3"/>
    <s v="Closed"/>
    <s v="March"/>
    <x v="2"/>
    <n v="2026"/>
    <s v="No"/>
    <n v="0"/>
    <x v="1"/>
    <n v="0"/>
  </r>
  <r>
    <s v="T001942"/>
    <x v="1774"/>
    <d v="2026-03-23T16:37:00"/>
    <x v="1"/>
    <s v="Phone"/>
    <x v="2"/>
    <s v="A030"/>
    <x v="2"/>
    <n v="4"/>
    <n v="6.3"/>
    <x v="1"/>
    <s v="No"/>
    <s v="Yes"/>
    <n v="4"/>
    <s v="Closed"/>
    <s v="March"/>
    <x v="2"/>
    <n v="2026"/>
    <s v="No"/>
    <n v="0"/>
    <x v="3"/>
    <n v="1"/>
  </r>
  <r>
    <s v="T001943"/>
    <x v="1775"/>
    <d v="2026-03-24T18:09:00"/>
    <x v="0"/>
    <s v="Phone"/>
    <x v="0"/>
    <s v="A023"/>
    <x v="2"/>
    <n v="72"/>
    <n v="31.4"/>
    <x v="0"/>
    <s v="Yes"/>
    <s v="No"/>
    <n v="4"/>
    <s v="Closed"/>
    <s v="March"/>
    <x v="2"/>
    <n v="2026"/>
    <s v="Yes"/>
    <n v="1"/>
    <x v="3"/>
    <n v="0"/>
  </r>
  <r>
    <s v="T001944"/>
    <x v="1776"/>
    <d v="2026-03-26T05:33:00"/>
    <x v="4"/>
    <s v="Field Visit"/>
    <x v="0"/>
    <s v="A043"/>
    <x v="1"/>
    <n v="72"/>
    <n v="66"/>
    <x v="1"/>
    <s v="No"/>
    <s v="No"/>
    <n v="5"/>
    <s v="Closed"/>
    <s v="March"/>
    <x v="2"/>
    <n v="2026"/>
    <s v="Yes"/>
    <n v="1"/>
    <x v="1"/>
    <n v="1"/>
  </r>
  <r>
    <s v="T001945"/>
    <x v="1777"/>
    <d v="2026-03-23T14:55:00"/>
    <x v="1"/>
    <s v="Chat"/>
    <x v="1"/>
    <s v="A054"/>
    <x v="1"/>
    <n v="24"/>
    <n v="3"/>
    <x v="0"/>
    <s v="No"/>
    <s v="No"/>
    <n v="4"/>
    <s v="Closed"/>
    <s v="March"/>
    <x v="2"/>
    <n v="2026"/>
    <s v="Yes"/>
    <n v="1"/>
    <x v="1"/>
    <n v="0"/>
  </r>
  <r>
    <s v="T001946"/>
    <x v="1778"/>
    <d v="2026-03-23T16:29:00"/>
    <x v="0"/>
    <s v="Chat"/>
    <x v="0"/>
    <s v="A058"/>
    <x v="1"/>
    <n v="72"/>
    <n v="4.5"/>
    <x v="1"/>
    <s v="No"/>
    <s v="No"/>
    <n v="5"/>
    <s v="Closed"/>
    <s v="March"/>
    <x v="2"/>
    <n v="2026"/>
    <s v="Yes"/>
    <n v="1"/>
    <x v="1"/>
    <n v="1"/>
  </r>
  <r>
    <s v="T001947"/>
    <x v="1779"/>
    <d v="2026-03-24T09:54:00"/>
    <x v="6"/>
    <s v="Phone"/>
    <x v="1"/>
    <s v="A002"/>
    <x v="0"/>
    <n v="24"/>
    <n v="21.9"/>
    <x v="1"/>
    <s v="No"/>
    <s v="No"/>
    <m/>
    <s v="Closed"/>
    <s v="March"/>
    <x v="2"/>
    <n v="2026"/>
    <s v="Yes"/>
    <n v="1"/>
    <x v="0"/>
    <n v="1"/>
  </r>
  <r>
    <s v="T001948"/>
    <x v="1780"/>
    <d v="2026-03-23T15:32:00"/>
    <x v="1"/>
    <s v="Chat"/>
    <x v="1"/>
    <s v="A006"/>
    <x v="0"/>
    <n v="24"/>
    <n v="1.7"/>
    <x v="1"/>
    <s v="No"/>
    <s v="No"/>
    <n v="4"/>
    <s v="Closed"/>
    <s v="March"/>
    <x v="2"/>
    <n v="2026"/>
    <s v="Yes"/>
    <n v="1"/>
    <x v="1"/>
    <n v="1"/>
  </r>
  <r>
    <s v="T001949"/>
    <x v="1781"/>
    <d v="2026-03-24T09:29:00"/>
    <x v="6"/>
    <s v="Chat"/>
    <x v="2"/>
    <s v="A035"/>
    <x v="2"/>
    <n v="4"/>
    <n v="19.399999999999999"/>
    <x v="0"/>
    <s v="Yes"/>
    <s v="No"/>
    <n v="4"/>
    <s v="Closed"/>
    <s v="March"/>
    <x v="2"/>
    <n v="2026"/>
    <s v="No"/>
    <n v="0"/>
    <x v="1"/>
    <n v="0"/>
  </r>
  <r>
    <s v="T001950"/>
    <x v="1782"/>
    <d v="2026-04-03T16:09:00"/>
    <x v="4"/>
    <s v="Field Visit"/>
    <x v="1"/>
    <s v="A021"/>
    <x v="2"/>
    <n v="24"/>
    <n v="265.5"/>
    <x v="1"/>
    <s v="No"/>
    <s v="No"/>
    <n v="5"/>
    <s v="Closed"/>
    <s v="March"/>
    <x v="2"/>
    <n v="2026"/>
    <s v="No"/>
    <n v="0"/>
    <x v="4"/>
    <n v="1"/>
  </r>
  <r>
    <s v="T001951"/>
    <x v="1782"/>
    <d v="2026-03-24T01:27:00"/>
    <x v="0"/>
    <s v="Email"/>
    <x v="1"/>
    <s v="A057"/>
    <x v="1"/>
    <n v="24"/>
    <n v="10.8"/>
    <x v="1"/>
    <s v="No"/>
    <s v="No"/>
    <n v="5"/>
    <s v="Closed"/>
    <s v="March"/>
    <x v="2"/>
    <n v="2026"/>
    <s v="Yes"/>
    <n v="1"/>
    <x v="1"/>
    <n v="1"/>
  </r>
  <r>
    <s v="T001952"/>
    <x v="1783"/>
    <d v="2026-03-26T23:27:00"/>
    <x v="4"/>
    <s v="Field Visit"/>
    <x v="2"/>
    <s v="A042"/>
    <x v="1"/>
    <n v="4"/>
    <n v="80.599999999999994"/>
    <x v="1"/>
    <s v="No"/>
    <s v="Yes"/>
    <n v="5"/>
    <s v="Closed"/>
    <s v="March"/>
    <x v="2"/>
    <n v="2026"/>
    <s v="No"/>
    <n v="0"/>
    <x v="4"/>
    <n v="1"/>
  </r>
  <r>
    <s v="T001953"/>
    <x v="1784"/>
    <d v="2026-03-23T21:57:00"/>
    <x v="5"/>
    <s v="Chat"/>
    <x v="1"/>
    <s v="A053"/>
    <x v="1"/>
    <n v="24"/>
    <n v="7"/>
    <x v="1"/>
    <s v="No"/>
    <s v="No"/>
    <m/>
    <s v="Closed"/>
    <s v="March"/>
    <x v="2"/>
    <n v="2026"/>
    <s v="Yes"/>
    <n v="1"/>
    <x v="4"/>
    <n v="1"/>
  </r>
  <r>
    <s v="T001954"/>
    <x v="1785"/>
    <d v="2026-03-24T08:53:00"/>
    <x v="3"/>
    <s v="Phone"/>
    <x v="1"/>
    <s v="A048"/>
    <x v="1"/>
    <n v="24"/>
    <n v="17.899999999999999"/>
    <x v="1"/>
    <s v="No"/>
    <s v="No"/>
    <n v="4"/>
    <s v="Closed"/>
    <s v="March"/>
    <x v="2"/>
    <n v="2026"/>
    <s v="Yes"/>
    <n v="1"/>
    <x v="2"/>
    <n v="1"/>
  </r>
  <r>
    <s v="T001955"/>
    <x v="1786"/>
    <d v="2026-03-24T19:11:00"/>
    <x v="6"/>
    <s v="Field Visit"/>
    <x v="2"/>
    <s v="A024"/>
    <x v="2"/>
    <n v="4"/>
    <n v="25.1"/>
    <x v="1"/>
    <s v="No"/>
    <s v="Yes"/>
    <n v="4"/>
    <s v="Closed"/>
    <s v="March"/>
    <x v="2"/>
    <n v="2026"/>
    <s v="No"/>
    <n v="0"/>
    <x v="2"/>
    <n v="1"/>
  </r>
  <r>
    <s v="T001956"/>
    <x v="1787"/>
    <d v="2026-03-24T00:07:00"/>
    <x v="5"/>
    <s v="Chat"/>
    <x v="1"/>
    <s v="A050"/>
    <x v="1"/>
    <n v="24"/>
    <n v="4.9000000000000004"/>
    <x v="1"/>
    <s v="No"/>
    <s v="No"/>
    <n v="5"/>
    <s v="Closed"/>
    <s v="March"/>
    <x v="2"/>
    <n v="2026"/>
    <s v="Yes"/>
    <n v="1"/>
    <x v="0"/>
    <n v="1"/>
  </r>
  <r>
    <s v="T001957"/>
    <x v="1788"/>
    <d v="2026-03-24T15:11:00"/>
    <x v="6"/>
    <s v="Phone"/>
    <x v="2"/>
    <s v="A039"/>
    <x v="1"/>
    <n v="4"/>
    <n v="11.1"/>
    <x v="1"/>
    <s v="No"/>
    <s v="No"/>
    <m/>
    <s v="Closed"/>
    <s v="March"/>
    <x v="2"/>
    <n v="2026"/>
    <s v="No"/>
    <n v="0"/>
    <x v="4"/>
    <n v="1"/>
  </r>
  <r>
    <s v="T001958"/>
    <x v="1789"/>
    <d v="2026-03-25T18:47:00"/>
    <x v="0"/>
    <s v="Field Visit"/>
    <x v="0"/>
    <s v="A046"/>
    <x v="1"/>
    <n v="72"/>
    <n v="35.9"/>
    <x v="1"/>
    <s v="No"/>
    <s v="No"/>
    <m/>
    <s v="Closed"/>
    <s v="March"/>
    <x v="2"/>
    <n v="2026"/>
    <s v="Yes"/>
    <n v="1"/>
    <x v="2"/>
    <n v="1"/>
  </r>
  <r>
    <s v="T001959"/>
    <x v="1790"/>
    <d v="2026-03-25T05:39:00"/>
    <x v="4"/>
    <s v="Phone"/>
    <x v="0"/>
    <s v="A041"/>
    <x v="1"/>
    <n v="72"/>
    <n v="21.9"/>
    <x v="0"/>
    <s v="Yes"/>
    <s v="No"/>
    <m/>
    <s v="Closed"/>
    <s v="March"/>
    <x v="2"/>
    <n v="2026"/>
    <s v="Yes"/>
    <n v="1"/>
    <x v="2"/>
    <n v="0"/>
  </r>
  <r>
    <s v="T001960"/>
    <x v="1791"/>
    <d v="2026-03-24T11:51:00"/>
    <x v="6"/>
    <s v="Chat"/>
    <x v="2"/>
    <s v="A029"/>
    <x v="2"/>
    <n v="4"/>
    <n v="3.7"/>
    <x v="1"/>
    <s v="No"/>
    <s v="No"/>
    <n v="5"/>
    <s v="Closed"/>
    <s v="March"/>
    <x v="2"/>
    <n v="2026"/>
    <s v="Yes"/>
    <n v="1"/>
    <x v="4"/>
    <n v="1"/>
  </r>
  <r>
    <s v="T001961"/>
    <x v="1792"/>
    <d v="2026-03-25T11:15:00"/>
    <x v="2"/>
    <s v="Email"/>
    <x v="2"/>
    <s v="A058"/>
    <x v="1"/>
    <n v="4"/>
    <n v="27"/>
    <x v="0"/>
    <s v="No"/>
    <s v="No"/>
    <m/>
    <s v="Closed"/>
    <s v="March"/>
    <x v="2"/>
    <n v="2026"/>
    <s v="No"/>
    <n v="0"/>
    <x v="1"/>
    <n v="0"/>
  </r>
  <r>
    <s v="T001962"/>
    <x v="1793"/>
    <d v="2026-03-25T21:44:00"/>
    <x v="3"/>
    <s v="Field Visit"/>
    <x v="1"/>
    <s v="A030"/>
    <x v="2"/>
    <n v="24"/>
    <n v="37.1"/>
    <x v="1"/>
    <s v="No"/>
    <s v="No"/>
    <n v="5"/>
    <s v="Closed"/>
    <s v="March"/>
    <x v="2"/>
    <n v="2026"/>
    <s v="No"/>
    <n v="0"/>
    <x v="4"/>
    <n v="1"/>
  </r>
  <r>
    <s v="T001963"/>
    <x v="1794"/>
    <d v="2026-03-25T05:21:00"/>
    <x v="3"/>
    <s v="Field Visit"/>
    <x v="1"/>
    <s v="A020"/>
    <x v="2"/>
    <n v="24"/>
    <n v="20.100000000000001"/>
    <x v="0"/>
    <s v="No"/>
    <s v="No"/>
    <m/>
    <s v="Closed"/>
    <s v="March"/>
    <x v="2"/>
    <n v="2026"/>
    <s v="Yes"/>
    <n v="1"/>
    <x v="3"/>
    <n v="0"/>
  </r>
  <r>
    <s v="T001964"/>
    <x v="1795"/>
    <d v="2026-03-24T17:43:00"/>
    <x v="0"/>
    <s v="Email"/>
    <x v="2"/>
    <s v="A011"/>
    <x v="0"/>
    <n v="4"/>
    <n v="8.1"/>
    <x v="1"/>
    <s v="No"/>
    <s v="No"/>
    <n v="4"/>
    <s v="Closed"/>
    <s v="March"/>
    <x v="2"/>
    <n v="2026"/>
    <s v="No"/>
    <n v="0"/>
    <x v="2"/>
    <n v="1"/>
  </r>
  <r>
    <s v="T001965"/>
    <x v="1796"/>
    <d v="2026-03-29T01:20:00"/>
    <x v="3"/>
    <s v="Field Visit"/>
    <x v="1"/>
    <s v="A001"/>
    <x v="0"/>
    <n v="24"/>
    <n v="109.8"/>
    <x v="0"/>
    <s v="Yes"/>
    <s v="No"/>
    <n v="3"/>
    <s v="Closed"/>
    <s v="March"/>
    <x v="2"/>
    <n v="2026"/>
    <s v="No"/>
    <n v="0"/>
    <x v="1"/>
    <n v="0"/>
  </r>
  <r>
    <s v="T001966"/>
    <x v="1797"/>
    <d v="2026-04-02T03:09:00"/>
    <x v="4"/>
    <s v="Field Visit"/>
    <x v="2"/>
    <s v="A059"/>
    <x v="1"/>
    <n v="4"/>
    <n v="206.6"/>
    <x v="1"/>
    <s v="No"/>
    <s v="No"/>
    <m/>
    <s v="Closed"/>
    <s v="March"/>
    <x v="2"/>
    <n v="2026"/>
    <s v="No"/>
    <n v="0"/>
    <x v="1"/>
    <n v="1"/>
  </r>
  <r>
    <s v="T001967"/>
    <x v="1798"/>
    <d v="2026-03-24T17:19:00"/>
    <x v="6"/>
    <s v="Phone"/>
    <x v="2"/>
    <s v="A026"/>
    <x v="2"/>
    <n v="4"/>
    <n v="4.5"/>
    <x v="1"/>
    <s v="No"/>
    <s v="No"/>
    <m/>
    <s v="Closed"/>
    <s v="March"/>
    <x v="2"/>
    <n v="2026"/>
    <s v="No"/>
    <n v="0"/>
    <x v="2"/>
    <n v="1"/>
  </r>
  <r>
    <s v="T001968"/>
    <x v="1799"/>
    <d v="2026-03-25T19:25:00"/>
    <x v="3"/>
    <s v="Chat"/>
    <x v="0"/>
    <s v="A056"/>
    <x v="1"/>
    <n v="72"/>
    <n v="29.8"/>
    <x v="1"/>
    <s v="No"/>
    <s v="No"/>
    <m/>
    <s v="Closed"/>
    <s v="March"/>
    <x v="2"/>
    <n v="2026"/>
    <s v="Yes"/>
    <n v="1"/>
    <x v="4"/>
    <n v="1"/>
  </r>
  <r>
    <s v="T001969"/>
    <x v="1800"/>
    <d v="2026-03-27T03:58:00"/>
    <x v="3"/>
    <s v="Field Visit"/>
    <x v="1"/>
    <s v="A032"/>
    <x v="2"/>
    <n v="24"/>
    <n v="62.1"/>
    <x v="1"/>
    <s v="No"/>
    <s v="No"/>
    <n v="5"/>
    <s v="Closed"/>
    <s v="March"/>
    <x v="2"/>
    <n v="2026"/>
    <s v="No"/>
    <n v="0"/>
    <x v="2"/>
    <n v="1"/>
  </r>
  <r>
    <s v="T001970"/>
    <x v="1801"/>
    <d v="2026-03-25T09:07:00"/>
    <x v="3"/>
    <s v="Phone"/>
    <x v="1"/>
    <s v="A031"/>
    <x v="2"/>
    <n v="24"/>
    <n v="18.8"/>
    <x v="1"/>
    <s v="No"/>
    <s v="No"/>
    <m/>
    <s v="Closed"/>
    <s v="March"/>
    <x v="2"/>
    <n v="2026"/>
    <s v="Yes"/>
    <n v="1"/>
    <x v="4"/>
    <n v="1"/>
  </r>
  <r>
    <s v="T001971"/>
    <x v="1802"/>
    <d v="2026-03-24T22:39:00"/>
    <x v="6"/>
    <s v="Field Visit"/>
    <x v="1"/>
    <s v="A003"/>
    <x v="0"/>
    <n v="24"/>
    <n v="7.9"/>
    <x v="0"/>
    <s v="Yes"/>
    <s v="No"/>
    <n v="3"/>
    <s v="Closed"/>
    <s v="March"/>
    <x v="2"/>
    <n v="2026"/>
    <s v="Yes"/>
    <n v="1"/>
    <x v="2"/>
    <n v="0"/>
  </r>
  <r>
    <s v="T001972"/>
    <x v="1803"/>
    <d v="2026-03-25T07:56:00"/>
    <x v="1"/>
    <s v="Email"/>
    <x v="1"/>
    <s v="A048"/>
    <x v="1"/>
    <n v="24"/>
    <n v="17"/>
    <x v="0"/>
    <s v="No"/>
    <s v="No"/>
    <n v="5"/>
    <s v="Closed"/>
    <s v="March"/>
    <x v="2"/>
    <n v="2026"/>
    <s v="Yes"/>
    <n v="1"/>
    <x v="2"/>
    <n v="0"/>
  </r>
  <r>
    <s v="T001973"/>
    <x v="1804"/>
    <d v="2026-03-27T20:10:00"/>
    <x v="0"/>
    <s v="Phone"/>
    <x v="0"/>
    <s v="A011"/>
    <x v="0"/>
    <n v="72"/>
    <n v="77.2"/>
    <x v="1"/>
    <s v="No"/>
    <s v="No"/>
    <m/>
    <s v="Closed"/>
    <s v="March"/>
    <x v="2"/>
    <n v="2026"/>
    <s v="No"/>
    <n v="0"/>
    <x v="4"/>
    <n v="1"/>
  </r>
  <r>
    <s v="T001974"/>
    <x v="1805"/>
    <d v="2026-03-25T19:58:00"/>
    <x v="6"/>
    <s v="Field Visit"/>
    <x v="2"/>
    <s v="A025"/>
    <x v="2"/>
    <n v="4"/>
    <n v="27.9"/>
    <x v="1"/>
    <s v="No"/>
    <s v="Yes"/>
    <n v="3"/>
    <s v="Closed"/>
    <s v="March"/>
    <x v="2"/>
    <n v="2026"/>
    <s v="No"/>
    <n v="0"/>
    <x v="4"/>
    <n v="1"/>
  </r>
  <r>
    <s v="T001975"/>
    <x v="1806"/>
    <d v="2026-03-26T18:39:00"/>
    <x v="3"/>
    <s v="Phone"/>
    <x v="2"/>
    <s v="A005"/>
    <x v="0"/>
    <n v="4"/>
    <n v="50.5"/>
    <x v="0"/>
    <s v="Yes"/>
    <s v="Yes"/>
    <m/>
    <s v="Closed"/>
    <s v="March"/>
    <x v="2"/>
    <n v="2026"/>
    <s v="No"/>
    <n v="0"/>
    <x v="1"/>
    <n v="0"/>
  </r>
  <r>
    <s v="T001976"/>
    <x v="1807"/>
    <d v="2026-03-31T02:46:00"/>
    <x v="4"/>
    <s v="Email"/>
    <x v="0"/>
    <s v="A005"/>
    <x v="0"/>
    <n v="72"/>
    <n v="152.69999999999999"/>
    <x v="1"/>
    <s v="No"/>
    <s v="No"/>
    <n v="4"/>
    <s v="Closed"/>
    <s v="March"/>
    <x v="2"/>
    <n v="2026"/>
    <s v="No"/>
    <n v="0"/>
    <x v="4"/>
    <n v="1"/>
  </r>
  <r>
    <s v="T001977"/>
    <x v="1808"/>
    <d v="2026-03-25T00:32:00"/>
    <x v="0"/>
    <s v="Chat"/>
    <x v="0"/>
    <s v="A031"/>
    <x v="2"/>
    <n v="72"/>
    <n v="5.4"/>
    <x v="1"/>
    <s v="No"/>
    <s v="No"/>
    <n v="5"/>
    <s v="Closed"/>
    <s v="March"/>
    <x v="2"/>
    <n v="2026"/>
    <s v="Yes"/>
    <n v="1"/>
    <x v="2"/>
    <n v="1"/>
  </r>
  <r>
    <s v="T001978"/>
    <x v="1809"/>
    <d v="2026-03-25T05:22:00"/>
    <x v="6"/>
    <s v="Phone"/>
    <x v="1"/>
    <s v="A003"/>
    <x v="0"/>
    <n v="24"/>
    <n v="8.6"/>
    <x v="1"/>
    <s v="No"/>
    <s v="No"/>
    <m/>
    <s v="Closed"/>
    <s v="March"/>
    <x v="2"/>
    <n v="2026"/>
    <s v="Yes"/>
    <n v="1"/>
    <x v="3"/>
    <n v="1"/>
  </r>
  <r>
    <s v="T001979"/>
    <x v="1810"/>
    <d v="2026-03-27T02:40:00"/>
    <x v="5"/>
    <s v="Email"/>
    <x v="0"/>
    <s v="A011"/>
    <x v="0"/>
    <n v="72"/>
    <n v="53"/>
    <x v="0"/>
    <s v="Yes"/>
    <s v="No"/>
    <m/>
    <s v="Closed"/>
    <s v="March"/>
    <x v="2"/>
    <n v="2026"/>
    <s v="Yes"/>
    <n v="1"/>
    <x v="4"/>
    <n v="0"/>
  </r>
  <r>
    <s v="T001980"/>
    <x v="1811"/>
    <d v="2026-03-25T00:53:00"/>
    <x v="1"/>
    <s v="Phone"/>
    <x v="0"/>
    <s v="A006"/>
    <x v="0"/>
    <n v="72"/>
    <n v="2.2000000000000002"/>
    <x v="0"/>
    <s v="Yes"/>
    <s v="No"/>
    <n v="5"/>
    <s v="Closed"/>
    <s v="March"/>
    <x v="2"/>
    <n v="2026"/>
    <s v="Yes"/>
    <n v="1"/>
    <x v="4"/>
    <n v="0"/>
  </r>
  <r>
    <s v="T001981"/>
    <x v="1812"/>
    <d v="2026-03-25T09:17:00"/>
    <x v="0"/>
    <s v="Phone"/>
    <x v="0"/>
    <s v="A001"/>
    <x v="0"/>
    <n v="72"/>
    <n v="3.3"/>
    <x v="1"/>
    <s v="No"/>
    <s v="No"/>
    <n v="4"/>
    <s v="Closed"/>
    <s v="March"/>
    <x v="2"/>
    <n v="2026"/>
    <s v="Yes"/>
    <n v="1"/>
    <x v="4"/>
    <n v="1"/>
  </r>
  <r>
    <s v="T001982"/>
    <x v="1813"/>
    <d v="2026-03-25T11:45:00"/>
    <x v="5"/>
    <s v="Chat"/>
    <x v="0"/>
    <s v="A005"/>
    <x v="0"/>
    <n v="72"/>
    <n v="4.9000000000000004"/>
    <x v="0"/>
    <s v="Yes"/>
    <s v="No"/>
    <n v="4"/>
    <s v="Closed"/>
    <s v="March"/>
    <x v="2"/>
    <n v="2026"/>
    <s v="Yes"/>
    <n v="1"/>
    <x v="3"/>
    <n v="0"/>
  </r>
  <r>
    <s v="T001983"/>
    <x v="1814"/>
    <d v="2026-03-25T21:43:00"/>
    <x v="0"/>
    <s v="Phone"/>
    <x v="1"/>
    <s v="A033"/>
    <x v="2"/>
    <n v="24"/>
    <n v="12.7"/>
    <x v="1"/>
    <s v="No"/>
    <s v="Yes"/>
    <n v="5"/>
    <s v="Closed"/>
    <s v="March"/>
    <x v="2"/>
    <n v="2026"/>
    <s v="Yes"/>
    <n v="1"/>
    <x v="1"/>
    <n v="1"/>
  </r>
  <r>
    <s v="T001984"/>
    <x v="1815"/>
    <d v="2026-03-25T19:46:00"/>
    <x v="2"/>
    <s v="Phone"/>
    <x v="0"/>
    <s v="A060"/>
    <x v="1"/>
    <n v="72"/>
    <n v="10"/>
    <x v="1"/>
    <s v="No"/>
    <s v="No"/>
    <n v="4"/>
    <s v="Closed"/>
    <s v="March"/>
    <x v="2"/>
    <n v="2026"/>
    <s v="Yes"/>
    <n v="1"/>
    <x v="1"/>
    <n v="1"/>
  </r>
  <r>
    <s v="T001985"/>
    <x v="1816"/>
    <d v="2026-03-28T05:25:00"/>
    <x v="3"/>
    <s v="Field Visit"/>
    <x v="1"/>
    <s v="A031"/>
    <x v="2"/>
    <n v="24"/>
    <n v="66"/>
    <x v="0"/>
    <s v="No"/>
    <s v="No"/>
    <n v="5"/>
    <s v="Closed"/>
    <s v="March"/>
    <x v="2"/>
    <n v="2026"/>
    <s v="No"/>
    <n v="0"/>
    <x v="3"/>
    <n v="0"/>
  </r>
  <r>
    <s v="T001986"/>
    <x v="1817"/>
    <d v="2026-03-26T12:57:00"/>
    <x v="5"/>
    <s v="Email"/>
    <x v="1"/>
    <s v="A036"/>
    <x v="1"/>
    <n v="24"/>
    <n v="25.4"/>
    <x v="1"/>
    <s v="No"/>
    <s v="No"/>
    <m/>
    <s v="Closed"/>
    <s v="March"/>
    <x v="2"/>
    <n v="2026"/>
    <s v="No"/>
    <n v="0"/>
    <x v="2"/>
    <n v="1"/>
  </r>
  <r>
    <s v="T001987"/>
    <x v="1818"/>
    <d v="2026-03-25T21:54:00"/>
    <x v="6"/>
    <s v="Chat"/>
    <x v="2"/>
    <s v="A005"/>
    <x v="0"/>
    <n v="4"/>
    <n v="10.3"/>
    <x v="1"/>
    <s v="No"/>
    <s v="No"/>
    <n v="5"/>
    <s v="Closed"/>
    <s v="March"/>
    <x v="2"/>
    <n v="2026"/>
    <s v="No"/>
    <n v="0"/>
    <x v="3"/>
    <n v="1"/>
  </r>
  <r>
    <s v="T001988"/>
    <x v="1819"/>
    <d v="2026-03-25T15:45:00"/>
    <x v="5"/>
    <s v="Chat"/>
    <x v="1"/>
    <s v="A041"/>
    <x v="1"/>
    <n v="24"/>
    <n v="4.0999999999999996"/>
    <x v="1"/>
    <s v="No"/>
    <s v="No"/>
    <m/>
    <s v="Closed"/>
    <s v="March"/>
    <x v="2"/>
    <n v="2026"/>
    <s v="Yes"/>
    <n v="1"/>
    <x v="1"/>
    <n v="1"/>
  </r>
  <r>
    <s v="T001989"/>
    <x v="1820"/>
    <d v="2026-03-25T22:49:00"/>
    <x v="3"/>
    <s v="Chat"/>
    <x v="2"/>
    <s v="A031"/>
    <x v="2"/>
    <n v="4"/>
    <n v="10.8"/>
    <x v="1"/>
    <s v="No"/>
    <s v="No"/>
    <m/>
    <s v="Closed"/>
    <s v="March"/>
    <x v="2"/>
    <n v="2026"/>
    <s v="No"/>
    <n v="0"/>
    <x v="0"/>
    <n v="1"/>
  </r>
  <r>
    <s v="T001990"/>
    <x v="1821"/>
    <d v="2026-03-27T14:29:00"/>
    <x v="4"/>
    <s v="Field Visit"/>
    <x v="0"/>
    <s v="A026"/>
    <x v="2"/>
    <n v="72"/>
    <n v="49.9"/>
    <x v="1"/>
    <s v="No"/>
    <s v="No"/>
    <n v="5"/>
    <s v="Closed"/>
    <s v="March"/>
    <x v="2"/>
    <n v="2026"/>
    <s v="Yes"/>
    <n v="1"/>
    <x v="2"/>
    <n v="1"/>
  </r>
  <r>
    <s v="T001991"/>
    <x v="1822"/>
    <d v="2026-03-25T17:33:00"/>
    <x v="0"/>
    <s v="Phone"/>
    <x v="1"/>
    <s v="A043"/>
    <x v="1"/>
    <n v="24"/>
    <n v="4.4000000000000004"/>
    <x v="1"/>
    <s v="No"/>
    <s v="No"/>
    <n v="5"/>
    <s v="Closed"/>
    <s v="March"/>
    <x v="2"/>
    <n v="2026"/>
    <s v="Yes"/>
    <n v="1"/>
    <x v="2"/>
    <n v="1"/>
  </r>
  <r>
    <s v="T001992"/>
    <x v="1823"/>
    <d v="2026-03-27T11:33:00"/>
    <x v="4"/>
    <s v="Phone"/>
    <x v="1"/>
    <s v="A011"/>
    <x v="0"/>
    <n v="24"/>
    <n v="46.3"/>
    <x v="1"/>
    <s v="No"/>
    <s v="No"/>
    <n v="3"/>
    <s v="Closed"/>
    <s v="March"/>
    <x v="2"/>
    <n v="2026"/>
    <s v="No"/>
    <n v="0"/>
    <x v="2"/>
    <n v="1"/>
  </r>
  <r>
    <s v="T001993"/>
    <x v="1824"/>
    <d v="2026-03-25T17:23:00"/>
    <x v="0"/>
    <s v="Phone"/>
    <x v="1"/>
    <s v="A038"/>
    <x v="1"/>
    <n v="24"/>
    <n v="3.5"/>
    <x v="1"/>
    <s v="No"/>
    <s v="No"/>
    <n v="5"/>
    <s v="Closed"/>
    <s v="March"/>
    <x v="2"/>
    <n v="2026"/>
    <s v="Yes"/>
    <n v="1"/>
    <x v="4"/>
    <n v="1"/>
  </r>
  <r>
    <s v="T001994"/>
    <x v="1825"/>
    <d v="2026-03-25T19:31:00"/>
    <x v="6"/>
    <s v="Phone"/>
    <x v="2"/>
    <s v="A023"/>
    <x v="2"/>
    <n v="4"/>
    <n v="4.7"/>
    <x v="1"/>
    <s v="No"/>
    <s v="No"/>
    <m/>
    <s v="Closed"/>
    <s v="March"/>
    <x v="2"/>
    <n v="2026"/>
    <s v="No"/>
    <n v="0"/>
    <x v="2"/>
    <n v="1"/>
  </r>
  <r>
    <s v="T001995"/>
    <x v="1826"/>
    <d v="2026-03-25T22:38:00"/>
    <x v="1"/>
    <s v="Phone"/>
    <x v="0"/>
    <s v="A021"/>
    <x v="2"/>
    <n v="72"/>
    <n v="7.7"/>
    <x v="1"/>
    <s v="No"/>
    <s v="No"/>
    <m/>
    <s v="Closed"/>
    <s v="March"/>
    <x v="2"/>
    <n v="2026"/>
    <s v="Yes"/>
    <n v="1"/>
    <x v="2"/>
    <n v="1"/>
  </r>
  <r>
    <s v="T001996"/>
    <x v="1827"/>
    <d v="2026-03-27T23:49:00"/>
    <x v="0"/>
    <s v="Email"/>
    <x v="2"/>
    <s v="A015"/>
    <x v="0"/>
    <n v="4"/>
    <n v="56.8"/>
    <x v="0"/>
    <s v="No"/>
    <s v="Yes"/>
    <n v="2"/>
    <s v="Closed"/>
    <s v="March"/>
    <x v="2"/>
    <n v="2026"/>
    <s v="No"/>
    <n v="0"/>
    <x v="1"/>
    <n v="0"/>
  </r>
  <r>
    <s v="T001997"/>
    <x v="1828"/>
    <d v="2026-03-30T13:44:00"/>
    <x v="2"/>
    <s v="Field Visit"/>
    <x v="0"/>
    <s v="A038"/>
    <x v="1"/>
    <n v="72"/>
    <n v="118.1"/>
    <x v="1"/>
    <s v="No"/>
    <s v="No"/>
    <n v="4"/>
    <s v="Closed"/>
    <s v="March"/>
    <x v="2"/>
    <n v="2026"/>
    <s v="No"/>
    <n v="0"/>
    <x v="2"/>
    <n v="1"/>
  </r>
  <r>
    <s v="T001998"/>
    <x v="1829"/>
    <d v="2026-03-26T08:10:00"/>
    <x v="6"/>
    <s v="Phone"/>
    <x v="2"/>
    <s v="A033"/>
    <x v="2"/>
    <n v="4"/>
    <n v="16.5"/>
    <x v="1"/>
    <s v="No"/>
    <s v="No"/>
    <n v="4"/>
    <s v="Closed"/>
    <s v="March"/>
    <x v="2"/>
    <n v="2026"/>
    <s v="No"/>
    <n v="0"/>
    <x v="1"/>
    <n v="1"/>
  </r>
  <r>
    <s v="T001999"/>
    <x v="1830"/>
    <d v="2026-03-25T20:06:00"/>
    <x v="3"/>
    <s v="Chat"/>
    <x v="0"/>
    <s v="A023"/>
    <x v="2"/>
    <n v="72"/>
    <n v="4.2"/>
    <x v="1"/>
    <s v="No"/>
    <s v="No"/>
    <m/>
    <s v="Closed"/>
    <s v="March"/>
    <x v="2"/>
    <n v="2026"/>
    <s v="Yes"/>
    <n v="1"/>
    <x v="4"/>
    <n v="1"/>
  </r>
  <r>
    <s v="T002000"/>
    <x v="1831"/>
    <d v="2026-03-25T23:29:00"/>
    <x v="5"/>
    <s v="Chat"/>
    <x v="1"/>
    <s v="A008"/>
    <x v="0"/>
    <n v="24"/>
    <n v="4.4000000000000004"/>
    <x v="0"/>
    <s v="Yes"/>
    <s v="No"/>
    <m/>
    <s v="Closed"/>
    <s v="March"/>
    <x v="2"/>
    <n v="2026"/>
    <s v="Yes"/>
    <n v="1"/>
    <x v="3"/>
    <n v="0"/>
  </r>
  <r>
    <s v="T002001"/>
    <x v="1832"/>
    <d v="2026-03-26T10:20:00"/>
    <x v="1"/>
    <s v="Email"/>
    <x v="0"/>
    <s v="A017"/>
    <x v="2"/>
    <n v="72"/>
    <n v="14.9"/>
    <x v="1"/>
    <s v="No"/>
    <s v="No"/>
    <n v="4"/>
    <s v="Closed"/>
    <s v="March"/>
    <x v="2"/>
    <n v="2026"/>
    <s v="Yes"/>
    <n v="1"/>
    <x v="3"/>
    <n v="1"/>
  </r>
  <r>
    <s v="T002002"/>
    <x v="1833"/>
    <d v="2026-03-26T20:38:00"/>
    <x v="2"/>
    <s v="Phone"/>
    <x v="2"/>
    <s v="A042"/>
    <x v="1"/>
    <n v="4"/>
    <n v="15"/>
    <x v="1"/>
    <s v="No"/>
    <s v="No"/>
    <n v="3"/>
    <s v="Closed"/>
    <s v="March"/>
    <x v="2"/>
    <n v="2026"/>
    <s v="No"/>
    <n v="0"/>
    <x v="3"/>
    <n v="1"/>
  </r>
  <r>
    <s v="T002003"/>
    <x v="1834"/>
    <d v="2026-03-29T06:58:00"/>
    <x v="3"/>
    <s v="Field Visit"/>
    <x v="2"/>
    <s v="A005"/>
    <x v="0"/>
    <n v="4"/>
    <n v="73.2"/>
    <x v="0"/>
    <s v="Yes"/>
    <s v="No"/>
    <n v="1"/>
    <s v="Closed"/>
    <s v="March"/>
    <x v="2"/>
    <n v="2026"/>
    <s v="No"/>
    <n v="0"/>
    <x v="0"/>
    <n v="0"/>
  </r>
  <r>
    <s v="T002004"/>
    <x v="1835"/>
    <d v="2026-03-26T12:33:00"/>
    <x v="1"/>
    <s v="Phone"/>
    <x v="1"/>
    <s v="A044"/>
    <x v="1"/>
    <n v="24"/>
    <n v="6.5"/>
    <x v="1"/>
    <s v="No"/>
    <s v="No"/>
    <n v="5"/>
    <s v="Closed"/>
    <s v="March"/>
    <x v="2"/>
    <n v="2026"/>
    <s v="Yes"/>
    <n v="1"/>
    <x v="4"/>
    <n v="1"/>
  </r>
  <r>
    <s v="T002005"/>
    <x v="1835"/>
    <d v="2026-03-26T14:15:00"/>
    <x v="1"/>
    <s v="Email"/>
    <x v="0"/>
    <s v="A042"/>
    <x v="1"/>
    <n v="72"/>
    <n v="8.1999999999999993"/>
    <x v="1"/>
    <s v="No"/>
    <s v="No"/>
    <m/>
    <s v="Closed"/>
    <s v="March"/>
    <x v="2"/>
    <n v="2026"/>
    <s v="Yes"/>
    <n v="1"/>
    <x v="2"/>
    <n v="1"/>
  </r>
  <r>
    <s v="T002006"/>
    <x v="1836"/>
    <d v="2026-03-26T22:34:00"/>
    <x v="2"/>
    <s v="Phone"/>
    <x v="1"/>
    <s v="A005"/>
    <x v="0"/>
    <n v="24"/>
    <n v="15.9"/>
    <x v="0"/>
    <s v="Yes"/>
    <s v="Yes"/>
    <n v="3"/>
    <s v="Closed"/>
    <s v="March"/>
    <x v="2"/>
    <n v="2026"/>
    <s v="Yes"/>
    <n v="1"/>
    <x v="1"/>
    <n v="0"/>
  </r>
  <r>
    <s v="T002007"/>
    <x v="1837"/>
    <d v="2026-03-27T06:06:00"/>
    <x v="3"/>
    <s v="Field Visit"/>
    <x v="1"/>
    <s v="A027"/>
    <x v="2"/>
    <n v="24"/>
    <n v="21.9"/>
    <x v="1"/>
    <s v="No"/>
    <s v="No"/>
    <n v="5"/>
    <s v="Closed"/>
    <s v="March"/>
    <x v="2"/>
    <n v="2026"/>
    <s v="Yes"/>
    <n v="1"/>
    <x v="3"/>
    <n v="1"/>
  </r>
  <r>
    <s v="T002008"/>
    <x v="1838"/>
    <d v="2026-03-26T18:17:00"/>
    <x v="0"/>
    <s v="Chat"/>
    <x v="0"/>
    <s v="A053"/>
    <x v="1"/>
    <n v="72"/>
    <n v="9.6"/>
    <x v="1"/>
    <s v="No"/>
    <s v="No"/>
    <m/>
    <s v="Closed"/>
    <s v="March"/>
    <x v="2"/>
    <n v="2026"/>
    <s v="Yes"/>
    <n v="1"/>
    <x v="4"/>
    <n v="1"/>
  </r>
  <r>
    <s v="T002009"/>
    <x v="1839"/>
    <d v="2026-03-26T22:11:00"/>
    <x v="1"/>
    <s v="Chat"/>
    <x v="0"/>
    <s v="A004"/>
    <x v="0"/>
    <n v="72"/>
    <n v="12.7"/>
    <x v="0"/>
    <s v="Yes"/>
    <s v="Yes"/>
    <n v="2"/>
    <s v="Closed"/>
    <s v="March"/>
    <x v="2"/>
    <n v="2026"/>
    <s v="Yes"/>
    <n v="1"/>
    <x v="4"/>
    <n v="0"/>
  </r>
  <r>
    <s v="T002010"/>
    <x v="1840"/>
    <d v="2026-03-27T22:05:00"/>
    <x v="5"/>
    <s v="Email"/>
    <x v="1"/>
    <s v="A023"/>
    <x v="2"/>
    <n v="24"/>
    <n v="35.9"/>
    <x v="1"/>
    <s v="No"/>
    <s v="No"/>
    <m/>
    <s v="Closed"/>
    <s v="March"/>
    <x v="2"/>
    <n v="2026"/>
    <s v="No"/>
    <n v="0"/>
    <x v="1"/>
    <n v="1"/>
  </r>
  <r>
    <s v="T002011"/>
    <x v="1841"/>
    <d v="2026-03-26T18:22:00"/>
    <x v="1"/>
    <s v="Phone"/>
    <x v="0"/>
    <s v="A040"/>
    <x v="1"/>
    <n v="72"/>
    <n v="8.1"/>
    <x v="1"/>
    <s v="No"/>
    <s v="No"/>
    <n v="5"/>
    <s v="Closed"/>
    <s v="March"/>
    <x v="2"/>
    <n v="2026"/>
    <s v="Yes"/>
    <n v="1"/>
    <x v="1"/>
    <n v="1"/>
  </r>
  <r>
    <s v="T002012"/>
    <x v="1842"/>
    <d v="2026-03-26T19:54:00"/>
    <x v="2"/>
    <s v="Field Visit"/>
    <x v="0"/>
    <s v="A054"/>
    <x v="1"/>
    <n v="72"/>
    <n v="9.4"/>
    <x v="0"/>
    <s v="No"/>
    <s v="Yes"/>
    <n v="4"/>
    <s v="Closed"/>
    <s v="March"/>
    <x v="2"/>
    <n v="2026"/>
    <s v="Yes"/>
    <n v="1"/>
    <x v="4"/>
    <n v="0"/>
  </r>
  <r>
    <s v="T002013"/>
    <x v="1843"/>
    <d v="2026-03-27T02:55:00"/>
    <x v="3"/>
    <s v="Field Visit"/>
    <x v="1"/>
    <s v="A048"/>
    <x v="1"/>
    <n v="24"/>
    <n v="14.2"/>
    <x v="1"/>
    <s v="No"/>
    <s v="No"/>
    <m/>
    <s v="Closed"/>
    <s v="March"/>
    <x v="2"/>
    <n v="2026"/>
    <s v="Yes"/>
    <n v="1"/>
    <x v="3"/>
    <n v="1"/>
  </r>
  <r>
    <s v="T002014"/>
    <x v="1844"/>
    <d v="2026-03-28T03:53:00"/>
    <x v="4"/>
    <s v="Field Visit"/>
    <x v="1"/>
    <s v="A040"/>
    <x v="1"/>
    <n v="24"/>
    <n v="38.700000000000003"/>
    <x v="1"/>
    <s v="No"/>
    <s v="No"/>
    <n v="5"/>
    <s v="Closed"/>
    <s v="March"/>
    <x v="2"/>
    <n v="2026"/>
    <s v="No"/>
    <n v="0"/>
    <x v="2"/>
    <n v="1"/>
  </r>
  <r>
    <s v="T002015"/>
    <x v="1845"/>
    <d v="2026-03-26T21:12:00"/>
    <x v="2"/>
    <s v="Phone"/>
    <x v="0"/>
    <s v="A036"/>
    <x v="1"/>
    <n v="72"/>
    <n v="7.6"/>
    <x v="1"/>
    <s v="No"/>
    <s v="No"/>
    <m/>
    <s v="Closed"/>
    <s v="March"/>
    <x v="2"/>
    <n v="2026"/>
    <s v="Yes"/>
    <n v="1"/>
    <x v="4"/>
    <n v="1"/>
  </r>
  <r>
    <s v="T002016"/>
    <x v="1846"/>
    <d v="2026-03-26T16:12:00"/>
    <x v="1"/>
    <s v="Chat"/>
    <x v="0"/>
    <s v="A012"/>
    <x v="0"/>
    <n v="72"/>
    <n v="1.9"/>
    <x v="1"/>
    <s v="No"/>
    <s v="No"/>
    <n v="5"/>
    <s v="Closed"/>
    <s v="March"/>
    <x v="2"/>
    <n v="2026"/>
    <s v="Yes"/>
    <n v="1"/>
    <x v="4"/>
    <n v="1"/>
  </r>
  <r>
    <s v="T002017"/>
    <x v="1847"/>
    <d v="2026-03-26T20:19:00"/>
    <x v="1"/>
    <s v="Email"/>
    <x v="0"/>
    <s v="A025"/>
    <x v="2"/>
    <n v="72"/>
    <n v="5.9"/>
    <x v="1"/>
    <s v="No"/>
    <s v="No"/>
    <n v="4"/>
    <s v="Closed"/>
    <s v="March"/>
    <x v="2"/>
    <n v="2026"/>
    <s v="Yes"/>
    <n v="1"/>
    <x v="2"/>
    <n v="1"/>
  </r>
  <r>
    <s v="T002018"/>
    <x v="1848"/>
    <d v="2026-03-26T18:50:00"/>
    <x v="6"/>
    <s v="Phone"/>
    <x v="2"/>
    <s v="A033"/>
    <x v="2"/>
    <n v="4"/>
    <n v="4.0999999999999996"/>
    <x v="1"/>
    <s v="No"/>
    <s v="No"/>
    <n v="5"/>
    <s v="Closed"/>
    <s v="March"/>
    <x v="2"/>
    <n v="2026"/>
    <s v="No"/>
    <n v="0"/>
    <x v="3"/>
    <n v="1"/>
  </r>
  <r>
    <s v="T002019"/>
    <x v="1849"/>
    <d v="2026-04-05T10:33:00"/>
    <x v="4"/>
    <s v="Field Visit"/>
    <x v="0"/>
    <s v="A031"/>
    <x v="2"/>
    <n v="72"/>
    <n v="235.8"/>
    <x v="0"/>
    <s v="Yes"/>
    <s v="No"/>
    <m/>
    <s v="Closed"/>
    <s v="March"/>
    <x v="2"/>
    <n v="2026"/>
    <s v="No"/>
    <n v="0"/>
    <x v="4"/>
    <n v="0"/>
  </r>
  <r>
    <s v="T002020"/>
    <x v="1850"/>
    <d v="2026-03-27T20:36:00"/>
    <x v="2"/>
    <s v="Email"/>
    <x v="2"/>
    <s v="A052"/>
    <x v="1"/>
    <n v="4"/>
    <n v="28.9"/>
    <x v="1"/>
    <s v="No"/>
    <s v="Yes"/>
    <n v="2"/>
    <s v="Closed"/>
    <s v="March"/>
    <x v="2"/>
    <n v="2026"/>
    <s v="No"/>
    <n v="0"/>
    <x v="1"/>
    <n v="1"/>
  </r>
  <r>
    <s v="T002021"/>
    <x v="1851"/>
    <d v="2026-03-27T06:15:00"/>
    <x v="1"/>
    <s v="Email"/>
    <x v="1"/>
    <s v="A019"/>
    <x v="2"/>
    <n v="24"/>
    <n v="13.1"/>
    <x v="1"/>
    <s v="No"/>
    <s v="No"/>
    <m/>
    <s v="Closed"/>
    <s v="March"/>
    <x v="2"/>
    <n v="2026"/>
    <s v="Yes"/>
    <n v="1"/>
    <x v="2"/>
    <n v="1"/>
  </r>
  <r>
    <s v="T002022"/>
    <x v="1852"/>
    <d v="2026-03-27T00:52:00"/>
    <x v="0"/>
    <s v="Chat"/>
    <x v="1"/>
    <s v="A018"/>
    <x v="2"/>
    <n v="24"/>
    <n v="7.6"/>
    <x v="1"/>
    <s v="No"/>
    <s v="No"/>
    <n v="5"/>
    <s v="Closed"/>
    <s v="March"/>
    <x v="2"/>
    <n v="2026"/>
    <s v="Yes"/>
    <n v="1"/>
    <x v="3"/>
    <n v="1"/>
  </r>
  <r>
    <s v="T002023"/>
    <x v="1853"/>
    <d v="2026-04-09T22:45:00"/>
    <x v="4"/>
    <s v="Field Visit"/>
    <x v="0"/>
    <s v="A039"/>
    <x v="1"/>
    <n v="72"/>
    <n v="340.6"/>
    <x v="1"/>
    <s v="No"/>
    <s v="No"/>
    <n v="4"/>
    <s v="Closed"/>
    <s v="March"/>
    <x v="2"/>
    <n v="2026"/>
    <s v="No"/>
    <n v="0"/>
    <x v="0"/>
    <n v="1"/>
  </r>
  <r>
    <s v="T002025"/>
    <x v="1854"/>
    <d v="2026-03-27T02:43:00"/>
    <x v="0"/>
    <s v="Phone"/>
    <x v="1"/>
    <s v="A026"/>
    <x v="2"/>
    <n v="24"/>
    <n v="8"/>
    <x v="1"/>
    <s v="No"/>
    <s v="Yes"/>
    <m/>
    <s v="Closed"/>
    <s v="March"/>
    <x v="2"/>
    <n v="2026"/>
    <s v="Yes"/>
    <n v="1"/>
    <x v="2"/>
    <n v="1"/>
  </r>
  <r>
    <s v="T002024"/>
    <x v="1854"/>
    <d v="2026-03-26T20:31:00"/>
    <x v="6"/>
    <s v="Chat"/>
    <x v="2"/>
    <s v="A029"/>
    <x v="2"/>
    <n v="4"/>
    <n v="1.8"/>
    <x v="0"/>
    <s v="Yes"/>
    <s v="No"/>
    <n v="5"/>
    <s v="Closed"/>
    <s v="March"/>
    <x v="2"/>
    <n v="2026"/>
    <s v="Yes"/>
    <n v="1"/>
    <x v="3"/>
    <n v="0"/>
  </r>
  <r>
    <s v="T002026"/>
    <x v="1855"/>
    <d v="2026-03-27T20:18:00"/>
    <x v="2"/>
    <s v="Chat"/>
    <x v="0"/>
    <s v="A005"/>
    <x v="0"/>
    <n v="72"/>
    <n v="24.7"/>
    <x v="0"/>
    <s v="Yes"/>
    <s v="No"/>
    <n v="4"/>
    <s v="Closed"/>
    <s v="March"/>
    <x v="2"/>
    <n v="2026"/>
    <s v="Yes"/>
    <n v="1"/>
    <x v="0"/>
    <n v="0"/>
  </r>
  <r>
    <s v="T002027"/>
    <x v="1856"/>
    <d v="2026-03-27T21:08:00"/>
    <x v="0"/>
    <s v="Phone"/>
    <x v="2"/>
    <s v="A009"/>
    <x v="0"/>
    <n v="4"/>
    <n v="18"/>
    <x v="1"/>
    <s v="No"/>
    <s v="No"/>
    <n v="3"/>
    <s v="Closed"/>
    <s v="March"/>
    <x v="2"/>
    <n v="2026"/>
    <s v="No"/>
    <n v="0"/>
    <x v="4"/>
    <n v="1"/>
  </r>
  <r>
    <s v="T002028"/>
    <x v="1857"/>
    <d v="2026-03-27T11:22:00"/>
    <x v="6"/>
    <s v="Field Visit"/>
    <x v="2"/>
    <s v="A035"/>
    <x v="2"/>
    <n v="4"/>
    <n v="7.7"/>
    <x v="1"/>
    <s v="No"/>
    <s v="No"/>
    <n v="5"/>
    <s v="Closed"/>
    <s v="March"/>
    <x v="2"/>
    <n v="2026"/>
    <s v="No"/>
    <n v="0"/>
    <x v="2"/>
    <n v="1"/>
  </r>
  <r>
    <s v="T002029"/>
    <x v="1858"/>
    <d v="2026-03-27T11:20:00"/>
    <x v="0"/>
    <s v="Chat"/>
    <x v="2"/>
    <s v="A035"/>
    <x v="2"/>
    <n v="4"/>
    <n v="6.7"/>
    <x v="0"/>
    <s v="No"/>
    <s v="No"/>
    <n v="4"/>
    <s v="Closed"/>
    <s v="March"/>
    <x v="2"/>
    <n v="2026"/>
    <s v="No"/>
    <n v="0"/>
    <x v="1"/>
    <n v="0"/>
  </r>
  <r>
    <s v="T002030"/>
    <x v="1859"/>
    <d v="2026-03-27T12:12:00"/>
    <x v="1"/>
    <s v="Chat"/>
    <x v="1"/>
    <s v="A060"/>
    <x v="1"/>
    <n v="24"/>
    <n v="7.2"/>
    <x v="1"/>
    <s v="No"/>
    <s v="No"/>
    <m/>
    <s v="Closed"/>
    <s v="March"/>
    <x v="2"/>
    <n v="2026"/>
    <s v="Yes"/>
    <n v="1"/>
    <x v="3"/>
    <n v="1"/>
  </r>
  <r>
    <s v="T002031"/>
    <x v="1860"/>
    <d v="2026-03-27T09:25:00"/>
    <x v="1"/>
    <s v="Chat"/>
    <x v="1"/>
    <s v="A010"/>
    <x v="0"/>
    <n v="24"/>
    <n v="3.2"/>
    <x v="0"/>
    <s v="No"/>
    <s v="No"/>
    <n v="4"/>
    <s v="Closed"/>
    <s v="March"/>
    <x v="2"/>
    <n v="2026"/>
    <s v="Yes"/>
    <n v="1"/>
    <x v="1"/>
    <n v="0"/>
  </r>
  <r>
    <s v="T002032"/>
    <x v="1861"/>
    <d v="2026-03-28T10:19:00"/>
    <x v="6"/>
    <s v="Field Visit"/>
    <x v="2"/>
    <s v="A036"/>
    <x v="1"/>
    <n v="4"/>
    <n v="26.9"/>
    <x v="1"/>
    <s v="No"/>
    <s v="No"/>
    <m/>
    <s v="Closed"/>
    <s v="March"/>
    <x v="2"/>
    <n v="2026"/>
    <s v="No"/>
    <n v="0"/>
    <x v="3"/>
    <n v="1"/>
  </r>
  <r>
    <s v="T002033"/>
    <x v="1862"/>
    <d v="2026-03-27T14:20:00"/>
    <x v="1"/>
    <s v="Phone"/>
    <x v="1"/>
    <s v="A054"/>
    <x v="1"/>
    <n v="24"/>
    <n v="6.9"/>
    <x v="0"/>
    <s v="No"/>
    <s v="No"/>
    <n v="4"/>
    <s v="Closed"/>
    <s v="March"/>
    <x v="2"/>
    <n v="2026"/>
    <s v="Yes"/>
    <n v="1"/>
    <x v="3"/>
    <n v="0"/>
  </r>
  <r>
    <s v="T002034"/>
    <x v="1863"/>
    <d v="2026-03-27T14:59:00"/>
    <x v="6"/>
    <s v="Phone"/>
    <x v="0"/>
    <s v="A018"/>
    <x v="2"/>
    <n v="72"/>
    <n v="7.5"/>
    <x v="1"/>
    <s v="No"/>
    <s v="Yes"/>
    <m/>
    <s v="Closed"/>
    <s v="March"/>
    <x v="2"/>
    <n v="2026"/>
    <s v="Yes"/>
    <n v="1"/>
    <x v="2"/>
    <n v="1"/>
  </r>
  <r>
    <s v="T002035"/>
    <x v="1864"/>
    <d v="2026-03-27T11:59:00"/>
    <x v="0"/>
    <s v="Phone"/>
    <x v="0"/>
    <s v="A046"/>
    <x v="1"/>
    <n v="72"/>
    <n v="3.9"/>
    <x v="1"/>
    <s v="No"/>
    <s v="No"/>
    <n v="5"/>
    <s v="Closed"/>
    <s v="March"/>
    <x v="2"/>
    <n v="2026"/>
    <s v="Yes"/>
    <n v="1"/>
    <x v="4"/>
    <n v="1"/>
  </r>
  <r>
    <s v="T002036"/>
    <x v="1865"/>
    <d v="2026-03-28T04:54:00"/>
    <x v="3"/>
    <s v="Chat"/>
    <x v="2"/>
    <s v="A017"/>
    <x v="2"/>
    <n v="4"/>
    <n v="19.100000000000001"/>
    <x v="1"/>
    <s v="No"/>
    <s v="No"/>
    <n v="4"/>
    <s v="Closed"/>
    <s v="March"/>
    <x v="2"/>
    <n v="2026"/>
    <s v="No"/>
    <n v="0"/>
    <x v="3"/>
    <n v="1"/>
  </r>
  <r>
    <s v="T002037"/>
    <x v="1866"/>
    <d v="2026-03-27T19:27:00"/>
    <x v="6"/>
    <s v="Phone"/>
    <x v="2"/>
    <s v="A008"/>
    <x v="0"/>
    <n v="4"/>
    <n v="9.1999999999999993"/>
    <x v="1"/>
    <s v="No"/>
    <s v="No"/>
    <n v="3"/>
    <s v="Closed"/>
    <s v="March"/>
    <x v="2"/>
    <n v="2026"/>
    <s v="No"/>
    <n v="0"/>
    <x v="2"/>
    <n v="1"/>
  </r>
  <r>
    <s v="T002038"/>
    <x v="1867"/>
    <d v="2026-03-27T16:12:00"/>
    <x v="0"/>
    <s v="Phone"/>
    <x v="1"/>
    <s v="A024"/>
    <x v="2"/>
    <n v="24"/>
    <n v="5.4"/>
    <x v="1"/>
    <s v="No"/>
    <s v="No"/>
    <n v="4"/>
    <s v="Closed"/>
    <s v="March"/>
    <x v="2"/>
    <n v="2026"/>
    <s v="Yes"/>
    <n v="1"/>
    <x v="1"/>
    <n v="1"/>
  </r>
  <r>
    <s v="T002039"/>
    <x v="1868"/>
    <d v="2026-03-27T14:30:00"/>
    <x v="1"/>
    <s v="Phone"/>
    <x v="1"/>
    <s v="A039"/>
    <x v="1"/>
    <n v="24"/>
    <n v="3.6"/>
    <x v="1"/>
    <s v="No"/>
    <s v="No"/>
    <m/>
    <s v="Closed"/>
    <s v="March"/>
    <x v="2"/>
    <n v="2026"/>
    <s v="Yes"/>
    <n v="1"/>
    <x v="4"/>
    <n v="1"/>
  </r>
  <r>
    <s v="T002040"/>
    <x v="1869"/>
    <d v="2026-03-27T21:40:00"/>
    <x v="0"/>
    <s v="Chat"/>
    <x v="1"/>
    <s v="A042"/>
    <x v="1"/>
    <n v="24"/>
    <n v="10.7"/>
    <x v="1"/>
    <s v="No"/>
    <s v="No"/>
    <n v="4"/>
    <s v="Closed"/>
    <s v="March"/>
    <x v="2"/>
    <n v="2026"/>
    <s v="Yes"/>
    <n v="1"/>
    <x v="3"/>
    <n v="1"/>
  </r>
  <r>
    <s v="T002041"/>
    <x v="1870"/>
    <d v="2026-03-30T12:56:00"/>
    <x v="3"/>
    <s v="Field Visit"/>
    <x v="0"/>
    <s v="A057"/>
    <x v="1"/>
    <n v="72"/>
    <n v="73.7"/>
    <x v="1"/>
    <s v="No"/>
    <s v="No"/>
    <n v="5"/>
    <s v="Closed"/>
    <s v="March"/>
    <x v="2"/>
    <n v="2026"/>
    <s v="No"/>
    <n v="0"/>
    <x v="2"/>
    <n v="1"/>
  </r>
  <r>
    <s v="T002042"/>
    <x v="1871"/>
    <d v="2026-03-28T10:39:00"/>
    <x v="6"/>
    <s v="Phone"/>
    <x v="1"/>
    <s v="A017"/>
    <x v="2"/>
    <n v="24"/>
    <n v="23.1"/>
    <x v="1"/>
    <s v="No"/>
    <s v="No"/>
    <m/>
    <s v="Closed"/>
    <s v="March"/>
    <x v="2"/>
    <n v="2026"/>
    <s v="Yes"/>
    <n v="1"/>
    <x v="0"/>
    <n v="1"/>
  </r>
  <r>
    <s v="T002043"/>
    <x v="1872"/>
    <d v="2026-03-27T15:02:00"/>
    <x v="0"/>
    <s v="Chat"/>
    <x v="0"/>
    <s v="A047"/>
    <x v="1"/>
    <n v="72"/>
    <n v="3.2"/>
    <x v="1"/>
    <s v="No"/>
    <s v="Yes"/>
    <m/>
    <s v="Closed"/>
    <s v="March"/>
    <x v="2"/>
    <n v="2026"/>
    <s v="Yes"/>
    <n v="1"/>
    <x v="1"/>
    <n v="1"/>
  </r>
  <r>
    <s v="T002044"/>
    <x v="1873"/>
    <d v="2026-03-27T18:12:00"/>
    <x v="2"/>
    <s v="Chat"/>
    <x v="0"/>
    <s v="A006"/>
    <x v="0"/>
    <n v="72"/>
    <n v="5.2"/>
    <x v="1"/>
    <s v="No"/>
    <s v="No"/>
    <n v="5"/>
    <s v="Closed"/>
    <s v="March"/>
    <x v="2"/>
    <n v="2026"/>
    <s v="Yes"/>
    <n v="1"/>
    <x v="3"/>
    <n v="1"/>
  </r>
  <r>
    <s v="T002045"/>
    <x v="1874"/>
    <d v="2026-03-27T22:51:00"/>
    <x v="5"/>
    <s v="Phone"/>
    <x v="2"/>
    <s v="A051"/>
    <x v="1"/>
    <n v="4"/>
    <n v="9.6"/>
    <x v="1"/>
    <s v="No"/>
    <s v="Yes"/>
    <m/>
    <s v="Closed"/>
    <s v="March"/>
    <x v="2"/>
    <n v="2026"/>
    <s v="No"/>
    <n v="0"/>
    <x v="4"/>
    <n v="1"/>
  </r>
  <r>
    <s v="T002046"/>
    <x v="1875"/>
    <d v="2026-03-27T19:55:00"/>
    <x v="2"/>
    <s v="Chat"/>
    <x v="1"/>
    <s v="A010"/>
    <x v="0"/>
    <n v="24"/>
    <n v="6.3"/>
    <x v="0"/>
    <s v="No"/>
    <s v="Yes"/>
    <m/>
    <s v="Closed"/>
    <s v="March"/>
    <x v="2"/>
    <n v="2026"/>
    <s v="Yes"/>
    <n v="1"/>
    <x v="1"/>
    <n v="0"/>
  </r>
  <r>
    <s v="T002047"/>
    <x v="1876"/>
    <d v="2026-03-28T14:54:00"/>
    <x v="3"/>
    <s v="Field Visit"/>
    <x v="0"/>
    <s v="A045"/>
    <x v="1"/>
    <n v="72"/>
    <n v="25.1"/>
    <x v="0"/>
    <s v="No"/>
    <s v="No"/>
    <n v="5"/>
    <s v="Closed"/>
    <s v="March"/>
    <x v="2"/>
    <n v="2026"/>
    <s v="Yes"/>
    <n v="1"/>
    <x v="4"/>
    <n v="0"/>
  </r>
  <r>
    <s v="T002048"/>
    <x v="1877"/>
    <d v="2026-03-28T01:31:00"/>
    <x v="0"/>
    <s v="Chat"/>
    <x v="1"/>
    <s v="A041"/>
    <x v="1"/>
    <n v="24"/>
    <n v="6"/>
    <x v="0"/>
    <s v="Yes"/>
    <s v="Yes"/>
    <m/>
    <s v="Closed"/>
    <s v="March"/>
    <x v="2"/>
    <n v="2026"/>
    <s v="Yes"/>
    <n v="1"/>
    <x v="0"/>
    <n v="0"/>
  </r>
  <r>
    <s v="T002049"/>
    <x v="1878"/>
    <d v="2026-03-31T10:23:00"/>
    <x v="0"/>
    <s v="Field Visit"/>
    <x v="1"/>
    <s v="A004"/>
    <x v="0"/>
    <n v="24"/>
    <n v="76.400000000000006"/>
    <x v="1"/>
    <s v="No"/>
    <s v="Yes"/>
    <n v="4"/>
    <s v="Closed"/>
    <s v="March"/>
    <x v="2"/>
    <n v="2026"/>
    <s v="No"/>
    <n v="0"/>
    <x v="0"/>
    <n v="1"/>
  </r>
  <r>
    <s v="T002050"/>
    <x v="1879"/>
    <d v="2026-04-01T03:07:00"/>
    <x v="4"/>
    <s v="Field Visit"/>
    <x v="0"/>
    <s v="A031"/>
    <x v="2"/>
    <n v="72"/>
    <n v="92.5"/>
    <x v="1"/>
    <s v="No"/>
    <s v="No"/>
    <m/>
    <s v="Closed"/>
    <s v="March"/>
    <x v="2"/>
    <n v="2026"/>
    <s v="No"/>
    <n v="0"/>
    <x v="4"/>
    <n v="1"/>
  </r>
  <r>
    <s v="T002051"/>
    <x v="1880"/>
    <d v="2026-03-29T14:52:00"/>
    <x v="0"/>
    <s v="Phone"/>
    <x v="0"/>
    <s v="A012"/>
    <x v="0"/>
    <n v="72"/>
    <n v="30.9"/>
    <x v="1"/>
    <s v="No"/>
    <s v="No"/>
    <n v="5"/>
    <s v="Closed"/>
    <s v="March"/>
    <x v="2"/>
    <n v="2026"/>
    <s v="Yes"/>
    <n v="1"/>
    <x v="1"/>
    <n v="1"/>
  </r>
  <r>
    <s v="T002052"/>
    <x v="1881"/>
    <d v="2026-03-28T17:36:00"/>
    <x v="5"/>
    <s v="Email"/>
    <x v="0"/>
    <s v="A020"/>
    <x v="2"/>
    <n v="72"/>
    <n v="9"/>
    <x v="0"/>
    <s v="No"/>
    <s v="No"/>
    <n v="5"/>
    <s v="Closed"/>
    <s v="March"/>
    <x v="2"/>
    <n v="2026"/>
    <s v="Yes"/>
    <n v="1"/>
    <x v="3"/>
    <n v="0"/>
  </r>
  <r>
    <s v="T002053"/>
    <x v="1882"/>
    <d v="2026-03-28T15:24:00"/>
    <x v="1"/>
    <s v="Chat"/>
    <x v="1"/>
    <s v="A057"/>
    <x v="1"/>
    <n v="24"/>
    <n v="5.9"/>
    <x v="1"/>
    <s v="No"/>
    <s v="No"/>
    <n v="5"/>
    <s v="Closed"/>
    <s v="March"/>
    <x v="2"/>
    <n v="2026"/>
    <s v="Yes"/>
    <n v="1"/>
    <x v="0"/>
    <n v="1"/>
  </r>
  <r>
    <s v="T002054"/>
    <x v="1883"/>
    <d v="2026-03-28T16:37:00"/>
    <x v="6"/>
    <s v="Phone"/>
    <x v="2"/>
    <s v="A014"/>
    <x v="0"/>
    <n v="4"/>
    <n v="6.9"/>
    <x v="0"/>
    <s v="Yes"/>
    <s v="No"/>
    <m/>
    <s v="Closed"/>
    <s v="March"/>
    <x v="2"/>
    <n v="2026"/>
    <s v="No"/>
    <n v="0"/>
    <x v="2"/>
    <n v="0"/>
  </r>
  <r>
    <s v="T002055"/>
    <x v="1884"/>
    <d v="2026-03-28T20:23:00"/>
    <x v="6"/>
    <s v="Field Visit"/>
    <x v="1"/>
    <s v="A052"/>
    <x v="1"/>
    <n v="24"/>
    <n v="9"/>
    <x v="1"/>
    <s v="No"/>
    <s v="No"/>
    <n v="5"/>
    <s v="Closed"/>
    <s v="March"/>
    <x v="2"/>
    <n v="2026"/>
    <s v="Yes"/>
    <n v="1"/>
    <x v="3"/>
    <n v="1"/>
  </r>
  <r>
    <s v="T002056"/>
    <x v="1885"/>
    <d v="2026-03-29T08:46:00"/>
    <x v="4"/>
    <s v="Chat"/>
    <x v="2"/>
    <s v="A023"/>
    <x v="2"/>
    <n v="4"/>
    <n v="21.3"/>
    <x v="0"/>
    <s v="No"/>
    <s v="No"/>
    <n v="3"/>
    <s v="Closed"/>
    <s v="March"/>
    <x v="2"/>
    <n v="2026"/>
    <s v="No"/>
    <n v="0"/>
    <x v="1"/>
    <n v="0"/>
  </r>
  <r>
    <s v="T002057"/>
    <x v="1886"/>
    <d v="2026-03-29T11:21:00"/>
    <x v="3"/>
    <s v="Chat"/>
    <x v="0"/>
    <s v="A048"/>
    <x v="1"/>
    <n v="72"/>
    <n v="22.7"/>
    <x v="1"/>
    <s v="No"/>
    <s v="No"/>
    <n v="4"/>
    <s v="Closed"/>
    <s v="March"/>
    <x v="2"/>
    <n v="2026"/>
    <s v="Yes"/>
    <n v="1"/>
    <x v="0"/>
    <n v="1"/>
  </r>
  <r>
    <s v="T002058"/>
    <x v="1887"/>
    <d v="2026-03-29T05:46:00"/>
    <x v="0"/>
    <s v="Chat"/>
    <x v="0"/>
    <s v="A007"/>
    <x v="0"/>
    <n v="72"/>
    <n v="17.100000000000001"/>
    <x v="0"/>
    <s v="No"/>
    <s v="No"/>
    <n v="4"/>
    <s v="Closed"/>
    <s v="March"/>
    <x v="2"/>
    <n v="2026"/>
    <s v="Yes"/>
    <n v="1"/>
    <x v="4"/>
    <n v="0"/>
  </r>
  <r>
    <s v="T002059"/>
    <x v="1888"/>
    <d v="2026-03-28T16:17:00"/>
    <x v="6"/>
    <s v="Chat"/>
    <x v="2"/>
    <s v="A019"/>
    <x v="2"/>
    <n v="4"/>
    <n v="2.6"/>
    <x v="0"/>
    <s v="No"/>
    <s v="No"/>
    <n v="5"/>
    <s v="Closed"/>
    <s v="March"/>
    <x v="2"/>
    <n v="2026"/>
    <s v="Yes"/>
    <n v="1"/>
    <x v="4"/>
    <n v="0"/>
  </r>
  <r>
    <s v="T002060"/>
    <x v="1889"/>
    <d v="2026-03-29T01:23:00"/>
    <x v="5"/>
    <s v="Phone"/>
    <x v="2"/>
    <s v="A023"/>
    <x v="2"/>
    <n v="4"/>
    <n v="10.8"/>
    <x v="1"/>
    <s v="No"/>
    <s v="No"/>
    <n v="4"/>
    <s v="Closed"/>
    <s v="March"/>
    <x v="2"/>
    <n v="2026"/>
    <s v="No"/>
    <n v="0"/>
    <x v="3"/>
    <n v="1"/>
  </r>
  <r>
    <s v="T002061"/>
    <x v="1890"/>
    <d v="2026-04-04T21:47:00"/>
    <x v="4"/>
    <s v="Field Visit"/>
    <x v="1"/>
    <s v="A051"/>
    <x v="1"/>
    <n v="24"/>
    <n v="174.8"/>
    <x v="1"/>
    <s v="No"/>
    <s v="No"/>
    <n v="2"/>
    <s v="Closed"/>
    <s v="March"/>
    <x v="2"/>
    <n v="2026"/>
    <s v="No"/>
    <n v="0"/>
    <x v="1"/>
    <n v="1"/>
  </r>
  <r>
    <s v="T002062"/>
    <x v="1891"/>
    <d v="2026-03-28T23:18:00"/>
    <x v="5"/>
    <s v="Phone"/>
    <x v="1"/>
    <s v="A042"/>
    <x v="1"/>
    <n v="24"/>
    <n v="7.2"/>
    <x v="1"/>
    <s v="No"/>
    <s v="No"/>
    <m/>
    <s v="Closed"/>
    <s v="March"/>
    <x v="2"/>
    <n v="2026"/>
    <s v="Yes"/>
    <n v="1"/>
    <x v="3"/>
    <n v="1"/>
  </r>
  <r>
    <s v="T002063"/>
    <x v="1892"/>
    <d v="2026-03-29T05:08:00"/>
    <x v="6"/>
    <s v="Phone"/>
    <x v="2"/>
    <s v="A008"/>
    <x v="0"/>
    <n v="4"/>
    <n v="12.8"/>
    <x v="1"/>
    <s v="No"/>
    <s v="No"/>
    <n v="3"/>
    <s v="Closed"/>
    <s v="March"/>
    <x v="2"/>
    <n v="2026"/>
    <s v="No"/>
    <n v="0"/>
    <x v="1"/>
    <n v="1"/>
  </r>
  <r>
    <s v="T002064"/>
    <x v="1893"/>
    <d v="2026-03-29T03:21:00"/>
    <x v="1"/>
    <s v="Email"/>
    <x v="1"/>
    <s v="A038"/>
    <x v="1"/>
    <n v="24"/>
    <n v="10.4"/>
    <x v="0"/>
    <s v="No"/>
    <s v="No"/>
    <n v="5"/>
    <s v="Closed"/>
    <s v="March"/>
    <x v="2"/>
    <n v="2026"/>
    <s v="Yes"/>
    <n v="1"/>
    <x v="1"/>
    <n v="0"/>
  </r>
  <r>
    <s v="T002065"/>
    <x v="1894"/>
    <d v="2026-03-29T04:02:00"/>
    <x v="6"/>
    <s v="Phone"/>
    <x v="2"/>
    <s v="A013"/>
    <x v="0"/>
    <n v="4"/>
    <n v="10.1"/>
    <x v="0"/>
    <s v="Yes"/>
    <s v="No"/>
    <n v="3"/>
    <s v="Closed"/>
    <s v="March"/>
    <x v="2"/>
    <n v="2026"/>
    <s v="No"/>
    <n v="0"/>
    <x v="1"/>
    <n v="0"/>
  </r>
  <r>
    <s v="T002066"/>
    <x v="1895"/>
    <d v="2026-03-29T02:55:00"/>
    <x v="1"/>
    <s v="Phone"/>
    <x v="0"/>
    <s v="A042"/>
    <x v="1"/>
    <n v="72"/>
    <n v="7.8"/>
    <x v="1"/>
    <s v="No"/>
    <s v="No"/>
    <n v="5"/>
    <s v="Closed"/>
    <s v="March"/>
    <x v="2"/>
    <n v="2026"/>
    <s v="Yes"/>
    <n v="1"/>
    <x v="3"/>
    <n v="1"/>
  </r>
  <r>
    <s v="T002067"/>
    <x v="1896"/>
    <d v="2026-03-28T22:38:00"/>
    <x v="5"/>
    <s v="Phone"/>
    <x v="1"/>
    <s v="A016"/>
    <x v="2"/>
    <n v="24"/>
    <n v="2.8"/>
    <x v="1"/>
    <s v="No"/>
    <s v="No"/>
    <n v="4"/>
    <s v="Closed"/>
    <s v="March"/>
    <x v="2"/>
    <n v="2026"/>
    <s v="Yes"/>
    <n v="1"/>
    <x v="1"/>
    <n v="1"/>
  </r>
  <r>
    <s v="T002068"/>
    <x v="1897"/>
    <d v="2026-03-29T16:42:00"/>
    <x v="1"/>
    <s v="Phone"/>
    <x v="1"/>
    <s v="A023"/>
    <x v="2"/>
    <n v="24"/>
    <n v="19.3"/>
    <x v="1"/>
    <s v="No"/>
    <s v="No"/>
    <m/>
    <s v="Closed"/>
    <s v="March"/>
    <x v="2"/>
    <n v="2026"/>
    <s v="Yes"/>
    <n v="1"/>
    <x v="0"/>
    <n v="1"/>
  </r>
  <r>
    <s v="T002069"/>
    <x v="1898"/>
    <d v="2026-03-30T17:31:00"/>
    <x v="0"/>
    <s v="Field Visit"/>
    <x v="0"/>
    <s v="A026"/>
    <x v="2"/>
    <n v="72"/>
    <n v="38.5"/>
    <x v="0"/>
    <s v="No"/>
    <s v="No"/>
    <n v="5"/>
    <s v="Closed"/>
    <s v="March"/>
    <x v="2"/>
    <n v="2026"/>
    <s v="Yes"/>
    <n v="1"/>
    <x v="3"/>
    <n v="0"/>
  </r>
  <r>
    <s v="T002070"/>
    <x v="1899"/>
    <d v="2026-03-29T12:45:00"/>
    <x v="1"/>
    <s v="Chat"/>
    <x v="1"/>
    <s v="A001"/>
    <x v="0"/>
    <n v="24"/>
    <n v="7"/>
    <x v="0"/>
    <s v="No"/>
    <s v="No"/>
    <n v="5"/>
    <s v="Closed"/>
    <s v="March"/>
    <x v="2"/>
    <n v="2026"/>
    <s v="Yes"/>
    <n v="1"/>
    <x v="4"/>
    <n v="0"/>
  </r>
  <r>
    <s v="T002071"/>
    <x v="1900"/>
    <d v="2026-03-29T10:24:00"/>
    <x v="1"/>
    <s v="Chat"/>
    <x v="0"/>
    <s v="A047"/>
    <x v="1"/>
    <n v="72"/>
    <n v="4.4000000000000004"/>
    <x v="0"/>
    <s v="Yes"/>
    <s v="No"/>
    <n v="3"/>
    <s v="Closed"/>
    <s v="March"/>
    <x v="2"/>
    <n v="2026"/>
    <s v="Yes"/>
    <n v="1"/>
    <x v="3"/>
    <n v="0"/>
  </r>
  <r>
    <s v="T002072"/>
    <x v="1901"/>
    <d v="2026-03-29T10:53:00"/>
    <x v="1"/>
    <s v="Phone"/>
    <x v="0"/>
    <s v="A033"/>
    <x v="2"/>
    <n v="72"/>
    <n v="4.8"/>
    <x v="1"/>
    <s v="No"/>
    <s v="No"/>
    <m/>
    <s v="Closed"/>
    <s v="March"/>
    <x v="2"/>
    <n v="2026"/>
    <s v="Yes"/>
    <n v="1"/>
    <x v="3"/>
    <n v="1"/>
  </r>
  <r>
    <s v="T002073"/>
    <x v="1902"/>
    <d v="2026-03-30T02:14:00"/>
    <x v="6"/>
    <s v="Phone"/>
    <x v="1"/>
    <s v="A013"/>
    <x v="0"/>
    <n v="24"/>
    <n v="20"/>
    <x v="1"/>
    <s v="No"/>
    <s v="No"/>
    <n v="5"/>
    <s v="Closed"/>
    <s v="March"/>
    <x v="2"/>
    <n v="2026"/>
    <s v="Yes"/>
    <n v="1"/>
    <x v="0"/>
    <n v="1"/>
  </r>
  <r>
    <s v="T002074"/>
    <x v="1903"/>
    <d v="2026-03-29T16:41:00"/>
    <x v="1"/>
    <s v="Chat"/>
    <x v="1"/>
    <s v="A021"/>
    <x v="2"/>
    <n v="24"/>
    <n v="9.9"/>
    <x v="1"/>
    <s v="No"/>
    <s v="No"/>
    <m/>
    <s v="Closed"/>
    <s v="March"/>
    <x v="2"/>
    <n v="2026"/>
    <s v="Yes"/>
    <n v="1"/>
    <x v="1"/>
    <n v="1"/>
  </r>
  <r>
    <s v="T002075"/>
    <x v="1904"/>
    <d v="2026-03-29T16:10:00"/>
    <x v="1"/>
    <s v="Email"/>
    <x v="1"/>
    <s v="A019"/>
    <x v="2"/>
    <n v="24"/>
    <n v="7.3"/>
    <x v="1"/>
    <s v="No"/>
    <s v="No"/>
    <m/>
    <s v="Closed"/>
    <s v="March"/>
    <x v="2"/>
    <n v="2026"/>
    <s v="Yes"/>
    <n v="1"/>
    <x v="3"/>
    <n v="1"/>
  </r>
  <r>
    <s v="T002076"/>
    <x v="1905"/>
    <d v="2026-03-29T16:58:00"/>
    <x v="6"/>
    <s v="Chat"/>
    <x v="2"/>
    <s v="A043"/>
    <x v="1"/>
    <n v="4"/>
    <n v="7.5"/>
    <x v="1"/>
    <s v="No"/>
    <s v="No"/>
    <n v="4"/>
    <s v="Closed"/>
    <s v="March"/>
    <x v="2"/>
    <n v="2026"/>
    <s v="No"/>
    <n v="0"/>
    <x v="0"/>
    <n v="1"/>
  </r>
  <r>
    <s v="T002077"/>
    <x v="1906"/>
    <d v="2026-03-29T23:00:00"/>
    <x v="6"/>
    <s v="Field Visit"/>
    <x v="1"/>
    <s v="A026"/>
    <x v="2"/>
    <n v="24"/>
    <n v="12.6"/>
    <x v="1"/>
    <s v="No"/>
    <s v="No"/>
    <n v="4"/>
    <s v="Closed"/>
    <s v="March"/>
    <x v="2"/>
    <n v="2026"/>
    <s v="Yes"/>
    <n v="1"/>
    <x v="3"/>
    <n v="1"/>
  </r>
  <r>
    <s v="T002078"/>
    <x v="1907"/>
    <d v="2026-03-29T21:15:00"/>
    <x v="1"/>
    <s v="Phone"/>
    <x v="1"/>
    <s v="A043"/>
    <x v="1"/>
    <n v="24"/>
    <n v="10.6"/>
    <x v="1"/>
    <s v="No"/>
    <s v="No"/>
    <m/>
    <s v="Closed"/>
    <s v="March"/>
    <x v="2"/>
    <n v="2026"/>
    <s v="Yes"/>
    <n v="1"/>
    <x v="2"/>
    <n v="1"/>
  </r>
  <r>
    <s v="T002079"/>
    <x v="1908"/>
    <d v="2026-03-29T15:27:00"/>
    <x v="1"/>
    <s v="Chat"/>
    <x v="1"/>
    <s v="A034"/>
    <x v="2"/>
    <n v="24"/>
    <n v="4.0999999999999996"/>
    <x v="1"/>
    <s v="No"/>
    <s v="No"/>
    <m/>
    <s v="Closed"/>
    <s v="March"/>
    <x v="2"/>
    <n v="2026"/>
    <s v="Yes"/>
    <n v="1"/>
    <x v="0"/>
    <n v="1"/>
  </r>
  <r>
    <s v="T002080"/>
    <x v="1909"/>
    <d v="2026-04-01T08:36:00"/>
    <x v="3"/>
    <s v="Email"/>
    <x v="0"/>
    <s v="A040"/>
    <x v="1"/>
    <n v="72"/>
    <n v="69.099999999999994"/>
    <x v="1"/>
    <s v="No"/>
    <s v="No"/>
    <n v="5"/>
    <s v="Closed"/>
    <s v="March"/>
    <x v="2"/>
    <n v="2026"/>
    <s v="Yes"/>
    <n v="1"/>
    <x v="4"/>
    <n v="1"/>
  </r>
  <r>
    <s v="T002081"/>
    <x v="1910"/>
    <d v="2026-04-01T15:41:00"/>
    <x v="4"/>
    <s v="Field Visit"/>
    <x v="1"/>
    <s v="A017"/>
    <x v="2"/>
    <n v="24"/>
    <n v="76"/>
    <x v="1"/>
    <s v="No"/>
    <s v="No"/>
    <n v="4"/>
    <s v="Closed"/>
    <s v="March"/>
    <x v="2"/>
    <n v="2026"/>
    <s v="No"/>
    <n v="0"/>
    <x v="2"/>
    <n v="1"/>
  </r>
  <r>
    <s v="T002082"/>
    <x v="1911"/>
    <d v="2026-04-03T09:06:00"/>
    <x v="3"/>
    <s v="Field Visit"/>
    <x v="1"/>
    <s v="A005"/>
    <x v="0"/>
    <n v="24"/>
    <n v="117.2"/>
    <x v="1"/>
    <s v="No"/>
    <s v="No"/>
    <n v="5"/>
    <s v="Closed"/>
    <s v="March"/>
    <x v="2"/>
    <n v="2026"/>
    <s v="No"/>
    <n v="0"/>
    <x v="2"/>
    <n v="1"/>
  </r>
  <r>
    <s v="T002083"/>
    <x v="1912"/>
    <d v="2026-03-29T15:29:00"/>
    <x v="5"/>
    <s v="Phone"/>
    <x v="0"/>
    <s v="A053"/>
    <x v="1"/>
    <n v="72"/>
    <n v="3.4"/>
    <x v="1"/>
    <s v="No"/>
    <s v="No"/>
    <m/>
    <s v="Closed"/>
    <s v="March"/>
    <x v="2"/>
    <n v="2026"/>
    <s v="Yes"/>
    <n v="1"/>
    <x v="3"/>
    <n v="1"/>
  </r>
  <r>
    <s v="T002084"/>
    <x v="1913"/>
    <d v="2026-03-29T19:07:00"/>
    <x v="1"/>
    <s v="Phone"/>
    <x v="1"/>
    <s v="A030"/>
    <x v="2"/>
    <n v="24"/>
    <n v="6.9"/>
    <x v="0"/>
    <s v="No"/>
    <s v="No"/>
    <m/>
    <s v="Closed"/>
    <s v="March"/>
    <x v="2"/>
    <n v="2026"/>
    <s v="Yes"/>
    <n v="1"/>
    <x v="2"/>
    <n v="0"/>
  </r>
  <r>
    <s v="T002085"/>
    <x v="1914"/>
    <d v="2026-03-29T21:55:00"/>
    <x v="0"/>
    <s v="Phone"/>
    <x v="0"/>
    <s v="A059"/>
    <x v="1"/>
    <n v="72"/>
    <n v="9.6"/>
    <x v="0"/>
    <s v="No"/>
    <s v="Yes"/>
    <m/>
    <s v="Closed"/>
    <s v="March"/>
    <x v="2"/>
    <n v="2026"/>
    <s v="Yes"/>
    <n v="1"/>
    <x v="4"/>
    <n v="0"/>
  </r>
  <r>
    <s v="T002086"/>
    <x v="1915"/>
    <d v="2026-03-30T20:33:00"/>
    <x v="5"/>
    <s v="Email"/>
    <x v="1"/>
    <s v="A059"/>
    <x v="1"/>
    <n v="24"/>
    <n v="31.9"/>
    <x v="1"/>
    <s v="No"/>
    <s v="No"/>
    <n v="5"/>
    <s v="Closed"/>
    <s v="March"/>
    <x v="2"/>
    <n v="2026"/>
    <s v="No"/>
    <n v="0"/>
    <x v="2"/>
    <n v="1"/>
  </r>
  <r>
    <s v="T002087"/>
    <x v="1916"/>
    <d v="2026-03-30T03:54:00"/>
    <x v="0"/>
    <s v="Phone"/>
    <x v="0"/>
    <s v="A035"/>
    <x v="2"/>
    <n v="72"/>
    <n v="14.3"/>
    <x v="0"/>
    <s v="Yes"/>
    <s v="Yes"/>
    <m/>
    <s v="Closed"/>
    <s v="March"/>
    <x v="2"/>
    <n v="2026"/>
    <s v="Yes"/>
    <n v="1"/>
    <x v="1"/>
    <n v="0"/>
  </r>
  <r>
    <s v="T002088"/>
    <x v="1917"/>
    <d v="2026-03-29T19:07:00"/>
    <x v="5"/>
    <s v="Chat"/>
    <x v="0"/>
    <s v="A026"/>
    <x v="2"/>
    <n v="72"/>
    <n v="5.5"/>
    <x v="1"/>
    <s v="No"/>
    <s v="No"/>
    <n v="5"/>
    <s v="Closed"/>
    <s v="March"/>
    <x v="2"/>
    <n v="2026"/>
    <s v="Yes"/>
    <n v="1"/>
    <x v="1"/>
    <n v="1"/>
  </r>
  <r>
    <s v="T002089"/>
    <x v="1918"/>
    <d v="2026-03-29T17:54:00"/>
    <x v="6"/>
    <s v="Phone"/>
    <x v="2"/>
    <s v="A044"/>
    <x v="1"/>
    <n v="4"/>
    <n v="3.9"/>
    <x v="1"/>
    <s v="No"/>
    <s v="No"/>
    <m/>
    <s v="Closed"/>
    <s v="March"/>
    <x v="2"/>
    <n v="2026"/>
    <s v="Yes"/>
    <n v="1"/>
    <x v="4"/>
    <n v="1"/>
  </r>
  <r>
    <s v="T002090"/>
    <x v="1919"/>
    <d v="2026-03-29T22:25:00"/>
    <x v="3"/>
    <s v="Phone"/>
    <x v="0"/>
    <s v="A043"/>
    <x v="1"/>
    <n v="72"/>
    <n v="8"/>
    <x v="1"/>
    <s v="No"/>
    <s v="No"/>
    <n v="3"/>
    <s v="Closed"/>
    <s v="March"/>
    <x v="2"/>
    <n v="2026"/>
    <s v="Yes"/>
    <n v="1"/>
    <x v="3"/>
    <n v="1"/>
  </r>
  <r>
    <s v="T002091"/>
    <x v="1920"/>
    <d v="2026-03-30T00:05:00"/>
    <x v="0"/>
    <s v="Chat"/>
    <x v="1"/>
    <s v="A028"/>
    <x v="2"/>
    <n v="24"/>
    <n v="9.1999999999999993"/>
    <x v="1"/>
    <s v="No"/>
    <s v="No"/>
    <n v="5"/>
    <s v="Closed"/>
    <s v="March"/>
    <x v="2"/>
    <n v="2026"/>
    <s v="Yes"/>
    <n v="1"/>
    <x v="3"/>
    <n v="1"/>
  </r>
  <r>
    <s v="T002092"/>
    <x v="1921"/>
    <d v="2026-03-30T08:41:00"/>
    <x v="6"/>
    <s v="Field Visit"/>
    <x v="1"/>
    <s v="A052"/>
    <x v="1"/>
    <n v="24"/>
    <n v="17"/>
    <x v="1"/>
    <s v="No"/>
    <s v="No"/>
    <m/>
    <s v="Closed"/>
    <s v="March"/>
    <x v="2"/>
    <n v="2026"/>
    <s v="Yes"/>
    <n v="1"/>
    <x v="3"/>
    <n v="1"/>
  </r>
  <r>
    <s v="T002093"/>
    <x v="1922"/>
    <d v="2026-03-29T21:46:00"/>
    <x v="1"/>
    <s v="Phone"/>
    <x v="1"/>
    <s v="A024"/>
    <x v="2"/>
    <n v="24"/>
    <n v="4"/>
    <x v="0"/>
    <s v="Yes"/>
    <s v="No"/>
    <n v="5"/>
    <s v="Closed"/>
    <s v="March"/>
    <x v="2"/>
    <n v="2026"/>
    <s v="Yes"/>
    <n v="1"/>
    <x v="3"/>
    <n v="0"/>
  </r>
  <r>
    <s v="T002094"/>
    <x v="1923"/>
    <d v="2026-03-30T04:16:00"/>
    <x v="6"/>
    <s v="Chat"/>
    <x v="2"/>
    <s v="A011"/>
    <x v="0"/>
    <n v="4"/>
    <n v="8.6"/>
    <x v="0"/>
    <s v="No"/>
    <s v="Yes"/>
    <m/>
    <s v="Closed"/>
    <s v="March"/>
    <x v="2"/>
    <n v="2026"/>
    <s v="No"/>
    <n v="0"/>
    <x v="0"/>
    <n v="0"/>
  </r>
  <r>
    <s v="T002095"/>
    <x v="1924"/>
    <d v="2026-04-01T03:06:00"/>
    <x v="0"/>
    <s v="Email"/>
    <x v="0"/>
    <s v="A015"/>
    <x v="0"/>
    <n v="72"/>
    <n v="46.7"/>
    <x v="1"/>
    <s v="No"/>
    <s v="No"/>
    <n v="5"/>
    <s v="Closed"/>
    <s v="March"/>
    <x v="2"/>
    <n v="2026"/>
    <s v="Yes"/>
    <n v="1"/>
    <x v="4"/>
    <n v="1"/>
  </r>
  <r>
    <s v="T002096"/>
    <x v="1925"/>
    <d v="2026-03-31T12:34:00"/>
    <x v="3"/>
    <s v="Chat"/>
    <x v="2"/>
    <s v="A004"/>
    <x v="0"/>
    <n v="4"/>
    <n v="31.1"/>
    <x v="1"/>
    <s v="No"/>
    <s v="No"/>
    <n v="5"/>
    <s v="Closed"/>
    <s v="March"/>
    <x v="2"/>
    <n v="2026"/>
    <s v="No"/>
    <n v="0"/>
    <x v="4"/>
    <n v="1"/>
  </r>
  <r>
    <s v="T002097"/>
    <x v="1926"/>
    <d v="2026-03-30T16:40:00"/>
    <x v="3"/>
    <s v="Chat"/>
    <x v="2"/>
    <s v="A021"/>
    <x v="2"/>
    <n v="4"/>
    <n v="10.3"/>
    <x v="1"/>
    <s v="No"/>
    <s v="No"/>
    <n v="2"/>
    <s v="Closed"/>
    <s v="March"/>
    <x v="2"/>
    <n v="2026"/>
    <s v="No"/>
    <n v="0"/>
    <x v="4"/>
    <n v="1"/>
  </r>
  <r>
    <s v="T002098"/>
    <x v="1927"/>
    <d v="2026-03-30T16:40:00"/>
    <x v="1"/>
    <s v="Phone"/>
    <x v="1"/>
    <s v="A052"/>
    <x v="1"/>
    <n v="24"/>
    <n v="7.1"/>
    <x v="1"/>
    <s v="No"/>
    <s v="No"/>
    <n v="4"/>
    <s v="Closed"/>
    <s v="March"/>
    <x v="2"/>
    <n v="2026"/>
    <s v="Yes"/>
    <n v="1"/>
    <x v="4"/>
    <n v="1"/>
  </r>
  <r>
    <s v="T002099"/>
    <x v="1928"/>
    <d v="2026-03-30T19:35:00"/>
    <x v="5"/>
    <s v="Chat"/>
    <x v="1"/>
    <s v="A011"/>
    <x v="0"/>
    <n v="24"/>
    <n v="9.8000000000000007"/>
    <x v="1"/>
    <s v="No"/>
    <s v="No"/>
    <m/>
    <s v="Closed"/>
    <s v="March"/>
    <x v="2"/>
    <n v="2026"/>
    <s v="Yes"/>
    <n v="1"/>
    <x v="0"/>
    <n v="1"/>
  </r>
  <r>
    <s v="T002100"/>
    <x v="1929"/>
    <d v="2026-03-30T13:41:00"/>
    <x v="6"/>
    <s v="Phone"/>
    <x v="2"/>
    <s v="A024"/>
    <x v="2"/>
    <n v="4"/>
    <n v="3.4"/>
    <x v="1"/>
    <s v="No"/>
    <s v="No"/>
    <n v="5"/>
    <s v="Closed"/>
    <s v="March"/>
    <x v="2"/>
    <n v="2026"/>
    <s v="Yes"/>
    <n v="1"/>
    <x v="1"/>
    <n v="1"/>
  </r>
  <r>
    <s v="T002101"/>
    <x v="1930"/>
    <d v="2026-03-31T06:32:00"/>
    <x v="2"/>
    <s v="Field Visit"/>
    <x v="0"/>
    <s v="A005"/>
    <x v="0"/>
    <n v="72"/>
    <n v="19.899999999999999"/>
    <x v="1"/>
    <s v="No"/>
    <s v="No"/>
    <m/>
    <s v="Closed"/>
    <s v="March"/>
    <x v="2"/>
    <n v="2026"/>
    <s v="Yes"/>
    <n v="1"/>
    <x v="3"/>
    <n v="1"/>
  </r>
  <r>
    <s v="T002102"/>
    <x v="1931"/>
    <d v="2026-03-31T02:32:00"/>
    <x v="1"/>
    <s v="Email"/>
    <x v="1"/>
    <s v="A029"/>
    <x v="2"/>
    <n v="24"/>
    <n v="15.7"/>
    <x v="0"/>
    <s v="Yes"/>
    <s v="No"/>
    <m/>
    <s v="Closed"/>
    <s v="March"/>
    <x v="2"/>
    <n v="2026"/>
    <s v="Yes"/>
    <n v="1"/>
    <x v="1"/>
    <n v="0"/>
  </r>
  <r>
    <s v="T002103"/>
    <x v="1932"/>
    <d v="2026-03-30T19:10:00"/>
    <x v="0"/>
    <s v="Phone"/>
    <x v="1"/>
    <s v="A058"/>
    <x v="1"/>
    <n v="24"/>
    <n v="8.1999999999999993"/>
    <x v="1"/>
    <s v="No"/>
    <s v="No"/>
    <m/>
    <s v="Closed"/>
    <s v="March"/>
    <x v="2"/>
    <n v="2026"/>
    <s v="Yes"/>
    <n v="1"/>
    <x v="0"/>
    <n v="1"/>
  </r>
  <r>
    <s v="T002104"/>
    <x v="1933"/>
    <d v="2026-03-30T14:12:00"/>
    <x v="2"/>
    <s v="Chat"/>
    <x v="1"/>
    <s v="A025"/>
    <x v="2"/>
    <n v="24"/>
    <n v="2.8"/>
    <x v="1"/>
    <s v="No"/>
    <s v="No"/>
    <m/>
    <s v="Closed"/>
    <s v="March"/>
    <x v="2"/>
    <n v="2026"/>
    <s v="Yes"/>
    <n v="1"/>
    <x v="1"/>
    <n v="1"/>
  </r>
  <r>
    <s v="T002105"/>
    <x v="1934"/>
    <d v="2026-03-31T02:02:00"/>
    <x v="1"/>
    <s v="Email"/>
    <x v="0"/>
    <s v="A046"/>
    <x v="1"/>
    <n v="72"/>
    <n v="14.6"/>
    <x v="0"/>
    <s v="No"/>
    <s v="No"/>
    <m/>
    <s v="Closed"/>
    <s v="March"/>
    <x v="2"/>
    <n v="2026"/>
    <s v="Yes"/>
    <n v="1"/>
    <x v="2"/>
    <n v="0"/>
  </r>
  <r>
    <s v="T002106"/>
    <x v="1935"/>
    <d v="2026-03-31T04:10:00"/>
    <x v="2"/>
    <s v="Phone"/>
    <x v="1"/>
    <s v="A002"/>
    <x v="0"/>
    <n v="24"/>
    <n v="15.5"/>
    <x v="1"/>
    <s v="No"/>
    <s v="No"/>
    <m/>
    <s v="Closed"/>
    <s v="March"/>
    <x v="2"/>
    <n v="2026"/>
    <s v="Yes"/>
    <n v="1"/>
    <x v="2"/>
    <n v="1"/>
  </r>
  <r>
    <s v="T002107"/>
    <x v="1936"/>
    <d v="2026-03-30T21:16:00"/>
    <x v="0"/>
    <s v="Chat"/>
    <x v="2"/>
    <s v="A060"/>
    <x v="1"/>
    <n v="4"/>
    <n v="7.9"/>
    <x v="1"/>
    <s v="No"/>
    <s v="No"/>
    <n v="3"/>
    <s v="Closed"/>
    <s v="March"/>
    <x v="2"/>
    <n v="2026"/>
    <s v="No"/>
    <n v="0"/>
    <x v="1"/>
    <n v="1"/>
  </r>
  <r>
    <s v="T002108"/>
    <x v="1937"/>
    <d v="2026-04-14T17:50:00"/>
    <x v="4"/>
    <s v="Field Visit"/>
    <x v="2"/>
    <s v="A047"/>
    <x v="1"/>
    <n v="4"/>
    <n v="363.6"/>
    <x v="1"/>
    <s v="No"/>
    <s v="No"/>
    <n v="5"/>
    <s v="Closed"/>
    <s v="March"/>
    <x v="2"/>
    <n v="2026"/>
    <s v="No"/>
    <n v="0"/>
    <x v="3"/>
    <n v="1"/>
  </r>
  <r>
    <s v="T002110"/>
    <x v="1938"/>
    <d v="2026-03-31T03:23:00"/>
    <x v="2"/>
    <s v="Phone"/>
    <x v="1"/>
    <s v="A034"/>
    <x v="2"/>
    <n v="24"/>
    <n v="10.5"/>
    <x v="1"/>
    <s v="No"/>
    <s v="No"/>
    <n v="5"/>
    <s v="Closed"/>
    <s v="March"/>
    <x v="2"/>
    <n v="2026"/>
    <s v="Yes"/>
    <n v="1"/>
    <x v="2"/>
    <n v="1"/>
  </r>
  <r>
    <s v="T002109"/>
    <x v="1938"/>
    <d v="2026-03-30T23:23:00"/>
    <x v="1"/>
    <s v="Chat"/>
    <x v="1"/>
    <s v="A032"/>
    <x v="2"/>
    <n v="24"/>
    <n v="6.5"/>
    <x v="1"/>
    <s v="No"/>
    <s v="No"/>
    <n v="5"/>
    <s v="Closed"/>
    <s v="March"/>
    <x v="2"/>
    <n v="2026"/>
    <s v="Yes"/>
    <n v="1"/>
    <x v="4"/>
    <n v="1"/>
  </r>
  <r>
    <s v="T002111"/>
    <x v="1939"/>
    <d v="2026-03-31T13:08:00"/>
    <x v="2"/>
    <s v="Field Visit"/>
    <x v="0"/>
    <s v="A012"/>
    <x v="0"/>
    <n v="72"/>
    <n v="20"/>
    <x v="0"/>
    <s v="No"/>
    <s v="No"/>
    <n v="4"/>
    <s v="Closed"/>
    <s v="March"/>
    <x v="2"/>
    <n v="2026"/>
    <s v="Yes"/>
    <n v="1"/>
    <x v="3"/>
    <n v="0"/>
  </r>
  <r>
    <s v="T002112"/>
    <x v="1940"/>
    <d v="2026-03-31T23:36:00"/>
    <x v="0"/>
    <s v="Phone"/>
    <x v="1"/>
    <s v="A016"/>
    <x v="2"/>
    <n v="24"/>
    <n v="22.4"/>
    <x v="1"/>
    <s v="No"/>
    <s v="No"/>
    <n v="3"/>
    <s v="Closed"/>
    <s v="March"/>
    <x v="2"/>
    <n v="2026"/>
    <s v="Yes"/>
    <n v="1"/>
    <x v="2"/>
    <n v="1"/>
  </r>
  <r>
    <s v="T002113"/>
    <x v="1941"/>
    <d v="2026-03-31T11:15:00"/>
    <x v="1"/>
    <s v="Phone"/>
    <x v="0"/>
    <s v="A034"/>
    <x v="2"/>
    <n v="72"/>
    <n v="7.1"/>
    <x v="1"/>
    <s v="No"/>
    <s v="No"/>
    <m/>
    <s v="Closed"/>
    <s v="March"/>
    <x v="2"/>
    <n v="2026"/>
    <s v="Yes"/>
    <n v="1"/>
    <x v="4"/>
    <n v="1"/>
  </r>
  <r>
    <s v="T002114"/>
    <x v="1942"/>
    <d v="2026-04-04T12:38:00"/>
    <x v="4"/>
    <s v="Field Visit"/>
    <x v="0"/>
    <s v="A002"/>
    <x v="0"/>
    <n v="72"/>
    <m/>
    <x v="0"/>
    <s v="No"/>
    <s v="No"/>
    <n v="5"/>
    <s v="Closed"/>
    <s v="March"/>
    <x v="2"/>
    <n v="2026"/>
    <m/>
    <m/>
    <x v="0"/>
    <n v="0"/>
  </r>
  <r>
    <s v="T002115"/>
    <x v="1943"/>
    <d v="2026-03-31T08:17:00"/>
    <x v="6"/>
    <s v="Phone"/>
    <x v="2"/>
    <s v="A038"/>
    <x v="1"/>
    <n v="4"/>
    <n v="3.5"/>
    <x v="1"/>
    <s v="No"/>
    <s v="No"/>
    <n v="4"/>
    <s v="Closed"/>
    <s v="March"/>
    <x v="2"/>
    <n v="2026"/>
    <s v="Yes"/>
    <n v="1"/>
    <x v="4"/>
    <n v="1"/>
  </r>
  <r>
    <s v="T002116"/>
    <x v="1944"/>
    <d v="2026-03-31T14:29:00"/>
    <x v="1"/>
    <s v="Phone"/>
    <x v="1"/>
    <s v="A012"/>
    <x v="0"/>
    <n v="24"/>
    <n v="9.6"/>
    <x v="1"/>
    <s v="No"/>
    <s v="No"/>
    <m/>
    <s v="Closed"/>
    <s v="March"/>
    <x v="2"/>
    <n v="2026"/>
    <s v="Yes"/>
    <n v="1"/>
    <x v="2"/>
    <n v="1"/>
  </r>
  <r>
    <s v="T002117"/>
    <x v="1945"/>
    <d v="2026-03-31T15:17:00"/>
    <x v="2"/>
    <s v="Phone"/>
    <x v="2"/>
    <s v="A045"/>
    <x v="1"/>
    <n v="4"/>
    <n v="6.9"/>
    <x v="1"/>
    <s v="No"/>
    <s v="Yes"/>
    <n v="4"/>
    <s v="Closed"/>
    <s v="March"/>
    <x v="2"/>
    <n v="2026"/>
    <s v="No"/>
    <n v="0"/>
    <x v="4"/>
    <n v="1"/>
  </r>
  <r>
    <s v="T002118"/>
    <x v="1946"/>
    <d v="2026-03-31T13:03:00"/>
    <x v="1"/>
    <s v="Phone"/>
    <x v="1"/>
    <s v="A018"/>
    <x v="2"/>
    <n v="24"/>
    <n v="3.8"/>
    <x v="1"/>
    <s v="No"/>
    <s v="No"/>
    <n v="3"/>
    <s v="Closed"/>
    <s v="March"/>
    <x v="2"/>
    <n v="2026"/>
    <s v="Yes"/>
    <n v="1"/>
    <x v="3"/>
    <n v="1"/>
  </r>
  <r>
    <s v="T002119"/>
    <x v="1947"/>
    <d v="2026-04-01T12:05:00"/>
    <x v="0"/>
    <s v="Field Visit"/>
    <x v="1"/>
    <s v="A042"/>
    <x v="1"/>
    <n v="24"/>
    <n v="26"/>
    <x v="1"/>
    <s v="No"/>
    <s v="No"/>
    <n v="3"/>
    <s v="Closed"/>
    <s v="March"/>
    <x v="2"/>
    <n v="2026"/>
    <s v="No"/>
    <n v="0"/>
    <x v="1"/>
    <n v="1"/>
  </r>
  <r>
    <s v="T002120"/>
    <x v="1948"/>
    <d v="2026-03-31T11:20:00"/>
    <x v="1"/>
    <s v="Phone"/>
    <x v="0"/>
    <s v="A058"/>
    <x v="1"/>
    <n v="72"/>
    <n v="1"/>
    <x v="1"/>
    <s v="No"/>
    <s v="No"/>
    <n v="5"/>
    <s v="Closed"/>
    <s v="March"/>
    <x v="2"/>
    <n v="2026"/>
    <s v="Yes"/>
    <n v="1"/>
    <x v="4"/>
    <n v="1"/>
  </r>
  <r>
    <s v="T002121"/>
    <x v="1949"/>
    <d v="2026-04-01T10:27:00"/>
    <x v="6"/>
    <s v="Field Visit"/>
    <x v="1"/>
    <s v="A051"/>
    <x v="1"/>
    <n v="24"/>
    <n v="23.7"/>
    <x v="0"/>
    <s v="Yes"/>
    <s v="No"/>
    <n v="5"/>
    <s v="Closed"/>
    <s v="March"/>
    <x v="2"/>
    <n v="2026"/>
    <s v="Yes"/>
    <n v="1"/>
    <x v="0"/>
    <n v="0"/>
  </r>
  <r>
    <s v="T002122"/>
    <x v="1950"/>
    <d v="2026-03-31T19:28:00"/>
    <x v="2"/>
    <s v="Field Visit"/>
    <x v="1"/>
    <s v="A013"/>
    <x v="0"/>
    <n v="24"/>
    <n v="8.6"/>
    <x v="1"/>
    <s v="No"/>
    <s v="No"/>
    <m/>
    <s v="Closed"/>
    <s v="March"/>
    <x v="2"/>
    <n v="2026"/>
    <s v="Yes"/>
    <n v="1"/>
    <x v="4"/>
    <n v="1"/>
  </r>
  <r>
    <s v="T002123"/>
    <x v="1951"/>
    <d v="2026-04-01T03:28:00"/>
    <x v="4"/>
    <s v="Phone"/>
    <x v="0"/>
    <s v="A004"/>
    <x v="0"/>
    <n v="72"/>
    <n v="14.8"/>
    <x v="0"/>
    <s v="No"/>
    <s v="No"/>
    <m/>
    <s v="Closed"/>
    <s v="March"/>
    <x v="2"/>
    <n v="2026"/>
    <s v="Yes"/>
    <n v="1"/>
    <x v="1"/>
    <n v="0"/>
  </r>
  <r>
    <s v="T002124"/>
    <x v="1952"/>
    <d v="2026-03-31T22:32:00"/>
    <x v="6"/>
    <s v="Phone"/>
    <x v="2"/>
    <s v="A024"/>
    <x v="2"/>
    <n v="4"/>
    <n v="8.4"/>
    <x v="1"/>
    <s v="No"/>
    <s v="No"/>
    <m/>
    <s v="Closed"/>
    <s v="March"/>
    <x v="2"/>
    <n v="2026"/>
    <s v="No"/>
    <n v="0"/>
    <x v="3"/>
    <n v="1"/>
  </r>
  <r>
    <s v="T002125"/>
    <x v="1953"/>
    <d v="2026-03-31T18:56:00"/>
    <x v="6"/>
    <s v="Phone"/>
    <x v="1"/>
    <s v="A044"/>
    <x v="1"/>
    <n v="24"/>
    <n v="4.5999999999999996"/>
    <x v="1"/>
    <s v="No"/>
    <s v="No"/>
    <n v="4"/>
    <s v="Closed"/>
    <s v="March"/>
    <x v="2"/>
    <n v="2026"/>
    <s v="Yes"/>
    <n v="1"/>
    <x v="0"/>
    <n v="1"/>
  </r>
  <r>
    <s v="T002126"/>
    <x v="1954"/>
    <d v="2026-03-31T20:58:00"/>
    <x v="1"/>
    <s v="Email"/>
    <x v="0"/>
    <s v="A011"/>
    <x v="0"/>
    <n v="72"/>
    <n v="5.8"/>
    <x v="0"/>
    <s v="Yes"/>
    <s v="No"/>
    <m/>
    <s v="Closed"/>
    <s v="March"/>
    <x v="2"/>
    <n v="2026"/>
    <s v="Yes"/>
    <n v="1"/>
    <x v="2"/>
    <n v="0"/>
  </r>
  <r>
    <s v="T002127"/>
    <x v="1955"/>
    <d v="2026-04-01T17:46:00"/>
    <x v="0"/>
    <s v="Email"/>
    <x v="0"/>
    <s v="A021"/>
    <x v="2"/>
    <n v="72"/>
    <n v="26"/>
    <x v="1"/>
    <s v="No"/>
    <s v="No"/>
    <n v="5"/>
    <s v="Closed"/>
    <s v="March"/>
    <x v="2"/>
    <n v="2026"/>
    <s v="Yes"/>
    <n v="1"/>
    <x v="1"/>
    <n v="1"/>
  </r>
  <r>
    <s v="T002128"/>
    <x v="1956"/>
    <d v="2026-04-01T17:43:00"/>
    <x v="2"/>
    <s v="Phone"/>
    <x v="0"/>
    <s v="A047"/>
    <x v="1"/>
    <n v="72"/>
    <n v="24.8"/>
    <x v="0"/>
    <s v="No"/>
    <s v="No"/>
    <n v="4"/>
    <s v="Closed"/>
    <s v="March"/>
    <x v="2"/>
    <n v="2026"/>
    <s v="Yes"/>
    <n v="1"/>
    <x v="0"/>
    <n v="0"/>
  </r>
  <r>
    <s v="T002129"/>
    <x v="1957"/>
    <d v="2026-04-01T07:08:00"/>
    <x v="6"/>
    <s v="Field Visit"/>
    <x v="1"/>
    <s v="A018"/>
    <x v="2"/>
    <n v="24"/>
    <n v="14.1"/>
    <x v="1"/>
    <s v="No"/>
    <s v="No"/>
    <n v="5"/>
    <s v="Closed"/>
    <s v="March"/>
    <x v="2"/>
    <n v="2026"/>
    <s v="Yes"/>
    <n v="1"/>
    <x v="3"/>
    <n v="1"/>
  </r>
  <r>
    <s v="T002130"/>
    <x v="1958"/>
    <d v="2026-04-01T01:53:00"/>
    <x v="0"/>
    <s v="Phone"/>
    <x v="1"/>
    <s v="A055"/>
    <x v="1"/>
    <n v="24"/>
    <n v="8.1999999999999993"/>
    <x v="1"/>
    <s v="No"/>
    <s v="No"/>
    <n v="4"/>
    <s v="Closed"/>
    <s v="March"/>
    <x v="2"/>
    <n v="2026"/>
    <s v="Yes"/>
    <n v="1"/>
    <x v="2"/>
    <n v="1"/>
  </r>
  <r>
    <s v="T002131"/>
    <x v="1959"/>
    <d v="2026-04-03T10:14:00"/>
    <x v="4"/>
    <s v="Field Visit"/>
    <x v="0"/>
    <s v="A021"/>
    <x v="2"/>
    <n v="72"/>
    <n v="52.8"/>
    <x v="1"/>
    <s v="No"/>
    <s v="No"/>
    <n v="4"/>
    <s v="Closed"/>
    <s v="April"/>
    <x v="3"/>
    <n v="2026"/>
    <s v="Yes"/>
    <n v="1"/>
    <x v="2"/>
    <n v="1"/>
  </r>
  <r>
    <s v="T002132"/>
    <x v="1960"/>
    <d v="2026-04-02T01:44:00"/>
    <x v="0"/>
    <s v="Phone"/>
    <x v="1"/>
    <s v="A015"/>
    <x v="0"/>
    <n v="24"/>
    <n v="17.399999999999999"/>
    <x v="1"/>
    <s v="No"/>
    <s v="No"/>
    <n v="5"/>
    <s v="Closed"/>
    <s v="April"/>
    <x v="3"/>
    <n v="2026"/>
    <s v="Yes"/>
    <n v="1"/>
    <x v="1"/>
    <n v="1"/>
  </r>
  <r>
    <s v="T002133"/>
    <x v="1961"/>
    <d v="2026-04-01T14:20:00"/>
    <x v="0"/>
    <s v="Phone"/>
    <x v="0"/>
    <s v="A040"/>
    <x v="1"/>
    <n v="72"/>
    <n v="5.6"/>
    <x v="1"/>
    <s v="No"/>
    <s v="No"/>
    <n v="4"/>
    <s v="Closed"/>
    <s v="April"/>
    <x v="3"/>
    <n v="2026"/>
    <s v="Yes"/>
    <n v="1"/>
    <x v="0"/>
    <n v="1"/>
  </r>
  <r>
    <s v="T002134"/>
    <x v="1962"/>
    <d v="2026-04-02T22:50:00"/>
    <x v="3"/>
    <s v="Field Visit"/>
    <x v="1"/>
    <s v="A012"/>
    <x v="0"/>
    <n v="24"/>
    <n v="37.700000000000003"/>
    <x v="1"/>
    <s v="No"/>
    <s v="No"/>
    <m/>
    <s v="Closed"/>
    <s v="April"/>
    <x v="3"/>
    <n v="2026"/>
    <s v="No"/>
    <n v="0"/>
    <x v="3"/>
    <n v="1"/>
  </r>
  <r>
    <s v="T002135"/>
    <x v="1963"/>
    <d v="2026-04-03T15:59:00"/>
    <x v="3"/>
    <s v="Phone"/>
    <x v="0"/>
    <s v="A055"/>
    <x v="1"/>
    <n v="72"/>
    <n v="53.7"/>
    <x v="1"/>
    <s v="No"/>
    <s v="No"/>
    <m/>
    <s v="Closed"/>
    <s v="April"/>
    <x v="3"/>
    <n v="2026"/>
    <s v="Yes"/>
    <n v="1"/>
    <x v="2"/>
    <n v="1"/>
  </r>
  <r>
    <s v="T002136"/>
    <x v="1964"/>
    <d v="2026-04-01T19:43:00"/>
    <x v="1"/>
    <s v="Phone"/>
    <x v="0"/>
    <s v="A029"/>
    <x v="2"/>
    <n v="72"/>
    <n v="8.6999999999999993"/>
    <x v="1"/>
    <s v="No"/>
    <s v="No"/>
    <n v="3"/>
    <s v="Closed"/>
    <s v="April"/>
    <x v="3"/>
    <n v="2026"/>
    <s v="Yes"/>
    <n v="1"/>
    <x v="1"/>
    <n v="1"/>
  </r>
  <r>
    <s v="T002137"/>
    <x v="1965"/>
    <d v="2026-04-03T00:09:00"/>
    <x v="2"/>
    <s v="Email"/>
    <x v="1"/>
    <s v="A035"/>
    <x v="2"/>
    <n v="24"/>
    <n v="37.1"/>
    <x v="0"/>
    <s v="Yes"/>
    <s v="No"/>
    <n v="4"/>
    <s v="Closed"/>
    <s v="April"/>
    <x v="3"/>
    <n v="2026"/>
    <s v="No"/>
    <n v="0"/>
    <x v="1"/>
    <n v="0"/>
  </r>
  <r>
    <s v="T002138"/>
    <x v="1966"/>
    <d v="2026-04-01T18:49:00"/>
    <x v="0"/>
    <s v="Phone"/>
    <x v="0"/>
    <s v="A058"/>
    <x v="1"/>
    <n v="72"/>
    <n v="7.3"/>
    <x v="1"/>
    <s v="No"/>
    <s v="No"/>
    <m/>
    <s v="Closed"/>
    <s v="April"/>
    <x v="3"/>
    <n v="2026"/>
    <s v="Yes"/>
    <n v="1"/>
    <x v="1"/>
    <n v="1"/>
  </r>
  <r>
    <s v="T002139"/>
    <x v="1967"/>
    <d v="2026-04-01T19:47:00"/>
    <x v="1"/>
    <s v="Phone"/>
    <x v="0"/>
    <s v="A012"/>
    <x v="0"/>
    <n v="72"/>
    <n v="7.4"/>
    <x v="0"/>
    <s v="Yes"/>
    <s v="No"/>
    <m/>
    <s v="Closed"/>
    <s v="April"/>
    <x v="3"/>
    <n v="2026"/>
    <s v="Yes"/>
    <n v="1"/>
    <x v="0"/>
    <n v="0"/>
  </r>
  <r>
    <s v="T002140"/>
    <x v="1968"/>
    <d v="2026-04-01T16:18:00"/>
    <x v="1"/>
    <s v="Phone"/>
    <x v="0"/>
    <s v="A018"/>
    <x v="2"/>
    <n v="72"/>
    <n v="3.4"/>
    <x v="0"/>
    <s v="No"/>
    <s v="No"/>
    <n v="4"/>
    <s v="Closed"/>
    <s v="April"/>
    <x v="3"/>
    <n v="2026"/>
    <s v="Yes"/>
    <n v="1"/>
    <x v="4"/>
    <n v="0"/>
  </r>
  <r>
    <s v="T002141"/>
    <x v="1969"/>
    <d v="2026-04-01T18:04:00"/>
    <x v="2"/>
    <s v="Phone"/>
    <x v="2"/>
    <s v="A039"/>
    <x v="1"/>
    <n v="4"/>
    <n v="5.0999999999999996"/>
    <x v="1"/>
    <s v="No"/>
    <s v="No"/>
    <n v="4"/>
    <s v="Closed"/>
    <s v="April"/>
    <x v="3"/>
    <n v="2026"/>
    <s v="No"/>
    <n v="0"/>
    <x v="1"/>
    <n v="1"/>
  </r>
  <r>
    <s v="T002142"/>
    <x v="1970"/>
    <d v="2026-04-01T17:04:00"/>
    <x v="1"/>
    <s v="Phone"/>
    <x v="0"/>
    <s v="A017"/>
    <x v="2"/>
    <n v="72"/>
    <n v="3.9"/>
    <x v="0"/>
    <s v="Yes"/>
    <s v="No"/>
    <m/>
    <s v="Closed"/>
    <s v="April"/>
    <x v="3"/>
    <n v="2026"/>
    <s v="Yes"/>
    <n v="1"/>
    <x v="2"/>
    <n v="0"/>
  </r>
  <r>
    <s v="T002143"/>
    <x v="1971"/>
    <d v="2026-04-01T23:39:00"/>
    <x v="0"/>
    <s v="Phone"/>
    <x v="2"/>
    <s v="A026"/>
    <x v="2"/>
    <n v="4"/>
    <n v="9.9"/>
    <x v="1"/>
    <s v="No"/>
    <s v="No"/>
    <n v="4"/>
    <s v="Closed"/>
    <s v="April"/>
    <x v="3"/>
    <n v="2026"/>
    <s v="No"/>
    <n v="0"/>
    <x v="1"/>
    <n v="1"/>
  </r>
  <r>
    <s v="T002144"/>
    <x v="1972"/>
    <d v="2026-04-02T09:20:00"/>
    <x v="6"/>
    <s v="Email"/>
    <x v="2"/>
    <s v="A040"/>
    <x v="1"/>
    <n v="4"/>
    <n v="19"/>
    <x v="1"/>
    <s v="No"/>
    <s v="Yes"/>
    <m/>
    <s v="Closed"/>
    <s v="April"/>
    <x v="3"/>
    <n v="2026"/>
    <s v="No"/>
    <n v="0"/>
    <x v="0"/>
    <n v="1"/>
  </r>
  <r>
    <s v="T002145"/>
    <x v="1973"/>
    <d v="2026-04-02T16:07:00"/>
    <x v="4"/>
    <s v="Phone"/>
    <x v="2"/>
    <s v="A038"/>
    <x v="1"/>
    <n v="4"/>
    <n v="25.3"/>
    <x v="1"/>
    <s v="No"/>
    <s v="No"/>
    <n v="4"/>
    <s v="Closed"/>
    <s v="April"/>
    <x v="3"/>
    <n v="2026"/>
    <s v="No"/>
    <n v="0"/>
    <x v="1"/>
    <n v="1"/>
  </r>
  <r>
    <s v="T002146"/>
    <x v="1974"/>
    <d v="2026-04-01T16:56:00"/>
    <x v="6"/>
    <s v="Phone"/>
    <x v="1"/>
    <s v="A040"/>
    <x v="1"/>
    <n v="24"/>
    <n v="2"/>
    <x v="1"/>
    <s v="No"/>
    <s v="No"/>
    <m/>
    <s v="Closed"/>
    <s v="April"/>
    <x v="3"/>
    <n v="2026"/>
    <s v="Yes"/>
    <n v="1"/>
    <x v="3"/>
    <n v="1"/>
  </r>
  <r>
    <s v="T002147"/>
    <x v="1975"/>
    <d v="2026-04-01T23:37:00"/>
    <x v="6"/>
    <s v="Phone"/>
    <x v="1"/>
    <s v="A014"/>
    <x v="0"/>
    <n v="24"/>
    <n v="7"/>
    <x v="0"/>
    <s v="No"/>
    <s v="No"/>
    <m/>
    <s v="Closed"/>
    <s v="April"/>
    <x v="3"/>
    <n v="2026"/>
    <s v="Yes"/>
    <n v="1"/>
    <x v="0"/>
    <n v="0"/>
  </r>
  <r>
    <s v="T002148"/>
    <x v="1976"/>
    <d v="2026-04-03T07:09:00"/>
    <x v="4"/>
    <s v="Phone"/>
    <x v="0"/>
    <s v="A036"/>
    <x v="1"/>
    <n v="72"/>
    <n v="37.799999999999997"/>
    <x v="0"/>
    <s v="Yes"/>
    <s v="No"/>
    <m/>
    <s v="Closed"/>
    <s v="April"/>
    <x v="3"/>
    <n v="2026"/>
    <s v="Yes"/>
    <n v="1"/>
    <x v="3"/>
    <n v="0"/>
  </r>
  <r>
    <s v="T002149"/>
    <x v="1977"/>
    <d v="2026-04-01T22:17:00"/>
    <x v="1"/>
    <s v="Phone"/>
    <x v="1"/>
    <s v="A047"/>
    <x v="1"/>
    <n v="24"/>
    <n v="4.5999999999999996"/>
    <x v="1"/>
    <s v="No"/>
    <s v="No"/>
    <n v="5"/>
    <s v="Closed"/>
    <s v="April"/>
    <x v="3"/>
    <n v="2026"/>
    <s v="Yes"/>
    <n v="1"/>
    <x v="4"/>
    <n v="1"/>
  </r>
  <r>
    <s v="T002150"/>
    <x v="1978"/>
    <d v="2026-04-01T19:19:00"/>
    <x v="1"/>
    <s v="Chat"/>
    <x v="0"/>
    <s v="A011"/>
    <x v="0"/>
    <n v="72"/>
    <n v="1.5"/>
    <x v="1"/>
    <s v="No"/>
    <s v="No"/>
    <n v="5"/>
    <s v="Closed"/>
    <s v="April"/>
    <x v="3"/>
    <n v="2026"/>
    <s v="Yes"/>
    <n v="1"/>
    <x v="0"/>
    <n v="1"/>
  </r>
  <r>
    <s v="T002151"/>
    <x v="1979"/>
    <d v="2026-04-01T21:02:00"/>
    <x v="2"/>
    <s v="Chat"/>
    <x v="0"/>
    <s v="A054"/>
    <x v="1"/>
    <n v="72"/>
    <n v="3.2"/>
    <x v="1"/>
    <s v="No"/>
    <s v="No"/>
    <n v="5"/>
    <s v="Closed"/>
    <s v="April"/>
    <x v="3"/>
    <n v="2026"/>
    <s v="Yes"/>
    <n v="1"/>
    <x v="1"/>
    <n v="1"/>
  </r>
  <r>
    <s v="T002152"/>
    <x v="1980"/>
    <d v="2026-04-04T07:23:00"/>
    <x v="4"/>
    <s v="Field Visit"/>
    <x v="2"/>
    <s v="A041"/>
    <x v="1"/>
    <n v="4"/>
    <n v="60.7"/>
    <x v="1"/>
    <s v="No"/>
    <s v="No"/>
    <n v="2"/>
    <s v="Closed"/>
    <s v="April"/>
    <x v="3"/>
    <n v="2026"/>
    <s v="No"/>
    <n v="0"/>
    <x v="0"/>
    <n v="1"/>
  </r>
  <r>
    <s v="T002153"/>
    <x v="1981"/>
    <d v="2026-04-02T13:43:00"/>
    <x v="6"/>
    <s v="Field Visit"/>
    <x v="1"/>
    <s v="A045"/>
    <x v="1"/>
    <n v="24"/>
    <n v="18.8"/>
    <x v="1"/>
    <s v="No"/>
    <s v="No"/>
    <n v="5"/>
    <s v="Closed"/>
    <s v="April"/>
    <x v="3"/>
    <n v="2026"/>
    <s v="Yes"/>
    <n v="1"/>
    <x v="2"/>
    <n v="1"/>
  </r>
  <r>
    <s v="T002154"/>
    <x v="1982"/>
    <d v="2026-04-02T23:10:00"/>
    <x v="4"/>
    <s v="Phone"/>
    <x v="1"/>
    <s v="A025"/>
    <x v="2"/>
    <n v="24"/>
    <n v="28.2"/>
    <x v="0"/>
    <s v="Yes"/>
    <s v="Yes"/>
    <m/>
    <s v="Closed"/>
    <s v="April"/>
    <x v="3"/>
    <n v="2026"/>
    <s v="No"/>
    <n v="0"/>
    <x v="2"/>
    <n v="0"/>
  </r>
  <r>
    <s v="T002155"/>
    <x v="1983"/>
    <d v="2026-04-02T23:09:00"/>
    <x v="0"/>
    <s v="Phone"/>
    <x v="0"/>
    <s v="A044"/>
    <x v="1"/>
    <n v="72"/>
    <n v="28"/>
    <x v="0"/>
    <s v="No"/>
    <s v="No"/>
    <m/>
    <s v="Closed"/>
    <s v="April"/>
    <x v="3"/>
    <n v="2026"/>
    <s v="Yes"/>
    <n v="1"/>
    <x v="4"/>
    <n v="0"/>
  </r>
  <r>
    <s v="T002156"/>
    <x v="1984"/>
    <d v="2026-04-06T08:24:00"/>
    <x v="0"/>
    <s v="Field Visit"/>
    <x v="0"/>
    <s v="A026"/>
    <x v="2"/>
    <n v="72"/>
    <n v="107.5"/>
    <x v="0"/>
    <s v="No"/>
    <s v="No"/>
    <n v="4"/>
    <s v="Closed"/>
    <s v="April"/>
    <x v="3"/>
    <n v="2026"/>
    <s v="No"/>
    <n v="0"/>
    <x v="2"/>
    <n v="0"/>
  </r>
  <r>
    <s v="T002157"/>
    <x v="1985"/>
    <d v="2026-04-02T20:18:00"/>
    <x v="0"/>
    <s v="Phone"/>
    <x v="0"/>
    <s v="A020"/>
    <x v="2"/>
    <n v="72"/>
    <n v="13.8"/>
    <x v="0"/>
    <s v="No"/>
    <s v="No"/>
    <m/>
    <s v="Closed"/>
    <s v="April"/>
    <x v="3"/>
    <n v="2026"/>
    <s v="Yes"/>
    <n v="1"/>
    <x v="1"/>
    <n v="0"/>
  </r>
  <r>
    <s v="T002158"/>
    <x v="1986"/>
    <d v="2026-04-03T04:31:00"/>
    <x v="6"/>
    <s v="Field Visit"/>
    <x v="2"/>
    <s v="A056"/>
    <x v="1"/>
    <n v="4"/>
    <n v="21.4"/>
    <x v="1"/>
    <s v="No"/>
    <s v="Yes"/>
    <n v="4"/>
    <s v="Closed"/>
    <s v="April"/>
    <x v="3"/>
    <n v="2026"/>
    <s v="No"/>
    <n v="0"/>
    <x v="1"/>
    <n v="1"/>
  </r>
  <r>
    <s v="T002159"/>
    <x v="1987"/>
    <d v="2026-04-02T21:14:00"/>
    <x v="3"/>
    <s v="Field Visit"/>
    <x v="1"/>
    <s v="A055"/>
    <x v="1"/>
    <n v="24"/>
    <n v="13.6"/>
    <x v="1"/>
    <s v="No"/>
    <s v="No"/>
    <n v="5"/>
    <s v="Closed"/>
    <s v="April"/>
    <x v="3"/>
    <n v="2026"/>
    <s v="Yes"/>
    <n v="1"/>
    <x v="2"/>
    <n v="1"/>
  </r>
  <r>
    <s v="T002160"/>
    <x v="1988"/>
    <d v="2026-04-02T15:47:00"/>
    <x v="5"/>
    <s v="Phone"/>
    <x v="0"/>
    <s v="A052"/>
    <x v="1"/>
    <n v="72"/>
    <n v="7.4"/>
    <x v="0"/>
    <s v="Yes"/>
    <s v="Yes"/>
    <m/>
    <s v="Closed"/>
    <s v="April"/>
    <x v="3"/>
    <n v="2026"/>
    <s v="Yes"/>
    <n v="1"/>
    <x v="2"/>
    <n v="0"/>
  </r>
  <r>
    <s v="T002161"/>
    <x v="1989"/>
    <d v="2026-04-06T00:56:00"/>
    <x v="3"/>
    <s v="Field Visit"/>
    <x v="1"/>
    <s v="A008"/>
    <x v="0"/>
    <n v="24"/>
    <n v="87"/>
    <x v="1"/>
    <s v="No"/>
    <s v="No"/>
    <n v="4"/>
    <s v="Closed"/>
    <s v="April"/>
    <x v="3"/>
    <n v="2026"/>
    <s v="No"/>
    <n v="0"/>
    <x v="4"/>
    <n v="1"/>
  </r>
  <r>
    <s v="T002162"/>
    <x v="1990"/>
    <d v="2026-04-02T23:15:00"/>
    <x v="0"/>
    <s v="Phone"/>
    <x v="1"/>
    <s v="A036"/>
    <x v="1"/>
    <n v="24"/>
    <n v="13.2"/>
    <x v="1"/>
    <s v="No"/>
    <s v="No"/>
    <n v="5"/>
    <s v="Closed"/>
    <s v="April"/>
    <x v="3"/>
    <n v="2026"/>
    <s v="Yes"/>
    <n v="1"/>
    <x v="2"/>
    <n v="1"/>
  </r>
  <r>
    <s v="T002163"/>
    <x v="1991"/>
    <d v="2026-04-02T15:01:00"/>
    <x v="1"/>
    <s v="Phone"/>
    <x v="0"/>
    <s v="A046"/>
    <x v="1"/>
    <n v="72"/>
    <n v="4.3"/>
    <x v="0"/>
    <s v="No"/>
    <s v="No"/>
    <m/>
    <s v="Closed"/>
    <s v="April"/>
    <x v="3"/>
    <n v="2026"/>
    <s v="Yes"/>
    <n v="1"/>
    <x v="1"/>
    <n v="0"/>
  </r>
  <r>
    <s v="T002164"/>
    <x v="1992"/>
    <d v="2026-04-03T02:31:00"/>
    <x v="1"/>
    <s v="Phone"/>
    <x v="0"/>
    <s v="A024"/>
    <x v="2"/>
    <n v="72"/>
    <n v="15.5"/>
    <x v="1"/>
    <s v="No"/>
    <s v="No"/>
    <n v="5"/>
    <s v="Closed"/>
    <s v="April"/>
    <x v="3"/>
    <n v="2026"/>
    <s v="Yes"/>
    <n v="1"/>
    <x v="1"/>
    <n v="1"/>
  </r>
  <r>
    <s v="T002165"/>
    <x v="1993"/>
    <d v="2026-04-02T15:26:00"/>
    <x v="6"/>
    <s v="Phone"/>
    <x v="2"/>
    <s v="A007"/>
    <x v="0"/>
    <n v="4"/>
    <n v="4"/>
    <x v="1"/>
    <s v="No"/>
    <s v="No"/>
    <n v="5"/>
    <s v="Closed"/>
    <s v="April"/>
    <x v="3"/>
    <n v="2026"/>
    <s v="Yes"/>
    <n v="1"/>
    <x v="0"/>
    <n v="1"/>
  </r>
  <r>
    <s v="T002166"/>
    <x v="1994"/>
    <d v="2026-04-03T06:29:00"/>
    <x v="6"/>
    <s v="Field Visit"/>
    <x v="2"/>
    <s v="A030"/>
    <x v="2"/>
    <n v="4"/>
    <n v="18.600000000000001"/>
    <x v="0"/>
    <s v="Yes"/>
    <s v="Yes"/>
    <n v="1"/>
    <s v="Closed"/>
    <s v="April"/>
    <x v="3"/>
    <n v="2026"/>
    <s v="No"/>
    <n v="0"/>
    <x v="4"/>
    <n v="0"/>
  </r>
  <r>
    <s v="T002167"/>
    <x v="1995"/>
    <d v="2026-04-02T18:40:00"/>
    <x v="6"/>
    <s v="Phone"/>
    <x v="2"/>
    <s v="A037"/>
    <x v="1"/>
    <n v="4"/>
    <n v="6.4"/>
    <x v="1"/>
    <s v="No"/>
    <s v="No"/>
    <n v="4"/>
    <s v="Closed"/>
    <s v="April"/>
    <x v="3"/>
    <n v="2026"/>
    <s v="No"/>
    <n v="0"/>
    <x v="1"/>
    <n v="1"/>
  </r>
  <r>
    <s v="T002168"/>
    <x v="1996"/>
    <d v="2026-04-04T16:22:00"/>
    <x v="3"/>
    <s v="Field Visit"/>
    <x v="1"/>
    <s v="A004"/>
    <x v="0"/>
    <n v="24"/>
    <n v="51.2"/>
    <x v="0"/>
    <s v="Yes"/>
    <s v="No"/>
    <n v="2"/>
    <s v="Closed"/>
    <s v="April"/>
    <x v="3"/>
    <n v="2026"/>
    <s v="No"/>
    <n v="0"/>
    <x v="2"/>
    <n v="0"/>
  </r>
  <r>
    <s v="T002169"/>
    <x v="1997"/>
    <d v="2026-04-02T20:48:00"/>
    <x v="1"/>
    <s v="Email"/>
    <x v="1"/>
    <s v="A030"/>
    <x v="2"/>
    <n v="24"/>
    <n v="7.2"/>
    <x v="0"/>
    <s v="No"/>
    <s v="No"/>
    <n v="5"/>
    <s v="Closed"/>
    <s v="April"/>
    <x v="3"/>
    <n v="2026"/>
    <s v="Yes"/>
    <n v="1"/>
    <x v="2"/>
    <n v="0"/>
  </r>
  <r>
    <s v="T002170"/>
    <x v="1998"/>
    <d v="2026-04-03T08:34:00"/>
    <x v="0"/>
    <s v="Email"/>
    <x v="2"/>
    <s v="A016"/>
    <x v="2"/>
    <n v="4"/>
    <n v="18.8"/>
    <x v="1"/>
    <s v="No"/>
    <s v="Yes"/>
    <n v="4"/>
    <s v="Closed"/>
    <s v="April"/>
    <x v="3"/>
    <n v="2026"/>
    <s v="No"/>
    <n v="0"/>
    <x v="2"/>
    <n v="1"/>
  </r>
  <r>
    <s v="T002171"/>
    <x v="1999"/>
    <d v="2026-04-04T11:45:00"/>
    <x v="6"/>
    <s v="Field Visit"/>
    <x v="0"/>
    <s v="A003"/>
    <x v="0"/>
    <n v="72"/>
    <n v="45.9"/>
    <x v="1"/>
    <s v="No"/>
    <s v="No"/>
    <n v="5"/>
    <s v="Closed"/>
    <s v="April"/>
    <x v="3"/>
    <n v="2026"/>
    <s v="Yes"/>
    <n v="1"/>
    <x v="3"/>
    <n v="1"/>
  </r>
  <r>
    <s v="T002172"/>
    <x v="2000"/>
    <d v="2026-04-07T10:52:00"/>
    <x v="4"/>
    <s v="Field Visit"/>
    <x v="0"/>
    <s v="A026"/>
    <x v="2"/>
    <n v="72"/>
    <n v="116.8"/>
    <x v="0"/>
    <s v="No"/>
    <s v="No"/>
    <m/>
    <s v="Closed"/>
    <s v="April"/>
    <x v="3"/>
    <n v="2026"/>
    <s v="No"/>
    <n v="0"/>
    <x v="2"/>
    <n v="0"/>
  </r>
  <r>
    <s v="T002173"/>
    <x v="2001"/>
    <d v="2026-04-03T05:08:00"/>
    <x v="5"/>
    <s v="Phone"/>
    <x v="2"/>
    <s v="A015"/>
    <x v="0"/>
    <n v="4"/>
    <n v="14.6"/>
    <x v="1"/>
    <s v="No"/>
    <s v="No"/>
    <n v="5"/>
    <s v="Closed"/>
    <s v="April"/>
    <x v="3"/>
    <n v="2026"/>
    <s v="No"/>
    <n v="0"/>
    <x v="1"/>
    <n v="1"/>
  </r>
  <r>
    <s v="T002174"/>
    <x v="2002"/>
    <d v="2026-04-02T18:42:00"/>
    <x v="6"/>
    <s v="Phone"/>
    <x v="0"/>
    <s v="A023"/>
    <x v="2"/>
    <n v="72"/>
    <n v="2.7"/>
    <x v="1"/>
    <s v="No"/>
    <s v="No"/>
    <n v="4"/>
    <s v="Closed"/>
    <s v="April"/>
    <x v="3"/>
    <n v="2026"/>
    <s v="Yes"/>
    <n v="1"/>
    <x v="3"/>
    <n v="1"/>
  </r>
  <r>
    <s v="T002175"/>
    <x v="2003"/>
    <d v="2026-04-08T08:14:00"/>
    <x v="4"/>
    <s v="Field Visit"/>
    <x v="1"/>
    <s v="A053"/>
    <x v="1"/>
    <n v="24"/>
    <n v="135.80000000000001"/>
    <x v="1"/>
    <s v="No"/>
    <s v="No"/>
    <n v="4"/>
    <s v="Closed"/>
    <s v="April"/>
    <x v="3"/>
    <n v="2026"/>
    <s v="No"/>
    <n v="0"/>
    <x v="1"/>
    <n v="1"/>
  </r>
  <r>
    <s v="T002176"/>
    <x v="2004"/>
    <d v="2026-04-05T11:56:00"/>
    <x v="4"/>
    <s v="Field Visit"/>
    <x v="0"/>
    <s v="A046"/>
    <x v="1"/>
    <n v="72"/>
    <n v="65.5"/>
    <x v="0"/>
    <s v="Yes"/>
    <s v="No"/>
    <n v="5"/>
    <s v="Closed"/>
    <s v="April"/>
    <x v="3"/>
    <n v="2026"/>
    <s v="Yes"/>
    <n v="1"/>
    <x v="0"/>
    <n v="0"/>
  </r>
  <r>
    <s v="T002177"/>
    <x v="2005"/>
    <d v="2026-04-03T00:19:00"/>
    <x v="5"/>
    <s v="Phone"/>
    <x v="0"/>
    <s v="A019"/>
    <x v="2"/>
    <n v="72"/>
    <n v="4.8"/>
    <x v="0"/>
    <s v="Yes"/>
    <s v="No"/>
    <n v="3"/>
    <s v="Closed"/>
    <s v="April"/>
    <x v="3"/>
    <n v="2026"/>
    <s v="Yes"/>
    <n v="1"/>
    <x v="3"/>
    <n v="0"/>
  </r>
  <r>
    <s v="T002178"/>
    <x v="2006"/>
    <d v="2026-04-04T02:50:00"/>
    <x v="3"/>
    <s v="Phone"/>
    <x v="0"/>
    <s v="A050"/>
    <x v="1"/>
    <n v="72"/>
    <n v="30.2"/>
    <x v="1"/>
    <s v="No"/>
    <s v="No"/>
    <m/>
    <s v="Closed"/>
    <s v="April"/>
    <x v="3"/>
    <n v="2026"/>
    <s v="Yes"/>
    <n v="1"/>
    <x v="2"/>
    <n v="1"/>
  </r>
  <r>
    <s v="T002179"/>
    <x v="2007"/>
    <d v="2026-04-03T01:23:00"/>
    <x v="1"/>
    <s v="Phone"/>
    <x v="0"/>
    <s v="A013"/>
    <x v="0"/>
    <n v="72"/>
    <n v="3.2"/>
    <x v="1"/>
    <s v="No"/>
    <s v="Yes"/>
    <n v="4"/>
    <s v="Closed"/>
    <s v="April"/>
    <x v="3"/>
    <n v="2026"/>
    <s v="Yes"/>
    <n v="1"/>
    <x v="1"/>
    <n v="1"/>
  </r>
  <r>
    <s v="T002180"/>
    <x v="2008"/>
    <d v="2026-04-03T12:41:00"/>
    <x v="6"/>
    <s v="Phone"/>
    <x v="1"/>
    <s v="A048"/>
    <x v="1"/>
    <n v="24"/>
    <n v="9.1999999999999993"/>
    <x v="1"/>
    <s v="No"/>
    <s v="No"/>
    <n v="4"/>
    <s v="Closed"/>
    <s v="April"/>
    <x v="3"/>
    <n v="2026"/>
    <s v="Yes"/>
    <n v="1"/>
    <x v="1"/>
    <n v="1"/>
  </r>
  <r>
    <s v="T002181"/>
    <x v="2009"/>
    <d v="2026-04-05T05:23:00"/>
    <x v="2"/>
    <s v="Phone"/>
    <x v="0"/>
    <s v="A005"/>
    <x v="0"/>
    <n v="72"/>
    <n v="48.7"/>
    <x v="1"/>
    <s v="No"/>
    <s v="No"/>
    <n v="4"/>
    <s v="Closed"/>
    <s v="April"/>
    <x v="3"/>
    <n v="2026"/>
    <s v="Yes"/>
    <n v="1"/>
    <x v="4"/>
    <n v="1"/>
  </r>
  <r>
    <s v="T002182"/>
    <x v="2010"/>
    <d v="2026-04-04T01:16:00"/>
    <x v="3"/>
    <s v="Chat"/>
    <x v="0"/>
    <s v="A008"/>
    <x v="0"/>
    <n v="72"/>
    <n v="17.7"/>
    <x v="1"/>
    <s v="No"/>
    <s v="No"/>
    <m/>
    <s v="Closed"/>
    <s v="April"/>
    <x v="3"/>
    <n v="2026"/>
    <s v="Yes"/>
    <n v="1"/>
    <x v="1"/>
    <n v="1"/>
  </r>
  <r>
    <s v="T002183"/>
    <x v="2011"/>
    <d v="2026-04-04T18:39:00"/>
    <x v="0"/>
    <s v="Phone"/>
    <x v="1"/>
    <s v="A034"/>
    <x v="2"/>
    <n v="24"/>
    <n v="34.200000000000003"/>
    <x v="1"/>
    <s v="No"/>
    <s v="No"/>
    <m/>
    <s v="Closed"/>
    <s v="April"/>
    <x v="3"/>
    <n v="2026"/>
    <s v="No"/>
    <n v="0"/>
    <x v="4"/>
    <n v="1"/>
  </r>
  <r>
    <s v="T002184"/>
    <x v="2012"/>
    <d v="2026-04-03T20:40:00"/>
    <x v="0"/>
    <s v="Chat"/>
    <x v="0"/>
    <s v="A040"/>
    <x v="1"/>
    <n v="72"/>
    <n v="11"/>
    <x v="0"/>
    <s v="Yes"/>
    <s v="No"/>
    <n v="4"/>
    <s v="Closed"/>
    <s v="April"/>
    <x v="3"/>
    <n v="2026"/>
    <s v="Yes"/>
    <n v="1"/>
    <x v="2"/>
    <n v="0"/>
  </r>
  <r>
    <s v="T002185"/>
    <x v="2013"/>
    <d v="2026-04-03T22:06:00"/>
    <x v="2"/>
    <s v="Phone"/>
    <x v="1"/>
    <s v="A026"/>
    <x v="2"/>
    <n v="24"/>
    <n v="12.4"/>
    <x v="1"/>
    <s v="No"/>
    <s v="No"/>
    <n v="2"/>
    <s v="Closed"/>
    <s v="April"/>
    <x v="3"/>
    <n v="2026"/>
    <s v="Yes"/>
    <n v="1"/>
    <x v="0"/>
    <n v="1"/>
  </r>
  <r>
    <s v="T002186"/>
    <x v="2014"/>
    <d v="2026-04-04T21:39:00"/>
    <x v="3"/>
    <s v="Email"/>
    <x v="0"/>
    <s v="A013"/>
    <x v="0"/>
    <n v="72"/>
    <n v="35.799999999999997"/>
    <x v="1"/>
    <s v="No"/>
    <s v="Yes"/>
    <m/>
    <s v="Closed"/>
    <s v="April"/>
    <x v="3"/>
    <n v="2026"/>
    <s v="Yes"/>
    <n v="1"/>
    <x v="1"/>
    <n v="1"/>
  </r>
  <r>
    <s v="T002187"/>
    <x v="2015"/>
    <d v="2026-04-03T16:36:00"/>
    <x v="1"/>
    <s v="Phone"/>
    <x v="1"/>
    <s v="A043"/>
    <x v="1"/>
    <n v="24"/>
    <n v="6.5"/>
    <x v="0"/>
    <s v="Yes"/>
    <s v="No"/>
    <n v="3"/>
    <s v="Closed"/>
    <s v="April"/>
    <x v="3"/>
    <n v="2026"/>
    <s v="Yes"/>
    <n v="1"/>
    <x v="0"/>
    <n v="0"/>
  </r>
  <r>
    <s v="T002188"/>
    <x v="2016"/>
    <d v="2026-04-03T15:51:00"/>
    <x v="1"/>
    <s v="Chat"/>
    <x v="1"/>
    <s v="A041"/>
    <x v="1"/>
    <n v="24"/>
    <n v="3.8"/>
    <x v="0"/>
    <s v="Yes"/>
    <s v="No"/>
    <m/>
    <s v="Closed"/>
    <s v="April"/>
    <x v="3"/>
    <n v="2026"/>
    <s v="Yes"/>
    <n v="1"/>
    <x v="1"/>
    <n v="0"/>
  </r>
  <r>
    <s v="T002189"/>
    <x v="2017"/>
    <d v="2026-04-03T15:07:00"/>
    <x v="2"/>
    <s v="Chat"/>
    <x v="0"/>
    <s v="A054"/>
    <x v="1"/>
    <n v="72"/>
    <n v="2.9"/>
    <x v="1"/>
    <s v="No"/>
    <s v="No"/>
    <n v="5"/>
    <s v="Closed"/>
    <s v="April"/>
    <x v="3"/>
    <n v="2026"/>
    <s v="Yes"/>
    <n v="1"/>
    <x v="1"/>
    <n v="1"/>
  </r>
  <r>
    <s v="T002190"/>
    <x v="2018"/>
    <d v="2026-04-04T11:32:00"/>
    <x v="0"/>
    <s v="Phone"/>
    <x v="1"/>
    <s v="A029"/>
    <x v="2"/>
    <n v="24"/>
    <n v="23.2"/>
    <x v="1"/>
    <s v="No"/>
    <s v="No"/>
    <n v="4"/>
    <s v="Closed"/>
    <s v="April"/>
    <x v="3"/>
    <n v="2026"/>
    <s v="Yes"/>
    <n v="1"/>
    <x v="2"/>
    <n v="1"/>
  </r>
  <r>
    <s v="T002191"/>
    <x v="2019"/>
    <d v="2026-04-04T13:19:00"/>
    <x v="2"/>
    <s v="Email"/>
    <x v="0"/>
    <s v="A035"/>
    <x v="2"/>
    <n v="72"/>
    <n v="24.6"/>
    <x v="1"/>
    <s v="No"/>
    <s v="No"/>
    <n v="4"/>
    <s v="Closed"/>
    <s v="April"/>
    <x v="3"/>
    <n v="2026"/>
    <s v="Yes"/>
    <n v="1"/>
    <x v="0"/>
    <n v="1"/>
  </r>
  <r>
    <s v="T002192"/>
    <x v="2020"/>
    <d v="2026-04-04T10:56:00"/>
    <x v="2"/>
    <s v="Email"/>
    <x v="0"/>
    <s v="A023"/>
    <x v="2"/>
    <n v="72"/>
    <n v="21.6"/>
    <x v="1"/>
    <s v="No"/>
    <s v="No"/>
    <n v="5"/>
    <s v="Closed"/>
    <s v="April"/>
    <x v="3"/>
    <n v="2026"/>
    <s v="Yes"/>
    <n v="1"/>
    <x v="4"/>
    <n v="1"/>
  </r>
  <r>
    <s v="T002193"/>
    <x v="2021"/>
    <d v="2026-04-03T19:54:00"/>
    <x v="3"/>
    <s v="Phone"/>
    <x v="1"/>
    <s v="A042"/>
    <x v="1"/>
    <n v="24"/>
    <n v="6.2"/>
    <x v="1"/>
    <s v="No"/>
    <s v="No"/>
    <n v="5"/>
    <s v="Closed"/>
    <s v="April"/>
    <x v="3"/>
    <n v="2026"/>
    <s v="Yes"/>
    <n v="1"/>
    <x v="3"/>
    <n v="1"/>
  </r>
  <r>
    <s v="T002194"/>
    <x v="2022"/>
    <d v="2026-04-03T20:14:00"/>
    <x v="1"/>
    <s v="Phone"/>
    <x v="0"/>
    <s v="A031"/>
    <x v="2"/>
    <n v="72"/>
    <n v="5.7"/>
    <x v="0"/>
    <s v="Yes"/>
    <s v="No"/>
    <m/>
    <s v="Closed"/>
    <s v="April"/>
    <x v="3"/>
    <n v="2026"/>
    <s v="Yes"/>
    <n v="1"/>
    <x v="0"/>
    <n v="0"/>
  </r>
  <r>
    <s v="T002195"/>
    <x v="2023"/>
    <d v="2026-04-05T02:13:00"/>
    <x v="4"/>
    <s v="Phone"/>
    <x v="1"/>
    <s v="A035"/>
    <x v="2"/>
    <n v="24"/>
    <n v="34.799999999999997"/>
    <x v="0"/>
    <s v="No"/>
    <s v="No"/>
    <m/>
    <s v="Closed"/>
    <s v="April"/>
    <x v="3"/>
    <n v="2026"/>
    <s v="No"/>
    <n v="0"/>
    <x v="3"/>
    <n v="0"/>
  </r>
  <r>
    <s v="T002196"/>
    <x v="2024"/>
    <d v="2026-04-03T18:54:00"/>
    <x v="1"/>
    <s v="Chat"/>
    <x v="0"/>
    <s v="A045"/>
    <x v="1"/>
    <n v="72"/>
    <n v="2.2000000000000002"/>
    <x v="1"/>
    <s v="No"/>
    <s v="No"/>
    <n v="5"/>
    <s v="Closed"/>
    <s v="April"/>
    <x v="3"/>
    <n v="2026"/>
    <s v="Yes"/>
    <n v="1"/>
    <x v="4"/>
    <n v="1"/>
  </r>
  <r>
    <s v="T002197"/>
    <x v="2025"/>
    <d v="2026-04-04T10:25:00"/>
    <x v="6"/>
    <s v="Field Visit"/>
    <x v="2"/>
    <s v="A011"/>
    <x v="0"/>
    <n v="4"/>
    <n v="17.399999999999999"/>
    <x v="0"/>
    <s v="Yes"/>
    <s v="No"/>
    <m/>
    <s v="Closed"/>
    <s v="April"/>
    <x v="3"/>
    <n v="2026"/>
    <s v="No"/>
    <n v="0"/>
    <x v="4"/>
    <n v="0"/>
  </r>
  <r>
    <s v="T002198"/>
    <x v="2026"/>
    <d v="2026-04-26T07:53:00"/>
    <x v="4"/>
    <s v="Field Visit"/>
    <x v="2"/>
    <s v="A014"/>
    <x v="0"/>
    <n v="4"/>
    <n v="542.5"/>
    <x v="1"/>
    <s v="No"/>
    <s v="No"/>
    <n v="5"/>
    <s v="Closed"/>
    <s v="April"/>
    <x v="3"/>
    <n v="2026"/>
    <s v="No"/>
    <n v="0"/>
    <x v="0"/>
    <n v="1"/>
  </r>
  <r>
    <s v="T002199"/>
    <x v="2027"/>
    <d v="2026-04-04T06:32:00"/>
    <x v="0"/>
    <s v="Chat"/>
    <x v="2"/>
    <s v="A047"/>
    <x v="1"/>
    <n v="4"/>
    <n v="13"/>
    <x v="1"/>
    <s v="No"/>
    <s v="No"/>
    <n v="5"/>
    <s v="Closed"/>
    <s v="April"/>
    <x v="3"/>
    <n v="2026"/>
    <s v="No"/>
    <n v="0"/>
    <x v="3"/>
    <n v="1"/>
  </r>
  <r>
    <s v="T002200"/>
    <x v="2028"/>
    <d v="2026-04-04T20:23:00"/>
    <x v="6"/>
    <s v="Phone"/>
    <x v="2"/>
    <s v="A022"/>
    <x v="2"/>
    <n v="4"/>
    <n v="26.3"/>
    <x v="1"/>
    <s v="No"/>
    <s v="Yes"/>
    <n v="5"/>
    <s v="Closed"/>
    <s v="April"/>
    <x v="3"/>
    <n v="2026"/>
    <s v="No"/>
    <n v="0"/>
    <x v="3"/>
    <n v="1"/>
  </r>
  <r>
    <s v="T002201"/>
    <x v="2029"/>
    <d v="2026-04-04T12:06:00"/>
    <x v="6"/>
    <s v="Phone"/>
    <x v="1"/>
    <s v="A035"/>
    <x v="2"/>
    <n v="24"/>
    <n v="17"/>
    <x v="1"/>
    <s v="No"/>
    <s v="No"/>
    <n v="5"/>
    <s v="Closed"/>
    <s v="April"/>
    <x v="3"/>
    <n v="2026"/>
    <s v="Yes"/>
    <n v="1"/>
    <x v="2"/>
    <n v="1"/>
  </r>
  <r>
    <s v="T002202"/>
    <x v="2030"/>
    <d v="2026-04-04T06:07:00"/>
    <x v="5"/>
    <s v="Email"/>
    <x v="1"/>
    <s v="A053"/>
    <x v="1"/>
    <n v="24"/>
    <n v="11"/>
    <x v="1"/>
    <s v="No"/>
    <s v="No"/>
    <m/>
    <s v="Closed"/>
    <s v="April"/>
    <x v="3"/>
    <n v="2026"/>
    <s v="Yes"/>
    <n v="1"/>
    <x v="4"/>
    <n v="1"/>
  </r>
  <r>
    <s v="T002203"/>
    <x v="2031"/>
    <d v="2026-04-05T23:05:00"/>
    <x v="3"/>
    <s v="Email"/>
    <x v="0"/>
    <s v="A011"/>
    <x v="0"/>
    <n v="72"/>
    <n v="47.8"/>
    <x v="0"/>
    <s v="No"/>
    <s v="No"/>
    <n v="3"/>
    <s v="Closed"/>
    <s v="April"/>
    <x v="3"/>
    <n v="2026"/>
    <s v="Yes"/>
    <n v="1"/>
    <x v="4"/>
    <n v="0"/>
  </r>
  <r>
    <s v="T002204"/>
    <x v="2032"/>
    <d v="2026-04-04T05:43:00"/>
    <x v="1"/>
    <s v="Phone"/>
    <x v="1"/>
    <s v="A042"/>
    <x v="1"/>
    <n v="24"/>
    <n v="5"/>
    <x v="1"/>
    <s v="No"/>
    <s v="No"/>
    <n v="4"/>
    <s v="Closed"/>
    <s v="April"/>
    <x v="3"/>
    <n v="2026"/>
    <s v="Yes"/>
    <n v="1"/>
    <x v="3"/>
    <n v="1"/>
  </r>
  <r>
    <s v="T002205"/>
    <x v="2033"/>
    <d v="2026-04-08T23:56:00"/>
    <x v="4"/>
    <s v="Field Visit"/>
    <x v="0"/>
    <s v="A028"/>
    <x v="2"/>
    <n v="72"/>
    <n v="116.9"/>
    <x v="0"/>
    <s v="Yes"/>
    <s v="No"/>
    <n v="2"/>
    <s v="Closed"/>
    <s v="April"/>
    <x v="3"/>
    <n v="2026"/>
    <s v="No"/>
    <n v="0"/>
    <x v="1"/>
    <n v="0"/>
  </r>
  <r>
    <s v="T002206"/>
    <x v="2034"/>
    <d v="2026-04-04T17:02:00"/>
    <x v="1"/>
    <s v="Phone"/>
    <x v="0"/>
    <s v="A027"/>
    <x v="2"/>
    <n v="72"/>
    <n v="11.5"/>
    <x v="1"/>
    <s v="No"/>
    <s v="Yes"/>
    <n v="5"/>
    <s v="Closed"/>
    <s v="April"/>
    <x v="3"/>
    <n v="2026"/>
    <s v="Yes"/>
    <n v="1"/>
    <x v="4"/>
    <n v="1"/>
  </r>
  <r>
    <s v="T002207"/>
    <x v="2035"/>
    <d v="2026-04-05T07:04:00"/>
    <x v="4"/>
    <s v="Email"/>
    <x v="1"/>
    <s v="A024"/>
    <x v="2"/>
    <n v="24"/>
    <n v="22.8"/>
    <x v="0"/>
    <s v="No"/>
    <s v="No"/>
    <m/>
    <s v="Closed"/>
    <s v="April"/>
    <x v="3"/>
    <n v="2026"/>
    <s v="Yes"/>
    <n v="1"/>
    <x v="4"/>
    <n v="0"/>
  </r>
  <r>
    <s v="T002208"/>
    <x v="2036"/>
    <d v="2026-04-06T18:23:00"/>
    <x v="2"/>
    <s v="Field Visit"/>
    <x v="1"/>
    <s v="A048"/>
    <x v="1"/>
    <n v="24"/>
    <n v="57.1"/>
    <x v="1"/>
    <s v="No"/>
    <s v="Yes"/>
    <n v="4"/>
    <s v="Closed"/>
    <s v="April"/>
    <x v="3"/>
    <n v="2026"/>
    <s v="No"/>
    <n v="0"/>
    <x v="2"/>
    <n v="1"/>
  </r>
  <r>
    <s v="T002209"/>
    <x v="2037"/>
    <d v="2026-04-06T03:21:00"/>
    <x v="1"/>
    <s v="Phone"/>
    <x v="1"/>
    <s v="A007"/>
    <x v="0"/>
    <n v="24"/>
    <n v="42"/>
    <x v="1"/>
    <s v="No"/>
    <s v="No"/>
    <n v="5"/>
    <s v="Closed"/>
    <s v="April"/>
    <x v="3"/>
    <n v="2026"/>
    <s v="No"/>
    <n v="0"/>
    <x v="4"/>
    <n v="1"/>
  </r>
  <r>
    <s v="T002210"/>
    <x v="2038"/>
    <d v="2026-04-09T07:19:00"/>
    <x v="4"/>
    <s v="Field Visit"/>
    <x v="1"/>
    <s v="A058"/>
    <x v="1"/>
    <n v="24"/>
    <n v="116.8"/>
    <x v="1"/>
    <s v="No"/>
    <s v="Yes"/>
    <m/>
    <s v="Closed"/>
    <s v="April"/>
    <x v="3"/>
    <n v="2026"/>
    <s v="No"/>
    <n v="0"/>
    <x v="3"/>
    <n v="1"/>
  </r>
  <r>
    <s v="T002211"/>
    <x v="2039"/>
    <d v="2026-04-05T10:47:00"/>
    <x v="1"/>
    <s v="Email"/>
    <x v="0"/>
    <s v="A012"/>
    <x v="0"/>
    <n v="72"/>
    <n v="22.5"/>
    <x v="0"/>
    <s v="No"/>
    <s v="No"/>
    <n v="4"/>
    <s v="Closed"/>
    <s v="April"/>
    <x v="3"/>
    <n v="2026"/>
    <s v="Yes"/>
    <n v="1"/>
    <x v="2"/>
    <n v="0"/>
  </r>
  <r>
    <s v="T002212"/>
    <x v="2040"/>
    <d v="2026-04-05T22:09:00"/>
    <x v="0"/>
    <s v="Phone"/>
    <x v="0"/>
    <s v="A035"/>
    <x v="2"/>
    <n v="72"/>
    <n v="33.799999999999997"/>
    <x v="1"/>
    <s v="No"/>
    <s v="No"/>
    <n v="5"/>
    <s v="Closed"/>
    <s v="April"/>
    <x v="3"/>
    <n v="2026"/>
    <s v="Yes"/>
    <n v="1"/>
    <x v="2"/>
    <n v="1"/>
  </r>
  <r>
    <s v="T002213"/>
    <x v="2041"/>
    <d v="2026-04-06T09:40:00"/>
    <x v="1"/>
    <s v="Email"/>
    <x v="2"/>
    <s v="A014"/>
    <x v="0"/>
    <n v="4"/>
    <n v="44.7"/>
    <x v="0"/>
    <s v="Yes"/>
    <s v="No"/>
    <n v="3"/>
    <s v="Closed"/>
    <s v="April"/>
    <x v="3"/>
    <n v="2026"/>
    <s v="No"/>
    <n v="0"/>
    <x v="2"/>
    <n v="0"/>
  </r>
  <r>
    <s v="T002214"/>
    <x v="2042"/>
    <d v="2026-04-05T00:40:00"/>
    <x v="3"/>
    <s v="Phone"/>
    <x v="0"/>
    <s v="A057"/>
    <x v="1"/>
    <n v="72"/>
    <n v="11.5"/>
    <x v="1"/>
    <s v="No"/>
    <s v="No"/>
    <m/>
    <s v="Closed"/>
    <s v="April"/>
    <x v="3"/>
    <n v="2026"/>
    <s v="Yes"/>
    <n v="1"/>
    <x v="1"/>
    <n v="1"/>
  </r>
  <r>
    <s v="T002215"/>
    <x v="2043"/>
    <d v="2026-04-04T20:05:00"/>
    <x v="2"/>
    <s v="Chat"/>
    <x v="1"/>
    <s v="A045"/>
    <x v="1"/>
    <n v="24"/>
    <n v="6.9"/>
    <x v="1"/>
    <s v="No"/>
    <s v="No"/>
    <m/>
    <s v="Closed"/>
    <s v="April"/>
    <x v="3"/>
    <n v="2026"/>
    <s v="Yes"/>
    <n v="1"/>
    <x v="2"/>
    <n v="1"/>
  </r>
  <r>
    <s v="T002216"/>
    <x v="2044"/>
    <d v="2026-04-04T17:13:00"/>
    <x v="1"/>
    <s v="Chat"/>
    <x v="0"/>
    <s v="A009"/>
    <x v="0"/>
    <n v="72"/>
    <n v="2.2999999999999998"/>
    <x v="1"/>
    <s v="No"/>
    <s v="No"/>
    <n v="4"/>
    <s v="Closed"/>
    <s v="April"/>
    <x v="3"/>
    <n v="2026"/>
    <s v="Yes"/>
    <n v="1"/>
    <x v="0"/>
    <n v="1"/>
  </r>
  <r>
    <s v="T002217"/>
    <x v="2045"/>
    <d v="2026-04-05T07:52:00"/>
    <x v="0"/>
    <s v="Field Visit"/>
    <x v="0"/>
    <s v="A041"/>
    <x v="1"/>
    <n v="72"/>
    <n v="16.3"/>
    <x v="1"/>
    <s v="No"/>
    <s v="No"/>
    <n v="5"/>
    <s v="Closed"/>
    <s v="April"/>
    <x v="3"/>
    <n v="2026"/>
    <s v="Yes"/>
    <n v="1"/>
    <x v="2"/>
    <n v="1"/>
  </r>
  <r>
    <s v="T002218"/>
    <x v="2046"/>
    <d v="2026-04-05T04:48:00"/>
    <x v="0"/>
    <s v="Chat"/>
    <x v="1"/>
    <s v="A060"/>
    <x v="1"/>
    <n v="24"/>
    <n v="11.6"/>
    <x v="1"/>
    <s v="No"/>
    <s v="Yes"/>
    <n v="5"/>
    <s v="Closed"/>
    <s v="April"/>
    <x v="3"/>
    <n v="2026"/>
    <s v="Yes"/>
    <n v="1"/>
    <x v="4"/>
    <n v="1"/>
  </r>
  <r>
    <s v="T002219"/>
    <x v="2047"/>
    <d v="2026-04-07T17:49:00"/>
    <x v="2"/>
    <s v="Email"/>
    <x v="0"/>
    <s v="A038"/>
    <x v="1"/>
    <n v="72"/>
    <n v="72.5"/>
    <x v="1"/>
    <s v="No"/>
    <s v="No"/>
    <n v="4"/>
    <s v="Closed"/>
    <s v="April"/>
    <x v="3"/>
    <n v="2026"/>
    <s v="No"/>
    <n v="0"/>
    <x v="1"/>
    <n v="1"/>
  </r>
  <r>
    <s v="T002220"/>
    <x v="2048"/>
    <d v="2026-04-05T01:08:00"/>
    <x v="3"/>
    <s v="Chat"/>
    <x v="0"/>
    <s v="A053"/>
    <x v="1"/>
    <n v="72"/>
    <n v="7.6"/>
    <x v="1"/>
    <s v="No"/>
    <s v="Yes"/>
    <n v="5"/>
    <s v="Closed"/>
    <s v="April"/>
    <x v="3"/>
    <n v="2026"/>
    <s v="Yes"/>
    <n v="1"/>
    <x v="3"/>
    <n v="1"/>
  </r>
  <r>
    <s v="T002221"/>
    <x v="2049"/>
    <d v="2026-04-05T22:15:00"/>
    <x v="0"/>
    <s v="Email"/>
    <x v="0"/>
    <s v="A036"/>
    <x v="1"/>
    <n v="72"/>
    <n v="26.5"/>
    <x v="1"/>
    <s v="No"/>
    <s v="No"/>
    <n v="4"/>
    <s v="Closed"/>
    <s v="April"/>
    <x v="3"/>
    <n v="2026"/>
    <s v="Yes"/>
    <n v="1"/>
    <x v="1"/>
    <n v="1"/>
  </r>
  <r>
    <s v="T002222"/>
    <x v="2050"/>
    <d v="2026-04-05T03:11:00"/>
    <x v="2"/>
    <s v="Email"/>
    <x v="0"/>
    <s v="A042"/>
    <x v="1"/>
    <n v="72"/>
    <n v="6.3"/>
    <x v="0"/>
    <s v="Yes"/>
    <s v="No"/>
    <m/>
    <s v="Closed"/>
    <s v="April"/>
    <x v="3"/>
    <n v="2026"/>
    <s v="Yes"/>
    <n v="1"/>
    <x v="2"/>
    <n v="0"/>
  </r>
  <r>
    <s v="T002223"/>
    <x v="2051"/>
    <d v="2026-04-05T14:06:00"/>
    <x v="1"/>
    <s v="Phone"/>
    <x v="1"/>
    <s v="A003"/>
    <x v="0"/>
    <n v="24"/>
    <n v="15.1"/>
    <x v="1"/>
    <s v="No"/>
    <s v="No"/>
    <n v="5"/>
    <s v="Closed"/>
    <s v="April"/>
    <x v="3"/>
    <n v="2026"/>
    <s v="Yes"/>
    <n v="1"/>
    <x v="0"/>
    <n v="1"/>
  </r>
  <r>
    <s v="T002224"/>
    <x v="2052"/>
    <d v="2026-04-05T11:51:00"/>
    <x v="6"/>
    <s v="Phone"/>
    <x v="1"/>
    <s v="A037"/>
    <x v="1"/>
    <n v="24"/>
    <n v="5.4"/>
    <x v="1"/>
    <s v="No"/>
    <s v="No"/>
    <n v="5"/>
    <s v="Closed"/>
    <s v="April"/>
    <x v="3"/>
    <n v="2026"/>
    <s v="Yes"/>
    <n v="1"/>
    <x v="4"/>
    <n v="1"/>
  </r>
  <r>
    <s v="T002225"/>
    <x v="2053"/>
    <d v="2026-04-06T00:14:00"/>
    <x v="3"/>
    <s v="Phone"/>
    <x v="1"/>
    <s v="A054"/>
    <x v="1"/>
    <n v="24"/>
    <n v="16.899999999999999"/>
    <x v="1"/>
    <s v="No"/>
    <s v="No"/>
    <m/>
    <s v="Closed"/>
    <s v="April"/>
    <x v="3"/>
    <n v="2026"/>
    <s v="Yes"/>
    <n v="1"/>
    <x v="0"/>
    <n v="1"/>
  </r>
  <r>
    <s v="T002226"/>
    <x v="2054"/>
    <d v="2026-04-05T16:52:00"/>
    <x v="1"/>
    <s v="Phone"/>
    <x v="0"/>
    <s v="A051"/>
    <x v="1"/>
    <n v="72"/>
    <n v="8.3000000000000007"/>
    <x v="1"/>
    <s v="No"/>
    <s v="No"/>
    <m/>
    <s v="Closed"/>
    <s v="April"/>
    <x v="3"/>
    <n v="2026"/>
    <s v="Yes"/>
    <n v="1"/>
    <x v="1"/>
    <n v="1"/>
  </r>
  <r>
    <s v="T002227"/>
    <x v="2055"/>
    <d v="2026-04-05T16:41:00"/>
    <x v="1"/>
    <s v="Chat"/>
    <x v="0"/>
    <s v="A058"/>
    <x v="1"/>
    <n v="72"/>
    <n v="7.2"/>
    <x v="1"/>
    <s v="No"/>
    <s v="No"/>
    <n v="5"/>
    <s v="Closed"/>
    <s v="April"/>
    <x v="3"/>
    <n v="2026"/>
    <s v="Yes"/>
    <n v="1"/>
    <x v="2"/>
    <n v="1"/>
  </r>
  <r>
    <s v="T002228"/>
    <x v="2056"/>
    <d v="2026-04-05T23:09:00"/>
    <x v="1"/>
    <s v="Phone"/>
    <x v="0"/>
    <s v="A016"/>
    <x v="2"/>
    <n v="72"/>
    <n v="13.6"/>
    <x v="0"/>
    <s v="Yes"/>
    <s v="No"/>
    <n v="3"/>
    <s v="Closed"/>
    <s v="April"/>
    <x v="3"/>
    <n v="2026"/>
    <s v="Yes"/>
    <n v="1"/>
    <x v="2"/>
    <n v="0"/>
  </r>
  <r>
    <s v="T002229"/>
    <x v="2057"/>
    <d v="2026-04-06T12:54:00"/>
    <x v="3"/>
    <s v="Chat"/>
    <x v="1"/>
    <s v="A033"/>
    <x v="2"/>
    <n v="24"/>
    <n v="24.8"/>
    <x v="1"/>
    <s v="No"/>
    <s v="No"/>
    <m/>
    <s v="Closed"/>
    <s v="April"/>
    <x v="3"/>
    <n v="2026"/>
    <s v="No"/>
    <n v="0"/>
    <x v="4"/>
    <n v="1"/>
  </r>
  <r>
    <s v="T002230"/>
    <x v="2058"/>
    <d v="2026-04-14T22:00:00"/>
    <x v="4"/>
    <s v="Field Visit"/>
    <x v="0"/>
    <s v="A036"/>
    <x v="1"/>
    <n v="72"/>
    <n v="225.8"/>
    <x v="1"/>
    <s v="No"/>
    <s v="No"/>
    <n v="5"/>
    <s v="Closed"/>
    <s v="April"/>
    <x v="3"/>
    <n v="2026"/>
    <s v="No"/>
    <n v="0"/>
    <x v="2"/>
    <n v="1"/>
  </r>
  <r>
    <s v="T002231"/>
    <x v="2059"/>
    <d v="2026-04-06T17:32:00"/>
    <x v="1"/>
    <s v="Email"/>
    <x v="0"/>
    <s v="A049"/>
    <x v="1"/>
    <n v="72"/>
    <n v="29.2"/>
    <x v="0"/>
    <s v="Yes"/>
    <s v="No"/>
    <m/>
    <s v="Closed"/>
    <s v="April"/>
    <x v="3"/>
    <n v="2026"/>
    <s v="Yes"/>
    <n v="1"/>
    <x v="1"/>
    <n v="0"/>
  </r>
  <r>
    <s v="T002232"/>
    <x v="2060"/>
    <d v="2026-04-06T10:44:00"/>
    <x v="3"/>
    <s v="Phone"/>
    <x v="0"/>
    <s v="A029"/>
    <x v="2"/>
    <n v="72"/>
    <n v="21.3"/>
    <x v="0"/>
    <s v="Yes"/>
    <s v="No"/>
    <n v="4"/>
    <s v="Closed"/>
    <s v="April"/>
    <x v="3"/>
    <n v="2026"/>
    <s v="Yes"/>
    <n v="1"/>
    <x v="1"/>
    <n v="0"/>
  </r>
  <r>
    <s v="T002233"/>
    <x v="2061"/>
    <d v="2026-04-10T10:18:00"/>
    <x v="4"/>
    <s v="Field Visit"/>
    <x v="1"/>
    <s v="A059"/>
    <x v="1"/>
    <n v="24"/>
    <n v="116.2"/>
    <x v="1"/>
    <s v="No"/>
    <s v="Yes"/>
    <n v="4"/>
    <s v="Closed"/>
    <s v="April"/>
    <x v="3"/>
    <n v="2026"/>
    <s v="No"/>
    <n v="0"/>
    <x v="4"/>
    <n v="1"/>
  </r>
  <r>
    <s v="T002234"/>
    <x v="2062"/>
    <d v="2026-04-06T15:12:00"/>
    <x v="1"/>
    <s v="Email"/>
    <x v="0"/>
    <s v="A054"/>
    <x v="1"/>
    <n v="72"/>
    <n v="24.1"/>
    <x v="1"/>
    <s v="No"/>
    <s v="No"/>
    <m/>
    <s v="Closed"/>
    <s v="April"/>
    <x v="3"/>
    <n v="2026"/>
    <s v="Yes"/>
    <n v="1"/>
    <x v="2"/>
    <n v="1"/>
  </r>
  <r>
    <s v="T002235"/>
    <x v="2063"/>
    <d v="2026-04-06T21:59:00"/>
    <x v="5"/>
    <s v="Email"/>
    <x v="2"/>
    <s v="A048"/>
    <x v="1"/>
    <n v="4"/>
    <n v="29.4"/>
    <x v="0"/>
    <s v="Yes"/>
    <s v="No"/>
    <n v="4"/>
    <s v="Closed"/>
    <s v="April"/>
    <x v="3"/>
    <n v="2026"/>
    <s v="No"/>
    <n v="0"/>
    <x v="1"/>
    <n v="0"/>
  </r>
  <r>
    <s v="T002236"/>
    <x v="2064"/>
    <d v="2026-04-06T08:42:00"/>
    <x v="5"/>
    <s v="Chat"/>
    <x v="0"/>
    <s v="A010"/>
    <x v="0"/>
    <n v="72"/>
    <n v="5.4"/>
    <x v="1"/>
    <s v="No"/>
    <s v="No"/>
    <n v="5"/>
    <s v="Closed"/>
    <s v="April"/>
    <x v="3"/>
    <n v="2026"/>
    <s v="Yes"/>
    <n v="1"/>
    <x v="3"/>
    <n v="1"/>
  </r>
  <r>
    <s v="T002237"/>
    <x v="2065"/>
    <d v="2026-04-06T17:39:00"/>
    <x v="1"/>
    <s v="Email"/>
    <x v="1"/>
    <s v="A060"/>
    <x v="1"/>
    <n v="24"/>
    <n v="13.1"/>
    <x v="1"/>
    <s v="No"/>
    <s v="No"/>
    <n v="5"/>
    <s v="Closed"/>
    <s v="April"/>
    <x v="3"/>
    <n v="2026"/>
    <s v="Yes"/>
    <n v="1"/>
    <x v="3"/>
    <n v="1"/>
  </r>
  <r>
    <s v="T002238"/>
    <x v="2066"/>
    <d v="2026-04-19T05:23:00"/>
    <x v="4"/>
    <s v="Field Visit"/>
    <x v="0"/>
    <s v="A012"/>
    <x v="0"/>
    <n v="72"/>
    <n v="312.2"/>
    <x v="0"/>
    <s v="Yes"/>
    <s v="No"/>
    <n v="3"/>
    <s v="Closed"/>
    <s v="April"/>
    <x v="3"/>
    <n v="2026"/>
    <s v="No"/>
    <n v="0"/>
    <x v="4"/>
    <n v="0"/>
  </r>
  <r>
    <s v="T002239"/>
    <x v="2067"/>
    <d v="2026-04-06T21:08:00"/>
    <x v="2"/>
    <s v="Phone"/>
    <x v="1"/>
    <s v="A017"/>
    <x v="2"/>
    <n v="24"/>
    <n v="13.5"/>
    <x v="1"/>
    <s v="No"/>
    <s v="No"/>
    <n v="3"/>
    <s v="Closed"/>
    <s v="April"/>
    <x v="3"/>
    <n v="2026"/>
    <s v="Yes"/>
    <n v="1"/>
    <x v="4"/>
    <n v="1"/>
  </r>
  <r>
    <s v="T002240"/>
    <x v="2068"/>
    <d v="2026-04-06T13:46:00"/>
    <x v="1"/>
    <s v="Chat"/>
    <x v="2"/>
    <s v="A012"/>
    <x v="0"/>
    <n v="4"/>
    <n v="4.5"/>
    <x v="1"/>
    <s v="No"/>
    <s v="Yes"/>
    <n v="4"/>
    <s v="Closed"/>
    <s v="April"/>
    <x v="3"/>
    <n v="2026"/>
    <s v="No"/>
    <n v="0"/>
    <x v="4"/>
    <n v="1"/>
  </r>
  <r>
    <s v="T002241"/>
    <x v="2069"/>
    <d v="2026-04-06T23:57:00"/>
    <x v="6"/>
    <s v="Phone"/>
    <x v="1"/>
    <s v="A034"/>
    <x v="2"/>
    <n v="24"/>
    <n v="13.4"/>
    <x v="0"/>
    <s v="Yes"/>
    <s v="No"/>
    <n v="3"/>
    <s v="Closed"/>
    <s v="April"/>
    <x v="3"/>
    <n v="2026"/>
    <s v="Yes"/>
    <n v="1"/>
    <x v="3"/>
    <n v="0"/>
  </r>
  <r>
    <s v="T002242"/>
    <x v="2070"/>
    <d v="2026-04-09T12:08:00"/>
    <x v="2"/>
    <s v="Field Visit"/>
    <x v="1"/>
    <s v="A024"/>
    <x v="2"/>
    <n v="24"/>
    <n v="72.400000000000006"/>
    <x v="1"/>
    <s v="No"/>
    <s v="No"/>
    <n v="4"/>
    <s v="Closed"/>
    <s v="April"/>
    <x v="3"/>
    <n v="2026"/>
    <s v="No"/>
    <n v="0"/>
    <x v="1"/>
    <n v="1"/>
  </r>
  <r>
    <s v="T002243"/>
    <x v="2071"/>
    <d v="2026-04-06T16:37:00"/>
    <x v="0"/>
    <s v="Chat"/>
    <x v="0"/>
    <s v="A026"/>
    <x v="2"/>
    <n v="72"/>
    <n v="4.5999999999999996"/>
    <x v="0"/>
    <s v="Yes"/>
    <s v="Yes"/>
    <n v="4"/>
    <s v="Closed"/>
    <s v="April"/>
    <x v="3"/>
    <n v="2026"/>
    <s v="Yes"/>
    <n v="1"/>
    <x v="3"/>
    <n v="0"/>
  </r>
  <r>
    <s v="T002244"/>
    <x v="2072"/>
    <d v="2026-04-06T20:49:00"/>
    <x v="6"/>
    <s v="Phone"/>
    <x v="1"/>
    <s v="A014"/>
    <x v="0"/>
    <n v="24"/>
    <n v="8"/>
    <x v="1"/>
    <s v="No"/>
    <s v="No"/>
    <m/>
    <s v="Closed"/>
    <s v="April"/>
    <x v="3"/>
    <n v="2026"/>
    <s v="Yes"/>
    <n v="1"/>
    <x v="0"/>
    <n v="1"/>
  </r>
  <r>
    <s v="T002245"/>
    <x v="2073"/>
    <d v="2026-04-06T19:14:00"/>
    <x v="1"/>
    <s v="Chat"/>
    <x v="1"/>
    <s v="A019"/>
    <x v="2"/>
    <n v="24"/>
    <n v="4.4000000000000004"/>
    <x v="1"/>
    <s v="No"/>
    <s v="No"/>
    <n v="5"/>
    <s v="Closed"/>
    <s v="April"/>
    <x v="3"/>
    <n v="2026"/>
    <s v="Yes"/>
    <n v="1"/>
    <x v="2"/>
    <n v="1"/>
  </r>
  <r>
    <s v="T002246"/>
    <x v="2074"/>
    <d v="2026-04-07T10:24:00"/>
    <x v="6"/>
    <s v="Field Visit"/>
    <x v="2"/>
    <s v="A050"/>
    <x v="1"/>
    <n v="4"/>
    <n v="16.3"/>
    <x v="0"/>
    <s v="Yes"/>
    <s v="No"/>
    <n v="2"/>
    <s v="Closed"/>
    <s v="April"/>
    <x v="3"/>
    <n v="2026"/>
    <s v="No"/>
    <n v="0"/>
    <x v="0"/>
    <n v="0"/>
  </r>
  <r>
    <s v="T002247"/>
    <x v="2075"/>
    <d v="2026-04-10T11:33:00"/>
    <x v="4"/>
    <s v="Field Visit"/>
    <x v="1"/>
    <s v="A021"/>
    <x v="2"/>
    <n v="24"/>
    <n v="79.3"/>
    <x v="1"/>
    <s v="No"/>
    <s v="No"/>
    <n v="4"/>
    <s v="Closed"/>
    <s v="April"/>
    <x v="3"/>
    <n v="2026"/>
    <s v="No"/>
    <n v="0"/>
    <x v="3"/>
    <n v="1"/>
  </r>
  <r>
    <s v="T002248"/>
    <x v="2076"/>
    <d v="2026-04-07T09:53:00"/>
    <x v="1"/>
    <s v="Chat"/>
    <x v="1"/>
    <s v="A047"/>
    <x v="1"/>
    <n v="24"/>
    <n v="4.8"/>
    <x v="1"/>
    <s v="No"/>
    <s v="No"/>
    <m/>
    <s v="Closed"/>
    <s v="April"/>
    <x v="3"/>
    <n v="2026"/>
    <s v="Yes"/>
    <n v="1"/>
    <x v="3"/>
    <n v="1"/>
  </r>
  <r>
    <s v="T002249"/>
    <x v="2077"/>
    <d v="2026-04-07T19:30:00"/>
    <x v="6"/>
    <s v="Phone"/>
    <x v="1"/>
    <s v="A001"/>
    <x v="0"/>
    <n v="24"/>
    <n v="12.1"/>
    <x v="0"/>
    <s v="Yes"/>
    <s v="No"/>
    <n v="3"/>
    <s v="Closed"/>
    <s v="April"/>
    <x v="3"/>
    <n v="2026"/>
    <s v="Yes"/>
    <n v="1"/>
    <x v="2"/>
    <n v="0"/>
  </r>
  <r>
    <s v="T002250"/>
    <x v="2078"/>
    <d v="2026-04-07T20:28:00"/>
    <x v="0"/>
    <s v="Phone"/>
    <x v="1"/>
    <s v="A015"/>
    <x v="0"/>
    <n v="24"/>
    <n v="12.8"/>
    <x v="0"/>
    <s v="Yes"/>
    <s v="No"/>
    <m/>
    <s v="Closed"/>
    <s v="April"/>
    <x v="3"/>
    <n v="2026"/>
    <s v="Yes"/>
    <n v="1"/>
    <x v="3"/>
    <n v="0"/>
  </r>
  <r>
    <s v="T002251"/>
    <x v="2079"/>
    <d v="2026-04-13T02:38:00"/>
    <x v="4"/>
    <s v="Field Visit"/>
    <x v="1"/>
    <s v="A043"/>
    <x v="1"/>
    <n v="24"/>
    <n v="136.5"/>
    <x v="1"/>
    <s v="No"/>
    <s v="No"/>
    <n v="3"/>
    <s v="Closed"/>
    <s v="April"/>
    <x v="3"/>
    <n v="2026"/>
    <s v="No"/>
    <n v="0"/>
    <x v="3"/>
    <n v="1"/>
  </r>
  <r>
    <s v="T002252"/>
    <x v="2080"/>
    <d v="2026-04-08T18:25:00"/>
    <x v="4"/>
    <s v="Email"/>
    <x v="1"/>
    <s v="A013"/>
    <x v="0"/>
    <n v="24"/>
    <n v="31.7"/>
    <x v="0"/>
    <s v="Yes"/>
    <s v="No"/>
    <n v="4"/>
    <s v="Closed"/>
    <s v="April"/>
    <x v="3"/>
    <n v="2026"/>
    <s v="No"/>
    <n v="0"/>
    <x v="4"/>
    <n v="0"/>
  </r>
  <r>
    <s v="T002253"/>
    <x v="2081"/>
    <d v="2026-04-08T18:41:00"/>
    <x v="0"/>
    <s v="Field Visit"/>
    <x v="0"/>
    <s v="A026"/>
    <x v="2"/>
    <n v="72"/>
    <n v="31.6"/>
    <x v="1"/>
    <s v="No"/>
    <s v="No"/>
    <m/>
    <s v="Closed"/>
    <s v="April"/>
    <x v="3"/>
    <n v="2026"/>
    <s v="Yes"/>
    <n v="1"/>
    <x v="4"/>
    <n v="1"/>
  </r>
  <r>
    <s v="T002254"/>
    <x v="2082"/>
    <d v="2026-04-08T19:20:00"/>
    <x v="3"/>
    <s v="Field Visit"/>
    <x v="2"/>
    <s v="A056"/>
    <x v="1"/>
    <n v="4"/>
    <n v="30.4"/>
    <x v="1"/>
    <s v="No"/>
    <s v="Yes"/>
    <n v="5"/>
    <s v="Closed"/>
    <s v="April"/>
    <x v="3"/>
    <n v="2026"/>
    <s v="No"/>
    <n v="0"/>
    <x v="1"/>
    <n v="1"/>
  </r>
  <r>
    <s v="T002255"/>
    <x v="2083"/>
    <d v="2026-04-07T17:09:00"/>
    <x v="2"/>
    <s v="Phone"/>
    <x v="1"/>
    <s v="A046"/>
    <x v="1"/>
    <n v="24"/>
    <n v="4"/>
    <x v="1"/>
    <s v="No"/>
    <s v="No"/>
    <n v="5"/>
    <s v="Closed"/>
    <s v="April"/>
    <x v="3"/>
    <n v="2026"/>
    <s v="Yes"/>
    <n v="1"/>
    <x v="3"/>
    <n v="1"/>
  </r>
  <r>
    <s v="T002256"/>
    <x v="2084"/>
    <d v="2026-04-08T05:53:00"/>
    <x v="6"/>
    <s v="Field Visit"/>
    <x v="1"/>
    <s v="A010"/>
    <x v="0"/>
    <n v="24"/>
    <n v="16.100000000000001"/>
    <x v="0"/>
    <s v="Yes"/>
    <s v="Yes"/>
    <n v="3"/>
    <s v="Closed"/>
    <s v="April"/>
    <x v="3"/>
    <n v="2026"/>
    <s v="Yes"/>
    <n v="1"/>
    <x v="1"/>
    <n v="0"/>
  </r>
  <r>
    <s v="T002257"/>
    <x v="2085"/>
    <d v="2026-04-09T23:56:00"/>
    <x v="4"/>
    <s v="Field Visit"/>
    <x v="0"/>
    <s v="A050"/>
    <x v="1"/>
    <n v="72"/>
    <n v="57.5"/>
    <x v="1"/>
    <s v="No"/>
    <s v="No"/>
    <n v="5"/>
    <s v="Closed"/>
    <s v="April"/>
    <x v="3"/>
    <n v="2026"/>
    <s v="Yes"/>
    <n v="1"/>
    <x v="0"/>
    <n v="1"/>
  </r>
  <r>
    <s v="T002258"/>
    <x v="2086"/>
    <d v="2026-04-07T19:22:00"/>
    <x v="1"/>
    <s v="Chat"/>
    <x v="0"/>
    <s v="A057"/>
    <x v="1"/>
    <n v="72"/>
    <n v="2"/>
    <x v="0"/>
    <s v="Yes"/>
    <s v="No"/>
    <n v="2"/>
    <s v="Closed"/>
    <s v="April"/>
    <x v="3"/>
    <n v="2026"/>
    <s v="Yes"/>
    <n v="1"/>
    <x v="0"/>
    <n v="0"/>
  </r>
  <r>
    <s v="T002259"/>
    <x v="2087"/>
    <d v="2026-04-08T05:22:00"/>
    <x v="0"/>
    <s v="Chat"/>
    <x v="1"/>
    <s v="A057"/>
    <x v="1"/>
    <n v="24"/>
    <n v="11.9"/>
    <x v="1"/>
    <s v="No"/>
    <s v="No"/>
    <n v="5"/>
    <s v="Closed"/>
    <s v="April"/>
    <x v="3"/>
    <n v="2026"/>
    <s v="Yes"/>
    <n v="1"/>
    <x v="2"/>
    <n v="1"/>
  </r>
  <r>
    <s v="T002260"/>
    <x v="2088"/>
    <d v="2026-04-08T10:01:00"/>
    <x v="2"/>
    <s v="Chat"/>
    <x v="1"/>
    <s v="A041"/>
    <x v="1"/>
    <n v="24"/>
    <n v="13.8"/>
    <x v="1"/>
    <s v="No"/>
    <s v="Yes"/>
    <n v="5"/>
    <s v="Closed"/>
    <s v="April"/>
    <x v="3"/>
    <n v="2026"/>
    <s v="Yes"/>
    <n v="1"/>
    <x v="2"/>
    <n v="1"/>
  </r>
  <r>
    <s v="T002261"/>
    <x v="2089"/>
    <d v="2026-04-08T21:56:00"/>
    <x v="6"/>
    <s v="Field Visit"/>
    <x v="2"/>
    <s v="A041"/>
    <x v="1"/>
    <n v="4"/>
    <n v="25.3"/>
    <x v="1"/>
    <s v="No"/>
    <s v="No"/>
    <n v="5"/>
    <s v="Closed"/>
    <s v="April"/>
    <x v="3"/>
    <n v="2026"/>
    <s v="No"/>
    <n v="0"/>
    <x v="3"/>
    <n v="1"/>
  </r>
  <r>
    <s v="T002262"/>
    <x v="2090"/>
    <d v="2026-04-09T09:01:00"/>
    <x v="5"/>
    <s v="Field Visit"/>
    <x v="2"/>
    <s v="A009"/>
    <x v="0"/>
    <n v="4"/>
    <n v="26.1"/>
    <x v="0"/>
    <s v="No"/>
    <s v="No"/>
    <m/>
    <s v="Closed"/>
    <s v="April"/>
    <x v="3"/>
    <n v="2026"/>
    <s v="No"/>
    <n v="0"/>
    <x v="4"/>
    <n v="0"/>
  </r>
  <r>
    <s v="T002263"/>
    <x v="2091"/>
    <d v="2026-04-08T20:15:00"/>
    <x v="2"/>
    <s v="Phone"/>
    <x v="1"/>
    <s v="A022"/>
    <x v="2"/>
    <n v="24"/>
    <n v="12.6"/>
    <x v="1"/>
    <s v="No"/>
    <s v="No"/>
    <m/>
    <s v="Closed"/>
    <s v="April"/>
    <x v="3"/>
    <n v="2026"/>
    <s v="Yes"/>
    <n v="1"/>
    <x v="2"/>
    <n v="1"/>
  </r>
  <r>
    <s v="T002264"/>
    <x v="2092"/>
    <d v="2026-04-08T20:15:00"/>
    <x v="5"/>
    <s v="Email"/>
    <x v="1"/>
    <s v="A016"/>
    <x v="2"/>
    <n v="24"/>
    <n v="11.6"/>
    <x v="1"/>
    <s v="No"/>
    <s v="No"/>
    <m/>
    <s v="Closed"/>
    <s v="April"/>
    <x v="3"/>
    <n v="2026"/>
    <s v="Yes"/>
    <n v="1"/>
    <x v="0"/>
    <n v="1"/>
  </r>
  <r>
    <s v="T002265"/>
    <x v="2093"/>
    <d v="2026-04-08T17:13:00"/>
    <x v="1"/>
    <s v="Phone"/>
    <x v="1"/>
    <s v="A033"/>
    <x v="2"/>
    <n v="24"/>
    <n v="7.1"/>
    <x v="1"/>
    <s v="No"/>
    <s v="No"/>
    <n v="5"/>
    <s v="Closed"/>
    <s v="April"/>
    <x v="3"/>
    <n v="2026"/>
    <s v="Yes"/>
    <n v="1"/>
    <x v="2"/>
    <n v="1"/>
  </r>
  <r>
    <s v="T002266"/>
    <x v="2094"/>
    <d v="2026-04-08T21:55:00"/>
    <x v="1"/>
    <s v="Email"/>
    <x v="1"/>
    <s v="A043"/>
    <x v="1"/>
    <n v="24"/>
    <n v="11.5"/>
    <x v="1"/>
    <s v="No"/>
    <s v="No"/>
    <n v="5"/>
    <s v="Closed"/>
    <s v="April"/>
    <x v="3"/>
    <n v="2026"/>
    <s v="Yes"/>
    <n v="1"/>
    <x v="1"/>
    <n v="1"/>
  </r>
  <r>
    <s v="T002268"/>
    <x v="2095"/>
    <d v="2026-04-09T18:00:00"/>
    <x v="3"/>
    <s v="Field Visit"/>
    <x v="1"/>
    <s v="A034"/>
    <x v="2"/>
    <n v="24"/>
    <n v="31.5"/>
    <x v="1"/>
    <s v="No"/>
    <s v="No"/>
    <n v="5"/>
    <s v="Closed"/>
    <s v="April"/>
    <x v="3"/>
    <n v="2026"/>
    <s v="No"/>
    <n v="0"/>
    <x v="4"/>
    <n v="1"/>
  </r>
  <r>
    <s v="T002267"/>
    <x v="2095"/>
    <d v="2026-04-09T20:30:00"/>
    <x v="4"/>
    <s v="Email"/>
    <x v="1"/>
    <s v="A013"/>
    <x v="0"/>
    <n v="24"/>
    <n v="34"/>
    <x v="0"/>
    <s v="No"/>
    <s v="No"/>
    <m/>
    <s v="Closed"/>
    <s v="April"/>
    <x v="3"/>
    <n v="2026"/>
    <s v="No"/>
    <n v="0"/>
    <x v="4"/>
    <n v="0"/>
  </r>
  <r>
    <s v="T002269"/>
    <x v="2096"/>
    <d v="2026-04-09T07:44:00"/>
    <x v="4"/>
    <s v="Phone"/>
    <x v="0"/>
    <s v="A029"/>
    <x v="2"/>
    <n v="72"/>
    <n v="19.399999999999999"/>
    <x v="1"/>
    <s v="No"/>
    <s v="No"/>
    <n v="5"/>
    <s v="Closed"/>
    <s v="April"/>
    <x v="3"/>
    <n v="2026"/>
    <s v="Yes"/>
    <n v="1"/>
    <x v="3"/>
    <n v="1"/>
  </r>
  <r>
    <s v="T002270"/>
    <x v="2097"/>
    <d v="2026-04-09T22:58:00"/>
    <x v="0"/>
    <s v="Field Visit"/>
    <x v="1"/>
    <s v="A008"/>
    <x v="0"/>
    <n v="24"/>
    <n v="34"/>
    <x v="0"/>
    <s v="Yes"/>
    <s v="Yes"/>
    <n v="2"/>
    <s v="Closed"/>
    <s v="April"/>
    <x v="3"/>
    <n v="2026"/>
    <s v="No"/>
    <n v="0"/>
    <x v="2"/>
    <n v="0"/>
  </r>
  <r>
    <s v="T002271"/>
    <x v="2097"/>
    <d v="2026-04-08T21:46:00"/>
    <x v="5"/>
    <s v="Email"/>
    <x v="1"/>
    <s v="A054"/>
    <x v="1"/>
    <n v="24"/>
    <n v="8.8000000000000007"/>
    <x v="0"/>
    <s v="Yes"/>
    <s v="No"/>
    <n v="5"/>
    <s v="Closed"/>
    <s v="April"/>
    <x v="3"/>
    <n v="2026"/>
    <s v="Yes"/>
    <n v="1"/>
    <x v="0"/>
    <n v="0"/>
  </r>
  <r>
    <s v="T002272"/>
    <x v="2098"/>
    <d v="2026-04-09T03:49:00"/>
    <x v="2"/>
    <s v="Chat"/>
    <x v="0"/>
    <s v="A020"/>
    <x v="2"/>
    <n v="72"/>
    <n v="14.8"/>
    <x v="0"/>
    <s v="Yes"/>
    <s v="No"/>
    <n v="3"/>
    <s v="Closed"/>
    <s v="April"/>
    <x v="3"/>
    <n v="2026"/>
    <s v="Yes"/>
    <n v="1"/>
    <x v="1"/>
    <n v="0"/>
  </r>
  <r>
    <s v="T002273"/>
    <x v="2099"/>
    <d v="2026-04-09T00:55:00"/>
    <x v="4"/>
    <s v="Phone"/>
    <x v="0"/>
    <s v="A060"/>
    <x v="1"/>
    <n v="72"/>
    <n v="10.8"/>
    <x v="0"/>
    <s v="No"/>
    <s v="No"/>
    <n v="4"/>
    <s v="Closed"/>
    <s v="April"/>
    <x v="3"/>
    <n v="2026"/>
    <s v="Yes"/>
    <n v="1"/>
    <x v="4"/>
    <n v="0"/>
  </r>
  <r>
    <s v="T002274"/>
    <x v="2100"/>
    <d v="2026-04-09T21:33:00"/>
    <x v="0"/>
    <s v="Phone"/>
    <x v="0"/>
    <s v="A031"/>
    <x v="2"/>
    <n v="72"/>
    <n v="31.3"/>
    <x v="0"/>
    <s v="Yes"/>
    <s v="No"/>
    <n v="3"/>
    <s v="Closed"/>
    <s v="April"/>
    <x v="3"/>
    <n v="2026"/>
    <s v="Yes"/>
    <n v="1"/>
    <x v="2"/>
    <n v="0"/>
  </r>
  <r>
    <s v="T002275"/>
    <x v="2101"/>
    <d v="2026-04-08T23:54:00"/>
    <x v="0"/>
    <s v="Phone"/>
    <x v="2"/>
    <s v="A056"/>
    <x v="1"/>
    <n v="4"/>
    <n v="9"/>
    <x v="0"/>
    <s v="Yes"/>
    <s v="No"/>
    <m/>
    <s v="Closed"/>
    <s v="April"/>
    <x v="3"/>
    <n v="2026"/>
    <s v="No"/>
    <n v="0"/>
    <x v="4"/>
    <n v="0"/>
  </r>
  <r>
    <s v="T002276"/>
    <x v="2102"/>
    <d v="2026-04-10T09:06:00"/>
    <x v="6"/>
    <s v="Field Visit"/>
    <x v="1"/>
    <s v="A048"/>
    <x v="1"/>
    <n v="24"/>
    <n v="41.7"/>
    <x v="0"/>
    <s v="Yes"/>
    <s v="No"/>
    <n v="3"/>
    <s v="Closed"/>
    <s v="April"/>
    <x v="3"/>
    <n v="2026"/>
    <s v="No"/>
    <n v="0"/>
    <x v="4"/>
    <n v="0"/>
  </r>
  <r>
    <s v="T002277"/>
    <x v="2103"/>
    <d v="2026-04-09T02:26:00"/>
    <x v="6"/>
    <s v="Field Visit"/>
    <x v="1"/>
    <s v="A029"/>
    <x v="2"/>
    <n v="24"/>
    <n v="10.3"/>
    <x v="0"/>
    <s v="No"/>
    <s v="No"/>
    <m/>
    <s v="Closed"/>
    <s v="April"/>
    <x v="3"/>
    <n v="2026"/>
    <s v="Yes"/>
    <n v="1"/>
    <x v="3"/>
    <n v="0"/>
  </r>
  <r>
    <s v="T002278"/>
    <x v="2104"/>
    <d v="2026-04-08T18:47:00"/>
    <x v="6"/>
    <s v="Phone"/>
    <x v="2"/>
    <s v="A052"/>
    <x v="1"/>
    <n v="4"/>
    <n v="2.6"/>
    <x v="0"/>
    <s v="Yes"/>
    <s v="No"/>
    <m/>
    <s v="Closed"/>
    <s v="April"/>
    <x v="3"/>
    <n v="2026"/>
    <s v="Yes"/>
    <n v="1"/>
    <x v="3"/>
    <n v="0"/>
  </r>
  <r>
    <s v="T002279"/>
    <x v="2105"/>
    <d v="2026-04-08T22:15:00"/>
    <x v="1"/>
    <s v="Phone"/>
    <x v="1"/>
    <s v="A059"/>
    <x v="1"/>
    <n v="24"/>
    <n v="5.9"/>
    <x v="1"/>
    <s v="No"/>
    <s v="No"/>
    <n v="5"/>
    <s v="Closed"/>
    <s v="April"/>
    <x v="3"/>
    <n v="2026"/>
    <s v="Yes"/>
    <n v="1"/>
    <x v="3"/>
    <n v="1"/>
  </r>
  <r>
    <s v="T002280"/>
    <x v="2106"/>
    <d v="2026-04-10T13:46:00"/>
    <x v="4"/>
    <s v="Phone"/>
    <x v="0"/>
    <s v="A006"/>
    <x v="0"/>
    <n v="72"/>
    <n v="43.8"/>
    <x v="0"/>
    <s v="No"/>
    <s v="No"/>
    <n v="5"/>
    <s v="Closed"/>
    <s v="April"/>
    <x v="3"/>
    <n v="2026"/>
    <s v="Yes"/>
    <n v="1"/>
    <x v="4"/>
    <n v="0"/>
  </r>
  <r>
    <s v="T002281"/>
    <x v="2107"/>
    <d v="2026-04-09T05:55:00"/>
    <x v="5"/>
    <s v="Email"/>
    <x v="1"/>
    <s v="A031"/>
    <x v="2"/>
    <n v="24"/>
    <n v="11.6"/>
    <x v="1"/>
    <s v="No"/>
    <s v="No"/>
    <n v="5"/>
    <s v="Closed"/>
    <s v="April"/>
    <x v="3"/>
    <n v="2026"/>
    <s v="Yes"/>
    <n v="1"/>
    <x v="0"/>
    <n v="1"/>
  </r>
  <r>
    <s v="T002282"/>
    <x v="2108"/>
    <d v="2026-04-09T05:17:00"/>
    <x v="5"/>
    <s v="Email"/>
    <x v="0"/>
    <s v="A059"/>
    <x v="1"/>
    <n v="72"/>
    <n v="10.3"/>
    <x v="1"/>
    <s v="No"/>
    <s v="No"/>
    <n v="5"/>
    <s v="Closed"/>
    <s v="April"/>
    <x v="3"/>
    <n v="2026"/>
    <s v="Yes"/>
    <n v="1"/>
    <x v="0"/>
    <n v="1"/>
  </r>
  <r>
    <s v="T002283"/>
    <x v="2109"/>
    <d v="2026-04-11T06:49:00"/>
    <x v="3"/>
    <s v="Phone"/>
    <x v="0"/>
    <s v="A009"/>
    <x v="0"/>
    <n v="72"/>
    <n v="56"/>
    <x v="1"/>
    <s v="No"/>
    <s v="No"/>
    <n v="5"/>
    <s v="Closed"/>
    <s v="April"/>
    <x v="3"/>
    <n v="2026"/>
    <s v="Yes"/>
    <n v="1"/>
    <x v="2"/>
    <n v="1"/>
  </r>
  <r>
    <s v="T002284"/>
    <x v="2110"/>
    <d v="2026-04-09T14:26:00"/>
    <x v="0"/>
    <s v="Chat"/>
    <x v="0"/>
    <s v="A008"/>
    <x v="0"/>
    <n v="72"/>
    <n v="10.1"/>
    <x v="0"/>
    <s v="No"/>
    <s v="No"/>
    <n v="2"/>
    <s v="Closed"/>
    <s v="April"/>
    <x v="3"/>
    <n v="2026"/>
    <s v="Yes"/>
    <n v="1"/>
    <x v="4"/>
    <n v="0"/>
  </r>
  <r>
    <s v="T002285"/>
    <x v="2111"/>
    <d v="2026-04-09T11:57:00"/>
    <x v="1"/>
    <s v="Phone"/>
    <x v="0"/>
    <s v="A035"/>
    <x v="2"/>
    <n v="72"/>
    <n v="7.3"/>
    <x v="1"/>
    <s v="No"/>
    <s v="No"/>
    <n v="3"/>
    <s v="Closed"/>
    <s v="April"/>
    <x v="3"/>
    <n v="2026"/>
    <s v="Yes"/>
    <n v="1"/>
    <x v="4"/>
    <n v="1"/>
  </r>
  <r>
    <s v="T002286"/>
    <x v="2112"/>
    <d v="2026-04-09T12:46:00"/>
    <x v="0"/>
    <s v="Chat"/>
    <x v="0"/>
    <s v="A022"/>
    <x v="2"/>
    <n v="72"/>
    <n v="6.5"/>
    <x v="1"/>
    <s v="No"/>
    <s v="No"/>
    <m/>
    <s v="Closed"/>
    <s v="April"/>
    <x v="3"/>
    <n v="2026"/>
    <s v="Yes"/>
    <n v="1"/>
    <x v="2"/>
    <n v="1"/>
  </r>
  <r>
    <s v="T002287"/>
    <x v="2113"/>
    <d v="2026-04-09T10:43:00"/>
    <x v="0"/>
    <s v="Phone"/>
    <x v="2"/>
    <s v="A011"/>
    <x v="0"/>
    <n v="4"/>
    <n v="3.4"/>
    <x v="1"/>
    <s v="No"/>
    <s v="Yes"/>
    <n v="5"/>
    <s v="Closed"/>
    <s v="April"/>
    <x v="3"/>
    <n v="2026"/>
    <s v="Yes"/>
    <n v="1"/>
    <x v="4"/>
    <n v="1"/>
  </r>
  <r>
    <s v="T002288"/>
    <x v="2114"/>
    <d v="2026-04-10T11:57:00"/>
    <x v="2"/>
    <s v="Field Visit"/>
    <x v="1"/>
    <s v="A039"/>
    <x v="1"/>
    <n v="24"/>
    <n v="26.4"/>
    <x v="1"/>
    <s v="No"/>
    <s v="No"/>
    <n v="3"/>
    <s v="Closed"/>
    <s v="April"/>
    <x v="3"/>
    <n v="2026"/>
    <s v="No"/>
    <n v="0"/>
    <x v="2"/>
    <n v="1"/>
  </r>
  <r>
    <s v="T002289"/>
    <x v="2115"/>
    <d v="2026-04-09T12:36:00"/>
    <x v="5"/>
    <s v="Chat"/>
    <x v="1"/>
    <s v="A006"/>
    <x v="0"/>
    <n v="24"/>
    <n v="1.7"/>
    <x v="0"/>
    <s v="Yes"/>
    <s v="No"/>
    <m/>
    <s v="Closed"/>
    <s v="April"/>
    <x v="3"/>
    <n v="2026"/>
    <s v="Yes"/>
    <n v="1"/>
    <x v="4"/>
    <n v="0"/>
  </r>
  <r>
    <s v="T002290"/>
    <x v="2116"/>
    <d v="2026-04-10T22:32:00"/>
    <x v="0"/>
    <s v="Email"/>
    <x v="1"/>
    <s v="A016"/>
    <x v="2"/>
    <n v="24"/>
    <n v="35.299999999999997"/>
    <x v="1"/>
    <s v="No"/>
    <s v="No"/>
    <n v="5"/>
    <s v="Closed"/>
    <s v="April"/>
    <x v="3"/>
    <n v="2026"/>
    <s v="No"/>
    <n v="0"/>
    <x v="0"/>
    <n v="1"/>
  </r>
  <r>
    <s v="T002291"/>
    <x v="2117"/>
    <d v="2026-04-10T04:39:00"/>
    <x v="6"/>
    <s v="Phone"/>
    <x v="1"/>
    <s v="A035"/>
    <x v="2"/>
    <n v="24"/>
    <n v="17.2"/>
    <x v="1"/>
    <s v="No"/>
    <s v="No"/>
    <n v="5"/>
    <s v="Closed"/>
    <s v="April"/>
    <x v="3"/>
    <n v="2026"/>
    <s v="Yes"/>
    <n v="1"/>
    <x v="4"/>
    <n v="1"/>
  </r>
  <r>
    <s v="T002292"/>
    <x v="2118"/>
    <d v="2026-04-10T04:26:00"/>
    <x v="0"/>
    <s v="Email"/>
    <x v="1"/>
    <s v="A025"/>
    <x v="2"/>
    <n v="24"/>
    <n v="16.3"/>
    <x v="0"/>
    <s v="Yes"/>
    <s v="No"/>
    <n v="3"/>
    <s v="Closed"/>
    <s v="April"/>
    <x v="3"/>
    <n v="2026"/>
    <s v="Yes"/>
    <n v="1"/>
    <x v="1"/>
    <n v="0"/>
  </r>
  <r>
    <s v="T002293"/>
    <x v="2119"/>
    <d v="2026-04-09T22:01:00"/>
    <x v="2"/>
    <s v="Chat"/>
    <x v="1"/>
    <s v="A044"/>
    <x v="1"/>
    <n v="24"/>
    <n v="9.3000000000000007"/>
    <x v="1"/>
    <s v="No"/>
    <s v="No"/>
    <m/>
    <s v="Closed"/>
    <s v="April"/>
    <x v="3"/>
    <n v="2026"/>
    <s v="Yes"/>
    <n v="1"/>
    <x v="4"/>
    <n v="1"/>
  </r>
  <r>
    <s v="T002294"/>
    <x v="2120"/>
    <d v="2026-04-10T22:25:00"/>
    <x v="0"/>
    <s v="Phone"/>
    <x v="0"/>
    <s v="A005"/>
    <x v="0"/>
    <n v="72"/>
    <n v="33.1"/>
    <x v="1"/>
    <s v="No"/>
    <s v="No"/>
    <n v="5"/>
    <s v="Closed"/>
    <s v="April"/>
    <x v="3"/>
    <n v="2026"/>
    <s v="Yes"/>
    <n v="1"/>
    <x v="4"/>
    <n v="1"/>
  </r>
  <r>
    <s v="T002295"/>
    <x v="2121"/>
    <d v="2026-04-10T16:38:00"/>
    <x v="3"/>
    <s v="Field Visit"/>
    <x v="0"/>
    <s v="A011"/>
    <x v="0"/>
    <n v="72"/>
    <n v="27.3"/>
    <x v="0"/>
    <s v="Yes"/>
    <s v="No"/>
    <m/>
    <s v="Closed"/>
    <s v="April"/>
    <x v="3"/>
    <n v="2026"/>
    <s v="Yes"/>
    <n v="1"/>
    <x v="0"/>
    <n v="0"/>
  </r>
  <r>
    <s v="T002296"/>
    <x v="2122"/>
    <d v="2026-04-09T17:23:00"/>
    <x v="1"/>
    <s v="Phone"/>
    <x v="0"/>
    <s v="A050"/>
    <x v="1"/>
    <n v="72"/>
    <n v="3.3"/>
    <x v="0"/>
    <s v="No"/>
    <s v="No"/>
    <n v="3"/>
    <s v="Closed"/>
    <s v="April"/>
    <x v="3"/>
    <n v="2026"/>
    <s v="Yes"/>
    <n v="1"/>
    <x v="2"/>
    <n v="0"/>
  </r>
  <r>
    <s v="T002297"/>
    <x v="2123"/>
    <d v="2026-04-10T02:25:00"/>
    <x v="6"/>
    <s v="Phone"/>
    <x v="1"/>
    <s v="A051"/>
    <x v="1"/>
    <n v="24"/>
    <n v="11.9"/>
    <x v="1"/>
    <s v="No"/>
    <s v="No"/>
    <m/>
    <s v="Closed"/>
    <s v="April"/>
    <x v="3"/>
    <n v="2026"/>
    <s v="Yes"/>
    <n v="1"/>
    <x v="3"/>
    <n v="1"/>
  </r>
  <r>
    <s v="T002298"/>
    <x v="2124"/>
    <d v="2026-04-10T05:54:00"/>
    <x v="2"/>
    <s v="Phone"/>
    <x v="1"/>
    <s v="A009"/>
    <x v="0"/>
    <n v="24"/>
    <n v="15"/>
    <x v="1"/>
    <s v="No"/>
    <s v="No"/>
    <n v="4"/>
    <s v="Closed"/>
    <s v="April"/>
    <x v="3"/>
    <n v="2026"/>
    <s v="Yes"/>
    <n v="1"/>
    <x v="4"/>
    <n v="1"/>
  </r>
  <r>
    <s v="T002299"/>
    <x v="2125"/>
    <d v="2026-04-09T17:44:00"/>
    <x v="2"/>
    <s v="Chat"/>
    <x v="1"/>
    <s v="A021"/>
    <x v="2"/>
    <n v="24"/>
    <n v="2.2000000000000002"/>
    <x v="1"/>
    <s v="No"/>
    <s v="No"/>
    <n v="5"/>
    <s v="Closed"/>
    <s v="April"/>
    <x v="3"/>
    <n v="2026"/>
    <s v="Yes"/>
    <n v="1"/>
    <x v="0"/>
    <n v="1"/>
  </r>
  <r>
    <s v="T002300"/>
    <x v="2126"/>
    <d v="2026-04-09T23:41:00"/>
    <x v="0"/>
    <s v="Chat"/>
    <x v="1"/>
    <s v="A014"/>
    <x v="0"/>
    <n v="24"/>
    <n v="7"/>
    <x v="1"/>
    <s v="No"/>
    <s v="No"/>
    <n v="4"/>
    <s v="Closed"/>
    <s v="April"/>
    <x v="3"/>
    <n v="2026"/>
    <s v="Yes"/>
    <n v="1"/>
    <x v="3"/>
    <n v="1"/>
  </r>
  <r>
    <s v="T002301"/>
    <x v="2127"/>
    <d v="2026-04-10T10:44:00"/>
    <x v="5"/>
    <s v="Chat"/>
    <x v="1"/>
    <s v="A010"/>
    <x v="0"/>
    <n v="24"/>
    <n v="17.899999999999999"/>
    <x v="0"/>
    <s v="No"/>
    <s v="No"/>
    <n v="5"/>
    <s v="Closed"/>
    <s v="April"/>
    <x v="3"/>
    <n v="2026"/>
    <s v="Yes"/>
    <n v="1"/>
    <x v="3"/>
    <n v="0"/>
  </r>
  <r>
    <s v="T002302"/>
    <x v="2128"/>
    <d v="2026-04-09T19:39:00"/>
    <x v="1"/>
    <s v="Phone"/>
    <x v="1"/>
    <s v="A055"/>
    <x v="1"/>
    <n v="24"/>
    <n v="2.5"/>
    <x v="1"/>
    <s v="No"/>
    <s v="No"/>
    <m/>
    <s v="Closed"/>
    <s v="April"/>
    <x v="3"/>
    <n v="2026"/>
    <s v="Yes"/>
    <n v="1"/>
    <x v="1"/>
    <n v="1"/>
  </r>
  <r>
    <s v="T002303"/>
    <x v="2129"/>
    <d v="2026-04-14T11:57:00"/>
    <x v="4"/>
    <s v="Field Visit"/>
    <x v="2"/>
    <s v="A058"/>
    <x v="1"/>
    <n v="4"/>
    <n v="108.7"/>
    <x v="1"/>
    <s v="No"/>
    <s v="No"/>
    <n v="4"/>
    <s v="Closed"/>
    <s v="April"/>
    <x v="3"/>
    <n v="2026"/>
    <s v="No"/>
    <n v="0"/>
    <x v="2"/>
    <n v="1"/>
  </r>
  <r>
    <s v="T002304"/>
    <x v="2130"/>
    <d v="2026-04-10T12:39:00"/>
    <x v="5"/>
    <s v="Chat"/>
    <x v="0"/>
    <s v="A018"/>
    <x v="2"/>
    <n v="72"/>
    <n v="7.8"/>
    <x v="1"/>
    <s v="No"/>
    <s v="No"/>
    <n v="5"/>
    <s v="Closed"/>
    <s v="April"/>
    <x v="3"/>
    <n v="2026"/>
    <s v="Yes"/>
    <n v="1"/>
    <x v="4"/>
    <n v="1"/>
  </r>
  <r>
    <s v="T002305"/>
    <x v="2131"/>
    <d v="2026-04-14T10:07:00"/>
    <x v="4"/>
    <s v="Field Visit"/>
    <x v="1"/>
    <s v="A054"/>
    <x v="1"/>
    <n v="24"/>
    <n v="101.2"/>
    <x v="1"/>
    <s v="No"/>
    <s v="No"/>
    <m/>
    <s v="Closed"/>
    <s v="April"/>
    <x v="3"/>
    <n v="2026"/>
    <s v="No"/>
    <n v="0"/>
    <x v="3"/>
    <n v="1"/>
  </r>
  <r>
    <s v="T002306"/>
    <x v="2132"/>
    <d v="2026-04-13T03:06:00"/>
    <x v="3"/>
    <s v="Field Visit"/>
    <x v="0"/>
    <s v="A048"/>
    <x v="1"/>
    <n v="72"/>
    <n v="68.599999999999994"/>
    <x v="0"/>
    <s v="Yes"/>
    <s v="No"/>
    <n v="4"/>
    <s v="Closed"/>
    <s v="April"/>
    <x v="3"/>
    <n v="2026"/>
    <s v="Yes"/>
    <n v="1"/>
    <x v="3"/>
    <n v="0"/>
  </r>
  <r>
    <s v="T002307"/>
    <x v="2133"/>
    <d v="2026-04-10T09:27:00"/>
    <x v="6"/>
    <s v="Chat"/>
    <x v="1"/>
    <s v="A039"/>
    <x v="1"/>
    <n v="24"/>
    <n v="1.7"/>
    <x v="1"/>
    <s v="No"/>
    <s v="No"/>
    <m/>
    <s v="Closed"/>
    <s v="April"/>
    <x v="3"/>
    <n v="2026"/>
    <s v="Yes"/>
    <n v="1"/>
    <x v="2"/>
    <n v="1"/>
  </r>
  <r>
    <s v="T002308"/>
    <x v="2134"/>
    <d v="2026-04-11T10:08:00"/>
    <x v="6"/>
    <s v="Phone"/>
    <x v="2"/>
    <s v="A041"/>
    <x v="1"/>
    <n v="4"/>
    <n v="26.1"/>
    <x v="1"/>
    <s v="No"/>
    <s v="Yes"/>
    <n v="4"/>
    <s v="Closed"/>
    <s v="April"/>
    <x v="3"/>
    <n v="2026"/>
    <s v="No"/>
    <n v="0"/>
    <x v="3"/>
    <n v="1"/>
  </r>
  <r>
    <s v="T002309"/>
    <x v="2135"/>
    <d v="2026-04-10T11:35:00"/>
    <x v="1"/>
    <s v="Chat"/>
    <x v="0"/>
    <s v="A029"/>
    <x v="2"/>
    <n v="72"/>
    <n v="3.2"/>
    <x v="0"/>
    <s v="Yes"/>
    <s v="No"/>
    <n v="4"/>
    <s v="Closed"/>
    <s v="April"/>
    <x v="3"/>
    <n v="2026"/>
    <s v="Yes"/>
    <n v="1"/>
    <x v="0"/>
    <n v="0"/>
  </r>
  <r>
    <s v="T002310"/>
    <x v="2136"/>
    <d v="2026-04-10T19:11:00"/>
    <x v="2"/>
    <s v="Phone"/>
    <x v="1"/>
    <s v="A018"/>
    <x v="2"/>
    <n v="24"/>
    <n v="9.6"/>
    <x v="1"/>
    <s v="No"/>
    <s v="No"/>
    <n v="5"/>
    <s v="Closed"/>
    <s v="April"/>
    <x v="3"/>
    <n v="2026"/>
    <s v="Yes"/>
    <n v="1"/>
    <x v="3"/>
    <n v="1"/>
  </r>
  <r>
    <s v="T002311"/>
    <x v="2137"/>
    <d v="2026-04-11T05:06:00"/>
    <x v="0"/>
    <s v="Email"/>
    <x v="0"/>
    <s v="A024"/>
    <x v="2"/>
    <n v="72"/>
    <n v="18.100000000000001"/>
    <x v="1"/>
    <s v="No"/>
    <s v="No"/>
    <n v="4"/>
    <s v="Closed"/>
    <s v="April"/>
    <x v="3"/>
    <n v="2026"/>
    <s v="Yes"/>
    <n v="1"/>
    <x v="3"/>
    <n v="1"/>
  </r>
  <r>
    <s v="T002312"/>
    <x v="2138"/>
    <d v="2026-04-10T17:49:00"/>
    <x v="1"/>
    <s v="Phone"/>
    <x v="1"/>
    <s v="A030"/>
    <x v="2"/>
    <n v="24"/>
    <n v="6.7"/>
    <x v="1"/>
    <s v="No"/>
    <s v="No"/>
    <n v="4"/>
    <s v="Closed"/>
    <s v="April"/>
    <x v="3"/>
    <n v="2026"/>
    <s v="Yes"/>
    <n v="1"/>
    <x v="3"/>
    <n v="1"/>
  </r>
  <r>
    <s v="T002313"/>
    <x v="2139"/>
    <d v="2026-04-10T20:21:00"/>
    <x v="6"/>
    <s v="Chat"/>
    <x v="2"/>
    <s v="A024"/>
    <x v="2"/>
    <n v="4"/>
    <n v="8.1"/>
    <x v="1"/>
    <s v="No"/>
    <s v="Yes"/>
    <m/>
    <s v="Closed"/>
    <s v="April"/>
    <x v="3"/>
    <n v="2026"/>
    <s v="No"/>
    <n v="0"/>
    <x v="3"/>
    <n v="1"/>
  </r>
  <r>
    <s v="T002314"/>
    <x v="2140"/>
    <d v="2026-04-13T06:17:00"/>
    <x v="4"/>
    <s v="Field Visit"/>
    <x v="0"/>
    <s v="A012"/>
    <x v="0"/>
    <n v="72"/>
    <n v="66"/>
    <x v="0"/>
    <s v="No"/>
    <s v="No"/>
    <n v="4"/>
    <s v="Closed"/>
    <s v="April"/>
    <x v="3"/>
    <n v="2026"/>
    <s v="Yes"/>
    <n v="1"/>
    <x v="2"/>
    <n v="0"/>
  </r>
  <r>
    <s v="T002315"/>
    <x v="2141"/>
    <d v="2026-04-10T17:36:00"/>
    <x v="6"/>
    <s v="Chat"/>
    <x v="0"/>
    <s v="A017"/>
    <x v="2"/>
    <n v="72"/>
    <n v="5.0999999999999996"/>
    <x v="1"/>
    <s v="No"/>
    <s v="No"/>
    <n v="5"/>
    <s v="Closed"/>
    <s v="April"/>
    <x v="3"/>
    <n v="2026"/>
    <s v="Yes"/>
    <n v="1"/>
    <x v="0"/>
    <n v="1"/>
  </r>
  <r>
    <s v="T002316"/>
    <x v="2142"/>
    <d v="2026-04-10T20:52:00"/>
    <x v="6"/>
    <s v="Phone"/>
    <x v="1"/>
    <s v="A043"/>
    <x v="1"/>
    <n v="24"/>
    <n v="8.1"/>
    <x v="1"/>
    <s v="No"/>
    <s v="No"/>
    <n v="3"/>
    <s v="Closed"/>
    <s v="April"/>
    <x v="3"/>
    <n v="2026"/>
    <s v="Yes"/>
    <n v="1"/>
    <x v="1"/>
    <n v="1"/>
  </r>
  <r>
    <s v="T002317"/>
    <x v="2143"/>
    <d v="2026-04-11T01:35:00"/>
    <x v="1"/>
    <s v="Phone"/>
    <x v="1"/>
    <s v="A050"/>
    <x v="1"/>
    <n v="24"/>
    <n v="12.8"/>
    <x v="1"/>
    <s v="No"/>
    <s v="No"/>
    <m/>
    <s v="Closed"/>
    <s v="April"/>
    <x v="3"/>
    <n v="2026"/>
    <s v="Yes"/>
    <n v="1"/>
    <x v="2"/>
    <n v="1"/>
  </r>
  <r>
    <s v="T002318"/>
    <x v="2144"/>
    <d v="2026-04-10T23:35:00"/>
    <x v="1"/>
    <s v="Phone"/>
    <x v="1"/>
    <s v="A047"/>
    <x v="1"/>
    <n v="24"/>
    <n v="10.199999999999999"/>
    <x v="1"/>
    <s v="No"/>
    <s v="No"/>
    <n v="5"/>
    <s v="Closed"/>
    <s v="April"/>
    <x v="3"/>
    <n v="2026"/>
    <s v="Yes"/>
    <n v="1"/>
    <x v="2"/>
    <n v="1"/>
  </r>
  <r>
    <s v="T002319"/>
    <x v="2145"/>
    <d v="2026-04-12T13:29:00"/>
    <x v="3"/>
    <s v="Field Visit"/>
    <x v="2"/>
    <s v="A011"/>
    <x v="0"/>
    <n v="4"/>
    <n v="47.6"/>
    <x v="1"/>
    <s v="No"/>
    <s v="Yes"/>
    <n v="5"/>
    <s v="Closed"/>
    <s v="April"/>
    <x v="3"/>
    <n v="2026"/>
    <s v="No"/>
    <n v="0"/>
    <x v="1"/>
    <n v="1"/>
  </r>
  <r>
    <s v="T002320"/>
    <x v="2146"/>
    <d v="2026-04-10T21:19:00"/>
    <x v="6"/>
    <s v="Field Visit"/>
    <x v="1"/>
    <s v="A040"/>
    <x v="1"/>
    <n v="24"/>
    <n v="7.4"/>
    <x v="1"/>
    <s v="No"/>
    <s v="No"/>
    <m/>
    <s v="Closed"/>
    <s v="April"/>
    <x v="3"/>
    <n v="2026"/>
    <s v="Yes"/>
    <n v="1"/>
    <x v="4"/>
    <n v="1"/>
  </r>
  <r>
    <s v="T002321"/>
    <x v="2147"/>
    <d v="2026-04-11T05:10:00"/>
    <x v="3"/>
    <s v="Phone"/>
    <x v="2"/>
    <s v="A026"/>
    <x v="2"/>
    <n v="4"/>
    <n v="14.9"/>
    <x v="0"/>
    <s v="Yes"/>
    <s v="Yes"/>
    <n v="3"/>
    <s v="Closed"/>
    <s v="April"/>
    <x v="3"/>
    <n v="2026"/>
    <s v="No"/>
    <n v="0"/>
    <x v="0"/>
    <n v="0"/>
  </r>
  <r>
    <s v="T002322"/>
    <x v="2148"/>
    <d v="2026-04-10T22:55:00"/>
    <x v="0"/>
    <s v="Chat"/>
    <x v="2"/>
    <s v="A004"/>
    <x v="0"/>
    <n v="4"/>
    <n v="8.4"/>
    <x v="0"/>
    <s v="Yes"/>
    <s v="No"/>
    <n v="2"/>
    <s v="Closed"/>
    <s v="April"/>
    <x v="3"/>
    <n v="2026"/>
    <s v="No"/>
    <n v="0"/>
    <x v="3"/>
    <n v="0"/>
  </r>
  <r>
    <s v="T002323"/>
    <x v="2149"/>
    <d v="2026-04-10T16:48:00"/>
    <x v="1"/>
    <s v="Phone"/>
    <x v="1"/>
    <s v="A011"/>
    <x v="0"/>
    <n v="24"/>
    <n v="1.5"/>
    <x v="0"/>
    <s v="No"/>
    <s v="No"/>
    <m/>
    <s v="Closed"/>
    <s v="April"/>
    <x v="3"/>
    <n v="2026"/>
    <s v="Yes"/>
    <n v="1"/>
    <x v="3"/>
    <n v="0"/>
  </r>
  <r>
    <s v="T002324"/>
    <x v="2150"/>
    <d v="2026-04-11T07:08:00"/>
    <x v="1"/>
    <s v="Email"/>
    <x v="0"/>
    <s v="A031"/>
    <x v="2"/>
    <n v="72"/>
    <n v="15.5"/>
    <x v="0"/>
    <s v="Yes"/>
    <s v="No"/>
    <n v="3"/>
    <s v="Closed"/>
    <s v="April"/>
    <x v="3"/>
    <n v="2026"/>
    <s v="Yes"/>
    <n v="1"/>
    <x v="3"/>
    <n v="0"/>
  </r>
  <r>
    <s v="T002325"/>
    <x v="2151"/>
    <d v="2026-04-11T07:48:00"/>
    <x v="6"/>
    <s v="Chat"/>
    <x v="0"/>
    <s v="A011"/>
    <x v="0"/>
    <n v="72"/>
    <n v="15.2"/>
    <x v="1"/>
    <s v="No"/>
    <s v="No"/>
    <n v="5"/>
    <s v="Closed"/>
    <s v="April"/>
    <x v="3"/>
    <n v="2026"/>
    <s v="Yes"/>
    <n v="1"/>
    <x v="1"/>
    <n v="1"/>
  </r>
  <r>
    <s v="T002326"/>
    <x v="2152"/>
    <d v="2026-04-11T02:46:00"/>
    <x v="2"/>
    <s v="Chat"/>
    <x v="0"/>
    <s v="A054"/>
    <x v="1"/>
    <n v="72"/>
    <n v="6.9"/>
    <x v="0"/>
    <s v="No"/>
    <s v="No"/>
    <n v="3"/>
    <s v="Closed"/>
    <s v="April"/>
    <x v="3"/>
    <n v="2026"/>
    <s v="Yes"/>
    <n v="1"/>
    <x v="4"/>
    <n v="0"/>
  </r>
  <r>
    <s v="T002327"/>
    <x v="2153"/>
    <d v="2026-04-14T14:40:00"/>
    <x v="3"/>
    <s v="Email"/>
    <x v="0"/>
    <s v="A009"/>
    <x v="0"/>
    <n v="72"/>
    <n v="89.8"/>
    <x v="1"/>
    <s v="No"/>
    <s v="No"/>
    <n v="3"/>
    <s v="Closed"/>
    <s v="April"/>
    <x v="3"/>
    <n v="2026"/>
    <s v="No"/>
    <n v="0"/>
    <x v="3"/>
    <n v="1"/>
  </r>
  <r>
    <s v="T002328"/>
    <x v="2154"/>
    <d v="2026-04-17T01:46:00"/>
    <x v="3"/>
    <s v="Field Visit"/>
    <x v="1"/>
    <s v="A058"/>
    <x v="1"/>
    <n v="24"/>
    <n v="140.69999999999999"/>
    <x v="0"/>
    <s v="No"/>
    <s v="No"/>
    <n v="4"/>
    <s v="Closed"/>
    <s v="April"/>
    <x v="3"/>
    <n v="2026"/>
    <s v="No"/>
    <n v="0"/>
    <x v="1"/>
    <n v="0"/>
  </r>
  <r>
    <s v="T002329"/>
    <x v="2155"/>
    <d v="2026-04-11T14:26:00"/>
    <x v="6"/>
    <s v="Chat"/>
    <x v="2"/>
    <s v="A032"/>
    <x v="2"/>
    <n v="4"/>
    <n v="4.5999999999999996"/>
    <x v="0"/>
    <s v="Yes"/>
    <s v="No"/>
    <m/>
    <s v="Closed"/>
    <s v="April"/>
    <x v="3"/>
    <n v="2026"/>
    <s v="No"/>
    <n v="0"/>
    <x v="3"/>
    <n v="0"/>
  </r>
  <r>
    <s v="T002330"/>
    <x v="2156"/>
    <d v="2026-04-11T15:44:00"/>
    <x v="0"/>
    <s v="Phone"/>
    <x v="0"/>
    <s v="A036"/>
    <x v="1"/>
    <n v="72"/>
    <n v="5.6"/>
    <x v="0"/>
    <s v="Yes"/>
    <s v="No"/>
    <n v="4"/>
    <s v="Closed"/>
    <s v="April"/>
    <x v="3"/>
    <n v="2026"/>
    <s v="Yes"/>
    <n v="1"/>
    <x v="4"/>
    <n v="0"/>
  </r>
  <r>
    <s v="T002331"/>
    <x v="2157"/>
    <d v="2026-04-12T00:45:00"/>
    <x v="3"/>
    <s v="Phone"/>
    <x v="1"/>
    <s v="A026"/>
    <x v="2"/>
    <n v="24"/>
    <n v="14.1"/>
    <x v="1"/>
    <s v="No"/>
    <s v="No"/>
    <m/>
    <s v="Closed"/>
    <s v="April"/>
    <x v="3"/>
    <n v="2026"/>
    <s v="Yes"/>
    <n v="1"/>
    <x v="2"/>
    <n v="1"/>
  </r>
  <r>
    <s v="T002332"/>
    <x v="2158"/>
    <d v="2026-04-11T20:16:00"/>
    <x v="0"/>
    <s v="Chat"/>
    <x v="0"/>
    <s v="A035"/>
    <x v="2"/>
    <n v="72"/>
    <n v="7.7"/>
    <x v="0"/>
    <s v="No"/>
    <s v="No"/>
    <n v="1"/>
    <s v="Closed"/>
    <s v="April"/>
    <x v="3"/>
    <n v="2026"/>
    <s v="Yes"/>
    <n v="1"/>
    <x v="1"/>
    <n v="0"/>
  </r>
  <r>
    <s v="T002333"/>
    <x v="2159"/>
    <d v="2026-04-13T02:52:00"/>
    <x v="0"/>
    <s v="Chat"/>
    <x v="1"/>
    <s v="A014"/>
    <x v="0"/>
    <n v="24"/>
    <n v="37.700000000000003"/>
    <x v="1"/>
    <s v="No"/>
    <s v="No"/>
    <m/>
    <s v="Closed"/>
    <s v="April"/>
    <x v="3"/>
    <n v="2026"/>
    <s v="No"/>
    <n v="0"/>
    <x v="2"/>
    <n v="1"/>
  </r>
  <r>
    <s v="T002334"/>
    <x v="2160"/>
    <d v="2026-04-12T13:34:00"/>
    <x v="0"/>
    <s v="Phone"/>
    <x v="2"/>
    <s v="A016"/>
    <x v="2"/>
    <n v="4"/>
    <n v="24.3"/>
    <x v="1"/>
    <s v="No"/>
    <s v="Yes"/>
    <m/>
    <s v="Closed"/>
    <s v="April"/>
    <x v="3"/>
    <n v="2026"/>
    <s v="No"/>
    <n v="0"/>
    <x v="2"/>
    <n v="1"/>
  </r>
  <r>
    <s v="T002335"/>
    <x v="2161"/>
    <d v="2026-04-13T00:39:00"/>
    <x v="0"/>
    <s v="Email"/>
    <x v="1"/>
    <s v="A040"/>
    <x v="1"/>
    <n v="24"/>
    <n v="35.200000000000003"/>
    <x v="1"/>
    <s v="No"/>
    <s v="No"/>
    <m/>
    <s v="Closed"/>
    <s v="April"/>
    <x v="3"/>
    <n v="2026"/>
    <s v="No"/>
    <n v="0"/>
    <x v="3"/>
    <n v="1"/>
  </r>
  <r>
    <s v="T002336"/>
    <x v="2162"/>
    <d v="2026-04-11T21:47:00"/>
    <x v="2"/>
    <s v="Chat"/>
    <x v="0"/>
    <s v="A018"/>
    <x v="2"/>
    <n v="72"/>
    <n v="7.8"/>
    <x v="1"/>
    <s v="No"/>
    <s v="No"/>
    <n v="5"/>
    <s v="Closed"/>
    <s v="April"/>
    <x v="3"/>
    <n v="2026"/>
    <s v="Yes"/>
    <n v="1"/>
    <x v="4"/>
    <n v="1"/>
  </r>
  <r>
    <s v="T002337"/>
    <x v="2163"/>
    <d v="2026-04-11T23:45:00"/>
    <x v="2"/>
    <s v="Chat"/>
    <x v="0"/>
    <s v="A010"/>
    <x v="0"/>
    <n v="72"/>
    <n v="9"/>
    <x v="0"/>
    <s v="No"/>
    <s v="No"/>
    <n v="2"/>
    <s v="Closed"/>
    <s v="April"/>
    <x v="3"/>
    <n v="2026"/>
    <s v="Yes"/>
    <n v="1"/>
    <x v="1"/>
    <n v="0"/>
  </r>
  <r>
    <s v="T002338"/>
    <x v="2164"/>
    <d v="2026-04-11T19:14:00"/>
    <x v="6"/>
    <s v="Phone"/>
    <x v="2"/>
    <s v="A022"/>
    <x v="2"/>
    <n v="4"/>
    <n v="4.0999999999999996"/>
    <x v="0"/>
    <s v="Yes"/>
    <s v="No"/>
    <n v="4"/>
    <s v="Closed"/>
    <s v="April"/>
    <x v="3"/>
    <n v="2026"/>
    <s v="No"/>
    <n v="0"/>
    <x v="1"/>
    <n v="0"/>
  </r>
  <r>
    <s v="T002339"/>
    <x v="2165"/>
    <d v="2026-04-12T00:07:00"/>
    <x v="1"/>
    <s v="Phone"/>
    <x v="0"/>
    <s v="A056"/>
    <x v="1"/>
    <n v="72"/>
    <n v="8.4"/>
    <x v="1"/>
    <s v="No"/>
    <s v="Yes"/>
    <n v="5"/>
    <s v="Closed"/>
    <s v="April"/>
    <x v="3"/>
    <n v="2026"/>
    <s v="Yes"/>
    <n v="1"/>
    <x v="1"/>
    <n v="1"/>
  </r>
  <r>
    <s v="T002340"/>
    <x v="2166"/>
    <d v="2026-04-15T18:10:00"/>
    <x v="5"/>
    <s v="Field Visit"/>
    <x v="0"/>
    <s v="A050"/>
    <x v="1"/>
    <n v="72"/>
    <n v="97.2"/>
    <x v="1"/>
    <s v="No"/>
    <s v="No"/>
    <n v="5"/>
    <s v="Closed"/>
    <s v="April"/>
    <x v="3"/>
    <n v="2026"/>
    <s v="No"/>
    <n v="0"/>
    <x v="3"/>
    <n v="1"/>
  </r>
  <r>
    <s v="T002341"/>
    <x v="2167"/>
    <d v="2026-04-12T09:29:00"/>
    <x v="6"/>
    <s v="Field Visit"/>
    <x v="2"/>
    <s v="A039"/>
    <x v="1"/>
    <n v="4"/>
    <n v="16.399999999999999"/>
    <x v="1"/>
    <s v="No"/>
    <s v="No"/>
    <n v="4"/>
    <s v="Closed"/>
    <s v="April"/>
    <x v="3"/>
    <n v="2026"/>
    <s v="No"/>
    <n v="0"/>
    <x v="2"/>
    <n v="1"/>
  </r>
  <r>
    <s v="T002342"/>
    <x v="2168"/>
    <d v="2026-04-12T02:06:00"/>
    <x v="5"/>
    <s v="Chat"/>
    <x v="0"/>
    <s v="A028"/>
    <x v="2"/>
    <n v="72"/>
    <n v="9"/>
    <x v="0"/>
    <s v="Yes"/>
    <s v="No"/>
    <n v="3"/>
    <s v="Closed"/>
    <s v="April"/>
    <x v="3"/>
    <n v="2026"/>
    <s v="Yes"/>
    <n v="1"/>
    <x v="1"/>
    <n v="0"/>
  </r>
  <r>
    <s v="T002343"/>
    <x v="2169"/>
    <d v="2026-04-12T06:14:00"/>
    <x v="1"/>
    <s v="Chat"/>
    <x v="2"/>
    <s v="A002"/>
    <x v="0"/>
    <n v="4"/>
    <n v="12.9"/>
    <x v="1"/>
    <s v="No"/>
    <s v="Yes"/>
    <n v="3"/>
    <s v="Closed"/>
    <s v="April"/>
    <x v="3"/>
    <n v="2026"/>
    <s v="No"/>
    <n v="0"/>
    <x v="1"/>
    <n v="1"/>
  </r>
  <r>
    <s v="T002344"/>
    <x v="2170"/>
    <d v="2026-04-12T01:29:00"/>
    <x v="1"/>
    <s v="Phone"/>
    <x v="0"/>
    <s v="A041"/>
    <x v="1"/>
    <n v="72"/>
    <n v="6.9"/>
    <x v="1"/>
    <s v="No"/>
    <s v="No"/>
    <n v="5"/>
    <s v="Closed"/>
    <s v="April"/>
    <x v="3"/>
    <n v="2026"/>
    <s v="Yes"/>
    <n v="1"/>
    <x v="2"/>
    <n v="1"/>
  </r>
  <r>
    <s v="T002345"/>
    <x v="2171"/>
    <d v="2026-04-12T06:16:00"/>
    <x v="5"/>
    <s v="Phone"/>
    <x v="1"/>
    <s v="A029"/>
    <x v="2"/>
    <n v="24"/>
    <n v="6.3"/>
    <x v="1"/>
    <s v="No"/>
    <s v="No"/>
    <n v="3"/>
    <s v="Closed"/>
    <s v="April"/>
    <x v="3"/>
    <n v="2026"/>
    <s v="Yes"/>
    <n v="1"/>
    <x v="2"/>
    <n v="1"/>
  </r>
  <r>
    <s v="T002346"/>
    <x v="2172"/>
    <d v="2026-04-12T08:41:00"/>
    <x v="6"/>
    <s v="Phone"/>
    <x v="1"/>
    <s v="A018"/>
    <x v="2"/>
    <n v="24"/>
    <n v="5.7"/>
    <x v="1"/>
    <s v="No"/>
    <s v="No"/>
    <n v="5"/>
    <s v="Closed"/>
    <s v="April"/>
    <x v="3"/>
    <n v="2026"/>
    <s v="Yes"/>
    <n v="1"/>
    <x v="1"/>
    <n v="1"/>
  </r>
  <r>
    <s v="T002347"/>
    <x v="2173"/>
    <d v="2026-04-12T11:32:00"/>
    <x v="3"/>
    <s v="Phone"/>
    <x v="2"/>
    <s v="A042"/>
    <x v="1"/>
    <n v="4"/>
    <n v="7.6"/>
    <x v="1"/>
    <s v="No"/>
    <s v="No"/>
    <n v="5"/>
    <s v="Closed"/>
    <s v="April"/>
    <x v="3"/>
    <n v="2026"/>
    <s v="No"/>
    <n v="0"/>
    <x v="4"/>
    <n v="1"/>
  </r>
  <r>
    <s v="T002348"/>
    <x v="2174"/>
    <d v="2026-04-12T13:39:00"/>
    <x v="6"/>
    <s v="Field Visit"/>
    <x v="1"/>
    <s v="A017"/>
    <x v="2"/>
    <n v="24"/>
    <n v="9.1"/>
    <x v="1"/>
    <s v="No"/>
    <s v="No"/>
    <n v="4"/>
    <s v="Closed"/>
    <s v="April"/>
    <x v="3"/>
    <n v="2026"/>
    <s v="Yes"/>
    <n v="1"/>
    <x v="4"/>
    <n v="1"/>
  </r>
  <r>
    <s v="T002349"/>
    <x v="2175"/>
    <d v="2026-04-12T17:43:00"/>
    <x v="6"/>
    <s v="Chat"/>
    <x v="2"/>
    <s v="A059"/>
    <x v="1"/>
    <n v="4"/>
    <n v="10"/>
    <x v="0"/>
    <s v="No"/>
    <s v="Yes"/>
    <n v="4"/>
    <s v="Closed"/>
    <s v="April"/>
    <x v="3"/>
    <n v="2026"/>
    <s v="No"/>
    <n v="0"/>
    <x v="4"/>
    <n v="0"/>
  </r>
  <r>
    <s v="T002350"/>
    <x v="2176"/>
    <d v="2026-04-13T02:33:00"/>
    <x v="5"/>
    <s v="Phone"/>
    <x v="1"/>
    <s v="A048"/>
    <x v="1"/>
    <n v="24"/>
    <n v="17.3"/>
    <x v="1"/>
    <s v="No"/>
    <s v="No"/>
    <m/>
    <s v="Closed"/>
    <s v="April"/>
    <x v="3"/>
    <n v="2026"/>
    <s v="Yes"/>
    <n v="1"/>
    <x v="1"/>
    <n v="1"/>
  </r>
  <r>
    <s v="T002351"/>
    <x v="2177"/>
    <d v="2026-04-12T22:10:00"/>
    <x v="6"/>
    <s v="Chat"/>
    <x v="1"/>
    <s v="A007"/>
    <x v="0"/>
    <n v="24"/>
    <n v="11.7"/>
    <x v="0"/>
    <s v="Yes"/>
    <s v="Yes"/>
    <m/>
    <s v="Closed"/>
    <s v="April"/>
    <x v="3"/>
    <n v="2026"/>
    <s v="Yes"/>
    <n v="1"/>
    <x v="0"/>
    <n v="0"/>
  </r>
  <r>
    <s v="T002352"/>
    <x v="2178"/>
    <d v="2026-04-13T02:56:00"/>
    <x v="5"/>
    <s v="Phone"/>
    <x v="1"/>
    <s v="A057"/>
    <x v="1"/>
    <n v="24"/>
    <n v="14.8"/>
    <x v="1"/>
    <s v="No"/>
    <s v="No"/>
    <m/>
    <s v="Closed"/>
    <s v="April"/>
    <x v="3"/>
    <n v="2026"/>
    <s v="Yes"/>
    <n v="1"/>
    <x v="4"/>
    <n v="1"/>
  </r>
  <r>
    <s v="T002353"/>
    <x v="2179"/>
    <d v="2026-04-13T07:19:00"/>
    <x v="0"/>
    <s v="Phone"/>
    <x v="1"/>
    <s v="A049"/>
    <x v="1"/>
    <n v="24"/>
    <n v="17.899999999999999"/>
    <x v="1"/>
    <s v="No"/>
    <s v="No"/>
    <m/>
    <s v="Closed"/>
    <s v="April"/>
    <x v="3"/>
    <n v="2026"/>
    <s v="Yes"/>
    <n v="1"/>
    <x v="1"/>
    <n v="1"/>
  </r>
  <r>
    <s v="T002354"/>
    <x v="2180"/>
    <d v="2026-04-12T22:27:00"/>
    <x v="1"/>
    <s v="Phone"/>
    <x v="1"/>
    <s v="A052"/>
    <x v="1"/>
    <n v="24"/>
    <n v="9"/>
    <x v="1"/>
    <s v="No"/>
    <s v="No"/>
    <n v="5"/>
    <s v="Closed"/>
    <s v="April"/>
    <x v="3"/>
    <n v="2026"/>
    <s v="Yes"/>
    <n v="1"/>
    <x v="1"/>
    <n v="1"/>
  </r>
  <r>
    <s v="T002355"/>
    <x v="2181"/>
    <d v="2026-04-13T06:56:00"/>
    <x v="3"/>
    <s v="Chat"/>
    <x v="0"/>
    <s v="A021"/>
    <x v="2"/>
    <n v="72"/>
    <n v="16.8"/>
    <x v="1"/>
    <s v="No"/>
    <s v="No"/>
    <m/>
    <s v="Closed"/>
    <s v="April"/>
    <x v="3"/>
    <n v="2026"/>
    <s v="Yes"/>
    <n v="1"/>
    <x v="4"/>
    <n v="1"/>
  </r>
  <r>
    <s v="T002356"/>
    <x v="2182"/>
    <d v="2026-04-13T19:32:00"/>
    <x v="3"/>
    <s v="Phone"/>
    <x v="0"/>
    <s v="A059"/>
    <x v="1"/>
    <n v="72"/>
    <n v="29.3"/>
    <x v="0"/>
    <s v="Yes"/>
    <s v="Yes"/>
    <n v="3"/>
    <s v="Closed"/>
    <s v="April"/>
    <x v="3"/>
    <n v="2026"/>
    <s v="Yes"/>
    <n v="1"/>
    <x v="0"/>
    <n v="0"/>
  </r>
  <r>
    <s v="T002357"/>
    <x v="2183"/>
    <d v="2026-04-14T05:20:00"/>
    <x v="2"/>
    <s v="Field Visit"/>
    <x v="0"/>
    <s v="A060"/>
    <x v="1"/>
    <n v="72"/>
    <n v="38.700000000000003"/>
    <x v="1"/>
    <s v="No"/>
    <s v="No"/>
    <n v="5"/>
    <s v="Closed"/>
    <s v="April"/>
    <x v="3"/>
    <n v="2026"/>
    <s v="Yes"/>
    <n v="1"/>
    <x v="1"/>
    <n v="1"/>
  </r>
  <r>
    <s v="T002358"/>
    <x v="2184"/>
    <d v="2026-04-12T18:22:00"/>
    <x v="2"/>
    <s v="Phone"/>
    <x v="0"/>
    <s v="A038"/>
    <x v="1"/>
    <n v="72"/>
    <n v="3.4"/>
    <x v="1"/>
    <s v="No"/>
    <s v="No"/>
    <m/>
    <s v="Closed"/>
    <s v="April"/>
    <x v="3"/>
    <n v="2026"/>
    <s v="Yes"/>
    <n v="1"/>
    <x v="3"/>
    <n v="1"/>
  </r>
  <r>
    <s v="T002359"/>
    <x v="2185"/>
    <d v="2026-04-20T06:45:00"/>
    <x v="3"/>
    <s v="Field Visit"/>
    <x v="1"/>
    <s v="A002"/>
    <x v="0"/>
    <n v="24"/>
    <n v="183.6"/>
    <x v="1"/>
    <s v="No"/>
    <s v="No"/>
    <m/>
    <s v="Closed"/>
    <s v="April"/>
    <x v="3"/>
    <n v="2026"/>
    <s v="No"/>
    <n v="0"/>
    <x v="1"/>
    <n v="1"/>
  </r>
  <r>
    <s v="T002360"/>
    <x v="2186"/>
    <d v="2026-04-14T07:48:00"/>
    <x v="0"/>
    <s v="Email"/>
    <x v="1"/>
    <s v="A053"/>
    <x v="1"/>
    <n v="24"/>
    <n v="40"/>
    <x v="1"/>
    <s v="No"/>
    <s v="No"/>
    <n v="3"/>
    <s v="Closed"/>
    <s v="April"/>
    <x v="3"/>
    <n v="2026"/>
    <s v="No"/>
    <n v="0"/>
    <x v="4"/>
    <n v="1"/>
  </r>
  <r>
    <s v="T002361"/>
    <x v="2187"/>
    <d v="2026-04-12T22:01:00"/>
    <x v="6"/>
    <s v="Chat"/>
    <x v="1"/>
    <s v="A011"/>
    <x v="0"/>
    <n v="24"/>
    <n v="1.3"/>
    <x v="1"/>
    <s v="No"/>
    <s v="No"/>
    <m/>
    <s v="Closed"/>
    <s v="April"/>
    <x v="3"/>
    <n v="2026"/>
    <s v="Yes"/>
    <n v="1"/>
    <x v="4"/>
    <n v="1"/>
  </r>
  <r>
    <s v="T002362"/>
    <x v="2188"/>
    <d v="2026-04-13T00:15:00"/>
    <x v="1"/>
    <s v="Chat"/>
    <x v="1"/>
    <s v="A041"/>
    <x v="1"/>
    <n v="24"/>
    <n v="2.9"/>
    <x v="0"/>
    <s v="Yes"/>
    <s v="No"/>
    <n v="5"/>
    <s v="Closed"/>
    <s v="April"/>
    <x v="3"/>
    <n v="2026"/>
    <s v="Yes"/>
    <n v="1"/>
    <x v="1"/>
    <n v="0"/>
  </r>
  <r>
    <s v="T002363"/>
    <x v="2189"/>
    <d v="2026-04-13T11:41:00"/>
    <x v="0"/>
    <s v="Phone"/>
    <x v="1"/>
    <s v="A024"/>
    <x v="2"/>
    <n v="24"/>
    <n v="12.3"/>
    <x v="1"/>
    <s v="No"/>
    <s v="No"/>
    <n v="4"/>
    <s v="Closed"/>
    <s v="April"/>
    <x v="3"/>
    <n v="2026"/>
    <s v="Yes"/>
    <n v="1"/>
    <x v="0"/>
    <n v="1"/>
  </r>
  <r>
    <s v="T002364"/>
    <x v="2190"/>
    <d v="2026-04-13T15:46:00"/>
    <x v="3"/>
    <s v="Phone"/>
    <x v="0"/>
    <s v="A020"/>
    <x v="2"/>
    <n v="72"/>
    <n v="12.3"/>
    <x v="1"/>
    <s v="No"/>
    <s v="No"/>
    <n v="5"/>
    <s v="Closed"/>
    <s v="April"/>
    <x v="3"/>
    <n v="2026"/>
    <s v="Yes"/>
    <n v="1"/>
    <x v="2"/>
    <n v="1"/>
  </r>
  <r>
    <s v="T002365"/>
    <x v="2191"/>
    <d v="2026-04-14T06:06:00"/>
    <x v="3"/>
    <s v="Phone"/>
    <x v="1"/>
    <s v="A047"/>
    <x v="1"/>
    <n v="24"/>
    <n v="26.3"/>
    <x v="1"/>
    <s v="No"/>
    <s v="No"/>
    <n v="3"/>
    <s v="Closed"/>
    <s v="April"/>
    <x v="3"/>
    <n v="2026"/>
    <s v="No"/>
    <n v="0"/>
    <x v="1"/>
    <n v="1"/>
  </r>
  <r>
    <s v="T002366"/>
    <x v="2192"/>
    <d v="2026-04-13T17:05:00"/>
    <x v="0"/>
    <s v="Email"/>
    <x v="0"/>
    <s v="A046"/>
    <x v="1"/>
    <n v="72"/>
    <n v="10.1"/>
    <x v="0"/>
    <s v="No"/>
    <s v="No"/>
    <m/>
    <s v="Closed"/>
    <s v="April"/>
    <x v="3"/>
    <n v="2026"/>
    <s v="Yes"/>
    <n v="1"/>
    <x v="4"/>
    <n v="0"/>
  </r>
  <r>
    <s v="T002367"/>
    <x v="2193"/>
    <d v="2026-04-13T17:32:00"/>
    <x v="2"/>
    <s v="Chat"/>
    <x v="1"/>
    <s v="A006"/>
    <x v="0"/>
    <n v="24"/>
    <n v="9.8000000000000007"/>
    <x v="1"/>
    <s v="No"/>
    <s v="No"/>
    <n v="5"/>
    <s v="Closed"/>
    <s v="April"/>
    <x v="3"/>
    <n v="2026"/>
    <s v="Yes"/>
    <n v="1"/>
    <x v="2"/>
    <n v="1"/>
  </r>
  <r>
    <s v="T002368"/>
    <x v="2194"/>
    <d v="2026-04-13T19:01:00"/>
    <x v="1"/>
    <s v="Email"/>
    <x v="1"/>
    <s v="A010"/>
    <x v="0"/>
    <n v="24"/>
    <n v="10.9"/>
    <x v="1"/>
    <s v="No"/>
    <s v="No"/>
    <n v="5"/>
    <s v="Closed"/>
    <s v="April"/>
    <x v="3"/>
    <n v="2026"/>
    <s v="Yes"/>
    <n v="1"/>
    <x v="3"/>
    <n v="1"/>
  </r>
  <r>
    <s v="T002369"/>
    <x v="2195"/>
    <d v="2026-04-13T13:50:00"/>
    <x v="1"/>
    <s v="Chat"/>
    <x v="1"/>
    <s v="A006"/>
    <x v="0"/>
    <n v="24"/>
    <n v="5.6"/>
    <x v="0"/>
    <s v="No"/>
    <s v="No"/>
    <n v="4"/>
    <s v="Closed"/>
    <s v="April"/>
    <x v="3"/>
    <n v="2026"/>
    <s v="Yes"/>
    <n v="1"/>
    <x v="3"/>
    <n v="0"/>
  </r>
  <r>
    <s v="T002370"/>
    <x v="2196"/>
    <d v="2026-04-14T21:40:00"/>
    <x v="3"/>
    <s v="Field Visit"/>
    <x v="2"/>
    <s v="A046"/>
    <x v="1"/>
    <n v="4"/>
    <n v="36.799999999999997"/>
    <x v="1"/>
    <s v="No"/>
    <s v="Yes"/>
    <n v="4"/>
    <s v="Closed"/>
    <s v="April"/>
    <x v="3"/>
    <n v="2026"/>
    <s v="No"/>
    <n v="0"/>
    <x v="4"/>
    <n v="1"/>
  </r>
  <r>
    <s v="T002371"/>
    <x v="2197"/>
    <d v="2026-04-13T14:29:00"/>
    <x v="1"/>
    <s v="Chat"/>
    <x v="0"/>
    <s v="A041"/>
    <x v="1"/>
    <n v="72"/>
    <n v="5.3"/>
    <x v="0"/>
    <s v="Yes"/>
    <s v="No"/>
    <n v="2"/>
    <s v="Closed"/>
    <s v="April"/>
    <x v="3"/>
    <n v="2026"/>
    <s v="Yes"/>
    <n v="1"/>
    <x v="2"/>
    <n v="0"/>
  </r>
  <r>
    <s v="T002372"/>
    <x v="2198"/>
    <d v="2026-04-13T15:49:00"/>
    <x v="1"/>
    <s v="Phone"/>
    <x v="1"/>
    <s v="A005"/>
    <x v="0"/>
    <n v="24"/>
    <n v="6.3"/>
    <x v="1"/>
    <s v="No"/>
    <s v="No"/>
    <n v="5"/>
    <s v="Closed"/>
    <s v="April"/>
    <x v="3"/>
    <n v="2026"/>
    <s v="Yes"/>
    <n v="1"/>
    <x v="1"/>
    <n v="1"/>
  </r>
  <r>
    <s v="T002373"/>
    <x v="2199"/>
    <d v="2026-04-13T14:53:00"/>
    <x v="6"/>
    <s v="Phone"/>
    <x v="1"/>
    <s v="A027"/>
    <x v="2"/>
    <n v="24"/>
    <n v="3.8"/>
    <x v="1"/>
    <s v="No"/>
    <s v="No"/>
    <n v="4"/>
    <s v="Closed"/>
    <s v="April"/>
    <x v="3"/>
    <n v="2026"/>
    <s v="Yes"/>
    <n v="1"/>
    <x v="2"/>
    <n v="1"/>
  </r>
  <r>
    <s v="T002374"/>
    <x v="2200"/>
    <d v="2026-04-13T19:34:00"/>
    <x v="6"/>
    <s v="Chat"/>
    <x v="1"/>
    <s v="A007"/>
    <x v="0"/>
    <n v="24"/>
    <n v="7.9"/>
    <x v="1"/>
    <s v="No"/>
    <s v="No"/>
    <m/>
    <s v="Closed"/>
    <s v="April"/>
    <x v="3"/>
    <n v="2026"/>
    <s v="Yes"/>
    <n v="1"/>
    <x v="2"/>
    <n v="1"/>
  </r>
  <r>
    <s v="T002375"/>
    <x v="2201"/>
    <d v="2026-04-13T21:08:00"/>
    <x v="3"/>
    <s v="Chat"/>
    <x v="1"/>
    <s v="A020"/>
    <x v="2"/>
    <n v="24"/>
    <n v="8.9"/>
    <x v="1"/>
    <s v="No"/>
    <s v="No"/>
    <m/>
    <s v="Closed"/>
    <s v="April"/>
    <x v="3"/>
    <n v="2026"/>
    <s v="Yes"/>
    <n v="1"/>
    <x v="4"/>
    <n v="1"/>
  </r>
  <r>
    <s v="T002376"/>
    <x v="2202"/>
    <d v="2026-04-13T15:09:00"/>
    <x v="5"/>
    <s v="Chat"/>
    <x v="1"/>
    <s v="A055"/>
    <x v="1"/>
    <n v="24"/>
    <n v="2.6"/>
    <x v="1"/>
    <s v="No"/>
    <s v="No"/>
    <n v="5"/>
    <s v="Closed"/>
    <s v="April"/>
    <x v="3"/>
    <n v="2026"/>
    <s v="Yes"/>
    <n v="1"/>
    <x v="3"/>
    <n v="1"/>
  </r>
  <r>
    <s v="T002377"/>
    <x v="2203"/>
    <d v="2026-04-13T22:25:00"/>
    <x v="1"/>
    <s v="Phone"/>
    <x v="1"/>
    <s v="A011"/>
    <x v="0"/>
    <n v="24"/>
    <n v="9.5"/>
    <x v="0"/>
    <s v="No"/>
    <s v="No"/>
    <m/>
    <s v="Closed"/>
    <s v="April"/>
    <x v="3"/>
    <n v="2026"/>
    <s v="Yes"/>
    <n v="1"/>
    <x v="3"/>
    <n v="0"/>
  </r>
  <r>
    <s v="T002378"/>
    <x v="2204"/>
    <d v="2026-04-13T18:31:00"/>
    <x v="1"/>
    <s v="Phone"/>
    <x v="0"/>
    <s v="A052"/>
    <x v="1"/>
    <n v="72"/>
    <n v="4.9000000000000004"/>
    <x v="1"/>
    <s v="No"/>
    <s v="No"/>
    <m/>
    <s v="Closed"/>
    <s v="April"/>
    <x v="3"/>
    <n v="2026"/>
    <s v="Yes"/>
    <n v="1"/>
    <x v="2"/>
    <n v="1"/>
  </r>
  <r>
    <s v="T002379"/>
    <x v="2205"/>
    <d v="2026-04-14T09:24:00"/>
    <x v="3"/>
    <s v="Email"/>
    <x v="2"/>
    <s v="A053"/>
    <x v="1"/>
    <n v="4"/>
    <n v="19.5"/>
    <x v="1"/>
    <s v="No"/>
    <s v="No"/>
    <n v="3"/>
    <s v="Closed"/>
    <s v="April"/>
    <x v="3"/>
    <n v="2026"/>
    <s v="No"/>
    <n v="0"/>
    <x v="0"/>
    <n v="1"/>
  </r>
  <r>
    <s v="T002380"/>
    <x v="2206"/>
    <d v="2026-04-20T21:07:00"/>
    <x v="4"/>
    <s v="Field Visit"/>
    <x v="1"/>
    <s v="A050"/>
    <x v="1"/>
    <n v="24"/>
    <n v="174.2"/>
    <x v="0"/>
    <s v="Yes"/>
    <s v="No"/>
    <m/>
    <s v="Closed"/>
    <s v="April"/>
    <x v="3"/>
    <n v="2026"/>
    <s v="No"/>
    <n v="0"/>
    <x v="4"/>
    <n v="0"/>
  </r>
  <r>
    <s v="T002381"/>
    <x v="2207"/>
    <d v="2026-04-14T04:27:00"/>
    <x v="5"/>
    <s v="Phone"/>
    <x v="2"/>
    <s v="A029"/>
    <x v="2"/>
    <n v="4"/>
    <n v="13.5"/>
    <x v="1"/>
    <s v="No"/>
    <s v="No"/>
    <m/>
    <s v="Closed"/>
    <s v="April"/>
    <x v="3"/>
    <n v="2026"/>
    <s v="No"/>
    <n v="0"/>
    <x v="2"/>
    <n v="1"/>
  </r>
  <r>
    <s v="T002382"/>
    <x v="2208"/>
    <d v="2026-04-14T20:10:00"/>
    <x v="0"/>
    <s v="Email"/>
    <x v="0"/>
    <s v="A022"/>
    <x v="2"/>
    <n v="72"/>
    <n v="29.1"/>
    <x v="0"/>
    <s v="No"/>
    <s v="Yes"/>
    <m/>
    <s v="Closed"/>
    <s v="April"/>
    <x v="3"/>
    <n v="2026"/>
    <s v="Yes"/>
    <n v="1"/>
    <x v="4"/>
    <n v="0"/>
  </r>
  <r>
    <s v="T002383"/>
    <x v="2209"/>
    <d v="2026-04-14T07:39:00"/>
    <x v="1"/>
    <s v="Email"/>
    <x v="0"/>
    <s v="A036"/>
    <x v="1"/>
    <n v="72"/>
    <n v="16.5"/>
    <x v="1"/>
    <s v="No"/>
    <s v="No"/>
    <n v="3"/>
    <s v="Closed"/>
    <s v="April"/>
    <x v="3"/>
    <n v="2026"/>
    <s v="Yes"/>
    <n v="1"/>
    <x v="3"/>
    <n v="1"/>
  </r>
  <r>
    <s v="T002384"/>
    <x v="2210"/>
    <d v="2026-04-16T21:43:00"/>
    <x v="2"/>
    <s v="Phone"/>
    <x v="0"/>
    <s v="A039"/>
    <x v="1"/>
    <n v="72"/>
    <n v="78.5"/>
    <x v="1"/>
    <s v="No"/>
    <s v="No"/>
    <n v="3"/>
    <s v="Closed"/>
    <s v="April"/>
    <x v="3"/>
    <n v="2026"/>
    <s v="No"/>
    <n v="0"/>
    <x v="2"/>
    <n v="1"/>
  </r>
  <r>
    <s v="T002385"/>
    <x v="2210"/>
    <d v="2026-04-16T03:31:00"/>
    <x v="3"/>
    <s v="Field Visit"/>
    <x v="0"/>
    <s v="A005"/>
    <x v="0"/>
    <n v="72"/>
    <n v="60.3"/>
    <x v="0"/>
    <s v="Yes"/>
    <s v="No"/>
    <n v="4"/>
    <s v="Closed"/>
    <s v="April"/>
    <x v="3"/>
    <n v="2026"/>
    <s v="Yes"/>
    <n v="1"/>
    <x v="4"/>
    <n v="0"/>
  </r>
  <r>
    <s v="T002386"/>
    <x v="2211"/>
    <d v="2026-04-14T00:48:00"/>
    <x v="1"/>
    <s v="Email"/>
    <x v="0"/>
    <s v="A033"/>
    <x v="2"/>
    <n v="72"/>
    <n v="9.5"/>
    <x v="1"/>
    <s v="No"/>
    <s v="No"/>
    <n v="4"/>
    <s v="Closed"/>
    <s v="April"/>
    <x v="3"/>
    <n v="2026"/>
    <s v="Yes"/>
    <n v="1"/>
    <x v="4"/>
    <n v="1"/>
  </r>
  <r>
    <s v="T002387"/>
    <x v="2212"/>
    <d v="2026-04-14T09:54:00"/>
    <x v="2"/>
    <s v="Field Visit"/>
    <x v="0"/>
    <s v="A045"/>
    <x v="1"/>
    <n v="72"/>
    <n v="18.399999999999999"/>
    <x v="1"/>
    <s v="No"/>
    <s v="No"/>
    <m/>
    <s v="Closed"/>
    <s v="April"/>
    <x v="3"/>
    <n v="2026"/>
    <s v="Yes"/>
    <n v="1"/>
    <x v="0"/>
    <n v="1"/>
  </r>
  <r>
    <s v="T002388"/>
    <x v="2213"/>
    <d v="2026-04-13T23:48:00"/>
    <x v="1"/>
    <s v="Email"/>
    <x v="0"/>
    <s v="A027"/>
    <x v="2"/>
    <n v="72"/>
    <n v="8.1999999999999993"/>
    <x v="1"/>
    <s v="No"/>
    <s v="No"/>
    <m/>
    <s v="Closed"/>
    <s v="April"/>
    <x v="3"/>
    <n v="2026"/>
    <s v="Yes"/>
    <n v="1"/>
    <x v="0"/>
    <n v="1"/>
  </r>
  <r>
    <s v="T002389"/>
    <x v="2214"/>
    <d v="2026-04-14T14:31:00"/>
    <x v="0"/>
    <s v="Email"/>
    <x v="0"/>
    <s v="A020"/>
    <x v="2"/>
    <n v="72"/>
    <n v="22.4"/>
    <x v="0"/>
    <s v="No"/>
    <s v="No"/>
    <m/>
    <s v="Closed"/>
    <s v="April"/>
    <x v="3"/>
    <n v="2026"/>
    <s v="Yes"/>
    <n v="1"/>
    <x v="4"/>
    <n v="0"/>
  </r>
  <r>
    <s v="T002390"/>
    <x v="2215"/>
    <d v="2026-04-13T23:56:00"/>
    <x v="1"/>
    <s v="Phone"/>
    <x v="0"/>
    <s v="A040"/>
    <x v="1"/>
    <n v="72"/>
    <n v="7.5"/>
    <x v="1"/>
    <s v="No"/>
    <s v="No"/>
    <n v="5"/>
    <s v="Closed"/>
    <s v="April"/>
    <x v="3"/>
    <n v="2026"/>
    <s v="Yes"/>
    <n v="1"/>
    <x v="2"/>
    <n v="1"/>
  </r>
  <r>
    <s v="T002391"/>
    <x v="2216"/>
    <d v="2026-04-13T20:18:00"/>
    <x v="5"/>
    <s v="Chat"/>
    <x v="1"/>
    <s v="A002"/>
    <x v="0"/>
    <n v="24"/>
    <n v="3.2"/>
    <x v="0"/>
    <s v="No"/>
    <s v="No"/>
    <n v="4"/>
    <s v="Closed"/>
    <s v="April"/>
    <x v="3"/>
    <n v="2026"/>
    <s v="Yes"/>
    <n v="1"/>
    <x v="3"/>
    <n v="0"/>
  </r>
  <r>
    <s v="T002392"/>
    <x v="2217"/>
    <d v="2026-04-13T22:19:00"/>
    <x v="1"/>
    <s v="Phone"/>
    <x v="2"/>
    <s v="A054"/>
    <x v="1"/>
    <n v="4"/>
    <n v="5"/>
    <x v="1"/>
    <s v="No"/>
    <s v="Yes"/>
    <n v="4"/>
    <s v="Closed"/>
    <s v="April"/>
    <x v="3"/>
    <n v="2026"/>
    <s v="No"/>
    <n v="0"/>
    <x v="4"/>
    <n v="1"/>
  </r>
  <r>
    <s v="T002393"/>
    <x v="2218"/>
    <d v="2026-04-14T04:19:00"/>
    <x v="6"/>
    <s v="Chat"/>
    <x v="0"/>
    <s v="A044"/>
    <x v="1"/>
    <n v="72"/>
    <n v="10.4"/>
    <x v="0"/>
    <s v="Yes"/>
    <s v="No"/>
    <m/>
    <s v="Closed"/>
    <s v="April"/>
    <x v="3"/>
    <n v="2026"/>
    <s v="Yes"/>
    <n v="1"/>
    <x v="2"/>
    <n v="0"/>
  </r>
  <r>
    <s v="T002394"/>
    <x v="2219"/>
    <d v="2026-04-13T23:30:00"/>
    <x v="1"/>
    <s v="Phone"/>
    <x v="1"/>
    <s v="A037"/>
    <x v="1"/>
    <n v="24"/>
    <n v="5.3"/>
    <x v="1"/>
    <s v="No"/>
    <s v="No"/>
    <m/>
    <s v="Closed"/>
    <s v="April"/>
    <x v="3"/>
    <n v="2026"/>
    <s v="Yes"/>
    <n v="1"/>
    <x v="4"/>
    <n v="1"/>
  </r>
  <r>
    <s v="T002395"/>
    <x v="2220"/>
    <d v="2026-04-14T10:21:00"/>
    <x v="6"/>
    <s v="Phone"/>
    <x v="2"/>
    <s v="A003"/>
    <x v="0"/>
    <n v="4"/>
    <n v="15.6"/>
    <x v="0"/>
    <s v="Yes"/>
    <s v="No"/>
    <n v="1"/>
    <s v="Closed"/>
    <s v="April"/>
    <x v="3"/>
    <n v="2026"/>
    <s v="No"/>
    <n v="0"/>
    <x v="3"/>
    <n v="0"/>
  </r>
  <r>
    <s v="T002396"/>
    <x v="2221"/>
    <d v="2026-04-14T21:13:00"/>
    <x v="0"/>
    <s v="Chat"/>
    <x v="1"/>
    <s v="A036"/>
    <x v="1"/>
    <n v="24"/>
    <n v="13.9"/>
    <x v="1"/>
    <s v="No"/>
    <s v="No"/>
    <m/>
    <s v="Closed"/>
    <s v="April"/>
    <x v="3"/>
    <n v="2026"/>
    <s v="Yes"/>
    <n v="1"/>
    <x v="2"/>
    <n v="1"/>
  </r>
  <r>
    <s v="T002397"/>
    <x v="2222"/>
    <d v="2026-04-15T03:44:00"/>
    <x v="1"/>
    <s v="Email"/>
    <x v="1"/>
    <s v="A053"/>
    <x v="1"/>
    <n v="24"/>
    <n v="19.399999999999999"/>
    <x v="0"/>
    <s v="Yes"/>
    <s v="No"/>
    <n v="4"/>
    <s v="Closed"/>
    <s v="April"/>
    <x v="3"/>
    <n v="2026"/>
    <s v="Yes"/>
    <n v="1"/>
    <x v="1"/>
    <n v="0"/>
  </r>
  <r>
    <s v="T002398"/>
    <x v="2223"/>
    <d v="2026-04-14T14:07:00"/>
    <x v="6"/>
    <s v="Phone"/>
    <x v="2"/>
    <s v="A027"/>
    <x v="2"/>
    <n v="4"/>
    <n v="5.3"/>
    <x v="1"/>
    <s v="No"/>
    <s v="No"/>
    <n v="3"/>
    <s v="Closed"/>
    <s v="April"/>
    <x v="3"/>
    <n v="2026"/>
    <s v="No"/>
    <n v="0"/>
    <x v="4"/>
    <n v="1"/>
  </r>
  <r>
    <s v="T002399"/>
    <x v="2224"/>
    <d v="2026-04-14T21:41:00"/>
    <x v="1"/>
    <s v="Phone"/>
    <x v="0"/>
    <s v="A057"/>
    <x v="1"/>
    <n v="72"/>
    <n v="12.1"/>
    <x v="1"/>
    <s v="No"/>
    <s v="No"/>
    <n v="5"/>
    <s v="Closed"/>
    <s v="April"/>
    <x v="3"/>
    <n v="2026"/>
    <s v="Yes"/>
    <n v="1"/>
    <x v="4"/>
    <n v="1"/>
  </r>
  <r>
    <s v="T002400"/>
    <x v="2225"/>
    <d v="2026-04-14T16:31:00"/>
    <x v="1"/>
    <s v="Chat"/>
    <x v="1"/>
    <s v="A051"/>
    <x v="1"/>
    <n v="24"/>
    <n v="6.6"/>
    <x v="1"/>
    <s v="No"/>
    <s v="No"/>
    <n v="5"/>
    <s v="Closed"/>
    <s v="April"/>
    <x v="3"/>
    <n v="2026"/>
    <s v="Yes"/>
    <n v="1"/>
    <x v="4"/>
    <n v="1"/>
  </r>
  <r>
    <s v="T002401"/>
    <x v="2226"/>
    <d v="2026-04-14T15:10:00"/>
    <x v="1"/>
    <s v="Phone"/>
    <x v="2"/>
    <s v="A038"/>
    <x v="1"/>
    <n v="4"/>
    <n v="5.2"/>
    <x v="1"/>
    <s v="No"/>
    <s v="Yes"/>
    <m/>
    <s v="Closed"/>
    <s v="April"/>
    <x v="3"/>
    <n v="2026"/>
    <s v="No"/>
    <n v="0"/>
    <x v="1"/>
    <n v="1"/>
  </r>
  <r>
    <s v="T002402"/>
    <x v="2227"/>
    <d v="2026-04-14T18:19:00"/>
    <x v="0"/>
    <s v="Phone"/>
    <x v="1"/>
    <s v="A014"/>
    <x v="0"/>
    <n v="24"/>
    <n v="8.3000000000000007"/>
    <x v="0"/>
    <s v="No"/>
    <s v="No"/>
    <n v="4"/>
    <s v="Closed"/>
    <s v="April"/>
    <x v="3"/>
    <n v="2026"/>
    <s v="Yes"/>
    <n v="1"/>
    <x v="4"/>
    <n v="0"/>
  </r>
  <r>
    <s v="T002403"/>
    <x v="2228"/>
    <d v="2026-04-14T16:33:00"/>
    <x v="0"/>
    <s v="Phone"/>
    <x v="1"/>
    <s v="A030"/>
    <x v="2"/>
    <n v="24"/>
    <n v="6.4"/>
    <x v="1"/>
    <s v="No"/>
    <s v="No"/>
    <n v="4"/>
    <s v="Closed"/>
    <s v="April"/>
    <x v="3"/>
    <n v="2026"/>
    <s v="Yes"/>
    <n v="1"/>
    <x v="3"/>
    <n v="1"/>
  </r>
  <r>
    <s v="T002404"/>
    <x v="2229"/>
    <d v="2026-04-14T17:25:00"/>
    <x v="5"/>
    <s v="Phone"/>
    <x v="1"/>
    <s v="A033"/>
    <x v="2"/>
    <n v="24"/>
    <n v="7"/>
    <x v="1"/>
    <s v="No"/>
    <s v="No"/>
    <n v="5"/>
    <s v="Closed"/>
    <s v="April"/>
    <x v="3"/>
    <n v="2026"/>
    <s v="Yes"/>
    <n v="1"/>
    <x v="3"/>
    <n v="1"/>
  </r>
  <r>
    <s v="T002405"/>
    <x v="2230"/>
    <d v="2026-04-15T07:57:00"/>
    <x v="0"/>
    <s v="Email"/>
    <x v="1"/>
    <s v="A056"/>
    <x v="1"/>
    <n v="24"/>
    <n v="20.9"/>
    <x v="1"/>
    <s v="No"/>
    <s v="No"/>
    <n v="4"/>
    <s v="Closed"/>
    <s v="April"/>
    <x v="3"/>
    <n v="2026"/>
    <s v="Yes"/>
    <n v="1"/>
    <x v="3"/>
    <n v="1"/>
  </r>
  <r>
    <s v="T002406"/>
    <x v="2231"/>
    <d v="2026-04-14T19:21:00"/>
    <x v="1"/>
    <s v="Phone"/>
    <x v="0"/>
    <s v="A022"/>
    <x v="2"/>
    <n v="72"/>
    <n v="8.1999999999999993"/>
    <x v="1"/>
    <s v="No"/>
    <s v="No"/>
    <n v="4"/>
    <s v="Closed"/>
    <s v="April"/>
    <x v="3"/>
    <n v="2026"/>
    <s v="Yes"/>
    <n v="1"/>
    <x v="2"/>
    <n v="1"/>
  </r>
  <r>
    <s v="T002407"/>
    <x v="2232"/>
    <d v="2026-04-15T13:13:00"/>
    <x v="1"/>
    <s v="Email"/>
    <x v="0"/>
    <s v="A034"/>
    <x v="2"/>
    <n v="72"/>
    <n v="25.9"/>
    <x v="0"/>
    <s v="Yes"/>
    <s v="No"/>
    <m/>
    <s v="Closed"/>
    <s v="April"/>
    <x v="3"/>
    <n v="2026"/>
    <s v="Yes"/>
    <n v="1"/>
    <x v="2"/>
    <n v="0"/>
  </r>
  <r>
    <s v="T002408"/>
    <x v="2233"/>
    <d v="2026-04-15T16:51:00"/>
    <x v="0"/>
    <s v="Phone"/>
    <x v="1"/>
    <s v="A022"/>
    <x v="2"/>
    <n v="24"/>
    <n v="29.5"/>
    <x v="1"/>
    <s v="No"/>
    <s v="No"/>
    <n v="4"/>
    <s v="Closed"/>
    <s v="April"/>
    <x v="3"/>
    <n v="2026"/>
    <s v="No"/>
    <n v="0"/>
    <x v="0"/>
    <n v="1"/>
  </r>
  <r>
    <s v="T002409"/>
    <x v="2234"/>
    <d v="2026-04-15T00:52:00"/>
    <x v="3"/>
    <s v="Chat"/>
    <x v="1"/>
    <s v="A005"/>
    <x v="0"/>
    <n v="24"/>
    <n v="13.4"/>
    <x v="1"/>
    <s v="No"/>
    <s v="No"/>
    <m/>
    <s v="Closed"/>
    <s v="April"/>
    <x v="3"/>
    <n v="2026"/>
    <s v="Yes"/>
    <n v="1"/>
    <x v="3"/>
    <n v="1"/>
  </r>
  <r>
    <s v="T002410"/>
    <x v="2235"/>
    <d v="2026-04-14T22:35:00"/>
    <x v="6"/>
    <s v="Field Visit"/>
    <x v="2"/>
    <s v="A043"/>
    <x v="1"/>
    <n v="4"/>
    <n v="10.8"/>
    <x v="1"/>
    <s v="No"/>
    <s v="No"/>
    <n v="4"/>
    <s v="Closed"/>
    <s v="April"/>
    <x v="3"/>
    <n v="2026"/>
    <s v="No"/>
    <n v="0"/>
    <x v="1"/>
    <n v="1"/>
  </r>
  <r>
    <s v="T002411"/>
    <x v="2236"/>
    <d v="2026-04-15T08:34:00"/>
    <x v="2"/>
    <s v="Field Visit"/>
    <x v="1"/>
    <s v="A052"/>
    <x v="1"/>
    <n v="24"/>
    <n v="20.399999999999999"/>
    <x v="1"/>
    <s v="No"/>
    <s v="No"/>
    <n v="5"/>
    <s v="Closed"/>
    <s v="April"/>
    <x v="3"/>
    <n v="2026"/>
    <s v="Yes"/>
    <n v="1"/>
    <x v="1"/>
    <n v="1"/>
  </r>
  <r>
    <s v="T002412"/>
    <x v="2237"/>
    <d v="2026-04-16T08:17:00"/>
    <x v="6"/>
    <s v="Field Visit"/>
    <x v="1"/>
    <s v="A003"/>
    <x v="0"/>
    <n v="24"/>
    <n v="43.8"/>
    <x v="1"/>
    <s v="No"/>
    <s v="Yes"/>
    <n v="3"/>
    <s v="Closed"/>
    <s v="April"/>
    <x v="3"/>
    <n v="2026"/>
    <s v="No"/>
    <n v="0"/>
    <x v="1"/>
    <n v="1"/>
  </r>
  <r>
    <s v="T002413"/>
    <x v="2238"/>
    <d v="2026-04-15T00:21:00"/>
    <x v="1"/>
    <s v="Phone"/>
    <x v="0"/>
    <s v="A059"/>
    <x v="1"/>
    <n v="72"/>
    <n v="11.5"/>
    <x v="1"/>
    <s v="No"/>
    <s v="No"/>
    <n v="5"/>
    <s v="Closed"/>
    <s v="April"/>
    <x v="3"/>
    <n v="2026"/>
    <s v="Yes"/>
    <n v="1"/>
    <x v="2"/>
    <n v="1"/>
  </r>
  <r>
    <s v="T002414"/>
    <x v="2239"/>
    <d v="2026-04-16T04:47:00"/>
    <x v="0"/>
    <s v="Field Visit"/>
    <x v="1"/>
    <s v="A058"/>
    <x v="1"/>
    <n v="24"/>
    <n v="38.799999999999997"/>
    <x v="1"/>
    <s v="No"/>
    <s v="No"/>
    <n v="4"/>
    <s v="Closed"/>
    <s v="April"/>
    <x v="3"/>
    <n v="2026"/>
    <s v="No"/>
    <n v="0"/>
    <x v="3"/>
    <n v="1"/>
  </r>
  <r>
    <s v="T002415"/>
    <x v="2240"/>
    <d v="2026-04-14T19:50:00"/>
    <x v="0"/>
    <s v="Chat"/>
    <x v="1"/>
    <s v="A027"/>
    <x v="2"/>
    <n v="24"/>
    <n v="5.3"/>
    <x v="0"/>
    <s v="No"/>
    <s v="No"/>
    <m/>
    <s v="Closed"/>
    <s v="April"/>
    <x v="3"/>
    <n v="2026"/>
    <s v="Yes"/>
    <n v="1"/>
    <x v="0"/>
    <n v="0"/>
  </r>
  <r>
    <s v="T002416"/>
    <x v="2241"/>
    <d v="2026-04-15T17:00:00"/>
    <x v="3"/>
    <s v="Field Visit"/>
    <x v="1"/>
    <s v="A001"/>
    <x v="0"/>
    <n v="24"/>
    <n v="26.2"/>
    <x v="1"/>
    <s v="No"/>
    <s v="No"/>
    <n v="5"/>
    <s v="Closed"/>
    <s v="April"/>
    <x v="3"/>
    <n v="2026"/>
    <s v="No"/>
    <n v="0"/>
    <x v="4"/>
    <n v="1"/>
  </r>
  <r>
    <s v="T002417"/>
    <x v="2242"/>
    <d v="2026-04-15T07:18:00"/>
    <x v="6"/>
    <s v="Field Visit"/>
    <x v="2"/>
    <s v="A015"/>
    <x v="0"/>
    <n v="4"/>
    <n v="16.399999999999999"/>
    <x v="0"/>
    <s v="Yes"/>
    <s v="No"/>
    <m/>
    <s v="Closed"/>
    <s v="April"/>
    <x v="3"/>
    <n v="2026"/>
    <s v="No"/>
    <n v="0"/>
    <x v="0"/>
    <n v="0"/>
  </r>
  <r>
    <s v="T002418"/>
    <x v="2243"/>
    <d v="2026-04-15T03:37:00"/>
    <x v="0"/>
    <s v="Chat"/>
    <x v="0"/>
    <s v="A003"/>
    <x v="0"/>
    <n v="72"/>
    <n v="12.1"/>
    <x v="1"/>
    <s v="No"/>
    <s v="No"/>
    <n v="5"/>
    <s v="Closed"/>
    <s v="April"/>
    <x v="3"/>
    <n v="2026"/>
    <s v="Yes"/>
    <n v="1"/>
    <x v="1"/>
    <n v="1"/>
  </r>
  <r>
    <s v="T002419"/>
    <x v="2244"/>
    <d v="2026-04-17T19:03:00"/>
    <x v="4"/>
    <s v="Field Visit"/>
    <x v="1"/>
    <s v="A032"/>
    <x v="2"/>
    <n v="24"/>
    <n v="75"/>
    <x v="0"/>
    <s v="No"/>
    <s v="No"/>
    <m/>
    <s v="Closed"/>
    <s v="April"/>
    <x v="3"/>
    <n v="2026"/>
    <s v="No"/>
    <n v="0"/>
    <x v="0"/>
    <n v="0"/>
  </r>
  <r>
    <s v="T002420"/>
    <x v="2245"/>
    <d v="2026-04-14T21:00:00"/>
    <x v="5"/>
    <s v="Phone"/>
    <x v="1"/>
    <s v="A053"/>
    <x v="1"/>
    <n v="24"/>
    <n v="2.1"/>
    <x v="1"/>
    <s v="No"/>
    <s v="No"/>
    <m/>
    <s v="Closed"/>
    <s v="April"/>
    <x v="3"/>
    <n v="2026"/>
    <s v="Yes"/>
    <n v="1"/>
    <x v="3"/>
    <n v="1"/>
  </r>
  <r>
    <s v="T002421"/>
    <x v="2246"/>
    <d v="2026-04-15T12:51:00"/>
    <x v="2"/>
    <s v="Email"/>
    <x v="0"/>
    <s v="A038"/>
    <x v="1"/>
    <n v="72"/>
    <n v="17.2"/>
    <x v="1"/>
    <s v="No"/>
    <s v="No"/>
    <m/>
    <s v="Closed"/>
    <s v="April"/>
    <x v="3"/>
    <n v="2026"/>
    <s v="Yes"/>
    <n v="1"/>
    <x v="0"/>
    <n v="1"/>
  </r>
  <r>
    <s v="T002422"/>
    <x v="2247"/>
    <d v="2026-04-15T12:02:00"/>
    <x v="5"/>
    <s v="Phone"/>
    <x v="2"/>
    <s v="A030"/>
    <x v="2"/>
    <n v="4"/>
    <n v="5.4"/>
    <x v="1"/>
    <s v="No"/>
    <s v="Yes"/>
    <m/>
    <s v="Closed"/>
    <s v="April"/>
    <x v="3"/>
    <n v="2026"/>
    <s v="No"/>
    <n v="0"/>
    <x v="0"/>
    <n v="1"/>
  </r>
  <r>
    <s v="T002423"/>
    <x v="2248"/>
    <d v="2026-04-15T16:51:00"/>
    <x v="2"/>
    <s v="Phone"/>
    <x v="0"/>
    <s v="A023"/>
    <x v="2"/>
    <n v="72"/>
    <n v="9.8000000000000007"/>
    <x v="1"/>
    <s v="No"/>
    <s v="Yes"/>
    <m/>
    <s v="Closed"/>
    <s v="April"/>
    <x v="3"/>
    <n v="2026"/>
    <s v="Yes"/>
    <n v="1"/>
    <x v="0"/>
    <n v="1"/>
  </r>
  <r>
    <s v="T002424"/>
    <x v="2249"/>
    <d v="2026-04-15T13:46:00"/>
    <x v="6"/>
    <s v="Chat"/>
    <x v="1"/>
    <s v="A015"/>
    <x v="0"/>
    <n v="24"/>
    <n v="6.7"/>
    <x v="1"/>
    <s v="No"/>
    <s v="No"/>
    <m/>
    <s v="Closed"/>
    <s v="April"/>
    <x v="3"/>
    <n v="2026"/>
    <s v="Yes"/>
    <n v="1"/>
    <x v="3"/>
    <n v="1"/>
  </r>
  <r>
    <s v="T002425"/>
    <x v="2250"/>
    <d v="2026-04-16T04:27:00"/>
    <x v="0"/>
    <s v="Phone"/>
    <x v="0"/>
    <s v="A035"/>
    <x v="2"/>
    <n v="72"/>
    <n v="21.1"/>
    <x v="0"/>
    <s v="Yes"/>
    <s v="No"/>
    <n v="3"/>
    <s v="Closed"/>
    <s v="April"/>
    <x v="3"/>
    <n v="2026"/>
    <s v="Yes"/>
    <n v="1"/>
    <x v="3"/>
    <n v="0"/>
  </r>
  <r>
    <s v="T002426"/>
    <x v="2251"/>
    <d v="2026-04-15T14:30:00"/>
    <x v="1"/>
    <s v="Phone"/>
    <x v="0"/>
    <s v="A048"/>
    <x v="1"/>
    <n v="72"/>
    <n v="5.2"/>
    <x v="1"/>
    <s v="No"/>
    <s v="No"/>
    <m/>
    <s v="Closed"/>
    <s v="April"/>
    <x v="3"/>
    <n v="2026"/>
    <s v="Yes"/>
    <n v="1"/>
    <x v="0"/>
    <n v="1"/>
  </r>
  <r>
    <s v="T002427"/>
    <x v="2252"/>
    <d v="2026-04-16T08:51:00"/>
    <x v="0"/>
    <s v="Phone"/>
    <x v="1"/>
    <s v="A046"/>
    <x v="1"/>
    <n v="24"/>
    <n v="23.4"/>
    <x v="1"/>
    <s v="No"/>
    <s v="No"/>
    <n v="4"/>
    <s v="Closed"/>
    <s v="April"/>
    <x v="3"/>
    <n v="2026"/>
    <s v="Yes"/>
    <n v="1"/>
    <x v="3"/>
    <n v="1"/>
  </r>
  <r>
    <s v="T002428"/>
    <x v="2253"/>
    <d v="2026-04-15T16:18:00"/>
    <x v="0"/>
    <s v="Chat"/>
    <x v="1"/>
    <s v="A023"/>
    <x v="2"/>
    <n v="24"/>
    <n v="6.6"/>
    <x v="0"/>
    <s v="Yes"/>
    <s v="No"/>
    <n v="4"/>
    <s v="Closed"/>
    <s v="April"/>
    <x v="3"/>
    <n v="2026"/>
    <s v="Yes"/>
    <n v="1"/>
    <x v="4"/>
    <n v="0"/>
  </r>
  <r>
    <s v="T002429"/>
    <x v="2254"/>
    <d v="2026-04-15T22:23:00"/>
    <x v="4"/>
    <s v="Field Visit"/>
    <x v="1"/>
    <s v="A027"/>
    <x v="2"/>
    <n v="24"/>
    <n v="12.2"/>
    <x v="1"/>
    <s v="No"/>
    <s v="No"/>
    <m/>
    <s v="Closed"/>
    <s v="April"/>
    <x v="3"/>
    <n v="2026"/>
    <s v="Yes"/>
    <n v="1"/>
    <x v="1"/>
    <n v="1"/>
  </r>
  <r>
    <s v="T002430"/>
    <x v="2255"/>
    <d v="2026-04-15T19:23:00"/>
    <x v="6"/>
    <s v="Phone"/>
    <x v="1"/>
    <s v="A025"/>
    <x v="2"/>
    <n v="24"/>
    <n v="9"/>
    <x v="1"/>
    <s v="No"/>
    <s v="No"/>
    <n v="5"/>
    <s v="Closed"/>
    <s v="April"/>
    <x v="3"/>
    <n v="2026"/>
    <s v="Yes"/>
    <n v="1"/>
    <x v="1"/>
    <n v="1"/>
  </r>
  <r>
    <s v="T002431"/>
    <x v="2256"/>
    <d v="2026-04-16T11:41:00"/>
    <x v="3"/>
    <s v="Phone"/>
    <x v="1"/>
    <s v="A058"/>
    <x v="1"/>
    <n v="24"/>
    <n v="25"/>
    <x v="1"/>
    <s v="No"/>
    <s v="No"/>
    <m/>
    <s v="Closed"/>
    <s v="April"/>
    <x v="3"/>
    <n v="2026"/>
    <s v="No"/>
    <n v="0"/>
    <x v="2"/>
    <n v="1"/>
  </r>
  <r>
    <s v="T002432"/>
    <x v="2257"/>
    <d v="2026-04-15T15:35:00"/>
    <x v="5"/>
    <s v="Chat"/>
    <x v="1"/>
    <s v="A013"/>
    <x v="0"/>
    <n v="24"/>
    <n v="4.0999999999999996"/>
    <x v="0"/>
    <s v="No"/>
    <s v="No"/>
    <m/>
    <s v="Closed"/>
    <s v="April"/>
    <x v="3"/>
    <n v="2026"/>
    <s v="Yes"/>
    <n v="1"/>
    <x v="3"/>
    <n v="0"/>
  </r>
  <r>
    <s v="T002433"/>
    <x v="2258"/>
    <d v="2026-04-16T11:33:00"/>
    <x v="0"/>
    <s v="Email"/>
    <x v="0"/>
    <s v="A047"/>
    <x v="1"/>
    <n v="72"/>
    <n v="23.9"/>
    <x v="1"/>
    <s v="No"/>
    <s v="No"/>
    <m/>
    <s v="Closed"/>
    <s v="April"/>
    <x v="3"/>
    <n v="2026"/>
    <s v="Yes"/>
    <n v="1"/>
    <x v="1"/>
    <n v="1"/>
  </r>
  <r>
    <s v="T002434"/>
    <x v="2259"/>
    <d v="2026-04-15T18:52:00"/>
    <x v="5"/>
    <s v="Chat"/>
    <x v="1"/>
    <s v="A010"/>
    <x v="0"/>
    <n v="24"/>
    <n v="7.1"/>
    <x v="0"/>
    <s v="Yes"/>
    <s v="No"/>
    <m/>
    <s v="Closed"/>
    <s v="April"/>
    <x v="3"/>
    <n v="2026"/>
    <s v="Yes"/>
    <n v="1"/>
    <x v="3"/>
    <n v="0"/>
  </r>
  <r>
    <s v="T002435"/>
    <x v="2260"/>
    <d v="2026-04-17T22:01:00"/>
    <x v="4"/>
    <s v="Field Visit"/>
    <x v="1"/>
    <s v="A038"/>
    <x v="1"/>
    <n v="24"/>
    <n v="57.9"/>
    <x v="0"/>
    <s v="Yes"/>
    <s v="No"/>
    <m/>
    <s v="Closed"/>
    <s v="April"/>
    <x v="3"/>
    <n v="2026"/>
    <s v="No"/>
    <n v="0"/>
    <x v="2"/>
    <n v="0"/>
  </r>
  <r>
    <s v="T002436"/>
    <x v="2261"/>
    <d v="2026-04-15T18:11:00"/>
    <x v="0"/>
    <s v="Chat"/>
    <x v="2"/>
    <s v="A055"/>
    <x v="1"/>
    <n v="4"/>
    <n v="5.8"/>
    <x v="1"/>
    <s v="No"/>
    <s v="No"/>
    <m/>
    <s v="Closed"/>
    <s v="April"/>
    <x v="3"/>
    <n v="2026"/>
    <s v="No"/>
    <n v="0"/>
    <x v="0"/>
    <n v="1"/>
  </r>
  <r>
    <s v="T002437"/>
    <x v="2262"/>
    <d v="2026-04-16T10:29:00"/>
    <x v="6"/>
    <s v="Field Visit"/>
    <x v="2"/>
    <s v="A016"/>
    <x v="2"/>
    <n v="4"/>
    <n v="21.8"/>
    <x v="1"/>
    <s v="No"/>
    <s v="No"/>
    <m/>
    <s v="Closed"/>
    <s v="April"/>
    <x v="3"/>
    <n v="2026"/>
    <s v="No"/>
    <n v="0"/>
    <x v="1"/>
    <n v="1"/>
  </r>
  <r>
    <s v="T002438"/>
    <x v="2263"/>
    <d v="2026-04-16T06:01:00"/>
    <x v="6"/>
    <s v="Field Visit"/>
    <x v="0"/>
    <s v="A017"/>
    <x v="2"/>
    <n v="72"/>
    <n v="17.2"/>
    <x v="1"/>
    <s v="No"/>
    <s v="No"/>
    <n v="5"/>
    <s v="Closed"/>
    <s v="April"/>
    <x v="3"/>
    <n v="2026"/>
    <s v="Yes"/>
    <n v="1"/>
    <x v="2"/>
    <n v="1"/>
  </r>
  <r>
    <s v="T002439"/>
    <x v="2264"/>
    <d v="2026-04-15T20:33:00"/>
    <x v="6"/>
    <s v="Chat"/>
    <x v="2"/>
    <s v="A001"/>
    <x v="0"/>
    <n v="4"/>
    <n v="7.4"/>
    <x v="0"/>
    <s v="Yes"/>
    <s v="Yes"/>
    <m/>
    <s v="Closed"/>
    <s v="April"/>
    <x v="3"/>
    <n v="2026"/>
    <s v="No"/>
    <n v="0"/>
    <x v="3"/>
    <n v="0"/>
  </r>
  <r>
    <s v="T002440"/>
    <x v="2265"/>
    <d v="2026-04-16T01:33:00"/>
    <x v="3"/>
    <s v="Phone"/>
    <x v="1"/>
    <s v="A038"/>
    <x v="1"/>
    <n v="24"/>
    <n v="12.1"/>
    <x v="0"/>
    <s v="No"/>
    <s v="No"/>
    <n v="5"/>
    <s v="Closed"/>
    <s v="April"/>
    <x v="3"/>
    <n v="2026"/>
    <s v="Yes"/>
    <n v="1"/>
    <x v="4"/>
    <n v="0"/>
  </r>
  <r>
    <s v="T002441"/>
    <x v="2266"/>
    <d v="2026-04-16T20:21:00"/>
    <x v="1"/>
    <s v="Email"/>
    <x v="0"/>
    <s v="A014"/>
    <x v="0"/>
    <n v="72"/>
    <n v="30.7"/>
    <x v="1"/>
    <s v="No"/>
    <s v="No"/>
    <m/>
    <s v="Closed"/>
    <s v="April"/>
    <x v="3"/>
    <n v="2026"/>
    <s v="Yes"/>
    <n v="1"/>
    <x v="3"/>
    <n v="1"/>
  </r>
  <r>
    <s v="T002442"/>
    <x v="2267"/>
    <d v="2026-04-16T04:21:00"/>
    <x v="1"/>
    <s v="Email"/>
    <x v="1"/>
    <s v="A022"/>
    <x v="2"/>
    <n v="24"/>
    <n v="14.5"/>
    <x v="1"/>
    <s v="No"/>
    <s v="No"/>
    <n v="5"/>
    <s v="Closed"/>
    <s v="April"/>
    <x v="3"/>
    <n v="2026"/>
    <s v="Yes"/>
    <n v="1"/>
    <x v="1"/>
    <n v="1"/>
  </r>
  <r>
    <s v="T002443"/>
    <x v="2268"/>
    <d v="2026-04-15T23:21:00"/>
    <x v="2"/>
    <s v="Email"/>
    <x v="0"/>
    <s v="A040"/>
    <x v="1"/>
    <n v="72"/>
    <n v="9.4"/>
    <x v="1"/>
    <s v="No"/>
    <s v="Yes"/>
    <m/>
    <s v="Closed"/>
    <s v="April"/>
    <x v="3"/>
    <n v="2026"/>
    <s v="Yes"/>
    <n v="1"/>
    <x v="4"/>
    <n v="1"/>
  </r>
  <r>
    <s v="T002444"/>
    <x v="2268"/>
    <d v="2026-04-15T18:39:00"/>
    <x v="1"/>
    <s v="Phone"/>
    <x v="1"/>
    <s v="A059"/>
    <x v="1"/>
    <n v="24"/>
    <n v="4.7"/>
    <x v="1"/>
    <s v="No"/>
    <s v="No"/>
    <n v="5"/>
    <s v="Closed"/>
    <s v="April"/>
    <x v="3"/>
    <n v="2026"/>
    <s v="Yes"/>
    <n v="1"/>
    <x v="0"/>
    <n v="1"/>
  </r>
  <r>
    <s v="T002445"/>
    <x v="2269"/>
    <d v="2026-04-15T20:13:00"/>
    <x v="6"/>
    <s v="Chat"/>
    <x v="2"/>
    <s v="A003"/>
    <x v="0"/>
    <n v="4"/>
    <n v="6"/>
    <x v="1"/>
    <s v="No"/>
    <s v="No"/>
    <m/>
    <s v="Closed"/>
    <s v="April"/>
    <x v="3"/>
    <n v="2026"/>
    <s v="No"/>
    <n v="0"/>
    <x v="3"/>
    <n v="1"/>
  </r>
  <r>
    <s v="T002446"/>
    <x v="2270"/>
    <d v="2026-04-17T07:23:00"/>
    <x v="5"/>
    <s v="Field Visit"/>
    <x v="0"/>
    <s v="A055"/>
    <x v="1"/>
    <n v="72"/>
    <n v="41.1"/>
    <x v="1"/>
    <s v="No"/>
    <s v="No"/>
    <n v="5"/>
    <s v="Closed"/>
    <s v="April"/>
    <x v="3"/>
    <n v="2026"/>
    <s v="Yes"/>
    <n v="1"/>
    <x v="1"/>
    <n v="1"/>
  </r>
  <r>
    <s v="T002447"/>
    <x v="2271"/>
    <d v="2026-04-16T15:09:00"/>
    <x v="3"/>
    <s v="Phone"/>
    <x v="0"/>
    <s v="A054"/>
    <x v="1"/>
    <n v="72"/>
    <n v="24.7"/>
    <x v="0"/>
    <s v="Yes"/>
    <s v="No"/>
    <n v="4"/>
    <s v="Closed"/>
    <s v="April"/>
    <x v="3"/>
    <n v="2026"/>
    <s v="Yes"/>
    <n v="1"/>
    <x v="3"/>
    <n v="0"/>
  </r>
  <r>
    <s v="T002448"/>
    <x v="2272"/>
    <d v="2026-04-18T15:13:00"/>
    <x v="4"/>
    <s v="Field Visit"/>
    <x v="0"/>
    <s v="A047"/>
    <x v="1"/>
    <n v="72"/>
    <n v="72.7"/>
    <x v="1"/>
    <s v="No"/>
    <s v="No"/>
    <n v="5"/>
    <s v="Closed"/>
    <s v="April"/>
    <x v="3"/>
    <n v="2026"/>
    <s v="No"/>
    <n v="0"/>
    <x v="4"/>
    <n v="1"/>
  </r>
  <r>
    <s v="T002449"/>
    <x v="2273"/>
    <d v="2026-04-23T02:19:00"/>
    <x v="4"/>
    <s v="Field Visit"/>
    <x v="1"/>
    <s v="A042"/>
    <x v="1"/>
    <n v="24"/>
    <n v="179.7"/>
    <x v="1"/>
    <s v="No"/>
    <s v="No"/>
    <n v="3"/>
    <s v="Closed"/>
    <s v="April"/>
    <x v="3"/>
    <n v="2026"/>
    <s v="No"/>
    <n v="0"/>
    <x v="3"/>
    <n v="1"/>
  </r>
  <r>
    <s v="T002450"/>
    <x v="2274"/>
    <d v="2026-04-16T01:37:00"/>
    <x v="2"/>
    <s v="Email"/>
    <x v="1"/>
    <s v="A049"/>
    <x v="1"/>
    <n v="24"/>
    <n v="10.1"/>
    <x v="1"/>
    <s v="No"/>
    <s v="No"/>
    <n v="3"/>
    <s v="Closed"/>
    <s v="April"/>
    <x v="3"/>
    <n v="2026"/>
    <s v="Yes"/>
    <n v="1"/>
    <x v="0"/>
    <n v="1"/>
  </r>
  <r>
    <s v="T002451"/>
    <x v="2275"/>
    <d v="2026-04-16T14:47:00"/>
    <x v="2"/>
    <s v="Chat"/>
    <x v="1"/>
    <s v="A058"/>
    <x v="1"/>
    <n v="24"/>
    <n v="23"/>
    <x v="1"/>
    <s v="No"/>
    <s v="No"/>
    <n v="5"/>
    <s v="Closed"/>
    <s v="April"/>
    <x v="3"/>
    <n v="2026"/>
    <s v="Yes"/>
    <n v="1"/>
    <x v="2"/>
    <n v="1"/>
  </r>
  <r>
    <s v="T002452"/>
    <x v="2276"/>
    <d v="2026-04-15T22:12:00"/>
    <x v="6"/>
    <s v="Phone"/>
    <x v="2"/>
    <s v="A060"/>
    <x v="1"/>
    <n v="4"/>
    <n v="5.3"/>
    <x v="1"/>
    <s v="No"/>
    <s v="Yes"/>
    <n v="3"/>
    <s v="Closed"/>
    <s v="April"/>
    <x v="3"/>
    <n v="2026"/>
    <s v="No"/>
    <n v="0"/>
    <x v="1"/>
    <n v="1"/>
  </r>
  <r>
    <s v="T002453"/>
    <x v="2277"/>
    <d v="2026-04-18T06:04:00"/>
    <x v="0"/>
    <s v="Field Visit"/>
    <x v="0"/>
    <s v="A013"/>
    <x v="0"/>
    <n v="72"/>
    <n v="58.7"/>
    <x v="1"/>
    <s v="No"/>
    <s v="No"/>
    <m/>
    <s v="Closed"/>
    <s v="April"/>
    <x v="3"/>
    <n v="2026"/>
    <s v="Yes"/>
    <n v="1"/>
    <x v="1"/>
    <n v="1"/>
  </r>
  <r>
    <s v="T002454"/>
    <x v="2278"/>
    <d v="2026-04-16T19:06:00"/>
    <x v="1"/>
    <s v="Email"/>
    <x v="1"/>
    <s v="A017"/>
    <x v="2"/>
    <n v="24"/>
    <n v="19.2"/>
    <x v="0"/>
    <s v="Yes"/>
    <s v="No"/>
    <n v="4"/>
    <s v="Closed"/>
    <s v="April"/>
    <x v="3"/>
    <n v="2026"/>
    <s v="Yes"/>
    <n v="1"/>
    <x v="4"/>
    <n v="0"/>
  </r>
  <r>
    <s v="T002455"/>
    <x v="2279"/>
    <d v="2026-04-16T05:21:00"/>
    <x v="3"/>
    <s v="Chat"/>
    <x v="2"/>
    <s v="A026"/>
    <x v="2"/>
    <n v="4"/>
    <n v="4.5"/>
    <x v="1"/>
    <s v="No"/>
    <s v="No"/>
    <n v="3"/>
    <s v="Closed"/>
    <s v="April"/>
    <x v="3"/>
    <n v="2026"/>
    <s v="No"/>
    <n v="0"/>
    <x v="3"/>
    <n v="1"/>
  </r>
  <r>
    <s v="T002456"/>
    <x v="2280"/>
    <d v="2026-04-16T13:42:00"/>
    <x v="3"/>
    <s v="Phone"/>
    <x v="1"/>
    <s v="A033"/>
    <x v="2"/>
    <n v="24"/>
    <n v="7.9"/>
    <x v="0"/>
    <s v="Yes"/>
    <s v="No"/>
    <n v="3"/>
    <s v="Closed"/>
    <s v="April"/>
    <x v="3"/>
    <n v="2026"/>
    <s v="Yes"/>
    <n v="1"/>
    <x v="1"/>
    <n v="0"/>
  </r>
  <r>
    <s v="T002457"/>
    <x v="2281"/>
    <d v="2026-04-17T19:26:00"/>
    <x v="6"/>
    <s v="Field Visit"/>
    <x v="1"/>
    <s v="A017"/>
    <x v="2"/>
    <n v="24"/>
    <n v="36.4"/>
    <x v="1"/>
    <s v="No"/>
    <s v="No"/>
    <n v="5"/>
    <s v="Closed"/>
    <s v="April"/>
    <x v="3"/>
    <n v="2026"/>
    <s v="No"/>
    <n v="0"/>
    <x v="0"/>
    <n v="1"/>
  </r>
  <r>
    <s v="T002458"/>
    <x v="2282"/>
    <d v="2026-04-16T13:29:00"/>
    <x v="0"/>
    <s v="Chat"/>
    <x v="1"/>
    <s v="A034"/>
    <x v="2"/>
    <n v="24"/>
    <n v="5.6"/>
    <x v="0"/>
    <s v="Yes"/>
    <s v="Yes"/>
    <n v="4"/>
    <s v="Closed"/>
    <s v="April"/>
    <x v="3"/>
    <n v="2026"/>
    <s v="Yes"/>
    <n v="1"/>
    <x v="0"/>
    <n v="0"/>
  </r>
  <r>
    <s v="T002459"/>
    <x v="2283"/>
    <d v="2026-04-16T17:13:00"/>
    <x v="2"/>
    <s v="Chat"/>
    <x v="1"/>
    <s v="A006"/>
    <x v="0"/>
    <n v="24"/>
    <n v="7.7"/>
    <x v="1"/>
    <s v="No"/>
    <s v="No"/>
    <m/>
    <s v="Closed"/>
    <s v="April"/>
    <x v="3"/>
    <n v="2026"/>
    <s v="Yes"/>
    <n v="1"/>
    <x v="2"/>
    <n v="1"/>
  </r>
  <r>
    <s v="T002460"/>
    <x v="2284"/>
    <d v="2026-04-16T20:42:00"/>
    <x v="0"/>
    <s v="Email"/>
    <x v="1"/>
    <s v="A046"/>
    <x v="1"/>
    <n v="24"/>
    <n v="10.6"/>
    <x v="1"/>
    <s v="No"/>
    <s v="No"/>
    <n v="4"/>
    <s v="Closed"/>
    <s v="April"/>
    <x v="3"/>
    <n v="2026"/>
    <s v="Yes"/>
    <n v="1"/>
    <x v="4"/>
    <n v="1"/>
  </r>
  <r>
    <s v="T002461"/>
    <x v="2285"/>
    <d v="2026-04-16T14:07:00"/>
    <x v="0"/>
    <s v="Chat"/>
    <x v="0"/>
    <s v="A035"/>
    <x v="2"/>
    <n v="72"/>
    <n v="2.7"/>
    <x v="0"/>
    <s v="Yes"/>
    <s v="Yes"/>
    <n v="3"/>
    <s v="Closed"/>
    <s v="April"/>
    <x v="3"/>
    <n v="2026"/>
    <s v="Yes"/>
    <n v="1"/>
    <x v="4"/>
    <n v="0"/>
  </r>
  <r>
    <s v="T002462"/>
    <x v="2286"/>
    <d v="2026-04-17T07:27:00"/>
    <x v="5"/>
    <s v="Phone"/>
    <x v="1"/>
    <s v="A058"/>
    <x v="1"/>
    <n v="24"/>
    <n v="19.399999999999999"/>
    <x v="0"/>
    <s v="Yes"/>
    <s v="No"/>
    <n v="4"/>
    <s v="Closed"/>
    <s v="April"/>
    <x v="3"/>
    <n v="2026"/>
    <s v="Yes"/>
    <n v="1"/>
    <x v="4"/>
    <n v="0"/>
  </r>
  <r>
    <s v="T002463"/>
    <x v="2287"/>
    <d v="2026-04-16T21:49:00"/>
    <x v="0"/>
    <s v="Chat"/>
    <x v="0"/>
    <s v="A021"/>
    <x v="2"/>
    <n v="72"/>
    <n v="9.3000000000000007"/>
    <x v="0"/>
    <s v="Yes"/>
    <s v="No"/>
    <m/>
    <s v="Closed"/>
    <s v="April"/>
    <x v="3"/>
    <n v="2026"/>
    <s v="Yes"/>
    <n v="1"/>
    <x v="3"/>
    <n v="0"/>
  </r>
  <r>
    <s v="T002464"/>
    <x v="2288"/>
    <d v="2026-04-16T18:04:00"/>
    <x v="6"/>
    <s v="Chat"/>
    <x v="1"/>
    <s v="A033"/>
    <x v="2"/>
    <n v="24"/>
    <n v="5.5"/>
    <x v="0"/>
    <s v="No"/>
    <s v="No"/>
    <n v="4"/>
    <s v="Closed"/>
    <s v="April"/>
    <x v="3"/>
    <n v="2026"/>
    <s v="Yes"/>
    <n v="1"/>
    <x v="2"/>
    <n v="0"/>
  </r>
  <r>
    <s v="T002465"/>
    <x v="2289"/>
    <d v="2026-04-16T17:20:00"/>
    <x v="0"/>
    <s v="Chat"/>
    <x v="1"/>
    <s v="A040"/>
    <x v="1"/>
    <n v="24"/>
    <n v="4.3"/>
    <x v="1"/>
    <s v="No"/>
    <s v="No"/>
    <n v="5"/>
    <s v="Closed"/>
    <s v="April"/>
    <x v="3"/>
    <n v="2026"/>
    <s v="Yes"/>
    <n v="1"/>
    <x v="3"/>
    <n v="1"/>
  </r>
  <r>
    <s v="T002466"/>
    <x v="2290"/>
    <d v="2026-04-16T22:52:00"/>
    <x v="6"/>
    <s v="Phone"/>
    <x v="0"/>
    <s v="A043"/>
    <x v="1"/>
    <n v="72"/>
    <n v="9.8000000000000007"/>
    <x v="1"/>
    <s v="No"/>
    <s v="No"/>
    <n v="5"/>
    <s v="Closed"/>
    <s v="April"/>
    <x v="3"/>
    <n v="2026"/>
    <s v="Yes"/>
    <n v="1"/>
    <x v="1"/>
    <n v="1"/>
  </r>
  <r>
    <s v="T002467"/>
    <x v="2291"/>
    <d v="2026-04-18T19:04:00"/>
    <x v="3"/>
    <s v="Field Visit"/>
    <x v="1"/>
    <s v="A021"/>
    <x v="2"/>
    <n v="24"/>
    <n v="53.9"/>
    <x v="1"/>
    <s v="No"/>
    <s v="No"/>
    <n v="5"/>
    <s v="Closed"/>
    <s v="April"/>
    <x v="3"/>
    <n v="2026"/>
    <s v="No"/>
    <n v="0"/>
    <x v="3"/>
    <n v="1"/>
  </r>
  <r>
    <s v="T002468"/>
    <x v="2292"/>
    <d v="2026-04-16T17:23:00"/>
    <x v="1"/>
    <s v="Phone"/>
    <x v="1"/>
    <s v="A055"/>
    <x v="1"/>
    <n v="24"/>
    <n v="3.7"/>
    <x v="1"/>
    <s v="No"/>
    <s v="No"/>
    <m/>
    <s v="Closed"/>
    <s v="April"/>
    <x v="3"/>
    <n v="2026"/>
    <s v="Yes"/>
    <n v="1"/>
    <x v="1"/>
    <n v="1"/>
  </r>
  <r>
    <s v="T002469"/>
    <x v="2293"/>
    <d v="2026-04-17T00:10:00"/>
    <x v="3"/>
    <s v="Phone"/>
    <x v="0"/>
    <s v="A030"/>
    <x v="2"/>
    <n v="72"/>
    <n v="10.3"/>
    <x v="1"/>
    <s v="No"/>
    <s v="No"/>
    <n v="5"/>
    <s v="Closed"/>
    <s v="April"/>
    <x v="3"/>
    <n v="2026"/>
    <s v="Yes"/>
    <n v="1"/>
    <x v="4"/>
    <n v="1"/>
  </r>
  <r>
    <s v="T002470"/>
    <x v="2294"/>
    <d v="2026-04-17T18:42:00"/>
    <x v="0"/>
    <s v="Phone"/>
    <x v="0"/>
    <s v="A056"/>
    <x v="1"/>
    <n v="72"/>
    <n v="28.7"/>
    <x v="1"/>
    <s v="No"/>
    <s v="Yes"/>
    <n v="5"/>
    <s v="Closed"/>
    <s v="April"/>
    <x v="3"/>
    <n v="2026"/>
    <s v="Yes"/>
    <n v="1"/>
    <x v="1"/>
    <n v="1"/>
  </r>
  <r>
    <s v="T002471"/>
    <x v="2295"/>
    <d v="2026-04-17T00:20:00"/>
    <x v="6"/>
    <s v="Chat"/>
    <x v="1"/>
    <s v="A017"/>
    <x v="2"/>
    <n v="24"/>
    <n v="9.6999999999999993"/>
    <x v="1"/>
    <s v="No"/>
    <s v="No"/>
    <m/>
    <s v="Closed"/>
    <s v="April"/>
    <x v="3"/>
    <n v="2026"/>
    <s v="Yes"/>
    <n v="1"/>
    <x v="1"/>
    <n v="1"/>
  </r>
  <r>
    <s v="T002472"/>
    <x v="2296"/>
    <d v="2026-04-16T22:22:00"/>
    <x v="1"/>
    <s v="Email"/>
    <x v="1"/>
    <s v="A024"/>
    <x v="2"/>
    <n v="24"/>
    <n v="7.3"/>
    <x v="0"/>
    <s v="Yes"/>
    <s v="No"/>
    <n v="4"/>
    <s v="Closed"/>
    <s v="April"/>
    <x v="3"/>
    <n v="2026"/>
    <s v="Yes"/>
    <n v="1"/>
    <x v="3"/>
    <n v="0"/>
  </r>
  <r>
    <s v="T002473"/>
    <x v="2297"/>
    <d v="2026-04-16T23:32:00"/>
    <x v="6"/>
    <s v="Chat"/>
    <x v="1"/>
    <s v="A005"/>
    <x v="0"/>
    <n v="24"/>
    <n v="8.3000000000000007"/>
    <x v="1"/>
    <s v="No"/>
    <s v="No"/>
    <n v="5"/>
    <s v="Closed"/>
    <s v="April"/>
    <x v="3"/>
    <n v="2026"/>
    <s v="Yes"/>
    <n v="1"/>
    <x v="4"/>
    <n v="1"/>
  </r>
  <r>
    <s v="T002474"/>
    <x v="2298"/>
    <d v="2026-04-16T22:42:00"/>
    <x v="5"/>
    <s v="Chat"/>
    <x v="1"/>
    <s v="A041"/>
    <x v="1"/>
    <n v="24"/>
    <n v="5.4"/>
    <x v="1"/>
    <s v="No"/>
    <s v="No"/>
    <n v="5"/>
    <s v="Closed"/>
    <s v="April"/>
    <x v="3"/>
    <n v="2026"/>
    <s v="Yes"/>
    <n v="1"/>
    <x v="3"/>
    <n v="1"/>
  </r>
  <r>
    <s v="T002475"/>
    <x v="2299"/>
    <d v="2026-04-16T23:41:00"/>
    <x v="0"/>
    <s v="Phone"/>
    <x v="1"/>
    <s v="A037"/>
    <x v="1"/>
    <n v="24"/>
    <n v="6.1"/>
    <x v="1"/>
    <s v="No"/>
    <s v="No"/>
    <m/>
    <s v="Closed"/>
    <s v="April"/>
    <x v="3"/>
    <n v="2026"/>
    <s v="Yes"/>
    <n v="1"/>
    <x v="4"/>
    <n v="1"/>
  </r>
  <r>
    <s v="T002476"/>
    <x v="2300"/>
    <d v="2026-04-16T05:52:00"/>
    <x v="1"/>
    <s v="Phone"/>
    <x v="1"/>
    <s v="A039"/>
    <x v="1"/>
    <n v="24"/>
    <n v="3.1"/>
    <x v="0"/>
    <s v="Yes"/>
    <s v="No"/>
    <m/>
    <s v="Closed"/>
    <s v="April"/>
    <x v="3"/>
    <n v="2026"/>
    <s v="Yes"/>
    <n v="1"/>
    <x v="3"/>
    <n v="0"/>
  </r>
  <r>
    <s v="T002477"/>
    <x v="2301"/>
    <d v="2026-04-18T03:09:00"/>
    <x v="4"/>
    <s v="Phone"/>
    <x v="1"/>
    <s v="A036"/>
    <x v="1"/>
    <n v="24"/>
    <n v="31"/>
    <x v="1"/>
    <s v="No"/>
    <s v="No"/>
    <n v="4"/>
    <s v="Closed"/>
    <s v="April"/>
    <x v="3"/>
    <n v="2026"/>
    <s v="No"/>
    <n v="0"/>
    <x v="0"/>
    <n v="1"/>
  </r>
  <r>
    <s v="T002478"/>
    <x v="2302"/>
    <d v="2026-04-21T15:24:00"/>
    <x v="4"/>
    <s v="Field Visit"/>
    <x v="1"/>
    <s v="A031"/>
    <x v="2"/>
    <n v="24"/>
    <n v="114.5"/>
    <x v="1"/>
    <s v="No"/>
    <s v="No"/>
    <m/>
    <s v="Closed"/>
    <s v="April"/>
    <x v="3"/>
    <n v="2026"/>
    <s v="No"/>
    <n v="0"/>
    <x v="3"/>
    <n v="1"/>
  </r>
  <r>
    <s v="T002479"/>
    <x v="2303"/>
    <d v="2026-04-17T05:42:00"/>
    <x v="2"/>
    <s v="Phone"/>
    <x v="1"/>
    <s v="A018"/>
    <x v="2"/>
    <n v="24"/>
    <n v="8.1999999999999993"/>
    <x v="1"/>
    <s v="No"/>
    <s v="No"/>
    <m/>
    <s v="Closed"/>
    <s v="April"/>
    <x v="3"/>
    <n v="2026"/>
    <s v="Yes"/>
    <n v="1"/>
    <x v="1"/>
    <n v="1"/>
  </r>
  <r>
    <s v="T002480"/>
    <x v="2304"/>
    <d v="2026-04-18T03:10:00"/>
    <x v="1"/>
    <s v="Email"/>
    <x v="0"/>
    <s v="A045"/>
    <x v="1"/>
    <n v="72"/>
    <n v="23"/>
    <x v="1"/>
    <s v="No"/>
    <s v="No"/>
    <m/>
    <s v="Closed"/>
    <s v="April"/>
    <x v="3"/>
    <n v="2026"/>
    <s v="Yes"/>
    <n v="1"/>
    <x v="2"/>
    <n v="1"/>
  </r>
  <r>
    <s v="T002481"/>
    <x v="2305"/>
    <d v="2026-04-17T09:09:00"/>
    <x v="1"/>
    <s v="Phone"/>
    <x v="1"/>
    <s v="A057"/>
    <x v="1"/>
    <n v="24"/>
    <n v="3.7"/>
    <x v="0"/>
    <s v="No"/>
    <s v="No"/>
    <m/>
    <s v="Closed"/>
    <s v="April"/>
    <x v="3"/>
    <n v="2026"/>
    <s v="Yes"/>
    <n v="1"/>
    <x v="0"/>
    <n v="0"/>
  </r>
  <r>
    <s v="T002482"/>
    <x v="2306"/>
    <d v="2026-04-17T17:31:00"/>
    <x v="1"/>
    <s v="Phone"/>
    <x v="1"/>
    <s v="A039"/>
    <x v="1"/>
    <n v="24"/>
    <n v="10.3"/>
    <x v="1"/>
    <s v="No"/>
    <s v="No"/>
    <n v="4"/>
    <s v="Closed"/>
    <s v="April"/>
    <x v="3"/>
    <n v="2026"/>
    <s v="Yes"/>
    <n v="1"/>
    <x v="0"/>
    <n v="1"/>
  </r>
  <r>
    <s v="T002483"/>
    <x v="2307"/>
    <d v="2026-04-18T02:31:00"/>
    <x v="0"/>
    <s v="Phone"/>
    <x v="1"/>
    <s v="A040"/>
    <x v="1"/>
    <n v="24"/>
    <n v="19"/>
    <x v="1"/>
    <s v="No"/>
    <s v="No"/>
    <n v="5"/>
    <s v="Closed"/>
    <s v="April"/>
    <x v="3"/>
    <n v="2026"/>
    <s v="Yes"/>
    <n v="1"/>
    <x v="1"/>
    <n v="1"/>
  </r>
  <r>
    <s v="T002484"/>
    <x v="2308"/>
    <d v="2026-04-17T12:22:00"/>
    <x v="1"/>
    <s v="Chat"/>
    <x v="1"/>
    <s v="A026"/>
    <x v="2"/>
    <n v="24"/>
    <n v="3.8"/>
    <x v="1"/>
    <s v="No"/>
    <s v="No"/>
    <n v="5"/>
    <s v="Closed"/>
    <s v="April"/>
    <x v="3"/>
    <n v="2026"/>
    <s v="Yes"/>
    <n v="1"/>
    <x v="2"/>
    <n v="1"/>
  </r>
  <r>
    <s v="T002485"/>
    <x v="2309"/>
    <d v="2026-04-18T07:51:00"/>
    <x v="5"/>
    <s v="Email"/>
    <x v="1"/>
    <s v="A010"/>
    <x v="0"/>
    <n v="24"/>
    <n v="21.6"/>
    <x v="0"/>
    <s v="No"/>
    <s v="No"/>
    <n v="5"/>
    <s v="Closed"/>
    <s v="April"/>
    <x v="3"/>
    <n v="2026"/>
    <s v="Yes"/>
    <n v="1"/>
    <x v="0"/>
    <n v="0"/>
  </r>
  <r>
    <s v="T002486"/>
    <x v="2310"/>
    <d v="2026-04-20T07:24:00"/>
    <x v="4"/>
    <s v="Field Visit"/>
    <x v="1"/>
    <s v="A023"/>
    <x v="2"/>
    <n v="24"/>
    <n v="68.900000000000006"/>
    <x v="1"/>
    <s v="No"/>
    <s v="No"/>
    <m/>
    <s v="Closed"/>
    <s v="April"/>
    <x v="3"/>
    <n v="2026"/>
    <s v="No"/>
    <n v="0"/>
    <x v="1"/>
    <n v="1"/>
  </r>
  <r>
    <s v="T002487"/>
    <x v="2311"/>
    <d v="2026-04-18T03:34:00"/>
    <x v="3"/>
    <s v="Phone"/>
    <x v="1"/>
    <s v="A008"/>
    <x v="0"/>
    <n v="24"/>
    <n v="15.3"/>
    <x v="1"/>
    <s v="No"/>
    <s v="No"/>
    <n v="5"/>
    <s v="Closed"/>
    <s v="April"/>
    <x v="3"/>
    <n v="2026"/>
    <s v="Yes"/>
    <n v="1"/>
    <x v="2"/>
    <n v="1"/>
  </r>
  <r>
    <s v="T002488"/>
    <x v="2312"/>
    <d v="2026-04-17T17:12:00"/>
    <x v="0"/>
    <s v="Phone"/>
    <x v="1"/>
    <s v="A047"/>
    <x v="1"/>
    <n v="24"/>
    <n v="4.3"/>
    <x v="1"/>
    <s v="No"/>
    <s v="No"/>
    <n v="5"/>
    <s v="Closed"/>
    <s v="April"/>
    <x v="3"/>
    <n v="2026"/>
    <s v="Yes"/>
    <n v="1"/>
    <x v="4"/>
    <n v="1"/>
  </r>
  <r>
    <s v="T002489"/>
    <x v="2313"/>
    <d v="2026-04-19T13:14:00"/>
    <x v="3"/>
    <s v="Field Visit"/>
    <x v="1"/>
    <s v="A056"/>
    <x v="1"/>
    <n v="24"/>
    <n v="47.9"/>
    <x v="1"/>
    <s v="No"/>
    <s v="No"/>
    <m/>
    <s v="Closed"/>
    <s v="April"/>
    <x v="3"/>
    <n v="2026"/>
    <s v="No"/>
    <n v="0"/>
    <x v="3"/>
    <n v="1"/>
  </r>
  <r>
    <s v="T002490"/>
    <x v="2314"/>
    <d v="2026-04-17T19:58:00"/>
    <x v="6"/>
    <s v="Phone"/>
    <x v="2"/>
    <s v="A029"/>
    <x v="2"/>
    <n v="4"/>
    <n v="5.7"/>
    <x v="1"/>
    <s v="No"/>
    <s v="No"/>
    <n v="4"/>
    <s v="Closed"/>
    <s v="April"/>
    <x v="3"/>
    <n v="2026"/>
    <s v="No"/>
    <n v="0"/>
    <x v="3"/>
    <n v="1"/>
  </r>
  <r>
    <s v="T002491"/>
    <x v="2315"/>
    <d v="2026-04-17T21:50:00"/>
    <x v="6"/>
    <s v="Field Visit"/>
    <x v="1"/>
    <s v="A022"/>
    <x v="2"/>
    <n v="24"/>
    <n v="6.2"/>
    <x v="1"/>
    <s v="No"/>
    <s v="No"/>
    <n v="5"/>
    <s v="Closed"/>
    <s v="April"/>
    <x v="3"/>
    <n v="2026"/>
    <s v="Yes"/>
    <n v="1"/>
    <x v="3"/>
    <n v="1"/>
  </r>
  <r>
    <s v="T002492"/>
    <x v="2316"/>
    <d v="2026-04-20T19:31:00"/>
    <x v="0"/>
    <s v="Field Visit"/>
    <x v="1"/>
    <s v="A026"/>
    <x v="2"/>
    <n v="24"/>
    <n v="75.099999999999994"/>
    <x v="0"/>
    <s v="Yes"/>
    <s v="Yes"/>
    <n v="3"/>
    <s v="Closed"/>
    <s v="April"/>
    <x v="3"/>
    <n v="2026"/>
    <s v="No"/>
    <n v="0"/>
    <x v="2"/>
    <n v="0"/>
  </r>
  <r>
    <s v="T002493"/>
    <x v="2317"/>
    <d v="2026-04-18T01:55:00"/>
    <x v="2"/>
    <s v="Chat"/>
    <x v="0"/>
    <s v="A011"/>
    <x v="0"/>
    <n v="72"/>
    <n v="8.8000000000000007"/>
    <x v="0"/>
    <s v="Yes"/>
    <s v="No"/>
    <n v="5"/>
    <s v="Closed"/>
    <s v="April"/>
    <x v="3"/>
    <n v="2026"/>
    <s v="Yes"/>
    <n v="1"/>
    <x v="4"/>
    <n v="0"/>
  </r>
  <r>
    <s v="T002494"/>
    <x v="2318"/>
    <d v="2026-04-18T12:55:00"/>
    <x v="0"/>
    <s v="Field Visit"/>
    <x v="1"/>
    <s v="A053"/>
    <x v="1"/>
    <n v="24"/>
    <n v="18.600000000000001"/>
    <x v="1"/>
    <s v="No"/>
    <s v="No"/>
    <n v="4"/>
    <s v="Closed"/>
    <s v="April"/>
    <x v="3"/>
    <n v="2026"/>
    <s v="Yes"/>
    <n v="1"/>
    <x v="1"/>
    <n v="1"/>
  </r>
  <r>
    <s v="T002495"/>
    <x v="2319"/>
    <d v="2026-04-18T15:19:00"/>
    <x v="0"/>
    <s v="Chat"/>
    <x v="0"/>
    <s v="A007"/>
    <x v="0"/>
    <n v="72"/>
    <n v="20.2"/>
    <x v="0"/>
    <s v="No"/>
    <s v="No"/>
    <n v="5"/>
    <s v="Closed"/>
    <s v="April"/>
    <x v="3"/>
    <n v="2026"/>
    <s v="Yes"/>
    <n v="1"/>
    <x v="2"/>
    <n v="0"/>
  </r>
  <r>
    <s v="T002496"/>
    <x v="2320"/>
    <d v="2026-04-19T19:55:00"/>
    <x v="0"/>
    <s v="Phone"/>
    <x v="1"/>
    <s v="A017"/>
    <x v="2"/>
    <n v="24"/>
    <n v="41.2"/>
    <x v="0"/>
    <s v="Yes"/>
    <s v="No"/>
    <m/>
    <s v="Closed"/>
    <s v="April"/>
    <x v="3"/>
    <n v="2026"/>
    <s v="No"/>
    <n v="0"/>
    <x v="2"/>
    <n v="0"/>
  </r>
  <r>
    <s v="T002497"/>
    <x v="2321"/>
    <d v="2026-04-18T16:41:00"/>
    <x v="2"/>
    <s v="Phone"/>
    <x v="0"/>
    <s v="A008"/>
    <x v="0"/>
    <n v="72"/>
    <n v="12.6"/>
    <x v="1"/>
    <s v="No"/>
    <s v="No"/>
    <n v="5"/>
    <s v="Closed"/>
    <s v="April"/>
    <x v="3"/>
    <n v="2026"/>
    <s v="Yes"/>
    <n v="1"/>
    <x v="2"/>
    <n v="1"/>
  </r>
  <r>
    <s v="T002498"/>
    <x v="2322"/>
    <d v="2026-04-18T19:11:00"/>
    <x v="0"/>
    <s v="Chat"/>
    <x v="1"/>
    <s v="A056"/>
    <x v="1"/>
    <n v="24"/>
    <n v="13.8"/>
    <x v="1"/>
    <s v="No"/>
    <s v="Yes"/>
    <m/>
    <s v="Closed"/>
    <s v="April"/>
    <x v="3"/>
    <n v="2026"/>
    <s v="Yes"/>
    <n v="1"/>
    <x v="1"/>
    <n v="1"/>
  </r>
  <r>
    <s v="T002499"/>
    <x v="2323"/>
    <d v="2026-04-18T13:42:00"/>
    <x v="5"/>
    <s v="Phone"/>
    <x v="0"/>
    <s v="A033"/>
    <x v="2"/>
    <n v="72"/>
    <n v="7.5"/>
    <x v="1"/>
    <s v="No"/>
    <s v="No"/>
    <n v="4"/>
    <s v="Closed"/>
    <s v="April"/>
    <x v="3"/>
    <n v="2026"/>
    <s v="Yes"/>
    <n v="1"/>
    <x v="1"/>
    <n v="1"/>
  </r>
  <r>
    <s v="T002500"/>
    <x v="2324"/>
    <d v="2026-04-19T09:24:00"/>
    <x v="3"/>
    <s v="Phone"/>
    <x v="0"/>
    <s v="A010"/>
    <x v="0"/>
    <n v="72"/>
    <n v="26.6"/>
    <x v="1"/>
    <s v="No"/>
    <s v="No"/>
    <m/>
    <s v="Closed"/>
    <s v="April"/>
    <x v="3"/>
    <n v="2026"/>
    <s v="Yes"/>
    <n v="1"/>
    <x v="1"/>
    <n v="1"/>
  </r>
  <r>
    <s v="T002501"/>
    <x v="2325"/>
    <d v="2026-04-24T13:59:00"/>
    <x v="4"/>
    <s v="Phone"/>
    <x v="0"/>
    <s v="A001"/>
    <x v="0"/>
    <n v="72"/>
    <n v="150.9"/>
    <x v="0"/>
    <s v="No"/>
    <s v="No"/>
    <n v="5"/>
    <s v="Closed"/>
    <s v="April"/>
    <x v="3"/>
    <n v="2026"/>
    <s v="No"/>
    <n v="0"/>
    <x v="1"/>
    <n v="0"/>
  </r>
  <r>
    <s v="T002502"/>
    <x v="2326"/>
    <d v="2026-04-19T04:17:00"/>
    <x v="2"/>
    <s v="Email"/>
    <x v="1"/>
    <s v="A010"/>
    <x v="0"/>
    <n v="24"/>
    <n v="20.9"/>
    <x v="1"/>
    <s v="No"/>
    <s v="No"/>
    <n v="4"/>
    <s v="Closed"/>
    <s v="April"/>
    <x v="3"/>
    <n v="2026"/>
    <s v="Yes"/>
    <n v="1"/>
    <x v="3"/>
    <n v="1"/>
  </r>
  <r>
    <s v="T002503"/>
    <x v="2327"/>
    <d v="2026-04-20T01:41:00"/>
    <x v="6"/>
    <s v="Field Visit"/>
    <x v="2"/>
    <s v="A042"/>
    <x v="1"/>
    <n v="4"/>
    <n v="42.2"/>
    <x v="1"/>
    <s v="No"/>
    <s v="Yes"/>
    <m/>
    <s v="Closed"/>
    <s v="April"/>
    <x v="3"/>
    <n v="2026"/>
    <s v="No"/>
    <n v="0"/>
    <x v="3"/>
    <n v="1"/>
  </r>
  <r>
    <s v="T002504"/>
    <x v="2328"/>
    <d v="2026-04-18T15:28:00"/>
    <x v="2"/>
    <s v="Chat"/>
    <x v="1"/>
    <s v="A052"/>
    <x v="1"/>
    <n v="24"/>
    <n v="7.9"/>
    <x v="1"/>
    <s v="No"/>
    <s v="No"/>
    <n v="4"/>
    <s v="Closed"/>
    <s v="April"/>
    <x v="3"/>
    <n v="2026"/>
    <s v="Yes"/>
    <n v="1"/>
    <x v="4"/>
    <n v="1"/>
  </r>
  <r>
    <s v="T002505"/>
    <x v="2329"/>
    <d v="2026-04-18T20:35:00"/>
    <x v="2"/>
    <s v="Phone"/>
    <x v="1"/>
    <s v="A039"/>
    <x v="1"/>
    <n v="24"/>
    <n v="12.4"/>
    <x v="1"/>
    <s v="No"/>
    <s v="No"/>
    <m/>
    <s v="Closed"/>
    <s v="April"/>
    <x v="3"/>
    <n v="2026"/>
    <s v="Yes"/>
    <n v="1"/>
    <x v="2"/>
    <n v="1"/>
  </r>
  <r>
    <s v="T002506"/>
    <x v="2330"/>
    <d v="2026-04-18T10:41:00"/>
    <x v="6"/>
    <s v="Phone"/>
    <x v="2"/>
    <s v="A022"/>
    <x v="2"/>
    <n v="4"/>
    <n v="2.2000000000000002"/>
    <x v="0"/>
    <s v="Yes"/>
    <s v="No"/>
    <n v="5"/>
    <s v="Closed"/>
    <s v="April"/>
    <x v="3"/>
    <n v="2026"/>
    <s v="Yes"/>
    <n v="1"/>
    <x v="1"/>
    <n v="0"/>
  </r>
  <r>
    <s v="T002507"/>
    <x v="2331"/>
    <d v="2026-04-21T16:48:00"/>
    <x v="4"/>
    <s v="Field Visit"/>
    <x v="0"/>
    <s v="A049"/>
    <x v="1"/>
    <n v="72"/>
    <n v="79.2"/>
    <x v="1"/>
    <s v="No"/>
    <s v="No"/>
    <n v="4"/>
    <s v="Closed"/>
    <s v="April"/>
    <x v="3"/>
    <n v="2026"/>
    <s v="No"/>
    <n v="0"/>
    <x v="3"/>
    <n v="1"/>
  </r>
  <r>
    <s v="T002508"/>
    <x v="2332"/>
    <d v="2026-04-23T05:00:00"/>
    <x v="3"/>
    <s v="Field Visit"/>
    <x v="1"/>
    <s v="A019"/>
    <x v="2"/>
    <n v="24"/>
    <n v="114.8"/>
    <x v="1"/>
    <s v="No"/>
    <s v="No"/>
    <n v="4"/>
    <s v="Closed"/>
    <s v="April"/>
    <x v="3"/>
    <n v="2026"/>
    <s v="No"/>
    <n v="0"/>
    <x v="2"/>
    <n v="1"/>
  </r>
  <r>
    <s v="T002509"/>
    <x v="2333"/>
    <d v="2026-04-18T23:25:00"/>
    <x v="1"/>
    <s v="Phone"/>
    <x v="1"/>
    <s v="A029"/>
    <x v="2"/>
    <n v="24"/>
    <n v="13.1"/>
    <x v="1"/>
    <s v="No"/>
    <s v="No"/>
    <n v="4"/>
    <s v="Closed"/>
    <s v="April"/>
    <x v="3"/>
    <n v="2026"/>
    <s v="Yes"/>
    <n v="1"/>
    <x v="1"/>
    <n v="1"/>
  </r>
  <r>
    <s v="T002510"/>
    <x v="2334"/>
    <d v="2026-04-18T23:30:00"/>
    <x v="5"/>
    <s v="Phone"/>
    <x v="1"/>
    <s v="A052"/>
    <x v="1"/>
    <n v="24"/>
    <n v="13.1"/>
    <x v="0"/>
    <s v="Yes"/>
    <s v="No"/>
    <n v="5"/>
    <s v="Closed"/>
    <s v="April"/>
    <x v="3"/>
    <n v="2026"/>
    <s v="Yes"/>
    <n v="1"/>
    <x v="2"/>
    <n v="0"/>
  </r>
  <r>
    <s v="T002511"/>
    <x v="2335"/>
    <d v="2026-04-18T23:27:00"/>
    <x v="0"/>
    <s v="Chat"/>
    <x v="1"/>
    <s v="A048"/>
    <x v="1"/>
    <n v="24"/>
    <n v="12.9"/>
    <x v="0"/>
    <s v="Yes"/>
    <s v="No"/>
    <m/>
    <s v="Closed"/>
    <s v="April"/>
    <x v="3"/>
    <n v="2026"/>
    <s v="Yes"/>
    <n v="1"/>
    <x v="4"/>
    <n v="0"/>
  </r>
  <r>
    <s v="T002512"/>
    <x v="2336"/>
    <d v="2026-04-19T21:22:00"/>
    <x v="3"/>
    <s v="Phone"/>
    <x v="1"/>
    <s v="A058"/>
    <x v="1"/>
    <n v="24"/>
    <n v="34.6"/>
    <x v="1"/>
    <s v="No"/>
    <s v="No"/>
    <m/>
    <s v="Closed"/>
    <s v="April"/>
    <x v="3"/>
    <n v="2026"/>
    <s v="No"/>
    <n v="0"/>
    <x v="2"/>
    <n v="1"/>
  </r>
  <r>
    <s v="T002513"/>
    <x v="2337"/>
    <d v="2026-04-19T14:56:00"/>
    <x v="2"/>
    <s v="Chat"/>
    <x v="1"/>
    <s v="A012"/>
    <x v="0"/>
    <n v="24"/>
    <n v="28.1"/>
    <x v="0"/>
    <s v="Yes"/>
    <s v="Yes"/>
    <n v="4"/>
    <s v="Closed"/>
    <s v="April"/>
    <x v="3"/>
    <n v="2026"/>
    <s v="No"/>
    <n v="0"/>
    <x v="0"/>
    <n v="0"/>
  </r>
  <r>
    <s v="T002514"/>
    <x v="2338"/>
    <d v="2026-04-19T09:22:00"/>
    <x v="6"/>
    <s v="Email"/>
    <x v="1"/>
    <s v="A039"/>
    <x v="1"/>
    <n v="24"/>
    <n v="22"/>
    <x v="1"/>
    <s v="No"/>
    <s v="No"/>
    <n v="4"/>
    <s v="Closed"/>
    <s v="April"/>
    <x v="3"/>
    <n v="2026"/>
    <s v="Yes"/>
    <n v="1"/>
    <x v="2"/>
    <n v="1"/>
  </r>
  <r>
    <s v="T002515"/>
    <x v="2339"/>
    <d v="2026-04-18T21:20:00"/>
    <x v="2"/>
    <s v="Chat"/>
    <x v="2"/>
    <s v="A024"/>
    <x v="2"/>
    <n v="4"/>
    <n v="9.9"/>
    <x v="0"/>
    <s v="Yes"/>
    <s v="No"/>
    <n v="4"/>
    <s v="Closed"/>
    <s v="April"/>
    <x v="3"/>
    <n v="2026"/>
    <s v="No"/>
    <n v="0"/>
    <x v="3"/>
    <n v="0"/>
  </r>
  <r>
    <s v="T002516"/>
    <x v="2340"/>
    <d v="2026-04-21T13:05:00"/>
    <x v="4"/>
    <s v="Field Visit"/>
    <x v="1"/>
    <s v="A020"/>
    <x v="2"/>
    <n v="24"/>
    <n v="72.900000000000006"/>
    <x v="1"/>
    <s v="No"/>
    <s v="Yes"/>
    <n v="3"/>
    <s v="Closed"/>
    <s v="April"/>
    <x v="3"/>
    <n v="2026"/>
    <s v="No"/>
    <n v="0"/>
    <x v="0"/>
    <n v="1"/>
  </r>
  <r>
    <s v="T002517"/>
    <x v="2341"/>
    <d v="2026-04-18T15:34:00"/>
    <x v="1"/>
    <s v="Chat"/>
    <x v="1"/>
    <s v="A060"/>
    <x v="1"/>
    <n v="24"/>
    <n v="3.2"/>
    <x v="0"/>
    <s v="Yes"/>
    <s v="No"/>
    <n v="4"/>
    <s v="Closed"/>
    <s v="April"/>
    <x v="3"/>
    <n v="2026"/>
    <s v="Yes"/>
    <n v="1"/>
    <x v="2"/>
    <n v="0"/>
  </r>
  <r>
    <s v="T002518"/>
    <x v="2342"/>
    <d v="2026-04-19T13:59:00"/>
    <x v="6"/>
    <s v="Phone"/>
    <x v="2"/>
    <s v="A008"/>
    <x v="0"/>
    <n v="4"/>
    <n v="24.6"/>
    <x v="1"/>
    <s v="No"/>
    <s v="No"/>
    <n v="3"/>
    <s v="Closed"/>
    <s v="April"/>
    <x v="3"/>
    <n v="2026"/>
    <s v="No"/>
    <n v="0"/>
    <x v="3"/>
    <n v="1"/>
  </r>
  <r>
    <s v="T002519"/>
    <x v="2343"/>
    <d v="2026-04-19T02:48:00"/>
    <x v="5"/>
    <s v="Phone"/>
    <x v="0"/>
    <s v="A033"/>
    <x v="2"/>
    <n v="72"/>
    <n v="13.3"/>
    <x v="1"/>
    <s v="No"/>
    <s v="No"/>
    <m/>
    <s v="Closed"/>
    <s v="April"/>
    <x v="3"/>
    <n v="2026"/>
    <s v="Yes"/>
    <n v="1"/>
    <x v="2"/>
    <n v="1"/>
  </r>
  <r>
    <s v="T002520"/>
    <x v="2344"/>
    <d v="2026-04-19T06:37:00"/>
    <x v="6"/>
    <s v="Phone"/>
    <x v="2"/>
    <s v="A045"/>
    <x v="1"/>
    <n v="4"/>
    <n v="16.5"/>
    <x v="1"/>
    <s v="No"/>
    <s v="No"/>
    <n v="3"/>
    <s v="Closed"/>
    <s v="April"/>
    <x v="3"/>
    <n v="2026"/>
    <s v="No"/>
    <n v="0"/>
    <x v="1"/>
    <n v="1"/>
  </r>
  <r>
    <s v="T002521"/>
    <x v="2345"/>
    <d v="2026-04-19T06:10:00"/>
    <x v="1"/>
    <s v="Phone"/>
    <x v="1"/>
    <s v="A008"/>
    <x v="0"/>
    <n v="24"/>
    <n v="14.2"/>
    <x v="1"/>
    <s v="No"/>
    <s v="Yes"/>
    <m/>
    <s v="Closed"/>
    <s v="April"/>
    <x v="3"/>
    <n v="2026"/>
    <s v="Yes"/>
    <n v="1"/>
    <x v="3"/>
    <n v="1"/>
  </r>
  <r>
    <s v="T002522"/>
    <x v="2346"/>
    <d v="2026-04-19T11:37:00"/>
    <x v="6"/>
    <s v="Phone"/>
    <x v="2"/>
    <s v="A057"/>
    <x v="1"/>
    <n v="4"/>
    <n v="19"/>
    <x v="1"/>
    <s v="No"/>
    <s v="No"/>
    <n v="4"/>
    <s v="Closed"/>
    <s v="April"/>
    <x v="3"/>
    <n v="2026"/>
    <s v="No"/>
    <n v="0"/>
    <x v="1"/>
    <n v="1"/>
  </r>
  <r>
    <s v="T002523"/>
    <x v="2347"/>
    <d v="2026-04-19T00:02:00"/>
    <x v="5"/>
    <s v="Chat"/>
    <x v="0"/>
    <s v="A040"/>
    <x v="1"/>
    <n v="72"/>
    <n v="6.9"/>
    <x v="1"/>
    <s v="No"/>
    <s v="No"/>
    <n v="5"/>
    <s v="Closed"/>
    <s v="April"/>
    <x v="3"/>
    <n v="2026"/>
    <s v="Yes"/>
    <n v="1"/>
    <x v="2"/>
    <n v="1"/>
  </r>
  <r>
    <s v="T002524"/>
    <x v="2348"/>
    <d v="2026-04-19T13:04:00"/>
    <x v="2"/>
    <s v="Email"/>
    <x v="2"/>
    <s v="A041"/>
    <x v="1"/>
    <n v="4"/>
    <n v="19"/>
    <x v="1"/>
    <s v="No"/>
    <s v="No"/>
    <m/>
    <s v="Closed"/>
    <s v="April"/>
    <x v="3"/>
    <n v="2026"/>
    <s v="No"/>
    <n v="0"/>
    <x v="1"/>
    <n v="1"/>
  </r>
  <r>
    <s v="T002525"/>
    <x v="2349"/>
    <d v="2026-04-19T10:03:00"/>
    <x v="0"/>
    <s v="Phone"/>
    <x v="1"/>
    <s v="A024"/>
    <x v="2"/>
    <n v="24"/>
    <n v="15.9"/>
    <x v="1"/>
    <s v="No"/>
    <s v="No"/>
    <n v="4"/>
    <s v="Closed"/>
    <s v="April"/>
    <x v="3"/>
    <n v="2026"/>
    <s v="Yes"/>
    <n v="1"/>
    <x v="1"/>
    <n v="1"/>
  </r>
  <r>
    <s v="T002526"/>
    <x v="2350"/>
    <d v="2026-04-21T03:40:00"/>
    <x v="0"/>
    <s v="Phone"/>
    <x v="2"/>
    <s v="A001"/>
    <x v="0"/>
    <n v="4"/>
    <n v="57.5"/>
    <x v="1"/>
    <s v="No"/>
    <s v="Yes"/>
    <n v="4"/>
    <s v="Closed"/>
    <s v="April"/>
    <x v="3"/>
    <n v="2026"/>
    <s v="No"/>
    <n v="0"/>
    <x v="3"/>
    <n v="1"/>
  </r>
  <r>
    <s v="T002527"/>
    <x v="2351"/>
    <d v="2026-04-19T03:59:00"/>
    <x v="1"/>
    <s v="Email"/>
    <x v="0"/>
    <s v="A004"/>
    <x v="0"/>
    <n v="72"/>
    <n v="8.6999999999999993"/>
    <x v="1"/>
    <s v="No"/>
    <s v="No"/>
    <m/>
    <s v="Closed"/>
    <s v="April"/>
    <x v="3"/>
    <n v="2026"/>
    <s v="Yes"/>
    <n v="1"/>
    <x v="0"/>
    <n v="1"/>
  </r>
  <r>
    <s v="T002528"/>
    <x v="2352"/>
    <d v="2026-04-20T07:19:00"/>
    <x v="4"/>
    <s v="Chat"/>
    <x v="0"/>
    <s v="A040"/>
    <x v="1"/>
    <n v="72"/>
    <n v="35.4"/>
    <x v="0"/>
    <s v="Yes"/>
    <s v="No"/>
    <m/>
    <s v="Closed"/>
    <s v="April"/>
    <x v="3"/>
    <n v="2026"/>
    <s v="Yes"/>
    <n v="1"/>
    <x v="2"/>
    <n v="0"/>
  </r>
  <r>
    <s v="T002529"/>
    <x v="2353"/>
    <d v="2026-04-20T08:05:00"/>
    <x v="6"/>
    <s v="Field Visit"/>
    <x v="2"/>
    <s v="A060"/>
    <x v="1"/>
    <n v="4"/>
    <n v="33.799999999999997"/>
    <x v="0"/>
    <s v="Yes"/>
    <s v="No"/>
    <n v="4"/>
    <s v="Closed"/>
    <s v="April"/>
    <x v="3"/>
    <n v="2026"/>
    <s v="No"/>
    <n v="0"/>
    <x v="1"/>
    <n v="0"/>
  </r>
  <r>
    <s v="T002530"/>
    <x v="2354"/>
    <d v="2026-04-19T12:50:00"/>
    <x v="6"/>
    <s v="Phone"/>
    <x v="2"/>
    <s v="A059"/>
    <x v="1"/>
    <n v="4"/>
    <n v="9.6999999999999993"/>
    <x v="1"/>
    <s v="No"/>
    <s v="No"/>
    <n v="4"/>
    <s v="Closed"/>
    <s v="April"/>
    <x v="3"/>
    <n v="2026"/>
    <s v="No"/>
    <n v="0"/>
    <x v="3"/>
    <n v="1"/>
  </r>
  <r>
    <s v="T002531"/>
    <x v="2355"/>
    <d v="2026-04-19T23:58:00"/>
    <x v="0"/>
    <s v="Phone"/>
    <x v="1"/>
    <s v="A023"/>
    <x v="2"/>
    <n v="24"/>
    <n v="17.3"/>
    <x v="0"/>
    <s v="No"/>
    <s v="No"/>
    <n v="4"/>
    <s v="Closed"/>
    <s v="April"/>
    <x v="3"/>
    <n v="2026"/>
    <s v="Yes"/>
    <n v="1"/>
    <x v="2"/>
    <n v="0"/>
  </r>
  <r>
    <s v="T002532"/>
    <x v="2356"/>
    <d v="2026-04-22T01:34:00"/>
    <x v="3"/>
    <s v="Field Visit"/>
    <x v="1"/>
    <s v="A041"/>
    <x v="1"/>
    <n v="24"/>
    <n v="66.599999999999994"/>
    <x v="1"/>
    <s v="No"/>
    <s v="No"/>
    <n v="4"/>
    <s v="Closed"/>
    <s v="April"/>
    <x v="3"/>
    <n v="2026"/>
    <s v="No"/>
    <n v="0"/>
    <x v="4"/>
    <n v="1"/>
  </r>
  <r>
    <s v="T002533"/>
    <x v="2357"/>
    <d v="2026-04-19T23:10:00"/>
    <x v="1"/>
    <s v="Email"/>
    <x v="1"/>
    <s v="A042"/>
    <x v="1"/>
    <n v="24"/>
    <n v="13.5"/>
    <x v="1"/>
    <s v="No"/>
    <s v="No"/>
    <m/>
    <s v="Closed"/>
    <s v="April"/>
    <x v="3"/>
    <n v="2026"/>
    <s v="Yes"/>
    <n v="1"/>
    <x v="2"/>
    <n v="1"/>
  </r>
  <r>
    <s v="T002534"/>
    <x v="2358"/>
    <d v="2026-04-19T18:15:00"/>
    <x v="6"/>
    <s v="Phone"/>
    <x v="2"/>
    <s v="A057"/>
    <x v="1"/>
    <n v="4"/>
    <n v="8.1"/>
    <x v="1"/>
    <s v="No"/>
    <s v="No"/>
    <m/>
    <s v="Closed"/>
    <s v="April"/>
    <x v="3"/>
    <n v="2026"/>
    <s v="No"/>
    <n v="0"/>
    <x v="4"/>
    <n v="1"/>
  </r>
  <r>
    <s v="T002535"/>
    <x v="2359"/>
    <d v="2026-04-28T13:07:00"/>
    <x v="4"/>
    <s v="Field Visit"/>
    <x v="1"/>
    <s v="A013"/>
    <x v="0"/>
    <n v="24"/>
    <n v="217.8"/>
    <x v="0"/>
    <s v="Yes"/>
    <s v="No"/>
    <n v="3"/>
    <s v="Closed"/>
    <s v="April"/>
    <x v="3"/>
    <n v="2026"/>
    <s v="No"/>
    <n v="0"/>
    <x v="4"/>
    <n v="0"/>
  </r>
  <r>
    <s v="T002536"/>
    <x v="2360"/>
    <d v="2026-04-19T19:57:00"/>
    <x v="5"/>
    <s v="Phone"/>
    <x v="0"/>
    <s v="A033"/>
    <x v="2"/>
    <n v="72"/>
    <n v="8.6"/>
    <x v="1"/>
    <s v="No"/>
    <s v="No"/>
    <n v="4"/>
    <s v="Closed"/>
    <s v="April"/>
    <x v="3"/>
    <n v="2026"/>
    <s v="Yes"/>
    <n v="1"/>
    <x v="4"/>
    <n v="1"/>
  </r>
  <r>
    <s v="T002537"/>
    <x v="2361"/>
    <d v="2026-04-19T14:28:00"/>
    <x v="1"/>
    <s v="Chat"/>
    <x v="0"/>
    <s v="A053"/>
    <x v="1"/>
    <n v="72"/>
    <n v="3.1"/>
    <x v="1"/>
    <s v="No"/>
    <s v="No"/>
    <n v="5"/>
    <s v="Closed"/>
    <s v="April"/>
    <x v="3"/>
    <n v="2026"/>
    <s v="Yes"/>
    <n v="1"/>
    <x v="3"/>
    <n v="1"/>
  </r>
  <r>
    <s v="T002538"/>
    <x v="2362"/>
    <d v="2026-04-20T09:40:00"/>
    <x v="3"/>
    <s v="Chat"/>
    <x v="0"/>
    <s v="A009"/>
    <x v="0"/>
    <n v="72"/>
    <n v="21.9"/>
    <x v="1"/>
    <s v="No"/>
    <s v="No"/>
    <n v="4"/>
    <s v="Closed"/>
    <s v="April"/>
    <x v="3"/>
    <n v="2026"/>
    <s v="Yes"/>
    <n v="1"/>
    <x v="3"/>
    <n v="1"/>
  </r>
  <r>
    <s v="T002539"/>
    <x v="2363"/>
    <d v="2026-04-23T09:30:00"/>
    <x v="4"/>
    <s v="Email"/>
    <x v="0"/>
    <s v="A036"/>
    <x v="1"/>
    <n v="72"/>
    <n v="93.2"/>
    <x v="0"/>
    <s v="No"/>
    <s v="No"/>
    <n v="4"/>
    <s v="Closed"/>
    <s v="April"/>
    <x v="3"/>
    <n v="2026"/>
    <s v="No"/>
    <n v="0"/>
    <x v="0"/>
    <n v="0"/>
  </r>
  <r>
    <s v="T002540"/>
    <x v="2364"/>
    <d v="2026-04-19T23:26:00"/>
    <x v="6"/>
    <s v="Phone"/>
    <x v="0"/>
    <s v="A046"/>
    <x v="1"/>
    <n v="72"/>
    <n v="8.1"/>
    <x v="1"/>
    <s v="No"/>
    <s v="No"/>
    <n v="4"/>
    <s v="Closed"/>
    <s v="April"/>
    <x v="3"/>
    <n v="2026"/>
    <s v="Yes"/>
    <n v="1"/>
    <x v="0"/>
    <n v="1"/>
  </r>
  <r>
    <s v="T002541"/>
    <x v="2365"/>
    <d v="2026-04-20T04:56:00"/>
    <x v="0"/>
    <s v="Chat"/>
    <x v="0"/>
    <s v="A005"/>
    <x v="0"/>
    <n v="72"/>
    <n v="12.3"/>
    <x v="0"/>
    <s v="No"/>
    <s v="No"/>
    <m/>
    <s v="Closed"/>
    <s v="April"/>
    <x v="3"/>
    <n v="2026"/>
    <s v="Yes"/>
    <n v="1"/>
    <x v="0"/>
    <n v="0"/>
  </r>
  <r>
    <s v="T002542"/>
    <x v="2366"/>
    <d v="2026-04-20T11:27:00"/>
    <x v="1"/>
    <s v="Phone"/>
    <x v="1"/>
    <s v="A037"/>
    <x v="1"/>
    <n v="24"/>
    <n v="17.3"/>
    <x v="1"/>
    <s v="No"/>
    <s v="No"/>
    <m/>
    <s v="Closed"/>
    <s v="April"/>
    <x v="3"/>
    <n v="2026"/>
    <s v="Yes"/>
    <n v="1"/>
    <x v="0"/>
    <n v="1"/>
  </r>
  <r>
    <s v="T002543"/>
    <x v="2367"/>
    <d v="2026-04-20T14:59:00"/>
    <x v="5"/>
    <s v="Phone"/>
    <x v="0"/>
    <s v="A012"/>
    <x v="0"/>
    <n v="72"/>
    <n v="20"/>
    <x v="1"/>
    <s v="No"/>
    <s v="No"/>
    <n v="4"/>
    <s v="Closed"/>
    <s v="April"/>
    <x v="3"/>
    <n v="2026"/>
    <s v="Yes"/>
    <n v="1"/>
    <x v="1"/>
    <n v="1"/>
  </r>
  <r>
    <s v="T002544"/>
    <x v="2368"/>
    <d v="2026-04-20T15:54:00"/>
    <x v="2"/>
    <s v="Chat"/>
    <x v="2"/>
    <s v="A015"/>
    <x v="0"/>
    <n v="4"/>
    <n v="20.5"/>
    <x v="0"/>
    <s v="No"/>
    <s v="Yes"/>
    <n v="2"/>
    <s v="Closed"/>
    <s v="April"/>
    <x v="3"/>
    <n v="2026"/>
    <s v="No"/>
    <n v="0"/>
    <x v="0"/>
    <n v="0"/>
  </r>
  <r>
    <s v="T002545"/>
    <x v="2369"/>
    <d v="2026-04-20T10:22:00"/>
    <x v="5"/>
    <s v="Email"/>
    <x v="1"/>
    <s v="A020"/>
    <x v="2"/>
    <n v="24"/>
    <n v="13.9"/>
    <x v="0"/>
    <s v="Yes"/>
    <s v="No"/>
    <n v="2"/>
    <s v="Closed"/>
    <s v="April"/>
    <x v="3"/>
    <n v="2026"/>
    <s v="Yes"/>
    <n v="1"/>
    <x v="4"/>
    <n v="0"/>
  </r>
  <r>
    <s v="T002546"/>
    <x v="2370"/>
    <d v="2026-04-20T07:39:00"/>
    <x v="5"/>
    <s v="Chat"/>
    <x v="1"/>
    <s v="A058"/>
    <x v="1"/>
    <n v="24"/>
    <n v="10.7"/>
    <x v="1"/>
    <s v="No"/>
    <s v="No"/>
    <m/>
    <s v="Closed"/>
    <s v="April"/>
    <x v="3"/>
    <n v="2026"/>
    <s v="Yes"/>
    <n v="1"/>
    <x v="3"/>
    <n v="1"/>
  </r>
  <r>
    <s v="T002547"/>
    <x v="2371"/>
    <d v="2026-04-20T07:44:00"/>
    <x v="1"/>
    <s v="Email"/>
    <x v="0"/>
    <s v="A030"/>
    <x v="2"/>
    <n v="72"/>
    <n v="10"/>
    <x v="1"/>
    <s v="No"/>
    <s v="No"/>
    <n v="5"/>
    <s v="Closed"/>
    <s v="April"/>
    <x v="3"/>
    <n v="2026"/>
    <s v="Yes"/>
    <n v="1"/>
    <x v="4"/>
    <n v="1"/>
  </r>
  <r>
    <s v="T002548"/>
    <x v="2372"/>
    <d v="2026-04-20T21:45:00"/>
    <x v="1"/>
    <s v="Email"/>
    <x v="0"/>
    <s v="A015"/>
    <x v="0"/>
    <n v="72"/>
    <n v="18.899999999999999"/>
    <x v="1"/>
    <s v="No"/>
    <s v="No"/>
    <n v="5"/>
    <s v="Closed"/>
    <s v="April"/>
    <x v="3"/>
    <n v="2026"/>
    <s v="Yes"/>
    <n v="1"/>
    <x v="4"/>
    <n v="1"/>
  </r>
  <r>
    <s v="T002549"/>
    <x v="2373"/>
    <d v="2026-04-20T07:39:00"/>
    <x v="1"/>
    <s v="Chat"/>
    <x v="1"/>
    <s v="A013"/>
    <x v="0"/>
    <n v="24"/>
    <n v="3.7"/>
    <x v="1"/>
    <s v="No"/>
    <s v="No"/>
    <n v="5"/>
    <s v="Closed"/>
    <s v="April"/>
    <x v="3"/>
    <n v="2026"/>
    <s v="Yes"/>
    <n v="1"/>
    <x v="1"/>
    <n v="1"/>
  </r>
  <r>
    <s v="T002550"/>
    <x v="2374"/>
    <d v="2026-04-21T04:19:00"/>
    <x v="0"/>
    <s v="Phone"/>
    <x v="0"/>
    <s v="A019"/>
    <x v="2"/>
    <n v="72"/>
    <n v="19.7"/>
    <x v="1"/>
    <s v="No"/>
    <s v="No"/>
    <n v="5"/>
    <s v="Closed"/>
    <s v="April"/>
    <x v="3"/>
    <n v="2026"/>
    <s v="Yes"/>
    <n v="1"/>
    <x v="4"/>
    <n v="1"/>
  </r>
  <r>
    <s v="T002551"/>
    <x v="2375"/>
    <d v="2026-04-22T13:24:00"/>
    <x v="4"/>
    <s v="Phone"/>
    <x v="0"/>
    <s v="A032"/>
    <x v="2"/>
    <n v="72"/>
    <n v="50"/>
    <x v="1"/>
    <s v="No"/>
    <s v="No"/>
    <n v="4"/>
    <s v="Closed"/>
    <s v="April"/>
    <x v="3"/>
    <n v="2026"/>
    <s v="Yes"/>
    <n v="1"/>
    <x v="1"/>
    <n v="1"/>
  </r>
  <r>
    <s v="T002552"/>
    <x v="2376"/>
    <d v="2026-04-20T20:55:00"/>
    <x v="2"/>
    <s v="Phone"/>
    <x v="1"/>
    <s v="A012"/>
    <x v="0"/>
    <n v="24"/>
    <n v="9.4"/>
    <x v="0"/>
    <s v="Yes"/>
    <s v="No"/>
    <n v="4"/>
    <s v="Closed"/>
    <s v="April"/>
    <x v="3"/>
    <n v="2026"/>
    <s v="Yes"/>
    <n v="1"/>
    <x v="2"/>
    <n v="0"/>
  </r>
  <r>
    <s v="T002553"/>
    <x v="2377"/>
    <d v="2026-04-20T19:15:00"/>
    <x v="3"/>
    <s v="Chat"/>
    <x v="1"/>
    <s v="A050"/>
    <x v="1"/>
    <n v="24"/>
    <n v="7"/>
    <x v="0"/>
    <s v="Yes"/>
    <s v="No"/>
    <n v="4"/>
    <s v="Closed"/>
    <s v="April"/>
    <x v="3"/>
    <n v="2026"/>
    <s v="Yes"/>
    <n v="1"/>
    <x v="0"/>
    <n v="0"/>
  </r>
  <r>
    <s v="T002554"/>
    <x v="2378"/>
    <d v="2026-04-21T23:18:00"/>
    <x v="5"/>
    <s v="Field Visit"/>
    <x v="1"/>
    <s v="A049"/>
    <x v="1"/>
    <n v="24"/>
    <n v="34.4"/>
    <x v="1"/>
    <s v="No"/>
    <s v="No"/>
    <n v="4"/>
    <s v="Closed"/>
    <s v="April"/>
    <x v="3"/>
    <n v="2026"/>
    <s v="No"/>
    <n v="0"/>
    <x v="3"/>
    <n v="1"/>
  </r>
  <r>
    <s v="T002555"/>
    <x v="2379"/>
    <d v="2026-04-21T04:22:00"/>
    <x v="3"/>
    <s v="Phone"/>
    <x v="0"/>
    <s v="A054"/>
    <x v="1"/>
    <n v="72"/>
    <n v="15.1"/>
    <x v="1"/>
    <s v="No"/>
    <s v="No"/>
    <n v="5"/>
    <s v="Closed"/>
    <s v="April"/>
    <x v="3"/>
    <n v="2026"/>
    <s v="Yes"/>
    <n v="1"/>
    <x v="4"/>
    <n v="1"/>
  </r>
  <r>
    <s v="T002556"/>
    <x v="2380"/>
    <d v="2026-04-20T20:36:00"/>
    <x v="5"/>
    <s v="Chat"/>
    <x v="0"/>
    <s v="A051"/>
    <x v="1"/>
    <n v="72"/>
    <n v="7.1"/>
    <x v="0"/>
    <s v="Yes"/>
    <s v="No"/>
    <n v="3"/>
    <s v="Closed"/>
    <s v="April"/>
    <x v="3"/>
    <n v="2026"/>
    <s v="Yes"/>
    <n v="1"/>
    <x v="4"/>
    <n v="0"/>
  </r>
  <r>
    <s v="T002557"/>
    <x v="2381"/>
    <d v="2026-04-20T18:53:00"/>
    <x v="2"/>
    <s v="Chat"/>
    <x v="0"/>
    <s v="A022"/>
    <x v="2"/>
    <n v="72"/>
    <n v="5.2"/>
    <x v="0"/>
    <s v="Yes"/>
    <s v="No"/>
    <n v="4"/>
    <s v="Closed"/>
    <s v="April"/>
    <x v="3"/>
    <n v="2026"/>
    <s v="Yes"/>
    <n v="1"/>
    <x v="4"/>
    <n v="0"/>
  </r>
  <r>
    <s v="T002558"/>
    <x v="2382"/>
    <d v="2026-04-21T07:31:00"/>
    <x v="3"/>
    <s v="Phone"/>
    <x v="0"/>
    <s v="A023"/>
    <x v="2"/>
    <n v="72"/>
    <n v="17.8"/>
    <x v="1"/>
    <s v="No"/>
    <s v="No"/>
    <m/>
    <s v="Closed"/>
    <s v="April"/>
    <x v="3"/>
    <n v="2026"/>
    <s v="Yes"/>
    <n v="1"/>
    <x v="0"/>
    <n v="1"/>
  </r>
  <r>
    <s v="T002559"/>
    <x v="2383"/>
    <d v="2026-04-21T15:16:00"/>
    <x v="6"/>
    <s v="Field Visit"/>
    <x v="1"/>
    <s v="A050"/>
    <x v="1"/>
    <n v="24"/>
    <n v="25"/>
    <x v="1"/>
    <s v="No"/>
    <s v="No"/>
    <n v="4"/>
    <s v="Closed"/>
    <s v="April"/>
    <x v="3"/>
    <n v="2026"/>
    <s v="No"/>
    <n v="0"/>
    <x v="4"/>
    <n v="1"/>
  </r>
  <r>
    <s v="T002560"/>
    <x v="2384"/>
    <d v="2026-04-21T05:29:00"/>
    <x v="1"/>
    <s v="Phone"/>
    <x v="0"/>
    <s v="A023"/>
    <x v="2"/>
    <n v="72"/>
    <n v="10.8"/>
    <x v="1"/>
    <s v="No"/>
    <s v="No"/>
    <m/>
    <s v="Closed"/>
    <s v="April"/>
    <x v="3"/>
    <n v="2026"/>
    <s v="Yes"/>
    <n v="1"/>
    <x v="3"/>
    <n v="1"/>
  </r>
  <r>
    <s v="T002561"/>
    <x v="2385"/>
    <d v="2026-04-21T00:27:00"/>
    <x v="6"/>
    <s v="Phone"/>
    <x v="1"/>
    <s v="A034"/>
    <x v="2"/>
    <n v="24"/>
    <n v="4.5"/>
    <x v="1"/>
    <s v="No"/>
    <s v="No"/>
    <n v="5"/>
    <s v="Closed"/>
    <s v="April"/>
    <x v="3"/>
    <n v="2026"/>
    <s v="Yes"/>
    <n v="1"/>
    <x v="4"/>
    <n v="1"/>
  </r>
  <r>
    <s v="T002562"/>
    <x v="2386"/>
    <d v="2026-04-21T05:00:00"/>
    <x v="0"/>
    <s v="Phone"/>
    <x v="1"/>
    <s v="A028"/>
    <x v="2"/>
    <n v="24"/>
    <n v="7.4"/>
    <x v="1"/>
    <s v="No"/>
    <s v="No"/>
    <m/>
    <s v="Closed"/>
    <s v="April"/>
    <x v="3"/>
    <n v="2026"/>
    <s v="Yes"/>
    <n v="1"/>
    <x v="3"/>
    <n v="1"/>
  </r>
  <r>
    <s v="T002563"/>
    <x v="2387"/>
    <d v="2026-04-21T08:44:00"/>
    <x v="1"/>
    <s v="Chat"/>
    <x v="0"/>
    <s v="A040"/>
    <x v="1"/>
    <n v="72"/>
    <n v="5.0999999999999996"/>
    <x v="1"/>
    <s v="No"/>
    <s v="No"/>
    <m/>
    <s v="Closed"/>
    <s v="April"/>
    <x v="3"/>
    <n v="2026"/>
    <s v="Yes"/>
    <n v="1"/>
    <x v="4"/>
    <n v="1"/>
  </r>
  <r>
    <s v="T002564"/>
    <x v="2388"/>
    <d v="2026-04-21T16:17:00"/>
    <x v="3"/>
    <s v="Chat"/>
    <x v="1"/>
    <s v="A009"/>
    <x v="0"/>
    <n v="24"/>
    <n v="9"/>
    <x v="0"/>
    <s v="Yes"/>
    <s v="No"/>
    <n v="4"/>
    <s v="Closed"/>
    <s v="April"/>
    <x v="3"/>
    <n v="2026"/>
    <s v="Yes"/>
    <n v="1"/>
    <x v="3"/>
    <n v="0"/>
  </r>
  <r>
    <s v="T002565"/>
    <x v="2389"/>
    <d v="2026-04-21T09:56:00"/>
    <x v="1"/>
    <s v="Phone"/>
    <x v="0"/>
    <s v="A021"/>
    <x v="2"/>
    <n v="72"/>
    <n v="1.8"/>
    <x v="0"/>
    <s v="Yes"/>
    <s v="No"/>
    <m/>
    <s v="Closed"/>
    <s v="April"/>
    <x v="3"/>
    <n v="2026"/>
    <s v="Yes"/>
    <n v="1"/>
    <x v="4"/>
    <n v="0"/>
  </r>
  <r>
    <s v="T002566"/>
    <x v="2390"/>
    <d v="2026-04-21T14:42:00"/>
    <x v="5"/>
    <s v="Phone"/>
    <x v="1"/>
    <s v="A060"/>
    <x v="1"/>
    <n v="24"/>
    <n v="6.4"/>
    <x v="1"/>
    <s v="No"/>
    <s v="No"/>
    <n v="5"/>
    <s v="Closed"/>
    <s v="April"/>
    <x v="3"/>
    <n v="2026"/>
    <s v="Yes"/>
    <n v="1"/>
    <x v="2"/>
    <n v="1"/>
  </r>
  <r>
    <s v="T002567"/>
    <x v="2391"/>
    <d v="2026-04-22T12:34:00"/>
    <x v="3"/>
    <s v="Chat"/>
    <x v="1"/>
    <s v="A029"/>
    <x v="2"/>
    <n v="24"/>
    <n v="27.8"/>
    <x v="1"/>
    <s v="No"/>
    <s v="No"/>
    <n v="5"/>
    <s v="Closed"/>
    <s v="April"/>
    <x v="3"/>
    <n v="2026"/>
    <s v="No"/>
    <n v="0"/>
    <x v="3"/>
    <n v="1"/>
  </r>
  <r>
    <s v="T002568"/>
    <x v="2392"/>
    <d v="2026-04-21T16:50:00"/>
    <x v="5"/>
    <s v="Phone"/>
    <x v="1"/>
    <s v="A044"/>
    <x v="1"/>
    <n v="24"/>
    <n v="8"/>
    <x v="1"/>
    <s v="No"/>
    <s v="No"/>
    <n v="4"/>
    <s v="Closed"/>
    <s v="April"/>
    <x v="3"/>
    <n v="2026"/>
    <s v="Yes"/>
    <n v="1"/>
    <x v="2"/>
    <n v="1"/>
  </r>
  <r>
    <s v="T002569"/>
    <x v="2393"/>
    <d v="2026-04-21T20:00:00"/>
    <x v="6"/>
    <s v="Field Visit"/>
    <x v="1"/>
    <s v="A016"/>
    <x v="2"/>
    <n v="24"/>
    <n v="9"/>
    <x v="1"/>
    <s v="No"/>
    <s v="No"/>
    <n v="4"/>
    <s v="Closed"/>
    <s v="April"/>
    <x v="3"/>
    <n v="2026"/>
    <s v="Yes"/>
    <n v="1"/>
    <x v="3"/>
    <n v="1"/>
  </r>
  <r>
    <s v="T002570"/>
    <x v="2394"/>
    <d v="2026-04-21T15:11:00"/>
    <x v="0"/>
    <s v="Phone"/>
    <x v="0"/>
    <s v="A053"/>
    <x v="1"/>
    <n v="72"/>
    <n v="3.6"/>
    <x v="1"/>
    <s v="No"/>
    <s v="Yes"/>
    <n v="5"/>
    <s v="Closed"/>
    <s v="April"/>
    <x v="3"/>
    <n v="2026"/>
    <s v="Yes"/>
    <n v="1"/>
    <x v="4"/>
    <n v="1"/>
  </r>
  <r>
    <s v="T002571"/>
    <x v="2395"/>
    <d v="2026-04-22T13:29:00"/>
    <x v="2"/>
    <s v="Field Visit"/>
    <x v="2"/>
    <s v="A037"/>
    <x v="1"/>
    <n v="4"/>
    <n v="25.8"/>
    <x v="1"/>
    <s v="No"/>
    <s v="No"/>
    <n v="5"/>
    <s v="Closed"/>
    <s v="April"/>
    <x v="3"/>
    <n v="2026"/>
    <s v="No"/>
    <n v="0"/>
    <x v="2"/>
    <n v="1"/>
  </r>
  <r>
    <s v="T002572"/>
    <x v="2396"/>
    <d v="2026-04-21T16:28:00"/>
    <x v="1"/>
    <s v="Chat"/>
    <x v="1"/>
    <s v="A004"/>
    <x v="0"/>
    <n v="24"/>
    <n v="4.4000000000000004"/>
    <x v="1"/>
    <s v="No"/>
    <s v="No"/>
    <m/>
    <s v="Closed"/>
    <s v="April"/>
    <x v="3"/>
    <n v="2026"/>
    <s v="Yes"/>
    <n v="1"/>
    <x v="1"/>
    <n v="1"/>
  </r>
  <r>
    <s v="T002573"/>
    <x v="2397"/>
    <d v="2026-04-22T12:54:00"/>
    <x v="2"/>
    <s v="Field Visit"/>
    <x v="1"/>
    <s v="A059"/>
    <x v="1"/>
    <n v="24"/>
    <n v="24.8"/>
    <x v="1"/>
    <s v="No"/>
    <s v="No"/>
    <n v="3"/>
    <s v="Closed"/>
    <s v="April"/>
    <x v="3"/>
    <n v="2026"/>
    <s v="No"/>
    <n v="0"/>
    <x v="0"/>
    <n v="1"/>
  </r>
  <r>
    <s v="T002574"/>
    <x v="2398"/>
    <d v="2026-04-21T23:47:00"/>
    <x v="2"/>
    <s v="Phone"/>
    <x v="1"/>
    <s v="A007"/>
    <x v="0"/>
    <n v="24"/>
    <n v="11"/>
    <x v="1"/>
    <s v="No"/>
    <s v="No"/>
    <n v="3"/>
    <s v="Closed"/>
    <s v="April"/>
    <x v="3"/>
    <n v="2026"/>
    <s v="Yes"/>
    <n v="1"/>
    <x v="4"/>
    <n v="1"/>
  </r>
  <r>
    <s v="T002575"/>
    <x v="2399"/>
    <d v="2026-04-23T09:37:00"/>
    <x v="3"/>
    <s v="Field Visit"/>
    <x v="1"/>
    <s v="A052"/>
    <x v="1"/>
    <n v="24"/>
    <n v="44.3"/>
    <x v="1"/>
    <s v="No"/>
    <s v="No"/>
    <m/>
    <s v="Closed"/>
    <s v="April"/>
    <x v="3"/>
    <n v="2026"/>
    <s v="No"/>
    <n v="0"/>
    <x v="4"/>
    <n v="1"/>
  </r>
  <r>
    <s v="T002576"/>
    <x v="2400"/>
    <d v="2026-04-21T18:33:00"/>
    <x v="5"/>
    <s v="Phone"/>
    <x v="0"/>
    <s v="A003"/>
    <x v="0"/>
    <n v="72"/>
    <n v="3.8"/>
    <x v="0"/>
    <s v="Yes"/>
    <s v="No"/>
    <n v="4"/>
    <s v="Closed"/>
    <s v="April"/>
    <x v="3"/>
    <n v="2026"/>
    <s v="Yes"/>
    <n v="1"/>
    <x v="3"/>
    <n v="0"/>
  </r>
  <r>
    <s v="T002577"/>
    <x v="2401"/>
    <d v="2026-04-21T22:30:00"/>
    <x v="6"/>
    <s v="Phone"/>
    <x v="1"/>
    <s v="A043"/>
    <x v="1"/>
    <n v="24"/>
    <n v="6.8"/>
    <x v="1"/>
    <s v="No"/>
    <s v="No"/>
    <n v="4"/>
    <s v="Closed"/>
    <s v="April"/>
    <x v="3"/>
    <n v="2026"/>
    <s v="Yes"/>
    <n v="1"/>
    <x v="0"/>
    <n v="1"/>
  </r>
  <r>
    <s v="T002578"/>
    <x v="2402"/>
    <d v="2026-04-22T23:31:00"/>
    <x v="2"/>
    <s v="Field Visit"/>
    <x v="1"/>
    <s v="A055"/>
    <x v="1"/>
    <n v="24"/>
    <n v="29.8"/>
    <x v="1"/>
    <s v="No"/>
    <s v="No"/>
    <n v="5"/>
    <s v="Closed"/>
    <s v="April"/>
    <x v="3"/>
    <n v="2026"/>
    <s v="No"/>
    <n v="0"/>
    <x v="4"/>
    <n v="1"/>
  </r>
  <r>
    <s v="T002579"/>
    <x v="2403"/>
    <d v="2026-04-22T01:07:00"/>
    <x v="2"/>
    <s v="Phone"/>
    <x v="1"/>
    <s v="A058"/>
    <x v="1"/>
    <n v="24"/>
    <n v="6.5"/>
    <x v="1"/>
    <s v="No"/>
    <s v="No"/>
    <n v="5"/>
    <s v="Closed"/>
    <s v="April"/>
    <x v="3"/>
    <n v="2026"/>
    <s v="Yes"/>
    <n v="1"/>
    <x v="3"/>
    <n v="1"/>
  </r>
  <r>
    <s v="T002580"/>
    <x v="2404"/>
    <d v="2026-04-24T02:52:00"/>
    <x v="4"/>
    <s v="Phone"/>
    <x v="2"/>
    <s v="A012"/>
    <x v="0"/>
    <n v="4"/>
    <n v="56.1"/>
    <x v="0"/>
    <s v="No"/>
    <s v="No"/>
    <n v="4"/>
    <s v="Closed"/>
    <s v="April"/>
    <x v="3"/>
    <n v="2026"/>
    <s v="No"/>
    <n v="0"/>
    <x v="4"/>
    <n v="0"/>
  </r>
  <r>
    <s v="T002581"/>
    <x v="2405"/>
    <d v="2026-04-22T11:27:00"/>
    <x v="3"/>
    <s v="Phone"/>
    <x v="1"/>
    <s v="A003"/>
    <x v="0"/>
    <n v="24"/>
    <n v="16.5"/>
    <x v="1"/>
    <s v="No"/>
    <s v="No"/>
    <m/>
    <s v="Closed"/>
    <s v="April"/>
    <x v="3"/>
    <n v="2026"/>
    <s v="Yes"/>
    <n v="1"/>
    <x v="4"/>
    <n v="1"/>
  </r>
  <r>
    <s v="T002582"/>
    <x v="2406"/>
    <d v="2026-04-22T15:41:00"/>
    <x v="0"/>
    <s v="Phone"/>
    <x v="1"/>
    <s v="A038"/>
    <x v="1"/>
    <n v="24"/>
    <n v="20.5"/>
    <x v="1"/>
    <s v="No"/>
    <s v="No"/>
    <m/>
    <s v="Closed"/>
    <s v="April"/>
    <x v="3"/>
    <n v="2026"/>
    <s v="Yes"/>
    <n v="1"/>
    <x v="2"/>
    <n v="1"/>
  </r>
  <r>
    <s v="T002583"/>
    <x v="2407"/>
    <d v="2026-04-22T15:30:00"/>
    <x v="0"/>
    <s v="Phone"/>
    <x v="0"/>
    <s v="A052"/>
    <x v="1"/>
    <n v="72"/>
    <n v="17.2"/>
    <x v="1"/>
    <s v="No"/>
    <s v="No"/>
    <n v="5"/>
    <s v="Closed"/>
    <s v="April"/>
    <x v="3"/>
    <n v="2026"/>
    <s v="Yes"/>
    <n v="1"/>
    <x v="2"/>
    <n v="1"/>
  </r>
  <r>
    <s v="T002584"/>
    <x v="2408"/>
    <d v="2026-04-22T19:25:00"/>
    <x v="1"/>
    <s v="Phone"/>
    <x v="0"/>
    <s v="A002"/>
    <x v="0"/>
    <n v="72"/>
    <n v="13.2"/>
    <x v="0"/>
    <s v="No"/>
    <s v="No"/>
    <n v="4"/>
    <s v="Closed"/>
    <s v="April"/>
    <x v="3"/>
    <n v="2026"/>
    <s v="Yes"/>
    <n v="1"/>
    <x v="3"/>
    <n v="0"/>
  </r>
  <r>
    <s v="T002585"/>
    <x v="2409"/>
    <d v="2026-04-26T13:09:00"/>
    <x v="4"/>
    <s v="Field Visit"/>
    <x v="0"/>
    <s v="A009"/>
    <x v="0"/>
    <n v="72"/>
    <n v="101.1"/>
    <x v="1"/>
    <s v="No"/>
    <s v="No"/>
    <n v="5"/>
    <s v="Closed"/>
    <s v="April"/>
    <x v="3"/>
    <n v="2026"/>
    <s v="No"/>
    <n v="0"/>
    <x v="2"/>
    <n v="1"/>
  </r>
  <r>
    <s v="T002586"/>
    <x v="2410"/>
    <d v="2026-04-22T13:48:00"/>
    <x v="6"/>
    <s v="Phone"/>
    <x v="2"/>
    <s v="A007"/>
    <x v="0"/>
    <n v="4"/>
    <n v="5.2"/>
    <x v="1"/>
    <s v="No"/>
    <s v="No"/>
    <m/>
    <s v="Closed"/>
    <s v="April"/>
    <x v="3"/>
    <n v="2026"/>
    <s v="No"/>
    <n v="0"/>
    <x v="4"/>
    <n v="1"/>
  </r>
  <r>
    <s v="T002587"/>
    <x v="2411"/>
    <d v="2026-04-26T15:25:00"/>
    <x v="4"/>
    <s v="Phone"/>
    <x v="1"/>
    <s v="A011"/>
    <x v="0"/>
    <n v="24"/>
    <n v="102"/>
    <x v="0"/>
    <s v="Yes"/>
    <s v="No"/>
    <n v="4"/>
    <s v="Closed"/>
    <s v="April"/>
    <x v="3"/>
    <n v="2026"/>
    <s v="No"/>
    <n v="0"/>
    <x v="2"/>
    <n v="0"/>
  </r>
  <r>
    <s v="T002588"/>
    <x v="2412"/>
    <d v="2026-04-23T20:10:00"/>
    <x v="1"/>
    <s v="Email"/>
    <x v="0"/>
    <s v="A050"/>
    <x v="1"/>
    <n v="72"/>
    <n v="34.6"/>
    <x v="0"/>
    <s v="Yes"/>
    <s v="No"/>
    <n v="2"/>
    <s v="Closed"/>
    <s v="April"/>
    <x v="3"/>
    <n v="2026"/>
    <s v="Yes"/>
    <n v="1"/>
    <x v="4"/>
    <n v="0"/>
  </r>
  <r>
    <s v="T002589"/>
    <x v="2413"/>
    <d v="2026-04-22T15:09:00"/>
    <x v="6"/>
    <s v="Phone"/>
    <x v="2"/>
    <s v="A008"/>
    <x v="0"/>
    <n v="4"/>
    <n v="5.0999999999999996"/>
    <x v="1"/>
    <s v="No"/>
    <s v="Yes"/>
    <m/>
    <s v="Closed"/>
    <s v="April"/>
    <x v="3"/>
    <n v="2026"/>
    <s v="No"/>
    <n v="0"/>
    <x v="1"/>
    <n v="1"/>
  </r>
  <r>
    <s v="T002590"/>
    <x v="2414"/>
    <d v="2026-04-22T21:41:00"/>
    <x v="6"/>
    <s v="Field Visit"/>
    <x v="2"/>
    <s v="A028"/>
    <x v="2"/>
    <n v="4"/>
    <n v="10.9"/>
    <x v="1"/>
    <s v="No"/>
    <s v="No"/>
    <m/>
    <s v="Closed"/>
    <s v="April"/>
    <x v="3"/>
    <n v="2026"/>
    <s v="No"/>
    <n v="0"/>
    <x v="1"/>
    <n v="1"/>
  </r>
  <r>
    <s v="T002591"/>
    <x v="2415"/>
    <d v="2026-04-22T18:18:00"/>
    <x v="5"/>
    <s v="Chat"/>
    <x v="1"/>
    <s v="A044"/>
    <x v="1"/>
    <n v="24"/>
    <n v="7.2"/>
    <x v="1"/>
    <s v="No"/>
    <s v="No"/>
    <n v="5"/>
    <s v="Closed"/>
    <s v="April"/>
    <x v="3"/>
    <n v="2026"/>
    <s v="Yes"/>
    <n v="1"/>
    <x v="1"/>
    <n v="1"/>
  </r>
  <r>
    <s v="T002592"/>
    <x v="2416"/>
    <d v="2026-04-22T16:11:00"/>
    <x v="1"/>
    <s v="Phone"/>
    <x v="1"/>
    <s v="A004"/>
    <x v="0"/>
    <n v="24"/>
    <n v="4.7"/>
    <x v="0"/>
    <s v="No"/>
    <s v="No"/>
    <m/>
    <s v="Closed"/>
    <s v="April"/>
    <x v="3"/>
    <n v="2026"/>
    <s v="Yes"/>
    <n v="1"/>
    <x v="2"/>
    <n v="0"/>
  </r>
  <r>
    <s v="T002593"/>
    <x v="2417"/>
    <d v="2026-04-23T03:48:00"/>
    <x v="0"/>
    <s v="Field Visit"/>
    <x v="1"/>
    <s v="A046"/>
    <x v="1"/>
    <n v="24"/>
    <n v="16.2"/>
    <x v="1"/>
    <s v="No"/>
    <s v="Yes"/>
    <n v="5"/>
    <s v="Closed"/>
    <s v="April"/>
    <x v="3"/>
    <n v="2026"/>
    <s v="Yes"/>
    <n v="1"/>
    <x v="2"/>
    <n v="1"/>
  </r>
  <r>
    <s v="T002594"/>
    <x v="2418"/>
    <d v="2026-04-22T20:41:00"/>
    <x v="1"/>
    <s v="Email"/>
    <x v="0"/>
    <s v="A013"/>
    <x v="0"/>
    <n v="72"/>
    <n v="9"/>
    <x v="0"/>
    <s v="Yes"/>
    <s v="Yes"/>
    <n v="4"/>
    <s v="Closed"/>
    <s v="April"/>
    <x v="3"/>
    <n v="2026"/>
    <s v="Yes"/>
    <n v="1"/>
    <x v="2"/>
    <n v="0"/>
  </r>
  <r>
    <s v="T002595"/>
    <x v="2419"/>
    <d v="2026-04-24T12:48:00"/>
    <x v="4"/>
    <s v="Field Visit"/>
    <x v="0"/>
    <s v="A028"/>
    <x v="2"/>
    <n v="72"/>
    <n v="49.1"/>
    <x v="0"/>
    <s v="No"/>
    <s v="No"/>
    <n v="4"/>
    <s v="Closed"/>
    <s v="April"/>
    <x v="3"/>
    <n v="2026"/>
    <s v="Yes"/>
    <n v="1"/>
    <x v="4"/>
    <n v="0"/>
  </r>
  <r>
    <s v="T002596"/>
    <x v="2420"/>
    <d v="2026-04-27T18:51:00"/>
    <x v="4"/>
    <s v="Field Visit"/>
    <x v="0"/>
    <s v="A002"/>
    <x v="0"/>
    <n v="72"/>
    <n v="127"/>
    <x v="0"/>
    <s v="No"/>
    <s v="No"/>
    <m/>
    <s v="Closed"/>
    <s v="April"/>
    <x v="3"/>
    <n v="2026"/>
    <s v="No"/>
    <n v="0"/>
    <x v="2"/>
    <n v="0"/>
  </r>
  <r>
    <s v="T002597"/>
    <x v="2421"/>
    <d v="2026-04-22T20:43:00"/>
    <x v="2"/>
    <s v="Phone"/>
    <x v="0"/>
    <s v="A001"/>
    <x v="0"/>
    <n v="72"/>
    <n v="8.6999999999999993"/>
    <x v="1"/>
    <s v="No"/>
    <s v="No"/>
    <n v="5"/>
    <s v="Closed"/>
    <s v="April"/>
    <x v="3"/>
    <n v="2026"/>
    <s v="Yes"/>
    <n v="1"/>
    <x v="2"/>
    <n v="1"/>
  </r>
  <r>
    <s v="T002598"/>
    <x v="2422"/>
    <d v="2026-04-23T10:31:00"/>
    <x v="2"/>
    <s v="Phone"/>
    <x v="1"/>
    <s v="A011"/>
    <x v="0"/>
    <n v="24"/>
    <n v="21.7"/>
    <x v="1"/>
    <s v="No"/>
    <s v="No"/>
    <n v="4"/>
    <s v="Closed"/>
    <s v="April"/>
    <x v="3"/>
    <n v="2026"/>
    <s v="Yes"/>
    <n v="1"/>
    <x v="0"/>
    <n v="1"/>
  </r>
  <r>
    <s v="T002599"/>
    <x v="2423"/>
    <d v="2026-04-22T19:31:00"/>
    <x v="2"/>
    <s v="Phone"/>
    <x v="0"/>
    <s v="A060"/>
    <x v="1"/>
    <n v="72"/>
    <n v="4.7"/>
    <x v="1"/>
    <s v="No"/>
    <s v="No"/>
    <n v="5"/>
    <s v="Closed"/>
    <s v="April"/>
    <x v="3"/>
    <n v="2026"/>
    <s v="Yes"/>
    <n v="1"/>
    <x v="1"/>
    <n v="1"/>
  </r>
  <r>
    <s v="T002600"/>
    <x v="2424"/>
    <d v="2026-04-22T22:55:00"/>
    <x v="5"/>
    <s v="Phone"/>
    <x v="1"/>
    <s v="A016"/>
    <x v="2"/>
    <n v="24"/>
    <n v="7.1"/>
    <x v="1"/>
    <s v="No"/>
    <s v="No"/>
    <n v="5"/>
    <s v="Closed"/>
    <s v="April"/>
    <x v="3"/>
    <n v="2026"/>
    <s v="Yes"/>
    <n v="1"/>
    <x v="0"/>
    <n v="1"/>
  </r>
  <r>
    <s v="T002601"/>
    <x v="2425"/>
    <d v="2026-04-25T20:48:00"/>
    <x v="2"/>
    <s v="Field Visit"/>
    <x v="1"/>
    <s v="A001"/>
    <x v="0"/>
    <n v="24"/>
    <n v="76.900000000000006"/>
    <x v="1"/>
    <s v="No"/>
    <s v="No"/>
    <n v="4"/>
    <s v="Closed"/>
    <s v="April"/>
    <x v="3"/>
    <n v="2026"/>
    <s v="No"/>
    <n v="0"/>
    <x v="2"/>
    <n v="1"/>
  </r>
  <r>
    <s v="T002602"/>
    <x v="2426"/>
    <d v="2026-04-23T00:54:00"/>
    <x v="6"/>
    <s v="Email"/>
    <x v="2"/>
    <s v="A023"/>
    <x v="2"/>
    <n v="4"/>
    <n v="8.3000000000000007"/>
    <x v="1"/>
    <s v="No"/>
    <s v="Yes"/>
    <n v="5"/>
    <s v="Closed"/>
    <s v="April"/>
    <x v="3"/>
    <n v="2026"/>
    <s v="No"/>
    <n v="0"/>
    <x v="3"/>
    <n v="1"/>
  </r>
  <r>
    <s v="T002603"/>
    <x v="2427"/>
    <d v="2026-04-22T21:32:00"/>
    <x v="2"/>
    <s v="Phone"/>
    <x v="0"/>
    <s v="A022"/>
    <x v="2"/>
    <n v="72"/>
    <n v="3.8"/>
    <x v="1"/>
    <s v="No"/>
    <s v="No"/>
    <n v="4"/>
    <s v="Closed"/>
    <s v="April"/>
    <x v="3"/>
    <n v="2026"/>
    <s v="Yes"/>
    <n v="1"/>
    <x v="3"/>
    <n v="1"/>
  </r>
  <r>
    <s v="T002604"/>
    <x v="2428"/>
    <d v="2026-04-23T12:02:00"/>
    <x v="5"/>
    <s v="Email"/>
    <x v="1"/>
    <s v="A008"/>
    <x v="0"/>
    <n v="24"/>
    <n v="15.8"/>
    <x v="0"/>
    <s v="No"/>
    <s v="No"/>
    <n v="4"/>
    <s v="Closed"/>
    <s v="April"/>
    <x v="3"/>
    <n v="2026"/>
    <s v="Yes"/>
    <n v="1"/>
    <x v="4"/>
    <n v="0"/>
  </r>
  <r>
    <s v="T002605"/>
    <x v="2429"/>
    <d v="2026-04-24T19:20:00"/>
    <x v="2"/>
    <s v="Email"/>
    <x v="0"/>
    <s v="A026"/>
    <x v="2"/>
    <n v="72"/>
    <n v="46.1"/>
    <x v="0"/>
    <s v="Yes"/>
    <s v="No"/>
    <n v="4"/>
    <s v="Closed"/>
    <s v="April"/>
    <x v="3"/>
    <n v="2026"/>
    <s v="Yes"/>
    <n v="1"/>
    <x v="3"/>
    <n v="0"/>
  </r>
  <r>
    <s v="T002606"/>
    <x v="2430"/>
    <d v="2026-04-23T14:05:00"/>
    <x v="5"/>
    <s v="Field Visit"/>
    <x v="0"/>
    <s v="A034"/>
    <x v="2"/>
    <n v="72"/>
    <n v="14.8"/>
    <x v="1"/>
    <s v="No"/>
    <s v="No"/>
    <m/>
    <s v="Closed"/>
    <s v="April"/>
    <x v="3"/>
    <n v="2026"/>
    <s v="Yes"/>
    <n v="1"/>
    <x v="2"/>
    <n v="1"/>
  </r>
  <r>
    <s v="T002607"/>
    <x v="2431"/>
    <d v="2026-04-24T10:07:00"/>
    <x v="0"/>
    <s v="Phone"/>
    <x v="1"/>
    <s v="A016"/>
    <x v="2"/>
    <n v="24"/>
    <n v="26.6"/>
    <x v="1"/>
    <s v="No"/>
    <s v="No"/>
    <n v="3"/>
    <s v="Closed"/>
    <s v="April"/>
    <x v="3"/>
    <n v="2026"/>
    <s v="No"/>
    <n v="0"/>
    <x v="4"/>
    <n v="1"/>
  </r>
  <r>
    <s v="T002608"/>
    <x v="2432"/>
    <d v="2026-04-23T09:54:00"/>
    <x v="1"/>
    <s v="Chat"/>
    <x v="1"/>
    <s v="A044"/>
    <x v="1"/>
    <n v="24"/>
    <n v="1.8"/>
    <x v="1"/>
    <s v="No"/>
    <s v="No"/>
    <m/>
    <s v="Closed"/>
    <s v="April"/>
    <x v="3"/>
    <n v="2026"/>
    <s v="Yes"/>
    <n v="1"/>
    <x v="3"/>
    <n v="1"/>
  </r>
  <r>
    <s v="T002609"/>
    <x v="2433"/>
    <d v="2026-04-25T09:21:00"/>
    <x v="3"/>
    <s v="Field Visit"/>
    <x v="0"/>
    <s v="A016"/>
    <x v="2"/>
    <n v="72"/>
    <n v="48.5"/>
    <x v="1"/>
    <s v="No"/>
    <s v="No"/>
    <n v="4"/>
    <s v="Closed"/>
    <s v="April"/>
    <x v="3"/>
    <n v="2026"/>
    <s v="Yes"/>
    <n v="1"/>
    <x v="1"/>
    <n v="1"/>
  </r>
  <r>
    <s v="T002610"/>
    <x v="2434"/>
    <d v="2026-04-23T13:02:00"/>
    <x v="1"/>
    <s v="Phone"/>
    <x v="1"/>
    <s v="A041"/>
    <x v="1"/>
    <n v="24"/>
    <n v="3.7"/>
    <x v="0"/>
    <s v="Yes"/>
    <s v="No"/>
    <n v="5"/>
    <s v="Closed"/>
    <s v="April"/>
    <x v="3"/>
    <n v="2026"/>
    <s v="Yes"/>
    <n v="1"/>
    <x v="3"/>
    <n v="0"/>
  </r>
  <r>
    <s v="T002611"/>
    <x v="2435"/>
    <d v="2026-04-23T18:47:00"/>
    <x v="0"/>
    <s v="Chat"/>
    <x v="1"/>
    <s v="A020"/>
    <x v="2"/>
    <n v="24"/>
    <n v="9.4"/>
    <x v="1"/>
    <s v="No"/>
    <s v="No"/>
    <n v="5"/>
    <s v="Closed"/>
    <s v="April"/>
    <x v="3"/>
    <n v="2026"/>
    <s v="Yes"/>
    <n v="1"/>
    <x v="2"/>
    <n v="1"/>
  </r>
  <r>
    <s v="T002612"/>
    <x v="2436"/>
    <d v="2026-04-23T15:18:00"/>
    <x v="1"/>
    <s v="Phone"/>
    <x v="0"/>
    <s v="A042"/>
    <x v="1"/>
    <n v="72"/>
    <n v="5.9"/>
    <x v="1"/>
    <s v="No"/>
    <s v="No"/>
    <n v="5"/>
    <s v="Closed"/>
    <s v="April"/>
    <x v="3"/>
    <n v="2026"/>
    <s v="Yes"/>
    <n v="1"/>
    <x v="0"/>
    <n v="1"/>
  </r>
  <r>
    <s v="T002613"/>
    <x v="2437"/>
    <d v="2026-04-25T11:42:00"/>
    <x v="5"/>
    <s v="Email"/>
    <x v="0"/>
    <s v="A006"/>
    <x v="0"/>
    <n v="72"/>
    <n v="50.1"/>
    <x v="1"/>
    <s v="No"/>
    <s v="No"/>
    <n v="5"/>
    <s v="Closed"/>
    <s v="April"/>
    <x v="3"/>
    <n v="2026"/>
    <s v="Yes"/>
    <n v="1"/>
    <x v="2"/>
    <n v="1"/>
  </r>
  <r>
    <s v="T002614"/>
    <x v="2438"/>
    <d v="2026-04-24T12:42:00"/>
    <x v="0"/>
    <s v="Email"/>
    <x v="0"/>
    <s v="A052"/>
    <x v="1"/>
    <n v="72"/>
    <n v="26.6"/>
    <x v="1"/>
    <s v="No"/>
    <s v="No"/>
    <n v="5"/>
    <s v="Closed"/>
    <s v="April"/>
    <x v="3"/>
    <n v="2026"/>
    <s v="Yes"/>
    <n v="1"/>
    <x v="1"/>
    <n v="1"/>
  </r>
  <r>
    <s v="T002615"/>
    <x v="2439"/>
    <d v="2026-04-23T12:50:00"/>
    <x v="2"/>
    <s v="Chat"/>
    <x v="1"/>
    <s v="A036"/>
    <x v="1"/>
    <n v="24"/>
    <n v="2.6"/>
    <x v="1"/>
    <s v="No"/>
    <s v="No"/>
    <m/>
    <s v="Closed"/>
    <s v="April"/>
    <x v="3"/>
    <n v="2026"/>
    <s v="Yes"/>
    <n v="1"/>
    <x v="3"/>
    <n v="1"/>
  </r>
  <r>
    <s v="T002616"/>
    <x v="2440"/>
    <d v="2026-04-23T19:18:00"/>
    <x v="5"/>
    <s v="Phone"/>
    <x v="1"/>
    <s v="A002"/>
    <x v="0"/>
    <n v="24"/>
    <n v="8.8000000000000007"/>
    <x v="0"/>
    <s v="Yes"/>
    <s v="No"/>
    <m/>
    <s v="Closed"/>
    <s v="April"/>
    <x v="3"/>
    <n v="2026"/>
    <s v="Yes"/>
    <n v="1"/>
    <x v="1"/>
    <n v="0"/>
  </r>
  <r>
    <s v="T002617"/>
    <x v="2441"/>
    <d v="2026-04-26T08:46:00"/>
    <x v="4"/>
    <s v="Field Visit"/>
    <x v="1"/>
    <s v="A023"/>
    <x v="2"/>
    <n v="24"/>
    <n v="70.2"/>
    <x v="1"/>
    <s v="No"/>
    <s v="No"/>
    <n v="3"/>
    <s v="Closed"/>
    <s v="April"/>
    <x v="3"/>
    <n v="2026"/>
    <s v="No"/>
    <n v="0"/>
    <x v="4"/>
    <n v="1"/>
  </r>
  <r>
    <s v="T002618"/>
    <x v="2442"/>
    <d v="2026-04-23T21:21:00"/>
    <x v="1"/>
    <s v="Phone"/>
    <x v="0"/>
    <s v="A050"/>
    <x v="1"/>
    <n v="72"/>
    <n v="10.1"/>
    <x v="1"/>
    <s v="No"/>
    <s v="No"/>
    <m/>
    <s v="Closed"/>
    <s v="April"/>
    <x v="3"/>
    <n v="2026"/>
    <s v="Yes"/>
    <n v="1"/>
    <x v="4"/>
    <n v="1"/>
  </r>
  <r>
    <s v="T002619"/>
    <x v="2443"/>
    <d v="2026-04-26T11:46:00"/>
    <x v="3"/>
    <s v="Email"/>
    <x v="0"/>
    <s v="A014"/>
    <x v="0"/>
    <n v="72"/>
    <n v="72.5"/>
    <x v="1"/>
    <s v="No"/>
    <s v="No"/>
    <m/>
    <s v="Closed"/>
    <s v="April"/>
    <x v="3"/>
    <n v="2026"/>
    <s v="No"/>
    <n v="0"/>
    <x v="2"/>
    <n v="1"/>
  </r>
  <r>
    <s v="T002620"/>
    <x v="2444"/>
    <d v="2026-04-24T04:29:00"/>
    <x v="2"/>
    <s v="Email"/>
    <x v="1"/>
    <s v="A052"/>
    <x v="1"/>
    <n v="24"/>
    <n v="17.100000000000001"/>
    <x v="1"/>
    <s v="No"/>
    <s v="Yes"/>
    <m/>
    <s v="Closed"/>
    <s v="April"/>
    <x v="3"/>
    <n v="2026"/>
    <s v="Yes"/>
    <n v="1"/>
    <x v="4"/>
    <n v="1"/>
  </r>
  <r>
    <s v="T002621"/>
    <x v="2445"/>
    <d v="2026-04-24T16:44:00"/>
    <x v="1"/>
    <s v="Phone"/>
    <x v="0"/>
    <s v="A015"/>
    <x v="0"/>
    <n v="72"/>
    <n v="27.6"/>
    <x v="0"/>
    <s v="No"/>
    <s v="No"/>
    <n v="5"/>
    <s v="Closed"/>
    <s v="April"/>
    <x v="3"/>
    <n v="2026"/>
    <s v="Yes"/>
    <n v="1"/>
    <x v="4"/>
    <n v="0"/>
  </r>
  <r>
    <s v="T002622"/>
    <x v="2446"/>
    <d v="2026-04-23T09:49:00"/>
    <x v="6"/>
    <s v="Field Visit"/>
    <x v="1"/>
    <s v="A008"/>
    <x v="0"/>
    <n v="24"/>
    <n v="8.3000000000000007"/>
    <x v="1"/>
    <s v="No"/>
    <s v="No"/>
    <n v="5"/>
    <s v="Closed"/>
    <s v="April"/>
    <x v="3"/>
    <n v="2026"/>
    <s v="Yes"/>
    <n v="1"/>
    <x v="3"/>
    <n v="1"/>
  </r>
  <r>
    <s v="T002623"/>
    <x v="2447"/>
    <d v="2026-05-05T13:46:00"/>
    <x v="4"/>
    <s v="Field Visit"/>
    <x v="0"/>
    <s v="A003"/>
    <x v="0"/>
    <n v="72"/>
    <n v="285.89999999999998"/>
    <x v="0"/>
    <s v="Yes"/>
    <s v="No"/>
    <m/>
    <s v="Closed"/>
    <s v="April"/>
    <x v="3"/>
    <n v="2026"/>
    <s v="No"/>
    <n v="0"/>
    <x v="4"/>
    <n v="0"/>
  </r>
  <r>
    <s v="T002624"/>
    <x v="2448"/>
    <d v="2026-04-24T15:26:00"/>
    <x v="4"/>
    <s v="Field Visit"/>
    <x v="0"/>
    <s v="A055"/>
    <x v="1"/>
    <n v="72"/>
    <n v="21.8"/>
    <x v="1"/>
    <s v="No"/>
    <s v="No"/>
    <n v="2"/>
    <s v="Closed"/>
    <s v="April"/>
    <x v="3"/>
    <n v="2026"/>
    <s v="Yes"/>
    <n v="1"/>
    <x v="4"/>
    <n v="1"/>
  </r>
  <r>
    <s v="T002625"/>
    <x v="2449"/>
    <d v="2026-04-24T13:17:00"/>
    <x v="0"/>
    <s v="Phone"/>
    <x v="1"/>
    <s v="A041"/>
    <x v="1"/>
    <n v="24"/>
    <n v="19.2"/>
    <x v="0"/>
    <s v="No"/>
    <s v="No"/>
    <n v="5"/>
    <s v="Closed"/>
    <s v="April"/>
    <x v="3"/>
    <n v="2026"/>
    <s v="Yes"/>
    <n v="1"/>
    <x v="1"/>
    <n v="0"/>
  </r>
  <r>
    <s v="T002626"/>
    <x v="2450"/>
    <d v="2026-04-25T02:44:00"/>
    <x v="2"/>
    <s v="Phone"/>
    <x v="0"/>
    <s v="A025"/>
    <x v="2"/>
    <n v="72"/>
    <n v="31.2"/>
    <x v="1"/>
    <s v="No"/>
    <s v="No"/>
    <n v="5"/>
    <s v="Closed"/>
    <s v="April"/>
    <x v="3"/>
    <n v="2026"/>
    <s v="Yes"/>
    <n v="1"/>
    <x v="2"/>
    <n v="1"/>
  </r>
  <r>
    <s v="T002627"/>
    <x v="2451"/>
    <d v="2026-04-26T17:38:00"/>
    <x v="4"/>
    <s v="Email"/>
    <x v="0"/>
    <s v="A031"/>
    <x v="2"/>
    <n v="72"/>
    <n v="66.2"/>
    <x v="1"/>
    <s v="No"/>
    <s v="No"/>
    <n v="5"/>
    <s v="Closed"/>
    <s v="April"/>
    <x v="3"/>
    <n v="2026"/>
    <s v="Yes"/>
    <n v="1"/>
    <x v="3"/>
    <n v="1"/>
  </r>
  <r>
    <s v="T002628"/>
    <x v="2452"/>
    <d v="2026-04-24T20:35:00"/>
    <x v="0"/>
    <s v="Field Visit"/>
    <x v="1"/>
    <s v="A033"/>
    <x v="2"/>
    <n v="24"/>
    <n v="19.899999999999999"/>
    <x v="0"/>
    <s v="Yes"/>
    <s v="Yes"/>
    <m/>
    <s v="Closed"/>
    <s v="April"/>
    <x v="3"/>
    <n v="2026"/>
    <s v="Yes"/>
    <n v="1"/>
    <x v="3"/>
    <n v="0"/>
  </r>
  <r>
    <s v="T002629"/>
    <x v="2453"/>
    <d v="2026-04-30T07:12:00"/>
    <x v="4"/>
    <s v="Field Visit"/>
    <x v="0"/>
    <s v="A020"/>
    <x v="2"/>
    <n v="72"/>
    <n v="145.30000000000001"/>
    <x v="1"/>
    <s v="No"/>
    <s v="No"/>
    <m/>
    <s v="Closed"/>
    <s v="April"/>
    <x v="3"/>
    <n v="2026"/>
    <s v="No"/>
    <n v="0"/>
    <x v="4"/>
    <n v="1"/>
  </r>
  <r>
    <s v="T002630"/>
    <x v="2454"/>
    <d v="2026-04-24T14:04:00"/>
    <x v="3"/>
    <s v="Chat"/>
    <x v="1"/>
    <s v="A055"/>
    <x v="1"/>
    <n v="24"/>
    <n v="7.6"/>
    <x v="1"/>
    <s v="No"/>
    <s v="No"/>
    <n v="4"/>
    <s v="Closed"/>
    <s v="April"/>
    <x v="3"/>
    <n v="2026"/>
    <s v="Yes"/>
    <n v="1"/>
    <x v="1"/>
    <n v="1"/>
  </r>
  <r>
    <s v="T002631"/>
    <x v="2455"/>
    <d v="2026-04-24T15:39:00"/>
    <x v="3"/>
    <s v="Phone"/>
    <x v="1"/>
    <s v="A027"/>
    <x v="2"/>
    <n v="24"/>
    <n v="8.6999999999999993"/>
    <x v="1"/>
    <s v="No"/>
    <s v="No"/>
    <n v="5"/>
    <s v="Closed"/>
    <s v="April"/>
    <x v="3"/>
    <n v="2026"/>
    <s v="Yes"/>
    <n v="1"/>
    <x v="4"/>
    <n v="1"/>
  </r>
  <r>
    <s v="T002632"/>
    <x v="2456"/>
    <d v="2026-04-24T14:36:00"/>
    <x v="5"/>
    <s v="Chat"/>
    <x v="0"/>
    <s v="A010"/>
    <x v="0"/>
    <n v="72"/>
    <n v="6.4"/>
    <x v="1"/>
    <s v="No"/>
    <s v="No"/>
    <m/>
    <s v="Closed"/>
    <s v="April"/>
    <x v="3"/>
    <n v="2026"/>
    <s v="Yes"/>
    <n v="1"/>
    <x v="1"/>
    <n v="1"/>
  </r>
  <r>
    <s v="T002633"/>
    <x v="2457"/>
    <d v="2026-04-24T15:33:00"/>
    <x v="6"/>
    <s v="Chat"/>
    <x v="1"/>
    <s v="A051"/>
    <x v="1"/>
    <n v="24"/>
    <n v="6.2"/>
    <x v="1"/>
    <s v="No"/>
    <s v="No"/>
    <m/>
    <s v="Closed"/>
    <s v="April"/>
    <x v="3"/>
    <n v="2026"/>
    <s v="Yes"/>
    <n v="1"/>
    <x v="3"/>
    <n v="1"/>
  </r>
  <r>
    <s v="T002634"/>
    <x v="2458"/>
    <d v="2026-04-24T13:41:00"/>
    <x v="0"/>
    <s v="Chat"/>
    <x v="0"/>
    <s v="A034"/>
    <x v="2"/>
    <n v="72"/>
    <n v="4.3"/>
    <x v="1"/>
    <s v="No"/>
    <s v="No"/>
    <n v="5"/>
    <s v="Closed"/>
    <s v="April"/>
    <x v="3"/>
    <n v="2026"/>
    <s v="Yes"/>
    <n v="1"/>
    <x v="1"/>
    <n v="1"/>
  </r>
  <r>
    <s v="T002635"/>
    <x v="2459"/>
    <d v="2026-04-25T12:42:00"/>
    <x v="5"/>
    <s v="Field Visit"/>
    <x v="0"/>
    <s v="A053"/>
    <x v="1"/>
    <n v="72"/>
    <n v="27.2"/>
    <x v="1"/>
    <s v="No"/>
    <s v="No"/>
    <n v="3"/>
    <s v="Closed"/>
    <s v="April"/>
    <x v="3"/>
    <n v="2026"/>
    <s v="Yes"/>
    <n v="1"/>
    <x v="2"/>
    <n v="1"/>
  </r>
  <r>
    <s v="T002636"/>
    <x v="2460"/>
    <d v="2026-04-25T10:14:00"/>
    <x v="0"/>
    <s v="Phone"/>
    <x v="2"/>
    <s v="A032"/>
    <x v="2"/>
    <n v="4"/>
    <n v="23.9"/>
    <x v="0"/>
    <s v="Yes"/>
    <s v="Yes"/>
    <n v="4"/>
    <s v="Closed"/>
    <s v="April"/>
    <x v="3"/>
    <n v="2026"/>
    <s v="No"/>
    <n v="0"/>
    <x v="0"/>
    <n v="0"/>
  </r>
  <r>
    <s v="T002637"/>
    <x v="2461"/>
    <d v="2026-04-24T18:21:00"/>
    <x v="0"/>
    <s v="Phone"/>
    <x v="0"/>
    <s v="A002"/>
    <x v="0"/>
    <n v="72"/>
    <n v="7.7"/>
    <x v="0"/>
    <s v="No"/>
    <s v="No"/>
    <n v="5"/>
    <s v="Closed"/>
    <s v="April"/>
    <x v="3"/>
    <n v="2026"/>
    <s v="Yes"/>
    <n v="1"/>
    <x v="4"/>
    <n v="0"/>
  </r>
  <r>
    <s v="T002638"/>
    <x v="2462"/>
    <d v="2026-04-24T20:58:00"/>
    <x v="6"/>
    <s v="Phone"/>
    <x v="1"/>
    <s v="A055"/>
    <x v="1"/>
    <n v="24"/>
    <n v="10.1"/>
    <x v="1"/>
    <s v="No"/>
    <s v="No"/>
    <n v="4"/>
    <s v="Closed"/>
    <s v="April"/>
    <x v="3"/>
    <n v="2026"/>
    <s v="Yes"/>
    <n v="1"/>
    <x v="4"/>
    <n v="1"/>
  </r>
  <r>
    <s v="T002639"/>
    <x v="2463"/>
    <d v="2026-04-24T22:36:00"/>
    <x v="2"/>
    <s v="Phone"/>
    <x v="1"/>
    <s v="A035"/>
    <x v="2"/>
    <n v="24"/>
    <n v="9"/>
    <x v="0"/>
    <s v="Yes"/>
    <s v="No"/>
    <n v="4"/>
    <s v="Closed"/>
    <s v="April"/>
    <x v="3"/>
    <n v="2026"/>
    <s v="Yes"/>
    <n v="1"/>
    <x v="2"/>
    <n v="0"/>
  </r>
  <r>
    <s v="T002640"/>
    <x v="2464"/>
    <d v="2026-04-26T07:39:00"/>
    <x v="4"/>
    <s v="Field Visit"/>
    <x v="1"/>
    <s v="A025"/>
    <x v="2"/>
    <n v="24"/>
    <n v="40.9"/>
    <x v="1"/>
    <s v="No"/>
    <s v="No"/>
    <m/>
    <s v="Closed"/>
    <s v="April"/>
    <x v="3"/>
    <n v="2026"/>
    <s v="No"/>
    <n v="0"/>
    <x v="3"/>
    <n v="1"/>
  </r>
  <r>
    <s v="T002641"/>
    <x v="2465"/>
    <d v="2026-04-24T20:38:00"/>
    <x v="1"/>
    <s v="Phone"/>
    <x v="0"/>
    <s v="A004"/>
    <x v="0"/>
    <n v="72"/>
    <n v="5.4"/>
    <x v="1"/>
    <s v="No"/>
    <s v="No"/>
    <n v="5"/>
    <s v="Closed"/>
    <s v="April"/>
    <x v="3"/>
    <n v="2026"/>
    <s v="Yes"/>
    <n v="1"/>
    <x v="0"/>
    <n v="1"/>
  </r>
  <r>
    <s v="T002642"/>
    <x v="2466"/>
    <d v="2026-04-26T02:53:00"/>
    <x v="3"/>
    <s v="Field Visit"/>
    <x v="0"/>
    <s v="A003"/>
    <x v="0"/>
    <n v="72"/>
    <n v="34.700000000000003"/>
    <x v="1"/>
    <s v="No"/>
    <s v="No"/>
    <n v="4"/>
    <s v="Closed"/>
    <s v="April"/>
    <x v="3"/>
    <n v="2026"/>
    <s v="Yes"/>
    <n v="1"/>
    <x v="3"/>
    <n v="1"/>
  </r>
  <r>
    <s v="T002643"/>
    <x v="2467"/>
    <d v="2026-04-24T19:40:00"/>
    <x v="1"/>
    <s v="Chat"/>
    <x v="1"/>
    <s v="A008"/>
    <x v="0"/>
    <n v="24"/>
    <n v="2.6"/>
    <x v="1"/>
    <s v="No"/>
    <s v="No"/>
    <m/>
    <s v="Closed"/>
    <s v="April"/>
    <x v="3"/>
    <n v="2026"/>
    <s v="Yes"/>
    <n v="1"/>
    <x v="1"/>
    <n v="1"/>
  </r>
  <r>
    <s v="T002644"/>
    <x v="2468"/>
    <d v="2026-04-24T22:24:00"/>
    <x v="2"/>
    <s v="Chat"/>
    <x v="0"/>
    <s v="A013"/>
    <x v="0"/>
    <n v="72"/>
    <n v="5.2"/>
    <x v="1"/>
    <s v="No"/>
    <s v="No"/>
    <n v="5"/>
    <s v="Closed"/>
    <s v="April"/>
    <x v="3"/>
    <n v="2026"/>
    <s v="Yes"/>
    <n v="1"/>
    <x v="1"/>
    <n v="1"/>
  </r>
  <r>
    <s v="T002645"/>
    <x v="2469"/>
    <d v="2026-04-26T09:57:00"/>
    <x v="6"/>
    <s v="Field Visit"/>
    <x v="2"/>
    <s v="A059"/>
    <x v="1"/>
    <n v="4"/>
    <n v="30"/>
    <x v="1"/>
    <s v="No"/>
    <s v="No"/>
    <m/>
    <s v="Closed"/>
    <s v="April"/>
    <x v="3"/>
    <n v="2026"/>
    <s v="No"/>
    <n v="0"/>
    <x v="1"/>
    <n v="1"/>
  </r>
  <r>
    <s v="T002646"/>
    <x v="2470"/>
    <d v="2026-04-27T12:45:00"/>
    <x v="2"/>
    <s v="Email"/>
    <x v="0"/>
    <s v="A015"/>
    <x v="0"/>
    <n v="72"/>
    <n v="56.7"/>
    <x v="0"/>
    <s v="Yes"/>
    <s v="No"/>
    <n v="3"/>
    <s v="Closed"/>
    <s v="April"/>
    <x v="3"/>
    <n v="2026"/>
    <s v="Yes"/>
    <n v="1"/>
    <x v="3"/>
    <n v="0"/>
  </r>
  <r>
    <s v="T002647"/>
    <x v="2471"/>
    <d v="2026-04-25T16:08:00"/>
    <x v="5"/>
    <s v="Email"/>
    <x v="2"/>
    <s v="A031"/>
    <x v="2"/>
    <n v="4"/>
    <n v="8.8000000000000007"/>
    <x v="1"/>
    <s v="No"/>
    <s v="No"/>
    <n v="4"/>
    <s v="Closed"/>
    <s v="April"/>
    <x v="3"/>
    <n v="2026"/>
    <s v="No"/>
    <n v="0"/>
    <x v="4"/>
    <n v="1"/>
  </r>
  <r>
    <s v="T002648"/>
    <x v="2472"/>
    <d v="2026-04-26T17:00:00"/>
    <x v="3"/>
    <s v="Phone"/>
    <x v="1"/>
    <s v="A005"/>
    <x v="0"/>
    <n v="24"/>
    <n v="32.6"/>
    <x v="0"/>
    <s v="No"/>
    <s v="No"/>
    <m/>
    <s v="Closed"/>
    <s v="April"/>
    <x v="3"/>
    <n v="2026"/>
    <s v="No"/>
    <n v="0"/>
    <x v="2"/>
    <n v="0"/>
  </r>
  <r>
    <s v="T002649"/>
    <x v="2473"/>
    <d v="2026-04-25T12:55:00"/>
    <x v="2"/>
    <s v="Chat"/>
    <x v="1"/>
    <s v="A002"/>
    <x v="0"/>
    <n v="24"/>
    <n v="3.1"/>
    <x v="0"/>
    <s v="Yes"/>
    <s v="No"/>
    <n v="2"/>
    <s v="Closed"/>
    <s v="April"/>
    <x v="3"/>
    <n v="2026"/>
    <s v="Yes"/>
    <n v="1"/>
    <x v="1"/>
    <n v="0"/>
  </r>
  <r>
    <s v="T002650"/>
    <x v="2474"/>
    <d v="2026-04-25T17:36:00"/>
    <x v="1"/>
    <s v="Phone"/>
    <x v="1"/>
    <s v="A020"/>
    <x v="2"/>
    <n v="24"/>
    <n v="6.2"/>
    <x v="0"/>
    <s v="No"/>
    <s v="No"/>
    <n v="4"/>
    <s v="Closed"/>
    <s v="April"/>
    <x v="3"/>
    <n v="2026"/>
    <s v="Yes"/>
    <n v="1"/>
    <x v="3"/>
    <n v="0"/>
  </r>
  <r>
    <s v="T002651"/>
    <x v="2475"/>
    <d v="2026-04-26T17:21:00"/>
    <x v="1"/>
    <s v="Email"/>
    <x v="1"/>
    <s v="A034"/>
    <x v="2"/>
    <n v="24"/>
    <n v="29.4"/>
    <x v="1"/>
    <s v="No"/>
    <s v="No"/>
    <n v="2"/>
    <s v="Closed"/>
    <s v="April"/>
    <x v="3"/>
    <n v="2026"/>
    <s v="No"/>
    <n v="0"/>
    <x v="1"/>
    <n v="1"/>
  </r>
  <r>
    <s v="T002652"/>
    <x v="2476"/>
    <d v="2026-04-25T16:32:00"/>
    <x v="2"/>
    <s v="Chat"/>
    <x v="1"/>
    <s v="A045"/>
    <x v="1"/>
    <n v="24"/>
    <n v="4.4000000000000004"/>
    <x v="1"/>
    <s v="No"/>
    <s v="No"/>
    <n v="4"/>
    <s v="Closed"/>
    <s v="April"/>
    <x v="3"/>
    <n v="2026"/>
    <s v="Yes"/>
    <n v="1"/>
    <x v="3"/>
    <n v="1"/>
  </r>
  <r>
    <s v="T002653"/>
    <x v="2477"/>
    <d v="2026-04-27T01:27:00"/>
    <x v="5"/>
    <s v="Field Visit"/>
    <x v="0"/>
    <s v="A022"/>
    <x v="2"/>
    <n v="72"/>
    <n v="37.200000000000003"/>
    <x v="1"/>
    <s v="No"/>
    <s v="No"/>
    <m/>
    <s v="Closed"/>
    <s v="April"/>
    <x v="3"/>
    <n v="2026"/>
    <s v="Yes"/>
    <n v="1"/>
    <x v="0"/>
    <n v="1"/>
  </r>
  <r>
    <s v="T002654"/>
    <x v="2478"/>
    <d v="2026-04-26T08:29:00"/>
    <x v="5"/>
    <s v="Phone"/>
    <x v="0"/>
    <s v="A042"/>
    <x v="1"/>
    <n v="72"/>
    <n v="19.5"/>
    <x v="1"/>
    <s v="No"/>
    <s v="Yes"/>
    <m/>
    <s v="Closed"/>
    <s v="April"/>
    <x v="3"/>
    <n v="2026"/>
    <s v="Yes"/>
    <n v="1"/>
    <x v="4"/>
    <n v="1"/>
  </r>
  <r>
    <s v="T002655"/>
    <x v="2479"/>
    <d v="2026-04-25T18:22:00"/>
    <x v="6"/>
    <s v="Chat"/>
    <x v="0"/>
    <s v="A022"/>
    <x v="2"/>
    <n v="72"/>
    <n v="4.9000000000000004"/>
    <x v="1"/>
    <s v="No"/>
    <s v="No"/>
    <n v="4"/>
    <s v="Closed"/>
    <s v="April"/>
    <x v="3"/>
    <n v="2026"/>
    <s v="Yes"/>
    <n v="1"/>
    <x v="1"/>
    <n v="1"/>
  </r>
  <r>
    <s v="T002656"/>
    <x v="2480"/>
    <d v="2026-04-26T17:25:00"/>
    <x v="3"/>
    <s v="Email"/>
    <x v="1"/>
    <s v="A039"/>
    <x v="1"/>
    <n v="24"/>
    <n v="27.9"/>
    <x v="1"/>
    <s v="No"/>
    <s v="No"/>
    <m/>
    <s v="Closed"/>
    <s v="April"/>
    <x v="3"/>
    <n v="2026"/>
    <s v="No"/>
    <n v="0"/>
    <x v="0"/>
    <n v="1"/>
  </r>
  <r>
    <s v="T002657"/>
    <x v="2481"/>
    <d v="2026-04-26T11:44:00"/>
    <x v="5"/>
    <s v="Chat"/>
    <x v="1"/>
    <s v="A023"/>
    <x v="2"/>
    <n v="24"/>
    <n v="22.1"/>
    <x v="1"/>
    <s v="No"/>
    <s v="No"/>
    <n v="4"/>
    <s v="Closed"/>
    <s v="April"/>
    <x v="3"/>
    <n v="2026"/>
    <s v="Yes"/>
    <n v="1"/>
    <x v="0"/>
    <n v="1"/>
  </r>
  <r>
    <s v="T002658"/>
    <x v="2482"/>
    <d v="2026-04-26T15:08:00"/>
    <x v="2"/>
    <s v="Phone"/>
    <x v="2"/>
    <s v="A011"/>
    <x v="0"/>
    <n v="4"/>
    <n v="24.8"/>
    <x v="1"/>
    <s v="No"/>
    <s v="No"/>
    <n v="5"/>
    <s v="Closed"/>
    <s v="April"/>
    <x v="3"/>
    <n v="2026"/>
    <s v="No"/>
    <n v="0"/>
    <x v="4"/>
    <n v="1"/>
  </r>
  <r>
    <s v="T002659"/>
    <x v="2483"/>
    <d v="2026-04-26T11:55:00"/>
    <x v="0"/>
    <s v="Phone"/>
    <x v="1"/>
    <s v="A054"/>
    <x v="1"/>
    <n v="24"/>
    <n v="21.4"/>
    <x v="1"/>
    <s v="No"/>
    <s v="No"/>
    <m/>
    <s v="Closed"/>
    <s v="April"/>
    <x v="3"/>
    <n v="2026"/>
    <s v="Yes"/>
    <n v="1"/>
    <x v="4"/>
    <n v="1"/>
  </r>
  <r>
    <s v="T002660"/>
    <x v="2484"/>
    <d v="2026-04-26T00:25:00"/>
    <x v="2"/>
    <s v="Phone"/>
    <x v="1"/>
    <s v="A036"/>
    <x v="1"/>
    <n v="24"/>
    <n v="9.4"/>
    <x v="0"/>
    <s v="No"/>
    <s v="No"/>
    <n v="5"/>
    <s v="Closed"/>
    <s v="April"/>
    <x v="3"/>
    <n v="2026"/>
    <s v="Yes"/>
    <n v="1"/>
    <x v="4"/>
    <n v="0"/>
  </r>
  <r>
    <s v="T002661"/>
    <x v="2485"/>
    <d v="2026-04-25T23:40:00"/>
    <x v="0"/>
    <s v="Chat"/>
    <x v="1"/>
    <s v="A027"/>
    <x v="2"/>
    <n v="24"/>
    <n v="7.6"/>
    <x v="0"/>
    <s v="Yes"/>
    <s v="No"/>
    <n v="3"/>
    <s v="Closed"/>
    <s v="April"/>
    <x v="3"/>
    <n v="2026"/>
    <s v="Yes"/>
    <n v="1"/>
    <x v="1"/>
    <n v="0"/>
  </r>
  <r>
    <s v="T002662"/>
    <x v="2486"/>
    <d v="2026-04-28T07:10:00"/>
    <x v="6"/>
    <s v="Field Visit"/>
    <x v="1"/>
    <s v="A045"/>
    <x v="1"/>
    <n v="24"/>
    <n v="63"/>
    <x v="1"/>
    <s v="No"/>
    <s v="Yes"/>
    <n v="3"/>
    <s v="Closed"/>
    <s v="April"/>
    <x v="3"/>
    <n v="2026"/>
    <s v="No"/>
    <n v="0"/>
    <x v="2"/>
    <n v="1"/>
  </r>
  <r>
    <s v="T002663"/>
    <x v="2487"/>
    <d v="2026-04-25T23:07:00"/>
    <x v="0"/>
    <s v="Chat"/>
    <x v="1"/>
    <s v="A025"/>
    <x v="2"/>
    <n v="24"/>
    <n v="5.9"/>
    <x v="1"/>
    <s v="No"/>
    <s v="No"/>
    <n v="5"/>
    <s v="Closed"/>
    <s v="April"/>
    <x v="3"/>
    <n v="2026"/>
    <s v="Yes"/>
    <n v="1"/>
    <x v="1"/>
    <n v="1"/>
  </r>
  <r>
    <s v="T002664"/>
    <x v="2488"/>
    <d v="2026-04-28T17:08:00"/>
    <x v="4"/>
    <s v="Email"/>
    <x v="1"/>
    <s v="A043"/>
    <x v="1"/>
    <n v="24"/>
    <n v="70.7"/>
    <x v="1"/>
    <s v="No"/>
    <s v="No"/>
    <m/>
    <s v="Closed"/>
    <s v="April"/>
    <x v="3"/>
    <n v="2026"/>
    <s v="No"/>
    <n v="0"/>
    <x v="4"/>
    <n v="1"/>
  </r>
  <r>
    <s v="T002665"/>
    <x v="2489"/>
    <d v="2026-04-27T04:30:00"/>
    <x v="0"/>
    <s v="Email"/>
    <x v="0"/>
    <s v="A052"/>
    <x v="1"/>
    <n v="72"/>
    <n v="22.5"/>
    <x v="1"/>
    <s v="No"/>
    <s v="No"/>
    <n v="4"/>
    <s v="Closed"/>
    <s v="April"/>
    <x v="3"/>
    <n v="2026"/>
    <s v="Yes"/>
    <n v="1"/>
    <x v="1"/>
    <n v="1"/>
  </r>
  <r>
    <s v="T002666"/>
    <x v="2490"/>
    <d v="2026-04-29T20:35:00"/>
    <x v="3"/>
    <s v="Field Visit"/>
    <x v="0"/>
    <s v="A057"/>
    <x v="1"/>
    <n v="72"/>
    <n v="84.4"/>
    <x v="1"/>
    <s v="No"/>
    <s v="No"/>
    <m/>
    <s v="Closed"/>
    <s v="April"/>
    <x v="3"/>
    <n v="2026"/>
    <s v="No"/>
    <n v="0"/>
    <x v="3"/>
    <n v="1"/>
  </r>
  <r>
    <s v="T002667"/>
    <x v="2491"/>
    <d v="2026-04-26T23:33:00"/>
    <x v="2"/>
    <s v="Phone"/>
    <x v="0"/>
    <s v="A045"/>
    <x v="1"/>
    <n v="72"/>
    <n v="15.2"/>
    <x v="1"/>
    <s v="No"/>
    <s v="No"/>
    <n v="5"/>
    <s v="Closed"/>
    <s v="April"/>
    <x v="3"/>
    <n v="2026"/>
    <s v="Yes"/>
    <n v="1"/>
    <x v="3"/>
    <n v="1"/>
  </r>
  <r>
    <s v="T002668"/>
    <x v="2492"/>
    <d v="2026-04-26T22:18:00"/>
    <x v="1"/>
    <s v="Phone"/>
    <x v="1"/>
    <s v="A034"/>
    <x v="2"/>
    <n v="24"/>
    <n v="13.9"/>
    <x v="0"/>
    <s v="Yes"/>
    <s v="No"/>
    <n v="4"/>
    <s v="Closed"/>
    <s v="April"/>
    <x v="3"/>
    <n v="2026"/>
    <s v="Yes"/>
    <n v="1"/>
    <x v="3"/>
    <n v="0"/>
  </r>
  <r>
    <s v="T002669"/>
    <x v="2493"/>
    <d v="2026-04-27T04:15:00"/>
    <x v="1"/>
    <s v="Chat"/>
    <x v="1"/>
    <s v="A005"/>
    <x v="0"/>
    <n v="24"/>
    <n v="19.2"/>
    <x v="0"/>
    <s v="Yes"/>
    <s v="No"/>
    <n v="3"/>
    <s v="Closed"/>
    <s v="April"/>
    <x v="3"/>
    <n v="2026"/>
    <s v="Yes"/>
    <n v="1"/>
    <x v="0"/>
    <n v="0"/>
  </r>
  <r>
    <s v="T002670"/>
    <x v="2494"/>
    <d v="2026-04-26T17:11:00"/>
    <x v="6"/>
    <s v="Phone"/>
    <x v="0"/>
    <s v="A028"/>
    <x v="2"/>
    <n v="72"/>
    <n v="7.4"/>
    <x v="1"/>
    <s v="No"/>
    <s v="Yes"/>
    <m/>
    <s v="Closed"/>
    <s v="April"/>
    <x v="3"/>
    <n v="2026"/>
    <s v="Yes"/>
    <n v="1"/>
    <x v="2"/>
    <n v="1"/>
  </r>
  <r>
    <s v="T002671"/>
    <x v="2495"/>
    <d v="2026-04-26T19:54:00"/>
    <x v="1"/>
    <s v="Phone"/>
    <x v="0"/>
    <s v="A028"/>
    <x v="2"/>
    <n v="72"/>
    <n v="9"/>
    <x v="1"/>
    <s v="No"/>
    <s v="No"/>
    <n v="5"/>
    <s v="Closed"/>
    <s v="April"/>
    <x v="3"/>
    <n v="2026"/>
    <s v="Yes"/>
    <n v="1"/>
    <x v="2"/>
    <n v="1"/>
  </r>
  <r>
    <s v="T002672"/>
    <x v="2496"/>
    <d v="2026-05-03T08:35:00"/>
    <x v="4"/>
    <s v="Field Visit"/>
    <x v="1"/>
    <s v="A047"/>
    <x v="1"/>
    <n v="24"/>
    <n v="163.69999999999999"/>
    <x v="0"/>
    <s v="Yes"/>
    <s v="No"/>
    <n v="3"/>
    <s v="Closed"/>
    <s v="April"/>
    <x v="3"/>
    <n v="2026"/>
    <s v="No"/>
    <n v="0"/>
    <x v="0"/>
    <n v="0"/>
  </r>
  <r>
    <s v="T002673"/>
    <x v="2497"/>
    <d v="2026-04-27T20:43:00"/>
    <x v="4"/>
    <s v="Phone"/>
    <x v="1"/>
    <s v="A027"/>
    <x v="2"/>
    <n v="24"/>
    <n v="31"/>
    <x v="0"/>
    <s v="No"/>
    <s v="No"/>
    <m/>
    <s v="Closed"/>
    <s v="April"/>
    <x v="3"/>
    <n v="2026"/>
    <s v="No"/>
    <n v="0"/>
    <x v="0"/>
    <n v="0"/>
  </r>
  <r>
    <s v="T002674"/>
    <x v="2498"/>
    <d v="2026-04-26T17:19:00"/>
    <x v="0"/>
    <s v="Chat"/>
    <x v="1"/>
    <s v="A041"/>
    <x v="1"/>
    <n v="24"/>
    <n v="3.2"/>
    <x v="1"/>
    <s v="No"/>
    <s v="No"/>
    <m/>
    <s v="Closed"/>
    <s v="April"/>
    <x v="3"/>
    <n v="2026"/>
    <s v="Yes"/>
    <n v="1"/>
    <x v="3"/>
    <n v="1"/>
  </r>
  <r>
    <s v="T002675"/>
    <x v="2499"/>
    <d v="2026-04-27T18:18:00"/>
    <x v="2"/>
    <s v="Chat"/>
    <x v="1"/>
    <s v="A016"/>
    <x v="2"/>
    <n v="24"/>
    <n v="27.5"/>
    <x v="1"/>
    <s v="No"/>
    <s v="No"/>
    <m/>
    <s v="Closed"/>
    <s v="April"/>
    <x v="3"/>
    <n v="2026"/>
    <s v="No"/>
    <n v="0"/>
    <x v="4"/>
    <n v="1"/>
  </r>
  <r>
    <s v="T002676"/>
    <x v="2500"/>
    <d v="2026-04-26T18:29:00"/>
    <x v="1"/>
    <s v="Chat"/>
    <x v="0"/>
    <s v="A057"/>
    <x v="1"/>
    <n v="72"/>
    <n v="3.2"/>
    <x v="1"/>
    <s v="No"/>
    <s v="No"/>
    <m/>
    <s v="Closed"/>
    <s v="April"/>
    <x v="3"/>
    <n v="2026"/>
    <s v="Yes"/>
    <n v="1"/>
    <x v="1"/>
    <n v="1"/>
  </r>
  <r>
    <s v="T002677"/>
    <x v="2501"/>
    <d v="2026-04-27T04:31:00"/>
    <x v="3"/>
    <s v="Chat"/>
    <x v="0"/>
    <s v="A046"/>
    <x v="1"/>
    <n v="72"/>
    <n v="12.9"/>
    <x v="0"/>
    <s v="Yes"/>
    <s v="No"/>
    <n v="4"/>
    <s v="Closed"/>
    <s v="April"/>
    <x v="3"/>
    <n v="2026"/>
    <s v="Yes"/>
    <n v="1"/>
    <x v="4"/>
    <n v="0"/>
  </r>
  <r>
    <s v="T002678"/>
    <x v="2502"/>
    <d v="2026-04-27T06:45:00"/>
    <x v="6"/>
    <s v="Field Visit"/>
    <x v="1"/>
    <s v="A024"/>
    <x v="2"/>
    <n v="24"/>
    <n v="14.9"/>
    <x v="1"/>
    <s v="No"/>
    <s v="No"/>
    <n v="4"/>
    <s v="Closed"/>
    <s v="April"/>
    <x v="3"/>
    <n v="2026"/>
    <s v="Yes"/>
    <n v="1"/>
    <x v="3"/>
    <n v="1"/>
  </r>
  <r>
    <s v="T002679"/>
    <x v="2503"/>
    <d v="2026-04-27T06:47:00"/>
    <x v="1"/>
    <s v="Chat"/>
    <x v="1"/>
    <s v="A045"/>
    <x v="1"/>
    <n v="24"/>
    <n v="14.1"/>
    <x v="1"/>
    <s v="No"/>
    <s v="No"/>
    <n v="5"/>
    <s v="Closed"/>
    <s v="April"/>
    <x v="3"/>
    <n v="2026"/>
    <s v="Yes"/>
    <n v="1"/>
    <x v="4"/>
    <n v="1"/>
  </r>
  <r>
    <s v="T002680"/>
    <x v="2504"/>
    <d v="2026-05-04T19:42:00"/>
    <x v="4"/>
    <s v="Field Visit"/>
    <x v="1"/>
    <s v="A038"/>
    <x v="1"/>
    <n v="24"/>
    <n v="194.4"/>
    <x v="1"/>
    <s v="No"/>
    <s v="No"/>
    <m/>
    <s v="Closed"/>
    <s v="April"/>
    <x v="3"/>
    <n v="2026"/>
    <s v="No"/>
    <n v="0"/>
    <x v="4"/>
    <n v="1"/>
  </r>
  <r>
    <s v="T002681"/>
    <x v="2505"/>
    <d v="2026-05-01T19:46:00"/>
    <x v="3"/>
    <s v="Field Visit"/>
    <x v="0"/>
    <s v="A049"/>
    <x v="1"/>
    <n v="72"/>
    <n v="122.3"/>
    <x v="1"/>
    <s v="No"/>
    <s v="No"/>
    <m/>
    <s v="Closed"/>
    <s v="April"/>
    <x v="3"/>
    <n v="2026"/>
    <s v="No"/>
    <n v="0"/>
    <x v="0"/>
    <n v="1"/>
  </r>
  <r>
    <s v="T002682"/>
    <x v="2506"/>
    <d v="2026-04-27T01:25:00"/>
    <x v="2"/>
    <s v="Phone"/>
    <x v="2"/>
    <s v="A014"/>
    <x v="0"/>
    <n v="4"/>
    <n v="7.9"/>
    <x v="1"/>
    <s v="No"/>
    <s v="No"/>
    <n v="2"/>
    <s v="Closed"/>
    <s v="April"/>
    <x v="3"/>
    <n v="2026"/>
    <s v="No"/>
    <n v="0"/>
    <x v="1"/>
    <n v="1"/>
  </r>
  <r>
    <s v="T002683"/>
    <x v="2507"/>
    <d v="2026-04-26T22:58:00"/>
    <x v="5"/>
    <s v="Chat"/>
    <x v="0"/>
    <s v="A051"/>
    <x v="1"/>
    <n v="72"/>
    <n v="4.5"/>
    <x v="1"/>
    <s v="No"/>
    <s v="No"/>
    <m/>
    <s v="Closed"/>
    <s v="April"/>
    <x v="3"/>
    <n v="2026"/>
    <s v="Yes"/>
    <n v="1"/>
    <x v="1"/>
    <n v="1"/>
  </r>
  <r>
    <s v="T002684"/>
    <x v="2508"/>
    <d v="2026-05-01T02:27:00"/>
    <x v="3"/>
    <s v="Email"/>
    <x v="1"/>
    <s v="A027"/>
    <x v="2"/>
    <n v="24"/>
    <n v="103.9"/>
    <x v="1"/>
    <s v="No"/>
    <s v="No"/>
    <m/>
    <s v="Closed"/>
    <s v="April"/>
    <x v="3"/>
    <n v="2026"/>
    <s v="No"/>
    <n v="0"/>
    <x v="4"/>
    <n v="1"/>
  </r>
  <r>
    <s v="T002685"/>
    <x v="2509"/>
    <d v="2026-04-27T04:22:00"/>
    <x v="1"/>
    <s v="Chat"/>
    <x v="0"/>
    <s v="A030"/>
    <x v="2"/>
    <n v="72"/>
    <n v="9.6"/>
    <x v="1"/>
    <s v="No"/>
    <s v="No"/>
    <m/>
    <s v="Closed"/>
    <s v="April"/>
    <x v="3"/>
    <n v="2026"/>
    <s v="Yes"/>
    <n v="1"/>
    <x v="0"/>
    <n v="1"/>
  </r>
  <r>
    <s v="T002686"/>
    <x v="2510"/>
    <d v="2026-04-28T15:39:00"/>
    <x v="3"/>
    <s v="Email"/>
    <x v="1"/>
    <s v="A028"/>
    <x v="2"/>
    <n v="24"/>
    <n v="36.6"/>
    <x v="1"/>
    <s v="No"/>
    <s v="No"/>
    <n v="5"/>
    <s v="Closed"/>
    <s v="April"/>
    <x v="3"/>
    <n v="2026"/>
    <s v="No"/>
    <n v="0"/>
    <x v="3"/>
    <n v="1"/>
  </r>
  <r>
    <s v="T002687"/>
    <x v="2511"/>
    <d v="2026-04-27T15:09:00"/>
    <x v="6"/>
    <s v="Phone"/>
    <x v="2"/>
    <s v="A010"/>
    <x v="0"/>
    <n v="4"/>
    <n v="8.6999999999999993"/>
    <x v="1"/>
    <s v="No"/>
    <s v="No"/>
    <m/>
    <s v="Closed"/>
    <s v="April"/>
    <x v="3"/>
    <n v="2026"/>
    <s v="No"/>
    <n v="0"/>
    <x v="1"/>
    <n v="1"/>
  </r>
  <r>
    <s v="T002688"/>
    <x v="2512"/>
    <d v="2026-04-27T11:52:00"/>
    <x v="6"/>
    <s v="Phone"/>
    <x v="0"/>
    <s v="A053"/>
    <x v="1"/>
    <n v="72"/>
    <n v="3.7"/>
    <x v="1"/>
    <s v="No"/>
    <s v="No"/>
    <n v="4"/>
    <s v="Closed"/>
    <s v="April"/>
    <x v="3"/>
    <n v="2026"/>
    <s v="Yes"/>
    <n v="1"/>
    <x v="1"/>
    <n v="1"/>
  </r>
  <r>
    <s v="T002689"/>
    <x v="2513"/>
    <d v="2026-04-28T01:50:00"/>
    <x v="2"/>
    <s v="Email"/>
    <x v="1"/>
    <s v="A025"/>
    <x v="2"/>
    <n v="24"/>
    <n v="16.8"/>
    <x v="1"/>
    <s v="No"/>
    <s v="No"/>
    <n v="5"/>
    <s v="Closed"/>
    <s v="April"/>
    <x v="3"/>
    <n v="2026"/>
    <s v="Yes"/>
    <n v="1"/>
    <x v="2"/>
    <n v="1"/>
  </r>
  <r>
    <s v="T002690"/>
    <x v="2514"/>
    <d v="2026-04-27T14:15:00"/>
    <x v="1"/>
    <s v="Phone"/>
    <x v="1"/>
    <s v="A026"/>
    <x v="2"/>
    <n v="24"/>
    <n v="5.2"/>
    <x v="0"/>
    <s v="No"/>
    <s v="No"/>
    <n v="4"/>
    <s v="Closed"/>
    <s v="April"/>
    <x v="3"/>
    <n v="2026"/>
    <s v="Yes"/>
    <n v="1"/>
    <x v="0"/>
    <n v="0"/>
  </r>
  <r>
    <s v="T002691"/>
    <x v="2515"/>
    <d v="2026-04-28T10:10:00"/>
    <x v="4"/>
    <s v="Phone"/>
    <x v="2"/>
    <s v="A053"/>
    <x v="1"/>
    <n v="4"/>
    <n v="24.5"/>
    <x v="1"/>
    <s v="No"/>
    <s v="No"/>
    <m/>
    <s v="Closed"/>
    <s v="April"/>
    <x v="3"/>
    <n v="2026"/>
    <s v="No"/>
    <n v="0"/>
    <x v="4"/>
    <n v="1"/>
  </r>
  <r>
    <s v="T002692"/>
    <x v="2516"/>
    <d v="2026-04-28T03:44:00"/>
    <x v="6"/>
    <s v="Field Visit"/>
    <x v="2"/>
    <s v="A012"/>
    <x v="0"/>
    <n v="4"/>
    <n v="17.7"/>
    <x v="1"/>
    <s v="No"/>
    <s v="Yes"/>
    <n v="2"/>
    <s v="Closed"/>
    <s v="April"/>
    <x v="3"/>
    <n v="2026"/>
    <s v="No"/>
    <n v="0"/>
    <x v="1"/>
    <n v="1"/>
  </r>
  <r>
    <s v="T002693"/>
    <x v="2517"/>
    <d v="2026-04-28T20:12:00"/>
    <x v="3"/>
    <s v="Email"/>
    <x v="1"/>
    <s v="A009"/>
    <x v="0"/>
    <n v="24"/>
    <n v="31.8"/>
    <x v="1"/>
    <s v="No"/>
    <s v="No"/>
    <n v="3"/>
    <s v="Closed"/>
    <s v="April"/>
    <x v="3"/>
    <n v="2026"/>
    <s v="No"/>
    <n v="0"/>
    <x v="4"/>
    <n v="1"/>
  </r>
  <r>
    <s v="T002694"/>
    <x v="2518"/>
    <d v="2026-04-28T07:12:00"/>
    <x v="6"/>
    <s v="Field Visit"/>
    <x v="0"/>
    <s v="A050"/>
    <x v="1"/>
    <n v="72"/>
    <n v="17.899999999999999"/>
    <x v="1"/>
    <s v="No"/>
    <s v="No"/>
    <n v="5"/>
    <s v="Closed"/>
    <s v="April"/>
    <x v="3"/>
    <n v="2026"/>
    <s v="Yes"/>
    <n v="1"/>
    <x v="3"/>
    <n v="1"/>
  </r>
  <r>
    <s v="T002695"/>
    <x v="2519"/>
    <d v="2026-04-27T16:37:00"/>
    <x v="6"/>
    <s v="Chat"/>
    <x v="2"/>
    <s v="A005"/>
    <x v="0"/>
    <n v="4"/>
    <n v="3.1"/>
    <x v="0"/>
    <s v="No"/>
    <s v="No"/>
    <m/>
    <s v="Closed"/>
    <s v="April"/>
    <x v="3"/>
    <n v="2026"/>
    <s v="Yes"/>
    <n v="1"/>
    <x v="4"/>
    <n v="0"/>
  </r>
  <r>
    <s v="T002696"/>
    <x v="2520"/>
    <d v="2026-04-27T23:41:00"/>
    <x v="3"/>
    <s v="Chat"/>
    <x v="1"/>
    <s v="A045"/>
    <x v="1"/>
    <n v="24"/>
    <n v="10"/>
    <x v="0"/>
    <s v="Yes"/>
    <s v="No"/>
    <m/>
    <s v="Closed"/>
    <s v="April"/>
    <x v="3"/>
    <n v="2026"/>
    <s v="Yes"/>
    <n v="1"/>
    <x v="2"/>
    <n v="0"/>
  </r>
  <r>
    <s v="T002697"/>
    <x v="2521"/>
    <d v="2026-04-27T20:43:00"/>
    <x v="1"/>
    <s v="Phone"/>
    <x v="0"/>
    <s v="A036"/>
    <x v="1"/>
    <n v="72"/>
    <n v="5.0999999999999996"/>
    <x v="1"/>
    <s v="No"/>
    <s v="No"/>
    <m/>
    <s v="Closed"/>
    <s v="April"/>
    <x v="3"/>
    <n v="2026"/>
    <s v="Yes"/>
    <n v="1"/>
    <x v="2"/>
    <n v="1"/>
  </r>
  <r>
    <s v="T002698"/>
    <x v="2522"/>
    <d v="2026-04-27T16:49:00"/>
    <x v="1"/>
    <s v="Chat"/>
    <x v="1"/>
    <s v="A050"/>
    <x v="1"/>
    <n v="24"/>
    <n v="1"/>
    <x v="1"/>
    <s v="No"/>
    <s v="No"/>
    <n v="5"/>
    <s v="Closed"/>
    <s v="April"/>
    <x v="3"/>
    <n v="2026"/>
    <s v="Yes"/>
    <n v="1"/>
    <x v="1"/>
    <n v="1"/>
  </r>
  <r>
    <s v="T002699"/>
    <x v="2523"/>
    <d v="2026-04-28T04:20:00"/>
    <x v="0"/>
    <s v="Phone"/>
    <x v="1"/>
    <s v="A021"/>
    <x v="2"/>
    <n v="24"/>
    <n v="12.5"/>
    <x v="1"/>
    <s v="No"/>
    <s v="No"/>
    <m/>
    <s v="Closed"/>
    <s v="April"/>
    <x v="3"/>
    <n v="2026"/>
    <s v="Yes"/>
    <n v="1"/>
    <x v="2"/>
    <n v="1"/>
  </r>
  <r>
    <s v="T002700"/>
    <x v="2524"/>
    <d v="2026-04-28T04:18:00"/>
    <x v="1"/>
    <s v="Phone"/>
    <x v="0"/>
    <s v="A023"/>
    <x v="2"/>
    <n v="72"/>
    <n v="11.3"/>
    <x v="1"/>
    <s v="No"/>
    <s v="No"/>
    <n v="5"/>
    <s v="Closed"/>
    <s v="April"/>
    <x v="3"/>
    <n v="2026"/>
    <s v="Yes"/>
    <n v="1"/>
    <x v="4"/>
    <n v="1"/>
  </r>
  <r>
    <s v="T002701"/>
    <x v="2525"/>
    <d v="2026-04-29T15:12:00"/>
    <x v="4"/>
    <s v="Email"/>
    <x v="0"/>
    <s v="A031"/>
    <x v="2"/>
    <n v="72"/>
    <n v="42.2"/>
    <x v="1"/>
    <s v="No"/>
    <s v="No"/>
    <n v="5"/>
    <s v="Closed"/>
    <s v="April"/>
    <x v="3"/>
    <n v="2026"/>
    <s v="Yes"/>
    <n v="1"/>
    <x v="2"/>
    <n v="1"/>
  </r>
  <r>
    <s v="T002702"/>
    <x v="2526"/>
    <d v="2026-04-26T22:12:00"/>
    <x v="4"/>
    <s v="Field Visit"/>
    <x v="1"/>
    <s v="A047"/>
    <x v="1"/>
    <n v="24"/>
    <n v="85"/>
    <x v="1"/>
    <s v="No"/>
    <s v="No"/>
    <n v="4"/>
    <s v="Closed"/>
    <s v="April"/>
    <x v="3"/>
    <n v="2026"/>
    <s v="No"/>
    <n v="0"/>
    <x v="1"/>
    <n v="1"/>
  </r>
  <r>
    <s v="T002703"/>
    <x v="2527"/>
    <d v="2026-04-29T01:41:00"/>
    <x v="0"/>
    <s v="Chat"/>
    <x v="2"/>
    <s v="A039"/>
    <x v="1"/>
    <n v="4"/>
    <n v="19.600000000000001"/>
    <x v="1"/>
    <s v="No"/>
    <s v="Yes"/>
    <n v="4"/>
    <s v="Closed"/>
    <s v="April"/>
    <x v="3"/>
    <n v="2026"/>
    <s v="No"/>
    <n v="0"/>
    <x v="4"/>
    <n v="1"/>
  </r>
  <r>
    <s v="T002704"/>
    <x v="2528"/>
    <d v="2026-04-28T11:12:00"/>
    <x v="1"/>
    <s v="Phone"/>
    <x v="1"/>
    <s v="A048"/>
    <x v="1"/>
    <n v="24"/>
    <n v="4.0999999999999996"/>
    <x v="0"/>
    <s v="Yes"/>
    <s v="No"/>
    <n v="3"/>
    <s v="Closed"/>
    <s v="April"/>
    <x v="3"/>
    <n v="2026"/>
    <s v="Yes"/>
    <n v="1"/>
    <x v="1"/>
    <n v="0"/>
  </r>
  <r>
    <s v="T002705"/>
    <x v="2529"/>
    <d v="2026-04-28T15:35:00"/>
    <x v="1"/>
    <s v="Chat"/>
    <x v="0"/>
    <s v="A018"/>
    <x v="2"/>
    <n v="72"/>
    <n v="7.9"/>
    <x v="1"/>
    <s v="No"/>
    <s v="No"/>
    <n v="5"/>
    <s v="Closed"/>
    <s v="April"/>
    <x v="3"/>
    <n v="2026"/>
    <s v="Yes"/>
    <n v="1"/>
    <x v="4"/>
    <n v="1"/>
  </r>
  <r>
    <s v="T002706"/>
    <x v="2530"/>
    <d v="2026-04-28T17:14:00"/>
    <x v="3"/>
    <s v="Phone"/>
    <x v="2"/>
    <s v="A035"/>
    <x v="2"/>
    <n v="4"/>
    <n v="8.3000000000000007"/>
    <x v="0"/>
    <s v="No"/>
    <s v="No"/>
    <n v="3"/>
    <s v="Closed"/>
    <s v="April"/>
    <x v="3"/>
    <n v="2026"/>
    <s v="No"/>
    <n v="0"/>
    <x v="1"/>
    <n v="0"/>
  </r>
  <r>
    <s v="T002707"/>
    <x v="2531"/>
    <d v="2026-04-29T06:27:00"/>
    <x v="5"/>
    <s v="Email"/>
    <x v="1"/>
    <s v="A015"/>
    <x v="0"/>
    <n v="24"/>
    <n v="20.3"/>
    <x v="0"/>
    <s v="Yes"/>
    <s v="No"/>
    <n v="5"/>
    <s v="Closed"/>
    <s v="April"/>
    <x v="3"/>
    <n v="2026"/>
    <s v="Yes"/>
    <n v="1"/>
    <x v="0"/>
    <n v="0"/>
  </r>
  <r>
    <s v="T002708"/>
    <x v="2532"/>
    <d v="2026-04-30T03:13:00"/>
    <x v="3"/>
    <s v="Field Visit"/>
    <x v="1"/>
    <s v="A008"/>
    <x v="0"/>
    <n v="24"/>
    <n v="38.799999999999997"/>
    <x v="1"/>
    <s v="No"/>
    <s v="No"/>
    <m/>
    <s v="Closed"/>
    <s v="April"/>
    <x v="3"/>
    <n v="2026"/>
    <s v="No"/>
    <n v="0"/>
    <x v="4"/>
    <n v="1"/>
  </r>
  <r>
    <s v="T002709"/>
    <x v="2533"/>
    <d v="2026-04-28T20:19:00"/>
    <x v="1"/>
    <s v="Phone"/>
    <x v="0"/>
    <s v="A001"/>
    <x v="0"/>
    <n v="72"/>
    <n v="6.7"/>
    <x v="1"/>
    <s v="No"/>
    <s v="No"/>
    <m/>
    <s v="Closed"/>
    <s v="April"/>
    <x v="3"/>
    <n v="2026"/>
    <s v="Yes"/>
    <n v="1"/>
    <x v="4"/>
    <n v="1"/>
  </r>
  <r>
    <s v="T002710"/>
    <x v="2534"/>
    <d v="2026-04-29T05:31:00"/>
    <x v="6"/>
    <s v="Phone"/>
    <x v="1"/>
    <s v="A051"/>
    <x v="1"/>
    <n v="24"/>
    <n v="15.7"/>
    <x v="1"/>
    <s v="No"/>
    <s v="No"/>
    <n v="4"/>
    <s v="Closed"/>
    <s v="April"/>
    <x v="3"/>
    <n v="2026"/>
    <s v="Yes"/>
    <n v="1"/>
    <x v="4"/>
    <n v="1"/>
  </r>
  <r>
    <s v="T002711"/>
    <x v="2535"/>
    <d v="2026-04-28T20:35:00"/>
    <x v="1"/>
    <s v="Email"/>
    <x v="1"/>
    <s v="A006"/>
    <x v="0"/>
    <n v="24"/>
    <n v="6.6"/>
    <x v="0"/>
    <s v="Yes"/>
    <s v="No"/>
    <n v="4"/>
    <s v="Closed"/>
    <s v="April"/>
    <x v="3"/>
    <n v="2026"/>
    <s v="Yes"/>
    <n v="1"/>
    <x v="0"/>
    <n v="0"/>
  </r>
  <r>
    <s v="T002712"/>
    <x v="2536"/>
    <d v="2026-04-28T18:23:00"/>
    <x v="6"/>
    <s v="Phone"/>
    <x v="2"/>
    <s v="A026"/>
    <x v="2"/>
    <n v="4"/>
    <n v="3.9"/>
    <x v="1"/>
    <s v="No"/>
    <s v="No"/>
    <n v="4"/>
    <s v="Closed"/>
    <s v="April"/>
    <x v="3"/>
    <n v="2026"/>
    <s v="Yes"/>
    <n v="1"/>
    <x v="0"/>
    <n v="1"/>
  </r>
  <r>
    <s v="T002713"/>
    <x v="2537"/>
    <d v="2026-04-28T18:59:00"/>
    <x v="1"/>
    <s v="Email"/>
    <x v="1"/>
    <s v="A001"/>
    <x v="0"/>
    <n v="24"/>
    <n v="4.4000000000000004"/>
    <x v="1"/>
    <s v="No"/>
    <s v="No"/>
    <n v="3"/>
    <s v="Closed"/>
    <s v="April"/>
    <x v="3"/>
    <n v="2026"/>
    <s v="Yes"/>
    <n v="1"/>
    <x v="4"/>
    <n v="1"/>
  </r>
  <r>
    <s v="T002714"/>
    <x v="2538"/>
    <d v="2026-04-28T18:45:00"/>
    <x v="6"/>
    <s v="Chat"/>
    <x v="2"/>
    <s v="A001"/>
    <x v="0"/>
    <n v="4"/>
    <n v="4.0999999999999996"/>
    <x v="0"/>
    <s v="Yes"/>
    <s v="Yes"/>
    <n v="3"/>
    <s v="Closed"/>
    <s v="April"/>
    <x v="3"/>
    <n v="2026"/>
    <s v="No"/>
    <n v="0"/>
    <x v="3"/>
    <n v="0"/>
  </r>
  <r>
    <s v="T002715"/>
    <x v="2539"/>
    <d v="2026-04-30T10:13:00"/>
    <x v="3"/>
    <s v="Field Visit"/>
    <x v="0"/>
    <s v="A039"/>
    <x v="1"/>
    <n v="72"/>
    <n v="41.9"/>
    <x v="1"/>
    <s v="No"/>
    <s v="No"/>
    <n v="3"/>
    <s v="Closed"/>
    <s v="April"/>
    <x v="3"/>
    <n v="2026"/>
    <s v="Yes"/>
    <n v="1"/>
    <x v="0"/>
    <n v="1"/>
  </r>
  <r>
    <s v="T002716"/>
    <x v="2540"/>
    <d v="2026-04-29T06:58:00"/>
    <x v="2"/>
    <s v="Chat"/>
    <x v="1"/>
    <s v="A024"/>
    <x v="2"/>
    <n v="24"/>
    <n v="2.7"/>
    <x v="1"/>
    <s v="No"/>
    <s v="No"/>
    <n v="4"/>
    <s v="Closed"/>
    <s v="April"/>
    <x v="3"/>
    <n v="2026"/>
    <s v="Yes"/>
    <n v="1"/>
    <x v="0"/>
    <n v="1"/>
  </r>
  <r>
    <s v="T002717"/>
    <x v="2541"/>
    <d v="2026-04-29T06:54:00"/>
    <x v="1"/>
    <s v="Chat"/>
    <x v="1"/>
    <s v="A020"/>
    <x v="2"/>
    <n v="24"/>
    <n v="2.1"/>
    <x v="0"/>
    <s v="Yes"/>
    <s v="No"/>
    <m/>
    <s v="Closed"/>
    <s v="April"/>
    <x v="3"/>
    <n v="2026"/>
    <s v="Yes"/>
    <n v="1"/>
    <x v="1"/>
    <n v="0"/>
  </r>
  <r>
    <s v="T002718"/>
    <x v="2542"/>
    <d v="2026-04-30T16:04:00"/>
    <x v="3"/>
    <s v="Phone"/>
    <x v="0"/>
    <s v="A002"/>
    <x v="0"/>
    <n v="72"/>
    <n v="33.799999999999997"/>
    <x v="0"/>
    <s v="Yes"/>
    <s v="No"/>
    <m/>
    <s v="Closed"/>
    <s v="April"/>
    <x v="3"/>
    <n v="2026"/>
    <s v="Yes"/>
    <n v="1"/>
    <x v="4"/>
    <n v="0"/>
  </r>
  <r>
    <s v="T002719"/>
    <x v="2543"/>
    <d v="2026-04-30T00:42:00"/>
    <x v="0"/>
    <s v="Chat"/>
    <x v="1"/>
    <s v="A011"/>
    <x v="0"/>
    <n v="24"/>
    <n v="17.7"/>
    <x v="0"/>
    <s v="No"/>
    <s v="No"/>
    <n v="5"/>
    <s v="Closed"/>
    <s v="April"/>
    <x v="3"/>
    <n v="2026"/>
    <s v="Yes"/>
    <n v="1"/>
    <x v="1"/>
    <n v="0"/>
  </r>
  <r>
    <s v="T002720"/>
    <x v="2544"/>
    <d v="2026-04-29T12:54:00"/>
    <x v="1"/>
    <s v="Phone"/>
    <x v="0"/>
    <s v="A052"/>
    <x v="1"/>
    <n v="72"/>
    <n v="5.4"/>
    <x v="1"/>
    <s v="No"/>
    <s v="No"/>
    <n v="5"/>
    <s v="Closed"/>
    <s v="April"/>
    <x v="3"/>
    <n v="2026"/>
    <s v="Yes"/>
    <n v="1"/>
    <x v="1"/>
    <n v="1"/>
  </r>
  <r>
    <s v="T002721"/>
    <x v="2545"/>
    <d v="2026-05-01T02:42:00"/>
    <x v="6"/>
    <s v="Field Visit"/>
    <x v="2"/>
    <s v="A006"/>
    <x v="0"/>
    <n v="4"/>
    <n v="42.7"/>
    <x v="0"/>
    <s v="No"/>
    <s v="No"/>
    <n v="5"/>
    <s v="Closed"/>
    <s v="April"/>
    <x v="3"/>
    <n v="2026"/>
    <s v="No"/>
    <n v="0"/>
    <x v="2"/>
    <n v="0"/>
  </r>
  <r>
    <s v="T002722"/>
    <x v="2546"/>
    <d v="2026-04-30T03:19:00"/>
    <x v="1"/>
    <s v="Email"/>
    <x v="0"/>
    <s v="A046"/>
    <x v="1"/>
    <n v="72"/>
    <n v="18.3"/>
    <x v="1"/>
    <s v="No"/>
    <s v="No"/>
    <n v="5"/>
    <s v="Closed"/>
    <s v="April"/>
    <x v="3"/>
    <n v="2026"/>
    <s v="Yes"/>
    <n v="1"/>
    <x v="4"/>
    <n v="1"/>
  </r>
  <r>
    <s v="T002723"/>
    <x v="2547"/>
    <d v="2026-04-30T05:24:00"/>
    <x v="6"/>
    <s v="Field Visit"/>
    <x v="2"/>
    <s v="A032"/>
    <x v="2"/>
    <n v="4"/>
    <n v="20.3"/>
    <x v="1"/>
    <s v="No"/>
    <s v="No"/>
    <n v="3"/>
    <s v="Closed"/>
    <s v="April"/>
    <x v="3"/>
    <n v="2026"/>
    <s v="No"/>
    <n v="0"/>
    <x v="2"/>
    <n v="1"/>
  </r>
  <r>
    <s v="T002724"/>
    <x v="2548"/>
    <d v="2026-04-29T12:51:00"/>
    <x v="1"/>
    <s v="Chat"/>
    <x v="1"/>
    <s v="A040"/>
    <x v="1"/>
    <n v="24"/>
    <n v="2.8"/>
    <x v="1"/>
    <s v="No"/>
    <s v="No"/>
    <n v="4"/>
    <s v="Closed"/>
    <s v="April"/>
    <x v="3"/>
    <n v="2026"/>
    <s v="Yes"/>
    <n v="1"/>
    <x v="1"/>
    <n v="1"/>
  </r>
  <r>
    <s v="T002725"/>
    <x v="2549"/>
    <d v="2026-04-29T20:05:00"/>
    <x v="1"/>
    <s v="Email"/>
    <x v="0"/>
    <s v="A017"/>
    <x v="2"/>
    <n v="72"/>
    <n v="9.6999999999999993"/>
    <x v="0"/>
    <s v="Yes"/>
    <s v="No"/>
    <m/>
    <s v="Closed"/>
    <s v="April"/>
    <x v="3"/>
    <n v="2026"/>
    <s v="Yes"/>
    <n v="1"/>
    <x v="1"/>
    <n v="0"/>
  </r>
  <r>
    <s v="T002726"/>
    <x v="2550"/>
    <d v="2026-04-29T18:33:00"/>
    <x v="6"/>
    <s v="Chat"/>
    <x v="0"/>
    <s v="A026"/>
    <x v="2"/>
    <n v="72"/>
    <n v="7.2"/>
    <x v="1"/>
    <s v="No"/>
    <s v="No"/>
    <n v="5"/>
    <s v="Closed"/>
    <s v="April"/>
    <x v="3"/>
    <n v="2026"/>
    <s v="Yes"/>
    <n v="1"/>
    <x v="2"/>
    <n v="1"/>
  </r>
  <r>
    <s v="T002727"/>
    <x v="2551"/>
    <d v="2026-04-30T02:10:00"/>
    <x v="6"/>
    <s v="Field Visit"/>
    <x v="1"/>
    <s v="A032"/>
    <x v="2"/>
    <n v="24"/>
    <n v="14"/>
    <x v="1"/>
    <s v="No"/>
    <s v="No"/>
    <n v="5"/>
    <s v="Closed"/>
    <s v="April"/>
    <x v="3"/>
    <n v="2026"/>
    <s v="Yes"/>
    <n v="1"/>
    <x v="1"/>
    <n v="1"/>
  </r>
  <r>
    <s v="T002728"/>
    <x v="2552"/>
    <d v="2026-04-29T18:35:00"/>
    <x v="1"/>
    <s v="Phone"/>
    <x v="1"/>
    <s v="A024"/>
    <x v="2"/>
    <n v="24"/>
    <n v="5.0999999999999996"/>
    <x v="1"/>
    <s v="No"/>
    <s v="No"/>
    <n v="3"/>
    <s v="Closed"/>
    <s v="April"/>
    <x v="3"/>
    <n v="2026"/>
    <s v="Yes"/>
    <n v="1"/>
    <x v="4"/>
    <n v="1"/>
  </r>
  <r>
    <s v="T002729"/>
    <x v="2553"/>
    <d v="2026-04-29T22:04:00"/>
    <x v="6"/>
    <s v="Phone"/>
    <x v="1"/>
    <s v="A023"/>
    <x v="2"/>
    <n v="24"/>
    <n v="8.4"/>
    <x v="0"/>
    <s v="No"/>
    <s v="No"/>
    <n v="3"/>
    <s v="Closed"/>
    <s v="April"/>
    <x v="3"/>
    <n v="2026"/>
    <s v="Yes"/>
    <n v="1"/>
    <x v="1"/>
    <n v="0"/>
  </r>
  <r>
    <s v="T002730"/>
    <x v="2554"/>
    <d v="2026-05-01T08:27:00"/>
    <x v="4"/>
    <s v="Field Visit"/>
    <x v="2"/>
    <s v="A032"/>
    <x v="2"/>
    <n v="4"/>
    <n v="42.7"/>
    <x v="0"/>
    <s v="Yes"/>
    <s v="No"/>
    <n v="2"/>
    <s v="Closed"/>
    <s v="April"/>
    <x v="3"/>
    <n v="2026"/>
    <s v="No"/>
    <n v="0"/>
    <x v="4"/>
    <n v="0"/>
  </r>
  <r>
    <s v="T002731"/>
    <x v="2555"/>
    <d v="2026-04-29T07:02:00"/>
    <x v="2"/>
    <s v="Chat"/>
    <x v="1"/>
    <s v="A005"/>
    <x v="0"/>
    <n v="24"/>
    <n v="19.100000000000001"/>
    <x v="1"/>
    <s v="No"/>
    <s v="No"/>
    <m/>
    <s v="Closed"/>
    <s v="April"/>
    <x v="3"/>
    <n v="2026"/>
    <s v="Yes"/>
    <n v="1"/>
    <x v="4"/>
    <n v="1"/>
  </r>
  <r>
    <s v="T002732"/>
    <x v="2556"/>
    <d v="2026-05-07T08:39:00"/>
    <x v="4"/>
    <s v="Field Visit"/>
    <x v="1"/>
    <s v="A012"/>
    <x v="0"/>
    <n v="24"/>
    <n v="186.3"/>
    <x v="1"/>
    <s v="No"/>
    <s v="No"/>
    <n v="4"/>
    <s v="Closed"/>
    <s v="April"/>
    <x v="3"/>
    <n v="2026"/>
    <s v="No"/>
    <n v="0"/>
    <x v="0"/>
    <n v="1"/>
  </r>
  <r>
    <s v="T002733"/>
    <x v="2557"/>
    <d v="2026-05-11T11:48:00"/>
    <x v="4"/>
    <s v="Field Visit"/>
    <x v="1"/>
    <s v="A020"/>
    <x v="2"/>
    <n v="24"/>
    <n v="284.60000000000002"/>
    <x v="0"/>
    <s v="No"/>
    <s v="No"/>
    <n v="4"/>
    <s v="Closed"/>
    <s v="April"/>
    <x v="3"/>
    <n v="2026"/>
    <s v="No"/>
    <n v="0"/>
    <x v="4"/>
    <n v="0"/>
  </r>
  <r>
    <s v="T002734"/>
    <x v="2558"/>
    <d v="2026-04-29T22:53:00"/>
    <x v="1"/>
    <s v="Chat"/>
    <x v="1"/>
    <s v="A057"/>
    <x v="1"/>
    <n v="24"/>
    <n v="3.6"/>
    <x v="1"/>
    <s v="No"/>
    <s v="No"/>
    <n v="5"/>
    <s v="Closed"/>
    <s v="April"/>
    <x v="3"/>
    <n v="2026"/>
    <s v="Yes"/>
    <n v="1"/>
    <x v="3"/>
    <n v="1"/>
  </r>
  <r>
    <s v="T002735"/>
    <x v="2559"/>
    <d v="2026-04-30T00:12:00"/>
    <x v="1"/>
    <s v="Phone"/>
    <x v="1"/>
    <s v="A020"/>
    <x v="2"/>
    <n v="24"/>
    <n v="3.8"/>
    <x v="1"/>
    <s v="No"/>
    <s v="No"/>
    <n v="5"/>
    <s v="Closed"/>
    <s v="April"/>
    <x v="3"/>
    <n v="2026"/>
    <s v="Yes"/>
    <n v="1"/>
    <x v="0"/>
    <n v="1"/>
  </r>
  <r>
    <s v="T002736"/>
    <x v="2560"/>
    <d v="2026-04-30T16:20:00"/>
    <x v="0"/>
    <s v="Phone"/>
    <x v="0"/>
    <s v="A058"/>
    <x v="1"/>
    <n v="72"/>
    <n v="19.899999999999999"/>
    <x v="1"/>
    <s v="No"/>
    <s v="No"/>
    <n v="4"/>
    <s v="Closed"/>
    <s v="April"/>
    <x v="3"/>
    <n v="2026"/>
    <s v="Yes"/>
    <n v="1"/>
    <x v="0"/>
    <n v="1"/>
  </r>
  <r>
    <s v="T002737"/>
    <x v="2561"/>
    <d v="2026-04-30T00:45:00"/>
    <x v="5"/>
    <s v="Chat"/>
    <x v="0"/>
    <s v="A035"/>
    <x v="2"/>
    <n v="72"/>
    <n v="4.0999999999999996"/>
    <x v="1"/>
    <s v="No"/>
    <s v="No"/>
    <m/>
    <s v="Closed"/>
    <s v="April"/>
    <x v="3"/>
    <n v="2026"/>
    <s v="Yes"/>
    <n v="1"/>
    <x v="0"/>
    <n v="1"/>
  </r>
  <r>
    <s v="T002738"/>
    <x v="2562"/>
    <d v="2026-04-30T03:37:00"/>
    <x v="0"/>
    <s v="Phone"/>
    <x v="1"/>
    <s v="A054"/>
    <x v="1"/>
    <n v="24"/>
    <n v="6.9"/>
    <x v="1"/>
    <s v="No"/>
    <s v="No"/>
    <n v="5"/>
    <s v="Closed"/>
    <s v="April"/>
    <x v="3"/>
    <n v="2026"/>
    <s v="Yes"/>
    <n v="1"/>
    <x v="1"/>
    <n v="1"/>
  </r>
  <r>
    <s v="T002739"/>
    <x v="2563"/>
    <d v="2026-04-30T19:21:00"/>
    <x v="6"/>
    <s v="Field Visit"/>
    <x v="2"/>
    <s v="A022"/>
    <x v="2"/>
    <n v="4"/>
    <n v="22.2"/>
    <x v="1"/>
    <s v="No"/>
    <s v="No"/>
    <n v="5"/>
    <s v="Closed"/>
    <s v="April"/>
    <x v="3"/>
    <n v="2026"/>
    <s v="No"/>
    <n v="0"/>
    <x v="2"/>
    <n v="1"/>
  </r>
  <r>
    <s v="T002740"/>
    <x v="2564"/>
    <d v="2026-05-01T13:16:00"/>
    <x v="5"/>
    <s v="Email"/>
    <x v="0"/>
    <s v="A038"/>
    <x v="1"/>
    <n v="72"/>
    <n v="30.9"/>
    <x v="1"/>
    <s v="No"/>
    <s v="Yes"/>
    <n v="5"/>
    <s v="Closed"/>
    <s v="April"/>
    <x v="3"/>
    <n v="2026"/>
    <s v="Yes"/>
    <n v="1"/>
    <x v="2"/>
    <n v="1"/>
  </r>
  <r>
    <s v="T002741"/>
    <x v="2565"/>
    <d v="2026-04-30T17:48:00"/>
    <x v="5"/>
    <s v="Phone"/>
    <x v="0"/>
    <s v="A004"/>
    <x v="0"/>
    <n v="72"/>
    <n v="9.9"/>
    <x v="1"/>
    <s v="No"/>
    <s v="No"/>
    <n v="5"/>
    <s v="Closed"/>
    <s v="April"/>
    <x v="3"/>
    <n v="2026"/>
    <s v="Yes"/>
    <n v="1"/>
    <x v="2"/>
    <n v="1"/>
  </r>
  <r>
    <s v="T002742"/>
    <x v="2566"/>
    <d v="2026-05-01T06:02:00"/>
    <x v="6"/>
    <s v="Field Visit"/>
    <x v="1"/>
    <s v="A024"/>
    <x v="2"/>
    <n v="24"/>
    <n v="22"/>
    <x v="0"/>
    <s v="Yes"/>
    <s v="No"/>
    <m/>
    <s v="Closed"/>
    <s v="April"/>
    <x v="3"/>
    <n v="2026"/>
    <s v="Yes"/>
    <n v="1"/>
    <x v="3"/>
    <n v="0"/>
  </r>
  <r>
    <s v="T002743"/>
    <x v="2567"/>
    <d v="2026-05-02T21:03:00"/>
    <x v="2"/>
    <s v="Email"/>
    <x v="0"/>
    <s v="A021"/>
    <x v="2"/>
    <n v="72"/>
    <n v="58.4"/>
    <x v="0"/>
    <s v="No"/>
    <s v="No"/>
    <m/>
    <s v="Closed"/>
    <s v="April"/>
    <x v="3"/>
    <n v="2026"/>
    <s v="Yes"/>
    <n v="1"/>
    <x v="2"/>
    <n v="0"/>
  </r>
  <r>
    <s v="T002744"/>
    <x v="2568"/>
    <d v="2026-04-30T23:53:00"/>
    <x v="6"/>
    <s v="Field Visit"/>
    <x v="1"/>
    <s v="A048"/>
    <x v="1"/>
    <n v="24"/>
    <n v="13.1"/>
    <x v="1"/>
    <s v="No"/>
    <s v="No"/>
    <n v="5"/>
    <s v="Closed"/>
    <s v="April"/>
    <x v="3"/>
    <n v="2026"/>
    <s v="Yes"/>
    <n v="1"/>
    <x v="2"/>
    <n v="1"/>
  </r>
  <r>
    <s v="T002745"/>
    <x v="2569"/>
    <d v="2026-04-30T22:32:00"/>
    <x v="0"/>
    <s v="Phone"/>
    <x v="1"/>
    <s v="A060"/>
    <x v="1"/>
    <n v="24"/>
    <n v="11.6"/>
    <x v="1"/>
    <s v="No"/>
    <s v="No"/>
    <m/>
    <s v="Closed"/>
    <s v="April"/>
    <x v="3"/>
    <n v="2026"/>
    <s v="Yes"/>
    <n v="1"/>
    <x v="2"/>
    <n v="1"/>
  </r>
  <r>
    <s v="T002746"/>
    <x v="2570"/>
    <d v="2026-05-07T01:33:00"/>
    <x v="4"/>
    <s v="Phone"/>
    <x v="1"/>
    <s v="A021"/>
    <x v="2"/>
    <n v="24"/>
    <n v="157.69999999999999"/>
    <x v="0"/>
    <s v="Yes"/>
    <s v="No"/>
    <n v="2"/>
    <s v="Closed"/>
    <s v="April"/>
    <x v="3"/>
    <n v="2026"/>
    <s v="No"/>
    <n v="0"/>
    <x v="2"/>
    <n v="0"/>
  </r>
  <r>
    <s v="T002747"/>
    <x v="2571"/>
    <d v="2026-04-30T20:17:00"/>
    <x v="6"/>
    <s v="Phone"/>
    <x v="2"/>
    <s v="A016"/>
    <x v="2"/>
    <n v="4"/>
    <n v="8.4"/>
    <x v="0"/>
    <s v="No"/>
    <s v="No"/>
    <n v="3"/>
    <s v="Closed"/>
    <s v="April"/>
    <x v="3"/>
    <n v="2026"/>
    <s v="No"/>
    <n v="0"/>
    <x v="2"/>
    <n v="0"/>
  </r>
  <r>
    <s v="T002748"/>
    <x v="2572"/>
    <d v="2026-05-02T14:38:00"/>
    <x v="4"/>
    <s v="Field Visit"/>
    <x v="2"/>
    <s v="A056"/>
    <x v="1"/>
    <n v="4"/>
    <n v="50.5"/>
    <x v="1"/>
    <s v="No"/>
    <s v="Yes"/>
    <m/>
    <s v="Closed"/>
    <s v="April"/>
    <x v="3"/>
    <n v="2026"/>
    <s v="No"/>
    <n v="0"/>
    <x v="1"/>
    <n v="1"/>
  </r>
  <r>
    <s v="T002749"/>
    <x v="2573"/>
    <d v="2026-04-30T18:02:00"/>
    <x v="1"/>
    <s v="Phone"/>
    <x v="0"/>
    <s v="A044"/>
    <x v="1"/>
    <n v="72"/>
    <n v="5.7"/>
    <x v="1"/>
    <s v="No"/>
    <s v="Yes"/>
    <n v="5"/>
    <s v="Closed"/>
    <s v="April"/>
    <x v="3"/>
    <n v="2026"/>
    <s v="Yes"/>
    <n v="1"/>
    <x v="2"/>
    <n v="1"/>
  </r>
  <r>
    <s v="T002750"/>
    <x v="2574"/>
    <d v="2026-04-30T20:22:00"/>
    <x v="6"/>
    <s v="Chat"/>
    <x v="1"/>
    <s v="A010"/>
    <x v="0"/>
    <n v="24"/>
    <n v="7.5"/>
    <x v="1"/>
    <s v="No"/>
    <s v="No"/>
    <n v="5"/>
    <s v="Closed"/>
    <s v="April"/>
    <x v="3"/>
    <n v="2026"/>
    <s v="Yes"/>
    <n v="1"/>
    <x v="4"/>
    <n v="1"/>
  </r>
  <r>
    <s v="T002751"/>
    <x v="2575"/>
    <d v="2026-04-30T23:22:00"/>
    <x v="0"/>
    <s v="Chat"/>
    <x v="0"/>
    <s v="A028"/>
    <x v="2"/>
    <n v="72"/>
    <n v="10.3"/>
    <x v="1"/>
    <s v="No"/>
    <s v="No"/>
    <n v="5"/>
    <s v="Closed"/>
    <s v="April"/>
    <x v="3"/>
    <n v="2026"/>
    <s v="Yes"/>
    <n v="1"/>
    <x v="3"/>
    <n v="1"/>
  </r>
  <r>
    <s v="T002752"/>
    <x v="2576"/>
    <d v="2026-05-02T12:31:00"/>
    <x v="6"/>
    <s v="Email"/>
    <x v="1"/>
    <s v="A013"/>
    <x v="0"/>
    <n v="24"/>
    <n v="47.3"/>
    <x v="0"/>
    <s v="No"/>
    <s v="No"/>
    <n v="5"/>
    <s v="Closed"/>
    <s v="April"/>
    <x v="3"/>
    <n v="2026"/>
    <s v="No"/>
    <n v="0"/>
    <x v="1"/>
    <n v="0"/>
  </r>
  <r>
    <s v="T002753"/>
    <x v="2577"/>
    <d v="2026-05-03T22:44:00"/>
    <x v="3"/>
    <s v="Field Visit"/>
    <x v="0"/>
    <s v="A003"/>
    <x v="0"/>
    <n v="72"/>
    <n v="81.3"/>
    <x v="1"/>
    <s v="No"/>
    <s v="Yes"/>
    <m/>
    <s v="Closed"/>
    <s v="April"/>
    <x v="3"/>
    <n v="2026"/>
    <s v="No"/>
    <n v="0"/>
    <x v="4"/>
    <n v="1"/>
  </r>
  <r>
    <s v="T002754"/>
    <x v="2578"/>
    <d v="2026-05-03T14:45:00"/>
    <x v="4"/>
    <s v="Phone"/>
    <x v="1"/>
    <s v="A054"/>
    <x v="1"/>
    <n v="24"/>
    <n v="72.2"/>
    <x v="1"/>
    <s v="No"/>
    <s v="No"/>
    <n v="5"/>
    <s v="Closed"/>
    <s v="April"/>
    <x v="3"/>
    <n v="2026"/>
    <s v="No"/>
    <n v="0"/>
    <x v="4"/>
    <n v="1"/>
  </r>
  <r>
    <s v="T002755"/>
    <x v="2579"/>
    <d v="2026-05-01T02:01:00"/>
    <x v="6"/>
    <s v="Field Visit"/>
    <x v="2"/>
    <s v="A022"/>
    <x v="2"/>
    <n v="4"/>
    <n v="11.3"/>
    <x v="0"/>
    <s v="Yes"/>
    <s v="Yes"/>
    <n v="4"/>
    <s v="Closed"/>
    <s v="April"/>
    <x v="3"/>
    <n v="2026"/>
    <s v="No"/>
    <n v="0"/>
    <x v="3"/>
    <n v="0"/>
  </r>
  <r>
    <s v="T002756"/>
    <x v="2580"/>
    <d v="2026-04-30T17:12:00"/>
    <x v="0"/>
    <s v="Phone"/>
    <x v="1"/>
    <s v="A043"/>
    <x v="1"/>
    <n v="24"/>
    <n v="2.2999999999999998"/>
    <x v="1"/>
    <s v="No"/>
    <s v="No"/>
    <n v="4"/>
    <s v="Closed"/>
    <s v="April"/>
    <x v="3"/>
    <n v="2026"/>
    <s v="Yes"/>
    <n v="1"/>
    <x v="1"/>
    <n v="1"/>
  </r>
  <r>
    <s v="T002757"/>
    <x v="2581"/>
    <d v="2026-05-03T08:32:00"/>
    <x v="4"/>
    <s v="Field Visit"/>
    <x v="0"/>
    <s v="A047"/>
    <x v="1"/>
    <n v="72"/>
    <n v="65.5"/>
    <x v="1"/>
    <s v="No"/>
    <s v="No"/>
    <m/>
    <s v="Closed"/>
    <s v="April"/>
    <x v="3"/>
    <n v="2026"/>
    <s v="Yes"/>
    <n v="1"/>
    <x v="0"/>
    <n v="1"/>
  </r>
  <r>
    <s v="T002758"/>
    <x v="2582"/>
    <d v="2026-05-07T00:31:00"/>
    <x v="4"/>
    <s v="Field Visit"/>
    <x v="0"/>
    <s v="A032"/>
    <x v="2"/>
    <n v="72"/>
    <n v="153.4"/>
    <x v="1"/>
    <s v="No"/>
    <s v="No"/>
    <n v="3"/>
    <s v="Closed"/>
    <s v="April"/>
    <x v="3"/>
    <n v="2026"/>
    <s v="No"/>
    <n v="0"/>
    <x v="4"/>
    <n v="1"/>
  </r>
  <r>
    <s v="T002759"/>
    <x v="2583"/>
    <d v="2026-04-30T20:43:00"/>
    <x v="5"/>
    <s v="Phone"/>
    <x v="1"/>
    <s v="A047"/>
    <x v="1"/>
    <n v="24"/>
    <n v="5.2"/>
    <x v="1"/>
    <s v="No"/>
    <s v="No"/>
    <n v="5"/>
    <s v="Closed"/>
    <s v="April"/>
    <x v="3"/>
    <n v="2026"/>
    <s v="Yes"/>
    <n v="1"/>
    <x v="0"/>
    <n v="1"/>
  </r>
  <r>
    <s v="T002760"/>
    <x v="2584"/>
    <d v="2026-04-30T22:32:00"/>
    <x v="3"/>
    <s v="Phone"/>
    <x v="1"/>
    <s v="A002"/>
    <x v="0"/>
    <n v="24"/>
    <n v="6.3"/>
    <x v="1"/>
    <s v="No"/>
    <s v="No"/>
    <m/>
    <s v="Closed"/>
    <s v="April"/>
    <x v="3"/>
    <n v="2026"/>
    <s v="Yes"/>
    <n v="1"/>
    <x v="3"/>
    <n v="1"/>
  </r>
  <r>
    <s v="T002761"/>
    <x v="2585"/>
    <d v="2026-04-30T22:38:00"/>
    <x v="0"/>
    <s v="Chat"/>
    <x v="0"/>
    <s v="A007"/>
    <x v="0"/>
    <n v="72"/>
    <n v="5.2"/>
    <x v="0"/>
    <s v="Yes"/>
    <s v="No"/>
    <m/>
    <s v="Closed"/>
    <s v="April"/>
    <x v="3"/>
    <n v="2026"/>
    <s v="Yes"/>
    <n v="1"/>
    <x v="1"/>
    <n v="0"/>
  </r>
  <r>
    <s v="T002762"/>
    <x v="2585"/>
    <d v="2026-05-01T05:38:00"/>
    <x v="6"/>
    <s v="Field Visit"/>
    <x v="1"/>
    <s v="A006"/>
    <x v="0"/>
    <n v="24"/>
    <n v="12.2"/>
    <x v="0"/>
    <s v="Yes"/>
    <s v="Yes"/>
    <n v="3"/>
    <s v="Closed"/>
    <s v="April"/>
    <x v="3"/>
    <n v="2026"/>
    <s v="Yes"/>
    <n v="1"/>
    <x v="1"/>
    <n v="0"/>
  </r>
  <r>
    <s v="T002763"/>
    <x v="2586"/>
    <d v="2026-05-02T03:04:00"/>
    <x v="6"/>
    <s v="Field Visit"/>
    <x v="2"/>
    <s v="A004"/>
    <x v="0"/>
    <n v="4"/>
    <n v="33.299999999999997"/>
    <x v="1"/>
    <s v="No"/>
    <s v="Yes"/>
    <n v="5"/>
    <s v="Closed"/>
    <s v="April"/>
    <x v="3"/>
    <n v="2026"/>
    <s v="No"/>
    <n v="0"/>
    <x v="2"/>
    <n v="1"/>
  </r>
  <r>
    <s v="T002764"/>
    <x v="2587"/>
    <d v="2026-05-01T23:41:00"/>
    <x v="2"/>
    <s v="Email"/>
    <x v="2"/>
    <s v="A047"/>
    <x v="1"/>
    <n v="4"/>
    <n v="29.9"/>
    <x v="0"/>
    <s v="Yes"/>
    <s v="No"/>
    <n v="3"/>
    <s v="Closed"/>
    <s v="April"/>
    <x v="3"/>
    <n v="2026"/>
    <s v="No"/>
    <n v="0"/>
    <x v="2"/>
    <n v="0"/>
  </r>
  <r>
    <s v="T002765"/>
    <x v="2588"/>
    <d v="2026-05-01T13:43:00"/>
    <x v="2"/>
    <s v="Field Visit"/>
    <x v="1"/>
    <s v="A036"/>
    <x v="1"/>
    <n v="24"/>
    <n v="19.8"/>
    <x v="1"/>
    <s v="No"/>
    <s v="No"/>
    <m/>
    <s v="Closed"/>
    <s v="April"/>
    <x v="3"/>
    <n v="2026"/>
    <s v="Yes"/>
    <n v="1"/>
    <x v="2"/>
    <n v="1"/>
  </r>
  <r>
    <s v="T002766"/>
    <x v="2589"/>
    <d v="2026-05-01T11:31:00"/>
    <x v="3"/>
    <s v="Chat"/>
    <x v="0"/>
    <s v="A055"/>
    <x v="1"/>
    <n v="72"/>
    <n v="16.5"/>
    <x v="0"/>
    <s v="Yes"/>
    <s v="No"/>
    <m/>
    <s v="Closed"/>
    <s v="April"/>
    <x v="3"/>
    <n v="2026"/>
    <s v="Yes"/>
    <n v="1"/>
    <x v="0"/>
    <n v="0"/>
  </r>
  <r>
    <s v="T002767"/>
    <x v="2590"/>
    <d v="2026-05-01T15:05:00"/>
    <x v="6"/>
    <s v="Field Visit"/>
    <x v="1"/>
    <s v="A023"/>
    <x v="2"/>
    <n v="24"/>
    <n v="17.899999999999999"/>
    <x v="1"/>
    <s v="No"/>
    <s v="No"/>
    <n v="4"/>
    <s v="Closed"/>
    <s v="April"/>
    <x v="3"/>
    <n v="2026"/>
    <s v="Yes"/>
    <n v="1"/>
    <x v="0"/>
    <n v="1"/>
  </r>
  <r>
    <s v="T002768"/>
    <x v="2591"/>
    <d v="2026-05-01T06:41:00"/>
    <x v="3"/>
    <s v="Chat"/>
    <x v="1"/>
    <s v="A021"/>
    <x v="2"/>
    <n v="24"/>
    <n v="2.8"/>
    <x v="0"/>
    <s v="No"/>
    <s v="No"/>
    <n v="3"/>
    <s v="Closed"/>
    <s v="May"/>
    <x v="4"/>
    <n v="2026"/>
    <s v="Yes"/>
    <n v="1"/>
    <x v="1"/>
    <n v="0"/>
  </r>
  <r>
    <s v="T002769"/>
    <x v="2592"/>
    <d v="2026-05-01T21:43:00"/>
    <x v="0"/>
    <s v="Phone"/>
    <x v="1"/>
    <s v="A029"/>
    <x v="2"/>
    <n v="24"/>
    <n v="16.8"/>
    <x v="0"/>
    <s v="No"/>
    <s v="No"/>
    <n v="5"/>
    <s v="Closed"/>
    <s v="May"/>
    <x v="4"/>
    <n v="2026"/>
    <s v="Yes"/>
    <n v="1"/>
    <x v="4"/>
    <n v="0"/>
  </r>
  <r>
    <s v="T002770"/>
    <x v="2593"/>
    <d v="2026-05-04T04:01:00"/>
    <x v="4"/>
    <s v="Phone"/>
    <x v="1"/>
    <s v="A059"/>
    <x v="1"/>
    <n v="24"/>
    <n v="70"/>
    <x v="1"/>
    <s v="No"/>
    <s v="Yes"/>
    <n v="3"/>
    <s v="Closed"/>
    <s v="May"/>
    <x v="4"/>
    <n v="2026"/>
    <s v="No"/>
    <n v="0"/>
    <x v="4"/>
    <n v="1"/>
  </r>
  <r>
    <s v="T002771"/>
    <x v="2594"/>
    <d v="2026-05-01T14:30:00"/>
    <x v="5"/>
    <s v="Phone"/>
    <x v="1"/>
    <s v="A058"/>
    <x v="1"/>
    <n v="24"/>
    <n v="8"/>
    <x v="0"/>
    <s v="Yes"/>
    <s v="No"/>
    <n v="4"/>
    <s v="Closed"/>
    <s v="May"/>
    <x v="4"/>
    <n v="2026"/>
    <s v="Yes"/>
    <n v="1"/>
    <x v="3"/>
    <n v="0"/>
  </r>
  <r>
    <s v="T002772"/>
    <x v="2595"/>
    <d v="2026-05-03T06:51:00"/>
    <x v="2"/>
    <s v="Field Visit"/>
    <x v="1"/>
    <s v="A053"/>
    <x v="1"/>
    <n v="24"/>
    <n v="46.6"/>
    <x v="1"/>
    <s v="No"/>
    <s v="No"/>
    <n v="4"/>
    <s v="Closed"/>
    <s v="May"/>
    <x v="4"/>
    <n v="2026"/>
    <s v="No"/>
    <n v="0"/>
    <x v="1"/>
    <n v="1"/>
  </r>
  <r>
    <s v="T002773"/>
    <x v="2596"/>
    <d v="2026-05-01T13:57:00"/>
    <x v="1"/>
    <s v="Phone"/>
    <x v="0"/>
    <s v="A026"/>
    <x v="2"/>
    <n v="72"/>
    <n v="4.5999999999999996"/>
    <x v="1"/>
    <s v="No"/>
    <s v="No"/>
    <n v="5"/>
    <s v="Closed"/>
    <s v="May"/>
    <x v="4"/>
    <n v="2026"/>
    <s v="Yes"/>
    <n v="1"/>
    <x v="4"/>
    <n v="1"/>
  </r>
  <r>
    <s v="T002774"/>
    <x v="2597"/>
    <d v="2026-05-01T19:30:00"/>
    <x v="2"/>
    <s v="Field Visit"/>
    <x v="0"/>
    <s v="A024"/>
    <x v="2"/>
    <n v="72"/>
    <n v="9.8000000000000007"/>
    <x v="1"/>
    <s v="No"/>
    <s v="No"/>
    <n v="5"/>
    <s v="Closed"/>
    <s v="May"/>
    <x v="4"/>
    <n v="2026"/>
    <s v="Yes"/>
    <n v="1"/>
    <x v="4"/>
    <n v="1"/>
  </r>
  <r>
    <s v="T002775"/>
    <x v="2598"/>
    <d v="2026-05-02T00:45:00"/>
    <x v="3"/>
    <s v="Field Visit"/>
    <x v="1"/>
    <s v="A011"/>
    <x v="0"/>
    <n v="24"/>
    <n v="14.5"/>
    <x v="1"/>
    <s v="No"/>
    <s v="No"/>
    <n v="4"/>
    <s v="Closed"/>
    <s v="May"/>
    <x v="4"/>
    <n v="2026"/>
    <s v="Yes"/>
    <n v="1"/>
    <x v="3"/>
    <n v="1"/>
  </r>
  <r>
    <s v="T002776"/>
    <x v="2599"/>
    <d v="2026-05-01T19:48:00"/>
    <x v="0"/>
    <s v="Phone"/>
    <x v="1"/>
    <s v="A025"/>
    <x v="2"/>
    <n v="24"/>
    <n v="9"/>
    <x v="1"/>
    <s v="No"/>
    <s v="No"/>
    <n v="5"/>
    <s v="Closed"/>
    <s v="May"/>
    <x v="4"/>
    <n v="2026"/>
    <s v="Yes"/>
    <n v="1"/>
    <x v="3"/>
    <n v="1"/>
  </r>
  <r>
    <s v="T002777"/>
    <x v="2600"/>
    <d v="2026-05-02T03:46:00"/>
    <x v="6"/>
    <s v="Field Visit"/>
    <x v="0"/>
    <s v="A053"/>
    <x v="1"/>
    <n v="72"/>
    <n v="15.4"/>
    <x v="0"/>
    <s v="Yes"/>
    <s v="No"/>
    <n v="3"/>
    <s v="Closed"/>
    <s v="May"/>
    <x v="4"/>
    <n v="2026"/>
    <s v="Yes"/>
    <n v="1"/>
    <x v="2"/>
    <n v="0"/>
  </r>
  <r>
    <s v="T002778"/>
    <x v="2601"/>
    <d v="2026-05-01T23:55:00"/>
    <x v="2"/>
    <s v="Phone"/>
    <x v="0"/>
    <s v="A028"/>
    <x v="2"/>
    <n v="72"/>
    <n v="10.9"/>
    <x v="0"/>
    <s v="Yes"/>
    <s v="Yes"/>
    <n v="1"/>
    <s v="Closed"/>
    <s v="May"/>
    <x v="4"/>
    <n v="2026"/>
    <s v="Yes"/>
    <n v="1"/>
    <x v="1"/>
    <n v="0"/>
  </r>
  <r>
    <s v="T002779"/>
    <x v="2602"/>
    <d v="2026-05-04T01:50:00"/>
    <x v="3"/>
    <s v="Email"/>
    <x v="2"/>
    <s v="A059"/>
    <x v="1"/>
    <n v="4"/>
    <n v="59.7"/>
    <x v="1"/>
    <s v="No"/>
    <s v="No"/>
    <m/>
    <s v="Closed"/>
    <s v="May"/>
    <x v="4"/>
    <n v="2026"/>
    <s v="No"/>
    <n v="0"/>
    <x v="4"/>
    <n v="1"/>
  </r>
  <r>
    <s v="T002780"/>
    <x v="2603"/>
    <d v="2026-05-04T10:50:00"/>
    <x v="4"/>
    <s v="Chat"/>
    <x v="0"/>
    <s v="A004"/>
    <x v="0"/>
    <n v="72"/>
    <n v="68.099999999999994"/>
    <x v="0"/>
    <s v="No"/>
    <s v="No"/>
    <m/>
    <s v="Closed"/>
    <s v="May"/>
    <x v="4"/>
    <n v="2026"/>
    <s v="Yes"/>
    <n v="1"/>
    <x v="2"/>
    <n v="0"/>
  </r>
  <r>
    <s v="T002781"/>
    <x v="2604"/>
    <d v="2026-05-01T17:49:00"/>
    <x v="0"/>
    <s v="Chat"/>
    <x v="0"/>
    <s v="A021"/>
    <x v="2"/>
    <n v="72"/>
    <n v="2.9"/>
    <x v="0"/>
    <s v="Yes"/>
    <s v="No"/>
    <n v="5"/>
    <s v="Closed"/>
    <s v="May"/>
    <x v="4"/>
    <n v="2026"/>
    <s v="Yes"/>
    <n v="1"/>
    <x v="1"/>
    <n v="0"/>
  </r>
  <r>
    <s v="T002782"/>
    <x v="2605"/>
    <d v="2026-05-02T03:37:00"/>
    <x v="1"/>
    <s v="Phone"/>
    <x v="0"/>
    <s v="A044"/>
    <x v="1"/>
    <n v="72"/>
    <n v="12.2"/>
    <x v="1"/>
    <s v="No"/>
    <s v="No"/>
    <n v="5"/>
    <s v="Closed"/>
    <s v="May"/>
    <x v="4"/>
    <n v="2026"/>
    <s v="Yes"/>
    <n v="1"/>
    <x v="2"/>
    <n v="1"/>
  </r>
  <r>
    <s v="T002783"/>
    <x v="2606"/>
    <d v="2026-05-04T00:31:00"/>
    <x v="0"/>
    <s v="Phone"/>
    <x v="0"/>
    <s v="A007"/>
    <x v="0"/>
    <n v="72"/>
    <n v="57"/>
    <x v="0"/>
    <s v="Yes"/>
    <s v="No"/>
    <m/>
    <s v="Closed"/>
    <s v="May"/>
    <x v="4"/>
    <n v="2026"/>
    <s v="Yes"/>
    <n v="1"/>
    <x v="4"/>
    <n v="0"/>
  </r>
  <r>
    <s v="T002784"/>
    <x v="2607"/>
    <d v="2026-05-02T02:39:00"/>
    <x v="0"/>
    <s v="Chat"/>
    <x v="2"/>
    <s v="A059"/>
    <x v="1"/>
    <n v="4"/>
    <n v="10.8"/>
    <x v="1"/>
    <s v="No"/>
    <s v="No"/>
    <m/>
    <s v="Closed"/>
    <s v="May"/>
    <x v="4"/>
    <n v="2026"/>
    <s v="No"/>
    <n v="0"/>
    <x v="0"/>
    <n v="1"/>
  </r>
  <r>
    <s v="T002785"/>
    <x v="2608"/>
    <d v="2026-05-02T19:27:00"/>
    <x v="6"/>
    <s v="Field Visit"/>
    <x v="1"/>
    <s v="A013"/>
    <x v="0"/>
    <n v="24"/>
    <n v="25.5"/>
    <x v="1"/>
    <s v="No"/>
    <s v="No"/>
    <n v="5"/>
    <s v="Closed"/>
    <s v="May"/>
    <x v="4"/>
    <n v="2026"/>
    <s v="No"/>
    <n v="0"/>
    <x v="0"/>
    <n v="1"/>
  </r>
  <r>
    <s v="T002786"/>
    <x v="2609"/>
    <d v="2026-05-02T15:30:00"/>
    <x v="6"/>
    <s v="Field Visit"/>
    <x v="2"/>
    <s v="A002"/>
    <x v="0"/>
    <n v="4"/>
    <n v="20.399999999999999"/>
    <x v="1"/>
    <s v="No"/>
    <s v="No"/>
    <n v="4"/>
    <s v="Closed"/>
    <s v="May"/>
    <x v="4"/>
    <n v="2026"/>
    <s v="No"/>
    <n v="0"/>
    <x v="4"/>
    <n v="1"/>
  </r>
  <r>
    <s v="T002787"/>
    <x v="2610"/>
    <d v="2026-05-03T05:06:00"/>
    <x v="2"/>
    <s v="Phone"/>
    <x v="1"/>
    <s v="A015"/>
    <x v="0"/>
    <n v="24"/>
    <n v="31.7"/>
    <x v="1"/>
    <s v="No"/>
    <s v="No"/>
    <n v="5"/>
    <s v="Closed"/>
    <s v="May"/>
    <x v="4"/>
    <n v="2026"/>
    <s v="No"/>
    <n v="0"/>
    <x v="1"/>
    <n v="1"/>
  </r>
  <r>
    <s v="T002788"/>
    <x v="2611"/>
    <d v="2026-05-02T15:54:00"/>
    <x v="6"/>
    <s v="Phone"/>
    <x v="2"/>
    <s v="A029"/>
    <x v="2"/>
    <n v="4"/>
    <n v="9.3000000000000007"/>
    <x v="0"/>
    <s v="No"/>
    <s v="No"/>
    <n v="3"/>
    <s v="Closed"/>
    <s v="May"/>
    <x v="4"/>
    <n v="2026"/>
    <s v="No"/>
    <n v="0"/>
    <x v="3"/>
    <n v="0"/>
  </r>
  <r>
    <s v="T002789"/>
    <x v="2612"/>
    <d v="2026-05-02T11:01:00"/>
    <x v="5"/>
    <s v="Chat"/>
    <x v="1"/>
    <s v="A044"/>
    <x v="1"/>
    <n v="24"/>
    <n v="4.0999999999999996"/>
    <x v="1"/>
    <s v="No"/>
    <s v="No"/>
    <n v="5"/>
    <s v="Closed"/>
    <s v="May"/>
    <x v="4"/>
    <n v="2026"/>
    <s v="Yes"/>
    <n v="1"/>
    <x v="1"/>
    <n v="1"/>
  </r>
  <r>
    <s v="T002790"/>
    <x v="2613"/>
    <d v="2026-05-07T04:27:00"/>
    <x v="3"/>
    <s v="Field Visit"/>
    <x v="1"/>
    <s v="A021"/>
    <x v="2"/>
    <n v="24"/>
    <n v="117"/>
    <x v="1"/>
    <s v="No"/>
    <s v="No"/>
    <n v="5"/>
    <s v="Closed"/>
    <s v="May"/>
    <x v="4"/>
    <n v="2026"/>
    <s v="No"/>
    <n v="0"/>
    <x v="3"/>
    <n v="1"/>
  </r>
  <r>
    <s v="T002791"/>
    <x v="2614"/>
    <d v="2026-05-03T05:24:00"/>
    <x v="0"/>
    <s v="Chat"/>
    <x v="1"/>
    <s v="A043"/>
    <x v="1"/>
    <n v="24"/>
    <n v="20.100000000000001"/>
    <x v="1"/>
    <s v="No"/>
    <s v="No"/>
    <m/>
    <s v="Closed"/>
    <s v="May"/>
    <x v="4"/>
    <n v="2026"/>
    <s v="Yes"/>
    <n v="1"/>
    <x v="3"/>
    <n v="1"/>
  </r>
  <r>
    <s v="T002792"/>
    <x v="2615"/>
    <d v="2026-05-02T13:37:00"/>
    <x v="1"/>
    <s v="Chat"/>
    <x v="0"/>
    <s v="A027"/>
    <x v="2"/>
    <n v="72"/>
    <n v="3.4"/>
    <x v="1"/>
    <s v="No"/>
    <s v="No"/>
    <n v="5"/>
    <s v="Closed"/>
    <s v="May"/>
    <x v="4"/>
    <n v="2026"/>
    <s v="Yes"/>
    <n v="1"/>
    <x v="3"/>
    <n v="1"/>
  </r>
  <r>
    <s v="T002793"/>
    <x v="2616"/>
    <d v="2026-05-03T20:04:00"/>
    <x v="1"/>
    <s v="Email"/>
    <x v="1"/>
    <s v="A009"/>
    <x v="0"/>
    <n v="24"/>
    <n v="32.700000000000003"/>
    <x v="1"/>
    <s v="No"/>
    <s v="No"/>
    <n v="3"/>
    <s v="Closed"/>
    <s v="May"/>
    <x v="4"/>
    <n v="2026"/>
    <s v="No"/>
    <n v="0"/>
    <x v="3"/>
    <n v="1"/>
  </r>
  <r>
    <s v="T002794"/>
    <x v="2617"/>
    <d v="2026-05-03T16:09:00"/>
    <x v="5"/>
    <s v="Field Visit"/>
    <x v="1"/>
    <s v="A014"/>
    <x v="0"/>
    <n v="24"/>
    <n v="28.4"/>
    <x v="1"/>
    <s v="No"/>
    <s v="No"/>
    <n v="3"/>
    <s v="Closed"/>
    <s v="May"/>
    <x v="4"/>
    <n v="2026"/>
    <s v="No"/>
    <n v="0"/>
    <x v="2"/>
    <n v="1"/>
  </r>
  <r>
    <s v="T002796"/>
    <x v="2618"/>
    <d v="2026-05-03T07:37:00"/>
    <x v="0"/>
    <s v="Chat"/>
    <x v="1"/>
    <s v="A038"/>
    <x v="1"/>
    <n v="24"/>
    <n v="19.3"/>
    <x v="1"/>
    <s v="No"/>
    <s v="No"/>
    <n v="5"/>
    <s v="Closed"/>
    <s v="May"/>
    <x v="4"/>
    <n v="2026"/>
    <s v="Yes"/>
    <n v="1"/>
    <x v="4"/>
    <n v="1"/>
  </r>
  <r>
    <s v="T002795"/>
    <x v="2618"/>
    <d v="2026-05-03T05:55:00"/>
    <x v="6"/>
    <s v="Field Visit"/>
    <x v="0"/>
    <s v="A008"/>
    <x v="0"/>
    <n v="72"/>
    <n v="17.600000000000001"/>
    <x v="0"/>
    <s v="No"/>
    <s v="No"/>
    <n v="5"/>
    <s v="Closed"/>
    <s v="May"/>
    <x v="4"/>
    <n v="2026"/>
    <s v="Yes"/>
    <n v="1"/>
    <x v="4"/>
    <n v="0"/>
  </r>
  <r>
    <s v="T002797"/>
    <x v="2619"/>
    <d v="2026-05-02T21:47:00"/>
    <x v="0"/>
    <s v="Chat"/>
    <x v="0"/>
    <s v="A053"/>
    <x v="1"/>
    <n v="72"/>
    <n v="9"/>
    <x v="1"/>
    <s v="No"/>
    <s v="No"/>
    <n v="5"/>
    <s v="Closed"/>
    <s v="May"/>
    <x v="4"/>
    <n v="2026"/>
    <s v="Yes"/>
    <n v="1"/>
    <x v="4"/>
    <n v="1"/>
  </r>
  <r>
    <s v="T002798"/>
    <x v="2620"/>
    <d v="2026-05-03T11:20:00"/>
    <x v="6"/>
    <s v="Chat"/>
    <x v="0"/>
    <s v="A001"/>
    <x v="0"/>
    <n v="72"/>
    <n v="22.5"/>
    <x v="1"/>
    <s v="No"/>
    <s v="No"/>
    <n v="4"/>
    <s v="Closed"/>
    <s v="May"/>
    <x v="4"/>
    <n v="2026"/>
    <s v="Yes"/>
    <n v="1"/>
    <x v="1"/>
    <n v="1"/>
  </r>
  <r>
    <s v="T002799"/>
    <x v="2621"/>
    <d v="2026-05-03T16:03:00"/>
    <x v="2"/>
    <s v="Chat"/>
    <x v="0"/>
    <s v="A017"/>
    <x v="2"/>
    <n v="72"/>
    <n v="26.9"/>
    <x v="1"/>
    <s v="No"/>
    <s v="No"/>
    <n v="5"/>
    <s v="Closed"/>
    <s v="May"/>
    <x v="4"/>
    <n v="2026"/>
    <s v="Yes"/>
    <n v="1"/>
    <x v="3"/>
    <n v="1"/>
  </r>
  <r>
    <s v="T002800"/>
    <x v="2622"/>
    <d v="2026-05-03T15:10:00"/>
    <x v="4"/>
    <s v="Email"/>
    <x v="2"/>
    <s v="A001"/>
    <x v="0"/>
    <n v="4"/>
    <n v="25.6"/>
    <x v="0"/>
    <s v="Yes"/>
    <s v="No"/>
    <n v="3"/>
    <s v="Closed"/>
    <s v="May"/>
    <x v="4"/>
    <n v="2026"/>
    <s v="No"/>
    <n v="0"/>
    <x v="3"/>
    <n v="0"/>
  </r>
  <r>
    <s v="T002801"/>
    <x v="2623"/>
    <d v="2026-05-15T05:42:00"/>
    <x v="4"/>
    <s v="Field Visit"/>
    <x v="1"/>
    <s v="A059"/>
    <x v="1"/>
    <n v="24"/>
    <n v="303.8"/>
    <x v="0"/>
    <s v="No"/>
    <s v="No"/>
    <n v="3"/>
    <s v="Closed"/>
    <s v="May"/>
    <x v="4"/>
    <n v="2026"/>
    <s v="No"/>
    <n v="0"/>
    <x v="2"/>
    <n v="0"/>
  </r>
  <r>
    <s v="T002802"/>
    <x v="2624"/>
    <d v="2026-05-02T20:40:00"/>
    <x v="1"/>
    <s v="Chat"/>
    <x v="0"/>
    <s v="A056"/>
    <x v="1"/>
    <n v="72"/>
    <n v="6.3"/>
    <x v="1"/>
    <s v="No"/>
    <s v="No"/>
    <n v="5"/>
    <s v="Closed"/>
    <s v="May"/>
    <x v="4"/>
    <n v="2026"/>
    <s v="Yes"/>
    <n v="1"/>
    <x v="0"/>
    <n v="1"/>
  </r>
  <r>
    <s v="T002803"/>
    <x v="2625"/>
    <d v="2026-05-02T23:30:00"/>
    <x v="1"/>
    <s v="Phone"/>
    <x v="1"/>
    <s v="A029"/>
    <x v="2"/>
    <n v="24"/>
    <n v="8.6"/>
    <x v="1"/>
    <s v="No"/>
    <s v="No"/>
    <n v="5"/>
    <s v="Closed"/>
    <s v="May"/>
    <x v="4"/>
    <n v="2026"/>
    <s v="Yes"/>
    <n v="1"/>
    <x v="2"/>
    <n v="1"/>
  </r>
  <r>
    <s v="T002804"/>
    <x v="2626"/>
    <d v="2026-05-03T15:17:00"/>
    <x v="1"/>
    <s v="Email"/>
    <x v="1"/>
    <s v="A012"/>
    <x v="0"/>
    <n v="24"/>
    <n v="24.3"/>
    <x v="1"/>
    <s v="No"/>
    <s v="No"/>
    <n v="4"/>
    <s v="Closed"/>
    <s v="May"/>
    <x v="4"/>
    <n v="2026"/>
    <s v="No"/>
    <n v="0"/>
    <x v="2"/>
    <n v="1"/>
  </r>
  <r>
    <s v="T002805"/>
    <x v="2627"/>
    <d v="2026-05-02T23:36:00"/>
    <x v="6"/>
    <s v="Phone"/>
    <x v="2"/>
    <s v="A046"/>
    <x v="1"/>
    <n v="4"/>
    <m/>
    <x v="0"/>
    <s v="Yes"/>
    <s v="No"/>
    <m/>
    <s v="Closed"/>
    <s v="May"/>
    <x v="4"/>
    <n v="2026"/>
    <m/>
    <m/>
    <x v="4"/>
    <n v="0"/>
  </r>
  <r>
    <s v="T002806"/>
    <x v="2628"/>
    <d v="2026-05-03T00:47:00"/>
    <x v="0"/>
    <s v="Phone"/>
    <x v="1"/>
    <s v="A045"/>
    <x v="1"/>
    <n v="24"/>
    <n v="8.9"/>
    <x v="0"/>
    <s v="No"/>
    <s v="No"/>
    <m/>
    <s v="Closed"/>
    <s v="May"/>
    <x v="4"/>
    <n v="2026"/>
    <s v="Yes"/>
    <n v="1"/>
    <x v="1"/>
    <n v="0"/>
  </r>
  <r>
    <s v="T002807"/>
    <x v="2629"/>
    <d v="2026-05-03T09:54:00"/>
    <x v="2"/>
    <s v="Chat"/>
    <x v="0"/>
    <s v="A058"/>
    <x v="1"/>
    <n v="72"/>
    <n v="18"/>
    <x v="0"/>
    <s v="No"/>
    <s v="No"/>
    <m/>
    <s v="Closed"/>
    <s v="May"/>
    <x v="4"/>
    <n v="2026"/>
    <s v="Yes"/>
    <n v="1"/>
    <x v="3"/>
    <n v="0"/>
  </r>
  <r>
    <s v="T002808"/>
    <x v="2630"/>
    <d v="2026-05-03T00:30:00"/>
    <x v="5"/>
    <s v="Phone"/>
    <x v="1"/>
    <s v="A029"/>
    <x v="2"/>
    <n v="24"/>
    <n v="7.8"/>
    <x v="1"/>
    <s v="No"/>
    <s v="No"/>
    <m/>
    <s v="Closed"/>
    <s v="May"/>
    <x v="4"/>
    <n v="2026"/>
    <s v="Yes"/>
    <n v="1"/>
    <x v="2"/>
    <n v="1"/>
  </r>
  <r>
    <s v="T002809"/>
    <x v="2631"/>
    <d v="2026-05-02T21:37:00"/>
    <x v="6"/>
    <s v="Phone"/>
    <x v="2"/>
    <s v="A023"/>
    <x v="2"/>
    <n v="4"/>
    <n v="4.0999999999999996"/>
    <x v="1"/>
    <s v="No"/>
    <s v="No"/>
    <m/>
    <s v="Closed"/>
    <s v="May"/>
    <x v="4"/>
    <n v="2026"/>
    <s v="No"/>
    <n v="0"/>
    <x v="4"/>
    <n v="1"/>
  </r>
  <r>
    <s v="T002810"/>
    <x v="2632"/>
    <d v="2026-05-03T11:40:00"/>
    <x v="0"/>
    <s v="Chat"/>
    <x v="0"/>
    <s v="A025"/>
    <x v="2"/>
    <n v="72"/>
    <n v="18"/>
    <x v="0"/>
    <s v="Yes"/>
    <s v="No"/>
    <n v="4"/>
    <s v="Closed"/>
    <s v="May"/>
    <x v="4"/>
    <n v="2026"/>
    <s v="Yes"/>
    <n v="1"/>
    <x v="3"/>
    <n v="0"/>
  </r>
  <r>
    <s v="T002811"/>
    <x v="2633"/>
    <d v="2026-05-04T23:47:00"/>
    <x v="0"/>
    <s v="Field Visit"/>
    <x v="0"/>
    <s v="A035"/>
    <x v="2"/>
    <n v="72"/>
    <n v="54.1"/>
    <x v="1"/>
    <s v="No"/>
    <s v="No"/>
    <m/>
    <s v="Closed"/>
    <s v="May"/>
    <x v="4"/>
    <n v="2026"/>
    <s v="Yes"/>
    <n v="1"/>
    <x v="3"/>
    <n v="1"/>
  </r>
  <r>
    <s v="T002812"/>
    <x v="2634"/>
    <d v="2026-05-03T07:27:00"/>
    <x v="0"/>
    <s v="Email"/>
    <x v="0"/>
    <s v="A031"/>
    <x v="2"/>
    <n v="72"/>
    <n v="13.7"/>
    <x v="0"/>
    <s v="No"/>
    <s v="No"/>
    <m/>
    <s v="Closed"/>
    <s v="May"/>
    <x v="4"/>
    <n v="2026"/>
    <s v="Yes"/>
    <n v="1"/>
    <x v="1"/>
    <n v="0"/>
  </r>
  <r>
    <s v="T002813"/>
    <x v="2635"/>
    <d v="2026-05-03T10:34:00"/>
    <x v="6"/>
    <s v="Phone"/>
    <x v="2"/>
    <s v="A010"/>
    <x v="0"/>
    <n v="4"/>
    <n v="16.399999999999999"/>
    <x v="1"/>
    <s v="No"/>
    <s v="No"/>
    <m/>
    <s v="Closed"/>
    <s v="May"/>
    <x v="4"/>
    <n v="2026"/>
    <s v="No"/>
    <n v="0"/>
    <x v="4"/>
    <n v="1"/>
  </r>
  <r>
    <s v="T002814"/>
    <x v="2636"/>
    <d v="2026-05-05T16:59:00"/>
    <x v="5"/>
    <s v="Field Visit"/>
    <x v="0"/>
    <s v="A003"/>
    <x v="0"/>
    <n v="72"/>
    <n v="59"/>
    <x v="0"/>
    <s v="Yes"/>
    <s v="No"/>
    <n v="4"/>
    <s v="Closed"/>
    <s v="May"/>
    <x v="4"/>
    <n v="2026"/>
    <s v="Yes"/>
    <n v="1"/>
    <x v="4"/>
    <n v="0"/>
  </r>
  <r>
    <s v="T002815"/>
    <x v="2637"/>
    <d v="2026-05-03T13:59:00"/>
    <x v="1"/>
    <s v="Phone"/>
    <x v="1"/>
    <s v="A031"/>
    <x v="2"/>
    <n v="24"/>
    <n v="6.2"/>
    <x v="0"/>
    <s v="No"/>
    <s v="No"/>
    <n v="5"/>
    <s v="Closed"/>
    <s v="May"/>
    <x v="4"/>
    <n v="2026"/>
    <s v="Yes"/>
    <n v="1"/>
    <x v="1"/>
    <n v="0"/>
  </r>
  <r>
    <s v="T002816"/>
    <x v="2638"/>
    <d v="2026-05-04T00:14:00"/>
    <x v="2"/>
    <s v="Chat"/>
    <x v="1"/>
    <s v="A003"/>
    <x v="0"/>
    <n v="24"/>
    <n v="16.2"/>
    <x v="0"/>
    <s v="No"/>
    <s v="No"/>
    <n v="5"/>
    <s v="Closed"/>
    <s v="May"/>
    <x v="4"/>
    <n v="2026"/>
    <s v="Yes"/>
    <n v="1"/>
    <x v="4"/>
    <n v="0"/>
  </r>
  <r>
    <s v="T002817"/>
    <x v="2639"/>
    <d v="2026-05-04T00:58:00"/>
    <x v="1"/>
    <s v="Phone"/>
    <x v="0"/>
    <s v="A051"/>
    <x v="1"/>
    <n v="72"/>
    <n v="15.8"/>
    <x v="1"/>
    <s v="No"/>
    <s v="No"/>
    <n v="5"/>
    <s v="Closed"/>
    <s v="May"/>
    <x v="4"/>
    <n v="2026"/>
    <s v="Yes"/>
    <n v="1"/>
    <x v="3"/>
    <n v="1"/>
  </r>
  <r>
    <s v="T002818"/>
    <x v="2640"/>
    <d v="2026-05-03T15:32:00"/>
    <x v="1"/>
    <s v="Chat"/>
    <x v="0"/>
    <s v="A025"/>
    <x v="2"/>
    <n v="72"/>
    <n v="5.7"/>
    <x v="1"/>
    <s v="No"/>
    <s v="No"/>
    <n v="2"/>
    <s v="Closed"/>
    <s v="May"/>
    <x v="4"/>
    <n v="2026"/>
    <s v="Yes"/>
    <n v="1"/>
    <x v="2"/>
    <n v="1"/>
  </r>
  <r>
    <s v="T002819"/>
    <x v="2641"/>
    <d v="2026-05-03T23:45:00"/>
    <x v="1"/>
    <s v="Phone"/>
    <x v="1"/>
    <s v="A005"/>
    <x v="0"/>
    <n v="24"/>
    <n v="13.9"/>
    <x v="1"/>
    <s v="No"/>
    <s v="No"/>
    <m/>
    <s v="Closed"/>
    <s v="May"/>
    <x v="4"/>
    <n v="2026"/>
    <s v="Yes"/>
    <n v="1"/>
    <x v="3"/>
    <n v="1"/>
  </r>
  <r>
    <s v="T002820"/>
    <x v="2642"/>
    <d v="2026-05-03T18:25:00"/>
    <x v="3"/>
    <s v="Phone"/>
    <x v="1"/>
    <s v="A010"/>
    <x v="0"/>
    <n v="24"/>
    <n v="7.2"/>
    <x v="0"/>
    <s v="No"/>
    <s v="No"/>
    <m/>
    <s v="Closed"/>
    <s v="May"/>
    <x v="4"/>
    <n v="2026"/>
    <s v="Yes"/>
    <n v="1"/>
    <x v="1"/>
    <n v="0"/>
  </r>
  <r>
    <s v="T002821"/>
    <x v="2643"/>
    <d v="2026-05-05T06:35:00"/>
    <x v="1"/>
    <s v="Email"/>
    <x v="1"/>
    <s v="A060"/>
    <x v="1"/>
    <n v="24"/>
    <n v="43.2"/>
    <x v="0"/>
    <s v="Yes"/>
    <s v="No"/>
    <n v="3"/>
    <s v="Closed"/>
    <s v="May"/>
    <x v="4"/>
    <n v="2026"/>
    <s v="No"/>
    <n v="0"/>
    <x v="2"/>
    <n v="0"/>
  </r>
  <r>
    <s v="T002822"/>
    <x v="2644"/>
    <d v="2026-05-11T08:10:00"/>
    <x v="4"/>
    <s v="Email"/>
    <x v="1"/>
    <s v="A017"/>
    <x v="2"/>
    <n v="24"/>
    <n v="188.5"/>
    <x v="1"/>
    <s v="No"/>
    <s v="No"/>
    <n v="4"/>
    <s v="Closed"/>
    <s v="May"/>
    <x v="4"/>
    <n v="2026"/>
    <s v="No"/>
    <n v="0"/>
    <x v="4"/>
    <n v="1"/>
  </r>
  <r>
    <s v="T002823"/>
    <x v="2645"/>
    <d v="2026-05-05T22:08:00"/>
    <x v="5"/>
    <s v="Phone"/>
    <x v="1"/>
    <s v="A013"/>
    <x v="0"/>
    <n v="24"/>
    <n v="58.4"/>
    <x v="1"/>
    <s v="No"/>
    <s v="No"/>
    <m/>
    <s v="Closed"/>
    <s v="May"/>
    <x v="4"/>
    <n v="2026"/>
    <s v="No"/>
    <n v="0"/>
    <x v="4"/>
    <n v="1"/>
  </r>
  <r>
    <s v="T002824"/>
    <x v="2646"/>
    <d v="2026-05-04T16:39:00"/>
    <x v="6"/>
    <s v="Field Visit"/>
    <x v="1"/>
    <s v="A038"/>
    <x v="1"/>
    <n v="24"/>
    <n v="28.4"/>
    <x v="1"/>
    <s v="No"/>
    <s v="No"/>
    <m/>
    <s v="Closed"/>
    <s v="May"/>
    <x v="4"/>
    <n v="2026"/>
    <s v="No"/>
    <n v="0"/>
    <x v="1"/>
    <n v="1"/>
  </r>
  <r>
    <s v="T002825"/>
    <x v="2647"/>
    <d v="2026-05-04T03:46:00"/>
    <x v="1"/>
    <s v="Chat"/>
    <x v="0"/>
    <s v="A006"/>
    <x v="0"/>
    <n v="72"/>
    <n v="14.1"/>
    <x v="1"/>
    <s v="No"/>
    <s v="No"/>
    <n v="5"/>
    <s v="Closed"/>
    <s v="May"/>
    <x v="4"/>
    <n v="2026"/>
    <s v="Yes"/>
    <n v="1"/>
    <x v="4"/>
    <n v="1"/>
  </r>
  <r>
    <s v="T002826"/>
    <x v="2648"/>
    <d v="2026-05-05T03:06:00"/>
    <x v="2"/>
    <s v="Phone"/>
    <x v="0"/>
    <s v="A009"/>
    <x v="0"/>
    <n v="72"/>
    <n v="37.4"/>
    <x v="0"/>
    <s v="Yes"/>
    <s v="No"/>
    <m/>
    <s v="Closed"/>
    <s v="May"/>
    <x v="4"/>
    <n v="2026"/>
    <s v="Yes"/>
    <n v="1"/>
    <x v="3"/>
    <n v="0"/>
  </r>
  <r>
    <s v="T002827"/>
    <x v="2649"/>
    <d v="2026-05-04T13:25:00"/>
    <x v="2"/>
    <s v="Email"/>
    <x v="0"/>
    <s v="A033"/>
    <x v="2"/>
    <n v="72"/>
    <n v="23.7"/>
    <x v="1"/>
    <s v="No"/>
    <s v="No"/>
    <m/>
    <s v="Closed"/>
    <s v="May"/>
    <x v="4"/>
    <n v="2026"/>
    <s v="Yes"/>
    <n v="1"/>
    <x v="4"/>
    <n v="1"/>
  </r>
  <r>
    <s v="T002828"/>
    <x v="2650"/>
    <d v="2026-05-04T01:08:00"/>
    <x v="6"/>
    <s v="Phone"/>
    <x v="2"/>
    <s v="A054"/>
    <x v="1"/>
    <n v="4"/>
    <n v="11.2"/>
    <x v="1"/>
    <s v="No"/>
    <s v="Yes"/>
    <n v="4"/>
    <s v="Closed"/>
    <s v="May"/>
    <x v="4"/>
    <n v="2026"/>
    <s v="No"/>
    <n v="0"/>
    <x v="3"/>
    <n v="1"/>
  </r>
  <r>
    <s v="T002829"/>
    <x v="2651"/>
    <d v="2026-05-04T17:18:00"/>
    <x v="6"/>
    <s v="Field Visit"/>
    <x v="1"/>
    <s v="A050"/>
    <x v="1"/>
    <n v="24"/>
    <n v="26"/>
    <x v="0"/>
    <s v="No"/>
    <s v="No"/>
    <n v="3"/>
    <s v="Closed"/>
    <s v="May"/>
    <x v="4"/>
    <n v="2026"/>
    <s v="No"/>
    <n v="0"/>
    <x v="2"/>
    <n v="0"/>
  </r>
  <r>
    <s v="T002830"/>
    <x v="2652"/>
    <d v="2026-05-04T02:31:00"/>
    <x v="6"/>
    <s v="Phone"/>
    <x v="2"/>
    <s v="A038"/>
    <x v="1"/>
    <n v="4"/>
    <n v="11.2"/>
    <x v="1"/>
    <s v="No"/>
    <s v="No"/>
    <n v="3"/>
    <s v="Closed"/>
    <s v="May"/>
    <x v="4"/>
    <n v="2026"/>
    <s v="No"/>
    <n v="0"/>
    <x v="2"/>
    <n v="1"/>
  </r>
  <r>
    <s v="T002831"/>
    <x v="2653"/>
    <d v="2026-05-03T20:14:00"/>
    <x v="2"/>
    <s v="Phone"/>
    <x v="1"/>
    <s v="A031"/>
    <x v="2"/>
    <n v="24"/>
    <n v="4.3"/>
    <x v="1"/>
    <s v="No"/>
    <s v="No"/>
    <n v="5"/>
    <s v="Closed"/>
    <s v="May"/>
    <x v="4"/>
    <n v="2026"/>
    <s v="Yes"/>
    <n v="1"/>
    <x v="3"/>
    <n v="1"/>
  </r>
  <r>
    <s v="T002832"/>
    <x v="2654"/>
    <d v="2026-05-03T23:57:00"/>
    <x v="6"/>
    <s v="Field Visit"/>
    <x v="2"/>
    <s v="A017"/>
    <x v="2"/>
    <n v="4"/>
    <n v="7.9"/>
    <x v="1"/>
    <s v="No"/>
    <s v="No"/>
    <m/>
    <s v="Closed"/>
    <s v="May"/>
    <x v="4"/>
    <n v="2026"/>
    <s v="No"/>
    <n v="0"/>
    <x v="3"/>
    <n v="1"/>
  </r>
  <r>
    <s v="T002833"/>
    <x v="2655"/>
    <d v="2026-05-03T22:24:00"/>
    <x v="5"/>
    <s v="Chat"/>
    <x v="1"/>
    <s v="A054"/>
    <x v="1"/>
    <n v="24"/>
    <n v="5.9"/>
    <x v="1"/>
    <s v="No"/>
    <s v="No"/>
    <n v="4"/>
    <s v="Closed"/>
    <s v="May"/>
    <x v="4"/>
    <n v="2026"/>
    <s v="Yes"/>
    <n v="1"/>
    <x v="2"/>
    <n v="1"/>
  </r>
  <r>
    <s v="T002834"/>
    <x v="2656"/>
    <d v="2026-05-04T05:50:00"/>
    <x v="3"/>
    <s v="Phone"/>
    <x v="1"/>
    <s v="A019"/>
    <x v="2"/>
    <n v="24"/>
    <n v="12.7"/>
    <x v="0"/>
    <s v="Yes"/>
    <s v="No"/>
    <m/>
    <s v="Closed"/>
    <s v="May"/>
    <x v="4"/>
    <n v="2026"/>
    <s v="Yes"/>
    <n v="1"/>
    <x v="4"/>
    <n v="0"/>
  </r>
  <r>
    <s v="T002835"/>
    <x v="2657"/>
    <d v="2026-05-04T01:58:00"/>
    <x v="1"/>
    <s v="Chat"/>
    <x v="0"/>
    <s v="A057"/>
    <x v="1"/>
    <n v="72"/>
    <n v="8.1999999999999993"/>
    <x v="1"/>
    <s v="No"/>
    <s v="No"/>
    <n v="5"/>
    <s v="Closed"/>
    <s v="May"/>
    <x v="4"/>
    <n v="2026"/>
    <s v="Yes"/>
    <n v="1"/>
    <x v="1"/>
    <n v="1"/>
  </r>
  <r>
    <s v="T002836"/>
    <x v="2658"/>
    <d v="2026-05-04T01:09:00"/>
    <x v="6"/>
    <s v="Phone"/>
    <x v="2"/>
    <s v="A057"/>
    <x v="1"/>
    <n v="4"/>
    <n v="6.2"/>
    <x v="1"/>
    <s v="No"/>
    <s v="No"/>
    <n v="4"/>
    <s v="Closed"/>
    <s v="May"/>
    <x v="4"/>
    <n v="2026"/>
    <s v="No"/>
    <n v="0"/>
    <x v="1"/>
    <n v="1"/>
  </r>
  <r>
    <s v="T002837"/>
    <x v="2659"/>
    <d v="2026-05-04T04:38:00"/>
    <x v="6"/>
    <s v="Phone"/>
    <x v="1"/>
    <s v="A038"/>
    <x v="1"/>
    <n v="24"/>
    <n v="9.5"/>
    <x v="1"/>
    <s v="No"/>
    <s v="No"/>
    <m/>
    <s v="Closed"/>
    <s v="May"/>
    <x v="4"/>
    <n v="2026"/>
    <s v="Yes"/>
    <n v="1"/>
    <x v="1"/>
    <n v="1"/>
  </r>
  <r>
    <s v="T002838"/>
    <x v="2660"/>
    <d v="2026-05-04T14:36:00"/>
    <x v="6"/>
    <s v="Field Visit"/>
    <x v="2"/>
    <s v="A055"/>
    <x v="1"/>
    <n v="4"/>
    <n v="19.100000000000001"/>
    <x v="0"/>
    <s v="No"/>
    <s v="No"/>
    <n v="4"/>
    <s v="Closed"/>
    <s v="May"/>
    <x v="4"/>
    <n v="2026"/>
    <s v="No"/>
    <n v="0"/>
    <x v="1"/>
    <n v="0"/>
  </r>
  <r>
    <s v="T002839"/>
    <x v="2661"/>
    <d v="2026-05-04T01:20:00"/>
    <x v="5"/>
    <s v="Phone"/>
    <x v="1"/>
    <s v="A001"/>
    <x v="0"/>
    <n v="24"/>
    <n v="5.4"/>
    <x v="1"/>
    <s v="No"/>
    <s v="No"/>
    <n v="5"/>
    <s v="Closed"/>
    <s v="May"/>
    <x v="4"/>
    <n v="2026"/>
    <s v="Yes"/>
    <n v="1"/>
    <x v="2"/>
    <n v="1"/>
  </r>
  <r>
    <s v="T002840"/>
    <x v="2662"/>
    <d v="2026-05-04T21:11:00"/>
    <x v="0"/>
    <s v="Phone"/>
    <x v="1"/>
    <s v="A011"/>
    <x v="0"/>
    <n v="24"/>
    <n v="23.8"/>
    <x v="1"/>
    <s v="No"/>
    <s v="No"/>
    <m/>
    <s v="Closed"/>
    <s v="May"/>
    <x v="4"/>
    <n v="2026"/>
    <s v="Yes"/>
    <n v="1"/>
    <x v="2"/>
    <n v="1"/>
  </r>
  <r>
    <s v="T002841"/>
    <x v="2663"/>
    <d v="2026-05-05T10:36:00"/>
    <x v="4"/>
    <s v="Field Visit"/>
    <x v="0"/>
    <s v="A047"/>
    <x v="1"/>
    <n v="72"/>
    <n v="29.4"/>
    <x v="1"/>
    <s v="No"/>
    <s v="No"/>
    <n v="4"/>
    <s v="Closed"/>
    <s v="May"/>
    <x v="4"/>
    <n v="2026"/>
    <s v="Yes"/>
    <n v="1"/>
    <x v="4"/>
    <n v="1"/>
  </r>
  <r>
    <s v="T002842"/>
    <x v="2664"/>
    <d v="2026-05-05T15:02:00"/>
    <x v="4"/>
    <s v="Chat"/>
    <x v="1"/>
    <s v="A034"/>
    <x v="2"/>
    <n v="24"/>
    <n v="32.5"/>
    <x v="1"/>
    <s v="No"/>
    <s v="No"/>
    <n v="3"/>
    <s v="Closed"/>
    <s v="May"/>
    <x v="4"/>
    <n v="2026"/>
    <s v="No"/>
    <n v="0"/>
    <x v="1"/>
    <n v="1"/>
  </r>
  <r>
    <s v="T002843"/>
    <x v="2665"/>
    <d v="2026-05-04T11:26:00"/>
    <x v="5"/>
    <s v="Phone"/>
    <x v="0"/>
    <s v="A055"/>
    <x v="1"/>
    <n v="72"/>
    <n v="4.3"/>
    <x v="1"/>
    <s v="No"/>
    <s v="No"/>
    <m/>
    <s v="Closed"/>
    <s v="May"/>
    <x v="4"/>
    <n v="2026"/>
    <s v="Yes"/>
    <n v="1"/>
    <x v="4"/>
    <n v="1"/>
  </r>
  <r>
    <s v="T002844"/>
    <x v="2666"/>
    <d v="2026-05-04T13:33:00"/>
    <x v="2"/>
    <s v="Phone"/>
    <x v="0"/>
    <s v="A040"/>
    <x v="1"/>
    <n v="72"/>
    <n v="3.9"/>
    <x v="1"/>
    <s v="No"/>
    <s v="Yes"/>
    <m/>
    <s v="Closed"/>
    <s v="May"/>
    <x v="4"/>
    <n v="2026"/>
    <s v="Yes"/>
    <n v="1"/>
    <x v="0"/>
    <n v="1"/>
  </r>
  <r>
    <s v="T002845"/>
    <x v="2667"/>
    <d v="2026-05-04T17:40:00"/>
    <x v="1"/>
    <s v="Phone"/>
    <x v="0"/>
    <s v="A054"/>
    <x v="1"/>
    <n v="72"/>
    <n v="6.6"/>
    <x v="1"/>
    <s v="No"/>
    <s v="No"/>
    <m/>
    <s v="Closed"/>
    <s v="May"/>
    <x v="4"/>
    <n v="2026"/>
    <s v="Yes"/>
    <n v="1"/>
    <x v="3"/>
    <n v="1"/>
  </r>
  <r>
    <s v="T002846"/>
    <x v="2668"/>
    <d v="2026-05-07T01:11:00"/>
    <x v="4"/>
    <s v="Email"/>
    <x v="1"/>
    <s v="A021"/>
    <x v="2"/>
    <n v="24"/>
    <n v="62"/>
    <x v="0"/>
    <s v="Yes"/>
    <s v="No"/>
    <m/>
    <s v="Closed"/>
    <s v="May"/>
    <x v="4"/>
    <n v="2026"/>
    <s v="No"/>
    <n v="0"/>
    <x v="0"/>
    <n v="0"/>
  </r>
  <r>
    <s v="T002847"/>
    <x v="2669"/>
    <d v="2026-05-05T14:39:00"/>
    <x v="6"/>
    <s v="Field Visit"/>
    <x v="2"/>
    <s v="A046"/>
    <x v="1"/>
    <n v="4"/>
    <n v="27.4"/>
    <x v="1"/>
    <s v="No"/>
    <s v="Yes"/>
    <n v="3"/>
    <s v="Closed"/>
    <s v="May"/>
    <x v="4"/>
    <n v="2026"/>
    <s v="No"/>
    <n v="0"/>
    <x v="1"/>
    <n v="1"/>
  </r>
  <r>
    <s v="T002848"/>
    <x v="2670"/>
    <d v="2026-05-04T15:51:00"/>
    <x v="1"/>
    <s v="Phone"/>
    <x v="1"/>
    <s v="A029"/>
    <x v="2"/>
    <n v="24"/>
    <n v="4.5"/>
    <x v="1"/>
    <s v="No"/>
    <s v="No"/>
    <n v="5"/>
    <s v="Closed"/>
    <s v="May"/>
    <x v="4"/>
    <n v="2026"/>
    <s v="Yes"/>
    <n v="1"/>
    <x v="1"/>
    <n v="1"/>
  </r>
  <r>
    <s v="T002849"/>
    <x v="2671"/>
    <d v="2026-05-04T21:37:00"/>
    <x v="0"/>
    <s v="Chat"/>
    <x v="1"/>
    <s v="A049"/>
    <x v="1"/>
    <n v="24"/>
    <n v="10"/>
    <x v="1"/>
    <s v="No"/>
    <s v="No"/>
    <m/>
    <s v="Closed"/>
    <s v="May"/>
    <x v="4"/>
    <n v="2026"/>
    <s v="Yes"/>
    <n v="1"/>
    <x v="1"/>
    <n v="1"/>
  </r>
  <r>
    <s v="T002850"/>
    <x v="2672"/>
    <d v="2026-05-05T12:07:00"/>
    <x v="2"/>
    <s v="Phone"/>
    <x v="1"/>
    <s v="A012"/>
    <x v="0"/>
    <n v="24"/>
    <n v="23.7"/>
    <x v="0"/>
    <s v="No"/>
    <s v="No"/>
    <n v="4"/>
    <s v="Closed"/>
    <s v="May"/>
    <x v="4"/>
    <n v="2026"/>
    <s v="Yes"/>
    <n v="1"/>
    <x v="2"/>
    <n v="0"/>
  </r>
  <r>
    <s v="T002851"/>
    <x v="2673"/>
    <d v="2026-05-04T18:32:00"/>
    <x v="0"/>
    <s v="Chat"/>
    <x v="2"/>
    <s v="A001"/>
    <x v="0"/>
    <n v="4"/>
    <n v="6"/>
    <x v="1"/>
    <s v="No"/>
    <s v="No"/>
    <n v="4"/>
    <s v="Closed"/>
    <s v="May"/>
    <x v="4"/>
    <n v="2026"/>
    <s v="No"/>
    <n v="0"/>
    <x v="4"/>
    <n v="1"/>
  </r>
  <r>
    <s v="T002852"/>
    <x v="2674"/>
    <d v="2026-05-06T08:28:00"/>
    <x v="0"/>
    <s v="Field Visit"/>
    <x v="1"/>
    <s v="A054"/>
    <x v="1"/>
    <n v="24"/>
    <n v="43.9"/>
    <x v="1"/>
    <s v="No"/>
    <s v="No"/>
    <n v="4"/>
    <s v="Closed"/>
    <s v="May"/>
    <x v="4"/>
    <n v="2026"/>
    <s v="No"/>
    <n v="0"/>
    <x v="2"/>
    <n v="1"/>
  </r>
  <r>
    <s v="T002853"/>
    <x v="2675"/>
    <d v="2026-05-04T15:48:00"/>
    <x v="1"/>
    <s v="Phone"/>
    <x v="1"/>
    <s v="A030"/>
    <x v="2"/>
    <n v="24"/>
    <n v="2.8"/>
    <x v="0"/>
    <s v="Yes"/>
    <s v="No"/>
    <n v="3"/>
    <s v="Closed"/>
    <s v="May"/>
    <x v="4"/>
    <n v="2026"/>
    <s v="Yes"/>
    <n v="1"/>
    <x v="3"/>
    <n v="0"/>
  </r>
  <r>
    <s v="T002854"/>
    <x v="2676"/>
    <d v="2026-05-03T23:21:00"/>
    <x v="2"/>
    <s v="Phone"/>
    <x v="1"/>
    <s v="A029"/>
    <x v="2"/>
    <n v="24"/>
    <n v="12.8"/>
    <x v="0"/>
    <s v="Yes"/>
    <s v="Yes"/>
    <m/>
    <s v="Closed"/>
    <s v="May"/>
    <x v="4"/>
    <n v="2026"/>
    <s v="Yes"/>
    <n v="1"/>
    <x v="3"/>
    <n v="0"/>
  </r>
  <r>
    <s v="T002855"/>
    <x v="2677"/>
    <d v="2026-05-05T23:14:00"/>
    <x v="3"/>
    <s v="Phone"/>
    <x v="2"/>
    <s v="A033"/>
    <x v="2"/>
    <n v="4"/>
    <n v="33"/>
    <x v="0"/>
    <s v="No"/>
    <s v="No"/>
    <n v="3"/>
    <s v="Closed"/>
    <s v="May"/>
    <x v="4"/>
    <n v="2026"/>
    <s v="No"/>
    <n v="0"/>
    <x v="3"/>
    <n v="0"/>
  </r>
  <r>
    <s v="T002856"/>
    <x v="2678"/>
    <d v="2026-05-05T03:29:00"/>
    <x v="0"/>
    <s v="Phone"/>
    <x v="0"/>
    <s v="A012"/>
    <x v="0"/>
    <n v="72"/>
    <n v="13.1"/>
    <x v="1"/>
    <s v="No"/>
    <s v="No"/>
    <n v="5"/>
    <s v="Closed"/>
    <s v="May"/>
    <x v="4"/>
    <n v="2026"/>
    <s v="Yes"/>
    <n v="1"/>
    <x v="0"/>
    <n v="1"/>
  </r>
  <r>
    <s v="T002857"/>
    <x v="2679"/>
    <d v="2026-05-05T04:14:00"/>
    <x v="1"/>
    <s v="Email"/>
    <x v="0"/>
    <s v="A003"/>
    <x v="0"/>
    <n v="72"/>
    <n v="13.4"/>
    <x v="0"/>
    <s v="No"/>
    <s v="No"/>
    <m/>
    <s v="Closed"/>
    <s v="May"/>
    <x v="4"/>
    <n v="2026"/>
    <s v="Yes"/>
    <n v="1"/>
    <x v="3"/>
    <n v="0"/>
  </r>
  <r>
    <s v="T002858"/>
    <x v="2680"/>
    <d v="2026-05-05T03:49:00"/>
    <x v="0"/>
    <s v="Phone"/>
    <x v="0"/>
    <s v="A051"/>
    <x v="1"/>
    <n v="72"/>
    <n v="12"/>
    <x v="0"/>
    <s v="No"/>
    <s v="No"/>
    <m/>
    <s v="Closed"/>
    <s v="May"/>
    <x v="4"/>
    <n v="2026"/>
    <s v="Yes"/>
    <n v="1"/>
    <x v="3"/>
    <n v="0"/>
  </r>
  <r>
    <s v="T002859"/>
    <x v="2681"/>
    <d v="2026-05-07T03:11:00"/>
    <x v="4"/>
    <s v="Field Visit"/>
    <x v="2"/>
    <s v="A040"/>
    <x v="1"/>
    <n v="4"/>
    <n v="58.9"/>
    <x v="0"/>
    <s v="Yes"/>
    <s v="Yes"/>
    <m/>
    <s v="Closed"/>
    <s v="May"/>
    <x v="4"/>
    <n v="2026"/>
    <s v="No"/>
    <n v="0"/>
    <x v="1"/>
    <n v="0"/>
  </r>
  <r>
    <s v="T002860"/>
    <x v="2682"/>
    <d v="2026-05-05T13:15:00"/>
    <x v="6"/>
    <s v="Email"/>
    <x v="2"/>
    <s v="A007"/>
    <x v="0"/>
    <n v="4"/>
    <n v="19.600000000000001"/>
    <x v="1"/>
    <s v="No"/>
    <s v="No"/>
    <n v="5"/>
    <s v="Closed"/>
    <s v="May"/>
    <x v="4"/>
    <n v="2026"/>
    <s v="No"/>
    <n v="0"/>
    <x v="3"/>
    <n v="1"/>
  </r>
  <r>
    <s v="T002861"/>
    <x v="2683"/>
    <d v="2026-05-05T01:50:00"/>
    <x v="2"/>
    <s v="Phone"/>
    <x v="0"/>
    <s v="A038"/>
    <x v="1"/>
    <n v="72"/>
    <n v="8.1"/>
    <x v="1"/>
    <s v="No"/>
    <s v="No"/>
    <m/>
    <s v="Closed"/>
    <s v="May"/>
    <x v="4"/>
    <n v="2026"/>
    <s v="Yes"/>
    <n v="1"/>
    <x v="2"/>
    <n v="1"/>
  </r>
  <r>
    <s v="T002862"/>
    <x v="2684"/>
    <d v="2026-05-06T23:03:00"/>
    <x v="4"/>
    <s v="Phone"/>
    <x v="2"/>
    <s v="A007"/>
    <x v="0"/>
    <n v="4"/>
    <n v="52.6"/>
    <x v="1"/>
    <s v="No"/>
    <s v="No"/>
    <m/>
    <s v="Closed"/>
    <s v="May"/>
    <x v="4"/>
    <n v="2026"/>
    <s v="No"/>
    <n v="0"/>
    <x v="4"/>
    <n v="1"/>
  </r>
  <r>
    <s v="T002863"/>
    <x v="2685"/>
    <d v="2026-05-05T13:26:00"/>
    <x v="6"/>
    <s v="Phone"/>
    <x v="1"/>
    <s v="A048"/>
    <x v="1"/>
    <n v="24"/>
    <n v="16.8"/>
    <x v="1"/>
    <s v="No"/>
    <s v="No"/>
    <n v="5"/>
    <s v="Closed"/>
    <s v="May"/>
    <x v="4"/>
    <n v="2026"/>
    <s v="Yes"/>
    <n v="1"/>
    <x v="2"/>
    <n v="1"/>
  </r>
  <r>
    <s v="T002864"/>
    <x v="2686"/>
    <d v="2026-05-05T20:04:00"/>
    <x v="3"/>
    <s v="Phone"/>
    <x v="1"/>
    <s v="A015"/>
    <x v="0"/>
    <n v="24"/>
    <n v="15.6"/>
    <x v="1"/>
    <s v="No"/>
    <s v="No"/>
    <n v="5"/>
    <s v="Closed"/>
    <s v="May"/>
    <x v="4"/>
    <n v="2026"/>
    <s v="Yes"/>
    <n v="1"/>
    <x v="4"/>
    <n v="1"/>
  </r>
  <r>
    <s v="T002865"/>
    <x v="2687"/>
    <d v="2026-05-05T08:37:00"/>
    <x v="1"/>
    <s v="Phone"/>
    <x v="1"/>
    <s v="A018"/>
    <x v="2"/>
    <n v="24"/>
    <n v="2.9"/>
    <x v="1"/>
    <s v="No"/>
    <s v="No"/>
    <n v="5"/>
    <s v="Closed"/>
    <s v="May"/>
    <x v="4"/>
    <n v="2026"/>
    <s v="Yes"/>
    <n v="1"/>
    <x v="4"/>
    <n v="1"/>
  </r>
  <r>
    <s v="T002866"/>
    <x v="2688"/>
    <d v="2026-05-05T16:54:00"/>
    <x v="5"/>
    <s v="Phone"/>
    <x v="0"/>
    <s v="A034"/>
    <x v="2"/>
    <n v="72"/>
    <n v="9.1999999999999993"/>
    <x v="1"/>
    <s v="No"/>
    <s v="No"/>
    <n v="4"/>
    <s v="Closed"/>
    <s v="May"/>
    <x v="4"/>
    <n v="2026"/>
    <s v="Yes"/>
    <n v="1"/>
    <x v="4"/>
    <n v="1"/>
  </r>
  <r>
    <s v="T002867"/>
    <x v="2689"/>
    <d v="2026-05-06T14:40:00"/>
    <x v="3"/>
    <s v="Email"/>
    <x v="0"/>
    <s v="A029"/>
    <x v="2"/>
    <n v="72"/>
    <n v="28"/>
    <x v="0"/>
    <s v="Yes"/>
    <s v="No"/>
    <n v="2"/>
    <s v="Closed"/>
    <s v="May"/>
    <x v="4"/>
    <n v="2026"/>
    <s v="Yes"/>
    <n v="1"/>
    <x v="2"/>
    <n v="0"/>
  </r>
  <r>
    <s v="T002868"/>
    <x v="2690"/>
    <d v="2026-05-05T15:07:00"/>
    <x v="0"/>
    <s v="Chat"/>
    <x v="1"/>
    <s v="A011"/>
    <x v="0"/>
    <n v="24"/>
    <n v="3.5"/>
    <x v="0"/>
    <s v="Yes"/>
    <s v="No"/>
    <n v="3"/>
    <s v="Closed"/>
    <s v="May"/>
    <x v="4"/>
    <n v="2026"/>
    <s v="Yes"/>
    <n v="1"/>
    <x v="3"/>
    <n v="0"/>
  </r>
  <r>
    <s v="T002869"/>
    <x v="2691"/>
    <d v="2026-05-06T00:50:00"/>
    <x v="2"/>
    <s v="Field Visit"/>
    <x v="1"/>
    <s v="A013"/>
    <x v="0"/>
    <n v="24"/>
    <n v="12.9"/>
    <x v="1"/>
    <s v="No"/>
    <s v="No"/>
    <n v="5"/>
    <s v="Closed"/>
    <s v="May"/>
    <x v="4"/>
    <n v="2026"/>
    <s v="Yes"/>
    <n v="1"/>
    <x v="0"/>
    <n v="1"/>
  </r>
  <r>
    <s v="T002870"/>
    <x v="2692"/>
    <d v="2026-05-07T14:35:00"/>
    <x v="3"/>
    <s v="Phone"/>
    <x v="1"/>
    <s v="A001"/>
    <x v="0"/>
    <n v="24"/>
    <n v="50.5"/>
    <x v="1"/>
    <s v="No"/>
    <s v="Yes"/>
    <n v="4"/>
    <s v="Closed"/>
    <s v="May"/>
    <x v="4"/>
    <n v="2026"/>
    <s v="No"/>
    <n v="0"/>
    <x v="2"/>
    <n v="1"/>
  </r>
  <r>
    <s v="T002871"/>
    <x v="2693"/>
    <d v="2026-05-05T15:18:00"/>
    <x v="1"/>
    <s v="Phone"/>
    <x v="0"/>
    <s v="A035"/>
    <x v="2"/>
    <n v="72"/>
    <n v="2.8"/>
    <x v="1"/>
    <s v="No"/>
    <s v="No"/>
    <n v="5"/>
    <s v="Closed"/>
    <s v="May"/>
    <x v="4"/>
    <n v="2026"/>
    <s v="Yes"/>
    <n v="1"/>
    <x v="4"/>
    <n v="1"/>
  </r>
  <r>
    <s v="T002872"/>
    <x v="2694"/>
    <d v="2026-05-05T22:55:00"/>
    <x v="5"/>
    <s v="Phone"/>
    <x v="1"/>
    <s v="A021"/>
    <x v="2"/>
    <n v="24"/>
    <n v="9.9"/>
    <x v="1"/>
    <s v="No"/>
    <s v="No"/>
    <n v="4"/>
    <s v="Closed"/>
    <s v="May"/>
    <x v="4"/>
    <n v="2026"/>
    <s v="Yes"/>
    <n v="1"/>
    <x v="0"/>
    <n v="1"/>
  </r>
  <r>
    <s v="T002873"/>
    <x v="2695"/>
    <d v="2026-05-05T19:50:00"/>
    <x v="1"/>
    <s v="Phone"/>
    <x v="0"/>
    <s v="A020"/>
    <x v="2"/>
    <n v="72"/>
    <n v="6.3"/>
    <x v="1"/>
    <s v="No"/>
    <s v="No"/>
    <n v="5"/>
    <s v="Closed"/>
    <s v="May"/>
    <x v="4"/>
    <n v="2026"/>
    <s v="Yes"/>
    <n v="1"/>
    <x v="1"/>
    <n v="1"/>
  </r>
  <r>
    <s v="T002874"/>
    <x v="2696"/>
    <d v="2026-05-05T18:29:00"/>
    <x v="0"/>
    <s v="Phone"/>
    <x v="0"/>
    <s v="A039"/>
    <x v="1"/>
    <n v="72"/>
    <n v="4.9000000000000004"/>
    <x v="1"/>
    <s v="No"/>
    <s v="No"/>
    <m/>
    <s v="Closed"/>
    <s v="May"/>
    <x v="4"/>
    <n v="2026"/>
    <s v="Yes"/>
    <n v="1"/>
    <x v="4"/>
    <n v="1"/>
  </r>
  <r>
    <s v="T002875"/>
    <x v="2697"/>
    <d v="2026-05-08T08:01:00"/>
    <x v="3"/>
    <s v="Field Visit"/>
    <x v="0"/>
    <s v="A027"/>
    <x v="2"/>
    <n v="72"/>
    <n v="65"/>
    <x v="1"/>
    <s v="No"/>
    <s v="No"/>
    <m/>
    <s v="Closed"/>
    <s v="May"/>
    <x v="4"/>
    <n v="2026"/>
    <s v="Yes"/>
    <n v="1"/>
    <x v="3"/>
    <n v="1"/>
  </r>
  <r>
    <s v="T002876"/>
    <x v="2698"/>
    <d v="2026-05-07T19:50:00"/>
    <x v="3"/>
    <s v="Field Visit"/>
    <x v="1"/>
    <s v="A034"/>
    <x v="2"/>
    <n v="24"/>
    <n v="52.3"/>
    <x v="1"/>
    <s v="No"/>
    <s v="No"/>
    <m/>
    <s v="Closed"/>
    <s v="May"/>
    <x v="4"/>
    <n v="2026"/>
    <s v="No"/>
    <n v="0"/>
    <x v="1"/>
    <n v="1"/>
  </r>
  <r>
    <s v="T002877"/>
    <x v="2699"/>
    <d v="2026-05-05T17:40:00"/>
    <x v="1"/>
    <s v="Phone"/>
    <x v="0"/>
    <s v="A036"/>
    <x v="1"/>
    <n v="72"/>
    <n v="0.5"/>
    <x v="1"/>
    <s v="No"/>
    <s v="No"/>
    <m/>
    <s v="Closed"/>
    <s v="May"/>
    <x v="4"/>
    <n v="2026"/>
    <s v="Yes"/>
    <n v="1"/>
    <x v="1"/>
    <n v="1"/>
  </r>
  <r>
    <s v="T002878"/>
    <x v="2700"/>
    <d v="2026-05-07T16:17:00"/>
    <x v="4"/>
    <s v="Field Visit"/>
    <x v="2"/>
    <s v="A032"/>
    <x v="2"/>
    <n v="4"/>
    <n v="46.5"/>
    <x v="0"/>
    <s v="Yes"/>
    <s v="No"/>
    <n v="4"/>
    <s v="Closed"/>
    <s v="May"/>
    <x v="4"/>
    <n v="2026"/>
    <s v="No"/>
    <n v="0"/>
    <x v="0"/>
    <n v="0"/>
  </r>
  <r>
    <s v="T002879"/>
    <x v="2701"/>
    <d v="2026-05-06T09:36:00"/>
    <x v="2"/>
    <s v="Phone"/>
    <x v="1"/>
    <s v="A055"/>
    <x v="1"/>
    <n v="24"/>
    <n v="15.8"/>
    <x v="0"/>
    <s v="No"/>
    <s v="No"/>
    <n v="5"/>
    <s v="Closed"/>
    <s v="May"/>
    <x v="4"/>
    <n v="2026"/>
    <s v="Yes"/>
    <n v="1"/>
    <x v="3"/>
    <n v="0"/>
  </r>
  <r>
    <s v="T002880"/>
    <x v="2702"/>
    <d v="2026-05-06T00:33:00"/>
    <x v="1"/>
    <s v="Chat"/>
    <x v="1"/>
    <s v="A017"/>
    <x v="2"/>
    <n v="24"/>
    <n v="6.3"/>
    <x v="1"/>
    <s v="No"/>
    <s v="No"/>
    <m/>
    <s v="Closed"/>
    <s v="May"/>
    <x v="4"/>
    <n v="2026"/>
    <s v="Yes"/>
    <n v="1"/>
    <x v="4"/>
    <n v="1"/>
  </r>
  <r>
    <s v="T002881"/>
    <x v="2703"/>
    <d v="2026-05-06T08:08:00"/>
    <x v="5"/>
    <s v="Chat"/>
    <x v="1"/>
    <s v="A019"/>
    <x v="2"/>
    <n v="24"/>
    <n v="10.7"/>
    <x v="1"/>
    <s v="No"/>
    <s v="No"/>
    <n v="5"/>
    <s v="Closed"/>
    <s v="May"/>
    <x v="4"/>
    <n v="2026"/>
    <s v="Yes"/>
    <n v="1"/>
    <x v="3"/>
    <n v="1"/>
  </r>
  <r>
    <s v="T002882"/>
    <x v="2704"/>
    <d v="2026-05-07T03:27:00"/>
    <x v="1"/>
    <s v="Phone"/>
    <x v="0"/>
    <s v="A010"/>
    <x v="0"/>
    <n v="72"/>
    <n v="28.3"/>
    <x v="1"/>
    <s v="No"/>
    <s v="Yes"/>
    <n v="4"/>
    <s v="Closed"/>
    <s v="May"/>
    <x v="4"/>
    <n v="2026"/>
    <s v="Yes"/>
    <n v="1"/>
    <x v="4"/>
    <n v="1"/>
  </r>
  <r>
    <s v="T002883"/>
    <x v="2705"/>
    <d v="2026-05-15T00:49:00"/>
    <x v="4"/>
    <s v="Field Visit"/>
    <x v="1"/>
    <s v="A010"/>
    <x v="0"/>
    <n v="24"/>
    <n v="210.5"/>
    <x v="1"/>
    <s v="No"/>
    <s v="No"/>
    <n v="3"/>
    <s v="Closed"/>
    <s v="May"/>
    <x v="4"/>
    <n v="2026"/>
    <s v="No"/>
    <n v="0"/>
    <x v="4"/>
    <n v="1"/>
  </r>
  <r>
    <s v="T002884"/>
    <x v="2706"/>
    <d v="2026-05-06T21:30:00"/>
    <x v="6"/>
    <s v="Phone"/>
    <x v="1"/>
    <s v="A021"/>
    <x v="2"/>
    <n v="24"/>
    <n v="14.8"/>
    <x v="1"/>
    <s v="No"/>
    <s v="No"/>
    <m/>
    <s v="Closed"/>
    <s v="May"/>
    <x v="4"/>
    <n v="2026"/>
    <s v="Yes"/>
    <n v="1"/>
    <x v="4"/>
    <n v="1"/>
  </r>
  <r>
    <s v="T002885"/>
    <x v="2707"/>
    <d v="2026-05-06T18:56:00"/>
    <x v="1"/>
    <s v="Email"/>
    <x v="1"/>
    <s v="A036"/>
    <x v="1"/>
    <n v="24"/>
    <n v="10.6"/>
    <x v="1"/>
    <s v="No"/>
    <s v="Yes"/>
    <m/>
    <s v="Closed"/>
    <s v="May"/>
    <x v="4"/>
    <n v="2026"/>
    <s v="Yes"/>
    <n v="1"/>
    <x v="1"/>
    <n v="1"/>
  </r>
  <r>
    <s v="T002886"/>
    <x v="2708"/>
    <d v="2026-05-06T11:58:00"/>
    <x v="6"/>
    <s v="Phone"/>
    <x v="0"/>
    <s v="A047"/>
    <x v="1"/>
    <n v="72"/>
    <n v="3.4"/>
    <x v="1"/>
    <s v="No"/>
    <s v="No"/>
    <n v="5"/>
    <s v="Closed"/>
    <s v="May"/>
    <x v="4"/>
    <n v="2026"/>
    <s v="Yes"/>
    <n v="1"/>
    <x v="1"/>
    <n v="1"/>
  </r>
  <r>
    <s v="T002887"/>
    <x v="2709"/>
    <d v="2026-05-06T21:05:00"/>
    <x v="0"/>
    <s v="Chat"/>
    <x v="1"/>
    <s v="A013"/>
    <x v="0"/>
    <n v="24"/>
    <n v="10.8"/>
    <x v="1"/>
    <s v="No"/>
    <s v="No"/>
    <n v="5"/>
    <s v="Closed"/>
    <s v="May"/>
    <x v="4"/>
    <n v="2026"/>
    <s v="Yes"/>
    <n v="1"/>
    <x v="0"/>
    <n v="1"/>
  </r>
  <r>
    <s v="T002888"/>
    <x v="2710"/>
    <d v="2026-05-06T12:09:00"/>
    <x v="6"/>
    <s v="Phone"/>
    <x v="2"/>
    <s v="A049"/>
    <x v="1"/>
    <n v="4"/>
    <n v="1.7"/>
    <x v="1"/>
    <s v="No"/>
    <s v="No"/>
    <n v="5"/>
    <s v="Closed"/>
    <s v="May"/>
    <x v="4"/>
    <n v="2026"/>
    <s v="Yes"/>
    <n v="1"/>
    <x v="1"/>
    <n v="1"/>
  </r>
  <r>
    <s v="T002889"/>
    <x v="2711"/>
    <d v="2026-05-07T07:32:00"/>
    <x v="3"/>
    <s v="Email"/>
    <x v="0"/>
    <s v="A056"/>
    <x v="1"/>
    <n v="72"/>
    <n v="20.2"/>
    <x v="1"/>
    <s v="No"/>
    <s v="No"/>
    <m/>
    <s v="Closed"/>
    <s v="May"/>
    <x v="4"/>
    <n v="2026"/>
    <s v="Yes"/>
    <n v="1"/>
    <x v="3"/>
    <n v="1"/>
  </r>
  <r>
    <s v="T002890"/>
    <x v="2712"/>
    <d v="2026-05-07T08:01:00"/>
    <x v="6"/>
    <s v="Field Visit"/>
    <x v="2"/>
    <s v="A029"/>
    <x v="2"/>
    <n v="4"/>
    <n v="20.100000000000001"/>
    <x v="1"/>
    <s v="No"/>
    <s v="No"/>
    <m/>
    <s v="Closed"/>
    <s v="May"/>
    <x v="4"/>
    <n v="2026"/>
    <s v="No"/>
    <n v="0"/>
    <x v="3"/>
    <n v="1"/>
  </r>
  <r>
    <s v="T002891"/>
    <x v="2713"/>
    <d v="2026-05-07T03:05:00"/>
    <x v="5"/>
    <s v="Phone"/>
    <x v="1"/>
    <s v="A001"/>
    <x v="0"/>
    <n v="24"/>
    <n v="14.7"/>
    <x v="0"/>
    <s v="Yes"/>
    <s v="No"/>
    <n v="4"/>
    <s v="Closed"/>
    <s v="May"/>
    <x v="4"/>
    <n v="2026"/>
    <s v="Yes"/>
    <n v="1"/>
    <x v="2"/>
    <n v="0"/>
  </r>
  <r>
    <s v="T002892"/>
    <x v="2714"/>
    <d v="2026-05-07T01:54:00"/>
    <x v="6"/>
    <s v="Phone"/>
    <x v="2"/>
    <s v="A039"/>
    <x v="1"/>
    <n v="4"/>
    <n v="13.3"/>
    <x v="1"/>
    <s v="No"/>
    <s v="No"/>
    <n v="3"/>
    <s v="Closed"/>
    <s v="May"/>
    <x v="4"/>
    <n v="2026"/>
    <s v="No"/>
    <n v="0"/>
    <x v="1"/>
    <n v="1"/>
  </r>
  <r>
    <s v="T002893"/>
    <x v="2715"/>
    <d v="2026-05-09T06:21:00"/>
    <x v="4"/>
    <s v="Field Visit"/>
    <x v="1"/>
    <s v="A015"/>
    <x v="0"/>
    <n v="24"/>
    <n v="64.8"/>
    <x v="0"/>
    <s v="Yes"/>
    <s v="No"/>
    <n v="3"/>
    <s v="Closed"/>
    <s v="May"/>
    <x v="4"/>
    <n v="2026"/>
    <s v="No"/>
    <n v="0"/>
    <x v="4"/>
    <n v="0"/>
  </r>
  <r>
    <s v="T002894"/>
    <x v="2716"/>
    <d v="2026-05-07T00:26:00"/>
    <x v="0"/>
    <s v="Phone"/>
    <x v="1"/>
    <s v="A011"/>
    <x v="0"/>
    <n v="24"/>
    <n v="10.6"/>
    <x v="0"/>
    <s v="Yes"/>
    <s v="No"/>
    <n v="5"/>
    <s v="Closed"/>
    <s v="May"/>
    <x v="4"/>
    <n v="2026"/>
    <s v="Yes"/>
    <n v="1"/>
    <x v="1"/>
    <n v="0"/>
  </r>
  <r>
    <s v="T002895"/>
    <x v="2717"/>
    <d v="2026-05-06T19:40:00"/>
    <x v="0"/>
    <s v="Phone"/>
    <x v="0"/>
    <s v="A056"/>
    <x v="1"/>
    <n v="72"/>
    <n v="5.8"/>
    <x v="1"/>
    <s v="No"/>
    <s v="No"/>
    <m/>
    <s v="Closed"/>
    <s v="May"/>
    <x v="4"/>
    <n v="2026"/>
    <s v="Yes"/>
    <n v="1"/>
    <x v="0"/>
    <n v="1"/>
  </r>
  <r>
    <s v="T002896"/>
    <x v="2718"/>
    <d v="2026-05-07T00:53:00"/>
    <x v="2"/>
    <s v="Phone"/>
    <x v="1"/>
    <s v="A035"/>
    <x v="2"/>
    <n v="24"/>
    <n v="10.7"/>
    <x v="0"/>
    <s v="Yes"/>
    <s v="No"/>
    <n v="4"/>
    <s v="Closed"/>
    <s v="May"/>
    <x v="4"/>
    <n v="2026"/>
    <s v="Yes"/>
    <n v="1"/>
    <x v="2"/>
    <n v="0"/>
  </r>
  <r>
    <s v="T002897"/>
    <x v="2719"/>
    <d v="2026-05-06T21:36:00"/>
    <x v="1"/>
    <s v="Chat"/>
    <x v="1"/>
    <s v="A008"/>
    <x v="0"/>
    <n v="24"/>
    <n v="6.7"/>
    <x v="1"/>
    <s v="No"/>
    <s v="No"/>
    <n v="4"/>
    <s v="Closed"/>
    <s v="May"/>
    <x v="4"/>
    <n v="2026"/>
    <s v="Yes"/>
    <n v="1"/>
    <x v="4"/>
    <n v="1"/>
  </r>
  <r>
    <s v="T002898"/>
    <x v="2720"/>
    <d v="2026-05-07T06:19:00"/>
    <x v="5"/>
    <s v="Chat"/>
    <x v="2"/>
    <s v="A022"/>
    <x v="2"/>
    <n v="4"/>
    <n v="14.1"/>
    <x v="1"/>
    <s v="No"/>
    <s v="No"/>
    <m/>
    <s v="Closed"/>
    <s v="May"/>
    <x v="4"/>
    <n v="2026"/>
    <s v="No"/>
    <n v="0"/>
    <x v="2"/>
    <n v="1"/>
  </r>
  <r>
    <s v="T002899"/>
    <x v="2721"/>
    <d v="2026-05-07T00:45:00"/>
    <x v="1"/>
    <s v="Phone"/>
    <x v="0"/>
    <s v="A036"/>
    <x v="1"/>
    <n v="72"/>
    <n v="7.2"/>
    <x v="1"/>
    <s v="No"/>
    <s v="No"/>
    <n v="5"/>
    <s v="Closed"/>
    <s v="May"/>
    <x v="4"/>
    <n v="2026"/>
    <s v="Yes"/>
    <n v="1"/>
    <x v="4"/>
    <n v="1"/>
  </r>
  <r>
    <s v="T002900"/>
    <x v="2722"/>
    <d v="2026-05-06T22:32:00"/>
    <x v="1"/>
    <s v="Phone"/>
    <x v="1"/>
    <s v="A013"/>
    <x v="0"/>
    <n v="24"/>
    <n v="4"/>
    <x v="1"/>
    <s v="No"/>
    <s v="No"/>
    <n v="5"/>
    <s v="Closed"/>
    <s v="May"/>
    <x v="4"/>
    <n v="2026"/>
    <s v="Yes"/>
    <n v="1"/>
    <x v="3"/>
    <n v="1"/>
  </r>
  <r>
    <s v="T002901"/>
    <x v="2723"/>
    <d v="2026-05-08T00:20:00"/>
    <x v="0"/>
    <s v="Email"/>
    <x v="2"/>
    <s v="A002"/>
    <x v="0"/>
    <n v="4"/>
    <n v="29.2"/>
    <x v="1"/>
    <s v="No"/>
    <s v="No"/>
    <n v="5"/>
    <s v="Closed"/>
    <s v="May"/>
    <x v="4"/>
    <n v="2026"/>
    <s v="No"/>
    <n v="0"/>
    <x v="0"/>
    <n v="1"/>
  </r>
  <r>
    <s v="T002902"/>
    <x v="2724"/>
    <d v="2026-05-07T01:40:00"/>
    <x v="2"/>
    <s v="Chat"/>
    <x v="1"/>
    <s v="A053"/>
    <x v="1"/>
    <n v="24"/>
    <n v="6.3"/>
    <x v="0"/>
    <s v="No"/>
    <s v="No"/>
    <n v="4"/>
    <s v="Closed"/>
    <s v="May"/>
    <x v="4"/>
    <n v="2026"/>
    <s v="Yes"/>
    <n v="1"/>
    <x v="3"/>
    <n v="0"/>
  </r>
  <r>
    <s v="T002903"/>
    <x v="2725"/>
    <d v="2026-05-07T07:27:00"/>
    <x v="1"/>
    <s v="Chat"/>
    <x v="1"/>
    <s v="A006"/>
    <x v="0"/>
    <n v="24"/>
    <n v="2.6"/>
    <x v="0"/>
    <s v="No"/>
    <s v="No"/>
    <n v="4"/>
    <s v="Closed"/>
    <s v="May"/>
    <x v="4"/>
    <n v="2026"/>
    <s v="Yes"/>
    <n v="1"/>
    <x v="1"/>
    <n v="0"/>
  </r>
  <r>
    <s v="T002904"/>
    <x v="2726"/>
    <d v="2026-05-11T04:55:00"/>
    <x v="4"/>
    <s v="Field Visit"/>
    <x v="1"/>
    <s v="A049"/>
    <x v="1"/>
    <n v="24"/>
    <n v="95.7"/>
    <x v="1"/>
    <s v="No"/>
    <s v="No"/>
    <m/>
    <s v="Closed"/>
    <s v="May"/>
    <x v="4"/>
    <n v="2026"/>
    <s v="No"/>
    <n v="0"/>
    <x v="0"/>
    <n v="1"/>
  </r>
  <r>
    <s v="T002905"/>
    <x v="2727"/>
    <d v="2026-05-07T13:24:00"/>
    <x v="5"/>
    <s v="Chat"/>
    <x v="1"/>
    <s v="A046"/>
    <x v="1"/>
    <n v="24"/>
    <n v="7.6"/>
    <x v="1"/>
    <s v="No"/>
    <s v="No"/>
    <m/>
    <s v="Closed"/>
    <s v="May"/>
    <x v="4"/>
    <n v="2026"/>
    <s v="Yes"/>
    <n v="1"/>
    <x v="3"/>
    <n v="1"/>
  </r>
  <r>
    <s v="T002906"/>
    <x v="2728"/>
    <d v="2026-05-07T15:45:00"/>
    <x v="6"/>
    <s v="Phone"/>
    <x v="2"/>
    <s v="A032"/>
    <x v="2"/>
    <n v="4"/>
    <n v="7.6"/>
    <x v="0"/>
    <s v="Yes"/>
    <s v="No"/>
    <n v="4"/>
    <s v="Closed"/>
    <s v="May"/>
    <x v="4"/>
    <n v="2026"/>
    <s v="No"/>
    <n v="0"/>
    <x v="3"/>
    <n v="0"/>
  </r>
  <r>
    <s v="T002907"/>
    <x v="2729"/>
    <d v="2026-05-07T13:05:00"/>
    <x v="6"/>
    <s v="Phone"/>
    <x v="1"/>
    <s v="A039"/>
    <x v="1"/>
    <n v="24"/>
    <n v="4.5"/>
    <x v="1"/>
    <s v="No"/>
    <s v="No"/>
    <n v="5"/>
    <s v="Closed"/>
    <s v="May"/>
    <x v="4"/>
    <n v="2026"/>
    <s v="Yes"/>
    <n v="1"/>
    <x v="4"/>
    <n v="1"/>
  </r>
  <r>
    <s v="T002908"/>
    <x v="2730"/>
    <d v="2026-05-07T22:58:00"/>
    <x v="5"/>
    <s v="Phone"/>
    <x v="0"/>
    <s v="A038"/>
    <x v="1"/>
    <n v="72"/>
    <n v="14.3"/>
    <x v="1"/>
    <s v="No"/>
    <s v="No"/>
    <m/>
    <s v="Closed"/>
    <s v="May"/>
    <x v="4"/>
    <n v="2026"/>
    <s v="Yes"/>
    <n v="1"/>
    <x v="1"/>
    <n v="1"/>
  </r>
  <r>
    <s v="T002909"/>
    <x v="2731"/>
    <d v="2026-05-07T12:08:00"/>
    <x v="1"/>
    <s v="Phone"/>
    <x v="1"/>
    <s v="A005"/>
    <x v="0"/>
    <n v="24"/>
    <n v="3.4"/>
    <x v="1"/>
    <s v="No"/>
    <s v="No"/>
    <n v="5"/>
    <s v="Closed"/>
    <s v="May"/>
    <x v="4"/>
    <n v="2026"/>
    <s v="Yes"/>
    <n v="1"/>
    <x v="3"/>
    <n v="1"/>
  </r>
  <r>
    <s v="T002910"/>
    <x v="2732"/>
    <d v="2026-05-08T09:19:00"/>
    <x v="3"/>
    <s v="Field Visit"/>
    <x v="2"/>
    <s v="A037"/>
    <x v="1"/>
    <n v="4"/>
    <n v="24.5"/>
    <x v="1"/>
    <s v="No"/>
    <s v="Yes"/>
    <n v="4"/>
    <s v="Closed"/>
    <s v="May"/>
    <x v="4"/>
    <n v="2026"/>
    <s v="No"/>
    <n v="0"/>
    <x v="4"/>
    <n v="1"/>
  </r>
  <r>
    <s v="T002911"/>
    <x v="2733"/>
    <d v="2026-05-07T12:50:00"/>
    <x v="1"/>
    <s v="Chat"/>
    <x v="1"/>
    <s v="A033"/>
    <x v="2"/>
    <n v="24"/>
    <n v="3.5"/>
    <x v="1"/>
    <s v="No"/>
    <s v="No"/>
    <n v="5"/>
    <s v="Closed"/>
    <s v="May"/>
    <x v="4"/>
    <n v="2026"/>
    <s v="Yes"/>
    <n v="1"/>
    <x v="3"/>
    <n v="1"/>
  </r>
  <r>
    <s v="T002912"/>
    <x v="2734"/>
    <d v="2026-05-07T22:31:00"/>
    <x v="5"/>
    <s v="Email"/>
    <x v="1"/>
    <s v="A028"/>
    <x v="2"/>
    <n v="24"/>
    <n v="13"/>
    <x v="1"/>
    <s v="No"/>
    <s v="No"/>
    <n v="5"/>
    <s v="Closed"/>
    <s v="May"/>
    <x v="4"/>
    <n v="2026"/>
    <s v="Yes"/>
    <n v="1"/>
    <x v="4"/>
    <n v="1"/>
  </r>
  <r>
    <s v="T002913"/>
    <x v="2735"/>
    <d v="2026-05-07T03:33:00"/>
    <x v="6"/>
    <s v="Phone"/>
    <x v="1"/>
    <s v="A057"/>
    <x v="1"/>
    <n v="24"/>
    <n v="5.6"/>
    <x v="1"/>
    <s v="No"/>
    <s v="No"/>
    <n v="3"/>
    <s v="Closed"/>
    <s v="May"/>
    <x v="4"/>
    <n v="2026"/>
    <s v="Yes"/>
    <n v="1"/>
    <x v="3"/>
    <n v="1"/>
  </r>
  <r>
    <s v="T002914"/>
    <x v="2736"/>
    <d v="2026-05-07T20:27:00"/>
    <x v="6"/>
    <s v="Field Visit"/>
    <x v="2"/>
    <s v="A020"/>
    <x v="2"/>
    <n v="4"/>
    <n v="10.3"/>
    <x v="0"/>
    <s v="Yes"/>
    <s v="No"/>
    <n v="4"/>
    <s v="Closed"/>
    <s v="May"/>
    <x v="4"/>
    <n v="2026"/>
    <s v="No"/>
    <n v="0"/>
    <x v="4"/>
    <n v="0"/>
  </r>
  <r>
    <s v="T002915"/>
    <x v="2737"/>
    <d v="2026-05-07T14:46:00"/>
    <x v="1"/>
    <s v="Phone"/>
    <x v="1"/>
    <s v="A059"/>
    <x v="1"/>
    <n v="24"/>
    <n v="3.4"/>
    <x v="1"/>
    <s v="No"/>
    <s v="No"/>
    <n v="4"/>
    <s v="Closed"/>
    <s v="May"/>
    <x v="4"/>
    <n v="2026"/>
    <s v="Yes"/>
    <n v="1"/>
    <x v="3"/>
    <n v="1"/>
  </r>
  <r>
    <s v="T002916"/>
    <x v="2738"/>
    <d v="2026-05-07T17:51:00"/>
    <x v="1"/>
    <s v="Phone"/>
    <x v="1"/>
    <s v="A040"/>
    <x v="1"/>
    <n v="24"/>
    <n v="6.2"/>
    <x v="1"/>
    <s v="No"/>
    <s v="No"/>
    <n v="5"/>
    <s v="Closed"/>
    <s v="May"/>
    <x v="4"/>
    <n v="2026"/>
    <s v="Yes"/>
    <n v="1"/>
    <x v="1"/>
    <n v="1"/>
  </r>
  <r>
    <s v="T002917"/>
    <x v="2739"/>
    <d v="2026-05-07T22:34:00"/>
    <x v="0"/>
    <s v="Phone"/>
    <x v="1"/>
    <s v="A019"/>
    <x v="2"/>
    <n v="24"/>
    <n v="8.9"/>
    <x v="1"/>
    <s v="No"/>
    <s v="No"/>
    <n v="5"/>
    <s v="Closed"/>
    <s v="May"/>
    <x v="4"/>
    <n v="2026"/>
    <s v="Yes"/>
    <n v="1"/>
    <x v="3"/>
    <n v="1"/>
  </r>
  <r>
    <s v="T002918"/>
    <x v="2740"/>
    <d v="2026-05-08T13:40:00"/>
    <x v="5"/>
    <s v="Field Visit"/>
    <x v="1"/>
    <s v="A002"/>
    <x v="0"/>
    <n v="24"/>
    <n v="22.6"/>
    <x v="1"/>
    <s v="No"/>
    <s v="No"/>
    <n v="5"/>
    <s v="Closed"/>
    <s v="May"/>
    <x v="4"/>
    <n v="2026"/>
    <s v="Yes"/>
    <n v="1"/>
    <x v="3"/>
    <n v="1"/>
  </r>
  <r>
    <s v="T002919"/>
    <x v="2741"/>
    <d v="2026-05-08T14:01:00"/>
    <x v="0"/>
    <s v="Field Visit"/>
    <x v="1"/>
    <s v="A045"/>
    <x v="1"/>
    <n v="24"/>
    <n v="22.7"/>
    <x v="1"/>
    <s v="No"/>
    <s v="No"/>
    <m/>
    <s v="Closed"/>
    <s v="May"/>
    <x v="4"/>
    <n v="2026"/>
    <s v="Yes"/>
    <n v="1"/>
    <x v="2"/>
    <n v="1"/>
  </r>
  <r>
    <s v="T002920"/>
    <x v="2742"/>
    <d v="2026-05-07T19:17:00"/>
    <x v="1"/>
    <s v="Phone"/>
    <x v="0"/>
    <s v="A056"/>
    <x v="1"/>
    <n v="72"/>
    <n v="3.8"/>
    <x v="1"/>
    <s v="No"/>
    <s v="No"/>
    <n v="5"/>
    <s v="Closed"/>
    <s v="May"/>
    <x v="4"/>
    <n v="2026"/>
    <s v="Yes"/>
    <n v="1"/>
    <x v="1"/>
    <n v="1"/>
  </r>
  <r>
    <s v="T002921"/>
    <x v="2743"/>
    <d v="2026-05-10T09:00:00"/>
    <x v="0"/>
    <s v="Email"/>
    <x v="1"/>
    <s v="A046"/>
    <x v="1"/>
    <n v="24"/>
    <n v="64.8"/>
    <x v="1"/>
    <s v="No"/>
    <s v="No"/>
    <m/>
    <s v="Closed"/>
    <s v="May"/>
    <x v="4"/>
    <n v="2026"/>
    <s v="No"/>
    <n v="0"/>
    <x v="4"/>
    <n v="1"/>
  </r>
  <r>
    <s v="T002922"/>
    <x v="2744"/>
    <d v="2026-05-11T15:08:00"/>
    <x v="4"/>
    <s v="Field Visit"/>
    <x v="0"/>
    <s v="A053"/>
    <x v="1"/>
    <n v="72"/>
    <n v="93.8"/>
    <x v="1"/>
    <s v="No"/>
    <s v="No"/>
    <m/>
    <s v="Closed"/>
    <s v="May"/>
    <x v="4"/>
    <n v="2026"/>
    <s v="No"/>
    <n v="0"/>
    <x v="0"/>
    <n v="1"/>
  </r>
  <r>
    <s v="T002923"/>
    <x v="2745"/>
    <d v="2026-05-08T10:53:00"/>
    <x v="3"/>
    <s v="Phone"/>
    <x v="2"/>
    <s v="A021"/>
    <x v="2"/>
    <n v="4"/>
    <n v="17.2"/>
    <x v="1"/>
    <s v="No"/>
    <s v="No"/>
    <m/>
    <s v="Closed"/>
    <s v="May"/>
    <x v="4"/>
    <n v="2026"/>
    <s v="No"/>
    <n v="0"/>
    <x v="1"/>
    <n v="1"/>
  </r>
  <r>
    <s v="T002924"/>
    <x v="2746"/>
    <d v="2026-05-08T01:56:00"/>
    <x v="6"/>
    <s v="Phone"/>
    <x v="1"/>
    <s v="A044"/>
    <x v="1"/>
    <n v="24"/>
    <n v="8"/>
    <x v="0"/>
    <s v="No"/>
    <s v="Yes"/>
    <n v="4"/>
    <s v="Closed"/>
    <s v="May"/>
    <x v="4"/>
    <n v="2026"/>
    <s v="Yes"/>
    <n v="1"/>
    <x v="1"/>
    <n v="0"/>
  </r>
  <r>
    <s v="T002925"/>
    <x v="2747"/>
    <d v="2026-05-08T04:31:00"/>
    <x v="2"/>
    <s v="Chat"/>
    <x v="1"/>
    <s v="A041"/>
    <x v="1"/>
    <n v="24"/>
    <n v="6.2"/>
    <x v="1"/>
    <s v="No"/>
    <s v="No"/>
    <n v="4"/>
    <s v="Closed"/>
    <s v="May"/>
    <x v="4"/>
    <n v="2026"/>
    <s v="Yes"/>
    <n v="1"/>
    <x v="4"/>
    <n v="1"/>
  </r>
  <r>
    <s v="T002926"/>
    <x v="2748"/>
    <d v="2026-05-08T09:22:00"/>
    <x v="5"/>
    <s v="Chat"/>
    <x v="1"/>
    <s v="A044"/>
    <x v="1"/>
    <n v="24"/>
    <n v="2.8"/>
    <x v="1"/>
    <s v="No"/>
    <s v="No"/>
    <m/>
    <s v="Closed"/>
    <s v="May"/>
    <x v="4"/>
    <n v="2026"/>
    <s v="Yes"/>
    <n v="1"/>
    <x v="0"/>
    <n v="1"/>
  </r>
  <r>
    <s v="T002927"/>
    <x v="2749"/>
    <d v="2026-05-08T13:31:00"/>
    <x v="6"/>
    <s v="Chat"/>
    <x v="1"/>
    <s v="A011"/>
    <x v="0"/>
    <n v="24"/>
    <n v="6.4"/>
    <x v="1"/>
    <s v="No"/>
    <s v="No"/>
    <n v="5"/>
    <s v="Closed"/>
    <s v="May"/>
    <x v="4"/>
    <n v="2026"/>
    <s v="Yes"/>
    <n v="1"/>
    <x v="4"/>
    <n v="1"/>
  </r>
  <r>
    <s v="T002928"/>
    <x v="2750"/>
    <d v="2026-05-08T12:00:00"/>
    <x v="6"/>
    <s v="Phone"/>
    <x v="1"/>
    <s v="A052"/>
    <x v="1"/>
    <n v="24"/>
    <n v="4.7"/>
    <x v="1"/>
    <s v="No"/>
    <s v="No"/>
    <m/>
    <s v="Closed"/>
    <s v="May"/>
    <x v="4"/>
    <n v="2026"/>
    <s v="Yes"/>
    <n v="1"/>
    <x v="3"/>
    <n v="1"/>
  </r>
  <r>
    <s v="T002929"/>
    <x v="2751"/>
    <d v="2026-05-09T16:06:00"/>
    <x v="6"/>
    <s v="Field Visit"/>
    <x v="1"/>
    <s v="A040"/>
    <x v="1"/>
    <n v="24"/>
    <n v="31.9"/>
    <x v="1"/>
    <s v="No"/>
    <s v="No"/>
    <m/>
    <s v="Closed"/>
    <s v="May"/>
    <x v="4"/>
    <n v="2026"/>
    <s v="No"/>
    <n v="0"/>
    <x v="1"/>
    <n v="1"/>
  </r>
  <r>
    <s v="T002930"/>
    <x v="2752"/>
    <d v="2026-05-09T15:26:00"/>
    <x v="6"/>
    <s v="Field Visit"/>
    <x v="2"/>
    <s v="A017"/>
    <x v="2"/>
    <n v="4"/>
    <n v="31.1"/>
    <x v="1"/>
    <s v="No"/>
    <s v="Yes"/>
    <n v="4"/>
    <s v="Closed"/>
    <s v="May"/>
    <x v="4"/>
    <n v="2026"/>
    <s v="No"/>
    <n v="0"/>
    <x v="1"/>
    <n v="1"/>
  </r>
  <r>
    <s v="T002931"/>
    <x v="2753"/>
    <d v="2026-05-09T03:51:00"/>
    <x v="3"/>
    <s v="Field Visit"/>
    <x v="1"/>
    <s v="A006"/>
    <x v="0"/>
    <n v="24"/>
    <n v="19.3"/>
    <x v="1"/>
    <s v="No"/>
    <s v="No"/>
    <n v="5"/>
    <s v="Closed"/>
    <s v="May"/>
    <x v="4"/>
    <n v="2026"/>
    <s v="Yes"/>
    <n v="1"/>
    <x v="3"/>
    <n v="1"/>
  </r>
  <r>
    <s v="T002932"/>
    <x v="2754"/>
    <d v="2026-05-11T23:40:00"/>
    <x v="4"/>
    <s v="Field Visit"/>
    <x v="0"/>
    <s v="A035"/>
    <x v="2"/>
    <n v="72"/>
    <n v="87"/>
    <x v="1"/>
    <s v="No"/>
    <s v="No"/>
    <n v="5"/>
    <s v="Closed"/>
    <s v="May"/>
    <x v="4"/>
    <n v="2026"/>
    <s v="No"/>
    <n v="0"/>
    <x v="4"/>
    <n v="1"/>
  </r>
  <r>
    <s v="T002933"/>
    <x v="2755"/>
    <d v="2026-05-09T16:19:00"/>
    <x v="1"/>
    <s v="Email"/>
    <x v="0"/>
    <s v="A017"/>
    <x v="2"/>
    <n v="72"/>
    <n v="31"/>
    <x v="1"/>
    <s v="No"/>
    <s v="No"/>
    <n v="5"/>
    <s v="Closed"/>
    <s v="May"/>
    <x v="4"/>
    <n v="2026"/>
    <s v="Yes"/>
    <n v="1"/>
    <x v="3"/>
    <n v="1"/>
  </r>
  <r>
    <s v="T002934"/>
    <x v="2756"/>
    <d v="2026-05-09T06:11:00"/>
    <x v="6"/>
    <s v="Email"/>
    <x v="2"/>
    <s v="A034"/>
    <x v="2"/>
    <n v="4"/>
    <n v="20.7"/>
    <x v="0"/>
    <s v="Yes"/>
    <s v="Yes"/>
    <n v="3"/>
    <s v="Closed"/>
    <s v="May"/>
    <x v="4"/>
    <n v="2026"/>
    <s v="No"/>
    <n v="0"/>
    <x v="3"/>
    <n v="0"/>
  </r>
  <r>
    <s v="T002935"/>
    <x v="2757"/>
    <d v="2026-05-09T09:15:00"/>
    <x v="3"/>
    <s v="Phone"/>
    <x v="1"/>
    <s v="A058"/>
    <x v="1"/>
    <n v="24"/>
    <n v="23.7"/>
    <x v="1"/>
    <s v="No"/>
    <s v="No"/>
    <m/>
    <s v="Closed"/>
    <s v="May"/>
    <x v="4"/>
    <n v="2026"/>
    <s v="Yes"/>
    <n v="1"/>
    <x v="4"/>
    <n v="1"/>
  </r>
  <r>
    <s v="T002936"/>
    <x v="2758"/>
    <d v="2026-05-08T17:47:00"/>
    <x v="0"/>
    <s v="Chat"/>
    <x v="1"/>
    <s v="A028"/>
    <x v="2"/>
    <n v="24"/>
    <n v="7.7"/>
    <x v="0"/>
    <s v="Yes"/>
    <s v="No"/>
    <m/>
    <s v="Closed"/>
    <s v="May"/>
    <x v="4"/>
    <n v="2026"/>
    <s v="Yes"/>
    <n v="1"/>
    <x v="1"/>
    <n v="0"/>
  </r>
  <r>
    <s v="T002937"/>
    <x v="2759"/>
    <d v="2026-05-09T02:24:00"/>
    <x v="1"/>
    <s v="Phone"/>
    <x v="0"/>
    <s v="A059"/>
    <x v="1"/>
    <n v="72"/>
    <n v="16"/>
    <x v="1"/>
    <s v="No"/>
    <s v="No"/>
    <n v="5"/>
    <s v="Closed"/>
    <s v="May"/>
    <x v="4"/>
    <n v="2026"/>
    <s v="Yes"/>
    <n v="1"/>
    <x v="1"/>
    <n v="1"/>
  </r>
  <r>
    <s v="T002938"/>
    <x v="2760"/>
    <d v="2026-05-08T21:32:00"/>
    <x v="1"/>
    <s v="Email"/>
    <x v="0"/>
    <s v="A026"/>
    <x v="2"/>
    <n v="72"/>
    <n v="10.9"/>
    <x v="1"/>
    <s v="No"/>
    <s v="Yes"/>
    <m/>
    <s v="Closed"/>
    <s v="May"/>
    <x v="4"/>
    <n v="2026"/>
    <s v="Yes"/>
    <n v="1"/>
    <x v="4"/>
    <n v="1"/>
  </r>
  <r>
    <s v="T002939"/>
    <x v="2761"/>
    <d v="2026-05-10T00:58:00"/>
    <x v="3"/>
    <s v="Chat"/>
    <x v="1"/>
    <s v="A008"/>
    <x v="0"/>
    <n v="24"/>
    <n v="38.299999999999997"/>
    <x v="1"/>
    <s v="No"/>
    <s v="No"/>
    <n v="5"/>
    <s v="Closed"/>
    <s v="May"/>
    <x v="4"/>
    <n v="2026"/>
    <s v="No"/>
    <n v="0"/>
    <x v="4"/>
    <n v="1"/>
  </r>
  <r>
    <s v="T002940"/>
    <x v="2762"/>
    <d v="2026-05-09T22:36:00"/>
    <x v="3"/>
    <s v="Field Visit"/>
    <x v="0"/>
    <s v="A040"/>
    <x v="1"/>
    <n v="72"/>
    <n v="35.4"/>
    <x v="1"/>
    <s v="No"/>
    <s v="No"/>
    <n v="5"/>
    <s v="Closed"/>
    <s v="May"/>
    <x v="4"/>
    <n v="2026"/>
    <s v="Yes"/>
    <n v="1"/>
    <x v="2"/>
    <n v="1"/>
  </r>
  <r>
    <s v="T002941"/>
    <x v="2763"/>
    <d v="2026-05-08T18:56:00"/>
    <x v="6"/>
    <s v="Phone"/>
    <x v="1"/>
    <s v="A017"/>
    <x v="2"/>
    <n v="24"/>
    <n v="7.3"/>
    <x v="1"/>
    <s v="No"/>
    <s v="No"/>
    <n v="4"/>
    <s v="Closed"/>
    <s v="May"/>
    <x v="4"/>
    <n v="2026"/>
    <s v="Yes"/>
    <n v="1"/>
    <x v="4"/>
    <n v="1"/>
  </r>
  <r>
    <s v="T002942"/>
    <x v="2764"/>
    <d v="2026-05-09T07:31:00"/>
    <x v="4"/>
    <s v="Chat"/>
    <x v="0"/>
    <s v="A056"/>
    <x v="1"/>
    <n v="72"/>
    <n v="19.600000000000001"/>
    <x v="1"/>
    <s v="No"/>
    <s v="No"/>
    <m/>
    <s v="Closed"/>
    <s v="May"/>
    <x v="4"/>
    <n v="2026"/>
    <s v="Yes"/>
    <n v="1"/>
    <x v="2"/>
    <n v="1"/>
  </r>
  <r>
    <s v="T002943"/>
    <x v="2765"/>
    <d v="2026-05-08T16:26:00"/>
    <x v="2"/>
    <s v="Chat"/>
    <x v="2"/>
    <s v="A035"/>
    <x v="2"/>
    <n v="4"/>
    <n v="3.9"/>
    <x v="1"/>
    <s v="No"/>
    <s v="No"/>
    <n v="5"/>
    <s v="Closed"/>
    <s v="May"/>
    <x v="4"/>
    <n v="2026"/>
    <s v="Yes"/>
    <n v="1"/>
    <x v="0"/>
    <n v="1"/>
  </r>
  <r>
    <s v="T002944"/>
    <x v="2766"/>
    <d v="2026-05-09T04:28:00"/>
    <x v="6"/>
    <s v="Phone"/>
    <x v="2"/>
    <s v="A010"/>
    <x v="0"/>
    <n v="4"/>
    <n v="15.4"/>
    <x v="1"/>
    <s v="No"/>
    <s v="No"/>
    <m/>
    <s v="Closed"/>
    <s v="May"/>
    <x v="4"/>
    <n v="2026"/>
    <s v="No"/>
    <n v="0"/>
    <x v="3"/>
    <n v="1"/>
  </r>
  <r>
    <s v="T002945"/>
    <x v="2767"/>
    <d v="2026-05-08T16:23:00"/>
    <x v="1"/>
    <s v="Phone"/>
    <x v="0"/>
    <s v="A008"/>
    <x v="0"/>
    <n v="72"/>
    <n v="3"/>
    <x v="1"/>
    <s v="No"/>
    <s v="No"/>
    <n v="5"/>
    <s v="Closed"/>
    <s v="May"/>
    <x v="4"/>
    <n v="2026"/>
    <s v="Yes"/>
    <n v="1"/>
    <x v="3"/>
    <n v="1"/>
  </r>
  <r>
    <s v="T002946"/>
    <x v="2768"/>
    <d v="2026-05-09T13:55:00"/>
    <x v="0"/>
    <s v="Phone"/>
    <x v="1"/>
    <s v="A007"/>
    <x v="0"/>
    <n v="24"/>
    <n v="24"/>
    <x v="1"/>
    <s v="No"/>
    <s v="No"/>
    <m/>
    <s v="Closed"/>
    <s v="May"/>
    <x v="4"/>
    <n v="2026"/>
    <s v="Yes"/>
    <n v="1"/>
    <x v="1"/>
    <n v="1"/>
  </r>
  <r>
    <s v="T002947"/>
    <x v="2769"/>
    <d v="2026-05-08T16:40:00"/>
    <x v="5"/>
    <s v="Chat"/>
    <x v="0"/>
    <s v="A059"/>
    <x v="1"/>
    <n v="72"/>
    <n v="2.2000000000000002"/>
    <x v="0"/>
    <s v="No"/>
    <s v="No"/>
    <m/>
    <s v="Closed"/>
    <s v="May"/>
    <x v="4"/>
    <n v="2026"/>
    <s v="Yes"/>
    <n v="1"/>
    <x v="3"/>
    <n v="0"/>
  </r>
  <r>
    <s v="T002948"/>
    <x v="2770"/>
    <d v="2026-05-12T04:45:00"/>
    <x v="0"/>
    <s v="Email"/>
    <x v="1"/>
    <s v="A026"/>
    <x v="2"/>
    <n v="24"/>
    <n v="86.1"/>
    <x v="1"/>
    <s v="No"/>
    <s v="No"/>
    <n v="4"/>
    <s v="Closed"/>
    <s v="May"/>
    <x v="4"/>
    <n v="2026"/>
    <s v="No"/>
    <n v="0"/>
    <x v="3"/>
    <n v="1"/>
  </r>
  <r>
    <s v="T002949"/>
    <x v="2771"/>
    <d v="2026-05-08T16:41:00"/>
    <x v="1"/>
    <s v="Phone"/>
    <x v="0"/>
    <s v="A043"/>
    <x v="1"/>
    <n v="72"/>
    <n v="1.5"/>
    <x v="1"/>
    <s v="No"/>
    <s v="No"/>
    <n v="4"/>
    <s v="Closed"/>
    <s v="May"/>
    <x v="4"/>
    <n v="2026"/>
    <s v="Yes"/>
    <n v="1"/>
    <x v="4"/>
    <n v="1"/>
  </r>
  <r>
    <s v="T002950"/>
    <x v="2772"/>
    <d v="2026-05-09T04:14:00"/>
    <x v="0"/>
    <s v="Phone"/>
    <x v="0"/>
    <s v="A046"/>
    <x v="1"/>
    <n v="72"/>
    <n v="12.5"/>
    <x v="0"/>
    <s v="Yes"/>
    <s v="No"/>
    <m/>
    <s v="Closed"/>
    <s v="May"/>
    <x v="4"/>
    <n v="2026"/>
    <s v="Yes"/>
    <n v="1"/>
    <x v="0"/>
    <n v="0"/>
  </r>
  <r>
    <s v="T002951"/>
    <x v="2773"/>
    <d v="2026-05-11T17:42:00"/>
    <x v="3"/>
    <s v="Field Visit"/>
    <x v="1"/>
    <s v="A001"/>
    <x v="0"/>
    <n v="24"/>
    <n v="73.8"/>
    <x v="0"/>
    <s v="No"/>
    <s v="No"/>
    <m/>
    <s v="Closed"/>
    <s v="May"/>
    <x v="4"/>
    <n v="2026"/>
    <s v="No"/>
    <n v="0"/>
    <x v="0"/>
    <n v="0"/>
  </r>
  <r>
    <s v="T002952"/>
    <x v="2774"/>
    <d v="2026-05-09T19:11:00"/>
    <x v="0"/>
    <s v="Chat"/>
    <x v="1"/>
    <s v="A015"/>
    <x v="0"/>
    <n v="24"/>
    <n v="24.6"/>
    <x v="0"/>
    <s v="No"/>
    <s v="No"/>
    <m/>
    <s v="Closed"/>
    <s v="May"/>
    <x v="4"/>
    <n v="2026"/>
    <s v="No"/>
    <n v="0"/>
    <x v="3"/>
    <n v="0"/>
  </r>
  <r>
    <s v="T002953"/>
    <x v="2775"/>
    <d v="2026-05-09T12:42:00"/>
    <x v="2"/>
    <s v="Phone"/>
    <x v="1"/>
    <s v="A018"/>
    <x v="2"/>
    <n v="24"/>
    <n v="11.1"/>
    <x v="1"/>
    <s v="No"/>
    <s v="No"/>
    <n v="5"/>
    <s v="Closed"/>
    <s v="May"/>
    <x v="4"/>
    <n v="2026"/>
    <s v="Yes"/>
    <n v="1"/>
    <x v="1"/>
    <n v="1"/>
  </r>
  <r>
    <s v="T002954"/>
    <x v="2776"/>
    <d v="2026-05-09T18:32:00"/>
    <x v="6"/>
    <s v="Email"/>
    <x v="1"/>
    <s v="A011"/>
    <x v="0"/>
    <n v="24"/>
    <n v="13.7"/>
    <x v="0"/>
    <s v="Yes"/>
    <s v="No"/>
    <n v="5"/>
    <s v="Closed"/>
    <s v="May"/>
    <x v="4"/>
    <n v="2026"/>
    <s v="Yes"/>
    <n v="1"/>
    <x v="4"/>
    <n v="0"/>
  </r>
  <r>
    <s v="T002955"/>
    <x v="2777"/>
    <d v="2026-05-09T14:51:00"/>
    <x v="5"/>
    <s v="Chat"/>
    <x v="1"/>
    <s v="A002"/>
    <x v="0"/>
    <n v="24"/>
    <n v="8.9"/>
    <x v="1"/>
    <s v="No"/>
    <s v="No"/>
    <n v="5"/>
    <s v="Closed"/>
    <s v="May"/>
    <x v="4"/>
    <n v="2026"/>
    <s v="Yes"/>
    <n v="1"/>
    <x v="4"/>
    <n v="1"/>
  </r>
  <r>
    <s v="T002956"/>
    <x v="2778"/>
    <d v="2026-05-10T00:16:00"/>
    <x v="3"/>
    <s v="Chat"/>
    <x v="1"/>
    <s v="A011"/>
    <x v="0"/>
    <n v="24"/>
    <n v="17.8"/>
    <x v="1"/>
    <s v="No"/>
    <s v="No"/>
    <m/>
    <s v="Closed"/>
    <s v="May"/>
    <x v="4"/>
    <n v="2026"/>
    <s v="Yes"/>
    <n v="1"/>
    <x v="4"/>
    <n v="1"/>
  </r>
  <r>
    <s v="T002957"/>
    <x v="2779"/>
    <d v="2026-05-10T05:08:00"/>
    <x v="6"/>
    <s v="Phone"/>
    <x v="2"/>
    <s v="A002"/>
    <x v="0"/>
    <n v="4"/>
    <n v="21.5"/>
    <x v="0"/>
    <s v="Yes"/>
    <s v="No"/>
    <n v="3"/>
    <s v="Closed"/>
    <s v="May"/>
    <x v="4"/>
    <n v="2026"/>
    <s v="No"/>
    <n v="0"/>
    <x v="2"/>
    <n v="0"/>
  </r>
  <r>
    <s v="T002958"/>
    <x v="2780"/>
    <d v="2026-05-09T21:09:00"/>
    <x v="6"/>
    <s v="Email"/>
    <x v="1"/>
    <s v="A024"/>
    <x v="2"/>
    <n v="24"/>
    <n v="11.8"/>
    <x v="0"/>
    <s v="Yes"/>
    <s v="No"/>
    <m/>
    <s v="Closed"/>
    <s v="May"/>
    <x v="4"/>
    <n v="2026"/>
    <s v="Yes"/>
    <n v="1"/>
    <x v="3"/>
    <n v="0"/>
  </r>
  <r>
    <s v="T002959"/>
    <x v="2781"/>
    <d v="2026-05-09T21:54:00"/>
    <x v="1"/>
    <s v="Phone"/>
    <x v="1"/>
    <s v="A040"/>
    <x v="1"/>
    <n v="24"/>
    <n v="12.5"/>
    <x v="1"/>
    <s v="No"/>
    <s v="No"/>
    <m/>
    <s v="Closed"/>
    <s v="May"/>
    <x v="4"/>
    <n v="2026"/>
    <s v="Yes"/>
    <n v="1"/>
    <x v="1"/>
    <n v="1"/>
  </r>
  <r>
    <s v="T002960"/>
    <x v="2782"/>
    <d v="2026-05-10T18:25:00"/>
    <x v="2"/>
    <s v="Field Visit"/>
    <x v="0"/>
    <s v="A026"/>
    <x v="2"/>
    <n v="72"/>
    <n v="32.9"/>
    <x v="1"/>
    <s v="No"/>
    <s v="No"/>
    <m/>
    <s v="Closed"/>
    <s v="May"/>
    <x v="4"/>
    <n v="2026"/>
    <s v="Yes"/>
    <n v="1"/>
    <x v="1"/>
    <n v="1"/>
  </r>
  <r>
    <s v="T002961"/>
    <x v="2783"/>
    <d v="2026-05-11T12:38:00"/>
    <x v="6"/>
    <s v="Field Visit"/>
    <x v="0"/>
    <s v="A003"/>
    <x v="0"/>
    <n v="72"/>
    <n v="51.1"/>
    <x v="1"/>
    <s v="No"/>
    <s v="Yes"/>
    <n v="3"/>
    <s v="Closed"/>
    <s v="May"/>
    <x v="4"/>
    <n v="2026"/>
    <s v="Yes"/>
    <n v="1"/>
    <x v="4"/>
    <n v="1"/>
  </r>
  <r>
    <s v="T002962"/>
    <x v="2784"/>
    <d v="2026-05-09T17:54:00"/>
    <x v="6"/>
    <s v="Field Visit"/>
    <x v="2"/>
    <s v="A053"/>
    <x v="1"/>
    <n v="4"/>
    <n v="8"/>
    <x v="0"/>
    <s v="No"/>
    <s v="Yes"/>
    <n v="3"/>
    <s v="Closed"/>
    <s v="May"/>
    <x v="4"/>
    <n v="2026"/>
    <s v="No"/>
    <n v="0"/>
    <x v="0"/>
    <n v="0"/>
  </r>
  <r>
    <s v="T002963"/>
    <x v="2785"/>
    <d v="2026-05-09T13:58:00"/>
    <x v="1"/>
    <s v="Chat"/>
    <x v="1"/>
    <s v="A050"/>
    <x v="1"/>
    <n v="24"/>
    <n v="2.2999999999999998"/>
    <x v="1"/>
    <s v="No"/>
    <s v="No"/>
    <n v="5"/>
    <s v="Closed"/>
    <s v="May"/>
    <x v="4"/>
    <n v="2026"/>
    <s v="Yes"/>
    <n v="1"/>
    <x v="1"/>
    <n v="1"/>
  </r>
  <r>
    <s v="T002965"/>
    <x v="2786"/>
    <d v="2026-05-09T21:20:00"/>
    <x v="1"/>
    <s v="Email"/>
    <x v="1"/>
    <s v="A026"/>
    <x v="2"/>
    <n v="24"/>
    <n v="8.9"/>
    <x v="0"/>
    <s v="Yes"/>
    <s v="No"/>
    <m/>
    <s v="Closed"/>
    <s v="May"/>
    <x v="4"/>
    <n v="2026"/>
    <s v="Yes"/>
    <n v="1"/>
    <x v="4"/>
    <n v="0"/>
  </r>
  <r>
    <s v="T002964"/>
    <x v="2786"/>
    <d v="2026-05-10T06:08:00"/>
    <x v="4"/>
    <s v="Phone"/>
    <x v="0"/>
    <s v="A020"/>
    <x v="2"/>
    <n v="72"/>
    <n v="17.7"/>
    <x v="0"/>
    <s v="No"/>
    <s v="No"/>
    <m/>
    <s v="Closed"/>
    <s v="May"/>
    <x v="4"/>
    <n v="2026"/>
    <s v="Yes"/>
    <n v="1"/>
    <x v="3"/>
    <n v="0"/>
  </r>
  <r>
    <s v="T002966"/>
    <x v="2787"/>
    <d v="2026-05-11T09:23:00"/>
    <x v="4"/>
    <s v="Field Visit"/>
    <x v="0"/>
    <s v="A047"/>
    <x v="1"/>
    <n v="72"/>
    <n v="43.3"/>
    <x v="1"/>
    <s v="No"/>
    <s v="No"/>
    <n v="4"/>
    <s v="Closed"/>
    <s v="May"/>
    <x v="4"/>
    <n v="2026"/>
    <s v="Yes"/>
    <n v="1"/>
    <x v="4"/>
    <n v="1"/>
  </r>
  <r>
    <s v="T002967"/>
    <x v="2787"/>
    <d v="2026-05-11T15:11:00"/>
    <x v="3"/>
    <s v="Field Visit"/>
    <x v="1"/>
    <s v="A040"/>
    <x v="1"/>
    <n v="24"/>
    <n v="49.1"/>
    <x v="1"/>
    <s v="No"/>
    <s v="No"/>
    <n v="4"/>
    <s v="Closed"/>
    <s v="May"/>
    <x v="4"/>
    <n v="2026"/>
    <s v="No"/>
    <n v="0"/>
    <x v="2"/>
    <n v="1"/>
  </r>
  <r>
    <s v="T002968"/>
    <x v="2788"/>
    <d v="2026-05-09T21:02:00"/>
    <x v="6"/>
    <s v="Phone"/>
    <x v="2"/>
    <s v="A002"/>
    <x v="0"/>
    <n v="4"/>
    <n v="6.9"/>
    <x v="0"/>
    <s v="No"/>
    <s v="No"/>
    <n v="5"/>
    <s v="Closed"/>
    <s v="May"/>
    <x v="4"/>
    <n v="2026"/>
    <s v="No"/>
    <n v="0"/>
    <x v="0"/>
    <n v="0"/>
  </r>
  <r>
    <s v="T002969"/>
    <x v="2789"/>
    <d v="2026-05-09T23:08:00"/>
    <x v="1"/>
    <s v="Phone"/>
    <x v="0"/>
    <s v="A006"/>
    <x v="0"/>
    <n v="72"/>
    <n v="8.5"/>
    <x v="1"/>
    <s v="No"/>
    <s v="No"/>
    <n v="5"/>
    <s v="Closed"/>
    <s v="May"/>
    <x v="4"/>
    <n v="2026"/>
    <s v="Yes"/>
    <n v="1"/>
    <x v="0"/>
    <n v="1"/>
  </r>
  <r>
    <s v="T002970"/>
    <x v="2790"/>
    <d v="2026-05-13T00:02:00"/>
    <x v="3"/>
    <s v="Field Visit"/>
    <x v="2"/>
    <s v="A012"/>
    <x v="0"/>
    <n v="4"/>
    <n v="80.7"/>
    <x v="1"/>
    <s v="No"/>
    <s v="Yes"/>
    <m/>
    <s v="Closed"/>
    <s v="May"/>
    <x v="4"/>
    <n v="2026"/>
    <s v="No"/>
    <n v="0"/>
    <x v="0"/>
    <n v="1"/>
  </r>
  <r>
    <s v="T002971"/>
    <x v="2791"/>
    <d v="2026-05-10T01:22:00"/>
    <x v="6"/>
    <s v="Phone"/>
    <x v="2"/>
    <s v="A036"/>
    <x v="1"/>
    <n v="4"/>
    <n v="9.5"/>
    <x v="1"/>
    <s v="No"/>
    <s v="No"/>
    <n v="4"/>
    <s v="Closed"/>
    <s v="May"/>
    <x v="4"/>
    <n v="2026"/>
    <s v="No"/>
    <n v="0"/>
    <x v="2"/>
    <n v="1"/>
  </r>
  <r>
    <s v="T002972"/>
    <x v="2792"/>
    <d v="2026-05-09T20:06:00"/>
    <x v="1"/>
    <s v="Phone"/>
    <x v="0"/>
    <s v="A009"/>
    <x v="0"/>
    <n v="72"/>
    <n v="4.2"/>
    <x v="1"/>
    <s v="No"/>
    <s v="No"/>
    <m/>
    <s v="Closed"/>
    <s v="May"/>
    <x v="4"/>
    <n v="2026"/>
    <s v="Yes"/>
    <n v="1"/>
    <x v="3"/>
    <n v="1"/>
  </r>
  <r>
    <s v="T002973"/>
    <x v="2792"/>
    <d v="2026-05-10T18:30:00"/>
    <x v="6"/>
    <s v="Field Visit"/>
    <x v="0"/>
    <s v="A006"/>
    <x v="0"/>
    <n v="72"/>
    <n v="26.6"/>
    <x v="1"/>
    <s v="No"/>
    <s v="Yes"/>
    <m/>
    <s v="Closed"/>
    <s v="May"/>
    <x v="4"/>
    <n v="2026"/>
    <s v="Yes"/>
    <n v="1"/>
    <x v="4"/>
    <n v="1"/>
  </r>
  <r>
    <s v="T002974"/>
    <x v="2793"/>
    <d v="2026-05-09T23:44:00"/>
    <x v="6"/>
    <s v="Field Visit"/>
    <x v="1"/>
    <s v="A048"/>
    <x v="1"/>
    <n v="24"/>
    <n v="6.9"/>
    <x v="1"/>
    <s v="No"/>
    <s v="No"/>
    <m/>
    <s v="Closed"/>
    <s v="May"/>
    <x v="4"/>
    <n v="2026"/>
    <s v="Yes"/>
    <n v="1"/>
    <x v="3"/>
    <n v="1"/>
  </r>
  <r>
    <s v="T002975"/>
    <x v="2794"/>
    <d v="2026-05-10T20:40:00"/>
    <x v="0"/>
    <s v="Phone"/>
    <x v="2"/>
    <s v="A030"/>
    <x v="2"/>
    <n v="4"/>
    <n v="27.8"/>
    <x v="1"/>
    <s v="No"/>
    <s v="Yes"/>
    <n v="4"/>
    <s v="Closed"/>
    <s v="May"/>
    <x v="4"/>
    <n v="2026"/>
    <s v="No"/>
    <n v="0"/>
    <x v="4"/>
    <n v="1"/>
  </r>
  <r>
    <s v="T002976"/>
    <x v="2795"/>
    <d v="2026-05-10T04:16:00"/>
    <x v="1"/>
    <s v="Phone"/>
    <x v="0"/>
    <s v="A017"/>
    <x v="2"/>
    <n v="72"/>
    <n v="9.6999999999999993"/>
    <x v="0"/>
    <s v="Yes"/>
    <s v="No"/>
    <n v="3"/>
    <s v="Closed"/>
    <s v="May"/>
    <x v="4"/>
    <n v="2026"/>
    <s v="Yes"/>
    <n v="1"/>
    <x v="2"/>
    <n v="0"/>
  </r>
  <r>
    <s v="T002977"/>
    <x v="2796"/>
    <d v="2026-05-10T06:42:00"/>
    <x v="1"/>
    <s v="Phone"/>
    <x v="1"/>
    <s v="A016"/>
    <x v="2"/>
    <n v="24"/>
    <n v="10.199999999999999"/>
    <x v="1"/>
    <s v="No"/>
    <s v="Yes"/>
    <n v="5"/>
    <s v="Closed"/>
    <s v="May"/>
    <x v="4"/>
    <n v="2026"/>
    <s v="Yes"/>
    <n v="1"/>
    <x v="3"/>
    <n v="1"/>
  </r>
  <r>
    <s v="T002978"/>
    <x v="2797"/>
    <d v="2026-05-10T10:28:00"/>
    <x v="0"/>
    <s v="Phone"/>
    <x v="0"/>
    <s v="A018"/>
    <x v="2"/>
    <n v="72"/>
    <n v="6.1"/>
    <x v="1"/>
    <s v="No"/>
    <s v="No"/>
    <n v="5"/>
    <s v="Closed"/>
    <s v="May"/>
    <x v="4"/>
    <n v="2026"/>
    <s v="Yes"/>
    <n v="1"/>
    <x v="4"/>
    <n v="1"/>
  </r>
  <r>
    <s v="T002979"/>
    <x v="2798"/>
    <d v="2026-05-10T12:30:00"/>
    <x v="1"/>
    <s v="Chat"/>
    <x v="0"/>
    <s v="A002"/>
    <x v="0"/>
    <n v="72"/>
    <n v="6.3"/>
    <x v="1"/>
    <s v="No"/>
    <s v="No"/>
    <n v="4"/>
    <s v="Closed"/>
    <s v="May"/>
    <x v="4"/>
    <n v="2026"/>
    <s v="Yes"/>
    <n v="1"/>
    <x v="2"/>
    <n v="1"/>
  </r>
  <r>
    <s v="T002980"/>
    <x v="2799"/>
    <d v="2026-05-11T22:49:00"/>
    <x v="4"/>
    <s v="Phone"/>
    <x v="1"/>
    <s v="A036"/>
    <x v="1"/>
    <n v="24"/>
    <n v="40.5"/>
    <x v="1"/>
    <s v="No"/>
    <s v="No"/>
    <m/>
    <s v="Closed"/>
    <s v="May"/>
    <x v="4"/>
    <n v="2026"/>
    <s v="No"/>
    <n v="0"/>
    <x v="0"/>
    <n v="1"/>
  </r>
  <r>
    <s v="T002981"/>
    <x v="2800"/>
    <d v="2026-05-11T05:08:00"/>
    <x v="3"/>
    <s v="Phone"/>
    <x v="1"/>
    <s v="A017"/>
    <x v="2"/>
    <n v="24"/>
    <n v="20.6"/>
    <x v="1"/>
    <s v="No"/>
    <s v="No"/>
    <n v="5"/>
    <s v="Closed"/>
    <s v="May"/>
    <x v="4"/>
    <n v="2026"/>
    <s v="Yes"/>
    <n v="1"/>
    <x v="3"/>
    <n v="1"/>
  </r>
  <r>
    <s v="T002982"/>
    <x v="2801"/>
    <d v="2026-05-10T15:49:00"/>
    <x v="5"/>
    <s v="Chat"/>
    <x v="1"/>
    <s v="A060"/>
    <x v="1"/>
    <n v="24"/>
    <n v="6.4"/>
    <x v="1"/>
    <s v="No"/>
    <s v="No"/>
    <n v="5"/>
    <s v="Closed"/>
    <s v="May"/>
    <x v="4"/>
    <n v="2026"/>
    <s v="Yes"/>
    <n v="1"/>
    <x v="1"/>
    <n v="1"/>
  </r>
  <r>
    <s v="T002983"/>
    <x v="2802"/>
    <d v="2026-05-11T08:08:00"/>
    <x v="1"/>
    <s v="Email"/>
    <x v="1"/>
    <s v="A013"/>
    <x v="0"/>
    <n v="24"/>
    <n v="21.3"/>
    <x v="1"/>
    <s v="No"/>
    <s v="No"/>
    <n v="4"/>
    <s v="Closed"/>
    <s v="May"/>
    <x v="4"/>
    <n v="2026"/>
    <s v="Yes"/>
    <n v="1"/>
    <x v="0"/>
    <n v="1"/>
  </r>
  <r>
    <s v="T002984"/>
    <x v="2803"/>
    <d v="2026-05-14T01:32:00"/>
    <x v="3"/>
    <s v="Field Visit"/>
    <x v="0"/>
    <s v="A018"/>
    <x v="2"/>
    <n v="72"/>
    <n v="85.8"/>
    <x v="0"/>
    <s v="Yes"/>
    <s v="No"/>
    <m/>
    <s v="Closed"/>
    <s v="May"/>
    <x v="4"/>
    <n v="2026"/>
    <s v="No"/>
    <n v="0"/>
    <x v="4"/>
    <n v="0"/>
  </r>
  <r>
    <s v="T002985"/>
    <x v="2804"/>
    <d v="2026-05-12T03:20:00"/>
    <x v="4"/>
    <s v="Chat"/>
    <x v="0"/>
    <s v="A039"/>
    <x v="1"/>
    <n v="72"/>
    <n v="39"/>
    <x v="0"/>
    <s v="Yes"/>
    <s v="No"/>
    <n v="3"/>
    <s v="Closed"/>
    <s v="May"/>
    <x v="4"/>
    <n v="2026"/>
    <s v="Yes"/>
    <n v="1"/>
    <x v="2"/>
    <n v="0"/>
  </r>
  <r>
    <s v="T002986"/>
    <x v="2805"/>
    <d v="2026-05-16T04:02:00"/>
    <x v="3"/>
    <s v="Field Visit"/>
    <x v="1"/>
    <s v="A009"/>
    <x v="0"/>
    <n v="24"/>
    <n v="133.9"/>
    <x v="0"/>
    <s v="Yes"/>
    <s v="No"/>
    <m/>
    <s v="Closed"/>
    <s v="May"/>
    <x v="4"/>
    <n v="2026"/>
    <s v="No"/>
    <n v="0"/>
    <x v="4"/>
    <n v="0"/>
  </r>
  <r>
    <s v="T002987"/>
    <x v="2806"/>
    <d v="2026-05-10T23:03:00"/>
    <x v="6"/>
    <s v="Phone"/>
    <x v="2"/>
    <s v="A037"/>
    <x v="1"/>
    <n v="4"/>
    <n v="8.6"/>
    <x v="1"/>
    <s v="No"/>
    <s v="Yes"/>
    <n v="4"/>
    <s v="Closed"/>
    <s v="May"/>
    <x v="4"/>
    <n v="2026"/>
    <s v="No"/>
    <n v="0"/>
    <x v="4"/>
    <n v="1"/>
  </r>
  <r>
    <s v="T002988"/>
    <x v="2807"/>
    <d v="2026-05-12T17:25:00"/>
    <x v="6"/>
    <s v="Field Visit"/>
    <x v="1"/>
    <s v="A025"/>
    <x v="2"/>
    <n v="24"/>
    <n v="50.8"/>
    <x v="1"/>
    <s v="No"/>
    <s v="No"/>
    <n v="5"/>
    <s v="Closed"/>
    <s v="May"/>
    <x v="4"/>
    <n v="2026"/>
    <s v="No"/>
    <n v="0"/>
    <x v="4"/>
    <n v="1"/>
  </r>
  <r>
    <s v="T002989"/>
    <x v="2808"/>
    <d v="2026-05-12T02:10:00"/>
    <x v="3"/>
    <s v="Phone"/>
    <x v="1"/>
    <s v="A047"/>
    <x v="1"/>
    <n v="24"/>
    <n v="34.9"/>
    <x v="0"/>
    <s v="Yes"/>
    <s v="No"/>
    <n v="4"/>
    <s v="Closed"/>
    <s v="May"/>
    <x v="4"/>
    <n v="2026"/>
    <s v="No"/>
    <n v="0"/>
    <x v="1"/>
    <n v="0"/>
  </r>
  <r>
    <s v="T002990"/>
    <x v="2809"/>
    <d v="2026-05-13T09:54:00"/>
    <x v="5"/>
    <s v="Field Visit"/>
    <x v="2"/>
    <s v="A043"/>
    <x v="1"/>
    <n v="4"/>
    <n v="64.2"/>
    <x v="1"/>
    <s v="No"/>
    <s v="No"/>
    <n v="4"/>
    <s v="Closed"/>
    <s v="May"/>
    <x v="4"/>
    <n v="2026"/>
    <s v="No"/>
    <n v="0"/>
    <x v="2"/>
    <n v="1"/>
  </r>
  <r>
    <s v="T002991"/>
    <x v="2810"/>
    <d v="2026-05-11T21:21:00"/>
    <x v="0"/>
    <s v="Phone"/>
    <x v="0"/>
    <s v="A030"/>
    <x v="2"/>
    <n v="72"/>
    <n v="24.6"/>
    <x v="1"/>
    <s v="No"/>
    <s v="No"/>
    <n v="4"/>
    <s v="Closed"/>
    <s v="May"/>
    <x v="4"/>
    <n v="2026"/>
    <s v="Yes"/>
    <n v="1"/>
    <x v="3"/>
    <n v="1"/>
  </r>
  <r>
    <s v="T002992"/>
    <x v="2811"/>
    <d v="2026-05-14T14:03:00"/>
    <x v="3"/>
    <s v="Email"/>
    <x v="1"/>
    <s v="A044"/>
    <x v="1"/>
    <n v="24"/>
    <n v="88.1"/>
    <x v="1"/>
    <s v="No"/>
    <s v="No"/>
    <n v="4"/>
    <s v="Closed"/>
    <s v="May"/>
    <x v="4"/>
    <n v="2026"/>
    <s v="No"/>
    <n v="0"/>
    <x v="4"/>
    <n v="1"/>
  </r>
  <r>
    <s v="T002993"/>
    <x v="2812"/>
    <d v="2026-05-11T16:50:00"/>
    <x v="5"/>
    <s v="Phone"/>
    <x v="0"/>
    <s v="A027"/>
    <x v="2"/>
    <n v="72"/>
    <n v="12.6"/>
    <x v="1"/>
    <s v="No"/>
    <s v="No"/>
    <n v="5"/>
    <s v="Closed"/>
    <s v="May"/>
    <x v="4"/>
    <n v="2026"/>
    <s v="Yes"/>
    <n v="1"/>
    <x v="3"/>
    <n v="1"/>
  </r>
  <r>
    <s v="T002994"/>
    <x v="2813"/>
    <d v="2026-05-11T10:16:00"/>
    <x v="1"/>
    <s v="Email"/>
    <x v="0"/>
    <s v="A038"/>
    <x v="1"/>
    <n v="72"/>
    <n v="3.8"/>
    <x v="0"/>
    <s v="Yes"/>
    <s v="No"/>
    <n v="4"/>
    <s v="Closed"/>
    <s v="May"/>
    <x v="4"/>
    <n v="2026"/>
    <s v="Yes"/>
    <n v="1"/>
    <x v="1"/>
    <n v="0"/>
  </r>
  <r>
    <s v="T002995"/>
    <x v="2814"/>
    <d v="2026-05-12T11:25:00"/>
    <x v="2"/>
    <s v="Email"/>
    <x v="1"/>
    <s v="A039"/>
    <x v="1"/>
    <n v="24"/>
    <n v="28.1"/>
    <x v="1"/>
    <s v="No"/>
    <s v="No"/>
    <m/>
    <s v="Closed"/>
    <s v="May"/>
    <x v="4"/>
    <n v="2026"/>
    <s v="No"/>
    <n v="0"/>
    <x v="1"/>
    <n v="1"/>
  </r>
  <r>
    <s v="T002996"/>
    <x v="2815"/>
    <d v="2026-05-11T11:33:00"/>
    <x v="1"/>
    <s v="Phone"/>
    <x v="0"/>
    <s v="A006"/>
    <x v="0"/>
    <n v="72"/>
    <n v="4.0999999999999996"/>
    <x v="0"/>
    <s v="Yes"/>
    <s v="No"/>
    <m/>
    <s v="Closed"/>
    <s v="May"/>
    <x v="4"/>
    <n v="2026"/>
    <s v="Yes"/>
    <n v="1"/>
    <x v="0"/>
    <n v="0"/>
  </r>
  <r>
    <s v="T002997"/>
    <x v="2816"/>
    <d v="2026-05-11T19:53:00"/>
    <x v="6"/>
    <s v="Email"/>
    <x v="2"/>
    <s v="A030"/>
    <x v="2"/>
    <n v="4"/>
    <n v="12"/>
    <x v="0"/>
    <s v="Yes"/>
    <s v="No"/>
    <n v="3"/>
    <s v="Closed"/>
    <s v="May"/>
    <x v="4"/>
    <n v="2026"/>
    <s v="No"/>
    <n v="0"/>
    <x v="2"/>
    <n v="0"/>
  </r>
  <r>
    <s v="T002998"/>
    <x v="2817"/>
    <d v="2026-05-11T18:02:00"/>
    <x v="3"/>
    <s v="Phone"/>
    <x v="1"/>
    <s v="A055"/>
    <x v="1"/>
    <n v="24"/>
    <n v="10.1"/>
    <x v="1"/>
    <s v="No"/>
    <s v="No"/>
    <n v="5"/>
    <s v="Closed"/>
    <s v="May"/>
    <x v="4"/>
    <n v="2026"/>
    <s v="Yes"/>
    <n v="1"/>
    <x v="3"/>
    <n v="1"/>
  </r>
  <r>
    <s v="T002999"/>
    <x v="2818"/>
    <d v="2026-05-11T13:43:00"/>
    <x v="0"/>
    <s v="Chat"/>
    <x v="0"/>
    <s v="A038"/>
    <x v="1"/>
    <n v="72"/>
    <n v="5.5"/>
    <x v="1"/>
    <s v="No"/>
    <s v="No"/>
    <n v="5"/>
    <s v="Closed"/>
    <s v="May"/>
    <x v="4"/>
    <n v="2026"/>
    <s v="Yes"/>
    <n v="1"/>
    <x v="1"/>
    <n v="1"/>
  </r>
  <r>
    <s v="T003000"/>
    <x v="2819"/>
    <d v="2026-05-11T10:33:00"/>
    <x v="1"/>
    <s v="Phone"/>
    <x v="1"/>
    <s v="A043"/>
    <x v="1"/>
    <n v="24"/>
    <n v="1.3"/>
    <x v="1"/>
    <s v="No"/>
    <s v="No"/>
    <n v="4"/>
    <s v="Closed"/>
    <s v="May"/>
    <x v="4"/>
    <n v="2026"/>
    <s v="Yes"/>
    <n v="1"/>
    <x v="0"/>
    <n v="1"/>
  </r>
  <r>
    <s v="T003001"/>
    <x v="2820"/>
    <d v="2026-05-12T08:42:00"/>
    <x v="2"/>
    <s v="Phone"/>
    <x v="0"/>
    <s v="A037"/>
    <x v="1"/>
    <n v="72"/>
    <n v="23.3"/>
    <x v="1"/>
    <s v="No"/>
    <s v="No"/>
    <m/>
    <s v="Closed"/>
    <s v="May"/>
    <x v="4"/>
    <n v="2026"/>
    <s v="Yes"/>
    <n v="1"/>
    <x v="4"/>
    <n v="1"/>
  </r>
  <r>
    <s v="T003002"/>
    <x v="2821"/>
    <d v="2026-05-12T18:10:00"/>
    <x v="0"/>
    <s v="Field Visit"/>
    <x v="1"/>
    <s v="A028"/>
    <x v="2"/>
    <n v="24"/>
    <n v="32"/>
    <x v="1"/>
    <s v="No"/>
    <s v="No"/>
    <m/>
    <s v="Closed"/>
    <s v="May"/>
    <x v="4"/>
    <n v="2026"/>
    <s v="No"/>
    <n v="0"/>
    <x v="1"/>
    <n v="1"/>
  </r>
  <r>
    <s v="T003003"/>
    <x v="2822"/>
    <d v="2026-05-11T15:47:00"/>
    <x v="0"/>
    <s v="Phone"/>
    <x v="1"/>
    <s v="A030"/>
    <x v="2"/>
    <n v="24"/>
    <n v="5.4"/>
    <x v="1"/>
    <s v="No"/>
    <s v="No"/>
    <n v="5"/>
    <s v="Closed"/>
    <s v="May"/>
    <x v="4"/>
    <n v="2026"/>
    <s v="Yes"/>
    <n v="1"/>
    <x v="1"/>
    <n v="1"/>
  </r>
  <r>
    <s v="T003004"/>
    <x v="2823"/>
    <d v="2026-05-11T18:00:00"/>
    <x v="2"/>
    <s v="Phone"/>
    <x v="1"/>
    <s v="A003"/>
    <x v="0"/>
    <n v="24"/>
    <n v="7.6"/>
    <x v="1"/>
    <s v="No"/>
    <s v="No"/>
    <n v="4"/>
    <s v="Closed"/>
    <s v="May"/>
    <x v="4"/>
    <n v="2026"/>
    <s v="Yes"/>
    <n v="1"/>
    <x v="2"/>
    <n v="1"/>
  </r>
  <r>
    <s v="T003005"/>
    <x v="2824"/>
    <d v="2026-05-12T23:03:00"/>
    <x v="5"/>
    <s v="Field Visit"/>
    <x v="0"/>
    <s v="A021"/>
    <x v="2"/>
    <n v="72"/>
    <n v="34.9"/>
    <x v="1"/>
    <s v="No"/>
    <s v="Yes"/>
    <n v="2"/>
    <s v="Closed"/>
    <s v="May"/>
    <x v="4"/>
    <n v="2026"/>
    <s v="Yes"/>
    <n v="1"/>
    <x v="4"/>
    <n v="1"/>
  </r>
  <r>
    <s v="T003006"/>
    <x v="2825"/>
    <d v="2026-05-12T14:34:00"/>
    <x v="0"/>
    <s v="Phone"/>
    <x v="1"/>
    <s v="A005"/>
    <x v="0"/>
    <n v="24"/>
    <n v="24.5"/>
    <x v="1"/>
    <s v="No"/>
    <s v="No"/>
    <m/>
    <s v="Closed"/>
    <s v="May"/>
    <x v="4"/>
    <n v="2026"/>
    <s v="No"/>
    <n v="0"/>
    <x v="1"/>
    <n v="1"/>
  </r>
  <r>
    <s v="T003007"/>
    <x v="2826"/>
    <d v="2026-05-12T05:17:00"/>
    <x v="3"/>
    <s v="Email"/>
    <x v="2"/>
    <s v="A039"/>
    <x v="1"/>
    <n v="4"/>
    <n v="14.3"/>
    <x v="1"/>
    <s v="No"/>
    <s v="Yes"/>
    <m/>
    <s v="Closed"/>
    <s v="May"/>
    <x v="4"/>
    <n v="2026"/>
    <s v="No"/>
    <n v="0"/>
    <x v="1"/>
    <n v="1"/>
  </r>
  <r>
    <s v="T003008"/>
    <x v="2827"/>
    <d v="2026-05-12T06:59:00"/>
    <x v="3"/>
    <s v="Phone"/>
    <x v="0"/>
    <s v="A030"/>
    <x v="2"/>
    <n v="72"/>
    <n v="14.8"/>
    <x v="1"/>
    <s v="No"/>
    <s v="No"/>
    <m/>
    <s v="Closed"/>
    <s v="May"/>
    <x v="4"/>
    <n v="2026"/>
    <s v="Yes"/>
    <n v="1"/>
    <x v="4"/>
    <n v="1"/>
  </r>
  <r>
    <s v="T003009"/>
    <x v="2828"/>
    <d v="2026-05-11T20:56:00"/>
    <x v="1"/>
    <s v="Email"/>
    <x v="0"/>
    <s v="A012"/>
    <x v="0"/>
    <n v="72"/>
    <n v="4.5999999999999996"/>
    <x v="1"/>
    <s v="No"/>
    <s v="No"/>
    <n v="5"/>
    <s v="Closed"/>
    <s v="May"/>
    <x v="4"/>
    <n v="2026"/>
    <s v="Yes"/>
    <n v="1"/>
    <x v="4"/>
    <n v="1"/>
  </r>
  <r>
    <s v="T003010"/>
    <x v="2829"/>
    <d v="2026-05-11T21:18:00"/>
    <x v="6"/>
    <s v="Chat"/>
    <x v="0"/>
    <s v="A055"/>
    <x v="1"/>
    <n v="72"/>
    <n v="4.7"/>
    <x v="1"/>
    <s v="No"/>
    <s v="No"/>
    <n v="5"/>
    <s v="Closed"/>
    <s v="May"/>
    <x v="4"/>
    <n v="2026"/>
    <s v="Yes"/>
    <n v="1"/>
    <x v="1"/>
    <n v="1"/>
  </r>
  <r>
    <s v="T003011"/>
    <x v="2830"/>
    <d v="2026-05-11T00:32:00"/>
    <x v="0"/>
    <s v="Chat"/>
    <x v="0"/>
    <s v="A002"/>
    <x v="0"/>
    <n v="72"/>
    <n v="13.2"/>
    <x v="0"/>
    <s v="Yes"/>
    <s v="No"/>
    <n v="3"/>
    <s v="Closed"/>
    <s v="May"/>
    <x v="4"/>
    <n v="2026"/>
    <s v="Yes"/>
    <n v="1"/>
    <x v="2"/>
    <n v="0"/>
  </r>
  <r>
    <s v="T003012"/>
    <x v="2831"/>
    <d v="2026-05-12T02:02:00"/>
    <x v="2"/>
    <s v="Chat"/>
    <x v="0"/>
    <s v="A001"/>
    <x v="0"/>
    <n v="72"/>
    <n v="7.9"/>
    <x v="0"/>
    <s v="No"/>
    <s v="No"/>
    <m/>
    <s v="Closed"/>
    <s v="May"/>
    <x v="4"/>
    <n v="2026"/>
    <s v="Yes"/>
    <n v="1"/>
    <x v="3"/>
    <n v="0"/>
  </r>
  <r>
    <s v="T003013"/>
    <x v="2832"/>
    <d v="2026-05-15T12:40:00"/>
    <x v="0"/>
    <s v="Email"/>
    <x v="0"/>
    <s v="A059"/>
    <x v="1"/>
    <n v="72"/>
    <n v="90.2"/>
    <x v="1"/>
    <s v="No"/>
    <s v="No"/>
    <n v="3"/>
    <s v="Closed"/>
    <s v="May"/>
    <x v="4"/>
    <n v="2026"/>
    <s v="No"/>
    <n v="0"/>
    <x v="2"/>
    <n v="1"/>
  </r>
  <r>
    <s v="T003014"/>
    <x v="2833"/>
    <d v="2026-05-12T06:50:00"/>
    <x v="2"/>
    <s v="Phone"/>
    <x v="1"/>
    <s v="A015"/>
    <x v="0"/>
    <n v="24"/>
    <n v="12.1"/>
    <x v="1"/>
    <s v="No"/>
    <s v="No"/>
    <n v="4"/>
    <s v="Closed"/>
    <s v="May"/>
    <x v="4"/>
    <n v="2026"/>
    <s v="Yes"/>
    <n v="1"/>
    <x v="1"/>
    <n v="1"/>
  </r>
  <r>
    <s v="T003015"/>
    <x v="2834"/>
    <d v="2026-05-12T06:07:00"/>
    <x v="1"/>
    <s v="Phone"/>
    <x v="1"/>
    <s v="A045"/>
    <x v="1"/>
    <n v="24"/>
    <n v="6"/>
    <x v="1"/>
    <s v="No"/>
    <s v="No"/>
    <n v="5"/>
    <s v="Closed"/>
    <s v="May"/>
    <x v="4"/>
    <n v="2026"/>
    <s v="Yes"/>
    <n v="1"/>
    <x v="4"/>
    <n v="1"/>
  </r>
  <r>
    <s v="T003016"/>
    <x v="2835"/>
    <d v="2026-05-13T07:02:00"/>
    <x v="1"/>
    <s v="Email"/>
    <x v="0"/>
    <s v="A044"/>
    <x v="1"/>
    <n v="72"/>
    <n v="28.3"/>
    <x v="1"/>
    <s v="No"/>
    <s v="No"/>
    <n v="5"/>
    <s v="Closed"/>
    <s v="May"/>
    <x v="4"/>
    <n v="2026"/>
    <s v="Yes"/>
    <n v="1"/>
    <x v="2"/>
    <n v="1"/>
  </r>
  <r>
    <s v="T003017"/>
    <x v="2836"/>
    <d v="2026-05-12T10:05:00"/>
    <x v="6"/>
    <s v="Phone"/>
    <x v="2"/>
    <s v="A020"/>
    <x v="2"/>
    <n v="4"/>
    <n v="5.3"/>
    <x v="1"/>
    <s v="No"/>
    <s v="No"/>
    <n v="3"/>
    <s v="Closed"/>
    <s v="May"/>
    <x v="4"/>
    <n v="2026"/>
    <s v="No"/>
    <n v="0"/>
    <x v="4"/>
    <n v="1"/>
  </r>
  <r>
    <s v="T003018"/>
    <x v="2837"/>
    <d v="2026-05-17T12:29:00"/>
    <x v="0"/>
    <s v="Field Visit"/>
    <x v="2"/>
    <s v="A020"/>
    <x v="2"/>
    <n v="4"/>
    <n v="127.2"/>
    <x v="1"/>
    <s v="No"/>
    <s v="No"/>
    <m/>
    <s v="Closed"/>
    <s v="May"/>
    <x v="4"/>
    <n v="2026"/>
    <s v="No"/>
    <n v="0"/>
    <x v="2"/>
    <n v="1"/>
  </r>
  <r>
    <s v="T003019"/>
    <x v="2838"/>
    <d v="2026-05-12T14:13:00"/>
    <x v="0"/>
    <s v="Field Visit"/>
    <x v="0"/>
    <s v="A041"/>
    <x v="1"/>
    <n v="72"/>
    <n v="7.2"/>
    <x v="1"/>
    <s v="No"/>
    <s v="No"/>
    <m/>
    <s v="Closed"/>
    <s v="May"/>
    <x v="4"/>
    <n v="2026"/>
    <s v="Yes"/>
    <n v="1"/>
    <x v="4"/>
    <n v="1"/>
  </r>
  <r>
    <s v="T003020"/>
    <x v="2839"/>
    <d v="2026-05-13T10:31:00"/>
    <x v="4"/>
    <s v="Chat"/>
    <x v="1"/>
    <s v="A014"/>
    <x v="0"/>
    <n v="24"/>
    <n v="24.8"/>
    <x v="1"/>
    <s v="No"/>
    <s v="No"/>
    <n v="3"/>
    <s v="Closed"/>
    <s v="May"/>
    <x v="4"/>
    <n v="2026"/>
    <s v="No"/>
    <n v="0"/>
    <x v="4"/>
    <n v="1"/>
  </r>
  <r>
    <s v="T003021"/>
    <x v="2840"/>
    <d v="2026-05-13T00:08:00"/>
    <x v="0"/>
    <s v="Phone"/>
    <x v="1"/>
    <s v="A026"/>
    <x v="2"/>
    <n v="24"/>
    <n v="14.2"/>
    <x v="1"/>
    <s v="No"/>
    <s v="No"/>
    <n v="5"/>
    <s v="Closed"/>
    <s v="May"/>
    <x v="4"/>
    <n v="2026"/>
    <s v="Yes"/>
    <n v="1"/>
    <x v="1"/>
    <n v="1"/>
  </r>
  <r>
    <s v="T003022"/>
    <x v="2841"/>
    <d v="2026-05-12T17:19:00"/>
    <x v="0"/>
    <s v="Phone"/>
    <x v="1"/>
    <s v="A050"/>
    <x v="1"/>
    <n v="24"/>
    <n v="7"/>
    <x v="1"/>
    <s v="No"/>
    <s v="No"/>
    <m/>
    <s v="Closed"/>
    <s v="May"/>
    <x v="4"/>
    <n v="2026"/>
    <s v="Yes"/>
    <n v="1"/>
    <x v="3"/>
    <n v="1"/>
  </r>
  <r>
    <s v="T003023"/>
    <x v="2842"/>
    <d v="2026-05-12T18:15:00"/>
    <x v="3"/>
    <s v="Phone"/>
    <x v="1"/>
    <s v="A027"/>
    <x v="2"/>
    <n v="24"/>
    <n v="7.1"/>
    <x v="1"/>
    <s v="No"/>
    <s v="No"/>
    <n v="5"/>
    <s v="Closed"/>
    <s v="May"/>
    <x v="4"/>
    <n v="2026"/>
    <s v="Yes"/>
    <n v="1"/>
    <x v="3"/>
    <n v="1"/>
  </r>
  <r>
    <s v="T003024"/>
    <x v="2843"/>
    <d v="2026-05-12T17:01:00"/>
    <x v="1"/>
    <s v="Phone"/>
    <x v="0"/>
    <s v="A040"/>
    <x v="1"/>
    <n v="72"/>
    <n v="5.5"/>
    <x v="1"/>
    <s v="No"/>
    <s v="No"/>
    <m/>
    <s v="Closed"/>
    <s v="May"/>
    <x v="4"/>
    <n v="2026"/>
    <s v="Yes"/>
    <n v="1"/>
    <x v="4"/>
    <n v="1"/>
  </r>
  <r>
    <s v="T003025"/>
    <x v="2844"/>
    <d v="2026-05-12T17:31:00"/>
    <x v="0"/>
    <s v="Phone"/>
    <x v="2"/>
    <s v="A023"/>
    <x v="2"/>
    <n v="4"/>
    <n v="5.2"/>
    <x v="1"/>
    <s v="No"/>
    <s v="No"/>
    <n v="4"/>
    <s v="Closed"/>
    <s v="May"/>
    <x v="4"/>
    <n v="2026"/>
    <s v="No"/>
    <n v="0"/>
    <x v="3"/>
    <n v="1"/>
  </r>
  <r>
    <s v="T003026"/>
    <x v="2845"/>
    <d v="2026-05-12T18:30:00"/>
    <x v="2"/>
    <s v="Chat"/>
    <x v="1"/>
    <s v="A012"/>
    <x v="0"/>
    <n v="24"/>
    <n v="6"/>
    <x v="1"/>
    <s v="No"/>
    <s v="No"/>
    <n v="5"/>
    <s v="Closed"/>
    <s v="May"/>
    <x v="4"/>
    <n v="2026"/>
    <s v="Yes"/>
    <n v="1"/>
    <x v="1"/>
    <n v="1"/>
  </r>
  <r>
    <s v="T003027"/>
    <x v="2846"/>
    <d v="2026-05-12T16:58:00"/>
    <x v="2"/>
    <s v="Chat"/>
    <x v="0"/>
    <s v="A010"/>
    <x v="0"/>
    <n v="72"/>
    <n v="3.7"/>
    <x v="1"/>
    <s v="No"/>
    <s v="No"/>
    <n v="2"/>
    <s v="Closed"/>
    <s v="May"/>
    <x v="4"/>
    <n v="2026"/>
    <s v="Yes"/>
    <n v="1"/>
    <x v="1"/>
    <n v="1"/>
  </r>
  <r>
    <s v="T003028"/>
    <x v="2847"/>
    <d v="2026-05-12T16:19:00"/>
    <x v="5"/>
    <s v="Phone"/>
    <x v="1"/>
    <s v="A007"/>
    <x v="0"/>
    <n v="24"/>
    <n v="3"/>
    <x v="0"/>
    <s v="No"/>
    <s v="No"/>
    <n v="5"/>
    <s v="Closed"/>
    <s v="May"/>
    <x v="4"/>
    <n v="2026"/>
    <s v="Yes"/>
    <n v="1"/>
    <x v="2"/>
    <n v="0"/>
  </r>
  <r>
    <s v="T003029"/>
    <x v="2848"/>
    <d v="2026-05-12T23:03:00"/>
    <x v="6"/>
    <s v="Phone"/>
    <x v="2"/>
    <s v="A030"/>
    <x v="2"/>
    <n v="4"/>
    <n v="9.5"/>
    <x v="1"/>
    <s v="No"/>
    <s v="No"/>
    <n v="4"/>
    <s v="Closed"/>
    <s v="May"/>
    <x v="4"/>
    <n v="2026"/>
    <s v="No"/>
    <n v="0"/>
    <x v="4"/>
    <n v="1"/>
  </r>
  <r>
    <s v="T003030"/>
    <x v="2849"/>
    <d v="2026-05-13T16:57:00"/>
    <x v="4"/>
    <s v="Chat"/>
    <x v="0"/>
    <s v="A045"/>
    <x v="1"/>
    <n v="72"/>
    <n v="26"/>
    <x v="0"/>
    <s v="No"/>
    <s v="No"/>
    <n v="5"/>
    <s v="Closed"/>
    <s v="May"/>
    <x v="4"/>
    <n v="2026"/>
    <s v="Yes"/>
    <n v="1"/>
    <x v="2"/>
    <n v="0"/>
  </r>
  <r>
    <s v="T003031"/>
    <x v="2850"/>
    <d v="2026-05-18T19:31:00"/>
    <x v="4"/>
    <s v="Field Visit"/>
    <x v="1"/>
    <s v="A014"/>
    <x v="0"/>
    <n v="24"/>
    <n v="148.4"/>
    <x v="0"/>
    <s v="No"/>
    <s v="No"/>
    <m/>
    <s v="Closed"/>
    <s v="May"/>
    <x v="4"/>
    <n v="2026"/>
    <s v="No"/>
    <n v="0"/>
    <x v="3"/>
    <n v="0"/>
  </r>
  <r>
    <s v="T003032"/>
    <x v="2851"/>
    <d v="2026-05-13T00:31:00"/>
    <x v="0"/>
    <s v="Chat"/>
    <x v="0"/>
    <s v="A029"/>
    <x v="2"/>
    <n v="72"/>
    <n v="6.7"/>
    <x v="1"/>
    <s v="No"/>
    <s v="No"/>
    <m/>
    <s v="Closed"/>
    <s v="May"/>
    <x v="4"/>
    <n v="2026"/>
    <s v="Yes"/>
    <n v="1"/>
    <x v="0"/>
    <n v="1"/>
  </r>
  <r>
    <s v="T003033"/>
    <x v="2852"/>
    <d v="2026-05-13T15:22:00"/>
    <x v="3"/>
    <s v="Field Visit"/>
    <x v="1"/>
    <s v="A029"/>
    <x v="2"/>
    <n v="24"/>
    <n v="21.3"/>
    <x v="1"/>
    <s v="No"/>
    <s v="No"/>
    <n v="5"/>
    <s v="Closed"/>
    <s v="May"/>
    <x v="4"/>
    <n v="2026"/>
    <s v="Yes"/>
    <n v="1"/>
    <x v="1"/>
    <n v="1"/>
  </r>
  <r>
    <s v="T003034"/>
    <x v="2853"/>
    <d v="2026-05-13T12:09:00"/>
    <x v="1"/>
    <s v="Chat"/>
    <x v="0"/>
    <s v="A058"/>
    <x v="1"/>
    <n v="72"/>
    <n v="2.6"/>
    <x v="0"/>
    <s v="Yes"/>
    <s v="No"/>
    <n v="2"/>
    <s v="Closed"/>
    <s v="May"/>
    <x v="4"/>
    <n v="2026"/>
    <s v="Yes"/>
    <n v="1"/>
    <x v="1"/>
    <n v="0"/>
  </r>
  <r>
    <s v="T003035"/>
    <x v="2854"/>
    <d v="2026-05-13T14:02:00"/>
    <x v="5"/>
    <s v="Phone"/>
    <x v="1"/>
    <s v="A030"/>
    <x v="2"/>
    <n v="24"/>
    <n v="4.2"/>
    <x v="1"/>
    <s v="No"/>
    <s v="No"/>
    <n v="5"/>
    <s v="Closed"/>
    <s v="May"/>
    <x v="4"/>
    <n v="2026"/>
    <s v="Yes"/>
    <n v="1"/>
    <x v="0"/>
    <n v="1"/>
  </r>
  <r>
    <s v="T003036"/>
    <x v="2855"/>
    <d v="2026-05-14T19:12:00"/>
    <x v="6"/>
    <s v="Field Visit"/>
    <x v="2"/>
    <s v="A013"/>
    <x v="0"/>
    <n v="4"/>
    <n v="31.5"/>
    <x v="1"/>
    <s v="No"/>
    <s v="Yes"/>
    <m/>
    <s v="Closed"/>
    <s v="May"/>
    <x v="4"/>
    <n v="2026"/>
    <s v="No"/>
    <n v="0"/>
    <x v="4"/>
    <n v="1"/>
  </r>
  <r>
    <s v="T003037"/>
    <x v="2856"/>
    <d v="2026-05-13T15:43:00"/>
    <x v="1"/>
    <s v="Phone"/>
    <x v="1"/>
    <s v="A012"/>
    <x v="0"/>
    <n v="24"/>
    <n v="2.6"/>
    <x v="0"/>
    <s v="Yes"/>
    <s v="No"/>
    <m/>
    <s v="Closed"/>
    <s v="May"/>
    <x v="4"/>
    <n v="2026"/>
    <s v="Yes"/>
    <n v="1"/>
    <x v="3"/>
    <n v="0"/>
  </r>
  <r>
    <s v="T003038"/>
    <x v="2857"/>
    <d v="2026-05-13T20:13:00"/>
    <x v="6"/>
    <s v="Phone"/>
    <x v="1"/>
    <s v="A033"/>
    <x v="2"/>
    <n v="24"/>
    <n v="5.2"/>
    <x v="1"/>
    <s v="No"/>
    <s v="No"/>
    <m/>
    <s v="Closed"/>
    <s v="May"/>
    <x v="4"/>
    <n v="2026"/>
    <s v="Yes"/>
    <n v="1"/>
    <x v="3"/>
    <n v="1"/>
  </r>
  <r>
    <s v="T003039"/>
    <x v="2857"/>
    <d v="2026-05-14T07:13:00"/>
    <x v="5"/>
    <s v="Field Visit"/>
    <x v="1"/>
    <s v="A006"/>
    <x v="0"/>
    <n v="24"/>
    <n v="16.2"/>
    <x v="0"/>
    <s v="No"/>
    <s v="No"/>
    <m/>
    <s v="Closed"/>
    <s v="May"/>
    <x v="4"/>
    <n v="2026"/>
    <s v="Yes"/>
    <n v="1"/>
    <x v="2"/>
    <n v="0"/>
  </r>
  <r>
    <s v="T003040"/>
    <x v="2858"/>
    <d v="2026-05-13T20:56:00"/>
    <x v="6"/>
    <s v="Phone"/>
    <x v="1"/>
    <s v="A044"/>
    <x v="1"/>
    <n v="24"/>
    <n v="5.3"/>
    <x v="1"/>
    <s v="No"/>
    <s v="No"/>
    <n v="4"/>
    <s v="Closed"/>
    <s v="May"/>
    <x v="4"/>
    <n v="2026"/>
    <s v="Yes"/>
    <n v="1"/>
    <x v="2"/>
    <n v="1"/>
  </r>
  <r>
    <s v="T003041"/>
    <x v="2859"/>
    <d v="2026-05-13T23:03:00"/>
    <x v="0"/>
    <s v="Phone"/>
    <x v="2"/>
    <s v="A043"/>
    <x v="1"/>
    <n v="4"/>
    <n v="6.5"/>
    <x v="1"/>
    <s v="No"/>
    <s v="No"/>
    <n v="5"/>
    <s v="Closed"/>
    <s v="May"/>
    <x v="4"/>
    <n v="2026"/>
    <s v="No"/>
    <n v="0"/>
    <x v="1"/>
    <n v="1"/>
  </r>
  <r>
    <s v="T003042"/>
    <x v="2860"/>
    <d v="2026-05-14T03:01:00"/>
    <x v="0"/>
    <s v="Chat"/>
    <x v="1"/>
    <s v="A045"/>
    <x v="1"/>
    <n v="24"/>
    <n v="7.7"/>
    <x v="1"/>
    <s v="No"/>
    <s v="No"/>
    <n v="4"/>
    <s v="Closed"/>
    <s v="May"/>
    <x v="4"/>
    <n v="2026"/>
    <s v="Yes"/>
    <n v="1"/>
    <x v="1"/>
    <n v="1"/>
  </r>
  <r>
    <s v="T003043"/>
    <x v="2861"/>
    <d v="2026-05-14T10:16:00"/>
    <x v="1"/>
    <s v="Phone"/>
    <x v="0"/>
    <s v="A042"/>
    <x v="1"/>
    <n v="72"/>
    <n v="7.5"/>
    <x v="1"/>
    <s v="No"/>
    <s v="No"/>
    <n v="5"/>
    <s v="Closed"/>
    <s v="May"/>
    <x v="4"/>
    <n v="2026"/>
    <s v="Yes"/>
    <n v="1"/>
    <x v="1"/>
    <n v="1"/>
  </r>
  <r>
    <s v="T003044"/>
    <x v="2862"/>
    <d v="2026-05-14T15:40:00"/>
    <x v="0"/>
    <s v="Phone"/>
    <x v="1"/>
    <s v="A012"/>
    <x v="0"/>
    <n v="24"/>
    <n v="10.5"/>
    <x v="0"/>
    <s v="Yes"/>
    <s v="No"/>
    <m/>
    <s v="Closed"/>
    <s v="May"/>
    <x v="4"/>
    <n v="2026"/>
    <s v="Yes"/>
    <n v="1"/>
    <x v="1"/>
    <n v="0"/>
  </r>
  <r>
    <s v="T003045"/>
    <x v="2863"/>
    <d v="2026-05-14T13:32:00"/>
    <x v="0"/>
    <s v="Phone"/>
    <x v="0"/>
    <s v="A058"/>
    <x v="1"/>
    <n v="72"/>
    <n v="8.3000000000000007"/>
    <x v="0"/>
    <s v="No"/>
    <s v="No"/>
    <n v="4"/>
    <s v="Closed"/>
    <s v="May"/>
    <x v="4"/>
    <n v="2026"/>
    <s v="Yes"/>
    <n v="1"/>
    <x v="1"/>
    <n v="0"/>
  </r>
  <r>
    <s v="T003046"/>
    <x v="2864"/>
    <d v="2026-05-15T04:34:00"/>
    <x v="2"/>
    <s v="Phone"/>
    <x v="0"/>
    <s v="A038"/>
    <x v="1"/>
    <n v="72"/>
    <n v="19.899999999999999"/>
    <x v="1"/>
    <s v="No"/>
    <s v="No"/>
    <n v="5"/>
    <s v="Closed"/>
    <s v="May"/>
    <x v="4"/>
    <n v="2026"/>
    <s v="Yes"/>
    <n v="1"/>
    <x v="4"/>
    <n v="1"/>
  </r>
  <r>
    <s v="T003047"/>
    <x v="2865"/>
    <d v="2026-05-14T17:42:00"/>
    <x v="1"/>
    <s v="Chat"/>
    <x v="1"/>
    <s v="A022"/>
    <x v="2"/>
    <n v="24"/>
    <n v="7.7"/>
    <x v="0"/>
    <s v="Yes"/>
    <s v="No"/>
    <m/>
    <s v="Closed"/>
    <s v="May"/>
    <x v="4"/>
    <n v="2026"/>
    <s v="Yes"/>
    <n v="1"/>
    <x v="1"/>
    <n v="0"/>
  </r>
  <r>
    <s v="T003048"/>
    <x v="2866"/>
    <d v="2026-05-15T01:39:00"/>
    <x v="2"/>
    <s v="Phone"/>
    <x v="0"/>
    <s v="A011"/>
    <x v="0"/>
    <n v="72"/>
    <n v="15.3"/>
    <x v="0"/>
    <s v="Yes"/>
    <s v="No"/>
    <n v="4"/>
    <s v="Closed"/>
    <s v="May"/>
    <x v="4"/>
    <n v="2026"/>
    <s v="Yes"/>
    <n v="1"/>
    <x v="1"/>
    <n v="0"/>
  </r>
  <r>
    <s v="T003049"/>
    <x v="2867"/>
    <d v="2026-05-14T17:30:00"/>
    <x v="6"/>
    <s v="Chat"/>
    <x v="2"/>
    <s v="A051"/>
    <x v="1"/>
    <n v="4"/>
    <n v="6.6"/>
    <x v="1"/>
    <s v="No"/>
    <s v="Yes"/>
    <m/>
    <s v="Closed"/>
    <s v="May"/>
    <x v="4"/>
    <n v="2026"/>
    <s v="No"/>
    <n v="0"/>
    <x v="0"/>
    <n v="1"/>
  </r>
  <r>
    <s v="T003050"/>
    <x v="2868"/>
    <d v="2026-05-16T04:57:00"/>
    <x v="4"/>
    <s v="Field Visit"/>
    <x v="0"/>
    <s v="A048"/>
    <x v="1"/>
    <n v="72"/>
    <n v="40.9"/>
    <x v="1"/>
    <s v="No"/>
    <s v="No"/>
    <n v="5"/>
    <s v="Closed"/>
    <s v="May"/>
    <x v="4"/>
    <n v="2026"/>
    <s v="Yes"/>
    <n v="1"/>
    <x v="3"/>
    <n v="1"/>
  </r>
  <r>
    <s v="T003051"/>
    <x v="2869"/>
    <d v="2026-05-14T16:15:00"/>
    <x v="5"/>
    <s v="Phone"/>
    <x v="1"/>
    <s v="A025"/>
    <x v="2"/>
    <n v="24"/>
    <n v="4.0999999999999996"/>
    <x v="1"/>
    <s v="No"/>
    <s v="Yes"/>
    <n v="3"/>
    <s v="Closed"/>
    <s v="May"/>
    <x v="4"/>
    <n v="2026"/>
    <s v="Yes"/>
    <n v="1"/>
    <x v="2"/>
    <n v="1"/>
  </r>
  <r>
    <s v="T003052"/>
    <x v="2870"/>
    <d v="2026-05-14T20:32:00"/>
    <x v="6"/>
    <s v="Phone"/>
    <x v="2"/>
    <s v="A011"/>
    <x v="0"/>
    <n v="4"/>
    <n v="8.3000000000000007"/>
    <x v="1"/>
    <s v="No"/>
    <s v="No"/>
    <n v="2"/>
    <s v="Closed"/>
    <s v="May"/>
    <x v="4"/>
    <n v="2026"/>
    <s v="No"/>
    <n v="0"/>
    <x v="0"/>
    <n v="1"/>
  </r>
  <r>
    <s v="T003053"/>
    <x v="2871"/>
    <d v="2026-05-14T17:34:00"/>
    <x v="1"/>
    <s v="Chat"/>
    <x v="1"/>
    <s v="A057"/>
    <x v="1"/>
    <n v="24"/>
    <n v="3.4"/>
    <x v="1"/>
    <s v="No"/>
    <s v="No"/>
    <n v="5"/>
    <s v="Closed"/>
    <s v="May"/>
    <x v="4"/>
    <n v="2026"/>
    <s v="Yes"/>
    <n v="1"/>
    <x v="4"/>
    <n v="1"/>
  </r>
  <r>
    <s v="T003054"/>
    <x v="2872"/>
    <d v="2026-05-15T09:00:00"/>
    <x v="4"/>
    <s v="Phone"/>
    <x v="1"/>
    <s v="A030"/>
    <x v="2"/>
    <n v="24"/>
    <n v="18.8"/>
    <x v="0"/>
    <s v="No"/>
    <s v="No"/>
    <n v="5"/>
    <s v="Closed"/>
    <s v="May"/>
    <x v="4"/>
    <n v="2026"/>
    <s v="Yes"/>
    <n v="1"/>
    <x v="4"/>
    <n v="0"/>
  </r>
  <r>
    <s v="T003055"/>
    <x v="2873"/>
    <d v="2026-05-14T17:16:00"/>
    <x v="0"/>
    <s v="Chat"/>
    <x v="0"/>
    <s v="A030"/>
    <x v="2"/>
    <n v="72"/>
    <n v="2.7"/>
    <x v="1"/>
    <s v="No"/>
    <s v="Yes"/>
    <m/>
    <s v="Closed"/>
    <s v="May"/>
    <x v="4"/>
    <n v="2026"/>
    <s v="Yes"/>
    <n v="1"/>
    <x v="4"/>
    <n v="1"/>
  </r>
  <r>
    <s v="T003056"/>
    <x v="2874"/>
    <d v="2026-05-16T09:17:00"/>
    <x v="2"/>
    <s v="Field Visit"/>
    <x v="0"/>
    <s v="A055"/>
    <x v="1"/>
    <n v="72"/>
    <n v="42.1"/>
    <x v="1"/>
    <s v="No"/>
    <s v="No"/>
    <n v="5"/>
    <s v="Closed"/>
    <s v="May"/>
    <x v="4"/>
    <n v="2026"/>
    <s v="Yes"/>
    <n v="1"/>
    <x v="2"/>
    <n v="1"/>
  </r>
  <r>
    <s v="T003057"/>
    <x v="2875"/>
    <d v="2026-05-14T23:29:00"/>
    <x v="0"/>
    <s v="Chat"/>
    <x v="2"/>
    <s v="A048"/>
    <x v="1"/>
    <n v="4"/>
    <n v="8.1999999999999993"/>
    <x v="1"/>
    <s v="No"/>
    <s v="No"/>
    <n v="2"/>
    <s v="Closed"/>
    <s v="May"/>
    <x v="4"/>
    <n v="2026"/>
    <s v="No"/>
    <n v="0"/>
    <x v="3"/>
    <n v="1"/>
  </r>
  <r>
    <s v="T003058"/>
    <x v="2876"/>
    <d v="2026-05-14T18:33:00"/>
    <x v="6"/>
    <s v="Phone"/>
    <x v="2"/>
    <s v="A031"/>
    <x v="2"/>
    <n v="4"/>
    <n v="3.2"/>
    <x v="0"/>
    <s v="Yes"/>
    <s v="No"/>
    <m/>
    <s v="Closed"/>
    <s v="May"/>
    <x v="4"/>
    <n v="2026"/>
    <s v="Yes"/>
    <n v="1"/>
    <x v="1"/>
    <n v="0"/>
  </r>
  <r>
    <s v="T003059"/>
    <x v="2877"/>
    <d v="2026-05-15T07:02:00"/>
    <x v="6"/>
    <s v="Phone"/>
    <x v="2"/>
    <s v="A040"/>
    <x v="1"/>
    <n v="4"/>
    <n v="15.3"/>
    <x v="1"/>
    <s v="No"/>
    <s v="Yes"/>
    <m/>
    <s v="Closed"/>
    <s v="May"/>
    <x v="4"/>
    <n v="2026"/>
    <s v="No"/>
    <n v="0"/>
    <x v="2"/>
    <n v="1"/>
  </r>
  <r>
    <s v="T003060"/>
    <x v="2878"/>
    <d v="2026-05-14T20:04:00"/>
    <x v="1"/>
    <s v="Chat"/>
    <x v="1"/>
    <s v="A053"/>
    <x v="1"/>
    <n v="24"/>
    <n v="4"/>
    <x v="1"/>
    <s v="No"/>
    <s v="No"/>
    <m/>
    <s v="Closed"/>
    <s v="May"/>
    <x v="4"/>
    <n v="2026"/>
    <s v="Yes"/>
    <n v="1"/>
    <x v="2"/>
    <n v="1"/>
  </r>
  <r>
    <s v="T003061"/>
    <x v="2879"/>
    <d v="2026-05-20T02:56:00"/>
    <x v="4"/>
    <s v="Field Visit"/>
    <x v="2"/>
    <s v="A041"/>
    <x v="1"/>
    <n v="4"/>
    <n v="130.30000000000001"/>
    <x v="1"/>
    <s v="No"/>
    <s v="No"/>
    <m/>
    <s v="Closed"/>
    <s v="May"/>
    <x v="4"/>
    <n v="2026"/>
    <s v="No"/>
    <n v="0"/>
    <x v="4"/>
    <n v="1"/>
  </r>
  <r>
    <s v="T003062"/>
    <x v="2880"/>
    <d v="2026-05-15T02:29:00"/>
    <x v="0"/>
    <s v="Chat"/>
    <x v="2"/>
    <s v="A040"/>
    <x v="1"/>
    <n v="4"/>
    <n v="9.6"/>
    <x v="1"/>
    <s v="No"/>
    <s v="Yes"/>
    <n v="4"/>
    <s v="Closed"/>
    <s v="May"/>
    <x v="4"/>
    <n v="2026"/>
    <s v="No"/>
    <n v="0"/>
    <x v="3"/>
    <n v="1"/>
  </r>
  <r>
    <s v="T003063"/>
    <x v="2881"/>
    <d v="2026-05-15T18:00:00"/>
    <x v="5"/>
    <s v="Field Visit"/>
    <x v="1"/>
    <s v="A028"/>
    <x v="2"/>
    <n v="24"/>
    <n v="25.1"/>
    <x v="1"/>
    <s v="No"/>
    <s v="No"/>
    <m/>
    <s v="Closed"/>
    <s v="May"/>
    <x v="4"/>
    <n v="2026"/>
    <s v="No"/>
    <n v="0"/>
    <x v="4"/>
    <n v="1"/>
  </r>
  <r>
    <s v="T003064"/>
    <x v="2882"/>
    <d v="2026-05-17T15:12:00"/>
    <x v="4"/>
    <s v="Field Visit"/>
    <x v="0"/>
    <s v="A016"/>
    <x v="2"/>
    <n v="72"/>
    <n v="69.8"/>
    <x v="0"/>
    <s v="No"/>
    <s v="No"/>
    <m/>
    <s v="Closed"/>
    <s v="May"/>
    <x v="4"/>
    <n v="2026"/>
    <s v="Yes"/>
    <n v="1"/>
    <x v="4"/>
    <n v="0"/>
  </r>
  <r>
    <s v="T003065"/>
    <x v="2883"/>
    <d v="2026-05-15T09:52:00"/>
    <x v="1"/>
    <s v="Email"/>
    <x v="0"/>
    <s v="A058"/>
    <x v="1"/>
    <n v="72"/>
    <n v="15.8"/>
    <x v="1"/>
    <s v="No"/>
    <s v="No"/>
    <n v="5"/>
    <s v="Closed"/>
    <s v="May"/>
    <x v="4"/>
    <n v="2026"/>
    <s v="Yes"/>
    <n v="1"/>
    <x v="4"/>
    <n v="1"/>
  </r>
  <r>
    <s v="T003066"/>
    <x v="2884"/>
    <d v="2026-05-15T17:26:00"/>
    <x v="0"/>
    <s v="Phone"/>
    <x v="0"/>
    <s v="A010"/>
    <x v="0"/>
    <n v="72"/>
    <n v="22.7"/>
    <x v="1"/>
    <s v="No"/>
    <s v="No"/>
    <m/>
    <s v="Closed"/>
    <s v="May"/>
    <x v="4"/>
    <n v="2026"/>
    <s v="Yes"/>
    <n v="1"/>
    <x v="3"/>
    <n v="1"/>
  </r>
  <r>
    <s v="T003067"/>
    <x v="2885"/>
    <d v="2026-05-17T01:42:00"/>
    <x v="3"/>
    <s v="Field Visit"/>
    <x v="2"/>
    <s v="A011"/>
    <x v="0"/>
    <n v="4"/>
    <n v="54.5"/>
    <x v="1"/>
    <s v="No"/>
    <s v="No"/>
    <m/>
    <s v="Closed"/>
    <s v="May"/>
    <x v="4"/>
    <n v="2026"/>
    <s v="No"/>
    <n v="0"/>
    <x v="0"/>
    <n v="1"/>
  </r>
  <r>
    <s v="T003068"/>
    <x v="2886"/>
    <d v="2026-05-21T12:15:00"/>
    <x v="3"/>
    <s v="Field Visit"/>
    <x v="0"/>
    <s v="A008"/>
    <x v="0"/>
    <n v="72"/>
    <n v="159.30000000000001"/>
    <x v="1"/>
    <s v="No"/>
    <s v="No"/>
    <n v="3"/>
    <s v="Closed"/>
    <s v="May"/>
    <x v="4"/>
    <n v="2026"/>
    <s v="No"/>
    <n v="0"/>
    <x v="2"/>
    <n v="1"/>
  </r>
  <r>
    <s v="T003069"/>
    <x v="2887"/>
    <d v="2026-05-16T15:34:00"/>
    <x v="6"/>
    <s v="Field Visit"/>
    <x v="2"/>
    <s v="A041"/>
    <x v="1"/>
    <n v="4"/>
    <n v="35.799999999999997"/>
    <x v="1"/>
    <s v="No"/>
    <s v="No"/>
    <m/>
    <s v="Closed"/>
    <s v="May"/>
    <x v="4"/>
    <n v="2026"/>
    <s v="No"/>
    <n v="0"/>
    <x v="1"/>
    <n v="1"/>
  </r>
  <r>
    <s v="T003070"/>
    <x v="2888"/>
    <d v="2026-05-19T08:06:00"/>
    <x v="4"/>
    <s v="Field Visit"/>
    <x v="0"/>
    <s v="A035"/>
    <x v="2"/>
    <n v="72"/>
    <n v="97.9"/>
    <x v="1"/>
    <s v="No"/>
    <s v="No"/>
    <n v="5"/>
    <s v="Closed"/>
    <s v="May"/>
    <x v="4"/>
    <n v="2026"/>
    <s v="No"/>
    <n v="0"/>
    <x v="4"/>
    <n v="1"/>
  </r>
  <r>
    <s v="T003071"/>
    <x v="2889"/>
    <d v="2026-05-15T16:52:00"/>
    <x v="1"/>
    <s v="Phone"/>
    <x v="0"/>
    <s v="A034"/>
    <x v="2"/>
    <n v="72"/>
    <n v="8.6999999999999993"/>
    <x v="1"/>
    <s v="No"/>
    <s v="No"/>
    <m/>
    <s v="Closed"/>
    <s v="May"/>
    <x v="4"/>
    <n v="2026"/>
    <s v="Yes"/>
    <n v="1"/>
    <x v="2"/>
    <n v="1"/>
  </r>
  <r>
    <s v="T003072"/>
    <x v="2890"/>
    <d v="2026-05-15T21:07:00"/>
    <x v="5"/>
    <s v="Phone"/>
    <x v="0"/>
    <s v="A043"/>
    <x v="1"/>
    <n v="72"/>
    <n v="11.9"/>
    <x v="1"/>
    <s v="No"/>
    <s v="No"/>
    <m/>
    <s v="Closed"/>
    <s v="May"/>
    <x v="4"/>
    <n v="2026"/>
    <s v="Yes"/>
    <n v="1"/>
    <x v="4"/>
    <n v="1"/>
  </r>
  <r>
    <s v="T003073"/>
    <x v="2891"/>
    <d v="2026-05-15T19:33:00"/>
    <x v="1"/>
    <s v="Phone"/>
    <x v="1"/>
    <s v="A044"/>
    <x v="1"/>
    <n v="24"/>
    <n v="8.6"/>
    <x v="1"/>
    <s v="No"/>
    <s v="No"/>
    <m/>
    <s v="Closed"/>
    <s v="May"/>
    <x v="4"/>
    <n v="2026"/>
    <s v="Yes"/>
    <n v="1"/>
    <x v="4"/>
    <n v="1"/>
  </r>
  <r>
    <s v="T003074"/>
    <x v="2892"/>
    <d v="2026-05-15T13:43:00"/>
    <x v="1"/>
    <s v="Chat"/>
    <x v="1"/>
    <s v="A008"/>
    <x v="0"/>
    <n v="24"/>
    <n v="2.5"/>
    <x v="1"/>
    <s v="No"/>
    <s v="No"/>
    <m/>
    <s v="Closed"/>
    <s v="May"/>
    <x v="4"/>
    <n v="2026"/>
    <s v="Yes"/>
    <n v="1"/>
    <x v="1"/>
    <n v="1"/>
  </r>
  <r>
    <s v="T003075"/>
    <x v="2893"/>
    <d v="2026-05-16T01:33:00"/>
    <x v="0"/>
    <s v="Email"/>
    <x v="1"/>
    <s v="A022"/>
    <x v="2"/>
    <n v="24"/>
    <n v="14.1"/>
    <x v="1"/>
    <s v="No"/>
    <s v="No"/>
    <n v="3"/>
    <s v="Closed"/>
    <s v="May"/>
    <x v="4"/>
    <n v="2026"/>
    <s v="Yes"/>
    <n v="1"/>
    <x v="3"/>
    <n v="1"/>
  </r>
  <r>
    <s v="T003076"/>
    <x v="2894"/>
    <d v="2026-05-15T22:26:00"/>
    <x v="2"/>
    <s v="Phone"/>
    <x v="1"/>
    <s v="A001"/>
    <x v="0"/>
    <n v="24"/>
    <n v="10.9"/>
    <x v="1"/>
    <s v="No"/>
    <s v="No"/>
    <m/>
    <s v="Closed"/>
    <s v="May"/>
    <x v="4"/>
    <n v="2026"/>
    <s v="Yes"/>
    <n v="1"/>
    <x v="4"/>
    <n v="1"/>
  </r>
  <r>
    <s v="T003077"/>
    <x v="2895"/>
    <d v="2026-05-15T17:39:00"/>
    <x v="6"/>
    <s v="Chat"/>
    <x v="1"/>
    <s v="A017"/>
    <x v="2"/>
    <n v="24"/>
    <n v="6.1"/>
    <x v="1"/>
    <s v="No"/>
    <s v="No"/>
    <n v="5"/>
    <s v="Closed"/>
    <s v="May"/>
    <x v="4"/>
    <n v="2026"/>
    <s v="Yes"/>
    <n v="1"/>
    <x v="1"/>
    <n v="1"/>
  </r>
  <r>
    <s v="T003078"/>
    <x v="2896"/>
    <d v="2026-05-15T16:35:00"/>
    <x v="3"/>
    <s v="Phone"/>
    <x v="2"/>
    <s v="A055"/>
    <x v="1"/>
    <n v="4"/>
    <n v="4.9000000000000004"/>
    <x v="0"/>
    <s v="No"/>
    <s v="No"/>
    <n v="4"/>
    <s v="Closed"/>
    <s v="May"/>
    <x v="4"/>
    <n v="2026"/>
    <s v="No"/>
    <n v="0"/>
    <x v="1"/>
    <n v="0"/>
  </r>
  <r>
    <s v="T003079"/>
    <x v="2897"/>
    <d v="2026-05-16T00:21:00"/>
    <x v="3"/>
    <s v="Chat"/>
    <x v="1"/>
    <s v="A053"/>
    <x v="1"/>
    <n v="24"/>
    <n v="12.1"/>
    <x v="1"/>
    <s v="No"/>
    <s v="No"/>
    <n v="5"/>
    <s v="Closed"/>
    <s v="May"/>
    <x v="4"/>
    <n v="2026"/>
    <s v="Yes"/>
    <n v="1"/>
    <x v="3"/>
    <n v="1"/>
  </r>
  <r>
    <s v="T003080"/>
    <x v="2898"/>
    <d v="2026-05-16T05:01:00"/>
    <x v="3"/>
    <s v="Phone"/>
    <x v="1"/>
    <s v="A044"/>
    <x v="1"/>
    <n v="24"/>
    <n v="16.3"/>
    <x v="1"/>
    <s v="No"/>
    <s v="No"/>
    <n v="4"/>
    <s v="Closed"/>
    <s v="May"/>
    <x v="4"/>
    <n v="2026"/>
    <s v="Yes"/>
    <n v="1"/>
    <x v="4"/>
    <n v="1"/>
  </r>
  <r>
    <s v="T003081"/>
    <x v="2899"/>
    <d v="2026-05-15T19:10:00"/>
    <x v="1"/>
    <s v="Chat"/>
    <x v="1"/>
    <s v="A002"/>
    <x v="0"/>
    <n v="24"/>
    <n v="6.4"/>
    <x v="1"/>
    <s v="No"/>
    <s v="No"/>
    <n v="5"/>
    <s v="Closed"/>
    <s v="May"/>
    <x v="4"/>
    <n v="2026"/>
    <s v="Yes"/>
    <n v="1"/>
    <x v="1"/>
    <n v="1"/>
  </r>
  <r>
    <s v="T003082"/>
    <x v="2900"/>
    <d v="2026-05-15T16:44:00"/>
    <x v="1"/>
    <s v="Chat"/>
    <x v="1"/>
    <s v="A052"/>
    <x v="1"/>
    <n v="24"/>
    <n v="3.4"/>
    <x v="1"/>
    <s v="No"/>
    <s v="Yes"/>
    <m/>
    <s v="Closed"/>
    <s v="May"/>
    <x v="4"/>
    <n v="2026"/>
    <s v="Yes"/>
    <n v="1"/>
    <x v="3"/>
    <n v="1"/>
  </r>
  <r>
    <s v="T003083"/>
    <x v="2901"/>
    <d v="2026-05-19T12:42:00"/>
    <x v="4"/>
    <s v="Field Visit"/>
    <x v="2"/>
    <s v="A035"/>
    <x v="2"/>
    <n v="4"/>
    <n v="94.5"/>
    <x v="0"/>
    <s v="No"/>
    <s v="No"/>
    <n v="3"/>
    <s v="Closed"/>
    <s v="May"/>
    <x v="4"/>
    <n v="2026"/>
    <s v="No"/>
    <n v="0"/>
    <x v="1"/>
    <n v="0"/>
  </r>
  <r>
    <s v="T003084"/>
    <x v="2902"/>
    <d v="2026-05-17T23:55:00"/>
    <x v="6"/>
    <s v="Field Visit"/>
    <x v="2"/>
    <s v="A049"/>
    <x v="1"/>
    <n v="4"/>
    <n v="54.2"/>
    <x v="1"/>
    <s v="No"/>
    <s v="No"/>
    <m/>
    <s v="Closed"/>
    <s v="May"/>
    <x v="4"/>
    <n v="2026"/>
    <s v="No"/>
    <n v="0"/>
    <x v="4"/>
    <n v="1"/>
  </r>
  <r>
    <s v="T003085"/>
    <x v="2903"/>
    <d v="2026-05-17T18:33:00"/>
    <x v="0"/>
    <s v="Field Visit"/>
    <x v="1"/>
    <s v="A007"/>
    <x v="0"/>
    <n v="24"/>
    <n v="48.6"/>
    <x v="1"/>
    <s v="No"/>
    <s v="No"/>
    <n v="5"/>
    <s v="Closed"/>
    <s v="May"/>
    <x v="4"/>
    <n v="2026"/>
    <s v="No"/>
    <n v="0"/>
    <x v="0"/>
    <n v="1"/>
  </r>
  <r>
    <s v="T003086"/>
    <x v="2904"/>
    <d v="2026-05-16T20:06:00"/>
    <x v="3"/>
    <s v="Email"/>
    <x v="2"/>
    <s v="A036"/>
    <x v="1"/>
    <n v="4"/>
    <n v="25.5"/>
    <x v="1"/>
    <s v="No"/>
    <s v="No"/>
    <n v="5"/>
    <s v="Closed"/>
    <s v="May"/>
    <x v="4"/>
    <n v="2026"/>
    <s v="No"/>
    <n v="0"/>
    <x v="3"/>
    <n v="1"/>
  </r>
  <r>
    <s v="T003087"/>
    <x v="2905"/>
    <d v="2026-05-16T09:54:00"/>
    <x v="2"/>
    <s v="Phone"/>
    <x v="1"/>
    <s v="A055"/>
    <x v="1"/>
    <n v="24"/>
    <n v="13.4"/>
    <x v="1"/>
    <s v="No"/>
    <s v="No"/>
    <n v="5"/>
    <s v="Closed"/>
    <s v="May"/>
    <x v="4"/>
    <n v="2026"/>
    <s v="Yes"/>
    <n v="1"/>
    <x v="1"/>
    <n v="1"/>
  </r>
  <r>
    <s v="T003088"/>
    <x v="2906"/>
    <d v="2026-05-15T23:07:00"/>
    <x v="0"/>
    <s v="Phone"/>
    <x v="1"/>
    <s v="A046"/>
    <x v="1"/>
    <n v="24"/>
    <n v="2.2999999999999998"/>
    <x v="1"/>
    <s v="No"/>
    <s v="No"/>
    <n v="5"/>
    <s v="Closed"/>
    <s v="May"/>
    <x v="4"/>
    <n v="2026"/>
    <s v="Yes"/>
    <n v="1"/>
    <x v="0"/>
    <n v="1"/>
  </r>
  <r>
    <s v="T003089"/>
    <x v="2907"/>
    <d v="2026-05-17T07:16:00"/>
    <x v="6"/>
    <s v="Phone"/>
    <x v="1"/>
    <s v="A014"/>
    <x v="0"/>
    <n v="24"/>
    <n v="27.5"/>
    <x v="1"/>
    <s v="No"/>
    <s v="No"/>
    <m/>
    <s v="Closed"/>
    <s v="May"/>
    <x v="4"/>
    <n v="2026"/>
    <s v="No"/>
    <n v="0"/>
    <x v="2"/>
    <n v="1"/>
  </r>
  <r>
    <s v="T003090"/>
    <x v="2908"/>
    <d v="2026-05-19T18:11:00"/>
    <x v="3"/>
    <s v="Field Visit"/>
    <x v="2"/>
    <s v="A024"/>
    <x v="2"/>
    <n v="4"/>
    <n v="84.2"/>
    <x v="1"/>
    <s v="No"/>
    <s v="No"/>
    <m/>
    <s v="Closed"/>
    <s v="May"/>
    <x v="4"/>
    <n v="2026"/>
    <s v="No"/>
    <n v="0"/>
    <x v="3"/>
    <n v="1"/>
  </r>
  <r>
    <s v="T003091"/>
    <x v="2909"/>
    <d v="2026-05-16T19:37:00"/>
    <x v="0"/>
    <s v="Chat"/>
    <x v="1"/>
    <s v="A030"/>
    <x v="2"/>
    <n v="24"/>
    <n v="13.4"/>
    <x v="1"/>
    <s v="No"/>
    <s v="No"/>
    <n v="4"/>
    <s v="Closed"/>
    <s v="May"/>
    <x v="4"/>
    <n v="2026"/>
    <s v="Yes"/>
    <n v="1"/>
    <x v="2"/>
    <n v="1"/>
  </r>
  <r>
    <s v="T003092"/>
    <x v="2910"/>
    <d v="2026-05-16T12:38:00"/>
    <x v="1"/>
    <s v="Phone"/>
    <x v="1"/>
    <s v="A029"/>
    <x v="2"/>
    <n v="24"/>
    <n v="5.2"/>
    <x v="1"/>
    <s v="No"/>
    <s v="No"/>
    <n v="5"/>
    <s v="Closed"/>
    <s v="May"/>
    <x v="4"/>
    <n v="2026"/>
    <s v="Yes"/>
    <n v="1"/>
    <x v="4"/>
    <n v="1"/>
  </r>
  <r>
    <s v="T003093"/>
    <x v="2911"/>
    <d v="2026-05-24T14:31:00"/>
    <x v="4"/>
    <s v="Field Visit"/>
    <x v="0"/>
    <s v="A025"/>
    <x v="2"/>
    <n v="72"/>
    <n v="199"/>
    <x v="0"/>
    <s v="Yes"/>
    <s v="No"/>
    <n v="4"/>
    <s v="Closed"/>
    <s v="May"/>
    <x v="4"/>
    <n v="2026"/>
    <s v="No"/>
    <n v="0"/>
    <x v="2"/>
    <n v="0"/>
  </r>
  <r>
    <s v="T003094"/>
    <x v="2912"/>
    <d v="2026-05-21T23:30:00"/>
    <x v="0"/>
    <s v="Email"/>
    <x v="1"/>
    <s v="A009"/>
    <x v="0"/>
    <n v="24"/>
    <n v="135.80000000000001"/>
    <x v="1"/>
    <s v="No"/>
    <s v="No"/>
    <n v="3"/>
    <s v="Closed"/>
    <s v="May"/>
    <x v="4"/>
    <n v="2026"/>
    <s v="No"/>
    <n v="0"/>
    <x v="2"/>
    <n v="1"/>
  </r>
  <r>
    <s v="T003095"/>
    <x v="2913"/>
    <d v="2026-05-19T03:29:00"/>
    <x v="4"/>
    <s v="Phone"/>
    <x v="0"/>
    <s v="A042"/>
    <x v="1"/>
    <n v="72"/>
    <n v="67.5"/>
    <x v="0"/>
    <s v="Yes"/>
    <s v="No"/>
    <n v="4"/>
    <s v="Closed"/>
    <s v="May"/>
    <x v="4"/>
    <n v="2026"/>
    <s v="Yes"/>
    <n v="1"/>
    <x v="1"/>
    <n v="0"/>
  </r>
  <r>
    <s v="T003096"/>
    <x v="2914"/>
    <d v="2026-05-29T21:27:00"/>
    <x v="4"/>
    <s v="Field Visit"/>
    <x v="1"/>
    <s v="A010"/>
    <x v="0"/>
    <n v="24"/>
    <n v="325.3"/>
    <x v="1"/>
    <s v="No"/>
    <s v="No"/>
    <n v="3"/>
    <s v="Closed"/>
    <s v="May"/>
    <x v="4"/>
    <n v="2026"/>
    <s v="No"/>
    <n v="0"/>
    <x v="3"/>
    <n v="1"/>
  </r>
  <r>
    <s v="T003097"/>
    <x v="2915"/>
    <d v="2026-05-17T00:36:00"/>
    <x v="1"/>
    <s v="Phone"/>
    <x v="1"/>
    <s v="A021"/>
    <x v="2"/>
    <n v="24"/>
    <n v="13.9"/>
    <x v="1"/>
    <s v="No"/>
    <s v="No"/>
    <n v="5"/>
    <s v="Closed"/>
    <s v="May"/>
    <x v="4"/>
    <n v="2026"/>
    <s v="Yes"/>
    <n v="1"/>
    <x v="4"/>
    <n v="1"/>
  </r>
  <r>
    <s v="T003098"/>
    <x v="2916"/>
    <d v="2026-05-16T22:15:00"/>
    <x v="0"/>
    <s v="Phone"/>
    <x v="1"/>
    <s v="A043"/>
    <x v="1"/>
    <n v="24"/>
    <n v="11.1"/>
    <x v="0"/>
    <s v="Yes"/>
    <s v="No"/>
    <n v="3"/>
    <s v="Closed"/>
    <s v="May"/>
    <x v="4"/>
    <n v="2026"/>
    <s v="Yes"/>
    <n v="1"/>
    <x v="3"/>
    <n v="0"/>
  </r>
  <r>
    <s v="T003099"/>
    <x v="2917"/>
    <d v="2026-05-17T14:13:00"/>
    <x v="4"/>
    <s v="Phone"/>
    <x v="1"/>
    <s v="A014"/>
    <x v="0"/>
    <n v="24"/>
    <n v="26.9"/>
    <x v="1"/>
    <s v="No"/>
    <s v="Yes"/>
    <n v="4"/>
    <s v="Closed"/>
    <s v="May"/>
    <x v="4"/>
    <n v="2026"/>
    <s v="No"/>
    <n v="0"/>
    <x v="1"/>
    <n v="1"/>
  </r>
  <r>
    <s v="T003100"/>
    <x v="2918"/>
    <d v="2026-05-16T22:48:00"/>
    <x v="0"/>
    <s v="Phone"/>
    <x v="0"/>
    <s v="A042"/>
    <x v="1"/>
    <n v="72"/>
    <n v="9.8000000000000007"/>
    <x v="1"/>
    <s v="No"/>
    <s v="No"/>
    <m/>
    <s v="Closed"/>
    <s v="May"/>
    <x v="4"/>
    <n v="2026"/>
    <s v="Yes"/>
    <n v="1"/>
    <x v="3"/>
    <n v="1"/>
  </r>
  <r>
    <s v="T003101"/>
    <x v="2919"/>
    <d v="2026-05-17T13:50:00"/>
    <x v="6"/>
    <s v="Field Visit"/>
    <x v="0"/>
    <s v="A040"/>
    <x v="1"/>
    <n v="72"/>
    <n v="24.3"/>
    <x v="1"/>
    <s v="No"/>
    <s v="No"/>
    <n v="4"/>
    <s v="Closed"/>
    <s v="May"/>
    <x v="4"/>
    <n v="2026"/>
    <s v="Yes"/>
    <n v="1"/>
    <x v="0"/>
    <n v="1"/>
  </r>
  <r>
    <s v="T003102"/>
    <x v="2920"/>
    <d v="2026-05-20T12:18:00"/>
    <x v="3"/>
    <s v="Email"/>
    <x v="2"/>
    <s v="A015"/>
    <x v="0"/>
    <n v="4"/>
    <n v="94.6"/>
    <x v="1"/>
    <s v="No"/>
    <s v="No"/>
    <n v="4"/>
    <s v="Closed"/>
    <s v="May"/>
    <x v="4"/>
    <n v="2026"/>
    <s v="No"/>
    <n v="0"/>
    <x v="3"/>
    <n v="1"/>
  </r>
  <r>
    <s v="T003103"/>
    <x v="2921"/>
    <d v="2026-05-21T17:14:00"/>
    <x v="4"/>
    <s v="Field Visit"/>
    <x v="1"/>
    <s v="A035"/>
    <x v="2"/>
    <n v="24"/>
    <n v="123.5"/>
    <x v="0"/>
    <s v="No"/>
    <s v="No"/>
    <n v="2"/>
    <s v="Closed"/>
    <s v="May"/>
    <x v="4"/>
    <n v="2026"/>
    <s v="No"/>
    <n v="0"/>
    <x v="4"/>
    <n v="0"/>
  </r>
  <r>
    <s v="T003104"/>
    <x v="2922"/>
    <d v="2026-05-17T19:18:00"/>
    <x v="6"/>
    <s v="Field Visit"/>
    <x v="2"/>
    <s v="A027"/>
    <x v="2"/>
    <n v="4"/>
    <n v="29.4"/>
    <x v="0"/>
    <s v="No"/>
    <s v="No"/>
    <m/>
    <s v="Closed"/>
    <s v="May"/>
    <x v="4"/>
    <n v="2026"/>
    <s v="No"/>
    <n v="0"/>
    <x v="1"/>
    <n v="0"/>
  </r>
  <r>
    <s v="T003105"/>
    <x v="2923"/>
    <d v="2026-05-22T19:50:00"/>
    <x v="4"/>
    <s v="Field Visit"/>
    <x v="0"/>
    <s v="A031"/>
    <x v="2"/>
    <n v="72"/>
    <n v="149.6"/>
    <x v="1"/>
    <s v="No"/>
    <s v="No"/>
    <n v="5"/>
    <s v="Closed"/>
    <s v="May"/>
    <x v="4"/>
    <n v="2026"/>
    <s v="No"/>
    <n v="0"/>
    <x v="4"/>
    <n v="1"/>
  </r>
  <r>
    <s v="T003106"/>
    <x v="2924"/>
    <d v="2026-05-18T06:02:00"/>
    <x v="3"/>
    <s v="Phone"/>
    <x v="1"/>
    <s v="A002"/>
    <x v="0"/>
    <n v="24"/>
    <n v="39.5"/>
    <x v="1"/>
    <s v="No"/>
    <s v="No"/>
    <m/>
    <s v="Closed"/>
    <s v="May"/>
    <x v="4"/>
    <n v="2026"/>
    <s v="No"/>
    <n v="0"/>
    <x v="0"/>
    <n v="1"/>
  </r>
  <r>
    <s v="T003107"/>
    <x v="2925"/>
    <d v="2026-05-17T00:16:00"/>
    <x v="6"/>
    <s v="Phone"/>
    <x v="2"/>
    <s v="A016"/>
    <x v="2"/>
    <n v="4"/>
    <n v="8.9"/>
    <x v="0"/>
    <s v="Yes"/>
    <s v="No"/>
    <n v="3"/>
    <s v="Closed"/>
    <s v="May"/>
    <x v="4"/>
    <n v="2026"/>
    <s v="No"/>
    <n v="0"/>
    <x v="3"/>
    <n v="0"/>
  </r>
  <r>
    <s v="T003108"/>
    <x v="2926"/>
    <d v="2026-05-17T03:21:00"/>
    <x v="1"/>
    <s v="Email"/>
    <x v="0"/>
    <s v="A025"/>
    <x v="2"/>
    <n v="72"/>
    <n v="10.8"/>
    <x v="0"/>
    <s v="Yes"/>
    <s v="No"/>
    <n v="5"/>
    <s v="Closed"/>
    <s v="May"/>
    <x v="4"/>
    <n v="2026"/>
    <s v="Yes"/>
    <n v="1"/>
    <x v="0"/>
    <n v="0"/>
  </r>
  <r>
    <s v="T003109"/>
    <x v="2927"/>
    <d v="2026-05-18T03:27:00"/>
    <x v="6"/>
    <s v="Field Visit"/>
    <x v="1"/>
    <s v="A012"/>
    <x v="0"/>
    <n v="24"/>
    <n v="34.6"/>
    <x v="1"/>
    <s v="No"/>
    <s v="No"/>
    <n v="4"/>
    <s v="Closed"/>
    <s v="May"/>
    <x v="4"/>
    <n v="2026"/>
    <s v="No"/>
    <n v="0"/>
    <x v="1"/>
    <n v="1"/>
  </r>
  <r>
    <s v="T003110"/>
    <x v="2928"/>
    <d v="2026-05-17T03:09:00"/>
    <x v="2"/>
    <s v="Phone"/>
    <x v="2"/>
    <s v="A010"/>
    <x v="0"/>
    <n v="4"/>
    <n v="10.199999999999999"/>
    <x v="1"/>
    <s v="No"/>
    <s v="No"/>
    <n v="5"/>
    <s v="Closed"/>
    <s v="May"/>
    <x v="4"/>
    <n v="2026"/>
    <s v="No"/>
    <n v="0"/>
    <x v="1"/>
    <n v="1"/>
  </r>
  <r>
    <s v="T003111"/>
    <x v="2929"/>
    <d v="2026-05-17T07:53:00"/>
    <x v="3"/>
    <s v="Phone"/>
    <x v="1"/>
    <s v="A031"/>
    <x v="2"/>
    <n v="24"/>
    <n v="14.9"/>
    <x v="1"/>
    <s v="No"/>
    <s v="No"/>
    <n v="4"/>
    <s v="Closed"/>
    <s v="May"/>
    <x v="4"/>
    <n v="2026"/>
    <s v="Yes"/>
    <n v="1"/>
    <x v="1"/>
    <n v="1"/>
  </r>
  <r>
    <s v="T003112"/>
    <x v="2930"/>
    <d v="2026-05-17T17:56:00"/>
    <x v="3"/>
    <s v="Phone"/>
    <x v="1"/>
    <s v="A032"/>
    <x v="2"/>
    <n v="24"/>
    <n v="24.4"/>
    <x v="0"/>
    <s v="No"/>
    <s v="No"/>
    <n v="3"/>
    <s v="Closed"/>
    <s v="May"/>
    <x v="4"/>
    <n v="2026"/>
    <s v="No"/>
    <n v="0"/>
    <x v="4"/>
    <n v="0"/>
  </r>
  <r>
    <s v="T003113"/>
    <x v="2931"/>
    <d v="2026-05-16T22:43:00"/>
    <x v="0"/>
    <s v="Chat"/>
    <x v="1"/>
    <s v="A017"/>
    <x v="2"/>
    <n v="24"/>
    <n v="5.0999999999999996"/>
    <x v="1"/>
    <s v="No"/>
    <s v="No"/>
    <n v="5"/>
    <s v="Closed"/>
    <s v="May"/>
    <x v="4"/>
    <n v="2026"/>
    <s v="Yes"/>
    <n v="1"/>
    <x v="0"/>
    <n v="1"/>
  </r>
  <r>
    <s v="T003114"/>
    <x v="2932"/>
    <d v="2026-05-18T10:14:00"/>
    <x v="0"/>
    <s v="Email"/>
    <x v="2"/>
    <s v="A017"/>
    <x v="2"/>
    <n v="4"/>
    <n v="40.4"/>
    <x v="1"/>
    <s v="No"/>
    <s v="No"/>
    <m/>
    <s v="Closed"/>
    <s v="May"/>
    <x v="4"/>
    <n v="2026"/>
    <s v="No"/>
    <n v="0"/>
    <x v="2"/>
    <n v="1"/>
  </r>
  <r>
    <s v="T003115"/>
    <x v="2933"/>
    <d v="2026-05-17T04:23:00"/>
    <x v="6"/>
    <s v="Phone"/>
    <x v="1"/>
    <s v="A022"/>
    <x v="2"/>
    <n v="24"/>
    <n v="8.8000000000000007"/>
    <x v="1"/>
    <s v="No"/>
    <s v="No"/>
    <m/>
    <s v="Closed"/>
    <s v="May"/>
    <x v="4"/>
    <n v="2026"/>
    <s v="Yes"/>
    <n v="1"/>
    <x v="1"/>
    <n v="1"/>
  </r>
  <r>
    <s v="T003116"/>
    <x v="2934"/>
    <d v="2026-05-18T02:00:00"/>
    <x v="5"/>
    <s v="Field Visit"/>
    <x v="2"/>
    <s v="A055"/>
    <x v="1"/>
    <n v="4"/>
    <n v="20.9"/>
    <x v="1"/>
    <s v="No"/>
    <s v="No"/>
    <n v="4"/>
    <s v="Closed"/>
    <s v="May"/>
    <x v="4"/>
    <n v="2026"/>
    <s v="No"/>
    <n v="0"/>
    <x v="2"/>
    <n v="1"/>
  </r>
  <r>
    <s v="T003117"/>
    <x v="2935"/>
    <d v="2026-05-21T05:43:00"/>
    <x v="4"/>
    <s v="Field Visit"/>
    <x v="2"/>
    <s v="A051"/>
    <x v="1"/>
    <n v="4"/>
    <n v="95.7"/>
    <x v="1"/>
    <s v="No"/>
    <s v="No"/>
    <m/>
    <s v="Closed"/>
    <s v="May"/>
    <x v="4"/>
    <n v="2026"/>
    <s v="No"/>
    <n v="0"/>
    <x v="4"/>
    <n v="1"/>
  </r>
  <r>
    <s v="T003118"/>
    <x v="2936"/>
    <d v="2026-05-25T02:59:00"/>
    <x v="4"/>
    <s v="Field Visit"/>
    <x v="0"/>
    <s v="A032"/>
    <x v="2"/>
    <n v="72"/>
    <n v="188.9"/>
    <x v="1"/>
    <s v="No"/>
    <s v="Yes"/>
    <n v="4"/>
    <s v="Closed"/>
    <s v="May"/>
    <x v="4"/>
    <n v="2026"/>
    <s v="No"/>
    <n v="0"/>
    <x v="4"/>
    <n v="1"/>
  </r>
  <r>
    <s v="T003119"/>
    <x v="2937"/>
    <d v="2026-05-17T21:19:00"/>
    <x v="6"/>
    <s v="Phone"/>
    <x v="2"/>
    <s v="A008"/>
    <x v="0"/>
    <n v="4"/>
    <n v="14.3"/>
    <x v="0"/>
    <s v="Yes"/>
    <s v="No"/>
    <m/>
    <s v="Closed"/>
    <s v="May"/>
    <x v="4"/>
    <n v="2026"/>
    <s v="No"/>
    <n v="0"/>
    <x v="2"/>
    <n v="0"/>
  </r>
  <r>
    <s v="T003120"/>
    <x v="2938"/>
    <d v="2026-05-18T13:54:00"/>
    <x v="3"/>
    <s v="Field Visit"/>
    <x v="1"/>
    <s v="A049"/>
    <x v="1"/>
    <n v="24"/>
    <n v="30.1"/>
    <x v="1"/>
    <s v="No"/>
    <s v="No"/>
    <m/>
    <s v="Closed"/>
    <s v="May"/>
    <x v="4"/>
    <n v="2026"/>
    <s v="No"/>
    <n v="0"/>
    <x v="4"/>
    <n v="1"/>
  </r>
  <r>
    <s v="T003121"/>
    <x v="2939"/>
    <d v="2026-05-17T15:26:00"/>
    <x v="1"/>
    <s v="Email"/>
    <x v="0"/>
    <s v="A041"/>
    <x v="1"/>
    <n v="72"/>
    <n v="7.3"/>
    <x v="1"/>
    <s v="No"/>
    <s v="No"/>
    <n v="5"/>
    <s v="Closed"/>
    <s v="May"/>
    <x v="4"/>
    <n v="2026"/>
    <s v="Yes"/>
    <n v="1"/>
    <x v="0"/>
    <n v="1"/>
  </r>
  <r>
    <s v="T003122"/>
    <x v="2940"/>
    <d v="2026-05-19T16:25:00"/>
    <x v="4"/>
    <s v="Field Visit"/>
    <x v="1"/>
    <s v="A016"/>
    <x v="2"/>
    <n v="24"/>
    <n v="55.5"/>
    <x v="0"/>
    <s v="No"/>
    <s v="No"/>
    <n v="3"/>
    <s v="Closed"/>
    <s v="May"/>
    <x v="4"/>
    <n v="2026"/>
    <s v="No"/>
    <n v="0"/>
    <x v="4"/>
    <n v="0"/>
  </r>
  <r>
    <s v="T003123"/>
    <x v="2941"/>
    <d v="2026-05-18T17:48:00"/>
    <x v="5"/>
    <s v="Field Visit"/>
    <x v="0"/>
    <s v="A029"/>
    <x v="2"/>
    <n v="72"/>
    <n v="31.9"/>
    <x v="1"/>
    <s v="No"/>
    <s v="Yes"/>
    <n v="4"/>
    <s v="Closed"/>
    <s v="May"/>
    <x v="4"/>
    <n v="2026"/>
    <s v="Yes"/>
    <n v="1"/>
    <x v="1"/>
    <n v="1"/>
  </r>
  <r>
    <s v="T003124"/>
    <x v="2942"/>
    <d v="2026-05-19T04:17:00"/>
    <x v="0"/>
    <s v="Chat"/>
    <x v="0"/>
    <s v="A013"/>
    <x v="0"/>
    <n v="72"/>
    <n v="42.1"/>
    <x v="1"/>
    <s v="No"/>
    <s v="No"/>
    <n v="5"/>
    <s v="Closed"/>
    <s v="May"/>
    <x v="4"/>
    <n v="2026"/>
    <s v="Yes"/>
    <n v="1"/>
    <x v="3"/>
    <n v="1"/>
  </r>
  <r>
    <s v="T003125"/>
    <x v="2943"/>
    <d v="2026-05-17T17:35:00"/>
    <x v="3"/>
    <s v="Chat"/>
    <x v="1"/>
    <s v="A029"/>
    <x v="2"/>
    <n v="24"/>
    <n v="6.2"/>
    <x v="1"/>
    <s v="No"/>
    <s v="No"/>
    <m/>
    <s v="Closed"/>
    <s v="May"/>
    <x v="4"/>
    <n v="2026"/>
    <s v="Yes"/>
    <n v="1"/>
    <x v="1"/>
    <n v="1"/>
  </r>
  <r>
    <s v="T003126"/>
    <x v="2944"/>
    <d v="2026-05-19T06:52:00"/>
    <x v="4"/>
    <s v="Field Visit"/>
    <x v="0"/>
    <s v="A022"/>
    <x v="2"/>
    <n v="72"/>
    <n v="42.9"/>
    <x v="1"/>
    <s v="No"/>
    <s v="Yes"/>
    <n v="5"/>
    <s v="Closed"/>
    <s v="May"/>
    <x v="4"/>
    <n v="2026"/>
    <s v="Yes"/>
    <n v="1"/>
    <x v="4"/>
    <n v="1"/>
  </r>
  <r>
    <s v="T003127"/>
    <x v="2945"/>
    <d v="2026-05-17T18:34:00"/>
    <x v="5"/>
    <s v="Chat"/>
    <x v="0"/>
    <s v="A033"/>
    <x v="2"/>
    <n v="72"/>
    <n v="4.7"/>
    <x v="1"/>
    <s v="No"/>
    <s v="No"/>
    <n v="4"/>
    <s v="Closed"/>
    <s v="May"/>
    <x v="4"/>
    <n v="2026"/>
    <s v="Yes"/>
    <n v="1"/>
    <x v="1"/>
    <n v="1"/>
  </r>
  <r>
    <s v="T003128"/>
    <x v="2946"/>
    <d v="2026-05-18T00:17:00"/>
    <x v="1"/>
    <s v="Chat"/>
    <x v="1"/>
    <s v="A049"/>
    <x v="1"/>
    <n v="24"/>
    <n v="9.1999999999999993"/>
    <x v="1"/>
    <s v="No"/>
    <s v="No"/>
    <n v="4"/>
    <s v="Closed"/>
    <s v="May"/>
    <x v="4"/>
    <n v="2026"/>
    <s v="Yes"/>
    <n v="1"/>
    <x v="2"/>
    <n v="1"/>
  </r>
  <r>
    <s v="T003129"/>
    <x v="2947"/>
    <d v="2026-05-18T05:42:00"/>
    <x v="2"/>
    <s v="Phone"/>
    <x v="0"/>
    <s v="A016"/>
    <x v="2"/>
    <n v="72"/>
    <n v="14.6"/>
    <x v="1"/>
    <s v="No"/>
    <s v="No"/>
    <n v="5"/>
    <s v="Closed"/>
    <s v="May"/>
    <x v="4"/>
    <n v="2026"/>
    <s v="Yes"/>
    <n v="1"/>
    <x v="2"/>
    <n v="1"/>
  </r>
  <r>
    <s v="T003130"/>
    <x v="2948"/>
    <d v="2026-05-18T12:43:00"/>
    <x v="2"/>
    <s v="Phone"/>
    <x v="0"/>
    <s v="A014"/>
    <x v="0"/>
    <n v="72"/>
    <n v="19.899999999999999"/>
    <x v="1"/>
    <s v="No"/>
    <s v="No"/>
    <m/>
    <s v="Closed"/>
    <s v="May"/>
    <x v="4"/>
    <n v="2026"/>
    <s v="Yes"/>
    <n v="1"/>
    <x v="0"/>
    <n v="1"/>
  </r>
  <r>
    <s v="T003131"/>
    <x v="2949"/>
    <d v="2026-05-18T02:50:00"/>
    <x v="1"/>
    <s v="Email"/>
    <x v="0"/>
    <s v="A057"/>
    <x v="1"/>
    <n v="72"/>
    <n v="8.4"/>
    <x v="1"/>
    <s v="No"/>
    <s v="No"/>
    <m/>
    <s v="Closed"/>
    <s v="May"/>
    <x v="4"/>
    <n v="2026"/>
    <s v="Yes"/>
    <n v="1"/>
    <x v="3"/>
    <n v="1"/>
  </r>
  <r>
    <s v="T003132"/>
    <x v="2950"/>
    <d v="2026-05-18T20:16:00"/>
    <x v="6"/>
    <s v="Field Visit"/>
    <x v="1"/>
    <s v="A020"/>
    <x v="2"/>
    <n v="24"/>
    <n v="25.5"/>
    <x v="1"/>
    <s v="No"/>
    <s v="No"/>
    <m/>
    <s v="Closed"/>
    <s v="May"/>
    <x v="4"/>
    <n v="2026"/>
    <s v="No"/>
    <n v="0"/>
    <x v="1"/>
    <n v="1"/>
  </r>
  <r>
    <s v="T003133"/>
    <x v="2951"/>
    <d v="2026-05-18T13:32:00"/>
    <x v="5"/>
    <s v="Phone"/>
    <x v="1"/>
    <s v="A028"/>
    <x v="2"/>
    <n v="24"/>
    <n v="18.2"/>
    <x v="1"/>
    <s v="No"/>
    <s v="No"/>
    <n v="4"/>
    <s v="Closed"/>
    <s v="May"/>
    <x v="4"/>
    <n v="2026"/>
    <s v="Yes"/>
    <n v="1"/>
    <x v="3"/>
    <n v="1"/>
  </r>
  <r>
    <s v="T003134"/>
    <x v="2952"/>
    <d v="2026-05-20T22:06:00"/>
    <x v="6"/>
    <s v="Field Visit"/>
    <x v="2"/>
    <s v="A013"/>
    <x v="0"/>
    <n v="4"/>
    <n v="69.3"/>
    <x v="0"/>
    <s v="No"/>
    <s v="No"/>
    <n v="3"/>
    <s v="Closed"/>
    <s v="May"/>
    <x v="4"/>
    <n v="2026"/>
    <s v="No"/>
    <n v="0"/>
    <x v="1"/>
    <n v="0"/>
  </r>
  <r>
    <s v="T003135"/>
    <x v="2953"/>
    <d v="2026-05-20T14:20:00"/>
    <x v="4"/>
    <s v="Field Visit"/>
    <x v="1"/>
    <s v="A050"/>
    <x v="1"/>
    <n v="24"/>
    <n v="59.7"/>
    <x v="1"/>
    <s v="No"/>
    <s v="No"/>
    <n v="5"/>
    <s v="Closed"/>
    <s v="May"/>
    <x v="4"/>
    <n v="2026"/>
    <s v="No"/>
    <n v="0"/>
    <x v="4"/>
    <n v="1"/>
  </r>
  <r>
    <s v="T003136"/>
    <x v="2954"/>
    <d v="2026-05-18T16:47:00"/>
    <x v="5"/>
    <s v="Chat"/>
    <x v="1"/>
    <s v="A011"/>
    <x v="0"/>
    <n v="24"/>
    <n v="11.7"/>
    <x v="1"/>
    <s v="No"/>
    <s v="No"/>
    <n v="4"/>
    <s v="Closed"/>
    <s v="May"/>
    <x v="4"/>
    <n v="2026"/>
    <s v="Yes"/>
    <n v="1"/>
    <x v="3"/>
    <n v="1"/>
  </r>
  <r>
    <s v="T003137"/>
    <x v="2955"/>
    <d v="2026-05-18T16:50:00"/>
    <x v="1"/>
    <s v="Phone"/>
    <x v="0"/>
    <s v="A021"/>
    <x v="2"/>
    <n v="72"/>
    <n v="9.1"/>
    <x v="0"/>
    <s v="No"/>
    <s v="No"/>
    <m/>
    <s v="Closed"/>
    <s v="May"/>
    <x v="4"/>
    <n v="2026"/>
    <s v="Yes"/>
    <n v="1"/>
    <x v="1"/>
    <n v="0"/>
  </r>
  <r>
    <s v="T003138"/>
    <x v="2956"/>
    <d v="2026-05-19T22:28:00"/>
    <x v="4"/>
    <s v="Phone"/>
    <x v="0"/>
    <s v="A038"/>
    <x v="1"/>
    <n v="72"/>
    <n v="37.9"/>
    <x v="0"/>
    <s v="Yes"/>
    <s v="No"/>
    <n v="2"/>
    <s v="Closed"/>
    <s v="May"/>
    <x v="4"/>
    <n v="2026"/>
    <s v="Yes"/>
    <n v="1"/>
    <x v="2"/>
    <n v="0"/>
  </r>
  <r>
    <s v="T003140"/>
    <x v="2957"/>
    <d v="2026-05-18T23:03:00"/>
    <x v="3"/>
    <s v="Phone"/>
    <x v="1"/>
    <s v="A039"/>
    <x v="1"/>
    <n v="24"/>
    <n v="12.6"/>
    <x v="1"/>
    <s v="No"/>
    <s v="No"/>
    <m/>
    <s v="Closed"/>
    <s v="May"/>
    <x v="4"/>
    <n v="2026"/>
    <s v="Yes"/>
    <n v="1"/>
    <x v="3"/>
    <n v="1"/>
  </r>
  <r>
    <s v="T003139"/>
    <x v="2957"/>
    <d v="2026-05-27T00:33:00"/>
    <x v="4"/>
    <s v="Field Visit"/>
    <x v="1"/>
    <s v="A008"/>
    <x v="0"/>
    <n v="24"/>
    <n v="206.1"/>
    <x v="1"/>
    <s v="No"/>
    <s v="No"/>
    <m/>
    <s v="Closed"/>
    <s v="May"/>
    <x v="4"/>
    <n v="2026"/>
    <s v="No"/>
    <n v="0"/>
    <x v="0"/>
    <n v="1"/>
  </r>
  <r>
    <s v="T003141"/>
    <x v="2958"/>
    <d v="2026-05-19T02:20:00"/>
    <x v="6"/>
    <s v="Phone"/>
    <x v="2"/>
    <s v="A025"/>
    <x v="2"/>
    <n v="4"/>
    <n v="15.5"/>
    <x v="1"/>
    <s v="No"/>
    <s v="Yes"/>
    <n v="4"/>
    <s v="Closed"/>
    <s v="May"/>
    <x v="4"/>
    <n v="2026"/>
    <s v="No"/>
    <n v="0"/>
    <x v="1"/>
    <n v="1"/>
  </r>
  <r>
    <s v="T003142"/>
    <x v="2959"/>
    <d v="2026-05-18T15:34:00"/>
    <x v="6"/>
    <s v="Phone"/>
    <x v="2"/>
    <s v="A034"/>
    <x v="2"/>
    <n v="4"/>
    <n v="4.5999999999999996"/>
    <x v="0"/>
    <s v="No"/>
    <s v="Yes"/>
    <n v="4"/>
    <s v="Closed"/>
    <s v="May"/>
    <x v="4"/>
    <n v="2026"/>
    <s v="No"/>
    <n v="0"/>
    <x v="2"/>
    <n v="0"/>
  </r>
  <r>
    <s v="T003143"/>
    <x v="2960"/>
    <d v="2026-05-18T17:31:00"/>
    <x v="3"/>
    <s v="Phone"/>
    <x v="1"/>
    <s v="A019"/>
    <x v="2"/>
    <n v="24"/>
    <n v="6.3"/>
    <x v="0"/>
    <s v="Yes"/>
    <s v="No"/>
    <m/>
    <s v="Closed"/>
    <s v="May"/>
    <x v="4"/>
    <n v="2026"/>
    <s v="Yes"/>
    <n v="1"/>
    <x v="3"/>
    <n v="0"/>
  </r>
  <r>
    <s v="T003144"/>
    <x v="2961"/>
    <d v="2026-05-18T15:04:00"/>
    <x v="0"/>
    <s v="Chat"/>
    <x v="1"/>
    <s v="A041"/>
    <x v="1"/>
    <n v="24"/>
    <n v="3.7"/>
    <x v="1"/>
    <s v="No"/>
    <s v="No"/>
    <n v="4"/>
    <s v="Closed"/>
    <s v="May"/>
    <x v="4"/>
    <n v="2026"/>
    <s v="Yes"/>
    <n v="1"/>
    <x v="4"/>
    <n v="1"/>
  </r>
  <r>
    <s v="T003145"/>
    <x v="2962"/>
    <d v="2026-05-18T16:18:00"/>
    <x v="3"/>
    <s v="Chat"/>
    <x v="1"/>
    <s v="A049"/>
    <x v="1"/>
    <n v="24"/>
    <n v="4.5"/>
    <x v="1"/>
    <s v="No"/>
    <s v="No"/>
    <n v="5"/>
    <s v="Closed"/>
    <s v="May"/>
    <x v="4"/>
    <n v="2026"/>
    <s v="Yes"/>
    <n v="1"/>
    <x v="0"/>
    <n v="1"/>
  </r>
  <r>
    <s v="T003146"/>
    <x v="2963"/>
    <d v="2026-05-19T07:09:00"/>
    <x v="5"/>
    <s v="Email"/>
    <x v="1"/>
    <s v="A008"/>
    <x v="0"/>
    <n v="24"/>
    <n v="18.399999999999999"/>
    <x v="1"/>
    <s v="No"/>
    <s v="No"/>
    <n v="5"/>
    <s v="Closed"/>
    <s v="May"/>
    <x v="4"/>
    <n v="2026"/>
    <s v="Yes"/>
    <n v="1"/>
    <x v="1"/>
    <n v="1"/>
  </r>
  <r>
    <s v="T003147"/>
    <x v="2964"/>
    <d v="2026-05-20T05:18:00"/>
    <x v="4"/>
    <s v="Chat"/>
    <x v="1"/>
    <s v="A036"/>
    <x v="1"/>
    <n v="24"/>
    <n v="39.299999999999997"/>
    <x v="1"/>
    <s v="No"/>
    <s v="No"/>
    <m/>
    <s v="Closed"/>
    <s v="May"/>
    <x v="4"/>
    <n v="2026"/>
    <s v="No"/>
    <n v="0"/>
    <x v="4"/>
    <n v="1"/>
  </r>
  <r>
    <s v="T003148"/>
    <x v="2965"/>
    <d v="2026-05-18T19:28:00"/>
    <x v="6"/>
    <s v="Chat"/>
    <x v="2"/>
    <s v="A041"/>
    <x v="1"/>
    <n v="4"/>
    <n v="5.2"/>
    <x v="0"/>
    <s v="Yes"/>
    <s v="No"/>
    <m/>
    <s v="Closed"/>
    <s v="May"/>
    <x v="4"/>
    <n v="2026"/>
    <s v="No"/>
    <n v="0"/>
    <x v="4"/>
    <n v="0"/>
  </r>
  <r>
    <s v="T003149"/>
    <x v="2966"/>
    <d v="2026-05-19T08:23:00"/>
    <x v="5"/>
    <s v="Chat"/>
    <x v="1"/>
    <s v="A009"/>
    <x v="0"/>
    <n v="24"/>
    <n v="17"/>
    <x v="0"/>
    <s v="Yes"/>
    <s v="No"/>
    <n v="3"/>
    <s v="Closed"/>
    <s v="May"/>
    <x v="4"/>
    <n v="2026"/>
    <s v="Yes"/>
    <n v="1"/>
    <x v="2"/>
    <n v="0"/>
  </r>
  <r>
    <s v="T003150"/>
    <x v="2967"/>
    <d v="2026-05-19T00:25:00"/>
    <x v="0"/>
    <s v="Chat"/>
    <x v="0"/>
    <s v="A017"/>
    <x v="2"/>
    <n v="72"/>
    <n v="7.3"/>
    <x v="1"/>
    <s v="No"/>
    <s v="No"/>
    <n v="5"/>
    <s v="Closed"/>
    <s v="May"/>
    <x v="4"/>
    <n v="2026"/>
    <s v="Yes"/>
    <n v="1"/>
    <x v="2"/>
    <n v="1"/>
  </r>
  <r>
    <s v="T003151"/>
    <x v="2968"/>
    <d v="2026-05-19T13:57:00"/>
    <x v="2"/>
    <s v="Phone"/>
    <x v="2"/>
    <s v="A030"/>
    <x v="2"/>
    <n v="4"/>
    <n v="20.8"/>
    <x v="0"/>
    <s v="Yes"/>
    <s v="No"/>
    <m/>
    <s v="Closed"/>
    <s v="May"/>
    <x v="4"/>
    <n v="2026"/>
    <s v="No"/>
    <n v="0"/>
    <x v="4"/>
    <n v="0"/>
  </r>
  <r>
    <s v="T003152"/>
    <x v="2969"/>
    <d v="2026-05-18T23:36:00"/>
    <x v="1"/>
    <s v="Chat"/>
    <x v="0"/>
    <s v="A051"/>
    <x v="1"/>
    <n v="72"/>
    <n v="5.9"/>
    <x v="0"/>
    <s v="No"/>
    <s v="No"/>
    <m/>
    <s v="Closed"/>
    <s v="May"/>
    <x v="4"/>
    <n v="2026"/>
    <s v="Yes"/>
    <n v="1"/>
    <x v="4"/>
    <n v="0"/>
  </r>
  <r>
    <s v="T003153"/>
    <x v="2970"/>
    <d v="2026-05-18T21:20:00"/>
    <x v="2"/>
    <s v="Chat"/>
    <x v="1"/>
    <s v="A056"/>
    <x v="1"/>
    <n v="24"/>
    <n v="3.5"/>
    <x v="0"/>
    <s v="Yes"/>
    <s v="No"/>
    <m/>
    <s v="Closed"/>
    <s v="May"/>
    <x v="4"/>
    <n v="2026"/>
    <s v="Yes"/>
    <n v="1"/>
    <x v="0"/>
    <n v="0"/>
  </r>
  <r>
    <s v="T003154"/>
    <x v="2971"/>
    <d v="2026-05-20T01:02:00"/>
    <x v="0"/>
    <s v="Email"/>
    <x v="2"/>
    <s v="A021"/>
    <x v="2"/>
    <n v="4"/>
    <n v="30.7"/>
    <x v="1"/>
    <s v="No"/>
    <s v="No"/>
    <n v="4"/>
    <s v="Closed"/>
    <s v="May"/>
    <x v="4"/>
    <n v="2026"/>
    <s v="No"/>
    <n v="0"/>
    <x v="3"/>
    <n v="1"/>
  </r>
  <r>
    <s v="T003155"/>
    <x v="2972"/>
    <d v="2026-05-22T01:40:00"/>
    <x v="0"/>
    <s v="Field Visit"/>
    <x v="1"/>
    <s v="A042"/>
    <x v="1"/>
    <n v="24"/>
    <n v="79"/>
    <x v="1"/>
    <s v="No"/>
    <s v="No"/>
    <n v="2"/>
    <s v="Closed"/>
    <s v="May"/>
    <x v="4"/>
    <n v="2026"/>
    <s v="No"/>
    <n v="0"/>
    <x v="2"/>
    <n v="1"/>
  </r>
  <r>
    <s v="T003156"/>
    <x v="2973"/>
    <d v="2026-05-19T21:37:00"/>
    <x v="3"/>
    <s v="Phone"/>
    <x v="1"/>
    <s v="A039"/>
    <x v="1"/>
    <n v="24"/>
    <n v="14.5"/>
    <x v="1"/>
    <s v="No"/>
    <s v="No"/>
    <n v="5"/>
    <s v="Closed"/>
    <s v="May"/>
    <x v="4"/>
    <n v="2026"/>
    <s v="Yes"/>
    <n v="1"/>
    <x v="1"/>
    <n v="1"/>
  </r>
  <r>
    <s v="T003157"/>
    <x v="2974"/>
    <d v="2026-05-20T23:35:00"/>
    <x v="4"/>
    <s v="Chat"/>
    <x v="1"/>
    <s v="A056"/>
    <x v="1"/>
    <n v="24"/>
    <n v="40.4"/>
    <x v="1"/>
    <s v="No"/>
    <s v="No"/>
    <m/>
    <s v="Closed"/>
    <s v="May"/>
    <x v="4"/>
    <n v="2026"/>
    <s v="No"/>
    <n v="0"/>
    <x v="1"/>
    <n v="1"/>
  </r>
  <r>
    <s v="T003158"/>
    <x v="2975"/>
    <d v="2026-05-19T23:00:00"/>
    <x v="2"/>
    <s v="Field Visit"/>
    <x v="0"/>
    <s v="A018"/>
    <x v="2"/>
    <n v="72"/>
    <n v="15.1"/>
    <x v="0"/>
    <s v="Yes"/>
    <s v="No"/>
    <m/>
    <s v="Closed"/>
    <s v="May"/>
    <x v="4"/>
    <n v="2026"/>
    <s v="Yes"/>
    <n v="1"/>
    <x v="4"/>
    <n v="0"/>
  </r>
  <r>
    <s v="T003159"/>
    <x v="2976"/>
    <d v="2026-05-19T17:12:00"/>
    <x v="3"/>
    <s v="Chat"/>
    <x v="1"/>
    <s v="A014"/>
    <x v="0"/>
    <n v="24"/>
    <n v="8"/>
    <x v="1"/>
    <s v="No"/>
    <s v="No"/>
    <n v="5"/>
    <s v="Closed"/>
    <s v="May"/>
    <x v="4"/>
    <n v="2026"/>
    <s v="Yes"/>
    <n v="1"/>
    <x v="3"/>
    <n v="1"/>
  </r>
  <r>
    <s v="T003160"/>
    <x v="2977"/>
    <d v="2026-05-19T18:09:00"/>
    <x v="0"/>
    <s v="Chat"/>
    <x v="1"/>
    <s v="A036"/>
    <x v="1"/>
    <n v="24"/>
    <n v="8.6"/>
    <x v="1"/>
    <s v="No"/>
    <s v="No"/>
    <m/>
    <s v="Closed"/>
    <s v="May"/>
    <x v="4"/>
    <n v="2026"/>
    <s v="Yes"/>
    <n v="1"/>
    <x v="3"/>
    <n v="1"/>
  </r>
  <r>
    <s v="T003161"/>
    <x v="2978"/>
    <d v="2026-05-21T10:10:00"/>
    <x v="4"/>
    <s v="Email"/>
    <x v="0"/>
    <s v="A039"/>
    <x v="1"/>
    <n v="72"/>
    <n v="48.3"/>
    <x v="1"/>
    <s v="No"/>
    <s v="No"/>
    <n v="5"/>
    <s v="Closed"/>
    <s v="May"/>
    <x v="4"/>
    <n v="2026"/>
    <s v="Yes"/>
    <n v="1"/>
    <x v="1"/>
    <n v="1"/>
  </r>
  <r>
    <s v="T003162"/>
    <x v="2979"/>
    <d v="2026-05-20T17:39:00"/>
    <x v="0"/>
    <s v="Field Visit"/>
    <x v="0"/>
    <s v="A032"/>
    <x v="2"/>
    <n v="72"/>
    <n v="31.7"/>
    <x v="1"/>
    <s v="No"/>
    <s v="No"/>
    <n v="5"/>
    <s v="Closed"/>
    <s v="May"/>
    <x v="4"/>
    <n v="2026"/>
    <s v="Yes"/>
    <n v="1"/>
    <x v="4"/>
    <n v="1"/>
  </r>
  <r>
    <s v="T003163"/>
    <x v="2980"/>
    <d v="2026-05-20T03:26:00"/>
    <x v="5"/>
    <s v="Email"/>
    <x v="0"/>
    <s v="A048"/>
    <x v="1"/>
    <n v="72"/>
    <n v="17.399999999999999"/>
    <x v="0"/>
    <s v="No"/>
    <s v="No"/>
    <m/>
    <s v="Closed"/>
    <s v="May"/>
    <x v="4"/>
    <n v="2026"/>
    <s v="Yes"/>
    <n v="1"/>
    <x v="4"/>
    <n v="0"/>
  </r>
  <r>
    <s v="T003164"/>
    <x v="2981"/>
    <d v="2026-05-24T08:56:00"/>
    <x v="4"/>
    <s v="Field Visit"/>
    <x v="1"/>
    <s v="A039"/>
    <x v="1"/>
    <n v="24"/>
    <n v="118.3"/>
    <x v="0"/>
    <s v="No"/>
    <s v="No"/>
    <n v="4"/>
    <s v="Closed"/>
    <s v="May"/>
    <x v="4"/>
    <n v="2026"/>
    <s v="No"/>
    <n v="0"/>
    <x v="2"/>
    <n v="0"/>
  </r>
  <r>
    <s v="T003165"/>
    <x v="2982"/>
    <d v="2026-05-21T05:32:00"/>
    <x v="3"/>
    <s v="Field Visit"/>
    <x v="0"/>
    <s v="A009"/>
    <x v="0"/>
    <n v="72"/>
    <n v="42.1"/>
    <x v="1"/>
    <s v="No"/>
    <s v="No"/>
    <m/>
    <s v="Closed"/>
    <s v="May"/>
    <x v="4"/>
    <n v="2026"/>
    <s v="Yes"/>
    <n v="1"/>
    <x v="1"/>
    <n v="1"/>
  </r>
  <r>
    <s v="T003166"/>
    <x v="2983"/>
    <d v="2026-05-19T20:07:00"/>
    <x v="1"/>
    <s v="Phone"/>
    <x v="0"/>
    <s v="A022"/>
    <x v="2"/>
    <n v="72"/>
    <n v="8.5"/>
    <x v="1"/>
    <s v="No"/>
    <s v="No"/>
    <m/>
    <s v="Closed"/>
    <s v="May"/>
    <x v="4"/>
    <n v="2026"/>
    <s v="Yes"/>
    <n v="1"/>
    <x v="2"/>
    <n v="1"/>
  </r>
  <r>
    <s v="T003167"/>
    <x v="2984"/>
    <d v="2026-05-19T17:41:00"/>
    <x v="0"/>
    <s v="Phone"/>
    <x v="0"/>
    <s v="A021"/>
    <x v="2"/>
    <n v="72"/>
    <n v="5.9"/>
    <x v="1"/>
    <s v="No"/>
    <s v="No"/>
    <m/>
    <s v="Closed"/>
    <s v="May"/>
    <x v="4"/>
    <n v="2026"/>
    <s v="Yes"/>
    <n v="1"/>
    <x v="3"/>
    <n v="1"/>
  </r>
  <r>
    <s v="T003168"/>
    <x v="2985"/>
    <d v="2026-05-20T03:26:00"/>
    <x v="2"/>
    <s v="Phone"/>
    <x v="0"/>
    <s v="A013"/>
    <x v="0"/>
    <n v="72"/>
    <n v="14.7"/>
    <x v="0"/>
    <s v="No"/>
    <s v="No"/>
    <n v="3"/>
    <s v="Closed"/>
    <s v="May"/>
    <x v="4"/>
    <n v="2026"/>
    <s v="Yes"/>
    <n v="1"/>
    <x v="2"/>
    <n v="0"/>
  </r>
  <r>
    <s v="T003169"/>
    <x v="2986"/>
    <d v="2026-05-24T20:37:00"/>
    <x v="4"/>
    <s v="Field Visit"/>
    <x v="2"/>
    <s v="A005"/>
    <x v="0"/>
    <n v="4"/>
    <n v="127.6"/>
    <x v="1"/>
    <s v="No"/>
    <s v="No"/>
    <n v="3"/>
    <s v="Closed"/>
    <s v="May"/>
    <x v="4"/>
    <n v="2026"/>
    <s v="No"/>
    <n v="0"/>
    <x v="4"/>
    <n v="1"/>
  </r>
  <r>
    <s v="T003170"/>
    <x v="2987"/>
    <d v="2026-05-20T04:58:00"/>
    <x v="5"/>
    <s v="Phone"/>
    <x v="1"/>
    <s v="A046"/>
    <x v="1"/>
    <n v="24"/>
    <n v="15"/>
    <x v="1"/>
    <s v="No"/>
    <s v="No"/>
    <m/>
    <s v="Closed"/>
    <s v="May"/>
    <x v="4"/>
    <n v="2026"/>
    <s v="Yes"/>
    <n v="1"/>
    <x v="2"/>
    <n v="1"/>
  </r>
  <r>
    <s v="T003171"/>
    <x v="2988"/>
    <d v="2026-05-28T06:46:00"/>
    <x v="4"/>
    <s v="Field Visit"/>
    <x v="1"/>
    <s v="A022"/>
    <x v="2"/>
    <n v="24"/>
    <n v="208.6"/>
    <x v="1"/>
    <s v="No"/>
    <s v="No"/>
    <n v="4"/>
    <s v="Closed"/>
    <s v="May"/>
    <x v="4"/>
    <n v="2026"/>
    <s v="No"/>
    <n v="0"/>
    <x v="0"/>
    <n v="1"/>
  </r>
  <r>
    <s v="T003172"/>
    <x v="2989"/>
    <d v="2026-05-19T23:57:00"/>
    <x v="3"/>
    <s v="Phone"/>
    <x v="2"/>
    <s v="A042"/>
    <x v="1"/>
    <n v="4"/>
    <n v="9.5"/>
    <x v="0"/>
    <s v="Yes"/>
    <s v="No"/>
    <n v="4"/>
    <s v="Closed"/>
    <s v="May"/>
    <x v="4"/>
    <n v="2026"/>
    <s v="No"/>
    <n v="0"/>
    <x v="1"/>
    <n v="0"/>
  </r>
  <r>
    <s v="T003173"/>
    <x v="2990"/>
    <d v="2026-05-20T06:40:00"/>
    <x v="6"/>
    <s v="Phone"/>
    <x v="2"/>
    <s v="A002"/>
    <x v="0"/>
    <n v="4"/>
    <n v="15.4"/>
    <x v="0"/>
    <s v="No"/>
    <s v="No"/>
    <n v="3"/>
    <s v="Closed"/>
    <s v="May"/>
    <x v="4"/>
    <n v="2026"/>
    <s v="No"/>
    <n v="0"/>
    <x v="2"/>
    <n v="0"/>
  </r>
  <r>
    <s v="T003174"/>
    <x v="2991"/>
    <d v="2026-05-19T19:55:00"/>
    <x v="0"/>
    <s v="Chat"/>
    <x v="0"/>
    <s v="A049"/>
    <x v="1"/>
    <n v="72"/>
    <n v="4.5999999999999996"/>
    <x v="1"/>
    <s v="No"/>
    <s v="No"/>
    <n v="4"/>
    <s v="Closed"/>
    <s v="May"/>
    <x v="4"/>
    <n v="2026"/>
    <s v="Yes"/>
    <n v="1"/>
    <x v="4"/>
    <n v="1"/>
  </r>
  <r>
    <s v="T003175"/>
    <x v="2992"/>
    <d v="2026-05-20T16:24:00"/>
    <x v="3"/>
    <s v="Chat"/>
    <x v="1"/>
    <s v="A047"/>
    <x v="1"/>
    <n v="24"/>
    <n v="23.1"/>
    <x v="1"/>
    <s v="No"/>
    <s v="Yes"/>
    <n v="5"/>
    <s v="Closed"/>
    <s v="May"/>
    <x v="4"/>
    <n v="2026"/>
    <s v="Yes"/>
    <n v="1"/>
    <x v="2"/>
    <n v="1"/>
  </r>
  <r>
    <s v="T003176"/>
    <x v="2993"/>
    <d v="2026-05-20T05:10:00"/>
    <x v="6"/>
    <s v="Phone"/>
    <x v="2"/>
    <s v="A002"/>
    <x v="0"/>
    <n v="4"/>
    <n v="11.7"/>
    <x v="1"/>
    <s v="No"/>
    <s v="No"/>
    <n v="3"/>
    <s v="Closed"/>
    <s v="May"/>
    <x v="4"/>
    <n v="2026"/>
    <s v="No"/>
    <n v="0"/>
    <x v="0"/>
    <n v="1"/>
  </r>
  <r>
    <s v="T003177"/>
    <x v="2994"/>
    <d v="2026-05-20T03:03:00"/>
    <x v="3"/>
    <s v="Phone"/>
    <x v="0"/>
    <s v="A026"/>
    <x v="2"/>
    <n v="72"/>
    <n v="9.3000000000000007"/>
    <x v="0"/>
    <s v="Yes"/>
    <s v="No"/>
    <m/>
    <s v="Closed"/>
    <s v="May"/>
    <x v="4"/>
    <n v="2026"/>
    <s v="Yes"/>
    <n v="1"/>
    <x v="4"/>
    <n v="0"/>
  </r>
  <r>
    <s v="T003178"/>
    <x v="2995"/>
    <d v="2026-05-20T09:58:00"/>
    <x v="6"/>
    <s v="Phone"/>
    <x v="0"/>
    <s v="A015"/>
    <x v="0"/>
    <n v="72"/>
    <n v="15"/>
    <x v="0"/>
    <s v="Yes"/>
    <s v="No"/>
    <n v="5"/>
    <s v="Closed"/>
    <s v="May"/>
    <x v="4"/>
    <n v="2026"/>
    <s v="Yes"/>
    <n v="1"/>
    <x v="0"/>
    <n v="0"/>
  </r>
  <r>
    <s v="T003179"/>
    <x v="2996"/>
    <d v="2026-05-20T22:54:00"/>
    <x v="3"/>
    <s v="Chat"/>
    <x v="1"/>
    <s v="A030"/>
    <x v="2"/>
    <n v="24"/>
    <n v="26.4"/>
    <x v="0"/>
    <s v="Yes"/>
    <s v="No"/>
    <m/>
    <s v="Closed"/>
    <s v="May"/>
    <x v="4"/>
    <n v="2026"/>
    <s v="No"/>
    <n v="0"/>
    <x v="1"/>
    <n v="0"/>
  </r>
  <r>
    <s v="T003180"/>
    <x v="2997"/>
    <d v="2026-05-20T05:58:00"/>
    <x v="6"/>
    <s v="Chat"/>
    <x v="2"/>
    <s v="A014"/>
    <x v="0"/>
    <n v="4"/>
    <n v="8.1"/>
    <x v="1"/>
    <s v="No"/>
    <s v="No"/>
    <n v="3"/>
    <s v="Closed"/>
    <s v="May"/>
    <x v="4"/>
    <n v="2026"/>
    <s v="No"/>
    <n v="0"/>
    <x v="3"/>
    <n v="1"/>
  </r>
  <r>
    <s v="T003181"/>
    <x v="2998"/>
    <d v="2026-05-21T08:58:00"/>
    <x v="5"/>
    <s v="Field Visit"/>
    <x v="1"/>
    <s v="A052"/>
    <x v="1"/>
    <n v="24"/>
    <n v="25.9"/>
    <x v="1"/>
    <s v="No"/>
    <s v="No"/>
    <n v="4"/>
    <s v="Closed"/>
    <s v="May"/>
    <x v="4"/>
    <n v="2026"/>
    <s v="No"/>
    <n v="0"/>
    <x v="2"/>
    <n v="1"/>
  </r>
  <r>
    <s v="T003182"/>
    <x v="2999"/>
    <d v="2026-05-20T12:23:00"/>
    <x v="2"/>
    <s v="Phone"/>
    <x v="0"/>
    <s v="A013"/>
    <x v="0"/>
    <n v="72"/>
    <n v="4.5999999999999996"/>
    <x v="1"/>
    <s v="No"/>
    <s v="No"/>
    <m/>
    <s v="Closed"/>
    <s v="May"/>
    <x v="4"/>
    <n v="2026"/>
    <s v="Yes"/>
    <n v="1"/>
    <x v="1"/>
    <n v="1"/>
  </r>
  <r>
    <s v="T003183"/>
    <x v="3000"/>
    <d v="2026-05-20T11:04:00"/>
    <x v="6"/>
    <s v="Phone"/>
    <x v="2"/>
    <s v="A060"/>
    <x v="1"/>
    <n v="4"/>
    <n v="3.1"/>
    <x v="1"/>
    <s v="No"/>
    <s v="Yes"/>
    <n v="5"/>
    <s v="Closed"/>
    <s v="May"/>
    <x v="4"/>
    <n v="2026"/>
    <s v="Yes"/>
    <n v="1"/>
    <x v="2"/>
    <n v="1"/>
  </r>
  <r>
    <s v="T003184"/>
    <x v="3001"/>
    <d v="2026-05-20T14:45:00"/>
    <x v="5"/>
    <s v="Phone"/>
    <x v="1"/>
    <s v="A024"/>
    <x v="2"/>
    <n v="24"/>
    <n v="5.2"/>
    <x v="1"/>
    <s v="No"/>
    <s v="No"/>
    <m/>
    <s v="Closed"/>
    <s v="May"/>
    <x v="4"/>
    <n v="2026"/>
    <s v="Yes"/>
    <n v="1"/>
    <x v="2"/>
    <n v="1"/>
  </r>
  <r>
    <s v="T003185"/>
    <x v="3002"/>
    <d v="2026-05-20T15:14:00"/>
    <x v="6"/>
    <s v="Phone"/>
    <x v="1"/>
    <s v="A057"/>
    <x v="1"/>
    <n v="24"/>
    <n v="4.4000000000000004"/>
    <x v="1"/>
    <s v="No"/>
    <s v="No"/>
    <n v="4"/>
    <s v="Closed"/>
    <s v="May"/>
    <x v="4"/>
    <n v="2026"/>
    <s v="Yes"/>
    <n v="1"/>
    <x v="2"/>
    <n v="1"/>
  </r>
  <r>
    <s v="T003186"/>
    <x v="3003"/>
    <d v="2026-05-20T13:50:00"/>
    <x v="6"/>
    <s v="Chat"/>
    <x v="1"/>
    <s v="A039"/>
    <x v="1"/>
    <n v="24"/>
    <n v="2.4"/>
    <x v="1"/>
    <s v="No"/>
    <s v="No"/>
    <n v="5"/>
    <s v="Closed"/>
    <s v="May"/>
    <x v="4"/>
    <n v="2026"/>
    <s v="Yes"/>
    <n v="1"/>
    <x v="4"/>
    <n v="1"/>
  </r>
  <r>
    <s v="T003187"/>
    <x v="3004"/>
    <d v="2026-05-21T14:07:00"/>
    <x v="3"/>
    <s v="Field Visit"/>
    <x v="1"/>
    <s v="A048"/>
    <x v="1"/>
    <n v="24"/>
    <n v="25"/>
    <x v="0"/>
    <s v="Yes"/>
    <s v="No"/>
    <m/>
    <s v="Closed"/>
    <s v="May"/>
    <x v="4"/>
    <n v="2026"/>
    <s v="No"/>
    <n v="0"/>
    <x v="1"/>
    <n v="0"/>
  </r>
  <r>
    <s v="T003188"/>
    <x v="3005"/>
    <d v="2026-05-23T13:02:00"/>
    <x v="2"/>
    <s v="Field Visit"/>
    <x v="1"/>
    <s v="A025"/>
    <x v="2"/>
    <n v="24"/>
    <n v="71.2"/>
    <x v="0"/>
    <s v="Yes"/>
    <s v="No"/>
    <m/>
    <s v="Closed"/>
    <s v="May"/>
    <x v="4"/>
    <n v="2026"/>
    <s v="No"/>
    <n v="0"/>
    <x v="1"/>
    <n v="0"/>
  </r>
  <r>
    <s v="T003189"/>
    <x v="3006"/>
    <d v="2026-05-20T22:12:00"/>
    <x v="6"/>
    <s v="Phone"/>
    <x v="2"/>
    <s v="A016"/>
    <x v="2"/>
    <n v="4"/>
    <n v="7.8"/>
    <x v="1"/>
    <s v="No"/>
    <s v="Yes"/>
    <n v="4"/>
    <s v="Closed"/>
    <s v="May"/>
    <x v="4"/>
    <n v="2026"/>
    <s v="No"/>
    <n v="0"/>
    <x v="4"/>
    <n v="1"/>
  </r>
  <r>
    <s v="T003190"/>
    <x v="3007"/>
    <d v="2026-05-20T23:20:00"/>
    <x v="6"/>
    <s v="Email"/>
    <x v="2"/>
    <s v="A031"/>
    <x v="2"/>
    <n v="4"/>
    <m/>
    <x v="1"/>
    <s v="No"/>
    <s v="No"/>
    <m/>
    <s v="Closed"/>
    <s v="May"/>
    <x v="4"/>
    <n v="2026"/>
    <m/>
    <m/>
    <x v="3"/>
    <n v="1"/>
  </r>
  <r>
    <s v="T003191"/>
    <x v="3008"/>
    <d v="2026-05-21T02:30:00"/>
    <x v="1"/>
    <s v="Email"/>
    <x v="1"/>
    <s v="A037"/>
    <x v="1"/>
    <n v="24"/>
    <n v="11.2"/>
    <x v="1"/>
    <s v="No"/>
    <s v="No"/>
    <n v="4"/>
    <s v="Closed"/>
    <s v="May"/>
    <x v="4"/>
    <n v="2026"/>
    <s v="Yes"/>
    <n v="1"/>
    <x v="1"/>
    <n v="1"/>
  </r>
  <r>
    <s v="T003192"/>
    <x v="3009"/>
    <d v="2026-05-20T20:16:00"/>
    <x v="5"/>
    <s v="Chat"/>
    <x v="0"/>
    <s v="A036"/>
    <x v="1"/>
    <n v="72"/>
    <n v="4.7"/>
    <x v="1"/>
    <s v="No"/>
    <s v="No"/>
    <n v="5"/>
    <s v="Closed"/>
    <s v="May"/>
    <x v="4"/>
    <n v="2026"/>
    <s v="Yes"/>
    <n v="1"/>
    <x v="1"/>
    <n v="1"/>
  </r>
  <r>
    <s v="T003193"/>
    <x v="3010"/>
    <d v="2026-05-21T05:10:00"/>
    <x v="0"/>
    <s v="Chat"/>
    <x v="2"/>
    <s v="A055"/>
    <x v="1"/>
    <n v="4"/>
    <n v="13.2"/>
    <x v="1"/>
    <s v="No"/>
    <s v="No"/>
    <m/>
    <s v="Closed"/>
    <s v="May"/>
    <x v="4"/>
    <n v="2026"/>
    <s v="No"/>
    <n v="0"/>
    <x v="4"/>
    <n v="1"/>
  </r>
  <r>
    <s v="T003194"/>
    <x v="3011"/>
    <d v="2026-05-24T21:40:00"/>
    <x v="4"/>
    <s v="Field Visit"/>
    <x v="1"/>
    <s v="A052"/>
    <x v="1"/>
    <n v="24"/>
    <n v="100.2"/>
    <x v="0"/>
    <s v="Yes"/>
    <s v="No"/>
    <n v="3"/>
    <s v="Closed"/>
    <s v="May"/>
    <x v="4"/>
    <n v="2026"/>
    <s v="No"/>
    <n v="0"/>
    <x v="3"/>
    <n v="0"/>
  </r>
  <r>
    <s v="T003195"/>
    <x v="3012"/>
    <d v="2026-05-21T07:50:00"/>
    <x v="0"/>
    <s v="Field Visit"/>
    <x v="1"/>
    <s v="A042"/>
    <x v="1"/>
    <n v="24"/>
    <n v="12.3"/>
    <x v="1"/>
    <s v="No"/>
    <s v="Yes"/>
    <n v="5"/>
    <s v="Closed"/>
    <s v="May"/>
    <x v="4"/>
    <n v="2026"/>
    <s v="Yes"/>
    <n v="1"/>
    <x v="4"/>
    <n v="1"/>
  </r>
  <r>
    <s v="T003196"/>
    <x v="3013"/>
    <d v="2026-05-24T11:43:00"/>
    <x v="3"/>
    <s v="Field Visit"/>
    <x v="0"/>
    <s v="A024"/>
    <x v="2"/>
    <n v="72"/>
    <n v="76.900000000000006"/>
    <x v="0"/>
    <s v="No"/>
    <s v="No"/>
    <n v="3"/>
    <s v="Closed"/>
    <s v="May"/>
    <x v="4"/>
    <n v="2026"/>
    <s v="No"/>
    <n v="0"/>
    <x v="4"/>
    <n v="0"/>
  </r>
  <r>
    <s v="T003197"/>
    <x v="3014"/>
    <d v="2026-05-21T23:09:00"/>
    <x v="2"/>
    <s v="Phone"/>
    <x v="0"/>
    <s v="A023"/>
    <x v="2"/>
    <n v="72"/>
    <n v="15.3"/>
    <x v="0"/>
    <s v="Yes"/>
    <s v="No"/>
    <n v="4"/>
    <s v="Closed"/>
    <s v="May"/>
    <x v="4"/>
    <n v="2026"/>
    <s v="Yes"/>
    <n v="1"/>
    <x v="4"/>
    <n v="0"/>
  </r>
  <r>
    <s v="T003198"/>
    <x v="3015"/>
    <d v="2026-05-21T19:01:00"/>
    <x v="1"/>
    <s v="Phone"/>
    <x v="1"/>
    <s v="A006"/>
    <x v="0"/>
    <n v="24"/>
    <n v="10"/>
    <x v="0"/>
    <s v="No"/>
    <s v="No"/>
    <n v="5"/>
    <s v="Closed"/>
    <s v="May"/>
    <x v="4"/>
    <n v="2026"/>
    <s v="Yes"/>
    <n v="1"/>
    <x v="1"/>
    <n v="0"/>
  </r>
  <r>
    <s v="T003199"/>
    <x v="3016"/>
    <d v="2026-05-22T01:17:00"/>
    <x v="6"/>
    <s v="Field Visit"/>
    <x v="1"/>
    <s v="A024"/>
    <x v="2"/>
    <n v="24"/>
    <n v="15.3"/>
    <x v="1"/>
    <s v="No"/>
    <s v="No"/>
    <n v="4"/>
    <s v="Closed"/>
    <s v="May"/>
    <x v="4"/>
    <n v="2026"/>
    <s v="Yes"/>
    <n v="1"/>
    <x v="4"/>
    <n v="1"/>
  </r>
  <r>
    <s v="T003200"/>
    <x v="3017"/>
    <d v="2026-05-21T17:13:00"/>
    <x v="1"/>
    <s v="Phone"/>
    <x v="0"/>
    <s v="A039"/>
    <x v="1"/>
    <n v="72"/>
    <n v="6.7"/>
    <x v="1"/>
    <s v="No"/>
    <s v="No"/>
    <n v="5"/>
    <s v="Closed"/>
    <s v="May"/>
    <x v="4"/>
    <n v="2026"/>
    <s v="Yes"/>
    <n v="1"/>
    <x v="2"/>
    <n v="1"/>
  </r>
  <r>
    <s v="T003201"/>
    <x v="3018"/>
    <d v="2026-05-21T12:03:00"/>
    <x v="1"/>
    <s v="Chat"/>
    <x v="0"/>
    <s v="A013"/>
    <x v="0"/>
    <n v="72"/>
    <n v="1.4"/>
    <x v="0"/>
    <s v="Yes"/>
    <s v="No"/>
    <n v="5"/>
    <s v="Closed"/>
    <s v="May"/>
    <x v="4"/>
    <n v="2026"/>
    <s v="Yes"/>
    <n v="1"/>
    <x v="0"/>
    <n v="0"/>
  </r>
  <r>
    <s v="T003202"/>
    <x v="3019"/>
    <d v="2026-05-22T00:56:00"/>
    <x v="5"/>
    <s v="Field Visit"/>
    <x v="1"/>
    <s v="A013"/>
    <x v="0"/>
    <n v="24"/>
    <n v="14.2"/>
    <x v="0"/>
    <s v="Yes"/>
    <s v="No"/>
    <n v="3"/>
    <s v="Closed"/>
    <s v="May"/>
    <x v="4"/>
    <n v="2026"/>
    <s v="Yes"/>
    <n v="1"/>
    <x v="1"/>
    <n v="0"/>
  </r>
  <r>
    <s v="T003203"/>
    <x v="3020"/>
    <d v="2026-05-21T14:27:00"/>
    <x v="5"/>
    <s v="Phone"/>
    <x v="1"/>
    <s v="A045"/>
    <x v="1"/>
    <n v="24"/>
    <n v="3.2"/>
    <x v="0"/>
    <s v="Yes"/>
    <s v="No"/>
    <n v="4"/>
    <s v="Closed"/>
    <s v="May"/>
    <x v="4"/>
    <n v="2026"/>
    <s v="Yes"/>
    <n v="1"/>
    <x v="1"/>
    <n v="0"/>
  </r>
  <r>
    <s v="T003204"/>
    <x v="3021"/>
    <d v="2026-05-23T23:12:00"/>
    <x v="4"/>
    <s v="Field Visit"/>
    <x v="0"/>
    <s v="A026"/>
    <x v="2"/>
    <n v="72"/>
    <n v="59.6"/>
    <x v="0"/>
    <s v="No"/>
    <s v="No"/>
    <m/>
    <s v="Closed"/>
    <s v="May"/>
    <x v="4"/>
    <n v="2026"/>
    <s v="Yes"/>
    <n v="1"/>
    <x v="3"/>
    <n v="0"/>
  </r>
  <r>
    <s v="T003205"/>
    <x v="3022"/>
    <d v="2026-05-21T18:16:00"/>
    <x v="0"/>
    <s v="Phone"/>
    <x v="1"/>
    <s v="A056"/>
    <x v="1"/>
    <n v="24"/>
    <n v="5.7"/>
    <x v="1"/>
    <s v="No"/>
    <s v="No"/>
    <m/>
    <s v="Closed"/>
    <s v="May"/>
    <x v="4"/>
    <n v="2026"/>
    <s v="Yes"/>
    <n v="1"/>
    <x v="4"/>
    <n v="1"/>
  </r>
  <r>
    <s v="T003206"/>
    <x v="3023"/>
    <d v="2026-05-21T21:05:00"/>
    <x v="2"/>
    <s v="Field Visit"/>
    <x v="1"/>
    <s v="A002"/>
    <x v="0"/>
    <n v="24"/>
    <n v="8.4"/>
    <x v="1"/>
    <s v="No"/>
    <s v="No"/>
    <n v="4"/>
    <s v="Closed"/>
    <s v="May"/>
    <x v="4"/>
    <n v="2026"/>
    <s v="Yes"/>
    <n v="1"/>
    <x v="4"/>
    <n v="1"/>
  </r>
  <r>
    <s v="T003207"/>
    <x v="3024"/>
    <d v="2026-05-22T00:01:00"/>
    <x v="0"/>
    <s v="Phone"/>
    <x v="1"/>
    <s v="A046"/>
    <x v="1"/>
    <n v="24"/>
    <n v="10.9"/>
    <x v="0"/>
    <s v="Yes"/>
    <s v="No"/>
    <m/>
    <s v="Closed"/>
    <s v="May"/>
    <x v="4"/>
    <n v="2026"/>
    <s v="Yes"/>
    <n v="1"/>
    <x v="0"/>
    <n v="0"/>
  </r>
  <r>
    <s v="T003208"/>
    <x v="3025"/>
    <d v="2026-05-22T02:57:00"/>
    <x v="0"/>
    <s v="Phone"/>
    <x v="0"/>
    <s v="A022"/>
    <x v="2"/>
    <n v="72"/>
    <n v="13.3"/>
    <x v="0"/>
    <s v="Yes"/>
    <s v="No"/>
    <n v="3"/>
    <s v="Closed"/>
    <s v="May"/>
    <x v="4"/>
    <n v="2026"/>
    <s v="Yes"/>
    <n v="1"/>
    <x v="0"/>
    <n v="0"/>
  </r>
  <r>
    <s v="T003209"/>
    <x v="3026"/>
    <d v="2026-05-21T21:09:00"/>
    <x v="1"/>
    <s v="Chat"/>
    <x v="1"/>
    <s v="A005"/>
    <x v="0"/>
    <n v="24"/>
    <n v="7.4"/>
    <x v="1"/>
    <s v="No"/>
    <s v="No"/>
    <n v="5"/>
    <s v="Closed"/>
    <s v="May"/>
    <x v="4"/>
    <n v="2026"/>
    <s v="Yes"/>
    <n v="1"/>
    <x v="1"/>
    <n v="1"/>
  </r>
  <r>
    <s v="T003210"/>
    <x v="3027"/>
    <d v="2026-05-22T10:07:00"/>
    <x v="0"/>
    <s v="Phone"/>
    <x v="1"/>
    <s v="A041"/>
    <x v="1"/>
    <n v="24"/>
    <n v="20.3"/>
    <x v="1"/>
    <s v="No"/>
    <s v="No"/>
    <n v="5"/>
    <s v="Closed"/>
    <s v="May"/>
    <x v="4"/>
    <n v="2026"/>
    <s v="Yes"/>
    <n v="1"/>
    <x v="1"/>
    <n v="1"/>
  </r>
  <r>
    <s v="T003211"/>
    <x v="3028"/>
    <d v="2026-05-22T06:42:00"/>
    <x v="0"/>
    <s v="Field Visit"/>
    <x v="1"/>
    <s v="A035"/>
    <x v="2"/>
    <n v="24"/>
    <n v="16.7"/>
    <x v="1"/>
    <s v="No"/>
    <s v="No"/>
    <n v="4"/>
    <s v="Closed"/>
    <s v="May"/>
    <x v="4"/>
    <n v="2026"/>
    <s v="Yes"/>
    <n v="1"/>
    <x v="1"/>
    <n v="1"/>
  </r>
  <r>
    <s v="T003212"/>
    <x v="3029"/>
    <d v="2026-05-21T23:38:00"/>
    <x v="1"/>
    <s v="Email"/>
    <x v="1"/>
    <s v="A036"/>
    <x v="1"/>
    <n v="24"/>
    <n v="9.6"/>
    <x v="1"/>
    <s v="No"/>
    <s v="No"/>
    <n v="4"/>
    <s v="Closed"/>
    <s v="May"/>
    <x v="4"/>
    <n v="2026"/>
    <s v="Yes"/>
    <n v="1"/>
    <x v="0"/>
    <n v="1"/>
  </r>
  <r>
    <s v="T003213"/>
    <x v="3030"/>
    <d v="2026-05-21T22:11:00"/>
    <x v="6"/>
    <s v="Phone"/>
    <x v="2"/>
    <s v="A009"/>
    <x v="0"/>
    <n v="4"/>
    <n v="6.1"/>
    <x v="1"/>
    <s v="No"/>
    <s v="No"/>
    <m/>
    <s v="Closed"/>
    <s v="May"/>
    <x v="4"/>
    <n v="2026"/>
    <s v="No"/>
    <n v="0"/>
    <x v="0"/>
    <n v="1"/>
  </r>
  <r>
    <s v="T003214"/>
    <x v="3031"/>
    <d v="2026-05-22T09:25:00"/>
    <x v="0"/>
    <s v="Phone"/>
    <x v="1"/>
    <s v="A033"/>
    <x v="2"/>
    <n v="24"/>
    <n v="17.2"/>
    <x v="1"/>
    <s v="No"/>
    <s v="No"/>
    <n v="4"/>
    <s v="Closed"/>
    <s v="May"/>
    <x v="4"/>
    <n v="2026"/>
    <s v="Yes"/>
    <n v="1"/>
    <x v="3"/>
    <n v="1"/>
  </r>
  <r>
    <s v="T003215"/>
    <x v="3032"/>
    <d v="2026-05-22T04:24:00"/>
    <x v="6"/>
    <s v="Phone"/>
    <x v="1"/>
    <s v="A027"/>
    <x v="2"/>
    <n v="24"/>
    <n v="11.9"/>
    <x v="1"/>
    <s v="No"/>
    <s v="Yes"/>
    <m/>
    <s v="Closed"/>
    <s v="May"/>
    <x v="4"/>
    <n v="2026"/>
    <s v="Yes"/>
    <n v="1"/>
    <x v="1"/>
    <n v="1"/>
  </r>
  <r>
    <s v="T003216"/>
    <x v="3033"/>
    <d v="2026-05-22T06:25:00"/>
    <x v="0"/>
    <s v="Chat"/>
    <x v="1"/>
    <s v="A020"/>
    <x v="2"/>
    <n v="24"/>
    <n v="13.5"/>
    <x v="1"/>
    <s v="No"/>
    <s v="No"/>
    <n v="5"/>
    <s v="Closed"/>
    <s v="May"/>
    <x v="4"/>
    <n v="2026"/>
    <s v="Yes"/>
    <n v="1"/>
    <x v="1"/>
    <n v="1"/>
  </r>
  <r>
    <s v="T003217"/>
    <x v="3034"/>
    <d v="2026-05-23T12:32:00"/>
    <x v="3"/>
    <s v="Email"/>
    <x v="2"/>
    <s v="A041"/>
    <x v="1"/>
    <n v="4"/>
    <n v="43.1"/>
    <x v="0"/>
    <s v="No"/>
    <s v="No"/>
    <n v="4"/>
    <s v="Closed"/>
    <s v="May"/>
    <x v="4"/>
    <n v="2026"/>
    <s v="No"/>
    <n v="0"/>
    <x v="3"/>
    <n v="0"/>
  </r>
  <r>
    <s v="T003218"/>
    <x v="3035"/>
    <d v="2026-05-21T20:25:00"/>
    <x v="5"/>
    <s v="Chat"/>
    <x v="0"/>
    <s v="A016"/>
    <x v="2"/>
    <n v="72"/>
    <n v="2.5"/>
    <x v="1"/>
    <s v="No"/>
    <s v="No"/>
    <n v="5"/>
    <s v="Closed"/>
    <s v="May"/>
    <x v="4"/>
    <n v="2026"/>
    <s v="Yes"/>
    <n v="1"/>
    <x v="0"/>
    <n v="1"/>
  </r>
  <r>
    <s v="T003219"/>
    <x v="3036"/>
    <d v="2026-05-29T13:34:00"/>
    <x v="4"/>
    <s v="Field Visit"/>
    <x v="0"/>
    <s v="A050"/>
    <x v="1"/>
    <n v="72"/>
    <n v="187.5"/>
    <x v="1"/>
    <s v="No"/>
    <s v="No"/>
    <n v="5"/>
    <s v="Closed"/>
    <s v="May"/>
    <x v="4"/>
    <n v="2026"/>
    <s v="No"/>
    <n v="0"/>
    <x v="1"/>
    <n v="1"/>
  </r>
  <r>
    <s v="T003220"/>
    <x v="3037"/>
    <d v="2026-05-22T04:40:00"/>
    <x v="6"/>
    <s v="Field Visit"/>
    <x v="1"/>
    <s v="A014"/>
    <x v="0"/>
    <n v="24"/>
    <n v="9.9"/>
    <x v="0"/>
    <s v="No"/>
    <s v="No"/>
    <n v="5"/>
    <s v="Closed"/>
    <s v="May"/>
    <x v="4"/>
    <n v="2026"/>
    <s v="Yes"/>
    <n v="1"/>
    <x v="2"/>
    <n v="0"/>
  </r>
  <r>
    <s v="T003221"/>
    <x v="3038"/>
    <d v="2026-05-22T01:06:00"/>
    <x v="6"/>
    <s v="Phone"/>
    <x v="2"/>
    <s v="A041"/>
    <x v="1"/>
    <n v="4"/>
    <n v="6"/>
    <x v="1"/>
    <s v="No"/>
    <s v="Yes"/>
    <m/>
    <s v="Closed"/>
    <s v="May"/>
    <x v="4"/>
    <n v="2026"/>
    <s v="No"/>
    <n v="0"/>
    <x v="4"/>
    <n v="1"/>
  </r>
  <r>
    <s v="T003222"/>
    <x v="3039"/>
    <d v="2026-05-22T08:08:00"/>
    <x v="3"/>
    <s v="Chat"/>
    <x v="0"/>
    <s v="A018"/>
    <x v="2"/>
    <n v="72"/>
    <n v="11.7"/>
    <x v="1"/>
    <s v="No"/>
    <s v="No"/>
    <m/>
    <s v="Closed"/>
    <s v="May"/>
    <x v="4"/>
    <n v="2026"/>
    <s v="Yes"/>
    <n v="1"/>
    <x v="1"/>
    <n v="1"/>
  </r>
  <r>
    <s v="T003223"/>
    <x v="3040"/>
    <d v="2026-05-25T11:15:00"/>
    <x v="2"/>
    <s v="Email"/>
    <x v="1"/>
    <s v="A005"/>
    <x v="0"/>
    <n v="24"/>
    <n v="84.3"/>
    <x v="1"/>
    <s v="No"/>
    <s v="No"/>
    <n v="5"/>
    <s v="Closed"/>
    <s v="May"/>
    <x v="4"/>
    <n v="2026"/>
    <s v="No"/>
    <n v="0"/>
    <x v="0"/>
    <n v="1"/>
  </r>
  <r>
    <s v="T003224"/>
    <x v="3041"/>
    <d v="2026-05-23T03:04:00"/>
    <x v="5"/>
    <s v="Phone"/>
    <x v="0"/>
    <s v="A044"/>
    <x v="1"/>
    <n v="72"/>
    <n v="21.6"/>
    <x v="0"/>
    <s v="Yes"/>
    <s v="No"/>
    <n v="4"/>
    <s v="Closed"/>
    <s v="May"/>
    <x v="4"/>
    <n v="2026"/>
    <s v="Yes"/>
    <n v="1"/>
    <x v="1"/>
    <n v="0"/>
  </r>
  <r>
    <s v="T003225"/>
    <x v="3042"/>
    <d v="2026-05-22T17:29:00"/>
    <x v="1"/>
    <s v="Email"/>
    <x v="1"/>
    <s v="A017"/>
    <x v="2"/>
    <n v="24"/>
    <n v="12"/>
    <x v="1"/>
    <s v="No"/>
    <s v="No"/>
    <n v="5"/>
    <s v="Closed"/>
    <s v="May"/>
    <x v="4"/>
    <n v="2026"/>
    <s v="Yes"/>
    <n v="1"/>
    <x v="3"/>
    <n v="1"/>
  </r>
  <r>
    <s v="T003226"/>
    <x v="3043"/>
    <d v="2026-05-22T14:39:00"/>
    <x v="4"/>
    <s v="Phone"/>
    <x v="0"/>
    <s v="A032"/>
    <x v="2"/>
    <n v="72"/>
    <n v="8"/>
    <x v="0"/>
    <s v="No"/>
    <s v="No"/>
    <n v="4"/>
    <s v="Closed"/>
    <s v="May"/>
    <x v="4"/>
    <n v="2026"/>
    <s v="Yes"/>
    <n v="1"/>
    <x v="1"/>
    <n v="0"/>
  </r>
  <r>
    <s v="T003227"/>
    <x v="3044"/>
    <d v="2026-05-23T14:59:00"/>
    <x v="2"/>
    <s v="Email"/>
    <x v="1"/>
    <s v="A056"/>
    <x v="1"/>
    <n v="24"/>
    <n v="28.3"/>
    <x v="1"/>
    <s v="No"/>
    <s v="No"/>
    <n v="3"/>
    <s v="Closed"/>
    <s v="May"/>
    <x v="4"/>
    <n v="2026"/>
    <s v="No"/>
    <n v="0"/>
    <x v="2"/>
    <n v="1"/>
  </r>
  <r>
    <s v="T003228"/>
    <x v="3045"/>
    <d v="2026-05-23T01:56:00"/>
    <x v="5"/>
    <s v="Phone"/>
    <x v="1"/>
    <s v="A023"/>
    <x v="2"/>
    <n v="24"/>
    <n v="15.1"/>
    <x v="1"/>
    <s v="No"/>
    <s v="No"/>
    <m/>
    <s v="Closed"/>
    <s v="May"/>
    <x v="4"/>
    <n v="2026"/>
    <s v="Yes"/>
    <n v="1"/>
    <x v="1"/>
    <n v="1"/>
  </r>
  <r>
    <s v="T003229"/>
    <x v="3046"/>
    <d v="2026-05-22T21:59:00"/>
    <x v="2"/>
    <s v="Phone"/>
    <x v="0"/>
    <s v="A026"/>
    <x v="2"/>
    <n v="72"/>
    <n v="10.5"/>
    <x v="0"/>
    <s v="Yes"/>
    <s v="No"/>
    <m/>
    <s v="Closed"/>
    <s v="May"/>
    <x v="4"/>
    <n v="2026"/>
    <s v="Yes"/>
    <n v="1"/>
    <x v="1"/>
    <n v="0"/>
  </r>
  <r>
    <s v="T003230"/>
    <x v="3047"/>
    <d v="2026-05-22T18:42:00"/>
    <x v="3"/>
    <s v="Chat"/>
    <x v="1"/>
    <s v="A034"/>
    <x v="2"/>
    <n v="24"/>
    <n v="6.6"/>
    <x v="1"/>
    <s v="No"/>
    <s v="No"/>
    <m/>
    <s v="Closed"/>
    <s v="May"/>
    <x v="4"/>
    <n v="2026"/>
    <s v="Yes"/>
    <n v="1"/>
    <x v="0"/>
    <n v="1"/>
  </r>
  <r>
    <s v="T003231"/>
    <x v="3048"/>
    <d v="2026-05-26T09:03:00"/>
    <x v="4"/>
    <s v="Field Visit"/>
    <x v="0"/>
    <s v="A057"/>
    <x v="1"/>
    <n v="72"/>
    <n v="92.9"/>
    <x v="1"/>
    <s v="No"/>
    <s v="No"/>
    <m/>
    <s v="Closed"/>
    <s v="May"/>
    <x v="4"/>
    <n v="2026"/>
    <s v="No"/>
    <n v="0"/>
    <x v="3"/>
    <n v="1"/>
  </r>
  <r>
    <s v="T003232"/>
    <x v="3049"/>
    <d v="2026-05-22T16:32:00"/>
    <x v="1"/>
    <s v="Chat"/>
    <x v="0"/>
    <s v="A024"/>
    <x v="2"/>
    <n v="72"/>
    <n v="3.6"/>
    <x v="1"/>
    <s v="No"/>
    <s v="No"/>
    <n v="5"/>
    <s v="Closed"/>
    <s v="May"/>
    <x v="4"/>
    <n v="2026"/>
    <s v="Yes"/>
    <n v="1"/>
    <x v="1"/>
    <n v="1"/>
  </r>
  <r>
    <s v="T003233"/>
    <x v="3050"/>
    <d v="2026-05-23T00:15:00"/>
    <x v="6"/>
    <s v="Phone"/>
    <x v="2"/>
    <s v="A029"/>
    <x v="2"/>
    <n v="4"/>
    <n v="10.8"/>
    <x v="1"/>
    <s v="No"/>
    <s v="Yes"/>
    <m/>
    <s v="Closed"/>
    <s v="May"/>
    <x v="4"/>
    <n v="2026"/>
    <s v="No"/>
    <n v="0"/>
    <x v="3"/>
    <n v="1"/>
  </r>
  <r>
    <s v="T003234"/>
    <x v="3051"/>
    <d v="2026-05-25T07:09:00"/>
    <x v="0"/>
    <s v="Email"/>
    <x v="0"/>
    <s v="A045"/>
    <x v="1"/>
    <n v="72"/>
    <n v="65.599999999999994"/>
    <x v="0"/>
    <s v="Yes"/>
    <s v="No"/>
    <n v="4"/>
    <s v="Closed"/>
    <s v="May"/>
    <x v="4"/>
    <n v="2026"/>
    <s v="Yes"/>
    <n v="1"/>
    <x v="4"/>
    <n v="0"/>
  </r>
  <r>
    <s v="T003235"/>
    <x v="3052"/>
    <d v="2026-05-23T09:07:00"/>
    <x v="1"/>
    <s v="Email"/>
    <x v="1"/>
    <s v="A019"/>
    <x v="2"/>
    <n v="24"/>
    <n v="19.3"/>
    <x v="0"/>
    <s v="No"/>
    <s v="No"/>
    <n v="5"/>
    <s v="Closed"/>
    <s v="May"/>
    <x v="4"/>
    <n v="2026"/>
    <s v="Yes"/>
    <n v="1"/>
    <x v="1"/>
    <n v="0"/>
  </r>
  <r>
    <s v="T003236"/>
    <x v="3053"/>
    <d v="2026-05-22T21:14:00"/>
    <x v="0"/>
    <s v="Phone"/>
    <x v="1"/>
    <s v="A047"/>
    <x v="1"/>
    <n v="24"/>
    <n v="6.4"/>
    <x v="1"/>
    <s v="No"/>
    <s v="No"/>
    <n v="4"/>
    <s v="Closed"/>
    <s v="May"/>
    <x v="4"/>
    <n v="2026"/>
    <s v="Yes"/>
    <n v="1"/>
    <x v="0"/>
    <n v="1"/>
  </r>
  <r>
    <s v="T003237"/>
    <x v="3054"/>
    <d v="2026-05-23T00:14:00"/>
    <x v="6"/>
    <s v="Phone"/>
    <x v="2"/>
    <s v="A046"/>
    <x v="1"/>
    <n v="4"/>
    <n v="9.3000000000000007"/>
    <x v="1"/>
    <s v="No"/>
    <s v="No"/>
    <n v="5"/>
    <s v="Closed"/>
    <s v="May"/>
    <x v="4"/>
    <n v="2026"/>
    <s v="No"/>
    <n v="0"/>
    <x v="2"/>
    <n v="1"/>
  </r>
  <r>
    <s v="T003238"/>
    <x v="3055"/>
    <d v="2026-05-22T21:52:00"/>
    <x v="6"/>
    <s v="Phone"/>
    <x v="1"/>
    <s v="A048"/>
    <x v="1"/>
    <n v="24"/>
    <n v="6.7"/>
    <x v="1"/>
    <s v="No"/>
    <s v="No"/>
    <m/>
    <s v="Closed"/>
    <s v="May"/>
    <x v="4"/>
    <n v="2026"/>
    <s v="Yes"/>
    <n v="1"/>
    <x v="3"/>
    <n v="1"/>
  </r>
  <r>
    <s v="T003239"/>
    <x v="3056"/>
    <d v="2026-05-22T18:52:00"/>
    <x v="1"/>
    <s v="Email"/>
    <x v="0"/>
    <s v="A031"/>
    <x v="2"/>
    <n v="72"/>
    <n v="3"/>
    <x v="1"/>
    <s v="No"/>
    <s v="No"/>
    <n v="4"/>
    <s v="Closed"/>
    <s v="May"/>
    <x v="4"/>
    <n v="2026"/>
    <s v="Yes"/>
    <n v="1"/>
    <x v="0"/>
    <n v="1"/>
  </r>
  <r>
    <s v="T003240"/>
    <x v="3057"/>
    <d v="2026-05-23T11:49:00"/>
    <x v="2"/>
    <s v="Email"/>
    <x v="0"/>
    <s v="A023"/>
    <x v="2"/>
    <n v="72"/>
    <n v="19.899999999999999"/>
    <x v="1"/>
    <s v="No"/>
    <s v="No"/>
    <n v="5"/>
    <s v="Closed"/>
    <s v="May"/>
    <x v="4"/>
    <n v="2026"/>
    <s v="Yes"/>
    <n v="1"/>
    <x v="4"/>
    <n v="1"/>
  </r>
  <r>
    <s v="T003241"/>
    <x v="3058"/>
    <d v="2026-05-22T20:00:00"/>
    <x v="5"/>
    <s v="Chat"/>
    <x v="0"/>
    <s v="A022"/>
    <x v="2"/>
    <n v="72"/>
    <n v="3.7"/>
    <x v="0"/>
    <s v="No"/>
    <s v="No"/>
    <n v="5"/>
    <s v="Closed"/>
    <s v="May"/>
    <x v="4"/>
    <n v="2026"/>
    <s v="Yes"/>
    <n v="1"/>
    <x v="3"/>
    <n v="0"/>
  </r>
  <r>
    <s v="T003242"/>
    <x v="3059"/>
    <d v="2026-05-23T03:34:00"/>
    <x v="1"/>
    <s v="Phone"/>
    <x v="0"/>
    <s v="A046"/>
    <x v="1"/>
    <n v="72"/>
    <n v="11.1"/>
    <x v="0"/>
    <s v="Yes"/>
    <s v="No"/>
    <m/>
    <s v="Closed"/>
    <s v="May"/>
    <x v="4"/>
    <n v="2026"/>
    <s v="Yes"/>
    <n v="1"/>
    <x v="2"/>
    <n v="0"/>
  </r>
  <r>
    <s v="T003243"/>
    <x v="3060"/>
    <d v="2026-05-22T22:30:00"/>
    <x v="2"/>
    <s v="Chat"/>
    <x v="1"/>
    <s v="A053"/>
    <x v="1"/>
    <n v="24"/>
    <n v="5.9"/>
    <x v="1"/>
    <s v="No"/>
    <s v="No"/>
    <m/>
    <s v="Closed"/>
    <s v="May"/>
    <x v="4"/>
    <n v="2026"/>
    <s v="Yes"/>
    <n v="1"/>
    <x v="2"/>
    <n v="1"/>
  </r>
  <r>
    <s v="T003244"/>
    <x v="3061"/>
    <d v="2026-05-23T00:12:00"/>
    <x v="1"/>
    <s v="Chat"/>
    <x v="1"/>
    <s v="A004"/>
    <x v="0"/>
    <n v="24"/>
    <n v="7.4"/>
    <x v="0"/>
    <s v="No"/>
    <s v="No"/>
    <m/>
    <s v="Closed"/>
    <s v="May"/>
    <x v="4"/>
    <n v="2026"/>
    <s v="Yes"/>
    <n v="1"/>
    <x v="4"/>
    <n v="0"/>
  </r>
  <r>
    <s v="T003245"/>
    <x v="3062"/>
    <d v="2026-05-22T22:08:00"/>
    <x v="0"/>
    <s v="Chat"/>
    <x v="1"/>
    <s v="A009"/>
    <x v="0"/>
    <n v="24"/>
    <n v="4.8"/>
    <x v="1"/>
    <s v="No"/>
    <s v="No"/>
    <n v="5"/>
    <s v="Closed"/>
    <s v="May"/>
    <x v="4"/>
    <n v="2026"/>
    <s v="Yes"/>
    <n v="1"/>
    <x v="1"/>
    <n v="1"/>
  </r>
  <r>
    <s v="T003246"/>
    <x v="3063"/>
    <d v="2026-05-24T06:48:00"/>
    <x v="2"/>
    <s v="Email"/>
    <x v="0"/>
    <s v="A037"/>
    <x v="1"/>
    <n v="72"/>
    <n v="37.299999999999997"/>
    <x v="1"/>
    <s v="No"/>
    <s v="No"/>
    <n v="3"/>
    <s v="Closed"/>
    <s v="May"/>
    <x v="4"/>
    <n v="2026"/>
    <s v="Yes"/>
    <n v="1"/>
    <x v="4"/>
    <n v="1"/>
  </r>
  <r>
    <s v="T003247"/>
    <x v="3064"/>
    <d v="2026-05-23T22:11:00"/>
    <x v="3"/>
    <s v="Chat"/>
    <x v="1"/>
    <s v="A045"/>
    <x v="1"/>
    <n v="24"/>
    <n v="25.5"/>
    <x v="1"/>
    <s v="No"/>
    <s v="No"/>
    <m/>
    <s v="Closed"/>
    <s v="May"/>
    <x v="4"/>
    <n v="2026"/>
    <s v="No"/>
    <n v="0"/>
    <x v="1"/>
    <n v="1"/>
  </r>
  <r>
    <s v="T003248"/>
    <x v="3065"/>
    <d v="2026-05-23T12:49:00"/>
    <x v="2"/>
    <s v="Chat"/>
    <x v="0"/>
    <s v="A022"/>
    <x v="2"/>
    <n v="72"/>
    <n v="7.5"/>
    <x v="1"/>
    <s v="No"/>
    <s v="No"/>
    <n v="4"/>
    <s v="Closed"/>
    <s v="May"/>
    <x v="4"/>
    <n v="2026"/>
    <s v="Yes"/>
    <n v="1"/>
    <x v="0"/>
    <n v="1"/>
  </r>
  <r>
    <s v="T003249"/>
    <x v="3066"/>
    <d v="2026-05-23T11:56:00"/>
    <x v="6"/>
    <s v="Email"/>
    <x v="1"/>
    <s v="A043"/>
    <x v="1"/>
    <n v="24"/>
    <n v="6.3"/>
    <x v="0"/>
    <s v="No"/>
    <s v="No"/>
    <n v="5"/>
    <s v="Closed"/>
    <s v="May"/>
    <x v="4"/>
    <n v="2026"/>
    <s v="Yes"/>
    <n v="1"/>
    <x v="4"/>
    <n v="0"/>
  </r>
  <r>
    <s v="T003250"/>
    <x v="3067"/>
    <d v="2026-05-28T06:24:00"/>
    <x v="4"/>
    <s v="Field Visit"/>
    <x v="1"/>
    <s v="A015"/>
    <x v="0"/>
    <n v="24"/>
    <n v="119.2"/>
    <x v="1"/>
    <s v="No"/>
    <s v="No"/>
    <n v="4"/>
    <s v="Closed"/>
    <s v="May"/>
    <x v="4"/>
    <n v="2026"/>
    <s v="No"/>
    <n v="0"/>
    <x v="1"/>
    <n v="1"/>
  </r>
  <r>
    <s v="T003251"/>
    <x v="3068"/>
    <d v="2026-05-24T15:43:00"/>
    <x v="0"/>
    <s v="Field Visit"/>
    <x v="1"/>
    <s v="A031"/>
    <x v="2"/>
    <n v="24"/>
    <n v="31.8"/>
    <x v="0"/>
    <s v="Yes"/>
    <s v="No"/>
    <n v="3"/>
    <s v="Closed"/>
    <s v="May"/>
    <x v="4"/>
    <n v="2026"/>
    <s v="No"/>
    <n v="0"/>
    <x v="3"/>
    <n v="0"/>
  </r>
  <r>
    <s v="T003252"/>
    <x v="3069"/>
    <d v="2026-05-23T12:35:00"/>
    <x v="1"/>
    <s v="Chat"/>
    <x v="1"/>
    <s v="A017"/>
    <x v="2"/>
    <n v="24"/>
    <n v="3.6"/>
    <x v="1"/>
    <s v="No"/>
    <s v="Yes"/>
    <n v="5"/>
    <s v="Closed"/>
    <s v="May"/>
    <x v="4"/>
    <n v="2026"/>
    <s v="Yes"/>
    <n v="1"/>
    <x v="4"/>
    <n v="1"/>
  </r>
  <r>
    <s v="T003253"/>
    <x v="3070"/>
    <d v="2026-05-24T11:31:00"/>
    <x v="6"/>
    <s v="Field Visit"/>
    <x v="2"/>
    <s v="A002"/>
    <x v="0"/>
    <n v="4"/>
    <n v="25"/>
    <x v="1"/>
    <s v="No"/>
    <s v="No"/>
    <n v="5"/>
    <s v="Closed"/>
    <s v="May"/>
    <x v="4"/>
    <n v="2026"/>
    <s v="No"/>
    <n v="0"/>
    <x v="2"/>
    <n v="1"/>
  </r>
  <r>
    <s v="T003254"/>
    <x v="3071"/>
    <d v="2026-05-24T19:02:00"/>
    <x v="4"/>
    <s v="Chat"/>
    <x v="2"/>
    <s v="A015"/>
    <x v="0"/>
    <n v="4"/>
    <n v="31.4"/>
    <x v="0"/>
    <s v="Yes"/>
    <s v="No"/>
    <m/>
    <s v="Closed"/>
    <s v="May"/>
    <x v="4"/>
    <n v="2026"/>
    <s v="No"/>
    <n v="0"/>
    <x v="2"/>
    <n v="0"/>
  </r>
  <r>
    <s v="T003255"/>
    <x v="3072"/>
    <d v="2026-05-24T16:24:00"/>
    <x v="3"/>
    <s v="Field Visit"/>
    <x v="0"/>
    <s v="A017"/>
    <x v="2"/>
    <n v="72"/>
    <n v="27.9"/>
    <x v="1"/>
    <s v="No"/>
    <s v="No"/>
    <n v="5"/>
    <s v="Closed"/>
    <s v="May"/>
    <x v="4"/>
    <n v="2026"/>
    <s v="Yes"/>
    <n v="1"/>
    <x v="3"/>
    <n v="1"/>
  </r>
  <r>
    <s v="T003256"/>
    <x v="3073"/>
    <d v="2026-05-23T15:26:00"/>
    <x v="1"/>
    <s v="Chat"/>
    <x v="0"/>
    <s v="A044"/>
    <x v="1"/>
    <n v="72"/>
    <n v="2.8"/>
    <x v="1"/>
    <s v="No"/>
    <s v="No"/>
    <n v="5"/>
    <s v="Closed"/>
    <s v="May"/>
    <x v="4"/>
    <n v="2026"/>
    <s v="Yes"/>
    <n v="1"/>
    <x v="4"/>
    <n v="1"/>
  </r>
  <r>
    <s v="T003257"/>
    <x v="3074"/>
    <d v="2026-05-25T21:18:00"/>
    <x v="3"/>
    <s v="Field Visit"/>
    <x v="2"/>
    <s v="A058"/>
    <x v="1"/>
    <n v="4"/>
    <n v="56.1"/>
    <x v="1"/>
    <s v="No"/>
    <s v="Yes"/>
    <m/>
    <s v="Closed"/>
    <s v="May"/>
    <x v="4"/>
    <n v="2026"/>
    <s v="No"/>
    <n v="0"/>
    <x v="4"/>
    <n v="1"/>
  </r>
  <r>
    <s v="T003258"/>
    <x v="3075"/>
    <d v="2026-05-23T20:59:00"/>
    <x v="1"/>
    <s v="Phone"/>
    <x v="2"/>
    <s v="A041"/>
    <x v="1"/>
    <n v="4"/>
    <n v="7"/>
    <x v="1"/>
    <s v="No"/>
    <s v="No"/>
    <m/>
    <s v="Closed"/>
    <s v="May"/>
    <x v="4"/>
    <n v="2026"/>
    <s v="No"/>
    <n v="0"/>
    <x v="1"/>
    <n v="1"/>
  </r>
  <r>
    <s v="T003259"/>
    <x v="3075"/>
    <d v="2026-05-27T07:05:00"/>
    <x v="0"/>
    <s v="Field Visit"/>
    <x v="0"/>
    <s v="A060"/>
    <x v="1"/>
    <n v="72"/>
    <n v="89.1"/>
    <x v="1"/>
    <s v="No"/>
    <s v="No"/>
    <n v="3"/>
    <s v="Closed"/>
    <s v="May"/>
    <x v="4"/>
    <n v="2026"/>
    <s v="No"/>
    <n v="0"/>
    <x v="0"/>
    <n v="1"/>
  </r>
  <r>
    <s v="T003260"/>
    <x v="3076"/>
    <d v="2026-05-24T12:48:00"/>
    <x v="2"/>
    <s v="Chat"/>
    <x v="0"/>
    <s v="A014"/>
    <x v="0"/>
    <n v="72"/>
    <n v="22.1"/>
    <x v="1"/>
    <s v="No"/>
    <s v="No"/>
    <n v="4"/>
    <s v="Closed"/>
    <s v="May"/>
    <x v="4"/>
    <n v="2026"/>
    <s v="Yes"/>
    <n v="1"/>
    <x v="1"/>
    <n v="1"/>
  </r>
  <r>
    <s v="T003261"/>
    <x v="3077"/>
    <d v="2026-05-24T07:00:00"/>
    <x v="0"/>
    <s v="Phone"/>
    <x v="1"/>
    <s v="A030"/>
    <x v="2"/>
    <n v="24"/>
    <n v="16.100000000000001"/>
    <x v="0"/>
    <s v="No"/>
    <s v="No"/>
    <n v="4"/>
    <s v="Closed"/>
    <s v="May"/>
    <x v="4"/>
    <n v="2026"/>
    <s v="Yes"/>
    <n v="1"/>
    <x v="1"/>
    <n v="0"/>
  </r>
  <r>
    <s v="T003262"/>
    <x v="3078"/>
    <d v="2026-05-25T07:08:00"/>
    <x v="4"/>
    <s v="Chat"/>
    <x v="0"/>
    <s v="A016"/>
    <x v="2"/>
    <n v="72"/>
    <n v="40.1"/>
    <x v="1"/>
    <s v="No"/>
    <s v="No"/>
    <n v="5"/>
    <s v="Closed"/>
    <s v="May"/>
    <x v="4"/>
    <n v="2026"/>
    <s v="Yes"/>
    <n v="1"/>
    <x v="3"/>
    <n v="1"/>
  </r>
  <r>
    <s v="T003263"/>
    <x v="3079"/>
    <d v="2026-05-24T01:37:00"/>
    <x v="6"/>
    <s v="Phone"/>
    <x v="2"/>
    <s v="A041"/>
    <x v="1"/>
    <n v="4"/>
    <n v="9.1"/>
    <x v="0"/>
    <s v="No"/>
    <s v="No"/>
    <n v="3"/>
    <s v="Closed"/>
    <s v="May"/>
    <x v="4"/>
    <n v="2026"/>
    <s v="No"/>
    <n v="0"/>
    <x v="1"/>
    <n v="0"/>
  </r>
  <r>
    <s v="T003264"/>
    <x v="3080"/>
    <d v="2026-05-30T08:19:00"/>
    <x v="4"/>
    <s v="Field Visit"/>
    <x v="1"/>
    <s v="A006"/>
    <x v="0"/>
    <n v="24"/>
    <n v="158.30000000000001"/>
    <x v="0"/>
    <s v="Yes"/>
    <s v="No"/>
    <m/>
    <s v="Closed"/>
    <s v="May"/>
    <x v="4"/>
    <n v="2026"/>
    <s v="No"/>
    <n v="0"/>
    <x v="3"/>
    <n v="0"/>
  </r>
  <r>
    <s v="T003265"/>
    <x v="3081"/>
    <d v="2026-05-24T18:11:00"/>
    <x v="3"/>
    <s v="Chat"/>
    <x v="0"/>
    <s v="A001"/>
    <x v="0"/>
    <n v="72"/>
    <n v="21.7"/>
    <x v="0"/>
    <s v="No"/>
    <s v="No"/>
    <m/>
    <s v="Closed"/>
    <s v="May"/>
    <x v="4"/>
    <n v="2026"/>
    <s v="Yes"/>
    <n v="1"/>
    <x v="3"/>
    <n v="0"/>
  </r>
  <r>
    <s v="T003266"/>
    <x v="3082"/>
    <d v="2026-05-25T12:43:00"/>
    <x v="3"/>
    <s v="Phone"/>
    <x v="0"/>
    <s v="A023"/>
    <x v="2"/>
    <n v="72"/>
    <n v="32.299999999999997"/>
    <x v="0"/>
    <s v="No"/>
    <s v="No"/>
    <m/>
    <s v="Closed"/>
    <s v="May"/>
    <x v="4"/>
    <n v="2026"/>
    <s v="Yes"/>
    <n v="1"/>
    <x v="4"/>
    <n v="0"/>
  </r>
  <r>
    <s v="T003267"/>
    <x v="3083"/>
    <d v="2026-05-26T19:09:00"/>
    <x v="6"/>
    <s v="Field Visit"/>
    <x v="2"/>
    <s v="A002"/>
    <x v="0"/>
    <n v="4"/>
    <n v="60.3"/>
    <x v="1"/>
    <s v="No"/>
    <s v="No"/>
    <n v="4"/>
    <s v="Closed"/>
    <s v="May"/>
    <x v="4"/>
    <n v="2026"/>
    <s v="No"/>
    <n v="0"/>
    <x v="1"/>
    <n v="1"/>
  </r>
  <r>
    <s v="T003268"/>
    <x v="3084"/>
    <d v="2026-05-24T16:59:00"/>
    <x v="6"/>
    <s v="Field Visit"/>
    <x v="2"/>
    <s v="A054"/>
    <x v="1"/>
    <n v="4"/>
    <n v="9.8000000000000007"/>
    <x v="0"/>
    <s v="Yes"/>
    <s v="No"/>
    <n v="3"/>
    <s v="Closed"/>
    <s v="May"/>
    <x v="4"/>
    <n v="2026"/>
    <s v="No"/>
    <n v="0"/>
    <x v="2"/>
    <n v="0"/>
  </r>
  <r>
    <s v="T003269"/>
    <x v="3085"/>
    <d v="2026-05-25T00:32:00"/>
    <x v="5"/>
    <s v="Field Visit"/>
    <x v="2"/>
    <s v="A056"/>
    <x v="1"/>
    <n v="4"/>
    <n v="14.4"/>
    <x v="1"/>
    <s v="No"/>
    <s v="No"/>
    <m/>
    <s v="Closed"/>
    <s v="May"/>
    <x v="4"/>
    <n v="2026"/>
    <s v="No"/>
    <n v="0"/>
    <x v="1"/>
    <n v="1"/>
  </r>
  <r>
    <s v="T003270"/>
    <x v="3086"/>
    <d v="2026-05-24T15:09:00"/>
    <x v="6"/>
    <s v="Phone"/>
    <x v="1"/>
    <s v="A044"/>
    <x v="1"/>
    <n v="24"/>
    <n v="4"/>
    <x v="0"/>
    <s v="Yes"/>
    <s v="No"/>
    <m/>
    <s v="Closed"/>
    <s v="May"/>
    <x v="4"/>
    <n v="2026"/>
    <s v="Yes"/>
    <n v="1"/>
    <x v="1"/>
    <n v="0"/>
  </r>
  <r>
    <s v="T003271"/>
    <x v="3087"/>
    <d v="2026-05-31T07:10:00"/>
    <x v="3"/>
    <s v="Field Visit"/>
    <x v="0"/>
    <s v="A033"/>
    <x v="2"/>
    <n v="72"/>
    <n v="164"/>
    <x v="1"/>
    <s v="No"/>
    <s v="No"/>
    <n v="3"/>
    <s v="Closed"/>
    <s v="May"/>
    <x v="4"/>
    <n v="2026"/>
    <s v="No"/>
    <n v="0"/>
    <x v="1"/>
    <n v="1"/>
  </r>
  <r>
    <s v="T003272"/>
    <x v="3088"/>
    <d v="2026-05-25T11:17:00"/>
    <x v="2"/>
    <s v="Chat"/>
    <x v="2"/>
    <s v="A017"/>
    <x v="2"/>
    <n v="4"/>
    <n v="22.7"/>
    <x v="1"/>
    <s v="No"/>
    <s v="No"/>
    <n v="5"/>
    <s v="Closed"/>
    <s v="May"/>
    <x v="4"/>
    <n v="2026"/>
    <s v="No"/>
    <n v="0"/>
    <x v="2"/>
    <n v="1"/>
  </r>
  <r>
    <s v="T003273"/>
    <x v="3089"/>
    <d v="2026-05-25T10:47:00"/>
    <x v="0"/>
    <s v="Field Visit"/>
    <x v="0"/>
    <s v="A021"/>
    <x v="2"/>
    <n v="72"/>
    <n v="21.2"/>
    <x v="1"/>
    <s v="No"/>
    <s v="No"/>
    <n v="5"/>
    <s v="Closed"/>
    <s v="May"/>
    <x v="4"/>
    <n v="2026"/>
    <s v="Yes"/>
    <n v="1"/>
    <x v="1"/>
    <n v="1"/>
  </r>
  <r>
    <s v="T003274"/>
    <x v="3090"/>
    <d v="2026-05-25T02:14:00"/>
    <x v="2"/>
    <s v="Chat"/>
    <x v="0"/>
    <s v="A017"/>
    <x v="2"/>
    <n v="72"/>
    <n v="12.3"/>
    <x v="1"/>
    <s v="No"/>
    <s v="No"/>
    <n v="5"/>
    <s v="Closed"/>
    <s v="May"/>
    <x v="4"/>
    <n v="2026"/>
    <s v="Yes"/>
    <n v="1"/>
    <x v="1"/>
    <n v="1"/>
  </r>
  <r>
    <s v="T003275"/>
    <x v="3091"/>
    <d v="2026-05-24T18:04:00"/>
    <x v="6"/>
    <s v="Phone"/>
    <x v="2"/>
    <s v="A010"/>
    <x v="0"/>
    <n v="4"/>
    <n v="3.5"/>
    <x v="0"/>
    <s v="No"/>
    <s v="No"/>
    <m/>
    <s v="Closed"/>
    <s v="May"/>
    <x v="4"/>
    <n v="2026"/>
    <s v="Yes"/>
    <n v="1"/>
    <x v="1"/>
    <n v="0"/>
  </r>
  <r>
    <s v="T003276"/>
    <x v="3092"/>
    <d v="2026-05-26T01:08:00"/>
    <x v="6"/>
    <s v="Field Visit"/>
    <x v="1"/>
    <s v="A011"/>
    <x v="0"/>
    <n v="24"/>
    <n v="34.4"/>
    <x v="0"/>
    <s v="Yes"/>
    <s v="No"/>
    <m/>
    <s v="Closed"/>
    <s v="May"/>
    <x v="4"/>
    <n v="2026"/>
    <s v="No"/>
    <n v="0"/>
    <x v="1"/>
    <n v="0"/>
  </r>
  <r>
    <s v="T003277"/>
    <x v="3093"/>
    <d v="2026-05-25T21:54:00"/>
    <x v="3"/>
    <s v="Phone"/>
    <x v="1"/>
    <s v="A045"/>
    <x v="1"/>
    <n v="24"/>
    <n v="30"/>
    <x v="0"/>
    <s v="No"/>
    <s v="No"/>
    <n v="4"/>
    <s v="Closed"/>
    <s v="May"/>
    <x v="4"/>
    <n v="2026"/>
    <s v="No"/>
    <n v="0"/>
    <x v="3"/>
    <n v="0"/>
  </r>
  <r>
    <s v="T003278"/>
    <x v="3094"/>
    <d v="2026-05-25T00:43:00"/>
    <x v="1"/>
    <s v="Phone"/>
    <x v="1"/>
    <s v="A053"/>
    <x v="1"/>
    <n v="24"/>
    <n v="8"/>
    <x v="0"/>
    <s v="No"/>
    <s v="No"/>
    <n v="5"/>
    <s v="Closed"/>
    <s v="May"/>
    <x v="4"/>
    <n v="2026"/>
    <s v="Yes"/>
    <n v="1"/>
    <x v="3"/>
    <n v="0"/>
  </r>
  <r>
    <s v="T003279"/>
    <x v="3095"/>
    <d v="2026-05-27T01:51:00"/>
    <x v="6"/>
    <s v="Field Visit"/>
    <x v="1"/>
    <s v="A050"/>
    <x v="1"/>
    <n v="24"/>
    <n v="56.5"/>
    <x v="1"/>
    <s v="No"/>
    <s v="No"/>
    <n v="3"/>
    <s v="Closed"/>
    <s v="May"/>
    <x v="4"/>
    <n v="2026"/>
    <s v="No"/>
    <n v="0"/>
    <x v="0"/>
    <n v="1"/>
  </r>
  <r>
    <s v="T003280"/>
    <x v="3096"/>
    <d v="2026-05-24T21:36:00"/>
    <x v="6"/>
    <s v="Chat"/>
    <x v="0"/>
    <s v="A006"/>
    <x v="0"/>
    <n v="72"/>
    <n v="4.2"/>
    <x v="1"/>
    <s v="No"/>
    <s v="No"/>
    <m/>
    <s v="Closed"/>
    <s v="May"/>
    <x v="4"/>
    <n v="2026"/>
    <s v="Yes"/>
    <n v="1"/>
    <x v="3"/>
    <n v="1"/>
  </r>
  <r>
    <s v="T003281"/>
    <x v="3097"/>
    <d v="2026-05-26T02:33:00"/>
    <x v="2"/>
    <s v="Phone"/>
    <x v="2"/>
    <s v="A014"/>
    <x v="0"/>
    <n v="4"/>
    <n v="32.6"/>
    <x v="1"/>
    <s v="No"/>
    <s v="No"/>
    <n v="3"/>
    <s v="Closed"/>
    <s v="May"/>
    <x v="4"/>
    <n v="2026"/>
    <s v="No"/>
    <n v="0"/>
    <x v="0"/>
    <n v="1"/>
  </r>
  <r>
    <s v="T003282"/>
    <x v="3098"/>
    <d v="2026-05-26T05:50:00"/>
    <x v="6"/>
    <s v="Field Visit"/>
    <x v="2"/>
    <s v="A026"/>
    <x v="2"/>
    <n v="4"/>
    <n v="27.6"/>
    <x v="1"/>
    <s v="No"/>
    <s v="No"/>
    <m/>
    <s v="Closed"/>
    <s v="May"/>
    <x v="4"/>
    <n v="2026"/>
    <s v="No"/>
    <n v="0"/>
    <x v="1"/>
    <n v="1"/>
  </r>
  <r>
    <s v="T003283"/>
    <x v="3099"/>
    <d v="2026-05-25T11:48:00"/>
    <x v="3"/>
    <s v="Phone"/>
    <x v="0"/>
    <s v="A040"/>
    <x v="1"/>
    <n v="72"/>
    <n v="3.8"/>
    <x v="1"/>
    <s v="No"/>
    <s v="No"/>
    <m/>
    <s v="Closed"/>
    <s v="May"/>
    <x v="4"/>
    <n v="2026"/>
    <s v="Yes"/>
    <n v="1"/>
    <x v="0"/>
    <n v="1"/>
  </r>
  <r>
    <s v="T003284"/>
    <x v="3100"/>
    <d v="2026-05-25T15:42:00"/>
    <x v="2"/>
    <s v="Chat"/>
    <x v="0"/>
    <s v="A060"/>
    <x v="1"/>
    <n v="72"/>
    <n v="6.3"/>
    <x v="0"/>
    <s v="Yes"/>
    <s v="No"/>
    <m/>
    <s v="Closed"/>
    <s v="May"/>
    <x v="4"/>
    <n v="2026"/>
    <s v="Yes"/>
    <n v="1"/>
    <x v="3"/>
    <n v="0"/>
  </r>
  <r>
    <s v="T003285"/>
    <x v="3101"/>
    <d v="2026-05-25T20:00:00"/>
    <x v="1"/>
    <s v="Phone"/>
    <x v="1"/>
    <s v="A041"/>
    <x v="1"/>
    <n v="24"/>
    <n v="9.8000000000000007"/>
    <x v="1"/>
    <s v="No"/>
    <s v="No"/>
    <m/>
    <s v="Closed"/>
    <s v="May"/>
    <x v="4"/>
    <n v="2026"/>
    <s v="Yes"/>
    <n v="1"/>
    <x v="1"/>
    <n v="1"/>
  </r>
  <r>
    <s v="T003286"/>
    <x v="3102"/>
    <d v="2026-05-27T03:02:00"/>
    <x v="4"/>
    <s v="Phone"/>
    <x v="0"/>
    <s v="A018"/>
    <x v="2"/>
    <n v="72"/>
    <n v="40.1"/>
    <x v="0"/>
    <s v="No"/>
    <s v="No"/>
    <n v="4"/>
    <s v="Closed"/>
    <s v="May"/>
    <x v="4"/>
    <n v="2026"/>
    <s v="Yes"/>
    <n v="1"/>
    <x v="1"/>
    <n v="0"/>
  </r>
  <r>
    <s v="T003287"/>
    <x v="3103"/>
    <d v="2026-05-26T09:47:00"/>
    <x v="0"/>
    <s v="Phone"/>
    <x v="2"/>
    <s v="A058"/>
    <x v="1"/>
    <n v="4"/>
    <n v="22.3"/>
    <x v="1"/>
    <s v="No"/>
    <s v="No"/>
    <m/>
    <s v="Closed"/>
    <s v="May"/>
    <x v="4"/>
    <n v="2026"/>
    <s v="No"/>
    <n v="0"/>
    <x v="1"/>
    <n v="1"/>
  </r>
  <r>
    <s v="T003288"/>
    <x v="3104"/>
    <d v="2026-05-25T23:15:00"/>
    <x v="2"/>
    <s v="Phone"/>
    <x v="1"/>
    <s v="A035"/>
    <x v="2"/>
    <n v="24"/>
    <n v="11.7"/>
    <x v="0"/>
    <s v="Yes"/>
    <s v="No"/>
    <n v="3"/>
    <s v="Closed"/>
    <s v="May"/>
    <x v="4"/>
    <n v="2026"/>
    <s v="Yes"/>
    <n v="1"/>
    <x v="0"/>
    <n v="0"/>
  </r>
  <r>
    <s v="T003289"/>
    <x v="3105"/>
    <d v="2026-05-25T19:20:00"/>
    <x v="2"/>
    <s v="Phone"/>
    <x v="1"/>
    <s v="A018"/>
    <x v="2"/>
    <n v="24"/>
    <n v="7.6"/>
    <x v="1"/>
    <s v="No"/>
    <s v="No"/>
    <n v="5"/>
    <s v="Closed"/>
    <s v="May"/>
    <x v="4"/>
    <n v="2026"/>
    <s v="Yes"/>
    <n v="1"/>
    <x v="1"/>
    <n v="1"/>
  </r>
  <r>
    <s v="T003290"/>
    <x v="3106"/>
    <d v="2026-05-25T18:17:00"/>
    <x v="0"/>
    <s v="Phone"/>
    <x v="0"/>
    <s v="A018"/>
    <x v="2"/>
    <n v="72"/>
    <n v="6.5"/>
    <x v="1"/>
    <s v="No"/>
    <s v="No"/>
    <n v="5"/>
    <s v="Closed"/>
    <s v="May"/>
    <x v="4"/>
    <n v="2026"/>
    <s v="Yes"/>
    <n v="1"/>
    <x v="3"/>
    <n v="1"/>
  </r>
  <r>
    <s v="T003291"/>
    <x v="3107"/>
    <d v="2026-05-28T04:51:00"/>
    <x v="4"/>
    <s v="Email"/>
    <x v="1"/>
    <s v="A006"/>
    <x v="0"/>
    <n v="24"/>
    <n v="63.8"/>
    <x v="1"/>
    <s v="No"/>
    <s v="No"/>
    <n v="5"/>
    <s v="Closed"/>
    <s v="May"/>
    <x v="4"/>
    <n v="2026"/>
    <s v="No"/>
    <n v="0"/>
    <x v="2"/>
    <n v="1"/>
  </r>
  <r>
    <s v="T003292"/>
    <x v="3108"/>
    <d v="2026-05-26T00:14:00"/>
    <x v="3"/>
    <s v="Phone"/>
    <x v="0"/>
    <s v="A021"/>
    <x v="2"/>
    <n v="72"/>
    <n v="10.9"/>
    <x v="0"/>
    <s v="Yes"/>
    <s v="No"/>
    <n v="3"/>
    <s v="Closed"/>
    <s v="May"/>
    <x v="4"/>
    <n v="2026"/>
    <s v="Yes"/>
    <n v="1"/>
    <x v="3"/>
    <n v="0"/>
  </r>
  <r>
    <s v="T003293"/>
    <x v="3109"/>
    <d v="2026-05-25T22:53:00"/>
    <x v="6"/>
    <s v="Phone"/>
    <x v="1"/>
    <s v="A008"/>
    <x v="0"/>
    <n v="24"/>
    <n v="9.3000000000000007"/>
    <x v="0"/>
    <s v="Yes"/>
    <s v="No"/>
    <n v="3"/>
    <s v="Closed"/>
    <s v="May"/>
    <x v="4"/>
    <n v="2026"/>
    <s v="Yes"/>
    <n v="1"/>
    <x v="1"/>
    <n v="0"/>
  </r>
  <r>
    <s v="T003294"/>
    <x v="3110"/>
    <d v="2026-05-26T01:44:00"/>
    <x v="5"/>
    <s v="Phone"/>
    <x v="2"/>
    <s v="A015"/>
    <x v="0"/>
    <n v="4"/>
    <n v="11.9"/>
    <x v="1"/>
    <s v="No"/>
    <s v="No"/>
    <n v="2"/>
    <s v="Closed"/>
    <s v="May"/>
    <x v="4"/>
    <n v="2026"/>
    <s v="No"/>
    <n v="0"/>
    <x v="3"/>
    <n v="1"/>
  </r>
  <r>
    <s v="T003295"/>
    <x v="3111"/>
    <d v="2026-05-25T20:19:00"/>
    <x v="6"/>
    <s v="Phone"/>
    <x v="0"/>
    <s v="A038"/>
    <x v="1"/>
    <n v="72"/>
    <n v="2.2000000000000002"/>
    <x v="1"/>
    <s v="No"/>
    <s v="No"/>
    <n v="5"/>
    <s v="Closed"/>
    <s v="May"/>
    <x v="4"/>
    <n v="2026"/>
    <s v="Yes"/>
    <n v="1"/>
    <x v="1"/>
    <n v="1"/>
  </r>
  <r>
    <s v="T003296"/>
    <x v="3112"/>
    <d v="2026-05-26T09:39:00"/>
    <x v="0"/>
    <s v="Phone"/>
    <x v="1"/>
    <s v="A055"/>
    <x v="1"/>
    <n v="24"/>
    <n v="8.3000000000000007"/>
    <x v="1"/>
    <s v="No"/>
    <s v="No"/>
    <n v="5"/>
    <s v="Closed"/>
    <s v="May"/>
    <x v="4"/>
    <n v="2026"/>
    <s v="Yes"/>
    <n v="1"/>
    <x v="1"/>
    <n v="1"/>
  </r>
  <r>
    <s v="T003297"/>
    <x v="3113"/>
    <d v="2026-05-27T00:15:00"/>
    <x v="4"/>
    <s v="Chat"/>
    <x v="2"/>
    <s v="A026"/>
    <x v="2"/>
    <n v="4"/>
    <n v="17.5"/>
    <x v="1"/>
    <s v="No"/>
    <s v="No"/>
    <n v="5"/>
    <s v="Closed"/>
    <s v="May"/>
    <x v="4"/>
    <n v="2026"/>
    <s v="No"/>
    <n v="0"/>
    <x v="4"/>
    <n v="1"/>
  </r>
  <r>
    <s v="T003298"/>
    <x v="3114"/>
    <d v="2026-06-04T06:38:00"/>
    <x v="4"/>
    <s v="Field Visit"/>
    <x v="0"/>
    <s v="A042"/>
    <x v="1"/>
    <n v="72"/>
    <n v="213.2"/>
    <x v="0"/>
    <s v="Yes"/>
    <s v="No"/>
    <n v="3"/>
    <s v="Closed"/>
    <s v="May"/>
    <x v="4"/>
    <n v="2026"/>
    <s v="No"/>
    <n v="0"/>
    <x v="3"/>
    <n v="0"/>
  </r>
  <r>
    <s v="T003299"/>
    <x v="3115"/>
    <d v="2026-05-27T18:24:00"/>
    <x v="6"/>
    <s v="Field Visit"/>
    <x v="2"/>
    <s v="A003"/>
    <x v="0"/>
    <n v="4"/>
    <n v="32.700000000000003"/>
    <x v="1"/>
    <s v="No"/>
    <s v="No"/>
    <m/>
    <s v="Closed"/>
    <s v="May"/>
    <x v="4"/>
    <n v="2026"/>
    <s v="No"/>
    <n v="0"/>
    <x v="1"/>
    <n v="1"/>
  </r>
  <r>
    <s v="T003300"/>
    <x v="3116"/>
    <d v="2026-05-26T18:03:00"/>
    <x v="6"/>
    <s v="Phone"/>
    <x v="2"/>
    <s v="A023"/>
    <x v="2"/>
    <n v="4"/>
    <n v="7.1"/>
    <x v="1"/>
    <s v="No"/>
    <s v="No"/>
    <n v="5"/>
    <s v="Closed"/>
    <s v="May"/>
    <x v="4"/>
    <n v="2026"/>
    <s v="No"/>
    <n v="0"/>
    <x v="2"/>
    <n v="1"/>
  </r>
  <r>
    <s v="T003301"/>
    <x v="3117"/>
    <d v="2026-05-27T18:49:00"/>
    <x v="4"/>
    <s v="Field Visit"/>
    <x v="1"/>
    <s v="A002"/>
    <x v="0"/>
    <n v="24"/>
    <n v="31.7"/>
    <x v="0"/>
    <s v="No"/>
    <s v="No"/>
    <m/>
    <s v="Closed"/>
    <s v="May"/>
    <x v="4"/>
    <n v="2026"/>
    <s v="No"/>
    <n v="0"/>
    <x v="1"/>
    <n v="0"/>
  </r>
  <r>
    <s v="T003302"/>
    <x v="3118"/>
    <d v="2026-05-26T19:44:00"/>
    <x v="2"/>
    <s v="Phone"/>
    <x v="1"/>
    <s v="A039"/>
    <x v="1"/>
    <n v="24"/>
    <n v="7.9"/>
    <x v="0"/>
    <s v="Yes"/>
    <s v="No"/>
    <m/>
    <s v="Closed"/>
    <s v="May"/>
    <x v="4"/>
    <n v="2026"/>
    <s v="Yes"/>
    <n v="1"/>
    <x v="3"/>
    <n v="0"/>
  </r>
  <r>
    <s v="T003303"/>
    <x v="3119"/>
    <d v="2026-05-26T18:49:00"/>
    <x v="2"/>
    <s v="Chat"/>
    <x v="1"/>
    <s v="A059"/>
    <x v="1"/>
    <n v="24"/>
    <n v="6.9"/>
    <x v="1"/>
    <s v="No"/>
    <s v="No"/>
    <m/>
    <s v="Closed"/>
    <s v="May"/>
    <x v="4"/>
    <n v="2026"/>
    <s v="Yes"/>
    <n v="1"/>
    <x v="2"/>
    <n v="1"/>
  </r>
  <r>
    <s v="T003304"/>
    <x v="3120"/>
    <d v="2026-05-26T19:34:00"/>
    <x v="0"/>
    <s v="Phone"/>
    <x v="1"/>
    <s v="A039"/>
    <x v="1"/>
    <n v="24"/>
    <n v="6.6"/>
    <x v="1"/>
    <s v="No"/>
    <s v="No"/>
    <n v="5"/>
    <s v="Closed"/>
    <s v="May"/>
    <x v="4"/>
    <n v="2026"/>
    <s v="Yes"/>
    <n v="1"/>
    <x v="0"/>
    <n v="1"/>
  </r>
  <r>
    <s v="T003305"/>
    <x v="3121"/>
    <d v="2026-05-26T23:25:00"/>
    <x v="5"/>
    <s v="Phone"/>
    <x v="1"/>
    <s v="A005"/>
    <x v="0"/>
    <n v="24"/>
    <n v="9.9"/>
    <x v="1"/>
    <s v="No"/>
    <s v="No"/>
    <n v="5"/>
    <s v="Closed"/>
    <s v="May"/>
    <x v="4"/>
    <n v="2026"/>
    <s v="Yes"/>
    <n v="1"/>
    <x v="1"/>
    <n v="1"/>
  </r>
  <r>
    <s v="T003306"/>
    <x v="3122"/>
    <d v="2026-05-29T13:31:00"/>
    <x v="0"/>
    <s v="Field Visit"/>
    <x v="0"/>
    <s v="A031"/>
    <x v="2"/>
    <n v="72"/>
    <n v="70.5"/>
    <x v="1"/>
    <s v="No"/>
    <s v="No"/>
    <n v="5"/>
    <s v="Closed"/>
    <s v="May"/>
    <x v="4"/>
    <n v="2026"/>
    <s v="Yes"/>
    <n v="1"/>
    <x v="1"/>
    <n v="1"/>
  </r>
  <r>
    <s v="T003307"/>
    <x v="3123"/>
    <d v="2026-05-26T19:40:00"/>
    <x v="6"/>
    <s v="Chat"/>
    <x v="2"/>
    <s v="A052"/>
    <x v="1"/>
    <n v="4"/>
    <n v="4.0999999999999996"/>
    <x v="1"/>
    <s v="No"/>
    <s v="No"/>
    <n v="5"/>
    <s v="Closed"/>
    <s v="May"/>
    <x v="4"/>
    <n v="2026"/>
    <s v="No"/>
    <n v="0"/>
    <x v="4"/>
    <n v="1"/>
  </r>
  <r>
    <s v="T003308"/>
    <x v="3124"/>
    <d v="2026-05-28T21:21:00"/>
    <x v="3"/>
    <s v="Field Visit"/>
    <x v="0"/>
    <s v="A043"/>
    <x v="1"/>
    <n v="72"/>
    <n v="53.4"/>
    <x v="1"/>
    <s v="No"/>
    <s v="No"/>
    <m/>
    <s v="Closed"/>
    <s v="May"/>
    <x v="4"/>
    <n v="2026"/>
    <s v="Yes"/>
    <n v="1"/>
    <x v="2"/>
    <n v="1"/>
  </r>
  <r>
    <s v="T003309"/>
    <x v="3125"/>
    <d v="2026-05-28T08:42:00"/>
    <x v="0"/>
    <s v="Email"/>
    <x v="0"/>
    <s v="A013"/>
    <x v="0"/>
    <n v="72"/>
    <n v="39.5"/>
    <x v="1"/>
    <s v="No"/>
    <s v="Yes"/>
    <n v="3"/>
    <s v="Closed"/>
    <s v="May"/>
    <x v="4"/>
    <n v="2026"/>
    <s v="Yes"/>
    <n v="1"/>
    <x v="0"/>
    <n v="1"/>
  </r>
  <r>
    <s v="T003310"/>
    <x v="3126"/>
    <d v="2026-05-26T19:23:00"/>
    <x v="0"/>
    <s v="Chat"/>
    <x v="1"/>
    <s v="A005"/>
    <x v="0"/>
    <n v="24"/>
    <n v="1.2"/>
    <x v="1"/>
    <s v="No"/>
    <s v="Yes"/>
    <n v="5"/>
    <s v="Closed"/>
    <s v="May"/>
    <x v="4"/>
    <n v="2026"/>
    <s v="Yes"/>
    <n v="1"/>
    <x v="0"/>
    <n v="1"/>
  </r>
  <r>
    <s v="T003311"/>
    <x v="3127"/>
    <d v="2026-05-28T15:20:00"/>
    <x v="3"/>
    <s v="Email"/>
    <x v="0"/>
    <s v="A006"/>
    <x v="0"/>
    <n v="72"/>
    <n v="45.1"/>
    <x v="1"/>
    <s v="No"/>
    <s v="No"/>
    <n v="5"/>
    <s v="Closed"/>
    <s v="May"/>
    <x v="4"/>
    <n v="2026"/>
    <s v="Yes"/>
    <n v="1"/>
    <x v="0"/>
    <n v="1"/>
  </r>
  <r>
    <s v="T003312"/>
    <x v="3128"/>
    <d v="2026-05-26T23:24:00"/>
    <x v="6"/>
    <s v="Phone"/>
    <x v="0"/>
    <s v="A005"/>
    <x v="0"/>
    <n v="72"/>
    <n v="4.5"/>
    <x v="0"/>
    <s v="No"/>
    <s v="No"/>
    <n v="4"/>
    <s v="Closed"/>
    <s v="May"/>
    <x v="4"/>
    <n v="2026"/>
    <s v="Yes"/>
    <n v="1"/>
    <x v="1"/>
    <n v="0"/>
  </r>
  <r>
    <s v="T003313"/>
    <x v="3129"/>
    <d v="2026-05-28T05:58:00"/>
    <x v="3"/>
    <s v="Field Visit"/>
    <x v="0"/>
    <s v="A046"/>
    <x v="1"/>
    <n v="72"/>
    <n v="34.9"/>
    <x v="1"/>
    <s v="No"/>
    <s v="Yes"/>
    <n v="3"/>
    <s v="Closed"/>
    <s v="May"/>
    <x v="4"/>
    <n v="2026"/>
    <s v="Yes"/>
    <n v="1"/>
    <x v="4"/>
    <n v="1"/>
  </r>
  <r>
    <s v="T003314"/>
    <x v="3130"/>
    <d v="2026-05-27T02:40:00"/>
    <x v="1"/>
    <s v="Phone"/>
    <x v="0"/>
    <s v="A002"/>
    <x v="0"/>
    <n v="72"/>
    <n v="4.5999999999999996"/>
    <x v="1"/>
    <s v="No"/>
    <s v="No"/>
    <m/>
    <s v="Closed"/>
    <s v="May"/>
    <x v="4"/>
    <n v="2026"/>
    <s v="Yes"/>
    <n v="1"/>
    <x v="4"/>
    <n v="1"/>
  </r>
  <r>
    <s v="T003315"/>
    <x v="3131"/>
    <d v="2026-05-27T04:44:00"/>
    <x v="1"/>
    <s v="Phone"/>
    <x v="0"/>
    <s v="A057"/>
    <x v="1"/>
    <n v="72"/>
    <n v="6.3"/>
    <x v="1"/>
    <s v="No"/>
    <s v="No"/>
    <m/>
    <s v="Closed"/>
    <s v="May"/>
    <x v="4"/>
    <n v="2026"/>
    <s v="Yes"/>
    <n v="1"/>
    <x v="1"/>
    <n v="1"/>
  </r>
  <r>
    <s v="T003316"/>
    <x v="3132"/>
    <d v="2026-05-29T07:58:00"/>
    <x v="4"/>
    <s v="Field Visit"/>
    <x v="0"/>
    <s v="A033"/>
    <x v="2"/>
    <n v="72"/>
    <n v="56.9"/>
    <x v="1"/>
    <s v="No"/>
    <s v="No"/>
    <m/>
    <s v="Closed"/>
    <s v="May"/>
    <x v="4"/>
    <n v="2026"/>
    <s v="Yes"/>
    <n v="1"/>
    <x v="1"/>
    <n v="1"/>
  </r>
  <r>
    <s v="T003317"/>
    <x v="3133"/>
    <d v="2026-05-27T06:05:00"/>
    <x v="4"/>
    <s v="Phone"/>
    <x v="0"/>
    <s v="A036"/>
    <x v="1"/>
    <n v="72"/>
    <n v="6.5"/>
    <x v="1"/>
    <s v="No"/>
    <s v="No"/>
    <n v="5"/>
    <s v="Closed"/>
    <s v="May"/>
    <x v="4"/>
    <n v="2026"/>
    <s v="Yes"/>
    <n v="1"/>
    <x v="3"/>
    <n v="1"/>
  </r>
  <r>
    <s v="T003318"/>
    <x v="3134"/>
    <d v="2026-05-27T08:14:00"/>
    <x v="1"/>
    <s v="Chat"/>
    <x v="1"/>
    <s v="A036"/>
    <x v="1"/>
    <n v="24"/>
    <n v="3.2"/>
    <x v="1"/>
    <s v="No"/>
    <s v="No"/>
    <m/>
    <s v="Closed"/>
    <s v="May"/>
    <x v="4"/>
    <n v="2026"/>
    <s v="Yes"/>
    <n v="1"/>
    <x v="1"/>
    <n v="1"/>
  </r>
  <r>
    <s v="T003319"/>
    <x v="3135"/>
    <d v="2026-05-27T07:13:00"/>
    <x v="5"/>
    <s v="Phone"/>
    <x v="1"/>
    <s v="A006"/>
    <x v="0"/>
    <n v="24"/>
    <n v="2.1"/>
    <x v="1"/>
    <s v="No"/>
    <s v="No"/>
    <m/>
    <s v="Closed"/>
    <s v="May"/>
    <x v="4"/>
    <n v="2026"/>
    <s v="Yes"/>
    <n v="1"/>
    <x v="0"/>
    <n v="1"/>
  </r>
  <r>
    <s v="T003320"/>
    <x v="3136"/>
    <d v="2026-05-27T17:02:00"/>
    <x v="3"/>
    <s v="Chat"/>
    <x v="1"/>
    <s v="A016"/>
    <x v="2"/>
    <n v="24"/>
    <n v="8"/>
    <x v="0"/>
    <s v="Yes"/>
    <s v="Yes"/>
    <n v="3"/>
    <s v="Closed"/>
    <s v="May"/>
    <x v="4"/>
    <n v="2026"/>
    <s v="Yes"/>
    <n v="1"/>
    <x v="1"/>
    <n v="0"/>
  </r>
  <r>
    <s v="T003321"/>
    <x v="3137"/>
    <d v="2026-05-27T15:58:00"/>
    <x v="1"/>
    <s v="Phone"/>
    <x v="1"/>
    <s v="A002"/>
    <x v="0"/>
    <n v="24"/>
    <n v="6.9"/>
    <x v="1"/>
    <s v="No"/>
    <s v="No"/>
    <n v="4"/>
    <s v="Closed"/>
    <s v="May"/>
    <x v="4"/>
    <n v="2026"/>
    <s v="Yes"/>
    <n v="1"/>
    <x v="2"/>
    <n v="1"/>
  </r>
  <r>
    <s v="T003322"/>
    <x v="3138"/>
    <d v="2026-05-27T16:22:00"/>
    <x v="1"/>
    <s v="Chat"/>
    <x v="1"/>
    <s v="A030"/>
    <x v="2"/>
    <n v="24"/>
    <n v="7"/>
    <x v="1"/>
    <s v="No"/>
    <s v="No"/>
    <n v="5"/>
    <s v="Closed"/>
    <s v="May"/>
    <x v="4"/>
    <n v="2026"/>
    <s v="Yes"/>
    <n v="1"/>
    <x v="2"/>
    <n v="1"/>
  </r>
  <r>
    <s v="T003323"/>
    <x v="3139"/>
    <d v="2026-05-29T01:04:00"/>
    <x v="6"/>
    <s v="Field Visit"/>
    <x v="0"/>
    <s v="A006"/>
    <x v="0"/>
    <n v="72"/>
    <n v="39.200000000000003"/>
    <x v="1"/>
    <s v="No"/>
    <s v="No"/>
    <m/>
    <s v="Closed"/>
    <s v="May"/>
    <x v="4"/>
    <n v="2026"/>
    <s v="Yes"/>
    <n v="1"/>
    <x v="1"/>
    <n v="1"/>
  </r>
  <r>
    <s v="T003324"/>
    <x v="3140"/>
    <d v="2026-05-27T14:55:00"/>
    <x v="2"/>
    <s v="Chat"/>
    <x v="1"/>
    <s v="A010"/>
    <x v="0"/>
    <n v="24"/>
    <n v="4.9000000000000004"/>
    <x v="1"/>
    <s v="No"/>
    <s v="No"/>
    <n v="4"/>
    <s v="Closed"/>
    <s v="May"/>
    <x v="4"/>
    <n v="2026"/>
    <s v="Yes"/>
    <n v="1"/>
    <x v="2"/>
    <n v="1"/>
  </r>
  <r>
    <s v="T003325"/>
    <x v="3141"/>
    <d v="2026-05-27T13:34:00"/>
    <x v="1"/>
    <s v="Phone"/>
    <x v="0"/>
    <s v="A060"/>
    <x v="1"/>
    <n v="72"/>
    <n v="3.4"/>
    <x v="1"/>
    <s v="No"/>
    <s v="No"/>
    <n v="5"/>
    <s v="Closed"/>
    <s v="May"/>
    <x v="4"/>
    <n v="2026"/>
    <s v="Yes"/>
    <n v="1"/>
    <x v="3"/>
    <n v="1"/>
  </r>
  <r>
    <s v="T003326"/>
    <x v="3142"/>
    <d v="2026-05-28T22:48:00"/>
    <x v="2"/>
    <s v="Field Visit"/>
    <x v="1"/>
    <s v="A022"/>
    <x v="2"/>
    <n v="24"/>
    <n v="35.5"/>
    <x v="1"/>
    <s v="No"/>
    <s v="No"/>
    <n v="4"/>
    <s v="Closed"/>
    <s v="May"/>
    <x v="4"/>
    <n v="2026"/>
    <s v="No"/>
    <n v="0"/>
    <x v="4"/>
    <n v="1"/>
  </r>
  <r>
    <s v="T003327"/>
    <x v="3143"/>
    <d v="2026-05-28T16:45:00"/>
    <x v="6"/>
    <s v="Field Visit"/>
    <x v="2"/>
    <s v="A046"/>
    <x v="1"/>
    <n v="4"/>
    <n v="28.9"/>
    <x v="1"/>
    <s v="No"/>
    <s v="No"/>
    <n v="5"/>
    <s v="Closed"/>
    <s v="May"/>
    <x v="4"/>
    <n v="2026"/>
    <s v="No"/>
    <n v="0"/>
    <x v="2"/>
    <n v="1"/>
  </r>
  <r>
    <s v="T003328"/>
    <x v="3144"/>
    <d v="2026-05-28T05:20:00"/>
    <x v="6"/>
    <s v="Field Visit"/>
    <x v="2"/>
    <s v="A032"/>
    <x v="2"/>
    <n v="4"/>
    <n v="16.3"/>
    <x v="1"/>
    <s v="No"/>
    <s v="No"/>
    <n v="5"/>
    <s v="Closed"/>
    <s v="May"/>
    <x v="4"/>
    <n v="2026"/>
    <s v="No"/>
    <n v="0"/>
    <x v="3"/>
    <n v="1"/>
  </r>
  <r>
    <s v="T003329"/>
    <x v="3145"/>
    <d v="2026-05-29T02:12:00"/>
    <x v="4"/>
    <s v="Phone"/>
    <x v="1"/>
    <s v="A017"/>
    <x v="2"/>
    <n v="24"/>
    <n v="37.1"/>
    <x v="0"/>
    <s v="Yes"/>
    <s v="Yes"/>
    <n v="5"/>
    <s v="Closed"/>
    <s v="May"/>
    <x v="4"/>
    <n v="2026"/>
    <s v="No"/>
    <n v="0"/>
    <x v="3"/>
    <n v="0"/>
  </r>
  <r>
    <s v="T003330"/>
    <x v="3146"/>
    <d v="2026-05-28T13:13:00"/>
    <x v="6"/>
    <s v="Field Visit"/>
    <x v="2"/>
    <s v="A008"/>
    <x v="0"/>
    <n v="4"/>
    <n v="23.5"/>
    <x v="1"/>
    <s v="No"/>
    <s v="No"/>
    <m/>
    <s v="Closed"/>
    <s v="May"/>
    <x v="4"/>
    <n v="2026"/>
    <s v="No"/>
    <n v="0"/>
    <x v="2"/>
    <n v="1"/>
  </r>
  <r>
    <s v="T003331"/>
    <x v="3147"/>
    <d v="2026-05-28T13:12:00"/>
    <x v="6"/>
    <s v="Field Visit"/>
    <x v="1"/>
    <s v="A031"/>
    <x v="2"/>
    <n v="24"/>
    <n v="23.3"/>
    <x v="1"/>
    <s v="No"/>
    <s v="No"/>
    <m/>
    <s v="Closed"/>
    <s v="May"/>
    <x v="4"/>
    <n v="2026"/>
    <s v="Yes"/>
    <n v="1"/>
    <x v="1"/>
    <n v="1"/>
  </r>
  <r>
    <s v="T003332"/>
    <x v="3148"/>
    <d v="2026-05-28T17:29:00"/>
    <x v="1"/>
    <s v="Phone"/>
    <x v="0"/>
    <s v="A016"/>
    <x v="2"/>
    <n v="72"/>
    <n v="27.4"/>
    <x v="1"/>
    <s v="No"/>
    <s v="No"/>
    <n v="4"/>
    <s v="Closed"/>
    <s v="May"/>
    <x v="4"/>
    <n v="2026"/>
    <s v="Yes"/>
    <n v="1"/>
    <x v="2"/>
    <n v="1"/>
  </r>
  <r>
    <s v="T003333"/>
    <x v="3149"/>
    <d v="2026-05-29T06:41:00"/>
    <x v="6"/>
    <s v="Field Visit"/>
    <x v="2"/>
    <s v="A025"/>
    <x v="2"/>
    <n v="4"/>
    <n v="40.4"/>
    <x v="1"/>
    <s v="No"/>
    <s v="Yes"/>
    <n v="5"/>
    <s v="Closed"/>
    <s v="May"/>
    <x v="4"/>
    <n v="2026"/>
    <s v="No"/>
    <n v="0"/>
    <x v="4"/>
    <n v="1"/>
  </r>
  <r>
    <s v="T003334"/>
    <x v="3150"/>
    <d v="2026-05-27T22:08:00"/>
    <x v="1"/>
    <s v="Phone"/>
    <x v="0"/>
    <s v="A022"/>
    <x v="2"/>
    <n v="72"/>
    <n v="7.3"/>
    <x v="1"/>
    <s v="No"/>
    <s v="No"/>
    <m/>
    <s v="Closed"/>
    <s v="May"/>
    <x v="4"/>
    <n v="2026"/>
    <s v="Yes"/>
    <n v="1"/>
    <x v="3"/>
    <n v="1"/>
  </r>
  <r>
    <s v="T003335"/>
    <x v="3151"/>
    <d v="2026-05-28T17:58:00"/>
    <x v="0"/>
    <s v="Email"/>
    <x v="2"/>
    <s v="A037"/>
    <x v="1"/>
    <n v="4"/>
    <n v="27.1"/>
    <x v="1"/>
    <s v="No"/>
    <s v="Yes"/>
    <n v="3"/>
    <s v="Closed"/>
    <s v="May"/>
    <x v="4"/>
    <n v="2026"/>
    <s v="No"/>
    <n v="0"/>
    <x v="4"/>
    <n v="1"/>
  </r>
  <r>
    <s v="T003336"/>
    <x v="3152"/>
    <d v="2026-05-27T20:30:00"/>
    <x v="6"/>
    <s v="Chat"/>
    <x v="2"/>
    <s v="A009"/>
    <x v="0"/>
    <n v="4"/>
    <n v="5.5"/>
    <x v="0"/>
    <s v="Yes"/>
    <s v="No"/>
    <n v="2"/>
    <s v="Closed"/>
    <s v="May"/>
    <x v="4"/>
    <n v="2026"/>
    <s v="No"/>
    <n v="0"/>
    <x v="4"/>
    <n v="0"/>
  </r>
  <r>
    <s v="T003337"/>
    <x v="3153"/>
    <d v="2026-05-30T02:12:00"/>
    <x v="2"/>
    <s v="Field Visit"/>
    <x v="1"/>
    <s v="A009"/>
    <x v="0"/>
    <n v="24"/>
    <n v="59"/>
    <x v="1"/>
    <s v="No"/>
    <s v="No"/>
    <n v="3"/>
    <s v="Closed"/>
    <s v="May"/>
    <x v="4"/>
    <n v="2026"/>
    <s v="No"/>
    <n v="0"/>
    <x v="1"/>
    <n v="1"/>
  </r>
  <r>
    <s v="T003338"/>
    <x v="3154"/>
    <d v="2026-05-28T04:23:00"/>
    <x v="5"/>
    <s v="Chat"/>
    <x v="1"/>
    <s v="A051"/>
    <x v="1"/>
    <n v="24"/>
    <n v="13"/>
    <x v="1"/>
    <s v="No"/>
    <s v="No"/>
    <n v="5"/>
    <s v="Closed"/>
    <s v="May"/>
    <x v="4"/>
    <n v="2026"/>
    <s v="Yes"/>
    <n v="1"/>
    <x v="3"/>
    <n v="1"/>
  </r>
  <r>
    <s v="T003339"/>
    <x v="3155"/>
    <d v="2026-05-27T16:51:00"/>
    <x v="1"/>
    <s v="Phone"/>
    <x v="0"/>
    <s v="A022"/>
    <x v="2"/>
    <n v="72"/>
    <n v="0.9"/>
    <x v="1"/>
    <s v="No"/>
    <s v="No"/>
    <n v="5"/>
    <s v="Closed"/>
    <s v="May"/>
    <x v="4"/>
    <n v="2026"/>
    <s v="Yes"/>
    <n v="1"/>
    <x v="1"/>
    <n v="1"/>
  </r>
  <r>
    <s v="T003340"/>
    <x v="3156"/>
    <d v="2026-05-29T17:00:00"/>
    <x v="4"/>
    <s v="Field Visit"/>
    <x v="1"/>
    <s v="A045"/>
    <x v="1"/>
    <n v="24"/>
    <n v="47.2"/>
    <x v="0"/>
    <s v="No"/>
    <s v="No"/>
    <n v="5"/>
    <s v="Closed"/>
    <s v="May"/>
    <x v="4"/>
    <n v="2026"/>
    <s v="No"/>
    <n v="0"/>
    <x v="2"/>
    <n v="0"/>
  </r>
  <r>
    <s v="T003341"/>
    <x v="3157"/>
    <d v="2026-05-27T23:53:00"/>
    <x v="6"/>
    <s v="Phone"/>
    <x v="2"/>
    <s v="A060"/>
    <x v="1"/>
    <n v="4"/>
    <n v="5.6"/>
    <x v="1"/>
    <s v="No"/>
    <s v="No"/>
    <m/>
    <s v="Closed"/>
    <s v="May"/>
    <x v="4"/>
    <n v="2026"/>
    <s v="No"/>
    <n v="0"/>
    <x v="1"/>
    <n v="1"/>
  </r>
  <r>
    <s v="T003342"/>
    <x v="3158"/>
    <d v="2026-05-28T09:20:00"/>
    <x v="0"/>
    <s v="Chat"/>
    <x v="1"/>
    <s v="A019"/>
    <x v="2"/>
    <n v="24"/>
    <n v="12.5"/>
    <x v="1"/>
    <s v="No"/>
    <s v="Yes"/>
    <m/>
    <s v="Closed"/>
    <s v="May"/>
    <x v="4"/>
    <n v="2026"/>
    <s v="Yes"/>
    <n v="1"/>
    <x v="3"/>
    <n v="1"/>
  </r>
  <r>
    <s v="T003343"/>
    <x v="3159"/>
    <d v="2026-05-28T10:59:00"/>
    <x v="1"/>
    <s v="Phone"/>
    <x v="0"/>
    <s v="A045"/>
    <x v="1"/>
    <n v="72"/>
    <n v="5.5"/>
    <x v="1"/>
    <s v="No"/>
    <s v="No"/>
    <m/>
    <s v="Closed"/>
    <s v="May"/>
    <x v="4"/>
    <n v="2026"/>
    <s v="Yes"/>
    <n v="1"/>
    <x v="2"/>
    <n v="1"/>
  </r>
  <r>
    <s v="T003344"/>
    <x v="3160"/>
    <d v="2026-05-28T10:08:00"/>
    <x v="1"/>
    <s v="Phone"/>
    <x v="0"/>
    <s v="A009"/>
    <x v="0"/>
    <n v="72"/>
    <n v="2.1"/>
    <x v="1"/>
    <s v="No"/>
    <s v="No"/>
    <n v="3"/>
    <s v="Closed"/>
    <s v="May"/>
    <x v="4"/>
    <n v="2026"/>
    <s v="Yes"/>
    <n v="1"/>
    <x v="2"/>
    <n v="1"/>
  </r>
  <r>
    <s v="T003345"/>
    <x v="3161"/>
    <d v="2026-05-31T13:41:00"/>
    <x v="3"/>
    <s v="Field Visit"/>
    <x v="0"/>
    <s v="A003"/>
    <x v="0"/>
    <n v="72"/>
    <n v="77.400000000000006"/>
    <x v="1"/>
    <s v="No"/>
    <s v="No"/>
    <m/>
    <s v="Closed"/>
    <s v="May"/>
    <x v="4"/>
    <n v="2026"/>
    <s v="No"/>
    <n v="0"/>
    <x v="0"/>
    <n v="1"/>
  </r>
  <r>
    <s v="T003346"/>
    <x v="3162"/>
    <d v="2026-05-28T16:34:00"/>
    <x v="3"/>
    <s v="Phone"/>
    <x v="2"/>
    <s v="A038"/>
    <x v="1"/>
    <n v="4"/>
    <n v="6.1"/>
    <x v="1"/>
    <s v="No"/>
    <s v="No"/>
    <m/>
    <s v="Closed"/>
    <s v="May"/>
    <x v="4"/>
    <n v="2026"/>
    <s v="No"/>
    <n v="0"/>
    <x v="3"/>
    <n v="1"/>
  </r>
  <r>
    <s v="T003347"/>
    <x v="3163"/>
    <d v="2026-05-29T19:24:00"/>
    <x v="4"/>
    <s v="Chat"/>
    <x v="2"/>
    <s v="A059"/>
    <x v="1"/>
    <n v="4"/>
    <n v="32.6"/>
    <x v="1"/>
    <s v="No"/>
    <s v="No"/>
    <n v="5"/>
    <s v="Closed"/>
    <s v="May"/>
    <x v="4"/>
    <n v="2026"/>
    <s v="No"/>
    <n v="0"/>
    <x v="1"/>
    <n v="1"/>
  </r>
  <r>
    <s v="T003348"/>
    <x v="3164"/>
    <d v="2026-05-28T18:29:00"/>
    <x v="6"/>
    <s v="Phone"/>
    <x v="1"/>
    <s v="A028"/>
    <x v="2"/>
    <n v="24"/>
    <n v="6.1"/>
    <x v="1"/>
    <s v="No"/>
    <s v="No"/>
    <n v="5"/>
    <s v="Closed"/>
    <s v="May"/>
    <x v="4"/>
    <n v="2026"/>
    <s v="Yes"/>
    <n v="1"/>
    <x v="2"/>
    <n v="1"/>
  </r>
  <r>
    <s v="T003349"/>
    <x v="3165"/>
    <d v="2026-05-28T19:37:00"/>
    <x v="1"/>
    <s v="Chat"/>
    <x v="0"/>
    <s v="A045"/>
    <x v="1"/>
    <n v="72"/>
    <n v="7.1"/>
    <x v="1"/>
    <s v="No"/>
    <s v="No"/>
    <m/>
    <s v="Closed"/>
    <s v="May"/>
    <x v="4"/>
    <n v="2026"/>
    <s v="Yes"/>
    <n v="1"/>
    <x v="1"/>
    <n v="1"/>
  </r>
  <r>
    <s v="T003350"/>
    <x v="3166"/>
    <d v="2026-05-29T02:22:00"/>
    <x v="6"/>
    <s v="Field Visit"/>
    <x v="2"/>
    <s v="A029"/>
    <x v="2"/>
    <n v="4"/>
    <n v="12.6"/>
    <x v="1"/>
    <s v="No"/>
    <s v="No"/>
    <m/>
    <s v="Closed"/>
    <s v="May"/>
    <x v="4"/>
    <n v="2026"/>
    <s v="No"/>
    <n v="0"/>
    <x v="4"/>
    <n v="1"/>
  </r>
  <r>
    <s v="T003351"/>
    <x v="3167"/>
    <d v="2026-05-28T20:58:00"/>
    <x v="1"/>
    <s v="Chat"/>
    <x v="1"/>
    <s v="A006"/>
    <x v="0"/>
    <n v="24"/>
    <n v="6.8"/>
    <x v="1"/>
    <s v="No"/>
    <s v="No"/>
    <m/>
    <s v="Closed"/>
    <s v="May"/>
    <x v="4"/>
    <n v="2026"/>
    <s v="Yes"/>
    <n v="1"/>
    <x v="2"/>
    <n v="1"/>
  </r>
  <r>
    <s v="T003352"/>
    <x v="3168"/>
    <d v="2026-05-28T20:16:00"/>
    <x v="6"/>
    <s v="Phone"/>
    <x v="1"/>
    <s v="A005"/>
    <x v="0"/>
    <n v="24"/>
    <n v="5.9"/>
    <x v="1"/>
    <s v="No"/>
    <s v="No"/>
    <n v="5"/>
    <s v="Closed"/>
    <s v="May"/>
    <x v="4"/>
    <n v="2026"/>
    <s v="Yes"/>
    <n v="1"/>
    <x v="1"/>
    <n v="1"/>
  </r>
  <r>
    <s v="T003353"/>
    <x v="3169"/>
    <d v="2026-06-03T04:49:00"/>
    <x v="4"/>
    <s v="Field Visit"/>
    <x v="1"/>
    <s v="A010"/>
    <x v="0"/>
    <n v="24"/>
    <n v="133.30000000000001"/>
    <x v="0"/>
    <s v="No"/>
    <s v="No"/>
    <m/>
    <s v="Closed"/>
    <s v="May"/>
    <x v="4"/>
    <n v="2026"/>
    <s v="No"/>
    <n v="0"/>
    <x v="1"/>
    <n v="0"/>
  </r>
  <r>
    <s v="T003354"/>
    <x v="3170"/>
    <d v="2026-05-29T07:23:00"/>
    <x v="1"/>
    <s v="Phone"/>
    <x v="1"/>
    <s v="A060"/>
    <x v="1"/>
    <n v="24"/>
    <n v="13.1"/>
    <x v="1"/>
    <s v="No"/>
    <s v="No"/>
    <n v="5"/>
    <s v="Closed"/>
    <s v="May"/>
    <x v="4"/>
    <n v="2026"/>
    <s v="Yes"/>
    <n v="1"/>
    <x v="4"/>
    <n v="1"/>
  </r>
  <r>
    <s v="T003355"/>
    <x v="3171"/>
    <d v="2026-05-28T21:38:00"/>
    <x v="1"/>
    <s v="Phone"/>
    <x v="0"/>
    <s v="A018"/>
    <x v="2"/>
    <n v="72"/>
    <n v="3.3"/>
    <x v="1"/>
    <s v="No"/>
    <s v="No"/>
    <m/>
    <s v="Closed"/>
    <s v="May"/>
    <x v="4"/>
    <n v="2026"/>
    <s v="Yes"/>
    <n v="1"/>
    <x v="2"/>
    <n v="1"/>
  </r>
  <r>
    <s v="T003356"/>
    <x v="3172"/>
    <d v="2026-05-28T23:24:00"/>
    <x v="6"/>
    <s v="Phone"/>
    <x v="2"/>
    <s v="A004"/>
    <x v="0"/>
    <n v="4"/>
    <n v="5"/>
    <x v="0"/>
    <s v="Yes"/>
    <s v="No"/>
    <n v="2"/>
    <s v="Closed"/>
    <s v="May"/>
    <x v="4"/>
    <n v="2026"/>
    <s v="No"/>
    <n v="0"/>
    <x v="4"/>
    <n v="0"/>
  </r>
  <r>
    <s v="T003357"/>
    <x v="3173"/>
    <d v="2026-05-29T06:48:00"/>
    <x v="6"/>
    <s v="Chat"/>
    <x v="2"/>
    <s v="A056"/>
    <x v="1"/>
    <n v="4"/>
    <n v="11.8"/>
    <x v="1"/>
    <s v="No"/>
    <s v="No"/>
    <m/>
    <s v="Closed"/>
    <s v="May"/>
    <x v="4"/>
    <n v="2026"/>
    <s v="No"/>
    <n v="0"/>
    <x v="1"/>
    <n v="1"/>
  </r>
  <r>
    <s v="T003358"/>
    <x v="3174"/>
    <d v="2026-05-29T05:11:00"/>
    <x v="6"/>
    <s v="Phone"/>
    <x v="1"/>
    <s v="A032"/>
    <x v="2"/>
    <n v="24"/>
    <n v="8.5"/>
    <x v="0"/>
    <s v="No"/>
    <s v="No"/>
    <n v="5"/>
    <s v="Closed"/>
    <s v="May"/>
    <x v="4"/>
    <n v="2026"/>
    <s v="Yes"/>
    <n v="1"/>
    <x v="4"/>
    <n v="0"/>
  </r>
  <r>
    <s v="T003359"/>
    <x v="3175"/>
    <d v="2026-05-29T10:38:00"/>
    <x v="1"/>
    <s v="Email"/>
    <x v="0"/>
    <s v="A020"/>
    <x v="2"/>
    <n v="72"/>
    <n v="12"/>
    <x v="1"/>
    <s v="No"/>
    <s v="No"/>
    <n v="5"/>
    <s v="Closed"/>
    <s v="May"/>
    <x v="4"/>
    <n v="2026"/>
    <s v="Yes"/>
    <n v="1"/>
    <x v="0"/>
    <n v="1"/>
  </r>
  <r>
    <s v="T003360"/>
    <x v="3176"/>
    <d v="2026-05-30T23:06:00"/>
    <x v="4"/>
    <s v="Email"/>
    <x v="1"/>
    <s v="A012"/>
    <x v="0"/>
    <n v="24"/>
    <n v="47"/>
    <x v="0"/>
    <s v="No"/>
    <s v="No"/>
    <m/>
    <s v="Closed"/>
    <s v="May"/>
    <x v="4"/>
    <n v="2026"/>
    <s v="No"/>
    <n v="0"/>
    <x v="4"/>
    <n v="0"/>
  </r>
  <r>
    <s v="T003361"/>
    <x v="3177"/>
    <d v="2026-05-30T03:46:00"/>
    <x v="2"/>
    <s v="Field Visit"/>
    <x v="1"/>
    <s v="A037"/>
    <x v="1"/>
    <n v="24"/>
    <n v="20.2"/>
    <x v="1"/>
    <s v="No"/>
    <s v="Yes"/>
    <n v="5"/>
    <s v="Closed"/>
    <s v="May"/>
    <x v="4"/>
    <n v="2026"/>
    <s v="Yes"/>
    <n v="1"/>
    <x v="1"/>
    <n v="1"/>
  </r>
  <r>
    <s v="T003362"/>
    <x v="3178"/>
    <d v="2026-05-29T19:28:00"/>
    <x v="1"/>
    <s v="Phone"/>
    <x v="2"/>
    <s v="A055"/>
    <x v="1"/>
    <n v="4"/>
    <n v="10.4"/>
    <x v="1"/>
    <s v="No"/>
    <s v="No"/>
    <n v="5"/>
    <s v="Closed"/>
    <s v="May"/>
    <x v="4"/>
    <n v="2026"/>
    <s v="No"/>
    <n v="0"/>
    <x v="2"/>
    <n v="1"/>
  </r>
  <r>
    <s v="T003363"/>
    <x v="3179"/>
    <d v="2026-05-29T15:14:00"/>
    <x v="6"/>
    <s v="Phone"/>
    <x v="0"/>
    <s v="A060"/>
    <x v="1"/>
    <n v="72"/>
    <n v="6"/>
    <x v="1"/>
    <s v="No"/>
    <s v="No"/>
    <n v="4"/>
    <s v="Closed"/>
    <s v="May"/>
    <x v="4"/>
    <n v="2026"/>
    <s v="Yes"/>
    <n v="1"/>
    <x v="3"/>
    <n v="1"/>
  </r>
  <r>
    <s v="T003364"/>
    <x v="3180"/>
    <d v="2026-05-30T07:23:00"/>
    <x v="0"/>
    <s v="Email"/>
    <x v="2"/>
    <s v="A050"/>
    <x v="1"/>
    <n v="4"/>
    <n v="22.1"/>
    <x v="0"/>
    <s v="Yes"/>
    <s v="No"/>
    <n v="2"/>
    <s v="Closed"/>
    <s v="May"/>
    <x v="4"/>
    <n v="2026"/>
    <s v="No"/>
    <n v="0"/>
    <x v="3"/>
    <n v="0"/>
  </r>
  <r>
    <s v="T003365"/>
    <x v="3181"/>
    <d v="2026-05-29T15:48:00"/>
    <x v="1"/>
    <s v="Chat"/>
    <x v="0"/>
    <s v="A018"/>
    <x v="2"/>
    <n v="72"/>
    <n v="5.9"/>
    <x v="0"/>
    <s v="No"/>
    <s v="No"/>
    <m/>
    <s v="Closed"/>
    <s v="May"/>
    <x v="4"/>
    <n v="2026"/>
    <s v="Yes"/>
    <n v="1"/>
    <x v="4"/>
    <n v="0"/>
  </r>
  <r>
    <s v="T003366"/>
    <x v="3182"/>
    <d v="2026-05-29T14:22:00"/>
    <x v="1"/>
    <s v="Chat"/>
    <x v="0"/>
    <s v="A010"/>
    <x v="0"/>
    <n v="72"/>
    <n v="2.8"/>
    <x v="1"/>
    <s v="No"/>
    <s v="No"/>
    <n v="5"/>
    <s v="Closed"/>
    <s v="May"/>
    <x v="4"/>
    <n v="2026"/>
    <s v="Yes"/>
    <n v="1"/>
    <x v="3"/>
    <n v="1"/>
  </r>
  <r>
    <s v="T003367"/>
    <x v="3183"/>
    <d v="2026-06-02T08:28:00"/>
    <x v="3"/>
    <s v="Email"/>
    <x v="1"/>
    <s v="A003"/>
    <x v="0"/>
    <n v="24"/>
    <n v="91.8"/>
    <x v="1"/>
    <s v="No"/>
    <s v="No"/>
    <m/>
    <s v="Closed"/>
    <s v="May"/>
    <x v="4"/>
    <n v="2026"/>
    <s v="No"/>
    <n v="0"/>
    <x v="2"/>
    <n v="1"/>
  </r>
  <r>
    <s v="T003368"/>
    <x v="3184"/>
    <d v="2026-05-29T23:14:00"/>
    <x v="0"/>
    <s v="Chat"/>
    <x v="0"/>
    <s v="A025"/>
    <x v="2"/>
    <n v="72"/>
    <n v="9.5"/>
    <x v="0"/>
    <s v="No"/>
    <s v="No"/>
    <n v="4"/>
    <s v="Closed"/>
    <s v="May"/>
    <x v="4"/>
    <n v="2026"/>
    <s v="Yes"/>
    <n v="1"/>
    <x v="2"/>
    <n v="0"/>
  </r>
  <r>
    <s v="T003369"/>
    <x v="3185"/>
    <d v="2026-05-30T06:38:00"/>
    <x v="6"/>
    <s v="Field Visit"/>
    <x v="1"/>
    <s v="A056"/>
    <x v="1"/>
    <n v="24"/>
    <n v="16.7"/>
    <x v="1"/>
    <s v="No"/>
    <s v="Yes"/>
    <m/>
    <s v="Closed"/>
    <s v="May"/>
    <x v="4"/>
    <n v="2026"/>
    <s v="Yes"/>
    <n v="1"/>
    <x v="0"/>
    <n v="1"/>
  </r>
  <r>
    <s v="T003370"/>
    <x v="3186"/>
    <d v="2026-05-31T12:13:00"/>
    <x v="3"/>
    <s v="Field Visit"/>
    <x v="1"/>
    <s v="A035"/>
    <x v="2"/>
    <n v="24"/>
    <n v="46.2"/>
    <x v="1"/>
    <s v="No"/>
    <s v="No"/>
    <n v="3"/>
    <s v="Closed"/>
    <s v="May"/>
    <x v="4"/>
    <n v="2026"/>
    <s v="No"/>
    <n v="0"/>
    <x v="4"/>
    <n v="1"/>
  </r>
  <r>
    <s v="T003371"/>
    <x v="3187"/>
    <d v="2026-05-29T17:35:00"/>
    <x v="1"/>
    <s v="Phone"/>
    <x v="0"/>
    <s v="A044"/>
    <x v="1"/>
    <n v="72"/>
    <n v="1.2"/>
    <x v="0"/>
    <s v="No"/>
    <s v="No"/>
    <n v="5"/>
    <s v="Closed"/>
    <s v="May"/>
    <x v="4"/>
    <n v="2026"/>
    <s v="Yes"/>
    <n v="1"/>
    <x v="3"/>
    <n v="0"/>
  </r>
  <r>
    <s v="T003372"/>
    <x v="3188"/>
    <d v="2026-05-31T07:41:00"/>
    <x v="0"/>
    <s v="Email"/>
    <x v="1"/>
    <s v="A014"/>
    <x v="0"/>
    <n v="24"/>
    <n v="38.799999999999997"/>
    <x v="0"/>
    <s v="Yes"/>
    <s v="Yes"/>
    <n v="2"/>
    <s v="Closed"/>
    <s v="May"/>
    <x v="4"/>
    <n v="2026"/>
    <s v="No"/>
    <n v="0"/>
    <x v="4"/>
    <n v="0"/>
  </r>
  <r>
    <s v="T003373"/>
    <x v="3189"/>
    <d v="2026-06-05T13:20:00"/>
    <x v="4"/>
    <s v="Field Visit"/>
    <x v="0"/>
    <s v="A007"/>
    <x v="0"/>
    <n v="72"/>
    <n v="160.5"/>
    <x v="1"/>
    <s v="No"/>
    <s v="No"/>
    <n v="4"/>
    <s v="Closed"/>
    <s v="May"/>
    <x v="4"/>
    <n v="2026"/>
    <s v="No"/>
    <n v="0"/>
    <x v="4"/>
    <n v="1"/>
  </r>
  <r>
    <s v="T003374"/>
    <x v="3190"/>
    <d v="2026-05-30T13:45:00"/>
    <x v="3"/>
    <s v="Phone"/>
    <x v="1"/>
    <s v="A032"/>
    <x v="2"/>
    <n v="24"/>
    <n v="16.3"/>
    <x v="1"/>
    <s v="No"/>
    <s v="No"/>
    <n v="5"/>
    <s v="Closed"/>
    <s v="May"/>
    <x v="4"/>
    <n v="2026"/>
    <s v="Yes"/>
    <n v="1"/>
    <x v="2"/>
    <n v="1"/>
  </r>
  <r>
    <s v="T003375"/>
    <x v="3191"/>
    <d v="2026-05-30T05:26:00"/>
    <x v="0"/>
    <s v="Chat"/>
    <x v="0"/>
    <s v="A055"/>
    <x v="1"/>
    <n v="72"/>
    <n v="5.9"/>
    <x v="1"/>
    <s v="No"/>
    <s v="Yes"/>
    <m/>
    <s v="Closed"/>
    <s v="May"/>
    <x v="4"/>
    <n v="2026"/>
    <s v="Yes"/>
    <n v="1"/>
    <x v="3"/>
    <n v="1"/>
  </r>
  <r>
    <s v="T003376"/>
    <x v="3192"/>
    <d v="2026-05-31T17:00:00"/>
    <x v="5"/>
    <s v="Email"/>
    <x v="0"/>
    <s v="A038"/>
    <x v="1"/>
    <n v="72"/>
    <n v="37.200000000000003"/>
    <x v="1"/>
    <s v="No"/>
    <s v="No"/>
    <n v="5"/>
    <s v="Closed"/>
    <s v="May"/>
    <x v="4"/>
    <n v="2026"/>
    <s v="Yes"/>
    <n v="1"/>
    <x v="4"/>
    <n v="1"/>
  </r>
  <r>
    <s v="T003377"/>
    <x v="3193"/>
    <d v="2026-05-30T12:44:00"/>
    <x v="5"/>
    <s v="Chat"/>
    <x v="0"/>
    <s v="A058"/>
    <x v="1"/>
    <n v="72"/>
    <n v="4.9000000000000004"/>
    <x v="1"/>
    <s v="No"/>
    <s v="No"/>
    <n v="5"/>
    <s v="Closed"/>
    <s v="May"/>
    <x v="4"/>
    <n v="2026"/>
    <s v="Yes"/>
    <n v="1"/>
    <x v="1"/>
    <n v="1"/>
  </r>
  <r>
    <s v="T003378"/>
    <x v="3194"/>
    <d v="2026-06-02T07:17:00"/>
    <x v="3"/>
    <s v="Email"/>
    <x v="1"/>
    <s v="A036"/>
    <x v="1"/>
    <n v="24"/>
    <n v="69.400000000000006"/>
    <x v="1"/>
    <s v="No"/>
    <s v="No"/>
    <m/>
    <s v="Closed"/>
    <s v="May"/>
    <x v="4"/>
    <n v="2026"/>
    <s v="No"/>
    <n v="0"/>
    <x v="3"/>
    <n v="1"/>
  </r>
  <r>
    <s v="T003379"/>
    <x v="3195"/>
    <d v="2026-05-30T21:30:00"/>
    <x v="1"/>
    <s v="Phone"/>
    <x v="0"/>
    <s v="A041"/>
    <x v="1"/>
    <n v="72"/>
    <n v="11.6"/>
    <x v="1"/>
    <s v="No"/>
    <s v="No"/>
    <n v="5"/>
    <s v="Closed"/>
    <s v="May"/>
    <x v="4"/>
    <n v="2026"/>
    <s v="Yes"/>
    <n v="1"/>
    <x v="1"/>
    <n v="1"/>
  </r>
  <r>
    <s v="T003380"/>
    <x v="3196"/>
    <d v="2026-05-30T17:21:00"/>
    <x v="2"/>
    <s v="Chat"/>
    <x v="1"/>
    <s v="A013"/>
    <x v="0"/>
    <n v="24"/>
    <n v="5.9"/>
    <x v="1"/>
    <s v="No"/>
    <s v="No"/>
    <n v="4"/>
    <s v="Closed"/>
    <s v="May"/>
    <x v="4"/>
    <n v="2026"/>
    <s v="Yes"/>
    <n v="1"/>
    <x v="4"/>
    <n v="1"/>
  </r>
  <r>
    <s v="T003381"/>
    <x v="3197"/>
    <d v="2026-05-30T18:02:00"/>
    <x v="1"/>
    <s v="Phone"/>
    <x v="1"/>
    <s v="A003"/>
    <x v="0"/>
    <n v="24"/>
    <n v="5.4"/>
    <x v="0"/>
    <s v="No"/>
    <s v="Yes"/>
    <n v="5"/>
    <s v="Closed"/>
    <s v="May"/>
    <x v="4"/>
    <n v="2026"/>
    <s v="Yes"/>
    <n v="1"/>
    <x v="1"/>
    <n v="0"/>
  </r>
  <r>
    <s v="T003382"/>
    <x v="3198"/>
    <d v="2026-06-01T17:46:00"/>
    <x v="6"/>
    <s v="Field Visit"/>
    <x v="1"/>
    <s v="A056"/>
    <x v="1"/>
    <n v="24"/>
    <n v="51.4"/>
    <x v="1"/>
    <s v="No"/>
    <s v="No"/>
    <n v="4"/>
    <s v="Closed"/>
    <s v="May"/>
    <x v="4"/>
    <n v="2026"/>
    <s v="No"/>
    <n v="0"/>
    <x v="1"/>
    <n v="1"/>
  </r>
  <r>
    <s v="T003383"/>
    <x v="3199"/>
    <d v="2026-05-31T14:33:00"/>
    <x v="3"/>
    <s v="Email"/>
    <x v="1"/>
    <s v="A005"/>
    <x v="0"/>
    <n v="24"/>
    <n v="21.7"/>
    <x v="1"/>
    <s v="No"/>
    <s v="No"/>
    <n v="5"/>
    <s v="Closed"/>
    <s v="May"/>
    <x v="4"/>
    <n v="2026"/>
    <s v="Yes"/>
    <n v="1"/>
    <x v="4"/>
    <n v="1"/>
  </r>
  <r>
    <s v="T003384"/>
    <x v="3200"/>
    <d v="2026-05-31T12:20:00"/>
    <x v="1"/>
    <s v="Email"/>
    <x v="1"/>
    <s v="A051"/>
    <x v="1"/>
    <n v="24"/>
    <n v="17.3"/>
    <x v="0"/>
    <s v="Yes"/>
    <s v="No"/>
    <m/>
    <s v="Closed"/>
    <s v="May"/>
    <x v="4"/>
    <n v="2026"/>
    <s v="Yes"/>
    <n v="1"/>
    <x v="4"/>
    <n v="0"/>
  </r>
  <r>
    <s v="T003385"/>
    <x v="3201"/>
    <d v="2026-05-31T23:00:00"/>
    <x v="6"/>
    <s v="Field Visit"/>
    <x v="2"/>
    <s v="A031"/>
    <x v="2"/>
    <n v="4"/>
    <n v="27.5"/>
    <x v="0"/>
    <s v="No"/>
    <s v="No"/>
    <m/>
    <s v="Closed"/>
    <s v="May"/>
    <x v="4"/>
    <n v="2026"/>
    <s v="No"/>
    <n v="0"/>
    <x v="4"/>
    <n v="0"/>
  </r>
  <r>
    <s v="T003386"/>
    <x v="3202"/>
    <d v="2026-05-31T07:26:00"/>
    <x v="6"/>
    <s v="Field Visit"/>
    <x v="0"/>
    <s v="A056"/>
    <x v="1"/>
    <n v="72"/>
    <n v="11.7"/>
    <x v="1"/>
    <s v="No"/>
    <s v="No"/>
    <m/>
    <s v="Closed"/>
    <s v="May"/>
    <x v="4"/>
    <n v="2026"/>
    <s v="Yes"/>
    <n v="1"/>
    <x v="3"/>
    <n v="1"/>
  </r>
  <r>
    <s v="T003387"/>
    <x v="3203"/>
    <d v="2026-05-31T16:18:00"/>
    <x v="0"/>
    <s v="Email"/>
    <x v="2"/>
    <s v="A009"/>
    <x v="0"/>
    <n v="4"/>
    <n v="20.5"/>
    <x v="1"/>
    <s v="No"/>
    <s v="No"/>
    <n v="3"/>
    <s v="Closed"/>
    <s v="May"/>
    <x v="4"/>
    <n v="2026"/>
    <s v="No"/>
    <n v="0"/>
    <x v="4"/>
    <n v="1"/>
  </r>
  <r>
    <s v="T003388"/>
    <x v="3204"/>
    <d v="2026-05-31T03:37:00"/>
    <x v="0"/>
    <s v="Chat"/>
    <x v="1"/>
    <s v="A022"/>
    <x v="2"/>
    <n v="24"/>
    <n v="6.2"/>
    <x v="0"/>
    <s v="Yes"/>
    <s v="No"/>
    <n v="3"/>
    <s v="Closed"/>
    <s v="May"/>
    <x v="4"/>
    <n v="2026"/>
    <s v="Yes"/>
    <n v="1"/>
    <x v="3"/>
    <n v="0"/>
  </r>
  <r>
    <s v="T003389"/>
    <x v="3205"/>
    <d v="2026-06-04T03:36:00"/>
    <x v="4"/>
    <s v="Field Visit"/>
    <x v="2"/>
    <s v="A008"/>
    <x v="0"/>
    <n v="4"/>
    <n v="92.3"/>
    <x v="1"/>
    <s v="No"/>
    <s v="No"/>
    <m/>
    <s v="Closed"/>
    <s v="May"/>
    <x v="4"/>
    <n v="2026"/>
    <s v="No"/>
    <n v="0"/>
    <x v="1"/>
    <n v="1"/>
  </r>
  <r>
    <s v="T003390"/>
    <x v="3206"/>
    <d v="2026-05-31T12:18:00"/>
    <x v="1"/>
    <s v="Chat"/>
    <x v="1"/>
    <s v="A058"/>
    <x v="1"/>
    <n v="24"/>
    <n v="4.8"/>
    <x v="1"/>
    <s v="No"/>
    <s v="No"/>
    <n v="5"/>
    <s v="Closed"/>
    <s v="May"/>
    <x v="4"/>
    <n v="2026"/>
    <s v="Yes"/>
    <n v="1"/>
    <x v="4"/>
    <n v="1"/>
  </r>
  <r>
    <s v="T003391"/>
    <x v="3207"/>
    <d v="2026-05-31T19:34:00"/>
    <x v="1"/>
    <s v="Chat"/>
    <x v="1"/>
    <s v="A012"/>
    <x v="0"/>
    <n v="24"/>
    <n v="10.5"/>
    <x v="1"/>
    <s v="No"/>
    <s v="No"/>
    <m/>
    <s v="Closed"/>
    <s v="May"/>
    <x v="4"/>
    <n v="2026"/>
    <s v="Yes"/>
    <n v="1"/>
    <x v="0"/>
    <n v="1"/>
  </r>
  <r>
    <s v="T003392"/>
    <x v="3208"/>
    <d v="2026-06-01T18:00:00"/>
    <x v="3"/>
    <s v="Chat"/>
    <x v="1"/>
    <s v="A040"/>
    <x v="1"/>
    <n v="24"/>
    <n v="32.200000000000003"/>
    <x v="1"/>
    <s v="No"/>
    <s v="No"/>
    <n v="3"/>
    <s v="Closed"/>
    <s v="May"/>
    <x v="4"/>
    <n v="2026"/>
    <s v="No"/>
    <n v="0"/>
    <x v="3"/>
    <n v="1"/>
  </r>
  <r>
    <s v="T003393"/>
    <x v="3209"/>
    <d v="2026-05-31T14:47:00"/>
    <x v="0"/>
    <s v="Chat"/>
    <x v="1"/>
    <s v="A040"/>
    <x v="1"/>
    <n v="24"/>
    <n v="3.3"/>
    <x v="1"/>
    <s v="No"/>
    <s v="No"/>
    <n v="5"/>
    <s v="Closed"/>
    <s v="May"/>
    <x v="4"/>
    <n v="2026"/>
    <s v="Yes"/>
    <n v="1"/>
    <x v="1"/>
    <n v="1"/>
  </r>
  <r>
    <s v="T003394"/>
    <x v="3210"/>
    <d v="2026-06-01T11:49:00"/>
    <x v="3"/>
    <s v="Phone"/>
    <x v="0"/>
    <s v="A039"/>
    <x v="1"/>
    <n v="72"/>
    <n v="24.1"/>
    <x v="1"/>
    <s v="No"/>
    <s v="No"/>
    <n v="5"/>
    <s v="Closed"/>
    <s v="May"/>
    <x v="4"/>
    <n v="2026"/>
    <s v="Yes"/>
    <n v="1"/>
    <x v="3"/>
    <n v="1"/>
  </r>
  <r>
    <s v="T003395"/>
    <x v="3211"/>
    <d v="2026-06-01T07:40:00"/>
    <x v="0"/>
    <s v="Chat"/>
    <x v="1"/>
    <s v="A053"/>
    <x v="1"/>
    <n v="24"/>
    <n v="18.7"/>
    <x v="1"/>
    <s v="No"/>
    <s v="No"/>
    <n v="4"/>
    <s v="Closed"/>
    <s v="May"/>
    <x v="4"/>
    <n v="2026"/>
    <s v="Yes"/>
    <n v="1"/>
    <x v="2"/>
    <n v="1"/>
  </r>
  <r>
    <s v="T003396"/>
    <x v="3212"/>
    <d v="2026-06-10T11:34:00"/>
    <x v="4"/>
    <s v="Field Visit"/>
    <x v="1"/>
    <s v="A010"/>
    <x v="0"/>
    <n v="24"/>
    <n v="237.2"/>
    <x v="0"/>
    <s v="Yes"/>
    <s v="No"/>
    <n v="3"/>
    <s v="Closed"/>
    <s v="May"/>
    <x v="4"/>
    <n v="2026"/>
    <s v="No"/>
    <n v="0"/>
    <x v="3"/>
    <n v="0"/>
  </r>
  <r>
    <s v="T003397"/>
    <x v="3213"/>
    <d v="2026-06-01T00:47:00"/>
    <x v="0"/>
    <s v="Phone"/>
    <x v="2"/>
    <s v="A033"/>
    <x v="2"/>
    <n v="4"/>
    <n v="10.3"/>
    <x v="0"/>
    <s v="No"/>
    <s v="No"/>
    <n v="2"/>
    <s v="Closed"/>
    <s v="May"/>
    <x v="4"/>
    <n v="2026"/>
    <s v="No"/>
    <n v="0"/>
    <x v="3"/>
    <n v="0"/>
  </r>
  <r>
    <s v="T003398"/>
    <x v="3214"/>
    <d v="2026-06-01T01:22:00"/>
    <x v="6"/>
    <s v="Phone"/>
    <x v="1"/>
    <s v="A023"/>
    <x v="2"/>
    <n v="24"/>
    <n v="10.5"/>
    <x v="1"/>
    <s v="No"/>
    <s v="No"/>
    <n v="5"/>
    <s v="Closed"/>
    <s v="May"/>
    <x v="4"/>
    <n v="2026"/>
    <s v="Yes"/>
    <n v="1"/>
    <x v="1"/>
    <n v="1"/>
  </r>
  <r>
    <s v="T003399"/>
    <x v="3215"/>
    <d v="2026-06-01T08:46:00"/>
    <x v="2"/>
    <s v="Chat"/>
    <x v="0"/>
    <s v="A024"/>
    <x v="2"/>
    <n v="72"/>
    <n v="17.3"/>
    <x v="1"/>
    <s v="No"/>
    <s v="No"/>
    <n v="5"/>
    <s v="Closed"/>
    <s v="May"/>
    <x v="4"/>
    <n v="2026"/>
    <s v="Yes"/>
    <n v="1"/>
    <x v="0"/>
    <n v="1"/>
  </r>
  <r>
    <s v="T003400"/>
    <x v="3215"/>
    <d v="2026-06-01T10:04:00"/>
    <x v="5"/>
    <s v="Phone"/>
    <x v="0"/>
    <s v="A024"/>
    <x v="2"/>
    <n v="72"/>
    <n v="18.600000000000001"/>
    <x v="0"/>
    <s v="Yes"/>
    <s v="Yes"/>
    <n v="2"/>
    <s v="Closed"/>
    <s v="May"/>
    <x v="4"/>
    <n v="2026"/>
    <s v="Yes"/>
    <n v="1"/>
    <x v="2"/>
    <n v="0"/>
  </r>
  <r>
    <s v="T003401"/>
    <x v="3216"/>
    <d v="2026-06-02T19:36:00"/>
    <x v="4"/>
    <s v="Field Visit"/>
    <x v="1"/>
    <s v="A014"/>
    <x v="0"/>
    <n v="24"/>
    <n v="52.1"/>
    <x v="1"/>
    <s v="No"/>
    <s v="No"/>
    <m/>
    <s v="Closed"/>
    <s v="May"/>
    <x v="4"/>
    <n v="2026"/>
    <s v="No"/>
    <n v="0"/>
    <x v="3"/>
    <n v="1"/>
  </r>
  <r>
    <s v="T003402"/>
    <x v="3217"/>
    <d v="2026-06-03T10:24:00"/>
    <x v="4"/>
    <s v="Field Visit"/>
    <x v="0"/>
    <s v="A053"/>
    <x v="1"/>
    <n v="72"/>
    <n v="66.7"/>
    <x v="1"/>
    <s v="No"/>
    <s v="No"/>
    <n v="4"/>
    <s v="Closed"/>
    <s v="May"/>
    <x v="4"/>
    <n v="2026"/>
    <s v="Yes"/>
    <n v="1"/>
    <x v="4"/>
    <n v="1"/>
  </r>
  <r>
    <s v="T003403"/>
    <x v="3218"/>
    <d v="2026-05-31T18:59:00"/>
    <x v="1"/>
    <s v="Phone"/>
    <x v="1"/>
    <s v="A047"/>
    <x v="1"/>
    <n v="24"/>
    <n v="2.8"/>
    <x v="1"/>
    <s v="No"/>
    <s v="No"/>
    <m/>
    <s v="Closed"/>
    <s v="May"/>
    <x v="4"/>
    <n v="2026"/>
    <s v="Yes"/>
    <n v="1"/>
    <x v="3"/>
    <n v="1"/>
  </r>
  <r>
    <s v="T003404"/>
    <x v="3219"/>
    <d v="2026-05-31T20:02:00"/>
    <x v="1"/>
    <s v="Chat"/>
    <x v="2"/>
    <s v="A033"/>
    <x v="2"/>
    <n v="4"/>
    <n v="3.8"/>
    <x v="1"/>
    <s v="No"/>
    <s v="No"/>
    <n v="4"/>
    <s v="Closed"/>
    <s v="May"/>
    <x v="4"/>
    <n v="2026"/>
    <s v="Yes"/>
    <n v="1"/>
    <x v="4"/>
    <n v="1"/>
  </r>
  <r>
    <s v="T003405"/>
    <x v="3220"/>
    <d v="2026-06-03T10:28:00"/>
    <x v="4"/>
    <s v="Email"/>
    <x v="0"/>
    <s v="A055"/>
    <x v="1"/>
    <n v="72"/>
    <n v="65.7"/>
    <x v="0"/>
    <s v="Yes"/>
    <s v="No"/>
    <m/>
    <s v="Closed"/>
    <s v="May"/>
    <x v="4"/>
    <n v="2026"/>
    <s v="Yes"/>
    <n v="1"/>
    <x v="3"/>
    <n v="0"/>
  </r>
  <r>
    <s v="T003406"/>
    <x v="3221"/>
    <d v="2026-05-31T18:49:00"/>
    <x v="1"/>
    <s v="Chat"/>
    <x v="0"/>
    <s v="A032"/>
    <x v="2"/>
    <n v="72"/>
    <n v="1.8"/>
    <x v="0"/>
    <s v="Yes"/>
    <s v="No"/>
    <m/>
    <s v="Closed"/>
    <s v="May"/>
    <x v="4"/>
    <n v="2026"/>
    <s v="Yes"/>
    <n v="1"/>
    <x v="1"/>
    <n v="0"/>
  </r>
  <r>
    <s v="T003407"/>
    <x v="3222"/>
    <d v="2026-06-01T12:05:00"/>
    <x v="1"/>
    <s v="Email"/>
    <x v="1"/>
    <s v="A007"/>
    <x v="0"/>
    <n v="24"/>
    <n v="19"/>
    <x v="1"/>
    <s v="No"/>
    <s v="No"/>
    <m/>
    <s v="Closed"/>
    <s v="May"/>
    <x v="4"/>
    <n v="2026"/>
    <s v="Yes"/>
    <n v="1"/>
    <x v="1"/>
    <n v="1"/>
  </r>
  <r>
    <s v="T003408"/>
    <x v="3223"/>
    <d v="2026-06-01T03:15:00"/>
    <x v="1"/>
    <s v="Phone"/>
    <x v="0"/>
    <s v="A017"/>
    <x v="2"/>
    <n v="72"/>
    <n v="9.9"/>
    <x v="0"/>
    <s v="Yes"/>
    <s v="No"/>
    <n v="4"/>
    <s v="Closed"/>
    <s v="May"/>
    <x v="4"/>
    <n v="2026"/>
    <s v="Yes"/>
    <n v="1"/>
    <x v="4"/>
    <n v="0"/>
  </r>
  <r>
    <s v="T003409"/>
    <x v="3224"/>
    <d v="2026-06-01T11:07:00"/>
    <x v="1"/>
    <s v="Email"/>
    <x v="1"/>
    <s v="A052"/>
    <x v="1"/>
    <n v="24"/>
    <n v="15.8"/>
    <x v="1"/>
    <s v="No"/>
    <s v="No"/>
    <n v="5"/>
    <s v="Closed"/>
    <s v="May"/>
    <x v="4"/>
    <n v="2026"/>
    <s v="Yes"/>
    <n v="1"/>
    <x v="2"/>
    <n v="1"/>
  </r>
  <r>
    <s v="T003410"/>
    <x v="3225"/>
    <d v="2026-06-01T07:17:00"/>
    <x v="3"/>
    <s v="Chat"/>
    <x v="1"/>
    <s v="A039"/>
    <x v="1"/>
    <n v="24"/>
    <n v="11.1"/>
    <x v="1"/>
    <s v="No"/>
    <s v="No"/>
    <n v="5"/>
    <s v="Closed"/>
    <s v="May"/>
    <x v="4"/>
    <n v="2026"/>
    <s v="Yes"/>
    <n v="1"/>
    <x v="1"/>
    <n v="1"/>
  </r>
  <r>
    <s v="T003411"/>
    <x v="3226"/>
    <d v="2026-06-01T15:08:00"/>
    <x v="6"/>
    <s v="Phone"/>
    <x v="2"/>
    <s v="A016"/>
    <x v="2"/>
    <n v="4"/>
    <n v="18.2"/>
    <x v="1"/>
    <s v="No"/>
    <s v="Yes"/>
    <n v="4"/>
    <s v="Closed"/>
    <s v="May"/>
    <x v="4"/>
    <n v="2026"/>
    <s v="No"/>
    <n v="0"/>
    <x v="1"/>
    <n v="1"/>
  </r>
  <r>
    <s v="T003412"/>
    <x v="3227"/>
    <d v="2026-06-01T10:57:00"/>
    <x v="0"/>
    <s v="Chat"/>
    <x v="0"/>
    <s v="A035"/>
    <x v="2"/>
    <n v="72"/>
    <n v="3.3"/>
    <x v="1"/>
    <s v="No"/>
    <s v="No"/>
    <m/>
    <s v="Closed"/>
    <s v="June"/>
    <x v="5"/>
    <n v="2026"/>
    <s v="Yes"/>
    <n v="1"/>
    <x v="4"/>
    <n v="1"/>
  </r>
  <r>
    <s v="T003413"/>
    <x v="3228"/>
    <d v="2026-06-03T13:43:00"/>
    <x v="1"/>
    <s v="Email"/>
    <x v="1"/>
    <s v="A015"/>
    <x v="0"/>
    <n v="24"/>
    <n v="52.6"/>
    <x v="1"/>
    <s v="No"/>
    <s v="No"/>
    <m/>
    <s v="Closed"/>
    <s v="June"/>
    <x v="5"/>
    <n v="2026"/>
    <s v="No"/>
    <n v="0"/>
    <x v="3"/>
    <n v="1"/>
  </r>
  <r>
    <s v="T003414"/>
    <x v="3229"/>
    <d v="2026-06-01T22:46:00"/>
    <x v="3"/>
    <s v="Phone"/>
    <x v="1"/>
    <s v="A028"/>
    <x v="2"/>
    <n v="24"/>
    <n v="13.1"/>
    <x v="1"/>
    <s v="No"/>
    <s v="No"/>
    <n v="5"/>
    <s v="Closed"/>
    <s v="June"/>
    <x v="5"/>
    <n v="2026"/>
    <s v="Yes"/>
    <n v="1"/>
    <x v="2"/>
    <n v="1"/>
  </r>
  <r>
    <s v="T003415"/>
    <x v="3230"/>
    <d v="2026-06-01T15:52:00"/>
    <x v="2"/>
    <s v="Chat"/>
    <x v="0"/>
    <s v="A005"/>
    <x v="0"/>
    <n v="72"/>
    <n v="5.6"/>
    <x v="1"/>
    <s v="No"/>
    <s v="No"/>
    <m/>
    <s v="Closed"/>
    <s v="June"/>
    <x v="5"/>
    <n v="2026"/>
    <s v="Yes"/>
    <n v="1"/>
    <x v="1"/>
    <n v="1"/>
  </r>
  <r>
    <s v="T003416"/>
    <x v="3231"/>
    <d v="2026-06-02T01:43:00"/>
    <x v="6"/>
    <s v="Phone"/>
    <x v="2"/>
    <s v="A033"/>
    <x v="2"/>
    <n v="4"/>
    <n v="15"/>
    <x v="1"/>
    <s v="No"/>
    <s v="No"/>
    <n v="5"/>
    <s v="Closed"/>
    <s v="June"/>
    <x v="5"/>
    <n v="2026"/>
    <s v="No"/>
    <n v="0"/>
    <x v="2"/>
    <n v="1"/>
  </r>
  <r>
    <s v="T003417"/>
    <x v="3232"/>
    <d v="2026-06-02T03:09:00"/>
    <x v="2"/>
    <s v="Chat"/>
    <x v="0"/>
    <s v="A040"/>
    <x v="1"/>
    <n v="72"/>
    <n v="16.2"/>
    <x v="1"/>
    <s v="No"/>
    <s v="No"/>
    <n v="4"/>
    <s v="Closed"/>
    <s v="June"/>
    <x v="5"/>
    <n v="2026"/>
    <s v="Yes"/>
    <n v="1"/>
    <x v="2"/>
    <n v="1"/>
  </r>
  <r>
    <s v="T003418"/>
    <x v="3233"/>
    <d v="2026-06-04T20:53:00"/>
    <x v="3"/>
    <s v="Field Visit"/>
    <x v="0"/>
    <s v="A032"/>
    <x v="2"/>
    <n v="72"/>
    <n v="81.400000000000006"/>
    <x v="0"/>
    <s v="Yes"/>
    <s v="No"/>
    <m/>
    <s v="Closed"/>
    <s v="June"/>
    <x v="5"/>
    <n v="2026"/>
    <s v="No"/>
    <n v="0"/>
    <x v="1"/>
    <n v="0"/>
  </r>
  <r>
    <s v="T003419"/>
    <x v="3234"/>
    <d v="2026-06-02T04:02:00"/>
    <x v="1"/>
    <s v="Chat"/>
    <x v="0"/>
    <s v="A024"/>
    <x v="2"/>
    <n v="72"/>
    <n v="16.3"/>
    <x v="1"/>
    <s v="No"/>
    <s v="No"/>
    <n v="5"/>
    <s v="Closed"/>
    <s v="June"/>
    <x v="5"/>
    <n v="2026"/>
    <s v="Yes"/>
    <n v="1"/>
    <x v="1"/>
    <n v="1"/>
  </r>
  <r>
    <s v="T003420"/>
    <x v="3235"/>
    <d v="2026-06-04T05:12:00"/>
    <x v="0"/>
    <s v="Field Visit"/>
    <x v="1"/>
    <s v="A001"/>
    <x v="0"/>
    <n v="24"/>
    <n v="63.6"/>
    <x v="0"/>
    <s v="No"/>
    <s v="No"/>
    <n v="4"/>
    <s v="Closed"/>
    <s v="June"/>
    <x v="5"/>
    <n v="2026"/>
    <s v="No"/>
    <n v="0"/>
    <x v="2"/>
    <n v="0"/>
  </r>
  <r>
    <s v="T003421"/>
    <x v="3236"/>
    <d v="2026-06-01T21:19:00"/>
    <x v="2"/>
    <s v="Phone"/>
    <x v="1"/>
    <s v="A004"/>
    <x v="0"/>
    <n v="24"/>
    <n v="7.3"/>
    <x v="1"/>
    <s v="No"/>
    <s v="No"/>
    <m/>
    <s v="Closed"/>
    <s v="June"/>
    <x v="5"/>
    <n v="2026"/>
    <s v="Yes"/>
    <n v="1"/>
    <x v="1"/>
    <n v="1"/>
  </r>
  <r>
    <s v="T003422"/>
    <x v="3237"/>
    <d v="2026-06-02T01:19:00"/>
    <x v="5"/>
    <s v="Phone"/>
    <x v="1"/>
    <s v="A045"/>
    <x v="1"/>
    <n v="24"/>
    <n v="11.2"/>
    <x v="1"/>
    <s v="No"/>
    <s v="No"/>
    <n v="4"/>
    <s v="Closed"/>
    <s v="June"/>
    <x v="5"/>
    <n v="2026"/>
    <s v="Yes"/>
    <n v="1"/>
    <x v="2"/>
    <n v="1"/>
  </r>
  <r>
    <s v="T003423"/>
    <x v="3238"/>
    <d v="2026-06-02T08:50:00"/>
    <x v="1"/>
    <s v="Email"/>
    <x v="1"/>
    <s v="A042"/>
    <x v="1"/>
    <n v="24"/>
    <n v="17.899999999999999"/>
    <x v="1"/>
    <s v="No"/>
    <s v="No"/>
    <n v="5"/>
    <s v="Closed"/>
    <s v="June"/>
    <x v="5"/>
    <n v="2026"/>
    <s v="Yes"/>
    <n v="1"/>
    <x v="0"/>
    <n v="1"/>
  </r>
  <r>
    <s v="T003424"/>
    <x v="3239"/>
    <d v="2026-06-01T23:01:00"/>
    <x v="5"/>
    <s v="Phone"/>
    <x v="0"/>
    <s v="A057"/>
    <x v="1"/>
    <n v="72"/>
    <n v="5.9"/>
    <x v="1"/>
    <s v="No"/>
    <s v="No"/>
    <n v="4"/>
    <s v="Closed"/>
    <s v="June"/>
    <x v="5"/>
    <n v="2026"/>
    <s v="Yes"/>
    <n v="1"/>
    <x v="4"/>
    <n v="1"/>
  </r>
  <r>
    <s v="T003425"/>
    <x v="3240"/>
    <d v="2026-06-02T22:44:00"/>
    <x v="0"/>
    <s v="Chat"/>
    <x v="0"/>
    <s v="A008"/>
    <x v="0"/>
    <n v="72"/>
    <n v="29.5"/>
    <x v="0"/>
    <s v="No"/>
    <s v="No"/>
    <n v="4"/>
    <s v="Closed"/>
    <s v="June"/>
    <x v="5"/>
    <n v="2026"/>
    <s v="Yes"/>
    <n v="1"/>
    <x v="3"/>
    <n v="0"/>
  </r>
  <r>
    <s v="T003426"/>
    <x v="3241"/>
    <d v="2026-06-02T22:10:00"/>
    <x v="6"/>
    <s v="Field Visit"/>
    <x v="1"/>
    <s v="A031"/>
    <x v="2"/>
    <n v="24"/>
    <n v="14.5"/>
    <x v="1"/>
    <s v="No"/>
    <s v="No"/>
    <n v="5"/>
    <s v="Closed"/>
    <s v="June"/>
    <x v="5"/>
    <n v="2026"/>
    <s v="Yes"/>
    <n v="1"/>
    <x v="3"/>
    <n v="1"/>
  </r>
  <r>
    <s v="T003427"/>
    <x v="3242"/>
    <d v="2026-06-03T04:10:00"/>
    <x v="6"/>
    <s v="Field Visit"/>
    <x v="1"/>
    <s v="A002"/>
    <x v="0"/>
    <n v="24"/>
    <n v="19.8"/>
    <x v="0"/>
    <s v="Yes"/>
    <s v="No"/>
    <n v="3"/>
    <s v="Closed"/>
    <s v="June"/>
    <x v="5"/>
    <n v="2026"/>
    <s v="Yes"/>
    <n v="1"/>
    <x v="3"/>
    <n v="0"/>
  </r>
  <r>
    <s v="T003428"/>
    <x v="3243"/>
    <d v="2026-06-03T01:45:00"/>
    <x v="3"/>
    <s v="Phone"/>
    <x v="0"/>
    <s v="A057"/>
    <x v="1"/>
    <n v="72"/>
    <n v="16.2"/>
    <x v="1"/>
    <s v="No"/>
    <s v="No"/>
    <m/>
    <s v="Closed"/>
    <s v="June"/>
    <x v="5"/>
    <n v="2026"/>
    <s v="Yes"/>
    <n v="1"/>
    <x v="2"/>
    <n v="1"/>
  </r>
  <r>
    <s v="T003429"/>
    <x v="3244"/>
    <d v="2026-06-02T18:31:00"/>
    <x v="1"/>
    <s v="Chat"/>
    <x v="1"/>
    <s v="A018"/>
    <x v="2"/>
    <n v="24"/>
    <n v="8.5"/>
    <x v="0"/>
    <s v="Yes"/>
    <s v="No"/>
    <m/>
    <s v="Closed"/>
    <s v="June"/>
    <x v="5"/>
    <n v="2026"/>
    <s v="Yes"/>
    <n v="1"/>
    <x v="1"/>
    <n v="0"/>
  </r>
  <r>
    <s v="T003430"/>
    <x v="3245"/>
    <d v="2026-06-03T03:26:00"/>
    <x v="5"/>
    <s v="Phone"/>
    <x v="1"/>
    <s v="A046"/>
    <x v="1"/>
    <n v="24"/>
    <n v="17.399999999999999"/>
    <x v="1"/>
    <s v="No"/>
    <s v="No"/>
    <n v="5"/>
    <s v="Closed"/>
    <s v="June"/>
    <x v="5"/>
    <n v="2026"/>
    <s v="Yes"/>
    <n v="1"/>
    <x v="2"/>
    <n v="1"/>
  </r>
  <r>
    <s v="T003431"/>
    <x v="3246"/>
    <d v="2026-06-02T16:23:00"/>
    <x v="6"/>
    <s v="Chat"/>
    <x v="2"/>
    <s v="A060"/>
    <x v="1"/>
    <n v="4"/>
    <n v="6.3"/>
    <x v="0"/>
    <s v="Yes"/>
    <s v="No"/>
    <m/>
    <s v="Closed"/>
    <s v="June"/>
    <x v="5"/>
    <n v="2026"/>
    <s v="No"/>
    <n v="0"/>
    <x v="2"/>
    <n v="0"/>
  </r>
  <r>
    <s v="T003432"/>
    <x v="3247"/>
    <d v="2026-06-02T17:58:00"/>
    <x v="1"/>
    <s v="Phone"/>
    <x v="0"/>
    <s v="A027"/>
    <x v="2"/>
    <n v="72"/>
    <n v="6.5"/>
    <x v="1"/>
    <s v="No"/>
    <s v="No"/>
    <n v="5"/>
    <s v="Closed"/>
    <s v="June"/>
    <x v="5"/>
    <n v="2026"/>
    <s v="Yes"/>
    <n v="1"/>
    <x v="4"/>
    <n v="1"/>
  </r>
  <r>
    <s v="T003433"/>
    <x v="3248"/>
    <d v="2026-06-02T16:32:00"/>
    <x v="2"/>
    <s v="Phone"/>
    <x v="0"/>
    <s v="A052"/>
    <x v="1"/>
    <n v="72"/>
    <n v="5"/>
    <x v="1"/>
    <s v="No"/>
    <s v="No"/>
    <n v="3"/>
    <s v="Closed"/>
    <s v="June"/>
    <x v="5"/>
    <n v="2026"/>
    <s v="Yes"/>
    <n v="1"/>
    <x v="3"/>
    <n v="1"/>
  </r>
  <r>
    <s v="T003434"/>
    <x v="3249"/>
    <d v="2026-06-02T16:42:00"/>
    <x v="3"/>
    <s v="Chat"/>
    <x v="1"/>
    <s v="A037"/>
    <x v="1"/>
    <n v="24"/>
    <n v="4.5"/>
    <x v="1"/>
    <s v="No"/>
    <s v="No"/>
    <n v="4"/>
    <s v="Closed"/>
    <s v="June"/>
    <x v="5"/>
    <n v="2026"/>
    <s v="Yes"/>
    <n v="1"/>
    <x v="4"/>
    <n v="1"/>
  </r>
  <r>
    <s v="T003435"/>
    <x v="3250"/>
    <d v="2026-06-02T19:17:00"/>
    <x v="1"/>
    <s v="Phone"/>
    <x v="1"/>
    <s v="A042"/>
    <x v="1"/>
    <n v="24"/>
    <n v="6.9"/>
    <x v="1"/>
    <s v="No"/>
    <s v="No"/>
    <m/>
    <s v="Closed"/>
    <s v="June"/>
    <x v="5"/>
    <n v="2026"/>
    <s v="Yes"/>
    <n v="1"/>
    <x v="3"/>
    <n v="1"/>
  </r>
  <r>
    <s v="T003436"/>
    <x v="3251"/>
    <d v="2026-06-03T13:41:00"/>
    <x v="3"/>
    <s v="Email"/>
    <x v="1"/>
    <s v="A024"/>
    <x v="2"/>
    <n v="24"/>
    <n v="25.2"/>
    <x v="0"/>
    <s v="Yes"/>
    <s v="No"/>
    <n v="2"/>
    <s v="Closed"/>
    <s v="June"/>
    <x v="5"/>
    <n v="2026"/>
    <s v="No"/>
    <n v="0"/>
    <x v="3"/>
    <n v="0"/>
  </r>
  <r>
    <s v="T003437"/>
    <x v="3252"/>
    <d v="2026-06-02T18:48:00"/>
    <x v="1"/>
    <s v="Email"/>
    <x v="0"/>
    <s v="A002"/>
    <x v="0"/>
    <n v="72"/>
    <n v="6"/>
    <x v="0"/>
    <s v="No"/>
    <s v="No"/>
    <n v="4"/>
    <s v="Closed"/>
    <s v="June"/>
    <x v="5"/>
    <n v="2026"/>
    <s v="Yes"/>
    <n v="1"/>
    <x v="2"/>
    <n v="0"/>
  </r>
  <r>
    <s v="T003438"/>
    <x v="3253"/>
    <d v="2026-06-03T08:52:00"/>
    <x v="0"/>
    <s v="Phone"/>
    <x v="2"/>
    <s v="A015"/>
    <x v="0"/>
    <n v="4"/>
    <n v="20"/>
    <x v="1"/>
    <s v="No"/>
    <s v="No"/>
    <m/>
    <s v="Closed"/>
    <s v="June"/>
    <x v="5"/>
    <n v="2026"/>
    <s v="No"/>
    <n v="0"/>
    <x v="2"/>
    <n v="1"/>
  </r>
  <r>
    <s v="T003439"/>
    <x v="3254"/>
    <d v="2026-06-02T14:26:00"/>
    <x v="1"/>
    <s v="Phone"/>
    <x v="1"/>
    <s v="A033"/>
    <x v="2"/>
    <n v="24"/>
    <n v="1.2"/>
    <x v="0"/>
    <s v="No"/>
    <s v="No"/>
    <m/>
    <s v="Closed"/>
    <s v="June"/>
    <x v="5"/>
    <n v="2026"/>
    <s v="Yes"/>
    <n v="1"/>
    <x v="2"/>
    <n v="0"/>
  </r>
  <r>
    <s v="T003440"/>
    <x v="3255"/>
    <d v="2026-06-02T19:53:00"/>
    <x v="6"/>
    <s v="Phone"/>
    <x v="0"/>
    <s v="A040"/>
    <x v="1"/>
    <n v="72"/>
    <n v="6.2"/>
    <x v="1"/>
    <s v="No"/>
    <s v="No"/>
    <n v="5"/>
    <s v="Closed"/>
    <s v="June"/>
    <x v="5"/>
    <n v="2026"/>
    <s v="Yes"/>
    <n v="1"/>
    <x v="3"/>
    <n v="1"/>
  </r>
  <r>
    <s v="T003441"/>
    <x v="3256"/>
    <d v="2026-06-02T23:08:00"/>
    <x v="0"/>
    <s v="Chat"/>
    <x v="1"/>
    <s v="A003"/>
    <x v="0"/>
    <n v="24"/>
    <n v="9.1999999999999993"/>
    <x v="1"/>
    <s v="No"/>
    <s v="No"/>
    <n v="4"/>
    <s v="Closed"/>
    <s v="June"/>
    <x v="5"/>
    <n v="2026"/>
    <s v="Yes"/>
    <n v="1"/>
    <x v="4"/>
    <n v="1"/>
  </r>
  <r>
    <s v="T003442"/>
    <x v="3257"/>
    <d v="2026-06-09T01:15:00"/>
    <x v="4"/>
    <s v="Field Visit"/>
    <x v="1"/>
    <s v="A011"/>
    <x v="0"/>
    <n v="24"/>
    <n v="153.9"/>
    <x v="0"/>
    <s v="Yes"/>
    <s v="No"/>
    <m/>
    <s v="Closed"/>
    <s v="June"/>
    <x v="5"/>
    <n v="2026"/>
    <s v="No"/>
    <n v="0"/>
    <x v="2"/>
    <n v="0"/>
  </r>
  <r>
    <s v="T003443"/>
    <x v="3258"/>
    <d v="2026-06-03T07:22:00"/>
    <x v="6"/>
    <s v="Phone"/>
    <x v="1"/>
    <s v="A015"/>
    <x v="0"/>
    <n v="24"/>
    <n v="15.4"/>
    <x v="1"/>
    <s v="No"/>
    <s v="No"/>
    <n v="4"/>
    <s v="Closed"/>
    <s v="June"/>
    <x v="5"/>
    <n v="2026"/>
    <s v="Yes"/>
    <n v="1"/>
    <x v="4"/>
    <n v="1"/>
  </r>
  <r>
    <s v="T003444"/>
    <x v="3258"/>
    <d v="2026-06-07T09:04:00"/>
    <x v="3"/>
    <s v="Field Visit"/>
    <x v="1"/>
    <s v="A006"/>
    <x v="0"/>
    <n v="24"/>
    <n v="113.1"/>
    <x v="1"/>
    <s v="No"/>
    <s v="No"/>
    <n v="5"/>
    <s v="Closed"/>
    <s v="June"/>
    <x v="5"/>
    <n v="2026"/>
    <s v="No"/>
    <n v="0"/>
    <x v="2"/>
    <n v="1"/>
  </r>
  <r>
    <s v="T003445"/>
    <x v="3259"/>
    <d v="2026-06-02T20:59:00"/>
    <x v="2"/>
    <s v="Phone"/>
    <x v="1"/>
    <s v="A015"/>
    <x v="0"/>
    <n v="24"/>
    <n v="4.3"/>
    <x v="0"/>
    <s v="Yes"/>
    <s v="Yes"/>
    <m/>
    <s v="Closed"/>
    <s v="June"/>
    <x v="5"/>
    <n v="2026"/>
    <s v="Yes"/>
    <n v="1"/>
    <x v="4"/>
    <n v="0"/>
  </r>
  <r>
    <s v="T003446"/>
    <x v="3260"/>
    <d v="2026-06-02T22:38:00"/>
    <x v="4"/>
    <s v="Chat"/>
    <x v="2"/>
    <s v="A017"/>
    <x v="2"/>
    <n v="4"/>
    <n v="5.7"/>
    <x v="0"/>
    <s v="No"/>
    <s v="No"/>
    <n v="3"/>
    <s v="Closed"/>
    <s v="June"/>
    <x v="5"/>
    <n v="2026"/>
    <s v="No"/>
    <n v="0"/>
    <x v="4"/>
    <n v="0"/>
  </r>
  <r>
    <s v="T003447"/>
    <x v="3261"/>
    <d v="2026-06-03T21:17:00"/>
    <x v="0"/>
    <s v="Email"/>
    <x v="1"/>
    <s v="A007"/>
    <x v="0"/>
    <n v="24"/>
    <n v="27.3"/>
    <x v="0"/>
    <s v="Yes"/>
    <s v="No"/>
    <m/>
    <s v="Closed"/>
    <s v="June"/>
    <x v="5"/>
    <n v="2026"/>
    <s v="No"/>
    <n v="0"/>
    <x v="2"/>
    <n v="0"/>
  </r>
  <r>
    <s v="T003448"/>
    <x v="3262"/>
    <d v="2026-06-03T04:47:00"/>
    <x v="1"/>
    <s v="Phone"/>
    <x v="0"/>
    <s v="A017"/>
    <x v="2"/>
    <n v="72"/>
    <n v="8.3000000000000007"/>
    <x v="0"/>
    <s v="Yes"/>
    <s v="No"/>
    <n v="4"/>
    <s v="Closed"/>
    <s v="June"/>
    <x v="5"/>
    <n v="2026"/>
    <s v="Yes"/>
    <n v="1"/>
    <x v="0"/>
    <n v="0"/>
  </r>
  <r>
    <s v="T003449"/>
    <x v="3263"/>
    <d v="2026-06-03T00:40:00"/>
    <x v="1"/>
    <s v="Phone"/>
    <x v="1"/>
    <s v="A038"/>
    <x v="1"/>
    <n v="24"/>
    <n v="1.9"/>
    <x v="1"/>
    <s v="No"/>
    <s v="No"/>
    <n v="5"/>
    <s v="Closed"/>
    <s v="June"/>
    <x v="5"/>
    <n v="2026"/>
    <s v="Yes"/>
    <n v="1"/>
    <x v="4"/>
    <n v="1"/>
  </r>
  <r>
    <s v="T003450"/>
    <x v="3264"/>
    <d v="2026-06-03T11:32:00"/>
    <x v="2"/>
    <s v="Chat"/>
    <x v="1"/>
    <s v="A003"/>
    <x v="0"/>
    <n v="24"/>
    <n v="9.6999999999999993"/>
    <x v="0"/>
    <s v="Yes"/>
    <s v="No"/>
    <n v="4"/>
    <s v="Closed"/>
    <s v="June"/>
    <x v="5"/>
    <n v="2026"/>
    <s v="Yes"/>
    <n v="1"/>
    <x v="1"/>
    <n v="0"/>
  </r>
  <r>
    <s v="T003451"/>
    <x v="3265"/>
    <d v="2026-06-03T11:08:00"/>
    <x v="2"/>
    <s v="Phone"/>
    <x v="1"/>
    <s v="A018"/>
    <x v="2"/>
    <n v="24"/>
    <n v="8"/>
    <x v="0"/>
    <s v="Yes"/>
    <s v="No"/>
    <n v="4"/>
    <s v="Closed"/>
    <s v="June"/>
    <x v="5"/>
    <n v="2026"/>
    <s v="Yes"/>
    <n v="1"/>
    <x v="1"/>
    <n v="0"/>
  </r>
  <r>
    <s v="T003452"/>
    <x v="3266"/>
    <d v="2026-06-03T14:14:00"/>
    <x v="3"/>
    <s v="Phone"/>
    <x v="0"/>
    <s v="A043"/>
    <x v="1"/>
    <n v="72"/>
    <n v="8.1999999999999993"/>
    <x v="0"/>
    <s v="No"/>
    <s v="No"/>
    <n v="5"/>
    <s v="Closed"/>
    <s v="June"/>
    <x v="5"/>
    <n v="2026"/>
    <s v="Yes"/>
    <n v="1"/>
    <x v="4"/>
    <n v="0"/>
  </r>
  <r>
    <s v="T003453"/>
    <x v="3267"/>
    <d v="2026-06-03T13:54:00"/>
    <x v="0"/>
    <s v="Phone"/>
    <x v="0"/>
    <s v="A031"/>
    <x v="2"/>
    <n v="72"/>
    <n v="5.4"/>
    <x v="1"/>
    <s v="No"/>
    <s v="No"/>
    <m/>
    <s v="Closed"/>
    <s v="June"/>
    <x v="5"/>
    <n v="2026"/>
    <s v="Yes"/>
    <n v="1"/>
    <x v="4"/>
    <n v="1"/>
  </r>
  <r>
    <s v="T003454"/>
    <x v="3268"/>
    <d v="2026-06-04T14:58:00"/>
    <x v="0"/>
    <s v="Field Visit"/>
    <x v="0"/>
    <s v="A009"/>
    <x v="0"/>
    <n v="72"/>
    <n v="27.6"/>
    <x v="0"/>
    <s v="No"/>
    <s v="No"/>
    <n v="4"/>
    <s v="Closed"/>
    <s v="June"/>
    <x v="5"/>
    <n v="2026"/>
    <s v="Yes"/>
    <n v="1"/>
    <x v="1"/>
    <n v="0"/>
  </r>
  <r>
    <s v="T003455"/>
    <x v="3269"/>
    <d v="2026-06-04T10:36:00"/>
    <x v="0"/>
    <s v="Phone"/>
    <x v="0"/>
    <s v="A056"/>
    <x v="1"/>
    <n v="72"/>
    <n v="22"/>
    <x v="0"/>
    <s v="Yes"/>
    <s v="No"/>
    <n v="4"/>
    <s v="Closed"/>
    <s v="June"/>
    <x v="5"/>
    <n v="2026"/>
    <s v="Yes"/>
    <n v="1"/>
    <x v="2"/>
    <n v="0"/>
  </r>
  <r>
    <s v="T003456"/>
    <x v="3270"/>
    <d v="2026-06-03T19:08:00"/>
    <x v="1"/>
    <s v="Email"/>
    <x v="0"/>
    <s v="A014"/>
    <x v="0"/>
    <n v="72"/>
    <n v="5.6"/>
    <x v="1"/>
    <s v="No"/>
    <s v="No"/>
    <n v="4"/>
    <s v="Closed"/>
    <s v="June"/>
    <x v="5"/>
    <n v="2026"/>
    <s v="Yes"/>
    <n v="1"/>
    <x v="3"/>
    <n v="1"/>
  </r>
  <r>
    <s v="T003457"/>
    <x v="3271"/>
    <d v="2026-06-03T20:58:00"/>
    <x v="3"/>
    <s v="Chat"/>
    <x v="0"/>
    <s v="A036"/>
    <x v="1"/>
    <n v="72"/>
    <n v="7.4"/>
    <x v="0"/>
    <s v="Yes"/>
    <s v="No"/>
    <m/>
    <s v="Closed"/>
    <s v="June"/>
    <x v="5"/>
    <n v="2026"/>
    <s v="Yes"/>
    <n v="1"/>
    <x v="1"/>
    <n v="0"/>
  </r>
  <r>
    <s v="T003458"/>
    <x v="3272"/>
    <d v="2026-06-06T00:36:00"/>
    <x v="4"/>
    <s v="Field Visit"/>
    <x v="1"/>
    <s v="A044"/>
    <x v="1"/>
    <n v="24"/>
    <n v="59"/>
    <x v="1"/>
    <s v="No"/>
    <s v="No"/>
    <n v="4"/>
    <s v="Closed"/>
    <s v="June"/>
    <x v="5"/>
    <n v="2026"/>
    <s v="No"/>
    <n v="0"/>
    <x v="0"/>
    <n v="1"/>
  </r>
  <r>
    <s v="T003459"/>
    <x v="3273"/>
    <d v="2026-06-03T22:02:00"/>
    <x v="6"/>
    <s v="Phone"/>
    <x v="1"/>
    <s v="A035"/>
    <x v="2"/>
    <n v="24"/>
    <n v="7.6"/>
    <x v="1"/>
    <s v="No"/>
    <s v="No"/>
    <n v="5"/>
    <s v="Closed"/>
    <s v="June"/>
    <x v="5"/>
    <n v="2026"/>
    <s v="Yes"/>
    <n v="1"/>
    <x v="3"/>
    <n v="1"/>
  </r>
  <r>
    <s v="T003460"/>
    <x v="3274"/>
    <d v="2026-06-04T11:50:00"/>
    <x v="0"/>
    <s v="Email"/>
    <x v="0"/>
    <s v="A051"/>
    <x v="1"/>
    <n v="72"/>
    <n v="21.2"/>
    <x v="1"/>
    <s v="No"/>
    <s v="No"/>
    <n v="4"/>
    <s v="Closed"/>
    <s v="June"/>
    <x v="5"/>
    <n v="2026"/>
    <s v="Yes"/>
    <n v="1"/>
    <x v="0"/>
    <n v="1"/>
  </r>
  <r>
    <s v="T003461"/>
    <x v="3275"/>
    <d v="2026-06-04T01:49:00"/>
    <x v="0"/>
    <s v="Chat"/>
    <x v="1"/>
    <s v="A060"/>
    <x v="1"/>
    <n v="24"/>
    <n v="11"/>
    <x v="0"/>
    <s v="No"/>
    <s v="No"/>
    <n v="4"/>
    <s v="Closed"/>
    <s v="June"/>
    <x v="5"/>
    <n v="2026"/>
    <s v="Yes"/>
    <n v="1"/>
    <x v="0"/>
    <n v="0"/>
  </r>
  <r>
    <s v="T003462"/>
    <x v="3276"/>
    <d v="2026-06-05T01:13:00"/>
    <x v="3"/>
    <s v="Field Visit"/>
    <x v="1"/>
    <s v="A047"/>
    <x v="1"/>
    <n v="24"/>
    <n v="33.299999999999997"/>
    <x v="0"/>
    <s v="Yes"/>
    <s v="No"/>
    <n v="3"/>
    <s v="Closed"/>
    <s v="June"/>
    <x v="5"/>
    <n v="2026"/>
    <s v="No"/>
    <n v="0"/>
    <x v="2"/>
    <n v="0"/>
  </r>
  <r>
    <s v="T003463"/>
    <x v="3277"/>
    <d v="2026-06-04T23:19:00"/>
    <x v="3"/>
    <s v="Email"/>
    <x v="1"/>
    <s v="A009"/>
    <x v="0"/>
    <n v="24"/>
    <n v="31.2"/>
    <x v="1"/>
    <s v="No"/>
    <s v="No"/>
    <n v="4"/>
    <s v="Closed"/>
    <s v="June"/>
    <x v="5"/>
    <n v="2026"/>
    <s v="No"/>
    <n v="0"/>
    <x v="0"/>
    <n v="1"/>
  </r>
  <r>
    <s v="T003464"/>
    <x v="3278"/>
    <d v="2026-06-04T04:43:00"/>
    <x v="1"/>
    <s v="Phone"/>
    <x v="1"/>
    <s v="A020"/>
    <x v="2"/>
    <n v="24"/>
    <n v="12.3"/>
    <x v="1"/>
    <s v="No"/>
    <s v="No"/>
    <n v="5"/>
    <s v="Closed"/>
    <s v="June"/>
    <x v="5"/>
    <n v="2026"/>
    <s v="Yes"/>
    <n v="1"/>
    <x v="1"/>
    <n v="1"/>
  </r>
  <r>
    <s v="T003465"/>
    <x v="3279"/>
    <d v="2026-06-04T06:18:00"/>
    <x v="5"/>
    <s v="Phone"/>
    <x v="2"/>
    <s v="A032"/>
    <x v="2"/>
    <n v="4"/>
    <n v="13.8"/>
    <x v="1"/>
    <s v="No"/>
    <s v="Yes"/>
    <n v="3"/>
    <s v="Closed"/>
    <s v="June"/>
    <x v="5"/>
    <n v="2026"/>
    <s v="No"/>
    <n v="0"/>
    <x v="2"/>
    <n v="1"/>
  </r>
  <r>
    <s v="T003466"/>
    <x v="3280"/>
    <d v="2026-06-04T04:38:00"/>
    <x v="5"/>
    <s v="Chat"/>
    <x v="1"/>
    <s v="A022"/>
    <x v="2"/>
    <n v="24"/>
    <n v="11.6"/>
    <x v="1"/>
    <s v="No"/>
    <s v="No"/>
    <n v="5"/>
    <s v="Closed"/>
    <s v="June"/>
    <x v="5"/>
    <n v="2026"/>
    <s v="Yes"/>
    <n v="1"/>
    <x v="4"/>
    <n v="1"/>
  </r>
  <r>
    <s v="T003467"/>
    <x v="3281"/>
    <d v="2026-06-04T02:42:00"/>
    <x v="5"/>
    <s v="Chat"/>
    <x v="0"/>
    <s v="A025"/>
    <x v="2"/>
    <n v="72"/>
    <n v="9.1"/>
    <x v="1"/>
    <s v="No"/>
    <s v="No"/>
    <n v="5"/>
    <s v="Closed"/>
    <s v="June"/>
    <x v="5"/>
    <n v="2026"/>
    <s v="Yes"/>
    <n v="1"/>
    <x v="1"/>
    <n v="1"/>
  </r>
  <r>
    <s v="T003468"/>
    <x v="3282"/>
    <d v="2026-06-05T07:35:00"/>
    <x v="3"/>
    <s v="Field Visit"/>
    <x v="2"/>
    <s v="A011"/>
    <x v="0"/>
    <n v="4"/>
    <n v="37.5"/>
    <x v="1"/>
    <s v="No"/>
    <s v="No"/>
    <n v="3"/>
    <s v="Closed"/>
    <s v="June"/>
    <x v="5"/>
    <n v="2026"/>
    <s v="No"/>
    <n v="0"/>
    <x v="1"/>
    <n v="1"/>
  </r>
  <r>
    <s v="T003469"/>
    <x v="3283"/>
    <d v="2026-06-04T01:34:00"/>
    <x v="1"/>
    <s v="Phone"/>
    <x v="1"/>
    <s v="A048"/>
    <x v="1"/>
    <n v="24"/>
    <n v="6"/>
    <x v="1"/>
    <s v="No"/>
    <s v="No"/>
    <n v="3"/>
    <s v="Closed"/>
    <s v="June"/>
    <x v="5"/>
    <n v="2026"/>
    <s v="Yes"/>
    <n v="1"/>
    <x v="1"/>
    <n v="1"/>
  </r>
  <r>
    <s v="T003470"/>
    <x v="3284"/>
    <d v="2026-06-05T13:11:00"/>
    <x v="3"/>
    <s v="Field Visit"/>
    <x v="2"/>
    <s v="A017"/>
    <x v="2"/>
    <n v="4"/>
    <n v="41"/>
    <x v="1"/>
    <s v="No"/>
    <s v="No"/>
    <m/>
    <s v="Closed"/>
    <s v="June"/>
    <x v="5"/>
    <n v="2026"/>
    <s v="No"/>
    <n v="0"/>
    <x v="1"/>
    <n v="1"/>
  </r>
  <r>
    <s v="T003471"/>
    <x v="3285"/>
    <d v="2026-06-05T03:33:00"/>
    <x v="0"/>
    <s v="Field Visit"/>
    <x v="1"/>
    <s v="A037"/>
    <x v="1"/>
    <n v="24"/>
    <n v="28.3"/>
    <x v="1"/>
    <s v="No"/>
    <s v="No"/>
    <n v="5"/>
    <s v="Closed"/>
    <s v="June"/>
    <x v="5"/>
    <n v="2026"/>
    <s v="No"/>
    <n v="0"/>
    <x v="3"/>
    <n v="1"/>
  </r>
  <r>
    <s v="T003472"/>
    <x v="3286"/>
    <d v="2026-06-04T07:31:00"/>
    <x v="1"/>
    <s v="Chat"/>
    <x v="0"/>
    <s v="A030"/>
    <x v="2"/>
    <n v="72"/>
    <n v="0.9"/>
    <x v="1"/>
    <s v="No"/>
    <s v="No"/>
    <n v="4"/>
    <s v="Closed"/>
    <s v="June"/>
    <x v="5"/>
    <n v="2026"/>
    <s v="Yes"/>
    <n v="1"/>
    <x v="0"/>
    <n v="1"/>
  </r>
  <r>
    <s v="T003473"/>
    <x v="3287"/>
    <d v="2026-06-05T10:01:00"/>
    <x v="6"/>
    <s v="Field Visit"/>
    <x v="1"/>
    <s v="A012"/>
    <x v="0"/>
    <n v="24"/>
    <n v="26.9"/>
    <x v="1"/>
    <s v="No"/>
    <s v="No"/>
    <m/>
    <s v="Closed"/>
    <s v="June"/>
    <x v="5"/>
    <n v="2026"/>
    <s v="No"/>
    <n v="0"/>
    <x v="0"/>
    <n v="1"/>
  </r>
  <r>
    <s v="T003474"/>
    <x v="3288"/>
    <d v="2026-06-04T14:12:00"/>
    <x v="6"/>
    <s v="Phone"/>
    <x v="2"/>
    <s v="A010"/>
    <x v="0"/>
    <n v="4"/>
    <n v="6.4"/>
    <x v="1"/>
    <s v="No"/>
    <s v="No"/>
    <n v="5"/>
    <s v="Closed"/>
    <s v="June"/>
    <x v="5"/>
    <n v="2026"/>
    <s v="No"/>
    <n v="0"/>
    <x v="1"/>
    <n v="1"/>
  </r>
  <r>
    <s v="T003475"/>
    <x v="3289"/>
    <d v="2026-06-11T01:22:00"/>
    <x v="4"/>
    <s v="Field Visit"/>
    <x v="1"/>
    <s v="A040"/>
    <x v="1"/>
    <n v="24"/>
    <n v="160.1"/>
    <x v="0"/>
    <s v="No"/>
    <s v="No"/>
    <n v="4"/>
    <s v="Closed"/>
    <s v="June"/>
    <x v="5"/>
    <n v="2026"/>
    <s v="No"/>
    <n v="0"/>
    <x v="1"/>
    <n v="0"/>
  </r>
  <r>
    <s v="T003476"/>
    <x v="3290"/>
    <d v="2026-06-05T10:40:00"/>
    <x v="2"/>
    <s v="Email"/>
    <x v="1"/>
    <s v="A016"/>
    <x v="2"/>
    <n v="24"/>
    <n v="24.3"/>
    <x v="0"/>
    <s v="Yes"/>
    <s v="No"/>
    <n v="2"/>
    <s v="Closed"/>
    <s v="June"/>
    <x v="5"/>
    <n v="2026"/>
    <s v="No"/>
    <n v="0"/>
    <x v="3"/>
    <n v="0"/>
  </r>
  <r>
    <s v="T003477"/>
    <x v="3291"/>
    <d v="2026-06-04T19:23:00"/>
    <x v="0"/>
    <s v="Phone"/>
    <x v="2"/>
    <s v="A030"/>
    <x v="2"/>
    <n v="4"/>
    <n v="7.3"/>
    <x v="1"/>
    <s v="No"/>
    <s v="No"/>
    <n v="5"/>
    <s v="Closed"/>
    <s v="June"/>
    <x v="5"/>
    <n v="2026"/>
    <s v="No"/>
    <n v="0"/>
    <x v="1"/>
    <n v="1"/>
  </r>
  <r>
    <s v="T003478"/>
    <x v="3292"/>
    <d v="2026-06-04T15:37:00"/>
    <x v="1"/>
    <s v="Chat"/>
    <x v="0"/>
    <s v="A032"/>
    <x v="2"/>
    <n v="72"/>
    <n v="2.7"/>
    <x v="0"/>
    <s v="Yes"/>
    <s v="No"/>
    <n v="4"/>
    <s v="Closed"/>
    <s v="June"/>
    <x v="5"/>
    <n v="2026"/>
    <s v="Yes"/>
    <n v="1"/>
    <x v="4"/>
    <n v="0"/>
  </r>
  <r>
    <s v="T003479"/>
    <x v="3293"/>
    <d v="2026-06-04T15:45:00"/>
    <x v="1"/>
    <s v="Phone"/>
    <x v="0"/>
    <s v="A047"/>
    <x v="1"/>
    <n v="72"/>
    <n v="2"/>
    <x v="1"/>
    <s v="No"/>
    <s v="No"/>
    <n v="5"/>
    <s v="Closed"/>
    <s v="June"/>
    <x v="5"/>
    <n v="2026"/>
    <s v="Yes"/>
    <n v="1"/>
    <x v="0"/>
    <n v="1"/>
  </r>
  <r>
    <s v="T003480"/>
    <x v="3294"/>
    <d v="2026-06-05T05:22:00"/>
    <x v="1"/>
    <s v="Phone"/>
    <x v="0"/>
    <s v="A010"/>
    <x v="0"/>
    <n v="72"/>
    <n v="13.5"/>
    <x v="1"/>
    <s v="No"/>
    <s v="No"/>
    <n v="5"/>
    <s v="Closed"/>
    <s v="June"/>
    <x v="5"/>
    <n v="2026"/>
    <s v="Yes"/>
    <n v="1"/>
    <x v="4"/>
    <n v="1"/>
  </r>
  <r>
    <s v="T003481"/>
    <x v="3295"/>
    <d v="2026-06-10T00:24:00"/>
    <x v="0"/>
    <s v="Field Visit"/>
    <x v="1"/>
    <s v="A032"/>
    <x v="2"/>
    <n v="24"/>
    <n v="123.5"/>
    <x v="1"/>
    <s v="No"/>
    <s v="No"/>
    <m/>
    <s v="Closed"/>
    <s v="June"/>
    <x v="5"/>
    <n v="2026"/>
    <s v="No"/>
    <n v="0"/>
    <x v="2"/>
    <n v="1"/>
  </r>
  <r>
    <s v="T003482"/>
    <x v="3296"/>
    <d v="2026-06-05T06:27:00"/>
    <x v="0"/>
    <s v="Phone"/>
    <x v="2"/>
    <s v="A008"/>
    <x v="0"/>
    <n v="4"/>
    <n v="8.9"/>
    <x v="1"/>
    <s v="No"/>
    <s v="No"/>
    <m/>
    <s v="Closed"/>
    <s v="June"/>
    <x v="5"/>
    <n v="2026"/>
    <s v="No"/>
    <n v="0"/>
    <x v="4"/>
    <n v="1"/>
  </r>
  <r>
    <s v="T003483"/>
    <x v="3297"/>
    <d v="2026-06-05T17:02:00"/>
    <x v="1"/>
    <s v="Email"/>
    <x v="1"/>
    <s v="A025"/>
    <x v="2"/>
    <n v="24"/>
    <n v="10.7"/>
    <x v="1"/>
    <s v="No"/>
    <s v="No"/>
    <n v="4"/>
    <s v="Closed"/>
    <s v="June"/>
    <x v="5"/>
    <n v="2026"/>
    <s v="Yes"/>
    <n v="1"/>
    <x v="3"/>
    <n v="1"/>
  </r>
  <r>
    <s v="T003484"/>
    <x v="3298"/>
    <d v="2026-06-05T22:14:00"/>
    <x v="6"/>
    <s v="Email"/>
    <x v="2"/>
    <s v="A007"/>
    <x v="0"/>
    <n v="4"/>
    <n v="15.7"/>
    <x v="1"/>
    <s v="No"/>
    <s v="No"/>
    <m/>
    <s v="Closed"/>
    <s v="June"/>
    <x v="5"/>
    <n v="2026"/>
    <s v="No"/>
    <n v="0"/>
    <x v="3"/>
    <n v="1"/>
  </r>
  <r>
    <s v="T003485"/>
    <x v="3299"/>
    <d v="2026-06-05T16:47:00"/>
    <x v="6"/>
    <s v="Chat"/>
    <x v="2"/>
    <s v="A056"/>
    <x v="1"/>
    <n v="4"/>
    <n v="9.1"/>
    <x v="1"/>
    <s v="No"/>
    <s v="No"/>
    <m/>
    <s v="Closed"/>
    <s v="June"/>
    <x v="5"/>
    <n v="2026"/>
    <s v="No"/>
    <n v="0"/>
    <x v="4"/>
    <n v="1"/>
  </r>
  <r>
    <s v="T003486"/>
    <x v="3300"/>
    <d v="2026-06-05T17:53:00"/>
    <x v="1"/>
    <s v="Email"/>
    <x v="0"/>
    <s v="A042"/>
    <x v="1"/>
    <n v="72"/>
    <n v="10.1"/>
    <x v="1"/>
    <s v="No"/>
    <s v="No"/>
    <m/>
    <s v="Closed"/>
    <s v="June"/>
    <x v="5"/>
    <n v="2026"/>
    <s v="Yes"/>
    <n v="1"/>
    <x v="2"/>
    <n v="1"/>
  </r>
  <r>
    <s v="T003487"/>
    <x v="3301"/>
    <d v="2026-06-06T19:11:00"/>
    <x v="6"/>
    <s v="Field Visit"/>
    <x v="2"/>
    <s v="A049"/>
    <x v="1"/>
    <n v="4"/>
    <n v="34.4"/>
    <x v="1"/>
    <s v="No"/>
    <s v="Yes"/>
    <n v="5"/>
    <s v="Closed"/>
    <s v="June"/>
    <x v="5"/>
    <n v="2026"/>
    <s v="No"/>
    <n v="0"/>
    <x v="0"/>
    <n v="1"/>
  </r>
  <r>
    <s v="T003488"/>
    <x v="3302"/>
    <d v="2026-06-05T12:42:00"/>
    <x v="1"/>
    <s v="Phone"/>
    <x v="1"/>
    <s v="A057"/>
    <x v="1"/>
    <n v="24"/>
    <n v="3.6"/>
    <x v="1"/>
    <s v="No"/>
    <s v="Yes"/>
    <m/>
    <s v="Closed"/>
    <s v="June"/>
    <x v="5"/>
    <n v="2026"/>
    <s v="Yes"/>
    <n v="1"/>
    <x v="0"/>
    <n v="1"/>
  </r>
  <r>
    <s v="T003489"/>
    <x v="3303"/>
    <d v="2026-06-11T17:42:00"/>
    <x v="4"/>
    <s v="Field Visit"/>
    <x v="1"/>
    <s v="A014"/>
    <x v="0"/>
    <n v="24"/>
    <n v="151.4"/>
    <x v="0"/>
    <s v="Yes"/>
    <s v="No"/>
    <m/>
    <s v="Closed"/>
    <s v="June"/>
    <x v="5"/>
    <n v="2026"/>
    <s v="No"/>
    <n v="0"/>
    <x v="3"/>
    <n v="0"/>
  </r>
  <r>
    <s v="T003490"/>
    <x v="3304"/>
    <d v="2026-06-08T20:27:00"/>
    <x v="4"/>
    <s v="Field Visit"/>
    <x v="1"/>
    <s v="A040"/>
    <x v="1"/>
    <n v="24"/>
    <n v="82.1"/>
    <x v="1"/>
    <s v="No"/>
    <s v="No"/>
    <m/>
    <s v="Closed"/>
    <s v="June"/>
    <x v="5"/>
    <n v="2026"/>
    <s v="No"/>
    <n v="0"/>
    <x v="2"/>
    <n v="1"/>
  </r>
  <r>
    <s v="T003491"/>
    <x v="3305"/>
    <d v="2026-06-05T16:47:00"/>
    <x v="2"/>
    <s v="Phone"/>
    <x v="0"/>
    <s v="A060"/>
    <x v="1"/>
    <n v="72"/>
    <n v="6.3"/>
    <x v="1"/>
    <s v="No"/>
    <s v="No"/>
    <m/>
    <s v="Closed"/>
    <s v="June"/>
    <x v="5"/>
    <n v="2026"/>
    <s v="Yes"/>
    <n v="1"/>
    <x v="4"/>
    <n v="1"/>
  </r>
  <r>
    <s v="T003492"/>
    <x v="3306"/>
    <d v="2026-06-05T14:31:00"/>
    <x v="2"/>
    <s v="Phone"/>
    <x v="1"/>
    <s v="A055"/>
    <x v="1"/>
    <n v="24"/>
    <n v="3.8"/>
    <x v="1"/>
    <s v="No"/>
    <s v="No"/>
    <m/>
    <s v="Closed"/>
    <s v="June"/>
    <x v="5"/>
    <n v="2026"/>
    <s v="Yes"/>
    <n v="1"/>
    <x v="4"/>
    <n v="1"/>
  </r>
  <r>
    <s v="T003493"/>
    <x v="3307"/>
    <d v="2026-06-05T15:11:00"/>
    <x v="2"/>
    <s v="Chat"/>
    <x v="0"/>
    <s v="A037"/>
    <x v="1"/>
    <n v="72"/>
    <n v="4"/>
    <x v="1"/>
    <s v="No"/>
    <s v="No"/>
    <m/>
    <s v="Closed"/>
    <s v="June"/>
    <x v="5"/>
    <n v="2026"/>
    <s v="Yes"/>
    <n v="1"/>
    <x v="0"/>
    <n v="1"/>
  </r>
  <r>
    <s v="T003494"/>
    <x v="3308"/>
    <d v="2026-06-05T20:49:00"/>
    <x v="2"/>
    <s v="Field Visit"/>
    <x v="1"/>
    <s v="A028"/>
    <x v="2"/>
    <n v="24"/>
    <n v="8.9"/>
    <x v="0"/>
    <s v="Yes"/>
    <s v="No"/>
    <n v="4"/>
    <s v="Closed"/>
    <s v="June"/>
    <x v="5"/>
    <n v="2026"/>
    <s v="Yes"/>
    <n v="1"/>
    <x v="3"/>
    <n v="0"/>
  </r>
  <r>
    <s v="T003495"/>
    <x v="3309"/>
    <d v="2026-06-05T22:08:00"/>
    <x v="6"/>
    <s v="Chat"/>
    <x v="1"/>
    <s v="A011"/>
    <x v="0"/>
    <n v="24"/>
    <n v="8.1999999999999993"/>
    <x v="0"/>
    <s v="No"/>
    <s v="No"/>
    <m/>
    <s v="Closed"/>
    <s v="June"/>
    <x v="5"/>
    <n v="2026"/>
    <s v="Yes"/>
    <n v="1"/>
    <x v="4"/>
    <n v="0"/>
  </r>
  <r>
    <s v="T003496"/>
    <x v="3310"/>
    <d v="2026-06-14T23:03:00"/>
    <x v="4"/>
    <s v="Field Visit"/>
    <x v="0"/>
    <s v="A034"/>
    <x v="2"/>
    <n v="72"/>
    <n v="225"/>
    <x v="0"/>
    <s v="No"/>
    <s v="No"/>
    <n v="4"/>
    <s v="Closed"/>
    <s v="June"/>
    <x v="5"/>
    <n v="2026"/>
    <s v="No"/>
    <n v="0"/>
    <x v="4"/>
    <n v="0"/>
  </r>
  <r>
    <s v="T003497"/>
    <x v="3311"/>
    <d v="2026-06-06T04:31:00"/>
    <x v="6"/>
    <s v="Email"/>
    <x v="1"/>
    <s v="A049"/>
    <x v="1"/>
    <n v="24"/>
    <n v="14.3"/>
    <x v="1"/>
    <s v="No"/>
    <s v="No"/>
    <n v="4"/>
    <s v="Closed"/>
    <s v="June"/>
    <x v="5"/>
    <n v="2026"/>
    <s v="Yes"/>
    <n v="1"/>
    <x v="2"/>
    <n v="1"/>
  </r>
  <r>
    <s v="T003498"/>
    <x v="3312"/>
    <d v="2026-06-06T12:31:00"/>
    <x v="1"/>
    <s v="Email"/>
    <x v="0"/>
    <s v="A004"/>
    <x v="0"/>
    <n v="72"/>
    <n v="20.8"/>
    <x v="0"/>
    <s v="Yes"/>
    <s v="No"/>
    <n v="4"/>
    <s v="Closed"/>
    <s v="June"/>
    <x v="5"/>
    <n v="2026"/>
    <s v="Yes"/>
    <n v="1"/>
    <x v="3"/>
    <n v="0"/>
  </r>
  <r>
    <s v="T003499"/>
    <x v="3313"/>
    <d v="2026-06-06T03:28:00"/>
    <x v="0"/>
    <s v="Chat"/>
    <x v="1"/>
    <s v="A052"/>
    <x v="1"/>
    <n v="24"/>
    <n v="11.5"/>
    <x v="1"/>
    <s v="No"/>
    <s v="No"/>
    <n v="4"/>
    <s v="Closed"/>
    <s v="June"/>
    <x v="5"/>
    <n v="2026"/>
    <s v="Yes"/>
    <n v="1"/>
    <x v="3"/>
    <n v="1"/>
  </r>
  <r>
    <s v="T003500"/>
    <x v="3314"/>
    <d v="2026-06-03T22:14:00"/>
    <x v="1"/>
    <s v="Chat"/>
    <x v="1"/>
    <s v="A015"/>
    <x v="0"/>
    <n v="24"/>
    <n v="5.9"/>
    <x v="0"/>
    <s v="No"/>
    <s v="Yes"/>
    <n v="5"/>
    <s v="Closed"/>
    <s v="June"/>
    <x v="5"/>
    <n v="2026"/>
    <s v="Yes"/>
    <n v="1"/>
    <x v="2"/>
    <n v="0"/>
  </r>
  <r>
    <s v="T003501"/>
    <x v="3315"/>
    <d v="2026-06-06T05:25:00"/>
    <x v="0"/>
    <s v="Chat"/>
    <x v="2"/>
    <s v="A060"/>
    <x v="1"/>
    <n v="4"/>
    <n v="8.3000000000000007"/>
    <x v="1"/>
    <s v="No"/>
    <s v="No"/>
    <m/>
    <s v="Closed"/>
    <s v="June"/>
    <x v="5"/>
    <n v="2026"/>
    <s v="No"/>
    <n v="0"/>
    <x v="3"/>
    <n v="1"/>
  </r>
  <r>
    <s v="T003502"/>
    <x v="3316"/>
    <d v="2026-06-08T05:00:00"/>
    <x v="2"/>
    <s v="Field Visit"/>
    <x v="0"/>
    <s v="A054"/>
    <x v="1"/>
    <n v="72"/>
    <n v="43.7"/>
    <x v="1"/>
    <s v="No"/>
    <s v="No"/>
    <n v="5"/>
    <s v="Closed"/>
    <s v="June"/>
    <x v="5"/>
    <n v="2026"/>
    <s v="Yes"/>
    <n v="1"/>
    <x v="2"/>
    <n v="1"/>
  </r>
  <r>
    <s v="T003503"/>
    <x v="3317"/>
    <d v="2026-06-06T15:02:00"/>
    <x v="1"/>
    <s v="Email"/>
    <x v="1"/>
    <s v="A034"/>
    <x v="2"/>
    <n v="24"/>
    <n v="5.6"/>
    <x v="1"/>
    <s v="No"/>
    <s v="No"/>
    <n v="4"/>
    <s v="Closed"/>
    <s v="June"/>
    <x v="5"/>
    <n v="2026"/>
    <s v="Yes"/>
    <n v="1"/>
    <x v="3"/>
    <n v="1"/>
  </r>
  <r>
    <s v="T003504"/>
    <x v="3318"/>
    <d v="2026-06-06T15:13:00"/>
    <x v="5"/>
    <s v="Phone"/>
    <x v="1"/>
    <s v="A011"/>
    <x v="0"/>
    <n v="24"/>
    <n v="5.2"/>
    <x v="0"/>
    <s v="Yes"/>
    <s v="No"/>
    <n v="3"/>
    <s v="Closed"/>
    <s v="June"/>
    <x v="5"/>
    <n v="2026"/>
    <s v="Yes"/>
    <n v="1"/>
    <x v="1"/>
    <n v="0"/>
  </r>
  <r>
    <s v="T003505"/>
    <x v="3319"/>
    <d v="2026-06-06T16:52:00"/>
    <x v="0"/>
    <s v="Chat"/>
    <x v="0"/>
    <s v="A001"/>
    <x v="0"/>
    <n v="72"/>
    <n v="6.5"/>
    <x v="1"/>
    <s v="No"/>
    <s v="No"/>
    <n v="5"/>
    <s v="Closed"/>
    <s v="June"/>
    <x v="5"/>
    <n v="2026"/>
    <s v="Yes"/>
    <n v="1"/>
    <x v="1"/>
    <n v="1"/>
  </r>
  <r>
    <s v="T003506"/>
    <x v="3320"/>
    <d v="2026-06-07T13:47:00"/>
    <x v="3"/>
    <s v="Email"/>
    <x v="1"/>
    <s v="A038"/>
    <x v="1"/>
    <n v="24"/>
    <n v="24.9"/>
    <x v="0"/>
    <s v="Yes"/>
    <s v="No"/>
    <n v="4"/>
    <s v="Closed"/>
    <s v="June"/>
    <x v="5"/>
    <n v="2026"/>
    <s v="No"/>
    <n v="0"/>
    <x v="2"/>
    <n v="0"/>
  </r>
  <r>
    <s v="T003507"/>
    <x v="3321"/>
    <d v="2026-06-09T09:45:00"/>
    <x v="3"/>
    <s v="Field Visit"/>
    <x v="0"/>
    <s v="A029"/>
    <x v="2"/>
    <n v="72"/>
    <n v="67.400000000000006"/>
    <x v="1"/>
    <s v="No"/>
    <s v="No"/>
    <n v="5"/>
    <s v="Closed"/>
    <s v="June"/>
    <x v="5"/>
    <n v="2026"/>
    <s v="Yes"/>
    <n v="1"/>
    <x v="1"/>
    <n v="1"/>
  </r>
  <r>
    <s v="T003508"/>
    <x v="3322"/>
    <d v="2026-06-07T12:34:00"/>
    <x v="6"/>
    <s v="Field Visit"/>
    <x v="2"/>
    <s v="A038"/>
    <x v="1"/>
    <n v="4"/>
    <n v="22"/>
    <x v="1"/>
    <s v="No"/>
    <s v="No"/>
    <m/>
    <s v="Closed"/>
    <s v="June"/>
    <x v="5"/>
    <n v="2026"/>
    <s v="No"/>
    <n v="0"/>
    <x v="3"/>
    <n v="1"/>
  </r>
  <r>
    <s v="T003509"/>
    <x v="3323"/>
    <d v="2026-06-09T23:48:00"/>
    <x v="4"/>
    <s v="Phone"/>
    <x v="1"/>
    <s v="A045"/>
    <x v="1"/>
    <n v="24"/>
    <n v="81.099999999999994"/>
    <x v="1"/>
    <s v="No"/>
    <s v="No"/>
    <m/>
    <s v="Closed"/>
    <s v="June"/>
    <x v="5"/>
    <n v="2026"/>
    <s v="No"/>
    <n v="0"/>
    <x v="3"/>
    <n v="1"/>
  </r>
  <r>
    <s v="T003510"/>
    <x v="3324"/>
    <d v="2026-06-08T04:34:00"/>
    <x v="3"/>
    <s v="Phone"/>
    <x v="1"/>
    <s v="A014"/>
    <x v="0"/>
    <n v="24"/>
    <n v="37.200000000000003"/>
    <x v="0"/>
    <s v="Yes"/>
    <s v="No"/>
    <n v="3"/>
    <s v="Closed"/>
    <s v="June"/>
    <x v="5"/>
    <n v="2026"/>
    <s v="No"/>
    <n v="0"/>
    <x v="2"/>
    <n v="0"/>
  </r>
  <r>
    <s v="T003511"/>
    <x v="3325"/>
    <d v="2026-06-11T23:17:00"/>
    <x v="3"/>
    <s v="Field Visit"/>
    <x v="2"/>
    <s v="A051"/>
    <x v="1"/>
    <n v="4"/>
    <n v="127.9"/>
    <x v="0"/>
    <s v="No"/>
    <s v="No"/>
    <n v="3"/>
    <s v="Closed"/>
    <s v="June"/>
    <x v="5"/>
    <n v="2026"/>
    <s v="No"/>
    <n v="0"/>
    <x v="0"/>
    <n v="0"/>
  </r>
  <r>
    <s v="T003512"/>
    <x v="3326"/>
    <d v="2026-06-12T02:29:00"/>
    <x v="4"/>
    <s v="Field Visit"/>
    <x v="0"/>
    <s v="A016"/>
    <x v="2"/>
    <n v="72"/>
    <n v="130.30000000000001"/>
    <x v="0"/>
    <s v="No"/>
    <s v="No"/>
    <n v="2"/>
    <s v="Closed"/>
    <s v="June"/>
    <x v="5"/>
    <n v="2026"/>
    <s v="No"/>
    <n v="0"/>
    <x v="4"/>
    <n v="0"/>
  </r>
  <r>
    <s v="T003513"/>
    <x v="3327"/>
    <d v="2026-06-07T16:45:00"/>
    <x v="2"/>
    <s v="Phone"/>
    <x v="0"/>
    <s v="A008"/>
    <x v="0"/>
    <n v="72"/>
    <n v="24.4"/>
    <x v="1"/>
    <s v="No"/>
    <s v="No"/>
    <m/>
    <s v="Closed"/>
    <s v="June"/>
    <x v="5"/>
    <n v="2026"/>
    <s v="Yes"/>
    <n v="1"/>
    <x v="3"/>
    <n v="1"/>
  </r>
  <r>
    <s v="T003514"/>
    <x v="3328"/>
    <d v="2026-06-08T20:22:00"/>
    <x v="5"/>
    <s v="Email"/>
    <x v="2"/>
    <s v="A045"/>
    <x v="1"/>
    <n v="4"/>
    <n v="51.6"/>
    <x v="1"/>
    <s v="No"/>
    <s v="Yes"/>
    <n v="3"/>
    <s v="Closed"/>
    <s v="June"/>
    <x v="5"/>
    <n v="2026"/>
    <s v="No"/>
    <n v="0"/>
    <x v="4"/>
    <n v="1"/>
  </r>
  <r>
    <s v="T003515"/>
    <x v="3329"/>
    <d v="2026-06-07T04:25:00"/>
    <x v="6"/>
    <s v="Phone"/>
    <x v="2"/>
    <s v="A054"/>
    <x v="1"/>
    <n v="4"/>
    <n v="9.6999999999999993"/>
    <x v="1"/>
    <s v="No"/>
    <s v="No"/>
    <n v="4"/>
    <s v="Closed"/>
    <s v="June"/>
    <x v="5"/>
    <n v="2026"/>
    <s v="No"/>
    <n v="0"/>
    <x v="2"/>
    <n v="1"/>
  </r>
  <r>
    <s v="T003516"/>
    <x v="3330"/>
    <d v="2026-06-07T22:37:00"/>
    <x v="2"/>
    <s v="Field Visit"/>
    <x v="0"/>
    <s v="A046"/>
    <x v="1"/>
    <n v="72"/>
    <n v="27.5"/>
    <x v="1"/>
    <s v="No"/>
    <s v="No"/>
    <m/>
    <s v="Closed"/>
    <s v="June"/>
    <x v="5"/>
    <n v="2026"/>
    <s v="Yes"/>
    <n v="1"/>
    <x v="2"/>
    <n v="1"/>
  </r>
  <r>
    <s v="T003517"/>
    <x v="3331"/>
    <d v="2026-06-07T03:39:00"/>
    <x v="1"/>
    <s v="Phone"/>
    <x v="1"/>
    <s v="A030"/>
    <x v="2"/>
    <n v="24"/>
    <n v="4.8"/>
    <x v="1"/>
    <s v="No"/>
    <s v="No"/>
    <m/>
    <s v="Closed"/>
    <s v="June"/>
    <x v="5"/>
    <n v="2026"/>
    <s v="Yes"/>
    <n v="1"/>
    <x v="4"/>
    <n v="1"/>
  </r>
  <r>
    <s v="T003518"/>
    <x v="3332"/>
    <d v="2026-06-08T03:35:00"/>
    <x v="1"/>
    <s v="Email"/>
    <x v="1"/>
    <s v="A032"/>
    <x v="2"/>
    <n v="24"/>
    <n v="22.2"/>
    <x v="1"/>
    <s v="No"/>
    <s v="No"/>
    <m/>
    <s v="Closed"/>
    <s v="June"/>
    <x v="5"/>
    <n v="2026"/>
    <s v="Yes"/>
    <n v="1"/>
    <x v="4"/>
    <n v="1"/>
  </r>
  <r>
    <s v="T003519"/>
    <x v="3333"/>
    <d v="2026-06-08T23:28:00"/>
    <x v="4"/>
    <s v="Chat"/>
    <x v="1"/>
    <s v="A032"/>
    <x v="2"/>
    <n v="24"/>
    <n v="40.799999999999997"/>
    <x v="0"/>
    <s v="No"/>
    <s v="No"/>
    <n v="4"/>
    <s v="Closed"/>
    <s v="June"/>
    <x v="5"/>
    <n v="2026"/>
    <s v="No"/>
    <n v="0"/>
    <x v="1"/>
    <n v="0"/>
  </r>
  <r>
    <s v="T003521"/>
    <x v="3334"/>
    <d v="2026-06-07T21:30:00"/>
    <x v="3"/>
    <s v="Phone"/>
    <x v="2"/>
    <s v="A042"/>
    <x v="1"/>
    <n v="4"/>
    <n v="13.6"/>
    <x v="1"/>
    <s v="No"/>
    <s v="Yes"/>
    <m/>
    <s v="Closed"/>
    <s v="June"/>
    <x v="5"/>
    <n v="2026"/>
    <s v="No"/>
    <n v="0"/>
    <x v="3"/>
    <n v="1"/>
  </r>
  <r>
    <s v="T003520"/>
    <x v="3334"/>
    <d v="2026-06-08T17:00:00"/>
    <x v="1"/>
    <s v="Email"/>
    <x v="1"/>
    <s v="A036"/>
    <x v="1"/>
    <n v="24"/>
    <n v="33.1"/>
    <x v="1"/>
    <s v="No"/>
    <s v="No"/>
    <m/>
    <s v="Closed"/>
    <s v="June"/>
    <x v="5"/>
    <n v="2026"/>
    <s v="No"/>
    <n v="0"/>
    <x v="2"/>
    <n v="1"/>
  </r>
  <r>
    <s v="T003522"/>
    <x v="3335"/>
    <d v="2026-06-08T15:58:00"/>
    <x v="0"/>
    <s v="Phone"/>
    <x v="1"/>
    <s v="A003"/>
    <x v="0"/>
    <n v="24"/>
    <n v="31.3"/>
    <x v="1"/>
    <s v="No"/>
    <s v="No"/>
    <n v="4"/>
    <s v="Closed"/>
    <s v="June"/>
    <x v="5"/>
    <n v="2026"/>
    <s v="No"/>
    <n v="0"/>
    <x v="2"/>
    <n v="1"/>
  </r>
  <r>
    <s v="T003523"/>
    <x v="3336"/>
    <d v="2026-06-08T02:07:00"/>
    <x v="6"/>
    <s v="Field Visit"/>
    <x v="0"/>
    <s v="A039"/>
    <x v="1"/>
    <n v="72"/>
    <n v="17.3"/>
    <x v="1"/>
    <s v="No"/>
    <s v="No"/>
    <n v="5"/>
    <s v="Closed"/>
    <s v="June"/>
    <x v="5"/>
    <n v="2026"/>
    <s v="Yes"/>
    <n v="1"/>
    <x v="2"/>
    <n v="1"/>
  </r>
  <r>
    <s v="T003524"/>
    <x v="3337"/>
    <d v="2026-06-07T12:47:00"/>
    <x v="6"/>
    <s v="Phone"/>
    <x v="2"/>
    <s v="A050"/>
    <x v="1"/>
    <n v="4"/>
    <n v="3.7"/>
    <x v="1"/>
    <s v="No"/>
    <s v="Yes"/>
    <m/>
    <s v="Closed"/>
    <s v="June"/>
    <x v="5"/>
    <n v="2026"/>
    <s v="Yes"/>
    <n v="1"/>
    <x v="4"/>
    <n v="1"/>
  </r>
  <r>
    <s v="T003525"/>
    <x v="3338"/>
    <d v="2026-06-09T07:01:00"/>
    <x v="4"/>
    <s v="Phone"/>
    <x v="0"/>
    <s v="A008"/>
    <x v="0"/>
    <n v="72"/>
    <n v="44.7"/>
    <x v="1"/>
    <s v="No"/>
    <s v="No"/>
    <n v="5"/>
    <s v="Closed"/>
    <s v="June"/>
    <x v="5"/>
    <n v="2026"/>
    <s v="Yes"/>
    <n v="1"/>
    <x v="1"/>
    <n v="1"/>
  </r>
  <r>
    <s v="T003526"/>
    <x v="3339"/>
    <d v="2026-06-07T15:02:00"/>
    <x v="1"/>
    <s v="Phone"/>
    <x v="0"/>
    <s v="A016"/>
    <x v="2"/>
    <n v="72"/>
    <n v="4.5999999999999996"/>
    <x v="1"/>
    <s v="No"/>
    <s v="No"/>
    <n v="5"/>
    <s v="Closed"/>
    <s v="June"/>
    <x v="5"/>
    <n v="2026"/>
    <s v="Yes"/>
    <n v="1"/>
    <x v="4"/>
    <n v="1"/>
  </r>
  <r>
    <s v="T003527"/>
    <x v="3339"/>
    <d v="2026-06-08T11:14:00"/>
    <x v="6"/>
    <s v="Field Visit"/>
    <x v="2"/>
    <s v="A022"/>
    <x v="2"/>
    <n v="4"/>
    <n v="24.8"/>
    <x v="0"/>
    <s v="Yes"/>
    <s v="No"/>
    <m/>
    <s v="Closed"/>
    <s v="June"/>
    <x v="5"/>
    <n v="2026"/>
    <s v="No"/>
    <n v="0"/>
    <x v="3"/>
    <n v="0"/>
  </r>
  <r>
    <s v="T003528"/>
    <x v="3340"/>
    <d v="2026-06-15T09:35:00"/>
    <x v="4"/>
    <s v="Field Visit"/>
    <x v="0"/>
    <s v="A017"/>
    <x v="2"/>
    <n v="72"/>
    <n v="190.8"/>
    <x v="1"/>
    <s v="No"/>
    <s v="No"/>
    <n v="5"/>
    <s v="Closed"/>
    <s v="June"/>
    <x v="5"/>
    <n v="2026"/>
    <s v="No"/>
    <n v="0"/>
    <x v="2"/>
    <n v="1"/>
  </r>
  <r>
    <s v="T003529"/>
    <x v="3341"/>
    <d v="2026-06-07T22:02:00"/>
    <x v="0"/>
    <s v="Chat"/>
    <x v="2"/>
    <s v="A026"/>
    <x v="2"/>
    <n v="4"/>
    <n v="10.3"/>
    <x v="1"/>
    <s v="No"/>
    <s v="No"/>
    <m/>
    <s v="Closed"/>
    <s v="June"/>
    <x v="5"/>
    <n v="2026"/>
    <s v="No"/>
    <n v="0"/>
    <x v="4"/>
    <n v="1"/>
  </r>
  <r>
    <s v="T003530"/>
    <x v="3342"/>
    <d v="2026-06-08T06:35:00"/>
    <x v="2"/>
    <s v="Phone"/>
    <x v="2"/>
    <s v="A038"/>
    <x v="1"/>
    <n v="4"/>
    <n v="17.2"/>
    <x v="1"/>
    <s v="No"/>
    <s v="No"/>
    <n v="4"/>
    <s v="Closed"/>
    <s v="June"/>
    <x v="5"/>
    <n v="2026"/>
    <s v="No"/>
    <n v="0"/>
    <x v="2"/>
    <n v="1"/>
  </r>
  <r>
    <s v="T003531"/>
    <x v="3343"/>
    <d v="2026-06-08T04:03:00"/>
    <x v="0"/>
    <s v="Chat"/>
    <x v="0"/>
    <s v="A043"/>
    <x v="1"/>
    <n v="72"/>
    <n v="14.2"/>
    <x v="1"/>
    <s v="No"/>
    <s v="No"/>
    <m/>
    <s v="Closed"/>
    <s v="June"/>
    <x v="5"/>
    <n v="2026"/>
    <s v="Yes"/>
    <n v="1"/>
    <x v="2"/>
    <n v="1"/>
  </r>
  <r>
    <s v="T003532"/>
    <x v="3344"/>
    <d v="2026-06-08T02:35:00"/>
    <x v="0"/>
    <s v="Chat"/>
    <x v="1"/>
    <s v="A016"/>
    <x v="2"/>
    <n v="24"/>
    <n v="12.2"/>
    <x v="1"/>
    <s v="No"/>
    <s v="No"/>
    <n v="3"/>
    <s v="Closed"/>
    <s v="June"/>
    <x v="5"/>
    <n v="2026"/>
    <s v="Yes"/>
    <n v="1"/>
    <x v="1"/>
    <n v="1"/>
  </r>
  <r>
    <s v="T003533"/>
    <x v="3345"/>
    <d v="2026-06-08T01:34:00"/>
    <x v="0"/>
    <s v="Phone"/>
    <x v="1"/>
    <s v="A057"/>
    <x v="1"/>
    <n v="24"/>
    <n v="10.9"/>
    <x v="1"/>
    <s v="No"/>
    <s v="No"/>
    <n v="4"/>
    <s v="Closed"/>
    <s v="June"/>
    <x v="5"/>
    <n v="2026"/>
    <s v="Yes"/>
    <n v="1"/>
    <x v="1"/>
    <n v="1"/>
  </r>
  <r>
    <s v="T003534"/>
    <x v="3346"/>
    <d v="2026-06-08T08:45:00"/>
    <x v="3"/>
    <s v="Chat"/>
    <x v="1"/>
    <s v="A025"/>
    <x v="2"/>
    <n v="24"/>
    <n v="17.899999999999999"/>
    <x v="1"/>
    <s v="No"/>
    <s v="No"/>
    <n v="5"/>
    <s v="Closed"/>
    <s v="June"/>
    <x v="5"/>
    <n v="2026"/>
    <s v="Yes"/>
    <n v="1"/>
    <x v="2"/>
    <n v="1"/>
  </r>
  <r>
    <s v="T003535"/>
    <x v="3347"/>
    <d v="2026-06-08T01:35:00"/>
    <x v="5"/>
    <s v="Phone"/>
    <x v="1"/>
    <s v="A025"/>
    <x v="2"/>
    <n v="24"/>
    <n v="10.199999999999999"/>
    <x v="1"/>
    <s v="No"/>
    <s v="No"/>
    <n v="5"/>
    <s v="Closed"/>
    <s v="June"/>
    <x v="5"/>
    <n v="2026"/>
    <s v="Yes"/>
    <n v="1"/>
    <x v="3"/>
    <n v="1"/>
  </r>
  <r>
    <s v="T003536"/>
    <x v="3348"/>
    <d v="2026-06-07T22:00:00"/>
    <x v="1"/>
    <s v="Chat"/>
    <x v="1"/>
    <s v="A044"/>
    <x v="1"/>
    <n v="24"/>
    <n v="5.8"/>
    <x v="1"/>
    <s v="No"/>
    <s v="No"/>
    <m/>
    <s v="Closed"/>
    <s v="June"/>
    <x v="5"/>
    <n v="2026"/>
    <s v="Yes"/>
    <n v="1"/>
    <x v="2"/>
    <n v="1"/>
  </r>
  <r>
    <s v="T003537"/>
    <x v="3349"/>
    <d v="2026-06-13T12:59:00"/>
    <x v="4"/>
    <s v="Field Visit"/>
    <x v="1"/>
    <s v="A014"/>
    <x v="0"/>
    <n v="24"/>
    <n v="136.6"/>
    <x v="1"/>
    <s v="No"/>
    <s v="No"/>
    <n v="1"/>
    <s v="Closed"/>
    <s v="June"/>
    <x v="5"/>
    <n v="2026"/>
    <s v="No"/>
    <n v="0"/>
    <x v="1"/>
    <n v="1"/>
  </r>
  <r>
    <s v="T003538"/>
    <x v="3350"/>
    <d v="2026-06-08T23:18:00"/>
    <x v="0"/>
    <s v="Chat"/>
    <x v="0"/>
    <s v="A019"/>
    <x v="2"/>
    <n v="72"/>
    <n v="16.899999999999999"/>
    <x v="1"/>
    <s v="No"/>
    <s v="No"/>
    <n v="4"/>
    <s v="Closed"/>
    <s v="June"/>
    <x v="5"/>
    <n v="2026"/>
    <s v="Yes"/>
    <n v="1"/>
    <x v="3"/>
    <n v="1"/>
  </r>
  <r>
    <s v="T003539"/>
    <x v="3351"/>
    <d v="2026-06-08T10:39:00"/>
    <x v="6"/>
    <s v="Phone"/>
    <x v="1"/>
    <s v="A006"/>
    <x v="0"/>
    <n v="24"/>
    <n v="4"/>
    <x v="0"/>
    <s v="No"/>
    <s v="No"/>
    <m/>
    <s v="Closed"/>
    <s v="June"/>
    <x v="5"/>
    <n v="2026"/>
    <s v="Yes"/>
    <n v="1"/>
    <x v="4"/>
    <n v="0"/>
  </r>
  <r>
    <s v="T003540"/>
    <x v="3352"/>
    <d v="2026-06-08T14:35:00"/>
    <x v="0"/>
    <s v="Phone"/>
    <x v="0"/>
    <s v="A044"/>
    <x v="1"/>
    <n v="72"/>
    <n v="6.9"/>
    <x v="0"/>
    <s v="No"/>
    <s v="No"/>
    <m/>
    <s v="Closed"/>
    <s v="June"/>
    <x v="5"/>
    <n v="2026"/>
    <s v="Yes"/>
    <n v="1"/>
    <x v="0"/>
    <n v="0"/>
  </r>
  <r>
    <s v="T003541"/>
    <x v="3353"/>
    <d v="2026-06-08T17:24:00"/>
    <x v="5"/>
    <s v="Phone"/>
    <x v="0"/>
    <s v="A012"/>
    <x v="0"/>
    <n v="72"/>
    <n v="8.9"/>
    <x v="0"/>
    <s v="Yes"/>
    <s v="No"/>
    <n v="4"/>
    <s v="Closed"/>
    <s v="June"/>
    <x v="5"/>
    <n v="2026"/>
    <s v="Yes"/>
    <n v="1"/>
    <x v="3"/>
    <n v="0"/>
  </r>
  <r>
    <s v="T003542"/>
    <x v="3354"/>
    <d v="2026-06-08T17:56:00"/>
    <x v="1"/>
    <s v="Chat"/>
    <x v="0"/>
    <s v="A023"/>
    <x v="2"/>
    <n v="72"/>
    <n v="9"/>
    <x v="0"/>
    <s v="Yes"/>
    <s v="No"/>
    <n v="4"/>
    <s v="Closed"/>
    <s v="June"/>
    <x v="5"/>
    <n v="2026"/>
    <s v="Yes"/>
    <n v="1"/>
    <x v="3"/>
    <n v="0"/>
  </r>
  <r>
    <s v="T003543"/>
    <x v="3355"/>
    <d v="2026-06-09T03:56:00"/>
    <x v="1"/>
    <s v="Email"/>
    <x v="2"/>
    <s v="A030"/>
    <x v="2"/>
    <n v="4"/>
    <n v="18.600000000000001"/>
    <x v="1"/>
    <s v="No"/>
    <s v="No"/>
    <n v="4"/>
    <s v="Closed"/>
    <s v="June"/>
    <x v="5"/>
    <n v="2026"/>
    <s v="No"/>
    <n v="0"/>
    <x v="0"/>
    <n v="1"/>
  </r>
  <r>
    <s v="T003544"/>
    <x v="3356"/>
    <d v="2026-06-08T13:57:00"/>
    <x v="1"/>
    <s v="Chat"/>
    <x v="0"/>
    <s v="A055"/>
    <x v="1"/>
    <n v="72"/>
    <n v="2.6"/>
    <x v="1"/>
    <s v="No"/>
    <s v="No"/>
    <n v="5"/>
    <s v="Closed"/>
    <s v="June"/>
    <x v="5"/>
    <n v="2026"/>
    <s v="Yes"/>
    <n v="1"/>
    <x v="4"/>
    <n v="1"/>
  </r>
  <r>
    <s v="T003545"/>
    <x v="3357"/>
    <d v="2026-06-09T01:05:00"/>
    <x v="2"/>
    <s v="Phone"/>
    <x v="1"/>
    <s v="A038"/>
    <x v="1"/>
    <n v="24"/>
    <n v="13.6"/>
    <x v="1"/>
    <s v="No"/>
    <s v="No"/>
    <m/>
    <s v="Closed"/>
    <s v="June"/>
    <x v="5"/>
    <n v="2026"/>
    <s v="Yes"/>
    <n v="1"/>
    <x v="2"/>
    <n v="1"/>
  </r>
  <r>
    <s v="T003546"/>
    <x v="3358"/>
    <d v="2026-06-09T09:58:00"/>
    <x v="6"/>
    <s v="Field Visit"/>
    <x v="2"/>
    <s v="A022"/>
    <x v="2"/>
    <n v="4"/>
    <n v="22.4"/>
    <x v="1"/>
    <s v="No"/>
    <s v="No"/>
    <n v="5"/>
    <s v="Closed"/>
    <s v="June"/>
    <x v="5"/>
    <n v="2026"/>
    <s v="No"/>
    <n v="0"/>
    <x v="0"/>
    <n v="1"/>
  </r>
  <r>
    <s v="T003547"/>
    <x v="3359"/>
    <d v="2026-06-08T14:00:00"/>
    <x v="6"/>
    <s v="Phone"/>
    <x v="2"/>
    <s v="A008"/>
    <x v="0"/>
    <n v="4"/>
    <n v="2.4"/>
    <x v="1"/>
    <s v="No"/>
    <s v="No"/>
    <n v="5"/>
    <s v="Closed"/>
    <s v="June"/>
    <x v="5"/>
    <n v="2026"/>
    <s v="Yes"/>
    <n v="1"/>
    <x v="4"/>
    <n v="1"/>
  </r>
  <r>
    <s v="T003548"/>
    <x v="3360"/>
    <d v="2026-06-09T04:51:00"/>
    <x v="3"/>
    <s v="Chat"/>
    <x v="0"/>
    <s v="A019"/>
    <x v="2"/>
    <n v="72"/>
    <n v="15.3"/>
    <x v="0"/>
    <s v="Yes"/>
    <s v="No"/>
    <n v="4"/>
    <s v="Closed"/>
    <s v="June"/>
    <x v="5"/>
    <n v="2026"/>
    <s v="Yes"/>
    <n v="1"/>
    <x v="0"/>
    <n v="0"/>
  </r>
  <r>
    <s v="T003549"/>
    <x v="3361"/>
    <d v="2026-06-09T22:26:00"/>
    <x v="6"/>
    <s v="Field Visit"/>
    <x v="2"/>
    <s v="A011"/>
    <x v="0"/>
    <n v="4"/>
    <n v="32.299999999999997"/>
    <x v="0"/>
    <s v="No"/>
    <s v="No"/>
    <n v="3"/>
    <s v="Closed"/>
    <s v="June"/>
    <x v="5"/>
    <n v="2026"/>
    <s v="No"/>
    <n v="0"/>
    <x v="3"/>
    <n v="0"/>
  </r>
  <r>
    <s v="T003550"/>
    <x v="3362"/>
    <d v="2026-06-09T19:47:00"/>
    <x v="2"/>
    <s v="Field Visit"/>
    <x v="0"/>
    <s v="A022"/>
    <x v="2"/>
    <n v="72"/>
    <n v="29.4"/>
    <x v="1"/>
    <s v="No"/>
    <s v="No"/>
    <n v="5"/>
    <s v="Closed"/>
    <s v="June"/>
    <x v="5"/>
    <n v="2026"/>
    <s v="Yes"/>
    <n v="1"/>
    <x v="0"/>
    <n v="1"/>
  </r>
  <r>
    <s v="T003551"/>
    <x v="3363"/>
    <d v="2026-06-08T23:08:00"/>
    <x v="0"/>
    <s v="Chat"/>
    <x v="1"/>
    <s v="A045"/>
    <x v="1"/>
    <n v="24"/>
    <n v="8.4"/>
    <x v="1"/>
    <s v="No"/>
    <s v="No"/>
    <m/>
    <s v="Closed"/>
    <s v="June"/>
    <x v="5"/>
    <n v="2026"/>
    <s v="Yes"/>
    <n v="1"/>
    <x v="3"/>
    <n v="1"/>
  </r>
  <r>
    <s v="T003552"/>
    <x v="3364"/>
    <d v="2026-06-09T00:03:00"/>
    <x v="3"/>
    <s v="Chat"/>
    <x v="1"/>
    <s v="A034"/>
    <x v="2"/>
    <n v="24"/>
    <n v="7.6"/>
    <x v="1"/>
    <s v="No"/>
    <s v="No"/>
    <n v="5"/>
    <s v="Closed"/>
    <s v="June"/>
    <x v="5"/>
    <n v="2026"/>
    <s v="Yes"/>
    <n v="1"/>
    <x v="3"/>
    <n v="1"/>
  </r>
  <r>
    <s v="T003553"/>
    <x v="3365"/>
    <d v="2026-06-09T01:20:00"/>
    <x v="6"/>
    <s v="Field Visit"/>
    <x v="2"/>
    <s v="A019"/>
    <x v="2"/>
    <n v="4"/>
    <n v="8"/>
    <x v="1"/>
    <s v="No"/>
    <s v="No"/>
    <m/>
    <s v="Closed"/>
    <s v="June"/>
    <x v="5"/>
    <n v="2026"/>
    <s v="No"/>
    <n v="0"/>
    <x v="2"/>
    <n v="1"/>
  </r>
  <r>
    <s v="T003554"/>
    <x v="3366"/>
    <d v="2026-06-08T22:59:00"/>
    <x v="5"/>
    <s v="Phone"/>
    <x v="2"/>
    <s v="A048"/>
    <x v="1"/>
    <n v="4"/>
    <n v="4.2"/>
    <x v="0"/>
    <s v="Yes"/>
    <s v="Yes"/>
    <n v="2"/>
    <s v="Closed"/>
    <s v="June"/>
    <x v="5"/>
    <n v="2026"/>
    <s v="No"/>
    <n v="0"/>
    <x v="4"/>
    <n v="0"/>
  </r>
  <r>
    <s v="T003555"/>
    <x v="3367"/>
    <d v="2026-06-09T19:25:00"/>
    <x v="4"/>
    <s v="Field Visit"/>
    <x v="0"/>
    <s v="A040"/>
    <x v="1"/>
    <n v="72"/>
    <n v="23.8"/>
    <x v="0"/>
    <s v="Yes"/>
    <s v="No"/>
    <m/>
    <s v="Closed"/>
    <s v="June"/>
    <x v="5"/>
    <n v="2026"/>
    <s v="Yes"/>
    <n v="1"/>
    <x v="0"/>
    <n v="0"/>
  </r>
  <r>
    <s v="T003556"/>
    <x v="3368"/>
    <d v="2026-06-10T09:04:00"/>
    <x v="0"/>
    <s v="Email"/>
    <x v="0"/>
    <s v="A020"/>
    <x v="2"/>
    <n v="72"/>
    <n v="36.200000000000003"/>
    <x v="1"/>
    <s v="No"/>
    <s v="No"/>
    <n v="4"/>
    <s v="Closed"/>
    <s v="June"/>
    <x v="5"/>
    <n v="2026"/>
    <s v="Yes"/>
    <n v="1"/>
    <x v="1"/>
    <n v="1"/>
  </r>
  <r>
    <s v="T003557"/>
    <x v="3369"/>
    <d v="2026-06-09T04:08:00"/>
    <x v="1"/>
    <s v="Phone"/>
    <x v="1"/>
    <s v="A006"/>
    <x v="0"/>
    <n v="24"/>
    <n v="4.0999999999999996"/>
    <x v="1"/>
    <s v="No"/>
    <s v="No"/>
    <n v="5"/>
    <s v="Closed"/>
    <s v="June"/>
    <x v="5"/>
    <n v="2026"/>
    <s v="Yes"/>
    <n v="1"/>
    <x v="2"/>
    <n v="1"/>
  </r>
  <r>
    <s v="T003558"/>
    <x v="3370"/>
    <d v="2026-06-09T12:27:00"/>
    <x v="2"/>
    <s v="Chat"/>
    <x v="0"/>
    <s v="A052"/>
    <x v="1"/>
    <n v="72"/>
    <n v="7.4"/>
    <x v="1"/>
    <s v="No"/>
    <s v="No"/>
    <m/>
    <s v="Closed"/>
    <s v="June"/>
    <x v="5"/>
    <n v="2026"/>
    <s v="Yes"/>
    <n v="1"/>
    <x v="2"/>
    <n v="1"/>
  </r>
  <r>
    <s v="T003559"/>
    <x v="3371"/>
    <d v="2026-06-09T23:11:00"/>
    <x v="5"/>
    <s v="Field Visit"/>
    <x v="1"/>
    <s v="A031"/>
    <x v="2"/>
    <n v="24"/>
    <n v="17.2"/>
    <x v="1"/>
    <s v="No"/>
    <s v="No"/>
    <n v="3"/>
    <s v="Closed"/>
    <s v="June"/>
    <x v="5"/>
    <n v="2026"/>
    <s v="Yes"/>
    <n v="1"/>
    <x v="3"/>
    <n v="1"/>
  </r>
  <r>
    <s v="T003560"/>
    <x v="3372"/>
    <d v="2026-06-09T14:49:00"/>
    <x v="6"/>
    <s v="Phone"/>
    <x v="2"/>
    <s v="A048"/>
    <x v="1"/>
    <n v="4"/>
    <n v="8"/>
    <x v="1"/>
    <s v="No"/>
    <s v="No"/>
    <n v="5"/>
    <s v="Closed"/>
    <s v="June"/>
    <x v="5"/>
    <n v="2026"/>
    <s v="No"/>
    <n v="0"/>
    <x v="3"/>
    <n v="1"/>
  </r>
  <r>
    <s v="T003561"/>
    <x v="3373"/>
    <d v="2026-06-09T19:15:00"/>
    <x v="2"/>
    <s v="Chat"/>
    <x v="0"/>
    <s v="A032"/>
    <x v="2"/>
    <n v="72"/>
    <n v="12.4"/>
    <x v="0"/>
    <s v="Yes"/>
    <s v="No"/>
    <n v="4"/>
    <s v="Closed"/>
    <s v="June"/>
    <x v="5"/>
    <n v="2026"/>
    <s v="Yes"/>
    <n v="1"/>
    <x v="1"/>
    <n v="0"/>
  </r>
  <r>
    <s v="T003562"/>
    <x v="3374"/>
    <d v="2026-06-09T10:15:00"/>
    <x v="1"/>
    <s v="Chat"/>
    <x v="0"/>
    <s v="A020"/>
    <x v="2"/>
    <n v="72"/>
    <n v="3.1"/>
    <x v="1"/>
    <s v="No"/>
    <s v="No"/>
    <m/>
    <s v="Closed"/>
    <s v="June"/>
    <x v="5"/>
    <n v="2026"/>
    <s v="Yes"/>
    <n v="1"/>
    <x v="3"/>
    <n v="1"/>
  </r>
  <r>
    <s v="T003563"/>
    <x v="3375"/>
    <d v="2026-06-09T13:07:00"/>
    <x v="1"/>
    <s v="Phone"/>
    <x v="0"/>
    <s v="A012"/>
    <x v="0"/>
    <n v="72"/>
    <n v="5.4"/>
    <x v="0"/>
    <s v="No"/>
    <s v="Yes"/>
    <n v="4"/>
    <s v="Closed"/>
    <s v="June"/>
    <x v="5"/>
    <n v="2026"/>
    <s v="Yes"/>
    <n v="1"/>
    <x v="0"/>
    <n v="0"/>
  </r>
  <r>
    <s v="T003564"/>
    <x v="3376"/>
    <d v="2026-06-10T14:05:00"/>
    <x v="6"/>
    <s v="Field Visit"/>
    <x v="2"/>
    <s v="A023"/>
    <x v="2"/>
    <n v="4"/>
    <n v="29.6"/>
    <x v="1"/>
    <s v="No"/>
    <s v="No"/>
    <m/>
    <s v="Closed"/>
    <s v="June"/>
    <x v="5"/>
    <n v="2026"/>
    <s v="No"/>
    <n v="0"/>
    <x v="0"/>
    <n v="1"/>
  </r>
  <r>
    <s v="T003565"/>
    <x v="3377"/>
    <d v="2026-06-09T20:14:00"/>
    <x v="0"/>
    <s v="Chat"/>
    <x v="1"/>
    <s v="A014"/>
    <x v="0"/>
    <n v="24"/>
    <n v="11.4"/>
    <x v="1"/>
    <s v="No"/>
    <s v="No"/>
    <n v="5"/>
    <s v="Closed"/>
    <s v="June"/>
    <x v="5"/>
    <n v="2026"/>
    <s v="Yes"/>
    <n v="1"/>
    <x v="2"/>
    <n v="1"/>
  </r>
  <r>
    <s v="T003566"/>
    <x v="3378"/>
    <d v="2026-06-09T18:55:00"/>
    <x v="3"/>
    <s v="Chat"/>
    <x v="1"/>
    <s v="A034"/>
    <x v="2"/>
    <n v="24"/>
    <n v="9.8000000000000007"/>
    <x v="1"/>
    <s v="No"/>
    <s v="No"/>
    <n v="5"/>
    <s v="Closed"/>
    <s v="June"/>
    <x v="5"/>
    <n v="2026"/>
    <s v="Yes"/>
    <n v="1"/>
    <x v="2"/>
    <n v="1"/>
  </r>
  <r>
    <s v="T003567"/>
    <x v="3379"/>
    <d v="2026-06-09T18:19:00"/>
    <x v="1"/>
    <s v="Phone"/>
    <x v="1"/>
    <s v="A052"/>
    <x v="1"/>
    <n v="24"/>
    <n v="8.5"/>
    <x v="1"/>
    <s v="No"/>
    <s v="No"/>
    <n v="5"/>
    <s v="Closed"/>
    <s v="June"/>
    <x v="5"/>
    <n v="2026"/>
    <s v="Yes"/>
    <n v="1"/>
    <x v="0"/>
    <n v="1"/>
  </r>
  <r>
    <s v="T003568"/>
    <x v="3380"/>
    <d v="2026-06-10T01:29:00"/>
    <x v="6"/>
    <s v="Phone"/>
    <x v="1"/>
    <s v="A044"/>
    <x v="1"/>
    <n v="24"/>
    <n v="15.1"/>
    <x v="1"/>
    <s v="No"/>
    <s v="No"/>
    <m/>
    <s v="Closed"/>
    <s v="June"/>
    <x v="5"/>
    <n v="2026"/>
    <s v="Yes"/>
    <n v="1"/>
    <x v="4"/>
    <n v="1"/>
  </r>
  <r>
    <s v="T003569"/>
    <x v="3381"/>
    <d v="2026-06-09T15:24:00"/>
    <x v="1"/>
    <s v="Phone"/>
    <x v="1"/>
    <s v="A002"/>
    <x v="0"/>
    <n v="24"/>
    <n v="4.9000000000000004"/>
    <x v="1"/>
    <s v="No"/>
    <s v="No"/>
    <n v="5"/>
    <s v="Closed"/>
    <s v="June"/>
    <x v="5"/>
    <n v="2026"/>
    <s v="Yes"/>
    <n v="1"/>
    <x v="1"/>
    <n v="1"/>
  </r>
  <r>
    <s v="T003570"/>
    <x v="3382"/>
    <d v="2026-06-09T15:46:00"/>
    <x v="1"/>
    <s v="Chat"/>
    <x v="0"/>
    <s v="A029"/>
    <x v="2"/>
    <n v="72"/>
    <n v="4.2"/>
    <x v="1"/>
    <s v="No"/>
    <s v="No"/>
    <n v="5"/>
    <s v="Closed"/>
    <s v="June"/>
    <x v="5"/>
    <n v="2026"/>
    <s v="Yes"/>
    <n v="1"/>
    <x v="2"/>
    <n v="1"/>
  </r>
  <r>
    <s v="T003571"/>
    <x v="3383"/>
    <d v="2026-06-10T05:56:00"/>
    <x v="0"/>
    <s v="Phone"/>
    <x v="2"/>
    <s v="A013"/>
    <x v="0"/>
    <n v="4"/>
    <n v="18.3"/>
    <x v="0"/>
    <s v="Yes"/>
    <s v="No"/>
    <n v="4"/>
    <s v="Closed"/>
    <s v="June"/>
    <x v="5"/>
    <n v="2026"/>
    <s v="No"/>
    <n v="0"/>
    <x v="4"/>
    <n v="0"/>
  </r>
  <r>
    <s v="T003572"/>
    <x v="3384"/>
    <d v="2026-06-09T16:49:00"/>
    <x v="2"/>
    <s v="Chat"/>
    <x v="1"/>
    <s v="A005"/>
    <x v="0"/>
    <n v="24"/>
    <n v="2.7"/>
    <x v="0"/>
    <s v="Yes"/>
    <s v="No"/>
    <m/>
    <s v="Closed"/>
    <s v="June"/>
    <x v="5"/>
    <n v="2026"/>
    <s v="Yes"/>
    <n v="1"/>
    <x v="0"/>
    <n v="0"/>
  </r>
  <r>
    <s v="T003573"/>
    <x v="3385"/>
    <d v="2026-06-10T17:05:00"/>
    <x v="2"/>
    <s v="Email"/>
    <x v="0"/>
    <s v="A010"/>
    <x v="0"/>
    <n v="72"/>
    <n v="26.9"/>
    <x v="1"/>
    <s v="No"/>
    <s v="No"/>
    <n v="5"/>
    <s v="Closed"/>
    <s v="June"/>
    <x v="5"/>
    <n v="2026"/>
    <s v="Yes"/>
    <n v="1"/>
    <x v="4"/>
    <n v="1"/>
  </r>
  <r>
    <s v="T003574"/>
    <x v="3386"/>
    <d v="2026-06-09T22:09:00"/>
    <x v="6"/>
    <s v="Phone"/>
    <x v="2"/>
    <s v="A038"/>
    <x v="1"/>
    <n v="4"/>
    <n v="7.9"/>
    <x v="0"/>
    <s v="No"/>
    <s v="No"/>
    <n v="4"/>
    <s v="Closed"/>
    <s v="June"/>
    <x v="5"/>
    <n v="2026"/>
    <s v="No"/>
    <n v="0"/>
    <x v="4"/>
    <n v="0"/>
  </r>
  <r>
    <s v="T003575"/>
    <x v="3387"/>
    <d v="2026-06-09T19:50:00"/>
    <x v="6"/>
    <s v="Chat"/>
    <x v="2"/>
    <s v="A002"/>
    <x v="0"/>
    <n v="4"/>
    <n v="1"/>
    <x v="0"/>
    <s v="No"/>
    <s v="No"/>
    <n v="2"/>
    <s v="Closed"/>
    <s v="June"/>
    <x v="5"/>
    <n v="2026"/>
    <s v="Yes"/>
    <n v="1"/>
    <x v="3"/>
    <n v="0"/>
  </r>
  <r>
    <s v="T003576"/>
    <x v="3388"/>
    <d v="2026-06-10T04:25:00"/>
    <x v="5"/>
    <s v="Chat"/>
    <x v="2"/>
    <s v="A021"/>
    <x v="2"/>
    <n v="4"/>
    <n v="1.7"/>
    <x v="1"/>
    <s v="No"/>
    <s v="No"/>
    <n v="5"/>
    <s v="Closed"/>
    <s v="June"/>
    <x v="5"/>
    <n v="2026"/>
    <s v="Yes"/>
    <n v="1"/>
    <x v="4"/>
    <n v="1"/>
  </r>
  <r>
    <s v="T003577"/>
    <x v="3389"/>
    <d v="2026-06-10T16:28:00"/>
    <x v="6"/>
    <s v="Field Visit"/>
    <x v="1"/>
    <s v="A003"/>
    <x v="0"/>
    <n v="24"/>
    <n v="10.9"/>
    <x v="1"/>
    <s v="No"/>
    <s v="No"/>
    <n v="4"/>
    <s v="Closed"/>
    <s v="June"/>
    <x v="5"/>
    <n v="2026"/>
    <s v="Yes"/>
    <n v="1"/>
    <x v="3"/>
    <n v="1"/>
  </r>
  <r>
    <s v="T003578"/>
    <x v="3390"/>
    <d v="2026-06-10T09:49:00"/>
    <x v="5"/>
    <s v="Chat"/>
    <x v="1"/>
    <s v="A019"/>
    <x v="2"/>
    <n v="24"/>
    <n v="3.1"/>
    <x v="1"/>
    <s v="No"/>
    <s v="No"/>
    <m/>
    <s v="Closed"/>
    <s v="June"/>
    <x v="5"/>
    <n v="2026"/>
    <s v="Yes"/>
    <n v="1"/>
    <x v="3"/>
    <n v="1"/>
  </r>
  <r>
    <s v="T003579"/>
    <x v="3391"/>
    <d v="2026-06-10T10:42:00"/>
    <x v="2"/>
    <s v="Phone"/>
    <x v="0"/>
    <s v="A019"/>
    <x v="2"/>
    <n v="72"/>
    <n v="3.6"/>
    <x v="1"/>
    <s v="No"/>
    <s v="No"/>
    <m/>
    <s v="Closed"/>
    <s v="June"/>
    <x v="5"/>
    <n v="2026"/>
    <s v="Yes"/>
    <n v="1"/>
    <x v="3"/>
    <n v="1"/>
  </r>
  <r>
    <s v="T003580"/>
    <x v="3392"/>
    <d v="2026-06-10T15:20:00"/>
    <x v="1"/>
    <s v="Phone"/>
    <x v="1"/>
    <s v="A020"/>
    <x v="2"/>
    <n v="24"/>
    <n v="8"/>
    <x v="1"/>
    <s v="No"/>
    <s v="No"/>
    <n v="5"/>
    <s v="Closed"/>
    <s v="June"/>
    <x v="5"/>
    <n v="2026"/>
    <s v="Yes"/>
    <n v="1"/>
    <x v="3"/>
    <n v="1"/>
  </r>
  <r>
    <s v="T003581"/>
    <x v="3393"/>
    <d v="2026-06-10T11:03:00"/>
    <x v="6"/>
    <s v="Phone"/>
    <x v="2"/>
    <s v="A058"/>
    <x v="1"/>
    <n v="4"/>
    <n v="2.2000000000000002"/>
    <x v="0"/>
    <s v="Yes"/>
    <s v="No"/>
    <n v="5"/>
    <s v="Closed"/>
    <s v="June"/>
    <x v="5"/>
    <n v="2026"/>
    <s v="Yes"/>
    <n v="1"/>
    <x v="4"/>
    <n v="0"/>
  </r>
  <r>
    <s v="T003582"/>
    <x v="3394"/>
    <d v="2026-06-12T06:39:00"/>
    <x v="6"/>
    <s v="Field Visit"/>
    <x v="0"/>
    <s v="A056"/>
    <x v="1"/>
    <n v="72"/>
    <n v="45.2"/>
    <x v="1"/>
    <s v="No"/>
    <s v="Yes"/>
    <n v="4"/>
    <s v="Closed"/>
    <s v="June"/>
    <x v="5"/>
    <n v="2026"/>
    <s v="Yes"/>
    <n v="1"/>
    <x v="3"/>
    <n v="1"/>
  </r>
  <r>
    <s v="T003583"/>
    <x v="3395"/>
    <d v="2026-06-10T12:10:00"/>
    <x v="1"/>
    <s v="Chat"/>
    <x v="1"/>
    <s v="A027"/>
    <x v="2"/>
    <n v="24"/>
    <n v="2.4"/>
    <x v="0"/>
    <s v="Yes"/>
    <s v="No"/>
    <n v="3"/>
    <s v="Closed"/>
    <s v="June"/>
    <x v="5"/>
    <n v="2026"/>
    <s v="Yes"/>
    <n v="1"/>
    <x v="1"/>
    <n v="0"/>
  </r>
  <r>
    <s v="T003584"/>
    <x v="3396"/>
    <d v="2026-06-10T15:20:00"/>
    <x v="1"/>
    <s v="Phone"/>
    <x v="0"/>
    <s v="A038"/>
    <x v="1"/>
    <n v="72"/>
    <n v="4.7"/>
    <x v="1"/>
    <s v="No"/>
    <s v="No"/>
    <m/>
    <s v="Closed"/>
    <s v="June"/>
    <x v="5"/>
    <n v="2026"/>
    <s v="Yes"/>
    <n v="1"/>
    <x v="2"/>
    <n v="1"/>
  </r>
  <r>
    <s v="T003585"/>
    <x v="3397"/>
    <d v="2026-06-11T12:41:00"/>
    <x v="2"/>
    <s v="Email"/>
    <x v="2"/>
    <s v="A029"/>
    <x v="2"/>
    <n v="4"/>
    <n v="24.8"/>
    <x v="0"/>
    <s v="No"/>
    <s v="Yes"/>
    <n v="4"/>
    <s v="Closed"/>
    <s v="June"/>
    <x v="5"/>
    <n v="2026"/>
    <s v="No"/>
    <n v="0"/>
    <x v="1"/>
    <n v="0"/>
  </r>
  <r>
    <s v="T003586"/>
    <x v="3398"/>
    <d v="2026-06-10T17:06:00"/>
    <x v="0"/>
    <s v="Phone"/>
    <x v="1"/>
    <s v="A022"/>
    <x v="2"/>
    <n v="24"/>
    <n v="5.0999999999999996"/>
    <x v="1"/>
    <s v="No"/>
    <s v="No"/>
    <m/>
    <s v="Closed"/>
    <s v="June"/>
    <x v="5"/>
    <n v="2026"/>
    <s v="Yes"/>
    <n v="1"/>
    <x v="3"/>
    <n v="1"/>
  </r>
  <r>
    <s v="T003587"/>
    <x v="3399"/>
    <d v="2026-06-10T15:37:00"/>
    <x v="5"/>
    <s v="Chat"/>
    <x v="1"/>
    <s v="A007"/>
    <x v="0"/>
    <n v="24"/>
    <n v="3.3"/>
    <x v="0"/>
    <s v="No"/>
    <s v="Yes"/>
    <m/>
    <s v="Closed"/>
    <s v="June"/>
    <x v="5"/>
    <n v="2026"/>
    <s v="Yes"/>
    <n v="1"/>
    <x v="1"/>
    <n v="0"/>
  </r>
  <r>
    <s v="T003588"/>
    <x v="3400"/>
    <d v="2026-06-11T02:20:00"/>
    <x v="1"/>
    <s v="Email"/>
    <x v="0"/>
    <s v="A026"/>
    <x v="2"/>
    <n v="72"/>
    <n v="13.6"/>
    <x v="1"/>
    <s v="No"/>
    <s v="No"/>
    <n v="5"/>
    <s v="Closed"/>
    <s v="June"/>
    <x v="5"/>
    <n v="2026"/>
    <s v="Yes"/>
    <n v="1"/>
    <x v="3"/>
    <n v="1"/>
  </r>
  <r>
    <s v="T003589"/>
    <x v="3401"/>
    <d v="2026-06-10T17:43:00"/>
    <x v="5"/>
    <s v="Phone"/>
    <x v="1"/>
    <s v="A057"/>
    <x v="1"/>
    <n v="24"/>
    <n v="3.5"/>
    <x v="0"/>
    <s v="Yes"/>
    <s v="Yes"/>
    <n v="5"/>
    <s v="Closed"/>
    <s v="June"/>
    <x v="5"/>
    <n v="2026"/>
    <s v="Yes"/>
    <n v="1"/>
    <x v="0"/>
    <n v="0"/>
  </r>
  <r>
    <s v="T003590"/>
    <x v="3402"/>
    <d v="2026-06-10T17:38:00"/>
    <x v="1"/>
    <s v="Chat"/>
    <x v="1"/>
    <s v="A009"/>
    <x v="0"/>
    <n v="24"/>
    <n v="2.6"/>
    <x v="1"/>
    <s v="No"/>
    <s v="No"/>
    <n v="3"/>
    <s v="Closed"/>
    <s v="June"/>
    <x v="5"/>
    <n v="2026"/>
    <s v="Yes"/>
    <n v="1"/>
    <x v="0"/>
    <n v="1"/>
  </r>
  <r>
    <s v="T003591"/>
    <x v="3403"/>
    <d v="2026-06-11T20:29:00"/>
    <x v="3"/>
    <s v="Field Visit"/>
    <x v="0"/>
    <s v="A017"/>
    <x v="2"/>
    <n v="72"/>
    <n v="28.6"/>
    <x v="1"/>
    <s v="No"/>
    <s v="No"/>
    <m/>
    <s v="Closed"/>
    <s v="June"/>
    <x v="5"/>
    <n v="2026"/>
    <s v="Yes"/>
    <n v="1"/>
    <x v="4"/>
    <n v="1"/>
  </r>
  <r>
    <s v="T003592"/>
    <x v="3404"/>
    <d v="2026-06-10T23:54:00"/>
    <x v="1"/>
    <s v="Phone"/>
    <x v="1"/>
    <s v="A013"/>
    <x v="0"/>
    <n v="24"/>
    <n v="7.5"/>
    <x v="1"/>
    <s v="No"/>
    <s v="Yes"/>
    <n v="3"/>
    <s v="Closed"/>
    <s v="June"/>
    <x v="5"/>
    <n v="2026"/>
    <s v="Yes"/>
    <n v="1"/>
    <x v="4"/>
    <n v="1"/>
  </r>
  <r>
    <s v="T003593"/>
    <x v="3405"/>
    <d v="2026-06-11T14:27:00"/>
    <x v="1"/>
    <s v="Email"/>
    <x v="1"/>
    <s v="A043"/>
    <x v="1"/>
    <n v="24"/>
    <n v="21.1"/>
    <x v="1"/>
    <s v="No"/>
    <s v="No"/>
    <n v="4"/>
    <s v="Closed"/>
    <s v="June"/>
    <x v="5"/>
    <n v="2026"/>
    <s v="Yes"/>
    <n v="1"/>
    <x v="1"/>
    <n v="1"/>
  </r>
  <r>
    <s v="T003594"/>
    <x v="3406"/>
    <d v="2026-06-11T19:18:00"/>
    <x v="4"/>
    <s v="Phone"/>
    <x v="0"/>
    <s v="A049"/>
    <x v="1"/>
    <n v="72"/>
    <n v="24.6"/>
    <x v="1"/>
    <s v="No"/>
    <s v="No"/>
    <n v="4"/>
    <s v="Closed"/>
    <s v="June"/>
    <x v="5"/>
    <n v="2026"/>
    <s v="Yes"/>
    <n v="1"/>
    <x v="3"/>
    <n v="1"/>
  </r>
  <r>
    <s v="T003595"/>
    <x v="3407"/>
    <d v="2026-06-11T00:34:00"/>
    <x v="5"/>
    <s v="Chat"/>
    <x v="1"/>
    <s v="A032"/>
    <x v="2"/>
    <n v="24"/>
    <n v="4.8"/>
    <x v="1"/>
    <s v="No"/>
    <s v="No"/>
    <n v="4"/>
    <s v="Closed"/>
    <s v="June"/>
    <x v="5"/>
    <n v="2026"/>
    <s v="Yes"/>
    <n v="1"/>
    <x v="0"/>
    <n v="1"/>
  </r>
  <r>
    <s v="T003596"/>
    <x v="3408"/>
    <d v="2026-06-11T18:39:00"/>
    <x v="6"/>
    <s v="Field Visit"/>
    <x v="2"/>
    <s v="A002"/>
    <x v="0"/>
    <n v="4"/>
    <n v="10.8"/>
    <x v="1"/>
    <s v="No"/>
    <s v="No"/>
    <n v="3"/>
    <s v="Closed"/>
    <s v="June"/>
    <x v="5"/>
    <n v="2026"/>
    <s v="No"/>
    <n v="0"/>
    <x v="4"/>
    <n v="1"/>
  </r>
  <r>
    <s v="T003597"/>
    <x v="3409"/>
    <d v="2026-06-11T19:32:00"/>
    <x v="5"/>
    <s v="Phone"/>
    <x v="0"/>
    <s v="A051"/>
    <x v="1"/>
    <n v="72"/>
    <n v="10.7"/>
    <x v="1"/>
    <s v="No"/>
    <s v="No"/>
    <n v="5"/>
    <s v="Closed"/>
    <s v="June"/>
    <x v="5"/>
    <n v="2026"/>
    <s v="Yes"/>
    <n v="1"/>
    <x v="3"/>
    <n v="1"/>
  </r>
  <r>
    <s v="T003598"/>
    <x v="3410"/>
    <d v="2026-06-11T13:49:00"/>
    <x v="6"/>
    <s v="Field Visit"/>
    <x v="2"/>
    <s v="A030"/>
    <x v="2"/>
    <n v="4"/>
    <n v="4.5"/>
    <x v="1"/>
    <s v="No"/>
    <s v="No"/>
    <n v="2"/>
    <s v="Closed"/>
    <s v="June"/>
    <x v="5"/>
    <n v="2026"/>
    <s v="No"/>
    <n v="0"/>
    <x v="0"/>
    <n v="1"/>
  </r>
  <r>
    <s v="T003599"/>
    <x v="3411"/>
    <d v="2026-06-12T03:06:00"/>
    <x v="3"/>
    <s v="Phone"/>
    <x v="2"/>
    <s v="A007"/>
    <x v="0"/>
    <n v="4"/>
    <n v="15.1"/>
    <x v="1"/>
    <s v="No"/>
    <s v="Yes"/>
    <n v="5"/>
    <s v="Closed"/>
    <s v="June"/>
    <x v="5"/>
    <n v="2026"/>
    <s v="No"/>
    <n v="0"/>
    <x v="4"/>
    <n v="1"/>
  </r>
  <r>
    <s v="T003600"/>
    <x v="3412"/>
    <d v="2026-06-11T20:23:00"/>
    <x v="5"/>
    <s v="Phone"/>
    <x v="0"/>
    <s v="A044"/>
    <x v="1"/>
    <n v="72"/>
    <n v="7.7"/>
    <x v="0"/>
    <s v="No"/>
    <s v="No"/>
    <m/>
    <s v="Closed"/>
    <s v="June"/>
    <x v="5"/>
    <n v="2026"/>
    <s v="Yes"/>
    <n v="1"/>
    <x v="0"/>
    <n v="0"/>
  </r>
  <r>
    <s v="T003601"/>
    <x v="3413"/>
    <d v="2026-06-11T17:58:00"/>
    <x v="6"/>
    <s v="Phone"/>
    <x v="1"/>
    <s v="A003"/>
    <x v="0"/>
    <n v="24"/>
    <n v="5.0999999999999996"/>
    <x v="1"/>
    <s v="No"/>
    <s v="No"/>
    <n v="5"/>
    <s v="Closed"/>
    <s v="June"/>
    <x v="5"/>
    <n v="2026"/>
    <s v="Yes"/>
    <n v="1"/>
    <x v="4"/>
    <n v="1"/>
  </r>
  <r>
    <s v="T003602"/>
    <x v="3414"/>
    <d v="2026-06-11T23:21:00"/>
    <x v="5"/>
    <s v="Phone"/>
    <x v="0"/>
    <s v="A060"/>
    <x v="1"/>
    <n v="72"/>
    <n v="9.8000000000000007"/>
    <x v="0"/>
    <s v="Yes"/>
    <s v="No"/>
    <n v="2"/>
    <s v="Closed"/>
    <s v="June"/>
    <x v="5"/>
    <n v="2026"/>
    <s v="Yes"/>
    <n v="1"/>
    <x v="1"/>
    <n v="0"/>
  </r>
  <r>
    <s v="T003603"/>
    <x v="3415"/>
    <d v="2026-06-11T21:59:00"/>
    <x v="3"/>
    <s v="Phone"/>
    <x v="0"/>
    <s v="A001"/>
    <x v="0"/>
    <n v="72"/>
    <n v="8.4"/>
    <x v="1"/>
    <s v="No"/>
    <s v="Yes"/>
    <n v="3"/>
    <s v="Closed"/>
    <s v="June"/>
    <x v="5"/>
    <n v="2026"/>
    <s v="Yes"/>
    <n v="1"/>
    <x v="3"/>
    <n v="1"/>
  </r>
  <r>
    <s v="T003604"/>
    <x v="3416"/>
    <d v="2026-06-11T23:39:00"/>
    <x v="0"/>
    <s v="Chat"/>
    <x v="0"/>
    <s v="A051"/>
    <x v="1"/>
    <n v="72"/>
    <n v="10"/>
    <x v="1"/>
    <s v="No"/>
    <s v="No"/>
    <m/>
    <s v="Closed"/>
    <s v="June"/>
    <x v="5"/>
    <n v="2026"/>
    <s v="Yes"/>
    <n v="1"/>
    <x v="4"/>
    <n v="1"/>
  </r>
  <r>
    <s v="T003605"/>
    <x v="3417"/>
    <d v="2026-06-12T01:21:00"/>
    <x v="1"/>
    <s v="Email"/>
    <x v="1"/>
    <s v="A034"/>
    <x v="2"/>
    <n v="24"/>
    <n v="11"/>
    <x v="0"/>
    <s v="Yes"/>
    <s v="No"/>
    <m/>
    <s v="Closed"/>
    <s v="June"/>
    <x v="5"/>
    <n v="2026"/>
    <s v="Yes"/>
    <n v="1"/>
    <x v="1"/>
    <n v="0"/>
  </r>
  <r>
    <s v="T003606"/>
    <x v="3418"/>
    <d v="2026-06-12T18:08:00"/>
    <x v="0"/>
    <s v="Field Visit"/>
    <x v="0"/>
    <s v="A010"/>
    <x v="0"/>
    <n v="72"/>
    <n v="26.8"/>
    <x v="0"/>
    <s v="Yes"/>
    <s v="No"/>
    <n v="4"/>
    <s v="Closed"/>
    <s v="June"/>
    <x v="5"/>
    <n v="2026"/>
    <s v="Yes"/>
    <n v="1"/>
    <x v="0"/>
    <n v="0"/>
  </r>
  <r>
    <s v="T003607"/>
    <x v="3419"/>
    <d v="2026-06-12T00:42:00"/>
    <x v="6"/>
    <s v="Phone"/>
    <x v="0"/>
    <s v="A004"/>
    <x v="0"/>
    <n v="72"/>
    <n v="9.3000000000000007"/>
    <x v="1"/>
    <s v="No"/>
    <s v="No"/>
    <m/>
    <s v="Closed"/>
    <s v="June"/>
    <x v="5"/>
    <n v="2026"/>
    <s v="Yes"/>
    <n v="1"/>
    <x v="2"/>
    <n v="1"/>
  </r>
  <r>
    <s v="T003609"/>
    <x v="3420"/>
    <d v="2026-06-11T22:40:00"/>
    <x v="6"/>
    <s v="Phone"/>
    <x v="2"/>
    <s v="A023"/>
    <x v="2"/>
    <n v="4"/>
    <n v="5.7"/>
    <x v="1"/>
    <s v="No"/>
    <s v="No"/>
    <n v="5"/>
    <s v="Closed"/>
    <s v="June"/>
    <x v="5"/>
    <n v="2026"/>
    <s v="No"/>
    <n v="0"/>
    <x v="4"/>
    <n v="1"/>
  </r>
  <r>
    <s v="T003608"/>
    <x v="3420"/>
    <d v="2026-06-13T11:34:00"/>
    <x v="3"/>
    <s v="Field Visit"/>
    <x v="0"/>
    <s v="A026"/>
    <x v="2"/>
    <n v="72"/>
    <n v="42.6"/>
    <x v="1"/>
    <s v="No"/>
    <s v="No"/>
    <n v="4"/>
    <s v="Closed"/>
    <s v="June"/>
    <x v="5"/>
    <n v="2026"/>
    <s v="Yes"/>
    <n v="1"/>
    <x v="3"/>
    <n v="1"/>
  </r>
  <r>
    <s v="T003610"/>
    <x v="3421"/>
    <d v="2026-06-14T12:07:00"/>
    <x v="4"/>
    <s v="Field Visit"/>
    <x v="1"/>
    <s v="A019"/>
    <x v="2"/>
    <n v="24"/>
    <n v="66.3"/>
    <x v="1"/>
    <s v="No"/>
    <s v="No"/>
    <n v="5"/>
    <s v="Closed"/>
    <s v="June"/>
    <x v="5"/>
    <n v="2026"/>
    <s v="No"/>
    <n v="0"/>
    <x v="3"/>
    <n v="1"/>
  </r>
  <r>
    <s v="T003611"/>
    <x v="3422"/>
    <d v="2026-06-12T06:45:00"/>
    <x v="1"/>
    <s v="Chat"/>
    <x v="0"/>
    <s v="A014"/>
    <x v="0"/>
    <n v="72"/>
    <n v="5.2"/>
    <x v="1"/>
    <s v="No"/>
    <s v="No"/>
    <n v="5"/>
    <s v="Closed"/>
    <s v="June"/>
    <x v="5"/>
    <n v="2026"/>
    <s v="Yes"/>
    <n v="1"/>
    <x v="1"/>
    <n v="1"/>
  </r>
  <r>
    <s v="T003612"/>
    <x v="3423"/>
    <d v="2026-06-12T16:04:00"/>
    <x v="6"/>
    <s v="Phone"/>
    <x v="2"/>
    <s v="A056"/>
    <x v="1"/>
    <n v="4"/>
    <m/>
    <x v="1"/>
    <s v="No"/>
    <s v="No"/>
    <m/>
    <s v="Closed"/>
    <s v="June"/>
    <x v="5"/>
    <n v="2026"/>
    <m/>
    <m/>
    <x v="3"/>
    <n v="1"/>
  </r>
  <r>
    <s v="T003613"/>
    <x v="3424"/>
    <d v="2026-06-13T00:10:00"/>
    <x v="3"/>
    <s v="Phone"/>
    <x v="1"/>
    <s v="A043"/>
    <x v="1"/>
    <n v="24"/>
    <n v="16.2"/>
    <x v="1"/>
    <s v="No"/>
    <s v="No"/>
    <n v="4"/>
    <s v="Closed"/>
    <s v="June"/>
    <x v="5"/>
    <n v="2026"/>
    <s v="Yes"/>
    <n v="1"/>
    <x v="1"/>
    <n v="1"/>
  </r>
  <r>
    <s v="T003614"/>
    <x v="3425"/>
    <d v="2026-06-13T01:14:00"/>
    <x v="1"/>
    <s v="Chat"/>
    <x v="1"/>
    <s v="A039"/>
    <x v="1"/>
    <n v="24"/>
    <n v="15.1"/>
    <x v="1"/>
    <s v="No"/>
    <s v="No"/>
    <n v="5"/>
    <s v="Closed"/>
    <s v="June"/>
    <x v="5"/>
    <n v="2026"/>
    <s v="Yes"/>
    <n v="1"/>
    <x v="1"/>
    <n v="1"/>
  </r>
  <r>
    <s v="T003615"/>
    <x v="3426"/>
    <d v="2026-06-13T03:54:00"/>
    <x v="3"/>
    <s v="Chat"/>
    <x v="1"/>
    <s v="A007"/>
    <x v="0"/>
    <n v="24"/>
    <n v="17.2"/>
    <x v="1"/>
    <s v="No"/>
    <s v="No"/>
    <n v="3"/>
    <s v="Closed"/>
    <s v="June"/>
    <x v="5"/>
    <n v="2026"/>
    <s v="Yes"/>
    <n v="1"/>
    <x v="4"/>
    <n v="1"/>
  </r>
  <r>
    <s v="T003616"/>
    <x v="3427"/>
    <d v="2026-06-12T16:20:00"/>
    <x v="1"/>
    <s v="Email"/>
    <x v="0"/>
    <s v="A040"/>
    <x v="1"/>
    <n v="72"/>
    <n v="5.5"/>
    <x v="1"/>
    <s v="No"/>
    <s v="No"/>
    <n v="5"/>
    <s v="Closed"/>
    <s v="June"/>
    <x v="5"/>
    <n v="2026"/>
    <s v="Yes"/>
    <n v="1"/>
    <x v="0"/>
    <n v="1"/>
  </r>
  <r>
    <s v="T003617"/>
    <x v="3428"/>
    <d v="2026-06-12T14:04:00"/>
    <x v="6"/>
    <s v="Phone"/>
    <x v="0"/>
    <s v="A023"/>
    <x v="2"/>
    <n v="72"/>
    <n v="3.1"/>
    <x v="1"/>
    <s v="No"/>
    <s v="No"/>
    <n v="4"/>
    <s v="Closed"/>
    <s v="June"/>
    <x v="5"/>
    <n v="2026"/>
    <s v="Yes"/>
    <n v="1"/>
    <x v="0"/>
    <n v="1"/>
  </r>
  <r>
    <s v="T003618"/>
    <x v="3429"/>
    <d v="2026-06-12T14:45:00"/>
    <x v="6"/>
    <s v="Chat"/>
    <x v="1"/>
    <s v="A008"/>
    <x v="0"/>
    <n v="24"/>
    <n v="3"/>
    <x v="0"/>
    <s v="No"/>
    <s v="No"/>
    <n v="3"/>
    <s v="Closed"/>
    <s v="June"/>
    <x v="5"/>
    <n v="2026"/>
    <s v="Yes"/>
    <n v="1"/>
    <x v="1"/>
    <n v="0"/>
  </r>
  <r>
    <s v="T003619"/>
    <x v="3430"/>
    <d v="2026-06-14T09:06:00"/>
    <x v="3"/>
    <s v="Phone"/>
    <x v="0"/>
    <s v="A017"/>
    <x v="2"/>
    <n v="72"/>
    <n v="45.2"/>
    <x v="0"/>
    <s v="Yes"/>
    <s v="No"/>
    <n v="4"/>
    <s v="Closed"/>
    <s v="June"/>
    <x v="5"/>
    <n v="2026"/>
    <s v="Yes"/>
    <n v="1"/>
    <x v="1"/>
    <n v="0"/>
  </r>
  <r>
    <s v="T003620"/>
    <x v="3431"/>
    <d v="2026-06-16T18:32:00"/>
    <x v="3"/>
    <s v="Field Visit"/>
    <x v="1"/>
    <s v="A015"/>
    <x v="0"/>
    <n v="24"/>
    <n v="102.2"/>
    <x v="1"/>
    <s v="No"/>
    <s v="No"/>
    <m/>
    <s v="Closed"/>
    <s v="June"/>
    <x v="5"/>
    <n v="2026"/>
    <s v="No"/>
    <n v="0"/>
    <x v="2"/>
    <n v="1"/>
  </r>
  <r>
    <s v="T003621"/>
    <x v="3432"/>
    <d v="2026-06-12T15:35:00"/>
    <x v="1"/>
    <s v="Chat"/>
    <x v="0"/>
    <s v="A013"/>
    <x v="0"/>
    <n v="72"/>
    <n v="3"/>
    <x v="0"/>
    <s v="Yes"/>
    <s v="No"/>
    <n v="5"/>
    <s v="Closed"/>
    <s v="June"/>
    <x v="5"/>
    <n v="2026"/>
    <s v="Yes"/>
    <n v="1"/>
    <x v="1"/>
    <n v="0"/>
  </r>
  <r>
    <s v="T003622"/>
    <x v="3433"/>
    <d v="2026-06-14T07:12:00"/>
    <x v="4"/>
    <s v="Field Visit"/>
    <x v="2"/>
    <s v="A043"/>
    <x v="1"/>
    <n v="4"/>
    <n v="42.6"/>
    <x v="1"/>
    <s v="No"/>
    <s v="No"/>
    <m/>
    <s v="Closed"/>
    <s v="June"/>
    <x v="5"/>
    <n v="2026"/>
    <s v="No"/>
    <n v="0"/>
    <x v="4"/>
    <n v="1"/>
  </r>
  <r>
    <s v="T003623"/>
    <x v="3434"/>
    <d v="2026-06-13T22:43:00"/>
    <x v="3"/>
    <s v="Phone"/>
    <x v="0"/>
    <s v="A031"/>
    <x v="2"/>
    <n v="72"/>
    <n v="34.1"/>
    <x v="1"/>
    <s v="No"/>
    <s v="No"/>
    <m/>
    <s v="Closed"/>
    <s v="June"/>
    <x v="5"/>
    <n v="2026"/>
    <s v="Yes"/>
    <n v="1"/>
    <x v="2"/>
    <n v="1"/>
  </r>
  <r>
    <s v="T003624"/>
    <x v="3435"/>
    <d v="2026-06-13T08:15:00"/>
    <x v="0"/>
    <s v="Phone"/>
    <x v="2"/>
    <s v="A058"/>
    <x v="1"/>
    <n v="4"/>
    <n v="19.5"/>
    <x v="1"/>
    <s v="No"/>
    <s v="No"/>
    <m/>
    <s v="Closed"/>
    <s v="June"/>
    <x v="5"/>
    <n v="2026"/>
    <s v="No"/>
    <n v="0"/>
    <x v="3"/>
    <n v="1"/>
  </r>
  <r>
    <s v="T003625"/>
    <x v="3436"/>
    <d v="2026-06-12T15:38:00"/>
    <x v="1"/>
    <s v="Chat"/>
    <x v="1"/>
    <s v="A011"/>
    <x v="0"/>
    <n v="24"/>
    <n v="2.4"/>
    <x v="0"/>
    <s v="Yes"/>
    <s v="No"/>
    <m/>
    <s v="Closed"/>
    <s v="June"/>
    <x v="5"/>
    <n v="2026"/>
    <s v="Yes"/>
    <n v="1"/>
    <x v="1"/>
    <n v="0"/>
  </r>
  <r>
    <s v="T003626"/>
    <x v="3437"/>
    <d v="2026-06-13T06:57:00"/>
    <x v="6"/>
    <s v="Field Visit"/>
    <x v="2"/>
    <s v="A046"/>
    <x v="1"/>
    <n v="4"/>
    <n v="17.5"/>
    <x v="0"/>
    <s v="No"/>
    <s v="Yes"/>
    <n v="4"/>
    <s v="Closed"/>
    <s v="June"/>
    <x v="5"/>
    <n v="2026"/>
    <s v="No"/>
    <n v="0"/>
    <x v="0"/>
    <n v="0"/>
  </r>
  <r>
    <s v="T003627"/>
    <x v="3438"/>
    <d v="2026-06-12T15:27:00"/>
    <x v="1"/>
    <s v="Phone"/>
    <x v="0"/>
    <s v="A016"/>
    <x v="2"/>
    <n v="72"/>
    <n v="1.5"/>
    <x v="1"/>
    <s v="No"/>
    <s v="No"/>
    <n v="4"/>
    <s v="Closed"/>
    <s v="June"/>
    <x v="5"/>
    <n v="2026"/>
    <s v="Yes"/>
    <n v="1"/>
    <x v="3"/>
    <n v="1"/>
  </r>
  <r>
    <s v="T003628"/>
    <x v="3439"/>
    <d v="2026-06-14T14:58:00"/>
    <x v="5"/>
    <s v="Email"/>
    <x v="1"/>
    <s v="A051"/>
    <x v="1"/>
    <n v="24"/>
    <n v="48.9"/>
    <x v="1"/>
    <s v="No"/>
    <s v="No"/>
    <n v="5"/>
    <s v="Closed"/>
    <s v="June"/>
    <x v="5"/>
    <n v="2026"/>
    <s v="No"/>
    <n v="0"/>
    <x v="2"/>
    <n v="1"/>
  </r>
  <r>
    <s v="T003629"/>
    <x v="3440"/>
    <d v="2026-06-12T22:45:00"/>
    <x v="5"/>
    <s v="Chat"/>
    <x v="1"/>
    <s v="A036"/>
    <x v="1"/>
    <n v="24"/>
    <n v="8.1999999999999993"/>
    <x v="1"/>
    <s v="No"/>
    <s v="No"/>
    <m/>
    <s v="Closed"/>
    <s v="June"/>
    <x v="5"/>
    <n v="2026"/>
    <s v="Yes"/>
    <n v="1"/>
    <x v="1"/>
    <n v="1"/>
  </r>
  <r>
    <s v="T003630"/>
    <x v="3441"/>
    <d v="2026-06-12T16:38:00"/>
    <x v="1"/>
    <s v="Chat"/>
    <x v="1"/>
    <s v="A045"/>
    <x v="1"/>
    <n v="24"/>
    <n v="2"/>
    <x v="1"/>
    <s v="No"/>
    <s v="Yes"/>
    <n v="5"/>
    <s v="Closed"/>
    <s v="June"/>
    <x v="5"/>
    <n v="2026"/>
    <s v="Yes"/>
    <n v="1"/>
    <x v="0"/>
    <n v="1"/>
  </r>
  <r>
    <s v="T003631"/>
    <x v="3442"/>
    <d v="2026-06-13T02:20:00"/>
    <x v="5"/>
    <s v="Phone"/>
    <x v="0"/>
    <s v="A050"/>
    <x v="1"/>
    <n v="72"/>
    <n v="11.6"/>
    <x v="1"/>
    <s v="No"/>
    <s v="No"/>
    <n v="5"/>
    <s v="Closed"/>
    <s v="June"/>
    <x v="5"/>
    <n v="2026"/>
    <s v="Yes"/>
    <n v="1"/>
    <x v="0"/>
    <n v="1"/>
  </r>
  <r>
    <s v="T003632"/>
    <x v="3443"/>
    <d v="2026-06-12T22:41:00"/>
    <x v="1"/>
    <s v="Phone"/>
    <x v="1"/>
    <s v="A007"/>
    <x v="0"/>
    <n v="24"/>
    <n v="7.7"/>
    <x v="0"/>
    <s v="Yes"/>
    <s v="No"/>
    <m/>
    <s v="Closed"/>
    <s v="June"/>
    <x v="5"/>
    <n v="2026"/>
    <s v="Yes"/>
    <n v="1"/>
    <x v="2"/>
    <n v="0"/>
  </r>
  <r>
    <s v="T003633"/>
    <x v="3444"/>
    <d v="2026-06-12T16:41:00"/>
    <x v="6"/>
    <s v="Phone"/>
    <x v="1"/>
    <s v="A059"/>
    <x v="1"/>
    <n v="24"/>
    <n v="1.4"/>
    <x v="1"/>
    <s v="No"/>
    <s v="No"/>
    <n v="4"/>
    <s v="Closed"/>
    <s v="June"/>
    <x v="5"/>
    <n v="2026"/>
    <s v="Yes"/>
    <n v="1"/>
    <x v="0"/>
    <n v="1"/>
  </r>
  <r>
    <s v="T003634"/>
    <x v="3445"/>
    <d v="2026-06-12T23:05:00"/>
    <x v="1"/>
    <s v="Phone"/>
    <x v="1"/>
    <s v="A039"/>
    <x v="1"/>
    <n v="24"/>
    <n v="7.7"/>
    <x v="1"/>
    <s v="No"/>
    <s v="No"/>
    <n v="5"/>
    <s v="Closed"/>
    <s v="June"/>
    <x v="5"/>
    <n v="2026"/>
    <s v="Yes"/>
    <n v="1"/>
    <x v="3"/>
    <n v="1"/>
  </r>
  <r>
    <s v="T003635"/>
    <x v="3446"/>
    <d v="2026-06-12T22:52:00"/>
    <x v="0"/>
    <s v="Chat"/>
    <x v="1"/>
    <s v="A042"/>
    <x v="1"/>
    <n v="24"/>
    <n v="7"/>
    <x v="1"/>
    <s v="No"/>
    <s v="Yes"/>
    <n v="5"/>
    <s v="Closed"/>
    <s v="June"/>
    <x v="5"/>
    <n v="2026"/>
    <s v="Yes"/>
    <n v="1"/>
    <x v="1"/>
    <n v="1"/>
  </r>
  <r>
    <s v="T003636"/>
    <x v="3447"/>
    <d v="2026-06-12T21:37:00"/>
    <x v="3"/>
    <s v="Phone"/>
    <x v="1"/>
    <s v="A039"/>
    <x v="1"/>
    <n v="24"/>
    <n v="4.3"/>
    <x v="1"/>
    <s v="No"/>
    <s v="No"/>
    <n v="5"/>
    <s v="Closed"/>
    <s v="June"/>
    <x v="5"/>
    <n v="2026"/>
    <s v="Yes"/>
    <n v="1"/>
    <x v="4"/>
    <n v="1"/>
  </r>
  <r>
    <s v="T003637"/>
    <x v="3448"/>
    <d v="2026-06-14T06:58:00"/>
    <x v="3"/>
    <s v="Field Visit"/>
    <x v="1"/>
    <s v="A017"/>
    <x v="2"/>
    <n v="24"/>
    <n v="36.6"/>
    <x v="0"/>
    <s v="No"/>
    <s v="No"/>
    <n v="1"/>
    <s v="Closed"/>
    <s v="June"/>
    <x v="5"/>
    <n v="2026"/>
    <s v="No"/>
    <n v="0"/>
    <x v="4"/>
    <n v="0"/>
  </r>
  <r>
    <s v="T003638"/>
    <x v="3449"/>
    <d v="2026-06-13T07:23:00"/>
    <x v="3"/>
    <s v="Field Visit"/>
    <x v="1"/>
    <s v="A047"/>
    <x v="1"/>
    <n v="24"/>
    <n v="11.4"/>
    <x v="0"/>
    <s v="No"/>
    <s v="No"/>
    <n v="4"/>
    <s v="Closed"/>
    <s v="June"/>
    <x v="5"/>
    <n v="2026"/>
    <s v="Yes"/>
    <n v="1"/>
    <x v="4"/>
    <n v="0"/>
  </r>
  <r>
    <s v="T003639"/>
    <x v="3450"/>
    <d v="2026-06-13T19:31:00"/>
    <x v="6"/>
    <s v="Field Visit"/>
    <x v="2"/>
    <s v="A032"/>
    <x v="2"/>
    <n v="4"/>
    <n v="21.1"/>
    <x v="1"/>
    <s v="No"/>
    <s v="Yes"/>
    <m/>
    <s v="Closed"/>
    <s v="June"/>
    <x v="5"/>
    <n v="2026"/>
    <s v="No"/>
    <n v="0"/>
    <x v="1"/>
    <n v="1"/>
  </r>
  <r>
    <s v="T003640"/>
    <x v="3451"/>
    <d v="2026-06-13T10:42:00"/>
    <x v="1"/>
    <s v="Email"/>
    <x v="1"/>
    <s v="A040"/>
    <x v="1"/>
    <n v="24"/>
    <n v="10"/>
    <x v="1"/>
    <s v="No"/>
    <s v="No"/>
    <n v="5"/>
    <s v="Closed"/>
    <s v="June"/>
    <x v="5"/>
    <n v="2026"/>
    <s v="Yes"/>
    <n v="1"/>
    <x v="3"/>
    <n v="1"/>
  </r>
  <r>
    <s v="T003641"/>
    <x v="3452"/>
    <d v="2026-06-13T17:20:00"/>
    <x v="6"/>
    <s v="Chat"/>
    <x v="2"/>
    <s v="A032"/>
    <x v="2"/>
    <n v="4"/>
    <n v="10.6"/>
    <x v="0"/>
    <s v="No"/>
    <s v="No"/>
    <n v="4"/>
    <s v="Closed"/>
    <s v="June"/>
    <x v="5"/>
    <n v="2026"/>
    <s v="No"/>
    <n v="0"/>
    <x v="3"/>
    <n v="0"/>
  </r>
  <r>
    <s v="T003642"/>
    <x v="3453"/>
    <d v="2026-06-13T20:48:00"/>
    <x v="5"/>
    <s v="Phone"/>
    <x v="1"/>
    <s v="A050"/>
    <x v="1"/>
    <n v="24"/>
    <n v="12"/>
    <x v="1"/>
    <s v="No"/>
    <s v="No"/>
    <n v="5"/>
    <s v="Closed"/>
    <s v="June"/>
    <x v="5"/>
    <n v="2026"/>
    <s v="Yes"/>
    <n v="1"/>
    <x v="2"/>
    <n v="1"/>
  </r>
  <r>
    <s v="T003643"/>
    <x v="3454"/>
    <d v="2026-06-15T04:32:00"/>
    <x v="3"/>
    <s v="Chat"/>
    <x v="1"/>
    <s v="A007"/>
    <x v="0"/>
    <n v="24"/>
    <n v="43.6"/>
    <x v="0"/>
    <s v="Yes"/>
    <s v="No"/>
    <n v="1"/>
    <s v="Closed"/>
    <s v="June"/>
    <x v="5"/>
    <n v="2026"/>
    <s v="No"/>
    <n v="0"/>
    <x v="2"/>
    <n v="0"/>
  </r>
  <r>
    <s v="T003644"/>
    <x v="3455"/>
    <d v="2026-06-14T13:28:00"/>
    <x v="5"/>
    <s v="Email"/>
    <x v="1"/>
    <s v="A038"/>
    <x v="1"/>
    <n v="24"/>
    <n v="27.8"/>
    <x v="1"/>
    <s v="No"/>
    <s v="No"/>
    <n v="3"/>
    <s v="Closed"/>
    <s v="June"/>
    <x v="5"/>
    <n v="2026"/>
    <s v="No"/>
    <n v="0"/>
    <x v="3"/>
    <n v="1"/>
  </r>
  <r>
    <s v="T003645"/>
    <x v="3456"/>
    <d v="2026-06-14T01:18:00"/>
    <x v="5"/>
    <s v="Phone"/>
    <x v="1"/>
    <s v="A020"/>
    <x v="2"/>
    <n v="24"/>
    <n v="14.2"/>
    <x v="0"/>
    <s v="No"/>
    <s v="No"/>
    <m/>
    <s v="Closed"/>
    <s v="June"/>
    <x v="5"/>
    <n v="2026"/>
    <s v="Yes"/>
    <n v="1"/>
    <x v="3"/>
    <n v="0"/>
  </r>
  <r>
    <s v="T003646"/>
    <x v="3457"/>
    <d v="2026-06-14T22:22:00"/>
    <x v="2"/>
    <s v="Email"/>
    <x v="0"/>
    <s v="A033"/>
    <x v="2"/>
    <n v="72"/>
    <n v="34.700000000000003"/>
    <x v="1"/>
    <s v="No"/>
    <s v="No"/>
    <m/>
    <s v="Closed"/>
    <s v="June"/>
    <x v="5"/>
    <n v="2026"/>
    <s v="Yes"/>
    <n v="1"/>
    <x v="4"/>
    <n v="1"/>
  </r>
  <r>
    <s v="T003647"/>
    <x v="3458"/>
    <d v="2026-06-13T18:11:00"/>
    <x v="2"/>
    <s v="Chat"/>
    <x v="2"/>
    <s v="A060"/>
    <x v="1"/>
    <n v="4"/>
    <n v="6.3"/>
    <x v="0"/>
    <s v="No"/>
    <s v="No"/>
    <n v="5"/>
    <s v="Closed"/>
    <s v="June"/>
    <x v="5"/>
    <n v="2026"/>
    <s v="No"/>
    <n v="0"/>
    <x v="1"/>
    <n v="0"/>
  </r>
  <r>
    <s v="T003648"/>
    <x v="3459"/>
    <d v="2026-06-14T02:29:00"/>
    <x v="2"/>
    <s v="Chat"/>
    <x v="2"/>
    <s v="A007"/>
    <x v="0"/>
    <n v="4"/>
    <n v="13.7"/>
    <x v="1"/>
    <s v="No"/>
    <s v="No"/>
    <n v="4"/>
    <s v="Closed"/>
    <s v="June"/>
    <x v="5"/>
    <n v="2026"/>
    <s v="No"/>
    <n v="0"/>
    <x v="2"/>
    <n v="1"/>
  </r>
  <r>
    <s v="T003649"/>
    <x v="3460"/>
    <d v="2026-06-13T21:43:00"/>
    <x v="3"/>
    <s v="Chat"/>
    <x v="1"/>
    <s v="A055"/>
    <x v="1"/>
    <n v="24"/>
    <n v="8.8000000000000007"/>
    <x v="1"/>
    <s v="No"/>
    <s v="No"/>
    <m/>
    <s v="Closed"/>
    <s v="June"/>
    <x v="5"/>
    <n v="2026"/>
    <s v="Yes"/>
    <n v="1"/>
    <x v="1"/>
    <n v="1"/>
  </r>
  <r>
    <s v="T003650"/>
    <x v="3461"/>
    <d v="2026-06-14T16:53:00"/>
    <x v="2"/>
    <s v="Chat"/>
    <x v="2"/>
    <s v="A032"/>
    <x v="2"/>
    <n v="4"/>
    <n v="26.4"/>
    <x v="1"/>
    <s v="No"/>
    <s v="No"/>
    <n v="4"/>
    <s v="Closed"/>
    <s v="June"/>
    <x v="5"/>
    <n v="2026"/>
    <s v="No"/>
    <n v="0"/>
    <x v="2"/>
    <n v="1"/>
  </r>
  <r>
    <s v="T003651"/>
    <x v="3462"/>
    <d v="2026-06-13T22:35:00"/>
    <x v="1"/>
    <s v="Chat"/>
    <x v="0"/>
    <s v="A008"/>
    <x v="0"/>
    <n v="72"/>
    <n v="7.6"/>
    <x v="1"/>
    <s v="No"/>
    <s v="No"/>
    <m/>
    <s v="Closed"/>
    <s v="June"/>
    <x v="5"/>
    <n v="2026"/>
    <s v="Yes"/>
    <n v="1"/>
    <x v="2"/>
    <n v="1"/>
  </r>
  <r>
    <s v="T003652"/>
    <x v="3463"/>
    <d v="2026-06-15T01:37:00"/>
    <x v="0"/>
    <s v="Email"/>
    <x v="1"/>
    <s v="A032"/>
    <x v="2"/>
    <n v="24"/>
    <n v="34.6"/>
    <x v="0"/>
    <s v="No"/>
    <s v="No"/>
    <n v="3"/>
    <s v="Closed"/>
    <s v="June"/>
    <x v="5"/>
    <n v="2026"/>
    <s v="No"/>
    <n v="0"/>
    <x v="2"/>
    <n v="0"/>
  </r>
  <r>
    <s v="T003653"/>
    <x v="3464"/>
    <d v="2026-06-13T20:02:00"/>
    <x v="1"/>
    <s v="Chat"/>
    <x v="0"/>
    <s v="A046"/>
    <x v="1"/>
    <n v="72"/>
    <n v="3.2"/>
    <x v="0"/>
    <s v="Yes"/>
    <s v="No"/>
    <n v="5"/>
    <s v="Closed"/>
    <s v="June"/>
    <x v="5"/>
    <n v="2026"/>
    <s v="Yes"/>
    <n v="1"/>
    <x v="4"/>
    <n v="0"/>
  </r>
  <r>
    <s v="T003654"/>
    <x v="3465"/>
    <d v="2026-06-14T04:57:00"/>
    <x v="3"/>
    <s v="Chat"/>
    <x v="1"/>
    <s v="A037"/>
    <x v="1"/>
    <n v="24"/>
    <n v="11.3"/>
    <x v="1"/>
    <s v="No"/>
    <s v="No"/>
    <n v="4"/>
    <s v="Closed"/>
    <s v="June"/>
    <x v="5"/>
    <n v="2026"/>
    <s v="Yes"/>
    <n v="1"/>
    <x v="2"/>
    <n v="1"/>
  </r>
  <r>
    <s v="T003655"/>
    <x v="3466"/>
    <d v="2026-06-20T03:45:00"/>
    <x v="4"/>
    <s v="Field Visit"/>
    <x v="1"/>
    <s v="A053"/>
    <x v="1"/>
    <n v="24"/>
    <n v="153.80000000000001"/>
    <x v="0"/>
    <s v="Yes"/>
    <s v="No"/>
    <m/>
    <s v="Closed"/>
    <s v="June"/>
    <x v="5"/>
    <n v="2026"/>
    <s v="No"/>
    <n v="0"/>
    <x v="4"/>
    <n v="0"/>
  </r>
  <r>
    <s v="T003656"/>
    <x v="3467"/>
    <d v="2026-06-14T14:23:00"/>
    <x v="1"/>
    <s v="Phone"/>
    <x v="1"/>
    <s v="A005"/>
    <x v="0"/>
    <n v="24"/>
    <n v="20.100000000000001"/>
    <x v="0"/>
    <s v="Yes"/>
    <s v="No"/>
    <n v="3"/>
    <s v="Closed"/>
    <s v="June"/>
    <x v="5"/>
    <n v="2026"/>
    <s v="Yes"/>
    <n v="1"/>
    <x v="1"/>
    <n v="0"/>
  </r>
  <r>
    <s v="T003657"/>
    <x v="3468"/>
    <d v="2026-06-14T14:13:00"/>
    <x v="5"/>
    <s v="Phone"/>
    <x v="0"/>
    <s v="A010"/>
    <x v="0"/>
    <n v="72"/>
    <n v="17.8"/>
    <x v="1"/>
    <s v="No"/>
    <s v="No"/>
    <m/>
    <s v="Closed"/>
    <s v="June"/>
    <x v="5"/>
    <n v="2026"/>
    <s v="Yes"/>
    <n v="1"/>
    <x v="1"/>
    <n v="1"/>
  </r>
  <r>
    <s v="T003658"/>
    <x v="3469"/>
    <d v="2026-06-19T19:58:00"/>
    <x v="4"/>
    <s v="Email"/>
    <x v="1"/>
    <s v="A059"/>
    <x v="1"/>
    <n v="24"/>
    <n v="140.1"/>
    <x v="0"/>
    <s v="No"/>
    <s v="No"/>
    <n v="2"/>
    <s v="Closed"/>
    <s v="June"/>
    <x v="5"/>
    <n v="2026"/>
    <s v="No"/>
    <n v="0"/>
    <x v="1"/>
    <n v="0"/>
  </r>
  <r>
    <s v="T003659"/>
    <x v="3469"/>
    <d v="2026-06-14T06:58:00"/>
    <x v="1"/>
    <s v="Phone"/>
    <x v="0"/>
    <s v="A017"/>
    <x v="2"/>
    <n v="72"/>
    <n v="7.1"/>
    <x v="1"/>
    <s v="No"/>
    <s v="No"/>
    <n v="4"/>
    <s v="Closed"/>
    <s v="June"/>
    <x v="5"/>
    <n v="2026"/>
    <s v="Yes"/>
    <n v="1"/>
    <x v="1"/>
    <n v="1"/>
  </r>
  <r>
    <s v="T003660"/>
    <x v="3470"/>
    <d v="2026-06-14T09:24:00"/>
    <x v="5"/>
    <s v="Chat"/>
    <x v="1"/>
    <s v="A001"/>
    <x v="0"/>
    <n v="24"/>
    <n v="5.7"/>
    <x v="0"/>
    <s v="Yes"/>
    <s v="No"/>
    <m/>
    <s v="Closed"/>
    <s v="June"/>
    <x v="5"/>
    <n v="2026"/>
    <s v="Yes"/>
    <n v="1"/>
    <x v="1"/>
    <n v="0"/>
  </r>
  <r>
    <s v="T003661"/>
    <x v="3471"/>
    <d v="2026-06-15T05:36:00"/>
    <x v="6"/>
    <s v="Email"/>
    <x v="2"/>
    <s v="A023"/>
    <x v="2"/>
    <n v="4"/>
    <n v="23.5"/>
    <x v="0"/>
    <s v="No"/>
    <s v="No"/>
    <n v="2"/>
    <s v="Closed"/>
    <s v="June"/>
    <x v="5"/>
    <n v="2026"/>
    <s v="No"/>
    <n v="0"/>
    <x v="3"/>
    <n v="0"/>
  </r>
  <r>
    <s v="T003662"/>
    <x v="3472"/>
    <d v="2026-06-14T14:03:00"/>
    <x v="2"/>
    <s v="Phone"/>
    <x v="1"/>
    <s v="A052"/>
    <x v="1"/>
    <n v="24"/>
    <n v="7"/>
    <x v="0"/>
    <s v="No"/>
    <s v="No"/>
    <m/>
    <s v="Closed"/>
    <s v="June"/>
    <x v="5"/>
    <n v="2026"/>
    <s v="Yes"/>
    <n v="1"/>
    <x v="2"/>
    <n v="0"/>
  </r>
  <r>
    <s v="T003663"/>
    <x v="3473"/>
    <d v="2026-06-14T13:23:00"/>
    <x v="1"/>
    <s v="Chat"/>
    <x v="1"/>
    <s v="A019"/>
    <x v="2"/>
    <n v="24"/>
    <n v="6"/>
    <x v="1"/>
    <s v="No"/>
    <s v="No"/>
    <n v="4"/>
    <s v="Closed"/>
    <s v="June"/>
    <x v="5"/>
    <n v="2026"/>
    <s v="Yes"/>
    <n v="1"/>
    <x v="1"/>
    <n v="1"/>
  </r>
  <r>
    <s v="T003664"/>
    <x v="3474"/>
    <d v="2026-06-14T12:53:00"/>
    <x v="1"/>
    <s v="Chat"/>
    <x v="1"/>
    <s v="A007"/>
    <x v="0"/>
    <n v="24"/>
    <n v="4.2"/>
    <x v="1"/>
    <s v="No"/>
    <s v="No"/>
    <n v="4"/>
    <s v="Closed"/>
    <s v="June"/>
    <x v="5"/>
    <n v="2026"/>
    <s v="Yes"/>
    <n v="1"/>
    <x v="0"/>
    <n v="1"/>
  </r>
  <r>
    <s v="T003665"/>
    <x v="3475"/>
    <d v="2026-06-16T12:44:00"/>
    <x v="4"/>
    <s v="Field Visit"/>
    <x v="2"/>
    <s v="A020"/>
    <x v="2"/>
    <n v="4"/>
    <n v="52"/>
    <x v="0"/>
    <s v="No"/>
    <s v="Yes"/>
    <m/>
    <s v="Closed"/>
    <s v="June"/>
    <x v="5"/>
    <n v="2026"/>
    <s v="No"/>
    <n v="0"/>
    <x v="1"/>
    <n v="0"/>
  </r>
  <r>
    <s v="T003666"/>
    <x v="3476"/>
    <d v="2026-06-14T22:35:00"/>
    <x v="1"/>
    <s v="Phone"/>
    <x v="2"/>
    <s v="A005"/>
    <x v="0"/>
    <n v="4"/>
    <n v="13"/>
    <x v="1"/>
    <s v="No"/>
    <s v="No"/>
    <n v="5"/>
    <s v="Closed"/>
    <s v="June"/>
    <x v="5"/>
    <n v="2026"/>
    <s v="No"/>
    <n v="0"/>
    <x v="2"/>
    <n v="1"/>
  </r>
  <r>
    <s v="T003667"/>
    <x v="3477"/>
    <d v="2026-06-16T20:06:00"/>
    <x v="4"/>
    <s v="Field Visit"/>
    <x v="0"/>
    <s v="A050"/>
    <x v="1"/>
    <n v="72"/>
    <n v="56.9"/>
    <x v="0"/>
    <s v="Yes"/>
    <s v="No"/>
    <n v="4"/>
    <s v="Closed"/>
    <s v="June"/>
    <x v="5"/>
    <n v="2026"/>
    <s v="Yes"/>
    <n v="1"/>
    <x v="0"/>
    <n v="0"/>
  </r>
  <r>
    <s v="T003668"/>
    <x v="3478"/>
    <d v="2026-06-15T05:47:00"/>
    <x v="5"/>
    <s v="Email"/>
    <x v="1"/>
    <s v="A018"/>
    <x v="2"/>
    <n v="24"/>
    <n v="18.2"/>
    <x v="1"/>
    <s v="No"/>
    <s v="No"/>
    <m/>
    <s v="Closed"/>
    <s v="June"/>
    <x v="5"/>
    <n v="2026"/>
    <s v="Yes"/>
    <n v="1"/>
    <x v="4"/>
    <n v="1"/>
  </r>
  <r>
    <s v="T003669"/>
    <x v="3479"/>
    <d v="2026-06-16T08:14:00"/>
    <x v="0"/>
    <s v="Chat"/>
    <x v="0"/>
    <s v="A041"/>
    <x v="1"/>
    <n v="72"/>
    <n v="44.2"/>
    <x v="1"/>
    <s v="No"/>
    <s v="No"/>
    <n v="5"/>
    <s v="Closed"/>
    <s v="June"/>
    <x v="5"/>
    <n v="2026"/>
    <s v="Yes"/>
    <n v="1"/>
    <x v="2"/>
    <n v="1"/>
  </r>
  <r>
    <s v="T003670"/>
    <x v="3480"/>
    <d v="2026-06-15T13:12:00"/>
    <x v="3"/>
    <s v="Phone"/>
    <x v="1"/>
    <s v="A059"/>
    <x v="1"/>
    <n v="24"/>
    <n v="22.8"/>
    <x v="1"/>
    <s v="No"/>
    <s v="No"/>
    <n v="5"/>
    <s v="Closed"/>
    <s v="June"/>
    <x v="5"/>
    <n v="2026"/>
    <s v="Yes"/>
    <n v="1"/>
    <x v="1"/>
    <n v="1"/>
  </r>
  <r>
    <s v="T003671"/>
    <x v="3481"/>
    <d v="2026-06-14T18:39:00"/>
    <x v="1"/>
    <s v="Phone"/>
    <x v="2"/>
    <s v="A026"/>
    <x v="2"/>
    <n v="4"/>
    <n v="3.5"/>
    <x v="1"/>
    <s v="No"/>
    <s v="No"/>
    <n v="5"/>
    <s v="Closed"/>
    <s v="June"/>
    <x v="5"/>
    <n v="2026"/>
    <s v="Yes"/>
    <n v="1"/>
    <x v="1"/>
    <n v="1"/>
  </r>
  <r>
    <s v="T003672"/>
    <x v="3482"/>
    <d v="2026-06-14T21:48:00"/>
    <x v="1"/>
    <s v="Phone"/>
    <x v="1"/>
    <s v="A006"/>
    <x v="0"/>
    <n v="24"/>
    <n v="5.7"/>
    <x v="1"/>
    <s v="No"/>
    <s v="No"/>
    <m/>
    <s v="Closed"/>
    <s v="June"/>
    <x v="5"/>
    <n v="2026"/>
    <s v="Yes"/>
    <n v="1"/>
    <x v="4"/>
    <n v="1"/>
  </r>
  <r>
    <s v="T003673"/>
    <x v="3483"/>
    <d v="2026-06-15T12:46:00"/>
    <x v="5"/>
    <s v="Field Visit"/>
    <x v="0"/>
    <s v="A059"/>
    <x v="1"/>
    <n v="72"/>
    <n v="20.3"/>
    <x v="1"/>
    <s v="No"/>
    <s v="No"/>
    <n v="5"/>
    <s v="Closed"/>
    <s v="June"/>
    <x v="5"/>
    <n v="2026"/>
    <s v="Yes"/>
    <n v="1"/>
    <x v="2"/>
    <n v="1"/>
  </r>
  <r>
    <s v="T003674"/>
    <x v="3484"/>
    <d v="2026-06-14T19:05:00"/>
    <x v="2"/>
    <s v="Chat"/>
    <x v="1"/>
    <s v="A008"/>
    <x v="0"/>
    <n v="24"/>
    <n v="1.7"/>
    <x v="1"/>
    <s v="No"/>
    <s v="No"/>
    <m/>
    <s v="Closed"/>
    <s v="June"/>
    <x v="5"/>
    <n v="2026"/>
    <s v="Yes"/>
    <n v="1"/>
    <x v="4"/>
    <n v="1"/>
  </r>
  <r>
    <s v="T003675"/>
    <x v="3485"/>
    <d v="2026-06-14T20:51:00"/>
    <x v="6"/>
    <s v="Phone"/>
    <x v="2"/>
    <s v="A023"/>
    <x v="2"/>
    <n v="4"/>
    <n v="3.3"/>
    <x v="1"/>
    <s v="No"/>
    <s v="No"/>
    <n v="5"/>
    <s v="Closed"/>
    <s v="June"/>
    <x v="5"/>
    <n v="2026"/>
    <s v="Yes"/>
    <n v="1"/>
    <x v="1"/>
    <n v="1"/>
  </r>
  <r>
    <s v="T003676"/>
    <x v="3486"/>
    <d v="2026-06-17T12:39:00"/>
    <x v="0"/>
    <s v="Field Visit"/>
    <x v="0"/>
    <s v="A017"/>
    <x v="2"/>
    <n v="72"/>
    <n v="66.900000000000006"/>
    <x v="1"/>
    <s v="No"/>
    <s v="No"/>
    <m/>
    <s v="Closed"/>
    <s v="June"/>
    <x v="5"/>
    <n v="2026"/>
    <s v="Yes"/>
    <n v="1"/>
    <x v="2"/>
    <n v="1"/>
  </r>
  <r>
    <s v="T003677"/>
    <x v="3487"/>
    <d v="2026-06-15T05:56:00"/>
    <x v="6"/>
    <s v="Phone"/>
    <x v="0"/>
    <s v="A058"/>
    <x v="1"/>
    <n v="72"/>
    <n v="7.1"/>
    <x v="1"/>
    <s v="No"/>
    <s v="No"/>
    <m/>
    <s v="Closed"/>
    <s v="June"/>
    <x v="5"/>
    <n v="2026"/>
    <s v="Yes"/>
    <n v="1"/>
    <x v="4"/>
    <n v="1"/>
  </r>
  <r>
    <s v="T003678"/>
    <x v="3488"/>
    <d v="2026-06-15T08:06:00"/>
    <x v="1"/>
    <s v="Phone"/>
    <x v="0"/>
    <s v="A008"/>
    <x v="0"/>
    <n v="72"/>
    <n v="4.2"/>
    <x v="1"/>
    <s v="No"/>
    <s v="No"/>
    <m/>
    <s v="Closed"/>
    <s v="June"/>
    <x v="5"/>
    <n v="2026"/>
    <s v="Yes"/>
    <n v="1"/>
    <x v="4"/>
    <n v="1"/>
  </r>
  <r>
    <s v="T003679"/>
    <x v="3489"/>
    <d v="2026-06-15T08:30:00"/>
    <x v="3"/>
    <s v="Chat"/>
    <x v="0"/>
    <s v="A030"/>
    <x v="2"/>
    <n v="72"/>
    <n v="2.7"/>
    <x v="1"/>
    <s v="No"/>
    <s v="Yes"/>
    <n v="4"/>
    <s v="Closed"/>
    <s v="June"/>
    <x v="5"/>
    <n v="2026"/>
    <s v="Yes"/>
    <n v="1"/>
    <x v="4"/>
    <n v="1"/>
  </r>
  <r>
    <s v="T003680"/>
    <x v="3490"/>
    <d v="2026-06-15T16:46:00"/>
    <x v="2"/>
    <s v="Phone"/>
    <x v="1"/>
    <s v="A009"/>
    <x v="0"/>
    <n v="24"/>
    <n v="7.9"/>
    <x v="1"/>
    <s v="No"/>
    <s v="No"/>
    <n v="4"/>
    <s v="Closed"/>
    <s v="June"/>
    <x v="5"/>
    <n v="2026"/>
    <s v="Yes"/>
    <n v="1"/>
    <x v="1"/>
    <n v="1"/>
  </r>
  <r>
    <s v="T003681"/>
    <x v="3491"/>
    <d v="2026-06-15T23:53:00"/>
    <x v="0"/>
    <s v="Phone"/>
    <x v="1"/>
    <s v="A009"/>
    <x v="0"/>
    <n v="24"/>
    <n v="14.3"/>
    <x v="1"/>
    <s v="No"/>
    <s v="No"/>
    <m/>
    <s v="Closed"/>
    <s v="June"/>
    <x v="5"/>
    <n v="2026"/>
    <s v="Yes"/>
    <n v="1"/>
    <x v="2"/>
    <n v="1"/>
  </r>
  <r>
    <s v="T003682"/>
    <x v="3492"/>
    <d v="2026-06-15T17:19:00"/>
    <x v="2"/>
    <s v="Email"/>
    <x v="2"/>
    <s v="A040"/>
    <x v="1"/>
    <n v="4"/>
    <n v="7.1"/>
    <x v="0"/>
    <s v="Yes"/>
    <s v="No"/>
    <n v="4"/>
    <s v="Closed"/>
    <s v="June"/>
    <x v="5"/>
    <n v="2026"/>
    <s v="No"/>
    <n v="0"/>
    <x v="4"/>
    <n v="0"/>
  </r>
  <r>
    <s v="T003683"/>
    <x v="3493"/>
    <d v="2026-06-16T05:12:00"/>
    <x v="6"/>
    <s v="Field Visit"/>
    <x v="2"/>
    <s v="A024"/>
    <x v="2"/>
    <n v="4"/>
    <n v="18.7"/>
    <x v="1"/>
    <s v="No"/>
    <s v="No"/>
    <n v="3"/>
    <s v="Closed"/>
    <s v="June"/>
    <x v="5"/>
    <n v="2026"/>
    <s v="No"/>
    <n v="0"/>
    <x v="4"/>
    <n v="1"/>
  </r>
  <r>
    <s v="T003684"/>
    <x v="3494"/>
    <d v="2026-06-15T12:55:00"/>
    <x v="6"/>
    <s v="Chat"/>
    <x v="2"/>
    <s v="A011"/>
    <x v="0"/>
    <n v="4"/>
    <n v="1.5"/>
    <x v="0"/>
    <s v="No"/>
    <s v="No"/>
    <m/>
    <s v="Closed"/>
    <s v="June"/>
    <x v="5"/>
    <n v="2026"/>
    <s v="Yes"/>
    <n v="1"/>
    <x v="1"/>
    <n v="0"/>
  </r>
  <r>
    <s v="T003685"/>
    <x v="3495"/>
    <d v="2026-06-16T07:00:00"/>
    <x v="5"/>
    <s v="Field Visit"/>
    <x v="1"/>
    <s v="A015"/>
    <x v="0"/>
    <n v="24"/>
    <n v="19.5"/>
    <x v="0"/>
    <s v="Yes"/>
    <s v="No"/>
    <m/>
    <s v="Closed"/>
    <s v="June"/>
    <x v="5"/>
    <n v="2026"/>
    <s v="Yes"/>
    <n v="1"/>
    <x v="4"/>
    <n v="0"/>
  </r>
  <r>
    <s v="T003686"/>
    <x v="3496"/>
    <d v="2026-06-15T16:19:00"/>
    <x v="6"/>
    <s v="Phone"/>
    <x v="2"/>
    <s v="A039"/>
    <x v="1"/>
    <n v="4"/>
    <n v="4.3"/>
    <x v="1"/>
    <s v="No"/>
    <s v="No"/>
    <n v="4"/>
    <s v="Closed"/>
    <s v="June"/>
    <x v="5"/>
    <n v="2026"/>
    <s v="No"/>
    <n v="0"/>
    <x v="4"/>
    <n v="1"/>
  </r>
  <r>
    <s v="T003687"/>
    <x v="3497"/>
    <d v="2026-06-15T22:14:00"/>
    <x v="6"/>
    <s v="Phone"/>
    <x v="2"/>
    <s v="A058"/>
    <x v="1"/>
    <n v="4"/>
    <n v="10.1"/>
    <x v="1"/>
    <s v="No"/>
    <s v="Yes"/>
    <m/>
    <s v="Closed"/>
    <s v="June"/>
    <x v="5"/>
    <n v="2026"/>
    <s v="No"/>
    <n v="0"/>
    <x v="2"/>
    <n v="1"/>
  </r>
  <r>
    <s v="T003688"/>
    <x v="3498"/>
    <d v="2026-06-15T23:27:00"/>
    <x v="5"/>
    <s v="Field Visit"/>
    <x v="2"/>
    <s v="A028"/>
    <x v="2"/>
    <n v="4"/>
    <n v="10.9"/>
    <x v="0"/>
    <s v="Yes"/>
    <s v="No"/>
    <m/>
    <s v="Closed"/>
    <s v="June"/>
    <x v="5"/>
    <n v="2026"/>
    <s v="No"/>
    <n v="0"/>
    <x v="3"/>
    <n v="0"/>
  </r>
  <r>
    <s v="T003689"/>
    <x v="3499"/>
    <d v="2026-06-15T14:00:00"/>
    <x v="6"/>
    <s v="Chat"/>
    <x v="2"/>
    <s v="A041"/>
    <x v="1"/>
    <n v="4"/>
    <n v="1.3"/>
    <x v="1"/>
    <s v="No"/>
    <s v="No"/>
    <n v="5"/>
    <s v="Closed"/>
    <s v="June"/>
    <x v="5"/>
    <n v="2026"/>
    <s v="Yes"/>
    <n v="1"/>
    <x v="3"/>
    <n v="1"/>
  </r>
  <r>
    <s v="T003690"/>
    <x v="3500"/>
    <d v="2026-06-16T17:46:00"/>
    <x v="6"/>
    <s v="Field Visit"/>
    <x v="1"/>
    <s v="A015"/>
    <x v="0"/>
    <n v="24"/>
    <n v="28.9"/>
    <x v="0"/>
    <s v="No"/>
    <s v="No"/>
    <n v="5"/>
    <s v="Closed"/>
    <s v="June"/>
    <x v="5"/>
    <n v="2026"/>
    <s v="No"/>
    <n v="0"/>
    <x v="1"/>
    <n v="0"/>
  </r>
  <r>
    <s v="T003691"/>
    <x v="3501"/>
    <d v="2026-06-19T00:50:00"/>
    <x v="4"/>
    <s v="Email"/>
    <x v="2"/>
    <s v="A018"/>
    <x v="2"/>
    <n v="4"/>
    <n v="83.8"/>
    <x v="0"/>
    <s v="No"/>
    <s v="No"/>
    <m/>
    <s v="Closed"/>
    <s v="June"/>
    <x v="5"/>
    <n v="2026"/>
    <s v="No"/>
    <n v="0"/>
    <x v="4"/>
    <n v="0"/>
  </r>
  <r>
    <s v="T003692"/>
    <x v="3502"/>
    <d v="2026-06-16T00:39:00"/>
    <x v="2"/>
    <s v="Phone"/>
    <x v="1"/>
    <s v="A015"/>
    <x v="0"/>
    <n v="24"/>
    <n v="10.4"/>
    <x v="1"/>
    <s v="No"/>
    <s v="No"/>
    <n v="5"/>
    <s v="Closed"/>
    <s v="June"/>
    <x v="5"/>
    <n v="2026"/>
    <s v="Yes"/>
    <n v="1"/>
    <x v="4"/>
    <n v="1"/>
  </r>
  <r>
    <s v="T003693"/>
    <x v="3503"/>
    <d v="2026-06-15T20:09:00"/>
    <x v="0"/>
    <s v="Chat"/>
    <x v="1"/>
    <s v="A057"/>
    <x v="1"/>
    <n v="24"/>
    <n v="5.6"/>
    <x v="0"/>
    <s v="No"/>
    <s v="No"/>
    <m/>
    <s v="Closed"/>
    <s v="June"/>
    <x v="5"/>
    <n v="2026"/>
    <s v="Yes"/>
    <n v="1"/>
    <x v="4"/>
    <n v="0"/>
  </r>
  <r>
    <s v="T003694"/>
    <x v="3504"/>
    <d v="2026-06-16T07:49:00"/>
    <x v="3"/>
    <s v="Phone"/>
    <x v="1"/>
    <s v="A048"/>
    <x v="1"/>
    <n v="24"/>
    <n v="16.8"/>
    <x v="1"/>
    <s v="No"/>
    <s v="Yes"/>
    <n v="4"/>
    <s v="Closed"/>
    <s v="June"/>
    <x v="5"/>
    <n v="2026"/>
    <s v="Yes"/>
    <n v="1"/>
    <x v="1"/>
    <n v="1"/>
  </r>
  <r>
    <s v="T003695"/>
    <x v="3505"/>
    <d v="2026-06-15T19:49:00"/>
    <x v="1"/>
    <s v="Phone"/>
    <x v="2"/>
    <s v="A030"/>
    <x v="2"/>
    <n v="4"/>
    <n v="4.5"/>
    <x v="1"/>
    <s v="No"/>
    <s v="No"/>
    <n v="5"/>
    <s v="Closed"/>
    <s v="June"/>
    <x v="5"/>
    <n v="2026"/>
    <s v="No"/>
    <n v="0"/>
    <x v="3"/>
    <n v="1"/>
  </r>
  <r>
    <s v="T003696"/>
    <x v="3506"/>
    <d v="2026-06-17T06:40:00"/>
    <x v="0"/>
    <s v="Email"/>
    <x v="1"/>
    <s v="A057"/>
    <x v="1"/>
    <n v="24"/>
    <n v="38.5"/>
    <x v="1"/>
    <s v="No"/>
    <s v="No"/>
    <n v="4"/>
    <s v="Closed"/>
    <s v="June"/>
    <x v="5"/>
    <n v="2026"/>
    <s v="No"/>
    <n v="0"/>
    <x v="2"/>
    <n v="1"/>
  </r>
  <r>
    <s v="T003697"/>
    <x v="3507"/>
    <d v="2026-06-16T03:03:00"/>
    <x v="1"/>
    <s v="Phone"/>
    <x v="1"/>
    <s v="A009"/>
    <x v="0"/>
    <n v="24"/>
    <n v="10.6"/>
    <x v="1"/>
    <s v="No"/>
    <s v="No"/>
    <n v="4"/>
    <s v="Closed"/>
    <s v="June"/>
    <x v="5"/>
    <n v="2026"/>
    <s v="Yes"/>
    <n v="1"/>
    <x v="3"/>
    <n v="1"/>
  </r>
  <r>
    <s v="T003698"/>
    <x v="3508"/>
    <d v="2026-06-15T21:50:00"/>
    <x v="1"/>
    <s v="Phone"/>
    <x v="0"/>
    <s v="A002"/>
    <x v="0"/>
    <n v="72"/>
    <n v="4.5999999999999996"/>
    <x v="1"/>
    <s v="No"/>
    <s v="No"/>
    <n v="5"/>
    <s v="Closed"/>
    <s v="June"/>
    <x v="5"/>
    <n v="2026"/>
    <s v="Yes"/>
    <n v="1"/>
    <x v="2"/>
    <n v="1"/>
  </r>
  <r>
    <s v="T003699"/>
    <x v="3509"/>
    <d v="2026-06-16T03:14:00"/>
    <x v="2"/>
    <s v="Chat"/>
    <x v="0"/>
    <s v="A037"/>
    <x v="1"/>
    <n v="72"/>
    <n v="8.5"/>
    <x v="1"/>
    <s v="No"/>
    <s v="No"/>
    <n v="4"/>
    <s v="Closed"/>
    <s v="June"/>
    <x v="5"/>
    <n v="2026"/>
    <s v="Yes"/>
    <n v="1"/>
    <x v="3"/>
    <n v="1"/>
  </r>
  <r>
    <s v="T003700"/>
    <x v="3510"/>
    <d v="2026-06-16T01:54:00"/>
    <x v="5"/>
    <s v="Chat"/>
    <x v="2"/>
    <s v="A030"/>
    <x v="2"/>
    <n v="4"/>
    <n v="6.8"/>
    <x v="1"/>
    <s v="No"/>
    <s v="No"/>
    <n v="4"/>
    <s v="Closed"/>
    <s v="June"/>
    <x v="5"/>
    <n v="2026"/>
    <s v="No"/>
    <n v="0"/>
    <x v="0"/>
    <n v="1"/>
  </r>
  <r>
    <s v="T003701"/>
    <x v="3511"/>
    <d v="2026-06-16T07:38:00"/>
    <x v="2"/>
    <s v="Phone"/>
    <x v="1"/>
    <s v="A056"/>
    <x v="1"/>
    <n v="24"/>
    <n v="12.1"/>
    <x v="1"/>
    <s v="No"/>
    <s v="No"/>
    <m/>
    <s v="Closed"/>
    <s v="June"/>
    <x v="5"/>
    <n v="2026"/>
    <s v="Yes"/>
    <n v="1"/>
    <x v="3"/>
    <n v="1"/>
  </r>
  <r>
    <s v="T003702"/>
    <x v="3512"/>
    <d v="2026-06-16T03:44:00"/>
    <x v="3"/>
    <s v="Chat"/>
    <x v="1"/>
    <s v="A025"/>
    <x v="2"/>
    <n v="24"/>
    <n v="7.9"/>
    <x v="1"/>
    <s v="No"/>
    <s v="No"/>
    <n v="5"/>
    <s v="Closed"/>
    <s v="June"/>
    <x v="5"/>
    <n v="2026"/>
    <s v="Yes"/>
    <n v="1"/>
    <x v="3"/>
    <n v="1"/>
  </r>
  <r>
    <s v="T003703"/>
    <x v="3513"/>
    <d v="2026-06-16T02:15:00"/>
    <x v="1"/>
    <s v="Phone"/>
    <x v="0"/>
    <s v="A042"/>
    <x v="1"/>
    <n v="72"/>
    <n v="5.8"/>
    <x v="1"/>
    <s v="No"/>
    <s v="No"/>
    <m/>
    <s v="Closed"/>
    <s v="June"/>
    <x v="5"/>
    <n v="2026"/>
    <s v="Yes"/>
    <n v="1"/>
    <x v="4"/>
    <n v="1"/>
  </r>
  <r>
    <s v="T003704"/>
    <x v="3514"/>
    <d v="2026-06-16T17:57:00"/>
    <x v="6"/>
    <s v="Field Visit"/>
    <x v="2"/>
    <s v="A022"/>
    <x v="2"/>
    <n v="4"/>
    <n v="21.3"/>
    <x v="1"/>
    <s v="No"/>
    <s v="No"/>
    <n v="4"/>
    <s v="Closed"/>
    <s v="June"/>
    <x v="5"/>
    <n v="2026"/>
    <s v="No"/>
    <n v="0"/>
    <x v="1"/>
    <n v="1"/>
  </r>
  <r>
    <s v="T003705"/>
    <x v="3515"/>
    <d v="2026-06-16T07:30:00"/>
    <x v="0"/>
    <s v="Email"/>
    <x v="1"/>
    <s v="A008"/>
    <x v="0"/>
    <n v="24"/>
    <n v="10.5"/>
    <x v="1"/>
    <s v="No"/>
    <s v="No"/>
    <n v="5"/>
    <s v="Closed"/>
    <s v="June"/>
    <x v="5"/>
    <n v="2026"/>
    <s v="Yes"/>
    <n v="1"/>
    <x v="3"/>
    <n v="1"/>
  </r>
  <r>
    <s v="T003706"/>
    <x v="3516"/>
    <d v="2026-06-16T07:41:00"/>
    <x v="0"/>
    <s v="Phone"/>
    <x v="1"/>
    <s v="A043"/>
    <x v="1"/>
    <n v="24"/>
    <n v="4.0999999999999996"/>
    <x v="1"/>
    <s v="No"/>
    <s v="No"/>
    <n v="5"/>
    <s v="Closed"/>
    <s v="June"/>
    <x v="5"/>
    <n v="2026"/>
    <s v="Yes"/>
    <n v="1"/>
    <x v="4"/>
    <n v="1"/>
  </r>
  <r>
    <s v="T003707"/>
    <x v="3517"/>
    <d v="2026-06-20T04:20:00"/>
    <x v="4"/>
    <s v="Email"/>
    <x v="2"/>
    <s v="A039"/>
    <x v="1"/>
    <n v="4"/>
    <n v="94.9"/>
    <x v="1"/>
    <s v="No"/>
    <s v="No"/>
    <m/>
    <s v="Closed"/>
    <s v="June"/>
    <x v="5"/>
    <n v="2026"/>
    <s v="No"/>
    <n v="0"/>
    <x v="2"/>
    <n v="1"/>
  </r>
  <r>
    <s v="T003708"/>
    <x v="3518"/>
    <d v="2026-06-17T10:00:00"/>
    <x v="2"/>
    <s v="Chat"/>
    <x v="2"/>
    <s v="A048"/>
    <x v="1"/>
    <n v="4"/>
    <n v="26"/>
    <x v="1"/>
    <s v="No"/>
    <s v="No"/>
    <n v="3"/>
    <s v="Closed"/>
    <s v="June"/>
    <x v="5"/>
    <n v="2026"/>
    <s v="No"/>
    <n v="0"/>
    <x v="4"/>
    <n v="1"/>
  </r>
  <r>
    <s v="T003709"/>
    <x v="3519"/>
    <d v="2026-06-16T13:37:00"/>
    <x v="5"/>
    <s v="Email"/>
    <x v="2"/>
    <s v="A016"/>
    <x v="2"/>
    <n v="4"/>
    <n v="5.5"/>
    <x v="1"/>
    <s v="No"/>
    <s v="No"/>
    <n v="4"/>
    <s v="Closed"/>
    <s v="June"/>
    <x v="5"/>
    <n v="2026"/>
    <s v="No"/>
    <n v="0"/>
    <x v="4"/>
    <n v="1"/>
  </r>
  <r>
    <s v="T003710"/>
    <x v="3520"/>
    <d v="2026-06-17T00:41:00"/>
    <x v="0"/>
    <s v="Phone"/>
    <x v="0"/>
    <s v="A007"/>
    <x v="0"/>
    <n v="72"/>
    <n v="16.2"/>
    <x v="1"/>
    <s v="No"/>
    <s v="No"/>
    <m/>
    <s v="Closed"/>
    <s v="June"/>
    <x v="5"/>
    <n v="2026"/>
    <s v="Yes"/>
    <n v="1"/>
    <x v="2"/>
    <n v="1"/>
  </r>
  <r>
    <s v="T003711"/>
    <x v="3521"/>
    <d v="2026-06-16T20:21:00"/>
    <x v="2"/>
    <s v="Phone"/>
    <x v="1"/>
    <s v="A017"/>
    <x v="2"/>
    <n v="24"/>
    <n v="11.7"/>
    <x v="1"/>
    <s v="No"/>
    <s v="No"/>
    <n v="5"/>
    <s v="Closed"/>
    <s v="June"/>
    <x v="5"/>
    <n v="2026"/>
    <s v="Yes"/>
    <n v="1"/>
    <x v="2"/>
    <n v="1"/>
  </r>
  <r>
    <s v="T003712"/>
    <x v="3522"/>
    <d v="2026-06-16T18:25:00"/>
    <x v="2"/>
    <s v="Phone"/>
    <x v="2"/>
    <s v="A046"/>
    <x v="1"/>
    <n v="4"/>
    <n v="8.1999999999999993"/>
    <x v="1"/>
    <s v="No"/>
    <s v="No"/>
    <n v="4"/>
    <s v="Closed"/>
    <s v="June"/>
    <x v="5"/>
    <n v="2026"/>
    <s v="No"/>
    <n v="0"/>
    <x v="2"/>
    <n v="1"/>
  </r>
  <r>
    <s v="T003713"/>
    <x v="3523"/>
    <d v="2026-06-16T16:01:00"/>
    <x v="1"/>
    <s v="Phone"/>
    <x v="1"/>
    <s v="A052"/>
    <x v="1"/>
    <n v="24"/>
    <n v="3.2"/>
    <x v="1"/>
    <s v="No"/>
    <s v="Yes"/>
    <n v="4"/>
    <s v="Closed"/>
    <s v="June"/>
    <x v="5"/>
    <n v="2026"/>
    <s v="Yes"/>
    <n v="1"/>
    <x v="0"/>
    <n v="1"/>
  </r>
  <r>
    <s v="T003714"/>
    <x v="3524"/>
    <d v="2026-06-17T10:33:00"/>
    <x v="6"/>
    <s v="Field Visit"/>
    <x v="1"/>
    <s v="A036"/>
    <x v="1"/>
    <n v="24"/>
    <n v="21.5"/>
    <x v="1"/>
    <s v="No"/>
    <s v="No"/>
    <m/>
    <s v="Closed"/>
    <s v="June"/>
    <x v="5"/>
    <n v="2026"/>
    <s v="Yes"/>
    <n v="1"/>
    <x v="4"/>
    <n v="1"/>
  </r>
  <r>
    <s v="T003715"/>
    <x v="3525"/>
    <d v="2026-06-17T03:10:00"/>
    <x v="3"/>
    <s v="Phone"/>
    <x v="0"/>
    <s v="A009"/>
    <x v="0"/>
    <n v="72"/>
    <n v="13.5"/>
    <x v="1"/>
    <s v="No"/>
    <s v="No"/>
    <n v="4"/>
    <s v="Closed"/>
    <s v="June"/>
    <x v="5"/>
    <n v="2026"/>
    <s v="Yes"/>
    <n v="1"/>
    <x v="0"/>
    <n v="1"/>
  </r>
  <r>
    <s v="T003716"/>
    <x v="3526"/>
    <d v="2026-06-16T22:53:00"/>
    <x v="1"/>
    <s v="Email"/>
    <x v="1"/>
    <s v="A033"/>
    <x v="2"/>
    <n v="24"/>
    <n v="8.9"/>
    <x v="1"/>
    <s v="No"/>
    <s v="No"/>
    <m/>
    <s v="Closed"/>
    <s v="June"/>
    <x v="5"/>
    <n v="2026"/>
    <s v="Yes"/>
    <n v="1"/>
    <x v="0"/>
    <n v="1"/>
  </r>
  <r>
    <s v="T003717"/>
    <x v="3527"/>
    <d v="2026-06-17T11:20:00"/>
    <x v="2"/>
    <s v="Field Visit"/>
    <x v="1"/>
    <s v="A059"/>
    <x v="1"/>
    <n v="24"/>
    <n v="21.1"/>
    <x v="1"/>
    <s v="No"/>
    <s v="No"/>
    <n v="5"/>
    <s v="Closed"/>
    <s v="June"/>
    <x v="5"/>
    <n v="2026"/>
    <s v="Yes"/>
    <n v="1"/>
    <x v="3"/>
    <n v="1"/>
  </r>
  <r>
    <s v="T003718"/>
    <x v="3528"/>
    <d v="2026-06-17T02:02:00"/>
    <x v="3"/>
    <s v="Phone"/>
    <x v="0"/>
    <s v="A024"/>
    <x v="2"/>
    <n v="72"/>
    <n v="11.1"/>
    <x v="1"/>
    <s v="No"/>
    <s v="No"/>
    <m/>
    <s v="Closed"/>
    <s v="June"/>
    <x v="5"/>
    <n v="2026"/>
    <s v="Yes"/>
    <n v="1"/>
    <x v="2"/>
    <n v="1"/>
  </r>
  <r>
    <s v="T003719"/>
    <x v="3529"/>
    <d v="2026-06-16T21:20:00"/>
    <x v="1"/>
    <s v="Phone"/>
    <x v="1"/>
    <s v="A035"/>
    <x v="2"/>
    <n v="24"/>
    <n v="6.1"/>
    <x v="1"/>
    <s v="No"/>
    <s v="No"/>
    <n v="5"/>
    <s v="Closed"/>
    <s v="June"/>
    <x v="5"/>
    <n v="2026"/>
    <s v="Yes"/>
    <n v="1"/>
    <x v="2"/>
    <n v="1"/>
  </r>
  <r>
    <s v="T003720"/>
    <x v="3530"/>
    <d v="2026-06-17T13:46:00"/>
    <x v="3"/>
    <s v="Field Visit"/>
    <x v="2"/>
    <s v="A018"/>
    <x v="2"/>
    <n v="4"/>
    <n v="22.5"/>
    <x v="1"/>
    <s v="No"/>
    <s v="No"/>
    <m/>
    <s v="Closed"/>
    <s v="June"/>
    <x v="5"/>
    <n v="2026"/>
    <s v="No"/>
    <n v="0"/>
    <x v="1"/>
    <n v="1"/>
  </r>
  <r>
    <s v="T003721"/>
    <x v="3531"/>
    <d v="2026-06-16T17:49:00"/>
    <x v="5"/>
    <s v="Phone"/>
    <x v="0"/>
    <s v="A031"/>
    <x v="2"/>
    <n v="72"/>
    <n v="2.1"/>
    <x v="1"/>
    <s v="No"/>
    <s v="No"/>
    <m/>
    <s v="Closed"/>
    <s v="June"/>
    <x v="5"/>
    <n v="2026"/>
    <s v="Yes"/>
    <n v="1"/>
    <x v="3"/>
    <n v="1"/>
  </r>
  <r>
    <s v="T003722"/>
    <x v="3532"/>
    <d v="2026-06-17T20:56:00"/>
    <x v="0"/>
    <s v="Field Visit"/>
    <x v="2"/>
    <s v="A022"/>
    <x v="2"/>
    <n v="4"/>
    <n v="29"/>
    <x v="1"/>
    <s v="No"/>
    <s v="No"/>
    <n v="4"/>
    <s v="Closed"/>
    <s v="June"/>
    <x v="5"/>
    <n v="2026"/>
    <s v="No"/>
    <n v="0"/>
    <x v="1"/>
    <n v="1"/>
  </r>
  <r>
    <s v="T003723"/>
    <x v="3533"/>
    <d v="2026-06-16T23:26:00"/>
    <x v="6"/>
    <s v="Chat"/>
    <x v="2"/>
    <s v="A033"/>
    <x v="2"/>
    <n v="4"/>
    <n v="7.1"/>
    <x v="0"/>
    <s v="Yes"/>
    <s v="No"/>
    <n v="3"/>
    <s v="Closed"/>
    <s v="June"/>
    <x v="5"/>
    <n v="2026"/>
    <s v="No"/>
    <n v="0"/>
    <x v="4"/>
    <n v="0"/>
  </r>
  <r>
    <s v="T003724"/>
    <x v="3534"/>
    <d v="2026-06-17T07:36:00"/>
    <x v="0"/>
    <s v="Phone"/>
    <x v="0"/>
    <s v="A019"/>
    <x v="2"/>
    <n v="72"/>
    <n v="14.3"/>
    <x v="0"/>
    <s v="Yes"/>
    <s v="Yes"/>
    <m/>
    <s v="Closed"/>
    <s v="June"/>
    <x v="5"/>
    <n v="2026"/>
    <s v="Yes"/>
    <n v="1"/>
    <x v="1"/>
    <n v="0"/>
  </r>
  <r>
    <s v="T003725"/>
    <x v="3535"/>
    <d v="2026-06-17T21:50:00"/>
    <x v="1"/>
    <s v="Email"/>
    <x v="0"/>
    <s v="A033"/>
    <x v="2"/>
    <n v="72"/>
    <n v="28.5"/>
    <x v="0"/>
    <s v="No"/>
    <s v="No"/>
    <n v="2"/>
    <s v="Closed"/>
    <s v="June"/>
    <x v="5"/>
    <n v="2026"/>
    <s v="Yes"/>
    <n v="1"/>
    <x v="3"/>
    <n v="0"/>
  </r>
  <r>
    <s v="T003726"/>
    <x v="3536"/>
    <d v="2026-06-17T05:00:00"/>
    <x v="6"/>
    <s v="Phone"/>
    <x v="2"/>
    <s v="A002"/>
    <x v="0"/>
    <n v="4"/>
    <n v="9.3000000000000007"/>
    <x v="1"/>
    <s v="No"/>
    <s v="No"/>
    <m/>
    <s v="Closed"/>
    <s v="June"/>
    <x v="5"/>
    <n v="2026"/>
    <s v="No"/>
    <n v="0"/>
    <x v="0"/>
    <n v="1"/>
  </r>
  <r>
    <s v="T003727"/>
    <x v="3537"/>
    <d v="2026-06-17T04:38:00"/>
    <x v="1"/>
    <s v="Phone"/>
    <x v="0"/>
    <s v="A006"/>
    <x v="0"/>
    <n v="72"/>
    <n v="4.4000000000000004"/>
    <x v="0"/>
    <s v="Yes"/>
    <s v="No"/>
    <n v="3"/>
    <s v="Closed"/>
    <s v="June"/>
    <x v="5"/>
    <n v="2026"/>
    <s v="Yes"/>
    <n v="1"/>
    <x v="3"/>
    <n v="0"/>
  </r>
  <r>
    <s v="T003728"/>
    <x v="3538"/>
    <d v="2026-06-18T05:52:00"/>
    <x v="3"/>
    <s v="Field Visit"/>
    <x v="1"/>
    <s v="A013"/>
    <x v="0"/>
    <n v="24"/>
    <n v="25.1"/>
    <x v="1"/>
    <s v="No"/>
    <s v="Yes"/>
    <n v="5"/>
    <s v="Closed"/>
    <s v="June"/>
    <x v="5"/>
    <n v="2026"/>
    <s v="No"/>
    <n v="0"/>
    <x v="1"/>
    <n v="1"/>
  </r>
  <r>
    <s v="T003729"/>
    <x v="3539"/>
    <d v="2026-06-17T20:19:00"/>
    <x v="5"/>
    <s v="Email"/>
    <x v="1"/>
    <s v="A007"/>
    <x v="0"/>
    <n v="24"/>
    <n v="11.1"/>
    <x v="0"/>
    <s v="Yes"/>
    <s v="No"/>
    <n v="3"/>
    <s v="Closed"/>
    <s v="June"/>
    <x v="5"/>
    <n v="2026"/>
    <s v="Yes"/>
    <n v="1"/>
    <x v="0"/>
    <n v="0"/>
  </r>
  <r>
    <s v="T003731"/>
    <x v="3540"/>
    <d v="2026-06-17T14:52:00"/>
    <x v="2"/>
    <s v="Chat"/>
    <x v="0"/>
    <s v="A034"/>
    <x v="2"/>
    <n v="72"/>
    <n v="5.3"/>
    <x v="1"/>
    <s v="No"/>
    <s v="No"/>
    <n v="4"/>
    <s v="Closed"/>
    <s v="June"/>
    <x v="5"/>
    <n v="2026"/>
    <s v="Yes"/>
    <n v="1"/>
    <x v="2"/>
    <n v="1"/>
  </r>
  <r>
    <s v="T003730"/>
    <x v="3540"/>
    <d v="2026-06-19T10:28:00"/>
    <x v="4"/>
    <s v="Field Visit"/>
    <x v="0"/>
    <s v="A031"/>
    <x v="2"/>
    <n v="72"/>
    <n v="48.9"/>
    <x v="1"/>
    <s v="No"/>
    <s v="No"/>
    <n v="5"/>
    <s v="Closed"/>
    <s v="June"/>
    <x v="5"/>
    <n v="2026"/>
    <s v="Yes"/>
    <n v="1"/>
    <x v="2"/>
    <n v="1"/>
  </r>
  <r>
    <s v="T003732"/>
    <x v="3541"/>
    <d v="2026-06-17T12:29:00"/>
    <x v="3"/>
    <s v="Chat"/>
    <x v="2"/>
    <s v="A053"/>
    <x v="1"/>
    <n v="4"/>
    <n v="2.9"/>
    <x v="1"/>
    <s v="No"/>
    <s v="No"/>
    <n v="4"/>
    <s v="Closed"/>
    <s v="June"/>
    <x v="5"/>
    <n v="2026"/>
    <s v="Yes"/>
    <n v="1"/>
    <x v="3"/>
    <n v="1"/>
  </r>
  <r>
    <s v="T003733"/>
    <x v="3542"/>
    <d v="2026-06-17T22:04:00"/>
    <x v="0"/>
    <s v="Phone"/>
    <x v="0"/>
    <s v="A019"/>
    <x v="2"/>
    <n v="72"/>
    <n v="12.2"/>
    <x v="0"/>
    <s v="No"/>
    <s v="No"/>
    <n v="4"/>
    <s v="Closed"/>
    <s v="June"/>
    <x v="5"/>
    <n v="2026"/>
    <s v="Yes"/>
    <n v="1"/>
    <x v="3"/>
    <n v="0"/>
  </r>
  <r>
    <s v="T003734"/>
    <x v="3543"/>
    <d v="2026-06-17T18:13:00"/>
    <x v="1"/>
    <s v="Phone"/>
    <x v="1"/>
    <s v="A031"/>
    <x v="2"/>
    <n v="24"/>
    <n v="8.1999999999999993"/>
    <x v="1"/>
    <s v="No"/>
    <s v="No"/>
    <m/>
    <s v="Closed"/>
    <s v="June"/>
    <x v="5"/>
    <n v="2026"/>
    <s v="Yes"/>
    <n v="1"/>
    <x v="4"/>
    <n v="1"/>
  </r>
  <r>
    <s v="T003735"/>
    <x v="3544"/>
    <d v="2026-06-19T02:38:00"/>
    <x v="4"/>
    <s v="Field Visit"/>
    <x v="1"/>
    <s v="A015"/>
    <x v="0"/>
    <n v="24"/>
    <n v="40"/>
    <x v="0"/>
    <s v="No"/>
    <s v="No"/>
    <m/>
    <s v="Closed"/>
    <s v="June"/>
    <x v="5"/>
    <n v="2026"/>
    <s v="No"/>
    <n v="0"/>
    <x v="3"/>
    <n v="0"/>
  </r>
  <r>
    <s v="T003736"/>
    <x v="3545"/>
    <d v="2026-06-17T22:57:00"/>
    <x v="6"/>
    <s v="Phone"/>
    <x v="2"/>
    <s v="A014"/>
    <x v="0"/>
    <n v="4"/>
    <n v="11.6"/>
    <x v="1"/>
    <s v="No"/>
    <s v="No"/>
    <m/>
    <s v="Closed"/>
    <s v="June"/>
    <x v="5"/>
    <n v="2026"/>
    <s v="No"/>
    <n v="0"/>
    <x v="2"/>
    <n v="1"/>
  </r>
  <r>
    <s v="T003737"/>
    <x v="3546"/>
    <d v="2026-06-17T15:05:00"/>
    <x v="1"/>
    <s v="Phone"/>
    <x v="0"/>
    <s v="A026"/>
    <x v="2"/>
    <n v="72"/>
    <n v="3.3"/>
    <x v="0"/>
    <s v="Yes"/>
    <s v="Yes"/>
    <m/>
    <s v="Closed"/>
    <s v="June"/>
    <x v="5"/>
    <n v="2026"/>
    <s v="Yes"/>
    <n v="1"/>
    <x v="0"/>
    <n v="0"/>
  </r>
  <r>
    <s v="T003738"/>
    <x v="3547"/>
    <d v="2026-06-17T18:44:00"/>
    <x v="2"/>
    <s v="Chat"/>
    <x v="1"/>
    <s v="A051"/>
    <x v="1"/>
    <n v="24"/>
    <n v="5.9"/>
    <x v="0"/>
    <s v="Yes"/>
    <s v="No"/>
    <n v="4"/>
    <s v="Closed"/>
    <s v="June"/>
    <x v="5"/>
    <n v="2026"/>
    <s v="Yes"/>
    <n v="1"/>
    <x v="1"/>
    <n v="0"/>
  </r>
  <r>
    <s v="T003739"/>
    <x v="3548"/>
    <d v="2026-06-17T16:53:00"/>
    <x v="2"/>
    <s v="Chat"/>
    <x v="2"/>
    <s v="A042"/>
    <x v="1"/>
    <n v="4"/>
    <n v="3.8"/>
    <x v="1"/>
    <s v="No"/>
    <s v="Yes"/>
    <n v="4"/>
    <s v="Closed"/>
    <s v="June"/>
    <x v="5"/>
    <n v="2026"/>
    <s v="Yes"/>
    <n v="1"/>
    <x v="4"/>
    <n v="1"/>
  </r>
  <r>
    <s v="T003740"/>
    <x v="3549"/>
    <d v="2026-06-18T20:35:00"/>
    <x v="3"/>
    <s v="Field Visit"/>
    <x v="2"/>
    <s v="A047"/>
    <x v="1"/>
    <n v="4"/>
    <n v="30.1"/>
    <x v="1"/>
    <s v="No"/>
    <s v="No"/>
    <m/>
    <s v="Closed"/>
    <s v="June"/>
    <x v="5"/>
    <n v="2026"/>
    <s v="No"/>
    <n v="0"/>
    <x v="1"/>
    <n v="1"/>
  </r>
  <r>
    <s v="T003741"/>
    <x v="3550"/>
    <d v="2026-06-18T00:58:00"/>
    <x v="1"/>
    <s v="Email"/>
    <x v="0"/>
    <s v="A050"/>
    <x v="1"/>
    <n v="72"/>
    <n v="9.6"/>
    <x v="0"/>
    <s v="No"/>
    <s v="No"/>
    <m/>
    <s v="Closed"/>
    <s v="June"/>
    <x v="5"/>
    <n v="2026"/>
    <s v="Yes"/>
    <n v="1"/>
    <x v="0"/>
    <n v="0"/>
  </r>
  <r>
    <s v="T003742"/>
    <x v="3551"/>
    <d v="2026-06-20T13:44:00"/>
    <x v="4"/>
    <s v="Email"/>
    <x v="1"/>
    <s v="A028"/>
    <x v="2"/>
    <n v="24"/>
    <n v="67.5"/>
    <x v="0"/>
    <s v="No"/>
    <s v="No"/>
    <m/>
    <s v="Closed"/>
    <s v="June"/>
    <x v="5"/>
    <n v="2026"/>
    <s v="No"/>
    <n v="0"/>
    <x v="0"/>
    <n v="0"/>
  </r>
  <r>
    <s v="T003743"/>
    <x v="3552"/>
    <d v="2026-06-18T03:53:00"/>
    <x v="1"/>
    <s v="Chat"/>
    <x v="0"/>
    <s v="A027"/>
    <x v="2"/>
    <n v="72"/>
    <n v="5.0999999999999996"/>
    <x v="0"/>
    <s v="Yes"/>
    <s v="No"/>
    <n v="3"/>
    <s v="Closed"/>
    <s v="June"/>
    <x v="5"/>
    <n v="2026"/>
    <s v="Yes"/>
    <n v="1"/>
    <x v="2"/>
    <n v="0"/>
  </r>
  <r>
    <s v="T003744"/>
    <x v="3553"/>
    <d v="2026-06-18T16:35:00"/>
    <x v="2"/>
    <s v="Email"/>
    <x v="2"/>
    <s v="A060"/>
    <x v="1"/>
    <n v="4"/>
    <n v="15.5"/>
    <x v="1"/>
    <s v="No"/>
    <s v="No"/>
    <n v="4"/>
    <s v="Closed"/>
    <s v="June"/>
    <x v="5"/>
    <n v="2026"/>
    <s v="No"/>
    <n v="0"/>
    <x v="3"/>
    <n v="1"/>
  </r>
  <r>
    <s v="T003745"/>
    <x v="3554"/>
    <d v="2026-06-18T18:02:00"/>
    <x v="6"/>
    <s v="Field Visit"/>
    <x v="2"/>
    <s v="A043"/>
    <x v="1"/>
    <n v="4"/>
    <n v="12.4"/>
    <x v="1"/>
    <s v="No"/>
    <s v="No"/>
    <m/>
    <s v="Closed"/>
    <s v="June"/>
    <x v="5"/>
    <n v="2026"/>
    <s v="No"/>
    <n v="0"/>
    <x v="3"/>
    <n v="1"/>
  </r>
  <r>
    <s v="T003746"/>
    <x v="3555"/>
    <d v="2026-06-18T11:36:00"/>
    <x v="5"/>
    <s v="Phone"/>
    <x v="1"/>
    <s v="A011"/>
    <x v="0"/>
    <n v="24"/>
    <n v="5.0999999999999996"/>
    <x v="1"/>
    <s v="No"/>
    <s v="No"/>
    <m/>
    <s v="Closed"/>
    <s v="June"/>
    <x v="5"/>
    <n v="2026"/>
    <s v="Yes"/>
    <n v="1"/>
    <x v="1"/>
    <n v="1"/>
  </r>
  <r>
    <s v="T003747"/>
    <x v="3556"/>
    <d v="2026-06-25T04:32:00"/>
    <x v="4"/>
    <s v="Field Visit"/>
    <x v="2"/>
    <s v="A047"/>
    <x v="1"/>
    <n v="4"/>
    <n v="163.9"/>
    <x v="1"/>
    <s v="No"/>
    <s v="No"/>
    <n v="5"/>
    <s v="Closed"/>
    <s v="June"/>
    <x v="5"/>
    <n v="2026"/>
    <s v="No"/>
    <n v="0"/>
    <x v="3"/>
    <n v="1"/>
  </r>
  <r>
    <s v="T003748"/>
    <x v="3557"/>
    <d v="2026-06-18T18:45:00"/>
    <x v="6"/>
    <s v="Phone"/>
    <x v="0"/>
    <s v="A004"/>
    <x v="0"/>
    <n v="72"/>
    <n v="9.1999999999999993"/>
    <x v="1"/>
    <s v="No"/>
    <s v="No"/>
    <n v="5"/>
    <s v="Closed"/>
    <s v="June"/>
    <x v="5"/>
    <n v="2026"/>
    <s v="Yes"/>
    <n v="1"/>
    <x v="3"/>
    <n v="1"/>
  </r>
  <r>
    <s v="T003749"/>
    <x v="3558"/>
    <d v="2026-06-20T06:16:00"/>
    <x v="0"/>
    <s v="Email"/>
    <x v="1"/>
    <s v="A005"/>
    <x v="0"/>
    <n v="24"/>
    <n v="44.6"/>
    <x v="1"/>
    <s v="No"/>
    <s v="No"/>
    <m/>
    <s v="Closed"/>
    <s v="June"/>
    <x v="5"/>
    <n v="2026"/>
    <s v="No"/>
    <n v="0"/>
    <x v="0"/>
    <n v="1"/>
  </r>
  <r>
    <s v="T003750"/>
    <x v="3559"/>
    <d v="2026-06-19T03:09:00"/>
    <x v="6"/>
    <s v="Field Visit"/>
    <x v="1"/>
    <s v="A025"/>
    <x v="2"/>
    <n v="24"/>
    <n v="17.100000000000001"/>
    <x v="1"/>
    <s v="No"/>
    <s v="No"/>
    <n v="5"/>
    <s v="Closed"/>
    <s v="June"/>
    <x v="5"/>
    <n v="2026"/>
    <s v="Yes"/>
    <n v="1"/>
    <x v="4"/>
    <n v="1"/>
  </r>
  <r>
    <s v="T003751"/>
    <x v="3560"/>
    <d v="2026-06-19T09:48:00"/>
    <x v="6"/>
    <s v="Field Visit"/>
    <x v="0"/>
    <s v="A025"/>
    <x v="2"/>
    <n v="72"/>
    <n v="23.3"/>
    <x v="0"/>
    <s v="Yes"/>
    <s v="No"/>
    <n v="5"/>
    <s v="Closed"/>
    <s v="June"/>
    <x v="5"/>
    <n v="2026"/>
    <s v="Yes"/>
    <n v="1"/>
    <x v="1"/>
    <n v="0"/>
  </r>
  <r>
    <s v="T003752"/>
    <x v="3561"/>
    <d v="2026-06-19T10:57:00"/>
    <x v="5"/>
    <s v="Field Visit"/>
    <x v="2"/>
    <s v="A051"/>
    <x v="1"/>
    <n v="4"/>
    <n v="22"/>
    <x v="1"/>
    <s v="No"/>
    <s v="Yes"/>
    <m/>
    <s v="Closed"/>
    <s v="June"/>
    <x v="5"/>
    <n v="2026"/>
    <s v="No"/>
    <n v="0"/>
    <x v="0"/>
    <n v="1"/>
  </r>
  <r>
    <s v="T003753"/>
    <x v="3562"/>
    <d v="2026-06-18T21:58:00"/>
    <x v="0"/>
    <s v="Phone"/>
    <x v="1"/>
    <s v="A015"/>
    <x v="0"/>
    <n v="24"/>
    <n v="8.9"/>
    <x v="1"/>
    <s v="No"/>
    <s v="No"/>
    <n v="5"/>
    <s v="Closed"/>
    <s v="June"/>
    <x v="5"/>
    <n v="2026"/>
    <s v="Yes"/>
    <n v="1"/>
    <x v="4"/>
    <n v="1"/>
  </r>
  <r>
    <s v="T003754"/>
    <x v="3563"/>
    <d v="2026-06-19T03:07:00"/>
    <x v="5"/>
    <s v="Email"/>
    <x v="1"/>
    <s v="A025"/>
    <x v="2"/>
    <n v="24"/>
    <n v="12.6"/>
    <x v="1"/>
    <s v="No"/>
    <s v="No"/>
    <m/>
    <s v="Closed"/>
    <s v="June"/>
    <x v="5"/>
    <n v="2026"/>
    <s v="Yes"/>
    <n v="1"/>
    <x v="1"/>
    <n v="1"/>
  </r>
  <r>
    <s v="T003755"/>
    <x v="3564"/>
    <d v="2026-06-19T08:39:00"/>
    <x v="3"/>
    <s v="Field Visit"/>
    <x v="0"/>
    <s v="A033"/>
    <x v="2"/>
    <n v="72"/>
    <n v="15.3"/>
    <x v="1"/>
    <s v="No"/>
    <s v="No"/>
    <m/>
    <s v="Closed"/>
    <s v="June"/>
    <x v="5"/>
    <n v="2026"/>
    <s v="Yes"/>
    <n v="1"/>
    <x v="0"/>
    <n v="1"/>
  </r>
  <r>
    <s v="T003756"/>
    <x v="3565"/>
    <d v="2026-06-19T23:25:00"/>
    <x v="3"/>
    <s v="Email"/>
    <x v="0"/>
    <s v="A043"/>
    <x v="1"/>
    <n v="72"/>
    <n v="29.7"/>
    <x v="0"/>
    <s v="Yes"/>
    <s v="Yes"/>
    <m/>
    <s v="Closed"/>
    <s v="June"/>
    <x v="5"/>
    <n v="2026"/>
    <s v="Yes"/>
    <n v="1"/>
    <x v="4"/>
    <n v="0"/>
  </r>
  <r>
    <s v="T003757"/>
    <x v="3566"/>
    <d v="2026-06-18T21:22:00"/>
    <x v="1"/>
    <s v="Phone"/>
    <x v="0"/>
    <s v="A010"/>
    <x v="0"/>
    <n v="72"/>
    <n v="2.8"/>
    <x v="1"/>
    <s v="No"/>
    <s v="No"/>
    <m/>
    <s v="Closed"/>
    <s v="June"/>
    <x v="5"/>
    <n v="2026"/>
    <s v="Yes"/>
    <n v="1"/>
    <x v="1"/>
    <n v="1"/>
  </r>
  <r>
    <s v="T003758"/>
    <x v="3567"/>
    <d v="2026-06-19T18:52:00"/>
    <x v="6"/>
    <s v="Phone"/>
    <x v="2"/>
    <s v="A009"/>
    <x v="0"/>
    <n v="4"/>
    <n v="23.3"/>
    <x v="1"/>
    <s v="No"/>
    <s v="No"/>
    <m/>
    <s v="Closed"/>
    <s v="June"/>
    <x v="5"/>
    <n v="2026"/>
    <s v="No"/>
    <n v="0"/>
    <x v="3"/>
    <n v="1"/>
  </r>
  <r>
    <s v="T003759"/>
    <x v="3568"/>
    <d v="2026-06-19T13:31:00"/>
    <x v="0"/>
    <s v="Phone"/>
    <x v="1"/>
    <s v="A004"/>
    <x v="0"/>
    <n v="24"/>
    <n v="14.1"/>
    <x v="1"/>
    <s v="No"/>
    <s v="No"/>
    <n v="5"/>
    <s v="Closed"/>
    <s v="June"/>
    <x v="5"/>
    <n v="2026"/>
    <s v="Yes"/>
    <n v="1"/>
    <x v="2"/>
    <n v="1"/>
  </r>
  <r>
    <s v="T003760"/>
    <x v="3569"/>
    <d v="2026-06-19T13:44:00"/>
    <x v="0"/>
    <s v="Phone"/>
    <x v="2"/>
    <s v="A009"/>
    <x v="0"/>
    <n v="4"/>
    <n v="9.6"/>
    <x v="1"/>
    <s v="No"/>
    <s v="Yes"/>
    <n v="5"/>
    <s v="Closed"/>
    <s v="June"/>
    <x v="5"/>
    <n v="2026"/>
    <s v="No"/>
    <n v="0"/>
    <x v="1"/>
    <n v="1"/>
  </r>
  <r>
    <s v="T003761"/>
    <x v="3570"/>
    <d v="2026-06-19T09:20:00"/>
    <x v="1"/>
    <s v="Phone"/>
    <x v="0"/>
    <s v="A047"/>
    <x v="1"/>
    <n v="72"/>
    <n v="3"/>
    <x v="1"/>
    <s v="No"/>
    <s v="No"/>
    <n v="5"/>
    <s v="Closed"/>
    <s v="June"/>
    <x v="5"/>
    <n v="2026"/>
    <s v="Yes"/>
    <n v="1"/>
    <x v="0"/>
    <n v="1"/>
  </r>
  <r>
    <s v="T003762"/>
    <x v="3571"/>
    <d v="2026-06-20T00:23:00"/>
    <x v="0"/>
    <s v="Phone"/>
    <x v="0"/>
    <s v="A025"/>
    <x v="2"/>
    <n v="72"/>
    <n v="18"/>
    <x v="1"/>
    <s v="No"/>
    <s v="No"/>
    <n v="4"/>
    <s v="Closed"/>
    <s v="June"/>
    <x v="5"/>
    <n v="2026"/>
    <s v="Yes"/>
    <n v="1"/>
    <x v="0"/>
    <n v="1"/>
  </r>
  <r>
    <s v="T003763"/>
    <x v="3572"/>
    <d v="2026-06-22T15:59:00"/>
    <x v="4"/>
    <s v="Field Visit"/>
    <x v="1"/>
    <s v="A025"/>
    <x v="2"/>
    <n v="24"/>
    <n v="79.5"/>
    <x v="0"/>
    <s v="No"/>
    <s v="No"/>
    <m/>
    <s v="Closed"/>
    <s v="June"/>
    <x v="5"/>
    <n v="2026"/>
    <s v="No"/>
    <n v="0"/>
    <x v="2"/>
    <n v="0"/>
  </r>
  <r>
    <s v="T003764"/>
    <x v="3573"/>
    <d v="2026-06-19T10:55:00"/>
    <x v="1"/>
    <s v="Phone"/>
    <x v="0"/>
    <s v="A050"/>
    <x v="1"/>
    <n v="72"/>
    <n v="2.2999999999999998"/>
    <x v="1"/>
    <s v="No"/>
    <s v="No"/>
    <n v="5"/>
    <s v="Closed"/>
    <s v="June"/>
    <x v="5"/>
    <n v="2026"/>
    <s v="Yes"/>
    <n v="1"/>
    <x v="1"/>
    <n v="1"/>
  </r>
  <r>
    <s v="T003765"/>
    <x v="3574"/>
    <d v="2026-06-20T08:04:00"/>
    <x v="5"/>
    <s v="Field Visit"/>
    <x v="0"/>
    <s v="A051"/>
    <x v="1"/>
    <n v="72"/>
    <n v="20.9"/>
    <x v="1"/>
    <s v="No"/>
    <s v="No"/>
    <n v="4"/>
    <s v="Closed"/>
    <s v="June"/>
    <x v="5"/>
    <n v="2026"/>
    <s v="Yes"/>
    <n v="1"/>
    <x v="1"/>
    <n v="1"/>
  </r>
  <r>
    <s v="T003766"/>
    <x v="3575"/>
    <d v="2026-06-21T11:35:00"/>
    <x v="0"/>
    <s v="Field Visit"/>
    <x v="1"/>
    <s v="A004"/>
    <x v="0"/>
    <n v="24"/>
    <n v="48.3"/>
    <x v="1"/>
    <s v="No"/>
    <s v="No"/>
    <n v="4"/>
    <s v="Closed"/>
    <s v="June"/>
    <x v="5"/>
    <n v="2026"/>
    <s v="No"/>
    <n v="0"/>
    <x v="2"/>
    <n v="1"/>
  </r>
  <r>
    <s v="T003767"/>
    <x v="3576"/>
    <d v="2026-06-19T14:30:00"/>
    <x v="1"/>
    <s v="Phone"/>
    <x v="1"/>
    <s v="A026"/>
    <x v="2"/>
    <n v="24"/>
    <n v="2.2000000000000002"/>
    <x v="1"/>
    <s v="No"/>
    <s v="No"/>
    <m/>
    <s v="Closed"/>
    <s v="June"/>
    <x v="5"/>
    <n v="2026"/>
    <s v="Yes"/>
    <n v="1"/>
    <x v="4"/>
    <n v="1"/>
  </r>
  <r>
    <s v="T003768"/>
    <x v="3577"/>
    <d v="2026-06-19T22:43:00"/>
    <x v="1"/>
    <s v="Chat"/>
    <x v="0"/>
    <s v="A002"/>
    <x v="0"/>
    <n v="72"/>
    <n v="8.8000000000000007"/>
    <x v="1"/>
    <s v="No"/>
    <s v="No"/>
    <m/>
    <s v="Closed"/>
    <s v="June"/>
    <x v="5"/>
    <n v="2026"/>
    <s v="Yes"/>
    <n v="1"/>
    <x v="3"/>
    <n v="1"/>
  </r>
  <r>
    <s v="T003769"/>
    <x v="3578"/>
    <d v="2026-06-20T01:35:00"/>
    <x v="1"/>
    <s v="Phone"/>
    <x v="2"/>
    <s v="A034"/>
    <x v="2"/>
    <n v="4"/>
    <n v="11.5"/>
    <x v="1"/>
    <s v="No"/>
    <s v="No"/>
    <n v="3"/>
    <s v="Closed"/>
    <s v="June"/>
    <x v="5"/>
    <n v="2026"/>
    <s v="No"/>
    <n v="0"/>
    <x v="2"/>
    <n v="1"/>
  </r>
  <r>
    <s v="T003770"/>
    <x v="3579"/>
    <d v="2026-06-19T21:12:00"/>
    <x v="0"/>
    <s v="Phone"/>
    <x v="0"/>
    <s v="A005"/>
    <x v="0"/>
    <n v="72"/>
    <n v="6.7"/>
    <x v="0"/>
    <s v="No"/>
    <s v="No"/>
    <n v="4"/>
    <s v="Closed"/>
    <s v="June"/>
    <x v="5"/>
    <n v="2026"/>
    <s v="Yes"/>
    <n v="1"/>
    <x v="3"/>
    <n v="0"/>
  </r>
  <r>
    <s v="T003771"/>
    <x v="3580"/>
    <d v="2026-06-19T23:03:00"/>
    <x v="1"/>
    <s v="Phone"/>
    <x v="0"/>
    <s v="A003"/>
    <x v="0"/>
    <n v="72"/>
    <n v="8.5"/>
    <x v="1"/>
    <s v="No"/>
    <s v="No"/>
    <n v="5"/>
    <s v="Closed"/>
    <s v="June"/>
    <x v="5"/>
    <n v="2026"/>
    <s v="Yes"/>
    <n v="1"/>
    <x v="2"/>
    <n v="1"/>
  </r>
  <r>
    <s v="T003772"/>
    <x v="3581"/>
    <d v="2026-06-24T01:39:00"/>
    <x v="3"/>
    <s v="Field Visit"/>
    <x v="0"/>
    <s v="A048"/>
    <x v="1"/>
    <n v="72"/>
    <n v="107"/>
    <x v="1"/>
    <s v="No"/>
    <s v="No"/>
    <n v="4"/>
    <s v="Closed"/>
    <s v="June"/>
    <x v="5"/>
    <n v="2026"/>
    <s v="No"/>
    <n v="0"/>
    <x v="1"/>
    <n v="1"/>
  </r>
  <r>
    <s v="T003773"/>
    <x v="3582"/>
    <d v="2026-06-18T06:43:00"/>
    <x v="3"/>
    <s v="Email"/>
    <x v="1"/>
    <s v="A013"/>
    <x v="0"/>
    <n v="24"/>
    <n v="112.7"/>
    <x v="0"/>
    <s v="No"/>
    <s v="No"/>
    <n v="4"/>
    <s v="Closed"/>
    <s v="June"/>
    <x v="5"/>
    <n v="2026"/>
    <s v="No"/>
    <n v="0"/>
    <x v="2"/>
    <n v="0"/>
  </r>
  <r>
    <s v="T003774"/>
    <x v="3582"/>
    <d v="2026-06-20T06:49:00"/>
    <x v="0"/>
    <s v="Phone"/>
    <x v="1"/>
    <s v="A015"/>
    <x v="0"/>
    <n v="24"/>
    <n v="16.100000000000001"/>
    <x v="0"/>
    <s v="No"/>
    <s v="No"/>
    <n v="4"/>
    <s v="Closed"/>
    <s v="June"/>
    <x v="5"/>
    <n v="2026"/>
    <s v="Yes"/>
    <n v="1"/>
    <x v="4"/>
    <n v="0"/>
  </r>
  <r>
    <s v="T003775"/>
    <x v="3583"/>
    <d v="2026-06-24T13:04:00"/>
    <x v="0"/>
    <s v="Field Visit"/>
    <x v="1"/>
    <s v="A004"/>
    <x v="0"/>
    <n v="24"/>
    <n v="117.3"/>
    <x v="0"/>
    <s v="Yes"/>
    <s v="No"/>
    <n v="2"/>
    <s v="Closed"/>
    <s v="June"/>
    <x v="5"/>
    <n v="2026"/>
    <s v="No"/>
    <n v="0"/>
    <x v="1"/>
    <n v="0"/>
  </r>
  <r>
    <s v="T003776"/>
    <x v="3584"/>
    <d v="2026-06-20T10:47:00"/>
    <x v="0"/>
    <s v="Phone"/>
    <x v="2"/>
    <s v="A045"/>
    <x v="1"/>
    <n v="4"/>
    <n v="18.8"/>
    <x v="1"/>
    <s v="No"/>
    <s v="Yes"/>
    <n v="2"/>
    <s v="Closed"/>
    <s v="June"/>
    <x v="5"/>
    <n v="2026"/>
    <s v="No"/>
    <n v="0"/>
    <x v="4"/>
    <n v="1"/>
  </r>
  <r>
    <s v="T003777"/>
    <x v="3585"/>
    <d v="2026-06-22T17:46:00"/>
    <x v="4"/>
    <s v="Field Visit"/>
    <x v="1"/>
    <s v="A041"/>
    <x v="1"/>
    <n v="24"/>
    <n v="73.5"/>
    <x v="0"/>
    <s v="No"/>
    <s v="No"/>
    <n v="3"/>
    <s v="Closed"/>
    <s v="June"/>
    <x v="5"/>
    <n v="2026"/>
    <s v="No"/>
    <n v="0"/>
    <x v="2"/>
    <n v="0"/>
  </r>
  <r>
    <s v="T003778"/>
    <x v="3586"/>
    <d v="2026-06-20T21:06:00"/>
    <x v="2"/>
    <s v="Phone"/>
    <x v="1"/>
    <s v="A051"/>
    <x v="1"/>
    <n v="24"/>
    <n v="28.8"/>
    <x v="0"/>
    <s v="No"/>
    <s v="No"/>
    <m/>
    <s v="Closed"/>
    <s v="June"/>
    <x v="5"/>
    <n v="2026"/>
    <s v="No"/>
    <n v="0"/>
    <x v="4"/>
    <n v="0"/>
  </r>
  <r>
    <s v="T003779"/>
    <x v="3587"/>
    <d v="2026-06-20T19:46:00"/>
    <x v="2"/>
    <s v="Field Visit"/>
    <x v="1"/>
    <s v="A023"/>
    <x v="2"/>
    <n v="24"/>
    <n v="27"/>
    <x v="0"/>
    <s v="Yes"/>
    <s v="No"/>
    <n v="2"/>
    <s v="Closed"/>
    <s v="June"/>
    <x v="5"/>
    <n v="2026"/>
    <s v="No"/>
    <n v="0"/>
    <x v="2"/>
    <n v="0"/>
  </r>
  <r>
    <s v="T003780"/>
    <x v="3588"/>
    <d v="2026-06-20T17:43:00"/>
    <x v="4"/>
    <s v="Phone"/>
    <x v="1"/>
    <s v="A036"/>
    <x v="1"/>
    <n v="24"/>
    <n v="23.8"/>
    <x v="1"/>
    <s v="No"/>
    <s v="No"/>
    <n v="5"/>
    <s v="Closed"/>
    <s v="June"/>
    <x v="5"/>
    <n v="2026"/>
    <s v="Yes"/>
    <n v="1"/>
    <x v="2"/>
    <n v="1"/>
  </r>
  <r>
    <s v="T003781"/>
    <x v="3589"/>
    <d v="2026-06-20T08:04:00"/>
    <x v="6"/>
    <s v="Chat"/>
    <x v="2"/>
    <s v="A015"/>
    <x v="0"/>
    <n v="4"/>
    <n v="13.9"/>
    <x v="1"/>
    <s v="No"/>
    <s v="No"/>
    <n v="5"/>
    <s v="Closed"/>
    <s v="June"/>
    <x v="5"/>
    <n v="2026"/>
    <s v="No"/>
    <n v="0"/>
    <x v="4"/>
    <n v="1"/>
  </r>
  <r>
    <s v="T003782"/>
    <x v="3590"/>
    <d v="2026-06-19T22:20:00"/>
    <x v="6"/>
    <s v="Phone"/>
    <x v="2"/>
    <s v="A026"/>
    <x v="2"/>
    <n v="4"/>
    <n v="3.2"/>
    <x v="0"/>
    <s v="No"/>
    <s v="No"/>
    <m/>
    <s v="Closed"/>
    <s v="June"/>
    <x v="5"/>
    <n v="2026"/>
    <s v="Yes"/>
    <n v="1"/>
    <x v="1"/>
    <n v="0"/>
  </r>
  <r>
    <s v="T003783"/>
    <x v="3591"/>
    <d v="2026-06-20T21:43:00"/>
    <x v="6"/>
    <s v="Phone"/>
    <x v="1"/>
    <s v="A057"/>
    <x v="1"/>
    <n v="24"/>
    <n v="24.4"/>
    <x v="1"/>
    <s v="No"/>
    <s v="No"/>
    <n v="4"/>
    <s v="Closed"/>
    <s v="June"/>
    <x v="5"/>
    <n v="2026"/>
    <s v="No"/>
    <n v="0"/>
    <x v="2"/>
    <n v="1"/>
  </r>
  <r>
    <s v="T003784"/>
    <x v="3592"/>
    <d v="2026-06-20T09:20:00"/>
    <x v="5"/>
    <s v="Phone"/>
    <x v="1"/>
    <s v="A032"/>
    <x v="2"/>
    <n v="24"/>
    <n v="11.5"/>
    <x v="0"/>
    <s v="Yes"/>
    <s v="No"/>
    <n v="5"/>
    <s v="Closed"/>
    <s v="June"/>
    <x v="5"/>
    <n v="2026"/>
    <s v="Yes"/>
    <n v="1"/>
    <x v="4"/>
    <n v="0"/>
  </r>
  <r>
    <s v="T003785"/>
    <x v="3593"/>
    <d v="2026-06-24T11:55:00"/>
    <x v="3"/>
    <s v="Field Visit"/>
    <x v="1"/>
    <s v="A017"/>
    <x v="2"/>
    <n v="24"/>
    <n v="102.9"/>
    <x v="0"/>
    <s v="No"/>
    <s v="No"/>
    <n v="3"/>
    <s v="Closed"/>
    <s v="June"/>
    <x v="5"/>
    <n v="2026"/>
    <s v="No"/>
    <n v="0"/>
    <x v="4"/>
    <n v="0"/>
  </r>
  <r>
    <s v="T003786"/>
    <x v="3594"/>
    <d v="2026-06-20T23:28:00"/>
    <x v="1"/>
    <s v="Phone"/>
    <x v="1"/>
    <s v="A041"/>
    <x v="1"/>
    <n v="24"/>
    <n v="16.399999999999999"/>
    <x v="1"/>
    <s v="No"/>
    <s v="No"/>
    <n v="5"/>
    <s v="Closed"/>
    <s v="June"/>
    <x v="5"/>
    <n v="2026"/>
    <s v="Yes"/>
    <n v="1"/>
    <x v="0"/>
    <n v="1"/>
  </r>
  <r>
    <s v="T003787"/>
    <x v="3595"/>
    <d v="2026-06-20T22:46:00"/>
    <x v="2"/>
    <s v="Email"/>
    <x v="1"/>
    <s v="A035"/>
    <x v="2"/>
    <n v="24"/>
    <n v="12.8"/>
    <x v="1"/>
    <s v="No"/>
    <s v="No"/>
    <n v="4"/>
    <s v="Closed"/>
    <s v="June"/>
    <x v="5"/>
    <n v="2026"/>
    <s v="Yes"/>
    <n v="1"/>
    <x v="3"/>
    <n v="1"/>
  </r>
  <r>
    <s v="T003788"/>
    <x v="3596"/>
    <d v="2026-06-20T16:41:00"/>
    <x v="5"/>
    <s v="Chat"/>
    <x v="1"/>
    <s v="A051"/>
    <x v="1"/>
    <n v="24"/>
    <n v="6.7"/>
    <x v="1"/>
    <s v="No"/>
    <s v="No"/>
    <n v="5"/>
    <s v="Closed"/>
    <s v="June"/>
    <x v="5"/>
    <n v="2026"/>
    <s v="Yes"/>
    <n v="1"/>
    <x v="3"/>
    <n v="1"/>
  </r>
  <r>
    <s v="T003789"/>
    <x v="3597"/>
    <d v="2026-06-22T10:19:00"/>
    <x v="0"/>
    <s v="Field Visit"/>
    <x v="0"/>
    <s v="A001"/>
    <x v="0"/>
    <n v="72"/>
    <n v="48.3"/>
    <x v="1"/>
    <s v="No"/>
    <s v="Yes"/>
    <n v="5"/>
    <s v="Closed"/>
    <s v="June"/>
    <x v="5"/>
    <n v="2026"/>
    <s v="Yes"/>
    <n v="1"/>
    <x v="4"/>
    <n v="1"/>
  </r>
  <r>
    <s v="T003790"/>
    <x v="3598"/>
    <d v="2026-06-20T19:21:00"/>
    <x v="1"/>
    <s v="Chat"/>
    <x v="0"/>
    <s v="A034"/>
    <x v="2"/>
    <n v="72"/>
    <n v="8.1999999999999993"/>
    <x v="1"/>
    <s v="No"/>
    <s v="No"/>
    <n v="5"/>
    <s v="Closed"/>
    <s v="June"/>
    <x v="5"/>
    <n v="2026"/>
    <s v="Yes"/>
    <n v="1"/>
    <x v="4"/>
    <n v="1"/>
  </r>
  <r>
    <s v="T003791"/>
    <x v="3599"/>
    <d v="2026-06-21T14:22:00"/>
    <x v="2"/>
    <s v="Phone"/>
    <x v="0"/>
    <s v="A045"/>
    <x v="1"/>
    <n v="72"/>
    <n v="25.2"/>
    <x v="0"/>
    <s v="Yes"/>
    <s v="No"/>
    <n v="3"/>
    <s v="Closed"/>
    <s v="June"/>
    <x v="5"/>
    <n v="2026"/>
    <s v="Yes"/>
    <n v="1"/>
    <x v="3"/>
    <n v="0"/>
  </r>
  <r>
    <s v="T003792"/>
    <x v="3600"/>
    <d v="2026-06-21T10:08:00"/>
    <x v="0"/>
    <s v="Email"/>
    <x v="1"/>
    <s v="A035"/>
    <x v="2"/>
    <n v="24"/>
    <n v="20.9"/>
    <x v="1"/>
    <s v="No"/>
    <s v="Yes"/>
    <n v="3"/>
    <s v="Closed"/>
    <s v="June"/>
    <x v="5"/>
    <n v="2026"/>
    <s v="Yes"/>
    <n v="1"/>
    <x v="2"/>
    <n v="1"/>
  </r>
  <r>
    <s v="T003793"/>
    <x v="3601"/>
    <d v="2026-07-01T07:43:00"/>
    <x v="0"/>
    <s v="Email"/>
    <x v="0"/>
    <s v="A018"/>
    <x v="2"/>
    <n v="72"/>
    <n v="258.3"/>
    <x v="1"/>
    <s v="No"/>
    <s v="No"/>
    <n v="4"/>
    <s v="Closed"/>
    <s v="June"/>
    <x v="5"/>
    <n v="2026"/>
    <s v="No"/>
    <n v="0"/>
    <x v="2"/>
    <n v="1"/>
  </r>
  <r>
    <s v="T003794"/>
    <x v="3602"/>
    <d v="2026-06-21T01:18:00"/>
    <x v="6"/>
    <s v="Phone"/>
    <x v="2"/>
    <s v="A003"/>
    <x v="0"/>
    <n v="4"/>
    <n v="11.7"/>
    <x v="1"/>
    <s v="No"/>
    <s v="No"/>
    <n v="4"/>
    <s v="Closed"/>
    <s v="June"/>
    <x v="5"/>
    <n v="2026"/>
    <s v="No"/>
    <n v="0"/>
    <x v="0"/>
    <n v="1"/>
  </r>
  <r>
    <s v="T003795"/>
    <x v="3603"/>
    <d v="2026-06-21T05:02:00"/>
    <x v="2"/>
    <s v="Phone"/>
    <x v="2"/>
    <s v="A019"/>
    <x v="2"/>
    <n v="4"/>
    <n v="15.3"/>
    <x v="1"/>
    <s v="No"/>
    <s v="No"/>
    <n v="5"/>
    <s v="Closed"/>
    <s v="June"/>
    <x v="5"/>
    <n v="2026"/>
    <s v="No"/>
    <n v="0"/>
    <x v="1"/>
    <n v="1"/>
  </r>
  <r>
    <s v="T003796"/>
    <x v="3604"/>
    <d v="2026-06-21T02:34:00"/>
    <x v="2"/>
    <s v="Phone"/>
    <x v="0"/>
    <s v="A038"/>
    <x v="1"/>
    <n v="72"/>
    <n v="12.8"/>
    <x v="1"/>
    <s v="No"/>
    <s v="No"/>
    <n v="4"/>
    <s v="Closed"/>
    <s v="June"/>
    <x v="5"/>
    <n v="2026"/>
    <s v="Yes"/>
    <n v="1"/>
    <x v="0"/>
    <n v="1"/>
  </r>
  <r>
    <s v="T003797"/>
    <x v="3605"/>
    <d v="2026-06-22T08:59:00"/>
    <x v="0"/>
    <s v="Phone"/>
    <x v="1"/>
    <s v="A028"/>
    <x v="2"/>
    <n v="24"/>
    <n v="42"/>
    <x v="1"/>
    <s v="No"/>
    <s v="Yes"/>
    <m/>
    <s v="Closed"/>
    <s v="June"/>
    <x v="5"/>
    <n v="2026"/>
    <s v="No"/>
    <n v="0"/>
    <x v="3"/>
    <n v="1"/>
  </r>
  <r>
    <s v="T003798"/>
    <x v="3606"/>
    <d v="2026-06-21T16:25:00"/>
    <x v="5"/>
    <s v="Phone"/>
    <x v="2"/>
    <s v="A013"/>
    <x v="0"/>
    <n v="4"/>
    <n v="24.9"/>
    <x v="1"/>
    <s v="No"/>
    <s v="No"/>
    <m/>
    <s v="Closed"/>
    <s v="June"/>
    <x v="5"/>
    <n v="2026"/>
    <s v="No"/>
    <n v="0"/>
    <x v="0"/>
    <n v="1"/>
  </r>
  <r>
    <s v="T003799"/>
    <x v="3607"/>
    <d v="2026-06-27T16:35:00"/>
    <x v="4"/>
    <s v="Field Visit"/>
    <x v="1"/>
    <s v="A020"/>
    <x v="2"/>
    <n v="24"/>
    <n v="168.4"/>
    <x v="0"/>
    <s v="No"/>
    <s v="No"/>
    <m/>
    <s v="Closed"/>
    <s v="June"/>
    <x v="5"/>
    <n v="2026"/>
    <s v="No"/>
    <n v="0"/>
    <x v="0"/>
    <n v="0"/>
  </r>
  <r>
    <s v="T003800"/>
    <x v="3608"/>
    <d v="2026-06-20T22:11:00"/>
    <x v="1"/>
    <s v="Phone"/>
    <x v="0"/>
    <s v="A041"/>
    <x v="1"/>
    <n v="72"/>
    <n v="4"/>
    <x v="1"/>
    <s v="No"/>
    <s v="No"/>
    <m/>
    <s v="Closed"/>
    <s v="June"/>
    <x v="5"/>
    <n v="2026"/>
    <s v="Yes"/>
    <n v="1"/>
    <x v="2"/>
    <n v="1"/>
  </r>
  <r>
    <s v="T003801"/>
    <x v="3609"/>
    <d v="2026-06-24T23:09:00"/>
    <x v="3"/>
    <s v="Field Visit"/>
    <x v="2"/>
    <s v="A053"/>
    <x v="1"/>
    <n v="4"/>
    <n v="97.9"/>
    <x v="1"/>
    <s v="No"/>
    <s v="No"/>
    <n v="4"/>
    <s v="Closed"/>
    <s v="June"/>
    <x v="5"/>
    <n v="2026"/>
    <s v="No"/>
    <n v="0"/>
    <x v="3"/>
    <n v="1"/>
  </r>
  <r>
    <s v="T003802"/>
    <x v="3610"/>
    <d v="2026-06-21T21:28:00"/>
    <x v="1"/>
    <s v="Email"/>
    <x v="0"/>
    <s v="A011"/>
    <x v="0"/>
    <n v="72"/>
    <n v="17.7"/>
    <x v="1"/>
    <s v="No"/>
    <s v="No"/>
    <n v="3"/>
    <s v="Closed"/>
    <s v="June"/>
    <x v="5"/>
    <n v="2026"/>
    <s v="Yes"/>
    <n v="1"/>
    <x v="0"/>
    <n v="1"/>
  </r>
  <r>
    <s v="T003803"/>
    <x v="3611"/>
    <d v="2026-06-21T16:08:00"/>
    <x v="2"/>
    <s v="Phone"/>
    <x v="0"/>
    <s v="A053"/>
    <x v="1"/>
    <n v="72"/>
    <n v="9.3000000000000007"/>
    <x v="1"/>
    <s v="No"/>
    <s v="No"/>
    <n v="5"/>
    <s v="Closed"/>
    <s v="June"/>
    <x v="5"/>
    <n v="2026"/>
    <s v="Yes"/>
    <n v="1"/>
    <x v="4"/>
    <n v="1"/>
  </r>
  <r>
    <s v="T003804"/>
    <x v="3612"/>
    <d v="2026-06-21T16:27:00"/>
    <x v="1"/>
    <s v="Email"/>
    <x v="0"/>
    <s v="A055"/>
    <x v="1"/>
    <n v="72"/>
    <n v="8.6"/>
    <x v="0"/>
    <s v="No"/>
    <s v="No"/>
    <n v="4"/>
    <s v="Closed"/>
    <s v="June"/>
    <x v="5"/>
    <n v="2026"/>
    <s v="Yes"/>
    <n v="1"/>
    <x v="0"/>
    <n v="0"/>
  </r>
  <r>
    <s v="T003805"/>
    <x v="3613"/>
    <d v="2026-06-21T18:13:00"/>
    <x v="1"/>
    <s v="Phone"/>
    <x v="1"/>
    <s v="A014"/>
    <x v="0"/>
    <n v="24"/>
    <n v="9.6999999999999993"/>
    <x v="1"/>
    <s v="No"/>
    <s v="No"/>
    <m/>
    <s v="Closed"/>
    <s v="June"/>
    <x v="5"/>
    <n v="2026"/>
    <s v="Yes"/>
    <n v="1"/>
    <x v="1"/>
    <n v="1"/>
  </r>
  <r>
    <s v="T003806"/>
    <x v="3614"/>
    <d v="2026-06-27T17:58:00"/>
    <x v="4"/>
    <s v="Chat"/>
    <x v="1"/>
    <s v="A009"/>
    <x v="0"/>
    <n v="24"/>
    <n v="153.30000000000001"/>
    <x v="0"/>
    <s v="No"/>
    <s v="No"/>
    <n v="2"/>
    <s v="Closed"/>
    <s v="June"/>
    <x v="5"/>
    <n v="2026"/>
    <s v="No"/>
    <n v="0"/>
    <x v="2"/>
    <n v="0"/>
  </r>
  <r>
    <s v="T003807"/>
    <x v="3615"/>
    <d v="2026-06-22T21:13:00"/>
    <x v="6"/>
    <s v="Field Visit"/>
    <x v="2"/>
    <s v="A051"/>
    <x v="1"/>
    <n v="4"/>
    <n v="36"/>
    <x v="1"/>
    <s v="No"/>
    <s v="No"/>
    <n v="3"/>
    <s v="Closed"/>
    <s v="June"/>
    <x v="5"/>
    <n v="2026"/>
    <s v="No"/>
    <n v="0"/>
    <x v="1"/>
    <n v="1"/>
  </r>
  <r>
    <s v="T003808"/>
    <x v="3616"/>
    <d v="2026-06-22T07:33:00"/>
    <x v="2"/>
    <s v="Chat"/>
    <x v="2"/>
    <s v="A054"/>
    <x v="1"/>
    <n v="4"/>
    <n v="20.2"/>
    <x v="0"/>
    <s v="Yes"/>
    <s v="Yes"/>
    <n v="4"/>
    <s v="Closed"/>
    <s v="June"/>
    <x v="5"/>
    <n v="2026"/>
    <s v="No"/>
    <n v="0"/>
    <x v="0"/>
    <n v="0"/>
  </r>
  <r>
    <s v="T003809"/>
    <x v="3617"/>
    <d v="2026-06-22T09:21:00"/>
    <x v="5"/>
    <s v="Email"/>
    <x v="2"/>
    <s v="A004"/>
    <x v="0"/>
    <n v="4"/>
    <n v="21.8"/>
    <x v="0"/>
    <s v="No"/>
    <s v="Yes"/>
    <m/>
    <s v="Closed"/>
    <s v="June"/>
    <x v="5"/>
    <n v="2026"/>
    <s v="No"/>
    <n v="0"/>
    <x v="1"/>
    <n v="0"/>
  </r>
  <r>
    <s v="T003810"/>
    <x v="3618"/>
    <d v="2026-06-21T15:12:00"/>
    <x v="1"/>
    <s v="Chat"/>
    <x v="1"/>
    <s v="A003"/>
    <x v="0"/>
    <n v="24"/>
    <n v="3.4"/>
    <x v="1"/>
    <s v="No"/>
    <s v="No"/>
    <n v="4"/>
    <s v="Closed"/>
    <s v="June"/>
    <x v="5"/>
    <n v="2026"/>
    <s v="Yes"/>
    <n v="1"/>
    <x v="3"/>
    <n v="1"/>
  </r>
  <r>
    <s v="T003811"/>
    <x v="3619"/>
    <d v="2026-06-21T17:14:00"/>
    <x v="6"/>
    <s v="Chat"/>
    <x v="1"/>
    <s v="A006"/>
    <x v="0"/>
    <n v="24"/>
    <n v="5"/>
    <x v="1"/>
    <s v="No"/>
    <s v="No"/>
    <n v="5"/>
    <s v="Closed"/>
    <s v="June"/>
    <x v="5"/>
    <n v="2026"/>
    <s v="Yes"/>
    <n v="1"/>
    <x v="1"/>
    <n v="1"/>
  </r>
  <r>
    <s v="T003812"/>
    <x v="3620"/>
    <d v="2026-06-21T16:41:00"/>
    <x v="6"/>
    <s v="Phone"/>
    <x v="1"/>
    <s v="A055"/>
    <x v="1"/>
    <n v="24"/>
    <n v="4.4000000000000004"/>
    <x v="0"/>
    <s v="Yes"/>
    <s v="No"/>
    <n v="4"/>
    <s v="Closed"/>
    <s v="June"/>
    <x v="5"/>
    <n v="2026"/>
    <s v="Yes"/>
    <n v="1"/>
    <x v="0"/>
    <n v="0"/>
  </r>
  <r>
    <s v="T003813"/>
    <x v="3621"/>
    <d v="2026-06-21T17:44:00"/>
    <x v="6"/>
    <s v="Chat"/>
    <x v="2"/>
    <s v="A031"/>
    <x v="2"/>
    <n v="4"/>
    <n v="5.4"/>
    <x v="0"/>
    <s v="Yes"/>
    <s v="No"/>
    <n v="2"/>
    <s v="Closed"/>
    <s v="June"/>
    <x v="5"/>
    <n v="2026"/>
    <s v="No"/>
    <n v="0"/>
    <x v="4"/>
    <n v="0"/>
  </r>
  <r>
    <s v="T003814"/>
    <x v="3621"/>
    <d v="2026-06-21T17:50:00"/>
    <x v="5"/>
    <s v="Phone"/>
    <x v="0"/>
    <s v="A019"/>
    <x v="2"/>
    <n v="72"/>
    <n v="5.5"/>
    <x v="1"/>
    <s v="No"/>
    <s v="No"/>
    <m/>
    <s v="Closed"/>
    <s v="June"/>
    <x v="5"/>
    <n v="2026"/>
    <s v="Yes"/>
    <n v="1"/>
    <x v="1"/>
    <n v="1"/>
  </r>
  <r>
    <s v="T003815"/>
    <x v="3622"/>
    <d v="2026-06-21T17:40:00"/>
    <x v="0"/>
    <s v="Phone"/>
    <x v="1"/>
    <s v="A057"/>
    <x v="1"/>
    <n v="24"/>
    <n v="5"/>
    <x v="1"/>
    <s v="No"/>
    <s v="Yes"/>
    <n v="4"/>
    <s v="Closed"/>
    <s v="June"/>
    <x v="5"/>
    <n v="2026"/>
    <s v="Yes"/>
    <n v="1"/>
    <x v="2"/>
    <n v="1"/>
  </r>
  <r>
    <s v="T003816"/>
    <x v="3623"/>
    <d v="2026-06-21T17:15:00"/>
    <x v="2"/>
    <s v="Chat"/>
    <x v="1"/>
    <s v="A055"/>
    <x v="1"/>
    <n v="24"/>
    <n v="4.4000000000000004"/>
    <x v="0"/>
    <s v="No"/>
    <s v="No"/>
    <m/>
    <s v="Closed"/>
    <s v="June"/>
    <x v="5"/>
    <n v="2026"/>
    <s v="Yes"/>
    <n v="1"/>
    <x v="1"/>
    <n v="0"/>
  </r>
  <r>
    <s v="T003817"/>
    <x v="3624"/>
    <d v="2026-06-25T03:35:00"/>
    <x v="6"/>
    <s v="Email"/>
    <x v="1"/>
    <s v="A013"/>
    <x v="0"/>
    <n v="24"/>
    <n v="86.6"/>
    <x v="0"/>
    <s v="Yes"/>
    <s v="No"/>
    <n v="4"/>
    <s v="Closed"/>
    <s v="June"/>
    <x v="5"/>
    <n v="2026"/>
    <s v="No"/>
    <n v="0"/>
    <x v="1"/>
    <n v="0"/>
  </r>
  <r>
    <s v="T003818"/>
    <x v="3625"/>
    <d v="2026-06-22T00:50:00"/>
    <x v="6"/>
    <s v="Field Visit"/>
    <x v="0"/>
    <s v="A017"/>
    <x v="2"/>
    <n v="72"/>
    <n v="11.7"/>
    <x v="0"/>
    <s v="No"/>
    <s v="No"/>
    <n v="5"/>
    <s v="Closed"/>
    <s v="June"/>
    <x v="5"/>
    <n v="2026"/>
    <s v="Yes"/>
    <n v="1"/>
    <x v="0"/>
    <n v="0"/>
  </r>
  <r>
    <s v="T003819"/>
    <x v="3626"/>
    <d v="2026-06-22T13:09:00"/>
    <x v="6"/>
    <s v="Field Visit"/>
    <x v="2"/>
    <s v="A009"/>
    <x v="0"/>
    <n v="4"/>
    <n v="23.8"/>
    <x v="0"/>
    <s v="Yes"/>
    <s v="No"/>
    <n v="4"/>
    <s v="Closed"/>
    <s v="June"/>
    <x v="5"/>
    <n v="2026"/>
    <s v="No"/>
    <n v="0"/>
    <x v="1"/>
    <n v="0"/>
  </r>
  <r>
    <s v="T003820"/>
    <x v="3627"/>
    <d v="2026-06-22T20:41:00"/>
    <x v="2"/>
    <s v="Email"/>
    <x v="2"/>
    <s v="A046"/>
    <x v="1"/>
    <n v="4"/>
    <n v="29.5"/>
    <x v="1"/>
    <s v="No"/>
    <s v="No"/>
    <m/>
    <s v="Closed"/>
    <s v="June"/>
    <x v="5"/>
    <n v="2026"/>
    <s v="No"/>
    <n v="0"/>
    <x v="0"/>
    <n v="1"/>
  </r>
  <r>
    <s v="T003821"/>
    <x v="3628"/>
    <d v="2026-06-21T20:41:00"/>
    <x v="6"/>
    <s v="Chat"/>
    <x v="2"/>
    <s v="A003"/>
    <x v="0"/>
    <n v="4"/>
    <n v="5"/>
    <x v="1"/>
    <s v="No"/>
    <s v="No"/>
    <n v="4"/>
    <s v="Closed"/>
    <s v="June"/>
    <x v="5"/>
    <n v="2026"/>
    <s v="No"/>
    <n v="0"/>
    <x v="0"/>
    <n v="1"/>
  </r>
  <r>
    <s v="T003822"/>
    <x v="3629"/>
    <d v="2026-06-22T14:48:00"/>
    <x v="1"/>
    <s v="Phone"/>
    <x v="0"/>
    <s v="A039"/>
    <x v="1"/>
    <n v="72"/>
    <n v="21.8"/>
    <x v="1"/>
    <s v="No"/>
    <s v="No"/>
    <n v="5"/>
    <s v="Closed"/>
    <s v="June"/>
    <x v="5"/>
    <n v="2026"/>
    <s v="Yes"/>
    <n v="1"/>
    <x v="4"/>
    <n v="1"/>
  </r>
  <r>
    <s v="T003823"/>
    <x v="3630"/>
    <d v="2026-06-22T02:27:00"/>
    <x v="1"/>
    <s v="Email"/>
    <x v="1"/>
    <s v="A036"/>
    <x v="1"/>
    <n v="24"/>
    <n v="9.1"/>
    <x v="1"/>
    <s v="No"/>
    <s v="No"/>
    <n v="5"/>
    <s v="Closed"/>
    <s v="June"/>
    <x v="5"/>
    <n v="2026"/>
    <s v="Yes"/>
    <n v="1"/>
    <x v="2"/>
    <n v="1"/>
  </r>
  <r>
    <s v="T003824"/>
    <x v="3631"/>
    <d v="2026-06-22T12:41:00"/>
    <x v="6"/>
    <s v="Field Visit"/>
    <x v="1"/>
    <s v="A059"/>
    <x v="1"/>
    <n v="24"/>
    <n v="19.2"/>
    <x v="1"/>
    <s v="No"/>
    <s v="Yes"/>
    <m/>
    <s v="Closed"/>
    <s v="June"/>
    <x v="5"/>
    <n v="2026"/>
    <s v="Yes"/>
    <n v="1"/>
    <x v="3"/>
    <n v="1"/>
  </r>
  <r>
    <s v="T003825"/>
    <x v="3632"/>
    <d v="2026-06-22T06:12:00"/>
    <x v="1"/>
    <s v="Phone"/>
    <x v="1"/>
    <s v="A010"/>
    <x v="0"/>
    <n v="24"/>
    <n v="12"/>
    <x v="0"/>
    <s v="No"/>
    <s v="No"/>
    <n v="3"/>
    <s v="Closed"/>
    <s v="June"/>
    <x v="5"/>
    <n v="2026"/>
    <s v="Yes"/>
    <n v="1"/>
    <x v="2"/>
    <n v="0"/>
  </r>
  <r>
    <s v="T003826"/>
    <x v="3633"/>
    <d v="2026-06-23T05:38:00"/>
    <x v="1"/>
    <s v="Email"/>
    <x v="2"/>
    <s v="A005"/>
    <x v="0"/>
    <n v="4"/>
    <n v="35.299999999999997"/>
    <x v="1"/>
    <s v="No"/>
    <s v="No"/>
    <n v="4"/>
    <s v="Closed"/>
    <s v="June"/>
    <x v="5"/>
    <n v="2026"/>
    <s v="No"/>
    <n v="0"/>
    <x v="3"/>
    <n v="1"/>
  </r>
  <r>
    <s v="T003827"/>
    <x v="3634"/>
    <d v="2026-06-27T08:47:00"/>
    <x v="3"/>
    <s v="Field Visit"/>
    <x v="1"/>
    <s v="A032"/>
    <x v="2"/>
    <n v="24"/>
    <n v="131.80000000000001"/>
    <x v="1"/>
    <s v="No"/>
    <s v="No"/>
    <n v="2"/>
    <s v="Closed"/>
    <s v="June"/>
    <x v="5"/>
    <n v="2026"/>
    <s v="No"/>
    <n v="0"/>
    <x v="4"/>
    <n v="1"/>
  </r>
  <r>
    <s v="T003828"/>
    <x v="3635"/>
    <d v="2026-06-22T11:44:00"/>
    <x v="3"/>
    <s v="Phone"/>
    <x v="0"/>
    <s v="A036"/>
    <x v="1"/>
    <n v="72"/>
    <n v="12.5"/>
    <x v="1"/>
    <s v="No"/>
    <s v="No"/>
    <n v="4"/>
    <s v="Closed"/>
    <s v="June"/>
    <x v="5"/>
    <n v="2026"/>
    <s v="Yes"/>
    <n v="1"/>
    <x v="3"/>
    <n v="1"/>
  </r>
  <r>
    <s v="T003829"/>
    <x v="3636"/>
    <d v="2026-06-22T10:02:00"/>
    <x v="1"/>
    <s v="Chat"/>
    <x v="0"/>
    <s v="A010"/>
    <x v="0"/>
    <n v="72"/>
    <n v="10.1"/>
    <x v="0"/>
    <s v="Yes"/>
    <s v="No"/>
    <n v="4"/>
    <s v="Closed"/>
    <s v="June"/>
    <x v="5"/>
    <n v="2026"/>
    <s v="Yes"/>
    <n v="1"/>
    <x v="1"/>
    <n v="0"/>
  </r>
  <r>
    <s v="T003830"/>
    <x v="3637"/>
    <d v="2026-06-22T14:19:00"/>
    <x v="2"/>
    <s v="Chat"/>
    <x v="1"/>
    <s v="A012"/>
    <x v="0"/>
    <n v="24"/>
    <n v="9.8000000000000007"/>
    <x v="1"/>
    <s v="No"/>
    <s v="No"/>
    <n v="5"/>
    <s v="Closed"/>
    <s v="June"/>
    <x v="5"/>
    <n v="2026"/>
    <s v="Yes"/>
    <n v="1"/>
    <x v="2"/>
    <n v="1"/>
  </r>
  <r>
    <s v="T003831"/>
    <x v="3638"/>
    <d v="2026-06-22T12:34:00"/>
    <x v="1"/>
    <s v="Email"/>
    <x v="1"/>
    <s v="A052"/>
    <x v="1"/>
    <n v="24"/>
    <n v="7.5"/>
    <x v="1"/>
    <s v="No"/>
    <s v="No"/>
    <m/>
    <s v="Closed"/>
    <s v="June"/>
    <x v="5"/>
    <n v="2026"/>
    <s v="Yes"/>
    <n v="1"/>
    <x v="4"/>
    <n v="1"/>
  </r>
  <r>
    <s v="T003832"/>
    <x v="3639"/>
    <d v="2026-06-22T09:33:00"/>
    <x v="5"/>
    <s v="Phone"/>
    <x v="0"/>
    <s v="A030"/>
    <x v="2"/>
    <n v="72"/>
    <n v="3.4"/>
    <x v="1"/>
    <s v="No"/>
    <s v="No"/>
    <n v="4"/>
    <s v="Closed"/>
    <s v="June"/>
    <x v="5"/>
    <n v="2026"/>
    <s v="Yes"/>
    <n v="1"/>
    <x v="4"/>
    <n v="1"/>
  </r>
  <r>
    <s v="T003833"/>
    <x v="3640"/>
    <d v="2026-06-23T11:24:00"/>
    <x v="3"/>
    <s v="Email"/>
    <x v="2"/>
    <s v="A043"/>
    <x v="1"/>
    <n v="4"/>
    <n v="26.2"/>
    <x v="1"/>
    <s v="No"/>
    <s v="Yes"/>
    <n v="5"/>
    <s v="Closed"/>
    <s v="June"/>
    <x v="5"/>
    <n v="2026"/>
    <s v="No"/>
    <n v="0"/>
    <x v="2"/>
    <n v="1"/>
  </r>
  <r>
    <s v="T003834"/>
    <x v="3641"/>
    <d v="2026-06-24T08:48:00"/>
    <x v="6"/>
    <s v="Email"/>
    <x v="2"/>
    <s v="A009"/>
    <x v="0"/>
    <n v="4"/>
    <n v="46.9"/>
    <x v="1"/>
    <s v="No"/>
    <s v="Yes"/>
    <n v="5"/>
    <s v="Closed"/>
    <s v="June"/>
    <x v="5"/>
    <n v="2026"/>
    <s v="No"/>
    <n v="0"/>
    <x v="1"/>
    <n v="1"/>
  </r>
  <r>
    <s v="T003835"/>
    <x v="3642"/>
    <d v="2026-06-22T13:00:00"/>
    <x v="1"/>
    <s v="Phone"/>
    <x v="1"/>
    <s v="A033"/>
    <x v="2"/>
    <n v="24"/>
    <n v="2.1"/>
    <x v="1"/>
    <s v="No"/>
    <s v="No"/>
    <n v="4"/>
    <s v="Closed"/>
    <s v="June"/>
    <x v="5"/>
    <n v="2026"/>
    <s v="Yes"/>
    <n v="1"/>
    <x v="2"/>
    <n v="1"/>
  </r>
  <r>
    <s v="T003836"/>
    <x v="3643"/>
    <d v="2026-06-23T15:21:00"/>
    <x v="3"/>
    <s v="Phone"/>
    <x v="0"/>
    <s v="A029"/>
    <x v="2"/>
    <n v="72"/>
    <n v="27.8"/>
    <x v="1"/>
    <s v="No"/>
    <s v="No"/>
    <n v="5"/>
    <s v="Closed"/>
    <s v="June"/>
    <x v="5"/>
    <n v="2026"/>
    <s v="Yes"/>
    <n v="1"/>
    <x v="4"/>
    <n v="1"/>
  </r>
  <r>
    <s v="T003837"/>
    <x v="3644"/>
    <d v="2026-06-24T04:09:00"/>
    <x v="3"/>
    <s v="Phone"/>
    <x v="1"/>
    <s v="A001"/>
    <x v="0"/>
    <n v="24"/>
    <n v="40"/>
    <x v="1"/>
    <s v="No"/>
    <s v="No"/>
    <n v="4"/>
    <s v="Closed"/>
    <s v="June"/>
    <x v="5"/>
    <n v="2026"/>
    <s v="No"/>
    <n v="0"/>
    <x v="4"/>
    <n v="1"/>
  </r>
  <r>
    <s v="T003838"/>
    <x v="3645"/>
    <d v="2026-07-03T15:45:00"/>
    <x v="4"/>
    <s v="Field Visit"/>
    <x v="1"/>
    <s v="A031"/>
    <x v="2"/>
    <n v="24"/>
    <n v="266.10000000000002"/>
    <x v="0"/>
    <s v="Yes"/>
    <s v="No"/>
    <n v="2"/>
    <s v="Closed"/>
    <s v="June"/>
    <x v="5"/>
    <n v="2026"/>
    <s v="No"/>
    <n v="0"/>
    <x v="2"/>
    <n v="0"/>
  </r>
  <r>
    <s v="T003839"/>
    <x v="3646"/>
    <d v="2026-06-25T03:34:00"/>
    <x v="0"/>
    <s v="Phone"/>
    <x v="1"/>
    <s v="A006"/>
    <x v="0"/>
    <n v="24"/>
    <n v="61.9"/>
    <x v="0"/>
    <s v="Yes"/>
    <s v="No"/>
    <n v="3"/>
    <s v="Closed"/>
    <s v="June"/>
    <x v="5"/>
    <n v="2026"/>
    <s v="No"/>
    <n v="0"/>
    <x v="2"/>
    <n v="0"/>
  </r>
  <r>
    <s v="T003840"/>
    <x v="3647"/>
    <d v="2026-06-23T05:28:00"/>
    <x v="2"/>
    <s v="Phone"/>
    <x v="1"/>
    <s v="A014"/>
    <x v="0"/>
    <n v="24"/>
    <n v="14.1"/>
    <x v="1"/>
    <s v="No"/>
    <s v="No"/>
    <m/>
    <s v="Closed"/>
    <s v="June"/>
    <x v="5"/>
    <n v="2026"/>
    <s v="Yes"/>
    <n v="1"/>
    <x v="2"/>
    <n v="1"/>
  </r>
  <r>
    <s v="T003841"/>
    <x v="3648"/>
    <d v="2026-06-23T06:35:00"/>
    <x v="0"/>
    <s v="Phone"/>
    <x v="0"/>
    <s v="A022"/>
    <x v="2"/>
    <n v="72"/>
    <n v="14.1"/>
    <x v="1"/>
    <s v="No"/>
    <s v="Yes"/>
    <m/>
    <s v="Closed"/>
    <s v="June"/>
    <x v="5"/>
    <n v="2026"/>
    <s v="Yes"/>
    <n v="1"/>
    <x v="3"/>
    <n v="1"/>
  </r>
  <r>
    <s v="T003842"/>
    <x v="3649"/>
    <d v="2026-06-22T21:15:00"/>
    <x v="5"/>
    <s v="Chat"/>
    <x v="1"/>
    <s v="A002"/>
    <x v="0"/>
    <n v="24"/>
    <n v="3.8"/>
    <x v="1"/>
    <s v="No"/>
    <s v="No"/>
    <m/>
    <s v="Closed"/>
    <s v="June"/>
    <x v="5"/>
    <n v="2026"/>
    <s v="Yes"/>
    <n v="1"/>
    <x v="3"/>
    <n v="1"/>
  </r>
  <r>
    <s v="T003843"/>
    <x v="3650"/>
    <d v="2026-06-23T00:23:00"/>
    <x v="6"/>
    <s v="Phone"/>
    <x v="2"/>
    <s v="A038"/>
    <x v="1"/>
    <n v="4"/>
    <n v="6.7"/>
    <x v="1"/>
    <s v="No"/>
    <s v="Yes"/>
    <m/>
    <s v="Closed"/>
    <s v="June"/>
    <x v="5"/>
    <n v="2026"/>
    <s v="No"/>
    <n v="0"/>
    <x v="4"/>
    <n v="1"/>
  </r>
  <r>
    <s v="T003844"/>
    <x v="3651"/>
    <d v="2026-06-23T01:43:00"/>
    <x v="1"/>
    <s v="Phone"/>
    <x v="0"/>
    <s v="A017"/>
    <x v="2"/>
    <n v="72"/>
    <n v="2.7"/>
    <x v="1"/>
    <s v="No"/>
    <s v="No"/>
    <n v="5"/>
    <s v="Closed"/>
    <s v="June"/>
    <x v="5"/>
    <n v="2026"/>
    <s v="Yes"/>
    <n v="1"/>
    <x v="3"/>
    <n v="1"/>
  </r>
  <r>
    <s v="T003845"/>
    <x v="3652"/>
    <d v="2026-06-23T09:05:00"/>
    <x v="5"/>
    <s v="Chat"/>
    <x v="0"/>
    <s v="A011"/>
    <x v="0"/>
    <n v="72"/>
    <n v="5.9"/>
    <x v="1"/>
    <s v="No"/>
    <s v="No"/>
    <m/>
    <s v="Closed"/>
    <s v="June"/>
    <x v="5"/>
    <n v="2026"/>
    <s v="Yes"/>
    <n v="1"/>
    <x v="3"/>
    <n v="1"/>
  </r>
  <r>
    <s v="T003846"/>
    <x v="3653"/>
    <d v="2026-06-23T14:23:00"/>
    <x v="6"/>
    <s v="Phone"/>
    <x v="2"/>
    <s v="A016"/>
    <x v="2"/>
    <n v="4"/>
    <n v="9.1"/>
    <x v="1"/>
    <s v="No"/>
    <s v="No"/>
    <m/>
    <s v="Closed"/>
    <s v="June"/>
    <x v="5"/>
    <n v="2026"/>
    <s v="No"/>
    <n v="0"/>
    <x v="3"/>
    <n v="1"/>
  </r>
  <r>
    <s v="T003847"/>
    <x v="3654"/>
    <d v="2026-06-23T18:22:00"/>
    <x v="5"/>
    <s v="Chat"/>
    <x v="0"/>
    <s v="A060"/>
    <x v="1"/>
    <n v="72"/>
    <n v="12.2"/>
    <x v="1"/>
    <s v="No"/>
    <s v="No"/>
    <m/>
    <s v="Closed"/>
    <s v="June"/>
    <x v="5"/>
    <n v="2026"/>
    <s v="Yes"/>
    <n v="1"/>
    <x v="4"/>
    <n v="1"/>
  </r>
  <r>
    <s v="T003848"/>
    <x v="3655"/>
    <d v="2026-06-23T09:17:00"/>
    <x v="5"/>
    <s v="Chat"/>
    <x v="2"/>
    <s v="A001"/>
    <x v="0"/>
    <n v="4"/>
    <n v="2.9"/>
    <x v="0"/>
    <s v="Yes"/>
    <s v="Yes"/>
    <n v="5"/>
    <s v="Closed"/>
    <s v="June"/>
    <x v="5"/>
    <n v="2026"/>
    <s v="Yes"/>
    <n v="1"/>
    <x v="0"/>
    <n v="0"/>
  </r>
  <r>
    <s v="T003849"/>
    <x v="3656"/>
    <d v="2026-07-01T15:04:00"/>
    <x v="4"/>
    <s v="Field Visit"/>
    <x v="1"/>
    <s v="A010"/>
    <x v="0"/>
    <n v="24"/>
    <n v="199.4"/>
    <x v="1"/>
    <s v="No"/>
    <s v="No"/>
    <m/>
    <s v="Closed"/>
    <s v="June"/>
    <x v="5"/>
    <n v="2026"/>
    <s v="No"/>
    <n v="0"/>
    <x v="4"/>
    <n v="1"/>
  </r>
  <r>
    <s v="T003850"/>
    <x v="3657"/>
    <d v="2026-06-24T02:49:00"/>
    <x v="6"/>
    <s v="Field Visit"/>
    <x v="1"/>
    <s v="A031"/>
    <x v="2"/>
    <n v="24"/>
    <n v="18.100000000000001"/>
    <x v="1"/>
    <s v="No"/>
    <s v="No"/>
    <m/>
    <s v="Closed"/>
    <s v="June"/>
    <x v="5"/>
    <n v="2026"/>
    <s v="Yes"/>
    <n v="1"/>
    <x v="4"/>
    <n v="1"/>
  </r>
  <r>
    <s v="T003851"/>
    <x v="3658"/>
    <d v="2026-06-25T13:57:00"/>
    <x v="4"/>
    <s v="Email"/>
    <x v="0"/>
    <s v="A015"/>
    <x v="0"/>
    <n v="72"/>
    <n v="53"/>
    <x v="0"/>
    <s v="No"/>
    <s v="Yes"/>
    <m/>
    <s v="Closed"/>
    <s v="June"/>
    <x v="5"/>
    <n v="2026"/>
    <s v="Yes"/>
    <n v="1"/>
    <x v="4"/>
    <n v="0"/>
  </r>
  <r>
    <s v="T003852"/>
    <x v="3659"/>
    <d v="2026-06-24T08:01:00"/>
    <x v="5"/>
    <s v="Field Visit"/>
    <x v="1"/>
    <s v="A036"/>
    <x v="1"/>
    <n v="24"/>
    <n v="22.7"/>
    <x v="0"/>
    <s v="Yes"/>
    <s v="No"/>
    <m/>
    <s v="Closed"/>
    <s v="June"/>
    <x v="5"/>
    <n v="2026"/>
    <s v="Yes"/>
    <n v="1"/>
    <x v="1"/>
    <n v="0"/>
  </r>
  <r>
    <s v="T003853"/>
    <x v="3660"/>
    <d v="2026-06-23T22:26:00"/>
    <x v="0"/>
    <s v="Phone"/>
    <x v="1"/>
    <s v="A007"/>
    <x v="0"/>
    <n v="24"/>
    <n v="12.6"/>
    <x v="1"/>
    <s v="No"/>
    <s v="No"/>
    <n v="5"/>
    <s v="Closed"/>
    <s v="June"/>
    <x v="5"/>
    <n v="2026"/>
    <s v="Yes"/>
    <n v="1"/>
    <x v="2"/>
    <n v="1"/>
  </r>
  <r>
    <s v="T003854"/>
    <x v="3661"/>
    <d v="2026-06-23T13:45:00"/>
    <x v="1"/>
    <s v="Chat"/>
    <x v="0"/>
    <s v="A009"/>
    <x v="0"/>
    <n v="72"/>
    <n v="3.6"/>
    <x v="0"/>
    <s v="Yes"/>
    <s v="No"/>
    <n v="4"/>
    <s v="Closed"/>
    <s v="June"/>
    <x v="5"/>
    <n v="2026"/>
    <s v="Yes"/>
    <n v="1"/>
    <x v="3"/>
    <n v="0"/>
  </r>
  <r>
    <s v="T003855"/>
    <x v="3662"/>
    <d v="2026-06-24T04:59:00"/>
    <x v="0"/>
    <s v="Field Visit"/>
    <x v="1"/>
    <s v="A033"/>
    <x v="2"/>
    <n v="24"/>
    <n v="18.5"/>
    <x v="0"/>
    <s v="Yes"/>
    <s v="No"/>
    <n v="4"/>
    <s v="Closed"/>
    <s v="June"/>
    <x v="5"/>
    <n v="2026"/>
    <s v="Yes"/>
    <n v="1"/>
    <x v="1"/>
    <n v="0"/>
  </r>
  <r>
    <s v="T003856"/>
    <x v="3663"/>
    <d v="2026-06-24T01:17:00"/>
    <x v="3"/>
    <s v="Phone"/>
    <x v="2"/>
    <s v="A053"/>
    <x v="1"/>
    <n v="4"/>
    <n v="13.2"/>
    <x v="1"/>
    <s v="No"/>
    <s v="No"/>
    <n v="5"/>
    <s v="Closed"/>
    <s v="June"/>
    <x v="5"/>
    <n v="2026"/>
    <s v="No"/>
    <n v="0"/>
    <x v="0"/>
    <n v="1"/>
  </r>
  <r>
    <s v="T003857"/>
    <x v="3664"/>
    <d v="2026-06-25T12:56:00"/>
    <x v="3"/>
    <s v="Field Visit"/>
    <x v="1"/>
    <s v="A049"/>
    <x v="1"/>
    <n v="24"/>
    <n v="48.4"/>
    <x v="1"/>
    <s v="No"/>
    <s v="No"/>
    <m/>
    <s v="Closed"/>
    <s v="June"/>
    <x v="5"/>
    <n v="2026"/>
    <s v="No"/>
    <n v="0"/>
    <x v="2"/>
    <n v="1"/>
  </r>
  <r>
    <s v="T003858"/>
    <x v="3665"/>
    <d v="2026-06-25T20:19:00"/>
    <x v="3"/>
    <s v="Field Visit"/>
    <x v="2"/>
    <s v="A032"/>
    <x v="2"/>
    <n v="4"/>
    <n v="55.5"/>
    <x v="1"/>
    <s v="No"/>
    <s v="No"/>
    <n v="3"/>
    <s v="Closed"/>
    <s v="June"/>
    <x v="5"/>
    <n v="2026"/>
    <s v="No"/>
    <n v="0"/>
    <x v="4"/>
    <n v="1"/>
  </r>
  <r>
    <s v="T003859"/>
    <x v="3666"/>
    <d v="2026-06-24T03:31:00"/>
    <x v="0"/>
    <s v="Chat"/>
    <x v="1"/>
    <s v="A044"/>
    <x v="1"/>
    <n v="24"/>
    <n v="12.9"/>
    <x v="0"/>
    <s v="Yes"/>
    <s v="No"/>
    <n v="2"/>
    <s v="Closed"/>
    <s v="June"/>
    <x v="5"/>
    <n v="2026"/>
    <s v="Yes"/>
    <n v="1"/>
    <x v="4"/>
    <n v="0"/>
  </r>
  <r>
    <s v="T003860"/>
    <x v="3666"/>
    <d v="2026-06-24T04:13:00"/>
    <x v="6"/>
    <s v="Email"/>
    <x v="0"/>
    <s v="A032"/>
    <x v="2"/>
    <n v="72"/>
    <n v="13.6"/>
    <x v="0"/>
    <s v="Yes"/>
    <s v="No"/>
    <n v="5"/>
    <s v="Closed"/>
    <s v="June"/>
    <x v="5"/>
    <n v="2026"/>
    <s v="Yes"/>
    <n v="1"/>
    <x v="0"/>
    <n v="0"/>
  </r>
  <r>
    <s v="T003861"/>
    <x v="3667"/>
    <d v="2026-06-23T17:50:00"/>
    <x v="1"/>
    <s v="Chat"/>
    <x v="1"/>
    <s v="A027"/>
    <x v="2"/>
    <n v="24"/>
    <n v="3.1"/>
    <x v="1"/>
    <s v="No"/>
    <s v="No"/>
    <n v="4"/>
    <s v="Closed"/>
    <s v="June"/>
    <x v="5"/>
    <n v="2026"/>
    <s v="Yes"/>
    <n v="1"/>
    <x v="3"/>
    <n v="1"/>
  </r>
  <r>
    <s v="T003862"/>
    <x v="3668"/>
    <d v="2026-06-24T03:37:00"/>
    <x v="0"/>
    <s v="Phone"/>
    <x v="1"/>
    <s v="A010"/>
    <x v="0"/>
    <n v="24"/>
    <n v="12.7"/>
    <x v="0"/>
    <s v="No"/>
    <s v="No"/>
    <n v="5"/>
    <s v="Closed"/>
    <s v="June"/>
    <x v="5"/>
    <n v="2026"/>
    <s v="Yes"/>
    <n v="1"/>
    <x v="0"/>
    <n v="0"/>
  </r>
  <r>
    <s v="T003863"/>
    <x v="3669"/>
    <d v="2026-06-25T08:23:00"/>
    <x v="0"/>
    <s v="Phone"/>
    <x v="0"/>
    <s v="A003"/>
    <x v="0"/>
    <n v="72"/>
    <n v="41.4"/>
    <x v="0"/>
    <s v="Yes"/>
    <s v="No"/>
    <n v="5"/>
    <s v="Closed"/>
    <s v="June"/>
    <x v="5"/>
    <n v="2026"/>
    <s v="Yes"/>
    <n v="1"/>
    <x v="3"/>
    <n v="0"/>
  </r>
  <r>
    <s v="T003864"/>
    <x v="3670"/>
    <d v="2026-06-23T20:41:00"/>
    <x v="2"/>
    <s v="Phone"/>
    <x v="1"/>
    <s v="A050"/>
    <x v="1"/>
    <n v="24"/>
    <n v="5"/>
    <x v="0"/>
    <s v="Yes"/>
    <s v="No"/>
    <n v="4"/>
    <s v="Closed"/>
    <s v="June"/>
    <x v="5"/>
    <n v="2026"/>
    <s v="Yes"/>
    <n v="1"/>
    <x v="4"/>
    <n v="0"/>
  </r>
  <r>
    <s v="T003865"/>
    <x v="3671"/>
    <d v="2026-06-26T12:29:00"/>
    <x v="3"/>
    <s v="Field Visit"/>
    <x v="1"/>
    <s v="A049"/>
    <x v="1"/>
    <n v="24"/>
    <n v="67.7"/>
    <x v="0"/>
    <s v="No"/>
    <s v="No"/>
    <m/>
    <s v="Closed"/>
    <s v="June"/>
    <x v="5"/>
    <n v="2026"/>
    <s v="No"/>
    <n v="0"/>
    <x v="1"/>
    <n v="0"/>
  </r>
  <r>
    <s v="T003866"/>
    <x v="3672"/>
    <d v="2026-06-24T21:57:00"/>
    <x v="2"/>
    <s v="Field Visit"/>
    <x v="1"/>
    <s v="A035"/>
    <x v="2"/>
    <n v="24"/>
    <n v="29"/>
    <x v="1"/>
    <s v="No"/>
    <s v="Yes"/>
    <m/>
    <s v="Closed"/>
    <s v="June"/>
    <x v="5"/>
    <n v="2026"/>
    <s v="No"/>
    <n v="0"/>
    <x v="1"/>
    <n v="1"/>
  </r>
  <r>
    <s v="T003867"/>
    <x v="3673"/>
    <d v="2026-06-24T13:56:00"/>
    <x v="3"/>
    <s v="Field Visit"/>
    <x v="2"/>
    <s v="A038"/>
    <x v="1"/>
    <n v="4"/>
    <n v="19.7"/>
    <x v="1"/>
    <s v="No"/>
    <s v="No"/>
    <n v="4"/>
    <s v="Closed"/>
    <s v="June"/>
    <x v="5"/>
    <n v="2026"/>
    <s v="No"/>
    <n v="0"/>
    <x v="4"/>
    <n v="1"/>
  </r>
  <r>
    <s v="T003868"/>
    <x v="3674"/>
    <d v="2026-06-24T17:09:00"/>
    <x v="3"/>
    <s v="Chat"/>
    <x v="2"/>
    <s v="A025"/>
    <x v="2"/>
    <n v="4"/>
    <n v="22.5"/>
    <x v="1"/>
    <s v="No"/>
    <s v="No"/>
    <n v="5"/>
    <s v="Closed"/>
    <s v="June"/>
    <x v="5"/>
    <n v="2026"/>
    <s v="No"/>
    <n v="0"/>
    <x v="2"/>
    <n v="1"/>
  </r>
  <r>
    <s v="T003869"/>
    <x v="3675"/>
    <d v="2026-06-24T10:48:00"/>
    <x v="2"/>
    <s v="Email"/>
    <x v="2"/>
    <s v="A046"/>
    <x v="1"/>
    <n v="4"/>
    <n v="13.1"/>
    <x v="1"/>
    <s v="No"/>
    <s v="No"/>
    <n v="4"/>
    <s v="Closed"/>
    <s v="June"/>
    <x v="5"/>
    <n v="2026"/>
    <s v="No"/>
    <n v="0"/>
    <x v="4"/>
    <n v="1"/>
  </r>
  <r>
    <s v="T003870"/>
    <x v="3676"/>
    <d v="2026-06-24T21:05:00"/>
    <x v="6"/>
    <s v="Field Visit"/>
    <x v="2"/>
    <s v="A049"/>
    <x v="1"/>
    <n v="4"/>
    <n v="21.3"/>
    <x v="1"/>
    <s v="No"/>
    <s v="No"/>
    <m/>
    <s v="Closed"/>
    <s v="June"/>
    <x v="5"/>
    <n v="2026"/>
    <s v="No"/>
    <n v="0"/>
    <x v="3"/>
    <n v="1"/>
  </r>
  <r>
    <s v="T003871"/>
    <x v="3677"/>
    <d v="2026-06-24T15:09:00"/>
    <x v="6"/>
    <s v="Phone"/>
    <x v="1"/>
    <s v="A057"/>
    <x v="1"/>
    <n v="24"/>
    <n v="7.2"/>
    <x v="1"/>
    <s v="No"/>
    <s v="No"/>
    <n v="5"/>
    <s v="Closed"/>
    <s v="June"/>
    <x v="5"/>
    <n v="2026"/>
    <s v="Yes"/>
    <n v="1"/>
    <x v="1"/>
    <n v="1"/>
  </r>
  <r>
    <s v="T003872"/>
    <x v="3678"/>
    <d v="2026-06-24T13:20:00"/>
    <x v="1"/>
    <s v="Email"/>
    <x v="0"/>
    <s v="A025"/>
    <x v="2"/>
    <n v="72"/>
    <n v="5.2"/>
    <x v="1"/>
    <s v="No"/>
    <s v="No"/>
    <n v="3"/>
    <s v="Closed"/>
    <s v="June"/>
    <x v="5"/>
    <n v="2026"/>
    <s v="Yes"/>
    <n v="1"/>
    <x v="4"/>
    <n v="1"/>
  </r>
  <r>
    <s v="T003873"/>
    <x v="3679"/>
    <d v="2026-06-24T11:45:00"/>
    <x v="5"/>
    <s v="Chat"/>
    <x v="0"/>
    <s v="A049"/>
    <x v="1"/>
    <n v="72"/>
    <n v="3.5"/>
    <x v="0"/>
    <s v="No"/>
    <s v="No"/>
    <n v="4"/>
    <s v="Closed"/>
    <s v="June"/>
    <x v="5"/>
    <n v="2026"/>
    <s v="Yes"/>
    <n v="1"/>
    <x v="3"/>
    <n v="0"/>
  </r>
  <r>
    <s v="T003874"/>
    <x v="3680"/>
    <d v="2026-06-24T13:59:00"/>
    <x v="1"/>
    <s v="Chat"/>
    <x v="0"/>
    <s v="A045"/>
    <x v="1"/>
    <n v="72"/>
    <n v="4.9000000000000004"/>
    <x v="1"/>
    <s v="No"/>
    <s v="No"/>
    <n v="4"/>
    <s v="Closed"/>
    <s v="June"/>
    <x v="5"/>
    <n v="2026"/>
    <s v="Yes"/>
    <n v="1"/>
    <x v="2"/>
    <n v="1"/>
  </r>
  <r>
    <s v="T003875"/>
    <x v="3681"/>
    <d v="2026-06-24T17:10:00"/>
    <x v="5"/>
    <s v="Phone"/>
    <x v="0"/>
    <s v="A026"/>
    <x v="2"/>
    <n v="72"/>
    <n v="4.8"/>
    <x v="1"/>
    <s v="No"/>
    <s v="No"/>
    <n v="4"/>
    <s v="Closed"/>
    <s v="June"/>
    <x v="5"/>
    <n v="2026"/>
    <s v="Yes"/>
    <n v="1"/>
    <x v="3"/>
    <n v="1"/>
  </r>
  <r>
    <s v="T003876"/>
    <x v="3682"/>
    <d v="2026-06-24T17:59:00"/>
    <x v="5"/>
    <s v="Phone"/>
    <x v="1"/>
    <s v="A016"/>
    <x v="2"/>
    <n v="24"/>
    <n v="4.7"/>
    <x v="1"/>
    <s v="No"/>
    <s v="No"/>
    <n v="5"/>
    <s v="Closed"/>
    <s v="June"/>
    <x v="5"/>
    <n v="2026"/>
    <s v="Yes"/>
    <n v="1"/>
    <x v="1"/>
    <n v="1"/>
  </r>
  <r>
    <s v="T003877"/>
    <x v="3683"/>
    <d v="2026-06-24T18:55:00"/>
    <x v="3"/>
    <s v="Chat"/>
    <x v="1"/>
    <s v="A004"/>
    <x v="0"/>
    <n v="24"/>
    <n v="5.6"/>
    <x v="0"/>
    <s v="Yes"/>
    <s v="No"/>
    <n v="3"/>
    <s v="Closed"/>
    <s v="June"/>
    <x v="5"/>
    <n v="2026"/>
    <s v="Yes"/>
    <n v="1"/>
    <x v="3"/>
    <n v="0"/>
  </r>
  <r>
    <s v="T003878"/>
    <x v="3684"/>
    <d v="2026-06-25T05:55:00"/>
    <x v="2"/>
    <s v="Field Visit"/>
    <x v="2"/>
    <s v="A042"/>
    <x v="1"/>
    <n v="4"/>
    <n v="16.100000000000001"/>
    <x v="1"/>
    <s v="No"/>
    <s v="No"/>
    <n v="4"/>
    <s v="Closed"/>
    <s v="June"/>
    <x v="5"/>
    <n v="2026"/>
    <s v="No"/>
    <n v="0"/>
    <x v="1"/>
    <n v="1"/>
  </r>
  <r>
    <s v="T003879"/>
    <x v="3685"/>
    <d v="2026-06-24T15:31:00"/>
    <x v="1"/>
    <s v="Phone"/>
    <x v="0"/>
    <s v="A054"/>
    <x v="1"/>
    <n v="72"/>
    <n v="1.5"/>
    <x v="1"/>
    <s v="No"/>
    <s v="No"/>
    <n v="5"/>
    <s v="Closed"/>
    <s v="June"/>
    <x v="5"/>
    <n v="2026"/>
    <s v="Yes"/>
    <n v="1"/>
    <x v="3"/>
    <n v="1"/>
  </r>
  <r>
    <s v="T003880"/>
    <x v="3686"/>
    <d v="2026-06-25T04:39:00"/>
    <x v="2"/>
    <s v="Phone"/>
    <x v="1"/>
    <s v="A045"/>
    <x v="1"/>
    <n v="24"/>
    <n v="12.8"/>
    <x v="0"/>
    <s v="Yes"/>
    <s v="No"/>
    <n v="4"/>
    <s v="Closed"/>
    <s v="June"/>
    <x v="5"/>
    <n v="2026"/>
    <s v="Yes"/>
    <n v="1"/>
    <x v="2"/>
    <n v="0"/>
  </r>
  <r>
    <s v="T003881"/>
    <x v="3687"/>
    <d v="2026-06-24T21:41:00"/>
    <x v="1"/>
    <s v="Phone"/>
    <x v="0"/>
    <s v="A034"/>
    <x v="2"/>
    <n v="72"/>
    <n v="4.9000000000000004"/>
    <x v="1"/>
    <s v="No"/>
    <s v="No"/>
    <m/>
    <s v="Closed"/>
    <s v="June"/>
    <x v="5"/>
    <n v="2026"/>
    <s v="Yes"/>
    <n v="1"/>
    <x v="3"/>
    <n v="1"/>
  </r>
  <r>
    <s v="T003882"/>
    <x v="3688"/>
    <d v="2026-06-25T01:14:00"/>
    <x v="1"/>
    <s v="Phone"/>
    <x v="0"/>
    <s v="A057"/>
    <x v="1"/>
    <n v="72"/>
    <n v="8.3000000000000007"/>
    <x v="1"/>
    <s v="No"/>
    <s v="No"/>
    <n v="5"/>
    <s v="Closed"/>
    <s v="June"/>
    <x v="5"/>
    <n v="2026"/>
    <s v="Yes"/>
    <n v="1"/>
    <x v="3"/>
    <n v="1"/>
  </r>
  <r>
    <s v="T003883"/>
    <x v="3689"/>
    <d v="2026-06-24T19:02:00"/>
    <x v="2"/>
    <s v="Phone"/>
    <x v="2"/>
    <s v="A042"/>
    <x v="1"/>
    <n v="4"/>
    <n v="1.8"/>
    <x v="1"/>
    <s v="No"/>
    <s v="No"/>
    <n v="3"/>
    <s v="Closed"/>
    <s v="June"/>
    <x v="5"/>
    <n v="2026"/>
    <s v="Yes"/>
    <n v="1"/>
    <x v="2"/>
    <n v="1"/>
  </r>
  <r>
    <s v="T003884"/>
    <x v="3690"/>
    <d v="2026-07-01T09:29:00"/>
    <x v="4"/>
    <s v="Field Visit"/>
    <x v="1"/>
    <s v="A021"/>
    <x v="2"/>
    <n v="24"/>
    <n v="160.1"/>
    <x v="0"/>
    <s v="No"/>
    <s v="No"/>
    <m/>
    <s v="Closed"/>
    <s v="June"/>
    <x v="5"/>
    <n v="2026"/>
    <s v="No"/>
    <n v="0"/>
    <x v="4"/>
    <n v="0"/>
  </r>
  <r>
    <s v="T003885"/>
    <x v="3691"/>
    <d v="2026-06-26T00:23:00"/>
    <x v="4"/>
    <s v="Field Visit"/>
    <x v="1"/>
    <s v="A057"/>
    <x v="1"/>
    <n v="24"/>
    <n v="27.3"/>
    <x v="1"/>
    <s v="No"/>
    <s v="No"/>
    <n v="2"/>
    <s v="Closed"/>
    <s v="June"/>
    <x v="5"/>
    <n v="2026"/>
    <s v="No"/>
    <n v="0"/>
    <x v="1"/>
    <n v="1"/>
  </r>
  <r>
    <s v="T003886"/>
    <x v="3692"/>
    <d v="2026-06-25T22:14:00"/>
    <x v="5"/>
    <s v="Phone"/>
    <x v="2"/>
    <s v="A021"/>
    <x v="2"/>
    <n v="4"/>
    <n v="23.9"/>
    <x v="1"/>
    <s v="No"/>
    <s v="No"/>
    <m/>
    <s v="Closed"/>
    <s v="June"/>
    <x v="5"/>
    <n v="2026"/>
    <s v="No"/>
    <n v="0"/>
    <x v="1"/>
    <n v="1"/>
  </r>
  <r>
    <s v="T003887"/>
    <x v="3693"/>
    <d v="2026-06-27T21:17:00"/>
    <x v="3"/>
    <s v="Field Visit"/>
    <x v="1"/>
    <s v="A025"/>
    <x v="2"/>
    <n v="24"/>
    <n v="69.900000000000006"/>
    <x v="0"/>
    <s v="No"/>
    <s v="No"/>
    <n v="4"/>
    <s v="Closed"/>
    <s v="June"/>
    <x v="5"/>
    <n v="2026"/>
    <s v="No"/>
    <n v="0"/>
    <x v="2"/>
    <n v="0"/>
  </r>
  <r>
    <s v="T003888"/>
    <x v="3694"/>
    <d v="2026-06-25T10:43:00"/>
    <x v="0"/>
    <s v="Chat"/>
    <x v="0"/>
    <s v="A020"/>
    <x v="2"/>
    <n v="72"/>
    <n v="7.4"/>
    <x v="1"/>
    <s v="No"/>
    <s v="No"/>
    <n v="5"/>
    <s v="Closed"/>
    <s v="June"/>
    <x v="5"/>
    <n v="2026"/>
    <s v="Yes"/>
    <n v="1"/>
    <x v="2"/>
    <n v="1"/>
  </r>
  <r>
    <s v="T003889"/>
    <x v="3695"/>
    <d v="2026-06-25T16:43:00"/>
    <x v="1"/>
    <s v="Email"/>
    <x v="1"/>
    <s v="A035"/>
    <x v="2"/>
    <n v="24"/>
    <n v="9.8000000000000007"/>
    <x v="0"/>
    <s v="No"/>
    <s v="No"/>
    <m/>
    <s v="Closed"/>
    <s v="June"/>
    <x v="5"/>
    <n v="2026"/>
    <s v="Yes"/>
    <n v="1"/>
    <x v="3"/>
    <n v="0"/>
  </r>
  <r>
    <s v="T003890"/>
    <x v="3696"/>
    <d v="2026-06-26T01:08:00"/>
    <x v="6"/>
    <s v="Field Visit"/>
    <x v="2"/>
    <s v="A060"/>
    <x v="1"/>
    <n v="4"/>
    <n v="17.100000000000001"/>
    <x v="1"/>
    <s v="No"/>
    <s v="No"/>
    <n v="4"/>
    <s v="Closed"/>
    <s v="June"/>
    <x v="5"/>
    <n v="2026"/>
    <s v="No"/>
    <n v="0"/>
    <x v="2"/>
    <n v="1"/>
  </r>
  <r>
    <s v="T003891"/>
    <x v="3697"/>
    <d v="2026-06-25T20:41:00"/>
    <x v="6"/>
    <s v="Chat"/>
    <x v="1"/>
    <s v="A012"/>
    <x v="0"/>
    <n v="24"/>
    <n v="11.1"/>
    <x v="1"/>
    <s v="No"/>
    <s v="No"/>
    <m/>
    <s v="Closed"/>
    <s v="June"/>
    <x v="5"/>
    <n v="2026"/>
    <s v="Yes"/>
    <n v="1"/>
    <x v="2"/>
    <n v="1"/>
  </r>
  <r>
    <s v="T003892"/>
    <x v="3698"/>
    <d v="2026-06-26T00:34:00"/>
    <x v="6"/>
    <s v="Field Visit"/>
    <x v="2"/>
    <s v="A035"/>
    <x v="2"/>
    <n v="4"/>
    <n v="14.6"/>
    <x v="0"/>
    <s v="Yes"/>
    <s v="No"/>
    <n v="4"/>
    <s v="Closed"/>
    <s v="June"/>
    <x v="5"/>
    <n v="2026"/>
    <s v="No"/>
    <n v="0"/>
    <x v="2"/>
    <n v="0"/>
  </r>
  <r>
    <s v="T003893"/>
    <x v="3699"/>
    <d v="2026-06-25T15:21:00"/>
    <x v="1"/>
    <s v="Phone"/>
    <x v="1"/>
    <s v="A003"/>
    <x v="0"/>
    <n v="24"/>
    <n v="5"/>
    <x v="1"/>
    <s v="No"/>
    <s v="No"/>
    <n v="4"/>
    <s v="Closed"/>
    <s v="June"/>
    <x v="5"/>
    <n v="2026"/>
    <s v="Yes"/>
    <n v="1"/>
    <x v="1"/>
    <n v="1"/>
  </r>
  <r>
    <s v="T003894"/>
    <x v="3700"/>
    <d v="2026-06-25T21:23:00"/>
    <x v="6"/>
    <s v="Phone"/>
    <x v="1"/>
    <s v="A003"/>
    <x v="0"/>
    <n v="24"/>
    <n v="10.1"/>
    <x v="0"/>
    <s v="No"/>
    <s v="No"/>
    <m/>
    <s v="Closed"/>
    <s v="June"/>
    <x v="5"/>
    <n v="2026"/>
    <s v="Yes"/>
    <n v="1"/>
    <x v="1"/>
    <n v="0"/>
  </r>
  <r>
    <s v="T003895"/>
    <x v="3701"/>
    <d v="2026-06-25T19:37:00"/>
    <x v="5"/>
    <s v="Email"/>
    <x v="0"/>
    <s v="A023"/>
    <x v="2"/>
    <n v="72"/>
    <n v="7.5"/>
    <x v="1"/>
    <s v="No"/>
    <s v="No"/>
    <m/>
    <s v="Closed"/>
    <s v="June"/>
    <x v="5"/>
    <n v="2026"/>
    <s v="Yes"/>
    <n v="1"/>
    <x v="2"/>
    <n v="1"/>
  </r>
  <r>
    <s v="T003896"/>
    <x v="3702"/>
    <d v="2026-06-28T13:37:00"/>
    <x v="2"/>
    <s v="Email"/>
    <x v="1"/>
    <s v="A002"/>
    <x v="0"/>
    <n v="24"/>
    <n v="72.7"/>
    <x v="1"/>
    <s v="No"/>
    <s v="Yes"/>
    <n v="4"/>
    <s v="Closed"/>
    <s v="June"/>
    <x v="5"/>
    <n v="2026"/>
    <s v="No"/>
    <n v="0"/>
    <x v="4"/>
    <n v="1"/>
  </r>
  <r>
    <s v="T003897"/>
    <x v="3703"/>
    <d v="2026-06-26T15:49:00"/>
    <x v="6"/>
    <s v="Phone"/>
    <x v="1"/>
    <s v="A009"/>
    <x v="0"/>
    <n v="24"/>
    <n v="26.4"/>
    <x v="1"/>
    <s v="No"/>
    <s v="Yes"/>
    <m/>
    <s v="Closed"/>
    <s v="June"/>
    <x v="5"/>
    <n v="2026"/>
    <s v="No"/>
    <n v="0"/>
    <x v="2"/>
    <n v="1"/>
  </r>
  <r>
    <s v="T003898"/>
    <x v="3704"/>
    <d v="2026-06-26T05:26:00"/>
    <x v="6"/>
    <s v="Email"/>
    <x v="1"/>
    <s v="A047"/>
    <x v="1"/>
    <n v="24"/>
    <n v="15.8"/>
    <x v="1"/>
    <s v="No"/>
    <s v="No"/>
    <m/>
    <s v="Closed"/>
    <s v="June"/>
    <x v="5"/>
    <n v="2026"/>
    <s v="Yes"/>
    <n v="1"/>
    <x v="4"/>
    <n v="1"/>
  </r>
  <r>
    <s v="T003899"/>
    <x v="3705"/>
    <d v="2026-06-26T00:34:00"/>
    <x v="6"/>
    <s v="Field Visit"/>
    <x v="1"/>
    <s v="A009"/>
    <x v="0"/>
    <n v="24"/>
    <n v="10.8"/>
    <x v="0"/>
    <s v="No"/>
    <s v="No"/>
    <n v="4"/>
    <s v="Closed"/>
    <s v="June"/>
    <x v="5"/>
    <n v="2026"/>
    <s v="Yes"/>
    <n v="1"/>
    <x v="4"/>
    <n v="0"/>
  </r>
  <r>
    <s v="T003900"/>
    <x v="3706"/>
    <d v="2026-06-26T07:40:00"/>
    <x v="0"/>
    <s v="Field Visit"/>
    <x v="2"/>
    <s v="A022"/>
    <x v="2"/>
    <n v="4"/>
    <n v="17.2"/>
    <x v="1"/>
    <s v="No"/>
    <s v="No"/>
    <m/>
    <s v="Closed"/>
    <s v="June"/>
    <x v="5"/>
    <n v="2026"/>
    <s v="No"/>
    <n v="0"/>
    <x v="1"/>
    <n v="1"/>
  </r>
  <r>
    <s v="T003901"/>
    <x v="3707"/>
    <d v="2026-06-26T01:12:00"/>
    <x v="0"/>
    <s v="Phone"/>
    <x v="2"/>
    <s v="A031"/>
    <x v="2"/>
    <n v="4"/>
    <n v="10.5"/>
    <x v="1"/>
    <s v="No"/>
    <s v="No"/>
    <m/>
    <s v="Closed"/>
    <s v="June"/>
    <x v="5"/>
    <n v="2026"/>
    <s v="No"/>
    <n v="0"/>
    <x v="1"/>
    <n v="1"/>
  </r>
  <r>
    <s v="T003902"/>
    <x v="3708"/>
    <d v="2026-06-25T18:05:00"/>
    <x v="1"/>
    <s v="Phone"/>
    <x v="0"/>
    <s v="A056"/>
    <x v="1"/>
    <n v="72"/>
    <n v="3"/>
    <x v="1"/>
    <s v="No"/>
    <s v="No"/>
    <m/>
    <s v="Closed"/>
    <s v="June"/>
    <x v="5"/>
    <n v="2026"/>
    <s v="Yes"/>
    <n v="1"/>
    <x v="0"/>
    <n v="1"/>
  </r>
  <r>
    <s v="T003903"/>
    <x v="3709"/>
    <d v="2026-06-26T23:57:00"/>
    <x v="3"/>
    <s v="Chat"/>
    <x v="0"/>
    <s v="A009"/>
    <x v="0"/>
    <n v="72"/>
    <n v="32.700000000000003"/>
    <x v="1"/>
    <s v="No"/>
    <s v="No"/>
    <n v="4"/>
    <s v="Closed"/>
    <s v="June"/>
    <x v="5"/>
    <n v="2026"/>
    <s v="Yes"/>
    <n v="1"/>
    <x v="2"/>
    <n v="1"/>
  </r>
  <r>
    <s v="T003904"/>
    <x v="3710"/>
    <d v="2026-06-27T11:08:00"/>
    <x v="3"/>
    <s v="Field Visit"/>
    <x v="1"/>
    <s v="A052"/>
    <x v="1"/>
    <n v="24"/>
    <n v="42.8"/>
    <x v="0"/>
    <s v="Yes"/>
    <s v="No"/>
    <m/>
    <s v="Closed"/>
    <s v="June"/>
    <x v="5"/>
    <n v="2026"/>
    <s v="No"/>
    <n v="0"/>
    <x v="1"/>
    <n v="0"/>
  </r>
  <r>
    <s v="T003905"/>
    <x v="3711"/>
    <d v="2026-06-26T21:40:00"/>
    <x v="6"/>
    <s v="Field Visit"/>
    <x v="2"/>
    <s v="A011"/>
    <x v="0"/>
    <n v="4"/>
    <n v="28.9"/>
    <x v="0"/>
    <s v="No"/>
    <s v="No"/>
    <n v="4"/>
    <s v="Closed"/>
    <s v="June"/>
    <x v="5"/>
    <n v="2026"/>
    <s v="No"/>
    <n v="0"/>
    <x v="4"/>
    <n v="0"/>
  </r>
  <r>
    <s v="T003906"/>
    <x v="3712"/>
    <d v="2026-06-26T04:11:00"/>
    <x v="2"/>
    <s v="Chat"/>
    <x v="1"/>
    <s v="A037"/>
    <x v="1"/>
    <n v="24"/>
    <n v="10.4"/>
    <x v="1"/>
    <s v="No"/>
    <s v="No"/>
    <m/>
    <s v="Closed"/>
    <s v="June"/>
    <x v="5"/>
    <n v="2026"/>
    <s v="Yes"/>
    <n v="1"/>
    <x v="2"/>
    <n v="1"/>
  </r>
  <r>
    <s v="T003907"/>
    <x v="3713"/>
    <d v="2026-06-25T20:49:00"/>
    <x v="2"/>
    <s v="Chat"/>
    <x v="1"/>
    <s v="A026"/>
    <x v="2"/>
    <n v="24"/>
    <n v="2.6"/>
    <x v="1"/>
    <s v="No"/>
    <s v="No"/>
    <n v="5"/>
    <s v="Closed"/>
    <s v="June"/>
    <x v="5"/>
    <n v="2026"/>
    <s v="Yes"/>
    <n v="1"/>
    <x v="0"/>
    <n v="1"/>
  </r>
  <r>
    <s v="T003908"/>
    <x v="3714"/>
    <d v="2026-06-26T02:57:00"/>
    <x v="1"/>
    <s v="Phone"/>
    <x v="0"/>
    <s v="A056"/>
    <x v="1"/>
    <n v="72"/>
    <n v="8.6"/>
    <x v="1"/>
    <s v="No"/>
    <s v="No"/>
    <m/>
    <s v="Closed"/>
    <s v="June"/>
    <x v="5"/>
    <n v="2026"/>
    <s v="Yes"/>
    <n v="1"/>
    <x v="3"/>
    <n v="1"/>
  </r>
  <r>
    <s v="T003909"/>
    <x v="3715"/>
    <d v="2026-06-28T09:45:00"/>
    <x v="4"/>
    <s v="Field Visit"/>
    <x v="1"/>
    <s v="A017"/>
    <x v="2"/>
    <n v="24"/>
    <n v="62.5"/>
    <x v="1"/>
    <s v="No"/>
    <s v="No"/>
    <n v="5"/>
    <s v="Closed"/>
    <s v="June"/>
    <x v="5"/>
    <n v="2026"/>
    <s v="No"/>
    <n v="0"/>
    <x v="2"/>
    <n v="1"/>
  </r>
  <r>
    <s v="T003910"/>
    <x v="3716"/>
    <d v="2026-06-26T05:09:00"/>
    <x v="2"/>
    <s v="Phone"/>
    <x v="1"/>
    <s v="A015"/>
    <x v="0"/>
    <n v="24"/>
    <n v="8.6999999999999993"/>
    <x v="0"/>
    <s v="Yes"/>
    <s v="No"/>
    <n v="3"/>
    <s v="Closed"/>
    <s v="June"/>
    <x v="5"/>
    <n v="2026"/>
    <s v="Yes"/>
    <n v="1"/>
    <x v="2"/>
    <n v="0"/>
  </r>
  <r>
    <s v="T003911"/>
    <x v="3717"/>
    <d v="2026-06-27T02:34:00"/>
    <x v="3"/>
    <s v="Field Visit"/>
    <x v="1"/>
    <s v="A012"/>
    <x v="0"/>
    <n v="24"/>
    <n v="23.5"/>
    <x v="1"/>
    <s v="No"/>
    <s v="No"/>
    <n v="3"/>
    <s v="Closed"/>
    <s v="June"/>
    <x v="5"/>
    <n v="2026"/>
    <s v="Yes"/>
    <n v="1"/>
    <x v="0"/>
    <n v="1"/>
  </r>
  <r>
    <s v="T003912"/>
    <x v="3718"/>
    <d v="2026-06-28T07:34:00"/>
    <x v="3"/>
    <s v="Chat"/>
    <x v="1"/>
    <s v="A025"/>
    <x v="2"/>
    <n v="24"/>
    <n v="52"/>
    <x v="1"/>
    <s v="No"/>
    <s v="Yes"/>
    <n v="4"/>
    <s v="Closed"/>
    <s v="June"/>
    <x v="5"/>
    <n v="2026"/>
    <s v="No"/>
    <n v="0"/>
    <x v="2"/>
    <n v="1"/>
  </r>
  <r>
    <s v="T003913"/>
    <x v="3719"/>
    <d v="2026-06-30T15:57:00"/>
    <x v="4"/>
    <s v="Phone"/>
    <x v="0"/>
    <s v="A045"/>
    <x v="1"/>
    <n v="72"/>
    <n v="106.4"/>
    <x v="1"/>
    <s v="No"/>
    <s v="No"/>
    <n v="4"/>
    <s v="Closed"/>
    <s v="June"/>
    <x v="5"/>
    <n v="2026"/>
    <s v="No"/>
    <n v="0"/>
    <x v="4"/>
    <n v="1"/>
  </r>
  <r>
    <s v="T003914"/>
    <x v="3720"/>
    <d v="2026-06-28T01:21:00"/>
    <x v="0"/>
    <s v="Phone"/>
    <x v="1"/>
    <s v="A044"/>
    <x v="1"/>
    <n v="24"/>
    <n v="39.9"/>
    <x v="1"/>
    <s v="No"/>
    <s v="No"/>
    <n v="4"/>
    <s v="Closed"/>
    <s v="June"/>
    <x v="5"/>
    <n v="2026"/>
    <s v="No"/>
    <n v="0"/>
    <x v="2"/>
    <n v="1"/>
  </r>
  <r>
    <s v="T003915"/>
    <x v="3721"/>
    <d v="2026-07-01T18:59:00"/>
    <x v="4"/>
    <s v="Field Visit"/>
    <x v="1"/>
    <s v="A049"/>
    <x v="1"/>
    <n v="24"/>
    <n v="124.8"/>
    <x v="1"/>
    <s v="No"/>
    <s v="No"/>
    <m/>
    <s v="Closed"/>
    <s v="June"/>
    <x v="5"/>
    <n v="2026"/>
    <s v="No"/>
    <n v="0"/>
    <x v="0"/>
    <n v="1"/>
  </r>
  <r>
    <s v="T003916"/>
    <x v="3722"/>
    <d v="2026-06-26T23:25:00"/>
    <x v="4"/>
    <s v="Chat"/>
    <x v="1"/>
    <s v="A005"/>
    <x v="0"/>
    <n v="24"/>
    <n v="8.6"/>
    <x v="1"/>
    <s v="No"/>
    <s v="No"/>
    <m/>
    <s v="Closed"/>
    <s v="June"/>
    <x v="5"/>
    <n v="2026"/>
    <s v="Yes"/>
    <n v="1"/>
    <x v="3"/>
    <n v="1"/>
  </r>
  <r>
    <s v="T003917"/>
    <x v="3723"/>
    <d v="2026-06-26T20:04:00"/>
    <x v="1"/>
    <s v="Phone"/>
    <x v="0"/>
    <s v="A024"/>
    <x v="2"/>
    <n v="72"/>
    <n v="4"/>
    <x v="0"/>
    <s v="No"/>
    <s v="Yes"/>
    <m/>
    <s v="Closed"/>
    <s v="June"/>
    <x v="5"/>
    <n v="2026"/>
    <s v="Yes"/>
    <n v="1"/>
    <x v="1"/>
    <n v="0"/>
  </r>
  <r>
    <s v="T003918"/>
    <x v="3724"/>
    <d v="2026-06-26T23:24:00"/>
    <x v="3"/>
    <s v="Chat"/>
    <x v="1"/>
    <s v="A036"/>
    <x v="1"/>
    <n v="24"/>
    <n v="7.2"/>
    <x v="0"/>
    <s v="Yes"/>
    <s v="No"/>
    <n v="2"/>
    <s v="Closed"/>
    <s v="June"/>
    <x v="5"/>
    <n v="2026"/>
    <s v="Yes"/>
    <n v="1"/>
    <x v="4"/>
    <n v="0"/>
  </r>
  <r>
    <s v="T003919"/>
    <x v="3725"/>
    <d v="2026-06-27T03:04:00"/>
    <x v="5"/>
    <s v="Field Visit"/>
    <x v="1"/>
    <s v="A053"/>
    <x v="1"/>
    <n v="24"/>
    <n v="10.5"/>
    <x v="1"/>
    <s v="No"/>
    <s v="No"/>
    <n v="5"/>
    <s v="Closed"/>
    <s v="June"/>
    <x v="5"/>
    <n v="2026"/>
    <s v="Yes"/>
    <n v="1"/>
    <x v="3"/>
    <n v="1"/>
  </r>
  <r>
    <s v="T003920"/>
    <x v="3726"/>
    <d v="2026-06-30T10:15:00"/>
    <x v="5"/>
    <s v="Field Visit"/>
    <x v="0"/>
    <s v="A050"/>
    <x v="1"/>
    <n v="72"/>
    <n v="89.1"/>
    <x v="1"/>
    <s v="No"/>
    <s v="No"/>
    <n v="5"/>
    <s v="Closed"/>
    <s v="June"/>
    <x v="5"/>
    <n v="2026"/>
    <s v="No"/>
    <n v="0"/>
    <x v="1"/>
    <n v="1"/>
  </r>
  <r>
    <s v="T003921"/>
    <x v="3727"/>
    <d v="2026-06-27T03:11:00"/>
    <x v="1"/>
    <s v="Phone"/>
    <x v="1"/>
    <s v="A025"/>
    <x v="2"/>
    <n v="24"/>
    <n v="4.4000000000000004"/>
    <x v="1"/>
    <s v="No"/>
    <s v="No"/>
    <n v="5"/>
    <s v="Closed"/>
    <s v="June"/>
    <x v="5"/>
    <n v="2026"/>
    <s v="Yes"/>
    <n v="1"/>
    <x v="4"/>
    <n v="1"/>
  </r>
  <r>
    <s v="T003922"/>
    <x v="3728"/>
    <d v="2026-07-06T00:20:00"/>
    <x v="4"/>
    <s v="Field Visit"/>
    <x v="1"/>
    <s v="A053"/>
    <x v="1"/>
    <n v="24"/>
    <n v="217.5"/>
    <x v="1"/>
    <s v="No"/>
    <s v="No"/>
    <m/>
    <s v="Closed"/>
    <s v="June"/>
    <x v="5"/>
    <n v="2026"/>
    <s v="No"/>
    <n v="0"/>
    <x v="1"/>
    <n v="1"/>
  </r>
  <r>
    <s v="T003923"/>
    <x v="3729"/>
    <d v="2026-07-01T01:08:00"/>
    <x v="4"/>
    <s v="Field Visit"/>
    <x v="0"/>
    <s v="A050"/>
    <x v="1"/>
    <n v="72"/>
    <n v="92.6"/>
    <x v="1"/>
    <s v="No"/>
    <s v="No"/>
    <m/>
    <s v="Closed"/>
    <s v="June"/>
    <x v="5"/>
    <n v="2026"/>
    <s v="No"/>
    <n v="0"/>
    <x v="4"/>
    <n v="1"/>
  </r>
  <r>
    <s v="T003924"/>
    <x v="3730"/>
    <d v="2026-06-27T19:33:00"/>
    <x v="6"/>
    <s v="Phone"/>
    <x v="1"/>
    <s v="A045"/>
    <x v="1"/>
    <n v="24"/>
    <n v="14"/>
    <x v="1"/>
    <s v="No"/>
    <s v="No"/>
    <n v="5"/>
    <s v="Closed"/>
    <s v="June"/>
    <x v="5"/>
    <n v="2026"/>
    <s v="Yes"/>
    <n v="1"/>
    <x v="0"/>
    <n v="1"/>
  </r>
  <r>
    <s v="T003925"/>
    <x v="3731"/>
    <d v="2026-06-27T16:03:00"/>
    <x v="6"/>
    <s v="Phone"/>
    <x v="2"/>
    <s v="A010"/>
    <x v="0"/>
    <n v="4"/>
    <n v="8.8000000000000007"/>
    <x v="0"/>
    <s v="No"/>
    <s v="No"/>
    <n v="3"/>
    <s v="Closed"/>
    <s v="June"/>
    <x v="5"/>
    <n v="2026"/>
    <s v="No"/>
    <n v="0"/>
    <x v="0"/>
    <n v="0"/>
  </r>
  <r>
    <s v="T003926"/>
    <x v="3732"/>
    <d v="2026-06-28T07:58:00"/>
    <x v="6"/>
    <s v="Field Visit"/>
    <x v="1"/>
    <s v="A019"/>
    <x v="2"/>
    <n v="24"/>
    <n v="24.4"/>
    <x v="0"/>
    <s v="No"/>
    <s v="No"/>
    <n v="3"/>
    <s v="Closed"/>
    <s v="June"/>
    <x v="5"/>
    <n v="2026"/>
    <s v="No"/>
    <n v="0"/>
    <x v="3"/>
    <n v="0"/>
  </r>
  <r>
    <s v="T003927"/>
    <x v="3733"/>
    <d v="2026-06-28T23:08:00"/>
    <x v="2"/>
    <s v="Email"/>
    <x v="2"/>
    <s v="A007"/>
    <x v="0"/>
    <n v="4"/>
    <n v="38.200000000000003"/>
    <x v="0"/>
    <s v="Yes"/>
    <s v="Yes"/>
    <m/>
    <s v="Closed"/>
    <s v="June"/>
    <x v="5"/>
    <n v="2026"/>
    <s v="No"/>
    <n v="0"/>
    <x v="4"/>
    <n v="0"/>
  </r>
  <r>
    <s v="T003928"/>
    <x v="3734"/>
    <d v="2026-06-27T22:57:00"/>
    <x v="1"/>
    <s v="Chat"/>
    <x v="1"/>
    <s v="A055"/>
    <x v="1"/>
    <n v="24"/>
    <n v="12.6"/>
    <x v="1"/>
    <s v="No"/>
    <s v="No"/>
    <m/>
    <s v="Closed"/>
    <s v="June"/>
    <x v="5"/>
    <n v="2026"/>
    <s v="Yes"/>
    <n v="1"/>
    <x v="3"/>
    <n v="1"/>
  </r>
  <r>
    <s v="T003929"/>
    <x v="3735"/>
    <d v="2026-06-27T17:42:00"/>
    <x v="5"/>
    <s v="Phone"/>
    <x v="1"/>
    <s v="A060"/>
    <x v="1"/>
    <n v="24"/>
    <n v="6.9"/>
    <x v="1"/>
    <s v="No"/>
    <s v="No"/>
    <n v="5"/>
    <s v="Closed"/>
    <s v="June"/>
    <x v="5"/>
    <n v="2026"/>
    <s v="Yes"/>
    <n v="1"/>
    <x v="1"/>
    <n v="1"/>
  </r>
  <r>
    <s v="T003930"/>
    <x v="3736"/>
    <d v="2026-06-27T14:03:00"/>
    <x v="0"/>
    <s v="Chat"/>
    <x v="2"/>
    <s v="A026"/>
    <x v="2"/>
    <n v="4"/>
    <n v="3.1"/>
    <x v="0"/>
    <s v="No"/>
    <s v="Yes"/>
    <n v="5"/>
    <s v="Closed"/>
    <s v="June"/>
    <x v="5"/>
    <n v="2026"/>
    <s v="Yes"/>
    <n v="1"/>
    <x v="4"/>
    <n v="0"/>
  </r>
  <r>
    <s v="T003931"/>
    <x v="3737"/>
    <d v="2026-06-30T05:08:00"/>
    <x v="4"/>
    <s v="Field Visit"/>
    <x v="1"/>
    <s v="A023"/>
    <x v="2"/>
    <n v="24"/>
    <n v="65.5"/>
    <x v="0"/>
    <s v="No"/>
    <s v="No"/>
    <n v="4"/>
    <s v="Closed"/>
    <s v="June"/>
    <x v="5"/>
    <n v="2026"/>
    <s v="No"/>
    <n v="0"/>
    <x v="1"/>
    <n v="0"/>
  </r>
  <r>
    <s v="T003932"/>
    <x v="3738"/>
    <d v="2026-06-28T09:12:00"/>
    <x v="0"/>
    <s v="Phone"/>
    <x v="1"/>
    <s v="A008"/>
    <x v="0"/>
    <n v="24"/>
    <n v="20.399999999999999"/>
    <x v="0"/>
    <s v="No"/>
    <s v="No"/>
    <n v="4"/>
    <s v="Closed"/>
    <s v="June"/>
    <x v="5"/>
    <n v="2026"/>
    <s v="Yes"/>
    <n v="1"/>
    <x v="4"/>
    <n v="0"/>
  </r>
  <r>
    <s v="T003933"/>
    <x v="3739"/>
    <d v="2026-06-28T00:29:00"/>
    <x v="6"/>
    <s v="Field Visit"/>
    <x v="2"/>
    <s v="A020"/>
    <x v="2"/>
    <n v="4"/>
    <n v="11.3"/>
    <x v="0"/>
    <s v="Yes"/>
    <s v="No"/>
    <n v="2"/>
    <s v="Closed"/>
    <s v="June"/>
    <x v="5"/>
    <n v="2026"/>
    <s v="No"/>
    <n v="0"/>
    <x v="1"/>
    <n v="0"/>
  </r>
  <r>
    <s v="T003934"/>
    <x v="3740"/>
    <d v="2026-06-28T01:41:00"/>
    <x v="0"/>
    <s v="Phone"/>
    <x v="0"/>
    <s v="A003"/>
    <x v="0"/>
    <n v="72"/>
    <n v="12.3"/>
    <x v="1"/>
    <s v="No"/>
    <s v="No"/>
    <n v="3"/>
    <s v="Closed"/>
    <s v="June"/>
    <x v="5"/>
    <n v="2026"/>
    <s v="Yes"/>
    <n v="1"/>
    <x v="2"/>
    <n v="1"/>
  </r>
  <r>
    <s v="T003935"/>
    <x v="3741"/>
    <d v="2026-06-27T21:26:00"/>
    <x v="1"/>
    <s v="Phone"/>
    <x v="0"/>
    <s v="A037"/>
    <x v="1"/>
    <n v="72"/>
    <n v="7.7"/>
    <x v="1"/>
    <s v="No"/>
    <s v="No"/>
    <n v="5"/>
    <s v="Closed"/>
    <s v="June"/>
    <x v="5"/>
    <n v="2026"/>
    <s v="Yes"/>
    <n v="1"/>
    <x v="3"/>
    <n v="1"/>
  </r>
  <r>
    <s v="T003936"/>
    <x v="3742"/>
    <d v="2026-06-28T22:40:00"/>
    <x v="2"/>
    <s v="Email"/>
    <x v="0"/>
    <s v="A059"/>
    <x v="1"/>
    <n v="72"/>
    <n v="32.799999999999997"/>
    <x v="0"/>
    <s v="Yes"/>
    <s v="No"/>
    <n v="5"/>
    <s v="Closed"/>
    <s v="June"/>
    <x v="5"/>
    <n v="2026"/>
    <s v="Yes"/>
    <n v="1"/>
    <x v="1"/>
    <n v="0"/>
  </r>
  <r>
    <s v="T003937"/>
    <x v="3743"/>
    <d v="2026-06-29T20:40:00"/>
    <x v="4"/>
    <s v="Email"/>
    <x v="1"/>
    <s v="A032"/>
    <x v="2"/>
    <n v="24"/>
    <n v="54.7"/>
    <x v="0"/>
    <s v="Yes"/>
    <s v="No"/>
    <m/>
    <s v="Closed"/>
    <s v="June"/>
    <x v="5"/>
    <n v="2026"/>
    <s v="No"/>
    <n v="0"/>
    <x v="1"/>
    <n v="0"/>
  </r>
  <r>
    <s v="T003938"/>
    <x v="3744"/>
    <d v="2026-06-28T20:40:00"/>
    <x v="0"/>
    <s v="Phone"/>
    <x v="0"/>
    <s v="A048"/>
    <x v="1"/>
    <n v="72"/>
    <n v="28.8"/>
    <x v="0"/>
    <s v="Yes"/>
    <s v="No"/>
    <m/>
    <s v="Closed"/>
    <s v="June"/>
    <x v="5"/>
    <n v="2026"/>
    <s v="Yes"/>
    <n v="1"/>
    <x v="1"/>
    <n v="0"/>
  </r>
  <r>
    <s v="T003939"/>
    <x v="3745"/>
    <d v="2026-06-28T01:22:00"/>
    <x v="5"/>
    <s v="Chat"/>
    <x v="0"/>
    <s v="A055"/>
    <x v="1"/>
    <n v="72"/>
    <n v="8.6"/>
    <x v="1"/>
    <s v="No"/>
    <s v="No"/>
    <n v="4"/>
    <s v="Closed"/>
    <s v="June"/>
    <x v="5"/>
    <n v="2026"/>
    <s v="Yes"/>
    <n v="1"/>
    <x v="3"/>
    <n v="1"/>
  </r>
  <r>
    <s v="T003940"/>
    <x v="3746"/>
    <d v="2026-06-29T03:30:00"/>
    <x v="4"/>
    <s v="Field Visit"/>
    <x v="0"/>
    <s v="A032"/>
    <x v="2"/>
    <n v="72"/>
    <n v="34.5"/>
    <x v="1"/>
    <s v="No"/>
    <s v="No"/>
    <n v="5"/>
    <s v="Closed"/>
    <s v="June"/>
    <x v="5"/>
    <n v="2026"/>
    <s v="Yes"/>
    <n v="1"/>
    <x v="4"/>
    <n v="1"/>
  </r>
  <r>
    <s v="T003941"/>
    <x v="3747"/>
    <d v="2026-06-27T21:56:00"/>
    <x v="1"/>
    <s v="Chat"/>
    <x v="1"/>
    <s v="A019"/>
    <x v="2"/>
    <n v="24"/>
    <n v="4.3"/>
    <x v="1"/>
    <s v="No"/>
    <s v="Yes"/>
    <n v="3"/>
    <s v="Closed"/>
    <s v="June"/>
    <x v="5"/>
    <n v="2026"/>
    <s v="Yes"/>
    <n v="1"/>
    <x v="3"/>
    <n v="1"/>
  </r>
  <r>
    <s v="T003942"/>
    <x v="3748"/>
    <d v="2026-06-29T00:17:00"/>
    <x v="6"/>
    <s v="Phone"/>
    <x v="1"/>
    <s v="A022"/>
    <x v="2"/>
    <n v="24"/>
    <n v="17.5"/>
    <x v="1"/>
    <s v="No"/>
    <s v="No"/>
    <n v="5"/>
    <s v="Closed"/>
    <s v="June"/>
    <x v="5"/>
    <n v="2026"/>
    <s v="Yes"/>
    <n v="1"/>
    <x v="0"/>
    <n v="1"/>
  </r>
  <r>
    <s v="T003943"/>
    <x v="3749"/>
    <d v="2026-06-28T17:59:00"/>
    <x v="6"/>
    <s v="Chat"/>
    <x v="1"/>
    <s v="A008"/>
    <x v="0"/>
    <n v="24"/>
    <n v="10.8"/>
    <x v="0"/>
    <s v="Yes"/>
    <s v="No"/>
    <m/>
    <s v="Closed"/>
    <s v="June"/>
    <x v="5"/>
    <n v="2026"/>
    <s v="Yes"/>
    <n v="1"/>
    <x v="3"/>
    <n v="0"/>
  </r>
  <r>
    <s v="T003944"/>
    <x v="3750"/>
    <d v="2026-06-28T14:45:00"/>
    <x v="2"/>
    <s v="Chat"/>
    <x v="0"/>
    <s v="A043"/>
    <x v="1"/>
    <n v="72"/>
    <n v="4.5999999999999996"/>
    <x v="1"/>
    <s v="No"/>
    <s v="No"/>
    <m/>
    <s v="Closed"/>
    <s v="June"/>
    <x v="5"/>
    <n v="2026"/>
    <s v="Yes"/>
    <n v="1"/>
    <x v="3"/>
    <n v="1"/>
  </r>
  <r>
    <s v="T003945"/>
    <x v="3751"/>
    <d v="2026-06-28T17:48:00"/>
    <x v="1"/>
    <s v="Chat"/>
    <x v="1"/>
    <s v="A001"/>
    <x v="0"/>
    <n v="24"/>
    <n v="7.6"/>
    <x v="1"/>
    <s v="No"/>
    <s v="No"/>
    <m/>
    <s v="Closed"/>
    <s v="June"/>
    <x v="5"/>
    <n v="2026"/>
    <s v="Yes"/>
    <n v="1"/>
    <x v="3"/>
    <n v="1"/>
  </r>
  <r>
    <s v="T003946"/>
    <x v="3752"/>
    <d v="2026-06-28T20:21:00"/>
    <x v="1"/>
    <s v="Phone"/>
    <x v="1"/>
    <s v="A016"/>
    <x v="2"/>
    <n v="24"/>
    <n v="9.8000000000000007"/>
    <x v="0"/>
    <s v="Yes"/>
    <s v="No"/>
    <m/>
    <s v="Closed"/>
    <s v="June"/>
    <x v="5"/>
    <n v="2026"/>
    <s v="Yes"/>
    <n v="1"/>
    <x v="1"/>
    <n v="0"/>
  </r>
  <r>
    <s v="T003947"/>
    <x v="3753"/>
    <d v="2026-06-29T00:31:00"/>
    <x v="5"/>
    <s v="Phone"/>
    <x v="0"/>
    <s v="A031"/>
    <x v="2"/>
    <n v="72"/>
    <n v="12.4"/>
    <x v="1"/>
    <s v="No"/>
    <s v="No"/>
    <m/>
    <s v="Closed"/>
    <s v="June"/>
    <x v="5"/>
    <n v="2026"/>
    <s v="Yes"/>
    <n v="1"/>
    <x v="3"/>
    <n v="1"/>
  </r>
  <r>
    <s v="T003948"/>
    <x v="3754"/>
    <d v="2026-06-28T21:26:00"/>
    <x v="5"/>
    <s v="Phone"/>
    <x v="0"/>
    <s v="A007"/>
    <x v="0"/>
    <n v="72"/>
    <n v="8.5"/>
    <x v="0"/>
    <s v="Yes"/>
    <s v="No"/>
    <m/>
    <s v="Closed"/>
    <s v="June"/>
    <x v="5"/>
    <n v="2026"/>
    <s v="Yes"/>
    <n v="1"/>
    <x v="4"/>
    <n v="0"/>
  </r>
  <r>
    <s v="T003949"/>
    <x v="3755"/>
    <d v="2026-07-07T22:41:00"/>
    <x v="4"/>
    <s v="Field Visit"/>
    <x v="1"/>
    <s v="A022"/>
    <x v="2"/>
    <n v="24"/>
    <n v="225.4"/>
    <x v="0"/>
    <s v="Yes"/>
    <s v="Yes"/>
    <n v="1"/>
    <s v="Closed"/>
    <s v="June"/>
    <x v="5"/>
    <n v="2026"/>
    <s v="No"/>
    <n v="0"/>
    <x v="4"/>
    <n v="0"/>
  </r>
  <r>
    <s v="T003950"/>
    <x v="3756"/>
    <d v="2026-06-28T20:49:00"/>
    <x v="3"/>
    <s v="Phone"/>
    <x v="0"/>
    <s v="A047"/>
    <x v="1"/>
    <n v="72"/>
    <n v="6.1"/>
    <x v="1"/>
    <s v="No"/>
    <s v="No"/>
    <n v="5"/>
    <s v="Closed"/>
    <s v="June"/>
    <x v="5"/>
    <n v="2026"/>
    <s v="Yes"/>
    <n v="1"/>
    <x v="4"/>
    <n v="1"/>
  </r>
  <r>
    <s v="T003951"/>
    <x v="3757"/>
    <d v="2026-06-29T09:53:00"/>
    <x v="3"/>
    <s v="Phone"/>
    <x v="1"/>
    <s v="A027"/>
    <x v="2"/>
    <n v="24"/>
    <n v="18.8"/>
    <x v="1"/>
    <s v="No"/>
    <s v="No"/>
    <m/>
    <s v="Closed"/>
    <s v="June"/>
    <x v="5"/>
    <n v="2026"/>
    <s v="Yes"/>
    <n v="1"/>
    <x v="1"/>
    <n v="1"/>
  </r>
  <r>
    <s v="T003952"/>
    <x v="3758"/>
    <d v="2026-07-02T09:08:00"/>
    <x v="4"/>
    <s v="Phone"/>
    <x v="0"/>
    <s v="A054"/>
    <x v="1"/>
    <n v="72"/>
    <n v="89.7"/>
    <x v="1"/>
    <s v="No"/>
    <s v="No"/>
    <m/>
    <s v="Closed"/>
    <s v="June"/>
    <x v="5"/>
    <n v="2026"/>
    <s v="No"/>
    <n v="0"/>
    <x v="1"/>
    <n v="1"/>
  </r>
  <r>
    <s v="T003953"/>
    <x v="3759"/>
    <d v="2026-06-29T07:00:00"/>
    <x v="5"/>
    <s v="Field Visit"/>
    <x v="1"/>
    <s v="A023"/>
    <x v="2"/>
    <n v="24"/>
    <n v="14.6"/>
    <x v="0"/>
    <s v="Yes"/>
    <s v="No"/>
    <n v="2"/>
    <s v="Closed"/>
    <s v="June"/>
    <x v="5"/>
    <n v="2026"/>
    <s v="Yes"/>
    <n v="1"/>
    <x v="4"/>
    <n v="0"/>
  </r>
  <r>
    <s v="T003954"/>
    <x v="3760"/>
    <d v="2026-07-03T02:02:00"/>
    <x v="4"/>
    <s v="Field Visit"/>
    <x v="2"/>
    <s v="A025"/>
    <x v="2"/>
    <n v="4"/>
    <n v="105"/>
    <x v="1"/>
    <s v="No"/>
    <s v="No"/>
    <m/>
    <s v="Closed"/>
    <s v="June"/>
    <x v="5"/>
    <n v="2026"/>
    <s v="No"/>
    <n v="0"/>
    <x v="4"/>
    <n v="1"/>
  </r>
  <r>
    <s v="T003955"/>
    <x v="3761"/>
    <d v="2026-06-29T11:33:00"/>
    <x v="6"/>
    <s v="Phone"/>
    <x v="0"/>
    <s v="A007"/>
    <x v="0"/>
    <n v="72"/>
    <n v="17.8"/>
    <x v="0"/>
    <s v="Yes"/>
    <s v="Yes"/>
    <m/>
    <s v="Closed"/>
    <s v="June"/>
    <x v="5"/>
    <n v="2026"/>
    <s v="Yes"/>
    <n v="1"/>
    <x v="4"/>
    <n v="0"/>
  </r>
  <r>
    <s v="T003956"/>
    <x v="3762"/>
    <d v="2026-06-29T03:56:00"/>
    <x v="0"/>
    <s v="Phone"/>
    <x v="1"/>
    <s v="A046"/>
    <x v="1"/>
    <n v="24"/>
    <n v="9"/>
    <x v="1"/>
    <s v="No"/>
    <s v="Yes"/>
    <n v="5"/>
    <s v="Closed"/>
    <s v="June"/>
    <x v="5"/>
    <n v="2026"/>
    <s v="Yes"/>
    <n v="1"/>
    <x v="1"/>
    <n v="1"/>
  </r>
  <r>
    <s v="T003957"/>
    <x v="3763"/>
    <d v="2026-06-29T09:58:00"/>
    <x v="2"/>
    <s v="Chat"/>
    <x v="2"/>
    <s v="A014"/>
    <x v="0"/>
    <n v="4"/>
    <n v="13.9"/>
    <x v="0"/>
    <s v="Yes"/>
    <s v="No"/>
    <n v="2"/>
    <s v="Closed"/>
    <s v="June"/>
    <x v="5"/>
    <n v="2026"/>
    <s v="No"/>
    <n v="0"/>
    <x v="1"/>
    <n v="0"/>
  </r>
  <r>
    <s v="T003958"/>
    <x v="3764"/>
    <d v="2026-06-29T23:54:00"/>
    <x v="6"/>
    <s v="Field Visit"/>
    <x v="1"/>
    <s v="A034"/>
    <x v="2"/>
    <n v="24"/>
    <n v="21.3"/>
    <x v="1"/>
    <s v="No"/>
    <s v="No"/>
    <m/>
    <s v="Closed"/>
    <s v="June"/>
    <x v="5"/>
    <n v="2026"/>
    <s v="Yes"/>
    <n v="1"/>
    <x v="2"/>
    <n v="1"/>
  </r>
  <r>
    <s v="T003959"/>
    <x v="3765"/>
    <d v="2026-06-29T19:54:00"/>
    <x v="0"/>
    <s v="Phone"/>
    <x v="1"/>
    <s v="A051"/>
    <x v="1"/>
    <n v="24"/>
    <n v="14.3"/>
    <x v="0"/>
    <s v="Yes"/>
    <s v="No"/>
    <n v="3"/>
    <s v="Closed"/>
    <s v="June"/>
    <x v="5"/>
    <n v="2026"/>
    <s v="Yes"/>
    <n v="1"/>
    <x v="2"/>
    <n v="0"/>
  </r>
  <r>
    <s v="T003960"/>
    <x v="3766"/>
    <d v="2026-06-29T13:07:00"/>
    <x v="6"/>
    <s v="Phone"/>
    <x v="2"/>
    <s v="A038"/>
    <x v="1"/>
    <n v="4"/>
    <n v="3.2"/>
    <x v="1"/>
    <s v="No"/>
    <s v="No"/>
    <m/>
    <s v="Closed"/>
    <s v="June"/>
    <x v="5"/>
    <n v="2026"/>
    <s v="Yes"/>
    <n v="1"/>
    <x v="0"/>
    <n v="1"/>
  </r>
  <r>
    <s v="T003961"/>
    <x v="3767"/>
    <d v="2026-06-30T03:16:00"/>
    <x v="6"/>
    <s v="Field Visit"/>
    <x v="1"/>
    <s v="A039"/>
    <x v="1"/>
    <n v="24"/>
    <m/>
    <x v="1"/>
    <s v="No"/>
    <s v="No"/>
    <n v="3"/>
    <s v="Closed"/>
    <s v="June"/>
    <x v="5"/>
    <n v="2026"/>
    <m/>
    <m/>
    <x v="2"/>
    <n v="1"/>
  </r>
  <r>
    <s v="T003962"/>
    <x v="3768"/>
    <d v="2026-06-29T15:28:00"/>
    <x v="1"/>
    <s v="Phone"/>
    <x v="0"/>
    <s v="A013"/>
    <x v="0"/>
    <n v="72"/>
    <n v="5.3"/>
    <x v="0"/>
    <s v="No"/>
    <s v="No"/>
    <n v="5"/>
    <s v="Closed"/>
    <s v="June"/>
    <x v="5"/>
    <n v="2026"/>
    <s v="Yes"/>
    <n v="1"/>
    <x v="4"/>
    <n v="0"/>
  </r>
  <r>
    <s v="T003963"/>
    <x v="3769"/>
    <d v="2026-06-29T15:06:00"/>
    <x v="1"/>
    <s v="Phone"/>
    <x v="1"/>
    <s v="A025"/>
    <x v="2"/>
    <n v="24"/>
    <n v="4.2"/>
    <x v="0"/>
    <s v="Yes"/>
    <s v="No"/>
    <n v="2"/>
    <s v="Closed"/>
    <s v="June"/>
    <x v="5"/>
    <n v="2026"/>
    <s v="Yes"/>
    <n v="1"/>
    <x v="3"/>
    <n v="0"/>
  </r>
  <r>
    <s v="T003964"/>
    <x v="3770"/>
    <d v="2026-06-29T16:59:00"/>
    <x v="6"/>
    <s v="Phone"/>
    <x v="0"/>
    <s v="A009"/>
    <x v="0"/>
    <n v="72"/>
    <n v="6"/>
    <x v="0"/>
    <s v="No"/>
    <s v="No"/>
    <m/>
    <s v="Closed"/>
    <s v="June"/>
    <x v="5"/>
    <n v="2026"/>
    <s v="Yes"/>
    <n v="1"/>
    <x v="4"/>
    <n v="0"/>
  </r>
  <r>
    <s v="T003965"/>
    <x v="3771"/>
    <d v="2026-06-30T05:49:00"/>
    <x v="0"/>
    <s v="Chat"/>
    <x v="0"/>
    <s v="A040"/>
    <x v="1"/>
    <n v="72"/>
    <n v="18.8"/>
    <x v="1"/>
    <s v="No"/>
    <s v="No"/>
    <n v="5"/>
    <s v="Closed"/>
    <s v="June"/>
    <x v="5"/>
    <n v="2026"/>
    <s v="Yes"/>
    <n v="1"/>
    <x v="2"/>
    <n v="1"/>
  </r>
  <r>
    <s v="T003966"/>
    <x v="3772"/>
    <d v="2026-06-29T16:14:00"/>
    <x v="0"/>
    <s v="Phone"/>
    <x v="2"/>
    <s v="A024"/>
    <x v="2"/>
    <n v="4"/>
    <n v="5.0999999999999996"/>
    <x v="1"/>
    <s v="No"/>
    <s v="No"/>
    <n v="4"/>
    <s v="Closed"/>
    <s v="June"/>
    <x v="5"/>
    <n v="2026"/>
    <s v="No"/>
    <n v="0"/>
    <x v="1"/>
    <n v="1"/>
  </r>
  <r>
    <s v="T003967"/>
    <x v="3773"/>
    <d v="2026-06-30T10:01:00"/>
    <x v="2"/>
    <s v="Phone"/>
    <x v="1"/>
    <s v="A007"/>
    <x v="0"/>
    <n v="24"/>
    <n v="22.8"/>
    <x v="0"/>
    <s v="Yes"/>
    <s v="No"/>
    <n v="5"/>
    <s v="Closed"/>
    <s v="June"/>
    <x v="5"/>
    <n v="2026"/>
    <s v="Yes"/>
    <n v="1"/>
    <x v="2"/>
    <n v="0"/>
  </r>
  <r>
    <s v="T003968"/>
    <x v="3774"/>
    <d v="2026-06-29T16:26:00"/>
    <x v="0"/>
    <s v="Chat"/>
    <x v="1"/>
    <s v="A052"/>
    <x v="1"/>
    <n v="24"/>
    <n v="4.8"/>
    <x v="1"/>
    <s v="No"/>
    <s v="No"/>
    <m/>
    <s v="Closed"/>
    <s v="June"/>
    <x v="5"/>
    <n v="2026"/>
    <s v="Yes"/>
    <n v="1"/>
    <x v="3"/>
    <n v="1"/>
  </r>
  <r>
    <s v="T003969"/>
    <x v="3775"/>
    <d v="2026-07-01T01:23:00"/>
    <x v="2"/>
    <s v="Field Visit"/>
    <x v="0"/>
    <s v="A005"/>
    <x v="0"/>
    <n v="72"/>
    <n v="36.4"/>
    <x v="0"/>
    <s v="No"/>
    <s v="No"/>
    <n v="4"/>
    <s v="Closed"/>
    <s v="June"/>
    <x v="5"/>
    <n v="2026"/>
    <s v="Yes"/>
    <n v="1"/>
    <x v="1"/>
    <n v="0"/>
  </r>
  <r>
    <s v="T003970"/>
    <x v="3776"/>
    <d v="2026-06-30T09:33:00"/>
    <x v="3"/>
    <s v="Chat"/>
    <x v="0"/>
    <s v="A039"/>
    <x v="1"/>
    <n v="72"/>
    <n v="20.5"/>
    <x v="1"/>
    <s v="No"/>
    <s v="No"/>
    <n v="3"/>
    <s v="Closed"/>
    <s v="June"/>
    <x v="5"/>
    <n v="2026"/>
    <s v="Yes"/>
    <n v="1"/>
    <x v="0"/>
    <n v="1"/>
  </r>
  <r>
    <s v="T003971"/>
    <x v="3777"/>
    <d v="2026-06-29T19:48:00"/>
    <x v="1"/>
    <s v="Phone"/>
    <x v="0"/>
    <s v="A045"/>
    <x v="1"/>
    <n v="72"/>
    <n v="6.3"/>
    <x v="1"/>
    <s v="No"/>
    <s v="No"/>
    <m/>
    <s v="Closed"/>
    <s v="June"/>
    <x v="5"/>
    <n v="2026"/>
    <s v="Yes"/>
    <n v="1"/>
    <x v="2"/>
    <n v="1"/>
  </r>
  <r>
    <s v="T003972"/>
    <x v="3778"/>
    <d v="2026-07-01T13:02:00"/>
    <x v="4"/>
    <s v="Phone"/>
    <x v="1"/>
    <s v="A020"/>
    <x v="2"/>
    <n v="24"/>
    <n v="47.2"/>
    <x v="0"/>
    <s v="Yes"/>
    <s v="No"/>
    <m/>
    <s v="Closed"/>
    <s v="June"/>
    <x v="5"/>
    <n v="2026"/>
    <s v="No"/>
    <n v="0"/>
    <x v="1"/>
    <n v="0"/>
  </r>
  <r>
    <s v="T003973"/>
    <x v="3779"/>
    <d v="2026-06-29T22:00:00"/>
    <x v="2"/>
    <s v="Phone"/>
    <x v="2"/>
    <s v="A028"/>
    <x v="2"/>
    <n v="4"/>
    <n v="7.4"/>
    <x v="1"/>
    <s v="No"/>
    <s v="Yes"/>
    <n v="3"/>
    <s v="Closed"/>
    <s v="June"/>
    <x v="5"/>
    <n v="2026"/>
    <s v="No"/>
    <n v="0"/>
    <x v="4"/>
    <n v="1"/>
  </r>
  <r>
    <s v="T003974"/>
    <x v="3780"/>
    <d v="2026-06-29T19:01:00"/>
    <x v="5"/>
    <s v="Phone"/>
    <x v="1"/>
    <s v="A052"/>
    <x v="1"/>
    <n v="24"/>
    <n v="4"/>
    <x v="0"/>
    <s v="Yes"/>
    <s v="No"/>
    <m/>
    <s v="Closed"/>
    <s v="June"/>
    <x v="5"/>
    <n v="2026"/>
    <s v="Yes"/>
    <n v="1"/>
    <x v="2"/>
    <n v="0"/>
  </r>
  <r>
    <s v="T003975"/>
    <x v="3781"/>
    <d v="2026-06-29T19:28:00"/>
    <x v="1"/>
    <s v="Email"/>
    <x v="1"/>
    <s v="A005"/>
    <x v="0"/>
    <n v="24"/>
    <n v="4.4000000000000004"/>
    <x v="0"/>
    <s v="Yes"/>
    <s v="Yes"/>
    <n v="4"/>
    <s v="Closed"/>
    <s v="June"/>
    <x v="5"/>
    <n v="2026"/>
    <s v="Yes"/>
    <n v="1"/>
    <x v="3"/>
    <n v="0"/>
  </r>
  <r>
    <s v="T003976"/>
    <x v="3782"/>
    <d v="2026-06-29T21:38:00"/>
    <x v="0"/>
    <s v="Chat"/>
    <x v="1"/>
    <s v="A033"/>
    <x v="2"/>
    <n v="24"/>
    <n v="6.2"/>
    <x v="1"/>
    <s v="No"/>
    <s v="No"/>
    <n v="5"/>
    <s v="Closed"/>
    <s v="June"/>
    <x v="5"/>
    <n v="2026"/>
    <s v="Yes"/>
    <n v="1"/>
    <x v="2"/>
    <n v="1"/>
  </r>
  <r>
    <s v="T003977"/>
    <x v="3783"/>
    <d v="2026-06-30T06:29:00"/>
    <x v="0"/>
    <s v="Chat"/>
    <x v="0"/>
    <s v="A015"/>
    <x v="0"/>
    <n v="72"/>
    <n v="14.9"/>
    <x v="1"/>
    <s v="No"/>
    <s v="No"/>
    <n v="4"/>
    <s v="Closed"/>
    <s v="June"/>
    <x v="5"/>
    <n v="2026"/>
    <s v="Yes"/>
    <n v="1"/>
    <x v="2"/>
    <n v="1"/>
  </r>
  <r>
    <s v="T003978"/>
    <x v="3784"/>
    <d v="2026-06-30T05:12:00"/>
    <x v="3"/>
    <s v="Phone"/>
    <x v="1"/>
    <s v="A030"/>
    <x v="2"/>
    <n v="24"/>
    <n v="12.4"/>
    <x v="0"/>
    <s v="No"/>
    <s v="No"/>
    <n v="4"/>
    <s v="Closed"/>
    <s v="June"/>
    <x v="5"/>
    <n v="2026"/>
    <s v="Yes"/>
    <n v="1"/>
    <x v="2"/>
    <n v="0"/>
  </r>
  <r>
    <s v="T003979"/>
    <x v="3785"/>
    <d v="2026-06-29T23:20:00"/>
    <x v="2"/>
    <s v="Chat"/>
    <x v="1"/>
    <s v="A021"/>
    <x v="2"/>
    <n v="24"/>
    <n v="6.4"/>
    <x v="0"/>
    <s v="Yes"/>
    <s v="No"/>
    <n v="3"/>
    <s v="Closed"/>
    <s v="June"/>
    <x v="5"/>
    <n v="2026"/>
    <s v="Yes"/>
    <n v="1"/>
    <x v="0"/>
    <n v="0"/>
  </r>
  <r>
    <s v="T003981"/>
    <x v="3786"/>
    <d v="2026-06-30T03:08:00"/>
    <x v="2"/>
    <s v="Phone"/>
    <x v="0"/>
    <s v="A055"/>
    <x v="1"/>
    <n v="72"/>
    <n v="10"/>
    <x v="0"/>
    <s v="No"/>
    <s v="No"/>
    <n v="5"/>
    <s v="Closed"/>
    <s v="June"/>
    <x v="5"/>
    <n v="2026"/>
    <s v="Yes"/>
    <n v="1"/>
    <x v="3"/>
    <n v="0"/>
  </r>
  <r>
    <s v="T003980"/>
    <x v="3786"/>
    <d v="2026-06-30T01:56:00"/>
    <x v="6"/>
    <s v="Phone"/>
    <x v="1"/>
    <s v="A060"/>
    <x v="1"/>
    <n v="24"/>
    <n v="8.8000000000000007"/>
    <x v="1"/>
    <s v="No"/>
    <s v="No"/>
    <n v="5"/>
    <s v="Closed"/>
    <s v="June"/>
    <x v="5"/>
    <n v="2026"/>
    <s v="Yes"/>
    <n v="1"/>
    <x v="4"/>
    <n v="1"/>
  </r>
  <r>
    <s v="T003982"/>
    <x v="3787"/>
    <d v="2026-06-30T18:04:00"/>
    <x v="3"/>
    <s v="Chat"/>
    <x v="0"/>
    <s v="A006"/>
    <x v="0"/>
    <n v="72"/>
    <n v="24.4"/>
    <x v="0"/>
    <s v="Yes"/>
    <s v="No"/>
    <n v="4"/>
    <s v="Closed"/>
    <s v="June"/>
    <x v="5"/>
    <n v="2026"/>
    <s v="Yes"/>
    <n v="1"/>
    <x v="3"/>
    <n v="0"/>
  </r>
  <r>
    <s v="T003983"/>
    <x v="3788"/>
    <d v="2026-06-30T16:49:00"/>
    <x v="6"/>
    <s v="Field Visit"/>
    <x v="1"/>
    <s v="A001"/>
    <x v="0"/>
    <n v="24"/>
    <n v="22.2"/>
    <x v="1"/>
    <s v="No"/>
    <s v="No"/>
    <n v="5"/>
    <s v="Closed"/>
    <s v="June"/>
    <x v="5"/>
    <n v="2026"/>
    <s v="Yes"/>
    <n v="1"/>
    <x v="1"/>
    <n v="1"/>
  </r>
  <r>
    <s v="T003984"/>
    <x v="3789"/>
    <d v="2026-06-30T05:17:00"/>
    <x v="5"/>
    <s v="Email"/>
    <x v="0"/>
    <s v="A042"/>
    <x v="1"/>
    <n v="72"/>
    <n v="9.9"/>
    <x v="1"/>
    <s v="No"/>
    <s v="No"/>
    <n v="5"/>
    <s v="Closed"/>
    <s v="June"/>
    <x v="5"/>
    <n v="2026"/>
    <s v="Yes"/>
    <n v="1"/>
    <x v="4"/>
    <n v="1"/>
  </r>
  <r>
    <s v="T003985"/>
    <x v="3790"/>
    <d v="2026-06-30T07:04:00"/>
    <x v="2"/>
    <s v="Phone"/>
    <x v="1"/>
    <s v="A024"/>
    <x v="2"/>
    <n v="24"/>
    <n v="11.1"/>
    <x v="1"/>
    <s v="No"/>
    <s v="No"/>
    <n v="4"/>
    <s v="Closed"/>
    <s v="June"/>
    <x v="5"/>
    <n v="2026"/>
    <s v="Yes"/>
    <n v="1"/>
    <x v="1"/>
    <n v="1"/>
  </r>
  <r>
    <s v="T003986"/>
    <x v="3791"/>
    <d v="2026-06-30T16:38:00"/>
    <x v="2"/>
    <s v="Email"/>
    <x v="0"/>
    <s v="A027"/>
    <x v="2"/>
    <n v="72"/>
    <n v="13.5"/>
    <x v="1"/>
    <s v="No"/>
    <s v="No"/>
    <m/>
    <s v="Closed"/>
    <s v="June"/>
    <x v="5"/>
    <n v="2026"/>
    <s v="Yes"/>
    <n v="1"/>
    <x v="1"/>
    <n v="1"/>
  </r>
  <r>
    <s v="T003987"/>
    <x v="3792"/>
    <d v="2026-06-30T12:15:00"/>
    <x v="6"/>
    <s v="Phone"/>
    <x v="2"/>
    <s v="A046"/>
    <x v="1"/>
    <n v="4"/>
    <n v="6.3"/>
    <x v="1"/>
    <s v="No"/>
    <s v="No"/>
    <n v="3"/>
    <s v="Closed"/>
    <s v="June"/>
    <x v="5"/>
    <n v="2026"/>
    <s v="No"/>
    <n v="0"/>
    <x v="2"/>
    <n v="1"/>
  </r>
  <r>
    <s v="T003988"/>
    <x v="3793"/>
    <d v="2026-07-01T08:18:00"/>
    <x v="2"/>
    <s v="Phone"/>
    <x v="1"/>
    <s v="A008"/>
    <x v="0"/>
    <n v="24"/>
    <n v="25.8"/>
    <x v="1"/>
    <s v="No"/>
    <s v="No"/>
    <n v="5"/>
    <s v="Closed"/>
    <s v="June"/>
    <x v="5"/>
    <n v="2026"/>
    <s v="No"/>
    <n v="0"/>
    <x v="2"/>
    <n v="1"/>
  </r>
  <r>
    <s v="T003989"/>
    <x v="3794"/>
    <d v="2026-06-30T18:06:00"/>
    <x v="1"/>
    <s v="Phone"/>
    <x v="1"/>
    <s v="A039"/>
    <x v="1"/>
    <n v="24"/>
    <n v="8.5"/>
    <x v="0"/>
    <s v="No"/>
    <s v="No"/>
    <n v="4"/>
    <s v="Closed"/>
    <s v="June"/>
    <x v="5"/>
    <n v="2026"/>
    <s v="Yes"/>
    <n v="1"/>
    <x v="0"/>
    <n v="0"/>
  </r>
  <r>
    <s v="T003990"/>
    <x v="3795"/>
    <d v="2026-06-30T13:22:00"/>
    <x v="1"/>
    <s v="Chat"/>
    <x v="1"/>
    <s v="A025"/>
    <x v="2"/>
    <n v="24"/>
    <n v="3.2"/>
    <x v="1"/>
    <s v="No"/>
    <s v="No"/>
    <m/>
    <s v="Closed"/>
    <s v="June"/>
    <x v="5"/>
    <n v="2026"/>
    <s v="Yes"/>
    <n v="1"/>
    <x v="1"/>
    <n v="1"/>
  </r>
  <r>
    <s v="T003991"/>
    <x v="3796"/>
    <d v="2026-07-02T20:11:00"/>
    <x v="4"/>
    <s v="Field Visit"/>
    <x v="2"/>
    <s v="A049"/>
    <x v="1"/>
    <n v="4"/>
    <n v="57.9"/>
    <x v="1"/>
    <s v="No"/>
    <s v="Yes"/>
    <m/>
    <s v="Closed"/>
    <s v="June"/>
    <x v="5"/>
    <n v="2026"/>
    <s v="No"/>
    <n v="0"/>
    <x v="0"/>
    <n v="1"/>
  </r>
  <r>
    <s v="T003992"/>
    <x v="3797"/>
    <d v="2026-07-01T00:05:00"/>
    <x v="1"/>
    <s v="Email"/>
    <x v="0"/>
    <s v="A017"/>
    <x v="2"/>
    <n v="72"/>
    <n v="13.2"/>
    <x v="1"/>
    <s v="No"/>
    <s v="Yes"/>
    <n v="4"/>
    <s v="Closed"/>
    <s v="June"/>
    <x v="5"/>
    <n v="2026"/>
    <s v="Yes"/>
    <n v="1"/>
    <x v="1"/>
    <n v="1"/>
  </r>
  <r>
    <s v="T003993"/>
    <x v="3798"/>
    <d v="2026-06-30T16:42:00"/>
    <x v="0"/>
    <s v="Phone"/>
    <x v="0"/>
    <s v="A053"/>
    <x v="1"/>
    <n v="72"/>
    <m/>
    <x v="1"/>
    <s v="No"/>
    <s v="No"/>
    <m/>
    <s v="Closed"/>
    <s v="June"/>
    <x v="5"/>
    <n v="2026"/>
    <m/>
    <m/>
    <x v="1"/>
    <n v="1"/>
  </r>
  <r>
    <s v="T003994"/>
    <x v="3799"/>
    <d v="2026-07-04T15:33:00"/>
    <x v="4"/>
    <s v="Field Visit"/>
    <x v="1"/>
    <s v="A028"/>
    <x v="2"/>
    <n v="24"/>
    <n v="100"/>
    <x v="1"/>
    <s v="No"/>
    <s v="No"/>
    <n v="4"/>
    <s v="Closed"/>
    <s v="June"/>
    <x v="5"/>
    <n v="2026"/>
    <s v="No"/>
    <n v="0"/>
    <x v="3"/>
    <n v="1"/>
  </r>
  <r>
    <s v="T003995"/>
    <x v="3800"/>
    <d v="2026-07-01T02:30:00"/>
    <x v="2"/>
    <s v="Chat"/>
    <x v="0"/>
    <s v="A020"/>
    <x v="2"/>
    <n v="72"/>
    <n v="14.9"/>
    <x v="1"/>
    <s v="No"/>
    <s v="No"/>
    <m/>
    <s v="Closed"/>
    <s v="June"/>
    <x v="5"/>
    <n v="2026"/>
    <s v="Yes"/>
    <n v="1"/>
    <x v="2"/>
    <n v="1"/>
  </r>
  <r>
    <s v="T003996"/>
    <x v="3801"/>
    <d v="2026-07-02T09:45:00"/>
    <x v="4"/>
    <s v="Phone"/>
    <x v="1"/>
    <s v="A008"/>
    <x v="0"/>
    <n v="24"/>
    <n v="45.6"/>
    <x v="1"/>
    <s v="No"/>
    <s v="No"/>
    <m/>
    <s v="Closed"/>
    <s v="June"/>
    <x v="5"/>
    <n v="2026"/>
    <s v="No"/>
    <n v="0"/>
    <x v="1"/>
    <n v="1"/>
  </r>
  <r>
    <s v="T003997"/>
    <x v="3802"/>
    <d v="2026-06-30T22:18:00"/>
    <x v="2"/>
    <s v="Phone"/>
    <x v="1"/>
    <s v="A037"/>
    <x v="1"/>
    <n v="24"/>
    <n v="10"/>
    <x v="1"/>
    <s v="No"/>
    <s v="No"/>
    <m/>
    <s v="Closed"/>
    <s v="June"/>
    <x v="5"/>
    <n v="2026"/>
    <s v="Yes"/>
    <n v="1"/>
    <x v="4"/>
    <n v="1"/>
  </r>
  <r>
    <s v="T003998"/>
    <x v="3803"/>
    <d v="2026-07-01T10:13:00"/>
    <x v="3"/>
    <s v="Chat"/>
    <x v="1"/>
    <s v="A016"/>
    <x v="2"/>
    <n v="24"/>
    <n v="21.6"/>
    <x v="0"/>
    <s v="Yes"/>
    <s v="No"/>
    <m/>
    <s v="Closed"/>
    <s v="June"/>
    <x v="5"/>
    <n v="2026"/>
    <s v="Yes"/>
    <n v="1"/>
    <x v="4"/>
    <n v="0"/>
  </r>
  <r>
    <s v="T003999"/>
    <x v="3804"/>
    <d v="2026-06-30T19:45:00"/>
    <x v="3"/>
    <s v="Phone"/>
    <x v="1"/>
    <s v="A029"/>
    <x v="2"/>
    <n v="24"/>
    <n v="6.7"/>
    <x v="1"/>
    <s v="No"/>
    <s v="No"/>
    <m/>
    <s v="Closed"/>
    <s v="June"/>
    <x v="5"/>
    <n v="2026"/>
    <s v="Yes"/>
    <n v="1"/>
    <x v="4"/>
    <n v="1"/>
  </r>
  <r>
    <s v="T004000"/>
    <x v="3805"/>
    <d v="2026-06-30T18:50:00"/>
    <x v="1"/>
    <s v="Email"/>
    <x v="0"/>
    <s v="A058"/>
    <x v="1"/>
    <n v="72"/>
    <n v="5"/>
    <x v="1"/>
    <s v="No"/>
    <s v="No"/>
    <n v="5"/>
    <s v="Closed"/>
    <s v="June"/>
    <x v="5"/>
    <n v="2026"/>
    <s v="Yes"/>
    <n v="1"/>
    <x v="4"/>
    <n v="1"/>
  </r>
  <r>
    <s v="T004001"/>
    <x v="3806"/>
    <d v="2026-07-03T07:40:00"/>
    <x v="2"/>
    <s v="Field Visit"/>
    <x v="0"/>
    <s v="A047"/>
    <x v="1"/>
    <n v="72"/>
    <n v="65.7"/>
    <x v="1"/>
    <s v="No"/>
    <s v="No"/>
    <n v="5"/>
    <s v="Closed"/>
    <s v="June"/>
    <x v="5"/>
    <n v="2026"/>
    <s v="Yes"/>
    <n v="1"/>
    <x v="1"/>
    <n v="1"/>
  </r>
  <r>
    <s v="T004002"/>
    <x v="3807"/>
    <d v="2026-06-30T18:32:00"/>
    <x v="2"/>
    <s v="Phone"/>
    <x v="0"/>
    <s v="A028"/>
    <x v="2"/>
    <n v="72"/>
    <n v="3.6"/>
    <x v="1"/>
    <s v="No"/>
    <s v="No"/>
    <m/>
    <s v="Closed"/>
    <s v="June"/>
    <x v="5"/>
    <n v="2026"/>
    <s v="Yes"/>
    <n v="1"/>
    <x v="3"/>
    <n v="1"/>
  </r>
  <r>
    <s v="T004003"/>
    <x v="3808"/>
    <d v="2026-07-01T14:20:00"/>
    <x v="0"/>
    <s v="Phone"/>
    <x v="1"/>
    <s v="A009"/>
    <x v="0"/>
    <n v="24"/>
    <n v="22.3"/>
    <x v="1"/>
    <s v="No"/>
    <s v="No"/>
    <m/>
    <s v="Closed"/>
    <s v="June"/>
    <x v="5"/>
    <n v="2026"/>
    <s v="Yes"/>
    <n v="1"/>
    <x v="2"/>
    <n v="1"/>
  </r>
  <r>
    <s v="T004004"/>
    <x v="3809"/>
    <d v="2026-06-30T23:13:00"/>
    <x v="1"/>
    <s v="Email"/>
    <x v="0"/>
    <s v="A031"/>
    <x v="2"/>
    <n v="72"/>
    <n v="6.9"/>
    <x v="1"/>
    <s v="No"/>
    <s v="No"/>
    <m/>
    <s v="Closed"/>
    <s v="June"/>
    <x v="5"/>
    <n v="2026"/>
    <s v="Yes"/>
    <n v="1"/>
    <x v="3"/>
    <n v="1"/>
  </r>
  <r>
    <s v="T004005"/>
    <x v="3810"/>
    <d v="2026-07-01T06:25:00"/>
    <x v="6"/>
    <s v="Phone"/>
    <x v="1"/>
    <s v="A018"/>
    <x v="2"/>
    <n v="24"/>
    <n v="13.9"/>
    <x v="0"/>
    <s v="Yes"/>
    <s v="No"/>
    <m/>
    <s v="Closed"/>
    <s v="June"/>
    <x v="5"/>
    <n v="2026"/>
    <s v="Yes"/>
    <n v="1"/>
    <x v="1"/>
    <n v="0"/>
  </r>
  <r>
    <s v="T004006"/>
    <x v="3811"/>
    <d v="2026-06-30T19:39:00"/>
    <x v="5"/>
    <s v="Chat"/>
    <x v="1"/>
    <s v="A043"/>
    <x v="1"/>
    <n v="24"/>
    <n v="3.1"/>
    <x v="1"/>
    <s v="No"/>
    <s v="No"/>
    <n v="3"/>
    <s v="Closed"/>
    <s v="June"/>
    <x v="5"/>
    <n v="2026"/>
    <s v="Yes"/>
    <n v="1"/>
    <x v="3"/>
    <n v="1"/>
  </r>
  <r>
    <s v="T004007"/>
    <x v="3812"/>
    <d v="2026-06-30T20:57:00"/>
    <x v="1"/>
    <s v="Phone"/>
    <x v="0"/>
    <s v="A058"/>
    <x v="1"/>
    <n v="72"/>
    <n v="4.3"/>
    <x v="1"/>
    <s v="No"/>
    <s v="No"/>
    <m/>
    <s v="Closed"/>
    <s v="June"/>
    <x v="5"/>
    <n v="2026"/>
    <s v="Yes"/>
    <n v="1"/>
    <x v="3"/>
    <n v="1"/>
  </r>
  <r>
    <s v="T004008"/>
    <x v="3813"/>
    <d v="2026-06-30T20:51:00"/>
    <x v="2"/>
    <s v="Chat"/>
    <x v="1"/>
    <s v="A043"/>
    <x v="1"/>
    <n v="24"/>
    <n v="4"/>
    <x v="1"/>
    <s v="No"/>
    <s v="No"/>
    <m/>
    <s v="Closed"/>
    <s v="June"/>
    <x v="5"/>
    <n v="2026"/>
    <s v="Yes"/>
    <n v="1"/>
    <x v="4"/>
    <n v="1"/>
  </r>
  <r>
    <s v="T004009"/>
    <x v="3814"/>
    <d v="2026-07-02T13:10:00"/>
    <x v="4"/>
    <s v="Chat"/>
    <x v="0"/>
    <s v="A027"/>
    <x v="2"/>
    <n v="72"/>
    <n v="43.5"/>
    <x v="1"/>
    <s v="No"/>
    <s v="No"/>
    <m/>
    <s v="Closed"/>
    <s v="June"/>
    <x v="5"/>
    <n v="2026"/>
    <s v="Yes"/>
    <n v="1"/>
    <x v="3"/>
    <n v="1"/>
  </r>
  <r>
    <s v="T004010"/>
    <x v="3815"/>
    <d v="2026-07-01T04:56:00"/>
    <x v="0"/>
    <s v="Phone"/>
    <x v="2"/>
    <s v="A042"/>
    <x v="1"/>
    <n v="4"/>
    <n v="11.2"/>
    <x v="1"/>
    <s v="No"/>
    <s v="No"/>
    <n v="3"/>
    <s v="Closed"/>
    <s v="June"/>
    <x v="5"/>
    <n v="2026"/>
    <s v="No"/>
    <n v="0"/>
    <x v="3"/>
    <n v="1"/>
  </r>
  <r>
    <s v="T004011"/>
    <x v="3816"/>
    <d v="2026-07-01T17:56:00"/>
    <x v="3"/>
    <s v="Email"/>
    <x v="0"/>
    <s v="A001"/>
    <x v="0"/>
    <n v="72"/>
    <n v="23.8"/>
    <x v="1"/>
    <s v="No"/>
    <s v="No"/>
    <m/>
    <s v="Closed"/>
    <s v="June"/>
    <x v="5"/>
    <n v="2026"/>
    <s v="Yes"/>
    <n v="1"/>
    <x v="0"/>
    <n v="1"/>
  </r>
  <r>
    <s v="T004012"/>
    <x v="3817"/>
    <d v="2026-07-01T07:10:00"/>
    <x v="3"/>
    <s v="Chat"/>
    <x v="1"/>
    <s v="A023"/>
    <x v="2"/>
    <n v="24"/>
    <n v="12.1"/>
    <x v="1"/>
    <s v="No"/>
    <s v="No"/>
    <n v="5"/>
    <s v="Closed"/>
    <s v="June"/>
    <x v="5"/>
    <n v="2026"/>
    <s v="Yes"/>
    <n v="1"/>
    <x v="3"/>
    <n v="1"/>
  </r>
  <r>
    <s v="T004013"/>
    <x v="3818"/>
    <d v="2026-07-03T17:35:00"/>
    <x v="0"/>
    <s v="Phone"/>
    <x v="1"/>
    <s v="A007"/>
    <x v="0"/>
    <n v="24"/>
    <n v="68.8"/>
    <x v="1"/>
    <s v="No"/>
    <s v="No"/>
    <m/>
    <s v="Closed"/>
    <s v="June"/>
    <x v="5"/>
    <n v="2026"/>
    <s v="No"/>
    <n v="0"/>
    <x v="2"/>
    <n v="1"/>
  </r>
  <r>
    <s v="T004014"/>
    <x v="3819"/>
    <d v="2026-06-30T22:49:00"/>
    <x v="1"/>
    <s v="Phone"/>
    <x v="1"/>
    <s v="A020"/>
    <x v="2"/>
    <n v="24"/>
    <n v="2"/>
    <x v="0"/>
    <s v="Yes"/>
    <s v="No"/>
    <n v="4"/>
    <s v="Closed"/>
    <s v="June"/>
    <x v="5"/>
    <n v="2026"/>
    <s v="Yes"/>
    <n v="1"/>
    <x v="3"/>
    <n v="0"/>
  </r>
  <r>
    <s v="T004015"/>
    <x v="3820"/>
    <d v="2026-07-01T08:48:00"/>
    <x v="1"/>
    <s v="Chat"/>
    <x v="1"/>
    <s v="A047"/>
    <x v="1"/>
    <n v="24"/>
    <n v="5.6"/>
    <x v="1"/>
    <s v="No"/>
    <s v="No"/>
    <n v="5"/>
    <s v="Closed"/>
    <s v="July"/>
    <x v="6"/>
    <n v="2026"/>
    <s v="Yes"/>
    <n v="1"/>
    <x v="1"/>
    <n v="1"/>
  </r>
  <r>
    <s v="T004016"/>
    <x v="3821"/>
    <d v="2026-07-02T20:55:00"/>
    <x v="3"/>
    <s v="Field Visit"/>
    <x v="0"/>
    <s v="A050"/>
    <x v="1"/>
    <n v="72"/>
    <n v="39.200000000000003"/>
    <x v="1"/>
    <s v="No"/>
    <s v="No"/>
    <n v="5"/>
    <s v="Closed"/>
    <s v="July"/>
    <x v="6"/>
    <n v="2026"/>
    <s v="Yes"/>
    <n v="1"/>
    <x v="3"/>
    <n v="1"/>
  </r>
  <r>
    <s v="T004017"/>
    <x v="3822"/>
    <d v="2026-07-01T15:10:00"/>
    <x v="1"/>
    <s v="Phone"/>
    <x v="0"/>
    <s v="A050"/>
    <x v="1"/>
    <n v="72"/>
    <n v="8.1"/>
    <x v="1"/>
    <s v="No"/>
    <s v="No"/>
    <n v="5"/>
    <s v="Closed"/>
    <s v="July"/>
    <x v="6"/>
    <n v="2026"/>
    <s v="Yes"/>
    <n v="1"/>
    <x v="2"/>
    <n v="1"/>
  </r>
  <r>
    <s v="T004018"/>
    <x v="3823"/>
    <d v="2026-07-01T16:34:00"/>
    <x v="6"/>
    <s v="Email"/>
    <x v="2"/>
    <s v="A013"/>
    <x v="0"/>
    <n v="4"/>
    <n v="8.6"/>
    <x v="0"/>
    <s v="Yes"/>
    <s v="Yes"/>
    <n v="2"/>
    <s v="Closed"/>
    <s v="July"/>
    <x v="6"/>
    <n v="2026"/>
    <s v="No"/>
    <n v="0"/>
    <x v="3"/>
    <n v="0"/>
  </r>
  <r>
    <s v="T004019"/>
    <x v="3824"/>
    <d v="2026-07-01T13:14:00"/>
    <x v="6"/>
    <s v="Chat"/>
    <x v="2"/>
    <s v="A029"/>
    <x v="2"/>
    <n v="4"/>
    <n v="4.0999999999999996"/>
    <x v="1"/>
    <s v="No"/>
    <s v="No"/>
    <n v="3"/>
    <s v="Closed"/>
    <s v="July"/>
    <x v="6"/>
    <n v="2026"/>
    <s v="No"/>
    <n v="0"/>
    <x v="1"/>
    <n v="1"/>
  </r>
  <r>
    <s v="T004020"/>
    <x v="3825"/>
    <d v="2026-07-02T07:17:00"/>
    <x v="3"/>
    <s v="Phone"/>
    <x v="1"/>
    <s v="A049"/>
    <x v="1"/>
    <n v="24"/>
    <n v="21.3"/>
    <x v="1"/>
    <s v="No"/>
    <s v="No"/>
    <n v="4"/>
    <s v="Closed"/>
    <s v="July"/>
    <x v="6"/>
    <n v="2026"/>
    <s v="Yes"/>
    <n v="1"/>
    <x v="1"/>
    <n v="1"/>
  </r>
  <r>
    <s v="T004021"/>
    <x v="3826"/>
    <d v="2026-07-02T04:54:00"/>
    <x v="3"/>
    <s v="Phone"/>
    <x v="1"/>
    <s v="A017"/>
    <x v="2"/>
    <n v="24"/>
    <n v="17.8"/>
    <x v="1"/>
    <s v="No"/>
    <s v="No"/>
    <m/>
    <s v="Closed"/>
    <s v="July"/>
    <x v="6"/>
    <n v="2026"/>
    <s v="Yes"/>
    <n v="1"/>
    <x v="2"/>
    <n v="1"/>
  </r>
  <r>
    <s v="T004022"/>
    <x v="3827"/>
    <d v="2026-07-02T17:13:00"/>
    <x v="4"/>
    <s v="Field Visit"/>
    <x v="1"/>
    <s v="A028"/>
    <x v="2"/>
    <n v="24"/>
    <n v="29.3"/>
    <x v="0"/>
    <s v="No"/>
    <s v="No"/>
    <n v="4"/>
    <s v="Closed"/>
    <s v="July"/>
    <x v="6"/>
    <n v="2026"/>
    <s v="No"/>
    <n v="0"/>
    <x v="2"/>
    <n v="0"/>
  </r>
  <r>
    <s v="T004023"/>
    <x v="3828"/>
    <d v="2026-07-09T01:53:00"/>
    <x v="4"/>
    <s v="Field Visit"/>
    <x v="2"/>
    <s v="A010"/>
    <x v="0"/>
    <n v="4"/>
    <n v="181.8"/>
    <x v="1"/>
    <s v="No"/>
    <s v="No"/>
    <n v="3"/>
    <s v="Closed"/>
    <s v="July"/>
    <x v="6"/>
    <n v="2026"/>
    <s v="No"/>
    <n v="0"/>
    <x v="4"/>
    <n v="1"/>
  </r>
  <r>
    <s v="T004024"/>
    <x v="3829"/>
    <d v="2026-07-04T01:58:00"/>
    <x v="3"/>
    <s v="Field Visit"/>
    <x v="2"/>
    <s v="A048"/>
    <x v="1"/>
    <n v="4"/>
    <n v="59.5"/>
    <x v="0"/>
    <s v="Yes"/>
    <s v="No"/>
    <n v="3"/>
    <s v="Closed"/>
    <s v="July"/>
    <x v="6"/>
    <n v="2026"/>
    <s v="No"/>
    <n v="0"/>
    <x v="3"/>
    <n v="0"/>
  </r>
  <r>
    <s v="T004025"/>
    <x v="3830"/>
    <d v="2026-07-01T23:45:00"/>
    <x v="1"/>
    <s v="Phone"/>
    <x v="1"/>
    <s v="A002"/>
    <x v="0"/>
    <n v="24"/>
    <n v="8.8000000000000007"/>
    <x v="0"/>
    <s v="No"/>
    <s v="No"/>
    <n v="4"/>
    <s v="Closed"/>
    <s v="July"/>
    <x v="6"/>
    <n v="2026"/>
    <s v="Yes"/>
    <n v="1"/>
    <x v="2"/>
    <n v="0"/>
  </r>
  <r>
    <s v="T004026"/>
    <x v="3831"/>
    <d v="2026-07-02T01:18:00"/>
    <x v="0"/>
    <s v="Phone"/>
    <x v="0"/>
    <s v="A037"/>
    <x v="1"/>
    <n v="72"/>
    <n v="10.199999999999999"/>
    <x v="0"/>
    <s v="No"/>
    <s v="No"/>
    <n v="4"/>
    <s v="Closed"/>
    <s v="July"/>
    <x v="6"/>
    <n v="2026"/>
    <s v="Yes"/>
    <n v="1"/>
    <x v="0"/>
    <n v="0"/>
  </r>
  <r>
    <s v="T004027"/>
    <x v="3832"/>
    <d v="2026-07-01T23:16:00"/>
    <x v="1"/>
    <s v="Chat"/>
    <x v="0"/>
    <s v="A020"/>
    <x v="2"/>
    <n v="72"/>
    <n v="8"/>
    <x v="1"/>
    <s v="No"/>
    <s v="No"/>
    <n v="4"/>
    <s v="Closed"/>
    <s v="July"/>
    <x v="6"/>
    <n v="2026"/>
    <s v="Yes"/>
    <n v="1"/>
    <x v="2"/>
    <n v="1"/>
  </r>
  <r>
    <s v="T004028"/>
    <x v="3833"/>
    <d v="2026-07-01T19:00:00"/>
    <x v="2"/>
    <s v="Chat"/>
    <x v="1"/>
    <s v="A055"/>
    <x v="1"/>
    <n v="24"/>
    <n v="3.7"/>
    <x v="1"/>
    <s v="No"/>
    <s v="No"/>
    <n v="5"/>
    <s v="Closed"/>
    <s v="July"/>
    <x v="6"/>
    <n v="2026"/>
    <s v="Yes"/>
    <n v="1"/>
    <x v="4"/>
    <n v="1"/>
  </r>
  <r>
    <s v="T004029"/>
    <x v="3834"/>
    <d v="2026-07-03T19:06:00"/>
    <x v="4"/>
    <s v="Field Visit"/>
    <x v="1"/>
    <s v="A035"/>
    <x v="2"/>
    <n v="24"/>
    <n v="51.4"/>
    <x v="0"/>
    <s v="Yes"/>
    <s v="No"/>
    <m/>
    <s v="Closed"/>
    <s v="July"/>
    <x v="6"/>
    <n v="2026"/>
    <s v="No"/>
    <n v="0"/>
    <x v="1"/>
    <n v="0"/>
  </r>
  <r>
    <s v="T004030"/>
    <x v="3835"/>
    <d v="2026-07-02T07:45:00"/>
    <x v="1"/>
    <s v="Email"/>
    <x v="0"/>
    <s v="A017"/>
    <x v="2"/>
    <n v="72"/>
    <n v="15.1"/>
    <x v="1"/>
    <s v="No"/>
    <s v="Yes"/>
    <m/>
    <s v="Closed"/>
    <s v="July"/>
    <x v="6"/>
    <n v="2026"/>
    <s v="Yes"/>
    <n v="1"/>
    <x v="0"/>
    <n v="1"/>
  </r>
  <r>
    <s v="T004031"/>
    <x v="3836"/>
    <d v="2026-07-02T18:07:00"/>
    <x v="6"/>
    <s v="Field Visit"/>
    <x v="1"/>
    <s v="A048"/>
    <x v="1"/>
    <n v="24"/>
    <n v="25.1"/>
    <x v="1"/>
    <s v="No"/>
    <s v="No"/>
    <m/>
    <s v="Closed"/>
    <s v="July"/>
    <x v="6"/>
    <n v="2026"/>
    <s v="No"/>
    <n v="0"/>
    <x v="2"/>
    <n v="1"/>
  </r>
  <r>
    <s v="T004032"/>
    <x v="3837"/>
    <d v="2026-07-02T12:47:00"/>
    <x v="0"/>
    <s v="Email"/>
    <x v="0"/>
    <s v="A003"/>
    <x v="0"/>
    <n v="72"/>
    <n v="19.399999999999999"/>
    <x v="1"/>
    <s v="No"/>
    <s v="Yes"/>
    <m/>
    <s v="Closed"/>
    <s v="July"/>
    <x v="6"/>
    <n v="2026"/>
    <s v="Yes"/>
    <n v="1"/>
    <x v="3"/>
    <n v="1"/>
  </r>
  <r>
    <s v="T004033"/>
    <x v="3838"/>
    <d v="2026-07-02T13:33:00"/>
    <x v="6"/>
    <s v="Chat"/>
    <x v="2"/>
    <s v="A015"/>
    <x v="0"/>
    <n v="4"/>
    <n v="19.8"/>
    <x v="0"/>
    <s v="No"/>
    <s v="No"/>
    <m/>
    <s v="Closed"/>
    <s v="July"/>
    <x v="6"/>
    <n v="2026"/>
    <s v="No"/>
    <n v="0"/>
    <x v="0"/>
    <n v="0"/>
  </r>
  <r>
    <s v="T004034"/>
    <x v="3839"/>
    <d v="2026-07-02T05:34:00"/>
    <x v="6"/>
    <s v="Chat"/>
    <x v="2"/>
    <s v="A043"/>
    <x v="1"/>
    <n v="4"/>
    <n v="7.9"/>
    <x v="1"/>
    <s v="No"/>
    <s v="Yes"/>
    <n v="3"/>
    <s v="Closed"/>
    <s v="July"/>
    <x v="6"/>
    <n v="2026"/>
    <s v="No"/>
    <n v="0"/>
    <x v="1"/>
    <n v="1"/>
  </r>
  <r>
    <s v="T004035"/>
    <x v="3840"/>
    <d v="2026-07-02T09:57:00"/>
    <x v="0"/>
    <s v="Phone"/>
    <x v="1"/>
    <s v="A008"/>
    <x v="0"/>
    <n v="24"/>
    <n v="9.3000000000000007"/>
    <x v="1"/>
    <s v="No"/>
    <s v="No"/>
    <n v="5"/>
    <s v="Closed"/>
    <s v="July"/>
    <x v="6"/>
    <n v="2026"/>
    <s v="Yes"/>
    <n v="1"/>
    <x v="1"/>
    <n v="1"/>
  </r>
  <r>
    <s v="T004036"/>
    <x v="3841"/>
    <d v="2026-07-03T19:54:00"/>
    <x v="5"/>
    <s v="Field Visit"/>
    <x v="0"/>
    <s v="A007"/>
    <x v="0"/>
    <n v="72"/>
    <n v="37.9"/>
    <x v="1"/>
    <s v="No"/>
    <s v="No"/>
    <m/>
    <s v="Closed"/>
    <s v="July"/>
    <x v="6"/>
    <n v="2026"/>
    <s v="Yes"/>
    <n v="1"/>
    <x v="0"/>
    <n v="1"/>
  </r>
  <r>
    <s v="T004037"/>
    <x v="3842"/>
    <d v="2026-07-03T04:45:00"/>
    <x v="3"/>
    <s v="Email"/>
    <x v="1"/>
    <s v="A045"/>
    <x v="1"/>
    <n v="24"/>
    <n v="19.600000000000001"/>
    <x v="1"/>
    <s v="No"/>
    <s v="No"/>
    <n v="5"/>
    <s v="Closed"/>
    <s v="July"/>
    <x v="6"/>
    <n v="2026"/>
    <s v="Yes"/>
    <n v="1"/>
    <x v="4"/>
    <n v="1"/>
  </r>
  <r>
    <s v="T004038"/>
    <x v="3843"/>
    <d v="2026-07-04T20:57:00"/>
    <x v="4"/>
    <s v="Field Visit"/>
    <x v="0"/>
    <s v="A046"/>
    <x v="1"/>
    <n v="72"/>
    <n v="59.5"/>
    <x v="0"/>
    <s v="Yes"/>
    <s v="No"/>
    <m/>
    <s v="Closed"/>
    <s v="July"/>
    <x v="6"/>
    <n v="2026"/>
    <s v="Yes"/>
    <n v="1"/>
    <x v="0"/>
    <n v="0"/>
  </r>
  <r>
    <s v="T004039"/>
    <x v="3844"/>
    <d v="2026-07-02T17:15:00"/>
    <x v="1"/>
    <s v="Chat"/>
    <x v="0"/>
    <s v="A029"/>
    <x v="2"/>
    <n v="72"/>
    <n v="6.6"/>
    <x v="1"/>
    <s v="No"/>
    <s v="No"/>
    <n v="5"/>
    <s v="Closed"/>
    <s v="July"/>
    <x v="6"/>
    <n v="2026"/>
    <s v="Yes"/>
    <n v="1"/>
    <x v="4"/>
    <n v="1"/>
  </r>
  <r>
    <s v="T004040"/>
    <x v="3845"/>
    <d v="2026-07-02T22:48:00"/>
    <x v="0"/>
    <s v="Phone"/>
    <x v="1"/>
    <s v="A040"/>
    <x v="1"/>
    <n v="24"/>
    <n v="11.2"/>
    <x v="1"/>
    <s v="No"/>
    <s v="No"/>
    <n v="4"/>
    <s v="Closed"/>
    <s v="July"/>
    <x v="6"/>
    <n v="2026"/>
    <s v="Yes"/>
    <n v="1"/>
    <x v="1"/>
    <n v="1"/>
  </r>
  <r>
    <s v="T004041"/>
    <x v="3846"/>
    <d v="2026-07-03T02:47:00"/>
    <x v="6"/>
    <s v="Field Visit"/>
    <x v="1"/>
    <s v="A022"/>
    <x v="2"/>
    <n v="24"/>
    <n v="14.6"/>
    <x v="1"/>
    <s v="No"/>
    <s v="No"/>
    <m/>
    <s v="Closed"/>
    <s v="July"/>
    <x v="6"/>
    <n v="2026"/>
    <s v="Yes"/>
    <n v="1"/>
    <x v="1"/>
    <n v="1"/>
  </r>
  <r>
    <s v="T004042"/>
    <x v="3847"/>
    <d v="2026-07-02T16:26:00"/>
    <x v="1"/>
    <s v="Phone"/>
    <x v="1"/>
    <s v="A030"/>
    <x v="2"/>
    <n v="24"/>
    <n v="4.2"/>
    <x v="0"/>
    <s v="Yes"/>
    <s v="No"/>
    <m/>
    <s v="Closed"/>
    <s v="July"/>
    <x v="6"/>
    <n v="2026"/>
    <s v="Yes"/>
    <n v="1"/>
    <x v="1"/>
    <n v="0"/>
  </r>
  <r>
    <s v="T004043"/>
    <x v="3848"/>
    <d v="2026-07-02T16:20:00"/>
    <x v="0"/>
    <s v="Phone"/>
    <x v="1"/>
    <s v="A038"/>
    <x v="1"/>
    <n v="24"/>
    <n v="3.2"/>
    <x v="1"/>
    <s v="No"/>
    <s v="No"/>
    <m/>
    <s v="Closed"/>
    <s v="July"/>
    <x v="6"/>
    <n v="2026"/>
    <s v="Yes"/>
    <n v="1"/>
    <x v="1"/>
    <n v="1"/>
  </r>
  <r>
    <s v="T004044"/>
    <x v="3849"/>
    <d v="2026-07-04T08:10:00"/>
    <x v="4"/>
    <s v="Field Visit"/>
    <x v="1"/>
    <s v="A011"/>
    <x v="0"/>
    <n v="24"/>
    <n v="42.2"/>
    <x v="1"/>
    <s v="No"/>
    <s v="No"/>
    <m/>
    <s v="Closed"/>
    <s v="July"/>
    <x v="6"/>
    <n v="2026"/>
    <s v="No"/>
    <n v="0"/>
    <x v="1"/>
    <n v="1"/>
  </r>
  <r>
    <s v="T004045"/>
    <x v="3850"/>
    <d v="2026-07-03T04:30:00"/>
    <x v="2"/>
    <s v="Email"/>
    <x v="1"/>
    <s v="A029"/>
    <x v="2"/>
    <n v="24"/>
    <n v="14.1"/>
    <x v="1"/>
    <s v="No"/>
    <s v="No"/>
    <n v="4"/>
    <s v="Closed"/>
    <s v="July"/>
    <x v="6"/>
    <n v="2026"/>
    <s v="Yes"/>
    <n v="1"/>
    <x v="4"/>
    <n v="1"/>
  </r>
  <r>
    <s v="T004046"/>
    <x v="3851"/>
    <d v="2026-07-09T05:15:00"/>
    <x v="3"/>
    <s v="Field Visit"/>
    <x v="0"/>
    <s v="A021"/>
    <x v="2"/>
    <n v="72"/>
    <n v="158.1"/>
    <x v="1"/>
    <s v="No"/>
    <s v="No"/>
    <m/>
    <s v="Closed"/>
    <s v="July"/>
    <x v="6"/>
    <n v="2026"/>
    <s v="No"/>
    <n v="0"/>
    <x v="2"/>
    <n v="1"/>
  </r>
  <r>
    <s v="T004047"/>
    <x v="3852"/>
    <d v="2026-07-03T23:35:00"/>
    <x v="0"/>
    <s v="Phone"/>
    <x v="0"/>
    <s v="A029"/>
    <x v="2"/>
    <n v="72"/>
    <n v="31.3"/>
    <x v="1"/>
    <s v="No"/>
    <s v="No"/>
    <n v="4"/>
    <s v="Closed"/>
    <s v="July"/>
    <x v="6"/>
    <n v="2026"/>
    <s v="Yes"/>
    <n v="1"/>
    <x v="3"/>
    <n v="1"/>
  </r>
  <r>
    <s v="T004048"/>
    <x v="3853"/>
    <d v="2026-07-03T05:52:00"/>
    <x v="0"/>
    <s v="Chat"/>
    <x v="1"/>
    <s v="A015"/>
    <x v="0"/>
    <n v="24"/>
    <n v="7"/>
    <x v="0"/>
    <s v="No"/>
    <s v="No"/>
    <n v="4"/>
    <s v="Closed"/>
    <s v="July"/>
    <x v="6"/>
    <n v="2026"/>
    <s v="Yes"/>
    <n v="1"/>
    <x v="0"/>
    <n v="0"/>
  </r>
  <r>
    <s v="T004049"/>
    <x v="3854"/>
    <d v="2026-07-03T12:56:00"/>
    <x v="5"/>
    <s v="Phone"/>
    <x v="1"/>
    <s v="A048"/>
    <x v="1"/>
    <n v="24"/>
    <n v="5.7"/>
    <x v="1"/>
    <s v="No"/>
    <s v="Yes"/>
    <m/>
    <s v="Closed"/>
    <s v="July"/>
    <x v="6"/>
    <n v="2026"/>
    <s v="Yes"/>
    <n v="1"/>
    <x v="4"/>
    <n v="1"/>
  </r>
  <r>
    <s v="T004050"/>
    <x v="3855"/>
    <d v="2026-07-11T01:18:00"/>
    <x v="4"/>
    <s v="Field Visit"/>
    <x v="1"/>
    <s v="A009"/>
    <x v="0"/>
    <n v="24"/>
    <n v="185"/>
    <x v="0"/>
    <s v="Yes"/>
    <s v="No"/>
    <m/>
    <s v="Closed"/>
    <s v="July"/>
    <x v="6"/>
    <n v="2026"/>
    <s v="No"/>
    <n v="0"/>
    <x v="1"/>
    <n v="0"/>
  </r>
  <r>
    <s v="T004051"/>
    <x v="3856"/>
    <d v="2026-07-03T12:14:00"/>
    <x v="6"/>
    <s v="Chat"/>
    <x v="1"/>
    <s v="A010"/>
    <x v="0"/>
    <n v="24"/>
    <n v="3.6"/>
    <x v="1"/>
    <s v="No"/>
    <s v="No"/>
    <n v="5"/>
    <s v="Closed"/>
    <s v="July"/>
    <x v="6"/>
    <n v="2026"/>
    <s v="Yes"/>
    <n v="1"/>
    <x v="3"/>
    <n v="1"/>
  </r>
  <r>
    <s v="T004052"/>
    <x v="3857"/>
    <d v="2026-07-04T07:51:00"/>
    <x v="6"/>
    <s v="Email"/>
    <x v="2"/>
    <s v="A029"/>
    <x v="2"/>
    <n v="4"/>
    <n v="22.5"/>
    <x v="1"/>
    <s v="No"/>
    <s v="No"/>
    <n v="4"/>
    <s v="Closed"/>
    <s v="July"/>
    <x v="6"/>
    <n v="2026"/>
    <s v="No"/>
    <n v="0"/>
    <x v="4"/>
    <n v="1"/>
  </r>
  <r>
    <s v="T004053"/>
    <x v="3858"/>
    <d v="2026-07-03T22:04:00"/>
    <x v="0"/>
    <s v="Chat"/>
    <x v="0"/>
    <s v="A012"/>
    <x v="0"/>
    <n v="72"/>
    <n v="11.4"/>
    <x v="0"/>
    <s v="Yes"/>
    <s v="No"/>
    <n v="4"/>
    <s v="Closed"/>
    <s v="July"/>
    <x v="6"/>
    <n v="2026"/>
    <s v="Yes"/>
    <n v="1"/>
    <x v="1"/>
    <n v="0"/>
  </r>
  <r>
    <s v="T004054"/>
    <x v="3859"/>
    <d v="2026-07-06T20:35:00"/>
    <x v="4"/>
    <s v="Field Visit"/>
    <x v="2"/>
    <s v="A042"/>
    <x v="1"/>
    <n v="4"/>
    <n v="81.900000000000006"/>
    <x v="0"/>
    <s v="No"/>
    <s v="No"/>
    <n v="4"/>
    <s v="Closed"/>
    <s v="July"/>
    <x v="6"/>
    <n v="2026"/>
    <s v="No"/>
    <n v="0"/>
    <x v="4"/>
    <n v="0"/>
  </r>
  <r>
    <s v="T004055"/>
    <x v="3860"/>
    <d v="2026-07-08T06:02:00"/>
    <x v="3"/>
    <s v="Field Visit"/>
    <x v="2"/>
    <s v="A012"/>
    <x v="0"/>
    <n v="4"/>
    <n v="115.1"/>
    <x v="0"/>
    <s v="No"/>
    <s v="Yes"/>
    <n v="2"/>
    <s v="Closed"/>
    <s v="July"/>
    <x v="6"/>
    <n v="2026"/>
    <s v="No"/>
    <n v="0"/>
    <x v="2"/>
    <n v="0"/>
  </r>
  <r>
    <s v="T004056"/>
    <x v="3861"/>
    <d v="2026-07-03T15:37:00"/>
    <x v="6"/>
    <s v="Chat"/>
    <x v="2"/>
    <s v="A030"/>
    <x v="2"/>
    <n v="4"/>
    <n v="3.8"/>
    <x v="1"/>
    <s v="No"/>
    <s v="No"/>
    <m/>
    <s v="Closed"/>
    <s v="July"/>
    <x v="6"/>
    <n v="2026"/>
    <s v="Yes"/>
    <n v="1"/>
    <x v="1"/>
    <n v="1"/>
  </r>
  <r>
    <s v="T004057"/>
    <x v="3862"/>
    <d v="2026-07-04T12:56:00"/>
    <x v="1"/>
    <s v="Email"/>
    <x v="1"/>
    <s v="A018"/>
    <x v="2"/>
    <n v="24"/>
    <n v="25"/>
    <x v="1"/>
    <s v="No"/>
    <s v="No"/>
    <m/>
    <s v="Closed"/>
    <s v="July"/>
    <x v="6"/>
    <n v="2026"/>
    <s v="No"/>
    <n v="0"/>
    <x v="0"/>
    <n v="1"/>
  </r>
  <r>
    <s v="T004058"/>
    <x v="3863"/>
    <d v="2026-07-03T21:32:00"/>
    <x v="1"/>
    <s v="Phone"/>
    <x v="1"/>
    <s v="A028"/>
    <x v="2"/>
    <n v="24"/>
    <n v="7.5"/>
    <x v="1"/>
    <s v="No"/>
    <s v="No"/>
    <n v="4"/>
    <s v="Closed"/>
    <s v="July"/>
    <x v="6"/>
    <n v="2026"/>
    <s v="Yes"/>
    <n v="1"/>
    <x v="4"/>
    <n v="1"/>
  </r>
  <r>
    <s v="T004059"/>
    <x v="3864"/>
    <d v="2026-07-05T07:34:00"/>
    <x v="0"/>
    <s v="Field Visit"/>
    <x v="1"/>
    <s v="A031"/>
    <x v="2"/>
    <n v="24"/>
    <n v="41"/>
    <x v="0"/>
    <s v="No"/>
    <s v="Yes"/>
    <m/>
    <s v="Closed"/>
    <s v="July"/>
    <x v="6"/>
    <n v="2026"/>
    <s v="No"/>
    <n v="0"/>
    <x v="3"/>
    <n v="0"/>
  </r>
  <r>
    <s v="T004060"/>
    <x v="3865"/>
    <d v="2026-07-05T05:03:00"/>
    <x v="3"/>
    <s v="Field Visit"/>
    <x v="0"/>
    <s v="A015"/>
    <x v="0"/>
    <n v="72"/>
    <n v="36.700000000000003"/>
    <x v="1"/>
    <s v="No"/>
    <s v="No"/>
    <m/>
    <s v="Closed"/>
    <s v="July"/>
    <x v="6"/>
    <n v="2026"/>
    <s v="Yes"/>
    <n v="1"/>
    <x v="2"/>
    <n v="1"/>
  </r>
  <r>
    <s v="T004061"/>
    <x v="3866"/>
    <d v="2026-07-03T22:17:00"/>
    <x v="6"/>
    <s v="Phone"/>
    <x v="1"/>
    <s v="A033"/>
    <x v="2"/>
    <n v="24"/>
    <n v="5.4"/>
    <x v="0"/>
    <s v="Yes"/>
    <s v="No"/>
    <m/>
    <s v="Closed"/>
    <s v="July"/>
    <x v="6"/>
    <n v="2026"/>
    <s v="Yes"/>
    <n v="1"/>
    <x v="1"/>
    <n v="0"/>
  </r>
  <r>
    <s v="T004062"/>
    <x v="3867"/>
    <d v="2026-07-04T03:29:00"/>
    <x v="0"/>
    <s v="Phone"/>
    <x v="0"/>
    <s v="A038"/>
    <x v="1"/>
    <n v="72"/>
    <n v="10.5"/>
    <x v="1"/>
    <s v="No"/>
    <s v="No"/>
    <n v="5"/>
    <s v="Closed"/>
    <s v="July"/>
    <x v="6"/>
    <n v="2026"/>
    <s v="Yes"/>
    <n v="1"/>
    <x v="3"/>
    <n v="1"/>
  </r>
  <r>
    <s v="T004063"/>
    <x v="3868"/>
    <d v="2026-07-04T10:18:00"/>
    <x v="0"/>
    <s v="Field Visit"/>
    <x v="0"/>
    <s v="A021"/>
    <x v="2"/>
    <n v="72"/>
    <n v="17"/>
    <x v="0"/>
    <s v="Yes"/>
    <s v="No"/>
    <n v="5"/>
    <s v="Closed"/>
    <s v="July"/>
    <x v="6"/>
    <n v="2026"/>
    <s v="Yes"/>
    <n v="1"/>
    <x v="3"/>
    <n v="0"/>
  </r>
  <r>
    <s v="T004064"/>
    <x v="3869"/>
    <d v="2026-07-05T08:27:00"/>
    <x v="4"/>
    <s v="Phone"/>
    <x v="1"/>
    <s v="A027"/>
    <x v="2"/>
    <n v="24"/>
    <n v="34.5"/>
    <x v="1"/>
    <s v="No"/>
    <s v="No"/>
    <n v="4"/>
    <s v="Closed"/>
    <s v="July"/>
    <x v="6"/>
    <n v="2026"/>
    <s v="No"/>
    <n v="0"/>
    <x v="3"/>
    <n v="1"/>
  </r>
  <r>
    <s v="T004065"/>
    <x v="3870"/>
    <d v="2026-07-06T07:16:00"/>
    <x v="2"/>
    <s v="Field Visit"/>
    <x v="1"/>
    <s v="A014"/>
    <x v="0"/>
    <n v="24"/>
    <n v="55.9"/>
    <x v="1"/>
    <s v="No"/>
    <s v="No"/>
    <n v="4"/>
    <s v="Closed"/>
    <s v="July"/>
    <x v="6"/>
    <n v="2026"/>
    <s v="No"/>
    <n v="0"/>
    <x v="0"/>
    <n v="1"/>
  </r>
  <r>
    <s v="T004066"/>
    <x v="3871"/>
    <d v="2026-07-04T15:54:00"/>
    <x v="6"/>
    <s v="Phone"/>
    <x v="2"/>
    <s v="A034"/>
    <x v="2"/>
    <n v="4"/>
    <n v="8.3000000000000007"/>
    <x v="0"/>
    <s v="No"/>
    <s v="Yes"/>
    <n v="3"/>
    <s v="Closed"/>
    <s v="July"/>
    <x v="6"/>
    <n v="2026"/>
    <s v="No"/>
    <n v="0"/>
    <x v="2"/>
    <n v="0"/>
  </r>
  <r>
    <s v="T004067"/>
    <x v="3872"/>
    <d v="2026-07-05T11:59:00"/>
    <x v="0"/>
    <s v="Chat"/>
    <x v="0"/>
    <s v="A057"/>
    <x v="1"/>
    <n v="72"/>
    <n v="28.1"/>
    <x v="1"/>
    <s v="No"/>
    <s v="No"/>
    <m/>
    <s v="Closed"/>
    <s v="July"/>
    <x v="6"/>
    <n v="2026"/>
    <s v="Yes"/>
    <n v="1"/>
    <x v="2"/>
    <n v="1"/>
  </r>
  <r>
    <s v="T004068"/>
    <x v="3873"/>
    <d v="2026-07-04T20:27:00"/>
    <x v="2"/>
    <s v="Email"/>
    <x v="1"/>
    <s v="A035"/>
    <x v="2"/>
    <n v="24"/>
    <n v="12.3"/>
    <x v="1"/>
    <s v="No"/>
    <s v="No"/>
    <n v="5"/>
    <s v="Closed"/>
    <s v="July"/>
    <x v="6"/>
    <n v="2026"/>
    <s v="Yes"/>
    <n v="1"/>
    <x v="4"/>
    <n v="1"/>
  </r>
  <r>
    <s v="T004069"/>
    <x v="3874"/>
    <d v="2026-07-05T02:20:00"/>
    <x v="6"/>
    <s v="Email"/>
    <x v="2"/>
    <s v="A060"/>
    <x v="1"/>
    <n v="4"/>
    <n v="18"/>
    <x v="1"/>
    <s v="No"/>
    <s v="No"/>
    <m/>
    <s v="Closed"/>
    <s v="July"/>
    <x v="6"/>
    <n v="2026"/>
    <s v="No"/>
    <n v="0"/>
    <x v="0"/>
    <n v="1"/>
  </r>
  <r>
    <s v="T004070"/>
    <x v="3875"/>
    <d v="2026-07-05T15:26:00"/>
    <x v="0"/>
    <s v="Field Visit"/>
    <x v="0"/>
    <s v="A034"/>
    <x v="2"/>
    <n v="72"/>
    <n v="30.5"/>
    <x v="1"/>
    <s v="No"/>
    <s v="No"/>
    <m/>
    <s v="Closed"/>
    <s v="July"/>
    <x v="6"/>
    <n v="2026"/>
    <s v="Yes"/>
    <n v="1"/>
    <x v="3"/>
    <n v="1"/>
  </r>
  <r>
    <s v="T004071"/>
    <x v="3876"/>
    <d v="2026-07-06T08:57:00"/>
    <x v="5"/>
    <s v="Field Visit"/>
    <x v="0"/>
    <s v="A014"/>
    <x v="0"/>
    <n v="72"/>
    <n v="47.7"/>
    <x v="0"/>
    <s v="Yes"/>
    <s v="No"/>
    <n v="3"/>
    <s v="Closed"/>
    <s v="July"/>
    <x v="6"/>
    <n v="2026"/>
    <s v="Yes"/>
    <n v="1"/>
    <x v="1"/>
    <n v="0"/>
  </r>
  <r>
    <s v="T004072"/>
    <x v="3877"/>
    <d v="2026-07-05T02:19:00"/>
    <x v="1"/>
    <s v="Phone"/>
    <x v="0"/>
    <s v="A059"/>
    <x v="1"/>
    <n v="72"/>
    <n v="14.5"/>
    <x v="1"/>
    <s v="No"/>
    <s v="No"/>
    <m/>
    <s v="Closed"/>
    <s v="July"/>
    <x v="6"/>
    <n v="2026"/>
    <s v="Yes"/>
    <n v="1"/>
    <x v="3"/>
    <n v="1"/>
  </r>
  <r>
    <s v="T004073"/>
    <x v="3878"/>
    <d v="2026-07-04T18:45:00"/>
    <x v="0"/>
    <s v="Phone"/>
    <x v="1"/>
    <s v="A058"/>
    <x v="1"/>
    <n v="24"/>
    <n v="6"/>
    <x v="1"/>
    <s v="No"/>
    <s v="No"/>
    <n v="5"/>
    <s v="Closed"/>
    <s v="July"/>
    <x v="6"/>
    <n v="2026"/>
    <s v="Yes"/>
    <n v="1"/>
    <x v="1"/>
    <n v="1"/>
  </r>
  <r>
    <s v="T004074"/>
    <x v="3879"/>
    <d v="2026-07-04T23:28:00"/>
    <x v="2"/>
    <s v="Chat"/>
    <x v="0"/>
    <s v="A029"/>
    <x v="2"/>
    <n v="72"/>
    <n v="10.1"/>
    <x v="0"/>
    <s v="Yes"/>
    <s v="No"/>
    <m/>
    <s v="Closed"/>
    <s v="July"/>
    <x v="6"/>
    <n v="2026"/>
    <s v="Yes"/>
    <n v="1"/>
    <x v="1"/>
    <n v="0"/>
  </r>
  <r>
    <s v="T004075"/>
    <x v="3880"/>
    <d v="2026-07-04T19:41:00"/>
    <x v="1"/>
    <s v="Phone"/>
    <x v="1"/>
    <s v="A052"/>
    <x v="1"/>
    <n v="24"/>
    <n v="6.2"/>
    <x v="0"/>
    <s v="No"/>
    <s v="No"/>
    <m/>
    <s v="Closed"/>
    <s v="July"/>
    <x v="6"/>
    <n v="2026"/>
    <s v="Yes"/>
    <n v="1"/>
    <x v="4"/>
    <n v="0"/>
  </r>
  <r>
    <s v="T004076"/>
    <x v="3881"/>
    <d v="2026-07-04T20:33:00"/>
    <x v="6"/>
    <s v="Phone"/>
    <x v="2"/>
    <s v="A051"/>
    <x v="1"/>
    <n v="4"/>
    <n v="6.9"/>
    <x v="1"/>
    <s v="No"/>
    <s v="No"/>
    <n v="5"/>
    <s v="Closed"/>
    <s v="July"/>
    <x v="6"/>
    <n v="2026"/>
    <s v="No"/>
    <n v="0"/>
    <x v="1"/>
    <n v="1"/>
  </r>
  <r>
    <s v="T004077"/>
    <x v="3882"/>
    <d v="2026-07-05T07:35:00"/>
    <x v="2"/>
    <s v="Field Visit"/>
    <x v="1"/>
    <s v="A023"/>
    <x v="2"/>
    <n v="24"/>
    <n v="16.3"/>
    <x v="1"/>
    <s v="No"/>
    <s v="No"/>
    <n v="4"/>
    <s v="Closed"/>
    <s v="July"/>
    <x v="6"/>
    <n v="2026"/>
    <s v="Yes"/>
    <n v="1"/>
    <x v="4"/>
    <n v="1"/>
  </r>
  <r>
    <s v="T004078"/>
    <x v="3883"/>
    <d v="2026-07-05T03:27:00"/>
    <x v="1"/>
    <s v="Chat"/>
    <x v="1"/>
    <s v="A012"/>
    <x v="0"/>
    <n v="24"/>
    <n v="11.7"/>
    <x v="1"/>
    <s v="No"/>
    <s v="No"/>
    <n v="4"/>
    <s v="Closed"/>
    <s v="July"/>
    <x v="6"/>
    <n v="2026"/>
    <s v="Yes"/>
    <n v="1"/>
    <x v="1"/>
    <n v="1"/>
  </r>
  <r>
    <s v="T004079"/>
    <x v="3884"/>
    <d v="2026-07-08T13:04:00"/>
    <x v="2"/>
    <s v="Field Visit"/>
    <x v="0"/>
    <s v="A042"/>
    <x v="1"/>
    <n v="72"/>
    <n v="93.3"/>
    <x v="1"/>
    <s v="No"/>
    <s v="No"/>
    <n v="5"/>
    <s v="Closed"/>
    <s v="July"/>
    <x v="6"/>
    <n v="2026"/>
    <s v="No"/>
    <n v="0"/>
    <x v="3"/>
    <n v="1"/>
  </r>
  <r>
    <s v="T004080"/>
    <x v="3885"/>
    <d v="2026-07-07T23:36:00"/>
    <x v="4"/>
    <s v="Field Visit"/>
    <x v="1"/>
    <s v="A014"/>
    <x v="0"/>
    <n v="24"/>
    <n v="79.400000000000006"/>
    <x v="0"/>
    <s v="No"/>
    <s v="No"/>
    <n v="2"/>
    <s v="Closed"/>
    <s v="July"/>
    <x v="6"/>
    <n v="2026"/>
    <s v="No"/>
    <n v="0"/>
    <x v="1"/>
    <n v="0"/>
  </r>
  <r>
    <s v="T004081"/>
    <x v="3886"/>
    <d v="2026-07-09T14:35:00"/>
    <x v="4"/>
    <s v="Field Visit"/>
    <x v="0"/>
    <s v="A020"/>
    <x v="2"/>
    <n v="72"/>
    <n v="117.6"/>
    <x v="1"/>
    <s v="No"/>
    <s v="No"/>
    <n v="3"/>
    <s v="Closed"/>
    <s v="July"/>
    <x v="6"/>
    <n v="2026"/>
    <s v="No"/>
    <n v="0"/>
    <x v="2"/>
    <n v="1"/>
  </r>
  <r>
    <s v="T004082"/>
    <x v="3887"/>
    <d v="2026-07-04T22:16:00"/>
    <x v="2"/>
    <s v="Phone"/>
    <x v="1"/>
    <s v="A014"/>
    <x v="0"/>
    <n v="24"/>
    <n v="5.0999999999999996"/>
    <x v="0"/>
    <s v="Yes"/>
    <s v="No"/>
    <n v="5"/>
    <s v="Closed"/>
    <s v="July"/>
    <x v="6"/>
    <n v="2026"/>
    <s v="Yes"/>
    <n v="1"/>
    <x v="1"/>
    <n v="0"/>
  </r>
  <r>
    <s v="T004083"/>
    <x v="3888"/>
    <d v="2026-07-05T07:47:00"/>
    <x v="0"/>
    <s v="Phone"/>
    <x v="0"/>
    <s v="A044"/>
    <x v="1"/>
    <n v="72"/>
    <n v="13.9"/>
    <x v="1"/>
    <s v="No"/>
    <s v="No"/>
    <m/>
    <s v="Closed"/>
    <s v="July"/>
    <x v="6"/>
    <n v="2026"/>
    <s v="Yes"/>
    <n v="1"/>
    <x v="4"/>
    <n v="1"/>
  </r>
  <r>
    <s v="T004084"/>
    <x v="3889"/>
    <d v="2026-07-05T08:53:00"/>
    <x v="0"/>
    <s v="Chat"/>
    <x v="0"/>
    <s v="A030"/>
    <x v="2"/>
    <n v="72"/>
    <n v="14.5"/>
    <x v="1"/>
    <s v="No"/>
    <s v="No"/>
    <n v="5"/>
    <s v="Closed"/>
    <s v="July"/>
    <x v="6"/>
    <n v="2026"/>
    <s v="Yes"/>
    <n v="1"/>
    <x v="3"/>
    <n v="1"/>
  </r>
  <r>
    <s v="T004085"/>
    <x v="3890"/>
    <d v="2026-07-09T19:08:00"/>
    <x v="4"/>
    <s v="Field Visit"/>
    <x v="0"/>
    <s v="A060"/>
    <x v="1"/>
    <n v="72"/>
    <n v="117"/>
    <x v="1"/>
    <s v="No"/>
    <s v="No"/>
    <n v="5"/>
    <s v="Closed"/>
    <s v="July"/>
    <x v="6"/>
    <n v="2026"/>
    <s v="No"/>
    <n v="0"/>
    <x v="1"/>
    <n v="1"/>
  </r>
  <r>
    <s v="T004086"/>
    <x v="3891"/>
    <d v="2026-07-05T02:54:00"/>
    <x v="0"/>
    <s v="Chat"/>
    <x v="1"/>
    <s v="A020"/>
    <x v="2"/>
    <n v="24"/>
    <n v="4.5"/>
    <x v="1"/>
    <s v="No"/>
    <s v="No"/>
    <n v="4"/>
    <s v="Closed"/>
    <s v="July"/>
    <x v="6"/>
    <n v="2026"/>
    <s v="Yes"/>
    <n v="1"/>
    <x v="0"/>
    <n v="1"/>
  </r>
  <r>
    <s v="T004087"/>
    <x v="3892"/>
    <d v="2026-07-05T12:48:00"/>
    <x v="6"/>
    <s v="Phone"/>
    <x v="2"/>
    <s v="A014"/>
    <x v="0"/>
    <n v="4"/>
    <n v="8.6999999999999993"/>
    <x v="0"/>
    <s v="Yes"/>
    <s v="No"/>
    <n v="3"/>
    <s v="Closed"/>
    <s v="July"/>
    <x v="6"/>
    <n v="2026"/>
    <s v="No"/>
    <n v="0"/>
    <x v="4"/>
    <n v="0"/>
  </r>
  <r>
    <s v="T004088"/>
    <x v="3893"/>
    <d v="2026-07-07T10:43:00"/>
    <x v="3"/>
    <s v="Phone"/>
    <x v="1"/>
    <s v="A005"/>
    <x v="0"/>
    <n v="24"/>
    <n v="54.3"/>
    <x v="0"/>
    <s v="Yes"/>
    <s v="No"/>
    <n v="4"/>
    <s v="Closed"/>
    <s v="July"/>
    <x v="6"/>
    <n v="2026"/>
    <s v="No"/>
    <n v="0"/>
    <x v="4"/>
    <n v="0"/>
  </r>
  <r>
    <s v="T004089"/>
    <x v="3894"/>
    <d v="2026-07-06T23:35:00"/>
    <x v="3"/>
    <s v="Email"/>
    <x v="1"/>
    <s v="A050"/>
    <x v="1"/>
    <n v="24"/>
    <n v="42.3"/>
    <x v="1"/>
    <s v="No"/>
    <s v="No"/>
    <n v="3"/>
    <s v="Closed"/>
    <s v="July"/>
    <x v="6"/>
    <n v="2026"/>
    <s v="No"/>
    <n v="0"/>
    <x v="3"/>
    <n v="1"/>
  </r>
  <r>
    <s v="T004090"/>
    <x v="3895"/>
    <d v="2026-07-07T04:54:00"/>
    <x v="6"/>
    <s v="Field Visit"/>
    <x v="1"/>
    <s v="A034"/>
    <x v="2"/>
    <n v="24"/>
    <n v="45.2"/>
    <x v="0"/>
    <s v="Yes"/>
    <s v="No"/>
    <n v="3"/>
    <s v="Closed"/>
    <s v="July"/>
    <x v="6"/>
    <n v="2026"/>
    <s v="No"/>
    <n v="0"/>
    <x v="3"/>
    <n v="0"/>
  </r>
  <r>
    <s v="T004091"/>
    <x v="3896"/>
    <d v="2026-07-06T15:24:00"/>
    <x v="2"/>
    <s v="Field Visit"/>
    <x v="2"/>
    <s v="A014"/>
    <x v="0"/>
    <n v="4"/>
    <n v="31.1"/>
    <x v="1"/>
    <s v="No"/>
    <s v="No"/>
    <m/>
    <s v="Closed"/>
    <s v="July"/>
    <x v="6"/>
    <n v="2026"/>
    <s v="No"/>
    <n v="0"/>
    <x v="3"/>
    <n v="1"/>
  </r>
  <r>
    <s v="T004092"/>
    <x v="3897"/>
    <d v="2026-07-05T11:57:00"/>
    <x v="0"/>
    <s v="Chat"/>
    <x v="0"/>
    <s v="A005"/>
    <x v="0"/>
    <n v="72"/>
    <n v="3.4"/>
    <x v="1"/>
    <s v="No"/>
    <s v="No"/>
    <n v="5"/>
    <s v="Closed"/>
    <s v="July"/>
    <x v="6"/>
    <n v="2026"/>
    <s v="Yes"/>
    <n v="1"/>
    <x v="4"/>
    <n v="1"/>
  </r>
  <r>
    <s v="T004093"/>
    <x v="3898"/>
    <d v="2026-07-05T16:48:00"/>
    <x v="1"/>
    <s v="Phone"/>
    <x v="0"/>
    <s v="A054"/>
    <x v="1"/>
    <n v="72"/>
    <n v="7.8"/>
    <x v="1"/>
    <s v="No"/>
    <s v="No"/>
    <n v="4"/>
    <s v="Closed"/>
    <s v="July"/>
    <x v="6"/>
    <n v="2026"/>
    <s v="Yes"/>
    <n v="1"/>
    <x v="1"/>
    <n v="1"/>
  </r>
  <r>
    <s v="T004094"/>
    <x v="3899"/>
    <d v="2026-07-10T17:21:00"/>
    <x v="4"/>
    <s v="Field Visit"/>
    <x v="1"/>
    <s v="A021"/>
    <x v="2"/>
    <n v="24"/>
    <n v="128.1"/>
    <x v="0"/>
    <s v="Yes"/>
    <s v="Yes"/>
    <n v="2"/>
    <s v="Closed"/>
    <s v="July"/>
    <x v="6"/>
    <n v="2026"/>
    <s v="No"/>
    <n v="0"/>
    <x v="0"/>
    <n v="0"/>
  </r>
  <r>
    <s v="T004095"/>
    <x v="3900"/>
    <d v="2026-07-10T01:49:00"/>
    <x v="3"/>
    <s v="Email"/>
    <x v="0"/>
    <s v="A051"/>
    <x v="1"/>
    <n v="72"/>
    <n v="111.7"/>
    <x v="1"/>
    <s v="No"/>
    <s v="No"/>
    <n v="5"/>
    <s v="Closed"/>
    <s v="July"/>
    <x v="6"/>
    <n v="2026"/>
    <s v="No"/>
    <n v="0"/>
    <x v="0"/>
    <n v="1"/>
  </r>
  <r>
    <s v="T004096"/>
    <x v="3901"/>
    <d v="2026-07-06T01:55:00"/>
    <x v="3"/>
    <s v="Chat"/>
    <x v="1"/>
    <s v="A035"/>
    <x v="2"/>
    <n v="24"/>
    <n v="14.4"/>
    <x v="1"/>
    <s v="No"/>
    <s v="No"/>
    <n v="5"/>
    <s v="Closed"/>
    <s v="July"/>
    <x v="6"/>
    <n v="2026"/>
    <s v="Yes"/>
    <n v="1"/>
    <x v="3"/>
    <n v="1"/>
  </r>
  <r>
    <s v="T004097"/>
    <x v="3902"/>
    <d v="2026-07-05T21:09:00"/>
    <x v="0"/>
    <s v="Chat"/>
    <x v="0"/>
    <s v="A058"/>
    <x v="1"/>
    <n v="72"/>
    <n v="9.5"/>
    <x v="1"/>
    <s v="No"/>
    <s v="Yes"/>
    <n v="4"/>
    <s v="Closed"/>
    <s v="July"/>
    <x v="6"/>
    <n v="2026"/>
    <s v="Yes"/>
    <n v="1"/>
    <x v="1"/>
    <n v="1"/>
  </r>
  <r>
    <s v="T004098"/>
    <x v="3903"/>
    <d v="2026-07-06T06:26:00"/>
    <x v="0"/>
    <s v="Phone"/>
    <x v="2"/>
    <s v="A015"/>
    <x v="0"/>
    <n v="4"/>
    <n v="17.899999999999999"/>
    <x v="0"/>
    <s v="No"/>
    <s v="No"/>
    <n v="3"/>
    <s v="Closed"/>
    <s v="July"/>
    <x v="6"/>
    <n v="2026"/>
    <s v="No"/>
    <n v="0"/>
    <x v="2"/>
    <n v="0"/>
  </r>
  <r>
    <s v="T004099"/>
    <x v="3904"/>
    <d v="2026-07-06T20:42:00"/>
    <x v="0"/>
    <s v="Chat"/>
    <x v="0"/>
    <s v="A002"/>
    <x v="0"/>
    <n v="72"/>
    <n v="32.1"/>
    <x v="0"/>
    <s v="No"/>
    <s v="No"/>
    <n v="5"/>
    <s v="Closed"/>
    <s v="July"/>
    <x v="6"/>
    <n v="2026"/>
    <s v="Yes"/>
    <n v="1"/>
    <x v="1"/>
    <n v="0"/>
  </r>
  <r>
    <s v="T004100"/>
    <x v="3905"/>
    <d v="2026-07-05T19:46:00"/>
    <x v="1"/>
    <s v="Email"/>
    <x v="1"/>
    <s v="A021"/>
    <x v="2"/>
    <n v="24"/>
    <n v="7"/>
    <x v="1"/>
    <s v="No"/>
    <s v="No"/>
    <n v="5"/>
    <s v="Closed"/>
    <s v="July"/>
    <x v="6"/>
    <n v="2026"/>
    <s v="Yes"/>
    <n v="1"/>
    <x v="1"/>
    <n v="1"/>
  </r>
  <r>
    <s v="T004101"/>
    <x v="3906"/>
    <d v="2026-07-05T20:55:00"/>
    <x v="2"/>
    <s v="Chat"/>
    <x v="1"/>
    <s v="A014"/>
    <x v="0"/>
    <n v="24"/>
    <n v="8"/>
    <x v="0"/>
    <s v="No"/>
    <s v="No"/>
    <m/>
    <s v="Closed"/>
    <s v="July"/>
    <x v="6"/>
    <n v="2026"/>
    <s v="Yes"/>
    <n v="1"/>
    <x v="4"/>
    <n v="0"/>
  </r>
  <r>
    <s v="T004102"/>
    <x v="3907"/>
    <d v="2026-07-06T12:13:00"/>
    <x v="6"/>
    <s v="Field Visit"/>
    <x v="1"/>
    <s v="A037"/>
    <x v="1"/>
    <n v="24"/>
    <n v="22.6"/>
    <x v="1"/>
    <s v="No"/>
    <s v="No"/>
    <n v="4"/>
    <s v="Closed"/>
    <s v="July"/>
    <x v="6"/>
    <n v="2026"/>
    <s v="Yes"/>
    <n v="1"/>
    <x v="1"/>
    <n v="1"/>
  </r>
  <r>
    <s v="T004103"/>
    <x v="3908"/>
    <d v="2026-07-05T22:15:00"/>
    <x v="0"/>
    <s v="Phone"/>
    <x v="0"/>
    <s v="A045"/>
    <x v="1"/>
    <n v="72"/>
    <n v="8.3000000000000007"/>
    <x v="1"/>
    <s v="No"/>
    <s v="No"/>
    <n v="3"/>
    <s v="Closed"/>
    <s v="July"/>
    <x v="6"/>
    <n v="2026"/>
    <s v="Yes"/>
    <n v="1"/>
    <x v="4"/>
    <n v="1"/>
  </r>
  <r>
    <s v="T004104"/>
    <x v="3909"/>
    <d v="2026-07-07T09:58:00"/>
    <x v="2"/>
    <s v="Email"/>
    <x v="0"/>
    <s v="A049"/>
    <x v="1"/>
    <n v="72"/>
    <n v="43.8"/>
    <x v="1"/>
    <s v="No"/>
    <s v="No"/>
    <n v="4"/>
    <s v="Closed"/>
    <s v="July"/>
    <x v="6"/>
    <n v="2026"/>
    <s v="Yes"/>
    <n v="1"/>
    <x v="2"/>
    <n v="1"/>
  </r>
  <r>
    <s v="T004105"/>
    <x v="3910"/>
    <d v="2026-07-14T23:29:00"/>
    <x v="4"/>
    <s v="Field Visit"/>
    <x v="1"/>
    <s v="A026"/>
    <x v="2"/>
    <n v="24"/>
    <n v="225.1"/>
    <x v="1"/>
    <s v="No"/>
    <s v="No"/>
    <n v="4"/>
    <s v="Closed"/>
    <s v="July"/>
    <x v="6"/>
    <n v="2026"/>
    <s v="No"/>
    <n v="0"/>
    <x v="1"/>
    <n v="1"/>
  </r>
  <r>
    <s v="T004106"/>
    <x v="3911"/>
    <d v="2026-07-06T11:12:00"/>
    <x v="6"/>
    <s v="Field Visit"/>
    <x v="1"/>
    <s v="A036"/>
    <x v="1"/>
    <n v="24"/>
    <n v="20.7"/>
    <x v="1"/>
    <s v="No"/>
    <s v="No"/>
    <n v="5"/>
    <s v="Closed"/>
    <s v="July"/>
    <x v="6"/>
    <n v="2026"/>
    <s v="Yes"/>
    <n v="1"/>
    <x v="2"/>
    <n v="1"/>
  </r>
  <r>
    <s v="T004107"/>
    <x v="3912"/>
    <d v="2026-07-06T02:58:00"/>
    <x v="2"/>
    <s v="Phone"/>
    <x v="1"/>
    <s v="A026"/>
    <x v="2"/>
    <n v="24"/>
    <n v="12.1"/>
    <x v="1"/>
    <s v="No"/>
    <s v="No"/>
    <n v="3"/>
    <s v="Closed"/>
    <s v="July"/>
    <x v="6"/>
    <n v="2026"/>
    <s v="Yes"/>
    <n v="1"/>
    <x v="0"/>
    <n v="1"/>
  </r>
  <r>
    <s v="T004109"/>
    <x v="3913"/>
    <d v="2026-07-07T18:16:00"/>
    <x v="4"/>
    <s v="Field Visit"/>
    <x v="1"/>
    <s v="A016"/>
    <x v="2"/>
    <n v="24"/>
    <n v="50.7"/>
    <x v="0"/>
    <s v="No"/>
    <s v="Yes"/>
    <m/>
    <s v="Closed"/>
    <s v="July"/>
    <x v="6"/>
    <n v="2026"/>
    <s v="No"/>
    <n v="0"/>
    <x v="3"/>
    <n v="0"/>
  </r>
  <r>
    <s v="T004108"/>
    <x v="3913"/>
    <d v="2026-07-05T21:04:00"/>
    <x v="1"/>
    <s v="Phone"/>
    <x v="2"/>
    <s v="A026"/>
    <x v="2"/>
    <n v="4"/>
    <n v="5.5"/>
    <x v="1"/>
    <s v="No"/>
    <s v="No"/>
    <n v="4"/>
    <s v="Closed"/>
    <s v="July"/>
    <x v="6"/>
    <n v="2026"/>
    <s v="No"/>
    <n v="0"/>
    <x v="4"/>
    <n v="1"/>
  </r>
  <r>
    <s v="T004110"/>
    <x v="3914"/>
    <d v="2026-07-06T07:43:00"/>
    <x v="2"/>
    <s v="Field Visit"/>
    <x v="1"/>
    <s v="A032"/>
    <x v="2"/>
    <n v="24"/>
    <n v="14.9"/>
    <x v="1"/>
    <s v="No"/>
    <s v="No"/>
    <n v="4"/>
    <s v="Closed"/>
    <s v="July"/>
    <x v="6"/>
    <n v="2026"/>
    <s v="Yes"/>
    <n v="1"/>
    <x v="2"/>
    <n v="1"/>
  </r>
  <r>
    <s v="T004111"/>
    <x v="3915"/>
    <d v="2026-07-08T05:21:00"/>
    <x v="3"/>
    <s v="Phone"/>
    <x v="1"/>
    <s v="A005"/>
    <x v="0"/>
    <n v="24"/>
    <n v="59.8"/>
    <x v="0"/>
    <s v="Yes"/>
    <s v="Yes"/>
    <n v="2"/>
    <s v="Closed"/>
    <s v="July"/>
    <x v="6"/>
    <n v="2026"/>
    <s v="No"/>
    <n v="0"/>
    <x v="3"/>
    <n v="0"/>
  </r>
  <r>
    <s v="T004112"/>
    <x v="3916"/>
    <d v="2026-07-06T05:28:00"/>
    <x v="1"/>
    <s v="Phone"/>
    <x v="1"/>
    <s v="A053"/>
    <x v="1"/>
    <n v="24"/>
    <n v="10.8"/>
    <x v="1"/>
    <s v="No"/>
    <s v="No"/>
    <n v="5"/>
    <s v="Closed"/>
    <s v="July"/>
    <x v="6"/>
    <n v="2026"/>
    <s v="Yes"/>
    <n v="1"/>
    <x v="3"/>
    <n v="1"/>
  </r>
  <r>
    <s v="T004113"/>
    <x v="3917"/>
    <d v="2026-07-06T01:30:00"/>
    <x v="1"/>
    <s v="Chat"/>
    <x v="0"/>
    <s v="A046"/>
    <x v="1"/>
    <n v="72"/>
    <n v="1.6"/>
    <x v="1"/>
    <s v="No"/>
    <s v="No"/>
    <n v="5"/>
    <s v="Closed"/>
    <s v="July"/>
    <x v="6"/>
    <n v="2026"/>
    <s v="Yes"/>
    <n v="1"/>
    <x v="3"/>
    <n v="1"/>
  </r>
  <r>
    <s v="T004114"/>
    <x v="3918"/>
    <d v="2026-07-06T13:55:00"/>
    <x v="0"/>
    <s v="Phone"/>
    <x v="1"/>
    <s v="A048"/>
    <x v="1"/>
    <n v="24"/>
    <n v="8.1999999999999993"/>
    <x v="1"/>
    <s v="No"/>
    <s v="No"/>
    <n v="5"/>
    <s v="Closed"/>
    <s v="July"/>
    <x v="6"/>
    <n v="2026"/>
    <s v="Yes"/>
    <n v="1"/>
    <x v="4"/>
    <n v="1"/>
  </r>
  <r>
    <s v="T004115"/>
    <x v="3919"/>
    <d v="2026-07-06T13:36:00"/>
    <x v="5"/>
    <s v="Email"/>
    <x v="0"/>
    <s v="A024"/>
    <x v="2"/>
    <n v="72"/>
    <n v="7.3"/>
    <x v="1"/>
    <s v="No"/>
    <s v="No"/>
    <n v="5"/>
    <s v="Closed"/>
    <s v="July"/>
    <x v="6"/>
    <n v="2026"/>
    <s v="Yes"/>
    <n v="1"/>
    <x v="1"/>
    <n v="1"/>
  </r>
  <r>
    <s v="T004116"/>
    <x v="3920"/>
    <d v="2026-07-06T14:29:00"/>
    <x v="3"/>
    <s v="Chat"/>
    <x v="1"/>
    <s v="A042"/>
    <x v="1"/>
    <n v="24"/>
    <n v="8.1"/>
    <x v="1"/>
    <s v="No"/>
    <s v="Yes"/>
    <n v="4"/>
    <s v="Closed"/>
    <s v="July"/>
    <x v="6"/>
    <n v="2026"/>
    <s v="Yes"/>
    <n v="1"/>
    <x v="2"/>
    <n v="1"/>
  </r>
  <r>
    <s v="T004117"/>
    <x v="3921"/>
    <d v="2026-07-06T23:56:00"/>
    <x v="0"/>
    <s v="Phone"/>
    <x v="0"/>
    <s v="A046"/>
    <x v="1"/>
    <n v="72"/>
    <n v="17.3"/>
    <x v="0"/>
    <s v="Yes"/>
    <s v="No"/>
    <m/>
    <s v="Closed"/>
    <s v="July"/>
    <x v="6"/>
    <n v="2026"/>
    <s v="Yes"/>
    <n v="1"/>
    <x v="4"/>
    <n v="0"/>
  </r>
  <r>
    <s v="T004118"/>
    <x v="3922"/>
    <d v="2026-07-06T11:04:00"/>
    <x v="6"/>
    <s v="Phone"/>
    <x v="2"/>
    <s v="A052"/>
    <x v="1"/>
    <n v="4"/>
    <n v="4.2"/>
    <x v="0"/>
    <s v="No"/>
    <s v="No"/>
    <n v="4"/>
    <s v="Closed"/>
    <s v="July"/>
    <x v="6"/>
    <n v="2026"/>
    <s v="No"/>
    <n v="0"/>
    <x v="4"/>
    <n v="0"/>
  </r>
  <r>
    <s v="T004119"/>
    <x v="3923"/>
    <d v="2026-07-06T09:58:00"/>
    <x v="1"/>
    <s v="Chat"/>
    <x v="0"/>
    <s v="A002"/>
    <x v="0"/>
    <n v="72"/>
    <n v="2.5"/>
    <x v="1"/>
    <s v="No"/>
    <s v="No"/>
    <n v="5"/>
    <s v="Closed"/>
    <s v="July"/>
    <x v="6"/>
    <n v="2026"/>
    <s v="Yes"/>
    <n v="1"/>
    <x v="4"/>
    <n v="1"/>
  </r>
  <r>
    <s v="T004120"/>
    <x v="3924"/>
    <d v="2026-07-08T21:57:00"/>
    <x v="3"/>
    <s v="Field Visit"/>
    <x v="0"/>
    <s v="A035"/>
    <x v="2"/>
    <n v="72"/>
    <n v="61.8"/>
    <x v="1"/>
    <s v="No"/>
    <s v="No"/>
    <n v="4"/>
    <s v="Closed"/>
    <s v="July"/>
    <x v="6"/>
    <n v="2026"/>
    <s v="Yes"/>
    <n v="1"/>
    <x v="1"/>
    <n v="1"/>
  </r>
  <r>
    <s v="T004121"/>
    <x v="3925"/>
    <d v="2026-07-06T14:21:00"/>
    <x v="5"/>
    <s v="Phone"/>
    <x v="1"/>
    <s v="A043"/>
    <x v="1"/>
    <n v="24"/>
    <n v="5.7"/>
    <x v="1"/>
    <s v="No"/>
    <s v="No"/>
    <n v="4"/>
    <s v="Closed"/>
    <s v="July"/>
    <x v="6"/>
    <n v="2026"/>
    <s v="Yes"/>
    <n v="1"/>
    <x v="3"/>
    <n v="1"/>
  </r>
  <r>
    <s v="T004122"/>
    <x v="3926"/>
    <d v="2026-07-06T14:18:00"/>
    <x v="6"/>
    <s v="Phone"/>
    <x v="0"/>
    <s v="A047"/>
    <x v="1"/>
    <n v="72"/>
    <n v="3.9"/>
    <x v="1"/>
    <s v="No"/>
    <s v="Yes"/>
    <n v="4"/>
    <s v="Closed"/>
    <s v="July"/>
    <x v="6"/>
    <n v="2026"/>
    <s v="Yes"/>
    <n v="1"/>
    <x v="3"/>
    <n v="1"/>
  </r>
  <r>
    <s v="T004123"/>
    <x v="3927"/>
    <d v="2026-07-07T00:14:00"/>
    <x v="5"/>
    <s v="Email"/>
    <x v="0"/>
    <s v="A022"/>
    <x v="2"/>
    <n v="72"/>
    <n v="12.9"/>
    <x v="0"/>
    <s v="No"/>
    <s v="No"/>
    <m/>
    <s v="Closed"/>
    <s v="July"/>
    <x v="6"/>
    <n v="2026"/>
    <s v="Yes"/>
    <n v="1"/>
    <x v="3"/>
    <n v="0"/>
  </r>
  <r>
    <s v="T004124"/>
    <x v="3928"/>
    <d v="2026-07-06T17:24:00"/>
    <x v="2"/>
    <s v="Chat"/>
    <x v="0"/>
    <s v="A044"/>
    <x v="1"/>
    <n v="72"/>
    <n v="4.9000000000000004"/>
    <x v="1"/>
    <s v="No"/>
    <s v="No"/>
    <n v="4"/>
    <s v="Closed"/>
    <s v="July"/>
    <x v="6"/>
    <n v="2026"/>
    <s v="Yes"/>
    <n v="1"/>
    <x v="3"/>
    <n v="1"/>
  </r>
  <r>
    <s v="T004125"/>
    <x v="3929"/>
    <d v="2026-07-07T04:23:00"/>
    <x v="6"/>
    <s v="Field Visit"/>
    <x v="2"/>
    <s v="A030"/>
    <x v="2"/>
    <n v="4"/>
    <n v="15.7"/>
    <x v="1"/>
    <s v="No"/>
    <s v="Yes"/>
    <n v="3"/>
    <s v="Closed"/>
    <s v="July"/>
    <x v="6"/>
    <n v="2026"/>
    <s v="No"/>
    <n v="0"/>
    <x v="3"/>
    <n v="1"/>
  </r>
  <r>
    <s v="T004126"/>
    <x v="3930"/>
    <d v="2026-07-07T07:54:00"/>
    <x v="0"/>
    <s v="Field Visit"/>
    <x v="1"/>
    <s v="A045"/>
    <x v="1"/>
    <n v="24"/>
    <n v="19"/>
    <x v="1"/>
    <s v="No"/>
    <s v="No"/>
    <n v="5"/>
    <s v="Closed"/>
    <s v="July"/>
    <x v="6"/>
    <n v="2026"/>
    <s v="Yes"/>
    <n v="1"/>
    <x v="0"/>
    <n v="1"/>
  </r>
  <r>
    <s v="T004127"/>
    <x v="3931"/>
    <d v="2026-07-08T06:08:00"/>
    <x v="0"/>
    <s v="Phone"/>
    <x v="1"/>
    <s v="A001"/>
    <x v="0"/>
    <n v="24"/>
    <n v="40.4"/>
    <x v="1"/>
    <s v="No"/>
    <s v="No"/>
    <m/>
    <s v="Closed"/>
    <s v="July"/>
    <x v="6"/>
    <n v="2026"/>
    <s v="No"/>
    <n v="0"/>
    <x v="2"/>
    <n v="1"/>
  </r>
  <r>
    <s v="T004128"/>
    <x v="3932"/>
    <d v="2026-07-07T01:15:00"/>
    <x v="3"/>
    <s v="Phone"/>
    <x v="1"/>
    <s v="A055"/>
    <x v="1"/>
    <n v="24"/>
    <n v="10.8"/>
    <x v="1"/>
    <s v="No"/>
    <s v="No"/>
    <n v="5"/>
    <s v="Closed"/>
    <s v="July"/>
    <x v="6"/>
    <n v="2026"/>
    <s v="Yes"/>
    <n v="1"/>
    <x v="4"/>
    <n v="1"/>
  </r>
  <r>
    <s v="T004129"/>
    <x v="3933"/>
    <d v="2026-07-07T02:24:00"/>
    <x v="1"/>
    <s v="Phone"/>
    <x v="1"/>
    <s v="A021"/>
    <x v="2"/>
    <n v="24"/>
    <n v="11.3"/>
    <x v="1"/>
    <s v="No"/>
    <s v="No"/>
    <m/>
    <s v="Closed"/>
    <s v="July"/>
    <x v="6"/>
    <n v="2026"/>
    <s v="Yes"/>
    <n v="1"/>
    <x v="0"/>
    <n v="1"/>
  </r>
  <r>
    <s v="T004130"/>
    <x v="3934"/>
    <d v="2026-07-07T03:41:00"/>
    <x v="1"/>
    <s v="Phone"/>
    <x v="0"/>
    <s v="A006"/>
    <x v="0"/>
    <n v="72"/>
    <n v="11.8"/>
    <x v="1"/>
    <s v="No"/>
    <s v="No"/>
    <n v="5"/>
    <s v="Closed"/>
    <s v="July"/>
    <x v="6"/>
    <n v="2026"/>
    <s v="Yes"/>
    <n v="1"/>
    <x v="4"/>
    <n v="1"/>
  </r>
  <r>
    <s v="T004131"/>
    <x v="3935"/>
    <d v="2026-07-06T21:23:00"/>
    <x v="6"/>
    <s v="Phone"/>
    <x v="2"/>
    <s v="A007"/>
    <x v="0"/>
    <n v="4"/>
    <n v="5.4"/>
    <x v="0"/>
    <s v="No"/>
    <s v="Yes"/>
    <m/>
    <s v="Closed"/>
    <s v="July"/>
    <x v="6"/>
    <n v="2026"/>
    <s v="No"/>
    <n v="0"/>
    <x v="1"/>
    <n v="0"/>
  </r>
  <r>
    <s v="T004132"/>
    <x v="3936"/>
    <d v="2026-07-07T04:07:00"/>
    <x v="0"/>
    <s v="Chat"/>
    <x v="1"/>
    <s v="A022"/>
    <x v="2"/>
    <n v="24"/>
    <n v="11.5"/>
    <x v="1"/>
    <s v="No"/>
    <s v="No"/>
    <m/>
    <s v="Closed"/>
    <s v="July"/>
    <x v="6"/>
    <n v="2026"/>
    <s v="Yes"/>
    <n v="1"/>
    <x v="4"/>
    <n v="1"/>
  </r>
  <r>
    <s v="T004133"/>
    <x v="3937"/>
    <d v="2026-07-07T06:41:00"/>
    <x v="0"/>
    <s v="Phone"/>
    <x v="1"/>
    <s v="A055"/>
    <x v="1"/>
    <n v="24"/>
    <n v="11.3"/>
    <x v="1"/>
    <s v="No"/>
    <s v="No"/>
    <n v="4"/>
    <s v="Closed"/>
    <s v="July"/>
    <x v="6"/>
    <n v="2026"/>
    <s v="Yes"/>
    <n v="1"/>
    <x v="2"/>
    <n v="1"/>
  </r>
  <r>
    <s v="T004134"/>
    <x v="3938"/>
    <d v="2026-07-07T13:19:00"/>
    <x v="3"/>
    <s v="Phone"/>
    <x v="0"/>
    <s v="A009"/>
    <x v="0"/>
    <n v="72"/>
    <n v="16.7"/>
    <x v="0"/>
    <s v="Yes"/>
    <s v="No"/>
    <n v="3"/>
    <s v="Closed"/>
    <s v="July"/>
    <x v="6"/>
    <n v="2026"/>
    <s v="Yes"/>
    <n v="1"/>
    <x v="1"/>
    <n v="0"/>
  </r>
  <r>
    <s v="T004135"/>
    <x v="3939"/>
    <d v="2026-07-07T05:06:00"/>
    <x v="0"/>
    <s v="Phone"/>
    <x v="1"/>
    <s v="A046"/>
    <x v="1"/>
    <n v="24"/>
    <n v="7.1"/>
    <x v="0"/>
    <s v="Yes"/>
    <s v="No"/>
    <n v="3"/>
    <s v="Closed"/>
    <s v="July"/>
    <x v="6"/>
    <n v="2026"/>
    <s v="Yes"/>
    <n v="1"/>
    <x v="3"/>
    <n v="0"/>
  </r>
  <r>
    <s v="T004136"/>
    <x v="3940"/>
    <d v="2026-07-07T18:39:00"/>
    <x v="3"/>
    <s v="Chat"/>
    <x v="1"/>
    <s v="A036"/>
    <x v="1"/>
    <n v="24"/>
    <n v="13.4"/>
    <x v="1"/>
    <s v="No"/>
    <s v="No"/>
    <n v="5"/>
    <s v="Closed"/>
    <s v="July"/>
    <x v="6"/>
    <n v="2026"/>
    <s v="Yes"/>
    <n v="1"/>
    <x v="1"/>
    <n v="1"/>
  </r>
  <r>
    <s v="T004137"/>
    <x v="3941"/>
    <d v="2026-07-07T16:55:00"/>
    <x v="0"/>
    <s v="Chat"/>
    <x v="1"/>
    <s v="A013"/>
    <x v="0"/>
    <n v="24"/>
    <n v="10.8"/>
    <x v="1"/>
    <s v="No"/>
    <s v="No"/>
    <n v="4"/>
    <s v="Closed"/>
    <s v="July"/>
    <x v="6"/>
    <n v="2026"/>
    <s v="Yes"/>
    <n v="1"/>
    <x v="1"/>
    <n v="1"/>
  </r>
  <r>
    <s v="T004138"/>
    <x v="3942"/>
    <d v="2026-07-08T04:05:00"/>
    <x v="3"/>
    <s v="Phone"/>
    <x v="1"/>
    <s v="A025"/>
    <x v="2"/>
    <n v="24"/>
    <n v="21.3"/>
    <x v="0"/>
    <s v="Yes"/>
    <s v="Yes"/>
    <n v="4"/>
    <s v="Closed"/>
    <s v="July"/>
    <x v="6"/>
    <n v="2026"/>
    <s v="Yes"/>
    <n v="1"/>
    <x v="3"/>
    <n v="0"/>
  </r>
  <r>
    <s v="T004139"/>
    <x v="3943"/>
    <d v="2026-07-08T04:14:00"/>
    <x v="3"/>
    <s v="Chat"/>
    <x v="1"/>
    <s v="A036"/>
    <x v="1"/>
    <n v="24"/>
    <n v="21.1"/>
    <x v="0"/>
    <s v="Yes"/>
    <s v="No"/>
    <n v="4"/>
    <s v="Closed"/>
    <s v="July"/>
    <x v="6"/>
    <n v="2026"/>
    <s v="Yes"/>
    <n v="1"/>
    <x v="2"/>
    <n v="0"/>
  </r>
  <r>
    <s v="T004140"/>
    <x v="3944"/>
    <d v="2026-07-07T15:18:00"/>
    <x v="2"/>
    <s v="Chat"/>
    <x v="0"/>
    <s v="A049"/>
    <x v="1"/>
    <n v="72"/>
    <n v="7.2"/>
    <x v="0"/>
    <s v="No"/>
    <s v="No"/>
    <m/>
    <s v="Closed"/>
    <s v="July"/>
    <x v="6"/>
    <n v="2026"/>
    <s v="Yes"/>
    <n v="1"/>
    <x v="4"/>
    <n v="0"/>
  </r>
  <r>
    <s v="T004141"/>
    <x v="3945"/>
    <d v="2026-07-07T10:45:00"/>
    <x v="6"/>
    <s v="Chat"/>
    <x v="2"/>
    <s v="A042"/>
    <x v="1"/>
    <n v="4"/>
    <n v="2.2999999999999998"/>
    <x v="1"/>
    <s v="No"/>
    <s v="No"/>
    <m/>
    <s v="Closed"/>
    <s v="July"/>
    <x v="6"/>
    <n v="2026"/>
    <s v="Yes"/>
    <n v="1"/>
    <x v="2"/>
    <n v="1"/>
  </r>
  <r>
    <s v="T004142"/>
    <x v="3946"/>
    <d v="2026-07-08T07:19:00"/>
    <x v="3"/>
    <s v="Field Visit"/>
    <x v="1"/>
    <s v="A042"/>
    <x v="1"/>
    <n v="24"/>
    <n v="22.5"/>
    <x v="0"/>
    <s v="Yes"/>
    <s v="No"/>
    <n v="4"/>
    <s v="Closed"/>
    <s v="July"/>
    <x v="6"/>
    <n v="2026"/>
    <s v="Yes"/>
    <n v="1"/>
    <x v="3"/>
    <n v="0"/>
  </r>
  <r>
    <s v="T004143"/>
    <x v="3947"/>
    <d v="2026-07-07T23:51:00"/>
    <x v="2"/>
    <s v="Email"/>
    <x v="0"/>
    <s v="A006"/>
    <x v="0"/>
    <n v="72"/>
    <n v="13.4"/>
    <x v="1"/>
    <s v="No"/>
    <s v="No"/>
    <n v="4"/>
    <s v="Closed"/>
    <s v="July"/>
    <x v="6"/>
    <n v="2026"/>
    <s v="Yes"/>
    <n v="1"/>
    <x v="4"/>
    <n v="1"/>
  </r>
  <r>
    <s v="T004144"/>
    <x v="3948"/>
    <d v="2026-07-08T06:37:00"/>
    <x v="5"/>
    <s v="Phone"/>
    <x v="0"/>
    <s v="A042"/>
    <x v="1"/>
    <n v="72"/>
    <n v="18.7"/>
    <x v="1"/>
    <s v="No"/>
    <s v="No"/>
    <m/>
    <s v="Closed"/>
    <s v="July"/>
    <x v="6"/>
    <n v="2026"/>
    <s v="Yes"/>
    <n v="1"/>
    <x v="3"/>
    <n v="1"/>
  </r>
  <r>
    <s v="T004145"/>
    <x v="3949"/>
    <d v="2026-07-07T16:25:00"/>
    <x v="6"/>
    <s v="Phone"/>
    <x v="2"/>
    <s v="A052"/>
    <x v="1"/>
    <n v="4"/>
    <n v="4.4000000000000004"/>
    <x v="1"/>
    <s v="No"/>
    <s v="No"/>
    <m/>
    <s v="Closed"/>
    <s v="July"/>
    <x v="6"/>
    <n v="2026"/>
    <s v="No"/>
    <n v="0"/>
    <x v="4"/>
    <n v="1"/>
  </r>
  <r>
    <s v="T004146"/>
    <x v="3950"/>
    <d v="2026-07-07T20:01:00"/>
    <x v="6"/>
    <s v="Chat"/>
    <x v="2"/>
    <s v="A019"/>
    <x v="2"/>
    <n v="4"/>
    <n v="7.5"/>
    <x v="1"/>
    <s v="No"/>
    <s v="No"/>
    <m/>
    <s v="Closed"/>
    <s v="July"/>
    <x v="6"/>
    <n v="2026"/>
    <s v="No"/>
    <n v="0"/>
    <x v="1"/>
    <n v="1"/>
  </r>
  <r>
    <s v="T004147"/>
    <x v="3951"/>
    <d v="2026-07-07T19:04:00"/>
    <x v="5"/>
    <s v="Chat"/>
    <x v="1"/>
    <s v="A022"/>
    <x v="2"/>
    <n v="24"/>
    <n v="6.1"/>
    <x v="1"/>
    <s v="No"/>
    <s v="No"/>
    <n v="5"/>
    <s v="Closed"/>
    <s v="July"/>
    <x v="6"/>
    <n v="2026"/>
    <s v="Yes"/>
    <n v="1"/>
    <x v="3"/>
    <n v="1"/>
  </r>
  <r>
    <s v="T004148"/>
    <x v="3952"/>
    <d v="2026-07-08T03:43:00"/>
    <x v="2"/>
    <s v="Phone"/>
    <x v="1"/>
    <s v="A014"/>
    <x v="0"/>
    <n v="24"/>
    <n v="14.6"/>
    <x v="1"/>
    <s v="No"/>
    <s v="No"/>
    <n v="4"/>
    <s v="Closed"/>
    <s v="July"/>
    <x v="6"/>
    <n v="2026"/>
    <s v="Yes"/>
    <n v="1"/>
    <x v="4"/>
    <n v="1"/>
  </r>
  <r>
    <s v="T004149"/>
    <x v="3953"/>
    <d v="2026-07-07T18:26:00"/>
    <x v="1"/>
    <s v="Phone"/>
    <x v="2"/>
    <s v="A035"/>
    <x v="2"/>
    <n v="4"/>
    <n v="5.3"/>
    <x v="1"/>
    <s v="No"/>
    <s v="No"/>
    <n v="5"/>
    <s v="Closed"/>
    <s v="July"/>
    <x v="6"/>
    <n v="2026"/>
    <s v="No"/>
    <n v="0"/>
    <x v="1"/>
    <n v="1"/>
  </r>
  <r>
    <s v="T004150"/>
    <x v="3954"/>
    <d v="2026-07-07T20:34:00"/>
    <x v="5"/>
    <s v="Phone"/>
    <x v="0"/>
    <s v="A056"/>
    <x v="1"/>
    <n v="72"/>
    <n v="7.4"/>
    <x v="0"/>
    <s v="Yes"/>
    <s v="No"/>
    <n v="2"/>
    <s v="Closed"/>
    <s v="July"/>
    <x v="6"/>
    <n v="2026"/>
    <s v="Yes"/>
    <n v="1"/>
    <x v="2"/>
    <n v="0"/>
  </r>
  <r>
    <s v="T004151"/>
    <x v="3955"/>
    <d v="2026-07-08T05:15:00"/>
    <x v="5"/>
    <s v="Field Visit"/>
    <x v="1"/>
    <s v="A053"/>
    <x v="1"/>
    <n v="24"/>
    <n v="14.4"/>
    <x v="1"/>
    <s v="No"/>
    <s v="No"/>
    <n v="5"/>
    <s v="Closed"/>
    <s v="July"/>
    <x v="6"/>
    <n v="2026"/>
    <s v="Yes"/>
    <n v="1"/>
    <x v="2"/>
    <n v="1"/>
  </r>
  <r>
    <s v="T004152"/>
    <x v="3956"/>
    <d v="2026-07-08T01:03:00"/>
    <x v="4"/>
    <s v="Phone"/>
    <x v="0"/>
    <s v="A013"/>
    <x v="0"/>
    <n v="72"/>
    <n v="8.6"/>
    <x v="1"/>
    <s v="No"/>
    <s v="No"/>
    <n v="5"/>
    <s v="Closed"/>
    <s v="July"/>
    <x v="6"/>
    <n v="2026"/>
    <s v="Yes"/>
    <n v="1"/>
    <x v="1"/>
    <n v="1"/>
  </r>
  <r>
    <s v="T004153"/>
    <x v="3957"/>
    <d v="2026-07-08T05:40:00"/>
    <x v="2"/>
    <s v="Email"/>
    <x v="1"/>
    <s v="A051"/>
    <x v="1"/>
    <n v="24"/>
    <n v="13.2"/>
    <x v="1"/>
    <s v="No"/>
    <s v="Yes"/>
    <m/>
    <s v="Closed"/>
    <s v="July"/>
    <x v="6"/>
    <n v="2026"/>
    <s v="Yes"/>
    <n v="1"/>
    <x v="2"/>
    <n v="1"/>
  </r>
  <r>
    <s v="T004154"/>
    <x v="3958"/>
    <d v="2026-07-08T02:02:00"/>
    <x v="6"/>
    <s v="Field Visit"/>
    <x v="1"/>
    <s v="A006"/>
    <x v="0"/>
    <n v="24"/>
    <n v="8.9"/>
    <x v="0"/>
    <s v="Yes"/>
    <s v="Yes"/>
    <n v="2"/>
    <s v="Closed"/>
    <s v="July"/>
    <x v="6"/>
    <n v="2026"/>
    <s v="Yes"/>
    <n v="1"/>
    <x v="1"/>
    <n v="0"/>
  </r>
  <r>
    <s v="T004155"/>
    <x v="3959"/>
    <d v="2026-07-08T00:08:00"/>
    <x v="1"/>
    <s v="Chat"/>
    <x v="1"/>
    <s v="A020"/>
    <x v="2"/>
    <n v="24"/>
    <n v="6.5"/>
    <x v="1"/>
    <s v="No"/>
    <s v="No"/>
    <n v="5"/>
    <s v="Closed"/>
    <s v="July"/>
    <x v="6"/>
    <n v="2026"/>
    <s v="Yes"/>
    <n v="1"/>
    <x v="3"/>
    <n v="1"/>
  </r>
  <r>
    <s v="T004156"/>
    <x v="3960"/>
    <d v="2026-07-07T21:20:00"/>
    <x v="0"/>
    <s v="Chat"/>
    <x v="1"/>
    <s v="A055"/>
    <x v="1"/>
    <n v="24"/>
    <n v="3.3"/>
    <x v="1"/>
    <s v="No"/>
    <s v="No"/>
    <n v="3"/>
    <s v="Closed"/>
    <s v="July"/>
    <x v="6"/>
    <n v="2026"/>
    <s v="Yes"/>
    <n v="1"/>
    <x v="3"/>
    <n v="1"/>
  </r>
  <r>
    <s v="T004157"/>
    <x v="3961"/>
    <d v="2026-07-07T23:39:00"/>
    <x v="6"/>
    <s v="Phone"/>
    <x v="2"/>
    <s v="A030"/>
    <x v="2"/>
    <n v="4"/>
    <n v="4.9000000000000004"/>
    <x v="0"/>
    <s v="Yes"/>
    <s v="No"/>
    <m/>
    <s v="Closed"/>
    <s v="July"/>
    <x v="6"/>
    <n v="2026"/>
    <s v="No"/>
    <n v="0"/>
    <x v="3"/>
    <n v="0"/>
  </r>
  <r>
    <s v="T004158"/>
    <x v="3962"/>
    <d v="2026-07-08T18:55:00"/>
    <x v="3"/>
    <s v="Chat"/>
    <x v="0"/>
    <s v="A042"/>
    <x v="1"/>
    <n v="72"/>
    <n v="17.5"/>
    <x v="1"/>
    <s v="No"/>
    <s v="No"/>
    <n v="5"/>
    <s v="Closed"/>
    <s v="July"/>
    <x v="6"/>
    <n v="2026"/>
    <s v="Yes"/>
    <n v="1"/>
    <x v="2"/>
    <n v="1"/>
  </r>
  <r>
    <s v="T004159"/>
    <x v="3963"/>
    <d v="2026-07-13T15:53:00"/>
    <x v="4"/>
    <s v="Field Visit"/>
    <x v="0"/>
    <s v="A019"/>
    <x v="2"/>
    <n v="72"/>
    <n v="130.69999999999999"/>
    <x v="0"/>
    <s v="Yes"/>
    <s v="No"/>
    <n v="3"/>
    <s v="Closed"/>
    <s v="July"/>
    <x v="6"/>
    <n v="2026"/>
    <s v="No"/>
    <n v="0"/>
    <x v="4"/>
    <n v="0"/>
  </r>
  <r>
    <s v="T004160"/>
    <x v="3964"/>
    <d v="2026-07-09T05:00:00"/>
    <x v="2"/>
    <s v="Phone"/>
    <x v="1"/>
    <s v="A029"/>
    <x v="2"/>
    <n v="24"/>
    <n v="22.6"/>
    <x v="1"/>
    <s v="No"/>
    <s v="No"/>
    <n v="5"/>
    <s v="Closed"/>
    <s v="July"/>
    <x v="6"/>
    <n v="2026"/>
    <s v="Yes"/>
    <n v="1"/>
    <x v="2"/>
    <n v="1"/>
  </r>
  <r>
    <s v="T004161"/>
    <x v="3965"/>
    <d v="2026-07-08T15:46:00"/>
    <x v="0"/>
    <s v="Email"/>
    <x v="0"/>
    <s v="A027"/>
    <x v="2"/>
    <n v="72"/>
    <n v="8.5"/>
    <x v="0"/>
    <s v="No"/>
    <s v="No"/>
    <m/>
    <s v="Closed"/>
    <s v="July"/>
    <x v="6"/>
    <n v="2026"/>
    <s v="Yes"/>
    <n v="1"/>
    <x v="3"/>
    <n v="0"/>
  </r>
  <r>
    <s v="T004162"/>
    <x v="3966"/>
    <d v="2026-07-09T21:49:00"/>
    <x v="2"/>
    <s v="Field Visit"/>
    <x v="0"/>
    <s v="A012"/>
    <x v="0"/>
    <n v="72"/>
    <n v="35.700000000000003"/>
    <x v="0"/>
    <s v="No"/>
    <s v="No"/>
    <m/>
    <s v="Closed"/>
    <s v="July"/>
    <x v="6"/>
    <n v="2026"/>
    <s v="Yes"/>
    <n v="1"/>
    <x v="1"/>
    <n v="0"/>
  </r>
  <r>
    <s v="T004163"/>
    <x v="3967"/>
    <d v="2026-07-09T01:51:00"/>
    <x v="1"/>
    <s v="Phone"/>
    <x v="0"/>
    <s v="A046"/>
    <x v="1"/>
    <n v="72"/>
    <n v="11.2"/>
    <x v="1"/>
    <s v="No"/>
    <s v="No"/>
    <n v="5"/>
    <s v="Closed"/>
    <s v="July"/>
    <x v="6"/>
    <n v="2026"/>
    <s v="Yes"/>
    <n v="1"/>
    <x v="2"/>
    <n v="1"/>
  </r>
  <r>
    <s v="T004164"/>
    <x v="3968"/>
    <d v="2026-07-09T07:01:00"/>
    <x v="3"/>
    <s v="Field Visit"/>
    <x v="0"/>
    <s v="A030"/>
    <x v="2"/>
    <n v="72"/>
    <n v="15.9"/>
    <x v="1"/>
    <s v="No"/>
    <s v="Yes"/>
    <n v="3"/>
    <s v="Closed"/>
    <s v="July"/>
    <x v="6"/>
    <n v="2026"/>
    <s v="Yes"/>
    <n v="1"/>
    <x v="1"/>
    <n v="1"/>
  </r>
  <r>
    <s v="T004165"/>
    <x v="3969"/>
    <d v="2026-07-08T17:39:00"/>
    <x v="1"/>
    <s v="Chat"/>
    <x v="0"/>
    <s v="A033"/>
    <x v="2"/>
    <n v="72"/>
    <n v="1.6"/>
    <x v="0"/>
    <s v="No"/>
    <s v="No"/>
    <m/>
    <s v="Closed"/>
    <s v="July"/>
    <x v="6"/>
    <n v="2026"/>
    <s v="Yes"/>
    <n v="1"/>
    <x v="4"/>
    <n v="0"/>
  </r>
  <r>
    <s v="T004166"/>
    <x v="3970"/>
    <d v="2026-07-08T22:58:00"/>
    <x v="6"/>
    <s v="Phone"/>
    <x v="1"/>
    <s v="A007"/>
    <x v="0"/>
    <n v="24"/>
    <n v="5.2"/>
    <x v="1"/>
    <s v="No"/>
    <s v="No"/>
    <m/>
    <s v="Closed"/>
    <s v="July"/>
    <x v="6"/>
    <n v="2026"/>
    <s v="Yes"/>
    <n v="1"/>
    <x v="1"/>
    <n v="1"/>
  </r>
  <r>
    <s v="T004167"/>
    <x v="3971"/>
    <d v="2026-07-14T03:36:00"/>
    <x v="0"/>
    <s v="Field Visit"/>
    <x v="1"/>
    <s v="A010"/>
    <x v="0"/>
    <n v="24"/>
    <n v="129.30000000000001"/>
    <x v="1"/>
    <s v="No"/>
    <s v="No"/>
    <m/>
    <s v="Closed"/>
    <s v="July"/>
    <x v="6"/>
    <n v="2026"/>
    <s v="No"/>
    <n v="0"/>
    <x v="2"/>
    <n v="1"/>
  </r>
  <r>
    <s v="T004168"/>
    <x v="3972"/>
    <d v="2026-07-09T01:23:00"/>
    <x v="0"/>
    <s v="Phone"/>
    <x v="0"/>
    <s v="A042"/>
    <x v="1"/>
    <n v="72"/>
    <n v="4.9000000000000004"/>
    <x v="1"/>
    <s v="No"/>
    <s v="No"/>
    <m/>
    <s v="Closed"/>
    <s v="July"/>
    <x v="6"/>
    <n v="2026"/>
    <s v="Yes"/>
    <n v="1"/>
    <x v="2"/>
    <n v="1"/>
  </r>
  <r>
    <s v="T004169"/>
    <x v="3973"/>
    <d v="2026-07-09T04:42:00"/>
    <x v="1"/>
    <s v="Phone"/>
    <x v="0"/>
    <s v="A026"/>
    <x v="2"/>
    <n v="72"/>
    <n v="1.9"/>
    <x v="0"/>
    <s v="Yes"/>
    <s v="Yes"/>
    <n v="5"/>
    <s v="Closed"/>
    <s v="July"/>
    <x v="6"/>
    <n v="2026"/>
    <s v="Yes"/>
    <n v="1"/>
    <x v="1"/>
    <n v="0"/>
  </r>
  <r>
    <s v="T004170"/>
    <x v="3974"/>
    <d v="2026-07-09T09:23:00"/>
    <x v="1"/>
    <s v="Phone"/>
    <x v="1"/>
    <s v="A019"/>
    <x v="2"/>
    <n v="24"/>
    <n v="4.7"/>
    <x v="1"/>
    <s v="No"/>
    <s v="No"/>
    <n v="4"/>
    <s v="Closed"/>
    <s v="July"/>
    <x v="6"/>
    <n v="2026"/>
    <s v="Yes"/>
    <n v="1"/>
    <x v="0"/>
    <n v="1"/>
  </r>
  <r>
    <s v="T004171"/>
    <x v="3975"/>
    <d v="2026-07-09T14:17:00"/>
    <x v="6"/>
    <s v="Phone"/>
    <x v="1"/>
    <s v="A040"/>
    <x v="1"/>
    <n v="24"/>
    <n v="7.7"/>
    <x v="0"/>
    <s v="No"/>
    <s v="No"/>
    <m/>
    <s v="Closed"/>
    <s v="July"/>
    <x v="6"/>
    <n v="2026"/>
    <s v="Yes"/>
    <n v="1"/>
    <x v="3"/>
    <n v="0"/>
  </r>
  <r>
    <s v="T004172"/>
    <x v="3976"/>
    <d v="2026-07-09T16:43:00"/>
    <x v="6"/>
    <s v="Chat"/>
    <x v="1"/>
    <s v="A056"/>
    <x v="1"/>
    <n v="24"/>
    <n v="9.5"/>
    <x v="1"/>
    <s v="No"/>
    <s v="No"/>
    <n v="5"/>
    <s v="Closed"/>
    <s v="July"/>
    <x v="6"/>
    <n v="2026"/>
    <s v="Yes"/>
    <n v="1"/>
    <x v="1"/>
    <n v="1"/>
  </r>
  <r>
    <s v="T004173"/>
    <x v="3977"/>
    <d v="2026-07-10T09:17:00"/>
    <x v="3"/>
    <s v="Field Visit"/>
    <x v="2"/>
    <s v="A007"/>
    <x v="0"/>
    <n v="4"/>
    <n v="25.9"/>
    <x v="0"/>
    <s v="No"/>
    <s v="No"/>
    <m/>
    <s v="Closed"/>
    <s v="July"/>
    <x v="6"/>
    <n v="2026"/>
    <s v="No"/>
    <n v="0"/>
    <x v="0"/>
    <n v="0"/>
  </r>
  <r>
    <s v="T004174"/>
    <x v="3978"/>
    <d v="2026-07-09T19:48:00"/>
    <x v="3"/>
    <s v="Phone"/>
    <x v="0"/>
    <s v="A004"/>
    <x v="0"/>
    <n v="72"/>
    <n v="11.5"/>
    <x v="1"/>
    <s v="No"/>
    <s v="No"/>
    <m/>
    <s v="Closed"/>
    <s v="July"/>
    <x v="6"/>
    <n v="2026"/>
    <s v="Yes"/>
    <n v="1"/>
    <x v="3"/>
    <n v="1"/>
  </r>
  <r>
    <s v="T004175"/>
    <x v="3979"/>
    <d v="2026-07-09T20:13:00"/>
    <x v="3"/>
    <s v="Chat"/>
    <x v="2"/>
    <s v="A025"/>
    <x v="2"/>
    <n v="4"/>
    <n v="11.9"/>
    <x v="1"/>
    <s v="No"/>
    <s v="Yes"/>
    <n v="4"/>
    <s v="Closed"/>
    <s v="July"/>
    <x v="6"/>
    <n v="2026"/>
    <s v="No"/>
    <n v="0"/>
    <x v="0"/>
    <n v="1"/>
  </r>
  <r>
    <s v="T004176"/>
    <x v="3980"/>
    <d v="2026-07-13T12:57:00"/>
    <x v="4"/>
    <s v="Field Visit"/>
    <x v="1"/>
    <s v="A028"/>
    <x v="2"/>
    <n v="24"/>
    <n v="98.8"/>
    <x v="1"/>
    <s v="No"/>
    <s v="Yes"/>
    <n v="4"/>
    <s v="Closed"/>
    <s v="July"/>
    <x v="6"/>
    <n v="2026"/>
    <s v="No"/>
    <n v="0"/>
    <x v="4"/>
    <n v="1"/>
  </r>
  <r>
    <s v="T004177"/>
    <x v="3981"/>
    <d v="2026-07-09T20:57:00"/>
    <x v="6"/>
    <s v="Field Visit"/>
    <x v="1"/>
    <s v="A044"/>
    <x v="1"/>
    <n v="24"/>
    <n v="10.6"/>
    <x v="1"/>
    <s v="No"/>
    <s v="No"/>
    <n v="5"/>
    <s v="Closed"/>
    <s v="July"/>
    <x v="6"/>
    <n v="2026"/>
    <s v="Yes"/>
    <n v="1"/>
    <x v="0"/>
    <n v="1"/>
  </r>
  <r>
    <s v="T004178"/>
    <x v="3982"/>
    <d v="2026-07-10T04:37:00"/>
    <x v="2"/>
    <s v="Field Visit"/>
    <x v="2"/>
    <s v="A041"/>
    <x v="1"/>
    <n v="4"/>
    <n v="18.100000000000001"/>
    <x v="1"/>
    <s v="No"/>
    <s v="No"/>
    <n v="3"/>
    <s v="Closed"/>
    <s v="July"/>
    <x v="6"/>
    <n v="2026"/>
    <s v="No"/>
    <n v="0"/>
    <x v="0"/>
    <n v="1"/>
  </r>
  <r>
    <s v="T004179"/>
    <x v="3983"/>
    <d v="2026-07-11T06:49:00"/>
    <x v="0"/>
    <s v="Field Visit"/>
    <x v="1"/>
    <s v="A038"/>
    <x v="1"/>
    <n v="24"/>
    <n v="43.9"/>
    <x v="1"/>
    <s v="No"/>
    <s v="No"/>
    <n v="5"/>
    <s v="Closed"/>
    <s v="July"/>
    <x v="6"/>
    <n v="2026"/>
    <s v="No"/>
    <n v="0"/>
    <x v="3"/>
    <n v="1"/>
  </r>
  <r>
    <s v="T004180"/>
    <x v="3984"/>
    <d v="2026-07-09T21:13:00"/>
    <x v="5"/>
    <s v="Chat"/>
    <x v="0"/>
    <s v="A011"/>
    <x v="0"/>
    <n v="72"/>
    <n v="10.199999999999999"/>
    <x v="0"/>
    <s v="Yes"/>
    <s v="No"/>
    <n v="5"/>
    <s v="Closed"/>
    <s v="July"/>
    <x v="6"/>
    <n v="2026"/>
    <s v="Yes"/>
    <n v="1"/>
    <x v="4"/>
    <n v="0"/>
  </r>
  <r>
    <s v="T004181"/>
    <x v="3985"/>
    <d v="2026-07-10T02:53:00"/>
    <x v="3"/>
    <s v="Chat"/>
    <x v="0"/>
    <s v="A049"/>
    <x v="1"/>
    <n v="72"/>
    <n v="15.7"/>
    <x v="1"/>
    <s v="No"/>
    <s v="No"/>
    <m/>
    <s v="Closed"/>
    <s v="July"/>
    <x v="6"/>
    <n v="2026"/>
    <s v="Yes"/>
    <n v="1"/>
    <x v="2"/>
    <n v="1"/>
  </r>
  <r>
    <s v="T004182"/>
    <x v="3986"/>
    <d v="2026-07-10T11:13:00"/>
    <x v="1"/>
    <s v="Email"/>
    <x v="0"/>
    <s v="A007"/>
    <x v="0"/>
    <n v="72"/>
    <n v="23.9"/>
    <x v="1"/>
    <s v="No"/>
    <s v="No"/>
    <m/>
    <s v="Closed"/>
    <s v="July"/>
    <x v="6"/>
    <n v="2026"/>
    <s v="Yes"/>
    <n v="1"/>
    <x v="4"/>
    <n v="1"/>
  </r>
  <r>
    <s v="T004183"/>
    <x v="3987"/>
    <d v="2026-07-09T17:17:00"/>
    <x v="0"/>
    <s v="Phone"/>
    <x v="0"/>
    <s v="A030"/>
    <x v="2"/>
    <n v="72"/>
    <n v="5.8"/>
    <x v="1"/>
    <s v="No"/>
    <s v="No"/>
    <m/>
    <s v="Closed"/>
    <s v="July"/>
    <x v="6"/>
    <n v="2026"/>
    <s v="Yes"/>
    <n v="1"/>
    <x v="3"/>
    <n v="1"/>
  </r>
  <r>
    <s v="T004184"/>
    <x v="3988"/>
    <d v="2026-07-09T17:50:00"/>
    <x v="3"/>
    <s v="Phone"/>
    <x v="0"/>
    <s v="A018"/>
    <x v="2"/>
    <n v="72"/>
    <n v="5.3"/>
    <x v="1"/>
    <s v="No"/>
    <s v="No"/>
    <n v="4"/>
    <s v="Closed"/>
    <s v="July"/>
    <x v="6"/>
    <n v="2026"/>
    <s v="Yes"/>
    <n v="1"/>
    <x v="0"/>
    <n v="1"/>
  </r>
  <r>
    <s v="T004185"/>
    <x v="3989"/>
    <d v="2026-07-09T23:15:00"/>
    <x v="0"/>
    <s v="Phone"/>
    <x v="0"/>
    <s v="A013"/>
    <x v="0"/>
    <n v="72"/>
    <n v="9.4"/>
    <x v="0"/>
    <s v="No"/>
    <s v="No"/>
    <m/>
    <s v="Closed"/>
    <s v="July"/>
    <x v="6"/>
    <n v="2026"/>
    <s v="Yes"/>
    <n v="1"/>
    <x v="1"/>
    <n v="0"/>
  </r>
  <r>
    <s v="T004186"/>
    <x v="3990"/>
    <d v="2026-07-09T16:00:00"/>
    <x v="1"/>
    <s v="Phone"/>
    <x v="1"/>
    <s v="A016"/>
    <x v="2"/>
    <n v="24"/>
    <n v="1.9"/>
    <x v="1"/>
    <s v="No"/>
    <s v="No"/>
    <m/>
    <s v="Closed"/>
    <s v="July"/>
    <x v="6"/>
    <n v="2026"/>
    <s v="Yes"/>
    <n v="1"/>
    <x v="1"/>
    <n v="1"/>
  </r>
  <r>
    <s v="T004187"/>
    <x v="3991"/>
    <d v="2026-07-10T08:47:00"/>
    <x v="0"/>
    <s v="Phone"/>
    <x v="1"/>
    <s v="A054"/>
    <x v="1"/>
    <n v="24"/>
    <n v="18.399999999999999"/>
    <x v="0"/>
    <s v="No"/>
    <s v="No"/>
    <n v="4"/>
    <s v="Closed"/>
    <s v="July"/>
    <x v="6"/>
    <n v="2026"/>
    <s v="Yes"/>
    <n v="1"/>
    <x v="4"/>
    <n v="0"/>
  </r>
  <r>
    <s v="T004188"/>
    <x v="3992"/>
    <d v="2026-07-09T20:41:00"/>
    <x v="6"/>
    <s v="Chat"/>
    <x v="2"/>
    <s v="A024"/>
    <x v="2"/>
    <n v="4"/>
    <n v="3.2"/>
    <x v="1"/>
    <s v="No"/>
    <s v="No"/>
    <n v="5"/>
    <s v="Closed"/>
    <s v="July"/>
    <x v="6"/>
    <n v="2026"/>
    <s v="Yes"/>
    <n v="1"/>
    <x v="4"/>
    <n v="1"/>
  </r>
  <r>
    <s v="T004189"/>
    <x v="3993"/>
    <d v="2026-07-10T00:15:00"/>
    <x v="6"/>
    <s v="Phone"/>
    <x v="0"/>
    <s v="A011"/>
    <x v="0"/>
    <n v="72"/>
    <n v="6.2"/>
    <x v="0"/>
    <s v="Yes"/>
    <s v="No"/>
    <n v="2"/>
    <s v="Closed"/>
    <s v="July"/>
    <x v="6"/>
    <n v="2026"/>
    <s v="Yes"/>
    <n v="1"/>
    <x v="1"/>
    <n v="0"/>
  </r>
  <r>
    <s v="T004190"/>
    <x v="3994"/>
    <d v="2026-07-09T22:10:00"/>
    <x v="5"/>
    <s v="Chat"/>
    <x v="1"/>
    <s v="A030"/>
    <x v="2"/>
    <n v="24"/>
    <n v="3.7"/>
    <x v="1"/>
    <s v="No"/>
    <s v="No"/>
    <n v="5"/>
    <s v="Closed"/>
    <s v="July"/>
    <x v="6"/>
    <n v="2026"/>
    <s v="Yes"/>
    <n v="1"/>
    <x v="4"/>
    <n v="1"/>
  </r>
  <r>
    <s v="T004191"/>
    <x v="3995"/>
    <d v="2026-07-10T04:10:00"/>
    <x v="3"/>
    <s v="Chat"/>
    <x v="1"/>
    <s v="A024"/>
    <x v="2"/>
    <n v="24"/>
    <n v="8.1"/>
    <x v="1"/>
    <s v="No"/>
    <s v="No"/>
    <n v="5"/>
    <s v="Closed"/>
    <s v="July"/>
    <x v="6"/>
    <n v="2026"/>
    <s v="Yes"/>
    <n v="1"/>
    <x v="3"/>
    <n v="1"/>
  </r>
  <r>
    <s v="T004192"/>
    <x v="3996"/>
    <d v="2026-07-09T22:49:00"/>
    <x v="6"/>
    <s v="Chat"/>
    <x v="0"/>
    <s v="A039"/>
    <x v="1"/>
    <n v="72"/>
    <n v="2.7"/>
    <x v="1"/>
    <s v="No"/>
    <s v="No"/>
    <n v="4"/>
    <s v="Closed"/>
    <s v="July"/>
    <x v="6"/>
    <n v="2026"/>
    <s v="Yes"/>
    <n v="1"/>
    <x v="1"/>
    <n v="1"/>
  </r>
  <r>
    <s v="T004193"/>
    <x v="3997"/>
    <d v="2026-07-10T14:40:00"/>
    <x v="6"/>
    <s v="Phone"/>
    <x v="1"/>
    <s v="A005"/>
    <x v="0"/>
    <n v="24"/>
    <n v="13.4"/>
    <x v="1"/>
    <s v="No"/>
    <s v="Yes"/>
    <m/>
    <s v="Closed"/>
    <s v="July"/>
    <x v="6"/>
    <n v="2026"/>
    <s v="Yes"/>
    <n v="1"/>
    <x v="1"/>
    <n v="1"/>
  </r>
  <r>
    <s v="T004194"/>
    <x v="3998"/>
    <d v="2026-07-16T05:25:00"/>
    <x v="2"/>
    <s v="Email"/>
    <x v="1"/>
    <s v="A005"/>
    <x v="0"/>
    <n v="24"/>
    <n v="142.19999999999999"/>
    <x v="1"/>
    <s v="No"/>
    <s v="No"/>
    <m/>
    <s v="Closed"/>
    <s v="July"/>
    <x v="6"/>
    <n v="2026"/>
    <s v="No"/>
    <n v="0"/>
    <x v="2"/>
    <n v="1"/>
  </r>
  <r>
    <s v="T004195"/>
    <x v="3999"/>
    <d v="2026-07-11T00:31:00"/>
    <x v="5"/>
    <s v="Phone"/>
    <x v="1"/>
    <s v="A012"/>
    <x v="0"/>
    <n v="24"/>
    <n v="16.899999999999999"/>
    <x v="1"/>
    <s v="No"/>
    <s v="No"/>
    <m/>
    <s v="Closed"/>
    <s v="July"/>
    <x v="6"/>
    <n v="2026"/>
    <s v="Yes"/>
    <n v="1"/>
    <x v="0"/>
    <n v="1"/>
  </r>
  <r>
    <s v="T004196"/>
    <x v="4000"/>
    <d v="2026-07-10T13:02:00"/>
    <x v="1"/>
    <s v="Phone"/>
    <x v="1"/>
    <s v="A043"/>
    <x v="1"/>
    <n v="24"/>
    <n v="5.3"/>
    <x v="1"/>
    <s v="No"/>
    <s v="No"/>
    <n v="4"/>
    <s v="Closed"/>
    <s v="July"/>
    <x v="6"/>
    <n v="2026"/>
    <s v="Yes"/>
    <n v="1"/>
    <x v="3"/>
    <n v="1"/>
  </r>
  <r>
    <s v="T004197"/>
    <x v="4001"/>
    <d v="2026-07-10T16:53:00"/>
    <x v="0"/>
    <s v="Phone"/>
    <x v="1"/>
    <s v="A046"/>
    <x v="1"/>
    <n v="24"/>
    <n v="9"/>
    <x v="1"/>
    <s v="No"/>
    <s v="No"/>
    <n v="5"/>
    <s v="Closed"/>
    <s v="July"/>
    <x v="6"/>
    <n v="2026"/>
    <s v="Yes"/>
    <n v="1"/>
    <x v="3"/>
    <n v="1"/>
  </r>
  <r>
    <s v="T004198"/>
    <x v="4002"/>
    <d v="2026-07-10T14:35:00"/>
    <x v="6"/>
    <s v="Chat"/>
    <x v="2"/>
    <s v="A007"/>
    <x v="0"/>
    <n v="4"/>
    <n v="6.4"/>
    <x v="1"/>
    <s v="No"/>
    <s v="Yes"/>
    <m/>
    <s v="Closed"/>
    <s v="July"/>
    <x v="6"/>
    <n v="2026"/>
    <s v="No"/>
    <n v="0"/>
    <x v="3"/>
    <n v="1"/>
  </r>
  <r>
    <s v="T004199"/>
    <x v="4003"/>
    <d v="2026-07-10T16:30:00"/>
    <x v="6"/>
    <s v="Chat"/>
    <x v="2"/>
    <s v="A017"/>
    <x v="2"/>
    <n v="4"/>
    <n v="7.6"/>
    <x v="1"/>
    <s v="No"/>
    <s v="No"/>
    <m/>
    <s v="Closed"/>
    <s v="July"/>
    <x v="6"/>
    <n v="2026"/>
    <s v="No"/>
    <n v="0"/>
    <x v="4"/>
    <n v="1"/>
  </r>
  <r>
    <s v="T004200"/>
    <x v="4004"/>
    <d v="2026-07-10T16:52:00"/>
    <x v="1"/>
    <s v="Phone"/>
    <x v="1"/>
    <s v="A033"/>
    <x v="2"/>
    <n v="24"/>
    <n v="7.4"/>
    <x v="1"/>
    <s v="No"/>
    <s v="No"/>
    <n v="4"/>
    <s v="Closed"/>
    <s v="July"/>
    <x v="6"/>
    <n v="2026"/>
    <s v="Yes"/>
    <n v="1"/>
    <x v="2"/>
    <n v="1"/>
  </r>
  <r>
    <s v="T004201"/>
    <x v="4005"/>
    <d v="2026-07-11T00:08:00"/>
    <x v="1"/>
    <s v="Email"/>
    <x v="0"/>
    <s v="A057"/>
    <x v="1"/>
    <n v="72"/>
    <n v="14.6"/>
    <x v="1"/>
    <s v="No"/>
    <s v="No"/>
    <n v="5"/>
    <s v="Closed"/>
    <s v="July"/>
    <x v="6"/>
    <n v="2026"/>
    <s v="Yes"/>
    <n v="1"/>
    <x v="2"/>
    <n v="1"/>
  </r>
  <r>
    <s v="T004202"/>
    <x v="4006"/>
    <d v="2026-07-11T02:24:00"/>
    <x v="2"/>
    <s v="Phone"/>
    <x v="0"/>
    <s v="A033"/>
    <x v="2"/>
    <n v="72"/>
    <n v="16.8"/>
    <x v="1"/>
    <s v="No"/>
    <s v="No"/>
    <m/>
    <s v="Closed"/>
    <s v="July"/>
    <x v="6"/>
    <n v="2026"/>
    <s v="Yes"/>
    <n v="1"/>
    <x v="4"/>
    <n v="1"/>
  </r>
  <r>
    <s v="T004203"/>
    <x v="4007"/>
    <d v="2026-07-10T15:42:00"/>
    <x v="5"/>
    <s v="Chat"/>
    <x v="1"/>
    <s v="A015"/>
    <x v="0"/>
    <n v="24"/>
    <n v="5.9"/>
    <x v="1"/>
    <s v="No"/>
    <s v="No"/>
    <n v="5"/>
    <s v="Closed"/>
    <s v="July"/>
    <x v="6"/>
    <n v="2026"/>
    <s v="Yes"/>
    <n v="1"/>
    <x v="0"/>
    <n v="1"/>
  </r>
  <r>
    <s v="T004204"/>
    <x v="4007"/>
    <d v="2026-07-10T15:30:00"/>
    <x v="2"/>
    <s v="Chat"/>
    <x v="0"/>
    <s v="A056"/>
    <x v="1"/>
    <n v="72"/>
    <n v="5.7"/>
    <x v="1"/>
    <s v="No"/>
    <s v="No"/>
    <n v="5"/>
    <s v="Closed"/>
    <s v="July"/>
    <x v="6"/>
    <n v="2026"/>
    <s v="Yes"/>
    <n v="1"/>
    <x v="2"/>
    <n v="1"/>
  </r>
  <r>
    <s v="T004205"/>
    <x v="4008"/>
    <d v="2026-07-11T05:15:00"/>
    <x v="2"/>
    <s v="Field Visit"/>
    <x v="0"/>
    <s v="A027"/>
    <x v="2"/>
    <n v="72"/>
    <n v="19"/>
    <x v="0"/>
    <s v="Yes"/>
    <s v="No"/>
    <n v="3"/>
    <s v="Closed"/>
    <s v="July"/>
    <x v="6"/>
    <n v="2026"/>
    <s v="Yes"/>
    <n v="1"/>
    <x v="1"/>
    <n v="0"/>
  </r>
  <r>
    <s v="T004206"/>
    <x v="4009"/>
    <d v="2026-07-11T22:24:00"/>
    <x v="0"/>
    <s v="Email"/>
    <x v="0"/>
    <s v="A009"/>
    <x v="0"/>
    <n v="72"/>
    <n v="35.799999999999997"/>
    <x v="1"/>
    <s v="No"/>
    <s v="No"/>
    <n v="5"/>
    <s v="Closed"/>
    <s v="July"/>
    <x v="6"/>
    <n v="2026"/>
    <s v="Yes"/>
    <n v="1"/>
    <x v="1"/>
    <n v="1"/>
  </r>
  <r>
    <s v="T004207"/>
    <x v="4010"/>
    <d v="2026-07-10T13:26:00"/>
    <x v="6"/>
    <s v="Chat"/>
    <x v="2"/>
    <s v="A041"/>
    <x v="1"/>
    <n v="4"/>
    <n v="2.8"/>
    <x v="0"/>
    <s v="No"/>
    <s v="No"/>
    <n v="5"/>
    <s v="Closed"/>
    <s v="July"/>
    <x v="6"/>
    <n v="2026"/>
    <s v="Yes"/>
    <n v="1"/>
    <x v="3"/>
    <n v="0"/>
  </r>
  <r>
    <s v="T004208"/>
    <x v="4011"/>
    <d v="2026-07-12T02:00:00"/>
    <x v="2"/>
    <s v="Phone"/>
    <x v="2"/>
    <s v="A046"/>
    <x v="1"/>
    <n v="4"/>
    <n v="39.299999999999997"/>
    <x v="1"/>
    <s v="No"/>
    <s v="No"/>
    <n v="4"/>
    <s v="Closed"/>
    <s v="July"/>
    <x v="6"/>
    <n v="2026"/>
    <s v="No"/>
    <n v="0"/>
    <x v="2"/>
    <n v="1"/>
  </r>
  <r>
    <s v="T004209"/>
    <x v="4012"/>
    <d v="2026-07-20T12:48:00"/>
    <x v="4"/>
    <s v="Field Visit"/>
    <x v="1"/>
    <s v="A018"/>
    <x v="2"/>
    <n v="24"/>
    <n v="241.4"/>
    <x v="0"/>
    <s v="No"/>
    <s v="No"/>
    <n v="5"/>
    <s v="Closed"/>
    <s v="July"/>
    <x v="6"/>
    <n v="2026"/>
    <s v="No"/>
    <n v="0"/>
    <x v="0"/>
    <n v="0"/>
  </r>
  <r>
    <s v="T004210"/>
    <x v="4013"/>
    <d v="2026-07-11T09:28:00"/>
    <x v="3"/>
    <s v="Phone"/>
    <x v="0"/>
    <s v="A024"/>
    <x v="2"/>
    <n v="72"/>
    <n v="21.9"/>
    <x v="0"/>
    <s v="No"/>
    <s v="No"/>
    <m/>
    <s v="Closed"/>
    <s v="July"/>
    <x v="6"/>
    <n v="2026"/>
    <s v="Yes"/>
    <n v="1"/>
    <x v="3"/>
    <n v="0"/>
  </r>
  <r>
    <s v="T004211"/>
    <x v="4014"/>
    <d v="2026-07-10T15:41:00"/>
    <x v="0"/>
    <s v="Chat"/>
    <x v="1"/>
    <s v="A047"/>
    <x v="1"/>
    <n v="24"/>
    <n v="4.0999999999999996"/>
    <x v="1"/>
    <s v="No"/>
    <s v="No"/>
    <n v="5"/>
    <s v="Closed"/>
    <s v="July"/>
    <x v="6"/>
    <n v="2026"/>
    <s v="Yes"/>
    <n v="1"/>
    <x v="4"/>
    <n v="1"/>
  </r>
  <r>
    <s v="T004212"/>
    <x v="4015"/>
    <d v="2026-07-11T19:24:00"/>
    <x v="2"/>
    <s v="Email"/>
    <x v="1"/>
    <s v="A028"/>
    <x v="2"/>
    <n v="24"/>
    <n v="31.7"/>
    <x v="0"/>
    <s v="Yes"/>
    <s v="Yes"/>
    <m/>
    <s v="Closed"/>
    <s v="July"/>
    <x v="6"/>
    <n v="2026"/>
    <s v="No"/>
    <n v="0"/>
    <x v="4"/>
    <n v="0"/>
  </r>
  <r>
    <s v="T004213"/>
    <x v="4016"/>
    <d v="2026-07-10T17:49:00"/>
    <x v="2"/>
    <s v="Phone"/>
    <x v="1"/>
    <s v="A036"/>
    <x v="1"/>
    <n v="24"/>
    <n v="5.5"/>
    <x v="1"/>
    <s v="No"/>
    <s v="No"/>
    <n v="5"/>
    <s v="Closed"/>
    <s v="July"/>
    <x v="6"/>
    <n v="2026"/>
    <s v="Yes"/>
    <n v="1"/>
    <x v="4"/>
    <n v="1"/>
  </r>
  <r>
    <s v="T004214"/>
    <x v="4017"/>
    <d v="2026-07-11T00:12:00"/>
    <x v="0"/>
    <s v="Email"/>
    <x v="1"/>
    <s v="A034"/>
    <x v="2"/>
    <n v="24"/>
    <n v="11.4"/>
    <x v="0"/>
    <s v="Yes"/>
    <s v="No"/>
    <m/>
    <s v="Closed"/>
    <s v="July"/>
    <x v="6"/>
    <n v="2026"/>
    <s v="Yes"/>
    <n v="1"/>
    <x v="4"/>
    <n v="0"/>
  </r>
  <r>
    <s v="T004215"/>
    <x v="4018"/>
    <d v="2026-07-10T18:49:00"/>
    <x v="1"/>
    <s v="Chat"/>
    <x v="0"/>
    <s v="A013"/>
    <x v="0"/>
    <n v="72"/>
    <n v="4.0999999999999996"/>
    <x v="1"/>
    <s v="No"/>
    <s v="No"/>
    <m/>
    <s v="Closed"/>
    <s v="July"/>
    <x v="6"/>
    <n v="2026"/>
    <s v="Yes"/>
    <n v="1"/>
    <x v="1"/>
    <n v="1"/>
  </r>
  <r>
    <s v="T004216"/>
    <x v="4019"/>
    <d v="2026-07-10T17:34:00"/>
    <x v="5"/>
    <s v="Chat"/>
    <x v="1"/>
    <s v="A009"/>
    <x v="0"/>
    <n v="24"/>
    <n v="2.5"/>
    <x v="1"/>
    <s v="No"/>
    <s v="No"/>
    <n v="5"/>
    <s v="Closed"/>
    <s v="July"/>
    <x v="6"/>
    <n v="2026"/>
    <s v="Yes"/>
    <n v="1"/>
    <x v="1"/>
    <n v="1"/>
  </r>
  <r>
    <s v="T004217"/>
    <x v="4020"/>
    <d v="2026-07-13T14:25:00"/>
    <x v="3"/>
    <s v="Email"/>
    <x v="1"/>
    <s v="A044"/>
    <x v="1"/>
    <n v="24"/>
    <n v="70.7"/>
    <x v="1"/>
    <s v="No"/>
    <s v="No"/>
    <n v="5"/>
    <s v="Closed"/>
    <s v="July"/>
    <x v="6"/>
    <n v="2026"/>
    <s v="No"/>
    <n v="0"/>
    <x v="3"/>
    <n v="1"/>
  </r>
  <r>
    <s v="T004218"/>
    <x v="4021"/>
    <d v="2026-07-11T09:18:00"/>
    <x v="0"/>
    <s v="Email"/>
    <x v="2"/>
    <s v="A036"/>
    <x v="1"/>
    <n v="4"/>
    <n v="16.899999999999999"/>
    <x v="1"/>
    <s v="No"/>
    <s v="No"/>
    <n v="4"/>
    <s v="Closed"/>
    <s v="July"/>
    <x v="6"/>
    <n v="2026"/>
    <s v="No"/>
    <n v="0"/>
    <x v="1"/>
    <n v="1"/>
  </r>
  <r>
    <s v="T004219"/>
    <x v="4022"/>
    <d v="2026-07-10T22:53:00"/>
    <x v="1"/>
    <s v="Phone"/>
    <x v="0"/>
    <s v="A006"/>
    <x v="0"/>
    <n v="72"/>
    <n v="6"/>
    <x v="0"/>
    <s v="No"/>
    <s v="No"/>
    <m/>
    <s v="Closed"/>
    <s v="July"/>
    <x v="6"/>
    <n v="2026"/>
    <s v="Yes"/>
    <n v="1"/>
    <x v="3"/>
    <n v="0"/>
  </r>
  <r>
    <s v="T004220"/>
    <x v="4023"/>
    <d v="2026-07-11T02:06:00"/>
    <x v="5"/>
    <s v="Email"/>
    <x v="1"/>
    <s v="A026"/>
    <x v="2"/>
    <n v="24"/>
    <n v="9.1999999999999993"/>
    <x v="1"/>
    <s v="No"/>
    <s v="No"/>
    <m/>
    <s v="Closed"/>
    <s v="July"/>
    <x v="6"/>
    <n v="2026"/>
    <s v="Yes"/>
    <n v="1"/>
    <x v="1"/>
    <n v="1"/>
  </r>
  <r>
    <s v="T004221"/>
    <x v="4024"/>
    <d v="2026-07-11T00:39:00"/>
    <x v="1"/>
    <s v="Phone"/>
    <x v="0"/>
    <s v="A004"/>
    <x v="0"/>
    <n v="72"/>
    <n v="5.7"/>
    <x v="1"/>
    <s v="No"/>
    <s v="No"/>
    <n v="5"/>
    <s v="Closed"/>
    <s v="July"/>
    <x v="6"/>
    <n v="2026"/>
    <s v="Yes"/>
    <n v="1"/>
    <x v="0"/>
    <n v="1"/>
  </r>
  <r>
    <s v="T004222"/>
    <x v="4025"/>
    <d v="2026-07-11T06:49:00"/>
    <x v="3"/>
    <s v="Chat"/>
    <x v="0"/>
    <s v="A026"/>
    <x v="2"/>
    <n v="72"/>
    <n v="11"/>
    <x v="1"/>
    <s v="No"/>
    <s v="No"/>
    <m/>
    <s v="Closed"/>
    <s v="July"/>
    <x v="6"/>
    <n v="2026"/>
    <s v="Yes"/>
    <n v="1"/>
    <x v="4"/>
    <n v="1"/>
  </r>
  <r>
    <s v="T004223"/>
    <x v="4026"/>
    <d v="2026-07-13T17:26:00"/>
    <x v="3"/>
    <s v="Field Visit"/>
    <x v="1"/>
    <s v="A004"/>
    <x v="0"/>
    <n v="24"/>
    <n v="60.1"/>
    <x v="1"/>
    <s v="No"/>
    <s v="No"/>
    <n v="3"/>
    <s v="Closed"/>
    <s v="July"/>
    <x v="6"/>
    <n v="2026"/>
    <s v="No"/>
    <n v="0"/>
    <x v="3"/>
    <n v="1"/>
  </r>
  <r>
    <s v="T004224"/>
    <x v="4027"/>
    <d v="2026-07-12T07:31:00"/>
    <x v="6"/>
    <s v="Field Visit"/>
    <x v="2"/>
    <s v="A010"/>
    <x v="0"/>
    <n v="4"/>
    <n v="24.5"/>
    <x v="0"/>
    <s v="No"/>
    <s v="No"/>
    <n v="3"/>
    <s v="Closed"/>
    <s v="July"/>
    <x v="6"/>
    <n v="2026"/>
    <s v="No"/>
    <n v="0"/>
    <x v="3"/>
    <n v="0"/>
  </r>
  <r>
    <s v="T004225"/>
    <x v="4028"/>
    <d v="2026-07-11T15:53:00"/>
    <x v="1"/>
    <s v="Phone"/>
    <x v="0"/>
    <s v="A027"/>
    <x v="2"/>
    <n v="72"/>
    <n v="8.6999999999999993"/>
    <x v="1"/>
    <s v="No"/>
    <s v="No"/>
    <n v="4"/>
    <s v="Closed"/>
    <s v="July"/>
    <x v="6"/>
    <n v="2026"/>
    <s v="Yes"/>
    <n v="1"/>
    <x v="2"/>
    <n v="1"/>
  </r>
  <r>
    <s v="T004226"/>
    <x v="4029"/>
    <d v="2026-07-15T11:14:00"/>
    <x v="5"/>
    <s v="Email"/>
    <x v="1"/>
    <s v="A046"/>
    <x v="1"/>
    <n v="24"/>
    <n v="97.3"/>
    <x v="0"/>
    <s v="Yes"/>
    <s v="No"/>
    <n v="3"/>
    <s v="Closed"/>
    <s v="July"/>
    <x v="6"/>
    <n v="2026"/>
    <s v="No"/>
    <n v="0"/>
    <x v="0"/>
    <n v="0"/>
  </r>
  <r>
    <s v="T004227"/>
    <x v="4030"/>
    <d v="2026-07-12T09:39:00"/>
    <x v="0"/>
    <s v="Chat"/>
    <x v="1"/>
    <s v="A029"/>
    <x v="2"/>
    <n v="24"/>
    <n v="23"/>
    <x v="1"/>
    <s v="No"/>
    <s v="No"/>
    <n v="5"/>
    <s v="Closed"/>
    <s v="July"/>
    <x v="6"/>
    <n v="2026"/>
    <s v="Yes"/>
    <n v="1"/>
    <x v="3"/>
    <n v="1"/>
  </r>
  <r>
    <s v="T004228"/>
    <x v="4031"/>
    <d v="2026-07-11T20:07:00"/>
    <x v="6"/>
    <s v="Phone"/>
    <x v="1"/>
    <s v="A033"/>
    <x v="2"/>
    <n v="24"/>
    <n v="7.5"/>
    <x v="1"/>
    <s v="No"/>
    <s v="No"/>
    <n v="5"/>
    <s v="Closed"/>
    <s v="July"/>
    <x v="6"/>
    <n v="2026"/>
    <s v="Yes"/>
    <n v="1"/>
    <x v="1"/>
    <n v="1"/>
  </r>
  <r>
    <s v="T004229"/>
    <x v="4032"/>
    <d v="2026-07-13T15:48:00"/>
    <x v="3"/>
    <s v="Phone"/>
    <x v="0"/>
    <s v="A039"/>
    <x v="1"/>
    <n v="72"/>
    <n v="51.1"/>
    <x v="1"/>
    <s v="No"/>
    <s v="No"/>
    <m/>
    <s v="Closed"/>
    <s v="July"/>
    <x v="6"/>
    <n v="2026"/>
    <s v="Yes"/>
    <n v="1"/>
    <x v="4"/>
    <n v="1"/>
  </r>
  <r>
    <s v="T004230"/>
    <x v="4033"/>
    <d v="2026-07-11T19:21:00"/>
    <x v="0"/>
    <s v="Phone"/>
    <x v="1"/>
    <s v="A018"/>
    <x v="2"/>
    <n v="24"/>
    <n v="6.1"/>
    <x v="1"/>
    <s v="No"/>
    <s v="No"/>
    <n v="4"/>
    <s v="Closed"/>
    <s v="July"/>
    <x v="6"/>
    <n v="2026"/>
    <s v="Yes"/>
    <n v="1"/>
    <x v="3"/>
    <n v="1"/>
  </r>
  <r>
    <s v="T004231"/>
    <x v="4034"/>
    <d v="2026-07-11T23:53:00"/>
    <x v="1"/>
    <s v="Email"/>
    <x v="1"/>
    <s v="A034"/>
    <x v="2"/>
    <n v="24"/>
    <n v="9.9"/>
    <x v="0"/>
    <s v="Yes"/>
    <s v="No"/>
    <n v="5"/>
    <s v="Closed"/>
    <s v="July"/>
    <x v="6"/>
    <n v="2026"/>
    <s v="Yes"/>
    <n v="1"/>
    <x v="0"/>
    <n v="0"/>
  </r>
  <r>
    <s v="T004232"/>
    <x v="4035"/>
    <d v="2026-07-12T03:07:00"/>
    <x v="3"/>
    <s v="Phone"/>
    <x v="1"/>
    <s v="A027"/>
    <x v="2"/>
    <n v="24"/>
    <n v="12.7"/>
    <x v="1"/>
    <s v="No"/>
    <s v="No"/>
    <n v="5"/>
    <s v="Closed"/>
    <s v="July"/>
    <x v="6"/>
    <n v="2026"/>
    <s v="Yes"/>
    <n v="1"/>
    <x v="4"/>
    <n v="1"/>
  </r>
  <r>
    <s v="T004233"/>
    <x v="4036"/>
    <d v="2026-07-12T05:42:00"/>
    <x v="6"/>
    <s v="Field Visit"/>
    <x v="2"/>
    <s v="A042"/>
    <x v="1"/>
    <n v="4"/>
    <n v="14.8"/>
    <x v="1"/>
    <s v="No"/>
    <s v="No"/>
    <n v="4"/>
    <s v="Closed"/>
    <s v="July"/>
    <x v="6"/>
    <n v="2026"/>
    <s v="No"/>
    <n v="0"/>
    <x v="3"/>
    <n v="1"/>
  </r>
  <r>
    <s v="T004234"/>
    <x v="4037"/>
    <d v="2026-07-11T20:59:00"/>
    <x v="0"/>
    <s v="Phone"/>
    <x v="0"/>
    <s v="A045"/>
    <x v="1"/>
    <n v="72"/>
    <n v="6"/>
    <x v="1"/>
    <s v="No"/>
    <s v="No"/>
    <m/>
    <s v="Closed"/>
    <s v="July"/>
    <x v="6"/>
    <n v="2026"/>
    <s v="Yes"/>
    <n v="1"/>
    <x v="3"/>
    <n v="1"/>
  </r>
  <r>
    <s v="T004235"/>
    <x v="4038"/>
    <d v="2026-07-12T02:57:00"/>
    <x v="1"/>
    <s v="Phone"/>
    <x v="1"/>
    <s v="A009"/>
    <x v="0"/>
    <n v="24"/>
    <n v="11"/>
    <x v="0"/>
    <s v="Yes"/>
    <s v="No"/>
    <m/>
    <s v="Closed"/>
    <s v="July"/>
    <x v="6"/>
    <n v="2026"/>
    <s v="Yes"/>
    <n v="1"/>
    <x v="3"/>
    <n v="0"/>
  </r>
  <r>
    <s v="T004236"/>
    <x v="4039"/>
    <d v="2026-07-12T03:37:00"/>
    <x v="1"/>
    <s v="Phone"/>
    <x v="1"/>
    <s v="A003"/>
    <x v="0"/>
    <n v="24"/>
    <n v="11.5"/>
    <x v="0"/>
    <s v="No"/>
    <s v="Yes"/>
    <n v="2"/>
    <s v="Closed"/>
    <s v="July"/>
    <x v="6"/>
    <n v="2026"/>
    <s v="Yes"/>
    <n v="1"/>
    <x v="3"/>
    <n v="0"/>
  </r>
  <r>
    <s v="T004237"/>
    <x v="4040"/>
    <d v="2026-07-12T09:11:00"/>
    <x v="5"/>
    <s v="Phone"/>
    <x v="1"/>
    <s v="A018"/>
    <x v="2"/>
    <n v="24"/>
    <n v="16"/>
    <x v="1"/>
    <s v="No"/>
    <s v="No"/>
    <m/>
    <s v="Closed"/>
    <s v="July"/>
    <x v="6"/>
    <n v="2026"/>
    <s v="Yes"/>
    <n v="1"/>
    <x v="1"/>
    <n v="1"/>
  </r>
  <r>
    <s v="T004238"/>
    <x v="4041"/>
    <d v="2026-07-12T23:38:00"/>
    <x v="6"/>
    <s v="Field Visit"/>
    <x v="2"/>
    <s v="A048"/>
    <x v="1"/>
    <n v="4"/>
    <n v="30.4"/>
    <x v="1"/>
    <s v="No"/>
    <s v="No"/>
    <n v="3"/>
    <s v="Closed"/>
    <s v="July"/>
    <x v="6"/>
    <n v="2026"/>
    <s v="No"/>
    <n v="0"/>
    <x v="3"/>
    <n v="1"/>
  </r>
  <r>
    <s v="T004239"/>
    <x v="4042"/>
    <d v="2026-07-12T02:27:00"/>
    <x v="6"/>
    <s v="Phone"/>
    <x v="2"/>
    <s v="A027"/>
    <x v="2"/>
    <n v="4"/>
    <n v="9.1"/>
    <x v="1"/>
    <s v="No"/>
    <s v="Yes"/>
    <n v="3"/>
    <s v="Closed"/>
    <s v="July"/>
    <x v="6"/>
    <n v="2026"/>
    <s v="No"/>
    <n v="0"/>
    <x v="1"/>
    <n v="1"/>
  </r>
  <r>
    <s v="T004240"/>
    <x v="4043"/>
    <d v="2026-07-12T01:12:00"/>
    <x v="6"/>
    <s v="Phone"/>
    <x v="0"/>
    <s v="A055"/>
    <x v="1"/>
    <n v="72"/>
    <n v="7.1"/>
    <x v="1"/>
    <s v="No"/>
    <s v="No"/>
    <m/>
    <s v="Closed"/>
    <s v="July"/>
    <x v="6"/>
    <n v="2026"/>
    <s v="Yes"/>
    <n v="1"/>
    <x v="3"/>
    <n v="1"/>
  </r>
  <r>
    <s v="T004241"/>
    <x v="4044"/>
    <d v="2026-07-12T06:17:00"/>
    <x v="1"/>
    <s v="Email"/>
    <x v="1"/>
    <s v="A004"/>
    <x v="0"/>
    <n v="24"/>
    <n v="10.5"/>
    <x v="0"/>
    <s v="No"/>
    <s v="No"/>
    <n v="5"/>
    <s v="Closed"/>
    <s v="July"/>
    <x v="6"/>
    <n v="2026"/>
    <s v="Yes"/>
    <n v="1"/>
    <x v="0"/>
    <n v="0"/>
  </r>
  <r>
    <s v="T004242"/>
    <x v="4045"/>
    <d v="2026-07-12T06:12:00"/>
    <x v="1"/>
    <s v="Email"/>
    <x v="0"/>
    <s v="A036"/>
    <x v="1"/>
    <n v="72"/>
    <n v="7.1"/>
    <x v="1"/>
    <s v="No"/>
    <s v="No"/>
    <n v="5"/>
    <s v="Closed"/>
    <s v="July"/>
    <x v="6"/>
    <n v="2026"/>
    <s v="Yes"/>
    <n v="1"/>
    <x v="3"/>
    <n v="1"/>
  </r>
  <r>
    <s v="T004243"/>
    <x v="4046"/>
    <d v="2026-07-12T06:42:00"/>
    <x v="1"/>
    <s v="Chat"/>
    <x v="0"/>
    <s v="A050"/>
    <x v="1"/>
    <n v="72"/>
    <n v="2.7"/>
    <x v="1"/>
    <s v="No"/>
    <s v="No"/>
    <n v="5"/>
    <s v="Closed"/>
    <s v="July"/>
    <x v="6"/>
    <n v="2026"/>
    <s v="Yes"/>
    <n v="1"/>
    <x v="1"/>
    <n v="1"/>
  </r>
  <r>
    <s v="T004244"/>
    <x v="4047"/>
    <d v="2026-07-14T23:33:00"/>
    <x v="3"/>
    <s v="Email"/>
    <x v="1"/>
    <s v="A002"/>
    <x v="0"/>
    <n v="24"/>
    <n v="67"/>
    <x v="1"/>
    <s v="No"/>
    <s v="No"/>
    <n v="5"/>
    <s v="Closed"/>
    <s v="July"/>
    <x v="6"/>
    <n v="2026"/>
    <s v="No"/>
    <n v="0"/>
    <x v="2"/>
    <n v="1"/>
  </r>
  <r>
    <s v="T004245"/>
    <x v="4048"/>
    <d v="2026-07-12T11:53:00"/>
    <x v="1"/>
    <s v="Chat"/>
    <x v="0"/>
    <s v="A031"/>
    <x v="2"/>
    <n v="72"/>
    <n v="5.2"/>
    <x v="0"/>
    <s v="Yes"/>
    <s v="No"/>
    <m/>
    <s v="Closed"/>
    <s v="July"/>
    <x v="6"/>
    <n v="2026"/>
    <s v="Yes"/>
    <n v="1"/>
    <x v="4"/>
    <n v="0"/>
  </r>
  <r>
    <s v="T004246"/>
    <x v="4049"/>
    <d v="2026-07-13T02:22:00"/>
    <x v="1"/>
    <s v="Email"/>
    <x v="1"/>
    <s v="A028"/>
    <x v="2"/>
    <n v="24"/>
    <n v="17.899999999999999"/>
    <x v="0"/>
    <s v="Yes"/>
    <s v="No"/>
    <n v="4"/>
    <s v="Closed"/>
    <s v="July"/>
    <x v="6"/>
    <n v="2026"/>
    <s v="Yes"/>
    <n v="1"/>
    <x v="3"/>
    <n v="0"/>
  </r>
  <r>
    <s v="T004247"/>
    <x v="4050"/>
    <d v="2026-07-12T14:06:00"/>
    <x v="6"/>
    <s v="Phone"/>
    <x v="1"/>
    <s v="A050"/>
    <x v="1"/>
    <n v="24"/>
    <n v="5.5"/>
    <x v="0"/>
    <s v="Yes"/>
    <s v="No"/>
    <n v="4"/>
    <s v="Closed"/>
    <s v="July"/>
    <x v="6"/>
    <n v="2026"/>
    <s v="Yes"/>
    <n v="1"/>
    <x v="3"/>
    <n v="0"/>
  </r>
  <r>
    <s v="T004248"/>
    <x v="4051"/>
    <d v="2026-07-13T20:21:00"/>
    <x v="1"/>
    <s v="Email"/>
    <x v="1"/>
    <s v="A004"/>
    <x v="0"/>
    <n v="24"/>
    <n v="35.5"/>
    <x v="1"/>
    <s v="No"/>
    <s v="No"/>
    <m/>
    <s v="Closed"/>
    <s v="July"/>
    <x v="6"/>
    <n v="2026"/>
    <s v="No"/>
    <n v="0"/>
    <x v="3"/>
    <n v="1"/>
  </r>
  <r>
    <s v="T004249"/>
    <x v="4052"/>
    <d v="2026-07-12T20:00:00"/>
    <x v="3"/>
    <s v="Phone"/>
    <x v="0"/>
    <s v="A049"/>
    <x v="1"/>
    <n v="72"/>
    <n v="10.6"/>
    <x v="0"/>
    <s v="No"/>
    <s v="No"/>
    <n v="4"/>
    <s v="Closed"/>
    <s v="July"/>
    <x v="6"/>
    <n v="2026"/>
    <s v="Yes"/>
    <n v="1"/>
    <x v="0"/>
    <n v="0"/>
  </r>
  <r>
    <s v="T004250"/>
    <x v="4052"/>
    <d v="2026-07-13T18:30:00"/>
    <x v="2"/>
    <s v="Email"/>
    <x v="1"/>
    <s v="A022"/>
    <x v="2"/>
    <n v="24"/>
    <n v="33.1"/>
    <x v="0"/>
    <s v="Yes"/>
    <s v="No"/>
    <n v="3"/>
    <s v="Closed"/>
    <s v="July"/>
    <x v="6"/>
    <n v="2026"/>
    <s v="No"/>
    <n v="0"/>
    <x v="4"/>
    <n v="0"/>
  </r>
  <r>
    <s v="T004251"/>
    <x v="4053"/>
    <d v="2026-07-12T19:03:00"/>
    <x v="2"/>
    <s v="Phone"/>
    <x v="1"/>
    <s v="A028"/>
    <x v="2"/>
    <n v="24"/>
    <n v="9.3000000000000007"/>
    <x v="1"/>
    <s v="No"/>
    <s v="No"/>
    <n v="5"/>
    <s v="Closed"/>
    <s v="July"/>
    <x v="6"/>
    <n v="2026"/>
    <s v="Yes"/>
    <n v="1"/>
    <x v="3"/>
    <n v="1"/>
  </r>
  <r>
    <s v="T004252"/>
    <x v="4054"/>
    <d v="2026-07-12T19:03:00"/>
    <x v="5"/>
    <s v="Field Visit"/>
    <x v="1"/>
    <s v="A031"/>
    <x v="2"/>
    <n v="24"/>
    <n v="8.6"/>
    <x v="1"/>
    <s v="No"/>
    <s v="No"/>
    <m/>
    <s v="Closed"/>
    <s v="July"/>
    <x v="6"/>
    <n v="2026"/>
    <s v="Yes"/>
    <n v="1"/>
    <x v="4"/>
    <n v="1"/>
  </r>
  <r>
    <s v="T004253"/>
    <x v="4055"/>
    <d v="2026-07-13T12:15:00"/>
    <x v="6"/>
    <s v="Email"/>
    <x v="1"/>
    <s v="A048"/>
    <x v="1"/>
    <n v="24"/>
    <n v="25.2"/>
    <x v="1"/>
    <s v="No"/>
    <s v="No"/>
    <n v="3"/>
    <s v="Closed"/>
    <s v="July"/>
    <x v="6"/>
    <n v="2026"/>
    <s v="No"/>
    <n v="0"/>
    <x v="4"/>
    <n v="1"/>
  </r>
  <r>
    <s v="T004254"/>
    <x v="4056"/>
    <d v="2026-07-12T19:59:00"/>
    <x v="1"/>
    <s v="Chat"/>
    <x v="1"/>
    <s v="A003"/>
    <x v="0"/>
    <n v="24"/>
    <n v="8.8000000000000007"/>
    <x v="1"/>
    <s v="No"/>
    <s v="No"/>
    <m/>
    <s v="Closed"/>
    <s v="July"/>
    <x v="6"/>
    <n v="2026"/>
    <s v="Yes"/>
    <n v="1"/>
    <x v="0"/>
    <n v="1"/>
  </r>
  <r>
    <s v="T004255"/>
    <x v="4057"/>
    <d v="2026-07-12T16:45:00"/>
    <x v="0"/>
    <s v="Chat"/>
    <x v="0"/>
    <s v="A029"/>
    <x v="2"/>
    <n v="72"/>
    <n v="4.7"/>
    <x v="1"/>
    <s v="No"/>
    <s v="No"/>
    <m/>
    <s v="Closed"/>
    <s v="July"/>
    <x v="6"/>
    <n v="2026"/>
    <s v="Yes"/>
    <n v="1"/>
    <x v="4"/>
    <n v="1"/>
  </r>
  <r>
    <s v="T004256"/>
    <x v="4058"/>
    <d v="2026-07-12T19:35:00"/>
    <x v="2"/>
    <s v="Chat"/>
    <x v="0"/>
    <s v="A039"/>
    <x v="1"/>
    <n v="72"/>
    <n v="7.5"/>
    <x v="1"/>
    <s v="No"/>
    <s v="No"/>
    <m/>
    <s v="Closed"/>
    <s v="July"/>
    <x v="6"/>
    <n v="2026"/>
    <s v="Yes"/>
    <n v="1"/>
    <x v="4"/>
    <n v="1"/>
  </r>
  <r>
    <s v="T004257"/>
    <x v="4059"/>
    <d v="2026-07-12T22:58:00"/>
    <x v="1"/>
    <s v="Phone"/>
    <x v="0"/>
    <s v="A047"/>
    <x v="1"/>
    <n v="72"/>
    <n v="10.8"/>
    <x v="1"/>
    <s v="No"/>
    <s v="No"/>
    <n v="5"/>
    <s v="Closed"/>
    <s v="July"/>
    <x v="6"/>
    <n v="2026"/>
    <s v="Yes"/>
    <n v="1"/>
    <x v="4"/>
    <n v="1"/>
  </r>
  <r>
    <s v="T004258"/>
    <x v="4060"/>
    <d v="2026-07-12T21:03:00"/>
    <x v="0"/>
    <s v="Chat"/>
    <x v="2"/>
    <s v="A035"/>
    <x v="2"/>
    <n v="4"/>
    <n v="8.6999999999999993"/>
    <x v="1"/>
    <s v="No"/>
    <s v="Yes"/>
    <n v="5"/>
    <s v="Closed"/>
    <s v="July"/>
    <x v="6"/>
    <n v="2026"/>
    <s v="No"/>
    <n v="0"/>
    <x v="4"/>
    <n v="1"/>
  </r>
  <r>
    <s v="T004259"/>
    <x v="4061"/>
    <d v="2026-07-12T18:26:00"/>
    <x v="6"/>
    <s v="Phone"/>
    <x v="2"/>
    <s v="A034"/>
    <x v="2"/>
    <n v="4"/>
    <n v="6"/>
    <x v="1"/>
    <s v="No"/>
    <s v="Yes"/>
    <n v="4"/>
    <s v="Closed"/>
    <s v="July"/>
    <x v="6"/>
    <n v="2026"/>
    <s v="No"/>
    <n v="0"/>
    <x v="3"/>
    <n v="1"/>
  </r>
  <r>
    <s v="T004260"/>
    <x v="4062"/>
    <d v="2026-07-13T10:49:00"/>
    <x v="6"/>
    <s v="Field Visit"/>
    <x v="2"/>
    <s v="A011"/>
    <x v="0"/>
    <n v="4"/>
    <n v="21.1"/>
    <x v="1"/>
    <s v="No"/>
    <s v="No"/>
    <m/>
    <s v="Closed"/>
    <s v="July"/>
    <x v="6"/>
    <n v="2026"/>
    <s v="No"/>
    <n v="0"/>
    <x v="4"/>
    <n v="1"/>
  </r>
  <r>
    <s v="T004261"/>
    <x v="4063"/>
    <d v="2026-07-22T02:38:00"/>
    <x v="4"/>
    <s v="Email"/>
    <x v="1"/>
    <s v="A050"/>
    <x v="1"/>
    <n v="24"/>
    <n v="227.9"/>
    <x v="1"/>
    <s v="No"/>
    <s v="No"/>
    <n v="5"/>
    <s v="Closed"/>
    <s v="July"/>
    <x v="6"/>
    <n v="2026"/>
    <s v="No"/>
    <n v="0"/>
    <x v="0"/>
    <n v="1"/>
  </r>
  <r>
    <s v="T004262"/>
    <x v="4064"/>
    <d v="2026-07-13T04:29:00"/>
    <x v="1"/>
    <s v="Phone"/>
    <x v="1"/>
    <s v="A045"/>
    <x v="1"/>
    <n v="24"/>
    <n v="13.1"/>
    <x v="0"/>
    <s v="Yes"/>
    <s v="No"/>
    <n v="4"/>
    <s v="Closed"/>
    <s v="July"/>
    <x v="6"/>
    <n v="2026"/>
    <s v="Yes"/>
    <n v="1"/>
    <x v="2"/>
    <n v="0"/>
  </r>
  <r>
    <s v="T004263"/>
    <x v="4065"/>
    <d v="2026-07-17T18:07:00"/>
    <x v="4"/>
    <s v="Field Visit"/>
    <x v="0"/>
    <s v="A003"/>
    <x v="0"/>
    <n v="72"/>
    <n v="122.7"/>
    <x v="1"/>
    <s v="No"/>
    <s v="No"/>
    <n v="4"/>
    <s v="Closed"/>
    <s v="July"/>
    <x v="6"/>
    <n v="2026"/>
    <s v="No"/>
    <n v="0"/>
    <x v="4"/>
    <n v="1"/>
  </r>
  <r>
    <s v="T004264"/>
    <x v="4066"/>
    <d v="2026-07-12T19:28:00"/>
    <x v="2"/>
    <s v="Phone"/>
    <x v="1"/>
    <s v="A010"/>
    <x v="0"/>
    <n v="24"/>
    <n v="3.9"/>
    <x v="0"/>
    <s v="No"/>
    <s v="No"/>
    <n v="4"/>
    <s v="Closed"/>
    <s v="July"/>
    <x v="6"/>
    <n v="2026"/>
    <s v="Yes"/>
    <n v="1"/>
    <x v="3"/>
    <n v="0"/>
  </r>
  <r>
    <s v="T004265"/>
    <x v="4067"/>
    <d v="2026-07-13T05:17:00"/>
    <x v="6"/>
    <s v="Field Visit"/>
    <x v="1"/>
    <s v="A042"/>
    <x v="1"/>
    <n v="24"/>
    <n v="10.5"/>
    <x v="1"/>
    <s v="No"/>
    <s v="No"/>
    <m/>
    <s v="Closed"/>
    <s v="July"/>
    <x v="6"/>
    <n v="2026"/>
    <s v="Yes"/>
    <n v="1"/>
    <x v="1"/>
    <n v="1"/>
  </r>
  <r>
    <s v="T004266"/>
    <x v="4068"/>
    <d v="2026-07-12T22:48:00"/>
    <x v="2"/>
    <s v="Chat"/>
    <x v="1"/>
    <s v="A043"/>
    <x v="1"/>
    <n v="24"/>
    <n v="3.5"/>
    <x v="1"/>
    <s v="No"/>
    <s v="No"/>
    <n v="4"/>
    <s v="Closed"/>
    <s v="July"/>
    <x v="6"/>
    <n v="2026"/>
    <s v="Yes"/>
    <n v="1"/>
    <x v="2"/>
    <n v="1"/>
  </r>
  <r>
    <s v="T004267"/>
    <x v="4069"/>
    <d v="2026-07-13T05:15:00"/>
    <x v="1"/>
    <s v="Phone"/>
    <x v="1"/>
    <s v="A022"/>
    <x v="2"/>
    <n v="24"/>
    <n v="9.3000000000000007"/>
    <x v="1"/>
    <s v="No"/>
    <s v="No"/>
    <n v="5"/>
    <s v="Closed"/>
    <s v="July"/>
    <x v="6"/>
    <n v="2026"/>
    <s v="Yes"/>
    <n v="1"/>
    <x v="1"/>
    <n v="1"/>
  </r>
  <r>
    <s v="T004268"/>
    <x v="4070"/>
    <d v="2026-07-14T09:57:00"/>
    <x v="3"/>
    <s v="Field Visit"/>
    <x v="1"/>
    <s v="A050"/>
    <x v="1"/>
    <n v="24"/>
    <n v="28.7"/>
    <x v="1"/>
    <s v="No"/>
    <s v="No"/>
    <m/>
    <s v="Closed"/>
    <s v="July"/>
    <x v="6"/>
    <n v="2026"/>
    <s v="No"/>
    <n v="0"/>
    <x v="3"/>
    <n v="1"/>
  </r>
  <r>
    <s v="T004269"/>
    <x v="4071"/>
    <d v="2026-07-14T03:13:00"/>
    <x v="0"/>
    <s v="Phone"/>
    <x v="0"/>
    <s v="A052"/>
    <x v="1"/>
    <n v="72"/>
    <n v="20.5"/>
    <x v="1"/>
    <s v="No"/>
    <s v="Yes"/>
    <m/>
    <s v="Closed"/>
    <s v="July"/>
    <x v="6"/>
    <n v="2026"/>
    <s v="Yes"/>
    <n v="1"/>
    <x v="1"/>
    <n v="1"/>
  </r>
  <r>
    <s v="T004270"/>
    <x v="4072"/>
    <d v="2026-07-13T14:37:00"/>
    <x v="1"/>
    <s v="Chat"/>
    <x v="1"/>
    <s v="A019"/>
    <x v="2"/>
    <n v="24"/>
    <n v="5"/>
    <x v="1"/>
    <s v="No"/>
    <s v="No"/>
    <n v="4"/>
    <s v="Closed"/>
    <s v="July"/>
    <x v="6"/>
    <n v="2026"/>
    <s v="Yes"/>
    <n v="1"/>
    <x v="1"/>
    <n v="1"/>
  </r>
  <r>
    <s v="T004271"/>
    <x v="4073"/>
    <d v="2026-07-13T15:44:00"/>
    <x v="6"/>
    <s v="Chat"/>
    <x v="2"/>
    <s v="A011"/>
    <x v="0"/>
    <n v="4"/>
    <n v="5.7"/>
    <x v="1"/>
    <s v="No"/>
    <s v="No"/>
    <m/>
    <s v="Closed"/>
    <s v="July"/>
    <x v="6"/>
    <n v="2026"/>
    <s v="No"/>
    <n v="0"/>
    <x v="1"/>
    <n v="1"/>
  </r>
  <r>
    <s v="T004272"/>
    <x v="4074"/>
    <d v="2026-07-15T23:08:00"/>
    <x v="3"/>
    <s v="Field Visit"/>
    <x v="1"/>
    <s v="A043"/>
    <x v="1"/>
    <n v="24"/>
    <n v="60.3"/>
    <x v="1"/>
    <s v="No"/>
    <s v="No"/>
    <m/>
    <s v="Closed"/>
    <s v="July"/>
    <x v="6"/>
    <n v="2026"/>
    <s v="No"/>
    <n v="0"/>
    <x v="1"/>
    <n v="1"/>
  </r>
  <r>
    <s v="T004273"/>
    <x v="4075"/>
    <d v="2026-07-14T12:47:00"/>
    <x v="5"/>
    <s v="Email"/>
    <x v="1"/>
    <s v="A052"/>
    <x v="1"/>
    <n v="24"/>
    <n v="25.4"/>
    <x v="1"/>
    <s v="No"/>
    <s v="No"/>
    <m/>
    <s v="Closed"/>
    <s v="July"/>
    <x v="6"/>
    <n v="2026"/>
    <s v="No"/>
    <n v="0"/>
    <x v="0"/>
    <n v="1"/>
  </r>
  <r>
    <s v="T004274"/>
    <x v="4076"/>
    <d v="2026-07-13T12:56:00"/>
    <x v="1"/>
    <s v="Chat"/>
    <x v="0"/>
    <s v="A056"/>
    <x v="1"/>
    <n v="72"/>
    <n v="1.4"/>
    <x v="1"/>
    <s v="No"/>
    <s v="No"/>
    <m/>
    <s v="Closed"/>
    <s v="July"/>
    <x v="6"/>
    <n v="2026"/>
    <s v="Yes"/>
    <n v="1"/>
    <x v="2"/>
    <n v="1"/>
  </r>
  <r>
    <s v="T004275"/>
    <x v="4077"/>
    <d v="2026-07-13T20:08:00"/>
    <x v="5"/>
    <s v="Phone"/>
    <x v="1"/>
    <s v="A052"/>
    <x v="1"/>
    <n v="24"/>
    <n v="7.1"/>
    <x v="1"/>
    <s v="No"/>
    <s v="No"/>
    <n v="3"/>
    <s v="Closed"/>
    <s v="July"/>
    <x v="6"/>
    <n v="2026"/>
    <s v="Yes"/>
    <n v="1"/>
    <x v="4"/>
    <n v="1"/>
  </r>
  <r>
    <s v="T004276"/>
    <x v="4078"/>
    <d v="2026-07-14T11:16:00"/>
    <x v="6"/>
    <s v="Field Visit"/>
    <x v="1"/>
    <s v="A046"/>
    <x v="1"/>
    <n v="24"/>
    <n v="22"/>
    <x v="0"/>
    <s v="Yes"/>
    <s v="No"/>
    <n v="4"/>
    <s v="Closed"/>
    <s v="July"/>
    <x v="6"/>
    <n v="2026"/>
    <s v="Yes"/>
    <n v="1"/>
    <x v="1"/>
    <n v="0"/>
  </r>
  <r>
    <s v="T004277"/>
    <x v="4079"/>
    <d v="2026-07-13T18:13:00"/>
    <x v="6"/>
    <s v="Chat"/>
    <x v="2"/>
    <s v="A033"/>
    <x v="2"/>
    <n v="4"/>
    <n v="4.8"/>
    <x v="1"/>
    <s v="No"/>
    <s v="No"/>
    <n v="5"/>
    <s v="Closed"/>
    <s v="July"/>
    <x v="6"/>
    <n v="2026"/>
    <s v="No"/>
    <n v="0"/>
    <x v="2"/>
    <n v="1"/>
  </r>
  <r>
    <s v="T004278"/>
    <x v="4080"/>
    <d v="2026-07-14T06:49:00"/>
    <x v="2"/>
    <s v="Field Visit"/>
    <x v="1"/>
    <s v="A052"/>
    <x v="1"/>
    <n v="24"/>
    <n v="16.3"/>
    <x v="1"/>
    <s v="No"/>
    <s v="No"/>
    <n v="5"/>
    <s v="Closed"/>
    <s v="July"/>
    <x v="6"/>
    <n v="2026"/>
    <s v="Yes"/>
    <n v="1"/>
    <x v="1"/>
    <n v="1"/>
  </r>
  <r>
    <s v="T004279"/>
    <x v="4081"/>
    <d v="2026-07-14T03:53:00"/>
    <x v="0"/>
    <s v="Phone"/>
    <x v="0"/>
    <s v="A005"/>
    <x v="0"/>
    <n v="72"/>
    <n v="13.1"/>
    <x v="1"/>
    <s v="No"/>
    <s v="No"/>
    <n v="5"/>
    <s v="Closed"/>
    <s v="July"/>
    <x v="6"/>
    <n v="2026"/>
    <s v="Yes"/>
    <n v="1"/>
    <x v="2"/>
    <n v="1"/>
  </r>
  <r>
    <s v="T004280"/>
    <x v="4082"/>
    <d v="2026-07-14T02:09:00"/>
    <x v="6"/>
    <s v="Chat"/>
    <x v="2"/>
    <s v="A022"/>
    <x v="2"/>
    <n v="4"/>
    <n v="10.8"/>
    <x v="0"/>
    <s v="Yes"/>
    <s v="Yes"/>
    <m/>
    <s v="Closed"/>
    <s v="July"/>
    <x v="6"/>
    <n v="2026"/>
    <s v="No"/>
    <n v="0"/>
    <x v="0"/>
    <n v="0"/>
  </r>
  <r>
    <s v="T004281"/>
    <x v="4083"/>
    <d v="2026-07-15T08:42:00"/>
    <x v="0"/>
    <s v="Email"/>
    <x v="2"/>
    <s v="A035"/>
    <x v="2"/>
    <n v="4"/>
    <n v="39.799999999999997"/>
    <x v="0"/>
    <s v="No"/>
    <s v="Yes"/>
    <n v="3"/>
    <s v="Closed"/>
    <s v="July"/>
    <x v="6"/>
    <n v="2026"/>
    <s v="No"/>
    <n v="0"/>
    <x v="4"/>
    <n v="0"/>
  </r>
  <r>
    <s v="T004282"/>
    <x v="4084"/>
    <d v="2026-07-13T21:31:00"/>
    <x v="1"/>
    <s v="Chat"/>
    <x v="0"/>
    <s v="A045"/>
    <x v="1"/>
    <n v="72"/>
    <n v="4"/>
    <x v="1"/>
    <s v="No"/>
    <s v="No"/>
    <m/>
    <s v="Closed"/>
    <s v="July"/>
    <x v="6"/>
    <n v="2026"/>
    <s v="Yes"/>
    <n v="1"/>
    <x v="3"/>
    <n v="1"/>
  </r>
  <r>
    <s v="T004283"/>
    <x v="4085"/>
    <d v="2026-07-13T23:42:00"/>
    <x v="0"/>
    <s v="Phone"/>
    <x v="1"/>
    <s v="A043"/>
    <x v="1"/>
    <n v="24"/>
    <n v="4.8"/>
    <x v="1"/>
    <s v="No"/>
    <s v="No"/>
    <n v="5"/>
    <s v="Closed"/>
    <s v="July"/>
    <x v="6"/>
    <n v="2026"/>
    <s v="Yes"/>
    <n v="1"/>
    <x v="1"/>
    <n v="1"/>
  </r>
  <r>
    <s v="T004284"/>
    <x v="4086"/>
    <d v="2026-07-14T11:50:00"/>
    <x v="0"/>
    <s v="Phone"/>
    <x v="1"/>
    <s v="A001"/>
    <x v="0"/>
    <n v="24"/>
    <n v="16.8"/>
    <x v="1"/>
    <s v="No"/>
    <s v="No"/>
    <n v="3"/>
    <s v="Closed"/>
    <s v="July"/>
    <x v="6"/>
    <n v="2026"/>
    <s v="Yes"/>
    <n v="1"/>
    <x v="4"/>
    <n v="1"/>
  </r>
  <r>
    <s v="T004285"/>
    <x v="4087"/>
    <d v="2026-07-14T04:25:00"/>
    <x v="1"/>
    <s v="Phone"/>
    <x v="1"/>
    <s v="A009"/>
    <x v="0"/>
    <n v="24"/>
    <n v="5.0999999999999996"/>
    <x v="0"/>
    <s v="No"/>
    <s v="No"/>
    <m/>
    <s v="Closed"/>
    <s v="July"/>
    <x v="6"/>
    <n v="2026"/>
    <s v="Yes"/>
    <n v="1"/>
    <x v="2"/>
    <n v="0"/>
  </r>
  <r>
    <s v="T004286"/>
    <x v="4088"/>
    <d v="2026-07-15T23:36:00"/>
    <x v="6"/>
    <s v="Field Visit"/>
    <x v="0"/>
    <s v="A006"/>
    <x v="0"/>
    <n v="72"/>
    <n v="43.8"/>
    <x v="0"/>
    <s v="Yes"/>
    <s v="No"/>
    <m/>
    <s v="Closed"/>
    <s v="July"/>
    <x v="6"/>
    <n v="2026"/>
    <s v="Yes"/>
    <n v="1"/>
    <x v="1"/>
    <n v="0"/>
  </r>
  <r>
    <s v="T004287"/>
    <x v="4089"/>
    <d v="2026-07-14T09:20:00"/>
    <x v="5"/>
    <s v="Chat"/>
    <x v="0"/>
    <s v="A040"/>
    <x v="1"/>
    <n v="72"/>
    <n v="5.3"/>
    <x v="1"/>
    <s v="No"/>
    <s v="No"/>
    <n v="4"/>
    <s v="Closed"/>
    <s v="July"/>
    <x v="6"/>
    <n v="2026"/>
    <s v="Yes"/>
    <n v="1"/>
    <x v="1"/>
    <n v="1"/>
  </r>
  <r>
    <s v="T004288"/>
    <x v="4090"/>
    <d v="2026-07-14T16:10:00"/>
    <x v="0"/>
    <s v="Email"/>
    <x v="2"/>
    <s v="A055"/>
    <x v="1"/>
    <n v="4"/>
    <n v="11.3"/>
    <x v="0"/>
    <s v="Yes"/>
    <s v="Yes"/>
    <m/>
    <s v="Closed"/>
    <s v="July"/>
    <x v="6"/>
    <n v="2026"/>
    <s v="No"/>
    <n v="0"/>
    <x v="3"/>
    <n v="0"/>
  </r>
  <r>
    <s v="T004289"/>
    <x v="4091"/>
    <d v="2026-07-19T10:45:00"/>
    <x v="4"/>
    <s v="Field Visit"/>
    <x v="0"/>
    <s v="A023"/>
    <x v="2"/>
    <n v="72"/>
    <n v="125.6"/>
    <x v="1"/>
    <s v="No"/>
    <s v="No"/>
    <m/>
    <s v="Closed"/>
    <s v="July"/>
    <x v="6"/>
    <n v="2026"/>
    <s v="No"/>
    <n v="0"/>
    <x v="4"/>
    <n v="1"/>
  </r>
  <r>
    <s v="T004290"/>
    <x v="4092"/>
    <d v="2026-07-15T05:29:00"/>
    <x v="4"/>
    <s v="Chat"/>
    <x v="2"/>
    <s v="A043"/>
    <x v="1"/>
    <n v="4"/>
    <n v="20.9"/>
    <x v="0"/>
    <s v="Yes"/>
    <s v="No"/>
    <m/>
    <s v="Closed"/>
    <s v="July"/>
    <x v="6"/>
    <n v="2026"/>
    <s v="No"/>
    <n v="0"/>
    <x v="1"/>
    <n v="0"/>
  </r>
  <r>
    <s v="T004291"/>
    <x v="4093"/>
    <d v="2026-07-21T10:12:00"/>
    <x v="4"/>
    <s v="Field Visit"/>
    <x v="0"/>
    <s v="A006"/>
    <x v="0"/>
    <n v="72"/>
    <n v="168"/>
    <x v="0"/>
    <s v="No"/>
    <s v="No"/>
    <n v="3"/>
    <s v="Closed"/>
    <s v="July"/>
    <x v="6"/>
    <n v="2026"/>
    <s v="No"/>
    <n v="0"/>
    <x v="0"/>
    <n v="0"/>
  </r>
  <r>
    <s v="T004292"/>
    <x v="4094"/>
    <d v="2026-07-14T14:54:00"/>
    <x v="5"/>
    <s v="Chat"/>
    <x v="0"/>
    <s v="A029"/>
    <x v="2"/>
    <n v="72"/>
    <n v="4.5999999999999996"/>
    <x v="0"/>
    <s v="Yes"/>
    <s v="No"/>
    <m/>
    <s v="Closed"/>
    <s v="July"/>
    <x v="6"/>
    <n v="2026"/>
    <s v="Yes"/>
    <n v="1"/>
    <x v="4"/>
    <n v="0"/>
  </r>
  <r>
    <s v="T004293"/>
    <x v="4095"/>
    <d v="2026-07-14T22:28:00"/>
    <x v="2"/>
    <s v="Phone"/>
    <x v="1"/>
    <s v="A030"/>
    <x v="2"/>
    <n v="24"/>
    <n v="11.8"/>
    <x v="1"/>
    <s v="No"/>
    <s v="Yes"/>
    <m/>
    <s v="Closed"/>
    <s v="July"/>
    <x v="6"/>
    <n v="2026"/>
    <s v="Yes"/>
    <n v="1"/>
    <x v="3"/>
    <n v="1"/>
  </r>
  <r>
    <s v="T004294"/>
    <x v="4096"/>
    <d v="2026-07-14T22:25:00"/>
    <x v="0"/>
    <s v="Phone"/>
    <x v="0"/>
    <s v="A047"/>
    <x v="1"/>
    <n v="72"/>
    <n v="11.5"/>
    <x v="1"/>
    <s v="No"/>
    <s v="No"/>
    <m/>
    <s v="Closed"/>
    <s v="July"/>
    <x v="6"/>
    <n v="2026"/>
    <s v="Yes"/>
    <n v="1"/>
    <x v="2"/>
    <n v="1"/>
  </r>
  <r>
    <s v="T004295"/>
    <x v="4097"/>
    <d v="2026-07-14T22:34:00"/>
    <x v="6"/>
    <s v="Field Visit"/>
    <x v="1"/>
    <s v="A040"/>
    <x v="1"/>
    <n v="24"/>
    <n v="11.5"/>
    <x v="0"/>
    <s v="No"/>
    <s v="No"/>
    <m/>
    <s v="Closed"/>
    <s v="July"/>
    <x v="6"/>
    <n v="2026"/>
    <s v="Yes"/>
    <n v="1"/>
    <x v="0"/>
    <n v="0"/>
  </r>
  <r>
    <s v="T004296"/>
    <x v="4098"/>
    <d v="2026-07-15T13:03:00"/>
    <x v="2"/>
    <s v="Field Visit"/>
    <x v="1"/>
    <s v="A019"/>
    <x v="2"/>
    <n v="24"/>
    <n v="25.8"/>
    <x v="1"/>
    <s v="No"/>
    <s v="No"/>
    <n v="4"/>
    <s v="Closed"/>
    <s v="July"/>
    <x v="6"/>
    <n v="2026"/>
    <s v="No"/>
    <n v="0"/>
    <x v="3"/>
    <n v="1"/>
  </r>
  <r>
    <s v="T004297"/>
    <x v="4099"/>
    <d v="2026-07-14T17:01:00"/>
    <x v="3"/>
    <s v="Chat"/>
    <x v="1"/>
    <s v="A006"/>
    <x v="0"/>
    <n v="24"/>
    <n v="4.5"/>
    <x v="0"/>
    <s v="Yes"/>
    <s v="No"/>
    <m/>
    <s v="Closed"/>
    <s v="July"/>
    <x v="6"/>
    <n v="2026"/>
    <s v="Yes"/>
    <n v="1"/>
    <x v="1"/>
    <n v="0"/>
  </r>
  <r>
    <s v="T004298"/>
    <x v="4100"/>
    <d v="2026-07-15T10:53:00"/>
    <x v="0"/>
    <s v="Field Visit"/>
    <x v="1"/>
    <s v="A026"/>
    <x v="2"/>
    <n v="24"/>
    <n v="21.7"/>
    <x v="1"/>
    <s v="No"/>
    <s v="No"/>
    <m/>
    <s v="Closed"/>
    <s v="July"/>
    <x v="6"/>
    <n v="2026"/>
    <s v="Yes"/>
    <n v="1"/>
    <x v="1"/>
    <n v="1"/>
  </r>
  <r>
    <s v="T004299"/>
    <x v="4101"/>
    <d v="2026-07-14T23:41:00"/>
    <x v="1"/>
    <s v="Phone"/>
    <x v="0"/>
    <s v="A033"/>
    <x v="2"/>
    <n v="72"/>
    <n v="9.6999999999999993"/>
    <x v="1"/>
    <s v="No"/>
    <s v="No"/>
    <n v="4"/>
    <s v="Closed"/>
    <s v="July"/>
    <x v="6"/>
    <n v="2026"/>
    <s v="Yes"/>
    <n v="1"/>
    <x v="3"/>
    <n v="1"/>
  </r>
  <r>
    <s v="T004300"/>
    <x v="4102"/>
    <d v="2026-07-14T23:00:00"/>
    <x v="1"/>
    <s v="Email"/>
    <x v="0"/>
    <s v="A028"/>
    <x v="2"/>
    <n v="72"/>
    <n v="8"/>
    <x v="1"/>
    <s v="No"/>
    <s v="No"/>
    <n v="5"/>
    <s v="Closed"/>
    <s v="July"/>
    <x v="6"/>
    <n v="2026"/>
    <s v="Yes"/>
    <n v="1"/>
    <x v="2"/>
    <n v="1"/>
  </r>
  <r>
    <s v="T004301"/>
    <x v="4103"/>
    <d v="2026-07-15T15:49:00"/>
    <x v="3"/>
    <s v="Email"/>
    <x v="0"/>
    <s v="A043"/>
    <x v="1"/>
    <n v="72"/>
    <n v="23.6"/>
    <x v="1"/>
    <s v="No"/>
    <s v="No"/>
    <m/>
    <s v="Closed"/>
    <s v="July"/>
    <x v="6"/>
    <n v="2026"/>
    <s v="Yes"/>
    <n v="1"/>
    <x v="1"/>
    <n v="1"/>
  </r>
  <r>
    <s v="T004302"/>
    <x v="4104"/>
    <d v="2026-07-15T02:48:00"/>
    <x v="3"/>
    <s v="Phone"/>
    <x v="1"/>
    <s v="A038"/>
    <x v="1"/>
    <n v="24"/>
    <n v="10.4"/>
    <x v="1"/>
    <s v="No"/>
    <s v="No"/>
    <n v="5"/>
    <s v="Closed"/>
    <s v="July"/>
    <x v="6"/>
    <n v="2026"/>
    <s v="Yes"/>
    <n v="1"/>
    <x v="4"/>
    <n v="1"/>
  </r>
  <r>
    <s v="T004303"/>
    <x v="4105"/>
    <d v="2026-07-15T00:06:00"/>
    <x v="2"/>
    <s v="Chat"/>
    <x v="0"/>
    <s v="A059"/>
    <x v="1"/>
    <n v="72"/>
    <n v="7.3"/>
    <x v="1"/>
    <s v="No"/>
    <s v="No"/>
    <n v="5"/>
    <s v="Closed"/>
    <s v="July"/>
    <x v="6"/>
    <n v="2026"/>
    <s v="Yes"/>
    <n v="1"/>
    <x v="3"/>
    <n v="1"/>
  </r>
  <r>
    <s v="T004304"/>
    <x v="4105"/>
    <d v="2026-07-14T20:54:00"/>
    <x v="6"/>
    <s v="Chat"/>
    <x v="2"/>
    <s v="A032"/>
    <x v="2"/>
    <n v="4"/>
    <n v="4.0999999999999996"/>
    <x v="0"/>
    <s v="Yes"/>
    <s v="No"/>
    <n v="2"/>
    <s v="Closed"/>
    <s v="July"/>
    <x v="6"/>
    <n v="2026"/>
    <s v="No"/>
    <n v="0"/>
    <x v="2"/>
    <n v="0"/>
  </r>
  <r>
    <s v="T004305"/>
    <x v="4106"/>
    <d v="2026-07-15T14:25:00"/>
    <x v="6"/>
    <s v="Phone"/>
    <x v="1"/>
    <s v="A014"/>
    <x v="0"/>
    <n v="24"/>
    <n v="20.7"/>
    <x v="0"/>
    <s v="Yes"/>
    <s v="No"/>
    <m/>
    <s v="Closed"/>
    <s v="July"/>
    <x v="6"/>
    <n v="2026"/>
    <s v="Yes"/>
    <n v="1"/>
    <x v="4"/>
    <n v="0"/>
  </r>
  <r>
    <s v="T004306"/>
    <x v="4107"/>
    <d v="2026-07-16T07:01:00"/>
    <x v="3"/>
    <s v="Email"/>
    <x v="0"/>
    <s v="A046"/>
    <x v="1"/>
    <n v="72"/>
    <n v="36"/>
    <x v="0"/>
    <s v="No"/>
    <s v="No"/>
    <n v="5"/>
    <s v="Closed"/>
    <s v="July"/>
    <x v="6"/>
    <n v="2026"/>
    <s v="Yes"/>
    <n v="1"/>
    <x v="1"/>
    <n v="0"/>
  </r>
  <r>
    <s v="T004307"/>
    <x v="4108"/>
    <d v="2026-07-14T22:23:00"/>
    <x v="0"/>
    <s v="Chat"/>
    <x v="0"/>
    <s v="A046"/>
    <x v="1"/>
    <n v="72"/>
    <n v="2.7"/>
    <x v="0"/>
    <s v="No"/>
    <s v="No"/>
    <n v="3"/>
    <s v="Closed"/>
    <s v="July"/>
    <x v="6"/>
    <n v="2026"/>
    <s v="Yes"/>
    <n v="1"/>
    <x v="4"/>
    <n v="0"/>
  </r>
  <r>
    <s v="T004308"/>
    <x v="4109"/>
    <d v="2026-07-15T15:21:00"/>
    <x v="2"/>
    <s v="Chat"/>
    <x v="0"/>
    <s v="A011"/>
    <x v="0"/>
    <n v="72"/>
    <n v="18.399999999999999"/>
    <x v="1"/>
    <s v="No"/>
    <s v="No"/>
    <n v="5"/>
    <s v="Closed"/>
    <s v="July"/>
    <x v="6"/>
    <n v="2026"/>
    <s v="Yes"/>
    <n v="1"/>
    <x v="3"/>
    <n v="1"/>
  </r>
  <r>
    <s v="T004309"/>
    <x v="4110"/>
    <d v="2026-07-15T11:35:00"/>
    <x v="4"/>
    <s v="Chat"/>
    <x v="1"/>
    <s v="A035"/>
    <x v="2"/>
    <n v="24"/>
    <n v="12"/>
    <x v="1"/>
    <s v="No"/>
    <s v="No"/>
    <n v="4"/>
    <s v="Closed"/>
    <s v="July"/>
    <x v="6"/>
    <n v="2026"/>
    <s v="Yes"/>
    <n v="1"/>
    <x v="3"/>
    <n v="1"/>
  </r>
  <r>
    <s v="T004310"/>
    <x v="4111"/>
    <d v="2026-07-17T09:14:00"/>
    <x v="4"/>
    <s v="Field Visit"/>
    <x v="0"/>
    <s v="A049"/>
    <x v="1"/>
    <n v="72"/>
    <n v="55.2"/>
    <x v="0"/>
    <s v="No"/>
    <s v="No"/>
    <n v="5"/>
    <s v="Closed"/>
    <s v="July"/>
    <x v="6"/>
    <n v="2026"/>
    <s v="Yes"/>
    <n v="1"/>
    <x v="4"/>
    <n v="0"/>
  </r>
  <r>
    <s v="T004311"/>
    <x v="4112"/>
    <d v="2026-07-16T06:51:00"/>
    <x v="3"/>
    <s v="Chat"/>
    <x v="1"/>
    <s v="A045"/>
    <x v="1"/>
    <n v="24"/>
    <n v="27.6"/>
    <x v="0"/>
    <s v="Yes"/>
    <s v="No"/>
    <m/>
    <s v="Closed"/>
    <s v="July"/>
    <x v="6"/>
    <n v="2026"/>
    <s v="No"/>
    <n v="0"/>
    <x v="4"/>
    <n v="0"/>
  </r>
  <r>
    <s v="T004312"/>
    <x v="4113"/>
    <d v="2026-07-15T22:33:00"/>
    <x v="3"/>
    <s v="Chat"/>
    <x v="1"/>
    <s v="A011"/>
    <x v="0"/>
    <n v="24"/>
    <n v="18"/>
    <x v="0"/>
    <s v="Yes"/>
    <s v="No"/>
    <m/>
    <s v="Closed"/>
    <s v="July"/>
    <x v="6"/>
    <n v="2026"/>
    <s v="Yes"/>
    <n v="1"/>
    <x v="3"/>
    <n v="0"/>
  </r>
  <r>
    <s v="T004313"/>
    <x v="4114"/>
    <d v="2026-07-15T12:22:00"/>
    <x v="0"/>
    <s v="Email"/>
    <x v="0"/>
    <s v="A057"/>
    <x v="1"/>
    <n v="72"/>
    <n v="6.7"/>
    <x v="1"/>
    <s v="No"/>
    <s v="No"/>
    <m/>
    <s v="Closed"/>
    <s v="July"/>
    <x v="6"/>
    <n v="2026"/>
    <s v="Yes"/>
    <n v="1"/>
    <x v="0"/>
    <n v="1"/>
  </r>
  <r>
    <s v="T004314"/>
    <x v="4115"/>
    <d v="2026-07-15T14:05:00"/>
    <x v="6"/>
    <s v="Phone"/>
    <x v="2"/>
    <s v="A059"/>
    <x v="1"/>
    <n v="4"/>
    <n v="7.2"/>
    <x v="1"/>
    <s v="No"/>
    <s v="Yes"/>
    <m/>
    <s v="Closed"/>
    <s v="July"/>
    <x v="6"/>
    <n v="2026"/>
    <s v="No"/>
    <n v="0"/>
    <x v="4"/>
    <n v="1"/>
  </r>
  <r>
    <s v="T004315"/>
    <x v="4116"/>
    <d v="2026-07-16T02:30:00"/>
    <x v="6"/>
    <s v="Email"/>
    <x v="2"/>
    <s v="A011"/>
    <x v="0"/>
    <n v="4"/>
    <n v="19.3"/>
    <x v="1"/>
    <s v="No"/>
    <s v="No"/>
    <m/>
    <s v="Closed"/>
    <s v="July"/>
    <x v="6"/>
    <n v="2026"/>
    <s v="No"/>
    <n v="0"/>
    <x v="4"/>
    <n v="1"/>
  </r>
  <r>
    <s v="T004316"/>
    <x v="4117"/>
    <d v="2026-07-17T00:49:00"/>
    <x v="3"/>
    <s v="Field Visit"/>
    <x v="0"/>
    <s v="A028"/>
    <x v="2"/>
    <n v="72"/>
    <n v="40.799999999999997"/>
    <x v="1"/>
    <s v="No"/>
    <s v="No"/>
    <n v="5"/>
    <s v="Closed"/>
    <s v="July"/>
    <x v="6"/>
    <n v="2026"/>
    <s v="Yes"/>
    <n v="1"/>
    <x v="4"/>
    <n v="1"/>
  </r>
  <r>
    <s v="T004317"/>
    <x v="4118"/>
    <d v="2026-07-16T14:47:00"/>
    <x v="2"/>
    <s v="Phone"/>
    <x v="1"/>
    <s v="A013"/>
    <x v="0"/>
    <n v="24"/>
    <n v="27.3"/>
    <x v="1"/>
    <s v="No"/>
    <s v="No"/>
    <n v="4"/>
    <s v="Closed"/>
    <s v="July"/>
    <x v="6"/>
    <n v="2026"/>
    <s v="No"/>
    <n v="0"/>
    <x v="4"/>
    <n v="1"/>
  </r>
  <r>
    <s v="T004318"/>
    <x v="4119"/>
    <d v="2026-07-15T15:47:00"/>
    <x v="1"/>
    <s v="Phone"/>
    <x v="0"/>
    <s v="A058"/>
    <x v="1"/>
    <n v="72"/>
    <n v="4"/>
    <x v="1"/>
    <s v="No"/>
    <s v="No"/>
    <n v="5"/>
    <s v="Closed"/>
    <s v="July"/>
    <x v="6"/>
    <n v="2026"/>
    <s v="Yes"/>
    <n v="1"/>
    <x v="3"/>
    <n v="1"/>
  </r>
  <r>
    <s v="T004319"/>
    <x v="4120"/>
    <d v="2026-07-16T10:56:00"/>
    <x v="6"/>
    <s v="Field Visit"/>
    <x v="1"/>
    <s v="A058"/>
    <x v="1"/>
    <n v="24"/>
    <n v="22.7"/>
    <x v="1"/>
    <s v="No"/>
    <s v="No"/>
    <m/>
    <s v="Closed"/>
    <s v="July"/>
    <x v="6"/>
    <n v="2026"/>
    <s v="Yes"/>
    <n v="1"/>
    <x v="3"/>
    <n v="1"/>
  </r>
  <r>
    <s v="T004320"/>
    <x v="4121"/>
    <d v="2026-07-16T02:41:00"/>
    <x v="2"/>
    <s v="Phone"/>
    <x v="0"/>
    <s v="A034"/>
    <x v="2"/>
    <n v="72"/>
    <n v="13.8"/>
    <x v="1"/>
    <s v="No"/>
    <s v="No"/>
    <m/>
    <s v="Closed"/>
    <s v="July"/>
    <x v="6"/>
    <n v="2026"/>
    <s v="Yes"/>
    <n v="1"/>
    <x v="4"/>
    <n v="1"/>
  </r>
  <r>
    <s v="T004321"/>
    <x v="4122"/>
    <d v="2026-07-17T07:34:00"/>
    <x v="6"/>
    <s v="Email"/>
    <x v="1"/>
    <s v="A037"/>
    <x v="1"/>
    <n v="24"/>
    <n v="41.9"/>
    <x v="1"/>
    <s v="No"/>
    <s v="No"/>
    <n v="4"/>
    <s v="Closed"/>
    <s v="July"/>
    <x v="6"/>
    <n v="2026"/>
    <s v="No"/>
    <n v="0"/>
    <x v="2"/>
    <n v="1"/>
  </r>
  <r>
    <s v="T004322"/>
    <x v="4123"/>
    <d v="2026-07-16T13:55:00"/>
    <x v="6"/>
    <s v="Field Visit"/>
    <x v="1"/>
    <s v="A002"/>
    <x v="0"/>
    <n v="24"/>
    <n v="23.9"/>
    <x v="1"/>
    <s v="No"/>
    <s v="No"/>
    <n v="5"/>
    <s v="Closed"/>
    <s v="July"/>
    <x v="6"/>
    <n v="2026"/>
    <s v="Yes"/>
    <n v="1"/>
    <x v="1"/>
    <n v="1"/>
  </r>
  <r>
    <s v="T004323"/>
    <x v="4124"/>
    <d v="2026-07-16T07:02:00"/>
    <x v="6"/>
    <s v="Field Visit"/>
    <x v="2"/>
    <s v="A044"/>
    <x v="1"/>
    <n v="4"/>
    <n v="16.8"/>
    <x v="1"/>
    <s v="No"/>
    <s v="No"/>
    <n v="5"/>
    <s v="Closed"/>
    <s v="July"/>
    <x v="6"/>
    <n v="2026"/>
    <s v="No"/>
    <n v="0"/>
    <x v="3"/>
    <n v="1"/>
  </r>
  <r>
    <s v="T004324"/>
    <x v="4125"/>
    <d v="2026-07-15T21:13:00"/>
    <x v="1"/>
    <s v="Phone"/>
    <x v="0"/>
    <s v="A059"/>
    <x v="1"/>
    <n v="72"/>
    <n v="6.5"/>
    <x v="1"/>
    <s v="No"/>
    <s v="No"/>
    <n v="5"/>
    <s v="Closed"/>
    <s v="July"/>
    <x v="6"/>
    <n v="2026"/>
    <s v="Yes"/>
    <n v="1"/>
    <x v="4"/>
    <n v="1"/>
  </r>
  <r>
    <s v="T004325"/>
    <x v="4126"/>
    <d v="2026-07-15T19:18:00"/>
    <x v="5"/>
    <s v="Phone"/>
    <x v="2"/>
    <s v="A009"/>
    <x v="0"/>
    <n v="4"/>
    <n v="4.0999999999999996"/>
    <x v="0"/>
    <s v="Yes"/>
    <s v="Yes"/>
    <n v="4"/>
    <s v="Closed"/>
    <s v="July"/>
    <x v="6"/>
    <n v="2026"/>
    <s v="No"/>
    <n v="0"/>
    <x v="4"/>
    <n v="0"/>
  </r>
  <r>
    <s v="T004326"/>
    <x v="4127"/>
    <d v="2026-07-20T05:37:00"/>
    <x v="4"/>
    <s v="Field Visit"/>
    <x v="2"/>
    <s v="A009"/>
    <x v="0"/>
    <n v="4"/>
    <n v="109.7"/>
    <x v="0"/>
    <s v="No"/>
    <s v="No"/>
    <n v="5"/>
    <s v="Closed"/>
    <s v="July"/>
    <x v="6"/>
    <n v="2026"/>
    <s v="No"/>
    <n v="0"/>
    <x v="3"/>
    <n v="0"/>
  </r>
  <r>
    <s v="T004327"/>
    <x v="4128"/>
    <d v="2026-07-16T09:33:00"/>
    <x v="3"/>
    <s v="Phone"/>
    <x v="0"/>
    <s v="A027"/>
    <x v="2"/>
    <n v="72"/>
    <n v="17.600000000000001"/>
    <x v="1"/>
    <s v="No"/>
    <s v="No"/>
    <n v="5"/>
    <s v="Closed"/>
    <s v="July"/>
    <x v="6"/>
    <n v="2026"/>
    <s v="Yes"/>
    <n v="1"/>
    <x v="2"/>
    <n v="1"/>
  </r>
  <r>
    <s v="T004328"/>
    <x v="4129"/>
    <d v="2026-07-16T22:42:00"/>
    <x v="0"/>
    <s v="Field Visit"/>
    <x v="1"/>
    <s v="A042"/>
    <x v="1"/>
    <n v="24"/>
    <n v="28"/>
    <x v="1"/>
    <s v="No"/>
    <s v="No"/>
    <n v="3"/>
    <s v="Closed"/>
    <s v="July"/>
    <x v="6"/>
    <n v="2026"/>
    <s v="No"/>
    <n v="0"/>
    <x v="0"/>
    <n v="1"/>
  </r>
  <r>
    <s v="T004329"/>
    <x v="4130"/>
    <d v="2026-07-16T11:33:00"/>
    <x v="1"/>
    <s v="Email"/>
    <x v="1"/>
    <s v="A022"/>
    <x v="2"/>
    <n v="24"/>
    <n v="14.4"/>
    <x v="0"/>
    <s v="No"/>
    <s v="No"/>
    <n v="4"/>
    <s v="Closed"/>
    <s v="July"/>
    <x v="6"/>
    <n v="2026"/>
    <s v="Yes"/>
    <n v="1"/>
    <x v="4"/>
    <n v="0"/>
  </r>
  <r>
    <s v="T004330"/>
    <x v="4131"/>
    <d v="2026-07-19T19:58:00"/>
    <x v="4"/>
    <s v="Field Visit"/>
    <x v="1"/>
    <s v="A017"/>
    <x v="2"/>
    <n v="24"/>
    <n v="89.3"/>
    <x v="0"/>
    <s v="Yes"/>
    <s v="No"/>
    <n v="1"/>
    <s v="Closed"/>
    <s v="July"/>
    <x v="6"/>
    <n v="2026"/>
    <s v="No"/>
    <n v="0"/>
    <x v="4"/>
    <n v="0"/>
  </r>
  <r>
    <s v="T004331"/>
    <x v="4132"/>
    <d v="2026-07-17T21:15:00"/>
    <x v="6"/>
    <s v="Field Visit"/>
    <x v="2"/>
    <s v="A048"/>
    <x v="1"/>
    <n v="4"/>
    <n v="39.9"/>
    <x v="1"/>
    <s v="No"/>
    <s v="No"/>
    <n v="3"/>
    <s v="Closed"/>
    <s v="July"/>
    <x v="6"/>
    <n v="2026"/>
    <s v="No"/>
    <n v="0"/>
    <x v="2"/>
    <n v="1"/>
  </r>
  <r>
    <s v="T004332"/>
    <x v="4133"/>
    <d v="2026-07-16T10:16:00"/>
    <x v="0"/>
    <s v="Chat"/>
    <x v="0"/>
    <s v="A030"/>
    <x v="2"/>
    <n v="72"/>
    <n v="1.8"/>
    <x v="1"/>
    <s v="No"/>
    <s v="No"/>
    <n v="5"/>
    <s v="Closed"/>
    <s v="July"/>
    <x v="6"/>
    <n v="2026"/>
    <s v="Yes"/>
    <n v="1"/>
    <x v="1"/>
    <n v="1"/>
  </r>
  <r>
    <s v="T004333"/>
    <x v="4134"/>
    <d v="2026-07-16T13:31:00"/>
    <x v="1"/>
    <s v="Phone"/>
    <x v="1"/>
    <s v="A051"/>
    <x v="1"/>
    <n v="24"/>
    <n v="4.7"/>
    <x v="1"/>
    <s v="No"/>
    <s v="No"/>
    <m/>
    <s v="Closed"/>
    <s v="July"/>
    <x v="6"/>
    <n v="2026"/>
    <s v="Yes"/>
    <n v="1"/>
    <x v="2"/>
    <n v="1"/>
  </r>
  <r>
    <s v="T004334"/>
    <x v="4135"/>
    <d v="2026-07-16T13:36:00"/>
    <x v="0"/>
    <s v="Chat"/>
    <x v="0"/>
    <s v="A060"/>
    <x v="1"/>
    <n v="72"/>
    <n v="3.7"/>
    <x v="0"/>
    <s v="Yes"/>
    <s v="No"/>
    <n v="3"/>
    <s v="Closed"/>
    <s v="July"/>
    <x v="6"/>
    <n v="2026"/>
    <s v="Yes"/>
    <n v="1"/>
    <x v="1"/>
    <n v="0"/>
  </r>
  <r>
    <s v="T004335"/>
    <x v="4135"/>
    <d v="2026-07-17T23:18:00"/>
    <x v="4"/>
    <s v="Field Visit"/>
    <x v="1"/>
    <s v="A017"/>
    <x v="2"/>
    <n v="24"/>
    <n v="37.4"/>
    <x v="1"/>
    <s v="No"/>
    <s v="No"/>
    <m/>
    <s v="Closed"/>
    <s v="July"/>
    <x v="6"/>
    <n v="2026"/>
    <s v="No"/>
    <n v="0"/>
    <x v="3"/>
    <n v="1"/>
  </r>
  <r>
    <s v="T004336"/>
    <x v="4136"/>
    <d v="2026-07-17T11:25:00"/>
    <x v="2"/>
    <s v="Field Visit"/>
    <x v="1"/>
    <s v="A044"/>
    <x v="1"/>
    <n v="24"/>
    <n v="23.9"/>
    <x v="0"/>
    <s v="No"/>
    <s v="No"/>
    <n v="3"/>
    <s v="Closed"/>
    <s v="July"/>
    <x v="6"/>
    <n v="2026"/>
    <s v="Yes"/>
    <n v="1"/>
    <x v="0"/>
    <n v="0"/>
  </r>
  <r>
    <s v="T004337"/>
    <x v="4137"/>
    <d v="2026-07-16T22:18:00"/>
    <x v="1"/>
    <s v="Chat"/>
    <x v="1"/>
    <s v="A043"/>
    <x v="1"/>
    <n v="24"/>
    <n v="10.6"/>
    <x v="1"/>
    <s v="No"/>
    <s v="No"/>
    <n v="4"/>
    <s v="Closed"/>
    <s v="July"/>
    <x v="6"/>
    <n v="2026"/>
    <s v="Yes"/>
    <n v="1"/>
    <x v="3"/>
    <n v="1"/>
  </r>
  <r>
    <s v="T004338"/>
    <x v="4138"/>
    <d v="2026-07-16T18:55:00"/>
    <x v="5"/>
    <s v="Phone"/>
    <x v="0"/>
    <s v="A050"/>
    <x v="1"/>
    <n v="72"/>
    <n v="5.5"/>
    <x v="1"/>
    <s v="No"/>
    <s v="Yes"/>
    <m/>
    <s v="Closed"/>
    <s v="July"/>
    <x v="6"/>
    <n v="2026"/>
    <s v="Yes"/>
    <n v="1"/>
    <x v="2"/>
    <n v="1"/>
  </r>
  <r>
    <s v="T004339"/>
    <x v="4139"/>
    <d v="2026-07-16T19:41:00"/>
    <x v="1"/>
    <s v="Chat"/>
    <x v="0"/>
    <s v="A027"/>
    <x v="2"/>
    <n v="72"/>
    <n v="6"/>
    <x v="1"/>
    <s v="No"/>
    <s v="Yes"/>
    <m/>
    <s v="Closed"/>
    <s v="July"/>
    <x v="6"/>
    <n v="2026"/>
    <s v="Yes"/>
    <n v="1"/>
    <x v="3"/>
    <n v="1"/>
  </r>
  <r>
    <s v="T004340"/>
    <x v="4140"/>
    <d v="2026-07-17T01:12:00"/>
    <x v="5"/>
    <s v="Field Visit"/>
    <x v="0"/>
    <s v="A035"/>
    <x v="2"/>
    <n v="72"/>
    <n v="11.2"/>
    <x v="1"/>
    <s v="No"/>
    <s v="No"/>
    <m/>
    <s v="Closed"/>
    <s v="July"/>
    <x v="6"/>
    <n v="2026"/>
    <s v="Yes"/>
    <n v="1"/>
    <x v="2"/>
    <n v="1"/>
  </r>
  <r>
    <s v="T004341"/>
    <x v="4141"/>
    <d v="2026-07-16T18:22:00"/>
    <x v="2"/>
    <s v="Chat"/>
    <x v="2"/>
    <s v="A003"/>
    <x v="0"/>
    <n v="4"/>
    <n v="4.3"/>
    <x v="1"/>
    <s v="No"/>
    <s v="No"/>
    <n v="4"/>
    <s v="Closed"/>
    <s v="July"/>
    <x v="6"/>
    <n v="2026"/>
    <s v="No"/>
    <n v="0"/>
    <x v="4"/>
    <n v="1"/>
  </r>
  <r>
    <s v="T004342"/>
    <x v="4142"/>
    <d v="2026-07-16T20:28:00"/>
    <x v="0"/>
    <s v="Phone"/>
    <x v="2"/>
    <s v="A058"/>
    <x v="1"/>
    <n v="4"/>
    <n v="6.3"/>
    <x v="1"/>
    <s v="No"/>
    <s v="No"/>
    <n v="3"/>
    <s v="Closed"/>
    <s v="July"/>
    <x v="6"/>
    <n v="2026"/>
    <s v="No"/>
    <n v="0"/>
    <x v="1"/>
    <n v="1"/>
  </r>
  <r>
    <s v="T004343"/>
    <x v="4143"/>
    <d v="2026-07-17T03:34:00"/>
    <x v="2"/>
    <s v="Phone"/>
    <x v="1"/>
    <s v="A053"/>
    <x v="1"/>
    <n v="24"/>
    <n v="13.2"/>
    <x v="1"/>
    <s v="No"/>
    <s v="No"/>
    <m/>
    <s v="Closed"/>
    <s v="July"/>
    <x v="6"/>
    <n v="2026"/>
    <s v="Yes"/>
    <n v="1"/>
    <x v="2"/>
    <n v="1"/>
  </r>
  <r>
    <s v="T004344"/>
    <x v="4144"/>
    <d v="2026-07-19T01:43:00"/>
    <x v="4"/>
    <s v="Field Visit"/>
    <x v="2"/>
    <s v="A058"/>
    <x v="1"/>
    <n v="4"/>
    <n v="59.3"/>
    <x v="0"/>
    <s v="Yes"/>
    <s v="Yes"/>
    <n v="3"/>
    <s v="Closed"/>
    <s v="July"/>
    <x v="6"/>
    <n v="2026"/>
    <s v="No"/>
    <n v="0"/>
    <x v="0"/>
    <n v="0"/>
  </r>
  <r>
    <s v="T004345"/>
    <x v="4145"/>
    <d v="2026-07-17T07:40:00"/>
    <x v="0"/>
    <s v="Email"/>
    <x v="1"/>
    <s v="A057"/>
    <x v="1"/>
    <n v="24"/>
    <n v="17.2"/>
    <x v="0"/>
    <s v="Yes"/>
    <s v="No"/>
    <m/>
    <s v="Closed"/>
    <s v="July"/>
    <x v="6"/>
    <n v="2026"/>
    <s v="Yes"/>
    <n v="1"/>
    <x v="0"/>
    <n v="0"/>
  </r>
  <r>
    <s v="T004346"/>
    <x v="4146"/>
    <d v="2026-07-17T14:53:00"/>
    <x v="0"/>
    <s v="Email"/>
    <x v="2"/>
    <s v="A053"/>
    <x v="1"/>
    <n v="4"/>
    <n v="23.9"/>
    <x v="1"/>
    <s v="No"/>
    <s v="No"/>
    <n v="3"/>
    <s v="Closed"/>
    <s v="July"/>
    <x v="6"/>
    <n v="2026"/>
    <s v="No"/>
    <n v="0"/>
    <x v="1"/>
    <n v="1"/>
  </r>
  <r>
    <s v="T004347"/>
    <x v="4147"/>
    <d v="2026-07-16T18:40:00"/>
    <x v="0"/>
    <s v="Chat"/>
    <x v="1"/>
    <s v="A001"/>
    <x v="0"/>
    <n v="24"/>
    <n v="3.6"/>
    <x v="0"/>
    <s v="No"/>
    <s v="No"/>
    <m/>
    <s v="Closed"/>
    <s v="July"/>
    <x v="6"/>
    <n v="2026"/>
    <s v="Yes"/>
    <n v="1"/>
    <x v="3"/>
    <n v="0"/>
  </r>
  <r>
    <s v="T004348"/>
    <x v="4148"/>
    <d v="2026-07-17T05:46:00"/>
    <x v="3"/>
    <s v="Phone"/>
    <x v="2"/>
    <s v="A016"/>
    <x v="2"/>
    <n v="4"/>
    <n v="14.3"/>
    <x v="1"/>
    <s v="No"/>
    <s v="No"/>
    <m/>
    <s v="Closed"/>
    <s v="July"/>
    <x v="6"/>
    <n v="2026"/>
    <s v="No"/>
    <n v="0"/>
    <x v="4"/>
    <n v="1"/>
  </r>
  <r>
    <s v="T004349"/>
    <x v="4149"/>
    <d v="2026-07-18T05:23:00"/>
    <x v="3"/>
    <s v="Phone"/>
    <x v="1"/>
    <s v="A040"/>
    <x v="1"/>
    <n v="24"/>
    <n v="37.1"/>
    <x v="1"/>
    <s v="No"/>
    <s v="No"/>
    <n v="5"/>
    <s v="Closed"/>
    <s v="July"/>
    <x v="6"/>
    <n v="2026"/>
    <s v="No"/>
    <n v="0"/>
    <x v="0"/>
    <n v="1"/>
  </r>
  <r>
    <s v="T004350"/>
    <x v="4150"/>
    <d v="2026-07-17T02:07:00"/>
    <x v="3"/>
    <s v="Chat"/>
    <x v="1"/>
    <s v="A042"/>
    <x v="1"/>
    <n v="24"/>
    <n v="9.6"/>
    <x v="1"/>
    <s v="No"/>
    <s v="No"/>
    <n v="5"/>
    <s v="Closed"/>
    <s v="July"/>
    <x v="6"/>
    <n v="2026"/>
    <s v="Yes"/>
    <n v="1"/>
    <x v="3"/>
    <n v="1"/>
  </r>
  <r>
    <s v="T004351"/>
    <x v="4151"/>
    <d v="2026-07-24T03:53:00"/>
    <x v="3"/>
    <s v="Field Visit"/>
    <x v="1"/>
    <s v="A038"/>
    <x v="1"/>
    <n v="24"/>
    <n v="179.1"/>
    <x v="1"/>
    <s v="No"/>
    <s v="No"/>
    <n v="4"/>
    <s v="Closed"/>
    <s v="July"/>
    <x v="6"/>
    <n v="2026"/>
    <s v="No"/>
    <n v="0"/>
    <x v="2"/>
    <n v="1"/>
  </r>
  <r>
    <s v="T004352"/>
    <x v="4152"/>
    <d v="2026-07-16T23:43:00"/>
    <x v="2"/>
    <s v="Phone"/>
    <x v="1"/>
    <s v="A024"/>
    <x v="2"/>
    <n v="24"/>
    <n v="6.5"/>
    <x v="1"/>
    <s v="No"/>
    <s v="No"/>
    <n v="4"/>
    <s v="Closed"/>
    <s v="July"/>
    <x v="6"/>
    <n v="2026"/>
    <s v="Yes"/>
    <n v="1"/>
    <x v="2"/>
    <n v="1"/>
  </r>
  <r>
    <s v="T004353"/>
    <x v="4153"/>
    <d v="2026-07-17T02:41:00"/>
    <x v="0"/>
    <s v="Chat"/>
    <x v="1"/>
    <s v="A049"/>
    <x v="1"/>
    <n v="24"/>
    <n v="9.1"/>
    <x v="1"/>
    <s v="No"/>
    <s v="No"/>
    <m/>
    <s v="Closed"/>
    <s v="July"/>
    <x v="6"/>
    <n v="2026"/>
    <s v="Yes"/>
    <n v="1"/>
    <x v="4"/>
    <n v="1"/>
  </r>
  <r>
    <s v="T004354"/>
    <x v="4154"/>
    <d v="2026-07-22T21:03:00"/>
    <x v="3"/>
    <s v="Field Visit"/>
    <x v="1"/>
    <s v="A028"/>
    <x v="2"/>
    <n v="24"/>
    <n v="147.30000000000001"/>
    <x v="1"/>
    <s v="No"/>
    <s v="No"/>
    <n v="3"/>
    <s v="Closed"/>
    <s v="July"/>
    <x v="6"/>
    <n v="2026"/>
    <s v="No"/>
    <n v="0"/>
    <x v="1"/>
    <n v="1"/>
  </r>
  <r>
    <s v="T004355"/>
    <x v="4155"/>
    <d v="2026-07-16T21:47:00"/>
    <x v="6"/>
    <s v="Chat"/>
    <x v="1"/>
    <s v="A036"/>
    <x v="1"/>
    <n v="24"/>
    <n v="3.8"/>
    <x v="0"/>
    <s v="Yes"/>
    <s v="No"/>
    <n v="4"/>
    <s v="Closed"/>
    <s v="July"/>
    <x v="6"/>
    <n v="2026"/>
    <s v="Yes"/>
    <n v="1"/>
    <x v="4"/>
    <n v="0"/>
  </r>
  <r>
    <s v="T004356"/>
    <x v="4156"/>
    <d v="2026-07-17T01:32:00"/>
    <x v="0"/>
    <s v="Phone"/>
    <x v="0"/>
    <s v="A036"/>
    <x v="1"/>
    <n v="72"/>
    <n v="6.5"/>
    <x v="1"/>
    <s v="No"/>
    <s v="No"/>
    <m/>
    <s v="Closed"/>
    <s v="July"/>
    <x v="6"/>
    <n v="2026"/>
    <s v="Yes"/>
    <n v="1"/>
    <x v="1"/>
    <n v="1"/>
  </r>
  <r>
    <s v="T004357"/>
    <x v="4157"/>
    <d v="2026-07-17T05:21:00"/>
    <x v="3"/>
    <s v="Chat"/>
    <x v="0"/>
    <s v="A011"/>
    <x v="0"/>
    <n v="72"/>
    <n v="9"/>
    <x v="1"/>
    <s v="No"/>
    <s v="No"/>
    <n v="5"/>
    <s v="Closed"/>
    <s v="July"/>
    <x v="6"/>
    <n v="2026"/>
    <s v="Yes"/>
    <n v="1"/>
    <x v="2"/>
    <n v="1"/>
  </r>
  <r>
    <s v="T004358"/>
    <x v="4158"/>
    <d v="2026-07-18T01:53:00"/>
    <x v="6"/>
    <s v="Field Visit"/>
    <x v="2"/>
    <s v="A047"/>
    <x v="1"/>
    <n v="4"/>
    <n v="20.6"/>
    <x v="0"/>
    <s v="No"/>
    <s v="No"/>
    <n v="3"/>
    <s v="Closed"/>
    <s v="July"/>
    <x v="6"/>
    <n v="2026"/>
    <s v="No"/>
    <n v="0"/>
    <x v="4"/>
    <n v="0"/>
  </r>
  <r>
    <s v="T004359"/>
    <x v="4159"/>
    <d v="2026-07-17T23:36:00"/>
    <x v="6"/>
    <s v="Phone"/>
    <x v="1"/>
    <s v="A017"/>
    <x v="2"/>
    <n v="24"/>
    <n v="17.600000000000001"/>
    <x v="1"/>
    <s v="No"/>
    <s v="No"/>
    <n v="5"/>
    <s v="Closed"/>
    <s v="July"/>
    <x v="6"/>
    <n v="2026"/>
    <s v="Yes"/>
    <n v="1"/>
    <x v="2"/>
    <n v="1"/>
  </r>
  <r>
    <s v="T004360"/>
    <x v="4160"/>
    <d v="2026-07-18T03:46:00"/>
    <x v="3"/>
    <s v="Phone"/>
    <x v="1"/>
    <s v="A035"/>
    <x v="2"/>
    <n v="24"/>
    <n v="21.7"/>
    <x v="1"/>
    <s v="No"/>
    <s v="No"/>
    <n v="4"/>
    <s v="Closed"/>
    <s v="July"/>
    <x v="6"/>
    <n v="2026"/>
    <s v="Yes"/>
    <n v="1"/>
    <x v="2"/>
    <n v="1"/>
  </r>
  <r>
    <s v="T004361"/>
    <x v="4161"/>
    <d v="2026-07-18T17:34:00"/>
    <x v="3"/>
    <s v="Field Visit"/>
    <x v="1"/>
    <s v="A032"/>
    <x v="2"/>
    <n v="24"/>
    <n v="34.9"/>
    <x v="1"/>
    <s v="No"/>
    <s v="No"/>
    <n v="4"/>
    <s v="Closed"/>
    <s v="July"/>
    <x v="6"/>
    <n v="2026"/>
    <s v="No"/>
    <n v="0"/>
    <x v="1"/>
    <n v="1"/>
  </r>
  <r>
    <s v="T004362"/>
    <x v="4162"/>
    <d v="2026-07-18T19:27:00"/>
    <x v="0"/>
    <s v="Email"/>
    <x v="1"/>
    <s v="A007"/>
    <x v="0"/>
    <n v="24"/>
    <n v="34.700000000000003"/>
    <x v="0"/>
    <s v="No"/>
    <s v="Yes"/>
    <n v="4"/>
    <s v="Closed"/>
    <s v="July"/>
    <x v="6"/>
    <n v="2026"/>
    <s v="No"/>
    <n v="0"/>
    <x v="1"/>
    <n v="0"/>
  </r>
  <r>
    <s v="T004363"/>
    <x v="4163"/>
    <d v="2026-07-17T12:26:00"/>
    <x v="3"/>
    <s v="Chat"/>
    <x v="0"/>
    <s v="A052"/>
    <x v="1"/>
    <n v="72"/>
    <n v="3.2"/>
    <x v="0"/>
    <s v="Yes"/>
    <s v="No"/>
    <n v="3"/>
    <s v="Closed"/>
    <s v="July"/>
    <x v="6"/>
    <n v="2026"/>
    <s v="Yes"/>
    <n v="1"/>
    <x v="1"/>
    <n v="0"/>
  </r>
  <r>
    <s v="T004364"/>
    <x v="4164"/>
    <d v="2026-07-18T00:42:00"/>
    <x v="3"/>
    <s v="Field Visit"/>
    <x v="2"/>
    <s v="A018"/>
    <x v="2"/>
    <n v="4"/>
    <n v="14.7"/>
    <x v="1"/>
    <s v="No"/>
    <s v="No"/>
    <m/>
    <s v="Closed"/>
    <s v="July"/>
    <x v="6"/>
    <n v="2026"/>
    <s v="No"/>
    <n v="0"/>
    <x v="3"/>
    <n v="1"/>
  </r>
  <r>
    <s v="T004365"/>
    <x v="4165"/>
    <d v="2026-07-17T19:50:00"/>
    <x v="6"/>
    <s v="Phone"/>
    <x v="2"/>
    <s v="A034"/>
    <x v="2"/>
    <n v="4"/>
    <n v="8.8000000000000007"/>
    <x v="0"/>
    <s v="Yes"/>
    <s v="Yes"/>
    <m/>
    <s v="Closed"/>
    <s v="July"/>
    <x v="6"/>
    <n v="2026"/>
    <s v="No"/>
    <n v="0"/>
    <x v="4"/>
    <n v="0"/>
  </r>
  <r>
    <s v="T004366"/>
    <x v="4166"/>
    <d v="2026-07-18T05:56:00"/>
    <x v="1"/>
    <s v="Email"/>
    <x v="0"/>
    <s v="A019"/>
    <x v="2"/>
    <n v="72"/>
    <n v="17.3"/>
    <x v="1"/>
    <s v="No"/>
    <s v="No"/>
    <n v="5"/>
    <s v="Closed"/>
    <s v="July"/>
    <x v="6"/>
    <n v="2026"/>
    <s v="Yes"/>
    <n v="1"/>
    <x v="3"/>
    <n v="1"/>
  </r>
  <r>
    <s v="T004367"/>
    <x v="4167"/>
    <d v="2026-07-17T21:43:00"/>
    <x v="0"/>
    <s v="Chat"/>
    <x v="2"/>
    <s v="A028"/>
    <x v="2"/>
    <n v="4"/>
    <n v="8.6999999999999993"/>
    <x v="1"/>
    <s v="No"/>
    <s v="No"/>
    <n v="1"/>
    <s v="Closed"/>
    <s v="July"/>
    <x v="6"/>
    <n v="2026"/>
    <s v="No"/>
    <n v="0"/>
    <x v="1"/>
    <n v="1"/>
  </r>
  <r>
    <s v="T004368"/>
    <x v="4168"/>
    <d v="2026-07-18T00:09:00"/>
    <x v="0"/>
    <s v="Phone"/>
    <x v="1"/>
    <s v="A032"/>
    <x v="2"/>
    <n v="24"/>
    <n v="10.4"/>
    <x v="1"/>
    <s v="No"/>
    <s v="No"/>
    <n v="3"/>
    <s v="Closed"/>
    <s v="July"/>
    <x v="6"/>
    <n v="2026"/>
    <s v="Yes"/>
    <n v="1"/>
    <x v="4"/>
    <n v="1"/>
  </r>
  <r>
    <s v="T004369"/>
    <x v="4169"/>
    <d v="2026-07-18T04:16:00"/>
    <x v="1"/>
    <s v="Phone"/>
    <x v="1"/>
    <s v="A027"/>
    <x v="2"/>
    <n v="24"/>
    <n v="13.8"/>
    <x v="1"/>
    <s v="No"/>
    <s v="No"/>
    <m/>
    <s v="Closed"/>
    <s v="July"/>
    <x v="6"/>
    <n v="2026"/>
    <s v="Yes"/>
    <n v="1"/>
    <x v="4"/>
    <n v="1"/>
  </r>
  <r>
    <s v="T004370"/>
    <x v="4170"/>
    <d v="2026-07-18T06:50:00"/>
    <x v="6"/>
    <s v="Field Visit"/>
    <x v="1"/>
    <s v="A015"/>
    <x v="0"/>
    <n v="24"/>
    <n v="16"/>
    <x v="0"/>
    <s v="Yes"/>
    <s v="No"/>
    <m/>
    <s v="Closed"/>
    <s v="July"/>
    <x v="6"/>
    <n v="2026"/>
    <s v="Yes"/>
    <n v="1"/>
    <x v="4"/>
    <n v="0"/>
  </r>
  <r>
    <s v="T004371"/>
    <x v="4171"/>
    <d v="2026-07-17T23:00:00"/>
    <x v="3"/>
    <s v="Chat"/>
    <x v="2"/>
    <s v="A008"/>
    <x v="0"/>
    <n v="4"/>
    <n v="4.7"/>
    <x v="0"/>
    <s v="Yes"/>
    <s v="No"/>
    <n v="2"/>
    <s v="Closed"/>
    <s v="July"/>
    <x v="6"/>
    <n v="2026"/>
    <s v="No"/>
    <n v="0"/>
    <x v="4"/>
    <n v="0"/>
  </r>
  <r>
    <s v="T004372"/>
    <x v="4172"/>
    <d v="2026-07-18T05:19:00"/>
    <x v="6"/>
    <s v="Phone"/>
    <x v="2"/>
    <s v="A043"/>
    <x v="1"/>
    <n v="4"/>
    <n v="8.4"/>
    <x v="1"/>
    <s v="No"/>
    <s v="No"/>
    <n v="4"/>
    <s v="Closed"/>
    <s v="July"/>
    <x v="6"/>
    <n v="2026"/>
    <s v="No"/>
    <n v="0"/>
    <x v="4"/>
    <n v="1"/>
  </r>
  <r>
    <s v="T004373"/>
    <x v="4173"/>
    <d v="2026-07-18T16:13:00"/>
    <x v="5"/>
    <s v="Email"/>
    <x v="1"/>
    <s v="A039"/>
    <x v="1"/>
    <n v="24"/>
    <n v="10.1"/>
    <x v="0"/>
    <s v="Yes"/>
    <s v="No"/>
    <n v="4"/>
    <s v="Closed"/>
    <s v="July"/>
    <x v="6"/>
    <n v="2026"/>
    <s v="Yes"/>
    <n v="1"/>
    <x v="4"/>
    <n v="0"/>
  </r>
  <r>
    <s v="T004374"/>
    <x v="4174"/>
    <d v="2026-07-21T17:59:00"/>
    <x v="4"/>
    <s v="Field Visit"/>
    <x v="1"/>
    <s v="A017"/>
    <x v="2"/>
    <n v="24"/>
    <n v="81.2"/>
    <x v="0"/>
    <s v="No"/>
    <s v="No"/>
    <m/>
    <s v="Closed"/>
    <s v="July"/>
    <x v="6"/>
    <n v="2026"/>
    <s v="No"/>
    <n v="0"/>
    <x v="3"/>
    <n v="0"/>
  </r>
  <r>
    <s v="T004375"/>
    <x v="4175"/>
    <d v="2026-07-18T19:49:00"/>
    <x v="3"/>
    <s v="Chat"/>
    <x v="1"/>
    <s v="A028"/>
    <x v="2"/>
    <n v="24"/>
    <n v="10.6"/>
    <x v="1"/>
    <s v="No"/>
    <s v="No"/>
    <m/>
    <s v="Closed"/>
    <s v="July"/>
    <x v="6"/>
    <n v="2026"/>
    <s v="Yes"/>
    <n v="1"/>
    <x v="0"/>
    <n v="1"/>
  </r>
  <r>
    <s v="T004376"/>
    <x v="4176"/>
    <d v="2026-07-18T18:24:00"/>
    <x v="3"/>
    <s v="Phone"/>
    <x v="1"/>
    <s v="A058"/>
    <x v="1"/>
    <n v="24"/>
    <n v="8"/>
    <x v="1"/>
    <s v="No"/>
    <s v="No"/>
    <n v="5"/>
    <s v="Closed"/>
    <s v="July"/>
    <x v="6"/>
    <n v="2026"/>
    <s v="Yes"/>
    <n v="1"/>
    <x v="3"/>
    <n v="1"/>
  </r>
  <r>
    <s v="T004377"/>
    <x v="4177"/>
    <d v="2026-07-18T21:11:00"/>
    <x v="6"/>
    <s v="Phone"/>
    <x v="2"/>
    <s v="A021"/>
    <x v="2"/>
    <n v="4"/>
    <n v="10.7"/>
    <x v="1"/>
    <s v="No"/>
    <s v="Yes"/>
    <n v="4"/>
    <s v="Closed"/>
    <s v="July"/>
    <x v="6"/>
    <n v="2026"/>
    <s v="No"/>
    <n v="0"/>
    <x v="3"/>
    <n v="1"/>
  </r>
  <r>
    <s v="T004378"/>
    <x v="4178"/>
    <d v="2026-07-29T21:26:00"/>
    <x v="4"/>
    <s v="Field Visit"/>
    <x v="0"/>
    <s v="A051"/>
    <x v="1"/>
    <n v="72"/>
    <n v="274.60000000000002"/>
    <x v="0"/>
    <s v="Yes"/>
    <s v="No"/>
    <n v="5"/>
    <s v="Closed"/>
    <s v="July"/>
    <x v="6"/>
    <n v="2026"/>
    <s v="No"/>
    <n v="0"/>
    <x v="3"/>
    <n v="0"/>
  </r>
  <r>
    <s v="T004379"/>
    <x v="4179"/>
    <d v="2026-07-18T19:12:00"/>
    <x v="1"/>
    <s v="Phone"/>
    <x v="0"/>
    <s v="A054"/>
    <x v="1"/>
    <n v="72"/>
    <n v="7.6"/>
    <x v="1"/>
    <s v="No"/>
    <s v="No"/>
    <n v="5"/>
    <s v="Closed"/>
    <s v="July"/>
    <x v="6"/>
    <n v="2026"/>
    <s v="Yes"/>
    <n v="1"/>
    <x v="2"/>
    <n v="1"/>
  </r>
  <r>
    <s v="T004380"/>
    <x v="4180"/>
    <d v="2026-07-18T18:22:00"/>
    <x v="0"/>
    <s v="Chat"/>
    <x v="0"/>
    <s v="A054"/>
    <x v="1"/>
    <n v="72"/>
    <n v="6.2"/>
    <x v="1"/>
    <s v="No"/>
    <s v="No"/>
    <n v="5"/>
    <s v="Closed"/>
    <s v="July"/>
    <x v="6"/>
    <n v="2026"/>
    <s v="Yes"/>
    <n v="1"/>
    <x v="3"/>
    <n v="1"/>
  </r>
  <r>
    <s v="T004381"/>
    <x v="4181"/>
    <d v="2026-07-19T19:59:00"/>
    <x v="5"/>
    <s v="Email"/>
    <x v="2"/>
    <s v="A041"/>
    <x v="1"/>
    <n v="4"/>
    <n v="31.7"/>
    <x v="1"/>
    <s v="No"/>
    <s v="No"/>
    <n v="4"/>
    <s v="Closed"/>
    <s v="July"/>
    <x v="6"/>
    <n v="2026"/>
    <s v="No"/>
    <n v="0"/>
    <x v="3"/>
    <n v="1"/>
  </r>
  <r>
    <s v="T004382"/>
    <x v="4182"/>
    <d v="2026-07-18T23:33:00"/>
    <x v="6"/>
    <s v="Phone"/>
    <x v="1"/>
    <s v="A019"/>
    <x v="2"/>
    <n v="24"/>
    <n v="10.199999999999999"/>
    <x v="0"/>
    <s v="Yes"/>
    <s v="No"/>
    <m/>
    <s v="Closed"/>
    <s v="July"/>
    <x v="6"/>
    <n v="2026"/>
    <s v="Yes"/>
    <n v="1"/>
    <x v="2"/>
    <n v="0"/>
  </r>
  <r>
    <s v="T004383"/>
    <x v="4183"/>
    <d v="2026-07-19T02:59:00"/>
    <x v="5"/>
    <s v="Email"/>
    <x v="1"/>
    <s v="A016"/>
    <x v="2"/>
    <n v="24"/>
    <n v="13.5"/>
    <x v="1"/>
    <s v="No"/>
    <s v="Yes"/>
    <n v="5"/>
    <s v="Closed"/>
    <s v="July"/>
    <x v="6"/>
    <n v="2026"/>
    <s v="Yes"/>
    <n v="1"/>
    <x v="3"/>
    <n v="1"/>
  </r>
  <r>
    <s v="T004384"/>
    <x v="4184"/>
    <d v="2026-07-19T07:45:00"/>
    <x v="3"/>
    <s v="Chat"/>
    <x v="1"/>
    <s v="A047"/>
    <x v="1"/>
    <n v="24"/>
    <n v="17.600000000000001"/>
    <x v="1"/>
    <s v="No"/>
    <s v="No"/>
    <n v="4"/>
    <s v="Closed"/>
    <s v="July"/>
    <x v="6"/>
    <n v="2026"/>
    <s v="Yes"/>
    <n v="1"/>
    <x v="4"/>
    <n v="1"/>
  </r>
  <r>
    <s v="T004385"/>
    <x v="4185"/>
    <d v="2026-07-18T19:56:00"/>
    <x v="6"/>
    <s v="Phone"/>
    <x v="1"/>
    <s v="A040"/>
    <x v="1"/>
    <n v="24"/>
    <n v="5.7"/>
    <x v="1"/>
    <s v="No"/>
    <s v="Yes"/>
    <m/>
    <s v="Closed"/>
    <s v="July"/>
    <x v="6"/>
    <n v="2026"/>
    <s v="Yes"/>
    <n v="1"/>
    <x v="4"/>
    <n v="1"/>
  </r>
  <r>
    <s v="T004386"/>
    <x v="4186"/>
    <d v="2026-07-19T00:59:00"/>
    <x v="5"/>
    <s v="Field Visit"/>
    <x v="2"/>
    <s v="A001"/>
    <x v="0"/>
    <n v="4"/>
    <n v="10.6"/>
    <x v="1"/>
    <s v="No"/>
    <s v="No"/>
    <n v="4"/>
    <s v="Closed"/>
    <s v="July"/>
    <x v="6"/>
    <n v="2026"/>
    <s v="No"/>
    <n v="0"/>
    <x v="2"/>
    <n v="1"/>
  </r>
  <r>
    <s v="T004387"/>
    <x v="4186"/>
    <d v="2026-07-19T12:05:00"/>
    <x v="0"/>
    <s v="Phone"/>
    <x v="0"/>
    <s v="A012"/>
    <x v="0"/>
    <n v="72"/>
    <n v="21.7"/>
    <x v="1"/>
    <s v="No"/>
    <s v="No"/>
    <m/>
    <s v="Closed"/>
    <s v="July"/>
    <x v="6"/>
    <n v="2026"/>
    <s v="Yes"/>
    <n v="1"/>
    <x v="4"/>
    <n v="1"/>
  </r>
  <r>
    <s v="T004388"/>
    <x v="4187"/>
    <d v="2026-07-19T01:07:00"/>
    <x v="1"/>
    <s v="Phone"/>
    <x v="0"/>
    <s v="A002"/>
    <x v="0"/>
    <n v="72"/>
    <n v="10.3"/>
    <x v="0"/>
    <s v="Yes"/>
    <s v="No"/>
    <n v="4"/>
    <s v="Closed"/>
    <s v="July"/>
    <x v="6"/>
    <n v="2026"/>
    <s v="Yes"/>
    <n v="1"/>
    <x v="4"/>
    <n v="0"/>
  </r>
  <r>
    <s v="T004389"/>
    <x v="4188"/>
    <d v="2026-07-19T04:53:00"/>
    <x v="6"/>
    <s v="Field Visit"/>
    <x v="1"/>
    <s v="A051"/>
    <x v="1"/>
    <n v="24"/>
    <n v="13.4"/>
    <x v="0"/>
    <s v="Yes"/>
    <s v="No"/>
    <n v="4"/>
    <s v="Closed"/>
    <s v="July"/>
    <x v="6"/>
    <n v="2026"/>
    <s v="Yes"/>
    <n v="1"/>
    <x v="3"/>
    <n v="0"/>
  </r>
  <r>
    <s v="T004390"/>
    <x v="4189"/>
    <d v="2026-07-19T04:09:00"/>
    <x v="1"/>
    <s v="Phone"/>
    <x v="1"/>
    <s v="A048"/>
    <x v="1"/>
    <n v="24"/>
    <n v="12.1"/>
    <x v="1"/>
    <s v="No"/>
    <s v="No"/>
    <n v="5"/>
    <s v="Closed"/>
    <s v="July"/>
    <x v="6"/>
    <n v="2026"/>
    <s v="Yes"/>
    <n v="1"/>
    <x v="4"/>
    <n v="1"/>
  </r>
  <r>
    <s v="T004391"/>
    <x v="4190"/>
    <d v="2026-07-19T11:21:00"/>
    <x v="5"/>
    <s v="Field Visit"/>
    <x v="2"/>
    <s v="A011"/>
    <x v="0"/>
    <n v="4"/>
    <n v="18.899999999999999"/>
    <x v="1"/>
    <s v="No"/>
    <s v="No"/>
    <n v="5"/>
    <s v="Closed"/>
    <s v="July"/>
    <x v="6"/>
    <n v="2026"/>
    <s v="No"/>
    <n v="0"/>
    <x v="2"/>
    <n v="1"/>
  </r>
  <r>
    <s v="T004392"/>
    <x v="4191"/>
    <d v="2026-07-18T22:01:00"/>
    <x v="5"/>
    <s v="Phone"/>
    <x v="0"/>
    <s v="A027"/>
    <x v="2"/>
    <n v="72"/>
    <n v="5.3"/>
    <x v="1"/>
    <s v="No"/>
    <s v="No"/>
    <n v="3"/>
    <s v="Closed"/>
    <s v="July"/>
    <x v="6"/>
    <n v="2026"/>
    <s v="Yes"/>
    <n v="1"/>
    <x v="2"/>
    <n v="1"/>
  </r>
  <r>
    <s v="T004393"/>
    <x v="4192"/>
    <d v="2026-07-19T10:25:00"/>
    <x v="0"/>
    <s v="Chat"/>
    <x v="2"/>
    <s v="A010"/>
    <x v="0"/>
    <n v="4"/>
    <n v="15.6"/>
    <x v="0"/>
    <s v="No"/>
    <s v="No"/>
    <m/>
    <s v="Closed"/>
    <s v="July"/>
    <x v="6"/>
    <n v="2026"/>
    <s v="No"/>
    <n v="0"/>
    <x v="2"/>
    <n v="0"/>
  </r>
  <r>
    <s v="T004394"/>
    <x v="4193"/>
    <d v="2026-07-19T02:43:00"/>
    <x v="5"/>
    <s v="Phone"/>
    <x v="1"/>
    <s v="A038"/>
    <x v="1"/>
    <n v="24"/>
    <n v="6.1"/>
    <x v="1"/>
    <s v="No"/>
    <s v="No"/>
    <m/>
    <s v="Closed"/>
    <s v="July"/>
    <x v="6"/>
    <n v="2026"/>
    <s v="Yes"/>
    <n v="1"/>
    <x v="2"/>
    <n v="1"/>
  </r>
  <r>
    <s v="T004395"/>
    <x v="4194"/>
    <d v="2026-07-19T09:05:00"/>
    <x v="1"/>
    <s v="Chat"/>
    <x v="1"/>
    <s v="A051"/>
    <x v="1"/>
    <n v="24"/>
    <n v="2.7"/>
    <x v="1"/>
    <s v="No"/>
    <s v="No"/>
    <n v="4"/>
    <s v="Closed"/>
    <s v="July"/>
    <x v="6"/>
    <n v="2026"/>
    <s v="Yes"/>
    <n v="1"/>
    <x v="4"/>
    <n v="1"/>
  </r>
  <r>
    <s v="T004396"/>
    <x v="4195"/>
    <d v="2026-07-21T07:16:00"/>
    <x v="6"/>
    <s v="Email"/>
    <x v="1"/>
    <s v="A012"/>
    <x v="0"/>
    <n v="24"/>
    <n v="46.6"/>
    <x v="1"/>
    <s v="No"/>
    <s v="No"/>
    <n v="2"/>
    <s v="Closed"/>
    <s v="July"/>
    <x v="6"/>
    <n v="2026"/>
    <s v="No"/>
    <n v="0"/>
    <x v="3"/>
    <n v="1"/>
  </r>
  <r>
    <s v="T004397"/>
    <x v="4196"/>
    <d v="2026-07-21T09:17:00"/>
    <x v="0"/>
    <s v="Field Visit"/>
    <x v="0"/>
    <s v="A035"/>
    <x v="2"/>
    <n v="72"/>
    <n v="48.3"/>
    <x v="1"/>
    <s v="No"/>
    <s v="No"/>
    <n v="5"/>
    <s v="Closed"/>
    <s v="July"/>
    <x v="6"/>
    <n v="2026"/>
    <s v="Yes"/>
    <n v="1"/>
    <x v="4"/>
    <n v="1"/>
  </r>
  <r>
    <s v="T004398"/>
    <x v="4197"/>
    <d v="2026-07-19T19:09:00"/>
    <x v="3"/>
    <s v="Chat"/>
    <x v="1"/>
    <s v="A018"/>
    <x v="2"/>
    <n v="24"/>
    <n v="10"/>
    <x v="1"/>
    <s v="No"/>
    <s v="No"/>
    <n v="5"/>
    <s v="Closed"/>
    <s v="July"/>
    <x v="6"/>
    <n v="2026"/>
    <s v="Yes"/>
    <n v="1"/>
    <x v="0"/>
    <n v="1"/>
  </r>
  <r>
    <s v="T004399"/>
    <x v="4198"/>
    <d v="2026-07-19T12:26:00"/>
    <x v="1"/>
    <s v="Chat"/>
    <x v="2"/>
    <s v="A033"/>
    <x v="2"/>
    <n v="4"/>
    <n v="2.9"/>
    <x v="1"/>
    <s v="No"/>
    <s v="No"/>
    <n v="5"/>
    <s v="Closed"/>
    <s v="July"/>
    <x v="6"/>
    <n v="2026"/>
    <s v="Yes"/>
    <n v="1"/>
    <x v="4"/>
    <n v="1"/>
  </r>
  <r>
    <s v="T004400"/>
    <x v="4199"/>
    <d v="2026-07-20T17:24:00"/>
    <x v="3"/>
    <s v="Phone"/>
    <x v="1"/>
    <s v="A015"/>
    <x v="0"/>
    <n v="24"/>
    <n v="30.2"/>
    <x v="1"/>
    <s v="No"/>
    <s v="No"/>
    <m/>
    <s v="Closed"/>
    <s v="July"/>
    <x v="6"/>
    <n v="2026"/>
    <s v="No"/>
    <n v="0"/>
    <x v="4"/>
    <n v="1"/>
  </r>
  <r>
    <s v="T004401"/>
    <x v="4200"/>
    <d v="2026-07-20T22:17:00"/>
    <x v="3"/>
    <s v="Phone"/>
    <x v="1"/>
    <s v="A049"/>
    <x v="1"/>
    <n v="24"/>
    <n v="34.9"/>
    <x v="1"/>
    <s v="No"/>
    <s v="No"/>
    <n v="5"/>
    <s v="Closed"/>
    <s v="July"/>
    <x v="6"/>
    <n v="2026"/>
    <s v="No"/>
    <n v="0"/>
    <x v="0"/>
    <n v="1"/>
  </r>
  <r>
    <s v="T004402"/>
    <x v="4201"/>
    <d v="2026-07-20T12:54:00"/>
    <x v="0"/>
    <s v="Email"/>
    <x v="0"/>
    <s v="A026"/>
    <x v="2"/>
    <n v="72"/>
    <n v="24.4"/>
    <x v="0"/>
    <s v="No"/>
    <s v="No"/>
    <n v="2"/>
    <s v="Closed"/>
    <s v="July"/>
    <x v="6"/>
    <n v="2026"/>
    <s v="Yes"/>
    <n v="1"/>
    <x v="2"/>
    <n v="0"/>
  </r>
  <r>
    <s v="T004403"/>
    <x v="4202"/>
    <d v="2026-07-19T16:01:00"/>
    <x v="2"/>
    <s v="Phone"/>
    <x v="1"/>
    <s v="A020"/>
    <x v="2"/>
    <n v="24"/>
    <n v="3.3"/>
    <x v="1"/>
    <s v="No"/>
    <s v="No"/>
    <m/>
    <s v="Closed"/>
    <s v="July"/>
    <x v="6"/>
    <n v="2026"/>
    <s v="Yes"/>
    <n v="1"/>
    <x v="1"/>
    <n v="1"/>
  </r>
  <r>
    <s v="T004404"/>
    <x v="4203"/>
    <d v="2026-07-19T15:39:00"/>
    <x v="5"/>
    <s v="Chat"/>
    <x v="1"/>
    <s v="A056"/>
    <x v="1"/>
    <n v="24"/>
    <n v="2.8"/>
    <x v="1"/>
    <s v="No"/>
    <s v="No"/>
    <n v="4"/>
    <s v="Closed"/>
    <s v="July"/>
    <x v="6"/>
    <n v="2026"/>
    <s v="Yes"/>
    <n v="1"/>
    <x v="3"/>
    <n v="1"/>
  </r>
  <r>
    <s v="T004405"/>
    <x v="4204"/>
    <d v="2026-07-24T03:01:00"/>
    <x v="4"/>
    <s v="Email"/>
    <x v="0"/>
    <s v="A044"/>
    <x v="1"/>
    <n v="72"/>
    <n v="109.4"/>
    <x v="0"/>
    <s v="No"/>
    <s v="No"/>
    <n v="3"/>
    <s v="Closed"/>
    <s v="July"/>
    <x v="6"/>
    <n v="2026"/>
    <s v="No"/>
    <n v="0"/>
    <x v="4"/>
    <n v="0"/>
  </r>
  <r>
    <s v="T004406"/>
    <x v="4205"/>
    <d v="2026-07-19T20:18:00"/>
    <x v="6"/>
    <s v="Phone"/>
    <x v="2"/>
    <s v="A036"/>
    <x v="1"/>
    <n v="4"/>
    <n v="6.1"/>
    <x v="0"/>
    <s v="No"/>
    <s v="No"/>
    <n v="5"/>
    <s v="Closed"/>
    <s v="July"/>
    <x v="6"/>
    <n v="2026"/>
    <s v="No"/>
    <n v="0"/>
    <x v="2"/>
    <n v="0"/>
  </r>
  <r>
    <s v="T004407"/>
    <x v="4206"/>
    <d v="2026-07-20T18:56:00"/>
    <x v="0"/>
    <s v="Email"/>
    <x v="2"/>
    <s v="A053"/>
    <x v="1"/>
    <n v="4"/>
    <n v="27.6"/>
    <x v="1"/>
    <s v="No"/>
    <s v="No"/>
    <m/>
    <s v="Closed"/>
    <s v="July"/>
    <x v="6"/>
    <n v="2026"/>
    <s v="No"/>
    <n v="0"/>
    <x v="1"/>
    <n v="1"/>
  </r>
  <r>
    <s v="T004408"/>
    <x v="4207"/>
    <d v="2026-07-20T02:03:00"/>
    <x v="0"/>
    <s v="Phone"/>
    <x v="0"/>
    <s v="A007"/>
    <x v="0"/>
    <n v="72"/>
    <n v="10.6"/>
    <x v="1"/>
    <s v="No"/>
    <s v="No"/>
    <n v="5"/>
    <s v="Closed"/>
    <s v="July"/>
    <x v="6"/>
    <n v="2026"/>
    <s v="Yes"/>
    <n v="1"/>
    <x v="1"/>
    <n v="1"/>
  </r>
  <r>
    <s v="T004409"/>
    <x v="4208"/>
    <d v="2026-07-20T02:36:00"/>
    <x v="6"/>
    <s v="Phone"/>
    <x v="2"/>
    <s v="A019"/>
    <x v="2"/>
    <n v="4"/>
    <n v="10.1"/>
    <x v="1"/>
    <s v="No"/>
    <s v="No"/>
    <n v="4"/>
    <s v="Closed"/>
    <s v="July"/>
    <x v="6"/>
    <n v="2026"/>
    <s v="No"/>
    <n v="0"/>
    <x v="4"/>
    <n v="1"/>
  </r>
  <r>
    <s v="T004410"/>
    <x v="4209"/>
    <d v="2026-07-19T19:37:00"/>
    <x v="6"/>
    <s v="Chat"/>
    <x v="1"/>
    <s v="A042"/>
    <x v="1"/>
    <n v="24"/>
    <n v="3"/>
    <x v="1"/>
    <s v="No"/>
    <s v="No"/>
    <n v="5"/>
    <s v="Closed"/>
    <s v="July"/>
    <x v="6"/>
    <n v="2026"/>
    <s v="Yes"/>
    <n v="1"/>
    <x v="4"/>
    <n v="1"/>
  </r>
  <r>
    <s v="T004411"/>
    <x v="4210"/>
    <d v="2026-07-19T21:19:00"/>
    <x v="1"/>
    <s v="Chat"/>
    <x v="0"/>
    <s v="A021"/>
    <x v="2"/>
    <n v="72"/>
    <n v="4.5"/>
    <x v="0"/>
    <s v="No"/>
    <s v="No"/>
    <m/>
    <s v="Closed"/>
    <s v="July"/>
    <x v="6"/>
    <n v="2026"/>
    <s v="Yes"/>
    <n v="1"/>
    <x v="1"/>
    <n v="0"/>
  </r>
  <r>
    <s v="T004412"/>
    <x v="4211"/>
    <d v="2026-07-20T21:14:00"/>
    <x v="3"/>
    <s v="Field Visit"/>
    <x v="1"/>
    <s v="A003"/>
    <x v="0"/>
    <n v="24"/>
    <n v="27.5"/>
    <x v="1"/>
    <s v="No"/>
    <s v="No"/>
    <m/>
    <s v="Closed"/>
    <s v="July"/>
    <x v="6"/>
    <n v="2026"/>
    <s v="No"/>
    <n v="0"/>
    <x v="4"/>
    <n v="1"/>
  </r>
  <r>
    <s v="T004413"/>
    <x v="4212"/>
    <d v="2026-07-20T20:47:00"/>
    <x v="0"/>
    <s v="Chat"/>
    <x v="1"/>
    <s v="A026"/>
    <x v="2"/>
    <n v="24"/>
    <n v="26.2"/>
    <x v="1"/>
    <s v="No"/>
    <s v="No"/>
    <n v="5"/>
    <s v="Closed"/>
    <s v="July"/>
    <x v="6"/>
    <n v="2026"/>
    <s v="No"/>
    <n v="0"/>
    <x v="2"/>
    <n v="1"/>
  </r>
  <r>
    <s v="T004414"/>
    <x v="4213"/>
    <d v="2026-07-20T01:56:00"/>
    <x v="1"/>
    <s v="Chat"/>
    <x v="1"/>
    <s v="A041"/>
    <x v="1"/>
    <n v="24"/>
    <n v="5.5"/>
    <x v="1"/>
    <s v="No"/>
    <s v="No"/>
    <n v="5"/>
    <s v="Closed"/>
    <s v="July"/>
    <x v="6"/>
    <n v="2026"/>
    <s v="Yes"/>
    <n v="1"/>
    <x v="3"/>
    <n v="1"/>
  </r>
  <r>
    <s v="T004415"/>
    <x v="4214"/>
    <d v="2026-07-20T14:02:00"/>
    <x v="2"/>
    <s v="Email"/>
    <x v="2"/>
    <s v="A033"/>
    <x v="2"/>
    <n v="4"/>
    <n v="7.7"/>
    <x v="1"/>
    <s v="No"/>
    <s v="Yes"/>
    <n v="3"/>
    <s v="Closed"/>
    <s v="July"/>
    <x v="6"/>
    <n v="2026"/>
    <s v="No"/>
    <n v="0"/>
    <x v="3"/>
    <n v="1"/>
  </r>
  <r>
    <s v="T004416"/>
    <x v="4215"/>
    <d v="2026-07-20T13:30:00"/>
    <x v="1"/>
    <s v="Email"/>
    <x v="1"/>
    <s v="A043"/>
    <x v="1"/>
    <n v="24"/>
    <n v="6.9"/>
    <x v="1"/>
    <s v="No"/>
    <s v="No"/>
    <m/>
    <s v="Closed"/>
    <s v="July"/>
    <x v="6"/>
    <n v="2026"/>
    <s v="Yes"/>
    <n v="1"/>
    <x v="1"/>
    <n v="1"/>
  </r>
  <r>
    <s v="T004417"/>
    <x v="4216"/>
    <d v="2026-07-20T13:39:00"/>
    <x v="1"/>
    <s v="Email"/>
    <x v="0"/>
    <s v="A048"/>
    <x v="1"/>
    <n v="72"/>
    <n v="6.4"/>
    <x v="1"/>
    <s v="No"/>
    <s v="No"/>
    <m/>
    <s v="Closed"/>
    <s v="July"/>
    <x v="6"/>
    <n v="2026"/>
    <s v="Yes"/>
    <n v="1"/>
    <x v="1"/>
    <n v="1"/>
  </r>
  <r>
    <s v="T004418"/>
    <x v="4217"/>
    <d v="2026-07-20T15:08:00"/>
    <x v="0"/>
    <s v="Phone"/>
    <x v="1"/>
    <s v="A042"/>
    <x v="1"/>
    <n v="24"/>
    <n v="7.8"/>
    <x v="0"/>
    <s v="Yes"/>
    <s v="No"/>
    <n v="3"/>
    <s v="Closed"/>
    <s v="July"/>
    <x v="6"/>
    <n v="2026"/>
    <s v="Yes"/>
    <n v="1"/>
    <x v="4"/>
    <n v="0"/>
  </r>
  <r>
    <s v="T004419"/>
    <x v="4218"/>
    <d v="2026-07-21T01:06:00"/>
    <x v="3"/>
    <s v="Phone"/>
    <x v="0"/>
    <s v="A005"/>
    <x v="0"/>
    <n v="72"/>
    <n v="16.5"/>
    <x v="1"/>
    <s v="No"/>
    <s v="No"/>
    <m/>
    <s v="Closed"/>
    <s v="July"/>
    <x v="6"/>
    <n v="2026"/>
    <s v="Yes"/>
    <n v="1"/>
    <x v="0"/>
    <n v="1"/>
  </r>
  <r>
    <s v="T004420"/>
    <x v="4219"/>
    <d v="2026-07-21T02:50:00"/>
    <x v="3"/>
    <s v="Field Visit"/>
    <x v="1"/>
    <s v="A028"/>
    <x v="2"/>
    <n v="24"/>
    <n v="17.8"/>
    <x v="0"/>
    <s v="Yes"/>
    <s v="No"/>
    <n v="4"/>
    <s v="Closed"/>
    <s v="July"/>
    <x v="6"/>
    <n v="2026"/>
    <s v="Yes"/>
    <n v="1"/>
    <x v="0"/>
    <n v="0"/>
  </r>
  <r>
    <s v="T004421"/>
    <x v="4220"/>
    <d v="2026-07-20T11:58:00"/>
    <x v="1"/>
    <s v="Phone"/>
    <x v="0"/>
    <s v="A057"/>
    <x v="1"/>
    <n v="72"/>
    <n v="2.9"/>
    <x v="1"/>
    <s v="No"/>
    <s v="No"/>
    <n v="4"/>
    <s v="Closed"/>
    <s v="July"/>
    <x v="6"/>
    <n v="2026"/>
    <s v="Yes"/>
    <n v="1"/>
    <x v="3"/>
    <n v="1"/>
  </r>
  <r>
    <s v="T004422"/>
    <x v="4221"/>
    <d v="2026-07-21T00:17:00"/>
    <x v="6"/>
    <s v="Phone"/>
    <x v="0"/>
    <s v="A002"/>
    <x v="0"/>
    <n v="72"/>
    <n v="14.2"/>
    <x v="1"/>
    <s v="No"/>
    <s v="No"/>
    <m/>
    <s v="Closed"/>
    <s v="July"/>
    <x v="6"/>
    <n v="2026"/>
    <s v="Yes"/>
    <n v="1"/>
    <x v="4"/>
    <n v="1"/>
  </r>
  <r>
    <s v="T004423"/>
    <x v="4222"/>
    <d v="2026-07-21T07:53:00"/>
    <x v="1"/>
    <s v="Email"/>
    <x v="1"/>
    <s v="A004"/>
    <x v="0"/>
    <n v="24"/>
    <n v="21.6"/>
    <x v="0"/>
    <s v="No"/>
    <s v="No"/>
    <n v="5"/>
    <s v="Closed"/>
    <s v="July"/>
    <x v="6"/>
    <n v="2026"/>
    <s v="Yes"/>
    <n v="1"/>
    <x v="2"/>
    <n v="0"/>
  </r>
  <r>
    <s v="T004424"/>
    <x v="4223"/>
    <d v="2026-07-20T17:21:00"/>
    <x v="3"/>
    <s v="Email"/>
    <x v="2"/>
    <s v="A017"/>
    <x v="2"/>
    <n v="4"/>
    <n v="5.9"/>
    <x v="0"/>
    <s v="Yes"/>
    <s v="No"/>
    <n v="3"/>
    <s v="Closed"/>
    <s v="July"/>
    <x v="6"/>
    <n v="2026"/>
    <s v="No"/>
    <n v="0"/>
    <x v="3"/>
    <n v="0"/>
  </r>
  <r>
    <s v="T004425"/>
    <x v="4224"/>
    <d v="2026-07-30T15:53:00"/>
    <x v="4"/>
    <s v="Field Visit"/>
    <x v="1"/>
    <s v="A021"/>
    <x v="2"/>
    <n v="24"/>
    <n v="244.1"/>
    <x v="1"/>
    <s v="No"/>
    <s v="No"/>
    <m/>
    <s v="Closed"/>
    <s v="July"/>
    <x v="6"/>
    <n v="2026"/>
    <s v="No"/>
    <n v="0"/>
    <x v="2"/>
    <n v="1"/>
  </r>
  <r>
    <s v="T004426"/>
    <x v="4225"/>
    <d v="2026-07-20T21:17:00"/>
    <x v="2"/>
    <s v="Chat"/>
    <x v="2"/>
    <s v="A052"/>
    <x v="1"/>
    <n v="4"/>
    <n v="9.1999999999999993"/>
    <x v="1"/>
    <s v="No"/>
    <s v="Yes"/>
    <m/>
    <s v="Closed"/>
    <s v="July"/>
    <x v="6"/>
    <n v="2026"/>
    <s v="No"/>
    <n v="0"/>
    <x v="4"/>
    <n v="1"/>
  </r>
  <r>
    <s v="T004427"/>
    <x v="4226"/>
    <d v="2026-07-20T14:33:00"/>
    <x v="5"/>
    <s v="Chat"/>
    <x v="1"/>
    <s v="A029"/>
    <x v="2"/>
    <n v="24"/>
    <n v="2"/>
    <x v="1"/>
    <s v="No"/>
    <s v="No"/>
    <n v="4"/>
    <s v="Closed"/>
    <s v="July"/>
    <x v="6"/>
    <n v="2026"/>
    <s v="Yes"/>
    <n v="1"/>
    <x v="4"/>
    <n v="1"/>
  </r>
  <r>
    <s v="T004428"/>
    <x v="4227"/>
    <d v="2026-07-21T21:34:00"/>
    <x v="5"/>
    <s v="Field Visit"/>
    <x v="0"/>
    <s v="A026"/>
    <x v="2"/>
    <n v="72"/>
    <n v="33"/>
    <x v="0"/>
    <s v="Yes"/>
    <s v="No"/>
    <n v="4"/>
    <s v="Closed"/>
    <s v="July"/>
    <x v="6"/>
    <n v="2026"/>
    <s v="Yes"/>
    <n v="1"/>
    <x v="1"/>
    <n v="0"/>
  </r>
  <r>
    <s v="T004429"/>
    <x v="4228"/>
    <d v="2026-07-21T06:32:00"/>
    <x v="6"/>
    <s v="Email"/>
    <x v="2"/>
    <s v="A042"/>
    <x v="1"/>
    <n v="4"/>
    <n v="17.7"/>
    <x v="1"/>
    <s v="No"/>
    <s v="Yes"/>
    <n v="3"/>
    <s v="Closed"/>
    <s v="July"/>
    <x v="6"/>
    <n v="2026"/>
    <s v="No"/>
    <n v="0"/>
    <x v="0"/>
    <n v="1"/>
  </r>
  <r>
    <s v="T004430"/>
    <x v="4229"/>
    <d v="2026-07-21T05:01:00"/>
    <x v="2"/>
    <s v="Chat"/>
    <x v="1"/>
    <s v="A014"/>
    <x v="0"/>
    <n v="24"/>
    <n v="15.9"/>
    <x v="1"/>
    <s v="No"/>
    <s v="No"/>
    <m/>
    <s v="Closed"/>
    <s v="July"/>
    <x v="6"/>
    <n v="2026"/>
    <s v="Yes"/>
    <n v="1"/>
    <x v="1"/>
    <n v="1"/>
  </r>
  <r>
    <s v="T004431"/>
    <x v="4230"/>
    <d v="2026-07-21T08:58:00"/>
    <x v="5"/>
    <s v="Email"/>
    <x v="1"/>
    <s v="A005"/>
    <x v="0"/>
    <n v="24"/>
    <n v="19.8"/>
    <x v="1"/>
    <s v="No"/>
    <s v="No"/>
    <n v="3"/>
    <s v="Closed"/>
    <s v="July"/>
    <x v="6"/>
    <n v="2026"/>
    <s v="Yes"/>
    <n v="1"/>
    <x v="4"/>
    <n v="1"/>
  </r>
  <r>
    <s v="T004432"/>
    <x v="4231"/>
    <d v="2026-07-21T01:03:00"/>
    <x v="0"/>
    <s v="Phone"/>
    <x v="1"/>
    <s v="A006"/>
    <x v="0"/>
    <n v="24"/>
    <n v="11.8"/>
    <x v="0"/>
    <s v="No"/>
    <s v="No"/>
    <n v="5"/>
    <s v="Closed"/>
    <s v="July"/>
    <x v="6"/>
    <n v="2026"/>
    <s v="Yes"/>
    <n v="1"/>
    <x v="0"/>
    <n v="0"/>
  </r>
  <r>
    <s v="T004433"/>
    <x v="4232"/>
    <d v="2026-07-20T18:49:00"/>
    <x v="1"/>
    <s v="Phone"/>
    <x v="1"/>
    <s v="A017"/>
    <x v="2"/>
    <n v="24"/>
    <n v="5.4"/>
    <x v="1"/>
    <s v="No"/>
    <s v="No"/>
    <n v="5"/>
    <s v="Closed"/>
    <s v="July"/>
    <x v="6"/>
    <n v="2026"/>
    <s v="Yes"/>
    <n v="1"/>
    <x v="3"/>
    <n v="1"/>
  </r>
  <r>
    <s v="T004434"/>
    <x v="4233"/>
    <d v="2026-07-20T16:45:00"/>
    <x v="0"/>
    <s v="Chat"/>
    <x v="2"/>
    <s v="A011"/>
    <x v="0"/>
    <n v="4"/>
    <n v="3.2"/>
    <x v="0"/>
    <s v="Yes"/>
    <s v="No"/>
    <n v="3"/>
    <s v="Closed"/>
    <s v="July"/>
    <x v="6"/>
    <n v="2026"/>
    <s v="Yes"/>
    <n v="1"/>
    <x v="2"/>
    <n v="0"/>
  </r>
  <r>
    <s v="T004435"/>
    <x v="4234"/>
    <d v="2026-07-21T00:05:00"/>
    <x v="6"/>
    <s v="Field Visit"/>
    <x v="2"/>
    <s v="A060"/>
    <x v="1"/>
    <n v="4"/>
    <n v="10"/>
    <x v="1"/>
    <s v="No"/>
    <s v="No"/>
    <n v="5"/>
    <s v="Closed"/>
    <s v="July"/>
    <x v="6"/>
    <n v="2026"/>
    <s v="No"/>
    <n v="0"/>
    <x v="1"/>
    <n v="1"/>
  </r>
  <r>
    <s v="T004436"/>
    <x v="4235"/>
    <d v="2026-07-20T22:30:00"/>
    <x v="0"/>
    <s v="Chat"/>
    <x v="1"/>
    <s v="A007"/>
    <x v="0"/>
    <n v="24"/>
    <n v="8"/>
    <x v="1"/>
    <s v="No"/>
    <s v="No"/>
    <n v="5"/>
    <s v="Closed"/>
    <s v="July"/>
    <x v="6"/>
    <n v="2026"/>
    <s v="Yes"/>
    <n v="1"/>
    <x v="1"/>
    <n v="1"/>
  </r>
  <r>
    <s v="T004437"/>
    <x v="4236"/>
    <d v="2026-07-22T10:16:00"/>
    <x v="6"/>
    <s v="Field Visit"/>
    <x v="1"/>
    <s v="A023"/>
    <x v="2"/>
    <n v="24"/>
    <n v="43.5"/>
    <x v="1"/>
    <s v="No"/>
    <s v="No"/>
    <n v="4"/>
    <s v="Closed"/>
    <s v="July"/>
    <x v="6"/>
    <n v="2026"/>
    <s v="No"/>
    <n v="0"/>
    <x v="2"/>
    <n v="1"/>
  </r>
  <r>
    <s v="T004438"/>
    <x v="4237"/>
    <d v="2026-07-20T20:02:00"/>
    <x v="1"/>
    <s v="Phone"/>
    <x v="0"/>
    <s v="A024"/>
    <x v="2"/>
    <n v="72"/>
    <n v="5.0999999999999996"/>
    <x v="0"/>
    <s v="Yes"/>
    <s v="No"/>
    <n v="4"/>
    <s v="Closed"/>
    <s v="July"/>
    <x v="6"/>
    <n v="2026"/>
    <s v="Yes"/>
    <n v="1"/>
    <x v="3"/>
    <n v="0"/>
  </r>
  <r>
    <s v="T004439"/>
    <x v="4238"/>
    <d v="2026-07-20T17:06:00"/>
    <x v="1"/>
    <s v="Chat"/>
    <x v="1"/>
    <s v="A033"/>
    <x v="2"/>
    <n v="24"/>
    <n v="1.8"/>
    <x v="0"/>
    <s v="No"/>
    <s v="No"/>
    <m/>
    <s v="Closed"/>
    <s v="July"/>
    <x v="6"/>
    <n v="2026"/>
    <s v="Yes"/>
    <n v="1"/>
    <x v="2"/>
    <n v="0"/>
  </r>
  <r>
    <s v="T004440"/>
    <x v="4239"/>
    <d v="2026-07-24T17:10:00"/>
    <x v="4"/>
    <s v="Field Visit"/>
    <x v="0"/>
    <s v="A047"/>
    <x v="1"/>
    <n v="72"/>
    <n v="97.8"/>
    <x v="1"/>
    <s v="No"/>
    <s v="No"/>
    <n v="4"/>
    <s v="Closed"/>
    <s v="July"/>
    <x v="6"/>
    <n v="2026"/>
    <s v="No"/>
    <n v="0"/>
    <x v="2"/>
    <n v="1"/>
  </r>
  <r>
    <s v="T004441"/>
    <x v="4240"/>
    <d v="2026-07-21T18:25:00"/>
    <x v="0"/>
    <s v="Field Visit"/>
    <x v="0"/>
    <s v="A018"/>
    <x v="2"/>
    <n v="72"/>
    <n v="27"/>
    <x v="1"/>
    <s v="No"/>
    <s v="No"/>
    <n v="3"/>
    <s v="Closed"/>
    <s v="July"/>
    <x v="6"/>
    <n v="2026"/>
    <s v="Yes"/>
    <n v="1"/>
    <x v="0"/>
    <n v="1"/>
  </r>
  <r>
    <s v="T004442"/>
    <x v="4241"/>
    <d v="2026-07-20T19:12:00"/>
    <x v="6"/>
    <s v="Phone"/>
    <x v="2"/>
    <s v="A024"/>
    <x v="2"/>
    <n v="4"/>
    <n v="2.8"/>
    <x v="1"/>
    <s v="No"/>
    <s v="No"/>
    <n v="4"/>
    <s v="Closed"/>
    <s v="July"/>
    <x v="6"/>
    <n v="2026"/>
    <s v="Yes"/>
    <n v="1"/>
    <x v="0"/>
    <n v="1"/>
  </r>
  <r>
    <s v="T004443"/>
    <x v="4242"/>
    <d v="2026-07-20T22:51:00"/>
    <x v="5"/>
    <s v="Phone"/>
    <x v="0"/>
    <s v="A025"/>
    <x v="2"/>
    <n v="72"/>
    <n v="4.3"/>
    <x v="1"/>
    <s v="No"/>
    <s v="No"/>
    <m/>
    <s v="Closed"/>
    <s v="July"/>
    <x v="6"/>
    <n v="2026"/>
    <s v="Yes"/>
    <n v="1"/>
    <x v="3"/>
    <n v="1"/>
  </r>
  <r>
    <s v="T004444"/>
    <x v="4243"/>
    <d v="2026-07-20T23:54:00"/>
    <x v="6"/>
    <s v="Phone"/>
    <x v="2"/>
    <s v="A010"/>
    <x v="0"/>
    <n v="4"/>
    <n v="4.4000000000000004"/>
    <x v="1"/>
    <s v="No"/>
    <s v="No"/>
    <n v="3"/>
    <s v="Closed"/>
    <s v="July"/>
    <x v="6"/>
    <n v="2026"/>
    <s v="No"/>
    <n v="0"/>
    <x v="1"/>
    <n v="1"/>
  </r>
  <r>
    <s v="T004445"/>
    <x v="4244"/>
    <d v="2026-07-22T13:14:00"/>
    <x v="2"/>
    <s v="Field Visit"/>
    <x v="1"/>
    <s v="A008"/>
    <x v="0"/>
    <n v="24"/>
    <n v="38.4"/>
    <x v="1"/>
    <s v="No"/>
    <s v="Yes"/>
    <n v="2"/>
    <s v="Closed"/>
    <s v="July"/>
    <x v="6"/>
    <n v="2026"/>
    <s v="No"/>
    <n v="0"/>
    <x v="1"/>
    <n v="1"/>
  </r>
  <r>
    <s v="T004446"/>
    <x v="4245"/>
    <d v="2026-07-21T11:32:00"/>
    <x v="6"/>
    <s v="Phone"/>
    <x v="2"/>
    <s v="A036"/>
    <x v="1"/>
    <n v="4"/>
    <n v="4.2"/>
    <x v="1"/>
    <s v="No"/>
    <s v="No"/>
    <n v="4"/>
    <s v="Closed"/>
    <s v="July"/>
    <x v="6"/>
    <n v="2026"/>
    <s v="No"/>
    <n v="0"/>
    <x v="2"/>
    <n v="1"/>
  </r>
  <r>
    <s v="T004447"/>
    <x v="4246"/>
    <d v="2026-07-21T22:05:00"/>
    <x v="5"/>
    <s v="Field Visit"/>
    <x v="0"/>
    <s v="A047"/>
    <x v="1"/>
    <n v="72"/>
    <n v="14.5"/>
    <x v="1"/>
    <s v="No"/>
    <s v="No"/>
    <n v="5"/>
    <s v="Closed"/>
    <s v="July"/>
    <x v="6"/>
    <n v="2026"/>
    <s v="Yes"/>
    <n v="1"/>
    <x v="1"/>
    <n v="1"/>
  </r>
  <r>
    <s v="T004448"/>
    <x v="4247"/>
    <d v="2026-07-21T18:54:00"/>
    <x v="6"/>
    <s v="Phone"/>
    <x v="2"/>
    <s v="A050"/>
    <x v="1"/>
    <n v="4"/>
    <n v="10.1"/>
    <x v="1"/>
    <s v="No"/>
    <s v="No"/>
    <m/>
    <s v="Closed"/>
    <s v="July"/>
    <x v="6"/>
    <n v="2026"/>
    <s v="No"/>
    <n v="0"/>
    <x v="3"/>
    <n v="1"/>
  </r>
  <r>
    <s v="T004449"/>
    <x v="4248"/>
    <d v="2026-07-21T19:20:00"/>
    <x v="6"/>
    <s v="Chat"/>
    <x v="1"/>
    <s v="A034"/>
    <x v="2"/>
    <n v="24"/>
    <n v="9.3000000000000007"/>
    <x v="0"/>
    <s v="Yes"/>
    <s v="No"/>
    <n v="4"/>
    <s v="Closed"/>
    <s v="July"/>
    <x v="6"/>
    <n v="2026"/>
    <s v="Yes"/>
    <n v="1"/>
    <x v="2"/>
    <n v="0"/>
  </r>
  <r>
    <s v="T004450"/>
    <x v="4249"/>
    <d v="2026-07-21T18:28:00"/>
    <x v="3"/>
    <s v="Chat"/>
    <x v="1"/>
    <s v="A058"/>
    <x v="1"/>
    <n v="24"/>
    <n v="7.8"/>
    <x v="1"/>
    <s v="No"/>
    <s v="No"/>
    <m/>
    <s v="Closed"/>
    <s v="July"/>
    <x v="6"/>
    <n v="2026"/>
    <s v="Yes"/>
    <n v="1"/>
    <x v="4"/>
    <n v="1"/>
  </r>
  <r>
    <s v="T004451"/>
    <x v="4250"/>
    <d v="2026-07-21T23:12:00"/>
    <x v="6"/>
    <s v="Phone"/>
    <x v="0"/>
    <s v="A020"/>
    <x v="2"/>
    <n v="72"/>
    <n v="12.1"/>
    <x v="0"/>
    <s v="Yes"/>
    <s v="No"/>
    <m/>
    <s v="Closed"/>
    <s v="July"/>
    <x v="6"/>
    <n v="2026"/>
    <s v="Yes"/>
    <n v="1"/>
    <x v="2"/>
    <n v="0"/>
  </r>
  <r>
    <s v="T004452"/>
    <x v="4251"/>
    <d v="2026-07-23T01:24:00"/>
    <x v="3"/>
    <s v="Field Visit"/>
    <x v="1"/>
    <s v="A034"/>
    <x v="2"/>
    <n v="24"/>
    <n v="38.200000000000003"/>
    <x v="1"/>
    <s v="No"/>
    <s v="No"/>
    <m/>
    <s v="Closed"/>
    <s v="July"/>
    <x v="6"/>
    <n v="2026"/>
    <s v="No"/>
    <n v="0"/>
    <x v="3"/>
    <n v="1"/>
  </r>
  <r>
    <s v="T004453"/>
    <x v="4252"/>
    <d v="2026-07-22T00:10:00"/>
    <x v="6"/>
    <s v="Field Visit"/>
    <x v="1"/>
    <s v="A029"/>
    <x v="2"/>
    <n v="24"/>
    <n v="11.5"/>
    <x v="1"/>
    <s v="No"/>
    <s v="No"/>
    <n v="4"/>
    <s v="Closed"/>
    <s v="July"/>
    <x v="6"/>
    <n v="2026"/>
    <s v="Yes"/>
    <n v="1"/>
    <x v="4"/>
    <n v="1"/>
  </r>
  <r>
    <s v="T004454"/>
    <x v="4253"/>
    <d v="2026-07-21T15:51:00"/>
    <x v="1"/>
    <s v="Phone"/>
    <x v="1"/>
    <s v="A030"/>
    <x v="2"/>
    <n v="24"/>
    <n v="3"/>
    <x v="1"/>
    <s v="No"/>
    <s v="No"/>
    <n v="4"/>
    <s v="Closed"/>
    <s v="July"/>
    <x v="6"/>
    <n v="2026"/>
    <s v="Yes"/>
    <n v="1"/>
    <x v="4"/>
    <n v="1"/>
  </r>
  <r>
    <s v="T004455"/>
    <x v="4254"/>
    <d v="2026-07-21T17:06:00"/>
    <x v="1"/>
    <s v="Chat"/>
    <x v="1"/>
    <s v="A045"/>
    <x v="1"/>
    <n v="24"/>
    <n v="4"/>
    <x v="1"/>
    <s v="No"/>
    <s v="No"/>
    <n v="5"/>
    <s v="Closed"/>
    <s v="July"/>
    <x v="6"/>
    <n v="2026"/>
    <s v="Yes"/>
    <n v="1"/>
    <x v="3"/>
    <n v="1"/>
  </r>
  <r>
    <s v="T004456"/>
    <x v="4255"/>
    <d v="2026-07-21T19:01:00"/>
    <x v="6"/>
    <s v="Phone"/>
    <x v="1"/>
    <s v="A011"/>
    <x v="0"/>
    <n v="24"/>
    <n v="5.3"/>
    <x v="0"/>
    <s v="No"/>
    <s v="No"/>
    <n v="5"/>
    <s v="Closed"/>
    <s v="July"/>
    <x v="6"/>
    <n v="2026"/>
    <s v="Yes"/>
    <n v="1"/>
    <x v="0"/>
    <n v="0"/>
  </r>
  <r>
    <s v="T004457"/>
    <x v="4256"/>
    <d v="2026-07-21T19:48:00"/>
    <x v="1"/>
    <s v="Chat"/>
    <x v="1"/>
    <s v="A048"/>
    <x v="1"/>
    <n v="24"/>
    <n v="4.8"/>
    <x v="1"/>
    <s v="No"/>
    <s v="No"/>
    <n v="4"/>
    <s v="Closed"/>
    <s v="July"/>
    <x v="6"/>
    <n v="2026"/>
    <s v="Yes"/>
    <n v="1"/>
    <x v="0"/>
    <n v="1"/>
  </r>
  <r>
    <s v="T004458"/>
    <x v="4257"/>
    <d v="2026-07-22T00:49:00"/>
    <x v="2"/>
    <s v="Chat"/>
    <x v="1"/>
    <s v="A011"/>
    <x v="0"/>
    <n v="24"/>
    <n v="8.8000000000000007"/>
    <x v="1"/>
    <s v="No"/>
    <s v="No"/>
    <n v="5"/>
    <s v="Closed"/>
    <s v="July"/>
    <x v="6"/>
    <n v="2026"/>
    <s v="Yes"/>
    <n v="1"/>
    <x v="0"/>
    <n v="1"/>
  </r>
  <r>
    <s v="T004459"/>
    <x v="4258"/>
    <d v="2026-07-21T21:11:00"/>
    <x v="1"/>
    <s v="Chat"/>
    <x v="0"/>
    <s v="A037"/>
    <x v="1"/>
    <n v="72"/>
    <n v="3.4"/>
    <x v="0"/>
    <s v="Yes"/>
    <s v="No"/>
    <n v="4"/>
    <s v="Closed"/>
    <s v="July"/>
    <x v="6"/>
    <n v="2026"/>
    <s v="Yes"/>
    <n v="1"/>
    <x v="3"/>
    <n v="0"/>
  </r>
  <r>
    <s v="T004460"/>
    <x v="4259"/>
    <d v="2026-07-22T02:24:00"/>
    <x v="0"/>
    <s v="Phone"/>
    <x v="2"/>
    <s v="A017"/>
    <x v="2"/>
    <n v="4"/>
    <n v="4.5999999999999996"/>
    <x v="1"/>
    <s v="No"/>
    <s v="No"/>
    <m/>
    <s v="Closed"/>
    <s v="July"/>
    <x v="6"/>
    <n v="2026"/>
    <s v="No"/>
    <n v="0"/>
    <x v="0"/>
    <n v="1"/>
  </r>
  <r>
    <s v="T004461"/>
    <x v="4260"/>
    <d v="2026-07-22T02:01:00"/>
    <x v="1"/>
    <s v="Chat"/>
    <x v="1"/>
    <s v="A039"/>
    <x v="1"/>
    <n v="24"/>
    <n v="3.5"/>
    <x v="1"/>
    <s v="No"/>
    <s v="No"/>
    <n v="5"/>
    <s v="Closed"/>
    <s v="July"/>
    <x v="6"/>
    <n v="2026"/>
    <s v="Yes"/>
    <n v="1"/>
    <x v="3"/>
    <n v="1"/>
  </r>
  <r>
    <s v="T004462"/>
    <x v="4261"/>
    <d v="2026-07-22T16:09:00"/>
    <x v="2"/>
    <s v="Chat"/>
    <x v="2"/>
    <s v="A025"/>
    <x v="2"/>
    <n v="4"/>
    <n v="10.8"/>
    <x v="0"/>
    <s v="No"/>
    <s v="No"/>
    <n v="3"/>
    <s v="Closed"/>
    <s v="July"/>
    <x v="6"/>
    <n v="2026"/>
    <s v="No"/>
    <n v="0"/>
    <x v="1"/>
    <n v="0"/>
  </r>
  <r>
    <s v="T004463"/>
    <x v="4262"/>
    <d v="2026-07-21T18:46:00"/>
    <x v="1"/>
    <s v="Phone"/>
    <x v="1"/>
    <s v="A046"/>
    <x v="1"/>
    <n v="24"/>
    <n v="7.3"/>
    <x v="1"/>
    <s v="No"/>
    <s v="No"/>
    <n v="5"/>
    <s v="Closed"/>
    <s v="July"/>
    <x v="6"/>
    <n v="2026"/>
    <s v="Yes"/>
    <n v="1"/>
    <x v="2"/>
    <n v="1"/>
  </r>
  <r>
    <s v="T004464"/>
    <x v="4263"/>
    <d v="2026-07-23T01:45:00"/>
    <x v="3"/>
    <s v="Phone"/>
    <x v="0"/>
    <s v="A006"/>
    <x v="0"/>
    <n v="72"/>
    <n v="16.600000000000001"/>
    <x v="1"/>
    <s v="No"/>
    <s v="No"/>
    <n v="5"/>
    <s v="Closed"/>
    <s v="July"/>
    <x v="6"/>
    <n v="2026"/>
    <s v="Yes"/>
    <n v="1"/>
    <x v="2"/>
    <n v="1"/>
  </r>
  <r>
    <s v="T004465"/>
    <x v="4264"/>
    <d v="2026-07-23T00:39:00"/>
    <x v="0"/>
    <s v="Phone"/>
    <x v="0"/>
    <s v="A018"/>
    <x v="2"/>
    <n v="72"/>
    <n v="13.8"/>
    <x v="1"/>
    <s v="No"/>
    <s v="No"/>
    <m/>
    <s v="Closed"/>
    <s v="July"/>
    <x v="6"/>
    <n v="2026"/>
    <s v="Yes"/>
    <n v="1"/>
    <x v="1"/>
    <n v="1"/>
  </r>
  <r>
    <s v="T004466"/>
    <x v="4265"/>
    <d v="2026-07-22T19:51:00"/>
    <x v="1"/>
    <s v="Phone"/>
    <x v="0"/>
    <s v="A040"/>
    <x v="1"/>
    <n v="72"/>
    <n v="8.5"/>
    <x v="1"/>
    <s v="No"/>
    <s v="No"/>
    <n v="5"/>
    <s v="Closed"/>
    <s v="July"/>
    <x v="6"/>
    <n v="2026"/>
    <s v="Yes"/>
    <n v="1"/>
    <x v="3"/>
    <n v="1"/>
  </r>
  <r>
    <s v="T004467"/>
    <x v="4266"/>
    <d v="2026-07-24T00:17:00"/>
    <x v="6"/>
    <s v="Field Visit"/>
    <x v="1"/>
    <s v="A001"/>
    <x v="0"/>
    <n v="24"/>
    <n v="36.299999999999997"/>
    <x v="1"/>
    <s v="No"/>
    <s v="No"/>
    <n v="5"/>
    <s v="Closed"/>
    <s v="July"/>
    <x v="6"/>
    <n v="2026"/>
    <s v="No"/>
    <n v="0"/>
    <x v="3"/>
    <n v="1"/>
  </r>
  <r>
    <s v="T004468"/>
    <x v="4267"/>
    <d v="2026-07-22T14:31:00"/>
    <x v="2"/>
    <s v="Chat"/>
    <x v="1"/>
    <s v="A020"/>
    <x v="2"/>
    <n v="24"/>
    <n v="2.2000000000000002"/>
    <x v="0"/>
    <s v="No"/>
    <s v="No"/>
    <n v="4"/>
    <s v="Closed"/>
    <s v="July"/>
    <x v="6"/>
    <n v="2026"/>
    <s v="Yes"/>
    <n v="1"/>
    <x v="2"/>
    <n v="0"/>
  </r>
  <r>
    <s v="T004469"/>
    <x v="4268"/>
    <d v="2026-07-22T20:56:00"/>
    <x v="6"/>
    <s v="Field Visit"/>
    <x v="2"/>
    <s v="A057"/>
    <x v="1"/>
    <n v="4"/>
    <n v="8.6"/>
    <x v="0"/>
    <s v="Yes"/>
    <s v="No"/>
    <n v="3"/>
    <s v="Closed"/>
    <s v="July"/>
    <x v="6"/>
    <n v="2026"/>
    <s v="No"/>
    <n v="0"/>
    <x v="2"/>
    <n v="0"/>
  </r>
  <r>
    <s v="T004470"/>
    <x v="4269"/>
    <d v="2026-07-25T20:58:00"/>
    <x v="3"/>
    <s v="Field Visit"/>
    <x v="0"/>
    <s v="A006"/>
    <x v="0"/>
    <n v="72"/>
    <n v="80.099999999999994"/>
    <x v="0"/>
    <s v="No"/>
    <s v="No"/>
    <m/>
    <s v="Closed"/>
    <s v="July"/>
    <x v="6"/>
    <n v="2026"/>
    <s v="No"/>
    <n v="0"/>
    <x v="4"/>
    <n v="0"/>
  </r>
  <r>
    <s v="T004471"/>
    <x v="4270"/>
    <d v="2026-07-22T19:31:00"/>
    <x v="6"/>
    <s v="Phone"/>
    <x v="2"/>
    <s v="A043"/>
    <x v="1"/>
    <n v="4"/>
    <n v="6"/>
    <x v="1"/>
    <s v="No"/>
    <s v="No"/>
    <n v="3"/>
    <s v="Closed"/>
    <s v="July"/>
    <x v="6"/>
    <n v="2026"/>
    <s v="No"/>
    <n v="0"/>
    <x v="2"/>
    <n v="1"/>
  </r>
  <r>
    <s v="T004472"/>
    <x v="4271"/>
    <d v="2026-07-22T17:03:00"/>
    <x v="3"/>
    <s v="Phone"/>
    <x v="0"/>
    <s v="A032"/>
    <x v="2"/>
    <n v="72"/>
    <n v="3.5"/>
    <x v="1"/>
    <s v="No"/>
    <s v="No"/>
    <m/>
    <s v="Closed"/>
    <s v="July"/>
    <x v="6"/>
    <n v="2026"/>
    <s v="Yes"/>
    <n v="1"/>
    <x v="0"/>
    <n v="1"/>
  </r>
  <r>
    <s v="T004473"/>
    <x v="4272"/>
    <d v="2026-07-22T15:01:00"/>
    <x v="6"/>
    <s v="Chat"/>
    <x v="2"/>
    <s v="A052"/>
    <x v="1"/>
    <n v="4"/>
    <n v="1.4"/>
    <x v="1"/>
    <s v="No"/>
    <s v="Yes"/>
    <n v="4"/>
    <s v="Closed"/>
    <s v="July"/>
    <x v="6"/>
    <n v="2026"/>
    <s v="Yes"/>
    <n v="1"/>
    <x v="4"/>
    <n v="1"/>
  </r>
  <r>
    <s v="T004474"/>
    <x v="4273"/>
    <d v="2026-07-22T18:48:00"/>
    <x v="1"/>
    <s v="Phone"/>
    <x v="2"/>
    <s v="A003"/>
    <x v="0"/>
    <n v="4"/>
    <n v="4.5"/>
    <x v="1"/>
    <s v="No"/>
    <s v="Yes"/>
    <m/>
    <s v="Closed"/>
    <s v="July"/>
    <x v="6"/>
    <n v="2026"/>
    <s v="No"/>
    <n v="0"/>
    <x v="1"/>
    <n v="1"/>
  </r>
  <r>
    <s v="T004476"/>
    <x v="4274"/>
    <d v="2026-07-23T12:44:00"/>
    <x v="6"/>
    <s v="Phone"/>
    <x v="0"/>
    <s v="A029"/>
    <x v="2"/>
    <n v="72"/>
    <n v="20.100000000000001"/>
    <x v="0"/>
    <s v="Yes"/>
    <s v="No"/>
    <n v="4"/>
    <s v="Closed"/>
    <s v="July"/>
    <x v="6"/>
    <n v="2026"/>
    <s v="Yes"/>
    <n v="1"/>
    <x v="1"/>
    <n v="0"/>
  </r>
  <r>
    <s v="T004475"/>
    <x v="4274"/>
    <d v="2026-07-23T05:20:00"/>
    <x v="6"/>
    <s v="Field Visit"/>
    <x v="2"/>
    <s v="A022"/>
    <x v="2"/>
    <n v="4"/>
    <n v="12.7"/>
    <x v="1"/>
    <s v="No"/>
    <s v="Yes"/>
    <n v="4"/>
    <s v="Closed"/>
    <s v="July"/>
    <x v="6"/>
    <n v="2026"/>
    <s v="No"/>
    <n v="0"/>
    <x v="4"/>
    <n v="1"/>
  </r>
  <r>
    <s v="T004477"/>
    <x v="4275"/>
    <d v="2026-07-24T08:14:00"/>
    <x v="5"/>
    <s v="Field Visit"/>
    <x v="1"/>
    <s v="A009"/>
    <x v="0"/>
    <n v="24"/>
    <n v="39.299999999999997"/>
    <x v="1"/>
    <s v="No"/>
    <s v="No"/>
    <n v="4"/>
    <s v="Closed"/>
    <s v="July"/>
    <x v="6"/>
    <n v="2026"/>
    <s v="No"/>
    <n v="0"/>
    <x v="3"/>
    <n v="1"/>
  </r>
  <r>
    <s v="T004478"/>
    <x v="4276"/>
    <d v="2026-07-22T20:58:00"/>
    <x v="6"/>
    <s v="Phone"/>
    <x v="0"/>
    <s v="A038"/>
    <x v="1"/>
    <n v="72"/>
    <n v="3.8"/>
    <x v="1"/>
    <s v="No"/>
    <s v="No"/>
    <n v="3"/>
    <s v="Closed"/>
    <s v="July"/>
    <x v="6"/>
    <n v="2026"/>
    <s v="Yes"/>
    <n v="1"/>
    <x v="1"/>
    <n v="1"/>
  </r>
  <r>
    <s v="T004479"/>
    <x v="4277"/>
    <d v="2026-07-22T18:40:00"/>
    <x v="6"/>
    <s v="Phone"/>
    <x v="2"/>
    <s v="A041"/>
    <x v="1"/>
    <n v="4"/>
    <n v="1.4"/>
    <x v="1"/>
    <s v="No"/>
    <s v="No"/>
    <n v="5"/>
    <s v="Closed"/>
    <s v="July"/>
    <x v="6"/>
    <n v="2026"/>
    <s v="Yes"/>
    <n v="1"/>
    <x v="3"/>
    <n v="1"/>
  </r>
  <r>
    <s v="T004480"/>
    <x v="4278"/>
    <d v="2026-07-23T00:49:00"/>
    <x v="1"/>
    <s v="Email"/>
    <x v="1"/>
    <s v="A011"/>
    <x v="0"/>
    <n v="24"/>
    <n v="7.2"/>
    <x v="1"/>
    <s v="No"/>
    <s v="No"/>
    <n v="5"/>
    <s v="Closed"/>
    <s v="July"/>
    <x v="6"/>
    <n v="2026"/>
    <s v="Yes"/>
    <n v="1"/>
    <x v="1"/>
    <n v="1"/>
  </r>
  <r>
    <s v="T004481"/>
    <x v="4279"/>
    <d v="2026-07-22T22:09:00"/>
    <x v="5"/>
    <s v="Chat"/>
    <x v="0"/>
    <s v="A056"/>
    <x v="1"/>
    <n v="72"/>
    <n v="2.2999999999999998"/>
    <x v="1"/>
    <s v="No"/>
    <s v="No"/>
    <n v="5"/>
    <s v="Closed"/>
    <s v="July"/>
    <x v="6"/>
    <n v="2026"/>
    <s v="Yes"/>
    <n v="1"/>
    <x v="4"/>
    <n v="1"/>
  </r>
  <r>
    <s v="T004482"/>
    <x v="4280"/>
    <d v="2026-07-23T04:57:00"/>
    <x v="1"/>
    <s v="Phone"/>
    <x v="0"/>
    <s v="A021"/>
    <x v="2"/>
    <n v="72"/>
    <n v="8.1"/>
    <x v="0"/>
    <s v="No"/>
    <s v="No"/>
    <n v="5"/>
    <s v="Closed"/>
    <s v="July"/>
    <x v="6"/>
    <n v="2026"/>
    <s v="Yes"/>
    <n v="1"/>
    <x v="0"/>
    <n v="0"/>
  </r>
  <r>
    <s v="T004483"/>
    <x v="4281"/>
    <d v="2026-07-23T02:23:00"/>
    <x v="6"/>
    <s v="Phone"/>
    <x v="2"/>
    <s v="A032"/>
    <x v="2"/>
    <n v="4"/>
    <n v="4.5999999999999996"/>
    <x v="1"/>
    <s v="No"/>
    <s v="No"/>
    <n v="4"/>
    <s v="Closed"/>
    <s v="July"/>
    <x v="6"/>
    <n v="2026"/>
    <s v="No"/>
    <n v="0"/>
    <x v="0"/>
    <n v="1"/>
  </r>
  <r>
    <s v="T004484"/>
    <x v="4282"/>
    <d v="2026-07-23T06:54:00"/>
    <x v="0"/>
    <s v="Chat"/>
    <x v="1"/>
    <s v="A007"/>
    <x v="0"/>
    <n v="24"/>
    <n v="8.8000000000000007"/>
    <x v="0"/>
    <s v="No"/>
    <s v="No"/>
    <n v="5"/>
    <s v="Closed"/>
    <s v="July"/>
    <x v="6"/>
    <n v="2026"/>
    <s v="Yes"/>
    <n v="1"/>
    <x v="3"/>
    <n v="0"/>
  </r>
  <r>
    <s v="T004485"/>
    <x v="4283"/>
    <d v="2026-07-24T04:25:00"/>
    <x v="5"/>
    <s v="Email"/>
    <x v="1"/>
    <s v="A048"/>
    <x v="1"/>
    <n v="24"/>
    <n v="23.2"/>
    <x v="1"/>
    <s v="No"/>
    <s v="Yes"/>
    <n v="5"/>
    <s v="Closed"/>
    <s v="July"/>
    <x v="6"/>
    <n v="2026"/>
    <s v="Yes"/>
    <n v="1"/>
    <x v="4"/>
    <n v="1"/>
  </r>
  <r>
    <s v="T004486"/>
    <x v="4284"/>
    <d v="2026-07-26T04:47:00"/>
    <x v="4"/>
    <s v="Field Visit"/>
    <x v="1"/>
    <s v="A008"/>
    <x v="0"/>
    <n v="24"/>
    <n v="71.400000000000006"/>
    <x v="1"/>
    <s v="No"/>
    <s v="No"/>
    <n v="5"/>
    <s v="Closed"/>
    <s v="July"/>
    <x v="6"/>
    <n v="2026"/>
    <s v="No"/>
    <n v="0"/>
    <x v="2"/>
    <n v="1"/>
  </r>
  <r>
    <s v="T004487"/>
    <x v="4285"/>
    <d v="2026-07-26T09:05:00"/>
    <x v="4"/>
    <s v="Field Visit"/>
    <x v="1"/>
    <s v="A049"/>
    <x v="1"/>
    <n v="24"/>
    <n v="73.8"/>
    <x v="0"/>
    <s v="No"/>
    <s v="No"/>
    <m/>
    <s v="Closed"/>
    <s v="July"/>
    <x v="6"/>
    <n v="2026"/>
    <s v="No"/>
    <n v="0"/>
    <x v="2"/>
    <n v="0"/>
  </r>
  <r>
    <s v="T004488"/>
    <x v="4286"/>
    <d v="2026-07-25T11:56:00"/>
    <x v="4"/>
    <s v="Phone"/>
    <x v="2"/>
    <s v="A010"/>
    <x v="0"/>
    <n v="4"/>
    <n v="52.6"/>
    <x v="0"/>
    <s v="Yes"/>
    <s v="No"/>
    <n v="3"/>
    <s v="Closed"/>
    <s v="July"/>
    <x v="6"/>
    <n v="2026"/>
    <s v="No"/>
    <n v="0"/>
    <x v="3"/>
    <n v="0"/>
  </r>
  <r>
    <s v="T004489"/>
    <x v="4287"/>
    <d v="2026-07-23T12:37:00"/>
    <x v="2"/>
    <s v="Chat"/>
    <x v="1"/>
    <s v="A045"/>
    <x v="1"/>
    <n v="24"/>
    <n v="5.0999999999999996"/>
    <x v="0"/>
    <s v="No"/>
    <s v="No"/>
    <n v="3"/>
    <s v="Closed"/>
    <s v="July"/>
    <x v="6"/>
    <n v="2026"/>
    <s v="Yes"/>
    <n v="1"/>
    <x v="4"/>
    <n v="0"/>
  </r>
  <r>
    <s v="T004490"/>
    <x v="4288"/>
    <d v="2026-07-24T04:52:00"/>
    <x v="3"/>
    <s v="Phone"/>
    <x v="0"/>
    <s v="A052"/>
    <x v="1"/>
    <n v="72"/>
    <n v="20.9"/>
    <x v="1"/>
    <s v="No"/>
    <s v="No"/>
    <n v="5"/>
    <s v="Closed"/>
    <s v="July"/>
    <x v="6"/>
    <n v="2026"/>
    <s v="Yes"/>
    <n v="1"/>
    <x v="2"/>
    <n v="1"/>
  </r>
  <r>
    <s v="T004491"/>
    <x v="4289"/>
    <d v="2026-07-23T22:28:00"/>
    <x v="2"/>
    <s v="Phone"/>
    <x v="1"/>
    <s v="A015"/>
    <x v="0"/>
    <n v="24"/>
    <n v="13.6"/>
    <x v="1"/>
    <s v="No"/>
    <s v="No"/>
    <n v="4"/>
    <s v="Closed"/>
    <s v="July"/>
    <x v="6"/>
    <n v="2026"/>
    <s v="Yes"/>
    <n v="1"/>
    <x v="3"/>
    <n v="1"/>
  </r>
  <r>
    <s v="T004492"/>
    <x v="4290"/>
    <d v="2026-07-23T13:20:00"/>
    <x v="6"/>
    <s v="Phone"/>
    <x v="2"/>
    <s v="A023"/>
    <x v="2"/>
    <n v="4"/>
    <n v="3.7"/>
    <x v="1"/>
    <s v="No"/>
    <s v="No"/>
    <n v="5"/>
    <s v="Closed"/>
    <s v="July"/>
    <x v="6"/>
    <n v="2026"/>
    <s v="Yes"/>
    <n v="1"/>
    <x v="3"/>
    <n v="1"/>
  </r>
  <r>
    <s v="T004493"/>
    <x v="4291"/>
    <d v="2026-07-24T01:51:00"/>
    <x v="4"/>
    <s v="Chat"/>
    <x v="0"/>
    <s v="A005"/>
    <x v="0"/>
    <n v="72"/>
    <n v="15.4"/>
    <x v="1"/>
    <s v="No"/>
    <s v="No"/>
    <m/>
    <s v="Closed"/>
    <s v="July"/>
    <x v="6"/>
    <n v="2026"/>
    <s v="Yes"/>
    <n v="1"/>
    <x v="2"/>
    <n v="1"/>
  </r>
  <r>
    <s v="T004494"/>
    <x v="4292"/>
    <d v="2026-07-23T18:35:00"/>
    <x v="6"/>
    <s v="Field Visit"/>
    <x v="2"/>
    <s v="A034"/>
    <x v="2"/>
    <n v="4"/>
    <n v="7.8"/>
    <x v="1"/>
    <s v="No"/>
    <s v="No"/>
    <n v="5"/>
    <s v="Closed"/>
    <s v="July"/>
    <x v="6"/>
    <n v="2026"/>
    <s v="No"/>
    <n v="0"/>
    <x v="3"/>
    <n v="1"/>
  </r>
  <r>
    <s v="T004495"/>
    <x v="4293"/>
    <d v="2026-07-24T22:00:00"/>
    <x v="0"/>
    <s v="Field Visit"/>
    <x v="2"/>
    <s v="A041"/>
    <x v="1"/>
    <n v="4"/>
    <n v="35.200000000000003"/>
    <x v="1"/>
    <s v="No"/>
    <s v="No"/>
    <n v="3"/>
    <s v="Closed"/>
    <s v="July"/>
    <x v="6"/>
    <n v="2026"/>
    <s v="No"/>
    <n v="0"/>
    <x v="2"/>
    <n v="1"/>
  </r>
  <r>
    <s v="T004496"/>
    <x v="4294"/>
    <d v="2026-07-27T05:11:00"/>
    <x v="3"/>
    <s v="Field Visit"/>
    <x v="0"/>
    <s v="A056"/>
    <x v="1"/>
    <n v="72"/>
    <n v="90.2"/>
    <x v="1"/>
    <s v="No"/>
    <s v="No"/>
    <n v="5"/>
    <s v="Closed"/>
    <s v="July"/>
    <x v="6"/>
    <n v="2026"/>
    <s v="No"/>
    <n v="0"/>
    <x v="0"/>
    <n v="1"/>
  </r>
  <r>
    <s v="T004497"/>
    <x v="4295"/>
    <d v="2026-07-24T13:46:00"/>
    <x v="2"/>
    <s v="Field Visit"/>
    <x v="0"/>
    <s v="A054"/>
    <x v="1"/>
    <n v="72"/>
    <n v="26.4"/>
    <x v="1"/>
    <s v="No"/>
    <s v="No"/>
    <n v="4"/>
    <s v="Closed"/>
    <s v="July"/>
    <x v="6"/>
    <n v="2026"/>
    <s v="Yes"/>
    <n v="1"/>
    <x v="0"/>
    <n v="1"/>
  </r>
  <r>
    <s v="T004498"/>
    <x v="4296"/>
    <d v="2026-07-23T17:50:00"/>
    <x v="0"/>
    <s v="Chat"/>
    <x v="1"/>
    <s v="A025"/>
    <x v="2"/>
    <n v="24"/>
    <n v="5.4"/>
    <x v="0"/>
    <s v="No"/>
    <s v="No"/>
    <n v="4"/>
    <s v="Closed"/>
    <s v="July"/>
    <x v="6"/>
    <n v="2026"/>
    <s v="Yes"/>
    <n v="1"/>
    <x v="3"/>
    <n v="0"/>
  </r>
  <r>
    <s v="T004499"/>
    <x v="4297"/>
    <d v="2026-07-23T17:56:00"/>
    <x v="0"/>
    <s v="Chat"/>
    <x v="0"/>
    <s v="A014"/>
    <x v="0"/>
    <n v="72"/>
    <n v="5.3"/>
    <x v="1"/>
    <s v="No"/>
    <s v="No"/>
    <n v="4"/>
    <s v="Closed"/>
    <s v="July"/>
    <x v="6"/>
    <n v="2026"/>
    <s v="Yes"/>
    <n v="1"/>
    <x v="2"/>
    <n v="1"/>
  </r>
  <r>
    <s v="T004500"/>
    <x v="4298"/>
    <d v="2026-07-23T19:31:00"/>
    <x v="0"/>
    <s v="Chat"/>
    <x v="1"/>
    <s v="A035"/>
    <x v="2"/>
    <n v="24"/>
    <n v="5.6"/>
    <x v="0"/>
    <s v="Yes"/>
    <s v="No"/>
    <m/>
    <s v="Closed"/>
    <s v="July"/>
    <x v="6"/>
    <n v="2026"/>
    <s v="Yes"/>
    <n v="1"/>
    <x v="3"/>
    <n v="0"/>
  </r>
  <r>
    <s v="T004501"/>
    <x v="4299"/>
    <d v="2026-07-24T01:30:00"/>
    <x v="5"/>
    <s v="Chat"/>
    <x v="2"/>
    <s v="A040"/>
    <x v="1"/>
    <n v="4"/>
    <n v="10.4"/>
    <x v="1"/>
    <s v="No"/>
    <s v="No"/>
    <n v="4"/>
    <s v="Closed"/>
    <s v="July"/>
    <x v="6"/>
    <n v="2026"/>
    <s v="No"/>
    <n v="0"/>
    <x v="4"/>
    <n v="1"/>
  </r>
  <r>
    <s v="T004502"/>
    <x v="4300"/>
    <d v="2026-07-24T05:00:00"/>
    <x v="3"/>
    <s v="Phone"/>
    <x v="1"/>
    <s v="A051"/>
    <x v="1"/>
    <n v="24"/>
    <n v="13.7"/>
    <x v="1"/>
    <s v="No"/>
    <s v="Yes"/>
    <m/>
    <s v="Closed"/>
    <s v="July"/>
    <x v="6"/>
    <n v="2026"/>
    <s v="Yes"/>
    <n v="1"/>
    <x v="1"/>
    <n v="1"/>
  </r>
  <r>
    <s v="T004503"/>
    <x v="4301"/>
    <d v="2026-07-23T17:32:00"/>
    <x v="1"/>
    <s v="Chat"/>
    <x v="0"/>
    <s v="A038"/>
    <x v="1"/>
    <n v="72"/>
    <n v="2.1"/>
    <x v="1"/>
    <s v="No"/>
    <s v="No"/>
    <n v="4"/>
    <s v="Closed"/>
    <s v="July"/>
    <x v="6"/>
    <n v="2026"/>
    <s v="Yes"/>
    <n v="1"/>
    <x v="0"/>
    <n v="1"/>
  </r>
  <r>
    <s v="T004504"/>
    <x v="4302"/>
    <d v="2026-07-23T23:24:00"/>
    <x v="3"/>
    <s v="Chat"/>
    <x v="1"/>
    <s v="A023"/>
    <x v="2"/>
    <n v="24"/>
    <n v="7.9"/>
    <x v="1"/>
    <s v="No"/>
    <s v="No"/>
    <m/>
    <s v="Closed"/>
    <s v="July"/>
    <x v="6"/>
    <n v="2026"/>
    <s v="Yes"/>
    <n v="1"/>
    <x v="2"/>
    <n v="1"/>
  </r>
  <r>
    <s v="T004505"/>
    <x v="4303"/>
    <d v="2026-07-24T07:40:00"/>
    <x v="5"/>
    <s v="Email"/>
    <x v="0"/>
    <s v="A025"/>
    <x v="2"/>
    <n v="72"/>
    <n v="15.7"/>
    <x v="1"/>
    <s v="No"/>
    <s v="No"/>
    <n v="5"/>
    <s v="Closed"/>
    <s v="July"/>
    <x v="6"/>
    <n v="2026"/>
    <s v="Yes"/>
    <n v="1"/>
    <x v="1"/>
    <n v="1"/>
  </r>
  <r>
    <s v="T004506"/>
    <x v="4304"/>
    <d v="2026-07-24T02:56:00"/>
    <x v="6"/>
    <s v="Email"/>
    <x v="2"/>
    <s v="A025"/>
    <x v="2"/>
    <n v="4"/>
    <n v="10.5"/>
    <x v="1"/>
    <s v="No"/>
    <s v="No"/>
    <m/>
    <s v="Closed"/>
    <s v="July"/>
    <x v="6"/>
    <n v="2026"/>
    <s v="No"/>
    <n v="0"/>
    <x v="1"/>
    <n v="1"/>
  </r>
  <r>
    <s v="T004507"/>
    <x v="4305"/>
    <d v="2026-07-28T22:01:00"/>
    <x v="3"/>
    <s v="Field Visit"/>
    <x v="0"/>
    <s v="A013"/>
    <x v="0"/>
    <n v="72"/>
    <n v="124.5"/>
    <x v="1"/>
    <s v="No"/>
    <s v="No"/>
    <n v="4"/>
    <s v="Closed"/>
    <s v="July"/>
    <x v="6"/>
    <n v="2026"/>
    <s v="No"/>
    <n v="0"/>
    <x v="2"/>
    <n v="1"/>
  </r>
  <r>
    <s v="T004508"/>
    <x v="4306"/>
    <d v="2026-07-24T06:08:00"/>
    <x v="6"/>
    <s v="Phone"/>
    <x v="1"/>
    <s v="A041"/>
    <x v="1"/>
    <n v="24"/>
    <n v="12.3"/>
    <x v="1"/>
    <s v="No"/>
    <s v="No"/>
    <n v="5"/>
    <s v="Closed"/>
    <s v="July"/>
    <x v="6"/>
    <n v="2026"/>
    <s v="Yes"/>
    <n v="1"/>
    <x v="0"/>
    <n v="1"/>
  </r>
  <r>
    <s v="T004509"/>
    <x v="4307"/>
    <d v="2026-07-24T01:13:00"/>
    <x v="0"/>
    <s v="Chat"/>
    <x v="1"/>
    <s v="A034"/>
    <x v="2"/>
    <n v="24"/>
    <n v="6.6"/>
    <x v="1"/>
    <s v="No"/>
    <s v="No"/>
    <m/>
    <s v="Closed"/>
    <s v="July"/>
    <x v="6"/>
    <n v="2026"/>
    <s v="Yes"/>
    <n v="1"/>
    <x v="1"/>
    <n v="1"/>
  </r>
  <r>
    <s v="T004510"/>
    <x v="4308"/>
    <d v="2026-07-24T03:52:00"/>
    <x v="0"/>
    <s v="Phone"/>
    <x v="0"/>
    <s v="A003"/>
    <x v="0"/>
    <n v="72"/>
    <n v="8.6"/>
    <x v="1"/>
    <s v="No"/>
    <s v="No"/>
    <n v="5"/>
    <s v="Closed"/>
    <s v="July"/>
    <x v="6"/>
    <n v="2026"/>
    <s v="Yes"/>
    <n v="1"/>
    <x v="2"/>
    <n v="1"/>
  </r>
  <r>
    <s v="T004511"/>
    <x v="4309"/>
    <d v="2026-07-24T05:47:00"/>
    <x v="1"/>
    <s v="Chat"/>
    <x v="0"/>
    <s v="A044"/>
    <x v="1"/>
    <n v="72"/>
    <n v="1.6"/>
    <x v="1"/>
    <s v="No"/>
    <s v="No"/>
    <n v="5"/>
    <s v="Closed"/>
    <s v="July"/>
    <x v="6"/>
    <n v="2026"/>
    <s v="Yes"/>
    <n v="1"/>
    <x v="4"/>
    <n v="1"/>
  </r>
  <r>
    <s v="T004512"/>
    <x v="4310"/>
    <d v="2026-07-24T15:24:00"/>
    <x v="0"/>
    <s v="Chat"/>
    <x v="2"/>
    <s v="A040"/>
    <x v="1"/>
    <n v="4"/>
    <n v="8.1999999999999993"/>
    <x v="1"/>
    <s v="No"/>
    <s v="No"/>
    <n v="5"/>
    <s v="Closed"/>
    <s v="July"/>
    <x v="6"/>
    <n v="2026"/>
    <s v="No"/>
    <n v="0"/>
    <x v="3"/>
    <n v="1"/>
  </r>
  <r>
    <s v="T004513"/>
    <x v="4311"/>
    <d v="2026-07-24T12:12:00"/>
    <x v="6"/>
    <s v="Chat"/>
    <x v="1"/>
    <s v="A033"/>
    <x v="2"/>
    <n v="24"/>
    <n v="3.6"/>
    <x v="1"/>
    <s v="No"/>
    <s v="No"/>
    <n v="4"/>
    <s v="Closed"/>
    <s v="July"/>
    <x v="6"/>
    <n v="2026"/>
    <s v="Yes"/>
    <n v="1"/>
    <x v="1"/>
    <n v="1"/>
  </r>
  <r>
    <s v="T004514"/>
    <x v="4312"/>
    <d v="2026-07-25T19:11:00"/>
    <x v="2"/>
    <s v="Email"/>
    <x v="2"/>
    <s v="A012"/>
    <x v="0"/>
    <n v="4"/>
    <n v="33.6"/>
    <x v="0"/>
    <s v="No"/>
    <s v="No"/>
    <n v="4"/>
    <s v="Closed"/>
    <s v="July"/>
    <x v="6"/>
    <n v="2026"/>
    <s v="No"/>
    <n v="0"/>
    <x v="4"/>
    <n v="0"/>
  </r>
  <r>
    <s v="T004515"/>
    <x v="4313"/>
    <d v="2026-07-24T21:18:00"/>
    <x v="1"/>
    <s v="Phone"/>
    <x v="0"/>
    <s v="A042"/>
    <x v="1"/>
    <n v="72"/>
    <n v="11.4"/>
    <x v="1"/>
    <s v="No"/>
    <s v="No"/>
    <n v="5"/>
    <s v="Closed"/>
    <s v="July"/>
    <x v="6"/>
    <n v="2026"/>
    <s v="Yes"/>
    <n v="1"/>
    <x v="4"/>
    <n v="1"/>
  </r>
  <r>
    <s v="T004516"/>
    <x v="4314"/>
    <d v="2026-07-24T13:35:00"/>
    <x v="2"/>
    <s v="Chat"/>
    <x v="0"/>
    <s v="A037"/>
    <x v="1"/>
    <n v="72"/>
    <n v="3.4"/>
    <x v="1"/>
    <s v="No"/>
    <s v="No"/>
    <m/>
    <s v="Closed"/>
    <s v="July"/>
    <x v="6"/>
    <n v="2026"/>
    <s v="Yes"/>
    <n v="1"/>
    <x v="0"/>
    <n v="1"/>
  </r>
  <r>
    <s v="T004517"/>
    <x v="4315"/>
    <d v="2026-07-24T23:24:00"/>
    <x v="3"/>
    <s v="Chat"/>
    <x v="1"/>
    <s v="A051"/>
    <x v="1"/>
    <n v="24"/>
    <n v="12.3"/>
    <x v="0"/>
    <s v="Yes"/>
    <s v="No"/>
    <n v="2"/>
    <s v="Closed"/>
    <s v="July"/>
    <x v="6"/>
    <n v="2026"/>
    <s v="Yes"/>
    <n v="1"/>
    <x v="3"/>
    <n v="0"/>
  </r>
  <r>
    <s v="T004518"/>
    <x v="4316"/>
    <d v="2026-07-24T18:51:00"/>
    <x v="2"/>
    <s v="Phone"/>
    <x v="1"/>
    <s v="A029"/>
    <x v="2"/>
    <n v="24"/>
    <n v="7.4"/>
    <x v="1"/>
    <s v="No"/>
    <s v="No"/>
    <n v="5"/>
    <s v="Closed"/>
    <s v="July"/>
    <x v="6"/>
    <n v="2026"/>
    <s v="Yes"/>
    <n v="1"/>
    <x v="3"/>
    <n v="1"/>
  </r>
  <r>
    <s v="T004519"/>
    <x v="4317"/>
    <d v="2026-07-24T12:49:00"/>
    <x v="1"/>
    <s v="Chat"/>
    <x v="1"/>
    <s v="A039"/>
    <x v="1"/>
    <n v="24"/>
    <n v="1.2"/>
    <x v="1"/>
    <s v="No"/>
    <s v="Yes"/>
    <n v="3"/>
    <s v="Closed"/>
    <s v="July"/>
    <x v="6"/>
    <n v="2026"/>
    <s v="Yes"/>
    <n v="1"/>
    <x v="3"/>
    <n v="1"/>
  </r>
  <r>
    <s v="T004520"/>
    <x v="4318"/>
    <d v="2026-07-24T23:14:00"/>
    <x v="2"/>
    <s v="Chat"/>
    <x v="1"/>
    <s v="A008"/>
    <x v="0"/>
    <n v="24"/>
    <n v="11.6"/>
    <x v="1"/>
    <s v="No"/>
    <s v="No"/>
    <n v="5"/>
    <s v="Closed"/>
    <s v="July"/>
    <x v="6"/>
    <n v="2026"/>
    <s v="Yes"/>
    <n v="1"/>
    <x v="1"/>
    <n v="1"/>
  </r>
  <r>
    <s v="T004521"/>
    <x v="4319"/>
    <d v="2026-07-24T15:11:00"/>
    <x v="6"/>
    <s v="Chat"/>
    <x v="0"/>
    <s v="A015"/>
    <x v="0"/>
    <n v="72"/>
    <n v="3.4"/>
    <x v="1"/>
    <s v="No"/>
    <s v="No"/>
    <n v="4"/>
    <s v="Closed"/>
    <s v="July"/>
    <x v="6"/>
    <n v="2026"/>
    <s v="Yes"/>
    <n v="1"/>
    <x v="0"/>
    <n v="1"/>
  </r>
  <r>
    <s v="T004522"/>
    <x v="4320"/>
    <d v="2026-07-24T18:03:00"/>
    <x v="0"/>
    <s v="Phone"/>
    <x v="0"/>
    <s v="A037"/>
    <x v="1"/>
    <n v="72"/>
    <n v="6.2"/>
    <x v="1"/>
    <s v="No"/>
    <s v="No"/>
    <n v="3"/>
    <s v="Closed"/>
    <s v="July"/>
    <x v="6"/>
    <n v="2026"/>
    <s v="Yes"/>
    <n v="1"/>
    <x v="3"/>
    <n v="1"/>
  </r>
  <r>
    <s v="T004523"/>
    <x v="4321"/>
    <d v="2026-07-29T10:50:00"/>
    <x v="4"/>
    <s v="Field Visit"/>
    <x v="2"/>
    <s v="A052"/>
    <x v="1"/>
    <n v="4"/>
    <n v="118.9"/>
    <x v="0"/>
    <s v="No"/>
    <s v="No"/>
    <n v="4"/>
    <s v="Closed"/>
    <s v="July"/>
    <x v="6"/>
    <n v="2026"/>
    <s v="No"/>
    <n v="0"/>
    <x v="4"/>
    <n v="0"/>
  </r>
  <r>
    <s v="T004524"/>
    <x v="4322"/>
    <d v="2026-07-25T13:40:00"/>
    <x v="0"/>
    <s v="Email"/>
    <x v="0"/>
    <s v="A031"/>
    <x v="2"/>
    <n v="72"/>
    <n v="24.8"/>
    <x v="1"/>
    <s v="No"/>
    <s v="No"/>
    <m/>
    <s v="Closed"/>
    <s v="July"/>
    <x v="6"/>
    <n v="2026"/>
    <s v="Yes"/>
    <n v="1"/>
    <x v="4"/>
    <n v="1"/>
  </r>
  <r>
    <s v="T004525"/>
    <x v="4323"/>
    <d v="2026-07-25T08:10:00"/>
    <x v="3"/>
    <s v="Phone"/>
    <x v="1"/>
    <s v="A009"/>
    <x v="0"/>
    <n v="24"/>
    <n v="18.8"/>
    <x v="1"/>
    <s v="No"/>
    <s v="No"/>
    <n v="5"/>
    <s v="Closed"/>
    <s v="July"/>
    <x v="6"/>
    <n v="2026"/>
    <s v="Yes"/>
    <n v="1"/>
    <x v="4"/>
    <n v="1"/>
  </r>
  <r>
    <s v="T004526"/>
    <x v="4324"/>
    <d v="2026-07-25T18:26:00"/>
    <x v="2"/>
    <s v="Field Visit"/>
    <x v="1"/>
    <s v="A033"/>
    <x v="2"/>
    <n v="24"/>
    <n v="28.4"/>
    <x v="1"/>
    <s v="No"/>
    <s v="No"/>
    <m/>
    <s v="Closed"/>
    <s v="July"/>
    <x v="6"/>
    <n v="2026"/>
    <s v="No"/>
    <n v="0"/>
    <x v="2"/>
    <n v="1"/>
  </r>
  <r>
    <s v="T004527"/>
    <x v="4325"/>
    <d v="2026-07-31T17:34:00"/>
    <x v="4"/>
    <s v="Field Visit"/>
    <x v="1"/>
    <s v="A015"/>
    <x v="0"/>
    <n v="24"/>
    <n v="170.6"/>
    <x v="1"/>
    <s v="No"/>
    <s v="No"/>
    <n v="4"/>
    <s v="Closed"/>
    <s v="July"/>
    <x v="6"/>
    <n v="2026"/>
    <s v="No"/>
    <n v="0"/>
    <x v="2"/>
    <n v="1"/>
  </r>
  <r>
    <s v="T004528"/>
    <x v="4326"/>
    <d v="2026-07-24T22:53:00"/>
    <x v="3"/>
    <s v="Chat"/>
    <x v="1"/>
    <s v="A023"/>
    <x v="2"/>
    <n v="24"/>
    <n v="7.5"/>
    <x v="1"/>
    <s v="No"/>
    <s v="No"/>
    <n v="4"/>
    <s v="Closed"/>
    <s v="July"/>
    <x v="6"/>
    <n v="2026"/>
    <s v="Yes"/>
    <n v="1"/>
    <x v="0"/>
    <n v="1"/>
  </r>
  <r>
    <s v="T004529"/>
    <x v="4327"/>
    <d v="2026-08-02T07:11:00"/>
    <x v="4"/>
    <s v="Field Visit"/>
    <x v="0"/>
    <s v="A056"/>
    <x v="1"/>
    <n v="72"/>
    <n v="207.6"/>
    <x v="1"/>
    <s v="No"/>
    <s v="No"/>
    <n v="4"/>
    <s v="Closed"/>
    <s v="July"/>
    <x v="6"/>
    <n v="2026"/>
    <s v="No"/>
    <n v="0"/>
    <x v="4"/>
    <n v="1"/>
  </r>
  <r>
    <s v="T004530"/>
    <x v="4328"/>
    <d v="2026-07-25T09:45:00"/>
    <x v="1"/>
    <s v="Phone"/>
    <x v="0"/>
    <s v="A027"/>
    <x v="2"/>
    <n v="72"/>
    <n v="18.100000000000001"/>
    <x v="1"/>
    <s v="No"/>
    <s v="No"/>
    <n v="5"/>
    <s v="Closed"/>
    <s v="July"/>
    <x v="6"/>
    <n v="2026"/>
    <s v="Yes"/>
    <n v="1"/>
    <x v="2"/>
    <n v="1"/>
  </r>
  <r>
    <s v="T004531"/>
    <x v="4329"/>
    <d v="2026-07-25T01:40:00"/>
    <x v="3"/>
    <s v="Chat"/>
    <x v="1"/>
    <s v="A004"/>
    <x v="0"/>
    <n v="24"/>
    <n v="9.9"/>
    <x v="0"/>
    <s v="No"/>
    <s v="No"/>
    <n v="5"/>
    <s v="Closed"/>
    <s v="July"/>
    <x v="6"/>
    <n v="2026"/>
    <s v="Yes"/>
    <n v="1"/>
    <x v="3"/>
    <n v="0"/>
  </r>
  <r>
    <s v="T004532"/>
    <x v="4330"/>
    <d v="2026-07-26T02:55:00"/>
    <x v="3"/>
    <s v="Email"/>
    <x v="1"/>
    <s v="A031"/>
    <x v="2"/>
    <n v="24"/>
    <n v="34.9"/>
    <x v="1"/>
    <s v="No"/>
    <s v="No"/>
    <m/>
    <s v="Closed"/>
    <s v="July"/>
    <x v="6"/>
    <n v="2026"/>
    <s v="No"/>
    <n v="0"/>
    <x v="4"/>
    <n v="1"/>
  </r>
  <r>
    <s v="T004533"/>
    <x v="4331"/>
    <d v="2026-07-25T01:23:00"/>
    <x v="2"/>
    <s v="Field Visit"/>
    <x v="0"/>
    <s v="A031"/>
    <x v="2"/>
    <n v="72"/>
    <n v="6.3"/>
    <x v="1"/>
    <s v="No"/>
    <s v="No"/>
    <m/>
    <s v="Closed"/>
    <s v="July"/>
    <x v="6"/>
    <n v="2026"/>
    <s v="Yes"/>
    <n v="1"/>
    <x v="2"/>
    <n v="1"/>
  </r>
  <r>
    <s v="T004534"/>
    <x v="4332"/>
    <d v="2026-07-24T21:59:00"/>
    <x v="6"/>
    <s v="Phone"/>
    <x v="1"/>
    <s v="A044"/>
    <x v="1"/>
    <n v="24"/>
    <n v="2.7"/>
    <x v="1"/>
    <s v="No"/>
    <s v="No"/>
    <n v="4"/>
    <s v="Closed"/>
    <s v="July"/>
    <x v="6"/>
    <n v="2026"/>
    <s v="Yes"/>
    <n v="1"/>
    <x v="1"/>
    <n v="1"/>
  </r>
  <r>
    <s v="T004535"/>
    <x v="4333"/>
    <d v="2026-07-25T09:05:00"/>
    <x v="5"/>
    <s v="Email"/>
    <x v="1"/>
    <s v="A048"/>
    <x v="1"/>
    <n v="24"/>
    <n v="12.8"/>
    <x v="1"/>
    <s v="No"/>
    <s v="No"/>
    <m/>
    <s v="Closed"/>
    <s v="July"/>
    <x v="6"/>
    <n v="2026"/>
    <s v="Yes"/>
    <n v="1"/>
    <x v="1"/>
    <n v="1"/>
  </r>
  <r>
    <s v="T004536"/>
    <x v="4334"/>
    <d v="2026-07-26T03:58:00"/>
    <x v="6"/>
    <s v="Field Visit"/>
    <x v="1"/>
    <s v="A009"/>
    <x v="0"/>
    <n v="24"/>
    <n v="28.3"/>
    <x v="0"/>
    <s v="No"/>
    <s v="No"/>
    <n v="4"/>
    <s v="Closed"/>
    <s v="July"/>
    <x v="6"/>
    <n v="2026"/>
    <s v="No"/>
    <n v="0"/>
    <x v="1"/>
    <n v="0"/>
  </r>
  <r>
    <s v="T004537"/>
    <x v="4335"/>
    <d v="2026-07-26T03:48:00"/>
    <x v="0"/>
    <s v="Phone"/>
    <x v="1"/>
    <s v="A011"/>
    <x v="0"/>
    <n v="24"/>
    <n v="27.8"/>
    <x v="0"/>
    <s v="No"/>
    <s v="No"/>
    <n v="3"/>
    <s v="Closed"/>
    <s v="July"/>
    <x v="6"/>
    <n v="2026"/>
    <s v="No"/>
    <n v="0"/>
    <x v="4"/>
    <n v="0"/>
  </r>
  <r>
    <s v="T004538"/>
    <x v="4336"/>
    <d v="2026-07-29T16:54:00"/>
    <x v="4"/>
    <s v="Field Visit"/>
    <x v="0"/>
    <s v="A041"/>
    <x v="1"/>
    <n v="72"/>
    <n v="108.8"/>
    <x v="1"/>
    <s v="No"/>
    <s v="No"/>
    <m/>
    <s v="Closed"/>
    <s v="July"/>
    <x v="6"/>
    <n v="2026"/>
    <s v="No"/>
    <n v="0"/>
    <x v="3"/>
    <n v="1"/>
  </r>
  <r>
    <s v="T004539"/>
    <x v="4337"/>
    <d v="2026-07-25T15:22:00"/>
    <x v="2"/>
    <s v="Chat"/>
    <x v="1"/>
    <s v="A005"/>
    <x v="0"/>
    <n v="24"/>
    <n v="9.1999999999999993"/>
    <x v="1"/>
    <s v="No"/>
    <s v="No"/>
    <n v="2"/>
    <s v="Closed"/>
    <s v="July"/>
    <x v="6"/>
    <n v="2026"/>
    <s v="Yes"/>
    <n v="1"/>
    <x v="3"/>
    <n v="1"/>
  </r>
  <r>
    <s v="T004540"/>
    <x v="4338"/>
    <d v="2026-07-28T04:39:00"/>
    <x v="2"/>
    <s v="Field Visit"/>
    <x v="0"/>
    <s v="A008"/>
    <x v="0"/>
    <n v="72"/>
    <n v="70.099999999999994"/>
    <x v="1"/>
    <s v="No"/>
    <s v="No"/>
    <n v="5"/>
    <s v="Closed"/>
    <s v="July"/>
    <x v="6"/>
    <n v="2026"/>
    <s v="Yes"/>
    <n v="1"/>
    <x v="1"/>
    <n v="1"/>
  </r>
  <r>
    <s v="T004541"/>
    <x v="4339"/>
    <d v="2026-07-26T17:46:00"/>
    <x v="3"/>
    <s v="Phone"/>
    <x v="1"/>
    <s v="A044"/>
    <x v="1"/>
    <n v="24"/>
    <n v="34"/>
    <x v="0"/>
    <s v="No"/>
    <s v="No"/>
    <m/>
    <s v="Closed"/>
    <s v="July"/>
    <x v="6"/>
    <n v="2026"/>
    <s v="No"/>
    <n v="0"/>
    <x v="1"/>
    <n v="0"/>
  </r>
  <r>
    <s v="T004542"/>
    <x v="4340"/>
    <d v="2026-07-25T17:29:00"/>
    <x v="1"/>
    <s v="Email"/>
    <x v="1"/>
    <s v="A009"/>
    <x v="0"/>
    <n v="24"/>
    <n v="9.6"/>
    <x v="0"/>
    <s v="Yes"/>
    <s v="No"/>
    <n v="3"/>
    <s v="Closed"/>
    <s v="July"/>
    <x v="6"/>
    <n v="2026"/>
    <s v="Yes"/>
    <n v="1"/>
    <x v="1"/>
    <n v="0"/>
  </r>
  <r>
    <s v="T004543"/>
    <x v="4341"/>
    <d v="2026-07-26T00:07:00"/>
    <x v="1"/>
    <s v="Email"/>
    <x v="0"/>
    <s v="A046"/>
    <x v="1"/>
    <n v="72"/>
    <n v="15.6"/>
    <x v="1"/>
    <s v="No"/>
    <s v="No"/>
    <n v="3"/>
    <s v="Closed"/>
    <s v="July"/>
    <x v="6"/>
    <n v="2026"/>
    <s v="Yes"/>
    <n v="1"/>
    <x v="1"/>
    <n v="1"/>
  </r>
  <r>
    <s v="T004544"/>
    <x v="4342"/>
    <d v="2026-07-26T01:58:00"/>
    <x v="6"/>
    <s v="Email"/>
    <x v="2"/>
    <s v="A010"/>
    <x v="0"/>
    <n v="4"/>
    <n v="17.399999999999999"/>
    <x v="0"/>
    <s v="No"/>
    <s v="No"/>
    <n v="5"/>
    <s v="Closed"/>
    <s v="July"/>
    <x v="6"/>
    <n v="2026"/>
    <s v="No"/>
    <n v="0"/>
    <x v="1"/>
    <n v="0"/>
  </r>
  <r>
    <s v="T004545"/>
    <x v="4343"/>
    <d v="2026-07-26T12:15:00"/>
    <x v="5"/>
    <s v="Phone"/>
    <x v="1"/>
    <s v="A023"/>
    <x v="2"/>
    <n v="24"/>
    <n v="27.1"/>
    <x v="1"/>
    <s v="No"/>
    <s v="No"/>
    <n v="4"/>
    <s v="Closed"/>
    <s v="July"/>
    <x v="6"/>
    <n v="2026"/>
    <s v="No"/>
    <n v="0"/>
    <x v="1"/>
    <n v="1"/>
  </r>
  <r>
    <s v="T004546"/>
    <x v="4344"/>
    <d v="2026-07-29T09:03:00"/>
    <x v="3"/>
    <s v="Field Visit"/>
    <x v="1"/>
    <s v="A022"/>
    <x v="2"/>
    <n v="24"/>
    <n v="94.6"/>
    <x v="0"/>
    <s v="Yes"/>
    <s v="No"/>
    <m/>
    <s v="Closed"/>
    <s v="July"/>
    <x v="6"/>
    <n v="2026"/>
    <s v="No"/>
    <n v="0"/>
    <x v="3"/>
    <n v="0"/>
  </r>
  <r>
    <s v="T004547"/>
    <x v="4345"/>
    <d v="2026-07-25T13:24:00"/>
    <x v="1"/>
    <s v="Phone"/>
    <x v="1"/>
    <s v="A042"/>
    <x v="1"/>
    <n v="24"/>
    <n v="2.6"/>
    <x v="1"/>
    <s v="No"/>
    <s v="No"/>
    <n v="5"/>
    <s v="Closed"/>
    <s v="July"/>
    <x v="6"/>
    <n v="2026"/>
    <s v="Yes"/>
    <n v="1"/>
    <x v="4"/>
    <n v="1"/>
  </r>
  <r>
    <s v="T004548"/>
    <x v="4346"/>
    <d v="2026-07-25T19:15:00"/>
    <x v="0"/>
    <s v="Phone"/>
    <x v="0"/>
    <s v="A028"/>
    <x v="2"/>
    <n v="72"/>
    <n v="8.1"/>
    <x v="1"/>
    <s v="No"/>
    <s v="No"/>
    <n v="5"/>
    <s v="Closed"/>
    <s v="July"/>
    <x v="6"/>
    <n v="2026"/>
    <s v="Yes"/>
    <n v="1"/>
    <x v="1"/>
    <n v="1"/>
  </r>
  <r>
    <s v="T004549"/>
    <x v="4347"/>
    <d v="2026-07-26T10:30:00"/>
    <x v="2"/>
    <s v="Field Visit"/>
    <x v="2"/>
    <s v="A027"/>
    <x v="2"/>
    <n v="4"/>
    <n v="23.2"/>
    <x v="0"/>
    <s v="Yes"/>
    <s v="Yes"/>
    <m/>
    <s v="Closed"/>
    <s v="July"/>
    <x v="6"/>
    <n v="2026"/>
    <s v="No"/>
    <n v="0"/>
    <x v="1"/>
    <n v="0"/>
  </r>
  <r>
    <s v="T004550"/>
    <x v="4348"/>
    <d v="2026-07-25T19:35:00"/>
    <x v="1"/>
    <s v="Phone"/>
    <x v="0"/>
    <s v="A052"/>
    <x v="1"/>
    <n v="72"/>
    <n v="7.3"/>
    <x v="1"/>
    <s v="No"/>
    <s v="No"/>
    <n v="5"/>
    <s v="Closed"/>
    <s v="July"/>
    <x v="6"/>
    <n v="2026"/>
    <s v="Yes"/>
    <n v="1"/>
    <x v="3"/>
    <n v="1"/>
  </r>
  <r>
    <s v="T004551"/>
    <x v="4349"/>
    <d v="2026-07-25T14:54:00"/>
    <x v="6"/>
    <s v="Chat"/>
    <x v="2"/>
    <s v="A045"/>
    <x v="1"/>
    <n v="4"/>
    <n v="2.6"/>
    <x v="0"/>
    <s v="Yes"/>
    <s v="No"/>
    <m/>
    <s v="Closed"/>
    <s v="July"/>
    <x v="6"/>
    <n v="2026"/>
    <s v="Yes"/>
    <n v="1"/>
    <x v="0"/>
    <n v="0"/>
  </r>
  <r>
    <s v="T004552"/>
    <x v="4350"/>
    <d v="2026-07-27T11:50:00"/>
    <x v="5"/>
    <s v="Field Visit"/>
    <x v="1"/>
    <s v="A009"/>
    <x v="0"/>
    <n v="24"/>
    <n v="47.2"/>
    <x v="1"/>
    <s v="No"/>
    <s v="No"/>
    <n v="5"/>
    <s v="Closed"/>
    <s v="July"/>
    <x v="6"/>
    <n v="2026"/>
    <s v="No"/>
    <n v="0"/>
    <x v="4"/>
    <n v="1"/>
  </r>
  <r>
    <s v="T004553"/>
    <x v="4351"/>
    <d v="2026-07-26T01:27:00"/>
    <x v="2"/>
    <s v="Phone"/>
    <x v="2"/>
    <s v="A021"/>
    <x v="2"/>
    <n v="4"/>
    <n v="12.8"/>
    <x v="0"/>
    <s v="Yes"/>
    <s v="No"/>
    <n v="2"/>
    <s v="Closed"/>
    <s v="July"/>
    <x v="6"/>
    <n v="2026"/>
    <s v="No"/>
    <n v="0"/>
    <x v="0"/>
    <n v="0"/>
  </r>
  <r>
    <s v="T004554"/>
    <x v="4352"/>
    <d v="2026-07-25T23:48:00"/>
    <x v="0"/>
    <s v="Phone"/>
    <x v="1"/>
    <s v="A056"/>
    <x v="1"/>
    <n v="24"/>
    <n v="11"/>
    <x v="0"/>
    <s v="Yes"/>
    <s v="No"/>
    <n v="3"/>
    <s v="Closed"/>
    <s v="July"/>
    <x v="6"/>
    <n v="2026"/>
    <s v="Yes"/>
    <n v="1"/>
    <x v="0"/>
    <n v="0"/>
  </r>
  <r>
    <s v="T004555"/>
    <x v="4353"/>
    <d v="2026-07-25T21:26:00"/>
    <x v="5"/>
    <s v="Chat"/>
    <x v="1"/>
    <s v="A056"/>
    <x v="1"/>
    <n v="24"/>
    <n v="8.4"/>
    <x v="1"/>
    <s v="No"/>
    <s v="No"/>
    <m/>
    <s v="Closed"/>
    <s v="July"/>
    <x v="6"/>
    <n v="2026"/>
    <s v="Yes"/>
    <n v="1"/>
    <x v="3"/>
    <n v="1"/>
  </r>
  <r>
    <s v="T004556"/>
    <x v="4354"/>
    <d v="2026-07-29T06:55:00"/>
    <x v="4"/>
    <s v="Field Visit"/>
    <x v="1"/>
    <s v="A056"/>
    <x v="1"/>
    <n v="24"/>
    <n v="88.1"/>
    <x v="1"/>
    <s v="No"/>
    <s v="No"/>
    <n v="4"/>
    <s v="Closed"/>
    <s v="July"/>
    <x v="6"/>
    <n v="2026"/>
    <s v="No"/>
    <n v="0"/>
    <x v="0"/>
    <n v="1"/>
  </r>
  <r>
    <s v="T004557"/>
    <x v="4355"/>
    <d v="2026-07-25T18:28:00"/>
    <x v="6"/>
    <s v="Phone"/>
    <x v="1"/>
    <s v="A032"/>
    <x v="2"/>
    <n v="24"/>
    <n v="2.9"/>
    <x v="1"/>
    <s v="No"/>
    <s v="Yes"/>
    <n v="4"/>
    <s v="Closed"/>
    <s v="July"/>
    <x v="6"/>
    <n v="2026"/>
    <s v="Yes"/>
    <n v="1"/>
    <x v="2"/>
    <n v="1"/>
  </r>
  <r>
    <s v="T004558"/>
    <x v="4356"/>
    <d v="2026-07-26T03:26:00"/>
    <x v="3"/>
    <s v="Chat"/>
    <x v="1"/>
    <s v="A019"/>
    <x v="2"/>
    <n v="24"/>
    <n v="11.7"/>
    <x v="1"/>
    <s v="No"/>
    <s v="No"/>
    <n v="4"/>
    <s v="Closed"/>
    <s v="July"/>
    <x v="6"/>
    <n v="2026"/>
    <s v="Yes"/>
    <n v="1"/>
    <x v="0"/>
    <n v="1"/>
  </r>
  <r>
    <s v="T004559"/>
    <x v="4357"/>
    <d v="2026-07-26T03:58:00"/>
    <x v="1"/>
    <s v="Phone"/>
    <x v="2"/>
    <s v="A054"/>
    <x v="1"/>
    <n v="4"/>
    <n v="11.6"/>
    <x v="1"/>
    <s v="No"/>
    <s v="No"/>
    <m/>
    <s v="Closed"/>
    <s v="July"/>
    <x v="6"/>
    <n v="2026"/>
    <s v="No"/>
    <n v="0"/>
    <x v="2"/>
    <n v="1"/>
  </r>
  <r>
    <s v="T004560"/>
    <x v="4358"/>
    <d v="2026-07-28T00:06:00"/>
    <x v="0"/>
    <s v="Email"/>
    <x v="2"/>
    <s v="A006"/>
    <x v="0"/>
    <n v="4"/>
    <n v="51.1"/>
    <x v="0"/>
    <s v="Yes"/>
    <s v="Yes"/>
    <n v="4"/>
    <s v="Closed"/>
    <s v="July"/>
    <x v="6"/>
    <n v="2026"/>
    <s v="No"/>
    <n v="0"/>
    <x v="2"/>
    <n v="0"/>
  </r>
  <r>
    <s v="T004561"/>
    <x v="4359"/>
    <d v="2026-07-26T07:14:00"/>
    <x v="6"/>
    <s v="Chat"/>
    <x v="2"/>
    <s v="A044"/>
    <x v="1"/>
    <n v="4"/>
    <n v="4.9000000000000004"/>
    <x v="1"/>
    <s v="No"/>
    <s v="No"/>
    <n v="2"/>
    <s v="Closed"/>
    <s v="July"/>
    <x v="6"/>
    <n v="2026"/>
    <s v="No"/>
    <n v="0"/>
    <x v="4"/>
    <n v="1"/>
  </r>
  <r>
    <s v="T004562"/>
    <x v="4360"/>
    <d v="2026-07-27T02:49:00"/>
    <x v="0"/>
    <s v="Phone"/>
    <x v="0"/>
    <s v="A040"/>
    <x v="1"/>
    <n v="72"/>
    <n v="24.3"/>
    <x v="1"/>
    <s v="No"/>
    <s v="No"/>
    <n v="5"/>
    <s v="Closed"/>
    <s v="July"/>
    <x v="6"/>
    <n v="2026"/>
    <s v="Yes"/>
    <n v="1"/>
    <x v="4"/>
    <n v="1"/>
  </r>
  <r>
    <s v="T004563"/>
    <x v="4361"/>
    <d v="2026-07-26T17:09:00"/>
    <x v="3"/>
    <s v="Chat"/>
    <x v="1"/>
    <s v="A023"/>
    <x v="2"/>
    <n v="24"/>
    <n v="13.7"/>
    <x v="0"/>
    <s v="Yes"/>
    <s v="Yes"/>
    <n v="2"/>
    <s v="Closed"/>
    <s v="July"/>
    <x v="6"/>
    <n v="2026"/>
    <s v="Yes"/>
    <n v="1"/>
    <x v="3"/>
    <n v="0"/>
  </r>
  <r>
    <s v="T004564"/>
    <x v="4362"/>
    <d v="2026-07-26T17:50:00"/>
    <x v="6"/>
    <s v="Field Visit"/>
    <x v="2"/>
    <s v="A029"/>
    <x v="2"/>
    <n v="4"/>
    <n v="12.4"/>
    <x v="1"/>
    <s v="No"/>
    <s v="No"/>
    <n v="3"/>
    <s v="Closed"/>
    <s v="July"/>
    <x v="6"/>
    <n v="2026"/>
    <s v="No"/>
    <n v="0"/>
    <x v="0"/>
    <n v="1"/>
  </r>
  <r>
    <s v="T004565"/>
    <x v="4363"/>
    <d v="2026-07-26T16:48:00"/>
    <x v="1"/>
    <s v="Email"/>
    <x v="0"/>
    <s v="A030"/>
    <x v="2"/>
    <n v="72"/>
    <n v="10.7"/>
    <x v="0"/>
    <s v="No"/>
    <s v="No"/>
    <n v="3"/>
    <s v="Closed"/>
    <s v="July"/>
    <x v="6"/>
    <n v="2026"/>
    <s v="Yes"/>
    <n v="1"/>
    <x v="4"/>
    <n v="0"/>
  </r>
  <r>
    <s v="T004566"/>
    <x v="4364"/>
    <d v="2026-07-27T14:22:00"/>
    <x v="2"/>
    <s v="Email"/>
    <x v="2"/>
    <s v="A030"/>
    <x v="2"/>
    <n v="4"/>
    <n v="31.9"/>
    <x v="0"/>
    <s v="No"/>
    <s v="No"/>
    <n v="3"/>
    <s v="Closed"/>
    <s v="July"/>
    <x v="6"/>
    <n v="2026"/>
    <s v="No"/>
    <n v="0"/>
    <x v="4"/>
    <n v="0"/>
  </r>
  <r>
    <s v="T004567"/>
    <x v="4365"/>
    <d v="2026-07-26T16:53:00"/>
    <x v="0"/>
    <s v="Chat"/>
    <x v="1"/>
    <s v="A015"/>
    <x v="0"/>
    <n v="24"/>
    <n v="10.1"/>
    <x v="0"/>
    <s v="Yes"/>
    <s v="Yes"/>
    <n v="5"/>
    <s v="Closed"/>
    <s v="July"/>
    <x v="6"/>
    <n v="2026"/>
    <s v="Yes"/>
    <n v="1"/>
    <x v="2"/>
    <n v="0"/>
  </r>
  <r>
    <s v="T004568"/>
    <x v="4366"/>
    <d v="2026-07-26T15:25:00"/>
    <x v="5"/>
    <s v="Phone"/>
    <x v="0"/>
    <s v="A006"/>
    <x v="0"/>
    <n v="72"/>
    <n v="7.9"/>
    <x v="1"/>
    <s v="No"/>
    <s v="No"/>
    <n v="5"/>
    <s v="Closed"/>
    <s v="July"/>
    <x v="6"/>
    <n v="2026"/>
    <s v="Yes"/>
    <n v="1"/>
    <x v="4"/>
    <n v="1"/>
  </r>
  <r>
    <s v="T004569"/>
    <x v="4367"/>
    <d v="2026-07-27T09:14:00"/>
    <x v="0"/>
    <s v="Phone"/>
    <x v="1"/>
    <s v="A002"/>
    <x v="0"/>
    <n v="24"/>
    <n v="25.3"/>
    <x v="1"/>
    <s v="No"/>
    <s v="No"/>
    <m/>
    <s v="Closed"/>
    <s v="July"/>
    <x v="6"/>
    <n v="2026"/>
    <s v="No"/>
    <n v="0"/>
    <x v="0"/>
    <n v="1"/>
  </r>
  <r>
    <s v="T004570"/>
    <x v="4368"/>
    <d v="2026-08-01T17:16:00"/>
    <x v="4"/>
    <s v="Field Visit"/>
    <x v="1"/>
    <s v="A043"/>
    <x v="1"/>
    <n v="24"/>
    <n v="151.9"/>
    <x v="0"/>
    <s v="No"/>
    <s v="No"/>
    <n v="3"/>
    <s v="Closed"/>
    <s v="July"/>
    <x v="6"/>
    <n v="2026"/>
    <s v="No"/>
    <n v="0"/>
    <x v="1"/>
    <n v="0"/>
  </r>
  <r>
    <s v="T004571"/>
    <x v="4369"/>
    <d v="2026-07-27T17:11:00"/>
    <x v="3"/>
    <s v="Chat"/>
    <x v="1"/>
    <s v="A020"/>
    <x v="2"/>
    <n v="24"/>
    <n v="30.9"/>
    <x v="1"/>
    <s v="No"/>
    <s v="No"/>
    <n v="3"/>
    <s v="Closed"/>
    <s v="July"/>
    <x v="6"/>
    <n v="2026"/>
    <s v="No"/>
    <n v="0"/>
    <x v="4"/>
    <n v="1"/>
  </r>
  <r>
    <s v="T004572"/>
    <x v="4370"/>
    <d v="2026-07-27T19:38:00"/>
    <x v="3"/>
    <s v="Phone"/>
    <x v="0"/>
    <s v="A003"/>
    <x v="0"/>
    <n v="72"/>
    <n v="32.6"/>
    <x v="1"/>
    <s v="No"/>
    <s v="No"/>
    <m/>
    <s v="Closed"/>
    <s v="July"/>
    <x v="6"/>
    <n v="2026"/>
    <s v="Yes"/>
    <n v="1"/>
    <x v="1"/>
    <n v="1"/>
  </r>
  <r>
    <s v="T004573"/>
    <x v="4371"/>
    <d v="2026-07-28T18:39:00"/>
    <x v="2"/>
    <s v="Phone"/>
    <x v="1"/>
    <s v="A056"/>
    <x v="1"/>
    <n v="24"/>
    <n v="55.5"/>
    <x v="1"/>
    <s v="No"/>
    <s v="No"/>
    <m/>
    <s v="Closed"/>
    <s v="July"/>
    <x v="6"/>
    <n v="2026"/>
    <s v="No"/>
    <n v="0"/>
    <x v="4"/>
    <n v="1"/>
  </r>
  <r>
    <s v="T004574"/>
    <x v="4372"/>
    <d v="2026-07-27T15:47:00"/>
    <x v="2"/>
    <s v="Chat"/>
    <x v="2"/>
    <s v="A060"/>
    <x v="1"/>
    <n v="4"/>
    <m/>
    <x v="0"/>
    <s v="Yes"/>
    <s v="No"/>
    <n v="3"/>
    <s v="Closed"/>
    <s v="July"/>
    <x v="6"/>
    <n v="2026"/>
    <m/>
    <m/>
    <x v="4"/>
    <n v="0"/>
  </r>
  <r>
    <s v="T004575"/>
    <x v="4373"/>
    <d v="2026-07-26T17:31:00"/>
    <x v="6"/>
    <s v="Phone"/>
    <x v="2"/>
    <s v="A015"/>
    <x v="0"/>
    <n v="4"/>
    <n v="5.6"/>
    <x v="0"/>
    <s v="No"/>
    <s v="No"/>
    <n v="3"/>
    <s v="Closed"/>
    <s v="July"/>
    <x v="6"/>
    <n v="2026"/>
    <s v="No"/>
    <n v="0"/>
    <x v="3"/>
    <n v="0"/>
  </r>
  <r>
    <s v="T004576"/>
    <x v="4374"/>
    <d v="2026-07-27T19:22:00"/>
    <x v="6"/>
    <s v="Phone"/>
    <x v="2"/>
    <s v="A002"/>
    <x v="0"/>
    <n v="4"/>
    <n v="30.3"/>
    <x v="0"/>
    <s v="Yes"/>
    <s v="Yes"/>
    <n v="2"/>
    <s v="Closed"/>
    <s v="July"/>
    <x v="6"/>
    <n v="2026"/>
    <s v="No"/>
    <n v="0"/>
    <x v="2"/>
    <n v="0"/>
  </r>
  <r>
    <s v="T004577"/>
    <x v="4375"/>
    <d v="2026-07-29T23:10:00"/>
    <x v="2"/>
    <s v="Email"/>
    <x v="0"/>
    <s v="A007"/>
    <x v="0"/>
    <n v="72"/>
    <n v="81.599999999999994"/>
    <x v="1"/>
    <s v="No"/>
    <s v="No"/>
    <m/>
    <s v="Closed"/>
    <s v="July"/>
    <x v="6"/>
    <n v="2026"/>
    <s v="No"/>
    <n v="0"/>
    <x v="0"/>
    <n v="1"/>
  </r>
  <r>
    <s v="T004578"/>
    <x v="4376"/>
    <d v="2026-07-27T20:21:00"/>
    <x v="3"/>
    <s v="Phone"/>
    <x v="1"/>
    <s v="A012"/>
    <x v="0"/>
    <n v="24"/>
    <n v="30.1"/>
    <x v="1"/>
    <s v="No"/>
    <s v="No"/>
    <m/>
    <s v="Closed"/>
    <s v="July"/>
    <x v="6"/>
    <n v="2026"/>
    <s v="No"/>
    <n v="0"/>
    <x v="0"/>
    <n v="1"/>
  </r>
  <r>
    <s v="T004579"/>
    <x v="4377"/>
    <d v="2026-07-28T09:58:00"/>
    <x v="2"/>
    <s v="Email"/>
    <x v="1"/>
    <s v="A048"/>
    <x v="1"/>
    <n v="24"/>
    <n v="43.4"/>
    <x v="1"/>
    <s v="No"/>
    <s v="No"/>
    <n v="3"/>
    <s v="Closed"/>
    <s v="July"/>
    <x v="6"/>
    <n v="2026"/>
    <s v="No"/>
    <n v="0"/>
    <x v="2"/>
    <n v="1"/>
  </r>
  <r>
    <s v="T004580"/>
    <x v="4378"/>
    <d v="2026-07-27T02:46:00"/>
    <x v="0"/>
    <s v="Chat"/>
    <x v="1"/>
    <s v="A027"/>
    <x v="2"/>
    <n v="24"/>
    <n v="11.9"/>
    <x v="0"/>
    <s v="Yes"/>
    <s v="No"/>
    <n v="5"/>
    <s v="Closed"/>
    <s v="July"/>
    <x v="6"/>
    <n v="2026"/>
    <s v="Yes"/>
    <n v="1"/>
    <x v="1"/>
    <n v="0"/>
  </r>
  <r>
    <s v="T004581"/>
    <x v="4379"/>
    <d v="2026-07-27T05:11:00"/>
    <x v="3"/>
    <s v="Chat"/>
    <x v="2"/>
    <s v="A057"/>
    <x v="1"/>
    <n v="4"/>
    <n v="13"/>
    <x v="1"/>
    <s v="No"/>
    <s v="No"/>
    <n v="3"/>
    <s v="Closed"/>
    <s v="July"/>
    <x v="6"/>
    <n v="2026"/>
    <s v="No"/>
    <n v="0"/>
    <x v="3"/>
    <n v="1"/>
  </r>
  <r>
    <s v="T004582"/>
    <x v="4380"/>
    <d v="2026-07-27T06:46:00"/>
    <x v="6"/>
    <s v="Field Visit"/>
    <x v="2"/>
    <s v="A057"/>
    <x v="1"/>
    <n v="4"/>
    <n v="12.6"/>
    <x v="1"/>
    <s v="No"/>
    <s v="No"/>
    <n v="3"/>
    <s v="Closed"/>
    <s v="July"/>
    <x v="6"/>
    <n v="2026"/>
    <s v="No"/>
    <n v="0"/>
    <x v="4"/>
    <n v="1"/>
  </r>
  <r>
    <s v="T004583"/>
    <x v="4381"/>
    <d v="2026-07-27T02:22:00"/>
    <x v="5"/>
    <s v="Chat"/>
    <x v="1"/>
    <s v="A027"/>
    <x v="2"/>
    <n v="24"/>
    <n v="5.5"/>
    <x v="1"/>
    <s v="No"/>
    <s v="No"/>
    <n v="5"/>
    <s v="Closed"/>
    <s v="July"/>
    <x v="6"/>
    <n v="2026"/>
    <s v="Yes"/>
    <n v="1"/>
    <x v="1"/>
    <n v="1"/>
  </r>
  <r>
    <s v="T004584"/>
    <x v="4382"/>
    <d v="2026-07-29T13:07:00"/>
    <x v="4"/>
    <s v="Field Visit"/>
    <x v="0"/>
    <s v="A020"/>
    <x v="2"/>
    <n v="72"/>
    <n v="63.3"/>
    <x v="1"/>
    <s v="No"/>
    <s v="Yes"/>
    <n v="5"/>
    <s v="Closed"/>
    <s v="July"/>
    <x v="6"/>
    <n v="2026"/>
    <s v="Yes"/>
    <n v="1"/>
    <x v="4"/>
    <n v="1"/>
  </r>
  <r>
    <s v="T004586"/>
    <x v="4383"/>
    <d v="2026-07-27T12:32:00"/>
    <x v="6"/>
    <s v="Field Visit"/>
    <x v="1"/>
    <s v="A014"/>
    <x v="0"/>
    <n v="24"/>
    <n v="14.7"/>
    <x v="1"/>
    <s v="No"/>
    <s v="No"/>
    <n v="5"/>
    <s v="Closed"/>
    <s v="July"/>
    <x v="6"/>
    <n v="2026"/>
    <s v="Yes"/>
    <n v="1"/>
    <x v="2"/>
    <n v="1"/>
  </r>
  <r>
    <s v="T004585"/>
    <x v="4383"/>
    <d v="2026-07-28T07:56:00"/>
    <x v="3"/>
    <s v="Phone"/>
    <x v="2"/>
    <s v="A010"/>
    <x v="0"/>
    <n v="4"/>
    <n v="34.1"/>
    <x v="1"/>
    <s v="No"/>
    <s v="No"/>
    <m/>
    <s v="Closed"/>
    <s v="July"/>
    <x v="6"/>
    <n v="2026"/>
    <s v="No"/>
    <n v="0"/>
    <x v="1"/>
    <n v="1"/>
  </r>
  <r>
    <s v="T004587"/>
    <x v="4384"/>
    <d v="2026-07-27T14:10:00"/>
    <x v="6"/>
    <s v="Field Visit"/>
    <x v="1"/>
    <s v="A032"/>
    <x v="2"/>
    <n v="24"/>
    <n v="11.1"/>
    <x v="1"/>
    <s v="No"/>
    <s v="No"/>
    <n v="5"/>
    <s v="Closed"/>
    <s v="July"/>
    <x v="6"/>
    <n v="2026"/>
    <s v="Yes"/>
    <n v="1"/>
    <x v="0"/>
    <n v="1"/>
  </r>
  <r>
    <s v="T004588"/>
    <x v="4385"/>
    <d v="2026-07-28T17:56:00"/>
    <x v="6"/>
    <s v="Field Visit"/>
    <x v="2"/>
    <s v="A056"/>
    <x v="1"/>
    <n v="4"/>
    <n v="35.700000000000003"/>
    <x v="1"/>
    <s v="No"/>
    <s v="No"/>
    <n v="4"/>
    <s v="Closed"/>
    <s v="July"/>
    <x v="6"/>
    <n v="2026"/>
    <s v="No"/>
    <n v="0"/>
    <x v="1"/>
    <n v="1"/>
  </r>
  <r>
    <s v="T004589"/>
    <x v="4386"/>
    <d v="2026-07-28T12:57:00"/>
    <x v="6"/>
    <s v="Field Visit"/>
    <x v="2"/>
    <s v="A032"/>
    <x v="2"/>
    <n v="4"/>
    <n v="27.4"/>
    <x v="1"/>
    <s v="No"/>
    <s v="No"/>
    <m/>
    <s v="Closed"/>
    <s v="July"/>
    <x v="6"/>
    <n v="2026"/>
    <s v="No"/>
    <n v="0"/>
    <x v="0"/>
    <n v="1"/>
  </r>
  <r>
    <s v="T004590"/>
    <x v="4387"/>
    <d v="2026-07-27T13:19:00"/>
    <x v="0"/>
    <s v="Chat"/>
    <x v="0"/>
    <s v="A025"/>
    <x v="2"/>
    <n v="72"/>
    <n v="3.7"/>
    <x v="1"/>
    <s v="No"/>
    <s v="No"/>
    <m/>
    <s v="Closed"/>
    <s v="July"/>
    <x v="6"/>
    <n v="2026"/>
    <s v="Yes"/>
    <n v="1"/>
    <x v="2"/>
    <n v="1"/>
  </r>
  <r>
    <s v="T004591"/>
    <x v="4388"/>
    <d v="2026-07-28T09:31:00"/>
    <x v="1"/>
    <s v="Phone"/>
    <x v="0"/>
    <s v="A015"/>
    <x v="0"/>
    <n v="72"/>
    <n v="23.2"/>
    <x v="1"/>
    <s v="No"/>
    <s v="No"/>
    <m/>
    <s v="Closed"/>
    <s v="July"/>
    <x v="6"/>
    <n v="2026"/>
    <s v="Yes"/>
    <n v="1"/>
    <x v="2"/>
    <n v="1"/>
  </r>
  <r>
    <s v="T004592"/>
    <x v="4389"/>
    <d v="2026-07-27T16:40:00"/>
    <x v="1"/>
    <s v="Chat"/>
    <x v="1"/>
    <s v="A042"/>
    <x v="1"/>
    <n v="24"/>
    <n v="6"/>
    <x v="1"/>
    <s v="No"/>
    <s v="No"/>
    <n v="4"/>
    <s v="Closed"/>
    <s v="July"/>
    <x v="6"/>
    <n v="2026"/>
    <s v="Yes"/>
    <n v="1"/>
    <x v="2"/>
    <n v="1"/>
  </r>
  <r>
    <s v="T004593"/>
    <x v="4389"/>
    <d v="2026-07-27T21:16:00"/>
    <x v="0"/>
    <s v="Phone"/>
    <x v="1"/>
    <s v="A033"/>
    <x v="2"/>
    <n v="24"/>
    <n v="10.6"/>
    <x v="0"/>
    <s v="No"/>
    <s v="No"/>
    <m/>
    <s v="Closed"/>
    <s v="July"/>
    <x v="6"/>
    <n v="2026"/>
    <s v="Yes"/>
    <n v="1"/>
    <x v="2"/>
    <n v="0"/>
  </r>
  <r>
    <s v="T004594"/>
    <x v="4390"/>
    <d v="2026-07-27T21:36:00"/>
    <x v="6"/>
    <s v="Phone"/>
    <x v="2"/>
    <s v="A022"/>
    <x v="2"/>
    <n v="4"/>
    <n v="10.8"/>
    <x v="0"/>
    <s v="Yes"/>
    <s v="No"/>
    <n v="4"/>
    <s v="Closed"/>
    <s v="July"/>
    <x v="6"/>
    <n v="2026"/>
    <s v="No"/>
    <n v="0"/>
    <x v="1"/>
    <n v="0"/>
  </r>
  <r>
    <s v="T004595"/>
    <x v="4391"/>
    <d v="2026-07-27T21:10:00"/>
    <x v="0"/>
    <s v="Phone"/>
    <x v="1"/>
    <s v="A027"/>
    <x v="2"/>
    <n v="24"/>
    <n v="10"/>
    <x v="1"/>
    <s v="No"/>
    <s v="No"/>
    <m/>
    <s v="Closed"/>
    <s v="July"/>
    <x v="6"/>
    <n v="2026"/>
    <s v="Yes"/>
    <n v="1"/>
    <x v="3"/>
    <n v="1"/>
  </r>
  <r>
    <s v="T004596"/>
    <x v="4392"/>
    <d v="2026-07-28T12:32:00"/>
    <x v="4"/>
    <s v="Field Visit"/>
    <x v="1"/>
    <s v="A025"/>
    <x v="2"/>
    <n v="24"/>
    <n v="25.3"/>
    <x v="0"/>
    <s v="No"/>
    <s v="No"/>
    <n v="3"/>
    <s v="Closed"/>
    <s v="July"/>
    <x v="6"/>
    <n v="2026"/>
    <s v="No"/>
    <n v="0"/>
    <x v="4"/>
    <n v="0"/>
  </r>
  <r>
    <s v="T004597"/>
    <x v="4393"/>
    <d v="2026-07-27T15:23:00"/>
    <x v="2"/>
    <s v="Chat"/>
    <x v="0"/>
    <s v="A057"/>
    <x v="1"/>
    <n v="72"/>
    <n v="3.5"/>
    <x v="1"/>
    <s v="No"/>
    <s v="No"/>
    <n v="5"/>
    <s v="Closed"/>
    <s v="July"/>
    <x v="6"/>
    <n v="2026"/>
    <s v="Yes"/>
    <n v="1"/>
    <x v="1"/>
    <n v="1"/>
  </r>
  <r>
    <s v="T004598"/>
    <x v="4394"/>
    <d v="2026-07-28T05:03:00"/>
    <x v="2"/>
    <s v="Phone"/>
    <x v="2"/>
    <s v="A056"/>
    <x v="1"/>
    <n v="4"/>
    <n v="17.100000000000001"/>
    <x v="1"/>
    <s v="No"/>
    <s v="Yes"/>
    <n v="3"/>
    <s v="Closed"/>
    <s v="July"/>
    <x v="6"/>
    <n v="2026"/>
    <s v="No"/>
    <n v="0"/>
    <x v="0"/>
    <n v="1"/>
  </r>
  <r>
    <s v="T004599"/>
    <x v="4394"/>
    <d v="2026-07-27T17:09:00"/>
    <x v="5"/>
    <s v="Chat"/>
    <x v="1"/>
    <s v="A058"/>
    <x v="1"/>
    <n v="24"/>
    <n v="5.2"/>
    <x v="1"/>
    <s v="No"/>
    <s v="No"/>
    <n v="5"/>
    <s v="Closed"/>
    <s v="July"/>
    <x v="6"/>
    <n v="2026"/>
    <s v="Yes"/>
    <n v="1"/>
    <x v="3"/>
    <n v="1"/>
  </r>
  <r>
    <s v="T004600"/>
    <x v="4395"/>
    <d v="2026-07-27T15:36:00"/>
    <x v="1"/>
    <s v="Phone"/>
    <x v="0"/>
    <s v="A041"/>
    <x v="1"/>
    <n v="72"/>
    <n v="3.6"/>
    <x v="1"/>
    <s v="No"/>
    <s v="No"/>
    <n v="4"/>
    <s v="Closed"/>
    <s v="July"/>
    <x v="6"/>
    <n v="2026"/>
    <s v="Yes"/>
    <n v="1"/>
    <x v="2"/>
    <n v="1"/>
  </r>
  <r>
    <s v="T004601"/>
    <x v="4396"/>
    <d v="2026-07-27T20:10:00"/>
    <x v="5"/>
    <s v="Chat"/>
    <x v="0"/>
    <s v="A047"/>
    <x v="1"/>
    <n v="72"/>
    <n v="8.1"/>
    <x v="1"/>
    <s v="No"/>
    <s v="No"/>
    <m/>
    <s v="Closed"/>
    <s v="July"/>
    <x v="6"/>
    <n v="2026"/>
    <s v="Yes"/>
    <n v="1"/>
    <x v="1"/>
    <n v="1"/>
  </r>
  <r>
    <s v="T004602"/>
    <x v="4397"/>
    <d v="2026-07-27T16:39:00"/>
    <x v="2"/>
    <s v="Phone"/>
    <x v="1"/>
    <s v="A040"/>
    <x v="1"/>
    <n v="24"/>
    <n v="4.5"/>
    <x v="1"/>
    <s v="No"/>
    <s v="No"/>
    <n v="5"/>
    <s v="Closed"/>
    <s v="July"/>
    <x v="6"/>
    <n v="2026"/>
    <s v="Yes"/>
    <n v="1"/>
    <x v="2"/>
    <n v="1"/>
  </r>
  <r>
    <s v="T004603"/>
    <x v="4398"/>
    <d v="2026-07-28T10:34:00"/>
    <x v="3"/>
    <s v="Email"/>
    <x v="1"/>
    <s v="A055"/>
    <x v="1"/>
    <n v="24"/>
    <n v="22.4"/>
    <x v="1"/>
    <s v="No"/>
    <s v="No"/>
    <m/>
    <s v="Closed"/>
    <s v="July"/>
    <x v="6"/>
    <n v="2026"/>
    <s v="Yes"/>
    <n v="1"/>
    <x v="2"/>
    <n v="1"/>
  </r>
  <r>
    <s v="T004604"/>
    <x v="4399"/>
    <d v="2026-07-27T16:36:00"/>
    <x v="1"/>
    <s v="Phone"/>
    <x v="0"/>
    <s v="A057"/>
    <x v="1"/>
    <n v="72"/>
    <n v="4"/>
    <x v="1"/>
    <s v="No"/>
    <s v="No"/>
    <m/>
    <s v="Closed"/>
    <s v="July"/>
    <x v="6"/>
    <n v="2026"/>
    <s v="Yes"/>
    <n v="1"/>
    <x v="3"/>
    <n v="1"/>
  </r>
  <r>
    <s v="T004605"/>
    <x v="4400"/>
    <d v="2026-07-27T18:15:00"/>
    <x v="1"/>
    <s v="Email"/>
    <x v="0"/>
    <s v="A057"/>
    <x v="1"/>
    <n v="72"/>
    <n v="5.2"/>
    <x v="1"/>
    <s v="No"/>
    <s v="No"/>
    <n v="5"/>
    <s v="Closed"/>
    <s v="July"/>
    <x v="6"/>
    <n v="2026"/>
    <s v="Yes"/>
    <n v="1"/>
    <x v="4"/>
    <n v="1"/>
  </r>
  <r>
    <s v="T004606"/>
    <x v="4401"/>
    <d v="2026-07-29T12:05:00"/>
    <x v="0"/>
    <s v="Email"/>
    <x v="0"/>
    <s v="A034"/>
    <x v="2"/>
    <n v="72"/>
    <n v="46.9"/>
    <x v="0"/>
    <s v="No"/>
    <s v="Yes"/>
    <n v="4"/>
    <s v="Closed"/>
    <s v="July"/>
    <x v="6"/>
    <n v="2026"/>
    <s v="Yes"/>
    <n v="1"/>
    <x v="1"/>
    <n v="0"/>
  </r>
  <r>
    <s v="T004607"/>
    <x v="4402"/>
    <d v="2026-07-27T21:24:00"/>
    <x v="2"/>
    <s v="Phone"/>
    <x v="0"/>
    <s v="A027"/>
    <x v="2"/>
    <n v="72"/>
    <n v="7.5"/>
    <x v="1"/>
    <s v="No"/>
    <s v="No"/>
    <m/>
    <s v="Closed"/>
    <s v="July"/>
    <x v="6"/>
    <n v="2026"/>
    <s v="Yes"/>
    <n v="1"/>
    <x v="4"/>
    <n v="1"/>
  </r>
  <r>
    <s v="T004608"/>
    <x v="4403"/>
    <d v="2026-07-27T21:24:00"/>
    <x v="6"/>
    <s v="Phone"/>
    <x v="2"/>
    <s v="A009"/>
    <x v="0"/>
    <n v="4"/>
    <n v="7.1"/>
    <x v="0"/>
    <s v="Yes"/>
    <s v="No"/>
    <n v="3"/>
    <s v="Closed"/>
    <s v="July"/>
    <x v="6"/>
    <n v="2026"/>
    <s v="No"/>
    <n v="0"/>
    <x v="1"/>
    <n v="0"/>
  </r>
  <r>
    <s v="T004609"/>
    <x v="4404"/>
    <d v="2026-07-28T09:13:00"/>
    <x v="6"/>
    <s v="Field Visit"/>
    <x v="2"/>
    <s v="A016"/>
    <x v="2"/>
    <n v="4"/>
    <n v="16.7"/>
    <x v="1"/>
    <s v="No"/>
    <s v="No"/>
    <n v="4"/>
    <s v="Closed"/>
    <s v="July"/>
    <x v="6"/>
    <n v="2026"/>
    <s v="No"/>
    <n v="0"/>
    <x v="4"/>
    <n v="1"/>
  </r>
  <r>
    <s v="T004610"/>
    <x v="4405"/>
    <d v="2026-07-27T21:56:00"/>
    <x v="0"/>
    <s v="Chat"/>
    <x v="0"/>
    <s v="A046"/>
    <x v="1"/>
    <n v="72"/>
    <n v="4.5"/>
    <x v="1"/>
    <s v="No"/>
    <s v="No"/>
    <n v="5"/>
    <s v="Closed"/>
    <s v="July"/>
    <x v="6"/>
    <n v="2026"/>
    <s v="Yes"/>
    <n v="1"/>
    <x v="0"/>
    <n v="1"/>
  </r>
  <r>
    <s v="T004611"/>
    <x v="4406"/>
    <d v="2026-07-29T07:24:00"/>
    <x v="0"/>
    <s v="Field Visit"/>
    <x v="2"/>
    <s v="A015"/>
    <x v="0"/>
    <n v="4"/>
    <n v="37.299999999999997"/>
    <x v="1"/>
    <s v="No"/>
    <s v="No"/>
    <m/>
    <s v="Closed"/>
    <s v="July"/>
    <x v="6"/>
    <n v="2026"/>
    <s v="No"/>
    <n v="0"/>
    <x v="3"/>
    <n v="1"/>
  </r>
  <r>
    <s v="T004612"/>
    <x v="4407"/>
    <d v="2026-07-28T06:48:00"/>
    <x v="1"/>
    <s v="Email"/>
    <x v="1"/>
    <s v="A011"/>
    <x v="0"/>
    <n v="24"/>
    <n v="11.9"/>
    <x v="1"/>
    <s v="No"/>
    <s v="No"/>
    <m/>
    <s v="Closed"/>
    <s v="July"/>
    <x v="6"/>
    <n v="2026"/>
    <s v="Yes"/>
    <n v="1"/>
    <x v="2"/>
    <n v="1"/>
  </r>
  <r>
    <s v="T004613"/>
    <x v="4408"/>
    <d v="2026-07-27T23:17:00"/>
    <x v="1"/>
    <s v="Phone"/>
    <x v="0"/>
    <s v="A012"/>
    <x v="0"/>
    <n v="72"/>
    <n v="4.2"/>
    <x v="1"/>
    <s v="No"/>
    <s v="Yes"/>
    <n v="3"/>
    <s v="Closed"/>
    <s v="July"/>
    <x v="6"/>
    <n v="2026"/>
    <s v="Yes"/>
    <n v="1"/>
    <x v="1"/>
    <n v="1"/>
  </r>
  <r>
    <s v="T004614"/>
    <x v="4409"/>
    <d v="2026-07-28T00:18:00"/>
    <x v="1"/>
    <s v="Phone"/>
    <x v="0"/>
    <s v="A005"/>
    <x v="0"/>
    <n v="72"/>
    <n v="5.2"/>
    <x v="1"/>
    <s v="No"/>
    <s v="No"/>
    <m/>
    <s v="Closed"/>
    <s v="July"/>
    <x v="6"/>
    <n v="2026"/>
    <s v="Yes"/>
    <n v="1"/>
    <x v="1"/>
    <n v="1"/>
  </r>
  <r>
    <s v="T004615"/>
    <x v="4410"/>
    <d v="2026-07-28T22:23:00"/>
    <x v="6"/>
    <s v="Field Visit"/>
    <x v="2"/>
    <s v="A049"/>
    <x v="1"/>
    <n v="4"/>
    <n v="20.5"/>
    <x v="0"/>
    <s v="No"/>
    <s v="No"/>
    <n v="5"/>
    <s v="Closed"/>
    <s v="July"/>
    <x v="6"/>
    <n v="2026"/>
    <s v="No"/>
    <n v="0"/>
    <x v="2"/>
    <n v="0"/>
  </r>
  <r>
    <s v="T004616"/>
    <x v="4411"/>
    <d v="2026-07-29T03:05:00"/>
    <x v="4"/>
    <s v="Field Visit"/>
    <x v="1"/>
    <s v="A017"/>
    <x v="2"/>
    <n v="24"/>
    <n v="21.4"/>
    <x v="1"/>
    <s v="No"/>
    <s v="No"/>
    <n v="5"/>
    <s v="Closed"/>
    <s v="July"/>
    <x v="6"/>
    <n v="2026"/>
    <s v="Yes"/>
    <n v="1"/>
    <x v="1"/>
    <n v="1"/>
  </r>
  <r>
    <s v="T004617"/>
    <x v="4412"/>
    <d v="2026-07-29T18:30:00"/>
    <x v="2"/>
    <s v="Field Visit"/>
    <x v="0"/>
    <s v="A012"/>
    <x v="0"/>
    <n v="72"/>
    <n v="34.299999999999997"/>
    <x v="0"/>
    <s v="Yes"/>
    <s v="No"/>
    <m/>
    <s v="Closed"/>
    <s v="July"/>
    <x v="6"/>
    <n v="2026"/>
    <s v="Yes"/>
    <n v="1"/>
    <x v="0"/>
    <n v="0"/>
  </r>
  <r>
    <s v="T004618"/>
    <x v="4413"/>
    <d v="2026-07-28T14:38:00"/>
    <x v="1"/>
    <s v="Chat"/>
    <x v="0"/>
    <s v="A043"/>
    <x v="1"/>
    <n v="72"/>
    <n v="6.2"/>
    <x v="1"/>
    <s v="No"/>
    <s v="No"/>
    <n v="5"/>
    <s v="Closed"/>
    <s v="July"/>
    <x v="6"/>
    <n v="2026"/>
    <s v="Yes"/>
    <n v="1"/>
    <x v="2"/>
    <n v="1"/>
  </r>
  <r>
    <s v="T004619"/>
    <x v="4414"/>
    <d v="2026-07-29T13:11:00"/>
    <x v="4"/>
    <s v="Chat"/>
    <x v="1"/>
    <s v="A052"/>
    <x v="1"/>
    <n v="24"/>
    <n v="28.1"/>
    <x v="1"/>
    <s v="No"/>
    <s v="No"/>
    <n v="3"/>
    <s v="Closed"/>
    <s v="July"/>
    <x v="6"/>
    <n v="2026"/>
    <s v="No"/>
    <n v="0"/>
    <x v="2"/>
    <n v="1"/>
  </r>
  <r>
    <s v="T004620"/>
    <x v="4415"/>
    <d v="2026-07-28T16:33:00"/>
    <x v="1"/>
    <s v="Chat"/>
    <x v="0"/>
    <s v="A032"/>
    <x v="2"/>
    <n v="72"/>
    <n v="7.4"/>
    <x v="1"/>
    <s v="No"/>
    <s v="No"/>
    <n v="5"/>
    <s v="Closed"/>
    <s v="July"/>
    <x v="6"/>
    <n v="2026"/>
    <s v="Yes"/>
    <n v="1"/>
    <x v="3"/>
    <n v="1"/>
  </r>
  <r>
    <s v="T004621"/>
    <x v="4416"/>
    <d v="2026-07-28T14:22:00"/>
    <x v="2"/>
    <s v="Chat"/>
    <x v="1"/>
    <s v="A021"/>
    <x v="2"/>
    <n v="24"/>
    <n v="5.2"/>
    <x v="1"/>
    <s v="No"/>
    <s v="No"/>
    <n v="4"/>
    <s v="Closed"/>
    <s v="July"/>
    <x v="6"/>
    <n v="2026"/>
    <s v="Yes"/>
    <n v="1"/>
    <x v="4"/>
    <n v="1"/>
  </r>
  <r>
    <s v="T004623"/>
    <x v="4417"/>
    <d v="2026-07-28T12:32:00"/>
    <x v="1"/>
    <s v="Phone"/>
    <x v="1"/>
    <s v="A034"/>
    <x v="2"/>
    <n v="24"/>
    <n v="2.9"/>
    <x v="0"/>
    <s v="No"/>
    <s v="No"/>
    <n v="4"/>
    <s v="Closed"/>
    <s v="July"/>
    <x v="6"/>
    <n v="2026"/>
    <s v="Yes"/>
    <n v="1"/>
    <x v="0"/>
    <n v="0"/>
  </r>
  <r>
    <s v="T004622"/>
    <x v="4417"/>
    <d v="2026-07-30T07:56:00"/>
    <x v="2"/>
    <s v="Field Visit"/>
    <x v="2"/>
    <s v="A048"/>
    <x v="1"/>
    <n v="4"/>
    <n v="46.3"/>
    <x v="1"/>
    <s v="No"/>
    <s v="No"/>
    <n v="3"/>
    <s v="Closed"/>
    <s v="July"/>
    <x v="6"/>
    <n v="2026"/>
    <s v="No"/>
    <n v="0"/>
    <x v="4"/>
    <n v="1"/>
  </r>
  <r>
    <s v="T004624"/>
    <x v="4418"/>
    <d v="2026-07-28T17:03:00"/>
    <x v="6"/>
    <s v="Phone"/>
    <x v="2"/>
    <s v="A055"/>
    <x v="1"/>
    <n v="4"/>
    <n v="7"/>
    <x v="1"/>
    <s v="No"/>
    <s v="No"/>
    <n v="5"/>
    <s v="Closed"/>
    <s v="July"/>
    <x v="6"/>
    <n v="2026"/>
    <s v="No"/>
    <n v="0"/>
    <x v="1"/>
    <n v="1"/>
  </r>
  <r>
    <s v="T004625"/>
    <x v="4419"/>
    <d v="2026-07-28T23:08:00"/>
    <x v="6"/>
    <s v="Phone"/>
    <x v="2"/>
    <s v="A021"/>
    <x v="2"/>
    <n v="4"/>
    <n v="12.9"/>
    <x v="0"/>
    <s v="No"/>
    <s v="Yes"/>
    <n v="5"/>
    <s v="Closed"/>
    <s v="July"/>
    <x v="6"/>
    <n v="2026"/>
    <s v="No"/>
    <n v="0"/>
    <x v="4"/>
    <n v="0"/>
  </r>
  <r>
    <s v="T004626"/>
    <x v="4420"/>
    <d v="2026-07-29T23:21:00"/>
    <x v="0"/>
    <s v="Field Visit"/>
    <x v="1"/>
    <s v="A058"/>
    <x v="1"/>
    <n v="24"/>
    <n v="37"/>
    <x v="0"/>
    <s v="Yes"/>
    <s v="No"/>
    <m/>
    <s v="Closed"/>
    <s v="July"/>
    <x v="6"/>
    <n v="2026"/>
    <s v="No"/>
    <n v="0"/>
    <x v="1"/>
    <n v="0"/>
  </r>
  <r>
    <s v="T004627"/>
    <x v="4421"/>
    <d v="2026-07-28T14:25:00"/>
    <x v="6"/>
    <s v="Phone"/>
    <x v="2"/>
    <s v="A010"/>
    <x v="0"/>
    <n v="4"/>
    <n v="3.9"/>
    <x v="1"/>
    <s v="No"/>
    <s v="Yes"/>
    <n v="4"/>
    <s v="Closed"/>
    <s v="July"/>
    <x v="6"/>
    <n v="2026"/>
    <s v="Yes"/>
    <n v="1"/>
    <x v="2"/>
    <n v="1"/>
  </r>
  <r>
    <s v="T004628"/>
    <x v="4422"/>
    <d v="2026-07-29T06:20:00"/>
    <x v="3"/>
    <s v="Phone"/>
    <x v="1"/>
    <s v="A043"/>
    <x v="1"/>
    <n v="24"/>
    <n v="19.600000000000001"/>
    <x v="0"/>
    <s v="No"/>
    <s v="No"/>
    <n v="5"/>
    <s v="Closed"/>
    <s v="July"/>
    <x v="6"/>
    <n v="2026"/>
    <s v="Yes"/>
    <n v="1"/>
    <x v="4"/>
    <n v="0"/>
  </r>
  <r>
    <s v="T004629"/>
    <x v="4423"/>
    <d v="2026-07-29T17:17:00"/>
    <x v="3"/>
    <s v="Field Visit"/>
    <x v="0"/>
    <s v="A010"/>
    <x v="0"/>
    <n v="72"/>
    <n v="29.9"/>
    <x v="1"/>
    <s v="No"/>
    <s v="No"/>
    <n v="4"/>
    <s v="Closed"/>
    <s v="July"/>
    <x v="6"/>
    <n v="2026"/>
    <s v="Yes"/>
    <n v="1"/>
    <x v="0"/>
    <n v="1"/>
  </r>
  <r>
    <s v="T004631"/>
    <x v="4424"/>
    <d v="2026-07-28T14:30:00"/>
    <x v="1"/>
    <s v="Phone"/>
    <x v="0"/>
    <s v="A010"/>
    <x v="0"/>
    <n v="72"/>
    <n v="2.5"/>
    <x v="1"/>
    <s v="No"/>
    <s v="No"/>
    <n v="5"/>
    <s v="Closed"/>
    <s v="July"/>
    <x v="6"/>
    <n v="2026"/>
    <s v="Yes"/>
    <n v="1"/>
    <x v="4"/>
    <n v="1"/>
  </r>
  <r>
    <s v="T004630"/>
    <x v="4424"/>
    <d v="2026-07-28T15:18:00"/>
    <x v="1"/>
    <s v="Chat"/>
    <x v="1"/>
    <s v="A017"/>
    <x v="2"/>
    <n v="24"/>
    <n v="3.3"/>
    <x v="1"/>
    <s v="No"/>
    <s v="No"/>
    <n v="5"/>
    <s v="Closed"/>
    <s v="July"/>
    <x v="6"/>
    <n v="2026"/>
    <s v="Yes"/>
    <n v="1"/>
    <x v="2"/>
    <n v="1"/>
  </r>
  <r>
    <s v="T004633"/>
    <x v="4425"/>
    <d v="2026-07-29T21:30:00"/>
    <x v="4"/>
    <s v="Phone"/>
    <x v="0"/>
    <s v="A039"/>
    <x v="1"/>
    <n v="72"/>
    <n v="32.5"/>
    <x v="1"/>
    <s v="No"/>
    <s v="No"/>
    <n v="5"/>
    <s v="Closed"/>
    <s v="July"/>
    <x v="6"/>
    <n v="2026"/>
    <s v="Yes"/>
    <n v="1"/>
    <x v="2"/>
    <n v="1"/>
  </r>
  <r>
    <s v="T004632"/>
    <x v="4425"/>
    <d v="2026-08-01T17:48:00"/>
    <x v="4"/>
    <s v="Email"/>
    <x v="1"/>
    <s v="A003"/>
    <x v="0"/>
    <n v="24"/>
    <n v="100.8"/>
    <x v="0"/>
    <s v="Yes"/>
    <s v="No"/>
    <n v="4"/>
    <s v="Closed"/>
    <s v="July"/>
    <x v="6"/>
    <n v="2026"/>
    <s v="No"/>
    <n v="0"/>
    <x v="3"/>
    <n v="0"/>
  </r>
  <r>
    <s v="T004634"/>
    <x v="4426"/>
    <d v="2026-07-29T03:50:00"/>
    <x v="0"/>
    <s v="Phone"/>
    <x v="0"/>
    <s v="A004"/>
    <x v="0"/>
    <n v="72"/>
    <n v="14.5"/>
    <x v="0"/>
    <s v="No"/>
    <s v="Yes"/>
    <n v="4"/>
    <s v="Closed"/>
    <s v="July"/>
    <x v="6"/>
    <n v="2026"/>
    <s v="Yes"/>
    <n v="1"/>
    <x v="2"/>
    <n v="0"/>
  </r>
  <r>
    <s v="T004635"/>
    <x v="4427"/>
    <d v="2026-07-28T17:13:00"/>
    <x v="1"/>
    <s v="Chat"/>
    <x v="1"/>
    <s v="A009"/>
    <x v="0"/>
    <n v="24"/>
    <n v="3.8"/>
    <x v="1"/>
    <s v="No"/>
    <s v="No"/>
    <m/>
    <s v="Closed"/>
    <s v="July"/>
    <x v="6"/>
    <n v="2026"/>
    <s v="Yes"/>
    <n v="1"/>
    <x v="2"/>
    <n v="1"/>
  </r>
  <r>
    <s v="T004636"/>
    <x v="4428"/>
    <d v="2026-07-28T18:01:00"/>
    <x v="6"/>
    <s v="Phone"/>
    <x v="1"/>
    <s v="A030"/>
    <x v="2"/>
    <n v="24"/>
    <n v="4.4000000000000004"/>
    <x v="0"/>
    <s v="Yes"/>
    <s v="No"/>
    <n v="4"/>
    <s v="Closed"/>
    <s v="July"/>
    <x v="6"/>
    <n v="2026"/>
    <s v="Yes"/>
    <n v="1"/>
    <x v="4"/>
    <n v="0"/>
  </r>
  <r>
    <s v="T004637"/>
    <x v="4429"/>
    <d v="2026-07-28T20:03:00"/>
    <x v="5"/>
    <s v="Phone"/>
    <x v="1"/>
    <s v="A010"/>
    <x v="0"/>
    <n v="24"/>
    <n v="6"/>
    <x v="0"/>
    <s v="No"/>
    <s v="No"/>
    <m/>
    <s v="Closed"/>
    <s v="July"/>
    <x v="6"/>
    <n v="2026"/>
    <s v="Yes"/>
    <n v="1"/>
    <x v="2"/>
    <n v="0"/>
  </r>
  <r>
    <s v="T004638"/>
    <x v="4430"/>
    <d v="2026-07-28T20:07:00"/>
    <x v="2"/>
    <s v="Chat"/>
    <x v="1"/>
    <s v="A047"/>
    <x v="1"/>
    <n v="24"/>
    <n v="5.3"/>
    <x v="1"/>
    <s v="No"/>
    <s v="No"/>
    <n v="5"/>
    <s v="Closed"/>
    <s v="July"/>
    <x v="6"/>
    <n v="2026"/>
    <s v="Yes"/>
    <n v="1"/>
    <x v="4"/>
    <n v="1"/>
  </r>
  <r>
    <s v="T004639"/>
    <x v="4431"/>
    <d v="2026-07-29T07:00:00"/>
    <x v="3"/>
    <s v="Field Visit"/>
    <x v="1"/>
    <s v="A038"/>
    <x v="1"/>
    <n v="24"/>
    <n v="16.100000000000001"/>
    <x v="1"/>
    <s v="No"/>
    <s v="No"/>
    <n v="5"/>
    <s v="Closed"/>
    <s v="July"/>
    <x v="6"/>
    <n v="2026"/>
    <s v="Yes"/>
    <n v="1"/>
    <x v="0"/>
    <n v="1"/>
  </r>
  <r>
    <s v="T004640"/>
    <x v="4432"/>
    <d v="2026-07-29T11:04:00"/>
    <x v="3"/>
    <s v="Field Visit"/>
    <x v="2"/>
    <s v="A015"/>
    <x v="0"/>
    <n v="4"/>
    <n v="19.100000000000001"/>
    <x v="1"/>
    <s v="No"/>
    <s v="No"/>
    <n v="5"/>
    <s v="Closed"/>
    <s v="July"/>
    <x v="6"/>
    <n v="2026"/>
    <s v="No"/>
    <n v="0"/>
    <x v="4"/>
    <n v="1"/>
  </r>
  <r>
    <s v="T004641"/>
    <x v="4433"/>
    <d v="2026-07-29T09:04:00"/>
    <x v="4"/>
    <s v="Phone"/>
    <x v="1"/>
    <s v="A050"/>
    <x v="1"/>
    <n v="24"/>
    <n v="16.7"/>
    <x v="1"/>
    <s v="No"/>
    <s v="No"/>
    <m/>
    <s v="Closed"/>
    <s v="July"/>
    <x v="6"/>
    <n v="2026"/>
    <s v="Yes"/>
    <n v="1"/>
    <x v="3"/>
    <n v="1"/>
  </r>
  <r>
    <s v="T004642"/>
    <x v="4434"/>
    <d v="2026-07-29T21:52:00"/>
    <x v="0"/>
    <s v="Field Visit"/>
    <x v="0"/>
    <s v="A033"/>
    <x v="2"/>
    <n v="72"/>
    <n v="27.8"/>
    <x v="1"/>
    <s v="No"/>
    <s v="No"/>
    <n v="5"/>
    <s v="Closed"/>
    <s v="July"/>
    <x v="6"/>
    <n v="2026"/>
    <s v="Yes"/>
    <n v="1"/>
    <x v="3"/>
    <n v="1"/>
  </r>
  <r>
    <s v="T004643"/>
    <x v="4435"/>
    <d v="2026-07-29T04:25:00"/>
    <x v="2"/>
    <s v="Phone"/>
    <x v="2"/>
    <s v="A007"/>
    <x v="0"/>
    <n v="4"/>
    <n v="8.5"/>
    <x v="1"/>
    <s v="No"/>
    <s v="No"/>
    <m/>
    <s v="Closed"/>
    <s v="July"/>
    <x v="6"/>
    <n v="2026"/>
    <s v="No"/>
    <n v="0"/>
    <x v="2"/>
    <n v="1"/>
  </r>
  <r>
    <s v="T004644"/>
    <x v="4436"/>
    <d v="2026-07-29T11:42:00"/>
    <x v="6"/>
    <s v="Chat"/>
    <x v="2"/>
    <s v="A056"/>
    <x v="1"/>
    <n v="4"/>
    <n v="3.6"/>
    <x v="1"/>
    <s v="No"/>
    <s v="No"/>
    <n v="4"/>
    <s v="Closed"/>
    <s v="July"/>
    <x v="6"/>
    <n v="2026"/>
    <s v="Yes"/>
    <n v="1"/>
    <x v="2"/>
    <n v="1"/>
  </r>
  <r>
    <s v="T004645"/>
    <x v="4437"/>
    <d v="2026-07-31T01:05:00"/>
    <x v="2"/>
    <s v="Field Visit"/>
    <x v="2"/>
    <s v="A033"/>
    <x v="2"/>
    <n v="4"/>
    <n v="40.200000000000003"/>
    <x v="1"/>
    <s v="No"/>
    <s v="Yes"/>
    <m/>
    <s v="Closed"/>
    <s v="July"/>
    <x v="6"/>
    <n v="2026"/>
    <s v="No"/>
    <n v="0"/>
    <x v="2"/>
    <n v="1"/>
  </r>
  <r>
    <s v="T004646"/>
    <x v="4438"/>
    <d v="2026-07-29T11:21:00"/>
    <x v="1"/>
    <s v="Chat"/>
    <x v="1"/>
    <s v="A026"/>
    <x v="2"/>
    <n v="24"/>
    <n v="2.2999999999999998"/>
    <x v="1"/>
    <s v="No"/>
    <s v="No"/>
    <n v="4"/>
    <s v="Closed"/>
    <s v="July"/>
    <x v="6"/>
    <n v="2026"/>
    <s v="Yes"/>
    <n v="1"/>
    <x v="4"/>
    <n v="1"/>
  </r>
  <r>
    <s v="T004647"/>
    <x v="4439"/>
    <d v="2026-07-29T15:51:00"/>
    <x v="5"/>
    <s v="Phone"/>
    <x v="2"/>
    <s v="A051"/>
    <x v="1"/>
    <n v="4"/>
    <n v="6.5"/>
    <x v="1"/>
    <s v="No"/>
    <s v="No"/>
    <n v="5"/>
    <s v="Closed"/>
    <s v="July"/>
    <x v="6"/>
    <n v="2026"/>
    <s v="No"/>
    <n v="0"/>
    <x v="1"/>
    <n v="1"/>
  </r>
  <r>
    <s v="T004648"/>
    <x v="4440"/>
    <d v="2026-07-29T19:25:00"/>
    <x v="2"/>
    <s v="Phone"/>
    <x v="0"/>
    <s v="A032"/>
    <x v="2"/>
    <n v="72"/>
    <n v="8.9"/>
    <x v="1"/>
    <s v="No"/>
    <s v="No"/>
    <m/>
    <s v="Closed"/>
    <s v="July"/>
    <x v="6"/>
    <n v="2026"/>
    <s v="Yes"/>
    <n v="1"/>
    <x v="1"/>
    <n v="1"/>
  </r>
  <r>
    <s v="T004649"/>
    <x v="4441"/>
    <d v="2026-07-29T18:23:00"/>
    <x v="1"/>
    <s v="Email"/>
    <x v="0"/>
    <s v="A008"/>
    <x v="0"/>
    <n v="72"/>
    <n v="7.3"/>
    <x v="1"/>
    <s v="No"/>
    <s v="No"/>
    <m/>
    <s v="Closed"/>
    <s v="July"/>
    <x v="6"/>
    <n v="2026"/>
    <s v="Yes"/>
    <n v="1"/>
    <x v="3"/>
    <n v="1"/>
  </r>
  <r>
    <s v="T004650"/>
    <x v="4442"/>
    <d v="2026-07-29T21:49:00"/>
    <x v="3"/>
    <s v="Phone"/>
    <x v="0"/>
    <s v="A022"/>
    <x v="2"/>
    <n v="72"/>
    <n v="9.6"/>
    <x v="1"/>
    <s v="No"/>
    <s v="No"/>
    <n v="5"/>
    <s v="Closed"/>
    <s v="July"/>
    <x v="6"/>
    <n v="2026"/>
    <s v="Yes"/>
    <n v="1"/>
    <x v="4"/>
    <n v="1"/>
  </r>
  <r>
    <s v="T004651"/>
    <x v="4443"/>
    <d v="2026-08-02T11:27:00"/>
    <x v="0"/>
    <s v="Field Visit"/>
    <x v="0"/>
    <s v="A012"/>
    <x v="0"/>
    <n v="72"/>
    <n v="95.2"/>
    <x v="1"/>
    <s v="No"/>
    <s v="No"/>
    <n v="5"/>
    <s v="Closed"/>
    <s v="July"/>
    <x v="6"/>
    <n v="2026"/>
    <s v="No"/>
    <n v="0"/>
    <x v="4"/>
    <n v="1"/>
  </r>
  <r>
    <s v="T004652"/>
    <x v="4444"/>
    <d v="2026-07-29T18:53:00"/>
    <x v="5"/>
    <s v="Phone"/>
    <x v="0"/>
    <s v="A021"/>
    <x v="2"/>
    <n v="72"/>
    <n v="6.4"/>
    <x v="1"/>
    <s v="No"/>
    <s v="Yes"/>
    <m/>
    <s v="Closed"/>
    <s v="July"/>
    <x v="6"/>
    <n v="2026"/>
    <s v="Yes"/>
    <n v="1"/>
    <x v="0"/>
    <n v="1"/>
  </r>
  <r>
    <s v="T004653"/>
    <x v="4445"/>
    <d v="2026-07-30T01:09:00"/>
    <x v="3"/>
    <s v="Phone"/>
    <x v="1"/>
    <s v="A035"/>
    <x v="2"/>
    <n v="24"/>
    <n v="12.6"/>
    <x v="0"/>
    <s v="No"/>
    <s v="No"/>
    <n v="3"/>
    <s v="Closed"/>
    <s v="July"/>
    <x v="6"/>
    <n v="2026"/>
    <s v="Yes"/>
    <n v="1"/>
    <x v="4"/>
    <n v="0"/>
  </r>
  <r>
    <s v="T004654"/>
    <x v="4446"/>
    <d v="2026-08-01T19:59:00"/>
    <x v="5"/>
    <s v="Field Visit"/>
    <x v="1"/>
    <s v="A012"/>
    <x v="0"/>
    <n v="24"/>
    <n v="78.900000000000006"/>
    <x v="1"/>
    <s v="No"/>
    <s v="No"/>
    <n v="5"/>
    <s v="Closed"/>
    <s v="July"/>
    <x v="6"/>
    <n v="2026"/>
    <s v="No"/>
    <n v="0"/>
    <x v="2"/>
    <n v="1"/>
  </r>
  <r>
    <s v="T004655"/>
    <x v="4446"/>
    <d v="2026-07-29T16:35:00"/>
    <x v="5"/>
    <s v="Chat"/>
    <x v="1"/>
    <s v="A035"/>
    <x v="2"/>
    <n v="24"/>
    <n v="3.5"/>
    <x v="0"/>
    <s v="No"/>
    <s v="No"/>
    <m/>
    <s v="Closed"/>
    <s v="July"/>
    <x v="6"/>
    <n v="2026"/>
    <s v="Yes"/>
    <n v="1"/>
    <x v="1"/>
    <n v="0"/>
  </r>
  <r>
    <s v="T004656"/>
    <x v="4447"/>
    <d v="2026-07-29T14:36:00"/>
    <x v="1"/>
    <s v="Chat"/>
    <x v="0"/>
    <s v="A028"/>
    <x v="2"/>
    <n v="72"/>
    <n v="1"/>
    <x v="1"/>
    <s v="No"/>
    <s v="No"/>
    <n v="4"/>
    <s v="Closed"/>
    <s v="July"/>
    <x v="6"/>
    <n v="2026"/>
    <s v="Yes"/>
    <n v="1"/>
    <x v="3"/>
    <n v="1"/>
  </r>
  <r>
    <s v="T004657"/>
    <x v="4448"/>
    <d v="2026-07-30T01:21:00"/>
    <x v="5"/>
    <s v="Chat"/>
    <x v="1"/>
    <s v="A008"/>
    <x v="0"/>
    <n v="24"/>
    <n v="11.5"/>
    <x v="1"/>
    <s v="No"/>
    <s v="No"/>
    <m/>
    <s v="Closed"/>
    <s v="July"/>
    <x v="6"/>
    <n v="2026"/>
    <s v="Yes"/>
    <n v="1"/>
    <x v="4"/>
    <n v="1"/>
  </r>
  <r>
    <s v="T004658"/>
    <x v="4449"/>
    <d v="2026-07-30T03:46:00"/>
    <x v="2"/>
    <s v="Field Visit"/>
    <x v="1"/>
    <s v="A024"/>
    <x v="2"/>
    <n v="24"/>
    <n v="13.9"/>
    <x v="0"/>
    <s v="Yes"/>
    <s v="No"/>
    <n v="3"/>
    <s v="Closed"/>
    <s v="July"/>
    <x v="6"/>
    <n v="2026"/>
    <s v="Yes"/>
    <n v="1"/>
    <x v="2"/>
    <n v="0"/>
  </r>
  <r>
    <s v="T004659"/>
    <x v="4450"/>
    <d v="2026-07-29T20:17:00"/>
    <x v="5"/>
    <s v="Phone"/>
    <x v="0"/>
    <s v="A020"/>
    <x v="2"/>
    <n v="72"/>
    <n v="5.3"/>
    <x v="1"/>
    <s v="No"/>
    <s v="No"/>
    <m/>
    <s v="Closed"/>
    <s v="July"/>
    <x v="6"/>
    <n v="2026"/>
    <s v="Yes"/>
    <n v="1"/>
    <x v="3"/>
    <n v="1"/>
  </r>
  <r>
    <s v="T004660"/>
    <x v="4451"/>
    <d v="2026-07-30T08:21:00"/>
    <x v="0"/>
    <s v="Email"/>
    <x v="0"/>
    <s v="A046"/>
    <x v="1"/>
    <n v="72"/>
    <n v="17.2"/>
    <x v="1"/>
    <s v="No"/>
    <s v="No"/>
    <n v="4"/>
    <s v="Closed"/>
    <s v="July"/>
    <x v="6"/>
    <n v="2026"/>
    <s v="Yes"/>
    <n v="1"/>
    <x v="1"/>
    <n v="1"/>
  </r>
  <r>
    <s v="T004661"/>
    <x v="4452"/>
    <d v="2026-07-30T16:23:00"/>
    <x v="5"/>
    <s v="Field Visit"/>
    <x v="2"/>
    <s v="A019"/>
    <x v="2"/>
    <n v="4"/>
    <n v="24.8"/>
    <x v="1"/>
    <s v="No"/>
    <s v="No"/>
    <n v="5"/>
    <s v="Closed"/>
    <s v="July"/>
    <x v="6"/>
    <n v="2026"/>
    <s v="No"/>
    <n v="0"/>
    <x v="0"/>
    <n v="1"/>
  </r>
  <r>
    <s v="T004662"/>
    <x v="4453"/>
    <d v="2026-07-30T13:06:00"/>
    <x v="0"/>
    <s v="Email"/>
    <x v="0"/>
    <s v="A014"/>
    <x v="0"/>
    <n v="72"/>
    <n v="20.6"/>
    <x v="0"/>
    <s v="No"/>
    <s v="No"/>
    <m/>
    <s v="Closed"/>
    <s v="July"/>
    <x v="6"/>
    <n v="2026"/>
    <s v="Yes"/>
    <n v="1"/>
    <x v="4"/>
    <n v="0"/>
  </r>
  <r>
    <s v="T004663"/>
    <x v="4454"/>
    <d v="2026-07-30T08:55:00"/>
    <x v="5"/>
    <s v="Chat"/>
    <x v="2"/>
    <s v="A011"/>
    <x v="0"/>
    <n v="4"/>
    <n v="15.7"/>
    <x v="1"/>
    <s v="No"/>
    <s v="No"/>
    <n v="4"/>
    <s v="Closed"/>
    <s v="July"/>
    <x v="6"/>
    <n v="2026"/>
    <s v="No"/>
    <n v="0"/>
    <x v="2"/>
    <n v="1"/>
  </r>
  <r>
    <s v="T004664"/>
    <x v="4455"/>
    <d v="2026-07-31T05:40:00"/>
    <x v="3"/>
    <s v="Field Visit"/>
    <x v="0"/>
    <s v="A002"/>
    <x v="0"/>
    <n v="72"/>
    <n v="36.200000000000003"/>
    <x v="0"/>
    <s v="No"/>
    <s v="No"/>
    <m/>
    <s v="Closed"/>
    <s v="July"/>
    <x v="6"/>
    <n v="2026"/>
    <s v="Yes"/>
    <n v="1"/>
    <x v="4"/>
    <n v="0"/>
  </r>
  <r>
    <s v="T004665"/>
    <x v="4456"/>
    <d v="2026-07-30T00:06:00"/>
    <x v="5"/>
    <s v="Chat"/>
    <x v="1"/>
    <s v="A044"/>
    <x v="1"/>
    <n v="24"/>
    <n v="6.3"/>
    <x v="1"/>
    <s v="No"/>
    <s v="No"/>
    <n v="5"/>
    <s v="Closed"/>
    <s v="July"/>
    <x v="6"/>
    <n v="2026"/>
    <s v="Yes"/>
    <n v="1"/>
    <x v="0"/>
    <n v="1"/>
  </r>
  <r>
    <s v="T004666"/>
    <x v="4457"/>
    <d v="2026-07-30T04:43:00"/>
    <x v="0"/>
    <s v="Phone"/>
    <x v="2"/>
    <s v="A042"/>
    <x v="1"/>
    <n v="4"/>
    <n v="9.1999999999999993"/>
    <x v="1"/>
    <s v="No"/>
    <s v="No"/>
    <m/>
    <s v="Closed"/>
    <s v="July"/>
    <x v="6"/>
    <n v="2026"/>
    <s v="No"/>
    <n v="0"/>
    <x v="1"/>
    <n v="1"/>
  </r>
  <r>
    <s v="T004667"/>
    <x v="4458"/>
    <d v="2026-07-31T12:53:00"/>
    <x v="4"/>
    <s v="Phone"/>
    <x v="1"/>
    <s v="A041"/>
    <x v="1"/>
    <n v="24"/>
    <n v="30.8"/>
    <x v="1"/>
    <s v="No"/>
    <s v="No"/>
    <m/>
    <s v="Closed"/>
    <s v="July"/>
    <x v="6"/>
    <n v="2026"/>
    <s v="No"/>
    <n v="0"/>
    <x v="3"/>
    <n v="1"/>
  </r>
  <r>
    <s v="T004668"/>
    <x v="4459"/>
    <d v="2026-07-30T11:02:00"/>
    <x v="0"/>
    <s v="Phone"/>
    <x v="0"/>
    <s v="A026"/>
    <x v="2"/>
    <n v="72"/>
    <n v="4"/>
    <x v="1"/>
    <s v="No"/>
    <s v="No"/>
    <n v="5"/>
    <s v="Closed"/>
    <s v="July"/>
    <x v="6"/>
    <n v="2026"/>
    <s v="Yes"/>
    <n v="1"/>
    <x v="3"/>
    <n v="1"/>
  </r>
  <r>
    <s v="T004669"/>
    <x v="4460"/>
    <d v="2026-08-01T17:44:00"/>
    <x v="6"/>
    <s v="Field Visit"/>
    <x v="1"/>
    <s v="A047"/>
    <x v="1"/>
    <n v="24"/>
    <n v="57.6"/>
    <x v="1"/>
    <s v="No"/>
    <s v="No"/>
    <n v="4"/>
    <s v="Closed"/>
    <s v="July"/>
    <x v="6"/>
    <n v="2026"/>
    <s v="No"/>
    <n v="0"/>
    <x v="2"/>
    <n v="1"/>
  </r>
  <r>
    <s v="T004670"/>
    <x v="4461"/>
    <d v="2026-08-01T12:11:00"/>
    <x v="6"/>
    <s v="Field Visit"/>
    <x v="2"/>
    <s v="A003"/>
    <x v="0"/>
    <n v="4"/>
    <n v="50"/>
    <x v="1"/>
    <s v="No"/>
    <s v="No"/>
    <n v="5"/>
    <s v="Closed"/>
    <s v="July"/>
    <x v="6"/>
    <n v="2026"/>
    <s v="No"/>
    <n v="0"/>
    <x v="2"/>
    <n v="1"/>
  </r>
  <r>
    <s v="T004671"/>
    <x v="4462"/>
    <d v="2026-07-30T15:23:00"/>
    <x v="6"/>
    <s v="Chat"/>
    <x v="2"/>
    <s v="A014"/>
    <x v="0"/>
    <n v="4"/>
    <n v="4.5"/>
    <x v="0"/>
    <s v="No"/>
    <s v="No"/>
    <n v="3"/>
    <s v="Closed"/>
    <s v="July"/>
    <x v="6"/>
    <n v="2026"/>
    <s v="No"/>
    <n v="0"/>
    <x v="2"/>
    <n v="0"/>
  </r>
  <r>
    <s v="T004672"/>
    <x v="4463"/>
    <d v="2026-07-31T18:15:00"/>
    <x v="3"/>
    <s v="Field Visit"/>
    <x v="1"/>
    <s v="A058"/>
    <x v="1"/>
    <n v="24"/>
    <n v="29.8"/>
    <x v="0"/>
    <s v="Yes"/>
    <s v="No"/>
    <n v="3"/>
    <s v="Closed"/>
    <s v="July"/>
    <x v="6"/>
    <n v="2026"/>
    <s v="No"/>
    <n v="0"/>
    <x v="4"/>
    <n v="0"/>
  </r>
  <r>
    <s v="T004673"/>
    <x v="4464"/>
    <d v="2026-08-04T04:44:00"/>
    <x v="0"/>
    <s v="Field Visit"/>
    <x v="1"/>
    <s v="A015"/>
    <x v="0"/>
    <n v="24"/>
    <n v="111.3"/>
    <x v="0"/>
    <s v="Yes"/>
    <s v="No"/>
    <m/>
    <s v="Closed"/>
    <s v="July"/>
    <x v="6"/>
    <n v="2026"/>
    <s v="No"/>
    <n v="0"/>
    <x v="4"/>
    <n v="0"/>
  </r>
  <r>
    <s v="T004674"/>
    <x v="4465"/>
    <d v="2026-07-31T00:02:00"/>
    <x v="1"/>
    <s v="Phone"/>
    <x v="1"/>
    <s v="A051"/>
    <x v="1"/>
    <n v="24"/>
    <n v="10"/>
    <x v="1"/>
    <s v="No"/>
    <s v="No"/>
    <n v="5"/>
    <s v="Closed"/>
    <s v="July"/>
    <x v="6"/>
    <n v="2026"/>
    <s v="Yes"/>
    <n v="1"/>
    <x v="4"/>
    <n v="1"/>
  </r>
  <r>
    <s v="T004675"/>
    <x v="4466"/>
    <d v="2026-07-31T10:13:00"/>
    <x v="2"/>
    <s v="Chat"/>
    <x v="1"/>
    <s v="A011"/>
    <x v="0"/>
    <n v="24"/>
    <n v="19.600000000000001"/>
    <x v="0"/>
    <s v="Yes"/>
    <s v="No"/>
    <m/>
    <s v="Closed"/>
    <s v="July"/>
    <x v="6"/>
    <n v="2026"/>
    <s v="Yes"/>
    <n v="1"/>
    <x v="4"/>
    <n v="0"/>
  </r>
  <r>
    <s v="T004676"/>
    <x v="4467"/>
    <d v="2026-07-31T08:11:00"/>
    <x v="0"/>
    <s v="Field Visit"/>
    <x v="0"/>
    <s v="A016"/>
    <x v="2"/>
    <n v="72"/>
    <n v="17.3"/>
    <x v="1"/>
    <s v="No"/>
    <s v="No"/>
    <n v="5"/>
    <s v="Closed"/>
    <s v="July"/>
    <x v="6"/>
    <n v="2026"/>
    <s v="Yes"/>
    <n v="1"/>
    <x v="4"/>
    <n v="1"/>
  </r>
  <r>
    <s v="T004677"/>
    <x v="4468"/>
    <d v="2026-07-31T07:20:00"/>
    <x v="3"/>
    <s v="Phone"/>
    <x v="1"/>
    <s v="A036"/>
    <x v="1"/>
    <n v="24"/>
    <n v="16.399999999999999"/>
    <x v="1"/>
    <s v="No"/>
    <s v="No"/>
    <m/>
    <s v="Closed"/>
    <s v="July"/>
    <x v="6"/>
    <n v="2026"/>
    <s v="Yes"/>
    <n v="1"/>
    <x v="4"/>
    <n v="1"/>
  </r>
  <r>
    <s v="T004678"/>
    <x v="4469"/>
    <d v="2026-08-03T03:32:00"/>
    <x v="4"/>
    <s v="Field Visit"/>
    <x v="2"/>
    <s v="A021"/>
    <x v="2"/>
    <n v="4"/>
    <n v="84.3"/>
    <x v="0"/>
    <s v="No"/>
    <s v="No"/>
    <n v="3"/>
    <s v="Closed"/>
    <s v="July"/>
    <x v="6"/>
    <n v="2026"/>
    <s v="No"/>
    <n v="0"/>
    <x v="4"/>
    <n v="0"/>
  </r>
  <r>
    <s v="T004679"/>
    <x v="4470"/>
    <d v="2026-07-31T02:46:00"/>
    <x v="0"/>
    <s v="Phone"/>
    <x v="2"/>
    <s v="A036"/>
    <x v="1"/>
    <n v="4"/>
    <n v="11.4"/>
    <x v="1"/>
    <s v="No"/>
    <s v="No"/>
    <n v="3"/>
    <s v="Closed"/>
    <s v="July"/>
    <x v="6"/>
    <n v="2026"/>
    <s v="No"/>
    <n v="0"/>
    <x v="3"/>
    <n v="1"/>
  </r>
  <r>
    <s v="T004680"/>
    <x v="4471"/>
    <d v="2026-07-30T18:45:00"/>
    <x v="0"/>
    <s v="Chat"/>
    <x v="0"/>
    <s v="A018"/>
    <x v="2"/>
    <n v="72"/>
    <n v="2.4"/>
    <x v="0"/>
    <s v="No"/>
    <s v="No"/>
    <n v="4"/>
    <s v="Closed"/>
    <s v="July"/>
    <x v="6"/>
    <n v="2026"/>
    <s v="Yes"/>
    <n v="1"/>
    <x v="1"/>
    <n v="0"/>
  </r>
  <r>
    <s v="T004681"/>
    <x v="4472"/>
    <d v="2026-08-01T09:56:00"/>
    <x v="3"/>
    <s v="Field Visit"/>
    <x v="1"/>
    <s v="A042"/>
    <x v="1"/>
    <n v="24"/>
    <n v="41.3"/>
    <x v="1"/>
    <s v="No"/>
    <s v="No"/>
    <m/>
    <s v="Closed"/>
    <s v="July"/>
    <x v="6"/>
    <n v="2026"/>
    <s v="No"/>
    <n v="0"/>
    <x v="4"/>
    <n v="1"/>
  </r>
  <r>
    <s v="T004682"/>
    <x v="4473"/>
    <d v="2026-07-31T08:31:00"/>
    <x v="0"/>
    <s v="Email"/>
    <x v="2"/>
    <s v="A044"/>
    <x v="1"/>
    <n v="4"/>
    <n v="15.2"/>
    <x v="1"/>
    <s v="No"/>
    <s v="No"/>
    <n v="4"/>
    <s v="Closed"/>
    <s v="July"/>
    <x v="6"/>
    <n v="2026"/>
    <s v="No"/>
    <n v="0"/>
    <x v="1"/>
    <n v="1"/>
  </r>
  <r>
    <s v="T004683"/>
    <x v="4474"/>
    <d v="2026-07-31T06:54:00"/>
    <x v="2"/>
    <s v="Phone"/>
    <x v="1"/>
    <s v="A003"/>
    <x v="0"/>
    <n v="24"/>
    <n v="13.1"/>
    <x v="1"/>
    <s v="No"/>
    <s v="No"/>
    <m/>
    <s v="Closed"/>
    <s v="July"/>
    <x v="6"/>
    <n v="2026"/>
    <s v="Yes"/>
    <n v="1"/>
    <x v="2"/>
    <n v="1"/>
  </r>
  <r>
    <s v="T004684"/>
    <x v="4475"/>
    <d v="2026-08-01T00:14:00"/>
    <x v="0"/>
    <s v="Phone"/>
    <x v="1"/>
    <s v="A035"/>
    <x v="2"/>
    <n v="24"/>
    <n v="29.1"/>
    <x v="0"/>
    <s v="Yes"/>
    <s v="No"/>
    <n v="4"/>
    <s v="Closed"/>
    <s v="July"/>
    <x v="6"/>
    <n v="2026"/>
    <s v="No"/>
    <n v="0"/>
    <x v="3"/>
    <n v="0"/>
  </r>
  <r>
    <s v="T004685"/>
    <x v="4476"/>
    <d v="2026-07-31T19:34:00"/>
    <x v="4"/>
    <s v="Chat"/>
    <x v="0"/>
    <s v="A052"/>
    <x v="1"/>
    <n v="72"/>
    <n v="23.9"/>
    <x v="1"/>
    <s v="No"/>
    <s v="No"/>
    <n v="5"/>
    <s v="Closed"/>
    <s v="July"/>
    <x v="6"/>
    <n v="2026"/>
    <s v="Yes"/>
    <n v="1"/>
    <x v="3"/>
    <n v="1"/>
  </r>
  <r>
    <s v="T004686"/>
    <x v="4477"/>
    <d v="2026-07-31T08:32:00"/>
    <x v="6"/>
    <s v="Phone"/>
    <x v="2"/>
    <s v="A021"/>
    <x v="2"/>
    <n v="4"/>
    <n v="4"/>
    <x v="0"/>
    <s v="No"/>
    <s v="No"/>
    <m/>
    <s v="Closed"/>
    <s v="July"/>
    <x v="6"/>
    <n v="2026"/>
    <s v="Yes"/>
    <n v="1"/>
    <x v="1"/>
    <n v="0"/>
  </r>
  <r>
    <s v="T004687"/>
    <x v="4477"/>
    <d v="2026-08-02T01:08:00"/>
    <x v="6"/>
    <s v="Field Visit"/>
    <x v="2"/>
    <s v="A030"/>
    <x v="2"/>
    <n v="4"/>
    <n v="44.6"/>
    <x v="0"/>
    <s v="No"/>
    <s v="No"/>
    <m/>
    <s v="Closed"/>
    <s v="July"/>
    <x v="6"/>
    <n v="2026"/>
    <s v="No"/>
    <n v="0"/>
    <x v="3"/>
    <n v="0"/>
  </r>
  <r>
    <s v="T004688"/>
    <x v="4478"/>
    <d v="2026-08-01T23:45:00"/>
    <x v="4"/>
    <s v="Phone"/>
    <x v="2"/>
    <s v="A004"/>
    <x v="0"/>
    <n v="4"/>
    <n v="42.6"/>
    <x v="0"/>
    <s v="Yes"/>
    <s v="No"/>
    <n v="2"/>
    <s v="Closed"/>
    <s v="July"/>
    <x v="6"/>
    <n v="2026"/>
    <s v="No"/>
    <n v="0"/>
    <x v="1"/>
    <n v="0"/>
  </r>
  <r>
    <s v="T004689"/>
    <x v="4479"/>
    <d v="2026-07-31T18:25:00"/>
    <x v="1"/>
    <s v="Chat"/>
    <x v="1"/>
    <s v="A027"/>
    <x v="2"/>
    <n v="24"/>
    <n v="10.5"/>
    <x v="1"/>
    <s v="No"/>
    <s v="No"/>
    <n v="5"/>
    <s v="Closed"/>
    <s v="July"/>
    <x v="6"/>
    <n v="2026"/>
    <s v="Yes"/>
    <n v="1"/>
    <x v="2"/>
    <n v="1"/>
  </r>
  <r>
    <s v="T004690"/>
    <x v="4480"/>
    <d v="2026-07-31T15:35:00"/>
    <x v="2"/>
    <s v="Chat"/>
    <x v="0"/>
    <s v="A005"/>
    <x v="0"/>
    <n v="72"/>
    <n v="5.4"/>
    <x v="0"/>
    <s v="No"/>
    <s v="No"/>
    <m/>
    <s v="Closed"/>
    <s v="July"/>
    <x v="6"/>
    <n v="2026"/>
    <s v="Yes"/>
    <n v="1"/>
    <x v="4"/>
    <n v="0"/>
  </r>
  <r>
    <s v="T004691"/>
    <x v="4481"/>
    <d v="2026-08-02T01:38:00"/>
    <x v="2"/>
    <s v="Field Visit"/>
    <x v="1"/>
    <s v="A013"/>
    <x v="0"/>
    <n v="24"/>
    <n v="39.4"/>
    <x v="1"/>
    <s v="No"/>
    <s v="No"/>
    <n v="4"/>
    <s v="Closed"/>
    <s v="July"/>
    <x v="6"/>
    <n v="2026"/>
    <s v="No"/>
    <n v="0"/>
    <x v="4"/>
    <n v="1"/>
  </r>
  <r>
    <s v="T004692"/>
    <x v="4482"/>
    <d v="2026-08-05T07:09:00"/>
    <x v="4"/>
    <s v="Field Visit"/>
    <x v="1"/>
    <s v="A038"/>
    <x v="1"/>
    <n v="24"/>
    <n v="116.5"/>
    <x v="1"/>
    <s v="No"/>
    <s v="No"/>
    <m/>
    <s v="Closed"/>
    <s v="July"/>
    <x v="6"/>
    <n v="2026"/>
    <s v="No"/>
    <n v="0"/>
    <x v="3"/>
    <n v="1"/>
  </r>
  <r>
    <s v="T004693"/>
    <x v="4483"/>
    <d v="2026-07-31T16:08:00"/>
    <x v="6"/>
    <s v="Chat"/>
    <x v="1"/>
    <s v="A001"/>
    <x v="0"/>
    <n v="24"/>
    <n v="4.5"/>
    <x v="1"/>
    <s v="No"/>
    <s v="No"/>
    <m/>
    <s v="Closed"/>
    <s v="July"/>
    <x v="6"/>
    <n v="2026"/>
    <s v="Yes"/>
    <n v="1"/>
    <x v="1"/>
    <n v="1"/>
  </r>
  <r>
    <s v="T004694"/>
    <x v="4484"/>
    <d v="2026-07-31T16:07:00"/>
    <x v="2"/>
    <s v="Chat"/>
    <x v="0"/>
    <s v="A023"/>
    <x v="2"/>
    <n v="72"/>
    <n v="4.2"/>
    <x v="1"/>
    <s v="No"/>
    <s v="No"/>
    <n v="4"/>
    <s v="Closed"/>
    <s v="July"/>
    <x v="6"/>
    <n v="2026"/>
    <s v="Yes"/>
    <n v="1"/>
    <x v="3"/>
    <n v="1"/>
  </r>
  <r>
    <s v="T004695"/>
    <x v="4485"/>
    <d v="2026-08-01T09:59:00"/>
    <x v="2"/>
    <s v="Field Visit"/>
    <x v="0"/>
    <s v="A013"/>
    <x v="0"/>
    <n v="72"/>
    <n v="21.6"/>
    <x v="1"/>
    <s v="No"/>
    <s v="No"/>
    <n v="4"/>
    <s v="Closed"/>
    <s v="July"/>
    <x v="6"/>
    <n v="2026"/>
    <s v="Yes"/>
    <n v="1"/>
    <x v="3"/>
    <n v="1"/>
  </r>
  <r>
    <s v="T004696"/>
    <x v="4486"/>
    <d v="2026-08-12T20:05:00"/>
    <x v="4"/>
    <s v="Email"/>
    <x v="1"/>
    <s v="A003"/>
    <x v="0"/>
    <n v="24"/>
    <n v="295.3"/>
    <x v="1"/>
    <s v="No"/>
    <s v="No"/>
    <m/>
    <s v="Closed"/>
    <s v="July"/>
    <x v="6"/>
    <n v="2026"/>
    <s v="No"/>
    <n v="0"/>
    <x v="2"/>
    <n v="1"/>
  </r>
  <r>
    <s v="T004697"/>
    <x v="4487"/>
    <d v="2026-07-31T16:13:00"/>
    <x v="6"/>
    <s v="Chat"/>
    <x v="2"/>
    <s v="A017"/>
    <x v="2"/>
    <n v="4"/>
    <n v="2.6"/>
    <x v="0"/>
    <s v="Yes"/>
    <s v="No"/>
    <m/>
    <s v="Closed"/>
    <s v="July"/>
    <x v="6"/>
    <n v="2026"/>
    <s v="Yes"/>
    <n v="1"/>
    <x v="2"/>
    <n v="0"/>
  </r>
  <r>
    <s v="T004698"/>
    <x v="4488"/>
    <d v="2026-08-01T23:13:00"/>
    <x v="2"/>
    <s v="Field Visit"/>
    <x v="1"/>
    <s v="A058"/>
    <x v="1"/>
    <n v="24"/>
    <n v="33.5"/>
    <x v="1"/>
    <s v="No"/>
    <s v="No"/>
    <n v="5"/>
    <s v="Closed"/>
    <s v="July"/>
    <x v="6"/>
    <n v="2026"/>
    <s v="No"/>
    <n v="0"/>
    <x v="2"/>
    <n v="1"/>
  </r>
  <r>
    <s v="T004699"/>
    <x v="4489"/>
    <d v="2026-08-03T20:14:00"/>
    <x v="4"/>
    <s v="Field Visit"/>
    <x v="1"/>
    <s v="A047"/>
    <x v="1"/>
    <n v="24"/>
    <n v="77.599999999999994"/>
    <x v="0"/>
    <s v="Yes"/>
    <s v="No"/>
    <n v="2"/>
    <s v="Closed"/>
    <s v="July"/>
    <x v="6"/>
    <n v="2026"/>
    <s v="No"/>
    <n v="0"/>
    <x v="3"/>
    <n v="0"/>
  </r>
  <r>
    <s v="T004700"/>
    <x v="4490"/>
    <d v="2026-08-01T12:41:00"/>
    <x v="3"/>
    <s v="Field Visit"/>
    <x v="1"/>
    <s v="A040"/>
    <x v="1"/>
    <n v="24"/>
    <n v="21.5"/>
    <x v="1"/>
    <s v="No"/>
    <s v="No"/>
    <m/>
    <s v="Closed"/>
    <s v="July"/>
    <x v="6"/>
    <n v="2026"/>
    <s v="Yes"/>
    <n v="1"/>
    <x v="4"/>
    <n v="1"/>
  </r>
  <r>
    <s v="T004701"/>
    <x v="4491"/>
    <d v="2026-08-01T01:19:00"/>
    <x v="1"/>
    <s v="Phone"/>
    <x v="2"/>
    <s v="A046"/>
    <x v="1"/>
    <n v="4"/>
    <n v="9.8000000000000007"/>
    <x v="1"/>
    <s v="No"/>
    <s v="No"/>
    <m/>
    <s v="Closed"/>
    <s v="July"/>
    <x v="6"/>
    <n v="2026"/>
    <s v="No"/>
    <n v="0"/>
    <x v="3"/>
    <n v="1"/>
  </r>
  <r>
    <s v="T004702"/>
    <x v="4492"/>
    <d v="2026-07-31T19:10:00"/>
    <x v="6"/>
    <s v="Chat"/>
    <x v="2"/>
    <s v="A052"/>
    <x v="1"/>
    <n v="4"/>
    <n v="2.9"/>
    <x v="1"/>
    <s v="No"/>
    <s v="No"/>
    <n v="5"/>
    <s v="Closed"/>
    <s v="July"/>
    <x v="6"/>
    <n v="2026"/>
    <s v="Yes"/>
    <n v="1"/>
    <x v="2"/>
    <n v="1"/>
  </r>
  <r>
    <s v="T004703"/>
    <x v="4493"/>
    <d v="2026-08-01T14:17:00"/>
    <x v="3"/>
    <s v="Field Visit"/>
    <x v="1"/>
    <s v="A005"/>
    <x v="0"/>
    <n v="24"/>
    <n v="20.9"/>
    <x v="0"/>
    <s v="Yes"/>
    <s v="No"/>
    <m/>
    <s v="Closed"/>
    <s v="July"/>
    <x v="6"/>
    <n v="2026"/>
    <s v="Yes"/>
    <n v="1"/>
    <x v="4"/>
    <n v="0"/>
  </r>
  <r>
    <s v="T004704"/>
    <x v="4494"/>
    <d v="2026-08-02T22:53:00"/>
    <x v="3"/>
    <s v="Field Visit"/>
    <x v="1"/>
    <s v="A034"/>
    <x v="2"/>
    <n v="24"/>
    <n v="52.5"/>
    <x v="0"/>
    <s v="Yes"/>
    <s v="No"/>
    <n v="4"/>
    <s v="Closed"/>
    <s v="July"/>
    <x v="6"/>
    <n v="2026"/>
    <s v="No"/>
    <n v="0"/>
    <x v="2"/>
    <n v="0"/>
  </r>
  <r>
    <s v="T004705"/>
    <x v="4495"/>
    <d v="2026-08-01T07:03:00"/>
    <x v="5"/>
    <s v="Phone"/>
    <x v="0"/>
    <s v="A019"/>
    <x v="2"/>
    <n v="72"/>
    <n v="12.5"/>
    <x v="1"/>
    <s v="No"/>
    <s v="No"/>
    <m/>
    <s v="Closed"/>
    <s v="July"/>
    <x v="6"/>
    <n v="2026"/>
    <s v="Yes"/>
    <n v="1"/>
    <x v="4"/>
    <n v="1"/>
  </r>
  <r>
    <s v="T004706"/>
    <x v="4496"/>
    <d v="2026-08-01T02:23:00"/>
    <x v="0"/>
    <s v="Chat"/>
    <x v="2"/>
    <s v="A048"/>
    <x v="1"/>
    <n v="4"/>
    <n v="7"/>
    <x v="1"/>
    <s v="No"/>
    <s v="Yes"/>
    <m/>
    <s v="Closed"/>
    <s v="July"/>
    <x v="6"/>
    <n v="2026"/>
    <s v="No"/>
    <n v="0"/>
    <x v="4"/>
    <n v="1"/>
  </r>
  <r>
    <s v="T004707"/>
    <x v="4497"/>
    <d v="2026-08-03T10:18:00"/>
    <x v="5"/>
    <s v="Email"/>
    <x v="1"/>
    <s v="A011"/>
    <x v="0"/>
    <n v="24"/>
    <n v="52.1"/>
    <x v="1"/>
    <s v="No"/>
    <s v="No"/>
    <n v="2"/>
    <s v="Closed"/>
    <s v="August"/>
    <x v="7"/>
    <n v="2026"/>
    <s v="No"/>
    <n v="0"/>
    <x v="2"/>
    <n v="1"/>
  </r>
  <r>
    <s v="T004708"/>
    <x v="4498"/>
    <d v="2026-08-01T17:09:00"/>
    <x v="5"/>
    <s v="Phone"/>
    <x v="1"/>
    <s v="A023"/>
    <x v="2"/>
    <n v="24"/>
    <n v="8.9"/>
    <x v="1"/>
    <s v="No"/>
    <s v="No"/>
    <n v="4"/>
    <s v="Closed"/>
    <s v="August"/>
    <x v="7"/>
    <n v="2026"/>
    <s v="Yes"/>
    <n v="1"/>
    <x v="1"/>
    <n v="1"/>
  </r>
  <r>
    <s v="T004709"/>
    <x v="4499"/>
    <d v="2026-08-01T14:48:00"/>
    <x v="0"/>
    <s v="Phone"/>
    <x v="1"/>
    <s v="A054"/>
    <x v="1"/>
    <n v="24"/>
    <n v="5.4"/>
    <x v="1"/>
    <s v="No"/>
    <s v="No"/>
    <n v="3"/>
    <s v="Closed"/>
    <s v="August"/>
    <x v="7"/>
    <n v="2026"/>
    <s v="Yes"/>
    <n v="1"/>
    <x v="1"/>
    <n v="1"/>
  </r>
  <r>
    <s v="T004710"/>
    <x v="4500"/>
    <d v="2026-08-05T19:34:00"/>
    <x v="4"/>
    <s v="Field Visit"/>
    <x v="1"/>
    <s v="A013"/>
    <x v="0"/>
    <n v="24"/>
    <n v="105.5"/>
    <x v="1"/>
    <s v="No"/>
    <s v="No"/>
    <m/>
    <s v="Closed"/>
    <s v="August"/>
    <x v="7"/>
    <n v="2026"/>
    <s v="No"/>
    <n v="0"/>
    <x v="1"/>
    <n v="1"/>
  </r>
  <r>
    <s v="T004711"/>
    <x v="4501"/>
    <d v="2026-08-01T20:29:00"/>
    <x v="1"/>
    <s v="Chat"/>
    <x v="0"/>
    <s v="A007"/>
    <x v="0"/>
    <n v="72"/>
    <n v="8.4"/>
    <x v="1"/>
    <s v="No"/>
    <s v="No"/>
    <m/>
    <s v="Closed"/>
    <s v="August"/>
    <x v="7"/>
    <n v="2026"/>
    <s v="Yes"/>
    <n v="1"/>
    <x v="3"/>
    <n v="1"/>
  </r>
  <r>
    <s v="T004712"/>
    <x v="4502"/>
    <d v="2026-08-01T17:36:00"/>
    <x v="1"/>
    <s v="Phone"/>
    <x v="1"/>
    <s v="A006"/>
    <x v="0"/>
    <n v="24"/>
    <n v="5.5"/>
    <x v="1"/>
    <s v="No"/>
    <s v="No"/>
    <m/>
    <s v="Closed"/>
    <s v="August"/>
    <x v="7"/>
    <n v="2026"/>
    <s v="Yes"/>
    <n v="1"/>
    <x v="1"/>
    <n v="1"/>
  </r>
  <r>
    <s v="T004713"/>
    <x v="4503"/>
    <d v="2026-08-01T17:57:00"/>
    <x v="1"/>
    <s v="Phone"/>
    <x v="0"/>
    <s v="A037"/>
    <x v="1"/>
    <n v="72"/>
    <n v="5.2"/>
    <x v="1"/>
    <s v="No"/>
    <s v="No"/>
    <n v="5"/>
    <s v="Closed"/>
    <s v="August"/>
    <x v="7"/>
    <n v="2026"/>
    <s v="Yes"/>
    <n v="1"/>
    <x v="1"/>
    <n v="1"/>
  </r>
  <r>
    <s v="T004714"/>
    <x v="4504"/>
    <d v="2026-08-01T19:06:00"/>
    <x v="6"/>
    <s v="Phone"/>
    <x v="1"/>
    <s v="A008"/>
    <x v="0"/>
    <n v="24"/>
    <n v="6.1"/>
    <x v="0"/>
    <s v="Yes"/>
    <s v="Yes"/>
    <n v="4"/>
    <s v="Closed"/>
    <s v="August"/>
    <x v="7"/>
    <n v="2026"/>
    <s v="Yes"/>
    <n v="1"/>
    <x v="1"/>
    <n v="0"/>
  </r>
  <r>
    <s v="T004715"/>
    <x v="4505"/>
    <d v="2026-08-01T19:57:00"/>
    <x v="1"/>
    <s v="Phone"/>
    <x v="1"/>
    <s v="A060"/>
    <x v="1"/>
    <n v="24"/>
    <n v="6.6"/>
    <x v="0"/>
    <s v="Yes"/>
    <s v="No"/>
    <m/>
    <s v="Closed"/>
    <s v="August"/>
    <x v="7"/>
    <n v="2026"/>
    <s v="Yes"/>
    <n v="1"/>
    <x v="1"/>
    <n v="0"/>
  </r>
  <r>
    <s v="T004716"/>
    <x v="4506"/>
    <d v="2026-08-02T22:14:00"/>
    <x v="0"/>
    <s v="Phone"/>
    <x v="1"/>
    <s v="A025"/>
    <x v="2"/>
    <n v="24"/>
    <n v="32.799999999999997"/>
    <x v="1"/>
    <s v="No"/>
    <s v="No"/>
    <n v="3"/>
    <s v="Closed"/>
    <s v="August"/>
    <x v="7"/>
    <n v="2026"/>
    <s v="No"/>
    <n v="0"/>
    <x v="4"/>
    <n v="1"/>
  </r>
  <r>
    <s v="T004717"/>
    <x v="4507"/>
    <d v="2026-08-02T15:03:00"/>
    <x v="0"/>
    <s v="Chat"/>
    <x v="2"/>
    <s v="A024"/>
    <x v="2"/>
    <n v="4"/>
    <n v="25.2"/>
    <x v="0"/>
    <s v="No"/>
    <s v="No"/>
    <n v="4"/>
    <s v="Closed"/>
    <s v="August"/>
    <x v="7"/>
    <n v="2026"/>
    <s v="No"/>
    <n v="0"/>
    <x v="0"/>
    <n v="0"/>
  </r>
  <r>
    <s v="T004718"/>
    <x v="4508"/>
    <d v="2026-08-01T17:28:00"/>
    <x v="5"/>
    <s v="Phone"/>
    <x v="0"/>
    <s v="A002"/>
    <x v="0"/>
    <n v="72"/>
    <n v="1.9"/>
    <x v="1"/>
    <s v="No"/>
    <s v="No"/>
    <m/>
    <s v="Closed"/>
    <s v="August"/>
    <x v="7"/>
    <n v="2026"/>
    <s v="Yes"/>
    <n v="1"/>
    <x v="1"/>
    <n v="1"/>
  </r>
  <r>
    <s v="T004719"/>
    <x v="4509"/>
    <d v="2026-08-02T17:51:00"/>
    <x v="6"/>
    <s v="Field Visit"/>
    <x v="2"/>
    <s v="A050"/>
    <x v="1"/>
    <n v="4"/>
    <n v="25.6"/>
    <x v="0"/>
    <s v="No"/>
    <s v="No"/>
    <m/>
    <s v="Closed"/>
    <s v="August"/>
    <x v="7"/>
    <n v="2026"/>
    <s v="No"/>
    <n v="0"/>
    <x v="1"/>
    <n v="0"/>
  </r>
  <r>
    <s v="T004720"/>
    <x v="4510"/>
    <d v="2026-08-02T18:31:00"/>
    <x v="2"/>
    <s v="Email"/>
    <x v="0"/>
    <s v="A030"/>
    <x v="2"/>
    <n v="72"/>
    <n v="25.1"/>
    <x v="0"/>
    <s v="No"/>
    <s v="No"/>
    <n v="3"/>
    <s v="Closed"/>
    <s v="August"/>
    <x v="7"/>
    <n v="2026"/>
    <s v="Yes"/>
    <n v="1"/>
    <x v="1"/>
    <n v="0"/>
  </r>
  <r>
    <s v="T004721"/>
    <x v="4511"/>
    <d v="2026-08-02T06:16:00"/>
    <x v="5"/>
    <s v="Phone"/>
    <x v="0"/>
    <s v="A046"/>
    <x v="1"/>
    <n v="72"/>
    <n v="9.6"/>
    <x v="1"/>
    <s v="No"/>
    <s v="No"/>
    <m/>
    <s v="Closed"/>
    <s v="August"/>
    <x v="7"/>
    <n v="2026"/>
    <s v="Yes"/>
    <n v="1"/>
    <x v="1"/>
    <n v="1"/>
  </r>
  <r>
    <s v="T004722"/>
    <x v="4512"/>
    <d v="2026-08-02T08:42:00"/>
    <x v="1"/>
    <s v="Phone"/>
    <x v="1"/>
    <s v="A047"/>
    <x v="1"/>
    <n v="24"/>
    <n v="9.9"/>
    <x v="1"/>
    <s v="No"/>
    <s v="No"/>
    <m/>
    <s v="Closed"/>
    <s v="August"/>
    <x v="7"/>
    <n v="2026"/>
    <s v="Yes"/>
    <n v="1"/>
    <x v="3"/>
    <n v="1"/>
  </r>
  <r>
    <s v="T004723"/>
    <x v="4513"/>
    <d v="2026-08-02T12:34:00"/>
    <x v="6"/>
    <s v="Phone"/>
    <x v="1"/>
    <s v="A058"/>
    <x v="1"/>
    <n v="24"/>
    <n v="8.1"/>
    <x v="1"/>
    <s v="No"/>
    <s v="No"/>
    <n v="5"/>
    <s v="Closed"/>
    <s v="August"/>
    <x v="7"/>
    <n v="2026"/>
    <s v="Yes"/>
    <n v="1"/>
    <x v="4"/>
    <n v="1"/>
  </r>
  <r>
    <s v="T004724"/>
    <x v="4514"/>
    <d v="2026-08-02T13:35:00"/>
    <x v="6"/>
    <s v="Chat"/>
    <x v="2"/>
    <s v="A055"/>
    <x v="1"/>
    <n v="4"/>
    <n v="7.9"/>
    <x v="1"/>
    <s v="No"/>
    <s v="No"/>
    <n v="3"/>
    <s v="Closed"/>
    <s v="August"/>
    <x v="7"/>
    <n v="2026"/>
    <s v="No"/>
    <n v="0"/>
    <x v="4"/>
    <n v="1"/>
  </r>
  <r>
    <s v="T004725"/>
    <x v="4515"/>
    <d v="2026-08-05T18:45:00"/>
    <x v="3"/>
    <s v="Phone"/>
    <x v="1"/>
    <s v="A001"/>
    <x v="0"/>
    <n v="24"/>
    <n v="82.5"/>
    <x v="0"/>
    <s v="No"/>
    <s v="No"/>
    <n v="4"/>
    <s v="Closed"/>
    <s v="August"/>
    <x v="7"/>
    <n v="2026"/>
    <s v="No"/>
    <n v="0"/>
    <x v="0"/>
    <n v="0"/>
  </r>
  <r>
    <s v="T004726"/>
    <x v="4516"/>
    <d v="2026-08-04T18:25:00"/>
    <x v="6"/>
    <s v="Field Visit"/>
    <x v="1"/>
    <s v="A002"/>
    <x v="0"/>
    <n v="24"/>
    <n v="57.6"/>
    <x v="1"/>
    <s v="No"/>
    <s v="No"/>
    <n v="4"/>
    <s v="Closed"/>
    <s v="August"/>
    <x v="7"/>
    <n v="2026"/>
    <s v="No"/>
    <n v="0"/>
    <x v="3"/>
    <n v="1"/>
  </r>
  <r>
    <s v="T004727"/>
    <x v="4517"/>
    <d v="2026-08-02T16:14:00"/>
    <x v="1"/>
    <s v="Phone"/>
    <x v="1"/>
    <s v="A037"/>
    <x v="1"/>
    <n v="24"/>
    <n v="7.1"/>
    <x v="1"/>
    <s v="No"/>
    <s v="No"/>
    <n v="5"/>
    <s v="Closed"/>
    <s v="August"/>
    <x v="7"/>
    <n v="2026"/>
    <s v="Yes"/>
    <n v="1"/>
    <x v="1"/>
    <n v="1"/>
  </r>
  <r>
    <s v="T004728"/>
    <x v="4518"/>
    <d v="2026-08-02T10:45:00"/>
    <x v="1"/>
    <s v="Chat"/>
    <x v="1"/>
    <s v="A042"/>
    <x v="1"/>
    <n v="24"/>
    <n v="1.4"/>
    <x v="1"/>
    <s v="No"/>
    <s v="No"/>
    <m/>
    <s v="Closed"/>
    <s v="August"/>
    <x v="7"/>
    <n v="2026"/>
    <s v="Yes"/>
    <n v="1"/>
    <x v="3"/>
    <n v="1"/>
  </r>
  <r>
    <s v="T004729"/>
    <x v="4519"/>
    <d v="2026-08-03T02:53:00"/>
    <x v="5"/>
    <s v="Field Visit"/>
    <x v="2"/>
    <s v="A005"/>
    <x v="0"/>
    <n v="4"/>
    <n v="15.4"/>
    <x v="0"/>
    <s v="No"/>
    <s v="No"/>
    <n v="2"/>
    <s v="Closed"/>
    <s v="August"/>
    <x v="7"/>
    <n v="2026"/>
    <s v="No"/>
    <n v="0"/>
    <x v="3"/>
    <n v="0"/>
  </r>
  <r>
    <s v="T004730"/>
    <x v="4520"/>
    <d v="2026-08-04T16:16:00"/>
    <x v="0"/>
    <s v="Field Visit"/>
    <x v="0"/>
    <s v="A012"/>
    <x v="0"/>
    <n v="72"/>
    <n v="52.7"/>
    <x v="0"/>
    <s v="Yes"/>
    <s v="No"/>
    <n v="4"/>
    <s v="Closed"/>
    <s v="August"/>
    <x v="7"/>
    <n v="2026"/>
    <s v="Yes"/>
    <n v="1"/>
    <x v="4"/>
    <n v="0"/>
  </r>
  <r>
    <s v="T004731"/>
    <x v="4521"/>
    <d v="2026-08-03T22:15:00"/>
    <x v="1"/>
    <s v="Phone"/>
    <x v="1"/>
    <s v="A003"/>
    <x v="0"/>
    <n v="24"/>
    <n v="34.6"/>
    <x v="0"/>
    <s v="No"/>
    <s v="No"/>
    <n v="3"/>
    <s v="Closed"/>
    <s v="August"/>
    <x v="7"/>
    <n v="2026"/>
    <s v="No"/>
    <n v="0"/>
    <x v="4"/>
    <n v="0"/>
  </r>
  <r>
    <s v="T004732"/>
    <x v="4522"/>
    <d v="2026-08-02T15:44:00"/>
    <x v="1"/>
    <s v="Chat"/>
    <x v="0"/>
    <s v="A029"/>
    <x v="2"/>
    <n v="72"/>
    <n v="4"/>
    <x v="0"/>
    <s v="Yes"/>
    <s v="No"/>
    <m/>
    <s v="Closed"/>
    <s v="August"/>
    <x v="7"/>
    <n v="2026"/>
    <s v="Yes"/>
    <n v="1"/>
    <x v="3"/>
    <n v="0"/>
  </r>
  <r>
    <s v="T004733"/>
    <x v="4523"/>
    <d v="2026-08-03T10:09:00"/>
    <x v="1"/>
    <s v="Email"/>
    <x v="1"/>
    <s v="A012"/>
    <x v="0"/>
    <n v="24"/>
    <n v="22.1"/>
    <x v="1"/>
    <s v="No"/>
    <s v="No"/>
    <m/>
    <s v="Closed"/>
    <s v="August"/>
    <x v="7"/>
    <n v="2026"/>
    <s v="Yes"/>
    <n v="1"/>
    <x v="2"/>
    <n v="1"/>
  </r>
  <r>
    <s v="T004734"/>
    <x v="4524"/>
    <d v="2026-08-11T14:10:00"/>
    <x v="4"/>
    <s v="Email"/>
    <x v="0"/>
    <s v="A002"/>
    <x v="0"/>
    <n v="72"/>
    <n v="217.4"/>
    <x v="0"/>
    <s v="No"/>
    <s v="Yes"/>
    <n v="3"/>
    <s v="Closed"/>
    <s v="August"/>
    <x v="7"/>
    <n v="2026"/>
    <s v="No"/>
    <n v="0"/>
    <x v="3"/>
    <n v="0"/>
  </r>
  <r>
    <s v="T004735"/>
    <x v="4525"/>
    <d v="2026-08-02T22:37:00"/>
    <x v="2"/>
    <s v="Phone"/>
    <x v="1"/>
    <s v="A050"/>
    <x v="1"/>
    <n v="24"/>
    <n v="8.6"/>
    <x v="1"/>
    <s v="No"/>
    <s v="No"/>
    <n v="4"/>
    <s v="Closed"/>
    <s v="August"/>
    <x v="7"/>
    <n v="2026"/>
    <s v="Yes"/>
    <n v="1"/>
    <x v="4"/>
    <n v="1"/>
  </r>
  <r>
    <s v="T004736"/>
    <x v="4526"/>
    <d v="2026-08-03T02:33:00"/>
    <x v="2"/>
    <s v="Chat"/>
    <x v="1"/>
    <s v="A028"/>
    <x v="2"/>
    <n v="24"/>
    <n v="12"/>
    <x v="1"/>
    <s v="No"/>
    <s v="No"/>
    <n v="4"/>
    <s v="Closed"/>
    <s v="August"/>
    <x v="7"/>
    <n v="2026"/>
    <s v="Yes"/>
    <n v="1"/>
    <x v="0"/>
    <n v="1"/>
  </r>
  <r>
    <s v="T004737"/>
    <x v="4527"/>
    <d v="2026-08-02T19:27:00"/>
    <x v="2"/>
    <s v="Phone"/>
    <x v="2"/>
    <s v="A016"/>
    <x v="2"/>
    <n v="4"/>
    <n v="4.0999999999999996"/>
    <x v="0"/>
    <s v="Yes"/>
    <s v="No"/>
    <n v="3"/>
    <s v="Closed"/>
    <s v="August"/>
    <x v="7"/>
    <n v="2026"/>
    <s v="No"/>
    <n v="0"/>
    <x v="3"/>
    <n v="0"/>
  </r>
  <r>
    <s v="T004738"/>
    <x v="4528"/>
    <d v="2026-08-05T16:11:00"/>
    <x v="0"/>
    <s v="Field Visit"/>
    <x v="0"/>
    <s v="A012"/>
    <x v="0"/>
    <n v="72"/>
    <n v="72.5"/>
    <x v="1"/>
    <s v="No"/>
    <s v="Yes"/>
    <m/>
    <s v="Closed"/>
    <s v="August"/>
    <x v="7"/>
    <n v="2026"/>
    <s v="No"/>
    <n v="0"/>
    <x v="4"/>
    <n v="1"/>
  </r>
  <r>
    <s v="T004739"/>
    <x v="4529"/>
    <d v="2026-08-03T00:07:00"/>
    <x v="6"/>
    <s v="Phone"/>
    <x v="1"/>
    <s v="A060"/>
    <x v="1"/>
    <n v="24"/>
    <n v="7.9"/>
    <x v="1"/>
    <s v="No"/>
    <s v="No"/>
    <n v="5"/>
    <s v="Closed"/>
    <s v="August"/>
    <x v="7"/>
    <n v="2026"/>
    <s v="Yes"/>
    <n v="1"/>
    <x v="2"/>
    <n v="1"/>
  </r>
  <r>
    <s v="T004740"/>
    <x v="4530"/>
    <d v="2026-08-04T08:45:00"/>
    <x v="3"/>
    <s v="Field Visit"/>
    <x v="1"/>
    <s v="A053"/>
    <x v="1"/>
    <n v="24"/>
    <n v="40.4"/>
    <x v="1"/>
    <s v="No"/>
    <s v="No"/>
    <m/>
    <s v="Closed"/>
    <s v="August"/>
    <x v="7"/>
    <n v="2026"/>
    <s v="No"/>
    <n v="0"/>
    <x v="4"/>
    <n v="1"/>
  </r>
  <r>
    <s v="T004741"/>
    <x v="4531"/>
    <d v="2026-08-02T22:48:00"/>
    <x v="0"/>
    <s v="Phone"/>
    <x v="1"/>
    <s v="A039"/>
    <x v="1"/>
    <n v="24"/>
    <n v="4.9000000000000004"/>
    <x v="0"/>
    <s v="Yes"/>
    <s v="No"/>
    <n v="5"/>
    <s v="Closed"/>
    <s v="August"/>
    <x v="7"/>
    <n v="2026"/>
    <s v="Yes"/>
    <n v="1"/>
    <x v="4"/>
    <n v="0"/>
  </r>
  <r>
    <s v="T004742"/>
    <x v="4532"/>
    <d v="2026-08-03T09:08:00"/>
    <x v="5"/>
    <s v="Email"/>
    <x v="1"/>
    <s v="A033"/>
    <x v="2"/>
    <n v="24"/>
    <n v="14.7"/>
    <x v="0"/>
    <s v="Yes"/>
    <s v="No"/>
    <m/>
    <s v="Closed"/>
    <s v="August"/>
    <x v="7"/>
    <n v="2026"/>
    <s v="Yes"/>
    <n v="1"/>
    <x v="4"/>
    <n v="0"/>
  </r>
  <r>
    <s v="T004743"/>
    <x v="4533"/>
    <d v="2026-08-07T02:33:00"/>
    <x v="4"/>
    <s v="Field Visit"/>
    <x v="1"/>
    <s v="A025"/>
    <x v="2"/>
    <n v="24"/>
    <n v="89.9"/>
    <x v="1"/>
    <s v="No"/>
    <s v="No"/>
    <n v="3"/>
    <s v="Closed"/>
    <s v="August"/>
    <x v="7"/>
    <n v="2026"/>
    <s v="No"/>
    <n v="0"/>
    <x v="1"/>
    <n v="1"/>
  </r>
  <r>
    <s v="T004744"/>
    <x v="4534"/>
    <d v="2026-08-09T17:15:00"/>
    <x v="4"/>
    <s v="Field Visit"/>
    <x v="1"/>
    <s v="A030"/>
    <x v="2"/>
    <n v="24"/>
    <n v="152.4"/>
    <x v="0"/>
    <s v="Yes"/>
    <s v="No"/>
    <m/>
    <s v="Closed"/>
    <s v="August"/>
    <x v="7"/>
    <n v="2026"/>
    <s v="No"/>
    <n v="0"/>
    <x v="2"/>
    <n v="0"/>
  </r>
  <r>
    <s v="T004745"/>
    <x v="4535"/>
    <d v="2026-08-03T19:06:00"/>
    <x v="1"/>
    <s v="Chat"/>
    <x v="1"/>
    <s v="A009"/>
    <x v="0"/>
    <n v="24"/>
    <n v="9.1999999999999993"/>
    <x v="1"/>
    <s v="No"/>
    <s v="No"/>
    <m/>
    <s v="Closed"/>
    <s v="August"/>
    <x v="7"/>
    <n v="2026"/>
    <s v="Yes"/>
    <n v="1"/>
    <x v="0"/>
    <n v="1"/>
  </r>
  <r>
    <s v="T004746"/>
    <x v="4536"/>
    <d v="2026-08-05T13:03:00"/>
    <x v="3"/>
    <s v="Email"/>
    <x v="1"/>
    <s v="A012"/>
    <x v="0"/>
    <n v="24"/>
    <n v="50.3"/>
    <x v="0"/>
    <s v="Yes"/>
    <s v="No"/>
    <m/>
    <s v="Closed"/>
    <s v="August"/>
    <x v="7"/>
    <n v="2026"/>
    <s v="No"/>
    <n v="0"/>
    <x v="0"/>
    <n v="0"/>
  </r>
  <r>
    <s v="T004747"/>
    <x v="4537"/>
    <d v="2026-08-03T21:48:00"/>
    <x v="1"/>
    <s v="Phone"/>
    <x v="1"/>
    <s v="A030"/>
    <x v="2"/>
    <n v="24"/>
    <n v="9.5"/>
    <x v="1"/>
    <s v="No"/>
    <s v="No"/>
    <m/>
    <s v="Closed"/>
    <s v="August"/>
    <x v="7"/>
    <n v="2026"/>
    <s v="Yes"/>
    <n v="1"/>
    <x v="3"/>
    <n v="1"/>
  </r>
  <r>
    <s v="T004748"/>
    <x v="4538"/>
    <d v="2026-08-04T03:10:00"/>
    <x v="2"/>
    <s v="Phone"/>
    <x v="1"/>
    <s v="A015"/>
    <x v="0"/>
    <n v="24"/>
    <n v="14.2"/>
    <x v="0"/>
    <s v="No"/>
    <s v="No"/>
    <n v="4"/>
    <s v="Closed"/>
    <s v="August"/>
    <x v="7"/>
    <n v="2026"/>
    <s v="Yes"/>
    <n v="1"/>
    <x v="1"/>
    <n v="0"/>
  </r>
  <r>
    <s v="T004749"/>
    <x v="4539"/>
    <d v="2026-08-03T21:53:00"/>
    <x v="3"/>
    <s v="Chat"/>
    <x v="0"/>
    <s v="A053"/>
    <x v="1"/>
    <n v="72"/>
    <n v="7.9"/>
    <x v="0"/>
    <s v="Yes"/>
    <s v="No"/>
    <n v="5"/>
    <s v="Closed"/>
    <s v="August"/>
    <x v="7"/>
    <n v="2026"/>
    <s v="Yes"/>
    <n v="1"/>
    <x v="3"/>
    <n v="0"/>
  </r>
  <r>
    <s v="T004750"/>
    <x v="4540"/>
    <d v="2026-08-04T16:43:00"/>
    <x v="6"/>
    <s v="Phone"/>
    <x v="1"/>
    <s v="A040"/>
    <x v="1"/>
    <n v="24"/>
    <n v="26.4"/>
    <x v="1"/>
    <s v="No"/>
    <s v="No"/>
    <n v="3"/>
    <s v="Closed"/>
    <s v="August"/>
    <x v="7"/>
    <n v="2026"/>
    <s v="No"/>
    <n v="0"/>
    <x v="3"/>
    <n v="1"/>
  </r>
  <r>
    <s v="T004751"/>
    <x v="4541"/>
    <d v="2026-08-03T23:03:00"/>
    <x v="0"/>
    <s v="Chat"/>
    <x v="1"/>
    <s v="A049"/>
    <x v="1"/>
    <n v="24"/>
    <n v="8.5"/>
    <x v="1"/>
    <s v="No"/>
    <s v="No"/>
    <n v="5"/>
    <s v="Closed"/>
    <s v="August"/>
    <x v="7"/>
    <n v="2026"/>
    <s v="Yes"/>
    <n v="1"/>
    <x v="0"/>
    <n v="1"/>
  </r>
  <r>
    <s v="T004752"/>
    <x v="4542"/>
    <d v="2026-08-03T23:18:00"/>
    <x v="1"/>
    <s v="Phone"/>
    <x v="0"/>
    <s v="A032"/>
    <x v="2"/>
    <n v="72"/>
    <n v="8.6999999999999993"/>
    <x v="1"/>
    <s v="No"/>
    <s v="No"/>
    <n v="5"/>
    <s v="Closed"/>
    <s v="August"/>
    <x v="7"/>
    <n v="2026"/>
    <s v="Yes"/>
    <n v="1"/>
    <x v="3"/>
    <n v="1"/>
  </r>
  <r>
    <s v="T004753"/>
    <x v="4543"/>
    <d v="2026-08-04T21:32:00"/>
    <x v="3"/>
    <s v="Email"/>
    <x v="1"/>
    <s v="A019"/>
    <x v="2"/>
    <n v="24"/>
    <n v="30.8"/>
    <x v="1"/>
    <s v="No"/>
    <s v="Yes"/>
    <m/>
    <s v="Closed"/>
    <s v="August"/>
    <x v="7"/>
    <n v="2026"/>
    <s v="No"/>
    <n v="0"/>
    <x v="3"/>
    <n v="1"/>
  </r>
  <r>
    <s v="T004754"/>
    <x v="4544"/>
    <d v="2026-08-04T06:06:00"/>
    <x v="0"/>
    <s v="Phone"/>
    <x v="0"/>
    <s v="A016"/>
    <x v="2"/>
    <n v="72"/>
    <n v="13"/>
    <x v="1"/>
    <s v="No"/>
    <s v="No"/>
    <m/>
    <s v="Closed"/>
    <s v="August"/>
    <x v="7"/>
    <n v="2026"/>
    <s v="Yes"/>
    <n v="1"/>
    <x v="2"/>
    <n v="1"/>
  </r>
  <r>
    <s v="T004755"/>
    <x v="4545"/>
    <d v="2026-08-04T13:10:00"/>
    <x v="0"/>
    <s v="Phone"/>
    <x v="1"/>
    <s v="A039"/>
    <x v="1"/>
    <n v="24"/>
    <n v="18.399999999999999"/>
    <x v="1"/>
    <s v="No"/>
    <s v="No"/>
    <n v="5"/>
    <s v="Closed"/>
    <s v="August"/>
    <x v="7"/>
    <n v="2026"/>
    <s v="Yes"/>
    <n v="1"/>
    <x v="2"/>
    <n v="1"/>
  </r>
  <r>
    <s v="T004756"/>
    <x v="4546"/>
    <d v="2026-08-03T21:47:00"/>
    <x v="1"/>
    <s v="Chat"/>
    <x v="0"/>
    <s v="A055"/>
    <x v="1"/>
    <n v="72"/>
    <n v="2.9"/>
    <x v="1"/>
    <s v="No"/>
    <s v="No"/>
    <n v="4"/>
    <s v="Closed"/>
    <s v="August"/>
    <x v="7"/>
    <n v="2026"/>
    <s v="Yes"/>
    <n v="1"/>
    <x v="0"/>
    <n v="1"/>
  </r>
  <r>
    <s v="T004757"/>
    <x v="4547"/>
    <d v="2026-08-05T16:00:00"/>
    <x v="6"/>
    <s v="Field Visit"/>
    <x v="2"/>
    <s v="A003"/>
    <x v="0"/>
    <n v="4"/>
    <n v="33.6"/>
    <x v="0"/>
    <s v="Yes"/>
    <s v="No"/>
    <n v="2"/>
    <s v="Closed"/>
    <s v="August"/>
    <x v="7"/>
    <n v="2026"/>
    <s v="No"/>
    <n v="0"/>
    <x v="3"/>
    <n v="0"/>
  </r>
  <r>
    <s v="T004758"/>
    <x v="4548"/>
    <d v="2026-08-04T16:27:00"/>
    <x v="6"/>
    <s v="Chat"/>
    <x v="2"/>
    <s v="A024"/>
    <x v="2"/>
    <n v="4"/>
    <n v="7.2"/>
    <x v="1"/>
    <s v="No"/>
    <s v="No"/>
    <n v="5"/>
    <s v="Closed"/>
    <s v="August"/>
    <x v="7"/>
    <n v="2026"/>
    <s v="No"/>
    <n v="0"/>
    <x v="2"/>
    <n v="1"/>
  </r>
  <r>
    <s v="T004759"/>
    <x v="4549"/>
    <d v="2026-08-05T04:26:00"/>
    <x v="5"/>
    <s v="Email"/>
    <x v="1"/>
    <s v="A010"/>
    <x v="0"/>
    <n v="24"/>
    <n v="18.5"/>
    <x v="1"/>
    <s v="No"/>
    <s v="No"/>
    <n v="5"/>
    <s v="Closed"/>
    <s v="August"/>
    <x v="7"/>
    <n v="2026"/>
    <s v="Yes"/>
    <n v="1"/>
    <x v="0"/>
    <n v="1"/>
  </r>
  <r>
    <s v="T004760"/>
    <x v="4550"/>
    <d v="2026-08-04T18:58:00"/>
    <x v="0"/>
    <s v="Chat"/>
    <x v="1"/>
    <s v="A042"/>
    <x v="1"/>
    <n v="24"/>
    <n v="8.6"/>
    <x v="0"/>
    <s v="Yes"/>
    <s v="No"/>
    <n v="3"/>
    <s v="Closed"/>
    <s v="August"/>
    <x v="7"/>
    <n v="2026"/>
    <s v="Yes"/>
    <n v="1"/>
    <x v="1"/>
    <n v="0"/>
  </r>
  <r>
    <s v="T004761"/>
    <x v="4551"/>
    <d v="2026-08-06T09:42:00"/>
    <x v="4"/>
    <s v="Phone"/>
    <x v="1"/>
    <s v="A033"/>
    <x v="2"/>
    <n v="24"/>
    <n v="46.4"/>
    <x v="1"/>
    <s v="No"/>
    <s v="No"/>
    <m/>
    <s v="Closed"/>
    <s v="August"/>
    <x v="7"/>
    <n v="2026"/>
    <s v="No"/>
    <n v="0"/>
    <x v="2"/>
    <n v="1"/>
  </r>
  <r>
    <s v="T004762"/>
    <x v="4552"/>
    <d v="2026-08-04T17:57:00"/>
    <x v="0"/>
    <s v="Phone"/>
    <x v="0"/>
    <s v="A057"/>
    <x v="1"/>
    <n v="72"/>
    <n v="6.3"/>
    <x v="1"/>
    <s v="No"/>
    <s v="Yes"/>
    <n v="5"/>
    <s v="Closed"/>
    <s v="August"/>
    <x v="7"/>
    <n v="2026"/>
    <s v="Yes"/>
    <n v="1"/>
    <x v="1"/>
    <n v="1"/>
  </r>
  <r>
    <s v="T004763"/>
    <x v="4553"/>
    <d v="2026-08-07T11:42:00"/>
    <x v="4"/>
    <s v="Field Visit"/>
    <x v="1"/>
    <s v="A027"/>
    <x v="2"/>
    <n v="24"/>
    <n v="70.900000000000006"/>
    <x v="1"/>
    <s v="No"/>
    <s v="No"/>
    <n v="5"/>
    <s v="Closed"/>
    <s v="August"/>
    <x v="7"/>
    <n v="2026"/>
    <s v="No"/>
    <n v="0"/>
    <x v="4"/>
    <n v="1"/>
  </r>
  <r>
    <s v="T004764"/>
    <x v="4554"/>
    <d v="2026-08-06T05:22:00"/>
    <x v="6"/>
    <s v="Field Visit"/>
    <x v="2"/>
    <s v="A019"/>
    <x v="2"/>
    <n v="4"/>
    <n v="40"/>
    <x v="1"/>
    <s v="No"/>
    <s v="Yes"/>
    <m/>
    <s v="Closed"/>
    <s v="August"/>
    <x v="7"/>
    <n v="2026"/>
    <s v="No"/>
    <n v="0"/>
    <x v="4"/>
    <n v="1"/>
  </r>
  <r>
    <s v="T004765"/>
    <x v="4555"/>
    <d v="2026-08-05T08:26:00"/>
    <x v="5"/>
    <s v="Phone"/>
    <x v="0"/>
    <s v="A003"/>
    <x v="0"/>
    <n v="72"/>
    <n v="18.5"/>
    <x v="1"/>
    <s v="No"/>
    <s v="No"/>
    <m/>
    <s v="Closed"/>
    <s v="August"/>
    <x v="7"/>
    <n v="2026"/>
    <s v="Yes"/>
    <n v="1"/>
    <x v="2"/>
    <n v="1"/>
  </r>
  <r>
    <s v="T004766"/>
    <x v="4556"/>
    <d v="2026-08-06T08:35:00"/>
    <x v="4"/>
    <s v="Field Visit"/>
    <x v="1"/>
    <s v="A043"/>
    <x v="1"/>
    <n v="24"/>
    <n v="42.6"/>
    <x v="0"/>
    <s v="No"/>
    <s v="No"/>
    <n v="3"/>
    <s v="Closed"/>
    <s v="August"/>
    <x v="7"/>
    <n v="2026"/>
    <s v="No"/>
    <n v="0"/>
    <x v="1"/>
    <n v="0"/>
  </r>
  <r>
    <s v="T004767"/>
    <x v="4557"/>
    <d v="2026-08-05T08:34:00"/>
    <x v="1"/>
    <s v="Email"/>
    <x v="1"/>
    <s v="A050"/>
    <x v="1"/>
    <n v="24"/>
    <n v="18.100000000000001"/>
    <x v="1"/>
    <s v="No"/>
    <s v="No"/>
    <m/>
    <s v="Closed"/>
    <s v="August"/>
    <x v="7"/>
    <n v="2026"/>
    <s v="Yes"/>
    <n v="1"/>
    <x v="4"/>
    <n v="1"/>
  </r>
  <r>
    <s v="T004768"/>
    <x v="4558"/>
    <d v="2026-08-13T17:23:00"/>
    <x v="4"/>
    <s v="Field Visit"/>
    <x v="2"/>
    <s v="A060"/>
    <x v="1"/>
    <n v="4"/>
    <n v="218.5"/>
    <x v="1"/>
    <s v="No"/>
    <s v="No"/>
    <m/>
    <s v="Closed"/>
    <s v="August"/>
    <x v="7"/>
    <n v="2026"/>
    <s v="No"/>
    <n v="0"/>
    <x v="3"/>
    <n v="1"/>
  </r>
  <r>
    <s v="T004769"/>
    <x v="4559"/>
    <d v="2026-08-04T20:36:00"/>
    <x v="1"/>
    <s v="Phone"/>
    <x v="1"/>
    <s v="A041"/>
    <x v="1"/>
    <n v="24"/>
    <n v="5.3"/>
    <x v="1"/>
    <s v="No"/>
    <s v="No"/>
    <n v="5"/>
    <s v="Closed"/>
    <s v="August"/>
    <x v="7"/>
    <n v="2026"/>
    <s v="Yes"/>
    <n v="1"/>
    <x v="1"/>
    <n v="1"/>
  </r>
  <r>
    <s v="T004770"/>
    <x v="4560"/>
    <d v="2026-08-05T12:14:00"/>
    <x v="6"/>
    <s v="Phone"/>
    <x v="2"/>
    <s v="A058"/>
    <x v="1"/>
    <n v="4"/>
    <n v="19.5"/>
    <x v="1"/>
    <s v="No"/>
    <s v="No"/>
    <n v="3"/>
    <s v="Closed"/>
    <s v="August"/>
    <x v="7"/>
    <n v="2026"/>
    <s v="No"/>
    <n v="0"/>
    <x v="4"/>
    <n v="1"/>
  </r>
  <r>
    <s v="T004771"/>
    <x v="4561"/>
    <d v="2026-08-04T23:20:00"/>
    <x v="6"/>
    <s v="Phone"/>
    <x v="1"/>
    <s v="A009"/>
    <x v="0"/>
    <n v="24"/>
    <n v="6.1"/>
    <x v="1"/>
    <s v="No"/>
    <s v="No"/>
    <n v="5"/>
    <s v="Closed"/>
    <s v="August"/>
    <x v="7"/>
    <n v="2026"/>
    <s v="Yes"/>
    <n v="1"/>
    <x v="4"/>
    <n v="1"/>
  </r>
  <r>
    <s v="T004772"/>
    <x v="4562"/>
    <d v="2026-08-05T10:53:00"/>
    <x v="5"/>
    <s v="Field Visit"/>
    <x v="1"/>
    <s v="A040"/>
    <x v="1"/>
    <n v="24"/>
    <n v="17"/>
    <x v="1"/>
    <s v="No"/>
    <s v="No"/>
    <m/>
    <s v="Closed"/>
    <s v="August"/>
    <x v="7"/>
    <n v="2026"/>
    <s v="Yes"/>
    <n v="1"/>
    <x v="3"/>
    <n v="1"/>
  </r>
  <r>
    <s v="T004773"/>
    <x v="4563"/>
    <d v="2026-08-04T23:58:00"/>
    <x v="6"/>
    <s v="Phone"/>
    <x v="2"/>
    <s v="A051"/>
    <x v="1"/>
    <n v="4"/>
    <n v="5.6"/>
    <x v="1"/>
    <s v="No"/>
    <s v="No"/>
    <m/>
    <s v="Closed"/>
    <s v="August"/>
    <x v="7"/>
    <n v="2026"/>
    <s v="No"/>
    <n v="0"/>
    <x v="3"/>
    <n v="1"/>
  </r>
  <r>
    <s v="T004774"/>
    <x v="4564"/>
    <d v="2026-08-05T07:45:00"/>
    <x v="5"/>
    <s v="Chat"/>
    <x v="1"/>
    <s v="A057"/>
    <x v="1"/>
    <n v="24"/>
    <n v="12.2"/>
    <x v="1"/>
    <s v="No"/>
    <s v="No"/>
    <m/>
    <s v="Closed"/>
    <s v="August"/>
    <x v="7"/>
    <n v="2026"/>
    <s v="Yes"/>
    <n v="1"/>
    <x v="4"/>
    <n v="1"/>
  </r>
  <r>
    <s v="T004775"/>
    <x v="4565"/>
    <d v="2026-08-04T22:35:00"/>
    <x v="2"/>
    <s v="Chat"/>
    <x v="0"/>
    <s v="A046"/>
    <x v="1"/>
    <n v="72"/>
    <n v="2.9"/>
    <x v="1"/>
    <s v="No"/>
    <s v="No"/>
    <m/>
    <s v="Closed"/>
    <s v="August"/>
    <x v="7"/>
    <n v="2026"/>
    <s v="Yes"/>
    <n v="1"/>
    <x v="0"/>
    <n v="1"/>
  </r>
  <r>
    <s v="T004776"/>
    <x v="4566"/>
    <d v="2026-08-05T21:37:00"/>
    <x v="4"/>
    <s v="Phone"/>
    <x v="0"/>
    <s v="A037"/>
    <x v="1"/>
    <n v="72"/>
    <n v="25.4"/>
    <x v="0"/>
    <s v="Yes"/>
    <s v="No"/>
    <n v="3"/>
    <s v="Closed"/>
    <s v="August"/>
    <x v="7"/>
    <n v="2026"/>
    <s v="Yes"/>
    <n v="1"/>
    <x v="0"/>
    <n v="0"/>
  </r>
  <r>
    <s v="T004777"/>
    <x v="4567"/>
    <d v="2026-08-05T09:46:00"/>
    <x v="3"/>
    <s v="Email"/>
    <x v="1"/>
    <s v="A039"/>
    <x v="1"/>
    <n v="24"/>
    <n v="12.7"/>
    <x v="1"/>
    <s v="No"/>
    <s v="No"/>
    <n v="5"/>
    <s v="Closed"/>
    <s v="August"/>
    <x v="7"/>
    <n v="2026"/>
    <s v="Yes"/>
    <n v="1"/>
    <x v="4"/>
    <n v="1"/>
  </r>
  <r>
    <s v="T004778"/>
    <x v="4568"/>
    <d v="2026-08-05T11:56:00"/>
    <x v="1"/>
    <s v="Chat"/>
    <x v="0"/>
    <s v="A057"/>
    <x v="1"/>
    <n v="72"/>
    <n v="6.7"/>
    <x v="1"/>
    <s v="No"/>
    <s v="No"/>
    <m/>
    <s v="Closed"/>
    <s v="August"/>
    <x v="7"/>
    <n v="2026"/>
    <s v="Yes"/>
    <n v="1"/>
    <x v="2"/>
    <n v="1"/>
  </r>
  <r>
    <s v="T004779"/>
    <x v="4569"/>
    <d v="2026-08-06T00:38:00"/>
    <x v="4"/>
    <s v="Phone"/>
    <x v="1"/>
    <s v="A016"/>
    <x v="2"/>
    <n v="24"/>
    <n v="17.899999999999999"/>
    <x v="1"/>
    <s v="No"/>
    <s v="Yes"/>
    <n v="4"/>
    <s v="Closed"/>
    <s v="August"/>
    <x v="7"/>
    <n v="2026"/>
    <s v="Yes"/>
    <n v="1"/>
    <x v="0"/>
    <n v="1"/>
  </r>
  <r>
    <s v="T004780"/>
    <x v="4570"/>
    <d v="2026-08-05T10:06:00"/>
    <x v="0"/>
    <s v="Chat"/>
    <x v="1"/>
    <s v="A017"/>
    <x v="2"/>
    <n v="24"/>
    <n v="2.4"/>
    <x v="1"/>
    <s v="No"/>
    <s v="No"/>
    <n v="5"/>
    <s v="Closed"/>
    <s v="August"/>
    <x v="7"/>
    <n v="2026"/>
    <s v="Yes"/>
    <n v="1"/>
    <x v="4"/>
    <n v="1"/>
  </r>
  <r>
    <s v="T004781"/>
    <x v="4571"/>
    <d v="2026-08-05T10:43:00"/>
    <x v="2"/>
    <s v="Chat"/>
    <x v="2"/>
    <s v="A053"/>
    <x v="1"/>
    <n v="4"/>
    <n v="2.4"/>
    <x v="1"/>
    <s v="No"/>
    <s v="No"/>
    <m/>
    <s v="Closed"/>
    <s v="August"/>
    <x v="7"/>
    <n v="2026"/>
    <s v="Yes"/>
    <n v="1"/>
    <x v="4"/>
    <n v="1"/>
  </r>
  <r>
    <s v="T004782"/>
    <x v="4572"/>
    <d v="2026-08-05T13:47:00"/>
    <x v="1"/>
    <s v="Chat"/>
    <x v="0"/>
    <s v="A038"/>
    <x v="1"/>
    <n v="72"/>
    <n v="5"/>
    <x v="1"/>
    <s v="No"/>
    <s v="No"/>
    <n v="4"/>
    <s v="Closed"/>
    <s v="August"/>
    <x v="7"/>
    <n v="2026"/>
    <s v="Yes"/>
    <n v="1"/>
    <x v="1"/>
    <n v="1"/>
  </r>
  <r>
    <s v="T004783"/>
    <x v="4573"/>
    <d v="2026-08-05T12:48:00"/>
    <x v="6"/>
    <s v="Chat"/>
    <x v="2"/>
    <s v="A025"/>
    <x v="2"/>
    <n v="4"/>
    <n v="4"/>
    <x v="1"/>
    <s v="No"/>
    <s v="No"/>
    <m/>
    <s v="Closed"/>
    <s v="August"/>
    <x v="7"/>
    <n v="2026"/>
    <s v="Yes"/>
    <n v="1"/>
    <x v="4"/>
    <n v="1"/>
  </r>
  <r>
    <s v="T004784"/>
    <x v="4574"/>
    <d v="2026-08-07T03:35:00"/>
    <x v="3"/>
    <s v="Field Visit"/>
    <x v="0"/>
    <s v="A031"/>
    <x v="2"/>
    <n v="72"/>
    <n v="42.2"/>
    <x v="1"/>
    <s v="No"/>
    <s v="No"/>
    <n v="5"/>
    <s v="Closed"/>
    <s v="August"/>
    <x v="7"/>
    <n v="2026"/>
    <s v="Yes"/>
    <n v="1"/>
    <x v="1"/>
    <n v="1"/>
  </r>
  <r>
    <s v="T004785"/>
    <x v="4575"/>
    <d v="2026-08-06T01:54:00"/>
    <x v="3"/>
    <s v="Phone"/>
    <x v="1"/>
    <s v="A011"/>
    <x v="0"/>
    <n v="24"/>
    <n v="15.8"/>
    <x v="0"/>
    <s v="Yes"/>
    <s v="No"/>
    <n v="5"/>
    <s v="Closed"/>
    <s v="August"/>
    <x v="7"/>
    <n v="2026"/>
    <s v="Yes"/>
    <n v="1"/>
    <x v="3"/>
    <n v="0"/>
  </r>
  <r>
    <s v="T004786"/>
    <x v="4576"/>
    <d v="2026-08-05T15:51:00"/>
    <x v="1"/>
    <s v="Phone"/>
    <x v="1"/>
    <s v="A005"/>
    <x v="0"/>
    <n v="24"/>
    <n v="5.7"/>
    <x v="1"/>
    <s v="No"/>
    <s v="No"/>
    <m/>
    <s v="Closed"/>
    <s v="August"/>
    <x v="7"/>
    <n v="2026"/>
    <s v="Yes"/>
    <n v="1"/>
    <x v="2"/>
    <n v="1"/>
  </r>
  <r>
    <s v="T004787"/>
    <x v="4577"/>
    <d v="2026-08-05T19:47:00"/>
    <x v="0"/>
    <s v="Chat"/>
    <x v="1"/>
    <s v="A041"/>
    <x v="1"/>
    <n v="24"/>
    <n v="9.1"/>
    <x v="1"/>
    <s v="No"/>
    <s v="No"/>
    <n v="5"/>
    <s v="Closed"/>
    <s v="August"/>
    <x v="7"/>
    <n v="2026"/>
    <s v="Yes"/>
    <n v="1"/>
    <x v="4"/>
    <n v="1"/>
  </r>
  <r>
    <s v="T004788"/>
    <x v="4578"/>
    <d v="2026-08-05T21:19:00"/>
    <x v="1"/>
    <s v="Phone"/>
    <x v="0"/>
    <s v="A036"/>
    <x v="1"/>
    <n v="72"/>
    <n v="10.3"/>
    <x v="1"/>
    <s v="No"/>
    <s v="No"/>
    <n v="5"/>
    <s v="Closed"/>
    <s v="August"/>
    <x v="7"/>
    <n v="2026"/>
    <s v="Yes"/>
    <n v="1"/>
    <x v="4"/>
    <n v="1"/>
  </r>
  <r>
    <s v="T004789"/>
    <x v="4579"/>
    <d v="2026-08-06T23:44:00"/>
    <x v="6"/>
    <s v="Field Visit"/>
    <x v="2"/>
    <s v="A023"/>
    <x v="2"/>
    <n v="4"/>
    <n v="36.700000000000003"/>
    <x v="1"/>
    <s v="No"/>
    <s v="No"/>
    <m/>
    <s v="Closed"/>
    <s v="August"/>
    <x v="7"/>
    <n v="2026"/>
    <s v="No"/>
    <n v="0"/>
    <x v="3"/>
    <n v="1"/>
  </r>
  <r>
    <s v="T004790"/>
    <x v="4580"/>
    <d v="2026-08-06T01:33:00"/>
    <x v="5"/>
    <s v="Phone"/>
    <x v="0"/>
    <s v="A005"/>
    <x v="0"/>
    <n v="72"/>
    <n v="14.3"/>
    <x v="1"/>
    <s v="No"/>
    <s v="No"/>
    <n v="3"/>
    <s v="Closed"/>
    <s v="August"/>
    <x v="7"/>
    <n v="2026"/>
    <s v="Yes"/>
    <n v="1"/>
    <x v="3"/>
    <n v="1"/>
  </r>
  <r>
    <s v="T004791"/>
    <x v="4581"/>
    <d v="2026-08-06T03:59:00"/>
    <x v="6"/>
    <s v="Phone"/>
    <x v="1"/>
    <s v="A001"/>
    <x v="0"/>
    <n v="24"/>
    <n v="16.3"/>
    <x v="0"/>
    <s v="Yes"/>
    <s v="No"/>
    <n v="4"/>
    <s v="Closed"/>
    <s v="August"/>
    <x v="7"/>
    <n v="2026"/>
    <s v="Yes"/>
    <n v="1"/>
    <x v="3"/>
    <n v="0"/>
  </r>
  <r>
    <s v="T004792"/>
    <x v="4582"/>
    <d v="2026-08-06T00:40:00"/>
    <x v="3"/>
    <s v="Chat"/>
    <x v="0"/>
    <s v="A044"/>
    <x v="1"/>
    <n v="72"/>
    <n v="11.6"/>
    <x v="1"/>
    <s v="No"/>
    <s v="No"/>
    <n v="5"/>
    <s v="Closed"/>
    <s v="August"/>
    <x v="7"/>
    <n v="2026"/>
    <s v="Yes"/>
    <n v="1"/>
    <x v="2"/>
    <n v="1"/>
  </r>
  <r>
    <s v="T004793"/>
    <x v="4583"/>
    <d v="2026-08-05T15:13:00"/>
    <x v="0"/>
    <s v="Phone"/>
    <x v="0"/>
    <s v="A010"/>
    <x v="0"/>
    <n v="72"/>
    <n v="1.7"/>
    <x v="1"/>
    <s v="No"/>
    <s v="No"/>
    <m/>
    <s v="Closed"/>
    <s v="August"/>
    <x v="7"/>
    <n v="2026"/>
    <s v="Yes"/>
    <n v="1"/>
    <x v="4"/>
    <n v="1"/>
  </r>
  <r>
    <s v="T004794"/>
    <x v="4584"/>
    <d v="2026-08-06T12:31:00"/>
    <x v="3"/>
    <s v="Phone"/>
    <x v="1"/>
    <s v="A005"/>
    <x v="0"/>
    <n v="24"/>
    <n v="22.2"/>
    <x v="1"/>
    <s v="No"/>
    <s v="No"/>
    <n v="5"/>
    <s v="Closed"/>
    <s v="August"/>
    <x v="7"/>
    <n v="2026"/>
    <s v="Yes"/>
    <n v="1"/>
    <x v="0"/>
    <n v="1"/>
  </r>
  <r>
    <s v="T004795"/>
    <x v="4585"/>
    <d v="2026-08-05T21:51:00"/>
    <x v="5"/>
    <s v="Chat"/>
    <x v="0"/>
    <s v="A043"/>
    <x v="1"/>
    <n v="72"/>
    <n v="6.1"/>
    <x v="1"/>
    <s v="No"/>
    <s v="No"/>
    <m/>
    <s v="Closed"/>
    <s v="August"/>
    <x v="7"/>
    <n v="2026"/>
    <s v="Yes"/>
    <n v="1"/>
    <x v="1"/>
    <n v="1"/>
  </r>
  <r>
    <s v="T004796"/>
    <x v="4586"/>
    <d v="2026-08-05T19:50:00"/>
    <x v="6"/>
    <s v="Phone"/>
    <x v="2"/>
    <s v="A039"/>
    <x v="1"/>
    <n v="4"/>
    <n v="3.6"/>
    <x v="1"/>
    <s v="No"/>
    <s v="Yes"/>
    <n v="5"/>
    <s v="Closed"/>
    <s v="August"/>
    <x v="7"/>
    <n v="2026"/>
    <s v="Yes"/>
    <n v="1"/>
    <x v="0"/>
    <n v="1"/>
  </r>
  <r>
    <s v="T004797"/>
    <x v="4587"/>
    <d v="2026-08-05T21:21:00"/>
    <x v="1"/>
    <s v="Phone"/>
    <x v="1"/>
    <s v="A030"/>
    <x v="2"/>
    <n v="24"/>
    <n v="4.9000000000000004"/>
    <x v="1"/>
    <s v="No"/>
    <s v="No"/>
    <m/>
    <s v="Closed"/>
    <s v="August"/>
    <x v="7"/>
    <n v="2026"/>
    <s v="Yes"/>
    <n v="1"/>
    <x v="4"/>
    <n v="1"/>
  </r>
  <r>
    <s v="T004798"/>
    <x v="4588"/>
    <d v="2026-08-05T21:47:00"/>
    <x v="2"/>
    <s v="Phone"/>
    <x v="2"/>
    <s v="A060"/>
    <x v="1"/>
    <n v="4"/>
    <n v="4.3"/>
    <x v="1"/>
    <s v="No"/>
    <s v="No"/>
    <n v="5"/>
    <s v="Closed"/>
    <s v="August"/>
    <x v="7"/>
    <n v="2026"/>
    <s v="No"/>
    <n v="0"/>
    <x v="3"/>
    <n v="1"/>
  </r>
  <r>
    <s v="T004799"/>
    <x v="4589"/>
    <d v="2026-08-05T23:21:00"/>
    <x v="0"/>
    <s v="Phone"/>
    <x v="0"/>
    <s v="A028"/>
    <x v="2"/>
    <n v="72"/>
    <n v="5.5"/>
    <x v="1"/>
    <s v="No"/>
    <s v="No"/>
    <m/>
    <s v="Closed"/>
    <s v="August"/>
    <x v="7"/>
    <n v="2026"/>
    <s v="Yes"/>
    <n v="1"/>
    <x v="1"/>
    <n v="1"/>
  </r>
  <r>
    <s v="T004800"/>
    <x v="4590"/>
    <d v="2026-08-11T10:59:00"/>
    <x v="4"/>
    <s v="Field Visit"/>
    <x v="0"/>
    <s v="A045"/>
    <x v="1"/>
    <n v="72"/>
    <n v="135.80000000000001"/>
    <x v="1"/>
    <s v="No"/>
    <s v="No"/>
    <m/>
    <s v="Closed"/>
    <s v="August"/>
    <x v="7"/>
    <n v="2026"/>
    <s v="No"/>
    <n v="0"/>
    <x v="0"/>
    <n v="1"/>
  </r>
  <r>
    <s v="T004801"/>
    <x v="4591"/>
    <d v="2026-08-06T05:06:00"/>
    <x v="0"/>
    <s v="Field Visit"/>
    <x v="1"/>
    <s v="A044"/>
    <x v="1"/>
    <n v="24"/>
    <n v="7.7"/>
    <x v="1"/>
    <s v="No"/>
    <s v="No"/>
    <m/>
    <s v="Closed"/>
    <s v="August"/>
    <x v="7"/>
    <n v="2026"/>
    <s v="Yes"/>
    <n v="1"/>
    <x v="0"/>
    <n v="1"/>
  </r>
  <r>
    <s v="T004802"/>
    <x v="4592"/>
    <d v="2026-08-06T03:01:00"/>
    <x v="1"/>
    <s v="Chat"/>
    <x v="0"/>
    <s v="A043"/>
    <x v="1"/>
    <n v="72"/>
    <n v="5.6"/>
    <x v="0"/>
    <s v="Yes"/>
    <s v="No"/>
    <n v="4"/>
    <s v="Closed"/>
    <s v="August"/>
    <x v="7"/>
    <n v="2026"/>
    <s v="Yes"/>
    <n v="1"/>
    <x v="3"/>
    <n v="0"/>
  </r>
  <r>
    <s v="T004803"/>
    <x v="4593"/>
    <d v="2026-08-06T00:35:00"/>
    <x v="1"/>
    <s v="Chat"/>
    <x v="0"/>
    <s v="A046"/>
    <x v="1"/>
    <n v="72"/>
    <n v="1.9"/>
    <x v="1"/>
    <s v="No"/>
    <s v="No"/>
    <n v="3"/>
    <s v="Closed"/>
    <s v="August"/>
    <x v="7"/>
    <n v="2026"/>
    <s v="Yes"/>
    <n v="1"/>
    <x v="2"/>
    <n v="1"/>
  </r>
  <r>
    <s v="T004804"/>
    <x v="4594"/>
    <d v="2026-08-06T12:39:00"/>
    <x v="5"/>
    <s v="Phone"/>
    <x v="2"/>
    <s v="A008"/>
    <x v="0"/>
    <n v="4"/>
    <n v="9"/>
    <x v="0"/>
    <s v="No"/>
    <s v="No"/>
    <n v="4"/>
    <s v="Closed"/>
    <s v="August"/>
    <x v="7"/>
    <n v="2026"/>
    <s v="No"/>
    <n v="0"/>
    <x v="4"/>
    <n v="0"/>
  </r>
  <r>
    <s v="T004805"/>
    <x v="4595"/>
    <d v="2026-08-06T09:16:00"/>
    <x v="3"/>
    <s v="Chat"/>
    <x v="2"/>
    <s v="A048"/>
    <x v="1"/>
    <n v="4"/>
    <n v="3.7"/>
    <x v="1"/>
    <s v="No"/>
    <s v="No"/>
    <n v="5"/>
    <s v="Closed"/>
    <s v="August"/>
    <x v="7"/>
    <n v="2026"/>
    <s v="Yes"/>
    <n v="1"/>
    <x v="2"/>
    <n v="1"/>
  </r>
  <r>
    <s v="T004806"/>
    <x v="4596"/>
    <d v="2026-08-06T14:22:00"/>
    <x v="0"/>
    <s v="Field Visit"/>
    <x v="0"/>
    <s v="A036"/>
    <x v="1"/>
    <n v="72"/>
    <n v="8.4"/>
    <x v="1"/>
    <s v="No"/>
    <s v="No"/>
    <n v="5"/>
    <s v="Closed"/>
    <s v="August"/>
    <x v="7"/>
    <n v="2026"/>
    <s v="Yes"/>
    <n v="1"/>
    <x v="4"/>
    <n v="1"/>
  </r>
  <r>
    <s v="T004807"/>
    <x v="4597"/>
    <d v="2026-08-06T11:01:00"/>
    <x v="2"/>
    <s v="Chat"/>
    <x v="1"/>
    <s v="A045"/>
    <x v="1"/>
    <n v="24"/>
    <n v="4.8"/>
    <x v="1"/>
    <s v="No"/>
    <s v="No"/>
    <n v="4"/>
    <s v="Closed"/>
    <s v="August"/>
    <x v="7"/>
    <n v="2026"/>
    <s v="Yes"/>
    <n v="1"/>
    <x v="0"/>
    <n v="1"/>
  </r>
  <r>
    <s v="T004808"/>
    <x v="4598"/>
    <d v="2026-08-06T10:15:00"/>
    <x v="2"/>
    <s v="Chat"/>
    <x v="2"/>
    <s v="A052"/>
    <x v="1"/>
    <n v="4"/>
    <n v="3.8"/>
    <x v="1"/>
    <s v="No"/>
    <s v="No"/>
    <n v="4"/>
    <s v="Closed"/>
    <s v="August"/>
    <x v="7"/>
    <n v="2026"/>
    <s v="Yes"/>
    <n v="1"/>
    <x v="2"/>
    <n v="1"/>
  </r>
  <r>
    <s v="T004809"/>
    <x v="4599"/>
    <d v="2026-08-06T11:35:00"/>
    <x v="1"/>
    <s v="Chat"/>
    <x v="1"/>
    <s v="A017"/>
    <x v="2"/>
    <n v="24"/>
    <n v="5"/>
    <x v="1"/>
    <s v="No"/>
    <s v="No"/>
    <m/>
    <s v="Closed"/>
    <s v="August"/>
    <x v="7"/>
    <n v="2026"/>
    <s v="Yes"/>
    <n v="1"/>
    <x v="4"/>
    <n v="1"/>
  </r>
  <r>
    <s v="T004810"/>
    <x v="4600"/>
    <d v="2026-08-07T08:31:00"/>
    <x v="3"/>
    <s v="Chat"/>
    <x v="0"/>
    <s v="A052"/>
    <x v="1"/>
    <n v="72"/>
    <n v="25.5"/>
    <x v="1"/>
    <s v="No"/>
    <s v="No"/>
    <n v="5"/>
    <s v="Closed"/>
    <s v="August"/>
    <x v="7"/>
    <n v="2026"/>
    <s v="Yes"/>
    <n v="1"/>
    <x v="4"/>
    <n v="1"/>
  </r>
  <r>
    <s v="T004811"/>
    <x v="4601"/>
    <d v="2026-08-06T15:09:00"/>
    <x v="5"/>
    <s v="Chat"/>
    <x v="1"/>
    <s v="A025"/>
    <x v="2"/>
    <n v="24"/>
    <n v="7"/>
    <x v="1"/>
    <s v="No"/>
    <s v="No"/>
    <m/>
    <s v="Closed"/>
    <s v="August"/>
    <x v="7"/>
    <n v="2026"/>
    <s v="Yes"/>
    <n v="1"/>
    <x v="2"/>
    <n v="1"/>
  </r>
  <r>
    <s v="T004812"/>
    <x v="4602"/>
    <d v="2026-08-06T13:38:00"/>
    <x v="1"/>
    <s v="Chat"/>
    <x v="0"/>
    <s v="A001"/>
    <x v="0"/>
    <n v="72"/>
    <n v="4.4000000000000004"/>
    <x v="0"/>
    <s v="No"/>
    <s v="No"/>
    <m/>
    <s v="Closed"/>
    <s v="August"/>
    <x v="7"/>
    <n v="2026"/>
    <s v="Yes"/>
    <n v="1"/>
    <x v="2"/>
    <n v="0"/>
  </r>
  <r>
    <s v="T004813"/>
    <x v="4603"/>
    <d v="2026-08-06T16:46:00"/>
    <x v="5"/>
    <s v="Phone"/>
    <x v="0"/>
    <s v="A044"/>
    <x v="1"/>
    <n v="72"/>
    <n v="6.2"/>
    <x v="1"/>
    <s v="No"/>
    <s v="No"/>
    <n v="4"/>
    <s v="Closed"/>
    <s v="August"/>
    <x v="7"/>
    <n v="2026"/>
    <s v="Yes"/>
    <n v="1"/>
    <x v="4"/>
    <n v="1"/>
  </r>
  <r>
    <s v="T004814"/>
    <x v="4604"/>
    <d v="2026-08-06T13:52:00"/>
    <x v="1"/>
    <s v="Chat"/>
    <x v="0"/>
    <s v="A006"/>
    <x v="0"/>
    <n v="72"/>
    <n v="2.1"/>
    <x v="1"/>
    <s v="No"/>
    <s v="No"/>
    <n v="3"/>
    <s v="Closed"/>
    <s v="August"/>
    <x v="7"/>
    <n v="2026"/>
    <s v="Yes"/>
    <n v="1"/>
    <x v="1"/>
    <n v="1"/>
  </r>
  <r>
    <s v="T004815"/>
    <x v="4605"/>
    <d v="2026-08-07T10:13:00"/>
    <x v="3"/>
    <s v="Phone"/>
    <x v="2"/>
    <s v="A058"/>
    <x v="1"/>
    <n v="4"/>
    <n v="22.2"/>
    <x v="1"/>
    <s v="No"/>
    <s v="Yes"/>
    <n v="5"/>
    <s v="Closed"/>
    <s v="August"/>
    <x v="7"/>
    <n v="2026"/>
    <s v="No"/>
    <n v="0"/>
    <x v="3"/>
    <n v="1"/>
  </r>
  <r>
    <s v="T004816"/>
    <x v="4606"/>
    <d v="2026-08-15T21:18:00"/>
    <x v="4"/>
    <s v="Field Visit"/>
    <x v="0"/>
    <s v="A005"/>
    <x v="0"/>
    <n v="72"/>
    <n v="223.7"/>
    <x v="1"/>
    <s v="No"/>
    <s v="No"/>
    <n v="4"/>
    <s v="Closed"/>
    <s v="August"/>
    <x v="7"/>
    <n v="2026"/>
    <s v="No"/>
    <n v="0"/>
    <x v="2"/>
    <n v="1"/>
  </r>
  <r>
    <s v="T004817"/>
    <x v="4607"/>
    <d v="2026-08-07T07:25:00"/>
    <x v="0"/>
    <s v="Field Visit"/>
    <x v="1"/>
    <s v="A055"/>
    <x v="1"/>
    <n v="24"/>
    <n v="17.3"/>
    <x v="1"/>
    <s v="No"/>
    <s v="No"/>
    <n v="4"/>
    <s v="Closed"/>
    <s v="August"/>
    <x v="7"/>
    <n v="2026"/>
    <s v="Yes"/>
    <n v="1"/>
    <x v="4"/>
    <n v="1"/>
  </r>
  <r>
    <s v="T004818"/>
    <x v="4608"/>
    <d v="2026-08-06T19:10:00"/>
    <x v="1"/>
    <s v="Phone"/>
    <x v="1"/>
    <s v="A042"/>
    <x v="1"/>
    <n v="24"/>
    <n v="4.7"/>
    <x v="0"/>
    <s v="Yes"/>
    <s v="No"/>
    <n v="3"/>
    <s v="Closed"/>
    <s v="August"/>
    <x v="7"/>
    <n v="2026"/>
    <s v="Yes"/>
    <n v="1"/>
    <x v="2"/>
    <n v="0"/>
  </r>
  <r>
    <s v="T004819"/>
    <x v="4609"/>
    <d v="2026-08-07T08:41:00"/>
    <x v="6"/>
    <s v="Field Visit"/>
    <x v="2"/>
    <s v="A014"/>
    <x v="0"/>
    <n v="4"/>
    <n v="17.899999999999999"/>
    <x v="1"/>
    <s v="No"/>
    <s v="Yes"/>
    <m/>
    <s v="Closed"/>
    <s v="August"/>
    <x v="7"/>
    <n v="2026"/>
    <s v="No"/>
    <n v="0"/>
    <x v="1"/>
    <n v="1"/>
  </r>
  <r>
    <s v="T004820"/>
    <x v="4610"/>
    <d v="2026-08-07T07:27:00"/>
    <x v="1"/>
    <s v="Phone"/>
    <x v="1"/>
    <s v="A044"/>
    <x v="1"/>
    <n v="24"/>
    <n v="14.5"/>
    <x v="1"/>
    <s v="No"/>
    <s v="No"/>
    <n v="3"/>
    <s v="Closed"/>
    <s v="August"/>
    <x v="7"/>
    <n v="2026"/>
    <s v="Yes"/>
    <n v="1"/>
    <x v="3"/>
    <n v="1"/>
  </r>
  <r>
    <s v="T004821"/>
    <x v="4611"/>
    <d v="2026-08-06T19:24:00"/>
    <x v="1"/>
    <s v="Chat"/>
    <x v="0"/>
    <s v="A005"/>
    <x v="0"/>
    <n v="72"/>
    <n v="2.2000000000000002"/>
    <x v="0"/>
    <s v="No"/>
    <s v="No"/>
    <n v="5"/>
    <s v="Closed"/>
    <s v="August"/>
    <x v="7"/>
    <n v="2026"/>
    <s v="Yes"/>
    <n v="1"/>
    <x v="0"/>
    <n v="0"/>
  </r>
  <r>
    <s v="T004822"/>
    <x v="4612"/>
    <d v="2026-08-08T07:42:00"/>
    <x v="6"/>
    <s v="Field Visit"/>
    <x v="2"/>
    <s v="A001"/>
    <x v="0"/>
    <n v="4"/>
    <n v="37.4"/>
    <x v="1"/>
    <s v="No"/>
    <s v="No"/>
    <n v="5"/>
    <s v="Closed"/>
    <s v="August"/>
    <x v="7"/>
    <n v="2026"/>
    <s v="No"/>
    <n v="0"/>
    <x v="4"/>
    <n v="1"/>
  </r>
  <r>
    <s v="T004823"/>
    <x v="4613"/>
    <d v="2026-08-06T22:27:00"/>
    <x v="1"/>
    <s v="Chat"/>
    <x v="2"/>
    <s v="A030"/>
    <x v="2"/>
    <n v="4"/>
    <n v="4"/>
    <x v="0"/>
    <s v="No"/>
    <s v="No"/>
    <n v="4"/>
    <s v="Closed"/>
    <s v="August"/>
    <x v="7"/>
    <n v="2026"/>
    <s v="Yes"/>
    <n v="1"/>
    <x v="1"/>
    <n v="0"/>
  </r>
  <r>
    <s v="T004824"/>
    <x v="4614"/>
    <d v="2026-08-09T13:59:00"/>
    <x v="4"/>
    <s v="Field Visit"/>
    <x v="1"/>
    <s v="A009"/>
    <x v="0"/>
    <n v="24"/>
    <n v="66.5"/>
    <x v="0"/>
    <s v="Yes"/>
    <s v="No"/>
    <n v="3"/>
    <s v="Closed"/>
    <s v="August"/>
    <x v="7"/>
    <n v="2026"/>
    <s v="No"/>
    <n v="0"/>
    <x v="2"/>
    <n v="0"/>
  </r>
  <r>
    <s v="T004825"/>
    <x v="4615"/>
    <d v="2026-08-07T07:34:00"/>
    <x v="6"/>
    <s v="Field Visit"/>
    <x v="2"/>
    <s v="A046"/>
    <x v="1"/>
    <n v="4"/>
    <n v="12"/>
    <x v="1"/>
    <s v="No"/>
    <s v="Yes"/>
    <n v="3"/>
    <s v="Closed"/>
    <s v="August"/>
    <x v="7"/>
    <n v="2026"/>
    <s v="No"/>
    <n v="0"/>
    <x v="2"/>
    <n v="1"/>
  </r>
  <r>
    <s v="T004826"/>
    <x v="4616"/>
    <d v="2026-08-07T08:59:00"/>
    <x v="3"/>
    <s v="Chat"/>
    <x v="2"/>
    <s v="A044"/>
    <x v="1"/>
    <n v="4"/>
    <n v="12.9"/>
    <x v="1"/>
    <s v="No"/>
    <s v="No"/>
    <n v="3"/>
    <s v="Closed"/>
    <s v="August"/>
    <x v="7"/>
    <n v="2026"/>
    <s v="No"/>
    <n v="0"/>
    <x v="2"/>
    <n v="1"/>
  </r>
  <r>
    <s v="T004827"/>
    <x v="4617"/>
    <d v="2026-08-07T02:43:00"/>
    <x v="2"/>
    <s v="Phone"/>
    <x v="1"/>
    <s v="A050"/>
    <x v="1"/>
    <n v="24"/>
    <n v="5.8"/>
    <x v="0"/>
    <s v="No"/>
    <s v="No"/>
    <n v="5"/>
    <s v="Closed"/>
    <s v="August"/>
    <x v="7"/>
    <n v="2026"/>
    <s v="Yes"/>
    <n v="1"/>
    <x v="0"/>
    <n v="0"/>
  </r>
  <r>
    <s v="T004828"/>
    <x v="4618"/>
    <d v="2026-08-07T07:44:00"/>
    <x v="0"/>
    <s v="Chat"/>
    <x v="0"/>
    <s v="A041"/>
    <x v="1"/>
    <n v="72"/>
    <n v="8.8000000000000007"/>
    <x v="1"/>
    <s v="No"/>
    <s v="No"/>
    <n v="5"/>
    <s v="Closed"/>
    <s v="August"/>
    <x v="7"/>
    <n v="2026"/>
    <s v="Yes"/>
    <n v="1"/>
    <x v="0"/>
    <n v="1"/>
  </r>
  <r>
    <s v="T004829"/>
    <x v="4619"/>
    <d v="2026-08-08T05:20:00"/>
    <x v="6"/>
    <s v="Field Visit"/>
    <x v="2"/>
    <s v="A029"/>
    <x v="2"/>
    <n v="4"/>
    <n v="22.3"/>
    <x v="0"/>
    <s v="Yes"/>
    <s v="No"/>
    <m/>
    <s v="Closed"/>
    <s v="August"/>
    <x v="7"/>
    <n v="2026"/>
    <s v="No"/>
    <n v="0"/>
    <x v="2"/>
    <n v="0"/>
  </r>
  <r>
    <s v="T004830"/>
    <x v="4620"/>
    <d v="2026-08-07T09:20:00"/>
    <x v="1"/>
    <s v="Chat"/>
    <x v="0"/>
    <s v="A052"/>
    <x v="1"/>
    <n v="72"/>
    <n v="0.9"/>
    <x v="1"/>
    <s v="No"/>
    <s v="No"/>
    <m/>
    <s v="Closed"/>
    <s v="August"/>
    <x v="7"/>
    <n v="2026"/>
    <s v="Yes"/>
    <n v="1"/>
    <x v="4"/>
    <n v="1"/>
  </r>
  <r>
    <s v="T004831"/>
    <x v="4621"/>
    <d v="2026-08-08T15:14:00"/>
    <x v="0"/>
    <s v="Field Visit"/>
    <x v="1"/>
    <s v="A034"/>
    <x v="2"/>
    <n v="24"/>
    <n v="29.9"/>
    <x v="1"/>
    <s v="No"/>
    <s v="No"/>
    <n v="5"/>
    <s v="Closed"/>
    <s v="August"/>
    <x v="7"/>
    <n v="2026"/>
    <s v="No"/>
    <n v="0"/>
    <x v="3"/>
    <n v="1"/>
  </r>
  <r>
    <s v="T004832"/>
    <x v="4622"/>
    <d v="2026-08-07T12:28:00"/>
    <x v="6"/>
    <s v="Chat"/>
    <x v="1"/>
    <s v="A048"/>
    <x v="1"/>
    <n v="24"/>
    <n v="2.9"/>
    <x v="0"/>
    <s v="No"/>
    <s v="No"/>
    <n v="3"/>
    <s v="Closed"/>
    <s v="August"/>
    <x v="7"/>
    <n v="2026"/>
    <s v="Yes"/>
    <n v="1"/>
    <x v="3"/>
    <n v="0"/>
  </r>
  <r>
    <s v="T004833"/>
    <x v="4623"/>
    <d v="2026-08-12T17:57:00"/>
    <x v="4"/>
    <s v="Field Visit"/>
    <x v="1"/>
    <s v="A006"/>
    <x v="0"/>
    <n v="24"/>
    <n v="128.30000000000001"/>
    <x v="1"/>
    <s v="No"/>
    <s v="No"/>
    <n v="4"/>
    <s v="Closed"/>
    <s v="August"/>
    <x v="7"/>
    <n v="2026"/>
    <s v="No"/>
    <n v="0"/>
    <x v="1"/>
    <n v="1"/>
  </r>
  <r>
    <s v="T004834"/>
    <x v="4624"/>
    <d v="2026-08-07T15:53:00"/>
    <x v="2"/>
    <s v="Email"/>
    <x v="0"/>
    <s v="A034"/>
    <x v="2"/>
    <n v="72"/>
    <n v="5.9"/>
    <x v="0"/>
    <s v="No"/>
    <s v="No"/>
    <m/>
    <s v="Closed"/>
    <s v="August"/>
    <x v="7"/>
    <n v="2026"/>
    <s v="Yes"/>
    <n v="1"/>
    <x v="3"/>
    <n v="0"/>
  </r>
  <r>
    <s v="T004835"/>
    <x v="4625"/>
    <d v="2026-08-07T15:00:00"/>
    <x v="1"/>
    <s v="Chat"/>
    <x v="1"/>
    <s v="A025"/>
    <x v="2"/>
    <n v="24"/>
    <n v="3.6"/>
    <x v="1"/>
    <s v="No"/>
    <s v="No"/>
    <n v="5"/>
    <s v="Closed"/>
    <s v="August"/>
    <x v="7"/>
    <n v="2026"/>
    <s v="Yes"/>
    <n v="1"/>
    <x v="2"/>
    <n v="1"/>
  </r>
  <r>
    <s v="T004836"/>
    <x v="4626"/>
    <d v="2026-08-08T11:43:00"/>
    <x v="0"/>
    <s v="Phone"/>
    <x v="1"/>
    <s v="A037"/>
    <x v="1"/>
    <n v="24"/>
    <n v="23.8"/>
    <x v="1"/>
    <s v="No"/>
    <s v="No"/>
    <m/>
    <s v="Closed"/>
    <s v="August"/>
    <x v="7"/>
    <n v="2026"/>
    <s v="Yes"/>
    <n v="1"/>
    <x v="3"/>
    <n v="1"/>
  </r>
  <r>
    <s v="T004837"/>
    <x v="4627"/>
    <d v="2026-08-07T15:58:00"/>
    <x v="2"/>
    <s v="Chat"/>
    <x v="1"/>
    <s v="A035"/>
    <x v="2"/>
    <n v="24"/>
    <n v="3.7"/>
    <x v="1"/>
    <s v="No"/>
    <s v="No"/>
    <n v="5"/>
    <s v="Closed"/>
    <s v="August"/>
    <x v="7"/>
    <n v="2026"/>
    <s v="Yes"/>
    <n v="1"/>
    <x v="3"/>
    <n v="1"/>
  </r>
  <r>
    <s v="T004838"/>
    <x v="4628"/>
    <d v="2026-08-08T04:04:00"/>
    <x v="1"/>
    <s v="Email"/>
    <x v="0"/>
    <s v="A040"/>
    <x v="1"/>
    <n v="72"/>
    <n v="14.2"/>
    <x v="1"/>
    <s v="No"/>
    <s v="No"/>
    <n v="4"/>
    <s v="Closed"/>
    <s v="August"/>
    <x v="7"/>
    <n v="2026"/>
    <s v="Yes"/>
    <n v="1"/>
    <x v="2"/>
    <n v="1"/>
  </r>
  <r>
    <s v="T004839"/>
    <x v="4629"/>
    <d v="2026-08-08T05:10:00"/>
    <x v="3"/>
    <s v="Field Visit"/>
    <x v="0"/>
    <s v="A031"/>
    <x v="2"/>
    <n v="72"/>
    <n v="14.9"/>
    <x v="1"/>
    <s v="No"/>
    <s v="No"/>
    <m/>
    <s v="Closed"/>
    <s v="August"/>
    <x v="7"/>
    <n v="2026"/>
    <s v="Yes"/>
    <n v="1"/>
    <x v="3"/>
    <n v="1"/>
  </r>
  <r>
    <s v="T004840"/>
    <x v="4630"/>
    <d v="2026-08-08T09:31:00"/>
    <x v="5"/>
    <s v="Phone"/>
    <x v="1"/>
    <s v="A048"/>
    <x v="1"/>
    <n v="24"/>
    <n v="18.899999999999999"/>
    <x v="1"/>
    <s v="No"/>
    <s v="No"/>
    <n v="4"/>
    <s v="Closed"/>
    <s v="August"/>
    <x v="7"/>
    <n v="2026"/>
    <s v="Yes"/>
    <n v="1"/>
    <x v="2"/>
    <n v="1"/>
  </r>
  <r>
    <s v="T004841"/>
    <x v="4631"/>
    <d v="2026-08-08T16:55:00"/>
    <x v="0"/>
    <s v="Phone"/>
    <x v="1"/>
    <s v="A025"/>
    <x v="2"/>
    <n v="24"/>
    <n v="26"/>
    <x v="0"/>
    <s v="Yes"/>
    <s v="No"/>
    <m/>
    <s v="Closed"/>
    <s v="August"/>
    <x v="7"/>
    <n v="2026"/>
    <s v="No"/>
    <n v="0"/>
    <x v="0"/>
    <n v="0"/>
  </r>
  <r>
    <s v="T004842"/>
    <x v="4632"/>
    <d v="2026-08-17T09:01:00"/>
    <x v="4"/>
    <s v="Field Visit"/>
    <x v="0"/>
    <s v="A045"/>
    <x v="1"/>
    <n v="72"/>
    <n v="233.3"/>
    <x v="1"/>
    <s v="No"/>
    <s v="No"/>
    <m/>
    <s v="Closed"/>
    <s v="August"/>
    <x v="7"/>
    <n v="2026"/>
    <s v="No"/>
    <n v="0"/>
    <x v="4"/>
    <n v="1"/>
  </r>
  <r>
    <s v="T004843"/>
    <x v="4633"/>
    <d v="2026-08-08T07:35:00"/>
    <x v="1"/>
    <s v="Email"/>
    <x v="0"/>
    <s v="A011"/>
    <x v="0"/>
    <n v="72"/>
    <n v="14.7"/>
    <x v="1"/>
    <s v="No"/>
    <s v="No"/>
    <m/>
    <s v="Closed"/>
    <s v="August"/>
    <x v="7"/>
    <n v="2026"/>
    <s v="Yes"/>
    <n v="1"/>
    <x v="3"/>
    <n v="1"/>
  </r>
  <r>
    <s v="T004844"/>
    <x v="4634"/>
    <d v="2026-08-08T01:43:00"/>
    <x v="6"/>
    <s v="Phone"/>
    <x v="0"/>
    <s v="A007"/>
    <x v="0"/>
    <n v="72"/>
    <n v="7.2"/>
    <x v="1"/>
    <s v="No"/>
    <s v="Yes"/>
    <n v="5"/>
    <s v="Closed"/>
    <s v="August"/>
    <x v="7"/>
    <n v="2026"/>
    <s v="Yes"/>
    <n v="1"/>
    <x v="1"/>
    <n v="1"/>
  </r>
  <r>
    <s v="T004845"/>
    <x v="4635"/>
    <d v="2026-08-08T06:09:00"/>
    <x v="5"/>
    <s v="Chat"/>
    <x v="1"/>
    <s v="A014"/>
    <x v="0"/>
    <n v="24"/>
    <n v="6.6"/>
    <x v="0"/>
    <s v="Yes"/>
    <s v="No"/>
    <m/>
    <s v="Closed"/>
    <s v="August"/>
    <x v="7"/>
    <n v="2026"/>
    <s v="Yes"/>
    <n v="1"/>
    <x v="2"/>
    <n v="0"/>
  </r>
  <r>
    <s v="T004846"/>
    <x v="4636"/>
    <d v="2026-08-08T22:11:00"/>
    <x v="5"/>
    <s v="Phone"/>
    <x v="2"/>
    <s v="A028"/>
    <x v="2"/>
    <n v="4"/>
    <n v="17.600000000000001"/>
    <x v="1"/>
    <s v="No"/>
    <s v="No"/>
    <n v="5"/>
    <s v="Closed"/>
    <s v="August"/>
    <x v="7"/>
    <n v="2026"/>
    <s v="No"/>
    <n v="0"/>
    <x v="0"/>
    <n v="1"/>
  </r>
  <r>
    <s v="T004847"/>
    <x v="4637"/>
    <d v="2026-08-09T21:57:00"/>
    <x v="5"/>
    <s v="Email"/>
    <x v="0"/>
    <s v="A053"/>
    <x v="1"/>
    <n v="72"/>
    <n v="40.4"/>
    <x v="1"/>
    <s v="No"/>
    <s v="No"/>
    <n v="3"/>
    <s v="Closed"/>
    <s v="August"/>
    <x v="7"/>
    <n v="2026"/>
    <s v="Yes"/>
    <n v="1"/>
    <x v="1"/>
    <n v="1"/>
  </r>
  <r>
    <s v="T004848"/>
    <x v="4638"/>
    <d v="2026-08-10T13:54:00"/>
    <x v="0"/>
    <s v="Email"/>
    <x v="1"/>
    <s v="A059"/>
    <x v="1"/>
    <n v="24"/>
    <n v="56.2"/>
    <x v="1"/>
    <s v="No"/>
    <s v="No"/>
    <m/>
    <s v="Closed"/>
    <s v="August"/>
    <x v="7"/>
    <n v="2026"/>
    <s v="No"/>
    <n v="0"/>
    <x v="1"/>
    <n v="1"/>
  </r>
  <r>
    <s v="T004849"/>
    <x v="4639"/>
    <d v="2026-08-08T21:47:00"/>
    <x v="5"/>
    <s v="Chat"/>
    <x v="0"/>
    <s v="A021"/>
    <x v="2"/>
    <n v="72"/>
    <n v="15.5"/>
    <x v="0"/>
    <s v="Yes"/>
    <s v="No"/>
    <n v="4"/>
    <s v="Closed"/>
    <s v="August"/>
    <x v="7"/>
    <n v="2026"/>
    <s v="Yes"/>
    <n v="1"/>
    <x v="2"/>
    <n v="0"/>
  </r>
  <r>
    <s v="T004850"/>
    <x v="4640"/>
    <d v="2026-08-08T13:37:00"/>
    <x v="6"/>
    <s v="Phone"/>
    <x v="1"/>
    <s v="A044"/>
    <x v="1"/>
    <n v="24"/>
    <n v="7.3"/>
    <x v="1"/>
    <s v="No"/>
    <s v="No"/>
    <n v="4"/>
    <s v="Closed"/>
    <s v="August"/>
    <x v="7"/>
    <n v="2026"/>
    <s v="Yes"/>
    <n v="1"/>
    <x v="1"/>
    <n v="1"/>
  </r>
  <r>
    <s v="T004851"/>
    <x v="4641"/>
    <d v="2026-08-09T01:13:00"/>
    <x v="4"/>
    <s v="Chat"/>
    <x v="2"/>
    <s v="A042"/>
    <x v="1"/>
    <n v="4"/>
    <n v="17.600000000000001"/>
    <x v="1"/>
    <s v="No"/>
    <s v="No"/>
    <n v="4"/>
    <s v="Closed"/>
    <s v="August"/>
    <x v="7"/>
    <n v="2026"/>
    <s v="No"/>
    <n v="0"/>
    <x v="3"/>
    <n v="1"/>
  </r>
  <r>
    <s v="T004852"/>
    <x v="4642"/>
    <d v="2026-08-11T22:05:00"/>
    <x v="0"/>
    <s v="Field Visit"/>
    <x v="2"/>
    <s v="A038"/>
    <x v="1"/>
    <n v="4"/>
    <n v="85"/>
    <x v="1"/>
    <s v="No"/>
    <s v="No"/>
    <n v="5"/>
    <s v="Closed"/>
    <s v="August"/>
    <x v="7"/>
    <n v="2026"/>
    <s v="No"/>
    <n v="0"/>
    <x v="1"/>
    <n v="1"/>
  </r>
  <r>
    <s v="T004853"/>
    <x v="4643"/>
    <d v="2026-08-08T13:39:00"/>
    <x v="5"/>
    <s v="Phone"/>
    <x v="1"/>
    <s v="A015"/>
    <x v="0"/>
    <n v="24"/>
    <n v="4.4000000000000004"/>
    <x v="1"/>
    <s v="No"/>
    <s v="No"/>
    <n v="5"/>
    <s v="Closed"/>
    <s v="August"/>
    <x v="7"/>
    <n v="2026"/>
    <s v="Yes"/>
    <n v="1"/>
    <x v="3"/>
    <n v="1"/>
  </r>
  <r>
    <s v="T004854"/>
    <x v="4644"/>
    <d v="2026-08-09T08:52:00"/>
    <x v="6"/>
    <s v="Field Visit"/>
    <x v="2"/>
    <s v="A028"/>
    <x v="2"/>
    <n v="4"/>
    <n v="23.2"/>
    <x v="1"/>
    <s v="No"/>
    <s v="No"/>
    <n v="2"/>
    <s v="Closed"/>
    <s v="August"/>
    <x v="7"/>
    <n v="2026"/>
    <s v="No"/>
    <n v="0"/>
    <x v="2"/>
    <n v="1"/>
  </r>
  <r>
    <s v="T004855"/>
    <x v="4645"/>
    <d v="2026-08-12T16:59:00"/>
    <x v="3"/>
    <s v="Field Visit"/>
    <x v="2"/>
    <s v="A011"/>
    <x v="0"/>
    <n v="4"/>
    <n v="102.9"/>
    <x v="1"/>
    <s v="No"/>
    <s v="No"/>
    <n v="5"/>
    <s v="Closed"/>
    <s v="August"/>
    <x v="7"/>
    <n v="2026"/>
    <s v="No"/>
    <n v="0"/>
    <x v="3"/>
    <n v="1"/>
  </r>
  <r>
    <s v="T004856"/>
    <x v="4646"/>
    <d v="2026-08-09T04:41:00"/>
    <x v="6"/>
    <s v="Field Visit"/>
    <x v="2"/>
    <s v="A058"/>
    <x v="1"/>
    <n v="4"/>
    <n v="18.3"/>
    <x v="0"/>
    <s v="No"/>
    <s v="No"/>
    <m/>
    <s v="Closed"/>
    <s v="August"/>
    <x v="7"/>
    <n v="2026"/>
    <s v="No"/>
    <n v="0"/>
    <x v="4"/>
    <n v="0"/>
  </r>
  <r>
    <s v="T004857"/>
    <x v="4647"/>
    <d v="2026-08-09T00:40:00"/>
    <x v="0"/>
    <s v="Phone"/>
    <x v="1"/>
    <s v="A025"/>
    <x v="2"/>
    <n v="24"/>
    <n v="13.4"/>
    <x v="0"/>
    <s v="Yes"/>
    <s v="No"/>
    <n v="4"/>
    <s v="Closed"/>
    <s v="August"/>
    <x v="7"/>
    <n v="2026"/>
    <s v="Yes"/>
    <n v="1"/>
    <x v="3"/>
    <n v="0"/>
  </r>
  <r>
    <s v="T004858"/>
    <x v="4648"/>
    <d v="2026-08-09T02:22:00"/>
    <x v="0"/>
    <s v="Chat"/>
    <x v="1"/>
    <s v="A023"/>
    <x v="2"/>
    <n v="24"/>
    <n v="15"/>
    <x v="1"/>
    <s v="No"/>
    <s v="No"/>
    <n v="5"/>
    <s v="Closed"/>
    <s v="August"/>
    <x v="7"/>
    <n v="2026"/>
    <s v="Yes"/>
    <n v="1"/>
    <x v="4"/>
    <n v="1"/>
  </r>
  <r>
    <s v="T004859"/>
    <x v="4649"/>
    <d v="2026-08-09T00:41:00"/>
    <x v="2"/>
    <s v="Phone"/>
    <x v="1"/>
    <s v="A045"/>
    <x v="1"/>
    <n v="24"/>
    <n v="12.9"/>
    <x v="1"/>
    <s v="No"/>
    <s v="No"/>
    <n v="4"/>
    <s v="Closed"/>
    <s v="August"/>
    <x v="7"/>
    <n v="2026"/>
    <s v="Yes"/>
    <n v="1"/>
    <x v="3"/>
    <n v="1"/>
  </r>
  <r>
    <s v="T004860"/>
    <x v="4650"/>
    <d v="2026-08-08T19:07:00"/>
    <x v="2"/>
    <s v="Chat"/>
    <x v="0"/>
    <s v="A054"/>
    <x v="1"/>
    <n v="72"/>
    <n v="6.6"/>
    <x v="0"/>
    <s v="Yes"/>
    <s v="No"/>
    <n v="3"/>
    <s v="Closed"/>
    <s v="August"/>
    <x v="7"/>
    <n v="2026"/>
    <s v="Yes"/>
    <n v="1"/>
    <x v="2"/>
    <n v="0"/>
  </r>
  <r>
    <s v="T004861"/>
    <x v="4651"/>
    <d v="2026-08-08T17:02:00"/>
    <x v="5"/>
    <s v="Chat"/>
    <x v="1"/>
    <s v="A042"/>
    <x v="1"/>
    <n v="24"/>
    <m/>
    <x v="1"/>
    <s v="No"/>
    <s v="No"/>
    <m/>
    <s v="Closed"/>
    <s v="August"/>
    <x v="7"/>
    <n v="2026"/>
    <m/>
    <m/>
    <x v="4"/>
    <n v="1"/>
  </r>
  <r>
    <s v="T004862"/>
    <x v="4652"/>
    <d v="2026-08-08T21:30:00"/>
    <x v="1"/>
    <s v="Chat"/>
    <x v="0"/>
    <s v="A026"/>
    <x v="2"/>
    <n v="72"/>
    <n v="7.5"/>
    <x v="1"/>
    <s v="No"/>
    <s v="No"/>
    <n v="5"/>
    <s v="Closed"/>
    <s v="August"/>
    <x v="7"/>
    <n v="2026"/>
    <s v="Yes"/>
    <n v="1"/>
    <x v="0"/>
    <n v="1"/>
  </r>
  <r>
    <s v="T004863"/>
    <x v="4653"/>
    <d v="2026-08-09T09:19:00"/>
    <x v="6"/>
    <s v="Field Visit"/>
    <x v="1"/>
    <s v="A017"/>
    <x v="2"/>
    <n v="24"/>
    <n v="19.2"/>
    <x v="1"/>
    <s v="No"/>
    <s v="No"/>
    <n v="5"/>
    <s v="Closed"/>
    <s v="August"/>
    <x v="7"/>
    <n v="2026"/>
    <s v="Yes"/>
    <n v="1"/>
    <x v="2"/>
    <n v="1"/>
  </r>
  <r>
    <s v="T004864"/>
    <x v="4654"/>
    <d v="2026-08-10T22:14:00"/>
    <x v="5"/>
    <s v="Field Visit"/>
    <x v="2"/>
    <s v="A029"/>
    <x v="2"/>
    <n v="4"/>
    <n v="55"/>
    <x v="1"/>
    <s v="No"/>
    <s v="No"/>
    <n v="3"/>
    <s v="Closed"/>
    <s v="August"/>
    <x v="7"/>
    <n v="2026"/>
    <s v="No"/>
    <n v="0"/>
    <x v="1"/>
    <n v="1"/>
  </r>
  <r>
    <s v="T004865"/>
    <x v="4655"/>
    <d v="2026-08-10T14:01:00"/>
    <x v="2"/>
    <s v="Field Visit"/>
    <x v="0"/>
    <s v="A032"/>
    <x v="2"/>
    <n v="72"/>
    <n v="46"/>
    <x v="1"/>
    <s v="No"/>
    <s v="No"/>
    <m/>
    <s v="Closed"/>
    <s v="August"/>
    <x v="7"/>
    <n v="2026"/>
    <s v="Yes"/>
    <n v="1"/>
    <x v="4"/>
    <n v="1"/>
  </r>
  <r>
    <s v="T004866"/>
    <x v="4656"/>
    <d v="2026-08-15T01:59:00"/>
    <x v="5"/>
    <s v="Field Visit"/>
    <x v="0"/>
    <s v="A013"/>
    <x v="0"/>
    <n v="72"/>
    <n v="153.80000000000001"/>
    <x v="1"/>
    <s v="No"/>
    <s v="No"/>
    <m/>
    <s v="Closed"/>
    <s v="August"/>
    <x v="7"/>
    <n v="2026"/>
    <s v="No"/>
    <n v="0"/>
    <x v="4"/>
    <n v="1"/>
  </r>
  <r>
    <s v="T004867"/>
    <x v="4657"/>
    <d v="2026-08-09T18:19:00"/>
    <x v="2"/>
    <s v="Phone"/>
    <x v="1"/>
    <s v="A037"/>
    <x v="1"/>
    <n v="24"/>
    <n v="24.3"/>
    <x v="1"/>
    <s v="No"/>
    <s v="No"/>
    <m/>
    <s v="Closed"/>
    <s v="August"/>
    <x v="7"/>
    <n v="2026"/>
    <s v="No"/>
    <n v="0"/>
    <x v="3"/>
    <n v="1"/>
  </r>
  <r>
    <s v="T004868"/>
    <x v="4658"/>
    <d v="2026-08-09T03:16:00"/>
    <x v="3"/>
    <s v="Chat"/>
    <x v="0"/>
    <s v="A017"/>
    <x v="2"/>
    <n v="72"/>
    <n v="8.8000000000000007"/>
    <x v="1"/>
    <s v="No"/>
    <s v="No"/>
    <n v="4"/>
    <s v="Closed"/>
    <s v="August"/>
    <x v="7"/>
    <n v="2026"/>
    <s v="Yes"/>
    <n v="1"/>
    <x v="3"/>
    <n v="1"/>
  </r>
  <r>
    <s v="T004869"/>
    <x v="4659"/>
    <d v="2026-08-11T21:17:00"/>
    <x v="2"/>
    <s v="Field Visit"/>
    <x v="1"/>
    <s v="A026"/>
    <x v="2"/>
    <n v="24"/>
    <n v="72.900000000000006"/>
    <x v="0"/>
    <s v="No"/>
    <s v="No"/>
    <n v="4"/>
    <s v="Closed"/>
    <s v="August"/>
    <x v="7"/>
    <n v="2026"/>
    <s v="No"/>
    <n v="0"/>
    <x v="2"/>
    <n v="0"/>
  </r>
  <r>
    <s v="T004870"/>
    <x v="4660"/>
    <d v="2026-08-11T05:07:00"/>
    <x v="3"/>
    <s v="Field Visit"/>
    <x v="2"/>
    <s v="A008"/>
    <x v="0"/>
    <n v="4"/>
    <n v="56.5"/>
    <x v="1"/>
    <s v="No"/>
    <s v="No"/>
    <n v="3"/>
    <s v="Closed"/>
    <s v="August"/>
    <x v="7"/>
    <n v="2026"/>
    <s v="No"/>
    <n v="0"/>
    <x v="0"/>
    <n v="1"/>
  </r>
  <r>
    <s v="T004871"/>
    <x v="4661"/>
    <d v="2026-08-09T20:19:00"/>
    <x v="6"/>
    <s v="Phone"/>
    <x v="2"/>
    <s v="A037"/>
    <x v="1"/>
    <n v="4"/>
    <n v="22.6"/>
    <x v="0"/>
    <s v="No"/>
    <s v="No"/>
    <m/>
    <s v="Closed"/>
    <s v="August"/>
    <x v="7"/>
    <n v="2026"/>
    <s v="No"/>
    <n v="0"/>
    <x v="2"/>
    <n v="0"/>
  </r>
  <r>
    <s v="T004872"/>
    <x v="4662"/>
    <d v="2026-08-13T11:30:00"/>
    <x v="6"/>
    <s v="Field Visit"/>
    <x v="0"/>
    <s v="A013"/>
    <x v="0"/>
    <n v="72"/>
    <n v="103.9"/>
    <x v="1"/>
    <s v="No"/>
    <s v="No"/>
    <m/>
    <s v="Closed"/>
    <s v="August"/>
    <x v="7"/>
    <n v="2026"/>
    <s v="No"/>
    <n v="0"/>
    <x v="0"/>
    <n v="1"/>
  </r>
  <r>
    <s v="T004873"/>
    <x v="4663"/>
    <d v="2026-08-09T11:49:00"/>
    <x v="6"/>
    <s v="Chat"/>
    <x v="1"/>
    <s v="A053"/>
    <x v="1"/>
    <n v="24"/>
    <n v="6.6"/>
    <x v="1"/>
    <s v="No"/>
    <s v="No"/>
    <n v="5"/>
    <s v="Closed"/>
    <s v="August"/>
    <x v="7"/>
    <n v="2026"/>
    <s v="Yes"/>
    <n v="1"/>
    <x v="3"/>
    <n v="1"/>
  </r>
  <r>
    <s v="T004874"/>
    <x v="4664"/>
    <d v="2026-08-09T14:54:00"/>
    <x v="5"/>
    <s v="Phone"/>
    <x v="1"/>
    <s v="A044"/>
    <x v="1"/>
    <n v="24"/>
    <n v="6.1"/>
    <x v="0"/>
    <s v="Yes"/>
    <s v="Yes"/>
    <n v="4"/>
    <s v="Closed"/>
    <s v="August"/>
    <x v="7"/>
    <n v="2026"/>
    <s v="Yes"/>
    <n v="1"/>
    <x v="3"/>
    <n v="0"/>
  </r>
  <r>
    <s v="T004875"/>
    <x v="4665"/>
    <d v="2026-08-10T03:33:00"/>
    <x v="0"/>
    <s v="Phone"/>
    <x v="1"/>
    <s v="A013"/>
    <x v="0"/>
    <n v="24"/>
    <n v="17.2"/>
    <x v="1"/>
    <s v="No"/>
    <s v="Yes"/>
    <n v="4"/>
    <s v="Closed"/>
    <s v="August"/>
    <x v="7"/>
    <n v="2026"/>
    <s v="Yes"/>
    <n v="1"/>
    <x v="1"/>
    <n v="1"/>
  </r>
  <r>
    <s v="T004876"/>
    <x v="4666"/>
    <d v="2026-08-10T00:46:00"/>
    <x v="3"/>
    <s v="Phone"/>
    <x v="0"/>
    <s v="A029"/>
    <x v="2"/>
    <n v="72"/>
    <n v="14.1"/>
    <x v="0"/>
    <s v="No"/>
    <s v="No"/>
    <m/>
    <s v="Closed"/>
    <s v="August"/>
    <x v="7"/>
    <n v="2026"/>
    <s v="Yes"/>
    <n v="1"/>
    <x v="1"/>
    <n v="0"/>
  </r>
  <r>
    <s v="T004877"/>
    <x v="4667"/>
    <d v="2026-08-11T18:56:00"/>
    <x v="0"/>
    <s v="Email"/>
    <x v="0"/>
    <s v="A025"/>
    <x v="2"/>
    <n v="72"/>
    <n v="55.7"/>
    <x v="1"/>
    <s v="No"/>
    <s v="No"/>
    <m/>
    <s v="Closed"/>
    <s v="August"/>
    <x v="7"/>
    <n v="2026"/>
    <s v="Yes"/>
    <n v="1"/>
    <x v="2"/>
    <n v="1"/>
  </r>
  <r>
    <s v="T004878"/>
    <x v="4668"/>
    <d v="2026-08-09T19:23:00"/>
    <x v="1"/>
    <s v="Phone"/>
    <x v="0"/>
    <s v="A008"/>
    <x v="0"/>
    <n v="72"/>
    <n v="8"/>
    <x v="1"/>
    <s v="No"/>
    <s v="No"/>
    <n v="5"/>
    <s v="Closed"/>
    <s v="August"/>
    <x v="7"/>
    <n v="2026"/>
    <s v="Yes"/>
    <n v="1"/>
    <x v="1"/>
    <n v="1"/>
  </r>
  <r>
    <s v="T004879"/>
    <x v="4669"/>
    <d v="2026-08-09T16:48:00"/>
    <x v="1"/>
    <s v="Phone"/>
    <x v="0"/>
    <s v="A058"/>
    <x v="1"/>
    <n v="72"/>
    <n v="4.8"/>
    <x v="1"/>
    <s v="No"/>
    <s v="No"/>
    <m/>
    <s v="Closed"/>
    <s v="August"/>
    <x v="7"/>
    <n v="2026"/>
    <s v="Yes"/>
    <n v="1"/>
    <x v="3"/>
    <n v="1"/>
  </r>
  <r>
    <s v="T004880"/>
    <x v="4670"/>
    <d v="2026-08-10T18:11:00"/>
    <x v="0"/>
    <s v="Phone"/>
    <x v="1"/>
    <s v="A052"/>
    <x v="1"/>
    <n v="24"/>
    <n v="30.1"/>
    <x v="1"/>
    <s v="No"/>
    <s v="No"/>
    <n v="5"/>
    <s v="Closed"/>
    <s v="August"/>
    <x v="7"/>
    <n v="2026"/>
    <s v="No"/>
    <n v="0"/>
    <x v="4"/>
    <n v="1"/>
  </r>
  <r>
    <s v="T004881"/>
    <x v="4671"/>
    <d v="2026-08-14T07:41:00"/>
    <x v="4"/>
    <s v="Field Visit"/>
    <x v="2"/>
    <s v="A057"/>
    <x v="1"/>
    <n v="4"/>
    <n v="115.5"/>
    <x v="1"/>
    <s v="No"/>
    <s v="No"/>
    <n v="5"/>
    <s v="Closed"/>
    <s v="August"/>
    <x v="7"/>
    <n v="2026"/>
    <s v="No"/>
    <n v="0"/>
    <x v="4"/>
    <n v="1"/>
  </r>
  <r>
    <s v="T004882"/>
    <x v="4672"/>
    <d v="2026-08-10T01:36:00"/>
    <x v="0"/>
    <s v="Phone"/>
    <x v="1"/>
    <s v="A036"/>
    <x v="1"/>
    <n v="24"/>
    <n v="13.3"/>
    <x v="0"/>
    <s v="Yes"/>
    <s v="No"/>
    <m/>
    <s v="Closed"/>
    <s v="August"/>
    <x v="7"/>
    <n v="2026"/>
    <s v="Yes"/>
    <n v="1"/>
    <x v="4"/>
    <n v="0"/>
  </r>
  <r>
    <s v="T004883"/>
    <x v="4673"/>
    <d v="2026-08-10T23:13:00"/>
    <x v="2"/>
    <s v="Email"/>
    <x v="1"/>
    <s v="A026"/>
    <x v="2"/>
    <n v="24"/>
    <n v="34.6"/>
    <x v="0"/>
    <s v="Yes"/>
    <s v="No"/>
    <n v="4"/>
    <s v="Closed"/>
    <s v="August"/>
    <x v="7"/>
    <n v="2026"/>
    <s v="No"/>
    <n v="0"/>
    <x v="2"/>
    <n v="0"/>
  </r>
  <r>
    <s v="T004884"/>
    <x v="4674"/>
    <d v="2026-08-11T02:46:00"/>
    <x v="4"/>
    <s v="Phone"/>
    <x v="1"/>
    <s v="A030"/>
    <x v="2"/>
    <n v="24"/>
    <n v="37.700000000000003"/>
    <x v="1"/>
    <s v="No"/>
    <s v="No"/>
    <n v="5"/>
    <s v="Closed"/>
    <s v="August"/>
    <x v="7"/>
    <n v="2026"/>
    <s v="No"/>
    <n v="0"/>
    <x v="1"/>
    <n v="1"/>
  </r>
  <r>
    <s v="T004885"/>
    <x v="4675"/>
    <d v="2026-08-09T16:42:00"/>
    <x v="1"/>
    <s v="Phone"/>
    <x v="0"/>
    <s v="A022"/>
    <x v="2"/>
    <n v="72"/>
    <n v="3.6"/>
    <x v="1"/>
    <s v="No"/>
    <s v="No"/>
    <m/>
    <s v="Closed"/>
    <s v="August"/>
    <x v="7"/>
    <n v="2026"/>
    <s v="Yes"/>
    <n v="1"/>
    <x v="0"/>
    <n v="1"/>
  </r>
  <r>
    <s v="T004886"/>
    <x v="4676"/>
    <d v="2026-08-10T05:15:00"/>
    <x v="6"/>
    <s v="Field Visit"/>
    <x v="1"/>
    <s v="A042"/>
    <x v="1"/>
    <n v="24"/>
    <n v="15.4"/>
    <x v="1"/>
    <s v="No"/>
    <s v="No"/>
    <n v="5"/>
    <s v="Closed"/>
    <s v="August"/>
    <x v="7"/>
    <n v="2026"/>
    <s v="Yes"/>
    <n v="1"/>
    <x v="1"/>
    <n v="1"/>
  </r>
  <r>
    <s v="T004887"/>
    <x v="4677"/>
    <d v="2026-08-10T01:44:00"/>
    <x v="1"/>
    <s v="Phone"/>
    <x v="0"/>
    <s v="A054"/>
    <x v="1"/>
    <n v="72"/>
    <n v="11.6"/>
    <x v="1"/>
    <s v="No"/>
    <s v="No"/>
    <n v="5"/>
    <s v="Closed"/>
    <s v="August"/>
    <x v="7"/>
    <n v="2026"/>
    <s v="Yes"/>
    <n v="1"/>
    <x v="0"/>
    <n v="1"/>
  </r>
  <r>
    <s v="T004888"/>
    <x v="4678"/>
    <d v="2026-08-10T03:29:00"/>
    <x v="1"/>
    <s v="Chat"/>
    <x v="0"/>
    <s v="A031"/>
    <x v="2"/>
    <n v="72"/>
    <n v="12.4"/>
    <x v="1"/>
    <s v="No"/>
    <s v="No"/>
    <n v="5"/>
    <s v="Closed"/>
    <s v="August"/>
    <x v="7"/>
    <n v="2026"/>
    <s v="Yes"/>
    <n v="1"/>
    <x v="2"/>
    <n v="1"/>
  </r>
  <r>
    <s v="T004889"/>
    <x v="4679"/>
    <d v="2026-08-10T05:34:00"/>
    <x v="5"/>
    <s v="Email"/>
    <x v="0"/>
    <s v="A007"/>
    <x v="0"/>
    <n v="72"/>
    <n v="13.8"/>
    <x v="1"/>
    <s v="No"/>
    <s v="No"/>
    <n v="5"/>
    <s v="Closed"/>
    <s v="August"/>
    <x v="7"/>
    <n v="2026"/>
    <s v="Yes"/>
    <n v="1"/>
    <x v="0"/>
    <n v="1"/>
  </r>
  <r>
    <s v="T004890"/>
    <x v="4680"/>
    <d v="2026-08-09T19:29:00"/>
    <x v="1"/>
    <s v="Chat"/>
    <x v="0"/>
    <s v="A043"/>
    <x v="1"/>
    <n v="72"/>
    <n v="3.3"/>
    <x v="1"/>
    <s v="No"/>
    <s v="No"/>
    <n v="5"/>
    <s v="Closed"/>
    <s v="August"/>
    <x v="7"/>
    <n v="2026"/>
    <s v="Yes"/>
    <n v="1"/>
    <x v="0"/>
    <n v="1"/>
  </r>
  <r>
    <s v="T004891"/>
    <x v="4681"/>
    <d v="2026-08-09T23:13:00"/>
    <x v="0"/>
    <s v="Phone"/>
    <x v="1"/>
    <s v="A029"/>
    <x v="2"/>
    <n v="24"/>
    <n v="6.4"/>
    <x v="1"/>
    <s v="No"/>
    <s v="No"/>
    <n v="5"/>
    <s v="Closed"/>
    <s v="August"/>
    <x v="7"/>
    <n v="2026"/>
    <s v="Yes"/>
    <n v="1"/>
    <x v="4"/>
    <n v="1"/>
  </r>
  <r>
    <s v="T004892"/>
    <x v="4682"/>
    <d v="2026-08-31T21:14:00"/>
    <x v="4"/>
    <s v="Field Visit"/>
    <x v="0"/>
    <s v="A020"/>
    <x v="2"/>
    <n v="72"/>
    <n v="531.79999999999995"/>
    <x v="0"/>
    <s v="Yes"/>
    <s v="No"/>
    <n v="2"/>
    <s v="Closed"/>
    <s v="August"/>
    <x v="7"/>
    <n v="2026"/>
    <s v="No"/>
    <n v="0"/>
    <x v="2"/>
    <n v="0"/>
  </r>
  <r>
    <s v="T004893"/>
    <x v="4683"/>
    <d v="2026-08-11T06:35:00"/>
    <x v="6"/>
    <s v="Field Visit"/>
    <x v="0"/>
    <s v="A033"/>
    <x v="2"/>
    <n v="72"/>
    <n v="25.2"/>
    <x v="0"/>
    <s v="No"/>
    <s v="No"/>
    <n v="5"/>
    <s v="Closed"/>
    <s v="August"/>
    <x v="7"/>
    <n v="2026"/>
    <s v="Yes"/>
    <n v="1"/>
    <x v="2"/>
    <n v="0"/>
  </r>
  <r>
    <s v="T004894"/>
    <x v="4684"/>
    <d v="2026-08-10T12:22:00"/>
    <x v="1"/>
    <s v="Phone"/>
    <x v="1"/>
    <s v="A032"/>
    <x v="2"/>
    <n v="24"/>
    <n v="4.8"/>
    <x v="1"/>
    <s v="No"/>
    <s v="No"/>
    <m/>
    <s v="Closed"/>
    <s v="August"/>
    <x v="7"/>
    <n v="2026"/>
    <s v="Yes"/>
    <n v="1"/>
    <x v="2"/>
    <n v="1"/>
  </r>
  <r>
    <s v="T004895"/>
    <x v="4685"/>
    <d v="2026-08-10T19:04:00"/>
    <x v="6"/>
    <s v="Chat"/>
    <x v="2"/>
    <s v="A043"/>
    <x v="1"/>
    <n v="4"/>
    <n v="10.4"/>
    <x v="1"/>
    <s v="No"/>
    <s v="No"/>
    <n v="3"/>
    <s v="Closed"/>
    <s v="August"/>
    <x v="7"/>
    <n v="2026"/>
    <s v="No"/>
    <n v="0"/>
    <x v="3"/>
    <n v="1"/>
  </r>
  <r>
    <s v="T004896"/>
    <x v="4686"/>
    <d v="2026-08-11T17:15:00"/>
    <x v="4"/>
    <s v="Field Visit"/>
    <x v="0"/>
    <s v="A046"/>
    <x v="1"/>
    <n v="72"/>
    <n v="31.3"/>
    <x v="1"/>
    <s v="No"/>
    <s v="No"/>
    <m/>
    <s v="Closed"/>
    <s v="August"/>
    <x v="7"/>
    <n v="2026"/>
    <s v="Yes"/>
    <n v="1"/>
    <x v="1"/>
    <n v="1"/>
  </r>
  <r>
    <s v="T004897"/>
    <x v="4687"/>
    <d v="2026-08-10T16:34:00"/>
    <x v="1"/>
    <s v="Phone"/>
    <x v="0"/>
    <s v="A047"/>
    <x v="1"/>
    <n v="72"/>
    <n v="5"/>
    <x v="1"/>
    <s v="No"/>
    <s v="No"/>
    <m/>
    <s v="Closed"/>
    <s v="August"/>
    <x v="7"/>
    <n v="2026"/>
    <s v="Yes"/>
    <n v="1"/>
    <x v="4"/>
    <n v="1"/>
  </r>
  <r>
    <s v="T004898"/>
    <x v="4688"/>
    <d v="2026-08-11T02:41:00"/>
    <x v="5"/>
    <s v="Field Visit"/>
    <x v="2"/>
    <s v="A026"/>
    <x v="2"/>
    <n v="4"/>
    <n v="14.8"/>
    <x v="1"/>
    <s v="No"/>
    <s v="No"/>
    <m/>
    <s v="Closed"/>
    <s v="August"/>
    <x v="7"/>
    <n v="2026"/>
    <s v="No"/>
    <n v="0"/>
    <x v="4"/>
    <n v="1"/>
  </r>
  <r>
    <s v="T004899"/>
    <x v="4689"/>
    <d v="2026-08-12T21:44:00"/>
    <x v="0"/>
    <s v="Field Visit"/>
    <x v="1"/>
    <s v="A048"/>
    <x v="1"/>
    <n v="24"/>
    <n v="57.2"/>
    <x v="1"/>
    <s v="No"/>
    <s v="No"/>
    <m/>
    <s v="Closed"/>
    <s v="August"/>
    <x v="7"/>
    <n v="2026"/>
    <s v="No"/>
    <n v="0"/>
    <x v="4"/>
    <n v="1"/>
  </r>
  <r>
    <s v="T004900"/>
    <x v="4690"/>
    <d v="2026-08-13T19:51:00"/>
    <x v="3"/>
    <s v="Field Visit"/>
    <x v="1"/>
    <s v="A016"/>
    <x v="2"/>
    <n v="24"/>
    <n v="79.099999999999994"/>
    <x v="0"/>
    <s v="Yes"/>
    <s v="No"/>
    <m/>
    <s v="Closed"/>
    <s v="August"/>
    <x v="7"/>
    <n v="2026"/>
    <s v="No"/>
    <n v="0"/>
    <x v="2"/>
    <n v="0"/>
  </r>
  <r>
    <s v="T004901"/>
    <x v="4691"/>
    <d v="2026-08-10T21:27:00"/>
    <x v="3"/>
    <s v="Phone"/>
    <x v="2"/>
    <s v="A020"/>
    <x v="2"/>
    <n v="4"/>
    <n v="8.1"/>
    <x v="1"/>
    <s v="No"/>
    <s v="Yes"/>
    <n v="5"/>
    <s v="Closed"/>
    <s v="August"/>
    <x v="7"/>
    <n v="2026"/>
    <s v="No"/>
    <n v="0"/>
    <x v="2"/>
    <n v="1"/>
  </r>
  <r>
    <s v="T004902"/>
    <x v="4692"/>
    <d v="2026-08-10T19:59:00"/>
    <x v="5"/>
    <s v="Phone"/>
    <x v="1"/>
    <s v="A052"/>
    <x v="1"/>
    <n v="24"/>
    <n v="6.6"/>
    <x v="1"/>
    <s v="No"/>
    <s v="No"/>
    <n v="4"/>
    <s v="Closed"/>
    <s v="August"/>
    <x v="7"/>
    <n v="2026"/>
    <s v="Yes"/>
    <n v="1"/>
    <x v="0"/>
    <n v="1"/>
  </r>
  <r>
    <s v="T004903"/>
    <x v="4693"/>
    <d v="2026-08-11T11:44:00"/>
    <x v="4"/>
    <s v="Phone"/>
    <x v="0"/>
    <s v="A002"/>
    <x v="0"/>
    <n v="72"/>
    <n v="22.2"/>
    <x v="0"/>
    <s v="No"/>
    <s v="No"/>
    <m/>
    <s v="Closed"/>
    <s v="August"/>
    <x v="7"/>
    <n v="2026"/>
    <s v="Yes"/>
    <n v="1"/>
    <x v="1"/>
    <n v="0"/>
  </r>
  <r>
    <s v="T004904"/>
    <x v="4694"/>
    <d v="2026-08-12T04:57:00"/>
    <x v="3"/>
    <s v="Field Visit"/>
    <x v="1"/>
    <s v="A031"/>
    <x v="2"/>
    <n v="24"/>
    <n v="38.799999999999997"/>
    <x v="0"/>
    <s v="No"/>
    <s v="No"/>
    <n v="5"/>
    <s v="Closed"/>
    <s v="August"/>
    <x v="7"/>
    <n v="2026"/>
    <s v="No"/>
    <n v="0"/>
    <x v="1"/>
    <n v="0"/>
  </r>
  <r>
    <s v="T004905"/>
    <x v="4695"/>
    <d v="2026-08-11T11:15:00"/>
    <x v="3"/>
    <s v="Email"/>
    <x v="1"/>
    <s v="A048"/>
    <x v="1"/>
    <n v="24"/>
    <n v="21"/>
    <x v="1"/>
    <s v="No"/>
    <s v="No"/>
    <m/>
    <s v="Closed"/>
    <s v="August"/>
    <x v="7"/>
    <n v="2026"/>
    <s v="Yes"/>
    <n v="1"/>
    <x v="4"/>
    <n v="1"/>
  </r>
  <r>
    <s v="T004906"/>
    <x v="4696"/>
    <d v="2026-08-10T19:19:00"/>
    <x v="0"/>
    <s v="Chat"/>
    <x v="1"/>
    <s v="A028"/>
    <x v="2"/>
    <n v="24"/>
    <n v="2.9"/>
    <x v="1"/>
    <s v="No"/>
    <s v="No"/>
    <n v="4"/>
    <s v="Closed"/>
    <s v="August"/>
    <x v="7"/>
    <n v="2026"/>
    <s v="Yes"/>
    <n v="1"/>
    <x v="2"/>
    <n v="1"/>
  </r>
  <r>
    <s v="T004907"/>
    <x v="4697"/>
    <d v="2026-08-10T23:14:00"/>
    <x v="0"/>
    <s v="Chat"/>
    <x v="1"/>
    <s v="A052"/>
    <x v="1"/>
    <n v="24"/>
    <n v="4.9000000000000004"/>
    <x v="1"/>
    <s v="No"/>
    <s v="No"/>
    <n v="5"/>
    <s v="Closed"/>
    <s v="August"/>
    <x v="7"/>
    <n v="2026"/>
    <s v="Yes"/>
    <n v="1"/>
    <x v="4"/>
    <n v="1"/>
  </r>
  <r>
    <s v="T004908"/>
    <x v="4698"/>
    <d v="2026-08-12T04:33:00"/>
    <x v="1"/>
    <s v="Email"/>
    <x v="0"/>
    <s v="A041"/>
    <x v="1"/>
    <n v="72"/>
    <n v="33.299999999999997"/>
    <x v="1"/>
    <s v="No"/>
    <s v="No"/>
    <m/>
    <s v="Closed"/>
    <s v="August"/>
    <x v="7"/>
    <n v="2026"/>
    <s v="Yes"/>
    <n v="1"/>
    <x v="1"/>
    <n v="1"/>
  </r>
  <r>
    <s v="T004909"/>
    <x v="4699"/>
    <d v="2026-08-11T09:04:00"/>
    <x v="6"/>
    <s v="Phone"/>
    <x v="1"/>
    <s v="A015"/>
    <x v="0"/>
    <n v="24"/>
    <n v="9.9"/>
    <x v="0"/>
    <s v="Yes"/>
    <s v="No"/>
    <n v="4"/>
    <s v="Closed"/>
    <s v="August"/>
    <x v="7"/>
    <n v="2026"/>
    <s v="Yes"/>
    <n v="1"/>
    <x v="2"/>
    <n v="0"/>
  </r>
  <r>
    <s v="T004910"/>
    <x v="4700"/>
    <d v="2026-08-11T13:11:00"/>
    <x v="6"/>
    <s v="Field Visit"/>
    <x v="2"/>
    <s v="A047"/>
    <x v="1"/>
    <n v="4"/>
    <n v="6.9"/>
    <x v="1"/>
    <s v="No"/>
    <s v="No"/>
    <m/>
    <s v="Closed"/>
    <s v="August"/>
    <x v="7"/>
    <n v="2026"/>
    <s v="No"/>
    <n v="0"/>
    <x v="0"/>
    <n v="1"/>
  </r>
  <r>
    <s v="T004911"/>
    <x v="4701"/>
    <d v="2026-08-11T16:44:00"/>
    <x v="6"/>
    <s v="Field Visit"/>
    <x v="2"/>
    <s v="A059"/>
    <x v="1"/>
    <n v="4"/>
    <n v="10"/>
    <x v="1"/>
    <s v="No"/>
    <s v="No"/>
    <n v="5"/>
    <s v="Closed"/>
    <s v="August"/>
    <x v="7"/>
    <n v="2026"/>
    <s v="No"/>
    <n v="0"/>
    <x v="2"/>
    <n v="1"/>
  </r>
  <r>
    <s v="T004912"/>
    <x v="4702"/>
    <d v="2026-08-11T11:30:00"/>
    <x v="1"/>
    <s v="Phone"/>
    <x v="0"/>
    <s v="A014"/>
    <x v="0"/>
    <n v="72"/>
    <n v="3.3"/>
    <x v="0"/>
    <s v="No"/>
    <s v="No"/>
    <n v="3"/>
    <s v="Closed"/>
    <s v="August"/>
    <x v="7"/>
    <n v="2026"/>
    <s v="Yes"/>
    <n v="1"/>
    <x v="4"/>
    <n v="0"/>
  </r>
  <r>
    <s v="T004913"/>
    <x v="4703"/>
    <d v="2026-08-13T21:07:00"/>
    <x v="0"/>
    <s v="Phone"/>
    <x v="0"/>
    <s v="A003"/>
    <x v="0"/>
    <n v="72"/>
    <n v="60.9"/>
    <x v="0"/>
    <s v="Yes"/>
    <s v="Yes"/>
    <n v="4"/>
    <s v="Closed"/>
    <s v="August"/>
    <x v="7"/>
    <n v="2026"/>
    <s v="Yes"/>
    <n v="1"/>
    <x v="3"/>
    <n v="0"/>
  </r>
  <r>
    <s v="T004914"/>
    <x v="4704"/>
    <d v="2026-08-12T02:02:00"/>
    <x v="6"/>
    <s v="Field Visit"/>
    <x v="2"/>
    <s v="A004"/>
    <x v="0"/>
    <n v="4"/>
    <n v="17.100000000000001"/>
    <x v="1"/>
    <s v="No"/>
    <s v="No"/>
    <n v="5"/>
    <s v="Closed"/>
    <s v="August"/>
    <x v="7"/>
    <n v="2026"/>
    <s v="No"/>
    <n v="0"/>
    <x v="2"/>
    <n v="1"/>
  </r>
  <r>
    <s v="T004915"/>
    <x v="4705"/>
    <d v="2026-08-12T02:40:00"/>
    <x v="1"/>
    <s v="Email"/>
    <x v="1"/>
    <s v="A045"/>
    <x v="1"/>
    <n v="24"/>
    <n v="16.899999999999999"/>
    <x v="1"/>
    <s v="No"/>
    <s v="No"/>
    <n v="4"/>
    <s v="Closed"/>
    <s v="August"/>
    <x v="7"/>
    <n v="2026"/>
    <s v="Yes"/>
    <n v="1"/>
    <x v="0"/>
    <n v="1"/>
  </r>
  <r>
    <s v="T004916"/>
    <x v="4706"/>
    <d v="2026-08-12T03:53:00"/>
    <x v="2"/>
    <s v="Field Visit"/>
    <x v="0"/>
    <s v="A010"/>
    <x v="0"/>
    <n v="72"/>
    <n v="17.5"/>
    <x v="0"/>
    <s v="No"/>
    <s v="No"/>
    <n v="5"/>
    <s v="Closed"/>
    <s v="August"/>
    <x v="7"/>
    <n v="2026"/>
    <s v="Yes"/>
    <n v="1"/>
    <x v="4"/>
    <n v="0"/>
  </r>
  <r>
    <s v="T004917"/>
    <x v="4707"/>
    <d v="2026-08-12T06:50:00"/>
    <x v="6"/>
    <s v="Field Visit"/>
    <x v="1"/>
    <s v="A058"/>
    <x v="1"/>
    <n v="24"/>
    <n v="19.399999999999999"/>
    <x v="1"/>
    <s v="No"/>
    <s v="No"/>
    <n v="3"/>
    <s v="Closed"/>
    <s v="August"/>
    <x v="7"/>
    <n v="2026"/>
    <s v="Yes"/>
    <n v="1"/>
    <x v="1"/>
    <n v="1"/>
  </r>
  <r>
    <s v="T004918"/>
    <x v="4708"/>
    <d v="2026-08-12T01:32:00"/>
    <x v="3"/>
    <s v="Phone"/>
    <x v="0"/>
    <s v="A052"/>
    <x v="1"/>
    <n v="72"/>
    <n v="12.9"/>
    <x v="1"/>
    <s v="No"/>
    <s v="No"/>
    <n v="5"/>
    <s v="Closed"/>
    <s v="August"/>
    <x v="7"/>
    <n v="2026"/>
    <s v="Yes"/>
    <n v="1"/>
    <x v="2"/>
    <n v="1"/>
  </r>
  <r>
    <s v="T004919"/>
    <x v="4709"/>
    <d v="2026-08-18T06:54:00"/>
    <x v="4"/>
    <s v="Field Visit"/>
    <x v="1"/>
    <s v="A022"/>
    <x v="2"/>
    <n v="24"/>
    <n v="161"/>
    <x v="0"/>
    <s v="Yes"/>
    <s v="No"/>
    <n v="3"/>
    <s v="Closed"/>
    <s v="August"/>
    <x v="7"/>
    <n v="2026"/>
    <s v="No"/>
    <n v="0"/>
    <x v="2"/>
    <n v="0"/>
  </r>
  <r>
    <s v="T004920"/>
    <x v="4710"/>
    <d v="2026-08-11T18:31:00"/>
    <x v="5"/>
    <s v="Phone"/>
    <x v="0"/>
    <s v="A050"/>
    <x v="1"/>
    <n v="72"/>
    <n v="4.3"/>
    <x v="1"/>
    <s v="No"/>
    <s v="No"/>
    <n v="4"/>
    <s v="Closed"/>
    <s v="August"/>
    <x v="7"/>
    <n v="2026"/>
    <s v="Yes"/>
    <n v="1"/>
    <x v="4"/>
    <n v="1"/>
  </r>
  <r>
    <s v="T004921"/>
    <x v="4711"/>
    <d v="2026-08-11T18:10:00"/>
    <x v="6"/>
    <s v="Chat"/>
    <x v="0"/>
    <s v="A005"/>
    <x v="0"/>
    <n v="72"/>
    <n v="3.4"/>
    <x v="1"/>
    <s v="No"/>
    <s v="No"/>
    <m/>
    <s v="Closed"/>
    <s v="August"/>
    <x v="7"/>
    <n v="2026"/>
    <s v="Yes"/>
    <n v="1"/>
    <x v="3"/>
    <n v="1"/>
  </r>
  <r>
    <s v="T004922"/>
    <x v="4712"/>
    <d v="2026-08-12T08:02:00"/>
    <x v="0"/>
    <s v="Field Visit"/>
    <x v="0"/>
    <s v="A039"/>
    <x v="1"/>
    <n v="72"/>
    <n v="17.100000000000001"/>
    <x v="1"/>
    <s v="No"/>
    <s v="No"/>
    <n v="5"/>
    <s v="Closed"/>
    <s v="August"/>
    <x v="7"/>
    <n v="2026"/>
    <s v="Yes"/>
    <n v="1"/>
    <x v="4"/>
    <n v="1"/>
  </r>
  <r>
    <s v="T004923"/>
    <x v="4713"/>
    <d v="2026-08-11T19:51:00"/>
    <x v="6"/>
    <s v="Phone"/>
    <x v="2"/>
    <s v="A015"/>
    <x v="0"/>
    <n v="4"/>
    <n v="4.2"/>
    <x v="1"/>
    <s v="No"/>
    <s v="No"/>
    <n v="4"/>
    <s v="Closed"/>
    <s v="August"/>
    <x v="7"/>
    <n v="2026"/>
    <s v="No"/>
    <n v="0"/>
    <x v="2"/>
    <n v="1"/>
  </r>
  <r>
    <s v="T004924"/>
    <x v="4714"/>
    <d v="2026-08-11T22:40:00"/>
    <x v="5"/>
    <s v="Phone"/>
    <x v="0"/>
    <s v="A015"/>
    <x v="0"/>
    <n v="72"/>
    <n v="7"/>
    <x v="1"/>
    <s v="No"/>
    <s v="No"/>
    <n v="5"/>
    <s v="Closed"/>
    <s v="August"/>
    <x v="7"/>
    <n v="2026"/>
    <s v="Yes"/>
    <n v="1"/>
    <x v="4"/>
    <n v="1"/>
  </r>
  <r>
    <s v="T004925"/>
    <x v="4715"/>
    <d v="2026-08-12T01:31:00"/>
    <x v="1"/>
    <s v="Phone"/>
    <x v="0"/>
    <s v="A035"/>
    <x v="2"/>
    <n v="72"/>
    <n v="9.8000000000000007"/>
    <x v="1"/>
    <s v="No"/>
    <s v="No"/>
    <n v="5"/>
    <s v="Closed"/>
    <s v="August"/>
    <x v="7"/>
    <n v="2026"/>
    <s v="Yes"/>
    <n v="1"/>
    <x v="0"/>
    <n v="1"/>
  </r>
  <r>
    <s v="T004926"/>
    <x v="4716"/>
    <d v="2026-08-11T19:11:00"/>
    <x v="2"/>
    <s v="Chat"/>
    <x v="2"/>
    <s v="A014"/>
    <x v="0"/>
    <n v="4"/>
    <n v="3.4"/>
    <x v="0"/>
    <s v="Yes"/>
    <s v="No"/>
    <n v="2"/>
    <s v="Closed"/>
    <s v="August"/>
    <x v="7"/>
    <n v="2026"/>
    <s v="Yes"/>
    <n v="1"/>
    <x v="1"/>
    <n v="0"/>
  </r>
  <r>
    <s v="T004927"/>
    <x v="4717"/>
    <d v="2026-08-13T19:24:00"/>
    <x v="3"/>
    <s v="Field Visit"/>
    <x v="1"/>
    <s v="A030"/>
    <x v="2"/>
    <n v="24"/>
    <n v="50.4"/>
    <x v="1"/>
    <s v="No"/>
    <s v="No"/>
    <m/>
    <s v="Closed"/>
    <s v="August"/>
    <x v="7"/>
    <n v="2026"/>
    <s v="No"/>
    <n v="0"/>
    <x v="4"/>
    <n v="1"/>
  </r>
  <r>
    <s v="T004928"/>
    <x v="4718"/>
    <d v="2026-08-12T19:45:00"/>
    <x v="0"/>
    <s v="Field Visit"/>
    <x v="1"/>
    <s v="A028"/>
    <x v="2"/>
    <n v="24"/>
    <n v="26.3"/>
    <x v="0"/>
    <s v="No"/>
    <s v="No"/>
    <n v="4"/>
    <s v="Closed"/>
    <s v="August"/>
    <x v="7"/>
    <n v="2026"/>
    <s v="No"/>
    <n v="0"/>
    <x v="3"/>
    <n v="0"/>
  </r>
  <r>
    <s v="T004929"/>
    <x v="4719"/>
    <d v="2026-08-11T22:46:00"/>
    <x v="1"/>
    <s v="Email"/>
    <x v="0"/>
    <s v="A051"/>
    <x v="1"/>
    <n v="72"/>
    <n v="4.8"/>
    <x v="1"/>
    <s v="No"/>
    <s v="No"/>
    <m/>
    <s v="Closed"/>
    <s v="August"/>
    <x v="7"/>
    <n v="2026"/>
    <s v="Yes"/>
    <n v="1"/>
    <x v="2"/>
    <n v="1"/>
  </r>
  <r>
    <s v="T004930"/>
    <x v="4720"/>
    <d v="2026-08-12T09:31:00"/>
    <x v="5"/>
    <s v="Field Visit"/>
    <x v="1"/>
    <s v="A011"/>
    <x v="0"/>
    <n v="24"/>
    <n v="10.4"/>
    <x v="0"/>
    <s v="No"/>
    <s v="No"/>
    <m/>
    <s v="Closed"/>
    <s v="August"/>
    <x v="7"/>
    <n v="2026"/>
    <s v="Yes"/>
    <n v="1"/>
    <x v="4"/>
    <n v="0"/>
  </r>
  <r>
    <s v="T004931"/>
    <x v="4721"/>
    <d v="2026-08-12T10:40:00"/>
    <x v="5"/>
    <s v="Chat"/>
    <x v="0"/>
    <s v="A050"/>
    <x v="1"/>
    <n v="72"/>
    <n v="11.2"/>
    <x v="1"/>
    <s v="No"/>
    <s v="No"/>
    <n v="4"/>
    <s v="Closed"/>
    <s v="August"/>
    <x v="7"/>
    <n v="2026"/>
    <s v="Yes"/>
    <n v="1"/>
    <x v="0"/>
    <n v="1"/>
  </r>
  <r>
    <s v="T004932"/>
    <x v="4722"/>
    <d v="2026-08-12T19:12:00"/>
    <x v="0"/>
    <s v="Phone"/>
    <x v="1"/>
    <s v="A058"/>
    <x v="1"/>
    <n v="24"/>
    <n v="17"/>
    <x v="1"/>
    <s v="No"/>
    <s v="No"/>
    <n v="5"/>
    <s v="Closed"/>
    <s v="August"/>
    <x v="7"/>
    <n v="2026"/>
    <s v="Yes"/>
    <n v="1"/>
    <x v="0"/>
    <n v="1"/>
  </r>
  <r>
    <s v="T004933"/>
    <x v="4723"/>
    <d v="2026-08-14T17:07:00"/>
    <x v="0"/>
    <s v="Email"/>
    <x v="0"/>
    <s v="A020"/>
    <x v="2"/>
    <n v="72"/>
    <n v="55.7"/>
    <x v="1"/>
    <s v="No"/>
    <s v="No"/>
    <m/>
    <s v="Closed"/>
    <s v="August"/>
    <x v="7"/>
    <n v="2026"/>
    <s v="Yes"/>
    <n v="1"/>
    <x v="1"/>
    <n v="1"/>
  </r>
  <r>
    <s v="T004934"/>
    <x v="4724"/>
    <d v="2026-08-12T18:25:00"/>
    <x v="5"/>
    <s v="Phone"/>
    <x v="0"/>
    <s v="A028"/>
    <x v="2"/>
    <n v="72"/>
    <n v="7.7"/>
    <x v="1"/>
    <s v="No"/>
    <s v="No"/>
    <m/>
    <s v="Closed"/>
    <s v="August"/>
    <x v="7"/>
    <n v="2026"/>
    <s v="Yes"/>
    <n v="1"/>
    <x v="3"/>
    <n v="1"/>
  </r>
  <r>
    <s v="T004935"/>
    <x v="4725"/>
    <d v="2026-08-12T15:04:00"/>
    <x v="0"/>
    <s v="Phone"/>
    <x v="2"/>
    <s v="A037"/>
    <x v="1"/>
    <n v="4"/>
    <n v="3.5"/>
    <x v="1"/>
    <s v="No"/>
    <s v="No"/>
    <n v="5"/>
    <s v="Closed"/>
    <s v="August"/>
    <x v="7"/>
    <n v="2026"/>
    <s v="Yes"/>
    <n v="1"/>
    <x v="3"/>
    <n v="1"/>
  </r>
  <r>
    <s v="T004936"/>
    <x v="4726"/>
    <d v="2026-08-13T02:15:00"/>
    <x v="2"/>
    <s v="Phone"/>
    <x v="2"/>
    <s v="A022"/>
    <x v="2"/>
    <n v="4"/>
    <n v="14"/>
    <x v="1"/>
    <s v="No"/>
    <s v="Yes"/>
    <n v="3"/>
    <s v="Closed"/>
    <s v="August"/>
    <x v="7"/>
    <n v="2026"/>
    <s v="No"/>
    <n v="0"/>
    <x v="2"/>
    <n v="1"/>
  </r>
  <r>
    <s v="T004937"/>
    <x v="4727"/>
    <d v="2026-08-13T04:51:00"/>
    <x v="1"/>
    <s v="Email"/>
    <x v="0"/>
    <s v="A015"/>
    <x v="0"/>
    <n v="72"/>
    <n v="16.100000000000001"/>
    <x v="0"/>
    <s v="Yes"/>
    <s v="No"/>
    <n v="4"/>
    <s v="Closed"/>
    <s v="August"/>
    <x v="7"/>
    <n v="2026"/>
    <s v="Yes"/>
    <n v="1"/>
    <x v="0"/>
    <n v="0"/>
  </r>
  <r>
    <s v="T004938"/>
    <x v="4728"/>
    <d v="2026-08-12T18:30:00"/>
    <x v="6"/>
    <s v="Phone"/>
    <x v="1"/>
    <s v="A032"/>
    <x v="2"/>
    <n v="24"/>
    <n v="4.9000000000000004"/>
    <x v="0"/>
    <s v="Yes"/>
    <s v="No"/>
    <n v="4"/>
    <s v="Closed"/>
    <s v="August"/>
    <x v="7"/>
    <n v="2026"/>
    <s v="Yes"/>
    <n v="1"/>
    <x v="3"/>
    <n v="0"/>
  </r>
  <r>
    <s v="T004939"/>
    <x v="4729"/>
    <d v="2026-08-12T17:09:00"/>
    <x v="1"/>
    <s v="Phone"/>
    <x v="0"/>
    <s v="A017"/>
    <x v="2"/>
    <n v="72"/>
    <n v="3.5"/>
    <x v="0"/>
    <s v="No"/>
    <s v="No"/>
    <n v="4"/>
    <s v="Closed"/>
    <s v="August"/>
    <x v="7"/>
    <n v="2026"/>
    <s v="Yes"/>
    <n v="1"/>
    <x v="2"/>
    <n v="0"/>
  </r>
  <r>
    <s v="T004940"/>
    <x v="4730"/>
    <d v="2026-08-12T18:16:00"/>
    <x v="5"/>
    <s v="Chat"/>
    <x v="0"/>
    <s v="A060"/>
    <x v="1"/>
    <n v="72"/>
    <n v="4.5"/>
    <x v="1"/>
    <s v="No"/>
    <s v="No"/>
    <n v="5"/>
    <s v="Closed"/>
    <s v="August"/>
    <x v="7"/>
    <n v="2026"/>
    <s v="Yes"/>
    <n v="1"/>
    <x v="2"/>
    <n v="1"/>
  </r>
  <r>
    <s v="T004941"/>
    <x v="4731"/>
    <d v="2026-08-13T05:51:00"/>
    <x v="2"/>
    <s v="Chat"/>
    <x v="1"/>
    <s v="A033"/>
    <x v="2"/>
    <n v="24"/>
    <n v="15.8"/>
    <x v="1"/>
    <s v="No"/>
    <s v="No"/>
    <n v="5"/>
    <s v="Closed"/>
    <s v="August"/>
    <x v="7"/>
    <n v="2026"/>
    <s v="Yes"/>
    <n v="1"/>
    <x v="2"/>
    <n v="1"/>
  </r>
  <r>
    <s v="T004942"/>
    <x v="4732"/>
    <d v="2026-08-13T02:17:00"/>
    <x v="0"/>
    <s v="Chat"/>
    <x v="0"/>
    <s v="A008"/>
    <x v="0"/>
    <n v="72"/>
    <n v="11.2"/>
    <x v="1"/>
    <s v="No"/>
    <s v="No"/>
    <n v="5"/>
    <s v="Closed"/>
    <s v="August"/>
    <x v="7"/>
    <n v="2026"/>
    <s v="Yes"/>
    <n v="1"/>
    <x v="4"/>
    <n v="1"/>
  </r>
  <r>
    <s v="T004943"/>
    <x v="4733"/>
    <d v="2026-08-12T23:48:00"/>
    <x v="3"/>
    <s v="Phone"/>
    <x v="1"/>
    <s v="A044"/>
    <x v="1"/>
    <n v="24"/>
    <n v="8.4"/>
    <x v="1"/>
    <s v="No"/>
    <s v="No"/>
    <n v="4"/>
    <s v="Closed"/>
    <s v="August"/>
    <x v="7"/>
    <n v="2026"/>
    <s v="Yes"/>
    <n v="1"/>
    <x v="2"/>
    <n v="1"/>
  </r>
  <r>
    <s v="T004944"/>
    <x v="4734"/>
    <d v="2026-08-12T23:21:00"/>
    <x v="2"/>
    <s v="Phone"/>
    <x v="1"/>
    <s v="A052"/>
    <x v="1"/>
    <n v="24"/>
    <n v="7.6"/>
    <x v="1"/>
    <s v="No"/>
    <s v="No"/>
    <m/>
    <s v="Closed"/>
    <s v="August"/>
    <x v="7"/>
    <n v="2026"/>
    <s v="Yes"/>
    <n v="1"/>
    <x v="4"/>
    <n v="1"/>
  </r>
  <r>
    <s v="T004945"/>
    <x v="4735"/>
    <d v="2026-08-13T03:24:00"/>
    <x v="2"/>
    <s v="Phone"/>
    <x v="1"/>
    <s v="A031"/>
    <x v="2"/>
    <n v="24"/>
    <n v="10.8"/>
    <x v="0"/>
    <s v="No"/>
    <s v="No"/>
    <n v="2"/>
    <s v="Closed"/>
    <s v="August"/>
    <x v="7"/>
    <n v="2026"/>
    <s v="Yes"/>
    <n v="1"/>
    <x v="0"/>
    <n v="0"/>
  </r>
  <r>
    <s v="T004946"/>
    <x v="4736"/>
    <d v="2026-08-13T06:53:00"/>
    <x v="5"/>
    <s v="Email"/>
    <x v="1"/>
    <s v="A016"/>
    <x v="2"/>
    <n v="24"/>
    <n v="13.8"/>
    <x v="1"/>
    <s v="No"/>
    <s v="No"/>
    <n v="5"/>
    <s v="Closed"/>
    <s v="August"/>
    <x v="7"/>
    <n v="2026"/>
    <s v="Yes"/>
    <n v="1"/>
    <x v="0"/>
    <n v="1"/>
  </r>
  <r>
    <s v="T004947"/>
    <x v="4737"/>
    <d v="2026-08-13T10:24:00"/>
    <x v="6"/>
    <s v="Phone"/>
    <x v="2"/>
    <s v="A023"/>
    <x v="2"/>
    <n v="4"/>
    <n v="16.3"/>
    <x v="0"/>
    <s v="Yes"/>
    <s v="Yes"/>
    <n v="2"/>
    <s v="Closed"/>
    <s v="August"/>
    <x v="7"/>
    <n v="2026"/>
    <s v="No"/>
    <n v="0"/>
    <x v="4"/>
    <n v="0"/>
  </r>
  <r>
    <s v="T004948"/>
    <x v="4738"/>
    <d v="2026-08-13T09:01:00"/>
    <x v="2"/>
    <s v="Email"/>
    <x v="2"/>
    <s v="A030"/>
    <x v="2"/>
    <n v="4"/>
    <n v="13.4"/>
    <x v="1"/>
    <s v="No"/>
    <s v="No"/>
    <n v="4"/>
    <s v="Closed"/>
    <s v="August"/>
    <x v="7"/>
    <n v="2026"/>
    <s v="No"/>
    <n v="0"/>
    <x v="1"/>
    <n v="1"/>
  </r>
  <r>
    <s v="T004949"/>
    <x v="4739"/>
    <d v="2026-08-15T03:43:00"/>
    <x v="4"/>
    <s v="Field Visit"/>
    <x v="1"/>
    <s v="A010"/>
    <x v="0"/>
    <n v="24"/>
    <n v="54.8"/>
    <x v="1"/>
    <s v="No"/>
    <s v="No"/>
    <m/>
    <s v="Closed"/>
    <s v="August"/>
    <x v="7"/>
    <n v="2026"/>
    <s v="No"/>
    <n v="0"/>
    <x v="3"/>
    <n v="1"/>
  </r>
  <r>
    <s v="T004950"/>
    <x v="4740"/>
    <d v="2026-08-13T07:20:00"/>
    <x v="1"/>
    <s v="Phone"/>
    <x v="1"/>
    <s v="A002"/>
    <x v="0"/>
    <n v="24"/>
    <n v="3.4"/>
    <x v="1"/>
    <s v="No"/>
    <s v="No"/>
    <n v="4"/>
    <s v="Closed"/>
    <s v="August"/>
    <x v="7"/>
    <n v="2026"/>
    <s v="Yes"/>
    <n v="1"/>
    <x v="3"/>
    <n v="1"/>
  </r>
  <r>
    <s v="T004951"/>
    <x v="4741"/>
    <d v="2026-08-13T09:26:00"/>
    <x v="0"/>
    <s v="Phone"/>
    <x v="1"/>
    <s v="A035"/>
    <x v="2"/>
    <n v="24"/>
    <n v="3.8"/>
    <x v="1"/>
    <s v="No"/>
    <s v="No"/>
    <n v="4"/>
    <s v="Closed"/>
    <s v="August"/>
    <x v="7"/>
    <n v="2026"/>
    <s v="Yes"/>
    <n v="1"/>
    <x v="3"/>
    <n v="1"/>
  </r>
  <r>
    <s v="T004952"/>
    <x v="4742"/>
    <d v="2026-08-14T06:58:00"/>
    <x v="3"/>
    <s v="Phone"/>
    <x v="1"/>
    <s v="A008"/>
    <x v="0"/>
    <n v="24"/>
    <n v="22.9"/>
    <x v="0"/>
    <s v="No"/>
    <s v="No"/>
    <n v="5"/>
    <s v="Closed"/>
    <s v="August"/>
    <x v="7"/>
    <n v="2026"/>
    <s v="Yes"/>
    <n v="1"/>
    <x v="4"/>
    <n v="0"/>
  </r>
  <r>
    <s v="T004953"/>
    <x v="4743"/>
    <d v="2026-08-13T10:42:00"/>
    <x v="6"/>
    <s v="Chat"/>
    <x v="1"/>
    <s v="A039"/>
    <x v="1"/>
    <n v="24"/>
    <n v="2.1"/>
    <x v="1"/>
    <s v="No"/>
    <s v="No"/>
    <n v="5"/>
    <s v="Closed"/>
    <s v="August"/>
    <x v="7"/>
    <n v="2026"/>
    <s v="Yes"/>
    <n v="1"/>
    <x v="0"/>
    <n v="1"/>
  </r>
  <r>
    <s v="T004954"/>
    <x v="4744"/>
    <d v="2026-08-13T20:01:00"/>
    <x v="0"/>
    <s v="Phone"/>
    <x v="1"/>
    <s v="A045"/>
    <x v="1"/>
    <n v="24"/>
    <n v="11.4"/>
    <x v="1"/>
    <s v="No"/>
    <s v="No"/>
    <n v="5"/>
    <s v="Closed"/>
    <s v="August"/>
    <x v="7"/>
    <n v="2026"/>
    <s v="Yes"/>
    <n v="1"/>
    <x v="0"/>
    <n v="1"/>
  </r>
  <r>
    <s v="T004955"/>
    <x v="4745"/>
    <d v="2026-08-13T13:31:00"/>
    <x v="3"/>
    <s v="Chat"/>
    <x v="0"/>
    <s v="A041"/>
    <x v="1"/>
    <n v="72"/>
    <n v="3.2"/>
    <x v="1"/>
    <s v="No"/>
    <s v="No"/>
    <n v="4"/>
    <s v="Closed"/>
    <s v="August"/>
    <x v="7"/>
    <n v="2026"/>
    <s v="Yes"/>
    <n v="1"/>
    <x v="1"/>
    <n v="1"/>
  </r>
  <r>
    <s v="T004956"/>
    <x v="4746"/>
    <d v="2026-08-16T21:37:00"/>
    <x v="4"/>
    <s v="Field Visit"/>
    <x v="2"/>
    <s v="A001"/>
    <x v="0"/>
    <n v="4"/>
    <n v="83"/>
    <x v="0"/>
    <s v="No"/>
    <s v="No"/>
    <m/>
    <s v="Closed"/>
    <s v="August"/>
    <x v="7"/>
    <n v="2026"/>
    <s v="No"/>
    <n v="0"/>
    <x v="1"/>
    <n v="0"/>
  </r>
  <r>
    <s v="T004957"/>
    <x v="4747"/>
    <d v="2026-08-14T05:16:00"/>
    <x v="2"/>
    <s v="Phone"/>
    <x v="2"/>
    <s v="A003"/>
    <x v="0"/>
    <n v="4"/>
    <n v="18"/>
    <x v="0"/>
    <s v="Yes"/>
    <s v="No"/>
    <n v="1"/>
    <s v="Closed"/>
    <s v="August"/>
    <x v="7"/>
    <n v="2026"/>
    <s v="No"/>
    <n v="0"/>
    <x v="0"/>
    <n v="0"/>
  </r>
  <r>
    <s v="T004958"/>
    <x v="4748"/>
    <d v="2026-08-13T17:16:00"/>
    <x v="1"/>
    <s v="Phone"/>
    <x v="1"/>
    <s v="A044"/>
    <x v="1"/>
    <n v="24"/>
    <n v="5.3"/>
    <x v="1"/>
    <s v="No"/>
    <s v="No"/>
    <n v="5"/>
    <s v="Closed"/>
    <s v="August"/>
    <x v="7"/>
    <n v="2026"/>
    <s v="Yes"/>
    <n v="1"/>
    <x v="3"/>
    <n v="1"/>
  </r>
  <r>
    <s v="T004959"/>
    <x v="4749"/>
    <d v="2026-08-14T01:52:00"/>
    <x v="2"/>
    <s v="Phone"/>
    <x v="2"/>
    <s v="A011"/>
    <x v="0"/>
    <n v="4"/>
    <n v="13.3"/>
    <x v="1"/>
    <s v="No"/>
    <s v="No"/>
    <n v="3"/>
    <s v="Closed"/>
    <s v="August"/>
    <x v="7"/>
    <n v="2026"/>
    <s v="No"/>
    <n v="0"/>
    <x v="4"/>
    <n v="1"/>
  </r>
  <r>
    <s v="T004960"/>
    <x v="4750"/>
    <d v="2026-08-14T05:05:00"/>
    <x v="3"/>
    <s v="Phone"/>
    <x v="1"/>
    <s v="A043"/>
    <x v="1"/>
    <n v="24"/>
    <n v="16.399999999999999"/>
    <x v="0"/>
    <s v="No"/>
    <s v="No"/>
    <n v="4"/>
    <s v="Closed"/>
    <s v="August"/>
    <x v="7"/>
    <n v="2026"/>
    <s v="Yes"/>
    <n v="1"/>
    <x v="4"/>
    <n v="0"/>
  </r>
  <r>
    <s v="T004961"/>
    <x v="4751"/>
    <d v="2026-08-15T04:46:00"/>
    <x v="4"/>
    <s v="Phone"/>
    <x v="1"/>
    <s v="A024"/>
    <x v="2"/>
    <n v="24"/>
    <n v="39.799999999999997"/>
    <x v="1"/>
    <s v="No"/>
    <s v="No"/>
    <n v="5"/>
    <s v="Closed"/>
    <s v="August"/>
    <x v="7"/>
    <n v="2026"/>
    <s v="No"/>
    <n v="0"/>
    <x v="2"/>
    <n v="1"/>
  </r>
  <r>
    <s v="T004962"/>
    <x v="4752"/>
    <d v="2026-08-16T08:28:00"/>
    <x v="0"/>
    <s v="Email"/>
    <x v="2"/>
    <s v="A032"/>
    <x v="2"/>
    <n v="4"/>
    <n v="67.400000000000006"/>
    <x v="0"/>
    <s v="No"/>
    <s v="Yes"/>
    <n v="4"/>
    <s v="Closed"/>
    <s v="August"/>
    <x v="7"/>
    <n v="2026"/>
    <s v="No"/>
    <n v="0"/>
    <x v="2"/>
    <n v="0"/>
  </r>
  <r>
    <s v="T004963"/>
    <x v="4753"/>
    <d v="2026-08-14T16:03:00"/>
    <x v="3"/>
    <s v="Field Visit"/>
    <x v="1"/>
    <s v="A017"/>
    <x v="2"/>
    <n v="24"/>
    <n v="26.4"/>
    <x v="1"/>
    <s v="No"/>
    <s v="No"/>
    <n v="4"/>
    <s v="Closed"/>
    <s v="August"/>
    <x v="7"/>
    <n v="2026"/>
    <s v="No"/>
    <n v="0"/>
    <x v="0"/>
    <n v="1"/>
  </r>
  <r>
    <s v="T004964"/>
    <x v="4754"/>
    <d v="2026-08-13T20:34:00"/>
    <x v="1"/>
    <s v="Email"/>
    <x v="1"/>
    <s v="A017"/>
    <x v="2"/>
    <n v="24"/>
    <n v="6.9"/>
    <x v="1"/>
    <s v="No"/>
    <s v="Yes"/>
    <n v="4"/>
    <s v="Closed"/>
    <s v="August"/>
    <x v="7"/>
    <n v="2026"/>
    <s v="Yes"/>
    <n v="1"/>
    <x v="0"/>
    <n v="1"/>
  </r>
  <r>
    <s v="T004965"/>
    <x v="4755"/>
    <d v="2026-08-22T11:51:00"/>
    <x v="4"/>
    <s v="Field Visit"/>
    <x v="1"/>
    <s v="A026"/>
    <x v="2"/>
    <n v="24"/>
    <n v="213.9"/>
    <x v="1"/>
    <s v="No"/>
    <s v="No"/>
    <n v="4"/>
    <s v="Closed"/>
    <s v="August"/>
    <x v="7"/>
    <n v="2026"/>
    <s v="No"/>
    <n v="0"/>
    <x v="4"/>
    <n v="1"/>
  </r>
  <r>
    <s v="T004966"/>
    <x v="4756"/>
    <d v="2026-08-15T11:01:00"/>
    <x v="0"/>
    <s v="Email"/>
    <x v="1"/>
    <s v="A010"/>
    <x v="0"/>
    <n v="24"/>
    <n v="44.3"/>
    <x v="0"/>
    <s v="No"/>
    <s v="No"/>
    <m/>
    <s v="Closed"/>
    <s v="August"/>
    <x v="7"/>
    <n v="2026"/>
    <s v="No"/>
    <n v="0"/>
    <x v="3"/>
    <n v="0"/>
  </r>
  <r>
    <s v="T004967"/>
    <x v="4757"/>
    <d v="2026-08-13T20:23:00"/>
    <x v="5"/>
    <s v="Chat"/>
    <x v="1"/>
    <s v="A015"/>
    <x v="0"/>
    <n v="24"/>
    <n v="4.8"/>
    <x v="0"/>
    <s v="Yes"/>
    <s v="No"/>
    <m/>
    <s v="Closed"/>
    <s v="August"/>
    <x v="7"/>
    <n v="2026"/>
    <s v="Yes"/>
    <n v="1"/>
    <x v="2"/>
    <n v="0"/>
  </r>
  <r>
    <s v="T004968"/>
    <x v="4758"/>
    <d v="2026-08-14T02:17:00"/>
    <x v="3"/>
    <s v="Phone"/>
    <x v="0"/>
    <s v="A020"/>
    <x v="2"/>
    <n v="72"/>
    <n v="10.6"/>
    <x v="1"/>
    <s v="No"/>
    <s v="No"/>
    <m/>
    <s v="Closed"/>
    <s v="August"/>
    <x v="7"/>
    <n v="2026"/>
    <s v="Yes"/>
    <n v="1"/>
    <x v="3"/>
    <n v="1"/>
  </r>
  <r>
    <s v="T004969"/>
    <x v="4759"/>
    <d v="2026-08-13T22:38:00"/>
    <x v="5"/>
    <s v="Email"/>
    <x v="1"/>
    <s v="A004"/>
    <x v="0"/>
    <n v="24"/>
    <n v="5.9"/>
    <x v="1"/>
    <s v="No"/>
    <s v="No"/>
    <n v="5"/>
    <s v="Closed"/>
    <s v="August"/>
    <x v="7"/>
    <n v="2026"/>
    <s v="Yes"/>
    <n v="1"/>
    <x v="1"/>
    <n v="1"/>
  </r>
  <r>
    <s v="T004970"/>
    <x v="4760"/>
    <d v="2026-08-14T08:07:00"/>
    <x v="0"/>
    <s v="Chat"/>
    <x v="2"/>
    <s v="A011"/>
    <x v="0"/>
    <n v="4"/>
    <n v="15.2"/>
    <x v="0"/>
    <s v="Yes"/>
    <s v="No"/>
    <n v="3"/>
    <s v="Closed"/>
    <s v="August"/>
    <x v="7"/>
    <n v="2026"/>
    <s v="No"/>
    <n v="0"/>
    <x v="2"/>
    <n v="0"/>
  </r>
  <r>
    <s v="T004971"/>
    <x v="4761"/>
    <d v="2026-08-13T22:37:00"/>
    <x v="0"/>
    <s v="Chat"/>
    <x v="0"/>
    <s v="A023"/>
    <x v="2"/>
    <n v="72"/>
    <n v="4.9000000000000004"/>
    <x v="1"/>
    <s v="No"/>
    <s v="No"/>
    <n v="5"/>
    <s v="Closed"/>
    <s v="August"/>
    <x v="7"/>
    <n v="2026"/>
    <s v="Yes"/>
    <n v="1"/>
    <x v="4"/>
    <n v="1"/>
  </r>
  <r>
    <s v="T004972"/>
    <x v="4762"/>
    <d v="2026-08-13T23:15:00"/>
    <x v="0"/>
    <s v="Phone"/>
    <x v="2"/>
    <s v="A025"/>
    <x v="2"/>
    <n v="4"/>
    <n v="5.3"/>
    <x v="0"/>
    <s v="Yes"/>
    <s v="No"/>
    <n v="2"/>
    <s v="Closed"/>
    <s v="August"/>
    <x v="7"/>
    <n v="2026"/>
    <s v="No"/>
    <n v="0"/>
    <x v="1"/>
    <n v="0"/>
  </r>
  <r>
    <s v="T004973"/>
    <x v="4763"/>
    <d v="2026-08-14T09:39:00"/>
    <x v="3"/>
    <s v="Phone"/>
    <x v="1"/>
    <s v="A033"/>
    <x v="2"/>
    <n v="24"/>
    <n v="14.8"/>
    <x v="0"/>
    <s v="No"/>
    <s v="No"/>
    <n v="5"/>
    <s v="Closed"/>
    <s v="August"/>
    <x v="7"/>
    <n v="2026"/>
    <s v="Yes"/>
    <n v="1"/>
    <x v="2"/>
    <n v="0"/>
  </r>
  <r>
    <s v="T004974"/>
    <x v="4764"/>
    <d v="2026-08-15T13:55:00"/>
    <x v="4"/>
    <s v="Field Visit"/>
    <x v="2"/>
    <s v="A054"/>
    <x v="1"/>
    <n v="4"/>
    <n v="41.5"/>
    <x v="1"/>
    <s v="No"/>
    <s v="Yes"/>
    <n v="3"/>
    <s v="Closed"/>
    <s v="August"/>
    <x v="7"/>
    <n v="2026"/>
    <s v="No"/>
    <n v="0"/>
    <x v="4"/>
    <n v="1"/>
  </r>
  <r>
    <s v="T004975"/>
    <x v="4765"/>
    <d v="2026-08-14T10:35:00"/>
    <x v="1"/>
    <s v="Chat"/>
    <x v="0"/>
    <s v="A008"/>
    <x v="0"/>
    <n v="72"/>
    <n v="7.2"/>
    <x v="0"/>
    <s v="No"/>
    <s v="No"/>
    <n v="4"/>
    <s v="Closed"/>
    <s v="August"/>
    <x v="7"/>
    <n v="2026"/>
    <s v="Yes"/>
    <n v="1"/>
    <x v="1"/>
    <n v="0"/>
  </r>
  <r>
    <s v="T004976"/>
    <x v="4766"/>
    <d v="2026-08-14T17:57:00"/>
    <x v="6"/>
    <s v="Phone"/>
    <x v="2"/>
    <s v="A053"/>
    <x v="1"/>
    <n v="4"/>
    <n v="11.4"/>
    <x v="1"/>
    <s v="No"/>
    <s v="Yes"/>
    <n v="4"/>
    <s v="Closed"/>
    <s v="August"/>
    <x v="7"/>
    <n v="2026"/>
    <s v="No"/>
    <n v="0"/>
    <x v="3"/>
    <n v="1"/>
  </r>
  <r>
    <s v="T004977"/>
    <x v="4767"/>
    <d v="2026-08-15T13:03:00"/>
    <x v="3"/>
    <s v="Phone"/>
    <x v="0"/>
    <s v="A042"/>
    <x v="1"/>
    <n v="72"/>
    <n v="25.6"/>
    <x v="1"/>
    <s v="No"/>
    <s v="No"/>
    <m/>
    <s v="Closed"/>
    <s v="August"/>
    <x v="7"/>
    <n v="2026"/>
    <s v="Yes"/>
    <n v="1"/>
    <x v="1"/>
    <n v="1"/>
  </r>
  <r>
    <s v="T004978"/>
    <x v="4768"/>
    <d v="2026-08-14T17:33:00"/>
    <x v="2"/>
    <s v="Chat"/>
    <x v="1"/>
    <s v="A026"/>
    <x v="2"/>
    <n v="24"/>
    <n v="5.6"/>
    <x v="1"/>
    <s v="No"/>
    <s v="No"/>
    <m/>
    <s v="Closed"/>
    <s v="August"/>
    <x v="7"/>
    <n v="2026"/>
    <s v="Yes"/>
    <n v="1"/>
    <x v="4"/>
    <n v="1"/>
  </r>
  <r>
    <s v="T004979"/>
    <x v="4769"/>
    <d v="2026-08-14T16:44:00"/>
    <x v="1"/>
    <s v="Email"/>
    <x v="1"/>
    <s v="A039"/>
    <x v="1"/>
    <n v="24"/>
    <n v="4.5"/>
    <x v="1"/>
    <s v="No"/>
    <s v="No"/>
    <n v="5"/>
    <s v="Closed"/>
    <s v="August"/>
    <x v="7"/>
    <n v="2026"/>
    <s v="Yes"/>
    <n v="1"/>
    <x v="4"/>
    <n v="1"/>
  </r>
  <r>
    <s v="T004981"/>
    <x v="4770"/>
    <d v="2026-08-16T00:02:00"/>
    <x v="3"/>
    <s v="Field Visit"/>
    <x v="0"/>
    <s v="A012"/>
    <x v="0"/>
    <n v="72"/>
    <n v="35"/>
    <x v="0"/>
    <s v="No"/>
    <s v="No"/>
    <n v="4"/>
    <s v="Closed"/>
    <s v="August"/>
    <x v="7"/>
    <n v="2026"/>
    <s v="Yes"/>
    <n v="1"/>
    <x v="4"/>
    <n v="0"/>
  </r>
  <r>
    <s v="T004980"/>
    <x v="4770"/>
    <d v="2026-08-15T20:08:00"/>
    <x v="6"/>
    <s v="Field Visit"/>
    <x v="2"/>
    <s v="A023"/>
    <x v="2"/>
    <n v="4"/>
    <n v="31.1"/>
    <x v="1"/>
    <s v="No"/>
    <s v="No"/>
    <m/>
    <s v="Closed"/>
    <s v="August"/>
    <x v="7"/>
    <n v="2026"/>
    <s v="No"/>
    <n v="0"/>
    <x v="1"/>
    <n v="1"/>
  </r>
  <r>
    <s v="T004982"/>
    <x v="4771"/>
    <d v="2026-08-16T04:45:00"/>
    <x v="6"/>
    <s v="Field Visit"/>
    <x v="2"/>
    <s v="A009"/>
    <x v="0"/>
    <n v="4"/>
    <n v="39"/>
    <x v="0"/>
    <s v="Yes"/>
    <s v="Yes"/>
    <n v="4"/>
    <s v="Closed"/>
    <s v="August"/>
    <x v="7"/>
    <n v="2026"/>
    <s v="No"/>
    <n v="0"/>
    <x v="2"/>
    <n v="0"/>
  </r>
  <r>
    <s v="T004983"/>
    <x v="4772"/>
    <d v="2026-08-14T16:51:00"/>
    <x v="6"/>
    <s v="Phone"/>
    <x v="1"/>
    <s v="A047"/>
    <x v="1"/>
    <n v="24"/>
    <n v="2.2000000000000002"/>
    <x v="1"/>
    <s v="No"/>
    <s v="Yes"/>
    <m/>
    <s v="Closed"/>
    <s v="August"/>
    <x v="7"/>
    <n v="2026"/>
    <s v="Yes"/>
    <n v="1"/>
    <x v="0"/>
    <n v="1"/>
  </r>
  <r>
    <s v="T004984"/>
    <x v="4773"/>
    <d v="2026-08-22T20:59:00"/>
    <x v="4"/>
    <s v="Field Visit"/>
    <x v="1"/>
    <s v="A055"/>
    <x v="1"/>
    <n v="24"/>
    <n v="197.9"/>
    <x v="1"/>
    <s v="No"/>
    <s v="No"/>
    <m/>
    <s v="Closed"/>
    <s v="August"/>
    <x v="7"/>
    <n v="2026"/>
    <s v="No"/>
    <n v="0"/>
    <x v="0"/>
    <n v="1"/>
  </r>
  <r>
    <s v="T004985"/>
    <x v="4774"/>
    <d v="2026-08-17T00:55:00"/>
    <x v="4"/>
    <s v="Chat"/>
    <x v="2"/>
    <s v="A048"/>
    <x v="1"/>
    <n v="4"/>
    <n v="57.7"/>
    <x v="1"/>
    <s v="No"/>
    <s v="Yes"/>
    <m/>
    <s v="Closed"/>
    <s v="August"/>
    <x v="7"/>
    <n v="2026"/>
    <s v="No"/>
    <n v="0"/>
    <x v="2"/>
    <n v="1"/>
  </r>
  <r>
    <s v="T004986"/>
    <x v="4775"/>
    <d v="2026-08-15T06:30:00"/>
    <x v="5"/>
    <s v="Email"/>
    <x v="2"/>
    <s v="A040"/>
    <x v="1"/>
    <n v="4"/>
    <n v="15.1"/>
    <x v="1"/>
    <s v="No"/>
    <s v="Yes"/>
    <n v="3"/>
    <s v="Closed"/>
    <s v="August"/>
    <x v="7"/>
    <n v="2026"/>
    <s v="No"/>
    <n v="0"/>
    <x v="2"/>
    <n v="1"/>
  </r>
  <r>
    <s v="T004987"/>
    <x v="4776"/>
    <d v="2026-08-15T03:12:00"/>
    <x v="2"/>
    <s v="Email"/>
    <x v="0"/>
    <s v="A018"/>
    <x v="2"/>
    <n v="72"/>
    <n v="11.7"/>
    <x v="1"/>
    <s v="No"/>
    <s v="No"/>
    <m/>
    <s v="Closed"/>
    <s v="August"/>
    <x v="7"/>
    <n v="2026"/>
    <s v="Yes"/>
    <n v="1"/>
    <x v="3"/>
    <n v="1"/>
  </r>
  <r>
    <s v="T004988"/>
    <x v="4777"/>
    <d v="2026-08-14T21:29:00"/>
    <x v="1"/>
    <s v="Chat"/>
    <x v="1"/>
    <s v="A016"/>
    <x v="2"/>
    <n v="24"/>
    <n v="5.6"/>
    <x v="1"/>
    <s v="No"/>
    <s v="No"/>
    <n v="5"/>
    <s v="Closed"/>
    <s v="August"/>
    <x v="7"/>
    <n v="2026"/>
    <s v="Yes"/>
    <n v="1"/>
    <x v="3"/>
    <n v="1"/>
  </r>
  <r>
    <s v="T004989"/>
    <x v="4778"/>
    <d v="2026-08-14T21:15:00"/>
    <x v="0"/>
    <s v="Phone"/>
    <x v="1"/>
    <s v="A041"/>
    <x v="1"/>
    <n v="24"/>
    <n v="4.9000000000000004"/>
    <x v="1"/>
    <s v="No"/>
    <s v="No"/>
    <m/>
    <s v="Closed"/>
    <s v="August"/>
    <x v="7"/>
    <n v="2026"/>
    <s v="Yes"/>
    <n v="1"/>
    <x v="1"/>
    <n v="1"/>
  </r>
  <r>
    <s v="T004990"/>
    <x v="4779"/>
    <d v="2026-08-15T19:09:00"/>
    <x v="0"/>
    <s v="Field Visit"/>
    <x v="0"/>
    <s v="A041"/>
    <x v="1"/>
    <n v="72"/>
    <n v="25.3"/>
    <x v="0"/>
    <s v="Yes"/>
    <s v="No"/>
    <n v="4"/>
    <s v="Closed"/>
    <s v="August"/>
    <x v="7"/>
    <n v="2026"/>
    <s v="Yes"/>
    <n v="1"/>
    <x v="1"/>
    <n v="0"/>
  </r>
  <r>
    <s v="T004991"/>
    <x v="4780"/>
    <d v="2026-08-14T19:40:00"/>
    <x v="1"/>
    <s v="Chat"/>
    <x v="1"/>
    <s v="A060"/>
    <x v="1"/>
    <n v="24"/>
    <n v="1.5"/>
    <x v="1"/>
    <s v="No"/>
    <s v="No"/>
    <m/>
    <s v="Closed"/>
    <s v="August"/>
    <x v="7"/>
    <n v="2026"/>
    <s v="Yes"/>
    <n v="1"/>
    <x v="2"/>
    <n v="1"/>
  </r>
  <r>
    <s v="T004992"/>
    <x v="4781"/>
    <d v="2026-08-15T03:20:00"/>
    <x v="6"/>
    <s v="Field Visit"/>
    <x v="1"/>
    <s v="A052"/>
    <x v="1"/>
    <n v="24"/>
    <n v="9.1"/>
    <x v="1"/>
    <s v="No"/>
    <s v="No"/>
    <m/>
    <s v="Closed"/>
    <s v="August"/>
    <x v="7"/>
    <n v="2026"/>
    <s v="Yes"/>
    <n v="1"/>
    <x v="0"/>
    <n v="1"/>
  </r>
  <r>
    <s v="T004993"/>
    <x v="4782"/>
    <d v="2026-08-14T20:53:00"/>
    <x v="1"/>
    <s v="Phone"/>
    <x v="1"/>
    <s v="A027"/>
    <x v="2"/>
    <n v="24"/>
    <n v="1.4"/>
    <x v="1"/>
    <s v="No"/>
    <s v="No"/>
    <m/>
    <s v="Closed"/>
    <s v="August"/>
    <x v="7"/>
    <n v="2026"/>
    <s v="Yes"/>
    <n v="1"/>
    <x v="4"/>
    <n v="1"/>
  </r>
  <r>
    <s v="T004994"/>
    <x v="4783"/>
    <d v="2026-08-17T15:01:00"/>
    <x v="5"/>
    <s v="Field Visit"/>
    <x v="0"/>
    <s v="A011"/>
    <x v="0"/>
    <n v="72"/>
    <n v="66.599999999999994"/>
    <x v="1"/>
    <s v="No"/>
    <s v="No"/>
    <m/>
    <s v="Closed"/>
    <s v="August"/>
    <x v="7"/>
    <n v="2026"/>
    <s v="Yes"/>
    <n v="1"/>
    <x v="4"/>
    <n v="1"/>
  </r>
  <r>
    <s v="T004995"/>
    <x v="4784"/>
    <d v="2026-08-15T03:00:00"/>
    <x v="1"/>
    <s v="Phone"/>
    <x v="1"/>
    <s v="A004"/>
    <x v="0"/>
    <n v="24"/>
    <n v="4.5999999999999996"/>
    <x v="0"/>
    <s v="Yes"/>
    <s v="No"/>
    <m/>
    <s v="Closed"/>
    <s v="August"/>
    <x v="7"/>
    <n v="2026"/>
    <s v="Yes"/>
    <n v="1"/>
    <x v="4"/>
    <n v="0"/>
  </r>
  <r>
    <s v="T004996"/>
    <x v="4785"/>
    <d v="2026-08-16T02:14:00"/>
    <x v="6"/>
    <s v="Field Visit"/>
    <x v="0"/>
    <s v="A011"/>
    <x v="0"/>
    <n v="72"/>
    <n v="25.5"/>
    <x v="1"/>
    <s v="No"/>
    <s v="No"/>
    <n v="5"/>
    <s v="Closed"/>
    <s v="August"/>
    <x v="7"/>
    <n v="2026"/>
    <s v="Yes"/>
    <n v="1"/>
    <x v="1"/>
    <n v="1"/>
  </r>
  <r>
    <s v="T004997"/>
    <x v="4786"/>
    <d v="2026-08-16T18:41:00"/>
    <x v="0"/>
    <s v="Phone"/>
    <x v="0"/>
    <s v="A011"/>
    <x v="0"/>
    <n v="72"/>
    <n v="36.5"/>
    <x v="0"/>
    <s v="No"/>
    <s v="No"/>
    <n v="5"/>
    <s v="Closed"/>
    <s v="August"/>
    <x v="7"/>
    <n v="2026"/>
    <s v="Yes"/>
    <n v="1"/>
    <x v="1"/>
    <n v="0"/>
  </r>
  <r>
    <s v="T004998"/>
    <x v="4787"/>
    <d v="2026-08-16T15:19:00"/>
    <x v="0"/>
    <s v="Phone"/>
    <x v="1"/>
    <s v="A025"/>
    <x v="2"/>
    <n v="24"/>
    <n v="33.1"/>
    <x v="1"/>
    <s v="No"/>
    <s v="No"/>
    <n v="5"/>
    <s v="Closed"/>
    <s v="August"/>
    <x v="7"/>
    <n v="2026"/>
    <s v="No"/>
    <n v="0"/>
    <x v="3"/>
    <n v="1"/>
  </r>
  <r>
    <s v="T004999"/>
    <x v="4788"/>
    <d v="2026-08-16T02:27:00"/>
    <x v="0"/>
    <s v="Chat"/>
    <x v="2"/>
    <s v="A029"/>
    <x v="2"/>
    <n v="4"/>
    <n v="19.7"/>
    <x v="1"/>
    <s v="No"/>
    <s v="No"/>
    <n v="4"/>
    <s v="Closed"/>
    <s v="August"/>
    <x v="7"/>
    <n v="2026"/>
    <s v="No"/>
    <n v="0"/>
    <x v="4"/>
    <n v="1"/>
  </r>
  <r>
    <s v="T005000"/>
    <x v="4789"/>
    <d v="2026-08-16T08:44:00"/>
    <x v="5"/>
    <s v="Field Visit"/>
    <x v="0"/>
    <s v="A056"/>
    <x v="1"/>
    <n v="72"/>
    <n v="24.6"/>
    <x v="1"/>
    <s v="No"/>
    <s v="No"/>
    <n v="5"/>
    <s v="Closed"/>
    <s v="August"/>
    <x v="7"/>
    <n v="2026"/>
    <s v="Yes"/>
    <n v="1"/>
    <x v="1"/>
    <n v="1"/>
  </r>
  <r>
    <s v="T005001"/>
    <x v="4790"/>
    <d v="2026-08-15T14:26:00"/>
    <x v="0"/>
    <s v="Phone"/>
    <x v="0"/>
    <s v="A021"/>
    <x v="2"/>
    <n v="72"/>
    <n v="6"/>
    <x v="1"/>
    <s v="No"/>
    <s v="No"/>
    <n v="4"/>
    <s v="Closed"/>
    <s v="August"/>
    <x v="7"/>
    <n v="2026"/>
    <s v="Yes"/>
    <n v="1"/>
    <x v="1"/>
    <n v="1"/>
  </r>
  <r>
    <s v="T005002"/>
    <x v="4791"/>
    <d v="2026-08-16T04:41:00"/>
    <x v="1"/>
    <s v="Phone"/>
    <x v="1"/>
    <s v="A033"/>
    <x v="2"/>
    <n v="24"/>
    <n v="19.2"/>
    <x v="1"/>
    <s v="No"/>
    <s v="No"/>
    <n v="4"/>
    <s v="Closed"/>
    <s v="August"/>
    <x v="7"/>
    <n v="2026"/>
    <s v="Yes"/>
    <n v="1"/>
    <x v="2"/>
    <n v="1"/>
  </r>
  <r>
    <s v="T005003"/>
    <x v="4792"/>
    <d v="2026-08-16T20:16:00"/>
    <x v="1"/>
    <s v="Email"/>
    <x v="1"/>
    <s v="A049"/>
    <x v="1"/>
    <n v="24"/>
    <n v="34.200000000000003"/>
    <x v="0"/>
    <s v="No"/>
    <s v="No"/>
    <n v="4"/>
    <s v="Closed"/>
    <s v="August"/>
    <x v="7"/>
    <n v="2026"/>
    <s v="No"/>
    <n v="0"/>
    <x v="2"/>
    <n v="0"/>
  </r>
  <r>
    <s v="T005004"/>
    <x v="4793"/>
    <d v="2026-08-15T14:25:00"/>
    <x v="5"/>
    <s v="Phone"/>
    <x v="1"/>
    <s v="A052"/>
    <x v="1"/>
    <n v="24"/>
    <n v="3.8"/>
    <x v="1"/>
    <s v="No"/>
    <s v="No"/>
    <n v="5"/>
    <s v="Closed"/>
    <s v="August"/>
    <x v="7"/>
    <n v="2026"/>
    <s v="Yes"/>
    <n v="1"/>
    <x v="3"/>
    <n v="1"/>
  </r>
  <r>
    <s v="T005005"/>
    <x v="4794"/>
    <d v="2026-08-22T15:47:00"/>
    <x v="6"/>
    <s v="Field Visit"/>
    <x v="2"/>
    <s v="A033"/>
    <x v="2"/>
    <n v="4"/>
    <n v="171.5"/>
    <x v="1"/>
    <s v="No"/>
    <s v="No"/>
    <n v="4"/>
    <s v="Closed"/>
    <s v="August"/>
    <x v="7"/>
    <n v="2026"/>
    <s v="No"/>
    <n v="0"/>
    <x v="2"/>
    <n v="1"/>
  </r>
  <r>
    <s v="T005006"/>
    <x v="4794"/>
    <d v="2026-08-19T17:05:00"/>
    <x v="4"/>
    <s v="Email"/>
    <x v="0"/>
    <s v="A037"/>
    <x v="1"/>
    <n v="72"/>
    <n v="100.8"/>
    <x v="0"/>
    <s v="Yes"/>
    <s v="No"/>
    <m/>
    <s v="Closed"/>
    <s v="August"/>
    <x v="7"/>
    <n v="2026"/>
    <s v="No"/>
    <n v="0"/>
    <x v="1"/>
    <n v="0"/>
  </r>
  <r>
    <s v="T005007"/>
    <x v="4795"/>
    <d v="2026-08-18T15:02:00"/>
    <x v="0"/>
    <s v="Field Visit"/>
    <x v="1"/>
    <s v="A042"/>
    <x v="1"/>
    <n v="24"/>
    <n v="74.7"/>
    <x v="1"/>
    <s v="No"/>
    <s v="No"/>
    <n v="5"/>
    <s v="Closed"/>
    <s v="August"/>
    <x v="7"/>
    <n v="2026"/>
    <s v="No"/>
    <n v="0"/>
    <x v="3"/>
    <n v="1"/>
  </r>
  <r>
    <s v="T005008"/>
    <x v="4796"/>
    <d v="2026-08-16T06:36:00"/>
    <x v="5"/>
    <s v="Phone"/>
    <x v="1"/>
    <s v="A030"/>
    <x v="2"/>
    <n v="24"/>
    <n v="16.2"/>
    <x v="1"/>
    <s v="No"/>
    <s v="No"/>
    <n v="5"/>
    <s v="Closed"/>
    <s v="August"/>
    <x v="7"/>
    <n v="2026"/>
    <s v="Yes"/>
    <n v="1"/>
    <x v="0"/>
    <n v="1"/>
  </r>
  <r>
    <s v="T005009"/>
    <x v="4797"/>
    <d v="2026-08-16T21:33:00"/>
    <x v="0"/>
    <s v="Phone"/>
    <x v="1"/>
    <s v="A011"/>
    <x v="0"/>
    <n v="24"/>
    <n v="30.9"/>
    <x v="1"/>
    <s v="No"/>
    <s v="No"/>
    <m/>
    <s v="Closed"/>
    <s v="August"/>
    <x v="7"/>
    <n v="2026"/>
    <s v="No"/>
    <n v="0"/>
    <x v="3"/>
    <n v="1"/>
  </r>
  <r>
    <s v="T005010"/>
    <x v="4798"/>
    <d v="2026-08-16T00:04:00"/>
    <x v="0"/>
    <s v="Chat"/>
    <x v="1"/>
    <s v="A035"/>
    <x v="2"/>
    <n v="24"/>
    <n v="9.3000000000000007"/>
    <x v="0"/>
    <s v="Yes"/>
    <s v="No"/>
    <m/>
    <s v="Closed"/>
    <s v="August"/>
    <x v="7"/>
    <n v="2026"/>
    <s v="Yes"/>
    <n v="1"/>
    <x v="4"/>
    <n v="0"/>
  </r>
  <r>
    <s v="T005011"/>
    <x v="4799"/>
    <d v="2026-08-16T00:03:00"/>
    <x v="0"/>
    <s v="Chat"/>
    <x v="0"/>
    <s v="A060"/>
    <x v="1"/>
    <n v="72"/>
    <n v="8.6999999999999993"/>
    <x v="0"/>
    <s v="No"/>
    <s v="No"/>
    <n v="5"/>
    <s v="Closed"/>
    <s v="August"/>
    <x v="7"/>
    <n v="2026"/>
    <s v="Yes"/>
    <n v="1"/>
    <x v="2"/>
    <n v="0"/>
  </r>
  <r>
    <s v="T005012"/>
    <x v="4800"/>
    <d v="2026-08-16T08:46:00"/>
    <x v="0"/>
    <s v="Email"/>
    <x v="1"/>
    <s v="A032"/>
    <x v="2"/>
    <n v="24"/>
    <n v="17.2"/>
    <x v="0"/>
    <s v="No"/>
    <s v="No"/>
    <m/>
    <s v="Closed"/>
    <s v="August"/>
    <x v="7"/>
    <n v="2026"/>
    <s v="Yes"/>
    <n v="1"/>
    <x v="1"/>
    <n v="0"/>
  </r>
  <r>
    <s v="T005013"/>
    <x v="4801"/>
    <d v="2026-08-16T10:26:00"/>
    <x v="0"/>
    <s v="Chat"/>
    <x v="1"/>
    <s v="A010"/>
    <x v="0"/>
    <n v="24"/>
    <n v="18.7"/>
    <x v="1"/>
    <s v="No"/>
    <s v="No"/>
    <m/>
    <s v="Closed"/>
    <s v="August"/>
    <x v="7"/>
    <n v="2026"/>
    <s v="Yes"/>
    <n v="1"/>
    <x v="3"/>
    <n v="1"/>
  </r>
  <r>
    <s v="T005014"/>
    <x v="4802"/>
    <d v="2026-08-16T10:24:00"/>
    <x v="3"/>
    <s v="Phone"/>
    <x v="0"/>
    <s v="A002"/>
    <x v="0"/>
    <n v="72"/>
    <n v="18.399999999999999"/>
    <x v="0"/>
    <s v="Yes"/>
    <s v="No"/>
    <m/>
    <s v="Closed"/>
    <s v="August"/>
    <x v="7"/>
    <n v="2026"/>
    <s v="Yes"/>
    <n v="1"/>
    <x v="1"/>
    <n v="0"/>
  </r>
  <r>
    <s v="T005015"/>
    <x v="4803"/>
    <d v="2026-08-15T21:14:00"/>
    <x v="1"/>
    <s v="Phone"/>
    <x v="1"/>
    <s v="A045"/>
    <x v="1"/>
    <n v="24"/>
    <n v="5.2"/>
    <x v="1"/>
    <s v="No"/>
    <s v="Yes"/>
    <m/>
    <s v="Closed"/>
    <s v="August"/>
    <x v="7"/>
    <n v="2026"/>
    <s v="Yes"/>
    <n v="1"/>
    <x v="4"/>
    <n v="1"/>
  </r>
  <r>
    <s v="T005016"/>
    <x v="4804"/>
    <d v="2026-08-18T05:30:00"/>
    <x v="3"/>
    <s v="Field Visit"/>
    <x v="1"/>
    <s v="A033"/>
    <x v="2"/>
    <n v="24"/>
    <n v="60.4"/>
    <x v="1"/>
    <s v="No"/>
    <s v="Yes"/>
    <m/>
    <s v="Closed"/>
    <s v="August"/>
    <x v="7"/>
    <n v="2026"/>
    <s v="No"/>
    <n v="0"/>
    <x v="3"/>
    <n v="1"/>
  </r>
  <r>
    <s v="T005017"/>
    <x v="4805"/>
    <d v="2026-08-16T02:55:00"/>
    <x v="2"/>
    <s v="Phone"/>
    <x v="1"/>
    <s v="A012"/>
    <x v="0"/>
    <n v="24"/>
    <n v="7.6"/>
    <x v="1"/>
    <s v="No"/>
    <s v="No"/>
    <m/>
    <s v="Closed"/>
    <s v="August"/>
    <x v="7"/>
    <n v="2026"/>
    <s v="Yes"/>
    <n v="1"/>
    <x v="4"/>
    <n v="1"/>
  </r>
  <r>
    <s v="T005018"/>
    <x v="4806"/>
    <d v="2026-08-15T21:57:00"/>
    <x v="1"/>
    <s v="Chat"/>
    <x v="1"/>
    <s v="A022"/>
    <x v="2"/>
    <n v="24"/>
    <n v="2.6"/>
    <x v="0"/>
    <s v="Yes"/>
    <s v="No"/>
    <m/>
    <s v="Closed"/>
    <s v="August"/>
    <x v="7"/>
    <n v="2026"/>
    <s v="Yes"/>
    <n v="1"/>
    <x v="2"/>
    <n v="0"/>
  </r>
  <r>
    <s v="T005019"/>
    <x v="4807"/>
    <d v="2026-08-17T11:42:00"/>
    <x v="5"/>
    <s v="Field Visit"/>
    <x v="1"/>
    <s v="A001"/>
    <x v="0"/>
    <n v="24"/>
    <n v="39.1"/>
    <x v="1"/>
    <s v="No"/>
    <s v="No"/>
    <n v="3"/>
    <s v="Closed"/>
    <s v="August"/>
    <x v="7"/>
    <n v="2026"/>
    <s v="No"/>
    <n v="0"/>
    <x v="4"/>
    <n v="1"/>
  </r>
  <r>
    <s v="T005020"/>
    <x v="4808"/>
    <d v="2026-08-16T21:09:00"/>
    <x v="2"/>
    <s v="Email"/>
    <x v="0"/>
    <s v="A012"/>
    <x v="0"/>
    <n v="72"/>
    <n v="22.4"/>
    <x v="0"/>
    <s v="Yes"/>
    <s v="No"/>
    <n v="2"/>
    <s v="Closed"/>
    <s v="August"/>
    <x v="7"/>
    <n v="2026"/>
    <s v="Yes"/>
    <n v="1"/>
    <x v="4"/>
    <n v="0"/>
  </r>
  <r>
    <s v="T005021"/>
    <x v="4809"/>
    <d v="2026-08-16T06:34:00"/>
    <x v="1"/>
    <s v="Phone"/>
    <x v="1"/>
    <s v="A006"/>
    <x v="0"/>
    <n v="24"/>
    <n v="6.8"/>
    <x v="1"/>
    <s v="No"/>
    <s v="No"/>
    <m/>
    <s v="Closed"/>
    <s v="August"/>
    <x v="7"/>
    <n v="2026"/>
    <s v="Yes"/>
    <n v="1"/>
    <x v="3"/>
    <n v="1"/>
  </r>
  <r>
    <s v="T005022"/>
    <x v="4810"/>
    <d v="2026-08-17T05:53:00"/>
    <x v="1"/>
    <s v="Phone"/>
    <x v="0"/>
    <s v="A036"/>
    <x v="1"/>
    <n v="72"/>
    <n v="24.6"/>
    <x v="0"/>
    <s v="No"/>
    <s v="No"/>
    <n v="4"/>
    <s v="Closed"/>
    <s v="August"/>
    <x v="7"/>
    <n v="2026"/>
    <s v="Yes"/>
    <n v="1"/>
    <x v="4"/>
    <n v="0"/>
  </r>
  <r>
    <s v="T005023"/>
    <x v="4811"/>
    <d v="2026-08-16T09:26:00"/>
    <x v="1"/>
    <s v="Chat"/>
    <x v="0"/>
    <s v="A032"/>
    <x v="2"/>
    <n v="72"/>
    <n v="3.5"/>
    <x v="0"/>
    <s v="Yes"/>
    <s v="No"/>
    <n v="2"/>
    <s v="Closed"/>
    <s v="August"/>
    <x v="7"/>
    <n v="2026"/>
    <s v="Yes"/>
    <n v="1"/>
    <x v="0"/>
    <n v="0"/>
  </r>
  <r>
    <s v="T005024"/>
    <x v="4812"/>
    <d v="2026-08-20T15:09:00"/>
    <x v="3"/>
    <s v="Field Visit"/>
    <x v="1"/>
    <s v="A020"/>
    <x v="2"/>
    <n v="24"/>
    <n v="105"/>
    <x v="0"/>
    <s v="No"/>
    <s v="No"/>
    <m/>
    <s v="Closed"/>
    <s v="August"/>
    <x v="7"/>
    <n v="2026"/>
    <s v="No"/>
    <n v="0"/>
    <x v="3"/>
    <n v="0"/>
  </r>
  <r>
    <s v="T005025"/>
    <x v="4813"/>
    <d v="2026-08-17T05:21:00"/>
    <x v="1"/>
    <s v="Email"/>
    <x v="1"/>
    <s v="A030"/>
    <x v="2"/>
    <n v="24"/>
    <n v="21.7"/>
    <x v="0"/>
    <s v="No"/>
    <s v="Yes"/>
    <n v="4"/>
    <s v="Closed"/>
    <s v="August"/>
    <x v="7"/>
    <n v="2026"/>
    <s v="Yes"/>
    <n v="1"/>
    <x v="3"/>
    <n v="0"/>
  </r>
  <r>
    <s v="T005026"/>
    <x v="4814"/>
    <d v="2026-08-16T15:55:00"/>
    <x v="6"/>
    <s v="Chat"/>
    <x v="2"/>
    <s v="A003"/>
    <x v="0"/>
    <n v="4"/>
    <n v="8.1999999999999993"/>
    <x v="1"/>
    <s v="No"/>
    <s v="Yes"/>
    <n v="4"/>
    <s v="Closed"/>
    <s v="August"/>
    <x v="7"/>
    <n v="2026"/>
    <s v="No"/>
    <n v="0"/>
    <x v="2"/>
    <n v="1"/>
  </r>
  <r>
    <s v="T005027"/>
    <x v="4815"/>
    <d v="2026-08-18T11:10:00"/>
    <x v="3"/>
    <s v="Phone"/>
    <x v="1"/>
    <s v="A007"/>
    <x v="0"/>
    <n v="24"/>
    <n v="51.4"/>
    <x v="0"/>
    <s v="Yes"/>
    <s v="No"/>
    <n v="4"/>
    <s v="Closed"/>
    <s v="August"/>
    <x v="7"/>
    <n v="2026"/>
    <s v="No"/>
    <n v="0"/>
    <x v="1"/>
    <n v="0"/>
  </r>
  <r>
    <s v="T005028"/>
    <x v="4816"/>
    <d v="2026-08-16T18:44:00"/>
    <x v="2"/>
    <s v="Chat"/>
    <x v="1"/>
    <s v="A041"/>
    <x v="1"/>
    <n v="24"/>
    <n v="9.3000000000000007"/>
    <x v="1"/>
    <s v="No"/>
    <s v="No"/>
    <n v="4"/>
    <s v="Closed"/>
    <s v="August"/>
    <x v="7"/>
    <n v="2026"/>
    <s v="Yes"/>
    <n v="1"/>
    <x v="1"/>
    <n v="1"/>
  </r>
  <r>
    <s v="T005029"/>
    <x v="4817"/>
    <d v="2026-08-16T23:00:00"/>
    <x v="0"/>
    <s v="Phone"/>
    <x v="0"/>
    <s v="A020"/>
    <x v="2"/>
    <n v="72"/>
    <n v="13.3"/>
    <x v="0"/>
    <s v="Yes"/>
    <s v="No"/>
    <n v="2"/>
    <s v="Closed"/>
    <s v="August"/>
    <x v="7"/>
    <n v="2026"/>
    <s v="Yes"/>
    <n v="1"/>
    <x v="0"/>
    <n v="0"/>
  </r>
  <r>
    <s v="T005030"/>
    <x v="4818"/>
    <d v="2026-08-17T22:19:00"/>
    <x v="2"/>
    <s v="Field Visit"/>
    <x v="0"/>
    <s v="A040"/>
    <x v="1"/>
    <n v="72"/>
    <n v="34.9"/>
    <x v="1"/>
    <s v="No"/>
    <s v="No"/>
    <n v="4"/>
    <s v="Closed"/>
    <s v="August"/>
    <x v="7"/>
    <n v="2026"/>
    <s v="Yes"/>
    <n v="1"/>
    <x v="3"/>
    <n v="1"/>
  </r>
  <r>
    <s v="T005031"/>
    <x v="4819"/>
    <d v="2026-08-19T17:04:00"/>
    <x v="3"/>
    <s v="Field Visit"/>
    <x v="1"/>
    <s v="A042"/>
    <x v="1"/>
    <n v="24"/>
    <n v="77.400000000000006"/>
    <x v="0"/>
    <s v="Yes"/>
    <s v="No"/>
    <n v="4"/>
    <s v="Closed"/>
    <s v="August"/>
    <x v="7"/>
    <n v="2026"/>
    <s v="No"/>
    <n v="0"/>
    <x v="2"/>
    <n v="0"/>
  </r>
  <r>
    <s v="T005032"/>
    <x v="4819"/>
    <d v="2026-08-16T17:28:00"/>
    <x v="1"/>
    <s v="Chat"/>
    <x v="2"/>
    <s v="A042"/>
    <x v="1"/>
    <n v="4"/>
    <n v="5.8"/>
    <x v="1"/>
    <s v="No"/>
    <s v="No"/>
    <n v="5"/>
    <s v="Closed"/>
    <s v="August"/>
    <x v="7"/>
    <n v="2026"/>
    <s v="No"/>
    <n v="0"/>
    <x v="3"/>
    <n v="1"/>
  </r>
  <r>
    <s v="T005033"/>
    <x v="4820"/>
    <d v="2026-08-17T14:40:00"/>
    <x v="5"/>
    <s v="Email"/>
    <x v="1"/>
    <s v="A033"/>
    <x v="2"/>
    <n v="24"/>
    <n v="26.9"/>
    <x v="1"/>
    <s v="No"/>
    <s v="No"/>
    <n v="3"/>
    <s v="Closed"/>
    <s v="August"/>
    <x v="7"/>
    <n v="2026"/>
    <s v="No"/>
    <n v="0"/>
    <x v="2"/>
    <n v="1"/>
  </r>
  <r>
    <s v="T005034"/>
    <x v="4821"/>
    <d v="2026-08-18T00:41:00"/>
    <x v="2"/>
    <s v="Phone"/>
    <x v="0"/>
    <s v="A037"/>
    <x v="1"/>
    <n v="72"/>
    <n v="35.799999999999997"/>
    <x v="0"/>
    <s v="No"/>
    <s v="No"/>
    <n v="3"/>
    <s v="Closed"/>
    <s v="August"/>
    <x v="7"/>
    <n v="2026"/>
    <s v="Yes"/>
    <n v="1"/>
    <x v="4"/>
    <n v="0"/>
  </r>
  <r>
    <s v="T005035"/>
    <x v="4822"/>
    <d v="2026-08-17T15:15:00"/>
    <x v="5"/>
    <s v="Email"/>
    <x v="2"/>
    <s v="A053"/>
    <x v="1"/>
    <n v="4"/>
    <n v="26.2"/>
    <x v="0"/>
    <s v="No"/>
    <s v="Yes"/>
    <n v="3"/>
    <s v="Closed"/>
    <s v="August"/>
    <x v="7"/>
    <n v="2026"/>
    <s v="No"/>
    <n v="0"/>
    <x v="3"/>
    <n v="0"/>
  </r>
  <r>
    <s v="T005036"/>
    <x v="4823"/>
    <d v="2026-08-18T07:47:00"/>
    <x v="4"/>
    <s v="Phone"/>
    <x v="1"/>
    <s v="A054"/>
    <x v="1"/>
    <n v="24"/>
    <n v="42.7"/>
    <x v="1"/>
    <s v="No"/>
    <s v="No"/>
    <m/>
    <s v="Closed"/>
    <s v="August"/>
    <x v="7"/>
    <n v="2026"/>
    <s v="No"/>
    <n v="0"/>
    <x v="1"/>
    <n v="1"/>
  </r>
  <r>
    <s v="T005037"/>
    <x v="4824"/>
    <d v="2026-08-17T06:11:00"/>
    <x v="6"/>
    <s v="Email"/>
    <x v="2"/>
    <s v="A025"/>
    <x v="2"/>
    <n v="4"/>
    <n v="17"/>
    <x v="0"/>
    <s v="Yes"/>
    <s v="No"/>
    <n v="2"/>
    <s v="Closed"/>
    <s v="August"/>
    <x v="7"/>
    <n v="2026"/>
    <s v="No"/>
    <n v="0"/>
    <x v="2"/>
    <n v="0"/>
  </r>
  <r>
    <s v="T005038"/>
    <x v="4825"/>
    <d v="2026-08-19T01:43:00"/>
    <x v="3"/>
    <s v="Email"/>
    <x v="0"/>
    <s v="A024"/>
    <x v="2"/>
    <n v="72"/>
    <n v="59.3"/>
    <x v="1"/>
    <s v="No"/>
    <s v="No"/>
    <m/>
    <s v="Closed"/>
    <s v="August"/>
    <x v="7"/>
    <n v="2026"/>
    <s v="Yes"/>
    <n v="1"/>
    <x v="1"/>
    <n v="1"/>
  </r>
  <r>
    <s v="T005039"/>
    <x v="4826"/>
    <d v="2026-08-17T03:28:00"/>
    <x v="1"/>
    <s v="Phone"/>
    <x v="0"/>
    <s v="A008"/>
    <x v="0"/>
    <n v="72"/>
    <n v="12.9"/>
    <x v="1"/>
    <s v="No"/>
    <s v="No"/>
    <m/>
    <s v="Closed"/>
    <s v="August"/>
    <x v="7"/>
    <n v="2026"/>
    <s v="Yes"/>
    <n v="1"/>
    <x v="2"/>
    <n v="1"/>
  </r>
  <r>
    <s v="T005040"/>
    <x v="4827"/>
    <d v="2026-08-17T05:44:00"/>
    <x v="6"/>
    <s v="Email"/>
    <x v="1"/>
    <s v="A026"/>
    <x v="2"/>
    <n v="24"/>
    <n v="14.6"/>
    <x v="0"/>
    <s v="No"/>
    <s v="No"/>
    <n v="3"/>
    <s v="Closed"/>
    <s v="August"/>
    <x v="7"/>
    <n v="2026"/>
    <s v="Yes"/>
    <n v="1"/>
    <x v="1"/>
    <n v="0"/>
  </r>
  <r>
    <s v="T005041"/>
    <x v="4828"/>
    <d v="2026-08-21T21:55:00"/>
    <x v="4"/>
    <s v="Field Visit"/>
    <x v="1"/>
    <s v="A044"/>
    <x v="1"/>
    <n v="24"/>
    <n v="126.6"/>
    <x v="1"/>
    <s v="No"/>
    <s v="No"/>
    <n v="4"/>
    <s v="Closed"/>
    <s v="August"/>
    <x v="7"/>
    <n v="2026"/>
    <s v="No"/>
    <n v="0"/>
    <x v="1"/>
    <n v="1"/>
  </r>
  <r>
    <s v="T005042"/>
    <x v="4829"/>
    <d v="2026-08-16T22:15:00"/>
    <x v="5"/>
    <s v="Phone"/>
    <x v="2"/>
    <s v="A025"/>
    <x v="2"/>
    <n v="4"/>
    <n v="6.9"/>
    <x v="1"/>
    <s v="No"/>
    <s v="Yes"/>
    <n v="4"/>
    <s v="Closed"/>
    <s v="August"/>
    <x v="7"/>
    <n v="2026"/>
    <s v="No"/>
    <n v="0"/>
    <x v="1"/>
    <n v="1"/>
  </r>
  <r>
    <s v="T005043"/>
    <x v="4830"/>
    <d v="2026-08-17T06:27:00"/>
    <x v="1"/>
    <s v="Email"/>
    <x v="0"/>
    <s v="A006"/>
    <x v="0"/>
    <n v="72"/>
    <n v="13.9"/>
    <x v="0"/>
    <s v="Yes"/>
    <s v="No"/>
    <n v="4"/>
    <s v="Closed"/>
    <s v="August"/>
    <x v="7"/>
    <n v="2026"/>
    <s v="Yes"/>
    <n v="1"/>
    <x v="1"/>
    <n v="0"/>
  </r>
  <r>
    <s v="T005044"/>
    <x v="4831"/>
    <d v="2026-08-17T13:57:00"/>
    <x v="1"/>
    <s v="Email"/>
    <x v="0"/>
    <s v="A052"/>
    <x v="1"/>
    <n v="72"/>
    <n v="20.8"/>
    <x v="1"/>
    <s v="No"/>
    <s v="No"/>
    <n v="3"/>
    <s v="Closed"/>
    <s v="August"/>
    <x v="7"/>
    <n v="2026"/>
    <s v="Yes"/>
    <n v="1"/>
    <x v="0"/>
    <n v="1"/>
  </r>
  <r>
    <s v="T005045"/>
    <x v="4832"/>
    <d v="2026-08-17T19:34:00"/>
    <x v="0"/>
    <s v="Phone"/>
    <x v="0"/>
    <s v="A019"/>
    <x v="2"/>
    <n v="72"/>
    <n v="25.7"/>
    <x v="0"/>
    <s v="No"/>
    <s v="No"/>
    <m/>
    <s v="Closed"/>
    <s v="August"/>
    <x v="7"/>
    <n v="2026"/>
    <s v="Yes"/>
    <n v="1"/>
    <x v="3"/>
    <n v="0"/>
  </r>
  <r>
    <s v="T005046"/>
    <x v="4833"/>
    <d v="2026-08-18T09:50:00"/>
    <x v="0"/>
    <s v="Email"/>
    <x v="0"/>
    <s v="A019"/>
    <x v="2"/>
    <n v="72"/>
    <n v="39.9"/>
    <x v="1"/>
    <s v="No"/>
    <s v="No"/>
    <n v="5"/>
    <s v="Closed"/>
    <s v="August"/>
    <x v="7"/>
    <n v="2026"/>
    <s v="Yes"/>
    <n v="1"/>
    <x v="3"/>
    <n v="1"/>
  </r>
  <r>
    <s v="T005047"/>
    <x v="4834"/>
    <d v="2026-08-16T19:04:00"/>
    <x v="1"/>
    <s v="Chat"/>
    <x v="0"/>
    <s v="A054"/>
    <x v="1"/>
    <n v="72"/>
    <n v="1"/>
    <x v="1"/>
    <s v="No"/>
    <s v="No"/>
    <n v="3"/>
    <s v="Closed"/>
    <s v="August"/>
    <x v="7"/>
    <n v="2026"/>
    <s v="Yes"/>
    <n v="1"/>
    <x v="3"/>
    <n v="1"/>
  </r>
  <r>
    <s v="T005048"/>
    <x v="4835"/>
    <d v="2026-08-17T02:40:00"/>
    <x v="1"/>
    <s v="Chat"/>
    <x v="0"/>
    <s v="A050"/>
    <x v="1"/>
    <n v="72"/>
    <n v="8"/>
    <x v="1"/>
    <s v="No"/>
    <s v="No"/>
    <m/>
    <s v="Closed"/>
    <s v="August"/>
    <x v="7"/>
    <n v="2026"/>
    <s v="Yes"/>
    <n v="1"/>
    <x v="2"/>
    <n v="1"/>
  </r>
  <r>
    <s v="T005049"/>
    <x v="4836"/>
    <d v="2026-08-17T10:52:00"/>
    <x v="2"/>
    <s v="Phone"/>
    <x v="0"/>
    <s v="A053"/>
    <x v="1"/>
    <n v="72"/>
    <n v="14.3"/>
    <x v="1"/>
    <s v="No"/>
    <s v="No"/>
    <m/>
    <s v="Closed"/>
    <s v="August"/>
    <x v="7"/>
    <n v="2026"/>
    <s v="Yes"/>
    <n v="1"/>
    <x v="2"/>
    <n v="1"/>
  </r>
  <r>
    <s v="T005050"/>
    <x v="4837"/>
    <d v="2026-08-18T18:23:00"/>
    <x v="5"/>
    <s v="Email"/>
    <x v="2"/>
    <s v="A029"/>
    <x v="2"/>
    <n v="4"/>
    <n v="45.2"/>
    <x v="0"/>
    <s v="No"/>
    <s v="No"/>
    <n v="4"/>
    <s v="Closed"/>
    <s v="August"/>
    <x v="7"/>
    <n v="2026"/>
    <s v="No"/>
    <n v="0"/>
    <x v="1"/>
    <n v="0"/>
  </r>
  <r>
    <s v="T005051"/>
    <x v="4838"/>
    <d v="2026-08-17T07:22:00"/>
    <x v="0"/>
    <s v="Phone"/>
    <x v="0"/>
    <s v="A046"/>
    <x v="1"/>
    <n v="72"/>
    <n v="9.3000000000000007"/>
    <x v="1"/>
    <s v="No"/>
    <s v="No"/>
    <m/>
    <s v="Closed"/>
    <s v="August"/>
    <x v="7"/>
    <n v="2026"/>
    <s v="Yes"/>
    <n v="1"/>
    <x v="0"/>
    <n v="1"/>
  </r>
  <r>
    <s v="T005052"/>
    <x v="4839"/>
    <d v="2026-08-18T00:11:00"/>
    <x v="3"/>
    <s v="Phone"/>
    <x v="0"/>
    <s v="A027"/>
    <x v="2"/>
    <n v="72"/>
    <n v="13.6"/>
    <x v="1"/>
    <s v="No"/>
    <s v="No"/>
    <n v="4"/>
    <s v="Closed"/>
    <s v="August"/>
    <x v="7"/>
    <n v="2026"/>
    <s v="Yes"/>
    <n v="1"/>
    <x v="3"/>
    <n v="1"/>
  </r>
  <r>
    <s v="T005054"/>
    <x v="4840"/>
    <d v="2026-08-18T05:35:00"/>
    <x v="1"/>
    <s v="Email"/>
    <x v="2"/>
    <s v="A034"/>
    <x v="2"/>
    <n v="4"/>
    <n v="18.7"/>
    <x v="1"/>
    <s v="No"/>
    <s v="Yes"/>
    <n v="4"/>
    <s v="Closed"/>
    <s v="August"/>
    <x v="7"/>
    <n v="2026"/>
    <s v="No"/>
    <n v="0"/>
    <x v="3"/>
    <n v="1"/>
  </r>
  <r>
    <s v="T005053"/>
    <x v="4840"/>
    <d v="2026-08-17T19:53:00"/>
    <x v="1"/>
    <s v="Email"/>
    <x v="0"/>
    <s v="A017"/>
    <x v="2"/>
    <n v="72"/>
    <n v="9"/>
    <x v="1"/>
    <s v="No"/>
    <s v="No"/>
    <n v="5"/>
    <s v="Closed"/>
    <s v="August"/>
    <x v="7"/>
    <n v="2026"/>
    <s v="Yes"/>
    <n v="1"/>
    <x v="4"/>
    <n v="1"/>
  </r>
  <r>
    <s v="T005055"/>
    <x v="4841"/>
    <d v="2026-08-18T08:09:00"/>
    <x v="5"/>
    <s v="Phone"/>
    <x v="0"/>
    <s v="A035"/>
    <x v="2"/>
    <n v="72"/>
    <n v="20"/>
    <x v="1"/>
    <s v="No"/>
    <s v="No"/>
    <n v="5"/>
    <s v="Closed"/>
    <s v="August"/>
    <x v="7"/>
    <n v="2026"/>
    <s v="Yes"/>
    <n v="1"/>
    <x v="3"/>
    <n v="1"/>
  </r>
  <r>
    <s v="T005056"/>
    <x v="4842"/>
    <d v="2026-08-18T06:11:00"/>
    <x v="5"/>
    <s v="Field Visit"/>
    <x v="0"/>
    <s v="A013"/>
    <x v="0"/>
    <n v="72"/>
    <n v="17.399999999999999"/>
    <x v="1"/>
    <s v="No"/>
    <s v="No"/>
    <n v="5"/>
    <s v="Closed"/>
    <s v="August"/>
    <x v="7"/>
    <n v="2026"/>
    <s v="Yes"/>
    <n v="1"/>
    <x v="1"/>
    <n v="1"/>
  </r>
  <r>
    <s v="T005057"/>
    <x v="4843"/>
    <d v="2026-08-17T18:18:00"/>
    <x v="5"/>
    <s v="Chat"/>
    <x v="0"/>
    <s v="A033"/>
    <x v="2"/>
    <n v="72"/>
    <n v="5.5"/>
    <x v="0"/>
    <s v="Yes"/>
    <s v="No"/>
    <m/>
    <s v="Closed"/>
    <s v="August"/>
    <x v="7"/>
    <n v="2026"/>
    <s v="Yes"/>
    <n v="1"/>
    <x v="1"/>
    <n v="0"/>
  </r>
  <r>
    <s v="T005058"/>
    <x v="4844"/>
    <d v="2026-08-17T20:26:00"/>
    <x v="6"/>
    <s v="Field Visit"/>
    <x v="1"/>
    <s v="A044"/>
    <x v="1"/>
    <n v="24"/>
    <n v="7"/>
    <x v="1"/>
    <s v="No"/>
    <s v="No"/>
    <n v="5"/>
    <s v="Closed"/>
    <s v="August"/>
    <x v="7"/>
    <n v="2026"/>
    <s v="Yes"/>
    <n v="1"/>
    <x v="0"/>
    <n v="1"/>
  </r>
  <r>
    <s v="T005059"/>
    <x v="4845"/>
    <d v="2026-08-17T23:16:00"/>
    <x v="5"/>
    <s v="Chat"/>
    <x v="2"/>
    <s v="A003"/>
    <x v="0"/>
    <n v="4"/>
    <n v="9.3000000000000007"/>
    <x v="0"/>
    <s v="No"/>
    <s v="Yes"/>
    <n v="5"/>
    <s v="Closed"/>
    <s v="August"/>
    <x v="7"/>
    <n v="2026"/>
    <s v="No"/>
    <n v="0"/>
    <x v="4"/>
    <n v="0"/>
  </r>
  <r>
    <s v="T005060"/>
    <x v="4846"/>
    <d v="2026-08-18T02:07:00"/>
    <x v="0"/>
    <s v="Chat"/>
    <x v="2"/>
    <s v="A042"/>
    <x v="1"/>
    <n v="4"/>
    <n v="11.4"/>
    <x v="1"/>
    <s v="No"/>
    <s v="No"/>
    <n v="5"/>
    <s v="Closed"/>
    <s v="August"/>
    <x v="7"/>
    <n v="2026"/>
    <s v="No"/>
    <n v="0"/>
    <x v="4"/>
    <n v="1"/>
  </r>
  <r>
    <s v="T005061"/>
    <x v="4847"/>
    <d v="2026-08-18T11:17:00"/>
    <x v="2"/>
    <s v="Phone"/>
    <x v="1"/>
    <s v="A045"/>
    <x v="1"/>
    <n v="24"/>
    <n v="18.899999999999999"/>
    <x v="1"/>
    <s v="No"/>
    <s v="No"/>
    <n v="3"/>
    <s v="Closed"/>
    <s v="August"/>
    <x v="7"/>
    <n v="2026"/>
    <s v="Yes"/>
    <n v="1"/>
    <x v="0"/>
    <n v="1"/>
  </r>
  <r>
    <s v="T005062"/>
    <x v="4848"/>
    <d v="2026-08-18T21:09:00"/>
    <x v="2"/>
    <s v="Phone"/>
    <x v="1"/>
    <s v="A036"/>
    <x v="1"/>
    <n v="24"/>
    <n v="27.8"/>
    <x v="1"/>
    <s v="No"/>
    <s v="No"/>
    <n v="4"/>
    <s v="Closed"/>
    <s v="August"/>
    <x v="7"/>
    <n v="2026"/>
    <s v="No"/>
    <n v="0"/>
    <x v="0"/>
    <n v="1"/>
  </r>
  <r>
    <s v="T005063"/>
    <x v="4849"/>
    <d v="2026-08-19T04:46:00"/>
    <x v="6"/>
    <s v="Phone"/>
    <x v="1"/>
    <s v="A014"/>
    <x v="0"/>
    <n v="24"/>
    <n v="35.4"/>
    <x v="1"/>
    <s v="No"/>
    <s v="No"/>
    <m/>
    <s v="Closed"/>
    <s v="August"/>
    <x v="7"/>
    <n v="2026"/>
    <s v="No"/>
    <n v="0"/>
    <x v="4"/>
    <n v="1"/>
  </r>
  <r>
    <s v="T005064"/>
    <x v="4850"/>
    <d v="2026-08-19T00:59:00"/>
    <x v="3"/>
    <s v="Phone"/>
    <x v="1"/>
    <s v="A051"/>
    <x v="1"/>
    <n v="24"/>
    <n v="18.2"/>
    <x v="1"/>
    <s v="No"/>
    <s v="No"/>
    <n v="4"/>
    <s v="Closed"/>
    <s v="August"/>
    <x v="7"/>
    <n v="2026"/>
    <s v="Yes"/>
    <n v="1"/>
    <x v="2"/>
    <n v="1"/>
  </r>
  <r>
    <s v="T005065"/>
    <x v="4851"/>
    <d v="2026-08-19T01:18:00"/>
    <x v="3"/>
    <s v="Phone"/>
    <x v="0"/>
    <s v="A051"/>
    <x v="1"/>
    <n v="72"/>
    <n v="18.5"/>
    <x v="1"/>
    <s v="No"/>
    <s v="No"/>
    <n v="5"/>
    <s v="Closed"/>
    <s v="August"/>
    <x v="7"/>
    <n v="2026"/>
    <s v="Yes"/>
    <n v="1"/>
    <x v="4"/>
    <n v="1"/>
  </r>
  <r>
    <s v="T005066"/>
    <x v="4852"/>
    <d v="2026-08-18T16:26:00"/>
    <x v="0"/>
    <s v="Phone"/>
    <x v="0"/>
    <s v="A036"/>
    <x v="1"/>
    <n v="72"/>
    <n v="8.3000000000000007"/>
    <x v="1"/>
    <s v="No"/>
    <s v="No"/>
    <m/>
    <s v="Closed"/>
    <s v="August"/>
    <x v="7"/>
    <n v="2026"/>
    <s v="Yes"/>
    <n v="1"/>
    <x v="3"/>
    <n v="1"/>
  </r>
  <r>
    <s v="T005067"/>
    <x v="4853"/>
    <d v="2026-08-26T04:21:00"/>
    <x v="4"/>
    <s v="Field Visit"/>
    <x v="2"/>
    <s v="A003"/>
    <x v="0"/>
    <n v="4"/>
    <n v="185.3"/>
    <x v="1"/>
    <s v="No"/>
    <s v="Yes"/>
    <n v="5"/>
    <s v="Closed"/>
    <s v="August"/>
    <x v="7"/>
    <n v="2026"/>
    <s v="No"/>
    <n v="0"/>
    <x v="4"/>
    <n v="1"/>
  </r>
  <r>
    <s v="T005068"/>
    <x v="4853"/>
    <d v="2026-08-19T17:51:00"/>
    <x v="3"/>
    <s v="Phone"/>
    <x v="1"/>
    <s v="A051"/>
    <x v="1"/>
    <n v="24"/>
    <n v="30.8"/>
    <x v="1"/>
    <s v="No"/>
    <s v="No"/>
    <n v="4"/>
    <s v="Closed"/>
    <s v="August"/>
    <x v="7"/>
    <n v="2026"/>
    <s v="No"/>
    <n v="0"/>
    <x v="4"/>
    <n v="1"/>
  </r>
  <r>
    <s v="T005069"/>
    <x v="4854"/>
    <d v="2026-08-19T04:58:00"/>
    <x v="0"/>
    <s v="Phone"/>
    <x v="1"/>
    <s v="A057"/>
    <x v="1"/>
    <n v="24"/>
    <n v="17.399999999999999"/>
    <x v="0"/>
    <s v="Yes"/>
    <s v="No"/>
    <m/>
    <s v="Closed"/>
    <s v="August"/>
    <x v="7"/>
    <n v="2026"/>
    <s v="Yes"/>
    <n v="1"/>
    <x v="4"/>
    <n v="0"/>
  </r>
  <r>
    <s v="T005070"/>
    <x v="4855"/>
    <d v="2026-08-18T16:17:00"/>
    <x v="2"/>
    <s v="Chat"/>
    <x v="2"/>
    <s v="A054"/>
    <x v="1"/>
    <n v="4"/>
    <n v="4.5999999999999996"/>
    <x v="1"/>
    <s v="No"/>
    <s v="Yes"/>
    <m/>
    <s v="Closed"/>
    <s v="August"/>
    <x v="7"/>
    <n v="2026"/>
    <s v="No"/>
    <n v="0"/>
    <x v="2"/>
    <n v="1"/>
  </r>
  <r>
    <s v="T005071"/>
    <x v="4856"/>
    <d v="2026-08-19T17:33:00"/>
    <x v="6"/>
    <s v="Field Visit"/>
    <x v="2"/>
    <s v="A002"/>
    <x v="0"/>
    <n v="4"/>
    <n v="29.4"/>
    <x v="1"/>
    <s v="No"/>
    <s v="No"/>
    <n v="3"/>
    <s v="Closed"/>
    <s v="August"/>
    <x v="7"/>
    <n v="2026"/>
    <s v="No"/>
    <n v="0"/>
    <x v="3"/>
    <n v="1"/>
  </r>
  <r>
    <s v="T005072"/>
    <x v="4857"/>
    <d v="2026-08-18T16:02:00"/>
    <x v="1"/>
    <s v="Phone"/>
    <x v="0"/>
    <s v="A028"/>
    <x v="2"/>
    <n v="72"/>
    <n v="3.8"/>
    <x v="1"/>
    <s v="No"/>
    <s v="No"/>
    <m/>
    <s v="Closed"/>
    <s v="August"/>
    <x v="7"/>
    <n v="2026"/>
    <s v="Yes"/>
    <n v="1"/>
    <x v="4"/>
    <n v="1"/>
  </r>
  <r>
    <s v="T005073"/>
    <x v="4858"/>
    <d v="2026-08-18T23:36:00"/>
    <x v="1"/>
    <s v="Email"/>
    <x v="0"/>
    <s v="A050"/>
    <x v="1"/>
    <n v="72"/>
    <n v="10.7"/>
    <x v="1"/>
    <s v="No"/>
    <s v="No"/>
    <n v="4"/>
    <s v="Closed"/>
    <s v="August"/>
    <x v="7"/>
    <n v="2026"/>
    <s v="Yes"/>
    <n v="1"/>
    <x v="2"/>
    <n v="1"/>
  </r>
  <r>
    <s v="T005074"/>
    <x v="4859"/>
    <d v="2026-08-18T17:24:00"/>
    <x v="6"/>
    <s v="Phone"/>
    <x v="1"/>
    <s v="A023"/>
    <x v="2"/>
    <n v="24"/>
    <n v="4.3"/>
    <x v="1"/>
    <s v="No"/>
    <s v="No"/>
    <n v="5"/>
    <s v="Closed"/>
    <s v="August"/>
    <x v="7"/>
    <n v="2026"/>
    <s v="Yes"/>
    <n v="1"/>
    <x v="3"/>
    <n v="1"/>
  </r>
  <r>
    <s v="T005075"/>
    <x v="4860"/>
    <d v="2026-08-18T18:32:00"/>
    <x v="1"/>
    <s v="Phone"/>
    <x v="1"/>
    <s v="A024"/>
    <x v="2"/>
    <n v="24"/>
    <n v="5.3"/>
    <x v="1"/>
    <s v="No"/>
    <s v="No"/>
    <m/>
    <s v="Closed"/>
    <s v="August"/>
    <x v="7"/>
    <n v="2026"/>
    <s v="Yes"/>
    <n v="1"/>
    <x v="0"/>
    <n v="1"/>
  </r>
  <r>
    <s v="T005076"/>
    <x v="4861"/>
    <d v="2026-08-18T16:42:00"/>
    <x v="5"/>
    <s v="Chat"/>
    <x v="1"/>
    <s v="A034"/>
    <x v="2"/>
    <n v="24"/>
    <n v="2.8"/>
    <x v="0"/>
    <s v="Yes"/>
    <s v="No"/>
    <n v="5"/>
    <s v="Closed"/>
    <s v="August"/>
    <x v="7"/>
    <n v="2026"/>
    <s v="Yes"/>
    <n v="1"/>
    <x v="3"/>
    <n v="0"/>
  </r>
  <r>
    <s v="T005077"/>
    <x v="4862"/>
    <d v="2026-08-18T21:02:00"/>
    <x v="1"/>
    <s v="Email"/>
    <x v="0"/>
    <s v="A017"/>
    <x v="2"/>
    <n v="72"/>
    <n v="7.1"/>
    <x v="1"/>
    <s v="No"/>
    <s v="No"/>
    <n v="5"/>
    <s v="Closed"/>
    <s v="August"/>
    <x v="7"/>
    <n v="2026"/>
    <s v="Yes"/>
    <n v="1"/>
    <x v="1"/>
    <n v="1"/>
  </r>
  <r>
    <s v="T005078"/>
    <x v="4863"/>
    <d v="2026-08-19T06:44:00"/>
    <x v="0"/>
    <s v="Phone"/>
    <x v="0"/>
    <s v="A048"/>
    <x v="1"/>
    <n v="72"/>
    <n v="16.7"/>
    <x v="1"/>
    <s v="No"/>
    <s v="No"/>
    <n v="5"/>
    <s v="Closed"/>
    <s v="August"/>
    <x v="7"/>
    <n v="2026"/>
    <s v="Yes"/>
    <n v="1"/>
    <x v="3"/>
    <n v="1"/>
  </r>
  <r>
    <s v="T005079"/>
    <x v="4864"/>
    <d v="2026-08-19T13:34:00"/>
    <x v="4"/>
    <s v="Phone"/>
    <x v="1"/>
    <s v="A047"/>
    <x v="1"/>
    <n v="24"/>
    <n v="22.8"/>
    <x v="1"/>
    <s v="No"/>
    <s v="No"/>
    <n v="4"/>
    <s v="Closed"/>
    <s v="August"/>
    <x v="7"/>
    <n v="2026"/>
    <s v="Yes"/>
    <n v="1"/>
    <x v="4"/>
    <n v="1"/>
  </r>
  <r>
    <s v="T005080"/>
    <x v="4865"/>
    <d v="2026-08-18T19:42:00"/>
    <x v="6"/>
    <s v="Chat"/>
    <x v="2"/>
    <s v="A013"/>
    <x v="0"/>
    <n v="4"/>
    <n v="3.9"/>
    <x v="0"/>
    <s v="No"/>
    <s v="Yes"/>
    <m/>
    <s v="Closed"/>
    <s v="August"/>
    <x v="7"/>
    <n v="2026"/>
    <s v="Yes"/>
    <n v="1"/>
    <x v="4"/>
    <n v="0"/>
  </r>
  <r>
    <s v="T005081"/>
    <x v="4866"/>
    <d v="2026-08-18T23:51:00"/>
    <x v="0"/>
    <s v="Chat"/>
    <x v="0"/>
    <s v="A053"/>
    <x v="1"/>
    <n v="72"/>
    <n v="7.6"/>
    <x v="1"/>
    <s v="No"/>
    <s v="Yes"/>
    <n v="4"/>
    <s v="Closed"/>
    <s v="August"/>
    <x v="7"/>
    <n v="2026"/>
    <s v="Yes"/>
    <n v="1"/>
    <x v="2"/>
    <n v="1"/>
  </r>
  <r>
    <s v="T005082"/>
    <x v="4867"/>
    <d v="2026-08-18T18:08:00"/>
    <x v="6"/>
    <s v="Chat"/>
    <x v="2"/>
    <s v="A009"/>
    <x v="0"/>
    <n v="4"/>
    <n v="1.5"/>
    <x v="0"/>
    <s v="Yes"/>
    <s v="No"/>
    <m/>
    <s v="Closed"/>
    <s v="August"/>
    <x v="7"/>
    <n v="2026"/>
    <s v="Yes"/>
    <n v="1"/>
    <x v="1"/>
    <n v="0"/>
  </r>
  <r>
    <s v="T005083"/>
    <x v="4868"/>
    <d v="2026-08-19T00:50:00"/>
    <x v="0"/>
    <s v="Chat"/>
    <x v="0"/>
    <s v="A040"/>
    <x v="1"/>
    <n v="72"/>
    <n v="7.9"/>
    <x v="1"/>
    <s v="No"/>
    <s v="No"/>
    <m/>
    <s v="Closed"/>
    <s v="August"/>
    <x v="7"/>
    <n v="2026"/>
    <s v="Yes"/>
    <n v="1"/>
    <x v="4"/>
    <n v="1"/>
  </r>
  <r>
    <s v="T005084"/>
    <x v="4869"/>
    <d v="2026-08-18T20:49:00"/>
    <x v="5"/>
    <s v="Chat"/>
    <x v="1"/>
    <s v="A033"/>
    <x v="2"/>
    <n v="24"/>
    <n v="3.3"/>
    <x v="1"/>
    <s v="No"/>
    <s v="No"/>
    <m/>
    <s v="Closed"/>
    <s v="August"/>
    <x v="7"/>
    <n v="2026"/>
    <s v="Yes"/>
    <n v="1"/>
    <x v="1"/>
    <n v="1"/>
  </r>
  <r>
    <s v="T005085"/>
    <x v="4870"/>
    <d v="2026-08-20T19:48:00"/>
    <x v="4"/>
    <s v="Field Visit"/>
    <x v="0"/>
    <s v="A056"/>
    <x v="1"/>
    <n v="72"/>
    <n v="49.6"/>
    <x v="0"/>
    <s v="No"/>
    <s v="No"/>
    <n v="5"/>
    <s v="Closed"/>
    <s v="August"/>
    <x v="7"/>
    <n v="2026"/>
    <s v="Yes"/>
    <n v="1"/>
    <x v="4"/>
    <n v="0"/>
  </r>
  <r>
    <s v="T005086"/>
    <x v="4871"/>
    <d v="2026-08-18T23:50:00"/>
    <x v="2"/>
    <s v="Chat"/>
    <x v="0"/>
    <s v="A031"/>
    <x v="2"/>
    <n v="72"/>
    <n v="5.6"/>
    <x v="0"/>
    <s v="Yes"/>
    <s v="No"/>
    <n v="5"/>
    <s v="Closed"/>
    <s v="August"/>
    <x v="7"/>
    <n v="2026"/>
    <s v="Yes"/>
    <n v="1"/>
    <x v="0"/>
    <n v="0"/>
  </r>
  <r>
    <s v="T005087"/>
    <x v="4872"/>
    <d v="2026-08-20T21:12:00"/>
    <x v="0"/>
    <s v="Phone"/>
    <x v="0"/>
    <s v="A014"/>
    <x v="0"/>
    <n v="72"/>
    <n v="48.5"/>
    <x v="1"/>
    <s v="No"/>
    <s v="No"/>
    <n v="4"/>
    <s v="Closed"/>
    <s v="August"/>
    <x v="7"/>
    <n v="2026"/>
    <s v="Yes"/>
    <n v="1"/>
    <x v="2"/>
    <n v="1"/>
  </r>
  <r>
    <s v="T005088"/>
    <x v="4873"/>
    <d v="2026-08-19T04:46:00"/>
    <x v="1"/>
    <s v="Chat"/>
    <x v="1"/>
    <s v="A014"/>
    <x v="0"/>
    <n v="24"/>
    <n v="7.1"/>
    <x v="1"/>
    <s v="No"/>
    <s v="No"/>
    <n v="4"/>
    <s v="Closed"/>
    <s v="August"/>
    <x v="7"/>
    <n v="2026"/>
    <s v="Yes"/>
    <n v="1"/>
    <x v="1"/>
    <n v="1"/>
  </r>
  <r>
    <s v="T005089"/>
    <x v="4874"/>
    <d v="2026-08-19T17:07:00"/>
    <x v="0"/>
    <s v="Email"/>
    <x v="1"/>
    <s v="A053"/>
    <x v="1"/>
    <n v="24"/>
    <n v="12.3"/>
    <x v="1"/>
    <s v="No"/>
    <s v="No"/>
    <m/>
    <s v="Closed"/>
    <s v="August"/>
    <x v="7"/>
    <n v="2026"/>
    <s v="Yes"/>
    <n v="1"/>
    <x v="3"/>
    <n v="1"/>
  </r>
  <r>
    <s v="T005090"/>
    <x v="4875"/>
    <d v="2026-08-19T13:56:00"/>
    <x v="5"/>
    <s v="Phone"/>
    <x v="0"/>
    <s v="A001"/>
    <x v="0"/>
    <n v="72"/>
    <n v="7"/>
    <x v="1"/>
    <s v="No"/>
    <s v="No"/>
    <n v="5"/>
    <s v="Closed"/>
    <s v="August"/>
    <x v="7"/>
    <n v="2026"/>
    <s v="Yes"/>
    <n v="1"/>
    <x v="2"/>
    <n v="1"/>
  </r>
  <r>
    <s v="T005091"/>
    <x v="4876"/>
    <d v="2026-08-19T23:50:00"/>
    <x v="1"/>
    <s v="Email"/>
    <x v="0"/>
    <s v="A005"/>
    <x v="0"/>
    <n v="72"/>
    <n v="16.3"/>
    <x v="1"/>
    <s v="No"/>
    <s v="Yes"/>
    <m/>
    <s v="Closed"/>
    <s v="August"/>
    <x v="7"/>
    <n v="2026"/>
    <s v="Yes"/>
    <n v="1"/>
    <x v="2"/>
    <n v="1"/>
  </r>
  <r>
    <s v="T005092"/>
    <x v="4877"/>
    <d v="2026-08-20T00:37:00"/>
    <x v="3"/>
    <s v="Phone"/>
    <x v="2"/>
    <s v="A011"/>
    <x v="0"/>
    <n v="4"/>
    <n v="17"/>
    <x v="1"/>
    <s v="No"/>
    <s v="No"/>
    <n v="4"/>
    <s v="Closed"/>
    <s v="August"/>
    <x v="7"/>
    <n v="2026"/>
    <s v="No"/>
    <n v="0"/>
    <x v="0"/>
    <n v="1"/>
  </r>
  <r>
    <s v="T005093"/>
    <x v="4878"/>
    <d v="2026-08-19T14:25:00"/>
    <x v="1"/>
    <s v="Phone"/>
    <x v="0"/>
    <s v="A002"/>
    <x v="0"/>
    <n v="72"/>
    <n v="6.3"/>
    <x v="1"/>
    <s v="No"/>
    <s v="No"/>
    <n v="3"/>
    <s v="Closed"/>
    <s v="August"/>
    <x v="7"/>
    <n v="2026"/>
    <s v="Yes"/>
    <n v="1"/>
    <x v="3"/>
    <n v="1"/>
  </r>
  <r>
    <s v="T005094"/>
    <x v="4879"/>
    <d v="2026-08-19T13:18:00"/>
    <x v="0"/>
    <s v="Phone"/>
    <x v="2"/>
    <s v="A043"/>
    <x v="1"/>
    <n v="4"/>
    <n v="5.0999999999999996"/>
    <x v="1"/>
    <s v="No"/>
    <s v="Yes"/>
    <n v="3"/>
    <s v="Closed"/>
    <s v="August"/>
    <x v="7"/>
    <n v="2026"/>
    <s v="No"/>
    <n v="0"/>
    <x v="4"/>
    <n v="1"/>
  </r>
  <r>
    <s v="T005095"/>
    <x v="4880"/>
    <d v="2026-08-21T09:05:00"/>
    <x v="3"/>
    <s v="Phone"/>
    <x v="1"/>
    <s v="A032"/>
    <x v="2"/>
    <n v="24"/>
    <n v="48.8"/>
    <x v="1"/>
    <s v="No"/>
    <s v="No"/>
    <m/>
    <s v="Closed"/>
    <s v="August"/>
    <x v="7"/>
    <n v="2026"/>
    <s v="No"/>
    <n v="0"/>
    <x v="4"/>
    <n v="1"/>
  </r>
  <r>
    <s v="T005096"/>
    <x v="4881"/>
    <d v="2026-08-19T15:09:00"/>
    <x v="1"/>
    <s v="Phone"/>
    <x v="1"/>
    <s v="A040"/>
    <x v="1"/>
    <n v="24"/>
    <n v="6.8"/>
    <x v="1"/>
    <s v="No"/>
    <s v="No"/>
    <n v="5"/>
    <s v="Closed"/>
    <s v="August"/>
    <x v="7"/>
    <n v="2026"/>
    <s v="Yes"/>
    <n v="1"/>
    <x v="4"/>
    <n v="1"/>
  </r>
  <r>
    <s v="T005097"/>
    <x v="4882"/>
    <d v="2026-08-20T02:53:00"/>
    <x v="2"/>
    <s v="Email"/>
    <x v="1"/>
    <s v="A041"/>
    <x v="1"/>
    <n v="24"/>
    <n v="17.899999999999999"/>
    <x v="1"/>
    <s v="No"/>
    <s v="No"/>
    <n v="5"/>
    <s v="Closed"/>
    <s v="August"/>
    <x v="7"/>
    <n v="2026"/>
    <s v="Yes"/>
    <n v="1"/>
    <x v="2"/>
    <n v="1"/>
  </r>
  <r>
    <s v="T005098"/>
    <x v="4883"/>
    <d v="2026-08-19T16:40:00"/>
    <x v="3"/>
    <s v="Phone"/>
    <x v="1"/>
    <s v="A055"/>
    <x v="1"/>
    <n v="24"/>
    <n v="6.9"/>
    <x v="1"/>
    <s v="No"/>
    <s v="No"/>
    <n v="5"/>
    <s v="Closed"/>
    <s v="August"/>
    <x v="7"/>
    <n v="2026"/>
    <s v="Yes"/>
    <n v="1"/>
    <x v="4"/>
    <n v="1"/>
  </r>
  <r>
    <s v="T005099"/>
    <x v="4884"/>
    <d v="2026-08-23T14:58:00"/>
    <x v="3"/>
    <s v="Field Visit"/>
    <x v="0"/>
    <s v="A023"/>
    <x v="2"/>
    <n v="72"/>
    <n v="100.3"/>
    <x v="1"/>
    <s v="No"/>
    <s v="No"/>
    <n v="2"/>
    <s v="Closed"/>
    <s v="August"/>
    <x v="7"/>
    <n v="2026"/>
    <s v="No"/>
    <n v="0"/>
    <x v="1"/>
    <n v="1"/>
  </r>
  <r>
    <s v="T005100"/>
    <x v="4885"/>
    <d v="2026-08-20T05:05:00"/>
    <x v="5"/>
    <s v="Email"/>
    <x v="1"/>
    <s v="A015"/>
    <x v="0"/>
    <n v="24"/>
    <n v="18.399999999999999"/>
    <x v="1"/>
    <s v="No"/>
    <s v="No"/>
    <n v="5"/>
    <s v="Closed"/>
    <s v="August"/>
    <x v="7"/>
    <n v="2026"/>
    <s v="Yes"/>
    <n v="1"/>
    <x v="4"/>
    <n v="1"/>
  </r>
  <r>
    <s v="T005101"/>
    <x v="4886"/>
    <d v="2026-08-19T20:25:00"/>
    <x v="0"/>
    <s v="Phone"/>
    <x v="0"/>
    <s v="A008"/>
    <x v="0"/>
    <n v="72"/>
    <n v="9.6999999999999993"/>
    <x v="1"/>
    <s v="No"/>
    <s v="No"/>
    <m/>
    <s v="Closed"/>
    <s v="August"/>
    <x v="7"/>
    <n v="2026"/>
    <s v="Yes"/>
    <n v="1"/>
    <x v="4"/>
    <n v="1"/>
  </r>
  <r>
    <s v="T005102"/>
    <x v="4887"/>
    <d v="2026-08-20T04:01:00"/>
    <x v="3"/>
    <s v="Chat"/>
    <x v="2"/>
    <s v="A044"/>
    <x v="1"/>
    <n v="4"/>
    <n v="16.7"/>
    <x v="1"/>
    <s v="No"/>
    <s v="Yes"/>
    <n v="4"/>
    <s v="Closed"/>
    <s v="August"/>
    <x v="7"/>
    <n v="2026"/>
    <s v="No"/>
    <n v="0"/>
    <x v="0"/>
    <n v="1"/>
  </r>
  <r>
    <s v="T005103"/>
    <x v="4888"/>
    <d v="2026-08-20T13:01:00"/>
    <x v="4"/>
    <s v="Phone"/>
    <x v="0"/>
    <s v="A041"/>
    <x v="1"/>
    <n v="72"/>
    <n v="25.5"/>
    <x v="1"/>
    <s v="No"/>
    <s v="Yes"/>
    <m/>
    <s v="Closed"/>
    <s v="August"/>
    <x v="7"/>
    <n v="2026"/>
    <s v="Yes"/>
    <n v="1"/>
    <x v="4"/>
    <n v="1"/>
  </r>
  <r>
    <s v="T005104"/>
    <x v="4889"/>
    <d v="2026-08-19T23:42:00"/>
    <x v="1"/>
    <s v="Chat"/>
    <x v="2"/>
    <s v="A021"/>
    <x v="2"/>
    <n v="4"/>
    <n v="10.3"/>
    <x v="1"/>
    <s v="No"/>
    <s v="No"/>
    <n v="3"/>
    <s v="Closed"/>
    <s v="August"/>
    <x v="7"/>
    <n v="2026"/>
    <s v="No"/>
    <n v="0"/>
    <x v="3"/>
    <n v="1"/>
  </r>
  <r>
    <s v="T005105"/>
    <x v="4890"/>
    <d v="2026-08-20T04:55:00"/>
    <x v="6"/>
    <s v="Chat"/>
    <x v="2"/>
    <s v="A051"/>
    <x v="1"/>
    <n v="4"/>
    <n v="14.8"/>
    <x v="1"/>
    <s v="No"/>
    <s v="Yes"/>
    <m/>
    <s v="Closed"/>
    <s v="August"/>
    <x v="7"/>
    <n v="2026"/>
    <s v="No"/>
    <n v="0"/>
    <x v="1"/>
    <n v="1"/>
  </r>
  <r>
    <s v="T005106"/>
    <x v="4891"/>
    <d v="2026-08-20T11:31:00"/>
    <x v="3"/>
    <s v="Phone"/>
    <x v="0"/>
    <s v="A011"/>
    <x v="0"/>
    <n v="72"/>
    <n v="21.2"/>
    <x v="0"/>
    <s v="No"/>
    <s v="No"/>
    <n v="4"/>
    <s v="Closed"/>
    <s v="August"/>
    <x v="7"/>
    <n v="2026"/>
    <s v="Yes"/>
    <n v="1"/>
    <x v="0"/>
    <n v="0"/>
  </r>
  <r>
    <s v="T005107"/>
    <x v="4892"/>
    <d v="2026-08-19T17:38:00"/>
    <x v="1"/>
    <s v="Chat"/>
    <x v="1"/>
    <s v="A039"/>
    <x v="1"/>
    <n v="24"/>
    <n v="3.3"/>
    <x v="1"/>
    <s v="No"/>
    <s v="No"/>
    <m/>
    <s v="Closed"/>
    <s v="August"/>
    <x v="7"/>
    <n v="2026"/>
    <s v="Yes"/>
    <n v="1"/>
    <x v="0"/>
    <n v="1"/>
  </r>
  <r>
    <s v="T005108"/>
    <x v="4893"/>
    <d v="2026-08-19T21:41:00"/>
    <x v="6"/>
    <s v="Chat"/>
    <x v="2"/>
    <s v="A049"/>
    <x v="1"/>
    <n v="4"/>
    <n v="7.1"/>
    <x v="1"/>
    <s v="No"/>
    <s v="No"/>
    <m/>
    <s v="Closed"/>
    <s v="August"/>
    <x v="7"/>
    <n v="2026"/>
    <s v="No"/>
    <n v="0"/>
    <x v="3"/>
    <n v="1"/>
  </r>
  <r>
    <s v="T005109"/>
    <x v="4894"/>
    <d v="2026-08-19T18:00:00"/>
    <x v="1"/>
    <s v="Phone"/>
    <x v="0"/>
    <s v="A060"/>
    <x v="1"/>
    <n v="72"/>
    <n v="3.4"/>
    <x v="1"/>
    <s v="No"/>
    <s v="No"/>
    <m/>
    <s v="Closed"/>
    <s v="August"/>
    <x v="7"/>
    <n v="2026"/>
    <s v="Yes"/>
    <n v="1"/>
    <x v="4"/>
    <n v="1"/>
  </r>
  <r>
    <s v="T005110"/>
    <x v="4895"/>
    <d v="2026-08-19T23:15:00"/>
    <x v="1"/>
    <s v="Phone"/>
    <x v="0"/>
    <s v="A009"/>
    <x v="0"/>
    <n v="72"/>
    <n v="8.5"/>
    <x v="0"/>
    <s v="Yes"/>
    <s v="No"/>
    <n v="4"/>
    <s v="Closed"/>
    <s v="August"/>
    <x v="7"/>
    <n v="2026"/>
    <s v="Yes"/>
    <n v="1"/>
    <x v="1"/>
    <n v="0"/>
  </r>
  <r>
    <s v="T005111"/>
    <x v="4896"/>
    <d v="2026-08-19T18:47:00"/>
    <x v="6"/>
    <s v="Chat"/>
    <x v="2"/>
    <s v="A051"/>
    <x v="1"/>
    <n v="4"/>
    <n v="3.6"/>
    <x v="0"/>
    <s v="Yes"/>
    <s v="No"/>
    <n v="5"/>
    <s v="Closed"/>
    <s v="August"/>
    <x v="7"/>
    <n v="2026"/>
    <s v="Yes"/>
    <n v="1"/>
    <x v="2"/>
    <n v="0"/>
  </r>
  <r>
    <s v="T005112"/>
    <x v="4897"/>
    <d v="2026-08-26T07:14:00"/>
    <x v="4"/>
    <s v="Field Visit"/>
    <x v="0"/>
    <s v="A024"/>
    <x v="2"/>
    <n v="72"/>
    <n v="159"/>
    <x v="0"/>
    <s v="No"/>
    <s v="No"/>
    <n v="5"/>
    <s v="Closed"/>
    <s v="August"/>
    <x v="7"/>
    <n v="2026"/>
    <s v="No"/>
    <n v="0"/>
    <x v="2"/>
    <n v="0"/>
  </r>
  <r>
    <s v="T005113"/>
    <x v="4898"/>
    <d v="2026-08-21T17:21:00"/>
    <x v="0"/>
    <s v="Email"/>
    <x v="0"/>
    <s v="A034"/>
    <x v="2"/>
    <n v="72"/>
    <n v="48.6"/>
    <x v="1"/>
    <s v="No"/>
    <s v="No"/>
    <m/>
    <s v="Closed"/>
    <s v="August"/>
    <x v="7"/>
    <n v="2026"/>
    <s v="Yes"/>
    <n v="1"/>
    <x v="3"/>
    <n v="1"/>
  </r>
  <r>
    <s v="T005114"/>
    <x v="4899"/>
    <d v="2026-08-21T09:21:00"/>
    <x v="2"/>
    <s v="Phone"/>
    <x v="0"/>
    <s v="A016"/>
    <x v="2"/>
    <n v="72"/>
    <n v="40.4"/>
    <x v="1"/>
    <s v="No"/>
    <s v="No"/>
    <n v="3"/>
    <s v="Closed"/>
    <s v="August"/>
    <x v="7"/>
    <n v="2026"/>
    <s v="Yes"/>
    <n v="1"/>
    <x v="2"/>
    <n v="1"/>
  </r>
  <r>
    <s v="T005115"/>
    <x v="4900"/>
    <d v="2026-08-20T06:44:00"/>
    <x v="2"/>
    <s v="Email"/>
    <x v="2"/>
    <s v="A020"/>
    <x v="2"/>
    <n v="4"/>
    <n v="13.4"/>
    <x v="1"/>
    <s v="No"/>
    <s v="No"/>
    <n v="5"/>
    <s v="Closed"/>
    <s v="August"/>
    <x v="7"/>
    <n v="2026"/>
    <s v="No"/>
    <n v="0"/>
    <x v="1"/>
    <n v="1"/>
  </r>
  <r>
    <s v="T005116"/>
    <x v="4901"/>
    <d v="2026-08-20T10:51:00"/>
    <x v="0"/>
    <s v="Chat"/>
    <x v="1"/>
    <s v="A014"/>
    <x v="0"/>
    <n v="24"/>
    <n v="17.100000000000001"/>
    <x v="1"/>
    <s v="No"/>
    <s v="No"/>
    <n v="5"/>
    <s v="Closed"/>
    <s v="August"/>
    <x v="7"/>
    <n v="2026"/>
    <s v="Yes"/>
    <n v="1"/>
    <x v="2"/>
    <n v="1"/>
  </r>
  <r>
    <s v="T005117"/>
    <x v="4902"/>
    <d v="2026-08-21T00:13:00"/>
    <x v="3"/>
    <s v="Phone"/>
    <x v="2"/>
    <s v="A015"/>
    <x v="0"/>
    <n v="4"/>
    <n v="30.4"/>
    <x v="0"/>
    <s v="No"/>
    <s v="No"/>
    <n v="3"/>
    <s v="Closed"/>
    <s v="August"/>
    <x v="7"/>
    <n v="2026"/>
    <s v="No"/>
    <n v="0"/>
    <x v="4"/>
    <n v="0"/>
  </r>
  <r>
    <s v="T005118"/>
    <x v="4903"/>
    <d v="2026-08-19T20:01:00"/>
    <x v="6"/>
    <s v="Phone"/>
    <x v="1"/>
    <s v="A019"/>
    <x v="2"/>
    <n v="24"/>
    <n v="1.9"/>
    <x v="0"/>
    <s v="No"/>
    <s v="No"/>
    <n v="3"/>
    <s v="Closed"/>
    <s v="August"/>
    <x v="7"/>
    <n v="2026"/>
    <s v="Yes"/>
    <n v="1"/>
    <x v="4"/>
    <n v="0"/>
  </r>
  <r>
    <s v="T005119"/>
    <x v="4904"/>
    <d v="2026-08-21T23:42:00"/>
    <x v="4"/>
    <s v="Field Visit"/>
    <x v="1"/>
    <s v="A059"/>
    <x v="1"/>
    <n v="24"/>
    <n v="52.6"/>
    <x v="1"/>
    <s v="No"/>
    <s v="No"/>
    <n v="3"/>
    <s v="Closed"/>
    <s v="August"/>
    <x v="7"/>
    <n v="2026"/>
    <s v="No"/>
    <n v="0"/>
    <x v="0"/>
    <n v="1"/>
  </r>
  <r>
    <s v="T005120"/>
    <x v="4905"/>
    <d v="2026-08-20T01:58:00"/>
    <x v="3"/>
    <s v="Field Visit"/>
    <x v="1"/>
    <s v="A004"/>
    <x v="0"/>
    <n v="24"/>
    <n v="95.4"/>
    <x v="0"/>
    <s v="Yes"/>
    <s v="Yes"/>
    <n v="4"/>
    <s v="Closed"/>
    <s v="August"/>
    <x v="7"/>
    <n v="2026"/>
    <s v="No"/>
    <n v="0"/>
    <x v="2"/>
    <n v="0"/>
  </r>
  <r>
    <s v="T005121"/>
    <x v="4906"/>
    <d v="2026-08-20T21:41:00"/>
    <x v="0"/>
    <s v="Phone"/>
    <x v="0"/>
    <s v="A040"/>
    <x v="1"/>
    <n v="72"/>
    <n v="13.3"/>
    <x v="1"/>
    <s v="No"/>
    <s v="No"/>
    <m/>
    <s v="Closed"/>
    <s v="August"/>
    <x v="7"/>
    <n v="2026"/>
    <s v="Yes"/>
    <n v="1"/>
    <x v="0"/>
    <n v="1"/>
  </r>
  <r>
    <s v="T005122"/>
    <x v="4907"/>
    <d v="2026-08-21T12:45:00"/>
    <x v="3"/>
    <s v="Email"/>
    <x v="0"/>
    <s v="A037"/>
    <x v="1"/>
    <n v="72"/>
    <n v="28.3"/>
    <x v="1"/>
    <s v="No"/>
    <s v="No"/>
    <n v="5"/>
    <s v="Closed"/>
    <s v="August"/>
    <x v="7"/>
    <n v="2026"/>
    <s v="Yes"/>
    <n v="1"/>
    <x v="2"/>
    <n v="1"/>
  </r>
  <r>
    <s v="T005123"/>
    <x v="4908"/>
    <d v="2026-08-22T05:42:00"/>
    <x v="5"/>
    <s v="Email"/>
    <x v="1"/>
    <s v="A022"/>
    <x v="2"/>
    <n v="24"/>
    <n v="43.7"/>
    <x v="0"/>
    <s v="No"/>
    <s v="Yes"/>
    <n v="3"/>
    <s v="Closed"/>
    <s v="August"/>
    <x v="7"/>
    <n v="2026"/>
    <s v="No"/>
    <n v="0"/>
    <x v="2"/>
    <n v="0"/>
  </r>
  <r>
    <s v="T005124"/>
    <x v="4909"/>
    <d v="2026-08-20T22:03:00"/>
    <x v="6"/>
    <s v="Phone"/>
    <x v="1"/>
    <s v="A032"/>
    <x v="2"/>
    <n v="24"/>
    <n v="11.4"/>
    <x v="0"/>
    <s v="Yes"/>
    <s v="No"/>
    <m/>
    <s v="Closed"/>
    <s v="August"/>
    <x v="7"/>
    <n v="2026"/>
    <s v="Yes"/>
    <n v="1"/>
    <x v="0"/>
    <n v="0"/>
  </r>
  <r>
    <s v="T005125"/>
    <x v="4910"/>
    <d v="2026-08-23T11:22:00"/>
    <x v="4"/>
    <s v="Field Visit"/>
    <x v="2"/>
    <s v="A031"/>
    <x v="2"/>
    <n v="4"/>
    <n v="72.400000000000006"/>
    <x v="1"/>
    <s v="No"/>
    <s v="Yes"/>
    <n v="3"/>
    <s v="Closed"/>
    <s v="August"/>
    <x v="7"/>
    <n v="2026"/>
    <s v="No"/>
    <n v="0"/>
    <x v="2"/>
    <n v="1"/>
  </r>
  <r>
    <s v="T005126"/>
    <x v="4911"/>
    <d v="2026-08-20T17:45:00"/>
    <x v="1"/>
    <s v="Phone"/>
    <x v="1"/>
    <s v="A039"/>
    <x v="1"/>
    <n v="24"/>
    <n v="6.3"/>
    <x v="1"/>
    <s v="No"/>
    <s v="No"/>
    <n v="5"/>
    <s v="Closed"/>
    <s v="August"/>
    <x v="7"/>
    <n v="2026"/>
    <s v="Yes"/>
    <n v="1"/>
    <x v="4"/>
    <n v="1"/>
  </r>
  <r>
    <s v="T005127"/>
    <x v="4912"/>
    <d v="2026-08-21T00:47:00"/>
    <x v="0"/>
    <s v="Phone"/>
    <x v="1"/>
    <s v="A031"/>
    <x v="2"/>
    <n v="24"/>
    <n v="12.9"/>
    <x v="0"/>
    <s v="No"/>
    <s v="No"/>
    <m/>
    <s v="Closed"/>
    <s v="August"/>
    <x v="7"/>
    <n v="2026"/>
    <s v="Yes"/>
    <n v="1"/>
    <x v="2"/>
    <n v="0"/>
  </r>
  <r>
    <s v="T005128"/>
    <x v="4913"/>
    <d v="2026-08-20T17:36:00"/>
    <x v="1"/>
    <s v="Phone"/>
    <x v="1"/>
    <s v="A022"/>
    <x v="2"/>
    <n v="24"/>
    <n v="5.0999999999999996"/>
    <x v="1"/>
    <s v="No"/>
    <s v="No"/>
    <n v="5"/>
    <s v="Closed"/>
    <s v="August"/>
    <x v="7"/>
    <n v="2026"/>
    <s v="Yes"/>
    <n v="1"/>
    <x v="4"/>
    <n v="1"/>
  </r>
  <r>
    <s v="T005129"/>
    <x v="4914"/>
    <d v="2026-08-20T16:21:00"/>
    <x v="1"/>
    <s v="Phone"/>
    <x v="1"/>
    <s v="A013"/>
    <x v="0"/>
    <n v="24"/>
    <n v="3.1"/>
    <x v="0"/>
    <s v="No"/>
    <s v="No"/>
    <m/>
    <s v="Closed"/>
    <s v="August"/>
    <x v="7"/>
    <n v="2026"/>
    <s v="Yes"/>
    <n v="1"/>
    <x v="3"/>
    <n v="0"/>
  </r>
  <r>
    <s v="T005130"/>
    <x v="4915"/>
    <d v="2026-08-20T17:22:00"/>
    <x v="0"/>
    <s v="Chat"/>
    <x v="0"/>
    <s v="A041"/>
    <x v="1"/>
    <n v="72"/>
    <n v="4.0999999999999996"/>
    <x v="0"/>
    <s v="No"/>
    <s v="No"/>
    <n v="5"/>
    <s v="Closed"/>
    <s v="August"/>
    <x v="7"/>
    <n v="2026"/>
    <s v="Yes"/>
    <n v="1"/>
    <x v="0"/>
    <n v="0"/>
  </r>
  <r>
    <s v="T005131"/>
    <x v="4916"/>
    <d v="2026-08-23T20:21:00"/>
    <x v="0"/>
    <s v="Field Visit"/>
    <x v="2"/>
    <s v="A018"/>
    <x v="2"/>
    <n v="4"/>
    <n v="78.5"/>
    <x v="1"/>
    <s v="No"/>
    <s v="No"/>
    <n v="5"/>
    <s v="Closed"/>
    <s v="August"/>
    <x v="7"/>
    <n v="2026"/>
    <s v="No"/>
    <n v="0"/>
    <x v="3"/>
    <n v="1"/>
  </r>
  <r>
    <s v="T005132"/>
    <x v="4917"/>
    <d v="2026-08-21T16:08:00"/>
    <x v="6"/>
    <s v="Field Visit"/>
    <x v="1"/>
    <s v="A035"/>
    <x v="2"/>
    <n v="24"/>
    <n v="25.7"/>
    <x v="1"/>
    <s v="No"/>
    <s v="No"/>
    <n v="3"/>
    <s v="Closed"/>
    <s v="August"/>
    <x v="7"/>
    <n v="2026"/>
    <s v="No"/>
    <n v="0"/>
    <x v="3"/>
    <n v="1"/>
  </r>
  <r>
    <s v="T005133"/>
    <x v="4918"/>
    <d v="2026-08-23T19:44:00"/>
    <x v="3"/>
    <s v="Field Visit"/>
    <x v="1"/>
    <s v="A047"/>
    <x v="1"/>
    <n v="24"/>
    <n v="76.599999999999994"/>
    <x v="1"/>
    <s v="No"/>
    <s v="No"/>
    <n v="5"/>
    <s v="Closed"/>
    <s v="August"/>
    <x v="7"/>
    <n v="2026"/>
    <s v="No"/>
    <n v="0"/>
    <x v="0"/>
    <n v="1"/>
  </r>
  <r>
    <s v="T005134"/>
    <x v="4919"/>
    <d v="2026-08-25T20:17:00"/>
    <x v="4"/>
    <s v="Field Visit"/>
    <x v="0"/>
    <s v="A049"/>
    <x v="1"/>
    <n v="72"/>
    <n v="124.1"/>
    <x v="1"/>
    <s v="No"/>
    <s v="No"/>
    <n v="3"/>
    <s v="Closed"/>
    <s v="August"/>
    <x v="7"/>
    <n v="2026"/>
    <s v="No"/>
    <n v="0"/>
    <x v="3"/>
    <n v="1"/>
  </r>
  <r>
    <s v="T005135"/>
    <x v="4920"/>
    <d v="2026-08-20T17:30:00"/>
    <x v="1"/>
    <s v="Phone"/>
    <x v="1"/>
    <s v="A054"/>
    <x v="1"/>
    <n v="24"/>
    <n v="1"/>
    <x v="1"/>
    <s v="No"/>
    <s v="No"/>
    <m/>
    <s v="Closed"/>
    <s v="August"/>
    <x v="7"/>
    <n v="2026"/>
    <s v="Yes"/>
    <n v="1"/>
    <x v="3"/>
    <n v="1"/>
  </r>
  <r>
    <s v="T005136"/>
    <x v="4921"/>
    <d v="2026-08-20T20:52:00"/>
    <x v="2"/>
    <s v="Phone"/>
    <x v="1"/>
    <s v="A048"/>
    <x v="1"/>
    <n v="24"/>
    <n v="4.3"/>
    <x v="1"/>
    <s v="No"/>
    <s v="No"/>
    <m/>
    <s v="Closed"/>
    <s v="August"/>
    <x v="7"/>
    <n v="2026"/>
    <s v="Yes"/>
    <n v="1"/>
    <x v="2"/>
    <n v="1"/>
  </r>
  <r>
    <s v="T005137"/>
    <x v="4922"/>
    <d v="2026-08-21T00:50:00"/>
    <x v="3"/>
    <s v="Phone"/>
    <x v="1"/>
    <s v="A030"/>
    <x v="2"/>
    <n v="24"/>
    <n v="8"/>
    <x v="0"/>
    <s v="Yes"/>
    <s v="No"/>
    <m/>
    <s v="Closed"/>
    <s v="August"/>
    <x v="7"/>
    <n v="2026"/>
    <s v="Yes"/>
    <n v="1"/>
    <x v="4"/>
    <n v="0"/>
  </r>
  <r>
    <s v="T005138"/>
    <x v="4923"/>
    <d v="2026-08-21T04:39:00"/>
    <x v="2"/>
    <s v="Phone"/>
    <x v="1"/>
    <s v="A030"/>
    <x v="2"/>
    <n v="24"/>
    <n v="11"/>
    <x v="1"/>
    <s v="No"/>
    <s v="No"/>
    <n v="5"/>
    <s v="Closed"/>
    <s v="August"/>
    <x v="7"/>
    <n v="2026"/>
    <s v="Yes"/>
    <n v="1"/>
    <x v="1"/>
    <n v="1"/>
  </r>
  <r>
    <s v="T005139"/>
    <x v="4924"/>
    <d v="2026-08-21T10:31:00"/>
    <x v="5"/>
    <s v="Phone"/>
    <x v="1"/>
    <s v="A013"/>
    <x v="0"/>
    <n v="24"/>
    <n v="13.7"/>
    <x v="0"/>
    <s v="No"/>
    <s v="No"/>
    <m/>
    <s v="Closed"/>
    <s v="August"/>
    <x v="7"/>
    <n v="2026"/>
    <s v="Yes"/>
    <n v="1"/>
    <x v="4"/>
    <n v="0"/>
  </r>
  <r>
    <s v="T005140"/>
    <x v="4925"/>
    <d v="2026-08-21T17:52:00"/>
    <x v="1"/>
    <s v="Phone"/>
    <x v="0"/>
    <s v="A012"/>
    <x v="0"/>
    <n v="72"/>
    <n v="10.8"/>
    <x v="0"/>
    <s v="Yes"/>
    <s v="No"/>
    <n v="3"/>
    <s v="Closed"/>
    <s v="August"/>
    <x v="7"/>
    <n v="2026"/>
    <s v="Yes"/>
    <n v="1"/>
    <x v="2"/>
    <n v="0"/>
  </r>
  <r>
    <s v="T005141"/>
    <x v="4926"/>
    <d v="2026-08-21T14:50:00"/>
    <x v="5"/>
    <s v="Chat"/>
    <x v="1"/>
    <s v="A003"/>
    <x v="0"/>
    <n v="24"/>
    <n v="7.2"/>
    <x v="1"/>
    <s v="No"/>
    <s v="No"/>
    <m/>
    <s v="Closed"/>
    <s v="August"/>
    <x v="7"/>
    <n v="2026"/>
    <s v="Yes"/>
    <n v="1"/>
    <x v="0"/>
    <n v="1"/>
  </r>
  <r>
    <s v="T005142"/>
    <x v="4927"/>
    <d v="2026-08-23T05:49:00"/>
    <x v="4"/>
    <s v="Email"/>
    <x v="2"/>
    <s v="A018"/>
    <x v="2"/>
    <n v="4"/>
    <n v="43.8"/>
    <x v="1"/>
    <s v="No"/>
    <s v="No"/>
    <m/>
    <s v="Closed"/>
    <s v="August"/>
    <x v="7"/>
    <n v="2026"/>
    <s v="No"/>
    <n v="0"/>
    <x v="1"/>
    <n v="1"/>
  </r>
  <r>
    <s v="T005143"/>
    <x v="4928"/>
    <d v="2026-08-21T17:30:00"/>
    <x v="3"/>
    <s v="Phone"/>
    <x v="0"/>
    <s v="A008"/>
    <x v="0"/>
    <n v="72"/>
    <n v="6.9"/>
    <x v="1"/>
    <s v="No"/>
    <s v="No"/>
    <m/>
    <s v="Closed"/>
    <s v="August"/>
    <x v="7"/>
    <n v="2026"/>
    <s v="Yes"/>
    <n v="1"/>
    <x v="1"/>
    <n v="1"/>
  </r>
  <r>
    <s v="T005144"/>
    <x v="4929"/>
    <d v="2026-08-22T08:02:00"/>
    <x v="6"/>
    <s v="Field Visit"/>
    <x v="1"/>
    <s v="A037"/>
    <x v="1"/>
    <n v="24"/>
    <n v="20.8"/>
    <x v="1"/>
    <s v="No"/>
    <s v="No"/>
    <n v="5"/>
    <s v="Closed"/>
    <s v="August"/>
    <x v="7"/>
    <n v="2026"/>
    <s v="Yes"/>
    <n v="1"/>
    <x v="4"/>
    <n v="1"/>
  </r>
  <r>
    <s v="T005145"/>
    <x v="4930"/>
    <d v="2026-08-21T16:55:00"/>
    <x v="1"/>
    <s v="Phone"/>
    <x v="0"/>
    <s v="A018"/>
    <x v="2"/>
    <n v="72"/>
    <n v="5.5"/>
    <x v="0"/>
    <s v="Yes"/>
    <s v="No"/>
    <m/>
    <s v="Closed"/>
    <s v="August"/>
    <x v="7"/>
    <n v="2026"/>
    <s v="Yes"/>
    <n v="1"/>
    <x v="3"/>
    <n v="0"/>
  </r>
  <r>
    <s v="T005146"/>
    <x v="4931"/>
    <d v="2026-08-21T21:40:00"/>
    <x v="5"/>
    <s v="Phone"/>
    <x v="2"/>
    <s v="A041"/>
    <x v="1"/>
    <n v="4"/>
    <n v="8.3000000000000007"/>
    <x v="1"/>
    <s v="No"/>
    <s v="Yes"/>
    <n v="3"/>
    <s v="Closed"/>
    <s v="August"/>
    <x v="7"/>
    <n v="2026"/>
    <s v="No"/>
    <n v="0"/>
    <x v="4"/>
    <n v="1"/>
  </r>
  <r>
    <s v="T005147"/>
    <x v="4932"/>
    <d v="2026-08-21T18:51:00"/>
    <x v="2"/>
    <s v="Phone"/>
    <x v="0"/>
    <s v="A040"/>
    <x v="1"/>
    <n v="72"/>
    <n v="5.4"/>
    <x v="1"/>
    <s v="No"/>
    <s v="No"/>
    <n v="5"/>
    <s v="Closed"/>
    <s v="August"/>
    <x v="7"/>
    <n v="2026"/>
    <s v="Yes"/>
    <n v="1"/>
    <x v="2"/>
    <n v="1"/>
  </r>
  <r>
    <s v="T005148"/>
    <x v="4933"/>
    <d v="2026-08-22T14:13:00"/>
    <x v="0"/>
    <s v="Phone"/>
    <x v="2"/>
    <s v="A004"/>
    <x v="0"/>
    <n v="4"/>
    <n v="24.7"/>
    <x v="1"/>
    <s v="No"/>
    <s v="Yes"/>
    <m/>
    <s v="Closed"/>
    <s v="August"/>
    <x v="7"/>
    <n v="2026"/>
    <s v="No"/>
    <n v="0"/>
    <x v="1"/>
    <n v="1"/>
  </r>
  <r>
    <s v="T005149"/>
    <x v="4934"/>
    <d v="2026-08-22T03:04:00"/>
    <x v="0"/>
    <s v="Phone"/>
    <x v="1"/>
    <s v="A048"/>
    <x v="1"/>
    <n v="24"/>
    <n v="13.3"/>
    <x v="1"/>
    <s v="No"/>
    <s v="No"/>
    <n v="5"/>
    <s v="Closed"/>
    <s v="August"/>
    <x v="7"/>
    <n v="2026"/>
    <s v="Yes"/>
    <n v="1"/>
    <x v="2"/>
    <n v="1"/>
  </r>
  <r>
    <s v="T005150"/>
    <x v="4935"/>
    <d v="2026-08-21T16:21:00"/>
    <x v="6"/>
    <s v="Chat"/>
    <x v="2"/>
    <s v="A030"/>
    <x v="2"/>
    <n v="4"/>
    <n v="2.4"/>
    <x v="0"/>
    <s v="No"/>
    <s v="No"/>
    <n v="3"/>
    <s v="Closed"/>
    <s v="August"/>
    <x v="7"/>
    <n v="2026"/>
    <s v="Yes"/>
    <n v="1"/>
    <x v="3"/>
    <n v="0"/>
  </r>
  <r>
    <s v="T005151"/>
    <x v="4936"/>
    <d v="2026-08-23T00:21:00"/>
    <x v="6"/>
    <s v="Field Visit"/>
    <x v="2"/>
    <s v="A049"/>
    <x v="1"/>
    <n v="4"/>
    <n v="34"/>
    <x v="1"/>
    <s v="No"/>
    <s v="Yes"/>
    <n v="4"/>
    <s v="Closed"/>
    <s v="August"/>
    <x v="7"/>
    <n v="2026"/>
    <s v="No"/>
    <n v="0"/>
    <x v="1"/>
    <n v="1"/>
  </r>
  <r>
    <s v="T005152"/>
    <x v="4936"/>
    <d v="2026-08-22T01:51:00"/>
    <x v="2"/>
    <s v="Phone"/>
    <x v="1"/>
    <s v="A026"/>
    <x v="2"/>
    <n v="24"/>
    <n v="11.5"/>
    <x v="0"/>
    <s v="Yes"/>
    <s v="No"/>
    <n v="4"/>
    <s v="Closed"/>
    <s v="August"/>
    <x v="7"/>
    <n v="2026"/>
    <s v="Yes"/>
    <n v="1"/>
    <x v="1"/>
    <n v="0"/>
  </r>
  <r>
    <s v="T005153"/>
    <x v="4937"/>
    <d v="2026-08-22T02:32:00"/>
    <x v="2"/>
    <s v="Field Visit"/>
    <x v="1"/>
    <s v="A010"/>
    <x v="0"/>
    <n v="24"/>
    <n v="12.1"/>
    <x v="1"/>
    <s v="No"/>
    <s v="No"/>
    <n v="5"/>
    <s v="Closed"/>
    <s v="August"/>
    <x v="7"/>
    <n v="2026"/>
    <s v="Yes"/>
    <n v="1"/>
    <x v="2"/>
    <n v="1"/>
  </r>
  <r>
    <s v="T005154"/>
    <x v="4938"/>
    <d v="2026-08-21T20:21:00"/>
    <x v="1"/>
    <s v="Chat"/>
    <x v="1"/>
    <s v="A002"/>
    <x v="0"/>
    <n v="24"/>
    <n v="5.7"/>
    <x v="1"/>
    <s v="No"/>
    <s v="No"/>
    <m/>
    <s v="Closed"/>
    <s v="August"/>
    <x v="7"/>
    <n v="2026"/>
    <s v="Yes"/>
    <n v="1"/>
    <x v="2"/>
    <n v="1"/>
  </r>
  <r>
    <s v="T005155"/>
    <x v="4939"/>
    <d v="2026-08-21T18:52:00"/>
    <x v="0"/>
    <s v="Chat"/>
    <x v="0"/>
    <s v="A001"/>
    <x v="0"/>
    <n v="72"/>
    <n v="4.0999999999999996"/>
    <x v="1"/>
    <s v="No"/>
    <s v="No"/>
    <m/>
    <s v="Closed"/>
    <s v="August"/>
    <x v="7"/>
    <n v="2026"/>
    <s v="Yes"/>
    <n v="1"/>
    <x v="3"/>
    <n v="1"/>
  </r>
  <r>
    <s v="T005156"/>
    <x v="4939"/>
    <d v="2026-08-22T09:22:00"/>
    <x v="0"/>
    <s v="Field Visit"/>
    <x v="1"/>
    <s v="A058"/>
    <x v="1"/>
    <n v="24"/>
    <n v="18.600000000000001"/>
    <x v="0"/>
    <s v="Yes"/>
    <s v="No"/>
    <m/>
    <s v="Closed"/>
    <s v="August"/>
    <x v="7"/>
    <n v="2026"/>
    <s v="Yes"/>
    <n v="1"/>
    <x v="3"/>
    <n v="0"/>
  </r>
  <r>
    <s v="T005157"/>
    <x v="4940"/>
    <d v="2026-08-26T08:50:00"/>
    <x v="4"/>
    <s v="Field Visit"/>
    <x v="1"/>
    <s v="A033"/>
    <x v="2"/>
    <n v="24"/>
    <n v="112.9"/>
    <x v="1"/>
    <s v="No"/>
    <s v="No"/>
    <n v="4"/>
    <s v="Closed"/>
    <s v="August"/>
    <x v="7"/>
    <n v="2026"/>
    <s v="No"/>
    <n v="0"/>
    <x v="1"/>
    <n v="1"/>
  </r>
  <r>
    <s v="T005158"/>
    <x v="4941"/>
    <d v="2026-08-21T23:30:00"/>
    <x v="2"/>
    <s v="Chat"/>
    <x v="0"/>
    <s v="A038"/>
    <x v="1"/>
    <n v="72"/>
    <n v="7.4"/>
    <x v="1"/>
    <s v="No"/>
    <s v="No"/>
    <n v="5"/>
    <s v="Closed"/>
    <s v="August"/>
    <x v="7"/>
    <n v="2026"/>
    <s v="Yes"/>
    <n v="1"/>
    <x v="4"/>
    <n v="1"/>
  </r>
  <r>
    <s v="T005159"/>
    <x v="4942"/>
    <d v="2026-08-21T23:57:00"/>
    <x v="6"/>
    <s v="Phone"/>
    <x v="0"/>
    <s v="A041"/>
    <x v="1"/>
    <n v="72"/>
    <n v="6.8"/>
    <x v="1"/>
    <s v="No"/>
    <s v="No"/>
    <n v="4"/>
    <s v="Closed"/>
    <s v="August"/>
    <x v="7"/>
    <n v="2026"/>
    <s v="Yes"/>
    <n v="1"/>
    <x v="1"/>
    <n v="1"/>
  </r>
  <r>
    <s v="T005160"/>
    <x v="4943"/>
    <d v="2026-08-22T00:43:00"/>
    <x v="6"/>
    <s v="Phone"/>
    <x v="2"/>
    <s v="A032"/>
    <x v="2"/>
    <n v="4"/>
    <n v="6.9"/>
    <x v="1"/>
    <s v="No"/>
    <s v="No"/>
    <m/>
    <s v="Closed"/>
    <s v="August"/>
    <x v="7"/>
    <n v="2026"/>
    <s v="No"/>
    <n v="0"/>
    <x v="0"/>
    <n v="1"/>
  </r>
  <r>
    <s v="T005161"/>
    <x v="4944"/>
    <d v="2026-09-01T06:29:00"/>
    <x v="4"/>
    <s v="Field Visit"/>
    <x v="2"/>
    <s v="A051"/>
    <x v="1"/>
    <n v="4"/>
    <n v="250.4"/>
    <x v="1"/>
    <s v="No"/>
    <s v="No"/>
    <n v="5"/>
    <s v="Closed"/>
    <s v="August"/>
    <x v="7"/>
    <n v="2026"/>
    <s v="No"/>
    <n v="0"/>
    <x v="2"/>
    <n v="1"/>
  </r>
  <r>
    <s v="T005162"/>
    <x v="4945"/>
    <d v="2026-08-22T03:31:00"/>
    <x v="6"/>
    <s v="Chat"/>
    <x v="2"/>
    <s v="A015"/>
    <x v="0"/>
    <n v="4"/>
    <n v="7"/>
    <x v="0"/>
    <s v="Yes"/>
    <s v="No"/>
    <n v="5"/>
    <s v="Closed"/>
    <s v="August"/>
    <x v="7"/>
    <n v="2026"/>
    <s v="No"/>
    <n v="0"/>
    <x v="0"/>
    <n v="0"/>
  </r>
  <r>
    <s v="T005163"/>
    <x v="4946"/>
    <d v="2026-08-26T03:14:00"/>
    <x v="3"/>
    <s v="Field Visit"/>
    <x v="0"/>
    <s v="A060"/>
    <x v="1"/>
    <n v="72"/>
    <n v="101.7"/>
    <x v="1"/>
    <s v="No"/>
    <s v="Yes"/>
    <m/>
    <s v="Closed"/>
    <s v="August"/>
    <x v="7"/>
    <n v="2026"/>
    <s v="No"/>
    <n v="0"/>
    <x v="4"/>
    <n v="1"/>
  </r>
  <r>
    <s v="T005164"/>
    <x v="4947"/>
    <d v="2026-08-23T04:14:00"/>
    <x v="0"/>
    <s v="Field Visit"/>
    <x v="1"/>
    <s v="A006"/>
    <x v="0"/>
    <n v="24"/>
    <n v="28.7"/>
    <x v="1"/>
    <s v="No"/>
    <s v="No"/>
    <n v="5"/>
    <s v="Closed"/>
    <s v="August"/>
    <x v="7"/>
    <n v="2026"/>
    <s v="No"/>
    <n v="0"/>
    <x v="1"/>
    <n v="1"/>
  </r>
  <r>
    <s v="T005165"/>
    <x v="4948"/>
    <d v="2026-08-23T19:56:00"/>
    <x v="3"/>
    <s v="Email"/>
    <x v="1"/>
    <s v="A010"/>
    <x v="0"/>
    <n v="24"/>
    <n v="39.299999999999997"/>
    <x v="1"/>
    <s v="No"/>
    <s v="No"/>
    <n v="4"/>
    <s v="Closed"/>
    <s v="August"/>
    <x v="7"/>
    <n v="2026"/>
    <s v="No"/>
    <n v="0"/>
    <x v="4"/>
    <n v="1"/>
  </r>
  <r>
    <s v="T005166"/>
    <x v="4949"/>
    <d v="2026-08-22T12:35:00"/>
    <x v="1"/>
    <s v="Phone"/>
    <x v="1"/>
    <s v="A013"/>
    <x v="0"/>
    <n v="24"/>
    <n v="6.7"/>
    <x v="1"/>
    <s v="No"/>
    <s v="No"/>
    <n v="5"/>
    <s v="Closed"/>
    <s v="August"/>
    <x v="7"/>
    <n v="2026"/>
    <s v="Yes"/>
    <n v="1"/>
    <x v="1"/>
    <n v="1"/>
  </r>
  <r>
    <s v="T005167"/>
    <x v="4950"/>
    <d v="2026-08-22T12:35:00"/>
    <x v="1"/>
    <s v="Chat"/>
    <x v="0"/>
    <s v="A043"/>
    <x v="1"/>
    <n v="72"/>
    <n v="4.9000000000000004"/>
    <x v="1"/>
    <s v="No"/>
    <s v="No"/>
    <n v="5"/>
    <s v="Closed"/>
    <s v="August"/>
    <x v="7"/>
    <n v="2026"/>
    <s v="Yes"/>
    <n v="1"/>
    <x v="0"/>
    <n v="1"/>
  </r>
  <r>
    <s v="T005168"/>
    <x v="4951"/>
    <d v="2026-08-23T03:40:00"/>
    <x v="0"/>
    <s v="Field Visit"/>
    <x v="0"/>
    <s v="A046"/>
    <x v="1"/>
    <n v="72"/>
    <n v="18.7"/>
    <x v="1"/>
    <s v="No"/>
    <s v="No"/>
    <m/>
    <s v="Closed"/>
    <s v="August"/>
    <x v="7"/>
    <n v="2026"/>
    <s v="Yes"/>
    <n v="1"/>
    <x v="0"/>
    <n v="1"/>
  </r>
  <r>
    <s v="T005169"/>
    <x v="4952"/>
    <d v="2026-08-22T14:11:00"/>
    <x v="6"/>
    <s v="Chat"/>
    <x v="2"/>
    <s v="A054"/>
    <x v="1"/>
    <n v="4"/>
    <n v="2.6"/>
    <x v="1"/>
    <s v="No"/>
    <s v="No"/>
    <m/>
    <s v="Closed"/>
    <s v="August"/>
    <x v="7"/>
    <n v="2026"/>
    <s v="Yes"/>
    <n v="1"/>
    <x v="0"/>
    <n v="1"/>
  </r>
  <r>
    <s v="T005170"/>
    <x v="4953"/>
    <d v="2026-08-22T17:51:00"/>
    <x v="6"/>
    <s v="Field Visit"/>
    <x v="2"/>
    <s v="A044"/>
    <x v="1"/>
    <n v="4"/>
    <n v="5.9"/>
    <x v="1"/>
    <s v="No"/>
    <s v="No"/>
    <n v="5"/>
    <s v="Closed"/>
    <s v="August"/>
    <x v="7"/>
    <n v="2026"/>
    <s v="No"/>
    <n v="0"/>
    <x v="1"/>
    <n v="1"/>
  </r>
  <r>
    <s v="T005171"/>
    <x v="4954"/>
    <d v="2026-08-22T21:23:00"/>
    <x v="6"/>
    <s v="Field Visit"/>
    <x v="2"/>
    <s v="A060"/>
    <x v="1"/>
    <n v="4"/>
    <n v="8.8000000000000007"/>
    <x v="1"/>
    <s v="No"/>
    <s v="No"/>
    <n v="5"/>
    <s v="Closed"/>
    <s v="August"/>
    <x v="7"/>
    <n v="2026"/>
    <s v="No"/>
    <n v="0"/>
    <x v="3"/>
    <n v="1"/>
  </r>
  <r>
    <s v="T005172"/>
    <x v="4955"/>
    <d v="2026-08-22T19:25:00"/>
    <x v="5"/>
    <s v="Phone"/>
    <x v="0"/>
    <s v="A012"/>
    <x v="0"/>
    <n v="72"/>
    <n v="6.2"/>
    <x v="0"/>
    <s v="Yes"/>
    <s v="No"/>
    <m/>
    <s v="Closed"/>
    <s v="August"/>
    <x v="7"/>
    <n v="2026"/>
    <s v="Yes"/>
    <n v="1"/>
    <x v="1"/>
    <n v="0"/>
  </r>
  <r>
    <s v="T005173"/>
    <x v="4956"/>
    <d v="2026-08-23T22:10:00"/>
    <x v="2"/>
    <s v="Email"/>
    <x v="1"/>
    <s v="A013"/>
    <x v="0"/>
    <n v="24"/>
    <n v="32.6"/>
    <x v="1"/>
    <s v="No"/>
    <s v="No"/>
    <n v="5"/>
    <s v="Closed"/>
    <s v="August"/>
    <x v="7"/>
    <n v="2026"/>
    <s v="No"/>
    <n v="0"/>
    <x v="1"/>
    <n v="1"/>
  </r>
  <r>
    <s v="T005174"/>
    <x v="4957"/>
    <d v="2026-08-23T04:03:00"/>
    <x v="1"/>
    <s v="Phone"/>
    <x v="1"/>
    <s v="A012"/>
    <x v="0"/>
    <n v="24"/>
    <n v="13.8"/>
    <x v="0"/>
    <s v="No"/>
    <s v="Yes"/>
    <n v="3"/>
    <s v="Closed"/>
    <s v="August"/>
    <x v="7"/>
    <n v="2026"/>
    <s v="Yes"/>
    <n v="1"/>
    <x v="4"/>
    <n v="0"/>
  </r>
  <r>
    <s v="T005175"/>
    <x v="4958"/>
    <d v="2026-08-22T19:52:00"/>
    <x v="1"/>
    <s v="Phone"/>
    <x v="0"/>
    <s v="A036"/>
    <x v="1"/>
    <n v="72"/>
    <n v="4.2"/>
    <x v="1"/>
    <s v="No"/>
    <s v="No"/>
    <n v="4"/>
    <s v="Closed"/>
    <s v="August"/>
    <x v="7"/>
    <n v="2026"/>
    <s v="Yes"/>
    <n v="1"/>
    <x v="4"/>
    <n v="1"/>
  </r>
  <r>
    <s v="T005176"/>
    <x v="4959"/>
    <d v="2026-08-24T11:49:00"/>
    <x v="4"/>
    <s v="Phone"/>
    <x v="1"/>
    <s v="A009"/>
    <x v="0"/>
    <n v="24"/>
    <n v="43.2"/>
    <x v="0"/>
    <s v="No"/>
    <s v="No"/>
    <n v="3"/>
    <s v="Closed"/>
    <s v="August"/>
    <x v="7"/>
    <n v="2026"/>
    <s v="No"/>
    <n v="0"/>
    <x v="2"/>
    <n v="0"/>
  </r>
  <r>
    <s v="T005177"/>
    <x v="4960"/>
    <d v="2026-08-23T19:56:00"/>
    <x v="3"/>
    <s v="Chat"/>
    <x v="0"/>
    <s v="A048"/>
    <x v="1"/>
    <n v="72"/>
    <n v="27.2"/>
    <x v="1"/>
    <s v="No"/>
    <s v="No"/>
    <n v="5"/>
    <s v="Closed"/>
    <s v="August"/>
    <x v="7"/>
    <n v="2026"/>
    <s v="Yes"/>
    <n v="1"/>
    <x v="3"/>
    <n v="1"/>
  </r>
  <r>
    <s v="T005178"/>
    <x v="4961"/>
    <d v="2026-08-22T20:42:00"/>
    <x v="5"/>
    <s v="Phone"/>
    <x v="1"/>
    <s v="A021"/>
    <x v="2"/>
    <n v="24"/>
    <n v="3.4"/>
    <x v="0"/>
    <s v="No"/>
    <s v="No"/>
    <n v="5"/>
    <s v="Closed"/>
    <s v="August"/>
    <x v="7"/>
    <n v="2026"/>
    <s v="Yes"/>
    <n v="1"/>
    <x v="4"/>
    <n v="0"/>
  </r>
  <r>
    <s v="T005179"/>
    <x v="4962"/>
    <d v="2026-08-23T04:07:00"/>
    <x v="0"/>
    <s v="Phone"/>
    <x v="2"/>
    <s v="A032"/>
    <x v="2"/>
    <n v="4"/>
    <n v="9.5"/>
    <x v="1"/>
    <s v="No"/>
    <s v="Yes"/>
    <n v="5"/>
    <s v="Closed"/>
    <s v="August"/>
    <x v="7"/>
    <n v="2026"/>
    <s v="No"/>
    <n v="0"/>
    <x v="0"/>
    <n v="1"/>
  </r>
  <r>
    <s v="T005180"/>
    <x v="4963"/>
    <d v="2026-08-23T00:06:00"/>
    <x v="6"/>
    <s v="Phone"/>
    <x v="0"/>
    <s v="A057"/>
    <x v="1"/>
    <n v="72"/>
    <n v="5.0999999999999996"/>
    <x v="0"/>
    <s v="No"/>
    <s v="No"/>
    <n v="5"/>
    <s v="Closed"/>
    <s v="August"/>
    <x v="7"/>
    <n v="2026"/>
    <s v="Yes"/>
    <n v="1"/>
    <x v="0"/>
    <n v="0"/>
  </r>
  <r>
    <s v="T005181"/>
    <x v="4964"/>
    <d v="2026-08-23T01:45:00"/>
    <x v="6"/>
    <s v="Chat"/>
    <x v="2"/>
    <s v="A057"/>
    <x v="1"/>
    <n v="4"/>
    <n v="5.5"/>
    <x v="1"/>
    <s v="No"/>
    <s v="No"/>
    <n v="5"/>
    <s v="Closed"/>
    <s v="August"/>
    <x v="7"/>
    <n v="2026"/>
    <s v="No"/>
    <n v="0"/>
    <x v="0"/>
    <n v="1"/>
  </r>
  <r>
    <s v="T005182"/>
    <x v="4965"/>
    <d v="2026-08-24T11:00:00"/>
    <x v="3"/>
    <s v="Phone"/>
    <x v="1"/>
    <s v="A025"/>
    <x v="2"/>
    <n v="24"/>
    <n v="37"/>
    <x v="1"/>
    <s v="No"/>
    <s v="No"/>
    <m/>
    <s v="Closed"/>
    <s v="August"/>
    <x v="7"/>
    <n v="2026"/>
    <s v="No"/>
    <n v="0"/>
    <x v="3"/>
    <n v="1"/>
  </r>
  <r>
    <s v="T005183"/>
    <x v="4966"/>
    <d v="2026-08-23T23:50:00"/>
    <x v="0"/>
    <s v="Chat"/>
    <x v="1"/>
    <s v="A008"/>
    <x v="0"/>
    <n v="24"/>
    <n v="21"/>
    <x v="1"/>
    <s v="No"/>
    <s v="No"/>
    <n v="4"/>
    <s v="Closed"/>
    <s v="August"/>
    <x v="7"/>
    <n v="2026"/>
    <s v="Yes"/>
    <n v="1"/>
    <x v="4"/>
    <n v="1"/>
  </r>
  <r>
    <s v="T005184"/>
    <x v="4967"/>
    <d v="2026-08-23T11:27:00"/>
    <x v="1"/>
    <s v="Phone"/>
    <x v="1"/>
    <s v="A009"/>
    <x v="0"/>
    <n v="24"/>
    <n v="6.4"/>
    <x v="0"/>
    <s v="Yes"/>
    <s v="No"/>
    <n v="3"/>
    <s v="Closed"/>
    <s v="August"/>
    <x v="7"/>
    <n v="2026"/>
    <s v="Yes"/>
    <n v="1"/>
    <x v="3"/>
    <n v="0"/>
  </r>
  <r>
    <s v="T005185"/>
    <x v="4968"/>
    <d v="2026-08-24T03:46:00"/>
    <x v="2"/>
    <s v="Chat"/>
    <x v="1"/>
    <s v="A027"/>
    <x v="2"/>
    <n v="24"/>
    <n v="22.5"/>
    <x v="0"/>
    <s v="Yes"/>
    <s v="No"/>
    <n v="3"/>
    <s v="Closed"/>
    <s v="August"/>
    <x v="7"/>
    <n v="2026"/>
    <s v="Yes"/>
    <n v="1"/>
    <x v="1"/>
    <n v="0"/>
  </r>
  <r>
    <s v="T005186"/>
    <x v="4969"/>
    <d v="2026-08-23T23:35:00"/>
    <x v="0"/>
    <s v="Phone"/>
    <x v="1"/>
    <s v="A042"/>
    <x v="1"/>
    <n v="24"/>
    <n v="17.399999999999999"/>
    <x v="1"/>
    <s v="No"/>
    <s v="No"/>
    <n v="5"/>
    <s v="Closed"/>
    <s v="August"/>
    <x v="7"/>
    <n v="2026"/>
    <s v="Yes"/>
    <n v="1"/>
    <x v="4"/>
    <n v="1"/>
  </r>
  <r>
    <s v="T005187"/>
    <x v="4970"/>
    <d v="2026-08-26T06:45:00"/>
    <x v="4"/>
    <s v="Chat"/>
    <x v="1"/>
    <s v="A020"/>
    <x v="2"/>
    <n v="24"/>
    <n v="72.400000000000006"/>
    <x v="1"/>
    <s v="No"/>
    <s v="No"/>
    <n v="5"/>
    <s v="Closed"/>
    <s v="August"/>
    <x v="7"/>
    <n v="2026"/>
    <s v="No"/>
    <n v="0"/>
    <x v="0"/>
    <n v="1"/>
  </r>
  <r>
    <s v="T005188"/>
    <x v="4971"/>
    <d v="2026-08-24T04:46:00"/>
    <x v="6"/>
    <s v="Field Visit"/>
    <x v="2"/>
    <s v="A016"/>
    <x v="2"/>
    <n v="4"/>
    <n v="20.100000000000001"/>
    <x v="1"/>
    <s v="No"/>
    <s v="No"/>
    <n v="4"/>
    <s v="Closed"/>
    <s v="August"/>
    <x v="7"/>
    <n v="2026"/>
    <s v="No"/>
    <n v="0"/>
    <x v="1"/>
    <n v="1"/>
  </r>
  <r>
    <s v="T005189"/>
    <x v="4972"/>
    <d v="2026-08-24T03:31:00"/>
    <x v="3"/>
    <s v="Phone"/>
    <x v="1"/>
    <s v="A002"/>
    <x v="0"/>
    <n v="24"/>
    <n v="18.7"/>
    <x v="0"/>
    <s v="Yes"/>
    <s v="No"/>
    <n v="5"/>
    <s v="Closed"/>
    <s v="August"/>
    <x v="7"/>
    <n v="2026"/>
    <s v="Yes"/>
    <n v="1"/>
    <x v="3"/>
    <n v="0"/>
  </r>
  <r>
    <s v="T005190"/>
    <x v="4973"/>
    <d v="2026-08-23T12:43:00"/>
    <x v="1"/>
    <s v="Chat"/>
    <x v="1"/>
    <s v="A018"/>
    <x v="2"/>
    <n v="24"/>
    <n v="3.6"/>
    <x v="1"/>
    <s v="No"/>
    <s v="No"/>
    <n v="5"/>
    <s v="Closed"/>
    <s v="August"/>
    <x v="7"/>
    <n v="2026"/>
    <s v="Yes"/>
    <n v="1"/>
    <x v="1"/>
    <n v="1"/>
  </r>
  <r>
    <s v="T005191"/>
    <x v="4974"/>
    <d v="2026-08-24T02:56:00"/>
    <x v="0"/>
    <s v="Email"/>
    <x v="0"/>
    <s v="A056"/>
    <x v="1"/>
    <n v="72"/>
    <n v="17.100000000000001"/>
    <x v="1"/>
    <s v="No"/>
    <s v="No"/>
    <m/>
    <s v="Closed"/>
    <s v="August"/>
    <x v="7"/>
    <n v="2026"/>
    <s v="Yes"/>
    <n v="1"/>
    <x v="3"/>
    <n v="1"/>
  </r>
  <r>
    <s v="T005192"/>
    <x v="4975"/>
    <d v="2026-08-23T17:02:00"/>
    <x v="1"/>
    <s v="Email"/>
    <x v="0"/>
    <s v="A014"/>
    <x v="0"/>
    <n v="72"/>
    <n v="7.1"/>
    <x v="0"/>
    <s v="No"/>
    <s v="No"/>
    <m/>
    <s v="Closed"/>
    <s v="August"/>
    <x v="7"/>
    <n v="2026"/>
    <s v="Yes"/>
    <n v="1"/>
    <x v="3"/>
    <n v="0"/>
  </r>
  <r>
    <s v="T005193"/>
    <x v="4976"/>
    <d v="2026-08-23T23:49:00"/>
    <x v="0"/>
    <s v="Chat"/>
    <x v="1"/>
    <s v="A003"/>
    <x v="0"/>
    <n v="24"/>
    <n v="13.4"/>
    <x v="1"/>
    <s v="No"/>
    <s v="No"/>
    <m/>
    <s v="Closed"/>
    <s v="August"/>
    <x v="7"/>
    <n v="2026"/>
    <s v="Yes"/>
    <n v="1"/>
    <x v="3"/>
    <n v="1"/>
  </r>
  <r>
    <s v="T005194"/>
    <x v="4977"/>
    <d v="2026-08-23T21:24:00"/>
    <x v="0"/>
    <s v="Chat"/>
    <x v="0"/>
    <s v="A028"/>
    <x v="2"/>
    <n v="72"/>
    <n v="10.9"/>
    <x v="1"/>
    <s v="No"/>
    <s v="No"/>
    <n v="5"/>
    <s v="Closed"/>
    <s v="August"/>
    <x v="7"/>
    <n v="2026"/>
    <s v="Yes"/>
    <n v="1"/>
    <x v="4"/>
    <n v="1"/>
  </r>
  <r>
    <s v="T005195"/>
    <x v="4978"/>
    <d v="2026-08-24T20:27:00"/>
    <x v="3"/>
    <s v="Field Visit"/>
    <x v="0"/>
    <s v="A012"/>
    <x v="0"/>
    <n v="72"/>
    <n v="33.700000000000003"/>
    <x v="0"/>
    <s v="No"/>
    <s v="No"/>
    <n v="5"/>
    <s v="Closed"/>
    <s v="August"/>
    <x v="7"/>
    <n v="2026"/>
    <s v="Yes"/>
    <n v="1"/>
    <x v="0"/>
    <n v="0"/>
  </r>
  <r>
    <s v="T005196"/>
    <x v="4979"/>
    <d v="2026-08-27T01:14:00"/>
    <x v="4"/>
    <s v="Field Visit"/>
    <x v="1"/>
    <s v="A051"/>
    <x v="1"/>
    <n v="24"/>
    <n v="86.3"/>
    <x v="1"/>
    <s v="No"/>
    <s v="No"/>
    <m/>
    <s v="Closed"/>
    <s v="August"/>
    <x v="7"/>
    <n v="2026"/>
    <s v="No"/>
    <n v="0"/>
    <x v="2"/>
    <n v="1"/>
  </r>
  <r>
    <s v="T005197"/>
    <x v="4980"/>
    <d v="2026-08-24T04:57:00"/>
    <x v="3"/>
    <s v="Phone"/>
    <x v="0"/>
    <s v="A025"/>
    <x v="2"/>
    <n v="72"/>
    <n v="16.600000000000001"/>
    <x v="1"/>
    <s v="No"/>
    <s v="No"/>
    <n v="5"/>
    <s v="Closed"/>
    <s v="August"/>
    <x v="7"/>
    <n v="2026"/>
    <s v="Yes"/>
    <n v="1"/>
    <x v="1"/>
    <n v="1"/>
  </r>
  <r>
    <s v="T005198"/>
    <x v="4981"/>
    <d v="2026-08-26T13:10:00"/>
    <x v="0"/>
    <s v="Email"/>
    <x v="1"/>
    <s v="A015"/>
    <x v="0"/>
    <n v="24"/>
    <n v="71.900000000000006"/>
    <x v="1"/>
    <s v="No"/>
    <s v="No"/>
    <n v="5"/>
    <s v="Closed"/>
    <s v="August"/>
    <x v="7"/>
    <n v="2026"/>
    <s v="No"/>
    <n v="0"/>
    <x v="3"/>
    <n v="1"/>
  </r>
  <r>
    <s v="T005199"/>
    <x v="4982"/>
    <d v="2026-08-24T02:51:00"/>
    <x v="6"/>
    <s v="Phone"/>
    <x v="2"/>
    <s v="A058"/>
    <x v="1"/>
    <n v="4"/>
    <n v="12.1"/>
    <x v="1"/>
    <s v="No"/>
    <s v="No"/>
    <n v="4"/>
    <s v="Closed"/>
    <s v="August"/>
    <x v="7"/>
    <n v="2026"/>
    <s v="No"/>
    <n v="0"/>
    <x v="4"/>
    <n v="1"/>
  </r>
  <r>
    <s v="T005200"/>
    <x v="4983"/>
    <d v="2026-08-25T15:04:00"/>
    <x v="3"/>
    <s v="Field Visit"/>
    <x v="1"/>
    <s v="A042"/>
    <x v="1"/>
    <n v="24"/>
    <n v="48.3"/>
    <x v="0"/>
    <s v="Yes"/>
    <s v="No"/>
    <n v="3"/>
    <s v="Closed"/>
    <s v="August"/>
    <x v="7"/>
    <n v="2026"/>
    <s v="No"/>
    <n v="0"/>
    <x v="2"/>
    <n v="0"/>
  </r>
  <r>
    <s v="T005201"/>
    <x v="4984"/>
    <d v="2026-08-24T04:06:00"/>
    <x v="6"/>
    <s v="Phone"/>
    <x v="1"/>
    <s v="A053"/>
    <x v="1"/>
    <n v="24"/>
    <n v="12.6"/>
    <x v="0"/>
    <s v="Yes"/>
    <s v="No"/>
    <n v="3"/>
    <s v="Closed"/>
    <s v="August"/>
    <x v="7"/>
    <n v="2026"/>
    <s v="Yes"/>
    <n v="1"/>
    <x v="3"/>
    <n v="0"/>
  </r>
  <r>
    <s v="T005202"/>
    <x v="4985"/>
    <d v="2026-08-24T00:30:00"/>
    <x v="6"/>
    <s v="Phone"/>
    <x v="2"/>
    <s v="A029"/>
    <x v="2"/>
    <n v="4"/>
    <n v="8.6"/>
    <x v="1"/>
    <s v="No"/>
    <s v="No"/>
    <m/>
    <s v="Closed"/>
    <s v="August"/>
    <x v="7"/>
    <n v="2026"/>
    <s v="No"/>
    <n v="0"/>
    <x v="1"/>
    <n v="1"/>
  </r>
  <r>
    <s v="T005203"/>
    <x v="4986"/>
    <d v="2026-08-23T18:37:00"/>
    <x v="6"/>
    <s v="Phone"/>
    <x v="1"/>
    <s v="A035"/>
    <x v="2"/>
    <n v="24"/>
    <n v="2.6"/>
    <x v="1"/>
    <s v="No"/>
    <s v="No"/>
    <m/>
    <s v="Closed"/>
    <s v="August"/>
    <x v="7"/>
    <n v="2026"/>
    <s v="Yes"/>
    <n v="1"/>
    <x v="0"/>
    <n v="1"/>
  </r>
  <r>
    <s v="T005204"/>
    <x v="4987"/>
    <d v="2026-08-28T13:49:00"/>
    <x v="4"/>
    <s v="Field Visit"/>
    <x v="0"/>
    <s v="A004"/>
    <x v="0"/>
    <n v="72"/>
    <n v="117.6"/>
    <x v="1"/>
    <s v="No"/>
    <s v="No"/>
    <n v="4"/>
    <s v="Closed"/>
    <s v="August"/>
    <x v="7"/>
    <n v="2026"/>
    <s v="No"/>
    <n v="0"/>
    <x v="4"/>
    <n v="1"/>
  </r>
  <r>
    <s v="T005205"/>
    <x v="4988"/>
    <d v="2026-08-23T23:14:00"/>
    <x v="6"/>
    <s v="Chat"/>
    <x v="2"/>
    <s v="A021"/>
    <x v="2"/>
    <n v="4"/>
    <n v="6.6"/>
    <x v="1"/>
    <s v="No"/>
    <s v="Yes"/>
    <n v="3"/>
    <s v="Closed"/>
    <s v="August"/>
    <x v="7"/>
    <n v="2026"/>
    <s v="No"/>
    <n v="0"/>
    <x v="4"/>
    <n v="1"/>
  </r>
  <r>
    <s v="T005206"/>
    <x v="4989"/>
    <d v="2026-08-26T10:19:00"/>
    <x v="0"/>
    <s v="Email"/>
    <x v="0"/>
    <s v="A056"/>
    <x v="1"/>
    <n v="72"/>
    <n v="64.400000000000006"/>
    <x v="1"/>
    <s v="No"/>
    <s v="No"/>
    <m/>
    <s v="Closed"/>
    <s v="August"/>
    <x v="7"/>
    <n v="2026"/>
    <s v="Yes"/>
    <n v="1"/>
    <x v="4"/>
    <n v="1"/>
  </r>
  <r>
    <s v="T005207"/>
    <x v="4990"/>
    <d v="2026-08-27T03:12:00"/>
    <x v="3"/>
    <s v="Email"/>
    <x v="1"/>
    <s v="A019"/>
    <x v="2"/>
    <n v="24"/>
    <n v="80.099999999999994"/>
    <x v="1"/>
    <s v="No"/>
    <s v="No"/>
    <n v="4"/>
    <s v="Closed"/>
    <s v="August"/>
    <x v="7"/>
    <n v="2026"/>
    <s v="No"/>
    <n v="0"/>
    <x v="2"/>
    <n v="1"/>
  </r>
  <r>
    <s v="T005208"/>
    <x v="4991"/>
    <d v="2026-08-26T15:26:00"/>
    <x v="4"/>
    <s v="Field Visit"/>
    <x v="1"/>
    <s v="A040"/>
    <x v="1"/>
    <n v="24"/>
    <n v="65.599999999999994"/>
    <x v="1"/>
    <s v="No"/>
    <s v="No"/>
    <m/>
    <s v="Closed"/>
    <s v="August"/>
    <x v="7"/>
    <n v="2026"/>
    <s v="No"/>
    <n v="0"/>
    <x v="1"/>
    <n v="1"/>
  </r>
  <r>
    <s v="T005209"/>
    <x v="4992"/>
    <d v="2026-08-30T22:28:00"/>
    <x v="4"/>
    <s v="Field Visit"/>
    <x v="0"/>
    <s v="A049"/>
    <x v="1"/>
    <n v="72"/>
    <n v="167.4"/>
    <x v="1"/>
    <s v="No"/>
    <s v="No"/>
    <m/>
    <s v="Closed"/>
    <s v="August"/>
    <x v="7"/>
    <n v="2026"/>
    <s v="No"/>
    <n v="0"/>
    <x v="0"/>
    <n v="1"/>
  </r>
  <r>
    <s v="T005210"/>
    <x v="4993"/>
    <d v="2026-08-25T07:18:00"/>
    <x v="0"/>
    <s v="Email"/>
    <x v="2"/>
    <s v="A012"/>
    <x v="0"/>
    <n v="4"/>
    <n v="25.5"/>
    <x v="1"/>
    <s v="No"/>
    <s v="Yes"/>
    <n v="4"/>
    <s v="Closed"/>
    <s v="August"/>
    <x v="7"/>
    <n v="2026"/>
    <s v="No"/>
    <n v="0"/>
    <x v="4"/>
    <n v="1"/>
  </r>
  <r>
    <s v="T005211"/>
    <x v="4994"/>
    <d v="2026-08-24T14:53:00"/>
    <x v="0"/>
    <s v="Phone"/>
    <x v="0"/>
    <s v="A048"/>
    <x v="1"/>
    <n v="72"/>
    <n v="8.6"/>
    <x v="1"/>
    <s v="No"/>
    <s v="No"/>
    <m/>
    <s v="Closed"/>
    <s v="August"/>
    <x v="7"/>
    <n v="2026"/>
    <s v="Yes"/>
    <n v="1"/>
    <x v="3"/>
    <n v="1"/>
  </r>
  <r>
    <s v="T005212"/>
    <x v="4995"/>
    <d v="2026-08-25T20:50:00"/>
    <x v="0"/>
    <s v="Email"/>
    <x v="0"/>
    <s v="A010"/>
    <x v="0"/>
    <n v="72"/>
    <n v="38"/>
    <x v="0"/>
    <s v="Yes"/>
    <s v="No"/>
    <m/>
    <s v="Closed"/>
    <s v="August"/>
    <x v="7"/>
    <n v="2026"/>
    <s v="Yes"/>
    <n v="1"/>
    <x v="4"/>
    <n v="0"/>
  </r>
  <r>
    <s v="T005213"/>
    <x v="4996"/>
    <d v="2026-08-24T11:49:00"/>
    <x v="1"/>
    <s v="Phone"/>
    <x v="0"/>
    <s v="A055"/>
    <x v="1"/>
    <n v="72"/>
    <n v="3.8"/>
    <x v="0"/>
    <s v="Yes"/>
    <s v="No"/>
    <n v="4"/>
    <s v="Closed"/>
    <s v="August"/>
    <x v="7"/>
    <n v="2026"/>
    <s v="Yes"/>
    <n v="1"/>
    <x v="0"/>
    <n v="0"/>
  </r>
  <r>
    <s v="T005214"/>
    <x v="4997"/>
    <d v="2026-08-24T15:21:00"/>
    <x v="2"/>
    <s v="Chat"/>
    <x v="1"/>
    <s v="A027"/>
    <x v="2"/>
    <n v="24"/>
    <n v="4.2"/>
    <x v="0"/>
    <s v="No"/>
    <s v="No"/>
    <m/>
    <s v="Closed"/>
    <s v="August"/>
    <x v="7"/>
    <n v="2026"/>
    <s v="Yes"/>
    <n v="1"/>
    <x v="2"/>
    <n v="0"/>
  </r>
  <r>
    <s v="T005215"/>
    <x v="4998"/>
    <d v="2026-08-25T15:29:00"/>
    <x v="0"/>
    <s v="Field Visit"/>
    <x v="1"/>
    <s v="A013"/>
    <x v="0"/>
    <n v="24"/>
    <n v="28.3"/>
    <x v="1"/>
    <s v="No"/>
    <s v="Yes"/>
    <n v="5"/>
    <s v="Closed"/>
    <s v="August"/>
    <x v="7"/>
    <n v="2026"/>
    <s v="No"/>
    <n v="0"/>
    <x v="3"/>
    <n v="1"/>
  </r>
  <r>
    <s v="T005216"/>
    <x v="4999"/>
    <d v="2026-08-25T03:51:00"/>
    <x v="5"/>
    <s v="Field Visit"/>
    <x v="1"/>
    <s v="A029"/>
    <x v="2"/>
    <n v="24"/>
    <n v="15.6"/>
    <x v="1"/>
    <s v="No"/>
    <s v="No"/>
    <n v="4"/>
    <s v="Closed"/>
    <s v="August"/>
    <x v="7"/>
    <n v="2026"/>
    <s v="Yes"/>
    <n v="1"/>
    <x v="4"/>
    <n v="1"/>
  </r>
  <r>
    <s v="T005217"/>
    <x v="5000"/>
    <d v="2026-08-24T18:49:00"/>
    <x v="1"/>
    <s v="Phone"/>
    <x v="0"/>
    <s v="A033"/>
    <x v="2"/>
    <n v="72"/>
    <n v="6.3"/>
    <x v="1"/>
    <s v="No"/>
    <s v="No"/>
    <m/>
    <s v="Closed"/>
    <s v="August"/>
    <x v="7"/>
    <n v="2026"/>
    <s v="Yes"/>
    <n v="1"/>
    <x v="2"/>
    <n v="1"/>
  </r>
  <r>
    <s v="T005218"/>
    <x v="5001"/>
    <d v="2026-08-24T14:16:00"/>
    <x v="6"/>
    <s v="Phone"/>
    <x v="1"/>
    <s v="A047"/>
    <x v="1"/>
    <n v="24"/>
    <n v="1.6"/>
    <x v="1"/>
    <s v="No"/>
    <s v="No"/>
    <n v="5"/>
    <s v="Closed"/>
    <s v="August"/>
    <x v="7"/>
    <n v="2026"/>
    <s v="Yes"/>
    <n v="1"/>
    <x v="1"/>
    <n v="1"/>
  </r>
  <r>
    <s v="T005219"/>
    <x v="5002"/>
    <d v="2026-09-06T05:14:00"/>
    <x v="4"/>
    <s v="Field Visit"/>
    <x v="1"/>
    <s v="A015"/>
    <x v="0"/>
    <n v="24"/>
    <n v="304.10000000000002"/>
    <x v="1"/>
    <s v="No"/>
    <s v="No"/>
    <n v="4"/>
    <s v="Closed"/>
    <s v="August"/>
    <x v="7"/>
    <n v="2026"/>
    <s v="No"/>
    <n v="0"/>
    <x v="1"/>
    <n v="1"/>
  </r>
  <r>
    <s v="T005220"/>
    <x v="5003"/>
    <d v="2026-08-24T16:24:00"/>
    <x v="6"/>
    <s v="Phone"/>
    <x v="2"/>
    <s v="A020"/>
    <x v="2"/>
    <n v="4"/>
    <n v="2.8"/>
    <x v="0"/>
    <s v="Yes"/>
    <s v="Yes"/>
    <n v="2"/>
    <s v="Closed"/>
    <s v="August"/>
    <x v="7"/>
    <n v="2026"/>
    <s v="Yes"/>
    <n v="1"/>
    <x v="2"/>
    <n v="0"/>
  </r>
  <r>
    <s v="T005221"/>
    <x v="5004"/>
    <d v="2026-08-26T02:50:00"/>
    <x v="4"/>
    <s v="Phone"/>
    <x v="1"/>
    <s v="A060"/>
    <x v="1"/>
    <n v="24"/>
    <n v="35.6"/>
    <x v="0"/>
    <s v="Yes"/>
    <s v="No"/>
    <n v="3"/>
    <s v="Closed"/>
    <s v="August"/>
    <x v="7"/>
    <n v="2026"/>
    <s v="No"/>
    <n v="0"/>
    <x v="2"/>
    <n v="0"/>
  </r>
  <r>
    <s v="T005222"/>
    <x v="5005"/>
    <d v="2026-08-25T05:06:00"/>
    <x v="5"/>
    <s v="Phone"/>
    <x v="1"/>
    <s v="A040"/>
    <x v="1"/>
    <n v="24"/>
    <n v="13.5"/>
    <x v="0"/>
    <s v="Yes"/>
    <s v="No"/>
    <n v="4"/>
    <s v="Closed"/>
    <s v="August"/>
    <x v="7"/>
    <n v="2026"/>
    <s v="Yes"/>
    <n v="1"/>
    <x v="2"/>
    <n v="0"/>
  </r>
  <r>
    <s v="T005223"/>
    <x v="5006"/>
    <d v="2026-08-27T23:18:00"/>
    <x v="3"/>
    <s v="Field Visit"/>
    <x v="2"/>
    <s v="A019"/>
    <x v="2"/>
    <n v="4"/>
    <n v="78.599999999999994"/>
    <x v="0"/>
    <s v="Yes"/>
    <s v="Yes"/>
    <m/>
    <s v="Closed"/>
    <s v="August"/>
    <x v="7"/>
    <n v="2026"/>
    <s v="No"/>
    <n v="0"/>
    <x v="4"/>
    <n v="0"/>
  </r>
  <r>
    <s v="T005224"/>
    <x v="5007"/>
    <d v="2026-08-25T00:52:00"/>
    <x v="6"/>
    <s v="Chat"/>
    <x v="1"/>
    <s v="A014"/>
    <x v="0"/>
    <n v="24"/>
    <n v="7.6"/>
    <x v="1"/>
    <s v="No"/>
    <s v="No"/>
    <n v="5"/>
    <s v="Closed"/>
    <s v="August"/>
    <x v="7"/>
    <n v="2026"/>
    <s v="Yes"/>
    <n v="1"/>
    <x v="4"/>
    <n v="1"/>
  </r>
  <r>
    <s v="T005225"/>
    <x v="5008"/>
    <d v="2026-08-24T19:26:00"/>
    <x v="1"/>
    <s v="Chat"/>
    <x v="1"/>
    <s v="A036"/>
    <x v="1"/>
    <n v="24"/>
    <n v="1.4"/>
    <x v="1"/>
    <s v="No"/>
    <s v="No"/>
    <n v="3"/>
    <s v="Closed"/>
    <s v="August"/>
    <x v="7"/>
    <n v="2026"/>
    <s v="Yes"/>
    <n v="1"/>
    <x v="4"/>
    <n v="1"/>
  </r>
  <r>
    <s v="T005226"/>
    <x v="5009"/>
    <d v="2026-08-25T08:51:00"/>
    <x v="5"/>
    <s v="Field Visit"/>
    <x v="0"/>
    <s v="A042"/>
    <x v="1"/>
    <n v="72"/>
    <n v="14.3"/>
    <x v="1"/>
    <s v="No"/>
    <s v="No"/>
    <n v="3"/>
    <s v="Closed"/>
    <s v="August"/>
    <x v="7"/>
    <n v="2026"/>
    <s v="Yes"/>
    <n v="1"/>
    <x v="2"/>
    <n v="1"/>
  </r>
  <r>
    <s v="T005227"/>
    <x v="5010"/>
    <d v="2026-08-25T02:25:00"/>
    <x v="1"/>
    <s v="Phone"/>
    <x v="0"/>
    <s v="A025"/>
    <x v="2"/>
    <n v="72"/>
    <n v="3.7"/>
    <x v="1"/>
    <s v="No"/>
    <s v="No"/>
    <n v="4"/>
    <s v="Closed"/>
    <s v="August"/>
    <x v="7"/>
    <n v="2026"/>
    <s v="Yes"/>
    <n v="1"/>
    <x v="1"/>
    <n v="1"/>
  </r>
  <r>
    <s v="T005228"/>
    <x v="5011"/>
    <d v="2026-08-25T09:41:00"/>
    <x v="1"/>
    <s v="Phone"/>
    <x v="1"/>
    <s v="A041"/>
    <x v="1"/>
    <n v="24"/>
    <n v="5.7"/>
    <x v="1"/>
    <s v="No"/>
    <s v="No"/>
    <n v="5"/>
    <s v="Closed"/>
    <s v="August"/>
    <x v="7"/>
    <n v="2026"/>
    <s v="Yes"/>
    <n v="1"/>
    <x v="2"/>
    <n v="1"/>
  </r>
  <r>
    <s v="T005229"/>
    <x v="5012"/>
    <d v="2026-09-03T16:11:00"/>
    <x v="4"/>
    <s v="Field Visit"/>
    <x v="1"/>
    <s v="A007"/>
    <x v="0"/>
    <n v="24"/>
    <n v="225.4"/>
    <x v="0"/>
    <s v="Yes"/>
    <s v="No"/>
    <m/>
    <s v="Closed"/>
    <s v="August"/>
    <x v="7"/>
    <n v="2026"/>
    <s v="No"/>
    <n v="0"/>
    <x v="1"/>
    <n v="0"/>
  </r>
  <r>
    <s v="T005230"/>
    <x v="5013"/>
    <d v="2026-08-26T00:35:00"/>
    <x v="5"/>
    <s v="Phone"/>
    <x v="1"/>
    <s v="A039"/>
    <x v="1"/>
    <n v="24"/>
    <n v="17.3"/>
    <x v="1"/>
    <s v="No"/>
    <s v="Yes"/>
    <n v="4"/>
    <s v="Closed"/>
    <s v="August"/>
    <x v="7"/>
    <n v="2026"/>
    <s v="Yes"/>
    <n v="1"/>
    <x v="4"/>
    <n v="1"/>
  </r>
  <r>
    <s v="T005231"/>
    <x v="5014"/>
    <d v="2026-08-25T15:36:00"/>
    <x v="1"/>
    <s v="Chat"/>
    <x v="1"/>
    <s v="A059"/>
    <x v="1"/>
    <n v="24"/>
    <n v="8.1999999999999993"/>
    <x v="0"/>
    <s v="Yes"/>
    <s v="No"/>
    <m/>
    <s v="Closed"/>
    <s v="August"/>
    <x v="7"/>
    <n v="2026"/>
    <s v="Yes"/>
    <n v="1"/>
    <x v="4"/>
    <n v="0"/>
  </r>
  <r>
    <s v="T005232"/>
    <x v="5015"/>
    <d v="2026-08-26T04:17:00"/>
    <x v="6"/>
    <s v="Field Visit"/>
    <x v="1"/>
    <s v="A014"/>
    <x v="0"/>
    <n v="24"/>
    <n v="20.5"/>
    <x v="1"/>
    <s v="No"/>
    <s v="No"/>
    <m/>
    <s v="Closed"/>
    <s v="August"/>
    <x v="7"/>
    <n v="2026"/>
    <s v="Yes"/>
    <n v="1"/>
    <x v="4"/>
    <n v="1"/>
  </r>
  <r>
    <s v="T005233"/>
    <x v="5016"/>
    <d v="2026-08-26T13:12:00"/>
    <x v="5"/>
    <s v="Field Visit"/>
    <x v="1"/>
    <s v="A038"/>
    <x v="1"/>
    <n v="24"/>
    <n v="27.8"/>
    <x v="0"/>
    <s v="Yes"/>
    <s v="No"/>
    <n v="4"/>
    <s v="Closed"/>
    <s v="August"/>
    <x v="7"/>
    <n v="2026"/>
    <s v="No"/>
    <n v="0"/>
    <x v="0"/>
    <n v="0"/>
  </r>
  <r>
    <s v="T005234"/>
    <x v="5017"/>
    <d v="2026-08-25T14:42:00"/>
    <x v="1"/>
    <s v="Chat"/>
    <x v="0"/>
    <s v="A054"/>
    <x v="1"/>
    <n v="72"/>
    <n v="4.3"/>
    <x v="1"/>
    <s v="No"/>
    <s v="No"/>
    <n v="4"/>
    <s v="Closed"/>
    <s v="August"/>
    <x v="7"/>
    <n v="2026"/>
    <s v="Yes"/>
    <n v="1"/>
    <x v="1"/>
    <n v="1"/>
  </r>
  <r>
    <s v="T005235"/>
    <x v="5018"/>
    <d v="2026-08-26T17:40:00"/>
    <x v="4"/>
    <s v="Phone"/>
    <x v="0"/>
    <s v="A022"/>
    <x v="2"/>
    <n v="72"/>
    <n v="31.1"/>
    <x v="1"/>
    <s v="No"/>
    <s v="No"/>
    <n v="5"/>
    <s v="Closed"/>
    <s v="August"/>
    <x v="7"/>
    <n v="2026"/>
    <s v="Yes"/>
    <n v="1"/>
    <x v="4"/>
    <n v="1"/>
  </r>
  <r>
    <s v="T005236"/>
    <x v="5019"/>
    <d v="2026-08-26T08:39:00"/>
    <x v="5"/>
    <s v="Email"/>
    <x v="0"/>
    <s v="A043"/>
    <x v="1"/>
    <n v="72"/>
    <n v="21.9"/>
    <x v="1"/>
    <s v="No"/>
    <s v="No"/>
    <m/>
    <s v="Closed"/>
    <s v="August"/>
    <x v="7"/>
    <n v="2026"/>
    <s v="Yes"/>
    <n v="1"/>
    <x v="1"/>
    <n v="1"/>
  </r>
  <r>
    <s v="T005237"/>
    <x v="5020"/>
    <d v="2026-08-25T19:38:00"/>
    <x v="0"/>
    <s v="Phone"/>
    <x v="2"/>
    <s v="A058"/>
    <x v="1"/>
    <n v="4"/>
    <n v="7.8"/>
    <x v="1"/>
    <s v="No"/>
    <s v="Yes"/>
    <n v="3"/>
    <s v="Closed"/>
    <s v="August"/>
    <x v="7"/>
    <n v="2026"/>
    <s v="No"/>
    <n v="0"/>
    <x v="3"/>
    <n v="1"/>
  </r>
  <r>
    <s v="T005238"/>
    <x v="5021"/>
    <d v="2026-08-25T19:10:00"/>
    <x v="1"/>
    <s v="Phone"/>
    <x v="1"/>
    <s v="A025"/>
    <x v="2"/>
    <n v="24"/>
    <n v="7.3"/>
    <x v="1"/>
    <s v="No"/>
    <s v="No"/>
    <n v="5"/>
    <s v="Closed"/>
    <s v="August"/>
    <x v="7"/>
    <n v="2026"/>
    <s v="Yes"/>
    <n v="1"/>
    <x v="3"/>
    <n v="1"/>
  </r>
  <r>
    <s v="T005239"/>
    <x v="5022"/>
    <d v="2026-08-25T19:44:00"/>
    <x v="0"/>
    <s v="Phone"/>
    <x v="2"/>
    <s v="A034"/>
    <x v="2"/>
    <n v="4"/>
    <n v="7.1"/>
    <x v="1"/>
    <s v="No"/>
    <s v="Yes"/>
    <n v="4"/>
    <s v="Closed"/>
    <s v="August"/>
    <x v="7"/>
    <n v="2026"/>
    <s v="No"/>
    <n v="0"/>
    <x v="1"/>
    <n v="1"/>
  </r>
  <r>
    <s v="T005240"/>
    <x v="5023"/>
    <d v="2026-08-25T20:36:00"/>
    <x v="1"/>
    <s v="Phone"/>
    <x v="0"/>
    <s v="A037"/>
    <x v="1"/>
    <n v="72"/>
    <n v="7.7"/>
    <x v="1"/>
    <s v="No"/>
    <s v="No"/>
    <n v="5"/>
    <s v="Closed"/>
    <s v="August"/>
    <x v="7"/>
    <n v="2026"/>
    <s v="Yes"/>
    <n v="1"/>
    <x v="0"/>
    <n v="1"/>
  </r>
  <r>
    <s v="T005241"/>
    <x v="5024"/>
    <d v="2026-08-25T14:33:00"/>
    <x v="1"/>
    <s v="Phone"/>
    <x v="0"/>
    <s v="A031"/>
    <x v="2"/>
    <n v="72"/>
    <n v="1.5"/>
    <x v="0"/>
    <s v="Yes"/>
    <s v="No"/>
    <n v="3"/>
    <s v="Closed"/>
    <s v="August"/>
    <x v="7"/>
    <n v="2026"/>
    <s v="Yes"/>
    <n v="1"/>
    <x v="4"/>
    <n v="0"/>
  </r>
  <r>
    <s v="T005242"/>
    <x v="5025"/>
    <d v="2026-08-25T23:33:00"/>
    <x v="2"/>
    <s v="Phone"/>
    <x v="0"/>
    <s v="A020"/>
    <x v="2"/>
    <n v="72"/>
    <n v="10.1"/>
    <x v="0"/>
    <s v="Yes"/>
    <s v="No"/>
    <n v="3"/>
    <s v="Closed"/>
    <s v="August"/>
    <x v="7"/>
    <n v="2026"/>
    <s v="Yes"/>
    <n v="1"/>
    <x v="2"/>
    <n v="0"/>
  </r>
  <r>
    <s v="T005243"/>
    <x v="5026"/>
    <d v="2026-08-27T07:58:00"/>
    <x v="4"/>
    <s v="Field Visit"/>
    <x v="2"/>
    <s v="A003"/>
    <x v="0"/>
    <n v="4"/>
    <n v="42.4"/>
    <x v="0"/>
    <s v="Yes"/>
    <s v="No"/>
    <n v="4"/>
    <s v="Closed"/>
    <s v="August"/>
    <x v="7"/>
    <n v="2026"/>
    <s v="No"/>
    <n v="0"/>
    <x v="0"/>
    <n v="0"/>
  </r>
  <r>
    <s v="T005244"/>
    <x v="5027"/>
    <d v="2026-08-25T17:02:00"/>
    <x v="1"/>
    <s v="Chat"/>
    <x v="0"/>
    <s v="A022"/>
    <x v="2"/>
    <n v="72"/>
    <n v="2.7"/>
    <x v="1"/>
    <s v="No"/>
    <s v="No"/>
    <m/>
    <s v="Closed"/>
    <s v="August"/>
    <x v="7"/>
    <n v="2026"/>
    <s v="Yes"/>
    <n v="1"/>
    <x v="1"/>
    <n v="1"/>
  </r>
  <r>
    <s v="T005245"/>
    <x v="5028"/>
    <d v="2026-08-25T18:24:00"/>
    <x v="6"/>
    <s v="Chat"/>
    <x v="2"/>
    <s v="A020"/>
    <x v="2"/>
    <n v="4"/>
    <n v="3.2"/>
    <x v="0"/>
    <s v="No"/>
    <s v="No"/>
    <n v="5"/>
    <s v="Closed"/>
    <s v="August"/>
    <x v="7"/>
    <n v="2026"/>
    <s v="Yes"/>
    <n v="1"/>
    <x v="0"/>
    <n v="0"/>
  </r>
  <r>
    <s v="T005246"/>
    <x v="5029"/>
    <d v="2026-08-26T01:34:00"/>
    <x v="2"/>
    <s v="Chat"/>
    <x v="1"/>
    <s v="A036"/>
    <x v="1"/>
    <n v="24"/>
    <n v="10.3"/>
    <x v="1"/>
    <s v="No"/>
    <s v="No"/>
    <n v="5"/>
    <s v="Closed"/>
    <s v="August"/>
    <x v="7"/>
    <n v="2026"/>
    <s v="Yes"/>
    <n v="1"/>
    <x v="3"/>
    <n v="1"/>
  </r>
  <r>
    <s v="T005247"/>
    <x v="5030"/>
    <d v="2026-08-31T04:07:00"/>
    <x v="4"/>
    <s v="Field Visit"/>
    <x v="0"/>
    <s v="A002"/>
    <x v="0"/>
    <n v="72"/>
    <n v="131.4"/>
    <x v="0"/>
    <s v="Yes"/>
    <s v="No"/>
    <n v="5"/>
    <s v="Closed"/>
    <s v="August"/>
    <x v="7"/>
    <n v="2026"/>
    <s v="No"/>
    <n v="0"/>
    <x v="4"/>
    <n v="0"/>
  </r>
  <r>
    <s v="T005248"/>
    <x v="5031"/>
    <d v="2026-08-25T18:14:00"/>
    <x v="1"/>
    <s v="Chat"/>
    <x v="2"/>
    <s v="A024"/>
    <x v="2"/>
    <n v="4"/>
    <n v="1.1000000000000001"/>
    <x v="1"/>
    <s v="No"/>
    <s v="No"/>
    <m/>
    <s v="Closed"/>
    <s v="August"/>
    <x v="7"/>
    <n v="2026"/>
    <s v="Yes"/>
    <n v="1"/>
    <x v="3"/>
    <n v="1"/>
  </r>
  <r>
    <s v="T005249"/>
    <x v="5032"/>
    <d v="2026-08-26T11:57:00"/>
    <x v="0"/>
    <s v="Field Visit"/>
    <x v="1"/>
    <s v="A027"/>
    <x v="2"/>
    <n v="24"/>
    <n v="18.600000000000001"/>
    <x v="1"/>
    <s v="No"/>
    <s v="No"/>
    <n v="4"/>
    <s v="Closed"/>
    <s v="August"/>
    <x v="7"/>
    <n v="2026"/>
    <s v="Yes"/>
    <n v="1"/>
    <x v="0"/>
    <n v="1"/>
  </r>
  <r>
    <s v="T005250"/>
    <x v="5033"/>
    <d v="2026-08-28T03:21:00"/>
    <x v="4"/>
    <s v="Field Visit"/>
    <x v="0"/>
    <s v="A024"/>
    <x v="2"/>
    <n v="72"/>
    <n v="56.4"/>
    <x v="1"/>
    <s v="No"/>
    <s v="No"/>
    <m/>
    <s v="Closed"/>
    <s v="August"/>
    <x v="7"/>
    <n v="2026"/>
    <s v="Yes"/>
    <n v="1"/>
    <x v="1"/>
    <n v="1"/>
  </r>
  <r>
    <s v="T005251"/>
    <x v="5034"/>
    <d v="2026-08-27T08:11:00"/>
    <x v="0"/>
    <s v="Field Visit"/>
    <x v="0"/>
    <s v="A007"/>
    <x v="0"/>
    <n v="72"/>
    <n v="35.5"/>
    <x v="0"/>
    <s v="No"/>
    <s v="No"/>
    <m/>
    <s v="Closed"/>
    <s v="August"/>
    <x v="7"/>
    <n v="2026"/>
    <s v="Yes"/>
    <n v="1"/>
    <x v="3"/>
    <n v="0"/>
  </r>
  <r>
    <s v="T005252"/>
    <x v="5035"/>
    <d v="2026-08-26T02:59:00"/>
    <x v="2"/>
    <s v="Phone"/>
    <x v="1"/>
    <s v="A018"/>
    <x v="2"/>
    <n v="24"/>
    <n v="5.2"/>
    <x v="0"/>
    <s v="No"/>
    <s v="No"/>
    <n v="4"/>
    <s v="Closed"/>
    <s v="August"/>
    <x v="7"/>
    <n v="2026"/>
    <s v="Yes"/>
    <n v="1"/>
    <x v="2"/>
    <n v="0"/>
  </r>
  <r>
    <s v="T005253"/>
    <x v="5036"/>
    <d v="2026-08-26T12:57:00"/>
    <x v="3"/>
    <s v="Phone"/>
    <x v="1"/>
    <s v="A001"/>
    <x v="0"/>
    <n v="24"/>
    <n v="10.8"/>
    <x v="1"/>
    <s v="No"/>
    <s v="No"/>
    <n v="4"/>
    <s v="Closed"/>
    <s v="August"/>
    <x v="7"/>
    <n v="2026"/>
    <s v="Yes"/>
    <n v="1"/>
    <x v="2"/>
    <n v="1"/>
  </r>
  <r>
    <s v="T005254"/>
    <x v="5037"/>
    <d v="2026-08-26T20:39:00"/>
    <x v="3"/>
    <s v="Chat"/>
    <x v="0"/>
    <s v="A018"/>
    <x v="2"/>
    <n v="72"/>
    <n v="18"/>
    <x v="1"/>
    <s v="No"/>
    <s v="No"/>
    <m/>
    <s v="Closed"/>
    <s v="August"/>
    <x v="7"/>
    <n v="2026"/>
    <s v="Yes"/>
    <n v="1"/>
    <x v="1"/>
    <n v="1"/>
  </r>
  <r>
    <s v="T005255"/>
    <x v="5038"/>
    <d v="2026-08-26T15:32:00"/>
    <x v="2"/>
    <s v="Email"/>
    <x v="1"/>
    <s v="A048"/>
    <x v="1"/>
    <n v="24"/>
    <n v="9.6999999999999993"/>
    <x v="1"/>
    <s v="No"/>
    <s v="No"/>
    <n v="5"/>
    <s v="Closed"/>
    <s v="August"/>
    <x v="7"/>
    <n v="2026"/>
    <s v="Yes"/>
    <n v="1"/>
    <x v="2"/>
    <n v="1"/>
  </r>
  <r>
    <s v="T005257"/>
    <x v="5039"/>
    <d v="2026-08-26T17:20:00"/>
    <x v="2"/>
    <s v="Phone"/>
    <x v="1"/>
    <s v="A056"/>
    <x v="1"/>
    <n v="24"/>
    <n v="9.3000000000000007"/>
    <x v="1"/>
    <s v="No"/>
    <s v="No"/>
    <m/>
    <s v="Closed"/>
    <s v="August"/>
    <x v="7"/>
    <n v="2026"/>
    <s v="Yes"/>
    <n v="1"/>
    <x v="2"/>
    <n v="1"/>
  </r>
  <r>
    <s v="T005256"/>
    <x v="5039"/>
    <d v="2026-08-26T15:26:00"/>
    <x v="5"/>
    <s v="Chat"/>
    <x v="2"/>
    <s v="A017"/>
    <x v="2"/>
    <n v="4"/>
    <n v="7.4"/>
    <x v="1"/>
    <s v="No"/>
    <s v="No"/>
    <n v="3"/>
    <s v="Closed"/>
    <s v="August"/>
    <x v="7"/>
    <n v="2026"/>
    <s v="No"/>
    <n v="0"/>
    <x v="3"/>
    <n v="1"/>
  </r>
  <r>
    <s v="T005258"/>
    <x v="5040"/>
    <d v="2026-08-27T02:16:00"/>
    <x v="6"/>
    <s v="Field Visit"/>
    <x v="1"/>
    <s v="A031"/>
    <x v="2"/>
    <n v="24"/>
    <n v="17.100000000000001"/>
    <x v="1"/>
    <s v="No"/>
    <s v="No"/>
    <n v="5"/>
    <s v="Closed"/>
    <s v="August"/>
    <x v="7"/>
    <n v="2026"/>
    <s v="Yes"/>
    <n v="1"/>
    <x v="0"/>
    <n v="1"/>
  </r>
  <r>
    <s v="T005259"/>
    <x v="5041"/>
    <d v="2026-08-28T05:45:00"/>
    <x v="5"/>
    <s v="Field Visit"/>
    <x v="1"/>
    <s v="A006"/>
    <x v="0"/>
    <n v="24"/>
    <n v="44.4"/>
    <x v="0"/>
    <s v="Yes"/>
    <s v="No"/>
    <n v="3"/>
    <s v="Closed"/>
    <s v="August"/>
    <x v="7"/>
    <n v="2026"/>
    <s v="No"/>
    <n v="0"/>
    <x v="4"/>
    <n v="0"/>
  </r>
  <r>
    <s v="T005260"/>
    <x v="5042"/>
    <d v="2026-08-28T10:10:00"/>
    <x v="6"/>
    <s v="Field Visit"/>
    <x v="1"/>
    <s v="A015"/>
    <x v="0"/>
    <n v="24"/>
    <n v="47.7"/>
    <x v="1"/>
    <s v="No"/>
    <s v="No"/>
    <n v="3"/>
    <s v="Closed"/>
    <s v="August"/>
    <x v="7"/>
    <n v="2026"/>
    <s v="No"/>
    <n v="0"/>
    <x v="2"/>
    <n v="1"/>
  </r>
  <r>
    <s v="T005261"/>
    <x v="5043"/>
    <d v="2026-08-26T18:30:00"/>
    <x v="2"/>
    <s v="Chat"/>
    <x v="1"/>
    <s v="A025"/>
    <x v="2"/>
    <n v="24"/>
    <n v="7"/>
    <x v="1"/>
    <s v="No"/>
    <s v="No"/>
    <n v="4"/>
    <s v="Closed"/>
    <s v="August"/>
    <x v="7"/>
    <n v="2026"/>
    <s v="Yes"/>
    <n v="1"/>
    <x v="0"/>
    <n v="1"/>
  </r>
  <r>
    <s v="T005262"/>
    <x v="5044"/>
    <d v="2026-08-26T15:03:00"/>
    <x v="2"/>
    <s v="Chat"/>
    <x v="1"/>
    <s v="A017"/>
    <x v="2"/>
    <n v="24"/>
    <n v="3.5"/>
    <x v="1"/>
    <s v="No"/>
    <s v="No"/>
    <n v="3"/>
    <s v="Closed"/>
    <s v="August"/>
    <x v="7"/>
    <n v="2026"/>
    <s v="Yes"/>
    <n v="1"/>
    <x v="4"/>
    <n v="1"/>
  </r>
  <r>
    <s v="T005263"/>
    <x v="5045"/>
    <d v="2026-08-27T07:47:00"/>
    <x v="3"/>
    <s v="Field Visit"/>
    <x v="0"/>
    <s v="A001"/>
    <x v="0"/>
    <n v="72"/>
    <n v="18.8"/>
    <x v="0"/>
    <s v="Yes"/>
    <s v="No"/>
    <m/>
    <s v="Closed"/>
    <s v="August"/>
    <x v="7"/>
    <n v="2026"/>
    <s v="Yes"/>
    <n v="1"/>
    <x v="1"/>
    <n v="0"/>
  </r>
  <r>
    <s v="T005264"/>
    <x v="5046"/>
    <d v="2026-08-26T21:22:00"/>
    <x v="1"/>
    <s v="Chat"/>
    <x v="1"/>
    <s v="A045"/>
    <x v="1"/>
    <n v="24"/>
    <n v="6.4"/>
    <x v="1"/>
    <s v="No"/>
    <s v="No"/>
    <n v="4"/>
    <s v="Closed"/>
    <s v="August"/>
    <x v="7"/>
    <n v="2026"/>
    <s v="Yes"/>
    <n v="1"/>
    <x v="2"/>
    <n v="1"/>
  </r>
  <r>
    <s v="T005265"/>
    <x v="5047"/>
    <d v="2026-08-26T16:12:00"/>
    <x v="5"/>
    <s v="Chat"/>
    <x v="0"/>
    <s v="A038"/>
    <x v="1"/>
    <n v="72"/>
    <n v="1"/>
    <x v="0"/>
    <s v="Yes"/>
    <s v="No"/>
    <n v="4"/>
    <s v="Closed"/>
    <s v="August"/>
    <x v="7"/>
    <n v="2026"/>
    <s v="Yes"/>
    <n v="1"/>
    <x v="3"/>
    <n v="0"/>
  </r>
  <r>
    <s v="T005266"/>
    <x v="5048"/>
    <d v="2026-08-27T01:51:00"/>
    <x v="0"/>
    <s v="Email"/>
    <x v="0"/>
    <s v="A054"/>
    <x v="1"/>
    <n v="72"/>
    <n v="10.4"/>
    <x v="1"/>
    <s v="No"/>
    <s v="No"/>
    <n v="5"/>
    <s v="Closed"/>
    <s v="August"/>
    <x v="7"/>
    <n v="2026"/>
    <s v="Yes"/>
    <n v="1"/>
    <x v="4"/>
    <n v="1"/>
  </r>
  <r>
    <s v="T005267"/>
    <x v="5049"/>
    <d v="2026-08-27T03:36:00"/>
    <x v="0"/>
    <s v="Chat"/>
    <x v="0"/>
    <s v="A024"/>
    <x v="2"/>
    <n v="72"/>
    <n v="9.6999999999999993"/>
    <x v="1"/>
    <s v="No"/>
    <s v="No"/>
    <n v="4"/>
    <s v="Closed"/>
    <s v="August"/>
    <x v="7"/>
    <n v="2026"/>
    <s v="Yes"/>
    <n v="1"/>
    <x v="2"/>
    <n v="1"/>
  </r>
  <r>
    <s v="T005268"/>
    <x v="5050"/>
    <d v="2026-08-27T06:32:00"/>
    <x v="1"/>
    <s v="Phone"/>
    <x v="1"/>
    <s v="A042"/>
    <x v="1"/>
    <n v="24"/>
    <n v="8.1"/>
    <x v="1"/>
    <s v="No"/>
    <s v="No"/>
    <n v="5"/>
    <s v="Closed"/>
    <s v="August"/>
    <x v="7"/>
    <n v="2026"/>
    <s v="Yes"/>
    <n v="1"/>
    <x v="0"/>
    <n v="1"/>
  </r>
  <r>
    <s v="T005269"/>
    <x v="5051"/>
    <d v="2026-08-27T07:12:00"/>
    <x v="1"/>
    <s v="Chat"/>
    <x v="1"/>
    <s v="A005"/>
    <x v="0"/>
    <n v="24"/>
    <n v="4.2"/>
    <x v="1"/>
    <s v="No"/>
    <s v="No"/>
    <m/>
    <s v="Closed"/>
    <s v="August"/>
    <x v="7"/>
    <n v="2026"/>
    <s v="Yes"/>
    <n v="1"/>
    <x v="3"/>
    <n v="1"/>
  </r>
  <r>
    <s v="T005270"/>
    <x v="5052"/>
    <d v="2026-08-27T20:13:00"/>
    <x v="0"/>
    <s v="Phone"/>
    <x v="1"/>
    <s v="A023"/>
    <x v="2"/>
    <n v="24"/>
    <n v="13.9"/>
    <x v="1"/>
    <s v="No"/>
    <s v="No"/>
    <m/>
    <s v="Closed"/>
    <s v="August"/>
    <x v="7"/>
    <n v="2026"/>
    <s v="Yes"/>
    <n v="1"/>
    <x v="4"/>
    <n v="1"/>
  </r>
  <r>
    <s v="T005271"/>
    <x v="5053"/>
    <d v="2026-08-27T14:29:00"/>
    <x v="6"/>
    <s v="Phone"/>
    <x v="0"/>
    <s v="A052"/>
    <x v="1"/>
    <n v="72"/>
    <n v="7.4"/>
    <x v="1"/>
    <s v="No"/>
    <s v="No"/>
    <m/>
    <s v="Closed"/>
    <s v="August"/>
    <x v="7"/>
    <n v="2026"/>
    <s v="Yes"/>
    <n v="1"/>
    <x v="0"/>
    <n v="1"/>
  </r>
  <r>
    <s v="T005272"/>
    <x v="5054"/>
    <d v="2026-08-27T17:24:00"/>
    <x v="3"/>
    <s v="Phone"/>
    <x v="1"/>
    <s v="A009"/>
    <x v="0"/>
    <n v="24"/>
    <n v="8.3000000000000007"/>
    <x v="1"/>
    <s v="No"/>
    <s v="No"/>
    <m/>
    <s v="Closed"/>
    <s v="August"/>
    <x v="7"/>
    <n v="2026"/>
    <s v="Yes"/>
    <n v="1"/>
    <x v="3"/>
    <n v="1"/>
  </r>
  <r>
    <s v="T005273"/>
    <x v="5055"/>
    <d v="2026-08-28T10:42:00"/>
    <x v="6"/>
    <s v="Field Visit"/>
    <x v="2"/>
    <s v="A013"/>
    <x v="0"/>
    <n v="4"/>
    <n v="25.5"/>
    <x v="1"/>
    <s v="No"/>
    <s v="Yes"/>
    <n v="4"/>
    <s v="Closed"/>
    <s v="August"/>
    <x v="7"/>
    <n v="2026"/>
    <s v="No"/>
    <n v="0"/>
    <x v="1"/>
    <n v="1"/>
  </r>
  <r>
    <s v="T005274"/>
    <x v="5056"/>
    <d v="2026-08-27T21:26:00"/>
    <x v="1"/>
    <s v="Phone"/>
    <x v="0"/>
    <s v="A004"/>
    <x v="0"/>
    <n v="72"/>
    <n v="11.2"/>
    <x v="0"/>
    <s v="No"/>
    <s v="No"/>
    <m/>
    <s v="Closed"/>
    <s v="August"/>
    <x v="7"/>
    <n v="2026"/>
    <s v="Yes"/>
    <n v="1"/>
    <x v="3"/>
    <n v="0"/>
  </r>
  <r>
    <s v="T005275"/>
    <x v="5057"/>
    <d v="2026-08-28T12:26:00"/>
    <x v="6"/>
    <s v="Field Visit"/>
    <x v="2"/>
    <s v="A060"/>
    <x v="1"/>
    <n v="4"/>
    <n v="25.7"/>
    <x v="1"/>
    <s v="No"/>
    <s v="No"/>
    <n v="2"/>
    <s v="Closed"/>
    <s v="August"/>
    <x v="7"/>
    <n v="2026"/>
    <s v="No"/>
    <n v="0"/>
    <x v="2"/>
    <n v="1"/>
  </r>
  <r>
    <s v="T005276"/>
    <x v="5058"/>
    <d v="2026-08-27T16:44:00"/>
    <x v="1"/>
    <s v="Phone"/>
    <x v="2"/>
    <s v="A032"/>
    <x v="2"/>
    <n v="4"/>
    <n v="4.8"/>
    <x v="0"/>
    <s v="Yes"/>
    <s v="No"/>
    <m/>
    <s v="Closed"/>
    <s v="August"/>
    <x v="7"/>
    <n v="2026"/>
    <s v="No"/>
    <n v="0"/>
    <x v="2"/>
    <n v="0"/>
  </r>
  <r>
    <s v="T005277"/>
    <x v="5059"/>
    <d v="2026-08-28T04:29:00"/>
    <x v="4"/>
    <s v="Phone"/>
    <x v="2"/>
    <s v="A057"/>
    <x v="1"/>
    <n v="4"/>
    <n v="16.5"/>
    <x v="1"/>
    <s v="No"/>
    <s v="No"/>
    <n v="4"/>
    <s v="Closed"/>
    <s v="August"/>
    <x v="7"/>
    <n v="2026"/>
    <s v="No"/>
    <n v="0"/>
    <x v="3"/>
    <n v="1"/>
  </r>
  <r>
    <s v="T005278"/>
    <x v="5060"/>
    <d v="2026-08-27T19:19:00"/>
    <x v="2"/>
    <s v="Phone"/>
    <x v="2"/>
    <s v="A020"/>
    <x v="2"/>
    <n v="4"/>
    <n v="7.3"/>
    <x v="0"/>
    <s v="Yes"/>
    <s v="No"/>
    <m/>
    <s v="Closed"/>
    <s v="August"/>
    <x v="7"/>
    <n v="2026"/>
    <s v="No"/>
    <n v="0"/>
    <x v="4"/>
    <n v="0"/>
  </r>
  <r>
    <s v="T005279"/>
    <x v="5061"/>
    <d v="2026-08-27T20:46:00"/>
    <x v="1"/>
    <s v="Phone"/>
    <x v="1"/>
    <s v="A010"/>
    <x v="0"/>
    <n v="24"/>
    <n v="8.1"/>
    <x v="0"/>
    <s v="No"/>
    <s v="No"/>
    <n v="4"/>
    <s v="Closed"/>
    <s v="August"/>
    <x v="7"/>
    <n v="2026"/>
    <s v="Yes"/>
    <n v="1"/>
    <x v="2"/>
    <n v="0"/>
  </r>
  <r>
    <s v="T005280"/>
    <x v="5062"/>
    <d v="2026-08-27T16:19:00"/>
    <x v="1"/>
    <s v="Phone"/>
    <x v="0"/>
    <s v="A046"/>
    <x v="1"/>
    <n v="72"/>
    <m/>
    <x v="1"/>
    <s v="No"/>
    <s v="No"/>
    <n v="4"/>
    <s v="Closed"/>
    <s v="August"/>
    <x v="7"/>
    <n v="2026"/>
    <m/>
    <m/>
    <x v="4"/>
    <n v="1"/>
  </r>
  <r>
    <s v="T005281"/>
    <x v="5063"/>
    <d v="2026-08-28T11:37:00"/>
    <x v="0"/>
    <s v="Email"/>
    <x v="2"/>
    <s v="A004"/>
    <x v="0"/>
    <n v="4"/>
    <n v="21.9"/>
    <x v="1"/>
    <s v="No"/>
    <s v="No"/>
    <n v="5"/>
    <s v="Closed"/>
    <s v="August"/>
    <x v="7"/>
    <n v="2026"/>
    <s v="No"/>
    <n v="0"/>
    <x v="1"/>
    <n v="1"/>
  </r>
  <r>
    <s v="T005282"/>
    <x v="5064"/>
    <d v="2026-08-27T18:38:00"/>
    <x v="1"/>
    <s v="Phone"/>
    <x v="0"/>
    <s v="A033"/>
    <x v="2"/>
    <n v="72"/>
    <n v="3.7"/>
    <x v="1"/>
    <s v="No"/>
    <s v="No"/>
    <n v="5"/>
    <s v="Closed"/>
    <s v="August"/>
    <x v="7"/>
    <n v="2026"/>
    <s v="Yes"/>
    <n v="1"/>
    <x v="1"/>
    <n v="1"/>
  </r>
  <r>
    <s v="T005283"/>
    <x v="5065"/>
    <d v="2026-08-28T00:54:00"/>
    <x v="5"/>
    <s v="Chat"/>
    <x v="2"/>
    <s v="A015"/>
    <x v="0"/>
    <n v="4"/>
    <n v="9.9"/>
    <x v="1"/>
    <s v="No"/>
    <s v="No"/>
    <n v="4"/>
    <s v="Closed"/>
    <s v="August"/>
    <x v="7"/>
    <n v="2026"/>
    <s v="No"/>
    <n v="0"/>
    <x v="0"/>
    <n v="1"/>
  </r>
  <r>
    <s v="T005284"/>
    <x v="5066"/>
    <d v="2026-08-31T22:26:00"/>
    <x v="3"/>
    <s v="Field Visit"/>
    <x v="1"/>
    <s v="A058"/>
    <x v="1"/>
    <n v="24"/>
    <n v="103.2"/>
    <x v="1"/>
    <s v="No"/>
    <s v="No"/>
    <n v="4"/>
    <s v="Closed"/>
    <s v="August"/>
    <x v="7"/>
    <n v="2026"/>
    <s v="No"/>
    <n v="0"/>
    <x v="1"/>
    <n v="1"/>
  </r>
  <r>
    <s v="T005285"/>
    <x v="5067"/>
    <d v="2026-08-27T18:57:00"/>
    <x v="1"/>
    <s v="Phone"/>
    <x v="0"/>
    <s v="A003"/>
    <x v="0"/>
    <n v="72"/>
    <n v="3.5"/>
    <x v="1"/>
    <s v="No"/>
    <s v="No"/>
    <n v="4"/>
    <s v="Closed"/>
    <s v="August"/>
    <x v="7"/>
    <n v="2026"/>
    <s v="Yes"/>
    <n v="1"/>
    <x v="4"/>
    <n v="1"/>
  </r>
  <r>
    <s v="T005286"/>
    <x v="5068"/>
    <d v="2026-08-27T21:10:00"/>
    <x v="2"/>
    <s v="Phone"/>
    <x v="0"/>
    <s v="A009"/>
    <x v="0"/>
    <n v="72"/>
    <n v="5.4"/>
    <x v="1"/>
    <s v="No"/>
    <s v="No"/>
    <n v="5"/>
    <s v="Closed"/>
    <s v="August"/>
    <x v="7"/>
    <n v="2026"/>
    <s v="Yes"/>
    <n v="1"/>
    <x v="2"/>
    <n v="1"/>
  </r>
  <r>
    <s v="T005287"/>
    <x v="5069"/>
    <d v="2026-08-27T22:21:00"/>
    <x v="1"/>
    <s v="Phone"/>
    <x v="0"/>
    <s v="A044"/>
    <x v="1"/>
    <n v="72"/>
    <n v="6.2"/>
    <x v="1"/>
    <s v="No"/>
    <s v="No"/>
    <m/>
    <s v="Closed"/>
    <s v="August"/>
    <x v="7"/>
    <n v="2026"/>
    <s v="Yes"/>
    <n v="1"/>
    <x v="0"/>
    <n v="1"/>
  </r>
  <r>
    <s v="T005288"/>
    <x v="5070"/>
    <d v="2026-08-28T04:48:00"/>
    <x v="2"/>
    <s v="Phone"/>
    <x v="0"/>
    <s v="A024"/>
    <x v="2"/>
    <n v="72"/>
    <n v="11"/>
    <x v="1"/>
    <s v="No"/>
    <s v="No"/>
    <m/>
    <s v="Closed"/>
    <s v="August"/>
    <x v="7"/>
    <n v="2026"/>
    <s v="Yes"/>
    <n v="1"/>
    <x v="4"/>
    <n v="1"/>
  </r>
  <r>
    <s v="T005289"/>
    <x v="5071"/>
    <d v="2026-08-29T20:24:00"/>
    <x v="4"/>
    <s v="Field Visit"/>
    <x v="1"/>
    <s v="A002"/>
    <x v="0"/>
    <n v="24"/>
    <n v="50.3"/>
    <x v="0"/>
    <s v="Yes"/>
    <s v="No"/>
    <m/>
    <s v="Closed"/>
    <s v="August"/>
    <x v="7"/>
    <n v="2026"/>
    <s v="No"/>
    <n v="0"/>
    <x v="1"/>
    <n v="0"/>
  </r>
  <r>
    <s v="T005290"/>
    <x v="5072"/>
    <d v="2026-08-28T13:52:00"/>
    <x v="0"/>
    <s v="Phone"/>
    <x v="1"/>
    <s v="A008"/>
    <x v="0"/>
    <n v="24"/>
    <n v="19.2"/>
    <x v="0"/>
    <s v="Yes"/>
    <s v="No"/>
    <m/>
    <s v="Closed"/>
    <s v="August"/>
    <x v="7"/>
    <n v="2026"/>
    <s v="Yes"/>
    <n v="1"/>
    <x v="3"/>
    <n v="0"/>
  </r>
  <r>
    <s v="T005291"/>
    <x v="5073"/>
    <d v="2026-08-28T21:51:00"/>
    <x v="4"/>
    <s v="Phone"/>
    <x v="0"/>
    <s v="A031"/>
    <x v="2"/>
    <n v="72"/>
    <n v="26.1"/>
    <x v="1"/>
    <s v="No"/>
    <s v="No"/>
    <n v="5"/>
    <s v="Closed"/>
    <s v="August"/>
    <x v="7"/>
    <n v="2026"/>
    <s v="Yes"/>
    <n v="1"/>
    <x v="4"/>
    <n v="1"/>
  </r>
  <r>
    <s v="T005292"/>
    <x v="5074"/>
    <d v="2026-08-29T01:38:00"/>
    <x v="2"/>
    <s v="Phone"/>
    <x v="1"/>
    <s v="A006"/>
    <x v="0"/>
    <n v="24"/>
    <n v="22.2"/>
    <x v="0"/>
    <s v="No"/>
    <s v="No"/>
    <n v="5"/>
    <s v="Closed"/>
    <s v="August"/>
    <x v="7"/>
    <n v="2026"/>
    <s v="Yes"/>
    <n v="1"/>
    <x v="2"/>
    <n v="0"/>
  </r>
  <r>
    <s v="T005293"/>
    <x v="5075"/>
    <d v="2026-08-28T15:09:00"/>
    <x v="2"/>
    <s v="Phone"/>
    <x v="0"/>
    <s v="A047"/>
    <x v="1"/>
    <n v="72"/>
    <n v="8.9"/>
    <x v="1"/>
    <s v="No"/>
    <s v="No"/>
    <m/>
    <s v="Closed"/>
    <s v="August"/>
    <x v="7"/>
    <n v="2026"/>
    <s v="Yes"/>
    <n v="1"/>
    <x v="4"/>
    <n v="1"/>
  </r>
  <r>
    <s v="T005294"/>
    <x v="5076"/>
    <d v="2026-08-28T19:21:00"/>
    <x v="2"/>
    <s v="Phone"/>
    <x v="1"/>
    <s v="A014"/>
    <x v="0"/>
    <n v="24"/>
    <n v="10"/>
    <x v="1"/>
    <s v="No"/>
    <s v="No"/>
    <n v="3"/>
    <s v="Closed"/>
    <s v="August"/>
    <x v="7"/>
    <n v="2026"/>
    <s v="Yes"/>
    <n v="1"/>
    <x v="3"/>
    <n v="1"/>
  </r>
  <r>
    <s v="T005295"/>
    <x v="5077"/>
    <d v="2026-08-28T18:09:00"/>
    <x v="2"/>
    <s v="Chat"/>
    <x v="0"/>
    <s v="A010"/>
    <x v="0"/>
    <n v="72"/>
    <n v="7.8"/>
    <x v="1"/>
    <s v="No"/>
    <s v="No"/>
    <n v="5"/>
    <s v="Closed"/>
    <s v="August"/>
    <x v="7"/>
    <n v="2026"/>
    <s v="Yes"/>
    <n v="1"/>
    <x v="3"/>
    <n v="1"/>
  </r>
  <r>
    <s v="T005296"/>
    <x v="5078"/>
    <d v="2026-08-31T07:02:00"/>
    <x v="4"/>
    <s v="Email"/>
    <x v="1"/>
    <s v="A014"/>
    <x v="0"/>
    <n v="24"/>
    <n v="67.8"/>
    <x v="1"/>
    <s v="No"/>
    <s v="No"/>
    <n v="5"/>
    <s v="Closed"/>
    <s v="August"/>
    <x v="7"/>
    <n v="2026"/>
    <s v="No"/>
    <n v="0"/>
    <x v="4"/>
    <n v="1"/>
  </r>
  <r>
    <s v="T005297"/>
    <x v="5079"/>
    <d v="2026-08-29T06:25:00"/>
    <x v="6"/>
    <s v="Phone"/>
    <x v="1"/>
    <s v="A025"/>
    <x v="2"/>
    <n v="24"/>
    <n v="18.899999999999999"/>
    <x v="1"/>
    <s v="No"/>
    <s v="No"/>
    <n v="5"/>
    <s v="Closed"/>
    <s v="August"/>
    <x v="7"/>
    <n v="2026"/>
    <s v="Yes"/>
    <n v="1"/>
    <x v="3"/>
    <n v="1"/>
  </r>
  <r>
    <s v="T005298"/>
    <x v="5080"/>
    <d v="2026-08-29T00:43:00"/>
    <x v="2"/>
    <s v="Field Visit"/>
    <x v="1"/>
    <s v="A038"/>
    <x v="1"/>
    <n v="24"/>
    <n v="13"/>
    <x v="1"/>
    <s v="No"/>
    <s v="No"/>
    <n v="5"/>
    <s v="Closed"/>
    <s v="August"/>
    <x v="7"/>
    <n v="2026"/>
    <s v="Yes"/>
    <n v="1"/>
    <x v="3"/>
    <n v="1"/>
  </r>
  <r>
    <s v="T005299"/>
    <x v="5081"/>
    <d v="2026-08-28T16:15:00"/>
    <x v="1"/>
    <s v="Chat"/>
    <x v="1"/>
    <s v="A017"/>
    <x v="2"/>
    <n v="24"/>
    <n v="4.2"/>
    <x v="1"/>
    <s v="No"/>
    <s v="No"/>
    <m/>
    <s v="Closed"/>
    <s v="August"/>
    <x v="7"/>
    <n v="2026"/>
    <s v="Yes"/>
    <n v="1"/>
    <x v="0"/>
    <n v="1"/>
  </r>
  <r>
    <s v="T005300"/>
    <x v="5082"/>
    <d v="2026-08-28T16:20:00"/>
    <x v="1"/>
    <s v="Chat"/>
    <x v="1"/>
    <s v="A053"/>
    <x v="1"/>
    <n v="24"/>
    <n v="4.2"/>
    <x v="1"/>
    <s v="No"/>
    <s v="No"/>
    <m/>
    <s v="Closed"/>
    <s v="August"/>
    <x v="7"/>
    <n v="2026"/>
    <s v="Yes"/>
    <n v="1"/>
    <x v="3"/>
    <n v="1"/>
  </r>
  <r>
    <s v="T005301"/>
    <x v="5083"/>
    <d v="2026-08-30T06:27:00"/>
    <x v="3"/>
    <s v="Field Visit"/>
    <x v="1"/>
    <s v="A014"/>
    <x v="0"/>
    <n v="24"/>
    <n v="41.8"/>
    <x v="0"/>
    <s v="Yes"/>
    <s v="Yes"/>
    <m/>
    <s v="Closed"/>
    <s v="August"/>
    <x v="7"/>
    <n v="2026"/>
    <s v="No"/>
    <n v="0"/>
    <x v="0"/>
    <n v="0"/>
  </r>
  <r>
    <s v="T005302"/>
    <x v="5084"/>
    <d v="2026-08-28T20:37:00"/>
    <x v="5"/>
    <s v="Chat"/>
    <x v="1"/>
    <s v="A037"/>
    <x v="1"/>
    <n v="24"/>
    <n v="6.8"/>
    <x v="1"/>
    <s v="No"/>
    <s v="No"/>
    <m/>
    <s v="Closed"/>
    <s v="August"/>
    <x v="7"/>
    <n v="2026"/>
    <s v="Yes"/>
    <n v="1"/>
    <x v="1"/>
    <n v="1"/>
  </r>
  <r>
    <s v="T005303"/>
    <x v="5085"/>
    <d v="2026-08-30T14:09:00"/>
    <x v="6"/>
    <s v="Field Visit"/>
    <x v="1"/>
    <s v="A042"/>
    <x v="1"/>
    <n v="24"/>
    <n v="47.8"/>
    <x v="1"/>
    <s v="No"/>
    <s v="No"/>
    <n v="4"/>
    <s v="Closed"/>
    <s v="August"/>
    <x v="7"/>
    <n v="2026"/>
    <s v="No"/>
    <n v="0"/>
    <x v="2"/>
    <n v="1"/>
  </r>
  <r>
    <s v="T005304"/>
    <x v="5086"/>
    <d v="2026-08-29T21:05:00"/>
    <x v="0"/>
    <s v="Phone"/>
    <x v="0"/>
    <s v="A002"/>
    <x v="0"/>
    <n v="72"/>
    <n v="30.2"/>
    <x v="1"/>
    <s v="No"/>
    <s v="No"/>
    <n v="4"/>
    <s v="Closed"/>
    <s v="August"/>
    <x v="7"/>
    <n v="2026"/>
    <s v="Yes"/>
    <n v="1"/>
    <x v="4"/>
    <n v="1"/>
  </r>
  <r>
    <s v="T005305"/>
    <x v="5087"/>
    <d v="2026-08-29T13:44:00"/>
    <x v="4"/>
    <s v="Phone"/>
    <x v="2"/>
    <s v="A035"/>
    <x v="2"/>
    <n v="4"/>
    <n v="22.8"/>
    <x v="1"/>
    <s v="No"/>
    <s v="Yes"/>
    <m/>
    <s v="Closed"/>
    <s v="August"/>
    <x v="7"/>
    <n v="2026"/>
    <s v="No"/>
    <n v="0"/>
    <x v="0"/>
    <n v="1"/>
  </r>
  <r>
    <s v="T005306"/>
    <x v="5088"/>
    <d v="2026-08-28T17:01:00"/>
    <x v="1"/>
    <s v="Phone"/>
    <x v="0"/>
    <s v="A053"/>
    <x v="1"/>
    <n v="72"/>
    <n v="2"/>
    <x v="1"/>
    <s v="No"/>
    <s v="No"/>
    <m/>
    <s v="Closed"/>
    <s v="August"/>
    <x v="7"/>
    <n v="2026"/>
    <s v="Yes"/>
    <n v="1"/>
    <x v="0"/>
    <n v="1"/>
  </r>
  <r>
    <s v="T005307"/>
    <x v="5089"/>
    <d v="2026-08-28T16:53:00"/>
    <x v="1"/>
    <s v="Phone"/>
    <x v="1"/>
    <s v="A036"/>
    <x v="1"/>
    <n v="24"/>
    <n v="1.7"/>
    <x v="1"/>
    <s v="No"/>
    <s v="No"/>
    <m/>
    <s v="Closed"/>
    <s v="August"/>
    <x v="7"/>
    <n v="2026"/>
    <s v="Yes"/>
    <n v="1"/>
    <x v="1"/>
    <n v="1"/>
  </r>
  <r>
    <s v="T005308"/>
    <x v="5090"/>
    <d v="2026-08-29T02:00:00"/>
    <x v="6"/>
    <s v="Phone"/>
    <x v="2"/>
    <s v="A006"/>
    <x v="0"/>
    <n v="4"/>
    <n v="9.6999999999999993"/>
    <x v="1"/>
    <s v="No"/>
    <s v="Yes"/>
    <n v="3"/>
    <s v="Closed"/>
    <s v="August"/>
    <x v="7"/>
    <n v="2026"/>
    <s v="No"/>
    <n v="0"/>
    <x v="1"/>
    <n v="1"/>
  </r>
  <r>
    <s v="T005309"/>
    <x v="5091"/>
    <d v="2026-08-29T17:41:00"/>
    <x v="2"/>
    <s v="Field Visit"/>
    <x v="1"/>
    <s v="A027"/>
    <x v="2"/>
    <n v="24"/>
    <n v="25"/>
    <x v="1"/>
    <s v="No"/>
    <s v="No"/>
    <n v="4"/>
    <s v="Closed"/>
    <s v="August"/>
    <x v="7"/>
    <n v="2026"/>
    <s v="No"/>
    <n v="0"/>
    <x v="1"/>
    <n v="1"/>
  </r>
  <r>
    <s v="T005310"/>
    <x v="5092"/>
    <d v="2026-08-29T07:01:00"/>
    <x v="6"/>
    <s v="Field Visit"/>
    <x v="0"/>
    <s v="A016"/>
    <x v="2"/>
    <n v="72"/>
    <n v="14.3"/>
    <x v="0"/>
    <s v="Yes"/>
    <s v="No"/>
    <m/>
    <s v="Closed"/>
    <s v="August"/>
    <x v="7"/>
    <n v="2026"/>
    <s v="Yes"/>
    <n v="1"/>
    <x v="4"/>
    <n v="0"/>
  </r>
  <r>
    <s v="T005311"/>
    <x v="5092"/>
    <d v="2026-08-28T23:07:00"/>
    <x v="1"/>
    <s v="Phone"/>
    <x v="0"/>
    <s v="A008"/>
    <x v="0"/>
    <n v="72"/>
    <n v="6.4"/>
    <x v="0"/>
    <s v="No"/>
    <s v="No"/>
    <m/>
    <s v="Closed"/>
    <s v="August"/>
    <x v="7"/>
    <n v="2026"/>
    <s v="Yes"/>
    <n v="1"/>
    <x v="3"/>
    <n v="0"/>
  </r>
  <r>
    <s v="T005312"/>
    <x v="5093"/>
    <d v="2026-08-30T14:11:00"/>
    <x v="4"/>
    <s v="Phone"/>
    <x v="1"/>
    <s v="A054"/>
    <x v="1"/>
    <n v="24"/>
    <n v="45.3"/>
    <x v="1"/>
    <s v="No"/>
    <s v="No"/>
    <n v="3"/>
    <s v="Closed"/>
    <s v="August"/>
    <x v="7"/>
    <n v="2026"/>
    <s v="No"/>
    <n v="0"/>
    <x v="0"/>
    <n v="1"/>
  </r>
  <r>
    <s v="T005313"/>
    <x v="5094"/>
    <d v="2026-08-28T21:47:00"/>
    <x v="5"/>
    <s v="Chat"/>
    <x v="1"/>
    <s v="A004"/>
    <x v="0"/>
    <n v="24"/>
    <n v="3.9"/>
    <x v="0"/>
    <s v="Yes"/>
    <s v="No"/>
    <m/>
    <s v="Closed"/>
    <s v="August"/>
    <x v="7"/>
    <n v="2026"/>
    <s v="Yes"/>
    <n v="1"/>
    <x v="1"/>
    <n v="0"/>
  </r>
  <r>
    <s v="T005314"/>
    <x v="5095"/>
    <d v="2026-08-30T05:45:00"/>
    <x v="6"/>
    <s v="Field Visit"/>
    <x v="2"/>
    <s v="A012"/>
    <x v="0"/>
    <n v="4"/>
    <n v="24.6"/>
    <x v="0"/>
    <s v="No"/>
    <s v="No"/>
    <m/>
    <s v="Closed"/>
    <s v="August"/>
    <x v="7"/>
    <n v="2026"/>
    <s v="No"/>
    <n v="0"/>
    <x v="3"/>
    <n v="0"/>
  </r>
  <r>
    <s v="T005315"/>
    <x v="5096"/>
    <d v="2026-08-29T17:06:00"/>
    <x v="3"/>
    <s v="Phone"/>
    <x v="0"/>
    <s v="A048"/>
    <x v="1"/>
    <n v="72"/>
    <n v="10.7"/>
    <x v="1"/>
    <s v="No"/>
    <s v="No"/>
    <n v="5"/>
    <s v="Closed"/>
    <s v="August"/>
    <x v="7"/>
    <n v="2026"/>
    <s v="Yes"/>
    <n v="1"/>
    <x v="1"/>
    <n v="1"/>
  </r>
  <r>
    <s v="T005316"/>
    <x v="5097"/>
    <d v="2026-09-03T01:16:00"/>
    <x v="6"/>
    <s v="Field Visit"/>
    <x v="2"/>
    <s v="A052"/>
    <x v="1"/>
    <n v="4"/>
    <n v="113"/>
    <x v="1"/>
    <s v="No"/>
    <s v="No"/>
    <n v="3"/>
    <s v="Closed"/>
    <s v="August"/>
    <x v="7"/>
    <n v="2026"/>
    <s v="No"/>
    <n v="0"/>
    <x v="3"/>
    <n v="1"/>
  </r>
  <r>
    <s v="T005317"/>
    <x v="5098"/>
    <d v="2026-08-30T16:15:00"/>
    <x v="4"/>
    <s v="Field Visit"/>
    <x v="0"/>
    <s v="A027"/>
    <x v="2"/>
    <n v="72"/>
    <n v="31.8"/>
    <x v="0"/>
    <s v="No"/>
    <s v="No"/>
    <n v="5"/>
    <s v="Closed"/>
    <s v="August"/>
    <x v="7"/>
    <n v="2026"/>
    <s v="Yes"/>
    <n v="1"/>
    <x v="4"/>
    <n v="0"/>
  </r>
  <r>
    <s v="T005318"/>
    <x v="5098"/>
    <d v="2026-09-01T21:57:00"/>
    <x v="4"/>
    <s v="Field Visit"/>
    <x v="0"/>
    <s v="A012"/>
    <x v="0"/>
    <n v="72"/>
    <n v="85.5"/>
    <x v="0"/>
    <s v="No"/>
    <s v="No"/>
    <n v="2"/>
    <s v="Closed"/>
    <s v="August"/>
    <x v="7"/>
    <n v="2026"/>
    <s v="No"/>
    <n v="0"/>
    <x v="0"/>
    <n v="0"/>
  </r>
  <r>
    <s v="T005319"/>
    <x v="5099"/>
    <d v="2026-08-30T05:36:00"/>
    <x v="6"/>
    <s v="Field Visit"/>
    <x v="0"/>
    <s v="A039"/>
    <x v="1"/>
    <n v="72"/>
    <n v="20.6"/>
    <x v="0"/>
    <s v="Yes"/>
    <s v="Yes"/>
    <n v="4"/>
    <s v="Closed"/>
    <s v="August"/>
    <x v="7"/>
    <n v="2026"/>
    <s v="Yes"/>
    <n v="1"/>
    <x v="1"/>
    <n v="0"/>
  </r>
  <r>
    <s v="T005320"/>
    <x v="5100"/>
    <d v="2026-08-31T20:30:00"/>
    <x v="4"/>
    <s v="Field Visit"/>
    <x v="2"/>
    <s v="A020"/>
    <x v="2"/>
    <n v="4"/>
    <n v="58.5"/>
    <x v="1"/>
    <s v="No"/>
    <s v="No"/>
    <m/>
    <s v="Closed"/>
    <s v="August"/>
    <x v="7"/>
    <n v="2026"/>
    <s v="No"/>
    <n v="0"/>
    <x v="1"/>
    <n v="1"/>
  </r>
  <r>
    <s v="T005321"/>
    <x v="5101"/>
    <d v="2026-08-29T16:02:00"/>
    <x v="6"/>
    <s v="Chat"/>
    <x v="1"/>
    <s v="A018"/>
    <x v="2"/>
    <n v="24"/>
    <n v="6"/>
    <x v="1"/>
    <s v="No"/>
    <s v="No"/>
    <n v="5"/>
    <s v="Closed"/>
    <s v="August"/>
    <x v="7"/>
    <n v="2026"/>
    <s v="Yes"/>
    <n v="1"/>
    <x v="2"/>
    <n v="1"/>
  </r>
  <r>
    <s v="T005322"/>
    <x v="5102"/>
    <d v="2026-08-30T08:03:00"/>
    <x v="6"/>
    <s v="Phone"/>
    <x v="0"/>
    <s v="A051"/>
    <x v="1"/>
    <n v="72"/>
    <n v="20.6"/>
    <x v="1"/>
    <s v="No"/>
    <s v="No"/>
    <n v="4"/>
    <s v="Closed"/>
    <s v="August"/>
    <x v="7"/>
    <n v="2026"/>
    <s v="Yes"/>
    <n v="1"/>
    <x v="2"/>
    <n v="1"/>
  </r>
  <r>
    <s v="T005323"/>
    <x v="5103"/>
    <d v="2026-08-30T10:56:00"/>
    <x v="1"/>
    <s v="Email"/>
    <x v="0"/>
    <s v="A001"/>
    <x v="0"/>
    <n v="72"/>
    <n v="22.9"/>
    <x v="0"/>
    <s v="No"/>
    <s v="No"/>
    <n v="5"/>
    <s v="Closed"/>
    <s v="August"/>
    <x v="7"/>
    <n v="2026"/>
    <s v="Yes"/>
    <n v="1"/>
    <x v="1"/>
    <n v="0"/>
  </r>
  <r>
    <s v="T005324"/>
    <x v="5104"/>
    <d v="2026-08-31T09:31:00"/>
    <x v="1"/>
    <s v="Email"/>
    <x v="0"/>
    <s v="A011"/>
    <x v="0"/>
    <n v="72"/>
    <n v="45.4"/>
    <x v="1"/>
    <s v="No"/>
    <s v="No"/>
    <m/>
    <s v="Closed"/>
    <s v="August"/>
    <x v="7"/>
    <n v="2026"/>
    <s v="Yes"/>
    <n v="1"/>
    <x v="2"/>
    <n v="1"/>
  </r>
  <r>
    <s v="T005325"/>
    <x v="5105"/>
    <d v="2026-08-30T08:31:00"/>
    <x v="0"/>
    <s v="Phone"/>
    <x v="1"/>
    <s v="A021"/>
    <x v="2"/>
    <n v="24"/>
    <n v="20.2"/>
    <x v="0"/>
    <s v="No"/>
    <s v="Yes"/>
    <n v="3"/>
    <s v="Closed"/>
    <s v="August"/>
    <x v="7"/>
    <n v="2026"/>
    <s v="Yes"/>
    <n v="1"/>
    <x v="0"/>
    <n v="0"/>
  </r>
  <r>
    <s v="T005326"/>
    <x v="5106"/>
    <d v="2026-09-01T01:32:00"/>
    <x v="4"/>
    <s v="Email"/>
    <x v="0"/>
    <s v="A021"/>
    <x v="2"/>
    <n v="72"/>
    <n v="61.1"/>
    <x v="1"/>
    <s v="No"/>
    <s v="No"/>
    <m/>
    <s v="Closed"/>
    <s v="August"/>
    <x v="7"/>
    <n v="2026"/>
    <s v="Yes"/>
    <n v="1"/>
    <x v="2"/>
    <n v="1"/>
  </r>
  <r>
    <s v="T005327"/>
    <x v="5107"/>
    <d v="2026-09-03T07:22:00"/>
    <x v="4"/>
    <s v="Field Visit"/>
    <x v="0"/>
    <s v="A048"/>
    <x v="1"/>
    <n v="72"/>
    <n v="114.3"/>
    <x v="1"/>
    <s v="No"/>
    <s v="No"/>
    <n v="5"/>
    <s v="Closed"/>
    <s v="August"/>
    <x v="7"/>
    <n v="2026"/>
    <s v="No"/>
    <n v="0"/>
    <x v="4"/>
    <n v="1"/>
  </r>
  <r>
    <s v="T005328"/>
    <x v="5108"/>
    <d v="2026-09-01T18:20:00"/>
    <x v="4"/>
    <s v="Field Visit"/>
    <x v="0"/>
    <s v="A026"/>
    <x v="2"/>
    <n v="72"/>
    <n v="77.099999999999994"/>
    <x v="0"/>
    <s v="Yes"/>
    <s v="No"/>
    <n v="3"/>
    <s v="Closed"/>
    <s v="August"/>
    <x v="7"/>
    <n v="2026"/>
    <s v="No"/>
    <n v="0"/>
    <x v="4"/>
    <n v="0"/>
  </r>
  <r>
    <s v="T005330"/>
    <x v="5109"/>
    <d v="2026-08-29T19:35:00"/>
    <x v="0"/>
    <s v="Chat"/>
    <x v="1"/>
    <s v="A048"/>
    <x v="1"/>
    <n v="24"/>
    <n v="6.2"/>
    <x v="1"/>
    <s v="No"/>
    <s v="No"/>
    <n v="5"/>
    <s v="Closed"/>
    <s v="August"/>
    <x v="7"/>
    <n v="2026"/>
    <s v="Yes"/>
    <n v="1"/>
    <x v="4"/>
    <n v="1"/>
  </r>
  <r>
    <s v="T005329"/>
    <x v="5109"/>
    <d v="2026-08-30T16:35:00"/>
    <x v="0"/>
    <s v="Phone"/>
    <x v="0"/>
    <s v="A001"/>
    <x v="0"/>
    <n v="72"/>
    <n v="27.2"/>
    <x v="0"/>
    <s v="Yes"/>
    <s v="No"/>
    <n v="3"/>
    <s v="Closed"/>
    <s v="August"/>
    <x v="7"/>
    <n v="2026"/>
    <s v="Yes"/>
    <n v="1"/>
    <x v="1"/>
    <n v="0"/>
  </r>
  <r>
    <s v="T005331"/>
    <x v="5110"/>
    <d v="2026-08-31T18:17:00"/>
    <x v="4"/>
    <s v="Field Visit"/>
    <x v="0"/>
    <s v="A023"/>
    <x v="2"/>
    <n v="72"/>
    <n v="52.8"/>
    <x v="1"/>
    <s v="No"/>
    <s v="No"/>
    <n v="5"/>
    <s v="Closed"/>
    <s v="August"/>
    <x v="7"/>
    <n v="2026"/>
    <s v="Yes"/>
    <n v="1"/>
    <x v="3"/>
    <n v="1"/>
  </r>
  <r>
    <s v="T005332"/>
    <x v="5111"/>
    <d v="2026-08-30T05:26:00"/>
    <x v="0"/>
    <s v="Phone"/>
    <x v="2"/>
    <s v="A059"/>
    <x v="1"/>
    <n v="4"/>
    <n v="15.9"/>
    <x v="0"/>
    <s v="No"/>
    <s v="No"/>
    <m/>
    <s v="Closed"/>
    <s v="August"/>
    <x v="7"/>
    <n v="2026"/>
    <s v="No"/>
    <n v="0"/>
    <x v="3"/>
    <n v="0"/>
  </r>
  <r>
    <s v="T005333"/>
    <x v="5112"/>
    <d v="2026-08-29T16:36:00"/>
    <x v="1"/>
    <s v="Phone"/>
    <x v="0"/>
    <s v="A043"/>
    <x v="1"/>
    <n v="72"/>
    <n v="2.2999999999999998"/>
    <x v="1"/>
    <s v="No"/>
    <s v="No"/>
    <n v="4"/>
    <s v="Closed"/>
    <s v="August"/>
    <x v="7"/>
    <n v="2026"/>
    <s v="Yes"/>
    <n v="1"/>
    <x v="1"/>
    <n v="1"/>
  </r>
  <r>
    <s v="T005334"/>
    <x v="5113"/>
    <d v="2026-08-29T19:55:00"/>
    <x v="6"/>
    <s v="Phone"/>
    <x v="0"/>
    <s v="A002"/>
    <x v="0"/>
    <n v="72"/>
    <n v="5.0999999999999996"/>
    <x v="1"/>
    <s v="No"/>
    <s v="No"/>
    <n v="5"/>
    <s v="Closed"/>
    <s v="August"/>
    <x v="7"/>
    <n v="2026"/>
    <s v="Yes"/>
    <n v="1"/>
    <x v="1"/>
    <n v="1"/>
  </r>
  <r>
    <s v="T005335"/>
    <x v="5114"/>
    <d v="2026-08-30T07:00:00"/>
    <x v="0"/>
    <s v="Chat"/>
    <x v="0"/>
    <s v="A017"/>
    <x v="2"/>
    <n v="72"/>
    <n v="15.6"/>
    <x v="1"/>
    <s v="No"/>
    <s v="No"/>
    <n v="5"/>
    <s v="Closed"/>
    <s v="August"/>
    <x v="7"/>
    <n v="2026"/>
    <s v="Yes"/>
    <n v="1"/>
    <x v="0"/>
    <n v="1"/>
  </r>
  <r>
    <s v="T005336"/>
    <x v="5115"/>
    <d v="2026-08-30T08:28:00"/>
    <x v="3"/>
    <s v="Chat"/>
    <x v="2"/>
    <s v="A028"/>
    <x v="2"/>
    <n v="4"/>
    <n v="16.5"/>
    <x v="0"/>
    <s v="Yes"/>
    <s v="No"/>
    <n v="3"/>
    <s v="Closed"/>
    <s v="August"/>
    <x v="7"/>
    <n v="2026"/>
    <s v="No"/>
    <n v="0"/>
    <x v="0"/>
    <n v="0"/>
  </r>
  <r>
    <s v="T005337"/>
    <x v="5116"/>
    <d v="2026-08-29T20:35:00"/>
    <x v="6"/>
    <s v="Phone"/>
    <x v="1"/>
    <s v="A029"/>
    <x v="2"/>
    <n v="24"/>
    <n v="3.6"/>
    <x v="1"/>
    <s v="No"/>
    <s v="No"/>
    <n v="5"/>
    <s v="Closed"/>
    <s v="August"/>
    <x v="7"/>
    <n v="2026"/>
    <s v="Yes"/>
    <n v="1"/>
    <x v="1"/>
    <n v="1"/>
  </r>
  <r>
    <s v="T005338"/>
    <x v="5117"/>
    <d v="2026-08-30T12:56:00"/>
    <x v="1"/>
    <s v="Phone"/>
    <x v="0"/>
    <s v="A054"/>
    <x v="1"/>
    <n v="72"/>
    <n v="18.899999999999999"/>
    <x v="1"/>
    <s v="No"/>
    <s v="Yes"/>
    <n v="5"/>
    <s v="Closed"/>
    <s v="August"/>
    <x v="7"/>
    <n v="2026"/>
    <s v="Yes"/>
    <n v="1"/>
    <x v="2"/>
    <n v="1"/>
  </r>
  <r>
    <s v="T005339"/>
    <x v="5118"/>
    <d v="2026-08-30T05:39:00"/>
    <x v="0"/>
    <s v="Chat"/>
    <x v="1"/>
    <s v="A018"/>
    <x v="2"/>
    <n v="24"/>
    <n v="10.9"/>
    <x v="1"/>
    <s v="No"/>
    <s v="No"/>
    <n v="5"/>
    <s v="Closed"/>
    <s v="August"/>
    <x v="7"/>
    <n v="2026"/>
    <s v="Yes"/>
    <n v="1"/>
    <x v="0"/>
    <n v="1"/>
  </r>
  <r>
    <s v="T005340"/>
    <x v="5119"/>
    <d v="2026-09-01T10:54:00"/>
    <x v="3"/>
    <s v="Field Visit"/>
    <x v="1"/>
    <s v="A026"/>
    <x v="2"/>
    <n v="24"/>
    <n v="61.1"/>
    <x v="0"/>
    <s v="Yes"/>
    <s v="No"/>
    <m/>
    <s v="Closed"/>
    <s v="August"/>
    <x v="7"/>
    <n v="2026"/>
    <s v="No"/>
    <n v="0"/>
    <x v="1"/>
    <n v="0"/>
  </r>
  <r>
    <s v="T005341"/>
    <x v="5120"/>
    <d v="2026-08-30T02:05:00"/>
    <x v="1"/>
    <s v="Phone"/>
    <x v="0"/>
    <s v="A054"/>
    <x v="1"/>
    <n v="72"/>
    <n v="4.2"/>
    <x v="1"/>
    <s v="No"/>
    <s v="No"/>
    <n v="5"/>
    <s v="Closed"/>
    <s v="August"/>
    <x v="7"/>
    <n v="2026"/>
    <s v="Yes"/>
    <n v="1"/>
    <x v="1"/>
    <n v="1"/>
  </r>
  <r>
    <s v="T005342"/>
    <x v="5121"/>
    <d v="2026-08-30T06:16:00"/>
    <x v="1"/>
    <s v="Phone"/>
    <x v="0"/>
    <s v="A055"/>
    <x v="1"/>
    <n v="72"/>
    <n v="7.7"/>
    <x v="1"/>
    <s v="No"/>
    <s v="No"/>
    <n v="5"/>
    <s v="Closed"/>
    <s v="August"/>
    <x v="7"/>
    <n v="2026"/>
    <s v="Yes"/>
    <n v="1"/>
    <x v="4"/>
    <n v="1"/>
  </r>
  <r>
    <s v="T005343"/>
    <x v="5122"/>
    <d v="2026-08-31T12:25:00"/>
    <x v="2"/>
    <s v="Chat"/>
    <x v="2"/>
    <s v="A010"/>
    <x v="0"/>
    <n v="4"/>
    <n v="33.700000000000003"/>
    <x v="1"/>
    <s v="No"/>
    <s v="No"/>
    <n v="4"/>
    <s v="Closed"/>
    <s v="August"/>
    <x v="7"/>
    <n v="2026"/>
    <s v="No"/>
    <n v="0"/>
    <x v="4"/>
    <n v="1"/>
  </r>
  <r>
    <s v="T005344"/>
    <x v="5123"/>
    <d v="2026-08-30T12:18:00"/>
    <x v="6"/>
    <s v="Phone"/>
    <x v="1"/>
    <s v="A032"/>
    <x v="2"/>
    <n v="24"/>
    <n v="6.8"/>
    <x v="1"/>
    <s v="No"/>
    <s v="Yes"/>
    <n v="4"/>
    <s v="Closed"/>
    <s v="August"/>
    <x v="7"/>
    <n v="2026"/>
    <s v="Yes"/>
    <n v="1"/>
    <x v="4"/>
    <n v="1"/>
  </r>
  <r>
    <s v="T005345"/>
    <x v="5124"/>
    <d v="2026-09-01T04:18:00"/>
    <x v="0"/>
    <s v="Field Visit"/>
    <x v="1"/>
    <s v="A032"/>
    <x v="2"/>
    <n v="24"/>
    <n v="44.9"/>
    <x v="1"/>
    <s v="No"/>
    <s v="No"/>
    <m/>
    <s v="Closed"/>
    <s v="August"/>
    <x v="7"/>
    <n v="2026"/>
    <s v="No"/>
    <n v="0"/>
    <x v="1"/>
    <n v="1"/>
  </r>
  <r>
    <s v="T005346"/>
    <x v="5125"/>
    <d v="2026-09-01T05:38:00"/>
    <x v="3"/>
    <s v="Field Visit"/>
    <x v="0"/>
    <s v="A009"/>
    <x v="0"/>
    <n v="72"/>
    <n v="45.3"/>
    <x v="1"/>
    <s v="No"/>
    <s v="No"/>
    <m/>
    <s v="Closed"/>
    <s v="August"/>
    <x v="7"/>
    <n v="2026"/>
    <s v="Yes"/>
    <n v="1"/>
    <x v="3"/>
    <n v="1"/>
  </r>
  <r>
    <s v="T005347"/>
    <x v="5126"/>
    <d v="2026-08-31T01:54:00"/>
    <x v="2"/>
    <s v="Chat"/>
    <x v="1"/>
    <s v="A032"/>
    <x v="2"/>
    <n v="24"/>
    <n v="16.2"/>
    <x v="1"/>
    <s v="No"/>
    <s v="No"/>
    <n v="5"/>
    <s v="Closed"/>
    <s v="August"/>
    <x v="7"/>
    <n v="2026"/>
    <s v="Yes"/>
    <n v="1"/>
    <x v="4"/>
    <n v="1"/>
  </r>
  <r>
    <s v="T005348"/>
    <x v="5127"/>
    <d v="2026-09-01T14:30:00"/>
    <x v="3"/>
    <s v="Field Visit"/>
    <x v="0"/>
    <s v="A051"/>
    <x v="1"/>
    <n v="72"/>
    <n v="52.5"/>
    <x v="1"/>
    <s v="No"/>
    <s v="No"/>
    <n v="4"/>
    <s v="Closed"/>
    <s v="August"/>
    <x v="7"/>
    <n v="2026"/>
    <s v="Yes"/>
    <n v="1"/>
    <x v="1"/>
    <n v="1"/>
  </r>
  <r>
    <s v="T005349"/>
    <x v="5128"/>
    <d v="2026-08-31T19:07:00"/>
    <x v="6"/>
    <s v="Field Visit"/>
    <x v="2"/>
    <s v="A003"/>
    <x v="0"/>
    <n v="4"/>
    <n v="32.799999999999997"/>
    <x v="1"/>
    <s v="No"/>
    <s v="Yes"/>
    <n v="2"/>
    <s v="Closed"/>
    <s v="August"/>
    <x v="7"/>
    <n v="2026"/>
    <s v="No"/>
    <n v="0"/>
    <x v="3"/>
    <n v="1"/>
  </r>
  <r>
    <s v="T005350"/>
    <x v="5129"/>
    <d v="2026-08-30T20:28:00"/>
    <x v="5"/>
    <s v="Phone"/>
    <x v="1"/>
    <s v="A047"/>
    <x v="1"/>
    <n v="24"/>
    <n v="10.1"/>
    <x v="1"/>
    <s v="No"/>
    <s v="No"/>
    <m/>
    <s v="Closed"/>
    <s v="August"/>
    <x v="7"/>
    <n v="2026"/>
    <s v="Yes"/>
    <n v="1"/>
    <x v="1"/>
    <n v="1"/>
  </r>
  <r>
    <s v="T005351"/>
    <x v="5130"/>
    <d v="2026-08-30T18:03:00"/>
    <x v="1"/>
    <s v="Phone"/>
    <x v="0"/>
    <s v="A004"/>
    <x v="0"/>
    <n v="72"/>
    <n v="6.6"/>
    <x v="0"/>
    <s v="Yes"/>
    <s v="No"/>
    <m/>
    <s v="Closed"/>
    <s v="August"/>
    <x v="7"/>
    <n v="2026"/>
    <s v="Yes"/>
    <n v="1"/>
    <x v="0"/>
    <n v="0"/>
  </r>
  <r>
    <s v="T005352"/>
    <x v="5131"/>
    <d v="2026-08-31T05:06:00"/>
    <x v="6"/>
    <s v="Chat"/>
    <x v="1"/>
    <s v="A056"/>
    <x v="1"/>
    <n v="24"/>
    <n v="17.3"/>
    <x v="0"/>
    <s v="No"/>
    <s v="No"/>
    <m/>
    <s v="Closed"/>
    <s v="August"/>
    <x v="7"/>
    <n v="2026"/>
    <s v="Yes"/>
    <n v="1"/>
    <x v="2"/>
    <n v="0"/>
  </r>
  <r>
    <s v="T005354"/>
    <x v="5132"/>
    <d v="2026-08-30T22:05:00"/>
    <x v="5"/>
    <s v="Chat"/>
    <x v="1"/>
    <s v="A050"/>
    <x v="1"/>
    <n v="24"/>
    <n v="10"/>
    <x v="1"/>
    <s v="No"/>
    <s v="No"/>
    <m/>
    <s v="Closed"/>
    <s v="August"/>
    <x v="7"/>
    <n v="2026"/>
    <s v="Yes"/>
    <n v="1"/>
    <x v="3"/>
    <n v="1"/>
  </r>
  <r>
    <s v="T005353"/>
    <x v="5132"/>
    <d v="2026-08-30T19:53:00"/>
    <x v="2"/>
    <s v="Chat"/>
    <x v="1"/>
    <s v="A006"/>
    <x v="0"/>
    <n v="24"/>
    <n v="7.8"/>
    <x v="1"/>
    <s v="No"/>
    <s v="No"/>
    <m/>
    <s v="Closed"/>
    <s v="August"/>
    <x v="7"/>
    <n v="2026"/>
    <s v="Yes"/>
    <n v="1"/>
    <x v="1"/>
    <n v="1"/>
  </r>
  <r>
    <s v="T005355"/>
    <x v="5133"/>
    <d v="2026-09-02T16:06:00"/>
    <x v="5"/>
    <s v="Field Visit"/>
    <x v="1"/>
    <s v="A005"/>
    <x v="0"/>
    <n v="24"/>
    <n v="75.5"/>
    <x v="1"/>
    <s v="No"/>
    <s v="No"/>
    <n v="4"/>
    <s v="Closed"/>
    <s v="August"/>
    <x v="7"/>
    <n v="2026"/>
    <s v="No"/>
    <n v="0"/>
    <x v="1"/>
    <n v="1"/>
  </r>
  <r>
    <s v="T005356"/>
    <x v="5134"/>
    <d v="2026-08-31T02:13:00"/>
    <x v="1"/>
    <s v="Chat"/>
    <x v="1"/>
    <s v="A014"/>
    <x v="0"/>
    <n v="24"/>
    <n v="13.4"/>
    <x v="1"/>
    <s v="No"/>
    <s v="No"/>
    <n v="5"/>
    <s v="Closed"/>
    <s v="August"/>
    <x v="7"/>
    <n v="2026"/>
    <s v="Yes"/>
    <n v="1"/>
    <x v="4"/>
    <n v="1"/>
  </r>
  <r>
    <s v="T005357"/>
    <x v="5135"/>
    <d v="2026-08-31T19:22:00"/>
    <x v="0"/>
    <s v="Email"/>
    <x v="0"/>
    <s v="A051"/>
    <x v="1"/>
    <n v="72"/>
    <n v="30.3"/>
    <x v="0"/>
    <s v="Yes"/>
    <s v="No"/>
    <m/>
    <s v="Closed"/>
    <s v="August"/>
    <x v="7"/>
    <n v="2026"/>
    <s v="Yes"/>
    <n v="1"/>
    <x v="2"/>
    <n v="0"/>
  </r>
  <r>
    <s v="T005358"/>
    <x v="5136"/>
    <d v="2026-09-01T01:26:00"/>
    <x v="2"/>
    <s v="Field Visit"/>
    <x v="1"/>
    <s v="A049"/>
    <x v="1"/>
    <n v="24"/>
    <n v="36.299999999999997"/>
    <x v="1"/>
    <s v="No"/>
    <s v="Yes"/>
    <n v="4"/>
    <s v="Closed"/>
    <s v="August"/>
    <x v="7"/>
    <n v="2026"/>
    <s v="No"/>
    <n v="0"/>
    <x v="3"/>
    <n v="1"/>
  </r>
  <r>
    <s v="T005359"/>
    <x v="5137"/>
    <d v="2026-08-30T17:10:00"/>
    <x v="1"/>
    <s v="Chat"/>
    <x v="1"/>
    <s v="A031"/>
    <x v="2"/>
    <n v="24"/>
    <n v="4"/>
    <x v="0"/>
    <s v="Yes"/>
    <s v="No"/>
    <n v="4"/>
    <s v="Closed"/>
    <s v="August"/>
    <x v="7"/>
    <n v="2026"/>
    <s v="Yes"/>
    <n v="1"/>
    <x v="4"/>
    <n v="0"/>
  </r>
  <r>
    <s v="T005360"/>
    <x v="5138"/>
    <d v="2026-08-30T15:48:00"/>
    <x v="0"/>
    <s v="Chat"/>
    <x v="0"/>
    <s v="A034"/>
    <x v="2"/>
    <n v="72"/>
    <n v="2.2999999999999998"/>
    <x v="1"/>
    <s v="No"/>
    <s v="No"/>
    <m/>
    <s v="Closed"/>
    <s v="August"/>
    <x v="7"/>
    <n v="2026"/>
    <s v="Yes"/>
    <n v="1"/>
    <x v="0"/>
    <n v="1"/>
  </r>
  <r>
    <s v="T005361"/>
    <x v="5139"/>
    <d v="2026-08-31T11:10:00"/>
    <x v="3"/>
    <s v="Phone"/>
    <x v="1"/>
    <s v="A024"/>
    <x v="2"/>
    <n v="24"/>
    <n v="20.6"/>
    <x v="0"/>
    <s v="Yes"/>
    <s v="No"/>
    <n v="5"/>
    <s v="Closed"/>
    <s v="August"/>
    <x v="7"/>
    <n v="2026"/>
    <s v="Yes"/>
    <n v="1"/>
    <x v="4"/>
    <n v="0"/>
  </r>
  <r>
    <s v="T005362"/>
    <x v="5140"/>
    <d v="2026-08-30T23:03:00"/>
    <x v="0"/>
    <s v="Chat"/>
    <x v="0"/>
    <s v="A001"/>
    <x v="0"/>
    <n v="72"/>
    <n v="8.4"/>
    <x v="1"/>
    <s v="No"/>
    <s v="No"/>
    <n v="5"/>
    <s v="Closed"/>
    <s v="August"/>
    <x v="7"/>
    <n v="2026"/>
    <s v="Yes"/>
    <n v="1"/>
    <x v="0"/>
    <n v="1"/>
  </r>
  <r>
    <s v="T005363"/>
    <x v="5141"/>
    <d v="2026-08-30T23:32:00"/>
    <x v="0"/>
    <s v="Phone"/>
    <x v="2"/>
    <s v="A032"/>
    <x v="2"/>
    <n v="4"/>
    <n v="8.8000000000000007"/>
    <x v="0"/>
    <s v="Yes"/>
    <s v="No"/>
    <n v="2"/>
    <s v="Closed"/>
    <s v="August"/>
    <x v="7"/>
    <n v="2026"/>
    <s v="No"/>
    <n v="0"/>
    <x v="3"/>
    <n v="0"/>
  </r>
  <r>
    <s v="T005364"/>
    <x v="5142"/>
    <d v="2026-08-30T19:43:00"/>
    <x v="1"/>
    <s v="Phone"/>
    <x v="1"/>
    <s v="A060"/>
    <x v="1"/>
    <n v="24"/>
    <n v="4.9000000000000004"/>
    <x v="1"/>
    <s v="No"/>
    <s v="Yes"/>
    <n v="5"/>
    <s v="Closed"/>
    <s v="August"/>
    <x v="7"/>
    <n v="2026"/>
    <s v="Yes"/>
    <n v="1"/>
    <x v="2"/>
    <n v="1"/>
  </r>
  <r>
    <s v="T005365"/>
    <x v="5143"/>
    <d v="2026-08-31T16:30:00"/>
    <x v="3"/>
    <s v="Field Visit"/>
    <x v="2"/>
    <s v="A030"/>
    <x v="2"/>
    <n v="4"/>
    <n v="25.3"/>
    <x v="1"/>
    <s v="No"/>
    <s v="Yes"/>
    <n v="4"/>
    <s v="Closed"/>
    <s v="August"/>
    <x v="7"/>
    <n v="2026"/>
    <s v="No"/>
    <n v="0"/>
    <x v="3"/>
    <n v="1"/>
  </r>
  <r>
    <s v="T005366"/>
    <x v="5144"/>
    <d v="2026-08-31T12:00:00"/>
    <x v="6"/>
    <s v="Email"/>
    <x v="2"/>
    <s v="A006"/>
    <x v="0"/>
    <n v="4"/>
    <n v="19.899999999999999"/>
    <x v="1"/>
    <s v="No"/>
    <s v="No"/>
    <n v="5"/>
    <s v="Closed"/>
    <s v="August"/>
    <x v="7"/>
    <n v="2026"/>
    <s v="No"/>
    <n v="0"/>
    <x v="1"/>
    <n v="1"/>
  </r>
  <r>
    <s v="T005367"/>
    <x v="5145"/>
    <d v="2026-08-31T02:22:00"/>
    <x v="6"/>
    <s v="Phone"/>
    <x v="2"/>
    <s v="A059"/>
    <x v="1"/>
    <n v="4"/>
    <n v="8.4"/>
    <x v="1"/>
    <s v="No"/>
    <s v="No"/>
    <m/>
    <s v="Closed"/>
    <s v="August"/>
    <x v="7"/>
    <n v="2026"/>
    <s v="No"/>
    <n v="0"/>
    <x v="2"/>
    <n v="1"/>
  </r>
  <r>
    <s v="T005368"/>
    <x v="5146"/>
    <d v="2026-08-31T04:29:00"/>
    <x v="6"/>
    <s v="Phone"/>
    <x v="1"/>
    <s v="A020"/>
    <x v="2"/>
    <n v="24"/>
    <n v="10.4"/>
    <x v="0"/>
    <s v="Yes"/>
    <s v="Yes"/>
    <n v="4"/>
    <s v="Closed"/>
    <s v="August"/>
    <x v="7"/>
    <n v="2026"/>
    <s v="Yes"/>
    <n v="1"/>
    <x v="1"/>
    <n v="0"/>
  </r>
  <r>
    <s v="T005369"/>
    <x v="5147"/>
    <d v="2026-08-31T11:09:00"/>
    <x v="5"/>
    <s v="Phone"/>
    <x v="0"/>
    <s v="A009"/>
    <x v="0"/>
    <n v="72"/>
    <n v="14"/>
    <x v="1"/>
    <s v="No"/>
    <s v="No"/>
    <m/>
    <s v="Closed"/>
    <s v="August"/>
    <x v="7"/>
    <n v="2026"/>
    <s v="Yes"/>
    <n v="1"/>
    <x v="2"/>
    <n v="1"/>
  </r>
  <r>
    <s v="T005370"/>
    <x v="5148"/>
    <d v="2026-08-31T08:48:00"/>
    <x v="2"/>
    <s v="Phone"/>
    <x v="1"/>
    <s v="A001"/>
    <x v="0"/>
    <n v="24"/>
    <n v="6.4"/>
    <x v="1"/>
    <s v="No"/>
    <s v="No"/>
    <m/>
    <s v="Closed"/>
    <s v="August"/>
    <x v="7"/>
    <n v="2026"/>
    <s v="Yes"/>
    <n v="1"/>
    <x v="3"/>
    <n v="1"/>
  </r>
  <r>
    <s v="T005371"/>
    <x v="5149"/>
    <d v="2026-09-01T00:34:00"/>
    <x v="6"/>
    <s v="Field Visit"/>
    <x v="2"/>
    <s v="A019"/>
    <x v="2"/>
    <n v="4"/>
    <n v="16.5"/>
    <x v="1"/>
    <s v="No"/>
    <s v="No"/>
    <n v="5"/>
    <s v="Closed"/>
    <s v="August"/>
    <x v="7"/>
    <n v="2026"/>
    <s v="No"/>
    <n v="0"/>
    <x v="4"/>
    <n v="1"/>
  </r>
  <r>
    <s v="T005372"/>
    <x v="5150"/>
    <d v="2026-08-31T18:04:00"/>
    <x v="0"/>
    <s v="Phone"/>
    <x v="1"/>
    <s v="A013"/>
    <x v="0"/>
    <n v="24"/>
    <n v="9.6999999999999993"/>
    <x v="1"/>
    <s v="No"/>
    <s v="No"/>
    <m/>
    <s v="Closed"/>
    <s v="August"/>
    <x v="7"/>
    <n v="2026"/>
    <s v="Yes"/>
    <n v="1"/>
    <x v="4"/>
    <n v="1"/>
  </r>
  <r>
    <s v="T005373"/>
    <x v="5151"/>
    <d v="2026-09-01T07:00:00"/>
    <x v="2"/>
    <s v="Field Visit"/>
    <x v="1"/>
    <s v="A025"/>
    <x v="2"/>
    <n v="24"/>
    <n v="21.8"/>
    <x v="1"/>
    <s v="No"/>
    <s v="No"/>
    <m/>
    <s v="Closed"/>
    <s v="August"/>
    <x v="7"/>
    <n v="2026"/>
    <s v="Yes"/>
    <n v="1"/>
    <x v="2"/>
    <n v="1"/>
  </r>
  <r>
    <s v="T005374"/>
    <x v="5152"/>
    <d v="2026-08-31T16:12:00"/>
    <x v="0"/>
    <s v="Chat"/>
    <x v="0"/>
    <s v="A001"/>
    <x v="0"/>
    <n v="72"/>
    <n v="5.2"/>
    <x v="1"/>
    <s v="No"/>
    <s v="No"/>
    <n v="5"/>
    <s v="Closed"/>
    <s v="August"/>
    <x v="7"/>
    <n v="2026"/>
    <s v="Yes"/>
    <n v="1"/>
    <x v="4"/>
    <n v="1"/>
  </r>
  <r>
    <s v="T005375"/>
    <x v="5153"/>
    <d v="2026-09-01T06:31:00"/>
    <x v="2"/>
    <s v="Field Visit"/>
    <x v="0"/>
    <s v="A060"/>
    <x v="1"/>
    <n v="72"/>
    <n v="19"/>
    <x v="1"/>
    <s v="No"/>
    <s v="No"/>
    <m/>
    <s v="Closed"/>
    <s v="August"/>
    <x v="7"/>
    <n v="2026"/>
    <s v="Yes"/>
    <n v="1"/>
    <x v="1"/>
    <n v="1"/>
  </r>
  <r>
    <s v="T005376"/>
    <x v="5154"/>
    <d v="2026-08-31T18:11:00"/>
    <x v="5"/>
    <s v="Chat"/>
    <x v="1"/>
    <s v="A038"/>
    <x v="1"/>
    <n v="24"/>
    <n v="6.6"/>
    <x v="1"/>
    <s v="No"/>
    <s v="No"/>
    <n v="5"/>
    <s v="Closed"/>
    <s v="August"/>
    <x v="7"/>
    <n v="2026"/>
    <s v="Yes"/>
    <n v="1"/>
    <x v="0"/>
    <n v="1"/>
  </r>
  <r>
    <s v="T005377"/>
    <x v="5155"/>
    <d v="2026-09-01T05:39:00"/>
    <x v="3"/>
    <s v="Field Visit"/>
    <x v="2"/>
    <s v="A039"/>
    <x v="1"/>
    <n v="4"/>
    <n v="17.899999999999999"/>
    <x v="1"/>
    <s v="No"/>
    <s v="No"/>
    <m/>
    <s v="Closed"/>
    <s v="August"/>
    <x v="7"/>
    <n v="2026"/>
    <s v="No"/>
    <n v="0"/>
    <x v="2"/>
    <n v="1"/>
  </r>
  <r>
    <s v="T005378"/>
    <x v="5156"/>
    <d v="2026-09-01T03:32:00"/>
    <x v="6"/>
    <s v="Field Visit"/>
    <x v="1"/>
    <s v="A046"/>
    <x v="1"/>
    <n v="24"/>
    <n v="15.6"/>
    <x v="1"/>
    <s v="No"/>
    <s v="No"/>
    <m/>
    <s v="Closed"/>
    <s v="August"/>
    <x v="7"/>
    <n v="2026"/>
    <s v="Yes"/>
    <n v="1"/>
    <x v="0"/>
    <n v="1"/>
  </r>
  <r>
    <s v="T005379"/>
    <x v="5157"/>
    <d v="2026-08-31T17:23:00"/>
    <x v="2"/>
    <s v="Chat"/>
    <x v="1"/>
    <s v="A059"/>
    <x v="1"/>
    <n v="24"/>
    <n v="5"/>
    <x v="1"/>
    <s v="No"/>
    <s v="No"/>
    <n v="4"/>
    <s v="Closed"/>
    <s v="August"/>
    <x v="7"/>
    <n v="2026"/>
    <s v="Yes"/>
    <n v="1"/>
    <x v="1"/>
    <n v="1"/>
  </r>
  <r>
    <s v="T005380"/>
    <x v="5158"/>
    <d v="2026-08-31T22:15:00"/>
    <x v="2"/>
    <s v="Phone"/>
    <x v="0"/>
    <s v="A013"/>
    <x v="0"/>
    <n v="72"/>
    <n v="9.3000000000000007"/>
    <x v="0"/>
    <s v="No"/>
    <s v="No"/>
    <n v="5"/>
    <s v="Closed"/>
    <s v="August"/>
    <x v="7"/>
    <n v="2026"/>
    <s v="Yes"/>
    <n v="1"/>
    <x v="4"/>
    <n v="0"/>
  </r>
  <r>
    <s v="T005381"/>
    <x v="5159"/>
    <d v="2026-09-01T08:48:00"/>
    <x v="2"/>
    <s v="Chat"/>
    <x v="0"/>
    <s v="A036"/>
    <x v="1"/>
    <n v="72"/>
    <n v="19.100000000000001"/>
    <x v="0"/>
    <s v="Yes"/>
    <s v="No"/>
    <m/>
    <s v="Closed"/>
    <s v="August"/>
    <x v="7"/>
    <n v="2026"/>
    <s v="Yes"/>
    <n v="1"/>
    <x v="0"/>
    <n v="0"/>
  </r>
  <r>
    <s v="T005383"/>
    <x v="5160"/>
    <d v="2026-08-31T15:25:00"/>
    <x v="1"/>
    <s v="Phone"/>
    <x v="1"/>
    <s v="A022"/>
    <x v="2"/>
    <n v="24"/>
    <n v="1.6"/>
    <x v="1"/>
    <s v="No"/>
    <s v="No"/>
    <n v="4"/>
    <s v="Closed"/>
    <s v="August"/>
    <x v="7"/>
    <n v="2026"/>
    <s v="Yes"/>
    <n v="1"/>
    <x v="1"/>
    <n v="1"/>
  </r>
  <r>
    <s v="T005382"/>
    <x v="5160"/>
    <d v="2026-09-02T23:49:00"/>
    <x v="4"/>
    <s v="Field Visit"/>
    <x v="0"/>
    <s v="A052"/>
    <x v="1"/>
    <n v="72"/>
    <n v="58"/>
    <x v="1"/>
    <s v="No"/>
    <s v="No"/>
    <n v="5"/>
    <s v="Closed"/>
    <s v="August"/>
    <x v="7"/>
    <n v="2026"/>
    <s v="Yes"/>
    <n v="1"/>
    <x v="0"/>
    <n v="1"/>
  </r>
  <r>
    <s v="T005384"/>
    <x v="5161"/>
    <d v="2026-08-31T22:29:00"/>
    <x v="0"/>
    <s v="Phone"/>
    <x v="2"/>
    <s v="A032"/>
    <x v="2"/>
    <n v="4"/>
    <n v="7.9"/>
    <x v="0"/>
    <s v="Yes"/>
    <s v="No"/>
    <n v="3"/>
    <s v="Closed"/>
    <s v="August"/>
    <x v="7"/>
    <n v="2026"/>
    <s v="No"/>
    <n v="0"/>
    <x v="1"/>
    <n v="0"/>
  </r>
  <r>
    <s v="T005385"/>
    <x v="5162"/>
    <d v="2026-09-05T03:32:00"/>
    <x v="4"/>
    <s v="Field Visit"/>
    <x v="0"/>
    <s v="A056"/>
    <x v="1"/>
    <n v="72"/>
    <n v="107.1"/>
    <x v="1"/>
    <s v="No"/>
    <s v="No"/>
    <m/>
    <s v="Closed"/>
    <s v="August"/>
    <x v="7"/>
    <n v="2026"/>
    <s v="No"/>
    <n v="0"/>
    <x v="4"/>
    <n v="1"/>
  </r>
  <r>
    <s v="T005386"/>
    <x v="5163"/>
    <d v="2026-09-01T06:46:00"/>
    <x v="5"/>
    <s v="Email"/>
    <x v="2"/>
    <s v="A050"/>
    <x v="1"/>
    <n v="4"/>
    <n v="14.1"/>
    <x v="1"/>
    <s v="No"/>
    <s v="No"/>
    <n v="4"/>
    <s v="Closed"/>
    <s v="August"/>
    <x v="7"/>
    <n v="2026"/>
    <s v="No"/>
    <n v="0"/>
    <x v="1"/>
    <n v="1"/>
  </r>
  <r>
    <s v="T005387"/>
    <x v="5164"/>
    <d v="2026-08-31T23:58:00"/>
    <x v="6"/>
    <s v="Chat"/>
    <x v="2"/>
    <s v="A060"/>
    <x v="1"/>
    <n v="4"/>
    <n v="6.6"/>
    <x v="0"/>
    <s v="Yes"/>
    <s v="No"/>
    <n v="2"/>
    <s v="Closed"/>
    <s v="August"/>
    <x v="7"/>
    <n v="2026"/>
    <s v="No"/>
    <n v="0"/>
    <x v="2"/>
    <n v="0"/>
  </r>
  <r>
    <s v="T005388"/>
    <x v="5165"/>
    <d v="2026-09-01T01:28:00"/>
    <x v="0"/>
    <s v="Chat"/>
    <x v="0"/>
    <s v="A013"/>
    <x v="0"/>
    <n v="72"/>
    <n v="7.1"/>
    <x v="0"/>
    <s v="No"/>
    <s v="No"/>
    <m/>
    <s v="Closed"/>
    <s v="August"/>
    <x v="7"/>
    <n v="2026"/>
    <s v="Yes"/>
    <n v="1"/>
    <x v="2"/>
    <n v="0"/>
  </r>
  <r>
    <s v="T005389"/>
    <x v="5166"/>
    <d v="2026-09-01T05:07:00"/>
    <x v="2"/>
    <s v="Chat"/>
    <x v="1"/>
    <s v="A007"/>
    <x v="0"/>
    <n v="24"/>
    <n v="9.5"/>
    <x v="0"/>
    <s v="No"/>
    <s v="No"/>
    <n v="3"/>
    <s v="Closed"/>
    <s v="August"/>
    <x v="7"/>
    <n v="2026"/>
    <s v="Yes"/>
    <n v="1"/>
    <x v="4"/>
    <n v="0"/>
  </r>
  <r>
    <s v="T005390"/>
    <x v="5167"/>
    <d v="2026-09-01T13:47:00"/>
    <x v="6"/>
    <s v="Field Visit"/>
    <x v="1"/>
    <s v="A045"/>
    <x v="1"/>
    <n v="24"/>
    <n v="10.199999999999999"/>
    <x v="0"/>
    <s v="No"/>
    <s v="No"/>
    <n v="5"/>
    <s v="Closed"/>
    <s v="September"/>
    <x v="8"/>
    <n v="2026"/>
    <s v="Yes"/>
    <n v="1"/>
    <x v="1"/>
    <n v="0"/>
  </r>
  <r>
    <s v="T005391"/>
    <x v="5168"/>
    <d v="2026-09-01T20:25:00"/>
    <x v="6"/>
    <s v="Field Visit"/>
    <x v="1"/>
    <s v="A017"/>
    <x v="2"/>
    <n v="24"/>
    <n v="16.3"/>
    <x v="0"/>
    <s v="No"/>
    <s v="No"/>
    <n v="5"/>
    <s v="Closed"/>
    <s v="September"/>
    <x v="8"/>
    <n v="2026"/>
    <s v="Yes"/>
    <n v="1"/>
    <x v="1"/>
    <n v="0"/>
  </r>
  <r>
    <s v="T005392"/>
    <x v="5168"/>
    <d v="2026-09-02T21:55:00"/>
    <x v="3"/>
    <s v="Field Visit"/>
    <x v="0"/>
    <s v="A042"/>
    <x v="1"/>
    <n v="72"/>
    <n v="41.8"/>
    <x v="1"/>
    <s v="No"/>
    <s v="No"/>
    <m/>
    <s v="Closed"/>
    <s v="September"/>
    <x v="8"/>
    <n v="2026"/>
    <s v="Yes"/>
    <n v="1"/>
    <x v="3"/>
    <n v="1"/>
  </r>
  <r>
    <s v="T005393"/>
    <x v="5169"/>
    <d v="2026-09-02T05:42:00"/>
    <x v="1"/>
    <s v="Email"/>
    <x v="0"/>
    <s v="A017"/>
    <x v="2"/>
    <n v="72"/>
    <n v="22.8"/>
    <x v="1"/>
    <s v="No"/>
    <s v="No"/>
    <n v="5"/>
    <s v="Closed"/>
    <s v="September"/>
    <x v="8"/>
    <n v="2026"/>
    <s v="Yes"/>
    <n v="1"/>
    <x v="2"/>
    <n v="1"/>
  </r>
  <r>
    <s v="T005394"/>
    <x v="5170"/>
    <d v="2026-09-02T09:56:00"/>
    <x v="3"/>
    <s v="Field Visit"/>
    <x v="0"/>
    <s v="A035"/>
    <x v="2"/>
    <n v="72"/>
    <n v="26"/>
    <x v="1"/>
    <s v="No"/>
    <s v="No"/>
    <n v="5"/>
    <s v="Closed"/>
    <s v="September"/>
    <x v="8"/>
    <n v="2026"/>
    <s v="Yes"/>
    <n v="1"/>
    <x v="0"/>
    <n v="1"/>
  </r>
  <r>
    <s v="T005395"/>
    <x v="5171"/>
    <d v="2026-09-01T17:17:00"/>
    <x v="6"/>
    <s v="Phone"/>
    <x v="0"/>
    <s v="A040"/>
    <x v="1"/>
    <n v="72"/>
    <n v="7.6"/>
    <x v="1"/>
    <s v="No"/>
    <s v="No"/>
    <n v="5"/>
    <s v="Closed"/>
    <s v="September"/>
    <x v="8"/>
    <n v="2026"/>
    <s v="Yes"/>
    <n v="1"/>
    <x v="1"/>
    <n v="1"/>
  </r>
  <r>
    <s v="T005396"/>
    <x v="5172"/>
    <d v="2026-09-03T19:49:00"/>
    <x v="0"/>
    <s v="Email"/>
    <x v="1"/>
    <s v="A028"/>
    <x v="2"/>
    <n v="24"/>
    <n v="57.5"/>
    <x v="1"/>
    <s v="No"/>
    <s v="Yes"/>
    <n v="4"/>
    <s v="Closed"/>
    <s v="September"/>
    <x v="8"/>
    <n v="2026"/>
    <s v="No"/>
    <n v="0"/>
    <x v="0"/>
    <n v="1"/>
  </r>
  <r>
    <s v="T005397"/>
    <x v="5173"/>
    <d v="2026-09-05T00:25:00"/>
    <x v="3"/>
    <s v="Field Visit"/>
    <x v="0"/>
    <s v="A015"/>
    <x v="0"/>
    <n v="72"/>
    <n v="84.9"/>
    <x v="1"/>
    <s v="No"/>
    <s v="No"/>
    <m/>
    <s v="Closed"/>
    <s v="September"/>
    <x v="8"/>
    <n v="2026"/>
    <s v="No"/>
    <n v="0"/>
    <x v="0"/>
    <n v="1"/>
  </r>
  <r>
    <s v="T005398"/>
    <x v="5174"/>
    <d v="2026-09-01T23:10:00"/>
    <x v="6"/>
    <s v="Field Visit"/>
    <x v="2"/>
    <s v="A045"/>
    <x v="1"/>
    <n v="4"/>
    <n v="10.199999999999999"/>
    <x v="1"/>
    <s v="No"/>
    <s v="Yes"/>
    <m/>
    <s v="Closed"/>
    <s v="September"/>
    <x v="8"/>
    <n v="2026"/>
    <s v="No"/>
    <n v="0"/>
    <x v="1"/>
    <n v="1"/>
  </r>
  <r>
    <s v="T005399"/>
    <x v="5175"/>
    <d v="2026-09-01T19:15:00"/>
    <x v="6"/>
    <s v="Phone"/>
    <x v="1"/>
    <s v="A006"/>
    <x v="0"/>
    <n v="24"/>
    <n v="5.3"/>
    <x v="1"/>
    <s v="No"/>
    <s v="No"/>
    <n v="4"/>
    <s v="Closed"/>
    <s v="September"/>
    <x v="8"/>
    <n v="2026"/>
    <s v="Yes"/>
    <n v="1"/>
    <x v="3"/>
    <n v="1"/>
  </r>
  <r>
    <s v="T005400"/>
    <x v="5176"/>
    <d v="2026-09-02T15:02:00"/>
    <x v="0"/>
    <s v="Email"/>
    <x v="1"/>
    <s v="A001"/>
    <x v="0"/>
    <n v="24"/>
    <n v="24.1"/>
    <x v="1"/>
    <s v="No"/>
    <s v="No"/>
    <m/>
    <s v="Closed"/>
    <s v="September"/>
    <x v="8"/>
    <n v="2026"/>
    <s v="No"/>
    <n v="0"/>
    <x v="3"/>
    <n v="1"/>
  </r>
  <r>
    <s v="T005401"/>
    <x v="5177"/>
    <d v="2026-09-03T06:20:00"/>
    <x v="2"/>
    <s v="Email"/>
    <x v="1"/>
    <s v="A047"/>
    <x v="1"/>
    <n v="24"/>
    <n v="39.299999999999997"/>
    <x v="1"/>
    <s v="No"/>
    <s v="No"/>
    <n v="4"/>
    <s v="Closed"/>
    <s v="September"/>
    <x v="8"/>
    <n v="2026"/>
    <s v="No"/>
    <n v="0"/>
    <x v="3"/>
    <n v="1"/>
  </r>
  <r>
    <s v="T005402"/>
    <x v="5178"/>
    <d v="2026-09-02T15:14:00"/>
    <x v="0"/>
    <s v="Phone"/>
    <x v="2"/>
    <s v="A033"/>
    <x v="2"/>
    <n v="4"/>
    <n v="23.7"/>
    <x v="1"/>
    <s v="No"/>
    <s v="No"/>
    <n v="5"/>
    <s v="Closed"/>
    <s v="September"/>
    <x v="8"/>
    <n v="2026"/>
    <s v="No"/>
    <n v="0"/>
    <x v="0"/>
    <n v="1"/>
  </r>
  <r>
    <s v="T005403"/>
    <x v="5179"/>
    <d v="2026-09-01T19:10:00"/>
    <x v="1"/>
    <s v="Phone"/>
    <x v="0"/>
    <s v="A002"/>
    <x v="0"/>
    <n v="72"/>
    <n v="3.6"/>
    <x v="1"/>
    <s v="No"/>
    <s v="No"/>
    <n v="4"/>
    <s v="Closed"/>
    <s v="September"/>
    <x v="8"/>
    <n v="2026"/>
    <s v="Yes"/>
    <n v="1"/>
    <x v="4"/>
    <n v="1"/>
  </r>
  <r>
    <s v="T005404"/>
    <x v="5180"/>
    <d v="2026-09-02T14:00:00"/>
    <x v="1"/>
    <s v="Phone"/>
    <x v="1"/>
    <s v="A023"/>
    <x v="2"/>
    <n v="24"/>
    <n v="22.1"/>
    <x v="1"/>
    <s v="No"/>
    <s v="No"/>
    <n v="4"/>
    <s v="Closed"/>
    <s v="September"/>
    <x v="8"/>
    <n v="2026"/>
    <s v="Yes"/>
    <n v="1"/>
    <x v="0"/>
    <n v="1"/>
  </r>
  <r>
    <s v="T005405"/>
    <x v="5181"/>
    <d v="2026-09-03T20:50:00"/>
    <x v="3"/>
    <s v="Phone"/>
    <x v="1"/>
    <s v="A033"/>
    <x v="2"/>
    <n v="24"/>
    <n v="52.4"/>
    <x v="1"/>
    <s v="No"/>
    <s v="No"/>
    <n v="3"/>
    <s v="Closed"/>
    <s v="September"/>
    <x v="8"/>
    <n v="2026"/>
    <s v="No"/>
    <n v="0"/>
    <x v="1"/>
    <n v="1"/>
  </r>
  <r>
    <s v="T005406"/>
    <x v="5182"/>
    <d v="2026-09-03T19:34:00"/>
    <x v="3"/>
    <s v="Field Visit"/>
    <x v="0"/>
    <s v="A040"/>
    <x v="1"/>
    <n v="72"/>
    <n v="50.9"/>
    <x v="0"/>
    <s v="No"/>
    <s v="No"/>
    <n v="2"/>
    <s v="Closed"/>
    <s v="September"/>
    <x v="8"/>
    <n v="2026"/>
    <s v="Yes"/>
    <n v="1"/>
    <x v="4"/>
    <n v="0"/>
  </r>
  <r>
    <s v="T005407"/>
    <x v="5183"/>
    <d v="2026-09-02T02:00:00"/>
    <x v="0"/>
    <s v="Email"/>
    <x v="1"/>
    <s v="A057"/>
    <x v="1"/>
    <n v="24"/>
    <n v="8.9"/>
    <x v="1"/>
    <s v="No"/>
    <s v="No"/>
    <n v="5"/>
    <s v="Closed"/>
    <s v="September"/>
    <x v="8"/>
    <n v="2026"/>
    <s v="Yes"/>
    <n v="1"/>
    <x v="1"/>
    <n v="1"/>
  </r>
  <r>
    <s v="T005408"/>
    <x v="5184"/>
    <d v="2026-09-04T01:39:00"/>
    <x v="4"/>
    <s v="Phone"/>
    <x v="2"/>
    <s v="A013"/>
    <x v="0"/>
    <n v="4"/>
    <n v="54.9"/>
    <x v="1"/>
    <s v="No"/>
    <s v="No"/>
    <n v="3"/>
    <s v="Closed"/>
    <s v="September"/>
    <x v="8"/>
    <n v="2026"/>
    <s v="No"/>
    <n v="0"/>
    <x v="4"/>
    <n v="1"/>
  </r>
  <r>
    <s v="T005409"/>
    <x v="5185"/>
    <d v="2026-09-02T02:33:00"/>
    <x v="6"/>
    <s v="Phone"/>
    <x v="2"/>
    <s v="A052"/>
    <x v="1"/>
    <n v="4"/>
    <n v="6.7"/>
    <x v="1"/>
    <s v="No"/>
    <s v="No"/>
    <n v="5"/>
    <s v="Closed"/>
    <s v="September"/>
    <x v="8"/>
    <n v="2026"/>
    <s v="No"/>
    <n v="0"/>
    <x v="4"/>
    <n v="1"/>
  </r>
  <r>
    <s v="T005410"/>
    <x v="5186"/>
    <d v="2026-09-02T15:27:00"/>
    <x v="6"/>
    <s v="Field Visit"/>
    <x v="2"/>
    <s v="A040"/>
    <x v="1"/>
    <n v="4"/>
    <n v="19.2"/>
    <x v="1"/>
    <s v="No"/>
    <s v="Yes"/>
    <n v="5"/>
    <s v="Closed"/>
    <s v="September"/>
    <x v="8"/>
    <n v="2026"/>
    <s v="No"/>
    <n v="0"/>
    <x v="1"/>
    <n v="1"/>
  </r>
  <r>
    <s v="T005411"/>
    <x v="5187"/>
    <d v="2026-09-01T21:58:00"/>
    <x v="5"/>
    <s v="Chat"/>
    <x v="0"/>
    <s v="A014"/>
    <x v="0"/>
    <n v="72"/>
    <n v="1.5"/>
    <x v="1"/>
    <s v="No"/>
    <s v="No"/>
    <n v="4"/>
    <s v="Closed"/>
    <s v="September"/>
    <x v="8"/>
    <n v="2026"/>
    <s v="Yes"/>
    <n v="1"/>
    <x v="4"/>
    <n v="1"/>
  </r>
  <r>
    <s v="T005412"/>
    <x v="5188"/>
    <d v="2026-09-02T08:08:00"/>
    <x v="6"/>
    <s v="Phone"/>
    <x v="0"/>
    <s v="A056"/>
    <x v="1"/>
    <n v="72"/>
    <n v="9.5"/>
    <x v="1"/>
    <s v="No"/>
    <s v="No"/>
    <n v="5"/>
    <s v="Closed"/>
    <s v="September"/>
    <x v="8"/>
    <n v="2026"/>
    <s v="Yes"/>
    <n v="1"/>
    <x v="0"/>
    <n v="1"/>
  </r>
  <r>
    <s v="T005413"/>
    <x v="5189"/>
    <d v="2026-09-02T03:47:00"/>
    <x v="2"/>
    <s v="Chat"/>
    <x v="1"/>
    <s v="A010"/>
    <x v="0"/>
    <n v="24"/>
    <n v="3.6"/>
    <x v="1"/>
    <s v="No"/>
    <s v="No"/>
    <n v="5"/>
    <s v="Closed"/>
    <s v="September"/>
    <x v="8"/>
    <n v="2026"/>
    <s v="Yes"/>
    <n v="1"/>
    <x v="3"/>
    <n v="1"/>
  </r>
  <r>
    <s v="T005414"/>
    <x v="5190"/>
    <d v="2026-09-02T12:53:00"/>
    <x v="1"/>
    <s v="Phone"/>
    <x v="0"/>
    <s v="A048"/>
    <x v="1"/>
    <n v="72"/>
    <n v="7.2"/>
    <x v="1"/>
    <s v="No"/>
    <s v="No"/>
    <m/>
    <s v="Closed"/>
    <s v="September"/>
    <x v="8"/>
    <n v="2026"/>
    <s v="Yes"/>
    <n v="1"/>
    <x v="4"/>
    <n v="1"/>
  </r>
  <r>
    <s v="T005415"/>
    <x v="5191"/>
    <d v="2026-09-02T09:58:00"/>
    <x v="5"/>
    <s v="Phone"/>
    <x v="1"/>
    <s v="A038"/>
    <x v="1"/>
    <n v="24"/>
    <n v="3.4"/>
    <x v="1"/>
    <s v="No"/>
    <s v="Yes"/>
    <m/>
    <s v="Closed"/>
    <s v="September"/>
    <x v="8"/>
    <n v="2026"/>
    <s v="Yes"/>
    <n v="1"/>
    <x v="3"/>
    <n v="1"/>
  </r>
  <r>
    <s v="T005416"/>
    <x v="5192"/>
    <d v="2026-09-02T16:59:00"/>
    <x v="6"/>
    <s v="Phone"/>
    <x v="1"/>
    <s v="A020"/>
    <x v="2"/>
    <n v="24"/>
    <n v="10.3"/>
    <x v="1"/>
    <s v="No"/>
    <s v="No"/>
    <m/>
    <s v="Closed"/>
    <s v="September"/>
    <x v="8"/>
    <n v="2026"/>
    <s v="Yes"/>
    <n v="1"/>
    <x v="3"/>
    <n v="1"/>
  </r>
  <r>
    <s v="T005417"/>
    <x v="5193"/>
    <d v="2026-09-04T02:38:00"/>
    <x v="3"/>
    <s v="Phone"/>
    <x v="2"/>
    <s v="A010"/>
    <x v="0"/>
    <n v="4"/>
    <n v="41.9"/>
    <x v="0"/>
    <s v="No"/>
    <s v="No"/>
    <m/>
    <s v="Closed"/>
    <s v="September"/>
    <x v="8"/>
    <n v="2026"/>
    <s v="No"/>
    <n v="0"/>
    <x v="0"/>
    <n v="0"/>
  </r>
  <r>
    <s v="T005418"/>
    <x v="5194"/>
    <d v="2026-09-02T23:35:00"/>
    <x v="2"/>
    <s v="Email"/>
    <x v="1"/>
    <s v="A049"/>
    <x v="1"/>
    <n v="24"/>
    <n v="14"/>
    <x v="1"/>
    <s v="No"/>
    <s v="No"/>
    <m/>
    <s v="Closed"/>
    <s v="September"/>
    <x v="8"/>
    <n v="2026"/>
    <s v="Yes"/>
    <n v="1"/>
    <x v="1"/>
    <n v="1"/>
  </r>
  <r>
    <s v="T005419"/>
    <x v="5195"/>
    <d v="2026-09-02T14:38:00"/>
    <x v="1"/>
    <s v="Phone"/>
    <x v="1"/>
    <s v="A030"/>
    <x v="2"/>
    <n v="24"/>
    <n v="4.8"/>
    <x v="0"/>
    <s v="Yes"/>
    <s v="No"/>
    <n v="4"/>
    <s v="Closed"/>
    <s v="September"/>
    <x v="8"/>
    <n v="2026"/>
    <s v="Yes"/>
    <n v="1"/>
    <x v="2"/>
    <n v="0"/>
  </r>
  <r>
    <s v="T005420"/>
    <x v="5196"/>
    <d v="2026-09-04T07:52:00"/>
    <x v="4"/>
    <s v="Email"/>
    <x v="0"/>
    <s v="A032"/>
    <x v="2"/>
    <n v="72"/>
    <n v="45.6"/>
    <x v="0"/>
    <s v="Yes"/>
    <s v="No"/>
    <m/>
    <s v="Closed"/>
    <s v="September"/>
    <x v="8"/>
    <n v="2026"/>
    <s v="Yes"/>
    <n v="1"/>
    <x v="1"/>
    <n v="0"/>
  </r>
  <r>
    <s v="T005421"/>
    <x v="5197"/>
    <d v="2026-09-03T09:07:00"/>
    <x v="6"/>
    <s v="Field Visit"/>
    <x v="0"/>
    <s v="A008"/>
    <x v="0"/>
    <n v="72"/>
    <n v="22.7"/>
    <x v="0"/>
    <s v="Yes"/>
    <s v="No"/>
    <n v="5"/>
    <s v="Closed"/>
    <s v="September"/>
    <x v="8"/>
    <n v="2026"/>
    <s v="Yes"/>
    <n v="1"/>
    <x v="4"/>
    <n v="0"/>
  </r>
  <r>
    <s v="T005422"/>
    <x v="5198"/>
    <d v="2026-09-02T21:49:00"/>
    <x v="2"/>
    <s v="Phone"/>
    <x v="1"/>
    <s v="A034"/>
    <x v="2"/>
    <n v="24"/>
    <n v="11.2"/>
    <x v="1"/>
    <s v="No"/>
    <s v="No"/>
    <m/>
    <s v="Closed"/>
    <s v="September"/>
    <x v="8"/>
    <n v="2026"/>
    <s v="Yes"/>
    <n v="1"/>
    <x v="2"/>
    <n v="1"/>
  </r>
  <r>
    <s v="T005423"/>
    <x v="5199"/>
    <d v="2026-09-02T23:52:00"/>
    <x v="0"/>
    <s v="Field Visit"/>
    <x v="0"/>
    <s v="A054"/>
    <x v="1"/>
    <n v="72"/>
    <n v="10.7"/>
    <x v="1"/>
    <s v="No"/>
    <s v="No"/>
    <n v="3"/>
    <s v="Closed"/>
    <s v="September"/>
    <x v="8"/>
    <n v="2026"/>
    <s v="Yes"/>
    <n v="1"/>
    <x v="2"/>
    <n v="1"/>
  </r>
  <r>
    <s v="T005424"/>
    <x v="5200"/>
    <d v="2026-09-03T01:56:00"/>
    <x v="0"/>
    <s v="Phone"/>
    <x v="2"/>
    <s v="A043"/>
    <x v="1"/>
    <n v="4"/>
    <n v="12.7"/>
    <x v="0"/>
    <s v="No"/>
    <s v="No"/>
    <n v="2"/>
    <s v="Closed"/>
    <s v="September"/>
    <x v="8"/>
    <n v="2026"/>
    <s v="No"/>
    <n v="0"/>
    <x v="4"/>
    <n v="0"/>
  </r>
  <r>
    <s v="T005425"/>
    <x v="5201"/>
    <d v="2026-09-02T17:33:00"/>
    <x v="2"/>
    <s v="Chat"/>
    <x v="1"/>
    <s v="A047"/>
    <x v="1"/>
    <n v="24"/>
    <n v="3.7"/>
    <x v="1"/>
    <s v="No"/>
    <s v="No"/>
    <m/>
    <s v="Closed"/>
    <s v="September"/>
    <x v="8"/>
    <n v="2026"/>
    <s v="Yes"/>
    <n v="1"/>
    <x v="2"/>
    <n v="1"/>
  </r>
  <r>
    <s v="T005426"/>
    <x v="5202"/>
    <d v="2026-09-02T17:05:00"/>
    <x v="1"/>
    <s v="Phone"/>
    <x v="1"/>
    <s v="A016"/>
    <x v="2"/>
    <n v="24"/>
    <n v="2.6"/>
    <x v="0"/>
    <s v="No"/>
    <s v="No"/>
    <n v="4"/>
    <s v="Closed"/>
    <s v="September"/>
    <x v="8"/>
    <n v="2026"/>
    <s v="Yes"/>
    <n v="1"/>
    <x v="3"/>
    <n v="0"/>
  </r>
  <r>
    <s v="T005427"/>
    <x v="5203"/>
    <d v="2026-09-03T03:39:00"/>
    <x v="5"/>
    <s v="Field Visit"/>
    <x v="1"/>
    <s v="A044"/>
    <x v="1"/>
    <n v="24"/>
    <n v="12.8"/>
    <x v="0"/>
    <s v="Yes"/>
    <s v="Yes"/>
    <n v="3"/>
    <s v="Closed"/>
    <s v="September"/>
    <x v="8"/>
    <n v="2026"/>
    <s v="Yes"/>
    <n v="1"/>
    <x v="2"/>
    <n v="0"/>
  </r>
  <r>
    <s v="T005428"/>
    <x v="5204"/>
    <d v="2026-09-02T17:41:00"/>
    <x v="1"/>
    <s v="Chat"/>
    <x v="0"/>
    <s v="A031"/>
    <x v="2"/>
    <n v="72"/>
    <n v="2.1"/>
    <x v="0"/>
    <s v="No"/>
    <s v="No"/>
    <n v="3"/>
    <s v="Closed"/>
    <s v="September"/>
    <x v="8"/>
    <n v="2026"/>
    <s v="Yes"/>
    <n v="1"/>
    <x v="4"/>
    <n v="0"/>
  </r>
  <r>
    <s v="T005429"/>
    <x v="5205"/>
    <d v="2026-09-03T00:52:00"/>
    <x v="5"/>
    <s v="Phone"/>
    <x v="0"/>
    <s v="A044"/>
    <x v="1"/>
    <n v="72"/>
    <n v="7.2"/>
    <x v="1"/>
    <s v="No"/>
    <s v="No"/>
    <n v="4"/>
    <s v="Closed"/>
    <s v="September"/>
    <x v="8"/>
    <n v="2026"/>
    <s v="Yes"/>
    <n v="1"/>
    <x v="2"/>
    <n v="1"/>
  </r>
  <r>
    <s v="T005430"/>
    <x v="5206"/>
    <d v="2026-09-03T19:27:00"/>
    <x v="0"/>
    <s v="Field Visit"/>
    <x v="0"/>
    <s v="A043"/>
    <x v="1"/>
    <n v="72"/>
    <n v="25.2"/>
    <x v="1"/>
    <s v="No"/>
    <s v="No"/>
    <n v="4"/>
    <s v="Closed"/>
    <s v="September"/>
    <x v="8"/>
    <n v="2026"/>
    <s v="Yes"/>
    <n v="1"/>
    <x v="0"/>
    <n v="1"/>
  </r>
  <r>
    <s v="T005431"/>
    <x v="5207"/>
    <d v="2026-09-04T21:45:00"/>
    <x v="3"/>
    <s v="Field Visit"/>
    <x v="0"/>
    <s v="A048"/>
    <x v="1"/>
    <n v="72"/>
    <n v="50.7"/>
    <x v="1"/>
    <s v="No"/>
    <s v="No"/>
    <m/>
    <s v="Closed"/>
    <s v="September"/>
    <x v="8"/>
    <n v="2026"/>
    <s v="Yes"/>
    <n v="1"/>
    <x v="0"/>
    <n v="1"/>
  </r>
  <r>
    <s v="T005432"/>
    <x v="5208"/>
    <d v="2026-09-03T05:25:00"/>
    <x v="2"/>
    <s v="Chat"/>
    <x v="0"/>
    <s v="A052"/>
    <x v="1"/>
    <n v="72"/>
    <n v="9.5"/>
    <x v="1"/>
    <s v="No"/>
    <s v="No"/>
    <m/>
    <s v="Closed"/>
    <s v="September"/>
    <x v="8"/>
    <n v="2026"/>
    <s v="Yes"/>
    <n v="1"/>
    <x v="4"/>
    <n v="1"/>
  </r>
  <r>
    <s v="T005433"/>
    <x v="5209"/>
    <d v="2026-09-04T22:23:00"/>
    <x v="0"/>
    <s v="Field Visit"/>
    <x v="1"/>
    <s v="A046"/>
    <x v="1"/>
    <n v="24"/>
    <n v="49.8"/>
    <x v="1"/>
    <s v="No"/>
    <s v="No"/>
    <n v="5"/>
    <s v="Closed"/>
    <s v="September"/>
    <x v="8"/>
    <n v="2026"/>
    <s v="No"/>
    <n v="0"/>
    <x v="2"/>
    <n v="1"/>
  </r>
  <r>
    <s v="T005434"/>
    <x v="5210"/>
    <d v="2026-09-06T09:01:00"/>
    <x v="3"/>
    <s v="Field Visit"/>
    <x v="1"/>
    <s v="A038"/>
    <x v="1"/>
    <n v="24"/>
    <n v="78.8"/>
    <x v="1"/>
    <s v="No"/>
    <s v="No"/>
    <m/>
    <s v="Closed"/>
    <s v="September"/>
    <x v="8"/>
    <n v="2026"/>
    <s v="No"/>
    <n v="0"/>
    <x v="3"/>
    <n v="1"/>
  </r>
  <r>
    <s v="T005435"/>
    <x v="5211"/>
    <d v="2026-09-03T11:53:00"/>
    <x v="3"/>
    <s v="Chat"/>
    <x v="2"/>
    <s v="A035"/>
    <x v="2"/>
    <n v="4"/>
    <n v="6.4"/>
    <x v="0"/>
    <s v="Yes"/>
    <s v="No"/>
    <n v="3"/>
    <s v="Closed"/>
    <s v="September"/>
    <x v="8"/>
    <n v="2026"/>
    <s v="No"/>
    <n v="0"/>
    <x v="1"/>
    <n v="0"/>
  </r>
  <r>
    <s v="T005436"/>
    <x v="5212"/>
    <d v="2026-09-03T09:27:00"/>
    <x v="6"/>
    <s v="Chat"/>
    <x v="2"/>
    <s v="A043"/>
    <x v="1"/>
    <n v="4"/>
    <n v="3.6"/>
    <x v="1"/>
    <s v="No"/>
    <s v="No"/>
    <n v="5"/>
    <s v="Closed"/>
    <s v="September"/>
    <x v="8"/>
    <n v="2026"/>
    <s v="Yes"/>
    <n v="1"/>
    <x v="0"/>
    <n v="1"/>
  </r>
  <r>
    <s v="T005437"/>
    <x v="5213"/>
    <d v="2026-09-03T08:51:00"/>
    <x v="6"/>
    <s v="Phone"/>
    <x v="0"/>
    <s v="A002"/>
    <x v="0"/>
    <n v="72"/>
    <n v="2.6"/>
    <x v="0"/>
    <s v="No"/>
    <s v="No"/>
    <n v="5"/>
    <s v="Closed"/>
    <s v="September"/>
    <x v="8"/>
    <n v="2026"/>
    <s v="Yes"/>
    <n v="1"/>
    <x v="3"/>
    <n v="0"/>
  </r>
  <r>
    <s v="T005438"/>
    <x v="5214"/>
    <d v="2026-09-03T17:05:00"/>
    <x v="3"/>
    <s v="Chat"/>
    <x v="2"/>
    <s v="A060"/>
    <x v="1"/>
    <n v="4"/>
    <n v="9.9"/>
    <x v="1"/>
    <s v="No"/>
    <s v="No"/>
    <n v="4"/>
    <s v="Closed"/>
    <s v="September"/>
    <x v="8"/>
    <n v="2026"/>
    <s v="No"/>
    <n v="0"/>
    <x v="1"/>
    <n v="1"/>
  </r>
  <r>
    <s v="T005439"/>
    <x v="5215"/>
    <d v="2026-09-05T21:41:00"/>
    <x v="3"/>
    <s v="Field Visit"/>
    <x v="0"/>
    <s v="A042"/>
    <x v="1"/>
    <n v="72"/>
    <n v="62.1"/>
    <x v="1"/>
    <s v="No"/>
    <s v="No"/>
    <n v="4"/>
    <s v="Closed"/>
    <s v="September"/>
    <x v="8"/>
    <n v="2026"/>
    <s v="Yes"/>
    <n v="1"/>
    <x v="1"/>
    <n v="1"/>
  </r>
  <r>
    <s v="T005440"/>
    <x v="5216"/>
    <d v="2026-09-04T23:40:00"/>
    <x v="3"/>
    <s v="Field Visit"/>
    <x v="0"/>
    <s v="A047"/>
    <x v="1"/>
    <n v="72"/>
    <n v="39.299999999999997"/>
    <x v="1"/>
    <s v="No"/>
    <s v="No"/>
    <m/>
    <s v="Closed"/>
    <s v="September"/>
    <x v="8"/>
    <n v="2026"/>
    <s v="Yes"/>
    <n v="1"/>
    <x v="4"/>
    <n v="1"/>
  </r>
  <r>
    <s v="T005441"/>
    <x v="5217"/>
    <d v="2026-09-03T15:38:00"/>
    <x v="2"/>
    <s v="Chat"/>
    <x v="2"/>
    <s v="A014"/>
    <x v="0"/>
    <n v="4"/>
    <n v="6.9"/>
    <x v="1"/>
    <s v="No"/>
    <s v="No"/>
    <n v="4"/>
    <s v="Closed"/>
    <s v="September"/>
    <x v="8"/>
    <n v="2026"/>
    <s v="No"/>
    <n v="0"/>
    <x v="3"/>
    <n v="1"/>
  </r>
  <r>
    <s v="T005442"/>
    <x v="5218"/>
    <d v="2026-09-03T14:24:00"/>
    <x v="1"/>
    <s v="Phone"/>
    <x v="0"/>
    <s v="A019"/>
    <x v="2"/>
    <n v="72"/>
    <n v="4.9000000000000004"/>
    <x v="1"/>
    <s v="No"/>
    <s v="No"/>
    <m/>
    <s v="Closed"/>
    <s v="September"/>
    <x v="8"/>
    <n v="2026"/>
    <s v="Yes"/>
    <n v="1"/>
    <x v="0"/>
    <n v="1"/>
  </r>
  <r>
    <s v="T005443"/>
    <x v="5219"/>
    <d v="2026-09-03T17:48:00"/>
    <x v="1"/>
    <s v="Phone"/>
    <x v="1"/>
    <s v="A034"/>
    <x v="2"/>
    <n v="24"/>
    <n v="8.1999999999999993"/>
    <x v="1"/>
    <s v="No"/>
    <s v="No"/>
    <n v="4"/>
    <s v="Closed"/>
    <s v="September"/>
    <x v="8"/>
    <n v="2026"/>
    <s v="Yes"/>
    <n v="1"/>
    <x v="1"/>
    <n v="1"/>
  </r>
  <r>
    <s v="T005444"/>
    <x v="5220"/>
    <d v="2026-09-03T20:59:00"/>
    <x v="2"/>
    <s v="Chat"/>
    <x v="0"/>
    <s v="A004"/>
    <x v="0"/>
    <n v="72"/>
    <n v="10.6"/>
    <x v="1"/>
    <s v="No"/>
    <s v="No"/>
    <m/>
    <s v="Closed"/>
    <s v="September"/>
    <x v="8"/>
    <n v="2026"/>
    <s v="Yes"/>
    <n v="1"/>
    <x v="4"/>
    <n v="1"/>
  </r>
  <r>
    <s v="T005445"/>
    <x v="5221"/>
    <d v="2026-09-03T15:14:00"/>
    <x v="6"/>
    <s v="Chat"/>
    <x v="0"/>
    <s v="A023"/>
    <x v="2"/>
    <n v="72"/>
    <n v="4.7"/>
    <x v="0"/>
    <s v="Yes"/>
    <s v="No"/>
    <m/>
    <s v="Closed"/>
    <s v="September"/>
    <x v="8"/>
    <n v="2026"/>
    <s v="Yes"/>
    <n v="1"/>
    <x v="4"/>
    <n v="0"/>
  </r>
  <r>
    <s v="T005446"/>
    <x v="5222"/>
    <d v="2026-09-03T17:21:00"/>
    <x v="1"/>
    <s v="Phone"/>
    <x v="0"/>
    <s v="A015"/>
    <x v="0"/>
    <n v="72"/>
    <n v="6.4"/>
    <x v="0"/>
    <s v="No"/>
    <s v="No"/>
    <m/>
    <s v="Closed"/>
    <s v="September"/>
    <x v="8"/>
    <n v="2026"/>
    <s v="Yes"/>
    <n v="1"/>
    <x v="4"/>
    <n v="0"/>
  </r>
  <r>
    <s v="T005447"/>
    <x v="5223"/>
    <d v="2026-09-04T06:50:00"/>
    <x v="2"/>
    <s v="Email"/>
    <x v="0"/>
    <s v="A040"/>
    <x v="1"/>
    <n v="72"/>
    <n v="18"/>
    <x v="0"/>
    <s v="Yes"/>
    <s v="No"/>
    <n v="3"/>
    <s v="Closed"/>
    <s v="September"/>
    <x v="8"/>
    <n v="2026"/>
    <s v="Yes"/>
    <n v="1"/>
    <x v="1"/>
    <n v="0"/>
  </r>
  <r>
    <s v="T005448"/>
    <x v="5224"/>
    <d v="2026-09-03T22:28:00"/>
    <x v="0"/>
    <s v="Phone"/>
    <x v="2"/>
    <s v="A017"/>
    <x v="2"/>
    <n v="4"/>
    <n v="9.1999999999999993"/>
    <x v="1"/>
    <s v="No"/>
    <s v="No"/>
    <n v="5"/>
    <s v="Closed"/>
    <s v="September"/>
    <x v="8"/>
    <n v="2026"/>
    <s v="No"/>
    <n v="0"/>
    <x v="1"/>
    <n v="1"/>
  </r>
  <r>
    <s v="T005449"/>
    <x v="5225"/>
    <d v="2026-09-04T01:21:00"/>
    <x v="6"/>
    <s v="Field Visit"/>
    <x v="1"/>
    <s v="A044"/>
    <x v="1"/>
    <n v="24"/>
    <n v="11.7"/>
    <x v="0"/>
    <s v="Yes"/>
    <s v="No"/>
    <m/>
    <s v="Closed"/>
    <s v="September"/>
    <x v="8"/>
    <n v="2026"/>
    <s v="Yes"/>
    <n v="1"/>
    <x v="1"/>
    <n v="0"/>
  </r>
  <r>
    <s v="T005450"/>
    <x v="5226"/>
    <d v="2026-09-03T22:57:00"/>
    <x v="1"/>
    <s v="Chat"/>
    <x v="0"/>
    <s v="A058"/>
    <x v="1"/>
    <n v="72"/>
    <n v="8.6999999999999993"/>
    <x v="1"/>
    <s v="No"/>
    <s v="No"/>
    <n v="5"/>
    <s v="Closed"/>
    <s v="September"/>
    <x v="8"/>
    <n v="2026"/>
    <s v="Yes"/>
    <n v="1"/>
    <x v="4"/>
    <n v="1"/>
  </r>
  <r>
    <s v="T005451"/>
    <x v="5227"/>
    <d v="2026-09-03T18:52:00"/>
    <x v="0"/>
    <s v="Chat"/>
    <x v="1"/>
    <s v="A012"/>
    <x v="0"/>
    <n v="24"/>
    <n v="4"/>
    <x v="1"/>
    <s v="No"/>
    <s v="No"/>
    <n v="4"/>
    <s v="Closed"/>
    <s v="September"/>
    <x v="8"/>
    <n v="2026"/>
    <s v="Yes"/>
    <n v="1"/>
    <x v="2"/>
    <n v="1"/>
  </r>
  <r>
    <s v="T005452"/>
    <x v="5228"/>
    <d v="2026-09-05T14:54:00"/>
    <x v="4"/>
    <s v="Phone"/>
    <x v="1"/>
    <s v="A012"/>
    <x v="0"/>
    <n v="24"/>
    <n v="47.8"/>
    <x v="1"/>
    <s v="No"/>
    <s v="No"/>
    <n v="5"/>
    <s v="Closed"/>
    <s v="September"/>
    <x v="8"/>
    <n v="2026"/>
    <s v="No"/>
    <n v="0"/>
    <x v="1"/>
    <n v="1"/>
  </r>
  <r>
    <s v="T005453"/>
    <x v="5229"/>
    <d v="2026-09-03T21:07:00"/>
    <x v="1"/>
    <s v="Chat"/>
    <x v="0"/>
    <s v="A006"/>
    <x v="0"/>
    <n v="72"/>
    <n v="5.5"/>
    <x v="1"/>
    <s v="No"/>
    <s v="No"/>
    <n v="5"/>
    <s v="Closed"/>
    <s v="September"/>
    <x v="8"/>
    <n v="2026"/>
    <s v="Yes"/>
    <n v="1"/>
    <x v="0"/>
    <n v="1"/>
  </r>
  <r>
    <s v="T005454"/>
    <x v="5230"/>
    <d v="2026-09-06T18:45:00"/>
    <x v="4"/>
    <s v="Field Visit"/>
    <x v="1"/>
    <s v="A007"/>
    <x v="0"/>
    <n v="24"/>
    <n v="75.099999999999994"/>
    <x v="0"/>
    <s v="No"/>
    <s v="No"/>
    <n v="5"/>
    <s v="Closed"/>
    <s v="September"/>
    <x v="8"/>
    <n v="2026"/>
    <s v="No"/>
    <n v="0"/>
    <x v="1"/>
    <n v="0"/>
  </r>
  <r>
    <s v="T005455"/>
    <x v="5231"/>
    <d v="2026-09-03T23:49:00"/>
    <x v="3"/>
    <s v="Chat"/>
    <x v="2"/>
    <s v="A017"/>
    <x v="2"/>
    <n v="4"/>
    <n v="6.2"/>
    <x v="1"/>
    <s v="No"/>
    <s v="No"/>
    <m/>
    <s v="Closed"/>
    <s v="September"/>
    <x v="8"/>
    <n v="2026"/>
    <s v="No"/>
    <n v="0"/>
    <x v="3"/>
    <n v="1"/>
  </r>
  <r>
    <s v="T005456"/>
    <x v="5232"/>
    <d v="2026-09-06T10:42:00"/>
    <x v="3"/>
    <s v="Phone"/>
    <x v="1"/>
    <s v="A008"/>
    <x v="0"/>
    <n v="24"/>
    <n v="64.2"/>
    <x v="0"/>
    <s v="No"/>
    <s v="No"/>
    <n v="2"/>
    <s v="Closed"/>
    <s v="September"/>
    <x v="8"/>
    <n v="2026"/>
    <s v="No"/>
    <n v="0"/>
    <x v="2"/>
    <n v="0"/>
  </r>
  <r>
    <s v="T005457"/>
    <x v="5233"/>
    <d v="2026-09-04T11:22:00"/>
    <x v="0"/>
    <s v="Phone"/>
    <x v="1"/>
    <s v="A017"/>
    <x v="2"/>
    <n v="24"/>
    <n v="16.3"/>
    <x v="1"/>
    <s v="No"/>
    <s v="No"/>
    <n v="4"/>
    <s v="Closed"/>
    <s v="September"/>
    <x v="8"/>
    <n v="2026"/>
    <s v="Yes"/>
    <n v="1"/>
    <x v="1"/>
    <n v="1"/>
  </r>
  <r>
    <s v="T005458"/>
    <x v="5234"/>
    <d v="2026-09-16T19:07:00"/>
    <x v="4"/>
    <s v="Field Visit"/>
    <x v="1"/>
    <s v="A051"/>
    <x v="1"/>
    <n v="24"/>
    <n v="300.10000000000002"/>
    <x v="0"/>
    <s v="Yes"/>
    <s v="No"/>
    <n v="3"/>
    <s v="Closed"/>
    <s v="September"/>
    <x v="8"/>
    <n v="2026"/>
    <s v="No"/>
    <n v="0"/>
    <x v="3"/>
    <n v="0"/>
  </r>
  <r>
    <s v="T005459"/>
    <x v="5235"/>
    <d v="2026-09-04T17:28:00"/>
    <x v="2"/>
    <s v="Chat"/>
    <x v="0"/>
    <s v="A041"/>
    <x v="1"/>
    <n v="72"/>
    <n v="9.1999999999999993"/>
    <x v="1"/>
    <s v="No"/>
    <s v="No"/>
    <n v="4"/>
    <s v="Closed"/>
    <s v="September"/>
    <x v="8"/>
    <n v="2026"/>
    <s v="Yes"/>
    <n v="1"/>
    <x v="3"/>
    <n v="1"/>
  </r>
  <r>
    <s v="T005460"/>
    <x v="5236"/>
    <d v="2026-09-04T11:23:00"/>
    <x v="1"/>
    <s v="Chat"/>
    <x v="0"/>
    <s v="A058"/>
    <x v="1"/>
    <n v="72"/>
    <n v="2.9"/>
    <x v="0"/>
    <s v="Yes"/>
    <s v="No"/>
    <n v="4"/>
    <s v="Closed"/>
    <s v="September"/>
    <x v="8"/>
    <n v="2026"/>
    <s v="Yes"/>
    <n v="1"/>
    <x v="4"/>
    <n v="0"/>
  </r>
  <r>
    <s v="T005461"/>
    <x v="5237"/>
    <d v="2026-09-05T07:45:00"/>
    <x v="5"/>
    <s v="Field Visit"/>
    <x v="1"/>
    <s v="A006"/>
    <x v="0"/>
    <n v="24"/>
    <n v="22.6"/>
    <x v="1"/>
    <s v="No"/>
    <s v="No"/>
    <n v="5"/>
    <s v="Closed"/>
    <s v="September"/>
    <x v="8"/>
    <n v="2026"/>
    <s v="Yes"/>
    <n v="1"/>
    <x v="4"/>
    <n v="1"/>
  </r>
  <r>
    <s v="T005462"/>
    <x v="5238"/>
    <d v="2026-09-04T20:04:00"/>
    <x v="1"/>
    <s v="Email"/>
    <x v="0"/>
    <s v="A050"/>
    <x v="1"/>
    <n v="72"/>
    <n v="10.4"/>
    <x v="1"/>
    <s v="No"/>
    <s v="Yes"/>
    <n v="4"/>
    <s v="Closed"/>
    <s v="September"/>
    <x v="8"/>
    <n v="2026"/>
    <s v="Yes"/>
    <n v="1"/>
    <x v="1"/>
    <n v="1"/>
  </r>
  <r>
    <s v="T005463"/>
    <x v="5239"/>
    <d v="2026-09-04T16:26:00"/>
    <x v="1"/>
    <s v="Chat"/>
    <x v="0"/>
    <s v="A023"/>
    <x v="2"/>
    <n v="72"/>
    <n v="5.7"/>
    <x v="0"/>
    <s v="No"/>
    <s v="No"/>
    <n v="3"/>
    <s v="Closed"/>
    <s v="September"/>
    <x v="8"/>
    <n v="2026"/>
    <s v="Yes"/>
    <n v="1"/>
    <x v="3"/>
    <n v="0"/>
  </r>
  <r>
    <s v="T005464"/>
    <x v="5240"/>
    <d v="2026-09-06T01:54:00"/>
    <x v="4"/>
    <s v="Field Visit"/>
    <x v="0"/>
    <s v="A026"/>
    <x v="2"/>
    <n v="72"/>
    <n v="38.799999999999997"/>
    <x v="0"/>
    <s v="No"/>
    <s v="No"/>
    <n v="4"/>
    <s v="Closed"/>
    <s v="September"/>
    <x v="8"/>
    <n v="2026"/>
    <s v="Yes"/>
    <n v="1"/>
    <x v="3"/>
    <n v="0"/>
  </r>
  <r>
    <s v="T005465"/>
    <x v="5241"/>
    <d v="2026-09-05T00:53:00"/>
    <x v="2"/>
    <s v="Phone"/>
    <x v="1"/>
    <s v="A044"/>
    <x v="1"/>
    <n v="24"/>
    <n v="10.3"/>
    <x v="1"/>
    <s v="No"/>
    <s v="No"/>
    <m/>
    <s v="Closed"/>
    <s v="September"/>
    <x v="8"/>
    <n v="2026"/>
    <s v="Yes"/>
    <n v="1"/>
    <x v="1"/>
    <n v="1"/>
  </r>
  <r>
    <s v="T005466"/>
    <x v="5242"/>
    <d v="2026-09-06T13:27:00"/>
    <x v="3"/>
    <s v="Email"/>
    <x v="0"/>
    <s v="A052"/>
    <x v="1"/>
    <n v="72"/>
    <n v="46.8"/>
    <x v="1"/>
    <s v="No"/>
    <s v="No"/>
    <n v="4"/>
    <s v="Closed"/>
    <s v="September"/>
    <x v="8"/>
    <n v="2026"/>
    <s v="Yes"/>
    <n v="1"/>
    <x v="1"/>
    <n v="1"/>
  </r>
  <r>
    <s v="T005467"/>
    <x v="5243"/>
    <d v="2026-09-04T23:02:00"/>
    <x v="2"/>
    <s v="Chat"/>
    <x v="0"/>
    <s v="A037"/>
    <x v="1"/>
    <n v="72"/>
    <n v="8.1999999999999993"/>
    <x v="0"/>
    <s v="No"/>
    <s v="No"/>
    <n v="5"/>
    <s v="Closed"/>
    <s v="September"/>
    <x v="8"/>
    <n v="2026"/>
    <s v="Yes"/>
    <n v="1"/>
    <x v="2"/>
    <n v="0"/>
  </r>
  <r>
    <s v="T005468"/>
    <x v="5244"/>
    <d v="2026-09-04T22:49:00"/>
    <x v="5"/>
    <s v="Chat"/>
    <x v="1"/>
    <s v="A007"/>
    <x v="0"/>
    <n v="24"/>
    <n v="7.9"/>
    <x v="1"/>
    <s v="No"/>
    <s v="No"/>
    <n v="5"/>
    <s v="Closed"/>
    <s v="September"/>
    <x v="8"/>
    <n v="2026"/>
    <s v="Yes"/>
    <n v="1"/>
    <x v="1"/>
    <n v="1"/>
  </r>
  <r>
    <s v="T005469"/>
    <x v="5245"/>
    <d v="2026-09-05T18:58:00"/>
    <x v="4"/>
    <s v="Chat"/>
    <x v="1"/>
    <s v="A007"/>
    <x v="0"/>
    <n v="24"/>
    <n v="27.9"/>
    <x v="1"/>
    <s v="No"/>
    <s v="No"/>
    <m/>
    <s v="Closed"/>
    <s v="September"/>
    <x v="8"/>
    <n v="2026"/>
    <s v="No"/>
    <n v="0"/>
    <x v="1"/>
    <n v="1"/>
  </r>
  <r>
    <s v="T005470"/>
    <x v="5245"/>
    <d v="2026-09-05T08:10:00"/>
    <x v="0"/>
    <s v="Chat"/>
    <x v="0"/>
    <s v="A038"/>
    <x v="1"/>
    <n v="72"/>
    <n v="17.100000000000001"/>
    <x v="1"/>
    <s v="No"/>
    <s v="No"/>
    <n v="5"/>
    <s v="Closed"/>
    <s v="September"/>
    <x v="8"/>
    <n v="2026"/>
    <s v="Yes"/>
    <n v="1"/>
    <x v="0"/>
    <n v="1"/>
  </r>
  <r>
    <s v="T005471"/>
    <x v="5246"/>
    <d v="2026-09-04T19:53:00"/>
    <x v="6"/>
    <s v="Phone"/>
    <x v="2"/>
    <s v="A060"/>
    <x v="1"/>
    <n v="4"/>
    <n v="4.3"/>
    <x v="1"/>
    <s v="No"/>
    <s v="Yes"/>
    <m/>
    <s v="Closed"/>
    <s v="September"/>
    <x v="8"/>
    <n v="2026"/>
    <s v="No"/>
    <n v="0"/>
    <x v="0"/>
    <n v="1"/>
  </r>
  <r>
    <s v="T005472"/>
    <x v="5247"/>
    <d v="2026-09-05T08:15:00"/>
    <x v="6"/>
    <s v="Chat"/>
    <x v="2"/>
    <s v="A051"/>
    <x v="1"/>
    <n v="4"/>
    <n v="15.2"/>
    <x v="1"/>
    <s v="No"/>
    <s v="No"/>
    <m/>
    <s v="Closed"/>
    <s v="September"/>
    <x v="8"/>
    <n v="2026"/>
    <s v="No"/>
    <n v="0"/>
    <x v="3"/>
    <n v="1"/>
  </r>
  <r>
    <s v="T005473"/>
    <x v="5248"/>
    <d v="2026-09-09T07:17:00"/>
    <x v="4"/>
    <s v="Field Visit"/>
    <x v="1"/>
    <s v="A058"/>
    <x v="1"/>
    <n v="24"/>
    <n v="107.2"/>
    <x v="0"/>
    <s v="Yes"/>
    <s v="No"/>
    <n v="3"/>
    <s v="Closed"/>
    <s v="September"/>
    <x v="8"/>
    <n v="2026"/>
    <s v="No"/>
    <n v="0"/>
    <x v="4"/>
    <n v="0"/>
  </r>
  <r>
    <s v="T005474"/>
    <x v="5249"/>
    <d v="2026-09-05T10:41:00"/>
    <x v="5"/>
    <s v="Phone"/>
    <x v="0"/>
    <s v="A049"/>
    <x v="1"/>
    <n v="72"/>
    <n v="13.1"/>
    <x v="1"/>
    <s v="No"/>
    <s v="No"/>
    <n v="5"/>
    <s v="Closed"/>
    <s v="September"/>
    <x v="8"/>
    <n v="2026"/>
    <s v="Yes"/>
    <n v="1"/>
    <x v="4"/>
    <n v="1"/>
  </r>
  <r>
    <s v="T005475"/>
    <x v="5250"/>
    <d v="2026-09-05T13:38:00"/>
    <x v="6"/>
    <s v="Phone"/>
    <x v="2"/>
    <s v="A058"/>
    <x v="1"/>
    <n v="4"/>
    <n v="6"/>
    <x v="1"/>
    <s v="No"/>
    <s v="No"/>
    <m/>
    <s v="Closed"/>
    <s v="September"/>
    <x v="8"/>
    <n v="2026"/>
    <s v="No"/>
    <n v="0"/>
    <x v="4"/>
    <n v="1"/>
  </r>
  <r>
    <s v="T005476"/>
    <x v="5251"/>
    <d v="2026-09-05T23:05:00"/>
    <x v="0"/>
    <s v="Phone"/>
    <x v="1"/>
    <s v="A019"/>
    <x v="2"/>
    <n v="24"/>
    <n v="14.1"/>
    <x v="0"/>
    <s v="No"/>
    <s v="No"/>
    <n v="5"/>
    <s v="Closed"/>
    <s v="September"/>
    <x v="8"/>
    <n v="2026"/>
    <s v="Yes"/>
    <n v="1"/>
    <x v="1"/>
    <n v="0"/>
  </r>
  <r>
    <s v="T005477"/>
    <x v="5252"/>
    <d v="2026-09-05T18:04:00"/>
    <x v="1"/>
    <s v="Phone"/>
    <x v="1"/>
    <s v="A007"/>
    <x v="0"/>
    <n v="24"/>
    <n v="8.1999999999999993"/>
    <x v="0"/>
    <s v="Yes"/>
    <s v="No"/>
    <m/>
    <s v="Closed"/>
    <s v="September"/>
    <x v="8"/>
    <n v="2026"/>
    <s v="Yes"/>
    <n v="1"/>
    <x v="4"/>
    <n v="0"/>
  </r>
  <r>
    <s v="T005478"/>
    <x v="5253"/>
    <d v="2026-09-07T05:45:00"/>
    <x v="6"/>
    <s v="Email"/>
    <x v="1"/>
    <s v="A051"/>
    <x v="1"/>
    <n v="24"/>
    <n v="42.7"/>
    <x v="1"/>
    <s v="No"/>
    <s v="No"/>
    <n v="2"/>
    <s v="Closed"/>
    <s v="September"/>
    <x v="8"/>
    <n v="2026"/>
    <s v="No"/>
    <n v="0"/>
    <x v="2"/>
    <n v="1"/>
  </r>
  <r>
    <s v="T005479"/>
    <x v="5254"/>
    <d v="2026-09-05T14:56:00"/>
    <x v="6"/>
    <s v="Phone"/>
    <x v="0"/>
    <s v="A058"/>
    <x v="1"/>
    <n v="72"/>
    <n v="3.7"/>
    <x v="1"/>
    <s v="No"/>
    <s v="No"/>
    <n v="5"/>
    <s v="Closed"/>
    <s v="September"/>
    <x v="8"/>
    <n v="2026"/>
    <s v="Yes"/>
    <n v="1"/>
    <x v="0"/>
    <n v="1"/>
  </r>
  <r>
    <s v="T005480"/>
    <x v="5255"/>
    <d v="2026-09-05T19:46:00"/>
    <x v="3"/>
    <s v="Chat"/>
    <x v="0"/>
    <s v="A025"/>
    <x v="2"/>
    <n v="72"/>
    <n v="8.1999999999999993"/>
    <x v="0"/>
    <s v="No"/>
    <s v="No"/>
    <m/>
    <s v="Closed"/>
    <s v="September"/>
    <x v="8"/>
    <n v="2026"/>
    <s v="Yes"/>
    <n v="1"/>
    <x v="2"/>
    <n v="0"/>
  </r>
  <r>
    <s v="T005481"/>
    <x v="5256"/>
    <d v="2026-09-06T02:34:00"/>
    <x v="6"/>
    <s v="Chat"/>
    <x v="2"/>
    <s v="A012"/>
    <x v="0"/>
    <n v="4"/>
    <n v="14.9"/>
    <x v="0"/>
    <s v="Yes"/>
    <s v="No"/>
    <m/>
    <s v="Closed"/>
    <s v="September"/>
    <x v="8"/>
    <n v="2026"/>
    <s v="No"/>
    <n v="0"/>
    <x v="4"/>
    <n v="0"/>
  </r>
  <r>
    <s v="T005482"/>
    <x v="5257"/>
    <d v="2026-09-06T12:33:00"/>
    <x v="2"/>
    <s v="Phone"/>
    <x v="1"/>
    <s v="A060"/>
    <x v="1"/>
    <n v="24"/>
    <n v="23.4"/>
    <x v="1"/>
    <s v="No"/>
    <s v="No"/>
    <n v="5"/>
    <s v="Closed"/>
    <s v="September"/>
    <x v="8"/>
    <n v="2026"/>
    <s v="Yes"/>
    <n v="1"/>
    <x v="3"/>
    <n v="1"/>
  </r>
  <r>
    <s v="T005483"/>
    <x v="5258"/>
    <d v="2026-09-07T03:54:00"/>
    <x v="3"/>
    <s v="Field Visit"/>
    <x v="1"/>
    <s v="A056"/>
    <x v="1"/>
    <n v="24"/>
    <n v="36.799999999999997"/>
    <x v="1"/>
    <s v="No"/>
    <s v="No"/>
    <n v="5"/>
    <s v="Closed"/>
    <s v="September"/>
    <x v="8"/>
    <n v="2026"/>
    <s v="No"/>
    <n v="0"/>
    <x v="2"/>
    <n v="1"/>
  </r>
  <r>
    <s v="T005484"/>
    <x v="5259"/>
    <d v="2026-09-06T01:37:00"/>
    <x v="6"/>
    <s v="Field Visit"/>
    <x v="2"/>
    <s v="A041"/>
    <x v="1"/>
    <n v="4"/>
    <n v="9.9"/>
    <x v="1"/>
    <s v="No"/>
    <s v="No"/>
    <n v="3"/>
    <s v="Closed"/>
    <s v="September"/>
    <x v="8"/>
    <n v="2026"/>
    <s v="No"/>
    <n v="0"/>
    <x v="4"/>
    <n v="1"/>
  </r>
  <r>
    <s v="T005485"/>
    <x v="5260"/>
    <d v="2026-09-06T05:32:00"/>
    <x v="1"/>
    <s v="Chat"/>
    <x v="1"/>
    <s v="A009"/>
    <x v="0"/>
    <n v="24"/>
    <n v="13.8"/>
    <x v="0"/>
    <s v="Yes"/>
    <s v="No"/>
    <n v="3"/>
    <s v="Closed"/>
    <s v="September"/>
    <x v="8"/>
    <n v="2026"/>
    <s v="Yes"/>
    <n v="1"/>
    <x v="2"/>
    <n v="0"/>
  </r>
  <r>
    <s v="T005486"/>
    <x v="5261"/>
    <d v="2026-09-06T12:10:00"/>
    <x v="0"/>
    <s v="Phone"/>
    <x v="1"/>
    <s v="A041"/>
    <x v="1"/>
    <n v="24"/>
    <n v="19.5"/>
    <x v="1"/>
    <s v="No"/>
    <s v="No"/>
    <m/>
    <s v="Closed"/>
    <s v="September"/>
    <x v="8"/>
    <n v="2026"/>
    <s v="Yes"/>
    <n v="1"/>
    <x v="2"/>
    <n v="1"/>
  </r>
  <r>
    <s v="T005487"/>
    <x v="5262"/>
    <d v="2026-09-06T10:16:00"/>
    <x v="6"/>
    <s v="Phone"/>
    <x v="1"/>
    <s v="A034"/>
    <x v="2"/>
    <n v="24"/>
    <n v="17.3"/>
    <x v="1"/>
    <s v="No"/>
    <s v="No"/>
    <m/>
    <s v="Closed"/>
    <s v="September"/>
    <x v="8"/>
    <n v="2026"/>
    <s v="Yes"/>
    <n v="1"/>
    <x v="2"/>
    <n v="1"/>
  </r>
  <r>
    <s v="T005488"/>
    <x v="5263"/>
    <d v="2026-09-06T14:53:00"/>
    <x v="2"/>
    <s v="Phone"/>
    <x v="1"/>
    <s v="A051"/>
    <x v="1"/>
    <n v="24"/>
    <n v="20.5"/>
    <x v="0"/>
    <s v="Yes"/>
    <s v="No"/>
    <n v="4"/>
    <s v="Closed"/>
    <s v="September"/>
    <x v="8"/>
    <n v="2026"/>
    <s v="Yes"/>
    <n v="1"/>
    <x v="0"/>
    <n v="0"/>
  </r>
  <r>
    <s v="T005489"/>
    <x v="5264"/>
    <d v="2026-09-06T11:31:00"/>
    <x v="2"/>
    <s v="Field Visit"/>
    <x v="2"/>
    <s v="A031"/>
    <x v="2"/>
    <n v="4"/>
    <n v="14.3"/>
    <x v="0"/>
    <s v="Yes"/>
    <s v="No"/>
    <n v="3"/>
    <s v="Closed"/>
    <s v="September"/>
    <x v="8"/>
    <n v="2026"/>
    <s v="No"/>
    <n v="0"/>
    <x v="0"/>
    <n v="0"/>
  </r>
  <r>
    <s v="T005490"/>
    <x v="5265"/>
    <d v="2026-09-06T02:07:00"/>
    <x v="5"/>
    <s v="Chat"/>
    <x v="0"/>
    <s v="A030"/>
    <x v="2"/>
    <n v="72"/>
    <n v="3.9"/>
    <x v="1"/>
    <s v="No"/>
    <s v="Yes"/>
    <n v="4"/>
    <s v="Closed"/>
    <s v="September"/>
    <x v="8"/>
    <n v="2026"/>
    <s v="Yes"/>
    <n v="1"/>
    <x v="4"/>
    <n v="1"/>
  </r>
  <r>
    <s v="T005491"/>
    <x v="5266"/>
    <d v="2026-09-06T19:40:00"/>
    <x v="1"/>
    <s v="Phone"/>
    <x v="0"/>
    <s v="A012"/>
    <x v="0"/>
    <n v="72"/>
    <n v="12.2"/>
    <x v="1"/>
    <s v="No"/>
    <s v="No"/>
    <n v="5"/>
    <s v="Closed"/>
    <s v="September"/>
    <x v="8"/>
    <n v="2026"/>
    <s v="Yes"/>
    <n v="1"/>
    <x v="1"/>
    <n v="1"/>
  </r>
  <r>
    <s v="T005492"/>
    <x v="5267"/>
    <d v="2026-09-06T12:37:00"/>
    <x v="1"/>
    <s v="Phone"/>
    <x v="1"/>
    <s v="A045"/>
    <x v="1"/>
    <n v="24"/>
    <n v="3.3"/>
    <x v="1"/>
    <s v="No"/>
    <s v="No"/>
    <n v="5"/>
    <s v="Closed"/>
    <s v="September"/>
    <x v="8"/>
    <n v="2026"/>
    <s v="Yes"/>
    <n v="1"/>
    <x v="2"/>
    <n v="1"/>
  </r>
  <r>
    <s v="T005493"/>
    <x v="5268"/>
    <d v="2026-09-08T11:04:00"/>
    <x v="3"/>
    <s v="Email"/>
    <x v="0"/>
    <s v="A051"/>
    <x v="1"/>
    <n v="72"/>
    <n v="49.5"/>
    <x v="1"/>
    <s v="No"/>
    <s v="No"/>
    <m/>
    <s v="Closed"/>
    <s v="September"/>
    <x v="8"/>
    <n v="2026"/>
    <s v="Yes"/>
    <n v="1"/>
    <x v="4"/>
    <n v="1"/>
  </r>
  <r>
    <s v="T005494"/>
    <x v="5269"/>
    <d v="2026-09-13T04:42:00"/>
    <x v="4"/>
    <s v="Phone"/>
    <x v="1"/>
    <s v="A017"/>
    <x v="2"/>
    <n v="24"/>
    <n v="160.5"/>
    <x v="0"/>
    <s v="No"/>
    <s v="Yes"/>
    <m/>
    <s v="Closed"/>
    <s v="September"/>
    <x v="8"/>
    <n v="2026"/>
    <s v="No"/>
    <n v="0"/>
    <x v="3"/>
    <n v="0"/>
  </r>
  <r>
    <s v="T005495"/>
    <x v="5270"/>
    <d v="2026-09-06T19:07:00"/>
    <x v="6"/>
    <s v="Chat"/>
    <x v="1"/>
    <s v="A029"/>
    <x v="2"/>
    <n v="24"/>
    <n v="6.4"/>
    <x v="0"/>
    <s v="Yes"/>
    <s v="No"/>
    <n v="5"/>
    <s v="Closed"/>
    <s v="September"/>
    <x v="8"/>
    <n v="2026"/>
    <s v="Yes"/>
    <n v="1"/>
    <x v="0"/>
    <n v="0"/>
  </r>
  <r>
    <s v="T005496"/>
    <x v="5271"/>
    <d v="2026-09-06T19:15:00"/>
    <x v="1"/>
    <s v="Phone"/>
    <x v="0"/>
    <s v="A046"/>
    <x v="1"/>
    <n v="72"/>
    <n v="5.6"/>
    <x v="0"/>
    <s v="Yes"/>
    <s v="No"/>
    <m/>
    <s v="Closed"/>
    <s v="September"/>
    <x v="8"/>
    <n v="2026"/>
    <s v="Yes"/>
    <n v="1"/>
    <x v="4"/>
    <n v="0"/>
  </r>
  <r>
    <s v="T005497"/>
    <x v="5272"/>
    <d v="2026-09-06T17:01:00"/>
    <x v="1"/>
    <s v="Phone"/>
    <x v="0"/>
    <s v="A043"/>
    <x v="1"/>
    <n v="72"/>
    <m/>
    <x v="0"/>
    <s v="No"/>
    <s v="No"/>
    <m/>
    <s v="Closed"/>
    <s v="September"/>
    <x v="8"/>
    <n v="2026"/>
    <m/>
    <m/>
    <x v="1"/>
    <n v="0"/>
  </r>
  <r>
    <s v="T005498"/>
    <x v="5273"/>
    <d v="2026-09-06T20:50:00"/>
    <x v="1"/>
    <s v="Phone"/>
    <x v="1"/>
    <s v="A058"/>
    <x v="1"/>
    <n v="24"/>
    <n v="5.4"/>
    <x v="1"/>
    <s v="No"/>
    <s v="No"/>
    <n v="4"/>
    <s v="Closed"/>
    <s v="September"/>
    <x v="8"/>
    <n v="2026"/>
    <s v="Yes"/>
    <n v="1"/>
    <x v="1"/>
    <n v="1"/>
  </r>
  <r>
    <s v="T005499"/>
    <x v="5274"/>
    <d v="2026-09-08T23:53:00"/>
    <x v="3"/>
    <s v="Field Visit"/>
    <x v="1"/>
    <s v="A033"/>
    <x v="2"/>
    <n v="24"/>
    <n v="54.9"/>
    <x v="0"/>
    <s v="Yes"/>
    <s v="No"/>
    <n v="3"/>
    <s v="Closed"/>
    <s v="September"/>
    <x v="8"/>
    <n v="2026"/>
    <s v="No"/>
    <n v="0"/>
    <x v="3"/>
    <n v="0"/>
  </r>
  <r>
    <s v="T005500"/>
    <x v="5275"/>
    <d v="2026-09-08T03:12:00"/>
    <x v="0"/>
    <s v="Chat"/>
    <x v="1"/>
    <s v="A029"/>
    <x v="2"/>
    <n v="24"/>
    <n v="34.200000000000003"/>
    <x v="1"/>
    <s v="No"/>
    <s v="No"/>
    <n v="5"/>
    <s v="Closed"/>
    <s v="September"/>
    <x v="8"/>
    <n v="2026"/>
    <s v="No"/>
    <n v="0"/>
    <x v="2"/>
    <n v="1"/>
  </r>
  <r>
    <s v="T005501"/>
    <x v="5276"/>
    <d v="2026-09-07T01:23:00"/>
    <x v="1"/>
    <s v="Chat"/>
    <x v="1"/>
    <s v="A057"/>
    <x v="1"/>
    <n v="24"/>
    <n v="7.6"/>
    <x v="1"/>
    <s v="No"/>
    <s v="No"/>
    <n v="4"/>
    <s v="Closed"/>
    <s v="September"/>
    <x v="8"/>
    <n v="2026"/>
    <s v="Yes"/>
    <n v="1"/>
    <x v="1"/>
    <n v="1"/>
  </r>
  <r>
    <s v="T005502"/>
    <x v="5277"/>
    <d v="2026-09-08T19:08:00"/>
    <x v="1"/>
    <s v="Phone"/>
    <x v="0"/>
    <s v="A002"/>
    <x v="0"/>
    <n v="72"/>
    <n v="47.7"/>
    <x v="1"/>
    <s v="No"/>
    <s v="No"/>
    <m/>
    <s v="Closed"/>
    <s v="September"/>
    <x v="8"/>
    <n v="2026"/>
    <s v="Yes"/>
    <n v="1"/>
    <x v="2"/>
    <n v="1"/>
  </r>
  <r>
    <s v="T005503"/>
    <x v="5278"/>
    <d v="2026-09-07T11:31:00"/>
    <x v="1"/>
    <s v="Email"/>
    <x v="2"/>
    <s v="A042"/>
    <x v="1"/>
    <n v="4"/>
    <n v="15.7"/>
    <x v="1"/>
    <s v="No"/>
    <s v="No"/>
    <n v="5"/>
    <s v="Closed"/>
    <s v="September"/>
    <x v="8"/>
    <n v="2026"/>
    <s v="No"/>
    <n v="0"/>
    <x v="2"/>
    <n v="1"/>
  </r>
  <r>
    <s v="T005504"/>
    <x v="5279"/>
    <d v="2026-09-08T09:30:00"/>
    <x v="4"/>
    <s v="Chat"/>
    <x v="1"/>
    <s v="A029"/>
    <x v="2"/>
    <n v="24"/>
    <n v="36.799999999999997"/>
    <x v="1"/>
    <s v="No"/>
    <s v="No"/>
    <n v="5"/>
    <s v="Closed"/>
    <s v="September"/>
    <x v="8"/>
    <n v="2026"/>
    <s v="No"/>
    <n v="0"/>
    <x v="3"/>
    <n v="1"/>
  </r>
  <r>
    <s v="T005505"/>
    <x v="5280"/>
    <d v="2026-09-07T08:05:00"/>
    <x v="5"/>
    <s v="Chat"/>
    <x v="0"/>
    <s v="A012"/>
    <x v="0"/>
    <n v="72"/>
    <n v="4.2"/>
    <x v="0"/>
    <s v="Yes"/>
    <s v="No"/>
    <m/>
    <s v="Closed"/>
    <s v="September"/>
    <x v="8"/>
    <n v="2026"/>
    <s v="Yes"/>
    <n v="1"/>
    <x v="2"/>
    <n v="0"/>
  </r>
  <r>
    <s v="T005506"/>
    <x v="5281"/>
    <d v="2026-09-07T12:13:00"/>
    <x v="2"/>
    <s v="Chat"/>
    <x v="2"/>
    <s v="A013"/>
    <x v="0"/>
    <n v="4"/>
    <n v="6.6"/>
    <x v="0"/>
    <s v="No"/>
    <s v="No"/>
    <m/>
    <s v="Closed"/>
    <s v="September"/>
    <x v="8"/>
    <n v="2026"/>
    <s v="No"/>
    <n v="0"/>
    <x v="4"/>
    <n v="0"/>
  </r>
  <r>
    <s v="T005507"/>
    <x v="5282"/>
    <d v="2026-09-07T10:05:00"/>
    <x v="5"/>
    <s v="Chat"/>
    <x v="0"/>
    <s v="A049"/>
    <x v="1"/>
    <n v="72"/>
    <n v="3.9"/>
    <x v="0"/>
    <s v="No"/>
    <s v="No"/>
    <m/>
    <s v="Closed"/>
    <s v="September"/>
    <x v="8"/>
    <n v="2026"/>
    <s v="Yes"/>
    <n v="1"/>
    <x v="1"/>
    <n v="0"/>
  </r>
  <r>
    <s v="T005508"/>
    <x v="5283"/>
    <d v="2026-09-07T16:42:00"/>
    <x v="3"/>
    <s v="Phone"/>
    <x v="1"/>
    <s v="A029"/>
    <x v="2"/>
    <n v="24"/>
    <n v="10"/>
    <x v="1"/>
    <s v="No"/>
    <s v="No"/>
    <m/>
    <s v="Closed"/>
    <s v="September"/>
    <x v="8"/>
    <n v="2026"/>
    <s v="Yes"/>
    <n v="1"/>
    <x v="2"/>
    <n v="1"/>
  </r>
  <r>
    <s v="T005509"/>
    <x v="5284"/>
    <d v="2026-09-07T17:29:00"/>
    <x v="1"/>
    <s v="Phone"/>
    <x v="1"/>
    <s v="A012"/>
    <x v="0"/>
    <n v="24"/>
    <n v="9.6"/>
    <x v="1"/>
    <s v="No"/>
    <s v="No"/>
    <n v="5"/>
    <s v="Closed"/>
    <s v="September"/>
    <x v="8"/>
    <n v="2026"/>
    <s v="Yes"/>
    <n v="1"/>
    <x v="3"/>
    <n v="1"/>
  </r>
  <r>
    <s v="T005510"/>
    <x v="5285"/>
    <d v="2026-09-07T11:30:00"/>
    <x v="6"/>
    <s v="Chat"/>
    <x v="2"/>
    <s v="A054"/>
    <x v="1"/>
    <n v="4"/>
    <n v="3.5"/>
    <x v="1"/>
    <s v="No"/>
    <s v="Yes"/>
    <m/>
    <s v="Closed"/>
    <s v="September"/>
    <x v="8"/>
    <n v="2026"/>
    <s v="Yes"/>
    <n v="1"/>
    <x v="4"/>
    <n v="1"/>
  </r>
  <r>
    <s v="T005511"/>
    <x v="5286"/>
    <d v="2026-09-07T13:42:00"/>
    <x v="2"/>
    <s v="Phone"/>
    <x v="1"/>
    <s v="A060"/>
    <x v="1"/>
    <n v="24"/>
    <n v="5.6"/>
    <x v="1"/>
    <s v="No"/>
    <s v="No"/>
    <n v="5"/>
    <s v="Closed"/>
    <s v="September"/>
    <x v="8"/>
    <n v="2026"/>
    <s v="Yes"/>
    <n v="1"/>
    <x v="4"/>
    <n v="1"/>
  </r>
  <r>
    <s v="T005512"/>
    <x v="5287"/>
    <d v="2026-09-07T22:33:00"/>
    <x v="5"/>
    <s v="Phone"/>
    <x v="2"/>
    <s v="A052"/>
    <x v="1"/>
    <n v="4"/>
    <n v="14.3"/>
    <x v="1"/>
    <s v="No"/>
    <s v="No"/>
    <n v="4"/>
    <s v="Closed"/>
    <s v="September"/>
    <x v="8"/>
    <n v="2026"/>
    <s v="No"/>
    <n v="0"/>
    <x v="4"/>
    <n v="1"/>
  </r>
  <r>
    <s v="T005513"/>
    <x v="5288"/>
    <d v="2026-09-08T08:46:00"/>
    <x v="3"/>
    <s v="Phone"/>
    <x v="0"/>
    <s v="A053"/>
    <x v="1"/>
    <n v="72"/>
    <n v="23.9"/>
    <x v="1"/>
    <s v="No"/>
    <s v="No"/>
    <n v="4"/>
    <s v="Closed"/>
    <s v="September"/>
    <x v="8"/>
    <n v="2026"/>
    <s v="Yes"/>
    <n v="1"/>
    <x v="2"/>
    <n v="1"/>
  </r>
  <r>
    <s v="T005514"/>
    <x v="5289"/>
    <d v="2026-09-07T15:04:00"/>
    <x v="3"/>
    <s v="Chat"/>
    <x v="0"/>
    <s v="A036"/>
    <x v="1"/>
    <n v="72"/>
    <n v="5.9"/>
    <x v="1"/>
    <s v="No"/>
    <s v="No"/>
    <m/>
    <s v="Closed"/>
    <s v="September"/>
    <x v="8"/>
    <n v="2026"/>
    <s v="Yes"/>
    <n v="1"/>
    <x v="1"/>
    <n v="1"/>
  </r>
  <r>
    <s v="T005515"/>
    <x v="5290"/>
    <d v="2026-09-07T10:40:00"/>
    <x v="1"/>
    <s v="Chat"/>
    <x v="0"/>
    <s v="A033"/>
    <x v="2"/>
    <n v="72"/>
    <n v="1.4"/>
    <x v="1"/>
    <s v="No"/>
    <s v="No"/>
    <m/>
    <s v="Closed"/>
    <s v="September"/>
    <x v="8"/>
    <n v="2026"/>
    <s v="Yes"/>
    <n v="1"/>
    <x v="4"/>
    <n v="1"/>
  </r>
  <r>
    <s v="T005516"/>
    <x v="5291"/>
    <d v="2026-09-07T22:06:00"/>
    <x v="2"/>
    <s v="Phone"/>
    <x v="0"/>
    <s v="A014"/>
    <x v="0"/>
    <n v="72"/>
    <n v="12.7"/>
    <x v="0"/>
    <s v="No"/>
    <s v="No"/>
    <n v="5"/>
    <s v="Closed"/>
    <s v="September"/>
    <x v="8"/>
    <n v="2026"/>
    <s v="Yes"/>
    <n v="1"/>
    <x v="1"/>
    <n v="0"/>
  </r>
  <r>
    <s v="T005517"/>
    <x v="5292"/>
    <d v="2026-09-07T16:43:00"/>
    <x v="5"/>
    <s v="Phone"/>
    <x v="0"/>
    <s v="A020"/>
    <x v="2"/>
    <n v="72"/>
    <n v="6.2"/>
    <x v="1"/>
    <s v="No"/>
    <s v="No"/>
    <m/>
    <s v="Closed"/>
    <s v="September"/>
    <x v="8"/>
    <n v="2026"/>
    <s v="Yes"/>
    <n v="1"/>
    <x v="1"/>
    <n v="1"/>
  </r>
  <r>
    <s v="T005518"/>
    <x v="5293"/>
    <d v="2026-09-10T02:00:00"/>
    <x v="4"/>
    <s v="Field Visit"/>
    <x v="0"/>
    <s v="A030"/>
    <x v="2"/>
    <n v="72"/>
    <n v="63.3"/>
    <x v="1"/>
    <s v="No"/>
    <s v="No"/>
    <m/>
    <s v="Closed"/>
    <s v="September"/>
    <x v="8"/>
    <n v="2026"/>
    <s v="Yes"/>
    <n v="1"/>
    <x v="2"/>
    <n v="1"/>
  </r>
  <r>
    <s v="T005519"/>
    <x v="5294"/>
    <d v="2026-09-07T20:19:00"/>
    <x v="5"/>
    <s v="Phone"/>
    <x v="1"/>
    <s v="A009"/>
    <x v="0"/>
    <n v="24"/>
    <n v="9.1"/>
    <x v="1"/>
    <s v="No"/>
    <s v="No"/>
    <m/>
    <s v="Closed"/>
    <s v="September"/>
    <x v="8"/>
    <n v="2026"/>
    <s v="Yes"/>
    <n v="1"/>
    <x v="4"/>
    <n v="1"/>
  </r>
  <r>
    <s v="T005520"/>
    <x v="5295"/>
    <d v="2026-09-07T19:11:00"/>
    <x v="6"/>
    <s v="Phone"/>
    <x v="1"/>
    <s v="A014"/>
    <x v="0"/>
    <n v="24"/>
    <n v="7.4"/>
    <x v="0"/>
    <s v="Yes"/>
    <s v="No"/>
    <n v="5"/>
    <s v="Closed"/>
    <s v="September"/>
    <x v="8"/>
    <n v="2026"/>
    <s v="Yes"/>
    <n v="1"/>
    <x v="3"/>
    <n v="0"/>
  </r>
  <r>
    <s v="T005521"/>
    <x v="5296"/>
    <d v="2026-09-07T18:30:00"/>
    <x v="1"/>
    <s v="Phone"/>
    <x v="0"/>
    <s v="A007"/>
    <x v="0"/>
    <n v="72"/>
    <n v="5.7"/>
    <x v="1"/>
    <s v="No"/>
    <s v="No"/>
    <n v="4"/>
    <s v="Closed"/>
    <s v="September"/>
    <x v="8"/>
    <n v="2026"/>
    <s v="Yes"/>
    <n v="1"/>
    <x v="2"/>
    <n v="1"/>
  </r>
  <r>
    <s v="T005522"/>
    <x v="5297"/>
    <d v="2026-09-07T16:52:00"/>
    <x v="1"/>
    <s v="Phone"/>
    <x v="0"/>
    <s v="A019"/>
    <x v="2"/>
    <n v="72"/>
    <n v="4"/>
    <x v="1"/>
    <s v="No"/>
    <s v="No"/>
    <n v="5"/>
    <s v="Closed"/>
    <s v="September"/>
    <x v="8"/>
    <n v="2026"/>
    <s v="Yes"/>
    <n v="1"/>
    <x v="2"/>
    <n v="1"/>
  </r>
  <r>
    <s v="T005523"/>
    <x v="5298"/>
    <d v="2026-09-11T11:39:00"/>
    <x v="4"/>
    <s v="Field Visit"/>
    <x v="2"/>
    <s v="A045"/>
    <x v="1"/>
    <n v="4"/>
    <n v="94.1"/>
    <x v="1"/>
    <s v="No"/>
    <s v="No"/>
    <n v="3"/>
    <s v="Closed"/>
    <s v="September"/>
    <x v="8"/>
    <n v="2026"/>
    <s v="No"/>
    <n v="0"/>
    <x v="1"/>
    <n v="1"/>
  </r>
  <r>
    <s v="T005524"/>
    <x v="5299"/>
    <d v="2026-09-07T23:56:00"/>
    <x v="3"/>
    <s v="Phone"/>
    <x v="0"/>
    <s v="A039"/>
    <x v="1"/>
    <n v="72"/>
    <n v="10"/>
    <x v="1"/>
    <s v="No"/>
    <s v="No"/>
    <m/>
    <s v="Closed"/>
    <s v="September"/>
    <x v="8"/>
    <n v="2026"/>
    <s v="Yes"/>
    <n v="1"/>
    <x v="3"/>
    <n v="1"/>
  </r>
  <r>
    <s v="T005525"/>
    <x v="5300"/>
    <d v="2026-09-10T04:29:00"/>
    <x v="4"/>
    <s v="Phone"/>
    <x v="1"/>
    <s v="A017"/>
    <x v="2"/>
    <n v="24"/>
    <n v="61.2"/>
    <x v="1"/>
    <s v="No"/>
    <s v="No"/>
    <n v="4"/>
    <s v="Closed"/>
    <s v="September"/>
    <x v="8"/>
    <n v="2026"/>
    <s v="No"/>
    <n v="0"/>
    <x v="3"/>
    <n v="1"/>
  </r>
  <r>
    <s v="T005526"/>
    <x v="5301"/>
    <d v="2026-09-07T22:42:00"/>
    <x v="1"/>
    <s v="Email"/>
    <x v="0"/>
    <s v="A026"/>
    <x v="2"/>
    <n v="72"/>
    <n v="6.7"/>
    <x v="1"/>
    <s v="No"/>
    <s v="No"/>
    <n v="5"/>
    <s v="Closed"/>
    <s v="September"/>
    <x v="8"/>
    <n v="2026"/>
    <s v="Yes"/>
    <n v="1"/>
    <x v="3"/>
    <n v="1"/>
  </r>
  <r>
    <s v="T005527"/>
    <x v="5302"/>
    <d v="2026-09-11T22:16:00"/>
    <x v="3"/>
    <s v="Email"/>
    <x v="1"/>
    <s v="A006"/>
    <x v="0"/>
    <n v="24"/>
    <n v="102.1"/>
    <x v="0"/>
    <s v="No"/>
    <s v="No"/>
    <m/>
    <s v="Closed"/>
    <s v="September"/>
    <x v="8"/>
    <n v="2026"/>
    <s v="No"/>
    <n v="0"/>
    <x v="3"/>
    <n v="0"/>
  </r>
  <r>
    <s v="T005528"/>
    <x v="5303"/>
    <d v="2026-09-07T18:38:00"/>
    <x v="2"/>
    <s v="Chat"/>
    <x v="1"/>
    <s v="A036"/>
    <x v="1"/>
    <n v="24"/>
    <n v="2.1"/>
    <x v="1"/>
    <s v="No"/>
    <s v="No"/>
    <n v="5"/>
    <s v="Closed"/>
    <s v="September"/>
    <x v="8"/>
    <n v="2026"/>
    <s v="Yes"/>
    <n v="1"/>
    <x v="1"/>
    <n v="1"/>
  </r>
  <r>
    <s v="T005529"/>
    <x v="5304"/>
    <d v="2026-09-11T03:48:00"/>
    <x v="4"/>
    <s v="Field Visit"/>
    <x v="1"/>
    <s v="A039"/>
    <x v="1"/>
    <n v="24"/>
    <n v="81.400000000000006"/>
    <x v="1"/>
    <s v="No"/>
    <s v="No"/>
    <n v="5"/>
    <s v="Closed"/>
    <s v="September"/>
    <x v="8"/>
    <n v="2026"/>
    <s v="No"/>
    <n v="0"/>
    <x v="3"/>
    <n v="1"/>
  </r>
  <r>
    <s v="T005530"/>
    <x v="5305"/>
    <d v="2026-09-07T23:46:00"/>
    <x v="6"/>
    <s v="Chat"/>
    <x v="2"/>
    <s v="A059"/>
    <x v="1"/>
    <n v="4"/>
    <n v="2.9"/>
    <x v="1"/>
    <s v="No"/>
    <s v="No"/>
    <n v="5"/>
    <s v="Closed"/>
    <s v="September"/>
    <x v="8"/>
    <n v="2026"/>
    <s v="Yes"/>
    <n v="1"/>
    <x v="0"/>
    <n v="1"/>
  </r>
  <r>
    <s v="T005531"/>
    <x v="5306"/>
    <d v="2026-09-09T09:44:00"/>
    <x v="2"/>
    <s v="Field Visit"/>
    <x v="1"/>
    <s v="A013"/>
    <x v="0"/>
    <n v="24"/>
    <n v="34.5"/>
    <x v="0"/>
    <s v="Yes"/>
    <s v="No"/>
    <n v="4"/>
    <s v="Closed"/>
    <s v="September"/>
    <x v="8"/>
    <n v="2026"/>
    <s v="No"/>
    <n v="0"/>
    <x v="4"/>
    <n v="0"/>
  </r>
  <r>
    <s v="T005532"/>
    <x v="5307"/>
    <d v="2026-09-08T15:36:00"/>
    <x v="1"/>
    <s v="Phone"/>
    <x v="1"/>
    <s v="A012"/>
    <x v="0"/>
    <n v="24"/>
    <n v="11.7"/>
    <x v="1"/>
    <s v="No"/>
    <s v="No"/>
    <n v="4"/>
    <s v="Closed"/>
    <s v="September"/>
    <x v="8"/>
    <n v="2026"/>
    <s v="Yes"/>
    <n v="1"/>
    <x v="3"/>
    <n v="1"/>
  </r>
  <r>
    <s v="T005533"/>
    <x v="5308"/>
    <d v="2026-09-08T16:28:00"/>
    <x v="2"/>
    <s v="Phone"/>
    <x v="0"/>
    <s v="A035"/>
    <x v="2"/>
    <n v="72"/>
    <n v="9.4"/>
    <x v="0"/>
    <s v="Yes"/>
    <s v="No"/>
    <n v="5"/>
    <s v="Closed"/>
    <s v="September"/>
    <x v="8"/>
    <n v="2026"/>
    <s v="Yes"/>
    <n v="1"/>
    <x v="0"/>
    <n v="0"/>
  </r>
  <r>
    <s v="T005534"/>
    <x v="5309"/>
    <d v="2026-09-08T09:53:00"/>
    <x v="1"/>
    <s v="Chat"/>
    <x v="0"/>
    <s v="A018"/>
    <x v="2"/>
    <n v="72"/>
    <n v="2.6"/>
    <x v="0"/>
    <s v="Yes"/>
    <s v="No"/>
    <n v="3"/>
    <s v="Closed"/>
    <s v="September"/>
    <x v="8"/>
    <n v="2026"/>
    <s v="Yes"/>
    <n v="1"/>
    <x v="3"/>
    <n v="0"/>
  </r>
  <r>
    <s v="T005535"/>
    <x v="5310"/>
    <d v="2026-09-08T12:44:00"/>
    <x v="6"/>
    <s v="Chat"/>
    <x v="1"/>
    <s v="A035"/>
    <x v="2"/>
    <n v="24"/>
    <n v="3.4"/>
    <x v="1"/>
    <s v="No"/>
    <s v="No"/>
    <m/>
    <s v="Closed"/>
    <s v="September"/>
    <x v="8"/>
    <n v="2026"/>
    <s v="Yes"/>
    <n v="1"/>
    <x v="4"/>
    <n v="1"/>
  </r>
  <r>
    <s v="T005536"/>
    <x v="5311"/>
    <d v="2026-09-08T23:58:00"/>
    <x v="1"/>
    <s v="Phone"/>
    <x v="0"/>
    <s v="A024"/>
    <x v="2"/>
    <n v="72"/>
    <n v="13.1"/>
    <x v="1"/>
    <s v="No"/>
    <s v="No"/>
    <n v="3"/>
    <s v="Closed"/>
    <s v="September"/>
    <x v="8"/>
    <n v="2026"/>
    <s v="Yes"/>
    <n v="1"/>
    <x v="4"/>
    <n v="1"/>
  </r>
  <r>
    <s v="T005537"/>
    <x v="5312"/>
    <d v="2026-09-10T08:08:00"/>
    <x v="3"/>
    <s v="Field Visit"/>
    <x v="1"/>
    <s v="A036"/>
    <x v="1"/>
    <n v="24"/>
    <n v="44.1"/>
    <x v="1"/>
    <s v="No"/>
    <s v="No"/>
    <n v="3"/>
    <s v="Closed"/>
    <s v="September"/>
    <x v="8"/>
    <n v="2026"/>
    <s v="No"/>
    <n v="0"/>
    <x v="1"/>
    <n v="1"/>
  </r>
  <r>
    <s v="T005538"/>
    <x v="5313"/>
    <d v="2026-09-09T05:14:00"/>
    <x v="1"/>
    <s v="Phone"/>
    <x v="1"/>
    <s v="A013"/>
    <x v="0"/>
    <n v="24"/>
    <n v="17.100000000000001"/>
    <x v="1"/>
    <s v="No"/>
    <s v="Yes"/>
    <n v="4"/>
    <s v="Closed"/>
    <s v="September"/>
    <x v="8"/>
    <n v="2026"/>
    <s v="Yes"/>
    <n v="1"/>
    <x v="3"/>
    <n v="1"/>
  </r>
  <r>
    <s v="T005539"/>
    <x v="5314"/>
    <d v="2026-09-08T19:39:00"/>
    <x v="1"/>
    <s v="Phone"/>
    <x v="0"/>
    <s v="A032"/>
    <x v="2"/>
    <n v="72"/>
    <n v="6.6"/>
    <x v="1"/>
    <s v="No"/>
    <s v="No"/>
    <n v="5"/>
    <s v="Closed"/>
    <s v="September"/>
    <x v="8"/>
    <n v="2026"/>
    <s v="Yes"/>
    <n v="1"/>
    <x v="4"/>
    <n v="1"/>
  </r>
  <r>
    <s v="T005540"/>
    <x v="5315"/>
    <d v="2026-09-08T22:04:00"/>
    <x v="2"/>
    <s v="Phone"/>
    <x v="1"/>
    <s v="A006"/>
    <x v="0"/>
    <n v="24"/>
    <n v="8.6"/>
    <x v="0"/>
    <s v="Yes"/>
    <s v="No"/>
    <m/>
    <s v="Closed"/>
    <s v="September"/>
    <x v="8"/>
    <n v="2026"/>
    <s v="Yes"/>
    <n v="1"/>
    <x v="1"/>
    <n v="0"/>
  </r>
  <r>
    <s v="T005541"/>
    <x v="5316"/>
    <d v="2026-09-09T17:34:00"/>
    <x v="2"/>
    <s v="Field Visit"/>
    <x v="0"/>
    <s v="A056"/>
    <x v="1"/>
    <n v="72"/>
    <n v="27.7"/>
    <x v="0"/>
    <s v="Yes"/>
    <s v="No"/>
    <n v="5"/>
    <s v="Closed"/>
    <s v="September"/>
    <x v="8"/>
    <n v="2026"/>
    <s v="Yes"/>
    <n v="1"/>
    <x v="1"/>
    <n v="0"/>
  </r>
  <r>
    <s v="T005542"/>
    <x v="5317"/>
    <d v="2026-09-08T19:50:00"/>
    <x v="5"/>
    <s v="Phone"/>
    <x v="0"/>
    <s v="A029"/>
    <x v="2"/>
    <n v="72"/>
    <n v="5.8"/>
    <x v="1"/>
    <s v="No"/>
    <s v="No"/>
    <m/>
    <s v="Closed"/>
    <s v="September"/>
    <x v="8"/>
    <n v="2026"/>
    <s v="Yes"/>
    <n v="1"/>
    <x v="1"/>
    <n v="1"/>
  </r>
  <r>
    <s v="T005543"/>
    <x v="5318"/>
    <d v="2026-09-08T19:07:00"/>
    <x v="2"/>
    <s v="Phone"/>
    <x v="1"/>
    <s v="A002"/>
    <x v="0"/>
    <n v="24"/>
    <n v="3.9"/>
    <x v="0"/>
    <s v="No"/>
    <s v="No"/>
    <m/>
    <s v="Closed"/>
    <s v="September"/>
    <x v="8"/>
    <n v="2026"/>
    <s v="Yes"/>
    <n v="1"/>
    <x v="3"/>
    <n v="0"/>
  </r>
  <r>
    <s v="T005544"/>
    <x v="5319"/>
    <d v="2026-09-09T02:51:00"/>
    <x v="4"/>
    <s v="Chat"/>
    <x v="1"/>
    <s v="A058"/>
    <x v="1"/>
    <n v="24"/>
    <n v="11.2"/>
    <x v="0"/>
    <s v="Yes"/>
    <s v="No"/>
    <n v="2"/>
    <s v="Closed"/>
    <s v="September"/>
    <x v="8"/>
    <n v="2026"/>
    <s v="Yes"/>
    <n v="1"/>
    <x v="4"/>
    <n v="0"/>
  </r>
  <r>
    <s v="T005545"/>
    <x v="5320"/>
    <d v="2026-09-08T23:38:00"/>
    <x v="6"/>
    <s v="Phone"/>
    <x v="1"/>
    <s v="A042"/>
    <x v="1"/>
    <n v="24"/>
    <n v="7.5"/>
    <x v="0"/>
    <s v="Yes"/>
    <s v="No"/>
    <m/>
    <s v="Closed"/>
    <s v="September"/>
    <x v="8"/>
    <n v="2026"/>
    <s v="Yes"/>
    <n v="1"/>
    <x v="1"/>
    <n v="0"/>
  </r>
  <r>
    <s v="T005546"/>
    <x v="5321"/>
    <d v="2026-09-09T03:22:00"/>
    <x v="2"/>
    <s v="Chat"/>
    <x v="1"/>
    <s v="A059"/>
    <x v="1"/>
    <n v="24"/>
    <n v="11"/>
    <x v="1"/>
    <s v="No"/>
    <s v="No"/>
    <m/>
    <s v="Closed"/>
    <s v="September"/>
    <x v="8"/>
    <n v="2026"/>
    <s v="Yes"/>
    <n v="1"/>
    <x v="2"/>
    <n v="1"/>
  </r>
  <r>
    <s v="T005547"/>
    <x v="5322"/>
    <d v="2026-09-09T16:04:00"/>
    <x v="6"/>
    <s v="Phone"/>
    <x v="2"/>
    <s v="A023"/>
    <x v="2"/>
    <n v="4"/>
    <n v="20.399999999999999"/>
    <x v="1"/>
    <s v="No"/>
    <s v="Yes"/>
    <m/>
    <s v="Closed"/>
    <s v="September"/>
    <x v="8"/>
    <n v="2026"/>
    <s v="No"/>
    <n v="0"/>
    <x v="1"/>
    <n v="1"/>
  </r>
  <r>
    <s v="T005548"/>
    <x v="5323"/>
    <d v="2026-09-10T14:13:00"/>
    <x v="3"/>
    <s v="Field Visit"/>
    <x v="0"/>
    <s v="A052"/>
    <x v="1"/>
    <n v="72"/>
    <n v="42.3"/>
    <x v="1"/>
    <s v="No"/>
    <s v="No"/>
    <m/>
    <s v="Closed"/>
    <s v="September"/>
    <x v="8"/>
    <n v="2026"/>
    <s v="Yes"/>
    <n v="1"/>
    <x v="3"/>
    <n v="1"/>
  </r>
  <r>
    <s v="T005549"/>
    <x v="5324"/>
    <d v="2026-09-09T10:55:00"/>
    <x v="0"/>
    <s v="Phone"/>
    <x v="0"/>
    <s v="A050"/>
    <x v="1"/>
    <n v="72"/>
    <n v="13.4"/>
    <x v="1"/>
    <s v="No"/>
    <s v="No"/>
    <n v="4"/>
    <s v="Closed"/>
    <s v="September"/>
    <x v="8"/>
    <n v="2026"/>
    <s v="Yes"/>
    <n v="1"/>
    <x v="2"/>
    <n v="1"/>
  </r>
  <r>
    <s v="T005550"/>
    <x v="5325"/>
    <d v="2026-09-10T19:02:00"/>
    <x v="0"/>
    <s v="Field Visit"/>
    <x v="1"/>
    <s v="A045"/>
    <x v="1"/>
    <n v="24"/>
    <n v="41.1"/>
    <x v="1"/>
    <s v="No"/>
    <s v="No"/>
    <n v="5"/>
    <s v="Closed"/>
    <s v="September"/>
    <x v="8"/>
    <n v="2026"/>
    <s v="No"/>
    <n v="0"/>
    <x v="2"/>
    <n v="1"/>
  </r>
  <r>
    <s v="T005551"/>
    <x v="5326"/>
    <d v="2026-09-09T11:54:00"/>
    <x v="0"/>
    <s v="Phone"/>
    <x v="1"/>
    <s v="A032"/>
    <x v="2"/>
    <n v="24"/>
    <n v="9"/>
    <x v="0"/>
    <s v="No"/>
    <s v="No"/>
    <m/>
    <s v="Closed"/>
    <s v="September"/>
    <x v="8"/>
    <n v="2026"/>
    <s v="Yes"/>
    <n v="1"/>
    <x v="4"/>
    <n v="0"/>
  </r>
  <r>
    <s v="T005552"/>
    <x v="5327"/>
    <d v="2026-09-13T16:25:00"/>
    <x v="0"/>
    <s v="Field Visit"/>
    <x v="1"/>
    <s v="A015"/>
    <x v="0"/>
    <n v="24"/>
    <n v="108"/>
    <x v="0"/>
    <s v="Yes"/>
    <s v="No"/>
    <n v="2"/>
    <s v="Closed"/>
    <s v="September"/>
    <x v="8"/>
    <n v="2026"/>
    <s v="No"/>
    <n v="0"/>
    <x v="1"/>
    <n v="0"/>
  </r>
  <r>
    <s v="T005553"/>
    <x v="5328"/>
    <d v="2026-09-10T06:47:00"/>
    <x v="5"/>
    <s v="Email"/>
    <x v="1"/>
    <s v="A016"/>
    <x v="2"/>
    <n v="24"/>
    <n v="24.4"/>
    <x v="0"/>
    <s v="No"/>
    <s v="No"/>
    <n v="2"/>
    <s v="Closed"/>
    <s v="September"/>
    <x v="8"/>
    <n v="2026"/>
    <s v="No"/>
    <n v="0"/>
    <x v="3"/>
    <n v="0"/>
  </r>
  <r>
    <s v="T005554"/>
    <x v="5329"/>
    <d v="2026-09-11T02:01:00"/>
    <x v="4"/>
    <s v="Phone"/>
    <x v="0"/>
    <s v="A041"/>
    <x v="1"/>
    <n v="72"/>
    <n v="41.1"/>
    <x v="0"/>
    <s v="No"/>
    <s v="No"/>
    <m/>
    <s v="Closed"/>
    <s v="September"/>
    <x v="8"/>
    <n v="2026"/>
    <s v="Yes"/>
    <n v="1"/>
    <x v="2"/>
    <n v="0"/>
  </r>
  <r>
    <s v="T005555"/>
    <x v="5330"/>
    <d v="2026-09-11T17:46:00"/>
    <x v="0"/>
    <s v="Email"/>
    <x v="2"/>
    <s v="A050"/>
    <x v="1"/>
    <n v="4"/>
    <n v="56.8"/>
    <x v="1"/>
    <s v="No"/>
    <s v="No"/>
    <n v="4"/>
    <s v="Closed"/>
    <s v="September"/>
    <x v="8"/>
    <n v="2026"/>
    <s v="No"/>
    <n v="0"/>
    <x v="1"/>
    <n v="1"/>
  </r>
  <r>
    <s v="T005556"/>
    <x v="5331"/>
    <d v="2026-09-09T13:32:00"/>
    <x v="5"/>
    <s v="Chat"/>
    <x v="1"/>
    <s v="A044"/>
    <x v="1"/>
    <n v="24"/>
    <n v="4"/>
    <x v="0"/>
    <s v="No"/>
    <s v="No"/>
    <n v="3"/>
    <s v="Closed"/>
    <s v="September"/>
    <x v="8"/>
    <n v="2026"/>
    <s v="Yes"/>
    <n v="1"/>
    <x v="4"/>
    <n v="0"/>
  </r>
  <r>
    <s v="T005557"/>
    <x v="5331"/>
    <d v="2026-09-09T23:38:00"/>
    <x v="0"/>
    <s v="Field Visit"/>
    <x v="1"/>
    <s v="A006"/>
    <x v="0"/>
    <n v="24"/>
    <n v="14.1"/>
    <x v="0"/>
    <s v="No"/>
    <s v="No"/>
    <n v="5"/>
    <s v="Closed"/>
    <s v="September"/>
    <x v="8"/>
    <n v="2026"/>
    <s v="Yes"/>
    <n v="1"/>
    <x v="0"/>
    <n v="0"/>
  </r>
  <r>
    <s v="T005558"/>
    <x v="5332"/>
    <d v="2026-09-09T17:08:00"/>
    <x v="3"/>
    <s v="Phone"/>
    <x v="1"/>
    <s v="A026"/>
    <x v="2"/>
    <n v="24"/>
    <n v="7.4"/>
    <x v="0"/>
    <s v="Yes"/>
    <s v="No"/>
    <m/>
    <s v="Closed"/>
    <s v="September"/>
    <x v="8"/>
    <n v="2026"/>
    <s v="Yes"/>
    <n v="1"/>
    <x v="0"/>
    <n v="0"/>
  </r>
  <r>
    <s v="T005559"/>
    <x v="5333"/>
    <d v="2026-09-09T17:54:00"/>
    <x v="5"/>
    <s v="Phone"/>
    <x v="1"/>
    <s v="A058"/>
    <x v="1"/>
    <n v="24"/>
    <n v="6.8"/>
    <x v="0"/>
    <s v="Yes"/>
    <s v="No"/>
    <m/>
    <s v="Closed"/>
    <s v="September"/>
    <x v="8"/>
    <n v="2026"/>
    <s v="Yes"/>
    <n v="1"/>
    <x v="4"/>
    <n v="0"/>
  </r>
  <r>
    <s v="T005560"/>
    <x v="5334"/>
    <d v="2026-09-09T23:41:00"/>
    <x v="6"/>
    <s v="Phone"/>
    <x v="2"/>
    <s v="A048"/>
    <x v="1"/>
    <n v="4"/>
    <n v="11.3"/>
    <x v="0"/>
    <s v="No"/>
    <s v="No"/>
    <m/>
    <s v="Closed"/>
    <s v="September"/>
    <x v="8"/>
    <n v="2026"/>
    <s v="No"/>
    <n v="0"/>
    <x v="3"/>
    <n v="0"/>
  </r>
  <r>
    <s v="T005561"/>
    <x v="5335"/>
    <d v="2026-09-09T21:48:00"/>
    <x v="3"/>
    <s v="Chat"/>
    <x v="1"/>
    <s v="A056"/>
    <x v="1"/>
    <n v="24"/>
    <n v="9.1999999999999993"/>
    <x v="1"/>
    <s v="No"/>
    <s v="No"/>
    <m/>
    <s v="Closed"/>
    <s v="September"/>
    <x v="8"/>
    <n v="2026"/>
    <s v="Yes"/>
    <n v="1"/>
    <x v="1"/>
    <n v="1"/>
  </r>
  <r>
    <s v="T005562"/>
    <x v="5336"/>
    <d v="2026-09-10T08:06:00"/>
    <x v="5"/>
    <s v="Email"/>
    <x v="1"/>
    <s v="A058"/>
    <x v="1"/>
    <n v="24"/>
    <n v="19.100000000000001"/>
    <x v="1"/>
    <s v="No"/>
    <s v="No"/>
    <n v="3"/>
    <s v="Closed"/>
    <s v="September"/>
    <x v="8"/>
    <n v="2026"/>
    <s v="Yes"/>
    <n v="1"/>
    <x v="3"/>
    <n v="1"/>
  </r>
  <r>
    <s v="T005563"/>
    <x v="5337"/>
    <d v="2026-09-09T18:26:00"/>
    <x v="0"/>
    <s v="Chat"/>
    <x v="0"/>
    <s v="A015"/>
    <x v="0"/>
    <n v="72"/>
    <n v="5.4"/>
    <x v="1"/>
    <s v="No"/>
    <s v="No"/>
    <n v="5"/>
    <s v="Closed"/>
    <s v="September"/>
    <x v="8"/>
    <n v="2026"/>
    <s v="Yes"/>
    <n v="1"/>
    <x v="1"/>
    <n v="1"/>
  </r>
  <r>
    <s v="T005564"/>
    <x v="5338"/>
    <d v="2026-09-11T21:53:00"/>
    <x v="3"/>
    <s v="Field Visit"/>
    <x v="1"/>
    <s v="A011"/>
    <x v="0"/>
    <n v="24"/>
    <n v="56.5"/>
    <x v="0"/>
    <s v="No"/>
    <s v="Yes"/>
    <n v="3"/>
    <s v="Closed"/>
    <s v="September"/>
    <x v="8"/>
    <n v="2026"/>
    <s v="No"/>
    <n v="0"/>
    <x v="3"/>
    <n v="0"/>
  </r>
  <r>
    <s v="T005565"/>
    <x v="5339"/>
    <d v="2026-09-10T18:32:00"/>
    <x v="2"/>
    <s v="Field Visit"/>
    <x v="1"/>
    <s v="A012"/>
    <x v="0"/>
    <n v="24"/>
    <n v="28.8"/>
    <x v="1"/>
    <s v="No"/>
    <s v="Yes"/>
    <n v="3"/>
    <s v="Closed"/>
    <s v="September"/>
    <x v="8"/>
    <n v="2026"/>
    <s v="No"/>
    <n v="0"/>
    <x v="3"/>
    <n v="1"/>
  </r>
  <r>
    <s v="T005566"/>
    <x v="5340"/>
    <d v="2026-09-10T00:29:00"/>
    <x v="0"/>
    <s v="Chat"/>
    <x v="0"/>
    <s v="A050"/>
    <x v="1"/>
    <n v="72"/>
    <n v="10.6"/>
    <x v="1"/>
    <s v="No"/>
    <s v="No"/>
    <m/>
    <s v="Closed"/>
    <s v="September"/>
    <x v="8"/>
    <n v="2026"/>
    <s v="Yes"/>
    <n v="1"/>
    <x v="4"/>
    <n v="1"/>
  </r>
  <r>
    <s v="T005567"/>
    <x v="5341"/>
    <d v="2026-09-10T00:22:00"/>
    <x v="0"/>
    <s v="Phone"/>
    <x v="0"/>
    <s v="A058"/>
    <x v="1"/>
    <n v="72"/>
    <n v="9.5"/>
    <x v="1"/>
    <s v="No"/>
    <s v="No"/>
    <n v="5"/>
    <s v="Closed"/>
    <s v="September"/>
    <x v="8"/>
    <n v="2026"/>
    <s v="Yes"/>
    <n v="1"/>
    <x v="2"/>
    <n v="1"/>
  </r>
  <r>
    <s v="T005568"/>
    <x v="5342"/>
    <d v="2026-09-10T02:08:00"/>
    <x v="2"/>
    <s v="Email"/>
    <x v="1"/>
    <s v="A056"/>
    <x v="1"/>
    <n v="24"/>
    <n v="10.5"/>
    <x v="1"/>
    <s v="No"/>
    <s v="No"/>
    <n v="5"/>
    <s v="Closed"/>
    <s v="September"/>
    <x v="8"/>
    <n v="2026"/>
    <s v="Yes"/>
    <n v="1"/>
    <x v="0"/>
    <n v="1"/>
  </r>
  <r>
    <s v="T005569"/>
    <x v="5343"/>
    <d v="2026-09-09T18:38:00"/>
    <x v="0"/>
    <s v="Chat"/>
    <x v="0"/>
    <s v="A024"/>
    <x v="2"/>
    <n v="72"/>
    <n v="1.9"/>
    <x v="0"/>
    <s v="No"/>
    <s v="No"/>
    <n v="4"/>
    <s v="Closed"/>
    <s v="September"/>
    <x v="8"/>
    <n v="2026"/>
    <s v="Yes"/>
    <n v="1"/>
    <x v="2"/>
    <n v="0"/>
  </r>
  <r>
    <s v="T005570"/>
    <x v="5344"/>
    <d v="2026-09-10T09:28:00"/>
    <x v="3"/>
    <s v="Field Visit"/>
    <x v="0"/>
    <s v="A052"/>
    <x v="1"/>
    <n v="72"/>
    <n v="16.7"/>
    <x v="1"/>
    <s v="No"/>
    <s v="No"/>
    <m/>
    <s v="Closed"/>
    <s v="September"/>
    <x v="8"/>
    <n v="2026"/>
    <s v="Yes"/>
    <n v="1"/>
    <x v="1"/>
    <n v="1"/>
  </r>
  <r>
    <s v="T005571"/>
    <x v="5345"/>
    <d v="2026-09-09T22:09:00"/>
    <x v="1"/>
    <s v="Phone"/>
    <x v="2"/>
    <s v="A013"/>
    <x v="0"/>
    <n v="4"/>
    <n v="5.0999999999999996"/>
    <x v="1"/>
    <s v="No"/>
    <s v="No"/>
    <n v="4"/>
    <s v="Closed"/>
    <s v="September"/>
    <x v="8"/>
    <n v="2026"/>
    <s v="No"/>
    <n v="0"/>
    <x v="1"/>
    <n v="1"/>
  </r>
  <r>
    <s v="T005572"/>
    <x v="5346"/>
    <d v="2026-09-24T22:07:00"/>
    <x v="4"/>
    <s v="Field Visit"/>
    <x v="0"/>
    <s v="A010"/>
    <x v="0"/>
    <n v="72"/>
    <n v="363.8"/>
    <x v="1"/>
    <s v="No"/>
    <s v="No"/>
    <n v="4"/>
    <s v="Closed"/>
    <s v="September"/>
    <x v="8"/>
    <n v="2026"/>
    <s v="No"/>
    <n v="0"/>
    <x v="4"/>
    <n v="1"/>
  </r>
  <r>
    <s v="T005573"/>
    <x v="5347"/>
    <d v="2026-09-10T17:50:00"/>
    <x v="2"/>
    <s v="Field Visit"/>
    <x v="0"/>
    <s v="A045"/>
    <x v="1"/>
    <n v="72"/>
    <n v="23.3"/>
    <x v="1"/>
    <s v="No"/>
    <s v="No"/>
    <n v="4"/>
    <s v="Closed"/>
    <s v="September"/>
    <x v="8"/>
    <n v="2026"/>
    <s v="Yes"/>
    <n v="1"/>
    <x v="3"/>
    <n v="1"/>
  </r>
  <r>
    <s v="T005574"/>
    <x v="5348"/>
    <d v="2026-09-10T22:24:00"/>
    <x v="2"/>
    <s v="Email"/>
    <x v="1"/>
    <s v="A035"/>
    <x v="2"/>
    <n v="24"/>
    <n v="18.3"/>
    <x v="0"/>
    <s v="Yes"/>
    <s v="No"/>
    <m/>
    <s v="Closed"/>
    <s v="September"/>
    <x v="8"/>
    <n v="2026"/>
    <s v="Yes"/>
    <n v="1"/>
    <x v="1"/>
    <n v="0"/>
  </r>
  <r>
    <s v="T005575"/>
    <x v="5349"/>
    <d v="2026-09-10T18:27:00"/>
    <x v="5"/>
    <s v="Email"/>
    <x v="1"/>
    <s v="A036"/>
    <x v="1"/>
    <n v="24"/>
    <n v="13.4"/>
    <x v="0"/>
    <s v="No"/>
    <s v="No"/>
    <n v="3"/>
    <s v="Closed"/>
    <s v="September"/>
    <x v="8"/>
    <n v="2026"/>
    <s v="Yes"/>
    <n v="1"/>
    <x v="1"/>
    <n v="0"/>
  </r>
  <r>
    <s v="T005576"/>
    <x v="5350"/>
    <d v="2026-09-10T20:29:00"/>
    <x v="0"/>
    <s v="Chat"/>
    <x v="0"/>
    <s v="A006"/>
    <x v="0"/>
    <n v="72"/>
    <n v="14.3"/>
    <x v="0"/>
    <s v="No"/>
    <s v="No"/>
    <m/>
    <s v="Closed"/>
    <s v="September"/>
    <x v="8"/>
    <n v="2026"/>
    <s v="Yes"/>
    <n v="1"/>
    <x v="1"/>
    <n v="0"/>
  </r>
  <r>
    <s v="T005577"/>
    <x v="5351"/>
    <d v="2026-09-14T05:14:00"/>
    <x v="3"/>
    <s v="Field Visit"/>
    <x v="0"/>
    <s v="A038"/>
    <x v="1"/>
    <n v="72"/>
    <n v="94.8"/>
    <x v="1"/>
    <s v="No"/>
    <s v="No"/>
    <m/>
    <s v="Closed"/>
    <s v="September"/>
    <x v="8"/>
    <n v="2026"/>
    <s v="No"/>
    <n v="0"/>
    <x v="1"/>
    <n v="1"/>
  </r>
  <r>
    <s v="T005579"/>
    <x v="5352"/>
    <d v="2026-09-10T11:30:00"/>
    <x v="6"/>
    <s v="Phone"/>
    <x v="1"/>
    <s v="A051"/>
    <x v="1"/>
    <n v="24"/>
    <n v="2.5"/>
    <x v="1"/>
    <s v="No"/>
    <s v="No"/>
    <n v="3"/>
    <s v="Closed"/>
    <s v="September"/>
    <x v="8"/>
    <n v="2026"/>
    <s v="Yes"/>
    <n v="1"/>
    <x v="4"/>
    <n v="1"/>
  </r>
  <r>
    <s v="T005578"/>
    <x v="5352"/>
    <d v="2026-09-10T19:54:00"/>
    <x v="1"/>
    <s v="Chat"/>
    <x v="0"/>
    <s v="A060"/>
    <x v="1"/>
    <n v="72"/>
    <n v="10.9"/>
    <x v="1"/>
    <s v="No"/>
    <s v="No"/>
    <n v="5"/>
    <s v="Closed"/>
    <s v="September"/>
    <x v="8"/>
    <n v="2026"/>
    <s v="Yes"/>
    <n v="1"/>
    <x v="2"/>
    <n v="1"/>
  </r>
  <r>
    <s v="T005580"/>
    <x v="5353"/>
    <d v="2026-09-10T19:49:00"/>
    <x v="5"/>
    <s v="Phone"/>
    <x v="1"/>
    <s v="A041"/>
    <x v="1"/>
    <n v="24"/>
    <n v="10.8"/>
    <x v="1"/>
    <s v="No"/>
    <s v="No"/>
    <n v="5"/>
    <s v="Closed"/>
    <s v="September"/>
    <x v="8"/>
    <n v="2026"/>
    <s v="Yes"/>
    <n v="1"/>
    <x v="0"/>
    <n v="1"/>
  </r>
  <r>
    <s v="T005581"/>
    <x v="5354"/>
    <d v="2026-09-11T08:43:00"/>
    <x v="2"/>
    <s v="Phone"/>
    <x v="2"/>
    <s v="A046"/>
    <x v="1"/>
    <n v="4"/>
    <n v="23.3"/>
    <x v="1"/>
    <s v="No"/>
    <s v="No"/>
    <n v="4"/>
    <s v="Closed"/>
    <s v="September"/>
    <x v="8"/>
    <n v="2026"/>
    <s v="No"/>
    <n v="0"/>
    <x v="3"/>
    <n v="1"/>
  </r>
  <r>
    <s v="T005582"/>
    <x v="5355"/>
    <d v="2026-09-10T17:54:00"/>
    <x v="1"/>
    <s v="Phone"/>
    <x v="1"/>
    <s v="A020"/>
    <x v="2"/>
    <n v="24"/>
    <n v="7.7"/>
    <x v="1"/>
    <s v="No"/>
    <s v="No"/>
    <m/>
    <s v="Closed"/>
    <s v="September"/>
    <x v="8"/>
    <n v="2026"/>
    <s v="Yes"/>
    <n v="1"/>
    <x v="0"/>
    <n v="1"/>
  </r>
  <r>
    <s v="T005583"/>
    <x v="5356"/>
    <d v="2026-09-19T05:09:00"/>
    <x v="4"/>
    <s v="Field Visit"/>
    <x v="2"/>
    <s v="A059"/>
    <x v="1"/>
    <n v="4"/>
    <n v="210.7"/>
    <x v="1"/>
    <s v="No"/>
    <s v="Yes"/>
    <n v="5"/>
    <s v="Closed"/>
    <s v="September"/>
    <x v="8"/>
    <n v="2026"/>
    <s v="No"/>
    <n v="0"/>
    <x v="3"/>
    <n v="1"/>
  </r>
  <r>
    <s v="T005584"/>
    <x v="5357"/>
    <d v="2026-09-11T03:43:00"/>
    <x v="6"/>
    <s v="Field Visit"/>
    <x v="2"/>
    <s v="A054"/>
    <x v="1"/>
    <n v="4"/>
    <n v="16.8"/>
    <x v="1"/>
    <s v="No"/>
    <s v="No"/>
    <n v="5"/>
    <s v="Closed"/>
    <s v="September"/>
    <x v="8"/>
    <n v="2026"/>
    <s v="No"/>
    <n v="0"/>
    <x v="4"/>
    <n v="1"/>
  </r>
  <r>
    <s v="T005585"/>
    <x v="5358"/>
    <d v="2026-09-14T08:41:00"/>
    <x v="3"/>
    <s v="Field Visit"/>
    <x v="0"/>
    <s v="A050"/>
    <x v="1"/>
    <n v="72"/>
    <n v="93.6"/>
    <x v="1"/>
    <s v="No"/>
    <s v="No"/>
    <m/>
    <s v="Closed"/>
    <s v="September"/>
    <x v="8"/>
    <n v="2026"/>
    <s v="No"/>
    <n v="0"/>
    <x v="3"/>
    <n v="1"/>
  </r>
  <r>
    <s v="T005586"/>
    <x v="5359"/>
    <d v="2026-09-11T19:50:00"/>
    <x v="2"/>
    <s v="Field Visit"/>
    <x v="2"/>
    <s v="A019"/>
    <x v="2"/>
    <n v="4"/>
    <n v="31.1"/>
    <x v="0"/>
    <s v="Yes"/>
    <s v="No"/>
    <n v="3"/>
    <s v="Closed"/>
    <s v="September"/>
    <x v="8"/>
    <n v="2026"/>
    <s v="No"/>
    <n v="0"/>
    <x v="4"/>
    <n v="0"/>
  </r>
  <r>
    <s v="T005587"/>
    <x v="5360"/>
    <d v="2026-09-11T16:52:00"/>
    <x v="5"/>
    <s v="Chat"/>
    <x v="0"/>
    <s v="A003"/>
    <x v="0"/>
    <n v="72"/>
    <n v="28.1"/>
    <x v="0"/>
    <s v="No"/>
    <s v="No"/>
    <n v="4"/>
    <s v="Closed"/>
    <s v="September"/>
    <x v="8"/>
    <n v="2026"/>
    <s v="Yes"/>
    <n v="1"/>
    <x v="2"/>
    <n v="0"/>
  </r>
  <r>
    <s v="T005588"/>
    <x v="5361"/>
    <d v="2026-09-11T18:21:00"/>
    <x v="6"/>
    <s v="Field Visit"/>
    <x v="1"/>
    <s v="A059"/>
    <x v="1"/>
    <n v="24"/>
    <n v="28.7"/>
    <x v="1"/>
    <s v="No"/>
    <s v="No"/>
    <n v="4"/>
    <s v="Closed"/>
    <s v="September"/>
    <x v="8"/>
    <n v="2026"/>
    <s v="No"/>
    <n v="0"/>
    <x v="3"/>
    <n v="1"/>
  </r>
  <r>
    <s v="T005589"/>
    <x v="5362"/>
    <d v="2026-09-11T02:52:00"/>
    <x v="1"/>
    <s v="Phone"/>
    <x v="1"/>
    <s v="A034"/>
    <x v="2"/>
    <n v="24"/>
    <n v="12.9"/>
    <x v="1"/>
    <s v="No"/>
    <s v="No"/>
    <n v="5"/>
    <s v="Closed"/>
    <s v="September"/>
    <x v="8"/>
    <n v="2026"/>
    <s v="Yes"/>
    <n v="1"/>
    <x v="0"/>
    <n v="1"/>
  </r>
  <r>
    <s v="T005590"/>
    <x v="5363"/>
    <d v="2026-09-10T17:50:00"/>
    <x v="5"/>
    <s v="Chat"/>
    <x v="1"/>
    <s v="A042"/>
    <x v="1"/>
    <n v="24"/>
    <n v="2.5"/>
    <x v="1"/>
    <s v="No"/>
    <s v="No"/>
    <n v="5"/>
    <s v="Closed"/>
    <s v="September"/>
    <x v="8"/>
    <n v="2026"/>
    <s v="Yes"/>
    <n v="1"/>
    <x v="3"/>
    <n v="1"/>
  </r>
  <r>
    <s v="T005591"/>
    <x v="5364"/>
    <d v="2026-09-10T20:37:00"/>
    <x v="1"/>
    <s v="Chat"/>
    <x v="0"/>
    <s v="A052"/>
    <x v="1"/>
    <n v="72"/>
    <n v="1.8"/>
    <x v="0"/>
    <s v="No"/>
    <s v="No"/>
    <m/>
    <s v="Closed"/>
    <s v="September"/>
    <x v="8"/>
    <n v="2026"/>
    <s v="Yes"/>
    <n v="1"/>
    <x v="1"/>
    <n v="0"/>
  </r>
  <r>
    <s v="T005592"/>
    <x v="5365"/>
    <d v="2026-09-12T06:30:00"/>
    <x v="5"/>
    <s v="Email"/>
    <x v="0"/>
    <s v="A016"/>
    <x v="2"/>
    <n v="72"/>
    <n v="24"/>
    <x v="1"/>
    <s v="No"/>
    <s v="No"/>
    <m/>
    <s v="Closed"/>
    <s v="September"/>
    <x v="8"/>
    <n v="2026"/>
    <s v="Yes"/>
    <n v="1"/>
    <x v="1"/>
    <n v="1"/>
  </r>
  <r>
    <s v="T005593"/>
    <x v="5366"/>
    <d v="2026-09-11T20:58:00"/>
    <x v="6"/>
    <s v="Phone"/>
    <x v="2"/>
    <s v="A027"/>
    <x v="2"/>
    <n v="4"/>
    <n v="13.4"/>
    <x v="1"/>
    <s v="No"/>
    <s v="No"/>
    <n v="4"/>
    <s v="Closed"/>
    <s v="September"/>
    <x v="8"/>
    <n v="2026"/>
    <s v="No"/>
    <n v="0"/>
    <x v="1"/>
    <n v="1"/>
  </r>
  <r>
    <s v="T005594"/>
    <x v="5367"/>
    <d v="2026-09-11T19:19:00"/>
    <x v="6"/>
    <s v="Phone"/>
    <x v="2"/>
    <s v="A048"/>
    <x v="1"/>
    <n v="4"/>
    <n v="10.4"/>
    <x v="1"/>
    <s v="No"/>
    <s v="No"/>
    <n v="5"/>
    <s v="Closed"/>
    <s v="September"/>
    <x v="8"/>
    <n v="2026"/>
    <s v="No"/>
    <n v="0"/>
    <x v="0"/>
    <n v="1"/>
  </r>
  <r>
    <s v="T005595"/>
    <x v="5368"/>
    <d v="2026-09-11T19:52:00"/>
    <x v="3"/>
    <s v="Field Visit"/>
    <x v="2"/>
    <s v="A054"/>
    <x v="1"/>
    <n v="4"/>
    <n v="10.9"/>
    <x v="1"/>
    <s v="No"/>
    <s v="No"/>
    <n v="4"/>
    <s v="Closed"/>
    <s v="September"/>
    <x v="8"/>
    <n v="2026"/>
    <s v="No"/>
    <n v="0"/>
    <x v="4"/>
    <n v="1"/>
  </r>
  <r>
    <s v="T005596"/>
    <x v="5369"/>
    <d v="2026-09-11T14:47:00"/>
    <x v="3"/>
    <s v="Chat"/>
    <x v="2"/>
    <s v="A048"/>
    <x v="1"/>
    <n v="4"/>
    <n v="5.3"/>
    <x v="1"/>
    <s v="No"/>
    <s v="No"/>
    <n v="4"/>
    <s v="Closed"/>
    <s v="September"/>
    <x v="8"/>
    <n v="2026"/>
    <s v="No"/>
    <n v="0"/>
    <x v="4"/>
    <n v="1"/>
  </r>
  <r>
    <s v="T005597"/>
    <x v="5370"/>
    <d v="2026-09-19T14:36:00"/>
    <x v="4"/>
    <s v="Field Visit"/>
    <x v="0"/>
    <s v="A002"/>
    <x v="0"/>
    <n v="72"/>
    <n v="196.2"/>
    <x v="0"/>
    <s v="Yes"/>
    <s v="No"/>
    <n v="3"/>
    <s v="Closed"/>
    <s v="September"/>
    <x v="8"/>
    <n v="2026"/>
    <s v="No"/>
    <n v="0"/>
    <x v="1"/>
    <n v="0"/>
  </r>
  <r>
    <s v="T005598"/>
    <x v="5371"/>
    <d v="2026-09-11T16:36:00"/>
    <x v="0"/>
    <s v="Chat"/>
    <x v="1"/>
    <s v="A024"/>
    <x v="2"/>
    <n v="24"/>
    <n v="5.8"/>
    <x v="1"/>
    <s v="No"/>
    <s v="No"/>
    <n v="5"/>
    <s v="Closed"/>
    <s v="September"/>
    <x v="8"/>
    <n v="2026"/>
    <s v="Yes"/>
    <n v="1"/>
    <x v="0"/>
    <n v="1"/>
  </r>
  <r>
    <s v="T005599"/>
    <x v="5372"/>
    <d v="2026-09-11T16:48:00"/>
    <x v="1"/>
    <s v="Chat"/>
    <x v="0"/>
    <s v="A058"/>
    <x v="1"/>
    <n v="72"/>
    <n v="4.9000000000000004"/>
    <x v="1"/>
    <s v="No"/>
    <s v="No"/>
    <n v="5"/>
    <s v="Closed"/>
    <s v="September"/>
    <x v="8"/>
    <n v="2026"/>
    <s v="Yes"/>
    <n v="1"/>
    <x v="0"/>
    <n v="1"/>
  </r>
  <r>
    <s v="T005600"/>
    <x v="5373"/>
    <d v="2026-09-12T10:33:00"/>
    <x v="0"/>
    <s v="Chat"/>
    <x v="1"/>
    <s v="A015"/>
    <x v="0"/>
    <n v="24"/>
    <n v="21.4"/>
    <x v="1"/>
    <s v="No"/>
    <s v="No"/>
    <n v="5"/>
    <s v="Closed"/>
    <s v="September"/>
    <x v="8"/>
    <n v="2026"/>
    <s v="Yes"/>
    <n v="1"/>
    <x v="3"/>
    <n v="1"/>
  </r>
  <r>
    <s v="T005601"/>
    <x v="5374"/>
    <d v="2026-09-12T03:12:00"/>
    <x v="0"/>
    <s v="Phone"/>
    <x v="1"/>
    <s v="A005"/>
    <x v="0"/>
    <n v="24"/>
    <n v="13.6"/>
    <x v="1"/>
    <s v="No"/>
    <s v="No"/>
    <n v="5"/>
    <s v="Closed"/>
    <s v="September"/>
    <x v="8"/>
    <n v="2026"/>
    <s v="Yes"/>
    <n v="1"/>
    <x v="1"/>
    <n v="1"/>
  </r>
  <r>
    <s v="T005602"/>
    <x v="5375"/>
    <d v="2026-09-12T07:09:00"/>
    <x v="5"/>
    <s v="Email"/>
    <x v="1"/>
    <s v="A021"/>
    <x v="2"/>
    <n v="24"/>
    <n v="16.2"/>
    <x v="1"/>
    <s v="No"/>
    <s v="No"/>
    <m/>
    <s v="Closed"/>
    <s v="September"/>
    <x v="8"/>
    <n v="2026"/>
    <s v="Yes"/>
    <n v="1"/>
    <x v="1"/>
    <n v="1"/>
  </r>
  <r>
    <s v="T005603"/>
    <x v="5376"/>
    <d v="2026-09-15T02:07:00"/>
    <x v="4"/>
    <s v="Field Visit"/>
    <x v="1"/>
    <s v="A060"/>
    <x v="1"/>
    <n v="24"/>
    <n v="83"/>
    <x v="1"/>
    <s v="No"/>
    <s v="No"/>
    <n v="4"/>
    <s v="Closed"/>
    <s v="September"/>
    <x v="8"/>
    <n v="2026"/>
    <s v="No"/>
    <n v="0"/>
    <x v="0"/>
    <n v="1"/>
  </r>
  <r>
    <s v="T005604"/>
    <x v="5377"/>
    <d v="2026-09-11T21:15:00"/>
    <x v="1"/>
    <s v="Phone"/>
    <x v="0"/>
    <s v="A050"/>
    <x v="1"/>
    <n v="72"/>
    <n v="5.9"/>
    <x v="1"/>
    <s v="No"/>
    <s v="No"/>
    <m/>
    <s v="Closed"/>
    <s v="September"/>
    <x v="8"/>
    <n v="2026"/>
    <s v="Yes"/>
    <n v="1"/>
    <x v="2"/>
    <n v="1"/>
  </r>
  <r>
    <s v="T005605"/>
    <x v="5378"/>
    <d v="2026-09-11T17:05:00"/>
    <x v="1"/>
    <s v="Chat"/>
    <x v="1"/>
    <s v="A026"/>
    <x v="2"/>
    <n v="24"/>
    <n v="1.7"/>
    <x v="1"/>
    <s v="No"/>
    <s v="Yes"/>
    <m/>
    <s v="Closed"/>
    <s v="September"/>
    <x v="8"/>
    <n v="2026"/>
    <s v="Yes"/>
    <n v="1"/>
    <x v="1"/>
    <n v="1"/>
  </r>
  <r>
    <s v="T005606"/>
    <x v="5379"/>
    <d v="2026-09-12T00:09:00"/>
    <x v="3"/>
    <s v="Phone"/>
    <x v="1"/>
    <s v="A042"/>
    <x v="1"/>
    <n v="24"/>
    <n v="7.9"/>
    <x v="1"/>
    <s v="No"/>
    <s v="No"/>
    <n v="5"/>
    <s v="Closed"/>
    <s v="September"/>
    <x v="8"/>
    <n v="2026"/>
    <s v="Yes"/>
    <n v="1"/>
    <x v="4"/>
    <n v="1"/>
  </r>
  <r>
    <s v="T005607"/>
    <x v="5380"/>
    <d v="2026-09-12T03:12:00"/>
    <x v="6"/>
    <s v="Phone"/>
    <x v="1"/>
    <s v="A004"/>
    <x v="0"/>
    <n v="24"/>
    <n v="10.8"/>
    <x v="1"/>
    <s v="No"/>
    <s v="No"/>
    <n v="4"/>
    <s v="Closed"/>
    <s v="September"/>
    <x v="8"/>
    <n v="2026"/>
    <s v="Yes"/>
    <n v="1"/>
    <x v="1"/>
    <n v="1"/>
  </r>
  <r>
    <s v="T005608"/>
    <x v="5381"/>
    <d v="2026-09-11T19:43:00"/>
    <x v="2"/>
    <s v="Chat"/>
    <x v="1"/>
    <s v="A051"/>
    <x v="1"/>
    <n v="24"/>
    <n v="3.3"/>
    <x v="1"/>
    <s v="No"/>
    <s v="No"/>
    <n v="5"/>
    <s v="Closed"/>
    <s v="September"/>
    <x v="8"/>
    <n v="2026"/>
    <s v="Yes"/>
    <n v="1"/>
    <x v="0"/>
    <n v="1"/>
  </r>
  <r>
    <s v="T005609"/>
    <x v="5382"/>
    <d v="2026-09-11T20:57:00"/>
    <x v="5"/>
    <s v="Chat"/>
    <x v="1"/>
    <s v="A039"/>
    <x v="1"/>
    <n v="24"/>
    <n v="2.4"/>
    <x v="1"/>
    <s v="No"/>
    <s v="No"/>
    <m/>
    <s v="Closed"/>
    <s v="September"/>
    <x v="8"/>
    <n v="2026"/>
    <s v="Yes"/>
    <n v="1"/>
    <x v="4"/>
    <n v="1"/>
  </r>
  <r>
    <s v="T005610"/>
    <x v="5383"/>
    <d v="2026-09-12T06:34:00"/>
    <x v="1"/>
    <s v="Email"/>
    <x v="1"/>
    <s v="A045"/>
    <x v="1"/>
    <n v="24"/>
    <n v="11.1"/>
    <x v="1"/>
    <s v="No"/>
    <s v="Yes"/>
    <n v="4"/>
    <s v="Closed"/>
    <s v="September"/>
    <x v="8"/>
    <n v="2026"/>
    <s v="Yes"/>
    <n v="1"/>
    <x v="0"/>
    <n v="1"/>
  </r>
  <r>
    <s v="T005611"/>
    <x v="5384"/>
    <d v="2026-09-12T03:58:00"/>
    <x v="1"/>
    <s v="Phone"/>
    <x v="0"/>
    <s v="A033"/>
    <x v="2"/>
    <n v="72"/>
    <n v="7.8"/>
    <x v="0"/>
    <s v="No"/>
    <s v="No"/>
    <n v="5"/>
    <s v="Closed"/>
    <s v="September"/>
    <x v="8"/>
    <n v="2026"/>
    <s v="Yes"/>
    <n v="1"/>
    <x v="4"/>
    <n v="0"/>
  </r>
  <r>
    <s v="T005612"/>
    <x v="5385"/>
    <d v="2026-09-12T05:14:00"/>
    <x v="5"/>
    <s v="Chat"/>
    <x v="2"/>
    <s v="A046"/>
    <x v="1"/>
    <n v="4"/>
    <n v="8.3000000000000007"/>
    <x v="1"/>
    <s v="No"/>
    <s v="No"/>
    <m/>
    <s v="Closed"/>
    <s v="September"/>
    <x v="8"/>
    <n v="2026"/>
    <s v="No"/>
    <n v="0"/>
    <x v="3"/>
    <n v="1"/>
  </r>
  <r>
    <s v="T005613"/>
    <x v="5386"/>
    <d v="2026-09-12T18:04:00"/>
    <x v="1"/>
    <s v="Phone"/>
    <x v="0"/>
    <s v="A030"/>
    <x v="2"/>
    <n v="72"/>
    <n v="10.7"/>
    <x v="0"/>
    <s v="No"/>
    <s v="No"/>
    <n v="3"/>
    <s v="Closed"/>
    <s v="September"/>
    <x v="8"/>
    <n v="2026"/>
    <s v="Yes"/>
    <n v="1"/>
    <x v="2"/>
    <n v="0"/>
  </r>
  <r>
    <s v="T005614"/>
    <x v="5387"/>
    <d v="2026-09-12T15:36:00"/>
    <x v="6"/>
    <s v="Chat"/>
    <x v="2"/>
    <s v="A010"/>
    <x v="0"/>
    <n v="4"/>
    <n v="7.7"/>
    <x v="0"/>
    <s v="No"/>
    <s v="No"/>
    <m/>
    <s v="Closed"/>
    <s v="September"/>
    <x v="8"/>
    <n v="2026"/>
    <s v="No"/>
    <n v="0"/>
    <x v="3"/>
    <n v="0"/>
  </r>
  <r>
    <s v="T005615"/>
    <x v="5388"/>
    <d v="2026-09-12T10:41:00"/>
    <x v="1"/>
    <s v="Chat"/>
    <x v="0"/>
    <s v="A030"/>
    <x v="2"/>
    <n v="72"/>
    <n v="2.4"/>
    <x v="1"/>
    <s v="No"/>
    <s v="No"/>
    <n v="5"/>
    <s v="Closed"/>
    <s v="September"/>
    <x v="8"/>
    <n v="2026"/>
    <s v="Yes"/>
    <n v="1"/>
    <x v="4"/>
    <n v="1"/>
  </r>
  <r>
    <s v="T005616"/>
    <x v="5389"/>
    <d v="2026-09-14T09:33:00"/>
    <x v="1"/>
    <s v="Email"/>
    <x v="0"/>
    <s v="A020"/>
    <x v="2"/>
    <n v="72"/>
    <n v="48.9"/>
    <x v="1"/>
    <s v="No"/>
    <s v="No"/>
    <n v="5"/>
    <s v="Closed"/>
    <s v="September"/>
    <x v="8"/>
    <n v="2026"/>
    <s v="Yes"/>
    <n v="1"/>
    <x v="4"/>
    <n v="1"/>
  </r>
  <r>
    <s v="T005617"/>
    <x v="5390"/>
    <d v="2026-09-12T20:43:00"/>
    <x v="6"/>
    <s v="Phone"/>
    <x v="2"/>
    <s v="A058"/>
    <x v="1"/>
    <n v="4"/>
    <n v="11.8"/>
    <x v="1"/>
    <s v="No"/>
    <s v="Yes"/>
    <n v="5"/>
    <s v="Closed"/>
    <s v="September"/>
    <x v="8"/>
    <n v="2026"/>
    <s v="No"/>
    <n v="0"/>
    <x v="3"/>
    <n v="1"/>
  </r>
  <r>
    <s v="T005618"/>
    <x v="5391"/>
    <d v="2026-09-13T14:03:00"/>
    <x v="5"/>
    <s v="Field Visit"/>
    <x v="1"/>
    <s v="A013"/>
    <x v="0"/>
    <n v="24"/>
    <n v="24.9"/>
    <x v="1"/>
    <s v="No"/>
    <s v="No"/>
    <n v="5"/>
    <s v="Closed"/>
    <s v="September"/>
    <x v="8"/>
    <n v="2026"/>
    <s v="No"/>
    <n v="0"/>
    <x v="2"/>
    <n v="1"/>
  </r>
  <r>
    <s v="T005619"/>
    <x v="5392"/>
    <d v="2026-09-12T18:08:00"/>
    <x v="1"/>
    <s v="Phone"/>
    <x v="1"/>
    <s v="A040"/>
    <x v="1"/>
    <n v="24"/>
    <n v="4.7"/>
    <x v="1"/>
    <s v="No"/>
    <s v="No"/>
    <n v="4"/>
    <s v="Closed"/>
    <s v="September"/>
    <x v="8"/>
    <n v="2026"/>
    <s v="Yes"/>
    <n v="1"/>
    <x v="1"/>
    <n v="1"/>
  </r>
  <r>
    <s v="T005620"/>
    <x v="5393"/>
    <d v="2026-09-12T16:56:00"/>
    <x v="1"/>
    <s v="Chat"/>
    <x v="1"/>
    <s v="A056"/>
    <x v="1"/>
    <n v="24"/>
    <n v="3.1"/>
    <x v="1"/>
    <s v="No"/>
    <s v="No"/>
    <n v="4"/>
    <s v="Closed"/>
    <s v="September"/>
    <x v="8"/>
    <n v="2026"/>
    <s v="Yes"/>
    <n v="1"/>
    <x v="2"/>
    <n v="1"/>
  </r>
  <r>
    <s v="T005621"/>
    <x v="5394"/>
    <d v="2026-09-13T03:13:00"/>
    <x v="6"/>
    <s v="Chat"/>
    <x v="0"/>
    <s v="A009"/>
    <x v="0"/>
    <n v="72"/>
    <n v="11.3"/>
    <x v="0"/>
    <s v="Yes"/>
    <s v="No"/>
    <n v="5"/>
    <s v="Closed"/>
    <s v="September"/>
    <x v="8"/>
    <n v="2026"/>
    <s v="Yes"/>
    <n v="1"/>
    <x v="0"/>
    <n v="0"/>
  </r>
  <r>
    <s v="T005622"/>
    <x v="5395"/>
    <d v="2026-09-14T02:21:00"/>
    <x v="0"/>
    <s v="Phone"/>
    <x v="0"/>
    <s v="A029"/>
    <x v="2"/>
    <n v="72"/>
    <n v="34"/>
    <x v="1"/>
    <s v="No"/>
    <s v="No"/>
    <n v="5"/>
    <s v="Closed"/>
    <s v="September"/>
    <x v="8"/>
    <n v="2026"/>
    <s v="Yes"/>
    <n v="1"/>
    <x v="2"/>
    <n v="1"/>
  </r>
  <r>
    <s v="T005623"/>
    <x v="5396"/>
    <d v="2026-09-13T06:10:00"/>
    <x v="3"/>
    <s v="Chat"/>
    <x v="1"/>
    <s v="A017"/>
    <x v="2"/>
    <n v="24"/>
    <n v="13.5"/>
    <x v="1"/>
    <s v="No"/>
    <s v="No"/>
    <n v="5"/>
    <s v="Closed"/>
    <s v="September"/>
    <x v="8"/>
    <n v="2026"/>
    <s v="Yes"/>
    <n v="1"/>
    <x v="4"/>
    <n v="1"/>
  </r>
  <r>
    <s v="T005624"/>
    <x v="5397"/>
    <d v="2026-09-13T00:24:00"/>
    <x v="0"/>
    <s v="Phone"/>
    <x v="0"/>
    <s v="A028"/>
    <x v="2"/>
    <n v="72"/>
    <n v="6.8"/>
    <x v="1"/>
    <s v="No"/>
    <s v="No"/>
    <m/>
    <s v="Closed"/>
    <s v="September"/>
    <x v="8"/>
    <n v="2026"/>
    <s v="Yes"/>
    <n v="1"/>
    <x v="3"/>
    <n v="1"/>
  </r>
  <r>
    <s v="T005625"/>
    <x v="5398"/>
    <d v="2026-09-14T01:42:00"/>
    <x v="2"/>
    <s v="Phone"/>
    <x v="1"/>
    <s v="A013"/>
    <x v="0"/>
    <n v="24"/>
    <n v="30.1"/>
    <x v="0"/>
    <s v="No"/>
    <s v="No"/>
    <m/>
    <s v="Closed"/>
    <s v="September"/>
    <x v="8"/>
    <n v="2026"/>
    <s v="No"/>
    <n v="0"/>
    <x v="2"/>
    <n v="0"/>
  </r>
  <r>
    <s v="T005626"/>
    <x v="5399"/>
    <d v="2026-09-13T06:01:00"/>
    <x v="0"/>
    <s v="Chat"/>
    <x v="0"/>
    <s v="A040"/>
    <x v="1"/>
    <n v="72"/>
    <n v="9.6"/>
    <x v="1"/>
    <s v="No"/>
    <s v="No"/>
    <n v="5"/>
    <s v="Closed"/>
    <s v="September"/>
    <x v="8"/>
    <n v="2026"/>
    <s v="Yes"/>
    <n v="1"/>
    <x v="0"/>
    <n v="1"/>
  </r>
  <r>
    <s v="T005627"/>
    <x v="5400"/>
    <d v="2026-09-14T11:45:00"/>
    <x v="6"/>
    <s v="Field Visit"/>
    <x v="2"/>
    <s v="A049"/>
    <x v="1"/>
    <n v="4"/>
    <n v="37.6"/>
    <x v="0"/>
    <s v="No"/>
    <s v="Yes"/>
    <n v="3"/>
    <s v="Closed"/>
    <s v="September"/>
    <x v="8"/>
    <n v="2026"/>
    <s v="No"/>
    <n v="0"/>
    <x v="4"/>
    <n v="0"/>
  </r>
  <r>
    <s v="T005628"/>
    <x v="5401"/>
    <d v="2026-09-13T14:49:00"/>
    <x v="0"/>
    <s v="Chat"/>
    <x v="1"/>
    <s v="A043"/>
    <x v="1"/>
    <n v="24"/>
    <n v="12.6"/>
    <x v="1"/>
    <s v="No"/>
    <s v="No"/>
    <n v="4"/>
    <s v="Closed"/>
    <s v="September"/>
    <x v="8"/>
    <n v="2026"/>
    <s v="Yes"/>
    <n v="1"/>
    <x v="4"/>
    <n v="1"/>
  </r>
  <r>
    <s v="T005629"/>
    <x v="5402"/>
    <d v="2026-09-13T12:18:00"/>
    <x v="5"/>
    <s v="Phone"/>
    <x v="1"/>
    <s v="A032"/>
    <x v="2"/>
    <n v="24"/>
    <n v="7"/>
    <x v="0"/>
    <s v="Yes"/>
    <s v="No"/>
    <m/>
    <s v="Closed"/>
    <s v="September"/>
    <x v="8"/>
    <n v="2026"/>
    <s v="Yes"/>
    <n v="1"/>
    <x v="1"/>
    <n v="0"/>
  </r>
  <r>
    <s v="T005630"/>
    <x v="5403"/>
    <d v="2026-09-13T22:21:00"/>
    <x v="3"/>
    <s v="Chat"/>
    <x v="0"/>
    <s v="A006"/>
    <x v="0"/>
    <n v="72"/>
    <n v="15.5"/>
    <x v="0"/>
    <s v="Yes"/>
    <s v="No"/>
    <m/>
    <s v="Closed"/>
    <s v="September"/>
    <x v="8"/>
    <n v="2026"/>
    <s v="Yes"/>
    <n v="1"/>
    <x v="1"/>
    <n v="0"/>
  </r>
  <r>
    <s v="T005631"/>
    <x v="5404"/>
    <d v="2026-09-13T23:39:00"/>
    <x v="1"/>
    <s v="Email"/>
    <x v="1"/>
    <s v="A054"/>
    <x v="1"/>
    <n v="24"/>
    <n v="15.5"/>
    <x v="0"/>
    <s v="Yes"/>
    <s v="No"/>
    <n v="3"/>
    <s v="Closed"/>
    <s v="September"/>
    <x v="8"/>
    <n v="2026"/>
    <s v="Yes"/>
    <n v="1"/>
    <x v="3"/>
    <n v="0"/>
  </r>
  <r>
    <s v="T005632"/>
    <x v="5405"/>
    <d v="2026-09-13T17:39:00"/>
    <x v="1"/>
    <s v="Phone"/>
    <x v="1"/>
    <s v="A036"/>
    <x v="1"/>
    <n v="24"/>
    <n v="9.4"/>
    <x v="1"/>
    <s v="No"/>
    <s v="Yes"/>
    <n v="4"/>
    <s v="Closed"/>
    <s v="September"/>
    <x v="8"/>
    <n v="2026"/>
    <s v="Yes"/>
    <n v="1"/>
    <x v="2"/>
    <n v="1"/>
  </r>
  <r>
    <s v="T005633"/>
    <x v="5405"/>
    <d v="2026-09-14T01:15:00"/>
    <x v="0"/>
    <s v="Phone"/>
    <x v="2"/>
    <s v="A027"/>
    <x v="2"/>
    <n v="4"/>
    <n v="17"/>
    <x v="1"/>
    <s v="No"/>
    <s v="No"/>
    <m/>
    <s v="Closed"/>
    <s v="September"/>
    <x v="8"/>
    <n v="2026"/>
    <s v="No"/>
    <n v="0"/>
    <x v="0"/>
    <n v="1"/>
  </r>
  <r>
    <s v="T005634"/>
    <x v="5406"/>
    <d v="2026-09-14T19:24:00"/>
    <x v="5"/>
    <s v="Email"/>
    <x v="1"/>
    <s v="A057"/>
    <x v="1"/>
    <n v="24"/>
    <n v="35"/>
    <x v="1"/>
    <s v="No"/>
    <s v="No"/>
    <n v="4"/>
    <s v="Closed"/>
    <s v="September"/>
    <x v="8"/>
    <n v="2026"/>
    <s v="No"/>
    <n v="0"/>
    <x v="2"/>
    <n v="1"/>
  </r>
  <r>
    <s v="T005635"/>
    <x v="5407"/>
    <d v="2026-09-13T16:26:00"/>
    <x v="1"/>
    <s v="Chat"/>
    <x v="0"/>
    <s v="A053"/>
    <x v="1"/>
    <n v="72"/>
    <n v="6.9"/>
    <x v="0"/>
    <s v="No"/>
    <s v="No"/>
    <n v="5"/>
    <s v="Closed"/>
    <s v="September"/>
    <x v="8"/>
    <n v="2026"/>
    <s v="Yes"/>
    <n v="1"/>
    <x v="1"/>
    <n v="0"/>
  </r>
  <r>
    <s v="T005636"/>
    <x v="5408"/>
    <d v="2026-09-13T19:06:00"/>
    <x v="6"/>
    <s v="Phone"/>
    <x v="0"/>
    <s v="A008"/>
    <x v="0"/>
    <n v="72"/>
    <n v="8.8000000000000007"/>
    <x v="1"/>
    <s v="No"/>
    <s v="No"/>
    <n v="5"/>
    <s v="Closed"/>
    <s v="September"/>
    <x v="8"/>
    <n v="2026"/>
    <s v="Yes"/>
    <n v="1"/>
    <x v="1"/>
    <n v="1"/>
  </r>
  <r>
    <s v="T005637"/>
    <x v="5409"/>
    <d v="2026-09-14T02:47:00"/>
    <x v="6"/>
    <s v="Field Visit"/>
    <x v="2"/>
    <s v="A004"/>
    <x v="0"/>
    <n v="4"/>
    <n v="16.100000000000001"/>
    <x v="1"/>
    <s v="No"/>
    <s v="No"/>
    <n v="4"/>
    <s v="Closed"/>
    <s v="September"/>
    <x v="8"/>
    <n v="2026"/>
    <s v="No"/>
    <n v="0"/>
    <x v="1"/>
    <n v="1"/>
  </r>
  <r>
    <s v="T005638"/>
    <x v="5410"/>
    <d v="2026-09-14T17:57:00"/>
    <x v="2"/>
    <s v="Phone"/>
    <x v="0"/>
    <s v="A017"/>
    <x v="2"/>
    <n v="72"/>
    <n v="31.1"/>
    <x v="1"/>
    <s v="No"/>
    <s v="No"/>
    <m/>
    <s v="Closed"/>
    <s v="September"/>
    <x v="8"/>
    <n v="2026"/>
    <s v="Yes"/>
    <n v="1"/>
    <x v="3"/>
    <n v="1"/>
  </r>
  <r>
    <s v="T005639"/>
    <x v="5411"/>
    <d v="2026-09-16T10:14:00"/>
    <x v="2"/>
    <s v="Field Visit"/>
    <x v="2"/>
    <s v="A002"/>
    <x v="0"/>
    <n v="4"/>
    <n v="70.7"/>
    <x v="0"/>
    <s v="Yes"/>
    <s v="No"/>
    <m/>
    <s v="Closed"/>
    <s v="September"/>
    <x v="8"/>
    <n v="2026"/>
    <s v="No"/>
    <n v="0"/>
    <x v="4"/>
    <n v="0"/>
  </r>
  <r>
    <s v="T005640"/>
    <x v="5412"/>
    <d v="2026-09-13T20:11:00"/>
    <x v="2"/>
    <s v="Chat"/>
    <x v="1"/>
    <s v="A027"/>
    <x v="2"/>
    <n v="24"/>
    <n v="8.6"/>
    <x v="1"/>
    <s v="No"/>
    <s v="Yes"/>
    <m/>
    <s v="Closed"/>
    <s v="September"/>
    <x v="8"/>
    <n v="2026"/>
    <s v="Yes"/>
    <n v="1"/>
    <x v="4"/>
    <n v="1"/>
  </r>
  <r>
    <s v="T005641"/>
    <x v="5413"/>
    <d v="2026-09-14T01:00:00"/>
    <x v="0"/>
    <s v="Chat"/>
    <x v="2"/>
    <s v="A010"/>
    <x v="0"/>
    <n v="4"/>
    <n v="13.3"/>
    <x v="1"/>
    <s v="No"/>
    <s v="Yes"/>
    <n v="4"/>
    <s v="Closed"/>
    <s v="September"/>
    <x v="8"/>
    <n v="2026"/>
    <s v="No"/>
    <n v="0"/>
    <x v="1"/>
    <n v="1"/>
  </r>
  <r>
    <s v="T005642"/>
    <x v="5414"/>
    <d v="2026-09-15T01:54:00"/>
    <x v="0"/>
    <s v="Phone"/>
    <x v="1"/>
    <s v="A024"/>
    <x v="2"/>
    <n v="24"/>
    <n v="37.6"/>
    <x v="0"/>
    <s v="No"/>
    <s v="No"/>
    <n v="5"/>
    <s v="Closed"/>
    <s v="September"/>
    <x v="8"/>
    <n v="2026"/>
    <s v="No"/>
    <n v="0"/>
    <x v="3"/>
    <n v="0"/>
  </r>
  <r>
    <s v="T005643"/>
    <x v="5415"/>
    <d v="2026-09-14T00:52:00"/>
    <x v="0"/>
    <s v="Phone"/>
    <x v="2"/>
    <s v="A024"/>
    <x v="2"/>
    <n v="4"/>
    <n v="11.9"/>
    <x v="1"/>
    <s v="No"/>
    <s v="No"/>
    <m/>
    <s v="Closed"/>
    <s v="September"/>
    <x v="8"/>
    <n v="2026"/>
    <s v="No"/>
    <n v="0"/>
    <x v="3"/>
    <n v="1"/>
  </r>
  <r>
    <s v="T005644"/>
    <x v="5416"/>
    <d v="2026-09-14T13:23:00"/>
    <x v="3"/>
    <s v="Phone"/>
    <x v="2"/>
    <s v="A039"/>
    <x v="1"/>
    <n v="4"/>
    <n v="24.3"/>
    <x v="1"/>
    <s v="No"/>
    <s v="Yes"/>
    <n v="4"/>
    <s v="Closed"/>
    <s v="September"/>
    <x v="8"/>
    <n v="2026"/>
    <s v="No"/>
    <n v="0"/>
    <x v="1"/>
    <n v="1"/>
  </r>
  <r>
    <s v="T005645"/>
    <x v="5417"/>
    <d v="2026-09-14T02:00:00"/>
    <x v="6"/>
    <s v="Field Visit"/>
    <x v="2"/>
    <s v="A057"/>
    <x v="1"/>
    <n v="4"/>
    <n v="12.9"/>
    <x v="1"/>
    <s v="No"/>
    <s v="No"/>
    <n v="4"/>
    <s v="Closed"/>
    <s v="September"/>
    <x v="8"/>
    <n v="2026"/>
    <s v="No"/>
    <n v="0"/>
    <x v="1"/>
    <n v="1"/>
  </r>
  <r>
    <s v="T005646"/>
    <x v="5418"/>
    <d v="2026-09-13T20:03:00"/>
    <x v="5"/>
    <s v="Field Visit"/>
    <x v="0"/>
    <s v="A059"/>
    <x v="1"/>
    <n v="72"/>
    <n v="6.2"/>
    <x v="1"/>
    <s v="No"/>
    <s v="No"/>
    <n v="4"/>
    <s v="Closed"/>
    <s v="September"/>
    <x v="8"/>
    <n v="2026"/>
    <s v="Yes"/>
    <n v="1"/>
    <x v="3"/>
    <n v="1"/>
  </r>
  <r>
    <s v="T005647"/>
    <x v="5419"/>
    <d v="2026-09-15T16:30:00"/>
    <x v="5"/>
    <s v="Field Visit"/>
    <x v="2"/>
    <s v="A046"/>
    <x v="1"/>
    <n v="4"/>
    <n v="50.3"/>
    <x v="1"/>
    <s v="No"/>
    <s v="No"/>
    <n v="2"/>
    <s v="Closed"/>
    <s v="September"/>
    <x v="8"/>
    <n v="2026"/>
    <s v="No"/>
    <n v="0"/>
    <x v="0"/>
    <n v="1"/>
  </r>
  <r>
    <s v="T005648"/>
    <x v="5420"/>
    <d v="2026-09-13T23:35:00"/>
    <x v="5"/>
    <s v="Phone"/>
    <x v="1"/>
    <s v="A030"/>
    <x v="2"/>
    <n v="24"/>
    <n v="8.5"/>
    <x v="1"/>
    <s v="No"/>
    <s v="No"/>
    <m/>
    <s v="Closed"/>
    <s v="September"/>
    <x v="8"/>
    <n v="2026"/>
    <s v="Yes"/>
    <n v="1"/>
    <x v="4"/>
    <n v="1"/>
  </r>
  <r>
    <s v="T005649"/>
    <x v="5421"/>
    <d v="2026-09-13T19:23:00"/>
    <x v="6"/>
    <s v="Chat"/>
    <x v="1"/>
    <s v="A002"/>
    <x v="0"/>
    <n v="24"/>
    <n v="4.2"/>
    <x v="1"/>
    <s v="No"/>
    <s v="No"/>
    <m/>
    <s v="Closed"/>
    <s v="September"/>
    <x v="8"/>
    <n v="2026"/>
    <s v="Yes"/>
    <n v="1"/>
    <x v="4"/>
    <n v="1"/>
  </r>
  <r>
    <s v="T005650"/>
    <x v="5422"/>
    <d v="2026-09-14T01:47:00"/>
    <x v="0"/>
    <s v="Chat"/>
    <x v="2"/>
    <s v="A010"/>
    <x v="0"/>
    <n v="4"/>
    <n v="10.1"/>
    <x v="0"/>
    <s v="Yes"/>
    <s v="No"/>
    <m/>
    <s v="Closed"/>
    <s v="September"/>
    <x v="8"/>
    <n v="2026"/>
    <s v="No"/>
    <n v="0"/>
    <x v="2"/>
    <n v="0"/>
  </r>
  <r>
    <s v="T005651"/>
    <x v="5423"/>
    <d v="2026-09-14T16:15:00"/>
    <x v="0"/>
    <s v="Phone"/>
    <x v="1"/>
    <s v="A032"/>
    <x v="2"/>
    <n v="24"/>
    <n v="22.5"/>
    <x v="0"/>
    <s v="Yes"/>
    <s v="No"/>
    <m/>
    <s v="Closed"/>
    <s v="September"/>
    <x v="8"/>
    <n v="2026"/>
    <s v="Yes"/>
    <n v="1"/>
    <x v="1"/>
    <n v="0"/>
  </r>
  <r>
    <s v="T005652"/>
    <x v="5424"/>
    <d v="2026-09-14T09:03:00"/>
    <x v="0"/>
    <s v="Phone"/>
    <x v="0"/>
    <s v="A020"/>
    <x v="2"/>
    <n v="72"/>
    <n v="13.5"/>
    <x v="1"/>
    <s v="No"/>
    <s v="No"/>
    <n v="5"/>
    <s v="Closed"/>
    <s v="September"/>
    <x v="8"/>
    <n v="2026"/>
    <s v="Yes"/>
    <n v="1"/>
    <x v="1"/>
    <n v="1"/>
  </r>
  <r>
    <s v="T005653"/>
    <x v="5425"/>
    <d v="2026-09-15T15:04:00"/>
    <x v="4"/>
    <s v="Phone"/>
    <x v="2"/>
    <s v="A016"/>
    <x v="2"/>
    <n v="4"/>
    <n v="37.6"/>
    <x v="0"/>
    <s v="No"/>
    <s v="No"/>
    <m/>
    <s v="Closed"/>
    <s v="September"/>
    <x v="8"/>
    <n v="2026"/>
    <s v="No"/>
    <n v="0"/>
    <x v="2"/>
    <n v="0"/>
  </r>
  <r>
    <s v="T005654"/>
    <x v="5426"/>
    <d v="2026-09-15T18:21:00"/>
    <x v="0"/>
    <s v="Email"/>
    <x v="2"/>
    <s v="A036"/>
    <x v="1"/>
    <n v="4"/>
    <n v="36.799999999999997"/>
    <x v="1"/>
    <s v="No"/>
    <s v="No"/>
    <n v="4"/>
    <s v="Closed"/>
    <s v="September"/>
    <x v="8"/>
    <n v="2026"/>
    <s v="No"/>
    <n v="0"/>
    <x v="3"/>
    <n v="1"/>
  </r>
  <r>
    <s v="T005655"/>
    <x v="5427"/>
    <d v="2026-09-14T13:30:00"/>
    <x v="3"/>
    <s v="Phone"/>
    <x v="0"/>
    <s v="A033"/>
    <x v="2"/>
    <n v="72"/>
    <n v="7.9"/>
    <x v="1"/>
    <s v="No"/>
    <s v="No"/>
    <n v="3"/>
    <s v="Closed"/>
    <s v="September"/>
    <x v="8"/>
    <n v="2026"/>
    <s v="Yes"/>
    <n v="1"/>
    <x v="3"/>
    <n v="1"/>
  </r>
  <r>
    <s v="T005656"/>
    <x v="5428"/>
    <d v="2026-09-14T19:04:00"/>
    <x v="3"/>
    <s v="Phone"/>
    <x v="1"/>
    <s v="A006"/>
    <x v="0"/>
    <n v="24"/>
    <n v="10.8"/>
    <x v="1"/>
    <s v="No"/>
    <s v="No"/>
    <n v="5"/>
    <s v="Closed"/>
    <s v="September"/>
    <x v="8"/>
    <n v="2026"/>
    <s v="Yes"/>
    <n v="1"/>
    <x v="2"/>
    <n v="1"/>
  </r>
  <r>
    <s v="T005657"/>
    <x v="5429"/>
    <d v="2026-09-14T15:32:00"/>
    <x v="1"/>
    <s v="Chat"/>
    <x v="2"/>
    <s v="A018"/>
    <x v="2"/>
    <n v="4"/>
    <n v="6.7"/>
    <x v="1"/>
    <s v="No"/>
    <s v="No"/>
    <m/>
    <s v="Closed"/>
    <s v="September"/>
    <x v="8"/>
    <n v="2026"/>
    <s v="No"/>
    <n v="0"/>
    <x v="3"/>
    <n v="1"/>
  </r>
  <r>
    <s v="T005658"/>
    <x v="5430"/>
    <d v="2026-09-14T21:50:00"/>
    <x v="0"/>
    <s v="Chat"/>
    <x v="0"/>
    <s v="A031"/>
    <x v="2"/>
    <n v="72"/>
    <n v="10.8"/>
    <x v="0"/>
    <s v="No"/>
    <s v="No"/>
    <n v="5"/>
    <s v="Closed"/>
    <s v="September"/>
    <x v="8"/>
    <n v="2026"/>
    <s v="Yes"/>
    <n v="1"/>
    <x v="4"/>
    <n v="0"/>
  </r>
  <r>
    <s v="T005659"/>
    <x v="5431"/>
    <d v="2026-09-17T01:08:00"/>
    <x v="3"/>
    <s v="Field Visit"/>
    <x v="0"/>
    <s v="A012"/>
    <x v="0"/>
    <n v="72"/>
    <n v="62"/>
    <x v="0"/>
    <s v="No"/>
    <s v="No"/>
    <n v="4"/>
    <s v="Closed"/>
    <s v="September"/>
    <x v="8"/>
    <n v="2026"/>
    <s v="Yes"/>
    <n v="1"/>
    <x v="1"/>
    <n v="0"/>
  </r>
  <r>
    <s v="T005660"/>
    <x v="5432"/>
    <d v="2026-09-15T06:25:00"/>
    <x v="3"/>
    <s v="Phone"/>
    <x v="1"/>
    <s v="A039"/>
    <x v="1"/>
    <n v="24"/>
    <n v="18.7"/>
    <x v="1"/>
    <s v="No"/>
    <s v="No"/>
    <n v="5"/>
    <s v="Closed"/>
    <s v="September"/>
    <x v="8"/>
    <n v="2026"/>
    <s v="Yes"/>
    <n v="1"/>
    <x v="2"/>
    <n v="1"/>
  </r>
  <r>
    <s v="T005661"/>
    <x v="5433"/>
    <d v="2026-09-16T03:12:00"/>
    <x v="3"/>
    <s v="Phone"/>
    <x v="0"/>
    <s v="A004"/>
    <x v="0"/>
    <n v="72"/>
    <n v="38.200000000000003"/>
    <x v="0"/>
    <s v="No"/>
    <s v="Yes"/>
    <m/>
    <s v="Closed"/>
    <s v="September"/>
    <x v="8"/>
    <n v="2026"/>
    <s v="Yes"/>
    <n v="1"/>
    <x v="2"/>
    <n v="0"/>
  </r>
  <r>
    <s v="T005662"/>
    <x v="5434"/>
    <d v="2026-09-14T17:38:00"/>
    <x v="1"/>
    <s v="Chat"/>
    <x v="0"/>
    <s v="A034"/>
    <x v="2"/>
    <n v="72"/>
    <n v="4.0999999999999996"/>
    <x v="0"/>
    <s v="Yes"/>
    <s v="No"/>
    <m/>
    <s v="Closed"/>
    <s v="September"/>
    <x v="8"/>
    <n v="2026"/>
    <s v="Yes"/>
    <n v="1"/>
    <x v="2"/>
    <n v="0"/>
  </r>
  <r>
    <s v="T005663"/>
    <x v="5435"/>
    <d v="2026-09-16T20:45:00"/>
    <x v="0"/>
    <s v="Email"/>
    <x v="0"/>
    <s v="A025"/>
    <x v="2"/>
    <n v="72"/>
    <n v="55.1"/>
    <x v="0"/>
    <s v="Yes"/>
    <s v="No"/>
    <n v="2"/>
    <s v="Closed"/>
    <s v="September"/>
    <x v="8"/>
    <n v="2026"/>
    <s v="Yes"/>
    <n v="1"/>
    <x v="2"/>
    <n v="0"/>
  </r>
  <r>
    <s v="T005664"/>
    <x v="5436"/>
    <d v="2026-09-14T22:30:00"/>
    <x v="5"/>
    <s v="Email"/>
    <x v="1"/>
    <s v="A027"/>
    <x v="2"/>
    <n v="24"/>
    <n v="8.5"/>
    <x v="1"/>
    <s v="No"/>
    <s v="No"/>
    <m/>
    <s v="Closed"/>
    <s v="September"/>
    <x v="8"/>
    <n v="2026"/>
    <s v="Yes"/>
    <n v="1"/>
    <x v="2"/>
    <n v="1"/>
  </r>
  <r>
    <s v="T005665"/>
    <x v="5437"/>
    <d v="2026-09-14T19:19:00"/>
    <x v="6"/>
    <s v="Chat"/>
    <x v="2"/>
    <s v="A011"/>
    <x v="0"/>
    <n v="4"/>
    <n v="5.0999999999999996"/>
    <x v="0"/>
    <s v="No"/>
    <s v="Yes"/>
    <n v="2"/>
    <s v="Closed"/>
    <s v="September"/>
    <x v="8"/>
    <n v="2026"/>
    <s v="No"/>
    <n v="0"/>
    <x v="4"/>
    <n v="0"/>
  </r>
  <r>
    <s v="T005666"/>
    <x v="5438"/>
    <d v="2026-09-14T18:32:00"/>
    <x v="1"/>
    <s v="Phone"/>
    <x v="1"/>
    <s v="A017"/>
    <x v="2"/>
    <n v="24"/>
    <n v="3.5"/>
    <x v="1"/>
    <s v="No"/>
    <s v="No"/>
    <n v="5"/>
    <s v="Closed"/>
    <s v="September"/>
    <x v="8"/>
    <n v="2026"/>
    <s v="Yes"/>
    <n v="1"/>
    <x v="4"/>
    <n v="1"/>
  </r>
  <r>
    <s v="T005667"/>
    <x v="5439"/>
    <d v="2026-09-17T15:24:00"/>
    <x v="4"/>
    <s v="Email"/>
    <x v="1"/>
    <s v="A047"/>
    <x v="1"/>
    <n v="24"/>
    <n v="70.7"/>
    <x v="0"/>
    <s v="No"/>
    <s v="No"/>
    <n v="5"/>
    <s v="Closed"/>
    <s v="September"/>
    <x v="8"/>
    <n v="2026"/>
    <s v="No"/>
    <n v="0"/>
    <x v="0"/>
    <n v="0"/>
  </r>
  <r>
    <s v="T005668"/>
    <x v="5440"/>
    <d v="2026-09-15T04:19:00"/>
    <x v="0"/>
    <s v="Phone"/>
    <x v="1"/>
    <s v="A005"/>
    <x v="0"/>
    <n v="24"/>
    <n v="10.5"/>
    <x v="1"/>
    <s v="No"/>
    <s v="No"/>
    <n v="5"/>
    <s v="Closed"/>
    <s v="September"/>
    <x v="8"/>
    <n v="2026"/>
    <s v="Yes"/>
    <n v="1"/>
    <x v="2"/>
    <n v="1"/>
  </r>
  <r>
    <s v="T005669"/>
    <x v="5441"/>
    <d v="2026-09-16T02:44:00"/>
    <x v="3"/>
    <s v="Field Visit"/>
    <x v="1"/>
    <s v="A060"/>
    <x v="1"/>
    <n v="24"/>
    <n v="27.5"/>
    <x v="1"/>
    <s v="No"/>
    <s v="No"/>
    <m/>
    <s v="Closed"/>
    <s v="September"/>
    <x v="8"/>
    <n v="2026"/>
    <s v="No"/>
    <n v="0"/>
    <x v="3"/>
    <n v="1"/>
  </r>
  <r>
    <s v="T005670"/>
    <x v="5442"/>
    <d v="2026-09-15T14:10:00"/>
    <x v="1"/>
    <s v="Email"/>
    <x v="1"/>
    <s v="A056"/>
    <x v="1"/>
    <n v="24"/>
    <n v="7.5"/>
    <x v="0"/>
    <s v="Yes"/>
    <s v="No"/>
    <m/>
    <s v="Closed"/>
    <s v="September"/>
    <x v="8"/>
    <n v="2026"/>
    <s v="Yes"/>
    <n v="1"/>
    <x v="1"/>
    <n v="0"/>
  </r>
  <r>
    <s v="T005671"/>
    <x v="5443"/>
    <d v="2026-09-15T20:53:00"/>
    <x v="6"/>
    <s v="Field Visit"/>
    <x v="2"/>
    <s v="A024"/>
    <x v="2"/>
    <n v="4"/>
    <n v="11.8"/>
    <x v="1"/>
    <s v="No"/>
    <s v="No"/>
    <n v="3"/>
    <s v="Closed"/>
    <s v="September"/>
    <x v="8"/>
    <n v="2026"/>
    <s v="No"/>
    <n v="0"/>
    <x v="1"/>
    <n v="1"/>
  </r>
  <r>
    <s v="T005672"/>
    <x v="5444"/>
    <d v="2026-09-15T12:27:00"/>
    <x v="5"/>
    <s v="Chat"/>
    <x v="1"/>
    <s v="A032"/>
    <x v="2"/>
    <n v="24"/>
    <n v="2.5"/>
    <x v="1"/>
    <s v="No"/>
    <s v="No"/>
    <m/>
    <s v="Closed"/>
    <s v="September"/>
    <x v="8"/>
    <n v="2026"/>
    <s v="Yes"/>
    <n v="1"/>
    <x v="4"/>
    <n v="1"/>
  </r>
  <r>
    <s v="T005673"/>
    <x v="5445"/>
    <d v="2026-09-18T06:12:00"/>
    <x v="4"/>
    <s v="Phone"/>
    <x v="2"/>
    <s v="A016"/>
    <x v="2"/>
    <n v="4"/>
    <n v="68.2"/>
    <x v="1"/>
    <s v="No"/>
    <s v="No"/>
    <n v="4"/>
    <s v="Closed"/>
    <s v="September"/>
    <x v="8"/>
    <n v="2026"/>
    <s v="No"/>
    <n v="0"/>
    <x v="1"/>
    <n v="1"/>
  </r>
  <r>
    <s v="T005674"/>
    <x v="5446"/>
    <d v="2026-09-16T05:26:00"/>
    <x v="6"/>
    <s v="Phone"/>
    <x v="2"/>
    <s v="A007"/>
    <x v="0"/>
    <n v="4"/>
    <n v="19.3"/>
    <x v="1"/>
    <s v="No"/>
    <s v="No"/>
    <n v="4"/>
    <s v="Closed"/>
    <s v="September"/>
    <x v="8"/>
    <n v="2026"/>
    <s v="No"/>
    <n v="0"/>
    <x v="0"/>
    <n v="1"/>
  </r>
  <r>
    <s v="T005675"/>
    <x v="5447"/>
    <d v="2026-09-16T22:14:00"/>
    <x v="5"/>
    <s v="Email"/>
    <x v="1"/>
    <s v="A013"/>
    <x v="0"/>
    <n v="24"/>
    <n v="35.700000000000003"/>
    <x v="0"/>
    <s v="No"/>
    <s v="No"/>
    <n v="4"/>
    <s v="Closed"/>
    <s v="September"/>
    <x v="8"/>
    <n v="2026"/>
    <s v="No"/>
    <n v="0"/>
    <x v="2"/>
    <n v="0"/>
  </r>
  <r>
    <s v="T005676"/>
    <x v="5448"/>
    <d v="2026-09-16T15:39:00"/>
    <x v="2"/>
    <s v="Field Visit"/>
    <x v="1"/>
    <s v="A032"/>
    <x v="2"/>
    <n v="24"/>
    <n v="28.8"/>
    <x v="0"/>
    <s v="No"/>
    <s v="No"/>
    <n v="3"/>
    <s v="Closed"/>
    <s v="September"/>
    <x v="8"/>
    <n v="2026"/>
    <s v="No"/>
    <n v="0"/>
    <x v="3"/>
    <n v="0"/>
  </r>
  <r>
    <s v="T005677"/>
    <x v="5449"/>
    <d v="2026-09-16T05:41:00"/>
    <x v="6"/>
    <s v="Field Visit"/>
    <x v="2"/>
    <s v="A043"/>
    <x v="1"/>
    <n v="4"/>
    <n v="18"/>
    <x v="1"/>
    <s v="No"/>
    <s v="Yes"/>
    <n v="4"/>
    <s v="Closed"/>
    <s v="September"/>
    <x v="8"/>
    <n v="2026"/>
    <s v="No"/>
    <n v="0"/>
    <x v="1"/>
    <n v="1"/>
  </r>
  <r>
    <s v="T005678"/>
    <x v="5450"/>
    <d v="2026-09-15T14:43:00"/>
    <x v="6"/>
    <s v="Phone"/>
    <x v="1"/>
    <s v="A056"/>
    <x v="1"/>
    <n v="24"/>
    <n v="2.8"/>
    <x v="1"/>
    <s v="No"/>
    <s v="No"/>
    <n v="5"/>
    <s v="Closed"/>
    <s v="September"/>
    <x v="8"/>
    <n v="2026"/>
    <s v="Yes"/>
    <n v="1"/>
    <x v="3"/>
    <n v="1"/>
  </r>
  <r>
    <s v="T005679"/>
    <x v="5451"/>
    <d v="2026-09-16T03:40:00"/>
    <x v="6"/>
    <s v="Phone"/>
    <x v="1"/>
    <s v="A058"/>
    <x v="1"/>
    <n v="24"/>
    <n v="15.7"/>
    <x v="1"/>
    <s v="No"/>
    <s v="No"/>
    <n v="5"/>
    <s v="Closed"/>
    <s v="September"/>
    <x v="8"/>
    <n v="2026"/>
    <s v="Yes"/>
    <n v="1"/>
    <x v="0"/>
    <n v="1"/>
  </r>
  <r>
    <s v="T005680"/>
    <x v="5452"/>
    <d v="2026-09-15T16:09:00"/>
    <x v="1"/>
    <s v="Chat"/>
    <x v="1"/>
    <s v="A013"/>
    <x v="0"/>
    <n v="24"/>
    <n v="4.0999999999999996"/>
    <x v="0"/>
    <s v="No"/>
    <s v="No"/>
    <m/>
    <s v="Closed"/>
    <s v="September"/>
    <x v="8"/>
    <n v="2026"/>
    <s v="Yes"/>
    <n v="1"/>
    <x v="4"/>
    <n v="0"/>
  </r>
  <r>
    <s v="T005681"/>
    <x v="5453"/>
    <d v="2026-09-16T05:04:00"/>
    <x v="6"/>
    <s v="Phone"/>
    <x v="2"/>
    <s v="A040"/>
    <x v="1"/>
    <n v="4"/>
    <n v="16.8"/>
    <x v="1"/>
    <s v="No"/>
    <s v="No"/>
    <n v="3"/>
    <s v="Closed"/>
    <s v="September"/>
    <x v="8"/>
    <n v="2026"/>
    <s v="No"/>
    <n v="0"/>
    <x v="4"/>
    <n v="1"/>
  </r>
  <r>
    <s v="T005682"/>
    <x v="5454"/>
    <d v="2026-09-15T21:36:00"/>
    <x v="1"/>
    <s v="Phone"/>
    <x v="1"/>
    <s v="A031"/>
    <x v="2"/>
    <n v="24"/>
    <n v="9.1"/>
    <x v="0"/>
    <s v="No"/>
    <s v="Yes"/>
    <n v="5"/>
    <s v="Closed"/>
    <s v="September"/>
    <x v="8"/>
    <n v="2026"/>
    <s v="Yes"/>
    <n v="1"/>
    <x v="0"/>
    <n v="0"/>
  </r>
  <r>
    <s v="T005683"/>
    <x v="5455"/>
    <d v="2026-09-15T23:03:00"/>
    <x v="5"/>
    <s v="Phone"/>
    <x v="1"/>
    <s v="A015"/>
    <x v="0"/>
    <n v="24"/>
    <n v="10.5"/>
    <x v="1"/>
    <s v="No"/>
    <s v="No"/>
    <n v="4"/>
    <s v="Closed"/>
    <s v="September"/>
    <x v="8"/>
    <n v="2026"/>
    <s v="Yes"/>
    <n v="1"/>
    <x v="2"/>
    <n v="1"/>
  </r>
  <r>
    <s v="T005684"/>
    <x v="5456"/>
    <d v="2026-09-19T21:57:00"/>
    <x v="3"/>
    <s v="Field Visit"/>
    <x v="1"/>
    <s v="A013"/>
    <x v="0"/>
    <n v="24"/>
    <n v="104.7"/>
    <x v="0"/>
    <s v="Yes"/>
    <s v="No"/>
    <m/>
    <s v="Closed"/>
    <s v="September"/>
    <x v="8"/>
    <n v="2026"/>
    <s v="No"/>
    <n v="0"/>
    <x v="4"/>
    <n v="0"/>
  </r>
  <r>
    <s v="T005685"/>
    <x v="5456"/>
    <d v="2026-09-16T02:15:00"/>
    <x v="1"/>
    <s v="Phone"/>
    <x v="0"/>
    <s v="A009"/>
    <x v="0"/>
    <n v="72"/>
    <n v="13"/>
    <x v="0"/>
    <s v="No"/>
    <s v="No"/>
    <n v="5"/>
    <s v="Closed"/>
    <s v="September"/>
    <x v="8"/>
    <n v="2026"/>
    <s v="Yes"/>
    <n v="1"/>
    <x v="3"/>
    <n v="0"/>
  </r>
  <r>
    <s v="T005686"/>
    <x v="5457"/>
    <d v="2026-09-15T18:04:00"/>
    <x v="0"/>
    <s v="Phone"/>
    <x v="1"/>
    <s v="A055"/>
    <x v="1"/>
    <n v="24"/>
    <n v="4.7"/>
    <x v="0"/>
    <s v="No"/>
    <s v="No"/>
    <m/>
    <s v="Closed"/>
    <s v="September"/>
    <x v="8"/>
    <n v="2026"/>
    <s v="Yes"/>
    <n v="1"/>
    <x v="2"/>
    <n v="0"/>
  </r>
  <r>
    <s v="T005687"/>
    <x v="5458"/>
    <d v="2026-09-16T18:02:00"/>
    <x v="0"/>
    <s v="Email"/>
    <x v="1"/>
    <s v="A045"/>
    <x v="1"/>
    <n v="24"/>
    <n v="28.1"/>
    <x v="0"/>
    <s v="Yes"/>
    <s v="No"/>
    <m/>
    <s v="Closed"/>
    <s v="September"/>
    <x v="8"/>
    <n v="2026"/>
    <s v="No"/>
    <n v="0"/>
    <x v="3"/>
    <n v="0"/>
  </r>
  <r>
    <s v="T005688"/>
    <x v="5459"/>
    <d v="2026-09-15T20:30:00"/>
    <x v="2"/>
    <s v="Chat"/>
    <x v="1"/>
    <s v="A006"/>
    <x v="0"/>
    <n v="24"/>
    <n v="6.1"/>
    <x v="1"/>
    <s v="No"/>
    <s v="No"/>
    <m/>
    <s v="Closed"/>
    <s v="September"/>
    <x v="8"/>
    <n v="2026"/>
    <s v="Yes"/>
    <n v="1"/>
    <x v="2"/>
    <n v="1"/>
  </r>
  <r>
    <s v="T005690"/>
    <x v="5460"/>
    <d v="2026-09-16T01:42:00"/>
    <x v="6"/>
    <s v="Chat"/>
    <x v="1"/>
    <s v="A001"/>
    <x v="0"/>
    <n v="24"/>
    <n v="9.8000000000000007"/>
    <x v="1"/>
    <s v="No"/>
    <s v="No"/>
    <n v="5"/>
    <s v="Closed"/>
    <s v="September"/>
    <x v="8"/>
    <n v="2026"/>
    <s v="Yes"/>
    <n v="1"/>
    <x v="3"/>
    <n v="1"/>
  </r>
  <r>
    <s v="T005689"/>
    <x v="5460"/>
    <d v="2026-09-16T08:36:00"/>
    <x v="0"/>
    <s v="Phone"/>
    <x v="1"/>
    <s v="A053"/>
    <x v="1"/>
    <n v="24"/>
    <n v="16.7"/>
    <x v="1"/>
    <s v="No"/>
    <s v="No"/>
    <n v="4"/>
    <s v="Closed"/>
    <s v="September"/>
    <x v="8"/>
    <n v="2026"/>
    <s v="Yes"/>
    <n v="1"/>
    <x v="0"/>
    <n v="1"/>
  </r>
  <r>
    <s v="T005691"/>
    <x v="5461"/>
    <d v="2026-09-16T13:01:00"/>
    <x v="4"/>
    <s v="Field Visit"/>
    <x v="0"/>
    <s v="A049"/>
    <x v="1"/>
    <n v="72"/>
    <n v="21.1"/>
    <x v="0"/>
    <s v="No"/>
    <s v="No"/>
    <m/>
    <s v="Closed"/>
    <s v="September"/>
    <x v="8"/>
    <n v="2026"/>
    <s v="Yes"/>
    <n v="1"/>
    <x v="4"/>
    <n v="0"/>
  </r>
  <r>
    <s v="T005692"/>
    <x v="5462"/>
    <d v="2026-09-16T06:28:00"/>
    <x v="6"/>
    <s v="Field Visit"/>
    <x v="2"/>
    <s v="A052"/>
    <x v="1"/>
    <n v="4"/>
    <n v="12.2"/>
    <x v="1"/>
    <s v="No"/>
    <s v="No"/>
    <n v="5"/>
    <s v="Closed"/>
    <s v="September"/>
    <x v="8"/>
    <n v="2026"/>
    <s v="No"/>
    <n v="0"/>
    <x v="4"/>
    <n v="1"/>
  </r>
  <r>
    <s v="T005693"/>
    <x v="5463"/>
    <d v="2026-09-16T03:59:00"/>
    <x v="0"/>
    <s v="Chat"/>
    <x v="1"/>
    <s v="A021"/>
    <x v="2"/>
    <n v="24"/>
    <n v="9.4"/>
    <x v="1"/>
    <s v="No"/>
    <s v="No"/>
    <n v="5"/>
    <s v="Closed"/>
    <s v="September"/>
    <x v="8"/>
    <n v="2026"/>
    <s v="Yes"/>
    <n v="1"/>
    <x v="1"/>
    <n v="1"/>
  </r>
  <r>
    <s v="T005694"/>
    <x v="5464"/>
    <d v="2026-09-16T00:00:00"/>
    <x v="1"/>
    <s v="Phone"/>
    <x v="2"/>
    <s v="A008"/>
    <x v="0"/>
    <n v="4"/>
    <n v="4.9000000000000004"/>
    <x v="1"/>
    <s v="No"/>
    <s v="No"/>
    <n v="2"/>
    <s v="Closed"/>
    <s v="September"/>
    <x v="8"/>
    <n v="2026"/>
    <s v="No"/>
    <n v="0"/>
    <x v="2"/>
    <n v="1"/>
  </r>
  <r>
    <s v="T005695"/>
    <x v="5465"/>
    <d v="2026-09-16T08:56:00"/>
    <x v="1"/>
    <s v="Phone"/>
    <x v="1"/>
    <s v="A008"/>
    <x v="0"/>
    <n v="24"/>
    <n v="12.7"/>
    <x v="0"/>
    <s v="Yes"/>
    <s v="No"/>
    <n v="5"/>
    <s v="Closed"/>
    <s v="September"/>
    <x v="8"/>
    <n v="2026"/>
    <s v="Yes"/>
    <n v="1"/>
    <x v="4"/>
    <n v="0"/>
  </r>
  <r>
    <s v="T005696"/>
    <x v="5466"/>
    <d v="2026-09-17T07:29:00"/>
    <x v="0"/>
    <s v="Email"/>
    <x v="1"/>
    <s v="A041"/>
    <x v="1"/>
    <n v="24"/>
    <n v="22.4"/>
    <x v="1"/>
    <s v="No"/>
    <s v="No"/>
    <m/>
    <s v="Closed"/>
    <s v="September"/>
    <x v="8"/>
    <n v="2026"/>
    <s v="Yes"/>
    <n v="1"/>
    <x v="2"/>
    <n v="1"/>
  </r>
  <r>
    <s v="T005697"/>
    <x v="5467"/>
    <d v="2026-09-16T17:12:00"/>
    <x v="1"/>
    <s v="Phone"/>
    <x v="0"/>
    <s v="A019"/>
    <x v="2"/>
    <n v="72"/>
    <n v="7.7"/>
    <x v="1"/>
    <s v="No"/>
    <s v="No"/>
    <n v="5"/>
    <s v="Closed"/>
    <s v="September"/>
    <x v="8"/>
    <n v="2026"/>
    <s v="Yes"/>
    <n v="1"/>
    <x v="4"/>
    <n v="1"/>
  </r>
  <r>
    <s v="T005698"/>
    <x v="5468"/>
    <d v="2026-09-24T06:01:00"/>
    <x v="4"/>
    <s v="Field Visit"/>
    <x v="1"/>
    <s v="A040"/>
    <x v="1"/>
    <n v="24"/>
    <n v="186.8"/>
    <x v="1"/>
    <s v="No"/>
    <s v="No"/>
    <n v="4"/>
    <s v="Closed"/>
    <s v="September"/>
    <x v="8"/>
    <n v="2026"/>
    <s v="No"/>
    <n v="0"/>
    <x v="3"/>
    <n v="1"/>
  </r>
  <r>
    <s v="T005699"/>
    <x v="5469"/>
    <d v="2026-09-16T22:55:00"/>
    <x v="2"/>
    <s v="Phone"/>
    <x v="1"/>
    <s v="A030"/>
    <x v="2"/>
    <n v="24"/>
    <n v="11.6"/>
    <x v="1"/>
    <s v="No"/>
    <s v="No"/>
    <n v="5"/>
    <s v="Closed"/>
    <s v="September"/>
    <x v="8"/>
    <n v="2026"/>
    <s v="Yes"/>
    <n v="1"/>
    <x v="2"/>
    <n v="1"/>
  </r>
  <r>
    <s v="T005700"/>
    <x v="5470"/>
    <d v="2026-09-17T02:56:00"/>
    <x v="4"/>
    <s v="Phone"/>
    <x v="2"/>
    <s v="A057"/>
    <x v="1"/>
    <n v="4"/>
    <n v="15.5"/>
    <x v="1"/>
    <s v="No"/>
    <s v="No"/>
    <m/>
    <s v="Closed"/>
    <s v="September"/>
    <x v="8"/>
    <n v="2026"/>
    <s v="No"/>
    <n v="0"/>
    <x v="3"/>
    <n v="1"/>
  </r>
  <r>
    <s v="T005701"/>
    <x v="5471"/>
    <d v="2026-09-16T18:08:00"/>
    <x v="6"/>
    <s v="Phone"/>
    <x v="2"/>
    <s v="A036"/>
    <x v="1"/>
    <n v="4"/>
    <n v="5.3"/>
    <x v="1"/>
    <s v="No"/>
    <s v="No"/>
    <m/>
    <s v="Closed"/>
    <s v="September"/>
    <x v="8"/>
    <n v="2026"/>
    <s v="No"/>
    <n v="0"/>
    <x v="2"/>
    <n v="1"/>
  </r>
  <r>
    <s v="T005702"/>
    <x v="5472"/>
    <d v="2026-09-16T17:57:00"/>
    <x v="6"/>
    <s v="Chat"/>
    <x v="2"/>
    <s v="A030"/>
    <x v="2"/>
    <n v="4"/>
    <n v="5.0999999999999996"/>
    <x v="0"/>
    <s v="Yes"/>
    <s v="No"/>
    <m/>
    <s v="Closed"/>
    <s v="September"/>
    <x v="8"/>
    <n v="2026"/>
    <s v="No"/>
    <n v="0"/>
    <x v="4"/>
    <n v="0"/>
  </r>
  <r>
    <s v="T005703"/>
    <x v="5473"/>
    <d v="2026-09-16T16:07:00"/>
    <x v="0"/>
    <s v="Chat"/>
    <x v="0"/>
    <s v="A008"/>
    <x v="0"/>
    <n v="72"/>
    <n v="2.4"/>
    <x v="0"/>
    <s v="Yes"/>
    <s v="No"/>
    <n v="4"/>
    <s v="Closed"/>
    <s v="September"/>
    <x v="8"/>
    <n v="2026"/>
    <s v="Yes"/>
    <n v="1"/>
    <x v="3"/>
    <n v="0"/>
  </r>
  <r>
    <s v="T005704"/>
    <x v="5474"/>
    <d v="2026-09-26T21:24:00"/>
    <x v="3"/>
    <s v="Email"/>
    <x v="1"/>
    <s v="A056"/>
    <x v="1"/>
    <n v="24"/>
    <n v="247.3"/>
    <x v="0"/>
    <s v="Yes"/>
    <s v="No"/>
    <m/>
    <s v="Closed"/>
    <s v="September"/>
    <x v="8"/>
    <n v="2026"/>
    <s v="No"/>
    <n v="0"/>
    <x v="3"/>
    <n v="0"/>
  </r>
  <r>
    <s v="T005705"/>
    <x v="5475"/>
    <d v="2026-09-16T23:45:00"/>
    <x v="1"/>
    <s v="Phone"/>
    <x v="0"/>
    <s v="A015"/>
    <x v="0"/>
    <n v="72"/>
    <n v="9.6"/>
    <x v="0"/>
    <s v="No"/>
    <s v="Yes"/>
    <n v="3"/>
    <s v="Closed"/>
    <s v="September"/>
    <x v="8"/>
    <n v="2026"/>
    <s v="Yes"/>
    <n v="1"/>
    <x v="2"/>
    <n v="0"/>
  </r>
  <r>
    <s v="T005706"/>
    <x v="5476"/>
    <d v="2026-09-19T06:10:00"/>
    <x v="2"/>
    <s v="Field Visit"/>
    <x v="2"/>
    <s v="A013"/>
    <x v="0"/>
    <n v="4"/>
    <n v="64"/>
    <x v="0"/>
    <s v="Yes"/>
    <s v="No"/>
    <n v="3"/>
    <s v="Closed"/>
    <s v="September"/>
    <x v="8"/>
    <n v="2026"/>
    <s v="No"/>
    <n v="0"/>
    <x v="1"/>
    <n v="0"/>
  </r>
  <r>
    <s v="T005707"/>
    <x v="5477"/>
    <d v="2026-09-17T19:30:00"/>
    <x v="3"/>
    <s v="Phone"/>
    <x v="0"/>
    <s v="A008"/>
    <x v="0"/>
    <n v="72"/>
    <n v="28.7"/>
    <x v="0"/>
    <s v="Yes"/>
    <s v="No"/>
    <m/>
    <s v="Closed"/>
    <s v="September"/>
    <x v="8"/>
    <n v="2026"/>
    <s v="Yes"/>
    <n v="1"/>
    <x v="4"/>
    <n v="0"/>
  </r>
  <r>
    <s v="T005708"/>
    <x v="5478"/>
    <d v="2026-09-16T18:46:00"/>
    <x v="6"/>
    <s v="Chat"/>
    <x v="2"/>
    <s v="A060"/>
    <x v="1"/>
    <n v="4"/>
    <n v="2.8"/>
    <x v="1"/>
    <s v="No"/>
    <s v="No"/>
    <n v="5"/>
    <s v="Closed"/>
    <s v="September"/>
    <x v="8"/>
    <n v="2026"/>
    <s v="Yes"/>
    <n v="1"/>
    <x v="0"/>
    <n v="1"/>
  </r>
  <r>
    <s v="T005709"/>
    <x v="5479"/>
    <d v="2026-09-16T23:18:00"/>
    <x v="6"/>
    <s v="Field Visit"/>
    <x v="2"/>
    <s v="A056"/>
    <x v="1"/>
    <n v="4"/>
    <n v="7.2"/>
    <x v="0"/>
    <s v="No"/>
    <s v="Yes"/>
    <n v="5"/>
    <s v="Closed"/>
    <s v="September"/>
    <x v="8"/>
    <n v="2026"/>
    <s v="No"/>
    <n v="0"/>
    <x v="2"/>
    <n v="0"/>
  </r>
  <r>
    <s v="T005710"/>
    <x v="5480"/>
    <d v="2026-09-17T06:12:00"/>
    <x v="1"/>
    <s v="Chat"/>
    <x v="0"/>
    <s v="A059"/>
    <x v="1"/>
    <n v="72"/>
    <n v="13.6"/>
    <x v="1"/>
    <s v="No"/>
    <s v="No"/>
    <n v="4"/>
    <s v="Closed"/>
    <s v="September"/>
    <x v="8"/>
    <n v="2026"/>
    <s v="Yes"/>
    <n v="1"/>
    <x v="0"/>
    <n v="1"/>
  </r>
  <r>
    <s v="T005711"/>
    <x v="5481"/>
    <d v="2026-09-17T01:26:00"/>
    <x v="3"/>
    <s v="Chat"/>
    <x v="1"/>
    <s v="A026"/>
    <x v="2"/>
    <n v="24"/>
    <n v="7.3"/>
    <x v="1"/>
    <s v="No"/>
    <s v="No"/>
    <n v="4"/>
    <s v="Closed"/>
    <s v="September"/>
    <x v="8"/>
    <n v="2026"/>
    <s v="Yes"/>
    <n v="1"/>
    <x v="0"/>
    <n v="1"/>
  </r>
  <r>
    <s v="T005712"/>
    <x v="5482"/>
    <d v="2026-09-16T20:45:00"/>
    <x v="6"/>
    <s v="Phone"/>
    <x v="1"/>
    <s v="A052"/>
    <x v="1"/>
    <n v="24"/>
    <n v="2.2000000000000002"/>
    <x v="1"/>
    <s v="No"/>
    <s v="No"/>
    <n v="5"/>
    <s v="Closed"/>
    <s v="September"/>
    <x v="8"/>
    <n v="2026"/>
    <s v="Yes"/>
    <n v="1"/>
    <x v="1"/>
    <n v="1"/>
  </r>
  <r>
    <s v="T005713"/>
    <x v="5483"/>
    <d v="2026-09-17T20:40:00"/>
    <x v="2"/>
    <s v="Phone"/>
    <x v="1"/>
    <s v="A044"/>
    <x v="1"/>
    <n v="24"/>
    <n v="24.2"/>
    <x v="1"/>
    <s v="No"/>
    <s v="No"/>
    <m/>
    <s v="Closed"/>
    <s v="September"/>
    <x v="8"/>
    <n v="2026"/>
    <s v="No"/>
    <n v="0"/>
    <x v="4"/>
    <n v="1"/>
  </r>
  <r>
    <s v="T005714"/>
    <x v="5484"/>
    <d v="2026-09-17T13:23:00"/>
    <x v="1"/>
    <s v="Phone"/>
    <x v="2"/>
    <s v="A060"/>
    <x v="1"/>
    <n v="4"/>
    <n v="8.6999999999999993"/>
    <x v="1"/>
    <s v="No"/>
    <s v="No"/>
    <n v="4"/>
    <s v="Closed"/>
    <s v="September"/>
    <x v="8"/>
    <n v="2026"/>
    <s v="No"/>
    <n v="0"/>
    <x v="4"/>
    <n v="1"/>
  </r>
  <r>
    <s v="T005715"/>
    <x v="5485"/>
    <d v="2026-09-26T14:48:00"/>
    <x v="4"/>
    <s v="Field Visit"/>
    <x v="1"/>
    <s v="A036"/>
    <x v="1"/>
    <n v="24"/>
    <n v="224.8"/>
    <x v="1"/>
    <s v="No"/>
    <s v="No"/>
    <n v="5"/>
    <s v="Closed"/>
    <s v="September"/>
    <x v="8"/>
    <n v="2026"/>
    <s v="No"/>
    <n v="0"/>
    <x v="4"/>
    <n v="1"/>
  </r>
  <r>
    <s v="T005716"/>
    <x v="5486"/>
    <d v="2026-09-17T19:33:00"/>
    <x v="2"/>
    <s v="Field Visit"/>
    <x v="2"/>
    <s v="A060"/>
    <x v="1"/>
    <n v="4"/>
    <n v="12.4"/>
    <x v="1"/>
    <s v="No"/>
    <s v="No"/>
    <n v="3"/>
    <s v="Closed"/>
    <s v="September"/>
    <x v="8"/>
    <n v="2026"/>
    <s v="No"/>
    <n v="0"/>
    <x v="4"/>
    <n v="1"/>
  </r>
  <r>
    <s v="T005717"/>
    <x v="5487"/>
    <d v="2026-09-17T13:08:00"/>
    <x v="2"/>
    <s v="Chat"/>
    <x v="1"/>
    <s v="A029"/>
    <x v="2"/>
    <n v="24"/>
    <n v="4.3"/>
    <x v="1"/>
    <s v="No"/>
    <s v="No"/>
    <n v="4"/>
    <s v="Closed"/>
    <s v="September"/>
    <x v="8"/>
    <n v="2026"/>
    <s v="Yes"/>
    <n v="1"/>
    <x v="1"/>
    <n v="1"/>
  </r>
  <r>
    <s v="T005718"/>
    <x v="5488"/>
    <d v="2026-09-17T16:27:00"/>
    <x v="3"/>
    <s v="Phone"/>
    <x v="2"/>
    <s v="A018"/>
    <x v="2"/>
    <n v="4"/>
    <n v="7.4"/>
    <x v="0"/>
    <s v="No"/>
    <s v="No"/>
    <n v="3"/>
    <s v="Closed"/>
    <s v="September"/>
    <x v="8"/>
    <n v="2026"/>
    <s v="No"/>
    <n v="0"/>
    <x v="4"/>
    <n v="0"/>
  </r>
  <r>
    <s v="T005719"/>
    <x v="5489"/>
    <d v="2026-09-19T15:41:00"/>
    <x v="3"/>
    <s v="Field Visit"/>
    <x v="1"/>
    <s v="A038"/>
    <x v="1"/>
    <n v="24"/>
    <n v="54.6"/>
    <x v="1"/>
    <s v="No"/>
    <s v="No"/>
    <n v="5"/>
    <s v="Closed"/>
    <s v="September"/>
    <x v="8"/>
    <n v="2026"/>
    <s v="No"/>
    <n v="0"/>
    <x v="4"/>
    <n v="1"/>
  </r>
  <r>
    <s v="T005720"/>
    <x v="5490"/>
    <d v="2026-09-19T10:50:00"/>
    <x v="3"/>
    <s v="Field Visit"/>
    <x v="1"/>
    <s v="A049"/>
    <x v="1"/>
    <n v="24"/>
    <n v="49.7"/>
    <x v="1"/>
    <s v="No"/>
    <s v="No"/>
    <n v="3"/>
    <s v="Closed"/>
    <s v="September"/>
    <x v="8"/>
    <n v="2026"/>
    <s v="No"/>
    <n v="0"/>
    <x v="4"/>
    <n v="1"/>
  </r>
  <r>
    <s v="T005721"/>
    <x v="5491"/>
    <d v="2026-09-18T04:07:00"/>
    <x v="4"/>
    <s v="Phone"/>
    <x v="1"/>
    <s v="A042"/>
    <x v="1"/>
    <n v="24"/>
    <n v="18.3"/>
    <x v="0"/>
    <s v="Yes"/>
    <s v="No"/>
    <m/>
    <s v="Closed"/>
    <s v="September"/>
    <x v="8"/>
    <n v="2026"/>
    <s v="Yes"/>
    <n v="1"/>
    <x v="1"/>
    <n v="0"/>
  </r>
  <r>
    <s v="T005722"/>
    <x v="5492"/>
    <d v="2026-09-17T23:23:00"/>
    <x v="1"/>
    <s v="Phone"/>
    <x v="1"/>
    <s v="A042"/>
    <x v="1"/>
    <n v="24"/>
    <n v="12.8"/>
    <x v="0"/>
    <s v="No"/>
    <s v="No"/>
    <m/>
    <s v="Closed"/>
    <s v="September"/>
    <x v="8"/>
    <n v="2026"/>
    <s v="Yes"/>
    <n v="1"/>
    <x v="4"/>
    <n v="0"/>
  </r>
  <r>
    <s v="T005723"/>
    <x v="5493"/>
    <d v="2026-09-17T18:14:00"/>
    <x v="2"/>
    <s v="Chat"/>
    <x v="0"/>
    <s v="A017"/>
    <x v="2"/>
    <n v="72"/>
    <n v="7.4"/>
    <x v="0"/>
    <s v="No"/>
    <s v="No"/>
    <n v="3"/>
    <s v="Closed"/>
    <s v="September"/>
    <x v="8"/>
    <n v="2026"/>
    <s v="Yes"/>
    <n v="1"/>
    <x v="0"/>
    <n v="0"/>
  </r>
  <r>
    <s v="T005724"/>
    <x v="5494"/>
    <d v="2026-09-18T11:16:00"/>
    <x v="3"/>
    <s v="Field Visit"/>
    <x v="1"/>
    <s v="A049"/>
    <x v="1"/>
    <n v="24"/>
    <n v="24.2"/>
    <x v="1"/>
    <s v="No"/>
    <s v="No"/>
    <n v="4"/>
    <s v="Closed"/>
    <s v="September"/>
    <x v="8"/>
    <n v="2026"/>
    <s v="No"/>
    <n v="0"/>
    <x v="2"/>
    <n v="1"/>
  </r>
  <r>
    <s v="T005725"/>
    <x v="5495"/>
    <d v="2026-09-17T16:16:00"/>
    <x v="6"/>
    <s v="Phone"/>
    <x v="2"/>
    <s v="A017"/>
    <x v="2"/>
    <n v="4"/>
    <n v="5"/>
    <x v="0"/>
    <s v="Yes"/>
    <s v="Yes"/>
    <m/>
    <s v="Closed"/>
    <s v="September"/>
    <x v="8"/>
    <n v="2026"/>
    <s v="No"/>
    <n v="0"/>
    <x v="0"/>
    <n v="0"/>
  </r>
  <r>
    <s v="T005726"/>
    <x v="5496"/>
    <d v="2026-09-17T22:21:00"/>
    <x v="1"/>
    <s v="Phone"/>
    <x v="1"/>
    <s v="A039"/>
    <x v="1"/>
    <n v="24"/>
    <n v="11"/>
    <x v="1"/>
    <s v="No"/>
    <s v="No"/>
    <m/>
    <s v="Closed"/>
    <s v="September"/>
    <x v="8"/>
    <n v="2026"/>
    <s v="Yes"/>
    <n v="1"/>
    <x v="0"/>
    <n v="1"/>
  </r>
  <r>
    <s v="T005727"/>
    <x v="5497"/>
    <d v="2026-09-17T13:54:00"/>
    <x v="6"/>
    <s v="Phone"/>
    <x v="1"/>
    <s v="A039"/>
    <x v="1"/>
    <n v="24"/>
    <n v="2.5"/>
    <x v="1"/>
    <s v="No"/>
    <s v="No"/>
    <n v="5"/>
    <s v="Closed"/>
    <s v="September"/>
    <x v="8"/>
    <n v="2026"/>
    <s v="Yes"/>
    <n v="1"/>
    <x v="4"/>
    <n v="1"/>
  </r>
  <r>
    <s v="T005728"/>
    <x v="5498"/>
    <d v="2026-09-19T10:00:00"/>
    <x v="3"/>
    <s v="Phone"/>
    <x v="2"/>
    <s v="A039"/>
    <x v="1"/>
    <n v="4"/>
    <n v="45.5"/>
    <x v="1"/>
    <s v="No"/>
    <s v="No"/>
    <n v="3"/>
    <s v="Closed"/>
    <s v="September"/>
    <x v="8"/>
    <n v="2026"/>
    <s v="No"/>
    <n v="0"/>
    <x v="2"/>
    <n v="1"/>
  </r>
  <r>
    <s v="T005729"/>
    <x v="5499"/>
    <d v="2026-09-18T00:23:00"/>
    <x v="0"/>
    <s v="Phone"/>
    <x v="0"/>
    <s v="A003"/>
    <x v="0"/>
    <n v="72"/>
    <n v="11.6"/>
    <x v="0"/>
    <s v="Yes"/>
    <s v="No"/>
    <m/>
    <s v="Closed"/>
    <s v="September"/>
    <x v="8"/>
    <n v="2026"/>
    <s v="Yes"/>
    <n v="1"/>
    <x v="2"/>
    <n v="0"/>
  </r>
  <r>
    <s v="T005730"/>
    <x v="5500"/>
    <d v="2026-09-17T21:31:00"/>
    <x v="5"/>
    <s v="Phone"/>
    <x v="2"/>
    <s v="A011"/>
    <x v="0"/>
    <n v="4"/>
    <n v="8.1999999999999993"/>
    <x v="1"/>
    <s v="No"/>
    <s v="Yes"/>
    <m/>
    <s v="Closed"/>
    <s v="September"/>
    <x v="8"/>
    <n v="2026"/>
    <s v="No"/>
    <n v="0"/>
    <x v="0"/>
    <n v="1"/>
  </r>
  <r>
    <s v="T005731"/>
    <x v="5501"/>
    <d v="2026-09-20T16:01:00"/>
    <x v="2"/>
    <s v="Phone"/>
    <x v="0"/>
    <s v="A009"/>
    <x v="0"/>
    <n v="72"/>
    <n v="74.3"/>
    <x v="1"/>
    <s v="No"/>
    <s v="No"/>
    <n v="3"/>
    <s v="Closed"/>
    <s v="September"/>
    <x v="8"/>
    <n v="2026"/>
    <s v="No"/>
    <n v="0"/>
    <x v="1"/>
    <n v="1"/>
  </r>
  <r>
    <s v="T005732"/>
    <x v="5502"/>
    <d v="2026-09-18T05:02:00"/>
    <x v="2"/>
    <s v="Phone"/>
    <x v="0"/>
    <s v="A006"/>
    <x v="0"/>
    <n v="72"/>
    <n v="15.3"/>
    <x v="1"/>
    <s v="No"/>
    <s v="No"/>
    <m/>
    <s v="Closed"/>
    <s v="September"/>
    <x v="8"/>
    <n v="2026"/>
    <s v="Yes"/>
    <n v="1"/>
    <x v="0"/>
    <n v="1"/>
  </r>
  <r>
    <s v="T005733"/>
    <x v="5503"/>
    <d v="2026-09-18T00:58:00"/>
    <x v="0"/>
    <s v="Phone"/>
    <x v="1"/>
    <s v="A060"/>
    <x v="1"/>
    <n v="24"/>
    <n v="11"/>
    <x v="1"/>
    <s v="No"/>
    <s v="No"/>
    <n v="4"/>
    <s v="Closed"/>
    <s v="September"/>
    <x v="8"/>
    <n v="2026"/>
    <s v="Yes"/>
    <n v="1"/>
    <x v="4"/>
    <n v="1"/>
  </r>
  <r>
    <s v="T005734"/>
    <x v="5504"/>
    <d v="2026-09-16T11:13:00"/>
    <x v="6"/>
    <s v="Field Visit"/>
    <x v="1"/>
    <s v="A059"/>
    <x v="1"/>
    <n v="24"/>
    <n v="18.3"/>
    <x v="1"/>
    <s v="No"/>
    <s v="No"/>
    <m/>
    <s v="Closed"/>
    <s v="September"/>
    <x v="8"/>
    <n v="2026"/>
    <s v="Yes"/>
    <n v="1"/>
    <x v="3"/>
    <n v="1"/>
  </r>
  <r>
    <s v="T005735"/>
    <x v="5505"/>
    <d v="2026-09-17T17:53:00"/>
    <x v="0"/>
    <s v="Phone"/>
    <x v="1"/>
    <s v="A056"/>
    <x v="1"/>
    <n v="24"/>
    <n v="3.6"/>
    <x v="1"/>
    <s v="No"/>
    <s v="No"/>
    <n v="5"/>
    <s v="Closed"/>
    <s v="September"/>
    <x v="8"/>
    <n v="2026"/>
    <s v="Yes"/>
    <n v="1"/>
    <x v="3"/>
    <n v="1"/>
  </r>
  <r>
    <s v="T005736"/>
    <x v="5506"/>
    <d v="2026-09-17T17:15:00"/>
    <x v="5"/>
    <s v="Phone"/>
    <x v="0"/>
    <s v="A008"/>
    <x v="0"/>
    <n v="72"/>
    <n v="2.9"/>
    <x v="1"/>
    <s v="No"/>
    <s v="No"/>
    <m/>
    <s v="Closed"/>
    <s v="September"/>
    <x v="8"/>
    <n v="2026"/>
    <s v="Yes"/>
    <n v="1"/>
    <x v="4"/>
    <n v="1"/>
  </r>
  <r>
    <s v="T005737"/>
    <x v="5507"/>
    <d v="2026-09-17T18:33:00"/>
    <x v="1"/>
    <s v="Chat"/>
    <x v="1"/>
    <s v="A045"/>
    <x v="1"/>
    <n v="24"/>
    <n v="2.6"/>
    <x v="1"/>
    <s v="No"/>
    <s v="No"/>
    <n v="5"/>
    <s v="Closed"/>
    <s v="September"/>
    <x v="8"/>
    <n v="2026"/>
    <s v="Yes"/>
    <n v="1"/>
    <x v="3"/>
    <n v="1"/>
  </r>
  <r>
    <s v="T005738"/>
    <x v="5508"/>
    <d v="2026-09-18T06:45:00"/>
    <x v="1"/>
    <s v="Email"/>
    <x v="1"/>
    <s v="A022"/>
    <x v="2"/>
    <n v="24"/>
    <n v="13.5"/>
    <x v="1"/>
    <s v="No"/>
    <s v="No"/>
    <n v="5"/>
    <s v="Closed"/>
    <s v="September"/>
    <x v="8"/>
    <n v="2026"/>
    <s v="Yes"/>
    <n v="1"/>
    <x v="1"/>
    <n v="1"/>
  </r>
  <r>
    <s v="T005740"/>
    <x v="5509"/>
    <d v="2026-09-19T03:19:00"/>
    <x v="6"/>
    <s v="Field Visit"/>
    <x v="2"/>
    <s v="A007"/>
    <x v="0"/>
    <n v="4"/>
    <n v="33.9"/>
    <x v="0"/>
    <s v="No"/>
    <s v="No"/>
    <m/>
    <s v="Closed"/>
    <s v="September"/>
    <x v="8"/>
    <n v="2026"/>
    <s v="No"/>
    <n v="0"/>
    <x v="3"/>
    <n v="0"/>
  </r>
  <r>
    <s v="T005739"/>
    <x v="5509"/>
    <d v="2026-09-18T02:43:00"/>
    <x v="1"/>
    <s v="Phone"/>
    <x v="1"/>
    <s v="A003"/>
    <x v="0"/>
    <n v="24"/>
    <n v="9.3000000000000007"/>
    <x v="1"/>
    <s v="No"/>
    <s v="No"/>
    <m/>
    <s v="Closed"/>
    <s v="September"/>
    <x v="8"/>
    <n v="2026"/>
    <s v="Yes"/>
    <n v="1"/>
    <x v="1"/>
    <n v="1"/>
  </r>
  <r>
    <s v="T005741"/>
    <x v="5510"/>
    <d v="2026-09-18T10:02:00"/>
    <x v="3"/>
    <s v="Chat"/>
    <x v="2"/>
    <s v="A032"/>
    <x v="2"/>
    <n v="4"/>
    <n v="16.600000000000001"/>
    <x v="1"/>
    <s v="No"/>
    <s v="No"/>
    <n v="4"/>
    <s v="Closed"/>
    <s v="September"/>
    <x v="8"/>
    <n v="2026"/>
    <s v="No"/>
    <n v="0"/>
    <x v="1"/>
    <n v="1"/>
  </r>
  <r>
    <s v="T005742"/>
    <x v="5511"/>
    <d v="2026-09-18T01:19:00"/>
    <x v="2"/>
    <s v="Phone"/>
    <x v="0"/>
    <s v="A024"/>
    <x v="2"/>
    <n v="72"/>
    <n v="7.5"/>
    <x v="0"/>
    <s v="No"/>
    <s v="No"/>
    <n v="3"/>
    <s v="Closed"/>
    <s v="September"/>
    <x v="8"/>
    <n v="2026"/>
    <s v="Yes"/>
    <n v="1"/>
    <x v="4"/>
    <n v="0"/>
  </r>
  <r>
    <s v="T005743"/>
    <x v="5512"/>
    <d v="2026-09-18T09:45:00"/>
    <x v="6"/>
    <s v="Chat"/>
    <x v="2"/>
    <s v="A030"/>
    <x v="2"/>
    <n v="4"/>
    <n v="2.6"/>
    <x v="1"/>
    <s v="No"/>
    <s v="No"/>
    <m/>
    <s v="Closed"/>
    <s v="September"/>
    <x v="8"/>
    <n v="2026"/>
    <s v="Yes"/>
    <n v="1"/>
    <x v="1"/>
    <n v="1"/>
  </r>
  <r>
    <s v="T005744"/>
    <x v="5513"/>
    <d v="2026-09-18T12:59:00"/>
    <x v="3"/>
    <s v="Chat"/>
    <x v="0"/>
    <s v="A028"/>
    <x v="2"/>
    <n v="72"/>
    <n v="5.6"/>
    <x v="1"/>
    <s v="No"/>
    <s v="No"/>
    <n v="5"/>
    <s v="Closed"/>
    <s v="September"/>
    <x v="8"/>
    <n v="2026"/>
    <s v="Yes"/>
    <n v="1"/>
    <x v="1"/>
    <n v="1"/>
  </r>
  <r>
    <s v="T005745"/>
    <x v="5514"/>
    <d v="2026-09-18T15:11:00"/>
    <x v="6"/>
    <s v="Phone"/>
    <x v="1"/>
    <s v="A026"/>
    <x v="2"/>
    <n v="24"/>
    <n v="4.0999999999999996"/>
    <x v="1"/>
    <s v="No"/>
    <s v="Yes"/>
    <n v="4"/>
    <s v="Closed"/>
    <s v="September"/>
    <x v="8"/>
    <n v="2026"/>
    <s v="Yes"/>
    <n v="1"/>
    <x v="4"/>
    <n v="1"/>
  </r>
  <r>
    <s v="T005746"/>
    <x v="5515"/>
    <d v="2026-09-18T15:42:00"/>
    <x v="0"/>
    <s v="Chat"/>
    <x v="0"/>
    <s v="A015"/>
    <x v="0"/>
    <n v="72"/>
    <n v="4.5999999999999996"/>
    <x v="0"/>
    <s v="No"/>
    <s v="No"/>
    <m/>
    <s v="Closed"/>
    <s v="September"/>
    <x v="8"/>
    <n v="2026"/>
    <s v="Yes"/>
    <n v="1"/>
    <x v="0"/>
    <n v="0"/>
  </r>
  <r>
    <s v="T005747"/>
    <x v="5516"/>
    <d v="2026-09-18T19:30:00"/>
    <x v="0"/>
    <s v="Phone"/>
    <x v="1"/>
    <s v="A047"/>
    <x v="1"/>
    <n v="24"/>
    <n v="8"/>
    <x v="1"/>
    <s v="No"/>
    <s v="No"/>
    <n v="5"/>
    <s v="Closed"/>
    <s v="September"/>
    <x v="8"/>
    <n v="2026"/>
    <s v="Yes"/>
    <n v="1"/>
    <x v="1"/>
    <n v="1"/>
  </r>
  <r>
    <s v="T005748"/>
    <x v="5517"/>
    <d v="2026-09-18T16:08:00"/>
    <x v="5"/>
    <s v="Phone"/>
    <x v="0"/>
    <s v="A051"/>
    <x v="1"/>
    <n v="72"/>
    <n v="3.6"/>
    <x v="1"/>
    <s v="No"/>
    <s v="No"/>
    <m/>
    <s v="Closed"/>
    <s v="September"/>
    <x v="8"/>
    <n v="2026"/>
    <s v="Yes"/>
    <n v="1"/>
    <x v="1"/>
    <n v="1"/>
  </r>
  <r>
    <s v="T005749"/>
    <x v="5518"/>
    <d v="2026-09-21T12:24:00"/>
    <x v="3"/>
    <s v="Email"/>
    <x v="0"/>
    <s v="A027"/>
    <x v="2"/>
    <n v="72"/>
    <n v="71.599999999999994"/>
    <x v="1"/>
    <s v="No"/>
    <s v="No"/>
    <n v="4"/>
    <s v="Closed"/>
    <s v="September"/>
    <x v="8"/>
    <n v="2026"/>
    <s v="Yes"/>
    <n v="1"/>
    <x v="3"/>
    <n v="1"/>
  </r>
  <r>
    <s v="T005750"/>
    <x v="5519"/>
    <d v="2026-09-22T18:22:00"/>
    <x v="4"/>
    <s v="Email"/>
    <x v="0"/>
    <s v="A027"/>
    <x v="2"/>
    <n v="72"/>
    <n v="100.6"/>
    <x v="0"/>
    <s v="No"/>
    <s v="No"/>
    <m/>
    <s v="Closed"/>
    <s v="September"/>
    <x v="8"/>
    <n v="2026"/>
    <s v="No"/>
    <n v="0"/>
    <x v="3"/>
    <n v="0"/>
  </r>
  <r>
    <s v="T005751"/>
    <x v="5520"/>
    <d v="2026-09-18T18:52:00"/>
    <x v="1"/>
    <s v="Phone"/>
    <x v="0"/>
    <s v="A055"/>
    <x v="1"/>
    <n v="72"/>
    <n v="3.3"/>
    <x v="1"/>
    <s v="No"/>
    <s v="No"/>
    <n v="3"/>
    <s v="Closed"/>
    <s v="September"/>
    <x v="8"/>
    <n v="2026"/>
    <s v="Yes"/>
    <n v="1"/>
    <x v="3"/>
    <n v="1"/>
  </r>
  <r>
    <s v="T005752"/>
    <x v="5521"/>
    <d v="2026-09-21T03:12:00"/>
    <x v="4"/>
    <s v="Email"/>
    <x v="2"/>
    <s v="A030"/>
    <x v="2"/>
    <n v="4"/>
    <n v="59"/>
    <x v="1"/>
    <s v="No"/>
    <s v="No"/>
    <n v="4"/>
    <s v="Closed"/>
    <s v="September"/>
    <x v="8"/>
    <n v="2026"/>
    <s v="No"/>
    <n v="0"/>
    <x v="2"/>
    <n v="1"/>
  </r>
  <r>
    <s v="T005753"/>
    <x v="5522"/>
    <d v="2026-09-19T04:24:00"/>
    <x v="2"/>
    <s v="Chat"/>
    <x v="1"/>
    <s v="A008"/>
    <x v="0"/>
    <n v="24"/>
    <n v="12.1"/>
    <x v="0"/>
    <s v="Yes"/>
    <s v="No"/>
    <n v="5"/>
    <s v="Closed"/>
    <s v="September"/>
    <x v="8"/>
    <n v="2026"/>
    <s v="Yes"/>
    <n v="1"/>
    <x v="4"/>
    <n v="0"/>
  </r>
  <r>
    <s v="T005754"/>
    <x v="5523"/>
    <d v="2026-09-19T02:28:00"/>
    <x v="1"/>
    <s v="Chat"/>
    <x v="0"/>
    <s v="A051"/>
    <x v="1"/>
    <n v="72"/>
    <n v="10"/>
    <x v="0"/>
    <s v="No"/>
    <s v="No"/>
    <n v="5"/>
    <s v="Closed"/>
    <s v="September"/>
    <x v="8"/>
    <n v="2026"/>
    <s v="Yes"/>
    <n v="1"/>
    <x v="0"/>
    <n v="0"/>
  </r>
  <r>
    <s v="T005755"/>
    <x v="5524"/>
    <d v="2026-09-20T03:56:00"/>
    <x v="0"/>
    <s v="Chat"/>
    <x v="0"/>
    <s v="A040"/>
    <x v="1"/>
    <n v="72"/>
    <n v="26.4"/>
    <x v="1"/>
    <s v="No"/>
    <s v="No"/>
    <m/>
    <s v="Closed"/>
    <s v="September"/>
    <x v="8"/>
    <n v="2026"/>
    <s v="Yes"/>
    <n v="1"/>
    <x v="4"/>
    <n v="1"/>
  </r>
  <r>
    <s v="T005756"/>
    <x v="5525"/>
    <d v="2026-09-19T10:00:00"/>
    <x v="5"/>
    <s v="Phone"/>
    <x v="1"/>
    <s v="A040"/>
    <x v="1"/>
    <n v="24"/>
    <n v="4.5"/>
    <x v="1"/>
    <s v="No"/>
    <s v="No"/>
    <n v="5"/>
    <s v="Closed"/>
    <s v="September"/>
    <x v="8"/>
    <n v="2026"/>
    <s v="Yes"/>
    <n v="1"/>
    <x v="0"/>
    <n v="1"/>
  </r>
  <r>
    <s v="T005757"/>
    <x v="5526"/>
    <d v="2026-09-22T18:41:00"/>
    <x v="3"/>
    <s v="Field Visit"/>
    <x v="0"/>
    <s v="A047"/>
    <x v="1"/>
    <n v="72"/>
    <n v="83.5"/>
    <x v="0"/>
    <s v="Yes"/>
    <s v="No"/>
    <m/>
    <s v="Closed"/>
    <s v="September"/>
    <x v="8"/>
    <n v="2026"/>
    <s v="No"/>
    <n v="0"/>
    <x v="1"/>
    <n v="0"/>
  </r>
  <r>
    <s v="T005758"/>
    <x v="5527"/>
    <d v="2026-09-21T02:44:00"/>
    <x v="5"/>
    <s v="Field Visit"/>
    <x v="0"/>
    <s v="A059"/>
    <x v="1"/>
    <n v="72"/>
    <n v="40.799999999999997"/>
    <x v="1"/>
    <s v="No"/>
    <s v="No"/>
    <n v="5"/>
    <s v="Closed"/>
    <s v="September"/>
    <x v="8"/>
    <n v="2026"/>
    <s v="Yes"/>
    <n v="1"/>
    <x v="3"/>
    <n v="1"/>
  </r>
  <r>
    <s v="T005759"/>
    <x v="5528"/>
    <d v="2026-09-19T19:01:00"/>
    <x v="6"/>
    <s v="Phone"/>
    <x v="2"/>
    <s v="A029"/>
    <x v="2"/>
    <n v="4"/>
    <n v="7.6"/>
    <x v="0"/>
    <s v="Yes"/>
    <s v="Yes"/>
    <n v="2"/>
    <s v="Closed"/>
    <s v="September"/>
    <x v="8"/>
    <n v="2026"/>
    <s v="No"/>
    <n v="0"/>
    <x v="1"/>
    <n v="0"/>
  </r>
  <r>
    <s v="T005760"/>
    <x v="5529"/>
    <d v="2026-09-21T02:29:00"/>
    <x v="0"/>
    <s v="Email"/>
    <x v="1"/>
    <s v="A017"/>
    <x v="2"/>
    <n v="24"/>
    <n v="38.4"/>
    <x v="1"/>
    <s v="No"/>
    <s v="No"/>
    <n v="3"/>
    <s v="Closed"/>
    <s v="September"/>
    <x v="8"/>
    <n v="2026"/>
    <s v="No"/>
    <n v="0"/>
    <x v="3"/>
    <n v="1"/>
  </r>
  <r>
    <s v="T005761"/>
    <x v="5530"/>
    <d v="2026-09-20T15:44:00"/>
    <x v="5"/>
    <s v="Field Visit"/>
    <x v="1"/>
    <s v="A028"/>
    <x v="2"/>
    <n v="24"/>
    <n v="27.1"/>
    <x v="0"/>
    <s v="Yes"/>
    <s v="No"/>
    <m/>
    <s v="Closed"/>
    <s v="September"/>
    <x v="8"/>
    <n v="2026"/>
    <s v="No"/>
    <n v="0"/>
    <x v="4"/>
    <n v="0"/>
  </r>
  <r>
    <s v="T005762"/>
    <x v="5531"/>
    <d v="2026-09-20T15:42:00"/>
    <x v="3"/>
    <s v="Phone"/>
    <x v="2"/>
    <s v="A038"/>
    <x v="1"/>
    <n v="4"/>
    <n v="25.5"/>
    <x v="0"/>
    <s v="No"/>
    <s v="No"/>
    <n v="3"/>
    <s v="Closed"/>
    <s v="September"/>
    <x v="8"/>
    <n v="2026"/>
    <s v="No"/>
    <n v="0"/>
    <x v="2"/>
    <n v="0"/>
  </r>
  <r>
    <s v="T005763"/>
    <x v="5532"/>
    <d v="2026-09-20T18:15:00"/>
    <x v="3"/>
    <s v="Field Visit"/>
    <x v="1"/>
    <s v="A016"/>
    <x v="2"/>
    <n v="24"/>
    <n v="27.1"/>
    <x v="1"/>
    <s v="No"/>
    <s v="No"/>
    <n v="5"/>
    <s v="Closed"/>
    <s v="September"/>
    <x v="8"/>
    <n v="2026"/>
    <s v="No"/>
    <n v="0"/>
    <x v="0"/>
    <n v="1"/>
  </r>
  <r>
    <s v="T005764"/>
    <x v="5533"/>
    <d v="2026-09-23T23:14:00"/>
    <x v="3"/>
    <s v="Email"/>
    <x v="1"/>
    <s v="A037"/>
    <x v="1"/>
    <n v="24"/>
    <n v="103.7"/>
    <x v="1"/>
    <s v="No"/>
    <s v="No"/>
    <n v="4"/>
    <s v="Closed"/>
    <s v="September"/>
    <x v="8"/>
    <n v="2026"/>
    <s v="No"/>
    <n v="0"/>
    <x v="1"/>
    <n v="1"/>
  </r>
  <r>
    <s v="T005765"/>
    <x v="5534"/>
    <d v="2026-09-19T21:04:00"/>
    <x v="0"/>
    <s v="Chat"/>
    <x v="0"/>
    <s v="A028"/>
    <x v="2"/>
    <n v="72"/>
    <n v="5.2"/>
    <x v="1"/>
    <s v="No"/>
    <s v="No"/>
    <n v="4"/>
    <s v="Closed"/>
    <s v="September"/>
    <x v="8"/>
    <n v="2026"/>
    <s v="Yes"/>
    <n v="1"/>
    <x v="0"/>
    <n v="1"/>
  </r>
  <r>
    <s v="T005766"/>
    <x v="5535"/>
    <d v="2026-09-22T02:31:00"/>
    <x v="4"/>
    <s v="Phone"/>
    <x v="0"/>
    <s v="A033"/>
    <x v="2"/>
    <n v="72"/>
    <n v="55.6"/>
    <x v="1"/>
    <s v="No"/>
    <s v="No"/>
    <m/>
    <s v="Closed"/>
    <s v="September"/>
    <x v="8"/>
    <n v="2026"/>
    <s v="Yes"/>
    <n v="1"/>
    <x v="1"/>
    <n v="1"/>
  </r>
  <r>
    <s v="T005767"/>
    <x v="5536"/>
    <d v="2026-09-19T12:05:00"/>
    <x v="5"/>
    <s v="Chat"/>
    <x v="0"/>
    <s v="A028"/>
    <x v="2"/>
    <n v="72"/>
    <n v="6.5"/>
    <x v="1"/>
    <s v="No"/>
    <s v="No"/>
    <n v="5"/>
    <s v="Closed"/>
    <s v="September"/>
    <x v="8"/>
    <n v="2026"/>
    <s v="Yes"/>
    <n v="1"/>
    <x v="2"/>
    <n v="1"/>
  </r>
  <r>
    <s v="T005768"/>
    <x v="5537"/>
    <d v="2026-09-25T02:26:00"/>
    <x v="4"/>
    <s v="Field Visit"/>
    <x v="0"/>
    <s v="A042"/>
    <x v="1"/>
    <n v="72"/>
    <n v="123.2"/>
    <x v="1"/>
    <s v="No"/>
    <s v="No"/>
    <m/>
    <s v="Closed"/>
    <s v="September"/>
    <x v="8"/>
    <n v="2026"/>
    <s v="No"/>
    <n v="0"/>
    <x v="4"/>
    <n v="1"/>
  </r>
  <r>
    <s v="T005769"/>
    <x v="5538"/>
    <d v="2026-09-21T04:39:00"/>
    <x v="1"/>
    <s v="Phone"/>
    <x v="0"/>
    <s v="A007"/>
    <x v="0"/>
    <n v="72"/>
    <n v="23.6"/>
    <x v="0"/>
    <s v="Yes"/>
    <s v="No"/>
    <n v="5"/>
    <s v="Closed"/>
    <s v="September"/>
    <x v="8"/>
    <n v="2026"/>
    <s v="Yes"/>
    <n v="1"/>
    <x v="4"/>
    <n v="0"/>
  </r>
  <r>
    <s v="T005770"/>
    <x v="5539"/>
    <d v="2026-09-20T22:45:00"/>
    <x v="2"/>
    <s v="Chat"/>
    <x v="0"/>
    <s v="A033"/>
    <x v="2"/>
    <n v="72"/>
    <n v="16.899999999999999"/>
    <x v="1"/>
    <s v="No"/>
    <s v="No"/>
    <m/>
    <s v="Closed"/>
    <s v="September"/>
    <x v="8"/>
    <n v="2026"/>
    <s v="Yes"/>
    <n v="1"/>
    <x v="4"/>
    <n v="1"/>
  </r>
  <r>
    <s v="T005771"/>
    <x v="5540"/>
    <d v="2026-09-21T17:53:00"/>
    <x v="0"/>
    <s v="Email"/>
    <x v="1"/>
    <s v="A012"/>
    <x v="0"/>
    <n v="24"/>
    <n v="35.700000000000003"/>
    <x v="0"/>
    <s v="Yes"/>
    <s v="No"/>
    <n v="3"/>
    <s v="Closed"/>
    <s v="September"/>
    <x v="8"/>
    <n v="2026"/>
    <s v="No"/>
    <n v="0"/>
    <x v="1"/>
    <n v="0"/>
  </r>
  <r>
    <s v="T005772"/>
    <x v="5541"/>
    <d v="2026-09-21T03:28:00"/>
    <x v="6"/>
    <s v="Field Visit"/>
    <x v="2"/>
    <s v="A025"/>
    <x v="2"/>
    <n v="4"/>
    <m/>
    <x v="1"/>
    <s v="No"/>
    <s v="No"/>
    <m/>
    <s v="Closed"/>
    <s v="September"/>
    <x v="8"/>
    <n v="2026"/>
    <m/>
    <m/>
    <x v="4"/>
    <n v="1"/>
  </r>
  <r>
    <s v="T005773"/>
    <x v="5542"/>
    <d v="2026-09-20T11:44:00"/>
    <x v="1"/>
    <s v="Phone"/>
    <x v="1"/>
    <s v="A034"/>
    <x v="2"/>
    <n v="24"/>
    <n v="5.0999999999999996"/>
    <x v="0"/>
    <s v="Yes"/>
    <s v="No"/>
    <m/>
    <s v="Closed"/>
    <s v="September"/>
    <x v="8"/>
    <n v="2026"/>
    <s v="Yes"/>
    <n v="1"/>
    <x v="4"/>
    <n v="0"/>
  </r>
  <r>
    <s v="T005774"/>
    <x v="5543"/>
    <d v="2026-09-20T17:56:00"/>
    <x v="6"/>
    <s v="Phone"/>
    <x v="1"/>
    <s v="A021"/>
    <x v="2"/>
    <n v="24"/>
    <n v="9.3000000000000007"/>
    <x v="1"/>
    <s v="No"/>
    <s v="No"/>
    <n v="3"/>
    <s v="Closed"/>
    <s v="September"/>
    <x v="8"/>
    <n v="2026"/>
    <s v="Yes"/>
    <n v="1"/>
    <x v="2"/>
    <n v="1"/>
  </r>
  <r>
    <s v="T005775"/>
    <x v="5544"/>
    <d v="2026-09-20T14:30:00"/>
    <x v="1"/>
    <s v="Phone"/>
    <x v="1"/>
    <s v="A042"/>
    <x v="1"/>
    <n v="24"/>
    <n v="5.8"/>
    <x v="1"/>
    <s v="No"/>
    <s v="No"/>
    <n v="4"/>
    <s v="Closed"/>
    <s v="September"/>
    <x v="8"/>
    <n v="2026"/>
    <s v="Yes"/>
    <n v="1"/>
    <x v="3"/>
    <n v="1"/>
  </r>
  <r>
    <s v="T005776"/>
    <x v="5545"/>
    <d v="2026-09-21T03:27:00"/>
    <x v="6"/>
    <s v="Phone"/>
    <x v="1"/>
    <s v="A006"/>
    <x v="0"/>
    <n v="24"/>
    <n v="18.600000000000001"/>
    <x v="0"/>
    <s v="No"/>
    <s v="No"/>
    <m/>
    <s v="Closed"/>
    <s v="September"/>
    <x v="8"/>
    <n v="2026"/>
    <s v="Yes"/>
    <n v="1"/>
    <x v="2"/>
    <n v="0"/>
  </r>
  <r>
    <s v="T005777"/>
    <x v="5546"/>
    <d v="2026-09-22T11:49:00"/>
    <x v="3"/>
    <s v="Field Visit"/>
    <x v="0"/>
    <s v="A048"/>
    <x v="1"/>
    <n v="72"/>
    <n v="50"/>
    <x v="1"/>
    <s v="No"/>
    <s v="No"/>
    <n v="5"/>
    <s v="Closed"/>
    <s v="September"/>
    <x v="8"/>
    <n v="2026"/>
    <s v="Yes"/>
    <n v="1"/>
    <x v="2"/>
    <n v="1"/>
  </r>
  <r>
    <s v="T005778"/>
    <x v="5547"/>
    <d v="2026-09-22T13:41:00"/>
    <x v="0"/>
    <s v="Phone"/>
    <x v="2"/>
    <s v="A026"/>
    <x v="2"/>
    <n v="4"/>
    <n v="51.5"/>
    <x v="0"/>
    <s v="No"/>
    <s v="No"/>
    <n v="2"/>
    <s v="Closed"/>
    <s v="September"/>
    <x v="8"/>
    <n v="2026"/>
    <s v="No"/>
    <n v="0"/>
    <x v="4"/>
    <n v="0"/>
  </r>
  <r>
    <s v="T005779"/>
    <x v="5548"/>
    <d v="2026-09-22T08:28:00"/>
    <x v="6"/>
    <s v="Field Visit"/>
    <x v="2"/>
    <s v="A035"/>
    <x v="2"/>
    <n v="4"/>
    <n v="46"/>
    <x v="0"/>
    <s v="Yes"/>
    <s v="No"/>
    <n v="3"/>
    <s v="Closed"/>
    <s v="September"/>
    <x v="8"/>
    <n v="2026"/>
    <s v="No"/>
    <n v="0"/>
    <x v="3"/>
    <n v="0"/>
  </r>
  <r>
    <s v="T005780"/>
    <x v="5549"/>
    <d v="2026-09-27T12:09:00"/>
    <x v="4"/>
    <s v="Field Visit"/>
    <x v="0"/>
    <s v="A023"/>
    <x v="2"/>
    <n v="72"/>
    <n v="168.9"/>
    <x v="1"/>
    <s v="No"/>
    <s v="No"/>
    <n v="4"/>
    <s v="Closed"/>
    <s v="September"/>
    <x v="8"/>
    <n v="2026"/>
    <s v="No"/>
    <n v="0"/>
    <x v="2"/>
    <n v="1"/>
  </r>
  <r>
    <s v="T005781"/>
    <x v="5550"/>
    <d v="2026-09-20T21:28:00"/>
    <x v="6"/>
    <s v="Phone"/>
    <x v="1"/>
    <s v="A057"/>
    <x v="1"/>
    <n v="24"/>
    <n v="10.199999999999999"/>
    <x v="1"/>
    <s v="No"/>
    <s v="No"/>
    <n v="5"/>
    <s v="Closed"/>
    <s v="September"/>
    <x v="8"/>
    <n v="2026"/>
    <s v="Yes"/>
    <n v="1"/>
    <x v="1"/>
    <n v="1"/>
  </r>
  <r>
    <s v="T005782"/>
    <x v="5551"/>
    <d v="2026-09-20T18:05:00"/>
    <x v="5"/>
    <s v="Phone"/>
    <x v="1"/>
    <s v="A046"/>
    <x v="1"/>
    <n v="24"/>
    <n v="6.6"/>
    <x v="0"/>
    <s v="Yes"/>
    <s v="No"/>
    <m/>
    <s v="Closed"/>
    <s v="September"/>
    <x v="8"/>
    <n v="2026"/>
    <s v="Yes"/>
    <n v="1"/>
    <x v="4"/>
    <n v="0"/>
  </r>
  <r>
    <s v="T005783"/>
    <x v="5552"/>
    <d v="2026-09-21T20:16:00"/>
    <x v="6"/>
    <s v="Field Visit"/>
    <x v="2"/>
    <s v="A014"/>
    <x v="0"/>
    <n v="4"/>
    <n v="32.4"/>
    <x v="0"/>
    <s v="No"/>
    <s v="No"/>
    <n v="4"/>
    <s v="Closed"/>
    <s v="September"/>
    <x v="8"/>
    <n v="2026"/>
    <s v="No"/>
    <n v="0"/>
    <x v="4"/>
    <n v="0"/>
  </r>
  <r>
    <s v="T005784"/>
    <x v="5553"/>
    <d v="2026-09-22T03:25:00"/>
    <x v="6"/>
    <s v="Field Visit"/>
    <x v="1"/>
    <s v="A050"/>
    <x v="1"/>
    <n v="24"/>
    <n v="38.5"/>
    <x v="1"/>
    <s v="No"/>
    <s v="Yes"/>
    <n v="2"/>
    <s v="Closed"/>
    <s v="September"/>
    <x v="8"/>
    <n v="2026"/>
    <s v="No"/>
    <n v="0"/>
    <x v="0"/>
    <n v="1"/>
  </r>
  <r>
    <s v="T005785"/>
    <x v="5554"/>
    <d v="2026-09-21T01:55:00"/>
    <x v="0"/>
    <s v="Phone"/>
    <x v="1"/>
    <s v="A053"/>
    <x v="1"/>
    <n v="24"/>
    <n v="12.3"/>
    <x v="1"/>
    <s v="No"/>
    <s v="No"/>
    <n v="5"/>
    <s v="Closed"/>
    <s v="September"/>
    <x v="8"/>
    <n v="2026"/>
    <s v="Yes"/>
    <n v="1"/>
    <x v="1"/>
    <n v="1"/>
  </r>
  <r>
    <s v="T005786"/>
    <x v="5555"/>
    <d v="2026-09-20T23:39:00"/>
    <x v="5"/>
    <s v="Phone"/>
    <x v="0"/>
    <s v="A022"/>
    <x v="2"/>
    <n v="72"/>
    <n v="9.6999999999999993"/>
    <x v="1"/>
    <s v="No"/>
    <s v="Yes"/>
    <n v="5"/>
    <s v="Closed"/>
    <s v="September"/>
    <x v="8"/>
    <n v="2026"/>
    <s v="Yes"/>
    <n v="1"/>
    <x v="4"/>
    <n v="1"/>
  </r>
  <r>
    <s v="T005787"/>
    <x v="5556"/>
    <d v="2026-09-21T18:04:00"/>
    <x v="3"/>
    <s v="Phone"/>
    <x v="1"/>
    <s v="A056"/>
    <x v="1"/>
    <n v="24"/>
    <n v="28.1"/>
    <x v="1"/>
    <s v="No"/>
    <s v="No"/>
    <m/>
    <s v="Closed"/>
    <s v="September"/>
    <x v="8"/>
    <n v="2026"/>
    <s v="No"/>
    <n v="0"/>
    <x v="4"/>
    <n v="1"/>
  </r>
  <r>
    <s v="T005788"/>
    <x v="5557"/>
    <d v="2026-09-20T22:55:00"/>
    <x v="6"/>
    <s v="Phone"/>
    <x v="1"/>
    <s v="A033"/>
    <x v="2"/>
    <n v="24"/>
    <n v="8.9"/>
    <x v="0"/>
    <s v="Yes"/>
    <s v="No"/>
    <n v="4"/>
    <s v="Closed"/>
    <s v="September"/>
    <x v="8"/>
    <n v="2026"/>
    <s v="Yes"/>
    <n v="1"/>
    <x v="4"/>
    <n v="0"/>
  </r>
  <r>
    <s v="T005789"/>
    <x v="5558"/>
    <d v="2026-09-21T10:09:00"/>
    <x v="6"/>
    <s v="Field Visit"/>
    <x v="0"/>
    <s v="A025"/>
    <x v="2"/>
    <n v="72"/>
    <n v="18.2"/>
    <x v="1"/>
    <s v="No"/>
    <s v="No"/>
    <n v="4"/>
    <s v="Closed"/>
    <s v="September"/>
    <x v="8"/>
    <n v="2026"/>
    <s v="Yes"/>
    <n v="1"/>
    <x v="4"/>
    <n v="1"/>
  </r>
  <r>
    <s v="T005790"/>
    <x v="5559"/>
    <d v="2026-09-23T02:44:00"/>
    <x v="3"/>
    <s v="Field Visit"/>
    <x v="1"/>
    <s v="A051"/>
    <x v="1"/>
    <n v="24"/>
    <n v="58.4"/>
    <x v="1"/>
    <s v="No"/>
    <s v="No"/>
    <n v="5"/>
    <s v="Closed"/>
    <s v="September"/>
    <x v="8"/>
    <n v="2026"/>
    <s v="No"/>
    <n v="0"/>
    <x v="0"/>
    <n v="1"/>
  </r>
  <r>
    <s v="T005791"/>
    <x v="5560"/>
    <d v="2026-09-21T17:26:00"/>
    <x v="5"/>
    <s v="Field Visit"/>
    <x v="2"/>
    <s v="A019"/>
    <x v="2"/>
    <n v="4"/>
    <n v="24.5"/>
    <x v="1"/>
    <s v="No"/>
    <s v="No"/>
    <n v="3"/>
    <s v="Closed"/>
    <s v="September"/>
    <x v="8"/>
    <n v="2026"/>
    <s v="No"/>
    <n v="0"/>
    <x v="0"/>
    <n v="1"/>
  </r>
  <r>
    <s v="T005792"/>
    <x v="5561"/>
    <d v="2026-09-21T04:53:00"/>
    <x v="0"/>
    <s v="Phone"/>
    <x v="1"/>
    <s v="A022"/>
    <x v="2"/>
    <n v="24"/>
    <n v="11.9"/>
    <x v="1"/>
    <s v="No"/>
    <s v="No"/>
    <m/>
    <s v="Closed"/>
    <s v="September"/>
    <x v="8"/>
    <n v="2026"/>
    <s v="Yes"/>
    <n v="1"/>
    <x v="4"/>
    <n v="1"/>
  </r>
  <r>
    <s v="T005793"/>
    <x v="5562"/>
    <d v="2026-09-21T05:07:00"/>
    <x v="0"/>
    <s v="Phone"/>
    <x v="0"/>
    <s v="A015"/>
    <x v="0"/>
    <n v="72"/>
    <n v="11.3"/>
    <x v="1"/>
    <s v="No"/>
    <s v="No"/>
    <n v="5"/>
    <s v="Closed"/>
    <s v="September"/>
    <x v="8"/>
    <n v="2026"/>
    <s v="Yes"/>
    <n v="1"/>
    <x v="4"/>
    <n v="1"/>
  </r>
  <r>
    <s v="T005794"/>
    <x v="5563"/>
    <d v="2026-09-21T08:11:00"/>
    <x v="5"/>
    <s v="Email"/>
    <x v="1"/>
    <s v="A026"/>
    <x v="2"/>
    <n v="24"/>
    <n v="12.4"/>
    <x v="1"/>
    <s v="No"/>
    <s v="No"/>
    <m/>
    <s v="Closed"/>
    <s v="September"/>
    <x v="8"/>
    <n v="2026"/>
    <s v="Yes"/>
    <n v="1"/>
    <x v="3"/>
    <n v="1"/>
  </r>
  <r>
    <s v="T005795"/>
    <x v="5564"/>
    <d v="2026-09-22T03:53:00"/>
    <x v="0"/>
    <s v="Field Visit"/>
    <x v="1"/>
    <s v="A012"/>
    <x v="0"/>
    <n v="24"/>
    <n v="22.6"/>
    <x v="0"/>
    <s v="No"/>
    <s v="No"/>
    <m/>
    <s v="Closed"/>
    <s v="September"/>
    <x v="8"/>
    <n v="2026"/>
    <s v="Yes"/>
    <n v="1"/>
    <x v="3"/>
    <n v="0"/>
  </r>
  <r>
    <s v="T005796"/>
    <x v="5565"/>
    <d v="2026-09-23T23:49:00"/>
    <x v="2"/>
    <s v="Field Visit"/>
    <x v="1"/>
    <s v="A027"/>
    <x v="2"/>
    <n v="24"/>
    <n v="66"/>
    <x v="1"/>
    <s v="No"/>
    <s v="Yes"/>
    <m/>
    <s v="Closed"/>
    <s v="September"/>
    <x v="8"/>
    <n v="2026"/>
    <s v="No"/>
    <n v="0"/>
    <x v="3"/>
    <n v="1"/>
  </r>
  <r>
    <s v="T005797"/>
    <x v="5566"/>
    <d v="2026-09-22T00:57:00"/>
    <x v="0"/>
    <s v="Chat"/>
    <x v="2"/>
    <s v="A032"/>
    <x v="2"/>
    <n v="4"/>
    <n v="15.9"/>
    <x v="1"/>
    <s v="No"/>
    <s v="No"/>
    <n v="5"/>
    <s v="Closed"/>
    <s v="September"/>
    <x v="8"/>
    <n v="2026"/>
    <s v="No"/>
    <n v="0"/>
    <x v="3"/>
    <n v="1"/>
  </r>
  <r>
    <s v="T005798"/>
    <x v="5567"/>
    <d v="2026-09-23T00:29:00"/>
    <x v="3"/>
    <s v="Field Visit"/>
    <x v="1"/>
    <s v="A020"/>
    <x v="2"/>
    <n v="24"/>
    <n v="37.5"/>
    <x v="0"/>
    <s v="No"/>
    <s v="No"/>
    <m/>
    <s v="Closed"/>
    <s v="September"/>
    <x v="8"/>
    <n v="2026"/>
    <s v="No"/>
    <n v="0"/>
    <x v="2"/>
    <n v="0"/>
  </r>
  <r>
    <s v="T005799"/>
    <x v="5568"/>
    <d v="2026-09-22T01:42:00"/>
    <x v="4"/>
    <s v="Phone"/>
    <x v="1"/>
    <s v="A023"/>
    <x v="2"/>
    <n v="24"/>
    <n v="14.1"/>
    <x v="0"/>
    <s v="No"/>
    <s v="No"/>
    <m/>
    <s v="Closed"/>
    <s v="September"/>
    <x v="8"/>
    <n v="2026"/>
    <s v="Yes"/>
    <n v="1"/>
    <x v="4"/>
    <n v="0"/>
  </r>
  <r>
    <s v="T005800"/>
    <x v="5569"/>
    <d v="2026-09-21T16:34:00"/>
    <x v="6"/>
    <s v="Phone"/>
    <x v="1"/>
    <s v="A046"/>
    <x v="1"/>
    <n v="24"/>
    <n v="4.5"/>
    <x v="1"/>
    <s v="No"/>
    <s v="No"/>
    <n v="3"/>
    <s v="Closed"/>
    <s v="September"/>
    <x v="8"/>
    <n v="2026"/>
    <s v="Yes"/>
    <n v="1"/>
    <x v="2"/>
    <n v="1"/>
  </r>
  <r>
    <s v="T005801"/>
    <x v="5570"/>
    <d v="2026-09-21T22:58:00"/>
    <x v="1"/>
    <s v="Phone"/>
    <x v="0"/>
    <s v="A053"/>
    <x v="1"/>
    <n v="72"/>
    <n v="10.199999999999999"/>
    <x v="1"/>
    <s v="No"/>
    <s v="No"/>
    <m/>
    <s v="Closed"/>
    <s v="September"/>
    <x v="8"/>
    <n v="2026"/>
    <s v="Yes"/>
    <n v="1"/>
    <x v="3"/>
    <n v="1"/>
  </r>
  <r>
    <s v="T005802"/>
    <x v="5571"/>
    <d v="2026-09-21T20:06:00"/>
    <x v="1"/>
    <s v="Chat"/>
    <x v="0"/>
    <s v="A034"/>
    <x v="2"/>
    <n v="72"/>
    <n v="7.2"/>
    <x v="1"/>
    <s v="No"/>
    <s v="No"/>
    <n v="5"/>
    <s v="Closed"/>
    <s v="September"/>
    <x v="8"/>
    <n v="2026"/>
    <s v="Yes"/>
    <n v="1"/>
    <x v="3"/>
    <n v="1"/>
  </r>
  <r>
    <s v="T005803"/>
    <x v="5572"/>
    <d v="2026-09-23T09:15:00"/>
    <x v="3"/>
    <s v="Email"/>
    <x v="1"/>
    <s v="A013"/>
    <x v="0"/>
    <n v="24"/>
    <n v="43.6"/>
    <x v="1"/>
    <s v="No"/>
    <s v="No"/>
    <n v="4"/>
    <s v="Closed"/>
    <s v="September"/>
    <x v="8"/>
    <n v="2026"/>
    <s v="No"/>
    <n v="0"/>
    <x v="2"/>
    <n v="1"/>
  </r>
  <r>
    <s v="T005804"/>
    <x v="5573"/>
    <d v="2026-09-22T00:56:00"/>
    <x v="6"/>
    <s v="Email"/>
    <x v="1"/>
    <s v="A047"/>
    <x v="1"/>
    <n v="24"/>
    <n v="9.3000000000000007"/>
    <x v="0"/>
    <s v="No"/>
    <s v="No"/>
    <m/>
    <s v="Closed"/>
    <s v="September"/>
    <x v="8"/>
    <n v="2026"/>
    <s v="Yes"/>
    <n v="1"/>
    <x v="1"/>
    <n v="0"/>
  </r>
  <r>
    <s v="T005805"/>
    <x v="5574"/>
    <d v="2026-09-22T13:58:00"/>
    <x v="3"/>
    <s v="Field Visit"/>
    <x v="0"/>
    <s v="A022"/>
    <x v="2"/>
    <n v="72"/>
    <n v="22.2"/>
    <x v="1"/>
    <s v="No"/>
    <s v="No"/>
    <n v="3"/>
    <s v="Closed"/>
    <s v="September"/>
    <x v="8"/>
    <n v="2026"/>
    <s v="Yes"/>
    <n v="1"/>
    <x v="1"/>
    <n v="1"/>
  </r>
  <r>
    <s v="T005806"/>
    <x v="5575"/>
    <d v="2026-09-22T01:36:00"/>
    <x v="6"/>
    <s v="Phone"/>
    <x v="1"/>
    <s v="A011"/>
    <x v="0"/>
    <n v="24"/>
    <n v="8.1999999999999993"/>
    <x v="0"/>
    <s v="Yes"/>
    <s v="No"/>
    <n v="4"/>
    <s v="Closed"/>
    <s v="September"/>
    <x v="8"/>
    <n v="2026"/>
    <s v="Yes"/>
    <n v="1"/>
    <x v="3"/>
    <n v="0"/>
  </r>
  <r>
    <s v="T005807"/>
    <x v="5576"/>
    <d v="2026-09-21T21:26:00"/>
    <x v="0"/>
    <s v="Phone"/>
    <x v="0"/>
    <s v="A051"/>
    <x v="1"/>
    <n v="72"/>
    <n v="4"/>
    <x v="1"/>
    <s v="No"/>
    <s v="No"/>
    <n v="4"/>
    <s v="Closed"/>
    <s v="September"/>
    <x v="8"/>
    <n v="2026"/>
    <s v="Yes"/>
    <n v="1"/>
    <x v="4"/>
    <n v="1"/>
  </r>
  <r>
    <s v="T005808"/>
    <x v="5577"/>
    <d v="2026-09-22T13:15:00"/>
    <x v="3"/>
    <s v="Phone"/>
    <x v="1"/>
    <s v="A059"/>
    <x v="1"/>
    <n v="24"/>
    <n v="19.3"/>
    <x v="1"/>
    <s v="No"/>
    <s v="No"/>
    <n v="5"/>
    <s v="Closed"/>
    <s v="September"/>
    <x v="8"/>
    <n v="2026"/>
    <s v="Yes"/>
    <n v="1"/>
    <x v="4"/>
    <n v="1"/>
  </r>
  <r>
    <s v="T005809"/>
    <x v="5578"/>
    <d v="2026-09-22T16:24:00"/>
    <x v="6"/>
    <s v="Field Visit"/>
    <x v="1"/>
    <s v="A017"/>
    <x v="2"/>
    <n v="24"/>
    <n v="19.899999999999999"/>
    <x v="1"/>
    <s v="No"/>
    <s v="No"/>
    <n v="5"/>
    <s v="Closed"/>
    <s v="September"/>
    <x v="8"/>
    <n v="2026"/>
    <s v="Yes"/>
    <n v="1"/>
    <x v="2"/>
    <n v="1"/>
  </r>
  <r>
    <s v="T005810"/>
    <x v="5579"/>
    <d v="2026-09-24T04:08:00"/>
    <x v="4"/>
    <s v="Email"/>
    <x v="0"/>
    <s v="A023"/>
    <x v="2"/>
    <n v="72"/>
    <n v="48"/>
    <x v="0"/>
    <s v="No"/>
    <s v="No"/>
    <n v="4"/>
    <s v="Closed"/>
    <s v="September"/>
    <x v="8"/>
    <n v="2026"/>
    <s v="Yes"/>
    <n v="1"/>
    <x v="2"/>
    <n v="0"/>
  </r>
  <r>
    <s v="T005811"/>
    <x v="5580"/>
    <d v="2026-09-22T16:22:00"/>
    <x v="6"/>
    <s v="Phone"/>
    <x v="2"/>
    <s v="A023"/>
    <x v="2"/>
    <n v="4"/>
    <n v="10.7"/>
    <x v="1"/>
    <s v="No"/>
    <s v="No"/>
    <n v="4"/>
    <s v="Closed"/>
    <s v="September"/>
    <x v="8"/>
    <n v="2026"/>
    <s v="No"/>
    <n v="0"/>
    <x v="1"/>
    <n v="1"/>
  </r>
  <r>
    <s v="T005812"/>
    <x v="5581"/>
    <d v="2026-09-22T09:49:00"/>
    <x v="1"/>
    <s v="Phone"/>
    <x v="1"/>
    <s v="A036"/>
    <x v="1"/>
    <n v="24"/>
    <n v="1.9"/>
    <x v="1"/>
    <s v="No"/>
    <s v="No"/>
    <n v="5"/>
    <s v="Closed"/>
    <s v="September"/>
    <x v="8"/>
    <n v="2026"/>
    <s v="Yes"/>
    <n v="1"/>
    <x v="2"/>
    <n v="1"/>
  </r>
  <r>
    <s v="T005813"/>
    <x v="5582"/>
    <d v="2026-09-22T20:48:00"/>
    <x v="2"/>
    <s v="Chat"/>
    <x v="0"/>
    <s v="A010"/>
    <x v="0"/>
    <n v="72"/>
    <n v="12.6"/>
    <x v="1"/>
    <s v="No"/>
    <s v="No"/>
    <n v="4"/>
    <s v="Closed"/>
    <s v="September"/>
    <x v="8"/>
    <n v="2026"/>
    <s v="Yes"/>
    <n v="1"/>
    <x v="4"/>
    <n v="1"/>
  </r>
  <r>
    <s v="T005814"/>
    <x v="5583"/>
    <d v="2026-09-23T11:13:00"/>
    <x v="3"/>
    <s v="Field Visit"/>
    <x v="2"/>
    <s v="A006"/>
    <x v="0"/>
    <n v="4"/>
    <n v="26.3"/>
    <x v="0"/>
    <s v="Yes"/>
    <s v="Yes"/>
    <m/>
    <s v="Closed"/>
    <s v="September"/>
    <x v="8"/>
    <n v="2026"/>
    <s v="No"/>
    <n v="0"/>
    <x v="2"/>
    <n v="0"/>
  </r>
  <r>
    <s v="T005815"/>
    <x v="5584"/>
    <d v="2026-09-24T04:55:00"/>
    <x v="3"/>
    <s v="Field Visit"/>
    <x v="0"/>
    <s v="A013"/>
    <x v="0"/>
    <n v="72"/>
    <n v="43.1"/>
    <x v="1"/>
    <s v="No"/>
    <s v="Yes"/>
    <n v="3"/>
    <s v="Closed"/>
    <s v="September"/>
    <x v="8"/>
    <n v="2026"/>
    <s v="Yes"/>
    <n v="1"/>
    <x v="3"/>
    <n v="1"/>
  </r>
  <r>
    <s v="T005816"/>
    <x v="5585"/>
    <d v="2026-09-22T15:15:00"/>
    <x v="6"/>
    <s v="Phone"/>
    <x v="1"/>
    <s v="A052"/>
    <x v="1"/>
    <n v="24"/>
    <n v="5.0999999999999996"/>
    <x v="1"/>
    <s v="No"/>
    <s v="No"/>
    <m/>
    <s v="Closed"/>
    <s v="September"/>
    <x v="8"/>
    <n v="2026"/>
    <s v="Yes"/>
    <n v="1"/>
    <x v="1"/>
    <n v="1"/>
  </r>
  <r>
    <s v="T005817"/>
    <x v="5586"/>
    <d v="2026-09-23T09:14:00"/>
    <x v="5"/>
    <s v="Field Visit"/>
    <x v="0"/>
    <s v="A045"/>
    <x v="1"/>
    <n v="72"/>
    <n v="23"/>
    <x v="1"/>
    <s v="No"/>
    <s v="Yes"/>
    <n v="4"/>
    <s v="Closed"/>
    <s v="September"/>
    <x v="8"/>
    <n v="2026"/>
    <s v="Yes"/>
    <n v="1"/>
    <x v="0"/>
    <n v="1"/>
  </r>
  <r>
    <s v="T005818"/>
    <x v="5587"/>
    <d v="2026-09-22T22:43:00"/>
    <x v="6"/>
    <s v="Phone"/>
    <x v="2"/>
    <s v="A046"/>
    <x v="1"/>
    <n v="4"/>
    <n v="12.4"/>
    <x v="1"/>
    <s v="No"/>
    <s v="No"/>
    <m/>
    <s v="Closed"/>
    <s v="September"/>
    <x v="8"/>
    <n v="2026"/>
    <s v="No"/>
    <n v="0"/>
    <x v="2"/>
    <n v="1"/>
  </r>
  <r>
    <s v="T005819"/>
    <x v="5588"/>
    <d v="2026-09-22T14:34:00"/>
    <x v="6"/>
    <s v="Phone"/>
    <x v="2"/>
    <s v="A043"/>
    <x v="1"/>
    <n v="4"/>
    <n v="4.2"/>
    <x v="1"/>
    <s v="No"/>
    <s v="No"/>
    <n v="4"/>
    <s v="Closed"/>
    <s v="September"/>
    <x v="8"/>
    <n v="2026"/>
    <s v="No"/>
    <n v="0"/>
    <x v="2"/>
    <n v="1"/>
  </r>
  <r>
    <s v="T005820"/>
    <x v="5589"/>
    <d v="2026-09-22T14:20:00"/>
    <x v="0"/>
    <s v="Phone"/>
    <x v="0"/>
    <s v="A035"/>
    <x v="2"/>
    <n v="72"/>
    <n v="3.5"/>
    <x v="0"/>
    <s v="No"/>
    <s v="No"/>
    <m/>
    <s v="Closed"/>
    <s v="September"/>
    <x v="8"/>
    <n v="2026"/>
    <s v="Yes"/>
    <n v="1"/>
    <x v="3"/>
    <n v="0"/>
  </r>
  <r>
    <s v="T005821"/>
    <x v="5590"/>
    <d v="2026-09-23T12:06:00"/>
    <x v="3"/>
    <s v="Chat"/>
    <x v="0"/>
    <s v="A042"/>
    <x v="1"/>
    <n v="72"/>
    <n v="25.2"/>
    <x v="1"/>
    <s v="No"/>
    <s v="No"/>
    <n v="3"/>
    <s v="Closed"/>
    <s v="September"/>
    <x v="8"/>
    <n v="2026"/>
    <s v="Yes"/>
    <n v="1"/>
    <x v="0"/>
    <n v="1"/>
  </r>
  <r>
    <s v="T005822"/>
    <x v="5591"/>
    <d v="2026-09-22T18:07:00"/>
    <x v="0"/>
    <s v="Chat"/>
    <x v="0"/>
    <s v="A050"/>
    <x v="1"/>
    <n v="72"/>
    <n v="7.1"/>
    <x v="0"/>
    <s v="Yes"/>
    <s v="No"/>
    <m/>
    <s v="Closed"/>
    <s v="September"/>
    <x v="8"/>
    <n v="2026"/>
    <s v="Yes"/>
    <n v="1"/>
    <x v="0"/>
    <n v="0"/>
  </r>
  <r>
    <s v="T005823"/>
    <x v="5592"/>
    <d v="2026-09-22T20:12:00"/>
    <x v="6"/>
    <s v="Phone"/>
    <x v="2"/>
    <s v="A033"/>
    <x v="2"/>
    <n v="4"/>
    <n v="9.1"/>
    <x v="1"/>
    <s v="No"/>
    <s v="Yes"/>
    <n v="3"/>
    <s v="Closed"/>
    <s v="September"/>
    <x v="8"/>
    <n v="2026"/>
    <s v="No"/>
    <n v="0"/>
    <x v="3"/>
    <n v="1"/>
  </r>
  <r>
    <s v="T005824"/>
    <x v="5593"/>
    <d v="2026-09-23T10:44:00"/>
    <x v="5"/>
    <s v="Email"/>
    <x v="1"/>
    <s v="A057"/>
    <x v="1"/>
    <n v="24"/>
    <n v="23.3"/>
    <x v="0"/>
    <s v="No"/>
    <s v="No"/>
    <n v="3"/>
    <s v="Closed"/>
    <s v="September"/>
    <x v="8"/>
    <n v="2026"/>
    <s v="Yes"/>
    <n v="1"/>
    <x v="1"/>
    <n v="0"/>
  </r>
  <r>
    <s v="T005825"/>
    <x v="5594"/>
    <d v="2026-09-23T07:40:00"/>
    <x v="6"/>
    <s v="Field Visit"/>
    <x v="2"/>
    <s v="A038"/>
    <x v="1"/>
    <n v="4"/>
    <n v="19.8"/>
    <x v="0"/>
    <s v="No"/>
    <s v="No"/>
    <m/>
    <s v="Closed"/>
    <s v="September"/>
    <x v="8"/>
    <n v="2026"/>
    <s v="No"/>
    <n v="0"/>
    <x v="3"/>
    <n v="0"/>
  </r>
  <r>
    <s v="T005826"/>
    <x v="5595"/>
    <d v="2026-09-23T13:04:00"/>
    <x v="4"/>
    <s v="Phone"/>
    <x v="2"/>
    <s v="A032"/>
    <x v="2"/>
    <n v="4"/>
    <n v="23.7"/>
    <x v="0"/>
    <s v="No"/>
    <s v="Yes"/>
    <n v="3"/>
    <s v="Closed"/>
    <s v="September"/>
    <x v="8"/>
    <n v="2026"/>
    <s v="No"/>
    <n v="0"/>
    <x v="2"/>
    <n v="0"/>
  </r>
  <r>
    <s v="T005827"/>
    <x v="5596"/>
    <d v="2026-09-22T18:45:00"/>
    <x v="1"/>
    <s v="Phone"/>
    <x v="0"/>
    <s v="A053"/>
    <x v="1"/>
    <n v="72"/>
    <n v="5.2"/>
    <x v="0"/>
    <s v="Yes"/>
    <s v="No"/>
    <n v="3"/>
    <s v="Closed"/>
    <s v="September"/>
    <x v="8"/>
    <n v="2026"/>
    <s v="Yes"/>
    <n v="1"/>
    <x v="2"/>
    <n v="0"/>
  </r>
  <r>
    <s v="T005828"/>
    <x v="5597"/>
    <d v="2026-09-23T08:20:00"/>
    <x v="6"/>
    <s v="Phone"/>
    <x v="2"/>
    <s v="A013"/>
    <x v="0"/>
    <n v="4"/>
    <n v="18.5"/>
    <x v="1"/>
    <s v="No"/>
    <s v="No"/>
    <n v="5"/>
    <s v="Closed"/>
    <s v="September"/>
    <x v="8"/>
    <n v="2026"/>
    <s v="No"/>
    <n v="0"/>
    <x v="3"/>
    <n v="1"/>
  </r>
  <r>
    <s v="T005829"/>
    <x v="5598"/>
    <d v="2026-09-23T08:23:00"/>
    <x v="0"/>
    <s v="Email"/>
    <x v="1"/>
    <s v="A012"/>
    <x v="0"/>
    <n v="24"/>
    <n v="18.399999999999999"/>
    <x v="0"/>
    <s v="No"/>
    <s v="No"/>
    <n v="5"/>
    <s v="Closed"/>
    <s v="September"/>
    <x v="8"/>
    <n v="2026"/>
    <s v="Yes"/>
    <n v="1"/>
    <x v="2"/>
    <n v="0"/>
  </r>
  <r>
    <s v="T005830"/>
    <x v="5599"/>
    <d v="2026-09-23T14:32:00"/>
    <x v="4"/>
    <s v="Chat"/>
    <x v="0"/>
    <s v="A046"/>
    <x v="1"/>
    <n v="72"/>
    <n v="22.9"/>
    <x v="1"/>
    <s v="No"/>
    <s v="No"/>
    <n v="5"/>
    <s v="Closed"/>
    <s v="September"/>
    <x v="8"/>
    <n v="2026"/>
    <s v="Yes"/>
    <n v="1"/>
    <x v="4"/>
    <n v="1"/>
  </r>
  <r>
    <s v="T005831"/>
    <x v="5600"/>
    <d v="2026-09-22T22:44:00"/>
    <x v="6"/>
    <s v="Phone"/>
    <x v="0"/>
    <s v="A054"/>
    <x v="1"/>
    <n v="72"/>
    <n v="6.8"/>
    <x v="0"/>
    <s v="Yes"/>
    <s v="No"/>
    <n v="4"/>
    <s v="Closed"/>
    <s v="September"/>
    <x v="8"/>
    <n v="2026"/>
    <s v="Yes"/>
    <n v="1"/>
    <x v="3"/>
    <n v="0"/>
  </r>
  <r>
    <s v="T005832"/>
    <x v="5601"/>
    <d v="2026-09-23T01:33:00"/>
    <x v="0"/>
    <s v="Chat"/>
    <x v="1"/>
    <s v="A045"/>
    <x v="1"/>
    <n v="24"/>
    <n v="8.9"/>
    <x v="1"/>
    <s v="No"/>
    <s v="No"/>
    <n v="4"/>
    <s v="Closed"/>
    <s v="September"/>
    <x v="8"/>
    <n v="2026"/>
    <s v="Yes"/>
    <n v="1"/>
    <x v="2"/>
    <n v="1"/>
  </r>
  <r>
    <s v="T005833"/>
    <x v="5602"/>
    <d v="2026-09-23T00:01:00"/>
    <x v="3"/>
    <s v="Phone"/>
    <x v="1"/>
    <s v="A043"/>
    <x v="1"/>
    <n v="24"/>
    <n v="6.3"/>
    <x v="1"/>
    <s v="No"/>
    <s v="No"/>
    <n v="5"/>
    <s v="Closed"/>
    <s v="September"/>
    <x v="8"/>
    <n v="2026"/>
    <s v="Yes"/>
    <n v="1"/>
    <x v="1"/>
    <n v="1"/>
  </r>
  <r>
    <s v="T005834"/>
    <x v="5603"/>
    <d v="2026-09-23T08:49:00"/>
    <x v="6"/>
    <s v="Field Visit"/>
    <x v="2"/>
    <s v="A050"/>
    <x v="1"/>
    <n v="4"/>
    <n v="15"/>
    <x v="1"/>
    <s v="No"/>
    <s v="No"/>
    <n v="3"/>
    <s v="Closed"/>
    <s v="September"/>
    <x v="8"/>
    <n v="2026"/>
    <s v="No"/>
    <n v="0"/>
    <x v="2"/>
    <n v="1"/>
  </r>
  <r>
    <s v="T005835"/>
    <x v="5604"/>
    <d v="2026-09-22T19:47:00"/>
    <x v="1"/>
    <s v="Phone"/>
    <x v="1"/>
    <s v="A045"/>
    <x v="1"/>
    <n v="24"/>
    <n v="1.8"/>
    <x v="1"/>
    <s v="No"/>
    <s v="No"/>
    <n v="5"/>
    <s v="Closed"/>
    <s v="September"/>
    <x v="8"/>
    <n v="2026"/>
    <s v="Yes"/>
    <n v="1"/>
    <x v="1"/>
    <n v="1"/>
  </r>
  <r>
    <s v="T005836"/>
    <x v="5605"/>
    <d v="2026-09-23T02:55:00"/>
    <x v="2"/>
    <s v="Chat"/>
    <x v="0"/>
    <s v="A010"/>
    <x v="0"/>
    <n v="72"/>
    <n v="8.6999999999999993"/>
    <x v="1"/>
    <s v="No"/>
    <s v="No"/>
    <n v="5"/>
    <s v="Closed"/>
    <s v="September"/>
    <x v="8"/>
    <n v="2026"/>
    <s v="Yes"/>
    <n v="1"/>
    <x v="1"/>
    <n v="1"/>
  </r>
  <r>
    <s v="T005837"/>
    <x v="5606"/>
    <d v="2026-09-24T06:29:00"/>
    <x v="4"/>
    <s v="Field Visit"/>
    <x v="0"/>
    <s v="A036"/>
    <x v="1"/>
    <n v="72"/>
    <n v="35.299999999999997"/>
    <x v="0"/>
    <s v="No"/>
    <s v="No"/>
    <n v="5"/>
    <s v="Closed"/>
    <s v="September"/>
    <x v="8"/>
    <n v="2026"/>
    <s v="Yes"/>
    <n v="1"/>
    <x v="1"/>
    <n v="0"/>
  </r>
  <r>
    <s v="T005838"/>
    <x v="5607"/>
    <d v="2026-09-23T05:30:00"/>
    <x v="6"/>
    <s v="Field Visit"/>
    <x v="2"/>
    <s v="A049"/>
    <x v="1"/>
    <n v="4"/>
    <n v="10.1"/>
    <x v="0"/>
    <s v="No"/>
    <s v="No"/>
    <n v="5"/>
    <s v="Closed"/>
    <s v="September"/>
    <x v="8"/>
    <n v="2026"/>
    <s v="No"/>
    <n v="0"/>
    <x v="4"/>
    <n v="0"/>
  </r>
  <r>
    <s v="T005839"/>
    <x v="5608"/>
    <d v="2026-09-23T03:15:00"/>
    <x v="2"/>
    <s v="Phone"/>
    <x v="0"/>
    <s v="A055"/>
    <x v="1"/>
    <n v="72"/>
    <n v="5.2"/>
    <x v="1"/>
    <s v="No"/>
    <s v="No"/>
    <m/>
    <s v="Closed"/>
    <s v="September"/>
    <x v="8"/>
    <n v="2026"/>
    <s v="Yes"/>
    <n v="1"/>
    <x v="4"/>
    <n v="1"/>
  </r>
  <r>
    <s v="T005840"/>
    <x v="5609"/>
    <d v="2026-09-23T08:00:00"/>
    <x v="6"/>
    <s v="Phone"/>
    <x v="2"/>
    <s v="A004"/>
    <x v="0"/>
    <n v="4"/>
    <n v="9.9"/>
    <x v="0"/>
    <s v="Yes"/>
    <s v="No"/>
    <m/>
    <s v="Closed"/>
    <s v="September"/>
    <x v="8"/>
    <n v="2026"/>
    <s v="No"/>
    <n v="0"/>
    <x v="3"/>
    <n v="0"/>
  </r>
  <r>
    <s v="T005841"/>
    <x v="5610"/>
    <d v="2026-09-23T13:28:00"/>
    <x v="5"/>
    <s v="Phone"/>
    <x v="1"/>
    <s v="A029"/>
    <x v="2"/>
    <n v="24"/>
    <n v="10.3"/>
    <x v="1"/>
    <s v="No"/>
    <s v="No"/>
    <n v="5"/>
    <s v="Closed"/>
    <s v="September"/>
    <x v="8"/>
    <n v="2026"/>
    <s v="Yes"/>
    <n v="1"/>
    <x v="4"/>
    <n v="1"/>
  </r>
  <r>
    <s v="T005842"/>
    <x v="5611"/>
    <d v="2026-09-25T09:57:00"/>
    <x v="3"/>
    <s v="Field Visit"/>
    <x v="1"/>
    <s v="A038"/>
    <x v="1"/>
    <n v="24"/>
    <n v="53.3"/>
    <x v="1"/>
    <s v="No"/>
    <s v="No"/>
    <n v="4"/>
    <s v="Closed"/>
    <s v="September"/>
    <x v="8"/>
    <n v="2026"/>
    <s v="No"/>
    <n v="0"/>
    <x v="1"/>
    <n v="1"/>
  </r>
  <r>
    <s v="T005843"/>
    <x v="5612"/>
    <d v="2026-09-24T01:51:00"/>
    <x v="3"/>
    <s v="Chat"/>
    <x v="0"/>
    <s v="A024"/>
    <x v="2"/>
    <n v="72"/>
    <n v="18.2"/>
    <x v="1"/>
    <s v="No"/>
    <s v="Yes"/>
    <m/>
    <s v="Closed"/>
    <s v="September"/>
    <x v="8"/>
    <n v="2026"/>
    <s v="Yes"/>
    <n v="1"/>
    <x v="3"/>
    <n v="1"/>
  </r>
  <r>
    <s v="T005844"/>
    <x v="5613"/>
    <d v="2026-09-23T11:44:00"/>
    <x v="6"/>
    <s v="Chat"/>
    <x v="1"/>
    <s v="A053"/>
    <x v="1"/>
    <n v="24"/>
    <n v="3.7"/>
    <x v="1"/>
    <s v="No"/>
    <s v="No"/>
    <m/>
    <s v="Closed"/>
    <s v="September"/>
    <x v="8"/>
    <n v="2026"/>
    <s v="Yes"/>
    <n v="1"/>
    <x v="4"/>
    <n v="1"/>
  </r>
  <r>
    <s v="T005845"/>
    <x v="5614"/>
    <d v="2026-09-23T18:21:00"/>
    <x v="0"/>
    <s v="Field Visit"/>
    <x v="1"/>
    <s v="A055"/>
    <x v="1"/>
    <n v="24"/>
    <n v="10.199999999999999"/>
    <x v="1"/>
    <s v="No"/>
    <s v="No"/>
    <m/>
    <s v="Closed"/>
    <s v="September"/>
    <x v="8"/>
    <n v="2026"/>
    <s v="Yes"/>
    <n v="1"/>
    <x v="1"/>
    <n v="1"/>
  </r>
  <r>
    <s v="T005846"/>
    <x v="5615"/>
    <d v="2026-09-27T06:46:00"/>
    <x v="4"/>
    <s v="Email"/>
    <x v="0"/>
    <s v="A018"/>
    <x v="2"/>
    <n v="72"/>
    <n v="92.9"/>
    <x v="1"/>
    <s v="No"/>
    <s v="No"/>
    <m/>
    <s v="Closed"/>
    <s v="September"/>
    <x v="8"/>
    <n v="2026"/>
    <s v="No"/>
    <n v="0"/>
    <x v="2"/>
    <n v="1"/>
  </r>
  <r>
    <s v="T005847"/>
    <x v="5616"/>
    <d v="2026-09-26T02:36:00"/>
    <x v="3"/>
    <s v="Email"/>
    <x v="2"/>
    <s v="A012"/>
    <x v="0"/>
    <n v="4"/>
    <n v="63.8"/>
    <x v="0"/>
    <s v="Yes"/>
    <s v="Yes"/>
    <m/>
    <s v="Closed"/>
    <s v="September"/>
    <x v="8"/>
    <n v="2026"/>
    <s v="No"/>
    <n v="0"/>
    <x v="0"/>
    <n v="0"/>
  </r>
  <r>
    <s v="T005848"/>
    <x v="5617"/>
    <d v="2026-09-24T11:47:00"/>
    <x v="3"/>
    <s v="Field Visit"/>
    <x v="0"/>
    <s v="A009"/>
    <x v="0"/>
    <n v="72"/>
    <n v="24.9"/>
    <x v="0"/>
    <s v="No"/>
    <s v="No"/>
    <m/>
    <s v="Closed"/>
    <s v="September"/>
    <x v="8"/>
    <n v="2026"/>
    <s v="Yes"/>
    <n v="1"/>
    <x v="4"/>
    <n v="0"/>
  </r>
  <r>
    <s v="T005849"/>
    <x v="5618"/>
    <m/>
    <x v="4"/>
    <s v="Field Visit"/>
    <x v="0"/>
    <s v="A009"/>
    <x v="0"/>
    <n v="72"/>
    <m/>
    <x v="1"/>
    <s v="No"/>
    <s v="No"/>
    <n v="5"/>
    <s v="Open"/>
    <s v="September"/>
    <x v="8"/>
    <n v="2026"/>
    <m/>
    <m/>
    <x v="4"/>
    <n v="1"/>
  </r>
  <r>
    <s v="T005850"/>
    <x v="5619"/>
    <d v="2026-09-23T14:15:00"/>
    <x v="6"/>
    <s v="Chat"/>
    <x v="2"/>
    <s v="A055"/>
    <x v="1"/>
    <n v="4"/>
    <n v="2"/>
    <x v="1"/>
    <s v="No"/>
    <s v="No"/>
    <n v="5"/>
    <s v="Closed"/>
    <s v="September"/>
    <x v="8"/>
    <n v="2026"/>
    <s v="Yes"/>
    <n v="1"/>
    <x v="1"/>
    <n v="1"/>
  </r>
  <r>
    <s v="T005851"/>
    <x v="5620"/>
    <d v="2026-09-23T18:46:00"/>
    <x v="1"/>
    <s v="Phone"/>
    <x v="0"/>
    <s v="A044"/>
    <x v="1"/>
    <n v="72"/>
    <n v="4.7"/>
    <x v="0"/>
    <s v="No"/>
    <s v="Yes"/>
    <n v="3"/>
    <s v="Closed"/>
    <s v="September"/>
    <x v="8"/>
    <n v="2026"/>
    <s v="Yes"/>
    <n v="1"/>
    <x v="2"/>
    <n v="0"/>
  </r>
  <r>
    <s v="T005852"/>
    <x v="5621"/>
    <d v="2026-09-24T05:49:00"/>
    <x v="3"/>
    <s v="Field Visit"/>
    <x v="1"/>
    <s v="A028"/>
    <x v="2"/>
    <n v="24"/>
    <n v="15.3"/>
    <x v="1"/>
    <s v="No"/>
    <s v="No"/>
    <n v="4"/>
    <s v="Closed"/>
    <s v="September"/>
    <x v="8"/>
    <n v="2026"/>
    <s v="Yes"/>
    <n v="1"/>
    <x v="1"/>
    <n v="1"/>
  </r>
  <r>
    <s v="T005853"/>
    <x v="5622"/>
    <d v="2026-09-23T20:38:00"/>
    <x v="3"/>
    <s v="Chat"/>
    <x v="1"/>
    <s v="A037"/>
    <x v="1"/>
    <n v="24"/>
    <n v="5.0999999999999996"/>
    <x v="1"/>
    <s v="No"/>
    <s v="No"/>
    <n v="5"/>
    <s v="Closed"/>
    <s v="September"/>
    <x v="8"/>
    <n v="2026"/>
    <s v="Yes"/>
    <n v="1"/>
    <x v="0"/>
    <n v="1"/>
  </r>
  <r>
    <s v="T005854"/>
    <x v="5623"/>
    <d v="2026-09-25T21:49:00"/>
    <x v="3"/>
    <s v="Email"/>
    <x v="0"/>
    <s v="A024"/>
    <x v="2"/>
    <n v="72"/>
    <n v="53.9"/>
    <x v="0"/>
    <s v="No"/>
    <s v="No"/>
    <n v="4"/>
    <s v="Closed"/>
    <s v="September"/>
    <x v="8"/>
    <n v="2026"/>
    <s v="Yes"/>
    <n v="1"/>
    <x v="2"/>
    <n v="0"/>
  </r>
  <r>
    <s v="T005855"/>
    <x v="5624"/>
    <d v="2026-09-24T05:58:00"/>
    <x v="1"/>
    <s v="Email"/>
    <x v="1"/>
    <s v="A027"/>
    <x v="2"/>
    <n v="24"/>
    <n v="13.1"/>
    <x v="1"/>
    <s v="No"/>
    <s v="No"/>
    <n v="5"/>
    <s v="Closed"/>
    <s v="September"/>
    <x v="8"/>
    <n v="2026"/>
    <s v="Yes"/>
    <n v="1"/>
    <x v="2"/>
    <n v="1"/>
  </r>
  <r>
    <s v="T005856"/>
    <x v="5625"/>
    <d v="2026-09-24T08:16:00"/>
    <x v="0"/>
    <s v="Chat"/>
    <x v="0"/>
    <s v="A008"/>
    <x v="0"/>
    <n v="72"/>
    <n v="13.9"/>
    <x v="1"/>
    <s v="No"/>
    <s v="No"/>
    <n v="5"/>
    <s v="Closed"/>
    <s v="September"/>
    <x v="8"/>
    <n v="2026"/>
    <s v="Yes"/>
    <n v="1"/>
    <x v="3"/>
    <n v="1"/>
  </r>
  <r>
    <s v="T005857"/>
    <x v="5626"/>
    <d v="2026-09-24T09:26:00"/>
    <x v="5"/>
    <s v="Chat"/>
    <x v="2"/>
    <s v="A059"/>
    <x v="1"/>
    <n v="4"/>
    <n v="7"/>
    <x v="1"/>
    <s v="No"/>
    <s v="No"/>
    <m/>
    <s v="Closed"/>
    <s v="September"/>
    <x v="8"/>
    <n v="2026"/>
    <s v="No"/>
    <n v="0"/>
    <x v="4"/>
    <n v="1"/>
  </r>
  <r>
    <s v="T005858"/>
    <x v="5627"/>
    <d v="2026-09-24T23:26:00"/>
    <x v="3"/>
    <s v="Phone"/>
    <x v="1"/>
    <s v="A005"/>
    <x v="0"/>
    <n v="24"/>
    <n v="16.5"/>
    <x v="1"/>
    <s v="No"/>
    <s v="No"/>
    <m/>
    <s v="Closed"/>
    <s v="September"/>
    <x v="8"/>
    <n v="2026"/>
    <s v="Yes"/>
    <n v="1"/>
    <x v="4"/>
    <n v="1"/>
  </r>
  <r>
    <s v="T005859"/>
    <x v="5628"/>
    <d v="2026-09-26T12:12:00"/>
    <x v="3"/>
    <s v="Field Visit"/>
    <x v="0"/>
    <s v="A009"/>
    <x v="0"/>
    <n v="72"/>
    <n v="51.5"/>
    <x v="0"/>
    <s v="No"/>
    <s v="No"/>
    <n v="5"/>
    <s v="Closed"/>
    <s v="September"/>
    <x v="8"/>
    <n v="2026"/>
    <s v="Yes"/>
    <n v="1"/>
    <x v="1"/>
    <n v="0"/>
  </r>
  <r>
    <s v="T005860"/>
    <x v="5629"/>
    <d v="2026-09-25T03:18:00"/>
    <x v="6"/>
    <s v="Field Visit"/>
    <x v="2"/>
    <s v="A012"/>
    <x v="0"/>
    <n v="4"/>
    <n v="18.2"/>
    <x v="1"/>
    <s v="No"/>
    <s v="No"/>
    <n v="2"/>
    <s v="Closed"/>
    <s v="September"/>
    <x v="8"/>
    <n v="2026"/>
    <s v="No"/>
    <n v="0"/>
    <x v="1"/>
    <n v="1"/>
  </r>
  <r>
    <s v="T005861"/>
    <x v="5630"/>
    <d v="2026-09-25T04:22:00"/>
    <x v="6"/>
    <s v="Phone"/>
    <x v="2"/>
    <s v="A058"/>
    <x v="1"/>
    <n v="4"/>
    <n v="18.7"/>
    <x v="1"/>
    <s v="No"/>
    <s v="Yes"/>
    <m/>
    <s v="Closed"/>
    <s v="September"/>
    <x v="8"/>
    <n v="2026"/>
    <s v="No"/>
    <n v="0"/>
    <x v="0"/>
    <n v="1"/>
  </r>
  <r>
    <s v="T005862"/>
    <x v="5631"/>
    <d v="2026-09-24T16:25:00"/>
    <x v="2"/>
    <s v="Chat"/>
    <x v="0"/>
    <s v="A006"/>
    <x v="0"/>
    <n v="72"/>
    <n v="6.3"/>
    <x v="1"/>
    <s v="No"/>
    <s v="No"/>
    <n v="5"/>
    <s v="Closed"/>
    <s v="September"/>
    <x v="8"/>
    <n v="2026"/>
    <s v="Yes"/>
    <n v="1"/>
    <x v="4"/>
    <n v="1"/>
  </r>
  <r>
    <s v="T005863"/>
    <x v="5632"/>
    <d v="2026-09-25T05:39:00"/>
    <x v="2"/>
    <s v="Phone"/>
    <x v="0"/>
    <s v="A019"/>
    <x v="2"/>
    <n v="72"/>
    <n v="18.2"/>
    <x v="1"/>
    <s v="No"/>
    <s v="No"/>
    <n v="5"/>
    <s v="Closed"/>
    <s v="September"/>
    <x v="8"/>
    <n v="2026"/>
    <s v="Yes"/>
    <n v="1"/>
    <x v="0"/>
    <n v="1"/>
  </r>
  <r>
    <s v="T005864"/>
    <x v="5633"/>
    <d v="2026-09-24T21:40:00"/>
    <x v="3"/>
    <s v="Phone"/>
    <x v="2"/>
    <s v="A029"/>
    <x v="2"/>
    <n v="4"/>
    <n v="10.199999999999999"/>
    <x v="1"/>
    <s v="No"/>
    <s v="No"/>
    <m/>
    <s v="Closed"/>
    <s v="September"/>
    <x v="8"/>
    <n v="2026"/>
    <s v="No"/>
    <n v="0"/>
    <x v="3"/>
    <n v="1"/>
  </r>
  <r>
    <s v="T005865"/>
    <x v="5634"/>
    <d v="2026-09-26T06:28:00"/>
    <x v="3"/>
    <s v="Field Visit"/>
    <x v="0"/>
    <s v="A037"/>
    <x v="1"/>
    <n v="72"/>
    <n v="40.6"/>
    <x v="0"/>
    <s v="No"/>
    <s v="No"/>
    <m/>
    <s v="Closed"/>
    <s v="September"/>
    <x v="8"/>
    <n v="2026"/>
    <s v="Yes"/>
    <n v="1"/>
    <x v="3"/>
    <n v="0"/>
  </r>
  <r>
    <s v="T005866"/>
    <x v="5635"/>
    <d v="2026-09-24T21:13:00"/>
    <x v="2"/>
    <s v="Phone"/>
    <x v="1"/>
    <s v="A031"/>
    <x v="2"/>
    <n v="24"/>
    <n v="6.9"/>
    <x v="1"/>
    <s v="No"/>
    <s v="No"/>
    <m/>
    <s v="Closed"/>
    <s v="September"/>
    <x v="8"/>
    <n v="2026"/>
    <s v="Yes"/>
    <n v="1"/>
    <x v="2"/>
    <n v="1"/>
  </r>
  <r>
    <s v="T005867"/>
    <x v="5636"/>
    <d v="2026-09-25T02:29:00"/>
    <x v="0"/>
    <s v="Phone"/>
    <x v="2"/>
    <s v="A059"/>
    <x v="1"/>
    <n v="4"/>
    <n v="10.6"/>
    <x v="0"/>
    <s v="Yes"/>
    <s v="No"/>
    <n v="4"/>
    <s v="Closed"/>
    <s v="September"/>
    <x v="8"/>
    <n v="2026"/>
    <s v="No"/>
    <n v="0"/>
    <x v="4"/>
    <n v="0"/>
  </r>
  <r>
    <s v="T005868"/>
    <x v="5637"/>
    <d v="2026-09-25T02:43:00"/>
    <x v="5"/>
    <s v="Phone"/>
    <x v="2"/>
    <s v="A053"/>
    <x v="1"/>
    <n v="4"/>
    <n v="10"/>
    <x v="1"/>
    <s v="No"/>
    <s v="No"/>
    <n v="4"/>
    <s v="Closed"/>
    <s v="September"/>
    <x v="8"/>
    <n v="2026"/>
    <s v="No"/>
    <n v="0"/>
    <x v="3"/>
    <n v="1"/>
  </r>
  <r>
    <s v="T005869"/>
    <x v="5638"/>
    <d v="2026-09-25T10:02:00"/>
    <x v="6"/>
    <s v="Field Visit"/>
    <x v="1"/>
    <s v="A044"/>
    <x v="1"/>
    <n v="24"/>
    <n v="16.899999999999999"/>
    <x v="1"/>
    <s v="No"/>
    <s v="No"/>
    <n v="4"/>
    <s v="Closed"/>
    <s v="September"/>
    <x v="8"/>
    <n v="2026"/>
    <s v="Yes"/>
    <n v="1"/>
    <x v="1"/>
    <n v="1"/>
  </r>
  <r>
    <s v="T005870"/>
    <x v="5639"/>
    <d v="2026-09-25T03:26:00"/>
    <x v="3"/>
    <s v="Phone"/>
    <x v="1"/>
    <s v="A005"/>
    <x v="0"/>
    <n v="24"/>
    <n v="7.9"/>
    <x v="0"/>
    <s v="No"/>
    <s v="No"/>
    <n v="5"/>
    <s v="Closed"/>
    <s v="September"/>
    <x v="8"/>
    <n v="2026"/>
    <s v="Yes"/>
    <n v="1"/>
    <x v="3"/>
    <n v="0"/>
  </r>
  <r>
    <s v="T005871"/>
    <x v="5640"/>
    <m/>
    <x v="4"/>
    <s v="Email"/>
    <x v="2"/>
    <s v="A017"/>
    <x v="2"/>
    <n v="4"/>
    <m/>
    <x v="1"/>
    <s v="No"/>
    <s v="No"/>
    <m/>
    <s v="Open"/>
    <s v="September"/>
    <x v="8"/>
    <n v="2026"/>
    <m/>
    <m/>
    <x v="3"/>
    <n v="1"/>
  </r>
  <r>
    <s v="T005872"/>
    <x v="5641"/>
    <d v="2026-09-25T02:40:00"/>
    <x v="0"/>
    <s v="Phone"/>
    <x v="0"/>
    <s v="A005"/>
    <x v="0"/>
    <n v="72"/>
    <n v="5.9"/>
    <x v="1"/>
    <s v="No"/>
    <s v="No"/>
    <n v="3"/>
    <s v="Closed"/>
    <s v="September"/>
    <x v="8"/>
    <n v="2026"/>
    <s v="Yes"/>
    <n v="1"/>
    <x v="0"/>
    <n v="1"/>
  </r>
  <r>
    <s v="T005873"/>
    <x v="5642"/>
    <d v="2026-09-25T05:11:00"/>
    <x v="1"/>
    <s v="Phone"/>
    <x v="0"/>
    <s v="A059"/>
    <x v="1"/>
    <n v="72"/>
    <n v="6.9"/>
    <x v="1"/>
    <s v="No"/>
    <s v="No"/>
    <m/>
    <s v="Closed"/>
    <s v="September"/>
    <x v="8"/>
    <n v="2026"/>
    <s v="Yes"/>
    <n v="1"/>
    <x v="3"/>
    <n v="1"/>
  </r>
  <r>
    <s v="T005874"/>
    <x v="5643"/>
    <d v="2026-09-25T06:24:00"/>
    <x v="0"/>
    <s v="Chat"/>
    <x v="1"/>
    <s v="A047"/>
    <x v="1"/>
    <n v="24"/>
    <n v="6.5"/>
    <x v="0"/>
    <s v="No"/>
    <s v="No"/>
    <n v="5"/>
    <s v="Closed"/>
    <s v="September"/>
    <x v="8"/>
    <n v="2026"/>
    <s v="Yes"/>
    <n v="1"/>
    <x v="1"/>
    <n v="0"/>
  </r>
  <r>
    <s v="T005875"/>
    <x v="5644"/>
    <d v="2026-09-25T18:42:00"/>
    <x v="1"/>
    <s v="Phone"/>
    <x v="1"/>
    <s v="A036"/>
    <x v="1"/>
    <n v="24"/>
    <n v="9.6999999999999993"/>
    <x v="1"/>
    <s v="No"/>
    <s v="No"/>
    <m/>
    <s v="Closed"/>
    <s v="September"/>
    <x v="8"/>
    <n v="2026"/>
    <s v="Yes"/>
    <n v="1"/>
    <x v="2"/>
    <n v="1"/>
  </r>
  <r>
    <s v="T005876"/>
    <x v="5645"/>
    <d v="2026-09-26T08:24:00"/>
    <x v="2"/>
    <s v="Phone"/>
    <x v="0"/>
    <s v="A020"/>
    <x v="2"/>
    <n v="72"/>
    <n v="23.1"/>
    <x v="0"/>
    <s v="No"/>
    <s v="No"/>
    <n v="5"/>
    <s v="Closed"/>
    <s v="September"/>
    <x v="8"/>
    <n v="2026"/>
    <s v="Yes"/>
    <n v="1"/>
    <x v="4"/>
    <n v="0"/>
  </r>
  <r>
    <s v="T005877"/>
    <x v="5646"/>
    <d v="2026-09-26T00:52:00"/>
    <x v="1"/>
    <s v="Email"/>
    <x v="1"/>
    <s v="A011"/>
    <x v="0"/>
    <n v="24"/>
    <n v="15.4"/>
    <x v="0"/>
    <s v="Yes"/>
    <s v="No"/>
    <n v="3"/>
    <s v="Closed"/>
    <s v="September"/>
    <x v="8"/>
    <n v="2026"/>
    <s v="Yes"/>
    <n v="1"/>
    <x v="3"/>
    <n v="0"/>
  </r>
  <r>
    <s v="T005878"/>
    <x v="5647"/>
    <d v="2026-09-25T20:58:00"/>
    <x v="1"/>
    <s v="Chat"/>
    <x v="0"/>
    <s v="A013"/>
    <x v="0"/>
    <n v="72"/>
    <n v="9.6"/>
    <x v="1"/>
    <s v="No"/>
    <s v="No"/>
    <n v="4"/>
    <s v="Closed"/>
    <s v="September"/>
    <x v="8"/>
    <n v="2026"/>
    <s v="Yes"/>
    <n v="1"/>
    <x v="2"/>
    <n v="1"/>
  </r>
  <r>
    <s v="T005879"/>
    <x v="5648"/>
    <d v="2026-09-25T19:53:00"/>
    <x v="1"/>
    <s v="Phone"/>
    <x v="0"/>
    <s v="A006"/>
    <x v="0"/>
    <n v="72"/>
    <n v="8.3000000000000007"/>
    <x v="0"/>
    <s v="Yes"/>
    <s v="No"/>
    <m/>
    <s v="Closed"/>
    <s v="September"/>
    <x v="8"/>
    <n v="2026"/>
    <s v="Yes"/>
    <n v="1"/>
    <x v="3"/>
    <n v="0"/>
  </r>
  <r>
    <s v="T005880"/>
    <x v="5649"/>
    <d v="2026-09-25T19:39:00"/>
    <x v="1"/>
    <s v="Email"/>
    <x v="0"/>
    <s v="A007"/>
    <x v="0"/>
    <n v="72"/>
    <n v="7.5"/>
    <x v="0"/>
    <s v="Yes"/>
    <s v="No"/>
    <n v="4"/>
    <s v="Closed"/>
    <s v="September"/>
    <x v="8"/>
    <n v="2026"/>
    <s v="Yes"/>
    <n v="1"/>
    <x v="4"/>
    <n v="0"/>
  </r>
  <r>
    <s v="T005881"/>
    <x v="5650"/>
    <d v="2026-09-25T19:42:00"/>
    <x v="1"/>
    <s v="Chat"/>
    <x v="0"/>
    <s v="A002"/>
    <x v="0"/>
    <n v="72"/>
    <n v="7.2"/>
    <x v="0"/>
    <s v="No"/>
    <s v="No"/>
    <n v="3"/>
    <s v="Closed"/>
    <s v="September"/>
    <x v="8"/>
    <n v="2026"/>
    <s v="Yes"/>
    <n v="1"/>
    <x v="0"/>
    <n v="0"/>
  </r>
  <r>
    <s v="T005882"/>
    <x v="5651"/>
    <d v="2026-09-26T01:03:00"/>
    <x v="1"/>
    <s v="Email"/>
    <x v="0"/>
    <s v="A051"/>
    <x v="1"/>
    <n v="72"/>
    <n v="12.3"/>
    <x v="1"/>
    <s v="No"/>
    <s v="No"/>
    <m/>
    <s v="Closed"/>
    <s v="September"/>
    <x v="8"/>
    <n v="2026"/>
    <s v="Yes"/>
    <n v="1"/>
    <x v="3"/>
    <n v="1"/>
  </r>
  <r>
    <s v="T005883"/>
    <x v="5652"/>
    <d v="2026-09-27T18:43:00"/>
    <x v="2"/>
    <s v="Field Visit"/>
    <x v="0"/>
    <s v="A005"/>
    <x v="0"/>
    <n v="72"/>
    <n v="53.9"/>
    <x v="0"/>
    <s v="Yes"/>
    <s v="No"/>
    <m/>
    <s v="Closed"/>
    <s v="September"/>
    <x v="8"/>
    <n v="2026"/>
    <s v="Yes"/>
    <n v="1"/>
    <x v="2"/>
    <n v="0"/>
  </r>
  <r>
    <s v="T005884"/>
    <x v="5653"/>
    <d v="2026-09-25T18:33:00"/>
    <x v="1"/>
    <s v="Phone"/>
    <x v="1"/>
    <s v="A008"/>
    <x v="0"/>
    <n v="24"/>
    <n v="4.5999999999999996"/>
    <x v="1"/>
    <s v="No"/>
    <s v="Yes"/>
    <n v="2"/>
    <s v="Closed"/>
    <s v="September"/>
    <x v="8"/>
    <n v="2026"/>
    <s v="Yes"/>
    <n v="1"/>
    <x v="4"/>
    <n v="1"/>
  </r>
  <r>
    <s v="T005885"/>
    <x v="5654"/>
    <d v="2026-09-27T14:18:00"/>
    <x v="0"/>
    <s v="Field Visit"/>
    <x v="2"/>
    <s v="A006"/>
    <x v="0"/>
    <n v="4"/>
    <n v="47.4"/>
    <x v="1"/>
    <s v="No"/>
    <s v="No"/>
    <n v="4"/>
    <s v="Closed"/>
    <s v="September"/>
    <x v="8"/>
    <n v="2026"/>
    <s v="No"/>
    <n v="0"/>
    <x v="4"/>
    <n v="1"/>
  </r>
  <r>
    <s v="T005886"/>
    <x v="5655"/>
    <d v="2026-09-25T22:07:00"/>
    <x v="3"/>
    <s v="Chat"/>
    <x v="1"/>
    <s v="A038"/>
    <x v="1"/>
    <n v="24"/>
    <n v="6.9"/>
    <x v="1"/>
    <s v="No"/>
    <s v="No"/>
    <n v="4"/>
    <s v="Closed"/>
    <s v="September"/>
    <x v="8"/>
    <n v="2026"/>
    <s v="Yes"/>
    <n v="1"/>
    <x v="1"/>
    <n v="1"/>
  </r>
  <r>
    <s v="T005887"/>
    <x v="5656"/>
    <d v="2026-09-25T20:57:00"/>
    <x v="5"/>
    <s v="Phone"/>
    <x v="1"/>
    <s v="A006"/>
    <x v="0"/>
    <n v="24"/>
    <n v="4.9000000000000004"/>
    <x v="1"/>
    <s v="No"/>
    <s v="No"/>
    <m/>
    <s v="Closed"/>
    <s v="September"/>
    <x v="8"/>
    <n v="2026"/>
    <s v="Yes"/>
    <n v="1"/>
    <x v="1"/>
    <n v="1"/>
  </r>
  <r>
    <s v="T005888"/>
    <x v="5657"/>
    <d v="2026-09-27T17:03:00"/>
    <x v="3"/>
    <s v="Field Visit"/>
    <x v="1"/>
    <s v="A029"/>
    <x v="2"/>
    <n v="24"/>
    <n v="48.8"/>
    <x v="0"/>
    <s v="Yes"/>
    <s v="No"/>
    <n v="4"/>
    <s v="Closed"/>
    <s v="September"/>
    <x v="8"/>
    <n v="2026"/>
    <s v="No"/>
    <n v="0"/>
    <x v="3"/>
    <n v="0"/>
  </r>
  <r>
    <s v="T005889"/>
    <x v="5658"/>
    <d v="2026-09-24T10:03:00"/>
    <x v="4"/>
    <s v="Field Visit"/>
    <x v="1"/>
    <s v="A055"/>
    <x v="1"/>
    <n v="24"/>
    <n v="35.1"/>
    <x v="0"/>
    <s v="No"/>
    <s v="No"/>
    <n v="4"/>
    <s v="Closed"/>
    <s v="September"/>
    <x v="8"/>
    <n v="2026"/>
    <s v="No"/>
    <n v="0"/>
    <x v="0"/>
    <n v="0"/>
  </r>
  <r>
    <s v="T005890"/>
    <x v="5659"/>
    <d v="2026-09-25T23:07:00"/>
    <x v="1"/>
    <s v="Phone"/>
    <x v="1"/>
    <s v="A037"/>
    <x v="1"/>
    <n v="24"/>
    <n v="4.5"/>
    <x v="1"/>
    <s v="No"/>
    <s v="No"/>
    <n v="5"/>
    <s v="Closed"/>
    <s v="September"/>
    <x v="8"/>
    <n v="2026"/>
    <s v="Yes"/>
    <n v="1"/>
    <x v="4"/>
    <n v="1"/>
  </r>
  <r>
    <s v="T005891"/>
    <x v="5660"/>
    <d v="2026-09-26T12:52:00"/>
    <x v="3"/>
    <s v="Phone"/>
    <x v="0"/>
    <s v="A001"/>
    <x v="0"/>
    <n v="72"/>
    <n v="14.1"/>
    <x v="1"/>
    <s v="No"/>
    <s v="No"/>
    <n v="4"/>
    <s v="Closed"/>
    <s v="September"/>
    <x v="8"/>
    <n v="2026"/>
    <s v="Yes"/>
    <n v="1"/>
    <x v="1"/>
    <n v="1"/>
  </r>
  <r>
    <s v="T005892"/>
    <x v="5661"/>
    <d v="2026-09-26T01:54:00"/>
    <x v="6"/>
    <s v="Phone"/>
    <x v="2"/>
    <s v="A028"/>
    <x v="2"/>
    <n v="4"/>
    <n v="2.1"/>
    <x v="1"/>
    <s v="No"/>
    <s v="No"/>
    <m/>
    <s v="Closed"/>
    <s v="September"/>
    <x v="8"/>
    <n v="2026"/>
    <s v="Yes"/>
    <n v="1"/>
    <x v="4"/>
    <n v="1"/>
  </r>
  <r>
    <s v="T005893"/>
    <x v="5662"/>
    <d v="2026-09-26T05:35:00"/>
    <x v="3"/>
    <s v="Chat"/>
    <x v="0"/>
    <s v="A003"/>
    <x v="0"/>
    <n v="72"/>
    <n v="5.7"/>
    <x v="1"/>
    <s v="No"/>
    <s v="No"/>
    <n v="5"/>
    <s v="Closed"/>
    <s v="September"/>
    <x v="8"/>
    <n v="2026"/>
    <s v="Yes"/>
    <n v="1"/>
    <x v="4"/>
    <n v="1"/>
  </r>
  <r>
    <s v="T005894"/>
    <x v="5663"/>
    <d v="2026-09-27T00:56:00"/>
    <x v="6"/>
    <s v="Field Visit"/>
    <x v="1"/>
    <s v="A026"/>
    <x v="2"/>
    <n v="24"/>
    <n v="19.8"/>
    <x v="1"/>
    <s v="No"/>
    <s v="No"/>
    <n v="4"/>
    <s v="Closed"/>
    <s v="September"/>
    <x v="8"/>
    <n v="2026"/>
    <s v="Yes"/>
    <n v="1"/>
    <x v="0"/>
    <n v="1"/>
  </r>
  <r>
    <s v="T005895"/>
    <x v="5664"/>
    <d v="2026-09-26T12:53:00"/>
    <x v="6"/>
    <s v="Phone"/>
    <x v="2"/>
    <s v="A027"/>
    <x v="2"/>
    <n v="4"/>
    <n v="7"/>
    <x v="1"/>
    <s v="No"/>
    <s v="No"/>
    <m/>
    <s v="Closed"/>
    <s v="September"/>
    <x v="8"/>
    <n v="2026"/>
    <s v="No"/>
    <n v="0"/>
    <x v="4"/>
    <n v="1"/>
  </r>
  <r>
    <s v="T005896"/>
    <x v="5665"/>
    <d v="2026-09-26T21:07:00"/>
    <x v="2"/>
    <s v="Phone"/>
    <x v="0"/>
    <s v="A001"/>
    <x v="0"/>
    <n v="72"/>
    <n v="14.2"/>
    <x v="1"/>
    <s v="No"/>
    <s v="No"/>
    <n v="5"/>
    <s v="Closed"/>
    <s v="September"/>
    <x v="8"/>
    <n v="2026"/>
    <s v="Yes"/>
    <n v="1"/>
    <x v="3"/>
    <n v="1"/>
  </r>
  <r>
    <s v="T005897"/>
    <x v="5666"/>
    <d v="2026-09-26T14:07:00"/>
    <x v="5"/>
    <s v="Phone"/>
    <x v="0"/>
    <s v="A026"/>
    <x v="2"/>
    <n v="72"/>
    <n v="6.4"/>
    <x v="0"/>
    <s v="Yes"/>
    <s v="Yes"/>
    <n v="3"/>
    <s v="Closed"/>
    <s v="September"/>
    <x v="8"/>
    <n v="2026"/>
    <s v="Yes"/>
    <n v="1"/>
    <x v="4"/>
    <n v="0"/>
  </r>
  <r>
    <s v="T005898"/>
    <x v="5667"/>
    <d v="2026-09-27T12:26:00"/>
    <x v="2"/>
    <s v="Field Visit"/>
    <x v="0"/>
    <s v="A040"/>
    <x v="1"/>
    <n v="72"/>
    <n v="28.3"/>
    <x v="1"/>
    <s v="No"/>
    <s v="No"/>
    <n v="4"/>
    <s v="Closed"/>
    <s v="September"/>
    <x v="8"/>
    <n v="2026"/>
    <s v="Yes"/>
    <n v="1"/>
    <x v="3"/>
    <n v="1"/>
  </r>
  <r>
    <s v="T005899"/>
    <x v="5668"/>
    <d v="2026-09-27T05:14:00"/>
    <x v="0"/>
    <s v="Chat"/>
    <x v="1"/>
    <s v="A034"/>
    <x v="2"/>
    <n v="24"/>
    <n v="20.2"/>
    <x v="0"/>
    <s v="Yes"/>
    <s v="No"/>
    <m/>
    <s v="Closed"/>
    <s v="September"/>
    <x v="8"/>
    <n v="2026"/>
    <s v="Yes"/>
    <n v="1"/>
    <x v="3"/>
    <n v="0"/>
  </r>
  <r>
    <s v="T005900"/>
    <x v="5669"/>
    <d v="2026-09-27T00:49:00"/>
    <x v="2"/>
    <s v="Phone"/>
    <x v="1"/>
    <s v="A006"/>
    <x v="0"/>
    <n v="24"/>
    <n v="15.7"/>
    <x v="0"/>
    <s v="No"/>
    <s v="No"/>
    <n v="4"/>
    <s v="Closed"/>
    <s v="September"/>
    <x v="8"/>
    <n v="2026"/>
    <s v="Yes"/>
    <n v="1"/>
    <x v="2"/>
    <n v="0"/>
  </r>
  <r>
    <s v="T005901"/>
    <x v="5670"/>
    <d v="2026-09-26T15:16:00"/>
    <x v="1"/>
    <s v="Chat"/>
    <x v="0"/>
    <s v="A018"/>
    <x v="2"/>
    <n v="72"/>
    <n v="4.5"/>
    <x v="0"/>
    <s v="Yes"/>
    <s v="No"/>
    <n v="5"/>
    <s v="Closed"/>
    <s v="September"/>
    <x v="8"/>
    <n v="2026"/>
    <s v="Yes"/>
    <n v="1"/>
    <x v="1"/>
    <n v="0"/>
  </r>
  <r>
    <s v="T005902"/>
    <x v="5671"/>
    <d v="2026-09-27T04:28:00"/>
    <x v="1"/>
    <s v="Email"/>
    <x v="0"/>
    <s v="A004"/>
    <x v="0"/>
    <n v="72"/>
    <n v="17.399999999999999"/>
    <x v="1"/>
    <s v="No"/>
    <s v="No"/>
    <m/>
    <s v="Closed"/>
    <s v="September"/>
    <x v="8"/>
    <n v="2026"/>
    <s v="Yes"/>
    <n v="1"/>
    <x v="4"/>
    <n v="1"/>
  </r>
  <r>
    <s v="T005903"/>
    <x v="5672"/>
    <d v="2026-09-27T02:25:00"/>
    <x v="3"/>
    <s v="Chat"/>
    <x v="1"/>
    <s v="A013"/>
    <x v="0"/>
    <n v="24"/>
    <n v="14.2"/>
    <x v="1"/>
    <s v="No"/>
    <s v="Yes"/>
    <n v="4"/>
    <s v="Closed"/>
    <s v="September"/>
    <x v="8"/>
    <n v="2026"/>
    <s v="Yes"/>
    <n v="1"/>
    <x v="2"/>
    <n v="1"/>
  </r>
  <r>
    <s v="T005904"/>
    <x v="5673"/>
    <d v="2026-09-26T17:47:00"/>
    <x v="1"/>
    <s v="Phone"/>
    <x v="1"/>
    <s v="A058"/>
    <x v="1"/>
    <n v="24"/>
    <n v="4.9000000000000004"/>
    <x v="1"/>
    <s v="No"/>
    <s v="No"/>
    <m/>
    <s v="Closed"/>
    <s v="September"/>
    <x v="8"/>
    <n v="2026"/>
    <s v="Yes"/>
    <n v="1"/>
    <x v="1"/>
    <n v="1"/>
  </r>
  <r>
    <s v="T005905"/>
    <x v="5674"/>
    <d v="2026-09-27T05:28:00"/>
    <x v="6"/>
    <s v="Phone"/>
    <x v="2"/>
    <s v="A033"/>
    <x v="2"/>
    <n v="4"/>
    <n v="16.2"/>
    <x v="0"/>
    <s v="Yes"/>
    <s v="No"/>
    <m/>
    <s v="Closed"/>
    <s v="September"/>
    <x v="8"/>
    <n v="2026"/>
    <s v="No"/>
    <n v="0"/>
    <x v="4"/>
    <n v="0"/>
  </r>
  <r>
    <s v="T005906"/>
    <x v="5675"/>
    <d v="2026-09-26T22:49:00"/>
    <x v="6"/>
    <s v="Phone"/>
    <x v="1"/>
    <s v="A001"/>
    <x v="0"/>
    <n v="24"/>
    <n v="9.5"/>
    <x v="1"/>
    <s v="No"/>
    <s v="No"/>
    <m/>
    <s v="Closed"/>
    <s v="September"/>
    <x v="8"/>
    <n v="2026"/>
    <s v="Yes"/>
    <n v="1"/>
    <x v="0"/>
    <n v="1"/>
  </r>
  <r>
    <s v="T005907"/>
    <x v="5676"/>
    <d v="2026-09-27T23:18:00"/>
    <x v="1"/>
    <s v="Email"/>
    <x v="0"/>
    <s v="A037"/>
    <x v="1"/>
    <n v="72"/>
    <n v="33.299999999999997"/>
    <x v="1"/>
    <s v="No"/>
    <s v="No"/>
    <m/>
    <s v="Closed"/>
    <s v="September"/>
    <x v="8"/>
    <n v="2026"/>
    <s v="Yes"/>
    <n v="1"/>
    <x v="4"/>
    <n v="1"/>
  </r>
  <r>
    <s v="T005908"/>
    <x v="5677"/>
    <d v="2026-09-29T01:51:00"/>
    <x v="4"/>
    <s v="Chat"/>
    <x v="0"/>
    <s v="A051"/>
    <x v="1"/>
    <n v="72"/>
    <n v="58"/>
    <x v="1"/>
    <s v="No"/>
    <s v="No"/>
    <m/>
    <s v="Closed"/>
    <s v="September"/>
    <x v="8"/>
    <n v="2026"/>
    <s v="Yes"/>
    <n v="1"/>
    <x v="1"/>
    <n v="1"/>
  </r>
  <r>
    <s v="T005909"/>
    <x v="5678"/>
    <d v="2026-09-25T22:11:00"/>
    <x v="5"/>
    <s v="Phone"/>
    <x v="2"/>
    <s v="A037"/>
    <x v="1"/>
    <n v="4"/>
    <n v="5.8"/>
    <x v="0"/>
    <s v="Yes"/>
    <s v="No"/>
    <n v="4"/>
    <s v="Closed"/>
    <s v="September"/>
    <x v="8"/>
    <n v="2026"/>
    <s v="No"/>
    <n v="0"/>
    <x v="3"/>
    <n v="0"/>
  </r>
  <r>
    <s v="T005910"/>
    <x v="5679"/>
    <d v="2026-09-27T16:23:00"/>
    <x v="2"/>
    <s v="Field Visit"/>
    <x v="1"/>
    <s v="A022"/>
    <x v="2"/>
    <n v="24"/>
    <n v="23.8"/>
    <x v="1"/>
    <s v="No"/>
    <s v="No"/>
    <m/>
    <s v="Closed"/>
    <s v="September"/>
    <x v="8"/>
    <n v="2026"/>
    <s v="Yes"/>
    <n v="1"/>
    <x v="2"/>
    <n v="1"/>
  </r>
  <r>
    <s v="T005911"/>
    <x v="5680"/>
    <m/>
    <x v="0"/>
    <s v="Email"/>
    <x v="0"/>
    <s v="A006"/>
    <x v="0"/>
    <n v="72"/>
    <m/>
    <x v="1"/>
    <s v="No"/>
    <s v="No"/>
    <m/>
    <s v="Open"/>
    <s v="September"/>
    <x v="8"/>
    <n v="2026"/>
    <m/>
    <m/>
    <x v="0"/>
    <n v="1"/>
  </r>
  <r>
    <s v="T005912"/>
    <x v="5681"/>
    <d v="2026-09-27T16:09:00"/>
    <x v="6"/>
    <s v="Phone"/>
    <x v="1"/>
    <s v="A005"/>
    <x v="0"/>
    <n v="24"/>
    <n v="21.4"/>
    <x v="0"/>
    <s v="Yes"/>
    <s v="No"/>
    <m/>
    <s v="Closed"/>
    <s v="September"/>
    <x v="8"/>
    <n v="2026"/>
    <s v="Yes"/>
    <n v="1"/>
    <x v="3"/>
    <n v="0"/>
  </r>
  <r>
    <s v="T005913"/>
    <x v="5682"/>
    <m/>
    <x v="4"/>
    <s v="Email"/>
    <x v="2"/>
    <s v="A002"/>
    <x v="0"/>
    <n v="4"/>
    <m/>
    <x v="1"/>
    <s v="No"/>
    <s v="Yes"/>
    <n v="3"/>
    <s v="Open"/>
    <s v="September"/>
    <x v="8"/>
    <n v="2026"/>
    <m/>
    <m/>
    <x v="2"/>
    <n v="1"/>
  </r>
  <r>
    <s v="T005914"/>
    <x v="5683"/>
    <d v="2026-09-27T13:19:00"/>
    <x v="6"/>
    <s v="Chat"/>
    <x v="2"/>
    <s v="A003"/>
    <x v="0"/>
    <n v="4"/>
    <n v="4.3"/>
    <x v="0"/>
    <s v="No"/>
    <s v="Yes"/>
    <n v="4"/>
    <s v="Closed"/>
    <s v="September"/>
    <x v="8"/>
    <n v="2026"/>
    <s v="No"/>
    <n v="0"/>
    <x v="2"/>
    <n v="0"/>
  </r>
  <r>
    <s v="T005915"/>
    <x v="5684"/>
    <d v="2026-09-29T07:27:00"/>
    <x v="0"/>
    <s v="Email"/>
    <x v="2"/>
    <s v="A047"/>
    <x v="1"/>
    <n v="4"/>
    <n v="46.2"/>
    <x v="0"/>
    <s v="No"/>
    <s v="No"/>
    <n v="4"/>
    <s v="Closed"/>
    <s v="September"/>
    <x v="8"/>
    <n v="2026"/>
    <s v="No"/>
    <n v="0"/>
    <x v="2"/>
    <n v="0"/>
  </r>
  <r>
    <s v="T005916"/>
    <x v="5685"/>
    <d v="2026-09-29T14:16:00"/>
    <x v="4"/>
    <s v="Field Visit"/>
    <x v="1"/>
    <s v="A035"/>
    <x v="2"/>
    <n v="24"/>
    <n v="51.9"/>
    <x v="1"/>
    <s v="No"/>
    <s v="No"/>
    <n v="3"/>
    <s v="Closed"/>
    <s v="September"/>
    <x v="8"/>
    <n v="2026"/>
    <s v="No"/>
    <n v="0"/>
    <x v="2"/>
    <n v="1"/>
  </r>
  <r>
    <s v="T005917"/>
    <x v="5686"/>
    <d v="2026-09-27T16:22:00"/>
    <x v="5"/>
    <s v="Phone"/>
    <x v="0"/>
    <s v="A034"/>
    <x v="2"/>
    <n v="72"/>
    <n v="5.3"/>
    <x v="1"/>
    <s v="No"/>
    <s v="No"/>
    <m/>
    <s v="Closed"/>
    <s v="September"/>
    <x v="8"/>
    <n v="2026"/>
    <s v="Yes"/>
    <n v="1"/>
    <x v="0"/>
    <n v="1"/>
  </r>
  <r>
    <s v="T005918"/>
    <x v="5687"/>
    <d v="2026-09-28T01:57:00"/>
    <x v="5"/>
    <s v="Email"/>
    <x v="1"/>
    <s v="A058"/>
    <x v="1"/>
    <n v="24"/>
    <n v="13.2"/>
    <x v="1"/>
    <s v="No"/>
    <s v="No"/>
    <n v="4"/>
    <s v="Closed"/>
    <s v="September"/>
    <x v="8"/>
    <n v="2026"/>
    <s v="Yes"/>
    <n v="1"/>
    <x v="4"/>
    <n v="1"/>
  </r>
  <r>
    <s v="T005919"/>
    <x v="5688"/>
    <d v="2026-09-28T10:24:00"/>
    <x v="0"/>
    <s v="Email"/>
    <x v="1"/>
    <s v="A039"/>
    <x v="1"/>
    <n v="24"/>
    <n v="21.4"/>
    <x v="1"/>
    <s v="No"/>
    <s v="No"/>
    <m/>
    <s v="Closed"/>
    <s v="September"/>
    <x v="8"/>
    <n v="2026"/>
    <s v="Yes"/>
    <n v="1"/>
    <x v="4"/>
    <n v="1"/>
  </r>
  <r>
    <s v="T005920"/>
    <x v="5689"/>
    <d v="2026-09-27T21:53:00"/>
    <x v="0"/>
    <s v="Chat"/>
    <x v="1"/>
    <s v="A022"/>
    <x v="2"/>
    <n v="24"/>
    <n v="8.1"/>
    <x v="1"/>
    <s v="No"/>
    <s v="No"/>
    <n v="5"/>
    <s v="Closed"/>
    <s v="September"/>
    <x v="8"/>
    <n v="2026"/>
    <s v="Yes"/>
    <n v="1"/>
    <x v="1"/>
    <n v="1"/>
  </r>
  <r>
    <s v="T005921"/>
    <x v="5690"/>
    <d v="2026-09-28T20:59:00"/>
    <x v="1"/>
    <s v="Email"/>
    <x v="1"/>
    <s v="A009"/>
    <x v="0"/>
    <n v="24"/>
    <n v="31"/>
    <x v="0"/>
    <s v="No"/>
    <s v="No"/>
    <m/>
    <s v="Closed"/>
    <s v="September"/>
    <x v="8"/>
    <n v="2026"/>
    <s v="No"/>
    <n v="0"/>
    <x v="1"/>
    <n v="0"/>
  </r>
  <r>
    <s v="T005922"/>
    <x v="5691"/>
    <d v="2026-09-28T07:08:00"/>
    <x v="1"/>
    <s v="Phone"/>
    <x v="1"/>
    <s v="A045"/>
    <x v="1"/>
    <n v="24"/>
    <n v="16.7"/>
    <x v="1"/>
    <s v="No"/>
    <s v="No"/>
    <m/>
    <s v="Closed"/>
    <s v="September"/>
    <x v="8"/>
    <n v="2026"/>
    <s v="Yes"/>
    <n v="1"/>
    <x v="1"/>
    <n v="1"/>
  </r>
  <r>
    <s v="T005923"/>
    <x v="5692"/>
    <d v="2026-09-29T00:03:00"/>
    <x v="4"/>
    <s v="Phone"/>
    <x v="1"/>
    <s v="A033"/>
    <x v="2"/>
    <n v="24"/>
    <n v="33.4"/>
    <x v="1"/>
    <s v="No"/>
    <s v="No"/>
    <n v="3"/>
    <s v="Closed"/>
    <s v="September"/>
    <x v="8"/>
    <n v="2026"/>
    <s v="No"/>
    <n v="0"/>
    <x v="1"/>
    <n v="1"/>
  </r>
  <r>
    <s v="T005924"/>
    <x v="5693"/>
    <d v="2026-09-27T19:30:00"/>
    <x v="1"/>
    <s v="Chat"/>
    <x v="0"/>
    <s v="A026"/>
    <x v="2"/>
    <n v="72"/>
    <n v="4.5999999999999996"/>
    <x v="1"/>
    <s v="No"/>
    <s v="No"/>
    <m/>
    <s v="Closed"/>
    <s v="September"/>
    <x v="8"/>
    <n v="2026"/>
    <s v="Yes"/>
    <n v="1"/>
    <x v="1"/>
    <n v="1"/>
  </r>
  <r>
    <s v="T005925"/>
    <x v="5694"/>
    <d v="2026-09-27T19:50:00"/>
    <x v="1"/>
    <s v="Chat"/>
    <x v="1"/>
    <s v="A038"/>
    <x v="1"/>
    <n v="24"/>
    <n v="4.5"/>
    <x v="1"/>
    <s v="No"/>
    <s v="No"/>
    <n v="5"/>
    <s v="Closed"/>
    <s v="September"/>
    <x v="8"/>
    <n v="2026"/>
    <s v="Yes"/>
    <n v="1"/>
    <x v="2"/>
    <n v="1"/>
  </r>
  <r>
    <s v="T005926"/>
    <x v="5695"/>
    <d v="2026-09-27T22:29:00"/>
    <x v="0"/>
    <s v="Phone"/>
    <x v="1"/>
    <s v="A031"/>
    <x v="2"/>
    <n v="24"/>
    <n v="5.9"/>
    <x v="0"/>
    <s v="Yes"/>
    <s v="No"/>
    <n v="5"/>
    <s v="Closed"/>
    <s v="September"/>
    <x v="8"/>
    <n v="2026"/>
    <s v="Yes"/>
    <n v="1"/>
    <x v="1"/>
    <n v="0"/>
  </r>
  <r>
    <s v="T005927"/>
    <x v="5696"/>
    <d v="2026-09-30T00:11:00"/>
    <x v="2"/>
    <s v="Field Visit"/>
    <x v="2"/>
    <s v="A010"/>
    <x v="0"/>
    <n v="4"/>
    <n v="53.5"/>
    <x v="0"/>
    <s v="No"/>
    <s v="No"/>
    <n v="3"/>
    <s v="Closed"/>
    <s v="September"/>
    <x v="8"/>
    <n v="2026"/>
    <s v="No"/>
    <n v="0"/>
    <x v="3"/>
    <n v="0"/>
  </r>
  <r>
    <s v="T005928"/>
    <x v="5697"/>
    <d v="2026-09-28T12:27:00"/>
    <x v="6"/>
    <s v="Field Visit"/>
    <x v="2"/>
    <s v="A005"/>
    <x v="0"/>
    <n v="4"/>
    <n v="14.6"/>
    <x v="1"/>
    <s v="No"/>
    <s v="Yes"/>
    <n v="4"/>
    <s v="Closed"/>
    <s v="September"/>
    <x v="8"/>
    <n v="2026"/>
    <s v="No"/>
    <n v="0"/>
    <x v="1"/>
    <n v="1"/>
  </r>
  <r>
    <s v="T005929"/>
    <x v="5698"/>
    <d v="2026-09-28T16:51:00"/>
    <x v="0"/>
    <s v="Chat"/>
    <x v="1"/>
    <s v="A039"/>
    <x v="1"/>
    <n v="24"/>
    <n v="18.100000000000001"/>
    <x v="0"/>
    <s v="Yes"/>
    <s v="No"/>
    <n v="3"/>
    <s v="Closed"/>
    <s v="September"/>
    <x v="8"/>
    <n v="2026"/>
    <s v="Yes"/>
    <n v="1"/>
    <x v="2"/>
    <n v="0"/>
  </r>
  <r>
    <s v="T005930"/>
    <x v="5699"/>
    <d v="2026-09-28T06:57:00"/>
    <x v="0"/>
    <s v="Phone"/>
    <x v="1"/>
    <s v="A047"/>
    <x v="1"/>
    <n v="24"/>
    <n v="7.6"/>
    <x v="1"/>
    <s v="No"/>
    <s v="No"/>
    <n v="4"/>
    <s v="Closed"/>
    <s v="September"/>
    <x v="8"/>
    <n v="2026"/>
    <s v="Yes"/>
    <n v="1"/>
    <x v="0"/>
    <n v="1"/>
  </r>
  <r>
    <s v="T005931"/>
    <x v="5700"/>
    <d v="2026-09-30T11:00:00"/>
    <x v="4"/>
    <s v="Field Visit"/>
    <x v="0"/>
    <s v="A056"/>
    <x v="1"/>
    <n v="72"/>
    <n v="57.7"/>
    <x v="1"/>
    <s v="No"/>
    <s v="No"/>
    <m/>
    <s v="Closed"/>
    <s v="September"/>
    <x v="8"/>
    <n v="2026"/>
    <s v="Yes"/>
    <n v="1"/>
    <x v="1"/>
    <n v="1"/>
  </r>
  <r>
    <s v="T005932"/>
    <x v="5701"/>
    <d v="2026-09-28T11:08:00"/>
    <x v="3"/>
    <s v="Phone"/>
    <x v="1"/>
    <s v="A050"/>
    <x v="1"/>
    <n v="24"/>
    <n v="6.5"/>
    <x v="1"/>
    <s v="No"/>
    <s v="No"/>
    <n v="4"/>
    <s v="Closed"/>
    <s v="September"/>
    <x v="8"/>
    <n v="2026"/>
    <s v="Yes"/>
    <n v="1"/>
    <x v="2"/>
    <n v="1"/>
  </r>
  <r>
    <s v="T005933"/>
    <x v="5702"/>
    <d v="2026-09-28T10:26:00"/>
    <x v="5"/>
    <s v="Phone"/>
    <x v="1"/>
    <s v="A039"/>
    <x v="1"/>
    <n v="24"/>
    <n v="4.4000000000000004"/>
    <x v="1"/>
    <s v="No"/>
    <s v="No"/>
    <m/>
    <s v="Closed"/>
    <s v="September"/>
    <x v="8"/>
    <n v="2026"/>
    <s v="Yes"/>
    <n v="1"/>
    <x v="1"/>
    <n v="1"/>
  </r>
  <r>
    <s v="T005934"/>
    <x v="5703"/>
    <d v="2026-09-28T13:53:00"/>
    <x v="6"/>
    <s v="Chat"/>
    <x v="2"/>
    <s v="A001"/>
    <x v="0"/>
    <n v="4"/>
    <n v="6.6"/>
    <x v="1"/>
    <s v="No"/>
    <s v="Yes"/>
    <n v="3"/>
    <s v="Closed"/>
    <s v="September"/>
    <x v="8"/>
    <n v="2026"/>
    <s v="No"/>
    <n v="0"/>
    <x v="3"/>
    <n v="1"/>
  </r>
  <r>
    <s v="T005935"/>
    <x v="5704"/>
    <d v="2026-09-28T23:36:00"/>
    <x v="2"/>
    <s v="Email"/>
    <x v="1"/>
    <s v="A003"/>
    <x v="0"/>
    <n v="24"/>
    <n v="16.3"/>
    <x v="0"/>
    <s v="No"/>
    <s v="No"/>
    <m/>
    <s v="Closed"/>
    <s v="September"/>
    <x v="8"/>
    <n v="2026"/>
    <s v="Yes"/>
    <n v="1"/>
    <x v="4"/>
    <n v="0"/>
  </r>
  <r>
    <s v="T005936"/>
    <x v="5705"/>
    <d v="2026-09-28T17:27:00"/>
    <x v="4"/>
    <s v="Chat"/>
    <x v="2"/>
    <s v="A059"/>
    <x v="1"/>
    <n v="4"/>
    <n v="10"/>
    <x v="1"/>
    <s v="No"/>
    <s v="Yes"/>
    <n v="5"/>
    <s v="Closed"/>
    <s v="September"/>
    <x v="8"/>
    <n v="2026"/>
    <s v="No"/>
    <n v="0"/>
    <x v="1"/>
    <n v="1"/>
  </r>
  <r>
    <s v="T005937"/>
    <x v="5706"/>
    <d v="2026-09-28T14:52:00"/>
    <x v="1"/>
    <s v="Chat"/>
    <x v="0"/>
    <s v="A053"/>
    <x v="1"/>
    <n v="72"/>
    <n v="7.2"/>
    <x v="1"/>
    <s v="No"/>
    <s v="No"/>
    <n v="5"/>
    <s v="Closed"/>
    <s v="September"/>
    <x v="8"/>
    <n v="2026"/>
    <s v="Yes"/>
    <n v="1"/>
    <x v="2"/>
    <n v="1"/>
  </r>
  <r>
    <s v="T005938"/>
    <x v="5707"/>
    <d v="2026-09-29T12:01:00"/>
    <x v="0"/>
    <s v="Chat"/>
    <x v="2"/>
    <s v="A037"/>
    <x v="1"/>
    <n v="4"/>
    <n v="28.3"/>
    <x v="1"/>
    <s v="No"/>
    <s v="No"/>
    <n v="4"/>
    <s v="Closed"/>
    <s v="September"/>
    <x v="8"/>
    <n v="2026"/>
    <s v="No"/>
    <n v="0"/>
    <x v="4"/>
    <n v="1"/>
  </r>
  <r>
    <s v="T005939"/>
    <x v="5708"/>
    <d v="2026-09-28T10:00:00"/>
    <x v="1"/>
    <s v="Chat"/>
    <x v="1"/>
    <s v="A035"/>
    <x v="2"/>
    <n v="24"/>
    <n v="1.4"/>
    <x v="1"/>
    <s v="No"/>
    <s v="No"/>
    <n v="5"/>
    <s v="Closed"/>
    <s v="September"/>
    <x v="8"/>
    <n v="2026"/>
    <s v="Yes"/>
    <n v="1"/>
    <x v="3"/>
    <n v="1"/>
  </r>
  <r>
    <s v="T005940"/>
    <x v="5709"/>
    <d v="2026-09-28T18:12:00"/>
    <x v="1"/>
    <s v="Phone"/>
    <x v="0"/>
    <s v="A007"/>
    <x v="0"/>
    <n v="72"/>
    <n v="9"/>
    <x v="0"/>
    <s v="Yes"/>
    <s v="No"/>
    <n v="4"/>
    <s v="Closed"/>
    <s v="September"/>
    <x v="8"/>
    <n v="2026"/>
    <s v="Yes"/>
    <n v="1"/>
    <x v="2"/>
    <n v="0"/>
  </r>
  <r>
    <s v="T005941"/>
    <x v="5710"/>
    <m/>
    <x v="3"/>
    <s v="Field Visit"/>
    <x v="1"/>
    <s v="A056"/>
    <x v="1"/>
    <n v="24"/>
    <m/>
    <x v="0"/>
    <s v="No"/>
    <s v="No"/>
    <n v="4"/>
    <s v="Open"/>
    <s v="September"/>
    <x v="8"/>
    <n v="2026"/>
    <m/>
    <m/>
    <x v="3"/>
    <n v="0"/>
  </r>
  <r>
    <s v="T005942"/>
    <x v="5711"/>
    <m/>
    <x v="3"/>
    <s v="Field Visit"/>
    <x v="2"/>
    <s v="A010"/>
    <x v="0"/>
    <n v="4"/>
    <m/>
    <x v="1"/>
    <s v="No"/>
    <s v="No"/>
    <m/>
    <s v="Open"/>
    <s v="September"/>
    <x v="8"/>
    <n v="2026"/>
    <m/>
    <m/>
    <x v="1"/>
    <n v="1"/>
  </r>
  <r>
    <s v="T005943"/>
    <x v="5712"/>
    <m/>
    <x v="3"/>
    <s v="Field Visit"/>
    <x v="2"/>
    <s v="A003"/>
    <x v="0"/>
    <n v="4"/>
    <m/>
    <x v="1"/>
    <s v="No"/>
    <s v="No"/>
    <n v="5"/>
    <s v="Open"/>
    <s v="September"/>
    <x v="8"/>
    <n v="2026"/>
    <m/>
    <m/>
    <x v="3"/>
    <n v="1"/>
  </r>
  <r>
    <s v="T005944"/>
    <x v="5713"/>
    <d v="2026-09-28T17:10:00"/>
    <x v="2"/>
    <s v="Phone"/>
    <x v="1"/>
    <s v="A014"/>
    <x v="0"/>
    <n v="24"/>
    <n v="6.2"/>
    <x v="0"/>
    <s v="No"/>
    <s v="No"/>
    <n v="4"/>
    <s v="Closed"/>
    <s v="September"/>
    <x v="8"/>
    <n v="2026"/>
    <s v="Yes"/>
    <n v="1"/>
    <x v="1"/>
    <n v="0"/>
  </r>
  <r>
    <s v="T005945"/>
    <x v="5714"/>
    <d v="2026-09-29T00:40:00"/>
    <x v="3"/>
    <s v="Phone"/>
    <x v="0"/>
    <s v="A059"/>
    <x v="1"/>
    <n v="72"/>
    <n v="13.6"/>
    <x v="1"/>
    <s v="No"/>
    <s v="No"/>
    <m/>
    <s v="Closed"/>
    <s v="September"/>
    <x v="8"/>
    <n v="2026"/>
    <s v="Yes"/>
    <n v="1"/>
    <x v="4"/>
    <n v="1"/>
  </r>
  <r>
    <s v="T005946"/>
    <x v="5715"/>
    <d v="2026-09-30T08:58:00"/>
    <x v="3"/>
    <s v="Email"/>
    <x v="1"/>
    <s v="A001"/>
    <x v="0"/>
    <n v="24"/>
    <n v="45.6"/>
    <x v="1"/>
    <s v="No"/>
    <s v="No"/>
    <n v="5"/>
    <s v="Closed"/>
    <s v="September"/>
    <x v="8"/>
    <n v="2026"/>
    <s v="No"/>
    <n v="0"/>
    <x v="4"/>
    <n v="1"/>
  </r>
  <r>
    <s v="T005947"/>
    <x v="5716"/>
    <d v="2026-09-28T13:20:00"/>
    <x v="1"/>
    <s v="Chat"/>
    <x v="1"/>
    <s v="A022"/>
    <x v="2"/>
    <n v="24"/>
    <n v="1.5"/>
    <x v="1"/>
    <s v="No"/>
    <s v="No"/>
    <m/>
    <s v="Closed"/>
    <s v="September"/>
    <x v="8"/>
    <n v="2026"/>
    <s v="Yes"/>
    <n v="1"/>
    <x v="0"/>
    <n v="1"/>
  </r>
  <r>
    <s v="T005948"/>
    <x v="5717"/>
    <d v="2026-09-28T19:43:00"/>
    <x v="1"/>
    <s v="Email"/>
    <x v="1"/>
    <s v="A004"/>
    <x v="0"/>
    <n v="24"/>
    <n v="7.5"/>
    <x v="0"/>
    <s v="Yes"/>
    <s v="No"/>
    <m/>
    <s v="Closed"/>
    <s v="September"/>
    <x v="8"/>
    <n v="2026"/>
    <s v="Yes"/>
    <n v="1"/>
    <x v="0"/>
    <n v="0"/>
  </r>
  <r>
    <s v="T005949"/>
    <x v="5718"/>
    <d v="2026-09-29T00:32:00"/>
    <x v="6"/>
    <s v="Field Visit"/>
    <x v="2"/>
    <s v="A060"/>
    <x v="1"/>
    <n v="4"/>
    <n v="11.5"/>
    <x v="0"/>
    <s v="Yes"/>
    <s v="Yes"/>
    <n v="2"/>
    <s v="Closed"/>
    <s v="September"/>
    <x v="8"/>
    <n v="2026"/>
    <s v="No"/>
    <n v="0"/>
    <x v="3"/>
    <n v="0"/>
  </r>
  <r>
    <s v="T005950"/>
    <x v="5719"/>
    <d v="2026-09-29T12:04:00"/>
    <x v="1"/>
    <s v="Email"/>
    <x v="1"/>
    <s v="A051"/>
    <x v="1"/>
    <n v="24"/>
    <n v="22.7"/>
    <x v="1"/>
    <s v="No"/>
    <s v="No"/>
    <m/>
    <s v="Closed"/>
    <s v="September"/>
    <x v="8"/>
    <n v="2026"/>
    <s v="Yes"/>
    <n v="1"/>
    <x v="0"/>
    <n v="1"/>
  </r>
  <r>
    <s v="T005951"/>
    <x v="5720"/>
    <d v="2026-09-29T01:36:00"/>
    <x v="2"/>
    <s v="Phone"/>
    <x v="0"/>
    <s v="A052"/>
    <x v="1"/>
    <n v="72"/>
    <n v="12.2"/>
    <x v="1"/>
    <s v="No"/>
    <s v="No"/>
    <n v="4"/>
    <s v="Closed"/>
    <s v="September"/>
    <x v="8"/>
    <n v="2026"/>
    <s v="Yes"/>
    <n v="1"/>
    <x v="1"/>
    <n v="1"/>
  </r>
  <r>
    <s v="T005952"/>
    <x v="5721"/>
    <d v="2026-09-28T20:06:00"/>
    <x v="2"/>
    <s v="Phone"/>
    <x v="1"/>
    <s v="A011"/>
    <x v="0"/>
    <n v="24"/>
    <n v="5.8"/>
    <x v="1"/>
    <s v="No"/>
    <s v="No"/>
    <m/>
    <s v="Closed"/>
    <s v="September"/>
    <x v="8"/>
    <n v="2026"/>
    <s v="Yes"/>
    <n v="1"/>
    <x v="0"/>
    <n v="1"/>
  </r>
  <r>
    <s v="T005953"/>
    <x v="5722"/>
    <d v="2026-09-28T18:09:00"/>
    <x v="1"/>
    <s v="Chat"/>
    <x v="2"/>
    <s v="A032"/>
    <x v="2"/>
    <n v="4"/>
    <n v="3.6"/>
    <x v="1"/>
    <s v="No"/>
    <s v="No"/>
    <n v="5"/>
    <s v="Closed"/>
    <s v="September"/>
    <x v="8"/>
    <n v="2026"/>
    <s v="Yes"/>
    <n v="1"/>
    <x v="3"/>
    <n v="1"/>
  </r>
  <r>
    <s v="T005954"/>
    <x v="5723"/>
    <d v="2026-09-29T10:34:00"/>
    <x v="1"/>
    <s v="Email"/>
    <x v="0"/>
    <s v="A015"/>
    <x v="0"/>
    <n v="72"/>
    <n v="19.899999999999999"/>
    <x v="0"/>
    <s v="No"/>
    <s v="No"/>
    <m/>
    <s v="Closed"/>
    <s v="September"/>
    <x v="8"/>
    <n v="2026"/>
    <s v="Yes"/>
    <n v="1"/>
    <x v="2"/>
    <n v="0"/>
  </r>
  <r>
    <s v="T005955"/>
    <x v="5724"/>
    <d v="2026-09-28T23:31:00"/>
    <x v="5"/>
    <s v="Chat"/>
    <x v="0"/>
    <s v="A053"/>
    <x v="1"/>
    <n v="72"/>
    <n v="7.3"/>
    <x v="1"/>
    <s v="No"/>
    <s v="No"/>
    <m/>
    <s v="Closed"/>
    <s v="September"/>
    <x v="8"/>
    <n v="2026"/>
    <s v="Yes"/>
    <n v="1"/>
    <x v="4"/>
    <n v="1"/>
  </r>
  <r>
    <s v="T005956"/>
    <x v="5725"/>
    <d v="2026-09-29T13:49:00"/>
    <x v="0"/>
    <s v="Phone"/>
    <x v="1"/>
    <s v="A018"/>
    <x v="2"/>
    <n v="24"/>
    <n v="20.2"/>
    <x v="1"/>
    <s v="No"/>
    <s v="Yes"/>
    <n v="5"/>
    <s v="Closed"/>
    <s v="September"/>
    <x v="8"/>
    <n v="2026"/>
    <s v="Yes"/>
    <n v="1"/>
    <x v="2"/>
    <n v="1"/>
  </r>
  <r>
    <s v="T005957"/>
    <x v="5726"/>
    <d v="2026-09-28T22:39:00"/>
    <x v="1"/>
    <s v="Email"/>
    <x v="0"/>
    <s v="A038"/>
    <x v="1"/>
    <n v="72"/>
    <n v="4.5999999999999996"/>
    <x v="1"/>
    <s v="No"/>
    <s v="Yes"/>
    <n v="4"/>
    <s v="Closed"/>
    <s v="September"/>
    <x v="8"/>
    <n v="2026"/>
    <s v="Yes"/>
    <n v="1"/>
    <x v="2"/>
    <n v="1"/>
  </r>
  <r>
    <s v="T005958"/>
    <x v="5727"/>
    <d v="2026-09-29T07:48:00"/>
    <x v="0"/>
    <s v="Chat"/>
    <x v="0"/>
    <s v="A033"/>
    <x v="2"/>
    <n v="72"/>
    <n v="13.2"/>
    <x v="1"/>
    <s v="No"/>
    <s v="No"/>
    <m/>
    <s v="Closed"/>
    <s v="September"/>
    <x v="8"/>
    <n v="2026"/>
    <s v="Yes"/>
    <n v="1"/>
    <x v="3"/>
    <n v="1"/>
  </r>
  <r>
    <s v="T005959"/>
    <x v="5728"/>
    <m/>
    <x v="4"/>
    <s v="Field Visit"/>
    <x v="0"/>
    <s v="A016"/>
    <x v="2"/>
    <n v="72"/>
    <m/>
    <x v="1"/>
    <s v="No"/>
    <s v="No"/>
    <n v="3"/>
    <s v="Open"/>
    <s v="September"/>
    <x v="8"/>
    <n v="2026"/>
    <m/>
    <m/>
    <x v="1"/>
    <n v="1"/>
  </r>
  <r>
    <s v="T005960"/>
    <x v="5729"/>
    <d v="2026-09-28T23:55:00"/>
    <x v="6"/>
    <s v="Phone"/>
    <x v="1"/>
    <s v="A030"/>
    <x v="2"/>
    <n v="24"/>
    <n v="4.4000000000000004"/>
    <x v="0"/>
    <s v="No"/>
    <s v="No"/>
    <m/>
    <s v="Closed"/>
    <s v="September"/>
    <x v="8"/>
    <n v="2026"/>
    <s v="Yes"/>
    <n v="1"/>
    <x v="2"/>
    <n v="0"/>
  </r>
  <r>
    <s v="T005961"/>
    <x v="5730"/>
    <d v="2026-09-29T17:41:00"/>
    <x v="0"/>
    <s v="Email"/>
    <x v="0"/>
    <s v="A052"/>
    <x v="1"/>
    <n v="72"/>
    <n v="21.6"/>
    <x v="1"/>
    <s v="No"/>
    <s v="No"/>
    <n v="5"/>
    <s v="Closed"/>
    <s v="September"/>
    <x v="8"/>
    <n v="2026"/>
    <s v="Yes"/>
    <n v="1"/>
    <x v="0"/>
    <n v="1"/>
  </r>
  <r>
    <s v="T005962"/>
    <x v="5731"/>
    <d v="2026-09-29T16:12:00"/>
    <x v="1"/>
    <s v="Email"/>
    <x v="0"/>
    <s v="A043"/>
    <x v="1"/>
    <n v="72"/>
    <n v="14.5"/>
    <x v="0"/>
    <s v="Yes"/>
    <s v="No"/>
    <n v="4"/>
    <s v="Closed"/>
    <s v="September"/>
    <x v="8"/>
    <n v="2026"/>
    <s v="Yes"/>
    <n v="1"/>
    <x v="1"/>
    <n v="0"/>
  </r>
  <r>
    <s v="T005963"/>
    <x v="5732"/>
    <d v="2026-09-29T20:26:00"/>
    <x v="1"/>
    <s v="Chat"/>
    <x v="2"/>
    <s v="A009"/>
    <x v="0"/>
    <n v="4"/>
    <n v="11.5"/>
    <x v="0"/>
    <s v="No"/>
    <s v="Yes"/>
    <n v="3"/>
    <s v="Closed"/>
    <s v="September"/>
    <x v="8"/>
    <n v="2026"/>
    <s v="No"/>
    <n v="0"/>
    <x v="1"/>
    <n v="0"/>
  </r>
  <r>
    <s v="T005964"/>
    <x v="5733"/>
    <d v="2026-09-29T21:02:00"/>
    <x v="5"/>
    <s v="Phone"/>
    <x v="0"/>
    <s v="A057"/>
    <x v="1"/>
    <n v="72"/>
    <n v="10"/>
    <x v="1"/>
    <s v="No"/>
    <s v="No"/>
    <m/>
    <s v="Closed"/>
    <s v="September"/>
    <x v="8"/>
    <n v="2026"/>
    <s v="Yes"/>
    <n v="1"/>
    <x v="4"/>
    <n v="1"/>
  </r>
  <r>
    <s v="T005965"/>
    <x v="5734"/>
    <d v="2026-09-29T14:40:00"/>
    <x v="0"/>
    <s v="Chat"/>
    <x v="1"/>
    <s v="A028"/>
    <x v="2"/>
    <n v="24"/>
    <n v="3.5"/>
    <x v="0"/>
    <s v="Yes"/>
    <s v="No"/>
    <n v="5"/>
    <s v="Closed"/>
    <s v="September"/>
    <x v="8"/>
    <n v="2026"/>
    <s v="Yes"/>
    <n v="1"/>
    <x v="3"/>
    <n v="0"/>
  </r>
  <r>
    <s v="T005966"/>
    <x v="5735"/>
    <d v="2026-09-29T12:45:00"/>
    <x v="6"/>
    <s v="Chat"/>
    <x v="2"/>
    <s v="A023"/>
    <x v="2"/>
    <n v="4"/>
    <n v="1.2"/>
    <x v="1"/>
    <s v="No"/>
    <s v="Yes"/>
    <n v="5"/>
    <s v="Closed"/>
    <s v="September"/>
    <x v="8"/>
    <n v="2026"/>
    <s v="Yes"/>
    <n v="1"/>
    <x v="4"/>
    <n v="1"/>
  </r>
  <r>
    <s v="T005967"/>
    <x v="5736"/>
    <d v="2026-09-29T23:46:00"/>
    <x v="3"/>
    <s v="Phone"/>
    <x v="1"/>
    <s v="A003"/>
    <x v="0"/>
    <n v="24"/>
    <n v="11.8"/>
    <x v="1"/>
    <s v="No"/>
    <s v="No"/>
    <n v="3"/>
    <s v="Closed"/>
    <s v="September"/>
    <x v="8"/>
    <n v="2026"/>
    <s v="Yes"/>
    <n v="1"/>
    <x v="2"/>
    <n v="1"/>
  </r>
  <r>
    <s v="T005968"/>
    <x v="5737"/>
    <m/>
    <x v="3"/>
    <s v="Field Visit"/>
    <x v="1"/>
    <s v="A010"/>
    <x v="0"/>
    <n v="24"/>
    <m/>
    <x v="0"/>
    <s v="Yes"/>
    <s v="No"/>
    <n v="3"/>
    <s v="Open"/>
    <s v="September"/>
    <x v="8"/>
    <n v="2026"/>
    <m/>
    <m/>
    <x v="3"/>
    <n v="0"/>
  </r>
  <r>
    <s v="T005969"/>
    <x v="5738"/>
    <d v="2026-09-30T11:23:00"/>
    <x v="1"/>
    <s v="Email"/>
    <x v="1"/>
    <s v="A003"/>
    <x v="0"/>
    <n v="24"/>
    <n v="22.6"/>
    <x v="0"/>
    <s v="No"/>
    <s v="No"/>
    <m/>
    <s v="Closed"/>
    <s v="September"/>
    <x v="8"/>
    <n v="2026"/>
    <s v="Yes"/>
    <n v="1"/>
    <x v="1"/>
    <n v="0"/>
  </r>
  <r>
    <s v="T005970"/>
    <x v="5739"/>
    <m/>
    <x v="0"/>
    <s v="Field Visit"/>
    <x v="0"/>
    <s v="A058"/>
    <x v="1"/>
    <n v="72"/>
    <m/>
    <x v="1"/>
    <s v="No"/>
    <s v="No"/>
    <n v="4"/>
    <s v="Open"/>
    <s v="September"/>
    <x v="8"/>
    <n v="2026"/>
    <m/>
    <m/>
    <x v="4"/>
    <n v="1"/>
  </r>
  <r>
    <s v="T005971"/>
    <x v="5740"/>
    <d v="2026-09-29T20:57:00"/>
    <x v="0"/>
    <s v="Chat"/>
    <x v="0"/>
    <s v="A004"/>
    <x v="0"/>
    <n v="72"/>
    <n v="7.2"/>
    <x v="0"/>
    <s v="No"/>
    <s v="No"/>
    <n v="4"/>
    <s v="Closed"/>
    <s v="September"/>
    <x v="8"/>
    <n v="2026"/>
    <s v="Yes"/>
    <n v="1"/>
    <x v="0"/>
    <n v="0"/>
  </r>
  <r>
    <s v="T005972"/>
    <x v="5741"/>
    <d v="2026-09-29T23:24:00"/>
    <x v="1"/>
    <s v="Chat"/>
    <x v="1"/>
    <s v="A012"/>
    <x v="0"/>
    <n v="24"/>
    <n v="8.6"/>
    <x v="0"/>
    <s v="Yes"/>
    <s v="No"/>
    <m/>
    <s v="Closed"/>
    <s v="September"/>
    <x v="8"/>
    <n v="2026"/>
    <s v="Yes"/>
    <n v="1"/>
    <x v="2"/>
    <n v="0"/>
  </r>
  <r>
    <s v="T005973"/>
    <x v="5742"/>
    <d v="2026-09-29T20:14:00"/>
    <x v="6"/>
    <s v="Chat"/>
    <x v="2"/>
    <s v="A020"/>
    <x v="2"/>
    <n v="4"/>
    <n v="5.3"/>
    <x v="1"/>
    <s v="No"/>
    <s v="No"/>
    <n v="5"/>
    <s v="Closed"/>
    <s v="September"/>
    <x v="8"/>
    <n v="2026"/>
    <s v="No"/>
    <n v="0"/>
    <x v="1"/>
    <n v="1"/>
  </r>
  <r>
    <s v="T005974"/>
    <x v="5743"/>
    <d v="2026-09-29T17:56:00"/>
    <x v="6"/>
    <s v="Phone"/>
    <x v="1"/>
    <s v="A044"/>
    <x v="1"/>
    <n v="24"/>
    <n v="2.8"/>
    <x v="1"/>
    <s v="No"/>
    <s v="No"/>
    <m/>
    <s v="Closed"/>
    <s v="September"/>
    <x v="8"/>
    <n v="2026"/>
    <s v="Yes"/>
    <n v="1"/>
    <x v="4"/>
    <n v="1"/>
  </r>
  <r>
    <s v="T005975"/>
    <x v="5744"/>
    <d v="2026-09-30T06:19:00"/>
    <x v="3"/>
    <s v="Phone"/>
    <x v="0"/>
    <s v="A006"/>
    <x v="0"/>
    <n v="72"/>
    <n v="14.8"/>
    <x v="0"/>
    <s v="Yes"/>
    <s v="No"/>
    <n v="4"/>
    <s v="Closed"/>
    <s v="September"/>
    <x v="8"/>
    <n v="2026"/>
    <s v="Yes"/>
    <n v="1"/>
    <x v="0"/>
    <n v="0"/>
  </r>
  <r>
    <s v="T005976"/>
    <x v="5745"/>
    <d v="2026-09-29T19:51:00"/>
    <x v="1"/>
    <s v="Chat"/>
    <x v="0"/>
    <s v="A024"/>
    <x v="2"/>
    <n v="72"/>
    <n v="4.3"/>
    <x v="1"/>
    <s v="No"/>
    <s v="No"/>
    <n v="5"/>
    <s v="Closed"/>
    <s v="September"/>
    <x v="8"/>
    <n v="2026"/>
    <s v="Yes"/>
    <n v="1"/>
    <x v="4"/>
    <n v="1"/>
  </r>
  <r>
    <s v="T005977"/>
    <x v="5746"/>
    <d v="2026-09-30T22:53:00"/>
    <x v="4"/>
    <s v="Field Visit"/>
    <x v="1"/>
    <s v="A035"/>
    <x v="2"/>
    <n v="24"/>
    <n v="29.8"/>
    <x v="1"/>
    <s v="No"/>
    <s v="No"/>
    <m/>
    <s v="Closed"/>
    <s v="September"/>
    <x v="8"/>
    <n v="2026"/>
    <s v="No"/>
    <n v="0"/>
    <x v="4"/>
    <n v="1"/>
  </r>
  <r>
    <s v="T005978"/>
    <x v="5747"/>
    <d v="2026-09-29T20:30:00"/>
    <x v="1"/>
    <s v="Phone"/>
    <x v="1"/>
    <s v="A002"/>
    <x v="0"/>
    <n v="24"/>
    <n v="3.3"/>
    <x v="1"/>
    <s v="No"/>
    <s v="No"/>
    <m/>
    <s v="Closed"/>
    <s v="September"/>
    <x v="8"/>
    <n v="2026"/>
    <s v="Yes"/>
    <n v="1"/>
    <x v="2"/>
    <n v="1"/>
  </r>
  <r>
    <s v="T005979"/>
    <x v="5748"/>
    <d v="2026-09-30T01:35:00"/>
    <x v="6"/>
    <s v="Phone"/>
    <x v="1"/>
    <s v="A027"/>
    <x v="2"/>
    <n v="24"/>
    <n v="8"/>
    <x v="0"/>
    <s v="No"/>
    <s v="No"/>
    <n v="4"/>
    <s v="Closed"/>
    <s v="September"/>
    <x v="8"/>
    <n v="2026"/>
    <s v="Yes"/>
    <n v="1"/>
    <x v="4"/>
    <n v="0"/>
  </r>
  <r>
    <s v="T005980"/>
    <x v="5749"/>
    <d v="2026-09-29T21:58:00"/>
    <x v="6"/>
    <s v="Phone"/>
    <x v="2"/>
    <s v="A022"/>
    <x v="2"/>
    <n v="4"/>
    <n v="4.0999999999999996"/>
    <x v="1"/>
    <s v="No"/>
    <s v="No"/>
    <n v="4"/>
    <s v="Closed"/>
    <s v="September"/>
    <x v="8"/>
    <n v="2026"/>
    <s v="No"/>
    <n v="0"/>
    <x v="0"/>
    <n v="1"/>
  </r>
  <r>
    <s v="T005981"/>
    <x v="5750"/>
    <d v="2026-09-30T00:41:00"/>
    <x v="1"/>
    <s v="Chat"/>
    <x v="1"/>
    <s v="A031"/>
    <x v="2"/>
    <n v="24"/>
    <n v="3.5"/>
    <x v="1"/>
    <s v="No"/>
    <s v="No"/>
    <m/>
    <s v="Closed"/>
    <s v="September"/>
    <x v="8"/>
    <n v="2026"/>
    <s v="Yes"/>
    <n v="1"/>
    <x v="0"/>
    <n v="1"/>
  </r>
  <r>
    <s v="T005982"/>
    <x v="5751"/>
    <m/>
    <x v="4"/>
    <s v="Field Visit"/>
    <x v="0"/>
    <s v="A001"/>
    <x v="0"/>
    <n v="72"/>
    <m/>
    <x v="1"/>
    <s v="No"/>
    <s v="No"/>
    <m/>
    <s v="Open"/>
    <s v="September"/>
    <x v="8"/>
    <n v="2026"/>
    <m/>
    <m/>
    <x v="3"/>
    <n v="1"/>
  </r>
  <r>
    <s v="T005983"/>
    <x v="5752"/>
    <d v="2026-09-30T21:02:00"/>
    <x v="1"/>
    <s v="Email"/>
    <x v="0"/>
    <s v="A049"/>
    <x v="1"/>
    <n v="72"/>
    <n v="12.3"/>
    <x v="1"/>
    <s v="No"/>
    <s v="No"/>
    <n v="5"/>
    <s v="Closed"/>
    <s v="September"/>
    <x v="8"/>
    <n v="2026"/>
    <s v="Yes"/>
    <n v="1"/>
    <x v="3"/>
    <n v="1"/>
  </r>
  <r>
    <s v="T005984"/>
    <x v="5753"/>
    <m/>
    <x v="3"/>
    <s v="Field Visit"/>
    <x v="0"/>
    <s v="A034"/>
    <x v="2"/>
    <n v="72"/>
    <m/>
    <x v="0"/>
    <s v="No"/>
    <s v="No"/>
    <n v="4"/>
    <s v="Open"/>
    <s v="September"/>
    <x v="8"/>
    <n v="2026"/>
    <m/>
    <m/>
    <x v="1"/>
    <n v="0"/>
  </r>
  <r>
    <s v="T005985"/>
    <x v="5754"/>
    <d v="2026-09-30T14:58:00"/>
    <x v="1"/>
    <s v="Chat"/>
    <x v="0"/>
    <s v="A034"/>
    <x v="2"/>
    <n v="72"/>
    <n v="5.2"/>
    <x v="1"/>
    <s v="No"/>
    <s v="No"/>
    <m/>
    <s v="Closed"/>
    <s v="September"/>
    <x v="8"/>
    <n v="2026"/>
    <s v="Yes"/>
    <n v="1"/>
    <x v="3"/>
    <n v="1"/>
  </r>
  <r>
    <s v="T005986"/>
    <x v="5755"/>
    <d v="2026-09-30T22:46:00"/>
    <x v="1"/>
    <s v="Email"/>
    <x v="1"/>
    <s v="A042"/>
    <x v="1"/>
    <n v="24"/>
    <n v="12.6"/>
    <x v="1"/>
    <s v="No"/>
    <s v="No"/>
    <m/>
    <s v="Closed"/>
    <s v="September"/>
    <x v="8"/>
    <n v="2026"/>
    <s v="Yes"/>
    <n v="1"/>
    <x v="1"/>
    <n v="1"/>
  </r>
  <r>
    <s v="T005987"/>
    <x v="5756"/>
    <d v="2026-09-30T22:35:00"/>
    <x v="5"/>
    <s v="Field Visit"/>
    <x v="0"/>
    <s v="A019"/>
    <x v="2"/>
    <n v="72"/>
    <n v="12.2"/>
    <x v="1"/>
    <s v="No"/>
    <s v="No"/>
    <n v="5"/>
    <s v="Closed"/>
    <s v="September"/>
    <x v="8"/>
    <n v="2026"/>
    <s v="Yes"/>
    <n v="1"/>
    <x v="1"/>
    <n v="1"/>
  </r>
  <r>
    <s v="T005988"/>
    <x v="5757"/>
    <m/>
    <x v="0"/>
    <s v="Phone"/>
    <x v="1"/>
    <s v="A058"/>
    <x v="1"/>
    <n v="24"/>
    <m/>
    <x v="1"/>
    <s v="No"/>
    <s v="No"/>
    <n v="4"/>
    <s v="Open"/>
    <s v="September"/>
    <x v="8"/>
    <n v="2026"/>
    <m/>
    <m/>
    <x v="4"/>
    <n v="1"/>
  </r>
  <r>
    <s v="T005989"/>
    <x v="5758"/>
    <d v="2026-09-30T20:25:00"/>
    <x v="6"/>
    <s v="Phone"/>
    <x v="2"/>
    <s v="A039"/>
    <x v="1"/>
    <n v="4"/>
    <n v="9.6"/>
    <x v="1"/>
    <s v="No"/>
    <s v="Yes"/>
    <n v="3"/>
    <s v="Closed"/>
    <s v="September"/>
    <x v="8"/>
    <n v="2026"/>
    <s v="No"/>
    <n v="0"/>
    <x v="1"/>
    <n v="1"/>
  </r>
  <r>
    <s v="T005990"/>
    <x v="5759"/>
    <m/>
    <x v="0"/>
    <s v="Field Visit"/>
    <x v="1"/>
    <s v="A023"/>
    <x v="2"/>
    <n v="24"/>
    <m/>
    <x v="1"/>
    <s v="No"/>
    <s v="No"/>
    <n v="4"/>
    <s v="Open"/>
    <s v="September"/>
    <x v="8"/>
    <n v="2026"/>
    <m/>
    <m/>
    <x v="1"/>
    <n v="1"/>
  </r>
  <r>
    <s v="T005991"/>
    <x v="5760"/>
    <d v="2026-09-30T20:24:00"/>
    <x v="5"/>
    <s v="Phone"/>
    <x v="1"/>
    <s v="A029"/>
    <x v="2"/>
    <n v="24"/>
    <n v="9.1"/>
    <x v="1"/>
    <s v="No"/>
    <s v="No"/>
    <n v="5"/>
    <s v="Closed"/>
    <s v="September"/>
    <x v="8"/>
    <n v="2026"/>
    <s v="Yes"/>
    <n v="1"/>
    <x v="1"/>
    <n v="1"/>
  </r>
  <r>
    <s v="T005992"/>
    <x v="5761"/>
    <d v="2026-09-30T17:31:00"/>
    <x v="6"/>
    <s v="Chat"/>
    <x v="2"/>
    <s v="A012"/>
    <x v="0"/>
    <n v="4"/>
    <n v="4.2"/>
    <x v="0"/>
    <s v="No"/>
    <s v="No"/>
    <m/>
    <s v="Closed"/>
    <s v="September"/>
    <x v="8"/>
    <n v="2026"/>
    <s v="No"/>
    <n v="0"/>
    <x v="3"/>
    <n v="0"/>
  </r>
  <r>
    <s v="T005993"/>
    <x v="5762"/>
    <m/>
    <x v="3"/>
    <s v="Chat"/>
    <x v="1"/>
    <s v="A058"/>
    <x v="1"/>
    <n v="24"/>
    <m/>
    <x v="1"/>
    <s v="No"/>
    <s v="No"/>
    <m/>
    <s v="Open"/>
    <s v="September"/>
    <x v="8"/>
    <n v="2026"/>
    <m/>
    <m/>
    <x v="4"/>
    <n v="1"/>
  </r>
  <r>
    <s v="T005994"/>
    <x v="5763"/>
    <m/>
    <x v="4"/>
    <s v="Field Visit"/>
    <x v="1"/>
    <s v="A042"/>
    <x v="1"/>
    <n v="24"/>
    <m/>
    <x v="1"/>
    <s v="No"/>
    <s v="No"/>
    <n v="4"/>
    <s v="Open"/>
    <s v="September"/>
    <x v="8"/>
    <n v="2026"/>
    <m/>
    <m/>
    <x v="0"/>
    <n v="1"/>
  </r>
  <r>
    <s v="T005995"/>
    <x v="5764"/>
    <m/>
    <x v="0"/>
    <s v="Phone"/>
    <x v="2"/>
    <s v="A026"/>
    <x v="2"/>
    <n v="4"/>
    <m/>
    <x v="1"/>
    <s v="No"/>
    <s v="No"/>
    <n v="4"/>
    <s v="Open"/>
    <s v="September"/>
    <x v="8"/>
    <n v="2026"/>
    <m/>
    <m/>
    <x v="1"/>
    <n v="1"/>
  </r>
  <r>
    <s v="T005996"/>
    <x v="5765"/>
    <m/>
    <x v="4"/>
    <s v="Field Visit"/>
    <x v="0"/>
    <s v="A038"/>
    <x v="1"/>
    <n v="72"/>
    <m/>
    <x v="0"/>
    <s v="Yes"/>
    <s v="No"/>
    <n v="2"/>
    <s v="Open"/>
    <s v="September"/>
    <x v="8"/>
    <n v="2026"/>
    <m/>
    <m/>
    <x v="2"/>
    <n v="0"/>
  </r>
  <r>
    <s v="T005997"/>
    <x v="5766"/>
    <m/>
    <x v="3"/>
    <s v="Field Visit"/>
    <x v="1"/>
    <s v="A029"/>
    <x v="2"/>
    <n v="24"/>
    <m/>
    <x v="1"/>
    <s v="No"/>
    <s v="No"/>
    <n v="5"/>
    <s v="Open"/>
    <s v="September"/>
    <x v="8"/>
    <n v="2026"/>
    <m/>
    <m/>
    <x v="3"/>
    <n v="1"/>
  </r>
  <r>
    <s v="T005998"/>
    <x v="5767"/>
    <d v="2026-09-30T23:11:00"/>
    <x v="1"/>
    <s v="Phone"/>
    <x v="1"/>
    <s v="A015"/>
    <x v="0"/>
    <n v="24"/>
    <n v="5.6"/>
    <x v="1"/>
    <s v="No"/>
    <s v="No"/>
    <n v="5"/>
    <s v="Closed"/>
    <s v="September"/>
    <x v="8"/>
    <n v="2026"/>
    <s v="Yes"/>
    <n v="1"/>
    <x v="3"/>
    <n v="1"/>
  </r>
  <r>
    <s v="T005999"/>
    <x v="5768"/>
    <m/>
    <x v="1"/>
    <s v="Chat"/>
    <x v="0"/>
    <s v="A034"/>
    <x v="2"/>
    <n v="72"/>
    <m/>
    <x v="1"/>
    <s v="No"/>
    <s v="No"/>
    <n v="5"/>
    <s v="Open"/>
    <s v="September"/>
    <x v="8"/>
    <n v="2026"/>
    <m/>
    <m/>
    <x v="3"/>
    <n v="1"/>
  </r>
  <r>
    <s v="T006000"/>
    <x v="5769"/>
    <d v="2026-09-30T23:45:00"/>
    <x v="6"/>
    <s v="Chat"/>
    <x v="1"/>
    <s v="A023"/>
    <x v="2"/>
    <n v="24"/>
    <n v="3.7"/>
    <x v="0"/>
    <s v="No"/>
    <s v="No"/>
    <m/>
    <s v="Closed"/>
    <s v="September"/>
    <x v="8"/>
    <n v="2026"/>
    <s v="Yes"/>
    <n v="1"/>
    <x v="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80D59-1484-48AE-A1FA-D527B443FC35}" name="PivotTable6" cacheId="1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6">
  <location ref="A3:B9" firstHeaderRow="1" firstDataRow="1" firstDataCol="1"/>
  <pivotFields count="23">
    <pivotField showAll="0"/>
    <pivotField numFmtId="22" showAll="0">
      <items count="57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6">
        <item x="2"/>
        <item x="4"/>
        <item x="1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20"/>
  </rowFields>
  <rowItems count="6">
    <i>
      <x v="2"/>
    </i>
    <i>
      <x/>
    </i>
    <i>
      <x v="4"/>
    </i>
    <i>
      <x v="1"/>
    </i>
    <i>
      <x v="3"/>
    </i>
    <i t="grand">
      <x/>
    </i>
  </rowItems>
  <colItems count="1">
    <i/>
  </colItems>
  <dataFields count="1">
    <dataField name="Average of SlA Flag" fld="19" subtotal="average" baseField="0" baseItem="0" numFmtId="2"/>
  </dataFields>
  <formats count="1">
    <format dxfId="0">
      <pivotArea outline="0" collapsedLevelsAreSubtotals="1" fieldPosition="0"/>
    </format>
  </formats>
  <chartFormats count="2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0197C-3835-41A0-84F3-35C514C5848B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23">
    <pivotField showAll="0"/>
    <pivotField numFmtId="22" showAll="0">
      <items count="57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t="default"/>
      </items>
    </pivotField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SlA Flag" fld="19" subtotal="average" baseField="0" baseItem="0" numFmtId="10"/>
  </dataFields>
  <chartFormats count="5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6FA4DC-449D-43C1-BAFC-1C3C6001CF1C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8" firstHeaderRow="1" firstDataRow="2" firstDataCol="1"/>
  <pivotFields count="23">
    <pivotField dataField="1" showAll="0"/>
    <pivotField numFmtId="22" showAll="0">
      <items count="57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Count of Ticket ID" fld="0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DED9D1-1E74-410D-B5E5-BD5E3455291C}" name="PivotTable7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5:B70" firstHeaderRow="1" firstDataRow="1" firstDataCol="1" rowPageCount="3" colPageCount="1"/>
  <pivotFields count="23">
    <pivotField dataField="1" showAll="0"/>
    <pivotField numFmtId="22" multipleItemSelectionAllowed="1" showAll="0">
      <items count="57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h="1" x="368"/>
        <item h="1" x="369"/>
        <item h="1" x="370"/>
        <item h="1" x="371"/>
        <item h="1" x="372"/>
        <item h="1" x="373"/>
        <item h="1" x="374"/>
        <item h="1" x="375"/>
        <item h="1" x="376"/>
        <item h="1" x="377"/>
        <item h="1" x="378"/>
        <item h="1" x="379"/>
        <item h="1" x="380"/>
        <item h="1" x="381"/>
        <item h="1" x="382"/>
        <item h="1" x="383"/>
        <item h="1" x="384"/>
        <item h="1" x="385"/>
        <item h="1" x="386"/>
        <item h="1" x="387"/>
        <item h="1" x="388"/>
        <item h="1" x="389"/>
        <item h="1" x="390"/>
        <item h="1" x="391"/>
        <item h="1" x="392"/>
        <item h="1" x="393"/>
        <item h="1" x="394"/>
        <item h="1" x="395"/>
        <item h="1" x="396"/>
        <item h="1" x="397"/>
        <item h="1" x="398"/>
        <item h="1" x="399"/>
        <item h="1" x="400"/>
        <item h="1" x="401"/>
        <item h="1" x="402"/>
        <item h="1" x="403"/>
        <item h="1" x="404"/>
        <item h="1" x="405"/>
        <item h="1" x="406"/>
        <item h="1" x="407"/>
        <item h="1" x="408"/>
        <item h="1" x="409"/>
        <item h="1" x="410"/>
        <item h="1" x="411"/>
        <item h="1" x="412"/>
        <item h="1" x="413"/>
        <item h="1" x="414"/>
        <item h="1" x="415"/>
        <item h="1" x="416"/>
        <item h="1" x="417"/>
        <item h="1" x="418"/>
        <item h="1" x="419"/>
        <item h="1" x="420"/>
        <item h="1" x="421"/>
        <item h="1" x="422"/>
        <item h="1" x="423"/>
        <item h="1" x="424"/>
        <item h="1" x="425"/>
        <item h="1" x="426"/>
        <item h="1" x="427"/>
        <item h="1" x="428"/>
        <item h="1" x="429"/>
        <item h="1" x="430"/>
        <item h="1" x="431"/>
        <item h="1" x="432"/>
        <item h="1" x="433"/>
        <item h="1" x="434"/>
        <item h="1" x="435"/>
        <item h="1" x="436"/>
        <item h="1" x="437"/>
        <item h="1" x="438"/>
        <item h="1" x="439"/>
        <item h="1" x="440"/>
        <item h="1" x="441"/>
        <item h="1" x="442"/>
        <item h="1" x="443"/>
        <item h="1" x="444"/>
        <item h="1" x="445"/>
        <item h="1" x="446"/>
        <item h="1" x="447"/>
        <item h="1" x="448"/>
        <item h="1" x="449"/>
        <item h="1" x="450"/>
        <item h="1" x="451"/>
        <item h="1" x="452"/>
        <item h="1" x="453"/>
        <item h="1" x="454"/>
        <item h="1" x="455"/>
        <item h="1" x="456"/>
        <item h="1" x="457"/>
        <item h="1" x="458"/>
        <item h="1" x="459"/>
        <item h="1" x="460"/>
        <item h="1" x="461"/>
        <item h="1" x="462"/>
        <item h="1" x="463"/>
        <item h="1" x="464"/>
        <item h="1" x="465"/>
        <item h="1" x="466"/>
        <item h="1" x="467"/>
        <item h="1" x="468"/>
        <item h="1" x="469"/>
        <item h="1" x="470"/>
        <item h="1" x="471"/>
        <item h="1" x="472"/>
        <item h="1" x="473"/>
        <item h="1" x="474"/>
        <item h="1" x="475"/>
        <item h="1" x="476"/>
        <item h="1" x="477"/>
        <item h="1" x="478"/>
        <item h="1" x="479"/>
        <item h="1" x="480"/>
        <item h="1" x="481"/>
        <item h="1" x="482"/>
        <item h="1" x="483"/>
        <item h="1" x="484"/>
        <item h="1" x="485"/>
        <item h="1" x="486"/>
        <item h="1" x="487"/>
        <item h="1" x="488"/>
        <item h="1" x="489"/>
        <item h="1" x="490"/>
        <item h="1" x="491"/>
        <item h="1" x="492"/>
        <item h="1" x="493"/>
        <item h="1" x="494"/>
        <item h="1" x="495"/>
        <item h="1" x="496"/>
        <item h="1" x="497"/>
        <item h="1" x="498"/>
        <item h="1" x="499"/>
        <item h="1" x="500"/>
        <item h="1" x="501"/>
        <item h="1" x="502"/>
        <item h="1" x="503"/>
        <item h="1" x="504"/>
        <item h="1" x="505"/>
        <item h="1" x="506"/>
        <item h="1" x="507"/>
        <item h="1" x="508"/>
        <item h="1" x="509"/>
        <item h="1" x="510"/>
        <item h="1" x="511"/>
        <item h="1" x="512"/>
        <item h="1" x="513"/>
        <item h="1" x="514"/>
        <item h="1" x="515"/>
        <item h="1" x="516"/>
        <item h="1" x="517"/>
        <item h="1" x="518"/>
        <item h="1" x="519"/>
        <item h="1" x="520"/>
        <item h="1" x="521"/>
        <item h="1" x="522"/>
        <item h="1" x="523"/>
        <item h="1" x="524"/>
        <item h="1" x="525"/>
        <item h="1" x="526"/>
        <item h="1" x="527"/>
        <item h="1" x="528"/>
        <item h="1" x="529"/>
        <item h="1" x="530"/>
        <item h="1" x="531"/>
        <item h="1" x="532"/>
        <item h="1" x="533"/>
        <item h="1" x="534"/>
        <item h="1" x="535"/>
        <item h="1" x="536"/>
        <item h="1" x="537"/>
        <item h="1" x="538"/>
        <item h="1" x="539"/>
        <item h="1" x="540"/>
        <item h="1" x="541"/>
        <item h="1" x="542"/>
        <item h="1" x="543"/>
        <item h="1" x="544"/>
        <item h="1" x="545"/>
        <item h="1" x="546"/>
        <item h="1" x="547"/>
        <item h="1" x="548"/>
        <item h="1" x="549"/>
        <item h="1" x="550"/>
        <item h="1" x="551"/>
        <item h="1" x="552"/>
        <item h="1" x="553"/>
        <item h="1" x="554"/>
        <item h="1" x="555"/>
        <item h="1" x="556"/>
        <item h="1" x="557"/>
        <item h="1" x="558"/>
        <item h="1" x="559"/>
        <item h="1" x="560"/>
        <item h="1" x="561"/>
        <item h="1" x="562"/>
        <item h="1" x="563"/>
        <item h="1" x="564"/>
        <item h="1" x="565"/>
        <item h="1" x="566"/>
        <item h="1" x="567"/>
        <item h="1" x="568"/>
        <item h="1" x="569"/>
        <item h="1" x="570"/>
        <item h="1" x="571"/>
        <item h="1" x="572"/>
        <item h="1" x="573"/>
        <item h="1" x="574"/>
        <item h="1" x="575"/>
        <item h="1" x="576"/>
        <item h="1" x="577"/>
        <item h="1" x="578"/>
        <item h="1" x="579"/>
        <item h="1" x="580"/>
        <item h="1" x="581"/>
        <item h="1" x="582"/>
        <item h="1" x="583"/>
        <item h="1" x="584"/>
        <item h="1" x="585"/>
        <item h="1" x="586"/>
        <item h="1" x="587"/>
        <item h="1" x="588"/>
        <item h="1" x="589"/>
        <item h="1" x="590"/>
        <item h="1" x="591"/>
        <item h="1" x="592"/>
        <item h="1" x="593"/>
        <item h="1" x="594"/>
        <item h="1" x="595"/>
        <item h="1" x="596"/>
        <item h="1" x="597"/>
        <item h="1" x="598"/>
        <item h="1" x="599"/>
        <item h="1" x="600"/>
        <item h="1" x="601"/>
        <item h="1" x="602"/>
        <item h="1" x="603"/>
        <item h="1" x="604"/>
        <item h="1" x="605"/>
        <item h="1" x="606"/>
        <item h="1" x="607"/>
        <item h="1" x="608"/>
        <item h="1" x="609"/>
        <item h="1" x="610"/>
        <item h="1" x="611"/>
        <item h="1" x="612"/>
        <item h="1" x="613"/>
        <item h="1" x="614"/>
        <item h="1" x="615"/>
        <item h="1" x="616"/>
        <item h="1" x="617"/>
        <item h="1" x="618"/>
        <item h="1" x="619"/>
        <item h="1" x="620"/>
        <item h="1" x="621"/>
        <item h="1" x="622"/>
        <item h="1" x="623"/>
        <item h="1" x="624"/>
        <item h="1" x="625"/>
        <item h="1" x="626"/>
        <item h="1" x="627"/>
        <item h="1" x="628"/>
        <item h="1" x="629"/>
        <item h="1" x="630"/>
        <item h="1" x="631"/>
        <item h="1" x="632"/>
        <item h="1" x="633"/>
        <item h="1" x="634"/>
        <item h="1" x="635"/>
        <item h="1" x="636"/>
        <item h="1" x="637"/>
        <item h="1" x="638"/>
        <item h="1" x="639"/>
        <item h="1" x="640"/>
        <item h="1" x="641"/>
        <item h="1" x="642"/>
        <item h="1" x="643"/>
        <item h="1" x="644"/>
        <item h="1" x="645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58"/>
        <item h="1" x="659"/>
        <item h="1" x="660"/>
        <item h="1" x="661"/>
        <item h="1" x="662"/>
        <item h="1" x="663"/>
        <item h="1" x="664"/>
        <item h="1" x="665"/>
        <item h="1" x="666"/>
        <item h="1" x="667"/>
        <item h="1" x="668"/>
        <item h="1" x="669"/>
        <item h="1" x="670"/>
        <item h="1" x="671"/>
        <item h="1" x="672"/>
        <item h="1" x="673"/>
        <item h="1" x="674"/>
        <item h="1" x="675"/>
        <item h="1" x="676"/>
        <item h="1" x="677"/>
        <item h="1" x="678"/>
        <item h="1" x="679"/>
        <item h="1" x="680"/>
        <item h="1" x="681"/>
        <item h="1" x="682"/>
        <item h="1" x="683"/>
        <item h="1" x="684"/>
        <item h="1" x="685"/>
        <item h="1" x="686"/>
        <item h="1" x="687"/>
        <item h="1" x="688"/>
        <item h="1" x="689"/>
        <item h="1" x="690"/>
        <item h="1" x="691"/>
        <item h="1" x="692"/>
        <item h="1" x="693"/>
        <item h="1" x="694"/>
        <item h="1" x="695"/>
        <item h="1" x="696"/>
        <item h="1" x="697"/>
        <item h="1" x="698"/>
        <item h="1" x="699"/>
        <item h="1" x="700"/>
        <item h="1" x="701"/>
        <item h="1" x="702"/>
        <item h="1" x="703"/>
        <item h="1" x="704"/>
        <item h="1" x="705"/>
        <item h="1" x="706"/>
        <item h="1" x="707"/>
        <item h="1" x="708"/>
        <item h="1" x="709"/>
        <item h="1" x="710"/>
        <item h="1" x="711"/>
        <item h="1" x="712"/>
        <item h="1" x="713"/>
        <item h="1" x="714"/>
        <item h="1" x="715"/>
        <item h="1" x="716"/>
        <item h="1" x="717"/>
        <item h="1" x="718"/>
        <item h="1" x="719"/>
        <item h="1" x="720"/>
        <item h="1" x="721"/>
        <item h="1" x="722"/>
        <item h="1" x="723"/>
        <item h="1" x="724"/>
        <item h="1" x="725"/>
        <item h="1" x="726"/>
        <item h="1" x="727"/>
        <item h="1" x="728"/>
        <item h="1" x="729"/>
        <item h="1" x="730"/>
        <item h="1" x="731"/>
        <item h="1" x="732"/>
        <item h="1" x="733"/>
        <item h="1" x="734"/>
        <item h="1" x="735"/>
        <item h="1" x="736"/>
        <item h="1" x="737"/>
        <item h="1" x="738"/>
        <item h="1" x="739"/>
        <item h="1" x="740"/>
        <item h="1" x="741"/>
        <item h="1" x="742"/>
        <item h="1" x="743"/>
        <item h="1" x="744"/>
        <item h="1" x="745"/>
        <item h="1" x="746"/>
        <item h="1" x="747"/>
        <item h="1" x="748"/>
        <item h="1" x="749"/>
        <item h="1" x="750"/>
        <item h="1" x="751"/>
        <item h="1" x="752"/>
        <item h="1" x="753"/>
        <item h="1" x="754"/>
        <item h="1" x="755"/>
        <item h="1" x="756"/>
        <item h="1" x="757"/>
        <item h="1" x="758"/>
        <item h="1" x="759"/>
        <item h="1" x="760"/>
        <item h="1" x="761"/>
        <item h="1" x="762"/>
        <item h="1" x="763"/>
        <item h="1" x="764"/>
        <item h="1" x="765"/>
        <item h="1" x="766"/>
        <item h="1" x="767"/>
        <item h="1" x="768"/>
        <item h="1" x="769"/>
        <item h="1" x="770"/>
        <item h="1" x="771"/>
        <item h="1" x="772"/>
        <item h="1" x="773"/>
        <item h="1" x="774"/>
        <item h="1" x="775"/>
        <item h="1" x="776"/>
        <item h="1" x="777"/>
        <item h="1" x="778"/>
        <item h="1" x="779"/>
        <item h="1" x="780"/>
        <item h="1" x="781"/>
        <item h="1" x="782"/>
        <item h="1" x="783"/>
        <item h="1" x="784"/>
        <item h="1" x="785"/>
        <item h="1" x="786"/>
        <item h="1" x="787"/>
        <item h="1" x="788"/>
        <item h="1" x="789"/>
        <item h="1" x="790"/>
        <item h="1" x="791"/>
        <item h="1" x="792"/>
        <item h="1" x="793"/>
        <item h="1" x="794"/>
        <item h="1" x="795"/>
        <item h="1" x="796"/>
        <item h="1" x="797"/>
        <item h="1" x="798"/>
        <item h="1" x="799"/>
        <item h="1" x="800"/>
        <item h="1" x="801"/>
        <item h="1" x="802"/>
        <item h="1" x="803"/>
        <item h="1" x="804"/>
        <item h="1" x="805"/>
        <item h="1" x="806"/>
        <item h="1" x="807"/>
        <item h="1" x="808"/>
        <item h="1" x="809"/>
        <item h="1" x="810"/>
        <item h="1" x="811"/>
        <item h="1" x="812"/>
        <item h="1" x="813"/>
        <item h="1" x="814"/>
        <item h="1" x="815"/>
        <item h="1" x="816"/>
        <item h="1" x="817"/>
        <item h="1" x="818"/>
        <item h="1" x="819"/>
        <item h="1" x="820"/>
        <item h="1" x="821"/>
        <item h="1" x="822"/>
        <item h="1" x="823"/>
        <item h="1" x="824"/>
        <item h="1" x="825"/>
        <item h="1" x="826"/>
        <item h="1" x="827"/>
        <item h="1" x="828"/>
        <item h="1" x="829"/>
        <item h="1" x="830"/>
        <item h="1" x="831"/>
        <item h="1" x="832"/>
        <item h="1" x="833"/>
        <item h="1" x="834"/>
        <item h="1" x="835"/>
        <item h="1" x="836"/>
        <item h="1" x="837"/>
        <item h="1" x="838"/>
        <item h="1" x="839"/>
        <item h="1" x="840"/>
        <item h="1" x="841"/>
        <item h="1" x="842"/>
        <item h="1" x="843"/>
        <item h="1" x="844"/>
        <item h="1" x="845"/>
        <item h="1" x="846"/>
        <item h="1" x="847"/>
        <item h="1" x="848"/>
        <item h="1" x="849"/>
        <item h="1" x="850"/>
        <item h="1" x="851"/>
        <item h="1" x="852"/>
        <item h="1" x="853"/>
        <item h="1" x="854"/>
        <item h="1" x="855"/>
        <item h="1" x="856"/>
        <item h="1" x="857"/>
        <item h="1" x="858"/>
        <item h="1" x="859"/>
        <item h="1" x="860"/>
        <item h="1" x="861"/>
        <item h="1" x="862"/>
        <item h="1" x="863"/>
        <item h="1" x="864"/>
        <item h="1" x="865"/>
        <item h="1" x="866"/>
        <item h="1" x="867"/>
        <item h="1" x="868"/>
        <item h="1" x="869"/>
        <item h="1" x="870"/>
        <item h="1" x="871"/>
        <item h="1" x="872"/>
        <item h="1" x="873"/>
        <item h="1" x="874"/>
        <item h="1" x="875"/>
        <item h="1" x="876"/>
        <item h="1" x="877"/>
        <item h="1" x="878"/>
        <item h="1" x="879"/>
        <item h="1" x="880"/>
        <item h="1" x="881"/>
        <item h="1" x="882"/>
        <item h="1" x="883"/>
        <item h="1" x="884"/>
        <item h="1" x="885"/>
        <item h="1" x="886"/>
        <item h="1" x="887"/>
        <item h="1" x="888"/>
        <item h="1" x="889"/>
        <item h="1" x="890"/>
        <item h="1" x="891"/>
        <item h="1" x="892"/>
        <item h="1" x="893"/>
        <item h="1" x="894"/>
        <item h="1" x="895"/>
        <item h="1" x="896"/>
        <item h="1" x="897"/>
        <item h="1" x="898"/>
        <item h="1" x="899"/>
        <item h="1" x="900"/>
        <item h="1" x="901"/>
        <item h="1" x="902"/>
        <item h="1" x="903"/>
        <item h="1" x="904"/>
        <item h="1" x="905"/>
        <item h="1" x="906"/>
        <item h="1" x="907"/>
        <item h="1" x="908"/>
        <item h="1" x="909"/>
        <item h="1" x="910"/>
        <item h="1" x="911"/>
        <item h="1" x="912"/>
        <item h="1" x="913"/>
        <item h="1" x="914"/>
        <item h="1" x="915"/>
        <item h="1" x="916"/>
        <item h="1" x="917"/>
        <item h="1" x="918"/>
        <item h="1" x="919"/>
        <item h="1" x="920"/>
        <item h="1" x="921"/>
        <item h="1" x="922"/>
        <item h="1" x="923"/>
        <item h="1" x="924"/>
        <item h="1" x="925"/>
        <item h="1" x="926"/>
        <item h="1" x="927"/>
        <item h="1" x="928"/>
        <item h="1" x="929"/>
        <item h="1" x="930"/>
        <item h="1" x="931"/>
        <item h="1" x="932"/>
        <item h="1" x="933"/>
        <item h="1" x="934"/>
        <item h="1" x="935"/>
        <item h="1" x="936"/>
        <item h="1" x="937"/>
        <item h="1" x="938"/>
        <item h="1" x="939"/>
        <item h="1" x="940"/>
        <item h="1" x="941"/>
        <item h="1" x="942"/>
        <item h="1" x="943"/>
        <item h="1" x="944"/>
        <item h="1" x="945"/>
        <item h="1" x="946"/>
        <item h="1" x="947"/>
        <item h="1" x="948"/>
        <item h="1" x="949"/>
        <item h="1" x="950"/>
        <item h="1" x="951"/>
        <item h="1" x="952"/>
        <item h="1" x="953"/>
        <item h="1" x="954"/>
        <item h="1" x="955"/>
        <item h="1" x="956"/>
        <item h="1" x="957"/>
        <item h="1" x="958"/>
        <item h="1" x="959"/>
        <item h="1" x="960"/>
        <item h="1" x="961"/>
        <item h="1" x="962"/>
        <item h="1" x="963"/>
        <item h="1" x="964"/>
        <item h="1" x="965"/>
        <item h="1" x="966"/>
        <item h="1" x="967"/>
        <item h="1" x="968"/>
        <item h="1" x="969"/>
        <item h="1" x="970"/>
        <item h="1" x="971"/>
        <item h="1" x="972"/>
        <item h="1" x="973"/>
        <item h="1" x="974"/>
        <item h="1" x="975"/>
        <item h="1" x="976"/>
        <item h="1" x="977"/>
        <item h="1" x="978"/>
        <item h="1" x="979"/>
        <item h="1" x="980"/>
        <item h="1" x="981"/>
        <item h="1" x="982"/>
        <item h="1" x="983"/>
        <item h="1" x="984"/>
        <item h="1" x="985"/>
        <item h="1" x="986"/>
        <item h="1" x="987"/>
        <item h="1" x="988"/>
        <item h="1" x="989"/>
        <item h="1" x="990"/>
        <item h="1" x="991"/>
        <item h="1" x="992"/>
        <item h="1" x="993"/>
        <item h="1" x="994"/>
        <item h="1" x="995"/>
        <item h="1" x="996"/>
        <item h="1" x="997"/>
        <item h="1" x="998"/>
        <item h="1" x="999"/>
        <item h="1" x="1000"/>
        <item h="1" x="1001"/>
        <item h="1" x="1002"/>
        <item h="1" x="1003"/>
        <item h="1" x="1004"/>
        <item h="1" x="1005"/>
        <item h="1" x="1006"/>
        <item h="1" x="1007"/>
        <item h="1" x="1008"/>
        <item h="1" x="1009"/>
        <item h="1" x="1010"/>
        <item h="1" x="1011"/>
        <item h="1" x="1012"/>
        <item h="1" x="1013"/>
        <item h="1" x="1014"/>
        <item h="1" x="1015"/>
        <item h="1" x="1016"/>
        <item h="1" x="1017"/>
        <item h="1" x="1018"/>
        <item h="1" x="1019"/>
        <item h="1" x="1020"/>
        <item h="1" x="1021"/>
        <item h="1" x="1022"/>
        <item h="1" x="1023"/>
        <item h="1" x="1024"/>
        <item h="1" x="1025"/>
        <item h="1" x="1026"/>
        <item h="1" x="1027"/>
        <item h="1" x="1028"/>
        <item h="1" x="1029"/>
        <item h="1" x="1030"/>
        <item h="1" x="1031"/>
        <item h="1" x="1032"/>
        <item h="1" x="1033"/>
        <item h="1" x="1034"/>
        <item h="1" x="1035"/>
        <item h="1" x="1036"/>
        <item h="1" x="1037"/>
        <item h="1" x="1038"/>
        <item h="1" x="1039"/>
        <item h="1" x="1040"/>
        <item h="1" x="1041"/>
        <item h="1" x="1042"/>
        <item h="1" x="1043"/>
        <item h="1" x="1044"/>
        <item h="1" x="1045"/>
        <item h="1" x="1046"/>
        <item h="1" x="1047"/>
        <item h="1" x="1048"/>
        <item h="1" x="1049"/>
        <item h="1" x="1050"/>
        <item h="1" x="1051"/>
        <item h="1" x="1052"/>
        <item h="1" x="1053"/>
        <item h="1" x="1054"/>
        <item h="1" x="1055"/>
        <item h="1" x="1056"/>
        <item h="1" x="1057"/>
        <item h="1" x="1058"/>
        <item h="1" x="1059"/>
        <item h="1" x="1060"/>
        <item h="1" x="1061"/>
        <item h="1" x="1062"/>
        <item h="1" x="1063"/>
        <item h="1" x="1064"/>
        <item h="1" x="1065"/>
        <item h="1" x="1066"/>
        <item h="1" x="1067"/>
        <item h="1" x="1068"/>
        <item h="1" x="1069"/>
        <item h="1" x="1070"/>
        <item h="1" x="1071"/>
        <item h="1" x="1072"/>
        <item h="1" x="1073"/>
        <item h="1" x="1074"/>
        <item h="1" x="1075"/>
        <item h="1" x="1076"/>
        <item h="1" x="1077"/>
        <item h="1" x="1078"/>
        <item h="1" x="1079"/>
        <item h="1" x="1080"/>
        <item h="1" x="1081"/>
        <item h="1" x="1082"/>
        <item h="1" x="1083"/>
        <item h="1" x="1084"/>
        <item h="1" x="1085"/>
        <item h="1" x="1086"/>
        <item h="1" x="1087"/>
        <item h="1" x="1088"/>
        <item h="1" x="1089"/>
        <item h="1" x="1090"/>
        <item h="1" x="1091"/>
        <item h="1" x="1092"/>
        <item h="1" x="1093"/>
        <item h="1" x="1094"/>
        <item h="1" x="1095"/>
        <item h="1" x="1096"/>
        <item h="1" x="1097"/>
        <item h="1" x="1098"/>
        <item h="1" x="1099"/>
        <item h="1" x="1100"/>
        <item h="1" x="1101"/>
        <item h="1" x="1102"/>
        <item h="1" x="1103"/>
        <item h="1" x="1104"/>
        <item h="1" x="1105"/>
        <item h="1" x="1106"/>
        <item h="1" x="1107"/>
        <item h="1" x="1108"/>
        <item h="1" x="1109"/>
        <item h="1" x="1110"/>
        <item h="1" x="1111"/>
        <item h="1" x="1112"/>
        <item h="1" x="1113"/>
        <item h="1" x="1114"/>
        <item h="1" x="1115"/>
        <item h="1" x="1116"/>
        <item h="1" x="1117"/>
        <item h="1" x="1118"/>
        <item h="1" x="1119"/>
        <item h="1" x="1120"/>
        <item h="1" x="1121"/>
        <item h="1" x="1122"/>
        <item h="1" x="1123"/>
        <item h="1" x="1124"/>
        <item h="1" x="1125"/>
        <item h="1" x="1126"/>
        <item h="1" x="1127"/>
        <item h="1" x="1128"/>
        <item h="1" x="1129"/>
        <item h="1" x="1130"/>
        <item h="1" x="1131"/>
        <item h="1" x="1132"/>
        <item h="1" x="1133"/>
        <item h="1" x="1134"/>
        <item h="1" x="1135"/>
        <item h="1" x="1136"/>
        <item h="1" x="1137"/>
        <item h="1" x="1138"/>
        <item h="1" x="1139"/>
        <item h="1" x="1140"/>
        <item h="1" x="1141"/>
        <item h="1" x="1142"/>
        <item h="1" x="1143"/>
        <item h="1" x="1144"/>
        <item h="1" x="1145"/>
        <item h="1" x="1146"/>
        <item h="1" x="1147"/>
        <item h="1" x="1148"/>
        <item h="1" x="1149"/>
        <item h="1" x="1150"/>
        <item h="1" x="1151"/>
        <item h="1" x="1152"/>
        <item h="1" x="1153"/>
        <item h="1" x="1154"/>
        <item h="1" x="1155"/>
        <item h="1" x="1156"/>
        <item h="1" x="1157"/>
        <item h="1" x="1158"/>
        <item h="1" x="1159"/>
        <item h="1" x="1160"/>
        <item h="1" x="1161"/>
        <item h="1" x="1162"/>
        <item h="1" x="1163"/>
        <item h="1" x="1164"/>
        <item h="1" x="1165"/>
        <item h="1" x="1166"/>
        <item h="1" x="1167"/>
        <item h="1" x="1168"/>
        <item h="1" x="1169"/>
        <item h="1" x="1170"/>
        <item h="1" x="1171"/>
        <item h="1" x="1172"/>
        <item h="1" x="1173"/>
        <item h="1" x="1174"/>
        <item h="1" x="1175"/>
        <item h="1" x="1176"/>
        <item h="1" x="1177"/>
        <item h="1" x="1178"/>
        <item h="1" x="1179"/>
        <item h="1" x="1180"/>
        <item h="1" x="1181"/>
        <item h="1" x="1182"/>
        <item h="1" x="1183"/>
        <item h="1" x="1184"/>
        <item h="1" x="1185"/>
        <item h="1" x="1186"/>
        <item h="1" x="1187"/>
        <item h="1" x="1188"/>
        <item h="1" x="1189"/>
        <item h="1" x="1190"/>
        <item h="1" x="1191"/>
        <item h="1" x="1192"/>
        <item h="1" x="1193"/>
        <item h="1" x="1194"/>
        <item h="1" x="1195"/>
        <item h="1" x="1196"/>
        <item h="1" x="1197"/>
        <item h="1" x="1198"/>
        <item h="1" x="1199"/>
        <item h="1" x="1200"/>
        <item h="1" x="1201"/>
        <item h="1" x="1202"/>
        <item h="1" x="1203"/>
        <item h="1" x="1204"/>
        <item h="1" x="1205"/>
        <item h="1" x="1206"/>
        <item h="1" x="1207"/>
        <item h="1" x="1208"/>
        <item h="1" x="1209"/>
        <item h="1" x="1210"/>
        <item h="1" x="1211"/>
        <item h="1" x="1212"/>
        <item h="1" x="1213"/>
        <item h="1" x="1214"/>
        <item h="1" x="1215"/>
        <item h="1" x="1216"/>
        <item h="1" x="1217"/>
        <item h="1" x="1218"/>
        <item h="1" x="1219"/>
        <item h="1" x="1220"/>
        <item h="1" x="1221"/>
        <item h="1" x="1222"/>
        <item h="1" x="1223"/>
        <item h="1" x="1224"/>
        <item h="1" x="1225"/>
        <item h="1" x="1226"/>
        <item h="1" x="1227"/>
        <item h="1" x="1228"/>
        <item h="1" x="1229"/>
        <item h="1" x="1230"/>
        <item h="1" x="1231"/>
        <item h="1" x="1232"/>
        <item h="1" x="1233"/>
        <item h="1" x="1234"/>
        <item h="1" x="1235"/>
        <item h="1" x="1236"/>
        <item h="1" x="1237"/>
        <item h="1" x="1238"/>
        <item h="1" x="1239"/>
        <item h="1" x="1240"/>
        <item h="1" x="1241"/>
        <item h="1" x="1242"/>
        <item h="1" x="1243"/>
        <item h="1" x="1244"/>
        <item h="1" x="1245"/>
        <item h="1" x="1246"/>
        <item h="1" x="1247"/>
        <item h="1" x="1248"/>
        <item h="1" x="1249"/>
        <item h="1" x="1250"/>
        <item h="1" x="1251"/>
        <item h="1" x="1252"/>
        <item h="1" x="1253"/>
        <item h="1" x="1254"/>
        <item h="1" x="1255"/>
        <item h="1" x="1256"/>
        <item h="1" x="1257"/>
        <item h="1" x="1258"/>
        <item h="1" x="1259"/>
        <item h="1" x="1260"/>
        <item h="1" x="1261"/>
        <item h="1" x="1262"/>
        <item h="1" x="1263"/>
        <item h="1" x="1264"/>
        <item h="1" x="1265"/>
        <item h="1" x="1266"/>
        <item h="1" x="1267"/>
        <item h="1" x="1268"/>
        <item h="1" x="1269"/>
        <item h="1" x="1270"/>
        <item h="1" x="1271"/>
        <item h="1" x="1272"/>
        <item h="1" x="1273"/>
        <item h="1" x="1274"/>
        <item h="1" x="1275"/>
        <item h="1" x="1276"/>
        <item h="1" x="1277"/>
        <item h="1" x="1278"/>
        <item h="1" x="1279"/>
        <item h="1" x="1280"/>
        <item h="1" x="1281"/>
        <item h="1" x="1282"/>
        <item h="1" x="1283"/>
        <item h="1" x="1284"/>
        <item h="1" x="1285"/>
        <item h="1" x="1286"/>
        <item h="1" x="1287"/>
        <item h="1" x="1288"/>
        <item h="1" x="1289"/>
        <item h="1" x="1290"/>
        <item h="1" x="1291"/>
        <item h="1" x="1292"/>
        <item h="1" x="1293"/>
        <item h="1" x="1294"/>
        <item h="1" x="1295"/>
        <item h="1" x="1296"/>
        <item h="1" x="1297"/>
        <item h="1" x="1298"/>
        <item h="1" x="1299"/>
        <item h="1" x="1300"/>
        <item h="1" x="1301"/>
        <item h="1" x="1302"/>
        <item h="1" x="1303"/>
        <item h="1" x="1304"/>
        <item h="1" x="1305"/>
        <item h="1" x="1306"/>
        <item h="1" x="1307"/>
        <item h="1" x="1308"/>
        <item h="1" x="1309"/>
        <item h="1" x="1310"/>
        <item h="1" x="1311"/>
        <item h="1" x="1312"/>
        <item h="1" x="1313"/>
        <item h="1" x="1314"/>
        <item h="1" x="1315"/>
        <item h="1" x="1316"/>
        <item h="1" x="1317"/>
        <item h="1" x="1318"/>
        <item h="1" x="1319"/>
        <item h="1" x="1320"/>
        <item h="1" x="1321"/>
        <item h="1" x="1322"/>
        <item h="1" x="1323"/>
        <item h="1" x="1324"/>
        <item h="1" x="1325"/>
        <item h="1" x="1326"/>
        <item h="1" x="1327"/>
        <item h="1" x="1328"/>
        <item h="1" x="1329"/>
        <item h="1" x="1330"/>
        <item h="1" x="1331"/>
        <item h="1" x="1332"/>
        <item h="1" x="1333"/>
        <item h="1" x="1334"/>
        <item h="1" x="1335"/>
        <item h="1" x="1336"/>
        <item h="1" x="1337"/>
        <item h="1" x="1338"/>
        <item h="1" x="1339"/>
        <item h="1" x="1340"/>
        <item h="1" x="1341"/>
        <item h="1" x="1342"/>
        <item h="1" x="1343"/>
        <item h="1" x="1344"/>
        <item h="1" x="1345"/>
        <item h="1" x="1346"/>
        <item h="1" x="1347"/>
        <item h="1" x="1348"/>
        <item h="1" x="1349"/>
        <item h="1" x="1350"/>
        <item h="1" x="1351"/>
        <item h="1" x="1352"/>
        <item h="1" x="1353"/>
        <item h="1" x="1354"/>
        <item h="1" x="1355"/>
        <item h="1" x="1356"/>
        <item h="1" x="1357"/>
        <item h="1" x="1358"/>
        <item h="1" x="1359"/>
        <item h="1" x="1360"/>
        <item h="1" x="1361"/>
        <item h="1" x="1362"/>
        <item h="1" x="1363"/>
        <item h="1" x="1364"/>
        <item h="1" x="1365"/>
        <item h="1" x="1366"/>
        <item h="1" x="1367"/>
        <item h="1" x="1368"/>
        <item h="1" x="1369"/>
        <item h="1" x="1370"/>
        <item h="1" x="1371"/>
        <item h="1" x="1372"/>
        <item h="1" x="1373"/>
        <item h="1" x="1374"/>
        <item h="1" x="1375"/>
        <item h="1" x="1376"/>
        <item h="1" x="1377"/>
        <item h="1" x="1378"/>
        <item h="1" x="1379"/>
        <item h="1" x="1380"/>
        <item h="1" x="1381"/>
        <item h="1" x="1382"/>
        <item h="1" x="1383"/>
        <item h="1" x="1384"/>
        <item h="1" x="1385"/>
        <item h="1" x="1386"/>
        <item h="1" x="1387"/>
        <item h="1" x="1388"/>
        <item h="1" x="1389"/>
        <item h="1" x="1390"/>
        <item h="1" x="1391"/>
        <item h="1" x="1392"/>
        <item h="1" x="1393"/>
        <item h="1" x="1394"/>
        <item h="1" x="1395"/>
        <item h="1" x="1396"/>
        <item h="1" x="1397"/>
        <item h="1" x="1398"/>
        <item h="1" x="1399"/>
        <item h="1" x="1400"/>
        <item h="1" x="1401"/>
        <item h="1" x="1402"/>
        <item h="1" x="1403"/>
        <item h="1" x="1404"/>
        <item h="1" x="1405"/>
        <item h="1" x="1406"/>
        <item h="1" x="1407"/>
        <item h="1" x="1408"/>
        <item h="1" x="1409"/>
        <item h="1" x="1410"/>
        <item h="1" x="1411"/>
        <item h="1" x="1412"/>
        <item h="1" x="1413"/>
        <item h="1" x="1414"/>
        <item h="1" x="1415"/>
        <item h="1" x="1416"/>
        <item h="1" x="1417"/>
        <item h="1" x="1418"/>
        <item h="1" x="1419"/>
        <item h="1" x="1420"/>
        <item h="1" x="1421"/>
        <item h="1" x="1422"/>
        <item h="1" x="1423"/>
        <item h="1" x="1424"/>
        <item h="1" x="1425"/>
        <item h="1" x="1426"/>
        <item h="1" x="1427"/>
        <item h="1" x="1428"/>
        <item h="1" x="1429"/>
        <item h="1" x="1430"/>
        <item h="1" x="1431"/>
        <item h="1" x="1432"/>
        <item h="1" x="1433"/>
        <item h="1" x="1434"/>
        <item h="1" x="1435"/>
        <item h="1" x="1436"/>
        <item h="1" x="1437"/>
        <item h="1" x="1438"/>
        <item h="1" x="1439"/>
        <item h="1" x="1440"/>
        <item h="1" x="1441"/>
        <item h="1" x="1442"/>
        <item h="1" x="1443"/>
        <item h="1" x="1444"/>
        <item h="1" x="1445"/>
        <item h="1" x="1446"/>
        <item h="1" x="1447"/>
        <item h="1" x="1448"/>
        <item h="1" x="1449"/>
        <item h="1" x="1450"/>
        <item h="1" x="1451"/>
        <item h="1" x="1452"/>
        <item h="1" x="1453"/>
        <item h="1" x="1454"/>
        <item h="1" x="1455"/>
        <item h="1" x="1456"/>
        <item h="1" x="1457"/>
        <item h="1" x="1458"/>
        <item h="1" x="1459"/>
        <item h="1" x="1460"/>
        <item h="1" x="1461"/>
        <item h="1" x="1462"/>
        <item h="1" x="1463"/>
        <item h="1" x="1464"/>
        <item h="1" x="1465"/>
        <item h="1" x="1466"/>
        <item h="1" x="1467"/>
        <item h="1" x="1468"/>
        <item h="1" x="1469"/>
        <item h="1" x="1470"/>
        <item h="1" x="1471"/>
        <item h="1" x="1472"/>
        <item h="1" x="1473"/>
        <item h="1" x="1474"/>
        <item h="1" x="1475"/>
        <item h="1" x="1476"/>
        <item h="1" x="1477"/>
        <item h="1" x="1478"/>
        <item h="1" x="1479"/>
        <item h="1" x="1480"/>
        <item h="1" x="1481"/>
        <item h="1" x="1482"/>
        <item h="1" x="1483"/>
        <item h="1" x="1484"/>
        <item h="1" x="1485"/>
        <item h="1" x="1486"/>
        <item h="1" x="1487"/>
        <item h="1" x="1488"/>
        <item h="1" x="1489"/>
        <item h="1" x="1490"/>
        <item h="1" x="1491"/>
        <item h="1" x="1492"/>
        <item h="1" x="1493"/>
        <item h="1" x="1494"/>
        <item h="1" x="1495"/>
        <item h="1" x="1496"/>
        <item h="1" x="1497"/>
        <item h="1" x="1498"/>
        <item h="1" x="1499"/>
        <item h="1" x="1500"/>
        <item h="1" x="1501"/>
        <item h="1" x="1502"/>
        <item h="1" x="1503"/>
        <item h="1" x="1504"/>
        <item h="1" x="1505"/>
        <item h="1" x="1506"/>
        <item h="1" x="1507"/>
        <item h="1" x="1508"/>
        <item h="1" x="1509"/>
        <item h="1" x="1510"/>
        <item h="1" x="1511"/>
        <item h="1" x="1512"/>
        <item h="1" x="1513"/>
        <item h="1" x="1514"/>
        <item h="1" x="1515"/>
        <item h="1" x="1516"/>
        <item h="1" x="1517"/>
        <item h="1" x="1518"/>
        <item h="1" x="1519"/>
        <item h="1" x="1520"/>
        <item h="1" x="1521"/>
        <item h="1" x="1522"/>
        <item h="1" x="1523"/>
        <item h="1" x="1524"/>
        <item h="1" x="1525"/>
        <item h="1" x="1526"/>
        <item h="1" x="1527"/>
        <item h="1" x="1528"/>
        <item h="1" x="1529"/>
        <item h="1" x="1530"/>
        <item h="1" x="1531"/>
        <item h="1" x="1532"/>
        <item h="1" x="1533"/>
        <item h="1" x="1534"/>
        <item h="1" x="1535"/>
        <item h="1" x="1536"/>
        <item h="1" x="1537"/>
        <item h="1" x="1538"/>
        <item h="1" x="1539"/>
        <item h="1" x="1540"/>
        <item h="1" x="1541"/>
        <item h="1" x="1542"/>
        <item h="1" x="1543"/>
        <item h="1" x="1544"/>
        <item h="1" x="1545"/>
        <item h="1" x="1546"/>
        <item h="1" x="1547"/>
        <item h="1" x="1548"/>
        <item h="1" x="1549"/>
        <item h="1" x="1550"/>
        <item h="1" x="1551"/>
        <item h="1" x="1552"/>
        <item h="1" x="1553"/>
        <item h="1" x="1554"/>
        <item h="1" x="1555"/>
        <item h="1" x="1556"/>
        <item h="1" x="1557"/>
        <item h="1" x="1558"/>
        <item h="1" x="1559"/>
        <item h="1" x="1560"/>
        <item h="1" x="1561"/>
        <item h="1" x="1562"/>
        <item h="1" x="1563"/>
        <item h="1" x="1564"/>
        <item h="1" x="1565"/>
        <item h="1" x="1566"/>
        <item h="1" x="1567"/>
        <item h="1" x="1568"/>
        <item h="1" x="1569"/>
        <item h="1" x="1570"/>
        <item h="1" x="1571"/>
        <item h="1" x="1572"/>
        <item h="1" x="1573"/>
        <item h="1" x="1574"/>
        <item h="1" x="1575"/>
        <item h="1" x="1576"/>
        <item h="1" x="1577"/>
        <item h="1" x="1578"/>
        <item h="1" x="1579"/>
        <item h="1" x="1580"/>
        <item h="1" x="1581"/>
        <item h="1" x="1582"/>
        <item h="1" x="1583"/>
        <item h="1" x="1584"/>
        <item h="1" x="1585"/>
        <item h="1" x="1586"/>
        <item h="1" x="1587"/>
        <item h="1" x="1588"/>
        <item h="1" x="1589"/>
        <item h="1" x="1590"/>
        <item h="1" x="1591"/>
        <item h="1" x="1592"/>
        <item h="1" x="1593"/>
        <item h="1" x="1594"/>
        <item h="1" x="1595"/>
        <item h="1" x="1596"/>
        <item h="1" x="1597"/>
        <item h="1" x="1598"/>
        <item h="1" x="1599"/>
        <item h="1" x="1600"/>
        <item h="1" x="1601"/>
        <item h="1" x="1602"/>
        <item h="1" x="1603"/>
        <item h="1" x="1604"/>
        <item h="1" x="1605"/>
        <item h="1" x="1606"/>
        <item h="1" x="1607"/>
        <item h="1" x="1608"/>
        <item h="1" x="1609"/>
        <item h="1" x="1610"/>
        <item h="1" x="1611"/>
        <item h="1" x="1612"/>
        <item h="1" x="1613"/>
        <item h="1" x="1614"/>
        <item h="1" x="1615"/>
        <item h="1" x="1616"/>
        <item h="1" x="1617"/>
        <item h="1" x="1618"/>
        <item h="1" x="1619"/>
        <item h="1" x="1620"/>
        <item h="1" x="1621"/>
        <item h="1" x="1622"/>
        <item h="1" x="1623"/>
        <item h="1" x="1624"/>
        <item h="1" x="1625"/>
        <item h="1" x="1626"/>
        <item h="1" x="1627"/>
        <item h="1" x="1628"/>
        <item h="1" x="1629"/>
        <item h="1" x="1630"/>
        <item h="1" x="1631"/>
        <item h="1" x="1632"/>
        <item h="1" x="1633"/>
        <item h="1" x="1634"/>
        <item h="1" x="1635"/>
        <item h="1" x="1636"/>
        <item h="1" x="1637"/>
        <item h="1" x="1638"/>
        <item h="1" x="1639"/>
        <item h="1" x="1640"/>
        <item h="1" x="1641"/>
        <item h="1" x="1642"/>
        <item h="1" x="1643"/>
        <item h="1" x="1644"/>
        <item h="1" x="1645"/>
        <item h="1" x="1646"/>
        <item h="1" x="1647"/>
        <item h="1" x="1648"/>
        <item h="1" x="1649"/>
        <item h="1" x="1650"/>
        <item h="1" x="1651"/>
        <item h="1" x="1652"/>
        <item h="1" x="1653"/>
        <item h="1" x="1654"/>
        <item h="1" x="1655"/>
        <item h="1" x="1656"/>
        <item h="1" x="1657"/>
        <item h="1" x="1658"/>
        <item h="1" x="1659"/>
        <item h="1" x="1660"/>
        <item h="1" x="1661"/>
        <item h="1" x="1662"/>
        <item h="1" x="1663"/>
        <item h="1" x="1664"/>
        <item h="1" x="1665"/>
        <item h="1" x="1666"/>
        <item h="1" x="1667"/>
        <item h="1" x="1668"/>
        <item h="1" x="1669"/>
        <item h="1" x="1670"/>
        <item h="1" x="1671"/>
        <item h="1" x="1672"/>
        <item h="1" x="1673"/>
        <item h="1" x="1674"/>
        <item h="1" x="1675"/>
        <item h="1" x="1676"/>
        <item h="1" x="1677"/>
        <item h="1" x="1678"/>
        <item h="1" x="1679"/>
        <item h="1" x="1680"/>
        <item h="1" x="1681"/>
        <item h="1" x="1682"/>
        <item h="1" x="1683"/>
        <item h="1" x="1684"/>
        <item h="1" x="1685"/>
        <item h="1" x="1686"/>
        <item h="1" x="1687"/>
        <item h="1" x="1688"/>
        <item h="1" x="1689"/>
        <item h="1" x="1690"/>
        <item h="1" x="1691"/>
        <item h="1" x="1692"/>
        <item h="1" x="1693"/>
        <item h="1" x="1694"/>
        <item h="1" x="1695"/>
        <item h="1" x="1696"/>
        <item h="1" x="1697"/>
        <item h="1" x="1698"/>
        <item h="1" x="1699"/>
        <item h="1" x="1700"/>
        <item h="1" x="1701"/>
        <item h="1" x="1702"/>
        <item h="1" x="1703"/>
        <item h="1" x="1704"/>
        <item h="1" x="1705"/>
        <item h="1" x="1706"/>
        <item h="1" x="1707"/>
        <item h="1" x="1708"/>
        <item h="1" x="1709"/>
        <item h="1" x="1710"/>
        <item h="1" x="1711"/>
        <item h="1" x="1712"/>
        <item h="1" x="1713"/>
        <item h="1" x="1714"/>
        <item h="1" x="1715"/>
        <item h="1" x="1716"/>
        <item h="1" x="1717"/>
        <item h="1" x="1718"/>
        <item h="1" x="1719"/>
        <item h="1" x="1720"/>
        <item h="1" x="1721"/>
        <item h="1" x="1722"/>
        <item h="1" x="1723"/>
        <item h="1" x="1724"/>
        <item h="1" x="1725"/>
        <item h="1" x="1726"/>
        <item h="1" x="1727"/>
        <item h="1" x="1728"/>
        <item h="1" x="1729"/>
        <item h="1" x="1730"/>
        <item h="1" x="1731"/>
        <item h="1" x="1732"/>
        <item h="1" x="1733"/>
        <item h="1" x="1734"/>
        <item h="1" x="1735"/>
        <item h="1" x="1736"/>
        <item h="1" x="1737"/>
        <item h="1" x="1738"/>
        <item h="1" x="1739"/>
        <item h="1" x="1740"/>
        <item h="1" x="1741"/>
        <item h="1" x="1742"/>
        <item h="1" x="1743"/>
        <item h="1" x="1744"/>
        <item h="1" x="1745"/>
        <item h="1" x="1746"/>
        <item h="1" x="1747"/>
        <item h="1" x="1748"/>
        <item h="1" x="1749"/>
        <item h="1" x="1750"/>
        <item h="1" x="1751"/>
        <item h="1" x="1752"/>
        <item h="1" x="1753"/>
        <item h="1" x="1754"/>
        <item h="1" x="1755"/>
        <item h="1" x="1756"/>
        <item h="1" x="1757"/>
        <item h="1" x="1758"/>
        <item h="1" x="1759"/>
        <item h="1" x="1760"/>
        <item h="1" x="1761"/>
        <item h="1" x="1762"/>
        <item h="1" x="1763"/>
        <item h="1" x="1764"/>
        <item h="1" x="1765"/>
        <item h="1" x="1766"/>
        <item h="1" x="1767"/>
        <item h="1" x="1768"/>
        <item h="1" x="1769"/>
        <item h="1" x="1770"/>
        <item h="1" x="1771"/>
        <item h="1" x="1772"/>
        <item h="1" x="1773"/>
        <item h="1" x="1774"/>
        <item h="1" x="1775"/>
        <item h="1" x="1776"/>
        <item h="1" x="1777"/>
        <item h="1" x="1778"/>
        <item h="1" x="1779"/>
        <item h="1" x="1780"/>
        <item h="1" x="1781"/>
        <item h="1" x="1782"/>
        <item h="1" x="1783"/>
        <item h="1" x="1784"/>
        <item h="1" x="1785"/>
        <item h="1" x="1786"/>
        <item h="1" x="1787"/>
        <item h="1" x="1788"/>
        <item h="1" x="1789"/>
        <item h="1" x="1790"/>
        <item h="1" x="1791"/>
        <item h="1" x="1792"/>
        <item h="1" x="1793"/>
        <item h="1" x="1794"/>
        <item h="1" x="1795"/>
        <item h="1" x="1796"/>
        <item h="1" x="1797"/>
        <item h="1" x="1798"/>
        <item h="1" x="1799"/>
        <item h="1" x="1800"/>
        <item h="1" x="1801"/>
        <item h="1" x="1802"/>
        <item h="1" x="1803"/>
        <item h="1" x="1804"/>
        <item h="1" x="1805"/>
        <item h="1" x="1806"/>
        <item h="1" x="1807"/>
        <item h="1" x="1808"/>
        <item h="1" x="1809"/>
        <item h="1" x="1810"/>
        <item h="1" x="1811"/>
        <item h="1" x="1812"/>
        <item h="1" x="1813"/>
        <item h="1" x="1814"/>
        <item h="1" x="1815"/>
        <item h="1" x="1816"/>
        <item h="1" x="1817"/>
        <item h="1" x="1818"/>
        <item h="1" x="1819"/>
        <item h="1" x="1820"/>
        <item h="1" x="1821"/>
        <item h="1" x="1822"/>
        <item h="1" x="1823"/>
        <item h="1" x="1824"/>
        <item h="1" x="1825"/>
        <item h="1" x="1826"/>
        <item h="1" x="1827"/>
        <item h="1" x="1828"/>
        <item h="1" x="1829"/>
        <item h="1" x="1830"/>
        <item h="1" x="1831"/>
        <item h="1" x="1832"/>
        <item h="1" x="1833"/>
        <item h="1" x="1834"/>
        <item h="1" x="1835"/>
        <item h="1" x="1836"/>
        <item h="1" x="1837"/>
        <item h="1" x="1838"/>
        <item h="1" x="1839"/>
        <item h="1" x="1840"/>
        <item h="1" x="1841"/>
        <item h="1" x="1842"/>
        <item h="1" x="1843"/>
        <item h="1" x="1844"/>
        <item h="1" x="1845"/>
        <item h="1" x="1846"/>
        <item h="1" x="1847"/>
        <item h="1" x="1848"/>
        <item h="1" x="1849"/>
        <item h="1" x="1850"/>
        <item h="1" x="1851"/>
        <item h="1" x="1852"/>
        <item h="1" x="1853"/>
        <item h="1" x="1854"/>
        <item h="1" x="1855"/>
        <item h="1" x="1856"/>
        <item h="1" x="1857"/>
        <item h="1" x="1858"/>
        <item h="1" x="1859"/>
        <item h="1" x="1860"/>
        <item h="1" x="1861"/>
        <item h="1" x="1862"/>
        <item h="1" x="1863"/>
        <item h="1" x="1864"/>
        <item h="1" x="1865"/>
        <item h="1" x="1866"/>
        <item h="1" x="1867"/>
        <item h="1" x="1868"/>
        <item h="1" x="1869"/>
        <item h="1" x="1870"/>
        <item h="1" x="1871"/>
        <item h="1" x="1872"/>
        <item h="1" x="1873"/>
        <item h="1" x="1874"/>
        <item h="1" x="1875"/>
        <item h="1" x="1876"/>
        <item h="1" x="1877"/>
        <item h="1" x="1878"/>
        <item h="1" x="1879"/>
        <item h="1" x="1880"/>
        <item h="1" x="1881"/>
        <item h="1" x="1882"/>
        <item h="1" x="1883"/>
        <item h="1" x="1884"/>
        <item h="1" x="1885"/>
        <item h="1" x="1886"/>
        <item h="1" x="1887"/>
        <item h="1" x="1888"/>
        <item h="1" x="1889"/>
        <item h="1" x="1890"/>
        <item h="1" x="1891"/>
        <item h="1" x="1892"/>
        <item h="1" x="1893"/>
        <item h="1" x="1894"/>
        <item h="1" x="1895"/>
        <item h="1" x="1896"/>
        <item h="1" x="1897"/>
        <item h="1" x="1898"/>
        <item h="1" x="1899"/>
        <item h="1" x="1900"/>
        <item h="1" x="1901"/>
        <item h="1" x="1902"/>
        <item h="1" x="1903"/>
        <item h="1" x="1904"/>
        <item h="1" x="1905"/>
        <item h="1" x="1906"/>
        <item h="1" x="1907"/>
        <item h="1" x="1908"/>
        <item h="1" x="1909"/>
        <item h="1" x="1910"/>
        <item h="1" x="1911"/>
        <item h="1" x="1912"/>
        <item h="1" x="1913"/>
        <item h="1" x="1914"/>
        <item h="1" x="1915"/>
        <item h="1" x="1916"/>
        <item h="1" x="1917"/>
        <item h="1" x="1918"/>
        <item h="1" x="1919"/>
        <item h="1" x="1920"/>
        <item h="1" x="1921"/>
        <item h="1" x="1922"/>
        <item h="1" x="1923"/>
        <item h="1" x="1924"/>
        <item h="1" x="1925"/>
        <item h="1" x="1926"/>
        <item h="1" x="1927"/>
        <item h="1" x="1928"/>
        <item h="1" x="1929"/>
        <item h="1" x="1930"/>
        <item h="1" x="1931"/>
        <item h="1" x="1932"/>
        <item h="1" x="1933"/>
        <item h="1" x="1934"/>
        <item h="1" x="1935"/>
        <item h="1" x="1936"/>
        <item h="1" x="1937"/>
        <item h="1" x="1938"/>
        <item h="1" x="1939"/>
        <item h="1" x="1940"/>
        <item h="1" x="1941"/>
        <item h="1" x="1942"/>
        <item h="1" x="1943"/>
        <item h="1" x="1944"/>
        <item h="1" x="1945"/>
        <item h="1" x="1946"/>
        <item h="1" x="1947"/>
        <item h="1" x="1948"/>
        <item h="1" x="1949"/>
        <item h="1" x="1950"/>
        <item h="1" x="1951"/>
        <item h="1" x="1952"/>
        <item h="1" x="1953"/>
        <item h="1" x="1954"/>
        <item h="1" x="1955"/>
        <item h="1" x="1956"/>
        <item h="1" x="1957"/>
        <item h="1" x="1958"/>
        <item h="1" x="1959"/>
        <item h="1" x="1960"/>
        <item h="1" x="1961"/>
        <item h="1" x="1962"/>
        <item h="1" x="1963"/>
        <item h="1" x="1964"/>
        <item h="1" x="1965"/>
        <item h="1" x="1966"/>
        <item h="1" x="1967"/>
        <item h="1" x="1968"/>
        <item h="1" x="1969"/>
        <item h="1" x="1970"/>
        <item h="1" x="1971"/>
        <item h="1" x="1972"/>
        <item h="1" x="1973"/>
        <item h="1" x="1974"/>
        <item h="1" x="1975"/>
        <item h="1" x="1976"/>
        <item h="1" x="1977"/>
        <item h="1" x="1978"/>
        <item h="1" x="1979"/>
        <item h="1" x="1980"/>
        <item h="1" x="1981"/>
        <item h="1" x="1982"/>
        <item h="1" x="1983"/>
        <item h="1" x="1984"/>
        <item h="1" x="1985"/>
        <item h="1" x="1986"/>
        <item h="1" x="1987"/>
        <item h="1" x="1988"/>
        <item h="1" x="1989"/>
        <item h="1" x="1990"/>
        <item h="1" x="1991"/>
        <item h="1" x="1992"/>
        <item h="1" x="1993"/>
        <item h="1" x="1994"/>
        <item h="1" x="1995"/>
        <item h="1" x="1996"/>
        <item h="1" x="1997"/>
        <item h="1" x="1998"/>
        <item h="1" x="1999"/>
        <item h="1" x="2000"/>
        <item h="1" x="2001"/>
        <item h="1" x="2002"/>
        <item h="1" x="2003"/>
        <item h="1" x="2004"/>
        <item h="1" x="2005"/>
        <item h="1" x="2006"/>
        <item h="1" x="2007"/>
        <item h="1" x="2008"/>
        <item h="1" x="2009"/>
        <item h="1" x="2010"/>
        <item h="1" x="2011"/>
        <item h="1" x="2012"/>
        <item h="1" x="2013"/>
        <item h="1" x="2014"/>
        <item h="1" x="2015"/>
        <item h="1" x="2016"/>
        <item h="1" x="2017"/>
        <item h="1" x="2018"/>
        <item h="1" x="2019"/>
        <item h="1" x="2020"/>
        <item h="1" x="2021"/>
        <item h="1" x="2022"/>
        <item h="1" x="2023"/>
        <item h="1" x="2024"/>
        <item h="1" x="2025"/>
        <item h="1" x="2026"/>
        <item h="1" x="2027"/>
        <item h="1" x="2028"/>
        <item h="1" x="2029"/>
        <item h="1" x="2030"/>
        <item h="1" x="2031"/>
        <item h="1" x="2032"/>
        <item h="1" x="2033"/>
        <item h="1" x="2034"/>
        <item h="1" x="2035"/>
        <item h="1" x="2036"/>
        <item h="1" x="2037"/>
        <item h="1" x="2038"/>
        <item h="1" x="2039"/>
        <item h="1" x="2040"/>
        <item h="1" x="2041"/>
        <item h="1" x="2042"/>
        <item h="1" x="2043"/>
        <item h="1" x="2044"/>
        <item h="1" x="2045"/>
        <item h="1" x="2046"/>
        <item h="1" x="2047"/>
        <item h="1" x="2048"/>
        <item h="1" x="2049"/>
        <item h="1" x="2050"/>
        <item h="1" x="2051"/>
        <item h="1" x="2052"/>
        <item h="1" x="2053"/>
        <item h="1" x="2054"/>
        <item h="1" x="2055"/>
        <item h="1" x="2056"/>
        <item h="1" x="2057"/>
        <item h="1" x="2058"/>
        <item h="1" x="2059"/>
        <item h="1" x="2060"/>
        <item h="1" x="2061"/>
        <item h="1" x="2062"/>
        <item h="1" x="2063"/>
        <item h="1" x="2064"/>
        <item h="1" x="2065"/>
        <item h="1" x="2066"/>
        <item h="1" x="2067"/>
        <item h="1" x="2068"/>
        <item h="1" x="2069"/>
        <item h="1" x="2070"/>
        <item h="1" x="2071"/>
        <item h="1" x="2072"/>
        <item h="1" x="2073"/>
        <item h="1" x="2074"/>
        <item h="1" x="2075"/>
        <item h="1" x="2076"/>
        <item h="1" x="2077"/>
        <item h="1" x="2078"/>
        <item h="1" x="2079"/>
        <item h="1" x="2080"/>
        <item h="1" x="2081"/>
        <item h="1" x="2082"/>
        <item h="1" x="2083"/>
        <item h="1" x="2084"/>
        <item h="1" x="2085"/>
        <item h="1" x="2086"/>
        <item h="1" x="2087"/>
        <item h="1" x="2088"/>
        <item h="1" x="2089"/>
        <item h="1" x="2090"/>
        <item h="1" x="2091"/>
        <item h="1" x="2092"/>
        <item h="1" x="2093"/>
        <item h="1" x="2094"/>
        <item h="1" x="2095"/>
        <item h="1" x="2096"/>
        <item h="1" x="2097"/>
        <item h="1" x="2098"/>
        <item h="1" x="2099"/>
        <item h="1" x="2100"/>
        <item h="1" x="2101"/>
        <item h="1" x="2102"/>
        <item h="1" x="2103"/>
        <item h="1" x="2104"/>
        <item h="1" x="2105"/>
        <item h="1" x="2106"/>
        <item h="1" x="2107"/>
        <item h="1" x="2108"/>
        <item h="1" x="2109"/>
        <item h="1" x="2110"/>
        <item h="1" x="2111"/>
        <item h="1" x="2112"/>
        <item h="1" x="2113"/>
        <item h="1" x="2114"/>
        <item h="1" x="2115"/>
        <item h="1" x="2116"/>
        <item h="1" x="2117"/>
        <item h="1" x="2118"/>
        <item h="1" x="2119"/>
        <item h="1" x="2120"/>
        <item h="1" x="2121"/>
        <item h="1" x="2122"/>
        <item h="1" x="2123"/>
        <item h="1" x="2124"/>
        <item h="1" x="2125"/>
        <item h="1" x="2126"/>
        <item h="1" x="2127"/>
        <item h="1" x="2128"/>
        <item h="1" x="2129"/>
        <item h="1" x="2130"/>
        <item h="1" x="2131"/>
        <item h="1" x="2132"/>
        <item h="1" x="2133"/>
        <item h="1" x="2134"/>
        <item h="1" x="2135"/>
        <item h="1" x="2136"/>
        <item h="1" x="2137"/>
        <item h="1" x="2138"/>
        <item h="1" x="2139"/>
        <item h="1" x="2140"/>
        <item h="1" x="2141"/>
        <item h="1" x="2142"/>
        <item h="1" x="2143"/>
        <item h="1" x="2144"/>
        <item h="1" x="2145"/>
        <item h="1" x="2146"/>
        <item h="1" x="2147"/>
        <item h="1" x="2148"/>
        <item h="1" x="2149"/>
        <item h="1" x="2150"/>
        <item h="1" x="2151"/>
        <item h="1" x="2152"/>
        <item h="1" x="2153"/>
        <item h="1" x="2154"/>
        <item h="1" x="2155"/>
        <item h="1" x="2156"/>
        <item h="1" x="2157"/>
        <item h="1" x="2158"/>
        <item h="1" x="2159"/>
        <item h="1" x="2160"/>
        <item h="1" x="2161"/>
        <item h="1" x="2162"/>
        <item h="1" x="2163"/>
        <item h="1" x="2164"/>
        <item h="1" x="2165"/>
        <item h="1" x="2166"/>
        <item h="1" x="2167"/>
        <item h="1" x="2168"/>
        <item h="1" x="2169"/>
        <item h="1" x="2170"/>
        <item h="1" x="2171"/>
        <item h="1" x="2172"/>
        <item h="1" x="2173"/>
        <item h="1" x="2174"/>
        <item h="1" x="2175"/>
        <item h="1" x="2176"/>
        <item h="1" x="2177"/>
        <item h="1" x="2178"/>
        <item h="1" x="2179"/>
        <item h="1" x="2180"/>
        <item h="1" x="2181"/>
        <item h="1" x="2182"/>
        <item h="1" x="2183"/>
        <item h="1" x="2184"/>
        <item h="1" x="2185"/>
        <item h="1" x="2186"/>
        <item h="1" x="2187"/>
        <item h="1" x="2188"/>
        <item h="1" x="2189"/>
        <item h="1" x="2190"/>
        <item h="1" x="2191"/>
        <item h="1" x="2192"/>
        <item h="1" x="2193"/>
        <item h="1" x="2194"/>
        <item h="1" x="2195"/>
        <item h="1" x="2196"/>
        <item h="1" x="2197"/>
        <item h="1" x="2198"/>
        <item h="1" x="2199"/>
        <item h="1" x="2200"/>
        <item h="1" x="2201"/>
        <item h="1" x="2202"/>
        <item h="1" x="2203"/>
        <item h="1" x="2204"/>
        <item h="1" x="2205"/>
        <item h="1" x="2206"/>
        <item h="1" x="2207"/>
        <item h="1" x="2208"/>
        <item h="1" x="2209"/>
        <item h="1" x="2210"/>
        <item h="1" x="2211"/>
        <item h="1" x="2212"/>
        <item h="1" x="2213"/>
        <item h="1" x="2214"/>
        <item h="1" x="2215"/>
        <item h="1" x="2216"/>
        <item h="1" x="2217"/>
        <item h="1" x="2218"/>
        <item h="1" x="2219"/>
        <item h="1" x="2220"/>
        <item h="1" x="2221"/>
        <item h="1" x="2222"/>
        <item h="1" x="2223"/>
        <item h="1" x="2224"/>
        <item h="1" x="2225"/>
        <item h="1" x="2226"/>
        <item h="1" x="2227"/>
        <item h="1" x="2228"/>
        <item h="1" x="2229"/>
        <item h="1" x="2230"/>
        <item h="1" x="2231"/>
        <item h="1" x="2232"/>
        <item h="1" x="2233"/>
        <item h="1" x="2234"/>
        <item h="1" x="2235"/>
        <item h="1" x="2236"/>
        <item h="1" x="2237"/>
        <item h="1" x="2238"/>
        <item h="1" x="2239"/>
        <item h="1" x="2240"/>
        <item h="1" x="2241"/>
        <item h="1" x="2242"/>
        <item h="1" x="2243"/>
        <item h="1" x="2244"/>
        <item h="1" x="2245"/>
        <item h="1" x="2246"/>
        <item h="1" x="2247"/>
        <item h="1" x="2248"/>
        <item h="1" x="2249"/>
        <item h="1" x="2250"/>
        <item h="1" x="2251"/>
        <item h="1" x="2252"/>
        <item h="1" x="2253"/>
        <item h="1" x="2254"/>
        <item h="1" x="2255"/>
        <item h="1" x="2256"/>
        <item h="1" x="2257"/>
        <item h="1" x="2258"/>
        <item h="1" x="2259"/>
        <item h="1" x="2260"/>
        <item h="1" x="2261"/>
        <item h="1" x="2262"/>
        <item h="1" x="2263"/>
        <item h="1" x="2264"/>
        <item h="1" x="2265"/>
        <item h="1" x="2266"/>
        <item h="1" x="2267"/>
        <item h="1" x="2268"/>
        <item h="1" x="2269"/>
        <item h="1" x="2270"/>
        <item h="1" x="2271"/>
        <item h="1" x="2272"/>
        <item h="1" x="2273"/>
        <item h="1" x="2274"/>
        <item h="1" x="2275"/>
        <item h="1" x="2276"/>
        <item h="1" x="2277"/>
        <item h="1" x="2278"/>
        <item h="1" x="2279"/>
        <item h="1" x="2280"/>
        <item h="1" x="2281"/>
        <item h="1" x="2282"/>
        <item h="1" x="2283"/>
        <item h="1" x="2284"/>
        <item h="1" x="2285"/>
        <item h="1" x="2286"/>
        <item h="1" x="2287"/>
        <item h="1" x="2288"/>
        <item h="1" x="2289"/>
        <item h="1" x="2290"/>
        <item h="1" x="2291"/>
        <item h="1" x="2292"/>
        <item h="1" x="2293"/>
        <item h="1" x="2294"/>
        <item h="1" x="2295"/>
        <item h="1" x="2296"/>
        <item h="1" x="2297"/>
        <item h="1" x="2298"/>
        <item h="1" x="2299"/>
        <item h="1" x="2300"/>
        <item h="1" x="2301"/>
        <item h="1" x="2302"/>
        <item h="1" x="2303"/>
        <item h="1" x="2304"/>
        <item h="1" x="2305"/>
        <item h="1" x="2306"/>
        <item h="1" x="2307"/>
        <item h="1" x="2308"/>
        <item h="1" x="2309"/>
        <item h="1" x="2310"/>
        <item h="1" x="2311"/>
        <item h="1" x="2312"/>
        <item h="1" x="2313"/>
        <item h="1" x="2314"/>
        <item h="1" x="2315"/>
        <item h="1" x="2316"/>
        <item h="1" x="2317"/>
        <item h="1" x="2318"/>
        <item h="1" x="2319"/>
        <item h="1" x="2320"/>
        <item h="1" x="2321"/>
        <item h="1" x="2322"/>
        <item h="1" x="2323"/>
        <item h="1" x="2324"/>
        <item h="1" x="2325"/>
        <item h="1" x="2326"/>
        <item h="1" x="2327"/>
        <item h="1" x="2328"/>
        <item h="1" x="2329"/>
        <item h="1" x="2330"/>
        <item h="1" x="2331"/>
        <item h="1" x="2332"/>
        <item h="1" x="2333"/>
        <item h="1" x="2334"/>
        <item h="1" x="2335"/>
        <item h="1" x="2336"/>
        <item h="1" x="2337"/>
        <item h="1" x="2338"/>
        <item h="1" x="2339"/>
        <item h="1" x="2340"/>
        <item h="1" x="2341"/>
        <item h="1" x="2342"/>
        <item h="1" x="2343"/>
        <item h="1" x="2344"/>
        <item h="1" x="2345"/>
        <item h="1" x="2346"/>
        <item h="1" x="2347"/>
        <item h="1" x="2348"/>
        <item h="1" x="2349"/>
        <item h="1" x="2350"/>
        <item h="1" x="2351"/>
        <item h="1" x="2352"/>
        <item h="1" x="2353"/>
        <item h="1" x="2354"/>
        <item h="1" x="2355"/>
        <item h="1" x="2356"/>
        <item h="1" x="2357"/>
        <item h="1" x="2358"/>
        <item h="1" x="2359"/>
        <item h="1" x="2360"/>
        <item h="1" x="2361"/>
        <item h="1" x="2362"/>
        <item h="1" x="2363"/>
        <item h="1" x="2364"/>
        <item h="1" x="2365"/>
        <item h="1" x="2366"/>
        <item h="1" x="2367"/>
        <item h="1" x="2368"/>
        <item h="1" x="2369"/>
        <item h="1" x="2370"/>
        <item h="1" x="2371"/>
        <item h="1" x="2372"/>
        <item h="1" x="2373"/>
        <item h="1" x="2374"/>
        <item h="1" x="2375"/>
        <item h="1" x="2376"/>
        <item h="1" x="2377"/>
        <item h="1" x="2378"/>
        <item h="1" x="2379"/>
        <item h="1" x="2380"/>
        <item h="1" x="2381"/>
        <item h="1" x="2382"/>
        <item h="1" x="2383"/>
        <item h="1" x="2384"/>
        <item h="1" x="2385"/>
        <item h="1" x="2386"/>
        <item h="1" x="2387"/>
        <item h="1" x="2388"/>
        <item h="1" x="2389"/>
        <item h="1" x="2390"/>
        <item h="1" x="2391"/>
        <item h="1" x="2392"/>
        <item h="1" x="2393"/>
        <item h="1" x="2394"/>
        <item h="1" x="2395"/>
        <item h="1" x="2396"/>
        <item h="1" x="2397"/>
        <item h="1" x="2398"/>
        <item h="1" x="2399"/>
        <item h="1" x="2400"/>
        <item h="1" x="2401"/>
        <item h="1" x="2402"/>
        <item h="1" x="2403"/>
        <item h="1" x="2404"/>
        <item h="1" x="2405"/>
        <item h="1" x="2406"/>
        <item h="1" x="2407"/>
        <item h="1" x="2408"/>
        <item h="1" x="2409"/>
        <item h="1" x="2410"/>
        <item h="1" x="2411"/>
        <item h="1" x="2412"/>
        <item h="1" x="2413"/>
        <item h="1" x="2414"/>
        <item h="1" x="2415"/>
        <item h="1" x="2416"/>
        <item h="1" x="2417"/>
        <item h="1" x="2418"/>
        <item h="1" x="2419"/>
        <item h="1" x="2420"/>
        <item h="1" x="2421"/>
        <item h="1" x="2422"/>
        <item h="1" x="2423"/>
        <item h="1" x="2424"/>
        <item h="1" x="2425"/>
        <item h="1" x="2426"/>
        <item h="1" x="2427"/>
        <item h="1" x="2428"/>
        <item h="1" x="2429"/>
        <item h="1" x="2430"/>
        <item h="1" x="2431"/>
        <item h="1" x="2432"/>
        <item h="1" x="2433"/>
        <item h="1" x="2434"/>
        <item h="1" x="2435"/>
        <item h="1" x="2436"/>
        <item h="1" x="2437"/>
        <item h="1" x="2438"/>
        <item h="1" x="2439"/>
        <item h="1" x="2440"/>
        <item h="1" x="2441"/>
        <item h="1" x="2442"/>
        <item h="1" x="2443"/>
        <item h="1" x="2444"/>
        <item h="1" x="2445"/>
        <item h="1" x="2446"/>
        <item h="1" x="2447"/>
        <item h="1" x="2448"/>
        <item h="1" x="2449"/>
        <item h="1" x="2450"/>
        <item h="1" x="2451"/>
        <item h="1" x="2452"/>
        <item h="1" x="2453"/>
        <item h="1" x="2454"/>
        <item h="1" x="2455"/>
        <item h="1" x="2456"/>
        <item h="1" x="2457"/>
        <item h="1" x="2458"/>
        <item h="1" x="2459"/>
        <item h="1" x="2460"/>
        <item h="1" x="2461"/>
        <item h="1" x="2462"/>
        <item h="1" x="2463"/>
        <item h="1" x="2464"/>
        <item h="1" x="2465"/>
        <item h="1" x="2466"/>
        <item h="1" x="2467"/>
        <item h="1" x="2468"/>
        <item h="1" x="2469"/>
        <item h="1" x="2470"/>
        <item h="1" x="2471"/>
        <item h="1" x="2472"/>
        <item h="1" x="2473"/>
        <item h="1" x="2474"/>
        <item h="1" x="2475"/>
        <item h="1" x="2476"/>
        <item h="1" x="2477"/>
        <item h="1" x="2478"/>
        <item h="1" x="2479"/>
        <item h="1" x="2480"/>
        <item h="1" x="2481"/>
        <item h="1" x="2482"/>
        <item h="1" x="2483"/>
        <item h="1" x="2484"/>
        <item h="1" x="2485"/>
        <item h="1" x="2486"/>
        <item h="1" x="2487"/>
        <item h="1" x="2488"/>
        <item h="1" x="2489"/>
        <item h="1" x="2490"/>
        <item h="1" x="2491"/>
        <item h="1" x="2492"/>
        <item h="1" x="2493"/>
        <item h="1" x="2494"/>
        <item h="1" x="2495"/>
        <item h="1" x="2496"/>
        <item h="1" x="2497"/>
        <item h="1" x="2498"/>
        <item h="1" x="2499"/>
        <item h="1" x="2500"/>
        <item h="1" x="2501"/>
        <item h="1" x="2502"/>
        <item h="1" x="2503"/>
        <item h="1" x="2504"/>
        <item h="1" x="2505"/>
        <item h="1" x="2506"/>
        <item h="1" x="2507"/>
        <item h="1" x="2508"/>
        <item h="1" x="2509"/>
        <item h="1" x="2510"/>
        <item h="1" x="2511"/>
        <item h="1" x="2512"/>
        <item h="1" x="2513"/>
        <item h="1" x="2514"/>
        <item h="1" x="2515"/>
        <item h="1" x="2516"/>
        <item h="1" x="2517"/>
        <item h="1" x="2518"/>
        <item h="1" x="2519"/>
        <item h="1" x="2520"/>
        <item h="1" x="2521"/>
        <item h="1" x="2522"/>
        <item h="1" x="2523"/>
        <item h="1" x="2524"/>
        <item h="1" x="2525"/>
        <item h="1" x="2526"/>
        <item h="1" x="2527"/>
        <item h="1" x="2528"/>
        <item h="1" x="2529"/>
        <item h="1" x="2530"/>
        <item h="1" x="2531"/>
        <item h="1" x="2532"/>
        <item h="1" x="2533"/>
        <item h="1" x="2534"/>
        <item h="1" x="2535"/>
        <item h="1" x="2536"/>
        <item h="1" x="2537"/>
        <item h="1" x="2538"/>
        <item h="1" x="2539"/>
        <item h="1" x="2540"/>
        <item h="1" x="2541"/>
        <item h="1" x="2542"/>
        <item h="1" x="2543"/>
        <item h="1" x="2544"/>
        <item h="1" x="2545"/>
        <item h="1" x="2546"/>
        <item h="1" x="2547"/>
        <item h="1" x="2548"/>
        <item h="1" x="2549"/>
        <item h="1" x="2550"/>
        <item h="1" x="2551"/>
        <item h="1" x="2552"/>
        <item h="1" x="2553"/>
        <item h="1" x="2554"/>
        <item h="1" x="2555"/>
        <item h="1" x="2556"/>
        <item h="1" x="2557"/>
        <item h="1" x="2558"/>
        <item h="1" x="2559"/>
        <item h="1" x="2560"/>
        <item h="1" x="2561"/>
        <item h="1" x="2562"/>
        <item h="1" x="2563"/>
        <item h="1" x="2564"/>
        <item h="1" x="2565"/>
        <item h="1" x="2566"/>
        <item h="1" x="2567"/>
        <item h="1" x="2568"/>
        <item h="1" x="2569"/>
        <item h="1" x="2570"/>
        <item h="1" x="2571"/>
        <item h="1" x="2572"/>
        <item h="1" x="2573"/>
        <item h="1" x="2574"/>
        <item h="1" x="2575"/>
        <item h="1" x="2576"/>
        <item h="1" x="2577"/>
        <item h="1" x="2578"/>
        <item h="1" x="2579"/>
        <item h="1" x="2580"/>
        <item h="1" x="2581"/>
        <item h="1" x="2582"/>
        <item h="1" x="2583"/>
        <item h="1" x="2584"/>
        <item h="1" x="2585"/>
        <item h="1" x="2586"/>
        <item h="1" x="2587"/>
        <item h="1" x="2588"/>
        <item h="1" x="2589"/>
        <item h="1" x="2590"/>
        <item h="1" x="2591"/>
        <item h="1" x="2592"/>
        <item h="1" x="2593"/>
        <item h="1" x="2594"/>
        <item h="1" x="2595"/>
        <item h="1" x="2596"/>
        <item h="1" x="2597"/>
        <item h="1" x="2598"/>
        <item h="1" x="2599"/>
        <item h="1" x="2600"/>
        <item h="1" x="2601"/>
        <item h="1" x="2602"/>
        <item h="1" x="2603"/>
        <item h="1" x="2604"/>
        <item h="1" x="2605"/>
        <item h="1" x="2606"/>
        <item h="1" x="2607"/>
        <item h="1" x="2608"/>
        <item h="1" x="2609"/>
        <item h="1" x="2610"/>
        <item h="1" x="2611"/>
        <item h="1" x="2612"/>
        <item h="1" x="2613"/>
        <item h="1" x="2614"/>
        <item h="1" x="2615"/>
        <item h="1" x="2616"/>
        <item h="1" x="2617"/>
        <item h="1" x="2618"/>
        <item h="1" x="2619"/>
        <item h="1" x="2620"/>
        <item h="1" x="2621"/>
        <item h="1" x="2622"/>
        <item h="1" x="2623"/>
        <item h="1" x="2624"/>
        <item h="1" x="2625"/>
        <item h="1" x="2626"/>
        <item h="1" x="2627"/>
        <item h="1" x="2628"/>
        <item h="1" x="2629"/>
        <item h="1" x="2630"/>
        <item h="1" x="2631"/>
        <item h="1" x="2632"/>
        <item h="1" x="2633"/>
        <item h="1" x="2634"/>
        <item h="1" x="2635"/>
        <item h="1" x="2636"/>
        <item h="1" x="2637"/>
        <item h="1" x="2638"/>
        <item h="1" x="2639"/>
        <item h="1" x="2640"/>
        <item h="1" x="2641"/>
        <item h="1" x="2642"/>
        <item h="1" x="2643"/>
        <item h="1" x="2644"/>
        <item h="1" x="2645"/>
        <item h="1" x="2646"/>
        <item h="1" x="2647"/>
        <item h="1" x="2648"/>
        <item h="1" x="2649"/>
        <item h="1" x="2650"/>
        <item h="1" x="2651"/>
        <item h="1" x="2652"/>
        <item h="1" x="2653"/>
        <item h="1" x="2654"/>
        <item h="1" x="2655"/>
        <item h="1" x="2656"/>
        <item h="1" x="2657"/>
        <item h="1" x="2658"/>
        <item h="1" x="2659"/>
        <item h="1" x="2660"/>
        <item h="1" x="2661"/>
        <item h="1" x="2662"/>
        <item h="1" x="2663"/>
        <item h="1" x="2664"/>
        <item h="1" x="2665"/>
        <item h="1" x="2666"/>
        <item h="1" x="2667"/>
        <item h="1" x="2668"/>
        <item h="1" x="2669"/>
        <item h="1" x="2670"/>
        <item h="1" x="2671"/>
        <item h="1" x="2672"/>
        <item h="1" x="2673"/>
        <item h="1" x="2674"/>
        <item h="1" x="2675"/>
        <item h="1" x="2676"/>
        <item h="1" x="2677"/>
        <item h="1" x="2678"/>
        <item h="1" x="2679"/>
        <item h="1" x="2680"/>
        <item h="1" x="2681"/>
        <item h="1" x="2682"/>
        <item h="1" x="2683"/>
        <item h="1" x="2684"/>
        <item h="1" x="2685"/>
        <item h="1" x="2686"/>
        <item h="1" x="2687"/>
        <item h="1" x="2688"/>
        <item h="1" x="2689"/>
        <item h="1" x="2690"/>
        <item h="1" x="2691"/>
        <item h="1" x="2692"/>
        <item h="1" x="2693"/>
        <item h="1" x="2694"/>
        <item h="1" x="2695"/>
        <item h="1" x="2696"/>
        <item h="1" x="2697"/>
        <item h="1" x="2698"/>
        <item h="1" x="2699"/>
        <item h="1" x="2700"/>
        <item h="1" x="2701"/>
        <item h="1" x="2702"/>
        <item h="1" x="2703"/>
        <item h="1" x="2704"/>
        <item h="1" x="2705"/>
        <item h="1" x="2706"/>
        <item h="1" x="2707"/>
        <item h="1" x="2708"/>
        <item h="1" x="2709"/>
        <item h="1" x="2710"/>
        <item h="1" x="2711"/>
        <item h="1" x="2712"/>
        <item h="1" x="2713"/>
        <item h="1" x="2714"/>
        <item h="1" x="2715"/>
        <item h="1" x="2716"/>
        <item h="1" x="2717"/>
        <item h="1" x="2718"/>
        <item h="1" x="2719"/>
        <item h="1" x="2720"/>
        <item h="1" x="2721"/>
        <item h="1" x="2722"/>
        <item h="1" x="2723"/>
        <item h="1" x="2724"/>
        <item h="1" x="2725"/>
        <item h="1" x="2726"/>
        <item h="1" x="2727"/>
        <item h="1" x="2728"/>
        <item h="1" x="2729"/>
        <item h="1" x="2730"/>
        <item h="1" x="2731"/>
        <item h="1" x="2732"/>
        <item h="1" x="2733"/>
        <item h="1" x="2734"/>
        <item h="1" x="2735"/>
        <item h="1" x="2736"/>
        <item h="1" x="2737"/>
        <item h="1" x="2738"/>
        <item h="1" x="2739"/>
        <item h="1" x="2740"/>
        <item h="1" x="2741"/>
        <item h="1" x="2742"/>
        <item h="1" x="2743"/>
        <item h="1" x="2744"/>
        <item h="1" x="2745"/>
        <item h="1" x="2746"/>
        <item h="1" x="2747"/>
        <item h="1" x="2748"/>
        <item h="1" x="2749"/>
        <item h="1" x="2750"/>
        <item h="1" x="2751"/>
        <item h="1" x="2752"/>
        <item h="1" x="2753"/>
        <item h="1" x="2754"/>
        <item h="1" x="2755"/>
        <item h="1" x="2756"/>
        <item h="1" x="2757"/>
        <item h="1" x="2758"/>
        <item h="1" x="2759"/>
        <item h="1" x="2760"/>
        <item h="1" x="2761"/>
        <item h="1" x="2762"/>
        <item h="1" x="2763"/>
        <item h="1" x="2764"/>
        <item h="1" x="2765"/>
        <item h="1" x="2766"/>
        <item h="1" x="2767"/>
        <item h="1" x="2768"/>
        <item h="1" x="2769"/>
        <item h="1" x="2770"/>
        <item h="1" x="2771"/>
        <item h="1" x="2772"/>
        <item h="1" x="2773"/>
        <item h="1" x="2774"/>
        <item h="1" x="2775"/>
        <item h="1" x="2776"/>
        <item h="1" x="2777"/>
        <item h="1" x="2778"/>
        <item h="1" x="2779"/>
        <item h="1" x="2780"/>
        <item h="1" x="2781"/>
        <item h="1" x="2782"/>
        <item h="1" x="2783"/>
        <item h="1" x="2784"/>
        <item h="1" x="2785"/>
        <item h="1" x="2786"/>
        <item h="1" x="2787"/>
        <item h="1" x="2788"/>
        <item h="1" x="2789"/>
        <item h="1" x="2790"/>
        <item h="1" x="2791"/>
        <item h="1" x="2792"/>
        <item h="1" x="2793"/>
        <item h="1" x="2794"/>
        <item h="1" x="2795"/>
        <item h="1" x="2796"/>
        <item h="1" x="2797"/>
        <item h="1" x="2798"/>
        <item h="1" x="2799"/>
        <item h="1" x="2800"/>
        <item h="1" x="2801"/>
        <item h="1" x="2802"/>
        <item h="1" x="2803"/>
        <item h="1" x="2804"/>
        <item h="1" x="2805"/>
        <item h="1" x="2806"/>
        <item h="1" x="2807"/>
        <item h="1" x="2808"/>
        <item h="1" x="2809"/>
        <item h="1" x="2810"/>
        <item h="1" x="2811"/>
        <item h="1" x="2812"/>
        <item h="1" x="2813"/>
        <item h="1" x="2814"/>
        <item h="1" x="2815"/>
        <item h="1" x="2816"/>
        <item h="1" x="2817"/>
        <item h="1" x="2818"/>
        <item h="1" x="2819"/>
        <item h="1" x="2820"/>
        <item h="1" x="2821"/>
        <item h="1" x="2822"/>
        <item h="1" x="2823"/>
        <item h="1" x="2824"/>
        <item h="1" x="2825"/>
        <item h="1" x="2826"/>
        <item h="1" x="2827"/>
        <item h="1" x="2828"/>
        <item h="1" x="2829"/>
        <item h="1" x="2830"/>
        <item h="1" x="2831"/>
        <item h="1" x="2832"/>
        <item h="1" x="2833"/>
        <item h="1" x="2834"/>
        <item h="1" x="2835"/>
        <item h="1" x="2836"/>
        <item h="1" x="2837"/>
        <item h="1" x="2838"/>
        <item h="1" x="2839"/>
        <item h="1" x="2840"/>
        <item h="1" x="2841"/>
        <item h="1" x="2842"/>
        <item h="1" x="2843"/>
        <item h="1" x="2844"/>
        <item h="1" x="2845"/>
        <item h="1" x="2846"/>
        <item h="1" x="2847"/>
        <item h="1" x="2848"/>
        <item h="1" x="2849"/>
        <item h="1" x="2850"/>
        <item h="1" x="2851"/>
        <item h="1" x="2852"/>
        <item h="1" x="2853"/>
        <item h="1" x="2854"/>
        <item h="1" x="2855"/>
        <item h="1" x="2856"/>
        <item h="1" x="2857"/>
        <item h="1" x="2858"/>
        <item h="1" x="2859"/>
        <item h="1" x="2860"/>
        <item h="1" x="2861"/>
        <item h="1" x="2862"/>
        <item h="1" x="2863"/>
        <item h="1" x="2864"/>
        <item h="1" x="2865"/>
        <item h="1" x="2866"/>
        <item h="1" x="2867"/>
        <item h="1" x="2868"/>
        <item h="1" x="2869"/>
        <item h="1" x="2870"/>
        <item h="1" x="2871"/>
        <item h="1" x="2872"/>
        <item h="1" x="2873"/>
        <item h="1" x="2874"/>
        <item h="1" x="2875"/>
        <item h="1" x="2876"/>
        <item h="1" x="2877"/>
        <item h="1" x="2878"/>
        <item h="1" x="2879"/>
        <item h="1" x="2880"/>
        <item h="1" x="2881"/>
        <item h="1" x="2882"/>
        <item h="1" x="2883"/>
        <item h="1" x="2884"/>
        <item h="1" x="2885"/>
        <item h="1" x="2886"/>
        <item h="1" x="2887"/>
        <item h="1" x="2888"/>
        <item h="1" x="2889"/>
        <item h="1" x="2890"/>
        <item h="1" x="2891"/>
        <item h="1" x="2892"/>
        <item h="1" x="2893"/>
        <item h="1" x="2894"/>
        <item h="1" x="2895"/>
        <item h="1" x="2896"/>
        <item h="1" x="2897"/>
        <item h="1" x="2898"/>
        <item h="1" x="2899"/>
        <item h="1" x="2900"/>
        <item h="1" x="2901"/>
        <item h="1" x="2902"/>
        <item h="1" x="2903"/>
        <item h="1" x="2904"/>
        <item h="1" x="2905"/>
        <item h="1" x="2906"/>
        <item h="1" x="2907"/>
        <item h="1" x="2908"/>
        <item h="1" x="2909"/>
        <item h="1" x="2910"/>
        <item h="1" x="2911"/>
        <item h="1" x="2912"/>
        <item h="1" x="2913"/>
        <item h="1" x="2914"/>
        <item h="1" x="2915"/>
        <item h="1" x="2916"/>
        <item h="1" x="2917"/>
        <item h="1" x="2918"/>
        <item h="1" x="2919"/>
        <item h="1" x="2920"/>
        <item h="1" x="2921"/>
        <item h="1" x="2922"/>
        <item h="1" x="2923"/>
        <item h="1" x="2924"/>
        <item h="1" x="2925"/>
        <item h="1" x="2926"/>
        <item h="1" x="2927"/>
        <item h="1" x="2928"/>
        <item h="1" x="2929"/>
        <item h="1" x="2930"/>
        <item h="1" x="2931"/>
        <item h="1" x="2932"/>
        <item h="1" x="2933"/>
        <item h="1" x="2934"/>
        <item h="1" x="2935"/>
        <item h="1" x="2936"/>
        <item h="1" x="2937"/>
        <item h="1" x="2938"/>
        <item h="1" x="2939"/>
        <item h="1" x="2940"/>
        <item h="1" x="2941"/>
        <item h="1" x="2942"/>
        <item h="1" x="2943"/>
        <item h="1" x="2944"/>
        <item h="1" x="2945"/>
        <item h="1" x="2946"/>
        <item h="1" x="2947"/>
        <item h="1" x="2948"/>
        <item h="1" x="2949"/>
        <item h="1" x="2950"/>
        <item h="1" x="2951"/>
        <item h="1" x="2952"/>
        <item h="1" x="2953"/>
        <item h="1" x="2954"/>
        <item h="1" x="2955"/>
        <item h="1" x="2956"/>
        <item h="1" x="2957"/>
        <item h="1" x="2958"/>
        <item h="1" x="2959"/>
        <item h="1" x="2960"/>
        <item h="1" x="2961"/>
        <item h="1" x="2962"/>
        <item h="1" x="2963"/>
        <item h="1" x="2964"/>
        <item h="1" x="2965"/>
        <item h="1" x="2966"/>
        <item h="1" x="2967"/>
        <item h="1" x="2968"/>
        <item h="1" x="2969"/>
        <item h="1" x="2970"/>
        <item h="1" x="2971"/>
        <item h="1" x="2972"/>
        <item h="1" x="2973"/>
        <item h="1" x="2974"/>
        <item h="1" x="2975"/>
        <item h="1" x="2976"/>
        <item h="1" x="2977"/>
        <item h="1" x="2978"/>
        <item h="1" x="2979"/>
        <item h="1" x="2980"/>
        <item h="1" x="2981"/>
        <item h="1" x="2982"/>
        <item h="1" x="2983"/>
        <item h="1" x="2984"/>
        <item h="1" x="2985"/>
        <item h="1" x="2986"/>
        <item h="1" x="2987"/>
        <item h="1" x="2988"/>
        <item h="1" x="2989"/>
        <item h="1" x="2990"/>
        <item h="1" x="2991"/>
        <item h="1" x="2992"/>
        <item h="1" x="2993"/>
        <item h="1" x="2994"/>
        <item h="1" x="2995"/>
        <item h="1" x="2996"/>
        <item h="1" x="2997"/>
        <item h="1" x="2998"/>
        <item h="1" x="2999"/>
        <item h="1" x="3000"/>
        <item h="1" x="3001"/>
        <item h="1" x="3002"/>
        <item h="1" x="3003"/>
        <item h="1" x="3004"/>
        <item h="1" x="3005"/>
        <item h="1" x="3006"/>
        <item h="1" x="3007"/>
        <item h="1" x="3008"/>
        <item h="1" x="3009"/>
        <item h="1" x="3010"/>
        <item h="1" x="3011"/>
        <item h="1" x="3012"/>
        <item h="1" x="3013"/>
        <item h="1" x="3014"/>
        <item h="1" x="3015"/>
        <item h="1" x="3016"/>
        <item h="1" x="3017"/>
        <item h="1" x="3018"/>
        <item h="1" x="3019"/>
        <item h="1" x="3020"/>
        <item h="1" x="3021"/>
        <item h="1" x="3022"/>
        <item h="1" x="3023"/>
        <item h="1" x="3024"/>
        <item h="1" x="3025"/>
        <item h="1" x="3026"/>
        <item h="1" x="3027"/>
        <item h="1" x="3028"/>
        <item h="1" x="3029"/>
        <item h="1" x="3030"/>
        <item h="1" x="3031"/>
        <item h="1" x="3032"/>
        <item h="1" x="3033"/>
        <item h="1" x="3034"/>
        <item h="1" x="3035"/>
        <item h="1" x="3036"/>
        <item h="1" x="3037"/>
        <item h="1" x="3038"/>
        <item h="1" x="3039"/>
        <item h="1" x="3040"/>
        <item h="1" x="3041"/>
        <item h="1" x="3042"/>
        <item h="1" x="3043"/>
        <item h="1" x="3044"/>
        <item h="1" x="3045"/>
        <item h="1" x="3046"/>
        <item h="1" x="3047"/>
        <item h="1" x="3048"/>
        <item h="1" x="3049"/>
        <item h="1" x="3050"/>
        <item h="1" x="3051"/>
        <item h="1" x="3052"/>
        <item h="1" x="3053"/>
        <item h="1" x="3054"/>
        <item h="1" x="3055"/>
        <item h="1" x="3056"/>
        <item h="1" x="3057"/>
        <item h="1" x="3058"/>
        <item h="1" x="3059"/>
        <item h="1" x="3060"/>
        <item h="1" x="3061"/>
        <item h="1" x="3062"/>
        <item h="1" x="3063"/>
        <item h="1" x="3064"/>
        <item h="1" x="3065"/>
        <item h="1" x="3066"/>
        <item h="1" x="3067"/>
        <item h="1" x="3068"/>
        <item h="1" x="3069"/>
        <item h="1" x="3070"/>
        <item h="1" x="3071"/>
        <item h="1" x="3072"/>
        <item h="1" x="3073"/>
        <item h="1" x="3074"/>
        <item h="1" x="3075"/>
        <item h="1" x="3076"/>
        <item h="1" x="3077"/>
        <item h="1" x="3078"/>
        <item h="1" x="3079"/>
        <item h="1" x="3080"/>
        <item h="1" x="3081"/>
        <item h="1" x="3082"/>
        <item h="1" x="3083"/>
        <item h="1" x="3084"/>
        <item h="1" x="3085"/>
        <item h="1" x="3086"/>
        <item h="1" x="3087"/>
        <item h="1" x="3088"/>
        <item h="1" x="3089"/>
        <item h="1" x="3090"/>
        <item h="1" x="3091"/>
        <item h="1" x="3092"/>
        <item h="1" x="3093"/>
        <item h="1" x="3094"/>
        <item h="1" x="3095"/>
        <item h="1" x="3096"/>
        <item h="1" x="3097"/>
        <item h="1" x="3098"/>
        <item h="1" x="3099"/>
        <item h="1" x="3100"/>
        <item h="1" x="3101"/>
        <item h="1" x="3102"/>
        <item h="1" x="3103"/>
        <item h="1" x="3104"/>
        <item h="1" x="3105"/>
        <item h="1" x="3106"/>
        <item h="1" x="3107"/>
        <item h="1" x="3108"/>
        <item h="1" x="3109"/>
        <item h="1" x="3110"/>
        <item h="1" x="3111"/>
        <item h="1" x="3112"/>
        <item h="1" x="3113"/>
        <item h="1" x="3114"/>
        <item h="1" x="3115"/>
        <item h="1" x="3116"/>
        <item h="1" x="3117"/>
        <item h="1" x="3118"/>
        <item h="1" x="3119"/>
        <item h="1" x="3120"/>
        <item h="1" x="3121"/>
        <item h="1" x="3122"/>
        <item h="1" x="3123"/>
        <item h="1" x="3124"/>
        <item h="1" x="3125"/>
        <item h="1" x="3126"/>
        <item h="1" x="3127"/>
        <item h="1" x="3128"/>
        <item h="1" x="3129"/>
        <item h="1" x="3130"/>
        <item h="1" x="3131"/>
        <item h="1" x="3132"/>
        <item h="1" x="3133"/>
        <item h="1" x="3134"/>
        <item h="1" x="3135"/>
        <item h="1" x="3136"/>
        <item h="1" x="3137"/>
        <item h="1" x="3138"/>
        <item h="1" x="3139"/>
        <item h="1" x="3140"/>
        <item h="1" x="3141"/>
        <item h="1" x="3142"/>
        <item h="1" x="3143"/>
        <item h="1" x="3144"/>
        <item h="1" x="3145"/>
        <item h="1" x="3146"/>
        <item h="1" x="3147"/>
        <item h="1" x="3148"/>
        <item h="1" x="3149"/>
        <item h="1" x="3150"/>
        <item h="1" x="3151"/>
        <item h="1" x="3152"/>
        <item h="1" x="3153"/>
        <item h="1" x="3154"/>
        <item h="1" x="3155"/>
        <item h="1" x="3156"/>
        <item h="1" x="3157"/>
        <item h="1" x="3158"/>
        <item h="1" x="3159"/>
        <item h="1" x="3160"/>
        <item h="1" x="3161"/>
        <item h="1" x="3162"/>
        <item h="1" x="3163"/>
        <item h="1" x="3164"/>
        <item h="1" x="3165"/>
        <item h="1" x="3166"/>
        <item h="1" x="3167"/>
        <item h="1" x="3168"/>
        <item h="1" x="3169"/>
        <item h="1" x="3170"/>
        <item h="1" x="3171"/>
        <item h="1" x="3172"/>
        <item h="1" x="3173"/>
        <item h="1" x="3174"/>
        <item h="1" x="3175"/>
        <item h="1" x="3176"/>
        <item h="1" x="3177"/>
        <item h="1" x="3178"/>
        <item h="1" x="3179"/>
        <item h="1" x="3180"/>
        <item h="1" x="3181"/>
        <item h="1" x="3182"/>
        <item h="1" x="3183"/>
        <item h="1" x="3184"/>
        <item h="1" x="3185"/>
        <item h="1" x="3186"/>
        <item h="1" x="3187"/>
        <item h="1" x="3188"/>
        <item h="1" x="3189"/>
        <item h="1" x="3190"/>
        <item h="1" x="3191"/>
        <item h="1" x="3192"/>
        <item h="1" x="3193"/>
        <item h="1" x="3194"/>
        <item h="1" x="3195"/>
        <item h="1" x="3196"/>
        <item h="1" x="3197"/>
        <item h="1" x="3198"/>
        <item h="1" x="3199"/>
        <item h="1" x="3200"/>
        <item h="1" x="3201"/>
        <item h="1" x="3202"/>
        <item h="1" x="3203"/>
        <item h="1" x="3204"/>
        <item h="1" x="3205"/>
        <item h="1" x="3206"/>
        <item h="1" x="3207"/>
        <item h="1" x="3208"/>
        <item h="1" x="3209"/>
        <item h="1" x="3210"/>
        <item h="1" x="3211"/>
        <item h="1" x="3212"/>
        <item h="1" x="3213"/>
        <item h="1" x="3214"/>
        <item h="1" x="3215"/>
        <item h="1" x="3216"/>
        <item h="1" x="3217"/>
        <item h="1" x="3218"/>
        <item h="1" x="3219"/>
        <item h="1" x="3220"/>
        <item h="1" x="3221"/>
        <item h="1" x="3222"/>
        <item h="1" x="3223"/>
        <item h="1" x="3224"/>
        <item h="1" x="3225"/>
        <item h="1" x="3226"/>
        <item h="1" x="3227"/>
        <item h="1" x="3228"/>
        <item h="1" x="3229"/>
        <item h="1" x="3230"/>
        <item h="1" x="3231"/>
        <item h="1" x="3232"/>
        <item h="1" x="3233"/>
        <item h="1" x="3234"/>
        <item h="1" x="3235"/>
        <item h="1" x="3236"/>
        <item h="1" x="3237"/>
        <item h="1" x="3238"/>
        <item h="1" x="3239"/>
        <item h="1" x="3240"/>
        <item h="1" x="3241"/>
        <item h="1" x="3242"/>
        <item h="1" x="3243"/>
        <item h="1" x="3244"/>
        <item h="1" x="3245"/>
        <item h="1" x="3246"/>
        <item h="1" x="3247"/>
        <item h="1" x="3248"/>
        <item h="1" x="3249"/>
        <item h="1" x="3250"/>
        <item h="1" x="3251"/>
        <item h="1" x="3252"/>
        <item h="1" x="3253"/>
        <item h="1" x="3254"/>
        <item h="1" x="3255"/>
        <item h="1" x="3256"/>
        <item h="1" x="3257"/>
        <item h="1" x="3258"/>
        <item h="1" x="3259"/>
        <item h="1" x="3260"/>
        <item h="1" x="3261"/>
        <item h="1" x="3262"/>
        <item h="1" x="3263"/>
        <item h="1" x="3264"/>
        <item h="1" x="3265"/>
        <item h="1" x="3266"/>
        <item h="1" x="3267"/>
        <item h="1" x="3268"/>
        <item h="1" x="3269"/>
        <item h="1" x="3270"/>
        <item h="1" x="3271"/>
        <item h="1" x="3272"/>
        <item h="1" x="3273"/>
        <item h="1" x="3274"/>
        <item h="1" x="3275"/>
        <item h="1" x="3276"/>
        <item h="1" x="3277"/>
        <item h="1" x="3278"/>
        <item h="1" x="3279"/>
        <item h="1" x="3280"/>
        <item h="1" x="3281"/>
        <item h="1" x="3282"/>
        <item h="1" x="3283"/>
        <item h="1" x="3284"/>
        <item h="1" x="3285"/>
        <item h="1" x="3286"/>
        <item h="1" x="3287"/>
        <item h="1" x="3288"/>
        <item h="1" x="3289"/>
        <item h="1" x="3290"/>
        <item h="1" x="3291"/>
        <item h="1" x="3292"/>
        <item h="1" x="3293"/>
        <item h="1" x="3294"/>
        <item h="1" x="3295"/>
        <item h="1" x="3296"/>
        <item h="1" x="3297"/>
        <item h="1" x="3298"/>
        <item h="1" x="3299"/>
        <item h="1" x="3300"/>
        <item h="1" x="3301"/>
        <item h="1" x="3302"/>
        <item h="1" x="3303"/>
        <item h="1" x="3304"/>
        <item h="1" x="3305"/>
        <item h="1" x="3306"/>
        <item h="1" x="3307"/>
        <item h="1" x="3308"/>
        <item h="1" x="3309"/>
        <item h="1" x="3310"/>
        <item h="1" x="3311"/>
        <item h="1" x="3312"/>
        <item h="1" x="3313"/>
        <item h="1" x="3314"/>
        <item h="1" x="3315"/>
        <item h="1" x="3316"/>
        <item h="1" x="3317"/>
        <item h="1" x="3318"/>
        <item h="1" x="3319"/>
        <item h="1" x="3320"/>
        <item h="1" x="3321"/>
        <item h="1" x="3322"/>
        <item h="1" x="3323"/>
        <item h="1" x="3324"/>
        <item h="1" x="3325"/>
        <item h="1" x="3326"/>
        <item h="1" x="3327"/>
        <item h="1" x="3328"/>
        <item h="1" x="3329"/>
        <item h="1" x="3330"/>
        <item h="1" x="3331"/>
        <item h="1" x="3332"/>
        <item h="1" x="3333"/>
        <item h="1" x="3334"/>
        <item h="1" x="3335"/>
        <item h="1" x="3336"/>
        <item h="1" x="3337"/>
        <item h="1" x="3338"/>
        <item h="1" x="3339"/>
        <item h="1" x="3340"/>
        <item h="1" x="3341"/>
        <item h="1" x="3342"/>
        <item h="1" x="3343"/>
        <item h="1" x="3344"/>
        <item h="1" x="3345"/>
        <item h="1" x="3346"/>
        <item h="1" x="3347"/>
        <item h="1" x="3348"/>
        <item h="1" x="3349"/>
        <item h="1" x="3350"/>
        <item h="1" x="3351"/>
        <item h="1" x="3352"/>
        <item h="1" x="3353"/>
        <item h="1" x="3354"/>
        <item h="1" x="3355"/>
        <item h="1" x="3356"/>
        <item h="1" x="3357"/>
        <item h="1" x="3358"/>
        <item h="1" x="3359"/>
        <item h="1" x="3360"/>
        <item h="1" x="3361"/>
        <item h="1" x="3362"/>
        <item h="1" x="3363"/>
        <item h="1" x="3364"/>
        <item h="1" x="3365"/>
        <item h="1" x="3366"/>
        <item h="1" x="3367"/>
        <item h="1" x="3368"/>
        <item h="1" x="3369"/>
        <item h="1" x="3370"/>
        <item h="1" x="3371"/>
        <item h="1" x="3372"/>
        <item h="1" x="3373"/>
        <item h="1" x="3374"/>
        <item h="1" x="3375"/>
        <item h="1" x="3376"/>
        <item h="1" x="3377"/>
        <item h="1" x="3378"/>
        <item h="1" x="3379"/>
        <item h="1" x="3380"/>
        <item h="1" x="3381"/>
        <item h="1" x="3382"/>
        <item h="1" x="3383"/>
        <item h="1" x="3384"/>
        <item h="1" x="3385"/>
        <item h="1" x="3386"/>
        <item h="1" x="3387"/>
        <item h="1" x="3388"/>
        <item h="1" x="3389"/>
        <item h="1" x="3390"/>
        <item h="1" x="3391"/>
        <item h="1" x="3392"/>
        <item h="1" x="3393"/>
        <item h="1" x="3394"/>
        <item h="1" x="3395"/>
        <item h="1" x="3396"/>
        <item h="1" x="3397"/>
        <item h="1" x="3398"/>
        <item h="1" x="3399"/>
        <item h="1" x="3400"/>
        <item h="1" x="3401"/>
        <item h="1" x="3402"/>
        <item h="1" x="3403"/>
        <item h="1" x="3404"/>
        <item h="1" x="3405"/>
        <item h="1" x="3406"/>
        <item h="1" x="3407"/>
        <item h="1" x="3408"/>
        <item h="1" x="3409"/>
        <item h="1" x="3410"/>
        <item h="1" x="3411"/>
        <item h="1" x="3412"/>
        <item h="1" x="3413"/>
        <item h="1" x="3414"/>
        <item h="1" x="3415"/>
        <item h="1" x="3416"/>
        <item h="1" x="3417"/>
        <item h="1" x="3418"/>
        <item h="1" x="3419"/>
        <item h="1" x="3420"/>
        <item h="1" x="3421"/>
        <item h="1" x="3422"/>
        <item h="1" x="3423"/>
        <item h="1" x="3424"/>
        <item h="1" x="3425"/>
        <item h="1" x="3426"/>
        <item h="1" x="3427"/>
        <item h="1" x="3428"/>
        <item h="1" x="3429"/>
        <item h="1" x="3430"/>
        <item h="1" x="3431"/>
        <item h="1" x="3432"/>
        <item h="1" x="3433"/>
        <item h="1" x="3434"/>
        <item h="1" x="3435"/>
        <item h="1" x="3436"/>
        <item h="1" x="3437"/>
        <item h="1" x="3438"/>
        <item h="1" x="3439"/>
        <item h="1" x="3440"/>
        <item h="1" x="3441"/>
        <item h="1" x="3442"/>
        <item h="1" x="3443"/>
        <item h="1" x="3444"/>
        <item h="1" x="3445"/>
        <item h="1" x="3446"/>
        <item h="1" x="3447"/>
        <item h="1" x="3448"/>
        <item h="1" x="3449"/>
        <item h="1" x="3450"/>
        <item h="1" x="3451"/>
        <item h="1" x="3452"/>
        <item h="1" x="3453"/>
        <item h="1" x="3454"/>
        <item h="1" x="3455"/>
        <item h="1" x="3456"/>
        <item h="1" x="3457"/>
        <item h="1" x="3458"/>
        <item h="1" x="3459"/>
        <item h="1" x="3460"/>
        <item h="1" x="3461"/>
        <item h="1" x="3462"/>
        <item h="1" x="3463"/>
        <item h="1" x="3464"/>
        <item h="1" x="3465"/>
        <item h="1" x="3466"/>
        <item h="1" x="3467"/>
        <item h="1" x="3468"/>
        <item h="1" x="3469"/>
        <item h="1" x="3470"/>
        <item h="1" x="3471"/>
        <item h="1" x="3472"/>
        <item h="1" x="3473"/>
        <item h="1" x="3474"/>
        <item h="1" x="3475"/>
        <item h="1" x="3476"/>
        <item h="1" x="3477"/>
        <item h="1" x="3478"/>
        <item h="1" x="3479"/>
        <item h="1" x="3480"/>
        <item h="1" x="3481"/>
        <item h="1" x="3482"/>
        <item h="1" x="3483"/>
        <item h="1" x="3484"/>
        <item h="1" x="3485"/>
        <item h="1" x="3486"/>
        <item h="1" x="3487"/>
        <item h="1" x="3488"/>
        <item h="1" x="3489"/>
        <item h="1" x="3490"/>
        <item h="1" x="3491"/>
        <item h="1" x="3492"/>
        <item h="1" x="3493"/>
        <item h="1" x="3494"/>
        <item h="1" x="3495"/>
        <item h="1" x="3496"/>
        <item h="1" x="3497"/>
        <item h="1" x="3498"/>
        <item h="1" x="3499"/>
        <item h="1" x="3500"/>
        <item h="1" x="3501"/>
        <item h="1" x="3502"/>
        <item h="1" x="3503"/>
        <item h="1" x="3504"/>
        <item h="1" x="3505"/>
        <item h="1" x="3506"/>
        <item h="1" x="3507"/>
        <item h="1" x="3508"/>
        <item h="1" x="3509"/>
        <item h="1" x="3510"/>
        <item h="1" x="3511"/>
        <item h="1" x="3512"/>
        <item h="1" x="3513"/>
        <item h="1" x="3514"/>
        <item h="1" x="3515"/>
        <item h="1" x="3516"/>
        <item h="1" x="3517"/>
        <item h="1" x="3518"/>
        <item h="1" x="3519"/>
        <item h="1" x="3520"/>
        <item h="1" x="3521"/>
        <item h="1" x="3522"/>
        <item h="1" x="3523"/>
        <item h="1" x="3524"/>
        <item h="1" x="3525"/>
        <item h="1" x="3526"/>
        <item h="1" x="3527"/>
        <item h="1" x="3528"/>
        <item h="1" x="3529"/>
        <item h="1" x="3530"/>
        <item h="1" x="3531"/>
        <item h="1" x="3532"/>
        <item h="1" x="3533"/>
        <item h="1" x="3534"/>
        <item h="1" x="3535"/>
        <item h="1" x="3536"/>
        <item h="1" x="3537"/>
        <item h="1" x="3538"/>
        <item h="1" x="3539"/>
        <item h="1" x="3540"/>
        <item h="1" x="3541"/>
        <item h="1" x="3542"/>
        <item h="1" x="3543"/>
        <item h="1" x="3544"/>
        <item h="1" x="3545"/>
        <item h="1" x="3546"/>
        <item h="1" x="3547"/>
        <item h="1" x="3548"/>
        <item h="1" x="3549"/>
        <item h="1" x="3550"/>
        <item h="1" x="3551"/>
        <item h="1" x="3552"/>
        <item h="1" x="3553"/>
        <item h="1" x="3554"/>
        <item h="1" x="3555"/>
        <item h="1" x="3556"/>
        <item h="1" x="3557"/>
        <item h="1" x="3558"/>
        <item h="1" x="3559"/>
        <item h="1" x="3560"/>
        <item h="1" x="3561"/>
        <item h="1" x="3562"/>
        <item h="1" x="3563"/>
        <item h="1" x="3564"/>
        <item h="1" x="3565"/>
        <item h="1" x="3566"/>
        <item h="1" x="3567"/>
        <item h="1" x="3568"/>
        <item h="1" x="3569"/>
        <item h="1" x="3570"/>
        <item h="1" x="3571"/>
        <item h="1" x="3572"/>
        <item h="1" x="3573"/>
        <item h="1" x="3574"/>
        <item h="1" x="3575"/>
        <item h="1" x="3576"/>
        <item h="1" x="3577"/>
        <item h="1" x="3578"/>
        <item h="1" x="3579"/>
        <item h="1" x="3580"/>
        <item h="1" x="3581"/>
        <item h="1" x="3582"/>
        <item h="1" x="3583"/>
        <item h="1" x="3584"/>
        <item h="1" x="3585"/>
        <item h="1" x="3586"/>
        <item h="1" x="3587"/>
        <item h="1" x="3588"/>
        <item h="1" x="3589"/>
        <item h="1" x="3590"/>
        <item h="1" x="3591"/>
        <item h="1" x="3592"/>
        <item h="1" x="3593"/>
        <item h="1" x="3594"/>
        <item h="1" x="3595"/>
        <item h="1" x="3596"/>
        <item h="1" x="3597"/>
        <item h="1" x="3598"/>
        <item h="1" x="3599"/>
        <item h="1" x="3600"/>
        <item h="1" x="3601"/>
        <item h="1" x="3602"/>
        <item h="1" x="3603"/>
        <item h="1" x="3604"/>
        <item h="1" x="3605"/>
        <item h="1" x="3606"/>
        <item h="1" x="3607"/>
        <item h="1" x="3608"/>
        <item h="1" x="3609"/>
        <item h="1" x="3610"/>
        <item h="1" x="3611"/>
        <item h="1" x="3612"/>
        <item h="1" x="3613"/>
        <item h="1" x="3614"/>
        <item h="1" x="3615"/>
        <item h="1" x="3616"/>
        <item h="1" x="3617"/>
        <item h="1" x="3618"/>
        <item h="1" x="3619"/>
        <item h="1" x="3620"/>
        <item h="1" x="3621"/>
        <item h="1" x="3622"/>
        <item h="1" x="3623"/>
        <item h="1" x="3624"/>
        <item h="1" x="3625"/>
        <item h="1" x="3626"/>
        <item h="1" x="3627"/>
        <item h="1" x="3628"/>
        <item h="1" x="3629"/>
        <item h="1" x="3630"/>
        <item h="1" x="3631"/>
        <item h="1" x="3632"/>
        <item h="1" x="3633"/>
        <item h="1" x="3634"/>
        <item h="1" x="3635"/>
        <item h="1" x="3636"/>
        <item h="1" x="3637"/>
        <item h="1" x="3638"/>
        <item h="1" x="3639"/>
        <item h="1" x="3640"/>
        <item h="1" x="3641"/>
        <item h="1" x="3642"/>
        <item h="1" x="3643"/>
        <item h="1" x="3644"/>
        <item h="1" x="3645"/>
        <item h="1" x="3646"/>
        <item h="1" x="3647"/>
        <item h="1" x="3648"/>
        <item h="1" x="3649"/>
        <item h="1" x="3650"/>
        <item h="1" x="3651"/>
        <item h="1" x="3652"/>
        <item h="1" x="3653"/>
        <item h="1" x="3654"/>
        <item h="1" x="3655"/>
        <item h="1" x="3656"/>
        <item h="1" x="3657"/>
        <item h="1" x="3658"/>
        <item h="1" x="3659"/>
        <item h="1" x="3660"/>
        <item h="1" x="3661"/>
        <item h="1" x="3662"/>
        <item h="1" x="3663"/>
        <item h="1" x="3664"/>
        <item h="1" x="3665"/>
        <item h="1" x="3666"/>
        <item h="1" x="3667"/>
        <item h="1" x="3668"/>
        <item h="1" x="3669"/>
        <item h="1" x="3670"/>
        <item h="1" x="3671"/>
        <item h="1" x="3672"/>
        <item h="1" x="3673"/>
        <item h="1" x="3674"/>
        <item h="1" x="3675"/>
        <item h="1" x="3676"/>
        <item h="1" x="3677"/>
        <item h="1" x="3678"/>
        <item h="1" x="3679"/>
        <item h="1" x="3680"/>
        <item h="1" x="3681"/>
        <item h="1" x="3682"/>
        <item h="1" x="3683"/>
        <item h="1" x="3684"/>
        <item h="1" x="3685"/>
        <item h="1" x="3686"/>
        <item h="1" x="3687"/>
        <item h="1" x="3688"/>
        <item h="1" x="3689"/>
        <item h="1" x="3690"/>
        <item h="1" x="3691"/>
        <item h="1" x="3692"/>
        <item h="1" x="3693"/>
        <item h="1" x="3694"/>
        <item h="1" x="3695"/>
        <item h="1" x="3696"/>
        <item h="1" x="3697"/>
        <item h="1" x="3698"/>
        <item h="1" x="3699"/>
        <item h="1" x="3700"/>
        <item h="1" x="3701"/>
        <item h="1" x="3702"/>
        <item h="1" x="3703"/>
        <item h="1" x="3704"/>
        <item h="1" x="3705"/>
        <item h="1" x="3706"/>
        <item h="1" x="3707"/>
        <item h="1" x="3708"/>
        <item h="1" x="3709"/>
        <item h="1" x="3710"/>
        <item h="1" x="3711"/>
        <item h="1" x="3712"/>
        <item h="1" x="3713"/>
        <item h="1" x="3714"/>
        <item h="1" x="3715"/>
        <item h="1" x="3716"/>
        <item h="1" x="3717"/>
        <item h="1" x="3718"/>
        <item h="1" x="3719"/>
        <item h="1" x="3720"/>
        <item h="1" x="3721"/>
        <item h="1" x="3722"/>
        <item h="1" x="3723"/>
        <item h="1" x="3724"/>
        <item h="1" x="3725"/>
        <item h="1" x="3726"/>
        <item h="1" x="3727"/>
        <item h="1" x="3728"/>
        <item h="1" x="3729"/>
        <item h="1" x="3730"/>
        <item h="1" x="3731"/>
        <item h="1" x="3732"/>
        <item h="1" x="3733"/>
        <item h="1" x="3734"/>
        <item h="1" x="3735"/>
        <item h="1" x="3736"/>
        <item h="1" x="3737"/>
        <item h="1" x="3738"/>
        <item h="1" x="3739"/>
        <item h="1" x="3740"/>
        <item h="1" x="3741"/>
        <item h="1" x="3742"/>
        <item h="1" x="3743"/>
        <item h="1" x="3744"/>
        <item h="1" x="3745"/>
        <item h="1" x="3746"/>
        <item h="1" x="3747"/>
        <item h="1" x="3748"/>
        <item h="1" x="3749"/>
        <item h="1" x="3750"/>
        <item h="1" x="3751"/>
        <item h="1" x="3752"/>
        <item h="1" x="3753"/>
        <item h="1" x="3754"/>
        <item h="1" x="3755"/>
        <item h="1" x="3756"/>
        <item h="1" x="3757"/>
        <item h="1" x="3758"/>
        <item h="1" x="3759"/>
        <item h="1" x="3760"/>
        <item h="1" x="3761"/>
        <item h="1" x="3762"/>
        <item h="1" x="3763"/>
        <item h="1" x="3764"/>
        <item h="1" x="3765"/>
        <item h="1" x="3766"/>
        <item h="1" x="3767"/>
        <item h="1" x="3768"/>
        <item h="1" x="3769"/>
        <item h="1" x="3770"/>
        <item h="1" x="3771"/>
        <item h="1" x="3772"/>
        <item h="1" x="3773"/>
        <item h="1" x="3774"/>
        <item h="1" x="3775"/>
        <item h="1" x="3776"/>
        <item h="1" x="3777"/>
        <item h="1" x="3778"/>
        <item h="1" x="3779"/>
        <item h="1" x="3780"/>
        <item h="1" x="3781"/>
        <item h="1" x="3782"/>
        <item h="1" x="3783"/>
        <item h="1" x="3784"/>
        <item h="1" x="3785"/>
        <item h="1" x="3786"/>
        <item h="1" x="3787"/>
        <item h="1" x="3788"/>
        <item h="1" x="3789"/>
        <item h="1" x="3790"/>
        <item h="1" x="3791"/>
        <item h="1" x="3792"/>
        <item h="1" x="3793"/>
        <item h="1" x="3794"/>
        <item h="1" x="3795"/>
        <item h="1" x="3796"/>
        <item h="1" x="3797"/>
        <item h="1" x="3798"/>
        <item h="1" x="3799"/>
        <item h="1" x="3800"/>
        <item h="1" x="3801"/>
        <item h="1" x="3802"/>
        <item h="1" x="3803"/>
        <item h="1" x="3804"/>
        <item h="1" x="3805"/>
        <item h="1" x="3806"/>
        <item h="1" x="3807"/>
        <item h="1" x="3808"/>
        <item h="1" x="3809"/>
        <item h="1" x="3810"/>
        <item h="1" x="3811"/>
        <item h="1" x="3812"/>
        <item h="1" x="3813"/>
        <item h="1" x="3814"/>
        <item h="1" x="3815"/>
        <item h="1" x="3816"/>
        <item h="1" x="3817"/>
        <item h="1" x="3818"/>
        <item h="1" x="3819"/>
        <item h="1" x="3820"/>
        <item h="1" x="3821"/>
        <item h="1" x="3822"/>
        <item h="1" x="3823"/>
        <item h="1" x="3824"/>
        <item h="1" x="3825"/>
        <item h="1" x="3826"/>
        <item h="1" x="3827"/>
        <item h="1" x="3828"/>
        <item h="1" x="3829"/>
        <item h="1" x="3830"/>
        <item h="1" x="3831"/>
        <item h="1" x="3832"/>
        <item h="1" x="3833"/>
        <item h="1" x="3834"/>
        <item h="1" x="3835"/>
        <item h="1" x="3836"/>
        <item h="1" x="3837"/>
        <item h="1" x="3838"/>
        <item h="1" x="3839"/>
        <item h="1" x="3840"/>
        <item h="1" x="3841"/>
        <item h="1" x="3842"/>
        <item h="1" x="3843"/>
        <item h="1" x="3844"/>
        <item h="1" x="3845"/>
        <item h="1" x="3846"/>
        <item h="1" x="3847"/>
        <item h="1" x="3848"/>
        <item h="1" x="3849"/>
        <item h="1" x="3850"/>
        <item h="1" x="3851"/>
        <item h="1" x="3852"/>
        <item h="1" x="3853"/>
        <item h="1" x="3854"/>
        <item h="1" x="3855"/>
        <item h="1" x="3856"/>
        <item h="1" x="3857"/>
        <item h="1" x="3858"/>
        <item h="1" x="3859"/>
        <item h="1" x="3860"/>
        <item h="1" x="3861"/>
        <item h="1" x="3862"/>
        <item h="1" x="3863"/>
        <item h="1" x="3864"/>
        <item h="1" x="3865"/>
        <item h="1" x="3866"/>
        <item h="1" x="3867"/>
        <item h="1" x="3868"/>
        <item h="1" x="3869"/>
        <item h="1" x="3870"/>
        <item h="1" x="3871"/>
        <item h="1" x="3872"/>
        <item h="1" x="3873"/>
        <item h="1" x="3874"/>
        <item h="1" x="3875"/>
        <item h="1" x="3876"/>
        <item h="1" x="3877"/>
        <item h="1" x="3878"/>
        <item h="1" x="3879"/>
        <item h="1" x="3880"/>
        <item h="1" x="3881"/>
        <item h="1" x="3882"/>
        <item h="1" x="3883"/>
        <item h="1" x="3884"/>
        <item h="1" x="3885"/>
        <item h="1" x="3886"/>
        <item h="1" x="3887"/>
        <item h="1" x="3888"/>
        <item h="1" x="3889"/>
        <item h="1" x="3890"/>
        <item h="1" x="3891"/>
        <item h="1" x="3892"/>
        <item h="1" x="3893"/>
        <item h="1" x="3894"/>
        <item h="1" x="3895"/>
        <item h="1" x="3896"/>
        <item h="1" x="3897"/>
        <item h="1" x="3898"/>
        <item h="1" x="3899"/>
        <item h="1" x="3900"/>
        <item h="1" x="3901"/>
        <item h="1" x="3902"/>
        <item h="1" x="3903"/>
        <item h="1" x="3904"/>
        <item h="1" x="3905"/>
        <item h="1" x="3906"/>
        <item h="1" x="3907"/>
        <item h="1" x="3908"/>
        <item h="1" x="3909"/>
        <item h="1" x="3910"/>
        <item h="1" x="3911"/>
        <item h="1" x="3912"/>
        <item h="1" x="3913"/>
        <item h="1" x="3914"/>
        <item h="1" x="3915"/>
        <item h="1" x="3916"/>
        <item h="1" x="3917"/>
        <item h="1" x="3918"/>
        <item h="1" x="3919"/>
        <item h="1" x="3920"/>
        <item h="1" x="3921"/>
        <item h="1" x="3922"/>
        <item h="1" x="3923"/>
        <item h="1" x="3924"/>
        <item h="1" x="3925"/>
        <item h="1" x="3926"/>
        <item h="1" x="3927"/>
        <item h="1" x="3928"/>
        <item h="1" x="3929"/>
        <item h="1" x="3930"/>
        <item h="1" x="3931"/>
        <item h="1" x="3932"/>
        <item h="1" x="3933"/>
        <item h="1" x="3934"/>
        <item h="1" x="3935"/>
        <item h="1" x="3936"/>
        <item h="1" x="3937"/>
        <item h="1" x="3938"/>
        <item h="1" x="3939"/>
        <item h="1" x="3940"/>
        <item h="1" x="3941"/>
        <item h="1" x="3942"/>
        <item h="1" x="3943"/>
        <item h="1" x="3944"/>
        <item h="1" x="3945"/>
        <item h="1" x="3946"/>
        <item h="1" x="3947"/>
        <item h="1" x="3948"/>
        <item h="1" x="3949"/>
        <item h="1" x="3950"/>
        <item h="1" x="3951"/>
        <item h="1" x="3952"/>
        <item h="1" x="3953"/>
        <item h="1" x="3954"/>
        <item h="1" x="3955"/>
        <item h="1" x="3956"/>
        <item h="1" x="3957"/>
        <item h="1" x="3958"/>
        <item h="1" x="3959"/>
        <item h="1" x="3960"/>
        <item h="1" x="3961"/>
        <item h="1" x="3962"/>
        <item h="1" x="3963"/>
        <item h="1" x="3964"/>
        <item h="1" x="3965"/>
        <item h="1" x="3966"/>
        <item h="1" x="3967"/>
        <item h="1" x="3968"/>
        <item h="1" x="3969"/>
        <item h="1" x="3970"/>
        <item h="1" x="3971"/>
        <item h="1" x="3972"/>
        <item h="1" x="3973"/>
        <item h="1" x="3974"/>
        <item h="1" x="3975"/>
        <item h="1" x="3976"/>
        <item h="1" x="3977"/>
        <item h="1" x="3978"/>
        <item h="1" x="3979"/>
        <item h="1" x="3980"/>
        <item h="1" x="3981"/>
        <item h="1" x="3982"/>
        <item h="1" x="3983"/>
        <item h="1" x="3984"/>
        <item h="1" x="3985"/>
        <item h="1" x="3986"/>
        <item h="1" x="3987"/>
        <item h="1" x="3988"/>
        <item h="1" x="3989"/>
        <item h="1" x="3990"/>
        <item h="1" x="3991"/>
        <item h="1" x="3992"/>
        <item h="1" x="3993"/>
        <item h="1" x="3994"/>
        <item h="1" x="3995"/>
        <item h="1" x="3996"/>
        <item h="1" x="3997"/>
        <item h="1" x="3998"/>
        <item h="1" x="3999"/>
        <item h="1" x="4000"/>
        <item h="1" x="4001"/>
        <item h="1" x="4002"/>
        <item h="1" x="4003"/>
        <item h="1" x="4004"/>
        <item h="1" x="4005"/>
        <item h="1" x="4006"/>
        <item h="1" x="4007"/>
        <item h="1" x="4008"/>
        <item h="1" x="4009"/>
        <item h="1" x="4010"/>
        <item h="1" x="4011"/>
        <item h="1" x="4012"/>
        <item h="1" x="4013"/>
        <item h="1" x="4014"/>
        <item h="1" x="4015"/>
        <item h="1" x="4016"/>
        <item h="1" x="4017"/>
        <item h="1" x="4018"/>
        <item h="1" x="4019"/>
        <item h="1" x="4020"/>
        <item h="1" x="4021"/>
        <item h="1" x="4022"/>
        <item h="1" x="4023"/>
        <item h="1" x="4024"/>
        <item h="1" x="4025"/>
        <item h="1" x="4026"/>
        <item h="1" x="4027"/>
        <item h="1" x="4028"/>
        <item h="1" x="4029"/>
        <item h="1" x="4030"/>
        <item h="1" x="4031"/>
        <item h="1" x="4032"/>
        <item h="1" x="4033"/>
        <item h="1" x="4034"/>
        <item h="1" x="4035"/>
        <item h="1" x="4036"/>
        <item h="1" x="4037"/>
        <item h="1" x="4038"/>
        <item h="1" x="4039"/>
        <item h="1" x="4040"/>
        <item h="1" x="4041"/>
        <item h="1" x="4042"/>
        <item h="1" x="4043"/>
        <item h="1" x="4044"/>
        <item h="1" x="4045"/>
        <item h="1" x="4046"/>
        <item h="1" x="4047"/>
        <item h="1" x="4048"/>
        <item h="1" x="4049"/>
        <item h="1" x="4050"/>
        <item h="1" x="4051"/>
        <item h="1" x="4052"/>
        <item h="1" x="4053"/>
        <item h="1" x="4054"/>
        <item h="1" x="4055"/>
        <item h="1" x="4056"/>
        <item h="1" x="4057"/>
        <item h="1" x="4058"/>
        <item h="1" x="4059"/>
        <item h="1" x="4060"/>
        <item h="1" x="4061"/>
        <item h="1" x="4062"/>
        <item h="1" x="4063"/>
        <item h="1" x="4064"/>
        <item h="1" x="4065"/>
        <item h="1" x="4066"/>
        <item h="1" x="4067"/>
        <item h="1" x="4068"/>
        <item h="1" x="4069"/>
        <item h="1" x="4070"/>
        <item h="1" x="4071"/>
        <item h="1" x="4072"/>
        <item h="1" x="4073"/>
        <item h="1" x="4074"/>
        <item h="1" x="4075"/>
        <item h="1" x="4076"/>
        <item h="1" x="4077"/>
        <item h="1" x="4078"/>
        <item h="1" x="4079"/>
        <item h="1" x="4080"/>
        <item h="1" x="4081"/>
        <item h="1" x="4082"/>
        <item h="1" x="4083"/>
        <item h="1" x="4084"/>
        <item h="1" x="4085"/>
        <item h="1" x="4086"/>
        <item h="1" x="4087"/>
        <item h="1" x="4088"/>
        <item h="1" x="4089"/>
        <item h="1" x="4090"/>
        <item h="1" x="4091"/>
        <item h="1" x="4092"/>
        <item h="1" x="4093"/>
        <item h="1" x="4094"/>
        <item h="1" x="4095"/>
        <item h="1" x="4096"/>
        <item h="1" x="4097"/>
        <item h="1" x="4098"/>
        <item h="1" x="4099"/>
        <item h="1" x="4100"/>
        <item h="1" x="4101"/>
        <item h="1" x="4102"/>
        <item h="1" x="4103"/>
        <item h="1" x="4104"/>
        <item h="1" x="4105"/>
        <item h="1" x="4106"/>
        <item h="1" x="4107"/>
        <item h="1" x="4108"/>
        <item h="1" x="4109"/>
        <item h="1" x="4110"/>
        <item h="1" x="4111"/>
        <item h="1" x="4112"/>
        <item h="1" x="4113"/>
        <item h="1" x="4114"/>
        <item h="1" x="4115"/>
        <item h="1" x="4116"/>
        <item h="1" x="4117"/>
        <item h="1" x="4118"/>
        <item h="1" x="4119"/>
        <item h="1" x="4120"/>
        <item h="1" x="4121"/>
        <item h="1" x="4122"/>
        <item h="1" x="4123"/>
        <item h="1" x="4124"/>
        <item h="1" x="4125"/>
        <item h="1" x="4126"/>
        <item h="1" x="4127"/>
        <item h="1" x="4128"/>
        <item h="1" x="4129"/>
        <item h="1" x="4130"/>
        <item h="1" x="4131"/>
        <item h="1" x="4132"/>
        <item h="1" x="4133"/>
        <item h="1" x="4134"/>
        <item h="1" x="4135"/>
        <item h="1" x="4136"/>
        <item h="1" x="4137"/>
        <item h="1" x="4138"/>
        <item h="1" x="4139"/>
        <item h="1" x="4140"/>
        <item h="1" x="4141"/>
        <item h="1" x="4142"/>
        <item h="1" x="4143"/>
        <item h="1" x="4144"/>
        <item h="1" x="4145"/>
        <item h="1" x="4146"/>
        <item h="1" x="4147"/>
        <item h="1" x="4148"/>
        <item h="1" x="4149"/>
        <item h="1" x="4150"/>
        <item h="1" x="4151"/>
        <item h="1" x="4152"/>
        <item h="1" x="4153"/>
        <item h="1" x="4154"/>
        <item h="1" x="4155"/>
        <item h="1" x="4156"/>
        <item h="1" x="4157"/>
        <item h="1" x="4158"/>
        <item h="1" x="4159"/>
        <item h="1" x="4160"/>
        <item h="1" x="4161"/>
        <item h="1" x="4162"/>
        <item h="1" x="4163"/>
        <item h="1" x="4164"/>
        <item h="1" x="4165"/>
        <item h="1" x="4166"/>
        <item h="1" x="4167"/>
        <item h="1" x="4168"/>
        <item h="1" x="4169"/>
        <item h="1" x="4170"/>
        <item h="1" x="4171"/>
        <item h="1" x="4172"/>
        <item h="1" x="4173"/>
        <item h="1" x="4174"/>
        <item h="1" x="4175"/>
        <item h="1" x="4176"/>
        <item h="1" x="4177"/>
        <item h="1" x="4178"/>
        <item h="1" x="4179"/>
        <item h="1" x="4180"/>
        <item h="1" x="4181"/>
        <item h="1" x="4182"/>
        <item h="1" x="4183"/>
        <item h="1" x="4184"/>
        <item h="1" x="4185"/>
        <item h="1" x="4186"/>
        <item h="1" x="4187"/>
        <item h="1" x="4188"/>
        <item h="1" x="4189"/>
        <item h="1" x="4190"/>
        <item h="1" x="4191"/>
        <item h="1" x="4192"/>
        <item h="1" x="4193"/>
        <item h="1" x="4194"/>
        <item h="1" x="4195"/>
        <item h="1" x="4196"/>
        <item h="1" x="4197"/>
        <item h="1" x="4198"/>
        <item h="1" x="4199"/>
        <item h="1" x="4200"/>
        <item h="1" x="4201"/>
        <item h="1" x="4202"/>
        <item h="1" x="4203"/>
        <item h="1" x="4204"/>
        <item h="1" x="4205"/>
        <item h="1" x="4206"/>
        <item h="1" x="4207"/>
        <item h="1" x="4208"/>
        <item h="1" x="4209"/>
        <item h="1" x="4210"/>
        <item h="1" x="4211"/>
        <item h="1" x="4212"/>
        <item h="1" x="4213"/>
        <item h="1" x="4214"/>
        <item h="1" x="4215"/>
        <item h="1" x="4216"/>
        <item h="1" x="4217"/>
        <item h="1" x="4218"/>
        <item h="1" x="4219"/>
        <item h="1" x="4220"/>
        <item h="1" x="4221"/>
        <item h="1" x="4222"/>
        <item h="1" x="4223"/>
        <item h="1" x="4224"/>
        <item h="1" x="4225"/>
        <item h="1" x="4226"/>
        <item h="1" x="4227"/>
        <item h="1" x="4228"/>
        <item h="1" x="4229"/>
        <item h="1" x="4230"/>
        <item h="1" x="4231"/>
        <item h="1" x="4232"/>
        <item h="1" x="4233"/>
        <item h="1" x="4234"/>
        <item h="1" x="4235"/>
        <item h="1" x="4236"/>
        <item h="1" x="4237"/>
        <item h="1" x="4238"/>
        <item h="1" x="4239"/>
        <item h="1" x="4240"/>
        <item h="1" x="4241"/>
        <item h="1" x="4242"/>
        <item h="1" x="4243"/>
        <item h="1" x="4244"/>
        <item h="1" x="4245"/>
        <item h="1" x="4246"/>
        <item h="1" x="4247"/>
        <item h="1" x="4248"/>
        <item h="1" x="4249"/>
        <item h="1" x="4250"/>
        <item h="1" x="4251"/>
        <item h="1" x="4252"/>
        <item h="1" x="4253"/>
        <item h="1" x="4254"/>
        <item h="1" x="4255"/>
        <item h="1" x="4256"/>
        <item h="1" x="4257"/>
        <item h="1" x="4258"/>
        <item h="1" x="4259"/>
        <item h="1" x="4260"/>
        <item h="1" x="4261"/>
        <item h="1" x="4262"/>
        <item h="1" x="4263"/>
        <item h="1" x="4264"/>
        <item h="1" x="4265"/>
        <item h="1" x="4266"/>
        <item h="1" x="4267"/>
        <item h="1" x="4268"/>
        <item h="1" x="4269"/>
        <item h="1" x="4270"/>
        <item h="1" x="4271"/>
        <item h="1" x="4272"/>
        <item h="1" x="4273"/>
        <item h="1" x="4274"/>
        <item h="1" x="4275"/>
        <item h="1" x="4276"/>
        <item h="1" x="4277"/>
        <item h="1" x="4278"/>
        <item h="1" x="4279"/>
        <item h="1" x="4280"/>
        <item h="1" x="4281"/>
        <item h="1" x="4282"/>
        <item h="1" x="4283"/>
        <item h="1" x="4284"/>
        <item h="1" x="4285"/>
        <item h="1" x="4286"/>
        <item h="1" x="4287"/>
        <item h="1" x="4288"/>
        <item h="1" x="4289"/>
        <item h="1" x="4290"/>
        <item h="1" x="4291"/>
        <item h="1" x="4292"/>
        <item h="1" x="4293"/>
        <item h="1" x="4294"/>
        <item h="1" x="4295"/>
        <item h="1" x="4296"/>
        <item h="1" x="4297"/>
        <item h="1" x="4298"/>
        <item h="1" x="4299"/>
        <item h="1" x="4300"/>
        <item h="1" x="4301"/>
        <item h="1" x="4302"/>
        <item h="1" x="4303"/>
        <item h="1" x="4304"/>
        <item h="1" x="4305"/>
        <item h="1" x="4306"/>
        <item h="1" x="4307"/>
        <item h="1" x="4308"/>
        <item h="1" x="4309"/>
        <item h="1" x="4310"/>
        <item h="1" x="4311"/>
        <item h="1" x="4312"/>
        <item h="1" x="4313"/>
        <item h="1" x="4314"/>
        <item h="1" x="4315"/>
        <item h="1" x="4316"/>
        <item h="1" x="4317"/>
        <item h="1" x="4318"/>
        <item h="1" x="4319"/>
        <item h="1" x="4320"/>
        <item h="1" x="4321"/>
        <item h="1" x="4322"/>
        <item h="1" x="4323"/>
        <item h="1" x="4324"/>
        <item h="1" x="4325"/>
        <item h="1" x="4326"/>
        <item h="1" x="4327"/>
        <item h="1" x="4328"/>
        <item h="1" x="4329"/>
        <item h="1" x="4330"/>
        <item h="1" x="4331"/>
        <item h="1" x="4332"/>
        <item h="1" x="4333"/>
        <item h="1" x="4334"/>
        <item h="1" x="4335"/>
        <item h="1" x="4336"/>
        <item h="1" x="4337"/>
        <item h="1" x="4338"/>
        <item h="1" x="4339"/>
        <item h="1" x="4340"/>
        <item h="1" x="4341"/>
        <item h="1" x="4342"/>
        <item h="1" x="4343"/>
        <item h="1" x="4344"/>
        <item h="1" x="4345"/>
        <item h="1" x="4346"/>
        <item h="1" x="4347"/>
        <item h="1" x="4348"/>
        <item h="1" x="4349"/>
        <item h="1" x="4350"/>
        <item h="1" x="4351"/>
        <item h="1" x="4352"/>
        <item h="1" x="4353"/>
        <item h="1" x="4354"/>
        <item h="1" x="4355"/>
        <item h="1" x="4356"/>
        <item h="1" x="4357"/>
        <item h="1" x="4358"/>
        <item h="1" x="4359"/>
        <item h="1" x="4360"/>
        <item h="1" x="4361"/>
        <item h="1" x="4362"/>
        <item h="1" x="4363"/>
        <item h="1" x="4364"/>
        <item h="1" x="4365"/>
        <item h="1" x="4366"/>
        <item h="1" x="4367"/>
        <item h="1" x="4368"/>
        <item h="1" x="4369"/>
        <item h="1" x="4370"/>
        <item h="1" x="4371"/>
        <item h="1" x="4372"/>
        <item h="1" x="4373"/>
        <item h="1" x="4374"/>
        <item h="1" x="4375"/>
        <item h="1" x="4376"/>
        <item h="1" x="4377"/>
        <item h="1" x="4378"/>
        <item h="1" x="4379"/>
        <item h="1" x="4380"/>
        <item h="1" x="4381"/>
        <item h="1" x="4382"/>
        <item h="1" x="4383"/>
        <item h="1" x="4384"/>
        <item h="1" x="4385"/>
        <item h="1" x="4386"/>
        <item h="1" x="4387"/>
        <item h="1" x="4388"/>
        <item h="1" x="4389"/>
        <item h="1" x="4390"/>
        <item h="1" x="4391"/>
        <item h="1" x="4392"/>
        <item h="1" x="4393"/>
        <item h="1" x="4394"/>
        <item h="1" x="4395"/>
        <item h="1" x="4396"/>
        <item h="1" x="4397"/>
        <item h="1" x="4398"/>
        <item h="1" x="4399"/>
        <item h="1" x="4400"/>
        <item h="1" x="4401"/>
        <item h="1" x="4402"/>
        <item h="1" x="4403"/>
        <item h="1" x="4404"/>
        <item h="1" x="4405"/>
        <item h="1" x="4406"/>
        <item h="1" x="4407"/>
        <item h="1" x="4408"/>
        <item h="1" x="4409"/>
        <item h="1" x="4410"/>
        <item h="1" x="4411"/>
        <item h="1" x="4412"/>
        <item h="1" x="4413"/>
        <item h="1" x="4414"/>
        <item h="1" x="4415"/>
        <item h="1" x="4416"/>
        <item h="1" x="4417"/>
        <item h="1" x="4418"/>
        <item h="1" x="4419"/>
        <item h="1" x="4420"/>
        <item h="1" x="4421"/>
        <item h="1" x="4422"/>
        <item h="1" x="4423"/>
        <item h="1" x="4424"/>
        <item h="1" x="4425"/>
        <item h="1" x="4426"/>
        <item h="1" x="4427"/>
        <item h="1" x="4428"/>
        <item h="1" x="4429"/>
        <item h="1" x="4430"/>
        <item h="1" x="4431"/>
        <item h="1" x="4432"/>
        <item h="1" x="4433"/>
        <item h="1" x="4434"/>
        <item h="1" x="4435"/>
        <item h="1" x="4436"/>
        <item h="1" x="4437"/>
        <item h="1" x="4438"/>
        <item h="1" x="4439"/>
        <item h="1" x="4440"/>
        <item h="1" x="4441"/>
        <item h="1" x="4442"/>
        <item h="1" x="4443"/>
        <item h="1" x="4444"/>
        <item h="1" x="4445"/>
        <item h="1" x="4446"/>
        <item h="1" x="4447"/>
        <item h="1" x="4448"/>
        <item h="1" x="4449"/>
        <item h="1" x="4450"/>
        <item h="1" x="4451"/>
        <item h="1" x="4452"/>
        <item h="1" x="4453"/>
        <item h="1" x="4454"/>
        <item h="1" x="4455"/>
        <item h="1" x="4456"/>
        <item h="1" x="4457"/>
        <item h="1" x="4458"/>
        <item h="1" x="4459"/>
        <item h="1" x="4460"/>
        <item h="1" x="4461"/>
        <item h="1" x="4462"/>
        <item h="1" x="4463"/>
        <item h="1" x="4464"/>
        <item h="1" x="4465"/>
        <item h="1" x="4466"/>
        <item h="1" x="4467"/>
        <item h="1" x="4468"/>
        <item h="1" x="4469"/>
        <item h="1" x="4470"/>
        <item h="1" x="4471"/>
        <item h="1" x="4472"/>
        <item h="1" x="4473"/>
        <item h="1" x="4474"/>
        <item h="1" x="4475"/>
        <item h="1" x="4476"/>
        <item h="1" x="4477"/>
        <item h="1" x="4478"/>
        <item h="1" x="4479"/>
        <item h="1" x="4480"/>
        <item h="1" x="4481"/>
        <item h="1" x="4482"/>
        <item h="1" x="4483"/>
        <item h="1" x="4484"/>
        <item h="1" x="4485"/>
        <item h="1" x="4486"/>
        <item h="1" x="4487"/>
        <item h="1" x="4488"/>
        <item h="1" x="4489"/>
        <item h="1" x="4490"/>
        <item h="1" x="4491"/>
        <item h="1" x="4492"/>
        <item h="1" x="4493"/>
        <item h="1" x="4494"/>
        <item h="1" x="4495"/>
        <item h="1" x="4496"/>
        <item h="1" x="4497"/>
        <item h="1" x="4498"/>
        <item h="1" x="4499"/>
        <item h="1" x="4500"/>
        <item h="1" x="4501"/>
        <item h="1" x="4502"/>
        <item h="1" x="4503"/>
        <item h="1" x="4504"/>
        <item h="1" x="4505"/>
        <item h="1" x="4506"/>
        <item h="1" x="4507"/>
        <item h="1" x="4508"/>
        <item h="1" x="4509"/>
        <item h="1" x="4510"/>
        <item h="1" x="4511"/>
        <item h="1" x="4512"/>
        <item h="1" x="4513"/>
        <item h="1" x="4514"/>
        <item h="1" x="4515"/>
        <item h="1" x="4516"/>
        <item h="1" x="4517"/>
        <item h="1" x="4518"/>
        <item h="1" x="4519"/>
        <item h="1" x="4520"/>
        <item h="1" x="4521"/>
        <item h="1" x="4522"/>
        <item h="1" x="4523"/>
        <item h="1" x="4524"/>
        <item h="1" x="4525"/>
        <item h="1" x="4526"/>
        <item h="1" x="4527"/>
        <item h="1" x="4528"/>
        <item h="1" x="4529"/>
        <item h="1" x="4530"/>
        <item h="1" x="4531"/>
        <item h="1" x="4532"/>
        <item h="1" x="4533"/>
        <item h="1" x="4534"/>
        <item h="1" x="4535"/>
        <item h="1" x="4536"/>
        <item h="1" x="4537"/>
        <item h="1" x="4538"/>
        <item h="1" x="4539"/>
        <item h="1" x="4540"/>
        <item h="1" x="4541"/>
        <item h="1" x="4542"/>
        <item h="1" x="4543"/>
        <item h="1" x="4544"/>
        <item h="1" x="4545"/>
        <item h="1" x="4546"/>
        <item h="1" x="4547"/>
        <item h="1" x="4548"/>
        <item h="1" x="4549"/>
        <item h="1" x="4550"/>
        <item h="1" x="4551"/>
        <item h="1" x="4552"/>
        <item h="1" x="4553"/>
        <item h="1" x="4554"/>
        <item h="1" x="4555"/>
        <item h="1" x="4556"/>
        <item h="1" x="4557"/>
        <item h="1" x="4558"/>
        <item h="1" x="4559"/>
        <item h="1" x="4560"/>
        <item h="1" x="4561"/>
        <item h="1" x="4562"/>
        <item h="1" x="4563"/>
        <item h="1" x="4564"/>
        <item h="1" x="4565"/>
        <item h="1" x="4566"/>
        <item h="1" x="4567"/>
        <item h="1" x="4568"/>
        <item h="1" x="4569"/>
        <item h="1" x="4570"/>
        <item h="1" x="4571"/>
        <item h="1" x="4572"/>
        <item h="1" x="4573"/>
        <item h="1" x="4574"/>
        <item h="1" x="4575"/>
        <item h="1" x="4576"/>
        <item h="1" x="4577"/>
        <item h="1" x="4578"/>
        <item h="1" x="4579"/>
        <item h="1" x="4580"/>
        <item h="1" x="4581"/>
        <item h="1" x="4582"/>
        <item h="1" x="4583"/>
        <item h="1" x="4584"/>
        <item h="1" x="4585"/>
        <item h="1" x="4586"/>
        <item h="1" x="4587"/>
        <item h="1" x="4588"/>
        <item h="1" x="4589"/>
        <item h="1" x="4590"/>
        <item h="1" x="4591"/>
        <item h="1" x="4592"/>
        <item h="1" x="4593"/>
        <item h="1" x="4594"/>
        <item h="1" x="4595"/>
        <item h="1" x="4596"/>
        <item h="1" x="4597"/>
        <item h="1" x="4598"/>
        <item h="1" x="4599"/>
        <item h="1" x="4600"/>
        <item h="1" x="4601"/>
        <item h="1" x="4602"/>
        <item h="1" x="4603"/>
        <item h="1" x="4604"/>
        <item h="1" x="4605"/>
        <item h="1" x="4606"/>
        <item h="1" x="4607"/>
        <item h="1" x="4608"/>
        <item h="1" x="4609"/>
        <item h="1" x="4610"/>
        <item h="1" x="4611"/>
        <item h="1" x="4612"/>
        <item h="1" x="4613"/>
        <item h="1" x="4614"/>
        <item h="1" x="4615"/>
        <item h="1" x="4616"/>
        <item h="1" x="4617"/>
        <item h="1" x="4618"/>
        <item h="1" x="4619"/>
        <item h="1" x="4620"/>
        <item h="1" x="4621"/>
        <item h="1" x="4622"/>
        <item h="1" x="4623"/>
        <item h="1" x="4624"/>
        <item h="1" x="4625"/>
        <item h="1" x="4626"/>
        <item h="1" x="4627"/>
        <item h="1" x="4628"/>
        <item h="1" x="4629"/>
        <item h="1" x="4630"/>
        <item h="1" x="4631"/>
        <item h="1" x="4632"/>
        <item h="1" x="4633"/>
        <item h="1" x="4634"/>
        <item h="1" x="4635"/>
        <item h="1" x="4636"/>
        <item h="1" x="4637"/>
        <item h="1" x="4638"/>
        <item h="1" x="4639"/>
        <item h="1" x="4640"/>
        <item h="1" x="4641"/>
        <item h="1" x="4642"/>
        <item h="1" x="4643"/>
        <item h="1" x="4644"/>
        <item h="1" x="4645"/>
        <item h="1" x="4646"/>
        <item h="1" x="4647"/>
        <item h="1" x="4648"/>
        <item h="1" x="4649"/>
        <item h="1" x="4650"/>
        <item h="1" x="4651"/>
        <item h="1" x="4652"/>
        <item h="1" x="4653"/>
        <item h="1" x="4654"/>
        <item h="1" x="4655"/>
        <item h="1" x="4656"/>
        <item h="1" x="4657"/>
        <item h="1" x="4658"/>
        <item h="1" x="4659"/>
        <item h="1" x="4660"/>
        <item h="1" x="4661"/>
        <item h="1" x="4662"/>
        <item h="1" x="4663"/>
        <item h="1" x="4664"/>
        <item h="1" x="4665"/>
        <item h="1" x="4666"/>
        <item h="1" x="4667"/>
        <item h="1" x="4668"/>
        <item h="1" x="4669"/>
        <item h="1" x="4670"/>
        <item h="1" x="4671"/>
        <item h="1" x="4672"/>
        <item h="1" x="4673"/>
        <item h="1" x="4674"/>
        <item h="1" x="4675"/>
        <item h="1" x="4676"/>
        <item h="1" x="4677"/>
        <item h="1" x="4678"/>
        <item h="1" x="4679"/>
        <item h="1" x="4680"/>
        <item h="1" x="4681"/>
        <item h="1" x="4682"/>
        <item h="1" x="4683"/>
        <item h="1" x="4684"/>
        <item h="1" x="4685"/>
        <item h="1" x="4686"/>
        <item h="1" x="4687"/>
        <item h="1" x="4688"/>
        <item h="1" x="4689"/>
        <item h="1" x="4690"/>
        <item h="1" x="4691"/>
        <item h="1" x="4692"/>
        <item h="1" x="4693"/>
        <item h="1" x="4694"/>
        <item h="1" x="4695"/>
        <item h="1" x="4696"/>
        <item h="1" x="4697"/>
        <item h="1" x="4698"/>
        <item h="1" x="4699"/>
        <item h="1" x="4700"/>
        <item h="1" x="4701"/>
        <item h="1" x="4702"/>
        <item h="1" x="4703"/>
        <item h="1" x="4704"/>
        <item h="1" x="4705"/>
        <item h="1" x="4706"/>
        <item h="1" x="4707"/>
        <item h="1" x="4708"/>
        <item h="1" x="4709"/>
        <item h="1" x="4710"/>
        <item h="1" x="4711"/>
        <item h="1" x="4712"/>
        <item h="1" x="4713"/>
        <item h="1" x="4714"/>
        <item h="1" x="4715"/>
        <item h="1" x="4716"/>
        <item h="1" x="4717"/>
        <item h="1" x="4718"/>
        <item h="1" x="4719"/>
        <item h="1" x="4720"/>
        <item h="1" x="4721"/>
        <item h="1" x="4722"/>
        <item h="1" x="4723"/>
        <item h="1" x="4724"/>
        <item h="1" x="4725"/>
        <item h="1" x="4726"/>
        <item h="1" x="4727"/>
        <item h="1" x="4728"/>
        <item h="1" x="4729"/>
        <item h="1" x="4730"/>
        <item h="1" x="4731"/>
        <item h="1" x="4732"/>
        <item h="1" x="4733"/>
        <item h="1" x="4734"/>
        <item h="1" x="4735"/>
        <item h="1" x="4736"/>
        <item h="1" x="4737"/>
        <item h="1" x="4738"/>
        <item h="1" x="4739"/>
        <item h="1" x="4740"/>
        <item h="1" x="4741"/>
        <item h="1" x="4742"/>
        <item h="1" x="4743"/>
        <item h="1" x="4744"/>
        <item h="1" x="4745"/>
        <item h="1" x="4746"/>
        <item h="1" x="4747"/>
        <item h="1" x="4748"/>
        <item h="1" x="4749"/>
        <item h="1" x="4750"/>
        <item h="1" x="4751"/>
        <item h="1" x="4752"/>
        <item h="1" x="4753"/>
        <item h="1" x="4754"/>
        <item h="1" x="4755"/>
        <item h="1" x="4756"/>
        <item h="1" x="4757"/>
        <item h="1" x="4758"/>
        <item h="1" x="4759"/>
        <item h="1" x="4760"/>
        <item h="1" x="4761"/>
        <item h="1" x="4762"/>
        <item h="1" x="4763"/>
        <item h="1" x="4764"/>
        <item h="1" x="4765"/>
        <item h="1" x="4766"/>
        <item h="1" x="4767"/>
        <item h="1" x="4768"/>
        <item h="1" x="4769"/>
        <item h="1" x="4770"/>
        <item h="1" x="4771"/>
        <item h="1" x="4772"/>
        <item h="1" x="4773"/>
        <item h="1" x="4774"/>
        <item h="1" x="4775"/>
        <item h="1" x="4776"/>
        <item h="1" x="4777"/>
        <item h="1" x="4778"/>
        <item h="1" x="4779"/>
        <item h="1" x="4780"/>
        <item h="1" x="4781"/>
        <item h="1" x="4782"/>
        <item h="1" x="4783"/>
        <item h="1" x="4784"/>
        <item h="1" x="4785"/>
        <item h="1" x="4786"/>
        <item h="1" x="4787"/>
        <item h="1" x="4788"/>
        <item h="1" x="4789"/>
        <item h="1" x="4790"/>
        <item h="1" x="4791"/>
        <item h="1" x="4792"/>
        <item h="1" x="4793"/>
        <item h="1" x="4794"/>
        <item h="1" x="4795"/>
        <item h="1" x="4796"/>
        <item h="1" x="4797"/>
        <item h="1" x="4798"/>
        <item h="1" x="4799"/>
        <item h="1" x="4800"/>
        <item h="1" x="4801"/>
        <item h="1" x="4802"/>
        <item h="1" x="4803"/>
        <item h="1" x="4804"/>
        <item h="1" x="4805"/>
        <item h="1" x="4806"/>
        <item h="1" x="4807"/>
        <item h="1" x="4808"/>
        <item h="1" x="4809"/>
        <item h="1" x="4810"/>
        <item h="1" x="4811"/>
        <item h="1" x="4812"/>
        <item h="1" x="4813"/>
        <item h="1" x="4814"/>
        <item h="1" x="4815"/>
        <item h="1" x="4816"/>
        <item h="1" x="4817"/>
        <item h="1" x="4818"/>
        <item h="1" x="4819"/>
        <item h="1" x="4820"/>
        <item h="1" x="4821"/>
        <item h="1" x="4822"/>
        <item h="1" x="4823"/>
        <item h="1" x="4824"/>
        <item h="1" x="4825"/>
        <item h="1" x="4826"/>
        <item h="1" x="4827"/>
        <item h="1" x="4828"/>
        <item h="1" x="4829"/>
        <item h="1" x="4830"/>
        <item h="1" x="4831"/>
        <item h="1" x="4832"/>
        <item h="1" x="4833"/>
        <item h="1" x="4834"/>
        <item h="1" x="4835"/>
        <item h="1" x="4836"/>
        <item h="1" x="4837"/>
        <item h="1" x="4838"/>
        <item h="1" x="4839"/>
        <item h="1" x="4840"/>
        <item h="1" x="4841"/>
        <item h="1" x="4842"/>
        <item h="1" x="4843"/>
        <item h="1" x="4844"/>
        <item h="1" x="4845"/>
        <item h="1" x="4846"/>
        <item h="1" x="4847"/>
        <item h="1" x="4848"/>
        <item h="1" x="4849"/>
        <item h="1" x="4850"/>
        <item h="1" x="4851"/>
        <item h="1" x="4852"/>
        <item h="1" x="4853"/>
        <item h="1" x="4854"/>
        <item h="1" x="4855"/>
        <item h="1" x="4856"/>
        <item h="1" x="4857"/>
        <item h="1" x="4858"/>
        <item h="1" x="4859"/>
        <item h="1" x="4860"/>
        <item h="1" x="4861"/>
        <item h="1" x="4862"/>
        <item h="1" x="4863"/>
        <item h="1" x="4864"/>
        <item h="1" x="4865"/>
        <item h="1" x="4866"/>
        <item h="1" x="4867"/>
        <item h="1" x="4868"/>
        <item h="1" x="4869"/>
        <item h="1" x="4870"/>
        <item h="1" x="4871"/>
        <item h="1" x="4872"/>
        <item h="1" x="4873"/>
        <item h="1" x="4874"/>
        <item h="1" x="4875"/>
        <item h="1" x="4876"/>
        <item h="1" x="4877"/>
        <item h="1" x="4878"/>
        <item h="1" x="4879"/>
        <item h="1" x="4880"/>
        <item h="1" x="4881"/>
        <item h="1" x="4882"/>
        <item h="1" x="4883"/>
        <item h="1" x="4884"/>
        <item h="1" x="4885"/>
        <item h="1" x="4886"/>
        <item h="1" x="4887"/>
        <item h="1" x="4888"/>
        <item h="1" x="4889"/>
        <item h="1" x="4890"/>
        <item h="1" x="4891"/>
        <item h="1" x="4892"/>
        <item h="1" x="4893"/>
        <item h="1" x="4894"/>
        <item h="1" x="4895"/>
        <item h="1" x="4896"/>
        <item h="1" x="4897"/>
        <item h="1" x="4898"/>
        <item h="1" x="4899"/>
        <item h="1" x="4900"/>
        <item h="1" x="4901"/>
        <item h="1" x="4902"/>
        <item h="1" x="4903"/>
        <item h="1" x="4904"/>
        <item h="1" x="4905"/>
        <item h="1" x="4906"/>
        <item h="1" x="4907"/>
        <item h="1" x="4908"/>
        <item h="1" x="4909"/>
        <item h="1" x="4910"/>
        <item h="1" x="4911"/>
        <item h="1" x="4912"/>
        <item h="1" x="4913"/>
        <item h="1" x="4914"/>
        <item h="1" x="4915"/>
        <item h="1" x="4916"/>
        <item h="1" x="4917"/>
        <item h="1" x="4918"/>
        <item h="1" x="4919"/>
        <item h="1" x="4920"/>
        <item h="1" x="4921"/>
        <item h="1" x="4922"/>
        <item h="1" x="4923"/>
        <item h="1" x="4924"/>
        <item h="1" x="4925"/>
        <item h="1" x="4926"/>
        <item h="1" x="4927"/>
        <item h="1" x="4928"/>
        <item h="1" x="4929"/>
        <item h="1" x="4930"/>
        <item h="1" x="4931"/>
        <item h="1" x="4932"/>
        <item h="1" x="4933"/>
        <item h="1" x="4934"/>
        <item h="1" x="4935"/>
        <item h="1" x="4936"/>
        <item h="1" x="4937"/>
        <item h="1" x="4938"/>
        <item h="1" x="4939"/>
        <item h="1" x="4940"/>
        <item h="1" x="4941"/>
        <item h="1" x="4942"/>
        <item h="1" x="4943"/>
        <item h="1" x="4944"/>
        <item h="1" x="4945"/>
        <item h="1" x="4946"/>
        <item h="1" x="4947"/>
        <item h="1" x="4948"/>
        <item h="1" x="4949"/>
        <item h="1" x="4950"/>
        <item h="1" x="4951"/>
        <item h="1" x="4952"/>
        <item h="1" x="4953"/>
        <item h="1" x="4954"/>
        <item h="1" x="4955"/>
        <item h="1" x="4956"/>
        <item h="1" x="4957"/>
        <item h="1" x="4958"/>
        <item h="1" x="4959"/>
        <item h="1" x="4960"/>
        <item h="1" x="4961"/>
        <item h="1" x="4962"/>
        <item h="1" x="4963"/>
        <item h="1" x="4964"/>
        <item h="1" x="4965"/>
        <item h="1" x="4966"/>
        <item h="1" x="4967"/>
        <item h="1" x="4968"/>
        <item h="1" x="4969"/>
        <item h="1" x="4970"/>
        <item h="1" x="4971"/>
        <item h="1" x="4972"/>
        <item h="1" x="4973"/>
        <item h="1" x="4974"/>
        <item h="1" x="4975"/>
        <item h="1" x="4976"/>
        <item h="1" x="4977"/>
        <item h="1" x="4978"/>
        <item h="1" x="4979"/>
        <item h="1" x="4980"/>
        <item h="1" x="4981"/>
        <item h="1" x="4982"/>
        <item h="1" x="4983"/>
        <item h="1" x="4984"/>
        <item h="1" x="4985"/>
        <item h="1" x="4986"/>
        <item h="1" x="4987"/>
        <item h="1" x="4988"/>
        <item h="1" x="4989"/>
        <item h="1" x="4990"/>
        <item h="1" x="4991"/>
        <item h="1" x="4992"/>
        <item h="1" x="4993"/>
        <item h="1" x="4994"/>
        <item h="1" x="4995"/>
        <item h="1" x="4996"/>
        <item h="1" x="4997"/>
        <item h="1" x="4998"/>
        <item h="1" x="4999"/>
        <item h="1" x="5000"/>
        <item h="1" x="5001"/>
        <item h="1" x="5002"/>
        <item h="1" x="5003"/>
        <item h="1" x="5004"/>
        <item h="1" x="5005"/>
        <item h="1" x="5006"/>
        <item h="1" x="5007"/>
        <item h="1" x="5008"/>
        <item h="1" x="5009"/>
        <item h="1" x="5010"/>
        <item h="1" x="5011"/>
        <item h="1" x="5012"/>
        <item h="1" x="5013"/>
        <item h="1" x="5014"/>
        <item h="1" x="5015"/>
        <item h="1" x="5016"/>
        <item h="1" x="5017"/>
        <item h="1" x="5018"/>
        <item h="1" x="5019"/>
        <item h="1" x="5020"/>
        <item h="1" x="5021"/>
        <item h="1" x="5022"/>
        <item h="1" x="5023"/>
        <item h="1" x="5024"/>
        <item h="1" x="5025"/>
        <item h="1" x="5026"/>
        <item h="1" x="5027"/>
        <item h="1" x="5028"/>
        <item h="1" x="5029"/>
        <item h="1" x="5030"/>
        <item h="1" x="5031"/>
        <item h="1" x="5032"/>
        <item h="1" x="5033"/>
        <item h="1" x="5034"/>
        <item h="1" x="5035"/>
        <item h="1" x="5036"/>
        <item h="1" x="5037"/>
        <item h="1" x="5038"/>
        <item h="1" x="5039"/>
        <item h="1" x="5040"/>
        <item h="1" x="5041"/>
        <item h="1" x="5042"/>
        <item h="1" x="5043"/>
        <item h="1" x="5044"/>
        <item h="1" x="5045"/>
        <item h="1" x="5046"/>
        <item h="1" x="5047"/>
        <item h="1" x="5048"/>
        <item h="1" x="5049"/>
        <item h="1" x="5050"/>
        <item h="1" x="5051"/>
        <item h="1" x="5052"/>
        <item h="1" x="5053"/>
        <item h="1" x="5054"/>
        <item h="1" x="5055"/>
        <item h="1" x="5056"/>
        <item h="1" x="5057"/>
        <item h="1" x="5058"/>
        <item h="1" x="5059"/>
        <item h="1" x="5060"/>
        <item h="1" x="5061"/>
        <item h="1" x="5062"/>
        <item h="1" x="5063"/>
        <item h="1" x="5064"/>
        <item h="1" x="5065"/>
        <item h="1" x="5066"/>
        <item h="1" x="5067"/>
        <item h="1" x="5068"/>
        <item h="1" x="5069"/>
        <item h="1" x="5070"/>
        <item h="1" x="5071"/>
        <item h="1" x="5072"/>
        <item h="1" x="5073"/>
        <item h="1" x="5074"/>
        <item h="1" x="5075"/>
        <item h="1" x="5076"/>
        <item h="1" x="5077"/>
        <item h="1" x="5078"/>
        <item h="1" x="5079"/>
        <item h="1" x="5080"/>
        <item h="1" x="5081"/>
        <item h="1" x="5082"/>
        <item h="1" x="5083"/>
        <item h="1" x="5084"/>
        <item h="1" x="5085"/>
        <item h="1" x="5086"/>
        <item h="1" x="5087"/>
        <item h="1" x="5088"/>
        <item h="1" x="5089"/>
        <item h="1" x="5090"/>
        <item h="1" x="5091"/>
        <item h="1" x="5092"/>
        <item h="1" x="5093"/>
        <item h="1" x="5094"/>
        <item h="1" x="5095"/>
        <item h="1" x="5096"/>
        <item h="1" x="5097"/>
        <item h="1" x="5098"/>
        <item h="1" x="5099"/>
        <item h="1" x="5100"/>
        <item h="1" x="5101"/>
        <item h="1" x="5102"/>
        <item h="1" x="5103"/>
        <item h="1" x="5104"/>
        <item h="1" x="5105"/>
        <item h="1" x="5106"/>
        <item h="1" x="5107"/>
        <item h="1" x="5108"/>
        <item h="1" x="5109"/>
        <item h="1" x="5110"/>
        <item h="1" x="5111"/>
        <item h="1" x="5112"/>
        <item h="1" x="5113"/>
        <item h="1" x="5114"/>
        <item h="1" x="5115"/>
        <item h="1" x="5116"/>
        <item h="1" x="5117"/>
        <item h="1" x="5118"/>
        <item h="1" x="5119"/>
        <item h="1" x="5120"/>
        <item h="1" x="5121"/>
        <item h="1" x="5122"/>
        <item h="1" x="5123"/>
        <item h="1" x="5124"/>
        <item h="1" x="5125"/>
        <item h="1" x="5126"/>
        <item h="1" x="5127"/>
        <item h="1" x="5128"/>
        <item h="1" x="5129"/>
        <item h="1" x="5130"/>
        <item h="1" x="5131"/>
        <item h="1" x="5132"/>
        <item h="1" x="5133"/>
        <item h="1" x="5134"/>
        <item h="1" x="5135"/>
        <item h="1" x="5136"/>
        <item h="1" x="5137"/>
        <item h="1" x="5138"/>
        <item h="1" x="5139"/>
        <item h="1" x="5140"/>
        <item h="1" x="5141"/>
        <item h="1" x="5142"/>
        <item h="1" x="5143"/>
        <item h="1" x="5144"/>
        <item h="1" x="5145"/>
        <item h="1" x="5146"/>
        <item h="1" x="5147"/>
        <item h="1" x="5148"/>
        <item h="1" x="5149"/>
        <item h="1" x="5150"/>
        <item h="1" x="5151"/>
        <item h="1" x="5152"/>
        <item h="1" x="5153"/>
        <item h="1" x="5154"/>
        <item h="1" x="5155"/>
        <item h="1" x="5156"/>
        <item h="1" x="5157"/>
        <item h="1" x="5158"/>
        <item h="1" x="5159"/>
        <item h="1" x="5160"/>
        <item h="1" x="5161"/>
        <item h="1" x="5162"/>
        <item h="1" x="5163"/>
        <item h="1" x="5164"/>
        <item h="1" x="5165"/>
        <item h="1" x="5166"/>
        <item h="1" x="5167"/>
        <item h="1" x="5168"/>
        <item h="1" x="5169"/>
        <item h="1" x="5170"/>
        <item h="1" x="5171"/>
        <item h="1" x="5172"/>
        <item h="1" x="5173"/>
        <item h="1" x="5174"/>
        <item h="1" x="5175"/>
        <item h="1" x="5176"/>
        <item h="1" x="5177"/>
        <item h="1" x="5178"/>
        <item h="1" x="5179"/>
        <item h="1" x="5180"/>
        <item h="1" x="5181"/>
        <item h="1" x="5182"/>
        <item h="1" x="5183"/>
        <item h="1" x="5184"/>
        <item h="1" x="5185"/>
        <item h="1" x="5186"/>
        <item h="1" x="5187"/>
        <item h="1" x="5188"/>
        <item h="1" x="5189"/>
        <item h="1" x="5190"/>
        <item h="1" x="5191"/>
        <item h="1" x="5192"/>
        <item h="1" x="5193"/>
        <item h="1" x="5194"/>
        <item h="1" x="5195"/>
        <item h="1" x="5196"/>
        <item h="1" x="5197"/>
        <item h="1" x="5198"/>
        <item h="1" x="5199"/>
        <item h="1" x="5200"/>
        <item h="1" x="5201"/>
        <item h="1" x="5202"/>
        <item h="1" x="5203"/>
        <item h="1" x="5204"/>
        <item h="1" x="5205"/>
        <item h="1" x="5206"/>
        <item h="1" x="5207"/>
        <item h="1" x="5208"/>
        <item h="1" x="5209"/>
        <item h="1" x="5210"/>
        <item h="1" x="5211"/>
        <item h="1" x="5212"/>
        <item h="1" x="5213"/>
        <item h="1" x="5214"/>
        <item h="1" x="5215"/>
        <item h="1" x="5216"/>
        <item h="1" x="5217"/>
        <item h="1" x="5218"/>
        <item h="1" x="5219"/>
        <item h="1" x="5220"/>
        <item h="1" x="5221"/>
        <item h="1" x="5222"/>
        <item h="1" x="5223"/>
        <item h="1" x="5224"/>
        <item h="1" x="5225"/>
        <item h="1" x="5226"/>
        <item h="1" x="5227"/>
        <item h="1" x="5228"/>
        <item h="1" x="5229"/>
        <item h="1" x="5230"/>
        <item h="1" x="5231"/>
        <item h="1" x="5232"/>
        <item h="1" x="5233"/>
        <item h="1" x="5234"/>
        <item h="1" x="5235"/>
        <item h="1" x="5236"/>
        <item h="1" x="5237"/>
        <item h="1" x="5238"/>
        <item h="1" x="5239"/>
        <item h="1" x="5240"/>
        <item h="1" x="5241"/>
        <item h="1" x="5242"/>
        <item h="1" x="5243"/>
        <item h="1" x="5244"/>
        <item h="1" x="5245"/>
        <item h="1" x="5246"/>
        <item h="1" x="5247"/>
        <item h="1" x="5248"/>
        <item h="1" x="5249"/>
        <item h="1" x="5250"/>
        <item h="1" x="5251"/>
        <item h="1" x="5252"/>
        <item h="1" x="5253"/>
        <item h="1" x="5254"/>
        <item h="1" x="5255"/>
        <item h="1" x="5256"/>
        <item h="1" x="5257"/>
        <item h="1" x="5258"/>
        <item h="1" x="5259"/>
        <item h="1" x="5260"/>
        <item h="1" x="5261"/>
        <item h="1" x="5262"/>
        <item h="1" x="5263"/>
        <item h="1" x="5264"/>
        <item h="1" x="5265"/>
        <item h="1" x="5266"/>
        <item h="1" x="5267"/>
        <item h="1" x="5268"/>
        <item h="1" x="5269"/>
        <item h="1" x="5270"/>
        <item h="1" x="5271"/>
        <item h="1" x="5272"/>
        <item h="1" x="5273"/>
        <item h="1" x="5274"/>
        <item h="1" x="5275"/>
        <item h="1" x="5276"/>
        <item h="1" x="5277"/>
        <item h="1" x="5278"/>
        <item h="1" x="5279"/>
        <item h="1" x="5280"/>
        <item h="1" x="5281"/>
        <item h="1" x="5282"/>
        <item h="1" x="5283"/>
        <item h="1" x="5284"/>
        <item h="1" x="5285"/>
        <item h="1" x="5286"/>
        <item h="1" x="5287"/>
        <item h="1" x="5288"/>
        <item h="1" x="5289"/>
        <item h="1" x="5290"/>
        <item h="1" x="5291"/>
        <item h="1" x="5292"/>
        <item h="1" x="5293"/>
        <item h="1" x="5294"/>
        <item h="1" x="5295"/>
        <item h="1" x="5296"/>
        <item h="1" x="5297"/>
        <item h="1" x="5298"/>
        <item h="1" x="5299"/>
        <item h="1" x="5300"/>
        <item h="1" x="5301"/>
        <item h="1" x="5302"/>
        <item h="1" x="5303"/>
        <item h="1" x="5304"/>
        <item h="1" x="5305"/>
        <item h="1" x="5306"/>
        <item h="1" x="5307"/>
        <item h="1" x="5308"/>
        <item h="1" x="5309"/>
        <item h="1" x="5310"/>
        <item h="1" x="5311"/>
        <item h="1" x="5312"/>
        <item h="1" x="5313"/>
        <item h="1" x="5314"/>
        <item h="1" x="5315"/>
        <item h="1" x="5316"/>
        <item h="1" x="5317"/>
        <item h="1" x="5318"/>
        <item h="1" x="5319"/>
        <item h="1" x="5320"/>
        <item h="1" x="5321"/>
        <item h="1" x="5322"/>
        <item h="1" x="5323"/>
        <item h="1" x="5324"/>
        <item h="1" x="5325"/>
        <item h="1" x="5326"/>
        <item h="1" x="5327"/>
        <item h="1" x="5328"/>
        <item h="1" x="5329"/>
        <item h="1" x="5330"/>
        <item h="1" x="5331"/>
        <item h="1" x="5332"/>
        <item h="1" x="5333"/>
        <item h="1" x="5334"/>
        <item h="1" x="5335"/>
        <item h="1" x="5336"/>
        <item h="1" x="5337"/>
        <item h="1" x="5338"/>
        <item h="1" x="5339"/>
        <item h="1" x="5340"/>
        <item h="1" x="5341"/>
        <item h="1" x="5342"/>
        <item h="1" x="5343"/>
        <item h="1" x="5344"/>
        <item h="1" x="5345"/>
        <item h="1" x="5346"/>
        <item h="1" x="5347"/>
        <item h="1" x="5348"/>
        <item h="1" x="5349"/>
        <item h="1" x="5350"/>
        <item h="1" x="5351"/>
        <item h="1" x="5352"/>
        <item h="1" x="5353"/>
        <item h="1" x="5354"/>
        <item h="1" x="5355"/>
        <item h="1" x="5356"/>
        <item h="1" x="5357"/>
        <item h="1" x="5358"/>
        <item h="1" x="5359"/>
        <item h="1" x="5360"/>
        <item h="1" x="5361"/>
        <item h="1" x="5362"/>
        <item h="1" x="5363"/>
        <item h="1" x="5364"/>
        <item h="1" x="5365"/>
        <item h="1" x="5366"/>
        <item h="1" x="5367"/>
        <item h="1" x="5368"/>
        <item h="1" x="5369"/>
        <item h="1" x="5370"/>
        <item h="1" x="5371"/>
        <item h="1" x="5372"/>
        <item h="1" x="5373"/>
        <item h="1" x="5374"/>
        <item h="1" x="5375"/>
        <item h="1" x="5376"/>
        <item h="1" x="5377"/>
        <item h="1" x="5378"/>
        <item h="1" x="5379"/>
        <item h="1" x="5380"/>
        <item h="1" x="5381"/>
        <item h="1" x="5382"/>
        <item h="1" x="5383"/>
        <item h="1" x="5384"/>
        <item h="1" x="5385"/>
        <item h="1" x="5386"/>
        <item h="1" x="5387"/>
        <item h="1" x="5388"/>
        <item h="1" x="5389"/>
        <item h="1" x="5390"/>
        <item h="1" x="5391"/>
        <item h="1" x="5392"/>
        <item h="1" x="5393"/>
        <item h="1" x="5394"/>
        <item h="1" x="5395"/>
        <item h="1" x="5396"/>
        <item h="1" x="5397"/>
        <item h="1" x="5398"/>
        <item h="1" x="5399"/>
        <item h="1" x="5400"/>
        <item h="1" x="5401"/>
        <item h="1" x="5402"/>
        <item h="1" x="5403"/>
        <item h="1" x="5404"/>
        <item h="1" x="5405"/>
        <item h="1" x="5406"/>
        <item h="1" x="5407"/>
        <item h="1" x="5408"/>
        <item h="1" x="5409"/>
        <item h="1" x="5410"/>
        <item h="1" x="5411"/>
        <item h="1" x="5412"/>
        <item h="1" x="5413"/>
        <item h="1" x="5414"/>
        <item h="1" x="5415"/>
        <item h="1" x="5416"/>
        <item h="1" x="5417"/>
        <item h="1" x="5418"/>
        <item h="1" x="5419"/>
        <item h="1" x="5420"/>
        <item h="1" x="5421"/>
        <item h="1" x="5422"/>
        <item h="1" x="5423"/>
        <item h="1" x="5424"/>
        <item h="1" x="5425"/>
        <item h="1" x="5426"/>
        <item h="1" x="5427"/>
        <item h="1" x="5428"/>
        <item h="1" x="5429"/>
        <item h="1" x="5430"/>
        <item h="1" x="5431"/>
        <item h="1" x="5432"/>
        <item h="1" x="5433"/>
        <item h="1" x="5434"/>
        <item h="1" x="5435"/>
        <item h="1" x="5436"/>
        <item h="1" x="5437"/>
        <item h="1" x="5438"/>
        <item h="1" x="5439"/>
        <item h="1" x="5440"/>
        <item h="1" x="5441"/>
        <item h="1" x="5442"/>
        <item h="1" x="5443"/>
        <item h="1" x="5444"/>
        <item h="1" x="5445"/>
        <item h="1" x="5446"/>
        <item h="1" x="5447"/>
        <item h="1" x="5448"/>
        <item h="1" x="5449"/>
        <item h="1" x="5450"/>
        <item h="1" x="5451"/>
        <item h="1" x="5452"/>
        <item h="1" x="5453"/>
        <item h="1" x="5454"/>
        <item h="1" x="5455"/>
        <item h="1" x="5456"/>
        <item h="1" x="5457"/>
        <item h="1" x="5458"/>
        <item h="1" x="5459"/>
        <item h="1" x="5460"/>
        <item h="1" x="5461"/>
        <item h="1" x="5462"/>
        <item h="1" x="5463"/>
        <item h="1" x="5464"/>
        <item h="1" x="5465"/>
        <item h="1" x="5466"/>
        <item h="1" x="5467"/>
        <item h="1" x="5468"/>
        <item h="1" x="5469"/>
        <item h="1" x="5470"/>
        <item h="1" x="5471"/>
        <item h="1" x="5472"/>
        <item h="1" x="5473"/>
        <item h="1" x="5474"/>
        <item h="1" x="5475"/>
        <item h="1" x="5476"/>
        <item h="1" x="5477"/>
        <item h="1" x="5478"/>
        <item h="1" x="5479"/>
        <item h="1" x="5480"/>
        <item h="1" x="5481"/>
        <item h="1" x="5482"/>
        <item h="1" x="5483"/>
        <item h="1" x="5484"/>
        <item h="1" x="5485"/>
        <item h="1" x="5486"/>
        <item h="1" x="5487"/>
        <item h="1" x="5488"/>
        <item h="1" x="5489"/>
        <item h="1" x="5490"/>
        <item h="1" x="5491"/>
        <item h="1" x="5492"/>
        <item h="1" x="5493"/>
        <item h="1" x="5494"/>
        <item h="1" x="5495"/>
        <item h="1" x="5496"/>
        <item h="1" x="5497"/>
        <item h="1" x="5498"/>
        <item h="1" x="5499"/>
        <item h="1" x="5500"/>
        <item h="1" x="5501"/>
        <item h="1" x="5502"/>
        <item h="1" x="5503"/>
        <item h="1" x="5504"/>
        <item h="1" x="5505"/>
        <item h="1" x="5506"/>
        <item h="1" x="5507"/>
        <item h="1" x="5508"/>
        <item h="1" x="5509"/>
        <item h="1" x="5510"/>
        <item h="1" x="5511"/>
        <item h="1" x="5512"/>
        <item h="1" x="5513"/>
        <item h="1" x="5514"/>
        <item h="1" x="5515"/>
        <item h="1" x="5516"/>
        <item h="1" x="5517"/>
        <item h="1" x="5518"/>
        <item h="1" x="5519"/>
        <item h="1" x="5520"/>
        <item h="1" x="5521"/>
        <item h="1" x="5522"/>
        <item h="1" x="5523"/>
        <item h="1" x="5524"/>
        <item h="1" x="5525"/>
        <item h="1" x="5526"/>
        <item h="1" x="5527"/>
        <item h="1" x="5528"/>
        <item h="1" x="5529"/>
        <item h="1" x="5530"/>
        <item h="1" x="5531"/>
        <item h="1" x="5532"/>
        <item h="1" x="5533"/>
        <item h="1" x="5534"/>
        <item h="1" x="5535"/>
        <item h="1" x="5536"/>
        <item h="1" x="5537"/>
        <item h="1" x="5538"/>
        <item h="1" x="5539"/>
        <item h="1" x="5540"/>
        <item h="1" x="5541"/>
        <item h="1" x="5542"/>
        <item h="1" x="5543"/>
        <item h="1" x="5544"/>
        <item h="1" x="5545"/>
        <item h="1" x="5546"/>
        <item h="1" x="5547"/>
        <item h="1" x="5548"/>
        <item h="1" x="5549"/>
        <item h="1" x="5550"/>
        <item h="1" x="5551"/>
        <item h="1" x="5552"/>
        <item h="1" x="5553"/>
        <item h="1" x="5554"/>
        <item h="1" x="5555"/>
        <item h="1" x="5556"/>
        <item h="1" x="5557"/>
        <item h="1" x="5558"/>
        <item h="1" x="5559"/>
        <item h="1" x="5560"/>
        <item h="1" x="5561"/>
        <item h="1" x="5562"/>
        <item h="1" x="5563"/>
        <item h="1" x="5564"/>
        <item h="1" x="5565"/>
        <item h="1" x="5566"/>
        <item h="1" x="5567"/>
        <item h="1" x="5568"/>
        <item h="1" x="5569"/>
        <item h="1" x="5570"/>
        <item h="1" x="5571"/>
        <item h="1" x="5572"/>
        <item h="1" x="5573"/>
        <item h="1" x="5574"/>
        <item h="1" x="5575"/>
        <item h="1" x="5576"/>
        <item h="1" x="5577"/>
        <item h="1" x="5578"/>
        <item h="1" x="5579"/>
        <item h="1" x="5580"/>
        <item h="1" x="5581"/>
        <item h="1" x="5582"/>
        <item h="1" x="5583"/>
        <item h="1" x="5584"/>
        <item h="1" x="5585"/>
        <item h="1" x="5586"/>
        <item h="1" x="5587"/>
        <item h="1" x="5588"/>
        <item h="1" x="5589"/>
        <item h="1" x="5590"/>
        <item h="1" x="5591"/>
        <item h="1" x="5592"/>
        <item h="1" x="5593"/>
        <item h="1" x="5594"/>
        <item h="1" x="5595"/>
        <item h="1" x="5596"/>
        <item h="1" x="5597"/>
        <item h="1" x="5598"/>
        <item h="1" x="5599"/>
        <item h="1" x="5600"/>
        <item h="1" x="5601"/>
        <item h="1" x="5602"/>
        <item h="1" x="5603"/>
        <item h="1" x="5604"/>
        <item h="1" x="5605"/>
        <item h="1" x="5606"/>
        <item h="1" x="5607"/>
        <item h="1" x="5608"/>
        <item h="1" x="5609"/>
        <item h="1" x="5610"/>
        <item h="1" x="5611"/>
        <item h="1" x="5612"/>
        <item h="1" x="5613"/>
        <item h="1" x="5614"/>
        <item h="1" x="5615"/>
        <item h="1" x="5616"/>
        <item h="1" x="5617"/>
        <item h="1" x="5618"/>
        <item h="1" x="5619"/>
        <item h="1" x="5620"/>
        <item h="1" x="5621"/>
        <item h="1" x="5622"/>
        <item h="1" x="5623"/>
        <item h="1" x="5624"/>
        <item h="1" x="5625"/>
        <item h="1" x="5626"/>
        <item h="1" x="5627"/>
        <item h="1" x="5628"/>
        <item h="1" x="5629"/>
        <item h="1" x="5630"/>
        <item h="1" x="5631"/>
        <item h="1" x="5632"/>
        <item h="1" x="5633"/>
        <item h="1" x="5634"/>
        <item h="1" x="5635"/>
        <item h="1" x="5636"/>
        <item h="1" x="5637"/>
        <item h="1" x="5638"/>
        <item h="1" x="5639"/>
        <item h="1" x="5640"/>
        <item h="1" x="5641"/>
        <item h="1" x="5642"/>
        <item h="1" x="5643"/>
        <item h="1" x="5644"/>
        <item h="1" x="5645"/>
        <item h="1" x="5646"/>
        <item h="1" x="5647"/>
        <item h="1" x="5648"/>
        <item h="1" x="5649"/>
        <item h="1" x="5650"/>
        <item h="1" x="5651"/>
        <item h="1" x="5652"/>
        <item h="1" x="5653"/>
        <item h="1" x="5654"/>
        <item h="1" x="5655"/>
        <item h="1" x="5656"/>
        <item h="1" x="5657"/>
        <item h="1" x="5658"/>
        <item h="1" x="5659"/>
        <item h="1" x="5660"/>
        <item h="1" x="5661"/>
        <item h="1" x="5662"/>
        <item h="1" x="5663"/>
        <item h="1" x="5664"/>
        <item h="1" x="5665"/>
        <item h="1" x="5666"/>
        <item h="1" x="5667"/>
        <item h="1" x="5668"/>
        <item h="1" x="5669"/>
        <item h="1" x="5670"/>
        <item h="1" x="5671"/>
        <item h="1" x="5672"/>
        <item h="1" x="5673"/>
        <item h="1" x="5674"/>
        <item h="1" x="5675"/>
        <item h="1" x="5676"/>
        <item h="1" x="5677"/>
        <item h="1" x="5678"/>
        <item h="1" x="5679"/>
        <item h="1" x="5680"/>
        <item h="1" x="5681"/>
        <item h="1" x="5682"/>
        <item h="1" x="5683"/>
        <item h="1" x="5684"/>
        <item h="1" x="5685"/>
        <item h="1" x="5686"/>
        <item h="1" x="5687"/>
        <item h="1" x="5688"/>
        <item h="1" x="5689"/>
        <item h="1" x="5690"/>
        <item h="1" x="5691"/>
        <item h="1" x="5692"/>
        <item h="1" x="5693"/>
        <item h="1" x="5694"/>
        <item h="1" x="5695"/>
        <item h="1" x="5696"/>
        <item h="1" x="5697"/>
        <item h="1" x="5698"/>
        <item h="1" x="5699"/>
        <item h="1" x="5700"/>
        <item h="1" x="5701"/>
        <item h="1" x="5702"/>
        <item h="1" x="5703"/>
        <item h="1" x="5704"/>
        <item h="1" x="5705"/>
        <item h="1" x="5706"/>
        <item h="1" x="5707"/>
        <item h="1" x="5708"/>
        <item h="1" x="5709"/>
        <item h="1" x="5710"/>
        <item h="1" x="5711"/>
        <item h="1" x="5712"/>
        <item h="1" x="5713"/>
        <item h="1" x="5714"/>
        <item h="1" x="5715"/>
        <item h="1" x="5716"/>
        <item h="1" x="5717"/>
        <item h="1" x="5718"/>
        <item h="1" x="5719"/>
        <item h="1" x="5720"/>
        <item h="1" x="5721"/>
        <item h="1" x="5722"/>
        <item h="1" x="5723"/>
        <item h="1" x="5724"/>
        <item h="1" x="5725"/>
        <item h="1" x="5726"/>
        <item h="1" x="5727"/>
        <item h="1" x="5728"/>
        <item h="1" x="5729"/>
        <item h="1" x="5730"/>
        <item h="1" x="5731"/>
        <item h="1" x="5732"/>
        <item h="1" x="5733"/>
        <item h="1" x="5734"/>
        <item h="1" x="5735"/>
        <item h="1" x="5736"/>
        <item h="1" x="5737"/>
        <item h="1" x="5738"/>
        <item h="1" x="5739"/>
        <item h="1" x="5740"/>
        <item h="1" x="5741"/>
        <item h="1" x="5742"/>
        <item h="1" x="5743"/>
        <item h="1" x="5744"/>
        <item h="1" x="5745"/>
        <item h="1" x="5746"/>
        <item h="1" x="5747"/>
        <item h="1" x="5748"/>
        <item h="1" x="5749"/>
        <item h="1" x="5750"/>
        <item h="1" x="5751"/>
        <item h="1" x="5752"/>
        <item h="1" x="5753"/>
        <item h="1" x="5754"/>
        <item h="1" x="5755"/>
        <item h="1" x="5756"/>
        <item h="1" x="5757"/>
        <item h="1" x="5758"/>
        <item h="1" x="5759"/>
        <item h="1" x="5760"/>
        <item h="1" x="5761"/>
        <item h="1" x="5762"/>
        <item h="1" x="5763"/>
        <item h="1" x="5764"/>
        <item h="1" x="5765"/>
        <item h="1" x="5766"/>
        <item h="1" x="5767"/>
        <item h="1" x="5768"/>
        <item h="1" x="5769"/>
        <item t="default"/>
      </items>
    </pivotField>
    <pivotField showAll="0"/>
    <pivotField axis="axisPage" showAll="0">
      <items count="8">
        <item x="1"/>
        <item x="3"/>
        <item x="6"/>
        <item x="5"/>
        <item x="4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0">
        <item x="0"/>
        <item x="1"/>
        <item x="2"/>
        <item x="3"/>
        <item h="1" x="4"/>
        <item h="1" x="5"/>
        <item h="1" x="6"/>
        <item h="1" x="7"/>
        <item h="1" x="8"/>
        <item t="default"/>
      </items>
    </pivotField>
    <pivotField showAll="0"/>
    <pivotField showAll="0"/>
    <pivotField showAll="0"/>
    <pivotField axis="axisPage" showAll="0">
      <items count="6">
        <item x="2"/>
        <item x="4"/>
        <item x="1"/>
        <item x="0"/>
        <item x="3"/>
        <item t="default"/>
      </items>
    </pivotField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22"/>
  </rowFields>
  <rowItems count="65">
    <i>
      <x v="3"/>
    </i>
    <i>
      <x v="5"/>
    </i>
    <i>
      <x v="6"/>
    </i>
    <i>
      <x v="8"/>
    </i>
    <i>
      <x v="10"/>
    </i>
    <i>
      <x v="12"/>
    </i>
    <i>
      <x v="13"/>
    </i>
    <i>
      <x v="15"/>
    </i>
    <i>
      <x v="20"/>
    </i>
    <i>
      <x v="21"/>
    </i>
    <i>
      <x v="22"/>
    </i>
    <i>
      <x v="24"/>
    </i>
    <i>
      <x v="25"/>
    </i>
    <i>
      <x v="27"/>
    </i>
    <i>
      <x v="28"/>
    </i>
    <i>
      <x v="29"/>
    </i>
    <i>
      <x v="30"/>
    </i>
    <i>
      <x v="31"/>
    </i>
    <i>
      <x v="32"/>
    </i>
    <i>
      <x v="34"/>
    </i>
    <i>
      <x v="38"/>
    </i>
    <i>
      <x v="39"/>
    </i>
    <i>
      <x v="42"/>
    </i>
    <i>
      <x v="45"/>
    </i>
    <i>
      <x v="47"/>
    </i>
    <i>
      <x v="48"/>
    </i>
    <i>
      <x v="50"/>
    </i>
    <i>
      <x v="51"/>
    </i>
    <i>
      <x v="54"/>
    </i>
    <i>
      <x v="56"/>
    </i>
    <i>
      <x v="59"/>
    </i>
    <i>
      <x v="61"/>
    </i>
    <i>
      <x v="64"/>
    </i>
    <i>
      <x v="65"/>
    </i>
    <i>
      <x v="66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8"/>
    </i>
    <i>
      <x v="80"/>
    </i>
    <i>
      <x v="83"/>
    </i>
    <i>
      <x v="85"/>
    </i>
    <i>
      <x v="88"/>
    </i>
    <i>
      <x v="90"/>
    </i>
    <i>
      <x v="93"/>
    </i>
    <i>
      <x v="94"/>
    </i>
    <i>
      <x v="98"/>
    </i>
    <i>
      <x v="101"/>
    </i>
    <i>
      <x v="102"/>
    </i>
    <i>
      <x v="103"/>
    </i>
    <i>
      <x v="105"/>
    </i>
    <i>
      <x v="106"/>
    </i>
    <i>
      <x v="107"/>
    </i>
    <i>
      <x v="109"/>
    </i>
    <i>
      <x v="113"/>
    </i>
    <i>
      <x v="116"/>
    </i>
    <i>
      <x v="118"/>
    </i>
    <i>
      <x v="120"/>
    </i>
    <i>
      <x v="121"/>
    </i>
    <i t="grand">
      <x/>
    </i>
  </rowItems>
  <colItems count="1">
    <i/>
  </colItems>
  <pageFields count="3">
    <pageField fld="20" item="2" hier="-1"/>
    <pageField fld="3" item="2" hier="-1"/>
    <pageField fld="16" hier="-1"/>
  </pageFields>
  <dataFields count="1">
    <dataField name="Count of Ticket ID" fld="0" subtotal="count" baseField="0" baseItem="0"/>
  </dataField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463B47-5F33-48DD-853A-D3E10D9B9D3F}" autoFormatId="16" applyNumberFormats="0" applyBorderFormats="0" applyFontFormats="0" applyPatternFormats="0" applyAlignmentFormats="0" applyWidthHeightFormats="0">
  <queryTableRefresh nextId="32">
    <queryTableFields count="22">
      <queryTableField id="1" name="Ticket ID" tableColumnId="1"/>
      <queryTableField id="2" name="Created Timestamp" tableColumnId="2"/>
      <queryTableField id="3" name="Resolved Timestamp" tableColumnId="3"/>
      <queryTableField id="4" name="Issue Category" tableColumnId="4"/>
      <queryTableField id="5" name="Channel" tableColumnId="5"/>
      <queryTableField id="6" name="Priority" tableColumnId="6"/>
      <queryTableField id="7" name="Agent ID" tableColumnId="7"/>
      <queryTableField id="8" name="Agent Tenure" tableColumnId="8"/>
      <queryTableField id="9" name="SLA Target Hours" tableColumnId="9"/>
      <queryTableField id="10" name="Resolution Hours" tableColumnId="10"/>
      <queryTableField id="11" name="First Contact Resolution" tableColumnId="11"/>
      <queryTableField id="12" name="Repeat Contact 7 Days" tableColumnId="12"/>
      <queryTableField id="13" name="Escalated" tableColumnId="13"/>
      <queryTableField id="14" name="CSAT Score" tableColumnId="14"/>
      <queryTableField id="15" name="Status" tableColumnId="15"/>
      <queryTableField id="18" name="Month Name" tableColumnId="18"/>
      <queryTableField id="19" name="Month" tableColumnId="19"/>
      <queryTableField id="20" name="Year" tableColumnId="20"/>
      <queryTableField id="17" name="SLA Met" tableColumnId="17"/>
      <queryTableField id="21" name="SLA Flag" tableColumnId="21"/>
      <queryTableField id="16" name="Region" tableColumnId="16"/>
      <queryTableField id="22" name="FCR Flag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A95DF7-F2CD-423D-8EC5-770C29DAB0E7}" name="Tickets_Clean" displayName="Tickets_Clean" ref="A1:V6001" tableType="queryTable" totalsRowShown="0">
  <autoFilter ref="A1:V6001" xr:uid="{E9A95DF7-F2CD-423D-8EC5-770C29DAB0E7}"/>
  <tableColumns count="22">
    <tableColumn id="1" xr3:uid="{5DD736C0-463F-4A97-8005-8D5E3D203942}" uniqueName="1" name="Ticket ID" queryTableFieldId="1" dataDxfId="16"/>
    <tableColumn id="2" xr3:uid="{800DC15C-4C31-4C6F-A5A5-EDF7D53AFA7B}" uniqueName="2" name="Created Timestamp" queryTableFieldId="2" dataDxfId="15"/>
    <tableColumn id="3" xr3:uid="{7D651162-4068-41F0-BD2F-740769C2B022}" uniqueName="3" name="Resolved Timestamp" queryTableFieldId="3" dataDxfId="14"/>
    <tableColumn id="4" xr3:uid="{0993B9CF-D3FC-4A63-AC2C-1EADB0A7605C}" uniqueName="4" name="Issue Category" queryTableFieldId="4" dataDxfId="13"/>
    <tableColumn id="5" xr3:uid="{FFEF598A-1616-42DA-AE99-E5B80B2D4065}" uniqueName="5" name="Channel" queryTableFieldId="5" dataDxfId="12"/>
    <tableColumn id="6" xr3:uid="{D4BF275C-18C1-402E-ADDC-E499AD5A2F3E}" uniqueName="6" name="Priority" queryTableFieldId="6" dataDxfId="11"/>
    <tableColumn id="7" xr3:uid="{C3FE56D7-7C71-420B-8B29-DF158A38DB79}" uniqueName="7" name="Agent ID" queryTableFieldId="7" dataDxfId="10"/>
    <tableColumn id="8" xr3:uid="{9289516C-7492-446E-88DA-ED0E2A4EA3C5}" uniqueName="8" name="Agent Tenure" queryTableFieldId="8" dataDxfId="9"/>
    <tableColumn id="9" xr3:uid="{D641E86A-98B0-428A-8A4A-1E6C7E6A745A}" uniqueName="9" name="SLA Target Hours" queryTableFieldId="9"/>
    <tableColumn id="10" xr3:uid="{2AFD3D5B-35FD-450A-9186-59F256B75152}" uniqueName="10" name="Resolution Hours" queryTableFieldId="10"/>
    <tableColumn id="11" xr3:uid="{AD6811A5-253F-487D-A7BB-44058542174A}" uniqueName="11" name="First Contact Resolution" queryTableFieldId="11" dataDxfId="8"/>
    <tableColumn id="12" xr3:uid="{B0A7F713-8837-41C4-9676-3C29A63698D7}" uniqueName="12" name="Repeat Contact 7 Days" queryTableFieldId="12" dataDxfId="7"/>
    <tableColumn id="13" xr3:uid="{72F1F711-4589-4C66-BF0A-F2FA8DFFCA4D}" uniqueName="13" name="Escalated" queryTableFieldId="13" dataDxfId="6"/>
    <tableColumn id="14" xr3:uid="{23F737BA-13EE-4480-B849-8EBABED5AA31}" uniqueName="14" name="CSAT Score" queryTableFieldId="14"/>
    <tableColumn id="15" xr3:uid="{B8ABF85C-1D7C-4531-B3FF-94DA7E3653A4}" uniqueName="15" name="Status" queryTableFieldId="15" dataDxfId="5"/>
    <tableColumn id="18" xr3:uid="{A9B8FCB6-59F5-4349-B6F2-BF82A0FF45ED}" uniqueName="18" name="Month Name" queryTableFieldId="18" dataDxfId="4"/>
    <tableColumn id="19" xr3:uid="{125245C2-34AE-44EB-909F-9B696E6E2E2A}" uniqueName="19" name="Month" queryTableFieldId="19"/>
    <tableColumn id="20" xr3:uid="{BB18D27D-B853-4645-90EC-74479D1091B9}" uniqueName="20" name="Year" queryTableFieldId="20"/>
    <tableColumn id="17" xr3:uid="{53D3107D-29E9-4FC1-999D-602A3405C026}" uniqueName="17" name="SLA Met" queryTableFieldId="17"/>
    <tableColumn id="21" xr3:uid="{599F6ACA-4C80-4574-87DE-BBD17E45D2F1}" uniqueName="21" name="SlA Flag" queryTableFieldId="21" dataDxfId="3"/>
    <tableColumn id="16" xr3:uid="{C70CA4F9-D566-4FDC-B025-467B256CB6F3}" uniqueName="16" name="Region" queryTableFieldId="16" dataDxfId="2"/>
    <tableColumn id="22" xr3:uid="{ECCF2286-6E99-4A50-B9E0-D49274EF180D}" uniqueName="22" name="FCR Flag" queryTableFieldId="22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D8D8-7F85-49B2-B1BF-F859A6B458F2}">
  <dimension ref="A1:F4"/>
  <sheetViews>
    <sheetView showGridLines="0" showRowColHeaders="0" tabSelected="1" zoomScale="50" zoomScaleNormal="50" workbookViewId="0">
      <selection activeCell="T42" sqref="T42"/>
    </sheetView>
  </sheetViews>
  <sheetFormatPr defaultRowHeight="14.4" x14ac:dyDescent="0.3"/>
  <cols>
    <col min="1" max="1" width="17.88671875" style="10" bestFit="1" customWidth="1"/>
    <col min="2" max="2" width="18.77734375" style="10" bestFit="1" customWidth="1"/>
    <col min="3" max="3" width="32.109375" style="10" bestFit="1" customWidth="1"/>
    <col min="4" max="4" width="33" style="10" bestFit="1" customWidth="1"/>
    <col min="5" max="5" width="31.21875" style="10" bestFit="1" customWidth="1"/>
    <col min="6" max="6" width="37.88671875" style="10" bestFit="1" customWidth="1"/>
    <col min="7" max="7" width="24" style="10" bestFit="1" customWidth="1"/>
    <col min="8" max="16384" width="8.88671875" style="10"/>
  </cols>
  <sheetData>
    <row r="1" spans="1:6" ht="43.2" x14ac:dyDescent="0.7">
      <c r="A1" s="12" t="s">
        <v>6194</v>
      </c>
      <c r="B1" s="11"/>
      <c r="E1" s="11"/>
    </row>
    <row r="3" spans="1:6" ht="37.200000000000003" x14ac:dyDescent="0.3">
      <c r="A3" s="16" t="s">
        <v>6186</v>
      </c>
      <c r="B3" s="16" t="s">
        <v>6197</v>
      </c>
      <c r="C3" s="16" t="s">
        <v>12</v>
      </c>
      <c r="D3" s="16" t="s">
        <v>6198</v>
      </c>
      <c r="E3" s="16" t="s">
        <v>6195</v>
      </c>
      <c r="F3" s="16" t="s">
        <v>6196</v>
      </c>
    </row>
    <row r="4" spans="1:6" ht="37.200000000000003" x14ac:dyDescent="0.6">
      <c r="A4" s="13">
        <f>COUNTA(Tickets_Clean[Ticket ID])</f>
        <v>6000</v>
      </c>
      <c r="B4" s="14">
        <f>AVERAGE(Tickets_Clean[SlA Flag])</f>
        <v>0.64526404023470241</v>
      </c>
      <c r="C4" s="14">
        <f>AVERAGE(Tickets_Clean[FCR Flag])</f>
        <v>0.70216666666666672</v>
      </c>
      <c r="D4" s="15">
        <f>AVERAGE(Tickets_Clean[Resolution Hours])</f>
        <v>26.149840737636215</v>
      </c>
      <c r="E4" s="14">
        <f>AVERAGEIFS(Tickets_Clean[SlA Flag],Tickets_Clean[Priority], "High")</f>
        <v>9.3970242756460459E-2</v>
      </c>
      <c r="F4" s="14">
        <f>AVERAGEIFS(Tickets_Clean[SlA Flag],Tickets_Clean[Region],"Southeast",Tickets_Clean[Issue Category],"Internet Outage",Tickets_Clean[Month],3)</f>
        <v>0.24206349206349206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76DD-4BAE-4089-8A41-F0A01FB7E5A7}">
  <dimension ref="A1:E8"/>
  <sheetViews>
    <sheetView workbookViewId="0">
      <selection activeCell="D8" sqref="D8"/>
    </sheetView>
  </sheetViews>
  <sheetFormatPr defaultRowHeight="14.4" x14ac:dyDescent="0.3"/>
  <cols>
    <col min="1" max="1" width="24" bestFit="1" customWidth="1"/>
    <col min="2" max="2" width="83.77734375" bestFit="1" customWidth="1"/>
    <col min="3" max="3" width="88.5546875" bestFit="1" customWidth="1"/>
    <col min="4" max="4" width="11.5546875" bestFit="1" customWidth="1"/>
    <col min="5" max="5" width="62.44140625" bestFit="1" customWidth="1"/>
  </cols>
  <sheetData>
    <row r="1" spans="1:5" ht="32.4" x14ac:dyDescent="0.6">
      <c r="A1" s="17" t="s">
        <v>6203</v>
      </c>
      <c r="B1" s="1"/>
      <c r="C1" s="1"/>
      <c r="D1" s="1"/>
      <c r="E1" s="1"/>
    </row>
    <row r="2" spans="1:5" x14ac:dyDescent="0.3">
      <c r="A2" t="s">
        <v>6206</v>
      </c>
      <c r="B2" s="1" t="s">
        <v>6207</v>
      </c>
      <c r="C2" s="1" t="s">
        <v>6208</v>
      </c>
      <c r="D2" s="1" t="s">
        <v>6209</v>
      </c>
      <c r="E2" s="1" t="s">
        <v>6210</v>
      </c>
    </row>
    <row r="3" spans="1:5" x14ac:dyDescent="0.3">
      <c r="A3" t="s">
        <v>6186</v>
      </c>
      <c r="B3" t="s">
        <v>6220</v>
      </c>
      <c r="C3" t="s">
        <v>6225</v>
      </c>
      <c r="D3" s="18" t="s">
        <v>6211</v>
      </c>
      <c r="E3" t="s">
        <v>6213</v>
      </c>
    </row>
    <row r="4" spans="1:5" x14ac:dyDescent="0.3">
      <c r="A4" t="s">
        <v>6197</v>
      </c>
      <c r="B4" t="s">
        <v>6221</v>
      </c>
      <c r="C4" t="s">
        <v>6226</v>
      </c>
      <c r="D4" s="19">
        <v>0.64500000000000002</v>
      </c>
      <c r="E4" t="s">
        <v>6214</v>
      </c>
    </row>
    <row r="5" spans="1:5" x14ac:dyDescent="0.3">
      <c r="A5" t="s">
        <v>6204</v>
      </c>
      <c r="B5" t="s">
        <v>6222</v>
      </c>
      <c r="C5" t="s">
        <v>6227</v>
      </c>
      <c r="D5" s="19">
        <v>0.70020000000000004</v>
      </c>
      <c r="E5" t="s">
        <v>6215</v>
      </c>
    </row>
    <row r="6" spans="1:5" x14ac:dyDescent="0.3">
      <c r="A6" t="s">
        <v>6205</v>
      </c>
      <c r="B6" t="s">
        <v>6219</v>
      </c>
      <c r="C6" t="s">
        <v>6228</v>
      </c>
      <c r="D6" s="18" t="s">
        <v>6212</v>
      </c>
      <c r="E6" t="s">
        <v>6218</v>
      </c>
    </row>
    <row r="7" spans="1:5" x14ac:dyDescent="0.3">
      <c r="A7" t="s">
        <v>6195</v>
      </c>
      <c r="B7" t="s">
        <v>6223</v>
      </c>
      <c r="C7" t="s">
        <v>6229</v>
      </c>
      <c r="D7" s="19">
        <v>9.4E-2</v>
      </c>
      <c r="E7" t="s">
        <v>6216</v>
      </c>
    </row>
    <row r="8" spans="1:5" x14ac:dyDescent="0.3">
      <c r="A8" t="s">
        <v>6196</v>
      </c>
      <c r="B8" t="s">
        <v>6224</v>
      </c>
      <c r="C8" t="s">
        <v>6230</v>
      </c>
      <c r="D8" s="19">
        <v>0.24199999999999999</v>
      </c>
      <c r="E8" t="s">
        <v>6217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4746-BF68-4211-90A7-5006EA93463F}">
  <dimension ref="A1:E7"/>
  <sheetViews>
    <sheetView topLeftCell="B1" workbookViewId="0">
      <selection activeCell="B3" sqref="B3"/>
    </sheetView>
  </sheetViews>
  <sheetFormatPr defaultRowHeight="14.4" x14ac:dyDescent="0.3"/>
  <cols>
    <col min="1" max="1" width="34.109375" bestFit="1" customWidth="1"/>
    <col min="2" max="2" width="34.5546875" bestFit="1" customWidth="1"/>
    <col min="3" max="3" width="52.77734375" bestFit="1" customWidth="1"/>
    <col min="4" max="4" width="63.6640625" bestFit="1" customWidth="1"/>
    <col min="5" max="5" width="131.5546875" bestFit="1" customWidth="1"/>
  </cols>
  <sheetData>
    <row r="1" spans="1:5" x14ac:dyDescent="0.3">
      <c r="A1" s="1" t="s">
        <v>6231</v>
      </c>
      <c r="B1" s="1" t="s">
        <v>6232</v>
      </c>
      <c r="C1" s="1" t="s">
        <v>6233</v>
      </c>
      <c r="D1" s="1" t="s">
        <v>6234</v>
      </c>
      <c r="E1" s="1" t="s">
        <v>6235</v>
      </c>
    </row>
    <row r="2" spans="1:5" x14ac:dyDescent="0.3">
      <c r="A2" t="s">
        <v>6236</v>
      </c>
      <c r="B2" t="s">
        <v>0</v>
      </c>
      <c r="C2" t="s">
        <v>6261</v>
      </c>
      <c r="D2" t="s">
        <v>6237</v>
      </c>
      <c r="E2" t="s">
        <v>6238</v>
      </c>
    </row>
    <row r="3" spans="1:5" x14ac:dyDescent="0.3">
      <c r="A3" t="s">
        <v>6239</v>
      </c>
      <c r="B3" t="s">
        <v>3</v>
      </c>
      <c r="C3" t="s">
        <v>6262</v>
      </c>
      <c r="D3" t="s">
        <v>6240</v>
      </c>
      <c r="E3" t="s">
        <v>6241</v>
      </c>
    </row>
    <row r="4" spans="1:5" x14ac:dyDescent="0.3">
      <c r="A4" t="s">
        <v>6242</v>
      </c>
      <c r="B4" t="s">
        <v>6245</v>
      </c>
      <c r="C4" t="s">
        <v>6244</v>
      </c>
      <c r="D4" t="s">
        <v>6250</v>
      </c>
      <c r="E4" t="s">
        <v>6243</v>
      </c>
    </row>
    <row r="5" spans="1:5" x14ac:dyDescent="0.3">
      <c r="A5" t="s">
        <v>6246</v>
      </c>
      <c r="B5" t="s">
        <v>6247</v>
      </c>
      <c r="C5" t="s">
        <v>6248</v>
      </c>
      <c r="D5" t="s">
        <v>6249</v>
      </c>
      <c r="E5" t="s">
        <v>6251</v>
      </c>
    </row>
    <row r="6" spans="1:5" x14ac:dyDescent="0.3">
      <c r="A6" t="s">
        <v>6252</v>
      </c>
      <c r="B6" t="s">
        <v>6253</v>
      </c>
      <c r="C6" t="s">
        <v>6254</v>
      </c>
      <c r="D6" t="s">
        <v>6255</v>
      </c>
      <c r="E6" t="s">
        <v>6256</v>
      </c>
    </row>
    <row r="7" spans="1:5" x14ac:dyDescent="0.3">
      <c r="A7" t="s">
        <v>6257</v>
      </c>
      <c r="B7" t="s">
        <v>6258</v>
      </c>
      <c r="C7" s="4">
        <v>25</v>
      </c>
      <c r="D7" t="s">
        <v>6259</v>
      </c>
      <c r="E7" t="s">
        <v>6260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4D62-6877-45FD-93C6-A8793308851F}">
  <dimension ref="A3:B9"/>
  <sheetViews>
    <sheetView workbookViewId="0">
      <selection activeCell="D5" sqref="D5"/>
    </sheetView>
  </sheetViews>
  <sheetFormatPr defaultRowHeight="14.4" x14ac:dyDescent="0.3"/>
  <cols>
    <col min="1" max="1" width="12.5546875" bestFit="1" customWidth="1"/>
    <col min="2" max="2" width="17.21875" bestFit="1" customWidth="1"/>
  </cols>
  <sheetData>
    <row r="3" spans="1:2" x14ac:dyDescent="0.3">
      <c r="A3" s="3" t="s">
        <v>6117</v>
      </c>
      <c r="B3" t="s">
        <v>6119</v>
      </c>
    </row>
    <row r="4" spans="1:2" x14ac:dyDescent="0.3">
      <c r="A4" s="4" t="s">
        <v>6018</v>
      </c>
      <c r="B4" s="9">
        <v>0.60248853962017024</v>
      </c>
    </row>
    <row r="5" spans="1:2" x14ac:dyDescent="0.3">
      <c r="A5" s="4" t="s">
        <v>6019</v>
      </c>
      <c r="B5" s="9">
        <v>0.62566371681415933</v>
      </c>
    </row>
    <row r="6" spans="1:2" x14ac:dyDescent="0.3">
      <c r="A6" s="4" t="s">
        <v>6020</v>
      </c>
      <c r="B6" s="9">
        <v>0.67090754877014414</v>
      </c>
    </row>
    <row r="7" spans="1:2" x14ac:dyDescent="0.3">
      <c r="A7" s="4" t="s">
        <v>6021</v>
      </c>
      <c r="B7" s="9">
        <v>0.67139656460044805</v>
      </c>
    </row>
    <row r="8" spans="1:2" x14ac:dyDescent="0.3">
      <c r="A8" s="4" t="s">
        <v>6017</v>
      </c>
      <c r="B8" s="9">
        <v>0.67341772151898738</v>
      </c>
    </row>
    <row r="9" spans="1:2" x14ac:dyDescent="0.3">
      <c r="A9" s="4" t="s">
        <v>6118</v>
      </c>
      <c r="B9" s="9">
        <v>0.64526404023470241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0F6D-A94E-4485-957C-D2639FC76D75}">
  <dimension ref="A3:B7"/>
  <sheetViews>
    <sheetView workbookViewId="0">
      <selection activeCell="J4" sqref="J4"/>
    </sheetView>
  </sheetViews>
  <sheetFormatPr defaultRowHeight="14.4" x14ac:dyDescent="0.3"/>
  <cols>
    <col min="1" max="1" width="12.5546875" bestFit="1" customWidth="1"/>
    <col min="2" max="2" width="17.21875" bestFit="1" customWidth="1"/>
  </cols>
  <sheetData>
    <row r="3" spans="1:2" x14ac:dyDescent="0.3">
      <c r="A3" s="3" t="s">
        <v>6117</v>
      </c>
      <c r="B3" t="s">
        <v>6119</v>
      </c>
    </row>
    <row r="4" spans="1:2" x14ac:dyDescent="0.3">
      <c r="A4" s="4" t="s">
        <v>6035</v>
      </c>
      <c r="B4" s="5">
        <v>9.3970242756460459E-2</v>
      </c>
    </row>
    <row r="5" spans="1:2" x14ac:dyDescent="0.3">
      <c r="A5" s="4" t="s">
        <v>6034</v>
      </c>
      <c r="B5" s="5">
        <v>0.70423572744014729</v>
      </c>
    </row>
    <row r="6" spans="1:2" x14ac:dyDescent="0.3">
      <c r="A6" s="4" t="s">
        <v>6033</v>
      </c>
      <c r="B6" s="5">
        <v>0.92093258996452099</v>
      </c>
    </row>
    <row r="7" spans="1:2" x14ac:dyDescent="0.3">
      <c r="A7" s="4" t="s">
        <v>6118</v>
      </c>
      <c r="B7" s="5">
        <v>0.64526404023470241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179D6-22B4-4570-A485-B3E1B2AD321B}">
  <dimension ref="A3:G8"/>
  <sheetViews>
    <sheetView workbookViewId="0">
      <selection activeCell="H5" sqref="H5"/>
    </sheetView>
  </sheetViews>
  <sheetFormatPr defaultRowHeight="14.4" x14ac:dyDescent="0.3"/>
  <cols>
    <col min="1" max="1" width="16.109375" bestFit="1" customWidth="1"/>
    <col min="2" max="2" width="15.5546875" bestFit="1" customWidth="1"/>
    <col min="3" max="3" width="7" bestFit="1" customWidth="1"/>
    <col min="4" max="4" width="10.77734375" bestFit="1" customWidth="1"/>
    <col min="6" max="6" width="11.77734375" bestFit="1" customWidth="1"/>
    <col min="7" max="7" width="20.6640625" bestFit="1" customWidth="1"/>
  </cols>
  <sheetData>
    <row r="3" spans="1:7" x14ac:dyDescent="0.3">
      <c r="A3" s="3" t="s">
        <v>6121</v>
      </c>
      <c r="B3" s="3" t="s">
        <v>6120</v>
      </c>
      <c r="F3" s="4" t="s">
        <v>8</v>
      </c>
      <c r="G3" t="s">
        <v>12</v>
      </c>
    </row>
    <row r="4" spans="1:7" x14ac:dyDescent="0.3">
      <c r="A4" s="3" t="s">
        <v>6117</v>
      </c>
      <c r="B4" t="s">
        <v>6100</v>
      </c>
      <c r="C4" t="s">
        <v>6099</v>
      </c>
      <c r="D4" t="s">
        <v>6118</v>
      </c>
      <c r="F4" s="4" t="s">
        <v>6200</v>
      </c>
      <c r="G4" s="5">
        <f>C7</f>
        <v>0.57296272899557799</v>
      </c>
    </row>
    <row r="5" spans="1:7" x14ac:dyDescent="0.3">
      <c r="A5" s="4" t="s">
        <v>6097</v>
      </c>
      <c r="B5" s="5">
        <v>0.2043142043142043</v>
      </c>
      <c r="C5" s="5">
        <v>0.79568579568579567</v>
      </c>
      <c r="D5" s="5">
        <v>1</v>
      </c>
      <c r="F5" s="4" t="s">
        <v>6201</v>
      </c>
      <c r="G5" s="5">
        <f>C6</f>
        <v>0.68928571428571428</v>
      </c>
    </row>
    <row r="6" spans="1:7" x14ac:dyDescent="0.3">
      <c r="A6" s="4" t="s">
        <v>6098</v>
      </c>
      <c r="B6" s="5">
        <v>0.31071428571428572</v>
      </c>
      <c r="C6" s="5">
        <v>0.68928571428571428</v>
      </c>
      <c r="D6" s="5">
        <v>1</v>
      </c>
      <c r="F6" s="4" t="s">
        <v>6202</v>
      </c>
      <c r="G6" s="5">
        <f>C5</f>
        <v>0.79568579568579567</v>
      </c>
    </row>
    <row r="7" spans="1:7" x14ac:dyDescent="0.3">
      <c r="A7" s="4" t="s">
        <v>6096</v>
      </c>
      <c r="B7" s="5">
        <v>0.42703727100442196</v>
      </c>
      <c r="C7" s="5">
        <v>0.57296272899557799</v>
      </c>
      <c r="D7" s="5">
        <v>1</v>
      </c>
    </row>
    <row r="8" spans="1:7" x14ac:dyDescent="0.3">
      <c r="A8" s="4" t="s">
        <v>6118</v>
      </c>
      <c r="B8" s="5">
        <v>0.29783333333333334</v>
      </c>
      <c r="C8" s="5">
        <v>0.70216666666666672</v>
      </c>
      <c r="D8" s="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D48A3-103E-4C0F-B31E-2D0DD60050AD}">
  <dimension ref="A1:B70"/>
  <sheetViews>
    <sheetView workbookViewId="0">
      <selection activeCell="E25" sqref="E25"/>
    </sheetView>
  </sheetViews>
  <sheetFormatPr defaultRowHeight="14.4" x14ac:dyDescent="0.3"/>
  <cols>
    <col min="1" max="1" width="12.88671875" bestFit="1" customWidth="1"/>
    <col min="2" max="2" width="16.21875" bestFit="1" customWidth="1"/>
  </cols>
  <sheetData>
    <row r="1" spans="1:2" x14ac:dyDescent="0.3">
      <c r="A1" s="3" t="s">
        <v>3</v>
      </c>
      <c r="B1" t="s">
        <v>6018</v>
      </c>
    </row>
    <row r="2" spans="1:2" x14ac:dyDescent="0.3">
      <c r="A2" s="3" t="s">
        <v>4</v>
      </c>
      <c r="B2" t="s">
        <v>6028</v>
      </c>
    </row>
    <row r="3" spans="1:2" x14ac:dyDescent="0.3">
      <c r="A3" s="3" t="s">
        <v>6104</v>
      </c>
      <c r="B3" t="s">
        <v>6199</v>
      </c>
    </row>
    <row r="5" spans="1:2" x14ac:dyDescent="0.3">
      <c r="A5" s="3" t="s">
        <v>6117</v>
      </c>
      <c r="B5" t="s">
        <v>6121</v>
      </c>
    </row>
    <row r="6" spans="1:2" x14ac:dyDescent="0.3">
      <c r="A6" s="4" t="s">
        <v>6122</v>
      </c>
      <c r="B6" s="20">
        <v>1</v>
      </c>
    </row>
    <row r="7" spans="1:2" x14ac:dyDescent="0.3">
      <c r="A7" s="4" t="s">
        <v>6123</v>
      </c>
      <c r="B7" s="20">
        <v>1</v>
      </c>
    </row>
    <row r="8" spans="1:2" x14ac:dyDescent="0.3">
      <c r="A8" s="4" t="s">
        <v>6124</v>
      </c>
      <c r="B8" s="20">
        <v>2</v>
      </c>
    </row>
    <row r="9" spans="1:2" x14ac:dyDescent="0.3">
      <c r="A9" s="4" t="s">
        <v>6139</v>
      </c>
      <c r="B9" s="20">
        <v>1</v>
      </c>
    </row>
    <row r="10" spans="1:2" x14ac:dyDescent="0.3">
      <c r="A10" s="4" t="s">
        <v>6125</v>
      </c>
      <c r="B10" s="20">
        <v>3</v>
      </c>
    </row>
    <row r="11" spans="1:2" x14ac:dyDescent="0.3">
      <c r="A11" s="4" t="s">
        <v>6132</v>
      </c>
      <c r="B11" s="20">
        <v>1</v>
      </c>
    </row>
    <row r="12" spans="1:2" x14ac:dyDescent="0.3">
      <c r="A12" s="4" t="s">
        <v>6126</v>
      </c>
      <c r="B12" s="20">
        <v>1</v>
      </c>
    </row>
    <row r="13" spans="1:2" x14ac:dyDescent="0.3">
      <c r="A13" s="4" t="s">
        <v>6127</v>
      </c>
      <c r="B13" s="20">
        <v>2</v>
      </c>
    </row>
    <row r="14" spans="1:2" x14ac:dyDescent="0.3">
      <c r="A14" s="4" t="s">
        <v>6128</v>
      </c>
      <c r="B14" s="20">
        <v>1</v>
      </c>
    </row>
    <row r="15" spans="1:2" x14ac:dyDescent="0.3">
      <c r="A15" s="4" t="s">
        <v>6137</v>
      </c>
      <c r="B15" s="20">
        <v>2</v>
      </c>
    </row>
    <row r="16" spans="1:2" x14ac:dyDescent="0.3">
      <c r="A16" s="4" t="s">
        <v>6133</v>
      </c>
      <c r="B16" s="20">
        <v>1</v>
      </c>
    </row>
    <row r="17" spans="1:2" x14ac:dyDescent="0.3">
      <c r="A17" s="4" t="s">
        <v>6134</v>
      </c>
      <c r="B17" s="20">
        <v>2</v>
      </c>
    </row>
    <row r="18" spans="1:2" x14ac:dyDescent="0.3">
      <c r="A18" s="4" t="s">
        <v>6129</v>
      </c>
      <c r="B18" s="20">
        <v>1</v>
      </c>
    </row>
    <row r="19" spans="1:2" x14ac:dyDescent="0.3">
      <c r="A19" s="4" t="s">
        <v>6130</v>
      </c>
      <c r="B19" s="20">
        <v>1</v>
      </c>
    </row>
    <row r="20" spans="1:2" x14ac:dyDescent="0.3">
      <c r="A20" s="4" t="s">
        <v>6135</v>
      </c>
      <c r="B20" s="20">
        <v>1</v>
      </c>
    </row>
    <row r="21" spans="1:2" x14ac:dyDescent="0.3">
      <c r="A21" s="4" t="s">
        <v>6131</v>
      </c>
      <c r="B21" s="20">
        <v>2</v>
      </c>
    </row>
    <row r="22" spans="1:2" x14ac:dyDescent="0.3">
      <c r="A22" s="4" t="s">
        <v>6136</v>
      </c>
      <c r="B22" s="20">
        <v>1</v>
      </c>
    </row>
    <row r="23" spans="1:2" x14ac:dyDescent="0.3">
      <c r="A23" s="4" t="s">
        <v>6138</v>
      </c>
      <c r="B23" s="20">
        <v>1</v>
      </c>
    </row>
    <row r="24" spans="1:2" x14ac:dyDescent="0.3">
      <c r="A24" s="4" t="s">
        <v>6158</v>
      </c>
      <c r="B24" s="20">
        <v>1</v>
      </c>
    </row>
    <row r="25" spans="1:2" x14ac:dyDescent="0.3">
      <c r="A25" s="4" t="s">
        <v>6159</v>
      </c>
      <c r="B25" s="20">
        <v>5</v>
      </c>
    </row>
    <row r="26" spans="1:2" x14ac:dyDescent="0.3">
      <c r="A26" s="4" t="s">
        <v>6160</v>
      </c>
      <c r="B26" s="20">
        <v>1</v>
      </c>
    </row>
    <row r="27" spans="1:2" x14ac:dyDescent="0.3">
      <c r="A27" s="4" t="s">
        <v>6161</v>
      </c>
      <c r="B27" s="20">
        <v>1</v>
      </c>
    </row>
    <row r="28" spans="1:2" x14ac:dyDescent="0.3">
      <c r="A28" s="4" t="s">
        <v>6162</v>
      </c>
      <c r="B28" s="20">
        <v>1</v>
      </c>
    </row>
    <row r="29" spans="1:2" x14ac:dyDescent="0.3">
      <c r="A29" s="4" t="s">
        <v>6163</v>
      </c>
      <c r="B29" s="20">
        <v>2</v>
      </c>
    </row>
    <row r="30" spans="1:2" x14ac:dyDescent="0.3">
      <c r="A30" s="4" t="s">
        <v>6164</v>
      </c>
      <c r="B30" s="20">
        <v>1</v>
      </c>
    </row>
    <row r="31" spans="1:2" x14ac:dyDescent="0.3">
      <c r="A31" s="4" t="s">
        <v>6165</v>
      </c>
      <c r="B31" s="20">
        <v>4</v>
      </c>
    </row>
    <row r="32" spans="1:2" x14ac:dyDescent="0.3">
      <c r="A32" s="4" t="s">
        <v>6166</v>
      </c>
      <c r="B32" s="20">
        <v>1</v>
      </c>
    </row>
    <row r="33" spans="1:2" x14ac:dyDescent="0.3">
      <c r="A33" s="4" t="s">
        <v>6167</v>
      </c>
      <c r="B33" s="20">
        <v>1</v>
      </c>
    </row>
    <row r="34" spans="1:2" x14ac:dyDescent="0.3">
      <c r="A34" s="4" t="s">
        <v>6168</v>
      </c>
      <c r="B34" s="20">
        <v>1</v>
      </c>
    </row>
    <row r="35" spans="1:2" x14ac:dyDescent="0.3">
      <c r="A35" s="4" t="s">
        <v>6169</v>
      </c>
      <c r="B35" s="20">
        <v>2</v>
      </c>
    </row>
    <row r="36" spans="1:2" x14ac:dyDescent="0.3">
      <c r="A36" s="4" t="s">
        <v>6170</v>
      </c>
      <c r="B36" s="20">
        <v>4</v>
      </c>
    </row>
    <row r="37" spans="1:2" x14ac:dyDescent="0.3">
      <c r="A37" s="4" t="s">
        <v>6140</v>
      </c>
      <c r="B37" s="20">
        <v>3</v>
      </c>
    </row>
    <row r="38" spans="1:2" x14ac:dyDescent="0.3">
      <c r="A38" s="4" t="s">
        <v>6141</v>
      </c>
      <c r="B38" s="20">
        <v>1</v>
      </c>
    </row>
    <row r="39" spans="1:2" x14ac:dyDescent="0.3">
      <c r="A39" s="4" t="s">
        <v>6155</v>
      </c>
      <c r="B39" s="20">
        <v>1</v>
      </c>
    </row>
    <row r="40" spans="1:2" x14ac:dyDescent="0.3">
      <c r="A40" s="4" t="s">
        <v>6151</v>
      </c>
      <c r="B40" s="20">
        <v>2</v>
      </c>
    </row>
    <row r="41" spans="1:2" x14ac:dyDescent="0.3">
      <c r="A41" s="4" t="s">
        <v>6142</v>
      </c>
      <c r="B41" s="20">
        <v>44</v>
      </c>
    </row>
    <row r="42" spans="1:2" x14ac:dyDescent="0.3">
      <c r="A42" s="4" t="s">
        <v>6152</v>
      </c>
      <c r="B42" s="20">
        <v>31</v>
      </c>
    </row>
    <row r="43" spans="1:2" x14ac:dyDescent="0.3">
      <c r="A43" s="4" t="s">
        <v>6153</v>
      </c>
      <c r="B43" s="20">
        <v>26</v>
      </c>
    </row>
    <row r="44" spans="1:2" x14ac:dyDescent="0.3">
      <c r="A44" s="4" t="s">
        <v>6143</v>
      </c>
      <c r="B44" s="20">
        <v>27</v>
      </c>
    </row>
    <row r="45" spans="1:2" x14ac:dyDescent="0.3">
      <c r="A45" s="4" t="s">
        <v>6144</v>
      </c>
      <c r="B45" s="20">
        <v>45</v>
      </c>
    </row>
    <row r="46" spans="1:2" x14ac:dyDescent="0.3">
      <c r="A46" s="4" t="s">
        <v>6145</v>
      </c>
      <c r="B46" s="20">
        <v>26</v>
      </c>
    </row>
    <row r="47" spans="1:2" x14ac:dyDescent="0.3">
      <c r="A47" s="4" t="s">
        <v>6146</v>
      </c>
      <c r="B47" s="20">
        <v>38</v>
      </c>
    </row>
    <row r="48" spans="1:2" x14ac:dyDescent="0.3">
      <c r="A48" s="4" t="s">
        <v>6147</v>
      </c>
      <c r="B48" s="20">
        <v>1</v>
      </c>
    </row>
    <row r="49" spans="1:2" x14ac:dyDescent="0.3">
      <c r="A49" s="4" t="s">
        <v>6148</v>
      </c>
      <c r="B49" s="20">
        <v>1</v>
      </c>
    </row>
    <row r="50" spans="1:2" x14ac:dyDescent="0.3">
      <c r="A50" s="4" t="s">
        <v>6154</v>
      </c>
      <c r="B50" s="20">
        <v>1</v>
      </c>
    </row>
    <row r="51" spans="1:2" x14ac:dyDescent="0.3">
      <c r="A51" s="4" t="s">
        <v>6156</v>
      </c>
      <c r="B51" s="20">
        <v>1</v>
      </c>
    </row>
    <row r="52" spans="1:2" x14ac:dyDescent="0.3">
      <c r="A52" s="4" t="s">
        <v>6149</v>
      </c>
      <c r="B52" s="20">
        <v>1</v>
      </c>
    </row>
    <row r="53" spans="1:2" x14ac:dyDescent="0.3">
      <c r="A53" s="4" t="s">
        <v>6157</v>
      </c>
      <c r="B53" s="20">
        <v>2</v>
      </c>
    </row>
    <row r="54" spans="1:2" x14ac:dyDescent="0.3">
      <c r="A54" s="4" t="s">
        <v>6150</v>
      </c>
      <c r="B54" s="20">
        <v>1</v>
      </c>
    </row>
    <row r="55" spans="1:2" x14ac:dyDescent="0.3">
      <c r="A55" s="4" t="s">
        <v>6171</v>
      </c>
      <c r="B55" s="20">
        <v>2</v>
      </c>
    </row>
    <row r="56" spans="1:2" x14ac:dyDescent="0.3">
      <c r="A56" s="4" t="s">
        <v>6172</v>
      </c>
      <c r="B56" s="20">
        <v>1</v>
      </c>
    </row>
    <row r="57" spans="1:2" x14ac:dyDescent="0.3">
      <c r="A57" s="4" t="s">
        <v>6173</v>
      </c>
      <c r="B57" s="20">
        <v>1</v>
      </c>
    </row>
    <row r="58" spans="1:2" x14ac:dyDescent="0.3">
      <c r="A58" s="4" t="s">
        <v>6174</v>
      </c>
      <c r="B58" s="20">
        <v>2</v>
      </c>
    </row>
    <row r="59" spans="1:2" x14ac:dyDescent="0.3">
      <c r="A59" s="4" t="s">
        <v>6175</v>
      </c>
      <c r="B59" s="20">
        <v>1</v>
      </c>
    </row>
    <row r="60" spans="1:2" x14ac:dyDescent="0.3">
      <c r="A60" s="4" t="s">
        <v>6176</v>
      </c>
      <c r="B60" s="20">
        <v>1</v>
      </c>
    </row>
    <row r="61" spans="1:2" x14ac:dyDescent="0.3">
      <c r="A61" s="4" t="s">
        <v>6177</v>
      </c>
      <c r="B61" s="20">
        <v>2</v>
      </c>
    </row>
    <row r="62" spans="1:2" x14ac:dyDescent="0.3">
      <c r="A62" s="4" t="s">
        <v>6178</v>
      </c>
      <c r="B62" s="20">
        <v>3</v>
      </c>
    </row>
    <row r="63" spans="1:2" x14ac:dyDescent="0.3">
      <c r="A63" s="4" t="s">
        <v>6179</v>
      </c>
      <c r="B63" s="20">
        <v>2</v>
      </c>
    </row>
    <row r="64" spans="1:2" x14ac:dyDescent="0.3">
      <c r="A64" s="4" t="s">
        <v>6180</v>
      </c>
      <c r="B64" s="20">
        <v>4</v>
      </c>
    </row>
    <row r="65" spans="1:2" x14ac:dyDescent="0.3">
      <c r="A65" s="4" t="s">
        <v>6181</v>
      </c>
      <c r="B65" s="20">
        <v>2</v>
      </c>
    </row>
    <row r="66" spans="1:2" x14ac:dyDescent="0.3">
      <c r="A66" s="4" t="s">
        <v>6182</v>
      </c>
      <c r="B66" s="20">
        <v>2</v>
      </c>
    </row>
    <row r="67" spans="1:2" x14ac:dyDescent="0.3">
      <c r="A67" s="4" t="s">
        <v>6183</v>
      </c>
      <c r="B67" s="20">
        <v>3</v>
      </c>
    </row>
    <row r="68" spans="1:2" x14ac:dyDescent="0.3">
      <c r="A68" s="4" t="s">
        <v>6184</v>
      </c>
      <c r="B68" s="20">
        <v>2</v>
      </c>
    </row>
    <row r="69" spans="1:2" x14ac:dyDescent="0.3">
      <c r="A69" s="4" t="s">
        <v>6185</v>
      </c>
      <c r="B69" s="20">
        <v>2</v>
      </c>
    </row>
    <row r="70" spans="1:2" x14ac:dyDescent="0.3">
      <c r="A70" s="4" t="s">
        <v>6118</v>
      </c>
      <c r="B70" s="20">
        <v>332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4967-39F9-4240-9FFA-72A8B7DE591B}">
  <dimension ref="A1:X6001"/>
  <sheetViews>
    <sheetView workbookViewId="0">
      <selection activeCell="A3" sqref="A3"/>
    </sheetView>
  </sheetViews>
  <sheetFormatPr defaultRowHeight="14.4" x14ac:dyDescent="0.3"/>
  <cols>
    <col min="1" max="1" width="10.44140625" bestFit="1" customWidth="1"/>
    <col min="2" max="2" width="19.77734375" bestFit="1" customWidth="1"/>
    <col min="3" max="3" width="20.77734375" bestFit="1" customWidth="1"/>
    <col min="4" max="4" width="15.5546875" bestFit="1" customWidth="1"/>
    <col min="5" max="5" width="10.109375" bestFit="1" customWidth="1"/>
    <col min="6" max="6" width="9.33203125" bestFit="1" customWidth="1"/>
    <col min="7" max="7" width="10.44140625" bestFit="1" customWidth="1"/>
    <col min="8" max="8" width="14.5546875" bestFit="1" customWidth="1"/>
    <col min="9" max="10" width="17.5546875" bestFit="1" customWidth="1"/>
    <col min="11" max="11" width="23.21875" bestFit="1" customWidth="1"/>
    <col min="12" max="12" width="22.21875" bestFit="1" customWidth="1"/>
    <col min="13" max="13" width="11.109375" bestFit="1" customWidth="1"/>
    <col min="14" max="14" width="12.6640625" bestFit="1" customWidth="1"/>
    <col min="15" max="15" width="8.44140625" bestFit="1" customWidth="1"/>
    <col min="16" max="16" width="14.44140625" bestFit="1" customWidth="1"/>
    <col min="17" max="17" width="9" bestFit="1" customWidth="1"/>
    <col min="18" max="18" width="6.88671875" bestFit="1" customWidth="1"/>
    <col min="19" max="19" width="10.21875" bestFit="1" customWidth="1"/>
    <col min="20" max="20" width="9.6640625" bestFit="1" customWidth="1"/>
    <col min="21" max="21" width="9.21875" bestFit="1" customWidth="1"/>
    <col min="22" max="22" width="10.109375" bestFit="1" customWidth="1"/>
    <col min="24" max="24" width="2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6103</v>
      </c>
      <c r="Q1" t="s">
        <v>6104</v>
      </c>
      <c r="R1" t="s">
        <v>6105</v>
      </c>
      <c r="S1" t="s">
        <v>11</v>
      </c>
      <c r="T1" t="s">
        <v>6116</v>
      </c>
      <c r="U1" t="s">
        <v>3</v>
      </c>
      <c r="V1" t="s">
        <v>6106</v>
      </c>
    </row>
    <row r="2" spans="1:24" x14ac:dyDescent="0.3">
      <c r="A2" t="s">
        <v>17</v>
      </c>
      <c r="B2" s="2">
        <v>46023.183333333334</v>
      </c>
      <c r="C2" s="2">
        <v>46024.091666666667</v>
      </c>
      <c r="D2" t="s">
        <v>6022</v>
      </c>
      <c r="E2" t="s">
        <v>6029</v>
      </c>
      <c r="F2" t="s">
        <v>6033</v>
      </c>
      <c r="G2" t="s">
        <v>6036</v>
      </c>
      <c r="H2" t="s">
        <v>6096</v>
      </c>
      <c r="I2">
        <v>72</v>
      </c>
      <c r="J2">
        <v>21.8</v>
      </c>
      <c r="K2" t="s">
        <v>6100</v>
      </c>
      <c r="L2" t="s">
        <v>6100</v>
      </c>
      <c r="M2" t="s">
        <v>6100</v>
      </c>
      <c r="N2">
        <v>5</v>
      </c>
      <c r="O2" t="s">
        <v>6101</v>
      </c>
      <c r="P2" t="s">
        <v>6107</v>
      </c>
      <c r="Q2">
        <v>1</v>
      </c>
      <c r="R2">
        <v>2026</v>
      </c>
      <c r="S2" t="s">
        <v>6099</v>
      </c>
      <c r="T2">
        <v>1</v>
      </c>
      <c r="U2" t="s">
        <v>6017</v>
      </c>
      <c r="V2">
        <v>0</v>
      </c>
    </row>
    <row r="3" spans="1:24" x14ac:dyDescent="0.3">
      <c r="A3" t="s">
        <v>18</v>
      </c>
      <c r="B3" s="2">
        <v>46023.217361111114</v>
      </c>
      <c r="C3" s="2">
        <v>46023.434027777781</v>
      </c>
      <c r="D3" t="s">
        <v>6023</v>
      </c>
      <c r="E3" t="s">
        <v>6029</v>
      </c>
      <c r="F3" t="s">
        <v>6034</v>
      </c>
      <c r="G3" t="s">
        <v>6037</v>
      </c>
      <c r="H3" t="s">
        <v>6096</v>
      </c>
      <c r="I3">
        <v>24</v>
      </c>
      <c r="J3">
        <v>5.2</v>
      </c>
      <c r="K3" t="s">
        <v>6099</v>
      </c>
      <c r="L3" t="s">
        <v>6100</v>
      </c>
      <c r="M3" t="s">
        <v>6100</v>
      </c>
      <c r="N3">
        <v>4</v>
      </c>
      <c r="O3" t="s">
        <v>6101</v>
      </c>
      <c r="P3" t="s">
        <v>6107</v>
      </c>
      <c r="Q3">
        <v>1</v>
      </c>
      <c r="R3">
        <v>2026</v>
      </c>
      <c r="S3" t="s">
        <v>6099</v>
      </c>
      <c r="T3">
        <v>1</v>
      </c>
      <c r="U3" t="s">
        <v>6018</v>
      </c>
      <c r="V3">
        <v>1</v>
      </c>
      <c r="X3" s="1" t="s">
        <v>6186</v>
      </c>
    </row>
    <row r="4" spans="1:24" x14ac:dyDescent="0.3">
      <c r="A4" t="s">
        <v>19</v>
      </c>
      <c r="B4" s="2">
        <v>46023.297222222223</v>
      </c>
      <c r="C4" s="2">
        <v>46023.538888888892</v>
      </c>
      <c r="D4" t="s">
        <v>6024</v>
      </c>
      <c r="E4" t="s">
        <v>6030</v>
      </c>
      <c r="F4" t="s">
        <v>6035</v>
      </c>
      <c r="G4" t="s">
        <v>6038</v>
      </c>
      <c r="H4" t="s">
        <v>6096</v>
      </c>
      <c r="I4">
        <v>4</v>
      </c>
      <c r="J4">
        <v>5.8</v>
      </c>
      <c r="K4" t="s">
        <v>6099</v>
      </c>
      <c r="L4" t="s">
        <v>6100</v>
      </c>
      <c r="M4" t="s">
        <v>6100</v>
      </c>
      <c r="N4">
        <v>3</v>
      </c>
      <c r="O4" t="s">
        <v>6101</v>
      </c>
      <c r="P4" t="s">
        <v>6107</v>
      </c>
      <c r="Q4">
        <v>1</v>
      </c>
      <c r="R4">
        <v>2026</v>
      </c>
      <c r="S4" t="s">
        <v>6100</v>
      </c>
      <c r="T4">
        <v>0</v>
      </c>
      <c r="U4" t="s">
        <v>6018</v>
      </c>
      <c r="V4">
        <v>1</v>
      </c>
      <c r="X4">
        <f>COUNTA(Tickets_Clean[Ticket ID])</f>
        <v>6000</v>
      </c>
    </row>
    <row r="5" spans="1:24" x14ac:dyDescent="0.3">
      <c r="A5" t="s">
        <v>20</v>
      </c>
      <c r="B5" s="2">
        <v>46023.332638888889</v>
      </c>
      <c r="C5" s="2">
        <v>46024.428472222222</v>
      </c>
      <c r="D5" t="s">
        <v>6025</v>
      </c>
      <c r="E5" t="s">
        <v>6031</v>
      </c>
      <c r="F5" t="s">
        <v>6033</v>
      </c>
      <c r="G5" t="s">
        <v>6037</v>
      </c>
      <c r="H5" t="s">
        <v>6096</v>
      </c>
      <c r="I5">
        <v>72</v>
      </c>
      <c r="J5">
        <v>26.3</v>
      </c>
      <c r="K5" t="s">
        <v>6100</v>
      </c>
      <c r="L5" t="s">
        <v>6100</v>
      </c>
      <c r="M5" t="s">
        <v>6100</v>
      </c>
      <c r="N5">
        <v>5</v>
      </c>
      <c r="O5" t="s">
        <v>6101</v>
      </c>
      <c r="P5" t="s">
        <v>6107</v>
      </c>
      <c r="Q5">
        <v>1</v>
      </c>
      <c r="R5">
        <v>2026</v>
      </c>
      <c r="S5" t="s">
        <v>6099</v>
      </c>
      <c r="T5">
        <v>1</v>
      </c>
      <c r="U5" t="s">
        <v>6019</v>
      </c>
      <c r="V5">
        <v>0</v>
      </c>
      <c r="X5" s="1" t="s">
        <v>6188</v>
      </c>
    </row>
    <row r="6" spans="1:24" x14ac:dyDescent="0.3">
      <c r="A6" t="s">
        <v>21</v>
      </c>
      <c r="B6" s="2">
        <v>46023.377083333333</v>
      </c>
      <c r="C6" s="2">
        <v>46023.635416666664</v>
      </c>
      <c r="D6" t="s">
        <v>6023</v>
      </c>
      <c r="E6" t="s">
        <v>6029</v>
      </c>
      <c r="F6" t="s">
        <v>6033</v>
      </c>
      <c r="G6" t="s">
        <v>6036</v>
      </c>
      <c r="H6" t="s">
        <v>6096</v>
      </c>
      <c r="I6">
        <v>72</v>
      </c>
      <c r="J6">
        <v>6.2</v>
      </c>
      <c r="K6" t="s">
        <v>6100</v>
      </c>
      <c r="L6" t="s">
        <v>6099</v>
      </c>
      <c r="M6" t="s">
        <v>6100</v>
      </c>
      <c r="O6" t="s">
        <v>6101</v>
      </c>
      <c r="P6" t="s">
        <v>6107</v>
      </c>
      <c r="Q6">
        <v>1</v>
      </c>
      <c r="R6">
        <v>2026</v>
      </c>
      <c r="S6" t="s">
        <v>6099</v>
      </c>
      <c r="T6">
        <v>1</v>
      </c>
      <c r="U6" t="s">
        <v>6018</v>
      </c>
      <c r="V6">
        <v>0</v>
      </c>
      <c r="X6" s="7">
        <f>AVERAGE(Tickets_Clean[SlA Flag])</f>
        <v>0.64526404023470241</v>
      </c>
    </row>
    <row r="7" spans="1:24" x14ac:dyDescent="0.3">
      <c r="A7" t="s">
        <v>22</v>
      </c>
      <c r="B7" s="2">
        <v>46023.412499999999</v>
      </c>
      <c r="C7" s="2">
        <v>46024.758333333331</v>
      </c>
      <c r="D7" t="s">
        <v>6026</v>
      </c>
      <c r="E7" t="s">
        <v>6031</v>
      </c>
      <c r="F7" t="s">
        <v>6033</v>
      </c>
      <c r="G7" t="s">
        <v>6039</v>
      </c>
      <c r="H7" t="s">
        <v>6097</v>
      </c>
      <c r="I7">
        <v>72</v>
      </c>
      <c r="J7">
        <v>32.299999999999997</v>
      </c>
      <c r="K7" t="s">
        <v>6099</v>
      </c>
      <c r="L7" t="s">
        <v>6100</v>
      </c>
      <c r="M7" t="s">
        <v>6100</v>
      </c>
      <c r="N7">
        <v>5</v>
      </c>
      <c r="O7" t="s">
        <v>6101</v>
      </c>
      <c r="P7" t="s">
        <v>6107</v>
      </c>
      <c r="Q7">
        <v>1</v>
      </c>
      <c r="R7">
        <v>2026</v>
      </c>
      <c r="S7" t="s">
        <v>6099</v>
      </c>
      <c r="T7">
        <v>1</v>
      </c>
      <c r="U7" t="s">
        <v>6020</v>
      </c>
      <c r="V7">
        <v>1</v>
      </c>
      <c r="X7" s="1" t="s">
        <v>6187</v>
      </c>
    </row>
    <row r="8" spans="1:24" x14ac:dyDescent="0.3">
      <c r="A8" t="s">
        <v>23</v>
      </c>
      <c r="B8" s="2">
        <v>46023.45</v>
      </c>
      <c r="C8" s="2">
        <v>46023.70416666667</v>
      </c>
      <c r="D8" t="s">
        <v>6022</v>
      </c>
      <c r="E8" t="s">
        <v>6030</v>
      </c>
      <c r="F8" t="s">
        <v>6034</v>
      </c>
      <c r="G8" t="s">
        <v>6040</v>
      </c>
      <c r="H8" t="s">
        <v>6097</v>
      </c>
      <c r="I8">
        <v>24</v>
      </c>
      <c r="J8">
        <v>6.1</v>
      </c>
      <c r="K8" t="s">
        <v>6099</v>
      </c>
      <c r="L8" t="s">
        <v>6100</v>
      </c>
      <c r="M8" t="s">
        <v>6100</v>
      </c>
      <c r="O8" t="s">
        <v>6101</v>
      </c>
      <c r="P8" t="s">
        <v>6107</v>
      </c>
      <c r="Q8">
        <v>1</v>
      </c>
      <c r="R8">
        <v>2026</v>
      </c>
      <c r="S8" t="s">
        <v>6099</v>
      </c>
      <c r="T8">
        <v>1</v>
      </c>
      <c r="U8" t="s">
        <v>6020</v>
      </c>
      <c r="V8">
        <v>1</v>
      </c>
      <c r="X8" s="8">
        <f>AVERAGE(Tickets_Clean[FCR Flag])</f>
        <v>0.70216666666666672</v>
      </c>
    </row>
    <row r="9" spans="1:24" x14ac:dyDescent="0.3">
      <c r="A9" t="s">
        <v>24</v>
      </c>
      <c r="B9" s="2">
        <v>46023.460416666669</v>
      </c>
      <c r="C9" s="2">
        <v>46023.977083333331</v>
      </c>
      <c r="D9" t="s">
        <v>6024</v>
      </c>
      <c r="E9" t="s">
        <v>6029</v>
      </c>
      <c r="F9" t="s">
        <v>6033</v>
      </c>
      <c r="G9" t="s">
        <v>6041</v>
      </c>
      <c r="H9" t="s">
        <v>6096</v>
      </c>
      <c r="I9">
        <v>72</v>
      </c>
      <c r="J9">
        <v>12.4</v>
      </c>
      <c r="K9" t="s">
        <v>6099</v>
      </c>
      <c r="L9" t="s">
        <v>6100</v>
      </c>
      <c r="M9" t="s">
        <v>6100</v>
      </c>
      <c r="N9">
        <v>5</v>
      </c>
      <c r="O9" t="s">
        <v>6101</v>
      </c>
      <c r="P9" t="s">
        <v>6107</v>
      </c>
      <c r="Q9">
        <v>1</v>
      </c>
      <c r="R9">
        <v>2026</v>
      </c>
      <c r="S9" t="s">
        <v>6099</v>
      </c>
      <c r="T9">
        <v>1</v>
      </c>
      <c r="U9" t="s">
        <v>6020</v>
      </c>
      <c r="V9">
        <v>1</v>
      </c>
      <c r="X9" s="1" t="s">
        <v>6189</v>
      </c>
    </row>
    <row r="10" spans="1:24" x14ac:dyDescent="0.3">
      <c r="A10" t="s">
        <v>25</v>
      </c>
      <c r="B10" s="2">
        <v>46023.474999999999</v>
      </c>
      <c r="C10" s="2">
        <v>46024.14166666667</v>
      </c>
      <c r="D10" t="s">
        <v>6027</v>
      </c>
      <c r="E10" t="s">
        <v>6032</v>
      </c>
      <c r="F10" t="s">
        <v>6034</v>
      </c>
      <c r="G10" t="s">
        <v>6042</v>
      </c>
      <c r="H10" t="s">
        <v>6098</v>
      </c>
      <c r="I10">
        <v>24</v>
      </c>
      <c r="J10">
        <v>16</v>
      </c>
      <c r="K10" t="s">
        <v>6099</v>
      </c>
      <c r="L10" t="s">
        <v>6100</v>
      </c>
      <c r="M10" t="s">
        <v>6100</v>
      </c>
      <c r="N10">
        <v>5</v>
      </c>
      <c r="O10" t="s">
        <v>6101</v>
      </c>
      <c r="P10" t="s">
        <v>6107</v>
      </c>
      <c r="Q10">
        <v>1</v>
      </c>
      <c r="R10">
        <v>2026</v>
      </c>
      <c r="S10" t="s">
        <v>6099</v>
      </c>
      <c r="T10">
        <v>1</v>
      </c>
      <c r="U10" t="s">
        <v>6021</v>
      </c>
      <c r="V10">
        <v>1</v>
      </c>
      <c r="X10">
        <f>AVERAGE(Tickets_Clean[CSAT Score])</f>
        <v>4.1306329113924054</v>
      </c>
    </row>
    <row r="11" spans="1:24" x14ac:dyDescent="0.3">
      <c r="A11" t="s">
        <v>26</v>
      </c>
      <c r="B11" s="2">
        <v>46023.487500000003</v>
      </c>
      <c r="C11" s="2">
        <v>46024.408333333333</v>
      </c>
      <c r="D11" t="s">
        <v>6025</v>
      </c>
      <c r="E11" t="s">
        <v>6029</v>
      </c>
      <c r="F11" t="s">
        <v>6034</v>
      </c>
      <c r="G11" t="s">
        <v>6043</v>
      </c>
      <c r="H11" t="s">
        <v>6097</v>
      </c>
      <c r="I11">
        <v>24</v>
      </c>
      <c r="J11">
        <v>22.1</v>
      </c>
      <c r="K11" t="s">
        <v>6099</v>
      </c>
      <c r="L11" t="s">
        <v>6100</v>
      </c>
      <c r="M11" t="s">
        <v>6100</v>
      </c>
      <c r="N11">
        <v>5</v>
      </c>
      <c r="O11" t="s">
        <v>6101</v>
      </c>
      <c r="P11" t="s">
        <v>6107</v>
      </c>
      <c r="Q11">
        <v>1</v>
      </c>
      <c r="R11">
        <v>2026</v>
      </c>
      <c r="S11" t="s">
        <v>6099</v>
      </c>
      <c r="T11">
        <v>1</v>
      </c>
      <c r="U11" t="s">
        <v>6019</v>
      </c>
      <c r="V11">
        <v>1</v>
      </c>
      <c r="X11" s="1" t="s">
        <v>6190</v>
      </c>
    </row>
    <row r="12" spans="1:24" x14ac:dyDescent="0.3">
      <c r="A12" t="s">
        <v>27</v>
      </c>
      <c r="B12" s="2">
        <v>46023.499305555553</v>
      </c>
      <c r="C12" s="2">
        <v>46027.057638888888</v>
      </c>
      <c r="D12" t="s">
        <v>6026</v>
      </c>
      <c r="E12" t="s">
        <v>6031</v>
      </c>
      <c r="F12" t="s">
        <v>6035</v>
      </c>
      <c r="G12" t="s">
        <v>6044</v>
      </c>
      <c r="H12" t="s">
        <v>6097</v>
      </c>
      <c r="I12">
        <v>4</v>
      </c>
      <c r="J12">
        <v>85.4</v>
      </c>
      <c r="K12" t="s">
        <v>6100</v>
      </c>
      <c r="L12" t="s">
        <v>6099</v>
      </c>
      <c r="M12" t="s">
        <v>6099</v>
      </c>
      <c r="N12">
        <v>4</v>
      </c>
      <c r="O12" t="s">
        <v>6101</v>
      </c>
      <c r="P12" t="s">
        <v>6107</v>
      </c>
      <c r="Q12">
        <v>1</v>
      </c>
      <c r="R12">
        <v>2026</v>
      </c>
      <c r="S12" t="s">
        <v>6100</v>
      </c>
      <c r="T12">
        <v>0</v>
      </c>
      <c r="U12" t="s">
        <v>6018</v>
      </c>
      <c r="V12">
        <v>0</v>
      </c>
      <c r="X12">
        <f xml:space="preserve"> AVERAGE(Tickets_Clean[Resolution Hours])</f>
        <v>26.149840737636215</v>
      </c>
    </row>
    <row r="13" spans="1:24" x14ac:dyDescent="0.3">
      <c r="A13" t="s">
        <v>28</v>
      </c>
      <c r="B13" s="2">
        <v>46023.504861111112</v>
      </c>
      <c r="C13" s="2">
        <v>46023.950694444444</v>
      </c>
      <c r="D13" t="s">
        <v>6023</v>
      </c>
      <c r="E13" t="s">
        <v>6032</v>
      </c>
      <c r="F13" t="s">
        <v>6033</v>
      </c>
      <c r="G13" t="s">
        <v>6045</v>
      </c>
      <c r="H13" t="s">
        <v>6096</v>
      </c>
      <c r="I13">
        <v>72</v>
      </c>
      <c r="J13">
        <v>10.7</v>
      </c>
      <c r="K13" t="s">
        <v>6100</v>
      </c>
      <c r="L13" t="s">
        <v>6099</v>
      </c>
      <c r="M13" t="s">
        <v>6099</v>
      </c>
      <c r="O13" t="s">
        <v>6101</v>
      </c>
      <c r="P13" t="s">
        <v>6107</v>
      </c>
      <c r="Q13">
        <v>1</v>
      </c>
      <c r="R13">
        <v>2026</v>
      </c>
      <c r="S13" t="s">
        <v>6099</v>
      </c>
      <c r="T13">
        <v>1</v>
      </c>
      <c r="U13" t="s">
        <v>6018</v>
      </c>
      <c r="V13">
        <v>0</v>
      </c>
      <c r="X13" s="6" t="s">
        <v>6192</v>
      </c>
    </row>
    <row r="14" spans="1:24" x14ac:dyDescent="0.3">
      <c r="A14" t="s">
        <v>29</v>
      </c>
      <c r="B14" s="2">
        <v>46023.507638888892</v>
      </c>
      <c r="C14" s="2">
        <v>46023.757638888892</v>
      </c>
      <c r="D14" t="s">
        <v>6027</v>
      </c>
      <c r="E14" t="s">
        <v>6029</v>
      </c>
      <c r="F14" t="s">
        <v>6033</v>
      </c>
      <c r="G14" t="s">
        <v>6041</v>
      </c>
      <c r="H14" t="s">
        <v>6096</v>
      </c>
      <c r="I14">
        <v>72</v>
      </c>
      <c r="J14">
        <v>6</v>
      </c>
      <c r="K14" t="s">
        <v>6100</v>
      </c>
      <c r="L14" t="s">
        <v>6100</v>
      </c>
      <c r="M14" t="s">
        <v>6100</v>
      </c>
      <c r="N14">
        <v>4</v>
      </c>
      <c r="O14" t="s">
        <v>6101</v>
      </c>
      <c r="P14" t="s">
        <v>6107</v>
      </c>
      <c r="Q14">
        <v>1</v>
      </c>
      <c r="R14">
        <v>2026</v>
      </c>
      <c r="S14" t="s">
        <v>6099</v>
      </c>
      <c r="T14">
        <v>1</v>
      </c>
      <c r="U14" t="s">
        <v>6018</v>
      </c>
      <c r="V14">
        <v>0</v>
      </c>
      <c r="X14">
        <f>COUNTIF(Tickets_Clean[], "Open")</f>
        <v>20</v>
      </c>
    </row>
    <row r="15" spans="1:24" x14ac:dyDescent="0.3">
      <c r="A15" t="s">
        <v>30</v>
      </c>
      <c r="B15" s="2">
        <v>46023.513888888891</v>
      </c>
      <c r="C15" s="2">
        <v>46024.226388888892</v>
      </c>
      <c r="D15" t="s">
        <v>6025</v>
      </c>
      <c r="E15" t="s">
        <v>6029</v>
      </c>
      <c r="F15" t="s">
        <v>6033</v>
      </c>
      <c r="G15" t="s">
        <v>6046</v>
      </c>
      <c r="H15" t="s">
        <v>6098</v>
      </c>
      <c r="I15">
        <v>72</v>
      </c>
      <c r="J15">
        <v>17.100000000000001</v>
      </c>
      <c r="K15" t="s">
        <v>6099</v>
      </c>
      <c r="L15" t="s">
        <v>6100</v>
      </c>
      <c r="M15" t="s">
        <v>6100</v>
      </c>
      <c r="O15" t="s">
        <v>6101</v>
      </c>
      <c r="P15" t="s">
        <v>6107</v>
      </c>
      <c r="Q15">
        <v>1</v>
      </c>
      <c r="R15">
        <v>2026</v>
      </c>
      <c r="S15" t="s">
        <v>6099</v>
      </c>
      <c r="T15">
        <v>1</v>
      </c>
      <c r="U15" t="s">
        <v>6020</v>
      </c>
      <c r="V15">
        <v>1</v>
      </c>
      <c r="X15" s="1" t="s">
        <v>6193</v>
      </c>
    </row>
    <row r="16" spans="1:24" x14ac:dyDescent="0.3">
      <c r="A16" t="s">
        <v>31</v>
      </c>
      <c r="B16" s="2">
        <v>46023.541666666664</v>
      </c>
      <c r="C16" s="2">
        <v>46036.629166666666</v>
      </c>
      <c r="D16" t="s">
        <v>6026</v>
      </c>
      <c r="E16" t="s">
        <v>6031</v>
      </c>
      <c r="F16" t="s">
        <v>6033</v>
      </c>
      <c r="G16" t="s">
        <v>6046</v>
      </c>
      <c r="H16" t="s">
        <v>6098</v>
      </c>
      <c r="I16">
        <v>72</v>
      </c>
      <c r="J16">
        <v>314.10000000000002</v>
      </c>
      <c r="K16" t="s">
        <v>6100</v>
      </c>
      <c r="L16" t="s">
        <v>6099</v>
      </c>
      <c r="M16" t="s">
        <v>6100</v>
      </c>
      <c r="O16" t="s">
        <v>6101</v>
      </c>
      <c r="P16" t="s">
        <v>6107</v>
      </c>
      <c r="Q16">
        <v>1</v>
      </c>
      <c r="R16">
        <v>2026</v>
      </c>
      <c r="S16" t="s">
        <v>6100</v>
      </c>
      <c r="T16">
        <v>0</v>
      </c>
      <c r="U16" t="s">
        <v>6018</v>
      </c>
      <c r="V16">
        <v>0</v>
      </c>
      <c r="X16" s="8">
        <f>AVERAGEIFS(Tickets_Clean[SlA Flag],Tickets_Clean[Priority],"High")</f>
        <v>9.3970242756460459E-2</v>
      </c>
    </row>
    <row r="17" spans="1:24" x14ac:dyDescent="0.3">
      <c r="A17" t="s">
        <v>32</v>
      </c>
      <c r="B17" s="2">
        <v>46023.611805555556</v>
      </c>
      <c r="C17" s="2">
        <v>46025.174305555556</v>
      </c>
      <c r="D17" t="s">
        <v>6025</v>
      </c>
      <c r="E17" t="s">
        <v>6031</v>
      </c>
      <c r="F17" t="s">
        <v>6034</v>
      </c>
      <c r="G17" t="s">
        <v>6047</v>
      </c>
      <c r="H17" t="s">
        <v>6098</v>
      </c>
      <c r="I17">
        <v>24</v>
      </c>
      <c r="J17">
        <v>37.5</v>
      </c>
      <c r="K17" t="s">
        <v>6100</v>
      </c>
      <c r="L17" t="s">
        <v>6099</v>
      </c>
      <c r="M17" t="s">
        <v>6100</v>
      </c>
      <c r="N17">
        <v>5</v>
      </c>
      <c r="O17" t="s">
        <v>6101</v>
      </c>
      <c r="P17" t="s">
        <v>6107</v>
      </c>
      <c r="Q17">
        <v>1</v>
      </c>
      <c r="R17">
        <v>2026</v>
      </c>
      <c r="S17" t="s">
        <v>6100</v>
      </c>
      <c r="T17">
        <v>0</v>
      </c>
      <c r="U17" t="s">
        <v>6017</v>
      </c>
      <c r="V17">
        <v>0</v>
      </c>
      <c r="X17" s="1" t="s">
        <v>6191</v>
      </c>
    </row>
    <row r="18" spans="1:24" x14ac:dyDescent="0.3">
      <c r="A18" t="s">
        <v>33</v>
      </c>
      <c r="B18" s="2">
        <v>46023.681944444441</v>
      </c>
      <c r="C18" s="2">
        <v>46025.715277777781</v>
      </c>
      <c r="D18" t="s">
        <v>6022</v>
      </c>
      <c r="E18" t="s">
        <v>6031</v>
      </c>
      <c r="F18" t="s">
        <v>6034</v>
      </c>
      <c r="G18" t="s">
        <v>6048</v>
      </c>
      <c r="H18" t="s">
        <v>6096</v>
      </c>
      <c r="I18">
        <v>24</v>
      </c>
      <c r="J18">
        <v>48.8</v>
      </c>
      <c r="K18" t="s">
        <v>6099</v>
      </c>
      <c r="L18" t="s">
        <v>6100</v>
      </c>
      <c r="M18" t="s">
        <v>6100</v>
      </c>
      <c r="N18">
        <v>5</v>
      </c>
      <c r="O18" t="s">
        <v>6101</v>
      </c>
      <c r="P18" t="s">
        <v>6107</v>
      </c>
      <c r="Q18">
        <v>1</v>
      </c>
      <c r="R18">
        <v>2026</v>
      </c>
      <c r="S18" t="s">
        <v>6100</v>
      </c>
      <c r="T18">
        <v>0</v>
      </c>
      <c r="U18" t="s">
        <v>6020</v>
      </c>
      <c r="V18">
        <v>1</v>
      </c>
      <c r="X18" s="8">
        <f>AVERAGEIFS(Tickets_Clean[SlA Flag],Tickets_Clean[Region],"Southeast",Tickets_Clean[Issue Category],"Internet Outage",Tickets_Clean[Month],3)</f>
        <v>0.24206349206349206</v>
      </c>
    </row>
    <row r="19" spans="1:24" x14ac:dyDescent="0.3">
      <c r="A19" t="s">
        <v>34</v>
      </c>
      <c r="B19" s="2">
        <v>46023.738194444442</v>
      </c>
      <c r="C19" s="2">
        <v>46025.092361111114</v>
      </c>
      <c r="D19" t="s">
        <v>6025</v>
      </c>
      <c r="E19" t="s">
        <v>6032</v>
      </c>
      <c r="F19" t="s">
        <v>6033</v>
      </c>
      <c r="G19" t="s">
        <v>6049</v>
      </c>
      <c r="H19" t="s">
        <v>6097</v>
      </c>
      <c r="I19">
        <v>72</v>
      </c>
      <c r="J19">
        <v>32.5</v>
      </c>
      <c r="K19" t="s">
        <v>6099</v>
      </c>
      <c r="L19" t="s">
        <v>6100</v>
      </c>
      <c r="M19" t="s">
        <v>6100</v>
      </c>
      <c r="N19">
        <v>4</v>
      </c>
      <c r="O19" t="s">
        <v>6101</v>
      </c>
      <c r="P19" t="s">
        <v>6107</v>
      </c>
      <c r="Q19">
        <v>1</v>
      </c>
      <c r="R19">
        <v>2026</v>
      </c>
      <c r="S19" t="s">
        <v>6099</v>
      </c>
      <c r="T19">
        <v>1</v>
      </c>
      <c r="U19" t="s">
        <v>6020</v>
      </c>
      <c r="V19">
        <v>1</v>
      </c>
    </row>
    <row r="20" spans="1:24" x14ac:dyDescent="0.3">
      <c r="A20" t="s">
        <v>35</v>
      </c>
      <c r="B20" s="2">
        <v>46023.777777777781</v>
      </c>
      <c r="C20" s="2">
        <v>46024.098611111112</v>
      </c>
      <c r="D20" t="s">
        <v>6028</v>
      </c>
      <c r="E20" t="s">
        <v>6029</v>
      </c>
      <c r="F20" t="s">
        <v>6035</v>
      </c>
      <c r="G20" t="s">
        <v>6050</v>
      </c>
      <c r="H20" t="s">
        <v>6098</v>
      </c>
      <c r="I20">
        <v>4</v>
      </c>
      <c r="J20">
        <v>7.7</v>
      </c>
      <c r="K20" t="s">
        <v>6099</v>
      </c>
      <c r="L20" t="s">
        <v>6100</v>
      </c>
      <c r="M20" t="s">
        <v>6099</v>
      </c>
      <c r="O20" t="s">
        <v>6101</v>
      </c>
      <c r="P20" t="s">
        <v>6107</v>
      </c>
      <c r="Q20">
        <v>1</v>
      </c>
      <c r="R20">
        <v>2026</v>
      </c>
      <c r="S20" t="s">
        <v>6100</v>
      </c>
      <c r="T20">
        <v>0</v>
      </c>
      <c r="U20" t="s">
        <v>6020</v>
      </c>
      <c r="V20">
        <v>1</v>
      </c>
    </row>
    <row r="21" spans="1:24" x14ac:dyDescent="0.3">
      <c r="A21" t="s">
        <v>36</v>
      </c>
      <c r="B21" s="2">
        <v>46023.935416666667</v>
      </c>
      <c r="C21" s="2">
        <v>46025.927083333336</v>
      </c>
      <c r="D21" t="s">
        <v>6026</v>
      </c>
      <c r="E21" t="s">
        <v>6031</v>
      </c>
      <c r="F21" t="s">
        <v>6033</v>
      </c>
      <c r="G21" t="s">
        <v>6051</v>
      </c>
      <c r="H21" t="s">
        <v>6097</v>
      </c>
      <c r="I21">
        <v>72</v>
      </c>
      <c r="J21">
        <v>47.8</v>
      </c>
      <c r="K21" t="s">
        <v>6099</v>
      </c>
      <c r="L21" t="s">
        <v>6100</v>
      </c>
      <c r="M21" t="s">
        <v>6099</v>
      </c>
      <c r="O21" t="s">
        <v>6101</v>
      </c>
      <c r="P21" t="s">
        <v>6107</v>
      </c>
      <c r="Q21">
        <v>1</v>
      </c>
      <c r="R21">
        <v>2026</v>
      </c>
      <c r="S21" t="s">
        <v>6099</v>
      </c>
      <c r="T21">
        <v>1</v>
      </c>
      <c r="U21" t="s">
        <v>6018</v>
      </c>
      <c r="V21">
        <v>1</v>
      </c>
    </row>
    <row r="22" spans="1:24" x14ac:dyDescent="0.3">
      <c r="A22" t="s">
        <v>37</v>
      </c>
      <c r="B22" s="2">
        <v>46024.04583333333</v>
      </c>
      <c r="C22" s="2">
        <v>46024.616666666669</v>
      </c>
      <c r="D22" t="s">
        <v>6025</v>
      </c>
      <c r="E22" t="s">
        <v>6030</v>
      </c>
      <c r="F22" t="s">
        <v>6034</v>
      </c>
      <c r="G22" t="s">
        <v>6040</v>
      </c>
      <c r="H22" t="s">
        <v>6097</v>
      </c>
      <c r="I22">
        <v>24</v>
      </c>
      <c r="J22">
        <v>13.7</v>
      </c>
      <c r="K22" t="s">
        <v>6099</v>
      </c>
      <c r="L22" t="s">
        <v>6100</v>
      </c>
      <c r="M22" t="s">
        <v>6100</v>
      </c>
      <c r="N22">
        <v>4</v>
      </c>
      <c r="O22" t="s">
        <v>6101</v>
      </c>
      <c r="P22" t="s">
        <v>6107</v>
      </c>
      <c r="Q22">
        <v>1</v>
      </c>
      <c r="R22">
        <v>2026</v>
      </c>
      <c r="S22" t="s">
        <v>6099</v>
      </c>
      <c r="T22">
        <v>1</v>
      </c>
      <c r="U22" t="s">
        <v>6020</v>
      </c>
      <c r="V22">
        <v>1</v>
      </c>
    </row>
    <row r="23" spans="1:24" x14ac:dyDescent="0.3">
      <c r="A23" t="s">
        <v>38</v>
      </c>
      <c r="B23" s="2">
        <v>46024.211111111108</v>
      </c>
      <c r="C23" s="2">
        <v>46027.365277777775</v>
      </c>
      <c r="D23" t="s">
        <v>6026</v>
      </c>
      <c r="E23" t="s">
        <v>6031</v>
      </c>
      <c r="F23" t="s">
        <v>6033</v>
      </c>
      <c r="G23" t="s">
        <v>6040</v>
      </c>
      <c r="H23" t="s">
        <v>6097</v>
      </c>
      <c r="I23">
        <v>72</v>
      </c>
      <c r="J23">
        <v>75.7</v>
      </c>
      <c r="K23" t="s">
        <v>6099</v>
      </c>
      <c r="L23" t="s">
        <v>6100</v>
      </c>
      <c r="M23" t="s">
        <v>6100</v>
      </c>
      <c r="N23">
        <v>5</v>
      </c>
      <c r="O23" t="s">
        <v>6101</v>
      </c>
      <c r="P23" t="s">
        <v>6107</v>
      </c>
      <c r="Q23">
        <v>1</v>
      </c>
      <c r="R23">
        <v>2026</v>
      </c>
      <c r="S23" t="s">
        <v>6100</v>
      </c>
      <c r="T23">
        <v>0</v>
      </c>
      <c r="U23" t="s">
        <v>6021</v>
      </c>
      <c r="V23">
        <v>1</v>
      </c>
    </row>
    <row r="24" spans="1:24" x14ac:dyDescent="0.3">
      <c r="A24" t="s">
        <v>39</v>
      </c>
      <c r="B24" s="2">
        <v>46024.379861111112</v>
      </c>
      <c r="C24" s="2">
        <v>46027.979861111111</v>
      </c>
      <c r="D24" t="s">
        <v>6028</v>
      </c>
      <c r="E24" t="s">
        <v>6031</v>
      </c>
      <c r="F24" t="s">
        <v>6035</v>
      </c>
      <c r="G24" t="s">
        <v>6037</v>
      </c>
      <c r="H24" t="s">
        <v>6096</v>
      </c>
      <c r="I24">
        <v>4</v>
      </c>
      <c r="J24">
        <v>86.4</v>
      </c>
      <c r="K24" t="s">
        <v>6099</v>
      </c>
      <c r="L24" t="s">
        <v>6100</v>
      </c>
      <c r="M24" t="s">
        <v>6099</v>
      </c>
      <c r="O24" t="s">
        <v>6101</v>
      </c>
      <c r="P24" t="s">
        <v>6107</v>
      </c>
      <c r="Q24">
        <v>1</v>
      </c>
      <c r="R24">
        <v>2026</v>
      </c>
      <c r="S24" t="s">
        <v>6100</v>
      </c>
      <c r="T24">
        <v>0</v>
      </c>
      <c r="U24" t="s">
        <v>6017</v>
      </c>
      <c r="V24">
        <v>1</v>
      </c>
    </row>
    <row r="25" spans="1:24" x14ac:dyDescent="0.3">
      <c r="A25" t="s">
        <v>40</v>
      </c>
      <c r="B25" s="2">
        <v>46024.416666666664</v>
      </c>
      <c r="C25" s="2">
        <v>46025.879166666666</v>
      </c>
      <c r="D25" t="s">
        <v>6026</v>
      </c>
      <c r="E25" t="s">
        <v>6029</v>
      </c>
      <c r="F25" t="s">
        <v>6033</v>
      </c>
      <c r="G25" t="s">
        <v>6052</v>
      </c>
      <c r="H25" t="s">
        <v>6098</v>
      </c>
      <c r="I25">
        <v>72</v>
      </c>
      <c r="J25">
        <v>35.1</v>
      </c>
      <c r="K25" t="s">
        <v>6100</v>
      </c>
      <c r="L25" t="s">
        <v>6099</v>
      </c>
      <c r="M25" t="s">
        <v>6100</v>
      </c>
      <c r="O25" t="s">
        <v>6101</v>
      </c>
      <c r="P25" t="s">
        <v>6107</v>
      </c>
      <c r="Q25">
        <v>1</v>
      </c>
      <c r="R25">
        <v>2026</v>
      </c>
      <c r="S25" t="s">
        <v>6099</v>
      </c>
      <c r="T25">
        <v>1</v>
      </c>
      <c r="U25" t="s">
        <v>6017</v>
      </c>
      <c r="V25">
        <v>0</v>
      </c>
    </row>
    <row r="26" spans="1:24" x14ac:dyDescent="0.3">
      <c r="A26" t="s">
        <v>41</v>
      </c>
      <c r="B26" s="2">
        <v>46024.447916666664</v>
      </c>
      <c r="C26" s="2">
        <v>46025.78125</v>
      </c>
      <c r="D26" t="s">
        <v>6027</v>
      </c>
      <c r="E26" t="s">
        <v>6031</v>
      </c>
      <c r="F26" t="s">
        <v>6034</v>
      </c>
      <c r="G26" t="s">
        <v>6044</v>
      </c>
      <c r="H26" t="s">
        <v>6097</v>
      </c>
      <c r="I26">
        <v>24</v>
      </c>
      <c r="J26">
        <v>32</v>
      </c>
      <c r="K26" t="s">
        <v>6099</v>
      </c>
      <c r="L26" t="s">
        <v>6100</v>
      </c>
      <c r="M26" t="s">
        <v>6100</v>
      </c>
      <c r="N26">
        <v>3</v>
      </c>
      <c r="O26" t="s">
        <v>6101</v>
      </c>
      <c r="P26" t="s">
        <v>6107</v>
      </c>
      <c r="Q26">
        <v>1</v>
      </c>
      <c r="R26">
        <v>2026</v>
      </c>
      <c r="S26" t="s">
        <v>6100</v>
      </c>
      <c r="T26">
        <v>0</v>
      </c>
      <c r="U26" t="s">
        <v>6021</v>
      </c>
      <c r="V26">
        <v>1</v>
      </c>
    </row>
    <row r="27" spans="1:24" x14ac:dyDescent="0.3">
      <c r="A27" t="s">
        <v>42</v>
      </c>
      <c r="B27" s="2">
        <v>46024.460416666669</v>
      </c>
      <c r="C27" s="2">
        <v>46024.964583333334</v>
      </c>
      <c r="D27" t="s">
        <v>6025</v>
      </c>
      <c r="E27" t="s">
        <v>6031</v>
      </c>
      <c r="F27" t="s">
        <v>6033</v>
      </c>
      <c r="G27" t="s">
        <v>6051</v>
      </c>
      <c r="H27" t="s">
        <v>6097</v>
      </c>
      <c r="I27">
        <v>72</v>
      </c>
      <c r="J27">
        <v>12.1</v>
      </c>
      <c r="K27" t="s">
        <v>6099</v>
      </c>
      <c r="L27" t="s">
        <v>6100</v>
      </c>
      <c r="M27" t="s">
        <v>6100</v>
      </c>
      <c r="N27">
        <v>4</v>
      </c>
      <c r="O27" t="s">
        <v>6101</v>
      </c>
      <c r="P27" t="s">
        <v>6107</v>
      </c>
      <c r="Q27">
        <v>1</v>
      </c>
      <c r="R27">
        <v>2026</v>
      </c>
      <c r="S27" t="s">
        <v>6099</v>
      </c>
      <c r="T27">
        <v>1</v>
      </c>
      <c r="U27" t="s">
        <v>6020</v>
      </c>
      <c r="V27">
        <v>1</v>
      </c>
    </row>
    <row r="28" spans="1:24" x14ac:dyDescent="0.3">
      <c r="A28" t="s">
        <v>43</v>
      </c>
      <c r="B28" s="2">
        <v>46024.489583333336</v>
      </c>
      <c r="C28" s="2">
        <v>46024.881249999999</v>
      </c>
      <c r="D28" t="s">
        <v>6027</v>
      </c>
      <c r="E28" t="s">
        <v>6029</v>
      </c>
      <c r="F28" t="s">
        <v>6034</v>
      </c>
      <c r="G28" t="s">
        <v>6036</v>
      </c>
      <c r="H28" t="s">
        <v>6096</v>
      </c>
      <c r="I28">
        <v>24</v>
      </c>
      <c r="J28">
        <v>9.4</v>
      </c>
      <c r="K28" t="s">
        <v>6099</v>
      </c>
      <c r="L28" t="s">
        <v>6100</v>
      </c>
      <c r="M28" t="s">
        <v>6100</v>
      </c>
      <c r="O28" t="s">
        <v>6101</v>
      </c>
      <c r="P28" t="s">
        <v>6107</v>
      </c>
      <c r="Q28">
        <v>1</v>
      </c>
      <c r="R28">
        <v>2026</v>
      </c>
      <c r="S28" t="s">
        <v>6099</v>
      </c>
      <c r="T28">
        <v>1</v>
      </c>
      <c r="U28" t="s">
        <v>6017</v>
      </c>
      <c r="V28">
        <v>1</v>
      </c>
    </row>
    <row r="29" spans="1:24" x14ac:dyDescent="0.3">
      <c r="A29" t="s">
        <v>44</v>
      </c>
      <c r="B29" s="2">
        <v>46024.520833333336</v>
      </c>
      <c r="C29" s="2">
        <v>46025.458333333336</v>
      </c>
      <c r="D29" t="s">
        <v>6028</v>
      </c>
      <c r="E29" t="s">
        <v>6031</v>
      </c>
      <c r="F29" t="s">
        <v>6033</v>
      </c>
      <c r="G29" t="s">
        <v>6046</v>
      </c>
      <c r="H29" t="s">
        <v>6098</v>
      </c>
      <c r="I29">
        <v>72</v>
      </c>
      <c r="J29">
        <v>22.5</v>
      </c>
      <c r="K29" t="s">
        <v>6099</v>
      </c>
      <c r="L29" t="s">
        <v>6100</v>
      </c>
      <c r="M29" t="s">
        <v>6100</v>
      </c>
      <c r="N29">
        <v>3</v>
      </c>
      <c r="O29" t="s">
        <v>6101</v>
      </c>
      <c r="P29" t="s">
        <v>6107</v>
      </c>
      <c r="Q29">
        <v>1</v>
      </c>
      <c r="R29">
        <v>2026</v>
      </c>
      <c r="S29" t="s">
        <v>6099</v>
      </c>
      <c r="T29">
        <v>1</v>
      </c>
      <c r="U29" t="s">
        <v>6019</v>
      </c>
      <c r="V29">
        <v>1</v>
      </c>
    </row>
    <row r="30" spans="1:24" x14ac:dyDescent="0.3">
      <c r="A30" t="s">
        <v>45</v>
      </c>
      <c r="B30" s="2">
        <v>46024.525000000001</v>
      </c>
      <c r="C30" s="2">
        <v>46024.95416666667</v>
      </c>
      <c r="D30" t="s">
        <v>6023</v>
      </c>
      <c r="E30" t="s">
        <v>6029</v>
      </c>
      <c r="F30" t="s">
        <v>6033</v>
      </c>
      <c r="G30" t="s">
        <v>6053</v>
      </c>
      <c r="H30" t="s">
        <v>6097</v>
      </c>
      <c r="I30">
        <v>72</v>
      </c>
      <c r="J30">
        <v>10.3</v>
      </c>
      <c r="K30" t="s">
        <v>6099</v>
      </c>
      <c r="L30" t="s">
        <v>6100</v>
      </c>
      <c r="M30" t="s">
        <v>6100</v>
      </c>
      <c r="O30" t="s">
        <v>6101</v>
      </c>
      <c r="P30" t="s">
        <v>6107</v>
      </c>
      <c r="Q30">
        <v>1</v>
      </c>
      <c r="R30">
        <v>2026</v>
      </c>
      <c r="S30" t="s">
        <v>6099</v>
      </c>
      <c r="T30">
        <v>1</v>
      </c>
      <c r="U30" t="s">
        <v>6018</v>
      </c>
      <c r="V30">
        <v>1</v>
      </c>
    </row>
    <row r="31" spans="1:24" x14ac:dyDescent="0.3">
      <c r="A31" t="s">
        <v>46</v>
      </c>
      <c r="B31" s="2">
        <v>46024.56527777778</v>
      </c>
      <c r="C31" s="2">
        <v>46025.390277777777</v>
      </c>
      <c r="D31" t="s">
        <v>6022</v>
      </c>
      <c r="E31" t="s">
        <v>6031</v>
      </c>
      <c r="F31" t="s">
        <v>6033</v>
      </c>
      <c r="G31" t="s">
        <v>6054</v>
      </c>
      <c r="H31" t="s">
        <v>6096</v>
      </c>
      <c r="I31">
        <v>72</v>
      </c>
      <c r="J31">
        <v>19.8</v>
      </c>
      <c r="K31" t="s">
        <v>6100</v>
      </c>
      <c r="L31" t="s">
        <v>6099</v>
      </c>
      <c r="M31" t="s">
        <v>6100</v>
      </c>
      <c r="N31">
        <v>4</v>
      </c>
      <c r="O31" t="s">
        <v>6101</v>
      </c>
      <c r="P31" t="s">
        <v>6107</v>
      </c>
      <c r="Q31">
        <v>1</v>
      </c>
      <c r="R31">
        <v>2026</v>
      </c>
      <c r="S31" t="s">
        <v>6099</v>
      </c>
      <c r="T31">
        <v>1</v>
      </c>
      <c r="U31" t="s">
        <v>6018</v>
      </c>
      <c r="V31">
        <v>0</v>
      </c>
    </row>
    <row r="32" spans="1:24" x14ac:dyDescent="0.3">
      <c r="A32" t="s">
        <v>47</v>
      </c>
      <c r="B32" s="2">
        <v>46024.665277777778</v>
      </c>
      <c r="C32" s="2">
        <v>46026.656944444447</v>
      </c>
      <c r="D32" t="s">
        <v>6026</v>
      </c>
      <c r="E32" t="s">
        <v>6030</v>
      </c>
      <c r="F32" t="s">
        <v>6035</v>
      </c>
      <c r="G32" t="s">
        <v>6055</v>
      </c>
      <c r="H32" t="s">
        <v>6096</v>
      </c>
      <c r="I32">
        <v>4</v>
      </c>
      <c r="J32">
        <v>47.8</v>
      </c>
      <c r="K32" t="s">
        <v>6099</v>
      </c>
      <c r="L32" t="s">
        <v>6100</v>
      </c>
      <c r="M32" t="s">
        <v>6100</v>
      </c>
      <c r="N32">
        <v>4</v>
      </c>
      <c r="O32" t="s">
        <v>6101</v>
      </c>
      <c r="P32" t="s">
        <v>6107</v>
      </c>
      <c r="Q32">
        <v>1</v>
      </c>
      <c r="R32">
        <v>2026</v>
      </c>
      <c r="S32" t="s">
        <v>6100</v>
      </c>
      <c r="T32">
        <v>0</v>
      </c>
      <c r="U32" t="s">
        <v>6021</v>
      </c>
      <c r="V32">
        <v>1</v>
      </c>
    </row>
    <row r="33" spans="1:22" x14ac:dyDescent="0.3">
      <c r="A33" t="s">
        <v>48</v>
      </c>
      <c r="B33" s="2">
        <v>46024.737500000003</v>
      </c>
      <c r="C33" s="2">
        <v>46025.0625</v>
      </c>
      <c r="D33" t="s">
        <v>6028</v>
      </c>
      <c r="E33" t="s">
        <v>6029</v>
      </c>
      <c r="F33" t="s">
        <v>6035</v>
      </c>
      <c r="G33" t="s">
        <v>6056</v>
      </c>
      <c r="H33" t="s">
        <v>6098</v>
      </c>
      <c r="I33">
        <v>4</v>
      </c>
      <c r="J33">
        <v>7.8</v>
      </c>
      <c r="K33" t="s">
        <v>6099</v>
      </c>
      <c r="L33" t="s">
        <v>6100</v>
      </c>
      <c r="M33" t="s">
        <v>6100</v>
      </c>
      <c r="O33" t="s">
        <v>6101</v>
      </c>
      <c r="P33" t="s">
        <v>6107</v>
      </c>
      <c r="Q33">
        <v>1</v>
      </c>
      <c r="R33">
        <v>2026</v>
      </c>
      <c r="S33" t="s">
        <v>6100</v>
      </c>
      <c r="T33">
        <v>0</v>
      </c>
      <c r="U33" t="s">
        <v>6020</v>
      </c>
      <c r="V33">
        <v>1</v>
      </c>
    </row>
    <row r="34" spans="1:22" x14ac:dyDescent="0.3">
      <c r="A34" t="s">
        <v>49</v>
      </c>
      <c r="B34" s="2">
        <v>46024.738888888889</v>
      </c>
      <c r="C34" s="2">
        <v>46025.080555555556</v>
      </c>
      <c r="D34" t="s">
        <v>6022</v>
      </c>
      <c r="E34" t="s">
        <v>6032</v>
      </c>
      <c r="F34" t="s">
        <v>6034</v>
      </c>
      <c r="G34" t="s">
        <v>6057</v>
      </c>
      <c r="H34" t="s">
        <v>6097</v>
      </c>
      <c r="I34">
        <v>24</v>
      </c>
      <c r="J34">
        <v>8.1999999999999993</v>
      </c>
      <c r="K34" t="s">
        <v>6099</v>
      </c>
      <c r="L34" t="s">
        <v>6100</v>
      </c>
      <c r="M34" t="s">
        <v>6100</v>
      </c>
      <c r="O34" t="s">
        <v>6101</v>
      </c>
      <c r="P34" t="s">
        <v>6107</v>
      </c>
      <c r="Q34">
        <v>1</v>
      </c>
      <c r="R34">
        <v>2026</v>
      </c>
      <c r="S34" t="s">
        <v>6099</v>
      </c>
      <c r="T34">
        <v>1</v>
      </c>
      <c r="U34" t="s">
        <v>6020</v>
      </c>
      <c r="V34">
        <v>1</v>
      </c>
    </row>
    <row r="35" spans="1:22" x14ac:dyDescent="0.3">
      <c r="A35" t="s">
        <v>50</v>
      </c>
      <c r="B35" s="2">
        <v>46024.763194444444</v>
      </c>
      <c r="C35" s="2">
        <v>46025.604861111111</v>
      </c>
      <c r="D35" t="s">
        <v>6024</v>
      </c>
      <c r="E35" t="s">
        <v>6030</v>
      </c>
      <c r="F35" t="s">
        <v>6034</v>
      </c>
      <c r="G35" t="s">
        <v>6037</v>
      </c>
      <c r="H35" t="s">
        <v>6096</v>
      </c>
      <c r="I35">
        <v>24</v>
      </c>
      <c r="J35">
        <v>20.2</v>
      </c>
      <c r="K35" t="s">
        <v>6099</v>
      </c>
      <c r="L35" t="s">
        <v>6100</v>
      </c>
      <c r="M35" t="s">
        <v>6100</v>
      </c>
      <c r="N35">
        <v>5</v>
      </c>
      <c r="O35" t="s">
        <v>6101</v>
      </c>
      <c r="P35" t="s">
        <v>6107</v>
      </c>
      <c r="Q35">
        <v>1</v>
      </c>
      <c r="R35">
        <v>2026</v>
      </c>
      <c r="S35" t="s">
        <v>6099</v>
      </c>
      <c r="T35">
        <v>1</v>
      </c>
      <c r="U35" t="s">
        <v>6019</v>
      </c>
      <c r="V35">
        <v>1</v>
      </c>
    </row>
    <row r="36" spans="1:22" x14ac:dyDescent="0.3">
      <c r="A36" t="s">
        <v>51</v>
      </c>
      <c r="B36" s="2">
        <v>46024.965277777781</v>
      </c>
      <c r="C36" s="2">
        <v>46025.427777777775</v>
      </c>
      <c r="D36" t="s">
        <v>6022</v>
      </c>
      <c r="E36" t="s">
        <v>6029</v>
      </c>
      <c r="F36" t="s">
        <v>6034</v>
      </c>
      <c r="G36" t="s">
        <v>6039</v>
      </c>
      <c r="H36" t="s">
        <v>6097</v>
      </c>
      <c r="I36">
        <v>24</v>
      </c>
      <c r="J36">
        <v>11.1</v>
      </c>
      <c r="K36" t="s">
        <v>6099</v>
      </c>
      <c r="L36" t="s">
        <v>6100</v>
      </c>
      <c r="M36" t="s">
        <v>6100</v>
      </c>
      <c r="O36" t="s">
        <v>6101</v>
      </c>
      <c r="P36" t="s">
        <v>6107</v>
      </c>
      <c r="Q36">
        <v>1</v>
      </c>
      <c r="R36">
        <v>2026</v>
      </c>
      <c r="S36" t="s">
        <v>6099</v>
      </c>
      <c r="T36">
        <v>1</v>
      </c>
      <c r="U36" t="s">
        <v>6018</v>
      </c>
      <c r="V36">
        <v>1</v>
      </c>
    </row>
    <row r="37" spans="1:22" x14ac:dyDescent="0.3">
      <c r="A37" t="s">
        <v>52</v>
      </c>
      <c r="B37" s="2">
        <v>46025.156944444447</v>
      </c>
      <c r="C37" s="2">
        <v>46026.844444444447</v>
      </c>
      <c r="D37" t="s">
        <v>6027</v>
      </c>
      <c r="E37" t="s">
        <v>6031</v>
      </c>
      <c r="F37" t="s">
        <v>6034</v>
      </c>
      <c r="G37" t="s">
        <v>6039</v>
      </c>
      <c r="H37" t="s">
        <v>6097</v>
      </c>
      <c r="I37">
        <v>24</v>
      </c>
      <c r="J37">
        <v>40.5</v>
      </c>
      <c r="K37" t="s">
        <v>6099</v>
      </c>
      <c r="L37" t="s">
        <v>6100</v>
      </c>
      <c r="M37" t="s">
        <v>6100</v>
      </c>
      <c r="N37">
        <v>5</v>
      </c>
      <c r="O37" t="s">
        <v>6101</v>
      </c>
      <c r="P37" t="s">
        <v>6107</v>
      </c>
      <c r="Q37">
        <v>1</v>
      </c>
      <c r="R37">
        <v>2026</v>
      </c>
      <c r="S37" t="s">
        <v>6100</v>
      </c>
      <c r="T37">
        <v>0</v>
      </c>
      <c r="U37" t="s">
        <v>6019</v>
      </c>
      <c r="V37">
        <v>1</v>
      </c>
    </row>
    <row r="38" spans="1:22" x14ac:dyDescent="0.3">
      <c r="A38" t="s">
        <v>53</v>
      </c>
      <c r="B38" s="2">
        <v>46025.211805555555</v>
      </c>
      <c r="C38" s="2">
        <v>46025.374305555553</v>
      </c>
      <c r="D38" t="s">
        <v>6024</v>
      </c>
      <c r="E38" t="s">
        <v>6030</v>
      </c>
      <c r="F38" t="s">
        <v>6033</v>
      </c>
      <c r="G38" t="s">
        <v>6058</v>
      </c>
      <c r="H38" t="s">
        <v>6098</v>
      </c>
      <c r="I38">
        <v>72</v>
      </c>
      <c r="J38">
        <v>3.9</v>
      </c>
      <c r="K38" t="s">
        <v>6099</v>
      </c>
      <c r="L38" t="s">
        <v>6100</v>
      </c>
      <c r="M38" t="s">
        <v>6100</v>
      </c>
      <c r="N38">
        <v>5</v>
      </c>
      <c r="O38" t="s">
        <v>6101</v>
      </c>
      <c r="P38" t="s">
        <v>6107</v>
      </c>
      <c r="Q38">
        <v>1</v>
      </c>
      <c r="R38">
        <v>2026</v>
      </c>
      <c r="S38" t="s">
        <v>6099</v>
      </c>
      <c r="T38">
        <v>1</v>
      </c>
      <c r="U38" t="s">
        <v>6021</v>
      </c>
      <c r="V38">
        <v>1</v>
      </c>
    </row>
    <row r="39" spans="1:22" x14ac:dyDescent="0.3">
      <c r="A39" t="s">
        <v>54</v>
      </c>
      <c r="B39" s="2">
        <v>46025.31527777778</v>
      </c>
      <c r="C39" s="2">
        <v>46027.452777777777</v>
      </c>
      <c r="D39" t="s">
        <v>6022</v>
      </c>
      <c r="E39" t="s">
        <v>6031</v>
      </c>
      <c r="F39" t="s">
        <v>6034</v>
      </c>
      <c r="G39" t="s">
        <v>6056</v>
      </c>
      <c r="H39" t="s">
        <v>6098</v>
      </c>
      <c r="I39">
        <v>24</v>
      </c>
      <c r="J39">
        <v>51.3</v>
      </c>
      <c r="K39" t="s">
        <v>6099</v>
      </c>
      <c r="L39" t="s">
        <v>6100</v>
      </c>
      <c r="M39" t="s">
        <v>6100</v>
      </c>
      <c r="N39">
        <v>4</v>
      </c>
      <c r="O39" t="s">
        <v>6101</v>
      </c>
      <c r="P39" t="s">
        <v>6107</v>
      </c>
      <c r="Q39">
        <v>1</v>
      </c>
      <c r="R39">
        <v>2026</v>
      </c>
      <c r="S39" t="s">
        <v>6100</v>
      </c>
      <c r="T39">
        <v>0</v>
      </c>
      <c r="U39" t="s">
        <v>6017</v>
      </c>
      <c r="V39">
        <v>1</v>
      </c>
    </row>
    <row r="40" spans="1:22" x14ac:dyDescent="0.3">
      <c r="A40" t="s">
        <v>55</v>
      </c>
      <c r="B40" s="2">
        <v>46025.345138888886</v>
      </c>
      <c r="C40" s="2">
        <v>46028.736805555556</v>
      </c>
      <c r="D40" t="s">
        <v>6026</v>
      </c>
      <c r="E40" t="s">
        <v>6031</v>
      </c>
      <c r="F40" t="s">
        <v>6033</v>
      </c>
      <c r="G40" t="s">
        <v>6059</v>
      </c>
      <c r="H40" t="s">
        <v>6097</v>
      </c>
      <c r="I40">
        <v>72</v>
      </c>
      <c r="J40">
        <v>81.400000000000006</v>
      </c>
      <c r="K40" t="s">
        <v>6100</v>
      </c>
      <c r="L40" t="s">
        <v>6099</v>
      </c>
      <c r="M40" t="s">
        <v>6100</v>
      </c>
      <c r="O40" t="s">
        <v>6101</v>
      </c>
      <c r="P40" t="s">
        <v>6107</v>
      </c>
      <c r="Q40">
        <v>1</v>
      </c>
      <c r="R40">
        <v>2026</v>
      </c>
      <c r="S40" t="s">
        <v>6100</v>
      </c>
      <c r="T40">
        <v>0</v>
      </c>
      <c r="U40" t="s">
        <v>6021</v>
      </c>
      <c r="V40">
        <v>0</v>
      </c>
    </row>
    <row r="41" spans="1:22" x14ac:dyDescent="0.3">
      <c r="A41" t="s">
        <v>56</v>
      </c>
      <c r="B41" s="2">
        <v>46025.433333333334</v>
      </c>
      <c r="C41" s="2">
        <v>46026.025000000001</v>
      </c>
      <c r="D41" t="s">
        <v>6023</v>
      </c>
      <c r="E41" t="s">
        <v>6029</v>
      </c>
      <c r="F41" t="s">
        <v>6033</v>
      </c>
      <c r="G41" t="s">
        <v>6060</v>
      </c>
      <c r="H41" t="s">
        <v>6097</v>
      </c>
      <c r="I41">
        <v>72</v>
      </c>
      <c r="J41">
        <v>14.2</v>
      </c>
      <c r="K41" t="s">
        <v>6099</v>
      </c>
      <c r="L41" t="s">
        <v>6100</v>
      </c>
      <c r="M41" t="s">
        <v>6100</v>
      </c>
      <c r="N41">
        <v>4</v>
      </c>
      <c r="O41" t="s">
        <v>6101</v>
      </c>
      <c r="P41" t="s">
        <v>6107</v>
      </c>
      <c r="Q41">
        <v>1</v>
      </c>
      <c r="R41">
        <v>2026</v>
      </c>
      <c r="S41" t="s">
        <v>6099</v>
      </c>
      <c r="T41">
        <v>1</v>
      </c>
      <c r="U41" t="s">
        <v>6019</v>
      </c>
      <c r="V41">
        <v>1</v>
      </c>
    </row>
    <row r="42" spans="1:22" x14ac:dyDescent="0.3">
      <c r="A42" t="s">
        <v>57</v>
      </c>
      <c r="B42" s="2">
        <v>46025.493055555555</v>
      </c>
      <c r="C42" s="2">
        <v>46026.463888888888</v>
      </c>
      <c r="D42" t="s">
        <v>6023</v>
      </c>
      <c r="E42" t="s">
        <v>6029</v>
      </c>
      <c r="F42" t="s">
        <v>6034</v>
      </c>
      <c r="G42" t="s">
        <v>6061</v>
      </c>
      <c r="H42" t="s">
        <v>6096</v>
      </c>
      <c r="I42">
        <v>24</v>
      </c>
      <c r="J42">
        <v>23.3</v>
      </c>
      <c r="K42" t="s">
        <v>6099</v>
      </c>
      <c r="L42" t="s">
        <v>6100</v>
      </c>
      <c r="M42" t="s">
        <v>6100</v>
      </c>
      <c r="N42">
        <v>4</v>
      </c>
      <c r="O42" t="s">
        <v>6101</v>
      </c>
      <c r="P42" t="s">
        <v>6107</v>
      </c>
      <c r="Q42">
        <v>1</v>
      </c>
      <c r="R42">
        <v>2026</v>
      </c>
      <c r="S42" t="s">
        <v>6099</v>
      </c>
      <c r="T42">
        <v>1</v>
      </c>
      <c r="U42" t="s">
        <v>6019</v>
      </c>
      <c r="V42">
        <v>1</v>
      </c>
    </row>
    <row r="43" spans="1:22" x14ac:dyDescent="0.3">
      <c r="A43" t="s">
        <v>58</v>
      </c>
      <c r="B43" s="2">
        <v>46025.513888888891</v>
      </c>
      <c r="C43" s="2">
        <v>46026.12222222222</v>
      </c>
      <c r="D43" t="s">
        <v>6022</v>
      </c>
      <c r="E43" t="s">
        <v>6030</v>
      </c>
      <c r="F43" t="s">
        <v>6033</v>
      </c>
      <c r="G43" t="s">
        <v>6042</v>
      </c>
      <c r="H43" t="s">
        <v>6098</v>
      </c>
      <c r="I43">
        <v>72</v>
      </c>
      <c r="J43">
        <v>14.6</v>
      </c>
      <c r="K43" t="s">
        <v>6100</v>
      </c>
      <c r="L43" t="s">
        <v>6099</v>
      </c>
      <c r="M43" t="s">
        <v>6100</v>
      </c>
      <c r="N43">
        <v>5</v>
      </c>
      <c r="O43" t="s">
        <v>6101</v>
      </c>
      <c r="P43" t="s">
        <v>6107</v>
      </c>
      <c r="Q43">
        <v>1</v>
      </c>
      <c r="R43">
        <v>2026</v>
      </c>
      <c r="S43" t="s">
        <v>6099</v>
      </c>
      <c r="T43">
        <v>1</v>
      </c>
      <c r="U43" t="s">
        <v>6017</v>
      </c>
      <c r="V43">
        <v>0</v>
      </c>
    </row>
    <row r="44" spans="1:22" x14ac:dyDescent="0.3">
      <c r="A44" t="s">
        <v>59</v>
      </c>
      <c r="B44" s="2">
        <v>46025.536805555559</v>
      </c>
      <c r="C44" s="2">
        <v>46026.086805555555</v>
      </c>
      <c r="D44" t="s">
        <v>6023</v>
      </c>
      <c r="E44" t="s">
        <v>6030</v>
      </c>
      <c r="F44" t="s">
        <v>6034</v>
      </c>
      <c r="G44" t="s">
        <v>6062</v>
      </c>
      <c r="H44" t="s">
        <v>6096</v>
      </c>
      <c r="I44">
        <v>24</v>
      </c>
      <c r="J44">
        <v>13.2</v>
      </c>
      <c r="K44" t="s">
        <v>6099</v>
      </c>
      <c r="L44" t="s">
        <v>6100</v>
      </c>
      <c r="M44" t="s">
        <v>6100</v>
      </c>
      <c r="N44">
        <v>5</v>
      </c>
      <c r="O44" t="s">
        <v>6101</v>
      </c>
      <c r="P44" t="s">
        <v>6107</v>
      </c>
      <c r="Q44">
        <v>1</v>
      </c>
      <c r="R44">
        <v>2026</v>
      </c>
      <c r="S44" t="s">
        <v>6099</v>
      </c>
      <c r="T44">
        <v>1</v>
      </c>
      <c r="U44" t="s">
        <v>6021</v>
      </c>
      <c r="V44">
        <v>1</v>
      </c>
    </row>
    <row r="45" spans="1:22" x14ac:dyDescent="0.3">
      <c r="A45" t="s">
        <v>60</v>
      </c>
      <c r="B45" s="2">
        <v>46025.536805555559</v>
      </c>
      <c r="C45" s="2">
        <v>46025.828472222223</v>
      </c>
      <c r="D45" t="s">
        <v>6028</v>
      </c>
      <c r="E45" t="s">
        <v>6029</v>
      </c>
      <c r="F45" t="s">
        <v>6035</v>
      </c>
      <c r="G45" t="s">
        <v>6056</v>
      </c>
      <c r="H45" t="s">
        <v>6098</v>
      </c>
      <c r="I45">
        <v>4</v>
      </c>
      <c r="J45">
        <v>7</v>
      </c>
      <c r="K45" t="s">
        <v>6099</v>
      </c>
      <c r="L45" t="s">
        <v>6100</v>
      </c>
      <c r="M45" t="s">
        <v>6100</v>
      </c>
      <c r="N45">
        <v>4</v>
      </c>
      <c r="O45" t="s">
        <v>6101</v>
      </c>
      <c r="P45" t="s">
        <v>6107</v>
      </c>
      <c r="Q45">
        <v>1</v>
      </c>
      <c r="R45">
        <v>2026</v>
      </c>
      <c r="S45" t="s">
        <v>6100</v>
      </c>
      <c r="T45">
        <v>0</v>
      </c>
      <c r="U45" t="s">
        <v>6017</v>
      </c>
      <c r="V45">
        <v>1</v>
      </c>
    </row>
    <row r="46" spans="1:22" x14ac:dyDescent="0.3">
      <c r="A46" t="s">
        <v>61</v>
      </c>
      <c r="B46" s="2">
        <v>46025.558333333334</v>
      </c>
      <c r="C46" s="2">
        <v>46026</v>
      </c>
      <c r="D46" t="s">
        <v>6027</v>
      </c>
      <c r="E46" t="s">
        <v>6030</v>
      </c>
      <c r="F46" t="s">
        <v>6034</v>
      </c>
      <c r="G46" t="s">
        <v>6044</v>
      </c>
      <c r="H46" t="s">
        <v>6097</v>
      </c>
      <c r="I46">
        <v>24</v>
      </c>
      <c r="J46">
        <v>10.6</v>
      </c>
      <c r="K46" t="s">
        <v>6100</v>
      </c>
      <c r="L46" t="s">
        <v>6100</v>
      </c>
      <c r="M46" t="s">
        <v>6100</v>
      </c>
      <c r="O46" t="s">
        <v>6101</v>
      </c>
      <c r="P46" t="s">
        <v>6107</v>
      </c>
      <c r="Q46">
        <v>1</v>
      </c>
      <c r="R46">
        <v>2026</v>
      </c>
      <c r="S46" t="s">
        <v>6099</v>
      </c>
      <c r="T46">
        <v>1</v>
      </c>
      <c r="U46" t="s">
        <v>6019</v>
      </c>
      <c r="V46">
        <v>0</v>
      </c>
    </row>
    <row r="47" spans="1:22" x14ac:dyDescent="0.3">
      <c r="A47" t="s">
        <v>62</v>
      </c>
      <c r="B47" s="2">
        <v>46025.615972222222</v>
      </c>
      <c r="C47" s="2">
        <v>46026.886805555558</v>
      </c>
      <c r="D47" t="s">
        <v>6024</v>
      </c>
      <c r="E47" t="s">
        <v>6031</v>
      </c>
      <c r="F47" t="s">
        <v>6033</v>
      </c>
      <c r="G47" t="s">
        <v>6063</v>
      </c>
      <c r="H47" t="s">
        <v>6097</v>
      </c>
      <c r="I47">
        <v>72</v>
      </c>
      <c r="J47">
        <v>30.5</v>
      </c>
      <c r="K47" t="s">
        <v>6099</v>
      </c>
      <c r="L47" t="s">
        <v>6100</v>
      </c>
      <c r="M47" t="s">
        <v>6100</v>
      </c>
      <c r="O47" t="s">
        <v>6101</v>
      </c>
      <c r="P47" t="s">
        <v>6107</v>
      </c>
      <c r="Q47">
        <v>1</v>
      </c>
      <c r="R47">
        <v>2026</v>
      </c>
      <c r="S47" t="s">
        <v>6099</v>
      </c>
      <c r="T47">
        <v>1</v>
      </c>
      <c r="U47" t="s">
        <v>6018</v>
      </c>
      <c r="V47">
        <v>1</v>
      </c>
    </row>
    <row r="48" spans="1:22" x14ac:dyDescent="0.3">
      <c r="A48" t="s">
        <v>63</v>
      </c>
      <c r="B48" s="2">
        <v>46025.67083333333</v>
      </c>
      <c r="C48" s="2">
        <v>46030.262499999997</v>
      </c>
      <c r="D48" t="s">
        <v>6026</v>
      </c>
      <c r="E48" t="s">
        <v>6031</v>
      </c>
      <c r="F48" t="s">
        <v>6033</v>
      </c>
      <c r="G48" t="s">
        <v>6064</v>
      </c>
      <c r="H48" t="s">
        <v>6096</v>
      </c>
      <c r="I48">
        <v>72</v>
      </c>
      <c r="J48">
        <v>110.2</v>
      </c>
      <c r="K48" t="s">
        <v>6099</v>
      </c>
      <c r="L48" t="s">
        <v>6100</v>
      </c>
      <c r="M48" t="s">
        <v>6100</v>
      </c>
      <c r="O48" t="s">
        <v>6101</v>
      </c>
      <c r="P48" t="s">
        <v>6107</v>
      </c>
      <c r="Q48">
        <v>1</v>
      </c>
      <c r="R48">
        <v>2026</v>
      </c>
      <c r="S48" t="s">
        <v>6100</v>
      </c>
      <c r="T48">
        <v>0</v>
      </c>
      <c r="U48" t="s">
        <v>6017</v>
      </c>
      <c r="V48">
        <v>1</v>
      </c>
    </row>
    <row r="49" spans="1:22" x14ac:dyDescent="0.3">
      <c r="A49" t="s">
        <v>64</v>
      </c>
      <c r="B49" s="2">
        <v>46025.725694444445</v>
      </c>
      <c r="C49" s="2">
        <v>46026.021527777775</v>
      </c>
      <c r="D49" t="s">
        <v>6028</v>
      </c>
      <c r="E49" t="s">
        <v>6031</v>
      </c>
      <c r="F49" t="s">
        <v>6034</v>
      </c>
      <c r="G49" t="s">
        <v>6065</v>
      </c>
      <c r="H49" t="s">
        <v>6097</v>
      </c>
      <c r="I49">
        <v>24</v>
      </c>
      <c r="J49">
        <v>7.1</v>
      </c>
      <c r="K49" t="s">
        <v>6099</v>
      </c>
      <c r="L49" t="s">
        <v>6100</v>
      </c>
      <c r="M49" t="s">
        <v>6100</v>
      </c>
      <c r="O49" t="s">
        <v>6101</v>
      </c>
      <c r="P49" t="s">
        <v>6107</v>
      </c>
      <c r="Q49">
        <v>1</v>
      </c>
      <c r="R49">
        <v>2026</v>
      </c>
      <c r="S49" t="s">
        <v>6099</v>
      </c>
      <c r="T49">
        <v>1</v>
      </c>
      <c r="U49" t="s">
        <v>6018</v>
      </c>
      <c r="V49">
        <v>1</v>
      </c>
    </row>
    <row r="50" spans="1:22" x14ac:dyDescent="0.3">
      <c r="A50" t="s">
        <v>65</v>
      </c>
      <c r="B50" s="2">
        <v>46025.743055555555</v>
      </c>
      <c r="C50" s="2">
        <v>46026.713888888888</v>
      </c>
      <c r="D50" t="s">
        <v>6025</v>
      </c>
      <c r="E50" t="s">
        <v>6029</v>
      </c>
      <c r="F50" t="s">
        <v>6033</v>
      </c>
      <c r="G50" t="s">
        <v>6066</v>
      </c>
      <c r="H50" t="s">
        <v>6096</v>
      </c>
      <c r="I50">
        <v>72</v>
      </c>
      <c r="J50">
        <v>23.3</v>
      </c>
      <c r="K50" t="s">
        <v>6099</v>
      </c>
      <c r="L50" t="s">
        <v>6100</v>
      </c>
      <c r="M50" t="s">
        <v>6100</v>
      </c>
      <c r="N50">
        <v>5</v>
      </c>
      <c r="O50" t="s">
        <v>6101</v>
      </c>
      <c r="P50" t="s">
        <v>6107</v>
      </c>
      <c r="Q50">
        <v>1</v>
      </c>
      <c r="R50">
        <v>2026</v>
      </c>
      <c r="S50" t="s">
        <v>6099</v>
      </c>
      <c r="T50">
        <v>1</v>
      </c>
      <c r="U50" t="s">
        <v>6021</v>
      </c>
      <c r="V50">
        <v>1</v>
      </c>
    </row>
    <row r="51" spans="1:22" x14ac:dyDescent="0.3">
      <c r="A51" t="s">
        <v>66</v>
      </c>
      <c r="B51" s="2">
        <v>46025.74722222222</v>
      </c>
      <c r="C51" s="2">
        <v>46026.801388888889</v>
      </c>
      <c r="D51" t="s">
        <v>6027</v>
      </c>
      <c r="E51" t="s">
        <v>6032</v>
      </c>
      <c r="F51" t="s">
        <v>6033</v>
      </c>
      <c r="G51" t="s">
        <v>6064</v>
      </c>
      <c r="H51" t="s">
        <v>6096</v>
      </c>
      <c r="I51">
        <v>72</v>
      </c>
      <c r="J51">
        <v>25.3</v>
      </c>
      <c r="K51" t="s">
        <v>6099</v>
      </c>
      <c r="L51" t="s">
        <v>6100</v>
      </c>
      <c r="M51" t="s">
        <v>6100</v>
      </c>
      <c r="N51">
        <v>4</v>
      </c>
      <c r="O51" t="s">
        <v>6101</v>
      </c>
      <c r="P51" t="s">
        <v>6107</v>
      </c>
      <c r="Q51">
        <v>1</v>
      </c>
      <c r="R51">
        <v>2026</v>
      </c>
      <c r="S51" t="s">
        <v>6099</v>
      </c>
      <c r="T51">
        <v>1</v>
      </c>
      <c r="U51" t="s">
        <v>6018</v>
      </c>
      <c r="V51">
        <v>1</v>
      </c>
    </row>
    <row r="52" spans="1:22" x14ac:dyDescent="0.3">
      <c r="A52" t="s">
        <v>67</v>
      </c>
      <c r="B52" s="2">
        <v>46025.80972222222</v>
      </c>
      <c r="C52" s="2">
        <v>46026.276388888888</v>
      </c>
      <c r="D52" t="s">
        <v>6027</v>
      </c>
      <c r="E52" t="s">
        <v>6029</v>
      </c>
      <c r="F52" t="s">
        <v>6034</v>
      </c>
      <c r="G52" t="s">
        <v>6067</v>
      </c>
      <c r="H52" t="s">
        <v>6098</v>
      </c>
      <c r="I52">
        <v>24</v>
      </c>
      <c r="J52">
        <v>11.2</v>
      </c>
      <c r="K52" t="s">
        <v>6099</v>
      </c>
      <c r="L52" t="s">
        <v>6100</v>
      </c>
      <c r="M52" t="s">
        <v>6100</v>
      </c>
      <c r="N52">
        <v>4</v>
      </c>
      <c r="O52" t="s">
        <v>6101</v>
      </c>
      <c r="P52" t="s">
        <v>6107</v>
      </c>
      <c r="Q52">
        <v>1</v>
      </c>
      <c r="R52">
        <v>2026</v>
      </c>
      <c r="S52" t="s">
        <v>6099</v>
      </c>
      <c r="T52">
        <v>1</v>
      </c>
      <c r="U52" t="s">
        <v>6020</v>
      </c>
      <c r="V52">
        <v>1</v>
      </c>
    </row>
    <row r="53" spans="1:22" x14ac:dyDescent="0.3">
      <c r="A53" t="s">
        <v>68</v>
      </c>
      <c r="B53" s="2">
        <v>46025.875694444447</v>
      </c>
      <c r="C53" s="2">
        <v>46027.363194444442</v>
      </c>
      <c r="D53" t="s">
        <v>6025</v>
      </c>
      <c r="E53" t="s">
        <v>6029</v>
      </c>
      <c r="F53" t="s">
        <v>6033</v>
      </c>
      <c r="G53" t="s">
        <v>6038</v>
      </c>
      <c r="H53" t="s">
        <v>6096</v>
      </c>
      <c r="I53">
        <v>72</v>
      </c>
      <c r="J53">
        <v>35.700000000000003</v>
      </c>
      <c r="K53" t="s">
        <v>6099</v>
      </c>
      <c r="L53" t="s">
        <v>6100</v>
      </c>
      <c r="M53" t="s">
        <v>6100</v>
      </c>
      <c r="O53" t="s">
        <v>6101</v>
      </c>
      <c r="P53" t="s">
        <v>6107</v>
      </c>
      <c r="Q53">
        <v>1</v>
      </c>
      <c r="R53">
        <v>2026</v>
      </c>
      <c r="S53" t="s">
        <v>6099</v>
      </c>
      <c r="T53">
        <v>1</v>
      </c>
      <c r="U53" t="s">
        <v>6018</v>
      </c>
      <c r="V53">
        <v>1</v>
      </c>
    </row>
    <row r="54" spans="1:22" x14ac:dyDescent="0.3">
      <c r="A54" t="s">
        <v>69</v>
      </c>
      <c r="B54" s="2">
        <v>46025.987500000003</v>
      </c>
      <c r="C54" s="2">
        <v>46026.23333333333</v>
      </c>
      <c r="D54" t="s">
        <v>6023</v>
      </c>
      <c r="E54" t="s">
        <v>6029</v>
      </c>
      <c r="F54" t="s">
        <v>6034</v>
      </c>
      <c r="G54" t="s">
        <v>6067</v>
      </c>
      <c r="H54" t="s">
        <v>6098</v>
      </c>
      <c r="I54">
        <v>24</v>
      </c>
      <c r="J54">
        <v>5.9</v>
      </c>
      <c r="K54" t="s">
        <v>6100</v>
      </c>
      <c r="L54" t="s">
        <v>6100</v>
      </c>
      <c r="M54" t="s">
        <v>6100</v>
      </c>
      <c r="N54">
        <v>5</v>
      </c>
      <c r="O54" t="s">
        <v>6101</v>
      </c>
      <c r="P54" t="s">
        <v>6107</v>
      </c>
      <c r="Q54">
        <v>1</v>
      </c>
      <c r="R54">
        <v>2026</v>
      </c>
      <c r="S54" t="s">
        <v>6099</v>
      </c>
      <c r="T54">
        <v>1</v>
      </c>
      <c r="U54" t="s">
        <v>6021</v>
      </c>
      <c r="V54">
        <v>0</v>
      </c>
    </row>
    <row r="55" spans="1:22" x14ac:dyDescent="0.3">
      <c r="A55" t="s">
        <v>70</v>
      </c>
      <c r="B55" s="2">
        <v>46026.12777777778</v>
      </c>
      <c r="C55" s="2">
        <v>46026.373611111114</v>
      </c>
      <c r="D55" t="s">
        <v>6025</v>
      </c>
      <c r="E55" t="s">
        <v>6030</v>
      </c>
      <c r="F55" t="s">
        <v>6035</v>
      </c>
      <c r="G55" t="s">
        <v>6068</v>
      </c>
      <c r="H55" t="s">
        <v>6098</v>
      </c>
      <c r="I55">
        <v>4</v>
      </c>
      <c r="J55">
        <v>5.9</v>
      </c>
      <c r="K55" t="s">
        <v>6099</v>
      </c>
      <c r="L55" t="s">
        <v>6100</v>
      </c>
      <c r="M55" t="s">
        <v>6100</v>
      </c>
      <c r="O55" t="s">
        <v>6101</v>
      </c>
      <c r="P55" t="s">
        <v>6107</v>
      </c>
      <c r="Q55">
        <v>1</v>
      </c>
      <c r="R55">
        <v>2026</v>
      </c>
      <c r="S55" t="s">
        <v>6100</v>
      </c>
      <c r="T55">
        <v>0</v>
      </c>
      <c r="U55" t="s">
        <v>6017</v>
      </c>
      <c r="V55">
        <v>1</v>
      </c>
    </row>
    <row r="56" spans="1:22" x14ac:dyDescent="0.3">
      <c r="A56" t="s">
        <v>71</v>
      </c>
      <c r="B56" s="2">
        <v>46026.227777777778</v>
      </c>
      <c r="C56" s="2">
        <v>46027.211111111108</v>
      </c>
      <c r="D56" t="s">
        <v>6025</v>
      </c>
      <c r="E56" t="s">
        <v>6030</v>
      </c>
      <c r="F56" t="s">
        <v>6034</v>
      </c>
      <c r="G56" t="s">
        <v>6060</v>
      </c>
      <c r="H56" t="s">
        <v>6097</v>
      </c>
      <c r="I56">
        <v>24</v>
      </c>
      <c r="J56">
        <v>23.6</v>
      </c>
      <c r="K56" t="s">
        <v>6100</v>
      </c>
      <c r="L56" t="s">
        <v>6100</v>
      </c>
      <c r="M56" t="s">
        <v>6100</v>
      </c>
      <c r="N56">
        <v>5</v>
      </c>
      <c r="O56" t="s">
        <v>6101</v>
      </c>
      <c r="P56" t="s">
        <v>6107</v>
      </c>
      <c r="Q56">
        <v>1</v>
      </c>
      <c r="R56">
        <v>2026</v>
      </c>
      <c r="S56" t="s">
        <v>6099</v>
      </c>
      <c r="T56">
        <v>1</v>
      </c>
      <c r="U56" t="s">
        <v>6020</v>
      </c>
      <c r="V56">
        <v>0</v>
      </c>
    </row>
    <row r="57" spans="1:22" x14ac:dyDescent="0.3">
      <c r="A57" t="s">
        <v>72</v>
      </c>
      <c r="B57" s="2">
        <v>46026.314583333333</v>
      </c>
      <c r="C57" s="2">
        <v>46026.681250000001</v>
      </c>
      <c r="D57" t="s">
        <v>6023</v>
      </c>
      <c r="E57" t="s">
        <v>6029</v>
      </c>
      <c r="F57" t="s">
        <v>6034</v>
      </c>
      <c r="G57" t="s">
        <v>6052</v>
      </c>
      <c r="H57" t="s">
        <v>6098</v>
      </c>
      <c r="I57">
        <v>24</v>
      </c>
      <c r="J57">
        <v>8.8000000000000007</v>
      </c>
      <c r="K57" t="s">
        <v>6099</v>
      </c>
      <c r="L57" t="s">
        <v>6100</v>
      </c>
      <c r="M57" t="s">
        <v>6100</v>
      </c>
      <c r="N57">
        <v>5</v>
      </c>
      <c r="O57" t="s">
        <v>6101</v>
      </c>
      <c r="P57" t="s">
        <v>6107</v>
      </c>
      <c r="Q57">
        <v>1</v>
      </c>
      <c r="R57">
        <v>2026</v>
      </c>
      <c r="S57" t="s">
        <v>6099</v>
      </c>
      <c r="T57">
        <v>1</v>
      </c>
      <c r="U57" t="s">
        <v>6021</v>
      </c>
      <c r="V57">
        <v>1</v>
      </c>
    </row>
    <row r="58" spans="1:22" x14ac:dyDescent="0.3">
      <c r="A58" t="s">
        <v>73</v>
      </c>
      <c r="B58" s="2">
        <v>46026.400000000001</v>
      </c>
      <c r="C58" s="2">
        <v>46027.887499999997</v>
      </c>
      <c r="D58" t="s">
        <v>6022</v>
      </c>
      <c r="E58" t="s">
        <v>6032</v>
      </c>
      <c r="F58" t="s">
        <v>6034</v>
      </c>
      <c r="G58" t="s">
        <v>6067</v>
      </c>
      <c r="H58" t="s">
        <v>6098</v>
      </c>
      <c r="I58">
        <v>24</v>
      </c>
      <c r="J58">
        <v>35.700000000000003</v>
      </c>
      <c r="K58" t="s">
        <v>6100</v>
      </c>
      <c r="L58" t="s">
        <v>6099</v>
      </c>
      <c r="M58" t="s">
        <v>6100</v>
      </c>
      <c r="O58" t="s">
        <v>6101</v>
      </c>
      <c r="P58" t="s">
        <v>6107</v>
      </c>
      <c r="Q58">
        <v>1</v>
      </c>
      <c r="R58">
        <v>2026</v>
      </c>
      <c r="S58" t="s">
        <v>6100</v>
      </c>
      <c r="T58">
        <v>0</v>
      </c>
      <c r="U58" t="s">
        <v>6020</v>
      </c>
      <c r="V58">
        <v>0</v>
      </c>
    </row>
    <row r="59" spans="1:22" x14ac:dyDescent="0.3">
      <c r="A59" t="s">
        <v>74</v>
      </c>
      <c r="B59" s="2">
        <v>46026.402083333334</v>
      </c>
      <c r="C59" s="2">
        <v>46026.652083333334</v>
      </c>
      <c r="D59" t="s">
        <v>6023</v>
      </c>
      <c r="E59" t="s">
        <v>6030</v>
      </c>
      <c r="F59" t="s">
        <v>6033</v>
      </c>
      <c r="G59" t="s">
        <v>6066</v>
      </c>
      <c r="H59" t="s">
        <v>6096</v>
      </c>
      <c r="I59">
        <v>72</v>
      </c>
      <c r="J59">
        <v>6</v>
      </c>
      <c r="K59" t="s">
        <v>6099</v>
      </c>
      <c r="L59" t="s">
        <v>6100</v>
      </c>
      <c r="M59" t="s">
        <v>6100</v>
      </c>
      <c r="N59">
        <v>5</v>
      </c>
      <c r="O59" t="s">
        <v>6101</v>
      </c>
      <c r="P59" t="s">
        <v>6107</v>
      </c>
      <c r="Q59">
        <v>1</v>
      </c>
      <c r="R59">
        <v>2026</v>
      </c>
      <c r="S59" t="s">
        <v>6099</v>
      </c>
      <c r="T59">
        <v>1</v>
      </c>
      <c r="U59" t="s">
        <v>6018</v>
      </c>
      <c r="V59">
        <v>1</v>
      </c>
    </row>
    <row r="60" spans="1:22" x14ac:dyDescent="0.3">
      <c r="A60" t="s">
        <v>75</v>
      </c>
      <c r="B60" s="2">
        <v>46026.408333333333</v>
      </c>
      <c r="C60" s="2">
        <v>46027.987500000003</v>
      </c>
      <c r="D60" t="s">
        <v>6022</v>
      </c>
      <c r="E60" t="s">
        <v>6031</v>
      </c>
      <c r="F60" t="s">
        <v>6034</v>
      </c>
      <c r="G60" t="s">
        <v>6069</v>
      </c>
      <c r="H60" t="s">
        <v>6098</v>
      </c>
      <c r="I60">
        <v>24</v>
      </c>
      <c r="J60">
        <v>37.9</v>
      </c>
      <c r="K60" t="s">
        <v>6100</v>
      </c>
      <c r="L60" t="s">
        <v>6100</v>
      </c>
      <c r="M60" t="s">
        <v>6100</v>
      </c>
      <c r="N60">
        <v>5</v>
      </c>
      <c r="O60" t="s">
        <v>6101</v>
      </c>
      <c r="P60" t="s">
        <v>6107</v>
      </c>
      <c r="Q60">
        <v>1</v>
      </c>
      <c r="R60">
        <v>2026</v>
      </c>
      <c r="S60" t="s">
        <v>6100</v>
      </c>
      <c r="T60">
        <v>0</v>
      </c>
      <c r="U60" t="s">
        <v>6021</v>
      </c>
      <c r="V60">
        <v>0</v>
      </c>
    </row>
    <row r="61" spans="1:22" x14ac:dyDescent="0.3">
      <c r="A61" t="s">
        <v>76</v>
      </c>
      <c r="B61" s="2">
        <v>46026.411111111112</v>
      </c>
      <c r="C61" s="2">
        <v>46031.040277777778</v>
      </c>
      <c r="D61" t="s">
        <v>6026</v>
      </c>
      <c r="E61" t="s">
        <v>6031</v>
      </c>
      <c r="F61" t="s">
        <v>6035</v>
      </c>
      <c r="G61" t="s">
        <v>6070</v>
      </c>
      <c r="H61" t="s">
        <v>6097</v>
      </c>
      <c r="I61">
        <v>4</v>
      </c>
      <c r="J61">
        <v>111.1</v>
      </c>
      <c r="K61" t="s">
        <v>6100</v>
      </c>
      <c r="L61" t="s">
        <v>6100</v>
      </c>
      <c r="M61" t="s">
        <v>6100</v>
      </c>
      <c r="N61">
        <v>3</v>
      </c>
      <c r="O61" t="s">
        <v>6101</v>
      </c>
      <c r="P61" t="s">
        <v>6107</v>
      </c>
      <c r="Q61">
        <v>1</v>
      </c>
      <c r="R61">
        <v>2026</v>
      </c>
      <c r="S61" t="s">
        <v>6100</v>
      </c>
      <c r="T61">
        <v>0</v>
      </c>
      <c r="U61" t="s">
        <v>6019</v>
      </c>
      <c r="V61">
        <v>0</v>
      </c>
    </row>
    <row r="62" spans="1:22" x14ac:dyDescent="0.3">
      <c r="A62" t="s">
        <v>77</v>
      </c>
      <c r="B62" s="2">
        <v>46026.452777777777</v>
      </c>
      <c r="C62" s="2">
        <v>46026.036111111112</v>
      </c>
      <c r="D62" t="s">
        <v>6023</v>
      </c>
      <c r="E62" t="s">
        <v>6029</v>
      </c>
      <c r="F62" t="s">
        <v>6033</v>
      </c>
      <c r="G62" t="s">
        <v>6071</v>
      </c>
      <c r="H62" t="s">
        <v>6098</v>
      </c>
      <c r="I62">
        <v>72</v>
      </c>
      <c r="J62">
        <v>1.3</v>
      </c>
      <c r="K62" t="s">
        <v>6099</v>
      </c>
      <c r="L62" t="s">
        <v>6100</v>
      </c>
      <c r="M62" t="s">
        <v>6100</v>
      </c>
      <c r="N62">
        <v>5</v>
      </c>
      <c r="O62" t="s">
        <v>6101</v>
      </c>
      <c r="P62" t="s">
        <v>6107</v>
      </c>
      <c r="Q62">
        <v>1</v>
      </c>
      <c r="R62">
        <v>2026</v>
      </c>
      <c r="S62" t="s">
        <v>6099</v>
      </c>
      <c r="T62">
        <v>1</v>
      </c>
      <c r="U62" t="s">
        <v>6020</v>
      </c>
      <c r="V62">
        <v>1</v>
      </c>
    </row>
    <row r="63" spans="1:22" x14ac:dyDescent="0.3">
      <c r="A63" t="s">
        <v>78</v>
      </c>
      <c r="B63" s="2">
        <v>46026.479166666664</v>
      </c>
      <c r="C63" s="2">
        <v>46026.675000000003</v>
      </c>
      <c r="D63" t="s">
        <v>6023</v>
      </c>
      <c r="E63" t="s">
        <v>6029</v>
      </c>
      <c r="F63" t="s">
        <v>6034</v>
      </c>
      <c r="G63" t="s">
        <v>6042</v>
      </c>
      <c r="H63" t="s">
        <v>6098</v>
      </c>
      <c r="I63">
        <v>24</v>
      </c>
      <c r="J63">
        <v>4.7</v>
      </c>
      <c r="K63" t="s">
        <v>6100</v>
      </c>
      <c r="L63" t="s">
        <v>6100</v>
      </c>
      <c r="M63" t="s">
        <v>6099</v>
      </c>
      <c r="O63" t="s">
        <v>6101</v>
      </c>
      <c r="P63" t="s">
        <v>6107</v>
      </c>
      <c r="Q63">
        <v>1</v>
      </c>
      <c r="R63">
        <v>2026</v>
      </c>
      <c r="S63" t="s">
        <v>6099</v>
      </c>
      <c r="T63">
        <v>1</v>
      </c>
      <c r="U63" t="s">
        <v>6018</v>
      </c>
      <c r="V63">
        <v>0</v>
      </c>
    </row>
    <row r="64" spans="1:22" x14ac:dyDescent="0.3">
      <c r="A64" t="s">
        <v>79</v>
      </c>
      <c r="B64" s="2">
        <v>46026.531944444447</v>
      </c>
      <c r="C64" s="2">
        <v>46027.231944444444</v>
      </c>
      <c r="D64" t="s">
        <v>6022</v>
      </c>
      <c r="E64" t="s">
        <v>6029</v>
      </c>
      <c r="F64" t="s">
        <v>6034</v>
      </c>
      <c r="G64" t="s">
        <v>6060</v>
      </c>
      <c r="H64" t="s">
        <v>6097</v>
      </c>
      <c r="I64">
        <v>24</v>
      </c>
      <c r="J64">
        <v>16.8</v>
      </c>
      <c r="K64" t="s">
        <v>6099</v>
      </c>
      <c r="L64" t="s">
        <v>6100</v>
      </c>
      <c r="M64" t="s">
        <v>6100</v>
      </c>
      <c r="N64">
        <v>5</v>
      </c>
      <c r="O64" t="s">
        <v>6101</v>
      </c>
      <c r="P64" t="s">
        <v>6107</v>
      </c>
      <c r="Q64">
        <v>1</v>
      </c>
      <c r="R64">
        <v>2026</v>
      </c>
      <c r="S64" t="s">
        <v>6099</v>
      </c>
      <c r="T64">
        <v>1</v>
      </c>
      <c r="U64" t="s">
        <v>6018</v>
      </c>
      <c r="V64">
        <v>1</v>
      </c>
    </row>
    <row r="65" spans="1:22" x14ac:dyDescent="0.3">
      <c r="A65" t="s">
        <v>80</v>
      </c>
      <c r="B65" s="2">
        <v>46026.5625</v>
      </c>
      <c r="C65" s="2">
        <v>46027.337500000001</v>
      </c>
      <c r="D65" t="s">
        <v>6024</v>
      </c>
      <c r="E65" t="s">
        <v>6030</v>
      </c>
      <c r="F65" t="s">
        <v>6034</v>
      </c>
      <c r="G65" t="s">
        <v>6067</v>
      </c>
      <c r="H65" t="s">
        <v>6098</v>
      </c>
      <c r="I65">
        <v>24</v>
      </c>
      <c r="J65">
        <v>18.600000000000001</v>
      </c>
      <c r="K65" t="s">
        <v>6099</v>
      </c>
      <c r="L65" t="s">
        <v>6100</v>
      </c>
      <c r="M65" t="s">
        <v>6100</v>
      </c>
      <c r="O65" t="s">
        <v>6101</v>
      </c>
      <c r="P65" t="s">
        <v>6107</v>
      </c>
      <c r="Q65">
        <v>1</v>
      </c>
      <c r="R65">
        <v>2026</v>
      </c>
      <c r="S65" t="s">
        <v>6099</v>
      </c>
      <c r="T65">
        <v>1</v>
      </c>
      <c r="U65" t="s">
        <v>6017</v>
      </c>
      <c r="V65">
        <v>1</v>
      </c>
    </row>
    <row r="66" spans="1:22" x14ac:dyDescent="0.3">
      <c r="A66" t="s">
        <v>81</v>
      </c>
      <c r="B66" s="2">
        <v>46026.563194444447</v>
      </c>
      <c r="C66" s="2">
        <v>46027.97152777778</v>
      </c>
      <c r="D66" t="s">
        <v>6024</v>
      </c>
      <c r="E66" t="s">
        <v>6032</v>
      </c>
      <c r="F66" t="s">
        <v>6033</v>
      </c>
      <c r="G66" t="s">
        <v>6061</v>
      </c>
      <c r="H66" t="s">
        <v>6096</v>
      </c>
      <c r="I66">
        <v>72</v>
      </c>
      <c r="J66">
        <v>33.799999999999997</v>
      </c>
      <c r="K66" t="s">
        <v>6099</v>
      </c>
      <c r="L66" t="s">
        <v>6100</v>
      </c>
      <c r="M66" t="s">
        <v>6100</v>
      </c>
      <c r="N66">
        <v>4</v>
      </c>
      <c r="O66" t="s">
        <v>6101</v>
      </c>
      <c r="P66" t="s">
        <v>6107</v>
      </c>
      <c r="Q66">
        <v>1</v>
      </c>
      <c r="R66">
        <v>2026</v>
      </c>
      <c r="S66" t="s">
        <v>6099</v>
      </c>
      <c r="T66">
        <v>1</v>
      </c>
      <c r="U66" t="s">
        <v>6020</v>
      </c>
      <c r="V66">
        <v>1</v>
      </c>
    </row>
    <row r="67" spans="1:22" x14ac:dyDescent="0.3">
      <c r="A67" t="s">
        <v>82</v>
      </c>
      <c r="B67" s="2">
        <v>46026.568055555559</v>
      </c>
      <c r="C67" s="2">
        <v>46026.772222222222</v>
      </c>
      <c r="D67" t="s">
        <v>6024</v>
      </c>
      <c r="E67" t="s">
        <v>6030</v>
      </c>
      <c r="F67" t="s">
        <v>6033</v>
      </c>
      <c r="G67" t="s">
        <v>6053</v>
      </c>
      <c r="H67" t="s">
        <v>6097</v>
      </c>
      <c r="I67">
        <v>72</v>
      </c>
      <c r="J67">
        <v>4.9000000000000004</v>
      </c>
      <c r="K67" t="s">
        <v>6099</v>
      </c>
      <c r="L67" t="s">
        <v>6100</v>
      </c>
      <c r="M67" t="s">
        <v>6100</v>
      </c>
      <c r="N67">
        <v>5</v>
      </c>
      <c r="O67" t="s">
        <v>6101</v>
      </c>
      <c r="P67" t="s">
        <v>6107</v>
      </c>
      <c r="Q67">
        <v>1</v>
      </c>
      <c r="R67">
        <v>2026</v>
      </c>
      <c r="S67" t="s">
        <v>6099</v>
      </c>
      <c r="T67">
        <v>1</v>
      </c>
      <c r="U67" t="s">
        <v>6020</v>
      </c>
      <c r="V67">
        <v>1</v>
      </c>
    </row>
    <row r="68" spans="1:22" x14ac:dyDescent="0.3">
      <c r="A68" t="s">
        <v>83</v>
      </c>
      <c r="B68" s="2">
        <v>46026.590277777781</v>
      </c>
      <c r="C68" s="2">
        <v>46029.302777777775</v>
      </c>
      <c r="D68" t="s">
        <v>6025</v>
      </c>
      <c r="E68" t="s">
        <v>6031</v>
      </c>
      <c r="F68" t="s">
        <v>6034</v>
      </c>
      <c r="G68" t="s">
        <v>6072</v>
      </c>
      <c r="H68" t="s">
        <v>6097</v>
      </c>
      <c r="I68">
        <v>24</v>
      </c>
      <c r="J68">
        <v>65.099999999999994</v>
      </c>
      <c r="K68" t="s">
        <v>6099</v>
      </c>
      <c r="L68" t="s">
        <v>6100</v>
      </c>
      <c r="M68" t="s">
        <v>6100</v>
      </c>
      <c r="N68">
        <v>4</v>
      </c>
      <c r="O68" t="s">
        <v>6101</v>
      </c>
      <c r="P68" t="s">
        <v>6107</v>
      </c>
      <c r="Q68">
        <v>1</v>
      </c>
      <c r="R68">
        <v>2026</v>
      </c>
      <c r="S68" t="s">
        <v>6100</v>
      </c>
      <c r="T68">
        <v>0</v>
      </c>
      <c r="U68" t="s">
        <v>6020</v>
      </c>
      <c r="V68">
        <v>1</v>
      </c>
    </row>
    <row r="69" spans="1:22" x14ac:dyDescent="0.3">
      <c r="A69" t="s">
        <v>84</v>
      </c>
      <c r="B69" s="2">
        <v>46026.617361111108</v>
      </c>
      <c r="C69" s="2">
        <v>46033.092361111114</v>
      </c>
      <c r="D69" t="s">
        <v>6026</v>
      </c>
      <c r="E69" t="s">
        <v>6031</v>
      </c>
      <c r="F69" t="s">
        <v>6033</v>
      </c>
      <c r="G69" t="s">
        <v>6073</v>
      </c>
      <c r="H69" t="s">
        <v>6096</v>
      </c>
      <c r="I69">
        <v>72</v>
      </c>
      <c r="J69">
        <v>155.4</v>
      </c>
      <c r="K69" t="s">
        <v>6099</v>
      </c>
      <c r="L69" t="s">
        <v>6100</v>
      </c>
      <c r="M69" t="s">
        <v>6100</v>
      </c>
      <c r="N69">
        <v>4</v>
      </c>
      <c r="O69" t="s">
        <v>6101</v>
      </c>
      <c r="P69" t="s">
        <v>6107</v>
      </c>
      <c r="Q69">
        <v>1</v>
      </c>
      <c r="R69">
        <v>2026</v>
      </c>
      <c r="S69" t="s">
        <v>6100</v>
      </c>
      <c r="T69">
        <v>0</v>
      </c>
      <c r="U69" t="s">
        <v>6019</v>
      </c>
      <c r="V69">
        <v>1</v>
      </c>
    </row>
    <row r="70" spans="1:22" x14ac:dyDescent="0.3">
      <c r="A70" t="s">
        <v>85</v>
      </c>
      <c r="B70" s="2">
        <v>46026.627083333333</v>
      </c>
      <c r="C70" s="2">
        <v>46027.210416666669</v>
      </c>
      <c r="D70" t="s">
        <v>6027</v>
      </c>
      <c r="E70" t="s">
        <v>6030</v>
      </c>
      <c r="F70" t="s">
        <v>6034</v>
      </c>
      <c r="G70" t="s">
        <v>6052</v>
      </c>
      <c r="H70" t="s">
        <v>6098</v>
      </c>
      <c r="I70">
        <v>24</v>
      </c>
      <c r="J70">
        <v>14</v>
      </c>
      <c r="K70" t="s">
        <v>6100</v>
      </c>
      <c r="L70" t="s">
        <v>6099</v>
      </c>
      <c r="M70" t="s">
        <v>6100</v>
      </c>
      <c r="O70" t="s">
        <v>6101</v>
      </c>
      <c r="P70" t="s">
        <v>6107</v>
      </c>
      <c r="Q70">
        <v>1</v>
      </c>
      <c r="R70">
        <v>2026</v>
      </c>
      <c r="S70" t="s">
        <v>6099</v>
      </c>
      <c r="T70">
        <v>1</v>
      </c>
      <c r="U70" t="s">
        <v>6021</v>
      </c>
      <c r="V70">
        <v>0</v>
      </c>
    </row>
    <row r="71" spans="1:22" x14ac:dyDescent="0.3">
      <c r="A71" t="s">
        <v>86</v>
      </c>
      <c r="B71" s="2">
        <v>46026.665972222225</v>
      </c>
      <c r="C71" s="2">
        <v>46027.020138888889</v>
      </c>
      <c r="D71" t="s">
        <v>6027</v>
      </c>
      <c r="E71" t="s">
        <v>6029</v>
      </c>
      <c r="F71" t="s">
        <v>6034</v>
      </c>
      <c r="G71" t="s">
        <v>6052</v>
      </c>
      <c r="H71" t="s">
        <v>6098</v>
      </c>
      <c r="I71">
        <v>24</v>
      </c>
      <c r="J71">
        <v>8.5</v>
      </c>
      <c r="K71" t="s">
        <v>6100</v>
      </c>
      <c r="L71" t="s">
        <v>6100</v>
      </c>
      <c r="M71" t="s">
        <v>6100</v>
      </c>
      <c r="O71" t="s">
        <v>6101</v>
      </c>
      <c r="P71" t="s">
        <v>6107</v>
      </c>
      <c r="Q71">
        <v>1</v>
      </c>
      <c r="R71">
        <v>2026</v>
      </c>
      <c r="S71" t="s">
        <v>6099</v>
      </c>
      <c r="T71">
        <v>1</v>
      </c>
      <c r="U71" t="s">
        <v>6019</v>
      </c>
      <c r="V71">
        <v>0</v>
      </c>
    </row>
    <row r="72" spans="1:22" x14ac:dyDescent="0.3">
      <c r="A72" t="s">
        <v>87</v>
      </c>
      <c r="B72" s="2">
        <v>46026.770138888889</v>
      </c>
      <c r="C72" s="2">
        <v>46026.949305555558</v>
      </c>
      <c r="D72" t="s">
        <v>6023</v>
      </c>
      <c r="E72" t="s">
        <v>6029</v>
      </c>
      <c r="F72" t="s">
        <v>6034</v>
      </c>
      <c r="G72" t="s">
        <v>6043</v>
      </c>
      <c r="H72" t="s">
        <v>6097</v>
      </c>
      <c r="I72">
        <v>24</v>
      </c>
      <c r="J72">
        <v>4.3</v>
      </c>
      <c r="K72" t="s">
        <v>6100</v>
      </c>
      <c r="L72" t="s">
        <v>6099</v>
      </c>
      <c r="M72" t="s">
        <v>6100</v>
      </c>
      <c r="O72" t="s">
        <v>6101</v>
      </c>
      <c r="P72" t="s">
        <v>6107</v>
      </c>
      <c r="Q72">
        <v>1</v>
      </c>
      <c r="R72">
        <v>2026</v>
      </c>
      <c r="S72" t="s">
        <v>6099</v>
      </c>
      <c r="T72">
        <v>1</v>
      </c>
      <c r="U72" t="s">
        <v>6018</v>
      </c>
      <c r="V72">
        <v>0</v>
      </c>
    </row>
    <row r="73" spans="1:22" x14ac:dyDescent="0.3">
      <c r="A73" t="s">
        <v>88</v>
      </c>
      <c r="B73" s="2">
        <v>46026.777777777781</v>
      </c>
      <c r="C73" s="2">
        <v>46026.906944444447</v>
      </c>
      <c r="D73" t="s">
        <v>6028</v>
      </c>
      <c r="E73" t="s">
        <v>6029</v>
      </c>
      <c r="F73" t="s">
        <v>6035</v>
      </c>
      <c r="G73" t="s">
        <v>6074</v>
      </c>
      <c r="H73" t="s">
        <v>6098</v>
      </c>
      <c r="I73">
        <v>4</v>
      </c>
      <c r="J73">
        <v>3.1</v>
      </c>
      <c r="K73" t="s">
        <v>6099</v>
      </c>
      <c r="L73" t="s">
        <v>6100</v>
      </c>
      <c r="M73" t="s">
        <v>6099</v>
      </c>
      <c r="O73" t="s">
        <v>6101</v>
      </c>
      <c r="P73" t="s">
        <v>6107</v>
      </c>
      <c r="Q73">
        <v>1</v>
      </c>
      <c r="R73">
        <v>2026</v>
      </c>
      <c r="S73" t="s">
        <v>6099</v>
      </c>
      <c r="T73">
        <v>1</v>
      </c>
      <c r="U73" t="s">
        <v>6021</v>
      </c>
      <c r="V73">
        <v>1</v>
      </c>
    </row>
    <row r="74" spans="1:22" x14ac:dyDescent="0.3">
      <c r="A74" t="s">
        <v>89</v>
      </c>
      <c r="B74" s="2">
        <v>46026.8125</v>
      </c>
      <c r="C74" s="2">
        <v>46027.741666666669</v>
      </c>
      <c r="D74" t="s">
        <v>6025</v>
      </c>
      <c r="E74" t="s">
        <v>6031</v>
      </c>
      <c r="F74" t="s">
        <v>6034</v>
      </c>
      <c r="G74" t="s">
        <v>6075</v>
      </c>
      <c r="H74" t="s">
        <v>6097</v>
      </c>
      <c r="I74">
        <v>24</v>
      </c>
      <c r="J74">
        <v>22.3</v>
      </c>
      <c r="K74" t="s">
        <v>6099</v>
      </c>
      <c r="L74" t="s">
        <v>6100</v>
      </c>
      <c r="M74" t="s">
        <v>6100</v>
      </c>
      <c r="N74">
        <v>5</v>
      </c>
      <c r="O74" t="s">
        <v>6101</v>
      </c>
      <c r="P74" t="s">
        <v>6107</v>
      </c>
      <c r="Q74">
        <v>1</v>
      </c>
      <c r="R74">
        <v>2026</v>
      </c>
      <c r="S74" t="s">
        <v>6099</v>
      </c>
      <c r="T74">
        <v>1</v>
      </c>
      <c r="U74" t="s">
        <v>6018</v>
      </c>
      <c r="V74">
        <v>1</v>
      </c>
    </row>
    <row r="75" spans="1:22" x14ac:dyDescent="0.3">
      <c r="A75" t="s">
        <v>90</v>
      </c>
      <c r="B75" s="2">
        <v>46026.863888888889</v>
      </c>
      <c r="C75" s="2">
        <v>46027.038888888892</v>
      </c>
      <c r="D75" t="s">
        <v>6024</v>
      </c>
      <c r="E75" t="s">
        <v>6030</v>
      </c>
      <c r="F75" t="s">
        <v>6033</v>
      </c>
      <c r="G75" t="s">
        <v>6076</v>
      </c>
      <c r="H75" t="s">
        <v>6097</v>
      </c>
      <c r="I75">
        <v>72</v>
      </c>
      <c r="J75">
        <v>4.2</v>
      </c>
      <c r="K75" t="s">
        <v>6099</v>
      </c>
      <c r="L75" t="s">
        <v>6100</v>
      </c>
      <c r="M75" t="s">
        <v>6100</v>
      </c>
      <c r="O75" t="s">
        <v>6101</v>
      </c>
      <c r="P75" t="s">
        <v>6107</v>
      </c>
      <c r="Q75">
        <v>1</v>
      </c>
      <c r="R75">
        <v>2026</v>
      </c>
      <c r="S75" t="s">
        <v>6099</v>
      </c>
      <c r="T75">
        <v>1</v>
      </c>
      <c r="U75" t="s">
        <v>6018</v>
      </c>
      <c r="V75">
        <v>1</v>
      </c>
    </row>
    <row r="76" spans="1:22" x14ac:dyDescent="0.3">
      <c r="A76" t="s">
        <v>91</v>
      </c>
      <c r="B76" s="2">
        <v>46026.892361111109</v>
      </c>
      <c r="C76" s="2">
        <v>46027.125694444447</v>
      </c>
      <c r="D76" t="s">
        <v>6023</v>
      </c>
      <c r="E76" t="s">
        <v>6030</v>
      </c>
      <c r="F76" t="s">
        <v>6033</v>
      </c>
      <c r="G76" t="s">
        <v>6062</v>
      </c>
      <c r="H76" t="s">
        <v>6096</v>
      </c>
      <c r="I76">
        <v>72</v>
      </c>
      <c r="J76">
        <v>5.6</v>
      </c>
      <c r="K76" t="s">
        <v>6099</v>
      </c>
      <c r="L76" t="s">
        <v>6100</v>
      </c>
      <c r="M76" t="s">
        <v>6100</v>
      </c>
      <c r="N76">
        <v>3</v>
      </c>
      <c r="O76" t="s">
        <v>6101</v>
      </c>
      <c r="P76" t="s">
        <v>6107</v>
      </c>
      <c r="Q76">
        <v>1</v>
      </c>
      <c r="R76">
        <v>2026</v>
      </c>
      <c r="S76" t="s">
        <v>6099</v>
      </c>
      <c r="T76">
        <v>1</v>
      </c>
      <c r="U76" t="s">
        <v>6021</v>
      </c>
      <c r="V76">
        <v>1</v>
      </c>
    </row>
    <row r="77" spans="1:22" x14ac:dyDescent="0.3">
      <c r="A77" t="s">
        <v>92</v>
      </c>
      <c r="B77" s="2">
        <v>46027.280555555553</v>
      </c>
      <c r="C77" s="2">
        <v>46027.588888888888</v>
      </c>
      <c r="D77" t="s">
        <v>6028</v>
      </c>
      <c r="E77" t="s">
        <v>6029</v>
      </c>
      <c r="F77" t="s">
        <v>6035</v>
      </c>
      <c r="G77" t="s">
        <v>6077</v>
      </c>
      <c r="H77" t="s">
        <v>6098</v>
      </c>
      <c r="I77">
        <v>4</v>
      </c>
      <c r="J77">
        <v>7.4</v>
      </c>
      <c r="K77" t="s">
        <v>6100</v>
      </c>
      <c r="L77" t="s">
        <v>6100</v>
      </c>
      <c r="M77" t="s">
        <v>6100</v>
      </c>
      <c r="O77" t="s">
        <v>6101</v>
      </c>
      <c r="P77" t="s">
        <v>6107</v>
      </c>
      <c r="Q77">
        <v>1</v>
      </c>
      <c r="R77">
        <v>2026</v>
      </c>
      <c r="S77" t="s">
        <v>6100</v>
      </c>
      <c r="T77">
        <v>0</v>
      </c>
      <c r="U77" t="s">
        <v>6019</v>
      </c>
      <c r="V77">
        <v>0</v>
      </c>
    </row>
    <row r="78" spans="1:22" x14ac:dyDescent="0.3">
      <c r="A78" t="s">
        <v>93</v>
      </c>
      <c r="B78" s="2">
        <v>46027.296527777777</v>
      </c>
      <c r="C78" s="2">
        <v>46027.617361111108</v>
      </c>
      <c r="D78" t="s">
        <v>6028</v>
      </c>
      <c r="E78" t="s">
        <v>6029</v>
      </c>
      <c r="F78" t="s">
        <v>6034</v>
      </c>
      <c r="G78" t="s">
        <v>6078</v>
      </c>
      <c r="H78" t="s">
        <v>6097</v>
      </c>
      <c r="I78">
        <v>24</v>
      </c>
      <c r="J78">
        <v>7.7</v>
      </c>
      <c r="K78" t="s">
        <v>6099</v>
      </c>
      <c r="L78" t="s">
        <v>6100</v>
      </c>
      <c r="M78" t="s">
        <v>6100</v>
      </c>
      <c r="N78">
        <v>4</v>
      </c>
      <c r="O78" t="s">
        <v>6101</v>
      </c>
      <c r="P78" t="s">
        <v>6107</v>
      </c>
      <c r="Q78">
        <v>1</v>
      </c>
      <c r="R78">
        <v>2026</v>
      </c>
      <c r="S78" t="s">
        <v>6099</v>
      </c>
      <c r="T78">
        <v>1</v>
      </c>
      <c r="U78" t="s">
        <v>6021</v>
      </c>
      <c r="V78">
        <v>1</v>
      </c>
    </row>
    <row r="79" spans="1:22" x14ac:dyDescent="0.3">
      <c r="A79" t="s">
        <v>94</v>
      </c>
      <c r="B79" s="2">
        <v>46027.320138888892</v>
      </c>
      <c r="C79" s="2">
        <v>46028.186805555553</v>
      </c>
      <c r="D79" t="s">
        <v>6022</v>
      </c>
      <c r="E79" t="s">
        <v>6032</v>
      </c>
      <c r="F79" t="s">
        <v>6033</v>
      </c>
      <c r="G79" t="s">
        <v>6079</v>
      </c>
      <c r="H79" t="s">
        <v>6097</v>
      </c>
      <c r="I79">
        <v>72</v>
      </c>
      <c r="J79">
        <v>20.8</v>
      </c>
      <c r="K79" t="s">
        <v>6099</v>
      </c>
      <c r="L79" t="s">
        <v>6100</v>
      </c>
      <c r="M79" t="s">
        <v>6100</v>
      </c>
      <c r="O79" t="s">
        <v>6101</v>
      </c>
      <c r="P79" t="s">
        <v>6107</v>
      </c>
      <c r="Q79">
        <v>1</v>
      </c>
      <c r="R79">
        <v>2026</v>
      </c>
      <c r="S79" t="s">
        <v>6099</v>
      </c>
      <c r="T79">
        <v>1</v>
      </c>
      <c r="U79" t="s">
        <v>6018</v>
      </c>
      <c r="V79">
        <v>1</v>
      </c>
    </row>
    <row r="80" spans="1:22" x14ac:dyDescent="0.3">
      <c r="A80" t="s">
        <v>95</v>
      </c>
      <c r="B80" s="2">
        <v>46027.459027777775</v>
      </c>
      <c r="C80" s="2">
        <v>46029.550694444442</v>
      </c>
      <c r="D80" t="s">
        <v>6022</v>
      </c>
      <c r="E80" t="s">
        <v>6032</v>
      </c>
      <c r="F80" t="s">
        <v>6033</v>
      </c>
      <c r="G80" t="s">
        <v>6052</v>
      </c>
      <c r="H80" t="s">
        <v>6098</v>
      </c>
      <c r="I80">
        <v>72</v>
      </c>
      <c r="J80">
        <v>50.2</v>
      </c>
      <c r="K80" t="s">
        <v>6099</v>
      </c>
      <c r="L80" t="s">
        <v>6100</v>
      </c>
      <c r="M80" t="s">
        <v>6100</v>
      </c>
      <c r="N80">
        <v>4</v>
      </c>
      <c r="O80" t="s">
        <v>6101</v>
      </c>
      <c r="P80" t="s">
        <v>6107</v>
      </c>
      <c r="Q80">
        <v>1</v>
      </c>
      <c r="R80">
        <v>2026</v>
      </c>
      <c r="S80" t="s">
        <v>6099</v>
      </c>
      <c r="T80">
        <v>1</v>
      </c>
      <c r="U80" t="s">
        <v>6018</v>
      </c>
      <c r="V80">
        <v>1</v>
      </c>
    </row>
    <row r="81" spans="1:22" x14ac:dyDescent="0.3">
      <c r="A81" t="s">
        <v>96</v>
      </c>
      <c r="B81" s="2">
        <v>46027.459722222222</v>
      </c>
      <c r="C81" s="2">
        <v>46027.984722222223</v>
      </c>
      <c r="D81" t="s">
        <v>6022</v>
      </c>
      <c r="E81" t="s">
        <v>6030</v>
      </c>
      <c r="F81" t="s">
        <v>6035</v>
      </c>
      <c r="G81" t="s">
        <v>6066</v>
      </c>
      <c r="H81" t="s">
        <v>6096</v>
      </c>
      <c r="I81">
        <v>4</v>
      </c>
      <c r="J81">
        <v>12.6</v>
      </c>
      <c r="K81" t="s">
        <v>6100</v>
      </c>
      <c r="L81" t="s">
        <v>6100</v>
      </c>
      <c r="M81" t="s">
        <v>6100</v>
      </c>
      <c r="O81" t="s">
        <v>6101</v>
      </c>
      <c r="P81" t="s">
        <v>6107</v>
      </c>
      <c r="Q81">
        <v>1</v>
      </c>
      <c r="R81">
        <v>2026</v>
      </c>
      <c r="S81" t="s">
        <v>6100</v>
      </c>
      <c r="T81">
        <v>0</v>
      </c>
      <c r="U81" t="s">
        <v>6017</v>
      </c>
      <c r="V81">
        <v>0</v>
      </c>
    </row>
    <row r="82" spans="1:22" x14ac:dyDescent="0.3">
      <c r="A82" t="s">
        <v>97</v>
      </c>
      <c r="B82" s="2">
        <v>46027.609027777777</v>
      </c>
      <c r="C82" s="2">
        <v>46028.363194444442</v>
      </c>
      <c r="D82" t="s">
        <v>6028</v>
      </c>
      <c r="E82" t="s">
        <v>6031</v>
      </c>
      <c r="F82" t="s">
        <v>6035</v>
      </c>
      <c r="G82" t="s">
        <v>6076</v>
      </c>
      <c r="H82" t="s">
        <v>6097</v>
      </c>
      <c r="I82">
        <v>4</v>
      </c>
      <c r="J82">
        <v>18.100000000000001</v>
      </c>
      <c r="K82" t="s">
        <v>6100</v>
      </c>
      <c r="L82" t="s">
        <v>6100</v>
      </c>
      <c r="M82" t="s">
        <v>6100</v>
      </c>
      <c r="O82" t="s">
        <v>6101</v>
      </c>
      <c r="P82" t="s">
        <v>6107</v>
      </c>
      <c r="Q82">
        <v>1</v>
      </c>
      <c r="R82">
        <v>2026</v>
      </c>
      <c r="S82" t="s">
        <v>6100</v>
      </c>
      <c r="T82">
        <v>0</v>
      </c>
      <c r="U82" t="s">
        <v>6017</v>
      </c>
      <c r="V82">
        <v>0</v>
      </c>
    </row>
    <row r="83" spans="1:22" x14ac:dyDescent="0.3">
      <c r="A83" t="s">
        <v>98</v>
      </c>
      <c r="B83" s="2">
        <v>46027.629861111112</v>
      </c>
      <c r="C83" s="2">
        <v>46027.729861111111</v>
      </c>
      <c r="D83" t="s">
        <v>6023</v>
      </c>
      <c r="E83" t="s">
        <v>6029</v>
      </c>
      <c r="F83" t="s">
        <v>6033</v>
      </c>
      <c r="G83" t="s">
        <v>6080</v>
      </c>
      <c r="H83" t="s">
        <v>6096</v>
      </c>
      <c r="I83">
        <v>72</v>
      </c>
      <c r="J83">
        <v>2.4</v>
      </c>
      <c r="K83" t="s">
        <v>6100</v>
      </c>
      <c r="L83" t="s">
        <v>6100</v>
      </c>
      <c r="M83" t="s">
        <v>6100</v>
      </c>
      <c r="N83">
        <v>4</v>
      </c>
      <c r="O83" t="s">
        <v>6101</v>
      </c>
      <c r="P83" t="s">
        <v>6107</v>
      </c>
      <c r="Q83">
        <v>1</v>
      </c>
      <c r="R83">
        <v>2026</v>
      </c>
      <c r="S83" t="s">
        <v>6099</v>
      </c>
      <c r="T83">
        <v>1</v>
      </c>
      <c r="U83" t="s">
        <v>6018</v>
      </c>
      <c r="V83">
        <v>0</v>
      </c>
    </row>
    <row r="84" spans="1:22" x14ac:dyDescent="0.3">
      <c r="A84" t="s">
        <v>99</v>
      </c>
      <c r="B84" s="2">
        <v>46027.634027777778</v>
      </c>
      <c r="C84" s="2">
        <v>46027.896527777775</v>
      </c>
      <c r="D84" t="s">
        <v>6023</v>
      </c>
      <c r="E84" t="s">
        <v>6030</v>
      </c>
      <c r="F84" t="s">
        <v>6033</v>
      </c>
      <c r="G84" t="s">
        <v>6081</v>
      </c>
      <c r="H84" t="s">
        <v>6098</v>
      </c>
      <c r="I84">
        <v>72</v>
      </c>
      <c r="J84">
        <v>6.3</v>
      </c>
      <c r="K84" t="s">
        <v>6100</v>
      </c>
      <c r="L84" t="s">
        <v>6099</v>
      </c>
      <c r="M84" t="s">
        <v>6100</v>
      </c>
      <c r="O84" t="s">
        <v>6101</v>
      </c>
      <c r="P84" t="s">
        <v>6107</v>
      </c>
      <c r="Q84">
        <v>1</v>
      </c>
      <c r="R84">
        <v>2026</v>
      </c>
      <c r="S84" t="s">
        <v>6099</v>
      </c>
      <c r="T84">
        <v>1</v>
      </c>
      <c r="U84" t="s">
        <v>6019</v>
      </c>
      <c r="V84">
        <v>0</v>
      </c>
    </row>
    <row r="85" spans="1:22" x14ac:dyDescent="0.3">
      <c r="A85" t="s">
        <v>100</v>
      </c>
      <c r="B85" s="2">
        <v>46027.645833333336</v>
      </c>
      <c r="C85" s="2">
        <v>46027.929166666669</v>
      </c>
      <c r="D85" t="s">
        <v>6027</v>
      </c>
      <c r="E85" t="s">
        <v>6030</v>
      </c>
      <c r="F85" t="s">
        <v>6034</v>
      </c>
      <c r="G85" t="s">
        <v>6042</v>
      </c>
      <c r="H85" t="s">
        <v>6098</v>
      </c>
      <c r="I85">
        <v>24</v>
      </c>
      <c r="J85">
        <v>6.8</v>
      </c>
      <c r="K85" t="s">
        <v>6100</v>
      </c>
      <c r="L85" t="s">
        <v>6099</v>
      </c>
      <c r="M85" t="s">
        <v>6099</v>
      </c>
      <c r="N85">
        <v>3</v>
      </c>
      <c r="O85" t="s">
        <v>6101</v>
      </c>
      <c r="P85" t="s">
        <v>6107</v>
      </c>
      <c r="Q85">
        <v>1</v>
      </c>
      <c r="R85">
        <v>2026</v>
      </c>
      <c r="S85" t="s">
        <v>6099</v>
      </c>
      <c r="T85">
        <v>1</v>
      </c>
      <c r="U85" t="s">
        <v>6020</v>
      </c>
      <c r="V85">
        <v>0</v>
      </c>
    </row>
    <row r="86" spans="1:22" x14ac:dyDescent="0.3">
      <c r="A86" t="s">
        <v>101</v>
      </c>
      <c r="B86" s="2">
        <v>46027.652083333334</v>
      </c>
      <c r="C86" s="2">
        <v>46027.947916666664</v>
      </c>
      <c r="D86" t="s">
        <v>6028</v>
      </c>
      <c r="E86" t="s">
        <v>6029</v>
      </c>
      <c r="F86" t="s">
        <v>6034</v>
      </c>
      <c r="G86" t="s">
        <v>6039</v>
      </c>
      <c r="H86" t="s">
        <v>6097</v>
      </c>
      <c r="I86">
        <v>24</v>
      </c>
      <c r="J86">
        <v>7.1</v>
      </c>
      <c r="K86" t="s">
        <v>6100</v>
      </c>
      <c r="L86" t="s">
        <v>6099</v>
      </c>
      <c r="M86" t="s">
        <v>6099</v>
      </c>
      <c r="N86">
        <v>3</v>
      </c>
      <c r="O86" t="s">
        <v>6101</v>
      </c>
      <c r="P86" t="s">
        <v>6107</v>
      </c>
      <c r="Q86">
        <v>1</v>
      </c>
      <c r="R86">
        <v>2026</v>
      </c>
      <c r="S86" t="s">
        <v>6099</v>
      </c>
      <c r="T86">
        <v>1</v>
      </c>
      <c r="U86" t="s">
        <v>6020</v>
      </c>
      <c r="V86">
        <v>0</v>
      </c>
    </row>
    <row r="87" spans="1:22" x14ac:dyDescent="0.3">
      <c r="A87" t="s">
        <v>102</v>
      </c>
      <c r="B87" s="2">
        <v>46027.670138888891</v>
      </c>
      <c r="C87" s="2">
        <v>46027.974305555559</v>
      </c>
      <c r="D87" t="s">
        <v>6023</v>
      </c>
      <c r="E87" t="s">
        <v>6029</v>
      </c>
      <c r="F87" t="s">
        <v>6035</v>
      </c>
      <c r="G87" t="s">
        <v>6042</v>
      </c>
      <c r="H87" t="s">
        <v>6098</v>
      </c>
      <c r="I87">
        <v>4</v>
      </c>
      <c r="J87">
        <v>7.3</v>
      </c>
      <c r="K87" t="s">
        <v>6100</v>
      </c>
      <c r="L87" t="s">
        <v>6099</v>
      </c>
      <c r="M87" t="s">
        <v>6099</v>
      </c>
      <c r="N87">
        <v>2</v>
      </c>
      <c r="O87" t="s">
        <v>6101</v>
      </c>
      <c r="P87" t="s">
        <v>6107</v>
      </c>
      <c r="Q87">
        <v>1</v>
      </c>
      <c r="R87">
        <v>2026</v>
      </c>
      <c r="S87" t="s">
        <v>6100</v>
      </c>
      <c r="T87">
        <v>0</v>
      </c>
      <c r="U87" t="s">
        <v>6017</v>
      </c>
      <c r="V87">
        <v>0</v>
      </c>
    </row>
    <row r="88" spans="1:22" x14ac:dyDescent="0.3">
      <c r="A88" t="s">
        <v>103</v>
      </c>
      <c r="B88" s="2">
        <v>46027.720833333333</v>
      </c>
      <c r="C88" s="2">
        <v>46028.895833333336</v>
      </c>
      <c r="D88" t="s">
        <v>6023</v>
      </c>
      <c r="E88" t="s">
        <v>6032</v>
      </c>
      <c r="F88" t="s">
        <v>6033</v>
      </c>
      <c r="G88" t="s">
        <v>6049</v>
      </c>
      <c r="H88" t="s">
        <v>6097</v>
      </c>
      <c r="I88">
        <v>72</v>
      </c>
      <c r="J88">
        <v>28.2</v>
      </c>
      <c r="K88" t="s">
        <v>6099</v>
      </c>
      <c r="L88" t="s">
        <v>6100</v>
      </c>
      <c r="M88" t="s">
        <v>6100</v>
      </c>
      <c r="N88">
        <v>5</v>
      </c>
      <c r="O88" t="s">
        <v>6101</v>
      </c>
      <c r="P88" t="s">
        <v>6107</v>
      </c>
      <c r="Q88">
        <v>1</v>
      </c>
      <c r="R88">
        <v>2026</v>
      </c>
      <c r="S88" t="s">
        <v>6099</v>
      </c>
      <c r="T88">
        <v>1</v>
      </c>
      <c r="U88" t="s">
        <v>6021</v>
      </c>
      <c r="V88">
        <v>1</v>
      </c>
    </row>
    <row r="89" spans="1:22" x14ac:dyDescent="0.3">
      <c r="A89" t="s">
        <v>104</v>
      </c>
      <c r="B89" s="2">
        <v>46027.730555555558</v>
      </c>
      <c r="C89" s="2">
        <v>46027.847222222219</v>
      </c>
      <c r="D89" t="s">
        <v>6024</v>
      </c>
      <c r="E89" t="s">
        <v>6030</v>
      </c>
      <c r="F89" t="s">
        <v>6033</v>
      </c>
      <c r="G89" t="s">
        <v>6044</v>
      </c>
      <c r="H89" t="s">
        <v>6097</v>
      </c>
      <c r="I89">
        <v>72</v>
      </c>
      <c r="J89">
        <v>2.8</v>
      </c>
      <c r="K89" t="s">
        <v>6100</v>
      </c>
      <c r="L89" t="s">
        <v>6100</v>
      </c>
      <c r="M89" t="s">
        <v>6100</v>
      </c>
      <c r="N89">
        <v>4</v>
      </c>
      <c r="O89" t="s">
        <v>6101</v>
      </c>
      <c r="P89" t="s">
        <v>6107</v>
      </c>
      <c r="Q89">
        <v>1</v>
      </c>
      <c r="R89">
        <v>2026</v>
      </c>
      <c r="S89" t="s">
        <v>6099</v>
      </c>
      <c r="T89">
        <v>1</v>
      </c>
      <c r="U89" t="s">
        <v>6018</v>
      </c>
      <c r="V89">
        <v>0</v>
      </c>
    </row>
    <row r="90" spans="1:22" x14ac:dyDescent="0.3">
      <c r="A90" t="s">
        <v>105</v>
      </c>
      <c r="B90" s="2">
        <v>46027.740972222222</v>
      </c>
      <c r="C90" s="2">
        <v>46028.486805555556</v>
      </c>
      <c r="D90" t="s">
        <v>6027</v>
      </c>
      <c r="E90" t="s">
        <v>6029</v>
      </c>
      <c r="F90" t="s">
        <v>6034</v>
      </c>
      <c r="G90" t="s">
        <v>6076</v>
      </c>
      <c r="H90" t="s">
        <v>6097</v>
      </c>
      <c r="I90">
        <v>24</v>
      </c>
      <c r="J90">
        <v>17.899999999999999</v>
      </c>
      <c r="K90" t="s">
        <v>6099</v>
      </c>
      <c r="L90" t="s">
        <v>6100</v>
      </c>
      <c r="M90" t="s">
        <v>6100</v>
      </c>
      <c r="N90">
        <v>5</v>
      </c>
      <c r="O90" t="s">
        <v>6101</v>
      </c>
      <c r="P90" t="s">
        <v>6107</v>
      </c>
      <c r="Q90">
        <v>1</v>
      </c>
      <c r="R90">
        <v>2026</v>
      </c>
      <c r="S90" t="s">
        <v>6099</v>
      </c>
      <c r="T90">
        <v>1</v>
      </c>
      <c r="U90" t="s">
        <v>6021</v>
      </c>
      <c r="V90">
        <v>1</v>
      </c>
    </row>
    <row r="91" spans="1:22" x14ac:dyDescent="0.3">
      <c r="A91" t="s">
        <v>106</v>
      </c>
      <c r="B91" s="2">
        <v>46027.747916666667</v>
      </c>
      <c r="C91" s="2">
        <v>46027.910416666666</v>
      </c>
      <c r="D91" t="s">
        <v>6028</v>
      </c>
      <c r="E91" t="s">
        <v>6029</v>
      </c>
      <c r="F91" t="s">
        <v>6033</v>
      </c>
      <c r="G91" t="s">
        <v>6052</v>
      </c>
      <c r="H91" t="s">
        <v>6098</v>
      </c>
      <c r="I91">
        <v>72</v>
      </c>
      <c r="J91">
        <v>3.9</v>
      </c>
      <c r="K91" t="s">
        <v>6099</v>
      </c>
      <c r="L91" t="s">
        <v>6100</v>
      </c>
      <c r="M91" t="s">
        <v>6100</v>
      </c>
      <c r="N91">
        <v>4</v>
      </c>
      <c r="O91" t="s">
        <v>6101</v>
      </c>
      <c r="P91" t="s">
        <v>6107</v>
      </c>
      <c r="Q91">
        <v>1</v>
      </c>
      <c r="R91">
        <v>2026</v>
      </c>
      <c r="S91" t="s">
        <v>6099</v>
      </c>
      <c r="T91">
        <v>1</v>
      </c>
      <c r="U91" t="s">
        <v>6018</v>
      </c>
      <c r="V91">
        <v>1</v>
      </c>
    </row>
    <row r="92" spans="1:22" x14ac:dyDescent="0.3">
      <c r="A92" t="s">
        <v>107</v>
      </c>
      <c r="B92" s="2">
        <v>46027.792361111111</v>
      </c>
      <c r="C92" s="2">
        <v>46027.892361111109</v>
      </c>
      <c r="D92" t="s">
        <v>6023</v>
      </c>
      <c r="E92" t="s">
        <v>6030</v>
      </c>
      <c r="F92" t="s">
        <v>6033</v>
      </c>
      <c r="G92" t="s">
        <v>6061</v>
      </c>
      <c r="H92" t="s">
        <v>6096</v>
      </c>
      <c r="I92">
        <v>72</v>
      </c>
      <c r="J92">
        <v>2.4</v>
      </c>
      <c r="K92" t="s">
        <v>6100</v>
      </c>
      <c r="L92" t="s">
        <v>6100</v>
      </c>
      <c r="M92" t="s">
        <v>6100</v>
      </c>
      <c r="O92" t="s">
        <v>6101</v>
      </c>
      <c r="P92" t="s">
        <v>6107</v>
      </c>
      <c r="Q92">
        <v>1</v>
      </c>
      <c r="R92">
        <v>2026</v>
      </c>
      <c r="S92" t="s">
        <v>6099</v>
      </c>
      <c r="T92">
        <v>1</v>
      </c>
      <c r="U92" t="s">
        <v>6018</v>
      </c>
      <c r="V92">
        <v>0</v>
      </c>
    </row>
    <row r="93" spans="1:22" x14ac:dyDescent="0.3">
      <c r="A93" t="s">
        <v>108</v>
      </c>
      <c r="B93" s="2">
        <v>46027.799305555556</v>
      </c>
      <c r="C93" s="2">
        <v>46028.374305555553</v>
      </c>
      <c r="D93" t="s">
        <v>6022</v>
      </c>
      <c r="E93" t="s">
        <v>6031</v>
      </c>
      <c r="F93" t="s">
        <v>6033</v>
      </c>
      <c r="G93" t="s">
        <v>6082</v>
      </c>
      <c r="H93" t="s">
        <v>6097</v>
      </c>
      <c r="I93">
        <v>72</v>
      </c>
      <c r="J93">
        <v>13.8</v>
      </c>
      <c r="K93" t="s">
        <v>6099</v>
      </c>
      <c r="L93" t="s">
        <v>6100</v>
      </c>
      <c r="M93" t="s">
        <v>6100</v>
      </c>
      <c r="O93" t="s">
        <v>6101</v>
      </c>
      <c r="P93" t="s">
        <v>6107</v>
      </c>
      <c r="Q93">
        <v>1</v>
      </c>
      <c r="R93">
        <v>2026</v>
      </c>
      <c r="S93" t="s">
        <v>6099</v>
      </c>
      <c r="T93">
        <v>1</v>
      </c>
      <c r="U93" t="s">
        <v>6021</v>
      </c>
      <c r="V93">
        <v>1</v>
      </c>
    </row>
    <row r="94" spans="1:22" x14ac:dyDescent="0.3">
      <c r="A94" t="s">
        <v>109</v>
      </c>
      <c r="B94" s="2">
        <v>46027.825694444444</v>
      </c>
      <c r="C94" s="2">
        <v>46029.263194444444</v>
      </c>
      <c r="D94" t="s">
        <v>6028</v>
      </c>
      <c r="E94" t="s">
        <v>6031</v>
      </c>
      <c r="F94" t="s">
        <v>6035</v>
      </c>
      <c r="G94" t="s">
        <v>6038</v>
      </c>
      <c r="H94" t="s">
        <v>6096</v>
      </c>
      <c r="I94">
        <v>4</v>
      </c>
      <c r="J94">
        <v>34.5</v>
      </c>
      <c r="K94" t="s">
        <v>6099</v>
      </c>
      <c r="L94" t="s">
        <v>6100</v>
      </c>
      <c r="M94" t="s">
        <v>6100</v>
      </c>
      <c r="N94">
        <v>5</v>
      </c>
      <c r="O94" t="s">
        <v>6101</v>
      </c>
      <c r="P94" t="s">
        <v>6107</v>
      </c>
      <c r="Q94">
        <v>1</v>
      </c>
      <c r="R94">
        <v>2026</v>
      </c>
      <c r="S94" t="s">
        <v>6100</v>
      </c>
      <c r="T94">
        <v>0</v>
      </c>
      <c r="U94" t="s">
        <v>6019</v>
      </c>
      <c r="V94">
        <v>1</v>
      </c>
    </row>
    <row r="95" spans="1:22" x14ac:dyDescent="0.3">
      <c r="A95" t="s">
        <v>110</v>
      </c>
      <c r="B95" s="2">
        <v>46028.130555555559</v>
      </c>
      <c r="C95" s="2">
        <v>46028.909722222219</v>
      </c>
      <c r="D95" t="s">
        <v>6023</v>
      </c>
      <c r="E95" t="s">
        <v>6032</v>
      </c>
      <c r="F95" t="s">
        <v>6033</v>
      </c>
      <c r="G95" t="s">
        <v>6053</v>
      </c>
      <c r="H95" t="s">
        <v>6097</v>
      </c>
      <c r="I95">
        <v>72</v>
      </c>
      <c r="J95">
        <v>18.7</v>
      </c>
      <c r="K95" t="s">
        <v>6100</v>
      </c>
      <c r="L95" t="s">
        <v>6099</v>
      </c>
      <c r="M95" t="s">
        <v>6100</v>
      </c>
      <c r="O95" t="s">
        <v>6101</v>
      </c>
      <c r="P95" t="s">
        <v>6107</v>
      </c>
      <c r="Q95">
        <v>1</v>
      </c>
      <c r="R95">
        <v>2026</v>
      </c>
      <c r="S95" t="s">
        <v>6099</v>
      </c>
      <c r="T95">
        <v>1</v>
      </c>
      <c r="U95" t="s">
        <v>6021</v>
      </c>
      <c r="V95">
        <v>0</v>
      </c>
    </row>
    <row r="96" spans="1:22" x14ac:dyDescent="0.3">
      <c r="A96" t="s">
        <v>111</v>
      </c>
      <c r="B96" s="2">
        <v>46028.203472222223</v>
      </c>
      <c r="C96" s="2">
        <v>46028.811805555553</v>
      </c>
      <c r="D96" t="s">
        <v>6028</v>
      </c>
      <c r="E96" t="s">
        <v>6029</v>
      </c>
      <c r="F96" t="s">
        <v>6034</v>
      </c>
      <c r="G96" t="s">
        <v>6077</v>
      </c>
      <c r="H96" t="s">
        <v>6098</v>
      </c>
      <c r="I96">
        <v>24</v>
      </c>
      <c r="J96">
        <v>14.6</v>
      </c>
      <c r="K96" t="s">
        <v>6099</v>
      </c>
      <c r="L96" t="s">
        <v>6100</v>
      </c>
      <c r="M96" t="s">
        <v>6100</v>
      </c>
      <c r="N96">
        <v>5</v>
      </c>
      <c r="O96" t="s">
        <v>6101</v>
      </c>
      <c r="P96" t="s">
        <v>6107</v>
      </c>
      <c r="Q96">
        <v>1</v>
      </c>
      <c r="R96">
        <v>2026</v>
      </c>
      <c r="S96" t="s">
        <v>6099</v>
      </c>
      <c r="T96">
        <v>1</v>
      </c>
      <c r="U96" t="s">
        <v>6020</v>
      </c>
      <c r="V96">
        <v>1</v>
      </c>
    </row>
    <row r="97" spans="1:22" x14ac:dyDescent="0.3">
      <c r="A97" t="s">
        <v>112</v>
      </c>
      <c r="B97" s="2">
        <v>46028.259027777778</v>
      </c>
      <c r="C97" s="2">
        <v>46030.229861111111</v>
      </c>
      <c r="D97" t="s">
        <v>6024</v>
      </c>
      <c r="E97" t="s">
        <v>6031</v>
      </c>
      <c r="F97" t="s">
        <v>6034</v>
      </c>
      <c r="G97" t="s">
        <v>6062</v>
      </c>
      <c r="H97" t="s">
        <v>6096</v>
      </c>
      <c r="I97">
        <v>24</v>
      </c>
      <c r="J97">
        <v>47.3</v>
      </c>
      <c r="K97" t="s">
        <v>6100</v>
      </c>
      <c r="L97" t="s">
        <v>6099</v>
      </c>
      <c r="M97" t="s">
        <v>6100</v>
      </c>
      <c r="N97">
        <v>3</v>
      </c>
      <c r="O97" t="s">
        <v>6101</v>
      </c>
      <c r="P97" t="s">
        <v>6107</v>
      </c>
      <c r="Q97">
        <v>1</v>
      </c>
      <c r="R97">
        <v>2026</v>
      </c>
      <c r="S97" t="s">
        <v>6100</v>
      </c>
      <c r="T97">
        <v>0</v>
      </c>
      <c r="U97" t="s">
        <v>6018</v>
      </c>
      <c r="V97">
        <v>0</v>
      </c>
    </row>
    <row r="98" spans="1:22" x14ac:dyDescent="0.3">
      <c r="A98" t="s">
        <v>113</v>
      </c>
      <c r="B98" s="2">
        <v>46028.35</v>
      </c>
      <c r="C98" s="2">
        <v>46028.987500000003</v>
      </c>
      <c r="D98" t="s">
        <v>6028</v>
      </c>
      <c r="E98" t="s">
        <v>6032</v>
      </c>
      <c r="F98" t="s">
        <v>6035</v>
      </c>
      <c r="G98" t="s">
        <v>6043</v>
      </c>
      <c r="H98" t="s">
        <v>6097</v>
      </c>
      <c r="I98">
        <v>4</v>
      </c>
      <c r="J98">
        <v>15.3</v>
      </c>
      <c r="K98" t="s">
        <v>6099</v>
      </c>
      <c r="L98" t="s">
        <v>6100</v>
      </c>
      <c r="M98" t="s">
        <v>6100</v>
      </c>
      <c r="O98" t="s">
        <v>6101</v>
      </c>
      <c r="P98" t="s">
        <v>6107</v>
      </c>
      <c r="Q98">
        <v>1</v>
      </c>
      <c r="R98">
        <v>2026</v>
      </c>
      <c r="S98" t="s">
        <v>6100</v>
      </c>
      <c r="T98">
        <v>0</v>
      </c>
      <c r="U98" t="s">
        <v>6018</v>
      </c>
      <c r="V98">
        <v>1</v>
      </c>
    </row>
    <row r="99" spans="1:22" x14ac:dyDescent="0.3">
      <c r="A99" t="s">
        <v>114</v>
      </c>
      <c r="B99" s="2">
        <v>46028.368750000001</v>
      </c>
      <c r="C99" s="2">
        <v>46028.70208333333</v>
      </c>
      <c r="D99" t="s">
        <v>6023</v>
      </c>
      <c r="E99" t="s">
        <v>6029</v>
      </c>
      <c r="F99" t="s">
        <v>6034</v>
      </c>
      <c r="G99" t="s">
        <v>6057</v>
      </c>
      <c r="H99" t="s">
        <v>6097</v>
      </c>
      <c r="I99">
        <v>24</v>
      </c>
      <c r="J99">
        <v>8</v>
      </c>
      <c r="K99" t="s">
        <v>6100</v>
      </c>
      <c r="L99" t="s">
        <v>6099</v>
      </c>
      <c r="M99" t="s">
        <v>6100</v>
      </c>
      <c r="N99">
        <v>3</v>
      </c>
      <c r="O99" t="s">
        <v>6101</v>
      </c>
      <c r="P99" t="s">
        <v>6107</v>
      </c>
      <c r="Q99">
        <v>1</v>
      </c>
      <c r="R99">
        <v>2026</v>
      </c>
      <c r="S99" t="s">
        <v>6099</v>
      </c>
      <c r="T99">
        <v>1</v>
      </c>
      <c r="U99" t="s">
        <v>6019</v>
      </c>
      <c r="V99">
        <v>0</v>
      </c>
    </row>
    <row r="100" spans="1:22" x14ac:dyDescent="0.3">
      <c r="A100" t="s">
        <v>115</v>
      </c>
      <c r="B100" s="2">
        <v>46028.38958333333</v>
      </c>
      <c r="C100" s="2">
        <v>46028.710416666669</v>
      </c>
      <c r="D100" t="s">
        <v>6027</v>
      </c>
      <c r="E100" t="s">
        <v>6030</v>
      </c>
      <c r="F100" t="s">
        <v>6033</v>
      </c>
      <c r="G100" t="s">
        <v>6053</v>
      </c>
      <c r="H100" t="s">
        <v>6097</v>
      </c>
      <c r="I100">
        <v>72</v>
      </c>
      <c r="J100">
        <v>7.7</v>
      </c>
      <c r="K100" t="s">
        <v>6099</v>
      </c>
      <c r="L100" t="s">
        <v>6100</v>
      </c>
      <c r="M100" t="s">
        <v>6100</v>
      </c>
      <c r="N100">
        <v>5</v>
      </c>
      <c r="O100" t="s">
        <v>6101</v>
      </c>
      <c r="P100" t="s">
        <v>6107</v>
      </c>
      <c r="Q100">
        <v>1</v>
      </c>
      <c r="R100">
        <v>2026</v>
      </c>
      <c r="S100" t="s">
        <v>6099</v>
      </c>
      <c r="T100">
        <v>1</v>
      </c>
      <c r="U100" t="s">
        <v>6021</v>
      </c>
      <c r="V100">
        <v>1</v>
      </c>
    </row>
    <row r="101" spans="1:22" x14ac:dyDescent="0.3">
      <c r="A101" t="s">
        <v>116</v>
      </c>
      <c r="B101" s="2">
        <v>46028.418749999997</v>
      </c>
      <c r="C101" s="2">
        <v>46033.21875</v>
      </c>
      <c r="D101" t="s">
        <v>6025</v>
      </c>
      <c r="E101" t="s">
        <v>6031</v>
      </c>
      <c r="F101" t="s">
        <v>6034</v>
      </c>
      <c r="G101" t="s">
        <v>6083</v>
      </c>
      <c r="H101" t="s">
        <v>6096</v>
      </c>
      <c r="I101">
        <v>24</v>
      </c>
      <c r="J101">
        <v>115.2</v>
      </c>
      <c r="K101" t="s">
        <v>6099</v>
      </c>
      <c r="L101" t="s">
        <v>6100</v>
      </c>
      <c r="M101" t="s">
        <v>6100</v>
      </c>
      <c r="N101">
        <v>4</v>
      </c>
      <c r="O101" t="s">
        <v>6101</v>
      </c>
      <c r="P101" t="s">
        <v>6107</v>
      </c>
      <c r="Q101">
        <v>1</v>
      </c>
      <c r="R101">
        <v>2026</v>
      </c>
      <c r="S101" t="s">
        <v>6100</v>
      </c>
      <c r="T101">
        <v>0</v>
      </c>
      <c r="U101" t="s">
        <v>6017</v>
      </c>
      <c r="V101">
        <v>1</v>
      </c>
    </row>
    <row r="102" spans="1:22" x14ac:dyDescent="0.3">
      <c r="A102" t="s">
        <v>117</v>
      </c>
      <c r="B102" s="2">
        <v>46028.430555555555</v>
      </c>
      <c r="C102" s="2">
        <v>46028.638888888891</v>
      </c>
      <c r="D102" t="s">
        <v>6023</v>
      </c>
      <c r="E102" t="s">
        <v>6030</v>
      </c>
      <c r="F102" t="s">
        <v>6033</v>
      </c>
      <c r="G102" t="s">
        <v>6081</v>
      </c>
      <c r="H102" t="s">
        <v>6098</v>
      </c>
      <c r="I102">
        <v>72</v>
      </c>
      <c r="J102">
        <v>5</v>
      </c>
      <c r="K102" t="s">
        <v>6099</v>
      </c>
      <c r="L102" t="s">
        <v>6100</v>
      </c>
      <c r="M102" t="s">
        <v>6100</v>
      </c>
      <c r="N102">
        <v>5</v>
      </c>
      <c r="O102" t="s">
        <v>6101</v>
      </c>
      <c r="P102" t="s">
        <v>6107</v>
      </c>
      <c r="Q102">
        <v>1</v>
      </c>
      <c r="R102">
        <v>2026</v>
      </c>
      <c r="S102" t="s">
        <v>6099</v>
      </c>
      <c r="T102">
        <v>1</v>
      </c>
      <c r="U102" t="s">
        <v>6020</v>
      </c>
      <c r="V102">
        <v>1</v>
      </c>
    </row>
    <row r="103" spans="1:22" x14ac:dyDescent="0.3">
      <c r="A103" t="s">
        <v>118</v>
      </c>
      <c r="B103" s="2">
        <v>46028.495833333334</v>
      </c>
      <c r="C103" s="2">
        <v>46028.75</v>
      </c>
      <c r="D103" t="s">
        <v>6027</v>
      </c>
      <c r="E103" t="s">
        <v>6029</v>
      </c>
      <c r="F103" t="s">
        <v>6034</v>
      </c>
      <c r="G103" t="s">
        <v>6049</v>
      </c>
      <c r="H103" t="s">
        <v>6097</v>
      </c>
      <c r="I103">
        <v>24</v>
      </c>
      <c r="J103">
        <v>6.1</v>
      </c>
      <c r="K103" t="s">
        <v>6100</v>
      </c>
      <c r="L103" t="s">
        <v>6099</v>
      </c>
      <c r="M103" t="s">
        <v>6100</v>
      </c>
      <c r="N103">
        <v>4</v>
      </c>
      <c r="O103" t="s">
        <v>6101</v>
      </c>
      <c r="P103" t="s">
        <v>6107</v>
      </c>
      <c r="Q103">
        <v>1</v>
      </c>
      <c r="R103">
        <v>2026</v>
      </c>
      <c r="S103" t="s">
        <v>6099</v>
      </c>
      <c r="T103">
        <v>1</v>
      </c>
      <c r="U103" t="s">
        <v>6018</v>
      </c>
      <c r="V103">
        <v>0</v>
      </c>
    </row>
    <row r="104" spans="1:22" x14ac:dyDescent="0.3">
      <c r="A104" t="s">
        <v>119</v>
      </c>
      <c r="B104" s="2">
        <v>46028.53125</v>
      </c>
      <c r="C104" s="2">
        <v>46029.481249999997</v>
      </c>
      <c r="D104" t="s">
        <v>6022</v>
      </c>
      <c r="E104" t="s">
        <v>6031</v>
      </c>
      <c r="F104" t="s">
        <v>6034</v>
      </c>
      <c r="G104" t="s">
        <v>6058</v>
      </c>
      <c r="H104" t="s">
        <v>6098</v>
      </c>
      <c r="I104">
        <v>24</v>
      </c>
      <c r="J104">
        <v>22.8</v>
      </c>
      <c r="K104" t="s">
        <v>6099</v>
      </c>
      <c r="L104" t="s">
        <v>6100</v>
      </c>
      <c r="M104" t="s">
        <v>6100</v>
      </c>
      <c r="N104">
        <v>5</v>
      </c>
      <c r="O104" t="s">
        <v>6101</v>
      </c>
      <c r="P104" t="s">
        <v>6107</v>
      </c>
      <c r="Q104">
        <v>1</v>
      </c>
      <c r="R104">
        <v>2026</v>
      </c>
      <c r="S104" t="s">
        <v>6099</v>
      </c>
      <c r="T104">
        <v>1</v>
      </c>
      <c r="U104" t="s">
        <v>6021</v>
      </c>
      <c r="V104">
        <v>1</v>
      </c>
    </row>
    <row r="105" spans="1:22" x14ac:dyDescent="0.3">
      <c r="A105" t="s">
        <v>120</v>
      </c>
      <c r="B105" s="2">
        <v>46028.537499999999</v>
      </c>
      <c r="C105" s="2">
        <v>46028.76666666667</v>
      </c>
      <c r="D105" t="s">
        <v>6023</v>
      </c>
      <c r="E105" t="s">
        <v>6030</v>
      </c>
      <c r="F105" t="s">
        <v>6033</v>
      </c>
      <c r="G105" t="s">
        <v>6084</v>
      </c>
      <c r="H105" t="s">
        <v>6098</v>
      </c>
      <c r="I105">
        <v>72</v>
      </c>
      <c r="J105">
        <v>5.5</v>
      </c>
      <c r="K105" t="s">
        <v>6100</v>
      </c>
      <c r="L105" t="s">
        <v>6099</v>
      </c>
      <c r="M105" t="s">
        <v>6100</v>
      </c>
      <c r="N105">
        <v>3</v>
      </c>
      <c r="O105" t="s">
        <v>6101</v>
      </c>
      <c r="P105" t="s">
        <v>6107</v>
      </c>
      <c r="Q105">
        <v>1</v>
      </c>
      <c r="R105">
        <v>2026</v>
      </c>
      <c r="S105" t="s">
        <v>6099</v>
      </c>
      <c r="T105">
        <v>1</v>
      </c>
      <c r="U105" t="s">
        <v>6021</v>
      </c>
      <c r="V105">
        <v>0</v>
      </c>
    </row>
    <row r="106" spans="1:22" x14ac:dyDescent="0.3">
      <c r="A106" t="s">
        <v>121</v>
      </c>
      <c r="B106" s="2">
        <v>46028.548611111109</v>
      </c>
      <c r="C106" s="2">
        <v>46028.794444444444</v>
      </c>
      <c r="D106" t="s">
        <v>6024</v>
      </c>
      <c r="E106" t="s">
        <v>6030</v>
      </c>
      <c r="F106" t="s">
        <v>6033</v>
      </c>
      <c r="G106" t="s">
        <v>6083</v>
      </c>
      <c r="H106" t="s">
        <v>6096</v>
      </c>
      <c r="I106">
        <v>72</v>
      </c>
      <c r="J106">
        <v>5.9</v>
      </c>
      <c r="K106" t="s">
        <v>6100</v>
      </c>
      <c r="L106" t="s">
        <v>6099</v>
      </c>
      <c r="M106" t="s">
        <v>6100</v>
      </c>
      <c r="O106" t="s">
        <v>6101</v>
      </c>
      <c r="P106" t="s">
        <v>6107</v>
      </c>
      <c r="Q106">
        <v>1</v>
      </c>
      <c r="R106">
        <v>2026</v>
      </c>
      <c r="S106" t="s">
        <v>6099</v>
      </c>
      <c r="T106">
        <v>1</v>
      </c>
      <c r="U106" t="s">
        <v>6020</v>
      </c>
      <c r="V106">
        <v>0</v>
      </c>
    </row>
    <row r="107" spans="1:22" x14ac:dyDescent="0.3">
      <c r="A107" t="s">
        <v>122</v>
      </c>
      <c r="B107" s="2">
        <v>46028.56527777778</v>
      </c>
      <c r="C107" s="2">
        <v>46029.136111111111</v>
      </c>
      <c r="D107" t="s">
        <v>6023</v>
      </c>
      <c r="E107" t="s">
        <v>6029</v>
      </c>
      <c r="F107" t="s">
        <v>6033</v>
      </c>
      <c r="G107" t="s">
        <v>6037</v>
      </c>
      <c r="H107" t="s">
        <v>6096</v>
      </c>
      <c r="I107">
        <v>72</v>
      </c>
      <c r="J107">
        <v>13.7</v>
      </c>
      <c r="K107" t="s">
        <v>6100</v>
      </c>
      <c r="L107" t="s">
        <v>6100</v>
      </c>
      <c r="M107" t="s">
        <v>6100</v>
      </c>
      <c r="N107">
        <v>5</v>
      </c>
      <c r="O107" t="s">
        <v>6101</v>
      </c>
      <c r="P107" t="s">
        <v>6107</v>
      </c>
      <c r="Q107">
        <v>1</v>
      </c>
      <c r="R107">
        <v>2026</v>
      </c>
      <c r="S107" t="s">
        <v>6099</v>
      </c>
      <c r="T107">
        <v>1</v>
      </c>
      <c r="U107" t="s">
        <v>6018</v>
      </c>
      <c r="V107">
        <v>0</v>
      </c>
    </row>
    <row r="108" spans="1:22" x14ac:dyDescent="0.3">
      <c r="A108" t="s">
        <v>123</v>
      </c>
      <c r="B108" s="2">
        <v>46028.576388888891</v>
      </c>
      <c r="C108" s="2">
        <v>46028.793055555558</v>
      </c>
      <c r="D108" t="s">
        <v>6022</v>
      </c>
      <c r="E108" t="s">
        <v>6029</v>
      </c>
      <c r="F108" t="s">
        <v>6034</v>
      </c>
      <c r="G108" t="s">
        <v>6081</v>
      </c>
      <c r="H108" t="s">
        <v>6098</v>
      </c>
      <c r="I108">
        <v>24</v>
      </c>
      <c r="J108">
        <v>5.2</v>
      </c>
      <c r="K108" t="s">
        <v>6099</v>
      </c>
      <c r="L108" t="s">
        <v>6100</v>
      </c>
      <c r="M108" t="s">
        <v>6100</v>
      </c>
      <c r="O108" t="s">
        <v>6101</v>
      </c>
      <c r="P108" t="s">
        <v>6107</v>
      </c>
      <c r="Q108">
        <v>1</v>
      </c>
      <c r="R108">
        <v>2026</v>
      </c>
      <c r="S108" t="s">
        <v>6099</v>
      </c>
      <c r="T108">
        <v>1</v>
      </c>
      <c r="U108" t="s">
        <v>6018</v>
      </c>
      <c r="V108">
        <v>1</v>
      </c>
    </row>
    <row r="109" spans="1:22" x14ac:dyDescent="0.3">
      <c r="A109" t="s">
        <v>124</v>
      </c>
      <c r="B109" s="2">
        <v>46028.591666666667</v>
      </c>
      <c r="C109" s="2">
        <v>46029.125</v>
      </c>
      <c r="D109" t="s">
        <v>6023</v>
      </c>
      <c r="E109" t="s">
        <v>6032</v>
      </c>
      <c r="F109" t="s">
        <v>6034</v>
      </c>
      <c r="G109" t="s">
        <v>6085</v>
      </c>
      <c r="H109" t="s">
        <v>6097</v>
      </c>
      <c r="I109">
        <v>24</v>
      </c>
      <c r="J109">
        <v>12.8</v>
      </c>
      <c r="K109" t="s">
        <v>6099</v>
      </c>
      <c r="L109" t="s">
        <v>6100</v>
      </c>
      <c r="M109" t="s">
        <v>6099</v>
      </c>
      <c r="N109">
        <v>2</v>
      </c>
      <c r="O109" t="s">
        <v>6101</v>
      </c>
      <c r="P109" t="s">
        <v>6107</v>
      </c>
      <c r="Q109">
        <v>1</v>
      </c>
      <c r="R109">
        <v>2026</v>
      </c>
      <c r="S109" t="s">
        <v>6099</v>
      </c>
      <c r="T109">
        <v>1</v>
      </c>
      <c r="U109" t="s">
        <v>6019</v>
      </c>
      <c r="V109">
        <v>1</v>
      </c>
    </row>
    <row r="110" spans="1:22" x14ac:dyDescent="0.3">
      <c r="A110" t="s">
        <v>125</v>
      </c>
      <c r="B110" s="2">
        <v>46028.591666666667</v>
      </c>
      <c r="C110" s="2">
        <v>46029.166666666664</v>
      </c>
      <c r="D110" t="s">
        <v>6027</v>
      </c>
      <c r="E110" t="s">
        <v>6029</v>
      </c>
      <c r="F110" t="s">
        <v>6034</v>
      </c>
      <c r="G110" t="s">
        <v>6044</v>
      </c>
      <c r="H110" t="s">
        <v>6097</v>
      </c>
      <c r="I110">
        <v>24</v>
      </c>
      <c r="J110">
        <v>13.8</v>
      </c>
      <c r="K110" t="s">
        <v>6099</v>
      </c>
      <c r="L110" t="s">
        <v>6100</v>
      </c>
      <c r="M110" t="s">
        <v>6100</v>
      </c>
      <c r="N110">
        <v>5</v>
      </c>
      <c r="O110" t="s">
        <v>6101</v>
      </c>
      <c r="P110" t="s">
        <v>6107</v>
      </c>
      <c r="Q110">
        <v>1</v>
      </c>
      <c r="R110">
        <v>2026</v>
      </c>
      <c r="S110" t="s">
        <v>6099</v>
      </c>
      <c r="T110">
        <v>1</v>
      </c>
      <c r="U110" t="s">
        <v>6019</v>
      </c>
      <c r="V110">
        <v>1</v>
      </c>
    </row>
    <row r="111" spans="1:22" x14ac:dyDescent="0.3">
      <c r="A111" t="s">
        <v>126</v>
      </c>
      <c r="B111" s="2">
        <v>46028.602083333331</v>
      </c>
      <c r="C111" s="2">
        <v>46028.756249999999</v>
      </c>
      <c r="D111" t="s">
        <v>6023</v>
      </c>
      <c r="E111" t="s">
        <v>6029</v>
      </c>
      <c r="F111" t="s">
        <v>6034</v>
      </c>
      <c r="G111" t="s">
        <v>6059</v>
      </c>
      <c r="H111" t="s">
        <v>6097</v>
      </c>
      <c r="I111">
        <v>24</v>
      </c>
      <c r="J111">
        <v>3.7</v>
      </c>
      <c r="K111" t="s">
        <v>6099</v>
      </c>
      <c r="L111" t="s">
        <v>6100</v>
      </c>
      <c r="M111" t="s">
        <v>6100</v>
      </c>
      <c r="O111" t="s">
        <v>6101</v>
      </c>
      <c r="P111" t="s">
        <v>6107</v>
      </c>
      <c r="Q111">
        <v>1</v>
      </c>
      <c r="R111">
        <v>2026</v>
      </c>
      <c r="S111" t="s">
        <v>6099</v>
      </c>
      <c r="T111">
        <v>1</v>
      </c>
      <c r="U111" t="s">
        <v>6020</v>
      </c>
      <c r="V111">
        <v>1</v>
      </c>
    </row>
    <row r="112" spans="1:22" x14ac:dyDescent="0.3">
      <c r="A112" t="s">
        <v>127</v>
      </c>
      <c r="B112" s="2">
        <v>46028.602777777778</v>
      </c>
      <c r="C112" s="2">
        <v>46029.994444444441</v>
      </c>
      <c r="D112" t="s">
        <v>6026</v>
      </c>
      <c r="E112" t="s">
        <v>6031</v>
      </c>
      <c r="F112" t="s">
        <v>6033</v>
      </c>
      <c r="G112" t="s">
        <v>6086</v>
      </c>
      <c r="H112" t="s">
        <v>6098</v>
      </c>
      <c r="I112">
        <v>72</v>
      </c>
      <c r="J112">
        <v>33.4</v>
      </c>
      <c r="K112" t="s">
        <v>6100</v>
      </c>
      <c r="L112" t="s">
        <v>6099</v>
      </c>
      <c r="M112" t="s">
        <v>6100</v>
      </c>
      <c r="N112">
        <v>5</v>
      </c>
      <c r="O112" t="s">
        <v>6101</v>
      </c>
      <c r="P112" t="s">
        <v>6107</v>
      </c>
      <c r="Q112">
        <v>1</v>
      </c>
      <c r="R112">
        <v>2026</v>
      </c>
      <c r="S112" t="s">
        <v>6099</v>
      </c>
      <c r="T112">
        <v>1</v>
      </c>
      <c r="U112" t="s">
        <v>6021</v>
      </c>
      <c r="V112">
        <v>0</v>
      </c>
    </row>
    <row r="113" spans="1:22" x14ac:dyDescent="0.3">
      <c r="A113" t="s">
        <v>128</v>
      </c>
      <c r="B113" s="2">
        <v>46028.61041666667</v>
      </c>
      <c r="C113" s="2">
        <v>46029.756249999999</v>
      </c>
      <c r="D113" t="s">
        <v>6025</v>
      </c>
      <c r="E113" t="s">
        <v>6029</v>
      </c>
      <c r="F113" t="s">
        <v>6035</v>
      </c>
      <c r="G113" t="s">
        <v>6054</v>
      </c>
      <c r="H113" t="s">
        <v>6096</v>
      </c>
      <c r="I113">
        <v>4</v>
      </c>
      <c r="J113">
        <v>27.5</v>
      </c>
      <c r="K113" t="s">
        <v>6100</v>
      </c>
      <c r="L113" t="s">
        <v>6099</v>
      </c>
      <c r="M113" t="s">
        <v>6100</v>
      </c>
      <c r="N113">
        <v>1</v>
      </c>
      <c r="O113" t="s">
        <v>6101</v>
      </c>
      <c r="P113" t="s">
        <v>6107</v>
      </c>
      <c r="Q113">
        <v>1</v>
      </c>
      <c r="R113">
        <v>2026</v>
      </c>
      <c r="S113" t="s">
        <v>6100</v>
      </c>
      <c r="T113">
        <v>0</v>
      </c>
      <c r="U113" t="s">
        <v>6020</v>
      </c>
      <c r="V113">
        <v>0</v>
      </c>
    </row>
    <row r="114" spans="1:22" x14ac:dyDescent="0.3">
      <c r="A114" t="s">
        <v>129</v>
      </c>
      <c r="B114" s="2">
        <v>46028.613888888889</v>
      </c>
      <c r="C114" s="2">
        <v>46029.601388888892</v>
      </c>
      <c r="D114" t="s">
        <v>6027</v>
      </c>
      <c r="E114" t="s">
        <v>6031</v>
      </c>
      <c r="F114" t="s">
        <v>6033</v>
      </c>
      <c r="G114" t="s">
        <v>6044</v>
      </c>
      <c r="H114" t="s">
        <v>6097</v>
      </c>
      <c r="I114">
        <v>72</v>
      </c>
      <c r="J114">
        <v>23.7</v>
      </c>
      <c r="K114" t="s">
        <v>6099</v>
      </c>
      <c r="L114" t="s">
        <v>6100</v>
      </c>
      <c r="M114" t="s">
        <v>6100</v>
      </c>
      <c r="N114">
        <v>4</v>
      </c>
      <c r="O114" t="s">
        <v>6101</v>
      </c>
      <c r="P114" t="s">
        <v>6107</v>
      </c>
      <c r="Q114">
        <v>1</v>
      </c>
      <c r="R114">
        <v>2026</v>
      </c>
      <c r="S114" t="s">
        <v>6099</v>
      </c>
      <c r="T114">
        <v>1</v>
      </c>
      <c r="U114" t="s">
        <v>6017</v>
      </c>
      <c r="V114">
        <v>1</v>
      </c>
    </row>
    <row r="115" spans="1:22" x14ac:dyDescent="0.3">
      <c r="A115" t="s">
        <v>130</v>
      </c>
      <c r="B115" s="2">
        <v>46028.659722222219</v>
      </c>
      <c r="C115" s="2">
        <v>46029.447222222225</v>
      </c>
      <c r="D115" t="s">
        <v>6026</v>
      </c>
      <c r="E115" t="s">
        <v>6030</v>
      </c>
      <c r="F115" t="s">
        <v>6034</v>
      </c>
      <c r="G115" t="s">
        <v>6036</v>
      </c>
      <c r="H115" t="s">
        <v>6096</v>
      </c>
      <c r="I115">
        <v>24</v>
      </c>
      <c r="J115">
        <v>18.899999999999999</v>
      </c>
      <c r="K115" t="s">
        <v>6100</v>
      </c>
      <c r="L115" t="s">
        <v>6099</v>
      </c>
      <c r="M115" t="s">
        <v>6100</v>
      </c>
      <c r="O115" t="s">
        <v>6101</v>
      </c>
      <c r="P115" t="s">
        <v>6107</v>
      </c>
      <c r="Q115">
        <v>1</v>
      </c>
      <c r="R115">
        <v>2026</v>
      </c>
      <c r="S115" t="s">
        <v>6099</v>
      </c>
      <c r="T115">
        <v>1</v>
      </c>
      <c r="U115" t="s">
        <v>6020</v>
      </c>
      <c r="V115">
        <v>0</v>
      </c>
    </row>
    <row r="116" spans="1:22" x14ac:dyDescent="0.3">
      <c r="A116" t="s">
        <v>131</v>
      </c>
      <c r="B116" s="2">
        <v>46028.670138888891</v>
      </c>
      <c r="C116" s="2">
        <v>46029.974305555559</v>
      </c>
      <c r="D116" t="s">
        <v>6025</v>
      </c>
      <c r="E116" t="s">
        <v>6031</v>
      </c>
      <c r="F116" t="s">
        <v>6033</v>
      </c>
      <c r="G116" t="s">
        <v>6044</v>
      </c>
      <c r="H116" t="s">
        <v>6097</v>
      </c>
      <c r="I116">
        <v>72</v>
      </c>
      <c r="J116">
        <v>31.3</v>
      </c>
      <c r="K116" t="s">
        <v>6099</v>
      </c>
      <c r="L116" t="s">
        <v>6100</v>
      </c>
      <c r="M116" t="s">
        <v>6100</v>
      </c>
      <c r="N116">
        <v>5</v>
      </c>
      <c r="O116" t="s">
        <v>6101</v>
      </c>
      <c r="P116" t="s">
        <v>6107</v>
      </c>
      <c r="Q116">
        <v>1</v>
      </c>
      <c r="R116">
        <v>2026</v>
      </c>
      <c r="S116" t="s">
        <v>6099</v>
      </c>
      <c r="T116">
        <v>1</v>
      </c>
      <c r="U116" t="s">
        <v>6018</v>
      </c>
      <c r="V116">
        <v>1</v>
      </c>
    </row>
    <row r="117" spans="1:22" x14ac:dyDescent="0.3">
      <c r="A117" t="s">
        <v>132</v>
      </c>
      <c r="B117" s="2">
        <v>46028.70208333333</v>
      </c>
      <c r="C117" s="2">
        <v>46029.056250000001</v>
      </c>
      <c r="D117" t="s">
        <v>6024</v>
      </c>
      <c r="E117" t="s">
        <v>6029</v>
      </c>
      <c r="F117" t="s">
        <v>6034</v>
      </c>
      <c r="G117" t="s">
        <v>6055</v>
      </c>
      <c r="H117" t="s">
        <v>6096</v>
      </c>
      <c r="I117">
        <v>24</v>
      </c>
      <c r="J117">
        <v>8.5</v>
      </c>
      <c r="K117" t="s">
        <v>6099</v>
      </c>
      <c r="L117" t="s">
        <v>6100</v>
      </c>
      <c r="M117" t="s">
        <v>6100</v>
      </c>
      <c r="O117" t="s">
        <v>6101</v>
      </c>
      <c r="P117" t="s">
        <v>6107</v>
      </c>
      <c r="Q117">
        <v>1</v>
      </c>
      <c r="R117">
        <v>2026</v>
      </c>
      <c r="S117" t="s">
        <v>6099</v>
      </c>
      <c r="T117">
        <v>1</v>
      </c>
      <c r="U117" t="s">
        <v>6019</v>
      </c>
      <c r="V117">
        <v>1</v>
      </c>
    </row>
    <row r="118" spans="1:22" x14ac:dyDescent="0.3">
      <c r="A118" t="s">
        <v>133</v>
      </c>
      <c r="B118" s="2">
        <v>46028.714583333334</v>
      </c>
      <c r="C118" s="2">
        <v>46028.856249999997</v>
      </c>
      <c r="D118" t="s">
        <v>6028</v>
      </c>
      <c r="E118" t="s">
        <v>6030</v>
      </c>
      <c r="F118" t="s">
        <v>6035</v>
      </c>
      <c r="G118" t="s">
        <v>6038</v>
      </c>
      <c r="H118" t="s">
        <v>6096</v>
      </c>
      <c r="I118">
        <v>4</v>
      </c>
      <c r="J118">
        <v>3.4</v>
      </c>
      <c r="K118" t="s">
        <v>6100</v>
      </c>
      <c r="L118" t="s">
        <v>6099</v>
      </c>
      <c r="M118" t="s">
        <v>6100</v>
      </c>
      <c r="N118">
        <v>4</v>
      </c>
      <c r="O118" t="s">
        <v>6101</v>
      </c>
      <c r="P118" t="s">
        <v>6107</v>
      </c>
      <c r="Q118">
        <v>1</v>
      </c>
      <c r="R118">
        <v>2026</v>
      </c>
      <c r="S118" t="s">
        <v>6099</v>
      </c>
      <c r="T118">
        <v>1</v>
      </c>
      <c r="U118" t="s">
        <v>6018</v>
      </c>
      <c r="V118">
        <v>0</v>
      </c>
    </row>
    <row r="119" spans="1:22" x14ac:dyDescent="0.3">
      <c r="A119" t="s">
        <v>134</v>
      </c>
      <c r="B119" s="2">
        <v>46029.38958333333</v>
      </c>
      <c r="C119" s="2">
        <v>46029.90625</v>
      </c>
      <c r="D119" t="s">
        <v>6027</v>
      </c>
      <c r="E119" t="s">
        <v>6032</v>
      </c>
      <c r="F119" t="s">
        <v>6034</v>
      </c>
      <c r="G119" t="s">
        <v>6087</v>
      </c>
      <c r="H119" t="s">
        <v>6098</v>
      </c>
      <c r="I119">
        <v>24</v>
      </c>
      <c r="J119">
        <v>12.4</v>
      </c>
      <c r="K119" t="s">
        <v>6100</v>
      </c>
      <c r="L119" t="s">
        <v>6100</v>
      </c>
      <c r="M119" t="s">
        <v>6100</v>
      </c>
      <c r="N119">
        <v>5</v>
      </c>
      <c r="O119" t="s">
        <v>6101</v>
      </c>
      <c r="P119" t="s">
        <v>6107</v>
      </c>
      <c r="Q119">
        <v>1</v>
      </c>
      <c r="R119">
        <v>2026</v>
      </c>
      <c r="S119" t="s">
        <v>6099</v>
      </c>
      <c r="T119">
        <v>1</v>
      </c>
      <c r="U119" t="s">
        <v>6019</v>
      </c>
      <c r="V119">
        <v>0</v>
      </c>
    </row>
    <row r="120" spans="1:22" x14ac:dyDescent="0.3">
      <c r="A120" t="s">
        <v>135</v>
      </c>
      <c r="B120" s="2">
        <v>46029.40347222222</v>
      </c>
      <c r="C120" s="2">
        <v>46030.053472222222</v>
      </c>
      <c r="D120" t="s">
        <v>6026</v>
      </c>
      <c r="E120" t="s">
        <v>6030</v>
      </c>
      <c r="F120" t="s">
        <v>6033</v>
      </c>
      <c r="G120" t="s">
        <v>6069</v>
      </c>
      <c r="H120" t="s">
        <v>6098</v>
      </c>
      <c r="I120">
        <v>72</v>
      </c>
      <c r="J120">
        <v>15.6</v>
      </c>
      <c r="K120" t="s">
        <v>6100</v>
      </c>
      <c r="L120" t="s">
        <v>6099</v>
      </c>
      <c r="M120" t="s">
        <v>6100</v>
      </c>
      <c r="N120">
        <v>4</v>
      </c>
      <c r="O120" t="s">
        <v>6101</v>
      </c>
      <c r="P120" t="s">
        <v>6107</v>
      </c>
      <c r="Q120">
        <v>1</v>
      </c>
      <c r="R120">
        <v>2026</v>
      </c>
      <c r="S120" t="s">
        <v>6099</v>
      </c>
      <c r="T120">
        <v>1</v>
      </c>
      <c r="U120" t="s">
        <v>6017</v>
      </c>
      <c r="V120">
        <v>0</v>
      </c>
    </row>
    <row r="121" spans="1:22" x14ac:dyDescent="0.3">
      <c r="A121" t="s">
        <v>136</v>
      </c>
      <c r="B121" s="2">
        <v>46029.408333333333</v>
      </c>
      <c r="C121" s="2">
        <v>46029.754166666666</v>
      </c>
      <c r="D121" t="s">
        <v>6023</v>
      </c>
      <c r="E121" t="s">
        <v>6029</v>
      </c>
      <c r="F121" t="s">
        <v>6033</v>
      </c>
      <c r="G121" t="s">
        <v>6077</v>
      </c>
      <c r="H121" t="s">
        <v>6098</v>
      </c>
      <c r="I121">
        <v>72</v>
      </c>
      <c r="J121">
        <v>8.3000000000000007</v>
      </c>
      <c r="K121" t="s">
        <v>6100</v>
      </c>
      <c r="L121" t="s">
        <v>6099</v>
      </c>
      <c r="M121" t="s">
        <v>6100</v>
      </c>
      <c r="N121">
        <v>5</v>
      </c>
      <c r="O121" t="s">
        <v>6101</v>
      </c>
      <c r="P121" t="s">
        <v>6107</v>
      </c>
      <c r="Q121">
        <v>1</v>
      </c>
      <c r="R121">
        <v>2026</v>
      </c>
      <c r="S121" t="s">
        <v>6099</v>
      </c>
      <c r="T121">
        <v>1</v>
      </c>
      <c r="U121" t="s">
        <v>6017</v>
      </c>
      <c r="V121">
        <v>0</v>
      </c>
    </row>
    <row r="122" spans="1:22" x14ac:dyDescent="0.3">
      <c r="A122" t="s">
        <v>137</v>
      </c>
      <c r="B122" s="2">
        <v>46029.422222222223</v>
      </c>
      <c r="C122" s="2">
        <v>46029.859722222223</v>
      </c>
      <c r="D122" t="s">
        <v>6027</v>
      </c>
      <c r="E122" t="s">
        <v>6031</v>
      </c>
      <c r="F122" t="s">
        <v>6034</v>
      </c>
      <c r="G122" t="s">
        <v>6051</v>
      </c>
      <c r="H122" t="s">
        <v>6097</v>
      </c>
      <c r="I122">
        <v>24</v>
      </c>
      <c r="J122">
        <v>10.5</v>
      </c>
      <c r="K122" t="s">
        <v>6099</v>
      </c>
      <c r="L122" t="s">
        <v>6100</v>
      </c>
      <c r="M122" t="s">
        <v>6100</v>
      </c>
      <c r="N122">
        <v>5</v>
      </c>
      <c r="O122" t="s">
        <v>6101</v>
      </c>
      <c r="P122" t="s">
        <v>6107</v>
      </c>
      <c r="Q122">
        <v>1</v>
      </c>
      <c r="R122">
        <v>2026</v>
      </c>
      <c r="S122" t="s">
        <v>6099</v>
      </c>
      <c r="T122">
        <v>1</v>
      </c>
      <c r="U122" t="s">
        <v>6021</v>
      </c>
      <c r="V122">
        <v>1</v>
      </c>
    </row>
    <row r="123" spans="1:22" x14ac:dyDescent="0.3">
      <c r="A123" t="s">
        <v>138</v>
      </c>
      <c r="B123" s="2">
        <v>46029.451388888891</v>
      </c>
      <c r="C123" s="2">
        <v>46029.651388888888</v>
      </c>
      <c r="D123" t="s">
        <v>6023</v>
      </c>
      <c r="E123" t="s">
        <v>6032</v>
      </c>
      <c r="F123" t="s">
        <v>6034</v>
      </c>
      <c r="G123" t="s">
        <v>6074</v>
      </c>
      <c r="H123" t="s">
        <v>6098</v>
      </c>
      <c r="I123">
        <v>24</v>
      </c>
      <c r="J123">
        <v>4.8</v>
      </c>
      <c r="K123" t="s">
        <v>6099</v>
      </c>
      <c r="L123" t="s">
        <v>6100</v>
      </c>
      <c r="M123" t="s">
        <v>6100</v>
      </c>
      <c r="O123" t="s">
        <v>6101</v>
      </c>
      <c r="P123" t="s">
        <v>6107</v>
      </c>
      <c r="Q123">
        <v>1</v>
      </c>
      <c r="R123">
        <v>2026</v>
      </c>
      <c r="S123" t="s">
        <v>6099</v>
      </c>
      <c r="T123">
        <v>1</v>
      </c>
      <c r="U123" t="s">
        <v>6019</v>
      </c>
      <c r="V123">
        <v>1</v>
      </c>
    </row>
    <row r="124" spans="1:22" x14ac:dyDescent="0.3">
      <c r="A124" t="s">
        <v>139</v>
      </c>
      <c r="B124" s="2">
        <v>46029.459722222222</v>
      </c>
      <c r="C124" s="2">
        <v>46029.93472222222</v>
      </c>
      <c r="D124" t="s">
        <v>6023</v>
      </c>
      <c r="E124" t="s">
        <v>6029</v>
      </c>
      <c r="F124" t="s">
        <v>6034</v>
      </c>
      <c r="G124" t="s">
        <v>6038</v>
      </c>
      <c r="H124" t="s">
        <v>6096</v>
      </c>
      <c r="I124">
        <v>24</v>
      </c>
      <c r="J124">
        <v>11.4</v>
      </c>
      <c r="K124" t="s">
        <v>6099</v>
      </c>
      <c r="L124" t="s">
        <v>6100</v>
      </c>
      <c r="M124" t="s">
        <v>6100</v>
      </c>
      <c r="N124">
        <v>5</v>
      </c>
      <c r="O124" t="s">
        <v>6101</v>
      </c>
      <c r="P124" t="s">
        <v>6107</v>
      </c>
      <c r="Q124">
        <v>1</v>
      </c>
      <c r="R124">
        <v>2026</v>
      </c>
      <c r="S124" t="s">
        <v>6099</v>
      </c>
      <c r="T124">
        <v>1</v>
      </c>
      <c r="U124" t="s">
        <v>6020</v>
      </c>
      <c r="V124">
        <v>1</v>
      </c>
    </row>
    <row r="125" spans="1:22" x14ac:dyDescent="0.3">
      <c r="A125" t="s">
        <v>140</v>
      </c>
      <c r="B125" s="2">
        <v>46029.480555555558</v>
      </c>
      <c r="C125" s="2">
        <v>46029.705555555556</v>
      </c>
      <c r="D125" t="s">
        <v>6027</v>
      </c>
      <c r="E125" t="s">
        <v>6030</v>
      </c>
      <c r="F125" t="s">
        <v>6035</v>
      </c>
      <c r="G125" t="s">
        <v>6088</v>
      </c>
      <c r="H125" t="s">
        <v>6097</v>
      </c>
      <c r="I125">
        <v>4</v>
      </c>
      <c r="J125">
        <v>5.4</v>
      </c>
      <c r="K125" t="s">
        <v>6099</v>
      </c>
      <c r="L125" t="s">
        <v>6100</v>
      </c>
      <c r="M125" t="s">
        <v>6100</v>
      </c>
      <c r="O125" t="s">
        <v>6101</v>
      </c>
      <c r="P125" t="s">
        <v>6107</v>
      </c>
      <c r="Q125">
        <v>1</v>
      </c>
      <c r="R125">
        <v>2026</v>
      </c>
      <c r="S125" t="s">
        <v>6100</v>
      </c>
      <c r="T125">
        <v>0</v>
      </c>
      <c r="U125" t="s">
        <v>6020</v>
      </c>
      <c r="V125">
        <v>1</v>
      </c>
    </row>
    <row r="126" spans="1:22" x14ac:dyDescent="0.3">
      <c r="A126" t="s">
        <v>141</v>
      </c>
      <c r="B126" s="2">
        <v>46029.499305555553</v>
      </c>
      <c r="C126" s="2">
        <v>46029.670138888891</v>
      </c>
      <c r="D126" t="s">
        <v>6027</v>
      </c>
      <c r="E126" t="s">
        <v>6030</v>
      </c>
      <c r="F126" t="s">
        <v>6034</v>
      </c>
      <c r="G126" t="s">
        <v>6043</v>
      </c>
      <c r="H126" t="s">
        <v>6097</v>
      </c>
      <c r="I126">
        <v>24</v>
      </c>
      <c r="J126">
        <v>4.0999999999999996</v>
      </c>
      <c r="K126" t="s">
        <v>6099</v>
      </c>
      <c r="L126" t="s">
        <v>6100</v>
      </c>
      <c r="M126" t="s">
        <v>6100</v>
      </c>
      <c r="N126">
        <v>5</v>
      </c>
      <c r="O126" t="s">
        <v>6101</v>
      </c>
      <c r="P126" t="s">
        <v>6107</v>
      </c>
      <c r="Q126">
        <v>1</v>
      </c>
      <c r="R126">
        <v>2026</v>
      </c>
      <c r="S126" t="s">
        <v>6099</v>
      </c>
      <c r="T126">
        <v>1</v>
      </c>
      <c r="U126" t="s">
        <v>6021</v>
      </c>
      <c r="V126">
        <v>1</v>
      </c>
    </row>
    <row r="127" spans="1:22" x14ac:dyDescent="0.3">
      <c r="A127" t="s">
        <v>142</v>
      </c>
      <c r="B127" s="2">
        <v>46029.536111111112</v>
      </c>
      <c r="C127" s="2">
        <v>46030.361111111109</v>
      </c>
      <c r="D127" t="s">
        <v>6026</v>
      </c>
      <c r="E127" t="s">
        <v>6029</v>
      </c>
      <c r="F127" t="s">
        <v>6034</v>
      </c>
      <c r="G127" t="s">
        <v>6068</v>
      </c>
      <c r="H127" t="s">
        <v>6098</v>
      </c>
      <c r="I127">
        <v>24</v>
      </c>
      <c r="J127">
        <v>19.8</v>
      </c>
      <c r="K127" t="s">
        <v>6100</v>
      </c>
      <c r="L127" t="s">
        <v>6100</v>
      </c>
      <c r="M127" t="s">
        <v>6100</v>
      </c>
      <c r="O127" t="s">
        <v>6101</v>
      </c>
      <c r="P127" t="s">
        <v>6107</v>
      </c>
      <c r="Q127">
        <v>1</v>
      </c>
      <c r="R127">
        <v>2026</v>
      </c>
      <c r="S127" t="s">
        <v>6099</v>
      </c>
      <c r="T127">
        <v>1</v>
      </c>
      <c r="U127" t="s">
        <v>6018</v>
      </c>
      <c r="V127">
        <v>0</v>
      </c>
    </row>
    <row r="128" spans="1:22" x14ac:dyDescent="0.3">
      <c r="A128" t="s">
        <v>143</v>
      </c>
      <c r="B128" s="2">
        <v>46029.566666666666</v>
      </c>
      <c r="C128" s="2">
        <v>46032.116666666669</v>
      </c>
      <c r="D128" t="s">
        <v>6025</v>
      </c>
      <c r="E128" t="s">
        <v>6032</v>
      </c>
      <c r="F128" t="s">
        <v>6034</v>
      </c>
      <c r="G128" t="s">
        <v>6080</v>
      </c>
      <c r="H128" t="s">
        <v>6096</v>
      </c>
      <c r="I128">
        <v>24</v>
      </c>
      <c r="J128">
        <v>61.2</v>
      </c>
      <c r="K128" t="s">
        <v>6099</v>
      </c>
      <c r="L128" t="s">
        <v>6100</v>
      </c>
      <c r="M128" t="s">
        <v>6100</v>
      </c>
      <c r="O128" t="s">
        <v>6101</v>
      </c>
      <c r="P128" t="s">
        <v>6107</v>
      </c>
      <c r="Q128">
        <v>1</v>
      </c>
      <c r="R128">
        <v>2026</v>
      </c>
      <c r="S128" t="s">
        <v>6100</v>
      </c>
      <c r="T128">
        <v>0</v>
      </c>
      <c r="U128" t="s">
        <v>6021</v>
      </c>
      <c r="V128">
        <v>1</v>
      </c>
    </row>
    <row r="129" spans="1:22" x14ac:dyDescent="0.3">
      <c r="A129" t="s">
        <v>144</v>
      </c>
      <c r="B129" s="2">
        <v>46029.620138888888</v>
      </c>
      <c r="C129" s="2">
        <v>46030.02847222222</v>
      </c>
      <c r="D129" t="s">
        <v>6028</v>
      </c>
      <c r="E129" t="s">
        <v>6030</v>
      </c>
      <c r="F129" t="s">
        <v>6035</v>
      </c>
      <c r="G129" t="s">
        <v>6058</v>
      </c>
      <c r="H129" t="s">
        <v>6098</v>
      </c>
      <c r="I129">
        <v>4</v>
      </c>
      <c r="J129">
        <v>9.8000000000000007</v>
      </c>
      <c r="K129" t="s">
        <v>6099</v>
      </c>
      <c r="L129" t="s">
        <v>6100</v>
      </c>
      <c r="M129" t="s">
        <v>6100</v>
      </c>
      <c r="N129">
        <v>4</v>
      </c>
      <c r="O129" t="s">
        <v>6101</v>
      </c>
      <c r="P129" t="s">
        <v>6107</v>
      </c>
      <c r="Q129">
        <v>1</v>
      </c>
      <c r="R129">
        <v>2026</v>
      </c>
      <c r="S129" t="s">
        <v>6100</v>
      </c>
      <c r="T129">
        <v>0</v>
      </c>
      <c r="U129" t="s">
        <v>6019</v>
      </c>
      <c r="V129">
        <v>1</v>
      </c>
    </row>
    <row r="130" spans="1:22" x14ac:dyDescent="0.3">
      <c r="A130" t="s">
        <v>145</v>
      </c>
      <c r="B130" s="2">
        <v>46029.680555555555</v>
      </c>
      <c r="C130" s="2">
        <v>46029.826388888891</v>
      </c>
      <c r="D130" t="s">
        <v>6027</v>
      </c>
      <c r="E130" t="s">
        <v>6029</v>
      </c>
      <c r="F130" t="s">
        <v>6035</v>
      </c>
      <c r="G130" t="s">
        <v>6075</v>
      </c>
      <c r="H130" t="s">
        <v>6097</v>
      </c>
      <c r="I130">
        <v>4</v>
      </c>
      <c r="J130">
        <v>3.5</v>
      </c>
      <c r="K130" t="s">
        <v>6099</v>
      </c>
      <c r="L130" t="s">
        <v>6100</v>
      </c>
      <c r="M130" t="s">
        <v>6099</v>
      </c>
      <c r="N130">
        <v>5</v>
      </c>
      <c r="O130" t="s">
        <v>6101</v>
      </c>
      <c r="P130" t="s">
        <v>6107</v>
      </c>
      <c r="Q130">
        <v>1</v>
      </c>
      <c r="R130">
        <v>2026</v>
      </c>
      <c r="S130" t="s">
        <v>6099</v>
      </c>
      <c r="T130">
        <v>1</v>
      </c>
      <c r="U130" t="s">
        <v>6021</v>
      </c>
      <c r="V130">
        <v>1</v>
      </c>
    </row>
    <row r="131" spans="1:22" x14ac:dyDescent="0.3">
      <c r="A131" t="s">
        <v>146</v>
      </c>
      <c r="B131" s="2">
        <v>46029.706944444442</v>
      </c>
      <c r="C131" s="2">
        <v>46030.298611111109</v>
      </c>
      <c r="D131" t="s">
        <v>6022</v>
      </c>
      <c r="E131" t="s">
        <v>6029</v>
      </c>
      <c r="F131" t="s">
        <v>6033</v>
      </c>
      <c r="G131" t="s">
        <v>6063</v>
      </c>
      <c r="H131" t="s">
        <v>6097</v>
      </c>
      <c r="I131">
        <v>72</v>
      </c>
      <c r="J131">
        <v>14.2</v>
      </c>
      <c r="K131" t="s">
        <v>6100</v>
      </c>
      <c r="L131" t="s">
        <v>6100</v>
      </c>
      <c r="M131" t="s">
        <v>6100</v>
      </c>
      <c r="N131">
        <v>4</v>
      </c>
      <c r="O131" t="s">
        <v>6101</v>
      </c>
      <c r="P131" t="s">
        <v>6107</v>
      </c>
      <c r="Q131">
        <v>1</v>
      </c>
      <c r="R131">
        <v>2026</v>
      </c>
      <c r="S131" t="s">
        <v>6099</v>
      </c>
      <c r="T131">
        <v>1</v>
      </c>
      <c r="U131" t="s">
        <v>6017</v>
      </c>
      <c r="V131">
        <v>0</v>
      </c>
    </row>
    <row r="132" spans="1:22" x14ac:dyDescent="0.3">
      <c r="A132" t="s">
        <v>147</v>
      </c>
      <c r="B132" s="2">
        <v>46029.756249999999</v>
      </c>
      <c r="C132" s="2">
        <v>46030.002083333333</v>
      </c>
      <c r="D132" t="s">
        <v>6028</v>
      </c>
      <c r="E132" t="s">
        <v>6029</v>
      </c>
      <c r="F132" t="s">
        <v>6035</v>
      </c>
      <c r="G132" t="s">
        <v>6089</v>
      </c>
      <c r="H132" t="s">
        <v>6098</v>
      </c>
      <c r="I132">
        <v>4</v>
      </c>
      <c r="J132">
        <v>5.9</v>
      </c>
      <c r="K132" t="s">
        <v>6100</v>
      </c>
      <c r="L132" t="s">
        <v>6100</v>
      </c>
      <c r="M132" t="s">
        <v>6100</v>
      </c>
      <c r="O132" t="s">
        <v>6101</v>
      </c>
      <c r="P132" t="s">
        <v>6107</v>
      </c>
      <c r="Q132">
        <v>1</v>
      </c>
      <c r="R132">
        <v>2026</v>
      </c>
      <c r="S132" t="s">
        <v>6100</v>
      </c>
      <c r="T132">
        <v>0</v>
      </c>
      <c r="U132" t="s">
        <v>6021</v>
      </c>
      <c r="V132">
        <v>0</v>
      </c>
    </row>
    <row r="133" spans="1:22" x14ac:dyDescent="0.3">
      <c r="A133" t="s">
        <v>148</v>
      </c>
      <c r="B133" s="2">
        <v>46029.962500000001</v>
      </c>
      <c r="C133" s="2">
        <v>46030.104166666664</v>
      </c>
      <c r="D133" t="s">
        <v>6023</v>
      </c>
      <c r="E133" t="s">
        <v>6030</v>
      </c>
      <c r="F133" t="s">
        <v>6033</v>
      </c>
      <c r="G133" t="s">
        <v>6048</v>
      </c>
      <c r="H133" t="s">
        <v>6096</v>
      </c>
      <c r="I133">
        <v>72</v>
      </c>
      <c r="J133">
        <v>3.4</v>
      </c>
      <c r="K133" t="s">
        <v>6099</v>
      </c>
      <c r="L133" t="s">
        <v>6100</v>
      </c>
      <c r="M133" t="s">
        <v>6100</v>
      </c>
      <c r="O133" t="s">
        <v>6101</v>
      </c>
      <c r="P133" t="s">
        <v>6107</v>
      </c>
      <c r="Q133">
        <v>1</v>
      </c>
      <c r="R133">
        <v>2026</v>
      </c>
      <c r="S133" t="s">
        <v>6099</v>
      </c>
      <c r="T133">
        <v>1</v>
      </c>
      <c r="U133" t="s">
        <v>6019</v>
      </c>
      <c r="V133">
        <v>1</v>
      </c>
    </row>
    <row r="134" spans="1:22" x14ac:dyDescent="0.3">
      <c r="A134" t="s">
        <v>149</v>
      </c>
      <c r="B134" s="2">
        <v>46030.204861111109</v>
      </c>
      <c r="C134" s="2">
        <v>46030.634027777778</v>
      </c>
      <c r="D134" t="s">
        <v>6022</v>
      </c>
      <c r="E134" t="s">
        <v>6029</v>
      </c>
      <c r="F134" t="s">
        <v>6035</v>
      </c>
      <c r="G134" t="s">
        <v>6044</v>
      </c>
      <c r="H134" t="s">
        <v>6097</v>
      </c>
      <c r="I134">
        <v>4</v>
      </c>
      <c r="J134">
        <v>10.3</v>
      </c>
      <c r="K134" t="s">
        <v>6099</v>
      </c>
      <c r="L134" t="s">
        <v>6100</v>
      </c>
      <c r="M134" t="s">
        <v>6099</v>
      </c>
      <c r="N134">
        <v>4</v>
      </c>
      <c r="O134" t="s">
        <v>6101</v>
      </c>
      <c r="P134" t="s">
        <v>6107</v>
      </c>
      <c r="Q134">
        <v>1</v>
      </c>
      <c r="R134">
        <v>2026</v>
      </c>
      <c r="S134" t="s">
        <v>6100</v>
      </c>
      <c r="T134">
        <v>0</v>
      </c>
      <c r="U134" t="s">
        <v>6021</v>
      </c>
      <c r="V134">
        <v>1</v>
      </c>
    </row>
    <row r="135" spans="1:22" x14ac:dyDescent="0.3">
      <c r="A135" t="s">
        <v>150</v>
      </c>
      <c r="B135" s="2">
        <v>46030.23333333333</v>
      </c>
      <c r="C135" s="2">
        <v>46035.175000000003</v>
      </c>
      <c r="D135" t="s">
        <v>6026</v>
      </c>
      <c r="E135" t="s">
        <v>6031</v>
      </c>
      <c r="F135" t="s">
        <v>6033</v>
      </c>
      <c r="G135" t="s">
        <v>6057</v>
      </c>
      <c r="H135" t="s">
        <v>6097</v>
      </c>
      <c r="I135">
        <v>72</v>
      </c>
      <c r="J135">
        <v>118.6</v>
      </c>
      <c r="K135" t="s">
        <v>6099</v>
      </c>
      <c r="L135" t="s">
        <v>6100</v>
      </c>
      <c r="M135" t="s">
        <v>6100</v>
      </c>
      <c r="N135">
        <v>3</v>
      </c>
      <c r="O135" t="s">
        <v>6101</v>
      </c>
      <c r="P135" t="s">
        <v>6107</v>
      </c>
      <c r="Q135">
        <v>1</v>
      </c>
      <c r="R135">
        <v>2026</v>
      </c>
      <c r="S135" t="s">
        <v>6100</v>
      </c>
      <c r="T135">
        <v>0</v>
      </c>
      <c r="U135" t="s">
        <v>6021</v>
      </c>
      <c r="V135">
        <v>1</v>
      </c>
    </row>
    <row r="136" spans="1:22" x14ac:dyDescent="0.3">
      <c r="A136" t="s">
        <v>151</v>
      </c>
      <c r="B136" s="2">
        <v>46030.254861111112</v>
      </c>
      <c r="C136" s="2">
        <v>46032.071527777778</v>
      </c>
      <c r="D136" t="s">
        <v>6024</v>
      </c>
      <c r="E136" t="s">
        <v>6031</v>
      </c>
      <c r="F136" t="s">
        <v>6034</v>
      </c>
      <c r="G136" t="s">
        <v>6089</v>
      </c>
      <c r="H136" t="s">
        <v>6098</v>
      </c>
      <c r="I136">
        <v>24</v>
      </c>
      <c r="J136">
        <v>43.6</v>
      </c>
      <c r="K136" t="s">
        <v>6099</v>
      </c>
      <c r="L136" t="s">
        <v>6100</v>
      </c>
      <c r="M136" t="s">
        <v>6100</v>
      </c>
      <c r="N136">
        <v>5</v>
      </c>
      <c r="O136" t="s">
        <v>6101</v>
      </c>
      <c r="P136" t="s">
        <v>6107</v>
      </c>
      <c r="Q136">
        <v>1</v>
      </c>
      <c r="R136">
        <v>2026</v>
      </c>
      <c r="S136" t="s">
        <v>6100</v>
      </c>
      <c r="T136">
        <v>0</v>
      </c>
      <c r="U136" t="s">
        <v>6019</v>
      </c>
      <c r="V136">
        <v>1</v>
      </c>
    </row>
    <row r="137" spans="1:22" x14ac:dyDescent="0.3">
      <c r="A137" t="s">
        <v>152</v>
      </c>
      <c r="B137" s="2">
        <v>46030.476388888892</v>
      </c>
      <c r="C137" s="2">
        <v>46031.259722222225</v>
      </c>
      <c r="D137" t="s">
        <v>6025</v>
      </c>
      <c r="E137" t="s">
        <v>6029</v>
      </c>
      <c r="F137" t="s">
        <v>6034</v>
      </c>
      <c r="G137" t="s">
        <v>6046</v>
      </c>
      <c r="H137" t="s">
        <v>6098</v>
      </c>
      <c r="I137">
        <v>24</v>
      </c>
      <c r="J137">
        <v>18.8</v>
      </c>
      <c r="K137" t="s">
        <v>6100</v>
      </c>
      <c r="L137" t="s">
        <v>6100</v>
      </c>
      <c r="M137" t="s">
        <v>6100</v>
      </c>
      <c r="N137">
        <v>5</v>
      </c>
      <c r="O137" t="s">
        <v>6101</v>
      </c>
      <c r="P137" t="s">
        <v>6107</v>
      </c>
      <c r="Q137">
        <v>1</v>
      </c>
      <c r="R137">
        <v>2026</v>
      </c>
      <c r="S137" t="s">
        <v>6099</v>
      </c>
      <c r="T137">
        <v>1</v>
      </c>
      <c r="U137" t="s">
        <v>6020</v>
      </c>
      <c r="V137">
        <v>0</v>
      </c>
    </row>
    <row r="138" spans="1:22" x14ac:dyDescent="0.3">
      <c r="A138" t="s">
        <v>153</v>
      </c>
      <c r="B138" s="2">
        <v>46030.480555555558</v>
      </c>
      <c r="C138" s="2">
        <v>46030.701388888891</v>
      </c>
      <c r="D138" t="s">
        <v>6023</v>
      </c>
      <c r="E138" t="s">
        <v>6030</v>
      </c>
      <c r="F138" t="s">
        <v>6034</v>
      </c>
      <c r="G138" t="s">
        <v>6088</v>
      </c>
      <c r="H138" t="s">
        <v>6097</v>
      </c>
      <c r="I138">
        <v>24</v>
      </c>
      <c r="J138">
        <v>5.3</v>
      </c>
      <c r="K138" t="s">
        <v>6099</v>
      </c>
      <c r="L138" t="s">
        <v>6100</v>
      </c>
      <c r="M138" t="s">
        <v>6100</v>
      </c>
      <c r="N138">
        <v>5</v>
      </c>
      <c r="O138" t="s">
        <v>6101</v>
      </c>
      <c r="P138" t="s">
        <v>6107</v>
      </c>
      <c r="Q138">
        <v>1</v>
      </c>
      <c r="R138">
        <v>2026</v>
      </c>
      <c r="S138" t="s">
        <v>6099</v>
      </c>
      <c r="T138">
        <v>1</v>
      </c>
      <c r="U138" t="s">
        <v>6021</v>
      </c>
      <c r="V138">
        <v>1</v>
      </c>
    </row>
    <row r="139" spans="1:22" x14ac:dyDescent="0.3">
      <c r="A139" t="s">
        <v>154</v>
      </c>
      <c r="B139" s="2">
        <v>46030.525694444441</v>
      </c>
      <c r="C139" s="2">
        <v>46030.842361111114</v>
      </c>
      <c r="D139" t="s">
        <v>6025</v>
      </c>
      <c r="E139" t="s">
        <v>6031</v>
      </c>
      <c r="F139" t="s">
        <v>6035</v>
      </c>
      <c r="G139" t="s">
        <v>6088</v>
      </c>
      <c r="H139" t="s">
        <v>6097</v>
      </c>
      <c r="I139">
        <v>4</v>
      </c>
      <c r="J139">
        <v>7.6</v>
      </c>
      <c r="K139" t="s">
        <v>6099</v>
      </c>
      <c r="L139" t="s">
        <v>6100</v>
      </c>
      <c r="M139" t="s">
        <v>6099</v>
      </c>
      <c r="N139">
        <v>4</v>
      </c>
      <c r="O139" t="s">
        <v>6101</v>
      </c>
      <c r="P139" t="s">
        <v>6107</v>
      </c>
      <c r="Q139">
        <v>1</v>
      </c>
      <c r="R139">
        <v>2026</v>
      </c>
      <c r="S139" t="s">
        <v>6100</v>
      </c>
      <c r="T139">
        <v>0</v>
      </c>
      <c r="U139" t="s">
        <v>6017</v>
      </c>
      <c r="V139">
        <v>1</v>
      </c>
    </row>
    <row r="140" spans="1:22" x14ac:dyDescent="0.3">
      <c r="A140" t="s">
        <v>155</v>
      </c>
      <c r="B140" s="2">
        <v>46030.618055555555</v>
      </c>
      <c r="C140" s="2">
        <v>46032.359722222223</v>
      </c>
      <c r="D140" t="s">
        <v>6025</v>
      </c>
      <c r="E140" t="s">
        <v>6031</v>
      </c>
      <c r="F140" t="s">
        <v>6033</v>
      </c>
      <c r="G140" t="s">
        <v>6088</v>
      </c>
      <c r="H140" t="s">
        <v>6097</v>
      </c>
      <c r="I140">
        <v>72</v>
      </c>
      <c r="J140">
        <v>41.8</v>
      </c>
      <c r="K140" t="s">
        <v>6099</v>
      </c>
      <c r="L140" t="s">
        <v>6100</v>
      </c>
      <c r="M140" t="s">
        <v>6100</v>
      </c>
      <c r="O140" t="s">
        <v>6101</v>
      </c>
      <c r="P140" t="s">
        <v>6107</v>
      </c>
      <c r="Q140">
        <v>1</v>
      </c>
      <c r="R140">
        <v>2026</v>
      </c>
      <c r="S140" t="s">
        <v>6099</v>
      </c>
      <c r="T140">
        <v>1</v>
      </c>
      <c r="U140" t="s">
        <v>6017</v>
      </c>
      <c r="V140">
        <v>1</v>
      </c>
    </row>
    <row r="141" spans="1:22" x14ac:dyDescent="0.3">
      <c r="A141" t="s">
        <v>156</v>
      </c>
      <c r="B141" s="2">
        <v>46030.634027777778</v>
      </c>
      <c r="C141" s="2">
        <v>46031.479861111111</v>
      </c>
      <c r="D141" t="s">
        <v>6022</v>
      </c>
      <c r="E141" t="s">
        <v>6029</v>
      </c>
      <c r="F141" t="s">
        <v>6034</v>
      </c>
      <c r="G141" t="s">
        <v>6048</v>
      </c>
      <c r="H141" t="s">
        <v>6096</v>
      </c>
      <c r="I141">
        <v>24</v>
      </c>
      <c r="J141">
        <v>20.3</v>
      </c>
      <c r="K141" t="s">
        <v>6100</v>
      </c>
      <c r="L141" t="s">
        <v>6100</v>
      </c>
      <c r="M141" t="s">
        <v>6100</v>
      </c>
      <c r="N141">
        <v>4</v>
      </c>
      <c r="O141" t="s">
        <v>6101</v>
      </c>
      <c r="P141" t="s">
        <v>6107</v>
      </c>
      <c r="Q141">
        <v>1</v>
      </c>
      <c r="R141">
        <v>2026</v>
      </c>
      <c r="S141" t="s">
        <v>6099</v>
      </c>
      <c r="T141">
        <v>1</v>
      </c>
      <c r="U141" t="s">
        <v>6020</v>
      </c>
      <c r="V141">
        <v>0</v>
      </c>
    </row>
    <row r="142" spans="1:22" x14ac:dyDescent="0.3">
      <c r="A142" t="s">
        <v>157</v>
      </c>
      <c r="B142" s="2">
        <v>46030.635416666664</v>
      </c>
      <c r="C142" s="2">
        <v>46031.318749999999</v>
      </c>
      <c r="D142" t="s">
        <v>6028</v>
      </c>
      <c r="E142" t="s">
        <v>6029</v>
      </c>
      <c r="F142" t="s">
        <v>6035</v>
      </c>
      <c r="G142" t="s">
        <v>6073</v>
      </c>
      <c r="H142" t="s">
        <v>6096</v>
      </c>
      <c r="I142">
        <v>4</v>
      </c>
      <c r="J142">
        <v>16.399999999999999</v>
      </c>
      <c r="K142" t="s">
        <v>6099</v>
      </c>
      <c r="L142" t="s">
        <v>6100</v>
      </c>
      <c r="M142" t="s">
        <v>6100</v>
      </c>
      <c r="N142">
        <v>5</v>
      </c>
      <c r="O142" t="s">
        <v>6101</v>
      </c>
      <c r="P142" t="s">
        <v>6107</v>
      </c>
      <c r="Q142">
        <v>1</v>
      </c>
      <c r="R142">
        <v>2026</v>
      </c>
      <c r="S142" t="s">
        <v>6100</v>
      </c>
      <c r="T142">
        <v>0</v>
      </c>
      <c r="U142" t="s">
        <v>6017</v>
      </c>
      <c r="V142">
        <v>1</v>
      </c>
    </row>
    <row r="143" spans="1:22" x14ac:dyDescent="0.3">
      <c r="A143" t="s">
        <v>158</v>
      </c>
      <c r="B143" s="2">
        <v>46030.638888888891</v>
      </c>
      <c r="C143" s="2">
        <v>46032.830555555556</v>
      </c>
      <c r="D143" t="s">
        <v>6024</v>
      </c>
      <c r="E143" t="s">
        <v>6029</v>
      </c>
      <c r="F143" t="s">
        <v>6034</v>
      </c>
      <c r="G143" t="s">
        <v>6087</v>
      </c>
      <c r="H143" t="s">
        <v>6098</v>
      </c>
      <c r="I143">
        <v>24</v>
      </c>
      <c r="J143">
        <v>52.6</v>
      </c>
      <c r="K143" t="s">
        <v>6099</v>
      </c>
      <c r="L143" t="s">
        <v>6100</v>
      </c>
      <c r="M143" t="s">
        <v>6099</v>
      </c>
      <c r="N143">
        <v>3</v>
      </c>
      <c r="O143" t="s">
        <v>6101</v>
      </c>
      <c r="P143" t="s">
        <v>6107</v>
      </c>
      <c r="Q143">
        <v>1</v>
      </c>
      <c r="R143">
        <v>2026</v>
      </c>
      <c r="S143" t="s">
        <v>6100</v>
      </c>
      <c r="T143">
        <v>0</v>
      </c>
      <c r="U143" t="s">
        <v>6018</v>
      </c>
      <c r="V143">
        <v>1</v>
      </c>
    </row>
    <row r="144" spans="1:22" x14ac:dyDescent="0.3">
      <c r="A144" t="s">
        <v>159</v>
      </c>
      <c r="B144" s="2">
        <v>46030.657638888886</v>
      </c>
      <c r="C144" s="2">
        <v>46030.915972222225</v>
      </c>
      <c r="D144" t="s">
        <v>6025</v>
      </c>
      <c r="E144" t="s">
        <v>6029</v>
      </c>
      <c r="F144" t="s">
        <v>6033</v>
      </c>
      <c r="G144" t="s">
        <v>6042</v>
      </c>
      <c r="H144" t="s">
        <v>6098</v>
      </c>
      <c r="I144">
        <v>72</v>
      </c>
      <c r="J144">
        <v>6.2</v>
      </c>
      <c r="K144" t="s">
        <v>6099</v>
      </c>
      <c r="L144" t="s">
        <v>6100</v>
      </c>
      <c r="M144" t="s">
        <v>6100</v>
      </c>
      <c r="N144">
        <v>5</v>
      </c>
      <c r="O144" t="s">
        <v>6101</v>
      </c>
      <c r="P144" t="s">
        <v>6107</v>
      </c>
      <c r="Q144">
        <v>1</v>
      </c>
      <c r="R144">
        <v>2026</v>
      </c>
      <c r="S144" t="s">
        <v>6099</v>
      </c>
      <c r="T144">
        <v>1</v>
      </c>
      <c r="U144" t="s">
        <v>6020</v>
      </c>
      <c r="V144">
        <v>1</v>
      </c>
    </row>
    <row r="145" spans="1:22" x14ac:dyDescent="0.3">
      <c r="A145" t="s">
        <v>160</v>
      </c>
      <c r="B145" s="2">
        <v>46030.689583333333</v>
      </c>
      <c r="C145" s="2">
        <v>46031.010416666664</v>
      </c>
      <c r="D145" t="s">
        <v>6028</v>
      </c>
      <c r="E145" t="s">
        <v>6031</v>
      </c>
      <c r="F145" t="s">
        <v>6035</v>
      </c>
      <c r="G145" t="s">
        <v>6050</v>
      </c>
      <c r="H145" t="s">
        <v>6098</v>
      </c>
      <c r="I145">
        <v>4</v>
      </c>
      <c r="J145">
        <v>7.7</v>
      </c>
      <c r="K145" t="s">
        <v>6100</v>
      </c>
      <c r="L145" t="s">
        <v>6099</v>
      </c>
      <c r="M145" t="s">
        <v>6100</v>
      </c>
      <c r="N145">
        <v>3</v>
      </c>
      <c r="O145" t="s">
        <v>6101</v>
      </c>
      <c r="P145" t="s">
        <v>6107</v>
      </c>
      <c r="Q145">
        <v>1</v>
      </c>
      <c r="R145">
        <v>2026</v>
      </c>
      <c r="S145" t="s">
        <v>6100</v>
      </c>
      <c r="T145">
        <v>0</v>
      </c>
      <c r="U145" t="s">
        <v>6018</v>
      </c>
      <c r="V145">
        <v>0</v>
      </c>
    </row>
    <row r="146" spans="1:22" x14ac:dyDescent="0.3">
      <c r="A146" t="s">
        <v>161</v>
      </c>
      <c r="B146" s="2">
        <v>46030.716666666667</v>
      </c>
      <c r="C146" s="2">
        <v>46030.854166666664</v>
      </c>
      <c r="D146" t="s">
        <v>6023</v>
      </c>
      <c r="E146" t="s">
        <v>6030</v>
      </c>
      <c r="F146" t="s">
        <v>6034</v>
      </c>
      <c r="G146" t="s">
        <v>6071</v>
      </c>
      <c r="H146" t="s">
        <v>6098</v>
      </c>
      <c r="I146">
        <v>24</v>
      </c>
      <c r="J146">
        <v>3.3</v>
      </c>
      <c r="K146" t="s">
        <v>6099</v>
      </c>
      <c r="L146" t="s">
        <v>6100</v>
      </c>
      <c r="M146" t="s">
        <v>6100</v>
      </c>
      <c r="N146">
        <v>5</v>
      </c>
      <c r="O146" t="s">
        <v>6101</v>
      </c>
      <c r="P146" t="s">
        <v>6107</v>
      </c>
      <c r="Q146">
        <v>1</v>
      </c>
      <c r="R146">
        <v>2026</v>
      </c>
      <c r="S146" t="s">
        <v>6099</v>
      </c>
      <c r="T146">
        <v>1</v>
      </c>
      <c r="U146" t="s">
        <v>6021</v>
      </c>
      <c r="V146">
        <v>1</v>
      </c>
    </row>
    <row r="147" spans="1:22" x14ac:dyDescent="0.3">
      <c r="A147" t="s">
        <v>162</v>
      </c>
      <c r="B147" s="2">
        <v>46030.716666666667</v>
      </c>
      <c r="C147" s="2">
        <v>46031</v>
      </c>
      <c r="D147" t="s">
        <v>6024</v>
      </c>
      <c r="E147" t="s">
        <v>6030</v>
      </c>
      <c r="F147" t="s">
        <v>6033</v>
      </c>
      <c r="G147" t="s">
        <v>6047</v>
      </c>
      <c r="H147" t="s">
        <v>6098</v>
      </c>
      <c r="I147">
        <v>72</v>
      </c>
      <c r="J147">
        <v>6.8</v>
      </c>
      <c r="K147" t="s">
        <v>6100</v>
      </c>
      <c r="L147" t="s">
        <v>6100</v>
      </c>
      <c r="M147" t="s">
        <v>6100</v>
      </c>
      <c r="N147">
        <v>4</v>
      </c>
      <c r="O147" t="s">
        <v>6101</v>
      </c>
      <c r="P147" t="s">
        <v>6107</v>
      </c>
      <c r="Q147">
        <v>1</v>
      </c>
      <c r="R147">
        <v>2026</v>
      </c>
      <c r="S147" t="s">
        <v>6099</v>
      </c>
      <c r="T147">
        <v>1</v>
      </c>
      <c r="U147" t="s">
        <v>6018</v>
      </c>
      <c r="V147">
        <v>0</v>
      </c>
    </row>
    <row r="148" spans="1:22" x14ac:dyDescent="0.3">
      <c r="A148" t="s">
        <v>163</v>
      </c>
      <c r="B148" s="2">
        <v>46030.744444444441</v>
      </c>
      <c r="C148" s="2">
        <v>46033.869444444441</v>
      </c>
      <c r="D148" t="s">
        <v>6026</v>
      </c>
      <c r="E148" t="s">
        <v>6031</v>
      </c>
      <c r="F148" t="s">
        <v>6033</v>
      </c>
      <c r="G148" t="s">
        <v>6075</v>
      </c>
      <c r="H148" t="s">
        <v>6097</v>
      </c>
      <c r="I148">
        <v>72</v>
      </c>
      <c r="J148">
        <v>75</v>
      </c>
      <c r="K148" t="s">
        <v>6100</v>
      </c>
      <c r="L148" t="s">
        <v>6099</v>
      </c>
      <c r="M148" t="s">
        <v>6100</v>
      </c>
      <c r="N148">
        <v>4</v>
      </c>
      <c r="O148" t="s">
        <v>6101</v>
      </c>
      <c r="P148" t="s">
        <v>6107</v>
      </c>
      <c r="Q148">
        <v>1</v>
      </c>
      <c r="R148">
        <v>2026</v>
      </c>
      <c r="S148" t="s">
        <v>6100</v>
      </c>
      <c r="T148">
        <v>0</v>
      </c>
      <c r="U148" t="s">
        <v>6018</v>
      </c>
      <c r="V148">
        <v>0</v>
      </c>
    </row>
    <row r="149" spans="1:22" x14ac:dyDescent="0.3">
      <c r="A149" t="s">
        <v>164</v>
      </c>
      <c r="B149" s="2">
        <v>46030.806944444441</v>
      </c>
      <c r="C149" s="2">
        <v>46031.019444444442</v>
      </c>
      <c r="D149" t="s">
        <v>6024</v>
      </c>
      <c r="E149" t="s">
        <v>6030</v>
      </c>
      <c r="F149" t="s">
        <v>6033</v>
      </c>
      <c r="G149" t="s">
        <v>6046</v>
      </c>
      <c r="H149" t="s">
        <v>6098</v>
      </c>
      <c r="I149">
        <v>72</v>
      </c>
      <c r="J149">
        <v>5.0999999999999996</v>
      </c>
      <c r="K149" t="s">
        <v>6099</v>
      </c>
      <c r="L149" t="s">
        <v>6100</v>
      </c>
      <c r="M149" t="s">
        <v>6100</v>
      </c>
      <c r="N149">
        <v>4</v>
      </c>
      <c r="O149" t="s">
        <v>6101</v>
      </c>
      <c r="P149" t="s">
        <v>6107</v>
      </c>
      <c r="Q149">
        <v>1</v>
      </c>
      <c r="R149">
        <v>2026</v>
      </c>
      <c r="S149" t="s">
        <v>6099</v>
      </c>
      <c r="T149">
        <v>1</v>
      </c>
      <c r="U149" t="s">
        <v>6019</v>
      </c>
      <c r="V149">
        <v>1</v>
      </c>
    </row>
    <row r="150" spans="1:22" x14ac:dyDescent="0.3">
      <c r="A150" t="s">
        <v>165</v>
      </c>
      <c r="B150" s="2">
        <v>46031.351388888892</v>
      </c>
      <c r="C150" s="2">
        <v>46031.884722222225</v>
      </c>
      <c r="D150" t="s">
        <v>6023</v>
      </c>
      <c r="E150" t="s">
        <v>6032</v>
      </c>
      <c r="F150" t="s">
        <v>6033</v>
      </c>
      <c r="G150" t="s">
        <v>6044</v>
      </c>
      <c r="H150" t="s">
        <v>6097</v>
      </c>
      <c r="I150">
        <v>72</v>
      </c>
      <c r="J150">
        <v>12.8</v>
      </c>
      <c r="K150" t="s">
        <v>6099</v>
      </c>
      <c r="L150" t="s">
        <v>6100</v>
      </c>
      <c r="M150" t="s">
        <v>6100</v>
      </c>
      <c r="N150">
        <v>5</v>
      </c>
      <c r="O150" t="s">
        <v>6101</v>
      </c>
      <c r="P150" t="s">
        <v>6107</v>
      </c>
      <c r="Q150">
        <v>1</v>
      </c>
      <c r="R150">
        <v>2026</v>
      </c>
      <c r="S150" t="s">
        <v>6099</v>
      </c>
      <c r="T150">
        <v>1</v>
      </c>
      <c r="U150" t="s">
        <v>6020</v>
      </c>
      <c r="V150">
        <v>1</v>
      </c>
    </row>
    <row r="151" spans="1:22" x14ac:dyDescent="0.3">
      <c r="A151" t="s">
        <v>166</v>
      </c>
      <c r="B151" s="2">
        <v>46031.40347222222</v>
      </c>
      <c r="C151" s="2">
        <v>46032.915972222225</v>
      </c>
      <c r="D151" t="s">
        <v>6025</v>
      </c>
      <c r="E151" t="s">
        <v>6031</v>
      </c>
      <c r="F151" t="s">
        <v>6034</v>
      </c>
      <c r="G151" t="s">
        <v>6089</v>
      </c>
      <c r="H151" t="s">
        <v>6098</v>
      </c>
      <c r="I151">
        <v>24</v>
      </c>
      <c r="J151">
        <v>36.299999999999997</v>
      </c>
      <c r="K151" t="s">
        <v>6099</v>
      </c>
      <c r="L151" t="s">
        <v>6100</v>
      </c>
      <c r="M151" t="s">
        <v>6100</v>
      </c>
      <c r="N151">
        <v>4</v>
      </c>
      <c r="O151" t="s">
        <v>6101</v>
      </c>
      <c r="P151" t="s">
        <v>6107</v>
      </c>
      <c r="Q151">
        <v>1</v>
      </c>
      <c r="R151">
        <v>2026</v>
      </c>
      <c r="S151" t="s">
        <v>6100</v>
      </c>
      <c r="T151">
        <v>0</v>
      </c>
      <c r="U151" t="s">
        <v>6018</v>
      </c>
      <c r="V151">
        <v>1</v>
      </c>
    </row>
    <row r="152" spans="1:22" x14ac:dyDescent="0.3">
      <c r="A152" t="s">
        <v>167</v>
      </c>
      <c r="B152" s="2">
        <v>46031.405555555553</v>
      </c>
      <c r="C152" s="2">
        <v>46031.55972222222</v>
      </c>
      <c r="D152" t="s">
        <v>6023</v>
      </c>
      <c r="E152" t="s">
        <v>6030</v>
      </c>
      <c r="F152" t="s">
        <v>6033</v>
      </c>
      <c r="G152" t="s">
        <v>6083</v>
      </c>
      <c r="H152" t="s">
        <v>6096</v>
      </c>
      <c r="I152">
        <v>72</v>
      </c>
      <c r="J152">
        <v>3.7</v>
      </c>
      <c r="K152" t="s">
        <v>6099</v>
      </c>
      <c r="L152" t="s">
        <v>6100</v>
      </c>
      <c r="M152" t="s">
        <v>6100</v>
      </c>
      <c r="O152" t="s">
        <v>6101</v>
      </c>
      <c r="P152" t="s">
        <v>6107</v>
      </c>
      <c r="Q152">
        <v>1</v>
      </c>
      <c r="R152">
        <v>2026</v>
      </c>
      <c r="S152" t="s">
        <v>6099</v>
      </c>
      <c r="T152">
        <v>1</v>
      </c>
      <c r="U152" t="s">
        <v>6021</v>
      </c>
      <c r="V152">
        <v>1</v>
      </c>
    </row>
    <row r="153" spans="1:22" x14ac:dyDescent="0.3">
      <c r="A153" t="s">
        <v>168</v>
      </c>
      <c r="B153" s="2">
        <v>46031.409722222219</v>
      </c>
      <c r="C153" s="2">
        <v>46031.663888888892</v>
      </c>
      <c r="D153" t="s">
        <v>6025</v>
      </c>
      <c r="E153" t="s">
        <v>6031</v>
      </c>
      <c r="F153" t="s">
        <v>6033</v>
      </c>
      <c r="G153" t="s">
        <v>6071</v>
      </c>
      <c r="H153" t="s">
        <v>6098</v>
      </c>
      <c r="I153">
        <v>72</v>
      </c>
      <c r="J153">
        <v>6.1</v>
      </c>
      <c r="K153" t="s">
        <v>6100</v>
      </c>
      <c r="L153" t="s">
        <v>6100</v>
      </c>
      <c r="M153" t="s">
        <v>6099</v>
      </c>
      <c r="N153">
        <v>4</v>
      </c>
      <c r="O153" t="s">
        <v>6101</v>
      </c>
      <c r="P153" t="s">
        <v>6107</v>
      </c>
      <c r="Q153">
        <v>1</v>
      </c>
      <c r="R153">
        <v>2026</v>
      </c>
      <c r="S153" t="s">
        <v>6099</v>
      </c>
      <c r="T153">
        <v>1</v>
      </c>
      <c r="U153" t="s">
        <v>6020</v>
      </c>
      <c r="V153">
        <v>0</v>
      </c>
    </row>
    <row r="154" spans="1:22" x14ac:dyDescent="0.3">
      <c r="A154" t="s">
        <v>169</v>
      </c>
      <c r="B154" s="2">
        <v>46031.462500000001</v>
      </c>
      <c r="C154" s="2">
        <v>46031.570833333331</v>
      </c>
      <c r="D154" t="s">
        <v>6027</v>
      </c>
      <c r="E154" t="s">
        <v>6029</v>
      </c>
      <c r="F154" t="s">
        <v>6034</v>
      </c>
      <c r="G154" t="s">
        <v>6090</v>
      </c>
      <c r="H154" t="s">
        <v>6097</v>
      </c>
      <c r="I154">
        <v>24</v>
      </c>
      <c r="J154">
        <v>2.6</v>
      </c>
      <c r="K154" t="s">
        <v>6100</v>
      </c>
      <c r="L154" t="s">
        <v>6100</v>
      </c>
      <c r="M154" t="s">
        <v>6099</v>
      </c>
      <c r="O154" t="s">
        <v>6101</v>
      </c>
      <c r="P154" t="s">
        <v>6107</v>
      </c>
      <c r="Q154">
        <v>1</v>
      </c>
      <c r="R154">
        <v>2026</v>
      </c>
      <c r="S154" t="s">
        <v>6099</v>
      </c>
      <c r="T154">
        <v>1</v>
      </c>
      <c r="U154" t="s">
        <v>6018</v>
      </c>
      <c r="V154">
        <v>0</v>
      </c>
    </row>
    <row r="155" spans="1:22" x14ac:dyDescent="0.3">
      <c r="A155" t="s">
        <v>170</v>
      </c>
      <c r="B155" s="2">
        <v>46031.477777777778</v>
      </c>
      <c r="C155" s="2">
        <v>46031.652777777781</v>
      </c>
      <c r="D155" t="s">
        <v>6028</v>
      </c>
      <c r="E155" t="s">
        <v>6029</v>
      </c>
      <c r="F155" t="s">
        <v>6033</v>
      </c>
      <c r="G155" t="s">
        <v>6091</v>
      </c>
      <c r="H155" t="s">
        <v>6097</v>
      </c>
      <c r="I155">
        <v>72</v>
      </c>
      <c r="J155">
        <v>4.2</v>
      </c>
      <c r="K155" t="s">
        <v>6099</v>
      </c>
      <c r="L155" t="s">
        <v>6100</v>
      </c>
      <c r="M155" t="s">
        <v>6100</v>
      </c>
      <c r="N155">
        <v>5</v>
      </c>
      <c r="O155" t="s">
        <v>6101</v>
      </c>
      <c r="P155" t="s">
        <v>6107</v>
      </c>
      <c r="Q155">
        <v>1</v>
      </c>
      <c r="R155">
        <v>2026</v>
      </c>
      <c r="S155" t="s">
        <v>6099</v>
      </c>
      <c r="T155">
        <v>1</v>
      </c>
      <c r="U155" t="s">
        <v>6021</v>
      </c>
      <c r="V155">
        <v>1</v>
      </c>
    </row>
    <row r="156" spans="1:22" x14ac:dyDescent="0.3">
      <c r="A156" t="s">
        <v>171</v>
      </c>
      <c r="B156" s="2">
        <v>46031.511805555558</v>
      </c>
      <c r="C156" s="2">
        <v>46033.411805555559</v>
      </c>
      <c r="D156" t="s">
        <v>6022</v>
      </c>
      <c r="E156" t="s">
        <v>6031</v>
      </c>
      <c r="F156" t="s">
        <v>6033</v>
      </c>
      <c r="G156" t="s">
        <v>6089</v>
      </c>
      <c r="H156" t="s">
        <v>6098</v>
      </c>
      <c r="I156">
        <v>72</v>
      </c>
      <c r="J156">
        <v>45.6</v>
      </c>
      <c r="K156" t="s">
        <v>6099</v>
      </c>
      <c r="L156" t="s">
        <v>6100</v>
      </c>
      <c r="M156" t="s">
        <v>6100</v>
      </c>
      <c r="N156">
        <v>3</v>
      </c>
      <c r="O156" t="s">
        <v>6101</v>
      </c>
      <c r="P156" t="s">
        <v>6107</v>
      </c>
      <c r="Q156">
        <v>1</v>
      </c>
      <c r="R156">
        <v>2026</v>
      </c>
      <c r="S156" t="s">
        <v>6099</v>
      </c>
      <c r="T156">
        <v>1</v>
      </c>
      <c r="U156" t="s">
        <v>6018</v>
      </c>
      <c r="V156">
        <v>1</v>
      </c>
    </row>
    <row r="157" spans="1:22" x14ac:dyDescent="0.3">
      <c r="A157" t="s">
        <v>172</v>
      </c>
      <c r="B157" s="2">
        <v>46031.538888888892</v>
      </c>
      <c r="C157" s="2">
        <v>46031.743055555555</v>
      </c>
      <c r="D157" t="s">
        <v>6027</v>
      </c>
      <c r="E157" t="s">
        <v>6030</v>
      </c>
      <c r="F157" t="s">
        <v>6033</v>
      </c>
      <c r="G157" t="s">
        <v>6061</v>
      </c>
      <c r="H157" t="s">
        <v>6096</v>
      </c>
      <c r="I157">
        <v>72</v>
      </c>
      <c r="J157">
        <v>4.9000000000000004</v>
      </c>
      <c r="K157" t="s">
        <v>6100</v>
      </c>
      <c r="L157" t="s">
        <v>6099</v>
      </c>
      <c r="M157" t="s">
        <v>6099</v>
      </c>
      <c r="N157">
        <v>5</v>
      </c>
      <c r="O157" t="s">
        <v>6101</v>
      </c>
      <c r="P157" t="s">
        <v>6107</v>
      </c>
      <c r="Q157">
        <v>1</v>
      </c>
      <c r="R157">
        <v>2026</v>
      </c>
      <c r="S157" t="s">
        <v>6099</v>
      </c>
      <c r="T157">
        <v>1</v>
      </c>
      <c r="U157" t="s">
        <v>6018</v>
      </c>
      <c r="V157">
        <v>0</v>
      </c>
    </row>
    <row r="158" spans="1:22" x14ac:dyDescent="0.3">
      <c r="A158" t="s">
        <v>173</v>
      </c>
      <c r="B158" s="2">
        <v>46031.54583333333</v>
      </c>
      <c r="C158" s="2">
        <v>46036.029166666667</v>
      </c>
      <c r="D158" t="s">
        <v>6026</v>
      </c>
      <c r="E158" t="s">
        <v>6031</v>
      </c>
      <c r="F158" t="s">
        <v>6034</v>
      </c>
      <c r="G158" t="s">
        <v>6059</v>
      </c>
      <c r="H158" t="s">
        <v>6097</v>
      </c>
      <c r="I158">
        <v>24</v>
      </c>
      <c r="J158">
        <v>107.6</v>
      </c>
      <c r="K158" t="s">
        <v>6099</v>
      </c>
      <c r="L158" t="s">
        <v>6100</v>
      </c>
      <c r="M158" t="s">
        <v>6100</v>
      </c>
      <c r="N158">
        <v>4</v>
      </c>
      <c r="O158" t="s">
        <v>6101</v>
      </c>
      <c r="P158" t="s">
        <v>6107</v>
      </c>
      <c r="Q158">
        <v>1</v>
      </c>
      <c r="R158">
        <v>2026</v>
      </c>
      <c r="S158" t="s">
        <v>6100</v>
      </c>
      <c r="T158">
        <v>0</v>
      </c>
      <c r="U158" t="s">
        <v>6018</v>
      </c>
      <c r="V158">
        <v>1</v>
      </c>
    </row>
    <row r="159" spans="1:22" x14ac:dyDescent="0.3">
      <c r="A159" t="s">
        <v>174</v>
      </c>
      <c r="B159" s="2">
        <v>46031.594444444447</v>
      </c>
      <c r="C159" s="2">
        <v>46033.969444444447</v>
      </c>
      <c r="D159" t="s">
        <v>6025</v>
      </c>
      <c r="E159" t="s">
        <v>6031</v>
      </c>
      <c r="F159" t="s">
        <v>6034</v>
      </c>
      <c r="G159" t="s">
        <v>6064</v>
      </c>
      <c r="H159" t="s">
        <v>6096</v>
      </c>
      <c r="I159">
        <v>24</v>
      </c>
      <c r="J159">
        <v>57</v>
      </c>
      <c r="K159" t="s">
        <v>6100</v>
      </c>
      <c r="L159" t="s">
        <v>6099</v>
      </c>
      <c r="M159" t="s">
        <v>6100</v>
      </c>
      <c r="O159" t="s">
        <v>6101</v>
      </c>
      <c r="P159" t="s">
        <v>6107</v>
      </c>
      <c r="Q159">
        <v>1</v>
      </c>
      <c r="R159">
        <v>2026</v>
      </c>
      <c r="S159" t="s">
        <v>6100</v>
      </c>
      <c r="T159">
        <v>0</v>
      </c>
      <c r="U159" t="s">
        <v>6019</v>
      </c>
      <c r="V159">
        <v>0</v>
      </c>
    </row>
    <row r="160" spans="1:22" x14ac:dyDescent="0.3">
      <c r="A160" t="s">
        <v>175</v>
      </c>
      <c r="B160" s="2">
        <v>46031.64166666667</v>
      </c>
      <c r="C160" s="2">
        <v>46031.879166666666</v>
      </c>
      <c r="D160" t="s">
        <v>6022</v>
      </c>
      <c r="E160" t="s">
        <v>6030</v>
      </c>
      <c r="F160" t="s">
        <v>6034</v>
      </c>
      <c r="G160" t="s">
        <v>6090</v>
      </c>
      <c r="H160" t="s">
        <v>6097</v>
      </c>
      <c r="I160">
        <v>24</v>
      </c>
      <c r="J160">
        <v>5.7</v>
      </c>
      <c r="K160" t="s">
        <v>6099</v>
      </c>
      <c r="L160" t="s">
        <v>6100</v>
      </c>
      <c r="M160" t="s">
        <v>6100</v>
      </c>
      <c r="O160" t="s">
        <v>6101</v>
      </c>
      <c r="P160" t="s">
        <v>6107</v>
      </c>
      <c r="Q160">
        <v>1</v>
      </c>
      <c r="R160">
        <v>2026</v>
      </c>
      <c r="S160" t="s">
        <v>6099</v>
      </c>
      <c r="T160">
        <v>1</v>
      </c>
      <c r="U160" t="s">
        <v>6021</v>
      </c>
      <c r="V160">
        <v>1</v>
      </c>
    </row>
    <row r="161" spans="1:22" x14ac:dyDescent="0.3">
      <c r="A161" t="s">
        <v>176</v>
      </c>
      <c r="B161" s="2">
        <v>46031.646527777775</v>
      </c>
      <c r="C161" s="2">
        <v>46029.979861111111</v>
      </c>
      <c r="D161" t="s">
        <v>6022</v>
      </c>
      <c r="E161" t="s">
        <v>6029</v>
      </c>
      <c r="F161" t="s">
        <v>6033</v>
      </c>
      <c r="G161" t="s">
        <v>6069</v>
      </c>
      <c r="H161" t="s">
        <v>6098</v>
      </c>
      <c r="I161">
        <v>72</v>
      </c>
      <c r="J161">
        <v>23.9</v>
      </c>
      <c r="K161" t="s">
        <v>6099</v>
      </c>
      <c r="L161" t="s">
        <v>6100</v>
      </c>
      <c r="M161" t="s">
        <v>6100</v>
      </c>
      <c r="O161" t="s">
        <v>6101</v>
      </c>
      <c r="P161" t="s">
        <v>6107</v>
      </c>
      <c r="Q161">
        <v>1</v>
      </c>
      <c r="R161">
        <v>2026</v>
      </c>
      <c r="S161" t="s">
        <v>6099</v>
      </c>
      <c r="T161">
        <v>1</v>
      </c>
      <c r="U161" t="s">
        <v>6018</v>
      </c>
      <c r="V161">
        <v>1</v>
      </c>
    </row>
    <row r="162" spans="1:22" x14ac:dyDescent="0.3">
      <c r="A162" t="s">
        <v>177</v>
      </c>
      <c r="B162" s="2">
        <v>46031.655555555553</v>
      </c>
      <c r="C162" s="2">
        <v>46031.818055555559</v>
      </c>
      <c r="D162" t="s">
        <v>6022</v>
      </c>
      <c r="E162" t="s">
        <v>6030</v>
      </c>
      <c r="F162" t="s">
        <v>6034</v>
      </c>
      <c r="G162" t="s">
        <v>6069</v>
      </c>
      <c r="H162" t="s">
        <v>6098</v>
      </c>
      <c r="I162">
        <v>24</v>
      </c>
      <c r="J162">
        <v>3.9</v>
      </c>
      <c r="K162" t="s">
        <v>6099</v>
      </c>
      <c r="L162" t="s">
        <v>6100</v>
      </c>
      <c r="M162" t="s">
        <v>6100</v>
      </c>
      <c r="N162">
        <v>5</v>
      </c>
      <c r="O162" t="s">
        <v>6101</v>
      </c>
      <c r="P162" t="s">
        <v>6107</v>
      </c>
      <c r="Q162">
        <v>1</v>
      </c>
      <c r="R162">
        <v>2026</v>
      </c>
      <c r="S162" t="s">
        <v>6099</v>
      </c>
      <c r="T162">
        <v>1</v>
      </c>
      <c r="U162" t="s">
        <v>6021</v>
      </c>
      <c r="V162">
        <v>1</v>
      </c>
    </row>
    <row r="163" spans="1:22" x14ac:dyDescent="0.3">
      <c r="A163" t="s">
        <v>178</v>
      </c>
      <c r="B163" s="2">
        <v>46031.681944444441</v>
      </c>
      <c r="C163" s="2">
        <v>46033.915277777778</v>
      </c>
      <c r="D163" t="s">
        <v>6022</v>
      </c>
      <c r="E163" t="s">
        <v>6032</v>
      </c>
      <c r="F163" t="s">
        <v>6034</v>
      </c>
      <c r="G163" t="s">
        <v>6045</v>
      </c>
      <c r="H163" t="s">
        <v>6096</v>
      </c>
      <c r="I163">
        <v>24</v>
      </c>
      <c r="J163">
        <v>53.6</v>
      </c>
      <c r="K163" t="s">
        <v>6100</v>
      </c>
      <c r="L163" t="s">
        <v>6099</v>
      </c>
      <c r="M163" t="s">
        <v>6100</v>
      </c>
      <c r="N163">
        <v>3</v>
      </c>
      <c r="O163" t="s">
        <v>6101</v>
      </c>
      <c r="P163" t="s">
        <v>6107</v>
      </c>
      <c r="Q163">
        <v>1</v>
      </c>
      <c r="R163">
        <v>2026</v>
      </c>
      <c r="S163" t="s">
        <v>6100</v>
      </c>
      <c r="T163">
        <v>0</v>
      </c>
      <c r="U163" t="s">
        <v>6019</v>
      </c>
      <c r="V163">
        <v>0</v>
      </c>
    </row>
    <row r="164" spans="1:22" x14ac:dyDescent="0.3">
      <c r="A164" t="s">
        <v>179</v>
      </c>
      <c r="B164" s="2">
        <v>46031.690972222219</v>
      </c>
      <c r="C164" s="2">
        <v>46032.02847222222</v>
      </c>
      <c r="D164" t="s">
        <v>6024</v>
      </c>
      <c r="E164" t="s">
        <v>6030</v>
      </c>
      <c r="F164" t="s">
        <v>6033</v>
      </c>
      <c r="G164" t="s">
        <v>6089</v>
      </c>
      <c r="H164" t="s">
        <v>6098</v>
      </c>
      <c r="I164">
        <v>72</v>
      </c>
      <c r="J164">
        <v>8.1</v>
      </c>
      <c r="K164" t="s">
        <v>6100</v>
      </c>
      <c r="L164" t="s">
        <v>6100</v>
      </c>
      <c r="M164" t="s">
        <v>6100</v>
      </c>
      <c r="O164" t="s">
        <v>6101</v>
      </c>
      <c r="P164" t="s">
        <v>6107</v>
      </c>
      <c r="Q164">
        <v>1</v>
      </c>
      <c r="R164">
        <v>2026</v>
      </c>
      <c r="S164" t="s">
        <v>6099</v>
      </c>
      <c r="T164">
        <v>1</v>
      </c>
      <c r="U164" t="s">
        <v>6017</v>
      </c>
      <c r="V164">
        <v>0</v>
      </c>
    </row>
    <row r="165" spans="1:22" x14ac:dyDescent="0.3">
      <c r="A165" t="s">
        <v>180</v>
      </c>
      <c r="B165" s="2">
        <v>46031.701388888891</v>
      </c>
      <c r="C165" s="2">
        <v>46032.351388888892</v>
      </c>
      <c r="D165" t="s">
        <v>6025</v>
      </c>
      <c r="E165" t="s">
        <v>6030</v>
      </c>
      <c r="F165" t="s">
        <v>6033</v>
      </c>
      <c r="G165" t="s">
        <v>6036</v>
      </c>
      <c r="H165" t="s">
        <v>6096</v>
      </c>
      <c r="I165">
        <v>72</v>
      </c>
      <c r="J165">
        <v>15.6</v>
      </c>
      <c r="K165" t="s">
        <v>6100</v>
      </c>
      <c r="L165" t="s">
        <v>6100</v>
      </c>
      <c r="M165" t="s">
        <v>6100</v>
      </c>
      <c r="N165">
        <v>3</v>
      </c>
      <c r="O165" t="s">
        <v>6101</v>
      </c>
      <c r="P165" t="s">
        <v>6107</v>
      </c>
      <c r="Q165">
        <v>1</v>
      </c>
      <c r="R165">
        <v>2026</v>
      </c>
      <c r="S165" t="s">
        <v>6099</v>
      </c>
      <c r="T165">
        <v>1</v>
      </c>
      <c r="U165" t="s">
        <v>6017</v>
      </c>
      <c r="V165">
        <v>0</v>
      </c>
    </row>
    <row r="166" spans="1:22" x14ac:dyDescent="0.3">
      <c r="A166" t="s">
        <v>181</v>
      </c>
      <c r="B166" s="2">
        <v>46031.974305555559</v>
      </c>
      <c r="C166" s="2">
        <v>46032.874305555553</v>
      </c>
      <c r="D166" t="s">
        <v>6028</v>
      </c>
      <c r="E166" t="s">
        <v>6031</v>
      </c>
      <c r="F166" t="s">
        <v>6033</v>
      </c>
      <c r="G166" t="s">
        <v>6049</v>
      </c>
      <c r="H166" t="s">
        <v>6097</v>
      </c>
      <c r="I166">
        <v>72</v>
      </c>
      <c r="J166">
        <v>21.6</v>
      </c>
      <c r="K166" t="s">
        <v>6099</v>
      </c>
      <c r="L166" t="s">
        <v>6100</v>
      </c>
      <c r="M166" t="s">
        <v>6100</v>
      </c>
      <c r="N166">
        <v>3</v>
      </c>
      <c r="O166" t="s">
        <v>6101</v>
      </c>
      <c r="P166" t="s">
        <v>6107</v>
      </c>
      <c r="Q166">
        <v>1</v>
      </c>
      <c r="R166">
        <v>2026</v>
      </c>
      <c r="S166" t="s">
        <v>6099</v>
      </c>
      <c r="T166">
        <v>1</v>
      </c>
      <c r="U166" t="s">
        <v>6021</v>
      </c>
      <c r="V166">
        <v>1</v>
      </c>
    </row>
    <row r="167" spans="1:22" x14ac:dyDescent="0.3">
      <c r="A167" t="s">
        <v>182</v>
      </c>
      <c r="B167" s="2">
        <v>46032.152083333334</v>
      </c>
      <c r="C167" s="2">
        <v>46032.522916666669</v>
      </c>
      <c r="D167" t="s">
        <v>6025</v>
      </c>
      <c r="E167" t="s">
        <v>6029</v>
      </c>
      <c r="F167" t="s">
        <v>6033</v>
      </c>
      <c r="G167" t="s">
        <v>6072</v>
      </c>
      <c r="H167" t="s">
        <v>6097</v>
      </c>
      <c r="I167">
        <v>72</v>
      </c>
      <c r="J167">
        <v>8.9</v>
      </c>
      <c r="K167" t="s">
        <v>6099</v>
      </c>
      <c r="L167" t="s">
        <v>6100</v>
      </c>
      <c r="M167" t="s">
        <v>6100</v>
      </c>
      <c r="N167">
        <v>5</v>
      </c>
      <c r="O167" t="s">
        <v>6101</v>
      </c>
      <c r="P167" t="s">
        <v>6107</v>
      </c>
      <c r="Q167">
        <v>1</v>
      </c>
      <c r="R167">
        <v>2026</v>
      </c>
      <c r="S167" t="s">
        <v>6099</v>
      </c>
      <c r="T167">
        <v>1</v>
      </c>
      <c r="U167" t="s">
        <v>6020</v>
      </c>
      <c r="V167">
        <v>1</v>
      </c>
    </row>
    <row r="168" spans="1:22" x14ac:dyDescent="0.3">
      <c r="A168" t="s">
        <v>183</v>
      </c>
      <c r="B168" s="2">
        <v>46032.286111111112</v>
      </c>
      <c r="C168" s="2">
        <v>46034.836111111108</v>
      </c>
      <c r="D168" t="s">
        <v>6025</v>
      </c>
      <c r="E168" t="s">
        <v>6031</v>
      </c>
      <c r="F168" t="s">
        <v>6034</v>
      </c>
      <c r="G168" t="s">
        <v>6046</v>
      </c>
      <c r="H168" t="s">
        <v>6098</v>
      </c>
      <c r="I168">
        <v>24</v>
      </c>
      <c r="J168">
        <v>61.2</v>
      </c>
      <c r="K168" t="s">
        <v>6100</v>
      </c>
      <c r="L168" t="s">
        <v>6099</v>
      </c>
      <c r="M168" t="s">
        <v>6100</v>
      </c>
      <c r="N168">
        <v>1</v>
      </c>
      <c r="O168" t="s">
        <v>6101</v>
      </c>
      <c r="P168" t="s">
        <v>6107</v>
      </c>
      <c r="Q168">
        <v>1</v>
      </c>
      <c r="R168">
        <v>2026</v>
      </c>
      <c r="S168" t="s">
        <v>6100</v>
      </c>
      <c r="T168">
        <v>0</v>
      </c>
      <c r="U168" t="s">
        <v>6018</v>
      </c>
      <c r="V168">
        <v>0</v>
      </c>
    </row>
    <row r="169" spans="1:22" x14ac:dyDescent="0.3">
      <c r="A169" t="s">
        <v>184</v>
      </c>
      <c r="B169" s="2">
        <v>46032.420138888891</v>
      </c>
      <c r="C169" s="2">
        <v>46032.570138888892</v>
      </c>
      <c r="D169" t="s">
        <v>6028</v>
      </c>
      <c r="E169" t="s">
        <v>6029</v>
      </c>
      <c r="F169" t="s">
        <v>6035</v>
      </c>
      <c r="G169" t="s">
        <v>6092</v>
      </c>
      <c r="H169" t="s">
        <v>6097</v>
      </c>
      <c r="I169">
        <v>4</v>
      </c>
      <c r="J169">
        <v>3.6</v>
      </c>
      <c r="K169" t="s">
        <v>6099</v>
      </c>
      <c r="L169" t="s">
        <v>6100</v>
      </c>
      <c r="M169" t="s">
        <v>6100</v>
      </c>
      <c r="O169" t="s">
        <v>6101</v>
      </c>
      <c r="P169" t="s">
        <v>6107</v>
      </c>
      <c r="Q169">
        <v>1</v>
      </c>
      <c r="R169">
        <v>2026</v>
      </c>
      <c r="S169" t="s">
        <v>6099</v>
      </c>
      <c r="T169">
        <v>1</v>
      </c>
      <c r="U169" t="s">
        <v>6018</v>
      </c>
      <c r="V169">
        <v>1</v>
      </c>
    </row>
    <row r="170" spans="1:22" x14ac:dyDescent="0.3">
      <c r="A170" t="s">
        <v>185</v>
      </c>
      <c r="B170" s="2">
        <v>46032.432638888888</v>
      </c>
      <c r="C170" s="2">
        <v>46034.649305555555</v>
      </c>
      <c r="D170" t="s">
        <v>6027</v>
      </c>
      <c r="E170" t="s">
        <v>6031</v>
      </c>
      <c r="F170" t="s">
        <v>6033</v>
      </c>
      <c r="G170" t="s">
        <v>6090</v>
      </c>
      <c r="H170" t="s">
        <v>6097</v>
      </c>
      <c r="I170">
        <v>72</v>
      </c>
      <c r="J170">
        <v>53.2</v>
      </c>
      <c r="K170" t="s">
        <v>6100</v>
      </c>
      <c r="L170" t="s">
        <v>6100</v>
      </c>
      <c r="M170" t="s">
        <v>6099</v>
      </c>
      <c r="N170">
        <v>5</v>
      </c>
      <c r="O170" t="s">
        <v>6101</v>
      </c>
      <c r="P170" t="s">
        <v>6107</v>
      </c>
      <c r="Q170">
        <v>1</v>
      </c>
      <c r="R170">
        <v>2026</v>
      </c>
      <c r="S170" t="s">
        <v>6099</v>
      </c>
      <c r="T170">
        <v>1</v>
      </c>
      <c r="U170" t="s">
        <v>6020</v>
      </c>
      <c r="V170">
        <v>0</v>
      </c>
    </row>
    <row r="171" spans="1:22" x14ac:dyDescent="0.3">
      <c r="A171" t="s">
        <v>186</v>
      </c>
      <c r="B171" s="2">
        <v>46032.435416666667</v>
      </c>
      <c r="C171" s="2">
        <v>46033.039583333331</v>
      </c>
      <c r="D171" t="s">
        <v>6028</v>
      </c>
      <c r="E171" t="s">
        <v>6031</v>
      </c>
      <c r="F171" t="s">
        <v>6033</v>
      </c>
      <c r="G171" t="s">
        <v>6086</v>
      </c>
      <c r="H171" t="s">
        <v>6098</v>
      </c>
      <c r="I171">
        <v>72</v>
      </c>
      <c r="J171">
        <v>14.5</v>
      </c>
      <c r="K171" t="s">
        <v>6099</v>
      </c>
      <c r="L171" t="s">
        <v>6100</v>
      </c>
      <c r="M171" t="s">
        <v>6100</v>
      </c>
      <c r="N171">
        <v>5</v>
      </c>
      <c r="O171" t="s">
        <v>6101</v>
      </c>
      <c r="P171" t="s">
        <v>6107</v>
      </c>
      <c r="Q171">
        <v>1</v>
      </c>
      <c r="R171">
        <v>2026</v>
      </c>
      <c r="S171" t="s">
        <v>6099</v>
      </c>
      <c r="T171">
        <v>1</v>
      </c>
      <c r="U171" t="s">
        <v>6018</v>
      </c>
      <c r="V171">
        <v>1</v>
      </c>
    </row>
    <row r="172" spans="1:22" x14ac:dyDescent="0.3">
      <c r="A172" t="s">
        <v>187</v>
      </c>
      <c r="B172" s="2">
        <v>46032.484027777777</v>
      </c>
      <c r="C172" s="2">
        <v>46033.200694444444</v>
      </c>
      <c r="D172" t="s">
        <v>6028</v>
      </c>
      <c r="E172" t="s">
        <v>6030</v>
      </c>
      <c r="F172" t="s">
        <v>6035</v>
      </c>
      <c r="G172" t="s">
        <v>6066</v>
      </c>
      <c r="H172" t="s">
        <v>6096</v>
      </c>
      <c r="I172">
        <v>4</v>
      </c>
      <c r="J172">
        <v>17.2</v>
      </c>
      <c r="K172" t="s">
        <v>6099</v>
      </c>
      <c r="L172" t="s">
        <v>6100</v>
      </c>
      <c r="M172" t="s">
        <v>6100</v>
      </c>
      <c r="N172">
        <v>4</v>
      </c>
      <c r="O172" t="s">
        <v>6101</v>
      </c>
      <c r="P172" t="s">
        <v>6107</v>
      </c>
      <c r="Q172">
        <v>1</v>
      </c>
      <c r="R172">
        <v>2026</v>
      </c>
      <c r="S172" t="s">
        <v>6100</v>
      </c>
      <c r="T172">
        <v>0</v>
      </c>
      <c r="U172" t="s">
        <v>6021</v>
      </c>
      <c r="V172">
        <v>1</v>
      </c>
    </row>
    <row r="173" spans="1:22" x14ac:dyDescent="0.3">
      <c r="A173" t="s">
        <v>188</v>
      </c>
      <c r="B173" s="2">
        <v>46032.507638888892</v>
      </c>
      <c r="C173" s="2">
        <v>46032.640972222223</v>
      </c>
      <c r="D173" t="s">
        <v>6023</v>
      </c>
      <c r="E173" t="s">
        <v>6029</v>
      </c>
      <c r="F173" t="s">
        <v>6035</v>
      </c>
      <c r="G173" t="s">
        <v>6074</v>
      </c>
      <c r="H173" t="s">
        <v>6098</v>
      </c>
      <c r="I173">
        <v>4</v>
      </c>
      <c r="J173">
        <v>3.2</v>
      </c>
      <c r="K173" t="s">
        <v>6099</v>
      </c>
      <c r="L173" t="s">
        <v>6100</v>
      </c>
      <c r="M173" t="s">
        <v>6100</v>
      </c>
      <c r="N173">
        <v>5</v>
      </c>
      <c r="O173" t="s">
        <v>6101</v>
      </c>
      <c r="P173" t="s">
        <v>6107</v>
      </c>
      <c r="Q173">
        <v>1</v>
      </c>
      <c r="R173">
        <v>2026</v>
      </c>
      <c r="S173" t="s">
        <v>6099</v>
      </c>
      <c r="T173">
        <v>1</v>
      </c>
      <c r="U173" t="s">
        <v>6018</v>
      </c>
      <c r="V173">
        <v>1</v>
      </c>
    </row>
    <row r="174" spans="1:22" x14ac:dyDescent="0.3">
      <c r="A174" t="s">
        <v>189</v>
      </c>
      <c r="B174" s="2">
        <v>46032.522222222222</v>
      </c>
      <c r="C174" s="2">
        <v>46033.113888888889</v>
      </c>
      <c r="D174" t="s">
        <v>6028</v>
      </c>
      <c r="E174" t="s">
        <v>6029</v>
      </c>
      <c r="F174" t="s">
        <v>6035</v>
      </c>
      <c r="G174" t="s">
        <v>6093</v>
      </c>
      <c r="H174" t="s">
        <v>6097</v>
      </c>
      <c r="I174">
        <v>4</v>
      </c>
      <c r="J174">
        <v>14.2</v>
      </c>
      <c r="K174" t="s">
        <v>6099</v>
      </c>
      <c r="L174" t="s">
        <v>6100</v>
      </c>
      <c r="M174" t="s">
        <v>6100</v>
      </c>
      <c r="O174" t="s">
        <v>6101</v>
      </c>
      <c r="P174" t="s">
        <v>6107</v>
      </c>
      <c r="Q174">
        <v>1</v>
      </c>
      <c r="R174">
        <v>2026</v>
      </c>
      <c r="S174" t="s">
        <v>6100</v>
      </c>
      <c r="T174">
        <v>0</v>
      </c>
      <c r="U174" t="s">
        <v>6017</v>
      </c>
      <c r="V174">
        <v>1</v>
      </c>
    </row>
    <row r="175" spans="1:22" x14ac:dyDescent="0.3">
      <c r="A175" t="s">
        <v>190</v>
      </c>
      <c r="B175" s="2">
        <v>46032.559027777781</v>
      </c>
      <c r="C175" s="2">
        <v>46035.038194444445</v>
      </c>
      <c r="D175" t="s">
        <v>6025</v>
      </c>
      <c r="E175" t="s">
        <v>6032</v>
      </c>
      <c r="F175" t="s">
        <v>6034</v>
      </c>
      <c r="G175" t="s">
        <v>6089</v>
      </c>
      <c r="H175" t="s">
        <v>6098</v>
      </c>
      <c r="I175">
        <v>24</v>
      </c>
      <c r="J175">
        <v>59.5</v>
      </c>
      <c r="K175" t="s">
        <v>6099</v>
      </c>
      <c r="L175" t="s">
        <v>6100</v>
      </c>
      <c r="M175" t="s">
        <v>6100</v>
      </c>
      <c r="N175">
        <v>5</v>
      </c>
      <c r="O175" t="s">
        <v>6101</v>
      </c>
      <c r="P175" t="s">
        <v>6107</v>
      </c>
      <c r="Q175">
        <v>1</v>
      </c>
      <c r="R175">
        <v>2026</v>
      </c>
      <c r="S175" t="s">
        <v>6100</v>
      </c>
      <c r="T175">
        <v>0</v>
      </c>
      <c r="U175" t="s">
        <v>6018</v>
      </c>
      <c r="V175">
        <v>1</v>
      </c>
    </row>
    <row r="176" spans="1:22" x14ac:dyDescent="0.3">
      <c r="A176" t="s">
        <v>191</v>
      </c>
      <c r="B176" s="2">
        <v>46032.56527777778</v>
      </c>
      <c r="C176" s="2">
        <v>46034.669444444444</v>
      </c>
      <c r="D176" t="s">
        <v>6026</v>
      </c>
      <c r="E176" t="s">
        <v>6030</v>
      </c>
      <c r="F176" t="s">
        <v>6034</v>
      </c>
      <c r="G176" t="s">
        <v>6093</v>
      </c>
      <c r="H176" t="s">
        <v>6097</v>
      </c>
      <c r="I176">
        <v>24</v>
      </c>
      <c r="J176">
        <v>50.5</v>
      </c>
      <c r="K176" t="s">
        <v>6099</v>
      </c>
      <c r="L176" t="s">
        <v>6100</v>
      </c>
      <c r="M176" t="s">
        <v>6100</v>
      </c>
      <c r="N176">
        <v>4</v>
      </c>
      <c r="O176" t="s">
        <v>6101</v>
      </c>
      <c r="P176" t="s">
        <v>6107</v>
      </c>
      <c r="Q176">
        <v>1</v>
      </c>
      <c r="R176">
        <v>2026</v>
      </c>
      <c r="S176" t="s">
        <v>6100</v>
      </c>
      <c r="T176">
        <v>0</v>
      </c>
      <c r="U176" t="s">
        <v>6019</v>
      </c>
      <c r="V176">
        <v>1</v>
      </c>
    </row>
    <row r="177" spans="1:22" x14ac:dyDescent="0.3">
      <c r="A177" t="s">
        <v>192</v>
      </c>
      <c r="B177" s="2">
        <v>46032.57916666667</v>
      </c>
      <c r="C177" s="2">
        <v>46033.35</v>
      </c>
      <c r="D177" t="s">
        <v>6026</v>
      </c>
      <c r="E177" t="s">
        <v>6030</v>
      </c>
      <c r="F177" t="s">
        <v>6034</v>
      </c>
      <c r="G177" t="s">
        <v>6054</v>
      </c>
      <c r="H177" t="s">
        <v>6096</v>
      </c>
      <c r="I177">
        <v>24</v>
      </c>
      <c r="J177">
        <v>18.5</v>
      </c>
      <c r="K177" t="s">
        <v>6100</v>
      </c>
      <c r="L177" t="s">
        <v>6099</v>
      </c>
      <c r="M177" t="s">
        <v>6100</v>
      </c>
      <c r="N177">
        <v>4</v>
      </c>
      <c r="O177" t="s">
        <v>6101</v>
      </c>
      <c r="P177" t="s">
        <v>6107</v>
      </c>
      <c r="Q177">
        <v>1</v>
      </c>
      <c r="R177">
        <v>2026</v>
      </c>
      <c r="S177" t="s">
        <v>6099</v>
      </c>
      <c r="T177">
        <v>1</v>
      </c>
      <c r="U177" t="s">
        <v>6019</v>
      </c>
      <c r="V177">
        <v>0</v>
      </c>
    </row>
    <row r="178" spans="1:22" x14ac:dyDescent="0.3">
      <c r="A178" t="s">
        <v>193</v>
      </c>
      <c r="B178" s="2">
        <v>46032.629166666666</v>
      </c>
      <c r="C178" s="2">
        <v>46033.770833333336</v>
      </c>
      <c r="D178" t="s">
        <v>6024</v>
      </c>
      <c r="E178" t="s">
        <v>6032</v>
      </c>
      <c r="F178" t="s">
        <v>6034</v>
      </c>
      <c r="G178" t="s">
        <v>6059</v>
      </c>
      <c r="H178" t="s">
        <v>6097</v>
      </c>
      <c r="I178">
        <v>24</v>
      </c>
      <c r="J178">
        <v>27.4</v>
      </c>
      <c r="K178" t="s">
        <v>6099</v>
      </c>
      <c r="L178" t="s">
        <v>6100</v>
      </c>
      <c r="M178" t="s">
        <v>6099</v>
      </c>
      <c r="O178" t="s">
        <v>6101</v>
      </c>
      <c r="P178" t="s">
        <v>6107</v>
      </c>
      <c r="Q178">
        <v>1</v>
      </c>
      <c r="R178">
        <v>2026</v>
      </c>
      <c r="S178" t="s">
        <v>6100</v>
      </c>
      <c r="T178">
        <v>0</v>
      </c>
      <c r="U178" t="s">
        <v>6018</v>
      </c>
      <c r="V178">
        <v>1</v>
      </c>
    </row>
    <row r="179" spans="1:22" x14ac:dyDescent="0.3">
      <c r="A179" t="s">
        <v>194</v>
      </c>
      <c r="B179" s="2">
        <v>46032.648611111108</v>
      </c>
      <c r="C179" s="2">
        <v>46033.156944444447</v>
      </c>
      <c r="D179" t="s">
        <v>6024</v>
      </c>
      <c r="E179" t="s">
        <v>6029</v>
      </c>
      <c r="F179" t="s">
        <v>6034</v>
      </c>
      <c r="G179" t="s">
        <v>6042</v>
      </c>
      <c r="H179" t="s">
        <v>6098</v>
      </c>
      <c r="I179">
        <v>24</v>
      </c>
      <c r="J179">
        <v>12.2</v>
      </c>
      <c r="K179" t="s">
        <v>6099</v>
      </c>
      <c r="L179" t="s">
        <v>6100</v>
      </c>
      <c r="M179" t="s">
        <v>6100</v>
      </c>
      <c r="N179">
        <v>5</v>
      </c>
      <c r="O179" t="s">
        <v>6101</v>
      </c>
      <c r="P179" t="s">
        <v>6107</v>
      </c>
      <c r="Q179">
        <v>1</v>
      </c>
      <c r="R179">
        <v>2026</v>
      </c>
      <c r="S179" t="s">
        <v>6099</v>
      </c>
      <c r="T179">
        <v>1</v>
      </c>
      <c r="U179" t="s">
        <v>6020</v>
      </c>
      <c r="V179">
        <v>1</v>
      </c>
    </row>
    <row r="180" spans="1:22" x14ac:dyDescent="0.3">
      <c r="A180" t="s">
        <v>195</v>
      </c>
      <c r="B180" s="2">
        <v>46032.654861111114</v>
      </c>
      <c r="C180" s="2">
        <v>46033.004861111112</v>
      </c>
      <c r="D180" t="s">
        <v>6023</v>
      </c>
      <c r="E180" t="s">
        <v>6032</v>
      </c>
      <c r="F180" t="s">
        <v>6034</v>
      </c>
      <c r="G180" t="s">
        <v>6082</v>
      </c>
      <c r="H180" t="s">
        <v>6097</v>
      </c>
      <c r="I180">
        <v>24</v>
      </c>
      <c r="J180">
        <v>8.4</v>
      </c>
      <c r="K180" t="s">
        <v>6099</v>
      </c>
      <c r="L180" t="s">
        <v>6100</v>
      </c>
      <c r="M180" t="s">
        <v>6100</v>
      </c>
      <c r="O180" t="s">
        <v>6101</v>
      </c>
      <c r="P180" t="s">
        <v>6107</v>
      </c>
      <c r="Q180">
        <v>1</v>
      </c>
      <c r="R180">
        <v>2026</v>
      </c>
      <c r="S180" t="s">
        <v>6099</v>
      </c>
      <c r="T180">
        <v>1</v>
      </c>
      <c r="U180" t="s">
        <v>6020</v>
      </c>
      <c r="V180">
        <v>1</v>
      </c>
    </row>
    <row r="181" spans="1:22" x14ac:dyDescent="0.3">
      <c r="A181" t="s">
        <v>196</v>
      </c>
      <c r="B181" s="2">
        <v>46032.704861111109</v>
      </c>
      <c r="C181" s="2">
        <v>46034.196527777778</v>
      </c>
      <c r="D181" t="s">
        <v>6022</v>
      </c>
      <c r="E181" t="s">
        <v>6031</v>
      </c>
      <c r="F181" t="s">
        <v>6034</v>
      </c>
      <c r="G181" t="s">
        <v>6066</v>
      </c>
      <c r="H181" t="s">
        <v>6096</v>
      </c>
      <c r="I181">
        <v>24</v>
      </c>
      <c r="J181">
        <v>35.799999999999997</v>
      </c>
      <c r="K181" t="s">
        <v>6099</v>
      </c>
      <c r="L181" t="s">
        <v>6100</v>
      </c>
      <c r="M181" t="s">
        <v>6100</v>
      </c>
      <c r="N181">
        <v>5</v>
      </c>
      <c r="O181" t="s">
        <v>6101</v>
      </c>
      <c r="P181" t="s">
        <v>6107</v>
      </c>
      <c r="Q181">
        <v>1</v>
      </c>
      <c r="R181">
        <v>2026</v>
      </c>
      <c r="S181" t="s">
        <v>6100</v>
      </c>
      <c r="T181">
        <v>0</v>
      </c>
      <c r="U181" t="s">
        <v>6021</v>
      </c>
      <c r="V181">
        <v>1</v>
      </c>
    </row>
    <row r="182" spans="1:22" x14ac:dyDescent="0.3">
      <c r="A182" t="s">
        <v>197</v>
      </c>
      <c r="B182" s="2">
        <v>46032.709027777775</v>
      </c>
      <c r="C182" s="2">
        <v>46033.204861111109</v>
      </c>
      <c r="D182" t="s">
        <v>6028</v>
      </c>
      <c r="E182" t="s">
        <v>6032</v>
      </c>
      <c r="F182" t="s">
        <v>6034</v>
      </c>
      <c r="G182" t="s">
        <v>6075</v>
      </c>
      <c r="H182" t="s">
        <v>6097</v>
      </c>
      <c r="I182">
        <v>24</v>
      </c>
      <c r="J182">
        <v>11.9</v>
      </c>
      <c r="K182" t="s">
        <v>6099</v>
      </c>
      <c r="L182" t="s">
        <v>6100</v>
      </c>
      <c r="M182" t="s">
        <v>6099</v>
      </c>
      <c r="N182">
        <v>5</v>
      </c>
      <c r="O182" t="s">
        <v>6101</v>
      </c>
      <c r="P182" t="s">
        <v>6107</v>
      </c>
      <c r="Q182">
        <v>1</v>
      </c>
      <c r="R182">
        <v>2026</v>
      </c>
      <c r="S182" t="s">
        <v>6099</v>
      </c>
      <c r="T182">
        <v>1</v>
      </c>
      <c r="U182" t="s">
        <v>6018</v>
      </c>
      <c r="V182">
        <v>1</v>
      </c>
    </row>
    <row r="183" spans="1:22" x14ac:dyDescent="0.3">
      <c r="A183" t="s">
        <v>198</v>
      </c>
      <c r="B183" s="2">
        <v>46032.710416666669</v>
      </c>
      <c r="C183" s="2">
        <v>46032.92291666667</v>
      </c>
      <c r="D183" t="s">
        <v>6024</v>
      </c>
      <c r="E183" t="s">
        <v>6030</v>
      </c>
      <c r="F183" t="s">
        <v>6033</v>
      </c>
      <c r="G183" t="s">
        <v>6074</v>
      </c>
      <c r="H183" t="s">
        <v>6098</v>
      </c>
      <c r="I183">
        <v>72</v>
      </c>
      <c r="J183">
        <v>5.0999999999999996</v>
      </c>
      <c r="K183" t="s">
        <v>6099</v>
      </c>
      <c r="L183" t="s">
        <v>6100</v>
      </c>
      <c r="M183" t="s">
        <v>6100</v>
      </c>
      <c r="N183">
        <v>5</v>
      </c>
      <c r="O183" t="s">
        <v>6101</v>
      </c>
      <c r="P183" t="s">
        <v>6107</v>
      </c>
      <c r="Q183">
        <v>1</v>
      </c>
      <c r="R183">
        <v>2026</v>
      </c>
      <c r="S183" t="s">
        <v>6099</v>
      </c>
      <c r="T183">
        <v>1</v>
      </c>
      <c r="U183" t="s">
        <v>6021</v>
      </c>
      <c r="V183">
        <v>1</v>
      </c>
    </row>
    <row r="184" spans="1:22" x14ac:dyDescent="0.3">
      <c r="A184" t="s">
        <v>199</v>
      </c>
      <c r="B184" s="2">
        <v>46032.754861111112</v>
      </c>
      <c r="C184" s="2">
        <v>46032.871527777781</v>
      </c>
      <c r="D184" t="s">
        <v>6023</v>
      </c>
      <c r="E184" t="s">
        <v>6030</v>
      </c>
      <c r="F184" t="s">
        <v>6034</v>
      </c>
      <c r="G184" t="s">
        <v>6042</v>
      </c>
      <c r="H184" t="s">
        <v>6098</v>
      </c>
      <c r="I184">
        <v>24</v>
      </c>
      <c r="J184">
        <v>2.8</v>
      </c>
      <c r="K184" t="s">
        <v>6099</v>
      </c>
      <c r="L184" t="s">
        <v>6100</v>
      </c>
      <c r="M184" t="s">
        <v>6100</v>
      </c>
      <c r="N184">
        <v>5</v>
      </c>
      <c r="O184" t="s">
        <v>6101</v>
      </c>
      <c r="P184" t="s">
        <v>6107</v>
      </c>
      <c r="Q184">
        <v>1</v>
      </c>
      <c r="R184">
        <v>2026</v>
      </c>
      <c r="S184" t="s">
        <v>6099</v>
      </c>
      <c r="T184">
        <v>1</v>
      </c>
      <c r="U184" t="s">
        <v>6020</v>
      </c>
      <c r="V184">
        <v>1</v>
      </c>
    </row>
    <row r="185" spans="1:22" x14ac:dyDescent="0.3">
      <c r="A185" t="s">
        <v>200</v>
      </c>
      <c r="B185" s="2">
        <v>46032.786111111112</v>
      </c>
      <c r="C185" s="2">
        <v>46033.302777777775</v>
      </c>
      <c r="D185" t="s">
        <v>6022</v>
      </c>
      <c r="E185" t="s">
        <v>6030</v>
      </c>
      <c r="F185" t="s">
        <v>6034</v>
      </c>
      <c r="G185" t="s">
        <v>6059</v>
      </c>
      <c r="H185" t="s">
        <v>6097</v>
      </c>
      <c r="I185">
        <v>24</v>
      </c>
      <c r="J185">
        <v>12.4</v>
      </c>
      <c r="K185" t="s">
        <v>6099</v>
      </c>
      <c r="L185" t="s">
        <v>6100</v>
      </c>
      <c r="M185" t="s">
        <v>6100</v>
      </c>
      <c r="O185" t="s">
        <v>6101</v>
      </c>
      <c r="P185" t="s">
        <v>6107</v>
      </c>
      <c r="Q185">
        <v>1</v>
      </c>
      <c r="R185">
        <v>2026</v>
      </c>
      <c r="S185" t="s">
        <v>6099</v>
      </c>
      <c r="T185">
        <v>1</v>
      </c>
      <c r="U185" t="s">
        <v>6017</v>
      </c>
      <c r="V185">
        <v>1</v>
      </c>
    </row>
    <row r="186" spans="1:22" x14ac:dyDescent="0.3">
      <c r="A186" t="s">
        <v>201</v>
      </c>
      <c r="B186" s="2">
        <v>46032.822222222225</v>
      </c>
      <c r="C186" s="2">
        <v>46033.409722222219</v>
      </c>
      <c r="D186" t="s">
        <v>6027</v>
      </c>
      <c r="E186" t="s">
        <v>6030</v>
      </c>
      <c r="F186" t="s">
        <v>6034</v>
      </c>
      <c r="G186" t="s">
        <v>6074</v>
      </c>
      <c r="H186" t="s">
        <v>6098</v>
      </c>
      <c r="I186">
        <v>24</v>
      </c>
      <c r="J186">
        <v>14.1</v>
      </c>
      <c r="K186" t="s">
        <v>6099</v>
      </c>
      <c r="L186" t="s">
        <v>6100</v>
      </c>
      <c r="M186" t="s">
        <v>6100</v>
      </c>
      <c r="O186" t="s">
        <v>6101</v>
      </c>
      <c r="P186" t="s">
        <v>6107</v>
      </c>
      <c r="Q186">
        <v>1</v>
      </c>
      <c r="R186">
        <v>2026</v>
      </c>
      <c r="S186" t="s">
        <v>6099</v>
      </c>
      <c r="T186">
        <v>1</v>
      </c>
      <c r="U186" t="s">
        <v>6019</v>
      </c>
      <c r="V186">
        <v>1</v>
      </c>
    </row>
    <row r="187" spans="1:22" x14ac:dyDescent="0.3">
      <c r="A187" t="s">
        <v>202</v>
      </c>
      <c r="B187" s="2">
        <v>46032.869444444441</v>
      </c>
      <c r="C187" s="2">
        <v>46033.081944444442</v>
      </c>
      <c r="D187" t="s">
        <v>6023</v>
      </c>
      <c r="E187" t="s">
        <v>6030</v>
      </c>
      <c r="F187" t="s">
        <v>6033</v>
      </c>
      <c r="G187" t="s">
        <v>6063</v>
      </c>
      <c r="H187" t="s">
        <v>6097</v>
      </c>
      <c r="I187">
        <v>72</v>
      </c>
      <c r="K187" t="s">
        <v>6099</v>
      </c>
      <c r="L187" t="s">
        <v>6100</v>
      </c>
      <c r="M187" t="s">
        <v>6100</v>
      </c>
      <c r="O187" t="s">
        <v>6101</v>
      </c>
      <c r="P187" t="s">
        <v>6107</v>
      </c>
      <c r="Q187">
        <v>1</v>
      </c>
      <c r="R187">
        <v>2026</v>
      </c>
      <c r="U187" t="s">
        <v>6019</v>
      </c>
      <c r="V187">
        <v>1</v>
      </c>
    </row>
    <row r="188" spans="1:22" x14ac:dyDescent="0.3">
      <c r="A188" t="s">
        <v>203</v>
      </c>
      <c r="B188" s="2">
        <v>46032.915277777778</v>
      </c>
      <c r="C188" s="2">
        <v>46033.269444444442</v>
      </c>
      <c r="D188" t="s">
        <v>6024</v>
      </c>
      <c r="E188" t="s">
        <v>6030</v>
      </c>
      <c r="F188" t="s">
        <v>6034</v>
      </c>
      <c r="G188" t="s">
        <v>6060</v>
      </c>
      <c r="H188" t="s">
        <v>6097</v>
      </c>
      <c r="I188">
        <v>24</v>
      </c>
      <c r="J188">
        <v>8.5</v>
      </c>
      <c r="K188" t="s">
        <v>6099</v>
      </c>
      <c r="L188" t="s">
        <v>6100</v>
      </c>
      <c r="M188" t="s">
        <v>6100</v>
      </c>
      <c r="N188">
        <v>5</v>
      </c>
      <c r="O188" t="s">
        <v>6101</v>
      </c>
      <c r="P188" t="s">
        <v>6107</v>
      </c>
      <c r="Q188">
        <v>1</v>
      </c>
      <c r="R188">
        <v>2026</v>
      </c>
      <c r="S188" t="s">
        <v>6099</v>
      </c>
      <c r="T188">
        <v>1</v>
      </c>
      <c r="U188" t="s">
        <v>6019</v>
      </c>
      <c r="V188">
        <v>1</v>
      </c>
    </row>
    <row r="189" spans="1:22" x14ac:dyDescent="0.3">
      <c r="A189" t="s">
        <v>204</v>
      </c>
      <c r="B189" s="2">
        <v>46032.925000000003</v>
      </c>
      <c r="C189" s="2">
        <v>46033.587500000001</v>
      </c>
      <c r="D189" t="s">
        <v>6022</v>
      </c>
      <c r="E189" t="s">
        <v>6029</v>
      </c>
      <c r="F189" t="s">
        <v>6034</v>
      </c>
      <c r="G189" t="s">
        <v>6053</v>
      </c>
      <c r="H189" t="s">
        <v>6097</v>
      </c>
      <c r="I189">
        <v>24</v>
      </c>
      <c r="J189">
        <v>15.9</v>
      </c>
      <c r="K189" t="s">
        <v>6099</v>
      </c>
      <c r="L189" t="s">
        <v>6100</v>
      </c>
      <c r="M189" t="s">
        <v>6100</v>
      </c>
      <c r="O189" t="s">
        <v>6101</v>
      </c>
      <c r="P189" t="s">
        <v>6107</v>
      </c>
      <c r="Q189">
        <v>1</v>
      </c>
      <c r="R189">
        <v>2026</v>
      </c>
      <c r="S189" t="s">
        <v>6099</v>
      </c>
      <c r="T189">
        <v>1</v>
      </c>
      <c r="U189" t="s">
        <v>6017</v>
      </c>
      <c r="V189">
        <v>1</v>
      </c>
    </row>
    <row r="190" spans="1:22" x14ac:dyDescent="0.3">
      <c r="A190" t="s">
        <v>205</v>
      </c>
      <c r="B190" s="2">
        <v>46032.966666666667</v>
      </c>
      <c r="C190" s="2">
        <v>46033.074999999997</v>
      </c>
      <c r="D190" t="s">
        <v>6022</v>
      </c>
      <c r="E190" t="s">
        <v>6030</v>
      </c>
      <c r="F190" t="s">
        <v>6034</v>
      </c>
      <c r="G190" t="s">
        <v>6089</v>
      </c>
      <c r="H190" t="s">
        <v>6098</v>
      </c>
      <c r="I190">
        <v>24</v>
      </c>
      <c r="J190">
        <v>2.6</v>
      </c>
      <c r="K190" t="s">
        <v>6100</v>
      </c>
      <c r="L190" t="s">
        <v>6100</v>
      </c>
      <c r="M190" t="s">
        <v>6100</v>
      </c>
      <c r="O190" t="s">
        <v>6101</v>
      </c>
      <c r="P190" t="s">
        <v>6107</v>
      </c>
      <c r="Q190">
        <v>1</v>
      </c>
      <c r="R190">
        <v>2026</v>
      </c>
      <c r="S190" t="s">
        <v>6099</v>
      </c>
      <c r="T190">
        <v>1</v>
      </c>
      <c r="U190" t="s">
        <v>6019</v>
      </c>
      <c r="V190">
        <v>0</v>
      </c>
    </row>
    <row r="191" spans="1:22" x14ac:dyDescent="0.3">
      <c r="A191" t="s">
        <v>206</v>
      </c>
      <c r="B191" s="2">
        <v>46033.125694444447</v>
      </c>
      <c r="C191" s="2">
        <v>46033.413194444445</v>
      </c>
      <c r="D191" t="s">
        <v>6023</v>
      </c>
      <c r="E191" t="s">
        <v>6030</v>
      </c>
      <c r="F191" t="s">
        <v>6033</v>
      </c>
      <c r="G191" t="s">
        <v>6072</v>
      </c>
      <c r="H191" t="s">
        <v>6097</v>
      </c>
      <c r="I191">
        <v>72</v>
      </c>
      <c r="J191">
        <v>6.9</v>
      </c>
      <c r="K191" t="s">
        <v>6100</v>
      </c>
      <c r="L191" t="s">
        <v>6099</v>
      </c>
      <c r="M191" t="s">
        <v>6100</v>
      </c>
      <c r="N191">
        <v>4</v>
      </c>
      <c r="O191" t="s">
        <v>6101</v>
      </c>
      <c r="P191" t="s">
        <v>6107</v>
      </c>
      <c r="Q191">
        <v>1</v>
      </c>
      <c r="R191">
        <v>2026</v>
      </c>
      <c r="S191" t="s">
        <v>6099</v>
      </c>
      <c r="T191">
        <v>1</v>
      </c>
      <c r="U191" t="s">
        <v>6018</v>
      </c>
      <c r="V191">
        <v>0</v>
      </c>
    </row>
    <row r="192" spans="1:22" x14ac:dyDescent="0.3">
      <c r="A192" t="s">
        <v>207</v>
      </c>
      <c r="B192" s="2">
        <v>46033.329861111109</v>
      </c>
      <c r="C192" s="2">
        <v>46034.963194444441</v>
      </c>
      <c r="D192" t="s">
        <v>6023</v>
      </c>
      <c r="E192" t="s">
        <v>6032</v>
      </c>
      <c r="F192" t="s">
        <v>6035</v>
      </c>
      <c r="G192" t="s">
        <v>6061</v>
      </c>
      <c r="H192" t="s">
        <v>6096</v>
      </c>
      <c r="I192">
        <v>4</v>
      </c>
      <c r="J192">
        <v>39.200000000000003</v>
      </c>
      <c r="K192" t="s">
        <v>6100</v>
      </c>
      <c r="L192" t="s">
        <v>6100</v>
      </c>
      <c r="M192" t="s">
        <v>6100</v>
      </c>
      <c r="N192">
        <v>3</v>
      </c>
      <c r="O192" t="s">
        <v>6101</v>
      </c>
      <c r="P192" t="s">
        <v>6107</v>
      </c>
      <c r="Q192">
        <v>1</v>
      </c>
      <c r="R192">
        <v>2026</v>
      </c>
      <c r="S192" t="s">
        <v>6100</v>
      </c>
      <c r="T192">
        <v>0</v>
      </c>
      <c r="U192" t="s">
        <v>6019</v>
      </c>
      <c r="V192">
        <v>0</v>
      </c>
    </row>
    <row r="193" spans="1:22" x14ac:dyDescent="0.3">
      <c r="A193" t="s">
        <v>208</v>
      </c>
      <c r="B193" s="2">
        <v>46033.347222222219</v>
      </c>
      <c r="C193" s="2">
        <v>46033.697222222225</v>
      </c>
      <c r="D193" t="s">
        <v>6024</v>
      </c>
      <c r="E193" t="s">
        <v>6029</v>
      </c>
      <c r="F193" t="s">
        <v>6034</v>
      </c>
      <c r="G193" t="s">
        <v>6083</v>
      </c>
      <c r="H193" t="s">
        <v>6096</v>
      </c>
      <c r="I193">
        <v>24</v>
      </c>
      <c r="J193">
        <v>8.4</v>
      </c>
      <c r="K193" t="s">
        <v>6100</v>
      </c>
      <c r="L193" t="s">
        <v>6099</v>
      </c>
      <c r="M193" t="s">
        <v>6100</v>
      </c>
      <c r="N193">
        <v>3</v>
      </c>
      <c r="O193" t="s">
        <v>6101</v>
      </c>
      <c r="P193" t="s">
        <v>6107</v>
      </c>
      <c r="Q193">
        <v>1</v>
      </c>
      <c r="R193">
        <v>2026</v>
      </c>
      <c r="S193" t="s">
        <v>6099</v>
      </c>
      <c r="T193">
        <v>1</v>
      </c>
      <c r="U193" t="s">
        <v>6019</v>
      </c>
      <c r="V193">
        <v>0</v>
      </c>
    </row>
    <row r="194" spans="1:22" x14ac:dyDescent="0.3">
      <c r="A194" t="s">
        <v>209</v>
      </c>
      <c r="B194" s="2">
        <v>46033.402777777781</v>
      </c>
      <c r="C194" s="2">
        <v>46034.244444444441</v>
      </c>
      <c r="D194" t="s">
        <v>6022</v>
      </c>
      <c r="E194" t="s">
        <v>6029</v>
      </c>
      <c r="F194" t="s">
        <v>6034</v>
      </c>
      <c r="G194" t="s">
        <v>6087</v>
      </c>
      <c r="H194" t="s">
        <v>6098</v>
      </c>
      <c r="I194">
        <v>24</v>
      </c>
      <c r="J194">
        <v>20.2</v>
      </c>
      <c r="K194" t="s">
        <v>6099</v>
      </c>
      <c r="L194" t="s">
        <v>6100</v>
      </c>
      <c r="M194" t="s">
        <v>6100</v>
      </c>
      <c r="N194">
        <v>5</v>
      </c>
      <c r="O194" t="s">
        <v>6101</v>
      </c>
      <c r="P194" t="s">
        <v>6107</v>
      </c>
      <c r="Q194">
        <v>1</v>
      </c>
      <c r="R194">
        <v>2026</v>
      </c>
      <c r="S194" t="s">
        <v>6099</v>
      </c>
      <c r="T194">
        <v>1</v>
      </c>
      <c r="U194" t="s">
        <v>6020</v>
      </c>
      <c r="V194">
        <v>1</v>
      </c>
    </row>
    <row r="195" spans="1:22" x14ac:dyDescent="0.3">
      <c r="A195" t="s">
        <v>210</v>
      </c>
      <c r="B195" s="2">
        <v>46033.474999999999</v>
      </c>
      <c r="C195" s="2">
        <v>46038.837500000001</v>
      </c>
      <c r="D195" t="s">
        <v>6025</v>
      </c>
      <c r="E195" t="s">
        <v>6031</v>
      </c>
      <c r="F195" t="s">
        <v>6034</v>
      </c>
      <c r="G195" t="s">
        <v>6056</v>
      </c>
      <c r="H195" t="s">
        <v>6098</v>
      </c>
      <c r="I195">
        <v>24</v>
      </c>
      <c r="J195">
        <v>128.69999999999999</v>
      </c>
      <c r="K195" t="s">
        <v>6099</v>
      </c>
      <c r="L195" t="s">
        <v>6100</v>
      </c>
      <c r="M195" t="s">
        <v>6100</v>
      </c>
      <c r="O195" t="s">
        <v>6101</v>
      </c>
      <c r="P195" t="s">
        <v>6107</v>
      </c>
      <c r="Q195">
        <v>1</v>
      </c>
      <c r="R195">
        <v>2026</v>
      </c>
      <c r="S195" t="s">
        <v>6100</v>
      </c>
      <c r="T195">
        <v>0</v>
      </c>
      <c r="U195" t="s">
        <v>6017</v>
      </c>
      <c r="V195">
        <v>1</v>
      </c>
    </row>
    <row r="196" spans="1:22" x14ac:dyDescent="0.3">
      <c r="A196" t="s">
        <v>211</v>
      </c>
      <c r="B196" s="2">
        <v>46033.502083333333</v>
      </c>
      <c r="C196" s="2">
        <v>46033.777083333334</v>
      </c>
      <c r="D196" t="s">
        <v>6022</v>
      </c>
      <c r="E196" t="s">
        <v>6030</v>
      </c>
      <c r="F196" t="s">
        <v>6033</v>
      </c>
      <c r="G196" t="s">
        <v>6084</v>
      </c>
      <c r="H196" t="s">
        <v>6098</v>
      </c>
      <c r="I196">
        <v>72</v>
      </c>
      <c r="J196">
        <v>6.6</v>
      </c>
      <c r="K196" t="s">
        <v>6099</v>
      </c>
      <c r="L196" t="s">
        <v>6100</v>
      </c>
      <c r="M196" t="s">
        <v>6100</v>
      </c>
      <c r="N196">
        <v>4</v>
      </c>
      <c r="O196" t="s">
        <v>6101</v>
      </c>
      <c r="P196" t="s">
        <v>6107</v>
      </c>
      <c r="Q196">
        <v>1</v>
      </c>
      <c r="R196">
        <v>2026</v>
      </c>
      <c r="S196" t="s">
        <v>6099</v>
      </c>
      <c r="T196">
        <v>1</v>
      </c>
      <c r="U196" t="s">
        <v>6019</v>
      </c>
      <c r="V196">
        <v>1</v>
      </c>
    </row>
    <row r="197" spans="1:22" x14ac:dyDescent="0.3">
      <c r="A197" t="s">
        <v>212</v>
      </c>
      <c r="B197" s="2">
        <v>46033.529861111114</v>
      </c>
      <c r="C197" s="2">
        <v>46035.125694444447</v>
      </c>
      <c r="D197" t="s">
        <v>6025</v>
      </c>
      <c r="E197" t="s">
        <v>6032</v>
      </c>
      <c r="F197" t="s">
        <v>6033</v>
      </c>
      <c r="G197" t="s">
        <v>6084</v>
      </c>
      <c r="H197" t="s">
        <v>6098</v>
      </c>
      <c r="I197">
        <v>72</v>
      </c>
      <c r="J197">
        <v>38.299999999999997</v>
      </c>
      <c r="K197" t="s">
        <v>6099</v>
      </c>
      <c r="L197" t="s">
        <v>6100</v>
      </c>
      <c r="M197" t="s">
        <v>6100</v>
      </c>
      <c r="N197">
        <v>4</v>
      </c>
      <c r="O197" t="s">
        <v>6101</v>
      </c>
      <c r="P197" t="s">
        <v>6107</v>
      </c>
      <c r="Q197">
        <v>1</v>
      </c>
      <c r="R197">
        <v>2026</v>
      </c>
      <c r="S197" t="s">
        <v>6099</v>
      </c>
      <c r="T197">
        <v>1</v>
      </c>
      <c r="U197" t="s">
        <v>6021</v>
      </c>
      <c r="V197">
        <v>1</v>
      </c>
    </row>
    <row r="198" spans="1:22" x14ac:dyDescent="0.3">
      <c r="A198" t="s">
        <v>213</v>
      </c>
      <c r="B198" s="2">
        <v>46033.529861111114</v>
      </c>
      <c r="C198" s="2">
        <v>46034.117361111108</v>
      </c>
      <c r="D198" t="s">
        <v>6027</v>
      </c>
      <c r="E198" t="s">
        <v>6031</v>
      </c>
      <c r="F198" t="s">
        <v>6034</v>
      </c>
      <c r="G198" t="s">
        <v>6052</v>
      </c>
      <c r="H198" t="s">
        <v>6098</v>
      </c>
      <c r="I198">
        <v>24</v>
      </c>
      <c r="J198">
        <v>14.1</v>
      </c>
      <c r="K198" t="s">
        <v>6100</v>
      </c>
      <c r="L198" t="s">
        <v>6099</v>
      </c>
      <c r="M198" t="s">
        <v>6100</v>
      </c>
      <c r="N198">
        <v>3</v>
      </c>
      <c r="O198" t="s">
        <v>6101</v>
      </c>
      <c r="P198" t="s">
        <v>6107</v>
      </c>
      <c r="Q198">
        <v>1</v>
      </c>
      <c r="R198">
        <v>2026</v>
      </c>
      <c r="S198" t="s">
        <v>6099</v>
      </c>
      <c r="T198">
        <v>1</v>
      </c>
      <c r="U198" t="s">
        <v>6021</v>
      </c>
      <c r="V198">
        <v>0</v>
      </c>
    </row>
    <row r="199" spans="1:22" x14ac:dyDescent="0.3">
      <c r="A199" t="s">
        <v>214</v>
      </c>
      <c r="B199" s="2">
        <v>46033.553472222222</v>
      </c>
      <c r="C199" s="2">
        <v>46035.474305555559</v>
      </c>
      <c r="D199" t="s">
        <v>6025</v>
      </c>
      <c r="E199" t="s">
        <v>6031</v>
      </c>
      <c r="F199" t="s">
        <v>6034</v>
      </c>
      <c r="G199" t="s">
        <v>6081</v>
      </c>
      <c r="H199" t="s">
        <v>6098</v>
      </c>
      <c r="I199">
        <v>24</v>
      </c>
      <c r="J199">
        <v>46.1</v>
      </c>
      <c r="K199" t="s">
        <v>6099</v>
      </c>
      <c r="L199" t="s">
        <v>6100</v>
      </c>
      <c r="M199" t="s">
        <v>6100</v>
      </c>
      <c r="O199" t="s">
        <v>6101</v>
      </c>
      <c r="P199" t="s">
        <v>6107</v>
      </c>
      <c r="Q199">
        <v>1</v>
      </c>
      <c r="R199">
        <v>2026</v>
      </c>
      <c r="S199" t="s">
        <v>6100</v>
      </c>
      <c r="T199">
        <v>0</v>
      </c>
      <c r="U199" t="s">
        <v>6019</v>
      </c>
      <c r="V199">
        <v>1</v>
      </c>
    </row>
    <row r="200" spans="1:22" x14ac:dyDescent="0.3">
      <c r="A200" t="s">
        <v>215</v>
      </c>
      <c r="B200" s="2">
        <v>46033.554166666669</v>
      </c>
      <c r="C200" s="2">
        <v>46034.683333333334</v>
      </c>
      <c r="D200" t="s">
        <v>6022</v>
      </c>
      <c r="E200" t="s">
        <v>6029</v>
      </c>
      <c r="F200" t="s">
        <v>6035</v>
      </c>
      <c r="G200" t="s">
        <v>6049</v>
      </c>
      <c r="H200" t="s">
        <v>6097</v>
      </c>
      <c r="I200">
        <v>4</v>
      </c>
      <c r="J200">
        <v>27.1</v>
      </c>
      <c r="K200" t="s">
        <v>6099</v>
      </c>
      <c r="L200" t="s">
        <v>6100</v>
      </c>
      <c r="M200" t="s">
        <v>6100</v>
      </c>
      <c r="N200">
        <v>5</v>
      </c>
      <c r="O200" t="s">
        <v>6101</v>
      </c>
      <c r="P200" t="s">
        <v>6107</v>
      </c>
      <c r="Q200">
        <v>1</v>
      </c>
      <c r="R200">
        <v>2026</v>
      </c>
      <c r="S200" t="s">
        <v>6100</v>
      </c>
      <c r="T200">
        <v>0</v>
      </c>
      <c r="U200" t="s">
        <v>6019</v>
      </c>
      <c r="V200">
        <v>1</v>
      </c>
    </row>
    <row r="201" spans="1:22" x14ac:dyDescent="0.3">
      <c r="A201" t="s">
        <v>216</v>
      </c>
      <c r="B201" s="2">
        <v>46033.570833333331</v>
      </c>
      <c r="C201" s="2">
        <v>46034.587500000001</v>
      </c>
      <c r="D201" t="s">
        <v>6023</v>
      </c>
      <c r="E201" t="s">
        <v>6032</v>
      </c>
      <c r="F201" t="s">
        <v>6034</v>
      </c>
      <c r="G201" t="s">
        <v>6054</v>
      </c>
      <c r="H201" t="s">
        <v>6096</v>
      </c>
      <c r="I201">
        <v>24</v>
      </c>
      <c r="J201">
        <v>24.4</v>
      </c>
      <c r="K201" t="s">
        <v>6100</v>
      </c>
      <c r="L201" t="s">
        <v>6100</v>
      </c>
      <c r="M201" t="s">
        <v>6100</v>
      </c>
      <c r="N201">
        <v>3</v>
      </c>
      <c r="O201" t="s">
        <v>6101</v>
      </c>
      <c r="P201" t="s">
        <v>6107</v>
      </c>
      <c r="Q201">
        <v>1</v>
      </c>
      <c r="R201">
        <v>2026</v>
      </c>
      <c r="S201" t="s">
        <v>6100</v>
      </c>
      <c r="T201">
        <v>0</v>
      </c>
      <c r="U201" t="s">
        <v>6017</v>
      </c>
      <c r="V201">
        <v>0</v>
      </c>
    </row>
    <row r="202" spans="1:22" x14ac:dyDescent="0.3">
      <c r="A202" t="s">
        <v>217</v>
      </c>
      <c r="B202" s="2">
        <v>46033.628472222219</v>
      </c>
      <c r="C202" s="2">
        <v>46033.870138888888</v>
      </c>
      <c r="D202" t="s">
        <v>6024</v>
      </c>
      <c r="E202" t="s">
        <v>6030</v>
      </c>
      <c r="F202" t="s">
        <v>6034</v>
      </c>
      <c r="G202" t="s">
        <v>6044</v>
      </c>
      <c r="H202" t="s">
        <v>6097</v>
      </c>
      <c r="I202">
        <v>24</v>
      </c>
      <c r="J202">
        <v>5.8</v>
      </c>
      <c r="K202" t="s">
        <v>6099</v>
      </c>
      <c r="L202" t="s">
        <v>6100</v>
      </c>
      <c r="M202" t="s">
        <v>6100</v>
      </c>
      <c r="O202" t="s">
        <v>6101</v>
      </c>
      <c r="P202" t="s">
        <v>6107</v>
      </c>
      <c r="Q202">
        <v>1</v>
      </c>
      <c r="R202">
        <v>2026</v>
      </c>
      <c r="S202" t="s">
        <v>6099</v>
      </c>
      <c r="T202">
        <v>1</v>
      </c>
      <c r="U202" t="s">
        <v>6020</v>
      </c>
      <c r="V202">
        <v>1</v>
      </c>
    </row>
    <row r="203" spans="1:22" x14ac:dyDescent="0.3">
      <c r="A203" t="s">
        <v>218</v>
      </c>
      <c r="B203" s="2">
        <v>46033.647916666669</v>
      </c>
      <c r="C203" s="2">
        <v>46034.552083333336</v>
      </c>
      <c r="D203" t="s">
        <v>6022</v>
      </c>
      <c r="E203" t="s">
        <v>6032</v>
      </c>
      <c r="F203" t="s">
        <v>6033</v>
      </c>
      <c r="G203" t="s">
        <v>6077</v>
      </c>
      <c r="H203" t="s">
        <v>6098</v>
      </c>
      <c r="I203">
        <v>72</v>
      </c>
      <c r="J203">
        <v>21.7</v>
      </c>
      <c r="K203" t="s">
        <v>6100</v>
      </c>
      <c r="L203" t="s">
        <v>6099</v>
      </c>
      <c r="M203" t="s">
        <v>6100</v>
      </c>
      <c r="N203">
        <v>2</v>
      </c>
      <c r="O203" t="s">
        <v>6101</v>
      </c>
      <c r="P203" t="s">
        <v>6107</v>
      </c>
      <c r="Q203">
        <v>1</v>
      </c>
      <c r="R203">
        <v>2026</v>
      </c>
      <c r="S203" t="s">
        <v>6099</v>
      </c>
      <c r="T203">
        <v>1</v>
      </c>
      <c r="U203" t="s">
        <v>6018</v>
      </c>
      <c r="V203">
        <v>0</v>
      </c>
    </row>
    <row r="204" spans="1:22" x14ac:dyDescent="0.3">
      <c r="A204" t="s">
        <v>219</v>
      </c>
      <c r="B204" s="2">
        <v>46033.651388888888</v>
      </c>
      <c r="C204" s="2">
        <v>46034.555555555555</v>
      </c>
      <c r="D204" t="s">
        <v>6024</v>
      </c>
      <c r="E204" t="s">
        <v>6030</v>
      </c>
      <c r="F204" t="s">
        <v>6033</v>
      </c>
      <c r="G204" t="s">
        <v>6067</v>
      </c>
      <c r="H204" t="s">
        <v>6098</v>
      </c>
      <c r="I204">
        <v>72</v>
      </c>
      <c r="J204">
        <v>21.7</v>
      </c>
      <c r="K204" t="s">
        <v>6099</v>
      </c>
      <c r="L204" t="s">
        <v>6100</v>
      </c>
      <c r="M204" t="s">
        <v>6100</v>
      </c>
      <c r="N204">
        <v>5</v>
      </c>
      <c r="O204" t="s">
        <v>6101</v>
      </c>
      <c r="P204" t="s">
        <v>6107</v>
      </c>
      <c r="Q204">
        <v>1</v>
      </c>
      <c r="R204">
        <v>2026</v>
      </c>
      <c r="S204" t="s">
        <v>6099</v>
      </c>
      <c r="T204">
        <v>1</v>
      </c>
      <c r="U204" t="s">
        <v>6020</v>
      </c>
      <c r="V204">
        <v>1</v>
      </c>
    </row>
    <row r="205" spans="1:22" x14ac:dyDescent="0.3">
      <c r="A205" t="s">
        <v>220</v>
      </c>
      <c r="B205" s="2">
        <v>46033.683333333334</v>
      </c>
      <c r="C205" s="2">
        <v>46033.987500000003</v>
      </c>
      <c r="D205" t="s">
        <v>6022</v>
      </c>
      <c r="E205" t="s">
        <v>6030</v>
      </c>
      <c r="F205" t="s">
        <v>6033</v>
      </c>
      <c r="G205" t="s">
        <v>6092</v>
      </c>
      <c r="H205" t="s">
        <v>6097</v>
      </c>
      <c r="I205">
        <v>72</v>
      </c>
      <c r="J205">
        <v>7.3</v>
      </c>
      <c r="K205" t="s">
        <v>6099</v>
      </c>
      <c r="L205" t="s">
        <v>6100</v>
      </c>
      <c r="M205" t="s">
        <v>6100</v>
      </c>
      <c r="N205">
        <v>4</v>
      </c>
      <c r="O205" t="s">
        <v>6101</v>
      </c>
      <c r="P205" t="s">
        <v>6107</v>
      </c>
      <c r="Q205">
        <v>1</v>
      </c>
      <c r="R205">
        <v>2026</v>
      </c>
      <c r="S205" t="s">
        <v>6099</v>
      </c>
      <c r="T205">
        <v>1</v>
      </c>
      <c r="U205" t="s">
        <v>6020</v>
      </c>
      <c r="V205">
        <v>1</v>
      </c>
    </row>
    <row r="206" spans="1:22" x14ac:dyDescent="0.3">
      <c r="A206" t="s">
        <v>221</v>
      </c>
      <c r="B206" s="2">
        <v>46033.711805555555</v>
      </c>
      <c r="C206" s="2">
        <v>46035.424305555556</v>
      </c>
      <c r="D206" t="s">
        <v>6023</v>
      </c>
      <c r="E206" t="s">
        <v>6032</v>
      </c>
      <c r="F206" t="s">
        <v>6033</v>
      </c>
      <c r="G206" t="s">
        <v>6062</v>
      </c>
      <c r="H206" t="s">
        <v>6096</v>
      </c>
      <c r="I206">
        <v>72</v>
      </c>
      <c r="J206">
        <v>41.1</v>
      </c>
      <c r="K206" t="s">
        <v>6099</v>
      </c>
      <c r="L206" t="s">
        <v>6100</v>
      </c>
      <c r="M206" t="s">
        <v>6100</v>
      </c>
      <c r="O206" t="s">
        <v>6101</v>
      </c>
      <c r="P206" t="s">
        <v>6107</v>
      </c>
      <c r="Q206">
        <v>1</v>
      </c>
      <c r="R206">
        <v>2026</v>
      </c>
      <c r="S206" t="s">
        <v>6099</v>
      </c>
      <c r="T206">
        <v>1</v>
      </c>
      <c r="U206" t="s">
        <v>6021</v>
      </c>
      <c r="V206">
        <v>1</v>
      </c>
    </row>
    <row r="207" spans="1:22" x14ac:dyDescent="0.3">
      <c r="A207" t="s">
        <v>222</v>
      </c>
      <c r="B207" s="2">
        <v>46034.095833333333</v>
      </c>
      <c r="C207" s="2">
        <v>46046.654166666667</v>
      </c>
      <c r="D207" t="s">
        <v>6025</v>
      </c>
      <c r="E207" t="s">
        <v>6031</v>
      </c>
      <c r="F207" t="s">
        <v>6035</v>
      </c>
      <c r="G207" t="s">
        <v>6054</v>
      </c>
      <c r="H207" t="s">
        <v>6096</v>
      </c>
      <c r="I207">
        <v>4</v>
      </c>
      <c r="J207">
        <v>301.39999999999998</v>
      </c>
      <c r="K207" t="s">
        <v>6100</v>
      </c>
      <c r="L207" t="s">
        <v>6099</v>
      </c>
      <c r="M207" t="s">
        <v>6100</v>
      </c>
      <c r="O207" t="s">
        <v>6101</v>
      </c>
      <c r="P207" t="s">
        <v>6107</v>
      </c>
      <c r="Q207">
        <v>1</v>
      </c>
      <c r="R207">
        <v>2026</v>
      </c>
      <c r="S207" t="s">
        <v>6100</v>
      </c>
      <c r="T207">
        <v>0</v>
      </c>
      <c r="U207" t="s">
        <v>6018</v>
      </c>
      <c r="V207">
        <v>0</v>
      </c>
    </row>
    <row r="208" spans="1:22" x14ac:dyDescent="0.3">
      <c r="A208" t="s">
        <v>223</v>
      </c>
      <c r="B208" s="2">
        <v>46034.289583333331</v>
      </c>
      <c r="C208" s="2">
        <v>46035.122916666667</v>
      </c>
      <c r="D208" t="s">
        <v>6027</v>
      </c>
      <c r="E208" t="s">
        <v>6032</v>
      </c>
      <c r="F208" t="s">
        <v>6034</v>
      </c>
      <c r="G208" t="s">
        <v>6055</v>
      </c>
      <c r="H208" t="s">
        <v>6096</v>
      </c>
      <c r="I208">
        <v>24</v>
      </c>
      <c r="J208">
        <v>20</v>
      </c>
      <c r="K208" t="s">
        <v>6099</v>
      </c>
      <c r="L208" t="s">
        <v>6100</v>
      </c>
      <c r="M208" t="s">
        <v>6100</v>
      </c>
      <c r="N208">
        <v>5</v>
      </c>
      <c r="O208" t="s">
        <v>6101</v>
      </c>
      <c r="P208" t="s">
        <v>6107</v>
      </c>
      <c r="Q208">
        <v>1</v>
      </c>
      <c r="R208">
        <v>2026</v>
      </c>
      <c r="S208" t="s">
        <v>6099</v>
      </c>
      <c r="T208">
        <v>1</v>
      </c>
      <c r="U208" t="s">
        <v>6018</v>
      </c>
      <c r="V208">
        <v>1</v>
      </c>
    </row>
    <row r="209" spans="1:22" x14ac:dyDescent="0.3">
      <c r="A209" t="s">
        <v>224</v>
      </c>
      <c r="B209" s="2">
        <v>46034.435416666667</v>
      </c>
      <c r="C209" s="2">
        <v>46037.98541666667</v>
      </c>
      <c r="D209" t="s">
        <v>6026</v>
      </c>
      <c r="E209" t="s">
        <v>6031</v>
      </c>
      <c r="F209" t="s">
        <v>6035</v>
      </c>
      <c r="G209" t="s">
        <v>6038</v>
      </c>
      <c r="H209" t="s">
        <v>6096</v>
      </c>
      <c r="I209">
        <v>4</v>
      </c>
      <c r="J209">
        <v>85.2</v>
      </c>
      <c r="K209" t="s">
        <v>6100</v>
      </c>
      <c r="L209" t="s">
        <v>6099</v>
      </c>
      <c r="M209" t="s">
        <v>6100</v>
      </c>
      <c r="N209">
        <v>3</v>
      </c>
      <c r="O209" t="s">
        <v>6101</v>
      </c>
      <c r="P209" t="s">
        <v>6107</v>
      </c>
      <c r="Q209">
        <v>1</v>
      </c>
      <c r="R209">
        <v>2026</v>
      </c>
      <c r="S209" t="s">
        <v>6100</v>
      </c>
      <c r="T209">
        <v>0</v>
      </c>
      <c r="U209" t="s">
        <v>6020</v>
      </c>
      <c r="V209">
        <v>0</v>
      </c>
    </row>
    <row r="210" spans="1:22" x14ac:dyDescent="0.3">
      <c r="A210" t="s">
        <v>225</v>
      </c>
      <c r="B210" s="2">
        <v>46034.459722222222</v>
      </c>
      <c r="C210" s="2">
        <v>46034.801388888889</v>
      </c>
      <c r="D210" t="s">
        <v>6022</v>
      </c>
      <c r="E210" t="s">
        <v>6029</v>
      </c>
      <c r="F210" t="s">
        <v>6034</v>
      </c>
      <c r="G210" t="s">
        <v>6071</v>
      </c>
      <c r="H210" t="s">
        <v>6098</v>
      </c>
      <c r="I210">
        <v>24</v>
      </c>
      <c r="J210">
        <v>8.1999999999999993</v>
      </c>
      <c r="K210" t="s">
        <v>6099</v>
      </c>
      <c r="L210" t="s">
        <v>6100</v>
      </c>
      <c r="M210" t="s">
        <v>6100</v>
      </c>
      <c r="N210">
        <v>5</v>
      </c>
      <c r="O210" t="s">
        <v>6101</v>
      </c>
      <c r="P210" t="s">
        <v>6107</v>
      </c>
      <c r="Q210">
        <v>1</v>
      </c>
      <c r="R210">
        <v>2026</v>
      </c>
      <c r="S210" t="s">
        <v>6099</v>
      </c>
      <c r="T210">
        <v>1</v>
      </c>
      <c r="U210" t="s">
        <v>6017</v>
      </c>
      <c r="V210">
        <v>1</v>
      </c>
    </row>
    <row r="211" spans="1:22" x14ac:dyDescent="0.3">
      <c r="A211" t="s">
        <v>226</v>
      </c>
      <c r="B211" s="2">
        <v>46034.46597222222</v>
      </c>
      <c r="C211" s="2">
        <v>46035.453472222223</v>
      </c>
      <c r="D211" t="s">
        <v>6026</v>
      </c>
      <c r="E211" t="s">
        <v>6030</v>
      </c>
      <c r="F211" t="s">
        <v>6035</v>
      </c>
      <c r="G211" t="s">
        <v>6046</v>
      </c>
      <c r="H211" t="s">
        <v>6098</v>
      </c>
      <c r="I211">
        <v>4</v>
      </c>
      <c r="J211">
        <v>23.7</v>
      </c>
      <c r="K211" t="s">
        <v>6100</v>
      </c>
      <c r="L211" t="s">
        <v>6100</v>
      </c>
      <c r="M211" t="s">
        <v>6100</v>
      </c>
      <c r="N211">
        <v>4</v>
      </c>
      <c r="O211" t="s">
        <v>6101</v>
      </c>
      <c r="P211" t="s">
        <v>6107</v>
      </c>
      <c r="Q211">
        <v>1</v>
      </c>
      <c r="R211">
        <v>2026</v>
      </c>
      <c r="S211" t="s">
        <v>6100</v>
      </c>
      <c r="T211">
        <v>0</v>
      </c>
      <c r="U211" t="s">
        <v>6018</v>
      </c>
      <c r="V211">
        <v>0</v>
      </c>
    </row>
    <row r="212" spans="1:22" x14ac:dyDescent="0.3">
      <c r="A212" t="s">
        <v>227</v>
      </c>
      <c r="B212" s="2">
        <v>46034.46875</v>
      </c>
      <c r="C212" s="2">
        <v>46035.802083333336</v>
      </c>
      <c r="D212" t="s">
        <v>6027</v>
      </c>
      <c r="E212" t="s">
        <v>6031</v>
      </c>
      <c r="F212" t="s">
        <v>6034</v>
      </c>
      <c r="G212" t="s">
        <v>6039</v>
      </c>
      <c r="H212" t="s">
        <v>6097</v>
      </c>
      <c r="I212">
        <v>24</v>
      </c>
      <c r="J212">
        <v>32</v>
      </c>
      <c r="K212" t="s">
        <v>6099</v>
      </c>
      <c r="L212" t="s">
        <v>6100</v>
      </c>
      <c r="M212" t="s">
        <v>6100</v>
      </c>
      <c r="N212">
        <v>5</v>
      </c>
      <c r="O212" t="s">
        <v>6101</v>
      </c>
      <c r="P212" t="s">
        <v>6107</v>
      </c>
      <c r="Q212">
        <v>1</v>
      </c>
      <c r="R212">
        <v>2026</v>
      </c>
      <c r="S212" t="s">
        <v>6100</v>
      </c>
      <c r="T212">
        <v>0</v>
      </c>
      <c r="U212" t="s">
        <v>6021</v>
      </c>
      <c r="V212">
        <v>1</v>
      </c>
    </row>
    <row r="213" spans="1:22" x14ac:dyDescent="0.3">
      <c r="A213" t="s">
        <v>228</v>
      </c>
      <c r="B213" s="2">
        <v>46034.513194444444</v>
      </c>
      <c r="C213" s="2">
        <v>46034.975694444445</v>
      </c>
      <c r="D213" t="s">
        <v>6025</v>
      </c>
      <c r="E213" t="s">
        <v>6030</v>
      </c>
      <c r="F213" t="s">
        <v>6035</v>
      </c>
      <c r="G213" t="s">
        <v>6036</v>
      </c>
      <c r="H213" t="s">
        <v>6096</v>
      </c>
      <c r="I213">
        <v>4</v>
      </c>
      <c r="J213">
        <v>11.1</v>
      </c>
      <c r="K213" t="s">
        <v>6100</v>
      </c>
      <c r="L213" t="s">
        <v>6100</v>
      </c>
      <c r="M213" t="s">
        <v>6100</v>
      </c>
      <c r="N213">
        <v>4</v>
      </c>
      <c r="O213" t="s">
        <v>6101</v>
      </c>
      <c r="P213" t="s">
        <v>6107</v>
      </c>
      <c r="Q213">
        <v>1</v>
      </c>
      <c r="R213">
        <v>2026</v>
      </c>
      <c r="S213" t="s">
        <v>6100</v>
      </c>
      <c r="T213">
        <v>0</v>
      </c>
      <c r="U213" t="s">
        <v>6019</v>
      </c>
      <c r="V213">
        <v>0</v>
      </c>
    </row>
    <row r="214" spans="1:22" x14ac:dyDescent="0.3">
      <c r="A214" t="s">
        <v>229</v>
      </c>
      <c r="B214" s="2">
        <v>46034.529861111114</v>
      </c>
      <c r="C214" s="2">
        <v>46034.888194444444</v>
      </c>
      <c r="D214" t="s">
        <v>6027</v>
      </c>
      <c r="E214" t="s">
        <v>6029</v>
      </c>
      <c r="F214" t="s">
        <v>6035</v>
      </c>
      <c r="G214" t="s">
        <v>6042</v>
      </c>
      <c r="H214" t="s">
        <v>6098</v>
      </c>
      <c r="I214">
        <v>4</v>
      </c>
      <c r="J214">
        <v>8.6</v>
      </c>
      <c r="K214" t="s">
        <v>6099</v>
      </c>
      <c r="L214" t="s">
        <v>6100</v>
      </c>
      <c r="M214" t="s">
        <v>6099</v>
      </c>
      <c r="N214">
        <v>1</v>
      </c>
      <c r="O214" t="s">
        <v>6101</v>
      </c>
      <c r="P214" t="s">
        <v>6107</v>
      </c>
      <c r="Q214">
        <v>1</v>
      </c>
      <c r="R214">
        <v>2026</v>
      </c>
      <c r="S214" t="s">
        <v>6100</v>
      </c>
      <c r="T214">
        <v>0</v>
      </c>
      <c r="U214" t="s">
        <v>6019</v>
      </c>
      <c r="V214">
        <v>1</v>
      </c>
    </row>
    <row r="215" spans="1:22" x14ac:dyDescent="0.3">
      <c r="A215" t="s">
        <v>230</v>
      </c>
      <c r="B215" s="2">
        <v>46034.618750000001</v>
      </c>
      <c r="C215" s="2">
        <v>46034.877083333333</v>
      </c>
      <c r="D215" t="s">
        <v>6028</v>
      </c>
      <c r="E215" t="s">
        <v>6029</v>
      </c>
      <c r="F215" t="s">
        <v>6035</v>
      </c>
      <c r="G215" t="s">
        <v>6093</v>
      </c>
      <c r="H215" t="s">
        <v>6097</v>
      </c>
      <c r="I215">
        <v>4</v>
      </c>
      <c r="J215">
        <v>6.2</v>
      </c>
      <c r="K215" t="s">
        <v>6099</v>
      </c>
      <c r="L215" t="s">
        <v>6100</v>
      </c>
      <c r="M215" t="s">
        <v>6100</v>
      </c>
      <c r="O215" t="s">
        <v>6101</v>
      </c>
      <c r="P215" t="s">
        <v>6107</v>
      </c>
      <c r="Q215">
        <v>1</v>
      </c>
      <c r="R215">
        <v>2026</v>
      </c>
      <c r="S215" t="s">
        <v>6100</v>
      </c>
      <c r="T215">
        <v>0</v>
      </c>
      <c r="U215" t="s">
        <v>6020</v>
      </c>
      <c r="V215">
        <v>1</v>
      </c>
    </row>
    <row r="216" spans="1:22" x14ac:dyDescent="0.3">
      <c r="A216" t="s">
        <v>231</v>
      </c>
      <c r="B216" s="2">
        <v>46034.740972222222</v>
      </c>
      <c r="C216" s="2">
        <v>46035.470138888886</v>
      </c>
      <c r="D216" t="s">
        <v>6028</v>
      </c>
      <c r="E216" t="s">
        <v>6031</v>
      </c>
      <c r="F216" t="s">
        <v>6035</v>
      </c>
      <c r="G216" t="s">
        <v>6038</v>
      </c>
      <c r="H216" t="s">
        <v>6096</v>
      </c>
      <c r="I216">
        <v>4</v>
      </c>
      <c r="J216">
        <v>17.5</v>
      </c>
      <c r="K216" t="s">
        <v>6099</v>
      </c>
      <c r="L216" t="s">
        <v>6100</v>
      </c>
      <c r="M216" t="s">
        <v>6100</v>
      </c>
      <c r="N216">
        <v>5</v>
      </c>
      <c r="O216" t="s">
        <v>6101</v>
      </c>
      <c r="P216" t="s">
        <v>6107</v>
      </c>
      <c r="Q216">
        <v>1</v>
      </c>
      <c r="R216">
        <v>2026</v>
      </c>
      <c r="S216" t="s">
        <v>6100</v>
      </c>
      <c r="T216">
        <v>0</v>
      </c>
      <c r="U216" t="s">
        <v>6018</v>
      </c>
      <c r="V216">
        <v>1</v>
      </c>
    </row>
    <row r="217" spans="1:22" x14ac:dyDescent="0.3">
      <c r="A217" t="s">
        <v>232</v>
      </c>
      <c r="B217" s="2">
        <v>46034.808333333334</v>
      </c>
      <c r="C217" s="2">
        <v>46034.9</v>
      </c>
      <c r="D217" t="s">
        <v>6023</v>
      </c>
      <c r="E217" t="s">
        <v>6030</v>
      </c>
      <c r="F217" t="s">
        <v>6033</v>
      </c>
      <c r="G217" t="s">
        <v>6057</v>
      </c>
      <c r="H217" t="s">
        <v>6097</v>
      </c>
      <c r="I217">
        <v>72</v>
      </c>
      <c r="J217">
        <v>2.2000000000000002</v>
      </c>
      <c r="K217" t="s">
        <v>6099</v>
      </c>
      <c r="L217" t="s">
        <v>6100</v>
      </c>
      <c r="M217" t="s">
        <v>6100</v>
      </c>
      <c r="N217">
        <v>5</v>
      </c>
      <c r="O217" t="s">
        <v>6101</v>
      </c>
      <c r="P217" t="s">
        <v>6107</v>
      </c>
      <c r="Q217">
        <v>1</v>
      </c>
      <c r="R217">
        <v>2026</v>
      </c>
      <c r="S217" t="s">
        <v>6099</v>
      </c>
      <c r="T217">
        <v>1</v>
      </c>
      <c r="U217" t="s">
        <v>6020</v>
      </c>
      <c r="V217">
        <v>1</v>
      </c>
    </row>
    <row r="218" spans="1:22" x14ac:dyDescent="0.3">
      <c r="A218" t="s">
        <v>233</v>
      </c>
      <c r="B218" s="2">
        <v>46034.824305555558</v>
      </c>
      <c r="C218" s="2">
        <v>46035.015972222223</v>
      </c>
      <c r="D218" t="s">
        <v>6025</v>
      </c>
      <c r="E218" t="s">
        <v>6030</v>
      </c>
      <c r="F218" t="s">
        <v>6035</v>
      </c>
      <c r="G218" t="s">
        <v>6088</v>
      </c>
      <c r="H218" t="s">
        <v>6097</v>
      </c>
      <c r="I218">
        <v>4</v>
      </c>
      <c r="J218">
        <v>4.5999999999999996</v>
      </c>
      <c r="K218" t="s">
        <v>6100</v>
      </c>
      <c r="L218" t="s">
        <v>6099</v>
      </c>
      <c r="M218" t="s">
        <v>6100</v>
      </c>
      <c r="N218">
        <v>2</v>
      </c>
      <c r="O218" t="s">
        <v>6101</v>
      </c>
      <c r="P218" t="s">
        <v>6107</v>
      </c>
      <c r="Q218">
        <v>1</v>
      </c>
      <c r="R218">
        <v>2026</v>
      </c>
      <c r="S218" t="s">
        <v>6100</v>
      </c>
      <c r="T218">
        <v>0</v>
      </c>
      <c r="U218" t="s">
        <v>6017</v>
      </c>
      <c r="V218">
        <v>0</v>
      </c>
    </row>
    <row r="219" spans="1:22" x14ac:dyDescent="0.3">
      <c r="A219" t="s">
        <v>234</v>
      </c>
      <c r="B219" s="2">
        <v>46034.834722222222</v>
      </c>
      <c r="C219" s="2">
        <v>46035.668055555558</v>
      </c>
      <c r="D219" t="s">
        <v>6022</v>
      </c>
      <c r="E219" t="s">
        <v>6031</v>
      </c>
      <c r="F219" t="s">
        <v>6034</v>
      </c>
      <c r="G219" t="s">
        <v>6084</v>
      </c>
      <c r="H219" t="s">
        <v>6098</v>
      </c>
      <c r="I219">
        <v>24</v>
      </c>
      <c r="J219">
        <v>20</v>
      </c>
      <c r="K219" t="s">
        <v>6099</v>
      </c>
      <c r="L219" t="s">
        <v>6100</v>
      </c>
      <c r="M219" t="s">
        <v>6100</v>
      </c>
      <c r="O219" t="s">
        <v>6101</v>
      </c>
      <c r="P219" t="s">
        <v>6107</v>
      </c>
      <c r="Q219">
        <v>1</v>
      </c>
      <c r="R219">
        <v>2026</v>
      </c>
      <c r="S219" t="s">
        <v>6099</v>
      </c>
      <c r="T219">
        <v>1</v>
      </c>
      <c r="U219" t="s">
        <v>6019</v>
      </c>
      <c r="V219">
        <v>1</v>
      </c>
    </row>
    <row r="220" spans="1:22" x14ac:dyDescent="0.3">
      <c r="A220" t="s">
        <v>235</v>
      </c>
      <c r="B220" s="2">
        <v>46034.856249999997</v>
      </c>
      <c r="C220" s="2">
        <v>46035.056250000001</v>
      </c>
      <c r="D220" t="s">
        <v>6022</v>
      </c>
      <c r="E220" t="s">
        <v>6029</v>
      </c>
      <c r="F220" t="s">
        <v>6034</v>
      </c>
      <c r="G220" t="s">
        <v>6055</v>
      </c>
      <c r="H220" t="s">
        <v>6096</v>
      </c>
      <c r="I220">
        <v>24</v>
      </c>
      <c r="J220">
        <v>4.8</v>
      </c>
      <c r="K220" t="s">
        <v>6100</v>
      </c>
      <c r="L220" t="s">
        <v>6099</v>
      </c>
      <c r="M220" t="s">
        <v>6100</v>
      </c>
      <c r="N220">
        <v>5</v>
      </c>
      <c r="O220" t="s">
        <v>6101</v>
      </c>
      <c r="P220" t="s">
        <v>6107</v>
      </c>
      <c r="Q220">
        <v>1</v>
      </c>
      <c r="R220">
        <v>2026</v>
      </c>
      <c r="S220" t="s">
        <v>6099</v>
      </c>
      <c r="T220">
        <v>1</v>
      </c>
      <c r="U220" t="s">
        <v>6018</v>
      </c>
      <c r="V220">
        <v>0</v>
      </c>
    </row>
    <row r="221" spans="1:22" x14ac:dyDescent="0.3">
      <c r="A221" t="s">
        <v>236</v>
      </c>
      <c r="B221" s="2">
        <v>46034.973611111112</v>
      </c>
      <c r="C221" s="2">
        <v>46035.344444444447</v>
      </c>
      <c r="D221" t="s">
        <v>6023</v>
      </c>
      <c r="E221" t="s">
        <v>6029</v>
      </c>
      <c r="F221" t="s">
        <v>6033</v>
      </c>
      <c r="G221" t="s">
        <v>6073</v>
      </c>
      <c r="H221" t="s">
        <v>6096</v>
      </c>
      <c r="I221">
        <v>72</v>
      </c>
      <c r="J221">
        <v>8.9</v>
      </c>
      <c r="K221" t="s">
        <v>6099</v>
      </c>
      <c r="L221" t="s">
        <v>6100</v>
      </c>
      <c r="M221" t="s">
        <v>6100</v>
      </c>
      <c r="O221" t="s">
        <v>6101</v>
      </c>
      <c r="P221" t="s">
        <v>6107</v>
      </c>
      <c r="Q221">
        <v>1</v>
      </c>
      <c r="R221">
        <v>2026</v>
      </c>
      <c r="S221" t="s">
        <v>6099</v>
      </c>
      <c r="T221">
        <v>1</v>
      </c>
      <c r="U221" t="s">
        <v>6021</v>
      </c>
      <c r="V221">
        <v>1</v>
      </c>
    </row>
    <row r="222" spans="1:22" x14ac:dyDescent="0.3">
      <c r="A222" t="s">
        <v>237</v>
      </c>
      <c r="B222" s="2">
        <v>46035.188194444447</v>
      </c>
      <c r="C222" s="2">
        <v>46035.617361111108</v>
      </c>
      <c r="D222" t="s">
        <v>6024</v>
      </c>
      <c r="E222" t="s">
        <v>6030</v>
      </c>
      <c r="F222" t="s">
        <v>6035</v>
      </c>
      <c r="G222" t="s">
        <v>6071</v>
      </c>
      <c r="H222" t="s">
        <v>6098</v>
      </c>
      <c r="I222">
        <v>4</v>
      </c>
      <c r="J222">
        <v>10.3</v>
      </c>
      <c r="K222" t="s">
        <v>6099</v>
      </c>
      <c r="L222" t="s">
        <v>6100</v>
      </c>
      <c r="M222" t="s">
        <v>6099</v>
      </c>
      <c r="O222" t="s">
        <v>6101</v>
      </c>
      <c r="P222" t="s">
        <v>6107</v>
      </c>
      <c r="Q222">
        <v>1</v>
      </c>
      <c r="R222">
        <v>2026</v>
      </c>
      <c r="S222" t="s">
        <v>6100</v>
      </c>
      <c r="T222">
        <v>0</v>
      </c>
      <c r="U222" t="s">
        <v>6021</v>
      </c>
      <c r="V222">
        <v>1</v>
      </c>
    </row>
    <row r="223" spans="1:22" x14ac:dyDescent="0.3">
      <c r="A223" t="s">
        <v>238</v>
      </c>
      <c r="B223" s="2">
        <v>46035.213194444441</v>
      </c>
      <c r="C223" s="2">
        <v>46035.767361111109</v>
      </c>
      <c r="D223" t="s">
        <v>6023</v>
      </c>
      <c r="E223" t="s">
        <v>6032</v>
      </c>
      <c r="F223" t="s">
        <v>6033</v>
      </c>
      <c r="G223" t="s">
        <v>6039</v>
      </c>
      <c r="H223" t="s">
        <v>6097</v>
      </c>
      <c r="I223">
        <v>72</v>
      </c>
      <c r="J223">
        <v>13.3</v>
      </c>
      <c r="K223" t="s">
        <v>6099</v>
      </c>
      <c r="L223" t="s">
        <v>6100</v>
      </c>
      <c r="M223" t="s">
        <v>6100</v>
      </c>
      <c r="O223" t="s">
        <v>6101</v>
      </c>
      <c r="P223" t="s">
        <v>6107</v>
      </c>
      <c r="Q223">
        <v>1</v>
      </c>
      <c r="R223">
        <v>2026</v>
      </c>
      <c r="S223" t="s">
        <v>6099</v>
      </c>
      <c r="T223">
        <v>1</v>
      </c>
      <c r="U223" t="s">
        <v>6017</v>
      </c>
      <c r="V223">
        <v>1</v>
      </c>
    </row>
    <row r="224" spans="1:22" x14ac:dyDescent="0.3">
      <c r="A224" t="s">
        <v>239</v>
      </c>
      <c r="B224" s="2">
        <v>46035.386111111111</v>
      </c>
      <c r="C224" s="2">
        <v>46036.036111111112</v>
      </c>
      <c r="D224" t="s">
        <v>6025</v>
      </c>
      <c r="E224" t="s">
        <v>6030</v>
      </c>
      <c r="F224" t="s">
        <v>6034</v>
      </c>
      <c r="G224" t="s">
        <v>6063</v>
      </c>
      <c r="H224" t="s">
        <v>6097</v>
      </c>
      <c r="I224">
        <v>24</v>
      </c>
      <c r="J224">
        <v>15.6</v>
      </c>
      <c r="K224" t="s">
        <v>6100</v>
      </c>
      <c r="L224" t="s">
        <v>6100</v>
      </c>
      <c r="M224" t="s">
        <v>6100</v>
      </c>
      <c r="N224">
        <v>3</v>
      </c>
      <c r="O224" t="s">
        <v>6101</v>
      </c>
      <c r="P224" t="s">
        <v>6107</v>
      </c>
      <c r="Q224">
        <v>1</v>
      </c>
      <c r="R224">
        <v>2026</v>
      </c>
      <c r="S224" t="s">
        <v>6099</v>
      </c>
      <c r="T224">
        <v>1</v>
      </c>
      <c r="U224" t="s">
        <v>6021</v>
      </c>
      <c r="V224">
        <v>0</v>
      </c>
    </row>
    <row r="225" spans="1:22" x14ac:dyDescent="0.3">
      <c r="A225" t="s">
        <v>240</v>
      </c>
      <c r="B225" s="2">
        <v>46035.420138888891</v>
      </c>
      <c r="C225" s="2">
        <v>46035.911805555559</v>
      </c>
      <c r="D225" t="s">
        <v>6023</v>
      </c>
      <c r="E225" t="s">
        <v>6029</v>
      </c>
      <c r="F225" t="s">
        <v>6033</v>
      </c>
      <c r="G225" t="s">
        <v>6044</v>
      </c>
      <c r="H225" t="s">
        <v>6097</v>
      </c>
      <c r="I225">
        <v>72</v>
      </c>
      <c r="J225">
        <v>11.8</v>
      </c>
      <c r="K225" t="s">
        <v>6099</v>
      </c>
      <c r="L225" t="s">
        <v>6100</v>
      </c>
      <c r="M225" t="s">
        <v>6100</v>
      </c>
      <c r="N225">
        <v>5</v>
      </c>
      <c r="O225" t="s">
        <v>6101</v>
      </c>
      <c r="P225" t="s">
        <v>6107</v>
      </c>
      <c r="Q225">
        <v>1</v>
      </c>
      <c r="R225">
        <v>2026</v>
      </c>
      <c r="S225" t="s">
        <v>6099</v>
      </c>
      <c r="T225">
        <v>1</v>
      </c>
      <c r="U225" t="s">
        <v>6021</v>
      </c>
      <c r="V225">
        <v>1</v>
      </c>
    </row>
    <row r="226" spans="1:22" x14ac:dyDescent="0.3">
      <c r="A226" t="s">
        <v>241</v>
      </c>
      <c r="B226" s="2">
        <v>46035.456250000003</v>
      </c>
      <c r="C226" s="2">
        <v>46035.814583333333</v>
      </c>
      <c r="D226" t="s">
        <v>6023</v>
      </c>
      <c r="E226" t="s">
        <v>6030</v>
      </c>
      <c r="F226" t="s">
        <v>6033</v>
      </c>
      <c r="G226" t="s">
        <v>6038</v>
      </c>
      <c r="H226" t="s">
        <v>6096</v>
      </c>
      <c r="I226">
        <v>72</v>
      </c>
      <c r="J226">
        <v>8.6</v>
      </c>
      <c r="K226" t="s">
        <v>6099</v>
      </c>
      <c r="L226" t="s">
        <v>6100</v>
      </c>
      <c r="M226" t="s">
        <v>6100</v>
      </c>
      <c r="N226">
        <v>5</v>
      </c>
      <c r="O226" t="s">
        <v>6101</v>
      </c>
      <c r="P226" t="s">
        <v>6107</v>
      </c>
      <c r="Q226">
        <v>1</v>
      </c>
      <c r="R226">
        <v>2026</v>
      </c>
      <c r="S226" t="s">
        <v>6099</v>
      </c>
      <c r="T226">
        <v>1</v>
      </c>
      <c r="U226" t="s">
        <v>6021</v>
      </c>
      <c r="V226">
        <v>1</v>
      </c>
    </row>
    <row r="227" spans="1:22" x14ac:dyDescent="0.3">
      <c r="A227" t="s">
        <v>242</v>
      </c>
      <c r="B227" s="2">
        <v>46035.464583333334</v>
      </c>
      <c r="C227" s="2">
        <v>46036.497916666667</v>
      </c>
      <c r="D227" t="s">
        <v>6025</v>
      </c>
      <c r="E227" t="s">
        <v>6031</v>
      </c>
      <c r="F227" t="s">
        <v>6034</v>
      </c>
      <c r="G227" t="s">
        <v>6068</v>
      </c>
      <c r="H227" t="s">
        <v>6098</v>
      </c>
      <c r="I227">
        <v>24</v>
      </c>
      <c r="J227">
        <v>24.8</v>
      </c>
      <c r="K227" t="s">
        <v>6100</v>
      </c>
      <c r="L227" t="s">
        <v>6100</v>
      </c>
      <c r="M227" t="s">
        <v>6100</v>
      </c>
      <c r="O227" t="s">
        <v>6101</v>
      </c>
      <c r="P227" t="s">
        <v>6107</v>
      </c>
      <c r="Q227">
        <v>1</v>
      </c>
      <c r="R227">
        <v>2026</v>
      </c>
      <c r="S227" t="s">
        <v>6100</v>
      </c>
      <c r="T227">
        <v>0</v>
      </c>
      <c r="U227" t="s">
        <v>6020</v>
      </c>
      <c r="V227">
        <v>0</v>
      </c>
    </row>
    <row r="228" spans="1:22" x14ac:dyDescent="0.3">
      <c r="A228" t="s">
        <v>243</v>
      </c>
      <c r="B228" s="2">
        <v>46035.467361111114</v>
      </c>
      <c r="C228" s="2">
        <v>46035.779861111114</v>
      </c>
      <c r="D228" t="s">
        <v>6028</v>
      </c>
      <c r="E228" t="s">
        <v>6030</v>
      </c>
      <c r="F228" t="s">
        <v>6033</v>
      </c>
      <c r="G228" t="s">
        <v>6050</v>
      </c>
      <c r="H228" t="s">
        <v>6098</v>
      </c>
      <c r="I228">
        <v>72</v>
      </c>
      <c r="J228">
        <v>7.5</v>
      </c>
      <c r="K228" t="s">
        <v>6099</v>
      </c>
      <c r="L228" t="s">
        <v>6100</v>
      </c>
      <c r="M228" t="s">
        <v>6100</v>
      </c>
      <c r="N228">
        <v>5</v>
      </c>
      <c r="O228" t="s">
        <v>6101</v>
      </c>
      <c r="P228" t="s">
        <v>6107</v>
      </c>
      <c r="Q228">
        <v>1</v>
      </c>
      <c r="R228">
        <v>2026</v>
      </c>
      <c r="S228" t="s">
        <v>6099</v>
      </c>
      <c r="T228">
        <v>1</v>
      </c>
      <c r="U228" t="s">
        <v>6019</v>
      </c>
      <c r="V228">
        <v>1</v>
      </c>
    </row>
    <row r="229" spans="1:22" x14ac:dyDescent="0.3">
      <c r="A229" t="s">
        <v>244</v>
      </c>
      <c r="B229" s="2">
        <v>46035.470138888886</v>
      </c>
      <c r="C229" s="2">
        <v>46035.678472222222</v>
      </c>
      <c r="D229" t="s">
        <v>6025</v>
      </c>
      <c r="E229" t="s">
        <v>6030</v>
      </c>
      <c r="F229" t="s">
        <v>6034</v>
      </c>
      <c r="G229" t="s">
        <v>6040</v>
      </c>
      <c r="H229" t="s">
        <v>6097</v>
      </c>
      <c r="I229">
        <v>24</v>
      </c>
      <c r="J229">
        <v>5</v>
      </c>
      <c r="K229" t="s">
        <v>6099</v>
      </c>
      <c r="L229" t="s">
        <v>6100</v>
      </c>
      <c r="M229" t="s">
        <v>6100</v>
      </c>
      <c r="N229">
        <v>3</v>
      </c>
      <c r="O229" t="s">
        <v>6101</v>
      </c>
      <c r="P229" t="s">
        <v>6107</v>
      </c>
      <c r="Q229">
        <v>1</v>
      </c>
      <c r="R229">
        <v>2026</v>
      </c>
      <c r="S229" t="s">
        <v>6099</v>
      </c>
      <c r="T229">
        <v>1</v>
      </c>
      <c r="U229" t="s">
        <v>6019</v>
      </c>
      <c r="V229">
        <v>1</v>
      </c>
    </row>
    <row r="230" spans="1:22" x14ac:dyDescent="0.3">
      <c r="A230" t="s">
        <v>245</v>
      </c>
      <c r="B230" s="2">
        <v>46035.48541666667</v>
      </c>
      <c r="C230" s="2">
        <v>46036.131249999999</v>
      </c>
      <c r="D230" t="s">
        <v>6022</v>
      </c>
      <c r="E230" t="s">
        <v>6031</v>
      </c>
      <c r="F230" t="s">
        <v>6034</v>
      </c>
      <c r="G230" t="s">
        <v>6085</v>
      </c>
      <c r="H230" t="s">
        <v>6097</v>
      </c>
      <c r="I230">
        <v>24</v>
      </c>
      <c r="J230">
        <v>15.5</v>
      </c>
      <c r="K230" t="s">
        <v>6099</v>
      </c>
      <c r="L230" t="s">
        <v>6100</v>
      </c>
      <c r="M230" t="s">
        <v>6100</v>
      </c>
      <c r="O230" t="s">
        <v>6101</v>
      </c>
      <c r="P230" t="s">
        <v>6107</v>
      </c>
      <c r="Q230">
        <v>1</v>
      </c>
      <c r="R230">
        <v>2026</v>
      </c>
      <c r="S230" t="s">
        <v>6099</v>
      </c>
      <c r="T230">
        <v>1</v>
      </c>
      <c r="U230" t="s">
        <v>6018</v>
      </c>
      <c r="V230">
        <v>1</v>
      </c>
    </row>
    <row r="231" spans="1:22" x14ac:dyDescent="0.3">
      <c r="A231" t="s">
        <v>246</v>
      </c>
      <c r="B231" s="2">
        <v>46035.488194444442</v>
      </c>
      <c r="C231" s="2">
        <v>46037.017361111109</v>
      </c>
      <c r="D231" t="s">
        <v>6022</v>
      </c>
      <c r="E231" t="s">
        <v>6031</v>
      </c>
      <c r="F231" t="s">
        <v>6033</v>
      </c>
      <c r="G231" t="s">
        <v>6081</v>
      </c>
      <c r="H231" t="s">
        <v>6098</v>
      </c>
      <c r="I231">
        <v>72</v>
      </c>
      <c r="J231">
        <v>36.700000000000003</v>
      </c>
      <c r="K231" t="s">
        <v>6099</v>
      </c>
      <c r="L231" t="s">
        <v>6100</v>
      </c>
      <c r="M231" t="s">
        <v>6099</v>
      </c>
      <c r="O231" t="s">
        <v>6101</v>
      </c>
      <c r="P231" t="s">
        <v>6107</v>
      </c>
      <c r="Q231">
        <v>1</v>
      </c>
      <c r="R231">
        <v>2026</v>
      </c>
      <c r="S231" t="s">
        <v>6099</v>
      </c>
      <c r="T231">
        <v>1</v>
      </c>
      <c r="U231" t="s">
        <v>6020</v>
      </c>
      <c r="V231">
        <v>1</v>
      </c>
    </row>
    <row r="232" spans="1:22" x14ac:dyDescent="0.3">
      <c r="A232" t="s">
        <v>247</v>
      </c>
      <c r="B232" s="2">
        <v>46035.490972222222</v>
      </c>
      <c r="C232" s="2">
        <v>46040.96597222222</v>
      </c>
      <c r="D232" t="s">
        <v>6026</v>
      </c>
      <c r="E232" t="s">
        <v>6032</v>
      </c>
      <c r="F232" t="s">
        <v>6035</v>
      </c>
      <c r="G232" t="s">
        <v>6094</v>
      </c>
      <c r="H232" t="s">
        <v>6098</v>
      </c>
      <c r="I232">
        <v>4</v>
      </c>
      <c r="J232">
        <v>131.4</v>
      </c>
      <c r="K232" t="s">
        <v>6100</v>
      </c>
      <c r="L232" t="s">
        <v>6099</v>
      </c>
      <c r="M232" t="s">
        <v>6100</v>
      </c>
      <c r="N232">
        <v>3</v>
      </c>
      <c r="O232" t="s">
        <v>6101</v>
      </c>
      <c r="P232" t="s">
        <v>6107</v>
      </c>
      <c r="Q232">
        <v>1</v>
      </c>
      <c r="R232">
        <v>2026</v>
      </c>
      <c r="S232" t="s">
        <v>6100</v>
      </c>
      <c r="T232">
        <v>0</v>
      </c>
      <c r="U232" t="s">
        <v>6020</v>
      </c>
      <c r="V232">
        <v>0</v>
      </c>
    </row>
    <row r="233" spans="1:22" x14ac:dyDescent="0.3">
      <c r="A233" t="s">
        <v>248</v>
      </c>
      <c r="B233" s="2">
        <v>46035.556250000001</v>
      </c>
      <c r="C233" s="2">
        <v>46039.935416666667</v>
      </c>
      <c r="D233" t="s">
        <v>6026</v>
      </c>
      <c r="E233" t="s">
        <v>6031</v>
      </c>
      <c r="F233" t="s">
        <v>6034</v>
      </c>
      <c r="G233" t="s">
        <v>6068</v>
      </c>
      <c r="H233" t="s">
        <v>6098</v>
      </c>
      <c r="I233">
        <v>24</v>
      </c>
      <c r="J233">
        <v>105.1</v>
      </c>
      <c r="K233" t="s">
        <v>6099</v>
      </c>
      <c r="L233" t="s">
        <v>6100</v>
      </c>
      <c r="M233" t="s">
        <v>6099</v>
      </c>
      <c r="N233">
        <v>4</v>
      </c>
      <c r="O233" t="s">
        <v>6101</v>
      </c>
      <c r="P233" t="s">
        <v>6107</v>
      </c>
      <c r="Q233">
        <v>1</v>
      </c>
      <c r="R233">
        <v>2026</v>
      </c>
      <c r="S233" t="s">
        <v>6100</v>
      </c>
      <c r="T233">
        <v>0</v>
      </c>
      <c r="U233" t="s">
        <v>6020</v>
      </c>
      <c r="V233">
        <v>1</v>
      </c>
    </row>
    <row r="234" spans="1:22" x14ac:dyDescent="0.3">
      <c r="A234" t="s">
        <v>249</v>
      </c>
      <c r="B234" s="2">
        <v>46035.598611111112</v>
      </c>
      <c r="C234" s="2">
        <v>46036.00277777778</v>
      </c>
      <c r="D234" t="s">
        <v>6028</v>
      </c>
      <c r="E234" t="s">
        <v>6029</v>
      </c>
      <c r="F234" t="s">
        <v>6035</v>
      </c>
      <c r="G234" t="s">
        <v>6083</v>
      </c>
      <c r="H234" t="s">
        <v>6096</v>
      </c>
      <c r="I234">
        <v>4</v>
      </c>
      <c r="J234">
        <v>9.6999999999999993</v>
      </c>
      <c r="K234" t="s">
        <v>6100</v>
      </c>
      <c r="L234" t="s">
        <v>6099</v>
      </c>
      <c r="M234" t="s">
        <v>6100</v>
      </c>
      <c r="O234" t="s">
        <v>6101</v>
      </c>
      <c r="P234" t="s">
        <v>6107</v>
      </c>
      <c r="Q234">
        <v>1</v>
      </c>
      <c r="R234">
        <v>2026</v>
      </c>
      <c r="S234" t="s">
        <v>6100</v>
      </c>
      <c r="T234">
        <v>0</v>
      </c>
      <c r="U234" t="s">
        <v>6018</v>
      </c>
      <c r="V234">
        <v>0</v>
      </c>
    </row>
    <row r="235" spans="1:22" x14ac:dyDescent="0.3">
      <c r="A235" t="s">
        <v>250</v>
      </c>
      <c r="B235" s="2">
        <v>46035.668749999997</v>
      </c>
      <c r="C235" s="2">
        <v>46036.193749999999</v>
      </c>
      <c r="D235" t="s">
        <v>6025</v>
      </c>
      <c r="E235" t="s">
        <v>6031</v>
      </c>
      <c r="F235" t="s">
        <v>6033</v>
      </c>
      <c r="G235" t="s">
        <v>6068</v>
      </c>
      <c r="H235" t="s">
        <v>6098</v>
      </c>
      <c r="I235">
        <v>72</v>
      </c>
      <c r="J235">
        <v>12.6</v>
      </c>
      <c r="K235" t="s">
        <v>6100</v>
      </c>
      <c r="L235" t="s">
        <v>6099</v>
      </c>
      <c r="M235" t="s">
        <v>6100</v>
      </c>
      <c r="N235">
        <v>4</v>
      </c>
      <c r="O235" t="s">
        <v>6101</v>
      </c>
      <c r="P235" t="s">
        <v>6107</v>
      </c>
      <c r="Q235">
        <v>1</v>
      </c>
      <c r="R235">
        <v>2026</v>
      </c>
      <c r="S235" t="s">
        <v>6099</v>
      </c>
      <c r="T235">
        <v>1</v>
      </c>
      <c r="U235" t="s">
        <v>6018</v>
      </c>
      <c r="V235">
        <v>0</v>
      </c>
    </row>
    <row r="236" spans="1:22" x14ac:dyDescent="0.3">
      <c r="A236" t="s">
        <v>251</v>
      </c>
      <c r="B236" s="2">
        <v>46035.688888888886</v>
      </c>
      <c r="C236" s="2">
        <v>46036.347222222219</v>
      </c>
      <c r="D236" t="s">
        <v>6027</v>
      </c>
      <c r="E236" t="s">
        <v>6029</v>
      </c>
      <c r="F236" t="s">
        <v>6033</v>
      </c>
      <c r="G236" t="s">
        <v>6081</v>
      </c>
      <c r="H236" t="s">
        <v>6098</v>
      </c>
      <c r="I236">
        <v>72</v>
      </c>
      <c r="J236">
        <v>15.8</v>
      </c>
      <c r="K236" t="s">
        <v>6099</v>
      </c>
      <c r="L236" t="s">
        <v>6100</v>
      </c>
      <c r="M236" t="s">
        <v>6100</v>
      </c>
      <c r="N236">
        <v>5</v>
      </c>
      <c r="O236" t="s">
        <v>6101</v>
      </c>
      <c r="P236" t="s">
        <v>6107</v>
      </c>
      <c r="Q236">
        <v>1</v>
      </c>
      <c r="R236">
        <v>2026</v>
      </c>
      <c r="S236" t="s">
        <v>6099</v>
      </c>
      <c r="T236">
        <v>1</v>
      </c>
      <c r="U236" t="s">
        <v>6018</v>
      </c>
      <c r="V236">
        <v>1</v>
      </c>
    </row>
    <row r="237" spans="1:22" x14ac:dyDescent="0.3">
      <c r="A237" t="s">
        <v>252</v>
      </c>
      <c r="B237" s="2">
        <v>46035.71875</v>
      </c>
      <c r="C237" s="2">
        <v>46039.064583333333</v>
      </c>
      <c r="D237" t="s">
        <v>6026</v>
      </c>
      <c r="E237" t="s">
        <v>6032</v>
      </c>
      <c r="F237" t="s">
        <v>6034</v>
      </c>
      <c r="G237" t="s">
        <v>6055</v>
      </c>
      <c r="H237" t="s">
        <v>6096</v>
      </c>
      <c r="I237">
        <v>24</v>
      </c>
      <c r="J237">
        <v>80.3</v>
      </c>
      <c r="K237" t="s">
        <v>6100</v>
      </c>
      <c r="L237" t="s">
        <v>6100</v>
      </c>
      <c r="M237" t="s">
        <v>6100</v>
      </c>
      <c r="N237">
        <v>4</v>
      </c>
      <c r="O237" t="s">
        <v>6101</v>
      </c>
      <c r="P237" t="s">
        <v>6107</v>
      </c>
      <c r="Q237">
        <v>1</v>
      </c>
      <c r="R237">
        <v>2026</v>
      </c>
      <c r="S237" t="s">
        <v>6100</v>
      </c>
      <c r="T237">
        <v>0</v>
      </c>
      <c r="U237" t="s">
        <v>6019</v>
      </c>
      <c r="V237">
        <v>0</v>
      </c>
    </row>
    <row r="238" spans="1:22" x14ac:dyDescent="0.3">
      <c r="A238" t="s">
        <v>253</v>
      </c>
      <c r="B238" s="2">
        <v>46035.759722222225</v>
      </c>
      <c r="C238" s="2">
        <v>46035.87222222222</v>
      </c>
      <c r="D238" t="s">
        <v>6023</v>
      </c>
      <c r="E238" t="s">
        <v>6029</v>
      </c>
      <c r="F238" t="s">
        <v>6033</v>
      </c>
      <c r="G238" t="s">
        <v>6090</v>
      </c>
      <c r="H238" t="s">
        <v>6097</v>
      </c>
      <c r="I238">
        <v>72</v>
      </c>
      <c r="J238">
        <v>2.7</v>
      </c>
      <c r="K238" t="s">
        <v>6099</v>
      </c>
      <c r="L238" t="s">
        <v>6100</v>
      </c>
      <c r="M238" t="s">
        <v>6100</v>
      </c>
      <c r="N238">
        <v>5</v>
      </c>
      <c r="O238" t="s">
        <v>6101</v>
      </c>
      <c r="P238" t="s">
        <v>6107</v>
      </c>
      <c r="Q238">
        <v>1</v>
      </c>
      <c r="R238">
        <v>2026</v>
      </c>
      <c r="S238" t="s">
        <v>6099</v>
      </c>
      <c r="T238">
        <v>1</v>
      </c>
      <c r="U238" t="s">
        <v>6018</v>
      </c>
      <c r="V238">
        <v>1</v>
      </c>
    </row>
    <row r="239" spans="1:22" x14ac:dyDescent="0.3">
      <c r="A239" t="s">
        <v>254</v>
      </c>
      <c r="B239" s="2">
        <v>46035.767361111109</v>
      </c>
      <c r="C239" s="2">
        <v>46035.867361111108</v>
      </c>
      <c r="D239" t="s">
        <v>6023</v>
      </c>
      <c r="E239" t="s">
        <v>6030</v>
      </c>
      <c r="F239" t="s">
        <v>6033</v>
      </c>
      <c r="G239" t="s">
        <v>6084</v>
      </c>
      <c r="H239" t="s">
        <v>6098</v>
      </c>
      <c r="I239">
        <v>72</v>
      </c>
      <c r="J239">
        <v>2.4</v>
      </c>
      <c r="K239" t="s">
        <v>6100</v>
      </c>
      <c r="L239" t="s">
        <v>6100</v>
      </c>
      <c r="M239" t="s">
        <v>6099</v>
      </c>
      <c r="N239">
        <v>5</v>
      </c>
      <c r="O239" t="s">
        <v>6101</v>
      </c>
      <c r="P239" t="s">
        <v>6107</v>
      </c>
      <c r="Q239">
        <v>1</v>
      </c>
      <c r="R239">
        <v>2026</v>
      </c>
      <c r="S239" t="s">
        <v>6099</v>
      </c>
      <c r="T239">
        <v>1</v>
      </c>
      <c r="U239" t="s">
        <v>6019</v>
      </c>
      <c r="V239">
        <v>0</v>
      </c>
    </row>
    <row r="240" spans="1:22" x14ac:dyDescent="0.3">
      <c r="A240" t="s">
        <v>255</v>
      </c>
      <c r="B240" s="2">
        <v>46035.785416666666</v>
      </c>
      <c r="C240" s="2">
        <v>46035.972916666666</v>
      </c>
      <c r="D240" t="s">
        <v>6028</v>
      </c>
      <c r="E240" t="s">
        <v>6029</v>
      </c>
      <c r="F240" t="s">
        <v>6035</v>
      </c>
      <c r="G240" t="s">
        <v>6050</v>
      </c>
      <c r="H240" t="s">
        <v>6098</v>
      </c>
      <c r="I240">
        <v>4</v>
      </c>
      <c r="J240">
        <v>4.5</v>
      </c>
      <c r="K240" t="s">
        <v>6099</v>
      </c>
      <c r="L240" t="s">
        <v>6100</v>
      </c>
      <c r="M240" t="s">
        <v>6100</v>
      </c>
      <c r="N240">
        <v>4</v>
      </c>
      <c r="O240" t="s">
        <v>6101</v>
      </c>
      <c r="P240" t="s">
        <v>6107</v>
      </c>
      <c r="Q240">
        <v>1</v>
      </c>
      <c r="R240">
        <v>2026</v>
      </c>
      <c r="S240" t="s">
        <v>6100</v>
      </c>
      <c r="T240">
        <v>0</v>
      </c>
      <c r="U240" t="s">
        <v>6017</v>
      </c>
      <c r="V240">
        <v>1</v>
      </c>
    </row>
    <row r="241" spans="1:22" x14ac:dyDescent="0.3">
      <c r="A241" t="s">
        <v>256</v>
      </c>
      <c r="B241" s="2">
        <v>46036.297222222223</v>
      </c>
      <c r="C241" s="2">
        <v>46039.209722222222</v>
      </c>
      <c r="D241" t="s">
        <v>6022</v>
      </c>
      <c r="E241" t="s">
        <v>6031</v>
      </c>
      <c r="F241" t="s">
        <v>6033</v>
      </c>
      <c r="G241" t="s">
        <v>6055</v>
      </c>
      <c r="H241" t="s">
        <v>6096</v>
      </c>
      <c r="I241">
        <v>72</v>
      </c>
      <c r="J241">
        <v>69.900000000000006</v>
      </c>
      <c r="K241" t="s">
        <v>6100</v>
      </c>
      <c r="L241" t="s">
        <v>6099</v>
      </c>
      <c r="M241" t="s">
        <v>6100</v>
      </c>
      <c r="N241">
        <v>3</v>
      </c>
      <c r="O241" t="s">
        <v>6101</v>
      </c>
      <c r="P241" t="s">
        <v>6107</v>
      </c>
      <c r="Q241">
        <v>1</v>
      </c>
      <c r="R241">
        <v>2026</v>
      </c>
      <c r="S241" t="s">
        <v>6099</v>
      </c>
      <c r="T241">
        <v>1</v>
      </c>
      <c r="U241" t="s">
        <v>6021</v>
      </c>
      <c r="V241">
        <v>0</v>
      </c>
    </row>
    <row r="242" spans="1:22" x14ac:dyDescent="0.3">
      <c r="A242" t="s">
        <v>257</v>
      </c>
      <c r="B242" s="2">
        <v>46036.347222222219</v>
      </c>
      <c r="C242" s="2">
        <v>46037.505555555559</v>
      </c>
      <c r="D242" t="s">
        <v>6024</v>
      </c>
      <c r="E242" t="s">
        <v>6031</v>
      </c>
      <c r="F242" t="s">
        <v>6034</v>
      </c>
      <c r="G242" t="s">
        <v>6039</v>
      </c>
      <c r="H242" t="s">
        <v>6097</v>
      </c>
      <c r="I242">
        <v>24</v>
      </c>
      <c r="J242">
        <v>27.8</v>
      </c>
      <c r="K242" t="s">
        <v>6100</v>
      </c>
      <c r="L242" t="s">
        <v>6100</v>
      </c>
      <c r="M242" t="s">
        <v>6100</v>
      </c>
      <c r="N242">
        <v>4</v>
      </c>
      <c r="O242" t="s">
        <v>6101</v>
      </c>
      <c r="P242" t="s">
        <v>6107</v>
      </c>
      <c r="Q242">
        <v>1</v>
      </c>
      <c r="R242">
        <v>2026</v>
      </c>
      <c r="S242" t="s">
        <v>6100</v>
      </c>
      <c r="T242">
        <v>0</v>
      </c>
      <c r="U242" t="s">
        <v>6020</v>
      </c>
      <c r="V242">
        <v>0</v>
      </c>
    </row>
    <row r="243" spans="1:22" x14ac:dyDescent="0.3">
      <c r="A243" t="s">
        <v>258</v>
      </c>
      <c r="B243" s="2">
        <v>46036.370138888888</v>
      </c>
      <c r="C243" s="2">
        <v>46036.582638888889</v>
      </c>
      <c r="D243" t="s">
        <v>6022</v>
      </c>
      <c r="E243" t="s">
        <v>6029</v>
      </c>
      <c r="F243" t="s">
        <v>6034</v>
      </c>
      <c r="G243" t="s">
        <v>6059</v>
      </c>
      <c r="H243" t="s">
        <v>6097</v>
      </c>
      <c r="I243">
        <v>24</v>
      </c>
      <c r="J243">
        <v>5.0999999999999996</v>
      </c>
      <c r="K243" t="s">
        <v>6099</v>
      </c>
      <c r="L243" t="s">
        <v>6100</v>
      </c>
      <c r="M243" t="s">
        <v>6099</v>
      </c>
      <c r="O243" t="s">
        <v>6101</v>
      </c>
      <c r="P243" t="s">
        <v>6107</v>
      </c>
      <c r="Q243">
        <v>1</v>
      </c>
      <c r="R243">
        <v>2026</v>
      </c>
      <c r="S243" t="s">
        <v>6099</v>
      </c>
      <c r="T243">
        <v>1</v>
      </c>
      <c r="U243" t="s">
        <v>6020</v>
      </c>
      <c r="V243">
        <v>1</v>
      </c>
    </row>
    <row r="244" spans="1:22" x14ac:dyDescent="0.3">
      <c r="A244" t="s">
        <v>259</v>
      </c>
      <c r="B244" s="2">
        <v>46036.386805555558</v>
      </c>
      <c r="C244" s="2">
        <v>46039.978472222225</v>
      </c>
      <c r="D244" t="s">
        <v>6025</v>
      </c>
      <c r="E244" t="s">
        <v>6031</v>
      </c>
      <c r="F244" t="s">
        <v>6034</v>
      </c>
      <c r="G244" t="s">
        <v>6070</v>
      </c>
      <c r="H244" t="s">
        <v>6097</v>
      </c>
      <c r="I244">
        <v>24</v>
      </c>
      <c r="J244">
        <v>86.2</v>
      </c>
      <c r="K244" t="s">
        <v>6099</v>
      </c>
      <c r="L244" t="s">
        <v>6100</v>
      </c>
      <c r="M244" t="s">
        <v>6100</v>
      </c>
      <c r="N244">
        <v>4</v>
      </c>
      <c r="O244" t="s">
        <v>6101</v>
      </c>
      <c r="P244" t="s">
        <v>6107</v>
      </c>
      <c r="Q244">
        <v>1</v>
      </c>
      <c r="R244">
        <v>2026</v>
      </c>
      <c r="S244" t="s">
        <v>6100</v>
      </c>
      <c r="T244">
        <v>0</v>
      </c>
      <c r="U244" t="s">
        <v>6020</v>
      </c>
      <c r="V244">
        <v>1</v>
      </c>
    </row>
    <row r="245" spans="1:22" x14ac:dyDescent="0.3">
      <c r="A245" t="s">
        <v>260</v>
      </c>
      <c r="B245" s="2">
        <v>46036.419444444444</v>
      </c>
      <c r="C245" s="2">
        <v>46036.636111111111</v>
      </c>
      <c r="D245" t="s">
        <v>6024</v>
      </c>
      <c r="E245" t="s">
        <v>6029</v>
      </c>
      <c r="F245" t="s">
        <v>6034</v>
      </c>
      <c r="G245" t="s">
        <v>6075</v>
      </c>
      <c r="H245" t="s">
        <v>6097</v>
      </c>
      <c r="I245">
        <v>24</v>
      </c>
      <c r="J245">
        <v>5.2</v>
      </c>
      <c r="K245" t="s">
        <v>6099</v>
      </c>
      <c r="L245" t="s">
        <v>6100</v>
      </c>
      <c r="M245" t="s">
        <v>6100</v>
      </c>
      <c r="N245">
        <v>5</v>
      </c>
      <c r="O245" t="s">
        <v>6101</v>
      </c>
      <c r="P245" t="s">
        <v>6107</v>
      </c>
      <c r="Q245">
        <v>1</v>
      </c>
      <c r="R245">
        <v>2026</v>
      </c>
      <c r="S245" t="s">
        <v>6099</v>
      </c>
      <c r="T245">
        <v>1</v>
      </c>
      <c r="U245" t="s">
        <v>6020</v>
      </c>
      <c r="V245">
        <v>1</v>
      </c>
    </row>
    <row r="246" spans="1:22" x14ac:dyDescent="0.3">
      <c r="A246" t="s">
        <v>261</v>
      </c>
      <c r="B246" s="2">
        <v>46036.441666666666</v>
      </c>
      <c r="C246" s="2">
        <v>46036.529166666667</v>
      </c>
      <c r="D246" t="s">
        <v>6023</v>
      </c>
      <c r="E246" t="s">
        <v>6029</v>
      </c>
      <c r="F246" t="s">
        <v>6034</v>
      </c>
      <c r="G246" t="s">
        <v>6053</v>
      </c>
      <c r="H246" t="s">
        <v>6097</v>
      </c>
      <c r="I246">
        <v>24</v>
      </c>
      <c r="J246">
        <v>2.1</v>
      </c>
      <c r="K246" t="s">
        <v>6100</v>
      </c>
      <c r="L246" t="s">
        <v>6099</v>
      </c>
      <c r="M246" t="s">
        <v>6100</v>
      </c>
      <c r="N246">
        <v>4</v>
      </c>
      <c r="O246" t="s">
        <v>6101</v>
      </c>
      <c r="P246" t="s">
        <v>6107</v>
      </c>
      <c r="Q246">
        <v>1</v>
      </c>
      <c r="R246">
        <v>2026</v>
      </c>
      <c r="S246" t="s">
        <v>6099</v>
      </c>
      <c r="T246">
        <v>1</v>
      </c>
      <c r="U246" t="s">
        <v>6017</v>
      </c>
      <c r="V246">
        <v>0</v>
      </c>
    </row>
    <row r="247" spans="1:22" x14ac:dyDescent="0.3">
      <c r="A247" t="s">
        <v>262</v>
      </c>
      <c r="B247" s="2">
        <v>46036.447916666664</v>
      </c>
      <c r="C247" s="2">
        <v>46036.84375</v>
      </c>
      <c r="D247" t="s">
        <v>6022</v>
      </c>
      <c r="E247" t="s">
        <v>6029</v>
      </c>
      <c r="F247" t="s">
        <v>6033</v>
      </c>
      <c r="G247" t="s">
        <v>6044</v>
      </c>
      <c r="H247" t="s">
        <v>6097</v>
      </c>
      <c r="I247">
        <v>72</v>
      </c>
      <c r="J247">
        <v>9.5</v>
      </c>
      <c r="K247" t="s">
        <v>6099</v>
      </c>
      <c r="L247" t="s">
        <v>6100</v>
      </c>
      <c r="M247" t="s">
        <v>6100</v>
      </c>
      <c r="N247">
        <v>5</v>
      </c>
      <c r="O247" t="s">
        <v>6101</v>
      </c>
      <c r="P247" t="s">
        <v>6107</v>
      </c>
      <c r="Q247">
        <v>1</v>
      </c>
      <c r="R247">
        <v>2026</v>
      </c>
      <c r="S247" t="s">
        <v>6099</v>
      </c>
      <c r="T247">
        <v>1</v>
      </c>
      <c r="U247" t="s">
        <v>6017</v>
      </c>
      <c r="V247">
        <v>1</v>
      </c>
    </row>
    <row r="248" spans="1:22" x14ac:dyDescent="0.3">
      <c r="A248" t="s">
        <v>263</v>
      </c>
      <c r="B248" s="2">
        <v>46036.455555555556</v>
      </c>
      <c r="C248" s="2">
        <v>46037.418055555558</v>
      </c>
      <c r="D248" t="s">
        <v>6022</v>
      </c>
      <c r="E248" t="s">
        <v>6029</v>
      </c>
      <c r="F248" t="s">
        <v>6034</v>
      </c>
      <c r="G248" t="s">
        <v>6053</v>
      </c>
      <c r="H248" t="s">
        <v>6097</v>
      </c>
      <c r="I248">
        <v>24</v>
      </c>
      <c r="J248">
        <v>23.1</v>
      </c>
      <c r="K248" t="s">
        <v>6099</v>
      </c>
      <c r="L248" t="s">
        <v>6100</v>
      </c>
      <c r="M248" t="s">
        <v>6100</v>
      </c>
      <c r="O248" t="s">
        <v>6101</v>
      </c>
      <c r="P248" t="s">
        <v>6107</v>
      </c>
      <c r="Q248">
        <v>1</v>
      </c>
      <c r="R248">
        <v>2026</v>
      </c>
      <c r="S248" t="s">
        <v>6099</v>
      </c>
      <c r="T248">
        <v>1</v>
      </c>
      <c r="U248" t="s">
        <v>6020</v>
      </c>
      <c r="V248">
        <v>1</v>
      </c>
    </row>
    <row r="249" spans="1:22" x14ac:dyDescent="0.3">
      <c r="A249" t="s">
        <v>264</v>
      </c>
      <c r="B249" s="2">
        <v>46036.506249999999</v>
      </c>
      <c r="C249" s="2">
        <v>46036.997916666667</v>
      </c>
      <c r="D249" t="s">
        <v>6022</v>
      </c>
      <c r="E249" t="s">
        <v>6029</v>
      </c>
      <c r="F249" t="s">
        <v>6034</v>
      </c>
      <c r="G249" t="s">
        <v>6064</v>
      </c>
      <c r="H249" t="s">
        <v>6096</v>
      </c>
      <c r="I249">
        <v>24</v>
      </c>
      <c r="J249">
        <v>11.8</v>
      </c>
      <c r="K249" t="s">
        <v>6100</v>
      </c>
      <c r="L249" t="s">
        <v>6099</v>
      </c>
      <c r="M249" t="s">
        <v>6100</v>
      </c>
      <c r="N249">
        <v>1</v>
      </c>
      <c r="O249" t="s">
        <v>6101</v>
      </c>
      <c r="P249" t="s">
        <v>6107</v>
      </c>
      <c r="Q249">
        <v>1</v>
      </c>
      <c r="R249">
        <v>2026</v>
      </c>
      <c r="S249" t="s">
        <v>6099</v>
      </c>
      <c r="T249">
        <v>1</v>
      </c>
      <c r="U249" t="s">
        <v>6020</v>
      </c>
      <c r="V249">
        <v>0</v>
      </c>
    </row>
    <row r="250" spans="1:22" x14ac:dyDescent="0.3">
      <c r="A250" t="s">
        <v>265</v>
      </c>
      <c r="B250" s="2">
        <v>46036.522916666669</v>
      </c>
      <c r="C250" s="2">
        <v>46036.564583333333</v>
      </c>
      <c r="D250" t="s">
        <v>6023</v>
      </c>
      <c r="E250" t="s">
        <v>6029</v>
      </c>
      <c r="F250" t="s">
        <v>6033</v>
      </c>
      <c r="G250" t="s">
        <v>6046</v>
      </c>
      <c r="H250" t="s">
        <v>6098</v>
      </c>
      <c r="I250">
        <v>72</v>
      </c>
      <c r="J250">
        <v>1</v>
      </c>
      <c r="K250" t="s">
        <v>6100</v>
      </c>
      <c r="L250" t="s">
        <v>6100</v>
      </c>
      <c r="M250" t="s">
        <v>6100</v>
      </c>
      <c r="N250">
        <v>4</v>
      </c>
      <c r="O250" t="s">
        <v>6101</v>
      </c>
      <c r="P250" t="s">
        <v>6107</v>
      </c>
      <c r="Q250">
        <v>1</v>
      </c>
      <c r="R250">
        <v>2026</v>
      </c>
      <c r="S250" t="s">
        <v>6099</v>
      </c>
      <c r="T250">
        <v>1</v>
      </c>
      <c r="U250" t="s">
        <v>6018</v>
      </c>
      <c r="V250">
        <v>0</v>
      </c>
    </row>
    <row r="251" spans="1:22" x14ac:dyDescent="0.3">
      <c r="A251" t="s">
        <v>266</v>
      </c>
      <c r="B251" s="2">
        <v>46036.560416666667</v>
      </c>
      <c r="C251" s="2">
        <v>46036.960416666669</v>
      </c>
      <c r="D251" t="s">
        <v>6022</v>
      </c>
      <c r="E251" t="s">
        <v>6029</v>
      </c>
      <c r="F251" t="s">
        <v>6033</v>
      </c>
      <c r="G251" t="s">
        <v>6065</v>
      </c>
      <c r="H251" t="s">
        <v>6097</v>
      </c>
      <c r="I251">
        <v>72</v>
      </c>
      <c r="J251">
        <v>9.6</v>
      </c>
      <c r="K251" t="s">
        <v>6099</v>
      </c>
      <c r="L251" t="s">
        <v>6100</v>
      </c>
      <c r="M251" t="s">
        <v>6100</v>
      </c>
      <c r="N251">
        <v>5</v>
      </c>
      <c r="O251" t="s">
        <v>6101</v>
      </c>
      <c r="P251" t="s">
        <v>6107</v>
      </c>
      <c r="Q251">
        <v>1</v>
      </c>
      <c r="R251">
        <v>2026</v>
      </c>
      <c r="S251" t="s">
        <v>6099</v>
      </c>
      <c r="T251">
        <v>1</v>
      </c>
      <c r="U251" t="s">
        <v>6021</v>
      </c>
      <c r="V251">
        <v>1</v>
      </c>
    </row>
    <row r="252" spans="1:22" x14ac:dyDescent="0.3">
      <c r="A252" t="s">
        <v>267</v>
      </c>
      <c r="B252" s="2">
        <v>46036.575694444444</v>
      </c>
      <c r="C252" s="2">
        <v>46036.759027777778</v>
      </c>
      <c r="D252" t="s">
        <v>6027</v>
      </c>
      <c r="E252" t="s">
        <v>6030</v>
      </c>
      <c r="F252" t="s">
        <v>6034</v>
      </c>
      <c r="G252" t="s">
        <v>6039</v>
      </c>
      <c r="H252" t="s">
        <v>6097</v>
      </c>
      <c r="I252">
        <v>24</v>
      </c>
      <c r="J252">
        <v>4.4000000000000004</v>
      </c>
      <c r="K252" t="s">
        <v>6099</v>
      </c>
      <c r="L252" t="s">
        <v>6100</v>
      </c>
      <c r="M252" t="s">
        <v>6100</v>
      </c>
      <c r="N252">
        <v>5</v>
      </c>
      <c r="O252" t="s">
        <v>6101</v>
      </c>
      <c r="P252" t="s">
        <v>6107</v>
      </c>
      <c r="Q252">
        <v>1</v>
      </c>
      <c r="R252">
        <v>2026</v>
      </c>
      <c r="S252" t="s">
        <v>6099</v>
      </c>
      <c r="T252">
        <v>1</v>
      </c>
      <c r="U252" t="s">
        <v>6020</v>
      </c>
      <c r="V252">
        <v>1</v>
      </c>
    </row>
    <row r="253" spans="1:22" x14ac:dyDescent="0.3">
      <c r="A253" t="s">
        <v>268</v>
      </c>
      <c r="B253" s="2">
        <v>46036.607638888891</v>
      </c>
      <c r="C253" s="2">
        <v>46036.945138888892</v>
      </c>
      <c r="D253" t="s">
        <v>6025</v>
      </c>
      <c r="E253" t="s">
        <v>6030</v>
      </c>
      <c r="F253" t="s">
        <v>6035</v>
      </c>
      <c r="G253" t="s">
        <v>6088</v>
      </c>
      <c r="H253" t="s">
        <v>6097</v>
      </c>
      <c r="I253">
        <v>4</v>
      </c>
      <c r="J253">
        <v>8.1</v>
      </c>
      <c r="K253" t="s">
        <v>6100</v>
      </c>
      <c r="L253" t="s">
        <v>6099</v>
      </c>
      <c r="M253" t="s">
        <v>6100</v>
      </c>
      <c r="O253" t="s">
        <v>6101</v>
      </c>
      <c r="P253" t="s">
        <v>6107</v>
      </c>
      <c r="Q253">
        <v>1</v>
      </c>
      <c r="R253">
        <v>2026</v>
      </c>
      <c r="S253" t="s">
        <v>6100</v>
      </c>
      <c r="T253">
        <v>0</v>
      </c>
      <c r="U253" t="s">
        <v>6018</v>
      </c>
      <c r="V253">
        <v>0</v>
      </c>
    </row>
    <row r="254" spans="1:22" x14ac:dyDescent="0.3">
      <c r="A254" t="s">
        <v>269</v>
      </c>
      <c r="B254" s="2">
        <v>46036.609027777777</v>
      </c>
      <c r="C254" s="2">
        <v>46037.375694444447</v>
      </c>
      <c r="D254" t="s">
        <v>6028</v>
      </c>
      <c r="E254" t="s">
        <v>6031</v>
      </c>
      <c r="F254" t="s">
        <v>6034</v>
      </c>
      <c r="G254" t="s">
        <v>6087</v>
      </c>
      <c r="H254" t="s">
        <v>6098</v>
      </c>
      <c r="I254">
        <v>24</v>
      </c>
      <c r="J254">
        <v>18.399999999999999</v>
      </c>
      <c r="K254" t="s">
        <v>6100</v>
      </c>
      <c r="L254" t="s">
        <v>6099</v>
      </c>
      <c r="M254" t="s">
        <v>6100</v>
      </c>
      <c r="N254">
        <v>4</v>
      </c>
      <c r="O254" t="s">
        <v>6101</v>
      </c>
      <c r="P254" t="s">
        <v>6107</v>
      </c>
      <c r="Q254">
        <v>1</v>
      </c>
      <c r="R254">
        <v>2026</v>
      </c>
      <c r="S254" t="s">
        <v>6099</v>
      </c>
      <c r="T254">
        <v>1</v>
      </c>
      <c r="U254" t="s">
        <v>6019</v>
      </c>
      <c r="V254">
        <v>0</v>
      </c>
    </row>
    <row r="255" spans="1:22" x14ac:dyDescent="0.3">
      <c r="A255" t="s">
        <v>270</v>
      </c>
      <c r="B255" s="2">
        <v>46036.625</v>
      </c>
      <c r="C255" s="2">
        <v>46036.970833333333</v>
      </c>
      <c r="D255" t="s">
        <v>6023</v>
      </c>
      <c r="E255" t="s">
        <v>6029</v>
      </c>
      <c r="F255" t="s">
        <v>6035</v>
      </c>
      <c r="G255" t="s">
        <v>6067</v>
      </c>
      <c r="H255" t="s">
        <v>6098</v>
      </c>
      <c r="I255">
        <v>4</v>
      </c>
      <c r="J255">
        <v>8.3000000000000007</v>
      </c>
      <c r="K255" t="s">
        <v>6100</v>
      </c>
      <c r="L255" t="s">
        <v>6100</v>
      </c>
      <c r="M255" t="s">
        <v>6100</v>
      </c>
      <c r="N255">
        <v>4</v>
      </c>
      <c r="O255" t="s">
        <v>6101</v>
      </c>
      <c r="P255" t="s">
        <v>6107</v>
      </c>
      <c r="Q255">
        <v>1</v>
      </c>
      <c r="R255">
        <v>2026</v>
      </c>
      <c r="S255" t="s">
        <v>6100</v>
      </c>
      <c r="T255">
        <v>0</v>
      </c>
      <c r="U255" t="s">
        <v>6021</v>
      </c>
      <c r="V255">
        <v>0</v>
      </c>
    </row>
    <row r="256" spans="1:22" x14ac:dyDescent="0.3">
      <c r="A256" t="s">
        <v>271</v>
      </c>
      <c r="B256" s="2">
        <v>46036.65625</v>
      </c>
      <c r="C256" s="2">
        <v>46037.435416666667</v>
      </c>
      <c r="D256" t="s">
        <v>6023</v>
      </c>
      <c r="E256" t="s">
        <v>6032</v>
      </c>
      <c r="F256" t="s">
        <v>6034</v>
      </c>
      <c r="G256" t="s">
        <v>6094</v>
      </c>
      <c r="H256" t="s">
        <v>6098</v>
      </c>
      <c r="I256">
        <v>24</v>
      </c>
      <c r="J256">
        <v>18.7</v>
      </c>
      <c r="K256" t="s">
        <v>6099</v>
      </c>
      <c r="L256" t="s">
        <v>6100</v>
      </c>
      <c r="M256" t="s">
        <v>6100</v>
      </c>
      <c r="O256" t="s">
        <v>6101</v>
      </c>
      <c r="P256" t="s">
        <v>6107</v>
      </c>
      <c r="Q256">
        <v>1</v>
      </c>
      <c r="R256">
        <v>2026</v>
      </c>
      <c r="S256" t="s">
        <v>6099</v>
      </c>
      <c r="T256">
        <v>1</v>
      </c>
      <c r="U256" t="s">
        <v>6017</v>
      </c>
      <c r="V256">
        <v>1</v>
      </c>
    </row>
    <row r="257" spans="1:22" x14ac:dyDescent="0.3">
      <c r="A257" t="s">
        <v>272</v>
      </c>
      <c r="B257" s="2">
        <v>46036.684027777781</v>
      </c>
      <c r="C257" s="2">
        <v>46036.925694444442</v>
      </c>
      <c r="D257" t="s">
        <v>6028</v>
      </c>
      <c r="E257" t="s">
        <v>6029</v>
      </c>
      <c r="F257" t="s">
        <v>6035</v>
      </c>
      <c r="G257" t="s">
        <v>6084</v>
      </c>
      <c r="H257" t="s">
        <v>6098</v>
      </c>
      <c r="I257">
        <v>4</v>
      </c>
      <c r="J257">
        <v>5.8</v>
      </c>
      <c r="K257" t="s">
        <v>6099</v>
      </c>
      <c r="L257" t="s">
        <v>6100</v>
      </c>
      <c r="M257" t="s">
        <v>6100</v>
      </c>
      <c r="N257">
        <v>5</v>
      </c>
      <c r="O257" t="s">
        <v>6101</v>
      </c>
      <c r="P257" t="s">
        <v>6107</v>
      </c>
      <c r="Q257">
        <v>1</v>
      </c>
      <c r="R257">
        <v>2026</v>
      </c>
      <c r="S257" t="s">
        <v>6100</v>
      </c>
      <c r="T257">
        <v>0</v>
      </c>
      <c r="U257" t="s">
        <v>6017</v>
      </c>
      <c r="V257">
        <v>1</v>
      </c>
    </row>
    <row r="258" spans="1:22" x14ac:dyDescent="0.3">
      <c r="A258" t="s">
        <v>273</v>
      </c>
      <c r="B258" s="2">
        <v>46036.709722222222</v>
      </c>
      <c r="C258" s="2">
        <v>46036.855555555558</v>
      </c>
      <c r="D258" t="s">
        <v>6022</v>
      </c>
      <c r="E258" t="s">
        <v>6029</v>
      </c>
      <c r="F258" t="s">
        <v>6033</v>
      </c>
      <c r="G258" t="s">
        <v>6067</v>
      </c>
      <c r="H258" t="s">
        <v>6098</v>
      </c>
      <c r="I258">
        <v>72</v>
      </c>
      <c r="J258">
        <v>3.5</v>
      </c>
      <c r="K258" t="s">
        <v>6100</v>
      </c>
      <c r="L258" t="s">
        <v>6099</v>
      </c>
      <c r="M258" t="s">
        <v>6100</v>
      </c>
      <c r="N258">
        <v>3</v>
      </c>
      <c r="O258" t="s">
        <v>6101</v>
      </c>
      <c r="P258" t="s">
        <v>6107</v>
      </c>
      <c r="Q258">
        <v>1</v>
      </c>
      <c r="R258">
        <v>2026</v>
      </c>
      <c r="S258" t="s">
        <v>6099</v>
      </c>
      <c r="T258">
        <v>1</v>
      </c>
      <c r="U258" t="s">
        <v>6020</v>
      </c>
      <c r="V258">
        <v>0</v>
      </c>
    </row>
    <row r="259" spans="1:22" x14ac:dyDescent="0.3">
      <c r="A259" t="s">
        <v>274</v>
      </c>
      <c r="B259" s="2">
        <v>46036.731249999997</v>
      </c>
      <c r="C259" s="2">
        <v>46036.92291666667</v>
      </c>
      <c r="D259" t="s">
        <v>6028</v>
      </c>
      <c r="E259" t="s">
        <v>6029</v>
      </c>
      <c r="F259" t="s">
        <v>6034</v>
      </c>
      <c r="G259" t="s">
        <v>6063</v>
      </c>
      <c r="H259" t="s">
        <v>6097</v>
      </c>
      <c r="I259">
        <v>24</v>
      </c>
      <c r="J259">
        <v>4.5999999999999996</v>
      </c>
      <c r="K259" t="s">
        <v>6099</v>
      </c>
      <c r="L259" t="s">
        <v>6100</v>
      </c>
      <c r="M259" t="s">
        <v>6099</v>
      </c>
      <c r="N259">
        <v>5</v>
      </c>
      <c r="O259" t="s">
        <v>6101</v>
      </c>
      <c r="P259" t="s">
        <v>6107</v>
      </c>
      <c r="Q259">
        <v>1</v>
      </c>
      <c r="R259">
        <v>2026</v>
      </c>
      <c r="S259" t="s">
        <v>6099</v>
      </c>
      <c r="T259">
        <v>1</v>
      </c>
      <c r="U259" t="s">
        <v>6020</v>
      </c>
      <c r="V259">
        <v>1</v>
      </c>
    </row>
    <row r="260" spans="1:22" x14ac:dyDescent="0.3">
      <c r="A260" t="s">
        <v>275</v>
      </c>
      <c r="B260" s="2">
        <v>46037.025000000001</v>
      </c>
      <c r="C260" s="2">
        <v>46039.379166666666</v>
      </c>
      <c r="D260" t="s">
        <v>6025</v>
      </c>
      <c r="E260" t="s">
        <v>6032</v>
      </c>
      <c r="F260" t="s">
        <v>6033</v>
      </c>
      <c r="G260" t="s">
        <v>6042</v>
      </c>
      <c r="H260" t="s">
        <v>6098</v>
      </c>
      <c r="I260">
        <v>72</v>
      </c>
      <c r="J260">
        <v>56.5</v>
      </c>
      <c r="K260" t="s">
        <v>6099</v>
      </c>
      <c r="L260" t="s">
        <v>6100</v>
      </c>
      <c r="M260" t="s">
        <v>6100</v>
      </c>
      <c r="N260">
        <v>5</v>
      </c>
      <c r="O260" t="s">
        <v>6101</v>
      </c>
      <c r="P260" t="s">
        <v>6107</v>
      </c>
      <c r="Q260">
        <v>1</v>
      </c>
      <c r="R260">
        <v>2026</v>
      </c>
      <c r="S260" t="s">
        <v>6099</v>
      </c>
      <c r="T260">
        <v>1</v>
      </c>
      <c r="U260" t="s">
        <v>6021</v>
      </c>
      <c r="V260">
        <v>1</v>
      </c>
    </row>
    <row r="261" spans="1:22" x14ac:dyDescent="0.3">
      <c r="A261" t="s">
        <v>276</v>
      </c>
      <c r="B261" s="2">
        <v>46037.225694444445</v>
      </c>
      <c r="C261" s="2">
        <v>46037.638194444444</v>
      </c>
      <c r="D261" t="s">
        <v>6027</v>
      </c>
      <c r="E261" t="s">
        <v>6029</v>
      </c>
      <c r="F261" t="s">
        <v>6033</v>
      </c>
      <c r="G261" t="s">
        <v>6079</v>
      </c>
      <c r="H261" t="s">
        <v>6097</v>
      </c>
      <c r="I261">
        <v>72</v>
      </c>
      <c r="J261">
        <v>9.9</v>
      </c>
      <c r="K261" t="s">
        <v>6099</v>
      </c>
      <c r="L261" t="s">
        <v>6100</v>
      </c>
      <c r="M261" t="s">
        <v>6100</v>
      </c>
      <c r="N261">
        <v>5</v>
      </c>
      <c r="O261" t="s">
        <v>6101</v>
      </c>
      <c r="P261" t="s">
        <v>6107</v>
      </c>
      <c r="Q261">
        <v>1</v>
      </c>
      <c r="R261">
        <v>2026</v>
      </c>
      <c r="S261" t="s">
        <v>6099</v>
      </c>
      <c r="T261">
        <v>1</v>
      </c>
      <c r="U261" t="s">
        <v>6021</v>
      </c>
      <c r="V261">
        <v>1</v>
      </c>
    </row>
    <row r="262" spans="1:22" x14ac:dyDescent="0.3">
      <c r="A262" t="s">
        <v>277</v>
      </c>
      <c r="B262" s="2">
        <v>46037.376388888886</v>
      </c>
      <c r="C262" s="2">
        <v>46039.643055555556</v>
      </c>
      <c r="D262" t="s">
        <v>6025</v>
      </c>
      <c r="E262" t="s">
        <v>6031</v>
      </c>
      <c r="F262" t="s">
        <v>6034</v>
      </c>
      <c r="G262" t="s">
        <v>6041</v>
      </c>
      <c r="H262" t="s">
        <v>6096</v>
      </c>
      <c r="I262">
        <v>24</v>
      </c>
      <c r="J262">
        <v>54.4</v>
      </c>
      <c r="K262" t="s">
        <v>6099</v>
      </c>
      <c r="L262" t="s">
        <v>6100</v>
      </c>
      <c r="M262" t="s">
        <v>6100</v>
      </c>
      <c r="O262" t="s">
        <v>6101</v>
      </c>
      <c r="P262" t="s">
        <v>6107</v>
      </c>
      <c r="Q262">
        <v>1</v>
      </c>
      <c r="R262">
        <v>2026</v>
      </c>
      <c r="S262" t="s">
        <v>6100</v>
      </c>
      <c r="T262">
        <v>0</v>
      </c>
      <c r="U262" t="s">
        <v>6020</v>
      </c>
      <c r="V262">
        <v>1</v>
      </c>
    </row>
    <row r="263" spans="1:22" x14ac:dyDescent="0.3">
      <c r="A263" t="s">
        <v>278</v>
      </c>
      <c r="B263" s="2">
        <v>46037.451388888891</v>
      </c>
      <c r="C263" s="2">
        <v>46037.526388888888</v>
      </c>
      <c r="D263" t="s">
        <v>6025</v>
      </c>
      <c r="E263" t="s">
        <v>6030</v>
      </c>
      <c r="F263" t="s">
        <v>6034</v>
      </c>
      <c r="G263" t="s">
        <v>6086</v>
      </c>
      <c r="H263" t="s">
        <v>6098</v>
      </c>
      <c r="I263">
        <v>24</v>
      </c>
      <c r="J263">
        <v>1.8</v>
      </c>
      <c r="K263" t="s">
        <v>6099</v>
      </c>
      <c r="L263" t="s">
        <v>6100</v>
      </c>
      <c r="M263" t="s">
        <v>6100</v>
      </c>
      <c r="O263" t="s">
        <v>6101</v>
      </c>
      <c r="P263" t="s">
        <v>6107</v>
      </c>
      <c r="Q263">
        <v>1</v>
      </c>
      <c r="R263">
        <v>2026</v>
      </c>
      <c r="S263" t="s">
        <v>6099</v>
      </c>
      <c r="T263">
        <v>1</v>
      </c>
      <c r="U263" t="s">
        <v>6020</v>
      </c>
      <c r="V263">
        <v>1</v>
      </c>
    </row>
    <row r="264" spans="1:22" x14ac:dyDescent="0.3">
      <c r="A264" t="s">
        <v>279</v>
      </c>
      <c r="B264" s="2">
        <v>46037.488194444442</v>
      </c>
      <c r="C264" s="2">
        <v>46037.671527777777</v>
      </c>
      <c r="D264" t="s">
        <v>6028</v>
      </c>
      <c r="E264" t="s">
        <v>6029</v>
      </c>
      <c r="F264" t="s">
        <v>6035</v>
      </c>
      <c r="G264" t="s">
        <v>6095</v>
      </c>
      <c r="H264" t="s">
        <v>6098</v>
      </c>
      <c r="I264">
        <v>4</v>
      </c>
      <c r="J264">
        <v>4.4000000000000004</v>
      </c>
      <c r="K264" t="s">
        <v>6100</v>
      </c>
      <c r="L264" t="s">
        <v>6099</v>
      </c>
      <c r="M264" t="s">
        <v>6099</v>
      </c>
      <c r="N264">
        <v>3</v>
      </c>
      <c r="O264" t="s">
        <v>6101</v>
      </c>
      <c r="P264" t="s">
        <v>6107</v>
      </c>
      <c r="Q264">
        <v>1</v>
      </c>
      <c r="R264">
        <v>2026</v>
      </c>
      <c r="S264" t="s">
        <v>6100</v>
      </c>
      <c r="T264">
        <v>0</v>
      </c>
      <c r="U264" t="s">
        <v>6018</v>
      </c>
      <c r="V264">
        <v>0</v>
      </c>
    </row>
    <row r="265" spans="1:22" x14ac:dyDescent="0.3">
      <c r="A265" t="s">
        <v>280</v>
      </c>
      <c r="B265" s="2">
        <v>46037.500694444447</v>
      </c>
      <c r="C265" s="2">
        <v>46038.071527777778</v>
      </c>
      <c r="D265" t="s">
        <v>6028</v>
      </c>
      <c r="E265" t="s">
        <v>6031</v>
      </c>
      <c r="F265" t="s">
        <v>6034</v>
      </c>
      <c r="G265" t="s">
        <v>6057</v>
      </c>
      <c r="H265" t="s">
        <v>6097</v>
      </c>
      <c r="I265">
        <v>24</v>
      </c>
      <c r="J265">
        <v>13.7</v>
      </c>
      <c r="K265" t="s">
        <v>6099</v>
      </c>
      <c r="L265" t="s">
        <v>6100</v>
      </c>
      <c r="M265" t="s">
        <v>6100</v>
      </c>
      <c r="N265">
        <v>4</v>
      </c>
      <c r="O265" t="s">
        <v>6101</v>
      </c>
      <c r="P265" t="s">
        <v>6107</v>
      </c>
      <c r="Q265">
        <v>1</v>
      </c>
      <c r="R265">
        <v>2026</v>
      </c>
      <c r="S265" t="s">
        <v>6099</v>
      </c>
      <c r="T265">
        <v>1</v>
      </c>
      <c r="U265" t="s">
        <v>6018</v>
      </c>
      <c r="V265">
        <v>1</v>
      </c>
    </row>
    <row r="266" spans="1:22" x14ac:dyDescent="0.3">
      <c r="A266" t="s">
        <v>281</v>
      </c>
      <c r="B266" s="2">
        <v>46037.547222222223</v>
      </c>
      <c r="C266" s="2">
        <v>46037.822222222225</v>
      </c>
      <c r="D266" t="s">
        <v>6027</v>
      </c>
      <c r="E266" t="s">
        <v>6029</v>
      </c>
      <c r="F266" t="s">
        <v>6033</v>
      </c>
      <c r="G266" t="s">
        <v>6077</v>
      </c>
      <c r="H266" t="s">
        <v>6098</v>
      </c>
      <c r="I266">
        <v>72</v>
      </c>
      <c r="J266">
        <v>6.6</v>
      </c>
      <c r="K266" t="s">
        <v>6100</v>
      </c>
      <c r="L266" t="s">
        <v>6099</v>
      </c>
      <c r="M266" t="s">
        <v>6100</v>
      </c>
      <c r="O266" t="s">
        <v>6101</v>
      </c>
      <c r="P266" t="s">
        <v>6107</v>
      </c>
      <c r="Q266">
        <v>1</v>
      </c>
      <c r="R266">
        <v>2026</v>
      </c>
      <c r="S266" t="s">
        <v>6099</v>
      </c>
      <c r="T266">
        <v>1</v>
      </c>
      <c r="U266" t="s">
        <v>6018</v>
      </c>
      <c r="V266">
        <v>0</v>
      </c>
    </row>
    <row r="267" spans="1:22" x14ac:dyDescent="0.3">
      <c r="A267" t="s">
        <v>282</v>
      </c>
      <c r="B267" s="2">
        <v>46037.54791666667</v>
      </c>
      <c r="C267" s="2">
        <v>46037.739583333336</v>
      </c>
      <c r="D267" t="s">
        <v>6027</v>
      </c>
      <c r="E267" t="s">
        <v>6029</v>
      </c>
      <c r="F267" t="s">
        <v>6034</v>
      </c>
      <c r="G267" t="s">
        <v>6057</v>
      </c>
      <c r="H267" t="s">
        <v>6097</v>
      </c>
      <c r="I267">
        <v>24</v>
      </c>
      <c r="J267">
        <v>4.5999999999999996</v>
      </c>
      <c r="K267" t="s">
        <v>6099</v>
      </c>
      <c r="L267" t="s">
        <v>6100</v>
      </c>
      <c r="M267" t="s">
        <v>6100</v>
      </c>
      <c r="N267">
        <v>4</v>
      </c>
      <c r="O267" t="s">
        <v>6101</v>
      </c>
      <c r="P267" t="s">
        <v>6107</v>
      </c>
      <c r="Q267">
        <v>1</v>
      </c>
      <c r="R267">
        <v>2026</v>
      </c>
      <c r="S267" t="s">
        <v>6099</v>
      </c>
      <c r="T267">
        <v>1</v>
      </c>
      <c r="U267" t="s">
        <v>6021</v>
      </c>
      <c r="V267">
        <v>1</v>
      </c>
    </row>
    <row r="268" spans="1:22" x14ac:dyDescent="0.3">
      <c r="A268" t="s">
        <v>283</v>
      </c>
      <c r="B268" s="2">
        <v>46037.567361111112</v>
      </c>
      <c r="C268" s="2">
        <v>46043.263194444444</v>
      </c>
      <c r="D268" t="s">
        <v>6026</v>
      </c>
      <c r="E268" t="s">
        <v>6031</v>
      </c>
      <c r="F268" t="s">
        <v>6034</v>
      </c>
      <c r="G268" t="s">
        <v>6082</v>
      </c>
      <c r="H268" t="s">
        <v>6097</v>
      </c>
      <c r="I268">
        <v>24</v>
      </c>
      <c r="J268">
        <v>136.69999999999999</v>
      </c>
      <c r="K268" t="s">
        <v>6100</v>
      </c>
      <c r="L268" t="s">
        <v>6099</v>
      </c>
      <c r="M268" t="s">
        <v>6099</v>
      </c>
      <c r="N268">
        <v>3</v>
      </c>
      <c r="O268" t="s">
        <v>6101</v>
      </c>
      <c r="P268" t="s">
        <v>6107</v>
      </c>
      <c r="Q268">
        <v>1</v>
      </c>
      <c r="R268">
        <v>2026</v>
      </c>
      <c r="S268" t="s">
        <v>6100</v>
      </c>
      <c r="T268">
        <v>0</v>
      </c>
      <c r="U268" t="s">
        <v>6020</v>
      </c>
      <c r="V268">
        <v>0</v>
      </c>
    </row>
    <row r="269" spans="1:22" x14ac:dyDescent="0.3">
      <c r="A269" t="s">
        <v>284</v>
      </c>
      <c r="B269" s="2">
        <v>46037.572222222225</v>
      </c>
      <c r="C269" s="2">
        <v>46040.930555555555</v>
      </c>
      <c r="D269" t="s">
        <v>6025</v>
      </c>
      <c r="E269" t="s">
        <v>6031</v>
      </c>
      <c r="F269" t="s">
        <v>6033</v>
      </c>
      <c r="G269" t="s">
        <v>6070</v>
      </c>
      <c r="H269" t="s">
        <v>6097</v>
      </c>
      <c r="I269">
        <v>72</v>
      </c>
      <c r="J269">
        <v>80.599999999999994</v>
      </c>
      <c r="K269" t="s">
        <v>6099</v>
      </c>
      <c r="L269" t="s">
        <v>6100</v>
      </c>
      <c r="M269" t="s">
        <v>6100</v>
      </c>
      <c r="N269">
        <v>4</v>
      </c>
      <c r="O269" t="s">
        <v>6101</v>
      </c>
      <c r="P269" t="s">
        <v>6107</v>
      </c>
      <c r="Q269">
        <v>1</v>
      </c>
      <c r="R269">
        <v>2026</v>
      </c>
      <c r="S269" t="s">
        <v>6100</v>
      </c>
      <c r="T269">
        <v>0</v>
      </c>
      <c r="U269" t="s">
        <v>6019</v>
      </c>
      <c r="V269">
        <v>1</v>
      </c>
    </row>
    <row r="270" spans="1:22" x14ac:dyDescent="0.3">
      <c r="A270" t="s">
        <v>285</v>
      </c>
      <c r="B270" s="2">
        <v>46037.597916666666</v>
      </c>
      <c r="C270" s="2">
        <v>46037.664583333331</v>
      </c>
      <c r="D270" t="s">
        <v>6023</v>
      </c>
      <c r="E270" t="s">
        <v>6030</v>
      </c>
      <c r="F270" t="s">
        <v>6033</v>
      </c>
      <c r="G270" t="s">
        <v>6082</v>
      </c>
      <c r="H270" t="s">
        <v>6097</v>
      </c>
      <c r="I270">
        <v>72</v>
      </c>
      <c r="J270">
        <v>1.6</v>
      </c>
      <c r="K270" t="s">
        <v>6099</v>
      </c>
      <c r="L270" t="s">
        <v>6100</v>
      </c>
      <c r="M270" t="s">
        <v>6100</v>
      </c>
      <c r="N270">
        <v>5</v>
      </c>
      <c r="O270" t="s">
        <v>6101</v>
      </c>
      <c r="P270" t="s">
        <v>6107</v>
      </c>
      <c r="Q270">
        <v>1</v>
      </c>
      <c r="R270">
        <v>2026</v>
      </c>
      <c r="S270" t="s">
        <v>6099</v>
      </c>
      <c r="T270">
        <v>1</v>
      </c>
      <c r="U270" t="s">
        <v>6019</v>
      </c>
      <c r="V270">
        <v>1</v>
      </c>
    </row>
    <row r="271" spans="1:22" x14ac:dyDescent="0.3">
      <c r="A271" t="s">
        <v>286</v>
      </c>
      <c r="B271" s="2">
        <v>46037.637499999997</v>
      </c>
      <c r="C271" s="2">
        <v>46037.866666666669</v>
      </c>
      <c r="D271" t="s">
        <v>6022</v>
      </c>
      <c r="E271" t="s">
        <v>6030</v>
      </c>
      <c r="F271" t="s">
        <v>6033</v>
      </c>
      <c r="G271" t="s">
        <v>6084</v>
      </c>
      <c r="H271" t="s">
        <v>6098</v>
      </c>
      <c r="I271">
        <v>72</v>
      </c>
      <c r="J271">
        <v>5.5</v>
      </c>
      <c r="K271" t="s">
        <v>6100</v>
      </c>
      <c r="L271" t="s">
        <v>6099</v>
      </c>
      <c r="M271" t="s">
        <v>6100</v>
      </c>
      <c r="O271" t="s">
        <v>6101</v>
      </c>
      <c r="P271" t="s">
        <v>6107</v>
      </c>
      <c r="Q271">
        <v>1</v>
      </c>
      <c r="R271">
        <v>2026</v>
      </c>
      <c r="S271" t="s">
        <v>6099</v>
      </c>
      <c r="T271">
        <v>1</v>
      </c>
      <c r="U271" t="s">
        <v>6020</v>
      </c>
      <c r="V271">
        <v>0</v>
      </c>
    </row>
    <row r="272" spans="1:22" x14ac:dyDescent="0.3">
      <c r="A272" t="s">
        <v>287</v>
      </c>
      <c r="B272" s="2">
        <v>46037.668749999997</v>
      </c>
      <c r="C272" s="2">
        <v>46037.777083333334</v>
      </c>
      <c r="D272" t="s">
        <v>6022</v>
      </c>
      <c r="E272" t="s">
        <v>6029</v>
      </c>
      <c r="F272" t="s">
        <v>6034</v>
      </c>
      <c r="G272" t="s">
        <v>6056</v>
      </c>
      <c r="H272" t="s">
        <v>6098</v>
      </c>
      <c r="I272">
        <v>24</v>
      </c>
      <c r="J272">
        <v>2.6</v>
      </c>
      <c r="K272" t="s">
        <v>6099</v>
      </c>
      <c r="L272" t="s">
        <v>6100</v>
      </c>
      <c r="M272" t="s">
        <v>6100</v>
      </c>
      <c r="O272" t="s">
        <v>6101</v>
      </c>
      <c r="P272" t="s">
        <v>6107</v>
      </c>
      <c r="Q272">
        <v>1</v>
      </c>
      <c r="R272">
        <v>2026</v>
      </c>
      <c r="S272" t="s">
        <v>6099</v>
      </c>
      <c r="T272">
        <v>1</v>
      </c>
      <c r="U272" t="s">
        <v>6021</v>
      </c>
      <c r="V272">
        <v>1</v>
      </c>
    </row>
    <row r="273" spans="1:22" x14ac:dyDescent="0.3">
      <c r="A273" t="s">
        <v>288</v>
      </c>
      <c r="B273" s="2">
        <v>46037.844444444447</v>
      </c>
      <c r="C273" s="2">
        <v>46037.965277777781</v>
      </c>
      <c r="D273" t="s">
        <v>6023</v>
      </c>
      <c r="E273" t="s">
        <v>6030</v>
      </c>
      <c r="F273" t="s">
        <v>6033</v>
      </c>
      <c r="G273" t="s">
        <v>6044</v>
      </c>
      <c r="H273" t="s">
        <v>6097</v>
      </c>
      <c r="I273">
        <v>72</v>
      </c>
      <c r="J273">
        <v>2.9</v>
      </c>
      <c r="K273" t="s">
        <v>6099</v>
      </c>
      <c r="L273" t="s">
        <v>6100</v>
      </c>
      <c r="M273" t="s">
        <v>6100</v>
      </c>
      <c r="O273" t="s">
        <v>6101</v>
      </c>
      <c r="P273" t="s">
        <v>6107</v>
      </c>
      <c r="Q273">
        <v>1</v>
      </c>
      <c r="R273">
        <v>2026</v>
      </c>
      <c r="S273" t="s">
        <v>6099</v>
      </c>
      <c r="T273">
        <v>1</v>
      </c>
      <c r="U273" t="s">
        <v>6019</v>
      </c>
      <c r="V273">
        <v>1</v>
      </c>
    </row>
    <row r="274" spans="1:22" x14ac:dyDescent="0.3">
      <c r="A274" t="s">
        <v>289</v>
      </c>
      <c r="B274" s="2">
        <v>46037.857638888891</v>
      </c>
      <c r="C274" s="2">
        <v>46038.52847222222</v>
      </c>
      <c r="D274" t="s">
        <v>6028</v>
      </c>
      <c r="E274" t="s">
        <v>6029</v>
      </c>
      <c r="F274" t="s">
        <v>6035</v>
      </c>
      <c r="G274" t="s">
        <v>6059</v>
      </c>
      <c r="H274" t="s">
        <v>6097</v>
      </c>
      <c r="I274">
        <v>4</v>
      </c>
      <c r="J274">
        <v>16.100000000000001</v>
      </c>
      <c r="K274" t="s">
        <v>6099</v>
      </c>
      <c r="L274" t="s">
        <v>6100</v>
      </c>
      <c r="M274" t="s">
        <v>6099</v>
      </c>
      <c r="O274" t="s">
        <v>6101</v>
      </c>
      <c r="P274" t="s">
        <v>6107</v>
      </c>
      <c r="Q274">
        <v>1</v>
      </c>
      <c r="R274">
        <v>2026</v>
      </c>
      <c r="S274" t="s">
        <v>6100</v>
      </c>
      <c r="T274">
        <v>0</v>
      </c>
      <c r="U274" t="s">
        <v>6017</v>
      </c>
      <c r="V274">
        <v>1</v>
      </c>
    </row>
    <row r="275" spans="1:22" x14ac:dyDescent="0.3">
      <c r="A275" t="s">
        <v>290</v>
      </c>
      <c r="B275" s="2">
        <v>46037.941666666666</v>
      </c>
      <c r="C275" s="2">
        <v>46038.42083333333</v>
      </c>
      <c r="D275" t="s">
        <v>6022</v>
      </c>
      <c r="E275" t="s">
        <v>6029</v>
      </c>
      <c r="F275" t="s">
        <v>6034</v>
      </c>
      <c r="G275" t="s">
        <v>6042</v>
      </c>
      <c r="H275" t="s">
        <v>6098</v>
      </c>
      <c r="I275">
        <v>24</v>
      </c>
      <c r="J275">
        <v>11.5</v>
      </c>
      <c r="K275" t="s">
        <v>6099</v>
      </c>
      <c r="L275" t="s">
        <v>6100</v>
      </c>
      <c r="M275" t="s">
        <v>6100</v>
      </c>
      <c r="O275" t="s">
        <v>6101</v>
      </c>
      <c r="P275" t="s">
        <v>6107</v>
      </c>
      <c r="Q275">
        <v>1</v>
      </c>
      <c r="R275">
        <v>2026</v>
      </c>
      <c r="S275" t="s">
        <v>6099</v>
      </c>
      <c r="T275">
        <v>1</v>
      </c>
      <c r="U275" t="s">
        <v>6019</v>
      </c>
      <c r="V275">
        <v>1</v>
      </c>
    </row>
    <row r="276" spans="1:22" x14ac:dyDescent="0.3">
      <c r="A276" t="s">
        <v>291</v>
      </c>
      <c r="B276" s="2">
        <v>46038.005555555559</v>
      </c>
      <c r="C276" s="2">
        <v>46038.109722222223</v>
      </c>
      <c r="D276" t="s">
        <v>6028</v>
      </c>
      <c r="E276" t="s">
        <v>6029</v>
      </c>
      <c r="F276" t="s">
        <v>6035</v>
      </c>
      <c r="G276" t="s">
        <v>6073</v>
      </c>
      <c r="H276" t="s">
        <v>6096</v>
      </c>
      <c r="I276">
        <v>4</v>
      </c>
      <c r="J276">
        <v>2.5</v>
      </c>
      <c r="K276" t="s">
        <v>6099</v>
      </c>
      <c r="L276" t="s">
        <v>6100</v>
      </c>
      <c r="M276" t="s">
        <v>6100</v>
      </c>
      <c r="O276" t="s">
        <v>6101</v>
      </c>
      <c r="P276" t="s">
        <v>6107</v>
      </c>
      <c r="Q276">
        <v>1</v>
      </c>
      <c r="R276">
        <v>2026</v>
      </c>
      <c r="S276" t="s">
        <v>6099</v>
      </c>
      <c r="T276">
        <v>1</v>
      </c>
      <c r="U276" t="s">
        <v>6017</v>
      </c>
      <c r="V276">
        <v>1</v>
      </c>
    </row>
    <row r="277" spans="1:22" x14ac:dyDescent="0.3">
      <c r="A277" t="s">
        <v>292</v>
      </c>
      <c r="B277" s="2">
        <v>46038.092361111114</v>
      </c>
      <c r="C277" s="2">
        <v>46038.688194444447</v>
      </c>
      <c r="D277" t="s">
        <v>6026</v>
      </c>
      <c r="E277" t="s">
        <v>6029</v>
      </c>
      <c r="F277" t="s">
        <v>6033</v>
      </c>
      <c r="G277" t="s">
        <v>6060</v>
      </c>
      <c r="H277" t="s">
        <v>6097</v>
      </c>
      <c r="I277">
        <v>72</v>
      </c>
      <c r="J277">
        <v>14.3</v>
      </c>
      <c r="K277" t="s">
        <v>6099</v>
      </c>
      <c r="L277" t="s">
        <v>6100</v>
      </c>
      <c r="M277" t="s">
        <v>6100</v>
      </c>
      <c r="N277">
        <v>5</v>
      </c>
      <c r="O277" t="s">
        <v>6101</v>
      </c>
      <c r="P277" t="s">
        <v>6107</v>
      </c>
      <c r="Q277">
        <v>1</v>
      </c>
      <c r="R277">
        <v>2026</v>
      </c>
      <c r="S277" t="s">
        <v>6099</v>
      </c>
      <c r="T277">
        <v>1</v>
      </c>
      <c r="U277" t="s">
        <v>6017</v>
      </c>
      <c r="V277">
        <v>1</v>
      </c>
    </row>
    <row r="278" spans="1:22" x14ac:dyDescent="0.3">
      <c r="A278" t="s">
        <v>293</v>
      </c>
      <c r="B278" s="2">
        <v>46038.138888888891</v>
      </c>
      <c r="C278" s="2">
        <v>46038.363888888889</v>
      </c>
      <c r="D278" t="s">
        <v>6023</v>
      </c>
      <c r="E278" t="s">
        <v>6029</v>
      </c>
      <c r="F278" t="s">
        <v>6033</v>
      </c>
      <c r="G278" t="s">
        <v>6086</v>
      </c>
      <c r="H278" t="s">
        <v>6098</v>
      </c>
      <c r="I278">
        <v>72</v>
      </c>
      <c r="J278">
        <v>5.4</v>
      </c>
      <c r="K278" t="s">
        <v>6099</v>
      </c>
      <c r="L278" t="s">
        <v>6100</v>
      </c>
      <c r="M278" t="s">
        <v>6100</v>
      </c>
      <c r="O278" t="s">
        <v>6101</v>
      </c>
      <c r="P278" t="s">
        <v>6107</v>
      </c>
      <c r="Q278">
        <v>1</v>
      </c>
      <c r="R278">
        <v>2026</v>
      </c>
      <c r="S278" t="s">
        <v>6099</v>
      </c>
      <c r="T278">
        <v>1</v>
      </c>
      <c r="U278" t="s">
        <v>6020</v>
      </c>
      <c r="V278">
        <v>1</v>
      </c>
    </row>
    <row r="279" spans="1:22" x14ac:dyDescent="0.3">
      <c r="A279" t="s">
        <v>294</v>
      </c>
      <c r="B279" s="2">
        <v>46038.324305555558</v>
      </c>
      <c r="C279" s="2">
        <v>46038.461805555555</v>
      </c>
      <c r="D279" t="s">
        <v>6023</v>
      </c>
      <c r="E279" t="s">
        <v>6030</v>
      </c>
      <c r="F279" t="s">
        <v>6033</v>
      </c>
      <c r="G279" t="s">
        <v>6095</v>
      </c>
      <c r="H279" t="s">
        <v>6098</v>
      </c>
      <c r="I279">
        <v>72</v>
      </c>
      <c r="J279">
        <v>3.3</v>
      </c>
      <c r="K279" t="s">
        <v>6099</v>
      </c>
      <c r="L279" t="s">
        <v>6100</v>
      </c>
      <c r="M279" t="s">
        <v>6099</v>
      </c>
      <c r="N279">
        <v>4</v>
      </c>
      <c r="O279" t="s">
        <v>6101</v>
      </c>
      <c r="P279" t="s">
        <v>6107</v>
      </c>
      <c r="Q279">
        <v>1</v>
      </c>
      <c r="R279">
        <v>2026</v>
      </c>
      <c r="S279" t="s">
        <v>6099</v>
      </c>
      <c r="T279">
        <v>1</v>
      </c>
      <c r="U279" t="s">
        <v>6017</v>
      </c>
      <c r="V279">
        <v>1</v>
      </c>
    </row>
    <row r="280" spans="1:22" x14ac:dyDescent="0.3">
      <c r="A280" t="s">
        <v>295</v>
      </c>
      <c r="B280" s="2">
        <v>46038.340277777781</v>
      </c>
      <c r="C280" s="2">
        <v>46038.523611111108</v>
      </c>
      <c r="D280" t="s">
        <v>6022</v>
      </c>
      <c r="E280" t="s">
        <v>6030</v>
      </c>
      <c r="F280" t="s">
        <v>6034</v>
      </c>
      <c r="G280" t="s">
        <v>6067</v>
      </c>
      <c r="H280" t="s">
        <v>6098</v>
      </c>
      <c r="I280">
        <v>24</v>
      </c>
      <c r="J280">
        <v>4.4000000000000004</v>
      </c>
      <c r="K280" t="s">
        <v>6100</v>
      </c>
      <c r="L280" t="s">
        <v>6100</v>
      </c>
      <c r="M280" t="s">
        <v>6100</v>
      </c>
      <c r="N280">
        <v>4</v>
      </c>
      <c r="O280" t="s">
        <v>6101</v>
      </c>
      <c r="P280" t="s">
        <v>6107</v>
      </c>
      <c r="Q280">
        <v>1</v>
      </c>
      <c r="R280">
        <v>2026</v>
      </c>
      <c r="S280" t="s">
        <v>6099</v>
      </c>
      <c r="T280">
        <v>1</v>
      </c>
      <c r="U280" t="s">
        <v>6018</v>
      </c>
      <c r="V280">
        <v>0</v>
      </c>
    </row>
    <row r="281" spans="1:22" x14ac:dyDescent="0.3">
      <c r="A281" t="s">
        <v>296</v>
      </c>
      <c r="B281" s="2">
        <v>46038.359722222223</v>
      </c>
      <c r="C281" s="2">
        <v>46038.818055555559</v>
      </c>
      <c r="D281" t="s">
        <v>6024</v>
      </c>
      <c r="E281" t="s">
        <v>6030</v>
      </c>
      <c r="F281" t="s">
        <v>6035</v>
      </c>
      <c r="G281" t="s">
        <v>6054</v>
      </c>
      <c r="H281" t="s">
        <v>6096</v>
      </c>
      <c r="I281">
        <v>4</v>
      </c>
      <c r="J281">
        <v>11</v>
      </c>
      <c r="K281" t="s">
        <v>6100</v>
      </c>
      <c r="L281" t="s">
        <v>6099</v>
      </c>
      <c r="M281" t="s">
        <v>6100</v>
      </c>
      <c r="N281">
        <v>1</v>
      </c>
      <c r="O281" t="s">
        <v>6101</v>
      </c>
      <c r="P281" t="s">
        <v>6107</v>
      </c>
      <c r="Q281">
        <v>1</v>
      </c>
      <c r="R281">
        <v>2026</v>
      </c>
      <c r="S281" t="s">
        <v>6100</v>
      </c>
      <c r="T281">
        <v>0</v>
      </c>
      <c r="U281" t="s">
        <v>6021</v>
      </c>
      <c r="V281">
        <v>0</v>
      </c>
    </row>
    <row r="282" spans="1:22" x14ac:dyDescent="0.3">
      <c r="A282" t="s">
        <v>297</v>
      </c>
      <c r="B282" s="2">
        <v>46038.361111111109</v>
      </c>
      <c r="C282" s="2">
        <v>46038.798611111109</v>
      </c>
      <c r="D282" t="s">
        <v>6024</v>
      </c>
      <c r="E282" t="s">
        <v>6029</v>
      </c>
      <c r="F282" t="s">
        <v>6034</v>
      </c>
      <c r="G282" t="s">
        <v>6052</v>
      </c>
      <c r="H282" t="s">
        <v>6098</v>
      </c>
      <c r="I282">
        <v>24</v>
      </c>
      <c r="J282">
        <v>10.5</v>
      </c>
      <c r="K282" t="s">
        <v>6100</v>
      </c>
      <c r="L282" t="s">
        <v>6100</v>
      </c>
      <c r="M282" t="s">
        <v>6100</v>
      </c>
      <c r="N282">
        <v>4</v>
      </c>
      <c r="O282" t="s">
        <v>6101</v>
      </c>
      <c r="P282" t="s">
        <v>6107</v>
      </c>
      <c r="Q282">
        <v>1</v>
      </c>
      <c r="R282">
        <v>2026</v>
      </c>
      <c r="S282" t="s">
        <v>6099</v>
      </c>
      <c r="T282">
        <v>1</v>
      </c>
      <c r="U282" t="s">
        <v>6017</v>
      </c>
      <c r="V282">
        <v>0</v>
      </c>
    </row>
    <row r="283" spans="1:22" x14ac:dyDescent="0.3">
      <c r="A283" t="s">
        <v>298</v>
      </c>
      <c r="B283" s="2">
        <v>46038.372916666667</v>
      </c>
      <c r="C283" s="2">
        <v>46039.11041666667</v>
      </c>
      <c r="D283" t="s">
        <v>6027</v>
      </c>
      <c r="E283" t="s">
        <v>6031</v>
      </c>
      <c r="F283" t="s">
        <v>6033</v>
      </c>
      <c r="G283" t="s">
        <v>6046</v>
      </c>
      <c r="H283" t="s">
        <v>6098</v>
      </c>
      <c r="I283">
        <v>72</v>
      </c>
      <c r="J283">
        <v>17.7</v>
      </c>
      <c r="K283" t="s">
        <v>6099</v>
      </c>
      <c r="L283" t="s">
        <v>6100</v>
      </c>
      <c r="M283" t="s">
        <v>6099</v>
      </c>
      <c r="N283">
        <v>4</v>
      </c>
      <c r="O283" t="s">
        <v>6101</v>
      </c>
      <c r="P283" t="s">
        <v>6107</v>
      </c>
      <c r="Q283">
        <v>1</v>
      </c>
      <c r="R283">
        <v>2026</v>
      </c>
      <c r="S283" t="s">
        <v>6099</v>
      </c>
      <c r="T283">
        <v>1</v>
      </c>
      <c r="U283" t="s">
        <v>6018</v>
      </c>
      <c r="V283">
        <v>1</v>
      </c>
    </row>
    <row r="284" spans="1:22" x14ac:dyDescent="0.3">
      <c r="A284" t="s">
        <v>299</v>
      </c>
      <c r="B284" s="2">
        <v>46038.450694444444</v>
      </c>
      <c r="C284" s="2">
        <v>46040.90902777778</v>
      </c>
      <c r="D284" t="s">
        <v>6025</v>
      </c>
      <c r="E284" t="s">
        <v>6031</v>
      </c>
      <c r="F284" t="s">
        <v>6034</v>
      </c>
      <c r="G284" t="s">
        <v>6082</v>
      </c>
      <c r="H284" t="s">
        <v>6097</v>
      </c>
      <c r="I284">
        <v>24</v>
      </c>
      <c r="J284">
        <v>59</v>
      </c>
      <c r="K284" t="s">
        <v>6099</v>
      </c>
      <c r="L284" t="s">
        <v>6100</v>
      </c>
      <c r="M284" t="s">
        <v>6100</v>
      </c>
      <c r="N284">
        <v>5</v>
      </c>
      <c r="O284" t="s">
        <v>6101</v>
      </c>
      <c r="P284" t="s">
        <v>6107</v>
      </c>
      <c r="Q284">
        <v>1</v>
      </c>
      <c r="R284">
        <v>2026</v>
      </c>
      <c r="S284" t="s">
        <v>6100</v>
      </c>
      <c r="T284">
        <v>0</v>
      </c>
      <c r="U284" t="s">
        <v>6020</v>
      </c>
      <c r="V284">
        <v>1</v>
      </c>
    </row>
    <row r="285" spans="1:22" x14ac:dyDescent="0.3">
      <c r="A285" t="s">
        <v>300</v>
      </c>
      <c r="B285" s="2">
        <v>46038.511805555558</v>
      </c>
      <c r="C285" s="2">
        <v>46038.624305555553</v>
      </c>
      <c r="D285" t="s">
        <v>6023</v>
      </c>
      <c r="E285" t="s">
        <v>6029</v>
      </c>
      <c r="F285" t="s">
        <v>6033</v>
      </c>
      <c r="G285" t="s">
        <v>6076</v>
      </c>
      <c r="H285" t="s">
        <v>6097</v>
      </c>
      <c r="I285">
        <v>72</v>
      </c>
      <c r="J285">
        <v>2.7</v>
      </c>
      <c r="K285" t="s">
        <v>6099</v>
      </c>
      <c r="L285" t="s">
        <v>6100</v>
      </c>
      <c r="M285" t="s">
        <v>6100</v>
      </c>
      <c r="O285" t="s">
        <v>6101</v>
      </c>
      <c r="P285" t="s">
        <v>6107</v>
      </c>
      <c r="Q285">
        <v>1</v>
      </c>
      <c r="R285">
        <v>2026</v>
      </c>
      <c r="S285" t="s">
        <v>6099</v>
      </c>
      <c r="T285">
        <v>1</v>
      </c>
      <c r="U285" t="s">
        <v>6018</v>
      </c>
      <c r="V285">
        <v>1</v>
      </c>
    </row>
    <row r="286" spans="1:22" x14ac:dyDescent="0.3">
      <c r="A286" t="s">
        <v>301</v>
      </c>
      <c r="B286" s="2">
        <v>46038.537499999999</v>
      </c>
      <c r="C286" s="2">
        <v>46038.845833333333</v>
      </c>
      <c r="D286" t="s">
        <v>6027</v>
      </c>
      <c r="E286" t="s">
        <v>6029</v>
      </c>
      <c r="F286" t="s">
        <v>6035</v>
      </c>
      <c r="G286" t="s">
        <v>6070</v>
      </c>
      <c r="H286" t="s">
        <v>6097</v>
      </c>
      <c r="I286">
        <v>4</v>
      </c>
      <c r="J286">
        <v>7.4</v>
      </c>
      <c r="K286" t="s">
        <v>6099</v>
      </c>
      <c r="L286" t="s">
        <v>6100</v>
      </c>
      <c r="M286" t="s">
        <v>6100</v>
      </c>
      <c r="N286">
        <v>4</v>
      </c>
      <c r="O286" t="s">
        <v>6101</v>
      </c>
      <c r="P286" t="s">
        <v>6107</v>
      </c>
      <c r="Q286">
        <v>1</v>
      </c>
      <c r="R286">
        <v>2026</v>
      </c>
      <c r="S286" t="s">
        <v>6100</v>
      </c>
      <c r="T286">
        <v>0</v>
      </c>
      <c r="U286" t="s">
        <v>6017</v>
      </c>
      <c r="V286">
        <v>1</v>
      </c>
    </row>
    <row r="287" spans="1:22" x14ac:dyDescent="0.3">
      <c r="A287" t="s">
        <v>302</v>
      </c>
      <c r="B287" s="2">
        <v>46038.569444444445</v>
      </c>
      <c r="C287" s="2">
        <v>46038.981944444444</v>
      </c>
      <c r="D287" t="s">
        <v>6023</v>
      </c>
      <c r="E287" t="s">
        <v>6032</v>
      </c>
      <c r="F287" t="s">
        <v>6033</v>
      </c>
      <c r="G287" t="s">
        <v>6043</v>
      </c>
      <c r="H287" t="s">
        <v>6097</v>
      </c>
      <c r="I287">
        <v>72</v>
      </c>
      <c r="J287">
        <v>9.9</v>
      </c>
      <c r="K287" t="s">
        <v>6100</v>
      </c>
      <c r="L287" t="s">
        <v>6099</v>
      </c>
      <c r="M287" t="s">
        <v>6100</v>
      </c>
      <c r="N287">
        <v>5</v>
      </c>
      <c r="O287" t="s">
        <v>6101</v>
      </c>
      <c r="P287" t="s">
        <v>6107</v>
      </c>
      <c r="Q287">
        <v>1</v>
      </c>
      <c r="R287">
        <v>2026</v>
      </c>
      <c r="S287" t="s">
        <v>6099</v>
      </c>
      <c r="T287">
        <v>1</v>
      </c>
      <c r="U287" t="s">
        <v>6020</v>
      </c>
      <c r="V287">
        <v>0</v>
      </c>
    </row>
    <row r="288" spans="1:22" x14ac:dyDescent="0.3">
      <c r="A288" t="s">
        <v>303</v>
      </c>
      <c r="B288" s="2">
        <v>46038.571527777778</v>
      </c>
      <c r="C288" s="2">
        <v>46039.696527777778</v>
      </c>
      <c r="D288" t="s">
        <v>6023</v>
      </c>
      <c r="E288" t="s">
        <v>6032</v>
      </c>
      <c r="F288" t="s">
        <v>6034</v>
      </c>
      <c r="G288" t="s">
        <v>6072</v>
      </c>
      <c r="H288" t="s">
        <v>6097</v>
      </c>
      <c r="I288">
        <v>24</v>
      </c>
      <c r="J288">
        <v>27</v>
      </c>
      <c r="K288" t="s">
        <v>6099</v>
      </c>
      <c r="L288" t="s">
        <v>6100</v>
      </c>
      <c r="M288" t="s">
        <v>6100</v>
      </c>
      <c r="N288">
        <v>4</v>
      </c>
      <c r="O288" t="s">
        <v>6101</v>
      </c>
      <c r="P288" t="s">
        <v>6107</v>
      </c>
      <c r="Q288">
        <v>1</v>
      </c>
      <c r="R288">
        <v>2026</v>
      </c>
      <c r="S288" t="s">
        <v>6100</v>
      </c>
      <c r="T288">
        <v>0</v>
      </c>
      <c r="U288" t="s">
        <v>6018</v>
      </c>
      <c r="V288">
        <v>1</v>
      </c>
    </row>
    <row r="289" spans="1:22" x14ac:dyDescent="0.3">
      <c r="A289" t="s">
        <v>304</v>
      </c>
      <c r="B289" s="2">
        <v>46038.574999999997</v>
      </c>
      <c r="C289" s="2">
        <v>46039.341666666667</v>
      </c>
      <c r="D289" t="s">
        <v>6024</v>
      </c>
      <c r="E289" t="s">
        <v>6031</v>
      </c>
      <c r="F289" t="s">
        <v>6034</v>
      </c>
      <c r="G289" t="s">
        <v>6060</v>
      </c>
      <c r="H289" t="s">
        <v>6097</v>
      </c>
      <c r="I289">
        <v>24</v>
      </c>
      <c r="J289">
        <v>18.399999999999999</v>
      </c>
      <c r="K289" t="s">
        <v>6099</v>
      </c>
      <c r="L289" t="s">
        <v>6100</v>
      </c>
      <c r="M289" t="s">
        <v>6100</v>
      </c>
      <c r="O289" t="s">
        <v>6101</v>
      </c>
      <c r="P289" t="s">
        <v>6107</v>
      </c>
      <c r="Q289">
        <v>1</v>
      </c>
      <c r="R289">
        <v>2026</v>
      </c>
      <c r="S289" t="s">
        <v>6099</v>
      </c>
      <c r="T289">
        <v>1</v>
      </c>
      <c r="U289" t="s">
        <v>6018</v>
      </c>
      <c r="V289">
        <v>1</v>
      </c>
    </row>
    <row r="290" spans="1:22" x14ac:dyDescent="0.3">
      <c r="A290" t="s">
        <v>305</v>
      </c>
      <c r="B290" s="2">
        <v>46038.576388888891</v>
      </c>
      <c r="C290" s="2">
        <v>46038.930555555555</v>
      </c>
      <c r="D290" t="s">
        <v>6023</v>
      </c>
      <c r="E290" t="s">
        <v>6030</v>
      </c>
      <c r="F290" t="s">
        <v>6033</v>
      </c>
      <c r="G290" t="s">
        <v>6087</v>
      </c>
      <c r="H290" t="s">
        <v>6098</v>
      </c>
      <c r="I290">
        <v>72</v>
      </c>
      <c r="J290">
        <v>8.5</v>
      </c>
      <c r="K290" t="s">
        <v>6100</v>
      </c>
      <c r="L290" t="s">
        <v>6099</v>
      </c>
      <c r="M290" t="s">
        <v>6100</v>
      </c>
      <c r="O290" t="s">
        <v>6101</v>
      </c>
      <c r="P290" t="s">
        <v>6107</v>
      </c>
      <c r="Q290">
        <v>1</v>
      </c>
      <c r="R290">
        <v>2026</v>
      </c>
      <c r="S290" t="s">
        <v>6099</v>
      </c>
      <c r="T290">
        <v>1</v>
      </c>
      <c r="U290" t="s">
        <v>6018</v>
      </c>
      <c r="V290">
        <v>0</v>
      </c>
    </row>
    <row r="291" spans="1:22" x14ac:dyDescent="0.3">
      <c r="A291" t="s">
        <v>306</v>
      </c>
      <c r="B291" s="2">
        <v>46038.593055555553</v>
      </c>
      <c r="C291" s="2">
        <v>46039.951388888891</v>
      </c>
      <c r="D291" t="s">
        <v>6028</v>
      </c>
      <c r="E291" t="s">
        <v>6031</v>
      </c>
      <c r="F291" t="s">
        <v>6035</v>
      </c>
      <c r="G291" t="s">
        <v>6054</v>
      </c>
      <c r="H291" t="s">
        <v>6096</v>
      </c>
      <c r="I291">
        <v>4</v>
      </c>
      <c r="J291">
        <v>32.6</v>
      </c>
      <c r="K291" t="s">
        <v>6099</v>
      </c>
      <c r="L291" t="s">
        <v>6100</v>
      </c>
      <c r="M291" t="s">
        <v>6100</v>
      </c>
      <c r="N291">
        <v>3</v>
      </c>
      <c r="O291" t="s">
        <v>6101</v>
      </c>
      <c r="P291" t="s">
        <v>6107</v>
      </c>
      <c r="Q291">
        <v>1</v>
      </c>
      <c r="R291">
        <v>2026</v>
      </c>
      <c r="S291" t="s">
        <v>6100</v>
      </c>
      <c r="T291">
        <v>0</v>
      </c>
      <c r="U291" t="s">
        <v>6021</v>
      </c>
      <c r="V291">
        <v>1</v>
      </c>
    </row>
    <row r="292" spans="1:22" x14ac:dyDescent="0.3">
      <c r="A292" t="s">
        <v>307</v>
      </c>
      <c r="B292" s="2">
        <v>46038.649305555555</v>
      </c>
      <c r="C292" s="2">
        <v>46039.699305555558</v>
      </c>
      <c r="D292" t="s">
        <v>6025</v>
      </c>
      <c r="E292" t="s">
        <v>6032</v>
      </c>
      <c r="F292" t="s">
        <v>6034</v>
      </c>
      <c r="G292" t="s">
        <v>6042</v>
      </c>
      <c r="H292" t="s">
        <v>6098</v>
      </c>
      <c r="I292">
        <v>24</v>
      </c>
      <c r="J292">
        <v>25.2</v>
      </c>
      <c r="K292" t="s">
        <v>6099</v>
      </c>
      <c r="L292" t="s">
        <v>6100</v>
      </c>
      <c r="M292" t="s">
        <v>6100</v>
      </c>
      <c r="N292">
        <v>4</v>
      </c>
      <c r="O292" t="s">
        <v>6101</v>
      </c>
      <c r="P292" t="s">
        <v>6107</v>
      </c>
      <c r="Q292">
        <v>1</v>
      </c>
      <c r="R292">
        <v>2026</v>
      </c>
      <c r="S292" t="s">
        <v>6100</v>
      </c>
      <c r="T292">
        <v>0</v>
      </c>
      <c r="U292" t="s">
        <v>6019</v>
      </c>
      <c r="V292">
        <v>1</v>
      </c>
    </row>
    <row r="293" spans="1:22" x14ac:dyDescent="0.3">
      <c r="A293" t="s">
        <v>308</v>
      </c>
      <c r="B293" s="2">
        <v>46038.649305555555</v>
      </c>
      <c r="C293" s="2">
        <v>46039.665972222225</v>
      </c>
      <c r="D293" t="s">
        <v>6025</v>
      </c>
      <c r="E293" t="s">
        <v>6029</v>
      </c>
      <c r="F293" t="s">
        <v>6034</v>
      </c>
      <c r="G293" t="s">
        <v>6070</v>
      </c>
      <c r="H293" t="s">
        <v>6097</v>
      </c>
      <c r="I293">
        <v>24</v>
      </c>
      <c r="J293">
        <v>24.4</v>
      </c>
      <c r="K293" t="s">
        <v>6100</v>
      </c>
      <c r="L293" t="s">
        <v>6099</v>
      </c>
      <c r="M293" t="s">
        <v>6100</v>
      </c>
      <c r="N293">
        <v>4</v>
      </c>
      <c r="O293" t="s">
        <v>6101</v>
      </c>
      <c r="P293" t="s">
        <v>6107</v>
      </c>
      <c r="Q293">
        <v>1</v>
      </c>
      <c r="R293">
        <v>2026</v>
      </c>
      <c r="S293" t="s">
        <v>6100</v>
      </c>
      <c r="T293">
        <v>0</v>
      </c>
      <c r="U293" t="s">
        <v>6020</v>
      </c>
      <c r="V293">
        <v>0</v>
      </c>
    </row>
    <row r="294" spans="1:22" x14ac:dyDescent="0.3">
      <c r="A294" t="s">
        <v>309</v>
      </c>
      <c r="B294" s="2">
        <v>46038.662499999999</v>
      </c>
      <c r="C294" s="2">
        <v>46038.945833333331</v>
      </c>
      <c r="D294" t="s">
        <v>6026</v>
      </c>
      <c r="E294" t="s">
        <v>6029</v>
      </c>
      <c r="F294" t="s">
        <v>6033</v>
      </c>
      <c r="G294" t="s">
        <v>6044</v>
      </c>
      <c r="H294" t="s">
        <v>6097</v>
      </c>
      <c r="I294">
        <v>72</v>
      </c>
      <c r="J294">
        <v>6.8</v>
      </c>
      <c r="K294" t="s">
        <v>6099</v>
      </c>
      <c r="L294" t="s">
        <v>6100</v>
      </c>
      <c r="M294" t="s">
        <v>6100</v>
      </c>
      <c r="N294">
        <v>5</v>
      </c>
      <c r="O294" t="s">
        <v>6101</v>
      </c>
      <c r="P294" t="s">
        <v>6107</v>
      </c>
      <c r="Q294">
        <v>1</v>
      </c>
      <c r="R294">
        <v>2026</v>
      </c>
      <c r="S294" t="s">
        <v>6099</v>
      </c>
      <c r="T294">
        <v>1</v>
      </c>
      <c r="U294" t="s">
        <v>6020</v>
      </c>
      <c r="V294">
        <v>1</v>
      </c>
    </row>
    <row r="295" spans="1:22" x14ac:dyDescent="0.3">
      <c r="A295" t="s">
        <v>310</v>
      </c>
      <c r="B295" s="2">
        <v>46038.684027777781</v>
      </c>
      <c r="C295" s="2">
        <v>46039.442361111112</v>
      </c>
      <c r="D295" t="s">
        <v>6028</v>
      </c>
      <c r="E295" t="s">
        <v>6031</v>
      </c>
      <c r="F295" t="s">
        <v>6034</v>
      </c>
      <c r="G295" t="s">
        <v>6044</v>
      </c>
      <c r="H295" t="s">
        <v>6097</v>
      </c>
      <c r="I295">
        <v>24</v>
      </c>
      <c r="J295">
        <v>18.2</v>
      </c>
      <c r="K295" t="s">
        <v>6099</v>
      </c>
      <c r="L295" t="s">
        <v>6100</v>
      </c>
      <c r="M295" t="s">
        <v>6100</v>
      </c>
      <c r="O295" t="s">
        <v>6101</v>
      </c>
      <c r="P295" t="s">
        <v>6107</v>
      </c>
      <c r="Q295">
        <v>1</v>
      </c>
      <c r="R295">
        <v>2026</v>
      </c>
      <c r="S295" t="s">
        <v>6099</v>
      </c>
      <c r="T295">
        <v>1</v>
      </c>
      <c r="U295" t="s">
        <v>6019</v>
      </c>
      <c r="V295">
        <v>1</v>
      </c>
    </row>
    <row r="296" spans="1:22" x14ac:dyDescent="0.3">
      <c r="A296" t="s">
        <v>311</v>
      </c>
      <c r="B296" s="2">
        <v>46038.700694444444</v>
      </c>
      <c r="C296" s="2">
        <v>46039.375694444447</v>
      </c>
      <c r="D296" t="s">
        <v>6025</v>
      </c>
      <c r="E296" t="s">
        <v>6029</v>
      </c>
      <c r="F296" t="s">
        <v>6034</v>
      </c>
      <c r="G296" t="s">
        <v>6060</v>
      </c>
      <c r="H296" t="s">
        <v>6097</v>
      </c>
      <c r="I296">
        <v>24</v>
      </c>
      <c r="J296">
        <v>16.2</v>
      </c>
      <c r="K296" t="s">
        <v>6099</v>
      </c>
      <c r="L296" t="s">
        <v>6100</v>
      </c>
      <c r="M296" t="s">
        <v>6099</v>
      </c>
      <c r="O296" t="s">
        <v>6101</v>
      </c>
      <c r="P296" t="s">
        <v>6107</v>
      </c>
      <c r="Q296">
        <v>1</v>
      </c>
      <c r="R296">
        <v>2026</v>
      </c>
      <c r="S296" t="s">
        <v>6099</v>
      </c>
      <c r="T296">
        <v>1</v>
      </c>
      <c r="U296" t="s">
        <v>6021</v>
      </c>
      <c r="V296">
        <v>1</v>
      </c>
    </row>
    <row r="297" spans="1:22" x14ac:dyDescent="0.3">
      <c r="A297" t="s">
        <v>312</v>
      </c>
      <c r="B297" s="2">
        <v>46038.768055555556</v>
      </c>
      <c r="C297" s="2">
        <v>46039.109722222223</v>
      </c>
      <c r="D297" t="s">
        <v>6027</v>
      </c>
      <c r="E297" t="s">
        <v>6030</v>
      </c>
      <c r="F297" t="s">
        <v>6033</v>
      </c>
      <c r="G297" t="s">
        <v>6083</v>
      </c>
      <c r="H297" t="s">
        <v>6096</v>
      </c>
      <c r="I297">
        <v>72</v>
      </c>
      <c r="J297">
        <v>8.1999999999999993</v>
      </c>
      <c r="K297" t="s">
        <v>6100</v>
      </c>
      <c r="L297" t="s">
        <v>6099</v>
      </c>
      <c r="M297" t="s">
        <v>6100</v>
      </c>
      <c r="N297">
        <v>4</v>
      </c>
      <c r="O297" t="s">
        <v>6101</v>
      </c>
      <c r="P297" t="s">
        <v>6107</v>
      </c>
      <c r="Q297">
        <v>1</v>
      </c>
      <c r="R297">
        <v>2026</v>
      </c>
      <c r="S297" t="s">
        <v>6099</v>
      </c>
      <c r="T297">
        <v>1</v>
      </c>
      <c r="U297" t="s">
        <v>6018</v>
      </c>
      <c r="V297">
        <v>0</v>
      </c>
    </row>
    <row r="298" spans="1:22" x14ac:dyDescent="0.3">
      <c r="A298" t="s">
        <v>313</v>
      </c>
      <c r="B298" s="2">
        <v>46038.77847222222</v>
      </c>
      <c r="C298" s="2">
        <v>46041.124305555553</v>
      </c>
      <c r="D298" t="s">
        <v>6026</v>
      </c>
      <c r="E298" t="s">
        <v>6029</v>
      </c>
      <c r="F298" t="s">
        <v>6034</v>
      </c>
      <c r="G298" t="s">
        <v>6054</v>
      </c>
      <c r="H298" t="s">
        <v>6096</v>
      </c>
      <c r="I298">
        <v>24</v>
      </c>
      <c r="J298">
        <v>56.3</v>
      </c>
      <c r="K298" t="s">
        <v>6100</v>
      </c>
      <c r="L298" t="s">
        <v>6099</v>
      </c>
      <c r="M298" t="s">
        <v>6100</v>
      </c>
      <c r="N298">
        <v>4</v>
      </c>
      <c r="O298" t="s">
        <v>6101</v>
      </c>
      <c r="P298" t="s">
        <v>6107</v>
      </c>
      <c r="Q298">
        <v>1</v>
      </c>
      <c r="R298">
        <v>2026</v>
      </c>
      <c r="S298" t="s">
        <v>6100</v>
      </c>
      <c r="T298">
        <v>0</v>
      </c>
      <c r="U298" t="s">
        <v>6020</v>
      </c>
      <c r="V298">
        <v>0</v>
      </c>
    </row>
    <row r="299" spans="1:22" x14ac:dyDescent="0.3">
      <c r="A299" t="s">
        <v>314</v>
      </c>
      <c r="B299" s="2">
        <v>46039.259027777778</v>
      </c>
      <c r="C299" s="2">
        <v>46039.713194444441</v>
      </c>
      <c r="D299" t="s">
        <v>6023</v>
      </c>
      <c r="E299" t="s">
        <v>6029</v>
      </c>
      <c r="F299" t="s">
        <v>6033</v>
      </c>
      <c r="G299" t="s">
        <v>6072</v>
      </c>
      <c r="H299" t="s">
        <v>6097</v>
      </c>
      <c r="I299">
        <v>72</v>
      </c>
      <c r="J299">
        <v>10.9</v>
      </c>
      <c r="K299" t="s">
        <v>6099</v>
      </c>
      <c r="L299" t="s">
        <v>6100</v>
      </c>
      <c r="M299" t="s">
        <v>6100</v>
      </c>
      <c r="N299">
        <v>5</v>
      </c>
      <c r="O299" t="s">
        <v>6101</v>
      </c>
      <c r="P299" t="s">
        <v>6107</v>
      </c>
      <c r="Q299">
        <v>1</v>
      </c>
      <c r="R299">
        <v>2026</v>
      </c>
      <c r="S299" t="s">
        <v>6099</v>
      </c>
      <c r="T299">
        <v>1</v>
      </c>
      <c r="U299" t="s">
        <v>6017</v>
      </c>
      <c r="V299">
        <v>1</v>
      </c>
    </row>
    <row r="300" spans="1:22" x14ac:dyDescent="0.3">
      <c r="A300" t="s">
        <v>315</v>
      </c>
      <c r="B300" s="2">
        <v>46039.297222222223</v>
      </c>
      <c r="C300" s="2">
        <v>46042.276388888888</v>
      </c>
      <c r="D300" t="s">
        <v>6026</v>
      </c>
      <c r="E300" t="s">
        <v>6032</v>
      </c>
      <c r="F300" t="s">
        <v>6034</v>
      </c>
      <c r="G300" t="s">
        <v>6094</v>
      </c>
      <c r="H300" t="s">
        <v>6098</v>
      </c>
      <c r="I300">
        <v>24</v>
      </c>
      <c r="J300">
        <v>71.5</v>
      </c>
      <c r="K300" t="s">
        <v>6099</v>
      </c>
      <c r="L300" t="s">
        <v>6100</v>
      </c>
      <c r="M300" t="s">
        <v>6100</v>
      </c>
      <c r="N300">
        <v>4</v>
      </c>
      <c r="O300" t="s">
        <v>6101</v>
      </c>
      <c r="P300" t="s">
        <v>6107</v>
      </c>
      <c r="Q300">
        <v>1</v>
      </c>
      <c r="R300">
        <v>2026</v>
      </c>
      <c r="S300" t="s">
        <v>6100</v>
      </c>
      <c r="T300">
        <v>0</v>
      </c>
      <c r="U300" t="s">
        <v>6019</v>
      </c>
      <c r="V300">
        <v>1</v>
      </c>
    </row>
    <row r="301" spans="1:22" x14ac:dyDescent="0.3">
      <c r="A301" t="s">
        <v>316</v>
      </c>
      <c r="B301" s="2">
        <v>46039.328472222223</v>
      </c>
      <c r="C301" s="2">
        <v>46039.790972222225</v>
      </c>
      <c r="D301" t="s">
        <v>6023</v>
      </c>
      <c r="E301" t="s">
        <v>6029</v>
      </c>
      <c r="F301" t="s">
        <v>6034</v>
      </c>
      <c r="G301" t="s">
        <v>6082</v>
      </c>
      <c r="H301" t="s">
        <v>6097</v>
      </c>
      <c r="I301">
        <v>24</v>
      </c>
      <c r="J301">
        <v>11.1</v>
      </c>
      <c r="K301" t="s">
        <v>6099</v>
      </c>
      <c r="L301" t="s">
        <v>6100</v>
      </c>
      <c r="M301" t="s">
        <v>6100</v>
      </c>
      <c r="O301" t="s">
        <v>6101</v>
      </c>
      <c r="P301" t="s">
        <v>6107</v>
      </c>
      <c r="Q301">
        <v>1</v>
      </c>
      <c r="R301">
        <v>2026</v>
      </c>
      <c r="S301" t="s">
        <v>6099</v>
      </c>
      <c r="T301">
        <v>1</v>
      </c>
      <c r="U301" t="s">
        <v>6019</v>
      </c>
      <c r="V301">
        <v>1</v>
      </c>
    </row>
    <row r="302" spans="1:22" x14ac:dyDescent="0.3">
      <c r="A302" t="s">
        <v>317</v>
      </c>
      <c r="B302" s="2">
        <v>46039.330555555556</v>
      </c>
      <c r="C302" s="2">
        <v>46041.347222222219</v>
      </c>
      <c r="D302" t="s">
        <v>6026</v>
      </c>
      <c r="E302" t="s">
        <v>6032</v>
      </c>
      <c r="F302" t="s">
        <v>6034</v>
      </c>
      <c r="G302" t="s">
        <v>6062</v>
      </c>
      <c r="H302" t="s">
        <v>6096</v>
      </c>
      <c r="I302">
        <v>24</v>
      </c>
      <c r="J302">
        <v>48.4</v>
      </c>
      <c r="K302" t="s">
        <v>6099</v>
      </c>
      <c r="L302" t="s">
        <v>6100</v>
      </c>
      <c r="M302" t="s">
        <v>6100</v>
      </c>
      <c r="N302">
        <v>4</v>
      </c>
      <c r="O302" t="s">
        <v>6101</v>
      </c>
      <c r="P302" t="s">
        <v>6107</v>
      </c>
      <c r="Q302">
        <v>1</v>
      </c>
      <c r="R302">
        <v>2026</v>
      </c>
      <c r="S302" t="s">
        <v>6100</v>
      </c>
      <c r="T302">
        <v>0</v>
      </c>
      <c r="U302" t="s">
        <v>6021</v>
      </c>
      <c r="V302">
        <v>1</v>
      </c>
    </row>
    <row r="303" spans="1:22" x14ac:dyDescent="0.3">
      <c r="A303" t="s">
        <v>318</v>
      </c>
      <c r="B303" s="2">
        <v>46039.338194444441</v>
      </c>
      <c r="C303" s="2">
        <v>46039.554861111108</v>
      </c>
      <c r="D303" t="s">
        <v>6025</v>
      </c>
      <c r="E303" t="s">
        <v>6029</v>
      </c>
      <c r="F303" t="s">
        <v>6035</v>
      </c>
      <c r="G303" t="s">
        <v>6085</v>
      </c>
      <c r="H303" t="s">
        <v>6097</v>
      </c>
      <c r="I303">
        <v>4</v>
      </c>
      <c r="J303">
        <v>5.2</v>
      </c>
      <c r="K303" t="s">
        <v>6099</v>
      </c>
      <c r="L303" t="s">
        <v>6100</v>
      </c>
      <c r="M303" t="s">
        <v>6100</v>
      </c>
      <c r="O303" t="s">
        <v>6101</v>
      </c>
      <c r="P303" t="s">
        <v>6107</v>
      </c>
      <c r="Q303">
        <v>1</v>
      </c>
      <c r="R303">
        <v>2026</v>
      </c>
      <c r="S303" t="s">
        <v>6100</v>
      </c>
      <c r="T303">
        <v>0</v>
      </c>
      <c r="U303" t="s">
        <v>6020</v>
      </c>
      <c r="V303">
        <v>1</v>
      </c>
    </row>
    <row r="304" spans="1:22" x14ac:dyDescent="0.3">
      <c r="A304" t="s">
        <v>319</v>
      </c>
      <c r="B304" s="2">
        <v>46039.351388888892</v>
      </c>
      <c r="C304" s="2">
        <v>46040.605555555558</v>
      </c>
      <c r="D304" t="s">
        <v>6024</v>
      </c>
      <c r="E304" t="s">
        <v>6032</v>
      </c>
      <c r="F304" t="s">
        <v>6035</v>
      </c>
      <c r="G304" t="s">
        <v>6084</v>
      </c>
      <c r="H304" t="s">
        <v>6098</v>
      </c>
      <c r="I304">
        <v>4</v>
      </c>
      <c r="J304">
        <v>30.1</v>
      </c>
      <c r="K304" t="s">
        <v>6099</v>
      </c>
      <c r="L304" t="s">
        <v>6100</v>
      </c>
      <c r="M304" t="s">
        <v>6100</v>
      </c>
      <c r="N304">
        <v>4</v>
      </c>
      <c r="O304" t="s">
        <v>6101</v>
      </c>
      <c r="P304" t="s">
        <v>6107</v>
      </c>
      <c r="Q304">
        <v>1</v>
      </c>
      <c r="R304">
        <v>2026</v>
      </c>
      <c r="S304" t="s">
        <v>6100</v>
      </c>
      <c r="T304">
        <v>0</v>
      </c>
      <c r="U304" t="s">
        <v>6020</v>
      </c>
      <c r="V304">
        <v>1</v>
      </c>
    </row>
    <row r="305" spans="1:22" x14ac:dyDescent="0.3">
      <c r="A305" t="s">
        <v>320</v>
      </c>
      <c r="B305" s="2">
        <v>46039.385416666664</v>
      </c>
      <c r="C305" s="2">
        <v>46039.46875</v>
      </c>
      <c r="D305" t="s">
        <v>6023</v>
      </c>
      <c r="E305" t="s">
        <v>6030</v>
      </c>
      <c r="F305" t="s">
        <v>6034</v>
      </c>
      <c r="G305" t="s">
        <v>6094</v>
      </c>
      <c r="H305" t="s">
        <v>6098</v>
      </c>
      <c r="I305">
        <v>24</v>
      </c>
      <c r="J305">
        <v>2</v>
      </c>
      <c r="K305" t="s">
        <v>6099</v>
      </c>
      <c r="L305" t="s">
        <v>6100</v>
      </c>
      <c r="M305" t="s">
        <v>6100</v>
      </c>
      <c r="N305">
        <v>3</v>
      </c>
      <c r="O305" t="s">
        <v>6101</v>
      </c>
      <c r="P305" t="s">
        <v>6107</v>
      </c>
      <c r="Q305">
        <v>1</v>
      </c>
      <c r="R305">
        <v>2026</v>
      </c>
      <c r="S305" t="s">
        <v>6099</v>
      </c>
      <c r="T305">
        <v>1</v>
      </c>
      <c r="U305" t="s">
        <v>6018</v>
      </c>
      <c r="V305">
        <v>1</v>
      </c>
    </row>
    <row r="306" spans="1:22" x14ac:dyDescent="0.3">
      <c r="A306" t="s">
        <v>321</v>
      </c>
      <c r="B306" s="2">
        <v>46039.402777777781</v>
      </c>
      <c r="C306" s="2">
        <v>46039.844444444447</v>
      </c>
      <c r="D306" t="s">
        <v>6027</v>
      </c>
      <c r="E306" t="s">
        <v>6030</v>
      </c>
      <c r="F306" t="s">
        <v>6033</v>
      </c>
      <c r="G306" t="s">
        <v>6082</v>
      </c>
      <c r="H306" t="s">
        <v>6097</v>
      </c>
      <c r="I306">
        <v>72</v>
      </c>
      <c r="J306">
        <v>10.6</v>
      </c>
      <c r="K306" t="s">
        <v>6100</v>
      </c>
      <c r="L306" t="s">
        <v>6099</v>
      </c>
      <c r="M306" t="s">
        <v>6100</v>
      </c>
      <c r="N306">
        <v>4</v>
      </c>
      <c r="O306" t="s">
        <v>6101</v>
      </c>
      <c r="P306" t="s">
        <v>6107</v>
      </c>
      <c r="Q306">
        <v>1</v>
      </c>
      <c r="R306">
        <v>2026</v>
      </c>
      <c r="S306" t="s">
        <v>6099</v>
      </c>
      <c r="T306">
        <v>1</v>
      </c>
      <c r="U306" t="s">
        <v>6019</v>
      </c>
      <c r="V306">
        <v>0</v>
      </c>
    </row>
    <row r="307" spans="1:22" x14ac:dyDescent="0.3">
      <c r="A307" t="s">
        <v>322</v>
      </c>
      <c r="B307" s="2">
        <v>46039.468055555553</v>
      </c>
      <c r="C307" s="2">
        <v>46039.822222222225</v>
      </c>
      <c r="D307" t="s">
        <v>6028</v>
      </c>
      <c r="E307" t="s">
        <v>6029</v>
      </c>
      <c r="F307" t="s">
        <v>6035</v>
      </c>
      <c r="G307" t="s">
        <v>6087</v>
      </c>
      <c r="H307" t="s">
        <v>6098</v>
      </c>
      <c r="I307">
        <v>4</v>
      </c>
      <c r="J307">
        <v>8.5</v>
      </c>
      <c r="K307" t="s">
        <v>6099</v>
      </c>
      <c r="L307" t="s">
        <v>6100</v>
      </c>
      <c r="M307" t="s">
        <v>6100</v>
      </c>
      <c r="N307">
        <v>5</v>
      </c>
      <c r="O307" t="s">
        <v>6101</v>
      </c>
      <c r="P307" t="s">
        <v>6107</v>
      </c>
      <c r="Q307">
        <v>1</v>
      </c>
      <c r="R307">
        <v>2026</v>
      </c>
      <c r="S307" t="s">
        <v>6100</v>
      </c>
      <c r="T307">
        <v>0</v>
      </c>
      <c r="U307" t="s">
        <v>6021</v>
      </c>
      <c r="V307">
        <v>1</v>
      </c>
    </row>
    <row r="308" spans="1:22" x14ac:dyDescent="0.3">
      <c r="A308" t="s">
        <v>323</v>
      </c>
      <c r="B308" s="2">
        <v>46039.49722222222</v>
      </c>
      <c r="C308" s="2">
        <v>46042.87222222222</v>
      </c>
      <c r="D308" t="s">
        <v>6024</v>
      </c>
      <c r="E308" t="s">
        <v>6031</v>
      </c>
      <c r="F308" t="s">
        <v>6033</v>
      </c>
      <c r="G308" t="s">
        <v>6062</v>
      </c>
      <c r="H308" t="s">
        <v>6096</v>
      </c>
      <c r="I308">
        <v>72</v>
      </c>
      <c r="J308">
        <v>81</v>
      </c>
      <c r="K308" t="s">
        <v>6099</v>
      </c>
      <c r="L308" t="s">
        <v>6100</v>
      </c>
      <c r="M308" t="s">
        <v>6100</v>
      </c>
      <c r="N308">
        <v>5</v>
      </c>
      <c r="O308" t="s">
        <v>6101</v>
      </c>
      <c r="P308" t="s">
        <v>6107</v>
      </c>
      <c r="Q308">
        <v>1</v>
      </c>
      <c r="R308">
        <v>2026</v>
      </c>
      <c r="S308" t="s">
        <v>6100</v>
      </c>
      <c r="T308">
        <v>0</v>
      </c>
      <c r="U308" t="s">
        <v>6019</v>
      </c>
      <c r="V308">
        <v>1</v>
      </c>
    </row>
    <row r="309" spans="1:22" x14ac:dyDescent="0.3">
      <c r="A309" t="s">
        <v>324</v>
      </c>
      <c r="B309" s="2">
        <v>46039.504166666666</v>
      </c>
      <c r="C309" s="2">
        <v>46039.570833333331</v>
      </c>
      <c r="D309" t="s">
        <v>6023</v>
      </c>
      <c r="E309" t="s">
        <v>6030</v>
      </c>
      <c r="F309" t="s">
        <v>6034</v>
      </c>
      <c r="G309" t="s">
        <v>6057</v>
      </c>
      <c r="H309" t="s">
        <v>6097</v>
      </c>
      <c r="I309">
        <v>24</v>
      </c>
      <c r="J309">
        <v>1.6</v>
      </c>
      <c r="K309" t="s">
        <v>6099</v>
      </c>
      <c r="L309" t="s">
        <v>6100</v>
      </c>
      <c r="M309" t="s">
        <v>6100</v>
      </c>
      <c r="N309">
        <v>5</v>
      </c>
      <c r="O309" t="s">
        <v>6101</v>
      </c>
      <c r="P309" t="s">
        <v>6107</v>
      </c>
      <c r="Q309">
        <v>1</v>
      </c>
      <c r="R309">
        <v>2026</v>
      </c>
      <c r="S309" t="s">
        <v>6099</v>
      </c>
      <c r="T309">
        <v>1</v>
      </c>
      <c r="U309" t="s">
        <v>6018</v>
      </c>
      <c r="V309">
        <v>1</v>
      </c>
    </row>
    <row r="310" spans="1:22" x14ac:dyDescent="0.3">
      <c r="A310" t="s">
        <v>325</v>
      </c>
      <c r="B310" s="2">
        <v>46039.507638888892</v>
      </c>
      <c r="C310" s="2">
        <v>46041.874305555553</v>
      </c>
      <c r="D310" t="s">
        <v>6022</v>
      </c>
      <c r="E310" t="s">
        <v>6029</v>
      </c>
      <c r="F310" t="s">
        <v>6034</v>
      </c>
      <c r="G310" t="s">
        <v>6086</v>
      </c>
      <c r="H310" t="s">
        <v>6098</v>
      </c>
      <c r="I310">
        <v>24</v>
      </c>
      <c r="J310">
        <v>56.8</v>
      </c>
      <c r="K310" t="s">
        <v>6099</v>
      </c>
      <c r="L310" t="s">
        <v>6100</v>
      </c>
      <c r="M310" t="s">
        <v>6100</v>
      </c>
      <c r="N310">
        <v>4</v>
      </c>
      <c r="O310" t="s">
        <v>6101</v>
      </c>
      <c r="P310" t="s">
        <v>6107</v>
      </c>
      <c r="Q310">
        <v>1</v>
      </c>
      <c r="R310">
        <v>2026</v>
      </c>
      <c r="S310" t="s">
        <v>6100</v>
      </c>
      <c r="T310">
        <v>0</v>
      </c>
      <c r="U310" t="s">
        <v>6021</v>
      </c>
      <c r="V310">
        <v>1</v>
      </c>
    </row>
    <row r="311" spans="1:22" x14ac:dyDescent="0.3">
      <c r="A311" t="s">
        <v>326</v>
      </c>
      <c r="B311" s="2">
        <v>46039.559027777781</v>
      </c>
      <c r="C311" s="2">
        <v>46040.009027777778</v>
      </c>
      <c r="D311" t="s">
        <v>6028</v>
      </c>
      <c r="E311" t="s">
        <v>6029</v>
      </c>
      <c r="F311" t="s">
        <v>6035</v>
      </c>
      <c r="G311" t="s">
        <v>6056</v>
      </c>
      <c r="H311" t="s">
        <v>6098</v>
      </c>
      <c r="I311">
        <v>4</v>
      </c>
      <c r="J311">
        <v>10.8</v>
      </c>
      <c r="K311" t="s">
        <v>6099</v>
      </c>
      <c r="L311" t="s">
        <v>6100</v>
      </c>
      <c r="M311" t="s">
        <v>6100</v>
      </c>
      <c r="N311">
        <v>3</v>
      </c>
      <c r="O311" t="s">
        <v>6101</v>
      </c>
      <c r="P311" t="s">
        <v>6107</v>
      </c>
      <c r="Q311">
        <v>1</v>
      </c>
      <c r="R311">
        <v>2026</v>
      </c>
      <c r="S311" t="s">
        <v>6100</v>
      </c>
      <c r="T311">
        <v>0</v>
      </c>
      <c r="U311" t="s">
        <v>6021</v>
      </c>
      <c r="V311">
        <v>1</v>
      </c>
    </row>
    <row r="312" spans="1:22" x14ac:dyDescent="0.3">
      <c r="A312" t="s">
        <v>327</v>
      </c>
      <c r="B312" s="2">
        <v>46039.572916666664</v>
      </c>
      <c r="C312" s="2">
        <v>46039.885416666664</v>
      </c>
      <c r="D312" t="s">
        <v>6023</v>
      </c>
      <c r="E312" t="s">
        <v>6029</v>
      </c>
      <c r="F312" t="s">
        <v>6033</v>
      </c>
      <c r="G312" t="s">
        <v>6075</v>
      </c>
      <c r="H312" t="s">
        <v>6097</v>
      </c>
      <c r="I312">
        <v>72</v>
      </c>
      <c r="J312">
        <v>7.5</v>
      </c>
      <c r="K312" t="s">
        <v>6099</v>
      </c>
      <c r="L312" t="s">
        <v>6100</v>
      </c>
      <c r="M312" t="s">
        <v>6100</v>
      </c>
      <c r="N312">
        <v>5</v>
      </c>
      <c r="O312" t="s">
        <v>6101</v>
      </c>
      <c r="P312" t="s">
        <v>6107</v>
      </c>
      <c r="Q312">
        <v>1</v>
      </c>
      <c r="R312">
        <v>2026</v>
      </c>
      <c r="S312" t="s">
        <v>6099</v>
      </c>
      <c r="T312">
        <v>1</v>
      </c>
      <c r="U312" t="s">
        <v>6021</v>
      </c>
      <c r="V312">
        <v>1</v>
      </c>
    </row>
    <row r="313" spans="1:22" x14ac:dyDescent="0.3">
      <c r="A313" t="s">
        <v>328</v>
      </c>
      <c r="B313" s="2">
        <v>46039.586805555555</v>
      </c>
      <c r="C313" s="2">
        <v>46042.561805555553</v>
      </c>
      <c r="D313" t="s">
        <v>6026</v>
      </c>
      <c r="E313" t="s">
        <v>6031</v>
      </c>
      <c r="F313" t="s">
        <v>6033</v>
      </c>
      <c r="G313" t="s">
        <v>6044</v>
      </c>
      <c r="H313" t="s">
        <v>6097</v>
      </c>
      <c r="I313">
        <v>72</v>
      </c>
      <c r="J313">
        <v>71.400000000000006</v>
      </c>
      <c r="K313" t="s">
        <v>6100</v>
      </c>
      <c r="L313" t="s">
        <v>6100</v>
      </c>
      <c r="M313" t="s">
        <v>6100</v>
      </c>
      <c r="N313">
        <v>4</v>
      </c>
      <c r="O313" t="s">
        <v>6101</v>
      </c>
      <c r="P313" t="s">
        <v>6107</v>
      </c>
      <c r="Q313">
        <v>1</v>
      </c>
      <c r="R313">
        <v>2026</v>
      </c>
      <c r="S313" t="s">
        <v>6099</v>
      </c>
      <c r="T313">
        <v>1</v>
      </c>
      <c r="U313" t="s">
        <v>6020</v>
      </c>
      <c r="V313">
        <v>0</v>
      </c>
    </row>
    <row r="314" spans="1:22" x14ac:dyDescent="0.3">
      <c r="A314" t="s">
        <v>329</v>
      </c>
      <c r="B314" s="2">
        <v>46039.624305555553</v>
      </c>
      <c r="C314" s="2">
        <v>46041.199305555558</v>
      </c>
      <c r="D314" t="s">
        <v>6028</v>
      </c>
      <c r="E314" t="s">
        <v>6031</v>
      </c>
      <c r="F314" t="s">
        <v>6035</v>
      </c>
      <c r="G314" t="s">
        <v>6054</v>
      </c>
      <c r="H314" t="s">
        <v>6096</v>
      </c>
      <c r="I314">
        <v>4</v>
      </c>
      <c r="J314">
        <v>37.799999999999997</v>
      </c>
      <c r="K314" t="s">
        <v>6099</v>
      </c>
      <c r="L314" t="s">
        <v>6100</v>
      </c>
      <c r="M314" t="s">
        <v>6100</v>
      </c>
      <c r="N314">
        <v>5</v>
      </c>
      <c r="O314" t="s">
        <v>6101</v>
      </c>
      <c r="P314" t="s">
        <v>6107</v>
      </c>
      <c r="Q314">
        <v>1</v>
      </c>
      <c r="R314">
        <v>2026</v>
      </c>
      <c r="S314" t="s">
        <v>6100</v>
      </c>
      <c r="T314">
        <v>0</v>
      </c>
      <c r="U314" t="s">
        <v>6019</v>
      </c>
      <c r="V314">
        <v>1</v>
      </c>
    </row>
    <row r="315" spans="1:22" x14ac:dyDescent="0.3">
      <c r="A315" t="s">
        <v>330</v>
      </c>
      <c r="B315" s="2">
        <v>46039.630555555559</v>
      </c>
      <c r="C315" s="2">
        <v>46040.501388888886</v>
      </c>
      <c r="D315" t="s">
        <v>6024</v>
      </c>
      <c r="E315" t="s">
        <v>6031</v>
      </c>
      <c r="F315" t="s">
        <v>6034</v>
      </c>
      <c r="G315" t="s">
        <v>6090</v>
      </c>
      <c r="H315" t="s">
        <v>6097</v>
      </c>
      <c r="I315">
        <v>24</v>
      </c>
      <c r="J315">
        <v>20.9</v>
      </c>
      <c r="K315" t="s">
        <v>6099</v>
      </c>
      <c r="L315" t="s">
        <v>6100</v>
      </c>
      <c r="M315" t="s">
        <v>6100</v>
      </c>
      <c r="O315" t="s">
        <v>6101</v>
      </c>
      <c r="P315" t="s">
        <v>6107</v>
      </c>
      <c r="Q315">
        <v>1</v>
      </c>
      <c r="R315">
        <v>2026</v>
      </c>
      <c r="S315" t="s">
        <v>6099</v>
      </c>
      <c r="T315">
        <v>1</v>
      </c>
      <c r="U315" t="s">
        <v>6018</v>
      </c>
      <c r="V315">
        <v>1</v>
      </c>
    </row>
    <row r="316" spans="1:22" x14ac:dyDescent="0.3">
      <c r="A316" t="s">
        <v>331</v>
      </c>
      <c r="B316" s="2">
        <v>46039.73333333333</v>
      </c>
      <c r="C316" s="2">
        <v>46041.39166666667</v>
      </c>
      <c r="D316" t="s">
        <v>6022</v>
      </c>
      <c r="E316" t="s">
        <v>6031</v>
      </c>
      <c r="F316" t="s">
        <v>6034</v>
      </c>
      <c r="G316" t="s">
        <v>6071</v>
      </c>
      <c r="H316" t="s">
        <v>6098</v>
      </c>
      <c r="I316">
        <v>24</v>
      </c>
      <c r="J316">
        <v>39.799999999999997</v>
      </c>
      <c r="K316" t="s">
        <v>6099</v>
      </c>
      <c r="L316" t="s">
        <v>6100</v>
      </c>
      <c r="M316" t="s">
        <v>6100</v>
      </c>
      <c r="O316" t="s">
        <v>6101</v>
      </c>
      <c r="P316" t="s">
        <v>6107</v>
      </c>
      <c r="Q316">
        <v>1</v>
      </c>
      <c r="R316">
        <v>2026</v>
      </c>
      <c r="S316" t="s">
        <v>6100</v>
      </c>
      <c r="T316">
        <v>0</v>
      </c>
      <c r="U316" t="s">
        <v>6017</v>
      </c>
      <c r="V316">
        <v>1</v>
      </c>
    </row>
    <row r="317" spans="1:22" x14ac:dyDescent="0.3">
      <c r="A317" t="s">
        <v>332</v>
      </c>
      <c r="B317" s="2">
        <v>46039.791666666664</v>
      </c>
      <c r="C317" s="2">
        <v>46039.987500000003</v>
      </c>
      <c r="D317" t="s">
        <v>6023</v>
      </c>
      <c r="E317" t="s">
        <v>6030</v>
      </c>
      <c r="F317" t="s">
        <v>6033</v>
      </c>
      <c r="G317" t="s">
        <v>6074</v>
      </c>
      <c r="H317" t="s">
        <v>6098</v>
      </c>
      <c r="I317">
        <v>72</v>
      </c>
      <c r="J317">
        <v>4.7</v>
      </c>
      <c r="K317" t="s">
        <v>6100</v>
      </c>
      <c r="L317" t="s">
        <v>6099</v>
      </c>
      <c r="M317" t="s">
        <v>6100</v>
      </c>
      <c r="O317" t="s">
        <v>6101</v>
      </c>
      <c r="P317" t="s">
        <v>6107</v>
      </c>
      <c r="Q317">
        <v>1</v>
      </c>
      <c r="R317">
        <v>2026</v>
      </c>
      <c r="S317" t="s">
        <v>6099</v>
      </c>
      <c r="T317">
        <v>1</v>
      </c>
      <c r="U317" t="s">
        <v>6021</v>
      </c>
      <c r="V317">
        <v>0</v>
      </c>
    </row>
    <row r="318" spans="1:22" x14ac:dyDescent="0.3">
      <c r="A318" t="s">
        <v>333</v>
      </c>
      <c r="B318" s="2">
        <v>46039.809027777781</v>
      </c>
      <c r="C318" s="2">
        <v>46048.838194444441</v>
      </c>
      <c r="D318" t="s">
        <v>6026</v>
      </c>
      <c r="E318" t="s">
        <v>6031</v>
      </c>
      <c r="F318" t="s">
        <v>6033</v>
      </c>
      <c r="G318" t="s">
        <v>6068</v>
      </c>
      <c r="H318" t="s">
        <v>6098</v>
      </c>
      <c r="I318">
        <v>72</v>
      </c>
      <c r="J318">
        <v>216.7</v>
      </c>
      <c r="K318" t="s">
        <v>6099</v>
      </c>
      <c r="L318" t="s">
        <v>6100</v>
      </c>
      <c r="M318" t="s">
        <v>6100</v>
      </c>
      <c r="N318">
        <v>5</v>
      </c>
      <c r="O318" t="s">
        <v>6101</v>
      </c>
      <c r="P318" t="s">
        <v>6107</v>
      </c>
      <c r="Q318">
        <v>1</v>
      </c>
      <c r="R318">
        <v>2026</v>
      </c>
      <c r="S318" t="s">
        <v>6100</v>
      </c>
      <c r="T318">
        <v>0</v>
      </c>
      <c r="U318" t="s">
        <v>6018</v>
      </c>
      <c r="V318">
        <v>1</v>
      </c>
    </row>
    <row r="319" spans="1:22" x14ac:dyDescent="0.3">
      <c r="A319" t="s">
        <v>334</v>
      </c>
      <c r="B319" s="2">
        <v>46039.827777777777</v>
      </c>
      <c r="C319" s="2">
        <v>46040.336111111108</v>
      </c>
      <c r="D319" t="s">
        <v>6028</v>
      </c>
      <c r="E319" t="s">
        <v>6029</v>
      </c>
      <c r="F319" t="s">
        <v>6035</v>
      </c>
      <c r="G319" t="s">
        <v>6073</v>
      </c>
      <c r="H319" t="s">
        <v>6096</v>
      </c>
      <c r="I319">
        <v>4</v>
      </c>
      <c r="J319">
        <v>12.2</v>
      </c>
      <c r="K319" t="s">
        <v>6100</v>
      </c>
      <c r="L319" t="s">
        <v>6099</v>
      </c>
      <c r="M319" t="s">
        <v>6100</v>
      </c>
      <c r="N319">
        <v>3</v>
      </c>
      <c r="O319" t="s">
        <v>6101</v>
      </c>
      <c r="P319" t="s">
        <v>6107</v>
      </c>
      <c r="Q319">
        <v>1</v>
      </c>
      <c r="R319">
        <v>2026</v>
      </c>
      <c r="S319" t="s">
        <v>6100</v>
      </c>
      <c r="T319">
        <v>0</v>
      </c>
      <c r="U319" t="s">
        <v>6021</v>
      </c>
      <c r="V319">
        <v>0</v>
      </c>
    </row>
    <row r="320" spans="1:22" x14ac:dyDescent="0.3">
      <c r="A320" t="s">
        <v>335</v>
      </c>
      <c r="B320" s="2">
        <v>46039.832638888889</v>
      </c>
      <c r="C320" s="2">
        <v>46040.311805555553</v>
      </c>
      <c r="D320" t="s">
        <v>6027</v>
      </c>
      <c r="E320" t="s">
        <v>6029</v>
      </c>
      <c r="F320" t="s">
        <v>6033</v>
      </c>
      <c r="G320" t="s">
        <v>6094</v>
      </c>
      <c r="H320" t="s">
        <v>6098</v>
      </c>
      <c r="I320">
        <v>72</v>
      </c>
      <c r="J320">
        <v>11.5</v>
      </c>
      <c r="K320" t="s">
        <v>6100</v>
      </c>
      <c r="L320" t="s">
        <v>6100</v>
      </c>
      <c r="M320" t="s">
        <v>6100</v>
      </c>
      <c r="N320">
        <v>4</v>
      </c>
      <c r="O320" t="s">
        <v>6101</v>
      </c>
      <c r="P320" t="s">
        <v>6107</v>
      </c>
      <c r="Q320">
        <v>1</v>
      </c>
      <c r="R320">
        <v>2026</v>
      </c>
      <c r="S320" t="s">
        <v>6099</v>
      </c>
      <c r="T320">
        <v>1</v>
      </c>
      <c r="U320" t="s">
        <v>6017</v>
      </c>
      <c r="V320">
        <v>0</v>
      </c>
    </row>
    <row r="321" spans="1:22" x14ac:dyDescent="0.3">
      <c r="A321" t="s">
        <v>336</v>
      </c>
      <c r="B321" s="2">
        <v>46039.861805555556</v>
      </c>
      <c r="C321" s="2">
        <v>46040.086805555555</v>
      </c>
      <c r="D321" t="s">
        <v>6027</v>
      </c>
      <c r="E321" t="s">
        <v>6029</v>
      </c>
      <c r="F321" t="s">
        <v>6034</v>
      </c>
      <c r="G321" t="s">
        <v>6072</v>
      </c>
      <c r="H321" t="s">
        <v>6097</v>
      </c>
      <c r="I321">
        <v>24</v>
      </c>
      <c r="J321">
        <v>5.4</v>
      </c>
      <c r="K321" t="s">
        <v>6099</v>
      </c>
      <c r="L321" t="s">
        <v>6100</v>
      </c>
      <c r="M321" t="s">
        <v>6099</v>
      </c>
      <c r="N321">
        <v>5</v>
      </c>
      <c r="O321" t="s">
        <v>6101</v>
      </c>
      <c r="P321" t="s">
        <v>6107</v>
      </c>
      <c r="Q321">
        <v>1</v>
      </c>
      <c r="R321">
        <v>2026</v>
      </c>
      <c r="S321" t="s">
        <v>6099</v>
      </c>
      <c r="T321">
        <v>1</v>
      </c>
      <c r="U321" t="s">
        <v>6020</v>
      </c>
      <c r="V321">
        <v>1</v>
      </c>
    </row>
    <row r="322" spans="1:22" x14ac:dyDescent="0.3">
      <c r="A322" t="s">
        <v>337</v>
      </c>
      <c r="B322" s="2">
        <v>46039.929861111108</v>
      </c>
      <c r="C322" s="2">
        <v>46041.163194444445</v>
      </c>
      <c r="D322" t="s">
        <v>6024</v>
      </c>
      <c r="E322" t="s">
        <v>6032</v>
      </c>
      <c r="F322" t="s">
        <v>6035</v>
      </c>
      <c r="G322" t="s">
        <v>6064</v>
      </c>
      <c r="H322" t="s">
        <v>6096</v>
      </c>
      <c r="I322">
        <v>4</v>
      </c>
      <c r="J322">
        <v>29.6</v>
      </c>
      <c r="K322" t="s">
        <v>6099</v>
      </c>
      <c r="L322" t="s">
        <v>6100</v>
      </c>
      <c r="M322" t="s">
        <v>6100</v>
      </c>
      <c r="N322">
        <v>3</v>
      </c>
      <c r="O322" t="s">
        <v>6101</v>
      </c>
      <c r="P322" t="s">
        <v>6107</v>
      </c>
      <c r="Q322">
        <v>1</v>
      </c>
      <c r="R322">
        <v>2026</v>
      </c>
      <c r="S322" t="s">
        <v>6100</v>
      </c>
      <c r="T322">
        <v>0</v>
      </c>
      <c r="U322" t="s">
        <v>6020</v>
      </c>
      <c r="V322">
        <v>1</v>
      </c>
    </row>
    <row r="323" spans="1:22" x14ac:dyDescent="0.3">
      <c r="A323" t="s">
        <v>338</v>
      </c>
      <c r="B323" s="2">
        <v>46040.201388888891</v>
      </c>
      <c r="C323" s="2">
        <v>46040.313888888886</v>
      </c>
      <c r="D323" t="s">
        <v>6023</v>
      </c>
      <c r="E323" t="s">
        <v>6030</v>
      </c>
      <c r="F323" t="s">
        <v>6035</v>
      </c>
      <c r="G323" t="s">
        <v>6093</v>
      </c>
      <c r="H323" t="s">
        <v>6097</v>
      </c>
      <c r="I323">
        <v>4</v>
      </c>
      <c r="J323">
        <v>2.7</v>
      </c>
      <c r="K323" t="s">
        <v>6099</v>
      </c>
      <c r="L323" t="s">
        <v>6100</v>
      </c>
      <c r="M323" t="s">
        <v>6100</v>
      </c>
      <c r="O323" t="s">
        <v>6101</v>
      </c>
      <c r="P323" t="s">
        <v>6107</v>
      </c>
      <c r="Q323">
        <v>1</v>
      </c>
      <c r="R323">
        <v>2026</v>
      </c>
      <c r="S323" t="s">
        <v>6099</v>
      </c>
      <c r="T323">
        <v>1</v>
      </c>
      <c r="U323" t="s">
        <v>6017</v>
      </c>
      <c r="V323">
        <v>1</v>
      </c>
    </row>
    <row r="324" spans="1:22" x14ac:dyDescent="0.3">
      <c r="A324" t="s">
        <v>339</v>
      </c>
      <c r="B324" s="2">
        <v>46040.259722222225</v>
      </c>
      <c r="C324" s="2">
        <v>46040.74722222222</v>
      </c>
      <c r="D324" t="s">
        <v>6022</v>
      </c>
      <c r="E324" t="s">
        <v>6029</v>
      </c>
      <c r="F324" t="s">
        <v>6033</v>
      </c>
      <c r="G324" t="s">
        <v>6065</v>
      </c>
      <c r="H324" t="s">
        <v>6097</v>
      </c>
      <c r="I324">
        <v>72</v>
      </c>
      <c r="J324">
        <v>11.7</v>
      </c>
      <c r="K324" t="s">
        <v>6099</v>
      </c>
      <c r="L324" t="s">
        <v>6100</v>
      </c>
      <c r="M324" t="s">
        <v>6100</v>
      </c>
      <c r="N324">
        <v>4</v>
      </c>
      <c r="O324" t="s">
        <v>6101</v>
      </c>
      <c r="P324" t="s">
        <v>6107</v>
      </c>
      <c r="Q324">
        <v>1</v>
      </c>
      <c r="R324">
        <v>2026</v>
      </c>
      <c r="S324" t="s">
        <v>6099</v>
      </c>
      <c r="T324">
        <v>1</v>
      </c>
      <c r="U324" t="s">
        <v>6019</v>
      </c>
      <c r="V324">
        <v>1</v>
      </c>
    </row>
    <row r="325" spans="1:22" x14ac:dyDescent="0.3">
      <c r="A325" t="s">
        <v>340</v>
      </c>
      <c r="B325" s="2">
        <v>46040.395138888889</v>
      </c>
      <c r="C325" s="2">
        <v>46041.645138888889</v>
      </c>
      <c r="D325" t="s">
        <v>6027</v>
      </c>
      <c r="E325" t="s">
        <v>6032</v>
      </c>
      <c r="F325" t="s">
        <v>6034</v>
      </c>
      <c r="G325" t="s">
        <v>6079</v>
      </c>
      <c r="H325" t="s">
        <v>6097</v>
      </c>
      <c r="I325">
        <v>24</v>
      </c>
      <c r="J325">
        <v>30</v>
      </c>
      <c r="K325" t="s">
        <v>6099</v>
      </c>
      <c r="L325" t="s">
        <v>6100</v>
      </c>
      <c r="M325" t="s">
        <v>6100</v>
      </c>
      <c r="N325">
        <v>3</v>
      </c>
      <c r="O325" t="s">
        <v>6101</v>
      </c>
      <c r="P325" t="s">
        <v>6107</v>
      </c>
      <c r="Q325">
        <v>1</v>
      </c>
      <c r="R325">
        <v>2026</v>
      </c>
      <c r="S325" t="s">
        <v>6100</v>
      </c>
      <c r="T325">
        <v>0</v>
      </c>
      <c r="U325" t="s">
        <v>6019</v>
      </c>
      <c r="V325">
        <v>1</v>
      </c>
    </row>
    <row r="326" spans="1:22" x14ac:dyDescent="0.3">
      <c r="A326" t="s">
        <v>341</v>
      </c>
      <c r="B326" s="2">
        <v>46040.443749999999</v>
      </c>
      <c r="C326" s="2">
        <v>46040.727083333331</v>
      </c>
      <c r="D326" t="s">
        <v>6024</v>
      </c>
      <c r="E326" t="s">
        <v>6030</v>
      </c>
      <c r="F326" t="s">
        <v>6034</v>
      </c>
      <c r="G326" t="s">
        <v>6048</v>
      </c>
      <c r="H326" t="s">
        <v>6096</v>
      </c>
      <c r="I326">
        <v>24</v>
      </c>
      <c r="J326">
        <v>6.8</v>
      </c>
      <c r="K326" t="s">
        <v>6100</v>
      </c>
      <c r="L326" t="s">
        <v>6100</v>
      </c>
      <c r="M326" t="s">
        <v>6100</v>
      </c>
      <c r="O326" t="s">
        <v>6101</v>
      </c>
      <c r="P326" t="s">
        <v>6107</v>
      </c>
      <c r="Q326">
        <v>1</v>
      </c>
      <c r="R326">
        <v>2026</v>
      </c>
      <c r="S326" t="s">
        <v>6099</v>
      </c>
      <c r="T326">
        <v>1</v>
      </c>
      <c r="U326" t="s">
        <v>6021</v>
      </c>
      <c r="V326">
        <v>0</v>
      </c>
    </row>
    <row r="327" spans="1:22" x14ac:dyDescent="0.3">
      <c r="A327" t="s">
        <v>342</v>
      </c>
      <c r="B327" s="2">
        <v>46040.463194444441</v>
      </c>
      <c r="C327" s="2">
        <v>46040.809027777781</v>
      </c>
      <c r="D327" t="s">
        <v>6023</v>
      </c>
      <c r="E327" t="s">
        <v>6029</v>
      </c>
      <c r="F327" t="s">
        <v>6033</v>
      </c>
      <c r="G327" t="s">
        <v>6039</v>
      </c>
      <c r="H327" t="s">
        <v>6097</v>
      </c>
      <c r="I327">
        <v>72</v>
      </c>
      <c r="J327">
        <v>8.3000000000000007</v>
      </c>
      <c r="K327" t="s">
        <v>6099</v>
      </c>
      <c r="L327" t="s">
        <v>6100</v>
      </c>
      <c r="M327" t="s">
        <v>6099</v>
      </c>
      <c r="N327">
        <v>5</v>
      </c>
      <c r="O327" t="s">
        <v>6101</v>
      </c>
      <c r="P327" t="s">
        <v>6107</v>
      </c>
      <c r="Q327">
        <v>1</v>
      </c>
      <c r="R327">
        <v>2026</v>
      </c>
      <c r="S327" t="s">
        <v>6099</v>
      </c>
      <c r="T327">
        <v>1</v>
      </c>
      <c r="U327" t="s">
        <v>6018</v>
      </c>
      <c r="V327">
        <v>1</v>
      </c>
    </row>
    <row r="328" spans="1:22" x14ac:dyDescent="0.3">
      <c r="A328" t="s">
        <v>343</v>
      </c>
      <c r="B328" s="2">
        <v>46040.466666666667</v>
      </c>
      <c r="C328" s="2">
        <v>46041.98333333333</v>
      </c>
      <c r="D328" t="s">
        <v>6024</v>
      </c>
      <c r="E328" t="s">
        <v>6029</v>
      </c>
      <c r="F328" t="s">
        <v>6033</v>
      </c>
      <c r="G328" t="s">
        <v>6047</v>
      </c>
      <c r="H328" t="s">
        <v>6098</v>
      </c>
      <c r="I328">
        <v>72</v>
      </c>
      <c r="J328">
        <v>36.4</v>
      </c>
      <c r="K328" t="s">
        <v>6100</v>
      </c>
      <c r="L328" t="s">
        <v>6099</v>
      </c>
      <c r="M328" t="s">
        <v>6100</v>
      </c>
      <c r="O328" t="s">
        <v>6101</v>
      </c>
      <c r="P328" t="s">
        <v>6107</v>
      </c>
      <c r="Q328">
        <v>1</v>
      </c>
      <c r="R328">
        <v>2026</v>
      </c>
      <c r="S328" t="s">
        <v>6099</v>
      </c>
      <c r="T328">
        <v>1</v>
      </c>
      <c r="U328" t="s">
        <v>6019</v>
      </c>
      <c r="V328">
        <v>0</v>
      </c>
    </row>
    <row r="329" spans="1:22" x14ac:dyDescent="0.3">
      <c r="A329" t="s">
        <v>344</v>
      </c>
      <c r="B329" s="2">
        <v>46040.53402777778</v>
      </c>
      <c r="C329" s="2">
        <v>46040.717361111114</v>
      </c>
      <c r="D329" t="s">
        <v>6028</v>
      </c>
      <c r="E329" t="s">
        <v>6030</v>
      </c>
      <c r="F329" t="s">
        <v>6034</v>
      </c>
      <c r="G329" t="s">
        <v>6057</v>
      </c>
      <c r="H329" t="s">
        <v>6097</v>
      </c>
      <c r="I329">
        <v>24</v>
      </c>
      <c r="J329">
        <v>4.4000000000000004</v>
      </c>
      <c r="K329" t="s">
        <v>6099</v>
      </c>
      <c r="L329" t="s">
        <v>6100</v>
      </c>
      <c r="M329" t="s">
        <v>6100</v>
      </c>
      <c r="N329">
        <v>5</v>
      </c>
      <c r="O329" t="s">
        <v>6101</v>
      </c>
      <c r="P329" t="s">
        <v>6107</v>
      </c>
      <c r="Q329">
        <v>1</v>
      </c>
      <c r="R329">
        <v>2026</v>
      </c>
      <c r="S329" t="s">
        <v>6099</v>
      </c>
      <c r="T329">
        <v>1</v>
      </c>
      <c r="U329" t="s">
        <v>6021</v>
      </c>
      <c r="V329">
        <v>1</v>
      </c>
    </row>
    <row r="330" spans="1:22" x14ac:dyDescent="0.3">
      <c r="A330" t="s">
        <v>345</v>
      </c>
      <c r="B330" s="2">
        <v>46040.552083333336</v>
      </c>
      <c r="C330" s="2">
        <v>46042.285416666666</v>
      </c>
      <c r="D330" t="s">
        <v>6026</v>
      </c>
      <c r="E330" t="s">
        <v>6029</v>
      </c>
      <c r="F330" t="s">
        <v>6033</v>
      </c>
      <c r="G330" t="s">
        <v>6067</v>
      </c>
      <c r="H330" t="s">
        <v>6098</v>
      </c>
      <c r="I330">
        <v>72</v>
      </c>
      <c r="J330">
        <v>41.6</v>
      </c>
      <c r="K330" t="s">
        <v>6100</v>
      </c>
      <c r="L330" t="s">
        <v>6100</v>
      </c>
      <c r="M330" t="s">
        <v>6100</v>
      </c>
      <c r="N330">
        <v>3</v>
      </c>
      <c r="O330" t="s">
        <v>6101</v>
      </c>
      <c r="P330" t="s">
        <v>6107</v>
      </c>
      <c r="Q330">
        <v>1</v>
      </c>
      <c r="R330">
        <v>2026</v>
      </c>
      <c r="S330" t="s">
        <v>6099</v>
      </c>
      <c r="T330">
        <v>1</v>
      </c>
      <c r="U330" t="s">
        <v>6017</v>
      </c>
      <c r="V330">
        <v>0</v>
      </c>
    </row>
    <row r="331" spans="1:22" x14ac:dyDescent="0.3">
      <c r="A331" t="s">
        <v>346</v>
      </c>
      <c r="B331" s="2">
        <v>46040.556944444441</v>
      </c>
      <c r="C331" s="2">
        <v>46041.398611111108</v>
      </c>
      <c r="D331" t="s">
        <v>6026</v>
      </c>
      <c r="E331" t="s">
        <v>6029</v>
      </c>
      <c r="F331" t="s">
        <v>6033</v>
      </c>
      <c r="G331" t="s">
        <v>6043</v>
      </c>
      <c r="H331" t="s">
        <v>6097</v>
      </c>
      <c r="I331">
        <v>72</v>
      </c>
      <c r="J331">
        <v>20.2</v>
      </c>
      <c r="K331" t="s">
        <v>6100</v>
      </c>
      <c r="L331" t="s">
        <v>6100</v>
      </c>
      <c r="M331" t="s">
        <v>6100</v>
      </c>
      <c r="N331">
        <v>3</v>
      </c>
      <c r="O331" t="s">
        <v>6101</v>
      </c>
      <c r="P331" t="s">
        <v>6107</v>
      </c>
      <c r="Q331">
        <v>1</v>
      </c>
      <c r="R331">
        <v>2026</v>
      </c>
      <c r="S331" t="s">
        <v>6099</v>
      </c>
      <c r="T331">
        <v>1</v>
      </c>
      <c r="U331" t="s">
        <v>6020</v>
      </c>
      <c r="V331">
        <v>0</v>
      </c>
    </row>
    <row r="332" spans="1:22" x14ac:dyDescent="0.3">
      <c r="A332" t="s">
        <v>347</v>
      </c>
      <c r="B332" s="2">
        <v>46040.574999999997</v>
      </c>
      <c r="C332" s="2">
        <v>46047.808333333334</v>
      </c>
      <c r="D332" t="s">
        <v>6026</v>
      </c>
      <c r="E332" t="s">
        <v>6031</v>
      </c>
      <c r="F332" t="s">
        <v>6034</v>
      </c>
      <c r="G332" t="s">
        <v>6061</v>
      </c>
      <c r="H332" t="s">
        <v>6096</v>
      </c>
      <c r="I332">
        <v>24</v>
      </c>
      <c r="J332">
        <v>173.6</v>
      </c>
      <c r="K332" t="s">
        <v>6100</v>
      </c>
      <c r="L332" t="s">
        <v>6099</v>
      </c>
      <c r="M332" t="s">
        <v>6100</v>
      </c>
      <c r="O332" t="s">
        <v>6101</v>
      </c>
      <c r="P332" t="s">
        <v>6107</v>
      </c>
      <c r="Q332">
        <v>1</v>
      </c>
      <c r="R332">
        <v>2026</v>
      </c>
      <c r="S332" t="s">
        <v>6100</v>
      </c>
      <c r="T332">
        <v>0</v>
      </c>
      <c r="U332" t="s">
        <v>6018</v>
      </c>
      <c r="V332">
        <v>0</v>
      </c>
    </row>
    <row r="333" spans="1:22" x14ac:dyDescent="0.3">
      <c r="A333" t="s">
        <v>348</v>
      </c>
      <c r="B333" s="2">
        <v>46040.577777777777</v>
      </c>
      <c r="C333" s="2">
        <v>46045.344444444447</v>
      </c>
      <c r="D333" t="s">
        <v>6026</v>
      </c>
      <c r="E333" t="s">
        <v>6031</v>
      </c>
      <c r="F333" t="s">
        <v>6033</v>
      </c>
      <c r="G333" t="s">
        <v>6043</v>
      </c>
      <c r="H333" t="s">
        <v>6097</v>
      </c>
      <c r="I333">
        <v>72</v>
      </c>
      <c r="J333">
        <v>114.4</v>
      </c>
      <c r="K333" t="s">
        <v>6099</v>
      </c>
      <c r="L333" t="s">
        <v>6100</v>
      </c>
      <c r="M333" t="s">
        <v>6100</v>
      </c>
      <c r="N333">
        <v>4</v>
      </c>
      <c r="O333" t="s">
        <v>6101</v>
      </c>
      <c r="P333" t="s">
        <v>6107</v>
      </c>
      <c r="Q333">
        <v>1</v>
      </c>
      <c r="R333">
        <v>2026</v>
      </c>
      <c r="S333" t="s">
        <v>6100</v>
      </c>
      <c r="T333">
        <v>0</v>
      </c>
      <c r="U333" t="s">
        <v>6018</v>
      </c>
      <c r="V333">
        <v>1</v>
      </c>
    </row>
    <row r="334" spans="1:22" x14ac:dyDescent="0.3">
      <c r="A334" t="s">
        <v>349</v>
      </c>
      <c r="B334" s="2">
        <v>46040.621527777781</v>
      </c>
      <c r="C334" s="2">
        <v>46041.446527777778</v>
      </c>
      <c r="D334" t="s">
        <v>6023</v>
      </c>
      <c r="E334" t="s">
        <v>6030</v>
      </c>
      <c r="F334" t="s">
        <v>6035</v>
      </c>
      <c r="G334" t="s">
        <v>6073</v>
      </c>
      <c r="H334" t="s">
        <v>6096</v>
      </c>
      <c r="I334">
        <v>4</v>
      </c>
      <c r="J334">
        <v>19.8</v>
      </c>
      <c r="K334" t="s">
        <v>6100</v>
      </c>
      <c r="L334" t="s">
        <v>6100</v>
      </c>
      <c r="M334" t="s">
        <v>6100</v>
      </c>
      <c r="O334" t="s">
        <v>6101</v>
      </c>
      <c r="P334" t="s">
        <v>6107</v>
      </c>
      <c r="Q334">
        <v>1</v>
      </c>
      <c r="R334">
        <v>2026</v>
      </c>
      <c r="S334" t="s">
        <v>6100</v>
      </c>
      <c r="T334">
        <v>0</v>
      </c>
      <c r="U334" t="s">
        <v>6017</v>
      </c>
      <c r="V334">
        <v>0</v>
      </c>
    </row>
    <row r="335" spans="1:22" x14ac:dyDescent="0.3">
      <c r="A335" t="s">
        <v>350</v>
      </c>
      <c r="B335" s="2">
        <v>46040.65902777778</v>
      </c>
      <c r="C335" s="2">
        <v>46041.642361111109</v>
      </c>
      <c r="D335" t="s">
        <v>6024</v>
      </c>
      <c r="E335" t="s">
        <v>6031</v>
      </c>
      <c r="F335" t="s">
        <v>6033</v>
      </c>
      <c r="G335" t="s">
        <v>6076</v>
      </c>
      <c r="H335" t="s">
        <v>6097</v>
      </c>
      <c r="I335">
        <v>72</v>
      </c>
      <c r="J335">
        <v>23.6</v>
      </c>
      <c r="K335" t="s">
        <v>6099</v>
      </c>
      <c r="L335" t="s">
        <v>6100</v>
      </c>
      <c r="M335" t="s">
        <v>6100</v>
      </c>
      <c r="O335" t="s">
        <v>6101</v>
      </c>
      <c r="P335" t="s">
        <v>6107</v>
      </c>
      <c r="Q335">
        <v>1</v>
      </c>
      <c r="R335">
        <v>2026</v>
      </c>
      <c r="S335" t="s">
        <v>6099</v>
      </c>
      <c r="T335">
        <v>1</v>
      </c>
      <c r="U335" t="s">
        <v>6018</v>
      </c>
      <c r="V335">
        <v>1</v>
      </c>
    </row>
    <row r="336" spans="1:22" x14ac:dyDescent="0.3">
      <c r="A336" t="s">
        <v>351</v>
      </c>
      <c r="B336" s="2">
        <v>46040.669444444444</v>
      </c>
      <c r="C336" s="2">
        <v>46043.294444444444</v>
      </c>
      <c r="D336" t="s">
        <v>6026</v>
      </c>
      <c r="E336" t="s">
        <v>6031</v>
      </c>
      <c r="F336" t="s">
        <v>6034</v>
      </c>
      <c r="G336" t="s">
        <v>6052</v>
      </c>
      <c r="H336" t="s">
        <v>6098</v>
      </c>
      <c r="I336">
        <v>24</v>
      </c>
      <c r="J336">
        <v>63</v>
      </c>
      <c r="K336" t="s">
        <v>6100</v>
      </c>
      <c r="L336" t="s">
        <v>6100</v>
      </c>
      <c r="M336" t="s">
        <v>6100</v>
      </c>
      <c r="N336">
        <v>2</v>
      </c>
      <c r="O336" t="s">
        <v>6101</v>
      </c>
      <c r="P336" t="s">
        <v>6107</v>
      </c>
      <c r="Q336">
        <v>1</v>
      </c>
      <c r="R336">
        <v>2026</v>
      </c>
      <c r="S336" t="s">
        <v>6100</v>
      </c>
      <c r="T336">
        <v>0</v>
      </c>
      <c r="U336" t="s">
        <v>6017</v>
      </c>
      <c r="V336">
        <v>0</v>
      </c>
    </row>
    <row r="337" spans="1:22" x14ac:dyDescent="0.3">
      <c r="A337" t="s">
        <v>352</v>
      </c>
      <c r="B337" s="2">
        <v>46040.68472222222</v>
      </c>
      <c r="C337" s="2">
        <v>46043.409722222219</v>
      </c>
      <c r="D337" t="s">
        <v>6025</v>
      </c>
      <c r="E337" t="s">
        <v>6031</v>
      </c>
      <c r="F337" t="s">
        <v>6034</v>
      </c>
      <c r="G337" t="s">
        <v>6046</v>
      </c>
      <c r="H337" t="s">
        <v>6098</v>
      </c>
      <c r="I337">
        <v>24</v>
      </c>
      <c r="J337">
        <v>65.400000000000006</v>
      </c>
      <c r="K337" t="s">
        <v>6099</v>
      </c>
      <c r="L337" t="s">
        <v>6100</v>
      </c>
      <c r="M337" t="s">
        <v>6100</v>
      </c>
      <c r="N337">
        <v>3</v>
      </c>
      <c r="O337" t="s">
        <v>6101</v>
      </c>
      <c r="P337" t="s">
        <v>6107</v>
      </c>
      <c r="Q337">
        <v>1</v>
      </c>
      <c r="R337">
        <v>2026</v>
      </c>
      <c r="S337" t="s">
        <v>6100</v>
      </c>
      <c r="T337">
        <v>0</v>
      </c>
      <c r="U337" t="s">
        <v>6017</v>
      </c>
      <c r="V337">
        <v>1</v>
      </c>
    </row>
    <row r="338" spans="1:22" x14ac:dyDescent="0.3">
      <c r="A338" t="s">
        <v>353</v>
      </c>
      <c r="B338" s="2">
        <v>46040.702777777777</v>
      </c>
      <c r="C338" s="2">
        <v>46041.194444444445</v>
      </c>
      <c r="D338" t="s">
        <v>6022</v>
      </c>
      <c r="E338" t="s">
        <v>6029</v>
      </c>
      <c r="F338" t="s">
        <v>6034</v>
      </c>
      <c r="G338" t="s">
        <v>6080</v>
      </c>
      <c r="H338" t="s">
        <v>6096</v>
      </c>
      <c r="I338">
        <v>24</v>
      </c>
      <c r="J338">
        <v>11.8</v>
      </c>
      <c r="K338" t="s">
        <v>6099</v>
      </c>
      <c r="L338" t="s">
        <v>6100</v>
      </c>
      <c r="M338" t="s">
        <v>6100</v>
      </c>
      <c r="N338">
        <v>3</v>
      </c>
      <c r="O338" t="s">
        <v>6101</v>
      </c>
      <c r="P338" t="s">
        <v>6107</v>
      </c>
      <c r="Q338">
        <v>1</v>
      </c>
      <c r="R338">
        <v>2026</v>
      </c>
      <c r="S338" t="s">
        <v>6099</v>
      </c>
      <c r="T338">
        <v>1</v>
      </c>
      <c r="U338" t="s">
        <v>6018</v>
      </c>
      <c r="V338">
        <v>1</v>
      </c>
    </row>
    <row r="339" spans="1:22" x14ac:dyDescent="0.3">
      <c r="A339" t="s">
        <v>354</v>
      </c>
      <c r="B339" s="2">
        <v>46040.720833333333</v>
      </c>
      <c r="C339" s="2">
        <v>46041.64166666667</v>
      </c>
      <c r="D339" t="s">
        <v>6022</v>
      </c>
      <c r="E339" t="s">
        <v>6029</v>
      </c>
      <c r="F339" t="s">
        <v>6034</v>
      </c>
      <c r="G339" t="s">
        <v>6080</v>
      </c>
      <c r="H339" t="s">
        <v>6096</v>
      </c>
      <c r="I339">
        <v>24</v>
      </c>
      <c r="J339">
        <v>22.1</v>
      </c>
      <c r="K339" t="s">
        <v>6100</v>
      </c>
      <c r="L339" t="s">
        <v>6099</v>
      </c>
      <c r="M339" t="s">
        <v>6100</v>
      </c>
      <c r="O339" t="s">
        <v>6101</v>
      </c>
      <c r="P339" t="s">
        <v>6107</v>
      </c>
      <c r="Q339">
        <v>1</v>
      </c>
      <c r="R339">
        <v>2026</v>
      </c>
      <c r="S339" t="s">
        <v>6099</v>
      </c>
      <c r="T339">
        <v>1</v>
      </c>
      <c r="U339" t="s">
        <v>6021</v>
      </c>
      <c r="V339">
        <v>0</v>
      </c>
    </row>
    <row r="340" spans="1:22" x14ac:dyDescent="0.3">
      <c r="A340" t="s">
        <v>355</v>
      </c>
      <c r="B340" s="2">
        <v>46040.738194444442</v>
      </c>
      <c r="C340" s="2">
        <v>46042.638194444444</v>
      </c>
      <c r="D340" t="s">
        <v>6022</v>
      </c>
      <c r="E340" t="s">
        <v>6032</v>
      </c>
      <c r="F340" t="s">
        <v>6033</v>
      </c>
      <c r="G340" t="s">
        <v>6049</v>
      </c>
      <c r="H340" t="s">
        <v>6097</v>
      </c>
      <c r="I340">
        <v>72</v>
      </c>
      <c r="J340">
        <v>45.6</v>
      </c>
      <c r="K340" t="s">
        <v>6099</v>
      </c>
      <c r="L340" t="s">
        <v>6100</v>
      </c>
      <c r="M340" t="s">
        <v>6100</v>
      </c>
      <c r="N340">
        <v>3</v>
      </c>
      <c r="O340" t="s">
        <v>6101</v>
      </c>
      <c r="P340" t="s">
        <v>6107</v>
      </c>
      <c r="Q340">
        <v>1</v>
      </c>
      <c r="R340">
        <v>2026</v>
      </c>
      <c r="S340" t="s">
        <v>6099</v>
      </c>
      <c r="T340">
        <v>1</v>
      </c>
      <c r="U340" t="s">
        <v>6019</v>
      </c>
      <c r="V340">
        <v>1</v>
      </c>
    </row>
    <row r="341" spans="1:22" x14ac:dyDescent="0.3">
      <c r="A341" t="s">
        <v>356</v>
      </c>
      <c r="B341" s="2">
        <v>46040.740972222222</v>
      </c>
      <c r="C341" s="2">
        <v>46040.886805555558</v>
      </c>
      <c r="D341" t="s">
        <v>6023</v>
      </c>
      <c r="E341" t="s">
        <v>6030</v>
      </c>
      <c r="F341" t="s">
        <v>6035</v>
      </c>
      <c r="G341" t="s">
        <v>6060</v>
      </c>
      <c r="H341" t="s">
        <v>6097</v>
      </c>
      <c r="I341">
        <v>4</v>
      </c>
      <c r="J341">
        <v>3.5</v>
      </c>
      <c r="K341" t="s">
        <v>6099</v>
      </c>
      <c r="L341" t="s">
        <v>6100</v>
      </c>
      <c r="M341" t="s">
        <v>6099</v>
      </c>
      <c r="N341">
        <v>4</v>
      </c>
      <c r="O341" t="s">
        <v>6101</v>
      </c>
      <c r="P341" t="s">
        <v>6107</v>
      </c>
      <c r="Q341">
        <v>1</v>
      </c>
      <c r="R341">
        <v>2026</v>
      </c>
      <c r="S341" t="s">
        <v>6099</v>
      </c>
      <c r="T341">
        <v>1</v>
      </c>
      <c r="U341" t="s">
        <v>6020</v>
      </c>
      <c r="V341">
        <v>1</v>
      </c>
    </row>
    <row r="342" spans="1:22" x14ac:dyDescent="0.3">
      <c r="A342" t="s">
        <v>357</v>
      </c>
      <c r="B342" s="2">
        <v>46041.231249999997</v>
      </c>
      <c r="C342" s="2">
        <v>46041.893750000003</v>
      </c>
      <c r="D342" t="s">
        <v>6022</v>
      </c>
      <c r="E342" t="s">
        <v>6030</v>
      </c>
      <c r="F342" t="s">
        <v>6033</v>
      </c>
      <c r="G342" t="s">
        <v>6092</v>
      </c>
      <c r="H342" t="s">
        <v>6097</v>
      </c>
      <c r="I342">
        <v>72</v>
      </c>
      <c r="J342">
        <v>15.9</v>
      </c>
      <c r="K342" t="s">
        <v>6099</v>
      </c>
      <c r="L342" t="s">
        <v>6100</v>
      </c>
      <c r="M342" t="s">
        <v>6100</v>
      </c>
      <c r="N342">
        <v>5</v>
      </c>
      <c r="O342" t="s">
        <v>6101</v>
      </c>
      <c r="P342" t="s">
        <v>6107</v>
      </c>
      <c r="Q342">
        <v>1</v>
      </c>
      <c r="R342">
        <v>2026</v>
      </c>
      <c r="S342" t="s">
        <v>6099</v>
      </c>
      <c r="T342">
        <v>1</v>
      </c>
      <c r="U342" t="s">
        <v>6019</v>
      </c>
      <c r="V342">
        <v>1</v>
      </c>
    </row>
    <row r="343" spans="1:22" x14ac:dyDescent="0.3">
      <c r="A343" t="s">
        <v>358</v>
      </c>
      <c r="B343" s="2">
        <v>46041.328472222223</v>
      </c>
      <c r="C343" s="2">
        <v>46041.703472222223</v>
      </c>
      <c r="D343" t="s">
        <v>6027</v>
      </c>
      <c r="E343" t="s">
        <v>6030</v>
      </c>
      <c r="F343" t="s">
        <v>6034</v>
      </c>
      <c r="G343" t="s">
        <v>6044</v>
      </c>
      <c r="H343" t="s">
        <v>6097</v>
      </c>
      <c r="I343">
        <v>24</v>
      </c>
      <c r="J343">
        <v>9</v>
      </c>
      <c r="K343" t="s">
        <v>6099</v>
      </c>
      <c r="L343" t="s">
        <v>6100</v>
      </c>
      <c r="M343" t="s">
        <v>6100</v>
      </c>
      <c r="N343">
        <v>5</v>
      </c>
      <c r="O343" t="s">
        <v>6101</v>
      </c>
      <c r="P343" t="s">
        <v>6107</v>
      </c>
      <c r="Q343">
        <v>1</v>
      </c>
      <c r="R343">
        <v>2026</v>
      </c>
      <c r="S343" t="s">
        <v>6099</v>
      </c>
      <c r="T343">
        <v>1</v>
      </c>
      <c r="U343" t="s">
        <v>6018</v>
      </c>
      <c r="V343">
        <v>1</v>
      </c>
    </row>
    <row r="344" spans="1:22" x14ac:dyDescent="0.3">
      <c r="A344" t="s">
        <v>359</v>
      </c>
      <c r="B344" s="2">
        <v>46041.337500000001</v>
      </c>
      <c r="C344" s="2">
        <v>46043.020833333336</v>
      </c>
      <c r="D344" t="s">
        <v>6022</v>
      </c>
      <c r="E344" t="s">
        <v>6032</v>
      </c>
      <c r="F344" t="s">
        <v>6034</v>
      </c>
      <c r="G344" t="s">
        <v>6094</v>
      </c>
      <c r="H344" t="s">
        <v>6098</v>
      </c>
      <c r="I344">
        <v>24</v>
      </c>
      <c r="J344">
        <v>40.4</v>
      </c>
      <c r="K344" t="s">
        <v>6099</v>
      </c>
      <c r="L344" t="s">
        <v>6100</v>
      </c>
      <c r="M344" t="s">
        <v>6100</v>
      </c>
      <c r="N344">
        <v>5</v>
      </c>
      <c r="O344" t="s">
        <v>6101</v>
      </c>
      <c r="P344" t="s">
        <v>6107</v>
      </c>
      <c r="Q344">
        <v>1</v>
      </c>
      <c r="R344">
        <v>2026</v>
      </c>
      <c r="S344" t="s">
        <v>6100</v>
      </c>
      <c r="T344">
        <v>0</v>
      </c>
      <c r="U344" t="s">
        <v>6019</v>
      </c>
      <c r="V344">
        <v>1</v>
      </c>
    </row>
    <row r="345" spans="1:22" x14ac:dyDescent="0.3">
      <c r="A345" t="s">
        <v>360</v>
      </c>
      <c r="B345" s="2">
        <v>46041.376388888886</v>
      </c>
      <c r="C345" s="2">
        <v>46043.468055555553</v>
      </c>
      <c r="D345" t="s">
        <v>6025</v>
      </c>
      <c r="E345" t="s">
        <v>6031</v>
      </c>
      <c r="F345" t="s">
        <v>6034</v>
      </c>
      <c r="G345" t="s">
        <v>6049</v>
      </c>
      <c r="H345" t="s">
        <v>6097</v>
      </c>
      <c r="I345">
        <v>24</v>
      </c>
      <c r="J345">
        <v>50.2</v>
      </c>
      <c r="K345" t="s">
        <v>6099</v>
      </c>
      <c r="L345" t="s">
        <v>6100</v>
      </c>
      <c r="M345" t="s">
        <v>6100</v>
      </c>
      <c r="N345">
        <v>3</v>
      </c>
      <c r="O345" t="s">
        <v>6101</v>
      </c>
      <c r="P345" t="s">
        <v>6107</v>
      </c>
      <c r="Q345">
        <v>1</v>
      </c>
      <c r="R345">
        <v>2026</v>
      </c>
      <c r="S345" t="s">
        <v>6100</v>
      </c>
      <c r="T345">
        <v>0</v>
      </c>
      <c r="U345" t="s">
        <v>6018</v>
      </c>
      <c r="V345">
        <v>1</v>
      </c>
    </row>
    <row r="346" spans="1:22" x14ac:dyDescent="0.3">
      <c r="A346" t="s">
        <v>361</v>
      </c>
      <c r="B346" s="2">
        <v>46041.383333333331</v>
      </c>
      <c r="C346" s="2">
        <v>46041.5625</v>
      </c>
      <c r="D346" t="s">
        <v>6022</v>
      </c>
      <c r="E346" t="s">
        <v>6029</v>
      </c>
      <c r="F346" t="s">
        <v>6034</v>
      </c>
      <c r="G346" t="s">
        <v>6089</v>
      </c>
      <c r="H346" t="s">
        <v>6098</v>
      </c>
      <c r="I346">
        <v>24</v>
      </c>
      <c r="J346">
        <v>4.3</v>
      </c>
      <c r="K346" t="s">
        <v>6099</v>
      </c>
      <c r="L346" t="s">
        <v>6100</v>
      </c>
      <c r="M346" t="s">
        <v>6100</v>
      </c>
      <c r="O346" t="s">
        <v>6101</v>
      </c>
      <c r="P346" t="s">
        <v>6107</v>
      </c>
      <c r="Q346">
        <v>1</v>
      </c>
      <c r="R346">
        <v>2026</v>
      </c>
      <c r="S346" t="s">
        <v>6099</v>
      </c>
      <c r="T346">
        <v>1</v>
      </c>
      <c r="U346" t="s">
        <v>6021</v>
      </c>
      <c r="V346">
        <v>1</v>
      </c>
    </row>
    <row r="347" spans="1:22" x14ac:dyDescent="0.3">
      <c r="A347" t="s">
        <v>362</v>
      </c>
      <c r="B347" s="2">
        <v>46041.394444444442</v>
      </c>
      <c r="C347" s="2">
        <v>46050.094444444447</v>
      </c>
      <c r="D347" t="s">
        <v>6026</v>
      </c>
      <c r="E347" t="s">
        <v>6031</v>
      </c>
      <c r="F347" t="s">
        <v>6034</v>
      </c>
      <c r="G347" t="s">
        <v>6073</v>
      </c>
      <c r="H347" t="s">
        <v>6096</v>
      </c>
      <c r="I347">
        <v>24</v>
      </c>
      <c r="J347">
        <v>208.8</v>
      </c>
      <c r="K347" t="s">
        <v>6099</v>
      </c>
      <c r="L347" t="s">
        <v>6100</v>
      </c>
      <c r="M347" t="s">
        <v>6099</v>
      </c>
      <c r="N347">
        <v>4</v>
      </c>
      <c r="O347" t="s">
        <v>6101</v>
      </c>
      <c r="P347" t="s">
        <v>6107</v>
      </c>
      <c r="Q347">
        <v>1</v>
      </c>
      <c r="R347">
        <v>2026</v>
      </c>
      <c r="S347" t="s">
        <v>6100</v>
      </c>
      <c r="T347">
        <v>0</v>
      </c>
      <c r="U347" t="s">
        <v>6018</v>
      </c>
      <c r="V347">
        <v>1</v>
      </c>
    </row>
    <row r="348" spans="1:22" x14ac:dyDescent="0.3">
      <c r="A348" t="s">
        <v>363</v>
      </c>
      <c r="B348" s="2">
        <v>46041.418749999997</v>
      </c>
      <c r="C348" s="2">
        <v>46042.95208333333</v>
      </c>
      <c r="D348" t="s">
        <v>6024</v>
      </c>
      <c r="E348" t="s">
        <v>6032</v>
      </c>
      <c r="F348" t="s">
        <v>6033</v>
      </c>
      <c r="G348" t="s">
        <v>6086</v>
      </c>
      <c r="H348" t="s">
        <v>6098</v>
      </c>
      <c r="I348">
        <v>72</v>
      </c>
      <c r="J348">
        <v>36.799999999999997</v>
      </c>
      <c r="K348" t="s">
        <v>6099</v>
      </c>
      <c r="L348" t="s">
        <v>6100</v>
      </c>
      <c r="M348" t="s">
        <v>6100</v>
      </c>
      <c r="N348">
        <v>5</v>
      </c>
      <c r="O348" t="s">
        <v>6101</v>
      </c>
      <c r="P348" t="s">
        <v>6107</v>
      </c>
      <c r="Q348">
        <v>1</v>
      </c>
      <c r="R348">
        <v>2026</v>
      </c>
      <c r="S348" t="s">
        <v>6099</v>
      </c>
      <c r="T348">
        <v>1</v>
      </c>
      <c r="U348" t="s">
        <v>6018</v>
      </c>
      <c r="V348">
        <v>1</v>
      </c>
    </row>
    <row r="349" spans="1:22" x14ac:dyDescent="0.3">
      <c r="A349" t="s">
        <v>364</v>
      </c>
      <c r="B349" s="2">
        <v>46041.432638888888</v>
      </c>
      <c r="C349" s="2">
        <v>46041.59097222222</v>
      </c>
      <c r="D349" t="s">
        <v>6027</v>
      </c>
      <c r="E349" t="s">
        <v>6030</v>
      </c>
      <c r="F349" t="s">
        <v>6033</v>
      </c>
      <c r="G349" t="s">
        <v>6064</v>
      </c>
      <c r="H349" t="s">
        <v>6096</v>
      </c>
      <c r="I349">
        <v>72</v>
      </c>
      <c r="J349">
        <v>3.8</v>
      </c>
      <c r="K349" t="s">
        <v>6099</v>
      </c>
      <c r="L349" t="s">
        <v>6100</v>
      </c>
      <c r="M349" t="s">
        <v>6100</v>
      </c>
      <c r="N349">
        <v>4</v>
      </c>
      <c r="O349" t="s">
        <v>6101</v>
      </c>
      <c r="P349" t="s">
        <v>6107</v>
      </c>
      <c r="Q349">
        <v>1</v>
      </c>
      <c r="R349">
        <v>2026</v>
      </c>
      <c r="S349" t="s">
        <v>6099</v>
      </c>
      <c r="T349">
        <v>1</v>
      </c>
      <c r="U349" t="s">
        <v>6021</v>
      </c>
      <c r="V349">
        <v>1</v>
      </c>
    </row>
    <row r="350" spans="1:22" x14ac:dyDescent="0.3">
      <c r="A350" t="s">
        <v>365</v>
      </c>
      <c r="B350" s="2">
        <v>46041.488888888889</v>
      </c>
      <c r="C350" s="2">
        <v>46041.526388888888</v>
      </c>
      <c r="D350" t="s">
        <v>6023</v>
      </c>
      <c r="E350" t="s">
        <v>6030</v>
      </c>
      <c r="F350" t="s">
        <v>6033</v>
      </c>
      <c r="G350" t="s">
        <v>6095</v>
      </c>
      <c r="H350" t="s">
        <v>6098</v>
      </c>
      <c r="I350">
        <v>72</v>
      </c>
      <c r="J350">
        <v>0.9</v>
      </c>
      <c r="K350" t="s">
        <v>6100</v>
      </c>
      <c r="L350" t="s">
        <v>6100</v>
      </c>
      <c r="M350" t="s">
        <v>6100</v>
      </c>
      <c r="N350">
        <v>2</v>
      </c>
      <c r="O350" t="s">
        <v>6101</v>
      </c>
      <c r="P350" t="s">
        <v>6107</v>
      </c>
      <c r="Q350">
        <v>1</v>
      </c>
      <c r="R350">
        <v>2026</v>
      </c>
      <c r="S350" t="s">
        <v>6099</v>
      </c>
      <c r="T350">
        <v>1</v>
      </c>
      <c r="U350" t="s">
        <v>6018</v>
      </c>
      <c r="V350">
        <v>0</v>
      </c>
    </row>
    <row r="351" spans="1:22" x14ac:dyDescent="0.3">
      <c r="A351" t="s">
        <v>366</v>
      </c>
      <c r="B351" s="2">
        <v>46041.51458333333</v>
      </c>
      <c r="C351" s="2">
        <v>46044.78125</v>
      </c>
      <c r="D351" t="s">
        <v>6026</v>
      </c>
      <c r="E351" t="s">
        <v>6031</v>
      </c>
      <c r="F351" t="s">
        <v>6033</v>
      </c>
      <c r="G351" t="s">
        <v>6036</v>
      </c>
      <c r="H351" t="s">
        <v>6096</v>
      </c>
      <c r="I351">
        <v>72</v>
      </c>
      <c r="J351">
        <v>78.400000000000006</v>
      </c>
      <c r="K351" t="s">
        <v>6099</v>
      </c>
      <c r="L351" t="s">
        <v>6100</v>
      </c>
      <c r="M351" t="s">
        <v>6100</v>
      </c>
      <c r="N351">
        <v>3</v>
      </c>
      <c r="O351" t="s">
        <v>6101</v>
      </c>
      <c r="P351" t="s">
        <v>6107</v>
      </c>
      <c r="Q351">
        <v>1</v>
      </c>
      <c r="R351">
        <v>2026</v>
      </c>
      <c r="S351" t="s">
        <v>6100</v>
      </c>
      <c r="T351">
        <v>0</v>
      </c>
      <c r="U351" t="s">
        <v>6021</v>
      </c>
      <c r="V351">
        <v>1</v>
      </c>
    </row>
    <row r="352" spans="1:22" x14ac:dyDescent="0.3">
      <c r="A352" t="s">
        <v>367</v>
      </c>
      <c r="B352" s="2">
        <v>46041.515972222223</v>
      </c>
      <c r="C352" s="2">
        <v>46044.799305555556</v>
      </c>
      <c r="D352" t="s">
        <v>6025</v>
      </c>
      <c r="E352" t="s">
        <v>6031</v>
      </c>
      <c r="F352" t="s">
        <v>6035</v>
      </c>
      <c r="G352" t="s">
        <v>6083</v>
      </c>
      <c r="H352" t="s">
        <v>6096</v>
      </c>
      <c r="I352">
        <v>4</v>
      </c>
      <c r="J352">
        <v>78.8</v>
      </c>
      <c r="K352" t="s">
        <v>6100</v>
      </c>
      <c r="L352" t="s">
        <v>6099</v>
      </c>
      <c r="M352" t="s">
        <v>6100</v>
      </c>
      <c r="N352">
        <v>1</v>
      </c>
      <c r="O352" t="s">
        <v>6101</v>
      </c>
      <c r="P352" t="s">
        <v>6107</v>
      </c>
      <c r="Q352">
        <v>1</v>
      </c>
      <c r="R352">
        <v>2026</v>
      </c>
      <c r="S352" t="s">
        <v>6100</v>
      </c>
      <c r="T352">
        <v>0</v>
      </c>
      <c r="U352" t="s">
        <v>6017</v>
      </c>
      <c r="V352">
        <v>0</v>
      </c>
    </row>
    <row r="353" spans="1:22" x14ac:dyDescent="0.3">
      <c r="A353" t="s">
        <v>368</v>
      </c>
      <c r="B353" s="2">
        <v>46041.521527777775</v>
      </c>
      <c r="C353" s="2">
        <v>46045.079861111109</v>
      </c>
      <c r="D353" t="s">
        <v>6025</v>
      </c>
      <c r="E353" t="s">
        <v>6031</v>
      </c>
      <c r="F353" t="s">
        <v>6034</v>
      </c>
      <c r="G353" t="s">
        <v>6091</v>
      </c>
      <c r="H353" t="s">
        <v>6097</v>
      </c>
      <c r="I353">
        <v>24</v>
      </c>
      <c r="J353">
        <v>85.4</v>
      </c>
      <c r="K353" t="s">
        <v>6099</v>
      </c>
      <c r="L353" t="s">
        <v>6100</v>
      </c>
      <c r="M353" t="s">
        <v>6100</v>
      </c>
      <c r="N353">
        <v>4</v>
      </c>
      <c r="O353" t="s">
        <v>6101</v>
      </c>
      <c r="P353" t="s">
        <v>6107</v>
      </c>
      <c r="Q353">
        <v>1</v>
      </c>
      <c r="R353">
        <v>2026</v>
      </c>
      <c r="S353" t="s">
        <v>6100</v>
      </c>
      <c r="T353">
        <v>0</v>
      </c>
      <c r="U353" t="s">
        <v>6017</v>
      </c>
      <c r="V353">
        <v>1</v>
      </c>
    </row>
    <row r="354" spans="1:22" x14ac:dyDescent="0.3">
      <c r="A354" t="s">
        <v>369</v>
      </c>
      <c r="B354" s="2">
        <v>46041.530555555553</v>
      </c>
      <c r="C354" s="2">
        <v>46041.647222222222</v>
      </c>
      <c r="D354" t="s">
        <v>6023</v>
      </c>
      <c r="E354" t="s">
        <v>6030</v>
      </c>
      <c r="F354" t="s">
        <v>6033</v>
      </c>
      <c r="G354" t="s">
        <v>6078</v>
      </c>
      <c r="H354" t="s">
        <v>6097</v>
      </c>
      <c r="I354">
        <v>72</v>
      </c>
      <c r="J354">
        <v>2.8</v>
      </c>
      <c r="K354" t="s">
        <v>6099</v>
      </c>
      <c r="L354" t="s">
        <v>6100</v>
      </c>
      <c r="M354" t="s">
        <v>6100</v>
      </c>
      <c r="N354">
        <v>5</v>
      </c>
      <c r="O354" t="s">
        <v>6101</v>
      </c>
      <c r="P354" t="s">
        <v>6107</v>
      </c>
      <c r="Q354">
        <v>1</v>
      </c>
      <c r="R354">
        <v>2026</v>
      </c>
      <c r="S354" t="s">
        <v>6099</v>
      </c>
      <c r="T354">
        <v>1</v>
      </c>
      <c r="U354" t="s">
        <v>6018</v>
      </c>
      <c r="V354">
        <v>1</v>
      </c>
    </row>
    <row r="355" spans="1:22" x14ac:dyDescent="0.3">
      <c r="A355" t="s">
        <v>370</v>
      </c>
      <c r="B355" s="2">
        <v>46041.537499999999</v>
      </c>
      <c r="C355" s="2">
        <v>46041.662499999999</v>
      </c>
      <c r="D355" t="s">
        <v>6027</v>
      </c>
      <c r="E355" t="s">
        <v>6030</v>
      </c>
      <c r="F355" t="s">
        <v>6035</v>
      </c>
      <c r="G355" t="s">
        <v>6065</v>
      </c>
      <c r="H355" t="s">
        <v>6097</v>
      </c>
      <c r="I355">
        <v>4</v>
      </c>
      <c r="J355">
        <v>3</v>
      </c>
      <c r="K355" t="s">
        <v>6099</v>
      </c>
      <c r="L355" t="s">
        <v>6100</v>
      </c>
      <c r="M355" t="s">
        <v>6100</v>
      </c>
      <c r="N355">
        <v>4</v>
      </c>
      <c r="O355" t="s">
        <v>6101</v>
      </c>
      <c r="P355" t="s">
        <v>6107</v>
      </c>
      <c r="Q355">
        <v>1</v>
      </c>
      <c r="R355">
        <v>2026</v>
      </c>
      <c r="S355" t="s">
        <v>6099</v>
      </c>
      <c r="T355">
        <v>1</v>
      </c>
      <c r="U355" t="s">
        <v>6017</v>
      </c>
      <c r="V355">
        <v>1</v>
      </c>
    </row>
    <row r="356" spans="1:22" x14ac:dyDescent="0.3">
      <c r="A356" t="s">
        <v>371</v>
      </c>
      <c r="B356" s="2">
        <v>46041.552777777775</v>
      </c>
      <c r="C356" s="2">
        <v>46041.81527777778</v>
      </c>
      <c r="D356" t="s">
        <v>6028</v>
      </c>
      <c r="E356" t="s">
        <v>6030</v>
      </c>
      <c r="F356" t="s">
        <v>6035</v>
      </c>
      <c r="G356" t="s">
        <v>6082</v>
      </c>
      <c r="H356" t="s">
        <v>6097</v>
      </c>
      <c r="I356">
        <v>4</v>
      </c>
      <c r="J356">
        <v>6.3</v>
      </c>
      <c r="K356" t="s">
        <v>6100</v>
      </c>
      <c r="L356" t="s">
        <v>6099</v>
      </c>
      <c r="M356" t="s">
        <v>6099</v>
      </c>
      <c r="O356" t="s">
        <v>6101</v>
      </c>
      <c r="P356" t="s">
        <v>6107</v>
      </c>
      <c r="Q356">
        <v>1</v>
      </c>
      <c r="R356">
        <v>2026</v>
      </c>
      <c r="S356" t="s">
        <v>6100</v>
      </c>
      <c r="T356">
        <v>0</v>
      </c>
      <c r="U356" t="s">
        <v>6021</v>
      </c>
      <c r="V356">
        <v>0</v>
      </c>
    </row>
    <row r="357" spans="1:22" x14ac:dyDescent="0.3">
      <c r="A357" t="s">
        <v>372</v>
      </c>
      <c r="B357" s="2">
        <v>46041.575694444444</v>
      </c>
      <c r="C357" s="2">
        <v>46046.200694444444</v>
      </c>
      <c r="D357" t="s">
        <v>6026</v>
      </c>
      <c r="E357" t="s">
        <v>6031</v>
      </c>
      <c r="F357" t="s">
        <v>6034</v>
      </c>
      <c r="G357" t="s">
        <v>6066</v>
      </c>
      <c r="H357" t="s">
        <v>6096</v>
      </c>
      <c r="I357">
        <v>24</v>
      </c>
      <c r="J357">
        <v>111</v>
      </c>
      <c r="K357" t="s">
        <v>6100</v>
      </c>
      <c r="L357" t="s">
        <v>6099</v>
      </c>
      <c r="M357" t="s">
        <v>6100</v>
      </c>
      <c r="N357">
        <v>3</v>
      </c>
      <c r="O357" t="s">
        <v>6101</v>
      </c>
      <c r="P357" t="s">
        <v>6107</v>
      </c>
      <c r="Q357">
        <v>1</v>
      </c>
      <c r="R357">
        <v>2026</v>
      </c>
      <c r="S357" t="s">
        <v>6100</v>
      </c>
      <c r="T357">
        <v>0</v>
      </c>
      <c r="U357" t="s">
        <v>6021</v>
      </c>
      <c r="V357">
        <v>0</v>
      </c>
    </row>
    <row r="358" spans="1:22" x14ac:dyDescent="0.3">
      <c r="A358" t="s">
        <v>373</v>
      </c>
      <c r="B358" s="2">
        <v>46041.598611111112</v>
      </c>
      <c r="C358" s="2">
        <v>46043.373611111114</v>
      </c>
      <c r="D358" t="s">
        <v>6025</v>
      </c>
      <c r="E358" t="s">
        <v>6029</v>
      </c>
      <c r="F358" t="s">
        <v>6033</v>
      </c>
      <c r="G358" t="s">
        <v>6091</v>
      </c>
      <c r="H358" t="s">
        <v>6097</v>
      </c>
      <c r="I358">
        <v>72</v>
      </c>
      <c r="J358">
        <v>42.6</v>
      </c>
      <c r="K358" t="s">
        <v>6099</v>
      </c>
      <c r="L358" t="s">
        <v>6100</v>
      </c>
      <c r="M358" t="s">
        <v>6099</v>
      </c>
      <c r="O358" t="s">
        <v>6101</v>
      </c>
      <c r="P358" t="s">
        <v>6107</v>
      </c>
      <c r="Q358">
        <v>1</v>
      </c>
      <c r="R358">
        <v>2026</v>
      </c>
      <c r="S358" t="s">
        <v>6099</v>
      </c>
      <c r="T358">
        <v>1</v>
      </c>
      <c r="U358" t="s">
        <v>6017</v>
      </c>
      <c r="V358">
        <v>1</v>
      </c>
    </row>
    <row r="359" spans="1:22" x14ac:dyDescent="0.3">
      <c r="A359" t="s">
        <v>374</v>
      </c>
      <c r="B359" s="2">
        <v>46041.61041666667</v>
      </c>
      <c r="C359" s="2">
        <v>46042.085416666669</v>
      </c>
      <c r="D359" t="s">
        <v>6027</v>
      </c>
      <c r="E359" t="s">
        <v>6029</v>
      </c>
      <c r="F359" t="s">
        <v>6034</v>
      </c>
      <c r="G359" t="s">
        <v>6065</v>
      </c>
      <c r="H359" t="s">
        <v>6097</v>
      </c>
      <c r="I359">
        <v>24</v>
      </c>
      <c r="J359">
        <v>11.4</v>
      </c>
      <c r="K359" t="s">
        <v>6099</v>
      </c>
      <c r="L359" t="s">
        <v>6100</v>
      </c>
      <c r="M359" t="s">
        <v>6099</v>
      </c>
      <c r="N359">
        <v>5</v>
      </c>
      <c r="O359" t="s">
        <v>6101</v>
      </c>
      <c r="P359" t="s">
        <v>6107</v>
      </c>
      <c r="Q359">
        <v>1</v>
      </c>
      <c r="R359">
        <v>2026</v>
      </c>
      <c r="S359" t="s">
        <v>6099</v>
      </c>
      <c r="T359">
        <v>1</v>
      </c>
      <c r="U359" t="s">
        <v>6019</v>
      </c>
      <c r="V359">
        <v>1</v>
      </c>
    </row>
    <row r="360" spans="1:22" x14ac:dyDescent="0.3">
      <c r="A360" t="s">
        <v>375</v>
      </c>
      <c r="B360" s="2">
        <v>46041.613194444442</v>
      </c>
      <c r="C360" s="2">
        <v>46042.425694444442</v>
      </c>
      <c r="D360" t="s">
        <v>6026</v>
      </c>
      <c r="E360" t="s">
        <v>6030</v>
      </c>
      <c r="F360" t="s">
        <v>6034</v>
      </c>
      <c r="G360" t="s">
        <v>6078</v>
      </c>
      <c r="H360" t="s">
        <v>6097</v>
      </c>
      <c r="I360">
        <v>24</v>
      </c>
      <c r="J360">
        <v>19.5</v>
      </c>
      <c r="K360" t="s">
        <v>6100</v>
      </c>
      <c r="L360" t="s">
        <v>6100</v>
      </c>
      <c r="M360" t="s">
        <v>6100</v>
      </c>
      <c r="O360" t="s">
        <v>6101</v>
      </c>
      <c r="P360" t="s">
        <v>6107</v>
      </c>
      <c r="Q360">
        <v>1</v>
      </c>
      <c r="R360">
        <v>2026</v>
      </c>
      <c r="S360" t="s">
        <v>6099</v>
      </c>
      <c r="T360">
        <v>1</v>
      </c>
      <c r="U360" t="s">
        <v>6018</v>
      </c>
      <c r="V360">
        <v>0</v>
      </c>
    </row>
    <row r="361" spans="1:22" x14ac:dyDescent="0.3">
      <c r="A361" t="s">
        <v>376</v>
      </c>
      <c r="B361" s="2">
        <v>46041.628472222219</v>
      </c>
      <c r="C361" s="2">
        <v>46041.911805555559</v>
      </c>
      <c r="D361" t="s">
        <v>6026</v>
      </c>
      <c r="E361" t="s">
        <v>6030</v>
      </c>
      <c r="F361" t="s">
        <v>6033</v>
      </c>
      <c r="G361" t="s">
        <v>6086</v>
      </c>
      <c r="H361" t="s">
        <v>6098</v>
      </c>
      <c r="I361">
        <v>72</v>
      </c>
      <c r="J361">
        <v>6.8</v>
      </c>
      <c r="K361" t="s">
        <v>6099</v>
      </c>
      <c r="L361" t="s">
        <v>6100</v>
      </c>
      <c r="M361" t="s">
        <v>6100</v>
      </c>
      <c r="N361">
        <v>5</v>
      </c>
      <c r="O361" t="s">
        <v>6101</v>
      </c>
      <c r="P361" t="s">
        <v>6107</v>
      </c>
      <c r="Q361">
        <v>1</v>
      </c>
      <c r="R361">
        <v>2026</v>
      </c>
      <c r="S361" t="s">
        <v>6099</v>
      </c>
      <c r="T361">
        <v>1</v>
      </c>
      <c r="U361" t="s">
        <v>6021</v>
      </c>
      <c r="V361">
        <v>1</v>
      </c>
    </row>
    <row r="362" spans="1:22" x14ac:dyDescent="0.3">
      <c r="A362" t="s">
        <v>377</v>
      </c>
      <c r="B362" s="2">
        <v>46041.640972222223</v>
      </c>
      <c r="C362" s="2">
        <v>46042.111805555556</v>
      </c>
      <c r="D362" t="s">
        <v>6027</v>
      </c>
      <c r="E362" t="s">
        <v>6029</v>
      </c>
      <c r="F362" t="s">
        <v>6034</v>
      </c>
      <c r="G362" t="s">
        <v>6052</v>
      </c>
      <c r="H362" t="s">
        <v>6098</v>
      </c>
      <c r="I362">
        <v>24</v>
      </c>
      <c r="J362">
        <v>11.3</v>
      </c>
      <c r="K362" t="s">
        <v>6099</v>
      </c>
      <c r="L362" t="s">
        <v>6100</v>
      </c>
      <c r="M362" t="s">
        <v>6100</v>
      </c>
      <c r="O362" t="s">
        <v>6101</v>
      </c>
      <c r="P362" t="s">
        <v>6107</v>
      </c>
      <c r="Q362">
        <v>1</v>
      </c>
      <c r="R362">
        <v>2026</v>
      </c>
      <c r="S362" t="s">
        <v>6099</v>
      </c>
      <c r="T362">
        <v>1</v>
      </c>
      <c r="U362" t="s">
        <v>6017</v>
      </c>
      <c r="V362">
        <v>1</v>
      </c>
    </row>
    <row r="363" spans="1:22" x14ac:dyDescent="0.3">
      <c r="A363" t="s">
        <v>378</v>
      </c>
      <c r="B363" s="2">
        <v>46041.647916666669</v>
      </c>
      <c r="C363" s="2">
        <v>46041.856249999997</v>
      </c>
      <c r="D363" t="s">
        <v>6028</v>
      </c>
      <c r="E363" t="s">
        <v>6029</v>
      </c>
      <c r="F363" t="s">
        <v>6034</v>
      </c>
      <c r="G363" t="s">
        <v>6070</v>
      </c>
      <c r="H363" t="s">
        <v>6097</v>
      </c>
      <c r="I363">
        <v>24</v>
      </c>
      <c r="J363">
        <v>5</v>
      </c>
      <c r="K363" t="s">
        <v>6099</v>
      </c>
      <c r="L363" t="s">
        <v>6100</v>
      </c>
      <c r="M363" t="s">
        <v>6100</v>
      </c>
      <c r="O363" t="s">
        <v>6101</v>
      </c>
      <c r="P363" t="s">
        <v>6107</v>
      </c>
      <c r="Q363">
        <v>1</v>
      </c>
      <c r="R363">
        <v>2026</v>
      </c>
      <c r="S363" t="s">
        <v>6099</v>
      </c>
      <c r="T363">
        <v>1</v>
      </c>
      <c r="U363" t="s">
        <v>6017</v>
      </c>
      <c r="V363">
        <v>1</v>
      </c>
    </row>
    <row r="364" spans="1:22" x14ac:dyDescent="0.3">
      <c r="A364" t="s">
        <v>379</v>
      </c>
      <c r="B364" s="2">
        <v>46041.65625</v>
      </c>
      <c r="C364" s="2">
        <v>46041.789583333331</v>
      </c>
      <c r="D364" t="s">
        <v>6023</v>
      </c>
      <c r="E364" t="s">
        <v>6030</v>
      </c>
      <c r="F364" t="s">
        <v>6034</v>
      </c>
      <c r="G364" t="s">
        <v>6057</v>
      </c>
      <c r="H364" t="s">
        <v>6097</v>
      </c>
      <c r="I364">
        <v>24</v>
      </c>
      <c r="J364">
        <v>3.2</v>
      </c>
      <c r="K364" t="s">
        <v>6100</v>
      </c>
      <c r="L364" t="s">
        <v>6100</v>
      </c>
      <c r="M364" t="s">
        <v>6100</v>
      </c>
      <c r="O364" t="s">
        <v>6101</v>
      </c>
      <c r="P364" t="s">
        <v>6107</v>
      </c>
      <c r="Q364">
        <v>1</v>
      </c>
      <c r="R364">
        <v>2026</v>
      </c>
      <c r="S364" t="s">
        <v>6099</v>
      </c>
      <c r="T364">
        <v>1</v>
      </c>
      <c r="U364" t="s">
        <v>6017</v>
      </c>
      <c r="V364">
        <v>0</v>
      </c>
    </row>
    <row r="365" spans="1:22" x14ac:dyDescent="0.3">
      <c r="A365" t="s">
        <v>380</v>
      </c>
      <c r="B365" s="2">
        <v>46041.656944444447</v>
      </c>
      <c r="C365" s="2">
        <v>46041.977777777778</v>
      </c>
      <c r="D365" t="s">
        <v>6024</v>
      </c>
      <c r="E365" t="s">
        <v>6029</v>
      </c>
      <c r="F365" t="s">
        <v>6034</v>
      </c>
      <c r="G365" t="s">
        <v>6065</v>
      </c>
      <c r="H365" t="s">
        <v>6097</v>
      </c>
      <c r="I365">
        <v>24</v>
      </c>
      <c r="J365">
        <v>7.7</v>
      </c>
      <c r="K365" t="s">
        <v>6099</v>
      </c>
      <c r="L365" t="s">
        <v>6100</v>
      </c>
      <c r="M365" t="s">
        <v>6100</v>
      </c>
      <c r="N365">
        <v>5</v>
      </c>
      <c r="O365" t="s">
        <v>6101</v>
      </c>
      <c r="P365" t="s">
        <v>6107</v>
      </c>
      <c r="Q365">
        <v>1</v>
      </c>
      <c r="R365">
        <v>2026</v>
      </c>
      <c r="S365" t="s">
        <v>6099</v>
      </c>
      <c r="T365">
        <v>1</v>
      </c>
      <c r="U365" t="s">
        <v>6020</v>
      </c>
      <c r="V365">
        <v>1</v>
      </c>
    </row>
    <row r="366" spans="1:22" x14ac:dyDescent="0.3">
      <c r="A366" t="s">
        <v>381</v>
      </c>
      <c r="B366" s="2">
        <v>46041.662499999999</v>
      </c>
      <c r="C366" s="2">
        <v>46041.89166666667</v>
      </c>
      <c r="D366" t="s">
        <v>6023</v>
      </c>
      <c r="E366" t="s">
        <v>6029</v>
      </c>
      <c r="F366" t="s">
        <v>6034</v>
      </c>
      <c r="G366" t="s">
        <v>6053</v>
      </c>
      <c r="H366" t="s">
        <v>6097</v>
      </c>
      <c r="I366">
        <v>24</v>
      </c>
      <c r="J366">
        <v>5.5</v>
      </c>
      <c r="K366" t="s">
        <v>6099</v>
      </c>
      <c r="L366" t="s">
        <v>6100</v>
      </c>
      <c r="M366" t="s">
        <v>6100</v>
      </c>
      <c r="O366" t="s">
        <v>6101</v>
      </c>
      <c r="P366" t="s">
        <v>6107</v>
      </c>
      <c r="Q366">
        <v>1</v>
      </c>
      <c r="R366">
        <v>2026</v>
      </c>
      <c r="S366" t="s">
        <v>6099</v>
      </c>
      <c r="T366">
        <v>1</v>
      </c>
      <c r="U366" t="s">
        <v>6021</v>
      </c>
      <c r="V366">
        <v>1</v>
      </c>
    </row>
    <row r="367" spans="1:22" x14ac:dyDescent="0.3">
      <c r="A367" t="s">
        <v>382</v>
      </c>
      <c r="B367" s="2">
        <v>46041.692361111112</v>
      </c>
      <c r="C367" s="2">
        <v>46044.121527777781</v>
      </c>
      <c r="D367" t="s">
        <v>6025</v>
      </c>
      <c r="E367" t="s">
        <v>6029</v>
      </c>
      <c r="F367" t="s">
        <v>6034</v>
      </c>
      <c r="G367" t="s">
        <v>6062</v>
      </c>
      <c r="H367" t="s">
        <v>6096</v>
      </c>
      <c r="I367">
        <v>24</v>
      </c>
      <c r="J367">
        <v>58.3</v>
      </c>
      <c r="K367" t="s">
        <v>6100</v>
      </c>
      <c r="L367" t="s">
        <v>6100</v>
      </c>
      <c r="M367" t="s">
        <v>6100</v>
      </c>
      <c r="N367">
        <v>3</v>
      </c>
      <c r="O367" t="s">
        <v>6101</v>
      </c>
      <c r="P367" t="s">
        <v>6107</v>
      </c>
      <c r="Q367">
        <v>1</v>
      </c>
      <c r="R367">
        <v>2026</v>
      </c>
      <c r="S367" t="s">
        <v>6100</v>
      </c>
      <c r="T367">
        <v>0</v>
      </c>
      <c r="U367" t="s">
        <v>6018</v>
      </c>
      <c r="V367">
        <v>0</v>
      </c>
    </row>
    <row r="368" spans="1:22" x14ac:dyDescent="0.3">
      <c r="A368" t="s">
        <v>383</v>
      </c>
      <c r="B368" s="2">
        <v>46041.705555555556</v>
      </c>
      <c r="C368" s="2">
        <v>46044.909722222219</v>
      </c>
      <c r="D368" t="s">
        <v>6025</v>
      </c>
      <c r="E368" t="s">
        <v>6031</v>
      </c>
      <c r="F368" t="s">
        <v>6033</v>
      </c>
      <c r="G368" t="s">
        <v>6079</v>
      </c>
      <c r="H368" t="s">
        <v>6097</v>
      </c>
      <c r="I368">
        <v>72</v>
      </c>
      <c r="J368">
        <v>76.900000000000006</v>
      </c>
      <c r="K368" t="s">
        <v>6099</v>
      </c>
      <c r="L368" t="s">
        <v>6100</v>
      </c>
      <c r="M368" t="s">
        <v>6100</v>
      </c>
      <c r="O368" t="s">
        <v>6101</v>
      </c>
      <c r="P368" t="s">
        <v>6107</v>
      </c>
      <c r="Q368">
        <v>1</v>
      </c>
      <c r="R368">
        <v>2026</v>
      </c>
      <c r="S368" t="s">
        <v>6100</v>
      </c>
      <c r="T368">
        <v>0</v>
      </c>
      <c r="U368" t="s">
        <v>6018</v>
      </c>
      <c r="V368">
        <v>1</v>
      </c>
    </row>
    <row r="369" spans="1:22" x14ac:dyDescent="0.3">
      <c r="A369" t="s">
        <v>384</v>
      </c>
      <c r="B369" s="2">
        <v>46041.747916666667</v>
      </c>
      <c r="C369" s="2">
        <v>46042.189583333333</v>
      </c>
      <c r="D369" t="s">
        <v>6025</v>
      </c>
      <c r="E369" t="s">
        <v>6029</v>
      </c>
      <c r="F369" t="s">
        <v>6033</v>
      </c>
      <c r="G369" t="s">
        <v>6076</v>
      </c>
      <c r="H369" t="s">
        <v>6097</v>
      </c>
      <c r="I369">
        <v>72</v>
      </c>
      <c r="J369">
        <v>10.6</v>
      </c>
      <c r="K369" t="s">
        <v>6099</v>
      </c>
      <c r="L369" t="s">
        <v>6100</v>
      </c>
      <c r="M369" t="s">
        <v>6100</v>
      </c>
      <c r="O369" t="s">
        <v>6101</v>
      </c>
      <c r="P369" t="s">
        <v>6107</v>
      </c>
      <c r="Q369">
        <v>1</v>
      </c>
      <c r="R369">
        <v>2026</v>
      </c>
      <c r="S369" t="s">
        <v>6099</v>
      </c>
      <c r="T369">
        <v>1</v>
      </c>
      <c r="U369" t="s">
        <v>6021</v>
      </c>
      <c r="V369">
        <v>1</v>
      </c>
    </row>
    <row r="370" spans="1:22" x14ac:dyDescent="0.3">
      <c r="A370" t="s">
        <v>385</v>
      </c>
      <c r="B370" s="2">
        <v>46041.856249999997</v>
      </c>
      <c r="C370" s="2">
        <v>46042.71875</v>
      </c>
      <c r="D370" t="s">
        <v>6024</v>
      </c>
      <c r="E370" t="s">
        <v>6031</v>
      </c>
      <c r="F370" t="s">
        <v>6033</v>
      </c>
      <c r="G370" t="s">
        <v>6083</v>
      </c>
      <c r="H370" t="s">
        <v>6096</v>
      </c>
      <c r="I370">
        <v>72</v>
      </c>
      <c r="J370">
        <v>20.7</v>
      </c>
      <c r="K370" t="s">
        <v>6099</v>
      </c>
      <c r="L370" t="s">
        <v>6100</v>
      </c>
      <c r="M370" t="s">
        <v>6100</v>
      </c>
      <c r="N370">
        <v>5</v>
      </c>
      <c r="O370" t="s">
        <v>6101</v>
      </c>
      <c r="P370" t="s">
        <v>6107</v>
      </c>
      <c r="Q370">
        <v>1</v>
      </c>
      <c r="R370">
        <v>2026</v>
      </c>
      <c r="S370" t="s">
        <v>6099</v>
      </c>
      <c r="T370">
        <v>1</v>
      </c>
      <c r="U370" t="s">
        <v>6018</v>
      </c>
      <c r="V370">
        <v>1</v>
      </c>
    </row>
    <row r="371" spans="1:22" x14ac:dyDescent="0.3">
      <c r="A371" t="s">
        <v>386</v>
      </c>
      <c r="B371" s="2">
        <v>46042.255555555559</v>
      </c>
      <c r="C371" s="2">
        <v>46043.705555555556</v>
      </c>
      <c r="D371" t="s">
        <v>6022</v>
      </c>
      <c r="E371" t="s">
        <v>6031</v>
      </c>
      <c r="F371" t="s">
        <v>6033</v>
      </c>
      <c r="G371" t="s">
        <v>6084</v>
      </c>
      <c r="H371" t="s">
        <v>6098</v>
      </c>
      <c r="I371">
        <v>72</v>
      </c>
      <c r="J371">
        <v>34.799999999999997</v>
      </c>
      <c r="K371" t="s">
        <v>6099</v>
      </c>
      <c r="L371" t="s">
        <v>6100</v>
      </c>
      <c r="M371" t="s">
        <v>6100</v>
      </c>
      <c r="N371">
        <v>5</v>
      </c>
      <c r="O371" t="s">
        <v>6101</v>
      </c>
      <c r="P371" t="s">
        <v>6107</v>
      </c>
      <c r="Q371">
        <v>1</v>
      </c>
      <c r="R371">
        <v>2026</v>
      </c>
      <c r="S371" t="s">
        <v>6099</v>
      </c>
      <c r="T371">
        <v>1</v>
      </c>
      <c r="U371" t="s">
        <v>6018</v>
      </c>
      <c r="V371">
        <v>1</v>
      </c>
    </row>
    <row r="372" spans="1:22" x14ac:dyDescent="0.3">
      <c r="A372" t="s">
        <v>387</v>
      </c>
      <c r="B372" s="2">
        <v>46042.303472222222</v>
      </c>
      <c r="C372" s="2">
        <v>46042.815972222219</v>
      </c>
      <c r="D372" t="s">
        <v>6024</v>
      </c>
      <c r="E372" t="s">
        <v>6029</v>
      </c>
      <c r="F372" t="s">
        <v>6033</v>
      </c>
      <c r="G372" t="s">
        <v>6073</v>
      </c>
      <c r="H372" t="s">
        <v>6096</v>
      </c>
      <c r="I372">
        <v>72</v>
      </c>
      <c r="J372">
        <v>12.3</v>
      </c>
      <c r="K372" t="s">
        <v>6099</v>
      </c>
      <c r="L372" t="s">
        <v>6100</v>
      </c>
      <c r="M372" t="s">
        <v>6100</v>
      </c>
      <c r="O372" t="s">
        <v>6101</v>
      </c>
      <c r="P372" t="s">
        <v>6107</v>
      </c>
      <c r="Q372">
        <v>1</v>
      </c>
      <c r="R372">
        <v>2026</v>
      </c>
      <c r="S372" t="s">
        <v>6099</v>
      </c>
      <c r="T372">
        <v>1</v>
      </c>
      <c r="U372" t="s">
        <v>6020</v>
      </c>
      <c r="V372">
        <v>1</v>
      </c>
    </row>
    <row r="373" spans="1:22" x14ac:dyDescent="0.3">
      <c r="A373" t="s">
        <v>388</v>
      </c>
      <c r="B373" s="2">
        <v>46042.42083333333</v>
      </c>
      <c r="C373" s="2">
        <v>46042.833333333336</v>
      </c>
      <c r="D373" t="s">
        <v>6025</v>
      </c>
      <c r="E373" t="s">
        <v>6031</v>
      </c>
      <c r="F373" t="s">
        <v>6035</v>
      </c>
      <c r="G373" t="s">
        <v>6051</v>
      </c>
      <c r="H373" t="s">
        <v>6097</v>
      </c>
      <c r="I373">
        <v>4</v>
      </c>
      <c r="J373">
        <v>9.9</v>
      </c>
      <c r="K373" t="s">
        <v>6099</v>
      </c>
      <c r="L373" t="s">
        <v>6100</v>
      </c>
      <c r="M373" t="s">
        <v>6100</v>
      </c>
      <c r="O373" t="s">
        <v>6101</v>
      </c>
      <c r="P373" t="s">
        <v>6107</v>
      </c>
      <c r="Q373">
        <v>1</v>
      </c>
      <c r="R373">
        <v>2026</v>
      </c>
      <c r="S373" t="s">
        <v>6100</v>
      </c>
      <c r="T373">
        <v>0</v>
      </c>
      <c r="U373" t="s">
        <v>6020</v>
      </c>
      <c r="V373">
        <v>1</v>
      </c>
    </row>
    <row r="374" spans="1:22" x14ac:dyDescent="0.3">
      <c r="A374" t="s">
        <v>389</v>
      </c>
      <c r="B374" s="2">
        <v>46042.443055555559</v>
      </c>
      <c r="C374" s="2">
        <v>46043.484722222223</v>
      </c>
      <c r="D374" t="s">
        <v>6022</v>
      </c>
      <c r="E374" t="s">
        <v>6030</v>
      </c>
      <c r="F374" t="s">
        <v>6034</v>
      </c>
      <c r="G374" t="s">
        <v>6045</v>
      </c>
      <c r="H374" t="s">
        <v>6096</v>
      </c>
      <c r="I374">
        <v>24</v>
      </c>
      <c r="J374">
        <v>25</v>
      </c>
      <c r="K374" t="s">
        <v>6099</v>
      </c>
      <c r="L374" t="s">
        <v>6100</v>
      </c>
      <c r="M374" t="s">
        <v>6100</v>
      </c>
      <c r="O374" t="s">
        <v>6101</v>
      </c>
      <c r="P374" t="s">
        <v>6107</v>
      </c>
      <c r="Q374">
        <v>1</v>
      </c>
      <c r="R374">
        <v>2026</v>
      </c>
      <c r="S374" t="s">
        <v>6100</v>
      </c>
      <c r="T374">
        <v>0</v>
      </c>
      <c r="U374" t="s">
        <v>6021</v>
      </c>
      <c r="V374">
        <v>1</v>
      </c>
    </row>
    <row r="375" spans="1:22" x14ac:dyDescent="0.3">
      <c r="A375" t="s">
        <v>390</v>
      </c>
      <c r="B375" s="2">
        <v>46042.445833333331</v>
      </c>
      <c r="C375" s="2">
        <v>46042.662499999999</v>
      </c>
      <c r="D375" t="s">
        <v>6027</v>
      </c>
      <c r="E375" t="s">
        <v>6029</v>
      </c>
      <c r="F375" t="s">
        <v>6034</v>
      </c>
      <c r="G375" t="s">
        <v>6038</v>
      </c>
      <c r="H375" t="s">
        <v>6096</v>
      </c>
      <c r="I375">
        <v>24</v>
      </c>
      <c r="J375">
        <v>5.2</v>
      </c>
      <c r="K375" t="s">
        <v>6099</v>
      </c>
      <c r="L375" t="s">
        <v>6100</v>
      </c>
      <c r="M375" t="s">
        <v>6100</v>
      </c>
      <c r="N375">
        <v>3</v>
      </c>
      <c r="O375" t="s">
        <v>6101</v>
      </c>
      <c r="P375" t="s">
        <v>6107</v>
      </c>
      <c r="Q375">
        <v>1</v>
      </c>
      <c r="R375">
        <v>2026</v>
      </c>
      <c r="S375" t="s">
        <v>6099</v>
      </c>
      <c r="T375">
        <v>1</v>
      </c>
      <c r="U375" t="s">
        <v>6021</v>
      </c>
      <c r="V375">
        <v>1</v>
      </c>
    </row>
    <row r="376" spans="1:22" x14ac:dyDescent="0.3">
      <c r="A376" t="s">
        <v>391</v>
      </c>
      <c r="B376" s="2">
        <v>46042.477777777778</v>
      </c>
      <c r="C376" s="2">
        <v>46042.702777777777</v>
      </c>
      <c r="D376" t="s">
        <v>6028</v>
      </c>
      <c r="E376" t="s">
        <v>6029</v>
      </c>
      <c r="F376" t="s">
        <v>6034</v>
      </c>
      <c r="G376" t="s">
        <v>6050</v>
      </c>
      <c r="H376" t="s">
        <v>6098</v>
      </c>
      <c r="I376">
        <v>24</v>
      </c>
      <c r="J376">
        <v>5.4</v>
      </c>
      <c r="K376" t="s">
        <v>6099</v>
      </c>
      <c r="L376" t="s">
        <v>6100</v>
      </c>
      <c r="M376" t="s">
        <v>6100</v>
      </c>
      <c r="O376" t="s">
        <v>6101</v>
      </c>
      <c r="P376" t="s">
        <v>6107</v>
      </c>
      <c r="Q376">
        <v>1</v>
      </c>
      <c r="R376">
        <v>2026</v>
      </c>
      <c r="S376" t="s">
        <v>6099</v>
      </c>
      <c r="T376">
        <v>1</v>
      </c>
      <c r="U376" t="s">
        <v>6018</v>
      </c>
      <c r="V376">
        <v>1</v>
      </c>
    </row>
    <row r="377" spans="1:22" x14ac:dyDescent="0.3">
      <c r="A377" t="s">
        <v>392</v>
      </c>
      <c r="B377" s="2">
        <v>46042.479861111111</v>
      </c>
      <c r="C377" s="2">
        <v>46043.246527777781</v>
      </c>
      <c r="D377" t="s">
        <v>6028</v>
      </c>
      <c r="E377" t="s">
        <v>6031</v>
      </c>
      <c r="F377" t="s">
        <v>6035</v>
      </c>
      <c r="G377" t="s">
        <v>6049</v>
      </c>
      <c r="H377" t="s">
        <v>6097</v>
      </c>
      <c r="I377">
        <v>4</v>
      </c>
      <c r="J377">
        <v>18.399999999999999</v>
      </c>
      <c r="K377" t="s">
        <v>6099</v>
      </c>
      <c r="L377" t="s">
        <v>6100</v>
      </c>
      <c r="M377" t="s">
        <v>6100</v>
      </c>
      <c r="N377">
        <v>4</v>
      </c>
      <c r="O377" t="s">
        <v>6101</v>
      </c>
      <c r="P377" t="s">
        <v>6107</v>
      </c>
      <c r="Q377">
        <v>1</v>
      </c>
      <c r="R377">
        <v>2026</v>
      </c>
      <c r="S377" t="s">
        <v>6100</v>
      </c>
      <c r="T377">
        <v>0</v>
      </c>
      <c r="U377" t="s">
        <v>6017</v>
      </c>
      <c r="V377">
        <v>1</v>
      </c>
    </row>
    <row r="378" spans="1:22" x14ac:dyDescent="0.3">
      <c r="A378" t="s">
        <v>393</v>
      </c>
      <c r="B378" s="2">
        <v>46042.53402777778</v>
      </c>
      <c r="C378" s="2">
        <v>46044.567361111112</v>
      </c>
      <c r="D378" t="s">
        <v>6028</v>
      </c>
      <c r="E378" t="s">
        <v>6031</v>
      </c>
      <c r="F378" t="s">
        <v>6035</v>
      </c>
      <c r="G378" t="s">
        <v>6077</v>
      </c>
      <c r="H378" t="s">
        <v>6098</v>
      </c>
      <c r="I378">
        <v>4</v>
      </c>
      <c r="J378">
        <v>48.8</v>
      </c>
      <c r="K378" t="s">
        <v>6099</v>
      </c>
      <c r="L378" t="s">
        <v>6100</v>
      </c>
      <c r="M378" t="s">
        <v>6100</v>
      </c>
      <c r="N378">
        <v>3</v>
      </c>
      <c r="O378" t="s">
        <v>6101</v>
      </c>
      <c r="P378" t="s">
        <v>6107</v>
      </c>
      <c r="Q378">
        <v>1</v>
      </c>
      <c r="R378">
        <v>2026</v>
      </c>
      <c r="S378" t="s">
        <v>6100</v>
      </c>
      <c r="T378">
        <v>0</v>
      </c>
      <c r="U378" t="s">
        <v>6021</v>
      </c>
      <c r="V378">
        <v>1</v>
      </c>
    </row>
    <row r="379" spans="1:22" x14ac:dyDescent="0.3">
      <c r="A379" t="s">
        <v>394</v>
      </c>
      <c r="B379" s="2">
        <v>46042.554861111108</v>
      </c>
      <c r="C379" s="2">
        <v>46043.021527777775</v>
      </c>
      <c r="D379" t="s">
        <v>6024</v>
      </c>
      <c r="E379" t="s">
        <v>6029</v>
      </c>
      <c r="F379" t="s">
        <v>6035</v>
      </c>
      <c r="G379" t="s">
        <v>6060</v>
      </c>
      <c r="H379" t="s">
        <v>6097</v>
      </c>
      <c r="I379">
        <v>4</v>
      </c>
      <c r="J379">
        <v>11.2</v>
      </c>
      <c r="K379" t="s">
        <v>6099</v>
      </c>
      <c r="L379" t="s">
        <v>6100</v>
      </c>
      <c r="M379" t="s">
        <v>6100</v>
      </c>
      <c r="N379">
        <v>5</v>
      </c>
      <c r="O379" t="s">
        <v>6101</v>
      </c>
      <c r="P379" t="s">
        <v>6107</v>
      </c>
      <c r="Q379">
        <v>1</v>
      </c>
      <c r="R379">
        <v>2026</v>
      </c>
      <c r="S379" t="s">
        <v>6100</v>
      </c>
      <c r="T379">
        <v>0</v>
      </c>
      <c r="U379" t="s">
        <v>6018</v>
      </c>
      <c r="V379">
        <v>1</v>
      </c>
    </row>
    <row r="380" spans="1:22" x14ac:dyDescent="0.3">
      <c r="A380" t="s">
        <v>395</v>
      </c>
      <c r="B380" s="2">
        <v>46042.570138888892</v>
      </c>
      <c r="C380" s="2">
        <v>46043.011805555558</v>
      </c>
      <c r="D380" t="s">
        <v>6022</v>
      </c>
      <c r="E380" t="s">
        <v>6030</v>
      </c>
      <c r="F380" t="s">
        <v>6034</v>
      </c>
      <c r="G380" t="s">
        <v>6078</v>
      </c>
      <c r="H380" t="s">
        <v>6097</v>
      </c>
      <c r="I380">
        <v>24</v>
      </c>
      <c r="J380">
        <v>10.6</v>
      </c>
      <c r="K380" t="s">
        <v>6099</v>
      </c>
      <c r="L380" t="s">
        <v>6100</v>
      </c>
      <c r="M380" t="s">
        <v>6100</v>
      </c>
      <c r="N380">
        <v>5</v>
      </c>
      <c r="O380" t="s">
        <v>6101</v>
      </c>
      <c r="P380" t="s">
        <v>6107</v>
      </c>
      <c r="Q380">
        <v>1</v>
      </c>
      <c r="R380">
        <v>2026</v>
      </c>
      <c r="S380" t="s">
        <v>6099</v>
      </c>
      <c r="T380">
        <v>1</v>
      </c>
      <c r="U380" t="s">
        <v>6020</v>
      </c>
      <c r="V380">
        <v>1</v>
      </c>
    </row>
    <row r="381" spans="1:22" x14ac:dyDescent="0.3">
      <c r="A381" t="s">
        <v>396</v>
      </c>
      <c r="B381" s="2">
        <v>46042.589583333334</v>
      </c>
      <c r="C381" s="2">
        <v>46042.772916666669</v>
      </c>
      <c r="D381" t="s">
        <v>6023</v>
      </c>
      <c r="E381" t="s">
        <v>6029</v>
      </c>
      <c r="F381" t="s">
        <v>6033</v>
      </c>
      <c r="G381" t="s">
        <v>6079</v>
      </c>
      <c r="H381" t="s">
        <v>6097</v>
      </c>
      <c r="I381">
        <v>72</v>
      </c>
      <c r="J381">
        <v>4.4000000000000004</v>
      </c>
      <c r="K381" t="s">
        <v>6099</v>
      </c>
      <c r="L381" t="s">
        <v>6100</v>
      </c>
      <c r="M381" t="s">
        <v>6099</v>
      </c>
      <c r="O381" t="s">
        <v>6101</v>
      </c>
      <c r="P381" t="s">
        <v>6107</v>
      </c>
      <c r="Q381">
        <v>1</v>
      </c>
      <c r="R381">
        <v>2026</v>
      </c>
      <c r="S381" t="s">
        <v>6099</v>
      </c>
      <c r="T381">
        <v>1</v>
      </c>
      <c r="U381" t="s">
        <v>6017</v>
      </c>
      <c r="V381">
        <v>1</v>
      </c>
    </row>
    <row r="382" spans="1:22" x14ac:dyDescent="0.3">
      <c r="A382" t="s">
        <v>397</v>
      </c>
      <c r="B382" s="2">
        <v>46042.59097222222</v>
      </c>
      <c r="C382" s="2">
        <v>46042.820138888892</v>
      </c>
      <c r="D382" t="s">
        <v>6023</v>
      </c>
      <c r="E382" t="s">
        <v>6029</v>
      </c>
      <c r="F382" t="s">
        <v>6034</v>
      </c>
      <c r="G382" t="s">
        <v>6075</v>
      </c>
      <c r="H382" t="s">
        <v>6097</v>
      </c>
      <c r="I382">
        <v>24</v>
      </c>
      <c r="J382">
        <v>5.5</v>
      </c>
      <c r="K382" t="s">
        <v>6100</v>
      </c>
      <c r="L382" t="s">
        <v>6100</v>
      </c>
      <c r="M382" t="s">
        <v>6100</v>
      </c>
      <c r="N382">
        <v>3</v>
      </c>
      <c r="O382" t="s">
        <v>6101</v>
      </c>
      <c r="P382" t="s">
        <v>6107</v>
      </c>
      <c r="Q382">
        <v>1</v>
      </c>
      <c r="R382">
        <v>2026</v>
      </c>
      <c r="S382" t="s">
        <v>6099</v>
      </c>
      <c r="T382">
        <v>1</v>
      </c>
      <c r="U382" t="s">
        <v>6021</v>
      </c>
      <c r="V382">
        <v>0</v>
      </c>
    </row>
    <row r="383" spans="1:22" x14ac:dyDescent="0.3">
      <c r="A383" t="s">
        <v>398</v>
      </c>
      <c r="B383" s="2">
        <v>46042.599305555559</v>
      </c>
      <c r="C383" s="2">
        <v>46044.228472222225</v>
      </c>
      <c r="D383" t="s">
        <v>6028</v>
      </c>
      <c r="E383" t="s">
        <v>6031</v>
      </c>
      <c r="F383" t="s">
        <v>6035</v>
      </c>
      <c r="G383" t="s">
        <v>6082</v>
      </c>
      <c r="H383" t="s">
        <v>6097</v>
      </c>
      <c r="I383">
        <v>4</v>
      </c>
      <c r="J383">
        <v>39.1</v>
      </c>
      <c r="K383" t="s">
        <v>6099</v>
      </c>
      <c r="L383" t="s">
        <v>6100</v>
      </c>
      <c r="M383" t="s">
        <v>6099</v>
      </c>
      <c r="N383">
        <v>4</v>
      </c>
      <c r="O383" t="s">
        <v>6101</v>
      </c>
      <c r="P383" t="s">
        <v>6107</v>
      </c>
      <c r="Q383">
        <v>1</v>
      </c>
      <c r="R383">
        <v>2026</v>
      </c>
      <c r="S383" t="s">
        <v>6100</v>
      </c>
      <c r="T383">
        <v>0</v>
      </c>
      <c r="U383" t="s">
        <v>6020</v>
      </c>
      <c r="V383">
        <v>1</v>
      </c>
    </row>
    <row r="384" spans="1:22" x14ac:dyDescent="0.3">
      <c r="A384" t="s">
        <v>399</v>
      </c>
      <c r="B384" s="2">
        <v>46042.651388888888</v>
      </c>
      <c r="C384" s="2">
        <v>46043.118055555555</v>
      </c>
      <c r="D384" t="s">
        <v>6022</v>
      </c>
      <c r="E384" t="s">
        <v>6030</v>
      </c>
      <c r="F384" t="s">
        <v>6034</v>
      </c>
      <c r="G384" t="s">
        <v>6086</v>
      </c>
      <c r="H384" t="s">
        <v>6098</v>
      </c>
      <c r="I384">
        <v>24</v>
      </c>
      <c r="J384">
        <v>11.2</v>
      </c>
      <c r="K384" t="s">
        <v>6099</v>
      </c>
      <c r="L384" t="s">
        <v>6100</v>
      </c>
      <c r="M384" t="s">
        <v>6100</v>
      </c>
      <c r="O384" t="s">
        <v>6101</v>
      </c>
      <c r="P384" t="s">
        <v>6107</v>
      </c>
      <c r="Q384">
        <v>1</v>
      </c>
      <c r="R384">
        <v>2026</v>
      </c>
      <c r="S384" t="s">
        <v>6099</v>
      </c>
      <c r="T384">
        <v>1</v>
      </c>
      <c r="U384" t="s">
        <v>6021</v>
      </c>
      <c r="V384">
        <v>1</v>
      </c>
    </row>
    <row r="385" spans="1:22" x14ac:dyDescent="0.3">
      <c r="A385" t="s">
        <v>400</v>
      </c>
      <c r="B385" s="2">
        <v>46042.664583333331</v>
      </c>
      <c r="C385" s="2">
        <v>46043.006249999999</v>
      </c>
      <c r="D385" t="s">
        <v>6024</v>
      </c>
      <c r="E385" t="s">
        <v>6029</v>
      </c>
      <c r="F385" t="s">
        <v>6034</v>
      </c>
      <c r="G385" t="s">
        <v>6069</v>
      </c>
      <c r="H385" t="s">
        <v>6098</v>
      </c>
      <c r="I385">
        <v>24</v>
      </c>
      <c r="J385">
        <v>8.1999999999999993</v>
      </c>
      <c r="K385" t="s">
        <v>6100</v>
      </c>
      <c r="L385" t="s">
        <v>6100</v>
      </c>
      <c r="M385" t="s">
        <v>6100</v>
      </c>
      <c r="O385" t="s">
        <v>6101</v>
      </c>
      <c r="P385" t="s">
        <v>6107</v>
      </c>
      <c r="Q385">
        <v>1</v>
      </c>
      <c r="R385">
        <v>2026</v>
      </c>
      <c r="S385" t="s">
        <v>6099</v>
      </c>
      <c r="T385">
        <v>1</v>
      </c>
      <c r="U385" t="s">
        <v>6019</v>
      </c>
      <c r="V385">
        <v>0</v>
      </c>
    </row>
    <row r="386" spans="1:22" x14ac:dyDescent="0.3">
      <c r="A386" t="s">
        <v>401</v>
      </c>
      <c r="B386" s="2">
        <v>46042.675000000003</v>
      </c>
      <c r="C386" s="2">
        <v>46043.408333333333</v>
      </c>
      <c r="D386" t="s">
        <v>6023</v>
      </c>
      <c r="E386" t="s">
        <v>6029</v>
      </c>
      <c r="F386" t="s">
        <v>6034</v>
      </c>
      <c r="G386" t="s">
        <v>6080</v>
      </c>
      <c r="H386" t="s">
        <v>6096</v>
      </c>
      <c r="I386">
        <v>24</v>
      </c>
      <c r="J386">
        <v>17.600000000000001</v>
      </c>
      <c r="K386" t="s">
        <v>6099</v>
      </c>
      <c r="L386" t="s">
        <v>6100</v>
      </c>
      <c r="M386" t="s">
        <v>6100</v>
      </c>
      <c r="O386" t="s">
        <v>6101</v>
      </c>
      <c r="P386" t="s">
        <v>6107</v>
      </c>
      <c r="Q386">
        <v>1</v>
      </c>
      <c r="R386">
        <v>2026</v>
      </c>
      <c r="S386" t="s">
        <v>6099</v>
      </c>
      <c r="T386">
        <v>1</v>
      </c>
      <c r="U386" t="s">
        <v>6019</v>
      </c>
      <c r="V386">
        <v>1</v>
      </c>
    </row>
    <row r="387" spans="1:22" x14ac:dyDescent="0.3">
      <c r="A387" t="s">
        <v>402</v>
      </c>
      <c r="B387" s="2">
        <v>46042.783333333333</v>
      </c>
      <c r="C387" s="2">
        <v>46043.20416666667</v>
      </c>
      <c r="D387" t="s">
        <v>6022</v>
      </c>
      <c r="E387" t="s">
        <v>6032</v>
      </c>
      <c r="F387" t="s">
        <v>6033</v>
      </c>
      <c r="G387" t="s">
        <v>6063</v>
      </c>
      <c r="H387" t="s">
        <v>6097</v>
      </c>
      <c r="I387">
        <v>72</v>
      </c>
      <c r="J387">
        <v>10.1</v>
      </c>
      <c r="K387" t="s">
        <v>6100</v>
      </c>
      <c r="L387" t="s">
        <v>6100</v>
      </c>
      <c r="M387" t="s">
        <v>6100</v>
      </c>
      <c r="N387">
        <v>4</v>
      </c>
      <c r="O387" t="s">
        <v>6101</v>
      </c>
      <c r="P387" t="s">
        <v>6107</v>
      </c>
      <c r="Q387">
        <v>1</v>
      </c>
      <c r="R387">
        <v>2026</v>
      </c>
      <c r="S387" t="s">
        <v>6099</v>
      </c>
      <c r="T387">
        <v>1</v>
      </c>
      <c r="U387" t="s">
        <v>6020</v>
      </c>
      <c r="V387">
        <v>0</v>
      </c>
    </row>
    <row r="388" spans="1:22" x14ac:dyDescent="0.3">
      <c r="A388" t="s">
        <v>403</v>
      </c>
      <c r="B388" s="2">
        <v>46042.786111111112</v>
      </c>
      <c r="C388" s="2">
        <v>46042.923611111109</v>
      </c>
      <c r="D388" t="s">
        <v>6027</v>
      </c>
      <c r="E388" t="s">
        <v>6029</v>
      </c>
      <c r="F388" t="s">
        <v>6034</v>
      </c>
      <c r="G388" t="s">
        <v>6053</v>
      </c>
      <c r="H388" t="s">
        <v>6097</v>
      </c>
      <c r="I388">
        <v>24</v>
      </c>
      <c r="J388">
        <v>3.3</v>
      </c>
      <c r="K388" t="s">
        <v>6099</v>
      </c>
      <c r="L388" t="s">
        <v>6100</v>
      </c>
      <c r="M388" t="s">
        <v>6100</v>
      </c>
      <c r="N388">
        <v>5</v>
      </c>
      <c r="O388" t="s">
        <v>6101</v>
      </c>
      <c r="P388" t="s">
        <v>6107</v>
      </c>
      <c r="Q388">
        <v>1</v>
      </c>
      <c r="R388">
        <v>2026</v>
      </c>
      <c r="S388" t="s">
        <v>6099</v>
      </c>
      <c r="T388">
        <v>1</v>
      </c>
      <c r="U388" t="s">
        <v>6017</v>
      </c>
      <c r="V388">
        <v>1</v>
      </c>
    </row>
    <row r="389" spans="1:22" x14ac:dyDescent="0.3">
      <c r="A389" t="s">
        <v>404</v>
      </c>
      <c r="B389" s="2">
        <v>46042.899305555555</v>
      </c>
      <c r="C389" s="2">
        <v>46043.915972222225</v>
      </c>
      <c r="D389" t="s">
        <v>6022</v>
      </c>
      <c r="E389" t="s">
        <v>6032</v>
      </c>
      <c r="F389" t="s">
        <v>6034</v>
      </c>
      <c r="G389" t="s">
        <v>6067</v>
      </c>
      <c r="H389" t="s">
        <v>6098</v>
      </c>
      <c r="I389">
        <v>24</v>
      </c>
      <c r="J389">
        <v>24.4</v>
      </c>
      <c r="K389" t="s">
        <v>6099</v>
      </c>
      <c r="L389" t="s">
        <v>6100</v>
      </c>
      <c r="M389" t="s">
        <v>6100</v>
      </c>
      <c r="N389">
        <v>4</v>
      </c>
      <c r="O389" t="s">
        <v>6101</v>
      </c>
      <c r="P389" t="s">
        <v>6107</v>
      </c>
      <c r="Q389">
        <v>1</v>
      </c>
      <c r="R389">
        <v>2026</v>
      </c>
      <c r="S389" t="s">
        <v>6100</v>
      </c>
      <c r="T389">
        <v>0</v>
      </c>
      <c r="U389" t="s">
        <v>6019</v>
      </c>
      <c r="V389">
        <v>1</v>
      </c>
    </row>
    <row r="390" spans="1:22" x14ac:dyDescent="0.3">
      <c r="A390" t="s">
        <v>405</v>
      </c>
      <c r="B390" s="2">
        <v>46043.173611111109</v>
      </c>
      <c r="C390" s="2">
        <v>46043.723611111112</v>
      </c>
      <c r="D390" t="s">
        <v>6023</v>
      </c>
      <c r="E390" t="s">
        <v>6032</v>
      </c>
      <c r="F390" t="s">
        <v>6033</v>
      </c>
      <c r="G390" t="s">
        <v>6057</v>
      </c>
      <c r="H390" t="s">
        <v>6097</v>
      </c>
      <c r="I390">
        <v>72</v>
      </c>
      <c r="J390">
        <v>13.2</v>
      </c>
      <c r="K390" t="s">
        <v>6099</v>
      </c>
      <c r="L390" t="s">
        <v>6100</v>
      </c>
      <c r="M390" t="s">
        <v>6100</v>
      </c>
      <c r="O390" t="s">
        <v>6101</v>
      </c>
      <c r="P390" t="s">
        <v>6107</v>
      </c>
      <c r="Q390">
        <v>1</v>
      </c>
      <c r="R390">
        <v>2026</v>
      </c>
      <c r="S390" t="s">
        <v>6099</v>
      </c>
      <c r="T390">
        <v>1</v>
      </c>
      <c r="U390" t="s">
        <v>6021</v>
      </c>
      <c r="V390">
        <v>1</v>
      </c>
    </row>
    <row r="391" spans="1:22" x14ac:dyDescent="0.3">
      <c r="A391" t="s">
        <v>406</v>
      </c>
      <c r="B391" s="2">
        <v>46043.206944444442</v>
      </c>
      <c r="C391" s="2">
        <v>46043.536111111112</v>
      </c>
      <c r="D391" t="s">
        <v>6028</v>
      </c>
      <c r="E391" t="s">
        <v>6030</v>
      </c>
      <c r="F391" t="s">
        <v>6033</v>
      </c>
      <c r="G391" t="s">
        <v>6069</v>
      </c>
      <c r="H391" t="s">
        <v>6098</v>
      </c>
      <c r="I391">
        <v>72</v>
      </c>
      <c r="J391">
        <v>7.9</v>
      </c>
      <c r="K391" t="s">
        <v>6099</v>
      </c>
      <c r="L391" t="s">
        <v>6100</v>
      </c>
      <c r="M391" t="s">
        <v>6100</v>
      </c>
      <c r="N391">
        <v>5</v>
      </c>
      <c r="O391" t="s">
        <v>6101</v>
      </c>
      <c r="P391" t="s">
        <v>6107</v>
      </c>
      <c r="Q391">
        <v>1</v>
      </c>
      <c r="R391">
        <v>2026</v>
      </c>
      <c r="S391" t="s">
        <v>6099</v>
      </c>
      <c r="T391">
        <v>1</v>
      </c>
      <c r="U391" t="s">
        <v>6020</v>
      </c>
      <c r="V391">
        <v>1</v>
      </c>
    </row>
    <row r="392" spans="1:22" x14ac:dyDescent="0.3">
      <c r="A392" t="s">
        <v>407</v>
      </c>
      <c r="B392" s="2">
        <v>46043.285416666666</v>
      </c>
      <c r="C392" s="2">
        <v>46043.489583333336</v>
      </c>
      <c r="D392" t="s">
        <v>6028</v>
      </c>
      <c r="E392" t="s">
        <v>6029</v>
      </c>
      <c r="F392" t="s">
        <v>6034</v>
      </c>
      <c r="G392" t="s">
        <v>6081</v>
      </c>
      <c r="H392" t="s">
        <v>6098</v>
      </c>
      <c r="I392">
        <v>24</v>
      </c>
      <c r="J392">
        <v>4.9000000000000004</v>
      </c>
      <c r="K392" t="s">
        <v>6099</v>
      </c>
      <c r="L392" t="s">
        <v>6100</v>
      </c>
      <c r="M392" t="s">
        <v>6100</v>
      </c>
      <c r="N392">
        <v>5</v>
      </c>
      <c r="O392" t="s">
        <v>6101</v>
      </c>
      <c r="P392" t="s">
        <v>6107</v>
      </c>
      <c r="Q392">
        <v>1</v>
      </c>
      <c r="R392">
        <v>2026</v>
      </c>
      <c r="S392" t="s">
        <v>6099</v>
      </c>
      <c r="T392">
        <v>1</v>
      </c>
      <c r="U392" t="s">
        <v>6018</v>
      </c>
      <c r="V392">
        <v>1</v>
      </c>
    </row>
    <row r="393" spans="1:22" x14ac:dyDescent="0.3">
      <c r="A393" t="s">
        <v>408</v>
      </c>
      <c r="B393" s="2">
        <v>46043.315972222219</v>
      </c>
      <c r="C393" s="2">
        <v>46044.670138888891</v>
      </c>
      <c r="D393" t="s">
        <v>6022</v>
      </c>
      <c r="E393" t="s">
        <v>6029</v>
      </c>
      <c r="F393" t="s">
        <v>6034</v>
      </c>
      <c r="G393" t="s">
        <v>6045</v>
      </c>
      <c r="H393" t="s">
        <v>6096</v>
      </c>
      <c r="I393">
        <v>24</v>
      </c>
      <c r="J393">
        <v>32.5</v>
      </c>
      <c r="K393" t="s">
        <v>6099</v>
      </c>
      <c r="L393" t="s">
        <v>6100</v>
      </c>
      <c r="M393" t="s">
        <v>6100</v>
      </c>
      <c r="N393">
        <v>4</v>
      </c>
      <c r="O393" t="s">
        <v>6101</v>
      </c>
      <c r="P393" t="s">
        <v>6107</v>
      </c>
      <c r="Q393">
        <v>1</v>
      </c>
      <c r="R393">
        <v>2026</v>
      </c>
      <c r="S393" t="s">
        <v>6100</v>
      </c>
      <c r="T393">
        <v>0</v>
      </c>
      <c r="U393" t="s">
        <v>6020</v>
      </c>
      <c r="V393">
        <v>1</v>
      </c>
    </row>
    <row r="394" spans="1:22" x14ac:dyDescent="0.3">
      <c r="A394" t="s">
        <v>409</v>
      </c>
      <c r="B394" s="2">
        <v>46043.406944444447</v>
      </c>
      <c r="C394" s="2">
        <v>46049.869444444441</v>
      </c>
      <c r="D394" t="s">
        <v>6026</v>
      </c>
      <c r="E394" t="s">
        <v>6031</v>
      </c>
      <c r="F394" t="s">
        <v>6033</v>
      </c>
      <c r="G394" t="s">
        <v>6088</v>
      </c>
      <c r="H394" t="s">
        <v>6097</v>
      </c>
      <c r="I394">
        <v>72</v>
      </c>
      <c r="J394">
        <v>155.1</v>
      </c>
      <c r="K394" t="s">
        <v>6099</v>
      </c>
      <c r="L394" t="s">
        <v>6100</v>
      </c>
      <c r="M394" t="s">
        <v>6100</v>
      </c>
      <c r="N394">
        <v>4</v>
      </c>
      <c r="O394" t="s">
        <v>6101</v>
      </c>
      <c r="P394" t="s">
        <v>6107</v>
      </c>
      <c r="Q394">
        <v>1</v>
      </c>
      <c r="R394">
        <v>2026</v>
      </c>
      <c r="S394" t="s">
        <v>6100</v>
      </c>
      <c r="T394">
        <v>0</v>
      </c>
      <c r="U394" t="s">
        <v>6019</v>
      </c>
      <c r="V394">
        <v>1</v>
      </c>
    </row>
    <row r="395" spans="1:22" x14ac:dyDescent="0.3">
      <c r="A395" t="s">
        <v>410</v>
      </c>
      <c r="B395" s="2">
        <v>46043.506944444445</v>
      </c>
      <c r="C395" s="2">
        <v>46043.598611111112</v>
      </c>
      <c r="D395" t="s">
        <v>6023</v>
      </c>
      <c r="E395" t="s">
        <v>6029</v>
      </c>
      <c r="F395" t="s">
        <v>6033</v>
      </c>
      <c r="G395" t="s">
        <v>6075</v>
      </c>
      <c r="H395" t="s">
        <v>6097</v>
      </c>
      <c r="I395">
        <v>72</v>
      </c>
      <c r="J395">
        <v>2.2000000000000002</v>
      </c>
      <c r="K395" t="s">
        <v>6099</v>
      </c>
      <c r="L395" t="s">
        <v>6100</v>
      </c>
      <c r="M395" t="s">
        <v>6100</v>
      </c>
      <c r="N395">
        <v>5</v>
      </c>
      <c r="O395" t="s">
        <v>6101</v>
      </c>
      <c r="P395" t="s">
        <v>6107</v>
      </c>
      <c r="Q395">
        <v>1</v>
      </c>
      <c r="R395">
        <v>2026</v>
      </c>
      <c r="S395" t="s">
        <v>6099</v>
      </c>
      <c r="T395">
        <v>1</v>
      </c>
      <c r="U395" t="s">
        <v>6017</v>
      </c>
      <c r="V395">
        <v>1</v>
      </c>
    </row>
    <row r="396" spans="1:22" x14ac:dyDescent="0.3">
      <c r="A396" t="s">
        <v>411</v>
      </c>
      <c r="B396" s="2">
        <v>46043.508333333331</v>
      </c>
      <c r="C396" s="2">
        <v>46043.662499999999</v>
      </c>
      <c r="D396" t="s">
        <v>6022</v>
      </c>
      <c r="E396" t="s">
        <v>6029</v>
      </c>
      <c r="F396" t="s">
        <v>6034</v>
      </c>
      <c r="G396" t="s">
        <v>6093</v>
      </c>
      <c r="H396" t="s">
        <v>6097</v>
      </c>
      <c r="I396">
        <v>24</v>
      </c>
      <c r="J396">
        <v>3.7</v>
      </c>
      <c r="K396" t="s">
        <v>6099</v>
      </c>
      <c r="L396" t="s">
        <v>6100</v>
      </c>
      <c r="M396" t="s">
        <v>6100</v>
      </c>
      <c r="O396" t="s">
        <v>6101</v>
      </c>
      <c r="P396" t="s">
        <v>6107</v>
      </c>
      <c r="Q396">
        <v>1</v>
      </c>
      <c r="R396">
        <v>2026</v>
      </c>
      <c r="S396" t="s">
        <v>6099</v>
      </c>
      <c r="T396">
        <v>1</v>
      </c>
      <c r="U396" t="s">
        <v>6017</v>
      </c>
      <c r="V396">
        <v>1</v>
      </c>
    </row>
    <row r="397" spans="1:22" x14ac:dyDescent="0.3">
      <c r="A397" t="s">
        <v>412</v>
      </c>
      <c r="B397" s="2">
        <v>46043.572222222225</v>
      </c>
      <c r="C397" s="2">
        <v>46043.963888888888</v>
      </c>
      <c r="D397" t="s">
        <v>6022</v>
      </c>
      <c r="E397" t="s">
        <v>6030</v>
      </c>
      <c r="F397" t="s">
        <v>6033</v>
      </c>
      <c r="G397" t="s">
        <v>6088</v>
      </c>
      <c r="H397" t="s">
        <v>6097</v>
      </c>
      <c r="I397">
        <v>72</v>
      </c>
      <c r="J397">
        <v>9.4</v>
      </c>
      <c r="K397" t="s">
        <v>6099</v>
      </c>
      <c r="L397" t="s">
        <v>6100</v>
      </c>
      <c r="M397" t="s">
        <v>6100</v>
      </c>
      <c r="O397" t="s">
        <v>6101</v>
      </c>
      <c r="P397" t="s">
        <v>6107</v>
      </c>
      <c r="Q397">
        <v>1</v>
      </c>
      <c r="R397">
        <v>2026</v>
      </c>
      <c r="S397" t="s">
        <v>6099</v>
      </c>
      <c r="T397">
        <v>1</v>
      </c>
      <c r="U397" t="s">
        <v>6018</v>
      </c>
      <c r="V397">
        <v>1</v>
      </c>
    </row>
    <row r="398" spans="1:22" x14ac:dyDescent="0.3">
      <c r="A398" t="s">
        <v>413</v>
      </c>
      <c r="B398" s="2">
        <v>46043.607638888891</v>
      </c>
      <c r="C398" s="2">
        <v>46043.770138888889</v>
      </c>
      <c r="D398" t="s">
        <v>6024</v>
      </c>
      <c r="E398" t="s">
        <v>6030</v>
      </c>
      <c r="F398" t="s">
        <v>6034</v>
      </c>
      <c r="G398" t="s">
        <v>6063</v>
      </c>
      <c r="H398" t="s">
        <v>6097</v>
      </c>
      <c r="I398">
        <v>24</v>
      </c>
      <c r="J398">
        <v>3.9</v>
      </c>
      <c r="K398" t="s">
        <v>6100</v>
      </c>
      <c r="L398" t="s">
        <v>6100</v>
      </c>
      <c r="M398" t="s">
        <v>6100</v>
      </c>
      <c r="N398">
        <v>5</v>
      </c>
      <c r="O398" t="s">
        <v>6101</v>
      </c>
      <c r="P398" t="s">
        <v>6107</v>
      </c>
      <c r="Q398">
        <v>1</v>
      </c>
      <c r="R398">
        <v>2026</v>
      </c>
      <c r="S398" t="s">
        <v>6099</v>
      </c>
      <c r="T398">
        <v>1</v>
      </c>
      <c r="U398" t="s">
        <v>6017</v>
      </c>
      <c r="V398">
        <v>0</v>
      </c>
    </row>
    <row r="399" spans="1:22" x14ac:dyDescent="0.3">
      <c r="A399" t="s">
        <v>414</v>
      </c>
      <c r="B399" s="2">
        <v>46043.682638888888</v>
      </c>
      <c r="C399" s="2">
        <v>46043.936805555553</v>
      </c>
      <c r="D399" t="s">
        <v>6028</v>
      </c>
      <c r="E399" t="s">
        <v>6029</v>
      </c>
      <c r="F399" t="s">
        <v>6034</v>
      </c>
      <c r="G399" t="s">
        <v>6058</v>
      </c>
      <c r="H399" t="s">
        <v>6098</v>
      </c>
      <c r="I399">
        <v>24</v>
      </c>
      <c r="J399">
        <v>6.1</v>
      </c>
      <c r="K399" t="s">
        <v>6100</v>
      </c>
      <c r="L399" t="s">
        <v>6099</v>
      </c>
      <c r="M399" t="s">
        <v>6100</v>
      </c>
      <c r="O399" t="s">
        <v>6101</v>
      </c>
      <c r="P399" t="s">
        <v>6107</v>
      </c>
      <c r="Q399">
        <v>1</v>
      </c>
      <c r="R399">
        <v>2026</v>
      </c>
      <c r="S399" t="s">
        <v>6099</v>
      </c>
      <c r="T399">
        <v>1</v>
      </c>
      <c r="U399" t="s">
        <v>6018</v>
      </c>
      <c r="V399">
        <v>0</v>
      </c>
    </row>
    <row r="400" spans="1:22" x14ac:dyDescent="0.3">
      <c r="A400" t="s">
        <v>415</v>
      </c>
      <c r="B400" s="2">
        <v>46043.706250000003</v>
      </c>
      <c r="C400" s="2">
        <v>46044.635416666664</v>
      </c>
      <c r="D400" t="s">
        <v>6023</v>
      </c>
      <c r="E400" t="s">
        <v>6032</v>
      </c>
      <c r="F400" t="s">
        <v>6034</v>
      </c>
      <c r="G400" t="s">
        <v>6050</v>
      </c>
      <c r="H400" t="s">
        <v>6098</v>
      </c>
      <c r="I400">
        <v>24</v>
      </c>
      <c r="J400">
        <v>22.3</v>
      </c>
      <c r="K400" t="s">
        <v>6099</v>
      </c>
      <c r="L400" t="s">
        <v>6100</v>
      </c>
      <c r="M400" t="s">
        <v>6100</v>
      </c>
      <c r="O400" t="s">
        <v>6101</v>
      </c>
      <c r="P400" t="s">
        <v>6107</v>
      </c>
      <c r="Q400">
        <v>1</v>
      </c>
      <c r="R400">
        <v>2026</v>
      </c>
      <c r="S400" t="s">
        <v>6099</v>
      </c>
      <c r="T400">
        <v>1</v>
      </c>
      <c r="U400" t="s">
        <v>6021</v>
      </c>
      <c r="V400">
        <v>1</v>
      </c>
    </row>
    <row r="401" spans="1:22" x14ac:dyDescent="0.3">
      <c r="A401" t="s">
        <v>416</v>
      </c>
      <c r="B401" s="2">
        <v>46043.723611111112</v>
      </c>
      <c r="C401" s="2">
        <v>46044.902777777781</v>
      </c>
      <c r="D401" t="s">
        <v>6025</v>
      </c>
      <c r="E401" t="s">
        <v>6029</v>
      </c>
      <c r="F401" t="s">
        <v>6034</v>
      </c>
      <c r="G401" t="s">
        <v>6049</v>
      </c>
      <c r="H401" t="s">
        <v>6097</v>
      </c>
      <c r="I401">
        <v>24</v>
      </c>
      <c r="J401">
        <v>28.3</v>
      </c>
      <c r="K401" t="s">
        <v>6099</v>
      </c>
      <c r="L401" t="s">
        <v>6100</v>
      </c>
      <c r="M401" t="s">
        <v>6100</v>
      </c>
      <c r="O401" t="s">
        <v>6101</v>
      </c>
      <c r="P401" t="s">
        <v>6107</v>
      </c>
      <c r="Q401">
        <v>1</v>
      </c>
      <c r="R401">
        <v>2026</v>
      </c>
      <c r="S401" t="s">
        <v>6100</v>
      </c>
      <c r="T401">
        <v>0</v>
      </c>
      <c r="U401" t="s">
        <v>6018</v>
      </c>
      <c r="V401">
        <v>1</v>
      </c>
    </row>
    <row r="402" spans="1:22" x14ac:dyDescent="0.3">
      <c r="A402" t="s">
        <v>417</v>
      </c>
      <c r="B402" s="2">
        <v>46043.781944444447</v>
      </c>
      <c r="C402" s="2">
        <v>46044.765277777777</v>
      </c>
      <c r="D402" t="s">
        <v>6024</v>
      </c>
      <c r="E402" t="s">
        <v>6031</v>
      </c>
      <c r="F402" t="s">
        <v>6034</v>
      </c>
      <c r="G402" t="s">
        <v>6045</v>
      </c>
      <c r="H402" t="s">
        <v>6096</v>
      </c>
      <c r="I402">
        <v>24</v>
      </c>
      <c r="J402">
        <v>23.6</v>
      </c>
      <c r="K402" t="s">
        <v>6099</v>
      </c>
      <c r="L402" t="s">
        <v>6100</v>
      </c>
      <c r="M402" t="s">
        <v>6100</v>
      </c>
      <c r="N402">
        <v>5</v>
      </c>
      <c r="O402" t="s">
        <v>6101</v>
      </c>
      <c r="P402" t="s">
        <v>6107</v>
      </c>
      <c r="Q402">
        <v>1</v>
      </c>
      <c r="R402">
        <v>2026</v>
      </c>
      <c r="S402" t="s">
        <v>6099</v>
      </c>
      <c r="T402">
        <v>1</v>
      </c>
      <c r="U402" t="s">
        <v>6020</v>
      </c>
      <c r="V402">
        <v>1</v>
      </c>
    </row>
    <row r="403" spans="1:22" x14ac:dyDescent="0.3">
      <c r="A403" t="s">
        <v>418</v>
      </c>
      <c r="B403" s="2">
        <v>46043.783333333333</v>
      </c>
      <c r="C403" s="2">
        <v>46044.095833333333</v>
      </c>
      <c r="D403" t="s">
        <v>6028</v>
      </c>
      <c r="E403" t="s">
        <v>6029</v>
      </c>
      <c r="F403" t="s">
        <v>6033</v>
      </c>
      <c r="G403" t="s">
        <v>6073</v>
      </c>
      <c r="H403" t="s">
        <v>6096</v>
      </c>
      <c r="I403">
        <v>72</v>
      </c>
      <c r="J403">
        <v>7.5</v>
      </c>
      <c r="K403" t="s">
        <v>6099</v>
      </c>
      <c r="L403" t="s">
        <v>6100</v>
      </c>
      <c r="M403" t="s">
        <v>6100</v>
      </c>
      <c r="N403">
        <v>2</v>
      </c>
      <c r="O403" t="s">
        <v>6101</v>
      </c>
      <c r="P403" t="s">
        <v>6107</v>
      </c>
      <c r="Q403">
        <v>1</v>
      </c>
      <c r="R403">
        <v>2026</v>
      </c>
      <c r="S403" t="s">
        <v>6099</v>
      </c>
      <c r="T403">
        <v>1</v>
      </c>
      <c r="U403" t="s">
        <v>6019</v>
      </c>
      <c r="V403">
        <v>1</v>
      </c>
    </row>
    <row r="404" spans="1:22" x14ac:dyDescent="0.3">
      <c r="A404" t="s">
        <v>419</v>
      </c>
      <c r="B404" s="2">
        <v>46043.832638888889</v>
      </c>
      <c r="C404" s="2">
        <v>46044.415972222225</v>
      </c>
      <c r="D404" t="s">
        <v>6022</v>
      </c>
      <c r="E404" t="s">
        <v>6032</v>
      </c>
      <c r="F404" t="s">
        <v>6033</v>
      </c>
      <c r="G404" t="s">
        <v>6047</v>
      </c>
      <c r="H404" t="s">
        <v>6098</v>
      </c>
      <c r="I404">
        <v>72</v>
      </c>
      <c r="J404">
        <v>14</v>
      </c>
      <c r="K404" t="s">
        <v>6099</v>
      </c>
      <c r="L404" t="s">
        <v>6100</v>
      </c>
      <c r="M404" t="s">
        <v>6100</v>
      </c>
      <c r="N404">
        <v>4</v>
      </c>
      <c r="O404" t="s">
        <v>6101</v>
      </c>
      <c r="P404" t="s">
        <v>6107</v>
      </c>
      <c r="Q404">
        <v>1</v>
      </c>
      <c r="R404">
        <v>2026</v>
      </c>
      <c r="S404" t="s">
        <v>6099</v>
      </c>
      <c r="T404">
        <v>1</v>
      </c>
      <c r="U404" t="s">
        <v>6021</v>
      </c>
      <c r="V404">
        <v>1</v>
      </c>
    </row>
    <row r="405" spans="1:22" x14ac:dyDescent="0.3">
      <c r="A405" t="s">
        <v>420</v>
      </c>
      <c r="B405" s="2">
        <v>46043.974305555559</v>
      </c>
      <c r="C405" s="2">
        <v>46044.103472222225</v>
      </c>
      <c r="D405" t="s">
        <v>6023</v>
      </c>
      <c r="E405" t="s">
        <v>6029</v>
      </c>
      <c r="F405" t="s">
        <v>6034</v>
      </c>
      <c r="G405" t="s">
        <v>6091</v>
      </c>
      <c r="H405" t="s">
        <v>6097</v>
      </c>
      <c r="I405">
        <v>24</v>
      </c>
      <c r="J405">
        <v>3.1</v>
      </c>
      <c r="K405" t="s">
        <v>6099</v>
      </c>
      <c r="L405" t="s">
        <v>6100</v>
      </c>
      <c r="M405" t="s">
        <v>6100</v>
      </c>
      <c r="O405" t="s">
        <v>6101</v>
      </c>
      <c r="P405" t="s">
        <v>6107</v>
      </c>
      <c r="Q405">
        <v>1</v>
      </c>
      <c r="R405">
        <v>2026</v>
      </c>
      <c r="S405" t="s">
        <v>6099</v>
      </c>
      <c r="T405">
        <v>1</v>
      </c>
      <c r="U405" t="s">
        <v>6018</v>
      </c>
      <c r="V405">
        <v>1</v>
      </c>
    </row>
    <row r="406" spans="1:22" x14ac:dyDescent="0.3">
      <c r="A406" t="s">
        <v>421</v>
      </c>
      <c r="B406" s="2">
        <v>46044.34375</v>
      </c>
      <c r="C406" s="2">
        <v>46045.785416666666</v>
      </c>
      <c r="D406" t="s">
        <v>6025</v>
      </c>
      <c r="E406" t="s">
        <v>6031</v>
      </c>
      <c r="F406" t="s">
        <v>6033</v>
      </c>
      <c r="G406" t="s">
        <v>6094</v>
      </c>
      <c r="H406" t="s">
        <v>6098</v>
      </c>
      <c r="I406">
        <v>72</v>
      </c>
      <c r="J406">
        <v>34.6</v>
      </c>
      <c r="K406" t="s">
        <v>6099</v>
      </c>
      <c r="L406" t="s">
        <v>6100</v>
      </c>
      <c r="M406" t="s">
        <v>6100</v>
      </c>
      <c r="N406">
        <v>4</v>
      </c>
      <c r="O406" t="s">
        <v>6101</v>
      </c>
      <c r="P406" t="s">
        <v>6107</v>
      </c>
      <c r="Q406">
        <v>1</v>
      </c>
      <c r="R406">
        <v>2026</v>
      </c>
      <c r="S406" t="s">
        <v>6099</v>
      </c>
      <c r="T406">
        <v>1</v>
      </c>
      <c r="U406" t="s">
        <v>6020</v>
      </c>
      <c r="V406">
        <v>1</v>
      </c>
    </row>
    <row r="407" spans="1:22" x14ac:dyDescent="0.3">
      <c r="A407" t="s">
        <v>422</v>
      </c>
      <c r="B407" s="2">
        <v>46044.378472222219</v>
      </c>
      <c r="C407" s="2">
        <v>46044.957638888889</v>
      </c>
      <c r="D407" t="s">
        <v>6025</v>
      </c>
      <c r="E407" t="s">
        <v>6030</v>
      </c>
      <c r="F407" t="s">
        <v>6034</v>
      </c>
      <c r="G407" t="s">
        <v>6040</v>
      </c>
      <c r="H407" t="s">
        <v>6097</v>
      </c>
      <c r="I407">
        <v>24</v>
      </c>
      <c r="J407">
        <v>13.9</v>
      </c>
      <c r="K407" t="s">
        <v>6099</v>
      </c>
      <c r="L407" t="s">
        <v>6100</v>
      </c>
      <c r="M407" t="s">
        <v>6100</v>
      </c>
      <c r="O407" t="s">
        <v>6101</v>
      </c>
      <c r="P407" t="s">
        <v>6107</v>
      </c>
      <c r="Q407">
        <v>1</v>
      </c>
      <c r="R407">
        <v>2026</v>
      </c>
      <c r="S407" t="s">
        <v>6099</v>
      </c>
      <c r="T407">
        <v>1</v>
      </c>
      <c r="U407" t="s">
        <v>6018</v>
      </c>
      <c r="V407">
        <v>1</v>
      </c>
    </row>
    <row r="408" spans="1:22" x14ac:dyDescent="0.3">
      <c r="A408" t="s">
        <v>423</v>
      </c>
      <c r="B408" s="2">
        <v>46044.427083333336</v>
      </c>
      <c r="C408" s="2">
        <v>46046.097916666666</v>
      </c>
      <c r="D408" t="s">
        <v>6025</v>
      </c>
      <c r="E408" t="s">
        <v>6029</v>
      </c>
      <c r="F408" t="s">
        <v>6034</v>
      </c>
      <c r="G408" t="s">
        <v>6059</v>
      </c>
      <c r="H408" t="s">
        <v>6097</v>
      </c>
      <c r="I408">
        <v>24</v>
      </c>
      <c r="J408">
        <v>40.1</v>
      </c>
      <c r="K408" t="s">
        <v>6099</v>
      </c>
      <c r="L408" t="s">
        <v>6100</v>
      </c>
      <c r="M408" t="s">
        <v>6100</v>
      </c>
      <c r="O408" t="s">
        <v>6101</v>
      </c>
      <c r="P408" t="s">
        <v>6107</v>
      </c>
      <c r="Q408">
        <v>1</v>
      </c>
      <c r="R408">
        <v>2026</v>
      </c>
      <c r="S408" t="s">
        <v>6100</v>
      </c>
      <c r="T408">
        <v>0</v>
      </c>
      <c r="U408" t="s">
        <v>6018</v>
      </c>
      <c r="V408">
        <v>1</v>
      </c>
    </row>
    <row r="409" spans="1:22" x14ac:dyDescent="0.3">
      <c r="A409" t="s">
        <v>424</v>
      </c>
      <c r="B409" s="2">
        <v>46044.427083333336</v>
      </c>
      <c r="C409" s="2">
        <v>46044.88958333333</v>
      </c>
      <c r="D409" t="s">
        <v>6023</v>
      </c>
      <c r="E409" t="s">
        <v>6029</v>
      </c>
      <c r="F409" t="s">
        <v>6033</v>
      </c>
      <c r="G409" t="s">
        <v>6058</v>
      </c>
      <c r="H409" t="s">
        <v>6098</v>
      </c>
      <c r="I409">
        <v>72</v>
      </c>
      <c r="J409">
        <v>11.1</v>
      </c>
      <c r="K409" t="s">
        <v>6099</v>
      </c>
      <c r="L409" t="s">
        <v>6100</v>
      </c>
      <c r="M409" t="s">
        <v>6100</v>
      </c>
      <c r="O409" t="s">
        <v>6101</v>
      </c>
      <c r="P409" t="s">
        <v>6107</v>
      </c>
      <c r="Q409">
        <v>1</v>
      </c>
      <c r="R409">
        <v>2026</v>
      </c>
      <c r="S409" t="s">
        <v>6099</v>
      </c>
      <c r="T409">
        <v>1</v>
      </c>
      <c r="U409" t="s">
        <v>6017</v>
      </c>
      <c r="V409">
        <v>1</v>
      </c>
    </row>
    <row r="410" spans="1:22" x14ac:dyDescent="0.3">
      <c r="A410" t="s">
        <v>425</v>
      </c>
      <c r="B410" s="2">
        <v>46044.45208333333</v>
      </c>
      <c r="C410" s="2">
        <v>46044.747916666667</v>
      </c>
      <c r="D410" t="s">
        <v>6022</v>
      </c>
      <c r="E410" t="s">
        <v>6030</v>
      </c>
      <c r="F410" t="s">
        <v>6033</v>
      </c>
      <c r="G410" t="s">
        <v>6046</v>
      </c>
      <c r="H410" t="s">
        <v>6098</v>
      </c>
      <c r="I410">
        <v>72</v>
      </c>
      <c r="J410">
        <v>7.1</v>
      </c>
      <c r="K410" t="s">
        <v>6099</v>
      </c>
      <c r="L410" t="s">
        <v>6100</v>
      </c>
      <c r="M410" t="s">
        <v>6100</v>
      </c>
      <c r="N410">
        <v>5</v>
      </c>
      <c r="O410" t="s">
        <v>6101</v>
      </c>
      <c r="P410" t="s">
        <v>6107</v>
      </c>
      <c r="Q410">
        <v>1</v>
      </c>
      <c r="R410">
        <v>2026</v>
      </c>
      <c r="S410" t="s">
        <v>6099</v>
      </c>
      <c r="T410">
        <v>1</v>
      </c>
      <c r="U410" t="s">
        <v>6018</v>
      </c>
      <c r="V410">
        <v>1</v>
      </c>
    </row>
    <row r="411" spans="1:22" x14ac:dyDescent="0.3">
      <c r="A411" t="s">
        <v>426</v>
      </c>
      <c r="B411" s="2">
        <v>46044.467361111114</v>
      </c>
      <c r="C411" s="2">
        <v>46045.109027777777</v>
      </c>
      <c r="D411" t="s">
        <v>6023</v>
      </c>
      <c r="E411" t="s">
        <v>6029</v>
      </c>
      <c r="F411" t="s">
        <v>6034</v>
      </c>
      <c r="G411" t="s">
        <v>6079</v>
      </c>
      <c r="H411" t="s">
        <v>6097</v>
      </c>
      <c r="I411">
        <v>24</v>
      </c>
      <c r="J411">
        <v>15.4</v>
      </c>
      <c r="K411" t="s">
        <v>6100</v>
      </c>
      <c r="L411" t="s">
        <v>6100</v>
      </c>
      <c r="M411" t="s">
        <v>6100</v>
      </c>
      <c r="N411">
        <v>4</v>
      </c>
      <c r="O411" t="s">
        <v>6101</v>
      </c>
      <c r="P411" t="s">
        <v>6107</v>
      </c>
      <c r="Q411">
        <v>1</v>
      </c>
      <c r="R411">
        <v>2026</v>
      </c>
      <c r="S411" t="s">
        <v>6099</v>
      </c>
      <c r="T411">
        <v>1</v>
      </c>
      <c r="U411" t="s">
        <v>6018</v>
      </c>
      <c r="V411">
        <v>0</v>
      </c>
    </row>
    <row r="412" spans="1:22" x14ac:dyDescent="0.3">
      <c r="A412" t="s">
        <v>427</v>
      </c>
      <c r="B412" s="2">
        <v>46044.490972222222</v>
      </c>
      <c r="C412" s="2">
        <v>46044.565972222219</v>
      </c>
      <c r="D412" t="s">
        <v>6027</v>
      </c>
      <c r="E412" t="s">
        <v>6029</v>
      </c>
      <c r="F412" t="s">
        <v>6034</v>
      </c>
      <c r="G412" t="s">
        <v>6063</v>
      </c>
      <c r="H412" t="s">
        <v>6097</v>
      </c>
      <c r="I412">
        <v>24</v>
      </c>
      <c r="J412">
        <v>1.8</v>
      </c>
      <c r="K412" t="s">
        <v>6100</v>
      </c>
      <c r="L412" t="s">
        <v>6099</v>
      </c>
      <c r="M412" t="s">
        <v>6100</v>
      </c>
      <c r="N412">
        <v>4</v>
      </c>
      <c r="O412" t="s">
        <v>6101</v>
      </c>
      <c r="P412" t="s">
        <v>6107</v>
      </c>
      <c r="Q412">
        <v>1</v>
      </c>
      <c r="R412">
        <v>2026</v>
      </c>
      <c r="S412" t="s">
        <v>6099</v>
      </c>
      <c r="T412">
        <v>1</v>
      </c>
      <c r="U412" t="s">
        <v>6018</v>
      </c>
      <c r="V412">
        <v>0</v>
      </c>
    </row>
    <row r="413" spans="1:22" x14ac:dyDescent="0.3">
      <c r="A413" t="s">
        <v>428</v>
      </c>
      <c r="B413" s="2">
        <v>46044.524305555555</v>
      </c>
      <c r="C413" s="2">
        <v>46045.432638888888</v>
      </c>
      <c r="D413" t="s">
        <v>6027</v>
      </c>
      <c r="E413" t="s">
        <v>6032</v>
      </c>
      <c r="F413" t="s">
        <v>6034</v>
      </c>
      <c r="G413" t="s">
        <v>6042</v>
      </c>
      <c r="H413" t="s">
        <v>6098</v>
      </c>
      <c r="I413">
        <v>24</v>
      </c>
      <c r="J413">
        <v>21.8</v>
      </c>
      <c r="K413" t="s">
        <v>6099</v>
      </c>
      <c r="L413" t="s">
        <v>6100</v>
      </c>
      <c r="M413" t="s">
        <v>6100</v>
      </c>
      <c r="N413">
        <v>5</v>
      </c>
      <c r="O413" t="s">
        <v>6101</v>
      </c>
      <c r="P413" t="s">
        <v>6107</v>
      </c>
      <c r="Q413">
        <v>1</v>
      </c>
      <c r="R413">
        <v>2026</v>
      </c>
      <c r="S413" t="s">
        <v>6099</v>
      </c>
      <c r="T413">
        <v>1</v>
      </c>
      <c r="U413" t="s">
        <v>6021</v>
      </c>
      <c r="V413">
        <v>1</v>
      </c>
    </row>
    <row r="414" spans="1:22" x14ac:dyDescent="0.3">
      <c r="A414" t="s">
        <v>429</v>
      </c>
      <c r="B414" s="2">
        <v>46044.552083333336</v>
      </c>
      <c r="C414" s="2">
        <v>46045.856249999997</v>
      </c>
      <c r="D414" t="s">
        <v>6022</v>
      </c>
      <c r="E414" t="s">
        <v>6032</v>
      </c>
      <c r="F414" t="s">
        <v>6034</v>
      </c>
      <c r="G414" t="s">
        <v>6061</v>
      </c>
      <c r="H414" t="s">
        <v>6096</v>
      </c>
      <c r="I414">
        <v>24</v>
      </c>
      <c r="J414">
        <v>31.3</v>
      </c>
      <c r="K414" t="s">
        <v>6099</v>
      </c>
      <c r="L414" t="s">
        <v>6100</v>
      </c>
      <c r="M414" t="s">
        <v>6100</v>
      </c>
      <c r="N414">
        <v>3</v>
      </c>
      <c r="O414" t="s">
        <v>6101</v>
      </c>
      <c r="P414" t="s">
        <v>6107</v>
      </c>
      <c r="Q414">
        <v>1</v>
      </c>
      <c r="R414">
        <v>2026</v>
      </c>
      <c r="S414" t="s">
        <v>6100</v>
      </c>
      <c r="T414">
        <v>0</v>
      </c>
      <c r="U414" t="s">
        <v>6020</v>
      </c>
      <c r="V414">
        <v>1</v>
      </c>
    </row>
    <row r="415" spans="1:22" x14ac:dyDescent="0.3">
      <c r="A415" t="s">
        <v>430</v>
      </c>
      <c r="B415" s="2">
        <v>46044.627083333333</v>
      </c>
      <c r="C415" s="2">
        <v>46044.902083333334</v>
      </c>
      <c r="D415" t="s">
        <v>6028</v>
      </c>
      <c r="E415" t="s">
        <v>6029</v>
      </c>
      <c r="F415" t="s">
        <v>6035</v>
      </c>
      <c r="G415" t="s">
        <v>6043</v>
      </c>
      <c r="H415" t="s">
        <v>6097</v>
      </c>
      <c r="I415">
        <v>4</v>
      </c>
      <c r="J415">
        <v>6.6</v>
      </c>
      <c r="K415" t="s">
        <v>6099</v>
      </c>
      <c r="L415" t="s">
        <v>6100</v>
      </c>
      <c r="M415" t="s">
        <v>6100</v>
      </c>
      <c r="N415">
        <v>5</v>
      </c>
      <c r="O415" t="s">
        <v>6101</v>
      </c>
      <c r="P415" t="s">
        <v>6107</v>
      </c>
      <c r="Q415">
        <v>1</v>
      </c>
      <c r="R415">
        <v>2026</v>
      </c>
      <c r="S415" t="s">
        <v>6100</v>
      </c>
      <c r="T415">
        <v>0</v>
      </c>
      <c r="U415" t="s">
        <v>6018</v>
      </c>
      <c r="V415">
        <v>1</v>
      </c>
    </row>
    <row r="416" spans="1:22" x14ac:dyDescent="0.3">
      <c r="A416" t="s">
        <v>431</v>
      </c>
      <c r="B416" s="2">
        <v>46044.654166666667</v>
      </c>
      <c r="C416" s="2">
        <v>46045.14166666667</v>
      </c>
      <c r="D416" t="s">
        <v>6025</v>
      </c>
      <c r="E416" t="s">
        <v>6029</v>
      </c>
      <c r="F416" t="s">
        <v>6033</v>
      </c>
      <c r="G416" t="s">
        <v>6051</v>
      </c>
      <c r="H416" t="s">
        <v>6097</v>
      </c>
      <c r="I416">
        <v>72</v>
      </c>
      <c r="J416">
        <v>11.7</v>
      </c>
      <c r="K416" t="s">
        <v>6099</v>
      </c>
      <c r="L416" t="s">
        <v>6100</v>
      </c>
      <c r="M416" t="s">
        <v>6099</v>
      </c>
      <c r="N416">
        <v>5</v>
      </c>
      <c r="O416" t="s">
        <v>6101</v>
      </c>
      <c r="P416" t="s">
        <v>6107</v>
      </c>
      <c r="Q416">
        <v>1</v>
      </c>
      <c r="R416">
        <v>2026</v>
      </c>
      <c r="S416" t="s">
        <v>6099</v>
      </c>
      <c r="T416">
        <v>1</v>
      </c>
      <c r="U416" t="s">
        <v>6019</v>
      </c>
      <c r="V416">
        <v>1</v>
      </c>
    </row>
    <row r="417" spans="1:22" x14ac:dyDescent="0.3">
      <c r="A417" t="s">
        <v>432</v>
      </c>
      <c r="B417" s="2">
        <v>46044.73333333333</v>
      </c>
      <c r="C417" s="2">
        <v>46045.395833333336</v>
      </c>
      <c r="D417" t="s">
        <v>6022</v>
      </c>
      <c r="E417" t="s">
        <v>6029</v>
      </c>
      <c r="F417" t="s">
        <v>6034</v>
      </c>
      <c r="G417" t="s">
        <v>6078</v>
      </c>
      <c r="H417" t="s">
        <v>6097</v>
      </c>
      <c r="I417">
        <v>24</v>
      </c>
      <c r="J417">
        <v>15.9</v>
      </c>
      <c r="K417" t="s">
        <v>6099</v>
      </c>
      <c r="L417" t="s">
        <v>6100</v>
      </c>
      <c r="M417" t="s">
        <v>6100</v>
      </c>
      <c r="N417">
        <v>4</v>
      </c>
      <c r="O417" t="s">
        <v>6101</v>
      </c>
      <c r="P417" t="s">
        <v>6107</v>
      </c>
      <c r="Q417">
        <v>1</v>
      </c>
      <c r="R417">
        <v>2026</v>
      </c>
      <c r="S417" t="s">
        <v>6099</v>
      </c>
      <c r="T417">
        <v>1</v>
      </c>
      <c r="U417" t="s">
        <v>6020</v>
      </c>
      <c r="V417">
        <v>1</v>
      </c>
    </row>
    <row r="418" spans="1:22" x14ac:dyDescent="0.3">
      <c r="A418" t="s">
        <v>433</v>
      </c>
      <c r="B418" s="2">
        <v>46044.747916666667</v>
      </c>
      <c r="C418" s="2">
        <v>46050.943749999999</v>
      </c>
      <c r="D418" t="s">
        <v>6026</v>
      </c>
      <c r="E418" t="s">
        <v>6031</v>
      </c>
      <c r="F418" t="s">
        <v>6034</v>
      </c>
      <c r="G418" t="s">
        <v>6041</v>
      </c>
      <c r="H418" t="s">
        <v>6096</v>
      </c>
      <c r="I418">
        <v>24</v>
      </c>
      <c r="J418">
        <v>148.69999999999999</v>
      </c>
      <c r="K418" t="s">
        <v>6099</v>
      </c>
      <c r="L418" t="s">
        <v>6100</v>
      </c>
      <c r="M418" t="s">
        <v>6100</v>
      </c>
      <c r="N418">
        <v>5</v>
      </c>
      <c r="O418" t="s">
        <v>6101</v>
      </c>
      <c r="P418" t="s">
        <v>6107</v>
      </c>
      <c r="Q418">
        <v>1</v>
      </c>
      <c r="R418">
        <v>2026</v>
      </c>
      <c r="S418" t="s">
        <v>6100</v>
      </c>
      <c r="T418">
        <v>0</v>
      </c>
      <c r="U418" t="s">
        <v>6020</v>
      </c>
      <c r="V418">
        <v>1</v>
      </c>
    </row>
    <row r="419" spans="1:22" x14ac:dyDescent="0.3">
      <c r="A419" t="s">
        <v>434</v>
      </c>
      <c r="B419" s="2">
        <v>46044.946527777778</v>
      </c>
      <c r="C419" s="2">
        <v>46046.046527777777</v>
      </c>
      <c r="D419" t="s">
        <v>6022</v>
      </c>
      <c r="E419" t="s">
        <v>6029</v>
      </c>
      <c r="F419" t="s">
        <v>6033</v>
      </c>
      <c r="G419" t="s">
        <v>6051</v>
      </c>
      <c r="H419" t="s">
        <v>6097</v>
      </c>
      <c r="I419">
        <v>72</v>
      </c>
      <c r="J419">
        <v>26.4</v>
      </c>
      <c r="K419" t="s">
        <v>6099</v>
      </c>
      <c r="L419" t="s">
        <v>6100</v>
      </c>
      <c r="M419" t="s">
        <v>6100</v>
      </c>
      <c r="N419">
        <v>4</v>
      </c>
      <c r="O419" t="s">
        <v>6101</v>
      </c>
      <c r="P419" t="s">
        <v>6107</v>
      </c>
      <c r="Q419">
        <v>1</v>
      </c>
      <c r="R419">
        <v>2026</v>
      </c>
      <c r="S419" t="s">
        <v>6099</v>
      </c>
      <c r="T419">
        <v>1</v>
      </c>
      <c r="U419" t="s">
        <v>6021</v>
      </c>
      <c r="V419">
        <v>1</v>
      </c>
    </row>
    <row r="420" spans="1:22" x14ac:dyDescent="0.3">
      <c r="A420" t="s">
        <v>435</v>
      </c>
      <c r="B420" s="2">
        <v>46044.979861111111</v>
      </c>
      <c r="C420" s="2">
        <v>46046.125694444447</v>
      </c>
      <c r="D420" t="s">
        <v>6025</v>
      </c>
      <c r="E420" t="s">
        <v>6031</v>
      </c>
      <c r="F420" t="s">
        <v>6034</v>
      </c>
      <c r="G420" t="s">
        <v>6079</v>
      </c>
      <c r="H420" t="s">
        <v>6097</v>
      </c>
      <c r="I420">
        <v>24</v>
      </c>
      <c r="J420">
        <v>27.5</v>
      </c>
      <c r="K420" t="s">
        <v>6099</v>
      </c>
      <c r="L420" t="s">
        <v>6100</v>
      </c>
      <c r="M420" t="s">
        <v>6100</v>
      </c>
      <c r="N420">
        <v>5</v>
      </c>
      <c r="O420" t="s">
        <v>6101</v>
      </c>
      <c r="P420" t="s">
        <v>6107</v>
      </c>
      <c r="Q420">
        <v>1</v>
      </c>
      <c r="R420">
        <v>2026</v>
      </c>
      <c r="S420" t="s">
        <v>6100</v>
      </c>
      <c r="T420">
        <v>0</v>
      </c>
      <c r="U420" t="s">
        <v>6018</v>
      </c>
      <c r="V420">
        <v>1</v>
      </c>
    </row>
    <row r="421" spans="1:22" x14ac:dyDescent="0.3">
      <c r="A421" t="s">
        <v>436</v>
      </c>
      <c r="B421" s="2">
        <v>46045.226388888892</v>
      </c>
      <c r="C421" s="2">
        <v>46046.826388888891</v>
      </c>
      <c r="D421" t="s">
        <v>6027</v>
      </c>
      <c r="E421" t="s">
        <v>6031</v>
      </c>
      <c r="F421" t="s">
        <v>6033</v>
      </c>
      <c r="G421" t="s">
        <v>6051</v>
      </c>
      <c r="H421" t="s">
        <v>6097</v>
      </c>
      <c r="I421">
        <v>72</v>
      </c>
      <c r="J421">
        <v>38.4</v>
      </c>
      <c r="K421" t="s">
        <v>6099</v>
      </c>
      <c r="L421" t="s">
        <v>6100</v>
      </c>
      <c r="M421" t="s">
        <v>6100</v>
      </c>
      <c r="O421" t="s">
        <v>6101</v>
      </c>
      <c r="P421" t="s">
        <v>6107</v>
      </c>
      <c r="Q421">
        <v>1</v>
      </c>
      <c r="R421">
        <v>2026</v>
      </c>
      <c r="S421" t="s">
        <v>6099</v>
      </c>
      <c r="T421">
        <v>1</v>
      </c>
      <c r="U421" t="s">
        <v>6021</v>
      </c>
      <c r="V421">
        <v>1</v>
      </c>
    </row>
    <row r="422" spans="1:22" x14ac:dyDescent="0.3">
      <c r="A422" t="s">
        <v>437</v>
      </c>
      <c r="B422" s="2">
        <v>46045.240277777775</v>
      </c>
      <c r="C422" s="2">
        <v>46049.119444444441</v>
      </c>
      <c r="D422" t="s">
        <v>6022</v>
      </c>
      <c r="E422" t="s">
        <v>6031</v>
      </c>
      <c r="F422" t="s">
        <v>6034</v>
      </c>
      <c r="G422" t="s">
        <v>6043</v>
      </c>
      <c r="H422" t="s">
        <v>6097</v>
      </c>
      <c r="I422">
        <v>24</v>
      </c>
      <c r="J422">
        <v>93.1</v>
      </c>
      <c r="K422" t="s">
        <v>6099</v>
      </c>
      <c r="L422" t="s">
        <v>6100</v>
      </c>
      <c r="M422" t="s">
        <v>6100</v>
      </c>
      <c r="O422" t="s">
        <v>6101</v>
      </c>
      <c r="P422" t="s">
        <v>6107</v>
      </c>
      <c r="Q422">
        <v>1</v>
      </c>
      <c r="R422">
        <v>2026</v>
      </c>
      <c r="S422" t="s">
        <v>6100</v>
      </c>
      <c r="T422">
        <v>0</v>
      </c>
      <c r="U422" t="s">
        <v>6019</v>
      </c>
      <c r="V422">
        <v>1</v>
      </c>
    </row>
    <row r="423" spans="1:22" x14ac:dyDescent="0.3">
      <c r="A423" t="s">
        <v>438</v>
      </c>
      <c r="B423" s="2">
        <v>46045.434027777781</v>
      </c>
      <c r="C423" s="2">
        <v>46046.463194444441</v>
      </c>
      <c r="D423" t="s">
        <v>6026</v>
      </c>
      <c r="E423" t="s">
        <v>6030</v>
      </c>
      <c r="F423" t="s">
        <v>6034</v>
      </c>
      <c r="G423" t="s">
        <v>6065</v>
      </c>
      <c r="H423" t="s">
        <v>6097</v>
      </c>
      <c r="I423">
        <v>24</v>
      </c>
      <c r="J423">
        <v>24.7</v>
      </c>
      <c r="K423" t="s">
        <v>6099</v>
      </c>
      <c r="L423" t="s">
        <v>6100</v>
      </c>
      <c r="M423" t="s">
        <v>6100</v>
      </c>
      <c r="N423">
        <v>3</v>
      </c>
      <c r="O423" t="s">
        <v>6101</v>
      </c>
      <c r="P423" t="s">
        <v>6107</v>
      </c>
      <c r="Q423">
        <v>1</v>
      </c>
      <c r="R423">
        <v>2026</v>
      </c>
      <c r="S423" t="s">
        <v>6100</v>
      </c>
      <c r="T423">
        <v>0</v>
      </c>
      <c r="U423" t="s">
        <v>6018</v>
      </c>
      <c r="V423">
        <v>1</v>
      </c>
    </row>
    <row r="424" spans="1:22" x14ac:dyDescent="0.3">
      <c r="A424" t="s">
        <v>439</v>
      </c>
      <c r="B424" s="2">
        <v>46045.46597222222</v>
      </c>
      <c r="C424" s="2">
        <v>46045.799305555556</v>
      </c>
      <c r="D424" t="s">
        <v>6022</v>
      </c>
      <c r="E424" t="s">
        <v>6030</v>
      </c>
      <c r="F424" t="s">
        <v>6033</v>
      </c>
      <c r="G424" t="s">
        <v>6080</v>
      </c>
      <c r="H424" t="s">
        <v>6096</v>
      </c>
      <c r="I424">
        <v>72</v>
      </c>
      <c r="J424">
        <v>8</v>
      </c>
      <c r="K424" t="s">
        <v>6099</v>
      </c>
      <c r="L424" t="s">
        <v>6100</v>
      </c>
      <c r="M424" t="s">
        <v>6100</v>
      </c>
      <c r="N424">
        <v>5</v>
      </c>
      <c r="O424" t="s">
        <v>6101</v>
      </c>
      <c r="P424" t="s">
        <v>6107</v>
      </c>
      <c r="Q424">
        <v>1</v>
      </c>
      <c r="R424">
        <v>2026</v>
      </c>
      <c r="S424" t="s">
        <v>6099</v>
      </c>
      <c r="T424">
        <v>1</v>
      </c>
      <c r="U424" t="s">
        <v>6018</v>
      </c>
      <c r="V424">
        <v>1</v>
      </c>
    </row>
    <row r="425" spans="1:22" x14ac:dyDescent="0.3">
      <c r="A425" t="s">
        <v>440</v>
      </c>
      <c r="B425" s="2">
        <v>46045.47152777778</v>
      </c>
      <c r="C425" s="2">
        <v>46045.750694444447</v>
      </c>
      <c r="D425" t="s">
        <v>6024</v>
      </c>
      <c r="E425" t="s">
        <v>6030</v>
      </c>
      <c r="F425" t="s">
        <v>6033</v>
      </c>
      <c r="G425" t="s">
        <v>6038</v>
      </c>
      <c r="H425" t="s">
        <v>6096</v>
      </c>
      <c r="I425">
        <v>72</v>
      </c>
      <c r="J425">
        <v>6.7</v>
      </c>
      <c r="K425" t="s">
        <v>6099</v>
      </c>
      <c r="L425" t="s">
        <v>6100</v>
      </c>
      <c r="M425" t="s">
        <v>6100</v>
      </c>
      <c r="O425" t="s">
        <v>6101</v>
      </c>
      <c r="P425" t="s">
        <v>6107</v>
      </c>
      <c r="Q425">
        <v>1</v>
      </c>
      <c r="R425">
        <v>2026</v>
      </c>
      <c r="S425" t="s">
        <v>6099</v>
      </c>
      <c r="T425">
        <v>1</v>
      </c>
      <c r="U425" t="s">
        <v>6018</v>
      </c>
      <c r="V425">
        <v>1</v>
      </c>
    </row>
    <row r="426" spans="1:22" x14ac:dyDescent="0.3">
      <c r="A426" t="s">
        <v>441</v>
      </c>
      <c r="B426" s="2">
        <v>46045.50277777778</v>
      </c>
      <c r="C426" s="2">
        <v>46045.723611111112</v>
      </c>
      <c r="D426" t="s">
        <v>6022</v>
      </c>
      <c r="E426" t="s">
        <v>6029</v>
      </c>
      <c r="F426" t="s">
        <v>6034</v>
      </c>
      <c r="G426" t="s">
        <v>6054</v>
      </c>
      <c r="H426" t="s">
        <v>6096</v>
      </c>
      <c r="I426">
        <v>24</v>
      </c>
      <c r="J426">
        <v>5.3</v>
      </c>
      <c r="K426" t="s">
        <v>6100</v>
      </c>
      <c r="L426" t="s">
        <v>6099</v>
      </c>
      <c r="M426" t="s">
        <v>6100</v>
      </c>
      <c r="O426" t="s">
        <v>6101</v>
      </c>
      <c r="P426" t="s">
        <v>6107</v>
      </c>
      <c r="Q426">
        <v>1</v>
      </c>
      <c r="R426">
        <v>2026</v>
      </c>
      <c r="S426" t="s">
        <v>6099</v>
      </c>
      <c r="T426">
        <v>1</v>
      </c>
      <c r="U426" t="s">
        <v>6021</v>
      </c>
      <c r="V426">
        <v>0</v>
      </c>
    </row>
    <row r="427" spans="1:22" x14ac:dyDescent="0.3">
      <c r="A427" t="s">
        <v>442</v>
      </c>
      <c r="B427" s="2">
        <v>46045.547222222223</v>
      </c>
      <c r="C427" s="2">
        <v>46047.772222222222</v>
      </c>
      <c r="D427" t="s">
        <v>6025</v>
      </c>
      <c r="E427" t="s">
        <v>6031</v>
      </c>
      <c r="F427" t="s">
        <v>6035</v>
      </c>
      <c r="G427" t="s">
        <v>6063</v>
      </c>
      <c r="H427" t="s">
        <v>6097</v>
      </c>
      <c r="I427">
        <v>4</v>
      </c>
      <c r="J427">
        <v>53.4</v>
      </c>
      <c r="K427" t="s">
        <v>6099</v>
      </c>
      <c r="L427" t="s">
        <v>6100</v>
      </c>
      <c r="M427" t="s">
        <v>6099</v>
      </c>
      <c r="O427" t="s">
        <v>6101</v>
      </c>
      <c r="P427" t="s">
        <v>6107</v>
      </c>
      <c r="Q427">
        <v>1</v>
      </c>
      <c r="R427">
        <v>2026</v>
      </c>
      <c r="S427" t="s">
        <v>6100</v>
      </c>
      <c r="T427">
        <v>0</v>
      </c>
      <c r="U427" t="s">
        <v>6019</v>
      </c>
      <c r="V427">
        <v>1</v>
      </c>
    </row>
    <row r="428" spans="1:22" x14ac:dyDescent="0.3">
      <c r="A428" t="s">
        <v>443</v>
      </c>
      <c r="B428" s="2">
        <v>46045.5625</v>
      </c>
      <c r="C428" s="2">
        <v>46047.129166666666</v>
      </c>
      <c r="D428" t="s">
        <v>6028</v>
      </c>
      <c r="E428" t="s">
        <v>6032</v>
      </c>
      <c r="F428" t="s">
        <v>6035</v>
      </c>
      <c r="G428" t="s">
        <v>6065</v>
      </c>
      <c r="H428" t="s">
        <v>6097</v>
      </c>
      <c r="I428">
        <v>4</v>
      </c>
      <c r="J428">
        <v>37.6</v>
      </c>
      <c r="K428" t="s">
        <v>6099</v>
      </c>
      <c r="L428" t="s">
        <v>6100</v>
      </c>
      <c r="M428" t="s">
        <v>6099</v>
      </c>
      <c r="N428">
        <v>3</v>
      </c>
      <c r="O428" t="s">
        <v>6101</v>
      </c>
      <c r="P428" t="s">
        <v>6107</v>
      </c>
      <c r="Q428">
        <v>1</v>
      </c>
      <c r="R428">
        <v>2026</v>
      </c>
      <c r="S428" t="s">
        <v>6100</v>
      </c>
      <c r="T428">
        <v>0</v>
      </c>
      <c r="U428" t="s">
        <v>6020</v>
      </c>
      <c r="V428">
        <v>1</v>
      </c>
    </row>
    <row r="429" spans="1:22" x14ac:dyDescent="0.3">
      <c r="A429" t="s">
        <v>444</v>
      </c>
      <c r="B429" s="2">
        <v>46045.56527777778</v>
      </c>
      <c r="C429" s="2">
        <v>46045.861111111109</v>
      </c>
      <c r="D429" t="s">
        <v>6028</v>
      </c>
      <c r="E429" t="s">
        <v>6029</v>
      </c>
      <c r="F429" t="s">
        <v>6034</v>
      </c>
      <c r="G429" t="s">
        <v>6067</v>
      </c>
      <c r="H429" t="s">
        <v>6098</v>
      </c>
      <c r="I429">
        <v>24</v>
      </c>
      <c r="J429">
        <v>7.1</v>
      </c>
      <c r="K429" t="s">
        <v>6099</v>
      </c>
      <c r="L429" t="s">
        <v>6100</v>
      </c>
      <c r="M429" t="s">
        <v>6100</v>
      </c>
      <c r="O429" t="s">
        <v>6101</v>
      </c>
      <c r="P429" t="s">
        <v>6107</v>
      </c>
      <c r="Q429">
        <v>1</v>
      </c>
      <c r="R429">
        <v>2026</v>
      </c>
      <c r="S429" t="s">
        <v>6099</v>
      </c>
      <c r="T429">
        <v>1</v>
      </c>
      <c r="U429" t="s">
        <v>6021</v>
      </c>
      <c r="V429">
        <v>1</v>
      </c>
    </row>
    <row r="430" spans="1:22" x14ac:dyDescent="0.3">
      <c r="A430" t="s">
        <v>445</v>
      </c>
      <c r="B430" s="2">
        <v>46045.588194444441</v>
      </c>
      <c r="C430" s="2">
        <v>46045.709027777775</v>
      </c>
      <c r="D430" t="s">
        <v>6022</v>
      </c>
      <c r="E430" t="s">
        <v>6029</v>
      </c>
      <c r="F430" t="s">
        <v>6034</v>
      </c>
      <c r="G430" t="s">
        <v>6039</v>
      </c>
      <c r="H430" t="s">
        <v>6097</v>
      </c>
      <c r="I430">
        <v>24</v>
      </c>
      <c r="J430">
        <v>2.9</v>
      </c>
      <c r="K430" t="s">
        <v>6099</v>
      </c>
      <c r="L430" t="s">
        <v>6100</v>
      </c>
      <c r="M430" t="s">
        <v>6100</v>
      </c>
      <c r="N430">
        <v>5</v>
      </c>
      <c r="O430" t="s">
        <v>6101</v>
      </c>
      <c r="P430" t="s">
        <v>6107</v>
      </c>
      <c r="Q430">
        <v>1</v>
      </c>
      <c r="R430">
        <v>2026</v>
      </c>
      <c r="S430" t="s">
        <v>6099</v>
      </c>
      <c r="T430">
        <v>1</v>
      </c>
      <c r="U430" t="s">
        <v>6019</v>
      </c>
      <c r="V430">
        <v>1</v>
      </c>
    </row>
    <row r="431" spans="1:22" x14ac:dyDescent="0.3">
      <c r="A431" t="s">
        <v>446</v>
      </c>
      <c r="B431" s="2">
        <v>46045.616666666669</v>
      </c>
      <c r="C431" s="2">
        <v>46045.837500000001</v>
      </c>
      <c r="D431" t="s">
        <v>6027</v>
      </c>
      <c r="E431" t="s">
        <v>6029</v>
      </c>
      <c r="F431" t="s">
        <v>6033</v>
      </c>
      <c r="G431" t="s">
        <v>6081</v>
      </c>
      <c r="H431" t="s">
        <v>6098</v>
      </c>
      <c r="I431">
        <v>72</v>
      </c>
      <c r="J431">
        <v>5.3</v>
      </c>
      <c r="K431" t="s">
        <v>6099</v>
      </c>
      <c r="L431" t="s">
        <v>6100</v>
      </c>
      <c r="M431" t="s">
        <v>6100</v>
      </c>
      <c r="N431">
        <v>5</v>
      </c>
      <c r="O431" t="s">
        <v>6101</v>
      </c>
      <c r="P431" t="s">
        <v>6107</v>
      </c>
      <c r="Q431">
        <v>1</v>
      </c>
      <c r="R431">
        <v>2026</v>
      </c>
      <c r="S431" t="s">
        <v>6099</v>
      </c>
      <c r="T431">
        <v>1</v>
      </c>
      <c r="U431" t="s">
        <v>6020</v>
      </c>
      <c r="V431">
        <v>1</v>
      </c>
    </row>
    <row r="432" spans="1:22" x14ac:dyDescent="0.3">
      <c r="A432" t="s">
        <v>447</v>
      </c>
      <c r="B432" s="2">
        <v>46045.651388888888</v>
      </c>
      <c r="C432" s="2">
        <v>46045.87222222222</v>
      </c>
      <c r="D432" t="s">
        <v>6022</v>
      </c>
      <c r="E432" t="s">
        <v>6030</v>
      </c>
      <c r="F432" t="s">
        <v>6035</v>
      </c>
      <c r="G432" t="s">
        <v>6068</v>
      </c>
      <c r="H432" t="s">
        <v>6098</v>
      </c>
      <c r="I432">
        <v>4</v>
      </c>
      <c r="J432">
        <v>5.3</v>
      </c>
      <c r="K432" t="s">
        <v>6099</v>
      </c>
      <c r="L432" t="s">
        <v>6100</v>
      </c>
      <c r="M432" t="s">
        <v>6100</v>
      </c>
      <c r="O432" t="s">
        <v>6101</v>
      </c>
      <c r="P432" t="s">
        <v>6107</v>
      </c>
      <c r="Q432">
        <v>1</v>
      </c>
      <c r="R432">
        <v>2026</v>
      </c>
      <c r="S432" t="s">
        <v>6100</v>
      </c>
      <c r="T432">
        <v>0</v>
      </c>
      <c r="U432" t="s">
        <v>6019</v>
      </c>
      <c r="V432">
        <v>1</v>
      </c>
    </row>
    <row r="433" spans="1:22" x14ac:dyDescent="0.3">
      <c r="A433" t="s">
        <v>448</v>
      </c>
      <c r="B433" s="2">
        <v>46045.658333333333</v>
      </c>
      <c r="C433" s="2">
        <v>46046.054166666669</v>
      </c>
      <c r="D433" t="s">
        <v>6022</v>
      </c>
      <c r="E433" t="s">
        <v>6030</v>
      </c>
      <c r="F433" t="s">
        <v>6034</v>
      </c>
      <c r="G433" t="s">
        <v>6086</v>
      </c>
      <c r="H433" t="s">
        <v>6098</v>
      </c>
      <c r="I433">
        <v>24</v>
      </c>
      <c r="J433">
        <v>9.5</v>
      </c>
      <c r="K433" t="s">
        <v>6099</v>
      </c>
      <c r="L433" t="s">
        <v>6100</v>
      </c>
      <c r="M433" t="s">
        <v>6100</v>
      </c>
      <c r="N433">
        <v>5</v>
      </c>
      <c r="O433" t="s">
        <v>6101</v>
      </c>
      <c r="P433" t="s">
        <v>6107</v>
      </c>
      <c r="Q433">
        <v>1</v>
      </c>
      <c r="R433">
        <v>2026</v>
      </c>
      <c r="S433" t="s">
        <v>6099</v>
      </c>
      <c r="T433">
        <v>1</v>
      </c>
      <c r="U433" t="s">
        <v>6018</v>
      </c>
      <c r="V433">
        <v>1</v>
      </c>
    </row>
    <row r="434" spans="1:22" x14ac:dyDescent="0.3">
      <c r="A434" t="s">
        <v>449</v>
      </c>
      <c r="B434" s="2">
        <v>46045.71597222222</v>
      </c>
      <c r="C434" s="2">
        <v>46046.082638888889</v>
      </c>
      <c r="D434" t="s">
        <v>6022</v>
      </c>
      <c r="E434" t="s">
        <v>6029</v>
      </c>
      <c r="F434" t="s">
        <v>6034</v>
      </c>
      <c r="G434" t="s">
        <v>6052</v>
      </c>
      <c r="H434" t="s">
        <v>6098</v>
      </c>
      <c r="I434">
        <v>24</v>
      </c>
      <c r="J434">
        <v>8.8000000000000007</v>
      </c>
      <c r="K434" t="s">
        <v>6099</v>
      </c>
      <c r="L434" t="s">
        <v>6100</v>
      </c>
      <c r="M434" t="s">
        <v>6100</v>
      </c>
      <c r="O434" t="s">
        <v>6101</v>
      </c>
      <c r="P434" t="s">
        <v>6107</v>
      </c>
      <c r="Q434">
        <v>1</v>
      </c>
      <c r="R434">
        <v>2026</v>
      </c>
      <c r="S434" t="s">
        <v>6099</v>
      </c>
      <c r="T434">
        <v>1</v>
      </c>
      <c r="U434" t="s">
        <v>6021</v>
      </c>
      <c r="V434">
        <v>1</v>
      </c>
    </row>
    <row r="435" spans="1:22" x14ac:dyDescent="0.3">
      <c r="A435" t="s">
        <v>450</v>
      </c>
      <c r="B435" s="2">
        <v>46045.822222222225</v>
      </c>
      <c r="C435" s="2">
        <v>46046.226388888892</v>
      </c>
      <c r="D435" t="s">
        <v>6025</v>
      </c>
      <c r="E435" t="s">
        <v>6029</v>
      </c>
      <c r="F435" t="s">
        <v>6034</v>
      </c>
      <c r="G435" t="s">
        <v>6056</v>
      </c>
      <c r="H435" t="s">
        <v>6098</v>
      </c>
      <c r="I435">
        <v>24</v>
      </c>
      <c r="J435">
        <v>9.6999999999999993</v>
      </c>
      <c r="K435" t="s">
        <v>6100</v>
      </c>
      <c r="L435" t="s">
        <v>6100</v>
      </c>
      <c r="M435" t="s">
        <v>6099</v>
      </c>
      <c r="N435">
        <v>3</v>
      </c>
      <c r="O435" t="s">
        <v>6101</v>
      </c>
      <c r="P435" t="s">
        <v>6107</v>
      </c>
      <c r="Q435">
        <v>1</v>
      </c>
      <c r="R435">
        <v>2026</v>
      </c>
      <c r="S435" t="s">
        <v>6099</v>
      </c>
      <c r="T435">
        <v>1</v>
      </c>
      <c r="U435" t="s">
        <v>6020</v>
      </c>
      <c r="V435">
        <v>0</v>
      </c>
    </row>
    <row r="436" spans="1:22" x14ac:dyDescent="0.3">
      <c r="A436" t="s">
        <v>451</v>
      </c>
      <c r="B436" s="2">
        <v>46045.826388888891</v>
      </c>
      <c r="C436" s="2">
        <v>46046.818055555559</v>
      </c>
      <c r="D436" t="s">
        <v>6025</v>
      </c>
      <c r="E436" t="s">
        <v>6029</v>
      </c>
      <c r="F436" t="s">
        <v>6033</v>
      </c>
      <c r="G436" t="s">
        <v>6089</v>
      </c>
      <c r="H436" t="s">
        <v>6098</v>
      </c>
      <c r="I436">
        <v>72</v>
      </c>
      <c r="J436">
        <v>23.8</v>
      </c>
      <c r="K436" t="s">
        <v>6099</v>
      </c>
      <c r="L436" t="s">
        <v>6100</v>
      </c>
      <c r="M436" t="s">
        <v>6100</v>
      </c>
      <c r="N436">
        <v>5</v>
      </c>
      <c r="O436" t="s">
        <v>6101</v>
      </c>
      <c r="P436" t="s">
        <v>6107</v>
      </c>
      <c r="Q436">
        <v>1</v>
      </c>
      <c r="R436">
        <v>2026</v>
      </c>
      <c r="S436" t="s">
        <v>6099</v>
      </c>
      <c r="T436">
        <v>1</v>
      </c>
      <c r="U436" t="s">
        <v>6019</v>
      </c>
      <c r="V436">
        <v>1</v>
      </c>
    </row>
    <row r="437" spans="1:22" x14ac:dyDescent="0.3">
      <c r="A437" t="s">
        <v>452</v>
      </c>
      <c r="B437" s="2">
        <v>46046.0625</v>
      </c>
      <c r="C437" s="2">
        <v>46047.554166666669</v>
      </c>
      <c r="D437" t="s">
        <v>6025</v>
      </c>
      <c r="E437" t="s">
        <v>6032</v>
      </c>
      <c r="F437" t="s">
        <v>6033</v>
      </c>
      <c r="G437" t="s">
        <v>6091</v>
      </c>
      <c r="H437" t="s">
        <v>6097</v>
      </c>
      <c r="I437">
        <v>72</v>
      </c>
      <c r="J437">
        <v>35.799999999999997</v>
      </c>
      <c r="K437" t="s">
        <v>6100</v>
      </c>
      <c r="L437" t="s">
        <v>6099</v>
      </c>
      <c r="M437" t="s">
        <v>6100</v>
      </c>
      <c r="N437">
        <v>5</v>
      </c>
      <c r="O437" t="s">
        <v>6101</v>
      </c>
      <c r="P437" t="s">
        <v>6107</v>
      </c>
      <c r="Q437">
        <v>1</v>
      </c>
      <c r="R437">
        <v>2026</v>
      </c>
      <c r="S437" t="s">
        <v>6099</v>
      </c>
      <c r="T437">
        <v>1</v>
      </c>
      <c r="U437" t="s">
        <v>6018</v>
      </c>
      <c r="V437">
        <v>0</v>
      </c>
    </row>
    <row r="438" spans="1:22" x14ac:dyDescent="0.3">
      <c r="A438" t="s">
        <v>453</v>
      </c>
      <c r="B438" s="2">
        <v>46046.131249999999</v>
      </c>
      <c r="C438" s="2">
        <v>46046.59375</v>
      </c>
      <c r="D438" t="s">
        <v>6027</v>
      </c>
      <c r="E438" t="s">
        <v>6029</v>
      </c>
      <c r="F438" t="s">
        <v>6033</v>
      </c>
      <c r="G438" t="s">
        <v>6088</v>
      </c>
      <c r="H438" t="s">
        <v>6097</v>
      </c>
      <c r="I438">
        <v>72</v>
      </c>
      <c r="J438">
        <v>11.1</v>
      </c>
      <c r="K438" t="s">
        <v>6099</v>
      </c>
      <c r="L438" t="s">
        <v>6100</v>
      </c>
      <c r="M438" t="s">
        <v>6100</v>
      </c>
      <c r="O438" t="s">
        <v>6101</v>
      </c>
      <c r="P438" t="s">
        <v>6107</v>
      </c>
      <c r="Q438">
        <v>1</v>
      </c>
      <c r="R438">
        <v>2026</v>
      </c>
      <c r="S438" t="s">
        <v>6099</v>
      </c>
      <c r="T438">
        <v>1</v>
      </c>
      <c r="U438" t="s">
        <v>6019</v>
      </c>
      <c r="V438">
        <v>1</v>
      </c>
    </row>
    <row r="439" spans="1:22" x14ac:dyDescent="0.3">
      <c r="A439" t="s">
        <v>454</v>
      </c>
      <c r="B439" s="2">
        <v>46046.302777777775</v>
      </c>
      <c r="C439" s="2">
        <v>46048.373611111114</v>
      </c>
      <c r="D439" t="s">
        <v>6025</v>
      </c>
      <c r="E439" t="s">
        <v>6031</v>
      </c>
      <c r="F439" t="s">
        <v>6033</v>
      </c>
      <c r="G439" t="s">
        <v>6065</v>
      </c>
      <c r="H439" t="s">
        <v>6097</v>
      </c>
      <c r="I439">
        <v>72</v>
      </c>
      <c r="J439">
        <v>49.7</v>
      </c>
      <c r="K439" t="s">
        <v>6100</v>
      </c>
      <c r="L439" t="s">
        <v>6099</v>
      </c>
      <c r="M439" t="s">
        <v>6100</v>
      </c>
      <c r="N439">
        <v>4</v>
      </c>
      <c r="O439" t="s">
        <v>6101</v>
      </c>
      <c r="P439" t="s">
        <v>6107</v>
      </c>
      <c r="Q439">
        <v>1</v>
      </c>
      <c r="R439">
        <v>2026</v>
      </c>
      <c r="S439" t="s">
        <v>6099</v>
      </c>
      <c r="T439">
        <v>1</v>
      </c>
      <c r="U439" t="s">
        <v>6019</v>
      </c>
      <c r="V439">
        <v>0</v>
      </c>
    </row>
    <row r="440" spans="1:22" x14ac:dyDescent="0.3">
      <c r="A440" t="s">
        <v>455</v>
      </c>
      <c r="B440" s="2">
        <v>46046.327777777777</v>
      </c>
      <c r="C440" s="2">
        <v>46046.881944444445</v>
      </c>
      <c r="D440" t="s">
        <v>6023</v>
      </c>
      <c r="E440" t="s">
        <v>6029</v>
      </c>
      <c r="F440" t="s">
        <v>6034</v>
      </c>
      <c r="G440" t="s">
        <v>6055</v>
      </c>
      <c r="H440" t="s">
        <v>6096</v>
      </c>
      <c r="I440">
        <v>24</v>
      </c>
      <c r="J440">
        <v>13.3</v>
      </c>
      <c r="K440" t="s">
        <v>6099</v>
      </c>
      <c r="L440" t="s">
        <v>6100</v>
      </c>
      <c r="M440" t="s">
        <v>6100</v>
      </c>
      <c r="N440">
        <v>5</v>
      </c>
      <c r="O440" t="s">
        <v>6101</v>
      </c>
      <c r="P440" t="s">
        <v>6107</v>
      </c>
      <c r="Q440">
        <v>1</v>
      </c>
      <c r="R440">
        <v>2026</v>
      </c>
      <c r="S440" t="s">
        <v>6099</v>
      </c>
      <c r="T440">
        <v>1</v>
      </c>
      <c r="U440" t="s">
        <v>6021</v>
      </c>
      <c r="V440">
        <v>1</v>
      </c>
    </row>
    <row r="441" spans="1:22" x14ac:dyDescent="0.3">
      <c r="A441" t="s">
        <v>456</v>
      </c>
      <c r="B441" s="2">
        <v>46046.378472222219</v>
      </c>
      <c r="C441" s="2">
        <v>46046.753472222219</v>
      </c>
      <c r="D441" t="s">
        <v>6022</v>
      </c>
      <c r="E441" t="s">
        <v>6030</v>
      </c>
      <c r="F441" t="s">
        <v>6033</v>
      </c>
      <c r="G441" t="s">
        <v>6053</v>
      </c>
      <c r="H441" t="s">
        <v>6097</v>
      </c>
      <c r="I441">
        <v>72</v>
      </c>
      <c r="J441">
        <v>9</v>
      </c>
      <c r="K441" t="s">
        <v>6099</v>
      </c>
      <c r="L441" t="s">
        <v>6100</v>
      </c>
      <c r="M441" t="s">
        <v>6099</v>
      </c>
      <c r="O441" t="s">
        <v>6101</v>
      </c>
      <c r="P441" t="s">
        <v>6107</v>
      </c>
      <c r="Q441">
        <v>1</v>
      </c>
      <c r="R441">
        <v>2026</v>
      </c>
      <c r="S441" t="s">
        <v>6099</v>
      </c>
      <c r="T441">
        <v>1</v>
      </c>
      <c r="U441" t="s">
        <v>6018</v>
      </c>
      <c r="V441">
        <v>1</v>
      </c>
    </row>
    <row r="442" spans="1:22" x14ac:dyDescent="0.3">
      <c r="A442" t="s">
        <v>457</v>
      </c>
      <c r="B442" s="2">
        <v>46046.424305555556</v>
      </c>
      <c r="C442" s="2">
        <v>46046.932638888888</v>
      </c>
      <c r="D442" t="s">
        <v>6022</v>
      </c>
      <c r="E442" t="s">
        <v>6029</v>
      </c>
      <c r="F442" t="s">
        <v>6033</v>
      </c>
      <c r="G442" t="s">
        <v>6081</v>
      </c>
      <c r="H442" t="s">
        <v>6098</v>
      </c>
      <c r="I442">
        <v>72</v>
      </c>
      <c r="J442">
        <v>12.2</v>
      </c>
      <c r="K442" t="s">
        <v>6099</v>
      </c>
      <c r="L442" t="s">
        <v>6100</v>
      </c>
      <c r="M442" t="s">
        <v>6100</v>
      </c>
      <c r="N442">
        <v>5</v>
      </c>
      <c r="O442" t="s">
        <v>6101</v>
      </c>
      <c r="P442" t="s">
        <v>6107</v>
      </c>
      <c r="Q442">
        <v>1</v>
      </c>
      <c r="R442">
        <v>2026</v>
      </c>
      <c r="S442" t="s">
        <v>6099</v>
      </c>
      <c r="T442">
        <v>1</v>
      </c>
      <c r="U442" t="s">
        <v>6018</v>
      </c>
      <c r="V442">
        <v>1</v>
      </c>
    </row>
    <row r="443" spans="1:22" x14ac:dyDescent="0.3">
      <c r="A443" t="s">
        <v>458</v>
      </c>
      <c r="B443" s="2">
        <v>46046.467361111114</v>
      </c>
      <c r="C443" s="2">
        <v>46052.213194444441</v>
      </c>
      <c r="D443" t="s">
        <v>6025</v>
      </c>
      <c r="E443" t="s">
        <v>6031</v>
      </c>
      <c r="F443" t="s">
        <v>6034</v>
      </c>
      <c r="G443" t="s">
        <v>6065</v>
      </c>
      <c r="H443" t="s">
        <v>6097</v>
      </c>
      <c r="I443">
        <v>24</v>
      </c>
      <c r="J443">
        <v>137.9</v>
      </c>
      <c r="K443" t="s">
        <v>6099</v>
      </c>
      <c r="L443" t="s">
        <v>6100</v>
      </c>
      <c r="M443" t="s">
        <v>6100</v>
      </c>
      <c r="N443">
        <v>4</v>
      </c>
      <c r="O443" t="s">
        <v>6101</v>
      </c>
      <c r="P443" t="s">
        <v>6107</v>
      </c>
      <c r="Q443">
        <v>1</v>
      </c>
      <c r="R443">
        <v>2026</v>
      </c>
      <c r="S443" t="s">
        <v>6100</v>
      </c>
      <c r="T443">
        <v>0</v>
      </c>
      <c r="U443" t="s">
        <v>6021</v>
      </c>
      <c r="V443">
        <v>1</v>
      </c>
    </row>
    <row r="444" spans="1:22" x14ac:dyDescent="0.3">
      <c r="A444" t="s">
        <v>459</v>
      </c>
      <c r="B444" s="2">
        <v>46046.491666666669</v>
      </c>
      <c r="C444" s="2">
        <v>46046.82916666667</v>
      </c>
      <c r="D444" t="s">
        <v>6028</v>
      </c>
      <c r="E444" t="s">
        <v>6029</v>
      </c>
      <c r="F444" t="s">
        <v>6034</v>
      </c>
      <c r="G444" t="s">
        <v>6095</v>
      </c>
      <c r="H444" t="s">
        <v>6098</v>
      </c>
      <c r="I444">
        <v>24</v>
      </c>
      <c r="J444">
        <v>8.1</v>
      </c>
      <c r="K444" t="s">
        <v>6099</v>
      </c>
      <c r="L444" t="s">
        <v>6100</v>
      </c>
      <c r="M444" t="s">
        <v>6100</v>
      </c>
      <c r="N444">
        <v>5</v>
      </c>
      <c r="O444" t="s">
        <v>6101</v>
      </c>
      <c r="P444" t="s">
        <v>6107</v>
      </c>
      <c r="Q444">
        <v>1</v>
      </c>
      <c r="R444">
        <v>2026</v>
      </c>
      <c r="S444" t="s">
        <v>6099</v>
      </c>
      <c r="T444">
        <v>1</v>
      </c>
      <c r="U444" t="s">
        <v>6018</v>
      </c>
      <c r="V444">
        <v>1</v>
      </c>
    </row>
    <row r="445" spans="1:22" x14ac:dyDescent="0.3">
      <c r="A445" t="s">
        <v>460</v>
      </c>
      <c r="B445" s="2">
        <v>46046.518055555556</v>
      </c>
      <c r="C445" s="2">
        <v>46049.351388888892</v>
      </c>
      <c r="D445" t="s">
        <v>6028</v>
      </c>
      <c r="E445" t="s">
        <v>6031</v>
      </c>
      <c r="F445" t="s">
        <v>6034</v>
      </c>
      <c r="G445" t="s">
        <v>6045</v>
      </c>
      <c r="H445" t="s">
        <v>6096</v>
      </c>
      <c r="I445">
        <v>24</v>
      </c>
      <c r="J445">
        <v>68</v>
      </c>
      <c r="K445" t="s">
        <v>6100</v>
      </c>
      <c r="L445" t="s">
        <v>6100</v>
      </c>
      <c r="M445" t="s">
        <v>6100</v>
      </c>
      <c r="N445">
        <v>4</v>
      </c>
      <c r="O445" t="s">
        <v>6101</v>
      </c>
      <c r="P445" t="s">
        <v>6107</v>
      </c>
      <c r="Q445">
        <v>1</v>
      </c>
      <c r="R445">
        <v>2026</v>
      </c>
      <c r="S445" t="s">
        <v>6100</v>
      </c>
      <c r="T445">
        <v>0</v>
      </c>
      <c r="U445" t="s">
        <v>6020</v>
      </c>
      <c r="V445">
        <v>0</v>
      </c>
    </row>
    <row r="446" spans="1:22" x14ac:dyDescent="0.3">
      <c r="A446" t="s">
        <v>461</v>
      </c>
      <c r="B446" s="2">
        <v>46046.522916666669</v>
      </c>
      <c r="C446" s="2">
        <v>46046.597916666666</v>
      </c>
      <c r="D446" t="s">
        <v>6023</v>
      </c>
      <c r="E446" t="s">
        <v>6029</v>
      </c>
      <c r="F446" t="s">
        <v>6033</v>
      </c>
      <c r="G446" t="s">
        <v>6049</v>
      </c>
      <c r="H446" t="s">
        <v>6097</v>
      </c>
      <c r="I446">
        <v>72</v>
      </c>
      <c r="J446">
        <v>1.8</v>
      </c>
      <c r="K446" t="s">
        <v>6099</v>
      </c>
      <c r="L446" t="s">
        <v>6100</v>
      </c>
      <c r="M446" t="s">
        <v>6100</v>
      </c>
      <c r="O446" t="s">
        <v>6101</v>
      </c>
      <c r="P446" t="s">
        <v>6107</v>
      </c>
      <c r="Q446">
        <v>1</v>
      </c>
      <c r="R446">
        <v>2026</v>
      </c>
      <c r="S446" t="s">
        <v>6099</v>
      </c>
      <c r="T446">
        <v>1</v>
      </c>
      <c r="U446" t="s">
        <v>6020</v>
      </c>
      <c r="V446">
        <v>1</v>
      </c>
    </row>
    <row r="447" spans="1:22" x14ac:dyDescent="0.3">
      <c r="A447" t="s">
        <v>462</v>
      </c>
      <c r="B447" s="2">
        <v>46046.551388888889</v>
      </c>
      <c r="C447" s="2">
        <v>46048.830555555556</v>
      </c>
      <c r="D447" t="s">
        <v>6025</v>
      </c>
      <c r="E447" t="s">
        <v>6031</v>
      </c>
      <c r="F447" t="s">
        <v>6033</v>
      </c>
      <c r="G447" t="s">
        <v>6076</v>
      </c>
      <c r="H447" t="s">
        <v>6097</v>
      </c>
      <c r="I447">
        <v>72</v>
      </c>
      <c r="J447">
        <v>54.7</v>
      </c>
      <c r="K447" t="s">
        <v>6099</v>
      </c>
      <c r="L447" t="s">
        <v>6100</v>
      </c>
      <c r="M447" t="s">
        <v>6100</v>
      </c>
      <c r="O447" t="s">
        <v>6101</v>
      </c>
      <c r="P447" t="s">
        <v>6107</v>
      </c>
      <c r="Q447">
        <v>1</v>
      </c>
      <c r="R447">
        <v>2026</v>
      </c>
      <c r="S447" t="s">
        <v>6099</v>
      </c>
      <c r="T447">
        <v>1</v>
      </c>
      <c r="U447" t="s">
        <v>6021</v>
      </c>
      <c r="V447">
        <v>1</v>
      </c>
    </row>
    <row r="448" spans="1:22" x14ac:dyDescent="0.3">
      <c r="A448" t="s">
        <v>463</v>
      </c>
      <c r="B448" s="2">
        <v>46046.572222222225</v>
      </c>
      <c r="C448" s="2">
        <v>46048.768055555556</v>
      </c>
      <c r="D448" t="s">
        <v>6028</v>
      </c>
      <c r="E448" t="s">
        <v>6031</v>
      </c>
      <c r="F448" t="s">
        <v>6035</v>
      </c>
      <c r="G448" t="s">
        <v>6037</v>
      </c>
      <c r="H448" t="s">
        <v>6096</v>
      </c>
      <c r="I448">
        <v>4</v>
      </c>
      <c r="J448">
        <v>52.7</v>
      </c>
      <c r="K448" t="s">
        <v>6099</v>
      </c>
      <c r="L448" t="s">
        <v>6100</v>
      </c>
      <c r="M448" t="s">
        <v>6100</v>
      </c>
      <c r="O448" t="s">
        <v>6101</v>
      </c>
      <c r="P448" t="s">
        <v>6107</v>
      </c>
      <c r="Q448">
        <v>1</v>
      </c>
      <c r="R448">
        <v>2026</v>
      </c>
      <c r="S448" t="s">
        <v>6100</v>
      </c>
      <c r="T448">
        <v>0</v>
      </c>
      <c r="U448" t="s">
        <v>6020</v>
      </c>
      <c r="V448">
        <v>1</v>
      </c>
    </row>
    <row r="449" spans="1:22" x14ac:dyDescent="0.3">
      <c r="A449" t="s">
        <v>464</v>
      </c>
      <c r="B449" s="2">
        <v>46046.574305555558</v>
      </c>
      <c r="C449" s="2">
        <v>46051.936805555553</v>
      </c>
      <c r="D449" t="s">
        <v>6026</v>
      </c>
      <c r="E449" t="s">
        <v>6031</v>
      </c>
      <c r="F449" t="s">
        <v>6035</v>
      </c>
      <c r="G449" t="s">
        <v>6091</v>
      </c>
      <c r="H449" t="s">
        <v>6097</v>
      </c>
      <c r="I449">
        <v>4</v>
      </c>
      <c r="J449">
        <v>128.69999999999999</v>
      </c>
      <c r="K449" t="s">
        <v>6100</v>
      </c>
      <c r="L449" t="s">
        <v>6100</v>
      </c>
      <c r="M449" t="s">
        <v>6100</v>
      </c>
      <c r="N449">
        <v>3</v>
      </c>
      <c r="O449" t="s">
        <v>6101</v>
      </c>
      <c r="P449" t="s">
        <v>6107</v>
      </c>
      <c r="Q449">
        <v>1</v>
      </c>
      <c r="R449">
        <v>2026</v>
      </c>
      <c r="S449" t="s">
        <v>6100</v>
      </c>
      <c r="T449">
        <v>0</v>
      </c>
      <c r="U449" t="s">
        <v>6019</v>
      </c>
      <c r="V449">
        <v>0</v>
      </c>
    </row>
    <row r="450" spans="1:22" x14ac:dyDescent="0.3">
      <c r="A450" t="s">
        <v>465</v>
      </c>
      <c r="B450" s="2">
        <v>46046.577777777777</v>
      </c>
      <c r="C450" s="2">
        <v>46050.169444444444</v>
      </c>
      <c r="D450" t="s">
        <v>6022</v>
      </c>
      <c r="E450" t="s">
        <v>6032</v>
      </c>
      <c r="F450" t="s">
        <v>6035</v>
      </c>
      <c r="G450" t="s">
        <v>6080</v>
      </c>
      <c r="H450" t="s">
        <v>6096</v>
      </c>
      <c r="I450">
        <v>4</v>
      </c>
      <c r="J450">
        <v>86.2</v>
      </c>
      <c r="K450" t="s">
        <v>6100</v>
      </c>
      <c r="L450" t="s">
        <v>6099</v>
      </c>
      <c r="M450" t="s">
        <v>6100</v>
      </c>
      <c r="O450" t="s">
        <v>6101</v>
      </c>
      <c r="P450" t="s">
        <v>6107</v>
      </c>
      <c r="Q450">
        <v>1</v>
      </c>
      <c r="R450">
        <v>2026</v>
      </c>
      <c r="S450" t="s">
        <v>6100</v>
      </c>
      <c r="T450">
        <v>0</v>
      </c>
      <c r="U450" t="s">
        <v>6019</v>
      </c>
      <c r="V450">
        <v>0</v>
      </c>
    </row>
    <row r="451" spans="1:22" x14ac:dyDescent="0.3">
      <c r="A451" t="s">
        <v>466</v>
      </c>
      <c r="B451" s="2">
        <v>46046.665277777778</v>
      </c>
      <c r="C451" s="2">
        <v>46046.861111111109</v>
      </c>
      <c r="D451" t="s">
        <v>6028</v>
      </c>
      <c r="E451" t="s">
        <v>6029</v>
      </c>
      <c r="F451" t="s">
        <v>6035</v>
      </c>
      <c r="G451" t="s">
        <v>6075</v>
      </c>
      <c r="H451" t="s">
        <v>6097</v>
      </c>
      <c r="I451">
        <v>4</v>
      </c>
      <c r="J451">
        <v>4.7</v>
      </c>
      <c r="K451" t="s">
        <v>6100</v>
      </c>
      <c r="L451" t="s">
        <v>6100</v>
      </c>
      <c r="M451" t="s">
        <v>6100</v>
      </c>
      <c r="N451">
        <v>5</v>
      </c>
      <c r="O451" t="s">
        <v>6101</v>
      </c>
      <c r="P451" t="s">
        <v>6107</v>
      </c>
      <c r="Q451">
        <v>1</v>
      </c>
      <c r="R451">
        <v>2026</v>
      </c>
      <c r="S451" t="s">
        <v>6100</v>
      </c>
      <c r="T451">
        <v>0</v>
      </c>
      <c r="U451" t="s">
        <v>6018</v>
      </c>
      <c r="V451">
        <v>0</v>
      </c>
    </row>
    <row r="452" spans="1:22" x14ac:dyDescent="0.3">
      <c r="A452" t="s">
        <v>467</v>
      </c>
      <c r="B452" s="2">
        <v>46046.665972222225</v>
      </c>
      <c r="C452" s="2">
        <v>46049.945138888892</v>
      </c>
      <c r="D452" t="s">
        <v>6025</v>
      </c>
      <c r="E452" t="s">
        <v>6031</v>
      </c>
      <c r="F452" t="s">
        <v>6033</v>
      </c>
      <c r="G452" t="s">
        <v>6058</v>
      </c>
      <c r="H452" t="s">
        <v>6098</v>
      </c>
      <c r="I452">
        <v>72</v>
      </c>
      <c r="J452">
        <v>78.7</v>
      </c>
      <c r="K452" t="s">
        <v>6099</v>
      </c>
      <c r="L452" t="s">
        <v>6100</v>
      </c>
      <c r="M452" t="s">
        <v>6099</v>
      </c>
      <c r="N452">
        <v>3</v>
      </c>
      <c r="O452" t="s">
        <v>6101</v>
      </c>
      <c r="P452" t="s">
        <v>6107</v>
      </c>
      <c r="Q452">
        <v>1</v>
      </c>
      <c r="R452">
        <v>2026</v>
      </c>
      <c r="S452" t="s">
        <v>6100</v>
      </c>
      <c r="T452">
        <v>0</v>
      </c>
      <c r="U452" t="s">
        <v>6019</v>
      </c>
      <c r="V452">
        <v>1</v>
      </c>
    </row>
    <row r="453" spans="1:22" x14ac:dyDescent="0.3">
      <c r="A453" t="s">
        <v>468</v>
      </c>
      <c r="B453" s="2">
        <v>46046.690972222219</v>
      </c>
      <c r="C453" s="2">
        <v>46047.632638888892</v>
      </c>
      <c r="D453" t="s">
        <v>6022</v>
      </c>
      <c r="E453" t="s">
        <v>6029</v>
      </c>
      <c r="F453" t="s">
        <v>6034</v>
      </c>
      <c r="G453" t="s">
        <v>6051</v>
      </c>
      <c r="H453" t="s">
        <v>6097</v>
      </c>
      <c r="I453">
        <v>24</v>
      </c>
      <c r="J453">
        <v>22.6</v>
      </c>
      <c r="K453" t="s">
        <v>6099</v>
      </c>
      <c r="L453" t="s">
        <v>6100</v>
      </c>
      <c r="M453" t="s">
        <v>6100</v>
      </c>
      <c r="N453">
        <v>5</v>
      </c>
      <c r="O453" t="s">
        <v>6101</v>
      </c>
      <c r="P453" t="s">
        <v>6107</v>
      </c>
      <c r="Q453">
        <v>1</v>
      </c>
      <c r="R453">
        <v>2026</v>
      </c>
      <c r="S453" t="s">
        <v>6099</v>
      </c>
      <c r="T453">
        <v>1</v>
      </c>
      <c r="U453" t="s">
        <v>6018</v>
      </c>
      <c r="V453">
        <v>1</v>
      </c>
    </row>
    <row r="454" spans="1:22" x14ac:dyDescent="0.3">
      <c r="A454" t="s">
        <v>469</v>
      </c>
      <c r="B454" s="2">
        <v>46046.696527777778</v>
      </c>
      <c r="C454" s="2">
        <v>46046.850694444445</v>
      </c>
      <c r="D454" t="s">
        <v>6024</v>
      </c>
      <c r="E454" t="s">
        <v>6030</v>
      </c>
      <c r="F454" t="s">
        <v>6033</v>
      </c>
      <c r="G454" t="s">
        <v>6074</v>
      </c>
      <c r="H454" t="s">
        <v>6098</v>
      </c>
      <c r="I454">
        <v>72</v>
      </c>
      <c r="J454">
        <v>3.7</v>
      </c>
      <c r="K454" t="s">
        <v>6099</v>
      </c>
      <c r="L454" t="s">
        <v>6100</v>
      </c>
      <c r="M454" t="s">
        <v>6100</v>
      </c>
      <c r="N454">
        <v>4</v>
      </c>
      <c r="O454" t="s">
        <v>6101</v>
      </c>
      <c r="P454" t="s">
        <v>6107</v>
      </c>
      <c r="Q454">
        <v>1</v>
      </c>
      <c r="R454">
        <v>2026</v>
      </c>
      <c r="S454" t="s">
        <v>6099</v>
      </c>
      <c r="T454">
        <v>1</v>
      </c>
      <c r="U454" t="s">
        <v>6020</v>
      </c>
      <c r="V454">
        <v>1</v>
      </c>
    </row>
    <row r="455" spans="1:22" x14ac:dyDescent="0.3">
      <c r="A455" t="s">
        <v>470</v>
      </c>
      <c r="B455" s="2">
        <v>46046.748611111114</v>
      </c>
      <c r="C455" s="2">
        <v>46047.115277777775</v>
      </c>
      <c r="D455" t="s">
        <v>6024</v>
      </c>
      <c r="E455" t="s">
        <v>6030</v>
      </c>
      <c r="F455" t="s">
        <v>6035</v>
      </c>
      <c r="G455" t="s">
        <v>6084</v>
      </c>
      <c r="H455" t="s">
        <v>6098</v>
      </c>
      <c r="I455">
        <v>4</v>
      </c>
      <c r="J455">
        <v>8.8000000000000007</v>
      </c>
      <c r="K455" t="s">
        <v>6099</v>
      </c>
      <c r="L455" t="s">
        <v>6100</v>
      </c>
      <c r="M455" t="s">
        <v>6100</v>
      </c>
      <c r="N455">
        <v>2</v>
      </c>
      <c r="O455" t="s">
        <v>6101</v>
      </c>
      <c r="P455" t="s">
        <v>6107</v>
      </c>
      <c r="Q455">
        <v>1</v>
      </c>
      <c r="R455">
        <v>2026</v>
      </c>
      <c r="S455" t="s">
        <v>6100</v>
      </c>
      <c r="T455">
        <v>0</v>
      </c>
      <c r="U455" t="s">
        <v>6021</v>
      </c>
      <c r="V455">
        <v>1</v>
      </c>
    </row>
    <row r="456" spans="1:22" x14ac:dyDescent="0.3">
      <c r="A456" t="s">
        <v>471</v>
      </c>
      <c r="B456" s="2">
        <v>46046.769444444442</v>
      </c>
      <c r="C456" s="2">
        <v>46047.202777777777</v>
      </c>
      <c r="D456" t="s">
        <v>6022</v>
      </c>
      <c r="E456" t="s">
        <v>6030</v>
      </c>
      <c r="F456" t="s">
        <v>6033</v>
      </c>
      <c r="G456" t="s">
        <v>6058</v>
      </c>
      <c r="H456" t="s">
        <v>6098</v>
      </c>
      <c r="I456">
        <v>72</v>
      </c>
      <c r="J456">
        <v>10.4</v>
      </c>
      <c r="K456" t="s">
        <v>6099</v>
      </c>
      <c r="L456" t="s">
        <v>6100</v>
      </c>
      <c r="M456" t="s">
        <v>6100</v>
      </c>
      <c r="O456" t="s">
        <v>6101</v>
      </c>
      <c r="P456" t="s">
        <v>6107</v>
      </c>
      <c r="Q456">
        <v>1</v>
      </c>
      <c r="R456">
        <v>2026</v>
      </c>
      <c r="S456" t="s">
        <v>6099</v>
      </c>
      <c r="T456">
        <v>1</v>
      </c>
      <c r="U456" t="s">
        <v>6021</v>
      </c>
      <c r="V456">
        <v>1</v>
      </c>
    </row>
    <row r="457" spans="1:22" x14ac:dyDescent="0.3">
      <c r="A457" t="s">
        <v>472</v>
      </c>
      <c r="B457" s="2">
        <v>46046.79583333333</v>
      </c>
      <c r="C457" s="2">
        <v>46047.195833333331</v>
      </c>
      <c r="D457" t="s">
        <v>6022</v>
      </c>
      <c r="E457" t="s">
        <v>6030</v>
      </c>
      <c r="F457" t="s">
        <v>6034</v>
      </c>
      <c r="G457" t="s">
        <v>6068</v>
      </c>
      <c r="H457" t="s">
        <v>6098</v>
      </c>
      <c r="I457">
        <v>24</v>
      </c>
      <c r="J457">
        <v>9.6</v>
      </c>
      <c r="K457" t="s">
        <v>6099</v>
      </c>
      <c r="L457" t="s">
        <v>6100</v>
      </c>
      <c r="M457" t="s">
        <v>6100</v>
      </c>
      <c r="N457">
        <v>4</v>
      </c>
      <c r="O457" t="s">
        <v>6101</v>
      </c>
      <c r="P457" t="s">
        <v>6107</v>
      </c>
      <c r="Q457">
        <v>1</v>
      </c>
      <c r="R457">
        <v>2026</v>
      </c>
      <c r="S457" t="s">
        <v>6099</v>
      </c>
      <c r="T457">
        <v>1</v>
      </c>
      <c r="U457" t="s">
        <v>6019</v>
      </c>
      <c r="V457">
        <v>1</v>
      </c>
    </row>
    <row r="458" spans="1:22" x14ac:dyDescent="0.3">
      <c r="A458" t="s">
        <v>473</v>
      </c>
      <c r="B458" s="2">
        <v>46046.86041666667</v>
      </c>
      <c r="C458" s="2">
        <v>46047.143750000003</v>
      </c>
      <c r="D458" t="s">
        <v>6028</v>
      </c>
      <c r="E458" t="s">
        <v>6030</v>
      </c>
      <c r="F458" t="s">
        <v>6034</v>
      </c>
      <c r="G458" t="s">
        <v>6058</v>
      </c>
      <c r="H458" t="s">
        <v>6098</v>
      </c>
      <c r="I458">
        <v>24</v>
      </c>
      <c r="J458">
        <v>6.8</v>
      </c>
      <c r="K458" t="s">
        <v>6099</v>
      </c>
      <c r="L458" t="s">
        <v>6100</v>
      </c>
      <c r="M458" t="s">
        <v>6100</v>
      </c>
      <c r="O458" t="s">
        <v>6101</v>
      </c>
      <c r="P458" t="s">
        <v>6107</v>
      </c>
      <c r="Q458">
        <v>1</v>
      </c>
      <c r="R458">
        <v>2026</v>
      </c>
      <c r="S458" t="s">
        <v>6099</v>
      </c>
      <c r="T458">
        <v>1</v>
      </c>
      <c r="U458" t="s">
        <v>6020</v>
      </c>
      <c r="V458">
        <v>1</v>
      </c>
    </row>
    <row r="459" spans="1:22" x14ac:dyDescent="0.3">
      <c r="A459" t="s">
        <v>474</v>
      </c>
      <c r="B459" s="2">
        <v>46047.09375</v>
      </c>
      <c r="C459" s="2">
        <v>46048.268750000003</v>
      </c>
      <c r="D459" t="s">
        <v>6024</v>
      </c>
      <c r="E459" t="s">
        <v>6031</v>
      </c>
      <c r="F459" t="s">
        <v>6034</v>
      </c>
      <c r="G459" t="s">
        <v>6043</v>
      </c>
      <c r="H459" t="s">
        <v>6097</v>
      </c>
      <c r="I459">
        <v>24</v>
      </c>
      <c r="J459">
        <v>28.2</v>
      </c>
      <c r="K459" t="s">
        <v>6099</v>
      </c>
      <c r="L459" t="s">
        <v>6100</v>
      </c>
      <c r="M459" t="s">
        <v>6099</v>
      </c>
      <c r="O459" t="s">
        <v>6101</v>
      </c>
      <c r="P459" t="s">
        <v>6107</v>
      </c>
      <c r="Q459">
        <v>1</v>
      </c>
      <c r="R459">
        <v>2026</v>
      </c>
      <c r="S459" t="s">
        <v>6100</v>
      </c>
      <c r="T459">
        <v>0</v>
      </c>
      <c r="U459" t="s">
        <v>6018</v>
      </c>
      <c r="V459">
        <v>1</v>
      </c>
    </row>
    <row r="460" spans="1:22" x14ac:dyDescent="0.3">
      <c r="A460" t="s">
        <v>475</v>
      </c>
      <c r="B460" s="2">
        <v>46047.260416666664</v>
      </c>
      <c r="C460" s="2">
        <v>46047.57708333333</v>
      </c>
      <c r="D460" t="s">
        <v>6024</v>
      </c>
      <c r="E460" t="s">
        <v>6029</v>
      </c>
      <c r="F460" t="s">
        <v>6034</v>
      </c>
      <c r="G460" t="s">
        <v>6095</v>
      </c>
      <c r="H460" t="s">
        <v>6098</v>
      </c>
      <c r="I460">
        <v>24</v>
      </c>
      <c r="J460">
        <v>7.6</v>
      </c>
      <c r="K460" t="s">
        <v>6099</v>
      </c>
      <c r="L460" t="s">
        <v>6100</v>
      </c>
      <c r="M460" t="s">
        <v>6100</v>
      </c>
      <c r="N460">
        <v>5</v>
      </c>
      <c r="O460" t="s">
        <v>6101</v>
      </c>
      <c r="P460" t="s">
        <v>6107</v>
      </c>
      <c r="Q460">
        <v>1</v>
      </c>
      <c r="R460">
        <v>2026</v>
      </c>
      <c r="S460" t="s">
        <v>6099</v>
      </c>
      <c r="T460">
        <v>1</v>
      </c>
      <c r="U460" t="s">
        <v>6020</v>
      </c>
      <c r="V460">
        <v>1</v>
      </c>
    </row>
    <row r="461" spans="1:22" x14ac:dyDescent="0.3">
      <c r="A461" t="s">
        <v>476</v>
      </c>
      <c r="B461" s="2">
        <v>46047.313194444447</v>
      </c>
      <c r="C461" s="2">
        <v>46050.554861111108</v>
      </c>
      <c r="D461" t="s">
        <v>6027</v>
      </c>
      <c r="E461" t="s">
        <v>6029</v>
      </c>
      <c r="F461" t="s">
        <v>6035</v>
      </c>
      <c r="G461" t="s">
        <v>6039</v>
      </c>
      <c r="H461" t="s">
        <v>6097</v>
      </c>
      <c r="I461">
        <v>4</v>
      </c>
      <c r="J461">
        <v>77.8</v>
      </c>
      <c r="K461" t="s">
        <v>6099</v>
      </c>
      <c r="L461" t="s">
        <v>6100</v>
      </c>
      <c r="M461" t="s">
        <v>6100</v>
      </c>
      <c r="N461">
        <v>4</v>
      </c>
      <c r="O461" t="s">
        <v>6101</v>
      </c>
      <c r="P461" t="s">
        <v>6107</v>
      </c>
      <c r="Q461">
        <v>1</v>
      </c>
      <c r="R461">
        <v>2026</v>
      </c>
      <c r="S461" t="s">
        <v>6100</v>
      </c>
      <c r="T461">
        <v>0</v>
      </c>
      <c r="U461" t="s">
        <v>6018</v>
      </c>
      <c r="V461">
        <v>1</v>
      </c>
    </row>
    <row r="462" spans="1:22" x14ac:dyDescent="0.3">
      <c r="A462" t="s">
        <v>477</v>
      </c>
      <c r="B462" s="2">
        <v>46047.350694444445</v>
      </c>
      <c r="C462" s="2">
        <v>46047.492361111108</v>
      </c>
      <c r="D462" t="s">
        <v>6028</v>
      </c>
      <c r="E462" t="s">
        <v>6030</v>
      </c>
      <c r="F462" t="s">
        <v>6034</v>
      </c>
      <c r="G462" t="s">
        <v>6058</v>
      </c>
      <c r="H462" t="s">
        <v>6098</v>
      </c>
      <c r="I462">
        <v>24</v>
      </c>
      <c r="J462">
        <v>3.4</v>
      </c>
      <c r="K462" t="s">
        <v>6099</v>
      </c>
      <c r="L462" t="s">
        <v>6100</v>
      </c>
      <c r="M462" t="s">
        <v>6100</v>
      </c>
      <c r="O462" t="s">
        <v>6101</v>
      </c>
      <c r="P462" t="s">
        <v>6107</v>
      </c>
      <c r="Q462">
        <v>1</v>
      </c>
      <c r="R462">
        <v>2026</v>
      </c>
      <c r="S462" t="s">
        <v>6099</v>
      </c>
      <c r="T462">
        <v>1</v>
      </c>
      <c r="U462" t="s">
        <v>6018</v>
      </c>
      <c r="V462">
        <v>1</v>
      </c>
    </row>
    <row r="463" spans="1:22" x14ac:dyDescent="0.3">
      <c r="A463" t="s">
        <v>478</v>
      </c>
      <c r="B463" s="2">
        <v>46047.379166666666</v>
      </c>
      <c r="C463" s="2">
        <v>46047.95</v>
      </c>
      <c r="D463" t="s">
        <v>6028</v>
      </c>
      <c r="E463" t="s">
        <v>6030</v>
      </c>
      <c r="F463" t="s">
        <v>6035</v>
      </c>
      <c r="G463" t="s">
        <v>6073</v>
      </c>
      <c r="H463" t="s">
        <v>6096</v>
      </c>
      <c r="I463">
        <v>4</v>
      </c>
      <c r="J463">
        <v>13.7</v>
      </c>
      <c r="K463" t="s">
        <v>6100</v>
      </c>
      <c r="L463" t="s">
        <v>6099</v>
      </c>
      <c r="M463" t="s">
        <v>6099</v>
      </c>
      <c r="O463" t="s">
        <v>6101</v>
      </c>
      <c r="P463" t="s">
        <v>6107</v>
      </c>
      <c r="Q463">
        <v>1</v>
      </c>
      <c r="R463">
        <v>2026</v>
      </c>
      <c r="S463" t="s">
        <v>6100</v>
      </c>
      <c r="T463">
        <v>0</v>
      </c>
      <c r="U463" t="s">
        <v>6019</v>
      </c>
      <c r="V463">
        <v>0</v>
      </c>
    </row>
    <row r="464" spans="1:22" x14ac:dyDescent="0.3">
      <c r="A464" t="s">
        <v>479</v>
      </c>
      <c r="B464" s="2">
        <v>46047.394444444442</v>
      </c>
      <c r="C464" s="2">
        <v>46048.611111111109</v>
      </c>
      <c r="D464" t="s">
        <v>6022</v>
      </c>
      <c r="E464" t="s">
        <v>6032</v>
      </c>
      <c r="F464" t="s">
        <v>6033</v>
      </c>
      <c r="G464" t="s">
        <v>6059</v>
      </c>
      <c r="H464" t="s">
        <v>6097</v>
      </c>
      <c r="I464">
        <v>72</v>
      </c>
      <c r="J464">
        <v>29.2</v>
      </c>
      <c r="K464" t="s">
        <v>6099</v>
      </c>
      <c r="L464" t="s">
        <v>6100</v>
      </c>
      <c r="M464" t="s">
        <v>6100</v>
      </c>
      <c r="N464">
        <v>5</v>
      </c>
      <c r="O464" t="s">
        <v>6101</v>
      </c>
      <c r="P464" t="s">
        <v>6107</v>
      </c>
      <c r="Q464">
        <v>1</v>
      </c>
      <c r="R464">
        <v>2026</v>
      </c>
      <c r="S464" t="s">
        <v>6099</v>
      </c>
      <c r="T464">
        <v>1</v>
      </c>
      <c r="U464" t="s">
        <v>6017</v>
      </c>
      <c r="V464">
        <v>1</v>
      </c>
    </row>
    <row r="465" spans="1:22" x14ac:dyDescent="0.3">
      <c r="A465" t="s">
        <v>480</v>
      </c>
      <c r="B465" s="2">
        <v>46047.411805555559</v>
      </c>
      <c r="C465" s="2">
        <v>46047.624305555553</v>
      </c>
      <c r="D465" t="s">
        <v>6024</v>
      </c>
      <c r="E465" t="s">
        <v>6030</v>
      </c>
      <c r="F465" t="s">
        <v>6033</v>
      </c>
      <c r="G465" t="s">
        <v>6057</v>
      </c>
      <c r="H465" t="s">
        <v>6097</v>
      </c>
      <c r="I465">
        <v>72</v>
      </c>
      <c r="J465">
        <v>5.0999999999999996</v>
      </c>
      <c r="K465" t="s">
        <v>6100</v>
      </c>
      <c r="L465" t="s">
        <v>6100</v>
      </c>
      <c r="M465" t="s">
        <v>6100</v>
      </c>
      <c r="N465">
        <v>4</v>
      </c>
      <c r="O465" t="s">
        <v>6101</v>
      </c>
      <c r="P465" t="s">
        <v>6107</v>
      </c>
      <c r="Q465">
        <v>1</v>
      </c>
      <c r="R465">
        <v>2026</v>
      </c>
      <c r="S465" t="s">
        <v>6099</v>
      </c>
      <c r="T465">
        <v>1</v>
      </c>
      <c r="U465" t="s">
        <v>6021</v>
      </c>
      <c r="V465">
        <v>0</v>
      </c>
    </row>
    <row r="466" spans="1:22" x14ac:dyDescent="0.3">
      <c r="A466" t="s">
        <v>481</v>
      </c>
      <c r="B466" s="2">
        <v>46047.426388888889</v>
      </c>
      <c r="C466" s="2">
        <v>46049.047222222223</v>
      </c>
      <c r="D466" t="s">
        <v>6026</v>
      </c>
      <c r="E466" t="s">
        <v>6032</v>
      </c>
      <c r="F466" t="s">
        <v>6035</v>
      </c>
      <c r="G466" t="s">
        <v>6077</v>
      </c>
      <c r="H466" t="s">
        <v>6098</v>
      </c>
      <c r="I466">
        <v>4</v>
      </c>
      <c r="J466">
        <v>38.9</v>
      </c>
      <c r="K466" t="s">
        <v>6100</v>
      </c>
      <c r="L466" t="s">
        <v>6099</v>
      </c>
      <c r="M466" t="s">
        <v>6100</v>
      </c>
      <c r="N466">
        <v>5</v>
      </c>
      <c r="O466" t="s">
        <v>6101</v>
      </c>
      <c r="P466" t="s">
        <v>6107</v>
      </c>
      <c r="Q466">
        <v>1</v>
      </c>
      <c r="R466">
        <v>2026</v>
      </c>
      <c r="S466" t="s">
        <v>6100</v>
      </c>
      <c r="T466">
        <v>0</v>
      </c>
      <c r="U466" t="s">
        <v>6018</v>
      </c>
      <c r="V466">
        <v>0</v>
      </c>
    </row>
    <row r="467" spans="1:22" x14ac:dyDescent="0.3">
      <c r="A467" t="s">
        <v>482</v>
      </c>
      <c r="B467" s="2">
        <v>46047.49722222222</v>
      </c>
      <c r="C467" s="2">
        <v>46047.909722222219</v>
      </c>
      <c r="D467" t="s">
        <v>6023</v>
      </c>
      <c r="E467" t="s">
        <v>6032</v>
      </c>
      <c r="F467" t="s">
        <v>6033</v>
      </c>
      <c r="G467" t="s">
        <v>6047</v>
      </c>
      <c r="H467" t="s">
        <v>6098</v>
      </c>
      <c r="I467">
        <v>72</v>
      </c>
      <c r="J467">
        <v>9.9</v>
      </c>
      <c r="K467" t="s">
        <v>6099</v>
      </c>
      <c r="L467" t="s">
        <v>6100</v>
      </c>
      <c r="M467" t="s">
        <v>6100</v>
      </c>
      <c r="O467" t="s">
        <v>6101</v>
      </c>
      <c r="P467" t="s">
        <v>6107</v>
      </c>
      <c r="Q467">
        <v>1</v>
      </c>
      <c r="R467">
        <v>2026</v>
      </c>
      <c r="S467" t="s">
        <v>6099</v>
      </c>
      <c r="T467">
        <v>1</v>
      </c>
      <c r="U467" t="s">
        <v>6018</v>
      </c>
      <c r="V467">
        <v>1</v>
      </c>
    </row>
    <row r="468" spans="1:22" x14ac:dyDescent="0.3">
      <c r="A468" t="s">
        <v>483</v>
      </c>
      <c r="B468" s="2">
        <v>46047.50277777778</v>
      </c>
      <c r="C468" s="2">
        <v>46047.694444444445</v>
      </c>
      <c r="D468" t="s">
        <v>6023</v>
      </c>
      <c r="E468" t="s">
        <v>6029</v>
      </c>
      <c r="F468" t="s">
        <v>6034</v>
      </c>
      <c r="G468" t="s">
        <v>6062</v>
      </c>
      <c r="H468" t="s">
        <v>6096</v>
      </c>
      <c r="I468">
        <v>24</v>
      </c>
      <c r="J468">
        <v>4.5999999999999996</v>
      </c>
      <c r="K468" t="s">
        <v>6099</v>
      </c>
      <c r="L468" t="s">
        <v>6100</v>
      </c>
      <c r="M468" t="s">
        <v>6100</v>
      </c>
      <c r="N468">
        <v>5</v>
      </c>
      <c r="O468" t="s">
        <v>6101</v>
      </c>
      <c r="P468" t="s">
        <v>6107</v>
      </c>
      <c r="Q468">
        <v>1</v>
      </c>
      <c r="R468">
        <v>2026</v>
      </c>
      <c r="S468" t="s">
        <v>6099</v>
      </c>
      <c r="T468">
        <v>1</v>
      </c>
      <c r="U468" t="s">
        <v>6018</v>
      </c>
      <c r="V468">
        <v>1</v>
      </c>
    </row>
    <row r="469" spans="1:22" x14ac:dyDescent="0.3">
      <c r="A469" t="s">
        <v>484</v>
      </c>
      <c r="B469" s="2">
        <v>46047.504861111112</v>
      </c>
      <c r="C469" s="2">
        <v>46047.763194444444</v>
      </c>
      <c r="D469" t="s">
        <v>6027</v>
      </c>
      <c r="E469" t="s">
        <v>6030</v>
      </c>
      <c r="F469" t="s">
        <v>6033</v>
      </c>
      <c r="G469" t="s">
        <v>6079</v>
      </c>
      <c r="H469" t="s">
        <v>6097</v>
      </c>
      <c r="I469">
        <v>72</v>
      </c>
      <c r="J469">
        <v>6.2</v>
      </c>
      <c r="K469" t="s">
        <v>6099</v>
      </c>
      <c r="L469" t="s">
        <v>6100</v>
      </c>
      <c r="M469" t="s">
        <v>6100</v>
      </c>
      <c r="O469" t="s">
        <v>6101</v>
      </c>
      <c r="P469" t="s">
        <v>6107</v>
      </c>
      <c r="Q469">
        <v>1</v>
      </c>
      <c r="R469">
        <v>2026</v>
      </c>
      <c r="S469" t="s">
        <v>6099</v>
      </c>
      <c r="T469">
        <v>1</v>
      </c>
      <c r="U469" t="s">
        <v>6019</v>
      </c>
      <c r="V469">
        <v>1</v>
      </c>
    </row>
    <row r="470" spans="1:22" x14ac:dyDescent="0.3">
      <c r="A470" t="s">
        <v>485</v>
      </c>
      <c r="B470" s="2">
        <v>46047.553472222222</v>
      </c>
      <c r="C470" s="2">
        <v>46050.120138888888</v>
      </c>
      <c r="D470" t="s">
        <v>6024</v>
      </c>
      <c r="E470" t="s">
        <v>6031</v>
      </c>
      <c r="F470" t="s">
        <v>6034</v>
      </c>
      <c r="G470" t="s">
        <v>6066</v>
      </c>
      <c r="H470" t="s">
        <v>6096</v>
      </c>
      <c r="I470">
        <v>24</v>
      </c>
      <c r="J470">
        <v>61.6</v>
      </c>
      <c r="K470" t="s">
        <v>6099</v>
      </c>
      <c r="L470" t="s">
        <v>6100</v>
      </c>
      <c r="M470" t="s">
        <v>6100</v>
      </c>
      <c r="N470">
        <v>4</v>
      </c>
      <c r="O470" t="s">
        <v>6101</v>
      </c>
      <c r="P470" t="s">
        <v>6107</v>
      </c>
      <c r="Q470">
        <v>1</v>
      </c>
      <c r="R470">
        <v>2026</v>
      </c>
      <c r="S470" t="s">
        <v>6100</v>
      </c>
      <c r="T470">
        <v>0</v>
      </c>
      <c r="U470" t="s">
        <v>6017</v>
      </c>
      <c r="V470">
        <v>1</v>
      </c>
    </row>
    <row r="471" spans="1:22" x14ac:dyDescent="0.3">
      <c r="A471" t="s">
        <v>486</v>
      </c>
      <c r="B471" s="2">
        <v>46047.577777777777</v>
      </c>
      <c r="C471" s="2">
        <v>46048.106944444444</v>
      </c>
      <c r="D471" t="s">
        <v>6023</v>
      </c>
      <c r="E471" t="s">
        <v>6029</v>
      </c>
      <c r="F471" t="s">
        <v>6033</v>
      </c>
      <c r="G471" t="s">
        <v>6066</v>
      </c>
      <c r="H471" t="s">
        <v>6096</v>
      </c>
      <c r="I471">
        <v>72</v>
      </c>
      <c r="J471">
        <v>12.7</v>
      </c>
      <c r="K471" t="s">
        <v>6099</v>
      </c>
      <c r="L471" t="s">
        <v>6100</v>
      </c>
      <c r="M471" t="s">
        <v>6100</v>
      </c>
      <c r="N471">
        <v>5</v>
      </c>
      <c r="O471" t="s">
        <v>6101</v>
      </c>
      <c r="P471" t="s">
        <v>6107</v>
      </c>
      <c r="Q471">
        <v>1</v>
      </c>
      <c r="R471">
        <v>2026</v>
      </c>
      <c r="S471" t="s">
        <v>6099</v>
      </c>
      <c r="T471">
        <v>1</v>
      </c>
      <c r="U471" t="s">
        <v>6019</v>
      </c>
      <c r="V471">
        <v>1</v>
      </c>
    </row>
    <row r="472" spans="1:22" x14ac:dyDescent="0.3">
      <c r="A472" t="s">
        <v>487</v>
      </c>
      <c r="B472" s="2">
        <v>46047.640972222223</v>
      </c>
      <c r="C472" s="2">
        <v>46048.315972222219</v>
      </c>
      <c r="D472" t="s">
        <v>6023</v>
      </c>
      <c r="E472" t="s">
        <v>6032</v>
      </c>
      <c r="F472" t="s">
        <v>6033</v>
      </c>
      <c r="G472" t="s">
        <v>6054</v>
      </c>
      <c r="H472" t="s">
        <v>6096</v>
      </c>
      <c r="I472">
        <v>72</v>
      </c>
      <c r="J472">
        <v>16.2</v>
      </c>
      <c r="K472" t="s">
        <v>6099</v>
      </c>
      <c r="L472" t="s">
        <v>6100</v>
      </c>
      <c r="M472" t="s">
        <v>6100</v>
      </c>
      <c r="O472" t="s">
        <v>6101</v>
      </c>
      <c r="P472" t="s">
        <v>6107</v>
      </c>
      <c r="Q472">
        <v>1</v>
      </c>
      <c r="R472">
        <v>2026</v>
      </c>
      <c r="S472" t="s">
        <v>6099</v>
      </c>
      <c r="T472">
        <v>1</v>
      </c>
      <c r="U472" t="s">
        <v>6020</v>
      </c>
      <c r="V472">
        <v>1</v>
      </c>
    </row>
    <row r="473" spans="1:22" x14ac:dyDescent="0.3">
      <c r="A473" t="s">
        <v>488</v>
      </c>
      <c r="B473" s="2">
        <v>46047.649305555555</v>
      </c>
      <c r="C473" s="2">
        <v>46047.928472222222</v>
      </c>
      <c r="D473" t="s">
        <v>6025</v>
      </c>
      <c r="E473" t="s">
        <v>6030</v>
      </c>
      <c r="F473" t="s">
        <v>6034</v>
      </c>
      <c r="G473" t="s">
        <v>6059</v>
      </c>
      <c r="H473" t="s">
        <v>6097</v>
      </c>
      <c r="I473">
        <v>24</v>
      </c>
      <c r="J473">
        <v>6.7</v>
      </c>
      <c r="K473" t="s">
        <v>6099</v>
      </c>
      <c r="L473" t="s">
        <v>6100</v>
      </c>
      <c r="M473" t="s">
        <v>6100</v>
      </c>
      <c r="N473">
        <v>4</v>
      </c>
      <c r="O473" t="s">
        <v>6101</v>
      </c>
      <c r="P473" t="s">
        <v>6107</v>
      </c>
      <c r="Q473">
        <v>1</v>
      </c>
      <c r="R473">
        <v>2026</v>
      </c>
      <c r="S473" t="s">
        <v>6099</v>
      </c>
      <c r="T473">
        <v>1</v>
      </c>
      <c r="U473" t="s">
        <v>6021</v>
      </c>
      <c r="V473">
        <v>1</v>
      </c>
    </row>
    <row r="474" spans="1:22" x14ac:dyDescent="0.3">
      <c r="A474" t="s">
        <v>489</v>
      </c>
      <c r="B474" s="2">
        <v>46047.650694444441</v>
      </c>
      <c r="C474" s="2">
        <v>46048.22152777778</v>
      </c>
      <c r="D474" t="s">
        <v>6022</v>
      </c>
      <c r="E474" t="s">
        <v>6029</v>
      </c>
      <c r="F474" t="s">
        <v>6034</v>
      </c>
      <c r="G474" t="s">
        <v>6072</v>
      </c>
      <c r="H474" t="s">
        <v>6097</v>
      </c>
      <c r="I474">
        <v>24</v>
      </c>
      <c r="J474">
        <v>13.7</v>
      </c>
      <c r="K474" t="s">
        <v>6099</v>
      </c>
      <c r="L474" t="s">
        <v>6100</v>
      </c>
      <c r="M474" t="s">
        <v>6100</v>
      </c>
      <c r="N474">
        <v>4</v>
      </c>
      <c r="O474" t="s">
        <v>6101</v>
      </c>
      <c r="P474" t="s">
        <v>6107</v>
      </c>
      <c r="Q474">
        <v>1</v>
      </c>
      <c r="R474">
        <v>2026</v>
      </c>
      <c r="S474" t="s">
        <v>6099</v>
      </c>
      <c r="T474">
        <v>1</v>
      </c>
      <c r="U474" t="s">
        <v>6020</v>
      </c>
      <c r="V474">
        <v>1</v>
      </c>
    </row>
    <row r="475" spans="1:22" x14ac:dyDescent="0.3">
      <c r="A475" t="s">
        <v>490</v>
      </c>
      <c r="B475" s="2">
        <v>46047.670138888891</v>
      </c>
      <c r="C475" s="2">
        <v>46047.924305555556</v>
      </c>
      <c r="D475" t="s">
        <v>6023</v>
      </c>
      <c r="E475" t="s">
        <v>6032</v>
      </c>
      <c r="F475" t="s">
        <v>6033</v>
      </c>
      <c r="G475" t="s">
        <v>6052</v>
      </c>
      <c r="H475" t="s">
        <v>6098</v>
      </c>
      <c r="I475">
        <v>72</v>
      </c>
      <c r="J475">
        <v>6.1</v>
      </c>
      <c r="K475" t="s">
        <v>6099</v>
      </c>
      <c r="L475" t="s">
        <v>6100</v>
      </c>
      <c r="M475" t="s">
        <v>6100</v>
      </c>
      <c r="N475">
        <v>5</v>
      </c>
      <c r="O475" t="s">
        <v>6101</v>
      </c>
      <c r="P475" t="s">
        <v>6107</v>
      </c>
      <c r="Q475">
        <v>1</v>
      </c>
      <c r="R475">
        <v>2026</v>
      </c>
      <c r="S475" t="s">
        <v>6099</v>
      </c>
      <c r="T475">
        <v>1</v>
      </c>
      <c r="U475" t="s">
        <v>6017</v>
      </c>
      <c r="V475">
        <v>1</v>
      </c>
    </row>
    <row r="476" spans="1:22" x14ac:dyDescent="0.3">
      <c r="A476" t="s">
        <v>491</v>
      </c>
      <c r="B476" s="2">
        <v>46047.70416666667</v>
      </c>
      <c r="C476" s="2">
        <v>46049.191666666666</v>
      </c>
      <c r="D476" t="s">
        <v>6026</v>
      </c>
      <c r="E476" t="s">
        <v>6030</v>
      </c>
      <c r="F476" t="s">
        <v>6034</v>
      </c>
      <c r="G476" t="s">
        <v>6053</v>
      </c>
      <c r="H476" t="s">
        <v>6097</v>
      </c>
      <c r="I476">
        <v>24</v>
      </c>
      <c r="J476">
        <v>35.700000000000003</v>
      </c>
      <c r="K476" t="s">
        <v>6099</v>
      </c>
      <c r="L476" t="s">
        <v>6100</v>
      </c>
      <c r="M476" t="s">
        <v>6100</v>
      </c>
      <c r="N476">
        <v>5</v>
      </c>
      <c r="O476" t="s">
        <v>6101</v>
      </c>
      <c r="P476" t="s">
        <v>6107</v>
      </c>
      <c r="Q476">
        <v>1</v>
      </c>
      <c r="R476">
        <v>2026</v>
      </c>
      <c r="S476" t="s">
        <v>6100</v>
      </c>
      <c r="T476">
        <v>0</v>
      </c>
      <c r="U476" t="s">
        <v>6018</v>
      </c>
      <c r="V476">
        <v>1</v>
      </c>
    </row>
    <row r="477" spans="1:22" x14ac:dyDescent="0.3">
      <c r="A477" t="s">
        <v>492</v>
      </c>
      <c r="B477" s="2">
        <v>46047.713888888888</v>
      </c>
      <c r="C477" s="2">
        <v>46048.597222222219</v>
      </c>
      <c r="D477" t="s">
        <v>6024</v>
      </c>
      <c r="E477" t="s">
        <v>6032</v>
      </c>
      <c r="F477" t="s">
        <v>6034</v>
      </c>
      <c r="G477" t="s">
        <v>6093</v>
      </c>
      <c r="H477" t="s">
        <v>6097</v>
      </c>
      <c r="I477">
        <v>24</v>
      </c>
      <c r="J477">
        <v>21.2</v>
      </c>
      <c r="K477" t="s">
        <v>6099</v>
      </c>
      <c r="L477" t="s">
        <v>6100</v>
      </c>
      <c r="M477" t="s">
        <v>6100</v>
      </c>
      <c r="N477">
        <v>4</v>
      </c>
      <c r="O477" t="s">
        <v>6101</v>
      </c>
      <c r="P477" t="s">
        <v>6107</v>
      </c>
      <c r="Q477">
        <v>1</v>
      </c>
      <c r="R477">
        <v>2026</v>
      </c>
      <c r="S477" t="s">
        <v>6099</v>
      </c>
      <c r="T477">
        <v>1</v>
      </c>
      <c r="U477" t="s">
        <v>6019</v>
      </c>
      <c r="V477">
        <v>1</v>
      </c>
    </row>
    <row r="478" spans="1:22" x14ac:dyDescent="0.3">
      <c r="A478" t="s">
        <v>493</v>
      </c>
      <c r="B478" s="2">
        <v>46047.724999999999</v>
      </c>
      <c r="C478" s="2">
        <v>46047.933333333334</v>
      </c>
      <c r="D478" t="s">
        <v>6022</v>
      </c>
      <c r="E478" t="s">
        <v>6030</v>
      </c>
      <c r="F478" t="s">
        <v>6033</v>
      </c>
      <c r="G478" t="s">
        <v>6043</v>
      </c>
      <c r="H478" t="s">
        <v>6097</v>
      </c>
      <c r="I478">
        <v>72</v>
      </c>
      <c r="J478">
        <v>5</v>
      </c>
      <c r="K478" t="s">
        <v>6099</v>
      </c>
      <c r="L478" t="s">
        <v>6100</v>
      </c>
      <c r="M478" t="s">
        <v>6100</v>
      </c>
      <c r="N478">
        <v>5</v>
      </c>
      <c r="O478" t="s">
        <v>6101</v>
      </c>
      <c r="P478" t="s">
        <v>6107</v>
      </c>
      <c r="Q478">
        <v>1</v>
      </c>
      <c r="R478">
        <v>2026</v>
      </c>
      <c r="S478" t="s">
        <v>6099</v>
      </c>
      <c r="T478">
        <v>1</v>
      </c>
      <c r="U478" t="s">
        <v>6021</v>
      </c>
      <c r="V478">
        <v>1</v>
      </c>
    </row>
    <row r="479" spans="1:22" x14ac:dyDescent="0.3">
      <c r="A479" t="s">
        <v>494</v>
      </c>
      <c r="B479" s="2">
        <v>46047.825694444444</v>
      </c>
      <c r="C479" s="2">
        <v>46048.871527777781</v>
      </c>
      <c r="D479" t="s">
        <v>6025</v>
      </c>
      <c r="E479" t="s">
        <v>6029</v>
      </c>
      <c r="F479" t="s">
        <v>6035</v>
      </c>
      <c r="G479" t="s">
        <v>6064</v>
      </c>
      <c r="H479" t="s">
        <v>6096</v>
      </c>
      <c r="I479">
        <v>4</v>
      </c>
      <c r="J479">
        <v>25.1</v>
      </c>
      <c r="K479" t="s">
        <v>6100</v>
      </c>
      <c r="L479" t="s">
        <v>6100</v>
      </c>
      <c r="M479" t="s">
        <v>6100</v>
      </c>
      <c r="N479">
        <v>3</v>
      </c>
      <c r="O479" t="s">
        <v>6101</v>
      </c>
      <c r="P479" t="s">
        <v>6107</v>
      </c>
      <c r="Q479">
        <v>1</v>
      </c>
      <c r="R479">
        <v>2026</v>
      </c>
      <c r="S479" t="s">
        <v>6100</v>
      </c>
      <c r="T479">
        <v>0</v>
      </c>
      <c r="U479" t="s">
        <v>6021</v>
      </c>
      <c r="V479">
        <v>0</v>
      </c>
    </row>
    <row r="480" spans="1:22" x14ac:dyDescent="0.3">
      <c r="A480" t="s">
        <v>495</v>
      </c>
      <c r="B480" s="2">
        <v>46048.254861111112</v>
      </c>
      <c r="C480" s="2">
        <v>46048.859027777777</v>
      </c>
      <c r="D480" t="s">
        <v>6022</v>
      </c>
      <c r="E480" t="s">
        <v>6029</v>
      </c>
      <c r="F480" t="s">
        <v>6035</v>
      </c>
      <c r="G480" t="s">
        <v>6048</v>
      </c>
      <c r="H480" t="s">
        <v>6096</v>
      </c>
      <c r="I480">
        <v>4</v>
      </c>
      <c r="J480">
        <v>14.5</v>
      </c>
      <c r="K480" t="s">
        <v>6099</v>
      </c>
      <c r="L480" t="s">
        <v>6100</v>
      </c>
      <c r="M480" t="s">
        <v>6100</v>
      </c>
      <c r="N480">
        <v>5</v>
      </c>
      <c r="O480" t="s">
        <v>6101</v>
      </c>
      <c r="P480" t="s">
        <v>6107</v>
      </c>
      <c r="Q480">
        <v>1</v>
      </c>
      <c r="R480">
        <v>2026</v>
      </c>
      <c r="S480" t="s">
        <v>6100</v>
      </c>
      <c r="T480">
        <v>0</v>
      </c>
      <c r="U480" t="s">
        <v>6019</v>
      </c>
      <c r="V480">
        <v>1</v>
      </c>
    </row>
    <row r="481" spans="1:22" x14ac:dyDescent="0.3">
      <c r="A481" t="s">
        <v>496</v>
      </c>
      <c r="B481" s="2">
        <v>46048.263888888891</v>
      </c>
      <c r="C481" s="2">
        <v>46050.038888888892</v>
      </c>
      <c r="D481" t="s">
        <v>6023</v>
      </c>
      <c r="E481" t="s">
        <v>6032</v>
      </c>
      <c r="F481" t="s">
        <v>6033</v>
      </c>
      <c r="G481" t="s">
        <v>6036</v>
      </c>
      <c r="H481" t="s">
        <v>6096</v>
      </c>
      <c r="I481">
        <v>72</v>
      </c>
      <c r="J481">
        <v>42.6</v>
      </c>
      <c r="K481" t="s">
        <v>6099</v>
      </c>
      <c r="L481" t="s">
        <v>6100</v>
      </c>
      <c r="M481" t="s">
        <v>6100</v>
      </c>
      <c r="N481">
        <v>4</v>
      </c>
      <c r="O481" t="s">
        <v>6101</v>
      </c>
      <c r="P481" t="s">
        <v>6107</v>
      </c>
      <c r="Q481">
        <v>1</v>
      </c>
      <c r="R481">
        <v>2026</v>
      </c>
      <c r="S481" t="s">
        <v>6099</v>
      </c>
      <c r="T481">
        <v>1</v>
      </c>
      <c r="U481" t="s">
        <v>6019</v>
      </c>
      <c r="V481">
        <v>1</v>
      </c>
    </row>
    <row r="482" spans="1:22" x14ac:dyDescent="0.3">
      <c r="A482" t="s">
        <v>497</v>
      </c>
      <c r="B482" s="2">
        <v>46048.277777777781</v>
      </c>
      <c r="C482" s="2">
        <v>46049.331944444442</v>
      </c>
      <c r="D482" t="s">
        <v>6024</v>
      </c>
      <c r="E482" t="s">
        <v>6029</v>
      </c>
      <c r="F482" t="s">
        <v>6034</v>
      </c>
      <c r="G482" t="s">
        <v>6045</v>
      </c>
      <c r="H482" t="s">
        <v>6096</v>
      </c>
      <c r="I482">
        <v>24</v>
      </c>
      <c r="J482">
        <v>25.3</v>
      </c>
      <c r="K482" t="s">
        <v>6099</v>
      </c>
      <c r="L482" t="s">
        <v>6100</v>
      </c>
      <c r="M482" t="s">
        <v>6100</v>
      </c>
      <c r="N482">
        <v>4</v>
      </c>
      <c r="O482" t="s">
        <v>6101</v>
      </c>
      <c r="P482" t="s">
        <v>6107</v>
      </c>
      <c r="Q482">
        <v>1</v>
      </c>
      <c r="R482">
        <v>2026</v>
      </c>
      <c r="S482" t="s">
        <v>6100</v>
      </c>
      <c r="T482">
        <v>0</v>
      </c>
      <c r="U482" t="s">
        <v>6019</v>
      </c>
      <c r="V482">
        <v>1</v>
      </c>
    </row>
    <row r="483" spans="1:22" x14ac:dyDescent="0.3">
      <c r="A483" t="s">
        <v>498</v>
      </c>
      <c r="B483" s="2">
        <v>46048.327777777777</v>
      </c>
      <c r="C483" s="2">
        <v>46048.402777777781</v>
      </c>
      <c r="D483" t="s">
        <v>6023</v>
      </c>
      <c r="E483" t="s">
        <v>6032</v>
      </c>
      <c r="F483" t="s">
        <v>6034</v>
      </c>
      <c r="G483" t="s">
        <v>6084</v>
      </c>
      <c r="H483" t="s">
        <v>6098</v>
      </c>
      <c r="I483">
        <v>24</v>
      </c>
      <c r="J483">
        <v>1.8</v>
      </c>
      <c r="K483" t="s">
        <v>6099</v>
      </c>
      <c r="L483" t="s">
        <v>6100</v>
      </c>
      <c r="M483" t="s">
        <v>6100</v>
      </c>
      <c r="N483">
        <v>5</v>
      </c>
      <c r="O483" t="s">
        <v>6101</v>
      </c>
      <c r="P483" t="s">
        <v>6107</v>
      </c>
      <c r="Q483">
        <v>1</v>
      </c>
      <c r="R483">
        <v>2026</v>
      </c>
      <c r="S483" t="s">
        <v>6099</v>
      </c>
      <c r="T483">
        <v>1</v>
      </c>
      <c r="U483" t="s">
        <v>6020</v>
      </c>
      <c r="V483">
        <v>1</v>
      </c>
    </row>
    <row r="484" spans="1:22" x14ac:dyDescent="0.3">
      <c r="A484" t="s">
        <v>499</v>
      </c>
      <c r="B484" s="2">
        <v>46048.334722222222</v>
      </c>
      <c r="C484" s="2">
        <v>46048.868055555555</v>
      </c>
      <c r="D484" t="s">
        <v>6026</v>
      </c>
      <c r="E484" t="s">
        <v>6030</v>
      </c>
      <c r="F484" t="s">
        <v>6033</v>
      </c>
      <c r="G484" t="s">
        <v>6095</v>
      </c>
      <c r="H484" t="s">
        <v>6098</v>
      </c>
      <c r="I484">
        <v>72</v>
      </c>
      <c r="J484">
        <v>12.8</v>
      </c>
      <c r="K484" t="s">
        <v>6099</v>
      </c>
      <c r="L484" t="s">
        <v>6100</v>
      </c>
      <c r="M484" t="s">
        <v>6100</v>
      </c>
      <c r="O484" t="s">
        <v>6101</v>
      </c>
      <c r="P484" t="s">
        <v>6107</v>
      </c>
      <c r="Q484">
        <v>1</v>
      </c>
      <c r="R484">
        <v>2026</v>
      </c>
      <c r="S484" t="s">
        <v>6099</v>
      </c>
      <c r="T484">
        <v>1</v>
      </c>
      <c r="U484" t="s">
        <v>6017</v>
      </c>
      <c r="V484">
        <v>1</v>
      </c>
    </row>
    <row r="485" spans="1:22" x14ac:dyDescent="0.3">
      <c r="A485" t="s">
        <v>500</v>
      </c>
      <c r="B485" s="2">
        <v>46048.409722222219</v>
      </c>
      <c r="C485" s="2">
        <v>46054.930555555555</v>
      </c>
      <c r="D485" t="s">
        <v>6026</v>
      </c>
      <c r="E485" t="s">
        <v>6031</v>
      </c>
      <c r="F485" t="s">
        <v>6035</v>
      </c>
      <c r="G485" t="s">
        <v>6054</v>
      </c>
      <c r="H485" t="s">
        <v>6096</v>
      </c>
      <c r="I485">
        <v>4</v>
      </c>
      <c r="J485">
        <v>156.5</v>
      </c>
      <c r="K485" t="s">
        <v>6099</v>
      </c>
      <c r="L485" t="s">
        <v>6100</v>
      </c>
      <c r="M485" t="s">
        <v>6100</v>
      </c>
      <c r="N485">
        <v>4</v>
      </c>
      <c r="O485" t="s">
        <v>6101</v>
      </c>
      <c r="P485" t="s">
        <v>6107</v>
      </c>
      <c r="Q485">
        <v>1</v>
      </c>
      <c r="R485">
        <v>2026</v>
      </c>
      <c r="S485" t="s">
        <v>6100</v>
      </c>
      <c r="T485">
        <v>0</v>
      </c>
      <c r="U485" t="s">
        <v>6019</v>
      </c>
      <c r="V485">
        <v>1</v>
      </c>
    </row>
    <row r="486" spans="1:22" x14ac:dyDescent="0.3">
      <c r="A486" t="s">
        <v>501</v>
      </c>
      <c r="B486" s="2">
        <v>46048.426388888889</v>
      </c>
      <c r="C486" s="2">
        <v>46049.251388888886</v>
      </c>
      <c r="D486" t="s">
        <v>6028</v>
      </c>
      <c r="E486" t="s">
        <v>6031</v>
      </c>
      <c r="F486" t="s">
        <v>6035</v>
      </c>
      <c r="G486" t="s">
        <v>6082</v>
      </c>
      <c r="H486" t="s">
        <v>6097</v>
      </c>
      <c r="I486">
        <v>4</v>
      </c>
      <c r="J486">
        <v>19.8</v>
      </c>
      <c r="K486" t="s">
        <v>6100</v>
      </c>
      <c r="L486" t="s">
        <v>6100</v>
      </c>
      <c r="M486" t="s">
        <v>6099</v>
      </c>
      <c r="N486">
        <v>2</v>
      </c>
      <c r="O486" t="s">
        <v>6101</v>
      </c>
      <c r="P486" t="s">
        <v>6107</v>
      </c>
      <c r="Q486">
        <v>1</v>
      </c>
      <c r="R486">
        <v>2026</v>
      </c>
      <c r="S486" t="s">
        <v>6100</v>
      </c>
      <c r="T486">
        <v>0</v>
      </c>
      <c r="U486" t="s">
        <v>6019</v>
      </c>
      <c r="V486">
        <v>0</v>
      </c>
    </row>
    <row r="487" spans="1:22" x14ac:dyDescent="0.3">
      <c r="A487" t="s">
        <v>502</v>
      </c>
      <c r="B487" s="2">
        <v>46048.469444444447</v>
      </c>
      <c r="C487" s="2">
        <v>46048.719444444447</v>
      </c>
      <c r="D487" t="s">
        <v>6027</v>
      </c>
      <c r="E487" t="s">
        <v>6030</v>
      </c>
      <c r="F487" t="s">
        <v>6034</v>
      </c>
      <c r="G487" t="s">
        <v>6073</v>
      </c>
      <c r="H487" t="s">
        <v>6096</v>
      </c>
      <c r="I487">
        <v>24</v>
      </c>
      <c r="J487">
        <v>6</v>
      </c>
      <c r="K487" t="s">
        <v>6100</v>
      </c>
      <c r="L487" t="s">
        <v>6099</v>
      </c>
      <c r="M487" t="s">
        <v>6100</v>
      </c>
      <c r="N487">
        <v>2</v>
      </c>
      <c r="O487" t="s">
        <v>6101</v>
      </c>
      <c r="P487" t="s">
        <v>6107</v>
      </c>
      <c r="Q487">
        <v>1</v>
      </c>
      <c r="R487">
        <v>2026</v>
      </c>
      <c r="S487" t="s">
        <v>6099</v>
      </c>
      <c r="T487">
        <v>1</v>
      </c>
      <c r="U487" t="s">
        <v>6018</v>
      </c>
      <c r="V487">
        <v>0</v>
      </c>
    </row>
    <row r="488" spans="1:22" x14ac:dyDescent="0.3">
      <c r="A488" t="s">
        <v>503</v>
      </c>
      <c r="B488" s="2">
        <v>46048.48541666667</v>
      </c>
      <c r="C488" s="2">
        <v>46048.027083333334</v>
      </c>
      <c r="D488" t="s">
        <v>6022</v>
      </c>
      <c r="E488" t="s">
        <v>6030</v>
      </c>
      <c r="F488" t="s">
        <v>6034</v>
      </c>
      <c r="G488" t="s">
        <v>6084</v>
      </c>
      <c r="H488" t="s">
        <v>6098</v>
      </c>
      <c r="I488">
        <v>24</v>
      </c>
      <c r="J488">
        <v>4.5999999999999996</v>
      </c>
      <c r="K488" t="s">
        <v>6099</v>
      </c>
      <c r="L488" t="s">
        <v>6100</v>
      </c>
      <c r="M488" t="s">
        <v>6100</v>
      </c>
      <c r="N488">
        <v>5</v>
      </c>
      <c r="O488" t="s">
        <v>6101</v>
      </c>
      <c r="P488" t="s">
        <v>6107</v>
      </c>
      <c r="Q488">
        <v>1</v>
      </c>
      <c r="R488">
        <v>2026</v>
      </c>
      <c r="S488" t="s">
        <v>6099</v>
      </c>
      <c r="T488">
        <v>1</v>
      </c>
      <c r="U488" t="s">
        <v>6019</v>
      </c>
      <c r="V488">
        <v>1</v>
      </c>
    </row>
    <row r="489" spans="1:22" x14ac:dyDescent="0.3">
      <c r="A489" t="s">
        <v>504</v>
      </c>
      <c r="B489" s="2">
        <v>46048.546527777777</v>
      </c>
      <c r="C489" s="2">
        <v>46048.767361111109</v>
      </c>
      <c r="D489" t="s">
        <v>6027</v>
      </c>
      <c r="E489" t="s">
        <v>6029</v>
      </c>
      <c r="F489" t="s">
        <v>6034</v>
      </c>
      <c r="G489" t="s">
        <v>6058</v>
      </c>
      <c r="H489" t="s">
        <v>6098</v>
      </c>
      <c r="I489">
        <v>24</v>
      </c>
      <c r="J489">
        <v>5.3</v>
      </c>
      <c r="K489" t="s">
        <v>6100</v>
      </c>
      <c r="L489" t="s">
        <v>6100</v>
      </c>
      <c r="M489" t="s">
        <v>6100</v>
      </c>
      <c r="O489" t="s">
        <v>6101</v>
      </c>
      <c r="P489" t="s">
        <v>6107</v>
      </c>
      <c r="Q489">
        <v>1</v>
      </c>
      <c r="R489">
        <v>2026</v>
      </c>
      <c r="S489" t="s">
        <v>6099</v>
      </c>
      <c r="T489">
        <v>1</v>
      </c>
      <c r="U489" t="s">
        <v>6017</v>
      </c>
      <c r="V489">
        <v>0</v>
      </c>
    </row>
    <row r="490" spans="1:22" x14ac:dyDescent="0.3">
      <c r="A490" t="s">
        <v>505</v>
      </c>
      <c r="B490" s="2">
        <v>46048.549305555556</v>
      </c>
      <c r="C490" s="2">
        <v>46048.699305555558</v>
      </c>
      <c r="D490" t="s">
        <v>6027</v>
      </c>
      <c r="E490" t="s">
        <v>6030</v>
      </c>
      <c r="F490" t="s">
        <v>6035</v>
      </c>
      <c r="G490" t="s">
        <v>6070</v>
      </c>
      <c r="H490" t="s">
        <v>6097</v>
      </c>
      <c r="I490">
        <v>4</v>
      </c>
      <c r="J490">
        <v>3.6</v>
      </c>
      <c r="K490" t="s">
        <v>6099</v>
      </c>
      <c r="L490" t="s">
        <v>6100</v>
      </c>
      <c r="M490" t="s">
        <v>6100</v>
      </c>
      <c r="N490">
        <v>4</v>
      </c>
      <c r="O490" t="s">
        <v>6101</v>
      </c>
      <c r="P490" t="s">
        <v>6107</v>
      </c>
      <c r="Q490">
        <v>1</v>
      </c>
      <c r="R490">
        <v>2026</v>
      </c>
      <c r="S490" t="s">
        <v>6099</v>
      </c>
      <c r="T490">
        <v>1</v>
      </c>
      <c r="U490" t="s">
        <v>6019</v>
      </c>
      <c r="V490">
        <v>1</v>
      </c>
    </row>
    <row r="491" spans="1:22" x14ac:dyDescent="0.3">
      <c r="A491" t="s">
        <v>506</v>
      </c>
      <c r="B491" s="2">
        <v>46048.554166666669</v>
      </c>
      <c r="C491" s="2">
        <v>46048.779166666667</v>
      </c>
      <c r="D491" t="s">
        <v>6023</v>
      </c>
      <c r="E491" t="s">
        <v>6029</v>
      </c>
      <c r="F491" t="s">
        <v>6033</v>
      </c>
      <c r="G491" t="s">
        <v>6072</v>
      </c>
      <c r="H491" t="s">
        <v>6097</v>
      </c>
      <c r="I491">
        <v>72</v>
      </c>
      <c r="J491">
        <v>5.4</v>
      </c>
      <c r="K491" t="s">
        <v>6100</v>
      </c>
      <c r="L491" t="s">
        <v>6100</v>
      </c>
      <c r="M491" t="s">
        <v>6100</v>
      </c>
      <c r="N491">
        <v>4</v>
      </c>
      <c r="O491" t="s">
        <v>6101</v>
      </c>
      <c r="P491" t="s">
        <v>6107</v>
      </c>
      <c r="Q491">
        <v>1</v>
      </c>
      <c r="R491">
        <v>2026</v>
      </c>
      <c r="S491" t="s">
        <v>6099</v>
      </c>
      <c r="T491">
        <v>1</v>
      </c>
      <c r="U491" t="s">
        <v>6018</v>
      </c>
      <c r="V491">
        <v>0</v>
      </c>
    </row>
    <row r="492" spans="1:22" x14ac:dyDescent="0.3">
      <c r="A492" t="s">
        <v>507</v>
      </c>
      <c r="B492" s="2">
        <v>46048.635416666664</v>
      </c>
      <c r="C492" s="2">
        <v>46049.039583333331</v>
      </c>
      <c r="D492" t="s">
        <v>6022</v>
      </c>
      <c r="E492" t="s">
        <v>6032</v>
      </c>
      <c r="F492" t="s">
        <v>6033</v>
      </c>
      <c r="G492" t="s">
        <v>6082</v>
      </c>
      <c r="H492" t="s">
        <v>6097</v>
      </c>
      <c r="I492">
        <v>72</v>
      </c>
      <c r="J492">
        <v>9.6999999999999993</v>
      </c>
      <c r="K492" t="s">
        <v>6099</v>
      </c>
      <c r="L492" t="s">
        <v>6100</v>
      </c>
      <c r="M492" t="s">
        <v>6100</v>
      </c>
      <c r="N492">
        <v>5</v>
      </c>
      <c r="O492" t="s">
        <v>6101</v>
      </c>
      <c r="P492" t="s">
        <v>6107</v>
      </c>
      <c r="Q492">
        <v>1</v>
      </c>
      <c r="R492">
        <v>2026</v>
      </c>
      <c r="S492" t="s">
        <v>6099</v>
      </c>
      <c r="T492">
        <v>1</v>
      </c>
      <c r="U492" t="s">
        <v>6021</v>
      </c>
      <c r="V492">
        <v>1</v>
      </c>
    </row>
    <row r="493" spans="1:22" x14ac:dyDescent="0.3">
      <c r="A493" t="s">
        <v>508</v>
      </c>
      <c r="B493" s="2">
        <v>46048.635416666664</v>
      </c>
      <c r="C493" s="2">
        <v>46049.38958333333</v>
      </c>
      <c r="D493" t="s">
        <v>6027</v>
      </c>
      <c r="E493" t="s">
        <v>6032</v>
      </c>
      <c r="F493" t="s">
        <v>6034</v>
      </c>
      <c r="G493" t="s">
        <v>6088</v>
      </c>
      <c r="H493" t="s">
        <v>6097</v>
      </c>
      <c r="I493">
        <v>24</v>
      </c>
      <c r="J493">
        <v>18.100000000000001</v>
      </c>
      <c r="K493" t="s">
        <v>6099</v>
      </c>
      <c r="L493" t="s">
        <v>6100</v>
      </c>
      <c r="M493" t="s">
        <v>6100</v>
      </c>
      <c r="N493">
        <v>5</v>
      </c>
      <c r="O493" t="s">
        <v>6101</v>
      </c>
      <c r="P493" t="s">
        <v>6107</v>
      </c>
      <c r="Q493">
        <v>1</v>
      </c>
      <c r="R493">
        <v>2026</v>
      </c>
      <c r="S493" t="s">
        <v>6099</v>
      </c>
      <c r="T493">
        <v>1</v>
      </c>
      <c r="U493" t="s">
        <v>6019</v>
      </c>
      <c r="V493">
        <v>1</v>
      </c>
    </row>
    <row r="494" spans="1:22" x14ac:dyDescent="0.3">
      <c r="A494" t="s">
        <v>509</v>
      </c>
      <c r="B494" s="2">
        <v>46048.656944444447</v>
      </c>
      <c r="C494" s="2">
        <v>46049.027777777781</v>
      </c>
      <c r="D494" t="s">
        <v>6024</v>
      </c>
      <c r="E494" t="s">
        <v>6030</v>
      </c>
      <c r="F494" t="s">
        <v>6034</v>
      </c>
      <c r="G494" t="s">
        <v>6063</v>
      </c>
      <c r="H494" t="s">
        <v>6097</v>
      </c>
      <c r="I494">
        <v>24</v>
      </c>
      <c r="J494">
        <v>8.9</v>
      </c>
      <c r="K494" t="s">
        <v>6099</v>
      </c>
      <c r="L494" t="s">
        <v>6100</v>
      </c>
      <c r="M494" t="s">
        <v>6100</v>
      </c>
      <c r="N494">
        <v>4</v>
      </c>
      <c r="O494" t="s">
        <v>6101</v>
      </c>
      <c r="P494" t="s">
        <v>6107</v>
      </c>
      <c r="Q494">
        <v>1</v>
      </c>
      <c r="R494">
        <v>2026</v>
      </c>
      <c r="S494" t="s">
        <v>6099</v>
      </c>
      <c r="T494">
        <v>1</v>
      </c>
      <c r="U494" t="s">
        <v>6018</v>
      </c>
      <c r="V494">
        <v>1</v>
      </c>
    </row>
    <row r="495" spans="1:22" x14ac:dyDescent="0.3">
      <c r="A495" t="s">
        <v>510</v>
      </c>
      <c r="B495" s="2">
        <v>46048.663194444445</v>
      </c>
      <c r="C495" s="2">
        <v>46049.117361111108</v>
      </c>
      <c r="D495" t="s">
        <v>6023</v>
      </c>
      <c r="E495" t="s">
        <v>6032</v>
      </c>
      <c r="F495" t="s">
        <v>6034</v>
      </c>
      <c r="G495" t="s">
        <v>6082</v>
      </c>
      <c r="H495" t="s">
        <v>6097</v>
      </c>
      <c r="I495">
        <v>24</v>
      </c>
      <c r="J495">
        <v>10.9</v>
      </c>
      <c r="K495" t="s">
        <v>6099</v>
      </c>
      <c r="L495" t="s">
        <v>6100</v>
      </c>
      <c r="M495" t="s">
        <v>6100</v>
      </c>
      <c r="N495">
        <v>4</v>
      </c>
      <c r="O495" t="s">
        <v>6101</v>
      </c>
      <c r="P495" t="s">
        <v>6107</v>
      </c>
      <c r="Q495">
        <v>1</v>
      </c>
      <c r="R495">
        <v>2026</v>
      </c>
      <c r="S495" t="s">
        <v>6099</v>
      </c>
      <c r="T495">
        <v>1</v>
      </c>
      <c r="U495" t="s">
        <v>6017</v>
      </c>
      <c r="V495">
        <v>1</v>
      </c>
    </row>
    <row r="496" spans="1:22" x14ac:dyDescent="0.3">
      <c r="A496" t="s">
        <v>511</v>
      </c>
      <c r="B496" s="2">
        <v>46048.685416666667</v>
      </c>
      <c r="C496" s="2">
        <v>46049.660416666666</v>
      </c>
      <c r="D496" t="s">
        <v>6023</v>
      </c>
      <c r="E496" t="s">
        <v>6029</v>
      </c>
      <c r="F496" t="s">
        <v>6034</v>
      </c>
      <c r="G496" t="s">
        <v>6041</v>
      </c>
      <c r="H496" t="s">
        <v>6096</v>
      </c>
      <c r="I496">
        <v>24</v>
      </c>
      <c r="J496">
        <v>23.4</v>
      </c>
      <c r="K496" t="s">
        <v>6099</v>
      </c>
      <c r="L496" t="s">
        <v>6100</v>
      </c>
      <c r="M496" t="s">
        <v>6100</v>
      </c>
      <c r="O496" t="s">
        <v>6101</v>
      </c>
      <c r="P496" t="s">
        <v>6107</v>
      </c>
      <c r="Q496">
        <v>1</v>
      </c>
      <c r="R496">
        <v>2026</v>
      </c>
      <c r="S496" t="s">
        <v>6099</v>
      </c>
      <c r="T496">
        <v>1</v>
      </c>
      <c r="U496" t="s">
        <v>6018</v>
      </c>
      <c r="V496">
        <v>1</v>
      </c>
    </row>
    <row r="497" spans="1:22" x14ac:dyDescent="0.3">
      <c r="A497" t="s">
        <v>512</v>
      </c>
      <c r="B497" s="2">
        <v>46048.708333333336</v>
      </c>
      <c r="C497" s="2">
        <v>46049.237500000003</v>
      </c>
      <c r="D497" t="s">
        <v>6024</v>
      </c>
      <c r="E497" t="s">
        <v>6029</v>
      </c>
      <c r="F497" t="s">
        <v>6035</v>
      </c>
      <c r="G497" t="s">
        <v>6071</v>
      </c>
      <c r="H497" t="s">
        <v>6098</v>
      </c>
      <c r="I497">
        <v>4</v>
      </c>
      <c r="J497">
        <v>12.7</v>
      </c>
      <c r="K497" t="s">
        <v>6100</v>
      </c>
      <c r="L497" t="s">
        <v>6100</v>
      </c>
      <c r="M497" t="s">
        <v>6100</v>
      </c>
      <c r="N497">
        <v>5</v>
      </c>
      <c r="O497" t="s">
        <v>6101</v>
      </c>
      <c r="P497" t="s">
        <v>6107</v>
      </c>
      <c r="Q497">
        <v>1</v>
      </c>
      <c r="R497">
        <v>2026</v>
      </c>
      <c r="S497" t="s">
        <v>6100</v>
      </c>
      <c r="T497">
        <v>0</v>
      </c>
      <c r="U497" t="s">
        <v>6019</v>
      </c>
      <c r="V497">
        <v>0</v>
      </c>
    </row>
    <row r="498" spans="1:22" x14ac:dyDescent="0.3">
      <c r="A498" t="s">
        <v>513</v>
      </c>
      <c r="B498" s="2">
        <v>46048.919444444444</v>
      </c>
      <c r="C498" s="2">
        <v>46049.152777777781</v>
      </c>
      <c r="D498" t="s">
        <v>6023</v>
      </c>
      <c r="E498" t="s">
        <v>6029</v>
      </c>
      <c r="F498" t="s">
        <v>6034</v>
      </c>
      <c r="G498" t="s">
        <v>6072</v>
      </c>
      <c r="H498" t="s">
        <v>6097</v>
      </c>
      <c r="I498">
        <v>24</v>
      </c>
      <c r="J498">
        <v>5.6</v>
      </c>
      <c r="K498" t="s">
        <v>6099</v>
      </c>
      <c r="L498" t="s">
        <v>6100</v>
      </c>
      <c r="M498" t="s">
        <v>6100</v>
      </c>
      <c r="N498">
        <v>4</v>
      </c>
      <c r="O498" t="s">
        <v>6101</v>
      </c>
      <c r="P498" t="s">
        <v>6107</v>
      </c>
      <c r="Q498">
        <v>1</v>
      </c>
      <c r="R498">
        <v>2026</v>
      </c>
      <c r="S498" t="s">
        <v>6099</v>
      </c>
      <c r="T498">
        <v>1</v>
      </c>
      <c r="U498" t="s">
        <v>6021</v>
      </c>
      <c r="V498">
        <v>1</v>
      </c>
    </row>
    <row r="499" spans="1:22" x14ac:dyDescent="0.3">
      <c r="A499" t="s">
        <v>514</v>
      </c>
      <c r="B499" s="2">
        <v>46049.302777777775</v>
      </c>
      <c r="C499" s="2">
        <v>46049.777777777781</v>
      </c>
      <c r="D499" t="s">
        <v>6028</v>
      </c>
      <c r="E499" t="s">
        <v>6031</v>
      </c>
      <c r="F499" t="s">
        <v>6034</v>
      </c>
      <c r="G499" t="s">
        <v>6067</v>
      </c>
      <c r="H499" t="s">
        <v>6098</v>
      </c>
      <c r="I499">
        <v>24</v>
      </c>
      <c r="J499">
        <v>11.4</v>
      </c>
      <c r="K499" t="s">
        <v>6099</v>
      </c>
      <c r="L499" t="s">
        <v>6100</v>
      </c>
      <c r="M499" t="s">
        <v>6100</v>
      </c>
      <c r="N499">
        <v>5</v>
      </c>
      <c r="O499" t="s">
        <v>6101</v>
      </c>
      <c r="P499" t="s">
        <v>6107</v>
      </c>
      <c r="Q499">
        <v>1</v>
      </c>
      <c r="R499">
        <v>2026</v>
      </c>
      <c r="S499" t="s">
        <v>6099</v>
      </c>
      <c r="T499">
        <v>1</v>
      </c>
      <c r="U499" t="s">
        <v>6018</v>
      </c>
      <c r="V499">
        <v>1</v>
      </c>
    </row>
    <row r="500" spans="1:22" x14ac:dyDescent="0.3">
      <c r="A500" t="s">
        <v>515</v>
      </c>
      <c r="B500" s="2">
        <v>46049.398611111108</v>
      </c>
      <c r="C500" s="2">
        <v>46049.486111111109</v>
      </c>
      <c r="D500" t="s">
        <v>6023</v>
      </c>
      <c r="E500" t="s">
        <v>6030</v>
      </c>
      <c r="F500" t="s">
        <v>6033</v>
      </c>
      <c r="G500" t="s">
        <v>6042</v>
      </c>
      <c r="H500" t="s">
        <v>6098</v>
      </c>
      <c r="I500">
        <v>72</v>
      </c>
      <c r="J500">
        <v>2.1</v>
      </c>
      <c r="K500" t="s">
        <v>6100</v>
      </c>
      <c r="L500" t="s">
        <v>6100</v>
      </c>
      <c r="M500" t="s">
        <v>6100</v>
      </c>
      <c r="N500">
        <v>3</v>
      </c>
      <c r="O500" t="s">
        <v>6101</v>
      </c>
      <c r="P500" t="s">
        <v>6107</v>
      </c>
      <c r="Q500">
        <v>1</v>
      </c>
      <c r="R500">
        <v>2026</v>
      </c>
      <c r="S500" t="s">
        <v>6099</v>
      </c>
      <c r="T500">
        <v>1</v>
      </c>
      <c r="U500" t="s">
        <v>6021</v>
      </c>
      <c r="V500">
        <v>0</v>
      </c>
    </row>
    <row r="501" spans="1:22" x14ac:dyDescent="0.3">
      <c r="A501" t="s">
        <v>516</v>
      </c>
      <c r="B501" s="2">
        <v>46049.457638888889</v>
      </c>
      <c r="C501" s="2">
        <v>46049.824305555558</v>
      </c>
      <c r="D501" t="s">
        <v>6023</v>
      </c>
      <c r="E501" t="s">
        <v>6030</v>
      </c>
      <c r="F501" t="s">
        <v>6035</v>
      </c>
      <c r="G501" t="s">
        <v>6066</v>
      </c>
      <c r="H501" t="s">
        <v>6096</v>
      </c>
      <c r="I501">
        <v>4</v>
      </c>
      <c r="J501">
        <v>8.8000000000000007</v>
      </c>
      <c r="K501" t="s">
        <v>6100</v>
      </c>
      <c r="L501" t="s">
        <v>6099</v>
      </c>
      <c r="M501" t="s">
        <v>6100</v>
      </c>
      <c r="N501">
        <v>4</v>
      </c>
      <c r="O501" t="s">
        <v>6101</v>
      </c>
      <c r="P501" t="s">
        <v>6107</v>
      </c>
      <c r="Q501">
        <v>1</v>
      </c>
      <c r="R501">
        <v>2026</v>
      </c>
      <c r="S501" t="s">
        <v>6100</v>
      </c>
      <c r="T501">
        <v>0</v>
      </c>
      <c r="U501" t="s">
        <v>6021</v>
      </c>
      <c r="V501">
        <v>0</v>
      </c>
    </row>
    <row r="502" spans="1:22" x14ac:dyDescent="0.3">
      <c r="A502" t="s">
        <v>517</v>
      </c>
      <c r="B502" s="2">
        <v>46049.458333333336</v>
      </c>
      <c r="C502" s="2">
        <v>46049.5</v>
      </c>
      <c r="D502" t="s">
        <v>6023</v>
      </c>
      <c r="E502" t="s">
        <v>6030</v>
      </c>
      <c r="F502" t="s">
        <v>6033</v>
      </c>
      <c r="G502" t="s">
        <v>6087</v>
      </c>
      <c r="H502" t="s">
        <v>6098</v>
      </c>
      <c r="I502">
        <v>72</v>
      </c>
      <c r="J502">
        <v>1</v>
      </c>
      <c r="K502" t="s">
        <v>6099</v>
      </c>
      <c r="L502" t="s">
        <v>6100</v>
      </c>
      <c r="M502" t="s">
        <v>6100</v>
      </c>
      <c r="N502">
        <v>5</v>
      </c>
      <c r="O502" t="s">
        <v>6101</v>
      </c>
      <c r="P502" t="s">
        <v>6107</v>
      </c>
      <c r="Q502">
        <v>1</v>
      </c>
      <c r="R502">
        <v>2026</v>
      </c>
      <c r="S502" t="s">
        <v>6099</v>
      </c>
      <c r="T502">
        <v>1</v>
      </c>
      <c r="U502" t="s">
        <v>6018</v>
      </c>
      <c r="V502">
        <v>1</v>
      </c>
    </row>
    <row r="503" spans="1:22" x14ac:dyDescent="0.3">
      <c r="A503" t="s">
        <v>518</v>
      </c>
      <c r="B503" s="2">
        <v>46049.462500000001</v>
      </c>
      <c r="C503" s="2">
        <v>46051.241666666669</v>
      </c>
      <c r="D503" t="s">
        <v>6022</v>
      </c>
      <c r="E503" t="s">
        <v>6031</v>
      </c>
      <c r="F503" t="s">
        <v>6034</v>
      </c>
      <c r="G503" t="s">
        <v>6065</v>
      </c>
      <c r="H503" t="s">
        <v>6097</v>
      </c>
      <c r="I503">
        <v>24</v>
      </c>
      <c r="J503">
        <v>42.7</v>
      </c>
      <c r="K503" t="s">
        <v>6099</v>
      </c>
      <c r="L503" t="s">
        <v>6100</v>
      </c>
      <c r="M503" t="s">
        <v>6100</v>
      </c>
      <c r="O503" t="s">
        <v>6101</v>
      </c>
      <c r="P503" t="s">
        <v>6107</v>
      </c>
      <c r="Q503">
        <v>1</v>
      </c>
      <c r="R503">
        <v>2026</v>
      </c>
      <c r="S503" t="s">
        <v>6100</v>
      </c>
      <c r="T503">
        <v>0</v>
      </c>
      <c r="U503" t="s">
        <v>6021</v>
      </c>
      <c r="V503">
        <v>1</v>
      </c>
    </row>
    <row r="504" spans="1:22" x14ac:dyDescent="0.3">
      <c r="A504" t="s">
        <v>519</v>
      </c>
      <c r="B504" s="2">
        <v>46049.494444444441</v>
      </c>
      <c r="C504" s="2">
        <v>46049.927777777775</v>
      </c>
      <c r="D504" t="s">
        <v>6024</v>
      </c>
      <c r="E504" t="s">
        <v>6030</v>
      </c>
      <c r="F504" t="s">
        <v>6035</v>
      </c>
      <c r="G504" t="s">
        <v>6093</v>
      </c>
      <c r="H504" t="s">
        <v>6097</v>
      </c>
      <c r="I504">
        <v>4</v>
      </c>
      <c r="J504">
        <v>10.4</v>
      </c>
      <c r="K504" t="s">
        <v>6100</v>
      </c>
      <c r="L504" t="s">
        <v>6100</v>
      </c>
      <c r="M504" t="s">
        <v>6100</v>
      </c>
      <c r="O504" t="s">
        <v>6101</v>
      </c>
      <c r="P504" t="s">
        <v>6107</v>
      </c>
      <c r="Q504">
        <v>1</v>
      </c>
      <c r="R504">
        <v>2026</v>
      </c>
      <c r="S504" t="s">
        <v>6100</v>
      </c>
      <c r="T504">
        <v>0</v>
      </c>
      <c r="U504" t="s">
        <v>6019</v>
      </c>
      <c r="V504">
        <v>0</v>
      </c>
    </row>
    <row r="505" spans="1:22" x14ac:dyDescent="0.3">
      <c r="A505" t="s">
        <v>520</v>
      </c>
      <c r="B505" s="2">
        <v>46049.51666666667</v>
      </c>
      <c r="C505" s="2">
        <v>46050.054166666669</v>
      </c>
      <c r="D505" t="s">
        <v>6028</v>
      </c>
      <c r="E505" t="s">
        <v>6029</v>
      </c>
      <c r="F505" t="s">
        <v>6035</v>
      </c>
      <c r="G505" t="s">
        <v>6047</v>
      </c>
      <c r="H505" t="s">
        <v>6098</v>
      </c>
      <c r="I505">
        <v>4</v>
      </c>
      <c r="J505">
        <v>12.9</v>
      </c>
      <c r="K505" t="s">
        <v>6099</v>
      </c>
      <c r="L505" t="s">
        <v>6100</v>
      </c>
      <c r="M505" t="s">
        <v>6100</v>
      </c>
      <c r="O505" t="s">
        <v>6101</v>
      </c>
      <c r="P505" t="s">
        <v>6107</v>
      </c>
      <c r="Q505">
        <v>1</v>
      </c>
      <c r="R505">
        <v>2026</v>
      </c>
      <c r="S505" t="s">
        <v>6100</v>
      </c>
      <c r="T505">
        <v>0</v>
      </c>
      <c r="U505" t="s">
        <v>6019</v>
      </c>
      <c r="V505">
        <v>1</v>
      </c>
    </row>
    <row r="506" spans="1:22" x14ac:dyDescent="0.3">
      <c r="A506" t="s">
        <v>521</v>
      </c>
      <c r="B506" s="2">
        <v>46049.55972222222</v>
      </c>
      <c r="C506" s="2">
        <v>46052.138888888891</v>
      </c>
      <c r="D506" t="s">
        <v>6022</v>
      </c>
      <c r="E506" t="s">
        <v>6032</v>
      </c>
      <c r="F506" t="s">
        <v>6034</v>
      </c>
      <c r="G506" t="s">
        <v>6085</v>
      </c>
      <c r="H506" t="s">
        <v>6097</v>
      </c>
      <c r="I506">
        <v>24</v>
      </c>
      <c r="J506">
        <v>61.9</v>
      </c>
      <c r="K506" t="s">
        <v>6100</v>
      </c>
      <c r="L506" t="s">
        <v>6099</v>
      </c>
      <c r="M506" t="s">
        <v>6100</v>
      </c>
      <c r="N506">
        <v>2</v>
      </c>
      <c r="O506" t="s">
        <v>6101</v>
      </c>
      <c r="P506" t="s">
        <v>6107</v>
      </c>
      <c r="Q506">
        <v>1</v>
      </c>
      <c r="R506">
        <v>2026</v>
      </c>
      <c r="S506" t="s">
        <v>6100</v>
      </c>
      <c r="T506">
        <v>0</v>
      </c>
      <c r="U506" t="s">
        <v>6021</v>
      </c>
      <c r="V506">
        <v>0</v>
      </c>
    </row>
    <row r="507" spans="1:22" x14ac:dyDescent="0.3">
      <c r="A507" t="s">
        <v>522</v>
      </c>
      <c r="B507" s="2">
        <v>46049.560416666667</v>
      </c>
      <c r="C507" s="2">
        <v>46050.71875</v>
      </c>
      <c r="D507" t="s">
        <v>6022</v>
      </c>
      <c r="E507" t="s">
        <v>6031</v>
      </c>
      <c r="F507" t="s">
        <v>6035</v>
      </c>
      <c r="G507" t="s">
        <v>6079</v>
      </c>
      <c r="H507" t="s">
        <v>6097</v>
      </c>
      <c r="I507">
        <v>4</v>
      </c>
      <c r="J507">
        <v>27.8</v>
      </c>
      <c r="K507" t="s">
        <v>6099</v>
      </c>
      <c r="L507" t="s">
        <v>6100</v>
      </c>
      <c r="M507" t="s">
        <v>6100</v>
      </c>
      <c r="N507">
        <v>4</v>
      </c>
      <c r="O507" t="s">
        <v>6101</v>
      </c>
      <c r="P507" t="s">
        <v>6107</v>
      </c>
      <c r="Q507">
        <v>1</v>
      </c>
      <c r="R507">
        <v>2026</v>
      </c>
      <c r="S507" t="s">
        <v>6100</v>
      </c>
      <c r="T507">
        <v>0</v>
      </c>
      <c r="U507" t="s">
        <v>6019</v>
      </c>
      <c r="V507">
        <v>1</v>
      </c>
    </row>
    <row r="508" spans="1:22" x14ac:dyDescent="0.3">
      <c r="A508" t="s">
        <v>523</v>
      </c>
      <c r="B508" s="2">
        <v>46049.561805555553</v>
      </c>
      <c r="C508" s="2">
        <v>46050.070138888892</v>
      </c>
      <c r="D508" t="s">
        <v>6027</v>
      </c>
      <c r="E508" t="s">
        <v>6030</v>
      </c>
      <c r="F508" t="s">
        <v>6035</v>
      </c>
      <c r="G508" t="s">
        <v>6091</v>
      </c>
      <c r="H508" t="s">
        <v>6097</v>
      </c>
      <c r="I508">
        <v>4</v>
      </c>
      <c r="J508">
        <v>12.2</v>
      </c>
      <c r="K508" t="s">
        <v>6099</v>
      </c>
      <c r="L508" t="s">
        <v>6100</v>
      </c>
      <c r="M508" t="s">
        <v>6100</v>
      </c>
      <c r="O508" t="s">
        <v>6101</v>
      </c>
      <c r="P508" t="s">
        <v>6107</v>
      </c>
      <c r="Q508">
        <v>1</v>
      </c>
      <c r="R508">
        <v>2026</v>
      </c>
      <c r="S508" t="s">
        <v>6100</v>
      </c>
      <c r="T508">
        <v>0</v>
      </c>
      <c r="U508" t="s">
        <v>6017</v>
      </c>
      <c r="V508">
        <v>1</v>
      </c>
    </row>
    <row r="509" spans="1:22" x14ac:dyDescent="0.3">
      <c r="A509" t="s">
        <v>524</v>
      </c>
      <c r="B509" s="2">
        <v>46049.576388888891</v>
      </c>
      <c r="C509" s="2">
        <v>46050.301388888889</v>
      </c>
      <c r="D509" t="s">
        <v>6022</v>
      </c>
      <c r="E509" t="s">
        <v>6029</v>
      </c>
      <c r="F509" t="s">
        <v>6033</v>
      </c>
      <c r="G509" t="s">
        <v>6086</v>
      </c>
      <c r="H509" t="s">
        <v>6098</v>
      </c>
      <c r="I509">
        <v>72</v>
      </c>
      <c r="J509">
        <v>17.399999999999999</v>
      </c>
      <c r="K509" t="s">
        <v>6099</v>
      </c>
      <c r="L509" t="s">
        <v>6100</v>
      </c>
      <c r="M509" t="s">
        <v>6100</v>
      </c>
      <c r="N509">
        <v>4</v>
      </c>
      <c r="O509" t="s">
        <v>6101</v>
      </c>
      <c r="P509" t="s">
        <v>6107</v>
      </c>
      <c r="Q509">
        <v>1</v>
      </c>
      <c r="R509">
        <v>2026</v>
      </c>
      <c r="S509" t="s">
        <v>6099</v>
      </c>
      <c r="T509">
        <v>1</v>
      </c>
      <c r="U509" t="s">
        <v>6018</v>
      </c>
      <c r="V509">
        <v>1</v>
      </c>
    </row>
    <row r="510" spans="1:22" x14ac:dyDescent="0.3">
      <c r="A510" t="s">
        <v>525</v>
      </c>
      <c r="B510" s="2">
        <v>46049.589583333334</v>
      </c>
      <c r="C510" s="2">
        <v>46049.70208333333</v>
      </c>
      <c r="D510" t="s">
        <v>6023</v>
      </c>
      <c r="E510" t="s">
        <v>6029</v>
      </c>
      <c r="F510" t="s">
        <v>6033</v>
      </c>
      <c r="G510" t="s">
        <v>6047</v>
      </c>
      <c r="H510" t="s">
        <v>6098</v>
      </c>
      <c r="I510">
        <v>72</v>
      </c>
      <c r="J510">
        <v>2.7</v>
      </c>
      <c r="K510" t="s">
        <v>6099</v>
      </c>
      <c r="L510" t="s">
        <v>6100</v>
      </c>
      <c r="M510" t="s">
        <v>6100</v>
      </c>
      <c r="N510">
        <v>4</v>
      </c>
      <c r="O510" t="s">
        <v>6101</v>
      </c>
      <c r="P510" t="s">
        <v>6107</v>
      </c>
      <c r="Q510">
        <v>1</v>
      </c>
      <c r="R510">
        <v>2026</v>
      </c>
      <c r="S510" t="s">
        <v>6099</v>
      </c>
      <c r="T510">
        <v>1</v>
      </c>
      <c r="U510" t="s">
        <v>6018</v>
      </c>
      <c r="V510">
        <v>1</v>
      </c>
    </row>
    <row r="511" spans="1:22" x14ac:dyDescent="0.3">
      <c r="A511" t="s">
        <v>526</v>
      </c>
      <c r="B511" s="2">
        <v>46049.595833333333</v>
      </c>
      <c r="C511" s="2">
        <v>46050.833333333336</v>
      </c>
      <c r="D511" t="s">
        <v>6024</v>
      </c>
      <c r="E511" t="s">
        <v>6032</v>
      </c>
      <c r="F511" t="s">
        <v>6033</v>
      </c>
      <c r="G511" t="s">
        <v>6092</v>
      </c>
      <c r="H511" t="s">
        <v>6097</v>
      </c>
      <c r="I511">
        <v>72</v>
      </c>
      <c r="J511">
        <v>29.7</v>
      </c>
      <c r="K511" t="s">
        <v>6100</v>
      </c>
      <c r="L511" t="s">
        <v>6100</v>
      </c>
      <c r="M511" t="s">
        <v>6100</v>
      </c>
      <c r="O511" t="s">
        <v>6101</v>
      </c>
      <c r="P511" t="s">
        <v>6107</v>
      </c>
      <c r="Q511">
        <v>1</v>
      </c>
      <c r="R511">
        <v>2026</v>
      </c>
      <c r="S511" t="s">
        <v>6099</v>
      </c>
      <c r="T511">
        <v>1</v>
      </c>
      <c r="U511" t="s">
        <v>6020</v>
      </c>
      <c r="V511">
        <v>0</v>
      </c>
    </row>
    <row r="512" spans="1:22" x14ac:dyDescent="0.3">
      <c r="A512" t="s">
        <v>527</v>
      </c>
      <c r="B512" s="2">
        <v>46049.612500000003</v>
      </c>
      <c r="C512" s="2">
        <v>46049.79583333333</v>
      </c>
      <c r="D512" t="s">
        <v>6024</v>
      </c>
      <c r="E512" t="s">
        <v>6030</v>
      </c>
      <c r="F512" t="s">
        <v>6035</v>
      </c>
      <c r="G512" t="s">
        <v>6042</v>
      </c>
      <c r="H512" t="s">
        <v>6098</v>
      </c>
      <c r="I512">
        <v>4</v>
      </c>
      <c r="J512">
        <v>4.4000000000000004</v>
      </c>
      <c r="K512" t="s">
        <v>6099</v>
      </c>
      <c r="L512" t="s">
        <v>6100</v>
      </c>
      <c r="M512" t="s">
        <v>6100</v>
      </c>
      <c r="O512" t="s">
        <v>6101</v>
      </c>
      <c r="P512" t="s">
        <v>6107</v>
      </c>
      <c r="Q512">
        <v>1</v>
      </c>
      <c r="R512">
        <v>2026</v>
      </c>
      <c r="S512" t="s">
        <v>6100</v>
      </c>
      <c r="T512">
        <v>0</v>
      </c>
      <c r="U512" t="s">
        <v>6017</v>
      </c>
      <c r="V512">
        <v>1</v>
      </c>
    </row>
    <row r="513" spans="1:22" x14ac:dyDescent="0.3">
      <c r="A513" t="s">
        <v>528</v>
      </c>
      <c r="B513" s="2">
        <v>46049.625</v>
      </c>
      <c r="C513" s="2">
        <v>46050.42083333333</v>
      </c>
      <c r="D513" t="s">
        <v>6022</v>
      </c>
      <c r="E513" t="s">
        <v>6030</v>
      </c>
      <c r="F513" t="s">
        <v>6035</v>
      </c>
      <c r="G513" t="s">
        <v>6075</v>
      </c>
      <c r="H513" t="s">
        <v>6097</v>
      </c>
      <c r="I513">
        <v>4</v>
      </c>
      <c r="J513">
        <v>19.100000000000001</v>
      </c>
      <c r="K513" t="s">
        <v>6099</v>
      </c>
      <c r="L513" t="s">
        <v>6100</v>
      </c>
      <c r="M513" t="s">
        <v>6100</v>
      </c>
      <c r="N513">
        <v>5</v>
      </c>
      <c r="O513" t="s">
        <v>6101</v>
      </c>
      <c r="P513" t="s">
        <v>6107</v>
      </c>
      <c r="Q513">
        <v>1</v>
      </c>
      <c r="R513">
        <v>2026</v>
      </c>
      <c r="S513" t="s">
        <v>6100</v>
      </c>
      <c r="T513">
        <v>0</v>
      </c>
      <c r="U513" t="s">
        <v>6017</v>
      </c>
      <c r="V513">
        <v>1</v>
      </c>
    </row>
    <row r="514" spans="1:22" x14ac:dyDescent="0.3">
      <c r="A514" t="s">
        <v>529</v>
      </c>
      <c r="B514" s="2">
        <v>46049.645833333336</v>
      </c>
      <c r="C514" s="2">
        <v>46051.383333333331</v>
      </c>
      <c r="D514" t="s">
        <v>6027</v>
      </c>
      <c r="E514" t="s">
        <v>6031</v>
      </c>
      <c r="F514" t="s">
        <v>6033</v>
      </c>
      <c r="G514" t="s">
        <v>6069</v>
      </c>
      <c r="H514" t="s">
        <v>6098</v>
      </c>
      <c r="I514">
        <v>72</v>
      </c>
      <c r="J514">
        <v>41.7</v>
      </c>
      <c r="K514" t="s">
        <v>6100</v>
      </c>
      <c r="L514" t="s">
        <v>6100</v>
      </c>
      <c r="M514" t="s">
        <v>6100</v>
      </c>
      <c r="O514" t="s">
        <v>6101</v>
      </c>
      <c r="P514" t="s">
        <v>6107</v>
      </c>
      <c r="Q514">
        <v>1</v>
      </c>
      <c r="R514">
        <v>2026</v>
      </c>
      <c r="S514" t="s">
        <v>6099</v>
      </c>
      <c r="T514">
        <v>1</v>
      </c>
      <c r="U514" t="s">
        <v>6018</v>
      </c>
      <c r="V514">
        <v>0</v>
      </c>
    </row>
    <row r="515" spans="1:22" x14ac:dyDescent="0.3">
      <c r="A515" t="s">
        <v>530</v>
      </c>
      <c r="B515" s="2">
        <v>46049.684027777781</v>
      </c>
      <c r="C515" s="2">
        <v>46049.959027777775</v>
      </c>
      <c r="D515" t="s">
        <v>6027</v>
      </c>
      <c r="E515" t="s">
        <v>6030</v>
      </c>
      <c r="F515" t="s">
        <v>6033</v>
      </c>
      <c r="G515" t="s">
        <v>6064</v>
      </c>
      <c r="H515" t="s">
        <v>6096</v>
      </c>
      <c r="I515">
        <v>72</v>
      </c>
      <c r="J515">
        <v>6.6</v>
      </c>
      <c r="K515" t="s">
        <v>6099</v>
      </c>
      <c r="L515" t="s">
        <v>6100</v>
      </c>
      <c r="M515" t="s">
        <v>6100</v>
      </c>
      <c r="N515">
        <v>5</v>
      </c>
      <c r="O515" t="s">
        <v>6101</v>
      </c>
      <c r="P515" t="s">
        <v>6107</v>
      </c>
      <c r="Q515">
        <v>1</v>
      </c>
      <c r="R515">
        <v>2026</v>
      </c>
      <c r="S515" t="s">
        <v>6099</v>
      </c>
      <c r="T515">
        <v>1</v>
      </c>
      <c r="U515" t="s">
        <v>6020</v>
      </c>
      <c r="V515">
        <v>1</v>
      </c>
    </row>
    <row r="516" spans="1:22" x14ac:dyDescent="0.3">
      <c r="A516" t="s">
        <v>531</v>
      </c>
      <c r="B516" s="2">
        <v>46049.688194444447</v>
      </c>
      <c r="C516" s="2">
        <v>46050.038194444445</v>
      </c>
      <c r="D516" t="s">
        <v>6023</v>
      </c>
      <c r="E516" t="s">
        <v>6029</v>
      </c>
      <c r="F516" t="s">
        <v>6033</v>
      </c>
      <c r="G516" t="s">
        <v>6063</v>
      </c>
      <c r="H516" t="s">
        <v>6097</v>
      </c>
      <c r="I516">
        <v>72</v>
      </c>
      <c r="J516">
        <v>8.4</v>
      </c>
      <c r="K516" t="s">
        <v>6100</v>
      </c>
      <c r="L516" t="s">
        <v>6099</v>
      </c>
      <c r="M516" t="s">
        <v>6100</v>
      </c>
      <c r="N516">
        <v>2</v>
      </c>
      <c r="O516" t="s">
        <v>6101</v>
      </c>
      <c r="P516" t="s">
        <v>6107</v>
      </c>
      <c r="Q516">
        <v>1</v>
      </c>
      <c r="R516">
        <v>2026</v>
      </c>
      <c r="S516" t="s">
        <v>6099</v>
      </c>
      <c r="T516">
        <v>1</v>
      </c>
      <c r="U516" t="s">
        <v>6019</v>
      </c>
      <c r="V516">
        <v>0</v>
      </c>
    </row>
    <row r="517" spans="1:22" x14ac:dyDescent="0.3">
      <c r="A517" t="s">
        <v>532</v>
      </c>
      <c r="B517" s="2">
        <v>46049.739583333336</v>
      </c>
      <c r="C517" s="2">
        <v>46052.335416666669</v>
      </c>
      <c r="D517" t="s">
        <v>6025</v>
      </c>
      <c r="E517" t="s">
        <v>6031</v>
      </c>
      <c r="F517" t="s">
        <v>6033</v>
      </c>
      <c r="G517" t="s">
        <v>6038</v>
      </c>
      <c r="H517" t="s">
        <v>6096</v>
      </c>
      <c r="I517">
        <v>72</v>
      </c>
      <c r="J517">
        <v>62.3</v>
      </c>
      <c r="K517" t="s">
        <v>6099</v>
      </c>
      <c r="L517" t="s">
        <v>6100</v>
      </c>
      <c r="M517" t="s">
        <v>6100</v>
      </c>
      <c r="N517">
        <v>4</v>
      </c>
      <c r="O517" t="s">
        <v>6101</v>
      </c>
      <c r="P517" t="s">
        <v>6107</v>
      </c>
      <c r="Q517">
        <v>1</v>
      </c>
      <c r="R517">
        <v>2026</v>
      </c>
      <c r="S517" t="s">
        <v>6099</v>
      </c>
      <c r="T517">
        <v>1</v>
      </c>
      <c r="U517" t="s">
        <v>6020</v>
      </c>
      <c r="V517">
        <v>1</v>
      </c>
    </row>
    <row r="518" spans="1:22" x14ac:dyDescent="0.3">
      <c r="A518" t="s">
        <v>533</v>
      </c>
      <c r="B518" s="2">
        <v>46049.759722222225</v>
      </c>
      <c r="C518" s="2">
        <v>46052.093055555553</v>
      </c>
      <c r="D518" t="s">
        <v>6025</v>
      </c>
      <c r="E518" t="s">
        <v>6031</v>
      </c>
      <c r="F518" t="s">
        <v>6033</v>
      </c>
      <c r="G518" t="s">
        <v>6065</v>
      </c>
      <c r="H518" t="s">
        <v>6097</v>
      </c>
      <c r="I518">
        <v>72</v>
      </c>
      <c r="J518">
        <v>56</v>
      </c>
      <c r="K518" t="s">
        <v>6100</v>
      </c>
      <c r="L518" t="s">
        <v>6100</v>
      </c>
      <c r="M518" t="s">
        <v>6100</v>
      </c>
      <c r="N518">
        <v>5</v>
      </c>
      <c r="O518" t="s">
        <v>6101</v>
      </c>
      <c r="P518" t="s">
        <v>6107</v>
      </c>
      <c r="Q518">
        <v>1</v>
      </c>
      <c r="R518">
        <v>2026</v>
      </c>
      <c r="S518" t="s">
        <v>6099</v>
      </c>
      <c r="T518">
        <v>1</v>
      </c>
      <c r="U518" t="s">
        <v>6017</v>
      </c>
      <c r="V518">
        <v>0</v>
      </c>
    </row>
    <row r="519" spans="1:22" x14ac:dyDescent="0.3">
      <c r="A519" t="s">
        <v>534</v>
      </c>
      <c r="B519" s="2">
        <v>46049.762499999997</v>
      </c>
      <c r="C519" s="2">
        <v>46050.229166666664</v>
      </c>
      <c r="D519" t="s">
        <v>6023</v>
      </c>
      <c r="E519" t="s">
        <v>6029</v>
      </c>
      <c r="F519" t="s">
        <v>6033</v>
      </c>
      <c r="G519" t="s">
        <v>6038</v>
      </c>
      <c r="H519" t="s">
        <v>6096</v>
      </c>
      <c r="I519">
        <v>72</v>
      </c>
      <c r="J519">
        <v>11.2</v>
      </c>
      <c r="K519" t="s">
        <v>6100</v>
      </c>
      <c r="L519" t="s">
        <v>6100</v>
      </c>
      <c r="M519" t="s">
        <v>6100</v>
      </c>
      <c r="N519">
        <v>4</v>
      </c>
      <c r="O519" t="s">
        <v>6101</v>
      </c>
      <c r="P519" t="s">
        <v>6107</v>
      </c>
      <c r="Q519">
        <v>1</v>
      </c>
      <c r="R519">
        <v>2026</v>
      </c>
      <c r="S519" t="s">
        <v>6099</v>
      </c>
      <c r="T519">
        <v>1</v>
      </c>
      <c r="U519" t="s">
        <v>6021</v>
      </c>
      <c r="V519">
        <v>0</v>
      </c>
    </row>
    <row r="520" spans="1:22" x14ac:dyDescent="0.3">
      <c r="A520" t="s">
        <v>535</v>
      </c>
      <c r="B520" s="2">
        <v>46049.876388888886</v>
      </c>
      <c r="C520" s="2">
        <v>46050.463888888888</v>
      </c>
      <c r="D520" t="s">
        <v>6022</v>
      </c>
      <c r="E520" t="s">
        <v>6031</v>
      </c>
      <c r="F520" t="s">
        <v>6033</v>
      </c>
      <c r="G520" t="s">
        <v>6039</v>
      </c>
      <c r="H520" t="s">
        <v>6097</v>
      </c>
      <c r="I520">
        <v>72</v>
      </c>
      <c r="J520">
        <v>14.1</v>
      </c>
      <c r="K520" t="s">
        <v>6099</v>
      </c>
      <c r="L520" t="s">
        <v>6100</v>
      </c>
      <c r="M520" t="s">
        <v>6099</v>
      </c>
      <c r="N520">
        <v>5</v>
      </c>
      <c r="O520" t="s">
        <v>6101</v>
      </c>
      <c r="P520" t="s">
        <v>6107</v>
      </c>
      <c r="Q520">
        <v>1</v>
      </c>
      <c r="R520">
        <v>2026</v>
      </c>
      <c r="S520" t="s">
        <v>6099</v>
      </c>
      <c r="T520">
        <v>1</v>
      </c>
      <c r="U520" t="s">
        <v>6018</v>
      </c>
      <c r="V520">
        <v>1</v>
      </c>
    </row>
    <row r="521" spans="1:22" x14ac:dyDescent="0.3">
      <c r="A521" t="s">
        <v>536</v>
      </c>
      <c r="B521" s="2">
        <v>46050.18472222222</v>
      </c>
      <c r="C521" s="2">
        <v>46050.693055555559</v>
      </c>
      <c r="D521" t="s">
        <v>6028</v>
      </c>
      <c r="E521" t="s">
        <v>6029</v>
      </c>
      <c r="F521" t="s">
        <v>6034</v>
      </c>
      <c r="G521" t="s">
        <v>6079</v>
      </c>
      <c r="H521" t="s">
        <v>6097</v>
      </c>
      <c r="I521">
        <v>24</v>
      </c>
      <c r="J521">
        <v>12.2</v>
      </c>
      <c r="K521" t="s">
        <v>6099</v>
      </c>
      <c r="L521" t="s">
        <v>6100</v>
      </c>
      <c r="M521" t="s">
        <v>6100</v>
      </c>
      <c r="N521">
        <v>4</v>
      </c>
      <c r="O521" t="s">
        <v>6101</v>
      </c>
      <c r="P521" t="s">
        <v>6107</v>
      </c>
      <c r="Q521">
        <v>1</v>
      </c>
      <c r="R521">
        <v>2026</v>
      </c>
      <c r="S521" t="s">
        <v>6099</v>
      </c>
      <c r="T521">
        <v>1</v>
      </c>
      <c r="U521" t="s">
        <v>6019</v>
      </c>
      <c r="V521">
        <v>1</v>
      </c>
    </row>
    <row r="522" spans="1:22" x14ac:dyDescent="0.3">
      <c r="A522" t="s">
        <v>537</v>
      </c>
      <c r="B522" s="2">
        <v>46050.317361111112</v>
      </c>
      <c r="C522" s="2">
        <v>46050.634027777778</v>
      </c>
      <c r="D522" t="s">
        <v>6023</v>
      </c>
      <c r="E522" t="s">
        <v>6030</v>
      </c>
      <c r="F522" t="s">
        <v>6033</v>
      </c>
      <c r="G522" t="s">
        <v>6073</v>
      </c>
      <c r="H522" t="s">
        <v>6096</v>
      </c>
      <c r="I522">
        <v>72</v>
      </c>
      <c r="J522">
        <v>7.6</v>
      </c>
      <c r="K522" t="s">
        <v>6099</v>
      </c>
      <c r="L522" t="s">
        <v>6100</v>
      </c>
      <c r="M522" t="s">
        <v>6100</v>
      </c>
      <c r="N522">
        <v>4</v>
      </c>
      <c r="O522" t="s">
        <v>6101</v>
      </c>
      <c r="P522" t="s">
        <v>6107</v>
      </c>
      <c r="Q522">
        <v>1</v>
      </c>
      <c r="R522">
        <v>2026</v>
      </c>
      <c r="S522" t="s">
        <v>6099</v>
      </c>
      <c r="T522">
        <v>1</v>
      </c>
      <c r="U522" t="s">
        <v>6020</v>
      </c>
      <c r="V522">
        <v>1</v>
      </c>
    </row>
    <row r="523" spans="1:22" x14ac:dyDescent="0.3">
      <c r="A523" t="s">
        <v>538</v>
      </c>
      <c r="B523" s="2">
        <v>46050.392361111109</v>
      </c>
      <c r="C523" s="2">
        <v>46051.500694444447</v>
      </c>
      <c r="D523" t="s">
        <v>6028</v>
      </c>
      <c r="E523" t="s">
        <v>6029</v>
      </c>
      <c r="F523" t="s">
        <v>6034</v>
      </c>
      <c r="G523" t="s">
        <v>6080</v>
      </c>
      <c r="H523" t="s">
        <v>6096</v>
      </c>
      <c r="I523">
        <v>24</v>
      </c>
      <c r="J523">
        <v>26.6</v>
      </c>
      <c r="K523" t="s">
        <v>6100</v>
      </c>
      <c r="L523" t="s">
        <v>6099</v>
      </c>
      <c r="M523" t="s">
        <v>6100</v>
      </c>
      <c r="N523">
        <v>4</v>
      </c>
      <c r="O523" t="s">
        <v>6101</v>
      </c>
      <c r="P523" t="s">
        <v>6107</v>
      </c>
      <c r="Q523">
        <v>1</v>
      </c>
      <c r="R523">
        <v>2026</v>
      </c>
      <c r="S523" t="s">
        <v>6100</v>
      </c>
      <c r="T523">
        <v>0</v>
      </c>
      <c r="U523" t="s">
        <v>6020</v>
      </c>
      <c r="V523">
        <v>0</v>
      </c>
    </row>
    <row r="524" spans="1:22" x14ac:dyDescent="0.3">
      <c r="A524" t="s">
        <v>539</v>
      </c>
      <c r="B524" s="2">
        <v>46050.424305555556</v>
      </c>
      <c r="C524" s="2">
        <v>46050.982638888891</v>
      </c>
      <c r="D524" t="s">
        <v>6025</v>
      </c>
      <c r="E524" t="s">
        <v>6030</v>
      </c>
      <c r="F524" t="s">
        <v>6034</v>
      </c>
      <c r="G524" t="s">
        <v>6059</v>
      </c>
      <c r="H524" t="s">
        <v>6097</v>
      </c>
      <c r="I524">
        <v>24</v>
      </c>
      <c r="J524">
        <v>13.4</v>
      </c>
      <c r="K524" t="s">
        <v>6100</v>
      </c>
      <c r="L524" t="s">
        <v>6100</v>
      </c>
      <c r="M524" t="s">
        <v>6100</v>
      </c>
      <c r="O524" t="s">
        <v>6101</v>
      </c>
      <c r="P524" t="s">
        <v>6107</v>
      </c>
      <c r="Q524">
        <v>1</v>
      </c>
      <c r="R524">
        <v>2026</v>
      </c>
      <c r="S524" t="s">
        <v>6099</v>
      </c>
      <c r="T524">
        <v>1</v>
      </c>
      <c r="U524" t="s">
        <v>6020</v>
      </c>
      <c r="V524">
        <v>0</v>
      </c>
    </row>
    <row r="525" spans="1:22" x14ac:dyDescent="0.3">
      <c r="A525" t="s">
        <v>540</v>
      </c>
      <c r="B525" s="2">
        <v>46050.455555555556</v>
      </c>
      <c r="C525" s="2">
        <v>46050.580555555556</v>
      </c>
      <c r="D525" t="s">
        <v>6028</v>
      </c>
      <c r="E525" t="s">
        <v>6030</v>
      </c>
      <c r="F525" t="s">
        <v>6035</v>
      </c>
      <c r="G525" t="s">
        <v>6044</v>
      </c>
      <c r="H525" t="s">
        <v>6097</v>
      </c>
      <c r="I525">
        <v>4</v>
      </c>
      <c r="J525">
        <v>3</v>
      </c>
      <c r="K525" t="s">
        <v>6099</v>
      </c>
      <c r="L525" t="s">
        <v>6100</v>
      </c>
      <c r="M525" t="s">
        <v>6100</v>
      </c>
      <c r="N525">
        <v>5</v>
      </c>
      <c r="O525" t="s">
        <v>6101</v>
      </c>
      <c r="P525" t="s">
        <v>6107</v>
      </c>
      <c r="Q525">
        <v>1</v>
      </c>
      <c r="R525">
        <v>2026</v>
      </c>
      <c r="S525" t="s">
        <v>6099</v>
      </c>
      <c r="T525">
        <v>1</v>
      </c>
      <c r="U525" t="s">
        <v>6021</v>
      </c>
      <c r="V525">
        <v>1</v>
      </c>
    </row>
    <row r="526" spans="1:22" x14ac:dyDescent="0.3">
      <c r="A526" t="s">
        <v>541</v>
      </c>
      <c r="B526" s="2">
        <v>46050.47152777778</v>
      </c>
      <c r="C526" s="2">
        <v>46056.950694444444</v>
      </c>
      <c r="D526" t="s">
        <v>6026</v>
      </c>
      <c r="E526" t="s">
        <v>6029</v>
      </c>
      <c r="F526" t="s">
        <v>6034</v>
      </c>
      <c r="G526" t="s">
        <v>6046</v>
      </c>
      <c r="H526" t="s">
        <v>6098</v>
      </c>
      <c r="I526">
        <v>24</v>
      </c>
      <c r="J526">
        <v>155.5</v>
      </c>
      <c r="K526" t="s">
        <v>6099</v>
      </c>
      <c r="L526" t="s">
        <v>6100</v>
      </c>
      <c r="M526" t="s">
        <v>6100</v>
      </c>
      <c r="N526">
        <v>4</v>
      </c>
      <c r="O526" t="s">
        <v>6101</v>
      </c>
      <c r="P526" t="s">
        <v>6107</v>
      </c>
      <c r="Q526">
        <v>1</v>
      </c>
      <c r="R526">
        <v>2026</v>
      </c>
      <c r="S526" t="s">
        <v>6100</v>
      </c>
      <c r="T526">
        <v>0</v>
      </c>
      <c r="U526" t="s">
        <v>6021</v>
      </c>
      <c r="V526">
        <v>1</v>
      </c>
    </row>
    <row r="527" spans="1:22" x14ac:dyDescent="0.3">
      <c r="A527" t="s">
        <v>542</v>
      </c>
      <c r="B527" s="2">
        <v>46050.486805555556</v>
      </c>
      <c r="C527" s="2">
        <v>46051.295138888891</v>
      </c>
      <c r="D527" t="s">
        <v>6022</v>
      </c>
      <c r="E527" t="s">
        <v>6032</v>
      </c>
      <c r="F527" t="s">
        <v>6034</v>
      </c>
      <c r="G527" t="s">
        <v>6053</v>
      </c>
      <c r="H527" t="s">
        <v>6097</v>
      </c>
      <c r="I527">
        <v>24</v>
      </c>
      <c r="J527">
        <v>19.399999999999999</v>
      </c>
      <c r="K527" t="s">
        <v>6099</v>
      </c>
      <c r="L527" t="s">
        <v>6100</v>
      </c>
      <c r="M527" t="s">
        <v>6100</v>
      </c>
      <c r="O527" t="s">
        <v>6101</v>
      </c>
      <c r="P527" t="s">
        <v>6107</v>
      </c>
      <c r="Q527">
        <v>1</v>
      </c>
      <c r="R527">
        <v>2026</v>
      </c>
      <c r="S527" t="s">
        <v>6099</v>
      </c>
      <c r="T527">
        <v>1</v>
      </c>
      <c r="U527" t="s">
        <v>6019</v>
      </c>
      <c r="V527">
        <v>1</v>
      </c>
    </row>
    <row r="528" spans="1:22" x14ac:dyDescent="0.3">
      <c r="A528" t="s">
        <v>543</v>
      </c>
      <c r="B528" s="2">
        <v>46050.487500000003</v>
      </c>
      <c r="C528" s="2">
        <v>46051.254166666666</v>
      </c>
      <c r="D528" t="s">
        <v>6024</v>
      </c>
      <c r="E528" t="s">
        <v>6029</v>
      </c>
      <c r="F528" t="s">
        <v>6033</v>
      </c>
      <c r="G528" t="s">
        <v>6063</v>
      </c>
      <c r="H528" t="s">
        <v>6097</v>
      </c>
      <c r="I528">
        <v>72</v>
      </c>
      <c r="J528">
        <v>18.399999999999999</v>
      </c>
      <c r="K528" t="s">
        <v>6099</v>
      </c>
      <c r="L528" t="s">
        <v>6100</v>
      </c>
      <c r="M528" t="s">
        <v>6100</v>
      </c>
      <c r="N528">
        <v>5</v>
      </c>
      <c r="O528" t="s">
        <v>6101</v>
      </c>
      <c r="P528" t="s">
        <v>6107</v>
      </c>
      <c r="Q528">
        <v>1</v>
      </c>
      <c r="R528">
        <v>2026</v>
      </c>
      <c r="S528" t="s">
        <v>6099</v>
      </c>
      <c r="T528">
        <v>1</v>
      </c>
      <c r="U528" t="s">
        <v>6020</v>
      </c>
      <c r="V528">
        <v>1</v>
      </c>
    </row>
    <row r="529" spans="1:22" x14ac:dyDescent="0.3">
      <c r="A529" t="s">
        <v>544</v>
      </c>
      <c r="B529" s="2">
        <v>46050.508333333331</v>
      </c>
      <c r="C529" s="2">
        <v>46050.833333333336</v>
      </c>
      <c r="D529" t="s">
        <v>6025</v>
      </c>
      <c r="E529" t="s">
        <v>6029</v>
      </c>
      <c r="F529" t="s">
        <v>6034</v>
      </c>
      <c r="G529" t="s">
        <v>6072</v>
      </c>
      <c r="H529" t="s">
        <v>6097</v>
      </c>
      <c r="I529">
        <v>24</v>
      </c>
      <c r="J529">
        <v>7.8</v>
      </c>
      <c r="K529" t="s">
        <v>6099</v>
      </c>
      <c r="L529" t="s">
        <v>6100</v>
      </c>
      <c r="M529" t="s">
        <v>6100</v>
      </c>
      <c r="N529">
        <v>5</v>
      </c>
      <c r="O529" t="s">
        <v>6101</v>
      </c>
      <c r="P529" t="s">
        <v>6107</v>
      </c>
      <c r="Q529">
        <v>1</v>
      </c>
      <c r="R529">
        <v>2026</v>
      </c>
      <c r="S529" t="s">
        <v>6099</v>
      </c>
      <c r="T529">
        <v>1</v>
      </c>
      <c r="U529" t="s">
        <v>6019</v>
      </c>
      <c r="V529">
        <v>1</v>
      </c>
    </row>
    <row r="530" spans="1:22" x14ac:dyDescent="0.3">
      <c r="A530" t="s">
        <v>545</v>
      </c>
      <c r="B530" s="2">
        <v>46050.520138888889</v>
      </c>
      <c r="C530" s="2">
        <v>46051.024305555555</v>
      </c>
      <c r="D530" t="s">
        <v>6023</v>
      </c>
      <c r="E530" t="s">
        <v>6029</v>
      </c>
      <c r="F530" t="s">
        <v>6033</v>
      </c>
      <c r="G530" t="s">
        <v>6036</v>
      </c>
      <c r="H530" t="s">
        <v>6096</v>
      </c>
      <c r="I530">
        <v>72</v>
      </c>
      <c r="J530">
        <v>12.1</v>
      </c>
      <c r="K530" t="s">
        <v>6099</v>
      </c>
      <c r="L530" t="s">
        <v>6100</v>
      </c>
      <c r="M530" t="s">
        <v>6100</v>
      </c>
      <c r="O530" t="s">
        <v>6101</v>
      </c>
      <c r="P530" t="s">
        <v>6107</v>
      </c>
      <c r="Q530">
        <v>1</v>
      </c>
      <c r="R530">
        <v>2026</v>
      </c>
      <c r="S530" t="s">
        <v>6099</v>
      </c>
      <c r="T530">
        <v>1</v>
      </c>
      <c r="U530" t="s">
        <v>6018</v>
      </c>
      <c r="V530">
        <v>1</v>
      </c>
    </row>
    <row r="531" spans="1:22" x14ac:dyDescent="0.3">
      <c r="A531" t="s">
        <v>546</v>
      </c>
      <c r="B531" s="2">
        <v>46050.577777777777</v>
      </c>
      <c r="C531" s="2">
        <v>46050.744444444441</v>
      </c>
      <c r="D531" t="s">
        <v>6024</v>
      </c>
      <c r="E531" t="s">
        <v>6029</v>
      </c>
      <c r="F531" t="s">
        <v>6034</v>
      </c>
      <c r="G531" t="s">
        <v>6070</v>
      </c>
      <c r="H531" t="s">
        <v>6097</v>
      </c>
      <c r="I531">
        <v>24</v>
      </c>
      <c r="J531">
        <v>4</v>
      </c>
      <c r="K531" t="s">
        <v>6099</v>
      </c>
      <c r="L531" t="s">
        <v>6100</v>
      </c>
      <c r="M531" t="s">
        <v>6100</v>
      </c>
      <c r="N531">
        <v>5</v>
      </c>
      <c r="O531" t="s">
        <v>6101</v>
      </c>
      <c r="P531" t="s">
        <v>6107</v>
      </c>
      <c r="Q531">
        <v>1</v>
      </c>
      <c r="R531">
        <v>2026</v>
      </c>
      <c r="S531" t="s">
        <v>6099</v>
      </c>
      <c r="T531">
        <v>1</v>
      </c>
      <c r="U531" t="s">
        <v>6018</v>
      </c>
      <c r="V531">
        <v>1</v>
      </c>
    </row>
    <row r="532" spans="1:22" x14ac:dyDescent="0.3">
      <c r="A532" t="s">
        <v>547</v>
      </c>
      <c r="B532" s="2">
        <v>46050.578472222223</v>
      </c>
      <c r="C532" s="2">
        <v>46050.795138888891</v>
      </c>
      <c r="D532" t="s">
        <v>6025</v>
      </c>
      <c r="E532" t="s">
        <v>6030</v>
      </c>
      <c r="F532" t="s">
        <v>6033</v>
      </c>
      <c r="G532" t="s">
        <v>6052</v>
      </c>
      <c r="H532" t="s">
        <v>6098</v>
      </c>
      <c r="I532">
        <v>72</v>
      </c>
      <c r="J532">
        <v>5.2</v>
      </c>
      <c r="K532" t="s">
        <v>6099</v>
      </c>
      <c r="L532" t="s">
        <v>6100</v>
      </c>
      <c r="M532" t="s">
        <v>6100</v>
      </c>
      <c r="N532">
        <v>4</v>
      </c>
      <c r="O532" t="s">
        <v>6101</v>
      </c>
      <c r="P532" t="s">
        <v>6107</v>
      </c>
      <c r="Q532">
        <v>1</v>
      </c>
      <c r="R532">
        <v>2026</v>
      </c>
      <c r="S532" t="s">
        <v>6099</v>
      </c>
      <c r="T532">
        <v>1</v>
      </c>
      <c r="U532" t="s">
        <v>6021</v>
      </c>
      <c r="V532">
        <v>1</v>
      </c>
    </row>
    <row r="533" spans="1:22" x14ac:dyDescent="0.3">
      <c r="A533" t="s">
        <v>548</v>
      </c>
      <c r="B533" s="2">
        <v>46050.603472222225</v>
      </c>
      <c r="C533" s="2">
        <v>46050.77847222222</v>
      </c>
      <c r="D533" t="s">
        <v>6028</v>
      </c>
      <c r="E533" t="s">
        <v>6029</v>
      </c>
      <c r="F533" t="s">
        <v>6033</v>
      </c>
      <c r="G533" t="s">
        <v>6042</v>
      </c>
      <c r="H533" t="s">
        <v>6098</v>
      </c>
      <c r="I533">
        <v>72</v>
      </c>
      <c r="J533">
        <v>4.2</v>
      </c>
      <c r="K533" t="s">
        <v>6099</v>
      </c>
      <c r="L533" t="s">
        <v>6100</v>
      </c>
      <c r="M533" t="s">
        <v>6100</v>
      </c>
      <c r="N533">
        <v>5</v>
      </c>
      <c r="O533" t="s">
        <v>6101</v>
      </c>
      <c r="P533" t="s">
        <v>6107</v>
      </c>
      <c r="Q533">
        <v>1</v>
      </c>
      <c r="R533">
        <v>2026</v>
      </c>
      <c r="S533" t="s">
        <v>6099</v>
      </c>
      <c r="T533">
        <v>1</v>
      </c>
      <c r="U533" t="s">
        <v>6018</v>
      </c>
      <c r="V533">
        <v>1</v>
      </c>
    </row>
    <row r="534" spans="1:22" x14ac:dyDescent="0.3">
      <c r="A534" t="s">
        <v>549</v>
      </c>
      <c r="B534" s="2">
        <v>46050.609027777777</v>
      </c>
      <c r="C534" s="2">
        <v>46052.254861111112</v>
      </c>
      <c r="D534" t="s">
        <v>6024</v>
      </c>
      <c r="E534" t="s">
        <v>6032</v>
      </c>
      <c r="F534" t="s">
        <v>6033</v>
      </c>
      <c r="G534" t="s">
        <v>6083</v>
      </c>
      <c r="H534" t="s">
        <v>6096</v>
      </c>
      <c r="I534">
        <v>72</v>
      </c>
      <c r="J534">
        <v>39.5</v>
      </c>
      <c r="K534" t="s">
        <v>6099</v>
      </c>
      <c r="L534" t="s">
        <v>6100</v>
      </c>
      <c r="M534" t="s">
        <v>6100</v>
      </c>
      <c r="N534">
        <v>3</v>
      </c>
      <c r="O534" t="s">
        <v>6101</v>
      </c>
      <c r="P534" t="s">
        <v>6107</v>
      </c>
      <c r="Q534">
        <v>1</v>
      </c>
      <c r="R534">
        <v>2026</v>
      </c>
      <c r="S534" t="s">
        <v>6099</v>
      </c>
      <c r="T534">
        <v>1</v>
      </c>
      <c r="U534" t="s">
        <v>6020</v>
      </c>
      <c r="V534">
        <v>1</v>
      </c>
    </row>
    <row r="535" spans="1:22" x14ac:dyDescent="0.3">
      <c r="A535" t="s">
        <v>550</v>
      </c>
      <c r="B535" s="2">
        <v>46050.626388888886</v>
      </c>
      <c r="C535" s="2">
        <v>46050.955555555556</v>
      </c>
      <c r="D535" t="s">
        <v>6025</v>
      </c>
      <c r="E535" t="s">
        <v>6029</v>
      </c>
      <c r="F535" t="s">
        <v>6034</v>
      </c>
      <c r="G535" t="s">
        <v>6087</v>
      </c>
      <c r="H535" t="s">
        <v>6098</v>
      </c>
      <c r="I535">
        <v>24</v>
      </c>
      <c r="J535">
        <v>7.9</v>
      </c>
      <c r="K535" t="s">
        <v>6099</v>
      </c>
      <c r="L535" t="s">
        <v>6100</v>
      </c>
      <c r="M535" t="s">
        <v>6100</v>
      </c>
      <c r="N535">
        <v>5</v>
      </c>
      <c r="O535" t="s">
        <v>6101</v>
      </c>
      <c r="P535" t="s">
        <v>6107</v>
      </c>
      <c r="Q535">
        <v>1</v>
      </c>
      <c r="R535">
        <v>2026</v>
      </c>
      <c r="S535" t="s">
        <v>6099</v>
      </c>
      <c r="T535">
        <v>1</v>
      </c>
      <c r="U535" t="s">
        <v>6017</v>
      </c>
      <c r="V535">
        <v>1</v>
      </c>
    </row>
    <row r="536" spans="1:22" x14ac:dyDescent="0.3">
      <c r="A536" t="s">
        <v>551</v>
      </c>
      <c r="B536" s="2">
        <v>46050.6875</v>
      </c>
      <c r="C536" s="2">
        <v>46050.958333333336</v>
      </c>
      <c r="D536" t="s">
        <v>6028</v>
      </c>
      <c r="E536" t="s">
        <v>6029</v>
      </c>
      <c r="F536" t="s">
        <v>6035</v>
      </c>
      <c r="G536" t="s">
        <v>6075</v>
      </c>
      <c r="H536" t="s">
        <v>6097</v>
      </c>
      <c r="I536">
        <v>4</v>
      </c>
      <c r="J536">
        <v>6.5</v>
      </c>
      <c r="K536" t="s">
        <v>6099</v>
      </c>
      <c r="L536" t="s">
        <v>6100</v>
      </c>
      <c r="M536" t="s">
        <v>6099</v>
      </c>
      <c r="N536">
        <v>2</v>
      </c>
      <c r="O536" t="s">
        <v>6101</v>
      </c>
      <c r="P536" t="s">
        <v>6107</v>
      </c>
      <c r="Q536">
        <v>1</v>
      </c>
      <c r="R536">
        <v>2026</v>
      </c>
      <c r="S536" t="s">
        <v>6100</v>
      </c>
      <c r="T536">
        <v>0</v>
      </c>
      <c r="U536" t="s">
        <v>6021</v>
      </c>
      <c r="V536">
        <v>1</v>
      </c>
    </row>
    <row r="537" spans="1:22" x14ac:dyDescent="0.3">
      <c r="A537" t="s">
        <v>552</v>
      </c>
      <c r="B537" s="2">
        <v>46050.71597222222</v>
      </c>
      <c r="C537" s="2">
        <v>46050.982638888891</v>
      </c>
      <c r="D537" t="s">
        <v>6024</v>
      </c>
      <c r="E537" t="s">
        <v>6030</v>
      </c>
      <c r="F537" t="s">
        <v>6033</v>
      </c>
      <c r="G537" t="s">
        <v>6084</v>
      </c>
      <c r="H537" t="s">
        <v>6098</v>
      </c>
      <c r="I537">
        <v>72</v>
      </c>
      <c r="J537">
        <v>6.4</v>
      </c>
      <c r="K537" t="s">
        <v>6099</v>
      </c>
      <c r="L537" t="s">
        <v>6100</v>
      </c>
      <c r="M537" t="s">
        <v>6100</v>
      </c>
      <c r="O537" t="s">
        <v>6101</v>
      </c>
      <c r="P537" t="s">
        <v>6107</v>
      </c>
      <c r="Q537">
        <v>1</v>
      </c>
      <c r="R537">
        <v>2026</v>
      </c>
      <c r="S537" t="s">
        <v>6099</v>
      </c>
      <c r="T537">
        <v>1</v>
      </c>
      <c r="U537" t="s">
        <v>6020</v>
      </c>
      <c r="V537">
        <v>1</v>
      </c>
    </row>
    <row r="538" spans="1:22" x14ac:dyDescent="0.3">
      <c r="A538" t="s">
        <v>553</v>
      </c>
      <c r="B538" s="2">
        <v>46050.724999999999</v>
      </c>
      <c r="C538" s="2">
        <v>46054.183333333334</v>
      </c>
      <c r="D538" t="s">
        <v>6022</v>
      </c>
      <c r="E538" t="s">
        <v>6032</v>
      </c>
      <c r="F538" t="s">
        <v>6033</v>
      </c>
      <c r="G538" t="s">
        <v>6090</v>
      </c>
      <c r="H538" t="s">
        <v>6097</v>
      </c>
      <c r="I538">
        <v>72</v>
      </c>
      <c r="J538">
        <v>83</v>
      </c>
      <c r="K538" t="s">
        <v>6099</v>
      </c>
      <c r="L538" t="s">
        <v>6100</v>
      </c>
      <c r="M538" t="s">
        <v>6100</v>
      </c>
      <c r="N538">
        <v>3</v>
      </c>
      <c r="O538" t="s">
        <v>6101</v>
      </c>
      <c r="P538" t="s">
        <v>6107</v>
      </c>
      <c r="Q538">
        <v>1</v>
      </c>
      <c r="R538">
        <v>2026</v>
      </c>
      <c r="S538" t="s">
        <v>6100</v>
      </c>
      <c r="T538">
        <v>0</v>
      </c>
      <c r="U538" t="s">
        <v>6017</v>
      </c>
      <c r="V538">
        <v>1</v>
      </c>
    </row>
    <row r="539" spans="1:22" x14ac:dyDescent="0.3">
      <c r="A539" t="s">
        <v>554</v>
      </c>
      <c r="B539" s="2">
        <v>46050.787499999999</v>
      </c>
      <c r="C539" s="2">
        <v>46051.76666666667</v>
      </c>
      <c r="D539" t="s">
        <v>6025</v>
      </c>
      <c r="E539" t="s">
        <v>6029</v>
      </c>
      <c r="F539" t="s">
        <v>6034</v>
      </c>
      <c r="G539" t="s">
        <v>6043</v>
      </c>
      <c r="H539" t="s">
        <v>6097</v>
      </c>
      <c r="I539">
        <v>24</v>
      </c>
      <c r="J539">
        <v>23.5</v>
      </c>
      <c r="K539" t="s">
        <v>6099</v>
      </c>
      <c r="L539" t="s">
        <v>6100</v>
      </c>
      <c r="M539" t="s">
        <v>6100</v>
      </c>
      <c r="N539">
        <v>4</v>
      </c>
      <c r="O539" t="s">
        <v>6101</v>
      </c>
      <c r="P539" t="s">
        <v>6107</v>
      </c>
      <c r="Q539">
        <v>1</v>
      </c>
      <c r="R539">
        <v>2026</v>
      </c>
      <c r="S539" t="s">
        <v>6099</v>
      </c>
      <c r="T539">
        <v>1</v>
      </c>
      <c r="U539" t="s">
        <v>6019</v>
      </c>
      <c r="V539">
        <v>1</v>
      </c>
    </row>
    <row r="540" spans="1:22" x14ac:dyDescent="0.3">
      <c r="A540" t="s">
        <v>555</v>
      </c>
      <c r="B540" s="2">
        <v>46050.831944444442</v>
      </c>
      <c r="C540" s="2">
        <v>46050.961111111108</v>
      </c>
      <c r="D540" t="s">
        <v>6027</v>
      </c>
      <c r="E540" t="s">
        <v>6029</v>
      </c>
      <c r="F540" t="s">
        <v>6034</v>
      </c>
      <c r="G540" t="s">
        <v>6078</v>
      </c>
      <c r="H540" t="s">
        <v>6097</v>
      </c>
      <c r="I540">
        <v>24</v>
      </c>
      <c r="J540">
        <v>3.1</v>
      </c>
      <c r="K540" t="s">
        <v>6099</v>
      </c>
      <c r="L540" t="s">
        <v>6100</v>
      </c>
      <c r="M540" t="s">
        <v>6099</v>
      </c>
      <c r="N540">
        <v>4</v>
      </c>
      <c r="O540" t="s">
        <v>6101</v>
      </c>
      <c r="P540" t="s">
        <v>6107</v>
      </c>
      <c r="Q540">
        <v>1</v>
      </c>
      <c r="R540">
        <v>2026</v>
      </c>
      <c r="S540" t="s">
        <v>6099</v>
      </c>
      <c r="T540">
        <v>1</v>
      </c>
      <c r="U540" t="s">
        <v>6018</v>
      </c>
      <c r="V540">
        <v>1</v>
      </c>
    </row>
    <row r="541" spans="1:22" x14ac:dyDescent="0.3">
      <c r="A541" t="s">
        <v>556</v>
      </c>
      <c r="B541" s="2">
        <v>46050.850694444445</v>
      </c>
      <c r="C541" s="2">
        <v>46050.929861111108</v>
      </c>
      <c r="D541" t="s">
        <v>6023</v>
      </c>
      <c r="E541" t="s">
        <v>6030</v>
      </c>
      <c r="F541" t="s">
        <v>6033</v>
      </c>
      <c r="G541" t="s">
        <v>6078</v>
      </c>
      <c r="H541" t="s">
        <v>6097</v>
      </c>
      <c r="I541">
        <v>72</v>
      </c>
      <c r="J541">
        <v>1.9</v>
      </c>
      <c r="K541" t="s">
        <v>6099</v>
      </c>
      <c r="L541" t="s">
        <v>6100</v>
      </c>
      <c r="M541" t="s">
        <v>6100</v>
      </c>
      <c r="N541">
        <v>4</v>
      </c>
      <c r="O541" t="s">
        <v>6101</v>
      </c>
      <c r="P541" t="s">
        <v>6107</v>
      </c>
      <c r="Q541">
        <v>1</v>
      </c>
      <c r="R541">
        <v>2026</v>
      </c>
      <c r="S541" t="s">
        <v>6099</v>
      </c>
      <c r="T541">
        <v>1</v>
      </c>
      <c r="U541" t="s">
        <v>6021</v>
      </c>
      <c r="V541">
        <v>1</v>
      </c>
    </row>
    <row r="542" spans="1:22" x14ac:dyDescent="0.3">
      <c r="A542" t="s">
        <v>557</v>
      </c>
      <c r="B542" s="2">
        <v>46051.134027777778</v>
      </c>
      <c r="C542" s="2">
        <v>46051.154861111114</v>
      </c>
      <c r="D542" t="s">
        <v>6023</v>
      </c>
      <c r="E542" t="s">
        <v>6029</v>
      </c>
      <c r="F542" t="s">
        <v>6033</v>
      </c>
      <c r="G542" t="s">
        <v>6094</v>
      </c>
      <c r="H542" t="s">
        <v>6098</v>
      </c>
      <c r="I542">
        <v>72</v>
      </c>
      <c r="J542">
        <v>0.5</v>
      </c>
      <c r="K542" t="s">
        <v>6099</v>
      </c>
      <c r="L542" t="s">
        <v>6100</v>
      </c>
      <c r="M542" t="s">
        <v>6100</v>
      </c>
      <c r="N542">
        <v>5</v>
      </c>
      <c r="O542" t="s">
        <v>6101</v>
      </c>
      <c r="P542" t="s">
        <v>6107</v>
      </c>
      <c r="Q542">
        <v>1</v>
      </c>
      <c r="R542">
        <v>2026</v>
      </c>
      <c r="S542" t="s">
        <v>6099</v>
      </c>
      <c r="T542">
        <v>1</v>
      </c>
      <c r="U542" t="s">
        <v>6020</v>
      </c>
      <c r="V542">
        <v>1</v>
      </c>
    </row>
    <row r="543" spans="1:22" x14ac:dyDescent="0.3">
      <c r="A543" t="s">
        <v>558</v>
      </c>
      <c r="B543" s="2">
        <v>46051.151388888888</v>
      </c>
      <c r="C543" s="2">
        <v>46051.543055555558</v>
      </c>
      <c r="D543" t="s">
        <v>6027</v>
      </c>
      <c r="E543" t="s">
        <v>6029</v>
      </c>
      <c r="F543" t="s">
        <v>6033</v>
      </c>
      <c r="G543" t="s">
        <v>6079</v>
      </c>
      <c r="H543" t="s">
        <v>6097</v>
      </c>
      <c r="I543">
        <v>72</v>
      </c>
      <c r="J543">
        <v>9.4</v>
      </c>
      <c r="K543" t="s">
        <v>6099</v>
      </c>
      <c r="L543" t="s">
        <v>6100</v>
      </c>
      <c r="M543" t="s">
        <v>6100</v>
      </c>
      <c r="N543">
        <v>4</v>
      </c>
      <c r="O543" t="s">
        <v>6101</v>
      </c>
      <c r="P543" t="s">
        <v>6107</v>
      </c>
      <c r="Q543">
        <v>1</v>
      </c>
      <c r="R543">
        <v>2026</v>
      </c>
      <c r="S543" t="s">
        <v>6099</v>
      </c>
      <c r="T543">
        <v>1</v>
      </c>
      <c r="U543" t="s">
        <v>6019</v>
      </c>
      <c r="V543">
        <v>1</v>
      </c>
    </row>
    <row r="544" spans="1:22" x14ac:dyDescent="0.3">
      <c r="A544" t="s">
        <v>559</v>
      </c>
      <c r="B544" s="2">
        <v>46051.152083333334</v>
      </c>
      <c r="C544" s="2">
        <v>46051.352083333331</v>
      </c>
      <c r="D544" t="s">
        <v>6025</v>
      </c>
      <c r="E544" t="s">
        <v>6030</v>
      </c>
      <c r="F544" t="s">
        <v>6033</v>
      </c>
      <c r="G544" t="s">
        <v>6040</v>
      </c>
      <c r="H544" t="s">
        <v>6097</v>
      </c>
      <c r="I544">
        <v>72</v>
      </c>
      <c r="J544">
        <v>4.8</v>
      </c>
      <c r="K544" t="s">
        <v>6099</v>
      </c>
      <c r="L544" t="s">
        <v>6100</v>
      </c>
      <c r="M544" t="s">
        <v>6100</v>
      </c>
      <c r="N544">
        <v>3</v>
      </c>
      <c r="O544" t="s">
        <v>6101</v>
      </c>
      <c r="P544" t="s">
        <v>6107</v>
      </c>
      <c r="Q544">
        <v>1</v>
      </c>
      <c r="R544">
        <v>2026</v>
      </c>
      <c r="S544" t="s">
        <v>6099</v>
      </c>
      <c r="T544">
        <v>1</v>
      </c>
      <c r="U544" t="s">
        <v>6020</v>
      </c>
      <c r="V544">
        <v>1</v>
      </c>
    </row>
    <row r="545" spans="1:22" x14ac:dyDescent="0.3">
      <c r="A545" t="s">
        <v>560</v>
      </c>
      <c r="B545" s="2">
        <v>46051.293749999997</v>
      </c>
      <c r="C545" s="2">
        <v>46051.677083333336</v>
      </c>
      <c r="D545" t="s">
        <v>6023</v>
      </c>
      <c r="E545" t="s">
        <v>6032</v>
      </c>
      <c r="F545" t="s">
        <v>6033</v>
      </c>
      <c r="G545" t="s">
        <v>6082</v>
      </c>
      <c r="H545" t="s">
        <v>6097</v>
      </c>
      <c r="I545">
        <v>72</v>
      </c>
      <c r="J545">
        <v>9.1999999999999993</v>
      </c>
      <c r="K545" t="s">
        <v>6099</v>
      </c>
      <c r="L545" t="s">
        <v>6100</v>
      </c>
      <c r="M545" t="s">
        <v>6100</v>
      </c>
      <c r="O545" t="s">
        <v>6101</v>
      </c>
      <c r="P545" t="s">
        <v>6107</v>
      </c>
      <c r="Q545">
        <v>1</v>
      </c>
      <c r="R545">
        <v>2026</v>
      </c>
      <c r="S545" t="s">
        <v>6099</v>
      </c>
      <c r="T545">
        <v>1</v>
      </c>
      <c r="U545" t="s">
        <v>6017</v>
      </c>
      <c r="V545">
        <v>1</v>
      </c>
    </row>
    <row r="546" spans="1:22" x14ac:dyDescent="0.3">
      <c r="A546" t="s">
        <v>561</v>
      </c>
      <c r="B546" s="2">
        <v>46051.323611111111</v>
      </c>
      <c r="C546" s="2">
        <v>46051.552777777775</v>
      </c>
      <c r="D546" t="s">
        <v>6027</v>
      </c>
      <c r="E546" t="s">
        <v>6029</v>
      </c>
      <c r="F546" t="s">
        <v>6034</v>
      </c>
      <c r="G546" t="s">
        <v>6051</v>
      </c>
      <c r="H546" t="s">
        <v>6097</v>
      </c>
      <c r="I546">
        <v>24</v>
      </c>
      <c r="J546">
        <v>5.5</v>
      </c>
      <c r="K546" t="s">
        <v>6099</v>
      </c>
      <c r="L546" t="s">
        <v>6100</v>
      </c>
      <c r="M546" t="s">
        <v>6100</v>
      </c>
      <c r="N546">
        <v>5</v>
      </c>
      <c r="O546" t="s">
        <v>6101</v>
      </c>
      <c r="P546" t="s">
        <v>6107</v>
      </c>
      <c r="Q546">
        <v>1</v>
      </c>
      <c r="R546">
        <v>2026</v>
      </c>
      <c r="S546" t="s">
        <v>6099</v>
      </c>
      <c r="T546">
        <v>1</v>
      </c>
      <c r="U546" t="s">
        <v>6021</v>
      </c>
      <c r="V546">
        <v>1</v>
      </c>
    </row>
    <row r="547" spans="1:22" x14ac:dyDescent="0.3">
      <c r="A547" t="s">
        <v>562</v>
      </c>
      <c r="B547" s="2">
        <v>46051.390972222223</v>
      </c>
      <c r="C547" s="2">
        <v>46051.924305555556</v>
      </c>
      <c r="D547" t="s">
        <v>6023</v>
      </c>
      <c r="E547" t="s">
        <v>6032</v>
      </c>
      <c r="F547" t="s">
        <v>6033</v>
      </c>
      <c r="G547" t="s">
        <v>6052</v>
      </c>
      <c r="H547" t="s">
        <v>6098</v>
      </c>
      <c r="I547">
        <v>72</v>
      </c>
      <c r="J547">
        <v>12.8</v>
      </c>
      <c r="K547" t="s">
        <v>6099</v>
      </c>
      <c r="L547" t="s">
        <v>6100</v>
      </c>
      <c r="M547" t="s">
        <v>6100</v>
      </c>
      <c r="O547" t="s">
        <v>6101</v>
      </c>
      <c r="P547" t="s">
        <v>6107</v>
      </c>
      <c r="Q547">
        <v>1</v>
      </c>
      <c r="R547">
        <v>2026</v>
      </c>
      <c r="S547" t="s">
        <v>6099</v>
      </c>
      <c r="T547">
        <v>1</v>
      </c>
      <c r="U547" t="s">
        <v>6020</v>
      </c>
      <c r="V547">
        <v>1</v>
      </c>
    </row>
    <row r="548" spans="1:22" x14ac:dyDescent="0.3">
      <c r="A548" t="s">
        <v>563</v>
      </c>
      <c r="B548" s="2">
        <v>46051.412499999999</v>
      </c>
      <c r="C548" s="2">
        <v>46055.775000000001</v>
      </c>
      <c r="D548" t="s">
        <v>6025</v>
      </c>
      <c r="E548" t="s">
        <v>6032</v>
      </c>
      <c r="F548" t="s">
        <v>6033</v>
      </c>
      <c r="G548" t="s">
        <v>6074</v>
      </c>
      <c r="H548" t="s">
        <v>6098</v>
      </c>
      <c r="I548">
        <v>72</v>
      </c>
      <c r="J548">
        <v>104.7</v>
      </c>
      <c r="K548" t="s">
        <v>6099</v>
      </c>
      <c r="L548" t="s">
        <v>6100</v>
      </c>
      <c r="M548" t="s">
        <v>6100</v>
      </c>
      <c r="N548">
        <v>4</v>
      </c>
      <c r="O548" t="s">
        <v>6101</v>
      </c>
      <c r="P548" t="s">
        <v>6107</v>
      </c>
      <c r="Q548">
        <v>1</v>
      </c>
      <c r="R548">
        <v>2026</v>
      </c>
      <c r="S548" t="s">
        <v>6100</v>
      </c>
      <c r="T548">
        <v>0</v>
      </c>
      <c r="U548" t="s">
        <v>6021</v>
      </c>
      <c r="V548">
        <v>1</v>
      </c>
    </row>
    <row r="549" spans="1:22" x14ac:dyDescent="0.3">
      <c r="A549" t="s">
        <v>564</v>
      </c>
      <c r="B549" s="2">
        <v>46051.442361111112</v>
      </c>
      <c r="C549" s="2">
        <v>46051.825694444444</v>
      </c>
      <c r="D549" t="s">
        <v>6025</v>
      </c>
      <c r="E549" t="s">
        <v>6032</v>
      </c>
      <c r="F549" t="s">
        <v>6034</v>
      </c>
      <c r="G549" t="s">
        <v>6065</v>
      </c>
      <c r="H549" t="s">
        <v>6097</v>
      </c>
      <c r="I549">
        <v>24</v>
      </c>
      <c r="J549">
        <v>9.1999999999999993</v>
      </c>
      <c r="K549" t="s">
        <v>6099</v>
      </c>
      <c r="L549" t="s">
        <v>6100</v>
      </c>
      <c r="M549" t="s">
        <v>6100</v>
      </c>
      <c r="N549">
        <v>5</v>
      </c>
      <c r="O549" t="s">
        <v>6101</v>
      </c>
      <c r="P549" t="s">
        <v>6107</v>
      </c>
      <c r="Q549">
        <v>1</v>
      </c>
      <c r="R549">
        <v>2026</v>
      </c>
      <c r="S549" t="s">
        <v>6099</v>
      </c>
      <c r="T549">
        <v>1</v>
      </c>
      <c r="U549" t="s">
        <v>6017</v>
      </c>
      <c r="V549">
        <v>1</v>
      </c>
    </row>
    <row r="550" spans="1:22" x14ac:dyDescent="0.3">
      <c r="A550" t="s">
        <v>565</v>
      </c>
      <c r="B550" s="2">
        <v>46051.482638888891</v>
      </c>
      <c r="C550" s="2">
        <v>46051.553472222222</v>
      </c>
      <c r="D550" t="s">
        <v>6028</v>
      </c>
      <c r="E550" t="s">
        <v>6030</v>
      </c>
      <c r="F550" t="s">
        <v>6035</v>
      </c>
      <c r="G550" t="s">
        <v>6045</v>
      </c>
      <c r="H550" t="s">
        <v>6096</v>
      </c>
      <c r="I550">
        <v>4</v>
      </c>
      <c r="J550">
        <v>1.7</v>
      </c>
      <c r="K550" t="s">
        <v>6100</v>
      </c>
      <c r="L550" t="s">
        <v>6100</v>
      </c>
      <c r="M550" t="s">
        <v>6100</v>
      </c>
      <c r="O550" t="s">
        <v>6101</v>
      </c>
      <c r="P550" t="s">
        <v>6107</v>
      </c>
      <c r="Q550">
        <v>1</v>
      </c>
      <c r="R550">
        <v>2026</v>
      </c>
      <c r="S550" t="s">
        <v>6099</v>
      </c>
      <c r="T550">
        <v>1</v>
      </c>
      <c r="U550" t="s">
        <v>6021</v>
      </c>
      <c r="V550">
        <v>0</v>
      </c>
    </row>
    <row r="551" spans="1:22" x14ac:dyDescent="0.3">
      <c r="A551" t="s">
        <v>566</v>
      </c>
      <c r="B551" s="2">
        <v>46051.515277777777</v>
      </c>
      <c r="C551" s="2">
        <v>46051.956944444442</v>
      </c>
      <c r="D551" t="s">
        <v>6028</v>
      </c>
      <c r="E551" t="s">
        <v>6029</v>
      </c>
      <c r="F551" t="s">
        <v>6035</v>
      </c>
      <c r="G551" t="s">
        <v>6074</v>
      </c>
      <c r="H551" t="s">
        <v>6098</v>
      </c>
      <c r="I551">
        <v>4</v>
      </c>
      <c r="J551">
        <v>10.6</v>
      </c>
      <c r="K551" t="s">
        <v>6099</v>
      </c>
      <c r="L551" t="s">
        <v>6100</v>
      </c>
      <c r="M551" t="s">
        <v>6099</v>
      </c>
      <c r="N551">
        <v>3</v>
      </c>
      <c r="O551" t="s">
        <v>6101</v>
      </c>
      <c r="P551" t="s">
        <v>6107</v>
      </c>
      <c r="Q551">
        <v>1</v>
      </c>
      <c r="R551">
        <v>2026</v>
      </c>
      <c r="S551" t="s">
        <v>6100</v>
      </c>
      <c r="T551">
        <v>0</v>
      </c>
      <c r="U551" t="s">
        <v>6018</v>
      </c>
      <c r="V551">
        <v>1</v>
      </c>
    </row>
    <row r="552" spans="1:22" x14ac:dyDescent="0.3">
      <c r="A552" t="s">
        <v>567</v>
      </c>
      <c r="B552" s="2">
        <v>46051.51666666667</v>
      </c>
      <c r="C552" s="2">
        <v>46051.791666666664</v>
      </c>
      <c r="D552" t="s">
        <v>6023</v>
      </c>
      <c r="E552" t="s">
        <v>6029</v>
      </c>
      <c r="F552" t="s">
        <v>6034</v>
      </c>
      <c r="G552" t="s">
        <v>6076</v>
      </c>
      <c r="H552" t="s">
        <v>6097</v>
      </c>
      <c r="I552">
        <v>24</v>
      </c>
      <c r="J552">
        <v>6.6</v>
      </c>
      <c r="K552" t="s">
        <v>6099</v>
      </c>
      <c r="L552" t="s">
        <v>6100</v>
      </c>
      <c r="M552" t="s">
        <v>6099</v>
      </c>
      <c r="N552">
        <v>5</v>
      </c>
      <c r="O552" t="s">
        <v>6101</v>
      </c>
      <c r="P552" t="s">
        <v>6107</v>
      </c>
      <c r="Q552">
        <v>1</v>
      </c>
      <c r="R552">
        <v>2026</v>
      </c>
      <c r="S552" t="s">
        <v>6099</v>
      </c>
      <c r="T552">
        <v>1</v>
      </c>
      <c r="U552" t="s">
        <v>6018</v>
      </c>
      <c r="V552">
        <v>1</v>
      </c>
    </row>
    <row r="553" spans="1:22" x14ac:dyDescent="0.3">
      <c r="A553" t="s">
        <v>568</v>
      </c>
      <c r="B553" s="2">
        <v>46051.525694444441</v>
      </c>
      <c r="C553" s="2">
        <v>46051.834027777775</v>
      </c>
      <c r="D553" t="s">
        <v>6024</v>
      </c>
      <c r="E553" t="s">
        <v>6030</v>
      </c>
      <c r="F553" t="s">
        <v>6034</v>
      </c>
      <c r="G553" t="s">
        <v>6089</v>
      </c>
      <c r="H553" t="s">
        <v>6098</v>
      </c>
      <c r="I553">
        <v>24</v>
      </c>
      <c r="J553">
        <v>7.4</v>
      </c>
      <c r="K553" t="s">
        <v>6099</v>
      </c>
      <c r="L553" t="s">
        <v>6100</v>
      </c>
      <c r="M553" t="s">
        <v>6100</v>
      </c>
      <c r="N553">
        <v>5</v>
      </c>
      <c r="O553" t="s">
        <v>6101</v>
      </c>
      <c r="P553" t="s">
        <v>6107</v>
      </c>
      <c r="Q553">
        <v>1</v>
      </c>
      <c r="R553">
        <v>2026</v>
      </c>
      <c r="S553" t="s">
        <v>6099</v>
      </c>
      <c r="T553">
        <v>1</v>
      </c>
      <c r="U553" t="s">
        <v>6021</v>
      </c>
      <c r="V553">
        <v>1</v>
      </c>
    </row>
    <row r="554" spans="1:22" x14ac:dyDescent="0.3">
      <c r="A554" t="s">
        <v>569</v>
      </c>
      <c r="B554" s="2">
        <v>46051.544444444444</v>
      </c>
      <c r="C554" s="2">
        <v>46051.902777777781</v>
      </c>
      <c r="D554" t="s">
        <v>6023</v>
      </c>
      <c r="E554" t="s">
        <v>6032</v>
      </c>
      <c r="F554" t="s">
        <v>6033</v>
      </c>
      <c r="G554" t="s">
        <v>6036</v>
      </c>
      <c r="H554" t="s">
        <v>6096</v>
      </c>
      <c r="I554">
        <v>72</v>
      </c>
      <c r="J554">
        <v>8.6</v>
      </c>
      <c r="K554" t="s">
        <v>6100</v>
      </c>
      <c r="L554" t="s">
        <v>6100</v>
      </c>
      <c r="M554" t="s">
        <v>6100</v>
      </c>
      <c r="N554">
        <v>3</v>
      </c>
      <c r="O554" t="s">
        <v>6101</v>
      </c>
      <c r="P554" t="s">
        <v>6107</v>
      </c>
      <c r="Q554">
        <v>1</v>
      </c>
      <c r="R554">
        <v>2026</v>
      </c>
      <c r="S554" t="s">
        <v>6099</v>
      </c>
      <c r="T554">
        <v>1</v>
      </c>
      <c r="U554" t="s">
        <v>6019</v>
      </c>
      <c r="V554">
        <v>0</v>
      </c>
    </row>
    <row r="555" spans="1:22" x14ac:dyDescent="0.3">
      <c r="A555" t="s">
        <v>570</v>
      </c>
      <c r="B555" s="2">
        <v>46051.550694444442</v>
      </c>
      <c r="C555" s="2">
        <v>46051.854861111111</v>
      </c>
      <c r="D555" t="s">
        <v>6028</v>
      </c>
      <c r="E555" t="s">
        <v>6029</v>
      </c>
      <c r="F555" t="s">
        <v>6035</v>
      </c>
      <c r="G555" t="s">
        <v>6044</v>
      </c>
      <c r="H555" t="s">
        <v>6097</v>
      </c>
      <c r="I555">
        <v>4</v>
      </c>
      <c r="J555">
        <v>7.3</v>
      </c>
      <c r="K555" t="s">
        <v>6099</v>
      </c>
      <c r="L555" t="s">
        <v>6100</v>
      </c>
      <c r="M555" t="s">
        <v>6100</v>
      </c>
      <c r="N555">
        <v>3</v>
      </c>
      <c r="O555" t="s">
        <v>6101</v>
      </c>
      <c r="P555" t="s">
        <v>6107</v>
      </c>
      <c r="Q555">
        <v>1</v>
      </c>
      <c r="R555">
        <v>2026</v>
      </c>
      <c r="S555" t="s">
        <v>6100</v>
      </c>
      <c r="T555">
        <v>0</v>
      </c>
      <c r="U555" t="s">
        <v>6019</v>
      </c>
      <c r="V555">
        <v>1</v>
      </c>
    </row>
    <row r="556" spans="1:22" x14ac:dyDescent="0.3">
      <c r="A556" t="s">
        <v>571</v>
      </c>
      <c r="B556" s="2">
        <v>46051.577777777777</v>
      </c>
      <c r="C556" s="2">
        <v>46052.636111111111</v>
      </c>
      <c r="D556" t="s">
        <v>6022</v>
      </c>
      <c r="E556" t="s">
        <v>6032</v>
      </c>
      <c r="F556" t="s">
        <v>6034</v>
      </c>
      <c r="G556" t="s">
        <v>6045</v>
      </c>
      <c r="H556" t="s">
        <v>6096</v>
      </c>
      <c r="I556">
        <v>24</v>
      </c>
      <c r="J556">
        <v>25.4</v>
      </c>
      <c r="K556" t="s">
        <v>6099</v>
      </c>
      <c r="L556" t="s">
        <v>6100</v>
      </c>
      <c r="M556" t="s">
        <v>6100</v>
      </c>
      <c r="O556" t="s">
        <v>6101</v>
      </c>
      <c r="P556" t="s">
        <v>6107</v>
      </c>
      <c r="Q556">
        <v>1</v>
      </c>
      <c r="R556">
        <v>2026</v>
      </c>
      <c r="S556" t="s">
        <v>6100</v>
      </c>
      <c r="T556">
        <v>0</v>
      </c>
      <c r="U556" t="s">
        <v>6021</v>
      </c>
      <c r="V556">
        <v>1</v>
      </c>
    </row>
    <row r="557" spans="1:22" x14ac:dyDescent="0.3">
      <c r="A557" t="s">
        <v>572</v>
      </c>
      <c r="B557" s="2">
        <v>46051.583333333336</v>
      </c>
      <c r="C557" s="2">
        <v>46055.245833333334</v>
      </c>
      <c r="D557" t="s">
        <v>6027</v>
      </c>
      <c r="E557" t="s">
        <v>6031</v>
      </c>
      <c r="F557" t="s">
        <v>6034</v>
      </c>
      <c r="G557" t="s">
        <v>6064</v>
      </c>
      <c r="H557" t="s">
        <v>6096</v>
      </c>
      <c r="I557">
        <v>24</v>
      </c>
      <c r="J557">
        <v>87.9</v>
      </c>
      <c r="K557" t="s">
        <v>6099</v>
      </c>
      <c r="L557" t="s">
        <v>6100</v>
      </c>
      <c r="M557" t="s">
        <v>6100</v>
      </c>
      <c r="N557">
        <v>5</v>
      </c>
      <c r="O557" t="s">
        <v>6101</v>
      </c>
      <c r="P557" t="s">
        <v>6107</v>
      </c>
      <c r="Q557">
        <v>1</v>
      </c>
      <c r="R557">
        <v>2026</v>
      </c>
      <c r="S557" t="s">
        <v>6100</v>
      </c>
      <c r="T557">
        <v>0</v>
      </c>
      <c r="U557" t="s">
        <v>6021</v>
      </c>
      <c r="V557">
        <v>1</v>
      </c>
    </row>
    <row r="558" spans="1:22" x14ac:dyDescent="0.3">
      <c r="A558" t="s">
        <v>573</v>
      </c>
      <c r="B558" s="2">
        <v>46051.587500000001</v>
      </c>
      <c r="C558" s="2">
        <v>46052.908333333333</v>
      </c>
      <c r="D558" t="s">
        <v>6022</v>
      </c>
      <c r="E558" t="s">
        <v>6032</v>
      </c>
      <c r="F558" t="s">
        <v>6034</v>
      </c>
      <c r="G558" t="s">
        <v>6086</v>
      </c>
      <c r="H558" t="s">
        <v>6098</v>
      </c>
      <c r="I558">
        <v>24</v>
      </c>
      <c r="J558">
        <v>31.7</v>
      </c>
      <c r="K558" t="s">
        <v>6100</v>
      </c>
      <c r="L558" t="s">
        <v>6100</v>
      </c>
      <c r="M558" t="s">
        <v>6100</v>
      </c>
      <c r="N558">
        <v>3</v>
      </c>
      <c r="O558" t="s">
        <v>6101</v>
      </c>
      <c r="P558" t="s">
        <v>6107</v>
      </c>
      <c r="Q558">
        <v>1</v>
      </c>
      <c r="R558">
        <v>2026</v>
      </c>
      <c r="S558" t="s">
        <v>6100</v>
      </c>
      <c r="T558">
        <v>0</v>
      </c>
      <c r="U558" t="s">
        <v>6017</v>
      </c>
      <c r="V558">
        <v>0</v>
      </c>
    </row>
    <row r="559" spans="1:22" x14ac:dyDescent="0.3">
      <c r="A559" t="s">
        <v>574</v>
      </c>
      <c r="B559" s="2">
        <v>46051.590277777781</v>
      </c>
      <c r="C559" s="2">
        <v>46052.061111111114</v>
      </c>
      <c r="D559" t="s">
        <v>6022</v>
      </c>
      <c r="E559" t="s">
        <v>6030</v>
      </c>
      <c r="F559" t="s">
        <v>6034</v>
      </c>
      <c r="G559" t="s">
        <v>6073</v>
      </c>
      <c r="H559" t="s">
        <v>6096</v>
      </c>
      <c r="I559">
        <v>24</v>
      </c>
      <c r="J559">
        <v>11.3</v>
      </c>
      <c r="K559" t="s">
        <v>6100</v>
      </c>
      <c r="L559" t="s">
        <v>6099</v>
      </c>
      <c r="M559" t="s">
        <v>6100</v>
      </c>
      <c r="N559">
        <v>4</v>
      </c>
      <c r="O559" t="s">
        <v>6101</v>
      </c>
      <c r="P559" t="s">
        <v>6107</v>
      </c>
      <c r="Q559">
        <v>1</v>
      </c>
      <c r="R559">
        <v>2026</v>
      </c>
      <c r="S559" t="s">
        <v>6099</v>
      </c>
      <c r="T559">
        <v>1</v>
      </c>
      <c r="U559" t="s">
        <v>6017</v>
      </c>
      <c r="V559">
        <v>0</v>
      </c>
    </row>
    <row r="560" spans="1:22" x14ac:dyDescent="0.3">
      <c r="A560" t="s">
        <v>575</v>
      </c>
      <c r="B560" s="2">
        <v>46051.613888888889</v>
      </c>
      <c r="C560" s="2">
        <v>46052.276388888888</v>
      </c>
      <c r="D560" t="s">
        <v>6026</v>
      </c>
      <c r="E560" t="s">
        <v>6029</v>
      </c>
      <c r="F560" t="s">
        <v>6033</v>
      </c>
      <c r="G560" t="s">
        <v>6058</v>
      </c>
      <c r="H560" t="s">
        <v>6098</v>
      </c>
      <c r="I560">
        <v>72</v>
      </c>
      <c r="J560">
        <v>15.9</v>
      </c>
      <c r="K560" t="s">
        <v>6099</v>
      </c>
      <c r="L560" t="s">
        <v>6100</v>
      </c>
      <c r="M560" t="s">
        <v>6100</v>
      </c>
      <c r="N560">
        <v>3</v>
      </c>
      <c r="O560" t="s">
        <v>6101</v>
      </c>
      <c r="P560" t="s">
        <v>6107</v>
      </c>
      <c r="Q560">
        <v>1</v>
      </c>
      <c r="R560">
        <v>2026</v>
      </c>
      <c r="S560" t="s">
        <v>6099</v>
      </c>
      <c r="T560">
        <v>1</v>
      </c>
      <c r="U560" t="s">
        <v>6018</v>
      </c>
      <c r="V560">
        <v>1</v>
      </c>
    </row>
    <row r="561" spans="1:22" x14ac:dyDescent="0.3">
      <c r="A561" t="s">
        <v>576</v>
      </c>
      <c r="B561" s="2">
        <v>46051.636805555558</v>
      </c>
      <c r="C561" s="2">
        <v>46052.324305555558</v>
      </c>
      <c r="D561" t="s">
        <v>6025</v>
      </c>
      <c r="E561" t="s">
        <v>6031</v>
      </c>
      <c r="F561" t="s">
        <v>6034</v>
      </c>
      <c r="G561" t="s">
        <v>6065</v>
      </c>
      <c r="H561" t="s">
        <v>6097</v>
      </c>
      <c r="I561">
        <v>24</v>
      </c>
      <c r="J561">
        <v>16.5</v>
      </c>
      <c r="K561" t="s">
        <v>6099</v>
      </c>
      <c r="L561" t="s">
        <v>6100</v>
      </c>
      <c r="M561" t="s">
        <v>6100</v>
      </c>
      <c r="N561">
        <v>4</v>
      </c>
      <c r="O561" t="s">
        <v>6101</v>
      </c>
      <c r="P561" t="s">
        <v>6107</v>
      </c>
      <c r="Q561">
        <v>1</v>
      </c>
      <c r="R561">
        <v>2026</v>
      </c>
      <c r="S561" t="s">
        <v>6099</v>
      </c>
      <c r="T561">
        <v>1</v>
      </c>
      <c r="U561" t="s">
        <v>6017</v>
      </c>
      <c r="V561">
        <v>1</v>
      </c>
    </row>
    <row r="562" spans="1:22" x14ac:dyDescent="0.3">
      <c r="A562" t="s">
        <v>577</v>
      </c>
      <c r="B562" s="2">
        <v>46051.671527777777</v>
      </c>
      <c r="C562" s="2">
        <v>46051.842361111114</v>
      </c>
      <c r="D562" t="s">
        <v>6027</v>
      </c>
      <c r="E562" t="s">
        <v>6029</v>
      </c>
      <c r="F562" t="s">
        <v>6033</v>
      </c>
      <c r="G562" t="s">
        <v>6040</v>
      </c>
      <c r="H562" t="s">
        <v>6097</v>
      </c>
      <c r="I562">
        <v>72</v>
      </c>
      <c r="J562">
        <v>4.0999999999999996</v>
      </c>
      <c r="K562" t="s">
        <v>6100</v>
      </c>
      <c r="L562" t="s">
        <v>6099</v>
      </c>
      <c r="M562" t="s">
        <v>6100</v>
      </c>
      <c r="N562">
        <v>4</v>
      </c>
      <c r="O562" t="s">
        <v>6101</v>
      </c>
      <c r="P562" t="s">
        <v>6107</v>
      </c>
      <c r="Q562">
        <v>1</v>
      </c>
      <c r="R562">
        <v>2026</v>
      </c>
      <c r="S562" t="s">
        <v>6099</v>
      </c>
      <c r="T562">
        <v>1</v>
      </c>
      <c r="U562" t="s">
        <v>6021</v>
      </c>
      <c r="V562">
        <v>0</v>
      </c>
    </row>
    <row r="563" spans="1:22" x14ac:dyDescent="0.3">
      <c r="A563" t="s">
        <v>578</v>
      </c>
      <c r="B563" s="2">
        <v>46051.768750000003</v>
      </c>
      <c r="C563" s="2">
        <v>46052.572916666664</v>
      </c>
      <c r="D563" t="s">
        <v>6022</v>
      </c>
      <c r="E563" t="s">
        <v>6031</v>
      </c>
      <c r="F563" t="s">
        <v>6034</v>
      </c>
      <c r="G563" t="s">
        <v>6056</v>
      </c>
      <c r="H563" t="s">
        <v>6098</v>
      </c>
      <c r="I563">
        <v>24</v>
      </c>
      <c r="J563">
        <v>19.3</v>
      </c>
      <c r="K563" t="s">
        <v>6099</v>
      </c>
      <c r="L563" t="s">
        <v>6100</v>
      </c>
      <c r="M563" t="s">
        <v>6100</v>
      </c>
      <c r="O563" t="s">
        <v>6101</v>
      </c>
      <c r="P563" t="s">
        <v>6107</v>
      </c>
      <c r="Q563">
        <v>1</v>
      </c>
      <c r="R563">
        <v>2026</v>
      </c>
      <c r="S563" t="s">
        <v>6099</v>
      </c>
      <c r="T563">
        <v>1</v>
      </c>
      <c r="U563" t="s">
        <v>6020</v>
      </c>
      <c r="V563">
        <v>1</v>
      </c>
    </row>
    <row r="564" spans="1:22" x14ac:dyDescent="0.3">
      <c r="A564" t="s">
        <v>579</v>
      </c>
      <c r="B564" s="2">
        <v>46051.814583333333</v>
      </c>
      <c r="C564" s="2">
        <v>46052.118750000001</v>
      </c>
      <c r="D564" t="s">
        <v>6028</v>
      </c>
      <c r="E564" t="s">
        <v>6029</v>
      </c>
      <c r="F564" t="s">
        <v>6035</v>
      </c>
      <c r="G564" t="s">
        <v>6045</v>
      </c>
      <c r="H564" t="s">
        <v>6096</v>
      </c>
      <c r="I564">
        <v>4</v>
      </c>
      <c r="J564">
        <v>7.3</v>
      </c>
      <c r="K564" t="s">
        <v>6100</v>
      </c>
      <c r="L564" t="s">
        <v>6099</v>
      </c>
      <c r="M564" t="s">
        <v>6099</v>
      </c>
      <c r="N564">
        <v>2</v>
      </c>
      <c r="O564" t="s">
        <v>6101</v>
      </c>
      <c r="P564" t="s">
        <v>6107</v>
      </c>
      <c r="Q564">
        <v>1</v>
      </c>
      <c r="R564">
        <v>2026</v>
      </c>
      <c r="S564" t="s">
        <v>6100</v>
      </c>
      <c r="T564">
        <v>0</v>
      </c>
      <c r="U564" t="s">
        <v>6018</v>
      </c>
      <c r="V564">
        <v>0</v>
      </c>
    </row>
    <row r="565" spans="1:22" x14ac:dyDescent="0.3">
      <c r="A565" t="s">
        <v>580</v>
      </c>
      <c r="B565" s="2">
        <v>46051.838194444441</v>
      </c>
      <c r="C565" s="2">
        <v>46053.717361111114</v>
      </c>
      <c r="D565" t="s">
        <v>6025</v>
      </c>
      <c r="E565" t="s">
        <v>6031</v>
      </c>
      <c r="F565" t="s">
        <v>6033</v>
      </c>
      <c r="G565" t="s">
        <v>6062</v>
      </c>
      <c r="H565" t="s">
        <v>6096</v>
      </c>
      <c r="I565">
        <v>72</v>
      </c>
      <c r="J565">
        <v>45.1</v>
      </c>
      <c r="K565" t="s">
        <v>6099</v>
      </c>
      <c r="L565" t="s">
        <v>6100</v>
      </c>
      <c r="M565" t="s">
        <v>6099</v>
      </c>
      <c r="N565">
        <v>3</v>
      </c>
      <c r="O565" t="s">
        <v>6101</v>
      </c>
      <c r="P565" t="s">
        <v>6107</v>
      </c>
      <c r="Q565">
        <v>1</v>
      </c>
      <c r="R565">
        <v>2026</v>
      </c>
      <c r="S565" t="s">
        <v>6099</v>
      </c>
      <c r="T565">
        <v>1</v>
      </c>
      <c r="U565" t="s">
        <v>6018</v>
      </c>
      <c r="V565">
        <v>1</v>
      </c>
    </row>
    <row r="566" spans="1:22" x14ac:dyDescent="0.3">
      <c r="A566" t="s">
        <v>581</v>
      </c>
      <c r="B566" s="2">
        <v>46051.984722222223</v>
      </c>
      <c r="C566" s="2">
        <v>46052.143055555556</v>
      </c>
      <c r="D566" t="s">
        <v>6028</v>
      </c>
      <c r="E566" t="s">
        <v>6029</v>
      </c>
      <c r="F566" t="s">
        <v>6035</v>
      </c>
      <c r="G566" t="s">
        <v>6078</v>
      </c>
      <c r="H566" t="s">
        <v>6097</v>
      </c>
      <c r="I566">
        <v>4</v>
      </c>
      <c r="J566">
        <v>3.8</v>
      </c>
      <c r="K566" t="s">
        <v>6099</v>
      </c>
      <c r="L566" t="s">
        <v>6100</v>
      </c>
      <c r="M566" t="s">
        <v>6100</v>
      </c>
      <c r="N566">
        <v>5</v>
      </c>
      <c r="O566" t="s">
        <v>6101</v>
      </c>
      <c r="P566" t="s">
        <v>6107</v>
      </c>
      <c r="Q566">
        <v>1</v>
      </c>
      <c r="R566">
        <v>2026</v>
      </c>
      <c r="S566" t="s">
        <v>6099</v>
      </c>
      <c r="T566">
        <v>1</v>
      </c>
      <c r="U566" t="s">
        <v>6019</v>
      </c>
      <c r="V566">
        <v>1</v>
      </c>
    </row>
    <row r="567" spans="1:22" x14ac:dyDescent="0.3">
      <c r="A567" t="s">
        <v>582</v>
      </c>
      <c r="B567" s="2">
        <v>46051.993750000001</v>
      </c>
      <c r="C567" s="2">
        <v>46052.38958333333</v>
      </c>
      <c r="D567" t="s">
        <v>6027</v>
      </c>
      <c r="E567" t="s">
        <v>6029</v>
      </c>
      <c r="F567" t="s">
        <v>6035</v>
      </c>
      <c r="G567" t="s">
        <v>6040</v>
      </c>
      <c r="H567" t="s">
        <v>6097</v>
      </c>
      <c r="I567">
        <v>4</v>
      </c>
      <c r="J567">
        <v>9.5</v>
      </c>
      <c r="K567" t="s">
        <v>6100</v>
      </c>
      <c r="L567" t="s">
        <v>6100</v>
      </c>
      <c r="M567" t="s">
        <v>6099</v>
      </c>
      <c r="O567" t="s">
        <v>6101</v>
      </c>
      <c r="P567" t="s">
        <v>6107</v>
      </c>
      <c r="Q567">
        <v>1</v>
      </c>
      <c r="R567">
        <v>2026</v>
      </c>
      <c r="S567" t="s">
        <v>6100</v>
      </c>
      <c r="T567">
        <v>0</v>
      </c>
      <c r="U567" t="s">
        <v>6017</v>
      </c>
      <c r="V567">
        <v>0</v>
      </c>
    </row>
    <row r="568" spans="1:22" x14ac:dyDescent="0.3">
      <c r="A568" t="s">
        <v>583</v>
      </c>
      <c r="B568" s="2">
        <v>46051.998611111114</v>
      </c>
      <c r="C568" s="2">
        <v>46052.531944444447</v>
      </c>
      <c r="D568" t="s">
        <v>6025</v>
      </c>
      <c r="E568" t="s">
        <v>6029</v>
      </c>
      <c r="F568" t="s">
        <v>6034</v>
      </c>
      <c r="G568" t="s">
        <v>6069</v>
      </c>
      <c r="H568" t="s">
        <v>6098</v>
      </c>
      <c r="I568">
        <v>24</v>
      </c>
      <c r="J568">
        <v>12.8</v>
      </c>
      <c r="K568" t="s">
        <v>6100</v>
      </c>
      <c r="L568" t="s">
        <v>6099</v>
      </c>
      <c r="M568" t="s">
        <v>6100</v>
      </c>
      <c r="N568">
        <v>4</v>
      </c>
      <c r="O568" t="s">
        <v>6101</v>
      </c>
      <c r="P568" t="s">
        <v>6107</v>
      </c>
      <c r="Q568">
        <v>1</v>
      </c>
      <c r="R568">
        <v>2026</v>
      </c>
      <c r="S568" t="s">
        <v>6099</v>
      </c>
      <c r="T568">
        <v>1</v>
      </c>
      <c r="U568" t="s">
        <v>6018</v>
      </c>
      <c r="V568">
        <v>0</v>
      </c>
    </row>
    <row r="569" spans="1:22" x14ac:dyDescent="0.3">
      <c r="A569" t="s">
        <v>584</v>
      </c>
      <c r="B569" s="2">
        <v>46052.130555555559</v>
      </c>
      <c r="C569" s="2">
        <v>46052.293055555558</v>
      </c>
      <c r="D569" t="s">
        <v>6027</v>
      </c>
      <c r="E569" t="s">
        <v>6029</v>
      </c>
      <c r="F569" t="s">
        <v>6035</v>
      </c>
      <c r="G569" t="s">
        <v>6058</v>
      </c>
      <c r="H569" t="s">
        <v>6098</v>
      </c>
      <c r="I569">
        <v>4</v>
      </c>
      <c r="J569">
        <v>3.9</v>
      </c>
      <c r="K569" t="s">
        <v>6099</v>
      </c>
      <c r="L569" t="s">
        <v>6100</v>
      </c>
      <c r="M569" t="s">
        <v>6100</v>
      </c>
      <c r="O569" t="s">
        <v>6101</v>
      </c>
      <c r="P569" t="s">
        <v>6107</v>
      </c>
      <c r="Q569">
        <v>1</v>
      </c>
      <c r="R569">
        <v>2026</v>
      </c>
      <c r="S569" t="s">
        <v>6099</v>
      </c>
      <c r="T569">
        <v>1</v>
      </c>
      <c r="U569" t="s">
        <v>6018</v>
      </c>
      <c r="V569">
        <v>1</v>
      </c>
    </row>
    <row r="570" spans="1:22" x14ac:dyDescent="0.3">
      <c r="A570" t="s">
        <v>585</v>
      </c>
      <c r="B570" s="2">
        <v>46052.189583333333</v>
      </c>
      <c r="C570" s="2">
        <v>46052.618750000001</v>
      </c>
      <c r="D570" t="s">
        <v>6028</v>
      </c>
      <c r="E570" t="s">
        <v>6029</v>
      </c>
      <c r="F570" t="s">
        <v>6035</v>
      </c>
      <c r="G570" t="s">
        <v>6095</v>
      </c>
      <c r="H570" t="s">
        <v>6098</v>
      </c>
      <c r="I570">
        <v>4</v>
      </c>
      <c r="J570">
        <v>10.3</v>
      </c>
      <c r="K570" t="s">
        <v>6099</v>
      </c>
      <c r="L570" t="s">
        <v>6100</v>
      </c>
      <c r="M570" t="s">
        <v>6100</v>
      </c>
      <c r="N570">
        <v>4</v>
      </c>
      <c r="O570" t="s">
        <v>6101</v>
      </c>
      <c r="P570" t="s">
        <v>6107</v>
      </c>
      <c r="Q570">
        <v>1</v>
      </c>
      <c r="R570">
        <v>2026</v>
      </c>
      <c r="S570" t="s">
        <v>6100</v>
      </c>
      <c r="T570">
        <v>0</v>
      </c>
      <c r="U570" t="s">
        <v>6017</v>
      </c>
      <c r="V570">
        <v>1</v>
      </c>
    </row>
    <row r="571" spans="1:22" x14ac:dyDescent="0.3">
      <c r="A571" t="s">
        <v>586</v>
      </c>
      <c r="B571" s="2">
        <v>46052.342361111114</v>
      </c>
      <c r="C571" s="2">
        <v>46052.459027777775</v>
      </c>
      <c r="D571" t="s">
        <v>6028</v>
      </c>
      <c r="E571" t="s">
        <v>6029</v>
      </c>
      <c r="F571" t="s">
        <v>6034</v>
      </c>
      <c r="G571" t="s">
        <v>6091</v>
      </c>
      <c r="H571" t="s">
        <v>6097</v>
      </c>
      <c r="I571">
        <v>24</v>
      </c>
      <c r="J571">
        <v>2.8</v>
      </c>
      <c r="K571" t="s">
        <v>6100</v>
      </c>
      <c r="L571" t="s">
        <v>6100</v>
      </c>
      <c r="M571" t="s">
        <v>6100</v>
      </c>
      <c r="N571">
        <v>5</v>
      </c>
      <c r="O571" t="s">
        <v>6101</v>
      </c>
      <c r="P571" t="s">
        <v>6107</v>
      </c>
      <c r="Q571">
        <v>1</v>
      </c>
      <c r="R571">
        <v>2026</v>
      </c>
      <c r="S571" t="s">
        <v>6099</v>
      </c>
      <c r="T571">
        <v>1</v>
      </c>
      <c r="U571" t="s">
        <v>6021</v>
      </c>
      <c r="V571">
        <v>0</v>
      </c>
    </row>
    <row r="572" spans="1:22" x14ac:dyDescent="0.3">
      <c r="A572" t="s">
        <v>587</v>
      </c>
      <c r="B572" s="2">
        <v>46052.436111111114</v>
      </c>
      <c r="C572" s="2">
        <v>46050.644444444442</v>
      </c>
      <c r="D572" t="s">
        <v>6022</v>
      </c>
      <c r="E572" t="s">
        <v>6031</v>
      </c>
      <c r="F572" t="s">
        <v>6033</v>
      </c>
      <c r="G572" t="s">
        <v>6075</v>
      </c>
      <c r="H572" t="s">
        <v>6097</v>
      </c>
      <c r="I572">
        <v>72</v>
      </c>
      <c r="J572">
        <v>27.8</v>
      </c>
      <c r="K572" t="s">
        <v>6099</v>
      </c>
      <c r="L572" t="s">
        <v>6100</v>
      </c>
      <c r="M572" t="s">
        <v>6100</v>
      </c>
      <c r="N572">
        <v>5</v>
      </c>
      <c r="O572" t="s">
        <v>6101</v>
      </c>
      <c r="P572" t="s">
        <v>6107</v>
      </c>
      <c r="Q572">
        <v>1</v>
      </c>
      <c r="R572">
        <v>2026</v>
      </c>
      <c r="S572" t="s">
        <v>6099</v>
      </c>
      <c r="T572">
        <v>1</v>
      </c>
      <c r="U572" t="s">
        <v>6018</v>
      </c>
      <c r="V572">
        <v>1</v>
      </c>
    </row>
    <row r="573" spans="1:22" x14ac:dyDescent="0.3">
      <c r="A573" t="s">
        <v>588</v>
      </c>
      <c r="B573" s="2">
        <v>46052.495833333334</v>
      </c>
      <c r="C573" s="2">
        <v>46052.966666666667</v>
      </c>
      <c r="D573" t="s">
        <v>6028</v>
      </c>
      <c r="E573" t="s">
        <v>6031</v>
      </c>
      <c r="F573" t="s">
        <v>6034</v>
      </c>
      <c r="G573" t="s">
        <v>6087</v>
      </c>
      <c r="H573" t="s">
        <v>6098</v>
      </c>
      <c r="I573">
        <v>24</v>
      </c>
      <c r="J573">
        <v>11.3</v>
      </c>
      <c r="K573" t="s">
        <v>6099</v>
      </c>
      <c r="L573" t="s">
        <v>6100</v>
      </c>
      <c r="M573" t="s">
        <v>6100</v>
      </c>
      <c r="O573" t="s">
        <v>6101</v>
      </c>
      <c r="P573" t="s">
        <v>6107</v>
      </c>
      <c r="Q573">
        <v>1</v>
      </c>
      <c r="R573">
        <v>2026</v>
      </c>
      <c r="S573" t="s">
        <v>6099</v>
      </c>
      <c r="T573">
        <v>1</v>
      </c>
      <c r="U573" t="s">
        <v>6021</v>
      </c>
      <c r="V573">
        <v>1</v>
      </c>
    </row>
    <row r="574" spans="1:22" x14ac:dyDescent="0.3">
      <c r="A574" t="s">
        <v>589</v>
      </c>
      <c r="B574" s="2">
        <v>46052.507638888892</v>
      </c>
      <c r="C574" s="2">
        <v>46053.736805555556</v>
      </c>
      <c r="D574" t="s">
        <v>6025</v>
      </c>
      <c r="E574" t="s">
        <v>6031</v>
      </c>
      <c r="F574" t="s">
        <v>6034</v>
      </c>
      <c r="G574" t="s">
        <v>6049</v>
      </c>
      <c r="H574" t="s">
        <v>6097</v>
      </c>
      <c r="I574">
        <v>24</v>
      </c>
      <c r="J574">
        <v>29.5</v>
      </c>
      <c r="K574" t="s">
        <v>6099</v>
      </c>
      <c r="L574" t="s">
        <v>6100</v>
      </c>
      <c r="M574" t="s">
        <v>6100</v>
      </c>
      <c r="N574">
        <v>5</v>
      </c>
      <c r="O574" t="s">
        <v>6101</v>
      </c>
      <c r="P574" t="s">
        <v>6107</v>
      </c>
      <c r="Q574">
        <v>1</v>
      </c>
      <c r="R574">
        <v>2026</v>
      </c>
      <c r="S574" t="s">
        <v>6100</v>
      </c>
      <c r="T574">
        <v>0</v>
      </c>
      <c r="U574" t="s">
        <v>6021</v>
      </c>
      <c r="V574">
        <v>1</v>
      </c>
    </row>
    <row r="575" spans="1:22" x14ac:dyDescent="0.3">
      <c r="A575" t="s">
        <v>590</v>
      </c>
      <c r="B575" s="2">
        <v>46052.522916666669</v>
      </c>
      <c r="C575" s="2">
        <v>46054.347916666666</v>
      </c>
      <c r="D575" t="s">
        <v>6027</v>
      </c>
      <c r="E575" t="s">
        <v>6032</v>
      </c>
      <c r="F575" t="s">
        <v>6034</v>
      </c>
      <c r="G575" t="s">
        <v>6045</v>
      </c>
      <c r="H575" t="s">
        <v>6096</v>
      </c>
      <c r="I575">
        <v>24</v>
      </c>
      <c r="J575">
        <v>43.8</v>
      </c>
      <c r="K575" t="s">
        <v>6100</v>
      </c>
      <c r="L575" t="s">
        <v>6100</v>
      </c>
      <c r="M575" t="s">
        <v>6100</v>
      </c>
      <c r="N575">
        <v>3</v>
      </c>
      <c r="O575" t="s">
        <v>6101</v>
      </c>
      <c r="P575" t="s">
        <v>6107</v>
      </c>
      <c r="Q575">
        <v>1</v>
      </c>
      <c r="R575">
        <v>2026</v>
      </c>
      <c r="S575" t="s">
        <v>6100</v>
      </c>
      <c r="T575">
        <v>0</v>
      </c>
      <c r="U575" t="s">
        <v>6018</v>
      </c>
      <c r="V575">
        <v>0</v>
      </c>
    </row>
    <row r="576" spans="1:22" x14ac:dyDescent="0.3">
      <c r="A576" t="s">
        <v>591</v>
      </c>
      <c r="B576" s="2">
        <v>46052.533333333333</v>
      </c>
      <c r="C576" s="2">
        <v>46053.787499999999</v>
      </c>
      <c r="D576" t="s">
        <v>6025</v>
      </c>
      <c r="E576" t="s">
        <v>6031</v>
      </c>
      <c r="F576" t="s">
        <v>6033</v>
      </c>
      <c r="G576" t="s">
        <v>6081</v>
      </c>
      <c r="H576" t="s">
        <v>6098</v>
      </c>
      <c r="I576">
        <v>72</v>
      </c>
      <c r="J576">
        <v>30.1</v>
      </c>
      <c r="K576" t="s">
        <v>6099</v>
      </c>
      <c r="L576" t="s">
        <v>6100</v>
      </c>
      <c r="M576" t="s">
        <v>6100</v>
      </c>
      <c r="N576">
        <v>5</v>
      </c>
      <c r="O576" t="s">
        <v>6101</v>
      </c>
      <c r="P576" t="s">
        <v>6107</v>
      </c>
      <c r="Q576">
        <v>1</v>
      </c>
      <c r="R576">
        <v>2026</v>
      </c>
      <c r="S576" t="s">
        <v>6099</v>
      </c>
      <c r="T576">
        <v>1</v>
      </c>
      <c r="U576" t="s">
        <v>6018</v>
      </c>
      <c r="V576">
        <v>1</v>
      </c>
    </row>
    <row r="577" spans="1:22" x14ac:dyDescent="0.3">
      <c r="A577" t="s">
        <v>592</v>
      </c>
      <c r="B577" s="2">
        <v>46052.540277777778</v>
      </c>
      <c r="C577" s="2">
        <v>46052.748611111114</v>
      </c>
      <c r="D577" t="s">
        <v>6028</v>
      </c>
      <c r="E577" t="s">
        <v>6029</v>
      </c>
      <c r="F577" t="s">
        <v>6034</v>
      </c>
      <c r="G577" t="s">
        <v>6047</v>
      </c>
      <c r="H577" t="s">
        <v>6098</v>
      </c>
      <c r="I577">
        <v>24</v>
      </c>
      <c r="J577">
        <v>5</v>
      </c>
      <c r="K577" t="s">
        <v>6099</v>
      </c>
      <c r="L577" t="s">
        <v>6100</v>
      </c>
      <c r="M577" t="s">
        <v>6100</v>
      </c>
      <c r="O577" t="s">
        <v>6101</v>
      </c>
      <c r="P577" t="s">
        <v>6107</v>
      </c>
      <c r="Q577">
        <v>1</v>
      </c>
      <c r="R577">
        <v>2026</v>
      </c>
      <c r="S577" t="s">
        <v>6099</v>
      </c>
      <c r="T577">
        <v>1</v>
      </c>
      <c r="U577" t="s">
        <v>6019</v>
      </c>
      <c r="V577">
        <v>1</v>
      </c>
    </row>
    <row r="578" spans="1:22" x14ac:dyDescent="0.3">
      <c r="A578" t="s">
        <v>593</v>
      </c>
      <c r="B578" s="2">
        <v>46052.542361111111</v>
      </c>
      <c r="C578" s="2">
        <v>46053.254861111112</v>
      </c>
      <c r="D578" t="s">
        <v>6028</v>
      </c>
      <c r="E578" t="s">
        <v>6031</v>
      </c>
      <c r="F578" t="s">
        <v>6035</v>
      </c>
      <c r="G578" t="s">
        <v>6065</v>
      </c>
      <c r="H578" t="s">
        <v>6097</v>
      </c>
      <c r="I578">
        <v>4</v>
      </c>
      <c r="J578">
        <v>17.100000000000001</v>
      </c>
      <c r="K578" t="s">
        <v>6099</v>
      </c>
      <c r="L578" t="s">
        <v>6100</v>
      </c>
      <c r="M578" t="s">
        <v>6100</v>
      </c>
      <c r="O578" t="s">
        <v>6101</v>
      </c>
      <c r="P578" t="s">
        <v>6107</v>
      </c>
      <c r="Q578">
        <v>1</v>
      </c>
      <c r="R578">
        <v>2026</v>
      </c>
      <c r="S578" t="s">
        <v>6100</v>
      </c>
      <c r="T578">
        <v>0</v>
      </c>
      <c r="U578" t="s">
        <v>6020</v>
      </c>
      <c r="V578">
        <v>1</v>
      </c>
    </row>
    <row r="579" spans="1:22" x14ac:dyDescent="0.3">
      <c r="A579" t="s">
        <v>594</v>
      </c>
      <c r="B579" s="2">
        <v>46052.5625</v>
      </c>
      <c r="C579" s="2">
        <v>46053.60833333333</v>
      </c>
      <c r="D579" t="s">
        <v>6022</v>
      </c>
      <c r="E579" t="s">
        <v>6032</v>
      </c>
      <c r="F579" t="s">
        <v>6034</v>
      </c>
      <c r="G579" t="s">
        <v>6093</v>
      </c>
      <c r="H579" t="s">
        <v>6097</v>
      </c>
      <c r="I579">
        <v>24</v>
      </c>
      <c r="J579">
        <v>25.1</v>
      </c>
      <c r="K579" t="s">
        <v>6099</v>
      </c>
      <c r="L579" t="s">
        <v>6100</v>
      </c>
      <c r="M579" t="s">
        <v>6100</v>
      </c>
      <c r="N579">
        <v>5</v>
      </c>
      <c r="O579" t="s">
        <v>6101</v>
      </c>
      <c r="P579" t="s">
        <v>6107</v>
      </c>
      <c r="Q579">
        <v>1</v>
      </c>
      <c r="R579">
        <v>2026</v>
      </c>
      <c r="S579" t="s">
        <v>6100</v>
      </c>
      <c r="T579">
        <v>0</v>
      </c>
      <c r="U579" t="s">
        <v>6020</v>
      </c>
      <c r="V579">
        <v>1</v>
      </c>
    </row>
    <row r="580" spans="1:22" x14ac:dyDescent="0.3">
      <c r="A580" t="s">
        <v>595</v>
      </c>
      <c r="B580" s="2">
        <v>46052.578472222223</v>
      </c>
      <c r="C580" s="2">
        <v>46052.640972222223</v>
      </c>
      <c r="D580" t="s">
        <v>6027</v>
      </c>
      <c r="E580" t="s">
        <v>6030</v>
      </c>
      <c r="F580" t="s">
        <v>6034</v>
      </c>
      <c r="G580" t="s">
        <v>6078</v>
      </c>
      <c r="H580" t="s">
        <v>6097</v>
      </c>
      <c r="I580">
        <v>24</v>
      </c>
      <c r="J580">
        <v>1.5</v>
      </c>
      <c r="K580" t="s">
        <v>6099</v>
      </c>
      <c r="L580" t="s">
        <v>6100</v>
      </c>
      <c r="M580" t="s">
        <v>6100</v>
      </c>
      <c r="O580" t="s">
        <v>6101</v>
      </c>
      <c r="P580" t="s">
        <v>6107</v>
      </c>
      <c r="Q580">
        <v>1</v>
      </c>
      <c r="R580">
        <v>2026</v>
      </c>
      <c r="S580" t="s">
        <v>6099</v>
      </c>
      <c r="T580">
        <v>1</v>
      </c>
      <c r="U580" t="s">
        <v>6021</v>
      </c>
      <c r="V580">
        <v>1</v>
      </c>
    </row>
    <row r="581" spans="1:22" x14ac:dyDescent="0.3">
      <c r="A581" t="s">
        <v>596</v>
      </c>
      <c r="B581" s="2">
        <v>46052.618750000001</v>
      </c>
      <c r="C581" s="2">
        <v>46052.79791666667</v>
      </c>
      <c r="D581" t="s">
        <v>6028</v>
      </c>
      <c r="E581" t="s">
        <v>6030</v>
      </c>
      <c r="F581" t="s">
        <v>6035</v>
      </c>
      <c r="G581" t="s">
        <v>6058</v>
      </c>
      <c r="H581" t="s">
        <v>6098</v>
      </c>
      <c r="I581">
        <v>4</v>
      </c>
      <c r="J581">
        <v>4.3</v>
      </c>
      <c r="K581" t="s">
        <v>6099</v>
      </c>
      <c r="L581" t="s">
        <v>6100</v>
      </c>
      <c r="M581" t="s">
        <v>6100</v>
      </c>
      <c r="N581">
        <v>4</v>
      </c>
      <c r="O581" t="s">
        <v>6101</v>
      </c>
      <c r="P581" t="s">
        <v>6107</v>
      </c>
      <c r="Q581">
        <v>1</v>
      </c>
      <c r="R581">
        <v>2026</v>
      </c>
      <c r="S581" t="s">
        <v>6100</v>
      </c>
      <c r="T581">
        <v>0</v>
      </c>
      <c r="U581" t="s">
        <v>6017</v>
      </c>
      <c r="V581">
        <v>1</v>
      </c>
    </row>
    <row r="582" spans="1:22" x14ac:dyDescent="0.3">
      <c r="A582" t="s">
        <v>597</v>
      </c>
      <c r="B582" s="2">
        <v>46052.62777777778</v>
      </c>
      <c r="C582" s="2">
        <v>46052.740277777775</v>
      </c>
      <c r="D582" t="s">
        <v>6023</v>
      </c>
      <c r="E582" t="s">
        <v>6029</v>
      </c>
      <c r="F582" t="s">
        <v>6034</v>
      </c>
      <c r="G582" t="s">
        <v>6058</v>
      </c>
      <c r="H582" t="s">
        <v>6098</v>
      </c>
      <c r="I582">
        <v>24</v>
      </c>
      <c r="J582">
        <v>2.7</v>
      </c>
      <c r="K582" t="s">
        <v>6099</v>
      </c>
      <c r="L582" t="s">
        <v>6100</v>
      </c>
      <c r="M582" t="s">
        <v>6100</v>
      </c>
      <c r="O582" t="s">
        <v>6101</v>
      </c>
      <c r="P582" t="s">
        <v>6107</v>
      </c>
      <c r="Q582">
        <v>1</v>
      </c>
      <c r="R582">
        <v>2026</v>
      </c>
      <c r="S582" t="s">
        <v>6099</v>
      </c>
      <c r="T582">
        <v>1</v>
      </c>
      <c r="U582" t="s">
        <v>6017</v>
      </c>
      <c r="V582">
        <v>1</v>
      </c>
    </row>
    <row r="583" spans="1:22" x14ac:dyDescent="0.3">
      <c r="A583" t="s">
        <v>598</v>
      </c>
      <c r="B583" s="2">
        <v>46052.636805555558</v>
      </c>
      <c r="C583" s="2">
        <v>46052.945138888892</v>
      </c>
      <c r="D583" t="s">
        <v>6024</v>
      </c>
      <c r="E583" t="s">
        <v>6030</v>
      </c>
      <c r="F583" t="s">
        <v>6033</v>
      </c>
      <c r="G583" t="s">
        <v>6057</v>
      </c>
      <c r="H583" t="s">
        <v>6097</v>
      </c>
      <c r="I583">
        <v>72</v>
      </c>
      <c r="J583">
        <v>7.4</v>
      </c>
      <c r="K583" t="s">
        <v>6099</v>
      </c>
      <c r="L583" t="s">
        <v>6100</v>
      </c>
      <c r="M583" t="s">
        <v>6100</v>
      </c>
      <c r="N583">
        <v>5</v>
      </c>
      <c r="O583" t="s">
        <v>6101</v>
      </c>
      <c r="P583" t="s">
        <v>6107</v>
      </c>
      <c r="Q583">
        <v>1</v>
      </c>
      <c r="R583">
        <v>2026</v>
      </c>
      <c r="S583" t="s">
        <v>6099</v>
      </c>
      <c r="T583">
        <v>1</v>
      </c>
      <c r="U583" t="s">
        <v>6020</v>
      </c>
      <c r="V583">
        <v>1</v>
      </c>
    </row>
    <row r="584" spans="1:22" x14ac:dyDescent="0.3">
      <c r="A584" t="s">
        <v>599</v>
      </c>
      <c r="B584" s="2">
        <v>46052.661111111112</v>
      </c>
      <c r="C584" s="2">
        <v>46053.290277777778</v>
      </c>
      <c r="D584" t="s">
        <v>6028</v>
      </c>
      <c r="E584" t="s">
        <v>6031</v>
      </c>
      <c r="F584" t="s">
        <v>6035</v>
      </c>
      <c r="G584" t="s">
        <v>6060</v>
      </c>
      <c r="H584" t="s">
        <v>6097</v>
      </c>
      <c r="I584">
        <v>4</v>
      </c>
      <c r="J584">
        <v>15.1</v>
      </c>
      <c r="K584" t="s">
        <v>6099</v>
      </c>
      <c r="L584" t="s">
        <v>6100</v>
      </c>
      <c r="M584" t="s">
        <v>6100</v>
      </c>
      <c r="O584" t="s">
        <v>6101</v>
      </c>
      <c r="P584" t="s">
        <v>6107</v>
      </c>
      <c r="Q584">
        <v>1</v>
      </c>
      <c r="R584">
        <v>2026</v>
      </c>
      <c r="S584" t="s">
        <v>6100</v>
      </c>
      <c r="T584">
        <v>0</v>
      </c>
      <c r="U584" t="s">
        <v>6018</v>
      </c>
      <c r="V584">
        <v>1</v>
      </c>
    </row>
    <row r="585" spans="1:22" x14ac:dyDescent="0.3">
      <c r="A585" t="s">
        <v>600</v>
      </c>
      <c r="B585" s="2">
        <v>46052.682638888888</v>
      </c>
      <c r="C585" s="2">
        <v>46052.882638888892</v>
      </c>
      <c r="D585" t="s">
        <v>6024</v>
      </c>
      <c r="E585" t="s">
        <v>6030</v>
      </c>
      <c r="F585" t="s">
        <v>6034</v>
      </c>
      <c r="G585" t="s">
        <v>6082</v>
      </c>
      <c r="H585" t="s">
        <v>6097</v>
      </c>
      <c r="I585">
        <v>24</v>
      </c>
      <c r="J585">
        <v>4.8</v>
      </c>
      <c r="K585" t="s">
        <v>6099</v>
      </c>
      <c r="L585" t="s">
        <v>6100</v>
      </c>
      <c r="M585" t="s">
        <v>6100</v>
      </c>
      <c r="N585">
        <v>4</v>
      </c>
      <c r="O585" t="s">
        <v>6101</v>
      </c>
      <c r="P585" t="s">
        <v>6107</v>
      </c>
      <c r="Q585">
        <v>1</v>
      </c>
      <c r="R585">
        <v>2026</v>
      </c>
      <c r="S585" t="s">
        <v>6099</v>
      </c>
      <c r="T585">
        <v>1</v>
      </c>
      <c r="U585" t="s">
        <v>6018</v>
      </c>
      <c r="V585">
        <v>1</v>
      </c>
    </row>
    <row r="586" spans="1:22" x14ac:dyDescent="0.3">
      <c r="A586" t="s">
        <v>601</v>
      </c>
      <c r="B586" s="2">
        <v>46052.698611111111</v>
      </c>
      <c r="C586" s="2">
        <v>46053.356944444444</v>
      </c>
      <c r="D586" t="s">
        <v>6025</v>
      </c>
      <c r="E586" t="s">
        <v>6030</v>
      </c>
      <c r="F586" t="s">
        <v>6033</v>
      </c>
      <c r="G586" t="s">
        <v>6073</v>
      </c>
      <c r="H586" t="s">
        <v>6096</v>
      </c>
      <c r="I586">
        <v>72</v>
      </c>
      <c r="J586">
        <v>15.8</v>
      </c>
      <c r="K586" t="s">
        <v>6100</v>
      </c>
      <c r="L586" t="s">
        <v>6099</v>
      </c>
      <c r="M586" t="s">
        <v>6100</v>
      </c>
      <c r="N586">
        <v>5</v>
      </c>
      <c r="O586" t="s">
        <v>6101</v>
      </c>
      <c r="P586" t="s">
        <v>6107</v>
      </c>
      <c r="Q586">
        <v>1</v>
      </c>
      <c r="R586">
        <v>2026</v>
      </c>
      <c r="S586" t="s">
        <v>6099</v>
      </c>
      <c r="T586">
        <v>1</v>
      </c>
      <c r="U586" t="s">
        <v>6019</v>
      </c>
      <c r="V586">
        <v>0</v>
      </c>
    </row>
    <row r="587" spans="1:22" x14ac:dyDescent="0.3">
      <c r="A587" t="s">
        <v>602</v>
      </c>
      <c r="B587" s="2">
        <v>46052.76458333333</v>
      </c>
      <c r="C587" s="2">
        <v>46052.977083333331</v>
      </c>
      <c r="D587" t="s">
        <v>6028</v>
      </c>
      <c r="E587" t="s">
        <v>6029</v>
      </c>
      <c r="F587" t="s">
        <v>6033</v>
      </c>
      <c r="G587" t="s">
        <v>6060</v>
      </c>
      <c r="H587" t="s">
        <v>6097</v>
      </c>
      <c r="I587">
        <v>72</v>
      </c>
      <c r="J587">
        <v>5.0999999999999996</v>
      </c>
      <c r="K587" t="s">
        <v>6099</v>
      </c>
      <c r="L587" t="s">
        <v>6100</v>
      </c>
      <c r="M587" t="s">
        <v>6100</v>
      </c>
      <c r="N587">
        <v>5</v>
      </c>
      <c r="O587" t="s">
        <v>6101</v>
      </c>
      <c r="P587" t="s">
        <v>6107</v>
      </c>
      <c r="Q587">
        <v>1</v>
      </c>
      <c r="R587">
        <v>2026</v>
      </c>
      <c r="S587" t="s">
        <v>6099</v>
      </c>
      <c r="T587">
        <v>1</v>
      </c>
      <c r="U587" t="s">
        <v>6017</v>
      </c>
      <c r="V587">
        <v>1</v>
      </c>
    </row>
    <row r="588" spans="1:22" x14ac:dyDescent="0.3">
      <c r="A588" t="s">
        <v>603</v>
      </c>
      <c r="B588" s="2">
        <v>46053.232638888891</v>
      </c>
      <c r="C588" s="2">
        <v>46053.574305555558</v>
      </c>
      <c r="D588" t="s">
        <v>6022</v>
      </c>
      <c r="E588" t="s">
        <v>6029</v>
      </c>
      <c r="F588" t="s">
        <v>6033</v>
      </c>
      <c r="G588" t="s">
        <v>6042</v>
      </c>
      <c r="H588" t="s">
        <v>6098</v>
      </c>
      <c r="I588">
        <v>72</v>
      </c>
      <c r="J588">
        <v>8.1999999999999993</v>
      </c>
      <c r="K588" t="s">
        <v>6099</v>
      </c>
      <c r="L588" t="s">
        <v>6100</v>
      </c>
      <c r="M588" t="s">
        <v>6100</v>
      </c>
      <c r="O588" t="s">
        <v>6101</v>
      </c>
      <c r="P588" t="s">
        <v>6107</v>
      </c>
      <c r="Q588">
        <v>1</v>
      </c>
      <c r="R588">
        <v>2026</v>
      </c>
      <c r="S588" t="s">
        <v>6099</v>
      </c>
      <c r="T588">
        <v>1</v>
      </c>
      <c r="U588" t="s">
        <v>6019</v>
      </c>
      <c r="V588">
        <v>1</v>
      </c>
    </row>
    <row r="589" spans="1:22" x14ac:dyDescent="0.3">
      <c r="A589" t="s">
        <v>604</v>
      </c>
      <c r="B589" s="2">
        <v>46053.34097222222</v>
      </c>
      <c r="C589" s="2">
        <v>46056.236805555556</v>
      </c>
      <c r="D589" t="s">
        <v>6024</v>
      </c>
      <c r="E589" t="s">
        <v>6032</v>
      </c>
      <c r="F589" t="s">
        <v>6035</v>
      </c>
      <c r="G589" t="s">
        <v>6043</v>
      </c>
      <c r="H589" t="s">
        <v>6097</v>
      </c>
      <c r="I589">
        <v>4</v>
      </c>
      <c r="J589">
        <v>69.5</v>
      </c>
      <c r="K589" t="s">
        <v>6099</v>
      </c>
      <c r="L589" t="s">
        <v>6100</v>
      </c>
      <c r="M589" t="s">
        <v>6100</v>
      </c>
      <c r="O589" t="s">
        <v>6101</v>
      </c>
      <c r="P589" t="s">
        <v>6107</v>
      </c>
      <c r="Q589">
        <v>1</v>
      </c>
      <c r="R589">
        <v>2026</v>
      </c>
      <c r="S589" t="s">
        <v>6100</v>
      </c>
      <c r="T589">
        <v>0</v>
      </c>
      <c r="U589" t="s">
        <v>6019</v>
      </c>
      <c r="V589">
        <v>1</v>
      </c>
    </row>
    <row r="590" spans="1:22" x14ac:dyDescent="0.3">
      <c r="A590" t="s">
        <v>605</v>
      </c>
      <c r="B590" s="2">
        <v>46053.421527777777</v>
      </c>
      <c r="C590" s="2">
        <v>46053.888194444444</v>
      </c>
      <c r="D590" t="s">
        <v>6022</v>
      </c>
      <c r="E590" t="s">
        <v>6030</v>
      </c>
      <c r="F590" t="s">
        <v>6033</v>
      </c>
      <c r="G590" t="s">
        <v>6076</v>
      </c>
      <c r="H590" t="s">
        <v>6097</v>
      </c>
      <c r="I590">
        <v>72</v>
      </c>
      <c r="J590">
        <v>11.2</v>
      </c>
      <c r="K590" t="s">
        <v>6099</v>
      </c>
      <c r="L590" t="s">
        <v>6100</v>
      </c>
      <c r="M590" t="s">
        <v>6100</v>
      </c>
      <c r="N590">
        <v>4</v>
      </c>
      <c r="O590" t="s">
        <v>6101</v>
      </c>
      <c r="P590" t="s">
        <v>6107</v>
      </c>
      <c r="Q590">
        <v>1</v>
      </c>
      <c r="R590">
        <v>2026</v>
      </c>
      <c r="S590" t="s">
        <v>6099</v>
      </c>
      <c r="T590">
        <v>1</v>
      </c>
      <c r="U590" t="s">
        <v>6018</v>
      </c>
      <c r="V590">
        <v>1</v>
      </c>
    </row>
    <row r="591" spans="1:22" x14ac:dyDescent="0.3">
      <c r="A591" t="s">
        <v>606</v>
      </c>
      <c r="B591" s="2">
        <v>46053.425000000003</v>
      </c>
      <c r="C591" s="2">
        <v>46053.599999999999</v>
      </c>
      <c r="D591" t="s">
        <v>6023</v>
      </c>
      <c r="E591" t="s">
        <v>6030</v>
      </c>
      <c r="F591" t="s">
        <v>6034</v>
      </c>
      <c r="G591" t="s">
        <v>6073</v>
      </c>
      <c r="H591" t="s">
        <v>6096</v>
      </c>
      <c r="I591">
        <v>24</v>
      </c>
      <c r="J591">
        <v>4.2</v>
      </c>
      <c r="K591" t="s">
        <v>6100</v>
      </c>
      <c r="L591" t="s">
        <v>6100</v>
      </c>
      <c r="M591" t="s">
        <v>6100</v>
      </c>
      <c r="O591" t="s">
        <v>6101</v>
      </c>
      <c r="P591" t="s">
        <v>6107</v>
      </c>
      <c r="Q591">
        <v>1</v>
      </c>
      <c r="R591">
        <v>2026</v>
      </c>
      <c r="S591" t="s">
        <v>6099</v>
      </c>
      <c r="T591">
        <v>1</v>
      </c>
      <c r="U591" t="s">
        <v>6017</v>
      </c>
      <c r="V591">
        <v>0</v>
      </c>
    </row>
    <row r="592" spans="1:22" x14ac:dyDescent="0.3">
      <c r="A592" t="s">
        <v>607</v>
      </c>
      <c r="B592" s="2">
        <v>46053.459027777775</v>
      </c>
      <c r="C592" s="2">
        <v>46054.946527777778</v>
      </c>
      <c r="D592" t="s">
        <v>6028</v>
      </c>
      <c r="E592" t="s">
        <v>6031</v>
      </c>
      <c r="F592" t="s">
        <v>6035</v>
      </c>
      <c r="G592" t="s">
        <v>6039</v>
      </c>
      <c r="H592" t="s">
        <v>6097</v>
      </c>
      <c r="I592">
        <v>4</v>
      </c>
      <c r="J592">
        <v>35.700000000000003</v>
      </c>
      <c r="K592" t="s">
        <v>6100</v>
      </c>
      <c r="L592" t="s">
        <v>6100</v>
      </c>
      <c r="M592" t="s">
        <v>6100</v>
      </c>
      <c r="N592">
        <v>4</v>
      </c>
      <c r="O592" t="s">
        <v>6101</v>
      </c>
      <c r="P592" t="s">
        <v>6107</v>
      </c>
      <c r="Q592">
        <v>1</v>
      </c>
      <c r="R592">
        <v>2026</v>
      </c>
      <c r="S592" t="s">
        <v>6100</v>
      </c>
      <c r="T592">
        <v>0</v>
      </c>
      <c r="U592" t="s">
        <v>6020</v>
      </c>
      <c r="V592">
        <v>0</v>
      </c>
    </row>
    <row r="593" spans="1:22" x14ac:dyDescent="0.3">
      <c r="A593" t="s">
        <v>608</v>
      </c>
      <c r="B593" s="2">
        <v>46053.473611111112</v>
      </c>
      <c r="C593" s="2">
        <v>46053.898611111108</v>
      </c>
      <c r="D593" t="s">
        <v>6025</v>
      </c>
      <c r="E593" t="s">
        <v>6029</v>
      </c>
      <c r="F593" t="s">
        <v>6034</v>
      </c>
      <c r="G593" t="s">
        <v>6079</v>
      </c>
      <c r="H593" t="s">
        <v>6097</v>
      </c>
      <c r="I593">
        <v>24</v>
      </c>
      <c r="J593">
        <v>10.199999999999999</v>
      </c>
      <c r="K593" t="s">
        <v>6099</v>
      </c>
      <c r="L593" t="s">
        <v>6100</v>
      </c>
      <c r="M593" t="s">
        <v>6100</v>
      </c>
      <c r="O593" t="s">
        <v>6101</v>
      </c>
      <c r="P593" t="s">
        <v>6107</v>
      </c>
      <c r="Q593">
        <v>1</v>
      </c>
      <c r="R593">
        <v>2026</v>
      </c>
      <c r="S593" t="s">
        <v>6099</v>
      </c>
      <c r="T593">
        <v>1</v>
      </c>
      <c r="U593" t="s">
        <v>6020</v>
      </c>
      <c r="V593">
        <v>1</v>
      </c>
    </row>
    <row r="594" spans="1:22" x14ac:dyDescent="0.3">
      <c r="A594" t="s">
        <v>609</v>
      </c>
      <c r="B594" s="2">
        <v>46053.478472222225</v>
      </c>
      <c r="C594" s="2">
        <v>46053.936805555553</v>
      </c>
      <c r="D594" t="s">
        <v>6027</v>
      </c>
      <c r="E594" t="s">
        <v>6030</v>
      </c>
      <c r="F594" t="s">
        <v>6033</v>
      </c>
      <c r="G594" t="s">
        <v>6078</v>
      </c>
      <c r="H594" t="s">
        <v>6097</v>
      </c>
      <c r="I594">
        <v>72</v>
      </c>
      <c r="J594">
        <v>11</v>
      </c>
      <c r="K594" t="s">
        <v>6100</v>
      </c>
      <c r="L594" t="s">
        <v>6099</v>
      </c>
      <c r="M594" t="s">
        <v>6100</v>
      </c>
      <c r="O594" t="s">
        <v>6101</v>
      </c>
      <c r="P594" t="s">
        <v>6107</v>
      </c>
      <c r="Q594">
        <v>1</v>
      </c>
      <c r="R594">
        <v>2026</v>
      </c>
      <c r="S594" t="s">
        <v>6099</v>
      </c>
      <c r="T594">
        <v>1</v>
      </c>
      <c r="U594" t="s">
        <v>6018</v>
      </c>
      <c r="V594">
        <v>0</v>
      </c>
    </row>
    <row r="595" spans="1:22" x14ac:dyDescent="0.3">
      <c r="A595" t="s">
        <v>610</v>
      </c>
      <c r="B595" s="2">
        <v>46053.491666666669</v>
      </c>
      <c r="C595" s="2">
        <v>46054.304166666669</v>
      </c>
      <c r="D595" t="s">
        <v>6022</v>
      </c>
      <c r="E595" t="s">
        <v>6030</v>
      </c>
      <c r="F595" t="s">
        <v>6033</v>
      </c>
      <c r="G595" t="s">
        <v>6073</v>
      </c>
      <c r="H595" t="s">
        <v>6096</v>
      </c>
      <c r="I595">
        <v>72</v>
      </c>
      <c r="J595">
        <v>19.5</v>
      </c>
      <c r="K595" t="s">
        <v>6100</v>
      </c>
      <c r="L595" t="s">
        <v>6099</v>
      </c>
      <c r="M595" t="s">
        <v>6100</v>
      </c>
      <c r="N595">
        <v>3</v>
      </c>
      <c r="O595" t="s">
        <v>6101</v>
      </c>
      <c r="P595" t="s">
        <v>6107</v>
      </c>
      <c r="Q595">
        <v>1</v>
      </c>
      <c r="R595">
        <v>2026</v>
      </c>
      <c r="S595" t="s">
        <v>6099</v>
      </c>
      <c r="T595">
        <v>1</v>
      </c>
      <c r="U595" t="s">
        <v>6017</v>
      </c>
      <c r="V595">
        <v>0</v>
      </c>
    </row>
    <row r="596" spans="1:22" x14ac:dyDescent="0.3">
      <c r="A596" t="s">
        <v>611</v>
      </c>
      <c r="B596" s="2">
        <v>46053.497916666667</v>
      </c>
      <c r="C596" s="2">
        <v>46054.127083333333</v>
      </c>
      <c r="D596" t="s">
        <v>6023</v>
      </c>
      <c r="E596" t="s">
        <v>6029</v>
      </c>
      <c r="F596" t="s">
        <v>6033</v>
      </c>
      <c r="G596" t="s">
        <v>6069</v>
      </c>
      <c r="H596" t="s">
        <v>6098</v>
      </c>
      <c r="I596">
        <v>72</v>
      </c>
      <c r="J596">
        <v>15.1</v>
      </c>
      <c r="K596" t="s">
        <v>6099</v>
      </c>
      <c r="L596" t="s">
        <v>6100</v>
      </c>
      <c r="M596" t="s">
        <v>6100</v>
      </c>
      <c r="N596">
        <v>5</v>
      </c>
      <c r="O596" t="s">
        <v>6101</v>
      </c>
      <c r="P596" t="s">
        <v>6107</v>
      </c>
      <c r="Q596">
        <v>1</v>
      </c>
      <c r="R596">
        <v>2026</v>
      </c>
      <c r="S596" t="s">
        <v>6099</v>
      </c>
      <c r="T596">
        <v>1</v>
      </c>
      <c r="U596" t="s">
        <v>6020</v>
      </c>
      <c r="V596">
        <v>1</v>
      </c>
    </row>
    <row r="597" spans="1:22" x14ac:dyDescent="0.3">
      <c r="A597" t="s">
        <v>612</v>
      </c>
      <c r="B597" s="2">
        <v>46053.527777777781</v>
      </c>
      <c r="C597" s="2">
        <v>46054.811111111114</v>
      </c>
      <c r="D597" t="s">
        <v>6028</v>
      </c>
      <c r="E597" t="s">
        <v>6029</v>
      </c>
      <c r="F597" t="s">
        <v>6034</v>
      </c>
      <c r="G597" t="s">
        <v>6045</v>
      </c>
      <c r="H597" t="s">
        <v>6096</v>
      </c>
      <c r="I597">
        <v>24</v>
      </c>
      <c r="J597">
        <v>30.8</v>
      </c>
      <c r="K597" t="s">
        <v>6100</v>
      </c>
      <c r="L597" t="s">
        <v>6099</v>
      </c>
      <c r="M597" t="s">
        <v>6100</v>
      </c>
      <c r="N597">
        <v>4</v>
      </c>
      <c r="O597" t="s">
        <v>6101</v>
      </c>
      <c r="P597" t="s">
        <v>6107</v>
      </c>
      <c r="Q597">
        <v>1</v>
      </c>
      <c r="R597">
        <v>2026</v>
      </c>
      <c r="S597" t="s">
        <v>6100</v>
      </c>
      <c r="T597">
        <v>0</v>
      </c>
      <c r="U597" t="s">
        <v>6018</v>
      </c>
      <c r="V597">
        <v>0</v>
      </c>
    </row>
    <row r="598" spans="1:22" x14ac:dyDescent="0.3">
      <c r="A598" t="s">
        <v>613</v>
      </c>
      <c r="B598" s="2">
        <v>46053.570138888892</v>
      </c>
      <c r="C598" s="2">
        <v>46054.140972222223</v>
      </c>
      <c r="D598" t="s">
        <v>6022</v>
      </c>
      <c r="E598" t="s">
        <v>6029</v>
      </c>
      <c r="F598" t="s">
        <v>6035</v>
      </c>
      <c r="G598" t="s">
        <v>6036</v>
      </c>
      <c r="H598" t="s">
        <v>6096</v>
      </c>
      <c r="I598">
        <v>4</v>
      </c>
      <c r="J598">
        <v>13.7</v>
      </c>
      <c r="K598" t="s">
        <v>6099</v>
      </c>
      <c r="L598" t="s">
        <v>6100</v>
      </c>
      <c r="M598" t="s">
        <v>6100</v>
      </c>
      <c r="N598">
        <v>4</v>
      </c>
      <c r="O598" t="s">
        <v>6101</v>
      </c>
      <c r="P598" t="s">
        <v>6107</v>
      </c>
      <c r="Q598">
        <v>1</v>
      </c>
      <c r="R598">
        <v>2026</v>
      </c>
      <c r="S598" t="s">
        <v>6100</v>
      </c>
      <c r="T598">
        <v>0</v>
      </c>
      <c r="U598" t="s">
        <v>6020</v>
      </c>
      <c r="V598">
        <v>1</v>
      </c>
    </row>
    <row r="599" spans="1:22" x14ac:dyDescent="0.3">
      <c r="A599" t="s">
        <v>614</v>
      </c>
      <c r="B599" s="2">
        <v>46053.597222222219</v>
      </c>
      <c r="C599" s="2">
        <v>46053.718055555553</v>
      </c>
      <c r="D599" t="s">
        <v>6023</v>
      </c>
      <c r="E599" t="s">
        <v>6030</v>
      </c>
      <c r="F599" t="s">
        <v>6033</v>
      </c>
      <c r="G599" t="s">
        <v>6091</v>
      </c>
      <c r="H599" t="s">
        <v>6097</v>
      </c>
      <c r="I599">
        <v>72</v>
      </c>
      <c r="J599">
        <v>2.9</v>
      </c>
      <c r="K599" t="s">
        <v>6099</v>
      </c>
      <c r="L599" t="s">
        <v>6100</v>
      </c>
      <c r="M599" t="s">
        <v>6100</v>
      </c>
      <c r="N599">
        <v>5</v>
      </c>
      <c r="O599" t="s">
        <v>6101</v>
      </c>
      <c r="P599" t="s">
        <v>6107</v>
      </c>
      <c r="Q599">
        <v>1</v>
      </c>
      <c r="R599">
        <v>2026</v>
      </c>
      <c r="S599" t="s">
        <v>6099</v>
      </c>
      <c r="T599">
        <v>1</v>
      </c>
      <c r="U599" t="s">
        <v>6021</v>
      </c>
      <c r="V599">
        <v>1</v>
      </c>
    </row>
    <row r="600" spans="1:22" x14ac:dyDescent="0.3">
      <c r="A600" t="s">
        <v>615</v>
      </c>
      <c r="B600" s="2">
        <v>46053.64166666667</v>
      </c>
      <c r="C600" s="2">
        <v>46054.087500000001</v>
      </c>
      <c r="D600" t="s">
        <v>6028</v>
      </c>
      <c r="E600" t="s">
        <v>6029</v>
      </c>
      <c r="F600" t="s">
        <v>6035</v>
      </c>
      <c r="G600" t="s">
        <v>6047</v>
      </c>
      <c r="H600" t="s">
        <v>6098</v>
      </c>
      <c r="I600">
        <v>4</v>
      </c>
      <c r="J600">
        <v>10.7</v>
      </c>
      <c r="K600" t="s">
        <v>6100</v>
      </c>
      <c r="L600" t="s">
        <v>6100</v>
      </c>
      <c r="M600" t="s">
        <v>6099</v>
      </c>
      <c r="N600">
        <v>4</v>
      </c>
      <c r="O600" t="s">
        <v>6101</v>
      </c>
      <c r="P600" t="s">
        <v>6107</v>
      </c>
      <c r="Q600">
        <v>1</v>
      </c>
      <c r="R600">
        <v>2026</v>
      </c>
      <c r="S600" t="s">
        <v>6100</v>
      </c>
      <c r="T600">
        <v>0</v>
      </c>
      <c r="U600" t="s">
        <v>6021</v>
      </c>
      <c r="V600">
        <v>0</v>
      </c>
    </row>
    <row r="601" spans="1:22" x14ac:dyDescent="0.3">
      <c r="A601" t="s">
        <v>616</v>
      </c>
      <c r="B601" s="2">
        <v>46053.65625</v>
      </c>
      <c r="C601" s="2">
        <v>46054.339583333334</v>
      </c>
      <c r="D601" t="s">
        <v>6024</v>
      </c>
      <c r="E601" t="s">
        <v>6031</v>
      </c>
      <c r="F601" t="s">
        <v>6034</v>
      </c>
      <c r="G601" t="s">
        <v>6061</v>
      </c>
      <c r="H601" t="s">
        <v>6096</v>
      </c>
      <c r="I601">
        <v>24</v>
      </c>
      <c r="J601">
        <v>16.399999999999999</v>
      </c>
      <c r="K601" t="s">
        <v>6099</v>
      </c>
      <c r="L601" t="s">
        <v>6100</v>
      </c>
      <c r="M601" t="s">
        <v>6100</v>
      </c>
      <c r="N601">
        <v>4</v>
      </c>
      <c r="O601" t="s">
        <v>6101</v>
      </c>
      <c r="P601" t="s">
        <v>6107</v>
      </c>
      <c r="Q601">
        <v>1</v>
      </c>
      <c r="R601">
        <v>2026</v>
      </c>
      <c r="S601" t="s">
        <v>6099</v>
      </c>
      <c r="T601">
        <v>1</v>
      </c>
      <c r="U601" t="s">
        <v>6017</v>
      </c>
      <c r="V601">
        <v>1</v>
      </c>
    </row>
    <row r="602" spans="1:22" x14ac:dyDescent="0.3">
      <c r="A602" t="s">
        <v>617</v>
      </c>
      <c r="B602" s="2">
        <v>46053.774305555555</v>
      </c>
      <c r="C602" s="2">
        <v>46055.036805555559</v>
      </c>
      <c r="D602" t="s">
        <v>6028</v>
      </c>
      <c r="E602" t="s">
        <v>6029</v>
      </c>
      <c r="F602" t="s">
        <v>6033</v>
      </c>
      <c r="G602" t="s">
        <v>6092</v>
      </c>
      <c r="H602" t="s">
        <v>6097</v>
      </c>
      <c r="I602">
        <v>72</v>
      </c>
      <c r="J602">
        <v>30.3</v>
      </c>
      <c r="K602" t="s">
        <v>6099</v>
      </c>
      <c r="L602" t="s">
        <v>6100</v>
      </c>
      <c r="M602" t="s">
        <v>6100</v>
      </c>
      <c r="O602" t="s">
        <v>6101</v>
      </c>
      <c r="P602" t="s">
        <v>6107</v>
      </c>
      <c r="Q602">
        <v>1</v>
      </c>
      <c r="R602">
        <v>2026</v>
      </c>
      <c r="S602" t="s">
        <v>6099</v>
      </c>
      <c r="T602">
        <v>1</v>
      </c>
      <c r="U602" t="s">
        <v>6017</v>
      </c>
      <c r="V602">
        <v>1</v>
      </c>
    </row>
    <row r="603" spans="1:22" x14ac:dyDescent="0.3">
      <c r="A603" t="s">
        <v>618</v>
      </c>
      <c r="B603" s="2">
        <v>46053.802083333336</v>
      </c>
      <c r="C603" s="2">
        <v>46054.477083333331</v>
      </c>
      <c r="D603" t="s">
        <v>6027</v>
      </c>
      <c r="E603" t="s">
        <v>6029</v>
      </c>
      <c r="F603" t="s">
        <v>6034</v>
      </c>
      <c r="G603" t="s">
        <v>6080</v>
      </c>
      <c r="H603" t="s">
        <v>6096</v>
      </c>
      <c r="I603">
        <v>24</v>
      </c>
      <c r="J603">
        <v>16.2</v>
      </c>
      <c r="K603" t="s">
        <v>6100</v>
      </c>
      <c r="L603" t="s">
        <v>6100</v>
      </c>
      <c r="M603" t="s">
        <v>6100</v>
      </c>
      <c r="N603">
        <v>4</v>
      </c>
      <c r="O603" t="s">
        <v>6101</v>
      </c>
      <c r="P603" t="s">
        <v>6107</v>
      </c>
      <c r="Q603">
        <v>1</v>
      </c>
      <c r="R603">
        <v>2026</v>
      </c>
      <c r="S603" t="s">
        <v>6099</v>
      </c>
      <c r="T603">
        <v>1</v>
      </c>
      <c r="U603" t="s">
        <v>6021</v>
      </c>
      <c r="V603">
        <v>0</v>
      </c>
    </row>
    <row r="604" spans="1:22" x14ac:dyDescent="0.3">
      <c r="A604" t="s">
        <v>619</v>
      </c>
      <c r="B604" s="2">
        <v>46053.914583333331</v>
      </c>
      <c r="C604" s="2">
        <v>46056.502083333333</v>
      </c>
      <c r="D604" t="s">
        <v>6025</v>
      </c>
      <c r="E604" t="s">
        <v>6031</v>
      </c>
      <c r="F604" t="s">
        <v>6034</v>
      </c>
      <c r="G604" t="s">
        <v>6039</v>
      </c>
      <c r="H604" t="s">
        <v>6097</v>
      </c>
      <c r="I604">
        <v>24</v>
      </c>
      <c r="J604">
        <v>62.1</v>
      </c>
      <c r="K604" t="s">
        <v>6099</v>
      </c>
      <c r="L604" t="s">
        <v>6100</v>
      </c>
      <c r="M604" t="s">
        <v>6100</v>
      </c>
      <c r="N604">
        <v>5</v>
      </c>
      <c r="O604" t="s">
        <v>6101</v>
      </c>
      <c r="P604" t="s">
        <v>6107</v>
      </c>
      <c r="Q604">
        <v>1</v>
      </c>
      <c r="R604">
        <v>2026</v>
      </c>
      <c r="S604" t="s">
        <v>6100</v>
      </c>
      <c r="T604">
        <v>0</v>
      </c>
      <c r="U604" t="s">
        <v>6021</v>
      </c>
      <c r="V604">
        <v>1</v>
      </c>
    </row>
    <row r="605" spans="1:22" x14ac:dyDescent="0.3">
      <c r="A605" t="s">
        <v>620</v>
      </c>
      <c r="B605" s="2">
        <v>46053.956250000003</v>
      </c>
      <c r="C605" s="2">
        <v>46055.193749999999</v>
      </c>
      <c r="D605" t="s">
        <v>6025</v>
      </c>
      <c r="E605" t="s">
        <v>6031</v>
      </c>
      <c r="F605" t="s">
        <v>6034</v>
      </c>
      <c r="G605" t="s">
        <v>6076</v>
      </c>
      <c r="H605" t="s">
        <v>6097</v>
      </c>
      <c r="I605">
        <v>24</v>
      </c>
      <c r="J605">
        <v>29.7</v>
      </c>
      <c r="K605" t="s">
        <v>6100</v>
      </c>
      <c r="L605" t="s">
        <v>6099</v>
      </c>
      <c r="M605" t="s">
        <v>6100</v>
      </c>
      <c r="N605">
        <v>3</v>
      </c>
      <c r="O605" t="s">
        <v>6101</v>
      </c>
      <c r="P605" t="s">
        <v>6107</v>
      </c>
      <c r="Q605">
        <v>1</v>
      </c>
      <c r="R605">
        <v>2026</v>
      </c>
      <c r="S605" t="s">
        <v>6100</v>
      </c>
      <c r="T605">
        <v>0</v>
      </c>
      <c r="U605" t="s">
        <v>6021</v>
      </c>
      <c r="V605">
        <v>0</v>
      </c>
    </row>
    <row r="606" spans="1:22" x14ac:dyDescent="0.3">
      <c r="A606" t="s">
        <v>621</v>
      </c>
      <c r="B606" s="2">
        <v>46054.260416666664</v>
      </c>
      <c r="C606" s="2">
        <v>46054.402083333334</v>
      </c>
      <c r="D606" t="s">
        <v>6023</v>
      </c>
      <c r="E606" t="s">
        <v>6029</v>
      </c>
      <c r="F606" t="s">
        <v>6033</v>
      </c>
      <c r="G606" t="s">
        <v>6059</v>
      </c>
      <c r="H606" t="s">
        <v>6097</v>
      </c>
      <c r="I606">
        <v>72</v>
      </c>
      <c r="J606">
        <v>3.4</v>
      </c>
      <c r="K606" t="s">
        <v>6100</v>
      </c>
      <c r="L606" t="s">
        <v>6099</v>
      </c>
      <c r="M606" t="s">
        <v>6100</v>
      </c>
      <c r="O606" t="s">
        <v>6101</v>
      </c>
      <c r="P606" t="s">
        <v>6108</v>
      </c>
      <c r="Q606">
        <v>2</v>
      </c>
      <c r="R606">
        <v>2026</v>
      </c>
      <c r="S606" t="s">
        <v>6099</v>
      </c>
      <c r="T606">
        <v>1</v>
      </c>
      <c r="U606" t="s">
        <v>6018</v>
      </c>
      <c r="V606">
        <v>0</v>
      </c>
    </row>
    <row r="607" spans="1:22" x14ac:dyDescent="0.3">
      <c r="A607" t="s">
        <v>622</v>
      </c>
      <c r="B607" s="2">
        <v>46054.273611111108</v>
      </c>
      <c r="C607" s="2">
        <v>46054.794444444444</v>
      </c>
      <c r="D607" t="s">
        <v>6025</v>
      </c>
      <c r="E607" t="s">
        <v>6030</v>
      </c>
      <c r="F607" t="s">
        <v>6034</v>
      </c>
      <c r="G607" t="s">
        <v>6037</v>
      </c>
      <c r="H607" t="s">
        <v>6096</v>
      </c>
      <c r="I607">
        <v>24</v>
      </c>
      <c r="J607">
        <v>12.5</v>
      </c>
      <c r="K607" t="s">
        <v>6100</v>
      </c>
      <c r="L607" t="s">
        <v>6100</v>
      </c>
      <c r="M607" t="s">
        <v>6100</v>
      </c>
      <c r="O607" t="s">
        <v>6101</v>
      </c>
      <c r="P607" t="s">
        <v>6108</v>
      </c>
      <c r="Q607">
        <v>2</v>
      </c>
      <c r="R607">
        <v>2026</v>
      </c>
      <c r="S607" t="s">
        <v>6099</v>
      </c>
      <c r="T607">
        <v>1</v>
      </c>
      <c r="U607" t="s">
        <v>6020</v>
      </c>
      <c r="V607">
        <v>0</v>
      </c>
    </row>
    <row r="608" spans="1:22" x14ac:dyDescent="0.3">
      <c r="A608" t="s">
        <v>623</v>
      </c>
      <c r="B608" s="2">
        <v>46054.338194444441</v>
      </c>
      <c r="C608" s="2">
        <v>46055.834027777775</v>
      </c>
      <c r="D608" t="s">
        <v>6025</v>
      </c>
      <c r="E608" t="s">
        <v>6032</v>
      </c>
      <c r="F608" t="s">
        <v>6035</v>
      </c>
      <c r="G608" t="s">
        <v>6045</v>
      </c>
      <c r="H608" t="s">
        <v>6096</v>
      </c>
      <c r="I608">
        <v>4</v>
      </c>
      <c r="J608">
        <v>35.9</v>
      </c>
      <c r="K608" t="s">
        <v>6099</v>
      </c>
      <c r="L608" t="s">
        <v>6100</v>
      </c>
      <c r="M608" t="s">
        <v>6100</v>
      </c>
      <c r="O608" t="s">
        <v>6101</v>
      </c>
      <c r="P608" t="s">
        <v>6108</v>
      </c>
      <c r="Q608">
        <v>2</v>
      </c>
      <c r="R608">
        <v>2026</v>
      </c>
      <c r="S608" t="s">
        <v>6100</v>
      </c>
      <c r="T608">
        <v>0</v>
      </c>
      <c r="U608" t="s">
        <v>6018</v>
      </c>
      <c r="V608">
        <v>1</v>
      </c>
    </row>
    <row r="609" spans="1:22" x14ac:dyDescent="0.3">
      <c r="A609" t="s">
        <v>624</v>
      </c>
      <c r="B609" s="2">
        <v>46054.418749999997</v>
      </c>
      <c r="C609" s="2">
        <v>46055.089583333334</v>
      </c>
      <c r="D609" t="s">
        <v>6022</v>
      </c>
      <c r="E609" t="s">
        <v>6032</v>
      </c>
      <c r="F609" t="s">
        <v>6035</v>
      </c>
      <c r="G609" t="s">
        <v>6078</v>
      </c>
      <c r="H609" t="s">
        <v>6097</v>
      </c>
      <c r="I609">
        <v>4</v>
      </c>
      <c r="J609">
        <v>16.100000000000001</v>
      </c>
      <c r="K609" t="s">
        <v>6100</v>
      </c>
      <c r="L609" t="s">
        <v>6099</v>
      </c>
      <c r="M609" t="s">
        <v>6100</v>
      </c>
      <c r="N609">
        <v>2</v>
      </c>
      <c r="O609" t="s">
        <v>6101</v>
      </c>
      <c r="P609" t="s">
        <v>6108</v>
      </c>
      <c r="Q609">
        <v>2</v>
      </c>
      <c r="R609">
        <v>2026</v>
      </c>
      <c r="S609" t="s">
        <v>6100</v>
      </c>
      <c r="T609">
        <v>0</v>
      </c>
      <c r="U609" t="s">
        <v>6018</v>
      </c>
      <c r="V609">
        <v>0</v>
      </c>
    </row>
    <row r="610" spans="1:22" x14ac:dyDescent="0.3">
      <c r="A610" t="s">
        <v>625</v>
      </c>
      <c r="B610" s="2">
        <v>46054.42083333333</v>
      </c>
      <c r="C610" s="2">
        <v>46054.65</v>
      </c>
      <c r="D610" t="s">
        <v>6027</v>
      </c>
      <c r="E610" t="s">
        <v>6030</v>
      </c>
      <c r="F610" t="s">
        <v>6034</v>
      </c>
      <c r="G610" t="s">
        <v>6087</v>
      </c>
      <c r="H610" t="s">
        <v>6098</v>
      </c>
      <c r="I610">
        <v>24</v>
      </c>
      <c r="J610">
        <v>5.5</v>
      </c>
      <c r="K610" t="s">
        <v>6099</v>
      </c>
      <c r="L610" t="s">
        <v>6100</v>
      </c>
      <c r="M610" t="s">
        <v>6100</v>
      </c>
      <c r="N610">
        <v>4</v>
      </c>
      <c r="O610" t="s">
        <v>6101</v>
      </c>
      <c r="P610" t="s">
        <v>6108</v>
      </c>
      <c r="Q610">
        <v>2</v>
      </c>
      <c r="R610">
        <v>2026</v>
      </c>
      <c r="S610" t="s">
        <v>6099</v>
      </c>
      <c r="T610">
        <v>1</v>
      </c>
      <c r="U610" t="s">
        <v>6018</v>
      </c>
      <c r="V610">
        <v>1</v>
      </c>
    </row>
    <row r="611" spans="1:22" x14ac:dyDescent="0.3">
      <c r="A611" t="s">
        <v>626</v>
      </c>
      <c r="B611" s="2">
        <v>46054.42291666667</v>
      </c>
      <c r="C611" s="2">
        <v>46057.056250000001</v>
      </c>
      <c r="D611" t="s">
        <v>6026</v>
      </c>
      <c r="E611" t="s">
        <v>6032</v>
      </c>
      <c r="F611" t="s">
        <v>6033</v>
      </c>
      <c r="G611" t="s">
        <v>6052</v>
      </c>
      <c r="H611" t="s">
        <v>6098</v>
      </c>
      <c r="I611">
        <v>72</v>
      </c>
      <c r="J611">
        <v>63.2</v>
      </c>
      <c r="K611" t="s">
        <v>6100</v>
      </c>
      <c r="L611" t="s">
        <v>6099</v>
      </c>
      <c r="M611" t="s">
        <v>6100</v>
      </c>
      <c r="N611">
        <v>3</v>
      </c>
      <c r="O611" t="s">
        <v>6101</v>
      </c>
      <c r="P611" t="s">
        <v>6108</v>
      </c>
      <c r="Q611">
        <v>2</v>
      </c>
      <c r="R611">
        <v>2026</v>
      </c>
      <c r="S611" t="s">
        <v>6099</v>
      </c>
      <c r="T611">
        <v>1</v>
      </c>
      <c r="U611" t="s">
        <v>6018</v>
      </c>
      <c r="V611">
        <v>0</v>
      </c>
    </row>
    <row r="612" spans="1:22" x14ac:dyDescent="0.3">
      <c r="A612" t="s">
        <v>627</v>
      </c>
      <c r="B612" s="2">
        <v>46054.438888888886</v>
      </c>
      <c r="C612" s="2">
        <v>46054.99722222222</v>
      </c>
      <c r="D612" t="s">
        <v>6024</v>
      </c>
      <c r="E612" t="s">
        <v>6029</v>
      </c>
      <c r="F612" t="s">
        <v>6033</v>
      </c>
      <c r="G612" t="s">
        <v>6039</v>
      </c>
      <c r="H612" t="s">
        <v>6097</v>
      </c>
      <c r="I612">
        <v>72</v>
      </c>
      <c r="J612">
        <v>13.4</v>
      </c>
      <c r="K612" t="s">
        <v>6099</v>
      </c>
      <c r="L612" t="s">
        <v>6100</v>
      </c>
      <c r="M612" t="s">
        <v>6100</v>
      </c>
      <c r="N612">
        <v>5</v>
      </c>
      <c r="O612" t="s">
        <v>6101</v>
      </c>
      <c r="P612" t="s">
        <v>6108</v>
      </c>
      <c r="Q612">
        <v>2</v>
      </c>
      <c r="R612">
        <v>2026</v>
      </c>
      <c r="S612" t="s">
        <v>6099</v>
      </c>
      <c r="T612">
        <v>1</v>
      </c>
      <c r="U612" t="s">
        <v>6021</v>
      </c>
      <c r="V612">
        <v>1</v>
      </c>
    </row>
    <row r="613" spans="1:22" x14ac:dyDescent="0.3">
      <c r="A613" t="s">
        <v>628</v>
      </c>
      <c r="B613" s="2">
        <v>46054.470833333333</v>
      </c>
      <c r="C613" s="2">
        <v>46054.712500000001</v>
      </c>
      <c r="D613" t="s">
        <v>6024</v>
      </c>
      <c r="E613" t="s">
        <v>6030</v>
      </c>
      <c r="F613" t="s">
        <v>6035</v>
      </c>
      <c r="G613" t="s">
        <v>6062</v>
      </c>
      <c r="H613" t="s">
        <v>6096</v>
      </c>
      <c r="I613">
        <v>4</v>
      </c>
      <c r="J613">
        <v>5.8</v>
      </c>
      <c r="K613" t="s">
        <v>6100</v>
      </c>
      <c r="L613" t="s">
        <v>6100</v>
      </c>
      <c r="M613" t="s">
        <v>6100</v>
      </c>
      <c r="N613">
        <v>3</v>
      </c>
      <c r="O613" t="s">
        <v>6101</v>
      </c>
      <c r="P613" t="s">
        <v>6108</v>
      </c>
      <c r="Q613">
        <v>2</v>
      </c>
      <c r="R613">
        <v>2026</v>
      </c>
      <c r="S613" t="s">
        <v>6100</v>
      </c>
      <c r="T613">
        <v>0</v>
      </c>
      <c r="U613" t="s">
        <v>6021</v>
      </c>
      <c r="V613">
        <v>0</v>
      </c>
    </row>
    <row r="614" spans="1:22" x14ac:dyDescent="0.3">
      <c r="A614" t="s">
        <v>629</v>
      </c>
      <c r="B614" s="2">
        <v>46054.488888888889</v>
      </c>
      <c r="C614" s="2">
        <v>46055.413888888892</v>
      </c>
      <c r="D614" t="s">
        <v>6023</v>
      </c>
      <c r="E614" t="s">
        <v>6032</v>
      </c>
      <c r="F614" t="s">
        <v>6034</v>
      </c>
      <c r="G614" t="s">
        <v>6044</v>
      </c>
      <c r="H614" t="s">
        <v>6097</v>
      </c>
      <c r="I614">
        <v>24</v>
      </c>
      <c r="J614">
        <v>22.2</v>
      </c>
      <c r="K614" t="s">
        <v>6100</v>
      </c>
      <c r="L614" t="s">
        <v>6099</v>
      </c>
      <c r="M614" t="s">
        <v>6099</v>
      </c>
      <c r="N614">
        <v>3</v>
      </c>
      <c r="O614" t="s">
        <v>6101</v>
      </c>
      <c r="P614" t="s">
        <v>6108</v>
      </c>
      <c r="Q614">
        <v>2</v>
      </c>
      <c r="R614">
        <v>2026</v>
      </c>
      <c r="S614" t="s">
        <v>6099</v>
      </c>
      <c r="T614">
        <v>1</v>
      </c>
      <c r="U614" t="s">
        <v>6018</v>
      </c>
      <c r="V614">
        <v>0</v>
      </c>
    </row>
    <row r="615" spans="1:22" x14ac:dyDescent="0.3">
      <c r="A615" t="s">
        <v>630</v>
      </c>
      <c r="B615" s="2">
        <v>46054.493750000001</v>
      </c>
      <c r="C615" s="2">
        <v>46063.510416666664</v>
      </c>
      <c r="D615" t="s">
        <v>6026</v>
      </c>
      <c r="E615" t="s">
        <v>6031</v>
      </c>
      <c r="F615" t="s">
        <v>6034</v>
      </c>
      <c r="G615" t="s">
        <v>6043</v>
      </c>
      <c r="H615" t="s">
        <v>6097</v>
      </c>
      <c r="I615">
        <v>24</v>
      </c>
      <c r="J615">
        <v>216.4</v>
      </c>
      <c r="K615" t="s">
        <v>6099</v>
      </c>
      <c r="L615" t="s">
        <v>6100</v>
      </c>
      <c r="M615" t="s">
        <v>6100</v>
      </c>
      <c r="N615">
        <v>4</v>
      </c>
      <c r="O615" t="s">
        <v>6101</v>
      </c>
      <c r="P615" t="s">
        <v>6108</v>
      </c>
      <c r="Q615">
        <v>2</v>
      </c>
      <c r="R615">
        <v>2026</v>
      </c>
      <c r="S615" t="s">
        <v>6100</v>
      </c>
      <c r="T615">
        <v>0</v>
      </c>
      <c r="U615" t="s">
        <v>6019</v>
      </c>
      <c r="V615">
        <v>1</v>
      </c>
    </row>
    <row r="616" spans="1:22" x14ac:dyDescent="0.3">
      <c r="A616" t="s">
        <v>631</v>
      </c>
      <c r="B616" s="2">
        <v>46054.499305555553</v>
      </c>
      <c r="C616" s="2">
        <v>46054.765972222223</v>
      </c>
      <c r="D616" t="s">
        <v>6023</v>
      </c>
      <c r="E616" t="s">
        <v>6030</v>
      </c>
      <c r="F616" t="s">
        <v>6034</v>
      </c>
      <c r="G616" t="s">
        <v>6092</v>
      </c>
      <c r="H616" t="s">
        <v>6097</v>
      </c>
      <c r="I616">
        <v>24</v>
      </c>
      <c r="J616">
        <v>6.4</v>
      </c>
      <c r="K616" t="s">
        <v>6099</v>
      </c>
      <c r="L616" t="s">
        <v>6100</v>
      </c>
      <c r="M616" t="s">
        <v>6100</v>
      </c>
      <c r="O616" t="s">
        <v>6101</v>
      </c>
      <c r="P616" t="s">
        <v>6108</v>
      </c>
      <c r="Q616">
        <v>2</v>
      </c>
      <c r="R616">
        <v>2026</v>
      </c>
      <c r="S616" t="s">
        <v>6099</v>
      </c>
      <c r="T616">
        <v>1</v>
      </c>
      <c r="U616" t="s">
        <v>6021</v>
      </c>
      <c r="V616">
        <v>1</v>
      </c>
    </row>
    <row r="617" spans="1:22" x14ac:dyDescent="0.3">
      <c r="A617" t="s">
        <v>632</v>
      </c>
      <c r="B617" s="2">
        <v>46054.506944444445</v>
      </c>
      <c r="C617" s="2">
        <v>46058.573611111111</v>
      </c>
      <c r="D617" t="s">
        <v>6026</v>
      </c>
      <c r="E617" t="s">
        <v>6031</v>
      </c>
      <c r="F617" t="s">
        <v>6034</v>
      </c>
      <c r="G617" t="s">
        <v>6068</v>
      </c>
      <c r="H617" t="s">
        <v>6098</v>
      </c>
      <c r="I617">
        <v>24</v>
      </c>
      <c r="J617">
        <v>97.6</v>
      </c>
      <c r="K617" t="s">
        <v>6100</v>
      </c>
      <c r="L617" t="s">
        <v>6100</v>
      </c>
      <c r="M617" t="s">
        <v>6100</v>
      </c>
      <c r="O617" t="s">
        <v>6101</v>
      </c>
      <c r="P617" t="s">
        <v>6108</v>
      </c>
      <c r="Q617">
        <v>2</v>
      </c>
      <c r="R617">
        <v>2026</v>
      </c>
      <c r="S617" t="s">
        <v>6100</v>
      </c>
      <c r="T617">
        <v>0</v>
      </c>
      <c r="U617" t="s">
        <v>6018</v>
      </c>
      <c r="V617">
        <v>0</v>
      </c>
    </row>
    <row r="618" spans="1:22" x14ac:dyDescent="0.3">
      <c r="A618" t="s">
        <v>633</v>
      </c>
      <c r="B618" s="2">
        <v>46054.519444444442</v>
      </c>
      <c r="C618" s="2">
        <v>46057.94027777778</v>
      </c>
      <c r="D618" t="s">
        <v>6022</v>
      </c>
      <c r="E618" t="s">
        <v>6032</v>
      </c>
      <c r="F618" t="s">
        <v>6034</v>
      </c>
      <c r="G618" t="s">
        <v>6056</v>
      </c>
      <c r="H618" t="s">
        <v>6098</v>
      </c>
      <c r="I618">
        <v>24</v>
      </c>
      <c r="J618">
        <v>82.1</v>
      </c>
      <c r="K618" t="s">
        <v>6099</v>
      </c>
      <c r="L618" t="s">
        <v>6100</v>
      </c>
      <c r="M618" t="s">
        <v>6100</v>
      </c>
      <c r="O618" t="s">
        <v>6101</v>
      </c>
      <c r="P618" t="s">
        <v>6108</v>
      </c>
      <c r="Q618">
        <v>2</v>
      </c>
      <c r="R618">
        <v>2026</v>
      </c>
      <c r="S618" t="s">
        <v>6100</v>
      </c>
      <c r="T618">
        <v>0</v>
      </c>
      <c r="U618" t="s">
        <v>6021</v>
      </c>
      <c r="V618">
        <v>1</v>
      </c>
    </row>
    <row r="619" spans="1:22" x14ac:dyDescent="0.3">
      <c r="A619" t="s">
        <v>634</v>
      </c>
      <c r="B619" s="2">
        <v>46054.520138888889</v>
      </c>
      <c r="C619" s="2">
        <v>46054.690972222219</v>
      </c>
      <c r="D619" t="s">
        <v>6025</v>
      </c>
      <c r="E619" t="s">
        <v>6029</v>
      </c>
      <c r="F619" t="s">
        <v>6033</v>
      </c>
      <c r="G619" t="s">
        <v>6063</v>
      </c>
      <c r="H619" t="s">
        <v>6097</v>
      </c>
      <c r="I619">
        <v>72</v>
      </c>
      <c r="J619">
        <v>4.0999999999999996</v>
      </c>
      <c r="K619" t="s">
        <v>6100</v>
      </c>
      <c r="L619" t="s">
        <v>6099</v>
      </c>
      <c r="M619" t="s">
        <v>6100</v>
      </c>
      <c r="N619">
        <v>5</v>
      </c>
      <c r="O619" t="s">
        <v>6101</v>
      </c>
      <c r="P619" t="s">
        <v>6108</v>
      </c>
      <c r="Q619">
        <v>2</v>
      </c>
      <c r="R619">
        <v>2026</v>
      </c>
      <c r="S619" t="s">
        <v>6099</v>
      </c>
      <c r="T619">
        <v>1</v>
      </c>
      <c r="U619" t="s">
        <v>6021</v>
      </c>
      <c r="V619">
        <v>0</v>
      </c>
    </row>
    <row r="620" spans="1:22" x14ac:dyDescent="0.3">
      <c r="A620" t="s">
        <v>635</v>
      </c>
      <c r="B620" s="2">
        <v>46054.572916666664</v>
      </c>
      <c r="C620" s="2">
        <v>46056.647916666669</v>
      </c>
      <c r="D620" t="s">
        <v>6026</v>
      </c>
      <c r="E620" t="s">
        <v>6031</v>
      </c>
      <c r="F620" t="s">
        <v>6035</v>
      </c>
      <c r="G620" t="s">
        <v>6060</v>
      </c>
      <c r="H620" t="s">
        <v>6097</v>
      </c>
      <c r="I620">
        <v>4</v>
      </c>
      <c r="J620">
        <v>49.8</v>
      </c>
      <c r="K620" t="s">
        <v>6100</v>
      </c>
      <c r="L620" t="s">
        <v>6099</v>
      </c>
      <c r="M620" t="s">
        <v>6100</v>
      </c>
      <c r="O620" t="s">
        <v>6101</v>
      </c>
      <c r="P620" t="s">
        <v>6108</v>
      </c>
      <c r="Q620">
        <v>2</v>
      </c>
      <c r="R620">
        <v>2026</v>
      </c>
      <c r="S620" t="s">
        <v>6100</v>
      </c>
      <c r="T620">
        <v>0</v>
      </c>
      <c r="U620" t="s">
        <v>6021</v>
      </c>
      <c r="V620">
        <v>0</v>
      </c>
    </row>
    <row r="621" spans="1:22" x14ac:dyDescent="0.3">
      <c r="A621" t="s">
        <v>636</v>
      </c>
      <c r="B621" s="2">
        <v>46054.578472222223</v>
      </c>
      <c r="C621" s="2">
        <v>46054.936805555553</v>
      </c>
      <c r="D621" t="s">
        <v>6025</v>
      </c>
      <c r="E621" t="s">
        <v>6029</v>
      </c>
      <c r="F621" t="s">
        <v>6033</v>
      </c>
      <c r="G621" t="s">
        <v>6067</v>
      </c>
      <c r="H621" t="s">
        <v>6098</v>
      </c>
      <c r="I621">
        <v>72</v>
      </c>
      <c r="J621">
        <v>8.6</v>
      </c>
      <c r="K621" t="s">
        <v>6099</v>
      </c>
      <c r="L621" t="s">
        <v>6100</v>
      </c>
      <c r="M621" t="s">
        <v>6100</v>
      </c>
      <c r="N621">
        <v>4</v>
      </c>
      <c r="O621" t="s">
        <v>6101</v>
      </c>
      <c r="P621" t="s">
        <v>6108</v>
      </c>
      <c r="Q621">
        <v>2</v>
      </c>
      <c r="R621">
        <v>2026</v>
      </c>
      <c r="S621" t="s">
        <v>6099</v>
      </c>
      <c r="T621">
        <v>1</v>
      </c>
      <c r="U621" t="s">
        <v>6018</v>
      </c>
      <c r="V621">
        <v>1</v>
      </c>
    </row>
    <row r="622" spans="1:22" x14ac:dyDescent="0.3">
      <c r="A622" t="s">
        <v>637</v>
      </c>
      <c r="B622" s="2">
        <v>46054.578472222223</v>
      </c>
      <c r="C622" s="2">
        <v>46055.074305555558</v>
      </c>
      <c r="D622" t="s">
        <v>6023</v>
      </c>
      <c r="E622" t="s">
        <v>6029</v>
      </c>
      <c r="F622" t="s">
        <v>6033</v>
      </c>
      <c r="G622" t="s">
        <v>6037</v>
      </c>
      <c r="H622" t="s">
        <v>6096</v>
      </c>
      <c r="I622">
        <v>72</v>
      </c>
      <c r="J622">
        <v>11.9</v>
      </c>
      <c r="K622" t="s">
        <v>6099</v>
      </c>
      <c r="L622" t="s">
        <v>6100</v>
      </c>
      <c r="M622" t="s">
        <v>6100</v>
      </c>
      <c r="N622">
        <v>5</v>
      </c>
      <c r="O622" t="s">
        <v>6101</v>
      </c>
      <c r="P622" t="s">
        <v>6108</v>
      </c>
      <c r="Q622">
        <v>2</v>
      </c>
      <c r="R622">
        <v>2026</v>
      </c>
      <c r="S622" t="s">
        <v>6099</v>
      </c>
      <c r="T622">
        <v>1</v>
      </c>
      <c r="U622" t="s">
        <v>6021</v>
      </c>
      <c r="V622">
        <v>1</v>
      </c>
    </row>
    <row r="623" spans="1:22" x14ac:dyDescent="0.3">
      <c r="A623" t="s">
        <v>638</v>
      </c>
      <c r="B623" s="2">
        <v>46054.592361111114</v>
      </c>
      <c r="C623" s="2">
        <v>46055.725694444445</v>
      </c>
      <c r="D623" t="s">
        <v>6025</v>
      </c>
      <c r="E623" t="s">
        <v>6029</v>
      </c>
      <c r="F623" t="s">
        <v>6033</v>
      </c>
      <c r="G623" t="s">
        <v>6059</v>
      </c>
      <c r="H623" t="s">
        <v>6097</v>
      </c>
      <c r="I623">
        <v>72</v>
      </c>
      <c r="J623">
        <v>27.2</v>
      </c>
      <c r="K623" t="s">
        <v>6099</v>
      </c>
      <c r="L623" t="s">
        <v>6100</v>
      </c>
      <c r="M623" t="s">
        <v>6100</v>
      </c>
      <c r="N623">
        <v>5</v>
      </c>
      <c r="O623" t="s">
        <v>6101</v>
      </c>
      <c r="P623" t="s">
        <v>6108</v>
      </c>
      <c r="Q623">
        <v>2</v>
      </c>
      <c r="R623">
        <v>2026</v>
      </c>
      <c r="S623" t="s">
        <v>6099</v>
      </c>
      <c r="T623">
        <v>1</v>
      </c>
      <c r="U623" t="s">
        <v>6019</v>
      </c>
      <c r="V623">
        <v>1</v>
      </c>
    </row>
    <row r="624" spans="1:22" x14ac:dyDescent="0.3">
      <c r="A624" t="s">
        <v>639</v>
      </c>
      <c r="B624" s="2">
        <v>46054.607638888891</v>
      </c>
      <c r="C624" s="2">
        <v>46057.015972222223</v>
      </c>
      <c r="D624" t="s">
        <v>6023</v>
      </c>
      <c r="E624" t="s">
        <v>6032</v>
      </c>
      <c r="F624" t="s">
        <v>6034</v>
      </c>
      <c r="G624" t="s">
        <v>6081</v>
      </c>
      <c r="H624" t="s">
        <v>6098</v>
      </c>
      <c r="I624">
        <v>24</v>
      </c>
      <c r="J624">
        <v>57.8</v>
      </c>
      <c r="K624" t="s">
        <v>6100</v>
      </c>
      <c r="L624" t="s">
        <v>6099</v>
      </c>
      <c r="M624" t="s">
        <v>6100</v>
      </c>
      <c r="N624">
        <v>4</v>
      </c>
      <c r="O624" t="s">
        <v>6101</v>
      </c>
      <c r="P624" t="s">
        <v>6108</v>
      </c>
      <c r="Q624">
        <v>2</v>
      </c>
      <c r="R624">
        <v>2026</v>
      </c>
      <c r="S624" t="s">
        <v>6100</v>
      </c>
      <c r="T624">
        <v>0</v>
      </c>
      <c r="U624" t="s">
        <v>6019</v>
      </c>
      <c r="V624">
        <v>0</v>
      </c>
    </row>
    <row r="625" spans="1:22" x14ac:dyDescent="0.3">
      <c r="A625" t="s">
        <v>640</v>
      </c>
      <c r="B625" s="2">
        <v>46054.640972222223</v>
      </c>
      <c r="C625" s="2">
        <v>46056.111805555556</v>
      </c>
      <c r="D625" t="s">
        <v>6025</v>
      </c>
      <c r="E625" t="s">
        <v>6029</v>
      </c>
      <c r="F625" t="s">
        <v>6033</v>
      </c>
      <c r="G625" t="s">
        <v>6050</v>
      </c>
      <c r="H625" t="s">
        <v>6098</v>
      </c>
      <c r="I625">
        <v>72</v>
      </c>
      <c r="J625">
        <v>35.299999999999997</v>
      </c>
      <c r="K625" t="s">
        <v>6099</v>
      </c>
      <c r="L625" t="s">
        <v>6100</v>
      </c>
      <c r="M625" t="s">
        <v>6100</v>
      </c>
      <c r="N625">
        <v>5</v>
      </c>
      <c r="O625" t="s">
        <v>6101</v>
      </c>
      <c r="P625" t="s">
        <v>6108</v>
      </c>
      <c r="Q625">
        <v>2</v>
      </c>
      <c r="R625">
        <v>2026</v>
      </c>
      <c r="S625" t="s">
        <v>6099</v>
      </c>
      <c r="T625">
        <v>1</v>
      </c>
      <c r="U625" t="s">
        <v>6020</v>
      </c>
      <c r="V625">
        <v>1</v>
      </c>
    </row>
    <row r="626" spans="1:22" x14ac:dyDescent="0.3">
      <c r="A626" t="s">
        <v>641</v>
      </c>
      <c r="B626" s="2">
        <v>46054.645833333336</v>
      </c>
      <c r="C626" s="2">
        <v>46054.966666666667</v>
      </c>
      <c r="D626" t="s">
        <v>6023</v>
      </c>
      <c r="E626" t="s">
        <v>6029</v>
      </c>
      <c r="F626" t="s">
        <v>6034</v>
      </c>
      <c r="G626" t="s">
        <v>6042</v>
      </c>
      <c r="H626" t="s">
        <v>6098</v>
      </c>
      <c r="I626">
        <v>24</v>
      </c>
      <c r="J626">
        <v>7.7</v>
      </c>
      <c r="K626" t="s">
        <v>6099</v>
      </c>
      <c r="L626" t="s">
        <v>6100</v>
      </c>
      <c r="M626" t="s">
        <v>6100</v>
      </c>
      <c r="O626" t="s">
        <v>6101</v>
      </c>
      <c r="P626" t="s">
        <v>6108</v>
      </c>
      <c r="Q626">
        <v>2</v>
      </c>
      <c r="R626">
        <v>2026</v>
      </c>
      <c r="S626" t="s">
        <v>6099</v>
      </c>
      <c r="T626">
        <v>1</v>
      </c>
      <c r="U626" t="s">
        <v>6017</v>
      </c>
      <c r="V626">
        <v>1</v>
      </c>
    </row>
    <row r="627" spans="1:22" x14ac:dyDescent="0.3">
      <c r="A627" t="s">
        <v>642</v>
      </c>
      <c r="B627" s="2">
        <v>46054.668055555558</v>
      </c>
      <c r="C627" s="2">
        <v>46055.109722222223</v>
      </c>
      <c r="D627" t="s">
        <v>6024</v>
      </c>
      <c r="E627" t="s">
        <v>6030</v>
      </c>
      <c r="F627" t="s">
        <v>6034</v>
      </c>
      <c r="G627" t="s">
        <v>6088</v>
      </c>
      <c r="H627" t="s">
        <v>6097</v>
      </c>
      <c r="I627">
        <v>24</v>
      </c>
      <c r="J627">
        <v>10.6</v>
      </c>
      <c r="K627" t="s">
        <v>6099</v>
      </c>
      <c r="L627" t="s">
        <v>6100</v>
      </c>
      <c r="M627" t="s">
        <v>6100</v>
      </c>
      <c r="N627">
        <v>5</v>
      </c>
      <c r="O627" t="s">
        <v>6101</v>
      </c>
      <c r="P627" t="s">
        <v>6108</v>
      </c>
      <c r="Q627">
        <v>2</v>
      </c>
      <c r="R627">
        <v>2026</v>
      </c>
      <c r="S627" t="s">
        <v>6099</v>
      </c>
      <c r="T627">
        <v>1</v>
      </c>
      <c r="U627" t="s">
        <v>6018</v>
      </c>
      <c r="V627">
        <v>1</v>
      </c>
    </row>
    <row r="628" spans="1:22" x14ac:dyDescent="0.3">
      <c r="A628" t="s">
        <v>643</v>
      </c>
      <c r="B628" s="2">
        <v>46054.688194444447</v>
      </c>
      <c r="C628" s="2">
        <v>46055.129861111112</v>
      </c>
      <c r="D628" t="s">
        <v>6023</v>
      </c>
      <c r="E628" t="s">
        <v>6029</v>
      </c>
      <c r="F628" t="s">
        <v>6034</v>
      </c>
      <c r="G628" t="s">
        <v>6038</v>
      </c>
      <c r="H628" t="s">
        <v>6096</v>
      </c>
      <c r="I628">
        <v>24</v>
      </c>
      <c r="J628">
        <v>10.6</v>
      </c>
      <c r="K628" t="s">
        <v>6100</v>
      </c>
      <c r="L628" t="s">
        <v>6099</v>
      </c>
      <c r="M628" t="s">
        <v>6100</v>
      </c>
      <c r="N628">
        <v>4</v>
      </c>
      <c r="O628" t="s">
        <v>6101</v>
      </c>
      <c r="P628" t="s">
        <v>6108</v>
      </c>
      <c r="Q628">
        <v>2</v>
      </c>
      <c r="R628">
        <v>2026</v>
      </c>
      <c r="S628" t="s">
        <v>6099</v>
      </c>
      <c r="T628">
        <v>1</v>
      </c>
      <c r="U628" t="s">
        <v>6020</v>
      </c>
      <c r="V628">
        <v>0</v>
      </c>
    </row>
    <row r="629" spans="1:22" x14ac:dyDescent="0.3">
      <c r="A629" t="s">
        <v>644</v>
      </c>
      <c r="B629" s="2">
        <v>46054.752083333333</v>
      </c>
      <c r="C629" s="2">
        <v>46055.022916666669</v>
      </c>
      <c r="D629" t="s">
        <v>6023</v>
      </c>
      <c r="E629" t="s">
        <v>6030</v>
      </c>
      <c r="F629" t="s">
        <v>6033</v>
      </c>
      <c r="G629" t="s">
        <v>6041</v>
      </c>
      <c r="H629" t="s">
        <v>6096</v>
      </c>
      <c r="I629">
        <v>72</v>
      </c>
      <c r="J629">
        <v>6.5</v>
      </c>
      <c r="K629" t="s">
        <v>6099</v>
      </c>
      <c r="L629" t="s">
        <v>6100</v>
      </c>
      <c r="M629" t="s">
        <v>6100</v>
      </c>
      <c r="N629">
        <v>5</v>
      </c>
      <c r="O629" t="s">
        <v>6101</v>
      </c>
      <c r="P629" t="s">
        <v>6108</v>
      </c>
      <c r="Q629">
        <v>2</v>
      </c>
      <c r="R629">
        <v>2026</v>
      </c>
      <c r="S629" t="s">
        <v>6099</v>
      </c>
      <c r="T629">
        <v>1</v>
      </c>
      <c r="U629" t="s">
        <v>6019</v>
      </c>
      <c r="V629">
        <v>1</v>
      </c>
    </row>
    <row r="630" spans="1:22" x14ac:dyDescent="0.3">
      <c r="A630" t="s">
        <v>645</v>
      </c>
      <c r="B630" s="2">
        <v>46054.779861111114</v>
      </c>
      <c r="C630" s="2">
        <v>46055.442361111112</v>
      </c>
      <c r="D630" t="s">
        <v>6028</v>
      </c>
      <c r="E630" t="s">
        <v>6031</v>
      </c>
      <c r="F630" t="s">
        <v>6034</v>
      </c>
      <c r="G630" t="s">
        <v>6064</v>
      </c>
      <c r="H630" t="s">
        <v>6096</v>
      </c>
      <c r="I630">
        <v>24</v>
      </c>
      <c r="J630">
        <v>15.9</v>
      </c>
      <c r="K630" t="s">
        <v>6100</v>
      </c>
      <c r="L630" t="s">
        <v>6099</v>
      </c>
      <c r="M630" t="s">
        <v>6099</v>
      </c>
      <c r="O630" t="s">
        <v>6101</v>
      </c>
      <c r="P630" t="s">
        <v>6108</v>
      </c>
      <c r="Q630">
        <v>2</v>
      </c>
      <c r="R630">
        <v>2026</v>
      </c>
      <c r="S630" t="s">
        <v>6099</v>
      </c>
      <c r="T630">
        <v>1</v>
      </c>
      <c r="U630" t="s">
        <v>6018</v>
      </c>
      <c r="V630">
        <v>0</v>
      </c>
    </row>
    <row r="631" spans="1:22" x14ac:dyDescent="0.3">
      <c r="A631" t="s">
        <v>646</v>
      </c>
      <c r="B631" s="2">
        <v>46054.78125</v>
      </c>
      <c r="C631" s="2">
        <v>46055.34375</v>
      </c>
      <c r="D631" t="s">
        <v>6025</v>
      </c>
      <c r="E631" t="s">
        <v>6029</v>
      </c>
      <c r="F631" t="s">
        <v>6033</v>
      </c>
      <c r="G631" t="s">
        <v>6072</v>
      </c>
      <c r="H631" t="s">
        <v>6097</v>
      </c>
      <c r="I631">
        <v>72</v>
      </c>
      <c r="J631">
        <v>13.5</v>
      </c>
      <c r="K631" t="s">
        <v>6099</v>
      </c>
      <c r="L631" t="s">
        <v>6100</v>
      </c>
      <c r="M631" t="s">
        <v>6100</v>
      </c>
      <c r="N631">
        <v>4</v>
      </c>
      <c r="O631" t="s">
        <v>6101</v>
      </c>
      <c r="P631" t="s">
        <v>6108</v>
      </c>
      <c r="Q631">
        <v>2</v>
      </c>
      <c r="R631">
        <v>2026</v>
      </c>
      <c r="S631" t="s">
        <v>6099</v>
      </c>
      <c r="T631">
        <v>1</v>
      </c>
      <c r="U631" t="s">
        <v>6018</v>
      </c>
      <c r="V631">
        <v>1</v>
      </c>
    </row>
    <row r="632" spans="1:22" x14ac:dyDescent="0.3">
      <c r="A632" t="s">
        <v>647</v>
      </c>
      <c r="B632" s="2">
        <v>46054.811111111114</v>
      </c>
      <c r="C632" s="2">
        <v>46056.098611111112</v>
      </c>
      <c r="D632" t="s">
        <v>6022</v>
      </c>
      <c r="E632" t="s">
        <v>6029</v>
      </c>
      <c r="F632" t="s">
        <v>6034</v>
      </c>
      <c r="G632" t="s">
        <v>6089</v>
      </c>
      <c r="H632" t="s">
        <v>6098</v>
      </c>
      <c r="I632">
        <v>24</v>
      </c>
      <c r="J632">
        <v>30.9</v>
      </c>
      <c r="K632" t="s">
        <v>6099</v>
      </c>
      <c r="L632" t="s">
        <v>6100</v>
      </c>
      <c r="M632" t="s">
        <v>6100</v>
      </c>
      <c r="N632">
        <v>5</v>
      </c>
      <c r="O632" t="s">
        <v>6101</v>
      </c>
      <c r="P632" t="s">
        <v>6108</v>
      </c>
      <c r="Q632">
        <v>2</v>
      </c>
      <c r="R632">
        <v>2026</v>
      </c>
      <c r="S632" t="s">
        <v>6100</v>
      </c>
      <c r="T632">
        <v>0</v>
      </c>
      <c r="U632" t="s">
        <v>6019</v>
      </c>
      <c r="V632">
        <v>1</v>
      </c>
    </row>
    <row r="633" spans="1:22" x14ac:dyDescent="0.3">
      <c r="A633" t="s">
        <v>648</v>
      </c>
      <c r="B633" s="2">
        <v>46054.843055555553</v>
      </c>
      <c r="C633" s="2">
        <v>46055.380555555559</v>
      </c>
      <c r="D633" t="s">
        <v>6028</v>
      </c>
      <c r="E633" t="s">
        <v>6031</v>
      </c>
      <c r="F633" t="s">
        <v>6034</v>
      </c>
      <c r="G633" t="s">
        <v>6048</v>
      </c>
      <c r="H633" t="s">
        <v>6096</v>
      </c>
      <c r="I633">
        <v>24</v>
      </c>
      <c r="J633">
        <v>12.9</v>
      </c>
      <c r="K633" t="s">
        <v>6099</v>
      </c>
      <c r="L633" t="s">
        <v>6100</v>
      </c>
      <c r="M633" t="s">
        <v>6100</v>
      </c>
      <c r="N633">
        <v>5</v>
      </c>
      <c r="O633" t="s">
        <v>6101</v>
      </c>
      <c r="P633" t="s">
        <v>6108</v>
      </c>
      <c r="Q633">
        <v>2</v>
      </c>
      <c r="R633">
        <v>2026</v>
      </c>
      <c r="S633" t="s">
        <v>6099</v>
      </c>
      <c r="T633">
        <v>1</v>
      </c>
      <c r="U633" t="s">
        <v>6019</v>
      </c>
      <c r="V633">
        <v>1</v>
      </c>
    </row>
    <row r="634" spans="1:22" x14ac:dyDescent="0.3">
      <c r="A634" t="s">
        <v>649</v>
      </c>
      <c r="B634" s="2">
        <v>46055.304861111108</v>
      </c>
      <c r="C634" s="2">
        <v>46055.725694444445</v>
      </c>
      <c r="D634" t="s">
        <v>6024</v>
      </c>
      <c r="E634" t="s">
        <v>6029</v>
      </c>
      <c r="F634" t="s">
        <v>6033</v>
      </c>
      <c r="G634" t="s">
        <v>6074</v>
      </c>
      <c r="H634" t="s">
        <v>6098</v>
      </c>
      <c r="I634">
        <v>72</v>
      </c>
      <c r="J634">
        <v>10.1</v>
      </c>
      <c r="K634" t="s">
        <v>6100</v>
      </c>
      <c r="L634" t="s">
        <v>6099</v>
      </c>
      <c r="M634" t="s">
        <v>6100</v>
      </c>
      <c r="N634">
        <v>3</v>
      </c>
      <c r="O634" t="s">
        <v>6101</v>
      </c>
      <c r="P634" t="s">
        <v>6108</v>
      </c>
      <c r="Q634">
        <v>2</v>
      </c>
      <c r="R634">
        <v>2026</v>
      </c>
      <c r="S634" t="s">
        <v>6099</v>
      </c>
      <c r="T634">
        <v>1</v>
      </c>
      <c r="U634" t="s">
        <v>6018</v>
      </c>
      <c r="V634">
        <v>0</v>
      </c>
    </row>
    <row r="635" spans="1:22" x14ac:dyDescent="0.3">
      <c r="A635" t="s">
        <v>650</v>
      </c>
      <c r="B635" s="2">
        <v>46055.421527777777</v>
      </c>
      <c r="C635" s="2">
        <v>46055.53402777778</v>
      </c>
      <c r="D635" t="s">
        <v>6023</v>
      </c>
      <c r="E635" t="s">
        <v>6029</v>
      </c>
      <c r="F635" t="s">
        <v>6034</v>
      </c>
      <c r="G635" t="s">
        <v>6088</v>
      </c>
      <c r="H635" t="s">
        <v>6097</v>
      </c>
      <c r="I635">
        <v>24</v>
      </c>
      <c r="J635">
        <v>2.7</v>
      </c>
      <c r="K635" t="s">
        <v>6099</v>
      </c>
      <c r="L635" t="s">
        <v>6100</v>
      </c>
      <c r="M635" t="s">
        <v>6100</v>
      </c>
      <c r="O635" t="s">
        <v>6101</v>
      </c>
      <c r="P635" t="s">
        <v>6108</v>
      </c>
      <c r="Q635">
        <v>2</v>
      </c>
      <c r="R635">
        <v>2026</v>
      </c>
      <c r="S635" t="s">
        <v>6099</v>
      </c>
      <c r="T635">
        <v>1</v>
      </c>
      <c r="U635" t="s">
        <v>6021</v>
      </c>
      <c r="V635">
        <v>1</v>
      </c>
    </row>
    <row r="636" spans="1:22" x14ac:dyDescent="0.3">
      <c r="A636" t="s">
        <v>651</v>
      </c>
      <c r="B636" s="2">
        <v>46055.454861111109</v>
      </c>
      <c r="C636" s="2">
        <v>46056.767361111109</v>
      </c>
      <c r="D636" t="s">
        <v>6022</v>
      </c>
      <c r="E636" t="s">
        <v>6031</v>
      </c>
      <c r="F636" t="s">
        <v>6033</v>
      </c>
      <c r="G636" t="s">
        <v>6069</v>
      </c>
      <c r="H636" t="s">
        <v>6098</v>
      </c>
      <c r="I636">
        <v>72</v>
      </c>
      <c r="J636">
        <v>31.5</v>
      </c>
      <c r="K636" t="s">
        <v>6099</v>
      </c>
      <c r="L636" t="s">
        <v>6100</v>
      </c>
      <c r="M636" t="s">
        <v>6100</v>
      </c>
      <c r="O636" t="s">
        <v>6101</v>
      </c>
      <c r="P636" t="s">
        <v>6108</v>
      </c>
      <c r="Q636">
        <v>2</v>
      </c>
      <c r="R636">
        <v>2026</v>
      </c>
      <c r="S636" t="s">
        <v>6099</v>
      </c>
      <c r="T636">
        <v>1</v>
      </c>
      <c r="U636" t="s">
        <v>6020</v>
      </c>
      <c r="V636">
        <v>1</v>
      </c>
    </row>
    <row r="637" spans="1:22" x14ac:dyDescent="0.3">
      <c r="A637" t="s">
        <v>652</v>
      </c>
      <c r="B637" s="2">
        <v>46055.482638888891</v>
      </c>
      <c r="C637" s="2">
        <v>46054.399305555555</v>
      </c>
      <c r="D637" t="s">
        <v>6028</v>
      </c>
      <c r="E637" t="s">
        <v>6029</v>
      </c>
      <c r="F637" t="s">
        <v>6035</v>
      </c>
      <c r="G637" t="s">
        <v>6051</v>
      </c>
      <c r="H637" t="s">
        <v>6097</v>
      </c>
      <c r="I637">
        <v>4</v>
      </c>
      <c r="J637">
        <v>4.0999999999999996</v>
      </c>
      <c r="K637" t="s">
        <v>6099</v>
      </c>
      <c r="L637" t="s">
        <v>6100</v>
      </c>
      <c r="M637" t="s">
        <v>6100</v>
      </c>
      <c r="N637">
        <v>5</v>
      </c>
      <c r="O637" t="s">
        <v>6101</v>
      </c>
      <c r="P637" t="s">
        <v>6108</v>
      </c>
      <c r="Q637">
        <v>2</v>
      </c>
      <c r="R637">
        <v>2026</v>
      </c>
      <c r="S637" t="s">
        <v>6100</v>
      </c>
      <c r="T637">
        <v>0</v>
      </c>
      <c r="U637" t="s">
        <v>6021</v>
      </c>
      <c r="V637">
        <v>1</v>
      </c>
    </row>
    <row r="638" spans="1:22" x14ac:dyDescent="0.3">
      <c r="A638" t="s">
        <v>653</v>
      </c>
      <c r="B638" s="2">
        <v>46055.538194444445</v>
      </c>
      <c r="C638" s="2">
        <v>46056.709027777775</v>
      </c>
      <c r="D638" t="s">
        <v>6023</v>
      </c>
      <c r="E638" t="s">
        <v>6032</v>
      </c>
      <c r="F638" t="s">
        <v>6033</v>
      </c>
      <c r="G638" t="s">
        <v>6094</v>
      </c>
      <c r="H638" t="s">
        <v>6098</v>
      </c>
      <c r="I638">
        <v>72</v>
      </c>
      <c r="J638">
        <v>28.1</v>
      </c>
      <c r="K638" t="s">
        <v>6099</v>
      </c>
      <c r="L638" t="s">
        <v>6100</v>
      </c>
      <c r="M638" t="s">
        <v>6100</v>
      </c>
      <c r="N638">
        <v>5</v>
      </c>
      <c r="O638" t="s">
        <v>6101</v>
      </c>
      <c r="P638" t="s">
        <v>6108</v>
      </c>
      <c r="Q638">
        <v>2</v>
      </c>
      <c r="R638">
        <v>2026</v>
      </c>
      <c r="S638" t="s">
        <v>6099</v>
      </c>
      <c r="T638">
        <v>1</v>
      </c>
      <c r="U638" t="s">
        <v>6019</v>
      </c>
      <c r="V638">
        <v>1</v>
      </c>
    </row>
    <row r="639" spans="1:22" x14ac:dyDescent="0.3">
      <c r="A639" t="s">
        <v>654</v>
      </c>
      <c r="B639" s="2">
        <v>46055.55</v>
      </c>
      <c r="C639" s="2">
        <v>46055.775000000001</v>
      </c>
      <c r="D639" t="s">
        <v>6028</v>
      </c>
      <c r="E639" t="s">
        <v>6030</v>
      </c>
      <c r="F639" t="s">
        <v>6034</v>
      </c>
      <c r="G639" t="s">
        <v>6083</v>
      </c>
      <c r="H639" t="s">
        <v>6096</v>
      </c>
      <c r="I639">
        <v>24</v>
      </c>
      <c r="J639">
        <v>5.4</v>
      </c>
      <c r="K639" t="s">
        <v>6099</v>
      </c>
      <c r="L639" t="s">
        <v>6100</v>
      </c>
      <c r="M639" t="s">
        <v>6100</v>
      </c>
      <c r="O639" t="s">
        <v>6101</v>
      </c>
      <c r="P639" t="s">
        <v>6108</v>
      </c>
      <c r="Q639">
        <v>2</v>
      </c>
      <c r="R639">
        <v>2026</v>
      </c>
      <c r="S639" t="s">
        <v>6099</v>
      </c>
      <c r="T639">
        <v>1</v>
      </c>
      <c r="U639" t="s">
        <v>6019</v>
      </c>
      <c r="V639">
        <v>1</v>
      </c>
    </row>
    <row r="640" spans="1:22" x14ac:dyDescent="0.3">
      <c r="A640" t="s">
        <v>655</v>
      </c>
      <c r="B640" s="2">
        <v>46055.598611111112</v>
      </c>
      <c r="C640" s="2">
        <v>46062.048611111109</v>
      </c>
      <c r="D640" t="s">
        <v>6027</v>
      </c>
      <c r="E640" t="s">
        <v>6031</v>
      </c>
      <c r="F640" t="s">
        <v>6034</v>
      </c>
      <c r="G640" t="s">
        <v>6075</v>
      </c>
      <c r="H640" t="s">
        <v>6097</v>
      </c>
      <c r="I640">
        <v>24</v>
      </c>
      <c r="J640">
        <v>154.80000000000001</v>
      </c>
      <c r="K640" t="s">
        <v>6099</v>
      </c>
      <c r="L640" t="s">
        <v>6100</v>
      </c>
      <c r="M640" t="s">
        <v>6100</v>
      </c>
      <c r="N640">
        <v>4</v>
      </c>
      <c r="O640" t="s">
        <v>6101</v>
      </c>
      <c r="P640" t="s">
        <v>6108</v>
      </c>
      <c r="Q640">
        <v>2</v>
      </c>
      <c r="R640">
        <v>2026</v>
      </c>
      <c r="S640" t="s">
        <v>6100</v>
      </c>
      <c r="T640">
        <v>0</v>
      </c>
      <c r="U640" t="s">
        <v>6019</v>
      </c>
      <c r="V640">
        <v>1</v>
      </c>
    </row>
    <row r="641" spans="1:22" x14ac:dyDescent="0.3">
      <c r="A641" t="s">
        <v>656</v>
      </c>
      <c r="B641" s="2">
        <v>46055.598611111112</v>
      </c>
      <c r="C641" s="2">
        <v>46056.227777777778</v>
      </c>
      <c r="D641" t="s">
        <v>6025</v>
      </c>
      <c r="E641" t="s">
        <v>6029</v>
      </c>
      <c r="F641" t="s">
        <v>6033</v>
      </c>
      <c r="G641" t="s">
        <v>6060</v>
      </c>
      <c r="H641" t="s">
        <v>6097</v>
      </c>
      <c r="I641">
        <v>72</v>
      </c>
      <c r="J641">
        <v>15.1</v>
      </c>
      <c r="K641" t="s">
        <v>6099</v>
      </c>
      <c r="L641" t="s">
        <v>6100</v>
      </c>
      <c r="M641" t="s">
        <v>6100</v>
      </c>
      <c r="N641">
        <v>4</v>
      </c>
      <c r="O641" t="s">
        <v>6101</v>
      </c>
      <c r="P641" t="s">
        <v>6108</v>
      </c>
      <c r="Q641">
        <v>2</v>
      </c>
      <c r="R641">
        <v>2026</v>
      </c>
      <c r="S641" t="s">
        <v>6099</v>
      </c>
      <c r="T641">
        <v>1</v>
      </c>
      <c r="U641" t="s">
        <v>6019</v>
      </c>
      <c r="V641">
        <v>1</v>
      </c>
    </row>
    <row r="642" spans="1:22" x14ac:dyDescent="0.3">
      <c r="A642" t="s">
        <v>657</v>
      </c>
      <c r="B642" s="2">
        <v>46055.62777777778</v>
      </c>
      <c r="C642" s="2">
        <v>46056.302777777775</v>
      </c>
      <c r="D642" t="s">
        <v>6026</v>
      </c>
      <c r="E642" t="s">
        <v>6030</v>
      </c>
      <c r="F642" t="s">
        <v>6035</v>
      </c>
      <c r="G642" t="s">
        <v>6095</v>
      </c>
      <c r="H642" t="s">
        <v>6098</v>
      </c>
      <c r="I642">
        <v>4</v>
      </c>
      <c r="J642">
        <v>16.2</v>
      </c>
      <c r="K642" t="s">
        <v>6099</v>
      </c>
      <c r="L642" t="s">
        <v>6100</v>
      </c>
      <c r="M642" t="s">
        <v>6100</v>
      </c>
      <c r="O642" t="s">
        <v>6101</v>
      </c>
      <c r="P642" t="s">
        <v>6108</v>
      </c>
      <c r="Q642">
        <v>2</v>
      </c>
      <c r="R642">
        <v>2026</v>
      </c>
      <c r="S642" t="s">
        <v>6100</v>
      </c>
      <c r="T642">
        <v>0</v>
      </c>
      <c r="U642" t="s">
        <v>6021</v>
      </c>
      <c r="V642">
        <v>1</v>
      </c>
    </row>
    <row r="643" spans="1:22" x14ac:dyDescent="0.3">
      <c r="A643" t="s">
        <v>658</v>
      </c>
      <c r="B643" s="2">
        <v>46055.636805555558</v>
      </c>
      <c r="C643" s="2">
        <v>46055.949305555558</v>
      </c>
      <c r="D643" t="s">
        <v>6022</v>
      </c>
      <c r="E643" t="s">
        <v>6029</v>
      </c>
      <c r="F643" t="s">
        <v>6033</v>
      </c>
      <c r="G643" t="s">
        <v>6061</v>
      </c>
      <c r="H643" t="s">
        <v>6096</v>
      </c>
      <c r="I643">
        <v>72</v>
      </c>
      <c r="J643">
        <v>7.5</v>
      </c>
      <c r="K643" t="s">
        <v>6099</v>
      </c>
      <c r="L643" t="s">
        <v>6100</v>
      </c>
      <c r="M643" t="s">
        <v>6100</v>
      </c>
      <c r="N643">
        <v>5</v>
      </c>
      <c r="O643" t="s">
        <v>6101</v>
      </c>
      <c r="P643" t="s">
        <v>6108</v>
      </c>
      <c r="Q643">
        <v>2</v>
      </c>
      <c r="R643">
        <v>2026</v>
      </c>
      <c r="S643" t="s">
        <v>6099</v>
      </c>
      <c r="T643">
        <v>1</v>
      </c>
      <c r="U643" t="s">
        <v>6020</v>
      </c>
      <c r="V643">
        <v>1</v>
      </c>
    </row>
    <row r="644" spans="1:22" x14ac:dyDescent="0.3">
      <c r="A644" t="s">
        <v>659</v>
      </c>
      <c r="B644" s="2">
        <v>46055.650694444441</v>
      </c>
      <c r="C644" s="2">
        <v>46057.642361111109</v>
      </c>
      <c r="D644" t="s">
        <v>6026</v>
      </c>
      <c r="E644" t="s">
        <v>6031</v>
      </c>
      <c r="F644" t="s">
        <v>6033</v>
      </c>
      <c r="G644" t="s">
        <v>6046</v>
      </c>
      <c r="H644" t="s">
        <v>6098</v>
      </c>
      <c r="I644">
        <v>72</v>
      </c>
      <c r="J644">
        <v>47.8</v>
      </c>
      <c r="K644" t="s">
        <v>6099</v>
      </c>
      <c r="L644" t="s">
        <v>6100</v>
      </c>
      <c r="M644" t="s">
        <v>6100</v>
      </c>
      <c r="N644">
        <v>4</v>
      </c>
      <c r="O644" t="s">
        <v>6101</v>
      </c>
      <c r="P644" t="s">
        <v>6108</v>
      </c>
      <c r="Q644">
        <v>2</v>
      </c>
      <c r="R644">
        <v>2026</v>
      </c>
      <c r="S644" t="s">
        <v>6099</v>
      </c>
      <c r="T644">
        <v>1</v>
      </c>
      <c r="U644" t="s">
        <v>6017</v>
      </c>
      <c r="V644">
        <v>1</v>
      </c>
    </row>
    <row r="645" spans="1:22" x14ac:dyDescent="0.3">
      <c r="A645" t="s">
        <v>660</v>
      </c>
      <c r="B645" s="2">
        <v>46055.671527777777</v>
      </c>
      <c r="C645" s="2">
        <v>46056.09652777778</v>
      </c>
      <c r="D645" t="s">
        <v>6028</v>
      </c>
      <c r="E645" t="s">
        <v>6029</v>
      </c>
      <c r="F645" t="s">
        <v>6034</v>
      </c>
      <c r="G645" t="s">
        <v>6095</v>
      </c>
      <c r="H645" t="s">
        <v>6098</v>
      </c>
      <c r="I645">
        <v>24</v>
      </c>
      <c r="J645">
        <v>10.199999999999999</v>
      </c>
      <c r="K645" t="s">
        <v>6100</v>
      </c>
      <c r="L645" t="s">
        <v>6099</v>
      </c>
      <c r="M645" t="s">
        <v>6100</v>
      </c>
      <c r="O645" t="s">
        <v>6101</v>
      </c>
      <c r="P645" t="s">
        <v>6108</v>
      </c>
      <c r="Q645">
        <v>2</v>
      </c>
      <c r="R645">
        <v>2026</v>
      </c>
      <c r="S645" t="s">
        <v>6099</v>
      </c>
      <c r="T645">
        <v>1</v>
      </c>
      <c r="U645" t="s">
        <v>6021</v>
      </c>
      <c r="V645">
        <v>0</v>
      </c>
    </row>
    <row r="646" spans="1:22" x14ac:dyDescent="0.3">
      <c r="A646" t="s">
        <v>661</v>
      </c>
      <c r="B646" s="2">
        <v>46055.67291666667</v>
      </c>
      <c r="C646" s="2">
        <v>46055.947916666664</v>
      </c>
      <c r="D646" t="s">
        <v>6023</v>
      </c>
      <c r="E646" t="s">
        <v>6029</v>
      </c>
      <c r="F646" t="s">
        <v>6033</v>
      </c>
      <c r="G646" t="s">
        <v>6053</v>
      </c>
      <c r="H646" t="s">
        <v>6097</v>
      </c>
      <c r="I646">
        <v>72</v>
      </c>
      <c r="J646">
        <v>6.6</v>
      </c>
      <c r="K646" t="s">
        <v>6099</v>
      </c>
      <c r="L646" t="s">
        <v>6100</v>
      </c>
      <c r="M646" t="s">
        <v>6100</v>
      </c>
      <c r="O646" t="s">
        <v>6101</v>
      </c>
      <c r="P646" t="s">
        <v>6108</v>
      </c>
      <c r="Q646">
        <v>2</v>
      </c>
      <c r="R646">
        <v>2026</v>
      </c>
      <c r="S646" t="s">
        <v>6099</v>
      </c>
      <c r="T646">
        <v>1</v>
      </c>
      <c r="U646" t="s">
        <v>6017</v>
      </c>
      <c r="V646">
        <v>1</v>
      </c>
    </row>
    <row r="647" spans="1:22" x14ac:dyDescent="0.3">
      <c r="A647" t="s">
        <v>662</v>
      </c>
      <c r="B647" s="2">
        <v>46055.693055555559</v>
      </c>
      <c r="C647" s="2">
        <v>46055.863888888889</v>
      </c>
      <c r="D647" t="s">
        <v>6023</v>
      </c>
      <c r="E647" t="s">
        <v>6029</v>
      </c>
      <c r="F647" t="s">
        <v>6033</v>
      </c>
      <c r="G647" t="s">
        <v>6086</v>
      </c>
      <c r="H647" t="s">
        <v>6098</v>
      </c>
      <c r="I647">
        <v>72</v>
      </c>
      <c r="J647">
        <v>4.0999999999999996</v>
      </c>
      <c r="K647" t="s">
        <v>6099</v>
      </c>
      <c r="L647" t="s">
        <v>6100</v>
      </c>
      <c r="M647" t="s">
        <v>6100</v>
      </c>
      <c r="N647">
        <v>5</v>
      </c>
      <c r="O647" t="s">
        <v>6101</v>
      </c>
      <c r="P647" t="s">
        <v>6108</v>
      </c>
      <c r="Q647">
        <v>2</v>
      </c>
      <c r="R647">
        <v>2026</v>
      </c>
      <c r="S647" t="s">
        <v>6099</v>
      </c>
      <c r="T647">
        <v>1</v>
      </c>
      <c r="U647" t="s">
        <v>6020</v>
      </c>
      <c r="V647">
        <v>1</v>
      </c>
    </row>
    <row r="648" spans="1:22" x14ac:dyDescent="0.3">
      <c r="A648" t="s">
        <v>663</v>
      </c>
      <c r="B648" s="2">
        <v>46055.717361111114</v>
      </c>
      <c r="C648" s="2">
        <v>46055.834027777775</v>
      </c>
      <c r="D648" t="s">
        <v>6023</v>
      </c>
      <c r="E648" t="s">
        <v>6029</v>
      </c>
      <c r="F648" t="s">
        <v>6034</v>
      </c>
      <c r="G648" t="s">
        <v>6039</v>
      </c>
      <c r="H648" t="s">
        <v>6097</v>
      </c>
      <c r="I648">
        <v>24</v>
      </c>
      <c r="J648">
        <v>2.8</v>
      </c>
      <c r="K648" t="s">
        <v>6099</v>
      </c>
      <c r="L648" t="s">
        <v>6100</v>
      </c>
      <c r="M648" t="s">
        <v>6099</v>
      </c>
      <c r="O648" t="s">
        <v>6101</v>
      </c>
      <c r="P648" t="s">
        <v>6108</v>
      </c>
      <c r="Q648">
        <v>2</v>
      </c>
      <c r="R648">
        <v>2026</v>
      </c>
      <c r="S648" t="s">
        <v>6099</v>
      </c>
      <c r="T648">
        <v>1</v>
      </c>
      <c r="U648" t="s">
        <v>6021</v>
      </c>
      <c r="V648">
        <v>1</v>
      </c>
    </row>
    <row r="649" spans="1:22" x14ac:dyDescent="0.3">
      <c r="A649" t="s">
        <v>664</v>
      </c>
      <c r="B649" s="2">
        <v>46055.818055555559</v>
      </c>
      <c r="C649" s="2">
        <v>46057.463888888888</v>
      </c>
      <c r="D649" t="s">
        <v>6022</v>
      </c>
      <c r="E649" t="s">
        <v>6032</v>
      </c>
      <c r="F649" t="s">
        <v>6034</v>
      </c>
      <c r="G649" t="s">
        <v>6074</v>
      </c>
      <c r="H649" t="s">
        <v>6098</v>
      </c>
      <c r="I649">
        <v>24</v>
      </c>
      <c r="J649">
        <v>39.5</v>
      </c>
      <c r="K649" t="s">
        <v>6100</v>
      </c>
      <c r="L649" t="s">
        <v>6100</v>
      </c>
      <c r="M649" t="s">
        <v>6100</v>
      </c>
      <c r="N649">
        <v>4</v>
      </c>
      <c r="O649" t="s">
        <v>6101</v>
      </c>
      <c r="P649" t="s">
        <v>6108</v>
      </c>
      <c r="Q649">
        <v>2</v>
      </c>
      <c r="R649">
        <v>2026</v>
      </c>
      <c r="S649" t="s">
        <v>6100</v>
      </c>
      <c r="T649">
        <v>0</v>
      </c>
      <c r="U649" t="s">
        <v>6019</v>
      </c>
      <c r="V649">
        <v>0</v>
      </c>
    </row>
    <row r="650" spans="1:22" x14ac:dyDescent="0.3">
      <c r="A650" t="s">
        <v>665</v>
      </c>
      <c r="B650" s="2">
        <v>46055.897222222222</v>
      </c>
      <c r="C650" s="2">
        <v>46056.418055555558</v>
      </c>
      <c r="D650" t="s">
        <v>6022</v>
      </c>
      <c r="E650" t="s">
        <v>6029</v>
      </c>
      <c r="F650" t="s">
        <v>6034</v>
      </c>
      <c r="G650" t="s">
        <v>6049</v>
      </c>
      <c r="H650" t="s">
        <v>6097</v>
      </c>
      <c r="I650">
        <v>24</v>
      </c>
      <c r="J650">
        <v>12.5</v>
      </c>
      <c r="K650" t="s">
        <v>6099</v>
      </c>
      <c r="L650" t="s">
        <v>6100</v>
      </c>
      <c r="M650" t="s">
        <v>6100</v>
      </c>
      <c r="N650">
        <v>3</v>
      </c>
      <c r="O650" t="s">
        <v>6101</v>
      </c>
      <c r="P650" t="s">
        <v>6108</v>
      </c>
      <c r="Q650">
        <v>2</v>
      </c>
      <c r="R650">
        <v>2026</v>
      </c>
      <c r="S650" t="s">
        <v>6099</v>
      </c>
      <c r="T650">
        <v>1</v>
      </c>
      <c r="U650" t="s">
        <v>6019</v>
      </c>
      <c r="V650">
        <v>1</v>
      </c>
    </row>
    <row r="651" spans="1:22" x14ac:dyDescent="0.3">
      <c r="A651" t="s">
        <v>666</v>
      </c>
      <c r="B651" s="2">
        <v>46056.100694444445</v>
      </c>
      <c r="C651" s="2">
        <v>46056.246527777781</v>
      </c>
      <c r="D651" t="s">
        <v>6028</v>
      </c>
      <c r="E651" t="s">
        <v>6029</v>
      </c>
      <c r="F651" t="s">
        <v>6033</v>
      </c>
      <c r="G651" t="s">
        <v>6042</v>
      </c>
      <c r="H651" t="s">
        <v>6098</v>
      </c>
      <c r="I651">
        <v>72</v>
      </c>
      <c r="J651">
        <v>3.5</v>
      </c>
      <c r="K651" t="s">
        <v>6099</v>
      </c>
      <c r="L651" t="s">
        <v>6100</v>
      </c>
      <c r="M651" t="s">
        <v>6100</v>
      </c>
      <c r="N651">
        <v>5</v>
      </c>
      <c r="O651" t="s">
        <v>6101</v>
      </c>
      <c r="P651" t="s">
        <v>6108</v>
      </c>
      <c r="Q651">
        <v>2</v>
      </c>
      <c r="R651">
        <v>2026</v>
      </c>
      <c r="S651" t="s">
        <v>6099</v>
      </c>
      <c r="T651">
        <v>1</v>
      </c>
      <c r="U651" t="s">
        <v>6017</v>
      </c>
      <c r="V651">
        <v>1</v>
      </c>
    </row>
    <row r="652" spans="1:22" x14ac:dyDescent="0.3">
      <c r="A652" t="s">
        <v>667</v>
      </c>
      <c r="B652" s="2">
        <v>46056.19027777778</v>
      </c>
      <c r="C652" s="2">
        <v>46056.106944444444</v>
      </c>
      <c r="D652" t="s">
        <v>6025</v>
      </c>
      <c r="E652" t="s">
        <v>6031</v>
      </c>
      <c r="F652" t="s">
        <v>6035</v>
      </c>
      <c r="G652" t="s">
        <v>6058</v>
      </c>
      <c r="H652" t="s">
        <v>6098</v>
      </c>
      <c r="I652">
        <v>4</v>
      </c>
      <c r="J652">
        <v>44.9</v>
      </c>
      <c r="K652" t="s">
        <v>6099</v>
      </c>
      <c r="L652" t="s">
        <v>6100</v>
      </c>
      <c r="M652" t="s">
        <v>6100</v>
      </c>
      <c r="N652">
        <v>3</v>
      </c>
      <c r="O652" t="s">
        <v>6101</v>
      </c>
      <c r="P652" t="s">
        <v>6108</v>
      </c>
      <c r="Q652">
        <v>2</v>
      </c>
      <c r="R652">
        <v>2026</v>
      </c>
      <c r="S652" t="s">
        <v>6100</v>
      </c>
      <c r="T652">
        <v>0</v>
      </c>
      <c r="U652" t="s">
        <v>6019</v>
      </c>
      <c r="V652">
        <v>1</v>
      </c>
    </row>
    <row r="653" spans="1:22" x14ac:dyDescent="0.3">
      <c r="A653" t="s">
        <v>668</v>
      </c>
      <c r="B653" s="2">
        <v>46056.212500000001</v>
      </c>
      <c r="C653" s="2">
        <v>46056.433333333334</v>
      </c>
      <c r="D653" t="s">
        <v>6024</v>
      </c>
      <c r="E653" t="s">
        <v>6030</v>
      </c>
      <c r="F653" t="s">
        <v>6035</v>
      </c>
      <c r="G653" t="s">
        <v>6046</v>
      </c>
      <c r="H653" t="s">
        <v>6098</v>
      </c>
      <c r="I653">
        <v>4</v>
      </c>
      <c r="J653">
        <v>5.3</v>
      </c>
      <c r="K653" t="s">
        <v>6099</v>
      </c>
      <c r="L653" t="s">
        <v>6100</v>
      </c>
      <c r="M653" t="s">
        <v>6100</v>
      </c>
      <c r="N653">
        <v>5</v>
      </c>
      <c r="O653" t="s">
        <v>6101</v>
      </c>
      <c r="P653" t="s">
        <v>6108</v>
      </c>
      <c r="Q653">
        <v>2</v>
      </c>
      <c r="R653">
        <v>2026</v>
      </c>
      <c r="S653" t="s">
        <v>6100</v>
      </c>
      <c r="T653">
        <v>0</v>
      </c>
      <c r="U653" t="s">
        <v>6018</v>
      </c>
      <c r="V653">
        <v>1</v>
      </c>
    </row>
    <row r="654" spans="1:22" x14ac:dyDescent="0.3">
      <c r="A654" t="s">
        <v>669</v>
      </c>
      <c r="B654" s="2">
        <v>46056.280555555553</v>
      </c>
      <c r="C654" s="2">
        <v>46054.488888888889</v>
      </c>
      <c r="D654" t="s">
        <v>6027</v>
      </c>
      <c r="E654" t="s">
        <v>6030</v>
      </c>
      <c r="F654" t="s">
        <v>6034</v>
      </c>
      <c r="G654" t="s">
        <v>6036</v>
      </c>
      <c r="H654" t="s">
        <v>6096</v>
      </c>
      <c r="I654">
        <v>24</v>
      </c>
      <c r="J654">
        <v>9.4</v>
      </c>
      <c r="K654" t="s">
        <v>6099</v>
      </c>
      <c r="L654" t="s">
        <v>6100</v>
      </c>
      <c r="M654" t="s">
        <v>6100</v>
      </c>
      <c r="O654" t="s">
        <v>6101</v>
      </c>
      <c r="P654" t="s">
        <v>6108</v>
      </c>
      <c r="Q654">
        <v>2</v>
      </c>
      <c r="R654">
        <v>2026</v>
      </c>
      <c r="S654" t="s">
        <v>6099</v>
      </c>
      <c r="T654">
        <v>1</v>
      </c>
      <c r="U654" t="s">
        <v>6020</v>
      </c>
      <c r="V654">
        <v>1</v>
      </c>
    </row>
    <row r="655" spans="1:22" x14ac:dyDescent="0.3">
      <c r="A655" t="s">
        <v>670</v>
      </c>
      <c r="B655" s="2">
        <v>46056.301388888889</v>
      </c>
      <c r="C655" s="2">
        <v>46056.438888888886</v>
      </c>
      <c r="D655" t="s">
        <v>6028</v>
      </c>
      <c r="E655" t="s">
        <v>6030</v>
      </c>
      <c r="F655" t="s">
        <v>6035</v>
      </c>
      <c r="G655" t="s">
        <v>6093</v>
      </c>
      <c r="H655" t="s">
        <v>6097</v>
      </c>
      <c r="I655">
        <v>4</v>
      </c>
      <c r="J655">
        <v>3.3</v>
      </c>
      <c r="K655" t="s">
        <v>6099</v>
      </c>
      <c r="L655" t="s">
        <v>6100</v>
      </c>
      <c r="M655" t="s">
        <v>6100</v>
      </c>
      <c r="N655">
        <v>4</v>
      </c>
      <c r="O655" t="s">
        <v>6101</v>
      </c>
      <c r="P655" t="s">
        <v>6108</v>
      </c>
      <c r="Q655">
        <v>2</v>
      </c>
      <c r="R655">
        <v>2026</v>
      </c>
      <c r="S655" t="s">
        <v>6099</v>
      </c>
      <c r="T655">
        <v>1</v>
      </c>
      <c r="U655" t="s">
        <v>6018</v>
      </c>
      <c r="V655">
        <v>1</v>
      </c>
    </row>
    <row r="656" spans="1:22" x14ac:dyDescent="0.3">
      <c r="A656" t="s">
        <v>671</v>
      </c>
      <c r="B656" s="2">
        <v>46056.353472222225</v>
      </c>
      <c r="C656" s="2">
        <v>46056.607638888891</v>
      </c>
      <c r="D656" t="s">
        <v>6028</v>
      </c>
      <c r="E656" t="s">
        <v>6029</v>
      </c>
      <c r="F656" t="s">
        <v>6034</v>
      </c>
      <c r="G656" t="s">
        <v>6056</v>
      </c>
      <c r="H656" t="s">
        <v>6098</v>
      </c>
      <c r="I656">
        <v>24</v>
      </c>
      <c r="J656">
        <v>6.1</v>
      </c>
      <c r="K656" t="s">
        <v>6099</v>
      </c>
      <c r="L656" t="s">
        <v>6100</v>
      </c>
      <c r="M656" t="s">
        <v>6100</v>
      </c>
      <c r="N656">
        <v>5</v>
      </c>
      <c r="O656" t="s">
        <v>6101</v>
      </c>
      <c r="P656" t="s">
        <v>6108</v>
      </c>
      <c r="Q656">
        <v>2</v>
      </c>
      <c r="R656">
        <v>2026</v>
      </c>
      <c r="S656" t="s">
        <v>6099</v>
      </c>
      <c r="T656">
        <v>1</v>
      </c>
      <c r="U656" t="s">
        <v>6018</v>
      </c>
      <c r="V656">
        <v>1</v>
      </c>
    </row>
    <row r="657" spans="1:22" x14ac:dyDescent="0.3">
      <c r="A657" t="s">
        <v>672</v>
      </c>
      <c r="B657" s="2">
        <v>46056.39166666667</v>
      </c>
      <c r="C657" s="2">
        <v>46056.716666666667</v>
      </c>
      <c r="D657" t="s">
        <v>6027</v>
      </c>
      <c r="E657" t="s">
        <v>6029</v>
      </c>
      <c r="F657" t="s">
        <v>6034</v>
      </c>
      <c r="G657" t="s">
        <v>6058</v>
      </c>
      <c r="H657" t="s">
        <v>6098</v>
      </c>
      <c r="I657">
        <v>24</v>
      </c>
      <c r="J657">
        <v>7.8</v>
      </c>
      <c r="K657" t="s">
        <v>6099</v>
      </c>
      <c r="L657" t="s">
        <v>6100</v>
      </c>
      <c r="M657" t="s">
        <v>6100</v>
      </c>
      <c r="N657">
        <v>4</v>
      </c>
      <c r="O657" t="s">
        <v>6101</v>
      </c>
      <c r="P657" t="s">
        <v>6108</v>
      </c>
      <c r="Q657">
        <v>2</v>
      </c>
      <c r="R657">
        <v>2026</v>
      </c>
      <c r="S657" t="s">
        <v>6099</v>
      </c>
      <c r="T657">
        <v>1</v>
      </c>
      <c r="U657" t="s">
        <v>6019</v>
      </c>
      <c r="V657">
        <v>1</v>
      </c>
    </row>
    <row r="658" spans="1:22" x14ac:dyDescent="0.3">
      <c r="A658" t="s">
        <v>673</v>
      </c>
      <c r="B658" s="2">
        <v>46056.399305555555</v>
      </c>
      <c r="C658" s="2">
        <v>46056.636805555558</v>
      </c>
      <c r="D658" t="s">
        <v>6022</v>
      </c>
      <c r="E658" t="s">
        <v>6030</v>
      </c>
      <c r="F658" t="s">
        <v>6033</v>
      </c>
      <c r="G658" t="s">
        <v>6036</v>
      </c>
      <c r="H658" t="s">
        <v>6096</v>
      </c>
      <c r="I658">
        <v>72</v>
      </c>
      <c r="J658">
        <v>5.7</v>
      </c>
      <c r="K658" t="s">
        <v>6100</v>
      </c>
      <c r="L658" t="s">
        <v>6099</v>
      </c>
      <c r="M658" t="s">
        <v>6100</v>
      </c>
      <c r="N658">
        <v>3</v>
      </c>
      <c r="O658" t="s">
        <v>6101</v>
      </c>
      <c r="P658" t="s">
        <v>6108</v>
      </c>
      <c r="Q658">
        <v>2</v>
      </c>
      <c r="R658">
        <v>2026</v>
      </c>
      <c r="S658" t="s">
        <v>6099</v>
      </c>
      <c r="T658">
        <v>1</v>
      </c>
      <c r="U658" t="s">
        <v>6019</v>
      </c>
      <c r="V658">
        <v>0</v>
      </c>
    </row>
    <row r="659" spans="1:22" x14ac:dyDescent="0.3">
      <c r="A659" t="s">
        <v>674</v>
      </c>
      <c r="B659" s="2">
        <v>46056.429166666669</v>
      </c>
      <c r="C659" s="2">
        <v>46056.95</v>
      </c>
      <c r="D659" t="s">
        <v>6028</v>
      </c>
      <c r="E659" t="s">
        <v>6031</v>
      </c>
      <c r="F659" t="s">
        <v>6033</v>
      </c>
      <c r="G659" t="s">
        <v>6071</v>
      </c>
      <c r="H659" t="s">
        <v>6098</v>
      </c>
      <c r="I659">
        <v>72</v>
      </c>
      <c r="J659">
        <v>12.5</v>
      </c>
      <c r="K659" t="s">
        <v>6099</v>
      </c>
      <c r="L659" t="s">
        <v>6100</v>
      </c>
      <c r="M659" t="s">
        <v>6100</v>
      </c>
      <c r="N659">
        <v>5</v>
      </c>
      <c r="O659" t="s">
        <v>6101</v>
      </c>
      <c r="P659" t="s">
        <v>6108</v>
      </c>
      <c r="Q659">
        <v>2</v>
      </c>
      <c r="R659">
        <v>2026</v>
      </c>
      <c r="S659" t="s">
        <v>6099</v>
      </c>
      <c r="T659">
        <v>1</v>
      </c>
      <c r="U659" t="s">
        <v>6018</v>
      </c>
      <c r="V659">
        <v>1</v>
      </c>
    </row>
    <row r="660" spans="1:22" x14ac:dyDescent="0.3">
      <c r="A660" t="s">
        <v>675</v>
      </c>
      <c r="B660" s="2">
        <v>46056.443749999999</v>
      </c>
      <c r="C660" s="2">
        <v>46059.222916666666</v>
      </c>
      <c r="D660" t="s">
        <v>6025</v>
      </c>
      <c r="E660" t="s">
        <v>6031</v>
      </c>
      <c r="F660" t="s">
        <v>6033</v>
      </c>
      <c r="G660" t="s">
        <v>6043</v>
      </c>
      <c r="H660" t="s">
        <v>6097</v>
      </c>
      <c r="I660">
        <v>72</v>
      </c>
      <c r="J660">
        <v>66.7</v>
      </c>
      <c r="K660" t="s">
        <v>6099</v>
      </c>
      <c r="L660" t="s">
        <v>6100</v>
      </c>
      <c r="M660" t="s">
        <v>6100</v>
      </c>
      <c r="O660" t="s">
        <v>6101</v>
      </c>
      <c r="P660" t="s">
        <v>6108</v>
      </c>
      <c r="Q660">
        <v>2</v>
      </c>
      <c r="R660">
        <v>2026</v>
      </c>
      <c r="S660" t="s">
        <v>6099</v>
      </c>
      <c r="T660">
        <v>1</v>
      </c>
      <c r="U660" t="s">
        <v>6019</v>
      </c>
      <c r="V660">
        <v>1</v>
      </c>
    </row>
    <row r="661" spans="1:22" x14ac:dyDescent="0.3">
      <c r="A661" t="s">
        <v>676</v>
      </c>
      <c r="B661" s="2">
        <v>46056.492361111108</v>
      </c>
      <c r="C661" s="2">
        <v>46057.225694444445</v>
      </c>
      <c r="D661" t="s">
        <v>6028</v>
      </c>
      <c r="E661" t="s">
        <v>6029</v>
      </c>
      <c r="F661" t="s">
        <v>6035</v>
      </c>
      <c r="G661" t="s">
        <v>6079</v>
      </c>
      <c r="H661" t="s">
        <v>6097</v>
      </c>
      <c r="I661">
        <v>4</v>
      </c>
      <c r="J661">
        <v>17.600000000000001</v>
      </c>
      <c r="K661" t="s">
        <v>6099</v>
      </c>
      <c r="L661" t="s">
        <v>6100</v>
      </c>
      <c r="M661" t="s">
        <v>6099</v>
      </c>
      <c r="O661" t="s">
        <v>6101</v>
      </c>
      <c r="P661" t="s">
        <v>6108</v>
      </c>
      <c r="Q661">
        <v>2</v>
      </c>
      <c r="R661">
        <v>2026</v>
      </c>
      <c r="S661" t="s">
        <v>6100</v>
      </c>
      <c r="T661">
        <v>0</v>
      </c>
      <c r="U661" t="s">
        <v>6018</v>
      </c>
      <c r="V661">
        <v>1</v>
      </c>
    </row>
    <row r="662" spans="1:22" x14ac:dyDescent="0.3">
      <c r="A662" t="s">
        <v>677</v>
      </c>
      <c r="B662" s="2">
        <v>46056.493750000001</v>
      </c>
      <c r="C662" s="2">
        <v>46057.15625</v>
      </c>
      <c r="D662" t="s">
        <v>6025</v>
      </c>
      <c r="E662" t="s">
        <v>6032</v>
      </c>
      <c r="F662" t="s">
        <v>6034</v>
      </c>
      <c r="G662" t="s">
        <v>6045</v>
      </c>
      <c r="H662" t="s">
        <v>6096</v>
      </c>
      <c r="I662">
        <v>24</v>
      </c>
      <c r="J662">
        <v>15.9</v>
      </c>
      <c r="K662" t="s">
        <v>6099</v>
      </c>
      <c r="L662" t="s">
        <v>6100</v>
      </c>
      <c r="M662" t="s">
        <v>6099</v>
      </c>
      <c r="O662" t="s">
        <v>6101</v>
      </c>
      <c r="P662" t="s">
        <v>6108</v>
      </c>
      <c r="Q662">
        <v>2</v>
      </c>
      <c r="R662">
        <v>2026</v>
      </c>
      <c r="S662" t="s">
        <v>6099</v>
      </c>
      <c r="T662">
        <v>1</v>
      </c>
      <c r="U662" t="s">
        <v>6021</v>
      </c>
      <c r="V662">
        <v>1</v>
      </c>
    </row>
    <row r="663" spans="1:22" x14ac:dyDescent="0.3">
      <c r="A663" t="s">
        <v>678</v>
      </c>
      <c r="B663" s="2">
        <v>46056.515972222223</v>
      </c>
      <c r="C663" s="2">
        <v>46056.865972222222</v>
      </c>
      <c r="D663" t="s">
        <v>6023</v>
      </c>
      <c r="E663" t="s">
        <v>6029</v>
      </c>
      <c r="F663" t="s">
        <v>6035</v>
      </c>
      <c r="G663" t="s">
        <v>6073</v>
      </c>
      <c r="H663" t="s">
        <v>6096</v>
      </c>
      <c r="I663">
        <v>4</v>
      </c>
      <c r="J663">
        <v>8.4</v>
      </c>
      <c r="K663" t="s">
        <v>6100</v>
      </c>
      <c r="L663" t="s">
        <v>6100</v>
      </c>
      <c r="M663" t="s">
        <v>6100</v>
      </c>
      <c r="N663">
        <v>4</v>
      </c>
      <c r="O663" t="s">
        <v>6101</v>
      </c>
      <c r="P663" t="s">
        <v>6108</v>
      </c>
      <c r="Q663">
        <v>2</v>
      </c>
      <c r="R663">
        <v>2026</v>
      </c>
      <c r="S663" t="s">
        <v>6100</v>
      </c>
      <c r="T663">
        <v>0</v>
      </c>
      <c r="U663" t="s">
        <v>6018</v>
      </c>
      <c r="V663">
        <v>0</v>
      </c>
    </row>
    <row r="664" spans="1:22" x14ac:dyDescent="0.3">
      <c r="A664" t="s">
        <v>679</v>
      </c>
      <c r="B664" s="2">
        <v>46056.518055555556</v>
      </c>
      <c r="C664" s="2">
        <v>46056.784722222219</v>
      </c>
      <c r="D664" t="s">
        <v>6023</v>
      </c>
      <c r="E664" t="s">
        <v>6029</v>
      </c>
      <c r="F664" t="s">
        <v>6033</v>
      </c>
      <c r="G664" t="s">
        <v>6041</v>
      </c>
      <c r="H664" t="s">
        <v>6096</v>
      </c>
      <c r="I664">
        <v>72</v>
      </c>
      <c r="J664">
        <v>6.4</v>
      </c>
      <c r="K664" t="s">
        <v>6099</v>
      </c>
      <c r="L664" t="s">
        <v>6100</v>
      </c>
      <c r="M664" t="s">
        <v>6100</v>
      </c>
      <c r="N664">
        <v>3</v>
      </c>
      <c r="O664" t="s">
        <v>6101</v>
      </c>
      <c r="P664" t="s">
        <v>6108</v>
      </c>
      <c r="Q664">
        <v>2</v>
      </c>
      <c r="R664">
        <v>2026</v>
      </c>
      <c r="S664" t="s">
        <v>6099</v>
      </c>
      <c r="T664">
        <v>1</v>
      </c>
      <c r="U664" t="s">
        <v>6019</v>
      </c>
      <c r="V664">
        <v>1</v>
      </c>
    </row>
    <row r="665" spans="1:22" x14ac:dyDescent="0.3">
      <c r="A665" t="s">
        <v>680</v>
      </c>
      <c r="B665" s="2">
        <v>46056.530555555553</v>
      </c>
      <c r="C665" s="2">
        <v>46059.293055555558</v>
      </c>
      <c r="D665" t="s">
        <v>6022</v>
      </c>
      <c r="E665" t="s">
        <v>6031</v>
      </c>
      <c r="F665" t="s">
        <v>6033</v>
      </c>
      <c r="G665" t="s">
        <v>6042</v>
      </c>
      <c r="H665" t="s">
        <v>6098</v>
      </c>
      <c r="I665">
        <v>72</v>
      </c>
      <c r="J665">
        <v>66.3</v>
      </c>
      <c r="K665" t="s">
        <v>6099</v>
      </c>
      <c r="L665" t="s">
        <v>6100</v>
      </c>
      <c r="M665" t="s">
        <v>6100</v>
      </c>
      <c r="O665" t="s">
        <v>6101</v>
      </c>
      <c r="P665" t="s">
        <v>6108</v>
      </c>
      <c r="Q665">
        <v>2</v>
      </c>
      <c r="R665">
        <v>2026</v>
      </c>
      <c r="S665" t="s">
        <v>6099</v>
      </c>
      <c r="T665">
        <v>1</v>
      </c>
      <c r="U665" t="s">
        <v>6019</v>
      </c>
      <c r="V665">
        <v>1</v>
      </c>
    </row>
    <row r="666" spans="1:22" x14ac:dyDescent="0.3">
      <c r="A666" t="s">
        <v>681</v>
      </c>
      <c r="B666" s="2">
        <v>46056.537499999999</v>
      </c>
      <c r="C666" s="2">
        <v>46057.429166666669</v>
      </c>
      <c r="D666" t="s">
        <v>6028</v>
      </c>
      <c r="E666" t="s">
        <v>6032</v>
      </c>
      <c r="F666" t="s">
        <v>6034</v>
      </c>
      <c r="G666" t="s">
        <v>6066</v>
      </c>
      <c r="H666" t="s">
        <v>6096</v>
      </c>
      <c r="I666">
        <v>24</v>
      </c>
      <c r="J666">
        <v>21.4</v>
      </c>
      <c r="K666" t="s">
        <v>6099</v>
      </c>
      <c r="L666" t="s">
        <v>6100</v>
      </c>
      <c r="M666" t="s">
        <v>6100</v>
      </c>
      <c r="O666" t="s">
        <v>6101</v>
      </c>
      <c r="P666" t="s">
        <v>6108</v>
      </c>
      <c r="Q666">
        <v>2</v>
      </c>
      <c r="R666">
        <v>2026</v>
      </c>
      <c r="S666" t="s">
        <v>6099</v>
      </c>
      <c r="T666">
        <v>1</v>
      </c>
      <c r="U666" t="s">
        <v>6019</v>
      </c>
      <c r="V666">
        <v>1</v>
      </c>
    </row>
    <row r="667" spans="1:22" x14ac:dyDescent="0.3">
      <c r="A667" t="s">
        <v>682</v>
      </c>
      <c r="B667" s="2">
        <v>46056.574999999997</v>
      </c>
      <c r="C667" s="2">
        <v>46057.087500000001</v>
      </c>
      <c r="D667" t="s">
        <v>6023</v>
      </c>
      <c r="E667" t="s">
        <v>6029</v>
      </c>
      <c r="F667" t="s">
        <v>6034</v>
      </c>
      <c r="G667" t="s">
        <v>6083</v>
      </c>
      <c r="H667" t="s">
        <v>6096</v>
      </c>
      <c r="I667">
        <v>24</v>
      </c>
      <c r="J667">
        <v>12.3</v>
      </c>
      <c r="K667" t="s">
        <v>6099</v>
      </c>
      <c r="L667" t="s">
        <v>6100</v>
      </c>
      <c r="M667" t="s">
        <v>6099</v>
      </c>
      <c r="N667">
        <v>5</v>
      </c>
      <c r="O667" t="s">
        <v>6101</v>
      </c>
      <c r="P667" t="s">
        <v>6108</v>
      </c>
      <c r="Q667">
        <v>2</v>
      </c>
      <c r="R667">
        <v>2026</v>
      </c>
      <c r="S667" t="s">
        <v>6099</v>
      </c>
      <c r="T667">
        <v>1</v>
      </c>
      <c r="U667" t="s">
        <v>6018</v>
      </c>
      <c r="V667">
        <v>1</v>
      </c>
    </row>
    <row r="668" spans="1:22" x14ac:dyDescent="0.3">
      <c r="A668" t="s">
        <v>683</v>
      </c>
      <c r="B668" s="2">
        <v>46056.598611111112</v>
      </c>
      <c r="C668" s="2">
        <v>46056.648611111108</v>
      </c>
      <c r="D668" t="s">
        <v>6022</v>
      </c>
      <c r="E668" t="s">
        <v>6030</v>
      </c>
      <c r="F668" t="s">
        <v>6034</v>
      </c>
      <c r="G668" t="s">
        <v>6087</v>
      </c>
      <c r="H668" t="s">
        <v>6098</v>
      </c>
      <c r="I668">
        <v>24</v>
      </c>
      <c r="J668">
        <v>1.2</v>
      </c>
      <c r="K668" t="s">
        <v>6099</v>
      </c>
      <c r="L668" t="s">
        <v>6100</v>
      </c>
      <c r="M668" t="s">
        <v>6099</v>
      </c>
      <c r="N668">
        <v>5</v>
      </c>
      <c r="O668" t="s">
        <v>6101</v>
      </c>
      <c r="P668" t="s">
        <v>6108</v>
      </c>
      <c r="Q668">
        <v>2</v>
      </c>
      <c r="R668">
        <v>2026</v>
      </c>
      <c r="S668" t="s">
        <v>6099</v>
      </c>
      <c r="T668">
        <v>1</v>
      </c>
      <c r="U668" t="s">
        <v>6021</v>
      </c>
      <c r="V668">
        <v>1</v>
      </c>
    </row>
    <row r="669" spans="1:22" x14ac:dyDescent="0.3">
      <c r="A669" t="s">
        <v>684</v>
      </c>
      <c r="B669" s="2">
        <v>46056.613194444442</v>
      </c>
      <c r="C669" s="2">
        <v>46057.142361111109</v>
      </c>
      <c r="D669" t="s">
        <v>6023</v>
      </c>
      <c r="E669" t="s">
        <v>6032</v>
      </c>
      <c r="F669" t="s">
        <v>6033</v>
      </c>
      <c r="G669" t="s">
        <v>6084</v>
      </c>
      <c r="H669" t="s">
        <v>6098</v>
      </c>
      <c r="I669">
        <v>72</v>
      </c>
      <c r="J669">
        <v>12.7</v>
      </c>
      <c r="K669" t="s">
        <v>6099</v>
      </c>
      <c r="L669" t="s">
        <v>6100</v>
      </c>
      <c r="M669" t="s">
        <v>6100</v>
      </c>
      <c r="N669">
        <v>5</v>
      </c>
      <c r="O669" t="s">
        <v>6101</v>
      </c>
      <c r="P669" t="s">
        <v>6108</v>
      </c>
      <c r="Q669">
        <v>2</v>
      </c>
      <c r="R669">
        <v>2026</v>
      </c>
      <c r="S669" t="s">
        <v>6099</v>
      </c>
      <c r="T669">
        <v>1</v>
      </c>
      <c r="U669" t="s">
        <v>6021</v>
      </c>
      <c r="V669">
        <v>1</v>
      </c>
    </row>
    <row r="670" spans="1:22" x14ac:dyDescent="0.3">
      <c r="A670" t="s">
        <v>685</v>
      </c>
      <c r="B670" s="2">
        <v>46056.673611111109</v>
      </c>
      <c r="C670" s="2">
        <v>46057.365277777775</v>
      </c>
      <c r="D670" t="s">
        <v>6023</v>
      </c>
      <c r="E670" t="s">
        <v>6032</v>
      </c>
      <c r="F670" t="s">
        <v>6033</v>
      </c>
      <c r="G670" t="s">
        <v>6079</v>
      </c>
      <c r="H670" t="s">
        <v>6097</v>
      </c>
      <c r="I670">
        <v>72</v>
      </c>
      <c r="J670">
        <v>16.600000000000001</v>
      </c>
      <c r="K670" t="s">
        <v>6099</v>
      </c>
      <c r="L670" t="s">
        <v>6100</v>
      </c>
      <c r="M670" t="s">
        <v>6100</v>
      </c>
      <c r="N670">
        <v>5</v>
      </c>
      <c r="O670" t="s">
        <v>6101</v>
      </c>
      <c r="P670" t="s">
        <v>6108</v>
      </c>
      <c r="Q670">
        <v>2</v>
      </c>
      <c r="R670">
        <v>2026</v>
      </c>
      <c r="S670" t="s">
        <v>6099</v>
      </c>
      <c r="T670">
        <v>1</v>
      </c>
      <c r="U670" t="s">
        <v>6017</v>
      </c>
      <c r="V670">
        <v>1</v>
      </c>
    </row>
    <row r="671" spans="1:22" x14ac:dyDescent="0.3">
      <c r="A671" t="s">
        <v>686</v>
      </c>
      <c r="B671" s="2">
        <v>46056.782638888886</v>
      </c>
      <c r="C671" s="2">
        <v>46057.440972222219</v>
      </c>
      <c r="D671" t="s">
        <v>6028</v>
      </c>
      <c r="E671" t="s">
        <v>6031</v>
      </c>
      <c r="F671" t="s">
        <v>6034</v>
      </c>
      <c r="G671" t="s">
        <v>6049</v>
      </c>
      <c r="H671" t="s">
        <v>6097</v>
      </c>
      <c r="I671">
        <v>24</v>
      </c>
      <c r="J671">
        <v>15.8</v>
      </c>
      <c r="K671" t="s">
        <v>6099</v>
      </c>
      <c r="L671" t="s">
        <v>6100</v>
      </c>
      <c r="M671" t="s">
        <v>6100</v>
      </c>
      <c r="N671">
        <v>4</v>
      </c>
      <c r="O671" t="s">
        <v>6101</v>
      </c>
      <c r="P671" t="s">
        <v>6108</v>
      </c>
      <c r="Q671">
        <v>2</v>
      </c>
      <c r="R671">
        <v>2026</v>
      </c>
      <c r="S671" t="s">
        <v>6099</v>
      </c>
      <c r="T671">
        <v>1</v>
      </c>
      <c r="U671" t="s">
        <v>6018</v>
      </c>
      <c r="V671">
        <v>1</v>
      </c>
    </row>
    <row r="672" spans="1:22" x14ac:dyDescent="0.3">
      <c r="A672" t="s">
        <v>687</v>
      </c>
      <c r="B672" s="2">
        <v>46056.796527777777</v>
      </c>
      <c r="C672" s="2">
        <v>46058.275694444441</v>
      </c>
      <c r="D672" t="s">
        <v>6022</v>
      </c>
      <c r="E672" t="s">
        <v>6029</v>
      </c>
      <c r="F672" t="s">
        <v>6034</v>
      </c>
      <c r="G672" t="s">
        <v>6055</v>
      </c>
      <c r="H672" t="s">
        <v>6096</v>
      </c>
      <c r="I672">
        <v>24</v>
      </c>
      <c r="J672">
        <v>35.5</v>
      </c>
      <c r="K672" t="s">
        <v>6099</v>
      </c>
      <c r="L672" t="s">
        <v>6100</v>
      </c>
      <c r="M672" t="s">
        <v>6100</v>
      </c>
      <c r="O672" t="s">
        <v>6101</v>
      </c>
      <c r="P672" t="s">
        <v>6108</v>
      </c>
      <c r="Q672">
        <v>2</v>
      </c>
      <c r="R672">
        <v>2026</v>
      </c>
      <c r="S672" t="s">
        <v>6100</v>
      </c>
      <c r="T672">
        <v>0</v>
      </c>
      <c r="U672" t="s">
        <v>6018</v>
      </c>
      <c r="V672">
        <v>1</v>
      </c>
    </row>
    <row r="673" spans="1:22" x14ac:dyDescent="0.3">
      <c r="A673" t="s">
        <v>688</v>
      </c>
      <c r="B673" s="2">
        <v>46056.811111111114</v>
      </c>
      <c r="C673" s="2">
        <v>46057.106944444444</v>
      </c>
      <c r="D673" t="s">
        <v>6027</v>
      </c>
      <c r="E673" t="s">
        <v>6030</v>
      </c>
      <c r="F673" t="s">
        <v>6033</v>
      </c>
      <c r="G673" t="s">
        <v>6072</v>
      </c>
      <c r="H673" t="s">
        <v>6097</v>
      </c>
      <c r="I673">
        <v>72</v>
      </c>
      <c r="J673">
        <v>7.1</v>
      </c>
      <c r="K673" t="s">
        <v>6099</v>
      </c>
      <c r="L673" t="s">
        <v>6100</v>
      </c>
      <c r="M673" t="s">
        <v>6100</v>
      </c>
      <c r="N673">
        <v>4</v>
      </c>
      <c r="O673" t="s">
        <v>6101</v>
      </c>
      <c r="P673" t="s">
        <v>6108</v>
      </c>
      <c r="Q673">
        <v>2</v>
      </c>
      <c r="R673">
        <v>2026</v>
      </c>
      <c r="S673" t="s">
        <v>6099</v>
      </c>
      <c r="T673">
        <v>1</v>
      </c>
      <c r="U673" t="s">
        <v>6019</v>
      </c>
      <c r="V673">
        <v>1</v>
      </c>
    </row>
    <row r="674" spans="1:22" x14ac:dyDescent="0.3">
      <c r="A674" t="s">
        <v>689</v>
      </c>
      <c r="B674" s="2">
        <v>46057.020833333336</v>
      </c>
      <c r="C674" s="2">
        <v>46057.666666666664</v>
      </c>
      <c r="D674" t="s">
        <v>6024</v>
      </c>
      <c r="E674" t="s">
        <v>6030</v>
      </c>
      <c r="F674" t="s">
        <v>6034</v>
      </c>
      <c r="G674" t="s">
        <v>6037</v>
      </c>
      <c r="H674" t="s">
        <v>6096</v>
      </c>
      <c r="I674">
        <v>24</v>
      </c>
      <c r="J674">
        <v>15.5</v>
      </c>
      <c r="K674" t="s">
        <v>6100</v>
      </c>
      <c r="L674" t="s">
        <v>6099</v>
      </c>
      <c r="M674" t="s">
        <v>6100</v>
      </c>
      <c r="O674" t="s">
        <v>6101</v>
      </c>
      <c r="P674" t="s">
        <v>6108</v>
      </c>
      <c r="Q674">
        <v>2</v>
      </c>
      <c r="R674">
        <v>2026</v>
      </c>
      <c r="S674" t="s">
        <v>6099</v>
      </c>
      <c r="T674">
        <v>1</v>
      </c>
      <c r="U674" t="s">
        <v>6020</v>
      </c>
      <c r="V674">
        <v>0</v>
      </c>
    </row>
    <row r="675" spans="1:22" x14ac:dyDescent="0.3">
      <c r="A675" t="s">
        <v>690</v>
      </c>
      <c r="B675" s="2">
        <v>46057.113888888889</v>
      </c>
      <c r="C675" s="2">
        <v>46057.463888888888</v>
      </c>
      <c r="D675" t="s">
        <v>6027</v>
      </c>
      <c r="E675" t="s">
        <v>6030</v>
      </c>
      <c r="F675" t="s">
        <v>6034</v>
      </c>
      <c r="G675" t="s">
        <v>6061</v>
      </c>
      <c r="H675" t="s">
        <v>6096</v>
      </c>
      <c r="I675">
        <v>24</v>
      </c>
      <c r="J675">
        <v>8.4</v>
      </c>
      <c r="K675" t="s">
        <v>6100</v>
      </c>
      <c r="L675" t="s">
        <v>6100</v>
      </c>
      <c r="M675" t="s">
        <v>6100</v>
      </c>
      <c r="O675" t="s">
        <v>6101</v>
      </c>
      <c r="P675" t="s">
        <v>6108</v>
      </c>
      <c r="Q675">
        <v>2</v>
      </c>
      <c r="R675">
        <v>2026</v>
      </c>
      <c r="S675" t="s">
        <v>6099</v>
      </c>
      <c r="T675">
        <v>1</v>
      </c>
      <c r="U675" t="s">
        <v>6020</v>
      </c>
      <c r="V675">
        <v>0</v>
      </c>
    </row>
    <row r="676" spans="1:22" x14ac:dyDescent="0.3">
      <c r="A676" t="s">
        <v>691</v>
      </c>
      <c r="B676" s="2">
        <v>46057.169444444444</v>
      </c>
      <c r="C676" s="2">
        <v>46060.161111111112</v>
      </c>
      <c r="D676" t="s">
        <v>6022</v>
      </c>
      <c r="E676" t="s">
        <v>6031</v>
      </c>
      <c r="F676" t="s">
        <v>6034</v>
      </c>
      <c r="G676" t="s">
        <v>6066</v>
      </c>
      <c r="H676" t="s">
        <v>6096</v>
      </c>
      <c r="I676">
        <v>24</v>
      </c>
      <c r="J676">
        <v>71.8</v>
      </c>
      <c r="K676" t="s">
        <v>6099</v>
      </c>
      <c r="L676" t="s">
        <v>6100</v>
      </c>
      <c r="M676" t="s">
        <v>6100</v>
      </c>
      <c r="N676">
        <v>3</v>
      </c>
      <c r="O676" t="s">
        <v>6101</v>
      </c>
      <c r="P676" t="s">
        <v>6108</v>
      </c>
      <c r="Q676">
        <v>2</v>
      </c>
      <c r="R676">
        <v>2026</v>
      </c>
      <c r="S676" t="s">
        <v>6100</v>
      </c>
      <c r="T676">
        <v>0</v>
      </c>
      <c r="U676" t="s">
        <v>6018</v>
      </c>
      <c r="V676">
        <v>1</v>
      </c>
    </row>
    <row r="677" spans="1:22" x14ac:dyDescent="0.3">
      <c r="A677" t="s">
        <v>692</v>
      </c>
      <c r="B677" s="2">
        <v>46057.297222222223</v>
      </c>
      <c r="C677" s="2">
        <v>46057.738888888889</v>
      </c>
      <c r="D677" t="s">
        <v>6025</v>
      </c>
      <c r="E677" t="s">
        <v>6029</v>
      </c>
      <c r="F677" t="s">
        <v>6035</v>
      </c>
      <c r="G677" t="s">
        <v>6071</v>
      </c>
      <c r="H677" t="s">
        <v>6098</v>
      </c>
      <c r="I677">
        <v>4</v>
      </c>
      <c r="J677">
        <v>10.6</v>
      </c>
      <c r="K677" t="s">
        <v>6100</v>
      </c>
      <c r="L677" t="s">
        <v>6099</v>
      </c>
      <c r="M677" t="s">
        <v>6100</v>
      </c>
      <c r="O677" t="s">
        <v>6101</v>
      </c>
      <c r="P677" t="s">
        <v>6108</v>
      </c>
      <c r="Q677">
        <v>2</v>
      </c>
      <c r="R677">
        <v>2026</v>
      </c>
      <c r="S677" t="s">
        <v>6100</v>
      </c>
      <c r="T677">
        <v>0</v>
      </c>
      <c r="U677" t="s">
        <v>6020</v>
      </c>
      <c r="V677">
        <v>0</v>
      </c>
    </row>
    <row r="678" spans="1:22" x14ac:dyDescent="0.3">
      <c r="A678" t="s">
        <v>693</v>
      </c>
      <c r="B678" s="2">
        <v>46057.395138888889</v>
      </c>
      <c r="C678" s="2">
        <v>46060.65347222222</v>
      </c>
      <c r="D678" t="s">
        <v>6025</v>
      </c>
      <c r="E678" t="s">
        <v>6032</v>
      </c>
      <c r="F678" t="s">
        <v>6033</v>
      </c>
      <c r="G678" t="s">
        <v>6040</v>
      </c>
      <c r="H678" t="s">
        <v>6097</v>
      </c>
      <c r="I678">
        <v>72</v>
      </c>
      <c r="J678">
        <v>78.2</v>
      </c>
      <c r="K678" t="s">
        <v>6099</v>
      </c>
      <c r="L678" t="s">
        <v>6100</v>
      </c>
      <c r="M678" t="s">
        <v>6100</v>
      </c>
      <c r="O678" t="s">
        <v>6101</v>
      </c>
      <c r="P678" t="s">
        <v>6108</v>
      </c>
      <c r="Q678">
        <v>2</v>
      </c>
      <c r="R678">
        <v>2026</v>
      </c>
      <c r="S678" t="s">
        <v>6100</v>
      </c>
      <c r="T678">
        <v>0</v>
      </c>
      <c r="U678" t="s">
        <v>6019</v>
      </c>
      <c r="V678">
        <v>1</v>
      </c>
    </row>
    <row r="679" spans="1:22" x14ac:dyDescent="0.3">
      <c r="A679" t="s">
        <v>694</v>
      </c>
      <c r="B679" s="2">
        <v>46057.422222222223</v>
      </c>
      <c r="C679" s="2">
        <v>46057.513888888891</v>
      </c>
      <c r="D679" t="s">
        <v>6023</v>
      </c>
      <c r="E679" t="s">
        <v>6029</v>
      </c>
      <c r="F679" t="s">
        <v>6033</v>
      </c>
      <c r="G679" t="s">
        <v>6043</v>
      </c>
      <c r="H679" t="s">
        <v>6097</v>
      </c>
      <c r="I679">
        <v>72</v>
      </c>
      <c r="J679">
        <v>2.2000000000000002</v>
      </c>
      <c r="K679" t="s">
        <v>6100</v>
      </c>
      <c r="L679" t="s">
        <v>6099</v>
      </c>
      <c r="M679" t="s">
        <v>6100</v>
      </c>
      <c r="N679">
        <v>3</v>
      </c>
      <c r="O679" t="s">
        <v>6101</v>
      </c>
      <c r="P679" t="s">
        <v>6108</v>
      </c>
      <c r="Q679">
        <v>2</v>
      </c>
      <c r="R679">
        <v>2026</v>
      </c>
      <c r="S679" t="s">
        <v>6099</v>
      </c>
      <c r="T679">
        <v>1</v>
      </c>
      <c r="U679" t="s">
        <v>6017</v>
      </c>
      <c r="V679">
        <v>0</v>
      </c>
    </row>
    <row r="680" spans="1:22" x14ac:dyDescent="0.3">
      <c r="A680" t="s">
        <v>695</v>
      </c>
      <c r="B680" s="2">
        <v>46057.427777777775</v>
      </c>
      <c r="C680" s="2">
        <v>46060.240277777775</v>
      </c>
      <c r="D680" t="s">
        <v>6026</v>
      </c>
      <c r="E680" t="s">
        <v>6029</v>
      </c>
      <c r="F680" t="s">
        <v>6035</v>
      </c>
      <c r="G680" t="s">
        <v>6079</v>
      </c>
      <c r="H680" t="s">
        <v>6097</v>
      </c>
      <c r="I680">
        <v>4</v>
      </c>
      <c r="J680">
        <v>67.5</v>
      </c>
      <c r="K680" t="s">
        <v>6100</v>
      </c>
      <c r="L680" t="s">
        <v>6100</v>
      </c>
      <c r="M680" t="s">
        <v>6100</v>
      </c>
      <c r="N680">
        <v>5</v>
      </c>
      <c r="O680" t="s">
        <v>6101</v>
      </c>
      <c r="P680" t="s">
        <v>6108</v>
      </c>
      <c r="Q680">
        <v>2</v>
      </c>
      <c r="R680">
        <v>2026</v>
      </c>
      <c r="S680" t="s">
        <v>6100</v>
      </c>
      <c r="T680">
        <v>0</v>
      </c>
      <c r="U680" t="s">
        <v>6021</v>
      </c>
      <c r="V680">
        <v>0</v>
      </c>
    </row>
    <row r="681" spans="1:22" x14ac:dyDescent="0.3">
      <c r="A681" t="s">
        <v>696</v>
      </c>
      <c r="B681" s="2">
        <v>46057.44027777778</v>
      </c>
      <c r="C681" s="2">
        <v>46057.573611111111</v>
      </c>
      <c r="D681" t="s">
        <v>6028</v>
      </c>
      <c r="E681" t="s">
        <v>6029</v>
      </c>
      <c r="F681" t="s">
        <v>6035</v>
      </c>
      <c r="G681" t="s">
        <v>6072</v>
      </c>
      <c r="H681" t="s">
        <v>6097</v>
      </c>
      <c r="I681">
        <v>4</v>
      </c>
      <c r="J681">
        <v>3.2</v>
      </c>
      <c r="K681" t="s">
        <v>6099</v>
      </c>
      <c r="L681" t="s">
        <v>6100</v>
      </c>
      <c r="M681" t="s">
        <v>6100</v>
      </c>
      <c r="O681" t="s">
        <v>6101</v>
      </c>
      <c r="P681" t="s">
        <v>6108</v>
      </c>
      <c r="Q681">
        <v>2</v>
      </c>
      <c r="R681">
        <v>2026</v>
      </c>
      <c r="S681" t="s">
        <v>6099</v>
      </c>
      <c r="T681">
        <v>1</v>
      </c>
      <c r="U681" t="s">
        <v>6020</v>
      </c>
      <c r="V681">
        <v>1</v>
      </c>
    </row>
    <row r="682" spans="1:22" x14ac:dyDescent="0.3">
      <c r="A682" t="s">
        <v>697</v>
      </c>
      <c r="B682" s="2">
        <v>46057.450694444444</v>
      </c>
      <c r="C682" s="2">
        <v>46057.742361111108</v>
      </c>
      <c r="D682" t="s">
        <v>6027</v>
      </c>
      <c r="E682" t="s">
        <v>6030</v>
      </c>
      <c r="F682" t="s">
        <v>6034</v>
      </c>
      <c r="G682" t="s">
        <v>6072</v>
      </c>
      <c r="H682" t="s">
        <v>6097</v>
      </c>
      <c r="I682">
        <v>24</v>
      </c>
      <c r="J682">
        <v>7</v>
      </c>
      <c r="K682" t="s">
        <v>6099</v>
      </c>
      <c r="L682" t="s">
        <v>6100</v>
      </c>
      <c r="M682" t="s">
        <v>6100</v>
      </c>
      <c r="N682">
        <v>4</v>
      </c>
      <c r="O682" t="s">
        <v>6101</v>
      </c>
      <c r="P682" t="s">
        <v>6108</v>
      </c>
      <c r="Q682">
        <v>2</v>
      </c>
      <c r="R682">
        <v>2026</v>
      </c>
      <c r="S682" t="s">
        <v>6099</v>
      </c>
      <c r="T682">
        <v>1</v>
      </c>
      <c r="U682" t="s">
        <v>6021</v>
      </c>
      <c r="V682">
        <v>1</v>
      </c>
    </row>
    <row r="683" spans="1:22" x14ac:dyDescent="0.3">
      <c r="A683" t="s">
        <v>698</v>
      </c>
      <c r="B683" s="2">
        <v>46057.504166666666</v>
      </c>
      <c r="C683" s="2">
        <v>46058.154166666667</v>
      </c>
      <c r="D683" t="s">
        <v>6022</v>
      </c>
      <c r="E683" t="s">
        <v>6029</v>
      </c>
      <c r="F683" t="s">
        <v>6034</v>
      </c>
      <c r="G683" t="s">
        <v>6051</v>
      </c>
      <c r="H683" t="s">
        <v>6097</v>
      </c>
      <c r="I683">
        <v>24</v>
      </c>
      <c r="J683">
        <v>15.6</v>
      </c>
      <c r="K683" t="s">
        <v>6099</v>
      </c>
      <c r="L683" t="s">
        <v>6100</v>
      </c>
      <c r="M683" t="s">
        <v>6100</v>
      </c>
      <c r="O683" t="s">
        <v>6101</v>
      </c>
      <c r="P683" t="s">
        <v>6108</v>
      </c>
      <c r="Q683">
        <v>2</v>
      </c>
      <c r="R683">
        <v>2026</v>
      </c>
      <c r="S683" t="s">
        <v>6099</v>
      </c>
      <c r="T683">
        <v>1</v>
      </c>
      <c r="U683" t="s">
        <v>6020</v>
      </c>
      <c r="V683">
        <v>1</v>
      </c>
    </row>
    <row r="684" spans="1:22" x14ac:dyDescent="0.3">
      <c r="A684" t="s">
        <v>699</v>
      </c>
      <c r="B684" s="2">
        <v>46057.509722222225</v>
      </c>
      <c r="C684" s="2">
        <v>46057.763888888891</v>
      </c>
      <c r="D684" t="s">
        <v>6023</v>
      </c>
      <c r="E684" t="s">
        <v>6030</v>
      </c>
      <c r="F684" t="s">
        <v>6034</v>
      </c>
      <c r="G684" t="s">
        <v>6058</v>
      </c>
      <c r="H684" t="s">
        <v>6098</v>
      </c>
      <c r="I684">
        <v>24</v>
      </c>
      <c r="J684">
        <v>6.1</v>
      </c>
      <c r="K684" t="s">
        <v>6099</v>
      </c>
      <c r="L684" t="s">
        <v>6100</v>
      </c>
      <c r="M684" t="s">
        <v>6100</v>
      </c>
      <c r="N684">
        <v>5</v>
      </c>
      <c r="O684" t="s">
        <v>6101</v>
      </c>
      <c r="P684" t="s">
        <v>6108</v>
      </c>
      <c r="Q684">
        <v>2</v>
      </c>
      <c r="R684">
        <v>2026</v>
      </c>
      <c r="S684" t="s">
        <v>6099</v>
      </c>
      <c r="T684">
        <v>1</v>
      </c>
      <c r="U684" t="s">
        <v>6019</v>
      </c>
      <c r="V684">
        <v>1</v>
      </c>
    </row>
    <row r="685" spans="1:22" x14ac:dyDescent="0.3">
      <c r="A685" t="s">
        <v>700</v>
      </c>
      <c r="B685" s="2">
        <v>46057.517361111109</v>
      </c>
      <c r="C685" s="2">
        <v>46060.404861111114</v>
      </c>
      <c r="D685" t="s">
        <v>6026</v>
      </c>
      <c r="E685" t="s">
        <v>6031</v>
      </c>
      <c r="F685" t="s">
        <v>6034</v>
      </c>
      <c r="G685" t="s">
        <v>6085</v>
      </c>
      <c r="H685" t="s">
        <v>6097</v>
      </c>
      <c r="I685">
        <v>24</v>
      </c>
      <c r="J685">
        <v>69.3</v>
      </c>
      <c r="K685" t="s">
        <v>6100</v>
      </c>
      <c r="L685" t="s">
        <v>6099</v>
      </c>
      <c r="M685" t="s">
        <v>6100</v>
      </c>
      <c r="N685">
        <v>2</v>
      </c>
      <c r="O685" t="s">
        <v>6101</v>
      </c>
      <c r="P685" t="s">
        <v>6108</v>
      </c>
      <c r="Q685">
        <v>2</v>
      </c>
      <c r="R685">
        <v>2026</v>
      </c>
      <c r="S685" t="s">
        <v>6100</v>
      </c>
      <c r="T685">
        <v>0</v>
      </c>
      <c r="U685" t="s">
        <v>6019</v>
      </c>
      <c r="V685">
        <v>0</v>
      </c>
    </row>
    <row r="686" spans="1:22" x14ac:dyDescent="0.3">
      <c r="A686" t="s">
        <v>701</v>
      </c>
      <c r="B686" s="2">
        <v>46057.54791666667</v>
      </c>
      <c r="C686" s="2">
        <v>46059.314583333333</v>
      </c>
      <c r="D686" t="s">
        <v>6025</v>
      </c>
      <c r="E686" t="s">
        <v>6029</v>
      </c>
      <c r="F686" t="s">
        <v>6033</v>
      </c>
      <c r="G686" t="s">
        <v>6089</v>
      </c>
      <c r="H686" t="s">
        <v>6098</v>
      </c>
      <c r="I686">
        <v>72</v>
      </c>
      <c r="J686">
        <v>42.4</v>
      </c>
      <c r="K686" t="s">
        <v>6099</v>
      </c>
      <c r="L686" t="s">
        <v>6100</v>
      </c>
      <c r="M686" t="s">
        <v>6100</v>
      </c>
      <c r="N686">
        <v>3</v>
      </c>
      <c r="O686" t="s">
        <v>6101</v>
      </c>
      <c r="P686" t="s">
        <v>6108</v>
      </c>
      <c r="Q686">
        <v>2</v>
      </c>
      <c r="R686">
        <v>2026</v>
      </c>
      <c r="S686" t="s">
        <v>6099</v>
      </c>
      <c r="T686">
        <v>1</v>
      </c>
      <c r="U686" t="s">
        <v>6021</v>
      </c>
      <c r="V686">
        <v>1</v>
      </c>
    </row>
    <row r="687" spans="1:22" x14ac:dyDescent="0.3">
      <c r="A687" t="s">
        <v>702</v>
      </c>
      <c r="B687" s="2">
        <v>46057.550694444442</v>
      </c>
      <c r="C687" s="2">
        <v>46057.97152777778</v>
      </c>
      <c r="D687" t="s">
        <v>6022</v>
      </c>
      <c r="E687" t="s">
        <v>6029</v>
      </c>
      <c r="F687" t="s">
        <v>6034</v>
      </c>
      <c r="G687" t="s">
        <v>6047</v>
      </c>
      <c r="H687" t="s">
        <v>6098</v>
      </c>
      <c r="I687">
        <v>24</v>
      </c>
      <c r="J687">
        <v>10.1</v>
      </c>
      <c r="K687" t="s">
        <v>6099</v>
      </c>
      <c r="L687" t="s">
        <v>6100</v>
      </c>
      <c r="M687" t="s">
        <v>6100</v>
      </c>
      <c r="N687">
        <v>5</v>
      </c>
      <c r="O687" t="s">
        <v>6101</v>
      </c>
      <c r="P687" t="s">
        <v>6108</v>
      </c>
      <c r="Q687">
        <v>2</v>
      </c>
      <c r="R687">
        <v>2026</v>
      </c>
      <c r="S687" t="s">
        <v>6099</v>
      </c>
      <c r="T687">
        <v>1</v>
      </c>
      <c r="U687" t="s">
        <v>6021</v>
      </c>
      <c r="V687">
        <v>1</v>
      </c>
    </row>
    <row r="688" spans="1:22" x14ac:dyDescent="0.3">
      <c r="A688" t="s">
        <v>703</v>
      </c>
      <c r="B688" s="2">
        <v>46057.617361111108</v>
      </c>
      <c r="C688" s="2">
        <v>46058.304861111108</v>
      </c>
      <c r="D688" t="s">
        <v>6024</v>
      </c>
      <c r="E688" t="s">
        <v>6032</v>
      </c>
      <c r="F688" t="s">
        <v>6033</v>
      </c>
      <c r="G688" t="s">
        <v>6064</v>
      </c>
      <c r="H688" t="s">
        <v>6096</v>
      </c>
      <c r="I688">
        <v>72</v>
      </c>
      <c r="J688">
        <v>16.5</v>
      </c>
      <c r="K688" t="s">
        <v>6099</v>
      </c>
      <c r="L688" t="s">
        <v>6100</v>
      </c>
      <c r="M688" t="s">
        <v>6100</v>
      </c>
      <c r="N688">
        <v>5</v>
      </c>
      <c r="O688" t="s">
        <v>6101</v>
      </c>
      <c r="P688" t="s">
        <v>6108</v>
      </c>
      <c r="Q688">
        <v>2</v>
      </c>
      <c r="R688">
        <v>2026</v>
      </c>
      <c r="S688" t="s">
        <v>6099</v>
      </c>
      <c r="T688">
        <v>1</v>
      </c>
      <c r="U688" t="s">
        <v>6019</v>
      </c>
      <c r="V688">
        <v>1</v>
      </c>
    </row>
    <row r="689" spans="1:22" x14ac:dyDescent="0.3">
      <c r="A689" t="s">
        <v>704</v>
      </c>
      <c r="B689" s="2">
        <v>46057.65347222222</v>
      </c>
      <c r="C689" s="2">
        <v>46057.961805555555</v>
      </c>
      <c r="D689" t="s">
        <v>6025</v>
      </c>
      <c r="E689" t="s">
        <v>6030</v>
      </c>
      <c r="F689" t="s">
        <v>6034</v>
      </c>
      <c r="G689" t="s">
        <v>6048</v>
      </c>
      <c r="H689" t="s">
        <v>6096</v>
      </c>
      <c r="I689">
        <v>24</v>
      </c>
      <c r="J689">
        <v>7.4</v>
      </c>
      <c r="K689" t="s">
        <v>6099</v>
      </c>
      <c r="L689" t="s">
        <v>6100</v>
      </c>
      <c r="M689" t="s">
        <v>6100</v>
      </c>
      <c r="N689">
        <v>4</v>
      </c>
      <c r="O689" t="s">
        <v>6101</v>
      </c>
      <c r="P689" t="s">
        <v>6108</v>
      </c>
      <c r="Q689">
        <v>2</v>
      </c>
      <c r="R689">
        <v>2026</v>
      </c>
      <c r="S689" t="s">
        <v>6099</v>
      </c>
      <c r="T689">
        <v>1</v>
      </c>
      <c r="U689" t="s">
        <v>6017</v>
      </c>
      <c r="V689">
        <v>1</v>
      </c>
    </row>
    <row r="690" spans="1:22" x14ac:dyDescent="0.3">
      <c r="A690" t="s">
        <v>705</v>
      </c>
      <c r="B690" s="2">
        <v>46057.661805555559</v>
      </c>
      <c r="C690" s="2">
        <v>46058.411805555559</v>
      </c>
      <c r="D690" t="s">
        <v>6028</v>
      </c>
      <c r="E690" t="s">
        <v>6031</v>
      </c>
      <c r="F690" t="s">
        <v>6033</v>
      </c>
      <c r="G690" t="s">
        <v>6088</v>
      </c>
      <c r="H690" t="s">
        <v>6097</v>
      </c>
      <c r="I690">
        <v>72</v>
      </c>
      <c r="J690">
        <v>18</v>
      </c>
      <c r="K690" t="s">
        <v>6099</v>
      </c>
      <c r="L690" t="s">
        <v>6100</v>
      </c>
      <c r="M690" t="s">
        <v>6100</v>
      </c>
      <c r="N690">
        <v>4</v>
      </c>
      <c r="O690" t="s">
        <v>6101</v>
      </c>
      <c r="P690" t="s">
        <v>6108</v>
      </c>
      <c r="Q690">
        <v>2</v>
      </c>
      <c r="R690">
        <v>2026</v>
      </c>
      <c r="S690" t="s">
        <v>6099</v>
      </c>
      <c r="T690">
        <v>1</v>
      </c>
      <c r="U690" t="s">
        <v>6020</v>
      </c>
      <c r="V690">
        <v>1</v>
      </c>
    </row>
    <row r="691" spans="1:22" x14ac:dyDescent="0.3">
      <c r="A691" t="s">
        <v>706</v>
      </c>
      <c r="B691" s="2">
        <v>46057.669444444444</v>
      </c>
      <c r="C691" s="2">
        <v>46058.211111111108</v>
      </c>
      <c r="D691" t="s">
        <v>6023</v>
      </c>
      <c r="E691" t="s">
        <v>6029</v>
      </c>
      <c r="F691" t="s">
        <v>6033</v>
      </c>
      <c r="G691" t="s">
        <v>6062</v>
      </c>
      <c r="H691" t="s">
        <v>6096</v>
      </c>
      <c r="I691">
        <v>72</v>
      </c>
      <c r="J691">
        <v>13</v>
      </c>
      <c r="K691" t="s">
        <v>6099</v>
      </c>
      <c r="L691" t="s">
        <v>6100</v>
      </c>
      <c r="M691" t="s">
        <v>6100</v>
      </c>
      <c r="N691">
        <v>5</v>
      </c>
      <c r="O691" t="s">
        <v>6101</v>
      </c>
      <c r="P691" t="s">
        <v>6108</v>
      </c>
      <c r="Q691">
        <v>2</v>
      </c>
      <c r="R691">
        <v>2026</v>
      </c>
      <c r="S691" t="s">
        <v>6099</v>
      </c>
      <c r="T691">
        <v>1</v>
      </c>
      <c r="U691" t="s">
        <v>6018</v>
      </c>
      <c r="V691">
        <v>1</v>
      </c>
    </row>
    <row r="692" spans="1:22" x14ac:dyDescent="0.3">
      <c r="A692" t="s">
        <v>707</v>
      </c>
      <c r="B692" s="2">
        <v>46057.673611111109</v>
      </c>
      <c r="C692" s="2">
        <v>46058.431944444441</v>
      </c>
      <c r="D692" t="s">
        <v>6028</v>
      </c>
      <c r="E692" t="s">
        <v>6031</v>
      </c>
      <c r="F692" t="s">
        <v>6035</v>
      </c>
      <c r="G692" t="s">
        <v>6043</v>
      </c>
      <c r="H692" t="s">
        <v>6097</v>
      </c>
      <c r="I692">
        <v>4</v>
      </c>
      <c r="J692">
        <v>18.2</v>
      </c>
      <c r="K692" t="s">
        <v>6099</v>
      </c>
      <c r="L692" t="s">
        <v>6100</v>
      </c>
      <c r="M692" t="s">
        <v>6100</v>
      </c>
      <c r="O692" t="s">
        <v>6101</v>
      </c>
      <c r="P692" t="s">
        <v>6108</v>
      </c>
      <c r="Q692">
        <v>2</v>
      </c>
      <c r="R692">
        <v>2026</v>
      </c>
      <c r="S692" t="s">
        <v>6100</v>
      </c>
      <c r="T692">
        <v>0</v>
      </c>
      <c r="U692" t="s">
        <v>6017</v>
      </c>
      <c r="V692">
        <v>1</v>
      </c>
    </row>
    <row r="693" spans="1:22" x14ac:dyDescent="0.3">
      <c r="A693" t="s">
        <v>708</v>
      </c>
      <c r="B693" s="2">
        <v>46057.680555555555</v>
      </c>
      <c r="C693" s="2">
        <v>46059.288888888892</v>
      </c>
      <c r="D693" t="s">
        <v>6024</v>
      </c>
      <c r="E693" t="s">
        <v>6031</v>
      </c>
      <c r="F693" t="s">
        <v>6033</v>
      </c>
      <c r="G693" t="s">
        <v>6094</v>
      </c>
      <c r="H693" t="s">
        <v>6098</v>
      </c>
      <c r="I693">
        <v>72</v>
      </c>
      <c r="J693">
        <v>38.6</v>
      </c>
      <c r="K693" t="s">
        <v>6099</v>
      </c>
      <c r="L693" t="s">
        <v>6100</v>
      </c>
      <c r="M693" t="s">
        <v>6100</v>
      </c>
      <c r="O693" t="s">
        <v>6101</v>
      </c>
      <c r="P693" t="s">
        <v>6108</v>
      </c>
      <c r="Q693">
        <v>2</v>
      </c>
      <c r="R693">
        <v>2026</v>
      </c>
      <c r="S693" t="s">
        <v>6099</v>
      </c>
      <c r="T693">
        <v>1</v>
      </c>
      <c r="U693" t="s">
        <v>6019</v>
      </c>
      <c r="V693">
        <v>1</v>
      </c>
    </row>
    <row r="694" spans="1:22" x14ac:dyDescent="0.3">
      <c r="A694" t="s">
        <v>709</v>
      </c>
      <c r="B694" s="2">
        <v>46057.723611111112</v>
      </c>
      <c r="C694" s="2">
        <v>46057.902777777781</v>
      </c>
      <c r="D694" t="s">
        <v>6024</v>
      </c>
      <c r="E694" t="s">
        <v>6029</v>
      </c>
      <c r="F694" t="s">
        <v>6033</v>
      </c>
      <c r="G694" t="s">
        <v>6080</v>
      </c>
      <c r="H694" t="s">
        <v>6096</v>
      </c>
      <c r="I694">
        <v>72</v>
      </c>
      <c r="J694">
        <v>4.3</v>
      </c>
      <c r="K694" t="s">
        <v>6099</v>
      </c>
      <c r="L694" t="s">
        <v>6100</v>
      </c>
      <c r="M694" t="s">
        <v>6100</v>
      </c>
      <c r="N694">
        <v>4</v>
      </c>
      <c r="O694" t="s">
        <v>6101</v>
      </c>
      <c r="P694" t="s">
        <v>6108</v>
      </c>
      <c r="Q694">
        <v>2</v>
      </c>
      <c r="R694">
        <v>2026</v>
      </c>
      <c r="S694" t="s">
        <v>6099</v>
      </c>
      <c r="T694">
        <v>1</v>
      </c>
      <c r="U694" t="s">
        <v>6020</v>
      </c>
      <c r="V694">
        <v>1</v>
      </c>
    </row>
    <row r="695" spans="1:22" x14ac:dyDescent="0.3">
      <c r="A695" t="s">
        <v>710</v>
      </c>
      <c r="B695" s="2">
        <v>46057.74722222222</v>
      </c>
      <c r="C695" s="2">
        <v>46057.880555555559</v>
      </c>
      <c r="D695" t="s">
        <v>6023</v>
      </c>
      <c r="E695" t="s">
        <v>6030</v>
      </c>
      <c r="F695" t="s">
        <v>6033</v>
      </c>
      <c r="G695" t="s">
        <v>6081</v>
      </c>
      <c r="H695" t="s">
        <v>6098</v>
      </c>
      <c r="I695">
        <v>72</v>
      </c>
      <c r="J695">
        <v>3.2</v>
      </c>
      <c r="K695" t="s">
        <v>6099</v>
      </c>
      <c r="L695" t="s">
        <v>6100</v>
      </c>
      <c r="M695" t="s">
        <v>6100</v>
      </c>
      <c r="N695">
        <v>5</v>
      </c>
      <c r="O695" t="s">
        <v>6101</v>
      </c>
      <c r="P695" t="s">
        <v>6108</v>
      </c>
      <c r="Q695">
        <v>2</v>
      </c>
      <c r="R695">
        <v>2026</v>
      </c>
      <c r="S695" t="s">
        <v>6099</v>
      </c>
      <c r="T695">
        <v>1</v>
      </c>
      <c r="U695" t="s">
        <v>6018</v>
      </c>
      <c r="V695">
        <v>1</v>
      </c>
    </row>
    <row r="696" spans="1:22" x14ac:dyDescent="0.3">
      <c r="A696" t="s">
        <v>711</v>
      </c>
      <c r="B696" s="2">
        <v>46057.775000000001</v>
      </c>
      <c r="C696" s="2">
        <v>46058.45416666667</v>
      </c>
      <c r="D696" t="s">
        <v>6028</v>
      </c>
      <c r="E696" t="s">
        <v>6029</v>
      </c>
      <c r="F696" t="s">
        <v>6034</v>
      </c>
      <c r="G696" t="s">
        <v>6083</v>
      </c>
      <c r="H696" t="s">
        <v>6096</v>
      </c>
      <c r="I696">
        <v>24</v>
      </c>
      <c r="J696">
        <v>16.3</v>
      </c>
      <c r="K696" t="s">
        <v>6100</v>
      </c>
      <c r="L696" t="s">
        <v>6100</v>
      </c>
      <c r="M696" t="s">
        <v>6100</v>
      </c>
      <c r="O696" t="s">
        <v>6101</v>
      </c>
      <c r="P696" t="s">
        <v>6108</v>
      </c>
      <c r="Q696">
        <v>2</v>
      </c>
      <c r="R696">
        <v>2026</v>
      </c>
      <c r="S696" t="s">
        <v>6099</v>
      </c>
      <c r="T696">
        <v>1</v>
      </c>
      <c r="U696" t="s">
        <v>6017</v>
      </c>
      <c r="V696">
        <v>0</v>
      </c>
    </row>
    <row r="697" spans="1:22" x14ac:dyDescent="0.3">
      <c r="A697" t="s">
        <v>712</v>
      </c>
      <c r="B697" s="2">
        <v>46057.779166666667</v>
      </c>
      <c r="C697" s="2">
        <v>46057.925000000003</v>
      </c>
      <c r="D697" t="s">
        <v>6027</v>
      </c>
      <c r="E697" t="s">
        <v>6030</v>
      </c>
      <c r="F697" t="s">
        <v>6034</v>
      </c>
      <c r="G697" t="s">
        <v>6039</v>
      </c>
      <c r="H697" t="s">
        <v>6097</v>
      </c>
      <c r="I697">
        <v>24</v>
      </c>
      <c r="J697">
        <v>3.5</v>
      </c>
      <c r="K697" t="s">
        <v>6099</v>
      </c>
      <c r="L697" t="s">
        <v>6100</v>
      </c>
      <c r="M697" t="s">
        <v>6100</v>
      </c>
      <c r="O697" t="s">
        <v>6101</v>
      </c>
      <c r="P697" t="s">
        <v>6108</v>
      </c>
      <c r="Q697">
        <v>2</v>
      </c>
      <c r="R697">
        <v>2026</v>
      </c>
      <c r="S697" t="s">
        <v>6099</v>
      </c>
      <c r="T697">
        <v>1</v>
      </c>
      <c r="U697" t="s">
        <v>6021</v>
      </c>
      <c r="V697">
        <v>1</v>
      </c>
    </row>
    <row r="698" spans="1:22" x14ac:dyDescent="0.3">
      <c r="A698" t="s">
        <v>713</v>
      </c>
      <c r="B698" s="2">
        <v>46057.806944444441</v>
      </c>
      <c r="C698" s="2">
        <v>46058.636111111111</v>
      </c>
      <c r="D698" t="s">
        <v>6022</v>
      </c>
      <c r="E698" t="s">
        <v>6030</v>
      </c>
      <c r="F698" t="s">
        <v>6034</v>
      </c>
      <c r="G698" t="s">
        <v>6083</v>
      </c>
      <c r="H698" t="s">
        <v>6096</v>
      </c>
      <c r="I698">
        <v>24</v>
      </c>
      <c r="J698">
        <v>19.899999999999999</v>
      </c>
      <c r="K698" t="s">
        <v>6100</v>
      </c>
      <c r="L698" t="s">
        <v>6100</v>
      </c>
      <c r="M698" t="s">
        <v>6100</v>
      </c>
      <c r="N698">
        <v>5</v>
      </c>
      <c r="O698" t="s">
        <v>6101</v>
      </c>
      <c r="P698" t="s">
        <v>6108</v>
      </c>
      <c r="Q698">
        <v>2</v>
      </c>
      <c r="R698">
        <v>2026</v>
      </c>
      <c r="S698" t="s">
        <v>6099</v>
      </c>
      <c r="T698">
        <v>1</v>
      </c>
      <c r="U698" t="s">
        <v>6018</v>
      </c>
      <c r="V698">
        <v>0</v>
      </c>
    </row>
    <row r="699" spans="1:22" x14ac:dyDescent="0.3">
      <c r="A699" t="s">
        <v>714</v>
      </c>
      <c r="B699" s="2">
        <v>46057.866666666669</v>
      </c>
      <c r="C699" s="2">
        <v>46058.033333333333</v>
      </c>
      <c r="D699" t="s">
        <v>6023</v>
      </c>
      <c r="E699" t="s">
        <v>6032</v>
      </c>
      <c r="F699" t="s">
        <v>6034</v>
      </c>
      <c r="G699" t="s">
        <v>6085</v>
      </c>
      <c r="H699" t="s">
        <v>6097</v>
      </c>
      <c r="I699">
        <v>24</v>
      </c>
      <c r="J699">
        <v>4</v>
      </c>
      <c r="K699" t="s">
        <v>6099</v>
      </c>
      <c r="L699" t="s">
        <v>6100</v>
      </c>
      <c r="M699" t="s">
        <v>6100</v>
      </c>
      <c r="N699">
        <v>5</v>
      </c>
      <c r="O699" t="s">
        <v>6101</v>
      </c>
      <c r="P699" t="s">
        <v>6108</v>
      </c>
      <c r="Q699">
        <v>2</v>
      </c>
      <c r="R699">
        <v>2026</v>
      </c>
      <c r="S699" t="s">
        <v>6099</v>
      </c>
      <c r="T699">
        <v>1</v>
      </c>
      <c r="U699" t="s">
        <v>6021</v>
      </c>
      <c r="V699">
        <v>1</v>
      </c>
    </row>
    <row r="700" spans="1:22" x14ac:dyDescent="0.3">
      <c r="A700" t="s">
        <v>715</v>
      </c>
      <c r="B700" s="2">
        <v>46057.904166666667</v>
      </c>
      <c r="C700" s="2">
        <v>46060.179166666669</v>
      </c>
      <c r="D700" t="s">
        <v>6026</v>
      </c>
      <c r="E700" t="s">
        <v>6029</v>
      </c>
      <c r="F700" t="s">
        <v>6034</v>
      </c>
      <c r="G700" t="s">
        <v>6058</v>
      </c>
      <c r="H700" t="s">
        <v>6098</v>
      </c>
      <c r="I700">
        <v>24</v>
      </c>
      <c r="J700">
        <v>54.6</v>
      </c>
      <c r="K700" t="s">
        <v>6099</v>
      </c>
      <c r="L700" t="s">
        <v>6100</v>
      </c>
      <c r="M700" t="s">
        <v>6100</v>
      </c>
      <c r="N700">
        <v>5</v>
      </c>
      <c r="O700" t="s">
        <v>6101</v>
      </c>
      <c r="P700" t="s">
        <v>6108</v>
      </c>
      <c r="Q700">
        <v>2</v>
      </c>
      <c r="R700">
        <v>2026</v>
      </c>
      <c r="S700" t="s">
        <v>6100</v>
      </c>
      <c r="T700">
        <v>0</v>
      </c>
      <c r="U700" t="s">
        <v>6019</v>
      </c>
      <c r="V700">
        <v>1</v>
      </c>
    </row>
    <row r="701" spans="1:22" x14ac:dyDescent="0.3">
      <c r="A701" t="s">
        <v>716</v>
      </c>
      <c r="B701" s="2">
        <v>46057.944444444445</v>
      </c>
      <c r="C701" s="2">
        <v>46058.902777777781</v>
      </c>
      <c r="D701" t="s">
        <v>6024</v>
      </c>
      <c r="E701" t="s">
        <v>6029</v>
      </c>
      <c r="F701" t="s">
        <v>6033</v>
      </c>
      <c r="G701" t="s">
        <v>6073</v>
      </c>
      <c r="H701" t="s">
        <v>6096</v>
      </c>
      <c r="I701">
        <v>72</v>
      </c>
      <c r="J701">
        <v>23</v>
      </c>
      <c r="K701" t="s">
        <v>6099</v>
      </c>
      <c r="L701" t="s">
        <v>6100</v>
      </c>
      <c r="M701" t="s">
        <v>6100</v>
      </c>
      <c r="N701">
        <v>4</v>
      </c>
      <c r="O701" t="s">
        <v>6101</v>
      </c>
      <c r="P701" t="s">
        <v>6108</v>
      </c>
      <c r="Q701">
        <v>2</v>
      </c>
      <c r="R701">
        <v>2026</v>
      </c>
      <c r="S701" t="s">
        <v>6099</v>
      </c>
      <c r="T701">
        <v>1</v>
      </c>
      <c r="U701" t="s">
        <v>6017</v>
      </c>
      <c r="V701">
        <v>1</v>
      </c>
    </row>
    <row r="702" spans="1:22" x14ac:dyDescent="0.3">
      <c r="A702" t="s">
        <v>717</v>
      </c>
      <c r="B702" s="2">
        <v>46058</v>
      </c>
      <c r="C702" s="2">
        <v>46058.404166666667</v>
      </c>
      <c r="D702" t="s">
        <v>6022</v>
      </c>
      <c r="E702" t="s">
        <v>6029</v>
      </c>
      <c r="F702" t="s">
        <v>6033</v>
      </c>
      <c r="G702" t="s">
        <v>6072</v>
      </c>
      <c r="H702" t="s">
        <v>6097</v>
      </c>
      <c r="I702">
        <v>72</v>
      </c>
      <c r="J702">
        <v>9.6999999999999993</v>
      </c>
      <c r="K702" t="s">
        <v>6099</v>
      </c>
      <c r="L702" t="s">
        <v>6100</v>
      </c>
      <c r="M702" t="s">
        <v>6100</v>
      </c>
      <c r="N702">
        <v>5</v>
      </c>
      <c r="O702" t="s">
        <v>6101</v>
      </c>
      <c r="P702" t="s">
        <v>6108</v>
      </c>
      <c r="Q702">
        <v>2</v>
      </c>
      <c r="R702">
        <v>2026</v>
      </c>
      <c r="S702" t="s">
        <v>6099</v>
      </c>
      <c r="T702">
        <v>1</v>
      </c>
      <c r="U702" t="s">
        <v>6021</v>
      </c>
      <c r="V702">
        <v>1</v>
      </c>
    </row>
    <row r="703" spans="1:22" x14ac:dyDescent="0.3">
      <c r="A703" t="s">
        <v>718</v>
      </c>
      <c r="B703" s="2">
        <v>46058.318055555559</v>
      </c>
      <c r="C703" s="2">
        <v>46058.543055555558</v>
      </c>
      <c r="D703" t="s">
        <v>6027</v>
      </c>
      <c r="E703" t="s">
        <v>6029</v>
      </c>
      <c r="F703" t="s">
        <v>6033</v>
      </c>
      <c r="G703" t="s">
        <v>6055</v>
      </c>
      <c r="H703" t="s">
        <v>6096</v>
      </c>
      <c r="I703">
        <v>72</v>
      </c>
      <c r="J703">
        <v>5.4</v>
      </c>
      <c r="K703" t="s">
        <v>6100</v>
      </c>
      <c r="L703" t="s">
        <v>6099</v>
      </c>
      <c r="M703" t="s">
        <v>6100</v>
      </c>
      <c r="N703">
        <v>5</v>
      </c>
      <c r="O703" t="s">
        <v>6101</v>
      </c>
      <c r="P703" t="s">
        <v>6108</v>
      </c>
      <c r="Q703">
        <v>2</v>
      </c>
      <c r="R703">
        <v>2026</v>
      </c>
      <c r="S703" t="s">
        <v>6099</v>
      </c>
      <c r="T703">
        <v>1</v>
      </c>
      <c r="U703" t="s">
        <v>6017</v>
      </c>
      <c r="V703">
        <v>0</v>
      </c>
    </row>
    <row r="704" spans="1:22" x14ac:dyDescent="0.3">
      <c r="A704" t="s">
        <v>719</v>
      </c>
      <c r="B704" s="2">
        <v>46058.361805555556</v>
      </c>
      <c r="C704" s="2">
        <v>46059.878472222219</v>
      </c>
      <c r="D704" t="s">
        <v>6024</v>
      </c>
      <c r="E704" t="s">
        <v>6032</v>
      </c>
      <c r="F704" t="s">
        <v>6034</v>
      </c>
      <c r="G704" t="s">
        <v>6093</v>
      </c>
      <c r="H704" t="s">
        <v>6097</v>
      </c>
      <c r="I704">
        <v>24</v>
      </c>
      <c r="J704">
        <v>36.4</v>
      </c>
      <c r="K704" t="s">
        <v>6099</v>
      </c>
      <c r="L704" t="s">
        <v>6100</v>
      </c>
      <c r="M704" t="s">
        <v>6100</v>
      </c>
      <c r="N704">
        <v>5</v>
      </c>
      <c r="O704" t="s">
        <v>6101</v>
      </c>
      <c r="P704" t="s">
        <v>6108</v>
      </c>
      <c r="Q704">
        <v>2</v>
      </c>
      <c r="R704">
        <v>2026</v>
      </c>
      <c r="S704" t="s">
        <v>6100</v>
      </c>
      <c r="T704">
        <v>0</v>
      </c>
      <c r="U704" t="s">
        <v>6019</v>
      </c>
      <c r="V704">
        <v>1</v>
      </c>
    </row>
    <row r="705" spans="1:22" x14ac:dyDescent="0.3">
      <c r="A705" t="s">
        <v>720</v>
      </c>
      <c r="B705" s="2">
        <v>46058.369444444441</v>
      </c>
      <c r="C705" s="2">
        <v>46059.398611111108</v>
      </c>
      <c r="D705" t="s">
        <v>6022</v>
      </c>
      <c r="E705" t="s">
        <v>6031</v>
      </c>
      <c r="F705" t="s">
        <v>6033</v>
      </c>
      <c r="G705" t="s">
        <v>6048</v>
      </c>
      <c r="H705" t="s">
        <v>6096</v>
      </c>
      <c r="I705">
        <v>72</v>
      </c>
      <c r="J705">
        <v>24.7</v>
      </c>
      <c r="K705" t="s">
        <v>6099</v>
      </c>
      <c r="L705" t="s">
        <v>6100</v>
      </c>
      <c r="M705" t="s">
        <v>6100</v>
      </c>
      <c r="O705" t="s">
        <v>6101</v>
      </c>
      <c r="P705" t="s">
        <v>6108</v>
      </c>
      <c r="Q705">
        <v>2</v>
      </c>
      <c r="R705">
        <v>2026</v>
      </c>
      <c r="S705" t="s">
        <v>6099</v>
      </c>
      <c r="T705">
        <v>1</v>
      </c>
      <c r="U705" t="s">
        <v>6018</v>
      </c>
      <c r="V705">
        <v>1</v>
      </c>
    </row>
    <row r="706" spans="1:22" x14ac:dyDescent="0.3">
      <c r="A706" t="s">
        <v>721</v>
      </c>
      <c r="B706" s="2">
        <v>46058.374305555553</v>
      </c>
      <c r="C706" s="2">
        <v>46064.453472222223</v>
      </c>
      <c r="D706" t="s">
        <v>6025</v>
      </c>
      <c r="E706" t="s">
        <v>6031</v>
      </c>
      <c r="F706" t="s">
        <v>6033</v>
      </c>
      <c r="G706" t="s">
        <v>6066</v>
      </c>
      <c r="H706" t="s">
        <v>6096</v>
      </c>
      <c r="I706">
        <v>72</v>
      </c>
      <c r="J706">
        <v>145.9</v>
      </c>
      <c r="K706" t="s">
        <v>6100</v>
      </c>
      <c r="L706" t="s">
        <v>6100</v>
      </c>
      <c r="M706" t="s">
        <v>6100</v>
      </c>
      <c r="N706">
        <v>3</v>
      </c>
      <c r="O706" t="s">
        <v>6101</v>
      </c>
      <c r="P706" t="s">
        <v>6108</v>
      </c>
      <c r="Q706">
        <v>2</v>
      </c>
      <c r="R706">
        <v>2026</v>
      </c>
      <c r="S706" t="s">
        <v>6100</v>
      </c>
      <c r="T706">
        <v>0</v>
      </c>
      <c r="U706" t="s">
        <v>6020</v>
      </c>
      <c r="V706">
        <v>0</v>
      </c>
    </row>
    <row r="707" spans="1:22" x14ac:dyDescent="0.3">
      <c r="A707" t="s">
        <v>722</v>
      </c>
      <c r="B707" s="2">
        <v>46058.433333333334</v>
      </c>
      <c r="C707" s="2">
        <v>46058.6875</v>
      </c>
      <c r="D707" t="s">
        <v>6022</v>
      </c>
      <c r="E707" t="s">
        <v>6030</v>
      </c>
      <c r="F707" t="s">
        <v>6034</v>
      </c>
      <c r="G707" t="s">
        <v>6092</v>
      </c>
      <c r="H707" t="s">
        <v>6097</v>
      </c>
      <c r="I707">
        <v>24</v>
      </c>
      <c r="J707">
        <v>6.1</v>
      </c>
      <c r="K707" t="s">
        <v>6099</v>
      </c>
      <c r="L707" t="s">
        <v>6100</v>
      </c>
      <c r="M707" t="s">
        <v>6100</v>
      </c>
      <c r="O707" t="s">
        <v>6101</v>
      </c>
      <c r="P707" t="s">
        <v>6108</v>
      </c>
      <c r="Q707">
        <v>2</v>
      </c>
      <c r="R707">
        <v>2026</v>
      </c>
      <c r="S707" t="s">
        <v>6099</v>
      </c>
      <c r="T707">
        <v>1</v>
      </c>
      <c r="U707" t="s">
        <v>6019</v>
      </c>
      <c r="V707">
        <v>1</v>
      </c>
    </row>
    <row r="708" spans="1:22" x14ac:dyDescent="0.3">
      <c r="A708" t="s">
        <v>723</v>
      </c>
      <c r="B708" s="2">
        <v>46058.436805555553</v>
      </c>
      <c r="C708" s="2">
        <v>46062.165972222225</v>
      </c>
      <c r="D708" t="s">
        <v>6026</v>
      </c>
      <c r="E708" t="s">
        <v>6031</v>
      </c>
      <c r="F708" t="s">
        <v>6034</v>
      </c>
      <c r="G708" t="s">
        <v>6056</v>
      </c>
      <c r="H708" t="s">
        <v>6098</v>
      </c>
      <c r="I708">
        <v>24</v>
      </c>
      <c r="J708">
        <v>89.5</v>
      </c>
      <c r="K708" t="s">
        <v>6100</v>
      </c>
      <c r="L708" t="s">
        <v>6099</v>
      </c>
      <c r="M708" t="s">
        <v>6100</v>
      </c>
      <c r="N708">
        <v>3</v>
      </c>
      <c r="O708" t="s">
        <v>6101</v>
      </c>
      <c r="P708" t="s">
        <v>6108</v>
      </c>
      <c r="Q708">
        <v>2</v>
      </c>
      <c r="R708">
        <v>2026</v>
      </c>
      <c r="S708" t="s">
        <v>6100</v>
      </c>
      <c r="T708">
        <v>0</v>
      </c>
      <c r="U708" t="s">
        <v>6020</v>
      </c>
      <c r="V708">
        <v>0</v>
      </c>
    </row>
    <row r="709" spans="1:22" x14ac:dyDescent="0.3">
      <c r="A709" t="s">
        <v>724</v>
      </c>
      <c r="B709" s="2">
        <v>46058.49722222222</v>
      </c>
      <c r="C709" s="2">
        <v>46058.655555555553</v>
      </c>
      <c r="D709" t="s">
        <v>6023</v>
      </c>
      <c r="E709" t="s">
        <v>6030</v>
      </c>
      <c r="F709" t="s">
        <v>6034</v>
      </c>
      <c r="G709" t="s">
        <v>6065</v>
      </c>
      <c r="H709" t="s">
        <v>6097</v>
      </c>
      <c r="I709">
        <v>24</v>
      </c>
      <c r="J709">
        <v>3.8</v>
      </c>
      <c r="K709" t="s">
        <v>6099</v>
      </c>
      <c r="L709" t="s">
        <v>6100</v>
      </c>
      <c r="M709" t="s">
        <v>6100</v>
      </c>
      <c r="N709">
        <v>5</v>
      </c>
      <c r="O709" t="s">
        <v>6101</v>
      </c>
      <c r="P709" t="s">
        <v>6108</v>
      </c>
      <c r="Q709">
        <v>2</v>
      </c>
      <c r="R709">
        <v>2026</v>
      </c>
      <c r="S709" t="s">
        <v>6099</v>
      </c>
      <c r="T709">
        <v>1</v>
      </c>
      <c r="U709" t="s">
        <v>6020</v>
      </c>
      <c r="V709">
        <v>1</v>
      </c>
    </row>
    <row r="710" spans="1:22" x14ac:dyDescent="0.3">
      <c r="A710" t="s">
        <v>725</v>
      </c>
      <c r="B710" s="2">
        <v>46058.530555555553</v>
      </c>
      <c r="C710" s="2">
        <v>46060.155555555553</v>
      </c>
      <c r="D710" t="s">
        <v>6024</v>
      </c>
      <c r="E710" t="s">
        <v>6029</v>
      </c>
      <c r="F710" t="s">
        <v>6033</v>
      </c>
      <c r="G710" t="s">
        <v>6066</v>
      </c>
      <c r="H710" t="s">
        <v>6096</v>
      </c>
      <c r="I710">
        <v>72</v>
      </c>
      <c r="J710">
        <v>39</v>
      </c>
      <c r="K710" t="s">
        <v>6099</v>
      </c>
      <c r="L710" t="s">
        <v>6100</v>
      </c>
      <c r="M710" t="s">
        <v>6100</v>
      </c>
      <c r="O710" t="s">
        <v>6101</v>
      </c>
      <c r="P710" t="s">
        <v>6108</v>
      </c>
      <c r="Q710">
        <v>2</v>
      </c>
      <c r="R710">
        <v>2026</v>
      </c>
      <c r="S710" t="s">
        <v>6099</v>
      </c>
      <c r="T710">
        <v>1</v>
      </c>
      <c r="U710" t="s">
        <v>6020</v>
      </c>
      <c r="V710">
        <v>1</v>
      </c>
    </row>
    <row r="711" spans="1:22" x14ac:dyDescent="0.3">
      <c r="A711" t="s">
        <v>726</v>
      </c>
      <c r="B711" s="2">
        <v>46058.535416666666</v>
      </c>
      <c r="C711" s="2">
        <v>46059.268750000003</v>
      </c>
      <c r="D711" t="s">
        <v>6022</v>
      </c>
      <c r="E711" t="s">
        <v>6032</v>
      </c>
      <c r="F711" t="s">
        <v>6034</v>
      </c>
      <c r="G711" t="s">
        <v>6087</v>
      </c>
      <c r="H711" t="s">
        <v>6098</v>
      </c>
      <c r="I711">
        <v>24</v>
      </c>
      <c r="J711">
        <v>17.600000000000001</v>
      </c>
      <c r="K711" t="s">
        <v>6099</v>
      </c>
      <c r="L711" t="s">
        <v>6100</v>
      </c>
      <c r="M711" t="s">
        <v>6100</v>
      </c>
      <c r="O711" t="s">
        <v>6101</v>
      </c>
      <c r="P711" t="s">
        <v>6108</v>
      </c>
      <c r="Q711">
        <v>2</v>
      </c>
      <c r="R711">
        <v>2026</v>
      </c>
      <c r="S711" t="s">
        <v>6099</v>
      </c>
      <c r="T711">
        <v>1</v>
      </c>
      <c r="U711" t="s">
        <v>6021</v>
      </c>
      <c r="V711">
        <v>1</v>
      </c>
    </row>
    <row r="712" spans="1:22" x14ac:dyDescent="0.3">
      <c r="A712" t="s">
        <v>727</v>
      </c>
      <c r="B712" s="2">
        <v>46058.561805555553</v>
      </c>
      <c r="C712" s="2">
        <v>46059.453472222223</v>
      </c>
      <c r="D712" t="s">
        <v>6022</v>
      </c>
      <c r="E712" t="s">
        <v>6029</v>
      </c>
      <c r="F712" t="s">
        <v>6033</v>
      </c>
      <c r="G712" t="s">
        <v>6093</v>
      </c>
      <c r="H712" t="s">
        <v>6097</v>
      </c>
      <c r="I712">
        <v>72</v>
      </c>
      <c r="J712">
        <v>21.4</v>
      </c>
      <c r="K712" t="s">
        <v>6099</v>
      </c>
      <c r="L712" t="s">
        <v>6100</v>
      </c>
      <c r="M712" t="s">
        <v>6100</v>
      </c>
      <c r="N712">
        <v>5</v>
      </c>
      <c r="O712" t="s">
        <v>6101</v>
      </c>
      <c r="P712" t="s">
        <v>6108</v>
      </c>
      <c r="Q712">
        <v>2</v>
      </c>
      <c r="R712">
        <v>2026</v>
      </c>
      <c r="S712" t="s">
        <v>6099</v>
      </c>
      <c r="T712">
        <v>1</v>
      </c>
      <c r="U712" t="s">
        <v>6018</v>
      </c>
      <c r="V712">
        <v>1</v>
      </c>
    </row>
    <row r="713" spans="1:22" x14ac:dyDescent="0.3">
      <c r="A713" t="s">
        <v>728</v>
      </c>
      <c r="B713" s="2">
        <v>46058.603472222225</v>
      </c>
      <c r="C713" s="2">
        <v>46059.136805555558</v>
      </c>
      <c r="D713" t="s">
        <v>6024</v>
      </c>
      <c r="E713" t="s">
        <v>6029</v>
      </c>
      <c r="F713" t="s">
        <v>6034</v>
      </c>
      <c r="G713" t="s">
        <v>6040</v>
      </c>
      <c r="H713" t="s">
        <v>6097</v>
      </c>
      <c r="I713">
        <v>24</v>
      </c>
      <c r="J713">
        <v>12.8</v>
      </c>
      <c r="K713" t="s">
        <v>6100</v>
      </c>
      <c r="L713" t="s">
        <v>6100</v>
      </c>
      <c r="M713" t="s">
        <v>6100</v>
      </c>
      <c r="N713">
        <v>4</v>
      </c>
      <c r="O713" t="s">
        <v>6101</v>
      </c>
      <c r="P713" t="s">
        <v>6108</v>
      </c>
      <c r="Q713">
        <v>2</v>
      </c>
      <c r="R713">
        <v>2026</v>
      </c>
      <c r="S713" t="s">
        <v>6099</v>
      </c>
      <c r="T713">
        <v>1</v>
      </c>
      <c r="U713" t="s">
        <v>6018</v>
      </c>
      <c r="V713">
        <v>0</v>
      </c>
    </row>
    <row r="714" spans="1:22" x14ac:dyDescent="0.3">
      <c r="A714" t="s">
        <v>729</v>
      </c>
      <c r="B714" s="2">
        <v>46058.631944444445</v>
      </c>
      <c r="C714" s="2">
        <v>46058.744444444441</v>
      </c>
      <c r="D714" t="s">
        <v>6028</v>
      </c>
      <c r="E714" t="s">
        <v>6029</v>
      </c>
      <c r="F714" t="s">
        <v>6035</v>
      </c>
      <c r="G714" t="s">
        <v>6094</v>
      </c>
      <c r="H714" t="s">
        <v>6098</v>
      </c>
      <c r="I714">
        <v>4</v>
      </c>
      <c r="J714">
        <v>2.7</v>
      </c>
      <c r="K714" t="s">
        <v>6099</v>
      </c>
      <c r="L714" t="s">
        <v>6100</v>
      </c>
      <c r="M714" t="s">
        <v>6100</v>
      </c>
      <c r="N714">
        <v>5</v>
      </c>
      <c r="O714" t="s">
        <v>6101</v>
      </c>
      <c r="P714" t="s">
        <v>6108</v>
      </c>
      <c r="Q714">
        <v>2</v>
      </c>
      <c r="R714">
        <v>2026</v>
      </c>
      <c r="S714" t="s">
        <v>6099</v>
      </c>
      <c r="T714">
        <v>1</v>
      </c>
      <c r="U714" t="s">
        <v>6017</v>
      </c>
      <c r="V714">
        <v>1</v>
      </c>
    </row>
    <row r="715" spans="1:22" x14ac:dyDescent="0.3">
      <c r="A715" t="s">
        <v>730</v>
      </c>
      <c r="B715" s="2">
        <v>46058.637499999997</v>
      </c>
      <c r="C715" s="2">
        <v>46059.412499999999</v>
      </c>
      <c r="D715" t="s">
        <v>6022</v>
      </c>
      <c r="E715" t="s">
        <v>6032</v>
      </c>
      <c r="F715" t="s">
        <v>6033</v>
      </c>
      <c r="G715" t="s">
        <v>6084</v>
      </c>
      <c r="H715" t="s">
        <v>6098</v>
      </c>
      <c r="I715">
        <v>72</v>
      </c>
      <c r="J715">
        <v>18.600000000000001</v>
      </c>
      <c r="K715" t="s">
        <v>6099</v>
      </c>
      <c r="L715" t="s">
        <v>6100</v>
      </c>
      <c r="M715" t="s">
        <v>6100</v>
      </c>
      <c r="N715">
        <v>5</v>
      </c>
      <c r="O715" t="s">
        <v>6101</v>
      </c>
      <c r="P715" t="s">
        <v>6108</v>
      </c>
      <c r="Q715">
        <v>2</v>
      </c>
      <c r="R715">
        <v>2026</v>
      </c>
      <c r="S715" t="s">
        <v>6099</v>
      </c>
      <c r="T715">
        <v>1</v>
      </c>
      <c r="U715" t="s">
        <v>6020</v>
      </c>
      <c r="V715">
        <v>1</v>
      </c>
    </row>
    <row r="716" spans="1:22" x14ac:dyDescent="0.3">
      <c r="A716" t="s">
        <v>731</v>
      </c>
      <c r="B716" s="2">
        <v>46058.642361111109</v>
      </c>
      <c r="C716" s="2">
        <v>46058.913194444445</v>
      </c>
      <c r="D716" t="s">
        <v>6024</v>
      </c>
      <c r="E716" t="s">
        <v>6030</v>
      </c>
      <c r="F716" t="s">
        <v>6035</v>
      </c>
      <c r="G716" t="s">
        <v>6089</v>
      </c>
      <c r="H716" t="s">
        <v>6098</v>
      </c>
      <c r="I716">
        <v>4</v>
      </c>
      <c r="J716">
        <v>6.5</v>
      </c>
      <c r="K716" t="s">
        <v>6099</v>
      </c>
      <c r="L716" t="s">
        <v>6100</v>
      </c>
      <c r="M716" t="s">
        <v>6100</v>
      </c>
      <c r="N716">
        <v>4</v>
      </c>
      <c r="O716" t="s">
        <v>6101</v>
      </c>
      <c r="P716" t="s">
        <v>6108</v>
      </c>
      <c r="Q716">
        <v>2</v>
      </c>
      <c r="R716">
        <v>2026</v>
      </c>
      <c r="S716" t="s">
        <v>6100</v>
      </c>
      <c r="T716">
        <v>0</v>
      </c>
      <c r="U716" t="s">
        <v>6019</v>
      </c>
      <c r="V716">
        <v>1</v>
      </c>
    </row>
    <row r="717" spans="1:22" x14ac:dyDescent="0.3">
      <c r="A717" t="s">
        <v>732</v>
      </c>
      <c r="B717" s="2">
        <v>46058.645138888889</v>
      </c>
      <c r="C717" s="2">
        <v>46059.665972222225</v>
      </c>
      <c r="D717" t="s">
        <v>6023</v>
      </c>
      <c r="E717" t="s">
        <v>6032</v>
      </c>
      <c r="F717" t="s">
        <v>6033</v>
      </c>
      <c r="G717" t="s">
        <v>6076</v>
      </c>
      <c r="H717" t="s">
        <v>6097</v>
      </c>
      <c r="I717">
        <v>72</v>
      </c>
      <c r="J717">
        <v>24.5</v>
      </c>
      <c r="K717" t="s">
        <v>6099</v>
      </c>
      <c r="L717" t="s">
        <v>6100</v>
      </c>
      <c r="M717" t="s">
        <v>6100</v>
      </c>
      <c r="N717">
        <v>4</v>
      </c>
      <c r="O717" t="s">
        <v>6101</v>
      </c>
      <c r="P717" t="s">
        <v>6108</v>
      </c>
      <c r="Q717">
        <v>2</v>
      </c>
      <c r="R717">
        <v>2026</v>
      </c>
      <c r="S717" t="s">
        <v>6099</v>
      </c>
      <c r="T717">
        <v>1</v>
      </c>
      <c r="U717" t="s">
        <v>6017</v>
      </c>
      <c r="V717">
        <v>1</v>
      </c>
    </row>
    <row r="718" spans="1:22" x14ac:dyDescent="0.3">
      <c r="A718" t="s">
        <v>733</v>
      </c>
      <c r="B718" s="2">
        <v>46058.65625</v>
      </c>
      <c r="C718" s="2">
        <v>46059.03125</v>
      </c>
      <c r="D718" t="s">
        <v>6024</v>
      </c>
      <c r="E718" t="s">
        <v>6029</v>
      </c>
      <c r="F718" t="s">
        <v>6034</v>
      </c>
      <c r="G718" t="s">
        <v>6068</v>
      </c>
      <c r="H718" t="s">
        <v>6098</v>
      </c>
      <c r="I718">
        <v>24</v>
      </c>
      <c r="J718">
        <v>9</v>
      </c>
      <c r="K718" t="s">
        <v>6099</v>
      </c>
      <c r="L718" t="s">
        <v>6100</v>
      </c>
      <c r="M718" t="s">
        <v>6100</v>
      </c>
      <c r="N718">
        <v>5</v>
      </c>
      <c r="O718" t="s">
        <v>6101</v>
      </c>
      <c r="P718" t="s">
        <v>6108</v>
      </c>
      <c r="Q718">
        <v>2</v>
      </c>
      <c r="R718">
        <v>2026</v>
      </c>
      <c r="S718" t="s">
        <v>6099</v>
      </c>
      <c r="T718">
        <v>1</v>
      </c>
      <c r="U718" t="s">
        <v>6019</v>
      </c>
      <c r="V718">
        <v>1</v>
      </c>
    </row>
    <row r="719" spans="1:22" x14ac:dyDescent="0.3">
      <c r="A719" t="s">
        <v>734</v>
      </c>
      <c r="B719" s="2">
        <v>46058.657638888886</v>
      </c>
      <c r="C719" s="2">
        <v>46059.46597222222</v>
      </c>
      <c r="D719" t="s">
        <v>6024</v>
      </c>
      <c r="E719" t="s">
        <v>6032</v>
      </c>
      <c r="F719" t="s">
        <v>6034</v>
      </c>
      <c r="G719" t="s">
        <v>6088</v>
      </c>
      <c r="H719" t="s">
        <v>6097</v>
      </c>
      <c r="I719">
        <v>24</v>
      </c>
      <c r="J719">
        <v>19.399999999999999</v>
      </c>
      <c r="K719" t="s">
        <v>6099</v>
      </c>
      <c r="L719" t="s">
        <v>6100</v>
      </c>
      <c r="M719" t="s">
        <v>6100</v>
      </c>
      <c r="N719">
        <v>5</v>
      </c>
      <c r="O719" t="s">
        <v>6101</v>
      </c>
      <c r="P719" t="s">
        <v>6108</v>
      </c>
      <c r="Q719">
        <v>2</v>
      </c>
      <c r="R719">
        <v>2026</v>
      </c>
      <c r="S719" t="s">
        <v>6099</v>
      </c>
      <c r="T719">
        <v>1</v>
      </c>
      <c r="U719" t="s">
        <v>6021</v>
      </c>
      <c r="V719">
        <v>1</v>
      </c>
    </row>
    <row r="720" spans="1:22" x14ac:dyDescent="0.3">
      <c r="A720" t="s">
        <v>735</v>
      </c>
      <c r="B720" s="2">
        <v>46058.716666666667</v>
      </c>
      <c r="C720" s="2">
        <v>46059.1</v>
      </c>
      <c r="D720" t="s">
        <v>6023</v>
      </c>
      <c r="E720" t="s">
        <v>6032</v>
      </c>
      <c r="F720" t="s">
        <v>6033</v>
      </c>
      <c r="G720" t="s">
        <v>6056</v>
      </c>
      <c r="H720" t="s">
        <v>6098</v>
      </c>
      <c r="I720">
        <v>72</v>
      </c>
      <c r="J720">
        <v>9.1999999999999993</v>
      </c>
      <c r="K720" t="s">
        <v>6099</v>
      </c>
      <c r="L720" t="s">
        <v>6100</v>
      </c>
      <c r="M720" t="s">
        <v>6100</v>
      </c>
      <c r="N720">
        <v>4</v>
      </c>
      <c r="O720" t="s">
        <v>6101</v>
      </c>
      <c r="P720" t="s">
        <v>6108</v>
      </c>
      <c r="Q720">
        <v>2</v>
      </c>
      <c r="R720">
        <v>2026</v>
      </c>
      <c r="S720" t="s">
        <v>6099</v>
      </c>
      <c r="T720">
        <v>1</v>
      </c>
      <c r="U720" t="s">
        <v>6018</v>
      </c>
      <c r="V720">
        <v>1</v>
      </c>
    </row>
    <row r="721" spans="1:22" x14ac:dyDescent="0.3">
      <c r="A721" t="s">
        <v>736</v>
      </c>
      <c r="B721" s="2">
        <v>46058.74722222222</v>
      </c>
      <c r="C721" s="2">
        <v>46059.113888888889</v>
      </c>
      <c r="D721" t="s">
        <v>6024</v>
      </c>
      <c r="E721" t="s">
        <v>6030</v>
      </c>
      <c r="F721" t="s">
        <v>6034</v>
      </c>
      <c r="G721" t="s">
        <v>6058</v>
      </c>
      <c r="H721" t="s">
        <v>6098</v>
      </c>
      <c r="I721">
        <v>24</v>
      </c>
      <c r="J721">
        <v>8.8000000000000007</v>
      </c>
      <c r="K721" t="s">
        <v>6099</v>
      </c>
      <c r="L721" t="s">
        <v>6100</v>
      </c>
      <c r="M721" t="s">
        <v>6100</v>
      </c>
      <c r="N721">
        <v>5</v>
      </c>
      <c r="O721" t="s">
        <v>6101</v>
      </c>
      <c r="P721" t="s">
        <v>6108</v>
      </c>
      <c r="Q721">
        <v>2</v>
      </c>
      <c r="R721">
        <v>2026</v>
      </c>
      <c r="S721" t="s">
        <v>6099</v>
      </c>
      <c r="T721">
        <v>1</v>
      </c>
      <c r="U721" t="s">
        <v>6017</v>
      </c>
      <c r="V721">
        <v>1</v>
      </c>
    </row>
    <row r="722" spans="1:22" x14ac:dyDescent="0.3">
      <c r="A722" t="s">
        <v>737</v>
      </c>
      <c r="B722" s="2">
        <v>46058.754166666666</v>
      </c>
      <c r="C722" s="2">
        <v>46059.54583333333</v>
      </c>
      <c r="D722" t="s">
        <v>6028</v>
      </c>
      <c r="E722" t="s">
        <v>6029</v>
      </c>
      <c r="F722" t="s">
        <v>6035</v>
      </c>
      <c r="G722" t="s">
        <v>6036</v>
      </c>
      <c r="H722" t="s">
        <v>6096</v>
      </c>
      <c r="I722">
        <v>4</v>
      </c>
      <c r="J722">
        <v>19</v>
      </c>
      <c r="K722" t="s">
        <v>6099</v>
      </c>
      <c r="L722" t="s">
        <v>6100</v>
      </c>
      <c r="M722" t="s">
        <v>6099</v>
      </c>
      <c r="O722" t="s">
        <v>6101</v>
      </c>
      <c r="P722" t="s">
        <v>6108</v>
      </c>
      <c r="Q722">
        <v>2</v>
      </c>
      <c r="R722">
        <v>2026</v>
      </c>
      <c r="S722" t="s">
        <v>6100</v>
      </c>
      <c r="T722">
        <v>0</v>
      </c>
      <c r="U722" t="s">
        <v>6017</v>
      </c>
      <c r="V722">
        <v>1</v>
      </c>
    </row>
    <row r="723" spans="1:22" x14ac:dyDescent="0.3">
      <c r="A723" t="s">
        <v>738</v>
      </c>
      <c r="B723" s="2">
        <v>46058.757638888892</v>
      </c>
      <c r="C723" s="2">
        <v>46060.507638888892</v>
      </c>
      <c r="D723" t="s">
        <v>6026</v>
      </c>
      <c r="E723" t="s">
        <v>6029</v>
      </c>
      <c r="F723" t="s">
        <v>6034</v>
      </c>
      <c r="G723" t="s">
        <v>6055</v>
      </c>
      <c r="H723" t="s">
        <v>6096</v>
      </c>
      <c r="I723">
        <v>24</v>
      </c>
      <c r="J723">
        <v>42</v>
      </c>
      <c r="K723" t="s">
        <v>6100</v>
      </c>
      <c r="L723" t="s">
        <v>6100</v>
      </c>
      <c r="M723" t="s">
        <v>6099</v>
      </c>
      <c r="O723" t="s">
        <v>6101</v>
      </c>
      <c r="P723" t="s">
        <v>6108</v>
      </c>
      <c r="Q723">
        <v>2</v>
      </c>
      <c r="R723">
        <v>2026</v>
      </c>
      <c r="S723" t="s">
        <v>6100</v>
      </c>
      <c r="T723">
        <v>0</v>
      </c>
      <c r="U723" t="s">
        <v>6018</v>
      </c>
      <c r="V723">
        <v>0</v>
      </c>
    </row>
    <row r="724" spans="1:22" x14ac:dyDescent="0.3">
      <c r="A724" t="s">
        <v>739</v>
      </c>
      <c r="B724" s="2">
        <v>46059.118055555555</v>
      </c>
      <c r="C724" s="2">
        <v>46059.226388888892</v>
      </c>
      <c r="D724" t="s">
        <v>6023</v>
      </c>
      <c r="E724" t="s">
        <v>6029</v>
      </c>
      <c r="F724" t="s">
        <v>6035</v>
      </c>
      <c r="G724" t="s">
        <v>6060</v>
      </c>
      <c r="H724" t="s">
        <v>6097</v>
      </c>
      <c r="I724">
        <v>4</v>
      </c>
      <c r="J724">
        <v>2.6</v>
      </c>
      <c r="K724" t="s">
        <v>6099</v>
      </c>
      <c r="L724" t="s">
        <v>6100</v>
      </c>
      <c r="M724" t="s">
        <v>6099</v>
      </c>
      <c r="N724">
        <v>5</v>
      </c>
      <c r="O724" t="s">
        <v>6101</v>
      </c>
      <c r="P724" t="s">
        <v>6108</v>
      </c>
      <c r="Q724">
        <v>2</v>
      </c>
      <c r="R724">
        <v>2026</v>
      </c>
      <c r="S724" t="s">
        <v>6099</v>
      </c>
      <c r="T724">
        <v>1</v>
      </c>
      <c r="U724" t="s">
        <v>6017</v>
      </c>
      <c r="V724">
        <v>1</v>
      </c>
    </row>
    <row r="725" spans="1:22" x14ac:dyDescent="0.3">
      <c r="A725" t="s">
        <v>740</v>
      </c>
      <c r="B725" s="2">
        <v>46059.131249999999</v>
      </c>
      <c r="C725" s="2">
        <v>46059.527083333334</v>
      </c>
      <c r="D725" t="s">
        <v>6023</v>
      </c>
      <c r="E725" t="s">
        <v>6032</v>
      </c>
      <c r="F725" t="s">
        <v>6033</v>
      </c>
      <c r="G725" t="s">
        <v>6073</v>
      </c>
      <c r="H725" t="s">
        <v>6096</v>
      </c>
      <c r="I725">
        <v>72</v>
      </c>
      <c r="J725">
        <v>9.5</v>
      </c>
      <c r="K725" t="s">
        <v>6100</v>
      </c>
      <c r="L725" t="s">
        <v>6100</v>
      </c>
      <c r="M725" t="s">
        <v>6100</v>
      </c>
      <c r="N725">
        <v>5</v>
      </c>
      <c r="O725" t="s">
        <v>6101</v>
      </c>
      <c r="P725" t="s">
        <v>6108</v>
      </c>
      <c r="Q725">
        <v>2</v>
      </c>
      <c r="R725">
        <v>2026</v>
      </c>
      <c r="S725" t="s">
        <v>6099</v>
      </c>
      <c r="T725">
        <v>1</v>
      </c>
      <c r="U725" t="s">
        <v>6020</v>
      </c>
      <c r="V725">
        <v>0</v>
      </c>
    </row>
    <row r="726" spans="1:22" x14ac:dyDescent="0.3">
      <c r="A726" t="s">
        <v>741</v>
      </c>
      <c r="B726" s="2">
        <v>46059.272222222222</v>
      </c>
      <c r="C726" s="2">
        <v>46059.472222222219</v>
      </c>
      <c r="D726" t="s">
        <v>6023</v>
      </c>
      <c r="E726" t="s">
        <v>6030</v>
      </c>
      <c r="F726" t="s">
        <v>6034</v>
      </c>
      <c r="G726" t="s">
        <v>6069</v>
      </c>
      <c r="H726" t="s">
        <v>6098</v>
      </c>
      <c r="I726">
        <v>24</v>
      </c>
      <c r="J726">
        <v>4.8</v>
      </c>
      <c r="K726" t="s">
        <v>6099</v>
      </c>
      <c r="L726" t="s">
        <v>6100</v>
      </c>
      <c r="M726" t="s">
        <v>6100</v>
      </c>
      <c r="N726">
        <v>3</v>
      </c>
      <c r="O726" t="s">
        <v>6101</v>
      </c>
      <c r="P726" t="s">
        <v>6108</v>
      </c>
      <c r="Q726">
        <v>2</v>
      </c>
      <c r="R726">
        <v>2026</v>
      </c>
      <c r="S726" t="s">
        <v>6099</v>
      </c>
      <c r="T726">
        <v>1</v>
      </c>
      <c r="U726" t="s">
        <v>6019</v>
      </c>
      <c r="V726">
        <v>1</v>
      </c>
    </row>
    <row r="727" spans="1:22" x14ac:dyDescent="0.3">
      <c r="A727" t="s">
        <v>742</v>
      </c>
      <c r="B727" s="2">
        <v>46059.440972222219</v>
      </c>
      <c r="C727" s="2">
        <v>46060.870138888888</v>
      </c>
      <c r="D727" t="s">
        <v>6022</v>
      </c>
      <c r="E727" t="s">
        <v>6029</v>
      </c>
      <c r="F727" t="s">
        <v>6034</v>
      </c>
      <c r="G727" t="s">
        <v>6076</v>
      </c>
      <c r="H727" t="s">
        <v>6097</v>
      </c>
      <c r="I727">
        <v>24</v>
      </c>
      <c r="J727">
        <v>34.299999999999997</v>
      </c>
      <c r="K727" t="s">
        <v>6100</v>
      </c>
      <c r="L727" t="s">
        <v>6100</v>
      </c>
      <c r="M727" t="s">
        <v>6100</v>
      </c>
      <c r="N727">
        <v>3</v>
      </c>
      <c r="O727" t="s">
        <v>6101</v>
      </c>
      <c r="P727" t="s">
        <v>6108</v>
      </c>
      <c r="Q727">
        <v>2</v>
      </c>
      <c r="R727">
        <v>2026</v>
      </c>
      <c r="S727" t="s">
        <v>6100</v>
      </c>
      <c r="T727">
        <v>0</v>
      </c>
      <c r="U727" t="s">
        <v>6019</v>
      </c>
      <c r="V727">
        <v>0</v>
      </c>
    </row>
    <row r="728" spans="1:22" x14ac:dyDescent="0.3">
      <c r="A728" t="s">
        <v>743</v>
      </c>
      <c r="B728" s="2">
        <v>46059.463888888888</v>
      </c>
      <c r="C728" s="2">
        <v>46059.80972222222</v>
      </c>
      <c r="D728" t="s">
        <v>6022</v>
      </c>
      <c r="E728" t="s">
        <v>6029</v>
      </c>
      <c r="F728" t="s">
        <v>6033</v>
      </c>
      <c r="G728" t="s">
        <v>6046</v>
      </c>
      <c r="H728" t="s">
        <v>6098</v>
      </c>
      <c r="I728">
        <v>72</v>
      </c>
      <c r="J728">
        <v>8.3000000000000007</v>
      </c>
      <c r="K728" t="s">
        <v>6100</v>
      </c>
      <c r="L728" t="s">
        <v>6100</v>
      </c>
      <c r="M728" t="s">
        <v>6100</v>
      </c>
      <c r="N728">
        <v>5</v>
      </c>
      <c r="O728" t="s">
        <v>6101</v>
      </c>
      <c r="P728" t="s">
        <v>6108</v>
      </c>
      <c r="Q728">
        <v>2</v>
      </c>
      <c r="R728">
        <v>2026</v>
      </c>
      <c r="S728" t="s">
        <v>6099</v>
      </c>
      <c r="T728">
        <v>1</v>
      </c>
      <c r="U728" t="s">
        <v>6017</v>
      </c>
      <c r="V728">
        <v>0</v>
      </c>
    </row>
    <row r="729" spans="1:22" x14ac:dyDescent="0.3">
      <c r="A729" t="s">
        <v>744</v>
      </c>
      <c r="B729" s="2">
        <v>46059.466666666667</v>
      </c>
      <c r="C729" s="2">
        <v>46059.95416666667</v>
      </c>
      <c r="D729" t="s">
        <v>6028</v>
      </c>
      <c r="E729" t="s">
        <v>6031</v>
      </c>
      <c r="F729" t="s">
        <v>6034</v>
      </c>
      <c r="G729" t="s">
        <v>6048</v>
      </c>
      <c r="H729" t="s">
        <v>6096</v>
      </c>
      <c r="I729">
        <v>24</v>
      </c>
      <c r="J729">
        <v>11.7</v>
      </c>
      <c r="K729" t="s">
        <v>6099</v>
      </c>
      <c r="L729" t="s">
        <v>6100</v>
      </c>
      <c r="M729" t="s">
        <v>6100</v>
      </c>
      <c r="N729">
        <v>5</v>
      </c>
      <c r="O729" t="s">
        <v>6101</v>
      </c>
      <c r="P729" t="s">
        <v>6108</v>
      </c>
      <c r="Q729">
        <v>2</v>
      </c>
      <c r="R729">
        <v>2026</v>
      </c>
      <c r="S729" t="s">
        <v>6099</v>
      </c>
      <c r="T729">
        <v>1</v>
      </c>
      <c r="U729" t="s">
        <v>6021</v>
      </c>
      <c r="V729">
        <v>1</v>
      </c>
    </row>
    <row r="730" spans="1:22" x14ac:dyDescent="0.3">
      <c r="A730" t="s">
        <v>745</v>
      </c>
      <c r="B730" s="2">
        <v>46059.50277777778</v>
      </c>
      <c r="C730" s="2">
        <v>46060.25277777778</v>
      </c>
      <c r="D730" t="s">
        <v>6025</v>
      </c>
      <c r="E730" t="s">
        <v>6030</v>
      </c>
      <c r="F730" t="s">
        <v>6033</v>
      </c>
      <c r="G730" t="s">
        <v>6076</v>
      </c>
      <c r="H730" t="s">
        <v>6097</v>
      </c>
      <c r="I730">
        <v>72</v>
      </c>
      <c r="J730">
        <v>18</v>
      </c>
      <c r="K730" t="s">
        <v>6099</v>
      </c>
      <c r="L730" t="s">
        <v>6100</v>
      </c>
      <c r="M730" t="s">
        <v>6100</v>
      </c>
      <c r="O730" t="s">
        <v>6101</v>
      </c>
      <c r="P730" t="s">
        <v>6108</v>
      </c>
      <c r="Q730">
        <v>2</v>
      </c>
      <c r="R730">
        <v>2026</v>
      </c>
      <c r="S730" t="s">
        <v>6099</v>
      </c>
      <c r="T730">
        <v>1</v>
      </c>
      <c r="U730" t="s">
        <v>6018</v>
      </c>
      <c r="V730">
        <v>1</v>
      </c>
    </row>
    <row r="731" spans="1:22" x14ac:dyDescent="0.3">
      <c r="A731" t="s">
        <v>746</v>
      </c>
      <c r="B731" s="2">
        <v>46059.530555555553</v>
      </c>
      <c r="C731" s="2">
        <v>46059.988888888889</v>
      </c>
      <c r="D731" t="s">
        <v>6022</v>
      </c>
      <c r="E731" t="s">
        <v>6029</v>
      </c>
      <c r="F731" t="s">
        <v>6034</v>
      </c>
      <c r="G731" t="s">
        <v>6041</v>
      </c>
      <c r="H731" t="s">
        <v>6096</v>
      </c>
      <c r="I731">
        <v>24</v>
      </c>
      <c r="J731">
        <v>11</v>
      </c>
      <c r="K731" t="s">
        <v>6099</v>
      </c>
      <c r="L731" t="s">
        <v>6100</v>
      </c>
      <c r="M731" t="s">
        <v>6100</v>
      </c>
      <c r="N731">
        <v>5</v>
      </c>
      <c r="O731" t="s">
        <v>6101</v>
      </c>
      <c r="P731" t="s">
        <v>6108</v>
      </c>
      <c r="Q731">
        <v>2</v>
      </c>
      <c r="R731">
        <v>2026</v>
      </c>
      <c r="S731" t="s">
        <v>6099</v>
      </c>
      <c r="T731">
        <v>1</v>
      </c>
      <c r="U731" t="s">
        <v>6020</v>
      </c>
      <c r="V731">
        <v>1</v>
      </c>
    </row>
    <row r="732" spans="1:22" x14ac:dyDescent="0.3">
      <c r="A732" t="s">
        <v>747</v>
      </c>
      <c r="B732" s="2">
        <v>46059.533333333333</v>
      </c>
      <c r="C732" s="2">
        <v>46060.224999999999</v>
      </c>
      <c r="D732" t="s">
        <v>6026</v>
      </c>
      <c r="E732" t="s">
        <v>6029</v>
      </c>
      <c r="F732" t="s">
        <v>6033</v>
      </c>
      <c r="G732" t="s">
        <v>6053</v>
      </c>
      <c r="H732" t="s">
        <v>6097</v>
      </c>
      <c r="I732">
        <v>72</v>
      </c>
      <c r="J732">
        <v>16.600000000000001</v>
      </c>
      <c r="K732" t="s">
        <v>6099</v>
      </c>
      <c r="L732" t="s">
        <v>6100</v>
      </c>
      <c r="M732" t="s">
        <v>6100</v>
      </c>
      <c r="O732" t="s">
        <v>6101</v>
      </c>
      <c r="P732" t="s">
        <v>6108</v>
      </c>
      <c r="Q732">
        <v>2</v>
      </c>
      <c r="R732">
        <v>2026</v>
      </c>
      <c r="S732" t="s">
        <v>6099</v>
      </c>
      <c r="T732">
        <v>1</v>
      </c>
      <c r="U732" t="s">
        <v>6020</v>
      </c>
      <c r="V732">
        <v>1</v>
      </c>
    </row>
    <row r="733" spans="1:22" x14ac:dyDescent="0.3">
      <c r="A733" t="s">
        <v>748</v>
      </c>
      <c r="B733" s="2">
        <v>46059.534722222219</v>
      </c>
      <c r="C733" s="2">
        <v>46062.418055555558</v>
      </c>
      <c r="D733" t="s">
        <v>6028</v>
      </c>
      <c r="E733" t="s">
        <v>6031</v>
      </c>
      <c r="F733" t="s">
        <v>6034</v>
      </c>
      <c r="G733" t="s">
        <v>6070</v>
      </c>
      <c r="H733" t="s">
        <v>6097</v>
      </c>
      <c r="I733">
        <v>24</v>
      </c>
      <c r="J733">
        <v>69.2</v>
      </c>
      <c r="K733" t="s">
        <v>6099</v>
      </c>
      <c r="L733" t="s">
        <v>6100</v>
      </c>
      <c r="M733" t="s">
        <v>6100</v>
      </c>
      <c r="O733" t="s">
        <v>6101</v>
      </c>
      <c r="P733" t="s">
        <v>6108</v>
      </c>
      <c r="Q733">
        <v>2</v>
      </c>
      <c r="R733">
        <v>2026</v>
      </c>
      <c r="S733" t="s">
        <v>6100</v>
      </c>
      <c r="T733">
        <v>0</v>
      </c>
      <c r="U733" t="s">
        <v>6019</v>
      </c>
      <c r="V733">
        <v>1</v>
      </c>
    </row>
    <row r="734" spans="1:22" x14ac:dyDescent="0.3">
      <c r="A734" t="s">
        <v>749</v>
      </c>
      <c r="B734" s="2">
        <v>46059.567361111112</v>
      </c>
      <c r="C734" s="2">
        <v>46063.067361111112</v>
      </c>
      <c r="D734" t="s">
        <v>6026</v>
      </c>
      <c r="E734" t="s">
        <v>6029</v>
      </c>
      <c r="F734" t="s">
        <v>6034</v>
      </c>
      <c r="G734" t="s">
        <v>6036</v>
      </c>
      <c r="H734" t="s">
        <v>6096</v>
      </c>
      <c r="I734">
        <v>24</v>
      </c>
      <c r="J734">
        <v>84</v>
      </c>
      <c r="K734" t="s">
        <v>6099</v>
      </c>
      <c r="L734" t="s">
        <v>6100</v>
      </c>
      <c r="M734" t="s">
        <v>6100</v>
      </c>
      <c r="N734">
        <v>5</v>
      </c>
      <c r="O734" t="s">
        <v>6101</v>
      </c>
      <c r="P734" t="s">
        <v>6108</v>
      </c>
      <c r="Q734">
        <v>2</v>
      </c>
      <c r="R734">
        <v>2026</v>
      </c>
      <c r="S734" t="s">
        <v>6100</v>
      </c>
      <c r="T734">
        <v>0</v>
      </c>
      <c r="U734" t="s">
        <v>6017</v>
      </c>
      <c r="V734">
        <v>1</v>
      </c>
    </row>
    <row r="735" spans="1:22" x14ac:dyDescent="0.3">
      <c r="A735" t="s">
        <v>750</v>
      </c>
      <c r="B735" s="2">
        <v>46059.584027777775</v>
      </c>
      <c r="C735" s="2">
        <v>46059.72152777778</v>
      </c>
      <c r="D735" t="s">
        <v>6024</v>
      </c>
      <c r="E735" t="s">
        <v>6030</v>
      </c>
      <c r="F735" t="s">
        <v>6033</v>
      </c>
      <c r="G735" t="s">
        <v>6095</v>
      </c>
      <c r="H735" t="s">
        <v>6098</v>
      </c>
      <c r="I735">
        <v>72</v>
      </c>
      <c r="J735">
        <v>3.3</v>
      </c>
      <c r="K735" t="s">
        <v>6099</v>
      </c>
      <c r="L735" t="s">
        <v>6100</v>
      </c>
      <c r="M735" t="s">
        <v>6100</v>
      </c>
      <c r="N735">
        <v>4</v>
      </c>
      <c r="O735" t="s">
        <v>6101</v>
      </c>
      <c r="P735" t="s">
        <v>6108</v>
      </c>
      <c r="Q735">
        <v>2</v>
      </c>
      <c r="R735">
        <v>2026</v>
      </c>
      <c r="S735" t="s">
        <v>6099</v>
      </c>
      <c r="T735">
        <v>1</v>
      </c>
      <c r="U735" t="s">
        <v>6018</v>
      </c>
      <c r="V735">
        <v>1</v>
      </c>
    </row>
    <row r="736" spans="1:22" x14ac:dyDescent="0.3">
      <c r="A736" t="s">
        <v>751</v>
      </c>
      <c r="B736" s="2">
        <v>46059.621527777781</v>
      </c>
      <c r="C736" s="2">
        <v>46060.213194444441</v>
      </c>
      <c r="D736" t="s">
        <v>6022</v>
      </c>
      <c r="E736" t="s">
        <v>6029</v>
      </c>
      <c r="F736" t="s">
        <v>6033</v>
      </c>
      <c r="G736" t="s">
        <v>6095</v>
      </c>
      <c r="H736" t="s">
        <v>6098</v>
      </c>
      <c r="I736">
        <v>72</v>
      </c>
      <c r="J736">
        <v>14.2</v>
      </c>
      <c r="K736" t="s">
        <v>6099</v>
      </c>
      <c r="L736" t="s">
        <v>6100</v>
      </c>
      <c r="M736" t="s">
        <v>6100</v>
      </c>
      <c r="N736">
        <v>5</v>
      </c>
      <c r="O736" t="s">
        <v>6101</v>
      </c>
      <c r="P736" t="s">
        <v>6108</v>
      </c>
      <c r="Q736">
        <v>2</v>
      </c>
      <c r="R736">
        <v>2026</v>
      </c>
      <c r="S736" t="s">
        <v>6099</v>
      </c>
      <c r="T736">
        <v>1</v>
      </c>
      <c r="U736" t="s">
        <v>6018</v>
      </c>
      <c r="V736">
        <v>1</v>
      </c>
    </row>
    <row r="737" spans="1:22" x14ac:dyDescent="0.3">
      <c r="A737" t="s">
        <v>752</v>
      </c>
      <c r="B737" s="2">
        <v>46059.650694444441</v>
      </c>
      <c r="C737" s="2">
        <v>46062.417361111111</v>
      </c>
      <c r="D737" t="s">
        <v>6026</v>
      </c>
      <c r="E737" t="s">
        <v>6031</v>
      </c>
      <c r="F737" t="s">
        <v>6034</v>
      </c>
      <c r="G737" t="s">
        <v>6087</v>
      </c>
      <c r="H737" t="s">
        <v>6098</v>
      </c>
      <c r="I737">
        <v>24</v>
      </c>
      <c r="J737">
        <v>66.400000000000006</v>
      </c>
      <c r="K737" t="s">
        <v>6100</v>
      </c>
      <c r="L737" t="s">
        <v>6100</v>
      </c>
      <c r="M737" t="s">
        <v>6100</v>
      </c>
      <c r="N737">
        <v>3</v>
      </c>
      <c r="O737" t="s">
        <v>6101</v>
      </c>
      <c r="P737" t="s">
        <v>6108</v>
      </c>
      <c r="Q737">
        <v>2</v>
      </c>
      <c r="R737">
        <v>2026</v>
      </c>
      <c r="S737" t="s">
        <v>6100</v>
      </c>
      <c r="T737">
        <v>0</v>
      </c>
      <c r="U737" t="s">
        <v>6020</v>
      </c>
      <c r="V737">
        <v>0</v>
      </c>
    </row>
    <row r="738" spans="1:22" x14ac:dyDescent="0.3">
      <c r="A738" t="s">
        <v>753</v>
      </c>
      <c r="B738" s="2">
        <v>46059.652083333334</v>
      </c>
      <c r="C738" s="2">
        <v>46059.902083333334</v>
      </c>
      <c r="D738" t="s">
        <v>6022</v>
      </c>
      <c r="E738" t="s">
        <v>6030</v>
      </c>
      <c r="F738" t="s">
        <v>6034</v>
      </c>
      <c r="G738" t="s">
        <v>6062</v>
      </c>
      <c r="H738" t="s">
        <v>6096</v>
      </c>
      <c r="I738">
        <v>24</v>
      </c>
      <c r="J738">
        <v>6</v>
      </c>
      <c r="K738" t="s">
        <v>6099</v>
      </c>
      <c r="L738" t="s">
        <v>6100</v>
      </c>
      <c r="M738" t="s">
        <v>6100</v>
      </c>
      <c r="O738" t="s">
        <v>6101</v>
      </c>
      <c r="P738" t="s">
        <v>6108</v>
      </c>
      <c r="Q738">
        <v>2</v>
      </c>
      <c r="R738">
        <v>2026</v>
      </c>
      <c r="S738" t="s">
        <v>6099</v>
      </c>
      <c r="T738">
        <v>1</v>
      </c>
      <c r="U738" t="s">
        <v>6017</v>
      </c>
      <c r="V738">
        <v>1</v>
      </c>
    </row>
    <row r="739" spans="1:22" x14ac:dyDescent="0.3">
      <c r="A739" t="s">
        <v>754</v>
      </c>
      <c r="B739" s="2">
        <v>46059.672222222223</v>
      </c>
      <c r="C739" s="2">
        <v>46059.788888888892</v>
      </c>
      <c r="D739" t="s">
        <v>6027</v>
      </c>
      <c r="E739" t="s">
        <v>6030</v>
      </c>
      <c r="F739" t="s">
        <v>6033</v>
      </c>
      <c r="G739" t="s">
        <v>6079</v>
      </c>
      <c r="H739" t="s">
        <v>6097</v>
      </c>
      <c r="I739">
        <v>72</v>
      </c>
      <c r="J739">
        <v>2.8</v>
      </c>
      <c r="K739" t="s">
        <v>6099</v>
      </c>
      <c r="L739" t="s">
        <v>6100</v>
      </c>
      <c r="M739" t="s">
        <v>6099</v>
      </c>
      <c r="O739" t="s">
        <v>6101</v>
      </c>
      <c r="P739" t="s">
        <v>6108</v>
      </c>
      <c r="Q739">
        <v>2</v>
      </c>
      <c r="R739">
        <v>2026</v>
      </c>
      <c r="S739" t="s">
        <v>6099</v>
      </c>
      <c r="T739">
        <v>1</v>
      </c>
      <c r="U739" t="s">
        <v>6019</v>
      </c>
      <c r="V739">
        <v>1</v>
      </c>
    </row>
    <row r="740" spans="1:22" x14ac:dyDescent="0.3">
      <c r="A740" t="s">
        <v>755</v>
      </c>
      <c r="B740" s="2">
        <v>46059.72152777778</v>
      </c>
      <c r="C740" s="2">
        <v>46060.913194444445</v>
      </c>
      <c r="D740" t="s">
        <v>6025</v>
      </c>
      <c r="E740" t="s">
        <v>6030</v>
      </c>
      <c r="F740" t="s">
        <v>6035</v>
      </c>
      <c r="G740" t="s">
        <v>6054</v>
      </c>
      <c r="H740" t="s">
        <v>6096</v>
      </c>
      <c r="I740">
        <v>4</v>
      </c>
      <c r="J740">
        <v>28.6</v>
      </c>
      <c r="K740" t="s">
        <v>6100</v>
      </c>
      <c r="L740" t="s">
        <v>6100</v>
      </c>
      <c r="M740" t="s">
        <v>6100</v>
      </c>
      <c r="N740">
        <v>4</v>
      </c>
      <c r="O740" t="s">
        <v>6101</v>
      </c>
      <c r="P740" t="s">
        <v>6108</v>
      </c>
      <c r="Q740">
        <v>2</v>
      </c>
      <c r="R740">
        <v>2026</v>
      </c>
      <c r="S740" t="s">
        <v>6100</v>
      </c>
      <c r="T740">
        <v>0</v>
      </c>
      <c r="U740" t="s">
        <v>6019</v>
      </c>
      <c r="V740">
        <v>0</v>
      </c>
    </row>
    <row r="741" spans="1:22" x14ac:dyDescent="0.3">
      <c r="A741" t="s">
        <v>756</v>
      </c>
      <c r="B741" s="2">
        <v>46059.752083333333</v>
      </c>
      <c r="C741" s="2">
        <v>46065.927083333336</v>
      </c>
      <c r="D741" t="s">
        <v>6026</v>
      </c>
      <c r="E741" t="s">
        <v>6031</v>
      </c>
      <c r="F741" t="s">
        <v>6033</v>
      </c>
      <c r="G741" t="s">
        <v>6037</v>
      </c>
      <c r="H741" t="s">
        <v>6096</v>
      </c>
      <c r="I741">
        <v>72</v>
      </c>
      <c r="J741">
        <v>148.19999999999999</v>
      </c>
      <c r="K741" t="s">
        <v>6099</v>
      </c>
      <c r="L741" t="s">
        <v>6100</v>
      </c>
      <c r="M741" t="s">
        <v>6100</v>
      </c>
      <c r="N741">
        <v>3</v>
      </c>
      <c r="O741" t="s">
        <v>6101</v>
      </c>
      <c r="P741" t="s">
        <v>6108</v>
      </c>
      <c r="Q741">
        <v>2</v>
      </c>
      <c r="R741">
        <v>2026</v>
      </c>
      <c r="S741" t="s">
        <v>6100</v>
      </c>
      <c r="T741">
        <v>0</v>
      </c>
      <c r="U741" t="s">
        <v>6018</v>
      </c>
      <c r="V741">
        <v>1</v>
      </c>
    </row>
    <row r="742" spans="1:22" x14ac:dyDescent="0.3">
      <c r="A742" t="s">
        <v>757</v>
      </c>
      <c r="B742" s="2">
        <v>46059.799305555556</v>
      </c>
      <c r="C742" s="2">
        <v>46064.307638888888</v>
      </c>
      <c r="D742" t="s">
        <v>6026</v>
      </c>
      <c r="E742" t="s">
        <v>6031</v>
      </c>
      <c r="F742" t="s">
        <v>6034</v>
      </c>
      <c r="G742" t="s">
        <v>6059</v>
      </c>
      <c r="H742" t="s">
        <v>6097</v>
      </c>
      <c r="I742">
        <v>24</v>
      </c>
      <c r="J742">
        <v>108.2</v>
      </c>
      <c r="K742" t="s">
        <v>6099</v>
      </c>
      <c r="L742" t="s">
        <v>6100</v>
      </c>
      <c r="M742" t="s">
        <v>6100</v>
      </c>
      <c r="N742">
        <v>4</v>
      </c>
      <c r="O742" t="s">
        <v>6101</v>
      </c>
      <c r="P742" t="s">
        <v>6108</v>
      </c>
      <c r="Q742">
        <v>2</v>
      </c>
      <c r="R742">
        <v>2026</v>
      </c>
      <c r="S742" t="s">
        <v>6100</v>
      </c>
      <c r="T742">
        <v>0</v>
      </c>
      <c r="U742" t="s">
        <v>6017</v>
      </c>
      <c r="V742">
        <v>1</v>
      </c>
    </row>
    <row r="743" spans="1:22" x14ac:dyDescent="0.3">
      <c r="A743" t="s">
        <v>758</v>
      </c>
      <c r="B743" s="2">
        <v>46059.855555555558</v>
      </c>
      <c r="C743" s="2">
        <v>46060.201388888891</v>
      </c>
      <c r="D743" t="s">
        <v>6022</v>
      </c>
      <c r="E743" t="s">
        <v>6030</v>
      </c>
      <c r="F743" t="s">
        <v>6033</v>
      </c>
      <c r="G743" t="s">
        <v>6039</v>
      </c>
      <c r="H743" t="s">
        <v>6097</v>
      </c>
      <c r="I743">
        <v>72</v>
      </c>
      <c r="J743">
        <v>8.3000000000000007</v>
      </c>
      <c r="K743" t="s">
        <v>6099</v>
      </c>
      <c r="L743" t="s">
        <v>6100</v>
      </c>
      <c r="M743" t="s">
        <v>6100</v>
      </c>
      <c r="N743">
        <v>4</v>
      </c>
      <c r="O743" t="s">
        <v>6101</v>
      </c>
      <c r="P743" t="s">
        <v>6108</v>
      </c>
      <c r="Q743">
        <v>2</v>
      </c>
      <c r="R743">
        <v>2026</v>
      </c>
      <c r="S743" t="s">
        <v>6099</v>
      </c>
      <c r="T743">
        <v>1</v>
      </c>
      <c r="U743" t="s">
        <v>6019</v>
      </c>
      <c r="V743">
        <v>1</v>
      </c>
    </row>
    <row r="744" spans="1:22" x14ac:dyDescent="0.3">
      <c r="A744" t="s">
        <v>759</v>
      </c>
      <c r="B744" s="2">
        <v>46060.054166666669</v>
      </c>
      <c r="C744" s="2">
        <v>46060.35833333333</v>
      </c>
      <c r="D744" t="s">
        <v>6023</v>
      </c>
      <c r="E744" t="s">
        <v>6029</v>
      </c>
      <c r="F744" t="s">
        <v>6034</v>
      </c>
      <c r="G744" t="s">
        <v>6037</v>
      </c>
      <c r="H744" t="s">
        <v>6096</v>
      </c>
      <c r="I744">
        <v>24</v>
      </c>
      <c r="J744">
        <v>7.3</v>
      </c>
      <c r="K744" t="s">
        <v>6100</v>
      </c>
      <c r="L744" t="s">
        <v>6100</v>
      </c>
      <c r="M744" t="s">
        <v>6100</v>
      </c>
      <c r="N744">
        <v>5</v>
      </c>
      <c r="O744" t="s">
        <v>6101</v>
      </c>
      <c r="P744" t="s">
        <v>6108</v>
      </c>
      <c r="Q744">
        <v>2</v>
      </c>
      <c r="R744">
        <v>2026</v>
      </c>
      <c r="S744" t="s">
        <v>6099</v>
      </c>
      <c r="T744">
        <v>1</v>
      </c>
      <c r="U744" t="s">
        <v>6018</v>
      </c>
      <c r="V744">
        <v>0</v>
      </c>
    </row>
    <row r="745" spans="1:22" x14ac:dyDescent="0.3">
      <c r="A745" t="s">
        <v>760</v>
      </c>
      <c r="B745" s="2">
        <v>46060.401388888888</v>
      </c>
      <c r="C745" s="2">
        <v>46060.784722222219</v>
      </c>
      <c r="D745" t="s">
        <v>6024</v>
      </c>
      <c r="E745" t="s">
        <v>6030</v>
      </c>
      <c r="F745" t="s">
        <v>6034</v>
      </c>
      <c r="G745" t="s">
        <v>6095</v>
      </c>
      <c r="H745" t="s">
        <v>6098</v>
      </c>
      <c r="I745">
        <v>24</v>
      </c>
      <c r="J745">
        <v>9.1999999999999993</v>
      </c>
      <c r="K745" t="s">
        <v>6100</v>
      </c>
      <c r="L745" t="s">
        <v>6099</v>
      </c>
      <c r="M745" t="s">
        <v>6100</v>
      </c>
      <c r="N745">
        <v>4</v>
      </c>
      <c r="O745" t="s">
        <v>6101</v>
      </c>
      <c r="P745" t="s">
        <v>6108</v>
      </c>
      <c r="Q745">
        <v>2</v>
      </c>
      <c r="R745">
        <v>2026</v>
      </c>
      <c r="S745" t="s">
        <v>6099</v>
      </c>
      <c r="T745">
        <v>1</v>
      </c>
      <c r="U745" t="s">
        <v>6018</v>
      </c>
      <c r="V745">
        <v>0</v>
      </c>
    </row>
    <row r="746" spans="1:22" x14ac:dyDescent="0.3">
      <c r="A746" t="s">
        <v>761</v>
      </c>
      <c r="B746" s="2">
        <v>46060.405555555553</v>
      </c>
      <c r="C746" s="2">
        <v>46063.480555555558</v>
      </c>
      <c r="D746" t="s">
        <v>6028</v>
      </c>
      <c r="E746" t="s">
        <v>6031</v>
      </c>
      <c r="F746" t="s">
        <v>6034</v>
      </c>
      <c r="G746" t="s">
        <v>6059</v>
      </c>
      <c r="H746" t="s">
        <v>6097</v>
      </c>
      <c r="I746">
        <v>24</v>
      </c>
      <c r="J746">
        <v>73.8</v>
      </c>
      <c r="K746" t="s">
        <v>6099</v>
      </c>
      <c r="L746" t="s">
        <v>6100</v>
      </c>
      <c r="M746" t="s">
        <v>6099</v>
      </c>
      <c r="O746" t="s">
        <v>6101</v>
      </c>
      <c r="P746" t="s">
        <v>6108</v>
      </c>
      <c r="Q746">
        <v>2</v>
      </c>
      <c r="R746">
        <v>2026</v>
      </c>
      <c r="S746" t="s">
        <v>6100</v>
      </c>
      <c r="T746">
        <v>0</v>
      </c>
      <c r="U746" t="s">
        <v>6019</v>
      </c>
      <c r="V746">
        <v>1</v>
      </c>
    </row>
    <row r="747" spans="1:22" x14ac:dyDescent="0.3">
      <c r="A747" t="s">
        <v>762</v>
      </c>
      <c r="B747" s="2">
        <v>46060.419444444444</v>
      </c>
      <c r="C747" s="2">
        <v>46061.040277777778</v>
      </c>
      <c r="D747" t="s">
        <v>6023</v>
      </c>
      <c r="E747" t="s">
        <v>6032</v>
      </c>
      <c r="F747" t="s">
        <v>6033</v>
      </c>
      <c r="G747" t="s">
        <v>6064</v>
      </c>
      <c r="H747" t="s">
        <v>6096</v>
      </c>
      <c r="I747">
        <v>72</v>
      </c>
      <c r="J747">
        <v>14.9</v>
      </c>
      <c r="K747" t="s">
        <v>6099</v>
      </c>
      <c r="L747" t="s">
        <v>6100</v>
      </c>
      <c r="M747" t="s">
        <v>6100</v>
      </c>
      <c r="N747">
        <v>5</v>
      </c>
      <c r="O747" t="s">
        <v>6101</v>
      </c>
      <c r="P747" t="s">
        <v>6108</v>
      </c>
      <c r="Q747">
        <v>2</v>
      </c>
      <c r="R747">
        <v>2026</v>
      </c>
      <c r="S747" t="s">
        <v>6099</v>
      </c>
      <c r="T747">
        <v>1</v>
      </c>
      <c r="U747" t="s">
        <v>6017</v>
      </c>
      <c r="V747">
        <v>1</v>
      </c>
    </row>
    <row r="748" spans="1:22" x14ac:dyDescent="0.3">
      <c r="A748" t="s">
        <v>763</v>
      </c>
      <c r="B748" s="2">
        <v>46060.467361111114</v>
      </c>
      <c r="C748" s="2">
        <v>46065.004861111112</v>
      </c>
      <c r="D748" t="s">
        <v>6026</v>
      </c>
      <c r="E748" t="s">
        <v>6031</v>
      </c>
      <c r="F748" t="s">
        <v>6033</v>
      </c>
      <c r="G748" t="s">
        <v>6070</v>
      </c>
      <c r="H748" t="s">
        <v>6097</v>
      </c>
      <c r="I748">
        <v>72</v>
      </c>
      <c r="J748">
        <v>108.9</v>
      </c>
      <c r="K748" t="s">
        <v>6099</v>
      </c>
      <c r="L748" t="s">
        <v>6100</v>
      </c>
      <c r="M748" t="s">
        <v>6100</v>
      </c>
      <c r="O748" t="s">
        <v>6101</v>
      </c>
      <c r="P748" t="s">
        <v>6108</v>
      </c>
      <c r="Q748">
        <v>2</v>
      </c>
      <c r="R748">
        <v>2026</v>
      </c>
      <c r="S748" t="s">
        <v>6100</v>
      </c>
      <c r="T748">
        <v>0</v>
      </c>
      <c r="U748" t="s">
        <v>6020</v>
      </c>
      <c r="V748">
        <v>1</v>
      </c>
    </row>
    <row r="749" spans="1:22" x14ac:dyDescent="0.3">
      <c r="A749" t="s">
        <v>764</v>
      </c>
      <c r="B749" s="2">
        <v>46060.476388888892</v>
      </c>
      <c r="C749" s="2">
        <v>46063.930555555555</v>
      </c>
      <c r="D749" t="s">
        <v>6022</v>
      </c>
      <c r="E749" t="s">
        <v>6031</v>
      </c>
      <c r="F749" t="s">
        <v>6035</v>
      </c>
      <c r="G749" t="s">
        <v>6064</v>
      </c>
      <c r="H749" t="s">
        <v>6096</v>
      </c>
      <c r="I749">
        <v>4</v>
      </c>
      <c r="J749">
        <v>82.9</v>
      </c>
      <c r="K749" t="s">
        <v>6099</v>
      </c>
      <c r="L749" t="s">
        <v>6100</v>
      </c>
      <c r="M749" t="s">
        <v>6100</v>
      </c>
      <c r="O749" t="s">
        <v>6101</v>
      </c>
      <c r="P749" t="s">
        <v>6108</v>
      </c>
      <c r="Q749">
        <v>2</v>
      </c>
      <c r="R749">
        <v>2026</v>
      </c>
      <c r="S749" t="s">
        <v>6100</v>
      </c>
      <c r="T749">
        <v>0</v>
      </c>
      <c r="U749" t="s">
        <v>6020</v>
      </c>
      <c r="V749">
        <v>1</v>
      </c>
    </row>
    <row r="750" spans="1:22" x14ac:dyDescent="0.3">
      <c r="A750" t="s">
        <v>765</v>
      </c>
      <c r="B750" s="2">
        <v>46060.481944444444</v>
      </c>
      <c r="C750" s="2">
        <v>46061.011111111111</v>
      </c>
      <c r="D750" t="s">
        <v>6022</v>
      </c>
      <c r="E750" t="s">
        <v>6030</v>
      </c>
      <c r="F750" t="s">
        <v>6033</v>
      </c>
      <c r="G750" t="s">
        <v>6059</v>
      </c>
      <c r="H750" t="s">
        <v>6097</v>
      </c>
      <c r="I750">
        <v>72</v>
      </c>
      <c r="J750">
        <v>12.7</v>
      </c>
      <c r="K750" t="s">
        <v>6099</v>
      </c>
      <c r="L750" t="s">
        <v>6100</v>
      </c>
      <c r="M750" t="s">
        <v>6100</v>
      </c>
      <c r="O750" t="s">
        <v>6101</v>
      </c>
      <c r="P750" t="s">
        <v>6108</v>
      </c>
      <c r="Q750">
        <v>2</v>
      </c>
      <c r="R750">
        <v>2026</v>
      </c>
      <c r="S750" t="s">
        <v>6099</v>
      </c>
      <c r="T750">
        <v>1</v>
      </c>
      <c r="U750" t="s">
        <v>6020</v>
      </c>
      <c r="V750">
        <v>1</v>
      </c>
    </row>
    <row r="751" spans="1:22" x14ac:dyDescent="0.3">
      <c r="A751" t="s">
        <v>766</v>
      </c>
      <c r="B751" s="2">
        <v>46060.48541666667</v>
      </c>
      <c r="C751" s="2">
        <v>46060.785416666666</v>
      </c>
      <c r="D751" t="s">
        <v>6024</v>
      </c>
      <c r="E751" t="s">
        <v>6030</v>
      </c>
      <c r="F751" t="s">
        <v>6034</v>
      </c>
      <c r="G751" t="s">
        <v>6067</v>
      </c>
      <c r="H751" t="s">
        <v>6098</v>
      </c>
      <c r="I751">
        <v>24</v>
      </c>
      <c r="J751">
        <v>7.2</v>
      </c>
      <c r="K751" t="s">
        <v>6099</v>
      </c>
      <c r="L751" t="s">
        <v>6100</v>
      </c>
      <c r="M751" t="s">
        <v>6100</v>
      </c>
      <c r="N751">
        <v>5</v>
      </c>
      <c r="O751" t="s">
        <v>6101</v>
      </c>
      <c r="P751" t="s">
        <v>6108</v>
      </c>
      <c r="Q751">
        <v>2</v>
      </c>
      <c r="R751">
        <v>2026</v>
      </c>
      <c r="S751" t="s">
        <v>6099</v>
      </c>
      <c r="T751">
        <v>1</v>
      </c>
      <c r="U751" t="s">
        <v>6020</v>
      </c>
      <c r="V751">
        <v>1</v>
      </c>
    </row>
    <row r="752" spans="1:22" x14ac:dyDescent="0.3">
      <c r="A752" t="s">
        <v>767</v>
      </c>
      <c r="B752" s="2">
        <v>46060.488888888889</v>
      </c>
      <c r="C752" s="2">
        <v>46060.947222222225</v>
      </c>
      <c r="D752" t="s">
        <v>6022</v>
      </c>
      <c r="E752" t="s">
        <v>6029</v>
      </c>
      <c r="F752" t="s">
        <v>6033</v>
      </c>
      <c r="G752" t="s">
        <v>6085</v>
      </c>
      <c r="H752" t="s">
        <v>6097</v>
      </c>
      <c r="I752">
        <v>72</v>
      </c>
      <c r="J752">
        <v>11</v>
      </c>
      <c r="K752" t="s">
        <v>6099</v>
      </c>
      <c r="L752" t="s">
        <v>6100</v>
      </c>
      <c r="M752" t="s">
        <v>6100</v>
      </c>
      <c r="N752">
        <v>5</v>
      </c>
      <c r="O752" t="s">
        <v>6101</v>
      </c>
      <c r="P752" t="s">
        <v>6108</v>
      </c>
      <c r="Q752">
        <v>2</v>
      </c>
      <c r="R752">
        <v>2026</v>
      </c>
      <c r="S752" t="s">
        <v>6099</v>
      </c>
      <c r="T752">
        <v>1</v>
      </c>
      <c r="U752" t="s">
        <v>6021</v>
      </c>
      <c r="V752">
        <v>1</v>
      </c>
    </row>
    <row r="753" spans="1:22" x14ac:dyDescent="0.3">
      <c r="A753" t="s">
        <v>768</v>
      </c>
      <c r="B753" s="2">
        <v>46060.520138888889</v>
      </c>
      <c r="C753" s="2">
        <v>46060.724305555559</v>
      </c>
      <c r="D753" t="s">
        <v>6028</v>
      </c>
      <c r="E753" t="s">
        <v>6029</v>
      </c>
      <c r="F753" t="s">
        <v>6035</v>
      </c>
      <c r="G753" t="s">
        <v>6093</v>
      </c>
      <c r="H753" t="s">
        <v>6097</v>
      </c>
      <c r="I753">
        <v>4</v>
      </c>
      <c r="J753">
        <v>4.9000000000000004</v>
      </c>
      <c r="K753" t="s">
        <v>6099</v>
      </c>
      <c r="L753" t="s">
        <v>6100</v>
      </c>
      <c r="M753" t="s">
        <v>6100</v>
      </c>
      <c r="N753">
        <v>5</v>
      </c>
      <c r="O753" t="s">
        <v>6101</v>
      </c>
      <c r="P753" t="s">
        <v>6108</v>
      </c>
      <c r="Q753">
        <v>2</v>
      </c>
      <c r="R753">
        <v>2026</v>
      </c>
      <c r="S753" t="s">
        <v>6100</v>
      </c>
      <c r="T753">
        <v>0</v>
      </c>
      <c r="U753" t="s">
        <v>6019</v>
      </c>
      <c r="V753">
        <v>1</v>
      </c>
    </row>
    <row r="754" spans="1:22" x14ac:dyDescent="0.3">
      <c r="A754" t="s">
        <v>769</v>
      </c>
      <c r="B754" s="2">
        <v>46060.573611111111</v>
      </c>
      <c r="C754" s="2">
        <v>46061.840277777781</v>
      </c>
      <c r="D754" t="s">
        <v>6024</v>
      </c>
      <c r="E754" t="s">
        <v>6029</v>
      </c>
      <c r="F754" t="s">
        <v>6034</v>
      </c>
      <c r="G754" t="s">
        <v>6041</v>
      </c>
      <c r="H754" t="s">
        <v>6096</v>
      </c>
      <c r="I754">
        <v>24</v>
      </c>
      <c r="J754">
        <v>30.4</v>
      </c>
      <c r="K754" t="s">
        <v>6099</v>
      </c>
      <c r="L754" t="s">
        <v>6100</v>
      </c>
      <c r="M754" t="s">
        <v>6099</v>
      </c>
      <c r="N754">
        <v>4</v>
      </c>
      <c r="O754" t="s">
        <v>6101</v>
      </c>
      <c r="P754" t="s">
        <v>6108</v>
      </c>
      <c r="Q754">
        <v>2</v>
      </c>
      <c r="R754">
        <v>2026</v>
      </c>
      <c r="S754" t="s">
        <v>6100</v>
      </c>
      <c r="T754">
        <v>0</v>
      </c>
      <c r="U754" t="s">
        <v>6018</v>
      </c>
      <c r="V754">
        <v>1</v>
      </c>
    </row>
    <row r="755" spans="1:22" x14ac:dyDescent="0.3">
      <c r="A755" t="s">
        <v>770</v>
      </c>
      <c r="B755" s="2">
        <v>46060.595833333333</v>
      </c>
      <c r="C755" s="2">
        <v>46061.487500000003</v>
      </c>
      <c r="D755" t="s">
        <v>6028</v>
      </c>
      <c r="E755" t="s">
        <v>6031</v>
      </c>
      <c r="F755" t="s">
        <v>6034</v>
      </c>
      <c r="G755" t="s">
        <v>6058</v>
      </c>
      <c r="H755" t="s">
        <v>6098</v>
      </c>
      <c r="I755">
        <v>24</v>
      </c>
      <c r="J755">
        <v>21.4</v>
      </c>
      <c r="K755" t="s">
        <v>6099</v>
      </c>
      <c r="L755" t="s">
        <v>6100</v>
      </c>
      <c r="M755" t="s">
        <v>6100</v>
      </c>
      <c r="O755" t="s">
        <v>6101</v>
      </c>
      <c r="P755" t="s">
        <v>6108</v>
      </c>
      <c r="Q755">
        <v>2</v>
      </c>
      <c r="R755">
        <v>2026</v>
      </c>
      <c r="S755" t="s">
        <v>6099</v>
      </c>
      <c r="T755">
        <v>1</v>
      </c>
      <c r="U755" t="s">
        <v>6018</v>
      </c>
      <c r="V755">
        <v>1</v>
      </c>
    </row>
    <row r="756" spans="1:22" x14ac:dyDescent="0.3">
      <c r="A756" t="s">
        <v>771</v>
      </c>
      <c r="B756" s="2">
        <v>46060.612500000003</v>
      </c>
      <c r="C756" s="2">
        <v>46060.925000000003</v>
      </c>
      <c r="D756" t="s">
        <v>6027</v>
      </c>
      <c r="E756" t="s">
        <v>6030</v>
      </c>
      <c r="F756" t="s">
        <v>6034</v>
      </c>
      <c r="G756" t="s">
        <v>6037</v>
      </c>
      <c r="H756" t="s">
        <v>6096</v>
      </c>
      <c r="I756">
        <v>24</v>
      </c>
      <c r="J756">
        <v>7.5</v>
      </c>
      <c r="K756" t="s">
        <v>6100</v>
      </c>
      <c r="L756" t="s">
        <v>6100</v>
      </c>
      <c r="M756" t="s">
        <v>6100</v>
      </c>
      <c r="O756" t="s">
        <v>6101</v>
      </c>
      <c r="P756" t="s">
        <v>6108</v>
      </c>
      <c r="Q756">
        <v>2</v>
      </c>
      <c r="R756">
        <v>2026</v>
      </c>
      <c r="S756" t="s">
        <v>6099</v>
      </c>
      <c r="T756">
        <v>1</v>
      </c>
      <c r="U756" t="s">
        <v>6019</v>
      </c>
      <c r="V756">
        <v>0</v>
      </c>
    </row>
    <row r="757" spans="1:22" x14ac:dyDescent="0.3">
      <c r="A757" t="s">
        <v>772</v>
      </c>
      <c r="B757" s="2">
        <v>46060.616666666669</v>
      </c>
      <c r="C757" s="2">
        <v>46061.145833333336</v>
      </c>
      <c r="D757" t="s">
        <v>6024</v>
      </c>
      <c r="E757" t="s">
        <v>6029</v>
      </c>
      <c r="F757" t="s">
        <v>6033</v>
      </c>
      <c r="G757" t="s">
        <v>6038</v>
      </c>
      <c r="H757" t="s">
        <v>6096</v>
      </c>
      <c r="I757">
        <v>72</v>
      </c>
      <c r="J757">
        <v>12.7</v>
      </c>
      <c r="K757" t="s">
        <v>6100</v>
      </c>
      <c r="L757" t="s">
        <v>6099</v>
      </c>
      <c r="M757" t="s">
        <v>6100</v>
      </c>
      <c r="N757">
        <v>3</v>
      </c>
      <c r="O757" t="s">
        <v>6101</v>
      </c>
      <c r="P757" t="s">
        <v>6108</v>
      </c>
      <c r="Q757">
        <v>2</v>
      </c>
      <c r="R757">
        <v>2026</v>
      </c>
      <c r="S757" t="s">
        <v>6099</v>
      </c>
      <c r="T757">
        <v>1</v>
      </c>
      <c r="U757" t="s">
        <v>6021</v>
      </c>
      <c r="V757">
        <v>0</v>
      </c>
    </row>
    <row r="758" spans="1:22" x14ac:dyDescent="0.3">
      <c r="A758" t="s">
        <v>773</v>
      </c>
      <c r="B758" s="2">
        <v>46060.658333333333</v>
      </c>
      <c r="C758" s="2">
        <v>46060.841666666667</v>
      </c>
      <c r="D758" t="s">
        <v>6027</v>
      </c>
      <c r="E758" t="s">
        <v>6030</v>
      </c>
      <c r="F758" t="s">
        <v>6035</v>
      </c>
      <c r="G758" t="s">
        <v>6085</v>
      </c>
      <c r="H758" t="s">
        <v>6097</v>
      </c>
      <c r="I758">
        <v>4</v>
      </c>
      <c r="J758">
        <v>4.4000000000000004</v>
      </c>
      <c r="K758" t="s">
        <v>6099</v>
      </c>
      <c r="L758" t="s">
        <v>6100</v>
      </c>
      <c r="M758" t="s">
        <v>6100</v>
      </c>
      <c r="N758">
        <v>3</v>
      </c>
      <c r="O758" t="s">
        <v>6101</v>
      </c>
      <c r="P758" t="s">
        <v>6108</v>
      </c>
      <c r="Q758">
        <v>2</v>
      </c>
      <c r="R758">
        <v>2026</v>
      </c>
      <c r="S758" t="s">
        <v>6100</v>
      </c>
      <c r="T758">
        <v>0</v>
      </c>
      <c r="U758" t="s">
        <v>6021</v>
      </c>
      <c r="V758">
        <v>1</v>
      </c>
    </row>
    <row r="759" spans="1:22" x14ac:dyDescent="0.3">
      <c r="A759" t="s">
        <v>774</v>
      </c>
      <c r="B759" s="2">
        <v>46060.659722222219</v>
      </c>
      <c r="C759" s="2">
        <v>46060.772222222222</v>
      </c>
      <c r="D759" t="s">
        <v>6023</v>
      </c>
      <c r="E759" t="s">
        <v>6029</v>
      </c>
      <c r="F759" t="s">
        <v>6034</v>
      </c>
      <c r="G759" t="s">
        <v>6086</v>
      </c>
      <c r="H759" t="s">
        <v>6098</v>
      </c>
      <c r="I759">
        <v>24</v>
      </c>
      <c r="J759">
        <v>2.7</v>
      </c>
      <c r="K759" t="s">
        <v>6099</v>
      </c>
      <c r="L759" t="s">
        <v>6100</v>
      </c>
      <c r="M759" t="s">
        <v>6100</v>
      </c>
      <c r="N759">
        <v>4</v>
      </c>
      <c r="O759" t="s">
        <v>6101</v>
      </c>
      <c r="P759" t="s">
        <v>6108</v>
      </c>
      <c r="Q759">
        <v>2</v>
      </c>
      <c r="R759">
        <v>2026</v>
      </c>
      <c r="S759" t="s">
        <v>6099</v>
      </c>
      <c r="T759">
        <v>1</v>
      </c>
      <c r="U759" t="s">
        <v>6021</v>
      </c>
      <c r="V759">
        <v>1</v>
      </c>
    </row>
    <row r="760" spans="1:22" x14ac:dyDescent="0.3">
      <c r="A760" t="s">
        <v>775</v>
      </c>
      <c r="B760" s="2">
        <v>46060.663888888892</v>
      </c>
      <c r="C760" s="2">
        <v>46060.884722222225</v>
      </c>
      <c r="D760" t="s">
        <v>6023</v>
      </c>
      <c r="E760" t="s">
        <v>6030</v>
      </c>
      <c r="F760" t="s">
        <v>6034</v>
      </c>
      <c r="G760" t="s">
        <v>6083</v>
      </c>
      <c r="H760" t="s">
        <v>6096</v>
      </c>
      <c r="I760">
        <v>24</v>
      </c>
      <c r="J760">
        <v>5.3</v>
      </c>
      <c r="K760" t="s">
        <v>6100</v>
      </c>
      <c r="L760" t="s">
        <v>6100</v>
      </c>
      <c r="M760" t="s">
        <v>6100</v>
      </c>
      <c r="O760" t="s">
        <v>6101</v>
      </c>
      <c r="P760" t="s">
        <v>6108</v>
      </c>
      <c r="Q760">
        <v>2</v>
      </c>
      <c r="R760">
        <v>2026</v>
      </c>
      <c r="S760" t="s">
        <v>6099</v>
      </c>
      <c r="T760">
        <v>1</v>
      </c>
      <c r="U760" t="s">
        <v>6018</v>
      </c>
      <c r="V760">
        <v>0</v>
      </c>
    </row>
    <row r="761" spans="1:22" x14ac:dyDescent="0.3">
      <c r="A761" t="s">
        <v>776</v>
      </c>
      <c r="B761" s="2">
        <v>46060.699305555558</v>
      </c>
      <c r="C761" s="2">
        <v>46060.240972222222</v>
      </c>
      <c r="D761" t="s">
        <v>6024</v>
      </c>
      <c r="E761" t="s">
        <v>6031</v>
      </c>
      <c r="F761" t="s">
        <v>6033</v>
      </c>
      <c r="G761" t="s">
        <v>6059</v>
      </c>
      <c r="H761" t="s">
        <v>6097</v>
      </c>
      <c r="I761">
        <v>72</v>
      </c>
      <c r="J761">
        <v>36.6</v>
      </c>
      <c r="K761" t="s">
        <v>6099</v>
      </c>
      <c r="L761" t="s">
        <v>6100</v>
      </c>
      <c r="M761" t="s">
        <v>6100</v>
      </c>
      <c r="N761">
        <v>4</v>
      </c>
      <c r="O761" t="s">
        <v>6101</v>
      </c>
      <c r="P761" t="s">
        <v>6108</v>
      </c>
      <c r="Q761">
        <v>2</v>
      </c>
      <c r="R761">
        <v>2026</v>
      </c>
      <c r="S761" t="s">
        <v>6099</v>
      </c>
      <c r="T761">
        <v>1</v>
      </c>
      <c r="U761" t="s">
        <v>6018</v>
      </c>
      <c r="V761">
        <v>1</v>
      </c>
    </row>
    <row r="762" spans="1:22" x14ac:dyDescent="0.3">
      <c r="A762" t="s">
        <v>777</v>
      </c>
      <c r="B762" s="2">
        <v>46060.712500000001</v>
      </c>
      <c r="C762" s="2">
        <v>46060.933333333334</v>
      </c>
      <c r="D762" t="s">
        <v>6028</v>
      </c>
      <c r="E762" t="s">
        <v>6029</v>
      </c>
      <c r="F762" t="s">
        <v>6034</v>
      </c>
      <c r="G762" t="s">
        <v>6073</v>
      </c>
      <c r="H762" t="s">
        <v>6096</v>
      </c>
      <c r="I762">
        <v>24</v>
      </c>
      <c r="J762">
        <v>5.3</v>
      </c>
      <c r="K762" t="s">
        <v>6099</v>
      </c>
      <c r="L762" t="s">
        <v>6100</v>
      </c>
      <c r="M762" t="s">
        <v>6100</v>
      </c>
      <c r="N762">
        <v>5</v>
      </c>
      <c r="O762" t="s">
        <v>6101</v>
      </c>
      <c r="P762" t="s">
        <v>6108</v>
      </c>
      <c r="Q762">
        <v>2</v>
      </c>
      <c r="R762">
        <v>2026</v>
      </c>
      <c r="S762" t="s">
        <v>6099</v>
      </c>
      <c r="T762">
        <v>1</v>
      </c>
      <c r="U762" t="s">
        <v>6020</v>
      </c>
      <c r="V762">
        <v>1</v>
      </c>
    </row>
    <row r="763" spans="1:22" x14ac:dyDescent="0.3">
      <c r="A763" t="s">
        <v>778</v>
      </c>
      <c r="B763" s="2">
        <v>46060.781944444447</v>
      </c>
      <c r="C763" s="2">
        <v>46061.75277777778</v>
      </c>
      <c r="D763" t="s">
        <v>6024</v>
      </c>
      <c r="E763" t="s">
        <v>6029</v>
      </c>
      <c r="F763" t="s">
        <v>6035</v>
      </c>
      <c r="G763" t="s">
        <v>6091</v>
      </c>
      <c r="H763" t="s">
        <v>6097</v>
      </c>
      <c r="I763">
        <v>4</v>
      </c>
      <c r="J763">
        <v>23.3</v>
      </c>
      <c r="K763" t="s">
        <v>6099</v>
      </c>
      <c r="L763" t="s">
        <v>6100</v>
      </c>
      <c r="M763" t="s">
        <v>6100</v>
      </c>
      <c r="N763">
        <v>5</v>
      </c>
      <c r="O763" t="s">
        <v>6101</v>
      </c>
      <c r="P763" t="s">
        <v>6108</v>
      </c>
      <c r="Q763">
        <v>2</v>
      </c>
      <c r="R763">
        <v>2026</v>
      </c>
      <c r="S763" t="s">
        <v>6100</v>
      </c>
      <c r="T763">
        <v>0</v>
      </c>
      <c r="U763" t="s">
        <v>6021</v>
      </c>
      <c r="V763">
        <v>1</v>
      </c>
    </row>
    <row r="764" spans="1:22" x14ac:dyDescent="0.3">
      <c r="A764" t="s">
        <v>779</v>
      </c>
      <c r="B764" s="2">
        <v>46061.152083333334</v>
      </c>
      <c r="C764" s="2">
        <v>46063.614583333336</v>
      </c>
      <c r="D764" t="s">
        <v>6026</v>
      </c>
      <c r="E764" t="s">
        <v>6031</v>
      </c>
      <c r="F764" t="s">
        <v>6033</v>
      </c>
      <c r="G764" t="s">
        <v>6051</v>
      </c>
      <c r="H764" t="s">
        <v>6097</v>
      </c>
      <c r="I764">
        <v>72</v>
      </c>
      <c r="J764">
        <v>59.1</v>
      </c>
      <c r="K764" t="s">
        <v>6100</v>
      </c>
      <c r="L764" t="s">
        <v>6100</v>
      </c>
      <c r="M764" t="s">
        <v>6100</v>
      </c>
      <c r="N764">
        <v>5</v>
      </c>
      <c r="O764" t="s">
        <v>6101</v>
      </c>
      <c r="P764" t="s">
        <v>6108</v>
      </c>
      <c r="Q764">
        <v>2</v>
      </c>
      <c r="R764">
        <v>2026</v>
      </c>
      <c r="S764" t="s">
        <v>6099</v>
      </c>
      <c r="T764">
        <v>1</v>
      </c>
      <c r="U764" t="s">
        <v>6017</v>
      </c>
      <c r="V764">
        <v>0</v>
      </c>
    </row>
    <row r="765" spans="1:22" x14ac:dyDescent="0.3">
      <c r="A765" t="s">
        <v>780</v>
      </c>
      <c r="B765" s="2">
        <v>46061.272916666669</v>
      </c>
      <c r="C765" s="2">
        <v>46064.214583333334</v>
      </c>
      <c r="D765" t="s">
        <v>6025</v>
      </c>
      <c r="E765" t="s">
        <v>6031</v>
      </c>
      <c r="F765" t="s">
        <v>6034</v>
      </c>
      <c r="G765" t="s">
        <v>6082</v>
      </c>
      <c r="H765" t="s">
        <v>6097</v>
      </c>
      <c r="I765">
        <v>24</v>
      </c>
      <c r="J765">
        <v>70.599999999999994</v>
      </c>
      <c r="K765" t="s">
        <v>6099</v>
      </c>
      <c r="L765" t="s">
        <v>6100</v>
      </c>
      <c r="M765" t="s">
        <v>6100</v>
      </c>
      <c r="O765" t="s">
        <v>6101</v>
      </c>
      <c r="P765" t="s">
        <v>6108</v>
      </c>
      <c r="Q765">
        <v>2</v>
      </c>
      <c r="R765">
        <v>2026</v>
      </c>
      <c r="S765" t="s">
        <v>6100</v>
      </c>
      <c r="T765">
        <v>0</v>
      </c>
      <c r="U765" t="s">
        <v>6020</v>
      </c>
      <c r="V765">
        <v>1</v>
      </c>
    </row>
    <row r="766" spans="1:22" x14ac:dyDescent="0.3">
      <c r="A766" t="s">
        <v>781</v>
      </c>
      <c r="B766" s="2">
        <v>46061.30972222222</v>
      </c>
      <c r="C766" s="2">
        <v>46062.418055555558</v>
      </c>
      <c r="D766" t="s">
        <v>6023</v>
      </c>
      <c r="E766" t="s">
        <v>6032</v>
      </c>
      <c r="F766" t="s">
        <v>6035</v>
      </c>
      <c r="G766" t="s">
        <v>6036</v>
      </c>
      <c r="H766" t="s">
        <v>6096</v>
      </c>
      <c r="I766">
        <v>4</v>
      </c>
      <c r="J766">
        <v>26.6</v>
      </c>
      <c r="K766" t="s">
        <v>6100</v>
      </c>
      <c r="L766" t="s">
        <v>6100</v>
      </c>
      <c r="M766" t="s">
        <v>6100</v>
      </c>
      <c r="N766">
        <v>4</v>
      </c>
      <c r="O766" t="s">
        <v>6101</v>
      </c>
      <c r="P766" t="s">
        <v>6108</v>
      </c>
      <c r="Q766">
        <v>2</v>
      </c>
      <c r="R766">
        <v>2026</v>
      </c>
      <c r="S766" t="s">
        <v>6100</v>
      </c>
      <c r="T766">
        <v>0</v>
      </c>
      <c r="U766" t="s">
        <v>6017</v>
      </c>
      <c r="V766">
        <v>0</v>
      </c>
    </row>
    <row r="767" spans="1:22" x14ac:dyDescent="0.3">
      <c r="A767" t="s">
        <v>782</v>
      </c>
      <c r="B767" s="2">
        <v>46061.347222222219</v>
      </c>
      <c r="C767" s="2">
        <v>46061.518055555556</v>
      </c>
      <c r="D767" t="s">
        <v>6028</v>
      </c>
      <c r="E767" t="s">
        <v>6029</v>
      </c>
      <c r="F767" t="s">
        <v>6035</v>
      </c>
      <c r="G767" t="s">
        <v>6065</v>
      </c>
      <c r="H767" t="s">
        <v>6097</v>
      </c>
      <c r="I767">
        <v>4</v>
      </c>
      <c r="J767">
        <v>4.0999999999999996</v>
      </c>
      <c r="K767" t="s">
        <v>6100</v>
      </c>
      <c r="L767" t="s">
        <v>6100</v>
      </c>
      <c r="M767" t="s">
        <v>6100</v>
      </c>
      <c r="N767">
        <v>4</v>
      </c>
      <c r="O767" t="s">
        <v>6101</v>
      </c>
      <c r="P767" t="s">
        <v>6108</v>
      </c>
      <c r="Q767">
        <v>2</v>
      </c>
      <c r="R767">
        <v>2026</v>
      </c>
      <c r="S767" t="s">
        <v>6100</v>
      </c>
      <c r="T767">
        <v>0</v>
      </c>
      <c r="U767" t="s">
        <v>6021</v>
      </c>
      <c r="V767">
        <v>0</v>
      </c>
    </row>
    <row r="768" spans="1:22" x14ac:dyDescent="0.3">
      <c r="A768" t="s">
        <v>783</v>
      </c>
      <c r="B768" s="2">
        <v>46061.411111111112</v>
      </c>
      <c r="C768" s="2">
        <v>46062.173611111109</v>
      </c>
      <c r="D768" t="s">
        <v>6022</v>
      </c>
      <c r="E768" t="s">
        <v>6029</v>
      </c>
      <c r="F768" t="s">
        <v>6033</v>
      </c>
      <c r="G768" t="s">
        <v>6069</v>
      </c>
      <c r="H768" t="s">
        <v>6098</v>
      </c>
      <c r="I768">
        <v>72</v>
      </c>
      <c r="J768">
        <v>18.3</v>
      </c>
      <c r="K768" t="s">
        <v>6099</v>
      </c>
      <c r="L768" t="s">
        <v>6100</v>
      </c>
      <c r="M768" t="s">
        <v>6100</v>
      </c>
      <c r="O768" t="s">
        <v>6101</v>
      </c>
      <c r="P768" t="s">
        <v>6108</v>
      </c>
      <c r="Q768">
        <v>2</v>
      </c>
      <c r="R768">
        <v>2026</v>
      </c>
      <c r="S768" t="s">
        <v>6099</v>
      </c>
      <c r="T768">
        <v>1</v>
      </c>
      <c r="U768" t="s">
        <v>6019</v>
      </c>
      <c r="V768">
        <v>1</v>
      </c>
    </row>
    <row r="769" spans="1:22" x14ac:dyDescent="0.3">
      <c r="A769" t="s">
        <v>784</v>
      </c>
      <c r="B769" s="2">
        <v>46061.438888888886</v>
      </c>
      <c r="C769" s="2">
        <v>46062.105555555558</v>
      </c>
      <c r="D769" t="s">
        <v>6028</v>
      </c>
      <c r="E769" t="s">
        <v>6029</v>
      </c>
      <c r="F769" t="s">
        <v>6035</v>
      </c>
      <c r="G769" t="s">
        <v>6071</v>
      </c>
      <c r="H769" t="s">
        <v>6098</v>
      </c>
      <c r="I769">
        <v>4</v>
      </c>
      <c r="J769">
        <v>16</v>
      </c>
      <c r="K769" t="s">
        <v>6100</v>
      </c>
      <c r="L769" t="s">
        <v>6100</v>
      </c>
      <c r="M769" t="s">
        <v>6099</v>
      </c>
      <c r="N769">
        <v>4</v>
      </c>
      <c r="O769" t="s">
        <v>6101</v>
      </c>
      <c r="P769" t="s">
        <v>6108</v>
      </c>
      <c r="Q769">
        <v>2</v>
      </c>
      <c r="R769">
        <v>2026</v>
      </c>
      <c r="S769" t="s">
        <v>6100</v>
      </c>
      <c r="T769">
        <v>0</v>
      </c>
      <c r="U769" t="s">
        <v>6017</v>
      </c>
      <c r="V769">
        <v>0</v>
      </c>
    </row>
    <row r="770" spans="1:22" x14ac:dyDescent="0.3">
      <c r="A770" t="s">
        <v>785</v>
      </c>
      <c r="B770" s="2">
        <v>46061.465277777781</v>
      </c>
      <c r="C770" s="2">
        <v>46061.952777777777</v>
      </c>
      <c r="D770" t="s">
        <v>6023</v>
      </c>
      <c r="E770" t="s">
        <v>6029</v>
      </c>
      <c r="F770" t="s">
        <v>6033</v>
      </c>
      <c r="G770" t="s">
        <v>6053</v>
      </c>
      <c r="H770" t="s">
        <v>6097</v>
      </c>
      <c r="I770">
        <v>72</v>
      </c>
      <c r="J770">
        <v>11.7</v>
      </c>
      <c r="K770" t="s">
        <v>6099</v>
      </c>
      <c r="L770" t="s">
        <v>6100</v>
      </c>
      <c r="M770" t="s">
        <v>6100</v>
      </c>
      <c r="N770">
        <v>5</v>
      </c>
      <c r="O770" t="s">
        <v>6101</v>
      </c>
      <c r="P770" t="s">
        <v>6108</v>
      </c>
      <c r="Q770">
        <v>2</v>
      </c>
      <c r="R770">
        <v>2026</v>
      </c>
      <c r="S770" t="s">
        <v>6099</v>
      </c>
      <c r="T770">
        <v>1</v>
      </c>
      <c r="U770" t="s">
        <v>6019</v>
      </c>
      <c r="V770">
        <v>1</v>
      </c>
    </row>
    <row r="771" spans="1:22" x14ac:dyDescent="0.3">
      <c r="A771" t="s">
        <v>786</v>
      </c>
      <c r="B771" s="2">
        <v>46061.46875</v>
      </c>
      <c r="C771" s="2">
        <v>46062.089583333334</v>
      </c>
      <c r="D771" t="s">
        <v>6023</v>
      </c>
      <c r="E771" t="s">
        <v>6029</v>
      </c>
      <c r="F771" t="s">
        <v>6033</v>
      </c>
      <c r="G771" t="s">
        <v>6080</v>
      </c>
      <c r="H771" t="s">
        <v>6096</v>
      </c>
      <c r="I771">
        <v>72</v>
      </c>
      <c r="J771">
        <v>14.9</v>
      </c>
      <c r="K771" t="s">
        <v>6100</v>
      </c>
      <c r="L771" t="s">
        <v>6099</v>
      </c>
      <c r="M771" t="s">
        <v>6100</v>
      </c>
      <c r="O771" t="s">
        <v>6101</v>
      </c>
      <c r="P771" t="s">
        <v>6108</v>
      </c>
      <c r="Q771">
        <v>2</v>
      </c>
      <c r="R771">
        <v>2026</v>
      </c>
      <c r="S771" t="s">
        <v>6099</v>
      </c>
      <c r="T771">
        <v>1</v>
      </c>
      <c r="U771" t="s">
        <v>6020</v>
      </c>
      <c r="V771">
        <v>0</v>
      </c>
    </row>
    <row r="772" spans="1:22" x14ac:dyDescent="0.3">
      <c r="A772" t="s">
        <v>787</v>
      </c>
      <c r="B772" s="2">
        <v>46061.486805555556</v>
      </c>
      <c r="C772" s="2">
        <v>46061.774305555555</v>
      </c>
      <c r="D772" t="s">
        <v>6023</v>
      </c>
      <c r="E772" t="s">
        <v>6030</v>
      </c>
      <c r="F772" t="s">
        <v>6033</v>
      </c>
      <c r="G772" t="s">
        <v>6059</v>
      </c>
      <c r="H772" t="s">
        <v>6097</v>
      </c>
      <c r="I772">
        <v>72</v>
      </c>
      <c r="J772">
        <v>6.9</v>
      </c>
      <c r="K772" t="s">
        <v>6099</v>
      </c>
      <c r="L772" t="s">
        <v>6100</v>
      </c>
      <c r="M772" t="s">
        <v>6100</v>
      </c>
      <c r="N772">
        <v>4</v>
      </c>
      <c r="O772" t="s">
        <v>6101</v>
      </c>
      <c r="P772" t="s">
        <v>6108</v>
      </c>
      <c r="Q772">
        <v>2</v>
      </c>
      <c r="R772">
        <v>2026</v>
      </c>
      <c r="S772" t="s">
        <v>6099</v>
      </c>
      <c r="T772">
        <v>1</v>
      </c>
      <c r="U772" t="s">
        <v>6021</v>
      </c>
      <c r="V772">
        <v>1</v>
      </c>
    </row>
    <row r="773" spans="1:22" x14ac:dyDescent="0.3">
      <c r="A773" t="s">
        <v>788</v>
      </c>
      <c r="B773" s="2">
        <v>46061.490277777775</v>
      </c>
      <c r="C773" s="2">
        <v>46062.344444444447</v>
      </c>
      <c r="D773" t="s">
        <v>6028</v>
      </c>
      <c r="E773" t="s">
        <v>6031</v>
      </c>
      <c r="F773" t="s">
        <v>6035</v>
      </c>
      <c r="G773" t="s">
        <v>6043</v>
      </c>
      <c r="H773" t="s">
        <v>6097</v>
      </c>
      <c r="I773">
        <v>4</v>
      </c>
      <c r="J773">
        <v>20.5</v>
      </c>
      <c r="K773" t="s">
        <v>6099</v>
      </c>
      <c r="L773" t="s">
        <v>6100</v>
      </c>
      <c r="M773" t="s">
        <v>6100</v>
      </c>
      <c r="O773" t="s">
        <v>6101</v>
      </c>
      <c r="P773" t="s">
        <v>6108</v>
      </c>
      <c r="Q773">
        <v>2</v>
      </c>
      <c r="R773">
        <v>2026</v>
      </c>
      <c r="S773" t="s">
        <v>6100</v>
      </c>
      <c r="T773">
        <v>0</v>
      </c>
      <c r="U773" t="s">
        <v>6021</v>
      </c>
      <c r="V773">
        <v>1</v>
      </c>
    </row>
    <row r="774" spans="1:22" x14ac:dyDescent="0.3">
      <c r="A774" t="s">
        <v>789</v>
      </c>
      <c r="B774" s="2">
        <v>46061.542361111111</v>
      </c>
      <c r="C774" s="2">
        <v>46061.996527777781</v>
      </c>
      <c r="D774" t="s">
        <v>6028</v>
      </c>
      <c r="E774" t="s">
        <v>6031</v>
      </c>
      <c r="F774" t="s">
        <v>6033</v>
      </c>
      <c r="G774" t="s">
        <v>6036</v>
      </c>
      <c r="H774" t="s">
        <v>6096</v>
      </c>
      <c r="I774">
        <v>72</v>
      </c>
      <c r="J774">
        <v>10.9</v>
      </c>
      <c r="K774" t="s">
        <v>6100</v>
      </c>
      <c r="L774" t="s">
        <v>6099</v>
      </c>
      <c r="M774" t="s">
        <v>6100</v>
      </c>
      <c r="O774" t="s">
        <v>6101</v>
      </c>
      <c r="P774" t="s">
        <v>6108</v>
      </c>
      <c r="Q774">
        <v>2</v>
      </c>
      <c r="R774">
        <v>2026</v>
      </c>
      <c r="S774" t="s">
        <v>6099</v>
      </c>
      <c r="T774">
        <v>1</v>
      </c>
      <c r="U774" t="s">
        <v>6018</v>
      </c>
      <c r="V774">
        <v>0</v>
      </c>
    </row>
    <row r="775" spans="1:22" x14ac:dyDescent="0.3">
      <c r="A775" t="s">
        <v>790</v>
      </c>
      <c r="B775" s="2">
        <v>46061.559027777781</v>
      </c>
      <c r="C775" s="2">
        <v>46063.179861111108</v>
      </c>
      <c r="D775" t="s">
        <v>6027</v>
      </c>
      <c r="E775" t="s">
        <v>6031</v>
      </c>
      <c r="F775" t="s">
        <v>6033</v>
      </c>
      <c r="G775" t="s">
        <v>6080</v>
      </c>
      <c r="H775" t="s">
        <v>6096</v>
      </c>
      <c r="I775">
        <v>72</v>
      </c>
      <c r="J775">
        <v>38.9</v>
      </c>
      <c r="K775" t="s">
        <v>6100</v>
      </c>
      <c r="L775" t="s">
        <v>6100</v>
      </c>
      <c r="M775" t="s">
        <v>6100</v>
      </c>
      <c r="N775">
        <v>5</v>
      </c>
      <c r="O775" t="s">
        <v>6101</v>
      </c>
      <c r="P775" t="s">
        <v>6108</v>
      </c>
      <c r="Q775">
        <v>2</v>
      </c>
      <c r="R775">
        <v>2026</v>
      </c>
      <c r="S775" t="s">
        <v>6099</v>
      </c>
      <c r="T775">
        <v>1</v>
      </c>
      <c r="U775" t="s">
        <v>6019</v>
      </c>
      <c r="V775">
        <v>0</v>
      </c>
    </row>
    <row r="776" spans="1:22" x14ac:dyDescent="0.3">
      <c r="A776" t="s">
        <v>791</v>
      </c>
      <c r="B776" s="2">
        <v>46061.580555555556</v>
      </c>
      <c r="C776" s="2">
        <v>46063.05972222222</v>
      </c>
      <c r="D776" t="s">
        <v>6025</v>
      </c>
      <c r="E776" t="s">
        <v>6032</v>
      </c>
      <c r="F776" t="s">
        <v>6034</v>
      </c>
      <c r="G776" t="s">
        <v>6050</v>
      </c>
      <c r="H776" t="s">
        <v>6098</v>
      </c>
      <c r="I776">
        <v>24</v>
      </c>
      <c r="J776">
        <v>35.5</v>
      </c>
      <c r="K776" t="s">
        <v>6099</v>
      </c>
      <c r="L776" t="s">
        <v>6100</v>
      </c>
      <c r="M776" t="s">
        <v>6100</v>
      </c>
      <c r="N776">
        <v>4</v>
      </c>
      <c r="O776" t="s">
        <v>6101</v>
      </c>
      <c r="P776" t="s">
        <v>6108</v>
      </c>
      <c r="Q776">
        <v>2</v>
      </c>
      <c r="R776">
        <v>2026</v>
      </c>
      <c r="S776" t="s">
        <v>6100</v>
      </c>
      <c r="T776">
        <v>0</v>
      </c>
      <c r="U776" t="s">
        <v>6019</v>
      </c>
      <c r="V776">
        <v>1</v>
      </c>
    </row>
    <row r="777" spans="1:22" x14ac:dyDescent="0.3">
      <c r="A777" t="s">
        <v>792</v>
      </c>
      <c r="B777" s="2">
        <v>46061.591666666667</v>
      </c>
      <c r="C777" s="2">
        <v>46064.466666666667</v>
      </c>
      <c r="D777" t="s">
        <v>6025</v>
      </c>
      <c r="E777" t="s">
        <v>6031</v>
      </c>
      <c r="F777" t="s">
        <v>6034</v>
      </c>
      <c r="G777" t="s">
        <v>6058</v>
      </c>
      <c r="H777" t="s">
        <v>6098</v>
      </c>
      <c r="I777">
        <v>24</v>
      </c>
      <c r="J777">
        <v>69</v>
      </c>
      <c r="K777" t="s">
        <v>6100</v>
      </c>
      <c r="L777" t="s">
        <v>6099</v>
      </c>
      <c r="M777" t="s">
        <v>6100</v>
      </c>
      <c r="N777">
        <v>2</v>
      </c>
      <c r="O777" t="s">
        <v>6101</v>
      </c>
      <c r="P777" t="s">
        <v>6108</v>
      </c>
      <c r="Q777">
        <v>2</v>
      </c>
      <c r="R777">
        <v>2026</v>
      </c>
      <c r="S777" t="s">
        <v>6100</v>
      </c>
      <c r="T777">
        <v>0</v>
      </c>
      <c r="U777" t="s">
        <v>6018</v>
      </c>
      <c r="V777">
        <v>0</v>
      </c>
    </row>
    <row r="778" spans="1:22" x14ac:dyDescent="0.3">
      <c r="A778" t="s">
        <v>793</v>
      </c>
      <c r="B778" s="2">
        <v>46061.627083333333</v>
      </c>
      <c r="C778" s="2">
        <v>46062.464583333334</v>
      </c>
      <c r="D778" t="s">
        <v>6023</v>
      </c>
      <c r="E778" t="s">
        <v>6030</v>
      </c>
      <c r="F778" t="s">
        <v>6034</v>
      </c>
      <c r="G778" t="s">
        <v>6083</v>
      </c>
      <c r="H778" t="s">
        <v>6096</v>
      </c>
      <c r="I778">
        <v>24</v>
      </c>
      <c r="J778">
        <v>20.100000000000001</v>
      </c>
      <c r="K778" t="s">
        <v>6099</v>
      </c>
      <c r="L778" t="s">
        <v>6100</v>
      </c>
      <c r="M778" t="s">
        <v>6100</v>
      </c>
      <c r="N778">
        <v>4</v>
      </c>
      <c r="O778" t="s">
        <v>6101</v>
      </c>
      <c r="P778" t="s">
        <v>6108</v>
      </c>
      <c r="Q778">
        <v>2</v>
      </c>
      <c r="R778">
        <v>2026</v>
      </c>
      <c r="S778" t="s">
        <v>6099</v>
      </c>
      <c r="T778">
        <v>1</v>
      </c>
      <c r="U778" t="s">
        <v>6020</v>
      </c>
      <c r="V778">
        <v>1</v>
      </c>
    </row>
    <row r="779" spans="1:22" x14ac:dyDescent="0.3">
      <c r="A779" t="s">
        <v>794</v>
      </c>
      <c r="B779" s="2">
        <v>46061.643750000003</v>
      </c>
      <c r="C779" s="2">
        <v>46061.685416666667</v>
      </c>
      <c r="D779" t="s">
        <v>6028</v>
      </c>
      <c r="E779" t="s">
        <v>6030</v>
      </c>
      <c r="F779" t="s">
        <v>6033</v>
      </c>
      <c r="G779" t="s">
        <v>6070</v>
      </c>
      <c r="H779" t="s">
        <v>6097</v>
      </c>
      <c r="I779">
        <v>72</v>
      </c>
      <c r="J779">
        <v>1</v>
      </c>
      <c r="K779" t="s">
        <v>6099</v>
      </c>
      <c r="L779" t="s">
        <v>6100</v>
      </c>
      <c r="M779" t="s">
        <v>6100</v>
      </c>
      <c r="N779">
        <v>4</v>
      </c>
      <c r="O779" t="s">
        <v>6101</v>
      </c>
      <c r="P779" t="s">
        <v>6108</v>
      </c>
      <c r="Q779">
        <v>2</v>
      </c>
      <c r="R779">
        <v>2026</v>
      </c>
      <c r="S779" t="s">
        <v>6099</v>
      </c>
      <c r="T779">
        <v>1</v>
      </c>
      <c r="U779" t="s">
        <v>6021</v>
      </c>
      <c r="V779">
        <v>1</v>
      </c>
    </row>
    <row r="780" spans="1:22" x14ac:dyDescent="0.3">
      <c r="A780" t="s">
        <v>795</v>
      </c>
      <c r="B780" s="2">
        <v>46061.692361111112</v>
      </c>
      <c r="C780" s="2">
        <v>46062.53402777778</v>
      </c>
      <c r="D780" t="s">
        <v>6022</v>
      </c>
      <c r="E780" t="s">
        <v>6030</v>
      </c>
      <c r="F780" t="s">
        <v>6034</v>
      </c>
      <c r="G780" t="s">
        <v>6061</v>
      </c>
      <c r="H780" t="s">
        <v>6096</v>
      </c>
      <c r="I780">
        <v>24</v>
      </c>
      <c r="J780">
        <v>20.2</v>
      </c>
      <c r="K780" t="s">
        <v>6099</v>
      </c>
      <c r="L780" t="s">
        <v>6100</v>
      </c>
      <c r="M780" t="s">
        <v>6100</v>
      </c>
      <c r="N780">
        <v>5</v>
      </c>
      <c r="O780" t="s">
        <v>6101</v>
      </c>
      <c r="P780" t="s">
        <v>6108</v>
      </c>
      <c r="Q780">
        <v>2</v>
      </c>
      <c r="R780">
        <v>2026</v>
      </c>
      <c r="S780" t="s">
        <v>6099</v>
      </c>
      <c r="T780">
        <v>1</v>
      </c>
      <c r="U780" t="s">
        <v>6018</v>
      </c>
      <c r="V780">
        <v>1</v>
      </c>
    </row>
    <row r="781" spans="1:22" x14ac:dyDescent="0.3">
      <c r="A781" t="s">
        <v>796</v>
      </c>
      <c r="B781" s="2">
        <v>46061.803472222222</v>
      </c>
      <c r="C781" s="2">
        <v>46061.990972222222</v>
      </c>
      <c r="D781" t="s">
        <v>6027</v>
      </c>
      <c r="E781" t="s">
        <v>6030</v>
      </c>
      <c r="F781" t="s">
        <v>6033</v>
      </c>
      <c r="G781" t="s">
        <v>6067</v>
      </c>
      <c r="H781" t="s">
        <v>6098</v>
      </c>
      <c r="I781">
        <v>72</v>
      </c>
      <c r="J781">
        <v>4.5</v>
      </c>
      <c r="K781" t="s">
        <v>6099</v>
      </c>
      <c r="L781" t="s">
        <v>6100</v>
      </c>
      <c r="M781" t="s">
        <v>6100</v>
      </c>
      <c r="O781" t="s">
        <v>6101</v>
      </c>
      <c r="P781" t="s">
        <v>6108</v>
      </c>
      <c r="Q781">
        <v>2</v>
      </c>
      <c r="R781">
        <v>2026</v>
      </c>
      <c r="S781" t="s">
        <v>6099</v>
      </c>
      <c r="T781">
        <v>1</v>
      </c>
      <c r="U781" t="s">
        <v>6020</v>
      </c>
      <c r="V781">
        <v>1</v>
      </c>
    </row>
    <row r="782" spans="1:22" x14ac:dyDescent="0.3">
      <c r="A782" t="s">
        <v>797</v>
      </c>
      <c r="B782" s="2">
        <v>46061.806944444441</v>
      </c>
      <c r="C782" s="2">
        <v>46065.923611111109</v>
      </c>
      <c r="D782" t="s">
        <v>6026</v>
      </c>
      <c r="E782" t="s">
        <v>6031</v>
      </c>
      <c r="F782" t="s">
        <v>6034</v>
      </c>
      <c r="G782" t="s">
        <v>6092</v>
      </c>
      <c r="H782" t="s">
        <v>6097</v>
      </c>
      <c r="I782">
        <v>24</v>
      </c>
      <c r="J782">
        <v>98.8</v>
      </c>
      <c r="K782" t="s">
        <v>6099</v>
      </c>
      <c r="L782" t="s">
        <v>6100</v>
      </c>
      <c r="M782" t="s">
        <v>6100</v>
      </c>
      <c r="N782">
        <v>5</v>
      </c>
      <c r="O782" t="s">
        <v>6101</v>
      </c>
      <c r="P782" t="s">
        <v>6108</v>
      </c>
      <c r="Q782">
        <v>2</v>
      </c>
      <c r="R782">
        <v>2026</v>
      </c>
      <c r="S782" t="s">
        <v>6100</v>
      </c>
      <c r="T782">
        <v>0</v>
      </c>
      <c r="U782" t="s">
        <v>6020</v>
      </c>
      <c r="V782">
        <v>1</v>
      </c>
    </row>
    <row r="783" spans="1:22" x14ac:dyDescent="0.3">
      <c r="A783" t="s">
        <v>798</v>
      </c>
      <c r="B783" s="2">
        <v>46062.301388888889</v>
      </c>
      <c r="C783" s="2">
        <v>46062.409722222219</v>
      </c>
      <c r="D783" t="s">
        <v>6023</v>
      </c>
      <c r="E783" t="s">
        <v>6030</v>
      </c>
      <c r="F783" t="s">
        <v>6034</v>
      </c>
      <c r="G783" t="s">
        <v>6066</v>
      </c>
      <c r="H783" t="s">
        <v>6096</v>
      </c>
      <c r="I783">
        <v>24</v>
      </c>
      <c r="J783">
        <v>2.6</v>
      </c>
      <c r="K783" t="s">
        <v>6100</v>
      </c>
      <c r="L783" t="s">
        <v>6099</v>
      </c>
      <c r="M783" t="s">
        <v>6100</v>
      </c>
      <c r="O783" t="s">
        <v>6101</v>
      </c>
      <c r="P783" t="s">
        <v>6108</v>
      </c>
      <c r="Q783">
        <v>2</v>
      </c>
      <c r="R783">
        <v>2026</v>
      </c>
      <c r="S783" t="s">
        <v>6099</v>
      </c>
      <c r="T783">
        <v>1</v>
      </c>
      <c r="U783" t="s">
        <v>6017</v>
      </c>
      <c r="V783">
        <v>0</v>
      </c>
    </row>
    <row r="784" spans="1:22" x14ac:dyDescent="0.3">
      <c r="A784" t="s">
        <v>799</v>
      </c>
      <c r="B784" s="2">
        <v>46062.345138888886</v>
      </c>
      <c r="C784" s="2">
        <v>46062.907638888886</v>
      </c>
      <c r="D784" t="s">
        <v>6028</v>
      </c>
      <c r="E784" t="s">
        <v>6031</v>
      </c>
      <c r="F784" t="s">
        <v>6034</v>
      </c>
      <c r="G784" t="s">
        <v>6090</v>
      </c>
      <c r="H784" t="s">
        <v>6097</v>
      </c>
      <c r="I784">
        <v>24</v>
      </c>
      <c r="J784">
        <v>13.5</v>
      </c>
      <c r="K784" t="s">
        <v>6099</v>
      </c>
      <c r="L784" t="s">
        <v>6100</v>
      </c>
      <c r="M784" t="s">
        <v>6100</v>
      </c>
      <c r="O784" t="s">
        <v>6101</v>
      </c>
      <c r="P784" t="s">
        <v>6108</v>
      </c>
      <c r="Q784">
        <v>2</v>
      </c>
      <c r="R784">
        <v>2026</v>
      </c>
      <c r="S784" t="s">
        <v>6099</v>
      </c>
      <c r="T784">
        <v>1</v>
      </c>
      <c r="U784" t="s">
        <v>6020</v>
      </c>
      <c r="V784">
        <v>1</v>
      </c>
    </row>
    <row r="785" spans="1:22" x14ac:dyDescent="0.3">
      <c r="A785" t="s">
        <v>800</v>
      </c>
      <c r="B785" s="2">
        <v>46062.355555555558</v>
      </c>
      <c r="C785" s="2">
        <v>46063.093055555553</v>
      </c>
      <c r="D785" t="s">
        <v>6023</v>
      </c>
      <c r="E785" t="s">
        <v>6032</v>
      </c>
      <c r="F785" t="s">
        <v>6034</v>
      </c>
      <c r="G785" t="s">
        <v>6059</v>
      </c>
      <c r="H785" t="s">
        <v>6097</v>
      </c>
      <c r="I785">
        <v>24</v>
      </c>
      <c r="J785">
        <v>17.7</v>
      </c>
      <c r="K785" t="s">
        <v>6099</v>
      </c>
      <c r="L785" t="s">
        <v>6100</v>
      </c>
      <c r="M785" t="s">
        <v>6100</v>
      </c>
      <c r="N785">
        <v>5</v>
      </c>
      <c r="O785" t="s">
        <v>6101</v>
      </c>
      <c r="P785" t="s">
        <v>6108</v>
      </c>
      <c r="Q785">
        <v>2</v>
      </c>
      <c r="R785">
        <v>2026</v>
      </c>
      <c r="S785" t="s">
        <v>6099</v>
      </c>
      <c r="T785">
        <v>1</v>
      </c>
      <c r="U785" t="s">
        <v>6017</v>
      </c>
      <c r="V785">
        <v>1</v>
      </c>
    </row>
    <row r="786" spans="1:22" x14ac:dyDescent="0.3">
      <c r="A786" t="s">
        <v>801</v>
      </c>
      <c r="B786" s="2">
        <v>46062.394444444442</v>
      </c>
      <c r="C786" s="2">
        <v>46065.665277777778</v>
      </c>
      <c r="D786" t="s">
        <v>6025</v>
      </c>
      <c r="E786" t="s">
        <v>6031</v>
      </c>
      <c r="F786" t="s">
        <v>6033</v>
      </c>
      <c r="G786" t="s">
        <v>6073</v>
      </c>
      <c r="H786" t="s">
        <v>6096</v>
      </c>
      <c r="I786">
        <v>72</v>
      </c>
      <c r="J786">
        <v>78.5</v>
      </c>
      <c r="K786" t="s">
        <v>6099</v>
      </c>
      <c r="L786" t="s">
        <v>6100</v>
      </c>
      <c r="M786" t="s">
        <v>6100</v>
      </c>
      <c r="N786">
        <v>3</v>
      </c>
      <c r="O786" t="s">
        <v>6101</v>
      </c>
      <c r="P786" t="s">
        <v>6108</v>
      </c>
      <c r="Q786">
        <v>2</v>
      </c>
      <c r="R786">
        <v>2026</v>
      </c>
      <c r="S786" t="s">
        <v>6100</v>
      </c>
      <c r="T786">
        <v>0</v>
      </c>
      <c r="U786" t="s">
        <v>6018</v>
      </c>
      <c r="V786">
        <v>1</v>
      </c>
    </row>
    <row r="787" spans="1:22" x14ac:dyDescent="0.3">
      <c r="A787" t="s">
        <v>802</v>
      </c>
      <c r="B787" s="2">
        <v>46062.462500000001</v>
      </c>
      <c r="C787" s="2">
        <v>46062.92083333333</v>
      </c>
      <c r="D787" t="s">
        <v>6028</v>
      </c>
      <c r="E787" t="s">
        <v>6031</v>
      </c>
      <c r="F787" t="s">
        <v>6034</v>
      </c>
      <c r="G787" t="s">
        <v>6058</v>
      </c>
      <c r="H787" t="s">
        <v>6098</v>
      </c>
      <c r="I787">
        <v>24</v>
      </c>
      <c r="J787">
        <v>11</v>
      </c>
      <c r="K787" t="s">
        <v>6099</v>
      </c>
      <c r="L787" t="s">
        <v>6100</v>
      </c>
      <c r="M787" t="s">
        <v>6100</v>
      </c>
      <c r="N787">
        <v>5</v>
      </c>
      <c r="O787" t="s">
        <v>6101</v>
      </c>
      <c r="P787" t="s">
        <v>6108</v>
      </c>
      <c r="Q787">
        <v>2</v>
      </c>
      <c r="R787">
        <v>2026</v>
      </c>
      <c r="S787" t="s">
        <v>6099</v>
      </c>
      <c r="T787">
        <v>1</v>
      </c>
      <c r="U787" t="s">
        <v>6019</v>
      </c>
      <c r="V787">
        <v>1</v>
      </c>
    </row>
    <row r="788" spans="1:22" x14ac:dyDescent="0.3">
      <c r="A788" t="s">
        <v>803</v>
      </c>
      <c r="B788" s="2">
        <v>46062.478472222225</v>
      </c>
      <c r="C788" s="2">
        <v>46062.661805555559</v>
      </c>
      <c r="D788" t="s">
        <v>6023</v>
      </c>
      <c r="E788" t="s">
        <v>6029</v>
      </c>
      <c r="F788" t="s">
        <v>6034</v>
      </c>
      <c r="G788" t="s">
        <v>6070</v>
      </c>
      <c r="H788" t="s">
        <v>6097</v>
      </c>
      <c r="I788">
        <v>24</v>
      </c>
      <c r="J788">
        <v>4.4000000000000004</v>
      </c>
      <c r="K788" t="s">
        <v>6099</v>
      </c>
      <c r="L788" t="s">
        <v>6100</v>
      </c>
      <c r="M788" t="s">
        <v>6100</v>
      </c>
      <c r="O788" t="s">
        <v>6101</v>
      </c>
      <c r="P788" t="s">
        <v>6108</v>
      </c>
      <c r="Q788">
        <v>2</v>
      </c>
      <c r="R788">
        <v>2026</v>
      </c>
      <c r="S788" t="s">
        <v>6099</v>
      </c>
      <c r="T788">
        <v>1</v>
      </c>
      <c r="U788" t="s">
        <v>6020</v>
      </c>
      <c r="V788">
        <v>1</v>
      </c>
    </row>
    <row r="789" spans="1:22" x14ac:dyDescent="0.3">
      <c r="A789" t="s">
        <v>804</v>
      </c>
      <c r="B789" s="2">
        <v>46062.538888888892</v>
      </c>
      <c r="C789" s="2">
        <v>46063.672222222223</v>
      </c>
      <c r="D789" t="s">
        <v>6022</v>
      </c>
      <c r="E789" t="s">
        <v>6031</v>
      </c>
      <c r="F789" t="s">
        <v>6033</v>
      </c>
      <c r="G789" t="s">
        <v>6085</v>
      </c>
      <c r="H789" t="s">
        <v>6097</v>
      </c>
      <c r="I789">
        <v>72</v>
      </c>
      <c r="J789">
        <v>27.2</v>
      </c>
      <c r="K789" t="s">
        <v>6100</v>
      </c>
      <c r="L789" t="s">
        <v>6099</v>
      </c>
      <c r="M789" t="s">
        <v>6100</v>
      </c>
      <c r="O789" t="s">
        <v>6101</v>
      </c>
      <c r="P789" t="s">
        <v>6108</v>
      </c>
      <c r="Q789">
        <v>2</v>
      </c>
      <c r="R789">
        <v>2026</v>
      </c>
      <c r="S789" t="s">
        <v>6099</v>
      </c>
      <c r="T789">
        <v>1</v>
      </c>
      <c r="U789" t="s">
        <v>6021</v>
      </c>
      <c r="V789">
        <v>0</v>
      </c>
    </row>
    <row r="790" spans="1:22" x14ac:dyDescent="0.3">
      <c r="A790" t="s">
        <v>805</v>
      </c>
      <c r="B790" s="2">
        <v>46062.546527777777</v>
      </c>
      <c r="C790" s="2">
        <v>46062.934027777781</v>
      </c>
      <c r="D790" t="s">
        <v>6025</v>
      </c>
      <c r="E790" t="s">
        <v>6030</v>
      </c>
      <c r="F790" t="s">
        <v>6034</v>
      </c>
      <c r="G790" t="s">
        <v>6074</v>
      </c>
      <c r="H790" t="s">
        <v>6098</v>
      </c>
      <c r="I790">
        <v>24</v>
      </c>
      <c r="J790">
        <v>9.3000000000000007</v>
      </c>
      <c r="K790" t="s">
        <v>6100</v>
      </c>
      <c r="L790" t="s">
        <v>6099</v>
      </c>
      <c r="M790" t="s">
        <v>6100</v>
      </c>
      <c r="N790">
        <v>3</v>
      </c>
      <c r="O790" t="s">
        <v>6101</v>
      </c>
      <c r="P790" t="s">
        <v>6108</v>
      </c>
      <c r="Q790">
        <v>2</v>
      </c>
      <c r="R790">
        <v>2026</v>
      </c>
      <c r="S790" t="s">
        <v>6099</v>
      </c>
      <c r="T790">
        <v>1</v>
      </c>
      <c r="U790" t="s">
        <v>6019</v>
      </c>
      <c r="V790">
        <v>0</v>
      </c>
    </row>
    <row r="791" spans="1:22" x14ac:dyDescent="0.3">
      <c r="A791" t="s">
        <v>806</v>
      </c>
      <c r="B791" s="2">
        <v>46062.564583333333</v>
      </c>
      <c r="C791" s="2">
        <v>46063.627083333333</v>
      </c>
      <c r="D791" t="s">
        <v>6023</v>
      </c>
      <c r="E791" t="s">
        <v>6032</v>
      </c>
      <c r="F791" t="s">
        <v>6034</v>
      </c>
      <c r="G791" t="s">
        <v>6065</v>
      </c>
      <c r="H791" t="s">
        <v>6097</v>
      </c>
      <c r="I791">
        <v>24</v>
      </c>
      <c r="J791">
        <v>25.5</v>
      </c>
      <c r="K791" t="s">
        <v>6100</v>
      </c>
      <c r="L791" t="s">
        <v>6100</v>
      </c>
      <c r="M791" t="s">
        <v>6100</v>
      </c>
      <c r="O791" t="s">
        <v>6101</v>
      </c>
      <c r="P791" t="s">
        <v>6108</v>
      </c>
      <c r="Q791">
        <v>2</v>
      </c>
      <c r="R791">
        <v>2026</v>
      </c>
      <c r="S791" t="s">
        <v>6100</v>
      </c>
      <c r="T791">
        <v>0</v>
      </c>
      <c r="U791" t="s">
        <v>6020</v>
      </c>
      <c r="V791">
        <v>0</v>
      </c>
    </row>
    <row r="792" spans="1:22" x14ac:dyDescent="0.3">
      <c r="A792" t="s">
        <v>807</v>
      </c>
      <c r="B792" s="2">
        <v>46062.586111111108</v>
      </c>
      <c r="C792" s="2">
        <v>46063.994444444441</v>
      </c>
      <c r="D792" t="s">
        <v>6022</v>
      </c>
      <c r="E792" t="s">
        <v>6029</v>
      </c>
      <c r="F792" t="s">
        <v>6033</v>
      </c>
      <c r="G792" t="s">
        <v>6066</v>
      </c>
      <c r="H792" t="s">
        <v>6096</v>
      </c>
      <c r="I792">
        <v>72</v>
      </c>
      <c r="J792">
        <v>33.799999999999997</v>
      </c>
      <c r="K792" t="s">
        <v>6099</v>
      </c>
      <c r="L792" t="s">
        <v>6100</v>
      </c>
      <c r="M792" t="s">
        <v>6100</v>
      </c>
      <c r="N792">
        <v>5</v>
      </c>
      <c r="O792" t="s">
        <v>6101</v>
      </c>
      <c r="P792" t="s">
        <v>6108</v>
      </c>
      <c r="Q792">
        <v>2</v>
      </c>
      <c r="R792">
        <v>2026</v>
      </c>
      <c r="S792" t="s">
        <v>6099</v>
      </c>
      <c r="T792">
        <v>1</v>
      </c>
      <c r="U792" t="s">
        <v>6021</v>
      </c>
      <c r="V792">
        <v>1</v>
      </c>
    </row>
    <row r="793" spans="1:22" x14ac:dyDescent="0.3">
      <c r="A793" t="s">
        <v>808</v>
      </c>
      <c r="B793" s="2">
        <v>46062.59375</v>
      </c>
      <c r="C793" s="2">
        <v>46062.706250000003</v>
      </c>
      <c r="D793" t="s">
        <v>6028</v>
      </c>
      <c r="E793" t="s">
        <v>6029</v>
      </c>
      <c r="F793" t="s">
        <v>6035</v>
      </c>
      <c r="G793" t="s">
        <v>6041</v>
      </c>
      <c r="H793" t="s">
        <v>6096</v>
      </c>
      <c r="I793">
        <v>4</v>
      </c>
      <c r="J793">
        <v>2.7</v>
      </c>
      <c r="K793" t="s">
        <v>6100</v>
      </c>
      <c r="L793" t="s">
        <v>6099</v>
      </c>
      <c r="M793" t="s">
        <v>6100</v>
      </c>
      <c r="N793">
        <v>3</v>
      </c>
      <c r="O793" t="s">
        <v>6101</v>
      </c>
      <c r="P793" t="s">
        <v>6108</v>
      </c>
      <c r="Q793">
        <v>2</v>
      </c>
      <c r="R793">
        <v>2026</v>
      </c>
      <c r="S793" t="s">
        <v>6099</v>
      </c>
      <c r="T793">
        <v>1</v>
      </c>
      <c r="U793" t="s">
        <v>6021</v>
      </c>
      <c r="V793">
        <v>0</v>
      </c>
    </row>
    <row r="794" spans="1:22" x14ac:dyDescent="0.3">
      <c r="A794" t="s">
        <v>809</v>
      </c>
      <c r="B794" s="2">
        <v>46062.697916666664</v>
      </c>
      <c r="C794" s="2">
        <v>46062.95208333333</v>
      </c>
      <c r="D794" t="s">
        <v>6023</v>
      </c>
      <c r="E794" t="s">
        <v>6029</v>
      </c>
      <c r="F794" t="s">
        <v>6034</v>
      </c>
      <c r="G794" t="s">
        <v>6092</v>
      </c>
      <c r="H794" t="s">
        <v>6097</v>
      </c>
      <c r="I794">
        <v>24</v>
      </c>
      <c r="J794">
        <v>6.1</v>
      </c>
      <c r="K794" t="s">
        <v>6099</v>
      </c>
      <c r="L794" t="s">
        <v>6100</v>
      </c>
      <c r="M794" t="s">
        <v>6100</v>
      </c>
      <c r="O794" t="s">
        <v>6101</v>
      </c>
      <c r="P794" t="s">
        <v>6108</v>
      </c>
      <c r="Q794">
        <v>2</v>
      </c>
      <c r="R794">
        <v>2026</v>
      </c>
      <c r="S794" t="s">
        <v>6099</v>
      </c>
      <c r="T794">
        <v>1</v>
      </c>
      <c r="U794" t="s">
        <v>6017</v>
      </c>
      <c r="V794">
        <v>1</v>
      </c>
    </row>
    <row r="795" spans="1:22" x14ac:dyDescent="0.3">
      <c r="A795" t="s">
        <v>810</v>
      </c>
      <c r="B795" s="2">
        <v>46062.767361111109</v>
      </c>
      <c r="C795" s="2">
        <v>46063.163194444445</v>
      </c>
      <c r="D795" t="s">
        <v>6023</v>
      </c>
      <c r="E795" t="s">
        <v>6032</v>
      </c>
      <c r="F795" t="s">
        <v>6033</v>
      </c>
      <c r="G795" t="s">
        <v>6045</v>
      </c>
      <c r="H795" t="s">
        <v>6096</v>
      </c>
      <c r="I795">
        <v>72</v>
      </c>
      <c r="J795">
        <v>9.5</v>
      </c>
      <c r="K795" t="s">
        <v>6099</v>
      </c>
      <c r="L795" t="s">
        <v>6100</v>
      </c>
      <c r="M795" t="s">
        <v>6100</v>
      </c>
      <c r="N795">
        <v>5</v>
      </c>
      <c r="O795" t="s">
        <v>6101</v>
      </c>
      <c r="P795" t="s">
        <v>6108</v>
      </c>
      <c r="Q795">
        <v>2</v>
      </c>
      <c r="R795">
        <v>2026</v>
      </c>
      <c r="S795" t="s">
        <v>6099</v>
      </c>
      <c r="T795">
        <v>1</v>
      </c>
      <c r="U795" t="s">
        <v>6018</v>
      </c>
      <c r="V795">
        <v>1</v>
      </c>
    </row>
    <row r="796" spans="1:22" x14ac:dyDescent="0.3">
      <c r="A796" t="s">
        <v>811</v>
      </c>
      <c r="B796" s="2">
        <v>46062.893750000003</v>
      </c>
      <c r="C796" s="2">
        <v>46063.006249999999</v>
      </c>
      <c r="D796" t="s">
        <v>6023</v>
      </c>
      <c r="E796" t="s">
        <v>6030</v>
      </c>
      <c r="F796" t="s">
        <v>6033</v>
      </c>
      <c r="G796" t="s">
        <v>6046</v>
      </c>
      <c r="H796" t="s">
        <v>6098</v>
      </c>
      <c r="I796">
        <v>72</v>
      </c>
      <c r="J796">
        <v>2.7</v>
      </c>
      <c r="K796" t="s">
        <v>6099</v>
      </c>
      <c r="L796" t="s">
        <v>6100</v>
      </c>
      <c r="M796" t="s">
        <v>6099</v>
      </c>
      <c r="N796">
        <v>5</v>
      </c>
      <c r="O796" t="s">
        <v>6101</v>
      </c>
      <c r="P796" t="s">
        <v>6108</v>
      </c>
      <c r="Q796">
        <v>2</v>
      </c>
      <c r="R796">
        <v>2026</v>
      </c>
      <c r="S796" t="s">
        <v>6099</v>
      </c>
      <c r="T796">
        <v>1</v>
      </c>
      <c r="U796" t="s">
        <v>6020</v>
      </c>
      <c r="V796">
        <v>1</v>
      </c>
    </row>
    <row r="797" spans="1:22" x14ac:dyDescent="0.3">
      <c r="A797" t="s">
        <v>812</v>
      </c>
      <c r="B797" s="2">
        <v>46063.132638888892</v>
      </c>
      <c r="C797" s="2">
        <v>46063.449305555558</v>
      </c>
      <c r="D797" t="s">
        <v>6022</v>
      </c>
      <c r="E797" t="s">
        <v>6032</v>
      </c>
      <c r="F797" t="s">
        <v>6034</v>
      </c>
      <c r="G797" t="s">
        <v>6046</v>
      </c>
      <c r="H797" t="s">
        <v>6098</v>
      </c>
      <c r="I797">
        <v>24</v>
      </c>
      <c r="J797">
        <v>7.6</v>
      </c>
      <c r="K797" t="s">
        <v>6100</v>
      </c>
      <c r="L797" t="s">
        <v>6099</v>
      </c>
      <c r="M797" t="s">
        <v>6100</v>
      </c>
      <c r="N797">
        <v>3</v>
      </c>
      <c r="O797" t="s">
        <v>6101</v>
      </c>
      <c r="P797" t="s">
        <v>6108</v>
      </c>
      <c r="Q797">
        <v>2</v>
      </c>
      <c r="R797">
        <v>2026</v>
      </c>
      <c r="S797" t="s">
        <v>6099</v>
      </c>
      <c r="T797">
        <v>1</v>
      </c>
      <c r="U797" t="s">
        <v>6021</v>
      </c>
      <c r="V797">
        <v>0</v>
      </c>
    </row>
    <row r="798" spans="1:22" x14ac:dyDescent="0.3">
      <c r="A798" t="s">
        <v>813</v>
      </c>
      <c r="B798" s="2">
        <v>46063.305555555555</v>
      </c>
      <c r="C798" s="2">
        <v>46063.476388888892</v>
      </c>
      <c r="D798" t="s">
        <v>6022</v>
      </c>
      <c r="E798" t="s">
        <v>6030</v>
      </c>
      <c r="F798" t="s">
        <v>6034</v>
      </c>
      <c r="G798" t="s">
        <v>6087</v>
      </c>
      <c r="H798" t="s">
        <v>6098</v>
      </c>
      <c r="I798">
        <v>24</v>
      </c>
      <c r="J798">
        <v>4.0999999999999996</v>
      </c>
      <c r="K798" t="s">
        <v>6099</v>
      </c>
      <c r="L798" t="s">
        <v>6100</v>
      </c>
      <c r="M798" t="s">
        <v>6100</v>
      </c>
      <c r="N798">
        <v>4</v>
      </c>
      <c r="O798" t="s">
        <v>6101</v>
      </c>
      <c r="P798" t="s">
        <v>6108</v>
      </c>
      <c r="Q798">
        <v>2</v>
      </c>
      <c r="R798">
        <v>2026</v>
      </c>
      <c r="S798" t="s">
        <v>6099</v>
      </c>
      <c r="T798">
        <v>1</v>
      </c>
      <c r="U798" t="s">
        <v>6021</v>
      </c>
      <c r="V798">
        <v>1</v>
      </c>
    </row>
    <row r="799" spans="1:22" x14ac:dyDescent="0.3">
      <c r="A799" t="s">
        <v>814</v>
      </c>
      <c r="B799" s="2">
        <v>46063.400694444441</v>
      </c>
      <c r="C799" s="2">
        <v>46063.829861111109</v>
      </c>
      <c r="D799" t="s">
        <v>6025</v>
      </c>
      <c r="E799" t="s">
        <v>6029</v>
      </c>
      <c r="F799" t="s">
        <v>6033</v>
      </c>
      <c r="G799" t="s">
        <v>6071</v>
      </c>
      <c r="H799" t="s">
        <v>6098</v>
      </c>
      <c r="I799">
        <v>72</v>
      </c>
      <c r="J799">
        <v>10.3</v>
      </c>
      <c r="K799" t="s">
        <v>6099</v>
      </c>
      <c r="L799" t="s">
        <v>6100</v>
      </c>
      <c r="M799" t="s">
        <v>6100</v>
      </c>
      <c r="N799">
        <v>5</v>
      </c>
      <c r="O799" t="s">
        <v>6101</v>
      </c>
      <c r="P799" t="s">
        <v>6108</v>
      </c>
      <c r="Q799">
        <v>2</v>
      </c>
      <c r="R799">
        <v>2026</v>
      </c>
      <c r="S799" t="s">
        <v>6099</v>
      </c>
      <c r="T799">
        <v>1</v>
      </c>
      <c r="U799" t="s">
        <v>6018</v>
      </c>
      <c r="V799">
        <v>1</v>
      </c>
    </row>
    <row r="800" spans="1:22" x14ac:dyDescent="0.3">
      <c r="A800" t="s">
        <v>815</v>
      </c>
      <c r="B800" s="2">
        <v>46063.40347222222</v>
      </c>
      <c r="C800" s="2">
        <v>46064.570138888892</v>
      </c>
      <c r="D800" t="s">
        <v>6025</v>
      </c>
      <c r="E800" t="s">
        <v>6031</v>
      </c>
      <c r="F800" t="s">
        <v>6034</v>
      </c>
      <c r="G800" t="s">
        <v>6060</v>
      </c>
      <c r="H800" t="s">
        <v>6097</v>
      </c>
      <c r="I800">
        <v>24</v>
      </c>
      <c r="J800">
        <v>28</v>
      </c>
      <c r="K800" t="s">
        <v>6099</v>
      </c>
      <c r="L800" t="s">
        <v>6100</v>
      </c>
      <c r="M800" t="s">
        <v>6100</v>
      </c>
      <c r="N800">
        <v>3</v>
      </c>
      <c r="O800" t="s">
        <v>6101</v>
      </c>
      <c r="P800" t="s">
        <v>6108</v>
      </c>
      <c r="Q800">
        <v>2</v>
      </c>
      <c r="R800">
        <v>2026</v>
      </c>
      <c r="S800" t="s">
        <v>6100</v>
      </c>
      <c r="T800">
        <v>0</v>
      </c>
      <c r="U800" t="s">
        <v>6019</v>
      </c>
      <c r="V800">
        <v>1</v>
      </c>
    </row>
    <row r="801" spans="1:22" x14ac:dyDescent="0.3">
      <c r="A801" t="s">
        <v>816</v>
      </c>
      <c r="B801" s="2">
        <v>46063.407638888886</v>
      </c>
      <c r="C801" s="2">
        <v>46063.999305555553</v>
      </c>
      <c r="D801" t="s">
        <v>6028</v>
      </c>
      <c r="E801" t="s">
        <v>6030</v>
      </c>
      <c r="F801" t="s">
        <v>6034</v>
      </c>
      <c r="G801" t="s">
        <v>6064</v>
      </c>
      <c r="H801" t="s">
        <v>6096</v>
      </c>
      <c r="I801">
        <v>24</v>
      </c>
      <c r="J801">
        <v>14.2</v>
      </c>
      <c r="K801" t="s">
        <v>6099</v>
      </c>
      <c r="L801" t="s">
        <v>6100</v>
      </c>
      <c r="M801" t="s">
        <v>6099</v>
      </c>
      <c r="N801">
        <v>4</v>
      </c>
      <c r="O801" t="s">
        <v>6101</v>
      </c>
      <c r="P801" t="s">
        <v>6108</v>
      </c>
      <c r="Q801">
        <v>2</v>
      </c>
      <c r="R801">
        <v>2026</v>
      </c>
      <c r="S801" t="s">
        <v>6099</v>
      </c>
      <c r="T801">
        <v>1</v>
      </c>
      <c r="U801" t="s">
        <v>6021</v>
      </c>
      <c r="V801">
        <v>1</v>
      </c>
    </row>
    <row r="802" spans="1:22" x14ac:dyDescent="0.3">
      <c r="A802" t="s">
        <v>817</v>
      </c>
      <c r="B802" s="2">
        <v>46063.499305555553</v>
      </c>
      <c r="C802" s="2">
        <v>46063.649305555555</v>
      </c>
      <c r="D802" t="s">
        <v>6023</v>
      </c>
      <c r="E802" t="s">
        <v>6030</v>
      </c>
      <c r="F802" t="s">
        <v>6033</v>
      </c>
      <c r="G802" t="s">
        <v>6077</v>
      </c>
      <c r="H802" t="s">
        <v>6098</v>
      </c>
      <c r="I802">
        <v>72</v>
      </c>
      <c r="J802">
        <v>3.6</v>
      </c>
      <c r="K802" t="s">
        <v>6099</v>
      </c>
      <c r="L802" t="s">
        <v>6100</v>
      </c>
      <c r="M802" t="s">
        <v>6100</v>
      </c>
      <c r="N802">
        <v>5</v>
      </c>
      <c r="O802" t="s">
        <v>6101</v>
      </c>
      <c r="P802" t="s">
        <v>6108</v>
      </c>
      <c r="Q802">
        <v>2</v>
      </c>
      <c r="R802">
        <v>2026</v>
      </c>
      <c r="S802" t="s">
        <v>6099</v>
      </c>
      <c r="T802">
        <v>1</v>
      </c>
      <c r="U802" t="s">
        <v>6018</v>
      </c>
      <c r="V802">
        <v>1</v>
      </c>
    </row>
    <row r="803" spans="1:22" x14ac:dyDescent="0.3">
      <c r="A803" t="s">
        <v>818</v>
      </c>
      <c r="B803" s="2">
        <v>46063.509027777778</v>
      </c>
      <c r="C803" s="2">
        <v>46064.304861111108</v>
      </c>
      <c r="D803" t="s">
        <v>6024</v>
      </c>
      <c r="E803" t="s">
        <v>6032</v>
      </c>
      <c r="F803" t="s">
        <v>6033</v>
      </c>
      <c r="G803" t="s">
        <v>6053</v>
      </c>
      <c r="H803" t="s">
        <v>6097</v>
      </c>
      <c r="I803">
        <v>72</v>
      </c>
      <c r="J803">
        <v>19.100000000000001</v>
      </c>
      <c r="K803" t="s">
        <v>6099</v>
      </c>
      <c r="L803" t="s">
        <v>6100</v>
      </c>
      <c r="M803" t="s">
        <v>6100</v>
      </c>
      <c r="N803">
        <v>4</v>
      </c>
      <c r="O803" t="s">
        <v>6101</v>
      </c>
      <c r="P803" t="s">
        <v>6108</v>
      </c>
      <c r="Q803">
        <v>2</v>
      </c>
      <c r="R803">
        <v>2026</v>
      </c>
      <c r="S803" t="s">
        <v>6099</v>
      </c>
      <c r="T803">
        <v>1</v>
      </c>
      <c r="U803" t="s">
        <v>6019</v>
      </c>
      <c r="V803">
        <v>1</v>
      </c>
    </row>
    <row r="804" spans="1:22" x14ac:dyDescent="0.3">
      <c r="A804" t="s">
        <v>819</v>
      </c>
      <c r="B804" s="2">
        <v>46063.611805555556</v>
      </c>
      <c r="C804" s="2">
        <v>46067.807638888888</v>
      </c>
      <c r="D804" t="s">
        <v>6026</v>
      </c>
      <c r="E804" t="s">
        <v>6032</v>
      </c>
      <c r="F804" t="s">
        <v>6033</v>
      </c>
      <c r="G804" t="s">
        <v>6093</v>
      </c>
      <c r="H804" t="s">
        <v>6097</v>
      </c>
      <c r="I804">
        <v>72</v>
      </c>
      <c r="J804">
        <v>100.7</v>
      </c>
      <c r="K804" t="s">
        <v>6100</v>
      </c>
      <c r="L804" t="s">
        <v>6100</v>
      </c>
      <c r="M804" t="s">
        <v>6100</v>
      </c>
      <c r="N804">
        <v>4</v>
      </c>
      <c r="O804" t="s">
        <v>6101</v>
      </c>
      <c r="P804" t="s">
        <v>6108</v>
      </c>
      <c r="Q804">
        <v>2</v>
      </c>
      <c r="R804">
        <v>2026</v>
      </c>
      <c r="S804" t="s">
        <v>6100</v>
      </c>
      <c r="T804">
        <v>0</v>
      </c>
      <c r="U804" t="s">
        <v>6018</v>
      </c>
      <c r="V804">
        <v>0</v>
      </c>
    </row>
    <row r="805" spans="1:22" x14ac:dyDescent="0.3">
      <c r="A805" t="s">
        <v>820</v>
      </c>
      <c r="B805" s="2">
        <v>46063.637499999997</v>
      </c>
      <c r="C805" s="2">
        <v>46066.070833333331</v>
      </c>
      <c r="D805" t="s">
        <v>6026</v>
      </c>
      <c r="E805" t="s">
        <v>6031</v>
      </c>
      <c r="F805" t="s">
        <v>6034</v>
      </c>
      <c r="G805" t="s">
        <v>6052</v>
      </c>
      <c r="H805" t="s">
        <v>6098</v>
      </c>
      <c r="I805">
        <v>24</v>
      </c>
      <c r="J805">
        <v>58.4</v>
      </c>
      <c r="K805" t="s">
        <v>6100</v>
      </c>
      <c r="L805" t="s">
        <v>6099</v>
      </c>
      <c r="M805" t="s">
        <v>6100</v>
      </c>
      <c r="N805">
        <v>2</v>
      </c>
      <c r="O805" t="s">
        <v>6101</v>
      </c>
      <c r="P805" t="s">
        <v>6108</v>
      </c>
      <c r="Q805">
        <v>2</v>
      </c>
      <c r="R805">
        <v>2026</v>
      </c>
      <c r="S805" t="s">
        <v>6100</v>
      </c>
      <c r="T805">
        <v>0</v>
      </c>
      <c r="U805" t="s">
        <v>6017</v>
      </c>
      <c r="V805">
        <v>0</v>
      </c>
    </row>
    <row r="806" spans="1:22" x14ac:dyDescent="0.3">
      <c r="A806" t="s">
        <v>821</v>
      </c>
      <c r="B806" s="2">
        <v>46063.65</v>
      </c>
      <c r="C806" s="2">
        <v>46064.041666666664</v>
      </c>
      <c r="D806" t="s">
        <v>6027</v>
      </c>
      <c r="E806" t="s">
        <v>6029</v>
      </c>
      <c r="F806" t="s">
        <v>6033</v>
      </c>
      <c r="G806" t="s">
        <v>6072</v>
      </c>
      <c r="H806" t="s">
        <v>6097</v>
      </c>
      <c r="I806">
        <v>72</v>
      </c>
      <c r="J806">
        <v>9.4</v>
      </c>
      <c r="K806" t="s">
        <v>6099</v>
      </c>
      <c r="L806" t="s">
        <v>6100</v>
      </c>
      <c r="M806" t="s">
        <v>6099</v>
      </c>
      <c r="N806">
        <v>4</v>
      </c>
      <c r="O806" t="s">
        <v>6101</v>
      </c>
      <c r="P806" t="s">
        <v>6108</v>
      </c>
      <c r="Q806">
        <v>2</v>
      </c>
      <c r="R806">
        <v>2026</v>
      </c>
      <c r="S806" t="s">
        <v>6099</v>
      </c>
      <c r="T806">
        <v>1</v>
      </c>
      <c r="U806" t="s">
        <v>6017</v>
      </c>
      <c r="V806">
        <v>1</v>
      </c>
    </row>
    <row r="807" spans="1:22" x14ac:dyDescent="0.3">
      <c r="A807" t="s">
        <v>822</v>
      </c>
      <c r="B807" s="2">
        <v>46063.667361111111</v>
      </c>
      <c r="C807" s="2">
        <v>46065.754861111112</v>
      </c>
      <c r="D807" t="s">
        <v>6026</v>
      </c>
      <c r="E807" t="s">
        <v>6031</v>
      </c>
      <c r="F807" t="s">
        <v>6034</v>
      </c>
      <c r="G807" t="s">
        <v>6074</v>
      </c>
      <c r="H807" t="s">
        <v>6098</v>
      </c>
      <c r="I807">
        <v>24</v>
      </c>
      <c r="J807">
        <v>50.1</v>
      </c>
      <c r="K807" t="s">
        <v>6099</v>
      </c>
      <c r="L807" t="s">
        <v>6100</v>
      </c>
      <c r="M807" t="s">
        <v>6100</v>
      </c>
      <c r="N807">
        <v>4</v>
      </c>
      <c r="O807" t="s">
        <v>6101</v>
      </c>
      <c r="P807" t="s">
        <v>6108</v>
      </c>
      <c r="Q807">
        <v>2</v>
      </c>
      <c r="R807">
        <v>2026</v>
      </c>
      <c r="S807" t="s">
        <v>6100</v>
      </c>
      <c r="T807">
        <v>0</v>
      </c>
      <c r="U807" t="s">
        <v>6020</v>
      </c>
      <c r="V807">
        <v>1</v>
      </c>
    </row>
    <row r="808" spans="1:22" x14ac:dyDescent="0.3">
      <c r="A808" t="s">
        <v>823</v>
      </c>
      <c r="B808" s="2">
        <v>46063.703472222223</v>
      </c>
      <c r="C808" s="2">
        <v>46063.982638888891</v>
      </c>
      <c r="D808" t="s">
        <v>6028</v>
      </c>
      <c r="E808" t="s">
        <v>6029</v>
      </c>
      <c r="F808" t="s">
        <v>6034</v>
      </c>
      <c r="G808" t="s">
        <v>6093</v>
      </c>
      <c r="H808" t="s">
        <v>6097</v>
      </c>
      <c r="I808">
        <v>24</v>
      </c>
      <c r="J808">
        <v>6.7</v>
      </c>
      <c r="K808" t="s">
        <v>6100</v>
      </c>
      <c r="L808" t="s">
        <v>6100</v>
      </c>
      <c r="M808" t="s">
        <v>6100</v>
      </c>
      <c r="N808">
        <v>5</v>
      </c>
      <c r="O808" t="s">
        <v>6101</v>
      </c>
      <c r="P808" t="s">
        <v>6108</v>
      </c>
      <c r="Q808">
        <v>2</v>
      </c>
      <c r="R808">
        <v>2026</v>
      </c>
      <c r="S808" t="s">
        <v>6099</v>
      </c>
      <c r="T808">
        <v>1</v>
      </c>
      <c r="U808" t="s">
        <v>6021</v>
      </c>
      <c r="V808">
        <v>0</v>
      </c>
    </row>
    <row r="809" spans="1:22" x14ac:dyDescent="0.3">
      <c r="A809" t="s">
        <v>824</v>
      </c>
      <c r="B809" s="2">
        <v>46063.720138888886</v>
      </c>
      <c r="C809" s="2">
        <v>46064.199305555558</v>
      </c>
      <c r="D809" t="s">
        <v>6027</v>
      </c>
      <c r="E809" t="s">
        <v>6031</v>
      </c>
      <c r="F809" t="s">
        <v>6034</v>
      </c>
      <c r="G809" t="s">
        <v>6057</v>
      </c>
      <c r="H809" t="s">
        <v>6097</v>
      </c>
      <c r="I809">
        <v>24</v>
      </c>
      <c r="J809">
        <v>11.5</v>
      </c>
      <c r="K809" t="s">
        <v>6099</v>
      </c>
      <c r="L809" t="s">
        <v>6100</v>
      </c>
      <c r="M809" t="s">
        <v>6100</v>
      </c>
      <c r="O809" t="s">
        <v>6101</v>
      </c>
      <c r="P809" t="s">
        <v>6108</v>
      </c>
      <c r="Q809">
        <v>2</v>
      </c>
      <c r="R809">
        <v>2026</v>
      </c>
      <c r="S809" t="s">
        <v>6099</v>
      </c>
      <c r="T809">
        <v>1</v>
      </c>
      <c r="U809" t="s">
        <v>6020</v>
      </c>
      <c r="V809">
        <v>1</v>
      </c>
    </row>
    <row r="810" spans="1:22" x14ac:dyDescent="0.3">
      <c r="A810" t="s">
        <v>825</v>
      </c>
      <c r="B810" s="2">
        <v>46063.731944444444</v>
      </c>
      <c r="C810" s="2">
        <v>46063.952777777777</v>
      </c>
      <c r="D810" t="s">
        <v>6022</v>
      </c>
      <c r="E810" t="s">
        <v>6030</v>
      </c>
      <c r="F810" t="s">
        <v>6033</v>
      </c>
      <c r="G810" t="s">
        <v>6083</v>
      </c>
      <c r="H810" t="s">
        <v>6096</v>
      </c>
      <c r="I810">
        <v>72</v>
      </c>
      <c r="J810">
        <v>5.3</v>
      </c>
      <c r="K810" t="s">
        <v>6099</v>
      </c>
      <c r="L810" t="s">
        <v>6100</v>
      </c>
      <c r="M810" t="s">
        <v>6100</v>
      </c>
      <c r="O810" t="s">
        <v>6101</v>
      </c>
      <c r="P810" t="s">
        <v>6108</v>
      </c>
      <c r="Q810">
        <v>2</v>
      </c>
      <c r="R810">
        <v>2026</v>
      </c>
      <c r="S810" t="s">
        <v>6099</v>
      </c>
      <c r="T810">
        <v>1</v>
      </c>
      <c r="U810" t="s">
        <v>6020</v>
      </c>
      <c r="V810">
        <v>1</v>
      </c>
    </row>
    <row r="811" spans="1:22" x14ac:dyDescent="0.3">
      <c r="A811" t="s">
        <v>826</v>
      </c>
      <c r="B811" s="2">
        <v>46063.745833333334</v>
      </c>
      <c r="C811" s="2">
        <v>46063.962500000001</v>
      </c>
      <c r="D811" t="s">
        <v>6024</v>
      </c>
      <c r="E811" t="s">
        <v>6030</v>
      </c>
      <c r="F811" t="s">
        <v>6035</v>
      </c>
      <c r="G811" t="s">
        <v>6072</v>
      </c>
      <c r="H811" t="s">
        <v>6097</v>
      </c>
      <c r="I811">
        <v>4</v>
      </c>
      <c r="J811">
        <v>5.2</v>
      </c>
      <c r="K811" t="s">
        <v>6099</v>
      </c>
      <c r="L811" t="s">
        <v>6100</v>
      </c>
      <c r="M811" t="s">
        <v>6100</v>
      </c>
      <c r="N811">
        <v>5</v>
      </c>
      <c r="O811" t="s">
        <v>6101</v>
      </c>
      <c r="P811" t="s">
        <v>6108</v>
      </c>
      <c r="Q811">
        <v>2</v>
      </c>
      <c r="R811">
        <v>2026</v>
      </c>
      <c r="S811" t="s">
        <v>6100</v>
      </c>
      <c r="T811">
        <v>0</v>
      </c>
      <c r="U811" t="s">
        <v>6020</v>
      </c>
      <c r="V811">
        <v>1</v>
      </c>
    </row>
    <row r="812" spans="1:22" x14ac:dyDescent="0.3">
      <c r="A812" t="s">
        <v>827</v>
      </c>
      <c r="B812" s="2">
        <v>46063.781944444447</v>
      </c>
      <c r="C812" s="2">
        <v>46063.890277777777</v>
      </c>
      <c r="D812" t="s">
        <v>6028</v>
      </c>
      <c r="E812" t="s">
        <v>6030</v>
      </c>
      <c r="F812" t="s">
        <v>6035</v>
      </c>
      <c r="G812" t="s">
        <v>6072</v>
      </c>
      <c r="H812" t="s">
        <v>6097</v>
      </c>
      <c r="I812">
        <v>4</v>
      </c>
      <c r="J812">
        <v>2.6</v>
      </c>
      <c r="K812" t="s">
        <v>6099</v>
      </c>
      <c r="L812" t="s">
        <v>6100</v>
      </c>
      <c r="M812" t="s">
        <v>6100</v>
      </c>
      <c r="O812" t="s">
        <v>6101</v>
      </c>
      <c r="P812" t="s">
        <v>6108</v>
      </c>
      <c r="Q812">
        <v>2</v>
      </c>
      <c r="R812">
        <v>2026</v>
      </c>
      <c r="S812" t="s">
        <v>6099</v>
      </c>
      <c r="T812">
        <v>1</v>
      </c>
      <c r="U812" t="s">
        <v>6020</v>
      </c>
      <c r="V812">
        <v>1</v>
      </c>
    </row>
    <row r="813" spans="1:22" x14ac:dyDescent="0.3">
      <c r="A813" t="s">
        <v>828</v>
      </c>
      <c r="B813" s="2">
        <v>46064.046527777777</v>
      </c>
      <c r="C813" s="2">
        <v>46064.325694444444</v>
      </c>
      <c r="D813" t="s">
        <v>6023</v>
      </c>
      <c r="E813" t="s">
        <v>6029</v>
      </c>
      <c r="F813" t="s">
        <v>6033</v>
      </c>
      <c r="G813" t="s">
        <v>6067</v>
      </c>
      <c r="H813" t="s">
        <v>6098</v>
      </c>
      <c r="I813">
        <v>72</v>
      </c>
      <c r="J813">
        <v>6.7</v>
      </c>
      <c r="K813" t="s">
        <v>6099</v>
      </c>
      <c r="L813" t="s">
        <v>6100</v>
      </c>
      <c r="M813" t="s">
        <v>6100</v>
      </c>
      <c r="N813">
        <v>4</v>
      </c>
      <c r="O813" t="s">
        <v>6101</v>
      </c>
      <c r="P813" t="s">
        <v>6108</v>
      </c>
      <c r="Q813">
        <v>2</v>
      </c>
      <c r="R813">
        <v>2026</v>
      </c>
      <c r="S813" t="s">
        <v>6099</v>
      </c>
      <c r="T813">
        <v>1</v>
      </c>
      <c r="U813" t="s">
        <v>6020</v>
      </c>
      <c r="V813">
        <v>1</v>
      </c>
    </row>
    <row r="814" spans="1:22" x14ac:dyDescent="0.3">
      <c r="A814" t="s">
        <v>829</v>
      </c>
      <c r="B814" s="2">
        <v>46064.220138888886</v>
      </c>
      <c r="C814" s="2">
        <v>46068.753472222219</v>
      </c>
      <c r="D814" t="s">
        <v>6025</v>
      </c>
      <c r="E814" t="s">
        <v>6031</v>
      </c>
      <c r="F814" t="s">
        <v>6033</v>
      </c>
      <c r="G814" t="s">
        <v>6038</v>
      </c>
      <c r="H814" t="s">
        <v>6096</v>
      </c>
      <c r="I814">
        <v>72</v>
      </c>
      <c r="J814">
        <v>108.8</v>
      </c>
      <c r="K814" t="s">
        <v>6099</v>
      </c>
      <c r="L814" t="s">
        <v>6100</v>
      </c>
      <c r="M814" t="s">
        <v>6100</v>
      </c>
      <c r="N814">
        <v>4</v>
      </c>
      <c r="O814" t="s">
        <v>6101</v>
      </c>
      <c r="P814" t="s">
        <v>6108</v>
      </c>
      <c r="Q814">
        <v>2</v>
      </c>
      <c r="R814">
        <v>2026</v>
      </c>
      <c r="S814" t="s">
        <v>6100</v>
      </c>
      <c r="T814">
        <v>0</v>
      </c>
      <c r="U814" t="s">
        <v>6017</v>
      </c>
      <c r="V814">
        <v>1</v>
      </c>
    </row>
    <row r="815" spans="1:22" x14ac:dyDescent="0.3">
      <c r="A815" t="s">
        <v>830</v>
      </c>
      <c r="B815" s="2">
        <v>46064.245138888888</v>
      </c>
      <c r="C815" s="2">
        <v>46066.045138888891</v>
      </c>
      <c r="D815" t="s">
        <v>6028</v>
      </c>
      <c r="E815" t="s">
        <v>6031</v>
      </c>
      <c r="F815" t="s">
        <v>6034</v>
      </c>
      <c r="G815" t="s">
        <v>6087</v>
      </c>
      <c r="H815" t="s">
        <v>6098</v>
      </c>
      <c r="I815">
        <v>24</v>
      </c>
      <c r="J815">
        <v>43.2</v>
      </c>
      <c r="K815" t="s">
        <v>6099</v>
      </c>
      <c r="L815" t="s">
        <v>6100</v>
      </c>
      <c r="M815" t="s">
        <v>6100</v>
      </c>
      <c r="N815">
        <v>4</v>
      </c>
      <c r="O815" t="s">
        <v>6101</v>
      </c>
      <c r="P815" t="s">
        <v>6108</v>
      </c>
      <c r="Q815">
        <v>2</v>
      </c>
      <c r="R815">
        <v>2026</v>
      </c>
      <c r="S815" t="s">
        <v>6100</v>
      </c>
      <c r="T815">
        <v>0</v>
      </c>
      <c r="U815" t="s">
        <v>6021</v>
      </c>
      <c r="V815">
        <v>1</v>
      </c>
    </row>
    <row r="816" spans="1:22" x14ac:dyDescent="0.3">
      <c r="A816" t="s">
        <v>831</v>
      </c>
      <c r="B816" s="2">
        <v>46064.320138888892</v>
      </c>
      <c r="C816" s="2">
        <v>46066.90347222222</v>
      </c>
      <c r="D816" t="s">
        <v>6027</v>
      </c>
      <c r="E816" t="s">
        <v>6031</v>
      </c>
      <c r="F816" t="s">
        <v>6033</v>
      </c>
      <c r="G816" t="s">
        <v>6055</v>
      </c>
      <c r="H816" t="s">
        <v>6096</v>
      </c>
      <c r="I816">
        <v>72</v>
      </c>
      <c r="J816">
        <v>62</v>
      </c>
      <c r="K816" t="s">
        <v>6100</v>
      </c>
      <c r="L816" t="s">
        <v>6099</v>
      </c>
      <c r="M816" t="s">
        <v>6100</v>
      </c>
      <c r="N816">
        <v>5</v>
      </c>
      <c r="O816" t="s">
        <v>6101</v>
      </c>
      <c r="P816" t="s">
        <v>6108</v>
      </c>
      <c r="Q816">
        <v>2</v>
      </c>
      <c r="R816">
        <v>2026</v>
      </c>
      <c r="S816" t="s">
        <v>6099</v>
      </c>
      <c r="T816">
        <v>1</v>
      </c>
      <c r="U816" t="s">
        <v>6018</v>
      </c>
      <c r="V816">
        <v>0</v>
      </c>
    </row>
    <row r="817" spans="1:22" x14ac:dyDescent="0.3">
      <c r="A817" t="s">
        <v>832</v>
      </c>
      <c r="B817" s="2">
        <v>46064.347222222219</v>
      </c>
      <c r="C817" s="2">
        <v>46065.12222222222</v>
      </c>
      <c r="D817" t="s">
        <v>6025</v>
      </c>
      <c r="E817" t="s">
        <v>6030</v>
      </c>
      <c r="F817" t="s">
        <v>6035</v>
      </c>
      <c r="G817" t="s">
        <v>6062</v>
      </c>
      <c r="H817" t="s">
        <v>6096</v>
      </c>
      <c r="I817">
        <v>4</v>
      </c>
      <c r="J817">
        <v>18.600000000000001</v>
      </c>
      <c r="K817" t="s">
        <v>6099</v>
      </c>
      <c r="L817" t="s">
        <v>6100</v>
      </c>
      <c r="M817" t="s">
        <v>6099</v>
      </c>
      <c r="N817">
        <v>4</v>
      </c>
      <c r="O817" t="s">
        <v>6101</v>
      </c>
      <c r="P817" t="s">
        <v>6108</v>
      </c>
      <c r="Q817">
        <v>2</v>
      </c>
      <c r="R817">
        <v>2026</v>
      </c>
      <c r="S817" t="s">
        <v>6100</v>
      </c>
      <c r="T817">
        <v>0</v>
      </c>
      <c r="U817" t="s">
        <v>6018</v>
      </c>
      <c r="V817">
        <v>1</v>
      </c>
    </row>
    <row r="818" spans="1:22" x14ac:dyDescent="0.3">
      <c r="A818" t="s">
        <v>833</v>
      </c>
      <c r="B818" s="2">
        <v>46064.354861111111</v>
      </c>
      <c r="C818" s="2">
        <v>46064.40902777778</v>
      </c>
      <c r="D818" t="s">
        <v>6023</v>
      </c>
      <c r="E818" t="s">
        <v>6030</v>
      </c>
      <c r="F818" t="s">
        <v>6033</v>
      </c>
      <c r="G818" t="s">
        <v>6093</v>
      </c>
      <c r="H818" t="s">
        <v>6097</v>
      </c>
      <c r="I818">
        <v>72</v>
      </c>
      <c r="J818">
        <v>1.3</v>
      </c>
      <c r="K818" t="s">
        <v>6100</v>
      </c>
      <c r="L818" t="s">
        <v>6100</v>
      </c>
      <c r="M818" t="s">
        <v>6100</v>
      </c>
      <c r="N818">
        <v>5</v>
      </c>
      <c r="O818" t="s">
        <v>6101</v>
      </c>
      <c r="P818" t="s">
        <v>6108</v>
      </c>
      <c r="Q818">
        <v>2</v>
      </c>
      <c r="R818">
        <v>2026</v>
      </c>
      <c r="S818" t="s">
        <v>6099</v>
      </c>
      <c r="T818">
        <v>1</v>
      </c>
      <c r="U818" t="s">
        <v>6021</v>
      </c>
      <c r="V818">
        <v>0</v>
      </c>
    </row>
    <row r="819" spans="1:22" x14ac:dyDescent="0.3">
      <c r="A819" t="s">
        <v>834</v>
      </c>
      <c r="B819" s="2">
        <v>46064.370138888888</v>
      </c>
      <c r="C819" s="2">
        <v>46065.103472222225</v>
      </c>
      <c r="D819" t="s">
        <v>6027</v>
      </c>
      <c r="E819" t="s">
        <v>6029</v>
      </c>
      <c r="F819" t="s">
        <v>6034</v>
      </c>
      <c r="G819" t="s">
        <v>6049</v>
      </c>
      <c r="H819" t="s">
        <v>6097</v>
      </c>
      <c r="I819">
        <v>24</v>
      </c>
      <c r="J819">
        <v>17.600000000000001</v>
      </c>
      <c r="K819" t="s">
        <v>6099</v>
      </c>
      <c r="L819" t="s">
        <v>6100</v>
      </c>
      <c r="M819" t="s">
        <v>6100</v>
      </c>
      <c r="N819">
        <v>5</v>
      </c>
      <c r="O819" t="s">
        <v>6101</v>
      </c>
      <c r="P819" t="s">
        <v>6108</v>
      </c>
      <c r="Q819">
        <v>2</v>
      </c>
      <c r="R819">
        <v>2026</v>
      </c>
      <c r="S819" t="s">
        <v>6099</v>
      </c>
      <c r="T819">
        <v>1</v>
      </c>
      <c r="U819" t="s">
        <v>6019</v>
      </c>
      <c r="V819">
        <v>1</v>
      </c>
    </row>
    <row r="820" spans="1:22" x14ac:dyDescent="0.3">
      <c r="A820" t="s">
        <v>835</v>
      </c>
      <c r="B820" s="2">
        <v>46064.383333333331</v>
      </c>
      <c r="C820" s="2">
        <v>46064.65</v>
      </c>
      <c r="D820" t="s">
        <v>6028</v>
      </c>
      <c r="E820" t="s">
        <v>6029</v>
      </c>
      <c r="F820" t="s">
        <v>6035</v>
      </c>
      <c r="G820" t="s">
        <v>6071</v>
      </c>
      <c r="H820" t="s">
        <v>6098</v>
      </c>
      <c r="I820">
        <v>4</v>
      </c>
      <c r="J820">
        <v>6.4</v>
      </c>
      <c r="K820" t="s">
        <v>6100</v>
      </c>
      <c r="L820" t="s">
        <v>6100</v>
      </c>
      <c r="M820" t="s">
        <v>6099</v>
      </c>
      <c r="O820" t="s">
        <v>6101</v>
      </c>
      <c r="P820" t="s">
        <v>6108</v>
      </c>
      <c r="Q820">
        <v>2</v>
      </c>
      <c r="R820">
        <v>2026</v>
      </c>
      <c r="S820" t="s">
        <v>6100</v>
      </c>
      <c r="T820">
        <v>0</v>
      </c>
      <c r="U820" t="s">
        <v>6017</v>
      </c>
      <c r="V820">
        <v>0</v>
      </c>
    </row>
    <row r="821" spans="1:22" x14ac:dyDescent="0.3">
      <c r="A821" t="s">
        <v>836</v>
      </c>
      <c r="B821" s="2">
        <v>46064.392361111109</v>
      </c>
      <c r="C821" s="2">
        <v>46064.59652777778</v>
      </c>
      <c r="D821" t="s">
        <v>6028</v>
      </c>
      <c r="E821" t="s">
        <v>6029</v>
      </c>
      <c r="F821" t="s">
        <v>6035</v>
      </c>
      <c r="G821" t="s">
        <v>6082</v>
      </c>
      <c r="H821" t="s">
        <v>6097</v>
      </c>
      <c r="I821">
        <v>4</v>
      </c>
      <c r="J821">
        <v>4.9000000000000004</v>
      </c>
      <c r="K821" t="s">
        <v>6100</v>
      </c>
      <c r="L821" t="s">
        <v>6100</v>
      </c>
      <c r="M821" t="s">
        <v>6100</v>
      </c>
      <c r="N821">
        <v>2</v>
      </c>
      <c r="O821" t="s">
        <v>6101</v>
      </c>
      <c r="P821" t="s">
        <v>6108</v>
      </c>
      <c r="Q821">
        <v>2</v>
      </c>
      <c r="R821">
        <v>2026</v>
      </c>
      <c r="S821" t="s">
        <v>6100</v>
      </c>
      <c r="T821">
        <v>0</v>
      </c>
      <c r="U821" t="s">
        <v>6017</v>
      </c>
      <c r="V821">
        <v>0</v>
      </c>
    </row>
    <row r="822" spans="1:22" x14ac:dyDescent="0.3">
      <c r="A822" t="s">
        <v>837</v>
      </c>
      <c r="B822" s="2">
        <v>46064.40347222222</v>
      </c>
      <c r="C822" s="2">
        <v>46065.40347222222</v>
      </c>
      <c r="D822" t="s">
        <v>6022</v>
      </c>
      <c r="E822" t="s">
        <v>6031</v>
      </c>
      <c r="F822" t="s">
        <v>6035</v>
      </c>
      <c r="G822" t="s">
        <v>6080</v>
      </c>
      <c r="H822" t="s">
        <v>6096</v>
      </c>
      <c r="I822">
        <v>4</v>
      </c>
      <c r="J822">
        <v>24</v>
      </c>
      <c r="K822" t="s">
        <v>6099</v>
      </c>
      <c r="L822" t="s">
        <v>6100</v>
      </c>
      <c r="M822" t="s">
        <v>6099</v>
      </c>
      <c r="O822" t="s">
        <v>6101</v>
      </c>
      <c r="P822" t="s">
        <v>6108</v>
      </c>
      <c r="Q822">
        <v>2</v>
      </c>
      <c r="R822">
        <v>2026</v>
      </c>
      <c r="S822" t="s">
        <v>6100</v>
      </c>
      <c r="T822">
        <v>0</v>
      </c>
      <c r="U822" t="s">
        <v>6020</v>
      </c>
      <c r="V822">
        <v>1</v>
      </c>
    </row>
    <row r="823" spans="1:22" x14ac:dyDescent="0.3">
      <c r="A823" t="s">
        <v>838</v>
      </c>
      <c r="B823" s="2">
        <v>46064.500694444447</v>
      </c>
      <c r="C823" s="2">
        <v>46066.617361111108</v>
      </c>
      <c r="D823" t="s">
        <v>6024</v>
      </c>
      <c r="E823" t="s">
        <v>6029</v>
      </c>
      <c r="F823" t="s">
        <v>6035</v>
      </c>
      <c r="G823" t="s">
        <v>6059</v>
      </c>
      <c r="H823" t="s">
        <v>6097</v>
      </c>
      <c r="I823">
        <v>4</v>
      </c>
      <c r="J823">
        <v>50.8</v>
      </c>
      <c r="K823" t="s">
        <v>6099</v>
      </c>
      <c r="L823" t="s">
        <v>6100</v>
      </c>
      <c r="M823" t="s">
        <v>6100</v>
      </c>
      <c r="N823">
        <v>5</v>
      </c>
      <c r="O823" t="s">
        <v>6101</v>
      </c>
      <c r="P823" t="s">
        <v>6108</v>
      </c>
      <c r="Q823">
        <v>2</v>
      </c>
      <c r="R823">
        <v>2026</v>
      </c>
      <c r="S823" t="s">
        <v>6100</v>
      </c>
      <c r="T823">
        <v>0</v>
      </c>
      <c r="U823" t="s">
        <v>6020</v>
      </c>
      <c r="V823">
        <v>1</v>
      </c>
    </row>
    <row r="824" spans="1:22" x14ac:dyDescent="0.3">
      <c r="A824" t="s">
        <v>839</v>
      </c>
      <c r="B824" s="2">
        <v>46064.509027777778</v>
      </c>
      <c r="C824" s="2">
        <v>46065.34652777778</v>
      </c>
      <c r="D824" t="s">
        <v>6025</v>
      </c>
      <c r="E824" t="s">
        <v>6030</v>
      </c>
      <c r="F824" t="s">
        <v>6033</v>
      </c>
      <c r="G824" t="s">
        <v>6047</v>
      </c>
      <c r="H824" t="s">
        <v>6098</v>
      </c>
      <c r="I824">
        <v>72</v>
      </c>
      <c r="J824">
        <v>20.100000000000001</v>
      </c>
      <c r="K824" t="s">
        <v>6099</v>
      </c>
      <c r="L824" t="s">
        <v>6100</v>
      </c>
      <c r="M824" t="s">
        <v>6100</v>
      </c>
      <c r="N824">
        <v>5</v>
      </c>
      <c r="O824" t="s">
        <v>6101</v>
      </c>
      <c r="P824" t="s">
        <v>6108</v>
      </c>
      <c r="Q824">
        <v>2</v>
      </c>
      <c r="R824">
        <v>2026</v>
      </c>
      <c r="S824" t="s">
        <v>6099</v>
      </c>
      <c r="T824">
        <v>1</v>
      </c>
      <c r="U824" t="s">
        <v>6018</v>
      </c>
      <c r="V824">
        <v>1</v>
      </c>
    </row>
    <row r="825" spans="1:22" x14ac:dyDescent="0.3">
      <c r="A825" t="s">
        <v>840</v>
      </c>
      <c r="B825" s="2">
        <v>46064.51666666667</v>
      </c>
      <c r="C825" s="2">
        <v>46064.916666666664</v>
      </c>
      <c r="D825" t="s">
        <v>6024</v>
      </c>
      <c r="E825" t="s">
        <v>6029</v>
      </c>
      <c r="F825" t="s">
        <v>6035</v>
      </c>
      <c r="G825" t="s">
        <v>6094</v>
      </c>
      <c r="H825" t="s">
        <v>6098</v>
      </c>
      <c r="I825">
        <v>4</v>
      </c>
      <c r="J825">
        <v>9.6</v>
      </c>
      <c r="K825" t="s">
        <v>6099</v>
      </c>
      <c r="L825" t="s">
        <v>6100</v>
      </c>
      <c r="M825" t="s">
        <v>6100</v>
      </c>
      <c r="O825" t="s">
        <v>6101</v>
      </c>
      <c r="P825" t="s">
        <v>6108</v>
      </c>
      <c r="Q825">
        <v>2</v>
      </c>
      <c r="R825">
        <v>2026</v>
      </c>
      <c r="S825" t="s">
        <v>6100</v>
      </c>
      <c r="T825">
        <v>0</v>
      </c>
      <c r="U825" t="s">
        <v>6020</v>
      </c>
      <c r="V825">
        <v>1</v>
      </c>
    </row>
    <row r="826" spans="1:22" x14ac:dyDescent="0.3">
      <c r="A826" t="s">
        <v>841</v>
      </c>
      <c r="B826" s="2">
        <v>46064.525694444441</v>
      </c>
      <c r="C826" s="2">
        <v>46067.663194444445</v>
      </c>
      <c r="D826" t="s">
        <v>6022</v>
      </c>
      <c r="E826" t="s">
        <v>6031</v>
      </c>
      <c r="F826" t="s">
        <v>6034</v>
      </c>
      <c r="G826" t="s">
        <v>6058</v>
      </c>
      <c r="H826" t="s">
        <v>6098</v>
      </c>
      <c r="I826">
        <v>24</v>
      </c>
      <c r="J826">
        <v>75.3</v>
      </c>
      <c r="K826" t="s">
        <v>6100</v>
      </c>
      <c r="L826" t="s">
        <v>6100</v>
      </c>
      <c r="M826" t="s">
        <v>6100</v>
      </c>
      <c r="O826" t="s">
        <v>6101</v>
      </c>
      <c r="P826" t="s">
        <v>6108</v>
      </c>
      <c r="Q826">
        <v>2</v>
      </c>
      <c r="R826">
        <v>2026</v>
      </c>
      <c r="S826" t="s">
        <v>6100</v>
      </c>
      <c r="T826">
        <v>0</v>
      </c>
      <c r="U826" t="s">
        <v>6019</v>
      </c>
      <c r="V826">
        <v>0</v>
      </c>
    </row>
    <row r="827" spans="1:22" x14ac:dyDescent="0.3">
      <c r="A827" t="s">
        <v>842</v>
      </c>
      <c r="B827" s="2">
        <v>46064.543749999997</v>
      </c>
      <c r="C827" s="2">
        <v>46064.581250000003</v>
      </c>
      <c r="D827" t="s">
        <v>6023</v>
      </c>
      <c r="E827" t="s">
        <v>6030</v>
      </c>
      <c r="F827" t="s">
        <v>6033</v>
      </c>
      <c r="G827" t="s">
        <v>6076</v>
      </c>
      <c r="H827" t="s">
        <v>6097</v>
      </c>
      <c r="I827">
        <v>72</v>
      </c>
      <c r="J827">
        <v>0.9</v>
      </c>
      <c r="K827" t="s">
        <v>6100</v>
      </c>
      <c r="L827" t="s">
        <v>6100</v>
      </c>
      <c r="M827" t="s">
        <v>6100</v>
      </c>
      <c r="N827">
        <v>4</v>
      </c>
      <c r="O827" t="s">
        <v>6101</v>
      </c>
      <c r="P827" t="s">
        <v>6108</v>
      </c>
      <c r="Q827">
        <v>2</v>
      </c>
      <c r="R827">
        <v>2026</v>
      </c>
      <c r="S827" t="s">
        <v>6099</v>
      </c>
      <c r="T827">
        <v>1</v>
      </c>
      <c r="U827" t="s">
        <v>6018</v>
      </c>
      <c r="V827">
        <v>0</v>
      </c>
    </row>
    <row r="828" spans="1:22" x14ac:dyDescent="0.3">
      <c r="A828" t="s">
        <v>843</v>
      </c>
      <c r="B828" s="2">
        <v>46064.554166666669</v>
      </c>
      <c r="C828" s="2">
        <v>46065.224999999999</v>
      </c>
      <c r="D828" t="s">
        <v>6023</v>
      </c>
      <c r="E828" t="s">
        <v>6029</v>
      </c>
      <c r="F828" t="s">
        <v>6033</v>
      </c>
      <c r="G828" t="s">
        <v>6077</v>
      </c>
      <c r="H828" t="s">
        <v>6098</v>
      </c>
      <c r="I828">
        <v>72</v>
      </c>
      <c r="J828">
        <v>16.100000000000001</v>
      </c>
      <c r="K828" t="s">
        <v>6099</v>
      </c>
      <c r="L828" t="s">
        <v>6100</v>
      </c>
      <c r="M828" t="s">
        <v>6099</v>
      </c>
      <c r="O828" t="s">
        <v>6101</v>
      </c>
      <c r="P828" t="s">
        <v>6108</v>
      </c>
      <c r="Q828">
        <v>2</v>
      </c>
      <c r="R828">
        <v>2026</v>
      </c>
      <c r="S828" t="s">
        <v>6099</v>
      </c>
      <c r="T828">
        <v>1</v>
      </c>
      <c r="U828" t="s">
        <v>6021</v>
      </c>
      <c r="V828">
        <v>1</v>
      </c>
    </row>
    <row r="829" spans="1:22" x14ac:dyDescent="0.3">
      <c r="A829" t="s">
        <v>844</v>
      </c>
      <c r="B829" s="2">
        <v>46064.597916666666</v>
      </c>
      <c r="C829" s="2">
        <v>46064.706250000003</v>
      </c>
      <c r="D829" t="s">
        <v>6028</v>
      </c>
      <c r="E829" t="s">
        <v>6029</v>
      </c>
      <c r="F829" t="s">
        <v>6034</v>
      </c>
      <c r="G829" t="s">
        <v>6047</v>
      </c>
      <c r="H829" t="s">
        <v>6098</v>
      </c>
      <c r="I829">
        <v>24</v>
      </c>
      <c r="J829">
        <v>2.6</v>
      </c>
      <c r="K829" t="s">
        <v>6099</v>
      </c>
      <c r="L829" t="s">
        <v>6100</v>
      </c>
      <c r="M829" t="s">
        <v>6100</v>
      </c>
      <c r="O829" t="s">
        <v>6101</v>
      </c>
      <c r="P829" t="s">
        <v>6108</v>
      </c>
      <c r="Q829">
        <v>2</v>
      </c>
      <c r="R829">
        <v>2026</v>
      </c>
      <c r="S829" t="s">
        <v>6099</v>
      </c>
      <c r="T829">
        <v>1</v>
      </c>
      <c r="U829" t="s">
        <v>6018</v>
      </c>
      <c r="V829">
        <v>1</v>
      </c>
    </row>
    <row r="830" spans="1:22" x14ac:dyDescent="0.3">
      <c r="A830" t="s">
        <v>845</v>
      </c>
      <c r="B830" s="2">
        <v>46064.620833333334</v>
      </c>
      <c r="C830" s="2">
        <v>46065.029166666667</v>
      </c>
      <c r="D830" t="s">
        <v>6023</v>
      </c>
      <c r="E830" t="s">
        <v>6032</v>
      </c>
      <c r="F830" t="s">
        <v>6034</v>
      </c>
      <c r="G830" t="s">
        <v>6040</v>
      </c>
      <c r="H830" t="s">
        <v>6097</v>
      </c>
      <c r="I830">
        <v>24</v>
      </c>
      <c r="J830">
        <v>9.8000000000000007</v>
      </c>
      <c r="K830" t="s">
        <v>6100</v>
      </c>
      <c r="L830" t="s">
        <v>6099</v>
      </c>
      <c r="M830" t="s">
        <v>6100</v>
      </c>
      <c r="N830">
        <v>4</v>
      </c>
      <c r="O830" t="s">
        <v>6101</v>
      </c>
      <c r="P830" t="s">
        <v>6108</v>
      </c>
      <c r="Q830">
        <v>2</v>
      </c>
      <c r="R830">
        <v>2026</v>
      </c>
      <c r="S830" t="s">
        <v>6099</v>
      </c>
      <c r="T830">
        <v>1</v>
      </c>
      <c r="U830" t="s">
        <v>6020</v>
      </c>
      <c r="V830">
        <v>0</v>
      </c>
    </row>
    <row r="831" spans="1:22" x14ac:dyDescent="0.3">
      <c r="A831" t="s">
        <v>846</v>
      </c>
      <c r="B831" s="2">
        <v>46064.621527777781</v>
      </c>
      <c r="C831" s="2">
        <v>46064.817361111112</v>
      </c>
      <c r="D831" t="s">
        <v>6023</v>
      </c>
      <c r="E831" t="s">
        <v>6029</v>
      </c>
      <c r="F831" t="s">
        <v>6033</v>
      </c>
      <c r="G831" t="s">
        <v>6058</v>
      </c>
      <c r="H831" t="s">
        <v>6098</v>
      </c>
      <c r="I831">
        <v>72</v>
      </c>
      <c r="J831">
        <v>4.7</v>
      </c>
      <c r="K831" t="s">
        <v>6100</v>
      </c>
      <c r="L831" t="s">
        <v>6099</v>
      </c>
      <c r="M831" t="s">
        <v>6100</v>
      </c>
      <c r="O831" t="s">
        <v>6101</v>
      </c>
      <c r="P831" t="s">
        <v>6108</v>
      </c>
      <c r="Q831">
        <v>2</v>
      </c>
      <c r="R831">
        <v>2026</v>
      </c>
      <c r="S831" t="s">
        <v>6099</v>
      </c>
      <c r="T831">
        <v>1</v>
      </c>
      <c r="U831" t="s">
        <v>6020</v>
      </c>
      <c r="V831">
        <v>0</v>
      </c>
    </row>
    <row r="832" spans="1:22" x14ac:dyDescent="0.3">
      <c r="A832" t="s">
        <v>847</v>
      </c>
      <c r="B832" s="2">
        <v>46064.640277777777</v>
      </c>
      <c r="C832" s="2">
        <v>46064.986111111109</v>
      </c>
      <c r="D832" t="s">
        <v>6028</v>
      </c>
      <c r="E832" t="s">
        <v>6029</v>
      </c>
      <c r="F832" t="s">
        <v>6035</v>
      </c>
      <c r="G832" t="s">
        <v>6067</v>
      </c>
      <c r="H832" t="s">
        <v>6098</v>
      </c>
      <c r="I832">
        <v>4</v>
      </c>
      <c r="J832">
        <v>8.3000000000000007</v>
      </c>
      <c r="K832" t="s">
        <v>6099</v>
      </c>
      <c r="L832" t="s">
        <v>6100</v>
      </c>
      <c r="M832" t="s">
        <v>6099</v>
      </c>
      <c r="N832">
        <v>4</v>
      </c>
      <c r="O832" t="s">
        <v>6101</v>
      </c>
      <c r="P832" t="s">
        <v>6108</v>
      </c>
      <c r="Q832">
        <v>2</v>
      </c>
      <c r="R832">
        <v>2026</v>
      </c>
      <c r="S832" t="s">
        <v>6100</v>
      </c>
      <c r="T832">
        <v>0</v>
      </c>
      <c r="U832" t="s">
        <v>6017</v>
      </c>
      <c r="V832">
        <v>1</v>
      </c>
    </row>
    <row r="833" spans="1:22" x14ac:dyDescent="0.3">
      <c r="A833" t="s">
        <v>848</v>
      </c>
      <c r="B833" s="2">
        <v>46064.640972222223</v>
      </c>
      <c r="C833" s="2">
        <v>46065.207638888889</v>
      </c>
      <c r="D833" t="s">
        <v>6024</v>
      </c>
      <c r="E833" t="s">
        <v>6031</v>
      </c>
      <c r="F833" t="s">
        <v>6033</v>
      </c>
      <c r="G833" t="s">
        <v>6089</v>
      </c>
      <c r="H833" t="s">
        <v>6098</v>
      </c>
      <c r="I833">
        <v>72</v>
      </c>
      <c r="J833">
        <v>13.6</v>
      </c>
      <c r="K833" t="s">
        <v>6100</v>
      </c>
      <c r="L833" t="s">
        <v>6100</v>
      </c>
      <c r="M833" t="s">
        <v>6100</v>
      </c>
      <c r="N833">
        <v>4</v>
      </c>
      <c r="O833" t="s">
        <v>6101</v>
      </c>
      <c r="P833" t="s">
        <v>6108</v>
      </c>
      <c r="Q833">
        <v>2</v>
      </c>
      <c r="R833">
        <v>2026</v>
      </c>
      <c r="S833" t="s">
        <v>6099</v>
      </c>
      <c r="T833">
        <v>1</v>
      </c>
      <c r="U833" t="s">
        <v>6018</v>
      </c>
      <c r="V833">
        <v>0</v>
      </c>
    </row>
    <row r="834" spans="1:22" x14ac:dyDescent="0.3">
      <c r="A834" t="s">
        <v>849</v>
      </c>
      <c r="B834" s="2">
        <v>46064.717361111114</v>
      </c>
      <c r="C834" s="2">
        <v>46064.800694444442</v>
      </c>
      <c r="D834" t="s">
        <v>6023</v>
      </c>
      <c r="E834" t="s">
        <v>6029</v>
      </c>
      <c r="F834" t="s">
        <v>6034</v>
      </c>
      <c r="G834" t="s">
        <v>6037</v>
      </c>
      <c r="H834" t="s">
        <v>6096</v>
      </c>
      <c r="I834">
        <v>24</v>
      </c>
      <c r="J834">
        <v>2</v>
      </c>
      <c r="K834" t="s">
        <v>6099</v>
      </c>
      <c r="L834" t="s">
        <v>6100</v>
      </c>
      <c r="M834" t="s">
        <v>6100</v>
      </c>
      <c r="N834">
        <v>5</v>
      </c>
      <c r="O834" t="s">
        <v>6101</v>
      </c>
      <c r="P834" t="s">
        <v>6108</v>
      </c>
      <c r="Q834">
        <v>2</v>
      </c>
      <c r="R834">
        <v>2026</v>
      </c>
      <c r="S834" t="s">
        <v>6099</v>
      </c>
      <c r="T834">
        <v>1</v>
      </c>
      <c r="U834" t="s">
        <v>6020</v>
      </c>
      <c r="V834">
        <v>1</v>
      </c>
    </row>
    <row r="835" spans="1:22" x14ac:dyDescent="0.3">
      <c r="A835" t="s">
        <v>850</v>
      </c>
      <c r="B835" s="2">
        <v>46064.720833333333</v>
      </c>
      <c r="C835" s="2">
        <v>46064.9</v>
      </c>
      <c r="D835" t="s">
        <v>6023</v>
      </c>
      <c r="E835" t="s">
        <v>6029</v>
      </c>
      <c r="F835" t="s">
        <v>6033</v>
      </c>
      <c r="G835" t="s">
        <v>6090</v>
      </c>
      <c r="H835" t="s">
        <v>6097</v>
      </c>
      <c r="I835">
        <v>72</v>
      </c>
      <c r="J835">
        <v>4.3</v>
      </c>
      <c r="K835" t="s">
        <v>6099</v>
      </c>
      <c r="L835" t="s">
        <v>6100</v>
      </c>
      <c r="M835" t="s">
        <v>6100</v>
      </c>
      <c r="O835" t="s">
        <v>6101</v>
      </c>
      <c r="P835" t="s">
        <v>6108</v>
      </c>
      <c r="Q835">
        <v>2</v>
      </c>
      <c r="R835">
        <v>2026</v>
      </c>
      <c r="S835" t="s">
        <v>6099</v>
      </c>
      <c r="T835">
        <v>1</v>
      </c>
      <c r="U835" t="s">
        <v>6019</v>
      </c>
      <c r="V835">
        <v>1</v>
      </c>
    </row>
    <row r="836" spans="1:22" x14ac:dyDescent="0.3">
      <c r="A836" t="s">
        <v>851</v>
      </c>
      <c r="B836" s="2">
        <v>46064.865972222222</v>
      </c>
      <c r="C836" s="2">
        <v>46065.245138888888</v>
      </c>
      <c r="D836" t="s">
        <v>6023</v>
      </c>
      <c r="E836" t="s">
        <v>6032</v>
      </c>
      <c r="F836" t="s">
        <v>6033</v>
      </c>
      <c r="G836" t="s">
        <v>6071</v>
      </c>
      <c r="H836" t="s">
        <v>6098</v>
      </c>
      <c r="I836">
        <v>72</v>
      </c>
      <c r="J836">
        <v>9.1</v>
      </c>
      <c r="K836" t="s">
        <v>6100</v>
      </c>
      <c r="L836" t="s">
        <v>6100</v>
      </c>
      <c r="M836" t="s">
        <v>6100</v>
      </c>
      <c r="N836">
        <v>5</v>
      </c>
      <c r="O836" t="s">
        <v>6101</v>
      </c>
      <c r="P836" t="s">
        <v>6108</v>
      </c>
      <c r="Q836">
        <v>2</v>
      </c>
      <c r="R836">
        <v>2026</v>
      </c>
      <c r="S836" t="s">
        <v>6099</v>
      </c>
      <c r="T836">
        <v>1</v>
      </c>
      <c r="U836" t="s">
        <v>6019</v>
      </c>
      <c r="V836">
        <v>0</v>
      </c>
    </row>
    <row r="837" spans="1:22" x14ac:dyDescent="0.3">
      <c r="A837" t="s">
        <v>852</v>
      </c>
      <c r="B837" s="2">
        <v>46064.872916666667</v>
      </c>
      <c r="C837" s="2">
        <v>46065.268750000003</v>
      </c>
      <c r="D837" t="s">
        <v>6022</v>
      </c>
      <c r="E837" t="s">
        <v>6030</v>
      </c>
      <c r="F837" t="s">
        <v>6033</v>
      </c>
      <c r="G837" t="s">
        <v>6037</v>
      </c>
      <c r="H837" t="s">
        <v>6096</v>
      </c>
      <c r="I837">
        <v>72</v>
      </c>
      <c r="J837">
        <v>9.5</v>
      </c>
      <c r="K837" t="s">
        <v>6099</v>
      </c>
      <c r="L837" t="s">
        <v>6100</v>
      </c>
      <c r="M837" t="s">
        <v>6100</v>
      </c>
      <c r="N837">
        <v>5</v>
      </c>
      <c r="O837" t="s">
        <v>6101</v>
      </c>
      <c r="P837" t="s">
        <v>6108</v>
      </c>
      <c r="Q837">
        <v>2</v>
      </c>
      <c r="R837">
        <v>2026</v>
      </c>
      <c r="S837" t="s">
        <v>6099</v>
      </c>
      <c r="T837">
        <v>1</v>
      </c>
      <c r="U837" t="s">
        <v>6021</v>
      </c>
      <c r="V837">
        <v>1</v>
      </c>
    </row>
    <row r="838" spans="1:22" x14ac:dyDescent="0.3">
      <c r="A838" t="s">
        <v>853</v>
      </c>
      <c r="B838" s="2">
        <v>46064.95</v>
      </c>
      <c r="C838" s="2">
        <v>46065.070833333331</v>
      </c>
      <c r="D838" t="s">
        <v>6024</v>
      </c>
      <c r="E838" t="s">
        <v>6030</v>
      </c>
      <c r="F838" t="s">
        <v>6033</v>
      </c>
      <c r="G838" t="s">
        <v>6053</v>
      </c>
      <c r="H838" t="s">
        <v>6097</v>
      </c>
      <c r="I838">
        <v>72</v>
      </c>
      <c r="J838">
        <v>2.9</v>
      </c>
      <c r="K838" t="s">
        <v>6099</v>
      </c>
      <c r="L838" t="s">
        <v>6100</v>
      </c>
      <c r="M838" t="s">
        <v>6100</v>
      </c>
      <c r="O838" t="s">
        <v>6101</v>
      </c>
      <c r="P838" t="s">
        <v>6108</v>
      </c>
      <c r="Q838">
        <v>2</v>
      </c>
      <c r="R838">
        <v>2026</v>
      </c>
      <c r="S838" t="s">
        <v>6099</v>
      </c>
      <c r="T838">
        <v>1</v>
      </c>
      <c r="U838" t="s">
        <v>6020</v>
      </c>
      <c r="V838">
        <v>1</v>
      </c>
    </row>
    <row r="839" spans="1:22" x14ac:dyDescent="0.3">
      <c r="A839" t="s">
        <v>854</v>
      </c>
      <c r="B839" s="2">
        <v>46065.265972222223</v>
      </c>
      <c r="C839" s="2">
        <v>46065.790972222225</v>
      </c>
      <c r="D839" t="s">
        <v>6026</v>
      </c>
      <c r="E839" t="s">
        <v>6030</v>
      </c>
      <c r="F839" t="s">
        <v>6033</v>
      </c>
      <c r="G839" t="s">
        <v>6080</v>
      </c>
      <c r="H839" t="s">
        <v>6096</v>
      </c>
      <c r="I839">
        <v>72</v>
      </c>
      <c r="J839">
        <v>12.6</v>
      </c>
      <c r="K839" t="s">
        <v>6099</v>
      </c>
      <c r="L839" t="s">
        <v>6100</v>
      </c>
      <c r="M839" t="s">
        <v>6100</v>
      </c>
      <c r="N839">
        <v>5</v>
      </c>
      <c r="O839" t="s">
        <v>6101</v>
      </c>
      <c r="P839" t="s">
        <v>6108</v>
      </c>
      <c r="Q839">
        <v>2</v>
      </c>
      <c r="R839">
        <v>2026</v>
      </c>
      <c r="S839" t="s">
        <v>6099</v>
      </c>
      <c r="T839">
        <v>1</v>
      </c>
      <c r="U839" t="s">
        <v>6018</v>
      </c>
      <c r="V839">
        <v>1</v>
      </c>
    </row>
    <row r="840" spans="1:22" x14ac:dyDescent="0.3">
      <c r="A840" t="s">
        <v>855</v>
      </c>
      <c r="B840" s="2">
        <v>46065.305555555555</v>
      </c>
      <c r="C840" s="2">
        <v>46065.455555555556</v>
      </c>
      <c r="D840" t="s">
        <v>6023</v>
      </c>
      <c r="E840" t="s">
        <v>6030</v>
      </c>
      <c r="F840" t="s">
        <v>6034</v>
      </c>
      <c r="G840" t="s">
        <v>6067</v>
      </c>
      <c r="H840" t="s">
        <v>6098</v>
      </c>
      <c r="I840">
        <v>24</v>
      </c>
      <c r="J840">
        <v>3.6</v>
      </c>
      <c r="K840" t="s">
        <v>6099</v>
      </c>
      <c r="L840" t="s">
        <v>6100</v>
      </c>
      <c r="M840" t="s">
        <v>6100</v>
      </c>
      <c r="O840" t="s">
        <v>6101</v>
      </c>
      <c r="P840" t="s">
        <v>6108</v>
      </c>
      <c r="Q840">
        <v>2</v>
      </c>
      <c r="R840">
        <v>2026</v>
      </c>
      <c r="S840" t="s">
        <v>6099</v>
      </c>
      <c r="T840">
        <v>1</v>
      </c>
      <c r="U840" t="s">
        <v>6019</v>
      </c>
      <c r="V840">
        <v>1</v>
      </c>
    </row>
    <row r="841" spans="1:22" x14ac:dyDescent="0.3">
      <c r="A841" t="s">
        <v>856</v>
      </c>
      <c r="B841" s="2">
        <v>46065.313194444447</v>
      </c>
      <c r="C841" s="2">
        <v>46066.325694444444</v>
      </c>
      <c r="D841" t="s">
        <v>6028</v>
      </c>
      <c r="E841" t="s">
        <v>6031</v>
      </c>
      <c r="F841" t="s">
        <v>6035</v>
      </c>
      <c r="G841" t="s">
        <v>6090</v>
      </c>
      <c r="H841" t="s">
        <v>6097</v>
      </c>
      <c r="I841">
        <v>4</v>
      </c>
      <c r="J841">
        <v>24.3</v>
      </c>
      <c r="K841" t="s">
        <v>6099</v>
      </c>
      <c r="L841" t="s">
        <v>6100</v>
      </c>
      <c r="M841" t="s">
        <v>6100</v>
      </c>
      <c r="N841">
        <v>3</v>
      </c>
      <c r="O841" t="s">
        <v>6101</v>
      </c>
      <c r="P841" t="s">
        <v>6108</v>
      </c>
      <c r="Q841">
        <v>2</v>
      </c>
      <c r="R841">
        <v>2026</v>
      </c>
      <c r="S841" t="s">
        <v>6100</v>
      </c>
      <c r="T841">
        <v>0</v>
      </c>
      <c r="U841" t="s">
        <v>6020</v>
      </c>
      <c r="V841">
        <v>1</v>
      </c>
    </row>
    <row r="842" spans="1:22" x14ac:dyDescent="0.3">
      <c r="A842" t="s">
        <v>857</v>
      </c>
      <c r="B842" s="2">
        <v>46065.324999999997</v>
      </c>
      <c r="C842" s="2">
        <v>46065.537499999999</v>
      </c>
      <c r="D842" t="s">
        <v>6028</v>
      </c>
      <c r="E842" t="s">
        <v>6031</v>
      </c>
      <c r="F842" t="s">
        <v>6035</v>
      </c>
      <c r="G842" t="s">
        <v>6037</v>
      </c>
      <c r="H842" t="s">
        <v>6096</v>
      </c>
      <c r="I842">
        <v>4</v>
      </c>
      <c r="J842">
        <v>5.0999999999999996</v>
      </c>
      <c r="K842" t="s">
        <v>6099</v>
      </c>
      <c r="L842" t="s">
        <v>6100</v>
      </c>
      <c r="M842" t="s">
        <v>6100</v>
      </c>
      <c r="O842" t="s">
        <v>6101</v>
      </c>
      <c r="P842" t="s">
        <v>6108</v>
      </c>
      <c r="Q842">
        <v>2</v>
      </c>
      <c r="R842">
        <v>2026</v>
      </c>
      <c r="S842" t="s">
        <v>6100</v>
      </c>
      <c r="T842">
        <v>0</v>
      </c>
      <c r="U842" t="s">
        <v>6020</v>
      </c>
      <c r="V842">
        <v>1</v>
      </c>
    </row>
    <row r="843" spans="1:22" x14ac:dyDescent="0.3">
      <c r="A843" t="s">
        <v>858</v>
      </c>
      <c r="B843" s="2">
        <v>46065.375</v>
      </c>
      <c r="C843" s="2">
        <v>46065.645833333336</v>
      </c>
      <c r="D843" t="s">
        <v>6028</v>
      </c>
      <c r="E843" t="s">
        <v>6029</v>
      </c>
      <c r="F843" t="s">
        <v>6034</v>
      </c>
      <c r="G843" t="s">
        <v>6068</v>
      </c>
      <c r="H843" t="s">
        <v>6098</v>
      </c>
      <c r="I843">
        <v>24</v>
      </c>
      <c r="J843">
        <v>6.5</v>
      </c>
      <c r="K843" t="s">
        <v>6099</v>
      </c>
      <c r="L843" t="s">
        <v>6100</v>
      </c>
      <c r="M843" t="s">
        <v>6100</v>
      </c>
      <c r="N843">
        <v>5</v>
      </c>
      <c r="O843" t="s">
        <v>6101</v>
      </c>
      <c r="P843" t="s">
        <v>6108</v>
      </c>
      <c r="Q843">
        <v>2</v>
      </c>
      <c r="R843">
        <v>2026</v>
      </c>
      <c r="S843" t="s">
        <v>6099</v>
      </c>
      <c r="T843">
        <v>1</v>
      </c>
      <c r="U843" t="s">
        <v>6017</v>
      </c>
      <c r="V843">
        <v>1</v>
      </c>
    </row>
    <row r="844" spans="1:22" x14ac:dyDescent="0.3">
      <c r="A844" t="s">
        <v>859</v>
      </c>
      <c r="B844" s="2">
        <v>46065.394444444442</v>
      </c>
      <c r="C844" s="2">
        <v>46065.827777777777</v>
      </c>
      <c r="D844" t="s">
        <v>6022</v>
      </c>
      <c r="E844" t="s">
        <v>6029</v>
      </c>
      <c r="F844" t="s">
        <v>6034</v>
      </c>
      <c r="G844" t="s">
        <v>6095</v>
      </c>
      <c r="H844" t="s">
        <v>6098</v>
      </c>
      <c r="I844">
        <v>24</v>
      </c>
      <c r="J844">
        <v>10.4</v>
      </c>
      <c r="K844" t="s">
        <v>6099</v>
      </c>
      <c r="L844" t="s">
        <v>6100</v>
      </c>
      <c r="M844" t="s">
        <v>6100</v>
      </c>
      <c r="N844">
        <v>5</v>
      </c>
      <c r="O844" t="s">
        <v>6101</v>
      </c>
      <c r="P844" t="s">
        <v>6108</v>
      </c>
      <c r="Q844">
        <v>2</v>
      </c>
      <c r="R844">
        <v>2026</v>
      </c>
      <c r="S844" t="s">
        <v>6099</v>
      </c>
      <c r="T844">
        <v>1</v>
      </c>
      <c r="U844" t="s">
        <v>6018</v>
      </c>
      <c r="V844">
        <v>1</v>
      </c>
    </row>
    <row r="845" spans="1:22" x14ac:dyDescent="0.3">
      <c r="A845" t="s">
        <v>860</v>
      </c>
      <c r="B845" s="2">
        <v>46065.40347222222</v>
      </c>
      <c r="C845" s="2">
        <v>46065.46597222222</v>
      </c>
      <c r="D845" t="s">
        <v>6028</v>
      </c>
      <c r="E845" t="s">
        <v>6030</v>
      </c>
      <c r="F845" t="s">
        <v>6034</v>
      </c>
      <c r="G845" t="s">
        <v>6050</v>
      </c>
      <c r="H845" t="s">
        <v>6098</v>
      </c>
      <c r="I845">
        <v>24</v>
      </c>
      <c r="J845">
        <v>1.5</v>
      </c>
      <c r="K845" t="s">
        <v>6099</v>
      </c>
      <c r="L845" t="s">
        <v>6100</v>
      </c>
      <c r="M845" t="s">
        <v>6100</v>
      </c>
      <c r="O845" t="s">
        <v>6101</v>
      </c>
      <c r="P845" t="s">
        <v>6108</v>
      </c>
      <c r="Q845">
        <v>2</v>
      </c>
      <c r="R845">
        <v>2026</v>
      </c>
      <c r="S845" t="s">
        <v>6099</v>
      </c>
      <c r="T845">
        <v>1</v>
      </c>
      <c r="U845" t="s">
        <v>6021</v>
      </c>
      <c r="V845">
        <v>1</v>
      </c>
    </row>
    <row r="846" spans="1:22" x14ac:dyDescent="0.3">
      <c r="A846" t="s">
        <v>861</v>
      </c>
      <c r="B846" s="2">
        <v>46065.413888888892</v>
      </c>
      <c r="C846" s="2">
        <v>46066.776388888888</v>
      </c>
      <c r="D846" t="s">
        <v>6025</v>
      </c>
      <c r="E846" t="s">
        <v>6031</v>
      </c>
      <c r="F846" t="s">
        <v>6034</v>
      </c>
      <c r="G846" t="s">
        <v>6044</v>
      </c>
      <c r="H846" t="s">
        <v>6097</v>
      </c>
      <c r="I846">
        <v>24</v>
      </c>
      <c r="J846">
        <v>32.700000000000003</v>
      </c>
      <c r="K846" t="s">
        <v>6100</v>
      </c>
      <c r="L846" t="s">
        <v>6099</v>
      </c>
      <c r="M846" t="s">
        <v>6100</v>
      </c>
      <c r="N846">
        <v>2</v>
      </c>
      <c r="O846" t="s">
        <v>6101</v>
      </c>
      <c r="P846" t="s">
        <v>6108</v>
      </c>
      <c r="Q846">
        <v>2</v>
      </c>
      <c r="R846">
        <v>2026</v>
      </c>
      <c r="S846" t="s">
        <v>6100</v>
      </c>
      <c r="T846">
        <v>0</v>
      </c>
      <c r="U846" t="s">
        <v>6021</v>
      </c>
      <c r="V846">
        <v>0</v>
      </c>
    </row>
    <row r="847" spans="1:22" x14ac:dyDescent="0.3">
      <c r="A847" t="s">
        <v>862</v>
      </c>
      <c r="B847" s="2">
        <v>46065.42083333333</v>
      </c>
      <c r="C847" s="2">
        <v>46065.98333333333</v>
      </c>
      <c r="D847" t="s">
        <v>6022</v>
      </c>
      <c r="E847" t="s">
        <v>6029</v>
      </c>
      <c r="F847" t="s">
        <v>6034</v>
      </c>
      <c r="G847" t="s">
        <v>6094</v>
      </c>
      <c r="H847" t="s">
        <v>6098</v>
      </c>
      <c r="I847">
        <v>24</v>
      </c>
      <c r="J847">
        <v>13.5</v>
      </c>
      <c r="K847" t="s">
        <v>6099</v>
      </c>
      <c r="L847" t="s">
        <v>6100</v>
      </c>
      <c r="M847" t="s">
        <v>6100</v>
      </c>
      <c r="N847">
        <v>5</v>
      </c>
      <c r="O847" t="s">
        <v>6101</v>
      </c>
      <c r="P847" t="s">
        <v>6108</v>
      </c>
      <c r="Q847">
        <v>2</v>
      </c>
      <c r="R847">
        <v>2026</v>
      </c>
      <c r="S847" t="s">
        <v>6099</v>
      </c>
      <c r="T847">
        <v>1</v>
      </c>
      <c r="U847" t="s">
        <v>6021</v>
      </c>
      <c r="V847">
        <v>1</v>
      </c>
    </row>
    <row r="848" spans="1:22" x14ac:dyDescent="0.3">
      <c r="A848" t="s">
        <v>863</v>
      </c>
      <c r="B848" s="2">
        <v>46065.53125</v>
      </c>
      <c r="C848" s="2">
        <v>46065.689583333333</v>
      </c>
      <c r="D848" t="s">
        <v>6027</v>
      </c>
      <c r="E848" t="s">
        <v>6029</v>
      </c>
      <c r="F848" t="s">
        <v>6033</v>
      </c>
      <c r="G848" t="s">
        <v>6075</v>
      </c>
      <c r="H848" t="s">
        <v>6097</v>
      </c>
      <c r="I848">
        <v>72</v>
      </c>
      <c r="J848">
        <v>3.8</v>
      </c>
      <c r="K848" t="s">
        <v>6099</v>
      </c>
      <c r="L848" t="s">
        <v>6100</v>
      </c>
      <c r="M848" t="s">
        <v>6100</v>
      </c>
      <c r="N848">
        <v>5</v>
      </c>
      <c r="O848" t="s">
        <v>6101</v>
      </c>
      <c r="P848" t="s">
        <v>6108</v>
      </c>
      <c r="Q848">
        <v>2</v>
      </c>
      <c r="R848">
        <v>2026</v>
      </c>
      <c r="S848" t="s">
        <v>6099</v>
      </c>
      <c r="T848">
        <v>1</v>
      </c>
      <c r="U848" t="s">
        <v>6020</v>
      </c>
      <c r="V848">
        <v>1</v>
      </c>
    </row>
    <row r="849" spans="1:22" x14ac:dyDescent="0.3">
      <c r="A849" t="s">
        <v>864</v>
      </c>
      <c r="B849" s="2">
        <v>46065.552083333336</v>
      </c>
      <c r="C849" s="2">
        <v>46066.018750000003</v>
      </c>
      <c r="D849" t="s">
        <v>6023</v>
      </c>
      <c r="E849" t="s">
        <v>6029</v>
      </c>
      <c r="F849" t="s">
        <v>6034</v>
      </c>
      <c r="G849" t="s">
        <v>6084</v>
      </c>
      <c r="H849" t="s">
        <v>6098</v>
      </c>
      <c r="I849">
        <v>24</v>
      </c>
      <c r="J849">
        <v>11.2</v>
      </c>
      <c r="K849" t="s">
        <v>6099</v>
      </c>
      <c r="L849" t="s">
        <v>6100</v>
      </c>
      <c r="M849" t="s">
        <v>6100</v>
      </c>
      <c r="N849">
        <v>4</v>
      </c>
      <c r="O849" t="s">
        <v>6101</v>
      </c>
      <c r="P849" t="s">
        <v>6108</v>
      </c>
      <c r="Q849">
        <v>2</v>
      </c>
      <c r="R849">
        <v>2026</v>
      </c>
      <c r="S849" t="s">
        <v>6099</v>
      </c>
      <c r="T849">
        <v>1</v>
      </c>
      <c r="U849" t="s">
        <v>6019</v>
      </c>
      <c r="V849">
        <v>1</v>
      </c>
    </row>
    <row r="850" spans="1:22" x14ac:dyDescent="0.3">
      <c r="A850" t="s">
        <v>865</v>
      </c>
      <c r="B850" s="2">
        <v>46065.569444444445</v>
      </c>
      <c r="C850" s="2">
        <v>46066.223611111112</v>
      </c>
      <c r="D850" t="s">
        <v>6022</v>
      </c>
      <c r="E850" t="s">
        <v>6032</v>
      </c>
      <c r="F850" t="s">
        <v>6034</v>
      </c>
      <c r="G850" t="s">
        <v>6070</v>
      </c>
      <c r="H850" t="s">
        <v>6097</v>
      </c>
      <c r="I850">
        <v>24</v>
      </c>
      <c r="J850">
        <v>15.7</v>
      </c>
      <c r="K850" t="s">
        <v>6099</v>
      </c>
      <c r="L850" t="s">
        <v>6100</v>
      </c>
      <c r="M850" t="s">
        <v>6100</v>
      </c>
      <c r="N850">
        <v>4</v>
      </c>
      <c r="O850" t="s">
        <v>6101</v>
      </c>
      <c r="P850" t="s">
        <v>6108</v>
      </c>
      <c r="Q850">
        <v>2</v>
      </c>
      <c r="R850">
        <v>2026</v>
      </c>
      <c r="S850" t="s">
        <v>6099</v>
      </c>
      <c r="T850">
        <v>1</v>
      </c>
      <c r="U850" t="s">
        <v>6017</v>
      </c>
      <c r="V850">
        <v>1</v>
      </c>
    </row>
    <row r="851" spans="1:22" x14ac:dyDescent="0.3">
      <c r="A851" t="s">
        <v>866</v>
      </c>
      <c r="B851" s="2">
        <v>46065.570833333331</v>
      </c>
      <c r="C851" s="2">
        <v>46066.695833333331</v>
      </c>
      <c r="D851" t="s">
        <v>6028</v>
      </c>
      <c r="E851" t="s">
        <v>6029</v>
      </c>
      <c r="F851" t="s">
        <v>6035</v>
      </c>
      <c r="G851" t="s">
        <v>6045</v>
      </c>
      <c r="H851" t="s">
        <v>6096</v>
      </c>
      <c r="I851">
        <v>4</v>
      </c>
      <c r="J851">
        <v>27</v>
      </c>
      <c r="K851" t="s">
        <v>6099</v>
      </c>
      <c r="L851" t="s">
        <v>6100</v>
      </c>
      <c r="M851" t="s">
        <v>6100</v>
      </c>
      <c r="N851">
        <v>5</v>
      </c>
      <c r="O851" t="s">
        <v>6101</v>
      </c>
      <c r="P851" t="s">
        <v>6108</v>
      </c>
      <c r="Q851">
        <v>2</v>
      </c>
      <c r="R851">
        <v>2026</v>
      </c>
      <c r="S851" t="s">
        <v>6100</v>
      </c>
      <c r="T851">
        <v>0</v>
      </c>
      <c r="U851" t="s">
        <v>6021</v>
      </c>
      <c r="V851">
        <v>1</v>
      </c>
    </row>
    <row r="852" spans="1:22" x14ac:dyDescent="0.3">
      <c r="A852" t="s">
        <v>867</v>
      </c>
      <c r="B852" s="2">
        <v>46065.572222222225</v>
      </c>
      <c r="C852" s="2">
        <v>46065.626388888886</v>
      </c>
      <c r="D852" t="s">
        <v>6023</v>
      </c>
      <c r="E852" t="s">
        <v>6030</v>
      </c>
      <c r="F852" t="s">
        <v>6033</v>
      </c>
      <c r="G852" t="s">
        <v>6084</v>
      </c>
      <c r="H852" t="s">
        <v>6098</v>
      </c>
      <c r="I852">
        <v>72</v>
      </c>
      <c r="J852">
        <v>1.3</v>
      </c>
      <c r="K852" t="s">
        <v>6099</v>
      </c>
      <c r="L852" t="s">
        <v>6100</v>
      </c>
      <c r="M852" t="s">
        <v>6100</v>
      </c>
      <c r="N852">
        <v>4</v>
      </c>
      <c r="O852" t="s">
        <v>6101</v>
      </c>
      <c r="P852" t="s">
        <v>6108</v>
      </c>
      <c r="Q852">
        <v>2</v>
      </c>
      <c r="R852">
        <v>2026</v>
      </c>
      <c r="S852" t="s">
        <v>6099</v>
      </c>
      <c r="T852">
        <v>1</v>
      </c>
      <c r="U852" t="s">
        <v>6018</v>
      </c>
      <c r="V852">
        <v>1</v>
      </c>
    </row>
    <row r="853" spans="1:22" x14ac:dyDescent="0.3">
      <c r="A853" t="s">
        <v>868</v>
      </c>
      <c r="B853" s="2">
        <v>46065.7</v>
      </c>
      <c r="C853" s="2">
        <v>46066.708333333336</v>
      </c>
      <c r="D853" t="s">
        <v>6025</v>
      </c>
      <c r="E853" t="s">
        <v>6030</v>
      </c>
      <c r="F853" t="s">
        <v>6033</v>
      </c>
      <c r="G853" t="s">
        <v>6095</v>
      </c>
      <c r="H853" t="s">
        <v>6098</v>
      </c>
      <c r="I853">
        <v>72</v>
      </c>
      <c r="J853">
        <v>24.2</v>
      </c>
      <c r="K853" t="s">
        <v>6099</v>
      </c>
      <c r="L853" t="s">
        <v>6100</v>
      </c>
      <c r="M853" t="s">
        <v>6100</v>
      </c>
      <c r="N853">
        <v>5</v>
      </c>
      <c r="O853" t="s">
        <v>6101</v>
      </c>
      <c r="P853" t="s">
        <v>6108</v>
      </c>
      <c r="Q853">
        <v>2</v>
      </c>
      <c r="R853">
        <v>2026</v>
      </c>
      <c r="S853" t="s">
        <v>6099</v>
      </c>
      <c r="T853">
        <v>1</v>
      </c>
      <c r="U853" t="s">
        <v>6020</v>
      </c>
      <c r="V853">
        <v>1</v>
      </c>
    </row>
    <row r="854" spans="1:22" x14ac:dyDescent="0.3">
      <c r="A854" t="s">
        <v>869</v>
      </c>
      <c r="B854" s="2">
        <v>46065.777083333334</v>
      </c>
      <c r="C854" s="2">
        <v>46066.802083333336</v>
      </c>
      <c r="D854" t="s">
        <v>6025</v>
      </c>
      <c r="E854" t="s">
        <v>6029</v>
      </c>
      <c r="F854" t="s">
        <v>6033</v>
      </c>
      <c r="G854" t="s">
        <v>6065</v>
      </c>
      <c r="H854" t="s">
        <v>6097</v>
      </c>
      <c r="I854">
        <v>72</v>
      </c>
      <c r="J854">
        <v>24.6</v>
      </c>
      <c r="K854" t="s">
        <v>6099</v>
      </c>
      <c r="L854" t="s">
        <v>6100</v>
      </c>
      <c r="M854" t="s">
        <v>6100</v>
      </c>
      <c r="N854">
        <v>5</v>
      </c>
      <c r="O854" t="s">
        <v>6101</v>
      </c>
      <c r="P854" t="s">
        <v>6108</v>
      </c>
      <c r="Q854">
        <v>2</v>
      </c>
      <c r="R854">
        <v>2026</v>
      </c>
      <c r="S854" t="s">
        <v>6099</v>
      </c>
      <c r="T854">
        <v>1</v>
      </c>
      <c r="U854" t="s">
        <v>6017</v>
      </c>
      <c r="V854">
        <v>1</v>
      </c>
    </row>
    <row r="855" spans="1:22" x14ac:dyDescent="0.3">
      <c r="A855" t="s">
        <v>870</v>
      </c>
      <c r="B855" s="2">
        <v>46065.828472222223</v>
      </c>
      <c r="C855" s="2">
        <v>46066.045138888891</v>
      </c>
      <c r="D855" t="s">
        <v>6025</v>
      </c>
      <c r="E855" t="s">
        <v>6029</v>
      </c>
      <c r="F855" t="s">
        <v>6033</v>
      </c>
      <c r="G855" t="s">
        <v>6049</v>
      </c>
      <c r="H855" t="s">
        <v>6097</v>
      </c>
      <c r="I855">
        <v>72</v>
      </c>
      <c r="J855">
        <v>5.2</v>
      </c>
      <c r="K855" t="s">
        <v>6099</v>
      </c>
      <c r="L855" t="s">
        <v>6100</v>
      </c>
      <c r="M855" t="s">
        <v>6100</v>
      </c>
      <c r="O855" t="s">
        <v>6101</v>
      </c>
      <c r="P855" t="s">
        <v>6108</v>
      </c>
      <c r="Q855">
        <v>2</v>
      </c>
      <c r="R855">
        <v>2026</v>
      </c>
      <c r="S855" t="s">
        <v>6099</v>
      </c>
      <c r="T855">
        <v>1</v>
      </c>
      <c r="U855" t="s">
        <v>6020</v>
      </c>
      <c r="V855">
        <v>1</v>
      </c>
    </row>
    <row r="856" spans="1:22" x14ac:dyDescent="0.3">
      <c r="A856" t="s">
        <v>871</v>
      </c>
      <c r="B856" s="2">
        <v>46065.84097222222</v>
      </c>
      <c r="C856" s="2">
        <v>46070.420138888891</v>
      </c>
      <c r="D856" t="s">
        <v>6026</v>
      </c>
      <c r="E856" t="s">
        <v>6031</v>
      </c>
      <c r="F856" t="s">
        <v>6034</v>
      </c>
      <c r="G856" t="s">
        <v>6083</v>
      </c>
      <c r="H856" t="s">
        <v>6096</v>
      </c>
      <c r="I856">
        <v>24</v>
      </c>
      <c r="J856">
        <v>109.9</v>
      </c>
      <c r="K856" t="s">
        <v>6100</v>
      </c>
      <c r="L856" t="s">
        <v>6099</v>
      </c>
      <c r="M856" t="s">
        <v>6100</v>
      </c>
      <c r="O856" t="s">
        <v>6101</v>
      </c>
      <c r="P856" t="s">
        <v>6108</v>
      </c>
      <c r="Q856">
        <v>2</v>
      </c>
      <c r="R856">
        <v>2026</v>
      </c>
      <c r="S856" t="s">
        <v>6100</v>
      </c>
      <c r="T856">
        <v>0</v>
      </c>
      <c r="U856" t="s">
        <v>6021</v>
      </c>
      <c r="V856">
        <v>0</v>
      </c>
    </row>
    <row r="857" spans="1:22" x14ac:dyDescent="0.3">
      <c r="A857" t="s">
        <v>872</v>
      </c>
      <c r="B857" s="2">
        <v>46066.111805555556</v>
      </c>
      <c r="C857" s="2">
        <v>46066.420138888891</v>
      </c>
      <c r="D857" t="s">
        <v>6025</v>
      </c>
      <c r="E857" t="s">
        <v>6029</v>
      </c>
      <c r="F857" t="s">
        <v>6034</v>
      </c>
      <c r="G857" t="s">
        <v>6050</v>
      </c>
      <c r="H857" t="s">
        <v>6098</v>
      </c>
      <c r="I857">
        <v>24</v>
      </c>
      <c r="J857">
        <v>7.4</v>
      </c>
      <c r="K857" t="s">
        <v>6099</v>
      </c>
      <c r="L857" t="s">
        <v>6100</v>
      </c>
      <c r="M857" t="s">
        <v>6100</v>
      </c>
      <c r="N857">
        <v>5</v>
      </c>
      <c r="O857" t="s">
        <v>6101</v>
      </c>
      <c r="P857" t="s">
        <v>6108</v>
      </c>
      <c r="Q857">
        <v>2</v>
      </c>
      <c r="R857">
        <v>2026</v>
      </c>
      <c r="S857" t="s">
        <v>6099</v>
      </c>
      <c r="T857">
        <v>1</v>
      </c>
      <c r="U857" t="s">
        <v>6019</v>
      </c>
      <c r="V857">
        <v>1</v>
      </c>
    </row>
    <row r="858" spans="1:22" x14ac:dyDescent="0.3">
      <c r="A858" t="s">
        <v>873</v>
      </c>
      <c r="B858" s="2">
        <v>46066.112500000003</v>
      </c>
      <c r="C858" s="2">
        <v>46066.533333333333</v>
      </c>
      <c r="D858" t="s">
        <v>6022</v>
      </c>
      <c r="E858" t="s">
        <v>6030</v>
      </c>
      <c r="F858" t="s">
        <v>6035</v>
      </c>
      <c r="G858" t="s">
        <v>6091</v>
      </c>
      <c r="H858" t="s">
        <v>6097</v>
      </c>
      <c r="I858">
        <v>4</v>
      </c>
      <c r="J858">
        <v>10.1</v>
      </c>
      <c r="K858" t="s">
        <v>6099</v>
      </c>
      <c r="L858" t="s">
        <v>6100</v>
      </c>
      <c r="M858" t="s">
        <v>6100</v>
      </c>
      <c r="N858">
        <v>5</v>
      </c>
      <c r="O858" t="s">
        <v>6101</v>
      </c>
      <c r="P858" t="s">
        <v>6108</v>
      </c>
      <c r="Q858">
        <v>2</v>
      </c>
      <c r="R858">
        <v>2026</v>
      </c>
      <c r="S858" t="s">
        <v>6100</v>
      </c>
      <c r="T858">
        <v>0</v>
      </c>
      <c r="U858" t="s">
        <v>6020</v>
      </c>
      <c r="V858">
        <v>1</v>
      </c>
    </row>
    <row r="859" spans="1:22" x14ac:dyDescent="0.3">
      <c r="A859" t="s">
        <v>874</v>
      </c>
      <c r="B859" s="2">
        <v>46066.191666666666</v>
      </c>
      <c r="C859" s="2">
        <v>46066.229166666664</v>
      </c>
      <c r="D859" t="s">
        <v>6023</v>
      </c>
      <c r="E859" t="s">
        <v>6029</v>
      </c>
      <c r="F859" t="s">
        <v>6033</v>
      </c>
      <c r="G859" t="s">
        <v>6042</v>
      </c>
      <c r="H859" t="s">
        <v>6098</v>
      </c>
      <c r="I859">
        <v>72</v>
      </c>
      <c r="J859">
        <v>0.9</v>
      </c>
      <c r="K859" t="s">
        <v>6099</v>
      </c>
      <c r="L859" t="s">
        <v>6100</v>
      </c>
      <c r="M859" t="s">
        <v>6100</v>
      </c>
      <c r="N859">
        <v>5</v>
      </c>
      <c r="O859" t="s">
        <v>6101</v>
      </c>
      <c r="P859" t="s">
        <v>6108</v>
      </c>
      <c r="Q859">
        <v>2</v>
      </c>
      <c r="R859">
        <v>2026</v>
      </c>
      <c r="S859" t="s">
        <v>6099</v>
      </c>
      <c r="T859">
        <v>1</v>
      </c>
      <c r="U859" t="s">
        <v>6017</v>
      </c>
      <c r="V859">
        <v>1</v>
      </c>
    </row>
    <row r="860" spans="1:22" x14ac:dyDescent="0.3">
      <c r="A860" t="s">
        <v>875</v>
      </c>
      <c r="B860" s="2">
        <v>46066.359027777777</v>
      </c>
      <c r="C860" s="2">
        <v>46067.046527777777</v>
      </c>
      <c r="D860" t="s">
        <v>6023</v>
      </c>
      <c r="E860" t="s">
        <v>6032</v>
      </c>
      <c r="F860" t="s">
        <v>6034</v>
      </c>
      <c r="G860" t="s">
        <v>6066</v>
      </c>
      <c r="H860" t="s">
        <v>6096</v>
      </c>
      <c r="I860">
        <v>24</v>
      </c>
      <c r="J860">
        <v>16.5</v>
      </c>
      <c r="K860" t="s">
        <v>6099</v>
      </c>
      <c r="L860" t="s">
        <v>6100</v>
      </c>
      <c r="M860" t="s">
        <v>6100</v>
      </c>
      <c r="N860">
        <v>4</v>
      </c>
      <c r="O860" t="s">
        <v>6101</v>
      </c>
      <c r="P860" t="s">
        <v>6108</v>
      </c>
      <c r="Q860">
        <v>2</v>
      </c>
      <c r="R860">
        <v>2026</v>
      </c>
      <c r="S860" t="s">
        <v>6099</v>
      </c>
      <c r="T860">
        <v>1</v>
      </c>
      <c r="U860" t="s">
        <v>6020</v>
      </c>
      <c r="V860">
        <v>1</v>
      </c>
    </row>
    <row r="861" spans="1:22" x14ac:dyDescent="0.3">
      <c r="A861" t="s">
        <v>876</v>
      </c>
      <c r="B861" s="2">
        <v>46066.446527777778</v>
      </c>
      <c r="C861" s="2">
        <v>46066.53402777778</v>
      </c>
      <c r="D861" t="s">
        <v>6028</v>
      </c>
      <c r="E861" t="s">
        <v>6029</v>
      </c>
      <c r="F861" t="s">
        <v>6035</v>
      </c>
      <c r="G861" t="s">
        <v>6082</v>
      </c>
      <c r="H861" t="s">
        <v>6097</v>
      </c>
      <c r="I861">
        <v>4</v>
      </c>
      <c r="J861">
        <v>2.1</v>
      </c>
      <c r="K861" t="s">
        <v>6100</v>
      </c>
      <c r="L861" t="s">
        <v>6099</v>
      </c>
      <c r="M861" t="s">
        <v>6100</v>
      </c>
      <c r="N861">
        <v>4</v>
      </c>
      <c r="O861" t="s">
        <v>6101</v>
      </c>
      <c r="P861" t="s">
        <v>6108</v>
      </c>
      <c r="Q861">
        <v>2</v>
      </c>
      <c r="R861">
        <v>2026</v>
      </c>
      <c r="S861" t="s">
        <v>6099</v>
      </c>
      <c r="T861">
        <v>1</v>
      </c>
      <c r="U861" t="s">
        <v>6021</v>
      </c>
      <c r="V861">
        <v>0</v>
      </c>
    </row>
    <row r="862" spans="1:22" x14ac:dyDescent="0.3">
      <c r="A862" t="s">
        <v>877</v>
      </c>
      <c r="B862" s="2">
        <v>46066.49722222222</v>
      </c>
      <c r="C862" s="2">
        <v>46066.772222222222</v>
      </c>
      <c r="D862" t="s">
        <v>6028</v>
      </c>
      <c r="E862" t="s">
        <v>6030</v>
      </c>
      <c r="F862" t="s">
        <v>6035</v>
      </c>
      <c r="G862" t="s">
        <v>6058</v>
      </c>
      <c r="H862" t="s">
        <v>6098</v>
      </c>
      <c r="I862">
        <v>4</v>
      </c>
      <c r="J862">
        <v>6.6</v>
      </c>
      <c r="K862" t="s">
        <v>6099</v>
      </c>
      <c r="L862" t="s">
        <v>6100</v>
      </c>
      <c r="M862" t="s">
        <v>6100</v>
      </c>
      <c r="O862" t="s">
        <v>6101</v>
      </c>
      <c r="P862" t="s">
        <v>6108</v>
      </c>
      <c r="Q862">
        <v>2</v>
      </c>
      <c r="R862">
        <v>2026</v>
      </c>
      <c r="S862" t="s">
        <v>6100</v>
      </c>
      <c r="T862">
        <v>0</v>
      </c>
      <c r="U862" t="s">
        <v>6020</v>
      </c>
      <c r="V862">
        <v>1</v>
      </c>
    </row>
    <row r="863" spans="1:22" x14ac:dyDescent="0.3">
      <c r="A863" t="s">
        <v>878</v>
      </c>
      <c r="B863" s="2">
        <v>46066.503472222219</v>
      </c>
      <c r="C863" s="2">
        <v>46068.115972222222</v>
      </c>
      <c r="D863" t="s">
        <v>6022</v>
      </c>
      <c r="E863" t="s">
        <v>6031</v>
      </c>
      <c r="F863" t="s">
        <v>6034</v>
      </c>
      <c r="G863" t="s">
        <v>6065</v>
      </c>
      <c r="H863" t="s">
        <v>6097</v>
      </c>
      <c r="I863">
        <v>24</v>
      </c>
      <c r="J863">
        <v>38.700000000000003</v>
      </c>
      <c r="K863" t="s">
        <v>6099</v>
      </c>
      <c r="L863" t="s">
        <v>6100</v>
      </c>
      <c r="M863" t="s">
        <v>6100</v>
      </c>
      <c r="O863" t="s">
        <v>6101</v>
      </c>
      <c r="P863" t="s">
        <v>6108</v>
      </c>
      <c r="Q863">
        <v>2</v>
      </c>
      <c r="R863">
        <v>2026</v>
      </c>
      <c r="S863" t="s">
        <v>6100</v>
      </c>
      <c r="T863">
        <v>0</v>
      </c>
      <c r="U863" t="s">
        <v>6018</v>
      </c>
      <c r="V863">
        <v>1</v>
      </c>
    </row>
    <row r="864" spans="1:22" x14ac:dyDescent="0.3">
      <c r="A864" t="s">
        <v>879</v>
      </c>
      <c r="B864" s="2">
        <v>46066.509722222225</v>
      </c>
      <c r="C864" s="2">
        <v>46074.455555555556</v>
      </c>
      <c r="D864" t="s">
        <v>6026</v>
      </c>
      <c r="E864" t="s">
        <v>6031</v>
      </c>
      <c r="F864" t="s">
        <v>6033</v>
      </c>
      <c r="G864" t="s">
        <v>6046</v>
      </c>
      <c r="H864" t="s">
        <v>6098</v>
      </c>
      <c r="I864">
        <v>72</v>
      </c>
      <c r="J864">
        <v>190.7</v>
      </c>
      <c r="K864" t="s">
        <v>6099</v>
      </c>
      <c r="L864" t="s">
        <v>6100</v>
      </c>
      <c r="M864" t="s">
        <v>6100</v>
      </c>
      <c r="O864" t="s">
        <v>6101</v>
      </c>
      <c r="P864" t="s">
        <v>6108</v>
      </c>
      <c r="Q864">
        <v>2</v>
      </c>
      <c r="R864">
        <v>2026</v>
      </c>
      <c r="S864" t="s">
        <v>6100</v>
      </c>
      <c r="T864">
        <v>0</v>
      </c>
      <c r="U864" t="s">
        <v>6018</v>
      </c>
      <c r="V864">
        <v>1</v>
      </c>
    </row>
    <row r="865" spans="1:22" x14ac:dyDescent="0.3">
      <c r="A865" t="s">
        <v>880</v>
      </c>
      <c r="B865" s="2">
        <v>46066.527083333334</v>
      </c>
      <c r="C865" s="2">
        <v>46067.439583333333</v>
      </c>
      <c r="D865" t="s">
        <v>6025</v>
      </c>
      <c r="E865" t="s">
        <v>6032</v>
      </c>
      <c r="F865" t="s">
        <v>6035</v>
      </c>
      <c r="G865" t="s">
        <v>6051</v>
      </c>
      <c r="H865" t="s">
        <v>6097</v>
      </c>
      <c r="I865">
        <v>4</v>
      </c>
      <c r="J865">
        <v>21.9</v>
      </c>
      <c r="K865" t="s">
        <v>6099</v>
      </c>
      <c r="L865" t="s">
        <v>6100</v>
      </c>
      <c r="M865" t="s">
        <v>6099</v>
      </c>
      <c r="N865">
        <v>3</v>
      </c>
      <c r="O865" t="s">
        <v>6101</v>
      </c>
      <c r="P865" t="s">
        <v>6108</v>
      </c>
      <c r="Q865">
        <v>2</v>
      </c>
      <c r="R865">
        <v>2026</v>
      </c>
      <c r="S865" t="s">
        <v>6100</v>
      </c>
      <c r="T865">
        <v>0</v>
      </c>
      <c r="U865" t="s">
        <v>6018</v>
      </c>
      <c r="V865">
        <v>1</v>
      </c>
    </row>
    <row r="866" spans="1:22" x14ac:dyDescent="0.3">
      <c r="A866" t="s">
        <v>881</v>
      </c>
      <c r="B866" s="2">
        <v>46066.536805555559</v>
      </c>
      <c r="C866" s="2">
        <v>46066.932638888888</v>
      </c>
      <c r="D866" t="s">
        <v>6022</v>
      </c>
      <c r="E866" t="s">
        <v>6030</v>
      </c>
      <c r="F866" t="s">
        <v>6034</v>
      </c>
      <c r="G866" t="s">
        <v>6038</v>
      </c>
      <c r="H866" t="s">
        <v>6096</v>
      </c>
      <c r="I866">
        <v>24</v>
      </c>
      <c r="J866">
        <v>9.5</v>
      </c>
      <c r="K866" t="s">
        <v>6099</v>
      </c>
      <c r="L866" t="s">
        <v>6100</v>
      </c>
      <c r="M866" t="s">
        <v>6100</v>
      </c>
      <c r="O866" t="s">
        <v>6101</v>
      </c>
      <c r="P866" t="s">
        <v>6108</v>
      </c>
      <c r="Q866">
        <v>2</v>
      </c>
      <c r="R866">
        <v>2026</v>
      </c>
      <c r="S866" t="s">
        <v>6099</v>
      </c>
      <c r="T866">
        <v>1</v>
      </c>
      <c r="U866" t="s">
        <v>6021</v>
      </c>
      <c r="V866">
        <v>1</v>
      </c>
    </row>
    <row r="867" spans="1:22" x14ac:dyDescent="0.3">
      <c r="A867" t="s">
        <v>882</v>
      </c>
      <c r="B867" s="2">
        <v>46066.598611111112</v>
      </c>
      <c r="C867" s="2">
        <v>46066.786111111112</v>
      </c>
      <c r="D867" t="s">
        <v>6024</v>
      </c>
      <c r="E867" t="s">
        <v>6030</v>
      </c>
      <c r="F867" t="s">
        <v>6034</v>
      </c>
      <c r="G867" t="s">
        <v>6054</v>
      </c>
      <c r="H867" t="s">
        <v>6096</v>
      </c>
      <c r="I867">
        <v>24</v>
      </c>
      <c r="J867">
        <v>4.5</v>
      </c>
      <c r="K867" t="s">
        <v>6100</v>
      </c>
      <c r="L867" t="s">
        <v>6099</v>
      </c>
      <c r="M867" t="s">
        <v>6100</v>
      </c>
      <c r="O867" t="s">
        <v>6101</v>
      </c>
      <c r="P867" t="s">
        <v>6108</v>
      </c>
      <c r="Q867">
        <v>2</v>
      </c>
      <c r="R867">
        <v>2026</v>
      </c>
      <c r="S867" t="s">
        <v>6099</v>
      </c>
      <c r="T867">
        <v>1</v>
      </c>
      <c r="U867" t="s">
        <v>6017</v>
      </c>
      <c r="V867">
        <v>0</v>
      </c>
    </row>
    <row r="868" spans="1:22" x14ac:dyDescent="0.3">
      <c r="A868" t="s">
        <v>883</v>
      </c>
      <c r="B868" s="2">
        <v>46066.598611111112</v>
      </c>
      <c r="C868" s="2">
        <v>46067.027777777781</v>
      </c>
      <c r="D868" t="s">
        <v>6024</v>
      </c>
      <c r="E868" t="s">
        <v>6030</v>
      </c>
      <c r="F868" t="s">
        <v>6034</v>
      </c>
      <c r="G868" t="s">
        <v>6062</v>
      </c>
      <c r="H868" t="s">
        <v>6096</v>
      </c>
      <c r="I868">
        <v>24</v>
      </c>
      <c r="J868">
        <v>10.3</v>
      </c>
      <c r="K868" t="s">
        <v>6099</v>
      </c>
      <c r="L868" t="s">
        <v>6100</v>
      </c>
      <c r="M868" t="s">
        <v>6100</v>
      </c>
      <c r="N868">
        <v>5</v>
      </c>
      <c r="O868" t="s">
        <v>6101</v>
      </c>
      <c r="P868" t="s">
        <v>6108</v>
      </c>
      <c r="Q868">
        <v>2</v>
      </c>
      <c r="R868">
        <v>2026</v>
      </c>
      <c r="S868" t="s">
        <v>6099</v>
      </c>
      <c r="T868">
        <v>1</v>
      </c>
      <c r="U868" t="s">
        <v>6020</v>
      </c>
      <c r="V868">
        <v>1</v>
      </c>
    </row>
    <row r="869" spans="1:22" x14ac:dyDescent="0.3">
      <c r="A869" t="s">
        <v>884</v>
      </c>
      <c r="B869" s="2">
        <v>46066.620833333334</v>
      </c>
      <c r="C869" s="2">
        <v>46067.354166666664</v>
      </c>
      <c r="D869" t="s">
        <v>6028</v>
      </c>
      <c r="E869" t="s">
        <v>6029</v>
      </c>
      <c r="F869" t="s">
        <v>6035</v>
      </c>
      <c r="G869" t="s">
        <v>6054</v>
      </c>
      <c r="H869" t="s">
        <v>6096</v>
      </c>
      <c r="I869">
        <v>4</v>
      </c>
      <c r="J869">
        <v>17.600000000000001</v>
      </c>
      <c r="K869" t="s">
        <v>6100</v>
      </c>
      <c r="L869" t="s">
        <v>6099</v>
      </c>
      <c r="M869" t="s">
        <v>6099</v>
      </c>
      <c r="N869">
        <v>2</v>
      </c>
      <c r="O869" t="s">
        <v>6101</v>
      </c>
      <c r="P869" t="s">
        <v>6108</v>
      </c>
      <c r="Q869">
        <v>2</v>
      </c>
      <c r="R869">
        <v>2026</v>
      </c>
      <c r="S869" t="s">
        <v>6100</v>
      </c>
      <c r="T869">
        <v>0</v>
      </c>
      <c r="U869" t="s">
        <v>6019</v>
      </c>
      <c r="V869">
        <v>0</v>
      </c>
    </row>
    <row r="870" spans="1:22" x14ac:dyDescent="0.3">
      <c r="A870" t="s">
        <v>885</v>
      </c>
      <c r="B870" s="2">
        <v>46066.646527777775</v>
      </c>
      <c r="C870" s="2">
        <v>46066.992361111108</v>
      </c>
      <c r="D870" t="s">
        <v>6022</v>
      </c>
      <c r="E870" t="s">
        <v>6029</v>
      </c>
      <c r="F870" t="s">
        <v>6033</v>
      </c>
      <c r="G870" t="s">
        <v>6081</v>
      </c>
      <c r="H870" t="s">
        <v>6098</v>
      </c>
      <c r="I870">
        <v>72</v>
      </c>
      <c r="J870">
        <v>8.3000000000000007</v>
      </c>
      <c r="K870" t="s">
        <v>6099</v>
      </c>
      <c r="L870" t="s">
        <v>6100</v>
      </c>
      <c r="M870" t="s">
        <v>6100</v>
      </c>
      <c r="N870">
        <v>5</v>
      </c>
      <c r="O870" t="s">
        <v>6101</v>
      </c>
      <c r="P870" t="s">
        <v>6108</v>
      </c>
      <c r="Q870">
        <v>2</v>
      </c>
      <c r="R870">
        <v>2026</v>
      </c>
      <c r="S870" t="s">
        <v>6099</v>
      </c>
      <c r="T870">
        <v>1</v>
      </c>
      <c r="U870" t="s">
        <v>6019</v>
      </c>
      <c r="V870">
        <v>1</v>
      </c>
    </row>
    <row r="871" spans="1:22" x14ac:dyDescent="0.3">
      <c r="A871" t="s">
        <v>886</v>
      </c>
      <c r="B871" s="2">
        <v>46066.686805555553</v>
      </c>
      <c r="C871" s="2">
        <v>46069.836805555555</v>
      </c>
      <c r="D871" t="s">
        <v>6024</v>
      </c>
      <c r="E871" t="s">
        <v>6031</v>
      </c>
      <c r="F871" t="s">
        <v>6033</v>
      </c>
      <c r="G871" t="s">
        <v>6073</v>
      </c>
      <c r="H871" t="s">
        <v>6096</v>
      </c>
      <c r="I871">
        <v>72</v>
      </c>
      <c r="J871">
        <v>75.599999999999994</v>
      </c>
      <c r="K871" t="s">
        <v>6100</v>
      </c>
      <c r="L871" t="s">
        <v>6099</v>
      </c>
      <c r="M871" t="s">
        <v>6100</v>
      </c>
      <c r="N871">
        <v>1</v>
      </c>
      <c r="O871" t="s">
        <v>6101</v>
      </c>
      <c r="P871" t="s">
        <v>6108</v>
      </c>
      <c r="Q871">
        <v>2</v>
      </c>
      <c r="R871">
        <v>2026</v>
      </c>
      <c r="S871" t="s">
        <v>6100</v>
      </c>
      <c r="T871">
        <v>0</v>
      </c>
      <c r="U871" t="s">
        <v>6018</v>
      </c>
      <c r="V871">
        <v>0</v>
      </c>
    </row>
    <row r="872" spans="1:22" x14ac:dyDescent="0.3">
      <c r="A872" t="s">
        <v>887</v>
      </c>
      <c r="B872" s="2">
        <v>46066.697222222225</v>
      </c>
      <c r="C872" s="2">
        <v>46067.093055555553</v>
      </c>
      <c r="D872" t="s">
        <v>6025</v>
      </c>
      <c r="E872" t="s">
        <v>6029</v>
      </c>
      <c r="F872" t="s">
        <v>6033</v>
      </c>
      <c r="G872" t="s">
        <v>6052</v>
      </c>
      <c r="H872" t="s">
        <v>6098</v>
      </c>
      <c r="I872">
        <v>72</v>
      </c>
      <c r="J872">
        <v>9.5</v>
      </c>
      <c r="K872" t="s">
        <v>6099</v>
      </c>
      <c r="L872" t="s">
        <v>6100</v>
      </c>
      <c r="M872" t="s">
        <v>6100</v>
      </c>
      <c r="N872">
        <v>4</v>
      </c>
      <c r="O872" t="s">
        <v>6101</v>
      </c>
      <c r="P872" t="s">
        <v>6108</v>
      </c>
      <c r="Q872">
        <v>2</v>
      </c>
      <c r="R872">
        <v>2026</v>
      </c>
      <c r="S872" t="s">
        <v>6099</v>
      </c>
      <c r="T872">
        <v>1</v>
      </c>
      <c r="U872" t="s">
        <v>6021</v>
      </c>
      <c r="V872">
        <v>1</v>
      </c>
    </row>
    <row r="873" spans="1:22" x14ac:dyDescent="0.3">
      <c r="A873" t="s">
        <v>888</v>
      </c>
      <c r="B873" s="2">
        <v>46066.707638888889</v>
      </c>
      <c r="C873" s="2">
        <v>46066.957638888889</v>
      </c>
      <c r="D873" t="s">
        <v>6023</v>
      </c>
      <c r="E873" t="s">
        <v>6030</v>
      </c>
      <c r="F873" t="s">
        <v>6034</v>
      </c>
      <c r="G873" t="s">
        <v>6038</v>
      </c>
      <c r="H873" t="s">
        <v>6096</v>
      </c>
      <c r="I873">
        <v>24</v>
      </c>
      <c r="J873">
        <v>6</v>
      </c>
      <c r="K873" t="s">
        <v>6100</v>
      </c>
      <c r="L873" t="s">
        <v>6100</v>
      </c>
      <c r="M873" t="s">
        <v>6100</v>
      </c>
      <c r="N873">
        <v>3</v>
      </c>
      <c r="O873" t="s">
        <v>6101</v>
      </c>
      <c r="P873" t="s">
        <v>6108</v>
      </c>
      <c r="Q873">
        <v>2</v>
      </c>
      <c r="R873">
        <v>2026</v>
      </c>
      <c r="S873" t="s">
        <v>6099</v>
      </c>
      <c r="T873">
        <v>1</v>
      </c>
      <c r="U873" t="s">
        <v>6018</v>
      </c>
      <c r="V873">
        <v>0</v>
      </c>
    </row>
    <row r="874" spans="1:22" x14ac:dyDescent="0.3">
      <c r="A874" t="s">
        <v>889</v>
      </c>
      <c r="B874" s="2">
        <v>46066.747916666667</v>
      </c>
      <c r="C874" s="2">
        <v>46066.918749999997</v>
      </c>
      <c r="D874" t="s">
        <v>6023</v>
      </c>
      <c r="E874" t="s">
        <v>6030</v>
      </c>
      <c r="F874" t="s">
        <v>6035</v>
      </c>
      <c r="G874" t="s">
        <v>6083</v>
      </c>
      <c r="H874" t="s">
        <v>6096</v>
      </c>
      <c r="I874">
        <v>4</v>
      </c>
      <c r="J874">
        <v>4.0999999999999996</v>
      </c>
      <c r="K874" t="s">
        <v>6100</v>
      </c>
      <c r="L874" t="s">
        <v>6100</v>
      </c>
      <c r="M874" t="s">
        <v>6100</v>
      </c>
      <c r="N874">
        <v>3</v>
      </c>
      <c r="O874" t="s">
        <v>6101</v>
      </c>
      <c r="P874" t="s">
        <v>6108</v>
      </c>
      <c r="Q874">
        <v>2</v>
      </c>
      <c r="R874">
        <v>2026</v>
      </c>
      <c r="S874" t="s">
        <v>6100</v>
      </c>
      <c r="T874">
        <v>0</v>
      </c>
      <c r="U874" t="s">
        <v>6017</v>
      </c>
      <c r="V874">
        <v>0</v>
      </c>
    </row>
    <row r="875" spans="1:22" x14ac:dyDescent="0.3">
      <c r="A875" t="s">
        <v>890</v>
      </c>
      <c r="B875" s="2">
        <v>46066.823611111111</v>
      </c>
      <c r="C875" s="2">
        <v>46066.965277777781</v>
      </c>
      <c r="D875" t="s">
        <v>6023</v>
      </c>
      <c r="E875" t="s">
        <v>6029</v>
      </c>
      <c r="F875" t="s">
        <v>6033</v>
      </c>
      <c r="G875" t="s">
        <v>6048</v>
      </c>
      <c r="H875" t="s">
        <v>6096</v>
      </c>
      <c r="I875">
        <v>72</v>
      </c>
      <c r="J875">
        <v>3.4</v>
      </c>
      <c r="K875" t="s">
        <v>6100</v>
      </c>
      <c r="L875" t="s">
        <v>6099</v>
      </c>
      <c r="M875" t="s">
        <v>6100</v>
      </c>
      <c r="O875" t="s">
        <v>6101</v>
      </c>
      <c r="P875" t="s">
        <v>6108</v>
      </c>
      <c r="Q875">
        <v>2</v>
      </c>
      <c r="R875">
        <v>2026</v>
      </c>
      <c r="S875" t="s">
        <v>6099</v>
      </c>
      <c r="T875">
        <v>1</v>
      </c>
      <c r="U875" t="s">
        <v>6021</v>
      </c>
      <c r="V875">
        <v>0</v>
      </c>
    </row>
    <row r="876" spans="1:22" x14ac:dyDescent="0.3">
      <c r="A876" t="s">
        <v>891</v>
      </c>
      <c r="B876" s="2">
        <v>46066.836111111108</v>
      </c>
      <c r="C876" s="2">
        <v>46068.311111111114</v>
      </c>
      <c r="D876" t="s">
        <v>6023</v>
      </c>
      <c r="E876" t="s">
        <v>6032</v>
      </c>
      <c r="F876" t="s">
        <v>6034</v>
      </c>
      <c r="G876" t="s">
        <v>6047</v>
      </c>
      <c r="H876" t="s">
        <v>6098</v>
      </c>
      <c r="I876">
        <v>24</v>
      </c>
      <c r="J876">
        <v>35.4</v>
      </c>
      <c r="K876" t="s">
        <v>6099</v>
      </c>
      <c r="L876" t="s">
        <v>6100</v>
      </c>
      <c r="M876" t="s">
        <v>6100</v>
      </c>
      <c r="N876">
        <v>4</v>
      </c>
      <c r="O876" t="s">
        <v>6101</v>
      </c>
      <c r="P876" t="s">
        <v>6108</v>
      </c>
      <c r="Q876">
        <v>2</v>
      </c>
      <c r="R876">
        <v>2026</v>
      </c>
      <c r="S876" t="s">
        <v>6100</v>
      </c>
      <c r="T876">
        <v>0</v>
      </c>
      <c r="U876" t="s">
        <v>6020</v>
      </c>
      <c r="V876">
        <v>1</v>
      </c>
    </row>
    <row r="877" spans="1:22" x14ac:dyDescent="0.3">
      <c r="A877" t="s">
        <v>892</v>
      </c>
      <c r="B877" s="2">
        <v>46066.888194444444</v>
      </c>
      <c r="C877" s="2">
        <v>46066.97152777778</v>
      </c>
      <c r="D877" t="s">
        <v>6027</v>
      </c>
      <c r="E877" t="s">
        <v>6029</v>
      </c>
      <c r="F877" t="s">
        <v>6034</v>
      </c>
      <c r="G877" t="s">
        <v>6077</v>
      </c>
      <c r="H877" t="s">
        <v>6098</v>
      </c>
      <c r="I877">
        <v>24</v>
      </c>
      <c r="J877">
        <v>2</v>
      </c>
      <c r="K877" t="s">
        <v>6099</v>
      </c>
      <c r="L877" t="s">
        <v>6100</v>
      </c>
      <c r="M877" t="s">
        <v>6100</v>
      </c>
      <c r="N877">
        <v>4</v>
      </c>
      <c r="O877" t="s">
        <v>6101</v>
      </c>
      <c r="P877" t="s">
        <v>6108</v>
      </c>
      <c r="Q877">
        <v>2</v>
      </c>
      <c r="R877">
        <v>2026</v>
      </c>
      <c r="S877" t="s">
        <v>6099</v>
      </c>
      <c r="T877">
        <v>1</v>
      </c>
      <c r="U877" t="s">
        <v>6021</v>
      </c>
      <c r="V877">
        <v>1</v>
      </c>
    </row>
    <row r="878" spans="1:22" x14ac:dyDescent="0.3">
      <c r="A878" t="s">
        <v>893</v>
      </c>
      <c r="B878" s="2">
        <v>46067.151388888888</v>
      </c>
      <c r="C878" s="2">
        <v>46067.380555555559</v>
      </c>
      <c r="D878" t="s">
        <v>6027</v>
      </c>
      <c r="E878" t="s">
        <v>6029</v>
      </c>
      <c r="F878" t="s">
        <v>6034</v>
      </c>
      <c r="G878" t="s">
        <v>6075</v>
      </c>
      <c r="H878" t="s">
        <v>6097</v>
      </c>
      <c r="I878">
        <v>24</v>
      </c>
      <c r="J878">
        <v>5.5</v>
      </c>
      <c r="K878" t="s">
        <v>6099</v>
      </c>
      <c r="L878" t="s">
        <v>6100</v>
      </c>
      <c r="M878" t="s">
        <v>6100</v>
      </c>
      <c r="N878">
        <v>5</v>
      </c>
      <c r="O878" t="s">
        <v>6101</v>
      </c>
      <c r="P878" t="s">
        <v>6108</v>
      </c>
      <c r="Q878">
        <v>2</v>
      </c>
      <c r="R878">
        <v>2026</v>
      </c>
      <c r="S878" t="s">
        <v>6099</v>
      </c>
      <c r="T878">
        <v>1</v>
      </c>
      <c r="U878" t="s">
        <v>6021</v>
      </c>
      <c r="V878">
        <v>1</v>
      </c>
    </row>
    <row r="879" spans="1:22" x14ac:dyDescent="0.3">
      <c r="A879" t="s">
        <v>894</v>
      </c>
      <c r="B879" s="2">
        <v>46067.222916666666</v>
      </c>
      <c r="C879" s="2">
        <v>46071.21875</v>
      </c>
      <c r="D879" t="s">
        <v>6022</v>
      </c>
      <c r="E879" t="s">
        <v>6031</v>
      </c>
      <c r="F879" t="s">
        <v>6034</v>
      </c>
      <c r="G879" t="s">
        <v>6088</v>
      </c>
      <c r="H879" t="s">
        <v>6097</v>
      </c>
      <c r="I879">
        <v>24</v>
      </c>
      <c r="J879">
        <v>95.9</v>
      </c>
      <c r="K879" t="s">
        <v>6099</v>
      </c>
      <c r="L879" t="s">
        <v>6100</v>
      </c>
      <c r="M879" t="s">
        <v>6100</v>
      </c>
      <c r="O879" t="s">
        <v>6101</v>
      </c>
      <c r="P879" t="s">
        <v>6108</v>
      </c>
      <c r="Q879">
        <v>2</v>
      </c>
      <c r="R879">
        <v>2026</v>
      </c>
      <c r="S879" t="s">
        <v>6100</v>
      </c>
      <c r="T879">
        <v>0</v>
      </c>
      <c r="U879" t="s">
        <v>6020</v>
      </c>
      <c r="V879">
        <v>1</v>
      </c>
    </row>
    <row r="880" spans="1:22" x14ac:dyDescent="0.3">
      <c r="A880" t="s">
        <v>895</v>
      </c>
      <c r="B880" s="2">
        <v>46067.3</v>
      </c>
      <c r="C880" s="2">
        <v>46068.029166666667</v>
      </c>
      <c r="D880" t="s">
        <v>6025</v>
      </c>
      <c r="E880" t="s">
        <v>6029</v>
      </c>
      <c r="F880" t="s">
        <v>6033</v>
      </c>
      <c r="G880" t="s">
        <v>6063</v>
      </c>
      <c r="H880" t="s">
        <v>6097</v>
      </c>
      <c r="I880">
        <v>72</v>
      </c>
      <c r="J880">
        <v>17.5</v>
      </c>
      <c r="K880" t="s">
        <v>6099</v>
      </c>
      <c r="L880" t="s">
        <v>6100</v>
      </c>
      <c r="M880" t="s">
        <v>6100</v>
      </c>
      <c r="O880" t="s">
        <v>6101</v>
      </c>
      <c r="P880" t="s">
        <v>6108</v>
      </c>
      <c r="Q880">
        <v>2</v>
      </c>
      <c r="R880">
        <v>2026</v>
      </c>
      <c r="S880" t="s">
        <v>6099</v>
      </c>
      <c r="T880">
        <v>1</v>
      </c>
      <c r="U880" t="s">
        <v>6020</v>
      </c>
      <c r="V880">
        <v>1</v>
      </c>
    </row>
    <row r="881" spans="1:22" x14ac:dyDescent="0.3">
      <c r="A881" t="s">
        <v>896</v>
      </c>
      <c r="B881" s="2">
        <v>46067.302777777775</v>
      </c>
      <c r="C881" s="2">
        <v>46070.619444444441</v>
      </c>
      <c r="D881" t="s">
        <v>6025</v>
      </c>
      <c r="E881" t="s">
        <v>6031</v>
      </c>
      <c r="F881" t="s">
        <v>6034</v>
      </c>
      <c r="G881" t="s">
        <v>6044</v>
      </c>
      <c r="H881" t="s">
        <v>6097</v>
      </c>
      <c r="I881">
        <v>24</v>
      </c>
      <c r="J881">
        <v>79.599999999999994</v>
      </c>
      <c r="K881" t="s">
        <v>6099</v>
      </c>
      <c r="L881" t="s">
        <v>6100</v>
      </c>
      <c r="M881" t="s">
        <v>6100</v>
      </c>
      <c r="O881" t="s">
        <v>6101</v>
      </c>
      <c r="P881" t="s">
        <v>6108</v>
      </c>
      <c r="Q881">
        <v>2</v>
      </c>
      <c r="R881">
        <v>2026</v>
      </c>
      <c r="S881" t="s">
        <v>6100</v>
      </c>
      <c r="T881">
        <v>0</v>
      </c>
      <c r="U881" t="s">
        <v>6017</v>
      </c>
      <c r="V881">
        <v>1</v>
      </c>
    </row>
    <row r="882" spans="1:22" x14ac:dyDescent="0.3">
      <c r="A882" t="s">
        <v>897</v>
      </c>
      <c r="B882" s="2">
        <v>46067.317361111112</v>
      </c>
      <c r="C882" s="2">
        <v>46068.713194444441</v>
      </c>
      <c r="D882" t="s">
        <v>6026</v>
      </c>
      <c r="E882" t="s">
        <v>6031</v>
      </c>
      <c r="F882" t="s">
        <v>6034</v>
      </c>
      <c r="G882" t="s">
        <v>6049</v>
      </c>
      <c r="H882" t="s">
        <v>6097</v>
      </c>
      <c r="I882">
        <v>24</v>
      </c>
      <c r="J882">
        <v>33.5</v>
      </c>
      <c r="K882" t="s">
        <v>6099</v>
      </c>
      <c r="L882" t="s">
        <v>6100</v>
      </c>
      <c r="M882" t="s">
        <v>6100</v>
      </c>
      <c r="N882">
        <v>5</v>
      </c>
      <c r="O882" t="s">
        <v>6101</v>
      </c>
      <c r="P882" t="s">
        <v>6108</v>
      </c>
      <c r="Q882">
        <v>2</v>
      </c>
      <c r="R882">
        <v>2026</v>
      </c>
      <c r="S882" t="s">
        <v>6100</v>
      </c>
      <c r="T882">
        <v>0</v>
      </c>
      <c r="U882" t="s">
        <v>6020</v>
      </c>
      <c r="V882">
        <v>1</v>
      </c>
    </row>
    <row r="883" spans="1:22" x14ac:dyDescent="0.3">
      <c r="A883" t="s">
        <v>898</v>
      </c>
      <c r="B883" s="2">
        <v>46067.342361111114</v>
      </c>
      <c r="C883" s="2">
        <v>46067.742361111108</v>
      </c>
      <c r="D883" t="s">
        <v>6023</v>
      </c>
      <c r="E883" t="s">
        <v>6029</v>
      </c>
      <c r="F883" t="s">
        <v>6033</v>
      </c>
      <c r="G883" t="s">
        <v>6069</v>
      </c>
      <c r="H883" t="s">
        <v>6098</v>
      </c>
      <c r="I883">
        <v>72</v>
      </c>
      <c r="J883">
        <v>9.6</v>
      </c>
      <c r="K883" t="s">
        <v>6099</v>
      </c>
      <c r="L883" t="s">
        <v>6100</v>
      </c>
      <c r="M883" t="s">
        <v>6100</v>
      </c>
      <c r="O883" t="s">
        <v>6101</v>
      </c>
      <c r="P883" t="s">
        <v>6108</v>
      </c>
      <c r="Q883">
        <v>2</v>
      </c>
      <c r="R883">
        <v>2026</v>
      </c>
      <c r="S883" t="s">
        <v>6099</v>
      </c>
      <c r="T883">
        <v>1</v>
      </c>
      <c r="U883" t="s">
        <v>6021</v>
      </c>
      <c r="V883">
        <v>1</v>
      </c>
    </row>
    <row r="884" spans="1:22" x14ac:dyDescent="0.3">
      <c r="A884" t="s">
        <v>899</v>
      </c>
      <c r="B884" s="2">
        <v>46067.382638888892</v>
      </c>
      <c r="C884" s="2">
        <v>46067.565972222219</v>
      </c>
      <c r="D884" t="s">
        <v>6023</v>
      </c>
      <c r="E884" t="s">
        <v>6030</v>
      </c>
      <c r="F884" t="s">
        <v>6034</v>
      </c>
      <c r="G884" t="s">
        <v>6036</v>
      </c>
      <c r="H884" t="s">
        <v>6096</v>
      </c>
      <c r="I884">
        <v>24</v>
      </c>
      <c r="J884">
        <v>4.4000000000000004</v>
      </c>
      <c r="K884" t="s">
        <v>6099</v>
      </c>
      <c r="L884" t="s">
        <v>6100</v>
      </c>
      <c r="M884" t="s">
        <v>6100</v>
      </c>
      <c r="N884">
        <v>3</v>
      </c>
      <c r="O884" t="s">
        <v>6101</v>
      </c>
      <c r="P884" t="s">
        <v>6108</v>
      </c>
      <c r="Q884">
        <v>2</v>
      </c>
      <c r="R884">
        <v>2026</v>
      </c>
      <c r="S884" t="s">
        <v>6099</v>
      </c>
      <c r="T884">
        <v>1</v>
      </c>
      <c r="U884" t="s">
        <v>6021</v>
      </c>
      <c r="V884">
        <v>1</v>
      </c>
    </row>
    <row r="885" spans="1:22" x14ac:dyDescent="0.3">
      <c r="A885" t="s">
        <v>900</v>
      </c>
      <c r="B885" s="2">
        <v>46067.412499999999</v>
      </c>
      <c r="C885" s="2">
        <v>46067.583333333336</v>
      </c>
      <c r="D885" t="s">
        <v>6023</v>
      </c>
      <c r="E885" t="s">
        <v>6030</v>
      </c>
      <c r="F885" t="s">
        <v>6034</v>
      </c>
      <c r="G885" t="s">
        <v>6095</v>
      </c>
      <c r="H885" t="s">
        <v>6098</v>
      </c>
      <c r="I885">
        <v>24</v>
      </c>
      <c r="J885">
        <v>4.0999999999999996</v>
      </c>
      <c r="K885" t="s">
        <v>6099</v>
      </c>
      <c r="L885" t="s">
        <v>6100</v>
      </c>
      <c r="M885" t="s">
        <v>6100</v>
      </c>
      <c r="N885">
        <v>5</v>
      </c>
      <c r="O885" t="s">
        <v>6101</v>
      </c>
      <c r="P885" t="s">
        <v>6108</v>
      </c>
      <c r="Q885">
        <v>2</v>
      </c>
      <c r="R885">
        <v>2026</v>
      </c>
      <c r="S885" t="s">
        <v>6099</v>
      </c>
      <c r="T885">
        <v>1</v>
      </c>
      <c r="U885" t="s">
        <v>6021</v>
      </c>
      <c r="V885">
        <v>1</v>
      </c>
    </row>
    <row r="886" spans="1:22" x14ac:dyDescent="0.3">
      <c r="A886" t="s">
        <v>901</v>
      </c>
      <c r="B886" s="2">
        <v>46067.434027777781</v>
      </c>
      <c r="C886" s="2">
        <v>46069.029861111114</v>
      </c>
      <c r="D886" t="s">
        <v>6023</v>
      </c>
      <c r="E886" t="s">
        <v>6032</v>
      </c>
      <c r="F886" t="s">
        <v>6034</v>
      </c>
      <c r="G886" t="s">
        <v>6047</v>
      </c>
      <c r="H886" t="s">
        <v>6098</v>
      </c>
      <c r="I886">
        <v>24</v>
      </c>
      <c r="J886">
        <v>38.299999999999997</v>
      </c>
      <c r="K886" t="s">
        <v>6100</v>
      </c>
      <c r="L886" t="s">
        <v>6100</v>
      </c>
      <c r="M886" t="s">
        <v>6099</v>
      </c>
      <c r="O886" t="s">
        <v>6101</v>
      </c>
      <c r="P886" t="s">
        <v>6108</v>
      </c>
      <c r="Q886">
        <v>2</v>
      </c>
      <c r="R886">
        <v>2026</v>
      </c>
      <c r="S886" t="s">
        <v>6100</v>
      </c>
      <c r="T886">
        <v>0</v>
      </c>
      <c r="U886" t="s">
        <v>6019</v>
      </c>
      <c r="V886">
        <v>0</v>
      </c>
    </row>
    <row r="887" spans="1:22" x14ac:dyDescent="0.3">
      <c r="A887" t="s">
        <v>902</v>
      </c>
      <c r="B887" s="2">
        <v>46067.457638888889</v>
      </c>
      <c r="C887" s="2">
        <v>46067.757638888892</v>
      </c>
      <c r="D887" t="s">
        <v>6028</v>
      </c>
      <c r="E887" t="s">
        <v>6029</v>
      </c>
      <c r="F887" t="s">
        <v>6034</v>
      </c>
      <c r="G887" t="s">
        <v>6087</v>
      </c>
      <c r="H887" t="s">
        <v>6098</v>
      </c>
      <c r="I887">
        <v>24</v>
      </c>
      <c r="J887">
        <v>7.2</v>
      </c>
      <c r="K887" t="s">
        <v>6099</v>
      </c>
      <c r="L887" t="s">
        <v>6100</v>
      </c>
      <c r="M887" t="s">
        <v>6100</v>
      </c>
      <c r="O887" t="s">
        <v>6101</v>
      </c>
      <c r="P887" t="s">
        <v>6108</v>
      </c>
      <c r="Q887">
        <v>2</v>
      </c>
      <c r="R887">
        <v>2026</v>
      </c>
      <c r="S887" t="s">
        <v>6099</v>
      </c>
      <c r="T887">
        <v>1</v>
      </c>
      <c r="U887" t="s">
        <v>6020</v>
      </c>
      <c r="V887">
        <v>1</v>
      </c>
    </row>
    <row r="888" spans="1:22" x14ac:dyDescent="0.3">
      <c r="A888" t="s">
        <v>903</v>
      </c>
      <c r="B888" s="2">
        <v>46067.523611111108</v>
      </c>
      <c r="C888" s="2">
        <v>46080.956944444442</v>
      </c>
      <c r="D888" t="s">
        <v>6026</v>
      </c>
      <c r="E888" t="s">
        <v>6031</v>
      </c>
      <c r="F888" t="s">
        <v>6034</v>
      </c>
      <c r="G888" t="s">
        <v>6048</v>
      </c>
      <c r="H888" t="s">
        <v>6096</v>
      </c>
      <c r="I888">
        <v>24</v>
      </c>
      <c r="J888">
        <v>322.39999999999998</v>
      </c>
      <c r="K888" t="s">
        <v>6099</v>
      </c>
      <c r="L888" t="s">
        <v>6100</v>
      </c>
      <c r="M888" t="s">
        <v>6100</v>
      </c>
      <c r="O888" t="s">
        <v>6101</v>
      </c>
      <c r="P888" t="s">
        <v>6108</v>
      </c>
      <c r="Q888">
        <v>2</v>
      </c>
      <c r="R888">
        <v>2026</v>
      </c>
      <c r="S888" t="s">
        <v>6100</v>
      </c>
      <c r="T888">
        <v>0</v>
      </c>
      <c r="U888" t="s">
        <v>6020</v>
      </c>
      <c r="V888">
        <v>1</v>
      </c>
    </row>
    <row r="889" spans="1:22" x14ac:dyDescent="0.3">
      <c r="A889" t="s">
        <v>904</v>
      </c>
      <c r="B889" s="2">
        <v>46067.534722222219</v>
      </c>
      <c r="C889" s="2">
        <v>46067.68472222222</v>
      </c>
      <c r="D889" t="s">
        <v>6023</v>
      </c>
      <c r="E889" t="s">
        <v>6029</v>
      </c>
      <c r="F889" t="s">
        <v>6034</v>
      </c>
      <c r="G889" t="s">
        <v>6093</v>
      </c>
      <c r="H889" t="s">
        <v>6097</v>
      </c>
      <c r="I889">
        <v>24</v>
      </c>
      <c r="J889">
        <v>3.6</v>
      </c>
      <c r="K889" t="s">
        <v>6099</v>
      </c>
      <c r="L889" t="s">
        <v>6100</v>
      </c>
      <c r="M889" t="s">
        <v>6100</v>
      </c>
      <c r="N889">
        <v>4</v>
      </c>
      <c r="O889" t="s">
        <v>6101</v>
      </c>
      <c r="P889" t="s">
        <v>6108</v>
      </c>
      <c r="Q889">
        <v>2</v>
      </c>
      <c r="R889">
        <v>2026</v>
      </c>
      <c r="S889" t="s">
        <v>6099</v>
      </c>
      <c r="T889">
        <v>1</v>
      </c>
      <c r="U889" t="s">
        <v>6019</v>
      </c>
      <c r="V889">
        <v>1</v>
      </c>
    </row>
    <row r="890" spans="1:22" x14ac:dyDescent="0.3">
      <c r="A890" t="s">
        <v>905</v>
      </c>
      <c r="B890" s="2">
        <v>46067.572916666664</v>
      </c>
      <c r="C890" s="2">
        <v>46069.747916666667</v>
      </c>
      <c r="D890" t="s">
        <v>6024</v>
      </c>
      <c r="E890" t="s">
        <v>6029</v>
      </c>
      <c r="F890" t="s">
        <v>6035</v>
      </c>
      <c r="G890" t="s">
        <v>6055</v>
      </c>
      <c r="H890" t="s">
        <v>6096</v>
      </c>
      <c r="I890">
        <v>4</v>
      </c>
      <c r="J890">
        <v>52.2</v>
      </c>
      <c r="K890" t="s">
        <v>6099</v>
      </c>
      <c r="L890" t="s">
        <v>6100</v>
      </c>
      <c r="M890" t="s">
        <v>6100</v>
      </c>
      <c r="N890">
        <v>5</v>
      </c>
      <c r="O890" t="s">
        <v>6101</v>
      </c>
      <c r="P890" t="s">
        <v>6108</v>
      </c>
      <c r="Q890">
        <v>2</v>
      </c>
      <c r="R890">
        <v>2026</v>
      </c>
      <c r="S890" t="s">
        <v>6100</v>
      </c>
      <c r="T890">
        <v>0</v>
      </c>
      <c r="U890" t="s">
        <v>6019</v>
      </c>
      <c r="V890">
        <v>1</v>
      </c>
    </row>
    <row r="891" spans="1:22" x14ac:dyDescent="0.3">
      <c r="A891" t="s">
        <v>906</v>
      </c>
      <c r="B891" s="2">
        <v>46067.602083333331</v>
      </c>
      <c r="C891" s="2">
        <v>46074.135416666664</v>
      </c>
      <c r="D891" t="s">
        <v>6025</v>
      </c>
      <c r="E891" t="s">
        <v>6031</v>
      </c>
      <c r="F891" t="s">
        <v>6034</v>
      </c>
      <c r="G891" t="s">
        <v>6070</v>
      </c>
      <c r="H891" t="s">
        <v>6097</v>
      </c>
      <c r="I891">
        <v>24</v>
      </c>
      <c r="J891">
        <v>156.80000000000001</v>
      </c>
      <c r="K891" t="s">
        <v>6100</v>
      </c>
      <c r="L891" t="s">
        <v>6099</v>
      </c>
      <c r="M891" t="s">
        <v>6100</v>
      </c>
      <c r="N891">
        <v>3</v>
      </c>
      <c r="O891" t="s">
        <v>6101</v>
      </c>
      <c r="P891" t="s">
        <v>6108</v>
      </c>
      <c r="Q891">
        <v>2</v>
      </c>
      <c r="R891">
        <v>2026</v>
      </c>
      <c r="S891" t="s">
        <v>6100</v>
      </c>
      <c r="T891">
        <v>0</v>
      </c>
      <c r="U891" t="s">
        <v>6018</v>
      </c>
      <c r="V891">
        <v>0</v>
      </c>
    </row>
    <row r="892" spans="1:22" x14ac:dyDescent="0.3">
      <c r="A892" t="s">
        <v>907</v>
      </c>
      <c r="B892" s="2">
        <v>46067.647916666669</v>
      </c>
      <c r="C892" s="2">
        <v>46068.802083333336</v>
      </c>
      <c r="D892" t="s">
        <v>6025</v>
      </c>
      <c r="E892" t="s">
        <v>6029</v>
      </c>
      <c r="F892" t="s">
        <v>6034</v>
      </c>
      <c r="G892" t="s">
        <v>6089</v>
      </c>
      <c r="H892" t="s">
        <v>6098</v>
      </c>
      <c r="I892">
        <v>24</v>
      </c>
      <c r="J892">
        <v>27.7</v>
      </c>
      <c r="K892" t="s">
        <v>6099</v>
      </c>
      <c r="L892" t="s">
        <v>6100</v>
      </c>
      <c r="M892" t="s">
        <v>6100</v>
      </c>
      <c r="N892">
        <v>3</v>
      </c>
      <c r="O892" t="s">
        <v>6101</v>
      </c>
      <c r="P892" t="s">
        <v>6108</v>
      </c>
      <c r="Q892">
        <v>2</v>
      </c>
      <c r="R892">
        <v>2026</v>
      </c>
      <c r="S892" t="s">
        <v>6100</v>
      </c>
      <c r="T892">
        <v>0</v>
      </c>
      <c r="U892" t="s">
        <v>6020</v>
      </c>
      <c r="V892">
        <v>1</v>
      </c>
    </row>
    <row r="893" spans="1:22" x14ac:dyDescent="0.3">
      <c r="A893" t="s">
        <v>908</v>
      </c>
      <c r="B893" s="2">
        <v>46067.656944444447</v>
      </c>
      <c r="C893" s="2">
        <v>46068.769444444442</v>
      </c>
      <c r="D893" t="s">
        <v>6022</v>
      </c>
      <c r="E893" t="s">
        <v>6031</v>
      </c>
      <c r="F893" t="s">
        <v>6033</v>
      </c>
      <c r="G893" t="s">
        <v>6048</v>
      </c>
      <c r="H893" t="s">
        <v>6096</v>
      </c>
      <c r="I893">
        <v>72</v>
      </c>
      <c r="J893">
        <v>26.7</v>
      </c>
      <c r="K893" t="s">
        <v>6100</v>
      </c>
      <c r="L893" t="s">
        <v>6099</v>
      </c>
      <c r="M893" t="s">
        <v>6099</v>
      </c>
      <c r="N893">
        <v>2</v>
      </c>
      <c r="O893" t="s">
        <v>6101</v>
      </c>
      <c r="P893" t="s">
        <v>6108</v>
      </c>
      <c r="Q893">
        <v>2</v>
      </c>
      <c r="R893">
        <v>2026</v>
      </c>
      <c r="S893" t="s">
        <v>6099</v>
      </c>
      <c r="T893">
        <v>1</v>
      </c>
      <c r="U893" t="s">
        <v>6020</v>
      </c>
      <c r="V893">
        <v>0</v>
      </c>
    </row>
    <row r="894" spans="1:22" x14ac:dyDescent="0.3">
      <c r="A894" t="s">
        <v>909</v>
      </c>
      <c r="B894" s="2">
        <v>46067.684027777781</v>
      </c>
      <c r="C894" s="2">
        <v>46068.90902777778</v>
      </c>
      <c r="D894" t="s">
        <v>6028</v>
      </c>
      <c r="E894" t="s">
        <v>6031</v>
      </c>
      <c r="F894" t="s">
        <v>6034</v>
      </c>
      <c r="G894" t="s">
        <v>6087</v>
      </c>
      <c r="H894" t="s">
        <v>6098</v>
      </c>
      <c r="I894">
        <v>24</v>
      </c>
      <c r="J894">
        <v>29.4</v>
      </c>
      <c r="K894" t="s">
        <v>6099</v>
      </c>
      <c r="L894" t="s">
        <v>6100</v>
      </c>
      <c r="M894" t="s">
        <v>6100</v>
      </c>
      <c r="N894">
        <v>4</v>
      </c>
      <c r="O894" t="s">
        <v>6101</v>
      </c>
      <c r="P894" t="s">
        <v>6108</v>
      </c>
      <c r="Q894">
        <v>2</v>
      </c>
      <c r="R894">
        <v>2026</v>
      </c>
      <c r="S894" t="s">
        <v>6100</v>
      </c>
      <c r="T894">
        <v>0</v>
      </c>
      <c r="U894" t="s">
        <v>6018</v>
      </c>
      <c r="V894">
        <v>1</v>
      </c>
    </row>
    <row r="895" spans="1:22" x14ac:dyDescent="0.3">
      <c r="A895" t="s">
        <v>910</v>
      </c>
      <c r="B895" s="2">
        <v>46067.727083333331</v>
      </c>
      <c r="C895" s="2">
        <v>46068.36041666667</v>
      </c>
      <c r="D895" t="s">
        <v>6028</v>
      </c>
      <c r="E895" t="s">
        <v>6031</v>
      </c>
      <c r="F895" t="s">
        <v>6035</v>
      </c>
      <c r="G895" t="s">
        <v>6065</v>
      </c>
      <c r="H895" t="s">
        <v>6097</v>
      </c>
      <c r="I895">
        <v>4</v>
      </c>
      <c r="J895">
        <v>15.2</v>
      </c>
      <c r="K895" t="s">
        <v>6099</v>
      </c>
      <c r="L895" t="s">
        <v>6100</v>
      </c>
      <c r="M895" t="s">
        <v>6100</v>
      </c>
      <c r="O895" t="s">
        <v>6101</v>
      </c>
      <c r="P895" t="s">
        <v>6108</v>
      </c>
      <c r="Q895">
        <v>2</v>
      </c>
      <c r="R895">
        <v>2026</v>
      </c>
      <c r="S895" t="s">
        <v>6100</v>
      </c>
      <c r="T895">
        <v>0</v>
      </c>
      <c r="U895" t="s">
        <v>6021</v>
      </c>
      <c r="V895">
        <v>1</v>
      </c>
    </row>
    <row r="896" spans="1:22" x14ac:dyDescent="0.3">
      <c r="A896" t="s">
        <v>911</v>
      </c>
      <c r="B896" s="2">
        <v>46067.775000000001</v>
      </c>
      <c r="C896" s="2">
        <v>46068.037499999999</v>
      </c>
      <c r="D896" t="s">
        <v>6023</v>
      </c>
      <c r="E896" t="s">
        <v>6029</v>
      </c>
      <c r="F896" t="s">
        <v>6033</v>
      </c>
      <c r="G896" t="s">
        <v>6050</v>
      </c>
      <c r="H896" t="s">
        <v>6098</v>
      </c>
      <c r="I896">
        <v>72</v>
      </c>
      <c r="J896">
        <v>6.3</v>
      </c>
      <c r="K896" t="s">
        <v>6099</v>
      </c>
      <c r="L896" t="s">
        <v>6100</v>
      </c>
      <c r="M896" t="s">
        <v>6100</v>
      </c>
      <c r="N896">
        <v>5</v>
      </c>
      <c r="O896" t="s">
        <v>6101</v>
      </c>
      <c r="P896" t="s">
        <v>6108</v>
      </c>
      <c r="Q896">
        <v>2</v>
      </c>
      <c r="R896">
        <v>2026</v>
      </c>
      <c r="S896" t="s">
        <v>6099</v>
      </c>
      <c r="T896">
        <v>1</v>
      </c>
      <c r="U896" t="s">
        <v>6019</v>
      </c>
      <c r="V896">
        <v>1</v>
      </c>
    </row>
    <row r="897" spans="1:22" x14ac:dyDescent="0.3">
      <c r="A897" t="s">
        <v>912</v>
      </c>
      <c r="B897" s="2">
        <v>46067.818055555559</v>
      </c>
      <c r="C897" s="2">
        <v>46068.297222222223</v>
      </c>
      <c r="D897" t="s">
        <v>6025</v>
      </c>
      <c r="E897" t="s">
        <v>6030</v>
      </c>
      <c r="F897" t="s">
        <v>6033</v>
      </c>
      <c r="G897" t="s">
        <v>6086</v>
      </c>
      <c r="H897" t="s">
        <v>6098</v>
      </c>
      <c r="I897">
        <v>72</v>
      </c>
      <c r="J897">
        <v>11.5</v>
      </c>
      <c r="K897" t="s">
        <v>6100</v>
      </c>
      <c r="L897" t="s">
        <v>6100</v>
      </c>
      <c r="M897" t="s">
        <v>6100</v>
      </c>
      <c r="N897">
        <v>3</v>
      </c>
      <c r="O897" t="s">
        <v>6101</v>
      </c>
      <c r="P897" t="s">
        <v>6108</v>
      </c>
      <c r="Q897">
        <v>2</v>
      </c>
      <c r="R897">
        <v>2026</v>
      </c>
      <c r="S897" t="s">
        <v>6099</v>
      </c>
      <c r="T897">
        <v>1</v>
      </c>
      <c r="U897" t="s">
        <v>6021</v>
      </c>
      <c r="V897">
        <v>0</v>
      </c>
    </row>
    <row r="898" spans="1:22" x14ac:dyDescent="0.3">
      <c r="A898" t="s">
        <v>913</v>
      </c>
      <c r="B898" s="2">
        <v>46067.90625</v>
      </c>
      <c r="C898" s="2">
        <v>46068.402083333334</v>
      </c>
      <c r="D898" t="s">
        <v>6028</v>
      </c>
      <c r="E898" t="s">
        <v>6029</v>
      </c>
      <c r="F898" t="s">
        <v>6035</v>
      </c>
      <c r="G898" t="s">
        <v>6072</v>
      </c>
      <c r="H898" t="s">
        <v>6097</v>
      </c>
      <c r="I898">
        <v>4</v>
      </c>
      <c r="J898">
        <v>11.9</v>
      </c>
      <c r="K898" t="s">
        <v>6099</v>
      </c>
      <c r="L898" t="s">
        <v>6100</v>
      </c>
      <c r="M898" t="s">
        <v>6099</v>
      </c>
      <c r="N898">
        <v>3</v>
      </c>
      <c r="O898" t="s">
        <v>6101</v>
      </c>
      <c r="P898" t="s">
        <v>6108</v>
      </c>
      <c r="Q898">
        <v>2</v>
      </c>
      <c r="R898">
        <v>2026</v>
      </c>
      <c r="S898" t="s">
        <v>6100</v>
      </c>
      <c r="T898">
        <v>0</v>
      </c>
      <c r="U898" t="s">
        <v>6018</v>
      </c>
      <c r="V898">
        <v>1</v>
      </c>
    </row>
    <row r="899" spans="1:22" x14ac:dyDescent="0.3">
      <c r="A899" t="s">
        <v>914</v>
      </c>
      <c r="B899" s="2">
        <v>46068.177777777775</v>
      </c>
      <c r="C899" s="2">
        <v>46068.427777777775</v>
      </c>
      <c r="D899" t="s">
        <v>6025</v>
      </c>
      <c r="E899" t="s">
        <v>6030</v>
      </c>
      <c r="F899" t="s">
        <v>6034</v>
      </c>
      <c r="G899" t="s">
        <v>6057</v>
      </c>
      <c r="H899" t="s">
        <v>6097</v>
      </c>
      <c r="I899">
        <v>24</v>
      </c>
      <c r="J899">
        <v>6</v>
      </c>
      <c r="K899" t="s">
        <v>6099</v>
      </c>
      <c r="L899" t="s">
        <v>6100</v>
      </c>
      <c r="M899" t="s">
        <v>6099</v>
      </c>
      <c r="N899">
        <v>3</v>
      </c>
      <c r="O899" t="s">
        <v>6101</v>
      </c>
      <c r="P899" t="s">
        <v>6108</v>
      </c>
      <c r="Q899">
        <v>2</v>
      </c>
      <c r="R899">
        <v>2026</v>
      </c>
      <c r="S899" t="s">
        <v>6099</v>
      </c>
      <c r="T899">
        <v>1</v>
      </c>
      <c r="U899" t="s">
        <v>6017</v>
      </c>
      <c r="V899">
        <v>1</v>
      </c>
    </row>
    <row r="900" spans="1:22" x14ac:dyDescent="0.3">
      <c r="A900" t="s">
        <v>915</v>
      </c>
      <c r="B900" s="2">
        <v>46068.224999999999</v>
      </c>
      <c r="C900" s="2">
        <v>46069.820833333331</v>
      </c>
      <c r="D900" t="s">
        <v>6022</v>
      </c>
      <c r="E900" t="s">
        <v>6032</v>
      </c>
      <c r="F900" t="s">
        <v>6033</v>
      </c>
      <c r="G900" t="s">
        <v>6052</v>
      </c>
      <c r="H900" t="s">
        <v>6098</v>
      </c>
      <c r="I900">
        <v>72</v>
      </c>
      <c r="J900">
        <v>38.299999999999997</v>
      </c>
      <c r="K900" t="s">
        <v>6099</v>
      </c>
      <c r="L900" t="s">
        <v>6100</v>
      </c>
      <c r="M900" t="s">
        <v>6100</v>
      </c>
      <c r="O900" t="s">
        <v>6101</v>
      </c>
      <c r="P900" t="s">
        <v>6108</v>
      </c>
      <c r="Q900">
        <v>2</v>
      </c>
      <c r="R900">
        <v>2026</v>
      </c>
      <c r="S900" t="s">
        <v>6099</v>
      </c>
      <c r="T900">
        <v>1</v>
      </c>
      <c r="U900" t="s">
        <v>6019</v>
      </c>
      <c r="V900">
        <v>1</v>
      </c>
    </row>
    <row r="901" spans="1:22" x14ac:dyDescent="0.3">
      <c r="A901" t="s">
        <v>916</v>
      </c>
      <c r="B901" s="2">
        <v>46068.241666666669</v>
      </c>
      <c r="C901" s="2">
        <v>46068.370833333334</v>
      </c>
      <c r="D901" t="s">
        <v>6023</v>
      </c>
      <c r="E901" t="s">
        <v>6029</v>
      </c>
      <c r="F901" t="s">
        <v>6035</v>
      </c>
      <c r="G901" t="s">
        <v>6090</v>
      </c>
      <c r="H901" t="s">
        <v>6097</v>
      </c>
      <c r="I901">
        <v>4</v>
      </c>
      <c r="J901">
        <v>3.1</v>
      </c>
      <c r="K901" t="s">
        <v>6099</v>
      </c>
      <c r="L901" t="s">
        <v>6100</v>
      </c>
      <c r="M901" t="s">
        <v>6100</v>
      </c>
      <c r="O901" t="s">
        <v>6101</v>
      </c>
      <c r="P901" t="s">
        <v>6108</v>
      </c>
      <c r="Q901">
        <v>2</v>
      </c>
      <c r="R901">
        <v>2026</v>
      </c>
      <c r="S901" t="s">
        <v>6099</v>
      </c>
      <c r="T901">
        <v>1</v>
      </c>
      <c r="U901" t="s">
        <v>6018</v>
      </c>
      <c r="V901">
        <v>1</v>
      </c>
    </row>
    <row r="902" spans="1:22" x14ac:dyDescent="0.3">
      <c r="A902" t="s">
        <v>917</v>
      </c>
      <c r="B902" s="2">
        <v>46068.337500000001</v>
      </c>
      <c r="C902" s="2">
        <v>46072.229166666664</v>
      </c>
      <c r="D902" t="s">
        <v>6025</v>
      </c>
      <c r="E902" t="s">
        <v>6031</v>
      </c>
      <c r="F902" t="s">
        <v>6034</v>
      </c>
      <c r="G902" t="s">
        <v>6082</v>
      </c>
      <c r="H902" t="s">
        <v>6097</v>
      </c>
      <c r="I902">
        <v>24</v>
      </c>
      <c r="J902">
        <v>93.4</v>
      </c>
      <c r="K902" t="s">
        <v>6099</v>
      </c>
      <c r="L902" t="s">
        <v>6100</v>
      </c>
      <c r="M902" t="s">
        <v>6100</v>
      </c>
      <c r="O902" t="s">
        <v>6101</v>
      </c>
      <c r="P902" t="s">
        <v>6108</v>
      </c>
      <c r="Q902">
        <v>2</v>
      </c>
      <c r="R902">
        <v>2026</v>
      </c>
      <c r="S902" t="s">
        <v>6100</v>
      </c>
      <c r="T902">
        <v>0</v>
      </c>
      <c r="U902" t="s">
        <v>6019</v>
      </c>
      <c r="V902">
        <v>1</v>
      </c>
    </row>
    <row r="903" spans="1:22" x14ac:dyDescent="0.3">
      <c r="A903" t="s">
        <v>918</v>
      </c>
      <c r="B903" s="2">
        <v>46068.386805555558</v>
      </c>
      <c r="C903" s="2">
        <v>46069.120138888888</v>
      </c>
      <c r="D903" t="s">
        <v>6027</v>
      </c>
      <c r="E903" t="s">
        <v>6032</v>
      </c>
      <c r="F903" t="s">
        <v>6034</v>
      </c>
      <c r="G903" t="s">
        <v>6082</v>
      </c>
      <c r="H903" t="s">
        <v>6097</v>
      </c>
      <c r="I903">
        <v>24</v>
      </c>
      <c r="J903">
        <v>17.600000000000001</v>
      </c>
      <c r="K903" t="s">
        <v>6099</v>
      </c>
      <c r="L903" t="s">
        <v>6100</v>
      </c>
      <c r="M903" t="s">
        <v>6100</v>
      </c>
      <c r="N903">
        <v>5</v>
      </c>
      <c r="O903" t="s">
        <v>6101</v>
      </c>
      <c r="P903" t="s">
        <v>6108</v>
      </c>
      <c r="Q903">
        <v>2</v>
      </c>
      <c r="R903">
        <v>2026</v>
      </c>
      <c r="S903" t="s">
        <v>6099</v>
      </c>
      <c r="T903">
        <v>1</v>
      </c>
      <c r="U903" t="s">
        <v>6020</v>
      </c>
      <c r="V903">
        <v>1</v>
      </c>
    </row>
    <row r="904" spans="1:22" x14ac:dyDescent="0.3">
      <c r="A904" t="s">
        <v>919</v>
      </c>
      <c r="B904" s="2">
        <v>46068.422222222223</v>
      </c>
      <c r="C904" s="2">
        <v>46068.863888888889</v>
      </c>
      <c r="D904" t="s">
        <v>6022</v>
      </c>
      <c r="E904" t="s">
        <v>6030</v>
      </c>
      <c r="F904" t="s">
        <v>6033</v>
      </c>
      <c r="G904" t="s">
        <v>6070</v>
      </c>
      <c r="H904" t="s">
        <v>6097</v>
      </c>
      <c r="I904">
        <v>72</v>
      </c>
      <c r="J904">
        <v>10.6</v>
      </c>
      <c r="K904" t="s">
        <v>6099</v>
      </c>
      <c r="L904" t="s">
        <v>6100</v>
      </c>
      <c r="M904" t="s">
        <v>6100</v>
      </c>
      <c r="N904">
        <v>4</v>
      </c>
      <c r="O904" t="s">
        <v>6101</v>
      </c>
      <c r="P904" t="s">
        <v>6108</v>
      </c>
      <c r="Q904">
        <v>2</v>
      </c>
      <c r="R904">
        <v>2026</v>
      </c>
      <c r="S904" t="s">
        <v>6099</v>
      </c>
      <c r="T904">
        <v>1</v>
      </c>
      <c r="U904" t="s">
        <v>6019</v>
      </c>
      <c r="V904">
        <v>1</v>
      </c>
    </row>
    <row r="905" spans="1:22" x14ac:dyDescent="0.3">
      <c r="A905" t="s">
        <v>920</v>
      </c>
      <c r="B905" s="2">
        <v>46068.495138888888</v>
      </c>
      <c r="C905" s="2">
        <v>46068.745138888888</v>
      </c>
      <c r="D905" t="s">
        <v>6027</v>
      </c>
      <c r="E905" t="s">
        <v>6030</v>
      </c>
      <c r="F905" t="s">
        <v>6034</v>
      </c>
      <c r="G905" t="s">
        <v>6083</v>
      </c>
      <c r="H905" t="s">
        <v>6096</v>
      </c>
      <c r="I905">
        <v>24</v>
      </c>
      <c r="J905">
        <v>6</v>
      </c>
      <c r="K905" t="s">
        <v>6100</v>
      </c>
      <c r="L905" t="s">
        <v>6099</v>
      </c>
      <c r="M905" t="s">
        <v>6100</v>
      </c>
      <c r="N905">
        <v>5</v>
      </c>
      <c r="O905" t="s">
        <v>6101</v>
      </c>
      <c r="P905" t="s">
        <v>6108</v>
      </c>
      <c r="Q905">
        <v>2</v>
      </c>
      <c r="R905">
        <v>2026</v>
      </c>
      <c r="S905" t="s">
        <v>6099</v>
      </c>
      <c r="T905">
        <v>1</v>
      </c>
      <c r="U905" t="s">
        <v>6018</v>
      </c>
      <c r="V905">
        <v>0</v>
      </c>
    </row>
    <row r="906" spans="1:22" x14ac:dyDescent="0.3">
      <c r="A906" t="s">
        <v>921</v>
      </c>
      <c r="B906" s="2">
        <v>46068.542361111111</v>
      </c>
      <c r="C906" s="2">
        <v>46068.946527777778</v>
      </c>
      <c r="D906" t="s">
        <v>6028</v>
      </c>
      <c r="E906" t="s">
        <v>6029</v>
      </c>
      <c r="F906" t="s">
        <v>6034</v>
      </c>
      <c r="G906" t="s">
        <v>6089</v>
      </c>
      <c r="H906" t="s">
        <v>6098</v>
      </c>
      <c r="I906">
        <v>24</v>
      </c>
      <c r="J906">
        <v>9.6999999999999993</v>
      </c>
      <c r="K906" t="s">
        <v>6100</v>
      </c>
      <c r="L906" t="s">
        <v>6099</v>
      </c>
      <c r="M906" t="s">
        <v>6100</v>
      </c>
      <c r="N906">
        <v>2</v>
      </c>
      <c r="O906" t="s">
        <v>6101</v>
      </c>
      <c r="P906" t="s">
        <v>6108</v>
      </c>
      <c r="Q906">
        <v>2</v>
      </c>
      <c r="R906">
        <v>2026</v>
      </c>
      <c r="S906" t="s">
        <v>6099</v>
      </c>
      <c r="T906">
        <v>1</v>
      </c>
      <c r="U906" t="s">
        <v>6020</v>
      </c>
      <c r="V906">
        <v>0</v>
      </c>
    </row>
    <row r="907" spans="1:22" x14ac:dyDescent="0.3">
      <c r="A907" t="s">
        <v>922</v>
      </c>
      <c r="B907" s="2">
        <v>46068.546527777777</v>
      </c>
      <c r="C907" s="2">
        <v>46068.863194444442</v>
      </c>
      <c r="D907" t="s">
        <v>6022</v>
      </c>
      <c r="E907" t="s">
        <v>6029</v>
      </c>
      <c r="F907" t="s">
        <v>6033</v>
      </c>
      <c r="G907" t="s">
        <v>6072</v>
      </c>
      <c r="H907" t="s">
        <v>6097</v>
      </c>
      <c r="I907">
        <v>72</v>
      </c>
      <c r="J907">
        <v>7.6</v>
      </c>
      <c r="K907" t="s">
        <v>6099</v>
      </c>
      <c r="L907" t="s">
        <v>6100</v>
      </c>
      <c r="M907" t="s">
        <v>6100</v>
      </c>
      <c r="N907">
        <v>5</v>
      </c>
      <c r="O907" t="s">
        <v>6101</v>
      </c>
      <c r="P907" t="s">
        <v>6108</v>
      </c>
      <c r="Q907">
        <v>2</v>
      </c>
      <c r="R907">
        <v>2026</v>
      </c>
      <c r="S907" t="s">
        <v>6099</v>
      </c>
      <c r="T907">
        <v>1</v>
      </c>
      <c r="U907" t="s">
        <v>6020</v>
      </c>
      <c r="V907">
        <v>1</v>
      </c>
    </row>
    <row r="908" spans="1:22" x14ac:dyDescent="0.3">
      <c r="A908" t="s">
        <v>923</v>
      </c>
      <c r="B908" s="2">
        <v>46068.55972222222</v>
      </c>
      <c r="C908" s="2">
        <v>46068.980555555558</v>
      </c>
      <c r="D908" t="s">
        <v>6022</v>
      </c>
      <c r="E908" t="s">
        <v>6032</v>
      </c>
      <c r="F908" t="s">
        <v>6034</v>
      </c>
      <c r="G908" t="s">
        <v>6045</v>
      </c>
      <c r="H908" t="s">
        <v>6096</v>
      </c>
      <c r="I908">
        <v>24</v>
      </c>
      <c r="J908">
        <v>10.1</v>
      </c>
      <c r="K908" t="s">
        <v>6099</v>
      </c>
      <c r="L908" t="s">
        <v>6100</v>
      </c>
      <c r="M908" t="s">
        <v>6100</v>
      </c>
      <c r="N908">
        <v>5</v>
      </c>
      <c r="O908" t="s">
        <v>6101</v>
      </c>
      <c r="P908" t="s">
        <v>6108</v>
      </c>
      <c r="Q908">
        <v>2</v>
      </c>
      <c r="R908">
        <v>2026</v>
      </c>
      <c r="S908" t="s">
        <v>6099</v>
      </c>
      <c r="T908">
        <v>1</v>
      </c>
      <c r="U908" t="s">
        <v>6018</v>
      </c>
      <c r="V908">
        <v>1</v>
      </c>
    </row>
    <row r="909" spans="1:22" x14ac:dyDescent="0.3">
      <c r="A909" t="s">
        <v>924</v>
      </c>
      <c r="B909" s="2">
        <v>46068.572916666664</v>
      </c>
      <c r="C909" s="2">
        <v>46069.618750000001</v>
      </c>
      <c r="D909" t="s">
        <v>6023</v>
      </c>
      <c r="E909" t="s">
        <v>6032</v>
      </c>
      <c r="F909" t="s">
        <v>6034</v>
      </c>
      <c r="G909" t="s">
        <v>6091</v>
      </c>
      <c r="H909" t="s">
        <v>6097</v>
      </c>
      <c r="I909">
        <v>24</v>
      </c>
      <c r="J909">
        <v>25.1</v>
      </c>
      <c r="K909" t="s">
        <v>6099</v>
      </c>
      <c r="L909" t="s">
        <v>6100</v>
      </c>
      <c r="M909" t="s">
        <v>6100</v>
      </c>
      <c r="O909" t="s">
        <v>6101</v>
      </c>
      <c r="P909" t="s">
        <v>6108</v>
      </c>
      <c r="Q909">
        <v>2</v>
      </c>
      <c r="R909">
        <v>2026</v>
      </c>
      <c r="S909" t="s">
        <v>6100</v>
      </c>
      <c r="T909">
        <v>0</v>
      </c>
      <c r="U909" t="s">
        <v>6018</v>
      </c>
      <c r="V909">
        <v>1</v>
      </c>
    </row>
    <row r="910" spans="1:22" x14ac:dyDescent="0.3">
      <c r="A910" t="s">
        <v>925</v>
      </c>
      <c r="B910" s="2">
        <v>46068.627083333333</v>
      </c>
      <c r="C910" s="2">
        <v>46069.931250000001</v>
      </c>
      <c r="D910" t="s">
        <v>6022</v>
      </c>
      <c r="E910" t="s">
        <v>6030</v>
      </c>
      <c r="F910" t="s">
        <v>6033</v>
      </c>
      <c r="G910" t="s">
        <v>6061</v>
      </c>
      <c r="H910" t="s">
        <v>6096</v>
      </c>
      <c r="I910">
        <v>72</v>
      </c>
      <c r="J910">
        <v>31.3</v>
      </c>
      <c r="K910" t="s">
        <v>6100</v>
      </c>
      <c r="L910" t="s">
        <v>6100</v>
      </c>
      <c r="M910" t="s">
        <v>6100</v>
      </c>
      <c r="O910" t="s">
        <v>6101</v>
      </c>
      <c r="P910" t="s">
        <v>6108</v>
      </c>
      <c r="Q910">
        <v>2</v>
      </c>
      <c r="R910">
        <v>2026</v>
      </c>
      <c r="S910" t="s">
        <v>6099</v>
      </c>
      <c r="T910">
        <v>1</v>
      </c>
      <c r="U910" t="s">
        <v>6018</v>
      </c>
      <c r="V910">
        <v>0</v>
      </c>
    </row>
    <row r="911" spans="1:22" x14ac:dyDescent="0.3">
      <c r="A911" t="s">
        <v>926</v>
      </c>
      <c r="B911" s="2">
        <v>46068.640277777777</v>
      </c>
      <c r="C911" s="2">
        <v>46073.144444444442</v>
      </c>
      <c r="D911" t="s">
        <v>6022</v>
      </c>
      <c r="E911" t="s">
        <v>6032</v>
      </c>
      <c r="F911" t="s">
        <v>6034</v>
      </c>
      <c r="G911" t="s">
        <v>6036</v>
      </c>
      <c r="H911" t="s">
        <v>6096</v>
      </c>
      <c r="I911">
        <v>24</v>
      </c>
      <c r="J911">
        <v>108.1</v>
      </c>
      <c r="K911" t="s">
        <v>6099</v>
      </c>
      <c r="L911" t="s">
        <v>6100</v>
      </c>
      <c r="M911" t="s">
        <v>6100</v>
      </c>
      <c r="O911" t="s">
        <v>6101</v>
      </c>
      <c r="P911" t="s">
        <v>6108</v>
      </c>
      <c r="Q911">
        <v>2</v>
      </c>
      <c r="R911">
        <v>2026</v>
      </c>
      <c r="S911" t="s">
        <v>6100</v>
      </c>
      <c r="T911">
        <v>0</v>
      </c>
      <c r="U911" t="s">
        <v>6019</v>
      </c>
      <c r="V911">
        <v>1</v>
      </c>
    </row>
    <row r="912" spans="1:22" x14ac:dyDescent="0.3">
      <c r="A912" t="s">
        <v>927</v>
      </c>
      <c r="B912" s="2">
        <v>46068.669444444444</v>
      </c>
      <c r="C912" s="2">
        <v>46070.123611111114</v>
      </c>
      <c r="D912" t="s">
        <v>6028</v>
      </c>
      <c r="E912" t="s">
        <v>6031</v>
      </c>
      <c r="F912" t="s">
        <v>6035</v>
      </c>
      <c r="G912" t="s">
        <v>6055</v>
      </c>
      <c r="H912" t="s">
        <v>6096</v>
      </c>
      <c r="I912">
        <v>4</v>
      </c>
      <c r="J912">
        <v>34.9</v>
      </c>
      <c r="K912" t="s">
        <v>6100</v>
      </c>
      <c r="L912" t="s">
        <v>6100</v>
      </c>
      <c r="M912" t="s">
        <v>6099</v>
      </c>
      <c r="N912">
        <v>3</v>
      </c>
      <c r="O912" t="s">
        <v>6101</v>
      </c>
      <c r="P912" t="s">
        <v>6108</v>
      </c>
      <c r="Q912">
        <v>2</v>
      </c>
      <c r="R912">
        <v>2026</v>
      </c>
      <c r="S912" t="s">
        <v>6100</v>
      </c>
      <c r="T912">
        <v>0</v>
      </c>
      <c r="U912" t="s">
        <v>6017</v>
      </c>
      <c r="V912">
        <v>0</v>
      </c>
    </row>
    <row r="913" spans="1:22" x14ac:dyDescent="0.3">
      <c r="A913" t="s">
        <v>928</v>
      </c>
      <c r="B913" s="2">
        <v>46068.679166666669</v>
      </c>
      <c r="C913" s="2">
        <v>46069.01666666667</v>
      </c>
      <c r="D913" t="s">
        <v>6027</v>
      </c>
      <c r="E913" t="s">
        <v>6031</v>
      </c>
      <c r="F913" t="s">
        <v>6034</v>
      </c>
      <c r="G913" t="s">
        <v>6042</v>
      </c>
      <c r="H913" t="s">
        <v>6098</v>
      </c>
      <c r="I913">
        <v>24</v>
      </c>
      <c r="J913">
        <v>8.1</v>
      </c>
      <c r="K913" t="s">
        <v>6099</v>
      </c>
      <c r="L913" t="s">
        <v>6100</v>
      </c>
      <c r="M913" t="s">
        <v>6100</v>
      </c>
      <c r="N913">
        <v>5</v>
      </c>
      <c r="O913" t="s">
        <v>6101</v>
      </c>
      <c r="P913" t="s">
        <v>6108</v>
      </c>
      <c r="Q913">
        <v>2</v>
      </c>
      <c r="R913">
        <v>2026</v>
      </c>
      <c r="S913" t="s">
        <v>6099</v>
      </c>
      <c r="T913">
        <v>1</v>
      </c>
      <c r="U913" t="s">
        <v>6017</v>
      </c>
      <c r="V913">
        <v>1</v>
      </c>
    </row>
    <row r="914" spans="1:22" x14ac:dyDescent="0.3">
      <c r="A914" t="s">
        <v>929</v>
      </c>
      <c r="B914" s="2">
        <v>46068.738194444442</v>
      </c>
      <c r="C914" s="2">
        <v>46075.167361111111</v>
      </c>
      <c r="D914" t="s">
        <v>6025</v>
      </c>
      <c r="E914" t="s">
        <v>6031</v>
      </c>
      <c r="F914" t="s">
        <v>6033</v>
      </c>
      <c r="G914" t="s">
        <v>6078</v>
      </c>
      <c r="H914" t="s">
        <v>6097</v>
      </c>
      <c r="I914">
        <v>72</v>
      </c>
      <c r="J914">
        <v>154.30000000000001</v>
      </c>
      <c r="K914" t="s">
        <v>6099</v>
      </c>
      <c r="L914" t="s">
        <v>6100</v>
      </c>
      <c r="M914" t="s">
        <v>6100</v>
      </c>
      <c r="N914">
        <v>5</v>
      </c>
      <c r="O914" t="s">
        <v>6101</v>
      </c>
      <c r="P914" t="s">
        <v>6108</v>
      </c>
      <c r="Q914">
        <v>2</v>
      </c>
      <c r="R914">
        <v>2026</v>
      </c>
      <c r="S914" t="s">
        <v>6100</v>
      </c>
      <c r="T914">
        <v>0</v>
      </c>
      <c r="U914" t="s">
        <v>6021</v>
      </c>
      <c r="V914">
        <v>1</v>
      </c>
    </row>
    <row r="915" spans="1:22" x14ac:dyDescent="0.3">
      <c r="A915" t="s">
        <v>930</v>
      </c>
      <c r="B915" s="2">
        <v>46068.747916666667</v>
      </c>
      <c r="C915" s="2">
        <v>46069.335416666669</v>
      </c>
      <c r="D915" t="s">
        <v>6027</v>
      </c>
      <c r="E915" t="s">
        <v>6029</v>
      </c>
      <c r="F915" t="s">
        <v>6033</v>
      </c>
      <c r="G915" t="s">
        <v>6051</v>
      </c>
      <c r="H915" t="s">
        <v>6097</v>
      </c>
      <c r="I915">
        <v>72</v>
      </c>
      <c r="J915">
        <v>14.1</v>
      </c>
      <c r="K915" t="s">
        <v>6100</v>
      </c>
      <c r="L915" t="s">
        <v>6099</v>
      </c>
      <c r="M915" t="s">
        <v>6100</v>
      </c>
      <c r="O915" t="s">
        <v>6101</v>
      </c>
      <c r="P915" t="s">
        <v>6108</v>
      </c>
      <c r="Q915">
        <v>2</v>
      </c>
      <c r="R915">
        <v>2026</v>
      </c>
      <c r="S915" t="s">
        <v>6099</v>
      </c>
      <c r="T915">
        <v>1</v>
      </c>
      <c r="U915" t="s">
        <v>6020</v>
      </c>
      <c r="V915">
        <v>0</v>
      </c>
    </row>
    <row r="916" spans="1:22" x14ac:dyDescent="0.3">
      <c r="A916" t="s">
        <v>931</v>
      </c>
      <c r="B916" s="2">
        <v>46068.754861111112</v>
      </c>
      <c r="C916" s="2">
        <v>46069.042361111111</v>
      </c>
      <c r="D916" t="s">
        <v>6024</v>
      </c>
      <c r="E916" t="s">
        <v>6029</v>
      </c>
      <c r="F916" t="s">
        <v>6034</v>
      </c>
      <c r="G916" t="s">
        <v>6090</v>
      </c>
      <c r="H916" t="s">
        <v>6097</v>
      </c>
      <c r="I916">
        <v>24</v>
      </c>
      <c r="J916">
        <v>6.9</v>
      </c>
      <c r="K916" t="s">
        <v>6099</v>
      </c>
      <c r="L916" t="s">
        <v>6100</v>
      </c>
      <c r="M916" t="s">
        <v>6100</v>
      </c>
      <c r="N916">
        <v>5</v>
      </c>
      <c r="O916" t="s">
        <v>6101</v>
      </c>
      <c r="P916" t="s">
        <v>6108</v>
      </c>
      <c r="Q916">
        <v>2</v>
      </c>
      <c r="R916">
        <v>2026</v>
      </c>
      <c r="S916" t="s">
        <v>6099</v>
      </c>
      <c r="T916">
        <v>1</v>
      </c>
      <c r="U916" t="s">
        <v>6019</v>
      </c>
      <c r="V916">
        <v>1</v>
      </c>
    </row>
    <row r="917" spans="1:22" x14ac:dyDescent="0.3">
      <c r="A917" t="s">
        <v>932</v>
      </c>
      <c r="B917" s="2">
        <v>46068.759722222225</v>
      </c>
      <c r="C917" s="2">
        <v>46070.151388888888</v>
      </c>
      <c r="D917" t="s">
        <v>6022</v>
      </c>
      <c r="E917" t="s">
        <v>6031</v>
      </c>
      <c r="F917" t="s">
        <v>6033</v>
      </c>
      <c r="G917" t="s">
        <v>6088</v>
      </c>
      <c r="H917" t="s">
        <v>6097</v>
      </c>
      <c r="I917">
        <v>72</v>
      </c>
      <c r="J917">
        <v>33.4</v>
      </c>
      <c r="K917" t="s">
        <v>6099</v>
      </c>
      <c r="L917" t="s">
        <v>6100</v>
      </c>
      <c r="M917" t="s">
        <v>6100</v>
      </c>
      <c r="O917" t="s">
        <v>6101</v>
      </c>
      <c r="P917" t="s">
        <v>6108</v>
      </c>
      <c r="Q917">
        <v>2</v>
      </c>
      <c r="R917">
        <v>2026</v>
      </c>
      <c r="S917" t="s">
        <v>6099</v>
      </c>
      <c r="T917">
        <v>1</v>
      </c>
      <c r="U917" t="s">
        <v>6018</v>
      </c>
      <c r="V917">
        <v>1</v>
      </c>
    </row>
    <row r="918" spans="1:22" x14ac:dyDescent="0.3">
      <c r="A918" t="s">
        <v>933</v>
      </c>
      <c r="B918" s="2">
        <v>46068.775000000001</v>
      </c>
      <c r="C918" s="2">
        <v>46068.92083333333</v>
      </c>
      <c r="D918" t="s">
        <v>6028</v>
      </c>
      <c r="E918" t="s">
        <v>6030</v>
      </c>
      <c r="F918" t="s">
        <v>6035</v>
      </c>
      <c r="G918" t="s">
        <v>6060</v>
      </c>
      <c r="H918" t="s">
        <v>6097</v>
      </c>
      <c r="I918">
        <v>4</v>
      </c>
      <c r="J918">
        <v>3.5</v>
      </c>
      <c r="K918" t="s">
        <v>6099</v>
      </c>
      <c r="L918" t="s">
        <v>6100</v>
      </c>
      <c r="M918" t="s">
        <v>6100</v>
      </c>
      <c r="N918">
        <v>4</v>
      </c>
      <c r="O918" t="s">
        <v>6101</v>
      </c>
      <c r="P918" t="s">
        <v>6108</v>
      </c>
      <c r="Q918">
        <v>2</v>
      </c>
      <c r="R918">
        <v>2026</v>
      </c>
      <c r="S918" t="s">
        <v>6099</v>
      </c>
      <c r="T918">
        <v>1</v>
      </c>
      <c r="U918" t="s">
        <v>6017</v>
      </c>
      <c r="V918">
        <v>1</v>
      </c>
    </row>
    <row r="919" spans="1:22" x14ac:dyDescent="0.3">
      <c r="A919" t="s">
        <v>934</v>
      </c>
      <c r="B919" s="2">
        <v>46068.901388888888</v>
      </c>
      <c r="C919" s="2">
        <v>46069.980555555558</v>
      </c>
      <c r="D919" t="s">
        <v>6025</v>
      </c>
      <c r="E919" t="s">
        <v>6029</v>
      </c>
      <c r="F919" t="s">
        <v>6034</v>
      </c>
      <c r="G919" t="s">
        <v>6084</v>
      </c>
      <c r="H919" t="s">
        <v>6098</v>
      </c>
      <c r="I919">
        <v>24</v>
      </c>
      <c r="J919">
        <v>25.9</v>
      </c>
      <c r="K919" t="s">
        <v>6100</v>
      </c>
      <c r="L919" t="s">
        <v>6100</v>
      </c>
      <c r="M919" t="s">
        <v>6100</v>
      </c>
      <c r="N919">
        <v>2</v>
      </c>
      <c r="O919" t="s">
        <v>6101</v>
      </c>
      <c r="P919" t="s">
        <v>6108</v>
      </c>
      <c r="Q919">
        <v>2</v>
      </c>
      <c r="R919">
        <v>2026</v>
      </c>
      <c r="S919" t="s">
        <v>6100</v>
      </c>
      <c r="T919">
        <v>0</v>
      </c>
      <c r="U919" t="s">
        <v>6020</v>
      </c>
      <c r="V919">
        <v>0</v>
      </c>
    </row>
    <row r="920" spans="1:22" x14ac:dyDescent="0.3">
      <c r="A920" t="s">
        <v>935</v>
      </c>
      <c r="B920" s="2">
        <v>46069.175000000003</v>
      </c>
      <c r="C920" s="2">
        <v>46069.470833333333</v>
      </c>
      <c r="D920" t="s">
        <v>6022</v>
      </c>
      <c r="E920" t="s">
        <v>6030</v>
      </c>
      <c r="F920" t="s">
        <v>6033</v>
      </c>
      <c r="G920" t="s">
        <v>6073</v>
      </c>
      <c r="H920" t="s">
        <v>6096</v>
      </c>
      <c r="I920">
        <v>72</v>
      </c>
      <c r="J920">
        <v>7.1</v>
      </c>
      <c r="K920" t="s">
        <v>6099</v>
      </c>
      <c r="L920" t="s">
        <v>6100</v>
      </c>
      <c r="M920" t="s">
        <v>6100</v>
      </c>
      <c r="O920" t="s">
        <v>6101</v>
      </c>
      <c r="P920" t="s">
        <v>6108</v>
      </c>
      <c r="Q920">
        <v>2</v>
      </c>
      <c r="R920">
        <v>2026</v>
      </c>
      <c r="S920" t="s">
        <v>6099</v>
      </c>
      <c r="T920">
        <v>1</v>
      </c>
      <c r="U920" t="s">
        <v>6020</v>
      </c>
      <c r="V920">
        <v>1</v>
      </c>
    </row>
    <row r="921" spans="1:22" x14ac:dyDescent="0.3">
      <c r="A921" t="s">
        <v>936</v>
      </c>
      <c r="B921" s="2">
        <v>46069.234027777777</v>
      </c>
      <c r="C921" s="2">
        <v>46070.259027777778</v>
      </c>
      <c r="D921" t="s">
        <v>6025</v>
      </c>
      <c r="E921" t="s">
        <v>6031</v>
      </c>
      <c r="F921" t="s">
        <v>6033</v>
      </c>
      <c r="G921" t="s">
        <v>6081</v>
      </c>
      <c r="H921" t="s">
        <v>6098</v>
      </c>
      <c r="I921">
        <v>72</v>
      </c>
      <c r="J921">
        <v>24.6</v>
      </c>
      <c r="K921" t="s">
        <v>6099</v>
      </c>
      <c r="L921" t="s">
        <v>6100</v>
      </c>
      <c r="M921" t="s">
        <v>6100</v>
      </c>
      <c r="O921" t="s">
        <v>6101</v>
      </c>
      <c r="P921" t="s">
        <v>6108</v>
      </c>
      <c r="Q921">
        <v>2</v>
      </c>
      <c r="R921">
        <v>2026</v>
      </c>
      <c r="S921" t="s">
        <v>6099</v>
      </c>
      <c r="T921">
        <v>1</v>
      </c>
      <c r="U921" t="s">
        <v>6017</v>
      </c>
      <c r="V921">
        <v>1</v>
      </c>
    </row>
    <row r="922" spans="1:22" x14ac:dyDescent="0.3">
      <c r="A922" t="s">
        <v>937</v>
      </c>
      <c r="B922" s="2">
        <v>46069.242361111108</v>
      </c>
      <c r="C922" s="2">
        <v>46074.454861111109</v>
      </c>
      <c r="D922" t="s">
        <v>6026</v>
      </c>
      <c r="E922" t="s">
        <v>6031</v>
      </c>
      <c r="F922" t="s">
        <v>6033</v>
      </c>
      <c r="G922" t="s">
        <v>6053</v>
      </c>
      <c r="H922" t="s">
        <v>6097</v>
      </c>
      <c r="I922">
        <v>72</v>
      </c>
      <c r="J922">
        <v>125.1</v>
      </c>
      <c r="K922" t="s">
        <v>6099</v>
      </c>
      <c r="L922" t="s">
        <v>6100</v>
      </c>
      <c r="M922" t="s">
        <v>6100</v>
      </c>
      <c r="N922">
        <v>5</v>
      </c>
      <c r="O922" t="s">
        <v>6101</v>
      </c>
      <c r="P922" t="s">
        <v>6108</v>
      </c>
      <c r="Q922">
        <v>2</v>
      </c>
      <c r="R922">
        <v>2026</v>
      </c>
      <c r="S922" t="s">
        <v>6100</v>
      </c>
      <c r="T922">
        <v>0</v>
      </c>
      <c r="U922" t="s">
        <v>6021</v>
      </c>
      <c r="V922">
        <v>1</v>
      </c>
    </row>
    <row r="923" spans="1:22" x14ac:dyDescent="0.3">
      <c r="A923" t="s">
        <v>938</v>
      </c>
      <c r="B923" s="2">
        <v>46069.368055555555</v>
      </c>
      <c r="C923" s="2">
        <v>46068.576388888891</v>
      </c>
      <c r="D923" t="s">
        <v>6025</v>
      </c>
      <c r="E923" t="s">
        <v>6029</v>
      </c>
      <c r="F923" t="s">
        <v>6034</v>
      </c>
      <c r="G923" t="s">
        <v>6052</v>
      </c>
      <c r="H923" t="s">
        <v>6098</v>
      </c>
      <c r="I923">
        <v>24</v>
      </c>
      <c r="J923">
        <v>16.399999999999999</v>
      </c>
      <c r="K923" t="s">
        <v>6099</v>
      </c>
      <c r="L923" t="s">
        <v>6100</v>
      </c>
      <c r="M923" t="s">
        <v>6100</v>
      </c>
      <c r="N923">
        <v>5</v>
      </c>
      <c r="O923" t="s">
        <v>6101</v>
      </c>
      <c r="P923" t="s">
        <v>6108</v>
      </c>
      <c r="Q923">
        <v>2</v>
      </c>
      <c r="R923">
        <v>2026</v>
      </c>
      <c r="S923" t="s">
        <v>6099</v>
      </c>
      <c r="T923">
        <v>1</v>
      </c>
      <c r="U923" t="s">
        <v>6017</v>
      </c>
      <c r="V923">
        <v>1</v>
      </c>
    </row>
    <row r="924" spans="1:22" x14ac:dyDescent="0.3">
      <c r="A924" t="s">
        <v>939</v>
      </c>
      <c r="B924" s="2">
        <v>46069.464583333334</v>
      </c>
      <c r="C924" s="2">
        <v>46069.668749999997</v>
      </c>
      <c r="D924" t="s">
        <v>6028</v>
      </c>
      <c r="E924" t="s">
        <v>6031</v>
      </c>
      <c r="F924" t="s">
        <v>6034</v>
      </c>
      <c r="G924" t="s">
        <v>6086</v>
      </c>
      <c r="H924" t="s">
        <v>6098</v>
      </c>
      <c r="I924">
        <v>24</v>
      </c>
      <c r="J924">
        <v>4.9000000000000004</v>
      </c>
      <c r="K924" t="s">
        <v>6099</v>
      </c>
      <c r="L924" t="s">
        <v>6100</v>
      </c>
      <c r="M924" t="s">
        <v>6100</v>
      </c>
      <c r="O924" t="s">
        <v>6101</v>
      </c>
      <c r="P924" t="s">
        <v>6108</v>
      </c>
      <c r="Q924">
        <v>2</v>
      </c>
      <c r="R924">
        <v>2026</v>
      </c>
      <c r="S924" t="s">
        <v>6099</v>
      </c>
      <c r="T924">
        <v>1</v>
      </c>
      <c r="U924" t="s">
        <v>6017</v>
      </c>
      <c r="V924">
        <v>1</v>
      </c>
    </row>
    <row r="925" spans="1:22" x14ac:dyDescent="0.3">
      <c r="A925" t="s">
        <v>940</v>
      </c>
      <c r="B925" s="2">
        <v>46069.465277777781</v>
      </c>
      <c r="C925" s="2">
        <v>46069.602777777778</v>
      </c>
      <c r="D925" t="s">
        <v>6023</v>
      </c>
      <c r="E925" t="s">
        <v>6029</v>
      </c>
      <c r="F925" t="s">
        <v>6034</v>
      </c>
      <c r="G925" t="s">
        <v>6053</v>
      </c>
      <c r="H925" t="s">
        <v>6097</v>
      </c>
      <c r="I925">
        <v>24</v>
      </c>
      <c r="J925">
        <v>3.3</v>
      </c>
      <c r="K925" t="s">
        <v>6100</v>
      </c>
      <c r="L925" t="s">
        <v>6099</v>
      </c>
      <c r="M925" t="s">
        <v>6100</v>
      </c>
      <c r="N925">
        <v>3</v>
      </c>
      <c r="O925" t="s">
        <v>6101</v>
      </c>
      <c r="P925" t="s">
        <v>6108</v>
      </c>
      <c r="Q925">
        <v>2</v>
      </c>
      <c r="R925">
        <v>2026</v>
      </c>
      <c r="S925" t="s">
        <v>6099</v>
      </c>
      <c r="T925">
        <v>1</v>
      </c>
      <c r="U925" t="s">
        <v>6020</v>
      </c>
      <c r="V925">
        <v>0</v>
      </c>
    </row>
    <row r="926" spans="1:22" x14ac:dyDescent="0.3">
      <c r="A926" t="s">
        <v>941</v>
      </c>
      <c r="B926" s="2">
        <v>46069.49722222222</v>
      </c>
      <c r="C926" s="2">
        <v>46069.651388888888</v>
      </c>
      <c r="D926" t="s">
        <v>6024</v>
      </c>
      <c r="E926" t="s">
        <v>6030</v>
      </c>
      <c r="F926" t="s">
        <v>6034</v>
      </c>
      <c r="G926" t="s">
        <v>6092</v>
      </c>
      <c r="H926" t="s">
        <v>6097</v>
      </c>
      <c r="I926">
        <v>24</v>
      </c>
      <c r="J926">
        <v>3.7</v>
      </c>
      <c r="K926" t="s">
        <v>6099</v>
      </c>
      <c r="L926" t="s">
        <v>6100</v>
      </c>
      <c r="M926" t="s">
        <v>6100</v>
      </c>
      <c r="O926" t="s">
        <v>6101</v>
      </c>
      <c r="P926" t="s">
        <v>6108</v>
      </c>
      <c r="Q926">
        <v>2</v>
      </c>
      <c r="R926">
        <v>2026</v>
      </c>
      <c r="S926" t="s">
        <v>6099</v>
      </c>
      <c r="T926">
        <v>1</v>
      </c>
      <c r="U926" t="s">
        <v>6018</v>
      </c>
      <c r="V926">
        <v>1</v>
      </c>
    </row>
    <row r="927" spans="1:22" x14ac:dyDescent="0.3">
      <c r="A927" t="s">
        <v>942</v>
      </c>
      <c r="B927" s="2">
        <v>46069.498611111114</v>
      </c>
      <c r="C927" s="2">
        <v>46069.915277777778</v>
      </c>
      <c r="D927" t="s">
        <v>6023</v>
      </c>
      <c r="E927" t="s">
        <v>6032</v>
      </c>
      <c r="F927" t="s">
        <v>6033</v>
      </c>
      <c r="G927" t="s">
        <v>6075</v>
      </c>
      <c r="H927" t="s">
        <v>6097</v>
      </c>
      <c r="I927">
        <v>72</v>
      </c>
      <c r="J927">
        <v>10</v>
      </c>
      <c r="K927" t="s">
        <v>6099</v>
      </c>
      <c r="L927" t="s">
        <v>6100</v>
      </c>
      <c r="M927" t="s">
        <v>6100</v>
      </c>
      <c r="N927">
        <v>5</v>
      </c>
      <c r="O927" t="s">
        <v>6101</v>
      </c>
      <c r="P927" t="s">
        <v>6108</v>
      </c>
      <c r="Q927">
        <v>2</v>
      </c>
      <c r="R927">
        <v>2026</v>
      </c>
      <c r="S927" t="s">
        <v>6099</v>
      </c>
      <c r="T927">
        <v>1</v>
      </c>
      <c r="U927" t="s">
        <v>6018</v>
      </c>
      <c r="V927">
        <v>1</v>
      </c>
    </row>
    <row r="928" spans="1:22" x14ac:dyDescent="0.3">
      <c r="A928" t="s">
        <v>943</v>
      </c>
      <c r="B928" s="2">
        <v>46069.518055555556</v>
      </c>
      <c r="C928" s="2">
        <v>46069.772222222222</v>
      </c>
      <c r="D928" t="s">
        <v>6022</v>
      </c>
      <c r="E928" t="s">
        <v>6030</v>
      </c>
      <c r="F928" t="s">
        <v>6033</v>
      </c>
      <c r="G928" t="s">
        <v>6062</v>
      </c>
      <c r="H928" t="s">
        <v>6096</v>
      </c>
      <c r="I928">
        <v>72</v>
      </c>
      <c r="J928">
        <v>6.1</v>
      </c>
      <c r="K928" t="s">
        <v>6100</v>
      </c>
      <c r="L928" t="s">
        <v>6100</v>
      </c>
      <c r="M928" t="s">
        <v>6100</v>
      </c>
      <c r="N928">
        <v>5</v>
      </c>
      <c r="O928" t="s">
        <v>6101</v>
      </c>
      <c r="P928" t="s">
        <v>6108</v>
      </c>
      <c r="Q928">
        <v>2</v>
      </c>
      <c r="R928">
        <v>2026</v>
      </c>
      <c r="S928" t="s">
        <v>6099</v>
      </c>
      <c r="T928">
        <v>1</v>
      </c>
      <c r="U928" t="s">
        <v>6017</v>
      </c>
      <c r="V928">
        <v>0</v>
      </c>
    </row>
    <row r="929" spans="1:22" x14ac:dyDescent="0.3">
      <c r="A929" t="s">
        <v>944</v>
      </c>
      <c r="B929" s="2">
        <v>46069.575694444444</v>
      </c>
      <c r="C929" s="2">
        <v>46073.863194444442</v>
      </c>
      <c r="D929" t="s">
        <v>6026</v>
      </c>
      <c r="E929" t="s">
        <v>6031</v>
      </c>
      <c r="F929" t="s">
        <v>6034</v>
      </c>
      <c r="G929" t="s">
        <v>6081</v>
      </c>
      <c r="H929" t="s">
        <v>6098</v>
      </c>
      <c r="I929">
        <v>24</v>
      </c>
      <c r="J929">
        <v>102.9</v>
      </c>
      <c r="K929" t="s">
        <v>6100</v>
      </c>
      <c r="L929" t="s">
        <v>6100</v>
      </c>
      <c r="M929" t="s">
        <v>6100</v>
      </c>
      <c r="N929">
        <v>3</v>
      </c>
      <c r="O929" t="s">
        <v>6101</v>
      </c>
      <c r="P929" t="s">
        <v>6108</v>
      </c>
      <c r="Q929">
        <v>2</v>
      </c>
      <c r="R929">
        <v>2026</v>
      </c>
      <c r="S929" t="s">
        <v>6100</v>
      </c>
      <c r="T929">
        <v>0</v>
      </c>
      <c r="U929" t="s">
        <v>6019</v>
      </c>
      <c r="V929">
        <v>0</v>
      </c>
    </row>
    <row r="930" spans="1:22" x14ac:dyDescent="0.3">
      <c r="A930" t="s">
        <v>945</v>
      </c>
      <c r="B930" s="2">
        <v>46069.57708333333</v>
      </c>
      <c r="C930" s="2">
        <v>46069.885416666664</v>
      </c>
      <c r="D930" t="s">
        <v>6028</v>
      </c>
      <c r="E930" t="s">
        <v>6030</v>
      </c>
      <c r="F930" t="s">
        <v>6035</v>
      </c>
      <c r="G930" t="s">
        <v>6051</v>
      </c>
      <c r="H930" t="s">
        <v>6097</v>
      </c>
      <c r="I930">
        <v>4</v>
      </c>
      <c r="J930">
        <v>7.4</v>
      </c>
      <c r="K930" t="s">
        <v>6099</v>
      </c>
      <c r="L930" t="s">
        <v>6100</v>
      </c>
      <c r="M930" t="s">
        <v>6099</v>
      </c>
      <c r="N930">
        <v>5</v>
      </c>
      <c r="O930" t="s">
        <v>6101</v>
      </c>
      <c r="P930" t="s">
        <v>6108</v>
      </c>
      <c r="Q930">
        <v>2</v>
      </c>
      <c r="R930">
        <v>2026</v>
      </c>
      <c r="S930" t="s">
        <v>6100</v>
      </c>
      <c r="T930">
        <v>0</v>
      </c>
      <c r="U930" t="s">
        <v>6019</v>
      </c>
      <c r="V930">
        <v>1</v>
      </c>
    </row>
    <row r="931" spans="1:22" x14ac:dyDescent="0.3">
      <c r="A931" t="s">
        <v>946</v>
      </c>
      <c r="B931" s="2">
        <v>46069.581944444442</v>
      </c>
      <c r="C931" s="2">
        <v>46069.802777777775</v>
      </c>
      <c r="D931" t="s">
        <v>6027</v>
      </c>
      <c r="E931" t="s">
        <v>6029</v>
      </c>
      <c r="F931" t="s">
        <v>6034</v>
      </c>
      <c r="G931" t="s">
        <v>6091</v>
      </c>
      <c r="H931" t="s">
        <v>6097</v>
      </c>
      <c r="I931">
        <v>24</v>
      </c>
      <c r="J931">
        <v>5.3</v>
      </c>
      <c r="K931" t="s">
        <v>6099</v>
      </c>
      <c r="L931" t="s">
        <v>6100</v>
      </c>
      <c r="M931" t="s">
        <v>6100</v>
      </c>
      <c r="N931">
        <v>5</v>
      </c>
      <c r="O931" t="s">
        <v>6101</v>
      </c>
      <c r="P931" t="s">
        <v>6108</v>
      </c>
      <c r="Q931">
        <v>2</v>
      </c>
      <c r="R931">
        <v>2026</v>
      </c>
      <c r="S931" t="s">
        <v>6099</v>
      </c>
      <c r="T931">
        <v>1</v>
      </c>
      <c r="U931" t="s">
        <v>6021</v>
      </c>
      <c r="V931">
        <v>1</v>
      </c>
    </row>
    <row r="932" spans="1:22" x14ac:dyDescent="0.3">
      <c r="A932" t="s">
        <v>947</v>
      </c>
      <c r="B932" s="2">
        <v>46069.611805555556</v>
      </c>
      <c r="C932" s="2">
        <v>46069.936805555553</v>
      </c>
      <c r="D932" t="s">
        <v>6028</v>
      </c>
      <c r="E932" t="s">
        <v>6029</v>
      </c>
      <c r="F932" t="s">
        <v>6035</v>
      </c>
      <c r="G932" t="s">
        <v>6044</v>
      </c>
      <c r="H932" t="s">
        <v>6097</v>
      </c>
      <c r="I932">
        <v>4</v>
      </c>
      <c r="J932">
        <v>7.8</v>
      </c>
      <c r="K932" t="s">
        <v>6099</v>
      </c>
      <c r="L932" t="s">
        <v>6100</v>
      </c>
      <c r="M932" t="s">
        <v>6100</v>
      </c>
      <c r="O932" t="s">
        <v>6101</v>
      </c>
      <c r="P932" t="s">
        <v>6108</v>
      </c>
      <c r="Q932">
        <v>2</v>
      </c>
      <c r="R932">
        <v>2026</v>
      </c>
      <c r="S932" t="s">
        <v>6100</v>
      </c>
      <c r="T932">
        <v>0</v>
      </c>
      <c r="U932" t="s">
        <v>6018</v>
      </c>
      <c r="V932">
        <v>1</v>
      </c>
    </row>
    <row r="933" spans="1:22" x14ac:dyDescent="0.3">
      <c r="A933" t="s">
        <v>948</v>
      </c>
      <c r="B933" s="2">
        <v>46069.625694444447</v>
      </c>
      <c r="C933" s="2">
        <v>46070.354861111111</v>
      </c>
      <c r="D933" t="s">
        <v>6022</v>
      </c>
      <c r="E933" t="s">
        <v>6029</v>
      </c>
      <c r="F933" t="s">
        <v>6034</v>
      </c>
      <c r="G933" t="s">
        <v>6037</v>
      </c>
      <c r="H933" t="s">
        <v>6096</v>
      </c>
      <c r="I933">
        <v>24</v>
      </c>
      <c r="J933">
        <v>17.5</v>
      </c>
      <c r="K933" t="s">
        <v>6099</v>
      </c>
      <c r="L933" t="s">
        <v>6100</v>
      </c>
      <c r="M933" t="s">
        <v>6100</v>
      </c>
      <c r="N933">
        <v>4</v>
      </c>
      <c r="O933" t="s">
        <v>6101</v>
      </c>
      <c r="P933" t="s">
        <v>6108</v>
      </c>
      <c r="Q933">
        <v>2</v>
      </c>
      <c r="R933">
        <v>2026</v>
      </c>
      <c r="S933" t="s">
        <v>6099</v>
      </c>
      <c r="T933">
        <v>1</v>
      </c>
      <c r="U933" t="s">
        <v>6019</v>
      </c>
      <c r="V933">
        <v>1</v>
      </c>
    </row>
    <row r="934" spans="1:22" x14ac:dyDescent="0.3">
      <c r="A934" t="s">
        <v>949</v>
      </c>
      <c r="B934" s="2">
        <v>46069.654166666667</v>
      </c>
      <c r="C934" s="2">
        <v>46071.033333333333</v>
      </c>
      <c r="D934" t="s">
        <v>6022</v>
      </c>
      <c r="E934" t="s">
        <v>6032</v>
      </c>
      <c r="F934" t="s">
        <v>6034</v>
      </c>
      <c r="G934" t="s">
        <v>6060</v>
      </c>
      <c r="H934" t="s">
        <v>6097</v>
      </c>
      <c r="I934">
        <v>24</v>
      </c>
      <c r="J934">
        <v>33.1</v>
      </c>
      <c r="K934" t="s">
        <v>6099</v>
      </c>
      <c r="L934" t="s">
        <v>6100</v>
      </c>
      <c r="M934" t="s">
        <v>6100</v>
      </c>
      <c r="N934">
        <v>4</v>
      </c>
      <c r="O934" t="s">
        <v>6101</v>
      </c>
      <c r="P934" t="s">
        <v>6108</v>
      </c>
      <c r="Q934">
        <v>2</v>
      </c>
      <c r="R934">
        <v>2026</v>
      </c>
      <c r="S934" t="s">
        <v>6100</v>
      </c>
      <c r="T934">
        <v>0</v>
      </c>
      <c r="U934" t="s">
        <v>6021</v>
      </c>
      <c r="V934">
        <v>1</v>
      </c>
    </row>
    <row r="935" spans="1:22" x14ac:dyDescent="0.3">
      <c r="A935" t="s">
        <v>950</v>
      </c>
      <c r="B935" s="2">
        <v>46069.696527777778</v>
      </c>
      <c r="C935" s="2">
        <v>46069.913194444445</v>
      </c>
      <c r="D935" t="s">
        <v>6023</v>
      </c>
      <c r="E935" t="s">
        <v>6030</v>
      </c>
      <c r="F935" t="s">
        <v>6034</v>
      </c>
      <c r="G935" t="s">
        <v>6068</v>
      </c>
      <c r="H935" t="s">
        <v>6098</v>
      </c>
      <c r="I935">
        <v>24</v>
      </c>
      <c r="J935">
        <v>5.2</v>
      </c>
      <c r="K935" t="s">
        <v>6099</v>
      </c>
      <c r="L935" t="s">
        <v>6100</v>
      </c>
      <c r="M935" t="s">
        <v>6100</v>
      </c>
      <c r="N935">
        <v>4</v>
      </c>
      <c r="O935" t="s">
        <v>6101</v>
      </c>
      <c r="P935" t="s">
        <v>6108</v>
      </c>
      <c r="Q935">
        <v>2</v>
      </c>
      <c r="R935">
        <v>2026</v>
      </c>
      <c r="S935" t="s">
        <v>6099</v>
      </c>
      <c r="T935">
        <v>1</v>
      </c>
      <c r="U935" t="s">
        <v>6021</v>
      </c>
      <c r="V935">
        <v>1</v>
      </c>
    </row>
    <row r="936" spans="1:22" x14ac:dyDescent="0.3">
      <c r="A936" t="s">
        <v>951</v>
      </c>
      <c r="B936" s="2">
        <v>46069.737500000003</v>
      </c>
      <c r="C936" s="2">
        <v>46070.091666666667</v>
      </c>
      <c r="D936" t="s">
        <v>6023</v>
      </c>
      <c r="E936" t="s">
        <v>6030</v>
      </c>
      <c r="F936" t="s">
        <v>6034</v>
      </c>
      <c r="G936" t="s">
        <v>6052</v>
      </c>
      <c r="H936" t="s">
        <v>6098</v>
      </c>
      <c r="I936">
        <v>24</v>
      </c>
      <c r="J936">
        <v>8.5</v>
      </c>
      <c r="K936" t="s">
        <v>6099</v>
      </c>
      <c r="L936" t="s">
        <v>6100</v>
      </c>
      <c r="M936" t="s">
        <v>6100</v>
      </c>
      <c r="N936">
        <v>5</v>
      </c>
      <c r="O936" t="s">
        <v>6101</v>
      </c>
      <c r="P936" t="s">
        <v>6108</v>
      </c>
      <c r="Q936">
        <v>2</v>
      </c>
      <c r="R936">
        <v>2026</v>
      </c>
      <c r="S936" t="s">
        <v>6099</v>
      </c>
      <c r="T936">
        <v>1</v>
      </c>
      <c r="U936" t="s">
        <v>6018</v>
      </c>
      <c r="V936">
        <v>1</v>
      </c>
    </row>
    <row r="937" spans="1:22" x14ac:dyDescent="0.3">
      <c r="A937" t="s">
        <v>952</v>
      </c>
      <c r="B937" s="2">
        <v>46069.805555555555</v>
      </c>
      <c r="C937" s="2">
        <v>46070.955555555556</v>
      </c>
      <c r="D937" t="s">
        <v>6027</v>
      </c>
      <c r="E937" t="s">
        <v>6031</v>
      </c>
      <c r="F937" t="s">
        <v>6034</v>
      </c>
      <c r="G937" t="s">
        <v>6043</v>
      </c>
      <c r="H937" t="s">
        <v>6097</v>
      </c>
      <c r="I937">
        <v>24</v>
      </c>
      <c r="J937">
        <v>27.6</v>
      </c>
      <c r="K937" t="s">
        <v>6100</v>
      </c>
      <c r="L937" t="s">
        <v>6100</v>
      </c>
      <c r="M937" t="s">
        <v>6099</v>
      </c>
      <c r="N937">
        <v>4</v>
      </c>
      <c r="O937" t="s">
        <v>6101</v>
      </c>
      <c r="P937" t="s">
        <v>6108</v>
      </c>
      <c r="Q937">
        <v>2</v>
      </c>
      <c r="R937">
        <v>2026</v>
      </c>
      <c r="S937" t="s">
        <v>6100</v>
      </c>
      <c r="T937">
        <v>0</v>
      </c>
      <c r="U937" t="s">
        <v>6019</v>
      </c>
      <c r="V937">
        <v>0</v>
      </c>
    </row>
    <row r="938" spans="1:22" x14ac:dyDescent="0.3">
      <c r="A938" t="s">
        <v>953</v>
      </c>
      <c r="B938" s="2">
        <v>46070.361805555556</v>
      </c>
      <c r="C938" s="2">
        <v>46070.478472222225</v>
      </c>
      <c r="D938" t="s">
        <v>6023</v>
      </c>
      <c r="E938" t="s">
        <v>6029</v>
      </c>
      <c r="F938" t="s">
        <v>6034</v>
      </c>
      <c r="G938" t="s">
        <v>6091</v>
      </c>
      <c r="H938" t="s">
        <v>6097</v>
      </c>
      <c r="I938">
        <v>24</v>
      </c>
      <c r="J938">
        <v>2.8</v>
      </c>
      <c r="K938" t="s">
        <v>6099</v>
      </c>
      <c r="L938" t="s">
        <v>6100</v>
      </c>
      <c r="M938" t="s">
        <v>6100</v>
      </c>
      <c r="N938">
        <v>5</v>
      </c>
      <c r="O938" t="s">
        <v>6101</v>
      </c>
      <c r="P938" t="s">
        <v>6108</v>
      </c>
      <c r="Q938">
        <v>2</v>
      </c>
      <c r="R938">
        <v>2026</v>
      </c>
      <c r="S938" t="s">
        <v>6099</v>
      </c>
      <c r="T938">
        <v>1</v>
      </c>
      <c r="U938" t="s">
        <v>6019</v>
      </c>
      <c r="V938">
        <v>1</v>
      </c>
    </row>
    <row r="939" spans="1:22" x14ac:dyDescent="0.3">
      <c r="A939" t="s">
        <v>954</v>
      </c>
      <c r="B939" s="2">
        <v>46070.375694444447</v>
      </c>
      <c r="C939" s="2">
        <v>46073.729861111111</v>
      </c>
      <c r="D939" t="s">
        <v>6025</v>
      </c>
      <c r="E939" t="s">
        <v>6031</v>
      </c>
      <c r="F939" t="s">
        <v>6034</v>
      </c>
      <c r="G939" t="s">
        <v>6040</v>
      </c>
      <c r="H939" t="s">
        <v>6097</v>
      </c>
      <c r="I939">
        <v>24</v>
      </c>
      <c r="J939">
        <v>80.5</v>
      </c>
      <c r="K939" t="s">
        <v>6099</v>
      </c>
      <c r="L939" t="s">
        <v>6100</v>
      </c>
      <c r="M939" t="s">
        <v>6100</v>
      </c>
      <c r="O939" t="s">
        <v>6101</v>
      </c>
      <c r="P939" t="s">
        <v>6108</v>
      </c>
      <c r="Q939">
        <v>2</v>
      </c>
      <c r="R939">
        <v>2026</v>
      </c>
      <c r="S939" t="s">
        <v>6100</v>
      </c>
      <c r="T939">
        <v>0</v>
      </c>
      <c r="U939" t="s">
        <v>6019</v>
      </c>
      <c r="V939">
        <v>1</v>
      </c>
    </row>
    <row r="940" spans="1:22" x14ac:dyDescent="0.3">
      <c r="A940" t="s">
        <v>955</v>
      </c>
      <c r="B940" s="2">
        <v>46070.384722222225</v>
      </c>
      <c r="C940" s="2">
        <v>46070.584722222222</v>
      </c>
      <c r="D940" t="s">
        <v>6028</v>
      </c>
      <c r="E940" t="s">
        <v>6029</v>
      </c>
      <c r="F940" t="s">
        <v>6035</v>
      </c>
      <c r="G940" t="s">
        <v>6088</v>
      </c>
      <c r="H940" t="s">
        <v>6097</v>
      </c>
      <c r="I940">
        <v>4</v>
      </c>
      <c r="J940">
        <v>4.8</v>
      </c>
      <c r="K940" t="s">
        <v>6099</v>
      </c>
      <c r="L940" t="s">
        <v>6100</v>
      </c>
      <c r="M940" t="s">
        <v>6100</v>
      </c>
      <c r="N940">
        <v>3</v>
      </c>
      <c r="O940" t="s">
        <v>6101</v>
      </c>
      <c r="P940" t="s">
        <v>6108</v>
      </c>
      <c r="Q940">
        <v>2</v>
      </c>
      <c r="R940">
        <v>2026</v>
      </c>
      <c r="S940" t="s">
        <v>6100</v>
      </c>
      <c r="T940">
        <v>0</v>
      </c>
      <c r="U940" t="s">
        <v>6018</v>
      </c>
      <c r="V940">
        <v>1</v>
      </c>
    </row>
    <row r="941" spans="1:22" x14ac:dyDescent="0.3">
      <c r="A941" t="s">
        <v>956</v>
      </c>
      <c r="B941" s="2">
        <v>46070.436111111114</v>
      </c>
      <c r="C941" s="2">
        <v>46070.811111111114</v>
      </c>
      <c r="D941" t="s">
        <v>6028</v>
      </c>
      <c r="E941" t="s">
        <v>6029</v>
      </c>
      <c r="F941" t="s">
        <v>6035</v>
      </c>
      <c r="G941" t="s">
        <v>6050</v>
      </c>
      <c r="H941" t="s">
        <v>6098</v>
      </c>
      <c r="I941">
        <v>4</v>
      </c>
      <c r="J941">
        <v>9</v>
      </c>
      <c r="K941" t="s">
        <v>6099</v>
      </c>
      <c r="L941" t="s">
        <v>6100</v>
      </c>
      <c r="M941" t="s">
        <v>6100</v>
      </c>
      <c r="N941">
        <v>5</v>
      </c>
      <c r="O941" t="s">
        <v>6101</v>
      </c>
      <c r="P941" t="s">
        <v>6108</v>
      </c>
      <c r="Q941">
        <v>2</v>
      </c>
      <c r="R941">
        <v>2026</v>
      </c>
      <c r="S941" t="s">
        <v>6100</v>
      </c>
      <c r="T941">
        <v>0</v>
      </c>
      <c r="U941" t="s">
        <v>6018</v>
      </c>
      <c r="V941">
        <v>1</v>
      </c>
    </row>
    <row r="942" spans="1:22" x14ac:dyDescent="0.3">
      <c r="A942" t="s">
        <v>957</v>
      </c>
      <c r="B942" s="2">
        <v>46070.444444444445</v>
      </c>
      <c r="C942" s="2">
        <v>46073.69027777778</v>
      </c>
      <c r="D942" t="s">
        <v>6028</v>
      </c>
      <c r="E942" t="s">
        <v>6031</v>
      </c>
      <c r="F942" t="s">
        <v>6035</v>
      </c>
      <c r="G942" t="s">
        <v>6041</v>
      </c>
      <c r="H942" t="s">
        <v>6096</v>
      </c>
      <c r="I942">
        <v>4</v>
      </c>
      <c r="J942">
        <v>77.900000000000006</v>
      </c>
      <c r="K942" t="s">
        <v>6100</v>
      </c>
      <c r="L942" t="s">
        <v>6099</v>
      </c>
      <c r="M942" t="s">
        <v>6100</v>
      </c>
      <c r="O942" t="s">
        <v>6101</v>
      </c>
      <c r="P942" t="s">
        <v>6108</v>
      </c>
      <c r="Q942">
        <v>2</v>
      </c>
      <c r="R942">
        <v>2026</v>
      </c>
      <c r="S942" t="s">
        <v>6100</v>
      </c>
      <c r="T942">
        <v>0</v>
      </c>
      <c r="U942" t="s">
        <v>6018</v>
      </c>
      <c r="V942">
        <v>0</v>
      </c>
    </row>
    <row r="943" spans="1:22" x14ac:dyDescent="0.3">
      <c r="A943" t="s">
        <v>958</v>
      </c>
      <c r="B943" s="2">
        <v>46070.536111111112</v>
      </c>
      <c r="C943" s="2">
        <v>46070.994444444441</v>
      </c>
      <c r="D943" t="s">
        <v>6024</v>
      </c>
      <c r="E943" t="s">
        <v>6029</v>
      </c>
      <c r="F943" t="s">
        <v>6035</v>
      </c>
      <c r="G943" t="s">
        <v>6050</v>
      </c>
      <c r="H943" t="s">
        <v>6098</v>
      </c>
      <c r="I943">
        <v>4</v>
      </c>
      <c r="J943">
        <v>11</v>
      </c>
      <c r="K943" t="s">
        <v>6099</v>
      </c>
      <c r="L943" t="s">
        <v>6100</v>
      </c>
      <c r="M943" t="s">
        <v>6100</v>
      </c>
      <c r="N943">
        <v>4</v>
      </c>
      <c r="O943" t="s">
        <v>6101</v>
      </c>
      <c r="P943" t="s">
        <v>6108</v>
      </c>
      <c r="Q943">
        <v>2</v>
      </c>
      <c r="R943">
        <v>2026</v>
      </c>
      <c r="S943" t="s">
        <v>6100</v>
      </c>
      <c r="T943">
        <v>0</v>
      </c>
      <c r="U943" t="s">
        <v>6019</v>
      </c>
      <c r="V943">
        <v>1</v>
      </c>
    </row>
    <row r="944" spans="1:22" x14ac:dyDescent="0.3">
      <c r="A944" t="s">
        <v>959</v>
      </c>
      <c r="B944" s="2">
        <v>46070.546527777777</v>
      </c>
      <c r="C944" s="2">
        <v>46070.817361111112</v>
      </c>
      <c r="D944" t="s">
        <v>6027</v>
      </c>
      <c r="E944" t="s">
        <v>6030</v>
      </c>
      <c r="F944" t="s">
        <v>6033</v>
      </c>
      <c r="G944" t="s">
        <v>6075</v>
      </c>
      <c r="H944" t="s">
        <v>6097</v>
      </c>
      <c r="I944">
        <v>72</v>
      </c>
      <c r="J944">
        <v>6.5</v>
      </c>
      <c r="K944" t="s">
        <v>6099</v>
      </c>
      <c r="L944" t="s">
        <v>6100</v>
      </c>
      <c r="M944" t="s">
        <v>6100</v>
      </c>
      <c r="O944" t="s">
        <v>6101</v>
      </c>
      <c r="P944" t="s">
        <v>6108</v>
      </c>
      <c r="Q944">
        <v>2</v>
      </c>
      <c r="R944">
        <v>2026</v>
      </c>
      <c r="S944" t="s">
        <v>6099</v>
      </c>
      <c r="T944">
        <v>1</v>
      </c>
      <c r="U944" t="s">
        <v>6021</v>
      </c>
      <c r="V944">
        <v>1</v>
      </c>
    </row>
    <row r="945" spans="1:22" x14ac:dyDescent="0.3">
      <c r="A945" t="s">
        <v>960</v>
      </c>
      <c r="B945" s="2">
        <v>46070.567361111112</v>
      </c>
      <c r="C945" s="2">
        <v>46071.071527777778</v>
      </c>
      <c r="D945" t="s">
        <v>6023</v>
      </c>
      <c r="E945" t="s">
        <v>6030</v>
      </c>
      <c r="F945" t="s">
        <v>6033</v>
      </c>
      <c r="G945" t="s">
        <v>6053</v>
      </c>
      <c r="H945" t="s">
        <v>6097</v>
      </c>
      <c r="I945">
        <v>72</v>
      </c>
      <c r="J945">
        <v>12.1</v>
      </c>
      <c r="K945" t="s">
        <v>6099</v>
      </c>
      <c r="L945" t="s">
        <v>6100</v>
      </c>
      <c r="M945" t="s">
        <v>6100</v>
      </c>
      <c r="O945" t="s">
        <v>6101</v>
      </c>
      <c r="P945" t="s">
        <v>6108</v>
      </c>
      <c r="Q945">
        <v>2</v>
      </c>
      <c r="R945">
        <v>2026</v>
      </c>
      <c r="S945" t="s">
        <v>6099</v>
      </c>
      <c r="T945">
        <v>1</v>
      </c>
      <c r="U945" t="s">
        <v>6019</v>
      </c>
      <c r="V945">
        <v>1</v>
      </c>
    </row>
    <row r="946" spans="1:22" x14ac:dyDescent="0.3">
      <c r="A946" t="s">
        <v>961</v>
      </c>
      <c r="B946" s="2">
        <v>46070.576388888891</v>
      </c>
      <c r="C946" s="2">
        <v>46070.884722222225</v>
      </c>
      <c r="D946" t="s">
        <v>6028</v>
      </c>
      <c r="E946" t="s">
        <v>6029</v>
      </c>
      <c r="F946" t="s">
        <v>6035</v>
      </c>
      <c r="G946" t="s">
        <v>6048</v>
      </c>
      <c r="H946" t="s">
        <v>6096</v>
      </c>
      <c r="I946">
        <v>4</v>
      </c>
      <c r="J946">
        <v>7.4</v>
      </c>
      <c r="K946" t="s">
        <v>6099</v>
      </c>
      <c r="L946" t="s">
        <v>6100</v>
      </c>
      <c r="M946" t="s">
        <v>6100</v>
      </c>
      <c r="N946">
        <v>3</v>
      </c>
      <c r="O946" t="s">
        <v>6101</v>
      </c>
      <c r="P946" t="s">
        <v>6108</v>
      </c>
      <c r="Q946">
        <v>2</v>
      </c>
      <c r="R946">
        <v>2026</v>
      </c>
      <c r="S946" t="s">
        <v>6100</v>
      </c>
      <c r="T946">
        <v>0</v>
      </c>
      <c r="U946" t="s">
        <v>6018</v>
      </c>
      <c r="V946">
        <v>1</v>
      </c>
    </row>
    <row r="947" spans="1:22" x14ac:dyDescent="0.3">
      <c r="A947" t="s">
        <v>962</v>
      </c>
      <c r="B947" s="2">
        <v>46070.583333333336</v>
      </c>
      <c r="C947" s="2">
        <v>46070.675000000003</v>
      </c>
      <c r="D947" t="s">
        <v>6023</v>
      </c>
      <c r="E947" t="s">
        <v>6029</v>
      </c>
      <c r="F947" t="s">
        <v>6034</v>
      </c>
      <c r="G947" t="s">
        <v>6077</v>
      </c>
      <c r="H947" t="s">
        <v>6098</v>
      </c>
      <c r="I947">
        <v>24</v>
      </c>
      <c r="J947">
        <v>2.2000000000000002</v>
      </c>
      <c r="K947" t="s">
        <v>6099</v>
      </c>
      <c r="L947" t="s">
        <v>6100</v>
      </c>
      <c r="M947" t="s">
        <v>6100</v>
      </c>
      <c r="N947">
        <v>5</v>
      </c>
      <c r="O947" t="s">
        <v>6101</v>
      </c>
      <c r="P947" t="s">
        <v>6108</v>
      </c>
      <c r="Q947">
        <v>2</v>
      </c>
      <c r="R947">
        <v>2026</v>
      </c>
      <c r="S947" t="s">
        <v>6099</v>
      </c>
      <c r="T947">
        <v>1</v>
      </c>
      <c r="U947" t="s">
        <v>6021</v>
      </c>
      <c r="V947">
        <v>1</v>
      </c>
    </row>
    <row r="948" spans="1:22" x14ac:dyDescent="0.3">
      <c r="A948" t="s">
        <v>963</v>
      </c>
      <c r="B948" s="2">
        <v>46070.617361111108</v>
      </c>
      <c r="C948" s="2">
        <v>46072.296527777777</v>
      </c>
      <c r="D948" t="s">
        <v>6025</v>
      </c>
      <c r="E948" t="s">
        <v>6029</v>
      </c>
      <c r="F948" t="s">
        <v>6033</v>
      </c>
      <c r="G948" t="s">
        <v>6066</v>
      </c>
      <c r="H948" t="s">
        <v>6096</v>
      </c>
      <c r="I948">
        <v>72</v>
      </c>
      <c r="J948">
        <v>40.299999999999997</v>
      </c>
      <c r="K948" t="s">
        <v>6099</v>
      </c>
      <c r="L948" t="s">
        <v>6100</v>
      </c>
      <c r="M948" t="s">
        <v>6100</v>
      </c>
      <c r="O948" t="s">
        <v>6101</v>
      </c>
      <c r="P948" t="s">
        <v>6108</v>
      </c>
      <c r="Q948">
        <v>2</v>
      </c>
      <c r="R948">
        <v>2026</v>
      </c>
      <c r="S948" t="s">
        <v>6099</v>
      </c>
      <c r="T948">
        <v>1</v>
      </c>
      <c r="U948" t="s">
        <v>6020</v>
      </c>
      <c r="V948">
        <v>1</v>
      </c>
    </row>
    <row r="949" spans="1:22" x14ac:dyDescent="0.3">
      <c r="A949" t="s">
        <v>964</v>
      </c>
      <c r="B949" s="2">
        <v>46070.621527777781</v>
      </c>
      <c r="C949" s="2">
        <v>46071.996527777781</v>
      </c>
      <c r="D949" t="s">
        <v>6025</v>
      </c>
      <c r="E949" t="s">
        <v>6031</v>
      </c>
      <c r="F949" t="s">
        <v>6034</v>
      </c>
      <c r="G949" t="s">
        <v>6059</v>
      </c>
      <c r="H949" t="s">
        <v>6097</v>
      </c>
      <c r="I949">
        <v>24</v>
      </c>
      <c r="J949">
        <v>33</v>
      </c>
      <c r="K949" t="s">
        <v>6099</v>
      </c>
      <c r="L949" t="s">
        <v>6100</v>
      </c>
      <c r="M949" t="s">
        <v>6100</v>
      </c>
      <c r="N949">
        <v>4</v>
      </c>
      <c r="O949" t="s">
        <v>6101</v>
      </c>
      <c r="P949" t="s">
        <v>6108</v>
      </c>
      <c r="Q949">
        <v>2</v>
      </c>
      <c r="R949">
        <v>2026</v>
      </c>
      <c r="S949" t="s">
        <v>6100</v>
      </c>
      <c r="T949">
        <v>0</v>
      </c>
      <c r="U949" t="s">
        <v>6021</v>
      </c>
      <c r="V949">
        <v>1</v>
      </c>
    </row>
    <row r="950" spans="1:22" x14ac:dyDescent="0.3">
      <c r="A950" t="s">
        <v>965</v>
      </c>
      <c r="B950" s="2">
        <v>46070.637499999997</v>
      </c>
      <c r="C950" s="2">
        <v>46070.995833333334</v>
      </c>
      <c r="D950" t="s">
        <v>6025</v>
      </c>
      <c r="E950" t="s">
        <v>6029</v>
      </c>
      <c r="F950" t="s">
        <v>6033</v>
      </c>
      <c r="G950" t="s">
        <v>6043</v>
      </c>
      <c r="H950" t="s">
        <v>6097</v>
      </c>
      <c r="I950">
        <v>72</v>
      </c>
      <c r="J950">
        <v>8.6</v>
      </c>
      <c r="K950" t="s">
        <v>6099</v>
      </c>
      <c r="L950" t="s">
        <v>6100</v>
      </c>
      <c r="M950" t="s">
        <v>6100</v>
      </c>
      <c r="N950">
        <v>5</v>
      </c>
      <c r="O950" t="s">
        <v>6101</v>
      </c>
      <c r="P950" t="s">
        <v>6108</v>
      </c>
      <c r="Q950">
        <v>2</v>
      </c>
      <c r="R950">
        <v>2026</v>
      </c>
      <c r="S950" t="s">
        <v>6099</v>
      </c>
      <c r="T950">
        <v>1</v>
      </c>
      <c r="U950" t="s">
        <v>6018</v>
      </c>
      <c r="V950">
        <v>1</v>
      </c>
    </row>
    <row r="951" spans="1:22" x14ac:dyDescent="0.3">
      <c r="A951" t="s">
        <v>966</v>
      </c>
      <c r="B951" s="2">
        <v>46070.645138888889</v>
      </c>
      <c r="C951" s="2">
        <v>46070.861805555556</v>
      </c>
      <c r="D951" t="s">
        <v>6025</v>
      </c>
      <c r="E951" t="s">
        <v>6030</v>
      </c>
      <c r="F951" t="s">
        <v>6034</v>
      </c>
      <c r="G951" t="s">
        <v>6066</v>
      </c>
      <c r="H951" t="s">
        <v>6096</v>
      </c>
      <c r="I951">
        <v>24</v>
      </c>
      <c r="J951">
        <v>5.2</v>
      </c>
      <c r="K951" t="s">
        <v>6099</v>
      </c>
      <c r="L951" t="s">
        <v>6100</v>
      </c>
      <c r="M951" t="s">
        <v>6100</v>
      </c>
      <c r="N951">
        <v>5</v>
      </c>
      <c r="O951" t="s">
        <v>6101</v>
      </c>
      <c r="P951" t="s">
        <v>6108</v>
      </c>
      <c r="Q951">
        <v>2</v>
      </c>
      <c r="R951">
        <v>2026</v>
      </c>
      <c r="S951" t="s">
        <v>6099</v>
      </c>
      <c r="T951">
        <v>1</v>
      </c>
      <c r="U951" t="s">
        <v>6021</v>
      </c>
      <c r="V951">
        <v>1</v>
      </c>
    </row>
    <row r="952" spans="1:22" x14ac:dyDescent="0.3">
      <c r="A952" t="s">
        <v>967</v>
      </c>
      <c r="B952" s="2">
        <v>46070.703472222223</v>
      </c>
      <c r="C952" s="2">
        <v>46070.895138888889</v>
      </c>
      <c r="D952" t="s">
        <v>6023</v>
      </c>
      <c r="E952" t="s">
        <v>6030</v>
      </c>
      <c r="F952" t="s">
        <v>6034</v>
      </c>
      <c r="G952" t="s">
        <v>6038</v>
      </c>
      <c r="H952" t="s">
        <v>6096</v>
      </c>
      <c r="I952">
        <v>24</v>
      </c>
      <c r="J952">
        <v>4.5999999999999996</v>
      </c>
      <c r="K952" t="s">
        <v>6100</v>
      </c>
      <c r="L952" t="s">
        <v>6099</v>
      </c>
      <c r="M952" t="s">
        <v>6100</v>
      </c>
      <c r="N952">
        <v>3</v>
      </c>
      <c r="O952" t="s">
        <v>6101</v>
      </c>
      <c r="P952" t="s">
        <v>6108</v>
      </c>
      <c r="Q952">
        <v>2</v>
      </c>
      <c r="R952">
        <v>2026</v>
      </c>
      <c r="S952" t="s">
        <v>6099</v>
      </c>
      <c r="T952">
        <v>1</v>
      </c>
      <c r="U952" t="s">
        <v>6017</v>
      </c>
      <c r="V952">
        <v>0</v>
      </c>
    </row>
    <row r="953" spans="1:22" x14ac:dyDescent="0.3">
      <c r="A953" t="s">
        <v>968</v>
      </c>
      <c r="B953" s="2">
        <v>46070.775694444441</v>
      </c>
      <c r="C953" s="2">
        <v>46070.888194444444</v>
      </c>
      <c r="D953" t="s">
        <v>6028</v>
      </c>
      <c r="E953" t="s">
        <v>6030</v>
      </c>
      <c r="F953" t="s">
        <v>6033</v>
      </c>
      <c r="G953" t="s">
        <v>6094</v>
      </c>
      <c r="H953" t="s">
        <v>6098</v>
      </c>
      <c r="I953">
        <v>72</v>
      </c>
      <c r="J953">
        <v>2.7</v>
      </c>
      <c r="K953" t="s">
        <v>6099</v>
      </c>
      <c r="L953" t="s">
        <v>6100</v>
      </c>
      <c r="M953" t="s">
        <v>6100</v>
      </c>
      <c r="O953" t="s">
        <v>6101</v>
      </c>
      <c r="P953" t="s">
        <v>6108</v>
      </c>
      <c r="Q953">
        <v>2</v>
      </c>
      <c r="R953">
        <v>2026</v>
      </c>
      <c r="S953" t="s">
        <v>6099</v>
      </c>
      <c r="T953">
        <v>1</v>
      </c>
      <c r="U953" t="s">
        <v>6017</v>
      </c>
      <c r="V953">
        <v>1</v>
      </c>
    </row>
    <row r="954" spans="1:22" x14ac:dyDescent="0.3">
      <c r="A954" t="s">
        <v>969</v>
      </c>
      <c r="B954" s="2">
        <v>46070.8</v>
      </c>
      <c r="C954" s="2">
        <v>46072.337500000001</v>
      </c>
      <c r="D954" t="s">
        <v>6025</v>
      </c>
      <c r="E954" t="s">
        <v>6029</v>
      </c>
      <c r="F954" t="s">
        <v>6034</v>
      </c>
      <c r="G954" t="s">
        <v>6056</v>
      </c>
      <c r="H954" t="s">
        <v>6098</v>
      </c>
      <c r="I954">
        <v>24</v>
      </c>
      <c r="J954">
        <v>36.9</v>
      </c>
      <c r="K954" t="s">
        <v>6099</v>
      </c>
      <c r="L954" t="s">
        <v>6100</v>
      </c>
      <c r="M954" t="s">
        <v>6100</v>
      </c>
      <c r="N954">
        <v>3</v>
      </c>
      <c r="O954" t="s">
        <v>6101</v>
      </c>
      <c r="P954" t="s">
        <v>6108</v>
      </c>
      <c r="Q954">
        <v>2</v>
      </c>
      <c r="R954">
        <v>2026</v>
      </c>
      <c r="S954" t="s">
        <v>6100</v>
      </c>
      <c r="T954">
        <v>0</v>
      </c>
      <c r="U954" t="s">
        <v>6018</v>
      </c>
      <c r="V954">
        <v>1</v>
      </c>
    </row>
    <row r="955" spans="1:22" x14ac:dyDescent="0.3">
      <c r="A955" t="s">
        <v>970</v>
      </c>
      <c r="B955" s="2">
        <v>46070.8125</v>
      </c>
      <c r="C955" s="2">
        <v>46071.166666666664</v>
      </c>
      <c r="D955" t="s">
        <v>6023</v>
      </c>
      <c r="E955" t="s">
        <v>6030</v>
      </c>
      <c r="F955" t="s">
        <v>6034</v>
      </c>
      <c r="G955" t="s">
        <v>6062</v>
      </c>
      <c r="H955" t="s">
        <v>6096</v>
      </c>
      <c r="I955">
        <v>24</v>
      </c>
      <c r="J955">
        <v>8.5</v>
      </c>
      <c r="K955" t="s">
        <v>6099</v>
      </c>
      <c r="L955" t="s">
        <v>6100</v>
      </c>
      <c r="M955" t="s">
        <v>6100</v>
      </c>
      <c r="O955" t="s">
        <v>6101</v>
      </c>
      <c r="P955" t="s">
        <v>6108</v>
      </c>
      <c r="Q955">
        <v>2</v>
      </c>
      <c r="R955">
        <v>2026</v>
      </c>
      <c r="S955" t="s">
        <v>6099</v>
      </c>
      <c r="T955">
        <v>1</v>
      </c>
      <c r="U955" t="s">
        <v>6017</v>
      </c>
      <c r="V955">
        <v>1</v>
      </c>
    </row>
    <row r="956" spans="1:22" x14ac:dyDescent="0.3">
      <c r="A956" t="s">
        <v>971</v>
      </c>
      <c r="B956" s="2">
        <v>46070.904861111114</v>
      </c>
      <c r="C956" s="2">
        <v>46071.454861111109</v>
      </c>
      <c r="D956" t="s">
        <v>6024</v>
      </c>
      <c r="E956" t="s">
        <v>6031</v>
      </c>
      <c r="F956" t="s">
        <v>6035</v>
      </c>
      <c r="G956" t="s">
        <v>6053</v>
      </c>
      <c r="H956" t="s">
        <v>6097</v>
      </c>
      <c r="I956">
        <v>4</v>
      </c>
      <c r="J956">
        <v>13.2</v>
      </c>
      <c r="K956" t="s">
        <v>6100</v>
      </c>
      <c r="L956" t="s">
        <v>6099</v>
      </c>
      <c r="M956" t="s">
        <v>6100</v>
      </c>
      <c r="N956">
        <v>3</v>
      </c>
      <c r="O956" t="s">
        <v>6101</v>
      </c>
      <c r="P956" t="s">
        <v>6108</v>
      </c>
      <c r="Q956">
        <v>2</v>
      </c>
      <c r="R956">
        <v>2026</v>
      </c>
      <c r="S956" t="s">
        <v>6100</v>
      </c>
      <c r="T956">
        <v>0</v>
      </c>
      <c r="U956" t="s">
        <v>6018</v>
      </c>
      <c r="V956">
        <v>0</v>
      </c>
    </row>
    <row r="957" spans="1:22" x14ac:dyDescent="0.3">
      <c r="A957" t="s">
        <v>972</v>
      </c>
      <c r="B957" s="2">
        <v>46071.324999999997</v>
      </c>
      <c r="C957" s="2">
        <v>46072.658333333333</v>
      </c>
      <c r="D957" t="s">
        <v>6022</v>
      </c>
      <c r="E957" t="s">
        <v>6032</v>
      </c>
      <c r="F957" t="s">
        <v>6034</v>
      </c>
      <c r="G957" t="s">
        <v>6093</v>
      </c>
      <c r="H957" t="s">
        <v>6097</v>
      </c>
      <c r="I957">
        <v>24</v>
      </c>
      <c r="J957">
        <v>32</v>
      </c>
      <c r="K957" t="s">
        <v>6099</v>
      </c>
      <c r="L957" t="s">
        <v>6100</v>
      </c>
      <c r="M957" t="s">
        <v>6099</v>
      </c>
      <c r="O957" t="s">
        <v>6101</v>
      </c>
      <c r="P957" t="s">
        <v>6108</v>
      </c>
      <c r="Q957">
        <v>2</v>
      </c>
      <c r="R957">
        <v>2026</v>
      </c>
      <c r="S957" t="s">
        <v>6100</v>
      </c>
      <c r="T957">
        <v>0</v>
      </c>
      <c r="U957" t="s">
        <v>6019</v>
      </c>
      <c r="V957">
        <v>1</v>
      </c>
    </row>
    <row r="958" spans="1:22" x14ac:dyDescent="0.3">
      <c r="A958" t="s">
        <v>973</v>
      </c>
      <c r="B958" s="2">
        <v>46071.359722222223</v>
      </c>
      <c r="C958" s="2">
        <v>46071.855555555558</v>
      </c>
      <c r="D958" t="s">
        <v>6027</v>
      </c>
      <c r="E958" t="s">
        <v>6029</v>
      </c>
      <c r="F958" t="s">
        <v>6033</v>
      </c>
      <c r="G958" t="s">
        <v>6039</v>
      </c>
      <c r="H958" t="s">
        <v>6097</v>
      </c>
      <c r="I958">
        <v>72</v>
      </c>
      <c r="J958">
        <v>11.9</v>
      </c>
      <c r="K958" t="s">
        <v>6099</v>
      </c>
      <c r="L958" t="s">
        <v>6100</v>
      </c>
      <c r="M958" t="s">
        <v>6100</v>
      </c>
      <c r="O958" t="s">
        <v>6101</v>
      </c>
      <c r="P958" t="s">
        <v>6108</v>
      </c>
      <c r="Q958">
        <v>2</v>
      </c>
      <c r="R958">
        <v>2026</v>
      </c>
      <c r="S958" t="s">
        <v>6099</v>
      </c>
      <c r="T958">
        <v>1</v>
      </c>
      <c r="U958" t="s">
        <v>6018</v>
      </c>
      <c r="V958">
        <v>1</v>
      </c>
    </row>
    <row r="959" spans="1:22" x14ac:dyDescent="0.3">
      <c r="A959" t="s">
        <v>974</v>
      </c>
      <c r="B959" s="2">
        <v>46071.385416666664</v>
      </c>
      <c r="C959" s="2">
        <v>46071.631249999999</v>
      </c>
      <c r="D959" t="s">
        <v>6024</v>
      </c>
      <c r="E959" t="s">
        <v>6029</v>
      </c>
      <c r="F959" t="s">
        <v>6034</v>
      </c>
      <c r="G959" t="s">
        <v>6058</v>
      </c>
      <c r="H959" t="s">
        <v>6098</v>
      </c>
      <c r="I959">
        <v>24</v>
      </c>
      <c r="J959">
        <v>5.9</v>
      </c>
      <c r="K959" t="s">
        <v>6099</v>
      </c>
      <c r="L959" t="s">
        <v>6100</v>
      </c>
      <c r="M959" t="s">
        <v>6100</v>
      </c>
      <c r="N959">
        <v>4</v>
      </c>
      <c r="O959" t="s">
        <v>6101</v>
      </c>
      <c r="P959" t="s">
        <v>6108</v>
      </c>
      <c r="Q959">
        <v>2</v>
      </c>
      <c r="R959">
        <v>2026</v>
      </c>
      <c r="S959" t="s">
        <v>6099</v>
      </c>
      <c r="T959">
        <v>1</v>
      </c>
      <c r="U959" t="s">
        <v>6018</v>
      </c>
      <c r="V959">
        <v>1</v>
      </c>
    </row>
    <row r="960" spans="1:22" x14ac:dyDescent="0.3">
      <c r="A960" t="s">
        <v>975</v>
      </c>
      <c r="B960" s="2">
        <v>46071.397222222222</v>
      </c>
      <c r="C960" s="2">
        <v>46071.468055555553</v>
      </c>
      <c r="D960" t="s">
        <v>6023</v>
      </c>
      <c r="E960" t="s">
        <v>6029</v>
      </c>
      <c r="F960" t="s">
        <v>6034</v>
      </c>
      <c r="G960" t="s">
        <v>6077</v>
      </c>
      <c r="H960" t="s">
        <v>6098</v>
      </c>
      <c r="I960">
        <v>24</v>
      </c>
      <c r="J960">
        <v>1.7</v>
      </c>
      <c r="K960" t="s">
        <v>6099</v>
      </c>
      <c r="L960" t="s">
        <v>6100</v>
      </c>
      <c r="M960" t="s">
        <v>6099</v>
      </c>
      <c r="N960">
        <v>5</v>
      </c>
      <c r="O960" t="s">
        <v>6101</v>
      </c>
      <c r="P960" t="s">
        <v>6108</v>
      </c>
      <c r="Q960">
        <v>2</v>
      </c>
      <c r="R960">
        <v>2026</v>
      </c>
      <c r="S960" t="s">
        <v>6099</v>
      </c>
      <c r="T960">
        <v>1</v>
      </c>
      <c r="U960" t="s">
        <v>6019</v>
      </c>
      <c r="V960">
        <v>1</v>
      </c>
    </row>
    <row r="961" spans="1:22" x14ac:dyDescent="0.3">
      <c r="A961" t="s">
        <v>976</v>
      </c>
      <c r="B961" s="2">
        <v>46071.409722222219</v>
      </c>
      <c r="C961" s="2">
        <v>46071.626388888886</v>
      </c>
      <c r="D961" t="s">
        <v>6024</v>
      </c>
      <c r="E961" t="s">
        <v>6029</v>
      </c>
      <c r="F961" t="s">
        <v>6033</v>
      </c>
      <c r="G961" t="s">
        <v>6087</v>
      </c>
      <c r="H961" t="s">
        <v>6098</v>
      </c>
      <c r="I961">
        <v>72</v>
      </c>
      <c r="J961">
        <v>5.2</v>
      </c>
      <c r="K961" t="s">
        <v>6099</v>
      </c>
      <c r="L961" t="s">
        <v>6100</v>
      </c>
      <c r="M961" t="s">
        <v>6100</v>
      </c>
      <c r="O961" t="s">
        <v>6101</v>
      </c>
      <c r="P961" t="s">
        <v>6108</v>
      </c>
      <c r="Q961">
        <v>2</v>
      </c>
      <c r="R961">
        <v>2026</v>
      </c>
      <c r="S961" t="s">
        <v>6099</v>
      </c>
      <c r="T961">
        <v>1</v>
      </c>
      <c r="U961" t="s">
        <v>6021</v>
      </c>
      <c r="V961">
        <v>1</v>
      </c>
    </row>
    <row r="962" spans="1:22" x14ac:dyDescent="0.3">
      <c r="A962" t="s">
        <v>977</v>
      </c>
      <c r="B962" s="2">
        <v>46071.42083333333</v>
      </c>
      <c r="C962" s="2">
        <v>46071.791666666664</v>
      </c>
      <c r="D962" t="s">
        <v>6022</v>
      </c>
      <c r="E962" t="s">
        <v>6030</v>
      </c>
      <c r="F962" t="s">
        <v>6034</v>
      </c>
      <c r="G962" t="s">
        <v>6039</v>
      </c>
      <c r="H962" t="s">
        <v>6097</v>
      </c>
      <c r="I962">
        <v>24</v>
      </c>
      <c r="J962">
        <v>8.9</v>
      </c>
      <c r="K962" t="s">
        <v>6100</v>
      </c>
      <c r="L962" t="s">
        <v>6099</v>
      </c>
      <c r="M962" t="s">
        <v>6100</v>
      </c>
      <c r="N962">
        <v>4</v>
      </c>
      <c r="O962" t="s">
        <v>6101</v>
      </c>
      <c r="P962" t="s">
        <v>6108</v>
      </c>
      <c r="Q962">
        <v>2</v>
      </c>
      <c r="R962">
        <v>2026</v>
      </c>
      <c r="S962" t="s">
        <v>6099</v>
      </c>
      <c r="T962">
        <v>1</v>
      </c>
      <c r="U962" t="s">
        <v>6018</v>
      </c>
      <c r="V962">
        <v>0</v>
      </c>
    </row>
    <row r="963" spans="1:22" x14ac:dyDescent="0.3">
      <c r="A963" t="s">
        <v>978</v>
      </c>
      <c r="B963" s="2">
        <v>46071.438194444447</v>
      </c>
      <c r="C963" s="2">
        <v>46071.588194444441</v>
      </c>
      <c r="D963" t="s">
        <v>6028</v>
      </c>
      <c r="E963" t="s">
        <v>6030</v>
      </c>
      <c r="F963" t="s">
        <v>6035</v>
      </c>
      <c r="G963" t="s">
        <v>6037</v>
      </c>
      <c r="H963" t="s">
        <v>6096</v>
      </c>
      <c r="I963">
        <v>4</v>
      </c>
      <c r="J963">
        <v>3.6</v>
      </c>
      <c r="K963" t="s">
        <v>6099</v>
      </c>
      <c r="L963" t="s">
        <v>6100</v>
      </c>
      <c r="M963" t="s">
        <v>6100</v>
      </c>
      <c r="N963">
        <v>5</v>
      </c>
      <c r="O963" t="s">
        <v>6101</v>
      </c>
      <c r="P963" t="s">
        <v>6108</v>
      </c>
      <c r="Q963">
        <v>2</v>
      </c>
      <c r="R963">
        <v>2026</v>
      </c>
      <c r="S963" t="s">
        <v>6099</v>
      </c>
      <c r="T963">
        <v>1</v>
      </c>
      <c r="U963" t="s">
        <v>6020</v>
      </c>
      <c r="V963">
        <v>1</v>
      </c>
    </row>
    <row r="964" spans="1:22" x14ac:dyDescent="0.3">
      <c r="A964" t="s">
        <v>979</v>
      </c>
      <c r="B964" s="2">
        <v>46071.447916666664</v>
      </c>
      <c r="C964" s="2">
        <v>46077.027083333334</v>
      </c>
      <c r="D964" t="s">
        <v>6026</v>
      </c>
      <c r="E964" t="s">
        <v>6031</v>
      </c>
      <c r="F964" t="s">
        <v>6034</v>
      </c>
      <c r="G964" t="s">
        <v>6053</v>
      </c>
      <c r="H964" t="s">
        <v>6097</v>
      </c>
      <c r="I964">
        <v>24</v>
      </c>
      <c r="J964">
        <v>133.9</v>
      </c>
      <c r="K964" t="s">
        <v>6099</v>
      </c>
      <c r="L964" t="s">
        <v>6100</v>
      </c>
      <c r="M964" t="s">
        <v>6100</v>
      </c>
      <c r="O964" t="s">
        <v>6101</v>
      </c>
      <c r="P964" t="s">
        <v>6108</v>
      </c>
      <c r="Q964">
        <v>2</v>
      </c>
      <c r="R964">
        <v>2026</v>
      </c>
      <c r="S964" t="s">
        <v>6100</v>
      </c>
      <c r="T964">
        <v>0</v>
      </c>
      <c r="U964" t="s">
        <v>6019</v>
      </c>
      <c r="V964">
        <v>1</v>
      </c>
    </row>
    <row r="965" spans="1:22" x14ac:dyDescent="0.3">
      <c r="A965" t="s">
        <v>980</v>
      </c>
      <c r="B965" s="2">
        <v>46071.459027777775</v>
      </c>
      <c r="C965" s="2">
        <v>46071.684027777781</v>
      </c>
      <c r="D965" t="s">
        <v>6025</v>
      </c>
      <c r="E965" t="s">
        <v>6030</v>
      </c>
      <c r="F965" t="s">
        <v>6033</v>
      </c>
      <c r="G965" t="s">
        <v>6069</v>
      </c>
      <c r="H965" t="s">
        <v>6098</v>
      </c>
      <c r="I965">
        <v>72</v>
      </c>
      <c r="J965">
        <v>5.4</v>
      </c>
      <c r="K965" t="s">
        <v>6100</v>
      </c>
      <c r="L965" t="s">
        <v>6100</v>
      </c>
      <c r="M965" t="s">
        <v>6099</v>
      </c>
      <c r="N965">
        <v>4</v>
      </c>
      <c r="O965" t="s">
        <v>6101</v>
      </c>
      <c r="P965" t="s">
        <v>6108</v>
      </c>
      <c r="Q965">
        <v>2</v>
      </c>
      <c r="R965">
        <v>2026</v>
      </c>
      <c r="S965" t="s">
        <v>6099</v>
      </c>
      <c r="T965">
        <v>1</v>
      </c>
      <c r="U965" t="s">
        <v>6021</v>
      </c>
      <c r="V965">
        <v>0</v>
      </c>
    </row>
    <row r="966" spans="1:22" x14ac:dyDescent="0.3">
      <c r="A966" t="s">
        <v>981</v>
      </c>
      <c r="B966" s="2">
        <v>46071.46875</v>
      </c>
      <c r="C966" s="2">
        <v>46071.897916666669</v>
      </c>
      <c r="D966" t="s">
        <v>6024</v>
      </c>
      <c r="E966" t="s">
        <v>6030</v>
      </c>
      <c r="F966" t="s">
        <v>6034</v>
      </c>
      <c r="G966" t="s">
        <v>6048</v>
      </c>
      <c r="H966" t="s">
        <v>6096</v>
      </c>
      <c r="I966">
        <v>24</v>
      </c>
      <c r="J966">
        <v>10.3</v>
      </c>
      <c r="K966" t="s">
        <v>6099</v>
      </c>
      <c r="L966" t="s">
        <v>6100</v>
      </c>
      <c r="M966" t="s">
        <v>6100</v>
      </c>
      <c r="O966" t="s">
        <v>6101</v>
      </c>
      <c r="P966" t="s">
        <v>6108</v>
      </c>
      <c r="Q966">
        <v>2</v>
      </c>
      <c r="R966">
        <v>2026</v>
      </c>
      <c r="S966" t="s">
        <v>6099</v>
      </c>
      <c r="T966">
        <v>1</v>
      </c>
      <c r="U966" t="s">
        <v>6018</v>
      </c>
      <c r="V966">
        <v>1</v>
      </c>
    </row>
    <row r="967" spans="1:22" x14ac:dyDescent="0.3">
      <c r="A967" t="s">
        <v>982</v>
      </c>
      <c r="B967" s="2">
        <v>46071.481944444444</v>
      </c>
      <c r="C967" s="2">
        <v>46072.015277777777</v>
      </c>
      <c r="D967" t="s">
        <v>6022</v>
      </c>
      <c r="E967" t="s">
        <v>6029</v>
      </c>
      <c r="F967" t="s">
        <v>6034</v>
      </c>
      <c r="G967" t="s">
        <v>6081</v>
      </c>
      <c r="H967" t="s">
        <v>6098</v>
      </c>
      <c r="I967">
        <v>24</v>
      </c>
      <c r="J967">
        <v>12.8</v>
      </c>
      <c r="K967" t="s">
        <v>6099</v>
      </c>
      <c r="L967" t="s">
        <v>6100</v>
      </c>
      <c r="M967" t="s">
        <v>6099</v>
      </c>
      <c r="O967" t="s">
        <v>6101</v>
      </c>
      <c r="P967" t="s">
        <v>6108</v>
      </c>
      <c r="Q967">
        <v>2</v>
      </c>
      <c r="R967">
        <v>2026</v>
      </c>
      <c r="S967" t="s">
        <v>6099</v>
      </c>
      <c r="T967">
        <v>1</v>
      </c>
      <c r="U967" t="s">
        <v>6020</v>
      </c>
      <c r="V967">
        <v>1</v>
      </c>
    </row>
    <row r="968" spans="1:22" x14ac:dyDescent="0.3">
      <c r="A968" t="s">
        <v>983</v>
      </c>
      <c r="B968" s="2">
        <v>46071.504861111112</v>
      </c>
      <c r="C968" s="2">
        <v>46071.650694444441</v>
      </c>
      <c r="D968" t="s">
        <v>6023</v>
      </c>
      <c r="E968" t="s">
        <v>6029</v>
      </c>
      <c r="F968" t="s">
        <v>6033</v>
      </c>
      <c r="G968" t="s">
        <v>6044</v>
      </c>
      <c r="H968" t="s">
        <v>6097</v>
      </c>
      <c r="I968">
        <v>72</v>
      </c>
      <c r="J968">
        <v>3.5</v>
      </c>
      <c r="K968" t="s">
        <v>6099</v>
      </c>
      <c r="L968" t="s">
        <v>6100</v>
      </c>
      <c r="M968" t="s">
        <v>6100</v>
      </c>
      <c r="O968" t="s">
        <v>6101</v>
      </c>
      <c r="P968" t="s">
        <v>6108</v>
      </c>
      <c r="Q968">
        <v>2</v>
      </c>
      <c r="R968">
        <v>2026</v>
      </c>
      <c r="S968" t="s">
        <v>6099</v>
      </c>
      <c r="T968">
        <v>1</v>
      </c>
      <c r="U968" t="s">
        <v>6021</v>
      </c>
      <c r="V968">
        <v>1</v>
      </c>
    </row>
    <row r="969" spans="1:22" x14ac:dyDescent="0.3">
      <c r="A969" t="s">
        <v>984</v>
      </c>
      <c r="B969" s="2">
        <v>46071.515277777777</v>
      </c>
      <c r="C969" s="2">
        <v>46072.181944444441</v>
      </c>
      <c r="D969" t="s">
        <v>6025</v>
      </c>
      <c r="E969" t="s">
        <v>6030</v>
      </c>
      <c r="F969" t="s">
        <v>6034</v>
      </c>
      <c r="G969" t="s">
        <v>6073</v>
      </c>
      <c r="H969" t="s">
        <v>6096</v>
      </c>
      <c r="I969">
        <v>24</v>
      </c>
      <c r="J969">
        <v>16</v>
      </c>
      <c r="K969" t="s">
        <v>6099</v>
      </c>
      <c r="L969" t="s">
        <v>6100</v>
      </c>
      <c r="M969" t="s">
        <v>6100</v>
      </c>
      <c r="N969">
        <v>4</v>
      </c>
      <c r="O969" t="s">
        <v>6101</v>
      </c>
      <c r="P969" t="s">
        <v>6108</v>
      </c>
      <c r="Q969">
        <v>2</v>
      </c>
      <c r="R969">
        <v>2026</v>
      </c>
      <c r="S969" t="s">
        <v>6099</v>
      </c>
      <c r="T969">
        <v>1</v>
      </c>
      <c r="U969" t="s">
        <v>6021</v>
      </c>
      <c r="V969">
        <v>1</v>
      </c>
    </row>
    <row r="970" spans="1:22" x14ac:dyDescent="0.3">
      <c r="A970" t="s">
        <v>985</v>
      </c>
      <c r="B970" s="2">
        <v>46071.523611111108</v>
      </c>
      <c r="C970" s="2">
        <v>46071.661111111112</v>
      </c>
      <c r="D970" t="s">
        <v>6028</v>
      </c>
      <c r="E970" t="s">
        <v>6029</v>
      </c>
      <c r="F970" t="s">
        <v>6034</v>
      </c>
      <c r="G970" t="s">
        <v>6076</v>
      </c>
      <c r="H970" t="s">
        <v>6097</v>
      </c>
      <c r="I970">
        <v>24</v>
      </c>
      <c r="J970">
        <v>3.3</v>
      </c>
      <c r="K970" t="s">
        <v>6100</v>
      </c>
      <c r="L970" t="s">
        <v>6100</v>
      </c>
      <c r="M970" t="s">
        <v>6100</v>
      </c>
      <c r="N970">
        <v>4</v>
      </c>
      <c r="O970" t="s">
        <v>6101</v>
      </c>
      <c r="P970" t="s">
        <v>6108</v>
      </c>
      <c r="Q970">
        <v>2</v>
      </c>
      <c r="R970">
        <v>2026</v>
      </c>
      <c r="S970" t="s">
        <v>6099</v>
      </c>
      <c r="T970">
        <v>1</v>
      </c>
      <c r="U970" t="s">
        <v>6017</v>
      </c>
      <c r="V970">
        <v>0</v>
      </c>
    </row>
    <row r="971" spans="1:22" x14ac:dyDescent="0.3">
      <c r="A971" t="s">
        <v>986</v>
      </c>
      <c r="B971" s="2">
        <v>46071.52847222222</v>
      </c>
      <c r="C971" s="2">
        <v>46072.982638888891</v>
      </c>
      <c r="D971" t="s">
        <v>6028</v>
      </c>
      <c r="E971" t="s">
        <v>6031</v>
      </c>
      <c r="F971" t="s">
        <v>6035</v>
      </c>
      <c r="G971" t="s">
        <v>6075</v>
      </c>
      <c r="H971" t="s">
        <v>6097</v>
      </c>
      <c r="I971">
        <v>4</v>
      </c>
      <c r="J971">
        <v>34.9</v>
      </c>
      <c r="K971" t="s">
        <v>6099</v>
      </c>
      <c r="L971" t="s">
        <v>6100</v>
      </c>
      <c r="M971" t="s">
        <v>6100</v>
      </c>
      <c r="N971">
        <v>5</v>
      </c>
      <c r="O971" t="s">
        <v>6101</v>
      </c>
      <c r="P971" t="s">
        <v>6108</v>
      </c>
      <c r="Q971">
        <v>2</v>
      </c>
      <c r="R971">
        <v>2026</v>
      </c>
      <c r="S971" t="s">
        <v>6100</v>
      </c>
      <c r="T971">
        <v>0</v>
      </c>
      <c r="U971" t="s">
        <v>6020</v>
      </c>
      <c r="V971">
        <v>1</v>
      </c>
    </row>
    <row r="972" spans="1:22" x14ac:dyDescent="0.3">
      <c r="A972" t="s">
        <v>987</v>
      </c>
      <c r="B972" s="2">
        <v>46071.541666666664</v>
      </c>
      <c r="C972" s="2">
        <v>46073.279166666667</v>
      </c>
      <c r="D972" t="s">
        <v>6023</v>
      </c>
      <c r="E972" t="s">
        <v>6032</v>
      </c>
      <c r="F972" t="s">
        <v>6034</v>
      </c>
      <c r="G972" t="s">
        <v>6058</v>
      </c>
      <c r="H972" t="s">
        <v>6098</v>
      </c>
      <c r="I972">
        <v>24</v>
      </c>
      <c r="J972">
        <v>41.7</v>
      </c>
      <c r="K972" t="s">
        <v>6099</v>
      </c>
      <c r="L972" t="s">
        <v>6100</v>
      </c>
      <c r="M972" t="s">
        <v>6100</v>
      </c>
      <c r="N972">
        <v>4</v>
      </c>
      <c r="O972" t="s">
        <v>6101</v>
      </c>
      <c r="P972" t="s">
        <v>6108</v>
      </c>
      <c r="Q972">
        <v>2</v>
      </c>
      <c r="R972">
        <v>2026</v>
      </c>
      <c r="S972" t="s">
        <v>6100</v>
      </c>
      <c r="T972">
        <v>0</v>
      </c>
      <c r="U972" t="s">
        <v>6019</v>
      </c>
      <c r="V972">
        <v>1</v>
      </c>
    </row>
    <row r="973" spans="1:22" x14ac:dyDescent="0.3">
      <c r="A973" t="s">
        <v>988</v>
      </c>
      <c r="B973" s="2">
        <v>46071.574999999997</v>
      </c>
      <c r="C973" s="2">
        <v>46072.67083333333</v>
      </c>
      <c r="D973" t="s">
        <v>6024</v>
      </c>
      <c r="E973" t="s">
        <v>6029</v>
      </c>
      <c r="F973" t="s">
        <v>6035</v>
      </c>
      <c r="G973" t="s">
        <v>6078</v>
      </c>
      <c r="H973" t="s">
        <v>6097</v>
      </c>
      <c r="I973">
        <v>4</v>
      </c>
      <c r="J973">
        <v>26.3</v>
      </c>
      <c r="K973" t="s">
        <v>6100</v>
      </c>
      <c r="L973" t="s">
        <v>6100</v>
      </c>
      <c r="M973" t="s">
        <v>6100</v>
      </c>
      <c r="O973" t="s">
        <v>6101</v>
      </c>
      <c r="P973" t="s">
        <v>6108</v>
      </c>
      <c r="Q973">
        <v>2</v>
      </c>
      <c r="R973">
        <v>2026</v>
      </c>
      <c r="S973" t="s">
        <v>6100</v>
      </c>
      <c r="T973">
        <v>0</v>
      </c>
      <c r="U973" t="s">
        <v>6019</v>
      </c>
      <c r="V973">
        <v>0</v>
      </c>
    </row>
    <row r="974" spans="1:22" x14ac:dyDescent="0.3">
      <c r="A974" t="s">
        <v>989</v>
      </c>
      <c r="B974" s="2">
        <v>46071.600694444445</v>
      </c>
      <c r="C974" s="2">
        <v>46072.704861111109</v>
      </c>
      <c r="D974" t="s">
        <v>6025</v>
      </c>
      <c r="E974" t="s">
        <v>6030</v>
      </c>
      <c r="F974" t="s">
        <v>6033</v>
      </c>
      <c r="G974" t="s">
        <v>6048</v>
      </c>
      <c r="H974" t="s">
        <v>6096</v>
      </c>
      <c r="I974">
        <v>72</v>
      </c>
      <c r="J974">
        <v>26.5</v>
      </c>
      <c r="K974" t="s">
        <v>6100</v>
      </c>
      <c r="L974" t="s">
        <v>6099</v>
      </c>
      <c r="M974" t="s">
        <v>6100</v>
      </c>
      <c r="N974">
        <v>5</v>
      </c>
      <c r="O974" t="s">
        <v>6101</v>
      </c>
      <c r="P974" t="s">
        <v>6108</v>
      </c>
      <c r="Q974">
        <v>2</v>
      </c>
      <c r="R974">
        <v>2026</v>
      </c>
      <c r="S974" t="s">
        <v>6099</v>
      </c>
      <c r="T974">
        <v>1</v>
      </c>
      <c r="U974" t="s">
        <v>6019</v>
      </c>
      <c r="V974">
        <v>0</v>
      </c>
    </row>
    <row r="975" spans="1:22" x14ac:dyDescent="0.3">
      <c r="A975" t="s">
        <v>990</v>
      </c>
      <c r="B975" s="2">
        <v>46071.638194444444</v>
      </c>
      <c r="C975" s="2">
        <v>46072.538194444445</v>
      </c>
      <c r="D975" t="s">
        <v>6027</v>
      </c>
      <c r="E975" t="s">
        <v>6031</v>
      </c>
      <c r="F975" t="s">
        <v>6034</v>
      </c>
      <c r="G975" t="s">
        <v>6065</v>
      </c>
      <c r="H975" t="s">
        <v>6097</v>
      </c>
      <c r="I975">
        <v>24</v>
      </c>
      <c r="J975">
        <v>21.6</v>
      </c>
      <c r="K975" t="s">
        <v>6099</v>
      </c>
      <c r="L975" t="s">
        <v>6100</v>
      </c>
      <c r="M975" t="s">
        <v>6100</v>
      </c>
      <c r="N975">
        <v>5</v>
      </c>
      <c r="O975" t="s">
        <v>6101</v>
      </c>
      <c r="P975" t="s">
        <v>6108</v>
      </c>
      <c r="Q975">
        <v>2</v>
      </c>
      <c r="R975">
        <v>2026</v>
      </c>
      <c r="S975" t="s">
        <v>6099</v>
      </c>
      <c r="T975">
        <v>1</v>
      </c>
      <c r="U975" t="s">
        <v>6021</v>
      </c>
      <c r="V975">
        <v>1</v>
      </c>
    </row>
    <row r="976" spans="1:22" x14ac:dyDescent="0.3">
      <c r="A976" t="s">
        <v>991</v>
      </c>
      <c r="B976" s="2">
        <v>46071.714583333334</v>
      </c>
      <c r="C976" s="2">
        <v>46071.872916666667</v>
      </c>
      <c r="D976" t="s">
        <v>6023</v>
      </c>
      <c r="E976" t="s">
        <v>6029</v>
      </c>
      <c r="F976" t="s">
        <v>6033</v>
      </c>
      <c r="G976" t="s">
        <v>6036</v>
      </c>
      <c r="H976" t="s">
        <v>6096</v>
      </c>
      <c r="I976">
        <v>72</v>
      </c>
      <c r="J976">
        <v>3.8</v>
      </c>
      <c r="K976" t="s">
        <v>6099</v>
      </c>
      <c r="L976" t="s">
        <v>6100</v>
      </c>
      <c r="M976" t="s">
        <v>6100</v>
      </c>
      <c r="N976">
        <v>5</v>
      </c>
      <c r="O976" t="s">
        <v>6101</v>
      </c>
      <c r="P976" t="s">
        <v>6108</v>
      </c>
      <c r="Q976">
        <v>2</v>
      </c>
      <c r="R976">
        <v>2026</v>
      </c>
      <c r="S976" t="s">
        <v>6099</v>
      </c>
      <c r="T976">
        <v>1</v>
      </c>
      <c r="U976" t="s">
        <v>6017</v>
      </c>
      <c r="V976">
        <v>1</v>
      </c>
    </row>
    <row r="977" spans="1:22" x14ac:dyDescent="0.3">
      <c r="A977" t="s">
        <v>992</v>
      </c>
      <c r="B977" s="2">
        <v>46071.75</v>
      </c>
      <c r="C977" s="2">
        <v>46071.833333333336</v>
      </c>
      <c r="D977" t="s">
        <v>6023</v>
      </c>
      <c r="E977" t="s">
        <v>6030</v>
      </c>
      <c r="F977" t="s">
        <v>6033</v>
      </c>
      <c r="G977" t="s">
        <v>6054</v>
      </c>
      <c r="H977" t="s">
        <v>6096</v>
      </c>
      <c r="I977">
        <v>72</v>
      </c>
      <c r="J977">
        <v>2</v>
      </c>
      <c r="K977" t="s">
        <v>6099</v>
      </c>
      <c r="L977" t="s">
        <v>6100</v>
      </c>
      <c r="M977" t="s">
        <v>6100</v>
      </c>
      <c r="N977">
        <v>5</v>
      </c>
      <c r="O977" t="s">
        <v>6101</v>
      </c>
      <c r="P977" t="s">
        <v>6108</v>
      </c>
      <c r="Q977">
        <v>2</v>
      </c>
      <c r="R977">
        <v>2026</v>
      </c>
      <c r="S977" t="s">
        <v>6099</v>
      </c>
      <c r="T977">
        <v>1</v>
      </c>
      <c r="U977" t="s">
        <v>6020</v>
      </c>
      <c r="V977">
        <v>1</v>
      </c>
    </row>
    <row r="978" spans="1:22" x14ac:dyDescent="0.3">
      <c r="A978" t="s">
        <v>993</v>
      </c>
      <c r="B978" s="2">
        <v>46071.771527777775</v>
      </c>
      <c r="C978" s="2">
        <v>46072.213194444441</v>
      </c>
      <c r="D978" t="s">
        <v>6022</v>
      </c>
      <c r="E978" t="s">
        <v>6032</v>
      </c>
      <c r="F978" t="s">
        <v>6033</v>
      </c>
      <c r="G978" t="s">
        <v>6076</v>
      </c>
      <c r="H978" t="s">
        <v>6097</v>
      </c>
      <c r="I978">
        <v>72</v>
      </c>
      <c r="J978">
        <v>10.6</v>
      </c>
      <c r="K978" t="s">
        <v>6099</v>
      </c>
      <c r="L978" t="s">
        <v>6100</v>
      </c>
      <c r="M978" t="s">
        <v>6100</v>
      </c>
      <c r="N978">
        <v>5</v>
      </c>
      <c r="O978" t="s">
        <v>6101</v>
      </c>
      <c r="P978" t="s">
        <v>6108</v>
      </c>
      <c r="Q978">
        <v>2</v>
      </c>
      <c r="R978">
        <v>2026</v>
      </c>
      <c r="S978" t="s">
        <v>6099</v>
      </c>
      <c r="T978">
        <v>1</v>
      </c>
      <c r="U978" t="s">
        <v>6020</v>
      </c>
      <c r="V978">
        <v>1</v>
      </c>
    </row>
    <row r="979" spans="1:22" x14ac:dyDescent="0.3">
      <c r="A979" t="s">
        <v>994</v>
      </c>
      <c r="B979" s="2">
        <v>46071.822916666664</v>
      </c>
      <c r="C979" s="2">
        <v>46076.760416666664</v>
      </c>
      <c r="D979" t="s">
        <v>6026</v>
      </c>
      <c r="E979" t="s">
        <v>6031</v>
      </c>
      <c r="F979" t="s">
        <v>6033</v>
      </c>
      <c r="G979" t="s">
        <v>6077</v>
      </c>
      <c r="H979" t="s">
        <v>6098</v>
      </c>
      <c r="I979">
        <v>72</v>
      </c>
      <c r="J979">
        <v>118.5</v>
      </c>
      <c r="K979" t="s">
        <v>6099</v>
      </c>
      <c r="L979" t="s">
        <v>6100</v>
      </c>
      <c r="M979" t="s">
        <v>6100</v>
      </c>
      <c r="N979">
        <v>4</v>
      </c>
      <c r="O979" t="s">
        <v>6101</v>
      </c>
      <c r="P979" t="s">
        <v>6108</v>
      </c>
      <c r="Q979">
        <v>2</v>
      </c>
      <c r="R979">
        <v>2026</v>
      </c>
      <c r="S979" t="s">
        <v>6100</v>
      </c>
      <c r="T979">
        <v>0</v>
      </c>
      <c r="U979" t="s">
        <v>6017</v>
      </c>
      <c r="V979">
        <v>1</v>
      </c>
    </row>
    <row r="980" spans="1:22" x14ac:dyDescent="0.3">
      <c r="A980" t="s">
        <v>995</v>
      </c>
      <c r="B980" s="2">
        <v>46072.270138888889</v>
      </c>
      <c r="C980" s="2">
        <v>46072.795138888891</v>
      </c>
      <c r="D980" t="s">
        <v>6023</v>
      </c>
      <c r="E980" t="s">
        <v>6032</v>
      </c>
      <c r="F980" t="s">
        <v>6034</v>
      </c>
      <c r="G980" t="s">
        <v>6050</v>
      </c>
      <c r="H980" t="s">
        <v>6098</v>
      </c>
      <c r="I980">
        <v>24</v>
      </c>
      <c r="J980">
        <v>12.6</v>
      </c>
      <c r="K980" t="s">
        <v>6099</v>
      </c>
      <c r="L980" t="s">
        <v>6100</v>
      </c>
      <c r="M980" t="s">
        <v>6100</v>
      </c>
      <c r="N980">
        <v>4</v>
      </c>
      <c r="O980" t="s">
        <v>6101</v>
      </c>
      <c r="P980" t="s">
        <v>6108</v>
      </c>
      <c r="Q980">
        <v>2</v>
      </c>
      <c r="R980">
        <v>2026</v>
      </c>
      <c r="S980" t="s">
        <v>6099</v>
      </c>
      <c r="T980">
        <v>1</v>
      </c>
      <c r="U980" t="s">
        <v>6019</v>
      </c>
      <c r="V980">
        <v>1</v>
      </c>
    </row>
    <row r="981" spans="1:22" x14ac:dyDescent="0.3">
      <c r="A981" t="s">
        <v>996</v>
      </c>
      <c r="B981" s="2">
        <v>46072.382638888892</v>
      </c>
      <c r="C981" s="2">
        <v>46072.649305555555</v>
      </c>
      <c r="D981" t="s">
        <v>6024</v>
      </c>
      <c r="E981" t="s">
        <v>6029</v>
      </c>
      <c r="F981" t="s">
        <v>6035</v>
      </c>
      <c r="G981" t="s">
        <v>6085</v>
      </c>
      <c r="H981" t="s">
        <v>6097</v>
      </c>
      <c r="I981">
        <v>4</v>
      </c>
      <c r="J981">
        <v>6.4</v>
      </c>
      <c r="K981" t="s">
        <v>6099</v>
      </c>
      <c r="L981" t="s">
        <v>6100</v>
      </c>
      <c r="M981" t="s">
        <v>6100</v>
      </c>
      <c r="O981" t="s">
        <v>6101</v>
      </c>
      <c r="P981" t="s">
        <v>6108</v>
      </c>
      <c r="Q981">
        <v>2</v>
      </c>
      <c r="R981">
        <v>2026</v>
      </c>
      <c r="S981" t="s">
        <v>6100</v>
      </c>
      <c r="T981">
        <v>0</v>
      </c>
      <c r="U981" t="s">
        <v>6017</v>
      </c>
      <c r="V981">
        <v>1</v>
      </c>
    </row>
    <row r="982" spans="1:22" x14ac:dyDescent="0.3">
      <c r="A982" t="s">
        <v>997</v>
      </c>
      <c r="B982" s="2">
        <v>46072.413888888892</v>
      </c>
      <c r="C982" s="2">
        <v>46074.734722222223</v>
      </c>
      <c r="D982" t="s">
        <v>6024</v>
      </c>
      <c r="E982" t="s">
        <v>6031</v>
      </c>
      <c r="F982" t="s">
        <v>6035</v>
      </c>
      <c r="G982" t="s">
        <v>6041</v>
      </c>
      <c r="H982" t="s">
        <v>6096</v>
      </c>
      <c r="I982">
        <v>4</v>
      </c>
      <c r="J982">
        <v>55.7</v>
      </c>
      <c r="K982" t="s">
        <v>6100</v>
      </c>
      <c r="L982" t="s">
        <v>6100</v>
      </c>
      <c r="M982" t="s">
        <v>6100</v>
      </c>
      <c r="O982" t="s">
        <v>6101</v>
      </c>
      <c r="P982" t="s">
        <v>6108</v>
      </c>
      <c r="Q982">
        <v>2</v>
      </c>
      <c r="R982">
        <v>2026</v>
      </c>
      <c r="S982" t="s">
        <v>6100</v>
      </c>
      <c r="T982">
        <v>0</v>
      </c>
      <c r="U982" t="s">
        <v>6017</v>
      </c>
      <c r="V982">
        <v>0</v>
      </c>
    </row>
    <row r="983" spans="1:22" x14ac:dyDescent="0.3">
      <c r="A983" t="s">
        <v>998</v>
      </c>
      <c r="B983" s="2">
        <v>46072.444444444445</v>
      </c>
      <c r="C983" s="2">
        <v>46073.331944444442</v>
      </c>
      <c r="D983" t="s">
        <v>6028</v>
      </c>
      <c r="E983" t="s">
        <v>6031</v>
      </c>
      <c r="F983" t="s">
        <v>6035</v>
      </c>
      <c r="G983" t="s">
        <v>6065</v>
      </c>
      <c r="H983" t="s">
        <v>6097</v>
      </c>
      <c r="I983">
        <v>4</v>
      </c>
      <c r="J983">
        <v>21.3</v>
      </c>
      <c r="K983" t="s">
        <v>6099</v>
      </c>
      <c r="L983" t="s">
        <v>6100</v>
      </c>
      <c r="M983" t="s">
        <v>6099</v>
      </c>
      <c r="O983" t="s">
        <v>6101</v>
      </c>
      <c r="P983" t="s">
        <v>6108</v>
      </c>
      <c r="Q983">
        <v>2</v>
      </c>
      <c r="R983">
        <v>2026</v>
      </c>
      <c r="S983" t="s">
        <v>6100</v>
      </c>
      <c r="T983">
        <v>0</v>
      </c>
      <c r="U983" t="s">
        <v>6018</v>
      </c>
      <c r="V983">
        <v>1</v>
      </c>
    </row>
    <row r="984" spans="1:22" x14ac:dyDescent="0.3">
      <c r="A984" t="s">
        <v>999</v>
      </c>
      <c r="B984" s="2">
        <v>46072.447916666664</v>
      </c>
      <c r="C984" s="2">
        <v>46072.518750000003</v>
      </c>
      <c r="D984" t="s">
        <v>6022</v>
      </c>
      <c r="E984" t="s">
        <v>6030</v>
      </c>
      <c r="F984" t="s">
        <v>6034</v>
      </c>
      <c r="G984" t="s">
        <v>6083</v>
      </c>
      <c r="H984" t="s">
        <v>6096</v>
      </c>
      <c r="I984">
        <v>24</v>
      </c>
      <c r="J984">
        <v>1.7</v>
      </c>
      <c r="K984" t="s">
        <v>6100</v>
      </c>
      <c r="L984" t="s">
        <v>6100</v>
      </c>
      <c r="M984" t="s">
        <v>6100</v>
      </c>
      <c r="N984">
        <v>3</v>
      </c>
      <c r="O984" t="s">
        <v>6101</v>
      </c>
      <c r="P984" t="s">
        <v>6108</v>
      </c>
      <c r="Q984">
        <v>2</v>
      </c>
      <c r="R984">
        <v>2026</v>
      </c>
      <c r="S984" t="s">
        <v>6099</v>
      </c>
      <c r="T984">
        <v>1</v>
      </c>
      <c r="U984" t="s">
        <v>6017</v>
      </c>
      <c r="V984">
        <v>0</v>
      </c>
    </row>
    <row r="985" spans="1:22" x14ac:dyDescent="0.3">
      <c r="A985" t="s">
        <v>1000</v>
      </c>
      <c r="B985" s="2">
        <v>46072.470138888886</v>
      </c>
      <c r="C985" s="2">
        <v>46077.395138888889</v>
      </c>
      <c r="D985" t="s">
        <v>6026</v>
      </c>
      <c r="E985" t="s">
        <v>6031</v>
      </c>
      <c r="F985" t="s">
        <v>6033</v>
      </c>
      <c r="G985" t="s">
        <v>6057</v>
      </c>
      <c r="H985" t="s">
        <v>6097</v>
      </c>
      <c r="I985">
        <v>72</v>
      </c>
      <c r="J985">
        <v>118.2</v>
      </c>
      <c r="K985" t="s">
        <v>6100</v>
      </c>
      <c r="L985" t="s">
        <v>6100</v>
      </c>
      <c r="M985" t="s">
        <v>6100</v>
      </c>
      <c r="N985">
        <v>2</v>
      </c>
      <c r="O985" t="s">
        <v>6101</v>
      </c>
      <c r="P985" t="s">
        <v>6108</v>
      </c>
      <c r="Q985">
        <v>2</v>
      </c>
      <c r="R985">
        <v>2026</v>
      </c>
      <c r="S985" t="s">
        <v>6100</v>
      </c>
      <c r="T985">
        <v>0</v>
      </c>
      <c r="U985" t="s">
        <v>6020</v>
      </c>
      <c r="V985">
        <v>0</v>
      </c>
    </row>
    <row r="986" spans="1:22" x14ac:dyDescent="0.3">
      <c r="A986" t="s">
        <v>1001</v>
      </c>
      <c r="B986" s="2">
        <v>46072.504861111112</v>
      </c>
      <c r="C986" s="2">
        <v>46073.396527777775</v>
      </c>
      <c r="D986" t="s">
        <v>6025</v>
      </c>
      <c r="E986" t="s">
        <v>6031</v>
      </c>
      <c r="F986" t="s">
        <v>6034</v>
      </c>
      <c r="G986" t="s">
        <v>6069</v>
      </c>
      <c r="H986" t="s">
        <v>6098</v>
      </c>
      <c r="I986">
        <v>24</v>
      </c>
      <c r="J986">
        <v>21.4</v>
      </c>
      <c r="K986" t="s">
        <v>6099</v>
      </c>
      <c r="L986" t="s">
        <v>6100</v>
      </c>
      <c r="M986" t="s">
        <v>6100</v>
      </c>
      <c r="O986" t="s">
        <v>6101</v>
      </c>
      <c r="P986" t="s">
        <v>6108</v>
      </c>
      <c r="Q986">
        <v>2</v>
      </c>
      <c r="R986">
        <v>2026</v>
      </c>
      <c r="S986" t="s">
        <v>6099</v>
      </c>
      <c r="T986">
        <v>1</v>
      </c>
      <c r="U986" t="s">
        <v>6018</v>
      </c>
      <c r="V986">
        <v>1</v>
      </c>
    </row>
    <row r="987" spans="1:22" x14ac:dyDescent="0.3">
      <c r="A987" t="s">
        <v>1002</v>
      </c>
      <c r="B987" s="2">
        <v>46072.508333333331</v>
      </c>
      <c r="C987" s="2">
        <v>46073.254166666666</v>
      </c>
      <c r="D987" t="s">
        <v>6022</v>
      </c>
      <c r="E987" t="s">
        <v>6029</v>
      </c>
      <c r="F987" t="s">
        <v>6034</v>
      </c>
      <c r="G987" t="s">
        <v>6074</v>
      </c>
      <c r="H987" t="s">
        <v>6098</v>
      </c>
      <c r="I987">
        <v>24</v>
      </c>
      <c r="J987">
        <v>17.899999999999999</v>
      </c>
      <c r="K987" t="s">
        <v>6099</v>
      </c>
      <c r="L987" t="s">
        <v>6100</v>
      </c>
      <c r="M987" t="s">
        <v>6100</v>
      </c>
      <c r="O987" t="s">
        <v>6101</v>
      </c>
      <c r="P987" t="s">
        <v>6108</v>
      </c>
      <c r="Q987">
        <v>2</v>
      </c>
      <c r="R987">
        <v>2026</v>
      </c>
      <c r="S987" t="s">
        <v>6099</v>
      </c>
      <c r="T987">
        <v>1</v>
      </c>
      <c r="U987" t="s">
        <v>6017</v>
      </c>
      <c r="V987">
        <v>1</v>
      </c>
    </row>
    <row r="988" spans="1:22" x14ac:dyDescent="0.3">
      <c r="A988" t="s">
        <v>1003</v>
      </c>
      <c r="B988" s="2">
        <v>46072.540972222225</v>
      </c>
      <c r="C988" s="2">
        <v>46073.27847222222</v>
      </c>
      <c r="D988" t="s">
        <v>6023</v>
      </c>
      <c r="E988" t="s">
        <v>6032</v>
      </c>
      <c r="F988" t="s">
        <v>6034</v>
      </c>
      <c r="G988" t="s">
        <v>6054</v>
      </c>
      <c r="H988" t="s">
        <v>6096</v>
      </c>
      <c r="I988">
        <v>24</v>
      </c>
      <c r="J988">
        <v>17.7</v>
      </c>
      <c r="K988" t="s">
        <v>6099</v>
      </c>
      <c r="L988" t="s">
        <v>6100</v>
      </c>
      <c r="M988" t="s">
        <v>6100</v>
      </c>
      <c r="O988" t="s">
        <v>6101</v>
      </c>
      <c r="P988" t="s">
        <v>6108</v>
      </c>
      <c r="Q988">
        <v>2</v>
      </c>
      <c r="R988">
        <v>2026</v>
      </c>
      <c r="S988" t="s">
        <v>6099</v>
      </c>
      <c r="T988">
        <v>1</v>
      </c>
      <c r="U988" t="s">
        <v>6018</v>
      </c>
      <c r="V988">
        <v>1</v>
      </c>
    </row>
    <row r="989" spans="1:22" x14ac:dyDescent="0.3">
      <c r="A989" t="s">
        <v>1004</v>
      </c>
      <c r="B989" s="2">
        <v>46072.550694444442</v>
      </c>
      <c r="C989" s="2">
        <v>46073.167361111111</v>
      </c>
      <c r="D989" t="s">
        <v>6027</v>
      </c>
      <c r="E989" t="s">
        <v>6030</v>
      </c>
      <c r="F989" t="s">
        <v>6034</v>
      </c>
      <c r="G989" t="s">
        <v>6041</v>
      </c>
      <c r="H989" t="s">
        <v>6096</v>
      </c>
      <c r="I989">
        <v>24</v>
      </c>
      <c r="J989">
        <v>14.8</v>
      </c>
      <c r="K989" t="s">
        <v>6099</v>
      </c>
      <c r="L989" t="s">
        <v>6100</v>
      </c>
      <c r="M989" t="s">
        <v>6100</v>
      </c>
      <c r="N989">
        <v>5</v>
      </c>
      <c r="O989" t="s">
        <v>6101</v>
      </c>
      <c r="P989" t="s">
        <v>6108</v>
      </c>
      <c r="Q989">
        <v>2</v>
      </c>
      <c r="R989">
        <v>2026</v>
      </c>
      <c r="S989" t="s">
        <v>6099</v>
      </c>
      <c r="T989">
        <v>1</v>
      </c>
      <c r="U989" t="s">
        <v>6021</v>
      </c>
      <c r="V989">
        <v>1</v>
      </c>
    </row>
    <row r="990" spans="1:22" x14ac:dyDescent="0.3">
      <c r="A990" t="s">
        <v>1005</v>
      </c>
      <c r="B990" s="2">
        <v>46072.5625</v>
      </c>
      <c r="C990" s="2">
        <v>46072.758333333331</v>
      </c>
      <c r="D990" t="s">
        <v>6028</v>
      </c>
      <c r="E990" t="s">
        <v>6030</v>
      </c>
      <c r="F990" t="s">
        <v>6034</v>
      </c>
      <c r="G990" t="s">
        <v>6078</v>
      </c>
      <c r="H990" t="s">
        <v>6097</v>
      </c>
      <c r="I990">
        <v>24</v>
      </c>
      <c r="J990">
        <v>4.7</v>
      </c>
      <c r="K990" t="s">
        <v>6099</v>
      </c>
      <c r="L990" t="s">
        <v>6100</v>
      </c>
      <c r="M990" t="s">
        <v>6100</v>
      </c>
      <c r="N990">
        <v>5</v>
      </c>
      <c r="O990" t="s">
        <v>6101</v>
      </c>
      <c r="P990" t="s">
        <v>6108</v>
      </c>
      <c r="Q990">
        <v>2</v>
      </c>
      <c r="R990">
        <v>2026</v>
      </c>
      <c r="S990" t="s">
        <v>6099</v>
      </c>
      <c r="T990">
        <v>1</v>
      </c>
      <c r="U990" t="s">
        <v>6021</v>
      </c>
      <c r="V990">
        <v>1</v>
      </c>
    </row>
    <row r="991" spans="1:22" x14ac:dyDescent="0.3">
      <c r="A991" t="s">
        <v>1006</v>
      </c>
      <c r="B991" s="2">
        <v>46072.580555555556</v>
      </c>
      <c r="C991" s="2">
        <v>46073.180555555555</v>
      </c>
      <c r="D991" t="s">
        <v>6028</v>
      </c>
      <c r="E991" t="s">
        <v>6031</v>
      </c>
      <c r="F991" t="s">
        <v>6035</v>
      </c>
      <c r="G991" t="s">
        <v>6079</v>
      </c>
      <c r="H991" t="s">
        <v>6097</v>
      </c>
      <c r="I991">
        <v>4</v>
      </c>
      <c r="J991">
        <v>14.4</v>
      </c>
      <c r="K991" t="s">
        <v>6099</v>
      </c>
      <c r="L991" t="s">
        <v>6100</v>
      </c>
      <c r="M991" t="s">
        <v>6100</v>
      </c>
      <c r="N991">
        <v>5</v>
      </c>
      <c r="O991" t="s">
        <v>6101</v>
      </c>
      <c r="P991" t="s">
        <v>6108</v>
      </c>
      <c r="Q991">
        <v>2</v>
      </c>
      <c r="R991">
        <v>2026</v>
      </c>
      <c r="S991" t="s">
        <v>6100</v>
      </c>
      <c r="T991">
        <v>0</v>
      </c>
      <c r="U991" t="s">
        <v>6020</v>
      </c>
      <c r="V991">
        <v>1</v>
      </c>
    </row>
    <row r="992" spans="1:22" x14ac:dyDescent="0.3">
      <c r="A992" t="s">
        <v>1007</v>
      </c>
      <c r="B992" s="2">
        <v>46072.590277777781</v>
      </c>
      <c r="C992" s="2">
        <v>46072.740277777775</v>
      </c>
      <c r="D992" t="s">
        <v>6028</v>
      </c>
      <c r="E992" t="s">
        <v>6031</v>
      </c>
      <c r="F992" t="s">
        <v>6035</v>
      </c>
      <c r="G992" t="s">
        <v>6046</v>
      </c>
      <c r="H992" t="s">
        <v>6098</v>
      </c>
      <c r="I992">
        <v>4</v>
      </c>
      <c r="J992">
        <v>3.6</v>
      </c>
      <c r="K992" t="s">
        <v>6100</v>
      </c>
      <c r="L992" t="s">
        <v>6099</v>
      </c>
      <c r="M992" t="s">
        <v>6100</v>
      </c>
      <c r="O992" t="s">
        <v>6101</v>
      </c>
      <c r="P992" t="s">
        <v>6108</v>
      </c>
      <c r="Q992">
        <v>2</v>
      </c>
      <c r="R992">
        <v>2026</v>
      </c>
      <c r="S992" t="s">
        <v>6099</v>
      </c>
      <c r="T992">
        <v>1</v>
      </c>
      <c r="U992" t="s">
        <v>6020</v>
      </c>
      <c r="V992">
        <v>0</v>
      </c>
    </row>
    <row r="993" spans="1:22" x14ac:dyDescent="0.3">
      <c r="A993" t="s">
        <v>1008</v>
      </c>
      <c r="B993" s="2">
        <v>46072.609027777777</v>
      </c>
      <c r="C993" s="2">
        <v>46072.729861111111</v>
      </c>
      <c r="D993" t="s">
        <v>6024</v>
      </c>
      <c r="E993" t="s">
        <v>6030</v>
      </c>
      <c r="F993" t="s">
        <v>6034</v>
      </c>
      <c r="G993" t="s">
        <v>6040</v>
      </c>
      <c r="H993" t="s">
        <v>6097</v>
      </c>
      <c r="I993">
        <v>24</v>
      </c>
      <c r="J993">
        <v>2.9</v>
      </c>
      <c r="K993" t="s">
        <v>6099</v>
      </c>
      <c r="L993" t="s">
        <v>6100</v>
      </c>
      <c r="M993" t="s">
        <v>6100</v>
      </c>
      <c r="O993" t="s">
        <v>6101</v>
      </c>
      <c r="P993" t="s">
        <v>6108</v>
      </c>
      <c r="Q993">
        <v>2</v>
      </c>
      <c r="R993">
        <v>2026</v>
      </c>
      <c r="S993" t="s">
        <v>6099</v>
      </c>
      <c r="T993">
        <v>1</v>
      </c>
      <c r="U993" t="s">
        <v>6019</v>
      </c>
      <c r="V993">
        <v>1</v>
      </c>
    </row>
    <row r="994" spans="1:22" x14ac:dyDescent="0.3">
      <c r="A994" t="s">
        <v>1009</v>
      </c>
      <c r="B994" s="2">
        <v>46072.609722222223</v>
      </c>
      <c r="C994" s="2">
        <v>46074.651388888888</v>
      </c>
      <c r="D994" t="s">
        <v>6025</v>
      </c>
      <c r="E994" t="s">
        <v>6031</v>
      </c>
      <c r="F994" t="s">
        <v>6034</v>
      </c>
      <c r="G994" t="s">
        <v>6040</v>
      </c>
      <c r="H994" t="s">
        <v>6097</v>
      </c>
      <c r="I994">
        <v>24</v>
      </c>
      <c r="J994">
        <v>49</v>
      </c>
      <c r="K994" t="s">
        <v>6100</v>
      </c>
      <c r="L994" t="s">
        <v>6099</v>
      </c>
      <c r="M994" t="s">
        <v>6100</v>
      </c>
      <c r="N994">
        <v>3</v>
      </c>
      <c r="O994" t="s">
        <v>6101</v>
      </c>
      <c r="P994" t="s">
        <v>6108</v>
      </c>
      <c r="Q994">
        <v>2</v>
      </c>
      <c r="R994">
        <v>2026</v>
      </c>
      <c r="S994" t="s">
        <v>6100</v>
      </c>
      <c r="T994">
        <v>0</v>
      </c>
      <c r="U994" t="s">
        <v>6021</v>
      </c>
      <c r="V994">
        <v>0</v>
      </c>
    </row>
    <row r="995" spans="1:22" x14ac:dyDescent="0.3">
      <c r="A995" t="s">
        <v>1010</v>
      </c>
      <c r="B995" s="2">
        <v>46072.706944444442</v>
      </c>
      <c r="C995" s="2">
        <v>46072.790277777778</v>
      </c>
      <c r="D995" t="s">
        <v>6022</v>
      </c>
      <c r="E995" t="s">
        <v>6030</v>
      </c>
      <c r="F995" t="s">
        <v>6034</v>
      </c>
      <c r="G995" t="s">
        <v>6042</v>
      </c>
      <c r="H995" t="s">
        <v>6098</v>
      </c>
      <c r="I995">
        <v>24</v>
      </c>
      <c r="J995">
        <v>2</v>
      </c>
      <c r="K995" t="s">
        <v>6099</v>
      </c>
      <c r="L995" t="s">
        <v>6100</v>
      </c>
      <c r="M995" t="s">
        <v>6100</v>
      </c>
      <c r="N995">
        <v>3</v>
      </c>
      <c r="O995" t="s">
        <v>6101</v>
      </c>
      <c r="P995" t="s">
        <v>6108</v>
      </c>
      <c r="Q995">
        <v>2</v>
      </c>
      <c r="R995">
        <v>2026</v>
      </c>
      <c r="S995" t="s">
        <v>6099</v>
      </c>
      <c r="T995">
        <v>1</v>
      </c>
      <c r="U995" t="s">
        <v>6021</v>
      </c>
      <c r="V995">
        <v>1</v>
      </c>
    </row>
    <row r="996" spans="1:22" x14ac:dyDescent="0.3">
      <c r="A996" t="s">
        <v>1011</v>
      </c>
      <c r="B996" s="2">
        <v>46072.717361111114</v>
      </c>
      <c r="C996" s="2">
        <v>46072.904861111114</v>
      </c>
      <c r="D996" t="s">
        <v>6028</v>
      </c>
      <c r="E996" t="s">
        <v>6030</v>
      </c>
      <c r="F996" t="s">
        <v>6035</v>
      </c>
      <c r="G996" t="s">
        <v>6051</v>
      </c>
      <c r="H996" t="s">
        <v>6097</v>
      </c>
      <c r="I996">
        <v>4</v>
      </c>
      <c r="J996">
        <v>4.5</v>
      </c>
      <c r="K996" t="s">
        <v>6099</v>
      </c>
      <c r="L996" t="s">
        <v>6100</v>
      </c>
      <c r="M996" t="s">
        <v>6100</v>
      </c>
      <c r="N996">
        <v>3</v>
      </c>
      <c r="O996" t="s">
        <v>6101</v>
      </c>
      <c r="P996" t="s">
        <v>6108</v>
      </c>
      <c r="Q996">
        <v>2</v>
      </c>
      <c r="R996">
        <v>2026</v>
      </c>
      <c r="S996" t="s">
        <v>6100</v>
      </c>
      <c r="T996">
        <v>0</v>
      </c>
      <c r="U996" t="s">
        <v>6019</v>
      </c>
      <c r="V996">
        <v>1</v>
      </c>
    </row>
    <row r="997" spans="1:22" x14ac:dyDescent="0.3">
      <c r="A997" t="s">
        <v>1012</v>
      </c>
      <c r="B997" s="2">
        <v>46072.726388888892</v>
      </c>
      <c r="C997" s="2">
        <v>46072.951388888891</v>
      </c>
      <c r="D997" t="s">
        <v>6023</v>
      </c>
      <c r="E997" t="s">
        <v>6030</v>
      </c>
      <c r="F997" t="s">
        <v>6033</v>
      </c>
      <c r="G997" t="s">
        <v>6043</v>
      </c>
      <c r="H997" t="s">
        <v>6097</v>
      </c>
      <c r="I997">
        <v>72</v>
      </c>
      <c r="J997">
        <v>5.4</v>
      </c>
      <c r="K997" t="s">
        <v>6099</v>
      </c>
      <c r="L997" t="s">
        <v>6100</v>
      </c>
      <c r="M997" t="s">
        <v>6100</v>
      </c>
      <c r="O997" t="s">
        <v>6101</v>
      </c>
      <c r="P997" t="s">
        <v>6108</v>
      </c>
      <c r="Q997">
        <v>2</v>
      </c>
      <c r="R997">
        <v>2026</v>
      </c>
      <c r="S997" t="s">
        <v>6099</v>
      </c>
      <c r="T997">
        <v>1</v>
      </c>
      <c r="U997" t="s">
        <v>6018</v>
      </c>
      <c r="V997">
        <v>1</v>
      </c>
    </row>
    <row r="998" spans="1:22" x14ac:dyDescent="0.3">
      <c r="A998" t="s">
        <v>1013</v>
      </c>
      <c r="B998" s="2">
        <v>46072.795138888891</v>
      </c>
      <c r="C998" s="2">
        <v>46073.728472222225</v>
      </c>
      <c r="D998" t="s">
        <v>6024</v>
      </c>
      <c r="E998" t="s">
        <v>6029</v>
      </c>
      <c r="F998" t="s">
        <v>6034</v>
      </c>
      <c r="G998" t="s">
        <v>6051</v>
      </c>
      <c r="H998" t="s">
        <v>6097</v>
      </c>
      <c r="I998">
        <v>24</v>
      </c>
      <c r="J998">
        <v>22.4</v>
      </c>
      <c r="K998" t="s">
        <v>6099</v>
      </c>
      <c r="L998" t="s">
        <v>6100</v>
      </c>
      <c r="M998" t="s">
        <v>6100</v>
      </c>
      <c r="O998" t="s">
        <v>6101</v>
      </c>
      <c r="P998" t="s">
        <v>6108</v>
      </c>
      <c r="Q998">
        <v>2</v>
      </c>
      <c r="R998">
        <v>2026</v>
      </c>
      <c r="S998" t="s">
        <v>6099</v>
      </c>
      <c r="T998">
        <v>1</v>
      </c>
      <c r="U998" t="s">
        <v>6019</v>
      </c>
      <c r="V998">
        <v>1</v>
      </c>
    </row>
    <row r="999" spans="1:22" x14ac:dyDescent="0.3">
      <c r="A999" t="s">
        <v>1014</v>
      </c>
      <c r="B999" s="2">
        <v>46072.852777777778</v>
      </c>
      <c r="C999" s="2">
        <v>46076.015277777777</v>
      </c>
      <c r="D999" t="s">
        <v>6022</v>
      </c>
      <c r="E999" t="s">
        <v>6031</v>
      </c>
      <c r="F999" t="s">
        <v>6035</v>
      </c>
      <c r="G999" t="s">
        <v>6056</v>
      </c>
      <c r="H999" t="s">
        <v>6098</v>
      </c>
      <c r="I999">
        <v>4</v>
      </c>
      <c r="J999">
        <v>75.900000000000006</v>
      </c>
      <c r="K999" t="s">
        <v>6100</v>
      </c>
      <c r="L999" t="s">
        <v>6099</v>
      </c>
      <c r="M999" t="s">
        <v>6100</v>
      </c>
      <c r="N999">
        <v>3</v>
      </c>
      <c r="O999" t="s">
        <v>6101</v>
      </c>
      <c r="P999" t="s">
        <v>6108</v>
      </c>
      <c r="Q999">
        <v>2</v>
      </c>
      <c r="R999">
        <v>2026</v>
      </c>
      <c r="S999" t="s">
        <v>6100</v>
      </c>
      <c r="T999">
        <v>0</v>
      </c>
      <c r="U999" t="s">
        <v>6021</v>
      </c>
      <c r="V999">
        <v>0</v>
      </c>
    </row>
    <row r="1000" spans="1:22" x14ac:dyDescent="0.3">
      <c r="A1000" t="s">
        <v>1015</v>
      </c>
      <c r="B1000" s="2">
        <v>46073.299305555556</v>
      </c>
      <c r="C1000" s="2">
        <v>46079.507638888892</v>
      </c>
      <c r="D1000" t="s">
        <v>6025</v>
      </c>
      <c r="E1000" t="s">
        <v>6031</v>
      </c>
      <c r="F1000" t="s">
        <v>6035</v>
      </c>
      <c r="G1000" t="s">
        <v>6091</v>
      </c>
      <c r="H1000" t="s">
        <v>6097</v>
      </c>
      <c r="I1000">
        <v>4</v>
      </c>
      <c r="J1000">
        <v>149</v>
      </c>
      <c r="K1000" t="s">
        <v>6099</v>
      </c>
      <c r="L1000" t="s">
        <v>6100</v>
      </c>
      <c r="M1000" t="s">
        <v>6100</v>
      </c>
      <c r="N1000">
        <v>3</v>
      </c>
      <c r="O1000" t="s">
        <v>6101</v>
      </c>
      <c r="P1000" t="s">
        <v>6108</v>
      </c>
      <c r="Q1000">
        <v>2</v>
      </c>
      <c r="R1000">
        <v>2026</v>
      </c>
      <c r="S1000" t="s">
        <v>6100</v>
      </c>
      <c r="T1000">
        <v>0</v>
      </c>
      <c r="U1000" t="s">
        <v>6018</v>
      </c>
      <c r="V1000">
        <v>1</v>
      </c>
    </row>
    <row r="1001" spans="1:22" x14ac:dyDescent="0.3">
      <c r="A1001" t="s">
        <v>1016</v>
      </c>
      <c r="B1001" s="2">
        <v>46073.328472222223</v>
      </c>
      <c r="C1001" s="2">
        <v>46074.136805555558</v>
      </c>
      <c r="D1001" t="s">
        <v>6022</v>
      </c>
      <c r="E1001" t="s">
        <v>6031</v>
      </c>
      <c r="F1001" t="s">
        <v>6034</v>
      </c>
      <c r="G1001" t="s">
        <v>6053</v>
      </c>
      <c r="H1001" t="s">
        <v>6097</v>
      </c>
      <c r="I1001">
        <v>24</v>
      </c>
      <c r="J1001">
        <v>19.399999999999999</v>
      </c>
      <c r="K1001" t="s">
        <v>6099</v>
      </c>
      <c r="L1001" t="s">
        <v>6100</v>
      </c>
      <c r="M1001" t="s">
        <v>6100</v>
      </c>
      <c r="N1001">
        <v>5</v>
      </c>
      <c r="O1001" t="s">
        <v>6101</v>
      </c>
      <c r="P1001" t="s">
        <v>6108</v>
      </c>
      <c r="Q1001">
        <v>2</v>
      </c>
      <c r="R1001">
        <v>2026</v>
      </c>
      <c r="S1001" t="s">
        <v>6099</v>
      </c>
      <c r="T1001">
        <v>1</v>
      </c>
      <c r="U1001" t="s">
        <v>6018</v>
      </c>
      <c r="V1001">
        <v>1</v>
      </c>
    </row>
    <row r="1002" spans="1:22" x14ac:dyDescent="0.3">
      <c r="A1002" t="s">
        <v>1017</v>
      </c>
      <c r="B1002" s="2">
        <v>46073.342361111114</v>
      </c>
      <c r="C1002" s="2">
        <v>46073.634027777778</v>
      </c>
      <c r="D1002" t="s">
        <v>6028</v>
      </c>
      <c r="E1002" t="s">
        <v>6030</v>
      </c>
      <c r="F1002" t="s">
        <v>6033</v>
      </c>
      <c r="G1002" t="s">
        <v>6074</v>
      </c>
      <c r="H1002" t="s">
        <v>6098</v>
      </c>
      <c r="I1002">
        <v>72</v>
      </c>
      <c r="J1002">
        <v>7</v>
      </c>
      <c r="K1002" t="s">
        <v>6099</v>
      </c>
      <c r="L1002" t="s">
        <v>6100</v>
      </c>
      <c r="M1002" t="s">
        <v>6100</v>
      </c>
      <c r="N1002">
        <v>5</v>
      </c>
      <c r="O1002" t="s">
        <v>6101</v>
      </c>
      <c r="P1002" t="s">
        <v>6108</v>
      </c>
      <c r="Q1002">
        <v>2</v>
      </c>
      <c r="R1002">
        <v>2026</v>
      </c>
      <c r="S1002" t="s">
        <v>6099</v>
      </c>
      <c r="T1002">
        <v>1</v>
      </c>
      <c r="U1002" t="s">
        <v>6021</v>
      </c>
      <c r="V1002">
        <v>1</v>
      </c>
    </row>
    <row r="1003" spans="1:22" x14ac:dyDescent="0.3">
      <c r="A1003" t="s">
        <v>1018</v>
      </c>
      <c r="B1003" s="2">
        <v>46073.34375</v>
      </c>
      <c r="C1003" s="2">
        <v>46076.356249999997</v>
      </c>
      <c r="D1003" t="s">
        <v>6026</v>
      </c>
      <c r="E1003" t="s">
        <v>6031</v>
      </c>
      <c r="F1003" t="s">
        <v>6034</v>
      </c>
      <c r="G1003" t="s">
        <v>6079</v>
      </c>
      <c r="H1003" t="s">
        <v>6097</v>
      </c>
      <c r="I1003">
        <v>24</v>
      </c>
      <c r="J1003">
        <v>72.3</v>
      </c>
      <c r="K1003" t="s">
        <v>6099</v>
      </c>
      <c r="L1003" t="s">
        <v>6100</v>
      </c>
      <c r="M1003" t="s">
        <v>6100</v>
      </c>
      <c r="O1003" t="s">
        <v>6101</v>
      </c>
      <c r="P1003" t="s">
        <v>6108</v>
      </c>
      <c r="Q1003">
        <v>2</v>
      </c>
      <c r="R1003">
        <v>2026</v>
      </c>
      <c r="S1003" t="s">
        <v>6100</v>
      </c>
      <c r="T1003">
        <v>0</v>
      </c>
      <c r="U1003" t="s">
        <v>6019</v>
      </c>
      <c r="V1003">
        <v>1</v>
      </c>
    </row>
    <row r="1004" spans="1:22" x14ac:dyDescent="0.3">
      <c r="A1004" t="s">
        <v>1019</v>
      </c>
      <c r="B1004" s="2">
        <v>46073.364583333336</v>
      </c>
      <c r="C1004" s="2">
        <v>46074.106249999997</v>
      </c>
      <c r="D1004" t="s">
        <v>6026</v>
      </c>
      <c r="E1004" t="s">
        <v>6030</v>
      </c>
      <c r="F1004" t="s">
        <v>6034</v>
      </c>
      <c r="G1004" t="s">
        <v>6060</v>
      </c>
      <c r="H1004" t="s">
        <v>6097</v>
      </c>
      <c r="I1004">
        <v>24</v>
      </c>
      <c r="J1004">
        <v>17.8</v>
      </c>
      <c r="K1004" t="s">
        <v>6100</v>
      </c>
      <c r="L1004" t="s">
        <v>6099</v>
      </c>
      <c r="M1004" t="s">
        <v>6100</v>
      </c>
      <c r="N1004">
        <v>2</v>
      </c>
      <c r="O1004" t="s">
        <v>6101</v>
      </c>
      <c r="P1004" t="s">
        <v>6108</v>
      </c>
      <c r="Q1004">
        <v>2</v>
      </c>
      <c r="R1004">
        <v>2026</v>
      </c>
      <c r="S1004" t="s">
        <v>6099</v>
      </c>
      <c r="T1004">
        <v>1</v>
      </c>
      <c r="U1004" t="s">
        <v>6021</v>
      </c>
      <c r="V1004">
        <v>0</v>
      </c>
    </row>
    <row r="1005" spans="1:22" x14ac:dyDescent="0.3">
      <c r="A1005" t="s">
        <v>1020</v>
      </c>
      <c r="B1005" s="2">
        <v>46073.370833333334</v>
      </c>
      <c r="C1005" s="2">
        <v>46074.224999999999</v>
      </c>
      <c r="D1005" t="s">
        <v>6022</v>
      </c>
      <c r="E1005" t="s">
        <v>6032</v>
      </c>
      <c r="F1005" t="s">
        <v>6035</v>
      </c>
      <c r="G1005" t="s">
        <v>6093</v>
      </c>
      <c r="H1005" t="s">
        <v>6097</v>
      </c>
      <c r="I1005">
        <v>4</v>
      </c>
      <c r="J1005">
        <v>20.5</v>
      </c>
      <c r="K1005" t="s">
        <v>6099</v>
      </c>
      <c r="L1005" t="s">
        <v>6100</v>
      </c>
      <c r="M1005" t="s">
        <v>6099</v>
      </c>
      <c r="N1005">
        <v>4</v>
      </c>
      <c r="O1005" t="s">
        <v>6101</v>
      </c>
      <c r="P1005" t="s">
        <v>6108</v>
      </c>
      <c r="Q1005">
        <v>2</v>
      </c>
      <c r="R1005">
        <v>2026</v>
      </c>
      <c r="S1005" t="s">
        <v>6100</v>
      </c>
      <c r="T1005">
        <v>0</v>
      </c>
      <c r="U1005" t="s">
        <v>6020</v>
      </c>
      <c r="V1005">
        <v>1</v>
      </c>
    </row>
    <row r="1006" spans="1:22" x14ac:dyDescent="0.3">
      <c r="A1006" t="s">
        <v>1021</v>
      </c>
      <c r="B1006" s="2">
        <v>46073.42291666667</v>
      </c>
      <c r="C1006" s="2">
        <v>46073.79791666667</v>
      </c>
      <c r="D1006" t="s">
        <v>6022</v>
      </c>
      <c r="E1006" t="s">
        <v>6029</v>
      </c>
      <c r="F1006" t="s">
        <v>6035</v>
      </c>
      <c r="G1006" t="s">
        <v>6087</v>
      </c>
      <c r="H1006" t="s">
        <v>6098</v>
      </c>
      <c r="I1006">
        <v>4</v>
      </c>
      <c r="J1006">
        <v>9</v>
      </c>
      <c r="K1006" t="s">
        <v>6100</v>
      </c>
      <c r="L1006" t="s">
        <v>6100</v>
      </c>
      <c r="M1006" t="s">
        <v>6100</v>
      </c>
      <c r="O1006" t="s">
        <v>6101</v>
      </c>
      <c r="P1006" t="s">
        <v>6108</v>
      </c>
      <c r="Q1006">
        <v>2</v>
      </c>
      <c r="R1006">
        <v>2026</v>
      </c>
      <c r="S1006" t="s">
        <v>6100</v>
      </c>
      <c r="T1006">
        <v>0</v>
      </c>
      <c r="U1006" t="s">
        <v>6021</v>
      </c>
      <c r="V1006">
        <v>0</v>
      </c>
    </row>
    <row r="1007" spans="1:22" x14ac:dyDescent="0.3">
      <c r="A1007" t="s">
        <v>1022</v>
      </c>
      <c r="B1007" s="2">
        <v>46073.438194444447</v>
      </c>
      <c r="C1007" s="2">
        <v>46073.59652777778</v>
      </c>
      <c r="D1007" t="s">
        <v>6023</v>
      </c>
      <c r="E1007" t="s">
        <v>6029</v>
      </c>
      <c r="F1007" t="s">
        <v>6034</v>
      </c>
      <c r="G1007" t="s">
        <v>6091</v>
      </c>
      <c r="H1007" t="s">
        <v>6097</v>
      </c>
      <c r="I1007">
        <v>24</v>
      </c>
      <c r="J1007">
        <v>3.8</v>
      </c>
      <c r="K1007" t="s">
        <v>6099</v>
      </c>
      <c r="L1007" t="s">
        <v>6100</v>
      </c>
      <c r="M1007" t="s">
        <v>6100</v>
      </c>
      <c r="O1007" t="s">
        <v>6101</v>
      </c>
      <c r="P1007" t="s">
        <v>6108</v>
      </c>
      <c r="Q1007">
        <v>2</v>
      </c>
      <c r="R1007">
        <v>2026</v>
      </c>
      <c r="S1007" t="s">
        <v>6099</v>
      </c>
      <c r="T1007">
        <v>1</v>
      </c>
      <c r="U1007" t="s">
        <v>6018</v>
      </c>
      <c r="V1007">
        <v>1</v>
      </c>
    </row>
    <row r="1008" spans="1:22" x14ac:dyDescent="0.3">
      <c r="A1008" t="s">
        <v>1023</v>
      </c>
      <c r="B1008" s="2">
        <v>46073.45416666667</v>
      </c>
      <c r="C1008" s="2">
        <v>46073.566666666666</v>
      </c>
      <c r="D1008" t="s">
        <v>6023</v>
      </c>
      <c r="E1008" t="s">
        <v>6030</v>
      </c>
      <c r="F1008" t="s">
        <v>6034</v>
      </c>
      <c r="G1008" t="s">
        <v>6044</v>
      </c>
      <c r="H1008" t="s">
        <v>6097</v>
      </c>
      <c r="I1008">
        <v>24</v>
      </c>
      <c r="J1008">
        <v>2.7</v>
      </c>
      <c r="K1008" t="s">
        <v>6099</v>
      </c>
      <c r="L1008" t="s">
        <v>6100</v>
      </c>
      <c r="M1008" t="s">
        <v>6100</v>
      </c>
      <c r="O1008" t="s">
        <v>6101</v>
      </c>
      <c r="P1008" t="s">
        <v>6108</v>
      </c>
      <c r="Q1008">
        <v>2</v>
      </c>
      <c r="R1008">
        <v>2026</v>
      </c>
      <c r="S1008" t="s">
        <v>6099</v>
      </c>
      <c r="T1008">
        <v>1</v>
      </c>
      <c r="U1008" t="s">
        <v>6018</v>
      </c>
      <c r="V1008">
        <v>1</v>
      </c>
    </row>
    <row r="1009" spans="1:22" x14ac:dyDescent="0.3">
      <c r="A1009" t="s">
        <v>1024</v>
      </c>
      <c r="B1009" s="2">
        <v>46073.47152777778</v>
      </c>
      <c r="C1009" s="2">
        <v>46074.28402777778</v>
      </c>
      <c r="D1009" t="s">
        <v>6026</v>
      </c>
      <c r="E1009" t="s">
        <v>6031</v>
      </c>
      <c r="F1009" t="s">
        <v>6034</v>
      </c>
      <c r="G1009" t="s">
        <v>6067</v>
      </c>
      <c r="H1009" t="s">
        <v>6098</v>
      </c>
      <c r="I1009">
        <v>24</v>
      </c>
      <c r="J1009">
        <v>19.5</v>
      </c>
      <c r="K1009" t="s">
        <v>6099</v>
      </c>
      <c r="L1009" t="s">
        <v>6100</v>
      </c>
      <c r="M1009" t="s">
        <v>6100</v>
      </c>
      <c r="N1009">
        <v>5</v>
      </c>
      <c r="O1009" t="s">
        <v>6101</v>
      </c>
      <c r="P1009" t="s">
        <v>6108</v>
      </c>
      <c r="Q1009">
        <v>2</v>
      </c>
      <c r="R1009">
        <v>2026</v>
      </c>
      <c r="S1009" t="s">
        <v>6099</v>
      </c>
      <c r="T1009">
        <v>1</v>
      </c>
      <c r="U1009" t="s">
        <v>6018</v>
      </c>
      <c r="V1009">
        <v>1</v>
      </c>
    </row>
    <row r="1010" spans="1:22" x14ac:dyDescent="0.3">
      <c r="A1010" t="s">
        <v>1025</v>
      </c>
      <c r="B1010" s="2">
        <v>46073.478472222225</v>
      </c>
      <c r="C1010" s="2">
        <v>46073.632638888892</v>
      </c>
      <c r="D1010" t="s">
        <v>6023</v>
      </c>
      <c r="E1010" t="s">
        <v>6030</v>
      </c>
      <c r="F1010" t="s">
        <v>6033</v>
      </c>
      <c r="G1010" t="s">
        <v>6055</v>
      </c>
      <c r="H1010" t="s">
        <v>6096</v>
      </c>
      <c r="I1010">
        <v>72</v>
      </c>
      <c r="J1010">
        <v>3.7</v>
      </c>
      <c r="K1010" t="s">
        <v>6099</v>
      </c>
      <c r="L1010" t="s">
        <v>6100</v>
      </c>
      <c r="M1010" t="s">
        <v>6100</v>
      </c>
      <c r="O1010" t="s">
        <v>6101</v>
      </c>
      <c r="P1010" t="s">
        <v>6108</v>
      </c>
      <c r="Q1010">
        <v>2</v>
      </c>
      <c r="R1010">
        <v>2026</v>
      </c>
      <c r="S1010" t="s">
        <v>6099</v>
      </c>
      <c r="T1010">
        <v>1</v>
      </c>
      <c r="U1010" t="s">
        <v>6020</v>
      </c>
      <c r="V1010">
        <v>1</v>
      </c>
    </row>
    <row r="1011" spans="1:22" x14ac:dyDescent="0.3">
      <c r="A1011" t="s">
        <v>1026</v>
      </c>
      <c r="B1011" s="2">
        <v>46073.486111111109</v>
      </c>
      <c r="C1011" s="2">
        <v>46075.865277777775</v>
      </c>
      <c r="D1011" t="s">
        <v>6027</v>
      </c>
      <c r="E1011" t="s">
        <v>6032</v>
      </c>
      <c r="F1011" t="s">
        <v>6034</v>
      </c>
      <c r="G1011" t="s">
        <v>6087</v>
      </c>
      <c r="H1011" t="s">
        <v>6098</v>
      </c>
      <c r="I1011">
        <v>24</v>
      </c>
      <c r="J1011">
        <v>57.1</v>
      </c>
      <c r="K1011" t="s">
        <v>6100</v>
      </c>
      <c r="L1011" t="s">
        <v>6099</v>
      </c>
      <c r="M1011" t="s">
        <v>6100</v>
      </c>
      <c r="N1011">
        <v>3</v>
      </c>
      <c r="O1011" t="s">
        <v>6101</v>
      </c>
      <c r="P1011" t="s">
        <v>6108</v>
      </c>
      <c r="Q1011">
        <v>2</v>
      </c>
      <c r="R1011">
        <v>2026</v>
      </c>
      <c r="S1011" t="s">
        <v>6100</v>
      </c>
      <c r="T1011">
        <v>0</v>
      </c>
      <c r="U1011" t="s">
        <v>6018</v>
      </c>
      <c r="V1011">
        <v>0</v>
      </c>
    </row>
    <row r="1012" spans="1:22" x14ac:dyDescent="0.3">
      <c r="A1012" t="s">
        <v>1027</v>
      </c>
      <c r="B1012" s="2">
        <v>46073.55</v>
      </c>
      <c r="C1012" s="2">
        <v>46074.995833333334</v>
      </c>
      <c r="D1012" t="s">
        <v>6024</v>
      </c>
      <c r="E1012" t="s">
        <v>6032</v>
      </c>
      <c r="F1012" t="s">
        <v>6033</v>
      </c>
      <c r="G1012" t="s">
        <v>6091</v>
      </c>
      <c r="H1012" t="s">
        <v>6097</v>
      </c>
      <c r="I1012">
        <v>72</v>
      </c>
      <c r="J1012">
        <v>34.700000000000003</v>
      </c>
      <c r="K1012" t="s">
        <v>6099</v>
      </c>
      <c r="L1012" t="s">
        <v>6100</v>
      </c>
      <c r="M1012" t="s">
        <v>6100</v>
      </c>
      <c r="O1012" t="s">
        <v>6101</v>
      </c>
      <c r="P1012" t="s">
        <v>6108</v>
      </c>
      <c r="Q1012">
        <v>2</v>
      </c>
      <c r="R1012">
        <v>2026</v>
      </c>
      <c r="S1012" t="s">
        <v>6099</v>
      </c>
      <c r="T1012">
        <v>1</v>
      </c>
      <c r="U1012" t="s">
        <v>6019</v>
      </c>
      <c r="V1012">
        <v>1</v>
      </c>
    </row>
    <row r="1013" spans="1:22" x14ac:dyDescent="0.3">
      <c r="A1013" t="s">
        <v>1028</v>
      </c>
      <c r="B1013" s="2">
        <v>46073.551388888889</v>
      </c>
      <c r="C1013" s="2">
        <v>46073.659722222219</v>
      </c>
      <c r="D1013" t="s">
        <v>6028</v>
      </c>
      <c r="E1013" t="s">
        <v>6029</v>
      </c>
      <c r="F1013" t="s">
        <v>6035</v>
      </c>
      <c r="G1013" t="s">
        <v>6047</v>
      </c>
      <c r="H1013" t="s">
        <v>6098</v>
      </c>
      <c r="I1013">
        <v>4</v>
      </c>
      <c r="J1013">
        <v>2.6</v>
      </c>
      <c r="K1013" t="s">
        <v>6100</v>
      </c>
      <c r="L1013" t="s">
        <v>6099</v>
      </c>
      <c r="M1013" t="s">
        <v>6100</v>
      </c>
      <c r="N1013">
        <v>3</v>
      </c>
      <c r="O1013" t="s">
        <v>6101</v>
      </c>
      <c r="P1013" t="s">
        <v>6108</v>
      </c>
      <c r="Q1013">
        <v>2</v>
      </c>
      <c r="R1013">
        <v>2026</v>
      </c>
      <c r="S1013" t="s">
        <v>6099</v>
      </c>
      <c r="T1013">
        <v>1</v>
      </c>
      <c r="U1013" t="s">
        <v>6020</v>
      </c>
      <c r="V1013">
        <v>0</v>
      </c>
    </row>
    <row r="1014" spans="1:22" x14ac:dyDescent="0.3">
      <c r="A1014" t="s">
        <v>1029</v>
      </c>
      <c r="B1014" s="2">
        <v>46073.581250000003</v>
      </c>
      <c r="C1014" s="2">
        <v>46081.785416666666</v>
      </c>
      <c r="D1014" t="s">
        <v>6026</v>
      </c>
      <c r="E1014" t="s">
        <v>6031</v>
      </c>
      <c r="F1014" t="s">
        <v>6034</v>
      </c>
      <c r="G1014" t="s">
        <v>6054</v>
      </c>
      <c r="H1014" t="s">
        <v>6096</v>
      </c>
      <c r="I1014">
        <v>24</v>
      </c>
      <c r="J1014">
        <v>196.9</v>
      </c>
      <c r="K1014" t="s">
        <v>6100</v>
      </c>
      <c r="L1014" t="s">
        <v>6099</v>
      </c>
      <c r="M1014" t="s">
        <v>6100</v>
      </c>
      <c r="N1014">
        <v>2</v>
      </c>
      <c r="O1014" t="s">
        <v>6101</v>
      </c>
      <c r="P1014" t="s">
        <v>6108</v>
      </c>
      <c r="Q1014">
        <v>2</v>
      </c>
      <c r="R1014">
        <v>2026</v>
      </c>
      <c r="S1014" t="s">
        <v>6100</v>
      </c>
      <c r="T1014">
        <v>0</v>
      </c>
      <c r="U1014" t="s">
        <v>6020</v>
      </c>
      <c r="V1014">
        <v>0</v>
      </c>
    </row>
    <row r="1015" spans="1:22" x14ac:dyDescent="0.3">
      <c r="A1015" t="s">
        <v>1030</v>
      </c>
      <c r="B1015" s="2">
        <v>46073.599305555559</v>
      </c>
      <c r="C1015" s="2">
        <v>46073.986805555556</v>
      </c>
      <c r="D1015" t="s">
        <v>6027</v>
      </c>
      <c r="E1015" t="s">
        <v>6029</v>
      </c>
      <c r="F1015" t="s">
        <v>6035</v>
      </c>
      <c r="G1015" t="s">
        <v>6058</v>
      </c>
      <c r="H1015" t="s">
        <v>6098</v>
      </c>
      <c r="I1015">
        <v>4</v>
      </c>
      <c r="J1015">
        <v>9.3000000000000007</v>
      </c>
      <c r="K1015" t="s">
        <v>6099</v>
      </c>
      <c r="L1015" t="s">
        <v>6100</v>
      </c>
      <c r="M1015" t="s">
        <v>6099</v>
      </c>
      <c r="N1015">
        <v>3</v>
      </c>
      <c r="O1015" t="s">
        <v>6101</v>
      </c>
      <c r="P1015" t="s">
        <v>6108</v>
      </c>
      <c r="Q1015">
        <v>2</v>
      </c>
      <c r="R1015">
        <v>2026</v>
      </c>
      <c r="S1015" t="s">
        <v>6100</v>
      </c>
      <c r="T1015">
        <v>0</v>
      </c>
      <c r="U1015" t="s">
        <v>6021</v>
      </c>
      <c r="V1015">
        <v>1</v>
      </c>
    </row>
    <row r="1016" spans="1:22" x14ac:dyDescent="0.3">
      <c r="A1016" t="s">
        <v>1031</v>
      </c>
      <c r="B1016" s="2">
        <v>46073.600694444445</v>
      </c>
      <c r="C1016" s="2">
        <v>46073.917361111111</v>
      </c>
      <c r="D1016" t="s">
        <v>6027</v>
      </c>
      <c r="E1016" t="s">
        <v>6032</v>
      </c>
      <c r="F1016" t="s">
        <v>6034</v>
      </c>
      <c r="G1016" t="s">
        <v>6067</v>
      </c>
      <c r="H1016" t="s">
        <v>6098</v>
      </c>
      <c r="I1016">
        <v>24</v>
      </c>
      <c r="J1016">
        <v>7.6</v>
      </c>
      <c r="K1016" t="s">
        <v>6100</v>
      </c>
      <c r="L1016" t="s">
        <v>6099</v>
      </c>
      <c r="M1016" t="s">
        <v>6100</v>
      </c>
      <c r="O1016" t="s">
        <v>6101</v>
      </c>
      <c r="P1016" t="s">
        <v>6108</v>
      </c>
      <c r="Q1016">
        <v>2</v>
      </c>
      <c r="R1016">
        <v>2026</v>
      </c>
      <c r="S1016" t="s">
        <v>6099</v>
      </c>
      <c r="T1016">
        <v>1</v>
      </c>
      <c r="U1016" t="s">
        <v>6020</v>
      </c>
      <c r="V1016">
        <v>0</v>
      </c>
    </row>
    <row r="1017" spans="1:22" x14ac:dyDescent="0.3">
      <c r="A1017" t="s">
        <v>1032</v>
      </c>
      <c r="B1017" s="2">
        <v>46073.620138888888</v>
      </c>
      <c r="C1017" s="2">
        <v>46074.978472222225</v>
      </c>
      <c r="D1017" t="s">
        <v>6025</v>
      </c>
      <c r="E1017" t="s">
        <v>6031</v>
      </c>
      <c r="F1017" t="s">
        <v>6034</v>
      </c>
      <c r="G1017" t="s">
        <v>6070</v>
      </c>
      <c r="H1017" t="s">
        <v>6097</v>
      </c>
      <c r="I1017">
        <v>24</v>
      </c>
      <c r="J1017">
        <v>32.6</v>
      </c>
      <c r="K1017" t="s">
        <v>6100</v>
      </c>
      <c r="L1017" t="s">
        <v>6100</v>
      </c>
      <c r="M1017" t="s">
        <v>6100</v>
      </c>
      <c r="N1017">
        <v>4</v>
      </c>
      <c r="O1017" t="s">
        <v>6101</v>
      </c>
      <c r="P1017" t="s">
        <v>6108</v>
      </c>
      <c r="Q1017">
        <v>2</v>
      </c>
      <c r="R1017">
        <v>2026</v>
      </c>
      <c r="S1017" t="s">
        <v>6100</v>
      </c>
      <c r="T1017">
        <v>0</v>
      </c>
      <c r="U1017" t="s">
        <v>6021</v>
      </c>
      <c r="V1017">
        <v>0</v>
      </c>
    </row>
    <row r="1018" spans="1:22" x14ac:dyDescent="0.3">
      <c r="A1018" t="s">
        <v>1033</v>
      </c>
      <c r="B1018" s="2">
        <v>46073.631944444445</v>
      </c>
      <c r="C1018" s="2">
        <v>46073.740277777775</v>
      </c>
      <c r="D1018" t="s">
        <v>6023</v>
      </c>
      <c r="E1018" t="s">
        <v>6030</v>
      </c>
      <c r="F1018" t="s">
        <v>6034</v>
      </c>
      <c r="G1018" t="s">
        <v>6064</v>
      </c>
      <c r="H1018" t="s">
        <v>6096</v>
      </c>
      <c r="I1018">
        <v>24</v>
      </c>
      <c r="J1018">
        <v>2.6</v>
      </c>
      <c r="K1018" t="s">
        <v>6099</v>
      </c>
      <c r="L1018" t="s">
        <v>6100</v>
      </c>
      <c r="M1018" t="s">
        <v>6100</v>
      </c>
      <c r="N1018">
        <v>4</v>
      </c>
      <c r="O1018" t="s">
        <v>6101</v>
      </c>
      <c r="P1018" t="s">
        <v>6108</v>
      </c>
      <c r="Q1018">
        <v>2</v>
      </c>
      <c r="R1018">
        <v>2026</v>
      </c>
      <c r="S1018" t="s">
        <v>6099</v>
      </c>
      <c r="T1018">
        <v>1</v>
      </c>
      <c r="U1018" t="s">
        <v>6017</v>
      </c>
      <c r="V1018">
        <v>1</v>
      </c>
    </row>
    <row r="1019" spans="1:22" x14ac:dyDescent="0.3">
      <c r="A1019" t="s">
        <v>1034</v>
      </c>
      <c r="B1019" s="2">
        <v>46073.634722222225</v>
      </c>
      <c r="C1019" s="2">
        <v>46073.993055555555</v>
      </c>
      <c r="D1019" t="s">
        <v>6022</v>
      </c>
      <c r="E1019" t="s">
        <v>6029</v>
      </c>
      <c r="F1019" t="s">
        <v>6033</v>
      </c>
      <c r="G1019" t="s">
        <v>6088</v>
      </c>
      <c r="H1019" t="s">
        <v>6097</v>
      </c>
      <c r="I1019">
        <v>72</v>
      </c>
      <c r="J1019">
        <v>8.6</v>
      </c>
      <c r="K1019" t="s">
        <v>6099</v>
      </c>
      <c r="L1019" t="s">
        <v>6100</v>
      </c>
      <c r="M1019" t="s">
        <v>6100</v>
      </c>
      <c r="O1019" t="s">
        <v>6101</v>
      </c>
      <c r="P1019" t="s">
        <v>6108</v>
      </c>
      <c r="Q1019">
        <v>2</v>
      </c>
      <c r="R1019">
        <v>2026</v>
      </c>
      <c r="S1019" t="s">
        <v>6099</v>
      </c>
      <c r="T1019">
        <v>1</v>
      </c>
      <c r="U1019" t="s">
        <v>6021</v>
      </c>
      <c r="V1019">
        <v>1</v>
      </c>
    </row>
    <row r="1020" spans="1:22" x14ac:dyDescent="0.3">
      <c r="A1020" t="s">
        <v>1035</v>
      </c>
      <c r="B1020" s="2">
        <v>46073.635416666664</v>
      </c>
      <c r="C1020" s="2">
        <v>46073.777083333334</v>
      </c>
      <c r="D1020" t="s">
        <v>6027</v>
      </c>
      <c r="E1020" t="s">
        <v>6030</v>
      </c>
      <c r="F1020" t="s">
        <v>6033</v>
      </c>
      <c r="G1020" t="s">
        <v>6045</v>
      </c>
      <c r="H1020" t="s">
        <v>6096</v>
      </c>
      <c r="I1020">
        <v>72</v>
      </c>
      <c r="J1020">
        <v>3.4</v>
      </c>
      <c r="K1020" t="s">
        <v>6100</v>
      </c>
      <c r="L1020" t="s">
        <v>6099</v>
      </c>
      <c r="M1020" t="s">
        <v>6100</v>
      </c>
      <c r="O1020" t="s">
        <v>6101</v>
      </c>
      <c r="P1020" t="s">
        <v>6108</v>
      </c>
      <c r="Q1020">
        <v>2</v>
      </c>
      <c r="R1020">
        <v>2026</v>
      </c>
      <c r="S1020" t="s">
        <v>6099</v>
      </c>
      <c r="T1020">
        <v>1</v>
      </c>
      <c r="U1020" t="s">
        <v>6021</v>
      </c>
      <c r="V1020">
        <v>0</v>
      </c>
    </row>
    <row r="1021" spans="1:22" x14ac:dyDescent="0.3">
      <c r="A1021" t="s">
        <v>1036</v>
      </c>
      <c r="B1021" s="2">
        <v>46073.655555555553</v>
      </c>
      <c r="C1021" s="2">
        <v>46073.74722222222</v>
      </c>
      <c r="D1021" t="s">
        <v>6028</v>
      </c>
      <c r="E1021" t="s">
        <v>6030</v>
      </c>
      <c r="F1021" t="s">
        <v>6035</v>
      </c>
      <c r="G1021" t="s">
        <v>6041</v>
      </c>
      <c r="H1021" t="s">
        <v>6096</v>
      </c>
      <c r="I1021">
        <v>4</v>
      </c>
      <c r="J1021">
        <v>2.2000000000000002</v>
      </c>
      <c r="K1021" t="s">
        <v>6100</v>
      </c>
      <c r="L1021" t="s">
        <v>6100</v>
      </c>
      <c r="M1021" t="s">
        <v>6099</v>
      </c>
      <c r="N1021">
        <v>3</v>
      </c>
      <c r="O1021" t="s">
        <v>6101</v>
      </c>
      <c r="P1021" t="s">
        <v>6108</v>
      </c>
      <c r="Q1021">
        <v>2</v>
      </c>
      <c r="R1021">
        <v>2026</v>
      </c>
      <c r="S1021" t="s">
        <v>6099</v>
      </c>
      <c r="T1021">
        <v>1</v>
      </c>
      <c r="U1021" t="s">
        <v>6018</v>
      </c>
      <c r="V1021">
        <v>0</v>
      </c>
    </row>
    <row r="1022" spans="1:22" x14ac:dyDescent="0.3">
      <c r="A1022" t="s">
        <v>1037</v>
      </c>
      <c r="B1022" s="2">
        <v>46073.677083333336</v>
      </c>
      <c r="C1022" s="2">
        <v>46074.677083333336</v>
      </c>
      <c r="D1022" t="s">
        <v>6024</v>
      </c>
      <c r="E1022" t="s">
        <v>6029</v>
      </c>
      <c r="F1022" t="s">
        <v>6035</v>
      </c>
      <c r="G1022" t="s">
        <v>6070</v>
      </c>
      <c r="H1022" t="s">
        <v>6097</v>
      </c>
      <c r="I1022">
        <v>4</v>
      </c>
      <c r="J1022">
        <v>24</v>
      </c>
      <c r="K1022" t="s">
        <v>6099</v>
      </c>
      <c r="L1022" t="s">
        <v>6100</v>
      </c>
      <c r="M1022" t="s">
        <v>6099</v>
      </c>
      <c r="N1022">
        <v>3</v>
      </c>
      <c r="O1022" t="s">
        <v>6101</v>
      </c>
      <c r="P1022" t="s">
        <v>6108</v>
      </c>
      <c r="Q1022">
        <v>2</v>
      </c>
      <c r="R1022">
        <v>2026</v>
      </c>
      <c r="S1022" t="s">
        <v>6100</v>
      </c>
      <c r="T1022">
        <v>0</v>
      </c>
      <c r="U1022" t="s">
        <v>6019</v>
      </c>
      <c r="V1022">
        <v>1</v>
      </c>
    </row>
    <row r="1023" spans="1:22" x14ac:dyDescent="0.3">
      <c r="A1023" t="s">
        <v>1038</v>
      </c>
      <c r="B1023" s="2">
        <v>46073.817361111112</v>
      </c>
      <c r="C1023" s="2">
        <v>46076.434027777781</v>
      </c>
      <c r="D1023" t="s">
        <v>6025</v>
      </c>
      <c r="E1023" t="s">
        <v>6031</v>
      </c>
      <c r="F1023" t="s">
        <v>6035</v>
      </c>
      <c r="G1023" t="s">
        <v>6057</v>
      </c>
      <c r="H1023" t="s">
        <v>6097</v>
      </c>
      <c r="I1023">
        <v>4</v>
      </c>
      <c r="J1023">
        <v>62.8</v>
      </c>
      <c r="K1023" t="s">
        <v>6099</v>
      </c>
      <c r="L1023" t="s">
        <v>6100</v>
      </c>
      <c r="M1023" t="s">
        <v>6100</v>
      </c>
      <c r="O1023" t="s">
        <v>6101</v>
      </c>
      <c r="P1023" t="s">
        <v>6108</v>
      </c>
      <c r="Q1023">
        <v>2</v>
      </c>
      <c r="R1023">
        <v>2026</v>
      </c>
      <c r="S1023" t="s">
        <v>6100</v>
      </c>
      <c r="T1023">
        <v>0</v>
      </c>
      <c r="U1023" t="s">
        <v>6018</v>
      </c>
      <c r="V1023">
        <v>1</v>
      </c>
    </row>
    <row r="1024" spans="1:22" x14ac:dyDescent="0.3">
      <c r="A1024" t="s">
        <v>1039</v>
      </c>
      <c r="B1024" s="2">
        <v>46074.167361111111</v>
      </c>
      <c r="C1024" s="2">
        <v>46076.950694444444</v>
      </c>
      <c r="D1024" t="s">
        <v>6025</v>
      </c>
      <c r="E1024" t="s">
        <v>6031</v>
      </c>
      <c r="F1024" t="s">
        <v>6034</v>
      </c>
      <c r="G1024" t="s">
        <v>6060</v>
      </c>
      <c r="H1024" t="s">
        <v>6097</v>
      </c>
      <c r="I1024">
        <v>24</v>
      </c>
      <c r="J1024">
        <v>66.8</v>
      </c>
      <c r="K1024" t="s">
        <v>6100</v>
      </c>
      <c r="L1024" t="s">
        <v>6099</v>
      </c>
      <c r="M1024" t="s">
        <v>6100</v>
      </c>
      <c r="O1024" t="s">
        <v>6101</v>
      </c>
      <c r="P1024" t="s">
        <v>6108</v>
      </c>
      <c r="Q1024">
        <v>2</v>
      </c>
      <c r="R1024">
        <v>2026</v>
      </c>
      <c r="S1024" t="s">
        <v>6100</v>
      </c>
      <c r="T1024">
        <v>0</v>
      </c>
      <c r="U1024" t="s">
        <v>6019</v>
      </c>
      <c r="V1024">
        <v>0</v>
      </c>
    </row>
    <row r="1025" spans="1:22" x14ac:dyDescent="0.3">
      <c r="A1025" t="s">
        <v>1040</v>
      </c>
      <c r="B1025" s="2">
        <v>46074.364583333336</v>
      </c>
      <c r="C1025" s="2">
        <v>46075.29791666667</v>
      </c>
      <c r="D1025" t="s">
        <v>6028</v>
      </c>
      <c r="E1025" t="s">
        <v>6031</v>
      </c>
      <c r="F1025" t="s">
        <v>6034</v>
      </c>
      <c r="G1025" t="s">
        <v>6082</v>
      </c>
      <c r="H1025" t="s">
        <v>6097</v>
      </c>
      <c r="I1025">
        <v>24</v>
      </c>
      <c r="J1025">
        <v>22.4</v>
      </c>
      <c r="K1025" t="s">
        <v>6099</v>
      </c>
      <c r="L1025" t="s">
        <v>6100</v>
      </c>
      <c r="M1025" t="s">
        <v>6099</v>
      </c>
      <c r="O1025" t="s">
        <v>6101</v>
      </c>
      <c r="P1025" t="s">
        <v>6108</v>
      </c>
      <c r="Q1025">
        <v>2</v>
      </c>
      <c r="R1025">
        <v>2026</v>
      </c>
      <c r="S1025" t="s">
        <v>6099</v>
      </c>
      <c r="T1025">
        <v>1</v>
      </c>
      <c r="U1025" t="s">
        <v>6019</v>
      </c>
      <c r="V1025">
        <v>1</v>
      </c>
    </row>
    <row r="1026" spans="1:22" x14ac:dyDescent="0.3">
      <c r="A1026" t="s">
        <v>1041</v>
      </c>
      <c r="B1026" s="2">
        <v>46074.39166666667</v>
      </c>
      <c r="C1026" s="2">
        <v>46075.175000000003</v>
      </c>
      <c r="D1026" t="s">
        <v>6024</v>
      </c>
      <c r="E1026" t="s">
        <v>6030</v>
      </c>
      <c r="F1026" t="s">
        <v>6033</v>
      </c>
      <c r="G1026" t="s">
        <v>6067</v>
      </c>
      <c r="H1026" t="s">
        <v>6098</v>
      </c>
      <c r="I1026">
        <v>72</v>
      </c>
      <c r="J1026">
        <v>18.8</v>
      </c>
      <c r="K1026" t="s">
        <v>6099</v>
      </c>
      <c r="L1026" t="s">
        <v>6100</v>
      </c>
      <c r="M1026" t="s">
        <v>6100</v>
      </c>
      <c r="O1026" t="s">
        <v>6101</v>
      </c>
      <c r="P1026" t="s">
        <v>6108</v>
      </c>
      <c r="Q1026">
        <v>2</v>
      </c>
      <c r="R1026">
        <v>2026</v>
      </c>
      <c r="S1026" t="s">
        <v>6099</v>
      </c>
      <c r="T1026">
        <v>1</v>
      </c>
      <c r="U1026" t="s">
        <v>6019</v>
      </c>
      <c r="V1026">
        <v>1</v>
      </c>
    </row>
    <row r="1027" spans="1:22" x14ac:dyDescent="0.3">
      <c r="A1027" t="s">
        <v>1042</v>
      </c>
      <c r="B1027" s="2">
        <v>46074.411805555559</v>
      </c>
      <c r="C1027" s="2">
        <v>46074.607638888891</v>
      </c>
      <c r="D1027" t="s">
        <v>6027</v>
      </c>
      <c r="E1027" t="s">
        <v>6029</v>
      </c>
      <c r="F1027" t="s">
        <v>6033</v>
      </c>
      <c r="G1027" t="s">
        <v>6082</v>
      </c>
      <c r="H1027" t="s">
        <v>6097</v>
      </c>
      <c r="I1027">
        <v>72</v>
      </c>
      <c r="J1027">
        <v>4.7</v>
      </c>
      <c r="K1027" t="s">
        <v>6099</v>
      </c>
      <c r="L1027" t="s">
        <v>6100</v>
      </c>
      <c r="M1027" t="s">
        <v>6100</v>
      </c>
      <c r="N1027">
        <v>4</v>
      </c>
      <c r="O1027" t="s">
        <v>6101</v>
      </c>
      <c r="P1027" t="s">
        <v>6108</v>
      </c>
      <c r="Q1027">
        <v>2</v>
      </c>
      <c r="R1027">
        <v>2026</v>
      </c>
      <c r="S1027" t="s">
        <v>6099</v>
      </c>
      <c r="T1027">
        <v>1</v>
      </c>
      <c r="U1027" t="s">
        <v>6021</v>
      </c>
      <c r="V1027">
        <v>1</v>
      </c>
    </row>
    <row r="1028" spans="1:22" x14ac:dyDescent="0.3">
      <c r="A1028" t="s">
        <v>1043</v>
      </c>
      <c r="B1028" s="2">
        <v>46074.443055555559</v>
      </c>
      <c r="C1028" s="2">
        <v>46075.505555555559</v>
      </c>
      <c r="D1028" t="s">
        <v>6027</v>
      </c>
      <c r="E1028" t="s">
        <v>6032</v>
      </c>
      <c r="F1028" t="s">
        <v>6034</v>
      </c>
      <c r="G1028" t="s">
        <v>6041</v>
      </c>
      <c r="H1028" t="s">
        <v>6096</v>
      </c>
      <c r="I1028">
        <v>24</v>
      </c>
      <c r="J1028">
        <v>25.5</v>
      </c>
      <c r="K1028" t="s">
        <v>6100</v>
      </c>
      <c r="L1028" t="s">
        <v>6100</v>
      </c>
      <c r="M1028" t="s">
        <v>6100</v>
      </c>
      <c r="O1028" t="s">
        <v>6101</v>
      </c>
      <c r="P1028" t="s">
        <v>6108</v>
      </c>
      <c r="Q1028">
        <v>2</v>
      </c>
      <c r="R1028">
        <v>2026</v>
      </c>
      <c r="S1028" t="s">
        <v>6100</v>
      </c>
      <c r="T1028">
        <v>0</v>
      </c>
      <c r="U1028" t="s">
        <v>6018</v>
      </c>
      <c r="V1028">
        <v>0</v>
      </c>
    </row>
    <row r="1029" spans="1:22" x14ac:dyDescent="0.3">
      <c r="A1029" t="s">
        <v>1044</v>
      </c>
      <c r="B1029" s="2">
        <v>46074.48333333333</v>
      </c>
      <c r="C1029" s="2">
        <v>46075.008333333331</v>
      </c>
      <c r="D1029" t="s">
        <v>6023</v>
      </c>
      <c r="E1029" t="s">
        <v>6029</v>
      </c>
      <c r="F1029" t="s">
        <v>6034</v>
      </c>
      <c r="G1029" t="s">
        <v>6048</v>
      </c>
      <c r="H1029" t="s">
        <v>6096</v>
      </c>
      <c r="I1029">
        <v>24</v>
      </c>
      <c r="J1029">
        <v>12.6</v>
      </c>
      <c r="K1029" t="s">
        <v>6100</v>
      </c>
      <c r="L1029" t="s">
        <v>6100</v>
      </c>
      <c r="M1029" t="s">
        <v>6099</v>
      </c>
      <c r="N1029">
        <v>4</v>
      </c>
      <c r="O1029" t="s">
        <v>6101</v>
      </c>
      <c r="P1029" t="s">
        <v>6108</v>
      </c>
      <c r="Q1029">
        <v>2</v>
      </c>
      <c r="R1029">
        <v>2026</v>
      </c>
      <c r="S1029" t="s">
        <v>6099</v>
      </c>
      <c r="T1029">
        <v>1</v>
      </c>
      <c r="U1029" t="s">
        <v>6017</v>
      </c>
      <c r="V1029">
        <v>0</v>
      </c>
    </row>
    <row r="1030" spans="1:22" x14ac:dyDescent="0.3">
      <c r="A1030" t="s">
        <v>1045</v>
      </c>
      <c r="B1030" s="2">
        <v>46074.489583333336</v>
      </c>
      <c r="C1030" s="2">
        <v>46076.885416666664</v>
      </c>
      <c r="D1030" t="s">
        <v>6028</v>
      </c>
      <c r="E1030" t="s">
        <v>6031</v>
      </c>
      <c r="F1030" t="s">
        <v>6035</v>
      </c>
      <c r="G1030" t="s">
        <v>6042</v>
      </c>
      <c r="H1030" t="s">
        <v>6098</v>
      </c>
      <c r="I1030">
        <v>4</v>
      </c>
      <c r="J1030">
        <v>57.5</v>
      </c>
      <c r="K1030" t="s">
        <v>6099</v>
      </c>
      <c r="L1030" t="s">
        <v>6100</v>
      </c>
      <c r="M1030" t="s">
        <v>6100</v>
      </c>
      <c r="N1030">
        <v>5</v>
      </c>
      <c r="O1030" t="s">
        <v>6101</v>
      </c>
      <c r="P1030" t="s">
        <v>6108</v>
      </c>
      <c r="Q1030">
        <v>2</v>
      </c>
      <c r="R1030">
        <v>2026</v>
      </c>
      <c r="S1030" t="s">
        <v>6100</v>
      </c>
      <c r="T1030">
        <v>0</v>
      </c>
      <c r="U1030" t="s">
        <v>6019</v>
      </c>
      <c r="V1030">
        <v>1</v>
      </c>
    </row>
    <row r="1031" spans="1:22" x14ac:dyDescent="0.3">
      <c r="A1031" t="s">
        <v>1046</v>
      </c>
      <c r="B1031" s="2">
        <v>46074.59375</v>
      </c>
      <c r="C1031" s="2">
        <v>46075.460416666669</v>
      </c>
      <c r="D1031" t="s">
        <v>6024</v>
      </c>
      <c r="E1031" t="s">
        <v>6029</v>
      </c>
      <c r="F1031" t="s">
        <v>6033</v>
      </c>
      <c r="G1031" t="s">
        <v>6048</v>
      </c>
      <c r="H1031" t="s">
        <v>6096</v>
      </c>
      <c r="I1031">
        <v>72</v>
      </c>
      <c r="J1031">
        <v>20.8</v>
      </c>
      <c r="K1031" t="s">
        <v>6099</v>
      </c>
      <c r="L1031" t="s">
        <v>6100</v>
      </c>
      <c r="M1031" t="s">
        <v>6100</v>
      </c>
      <c r="N1031">
        <v>5</v>
      </c>
      <c r="O1031" t="s">
        <v>6101</v>
      </c>
      <c r="P1031" t="s">
        <v>6108</v>
      </c>
      <c r="Q1031">
        <v>2</v>
      </c>
      <c r="R1031">
        <v>2026</v>
      </c>
      <c r="S1031" t="s">
        <v>6099</v>
      </c>
      <c r="T1031">
        <v>1</v>
      </c>
      <c r="U1031" t="s">
        <v>6019</v>
      </c>
      <c r="V1031">
        <v>1</v>
      </c>
    </row>
    <row r="1032" spans="1:22" x14ac:dyDescent="0.3">
      <c r="A1032" t="s">
        <v>1047</v>
      </c>
      <c r="B1032" s="2">
        <v>46074.699305555558</v>
      </c>
      <c r="C1032" s="2">
        <v>46076.09097222222</v>
      </c>
      <c r="D1032" t="s">
        <v>6025</v>
      </c>
      <c r="E1032" t="s">
        <v>6029</v>
      </c>
      <c r="F1032" t="s">
        <v>6034</v>
      </c>
      <c r="G1032" t="s">
        <v>6092</v>
      </c>
      <c r="H1032" t="s">
        <v>6097</v>
      </c>
      <c r="I1032">
        <v>24</v>
      </c>
      <c r="J1032">
        <v>33.4</v>
      </c>
      <c r="K1032" t="s">
        <v>6099</v>
      </c>
      <c r="L1032" t="s">
        <v>6100</v>
      </c>
      <c r="M1032" t="s">
        <v>6100</v>
      </c>
      <c r="N1032">
        <v>4</v>
      </c>
      <c r="O1032" t="s">
        <v>6101</v>
      </c>
      <c r="P1032" t="s">
        <v>6108</v>
      </c>
      <c r="Q1032">
        <v>2</v>
      </c>
      <c r="R1032">
        <v>2026</v>
      </c>
      <c r="S1032" t="s">
        <v>6100</v>
      </c>
      <c r="T1032">
        <v>0</v>
      </c>
      <c r="U1032" t="s">
        <v>6019</v>
      </c>
      <c r="V1032">
        <v>1</v>
      </c>
    </row>
    <row r="1033" spans="1:22" x14ac:dyDescent="0.3">
      <c r="A1033" t="s">
        <v>1048</v>
      </c>
      <c r="B1033" s="2">
        <v>46074.7</v>
      </c>
      <c r="C1033" s="2">
        <v>46075.55</v>
      </c>
      <c r="D1033" t="s">
        <v>6024</v>
      </c>
      <c r="E1033" t="s">
        <v>6030</v>
      </c>
      <c r="F1033" t="s">
        <v>6033</v>
      </c>
      <c r="G1033" t="s">
        <v>6084</v>
      </c>
      <c r="H1033" t="s">
        <v>6098</v>
      </c>
      <c r="I1033">
        <v>72</v>
      </c>
      <c r="J1033">
        <v>20.399999999999999</v>
      </c>
      <c r="K1033" t="s">
        <v>6099</v>
      </c>
      <c r="L1033" t="s">
        <v>6100</v>
      </c>
      <c r="M1033" t="s">
        <v>6100</v>
      </c>
      <c r="O1033" t="s">
        <v>6101</v>
      </c>
      <c r="P1033" t="s">
        <v>6108</v>
      </c>
      <c r="Q1033">
        <v>2</v>
      </c>
      <c r="R1033">
        <v>2026</v>
      </c>
      <c r="S1033" t="s">
        <v>6099</v>
      </c>
      <c r="T1033">
        <v>1</v>
      </c>
      <c r="U1033" t="s">
        <v>6018</v>
      </c>
      <c r="V1033">
        <v>1</v>
      </c>
    </row>
    <row r="1034" spans="1:22" x14ac:dyDescent="0.3">
      <c r="A1034" t="s">
        <v>1049</v>
      </c>
      <c r="B1034" s="2">
        <v>46074.716666666667</v>
      </c>
      <c r="C1034" s="2">
        <v>46075.1875</v>
      </c>
      <c r="D1034" t="s">
        <v>6027</v>
      </c>
      <c r="E1034" t="s">
        <v>6029</v>
      </c>
      <c r="F1034" t="s">
        <v>6033</v>
      </c>
      <c r="G1034" t="s">
        <v>6086</v>
      </c>
      <c r="H1034" t="s">
        <v>6098</v>
      </c>
      <c r="I1034">
        <v>72</v>
      </c>
      <c r="J1034">
        <v>11.3</v>
      </c>
      <c r="K1034" t="s">
        <v>6099</v>
      </c>
      <c r="L1034" t="s">
        <v>6100</v>
      </c>
      <c r="M1034" t="s">
        <v>6100</v>
      </c>
      <c r="N1034">
        <v>5</v>
      </c>
      <c r="O1034" t="s">
        <v>6101</v>
      </c>
      <c r="P1034" t="s">
        <v>6108</v>
      </c>
      <c r="Q1034">
        <v>2</v>
      </c>
      <c r="R1034">
        <v>2026</v>
      </c>
      <c r="S1034" t="s">
        <v>6099</v>
      </c>
      <c r="T1034">
        <v>1</v>
      </c>
      <c r="U1034" t="s">
        <v>6021</v>
      </c>
      <c r="V1034">
        <v>1</v>
      </c>
    </row>
    <row r="1035" spans="1:22" x14ac:dyDescent="0.3">
      <c r="A1035" t="s">
        <v>1050</v>
      </c>
      <c r="B1035" s="2">
        <v>46074.743750000001</v>
      </c>
      <c r="C1035" s="2">
        <v>46075.493750000001</v>
      </c>
      <c r="D1035" t="s">
        <v>6028</v>
      </c>
      <c r="E1035" t="s">
        <v>6031</v>
      </c>
      <c r="F1035" t="s">
        <v>6035</v>
      </c>
      <c r="G1035" t="s">
        <v>6056</v>
      </c>
      <c r="H1035" t="s">
        <v>6098</v>
      </c>
      <c r="I1035">
        <v>4</v>
      </c>
      <c r="J1035">
        <v>18</v>
      </c>
      <c r="K1035" t="s">
        <v>6100</v>
      </c>
      <c r="L1035" t="s">
        <v>6100</v>
      </c>
      <c r="M1035" t="s">
        <v>6099</v>
      </c>
      <c r="O1035" t="s">
        <v>6101</v>
      </c>
      <c r="P1035" t="s">
        <v>6108</v>
      </c>
      <c r="Q1035">
        <v>2</v>
      </c>
      <c r="R1035">
        <v>2026</v>
      </c>
      <c r="S1035" t="s">
        <v>6100</v>
      </c>
      <c r="T1035">
        <v>0</v>
      </c>
      <c r="U1035" t="s">
        <v>6017</v>
      </c>
      <c r="V1035">
        <v>0</v>
      </c>
    </row>
    <row r="1036" spans="1:22" x14ac:dyDescent="0.3">
      <c r="A1036" t="s">
        <v>1051</v>
      </c>
      <c r="B1036" s="2">
        <v>46074.749305555553</v>
      </c>
      <c r="C1036" s="2">
        <v>46075.90347222222</v>
      </c>
      <c r="D1036" t="s">
        <v>6028</v>
      </c>
      <c r="E1036" t="s">
        <v>6031</v>
      </c>
      <c r="F1036" t="s">
        <v>6035</v>
      </c>
      <c r="G1036" t="s">
        <v>6091</v>
      </c>
      <c r="H1036" t="s">
        <v>6097</v>
      </c>
      <c r="I1036">
        <v>4</v>
      </c>
      <c r="J1036">
        <v>27.7</v>
      </c>
      <c r="K1036" t="s">
        <v>6100</v>
      </c>
      <c r="L1036" t="s">
        <v>6100</v>
      </c>
      <c r="M1036" t="s">
        <v>6100</v>
      </c>
      <c r="N1036">
        <v>4</v>
      </c>
      <c r="O1036" t="s">
        <v>6101</v>
      </c>
      <c r="P1036" t="s">
        <v>6108</v>
      </c>
      <c r="Q1036">
        <v>2</v>
      </c>
      <c r="R1036">
        <v>2026</v>
      </c>
      <c r="S1036" t="s">
        <v>6100</v>
      </c>
      <c r="T1036">
        <v>0</v>
      </c>
      <c r="U1036" t="s">
        <v>6020</v>
      </c>
      <c r="V1036">
        <v>0</v>
      </c>
    </row>
    <row r="1037" spans="1:22" x14ac:dyDescent="0.3">
      <c r="A1037" t="s">
        <v>1052</v>
      </c>
      <c r="B1037" s="2">
        <v>46074.826388888891</v>
      </c>
      <c r="C1037" s="2">
        <v>46075.109722222223</v>
      </c>
      <c r="D1037" t="s">
        <v>6028</v>
      </c>
      <c r="E1037" t="s">
        <v>6030</v>
      </c>
      <c r="F1037" t="s">
        <v>6035</v>
      </c>
      <c r="G1037" t="s">
        <v>6079</v>
      </c>
      <c r="H1037" t="s">
        <v>6097</v>
      </c>
      <c r="I1037">
        <v>4</v>
      </c>
      <c r="J1037">
        <v>6.8</v>
      </c>
      <c r="K1037" t="s">
        <v>6099</v>
      </c>
      <c r="L1037" t="s">
        <v>6100</v>
      </c>
      <c r="M1037" t="s">
        <v>6100</v>
      </c>
      <c r="O1037" t="s">
        <v>6101</v>
      </c>
      <c r="P1037" t="s">
        <v>6108</v>
      </c>
      <c r="Q1037">
        <v>2</v>
      </c>
      <c r="R1037">
        <v>2026</v>
      </c>
      <c r="S1037" t="s">
        <v>6100</v>
      </c>
      <c r="T1037">
        <v>0</v>
      </c>
      <c r="U1037" t="s">
        <v>6021</v>
      </c>
      <c r="V1037">
        <v>1</v>
      </c>
    </row>
    <row r="1038" spans="1:22" x14ac:dyDescent="0.3">
      <c r="A1038" t="s">
        <v>1053</v>
      </c>
      <c r="B1038" s="2">
        <v>46074.854166666664</v>
      </c>
      <c r="C1038" s="2">
        <v>46076.941666666666</v>
      </c>
      <c r="D1038" t="s">
        <v>6025</v>
      </c>
      <c r="E1038" t="s">
        <v>6029</v>
      </c>
      <c r="F1038" t="s">
        <v>6034</v>
      </c>
      <c r="G1038" t="s">
        <v>6066</v>
      </c>
      <c r="H1038" t="s">
        <v>6096</v>
      </c>
      <c r="I1038">
        <v>24</v>
      </c>
      <c r="J1038">
        <v>50.1</v>
      </c>
      <c r="K1038" t="s">
        <v>6100</v>
      </c>
      <c r="L1038" t="s">
        <v>6099</v>
      </c>
      <c r="M1038" t="s">
        <v>6100</v>
      </c>
      <c r="N1038">
        <v>2</v>
      </c>
      <c r="O1038" t="s">
        <v>6101</v>
      </c>
      <c r="P1038" t="s">
        <v>6108</v>
      </c>
      <c r="Q1038">
        <v>2</v>
      </c>
      <c r="R1038">
        <v>2026</v>
      </c>
      <c r="S1038" t="s">
        <v>6100</v>
      </c>
      <c r="T1038">
        <v>0</v>
      </c>
      <c r="U1038" t="s">
        <v>6021</v>
      </c>
      <c r="V1038">
        <v>0</v>
      </c>
    </row>
    <row r="1039" spans="1:22" x14ac:dyDescent="0.3">
      <c r="A1039" t="s">
        <v>1054</v>
      </c>
      <c r="B1039" s="2">
        <v>46074.870138888888</v>
      </c>
      <c r="C1039" s="2">
        <v>46078.107638888891</v>
      </c>
      <c r="D1039" t="s">
        <v>6026</v>
      </c>
      <c r="E1039" t="s">
        <v>6030</v>
      </c>
      <c r="F1039" t="s">
        <v>6034</v>
      </c>
      <c r="G1039" t="s">
        <v>6059</v>
      </c>
      <c r="H1039" t="s">
        <v>6097</v>
      </c>
      <c r="I1039">
        <v>24</v>
      </c>
      <c r="J1039">
        <v>77.7</v>
      </c>
      <c r="K1039" t="s">
        <v>6100</v>
      </c>
      <c r="L1039" t="s">
        <v>6099</v>
      </c>
      <c r="M1039" t="s">
        <v>6100</v>
      </c>
      <c r="O1039" t="s">
        <v>6101</v>
      </c>
      <c r="P1039" t="s">
        <v>6108</v>
      </c>
      <c r="Q1039">
        <v>2</v>
      </c>
      <c r="R1039">
        <v>2026</v>
      </c>
      <c r="S1039" t="s">
        <v>6100</v>
      </c>
      <c r="T1039">
        <v>0</v>
      </c>
      <c r="U1039" t="s">
        <v>6019</v>
      </c>
      <c r="V1039">
        <v>0</v>
      </c>
    </row>
    <row r="1040" spans="1:22" x14ac:dyDescent="0.3">
      <c r="A1040" t="s">
        <v>1055</v>
      </c>
      <c r="B1040" s="2">
        <v>46075.113194444442</v>
      </c>
      <c r="C1040" s="2">
        <v>46075.446527777778</v>
      </c>
      <c r="D1040" t="s">
        <v>6028</v>
      </c>
      <c r="E1040" t="s">
        <v>6030</v>
      </c>
      <c r="F1040" t="s">
        <v>6033</v>
      </c>
      <c r="G1040" t="s">
        <v>6056</v>
      </c>
      <c r="H1040" t="s">
        <v>6098</v>
      </c>
      <c r="I1040">
        <v>72</v>
      </c>
      <c r="J1040">
        <v>8</v>
      </c>
      <c r="K1040" t="s">
        <v>6099</v>
      </c>
      <c r="L1040" t="s">
        <v>6100</v>
      </c>
      <c r="M1040" t="s">
        <v>6099</v>
      </c>
      <c r="N1040">
        <v>4</v>
      </c>
      <c r="O1040" t="s">
        <v>6101</v>
      </c>
      <c r="P1040" t="s">
        <v>6108</v>
      </c>
      <c r="Q1040">
        <v>2</v>
      </c>
      <c r="R1040">
        <v>2026</v>
      </c>
      <c r="S1040" t="s">
        <v>6099</v>
      </c>
      <c r="T1040">
        <v>1</v>
      </c>
      <c r="U1040" t="s">
        <v>6020</v>
      </c>
      <c r="V1040">
        <v>1</v>
      </c>
    </row>
    <row r="1041" spans="1:22" x14ac:dyDescent="0.3">
      <c r="A1041" t="s">
        <v>1056</v>
      </c>
      <c r="B1041" s="2">
        <v>46075.259027777778</v>
      </c>
      <c r="C1041" s="2">
        <v>46075.775694444441</v>
      </c>
      <c r="D1041" t="s">
        <v>6023</v>
      </c>
      <c r="E1041" t="s">
        <v>6029</v>
      </c>
      <c r="F1041" t="s">
        <v>6033</v>
      </c>
      <c r="G1041" t="s">
        <v>6040</v>
      </c>
      <c r="H1041" t="s">
        <v>6097</v>
      </c>
      <c r="I1041">
        <v>72</v>
      </c>
      <c r="J1041">
        <v>12.4</v>
      </c>
      <c r="K1041" t="s">
        <v>6099</v>
      </c>
      <c r="L1041" t="s">
        <v>6100</v>
      </c>
      <c r="M1041" t="s">
        <v>6100</v>
      </c>
      <c r="N1041">
        <v>5</v>
      </c>
      <c r="O1041" t="s">
        <v>6101</v>
      </c>
      <c r="P1041" t="s">
        <v>6108</v>
      </c>
      <c r="Q1041">
        <v>2</v>
      </c>
      <c r="R1041">
        <v>2026</v>
      </c>
      <c r="S1041" t="s">
        <v>6099</v>
      </c>
      <c r="T1041">
        <v>1</v>
      </c>
      <c r="U1041" t="s">
        <v>6017</v>
      </c>
      <c r="V1041">
        <v>1</v>
      </c>
    </row>
    <row r="1042" spans="1:22" x14ac:dyDescent="0.3">
      <c r="A1042" t="s">
        <v>1057</v>
      </c>
      <c r="B1042" s="2">
        <v>46075.295138888891</v>
      </c>
      <c r="C1042" s="2">
        <v>46075.90347222222</v>
      </c>
      <c r="D1042" t="s">
        <v>6028</v>
      </c>
      <c r="E1042" t="s">
        <v>6031</v>
      </c>
      <c r="F1042" t="s">
        <v>6034</v>
      </c>
      <c r="G1042" t="s">
        <v>6060</v>
      </c>
      <c r="H1042" t="s">
        <v>6097</v>
      </c>
      <c r="I1042">
        <v>24</v>
      </c>
      <c r="J1042">
        <v>14.6</v>
      </c>
      <c r="K1042" t="s">
        <v>6100</v>
      </c>
      <c r="L1042" t="s">
        <v>6099</v>
      </c>
      <c r="M1042" t="s">
        <v>6100</v>
      </c>
      <c r="N1042">
        <v>1</v>
      </c>
      <c r="O1042" t="s">
        <v>6101</v>
      </c>
      <c r="P1042" t="s">
        <v>6108</v>
      </c>
      <c r="Q1042">
        <v>2</v>
      </c>
      <c r="R1042">
        <v>2026</v>
      </c>
      <c r="S1042" t="s">
        <v>6099</v>
      </c>
      <c r="T1042">
        <v>1</v>
      </c>
      <c r="U1042" t="s">
        <v>6020</v>
      </c>
      <c r="V1042">
        <v>0</v>
      </c>
    </row>
    <row r="1043" spans="1:22" x14ac:dyDescent="0.3">
      <c r="A1043" t="s">
        <v>1058</v>
      </c>
      <c r="B1043" s="2">
        <v>46075.31527777778</v>
      </c>
      <c r="C1043" s="2">
        <v>46075.702777777777</v>
      </c>
      <c r="D1043" t="s">
        <v>6024</v>
      </c>
      <c r="E1043" t="s">
        <v>6030</v>
      </c>
      <c r="F1043" t="s">
        <v>6034</v>
      </c>
      <c r="G1043" t="s">
        <v>6050</v>
      </c>
      <c r="H1043" t="s">
        <v>6098</v>
      </c>
      <c r="I1043">
        <v>24</v>
      </c>
      <c r="J1043">
        <v>9.3000000000000007</v>
      </c>
      <c r="K1043" t="s">
        <v>6099</v>
      </c>
      <c r="L1043" t="s">
        <v>6100</v>
      </c>
      <c r="M1043" t="s">
        <v>6100</v>
      </c>
      <c r="N1043">
        <v>4</v>
      </c>
      <c r="O1043" t="s">
        <v>6101</v>
      </c>
      <c r="P1043" t="s">
        <v>6108</v>
      </c>
      <c r="Q1043">
        <v>2</v>
      </c>
      <c r="R1043">
        <v>2026</v>
      </c>
      <c r="S1043" t="s">
        <v>6099</v>
      </c>
      <c r="T1043">
        <v>1</v>
      </c>
      <c r="U1043" t="s">
        <v>6021</v>
      </c>
      <c r="V1043">
        <v>1</v>
      </c>
    </row>
    <row r="1044" spans="1:22" x14ac:dyDescent="0.3">
      <c r="A1044" t="s">
        <v>1059</v>
      </c>
      <c r="B1044" s="2">
        <v>46075.351388888892</v>
      </c>
      <c r="C1044" s="2">
        <v>46075.655555555553</v>
      </c>
      <c r="D1044" t="s">
        <v>6024</v>
      </c>
      <c r="E1044" t="s">
        <v>6029</v>
      </c>
      <c r="F1044" t="s">
        <v>6035</v>
      </c>
      <c r="G1044" t="s">
        <v>6082</v>
      </c>
      <c r="H1044" t="s">
        <v>6097</v>
      </c>
      <c r="I1044">
        <v>4</v>
      </c>
      <c r="J1044">
        <v>7.3</v>
      </c>
      <c r="K1044" t="s">
        <v>6099</v>
      </c>
      <c r="L1044" t="s">
        <v>6100</v>
      </c>
      <c r="M1044" t="s">
        <v>6100</v>
      </c>
      <c r="N1044">
        <v>2</v>
      </c>
      <c r="O1044" t="s">
        <v>6101</v>
      </c>
      <c r="P1044" t="s">
        <v>6108</v>
      </c>
      <c r="Q1044">
        <v>2</v>
      </c>
      <c r="R1044">
        <v>2026</v>
      </c>
      <c r="S1044" t="s">
        <v>6100</v>
      </c>
      <c r="T1044">
        <v>0</v>
      </c>
      <c r="U1044" t="s">
        <v>6021</v>
      </c>
      <c r="V1044">
        <v>1</v>
      </c>
    </row>
    <row r="1045" spans="1:22" x14ac:dyDescent="0.3">
      <c r="A1045" t="s">
        <v>1060</v>
      </c>
      <c r="B1045" s="2">
        <v>46075.359027777777</v>
      </c>
      <c r="C1045" s="2">
        <v>46075.725694444445</v>
      </c>
      <c r="D1045" t="s">
        <v>6024</v>
      </c>
      <c r="E1045" t="s">
        <v>6029</v>
      </c>
      <c r="F1045" t="s">
        <v>6035</v>
      </c>
      <c r="G1045" t="s">
        <v>6086</v>
      </c>
      <c r="H1045" t="s">
        <v>6098</v>
      </c>
      <c r="I1045">
        <v>4</v>
      </c>
      <c r="J1045">
        <v>8.8000000000000007</v>
      </c>
      <c r="K1045" t="s">
        <v>6099</v>
      </c>
      <c r="L1045" t="s">
        <v>6100</v>
      </c>
      <c r="M1045" t="s">
        <v>6100</v>
      </c>
      <c r="O1045" t="s">
        <v>6101</v>
      </c>
      <c r="P1045" t="s">
        <v>6108</v>
      </c>
      <c r="Q1045">
        <v>2</v>
      </c>
      <c r="R1045">
        <v>2026</v>
      </c>
      <c r="S1045" t="s">
        <v>6100</v>
      </c>
      <c r="T1045">
        <v>0</v>
      </c>
      <c r="U1045" t="s">
        <v>6020</v>
      </c>
      <c r="V1045">
        <v>1</v>
      </c>
    </row>
    <row r="1046" spans="1:22" x14ac:dyDescent="0.3">
      <c r="A1046" t="s">
        <v>1061</v>
      </c>
      <c r="B1046" s="2">
        <v>46075.366666666669</v>
      </c>
      <c r="C1046" s="2">
        <v>46076.04583333333</v>
      </c>
      <c r="D1046" t="s">
        <v>6024</v>
      </c>
      <c r="E1046" t="s">
        <v>6029</v>
      </c>
      <c r="F1046" t="s">
        <v>6033</v>
      </c>
      <c r="G1046" t="s">
        <v>6053</v>
      </c>
      <c r="H1046" t="s">
        <v>6097</v>
      </c>
      <c r="I1046">
        <v>72</v>
      </c>
      <c r="J1046">
        <v>16.3</v>
      </c>
      <c r="K1046" t="s">
        <v>6099</v>
      </c>
      <c r="L1046" t="s">
        <v>6100</v>
      </c>
      <c r="M1046" t="s">
        <v>6100</v>
      </c>
      <c r="N1046">
        <v>5</v>
      </c>
      <c r="O1046" t="s">
        <v>6101</v>
      </c>
      <c r="P1046" t="s">
        <v>6108</v>
      </c>
      <c r="Q1046">
        <v>2</v>
      </c>
      <c r="R1046">
        <v>2026</v>
      </c>
      <c r="S1046" t="s">
        <v>6099</v>
      </c>
      <c r="T1046">
        <v>1</v>
      </c>
      <c r="U1046" t="s">
        <v>6020</v>
      </c>
      <c r="V1046">
        <v>1</v>
      </c>
    </row>
    <row r="1047" spans="1:22" x14ac:dyDescent="0.3">
      <c r="A1047" t="s">
        <v>1062</v>
      </c>
      <c r="B1047" s="2">
        <v>46075.377083333333</v>
      </c>
      <c r="C1047" s="2">
        <v>46078.102083333331</v>
      </c>
      <c r="D1047" t="s">
        <v>6024</v>
      </c>
      <c r="E1047" t="s">
        <v>6031</v>
      </c>
      <c r="F1047" t="s">
        <v>6034</v>
      </c>
      <c r="G1047" t="s">
        <v>6080</v>
      </c>
      <c r="H1047" t="s">
        <v>6096</v>
      </c>
      <c r="I1047">
        <v>24</v>
      </c>
      <c r="J1047">
        <v>65.400000000000006</v>
      </c>
      <c r="K1047" t="s">
        <v>6100</v>
      </c>
      <c r="L1047" t="s">
        <v>6099</v>
      </c>
      <c r="M1047" t="s">
        <v>6100</v>
      </c>
      <c r="O1047" t="s">
        <v>6101</v>
      </c>
      <c r="P1047" t="s">
        <v>6108</v>
      </c>
      <c r="Q1047">
        <v>2</v>
      </c>
      <c r="R1047">
        <v>2026</v>
      </c>
      <c r="S1047" t="s">
        <v>6100</v>
      </c>
      <c r="T1047">
        <v>0</v>
      </c>
      <c r="U1047" t="s">
        <v>6021</v>
      </c>
      <c r="V1047">
        <v>0</v>
      </c>
    </row>
    <row r="1048" spans="1:22" x14ac:dyDescent="0.3">
      <c r="A1048" t="s">
        <v>1063</v>
      </c>
      <c r="B1048" s="2">
        <v>46075.37777777778</v>
      </c>
      <c r="C1048" s="2">
        <v>46075.631944444445</v>
      </c>
      <c r="D1048" t="s">
        <v>6023</v>
      </c>
      <c r="E1048" t="s">
        <v>6029</v>
      </c>
      <c r="F1048" t="s">
        <v>6034</v>
      </c>
      <c r="G1048" t="s">
        <v>6079</v>
      </c>
      <c r="H1048" t="s">
        <v>6097</v>
      </c>
      <c r="I1048">
        <v>24</v>
      </c>
      <c r="J1048">
        <v>6.1</v>
      </c>
      <c r="K1048" t="s">
        <v>6099</v>
      </c>
      <c r="L1048" t="s">
        <v>6100</v>
      </c>
      <c r="M1048" t="s">
        <v>6100</v>
      </c>
      <c r="O1048" t="s">
        <v>6101</v>
      </c>
      <c r="P1048" t="s">
        <v>6108</v>
      </c>
      <c r="Q1048">
        <v>2</v>
      </c>
      <c r="R1048">
        <v>2026</v>
      </c>
      <c r="S1048" t="s">
        <v>6099</v>
      </c>
      <c r="T1048">
        <v>1</v>
      </c>
      <c r="U1048" t="s">
        <v>6017</v>
      </c>
      <c r="V1048">
        <v>1</v>
      </c>
    </row>
    <row r="1049" spans="1:22" x14ac:dyDescent="0.3">
      <c r="A1049" t="s">
        <v>1064</v>
      </c>
      <c r="B1049" s="2">
        <v>46075.419444444444</v>
      </c>
      <c r="C1049" s="2">
        <v>46075.661111111112</v>
      </c>
      <c r="D1049" t="s">
        <v>6023</v>
      </c>
      <c r="E1049" t="s">
        <v>6029</v>
      </c>
      <c r="F1049" t="s">
        <v>6033</v>
      </c>
      <c r="G1049" t="s">
        <v>6072</v>
      </c>
      <c r="H1049" t="s">
        <v>6097</v>
      </c>
      <c r="I1049">
        <v>72</v>
      </c>
      <c r="J1049">
        <v>5.8</v>
      </c>
      <c r="K1049" t="s">
        <v>6099</v>
      </c>
      <c r="L1049" t="s">
        <v>6100</v>
      </c>
      <c r="M1049" t="s">
        <v>6100</v>
      </c>
      <c r="O1049" t="s">
        <v>6101</v>
      </c>
      <c r="P1049" t="s">
        <v>6108</v>
      </c>
      <c r="Q1049">
        <v>2</v>
      </c>
      <c r="R1049">
        <v>2026</v>
      </c>
      <c r="S1049" t="s">
        <v>6099</v>
      </c>
      <c r="T1049">
        <v>1</v>
      </c>
      <c r="U1049" t="s">
        <v>6021</v>
      </c>
      <c r="V1049">
        <v>1</v>
      </c>
    </row>
    <row r="1050" spans="1:22" x14ac:dyDescent="0.3">
      <c r="A1050" t="s">
        <v>1065</v>
      </c>
      <c r="B1050" s="2">
        <v>46075.449305555558</v>
      </c>
      <c r="C1050" s="2">
        <v>46076.390972222223</v>
      </c>
      <c r="D1050" t="s">
        <v>6028</v>
      </c>
      <c r="E1050" t="s">
        <v>6029</v>
      </c>
      <c r="F1050" t="s">
        <v>6035</v>
      </c>
      <c r="G1050" t="s">
        <v>6073</v>
      </c>
      <c r="H1050" t="s">
        <v>6096</v>
      </c>
      <c r="I1050">
        <v>4</v>
      </c>
      <c r="J1050">
        <v>22.6</v>
      </c>
      <c r="K1050" t="s">
        <v>6100</v>
      </c>
      <c r="L1050" t="s">
        <v>6099</v>
      </c>
      <c r="M1050" t="s">
        <v>6100</v>
      </c>
      <c r="O1050" t="s">
        <v>6101</v>
      </c>
      <c r="P1050" t="s">
        <v>6108</v>
      </c>
      <c r="Q1050">
        <v>2</v>
      </c>
      <c r="R1050">
        <v>2026</v>
      </c>
      <c r="S1050" t="s">
        <v>6100</v>
      </c>
      <c r="T1050">
        <v>0</v>
      </c>
      <c r="U1050" t="s">
        <v>6019</v>
      </c>
      <c r="V1050">
        <v>0</v>
      </c>
    </row>
    <row r="1051" spans="1:22" x14ac:dyDescent="0.3">
      <c r="A1051" t="s">
        <v>1066</v>
      </c>
      <c r="B1051" s="2">
        <v>46075.467361111114</v>
      </c>
      <c r="C1051" s="2">
        <v>46076.042361111111</v>
      </c>
      <c r="D1051" t="s">
        <v>6023</v>
      </c>
      <c r="E1051" t="s">
        <v>6029</v>
      </c>
      <c r="F1051" t="s">
        <v>6033</v>
      </c>
      <c r="G1051" t="s">
        <v>6070</v>
      </c>
      <c r="H1051" t="s">
        <v>6097</v>
      </c>
      <c r="I1051">
        <v>72</v>
      </c>
      <c r="J1051">
        <v>13.8</v>
      </c>
      <c r="K1051" t="s">
        <v>6099</v>
      </c>
      <c r="L1051" t="s">
        <v>6100</v>
      </c>
      <c r="M1051" t="s">
        <v>6100</v>
      </c>
      <c r="N1051">
        <v>5</v>
      </c>
      <c r="O1051" t="s">
        <v>6101</v>
      </c>
      <c r="P1051" t="s">
        <v>6108</v>
      </c>
      <c r="Q1051">
        <v>2</v>
      </c>
      <c r="R1051">
        <v>2026</v>
      </c>
      <c r="S1051" t="s">
        <v>6099</v>
      </c>
      <c r="T1051">
        <v>1</v>
      </c>
      <c r="U1051" t="s">
        <v>6021</v>
      </c>
      <c r="V1051">
        <v>1</v>
      </c>
    </row>
    <row r="1052" spans="1:22" x14ac:dyDescent="0.3">
      <c r="A1052" t="s">
        <v>1067</v>
      </c>
      <c r="B1052" s="2">
        <v>46075.474305555559</v>
      </c>
      <c r="C1052" s="2">
        <v>46076.561805555553</v>
      </c>
      <c r="D1052" t="s">
        <v>6022</v>
      </c>
      <c r="E1052" t="s">
        <v>6031</v>
      </c>
      <c r="F1052" t="s">
        <v>6035</v>
      </c>
      <c r="G1052" t="s">
        <v>6039</v>
      </c>
      <c r="H1052" t="s">
        <v>6097</v>
      </c>
      <c r="I1052">
        <v>4</v>
      </c>
      <c r="J1052">
        <v>26.1</v>
      </c>
      <c r="K1052" t="s">
        <v>6100</v>
      </c>
      <c r="L1052" t="s">
        <v>6100</v>
      </c>
      <c r="M1052" t="s">
        <v>6100</v>
      </c>
      <c r="O1052" t="s">
        <v>6101</v>
      </c>
      <c r="P1052" t="s">
        <v>6108</v>
      </c>
      <c r="Q1052">
        <v>2</v>
      </c>
      <c r="R1052">
        <v>2026</v>
      </c>
      <c r="S1052" t="s">
        <v>6100</v>
      </c>
      <c r="T1052">
        <v>0</v>
      </c>
      <c r="U1052" t="s">
        <v>6019</v>
      </c>
      <c r="V1052">
        <v>0</v>
      </c>
    </row>
    <row r="1053" spans="1:22" x14ac:dyDescent="0.3">
      <c r="A1053" t="s">
        <v>1068</v>
      </c>
      <c r="B1053" s="2">
        <v>46075.493750000001</v>
      </c>
      <c r="C1053" s="2">
        <v>46088.777083333334</v>
      </c>
      <c r="D1053" t="s">
        <v>6026</v>
      </c>
      <c r="E1053" t="s">
        <v>6031</v>
      </c>
      <c r="F1053" t="s">
        <v>6035</v>
      </c>
      <c r="G1053" t="s">
        <v>6073</v>
      </c>
      <c r="H1053" t="s">
        <v>6096</v>
      </c>
      <c r="I1053">
        <v>4</v>
      </c>
      <c r="J1053">
        <v>318.8</v>
      </c>
      <c r="K1053" t="s">
        <v>6099</v>
      </c>
      <c r="L1053" t="s">
        <v>6100</v>
      </c>
      <c r="M1053" t="s">
        <v>6100</v>
      </c>
      <c r="N1053">
        <v>4</v>
      </c>
      <c r="O1053" t="s">
        <v>6101</v>
      </c>
      <c r="P1053" t="s">
        <v>6108</v>
      </c>
      <c r="Q1053">
        <v>2</v>
      </c>
      <c r="R1053">
        <v>2026</v>
      </c>
      <c r="S1053" t="s">
        <v>6100</v>
      </c>
      <c r="T1053">
        <v>0</v>
      </c>
      <c r="U1053" t="s">
        <v>6019</v>
      </c>
      <c r="V1053">
        <v>1</v>
      </c>
    </row>
    <row r="1054" spans="1:22" x14ac:dyDescent="0.3">
      <c r="A1054" t="s">
        <v>1069</v>
      </c>
      <c r="B1054" s="2">
        <v>46075.537499999999</v>
      </c>
      <c r="C1054" s="2">
        <v>46076.554166666669</v>
      </c>
      <c r="D1054" t="s">
        <v>6022</v>
      </c>
      <c r="E1054" t="s">
        <v>6029</v>
      </c>
      <c r="F1054" t="s">
        <v>6033</v>
      </c>
      <c r="G1054" t="s">
        <v>6072</v>
      </c>
      <c r="H1054" t="s">
        <v>6097</v>
      </c>
      <c r="I1054">
        <v>72</v>
      </c>
      <c r="J1054">
        <v>24.4</v>
      </c>
      <c r="K1054" t="s">
        <v>6100</v>
      </c>
      <c r="L1054" t="s">
        <v>6100</v>
      </c>
      <c r="M1054" t="s">
        <v>6100</v>
      </c>
      <c r="O1054" t="s">
        <v>6101</v>
      </c>
      <c r="P1054" t="s">
        <v>6108</v>
      </c>
      <c r="Q1054">
        <v>2</v>
      </c>
      <c r="R1054">
        <v>2026</v>
      </c>
      <c r="S1054" t="s">
        <v>6099</v>
      </c>
      <c r="T1054">
        <v>1</v>
      </c>
      <c r="U1054" t="s">
        <v>6017</v>
      </c>
      <c r="V1054">
        <v>0</v>
      </c>
    </row>
    <row r="1055" spans="1:22" x14ac:dyDescent="0.3">
      <c r="A1055" t="s">
        <v>1070</v>
      </c>
      <c r="B1055" s="2">
        <v>46075.547222222223</v>
      </c>
      <c r="C1055" s="2">
        <v>46075.676388888889</v>
      </c>
      <c r="D1055" t="s">
        <v>6023</v>
      </c>
      <c r="E1055" t="s">
        <v>6030</v>
      </c>
      <c r="F1055" t="s">
        <v>6033</v>
      </c>
      <c r="G1055" t="s">
        <v>6040</v>
      </c>
      <c r="H1055" t="s">
        <v>6097</v>
      </c>
      <c r="I1055">
        <v>72</v>
      </c>
      <c r="J1055">
        <v>3.1</v>
      </c>
      <c r="K1055" t="s">
        <v>6100</v>
      </c>
      <c r="L1055" t="s">
        <v>6100</v>
      </c>
      <c r="M1055" t="s">
        <v>6100</v>
      </c>
      <c r="N1055">
        <v>4</v>
      </c>
      <c r="O1055" t="s">
        <v>6101</v>
      </c>
      <c r="P1055" t="s">
        <v>6108</v>
      </c>
      <c r="Q1055">
        <v>2</v>
      </c>
      <c r="R1055">
        <v>2026</v>
      </c>
      <c r="S1055" t="s">
        <v>6099</v>
      </c>
      <c r="T1055">
        <v>1</v>
      </c>
      <c r="U1055" t="s">
        <v>6021</v>
      </c>
      <c r="V1055">
        <v>0</v>
      </c>
    </row>
    <row r="1056" spans="1:22" x14ac:dyDescent="0.3">
      <c r="A1056" t="s">
        <v>1071</v>
      </c>
      <c r="B1056" s="2">
        <v>46075.569444444445</v>
      </c>
      <c r="C1056" s="2">
        <v>46075.973611111112</v>
      </c>
      <c r="D1056" t="s">
        <v>6022</v>
      </c>
      <c r="E1056" t="s">
        <v>6030</v>
      </c>
      <c r="F1056" t="s">
        <v>6033</v>
      </c>
      <c r="G1056" t="s">
        <v>6077</v>
      </c>
      <c r="H1056" t="s">
        <v>6098</v>
      </c>
      <c r="I1056">
        <v>72</v>
      </c>
      <c r="J1056">
        <v>9.6999999999999993</v>
      </c>
      <c r="K1056" t="s">
        <v>6099</v>
      </c>
      <c r="L1056" t="s">
        <v>6100</v>
      </c>
      <c r="M1056" t="s">
        <v>6100</v>
      </c>
      <c r="N1056">
        <v>5</v>
      </c>
      <c r="O1056" t="s">
        <v>6101</v>
      </c>
      <c r="P1056" t="s">
        <v>6108</v>
      </c>
      <c r="Q1056">
        <v>2</v>
      </c>
      <c r="R1056">
        <v>2026</v>
      </c>
      <c r="S1056" t="s">
        <v>6099</v>
      </c>
      <c r="T1056">
        <v>1</v>
      </c>
      <c r="U1056" t="s">
        <v>6019</v>
      </c>
      <c r="V1056">
        <v>1</v>
      </c>
    </row>
    <row r="1057" spans="1:22" x14ac:dyDescent="0.3">
      <c r="A1057" t="s">
        <v>1072</v>
      </c>
      <c r="B1057" s="2">
        <v>46075.574999999997</v>
      </c>
      <c r="C1057" s="2">
        <v>46081.712500000001</v>
      </c>
      <c r="D1057" t="s">
        <v>6026</v>
      </c>
      <c r="E1057" t="s">
        <v>6031</v>
      </c>
      <c r="F1057" t="s">
        <v>6034</v>
      </c>
      <c r="G1057" t="s">
        <v>6050</v>
      </c>
      <c r="H1057" t="s">
        <v>6098</v>
      </c>
      <c r="I1057">
        <v>24</v>
      </c>
      <c r="J1057">
        <v>147.30000000000001</v>
      </c>
      <c r="K1057" t="s">
        <v>6099</v>
      </c>
      <c r="L1057" t="s">
        <v>6100</v>
      </c>
      <c r="M1057" t="s">
        <v>6099</v>
      </c>
      <c r="O1057" t="s">
        <v>6101</v>
      </c>
      <c r="P1057" t="s">
        <v>6108</v>
      </c>
      <c r="Q1057">
        <v>2</v>
      </c>
      <c r="R1057">
        <v>2026</v>
      </c>
      <c r="S1057" t="s">
        <v>6100</v>
      </c>
      <c r="T1057">
        <v>0</v>
      </c>
      <c r="U1057" t="s">
        <v>6017</v>
      </c>
      <c r="V1057">
        <v>1</v>
      </c>
    </row>
    <row r="1058" spans="1:22" x14ac:dyDescent="0.3">
      <c r="A1058" t="s">
        <v>1073</v>
      </c>
      <c r="B1058" s="2">
        <v>46075.57708333333</v>
      </c>
      <c r="C1058" s="2">
        <v>46077.277083333334</v>
      </c>
      <c r="D1058" t="s">
        <v>6026</v>
      </c>
      <c r="E1058" t="s">
        <v>6031</v>
      </c>
      <c r="F1058" t="s">
        <v>6035</v>
      </c>
      <c r="G1058" t="s">
        <v>6072</v>
      </c>
      <c r="H1058" t="s">
        <v>6097</v>
      </c>
      <c r="I1058">
        <v>4</v>
      </c>
      <c r="J1058">
        <v>40.799999999999997</v>
      </c>
      <c r="K1058" t="s">
        <v>6099</v>
      </c>
      <c r="L1058" t="s">
        <v>6100</v>
      </c>
      <c r="M1058" t="s">
        <v>6100</v>
      </c>
      <c r="N1058">
        <v>4</v>
      </c>
      <c r="O1058" t="s">
        <v>6101</v>
      </c>
      <c r="P1058" t="s">
        <v>6108</v>
      </c>
      <c r="Q1058">
        <v>2</v>
      </c>
      <c r="R1058">
        <v>2026</v>
      </c>
      <c r="S1058" t="s">
        <v>6100</v>
      </c>
      <c r="T1058">
        <v>0</v>
      </c>
      <c r="U1058" t="s">
        <v>6018</v>
      </c>
      <c r="V1058">
        <v>1</v>
      </c>
    </row>
    <row r="1059" spans="1:22" x14ac:dyDescent="0.3">
      <c r="A1059" t="s">
        <v>1074</v>
      </c>
      <c r="B1059" s="2">
        <v>46075.617361111108</v>
      </c>
      <c r="C1059" s="2">
        <v>46079.396527777775</v>
      </c>
      <c r="D1059" t="s">
        <v>6026</v>
      </c>
      <c r="E1059" t="s">
        <v>6031</v>
      </c>
      <c r="F1059" t="s">
        <v>6034</v>
      </c>
      <c r="G1059" t="s">
        <v>6075</v>
      </c>
      <c r="H1059" t="s">
        <v>6097</v>
      </c>
      <c r="I1059">
        <v>24</v>
      </c>
      <c r="J1059">
        <v>90.7</v>
      </c>
      <c r="K1059" t="s">
        <v>6100</v>
      </c>
      <c r="L1059" t="s">
        <v>6100</v>
      </c>
      <c r="M1059" t="s">
        <v>6099</v>
      </c>
      <c r="N1059">
        <v>2</v>
      </c>
      <c r="O1059" t="s">
        <v>6101</v>
      </c>
      <c r="P1059" t="s">
        <v>6108</v>
      </c>
      <c r="Q1059">
        <v>2</v>
      </c>
      <c r="R1059">
        <v>2026</v>
      </c>
      <c r="S1059" t="s">
        <v>6100</v>
      </c>
      <c r="T1059">
        <v>0</v>
      </c>
      <c r="U1059" t="s">
        <v>6021</v>
      </c>
      <c r="V1059">
        <v>0</v>
      </c>
    </row>
    <row r="1060" spans="1:22" x14ac:dyDescent="0.3">
      <c r="A1060" t="s">
        <v>1075</v>
      </c>
      <c r="B1060" s="2">
        <v>46075.620833333334</v>
      </c>
      <c r="C1060" s="2">
        <v>46076.229166666664</v>
      </c>
      <c r="D1060" t="s">
        <v>6023</v>
      </c>
      <c r="E1060" t="s">
        <v>6032</v>
      </c>
      <c r="F1060" t="s">
        <v>6033</v>
      </c>
      <c r="G1060" t="s">
        <v>6049</v>
      </c>
      <c r="H1060" t="s">
        <v>6097</v>
      </c>
      <c r="I1060">
        <v>72</v>
      </c>
      <c r="J1060">
        <v>14.6</v>
      </c>
      <c r="K1060" t="s">
        <v>6099</v>
      </c>
      <c r="L1060" t="s">
        <v>6100</v>
      </c>
      <c r="M1060" t="s">
        <v>6100</v>
      </c>
      <c r="O1060" t="s">
        <v>6101</v>
      </c>
      <c r="P1060" t="s">
        <v>6108</v>
      </c>
      <c r="Q1060">
        <v>2</v>
      </c>
      <c r="R1060">
        <v>2026</v>
      </c>
      <c r="S1060" t="s">
        <v>6099</v>
      </c>
      <c r="T1060">
        <v>1</v>
      </c>
      <c r="U1060" t="s">
        <v>6019</v>
      </c>
      <c r="V1060">
        <v>1</v>
      </c>
    </row>
    <row r="1061" spans="1:22" x14ac:dyDescent="0.3">
      <c r="A1061" t="s">
        <v>1076</v>
      </c>
      <c r="B1061" s="2">
        <v>46075.626388888886</v>
      </c>
      <c r="C1061" s="2">
        <v>46077.484722222223</v>
      </c>
      <c r="D1061" t="s">
        <v>6023</v>
      </c>
      <c r="E1061" t="s">
        <v>6032</v>
      </c>
      <c r="F1061" t="s">
        <v>6033</v>
      </c>
      <c r="G1061" t="s">
        <v>6039</v>
      </c>
      <c r="H1061" t="s">
        <v>6097</v>
      </c>
      <c r="I1061">
        <v>72</v>
      </c>
      <c r="J1061">
        <v>44.6</v>
      </c>
      <c r="K1061" t="s">
        <v>6099</v>
      </c>
      <c r="L1061" t="s">
        <v>6100</v>
      </c>
      <c r="M1061" t="s">
        <v>6100</v>
      </c>
      <c r="N1061">
        <v>5</v>
      </c>
      <c r="O1061" t="s">
        <v>6101</v>
      </c>
      <c r="P1061" t="s">
        <v>6108</v>
      </c>
      <c r="Q1061">
        <v>2</v>
      </c>
      <c r="R1061">
        <v>2026</v>
      </c>
      <c r="S1061" t="s">
        <v>6099</v>
      </c>
      <c r="T1061">
        <v>1</v>
      </c>
      <c r="U1061" t="s">
        <v>6021</v>
      </c>
      <c r="V1061">
        <v>1</v>
      </c>
    </row>
    <row r="1062" spans="1:22" x14ac:dyDescent="0.3">
      <c r="A1062" t="s">
        <v>1077</v>
      </c>
      <c r="B1062" s="2">
        <v>46075.642361111109</v>
      </c>
      <c r="C1062" s="2">
        <v>46076.313194444447</v>
      </c>
      <c r="D1062" t="s">
        <v>6025</v>
      </c>
      <c r="E1062" t="s">
        <v>6030</v>
      </c>
      <c r="F1062" t="s">
        <v>6034</v>
      </c>
      <c r="G1062" t="s">
        <v>6046</v>
      </c>
      <c r="H1062" t="s">
        <v>6098</v>
      </c>
      <c r="I1062">
        <v>24</v>
      </c>
      <c r="J1062">
        <v>16.100000000000001</v>
      </c>
      <c r="K1062" t="s">
        <v>6099</v>
      </c>
      <c r="L1062" t="s">
        <v>6100</v>
      </c>
      <c r="M1062" t="s">
        <v>6100</v>
      </c>
      <c r="N1062">
        <v>5</v>
      </c>
      <c r="O1062" t="s">
        <v>6101</v>
      </c>
      <c r="P1062" t="s">
        <v>6108</v>
      </c>
      <c r="Q1062">
        <v>2</v>
      </c>
      <c r="R1062">
        <v>2026</v>
      </c>
      <c r="S1062" t="s">
        <v>6099</v>
      </c>
      <c r="T1062">
        <v>1</v>
      </c>
      <c r="U1062" t="s">
        <v>6021</v>
      </c>
      <c r="V1062">
        <v>1</v>
      </c>
    </row>
    <row r="1063" spans="1:22" x14ac:dyDescent="0.3">
      <c r="A1063" t="s">
        <v>1078</v>
      </c>
      <c r="B1063" s="2">
        <v>46075.655555555553</v>
      </c>
      <c r="C1063" s="2">
        <v>46076.001388888886</v>
      </c>
      <c r="D1063" t="s">
        <v>6023</v>
      </c>
      <c r="E1063" t="s">
        <v>6030</v>
      </c>
      <c r="F1063" t="s">
        <v>6033</v>
      </c>
      <c r="G1063" t="s">
        <v>6084</v>
      </c>
      <c r="H1063" t="s">
        <v>6098</v>
      </c>
      <c r="I1063">
        <v>72</v>
      </c>
      <c r="J1063">
        <v>8.3000000000000007</v>
      </c>
      <c r="K1063" t="s">
        <v>6100</v>
      </c>
      <c r="L1063" t="s">
        <v>6099</v>
      </c>
      <c r="M1063" t="s">
        <v>6100</v>
      </c>
      <c r="O1063" t="s">
        <v>6101</v>
      </c>
      <c r="P1063" t="s">
        <v>6108</v>
      </c>
      <c r="Q1063">
        <v>2</v>
      </c>
      <c r="R1063">
        <v>2026</v>
      </c>
      <c r="S1063" t="s">
        <v>6099</v>
      </c>
      <c r="T1063">
        <v>1</v>
      </c>
      <c r="U1063" t="s">
        <v>6020</v>
      </c>
      <c r="V1063">
        <v>0</v>
      </c>
    </row>
    <row r="1064" spans="1:22" x14ac:dyDescent="0.3">
      <c r="A1064" t="s">
        <v>1079</v>
      </c>
      <c r="B1064" s="2">
        <v>46075.684027777781</v>
      </c>
      <c r="C1064" s="2">
        <v>46079.184027777781</v>
      </c>
      <c r="D1064" t="s">
        <v>6026</v>
      </c>
      <c r="E1064" t="s">
        <v>6031</v>
      </c>
      <c r="F1064" t="s">
        <v>6035</v>
      </c>
      <c r="G1064" t="s">
        <v>6060</v>
      </c>
      <c r="H1064" t="s">
        <v>6097</v>
      </c>
      <c r="I1064">
        <v>4</v>
      </c>
      <c r="J1064">
        <v>84</v>
      </c>
      <c r="K1064" t="s">
        <v>6100</v>
      </c>
      <c r="L1064" t="s">
        <v>6099</v>
      </c>
      <c r="M1064" t="s">
        <v>6100</v>
      </c>
      <c r="N1064">
        <v>3</v>
      </c>
      <c r="O1064" t="s">
        <v>6101</v>
      </c>
      <c r="P1064" t="s">
        <v>6108</v>
      </c>
      <c r="Q1064">
        <v>2</v>
      </c>
      <c r="R1064">
        <v>2026</v>
      </c>
      <c r="S1064" t="s">
        <v>6100</v>
      </c>
      <c r="T1064">
        <v>0</v>
      </c>
      <c r="U1064" t="s">
        <v>6021</v>
      </c>
      <c r="V1064">
        <v>0</v>
      </c>
    </row>
    <row r="1065" spans="1:22" x14ac:dyDescent="0.3">
      <c r="A1065" t="s">
        <v>1080</v>
      </c>
      <c r="B1065" s="2">
        <v>46075.686111111114</v>
      </c>
      <c r="C1065" s="2">
        <v>46077.581944444442</v>
      </c>
      <c r="D1065" t="s">
        <v>6022</v>
      </c>
      <c r="E1065" t="s">
        <v>6031</v>
      </c>
      <c r="F1065" t="s">
        <v>6033</v>
      </c>
      <c r="G1065" t="s">
        <v>6052</v>
      </c>
      <c r="H1065" t="s">
        <v>6098</v>
      </c>
      <c r="I1065">
        <v>72</v>
      </c>
      <c r="J1065">
        <v>45.5</v>
      </c>
      <c r="K1065" t="s">
        <v>6100</v>
      </c>
      <c r="L1065" t="s">
        <v>6100</v>
      </c>
      <c r="M1065" t="s">
        <v>6100</v>
      </c>
      <c r="O1065" t="s">
        <v>6101</v>
      </c>
      <c r="P1065" t="s">
        <v>6108</v>
      </c>
      <c r="Q1065">
        <v>2</v>
      </c>
      <c r="R1065">
        <v>2026</v>
      </c>
      <c r="S1065" t="s">
        <v>6099</v>
      </c>
      <c r="T1065">
        <v>1</v>
      </c>
      <c r="U1065" t="s">
        <v>6018</v>
      </c>
      <c r="V1065">
        <v>0</v>
      </c>
    </row>
    <row r="1066" spans="1:22" x14ac:dyDescent="0.3">
      <c r="A1066" t="s">
        <v>1081</v>
      </c>
      <c r="B1066" s="2">
        <v>46075.754861111112</v>
      </c>
      <c r="C1066" s="2">
        <v>46076.759027777778</v>
      </c>
      <c r="D1066" t="s">
        <v>6022</v>
      </c>
      <c r="E1066" t="s">
        <v>6031</v>
      </c>
      <c r="F1066" t="s">
        <v>6035</v>
      </c>
      <c r="G1066" t="s">
        <v>6043</v>
      </c>
      <c r="H1066" t="s">
        <v>6097</v>
      </c>
      <c r="I1066">
        <v>4</v>
      </c>
      <c r="J1066">
        <v>24.1</v>
      </c>
      <c r="K1066" t="s">
        <v>6100</v>
      </c>
      <c r="L1066" t="s">
        <v>6099</v>
      </c>
      <c r="M1066" t="s">
        <v>6100</v>
      </c>
      <c r="O1066" t="s">
        <v>6101</v>
      </c>
      <c r="P1066" t="s">
        <v>6108</v>
      </c>
      <c r="Q1066">
        <v>2</v>
      </c>
      <c r="R1066">
        <v>2026</v>
      </c>
      <c r="S1066" t="s">
        <v>6100</v>
      </c>
      <c r="T1066">
        <v>0</v>
      </c>
      <c r="U1066" t="s">
        <v>6018</v>
      </c>
      <c r="V1066">
        <v>0</v>
      </c>
    </row>
    <row r="1067" spans="1:22" x14ac:dyDescent="0.3">
      <c r="A1067" t="s">
        <v>1082</v>
      </c>
      <c r="B1067" s="2">
        <v>46075.759722222225</v>
      </c>
      <c r="C1067" s="2">
        <v>46076.601388888892</v>
      </c>
      <c r="D1067" t="s">
        <v>6025</v>
      </c>
      <c r="E1067" t="s">
        <v>6031</v>
      </c>
      <c r="F1067" t="s">
        <v>6033</v>
      </c>
      <c r="G1067" t="s">
        <v>6091</v>
      </c>
      <c r="H1067" t="s">
        <v>6097</v>
      </c>
      <c r="I1067">
        <v>72</v>
      </c>
      <c r="J1067">
        <v>20.2</v>
      </c>
      <c r="K1067" t="s">
        <v>6099</v>
      </c>
      <c r="L1067" t="s">
        <v>6100</v>
      </c>
      <c r="M1067" t="s">
        <v>6100</v>
      </c>
      <c r="O1067" t="s">
        <v>6101</v>
      </c>
      <c r="P1067" t="s">
        <v>6108</v>
      </c>
      <c r="Q1067">
        <v>2</v>
      </c>
      <c r="R1067">
        <v>2026</v>
      </c>
      <c r="S1067" t="s">
        <v>6099</v>
      </c>
      <c r="T1067">
        <v>1</v>
      </c>
      <c r="U1067" t="s">
        <v>6017</v>
      </c>
      <c r="V1067">
        <v>1</v>
      </c>
    </row>
    <row r="1068" spans="1:22" x14ac:dyDescent="0.3">
      <c r="A1068" t="s">
        <v>1083</v>
      </c>
      <c r="B1068" s="2">
        <v>46075.893750000003</v>
      </c>
      <c r="C1068" s="2">
        <v>46076.122916666667</v>
      </c>
      <c r="D1068" t="s">
        <v>6028</v>
      </c>
      <c r="E1068" t="s">
        <v>6030</v>
      </c>
      <c r="F1068" t="s">
        <v>6034</v>
      </c>
      <c r="G1068" t="s">
        <v>6095</v>
      </c>
      <c r="H1068" t="s">
        <v>6098</v>
      </c>
      <c r="I1068">
        <v>24</v>
      </c>
      <c r="J1068">
        <v>5.5</v>
      </c>
      <c r="K1068" t="s">
        <v>6099</v>
      </c>
      <c r="L1068" t="s">
        <v>6100</v>
      </c>
      <c r="M1068" t="s">
        <v>6100</v>
      </c>
      <c r="N1068">
        <v>5</v>
      </c>
      <c r="O1068" t="s">
        <v>6101</v>
      </c>
      <c r="P1068" t="s">
        <v>6108</v>
      </c>
      <c r="Q1068">
        <v>2</v>
      </c>
      <c r="R1068">
        <v>2026</v>
      </c>
      <c r="S1068" t="s">
        <v>6099</v>
      </c>
      <c r="T1068">
        <v>1</v>
      </c>
      <c r="U1068" t="s">
        <v>6017</v>
      </c>
      <c r="V1068">
        <v>1</v>
      </c>
    </row>
    <row r="1069" spans="1:22" x14ac:dyDescent="0.3">
      <c r="A1069" t="s">
        <v>1084</v>
      </c>
      <c r="B1069" s="2">
        <v>46076.304861111108</v>
      </c>
      <c r="C1069" s="2">
        <v>46077.367361111108</v>
      </c>
      <c r="D1069" t="s">
        <v>6025</v>
      </c>
      <c r="E1069" t="s">
        <v>6031</v>
      </c>
      <c r="F1069" t="s">
        <v>6034</v>
      </c>
      <c r="G1069" t="s">
        <v>6078</v>
      </c>
      <c r="H1069" t="s">
        <v>6097</v>
      </c>
      <c r="I1069">
        <v>24</v>
      </c>
      <c r="J1069">
        <v>25.5</v>
      </c>
      <c r="K1069" t="s">
        <v>6099</v>
      </c>
      <c r="L1069" t="s">
        <v>6100</v>
      </c>
      <c r="M1069" t="s">
        <v>6100</v>
      </c>
      <c r="N1069">
        <v>4</v>
      </c>
      <c r="O1069" t="s">
        <v>6101</v>
      </c>
      <c r="P1069" t="s">
        <v>6108</v>
      </c>
      <c r="Q1069">
        <v>2</v>
      </c>
      <c r="R1069">
        <v>2026</v>
      </c>
      <c r="S1069" t="s">
        <v>6100</v>
      </c>
      <c r="T1069">
        <v>0</v>
      </c>
      <c r="U1069" t="s">
        <v>6019</v>
      </c>
      <c r="V1069">
        <v>1</v>
      </c>
    </row>
    <row r="1070" spans="1:22" x14ac:dyDescent="0.3">
      <c r="A1070" t="s">
        <v>1085</v>
      </c>
      <c r="B1070" s="2">
        <v>46076.305555555555</v>
      </c>
      <c r="C1070" s="2">
        <v>46076.501388888886</v>
      </c>
      <c r="D1070" t="s">
        <v>6027</v>
      </c>
      <c r="E1070" t="s">
        <v>6029</v>
      </c>
      <c r="F1070" t="s">
        <v>6034</v>
      </c>
      <c r="G1070" t="s">
        <v>6077</v>
      </c>
      <c r="H1070" t="s">
        <v>6098</v>
      </c>
      <c r="I1070">
        <v>24</v>
      </c>
      <c r="J1070">
        <v>4.7</v>
      </c>
      <c r="K1070" t="s">
        <v>6100</v>
      </c>
      <c r="L1070" t="s">
        <v>6100</v>
      </c>
      <c r="M1070" t="s">
        <v>6099</v>
      </c>
      <c r="O1070" t="s">
        <v>6101</v>
      </c>
      <c r="P1070" t="s">
        <v>6108</v>
      </c>
      <c r="Q1070">
        <v>2</v>
      </c>
      <c r="R1070">
        <v>2026</v>
      </c>
      <c r="S1070" t="s">
        <v>6099</v>
      </c>
      <c r="T1070">
        <v>1</v>
      </c>
      <c r="U1070" t="s">
        <v>6018</v>
      </c>
      <c r="V1070">
        <v>0</v>
      </c>
    </row>
    <row r="1071" spans="1:22" x14ac:dyDescent="0.3">
      <c r="A1071" t="s">
        <v>1086</v>
      </c>
      <c r="B1071" s="2">
        <v>46076.340277777781</v>
      </c>
      <c r="C1071" s="2">
        <v>46077.836111111108</v>
      </c>
      <c r="D1071" t="s">
        <v>6022</v>
      </c>
      <c r="E1071" t="s">
        <v>6031</v>
      </c>
      <c r="F1071" t="s">
        <v>6034</v>
      </c>
      <c r="G1071" t="s">
        <v>6069</v>
      </c>
      <c r="H1071" t="s">
        <v>6098</v>
      </c>
      <c r="I1071">
        <v>24</v>
      </c>
      <c r="J1071">
        <v>35.9</v>
      </c>
      <c r="K1071" t="s">
        <v>6099</v>
      </c>
      <c r="L1071" t="s">
        <v>6100</v>
      </c>
      <c r="M1071" t="s">
        <v>6100</v>
      </c>
      <c r="N1071">
        <v>5</v>
      </c>
      <c r="O1071" t="s">
        <v>6101</v>
      </c>
      <c r="P1071" t="s">
        <v>6108</v>
      </c>
      <c r="Q1071">
        <v>2</v>
      </c>
      <c r="R1071">
        <v>2026</v>
      </c>
      <c r="S1071" t="s">
        <v>6100</v>
      </c>
      <c r="T1071">
        <v>0</v>
      </c>
      <c r="U1071" t="s">
        <v>6021</v>
      </c>
      <c r="V1071">
        <v>1</v>
      </c>
    </row>
    <row r="1072" spans="1:22" x14ac:dyDescent="0.3">
      <c r="A1072" t="s">
        <v>1087</v>
      </c>
      <c r="B1072" s="2">
        <v>46076.380555555559</v>
      </c>
      <c r="C1072" s="2">
        <v>46076.455555555556</v>
      </c>
      <c r="D1072" t="s">
        <v>6023</v>
      </c>
      <c r="E1072" t="s">
        <v>6030</v>
      </c>
      <c r="F1072" t="s">
        <v>6033</v>
      </c>
      <c r="G1072" t="s">
        <v>6094</v>
      </c>
      <c r="H1072" t="s">
        <v>6098</v>
      </c>
      <c r="I1072">
        <v>72</v>
      </c>
      <c r="J1072">
        <v>1.8</v>
      </c>
      <c r="K1072" t="s">
        <v>6100</v>
      </c>
      <c r="L1072" t="s">
        <v>6099</v>
      </c>
      <c r="M1072" t="s">
        <v>6100</v>
      </c>
      <c r="N1072">
        <v>3</v>
      </c>
      <c r="O1072" t="s">
        <v>6101</v>
      </c>
      <c r="P1072" t="s">
        <v>6108</v>
      </c>
      <c r="Q1072">
        <v>2</v>
      </c>
      <c r="R1072">
        <v>2026</v>
      </c>
      <c r="S1072" t="s">
        <v>6099</v>
      </c>
      <c r="T1072">
        <v>1</v>
      </c>
      <c r="U1072" t="s">
        <v>6017</v>
      </c>
      <c r="V1072">
        <v>0</v>
      </c>
    </row>
    <row r="1073" spans="1:22" x14ac:dyDescent="0.3">
      <c r="A1073" t="s">
        <v>1088</v>
      </c>
      <c r="B1073" s="2">
        <v>46076.444444444445</v>
      </c>
      <c r="C1073" s="2">
        <v>46078.436111111114</v>
      </c>
      <c r="D1073" t="s">
        <v>6026</v>
      </c>
      <c r="E1073" t="s">
        <v>6029</v>
      </c>
      <c r="F1073" t="s">
        <v>6035</v>
      </c>
      <c r="G1073" t="s">
        <v>6087</v>
      </c>
      <c r="H1073" t="s">
        <v>6098</v>
      </c>
      <c r="I1073">
        <v>4</v>
      </c>
      <c r="J1073">
        <v>47.8</v>
      </c>
      <c r="K1073" t="s">
        <v>6099</v>
      </c>
      <c r="L1073" t="s">
        <v>6100</v>
      </c>
      <c r="M1073" t="s">
        <v>6099</v>
      </c>
      <c r="N1073">
        <v>4</v>
      </c>
      <c r="O1073" t="s">
        <v>6101</v>
      </c>
      <c r="P1073" t="s">
        <v>6108</v>
      </c>
      <c r="Q1073">
        <v>2</v>
      </c>
      <c r="R1073">
        <v>2026</v>
      </c>
      <c r="S1073" t="s">
        <v>6100</v>
      </c>
      <c r="T1073">
        <v>0</v>
      </c>
      <c r="U1073" t="s">
        <v>6019</v>
      </c>
      <c r="V1073">
        <v>1</v>
      </c>
    </row>
    <row r="1074" spans="1:22" x14ac:dyDescent="0.3">
      <c r="A1074" t="s">
        <v>1089</v>
      </c>
      <c r="B1074" s="2">
        <v>46076.458333333336</v>
      </c>
      <c r="C1074" s="2">
        <v>46076.79583333333</v>
      </c>
      <c r="D1074" t="s">
        <v>6028</v>
      </c>
      <c r="E1074" t="s">
        <v>6029</v>
      </c>
      <c r="F1074" t="s">
        <v>6035</v>
      </c>
      <c r="G1074" t="s">
        <v>6070</v>
      </c>
      <c r="H1074" t="s">
        <v>6097</v>
      </c>
      <c r="I1074">
        <v>4</v>
      </c>
      <c r="J1074">
        <v>8.1</v>
      </c>
      <c r="K1074" t="s">
        <v>6099</v>
      </c>
      <c r="L1074" t="s">
        <v>6100</v>
      </c>
      <c r="M1074" t="s">
        <v>6099</v>
      </c>
      <c r="O1074" t="s">
        <v>6101</v>
      </c>
      <c r="P1074" t="s">
        <v>6108</v>
      </c>
      <c r="Q1074">
        <v>2</v>
      </c>
      <c r="R1074">
        <v>2026</v>
      </c>
      <c r="S1074" t="s">
        <v>6100</v>
      </c>
      <c r="T1074">
        <v>0</v>
      </c>
      <c r="U1074" t="s">
        <v>6021</v>
      </c>
      <c r="V1074">
        <v>1</v>
      </c>
    </row>
    <row r="1075" spans="1:22" x14ac:dyDescent="0.3">
      <c r="A1075" t="s">
        <v>1090</v>
      </c>
      <c r="B1075" s="2">
        <v>46076.461805555555</v>
      </c>
      <c r="C1075" s="2">
        <v>46076.690972222219</v>
      </c>
      <c r="D1075" t="s">
        <v>6023</v>
      </c>
      <c r="E1075" t="s">
        <v>6029</v>
      </c>
      <c r="F1075" t="s">
        <v>6034</v>
      </c>
      <c r="G1075" t="s">
        <v>6070</v>
      </c>
      <c r="H1075" t="s">
        <v>6097</v>
      </c>
      <c r="I1075">
        <v>24</v>
      </c>
      <c r="J1075">
        <v>5.5</v>
      </c>
      <c r="K1075" t="s">
        <v>6100</v>
      </c>
      <c r="L1075" t="s">
        <v>6100</v>
      </c>
      <c r="M1075" t="s">
        <v>6100</v>
      </c>
      <c r="N1075">
        <v>4</v>
      </c>
      <c r="O1075" t="s">
        <v>6101</v>
      </c>
      <c r="P1075" t="s">
        <v>6108</v>
      </c>
      <c r="Q1075">
        <v>2</v>
      </c>
      <c r="R1075">
        <v>2026</v>
      </c>
      <c r="S1075" t="s">
        <v>6099</v>
      </c>
      <c r="T1075">
        <v>1</v>
      </c>
      <c r="U1075" t="s">
        <v>6020</v>
      </c>
      <c r="V1075">
        <v>0</v>
      </c>
    </row>
    <row r="1076" spans="1:22" x14ac:dyDescent="0.3">
      <c r="A1076" t="s">
        <v>1091</v>
      </c>
      <c r="B1076" s="2">
        <v>46076.482638888891</v>
      </c>
      <c r="C1076" s="2">
        <v>46076.661805555559</v>
      </c>
      <c r="D1076" t="s">
        <v>6027</v>
      </c>
      <c r="E1076" t="s">
        <v>6029</v>
      </c>
      <c r="F1076" t="s">
        <v>6035</v>
      </c>
      <c r="G1076" t="s">
        <v>6042</v>
      </c>
      <c r="H1076" t="s">
        <v>6098</v>
      </c>
      <c r="I1076">
        <v>4</v>
      </c>
      <c r="J1076">
        <v>4.3</v>
      </c>
      <c r="K1076" t="s">
        <v>6099</v>
      </c>
      <c r="L1076" t="s">
        <v>6100</v>
      </c>
      <c r="M1076" t="s">
        <v>6100</v>
      </c>
      <c r="O1076" t="s">
        <v>6101</v>
      </c>
      <c r="P1076" t="s">
        <v>6108</v>
      </c>
      <c r="Q1076">
        <v>2</v>
      </c>
      <c r="R1076">
        <v>2026</v>
      </c>
      <c r="S1076" t="s">
        <v>6100</v>
      </c>
      <c r="T1076">
        <v>0</v>
      </c>
      <c r="U1076" t="s">
        <v>6018</v>
      </c>
      <c r="V1076">
        <v>1</v>
      </c>
    </row>
    <row r="1077" spans="1:22" x14ac:dyDescent="0.3">
      <c r="A1077" t="s">
        <v>1092</v>
      </c>
      <c r="B1077" s="2">
        <v>46076.482638888891</v>
      </c>
      <c r="C1077" s="2">
        <v>46077.361805555556</v>
      </c>
      <c r="D1077" t="s">
        <v>6025</v>
      </c>
      <c r="E1077" t="s">
        <v>6031</v>
      </c>
      <c r="F1077" t="s">
        <v>6035</v>
      </c>
      <c r="G1077" t="s">
        <v>6058</v>
      </c>
      <c r="H1077" t="s">
        <v>6098</v>
      </c>
      <c r="I1077">
        <v>4</v>
      </c>
      <c r="J1077">
        <v>21.1</v>
      </c>
      <c r="K1077" t="s">
        <v>6100</v>
      </c>
      <c r="L1077" t="s">
        <v>6099</v>
      </c>
      <c r="M1077" t="s">
        <v>6099</v>
      </c>
      <c r="O1077" t="s">
        <v>6101</v>
      </c>
      <c r="P1077" t="s">
        <v>6108</v>
      </c>
      <c r="Q1077">
        <v>2</v>
      </c>
      <c r="R1077">
        <v>2026</v>
      </c>
      <c r="S1077" t="s">
        <v>6100</v>
      </c>
      <c r="T1077">
        <v>0</v>
      </c>
      <c r="U1077" t="s">
        <v>6019</v>
      </c>
      <c r="V1077">
        <v>0</v>
      </c>
    </row>
    <row r="1078" spans="1:22" x14ac:dyDescent="0.3">
      <c r="A1078" t="s">
        <v>1093</v>
      </c>
      <c r="B1078" s="2">
        <v>46076.486805555556</v>
      </c>
      <c r="C1078" s="2">
        <v>46076.603472222225</v>
      </c>
      <c r="D1078" t="s">
        <v>6028</v>
      </c>
      <c r="E1078" t="s">
        <v>6030</v>
      </c>
      <c r="F1078" t="s">
        <v>6035</v>
      </c>
      <c r="G1078" t="s">
        <v>6078</v>
      </c>
      <c r="H1078" t="s">
        <v>6097</v>
      </c>
      <c r="I1078">
        <v>4</v>
      </c>
      <c r="J1078">
        <v>2.8</v>
      </c>
      <c r="K1078" t="s">
        <v>6099</v>
      </c>
      <c r="L1078" t="s">
        <v>6100</v>
      </c>
      <c r="M1078" t="s">
        <v>6100</v>
      </c>
      <c r="N1078">
        <v>5</v>
      </c>
      <c r="O1078" t="s">
        <v>6101</v>
      </c>
      <c r="P1078" t="s">
        <v>6108</v>
      </c>
      <c r="Q1078">
        <v>2</v>
      </c>
      <c r="R1078">
        <v>2026</v>
      </c>
      <c r="S1078" t="s">
        <v>6099</v>
      </c>
      <c r="T1078">
        <v>1</v>
      </c>
      <c r="U1078" t="s">
        <v>6020</v>
      </c>
      <c r="V1078">
        <v>1</v>
      </c>
    </row>
    <row r="1079" spans="1:22" x14ac:dyDescent="0.3">
      <c r="A1079" t="s">
        <v>1094</v>
      </c>
      <c r="B1079" s="2">
        <v>46076.49722222222</v>
      </c>
      <c r="C1079" s="2">
        <v>46077.018055555556</v>
      </c>
      <c r="D1079" t="s">
        <v>6022</v>
      </c>
      <c r="E1079" t="s">
        <v>6030</v>
      </c>
      <c r="F1079" t="s">
        <v>6033</v>
      </c>
      <c r="G1079" t="s">
        <v>6072</v>
      </c>
      <c r="H1079" t="s">
        <v>6097</v>
      </c>
      <c r="I1079">
        <v>72</v>
      </c>
      <c r="J1079">
        <v>12.5</v>
      </c>
      <c r="K1079" t="s">
        <v>6099</v>
      </c>
      <c r="L1079" t="s">
        <v>6100</v>
      </c>
      <c r="M1079" t="s">
        <v>6100</v>
      </c>
      <c r="N1079">
        <v>5</v>
      </c>
      <c r="O1079" t="s">
        <v>6101</v>
      </c>
      <c r="P1079" t="s">
        <v>6108</v>
      </c>
      <c r="Q1079">
        <v>2</v>
      </c>
      <c r="R1079">
        <v>2026</v>
      </c>
      <c r="S1079" t="s">
        <v>6099</v>
      </c>
      <c r="T1079">
        <v>1</v>
      </c>
      <c r="U1079" t="s">
        <v>6021</v>
      </c>
      <c r="V1079">
        <v>1</v>
      </c>
    </row>
    <row r="1080" spans="1:22" x14ac:dyDescent="0.3">
      <c r="A1080" t="s">
        <v>1095</v>
      </c>
      <c r="B1080" s="2">
        <v>46076.505555555559</v>
      </c>
      <c r="C1080" s="2">
        <v>46076.722222222219</v>
      </c>
      <c r="D1080" t="s">
        <v>6027</v>
      </c>
      <c r="E1080" t="s">
        <v>6030</v>
      </c>
      <c r="F1080" t="s">
        <v>6034</v>
      </c>
      <c r="G1080" t="s">
        <v>6095</v>
      </c>
      <c r="H1080" t="s">
        <v>6098</v>
      </c>
      <c r="I1080">
        <v>24</v>
      </c>
      <c r="J1080">
        <v>5.2</v>
      </c>
      <c r="K1080" t="s">
        <v>6099</v>
      </c>
      <c r="L1080" t="s">
        <v>6100</v>
      </c>
      <c r="M1080" t="s">
        <v>6100</v>
      </c>
      <c r="O1080" t="s">
        <v>6101</v>
      </c>
      <c r="P1080" t="s">
        <v>6108</v>
      </c>
      <c r="Q1080">
        <v>2</v>
      </c>
      <c r="R1080">
        <v>2026</v>
      </c>
      <c r="S1080" t="s">
        <v>6099</v>
      </c>
      <c r="T1080">
        <v>1</v>
      </c>
      <c r="U1080" t="s">
        <v>6020</v>
      </c>
      <c r="V1080">
        <v>1</v>
      </c>
    </row>
    <row r="1081" spans="1:22" x14ac:dyDescent="0.3">
      <c r="A1081" t="s">
        <v>1096</v>
      </c>
      <c r="B1081" s="2">
        <v>46076.543055555558</v>
      </c>
      <c r="C1081" s="2">
        <v>46076.818055555559</v>
      </c>
      <c r="D1081" t="s">
        <v>6022</v>
      </c>
      <c r="E1081" t="s">
        <v>6032</v>
      </c>
      <c r="F1081" t="s">
        <v>6033</v>
      </c>
      <c r="G1081" t="s">
        <v>6047</v>
      </c>
      <c r="H1081" t="s">
        <v>6098</v>
      </c>
      <c r="I1081">
        <v>72</v>
      </c>
      <c r="J1081">
        <v>6.6</v>
      </c>
      <c r="K1081" t="s">
        <v>6099</v>
      </c>
      <c r="L1081" t="s">
        <v>6100</v>
      </c>
      <c r="M1081" t="s">
        <v>6100</v>
      </c>
      <c r="N1081">
        <v>5</v>
      </c>
      <c r="O1081" t="s">
        <v>6101</v>
      </c>
      <c r="P1081" t="s">
        <v>6108</v>
      </c>
      <c r="Q1081">
        <v>2</v>
      </c>
      <c r="R1081">
        <v>2026</v>
      </c>
      <c r="S1081" t="s">
        <v>6099</v>
      </c>
      <c r="T1081">
        <v>1</v>
      </c>
      <c r="U1081" t="s">
        <v>6018</v>
      </c>
      <c r="V1081">
        <v>1</v>
      </c>
    </row>
    <row r="1082" spans="1:22" x14ac:dyDescent="0.3">
      <c r="A1082" t="s">
        <v>1097</v>
      </c>
      <c r="B1082" s="2">
        <v>46076.554861111108</v>
      </c>
      <c r="C1082" s="2">
        <v>46076.78402777778</v>
      </c>
      <c r="D1082" t="s">
        <v>6023</v>
      </c>
      <c r="E1082" t="s">
        <v>6030</v>
      </c>
      <c r="F1082" t="s">
        <v>6033</v>
      </c>
      <c r="G1082" t="s">
        <v>6042</v>
      </c>
      <c r="H1082" t="s">
        <v>6098</v>
      </c>
      <c r="I1082">
        <v>72</v>
      </c>
      <c r="J1082">
        <v>5.5</v>
      </c>
      <c r="K1082" t="s">
        <v>6100</v>
      </c>
      <c r="L1082" t="s">
        <v>6100</v>
      </c>
      <c r="M1082" t="s">
        <v>6100</v>
      </c>
      <c r="N1082">
        <v>5</v>
      </c>
      <c r="O1082" t="s">
        <v>6101</v>
      </c>
      <c r="P1082" t="s">
        <v>6108</v>
      </c>
      <c r="Q1082">
        <v>2</v>
      </c>
      <c r="R1082">
        <v>2026</v>
      </c>
      <c r="S1082" t="s">
        <v>6099</v>
      </c>
      <c r="T1082">
        <v>1</v>
      </c>
      <c r="U1082" t="s">
        <v>6020</v>
      </c>
      <c r="V1082">
        <v>0</v>
      </c>
    </row>
    <row r="1083" spans="1:22" x14ac:dyDescent="0.3">
      <c r="A1083" t="s">
        <v>1098</v>
      </c>
      <c r="B1083" s="2">
        <v>46076.557638888888</v>
      </c>
      <c r="C1083" s="2">
        <v>46077.040972222225</v>
      </c>
      <c r="D1083" t="s">
        <v>6022</v>
      </c>
      <c r="E1083" t="s">
        <v>6029</v>
      </c>
      <c r="F1083" t="s">
        <v>6034</v>
      </c>
      <c r="G1083" t="s">
        <v>6040</v>
      </c>
      <c r="H1083" t="s">
        <v>6097</v>
      </c>
      <c r="I1083">
        <v>24</v>
      </c>
      <c r="J1083">
        <v>11.6</v>
      </c>
      <c r="K1083" t="s">
        <v>6100</v>
      </c>
      <c r="L1083" t="s">
        <v>6100</v>
      </c>
      <c r="M1083" t="s">
        <v>6099</v>
      </c>
      <c r="O1083" t="s">
        <v>6101</v>
      </c>
      <c r="P1083" t="s">
        <v>6108</v>
      </c>
      <c r="Q1083">
        <v>2</v>
      </c>
      <c r="R1083">
        <v>2026</v>
      </c>
      <c r="S1083" t="s">
        <v>6099</v>
      </c>
      <c r="T1083">
        <v>1</v>
      </c>
      <c r="U1083" t="s">
        <v>6018</v>
      </c>
      <c r="V1083">
        <v>0</v>
      </c>
    </row>
    <row r="1084" spans="1:22" x14ac:dyDescent="0.3">
      <c r="A1084" t="s">
        <v>1099</v>
      </c>
      <c r="B1084" s="2">
        <v>46076.564583333333</v>
      </c>
      <c r="C1084" s="2">
        <v>46080.331250000003</v>
      </c>
      <c r="D1084" t="s">
        <v>6026</v>
      </c>
      <c r="E1084" t="s">
        <v>6031</v>
      </c>
      <c r="F1084" t="s">
        <v>6033</v>
      </c>
      <c r="G1084" t="s">
        <v>6084</v>
      </c>
      <c r="H1084" t="s">
        <v>6098</v>
      </c>
      <c r="I1084">
        <v>72</v>
      </c>
      <c r="J1084">
        <v>90.4</v>
      </c>
      <c r="K1084" t="s">
        <v>6099</v>
      </c>
      <c r="L1084" t="s">
        <v>6100</v>
      </c>
      <c r="M1084" t="s">
        <v>6100</v>
      </c>
      <c r="N1084">
        <v>5</v>
      </c>
      <c r="O1084" t="s">
        <v>6101</v>
      </c>
      <c r="P1084" t="s">
        <v>6108</v>
      </c>
      <c r="Q1084">
        <v>2</v>
      </c>
      <c r="R1084">
        <v>2026</v>
      </c>
      <c r="S1084" t="s">
        <v>6100</v>
      </c>
      <c r="T1084">
        <v>0</v>
      </c>
      <c r="U1084" t="s">
        <v>6019</v>
      </c>
      <c r="V1084">
        <v>1</v>
      </c>
    </row>
    <row r="1085" spans="1:22" x14ac:dyDescent="0.3">
      <c r="A1085" t="s">
        <v>1100</v>
      </c>
      <c r="B1085" s="2">
        <v>46076.594444444447</v>
      </c>
      <c r="C1085" s="2">
        <v>46077.452777777777</v>
      </c>
      <c r="D1085" t="s">
        <v>6026</v>
      </c>
      <c r="E1085" t="s">
        <v>6032</v>
      </c>
      <c r="F1085" t="s">
        <v>6034</v>
      </c>
      <c r="G1085" t="s">
        <v>6065</v>
      </c>
      <c r="H1085" t="s">
        <v>6097</v>
      </c>
      <c r="I1085">
        <v>24</v>
      </c>
      <c r="J1085">
        <v>20.6</v>
      </c>
      <c r="K1085" t="s">
        <v>6100</v>
      </c>
      <c r="L1085" t="s">
        <v>6099</v>
      </c>
      <c r="M1085" t="s">
        <v>6100</v>
      </c>
      <c r="N1085">
        <v>4</v>
      </c>
      <c r="O1085" t="s">
        <v>6101</v>
      </c>
      <c r="P1085" t="s">
        <v>6108</v>
      </c>
      <c r="Q1085">
        <v>2</v>
      </c>
      <c r="R1085">
        <v>2026</v>
      </c>
      <c r="S1085" t="s">
        <v>6099</v>
      </c>
      <c r="T1085">
        <v>1</v>
      </c>
      <c r="U1085" t="s">
        <v>6019</v>
      </c>
      <c r="V1085">
        <v>0</v>
      </c>
    </row>
    <row r="1086" spans="1:22" x14ac:dyDescent="0.3">
      <c r="A1086" t="s">
        <v>1101</v>
      </c>
      <c r="B1086" s="2">
        <v>46076.602083333331</v>
      </c>
      <c r="C1086" s="2">
        <v>46077.135416666664</v>
      </c>
      <c r="D1086" t="s">
        <v>6022</v>
      </c>
      <c r="E1086" t="s">
        <v>6029</v>
      </c>
      <c r="F1086" t="s">
        <v>6034</v>
      </c>
      <c r="G1086" t="s">
        <v>6088</v>
      </c>
      <c r="H1086" t="s">
        <v>6097</v>
      </c>
      <c r="I1086">
        <v>24</v>
      </c>
      <c r="J1086">
        <v>12.8</v>
      </c>
      <c r="K1086" t="s">
        <v>6099</v>
      </c>
      <c r="L1086" t="s">
        <v>6100</v>
      </c>
      <c r="M1086" t="s">
        <v>6100</v>
      </c>
      <c r="O1086" t="s">
        <v>6101</v>
      </c>
      <c r="P1086" t="s">
        <v>6108</v>
      </c>
      <c r="Q1086">
        <v>2</v>
      </c>
      <c r="R1086">
        <v>2026</v>
      </c>
      <c r="S1086" t="s">
        <v>6099</v>
      </c>
      <c r="T1086">
        <v>1</v>
      </c>
      <c r="U1086" t="s">
        <v>6020</v>
      </c>
      <c r="V1086">
        <v>1</v>
      </c>
    </row>
    <row r="1087" spans="1:22" x14ac:dyDescent="0.3">
      <c r="A1087" t="s">
        <v>1102</v>
      </c>
      <c r="B1087" s="2">
        <v>46076.605555555558</v>
      </c>
      <c r="C1087" s="2">
        <v>46077.209722222222</v>
      </c>
      <c r="D1087" t="s">
        <v>6028</v>
      </c>
      <c r="E1087" t="s">
        <v>6029</v>
      </c>
      <c r="F1087" t="s">
        <v>6035</v>
      </c>
      <c r="G1087" t="s">
        <v>6067</v>
      </c>
      <c r="H1087" t="s">
        <v>6098</v>
      </c>
      <c r="I1087">
        <v>4</v>
      </c>
      <c r="J1087">
        <v>14.5</v>
      </c>
      <c r="K1087" t="s">
        <v>6100</v>
      </c>
      <c r="L1087" t="s">
        <v>6099</v>
      </c>
      <c r="M1087" t="s">
        <v>6100</v>
      </c>
      <c r="N1087">
        <v>4</v>
      </c>
      <c r="O1087" t="s">
        <v>6101</v>
      </c>
      <c r="P1087" t="s">
        <v>6108</v>
      </c>
      <c r="Q1087">
        <v>2</v>
      </c>
      <c r="R1087">
        <v>2026</v>
      </c>
      <c r="S1087" t="s">
        <v>6100</v>
      </c>
      <c r="T1087">
        <v>0</v>
      </c>
      <c r="U1087" t="s">
        <v>6018</v>
      </c>
      <c r="V1087">
        <v>0</v>
      </c>
    </row>
    <row r="1088" spans="1:22" x14ac:dyDescent="0.3">
      <c r="A1088" t="s">
        <v>1103</v>
      </c>
      <c r="B1088" s="2">
        <v>46076.634027777778</v>
      </c>
      <c r="C1088" s="2">
        <v>46077.15902777778</v>
      </c>
      <c r="D1088" t="s">
        <v>6026</v>
      </c>
      <c r="E1088" t="s">
        <v>6030</v>
      </c>
      <c r="F1088" t="s">
        <v>6034</v>
      </c>
      <c r="G1088" t="s">
        <v>6045</v>
      </c>
      <c r="H1088" t="s">
        <v>6096</v>
      </c>
      <c r="I1088">
        <v>24</v>
      </c>
      <c r="J1088">
        <v>12.6</v>
      </c>
      <c r="K1088" t="s">
        <v>6100</v>
      </c>
      <c r="L1088" t="s">
        <v>6100</v>
      </c>
      <c r="M1088" t="s">
        <v>6100</v>
      </c>
      <c r="N1088">
        <v>5</v>
      </c>
      <c r="O1088" t="s">
        <v>6101</v>
      </c>
      <c r="P1088" t="s">
        <v>6108</v>
      </c>
      <c r="Q1088">
        <v>2</v>
      </c>
      <c r="R1088">
        <v>2026</v>
      </c>
      <c r="S1088" t="s">
        <v>6099</v>
      </c>
      <c r="T1088">
        <v>1</v>
      </c>
      <c r="U1088" t="s">
        <v>6019</v>
      </c>
      <c r="V1088">
        <v>0</v>
      </c>
    </row>
    <row r="1089" spans="1:22" x14ac:dyDescent="0.3">
      <c r="A1089" t="s">
        <v>1104</v>
      </c>
      <c r="B1089" s="2">
        <v>46076.70416666667</v>
      </c>
      <c r="C1089" s="2">
        <v>46079.808333333334</v>
      </c>
      <c r="D1089" t="s">
        <v>6026</v>
      </c>
      <c r="E1089" t="s">
        <v>6031</v>
      </c>
      <c r="F1089" t="s">
        <v>6033</v>
      </c>
      <c r="G1089" t="s">
        <v>6049</v>
      </c>
      <c r="H1089" t="s">
        <v>6097</v>
      </c>
      <c r="I1089">
        <v>72</v>
      </c>
      <c r="J1089">
        <v>74.5</v>
      </c>
      <c r="K1089" t="s">
        <v>6099</v>
      </c>
      <c r="L1089" t="s">
        <v>6100</v>
      </c>
      <c r="M1089" t="s">
        <v>6100</v>
      </c>
      <c r="O1089" t="s">
        <v>6101</v>
      </c>
      <c r="P1089" t="s">
        <v>6108</v>
      </c>
      <c r="Q1089">
        <v>2</v>
      </c>
      <c r="R1089">
        <v>2026</v>
      </c>
      <c r="S1089" t="s">
        <v>6100</v>
      </c>
      <c r="T1089">
        <v>0</v>
      </c>
      <c r="U1089" t="s">
        <v>6021</v>
      </c>
      <c r="V1089">
        <v>1</v>
      </c>
    </row>
    <row r="1090" spans="1:22" x14ac:dyDescent="0.3">
      <c r="A1090" t="s">
        <v>1105</v>
      </c>
      <c r="B1090" s="2">
        <v>46076.722916666666</v>
      </c>
      <c r="C1090" s="2">
        <v>46077.064583333333</v>
      </c>
      <c r="D1090" t="s">
        <v>6023</v>
      </c>
      <c r="E1090" t="s">
        <v>6029</v>
      </c>
      <c r="F1090" t="s">
        <v>6033</v>
      </c>
      <c r="G1090" t="s">
        <v>6076</v>
      </c>
      <c r="H1090" t="s">
        <v>6097</v>
      </c>
      <c r="I1090">
        <v>72</v>
      </c>
      <c r="J1090">
        <v>8.1999999999999993</v>
      </c>
      <c r="K1090" t="s">
        <v>6099</v>
      </c>
      <c r="L1090" t="s">
        <v>6100</v>
      </c>
      <c r="M1090" t="s">
        <v>6100</v>
      </c>
      <c r="N1090">
        <v>5</v>
      </c>
      <c r="O1090" t="s">
        <v>6101</v>
      </c>
      <c r="P1090" t="s">
        <v>6108</v>
      </c>
      <c r="Q1090">
        <v>2</v>
      </c>
      <c r="R1090">
        <v>2026</v>
      </c>
      <c r="S1090" t="s">
        <v>6099</v>
      </c>
      <c r="T1090">
        <v>1</v>
      </c>
      <c r="U1090" t="s">
        <v>6020</v>
      </c>
      <c r="V1090">
        <v>1</v>
      </c>
    </row>
    <row r="1091" spans="1:22" x14ac:dyDescent="0.3">
      <c r="A1091" t="s">
        <v>1106</v>
      </c>
      <c r="B1091" s="2">
        <v>46076.787499999999</v>
      </c>
      <c r="C1091" s="2">
        <v>46077.129166666666</v>
      </c>
      <c r="D1091" t="s">
        <v>6022</v>
      </c>
      <c r="E1091" t="s">
        <v>6030</v>
      </c>
      <c r="F1091" t="s">
        <v>6033</v>
      </c>
      <c r="G1091" t="s">
        <v>6061</v>
      </c>
      <c r="H1091" t="s">
        <v>6096</v>
      </c>
      <c r="I1091">
        <v>72</v>
      </c>
      <c r="J1091">
        <v>8.1999999999999993</v>
      </c>
      <c r="K1091" t="s">
        <v>6100</v>
      </c>
      <c r="L1091" t="s">
        <v>6099</v>
      </c>
      <c r="M1091" t="s">
        <v>6099</v>
      </c>
      <c r="O1091" t="s">
        <v>6101</v>
      </c>
      <c r="P1091" t="s">
        <v>6108</v>
      </c>
      <c r="Q1091">
        <v>2</v>
      </c>
      <c r="R1091">
        <v>2026</v>
      </c>
      <c r="S1091" t="s">
        <v>6099</v>
      </c>
      <c r="T1091">
        <v>1</v>
      </c>
      <c r="U1091" t="s">
        <v>6018</v>
      </c>
      <c r="V1091">
        <v>0</v>
      </c>
    </row>
    <row r="1092" spans="1:22" x14ac:dyDescent="0.3">
      <c r="A1092" t="s">
        <v>1107</v>
      </c>
      <c r="B1092" s="2">
        <v>46076.790277777778</v>
      </c>
      <c r="C1092" s="2">
        <v>46077.131944444445</v>
      </c>
      <c r="D1092" t="s">
        <v>6028</v>
      </c>
      <c r="E1092" t="s">
        <v>6029</v>
      </c>
      <c r="F1092" t="s">
        <v>6035</v>
      </c>
      <c r="G1092" t="s">
        <v>6036</v>
      </c>
      <c r="H1092" t="s">
        <v>6096</v>
      </c>
      <c r="I1092">
        <v>4</v>
      </c>
      <c r="J1092">
        <v>8.1999999999999993</v>
      </c>
      <c r="K1092" t="s">
        <v>6100</v>
      </c>
      <c r="L1092" t="s">
        <v>6100</v>
      </c>
      <c r="M1092" t="s">
        <v>6100</v>
      </c>
      <c r="N1092">
        <v>2</v>
      </c>
      <c r="O1092" t="s">
        <v>6101</v>
      </c>
      <c r="P1092" t="s">
        <v>6108</v>
      </c>
      <c r="Q1092">
        <v>2</v>
      </c>
      <c r="R1092">
        <v>2026</v>
      </c>
      <c r="S1092" t="s">
        <v>6100</v>
      </c>
      <c r="T1092">
        <v>0</v>
      </c>
      <c r="U1092" t="s">
        <v>6021</v>
      </c>
      <c r="V1092">
        <v>0</v>
      </c>
    </row>
    <row r="1093" spans="1:22" x14ac:dyDescent="0.3">
      <c r="A1093" t="s">
        <v>1108</v>
      </c>
      <c r="B1093" s="2">
        <v>46076.806944444441</v>
      </c>
      <c r="C1093" s="2">
        <v>46081.898611111108</v>
      </c>
      <c r="D1093" t="s">
        <v>6026</v>
      </c>
      <c r="E1093" t="s">
        <v>6031</v>
      </c>
      <c r="F1093" t="s">
        <v>6033</v>
      </c>
      <c r="G1093" t="s">
        <v>6053</v>
      </c>
      <c r="H1093" t="s">
        <v>6097</v>
      </c>
      <c r="I1093">
        <v>72</v>
      </c>
      <c r="J1093">
        <v>122.2</v>
      </c>
      <c r="K1093" t="s">
        <v>6099</v>
      </c>
      <c r="L1093" t="s">
        <v>6100</v>
      </c>
      <c r="M1093" t="s">
        <v>6099</v>
      </c>
      <c r="N1093">
        <v>5</v>
      </c>
      <c r="O1093" t="s">
        <v>6101</v>
      </c>
      <c r="P1093" t="s">
        <v>6108</v>
      </c>
      <c r="Q1093">
        <v>2</v>
      </c>
      <c r="R1093">
        <v>2026</v>
      </c>
      <c r="S1093" t="s">
        <v>6100</v>
      </c>
      <c r="T1093">
        <v>0</v>
      </c>
      <c r="U1093" t="s">
        <v>6021</v>
      </c>
      <c r="V1093">
        <v>1</v>
      </c>
    </row>
    <row r="1094" spans="1:22" x14ac:dyDescent="0.3">
      <c r="A1094" t="s">
        <v>1109</v>
      </c>
      <c r="B1094" s="2">
        <v>46076.822222222225</v>
      </c>
      <c r="C1094" s="2">
        <v>46078.634722222225</v>
      </c>
      <c r="D1094" t="s">
        <v>6026</v>
      </c>
      <c r="E1094" t="s">
        <v>6029</v>
      </c>
      <c r="F1094" t="s">
        <v>6035</v>
      </c>
      <c r="G1094" t="s">
        <v>6082</v>
      </c>
      <c r="H1094" t="s">
        <v>6097</v>
      </c>
      <c r="I1094">
        <v>4</v>
      </c>
      <c r="J1094">
        <v>43.5</v>
      </c>
      <c r="K1094" t="s">
        <v>6099</v>
      </c>
      <c r="L1094" t="s">
        <v>6100</v>
      </c>
      <c r="M1094" t="s">
        <v>6100</v>
      </c>
      <c r="O1094" t="s">
        <v>6101</v>
      </c>
      <c r="P1094" t="s">
        <v>6108</v>
      </c>
      <c r="Q1094">
        <v>2</v>
      </c>
      <c r="R1094">
        <v>2026</v>
      </c>
      <c r="S1094" t="s">
        <v>6100</v>
      </c>
      <c r="T1094">
        <v>0</v>
      </c>
      <c r="U1094" t="s">
        <v>6019</v>
      </c>
      <c r="V1094">
        <v>1</v>
      </c>
    </row>
    <row r="1095" spans="1:22" x14ac:dyDescent="0.3">
      <c r="A1095" t="s">
        <v>1110</v>
      </c>
      <c r="B1095" s="2">
        <v>46077.189583333333</v>
      </c>
      <c r="C1095" s="2">
        <v>46077.585416666669</v>
      </c>
      <c r="D1095" t="s">
        <v>6027</v>
      </c>
      <c r="E1095" t="s">
        <v>6029</v>
      </c>
      <c r="F1095" t="s">
        <v>6035</v>
      </c>
      <c r="G1095" t="s">
        <v>6071</v>
      </c>
      <c r="H1095" t="s">
        <v>6098</v>
      </c>
      <c r="I1095">
        <v>4</v>
      </c>
      <c r="J1095">
        <v>9.5</v>
      </c>
      <c r="K1095" t="s">
        <v>6099</v>
      </c>
      <c r="L1095" t="s">
        <v>6100</v>
      </c>
      <c r="M1095" t="s">
        <v>6100</v>
      </c>
      <c r="N1095">
        <v>4</v>
      </c>
      <c r="O1095" t="s">
        <v>6101</v>
      </c>
      <c r="P1095" t="s">
        <v>6108</v>
      </c>
      <c r="Q1095">
        <v>2</v>
      </c>
      <c r="R1095">
        <v>2026</v>
      </c>
      <c r="S1095" t="s">
        <v>6100</v>
      </c>
      <c r="T1095">
        <v>0</v>
      </c>
      <c r="U1095" t="s">
        <v>6019</v>
      </c>
      <c r="V1095">
        <v>1</v>
      </c>
    </row>
    <row r="1096" spans="1:22" x14ac:dyDescent="0.3">
      <c r="A1096" t="s">
        <v>1111</v>
      </c>
      <c r="B1096" s="2">
        <v>46077.227083333331</v>
      </c>
      <c r="C1096" s="2">
        <v>46079.731249999997</v>
      </c>
      <c r="D1096" t="s">
        <v>6026</v>
      </c>
      <c r="E1096" t="s">
        <v>6031</v>
      </c>
      <c r="F1096" t="s">
        <v>6035</v>
      </c>
      <c r="G1096" t="s">
        <v>6039</v>
      </c>
      <c r="H1096" t="s">
        <v>6097</v>
      </c>
      <c r="I1096">
        <v>4</v>
      </c>
      <c r="J1096">
        <v>60.1</v>
      </c>
      <c r="K1096" t="s">
        <v>6100</v>
      </c>
      <c r="L1096" t="s">
        <v>6100</v>
      </c>
      <c r="M1096" t="s">
        <v>6100</v>
      </c>
      <c r="N1096">
        <v>5</v>
      </c>
      <c r="O1096" t="s">
        <v>6101</v>
      </c>
      <c r="P1096" t="s">
        <v>6108</v>
      </c>
      <c r="Q1096">
        <v>2</v>
      </c>
      <c r="R1096">
        <v>2026</v>
      </c>
      <c r="S1096" t="s">
        <v>6100</v>
      </c>
      <c r="T1096">
        <v>0</v>
      </c>
      <c r="U1096" t="s">
        <v>6018</v>
      </c>
      <c r="V1096">
        <v>0</v>
      </c>
    </row>
    <row r="1097" spans="1:22" x14ac:dyDescent="0.3">
      <c r="A1097" t="s">
        <v>1112</v>
      </c>
      <c r="B1097" s="2">
        <v>46077.350694444445</v>
      </c>
      <c r="C1097" s="2">
        <v>46077.579861111109</v>
      </c>
      <c r="D1097" t="s">
        <v>6028</v>
      </c>
      <c r="E1097" t="s">
        <v>6030</v>
      </c>
      <c r="F1097" t="s">
        <v>6034</v>
      </c>
      <c r="G1097" t="s">
        <v>6069</v>
      </c>
      <c r="H1097" t="s">
        <v>6098</v>
      </c>
      <c r="I1097">
        <v>24</v>
      </c>
      <c r="J1097">
        <v>5.5</v>
      </c>
      <c r="K1097" t="s">
        <v>6099</v>
      </c>
      <c r="L1097" t="s">
        <v>6100</v>
      </c>
      <c r="M1097" t="s">
        <v>6100</v>
      </c>
      <c r="N1097">
        <v>5</v>
      </c>
      <c r="O1097" t="s">
        <v>6101</v>
      </c>
      <c r="P1097" t="s">
        <v>6108</v>
      </c>
      <c r="Q1097">
        <v>2</v>
      </c>
      <c r="R1097">
        <v>2026</v>
      </c>
      <c r="S1097" t="s">
        <v>6099</v>
      </c>
      <c r="T1097">
        <v>1</v>
      </c>
      <c r="U1097" t="s">
        <v>6019</v>
      </c>
      <c r="V1097">
        <v>1</v>
      </c>
    </row>
    <row r="1098" spans="1:22" x14ac:dyDescent="0.3">
      <c r="A1098" t="s">
        <v>1113</v>
      </c>
      <c r="B1098" s="2">
        <v>46077.387499999997</v>
      </c>
      <c r="C1098" s="2">
        <v>46077.554166666669</v>
      </c>
      <c r="D1098" t="s">
        <v>6023</v>
      </c>
      <c r="E1098" t="s">
        <v>6030</v>
      </c>
      <c r="F1098" t="s">
        <v>6034</v>
      </c>
      <c r="G1098" t="s">
        <v>6052</v>
      </c>
      <c r="H1098" t="s">
        <v>6098</v>
      </c>
      <c r="I1098">
        <v>24</v>
      </c>
      <c r="J1098">
        <v>4</v>
      </c>
      <c r="K1098" t="s">
        <v>6100</v>
      </c>
      <c r="L1098" t="s">
        <v>6099</v>
      </c>
      <c r="M1098" t="s">
        <v>6100</v>
      </c>
      <c r="N1098">
        <v>4</v>
      </c>
      <c r="O1098" t="s">
        <v>6101</v>
      </c>
      <c r="P1098" t="s">
        <v>6108</v>
      </c>
      <c r="Q1098">
        <v>2</v>
      </c>
      <c r="R1098">
        <v>2026</v>
      </c>
      <c r="S1098" t="s">
        <v>6099</v>
      </c>
      <c r="T1098">
        <v>1</v>
      </c>
      <c r="U1098" t="s">
        <v>6020</v>
      </c>
      <c r="V1098">
        <v>0</v>
      </c>
    </row>
    <row r="1099" spans="1:22" x14ac:dyDescent="0.3">
      <c r="A1099" t="s">
        <v>1114</v>
      </c>
      <c r="B1099" s="2">
        <v>46077.402083333334</v>
      </c>
      <c r="C1099" s="2">
        <v>46078.927083333336</v>
      </c>
      <c r="D1099" t="s">
        <v>6026</v>
      </c>
      <c r="E1099" t="s">
        <v>6031</v>
      </c>
      <c r="F1099" t="s">
        <v>6033</v>
      </c>
      <c r="G1099" t="s">
        <v>6078</v>
      </c>
      <c r="H1099" t="s">
        <v>6097</v>
      </c>
      <c r="I1099">
        <v>72</v>
      </c>
      <c r="J1099">
        <v>36.6</v>
      </c>
      <c r="K1099" t="s">
        <v>6099</v>
      </c>
      <c r="L1099" t="s">
        <v>6100</v>
      </c>
      <c r="M1099" t="s">
        <v>6100</v>
      </c>
      <c r="O1099" t="s">
        <v>6101</v>
      </c>
      <c r="P1099" t="s">
        <v>6108</v>
      </c>
      <c r="Q1099">
        <v>2</v>
      </c>
      <c r="R1099">
        <v>2026</v>
      </c>
      <c r="S1099" t="s">
        <v>6099</v>
      </c>
      <c r="T1099">
        <v>1</v>
      </c>
      <c r="U1099" t="s">
        <v>6019</v>
      </c>
      <c r="V1099">
        <v>1</v>
      </c>
    </row>
    <row r="1100" spans="1:22" x14ac:dyDescent="0.3">
      <c r="A1100" t="s">
        <v>1115</v>
      </c>
      <c r="B1100" s="2">
        <v>46077.40347222222</v>
      </c>
      <c r="C1100" s="2">
        <v>46077.603472222225</v>
      </c>
      <c r="D1100" t="s">
        <v>6028</v>
      </c>
      <c r="E1100" t="s">
        <v>6029</v>
      </c>
      <c r="F1100" t="s">
        <v>6035</v>
      </c>
      <c r="G1100" t="s">
        <v>6067</v>
      </c>
      <c r="H1100" t="s">
        <v>6098</v>
      </c>
      <c r="I1100">
        <v>4</v>
      </c>
      <c r="J1100">
        <v>4.8</v>
      </c>
      <c r="K1100" t="s">
        <v>6099</v>
      </c>
      <c r="L1100" t="s">
        <v>6100</v>
      </c>
      <c r="M1100" t="s">
        <v>6099</v>
      </c>
      <c r="N1100">
        <v>4</v>
      </c>
      <c r="O1100" t="s">
        <v>6101</v>
      </c>
      <c r="P1100" t="s">
        <v>6108</v>
      </c>
      <c r="Q1100">
        <v>2</v>
      </c>
      <c r="R1100">
        <v>2026</v>
      </c>
      <c r="S1100" t="s">
        <v>6100</v>
      </c>
      <c r="T1100">
        <v>0</v>
      </c>
      <c r="U1100" t="s">
        <v>6021</v>
      </c>
      <c r="V1100">
        <v>1</v>
      </c>
    </row>
    <row r="1101" spans="1:22" x14ac:dyDescent="0.3">
      <c r="A1101" t="s">
        <v>1116</v>
      </c>
      <c r="B1101" s="2">
        <v>46077.404166666667</v>
      </c>
      <c r="C1101" s="2">
        <v>46077.633333333331</v>
      </c>
      <c r="D1101" t="s">
        <v>6022</v>
      </c>
      <c r="E1101" t="s">
        <v>6030</v>
      </c>
      <c r="F1101" t="s">
        <v>6034</v>
      </c>
      <c r="G1101" t="s">
        <v>6044</v>
      </c>
      <c r="H1101" t="s">
        <v>6097</v>
      </c>
      <c r="I1101">
        <v>24</v>
      </c>
      <c r="J1101">
        <v>5.5</v>
      </c>
      <c r="K1101" t="s">
        <v>6099</v>
      </c>
      <c r="L1101" t="s">
        <v>6100</v>
      </c>
      <c r="M1101" t="s">
        <v>6100</v>
      </c>
      <c r="O1101" t="s">
        <v>6101</v>
      </c>
      <c r="P1101" t="s">
        <v>6108</v>
      </c>
      <c r="Q1101">
        <v>2</v>
      </c>
      <c r="R1101">
        <v>2026</v>
      </c>
      <c r="S1101" t="s">
        <v>6099</v>
      </c>
      <c r="T1101">
        <v>1</v>
      </c>
      <c r="U1101" t="s">
        <v>6021</v>
      </c>
      <c r="V1101">
        <v>1</v>
      </c>
    </row>
    <row r="1102" spans="1:22" x14ac:dyDescent="0.3">
      <c r="A1102" t="s">
        <v>1117</v>
      </c>
      <c r="B1102" s="2">
        <v>46077.430555555555</v>
      </c>
      <c r="C1102" s="2">
        <v>46078.213888888888</v>
      </c>
      <c r="D1102" t="s">
        <v>6026</v>
      </c>
      <c r="E1102" t="s">
        <v>6029</v>
      </c>
      <c r="F1102" t="s">
        <v>6033</v>
      </c>
      <c r="G1102" t="s">
        <v>6084</v>
      </c>
      <c r="H1102" t="s">
        <v>6098</v>
      </c>
      <c r="I1102">
        <v>72</v>
      </c>
      <c r="J1102">
        <v>18.8</v>
      </c>
      <c r="K1102" t="s">
        <v>6099</v>
      </c>
      <c r="L1102" t="s">
        <v>6100</v>
      </c>
      <c r="M1102" t="s">
        <v>6100</v>
      </c>
      <c r="N1102">
        <v>4</v>
      </c>
      <c r="O1102" t="s">
        <v>6101</v>
      </c>
      <c r="P1102" t="s">
        <v>6108</v>
      </c>
      <c r="Q1102">
        <v>2</v>
      </c>
      <c r="R1102">
        <v>2026</v>
      </c>
      <c r="S1102" t="s">
        <v>6099</v>
      </c>
      <c r="T1102">
        <v>1</v>
      </c>
      <c r="U1102" t="s">
        <v>6020</v>
      </c>
      <c r="V1102">
        <v>1</v>
      </c>
    </row>
    <row r="1103" spans="1:22" x14ac:dyDescent="0.3">
      <c r="A1103" t="s">
        <v>1118</v>
      </c>
      <c r="B1103" s="2">
        <v>46077.456944444442</v>
      </c>
      <c r="C1103" s="2">
        <v>46077.827777777777</v>
      </c>
      <c r="D1103" t="s">
        <v>6023</v>
      </c>
      <c r="E1103" t="s">
        <v>6029</v>
      </c>
      <c r="F1103" t="s">
        <v>6033</v>
      </c>
      <c r="G1103" t="s">
        <v>6076</v>
      </c>
      <c r="H1103" t="s">
        <v>6097</v>
      </c>
      <c r="I1103">
        <v>72</v>
      </c>
      <c r="J1103">
        <v>8.9</v>
      </c>
      <c r="K1103" t="s">
        <v>6099</v>
      </c>
      <c r="L1103" t="s">
        <v>6100</v>
      </c>
      <c r="M1103" t="s">
        <v>6100</v>
      </c>
      <c r="O1103" t="s">
        <v>6101</v>
      </c>
      <c r="P1103" t="s">
        <v>6108</v>
      </c>
      <c r="Q1103">
        <v>2</v>
      </c>
      <c r="R1103">
        <v>2026</v>
      </c>
      <c r="S1103" t="s">
        <v>6099</v>
      </c>
      <c r="T1103">
        <v>1</v>
      </c>
      <c r="U1103" t="s">
        <v>6019</v>
      </c>
      <c r="V1103">
        <v>1</v>
      </c>
    </row>
    <row r="1104" spans="1:22" x14ac:dyDescent="0.3">
      <c r="A1104" t="s">
        <v>1119</v>
      </c>
      <c r="B1104" s="2">
        <v>46077.460416666669</v>
      </c>
      <c r="C1104" s="2">
        <v>46078.668749999997</v>
      </c>
      <c r="D1104" t="s">
        <v>6022</v>
      </c>
      <c r="E1104" t="s">
        <v>6032</v>
      </c>
      <c r="F1104" t="s">
        <v>6034</v>
      </c>
      <c r="G1104" t="s">
        <v>6052</v>
      </c>
      <c r="H1104" t="s">
        <v>6098</v>
      </c>
      <c r="I1104">
        <v>24</v>
      </c>
      <c r="J1104">
        <v>29</v>
      </c>
      <c r="K1104" t="s">
        <v>6099</v>
      </c>
      <c r="L1104" t="s">
        <v>6100</v>
      </c>
      <c r="M1104" t="s">
        <v>6100</v>
      </c>
      <c r="O1104" t="s">
        <v>6101</v>
      </c>
      <c r="P1104" t="s">
        <v>6108</v>
      </c>
      <c r="Q1104">
        <v>2</v>
      </c>
      <c r="R1104">
        <v>2026</v>
      </c>
      <c r="S1104" t="s">
        <v>6100</v>
      </c>
      <c r="T1104">
        <v>0</v>
      </c>
      <c r="U1104" t="s">
        <v>6021</v>
      </c>
      <c r="V1104">
        <v>1</v>
      </c>
    </row>
    <row r="1105" spans="1:22" x14ac:dyDescent="0.3">
      <c r="A1105" t="s">
        <v>1120</v>
      </c>
      <c r="B1105" s="2">
        <v>46077.472916666666</v>
      </c>
      <c r="C1105" s="2">
        <v>46077.864583333336</v>
      </c>
      <c r="D1105" t="s">
        <v>6024</v>
      </c>
      <c r="E1105" t="s">
        <v>6029</v>
      </c>
      <c r="F1105" t="s">
        <v>6034</v>
      </c>
      <c r="G1105" t="s">
        <v>6053</v>
      </c>
      <c r="H1105" t="s">
        <v>6097</v>
      </c>
      <c r="I1105">
        <v>24</v>
      </c>
      <c r="J1105">
        <v>9.4</v>
      </c>
      <c r="K1105" t="s">
        <v>6099</v>
      </c>
      <c r="L1105" t="s">
        <v>6100</v>
      </c>
      <c r="M1105" t="s">
        <v>6100</v>
      </c>
      <c r="N1105">
        <v>5</v>
      </c>
      <c r="O1105" t="s">
        <v>6101</v>
      </c>
      <c r="P1105" t="s">
        <v>6108</v>
      </c>
      <c r="Q1105">
        <v>2</v>
      </c>
      <c r="R1105">
        <v>2026</v>
      </c>
      <c r="S1105" t="s">
        <v>6099</v>
      </c>
      <c r="T1105">
        <v>1</v>
      </c>
      <c r="U1105" t="s">
        <v>6018</v>
      </c>
      <c r="V1105">
        <v>1</v>
      </c>
    </row>
    <row r="1106" spans="1:22" x14ac:dyDescent="0.3">
      <c r="A1106" t="s">
        <v>1121</v>
      </c>
      <c r="B1106" s="2">
        <v>46077.488194444442</v>
      </c>
      <c r="C1106" s="2">
        <v>46077.921527777777</v>
      </c>
      <c r="D1106" t="s">
        <v>6024</v>
      </c>
      <c r="E1106" t="s">
        <v>6030</v>
      </c>
      <c r="F1106" t="s">
        <v>6034</v>
      </c>
      <c r="G1106" t="s">
        <v>6036</v>
      </c>
      <c r="H1106" t="s">
        <v>6096</v>
      </c>
      <c r="I1106">
        <v>24</v>
      </c>
      <c r="J1106">
        <v>10.4</v>
      </c>
      <c r="K1106" t="s">
        <v>6099</v>
      </c>
      <c r="L1106" t="s">
        <v>6100</v>
      </c>
      <c r="M1106" t="s">
        <v>6100</v>
      </c>
      <c r="N1106">
        <v>4</v>
      </c>
      <c r="O1106" t="s">
        <v>6101</v>
      </c>
      <c r="P1106" t="s">
        <v>6108</v>
      </c>
      <c r="Q1106">
        <v>2</v>
      </c>
      <c r="R1106">
        <v>2026</v>
      </c>
      <c r="S1106" t="s">
        <v>6099</v>
      </c>
      <c r="T1106">
        <v>1</v>
      </c>
      <c r="U1106" t="s">
        <v>6021</v>
      </c>
      <c r="V1106">
        <v>1</v>
      </c>
    </row>
    <row r="1107" spans="1:22" x14ac:dyDescent="0.3">
      <c r="A1107" t="s">
        <v>1122</v>
      </c>
      <c r="B1107" s="2">
        <v>46077.495138888888</v>
      </c>
      <c r="C1107" s="2">
        <v>46078.440972222219</v>
      </c>
      <c r="D1107" t="s">
        <v>6028</v>
      </c>
      <c r="E1107" t="s">
        <v>6031</v>
      </c>
      <c r="F1107" t="s">
        <v>6034</v>
      </c>
      <c r="G1107" t="s">
        <v>6090</v>
      </c>
      <c r="H1107" t="s">
        <v>6097</v>
      </c>
      <c r="I1107">
        <v>24</v>
      </c>
      <c r="J1107">
        <v>22.7</v>
      </c>
      <c r="K1107" t="s">
        <v>6100</v>
      </c>
      <c r="L1107" t="s">
        <v>6100</v>
      </c>
      <c r="M1107" t="s">
        <v>6100</v>
      </c>
      <c r="O1107" t="s">
        <v>6101</v>
      </c>
      <c r="P1107" t="s">
        <v>6108</v>
      </c>
      <c r="Q1107">
        <v>2</v>
      </c>
      <c r="R1107">
        <v>2026</v>
      </c>
      <c r="S1107" t="s">
        <v>6099</v>
      </c>
      <c r="T1107">
        <v>1</v>
      </c>
      <c r="U1107" t="s">
        <v>6021</v>
      </c>
      <c r="V1107">
        <v>0</v>
      </c>
    </row>
    <row r="1108" spans="1:22" x14ac:dyDescent="0.3">
      <c r="A1108" t="s">
        <v>1123</v>
      </c>
      <c r="B1108" s="2">
        <v>46077.49722222222</v>
      </c>
      <c r="C1108" s="2">
        <v>46078.463888888888</v>
      </c>
      <c r="D1108" t="s">
        <v>6027</v>
      </c>
      <c r="E1108" t="s">
        <v>6029</v>
      </c>
      <c r="F1108" t="s">
        <v>6035</v>
      </c>
      <c r="G1108" t="s">
        <v>6081</v>
      </c>
      <c r="H1108" t="s">
        <v>6098</v>
      </c>
      <c r="I1108">
        <v>4</v>
      </c>
      <c r="J1108">
        <v>23.2</v>
      </c>
      <c r="K1108" t="s">
        <v>6100</v>
      </c>
      <c r="L1108" t="s">
        <v>6100</v>
      </c>
      <c r="M1108" t="s">
        <v>6100</v>
      </c>
      <c r="O1108" t="s">
        <v>6101</v>
      </c>
      <c r="P1108" t="s">
        <v>6108</v>
      </c>
      <c r="Q1108">
        <v>2</v>
      </c>
      <c r="R1108">
        <v>2026</v>
      </c>
      <c r="S1108" t="s">
        <v>6100</v>
      </c>
      <c r="T1108">
        <v>0</v>
      </c>
      <c r="U1108" t="s">
        <v>6021</v>
      </c>
      <c r="V1108">
        <v>0</v>
      </c>
    </row>
    <row r="1109" spans="1:22" x14ac:dyDescent="0.3">
      <c r="A1109" t="s">
        <v>1124</v>
      </c>
      <c r="B1109" s="2">
        <v>46077.503472222219</v>
      </c>
      <c r="C1109" s="2">
        <v>46078.02847222222</v>
      </c>
      <c r="D1109" t="s">
        <v>6023</v>
      </c>
      <c r="E1109" t="s">
        <v>6032</v>
      </c>
      <c r="F1109" t="s">
        <v>6033</v>
      </c>
      <c r="G1109" t="s">
        <v>6049</v>
      </c>
      <c r="H1109" t="s">
        <v>6097</v>
      </c>
      <c r="I1109">
        <v>72</v>
      </c>
      <c r="J1109">
        <v>12.6</v>
      </c>
      <c r="K1109" t="s">
        <v>6099</v>
      </c>
      <c r="L1109" t="s">
        <v>6100</v>
      </c>
      <c r="M1109" t="s">
        <v>6100</v>
      </c>
      <c r="N1109">
        <v>5</v>
      </c>
      <c r="O1109" t="s">
        <v>6101</v>
      </c>
      <c r="P1109" t="s">
        <v>6108</v>
      </c>
      <c r="Q1109">
        <v>2</v>
      </c>
      <c r="R1109">
        <v>2026</v>
      </c>
      <c r="S1109" t="s">
        <v>6099</v>
      </c>
      <c r="T1109">
        <v>1</v>
      </c>
      <c r="U1109" t="s">
        <v>6020</v>
      </c>
      <c r="V1109">
        <v>1</v>
      </c>
    </row>
    <row r="1110" spans="1:22" x14ac:dyDescent="0.3">
      <c r="A1110" t="s">
        <v>1125</v>
      </c>
      <c r="B1110" s="2">
        <v>46077.525000000001</v>
      </c>
      <c r="C1110" s="2">
        <v>46077.745833333334</v>
      </c>
      <c r="D1110" t="s">
        <v>6023</v>
      </c>
      <c r="E1110" t="s">
        <v>6029</v>
      </c>
      <c r="F1110" t="s">
        <v>6034</v>
      </c>
      <c r="G1110" t="s">
        <v>6067</v>
      </c>
      <c r="H1110" t="s">
        <v>6098</v>
      </c>
      <c r="I1110">
        <v>24</v>
      </c>
      <c r="J1110">
        <v>5.3</v>
      </c>
      <c r="K1110" t="s">
        <v>6099</v>
      </c>
      <c r="L1110" t="s">
        <v>6100</v>
      </c>
      <c r="M1110" t="s">
        <v>6100</v>
      </c>
      <c r="O1110" t="s">
        <v>6101</v>
      </c>
      <c r="P1110" t="s">
        <v>6108</v>
      </c>
      <c r="Q1110">
        <v>2</v>
      </c>
      <c r="R1110">
        <v>2026</v>
      </c>
      <c r="S1110" t="s">
        <v>6099</v>
      </c>
      <c r="T1110">
        <v>1</v>
      </c>
      <c r="U1110" t="s">
        <v>6017</v>
      </c>
      <c r="V1110">
        <v>1</v>
      </c>
    </row>
    <row r="1111" spans="1:22" x14ac:dyDescent="0.3">
      <c r="A1111" t="s">
        <v>1126</v>
      </c>
      <c r="B1111" s="2">
        <v>46077.526388888888</v>
      </c>
      <c r="C1111" s="2">
        <v>46077.643055555556</v>
      </c>
      <c r="D1111" t="s">
        <v>6022</v>
      </c>
      <c r="E1111" t="s">
        <v>6030</v>
      </c>
      <c r="F1111" t="s">
        <v>6034</v>
      </c>
      <c r="G1111" t="s">
        <v>6073</v>
      </c>
      <c r="H1111" t="s">
        <v>6096</v>
      </c>
      <c r="I1111">
        <v>24</v>
      </c>
      <c r="J1111">
        <v>2.8</v>
      </c>
      <c r="K1111" t="s">
        <v>6099</v>
      </c>
      <c r="L1111" t="s">
        <v>6100</v>
      </c>
      <c r="M1111" t="s">
        <v>6100</v>
      </c>
      <c r="O1111" t="s">
        <v>6101</v>
      </c>
      <c r="P1111" t="s">
        <v>6108</v>
      </c>
      <c r="Q1111">
        <v>2</v>
      </c>
      <c r="R1111">
        <v>2026</v>
      </c>
      <c r="S1111" t="s">
        <v>6099</v>
      </c>
      <c r="T1111">
        <v>1</v>
      </c>
      <c r="U1111" t="s">
        <v>6020</v>
      </c>
      <c r="V1111">
        <v>1</v>
      </c>
    </row>
    <row r="1112" spans="1:22" x14ac:dyDescent="0.3">
      <c r="A1112" t="s">
        <v>1127</v>
      </c>
      <c r="B1112" s="2">
        <v>46077.615277777775</v>
      </c>
      <c r="C1112" s="2">
        <v>46077.894444444442</v>
      </c>
      <c r="D1112" t="s">
        <v>6023</v>
      </c>
      <c r="E1112" t="s">
        <v>6029</v>
      </c>
      <c r="F1112" t="s">
        <v>6034</v>
      </c>
      <c r="G1112" t="s">
        <v>6076</v>
      </c>
      <c r="H1112" t="s">
        <v>6097</v>
      </c>
      <c r="I1112">
        <v>24</v>
      </c>
      <c r="J1112">
        <v>6.7</v>
      </c>
      <c r="K1112" t="s">
        <v>6099</v>
      </c>
      <c r="L1112" t="s">
        <v>6100</v>
      </c>
      <c r="M1112" t="s">
        <v>6100</v>
      </c>
      <c r="N1112">
        <v>5</v>
      </c>
      <c r="O1112" t="s">
        <v>6101</v>
      </c>
      <c r="P1112" t="s">
        <v>6108</v>
      </c>
      <c r="Q1112">
        <v>2</v>
      </c>
      <c r="R1112">
        <v>2026</v>
      </c>
      <c r="S1112" t="s">
        <v>6099</v>
      </c>
      <c r="T1112">
        <v>1</v>
      </c>
      <c r="U1112" t="s">
        <v>6019</v>
      </c>
      <c r="V1112">
        <v>1</v>
      </c>
    </row>
    <row r="1113" spans="1:22" x14ac:dyDescent="0.3">
      <c r="A1113" t="s">
        <v>1128</v>
      </c>
      <c r="B1113" s="2">
        <v>46077.625</v>
      </c>
      <c r="C1113" s="2">
        <v>46077.854166666664</v>
      </c>
      <c r="D1113" t="s">
        <v>6027</v>
      </c>
      <c r="E1113" t="s">
        <v>6030</v>
      </c>
      <c r="F1113" t="s">
        <v>6033</v>
      </c>
      <c r="G1113" t="s">
        <v>6070</v>
      </c>
      <c r="H1113" t="s">
        <v>6097</v>
      </c>
      <c r="I1113">
        <v>72</v>
      </c>
      <c r="J1113">
        <v>5.5</v>
      </c>
      <c r="K1113" t="s">
        <v>6099</v>
      </c>
      <c r="L1113" t="s">
        <v>6100</v>
      </c>
      <c r="M1113" t="s">
        <v>6100</v>
      </c>
      <c r="N1113">
        <v>5</v>
      </c>
      <c r="O1113" t="s">
        <v>6101</v>
      </c>
      <c r="P1113" t="s">
        <v>6108</v>
      </c>
      <c r="Q1113">
        <v>2</v>
      </c>
      <c r="R1113">
        <v>2026</v>
      </c>
      <c r="S1113" t="s">
        <v>6099</v>
      </c>
      <c r="T1113">
        <v>1</v>
      </c>
      <c r="U1113" t="s">
        <v>6018</v>
      </c>
      <c r="V1113">
        <v>1</v>
      </c>
    </row>
    <row r="1114" spans="1:22" x14ac:dyDescent="0.3">
      <c r="A1114" t="s">
        <v>1129</v>
      </c>
      <c r="B1114" s="2">
        <v>46077.649305555555</v>
      </c>
      <c r="C1114" s="2">
        <v>46077.753472222219</v>
      </c>
      <c r="D1114" t="s">
        <v>6028</v>
      </c>
      <c r="E1114" t="s">
        <v>6029</v>
      </c>
      <c r="F1114" t="s">
        <v>6035</v>
      </c>
      <c r="G1114" t="s">
        <v>6051</v>
      </c>
      <c r="H1114" t="s">
        <v>6097</v>
      </c>
      <c r="I1114">
        <v>4</v>
      </c>
      <c r="J1114">
        <v>2.5</v>
      </c>
      <c r="K1114" t="s">
        <v>6099</v>
      </c>
      <c r="L1114" t="s">
        <v>6100</v>
      </c>
      <c r="M1114" t="s">
        <v>6099</v>
      </c>
      <c r="N1114">
        <v>4</v>
      </c>
      <c r="O1114" t="s">
        <v>6101</v>
      </c>
      <c r="P1114" t="s">
        <v>6108</v>
      </c>
      <c r="Q1114">
        <v>2</v>
      </c>
      <c r="R1114">
        <v>2026</v>
      </c>
      <c r="S1114" t="s">
        <v>6099</v>
      </c>
      <c r="T1114">
        <v>1</v>
      </c>
      <c r="U1114" t="s">
        <v>6020</v>
      </c>
      <c r="V1114">
        <v>1</v>
      </c>
    </row>
    <row r="1115" spans="1:22" x14ac:dyDescent="0.3">
      <c r="A1115" t="s">
        <v>1130</v>
      </c>
      <c r="B1115" s="2">
        <v>46077.663194444445</v>
      </c>
      <c r="C1115" s="2">
        <v>46077.871527777781</v>
      </c>
      <c r="D1115" t="s">
        <v>6022</v>
      </c>
      <c r="E1115" t="s">
        <v>6029</v>
      </c>
      <c r="F1115" t="s">
        <v>6034</v>
      </c>
      <c r="G1115" t="s">
        <v>6081</v>
      </c>
      <c r="H1115" t="s">
        <v>6098</v>
      </c>
      <c r="I1115">
        <v>24</v>
      </c>
      <c r="J1115">
        <v>5</v>
      </c>
      <c r="K1115" t="s">
        <v>6099</v>
      </c>
      <c r="L1115" t="s">
        <v>6100</v>
      </c>
      <c r="M1115" t="s">
        <v>6099</v>
      </c>
      <c r="O1115" t="s">
        <v>6101</v>
      </c>
      <c r="P1115" t="s">
        <v>6108</v>
      </c>
      <c r="Q1115">
        <v>2</v>
      </c>
      <c r="R1115">
        <v>2026</v>
      </c>
      <c r="S1115" t="s">
        <v>6099</v>
      </c>
      <c r="T1115">
        <v>1</v>
      </c>
      <c r="U1115" t="s">
        <v>6018</v>
      </c>
      <c r="V1115">
        <v>1</v>
      </c>
    </row>
    <row r="1116" spans="1:22" x14ac:dyDescent="0.3">
      <c r="A1116" t="s">
        <v>1131</v>
      </c>
      <c r="B1116" s="2">
        <v>46077.675694444442</v>
      </c>
      <c r="C1116" s="2">
        <v>46078.121527777781</v>
      </c>
      <c r="D1116" t="s">
        <v>6028</v>
      </c>
      <c r="E1116" t="s">
        <v>6029</v>
      </c>
      <c r="F1116" t="s">
        <v>6035</v>
      </c>
      <c r="G1116" t="s">
        <v>6057</v>
      </c>
      <c r="H1116" t="s">
        <v>6097</v>
      </c>
      <c r="I1116">
        <v>4</v>
      </c>
      <c r="J1116">
        <v>10.7</v>
      </c>
      <c r="K1116" t="s">
        <v>6099</v>
      </c>
      <c r="L1116" t="s">
        <v>6100</v>
      </c>
      <c r="M1116" t="s">
        <v>6099</v>
      </c>
      <c r="N1116">
        <v>4</v>
      </c>
      <c r="O1116" t="s">
        <v>6101</v>
      </c>
      <c r="P1116" t="s">
        <v>6108</v>
      </c>
      <c r="Q1116">
        <v>2</v>
      </c>
      <c r="R1116">
        <v>2026</v>
      </c>
      <c r="S1116" t="s">
        <v>6100</v>
      </c>
      <c r="T1116">
        <v>0</v>
      </c>
      <c r="U1116" t="s">
        <v>6019</v>
      </c>
      <c r="V1116">
        <v>1</v>
      </c>
    </row>
    <row r="1117" spans="1:22" x14ac:dyDescent="0.3">
      <c r="A1117" t="s">
        <v>1132</v>
      </c>
      <c r="B1117" s="2">
        <v>46077.698611111111</v>
      </c>
      <c r="C1117" s="2">
        <v>46078.152777777781</v>
      </c>
      <c r="D1117" t="s">
        <v>6028</v>
      </c>
      <c r="E1117" t="s">
        <v>6029</v>
      </c>
      <c r="F1117" t="s">
        <v>6035</v>
      </c>
      <c r="G1117" t="s">
        <v>6041</v>
      </c>
      <c r="H1117" t="s">
        <v>6096</v>
      </c>
      <c r="I1117">
        <v>4</v>
      </c>
      <c r="J1117">
        <v>10.9</v>
      </c>
      <c r="K1117" t="s">
        <v>6100</v>
      </c>
      <c r="L1117" t="s">
        <v>6100</v>
      </c>
      <c r="M1117" t="s">
        <v>6099</v>
      </c>
      <c r="N1117">
        <v>4</v>
      </c>
      <c r="O1117" t="s">
        <v>6101</v>
      </c>
      <c r="P1117" t="s">
        <v>6108</v>
      </c>
      <c r="Q1117">
        <v>2</v>
      </c>
      <c r="R1117">
        <v>2026</v>
      </c>
      <c r="S1117" t="s">
        <v>6100</v>
      </c>
      <c r="T1117">
        <v>0</v>
      </c>
      <c r="U1117" t="s">
        <v>6020</v>
      </c>
      <c r="V1117">
        <v>0</v>
      </c>
    </row>
    <row r="1118" spans="1:22" x14ac:dyDescent="0.3">
      <c r="A1118" t="s">
        <v>1133</v>
      </c>
      <c r="B1118" s="2">
        <v>46077.722222222219</v>
      </c>
      <c r="C1118" s="2">
        <v>46077.826388888891</v>
      </c>
      <c r="D1118" t="s">
        <v>6027</v>
      </c>
      <c r="E1118" t="s">
        <v>6029</v>
      </c>
      <c r="F1118" t="s">
        <v>6035</v>
      </c>
      <c r="G1118" t="s">
        <v>6077</v>
      </c>
      <c r="H1118" t="s">
        <v>6098</v>
      </c>
      <c r="I1118">
        <v>4</v>
      </c>
      <c r="J1118">
        <v>2.5</v>
      </c>
      <c r="K1118" t="s">
        <v>6099</v>
      </c>
      <c r="L1118" t="s">
        <v>6100</v>
      </c>
      <c r="M1118" t="s">
        <v>6100</v>
      </c>
      <c r="O1118" t="s">
        <v>6101</v>
      </c>
      <c r="P1118" t="s">
        <v>6108</v>
      </c>
      <c r="Q1118">
        <v>2</v>
      </c>
      <c r="R1118">
        <v>2026</v>
      </c>
      <c r="S1118" t="s">
        <v>6099</v>
      </c>
      <c r="T1118">
        <v>1</v>
      </c>
      <c r="U1118" t="s">
        <v>6017</v>
      </c>
      <c r="V1118">
        <v>1</v>
      </c>
    </row>
    <row r="1119" spans="1:22" x14ac:dyDescent="0.3">
      <c r="A1119" t="s">
        <v>1134</v>
      </c>
      <c r="B1119" s="2">
        <v>46077.729166666664</v>
      </c>
      <c r="C1119" s="2">
        <v>46079.008333333331</v>
      </c>
      <c r="D1119" t="s">
        <v>6024</v>
      </c>
      <c r="E1119" t="s">
        <v>6029</v>
      </c>
      <c r="F1119" t="s">
        <v>6034</v>
      </c>
      <c r="G1119" t="s">
        <v>6090</v>
      </c>
      <c r="H1119" t="s">
        <v>6097</v>
      </c>
      <c r="I1119">
        <v>24</v>
      </c>
      <c r="J1119">
        <v>30.7</v>
      </c>
      <c r="K1119" t="s">
        <v>6099</v>
      </c>
      <c r="L1119" t="s">
        <v>6100</v>
      </c>
      <c r="M1119" t="s">
        <v>6100</v>
      </c>
      <c r="N1119">
        <v>3</v>
      </c>
      <c r="O1119" t="s">
        <v>6101</v>
      </c>
      <c r="P1119" t="s">
        <v>6108</v>
      </c>
      <c r="Q1119">
        <v>2</v>
      </c>
      <c r="R1119">
        <v>2026</v>
      </c>
      <c r="S1119" t="s">
        <v>6100</v>
      </c>
      <c r="T1119">
        <v>0</v>
      </c>
      <c r="U1119" t="s">
        <v>6021</v>
      </c>
      <c r="V1119">
        <v>1</v>
      </c>
    </row>
    <row r="1120" spans="1:22" x14ac:dyDescent="0.3">
      <c r="A1120" t="s">
        <v>1135</v>
      </c>
      <c r="B1120" s="2">
        <v>46077.774305555555</v>
      </c>
      <c r="C1120" s="2">
        <v>46077.878472222219</v>
      </c>
      <c r="D1120" t="s">
        <v>6023</v>
      </c>
      <c r="E1120" t="s">
        <v>6030</v>
      </c>
      <c r="F1120" t="s">
        <v>6034</v>
      </c>
      <c r="G1120" t="s">
        <v>6042</v>
      </c>
      <c r="H1120" t="s">
        <v>6098</v>
      </c>
      <c r="I1120">
        <v>24</v>
      </c>
      <c r="J1120">
        <v>2.5</v>
      </c>
      <c r="K1120" t="s">
        <v>6100</v>
      </c>
      <c r="L1120" t="s">
        <v>6099</v>
      </c>
      <c r="M1120" t="s">
        <v>6099</v>
      </c>
      <c r="N1120">
        <v>3</v>
      </c>
      <c r="O1120" t="s">
        <v>6101</v>
      </c>
      <c r="P1120" t="s">
        <v>6108</v>
      </c>
      <c r="Q1120">
        <v>2</v>
      </c>
      <c r="R1120">
        <v>2026</v>
      </c>
      <c r="S1120" t="s">
        <v>6099</v>
      </c>
      <c r="T1120">
        <v>1</v>
      </c>
      <c r="U1120" t="s">
        <v>6017</v>
      </c>
      <c r="V1120">
        <v>0</v>
      </c>
    </row>
    <row r="1121" spans="1:22" x14ac:dyDescent="0.3">
      <c r="A1121" t="s">
        <v>1136</v>
      </c>
      <c r="B1121" s="2">
        <v>46077.787499999999</v>
      </c>
      <c r="C1121" s="2">
        <v>46080.870833333334</v>
      </c>
      <c r="D1121" t="s">
        <v>6025</v>
      </c>
      <c r="E1121" t="s">
        <v>6031</v>
      </c>
      <c r="F1121" t="s">
        <v>6035</v>
      </c>
      <c r="G1121" t="s">
        <v>6048</v>
      </c>
      <c r="H1121" t="s">
        <v>6096</v>
      </c>
      <c r="I1121">
        <v>4</v>
      </c>
      <c r="J1121">
        <v>74</v>
      </c>
      <c r="K1121" t="s">
        <v>6099</v>
      </c>
      <c r="L1121" t="s">
        <v>6100</v>
      </c>
      <c r="M1121" t="s">
        <v>6100</v>
      </c>
      <c r="N1121">
        <v>4</v>
      </c>
      <c r="O1121" t="s">
        <v>6101</v>
      </c>
      <c r="P1121" t="s">
        <v>6108</v>
      </c>
      <c r="Q1121">
        <v>2</v>
      </c>
      <c r="R1121">
        <v>2026</v>
      </c>
      <c r="S1121" t="s">
        <v>6100</v>
      </c>
      <c r="T1121">
        <v>0</v>
      </c>
      <c r="U1121" t="s">
        <v>6017</v>
      </c>
      <c r="V1121">
        <v>1</v>
      </c>
    </row>
    <row r="1122" spans="1:22" x14ac:dyDescent="0.3">
      <c r="A1122" t="s">
        <v>1137</v>
      </c>
      <c r="B1122" s="2">
        <v>46077.915972222225</v>
      </c>
      <c r="C1122" s="2">
        <v>46079.799305555556</v>
      </c>
      <c r="D1122" t="s">
        <v>6022</v>
      </c>
      <c r="E1122" t="s">
        <v>6032</v>
      </c>
      <c r="F1122" t="s">
        <v>6034</v>
      </c>
      <c r="G1122" t="s">
        <v>6056</v>
      </c>
      <c r="H1122" t="s">
        <v>6098</v>
      </c>
      <c r="I1122">
        <v>24</v>
      </c>
      <c r="J1122">
        <v>45.2</v>
      </c>
      <c r="K1122" t="s">
        <v>6099</v>
      </c>
      <c r="L1122" t="s">
        <v>6100</v>
      </c>
      <c r="M1122" t="s">
        <v>6100</v>
      </c>
      <c r="N1122">
        <v>4</v>
      </c>
      <c r="O1122" t="s">
        <v>6101</v>
      </c>
      <c r="P1122" t="s">
        <v>6108</v>
      </c>
      <c r="Q1122">
        <v>2</v>
      </c>
      <c r="R1122">
        <v>2026</v>
      </c>
      <c r="S1122" t="s">
        <v>6100</v>
      </c>
      <c r="T1122">
        <v>0</v>
      </c>
      <c r="U1122" t="s">
        <v>6019</v>
      </c>
      <c r="V1122">
        <v>1</v>
      </c>
    </row>
    <row r="1123" spans="1:22" x14ac:dyDescent="0.3">
      <c r="A1123" t="s">
        <v>1138</v>
      </c>
      <c r="B1123" s="2">
        <v>46077.96875</v>
      </c>
      <c r="C1123" s="2">
        <v>46078.11041666667</v>
      </c>
      <c r="D1123" t="s">
        <v>6023</v>
      </c>
      <c r="E1123" t="s">
        <v>6029</v>
      </c>
      <c r="F1123" t="s">
        <v>6034</v>
      </c>
      <c r="G1123" t="s">
        <v>6060</v>
      </c>
      <c r="H1123" t="s">
        <v>6097</v>
      </c>
      <c r="I1123">
        <v>24</v>
      </c>
      <c r="J1123">
        <v>3.4</v>
      </c>
      <c r="K1123" t="s">
        <v>6099</v>
      </c>
      <c r="L1123" t="s">
        <v>6100</v>
      </c>
      <c r="M1123" t="s">
        <v>6100</v>
      </c>
      <c r="O1123" t="s">
        <v>6101</v>
      </c>
      <c r="P1123" t="s">
        <v>6108</v>
      </c>
      <c r="Q1123">
        <v>2</v>
      </c>
      <c r="R1123">
        <v>2026</v>
      </c>
      <c r="S1123" t="s">
        <v>6099</v>
      </c>
      <c r="T1123">
        <v>1</v>
      </c>
      <c r="U1123" t="s">
        <v>6020</v>
      </c>
      <c r="V1123">
        <v>1</v>
      </c>
    </row>
    <row r="1124" spans="1:22" x14ac:dyDescent="0.3">
      <c r="A1124" t="s">
        <v>1139</v>
      </c>
      <c r="B1124" s="2">
        <v>46078.259722222225</v>
      </c>
      <c r="C1124" s="2">
        <v>46078.576388888891</v>
      </c>
      <c r="D1124" t="s">
        <v>6027</v>
      </c>
      <c r="E1124" t="s">
        <v>6030</v>
      </c>
      <c r="F1124" t="s">
        <v>6034</v>
      </c>
      <c r="G1124" t="s">
        <v>6061</v>
      </c>
      <c r="H1124" t="s">
        <v>6096</v>
      </c>
      <c r="I1124">
        <v>24</v>
      </c>
      <c r="J1124">
        <v>7.6</v>
      </c>
      <c r="K1124" t="s">
        <v>6099</v>
      </c>
      <c r="L1124" t="s">
        <v>6100</v>
      </c>
      <c r="M1124" t="s">
        <v>6100</v>
      </c>
      <c r="N1124">
        <v>4</v>
      </c>
      <c r="O1124" t="s">
        <v>6101</v>
      </c>
      <c r="P1124" t="s">
        <v>6108</v>
      </c>
      <c r="Q1124">
        <v>2</v>
      </c>
      <c r="R1124">
        <v>2026</v>
      </c>
      <c r="S1124" t="s">
        <v>6099</v>
      </c>
      <c r="T1124">
        <v>1</v>
      </c>
      <c r="U1124" t="s">
        <v>6019</v>
      </c>
      <c r="V1124">
        <v>1</v>
      </c>
    </row>
    <row r="1125" spans="1:22" x14ac:dyDescent="0.3">
      <c r="A1125" t="s">
        <v>1140</v>
      </c>
      <c r="B1125" s="2">
        <v>46078.296527777777</v>
      </c>
      <c r="C1125" s="2">
        <v>46078.775694444441</v>
      </c>
      <c r="D1125" t="s">
        <v>6028</v>
      </c>
      <c r="E1125" t="s">
        <v>6031</v>
      </c>
      <c r="F1125" t="s">
        <v>6035</v>
      </c>
      <c r="G1125" t="s">
        <v>6092</v>
      </c>
      <c r="H1125" t="s">
        <v>6097</v>
      </c>
      <c r="I1125">
        <v>4</v>
      </c>
      <c r="J1125">
        <v>11.5</v>
      </c>
      <c r="K1125" t="s">
        <v>6099</v>
      </c>
      <c r="L1125" t="s">
        <v>6100</v>
      </c>
      <c r="M1125" t="s">
        <v>6100</v>
      </c>
      <c r="N1125">
        <v>4</v>
      </c>
      <c r="O1125" t="s">
        <v>6101</v>
      </c>
      <c r="P1125" t="s">
        <v>6108</v>
      </c>
      <c r="Q1125">
        <v>2</v>
      </c>
      <c r="R1125">
        <v>2026</v>
      </c>
      <c r="S1125" t="s">
        <v>6100</v>
      </c>
      <c r="T1125">
        <v>0</v>
      </c>
      <c r="U1125" t="s">
        <v>6018</v>
      </c>
      <c r="V1125">
        <v>1</v>
      </c>
    </row>
    <row r="1126" spans="1:22" x14ac:dyDescent="0.3">
      <c r="A1126" t="s">
        <v>1141</v>
      </c>
      <c r="B1126" s="2">
        <v>46078.336111111108</v>
      </c>
      <c r="C1126" s="2">
        <v>46078.419444444444</v>
      </c>
      <c r="D1126" t="s">
        <v>6022</v>
      </c>
      <c r="E1126" t="s">
        <v>6030</v>
      </c>
      <c r="F1126" t="s">
        <v>6035</v>
      </c>
      <c r="G1126" t="s">
        <v>6095</v>
      </c>
      <c r="H1126" t="s">
        <v>6098</v>
      </c>
      <c r="I1126">
        <v>4</v>
      </c>
      <c r="J1126">
        <v>2</v>
      </c>
      <c r="K1126" t="s">
        <v>6099</v>
      </c>
      <c r="L1126" t="s">
        <v>6100</v>
      </c>
      <c r="M1126" t="s">
        <v>6099</v>
      </c>
      <c r="O1126" t="s">
        <v>6101</v>
      </c>
      <c r="P1126" t="s">
        <v>6108</v>
      </c>
      <c r="Q1126">
        <v>2</v>
      </c>
      <c r="R1126">
        <v>2026</v>
      </c>
      <c r="S1126" t="s">
        <v>6099</v>
      </c>
      <c r="T1126">
        <v>1</v>
      </c>
      <c r="U1126" t="s">
        <v>6021</v>
      </c>
      <c r="V1126">
        <v>1</v>
      </c>
    </row>
    <row r="1127" spans="1:22" x14ac:dyDescent="0.3">
      <c r="A1127" t="s">
        <v>1142</v>
      </c>
      <c r="B1127" s="2">
        <v>46078.364583333336</v>
      </c>
      <c r="C1127" s="2">
        <v>46079.15625</v>
      </c>
      <c r="D1127" t="s">
        <v>6028</v>
      </c>
      <c r="E1127" t="s">
        <v>6031</v>
      </c>
      <c r="F1127" t="s">
        <v>6035</v>
      </c>
      <c r="G1127" t="s">
        <v>6065</v>
      </c>
      <c r="H1127" t="s">
        <v>6097</v>
      </c>
      <c r="I1127">
        <v>4</v>
      </c>
      <c r="J1127">
        <v>19</v>
      </c>
      <c r="K1127" t="s">
        <v>6099</v>
      </c>
      <c r="L1127" t="s">
        <v>6100</v>
      </c>
      <c r="M1127" t="s">
        <v>6099</v>
      </c>
      <c r="O1127" t="s">
        <v>6101</v>
      </c>
      <c r="P1127" t="s">
        <v>6108</v>
      </c>
      <c r="Q1127">
        <v>2</v>
      </c>
      <c r="R1127">
        <v>2026</v>
      </c>
      <c r="S1127" t="s">
        <v>6100</v>
      </c>
      <c r="T1127">
        <v>0</v>
      </c>
      <c r="U1127" t="s">
        <v>6017</v>
      </c>
      <c r="V1127">
        <v>1</v>
      </c>
    </row>
    <row r="1128" spans="1:22" x14ac:dyDescent="0.3">
      <c r="A1128" t="s">
        <v>1143</v>
      </c>
      <c r="B1128" s="2">
        <v>46078.380555555559</v>
      </c>
      <c r="C1128" s="2">
        <v>46079.088888888888</v>
      </c>
      <c r="D1128" t="s">
        <v>6027</v>
      </c>
      <c r="E1128" t="s">
        <v>6031</v>
      </c>
      <c r="F1128" t="s">
        <v>6034</v>
      </c>
      <c r="G1128" t="s">
        <v>6048</v>
      </c>
      <c r="H1128" t="s">
        <v>6096</v>
      </c>
      <c r="I1128">
        <v>24</v>
      </c>
      <c r="J1128">
        <v>17</v>
      </c>
      <c r="K1128" t="s">
        <v>6099</v>
      </c>
      <c r="L1128" t="s">
        <v>6100</v>
      </c>
      <c r="M1128" t="s">
        <v>6100</v>
      </c>
      <c r="N1128">
        <v>5</v>
      </c>
      <c r="O1128" t="s">
        <v>6101</v>
      </c>
      <c r="P1128" t="s">
        <v>6108</v>
      </c>
      <c r="Q1128">
        <v>2</v>
      </c>
      <c r="R1128">
        <v>2026</v>
      </c>
      <c r="S1128" t="s">
        <v>6099</v>
      </c>
      <c r="T1128">
        <v>1</v>
      </c>
      <c r="U1128" t="s">
        <v>6018</v>
      </c>
      <c r="V1128">
        <v>1</v>
      </c>
    </row>
    <row r="1129" spans="1:22" x14ac:dyDescent="0.3">
      <c r="A1129" t="s">
        <v>1144</v>
      </c>
      <c r="B1129" s="2">
        <v>46078.48541666667</v>
      </c>
      <c r="C1129" s="2">
        <v>46078.697916666664</v>
      </c>
      <c r="D1129" t="s">
        <v>6023</v>
      </c>
      <c r="E1129" t="s">
        <v>6029</v>
      </c>
      <c r="F1129" t="s">
        <v>6033</v>
      </c>
      <c r="G1129" t="s">
        <v>6088</v>
      </c>
      <c r="H1129" t="s">
        <v>6097</v>
      </c>
      <c r="I1129">
        <v>72</v>
      </c>
      <c r="J1129">
        <v>5.0999999999999996</v>
      </c>
      <c r="K1129" t="s">
        <v>6099</v>
      </c>
      <c r="L1129" t="s">
        <v>6100</v>
      </c>
      <c r="M1129" t="s">
        <v>6100</v>
      </c>
      <c r="N1129">
        <v>4</v>
      </c>
      <c r="O1129" t="s">
        <v>6101</v>
      </c>
      <c r="P1129" t="s">
        <v>6108</v>
      </c>
      <c r="Q1129">
        <v>2</v>
      </c>
      <c r="R1129">
        <v>2026</v>
      </c>
      <c r="S1129" t="s">
        <v>6099</v>
      </c>
      <c r="T1129">
        <v>1</v>
      </c>
      <c r="U1129" t="s">
        <v>6017</v>
      </c>
      <c r="V1129">
        <v>1</v>
      </c>
    </row>
    <row r="1130" spans="1:22" x14ac:dyDescent="0.3">
      <c r="A1130" t="s">
        <v>1145</v>
      </c>
      <c r="B1130" s="2">
        <v>46078.509027777778</v>
      </c>
      <c r="C1130" s="2">
        <v>46078.729861111111</v>
      </c>
      <c r="D1130" t="s">
        <v>6023</v>
      </c>
      <c r="E1130" t="s">
        <v>6030</v>
      </c>
      <c r="F1130" t="s">
        <v>6034</v>
      </c>
      <c r="G1130" t="s">
        <v>6060</v>
      </c>
      <c r="H1130" t="s">
        <v>6097</v>
      </c>
      <c r="I1130">
        <v>24</v>
      </c>
      <c r="J1130">
        <v>5.3</v>
      </c>
      <c r="K1130" t="s">
        <v>6099</v>
      </c>
      <c r="L1130" t="s">
        <v>6100</v>
      </c>
      <c r="M1130" t="s">
        <v>6100</v>
      </c>
      <c r="N1130">
        <v>5</v>
      </c>
      <c r="O1130" t="s">
        <v>6101</v>
      </c>
      <c r="P1130" t="s">
        <v>6108</v>
      </c>
      <c r="Q1130">
        <v>2</v>
      </c>
      <c r="R1130">
        <v>2026</v>
      </c>
      <c r="S1130" t="s">
        <v>6099</v>
      </c>
      <c r="T1130">
        <v>1</v>
      </c>
      <c r="U1130" t="s">
        <v>6021</v>
      </c>
      <c r="V1130">
        <v>1</v>
      </c>
    </row>
    <row r="1131" spans="1:22" x14ac:dyDescent="0.3">
      <c r="A1131" t="s">
        <v>1146</v>
      </c>
      <c r="B1131" s="2">
        <v>46078.531944444447</v>
      </c>
      <c r="C1131" s="2">
        <v>46079.165277777778</v>
      </c>
      <c r="D1131" t="s">
        <v>6028</v>
      </c>
      <c r="E1131" t="s">
        <v>6031</v>
      </c>
      <c r="F1131" t="s">
        <v>6035</v>
      </c>
      <c r="G1131" t="s">
        <v>6066</v>
      </c>
      <c r="H1131" t="s">
        <v>6096</v>
      </c>
      <c r="I1131">
        <v>4</v>
      </c>
      <c r="J1131">
        <v>15.2</v>
      </c>
      <c r="K1131" t="s">
        <v>6099</v>
      </c>
      <c r="L1131" t="s">
        <v>6100</v>
      </c>
      <c r="M1131" t="s">
        <v>6100</v>
      </c>
      <c r="N1131">
        <v>5</v>
      </c>
      <c r="O1131" t="s">
        <v>6101</v>
      </c>
      <c r="P1131" t="s">
        <v>6108</v>
      </c>
      <c r="Q1131">
        <v>2</v>
      </c>
      <c r="R1131">
        <v>2026</v>
      </c>
      <c r="S1131" t="s">
        <v>6100</v>
      </c>
      <c r="T1131">
        <v>0</v>
      </c>
      <c r="U1131" t="s">
        <v>6020</v>
      </c>
      <c r="V1131">
        <v>1</v>
      </c>
    </row>
    <row r="1132" spans="1:22" x14ac:dyDescent="0.3">
      <c r="A1132" t="s">
        <v>1147</v>
      </c>
      <c r="B1132" s="2">
        <v>46078.604861111111</v>
      </c>
      <c r="C1132" s="2">
        <v>46083.238194444442</v>
      </c>
      <c r="D1132" t="s">
        <v>6026</v>
      </c>
      <c r="E1132" t="s">
        <v>6031</v>
      </c>
      <c r="F1132" t="s">
        <v>6034</v>
      </c>
      <c r="G1132" t="s">
        <v>6043</v>
      </c>
      <c r="H1132" t="s">
        <v>6097</v>
      </c>
      <c r="I1132">
        <v>24</v>
      </c>
      <c r="J1132">
        <v>111.2</v>
      </c>
      <c r="K1132" t="s">
        <v>6100</v>
      </c>
      <c r="L1132" t="s">
        <v>6100</v>
      </c>
      <c r="M1132" t="s">
        <v>6100</v>
      </c>
      <c r="O1132" t="s">
        <v>6101</v>
      </c>
      <c r="P1132" t="s">
        <v>6108</v>
      </c>
      <c r="Q1132">
        <v>2</v>
      </c>
      <c r="R1132">
        <v>2026</v>
      </c>
      <c r="S1132" t="s">
        <v>6100</v>
      </c>
      <c r="T1132">
        <v>0</v>
      </c>
      <c r="U1132" t="s">
        <v>6017</v>
      </c>
      <c r="V1132">
        <v>0</v>
      </c>
    </row>
    <row r="1133" spans="1:22" x14ac:dyDescent="0.3">
      <c r="A1133" t="s">
        <v>1148</v>
      </c>
      <c r="B1133" s="2">
        <v>46078.631944444445</v>
      </c>
      <c r="C1133" s="2">
        <v>46083.594444444447</v>
      </c>
      <c r="D1133" t="s">
        <v>6026</v>
      </c>
      <c r="E1133" t="s">
        <v>6031</v>
      </c>
      <c r="F1133" t="s">
        <v>6034</v>
      </c>
      <c r="G1133" t="s">
        <v>6058</v>
      </c>
      <c r="H1133" t="s">
        <v>6098</v>
      </c>
      <c r="I1133">
        <v>24</v>
      </c>
      <c r="J1133">
        <v>119.1</v>
      </c>
      <c r="K1133" t="s">
        <v>6099</v>
      </c>
      <c r="L1133" t="s">
        <v>6100</v>
      </c>
      <c r="M1133" t="s">
        <v>6100</v>
      </c>
      <c r="N1133">
        <v>4</v>
      </c>
      <c r="O1133" t="s">
        <v>6101</v>
      </c>
      <c r="P1133" t="s">
        <v>6108</v>
      </c>
      <c r="Q1133">
        <v>2</v>
      </c>
      <c r="R1133">
        <v>2026</v>
      </c>
      <c r="S1133" t="s">
        <v>6100</v>
      </c>
      <c r="T1133">
        <v>0</v>
      </c>
      <c r="U1133" t="s">
        <v>6021</v>
      </c>
      <c r="V1133">
        <v>1</v>
      </c>
    </row>
    <row r="1134" spans="1:22" x14ac:dyDescent="0.3">
      <c r="A1134" t="s">
        <v>1149</v>
      </c>
      <c r="B1134" s="2">
        <v>46078.644444444442</v>
      </c>
      <c r="C1134" s="2">
        <v>46079.644444444442</v>
      </c>
      <c r="D1134" t="s">
        <v>6022</v>
      </c>
      <c r="E1134" t="s">
        <v>6032</v>
      </c>
      <c r="F1134" t="s">
        <v>6034</v>
      </c>
      <c r="G1134" t="s">
        <v>6048</v>
      </c>
      <c r="H1134" t="s">
        <v>6096</v>
      </c>
      <c r="I1134">
        <v>24</v>
      </c>
      <c r="J1134">
        <v>24</v>
      </c>
      <c r="K1134" t="s">
        <v>6100</v>
      </c>
      <c r="L1134" t="s">
        <v>6100</v>
      </c>
      <c r="M1134" t="s">
        <v>6100</v>
      </c>
      <c r="O1134" t="s">
        <v>6101</v>
      </c>
      <c r="P1134" t="s">
        <v>6108</v>
      </c>
      <c r="Q1134">
        <v>2</v>
      </c>
      <c r="R1134">
        <v>2026</v>
      </c>
      <c r="S1134" t="s">
        <v>6099</v>
      </c>
      <c r="T1134">
        <v>1</v>
      </c>
      <c r="U1134" t="s">
        <v>6019</v>
      </c>
      <c r="V1134">
        <v>0</v>
      </c>
    </row>
    <row r="1135" spans="1:22" x14ac:dyDescent="0.3">
      <c r="A1135" t="s">
        <v>1150</v>
      </c>
      <c r="B1135" s="2">
        <v>46078.686805555553</v>
      </c>
      <c r="C1135" s="2">
        <v>46078.90347222222</v>
      </c>
      <c r="D1135" t="s">
        <v>6022</v>
      </c>
      <c r="E1135" t="s">
        <v>6029</v>
      </c>
      <c r="F1135" t="s">
        <v>6035</v>
      </c>
      <c r="G1135" t="s">
        <v>6086</v>
      </c>
      <c r="H1135" t="s">
        <v>6098</v>
      </c>
      <c r="I1135">
        <v>4</v>
      </c>
      <c r="J1135">
        <v>5.2</v>
      </c>
      <c r="K1135" t="s">
        <v>6099</v>
      </c>
      <c r="L1135" t="s">
        <v>6100</v>
      </c>
      <c r="M1135" t="s">
        <v>6100</v>
      </c>
      <c r="N1135">
        <v>3</v>
      </c>
      <c r="O1135" t="s">
        <v>6101</v>
      </c>
      <c r="P1135" t="s">
        <v>6108</v>
      </c>
      <c r="Q1135">
        <v>2</v>
      </c>
      <c r="R1135">
        <v>2026</v>
      </c>
      <c r="S1135" t="s">
        <v>6100</v>
      </c>
      <c r="T1135">
        <v>0</v>
      </c>
      <c r="U1135" t="s">
        <v>6021</v>
      </c>
      <c r="V1135">
        <v>1</v>
      </c>
    </row>
    <row r="1136" spans="1:22" x14ac:dyDescent="0.3">
      <c r="A1136" t="s">
        <v>1151</v>
      </c>
      <c r="B1136" s="2">
        <v>46078.704861111109</v>
      </c>
      <c r="C1136" s="2">
        <v>46079.629861111112</v>
      </c>
      <c r="D1136" t="s">
        <v>6026</v>
      </c>
      <c r="E1136" t="s">
        <v>6031</v>
      </c>
      <c r="F1136" t="s">
        <v>6034</v>
      </c>
      <c r="G1136" t="s">
        <v>6036</v>
      </c>
      <c r="H1136" t="s">
        <v>6096</v>
      </c>
      <c r="I1136">
        <v>24</v>
      </c>
      <c r="J1136">
        <v>22.2</v>
      </c>
      <c r="K1136" t="s">
        <v>6099</v>
      </c>
      <c r="L1136" t="s">
        <v>6100</v>
      </c>
      <c r="M1136" t="s">
        <v>6100</v>
      </c>
      <c r="O1136" t="s">
        <v>6101</v>
      </c>
      <c r="P1136" t="s">
        <v>6108</v>
      </c>
      <c r="Q1136">
        <v>2</v>
      </c>
      <c r="R1136">
        <v>2026</v>
      </c>
      <c r="S1136" t="s">
        <v>6099</v>
      </c>
      <c r="T1136">
        <v>1</v>
      </c>
      <c r="U1136" t="s">
        <v>6019</v>
      </c>
      <c r="V1136">
        <v>1</v>
      </c>
    </row>
    <row r="1137" spans="1:22" x14ac:dyDescent="0.3">
      <c r="A1137" t="s">
        <v>1152</v>
      </c>
      <c r="B1137" s="2">
        <v>46078.729166666664</v>
      </c>
      <c r="C1137" s="2">
        <v>46078.875</v>
      </c>
      <c r="D1137" t="s">
        <v>6028</v>
      </c>
      <c r="E1137" t="s">
        <v>6030</v>
      </c>
      <c r="F1137" t="s">
        <v>6035</v>
      </c>
      <c r="G1137" t="s">
        <v>6067</v>
      </c>
      <c r="H1137" t="s">
        <v>6098</v>
      </c>
      <c r="I1137">
        <v>4</v>
      </c>
      <c r="J1137">
        <v>3.5</v>
      </c>
      <c r="K1137" t="s">
        <v>6099</v>
      </c>
      <c r="L1137" t="s">
        <v>6100</v>
      </c>
      <c r="M1137" t="s">
        <v>6100</v>
      </c>
      <c r="N1137">
        <v>5</v>
      </c>
      <c r="O1137" t="s">
        <v>6101</v>
      </c>
      <c r="P1137" t="s">
        <v>6108</v>
      </c>
      <c r="Q1137">
        <v>2</v>
      </c>
      <c r="R1137">
        <v>2026</v>
      </c>
      <c r="S1137" t="s">
        <v>6099</v>
      </c>
      <c r="T1137">
        <v>1</v>
      </c>
      <c r="U1137" t="s">
        <v>6019</v>
      </c>
      <c r="V1137">
        <v>1</v>
      </c>
    </row>
    <row r="1138" spans="1:22" x14ac:dyDescent="0.3">
      <c r="A1138" t="s">
        <v>1153</v>
      </c>
      <c r="B1138" s="2">
        <v>46078.732638888891</v>
      </c>
      <c r="C1138" s="2">
        <v>46079.070138888892</v>
      </c>
      <c r="D1138" t="s">
        <v>6028</v>
      </c>
      <c r="E1138" t="s">
        <v>6030</v>
      </c>
      <c r="F1138" t="s">
        <v>6035</v>
      </c>
      <c r="G1138" t="s">
        <v>6054</v>
      </c>
      <c r="H1138" t="s">
        <v>6096</v>
      </c>
      <c r="I1138">
        <v>4</v>
      </c>
      <c r="J1138">
        <v>8.1</v>
      </c>
      <c r="K1138" t="s">
        <v>6100</v>
      </c>
      <c r="L1138" t="s">
        <v>6100</v>
      </c>
      <c r="M1138" t="s">
        <v>6100</v>
      </c>
      <c r="O1138" t="s">
        <v>6101</v>
      </c>
      <c r="P1138" t="s">
        <v>6108</v>
      </c>
      <c r="Q1138">
        <v>2</v>
      </c>
      <c r="R1138">
        <v>2026</v>
      </c>
      <c r="S1138" t="s">
        <v>6100</v>
      </c>
      <c r="T1138">
        <v>0</v>
      </c>
      <c r="U1138" t="s">
        <v>6019</v>
      </c>
      <c r="V1138">
        <v>0</v>
      </c>
    </row>
    <row r="1139" spans="1:22" x14ac:dyDescent="0.3">
      <c r="A1139" t="s">
        <v>1154</v>
      </c>
      <c r="B1139" s="2">
        <v>46078.73541666667</v>
      </c>
      <c r="C1139" s="2">
        <v>46079.722916666666</v>
      </c>
      <c r="D1139" t="s">
        <v>6022</v>
      </c>
      <c r="E1139" t="s">
        <v>6031</v>
      </c>
      <c r="F1139" t="s">
        <v>6034</v>
      </c>
      <c r="G1139" t="s">
        <v>6079</v>
      </c>
      <c r="H1139" t="s">
        <v>6097</v>
      </c>
      <c r="I1139">
        <v>24</v>
      </c>
      <c r="J1139">
        <v>23.7</v>
      </c>
      <c r="K1139" t="s">
        <v>6100</v>
      </c>
      <c r="L1139" t="s">
        <v>6100</v>
      </c>
      <c r="M1139" t="s">
        <v>6099</v>
      </c>
      <c r="N1139">
        <v>4</v>
      </c>
      <c r="O1139" t="s">
        <v>6101</v>
      </c>
      <c r="P1139" t="s">
        <v>6108</v>
      </c>
      <c r="Q1139">
        <v>2</v>
      </c>
      <c r="R1139">
        <v>2026</v>
      </c>
      <c r="S1139" t="s">
        <v>6099</v>
      </c>
      <c r="T1139">
        <v>1</v>
      </c>
      <c r="U1139" t="s">
        <v>6020</v>
      </c>
      <c r="V1139">
        <v>0</v>
      </c>
    </row>
    <row r="1140" spans="1:22" x14ac:dyDescent="0.3">
      <c r="A1140" t="s">
        <v>1155</v>
      </c>
      <c r="B1140" s="2">
        <v>46078.765972222223</v>
      </c>
      <c r="C1140" s="2">
        <v>46079.15347222222</v>
      </c>
      <c r="D1140" t="s">
        <v>6024</v>
      </c>
      <c r="E1140" t="s">
        <v>6029</v>
      </c>
      <c r="F1140" t="s">
        <v>6034</v>
      </c>
      <c r="G1140" t="s">
        <v>6054</v>
      </c>
      <c r="H1140" t="s">
        <v>6096</v>
      </c>
      <c r="I1140">
        <v>24</v>
      </c>
      <c r="J1140">
        <v>9.3000000000000007</v>
      </c>
      <c r="K1140" t="s">
        <v>6100</v>
      </c>
      <c r="L1140" t="s">
        <v>6099</v>
      </c>
      <c r="M1140" t="s">
        <v>6100</v>
      </c>
      <c r="N1140">
        <v>4</v>
      </c>
      <c r="O1140" t="s">
        <v>6101</v>
      </c>
      <c r="P1140" t="s">
        <v>6108</v>
      </c>
      <c r="Q1140">
        <v>2</v>
      </c>
      <c r="R1140">
        <v>2026</v>
      </c>
      <c r="S1140" t="s">
        <v>6099</v>
      </c>
      <c r="T1140">
        <v>1</v>
      </c>
      <c r="U1140" t="s">
        <v>6019</v>
      </c>
      <c r="V1140">
        <v>0</v>
      </c>
    </row>
    <row r="1141" spans="1:22" x14ac:dyDescent="0.3">
      <c r="A1141" t="s">
        <v>1156</v>
      </c>
      <c r="B1141" s="2">
        <v>46078.818749999999</v>
      </c>
      <c r="C1141" s="2">
        <v>46079.872916666667</v>
      </c>
      <c r="D1141" t="s">
        <v>6027</v>
      </c>
      <c r="E1141" t="s">
        <v>6031</v>
      </c>
      <c r="F1141" t="s">
        <v>6034</v>
      </c>
      <c r="G1141" t="s">
        <v>6059</v>
      </c>
      <c r="H1141" t="s">
        <v>6097</v>
      </c>
      <c r="I1141">
        <v>24</v>
      </c>
      <c r="J1141">
        <v>25.3</v>
      </c>
      <c r="K1141" t="s">
        <v>6099</v>
      </c>
      <c r="L1141" t="s">
        <v>6100</v>
      </c>
      <c r="M1141" t="s">
        <v>6100</v>
      </c>
      <c r="N1141">
        <v>5</v>
      </c>
      <c r="O1141" t="s">
        <v>6101</v>
      </c>
      <c r="P1141" t="s">
        <v>6108</v>
      </c>
      <c r="Q1141">
        <v>2</v>
      </c>
      <c r="R1141">
        <v>2026</v>
      </c>
      <c r="S1141" t="s">
        <v>6100</v>
      </c>
      <c r="T1141">
        <v>0</v>
      </c>
      <c r="U1141" t="s">
        <v>6019</v>
      </c>
      <c r="V1141">
        <v>1</v>
      </c>
    </row>
    <row r="1142" spans="1:22" x14ac:dyDescent="0.3">
      <c r="A1142" t="s">
        <v>1157</v>
      </c>
      <c r="B1142" s="2">
        <v>46078.845833333333</v>
      </c>
      <c r="C1142" s="2">
        <v>46080.125</v>
      </c>
      <c r="D1142" t="s">
        <v>6028</v>
      </c>
      <c r="E1142" t="s">
        <v>6031</v>
      </c>
      <c r="F1142" t="s">
        <v>6035</v>
      </c>
      <c r="G1142" t="s">
        <v>6083</v>
      </c>
      <c r="H1142" t="s">
        <v>6096</v>
      </c>
      <c r="I1142">
        <v>4</v>
      </c>
      <c r="J1142">
        <v>30.7</v>
      </c>
      <c r="K1142" t="s">
        <v>6099</v>
      </c>
      <c r="L1142" t="s">
        <v>6100</v>
      </c>
      <c r="M1142" t="s">
        <v>6100</v>
      </c>
      <c r="N1142">
        <v>5</v>
      </c>
      <c r="O1142" t="s">
        <v>6101</v>
      </c>
      <c r="P1142" t="s">
        <v>6108</v>
      </c>
      <c r="Q1142">
        <v>2</v>
      </c>
      <c r="R1142">
        <v>2026</v>
      </c>
      <c r="S1142" t="s">
        <v>6100</v>
      </c>
      <c r="T1142">
        <v>0</v>
      </c>
      <c r="U1142" t="s">
        <v>6018</v>
      </c>
      <c r="V1142">
        <v>1</v>
      </c>
    </row>
    <row r="1143" spans="1:22" x14ac:dyDescent="0.3">
      <c r="A1143" t="s">
        <v>1158</v>
      </c>
      <c r="B1143" s="2">
        <v>46079.136805555558</v>
      </c>
      <c r="C1143" s="2">
        <v>46079.728472222225</v>
      </c>
      <c r="D1143" t="s">
        <v>6024</v>
      </c>
      <c r="E1143" t="s">
        <v>6029</v>
      </c>
      <c r="F1143" t="s">
        <v>6033</v>
      </c>
      <c r="G1143" t="s">
        <v>6086</v>
      </c>
      <c r="H1143" t="s">
        <v>6098</v>
      </c>
      <c r="I1143">
        <v>72</v>
      </c>
      <c r="J1143">
        <v>14.2</v>
      </c>
      <c r="K1143" t="s">
        <v>6099</v>
      </c>
      <c r="L1143" t="s">
        <v>6100</v>
      </c>
      <c r="M1143" t="s">
        <v>6099</v>
      </c>
      <c r="N1143">
        <v>4</v>
      </c>
      <c r="O1143" t="s">
        <v>6101</v>
      </c>
      <c r="P1143" t="s">
        <v>6108</v>
      </c>
      <c r="Q1143">
        <v>2</v>
      </c>
      <c r="R1143">
        <v>2026</v>
      </c>
      <c r="S1143" t="s">
        <v>6099</v>
      </c>
      <c r="T1143">
        <v>1</v>
      </c>
      <c r="U1143" t="s">
        <v>6018</v>
      </c>
      <c r="V1143">
        <v>1</v>
      </c>
    </row>
    <row r="1144" spans="1:22" x14ac:dyDescent="0.3">
      <c r="A1144" t="s">
        <v>1159</v>
      </c>
      <c r="B1144" s="2">
        <v>46079.148611111108</v>
      </c>
      <c r="C1144" s="2">
        <v>46079.573611111111</v>
      </c>
      <c r="D1144" t="s">
        <v>6023</v>
      </c>
      <c r="E1144" t="s">
        <v>6029</v>
      </c>
      <c r="F1144" t="s">
        <v>6033</v>
      </c>
      <c r="G1144" t="s">
        <v>6086</v>
      </c>
      <c r="H1144" t="s">
        <v>6098</v>
      </c>
      <c r="I1144">
        <v>72</v>
      </c>
      <c r="J1144">
        <v>10.199999999999999</v>
      </c>
      <c r="K1144" t="s">
        <v>6100</v>
      </c>
      <c r="L1144" t="s">
        <v>6100</v>
      </c>
      <c r="M1144" t="s">
        <v>6100</v>
      </c>
      <c r="N1144">
        <v>4</v>
      </c>
      <c r="O1144" t="s">
        <v>6101</v>
      </c>
      <c r="P1144" t="s">
        <v>6108</v>
      </c>
      <c r="Q1144">
        <v>2</v>
      </c>
      <c r="R1144">
        <v>2026</v>
      </c>
      <c r="S1144" t="s">
        <v>6099</v>
      </c>
      <c r="T1144">
        <v>1</v>
      </c>
      <c r="U1144" t="s">
        <v>6021</v>
      </c>
      <c r="V1144">
        <v>0</v>
      </c>
    </row>
    <row r="1145" spans="1:22" x14ac:dyDescent="0.3">
      <c r="A1145" t="s">
        <v>1160</v>
      </c>
      <c r="B1145" s="2">
        <v>46079.200694444444</v>
      </c>
      <c r="C1145" s="2">
        <v>46079.371527777781</v>
      </c>
      <c r="D1145" t="s">
        <v>6023</v>
      </c>
      <c r="E1145" t="s">
        <v>6029</v>
      </c>
      <c r="F1145" t="s">
        <v>6033</v>
      </c>
      <c r="G1145" t="s">
        <v>6054</v>
      </c>
      <c r="H1145" t="s">
        <v>6096</v>
      </c>
      <c r="I1145">
        <v>72</v>
      </c>
      <c r="J1145">
        <v>4.0999999999999996</v>
      </c>
      <c r="K1145" t="s">
        <v>6100</v>
      </c>
      <c r="L1145" t="s">
        <v>6100</v>
      </c>
      <c r="M1145" t="s">
        <v>6100</v>
      </c>
      <c r="N1145">
        <v>4</v>
      </c>
      <c r="O1145" t="s">
        <v>6101</v>
      </c>
      <c r="P1145" t="s">
        <v>6108</v>
      </c>
      <c r="Q1145">
        <v>2</v>
      </c>
      <c r="R1145">
        <v>2026</v>
      </c>
      <c r="S1145" t="s">
        <v>6099</v>
      </c>
      <c r="T1145">
        <v>1</v>
      </c>
      <c r="U1145" t="s">
        <v>6020</v>
      </c>
      <c r="V1145">
        <v>0</v>
      </c>
    </row>
    <row r="1146" spans="1:22" x14ac:dyDescent="0.3">
      <c r="A1146" t="s">
        <v>1161</v>
      </c>
      <c r="B1146" s="2">
        <v>46079.307638888888</v>
      </c>
      <c r="C1146" s="2">
        <v>46079.453472222223</v>
      </c>
      <c r="D1146" t="s">
        <v>6023</v>
      </c>
      <c r="E1146" t="s">
        <v>6030</v>
      </c>
      <c r="F1146" t="s">
        <v>6034</v>
      </c>
      <c r="G1146" t="s">
        <v>6074</v>
      </c>
      <c r="H1146" t="s">
        <v>6098</v>
      </c>
      <c r="I1146">
        <v>24</v>
      </c>
      <c r="J1146">
        <v>3.5</v>
      </c>
      <c r="K1146" t="s">
        <v>6100</v>
      </c>
      <c r="L1146" t="s">
        <v>6100</v>
      </c>
      <c r="M1146" t="s">
        <v>6100</v>
      </c>
      <c r="N1146">
        <v>5</v>
      </c>
      <c r="O1146" t="s">
        <v>6101</v>
      </c>
      <c r="P1146" t="s">
        <v>6108</v>
      </c>
      <c r="Q1146">
        <v>2</v>
      </c>
      <c r="R1146">
        <v>2026</v>
      </c>
      <c r="S1146" t="s">
        <v>6099</v>
      </c>
      <c r="T1146">
        <v>1</v>
      </c>
      <c r="U1146" t="s">
        <v>6021</v>
      </c>
      <c r="V1146">
        <v>0</v>
      </c>
    </row>
    <row r="1147" spans="1:22" x14ac:dyDescent="0.3">
      <c r="A1147" t="s">
        <v>1162</v>
      </c>
      <c r="B1147" s="2">
        <v>46079.35</v>
      </c>
      <c r="C1147" s="2">
        <v>46079.445833333331</v>
      </c>
      <c r="D1147" t="s">
        <v>6027</v>
      </c>
      <c r="E1147" t="s">
        <v>6030</v>
      </c>
      <c r="F1147" t="s">
        <v>6035</v>
      </c>
      <c r="G1147" t="s">
        <v>6048</v>
      </c>
      <c r="H1147" t="s">
        <v>6096</v>
      </c>
      <c r="I1147">
        <v>4</v>
      </c>
      <c r="J1147">
        <v>2.2999999999999998</v>
      </c>
      <c r="K1147" t="s">
        <v>6100</v>
      </c>
      <c r="L1147" t="s">
        <v>6100</v>
      </c>
      <c r="M1147" t="s">
        <v>6100</v>
      </c>
      <c r="N1147">
        <v>3</v>
      </c>
      <c r="O1147" t="s">
        <v>6101</v>
      </c>
      <c r="P1147" t="s">
        <v>6108</v>
      </c>
      <c r="Q1147">
        <v>2</v>
      </c>
      <c r="R1147">
        <v>2026</v>
      </c>
      <c r="S1147" t="s">
        <v>6099</v>
      </c>
      <c r="T1147">
        <v>1</v>
      </c>
      <c r="U1147" t="s">
        <v>6018</v>
      </c>
      <c r="V1147">
        <v>0</v>
      </c>
    </row>
    <row r="1148" spans="1:22" x14ac:dyDescent="0.3">
      <c r="A1148" t="s">
        <v>1163</v>
      </c>
      <c r="B1148" s="2">
        <v>46079.460416666669</v>
      </c>
      <c r="C1148" s="2">
        <v>46110.902083333334</v>
      </c>
      <c r="D1148" t="s">
        <v>6026</v>
      </c>
      <c r="E1148" t="s">
        <v>6031</v>
      </c>
      <c r="F1148" t="s">
        <v>6035</v>
      </c>
      <c r="G1148" t="s">
        <v>6063</v>
      </c>
      <c r="H1148" t="s">
        <v>6097</v>
      </c>
      <c r="I1148">
        <v>4</v>
      </c>
      <c r="J1148">
        <v>754.6</v>
      </c>
      <c r="K1148" t="s">
        <v>6099</v>
      </c>
      <c r="L1148" t="s">
        <v>6100</v>
      </c>
      <c r="M1148" t="s">
        <v>6100</v>
      </c>
      <c r="N1148">
        <v>3</v>
      </c>
      <c r="O1148" t="s">
        <v>6101</v>
      </c>
      <c r="P1148" t="s">
        <v>6108</v>
      </c>
      <c r="Q1148">
        <v>2</v>
      </c>
      <c r="R1148">
        <v>2026</v>
      </c>
      <c r="S1148" t="s">
        <v>6100</v>
      </c>
      <c r="T1148">
        <v>0</v>
      </c>
      <c r="U1148" t="s">
        <v>6019</v>
      </c>
      <c r="V1148">
        <v>1</v>
      </c>
    </row>
    <row r="1149" spans="1:22" x14ac:dyDescent="0.3">
      <c r="A1149" t="s">
        <v>1164</v>
      </c>
      <c r="B1149" s="2">
        <v>46079.474305555559</v>
      </c>
      <c r="C1149" s="2">
        <v>46079.949305555558</v>
      </c>
      <c r="D1149" t="s">
        <v>6022</v>
      </c>
      <c r="E1149" t="s">
        <v>6030</v>
      </c>
      <c r="F1149" t="s">
        <v>6034</v>
      </c>
      <c r="G1149" t="s">
        <v>6081</v>
      </c>
      <c r="H1149" t="s">
        <v>6098</v>
      </c>
      <c r="I1149">
        <v>24</v>
      </c>
      <c r="J1149">
        <v>11.4</v>
      </c>
      <c r="K1149" t="s">
        <v>6099</v>
      </c>
      <c r="L1149" t="s">
        <v>6100</v>
      </c>
      <c r="M1149" t="s">
        <v>6100</v>
      </c>
      <c r="N1149">
        <v>5</v>
      </c>
      <c r="O1149" t="s">
        <v>6101</v>
      </c>
      <c r="P1149" t="s">
        <v>6108</v>
      </c>
      <c r="Q1149">
        <v>2</v>
      </c>
      <c r="R1149">
        <v>2026</v>
      </c>
      <c r="S1149" t="s">
        <v>6099</v>
      </c>
      <c r="T1149">
        <v>1</v>
      </c>
      <c r="U1149" t="s">
        <v>6018</v>
      </c>
      <c r="V1149">
        <v>1</v>
      </c>
    </row>
    <row r="1150" spans="1:22" x14ac:dyDescent="0.3">
      <c r="A1150" t="s">
        <v>1165</v>
      </c>
      <c r="B1150" s="2">
        <v>46079.48333333333</v>
      </c>
      <c r="C1150" s="2">
        <v>46081.287499999999</v>
      </c>
      <c r="D1150" t="s">
        <v>6026</v>
      </c>
      <c r="E1150" t="s">
        <v>6029</v>
      </c>
      <c r="F1150" t="s">
        <v>6034</v>
      </c>
      <c r="G1150" t="s">
        <v>6071</v>
      </c>
      <c r="H1150" t="s">
        <v>6098</v>
      </c>
      <c r="I1150">
        <v>24</v>
      </c>
      <c r="J1150">
        <v>43.3</v>
      </c>
      <c r="K1150" t="s">
        <v>6100</v>
      </c>
      <c r="L1150" t="s">
        <v>6100</v>
      </c>
      <c r="M1150" t="s">
        <v>6100</v>
      </c>
      <c r="N1150">
        <v>3</v>
      </c>
      <c r="O1150" t="s">
        <v>6101</v>
      </c>
      <c r="P1150" t="s">
        <v>6108</v>
      </c>
      <c r="Q1150">
        <v>2</v>
      </c>
      <c r="R1150">
        <v>2026</v>
      </c>
      <c r="S1150" t="s">
        <v>6100</v>
      </c>
      <c r="T1150">
        <v>0</v>
      </c>
      <c r="U1150" t="s">
        <v>6018</v>
      </c>
      <c r="V1150">
        <v>0</v>
      </c>
    </row>
    <row r="1151" spans="1:22" x14ac:dyDescent="0.3">
      <c r="A1151" t="s">
        <v>1166</v>
      </c>
      <c r="B1151" s="2">
        <v>46079.493750000001</v>
      </c>
      <c r="C1151" s="2">
        <v>46079.572916666664</v>
      </c>
      <c r="D1151" t="s">
        <v>6023</v>
      </c>
      <c r="E1151" t="s">
        <v>6029</v>
      </c>
      <c r="F1151" t="s">
        <v>6034</v>
      </c>
      <c r="G1151" t="s">
        <v>6082</v>
      </c>
      <c r="H1151" t="s">
        <v>6097</v>
      </c>
      <c r="I1151">
        <v>24</v>
      </c>
      <c r="J1151">
        <v>1.9</v>
      </c>
      <c r="K1151" t="s">
        <v>6099</v>
      </c>
      <c r="L1151" t="s">
        <v>6100</v>
      </c>
      <c r="M1151" t="s">
        <v>6100</v>
      </c>
      <c r="N1151">
        <v>5</v>
      </c>
      <c r="O1151" t="s">
        <v>6101</v>
      </c>
      <c r="P1151" t="s">
        <v>6108</v>
      </c>
      <c r="Q1151">
        <v>2</v>
      </c>
      <c r="R1151">
        <v>2026</v>
      </c>
      <c r="S1151" t="s">
        <v>6099</v>
      </c>
      <c r="T1151">
        <v>1</v>
      </c>
      <c r="U1151" t="s">
        <v>6017</v>
      </c>
      <c r="V1151">
        <v>1</v>
      </c>
    </row>
    <row r="1152" spans="1:22" x14ac:dyDescent="0.3">
      <c r="A1152" t="s">
        <v>1167</v>
      </c>
      <c r="B1152" s="2">
        <v>46079.622916666667</v>
      </c>
      <c r="C1152" s="2">
        <v>46080.13958333333</v>
      </c>
      <c r="D1152" t="s">
        <v>6027</v>
      </c>
      <c r="E1152" t="s">
        <v>6031</v>
      </c>
      <c r="F1152" t="s">
        <v>6035</v>
      </c>
      <c r="G1152" t="s">
        <v>6068</v>
      </c>
      <c r="H1152" t="s">
        <v>6098</v>
      </c>
      <c r="I1152">
        <v>4</v>
      </c>
      <c r="J1152">
        <v>12.4</v>
      </c>
      <c r="K1152" t="s">
        <v>6099</v>
      </c>
      <c r="L1152" t="s">
        <v>6100</v>
      </c>
      <c r="M1152" t="s">
        <v>6099</v>
      </c>
      <c r="N1152">
        <v>3</v>
      </c>
      <c r="O1152" t="s">
        <v>6101</v>
      </c>
      <c r="P1152" t="s">
        <v>6108</v>
      </c>
      <c r="Q1152">
        <v>2</v>
      </c>
      <c r="R1152">
        <v>2026</v>
      </c>
      <c r="S1152" t="s">
        <v>6100</v>
      </c>
      <c r="T1152">
        <v>0</v>
      </c>
      <c r="U1152" t="s">
        <v>6021</v>
      </c>
      <c r="V1152">
        <v>1</v>
      </c>
    </row>
    <row r="1153" spans="1:22" x14ac:dyDescent="0.3">
      <c r="A1153" t="s">
        <v>1168</v>
      </c>
      <c r="B1153" s="2">
        <v>46079.626388888886</v>
      </c>
      <c r="C1153" s="2">
        <v>46080.480555555558</v>
      </c>
      <c r="D1153" t="s">
        <v>6022</v>
      </c>
      <c r="E1153" t="s">
        <v>6032</v>
      </c>
      <c r="F1153" t="s">
        <v>6034</v>
      </c>
      <c r="G1153" t="s">
        <v>6063</v>
      </c>
      <c r="H1153" t="s">
        <v>6097</v>
      </c>
      <c r="I1153">
        <v>24</v>
      </c>
      <c r="J1153">
        <v>20.5</v>
      </c>
      <c r="K1153" t="s">
        <v>6099</v>
      </c>
      <c r="L1153" t="s">
        <v>6100</v>
      </c>
      <c r="M1153" t="s">
        <v>6100</v>
      </c>
      <c r="N1153">
        <v>5</v>
      </c>
      <c r="O1153" t="s">
        <v>6101</v>
      </c>
      <c r="P1153" t="s">
        <v>6108</v>
      </c>
      <c r="Q1153">
        <v>2</v>
      </c>
      <c r="R1153">
        <v>2026</v>
      </c>
      <c r="S1153" t="s">
        <v>6099</v>
      </c>
      <c r="T1153">
        <v>1</v>
      </c>
      <c r="U1153" t="s">
        <v>6018</v>
      </c>
      <c r="V1153">
        <v>1</v>
      </c>
    </row>
    <row r="1154" spans="1:22" x14ac:dyDescent="0.3">
      <c r="A1154" t="s">
        <v>1169</v>
      </c>
      <c r="B1154" s="2">
        <v>46079.644444444442</v>
      </c>
      <c r="C1154" s="2">
        <v>46079.948611111111</v>
      </c>
      <c r="D1154" t="s">
        <v>6024</v>
      </c>
      <c r="E1154" t="s">
        <v>6030</v>
      </c>
      <c r="F1154" t="s">
        <v>6033</v>
      </c>
      <c r="G1154" t="s">
        <v>6048</v>
      </c>
      <c r="H1154" t="s">
        <v>6096</v>
      </c>
      <c r="I1154">
        <v>72</v>
      </c>
      <c r="J1154">
        <v>7.3</v>
      </c>
      <c r="K1154" t="s">
        <v>6100</v>
      </c>
      <c r="L1154" t="s">
        <v>6100</v>
      </c>
      <c r="M1154" t="s">
        <v>6100</v>
      </c>
      <c r="N1154">
        <v>5</v>
      </c>
      <c r="O1154" t="s">
        <v>6101</v>
      </c>
      <c r="P1154" t="s">
        <v>6108</v>
      </c>
      <c r="Q1154">
        <v>2</v>
      </c>
      <c r="R1154">
        <v>2026</v>
      </c>
      <c r="S1154" t="s">
        <v>6099</v>
      </c>
      <c r="T1154">
        <v>1</v>
      </c>
      <c r="U1154" t="s">
        <v>6020</v>
      </c>
      <c r="V1154">
        <v>0</v>
      </c>
    </row>
    <row r="1155" spans="1:22" x14ac:dyDescent="0.3">
      <c r="A1155" t="s">
        <v>1170</v>
      </c>
      <c r="B1155" s="2">
        <v>46079.681944444441</v>
      </c>
      <c r="C1155" s="2">
        <v>46080.673611111109</v>
      </c>
      <c r="D1155" t="s">
        <v>6025</v>
      </c>
      <c r="E1155" t="s">
        <v>6031</v>
      </c>
      <c r="F1155" t="s">
        <v>6035</v>
      </c>
      <c r="G1155" t="s">
        <v>6093</v>
      </c>
      <c r="H1155" t="s">
        <v>6097</v>
      </c>
      <c r="I1155">
        <v>4</v>
      </c>
      <c r="J1155">
        <v>23.8</v>
      </c>
      <c r="K1155" t="s">
        <v>6099</v>
      </c>
      <c r="L1155" t="s">
        <v>6100</v>
      </c>
      <c r="M1155" t="s">
        <v>6100</v>
      </c>
      <c r="N1155">
        <v>4</v>
      </c>
      <c r="O1155" t="s">
        <v>6101</v>
      </c>
      <c r="P1155" t="s">
        <v>6108</v>
      </c>
      <c r="Q1155">
        <v>2</v>
      </c>
      <c r="R1155">
        <v>2026</v>
      </c>
      <c r="S1155" t="s">
        <v>6100</v>
      </c>
      <c r="T1155">
        <v>0</v>
      </c>
      <c r="U1155" t="s">
        <v>6021</v>
      </c>
      <c r="V1155">
        <v>1</v>
      </c>
    </row>
    <row r="1156" spans="1:22" x14ac:dyDescent="0.3">
      <c r="A1156" t="s">
        <v>1171</v>
      </c>
      <c r="B1156" s="2">
        <v>46079.688888888886</v>
      </c>
      <c r="C1156" s="2">
        <v>46079.976388888892</v>
      </c>
      <c r="D1156" t="s">
        <v>6025</v>
      </c>
      <c r="E1156" t="s">
        <v>6029</v>
      </c>
      <c r="F1156" t="s">
        <v>6033</v>
      </c>
      <c r="G1156" t="s">
        <v>6059</v>
      </c>
      <c r="H1156" t="s">
        <v>6097</v>
      </c>
      <c r="I1156">
        <v>72</v>
      </c>
      <c r="J1156">
        <v>6.9</v>
      </c>
      <c r="K1156" t="s">
        <v>6099</v>
      </c>
      <c r="L1156" t="s">
        <v>6100</v>
      </c>
      <c r="M1156" t="s">
        <v>6100</v>
      </c>
      <c r="N1156">
        <v>4</v>
      </c>
      <c r="O1156" t="s">
        <v>6101</v>
      </c>
      <c r="P1156" t="s">
        <v>6108</v>
      </c>
      <c r="Q1156">
        <v>2</v>
      </c>
      <c r="R1156">
        <v>2026</v>
      </c>
      <c r="S1156" t="s">
        <v>6099</v>
      </c>
      <c r="T1156">
        <v>1</v>
      </c>
      <c r="U1156" t="s">
        <v>6021</v>
      </c>
      <c r="V1156">
        <v>1</v>
      </c>
    </row>
    <row r="1157" spans="1:22" x14ac:dyDescent="0.3">
      <c r="A1157" t="s">
        <v>1172</v>
      </c>
      <c r="B1157" s="2">
        <v>46079.722222222219</v>
      </c>
      <c r="C1157" s="2">
        <v>46080.138888888891</v>
      </c>
      <c r="D1157" t="s">
        <v>6027</v>
      </c>
      <c r="E1157" t="s">
        <v>6029</v>
      </c>
      <c r="F1157" t="s">
        <v>6034</v>
      </c>
      <c r="G1157" t="s">
        <v>6064</v>
      </c>
      <c r="H1157" t="s">
        <v>6096</v>
      </c>
      <c r="I1157">
        <v>24</v>
      </c>
      <c r="J1157">
        <v>10</v>
      </c>
      <c r="K1157" t="s">
        <v>6099</v>
      </c>
      <c r="L1157" t="s">
        <v>6100</v>
      </c>
      <c r="M1157" t="s">
        <v>6100</v>
      </c>
      <c r="O1157" t="s">
        <v>6101</v>
      </c>
      <c r="P1157" t="s">
        <v>6108</v>
      </c>
      <c r="Q1157">
        <v>2</v>
      </c>
      <c r="R1157">
        <v>2026</v>
      </c>
      <c r="S1157" t="s">
        <v>6099</v>
      </c>
      <c r="T1157">
        <v>1</v>
      </c>
      <c r="U1157" t="s">
        <v>6018</v>
      </c>
      <c r="V1157">
        <v>1</v>
      </c>
    </row>
    <row r="1158" spans="1:22" x14ac:dyDescent="0.3">
      <c r="A1158" t="s">
        <v>1173</v>
      </c>
      <c r="B1158" s="2">
        <v>46079.724305555559</v>
      </c>
      <c r="C1158" s="2">
        <v>46080.015972222223</v>
      </c>
      <c r="D1158" t="s">
        <v>6023</v>
      </c>
      <c r="E1158" t="s">
        <v>6030</v>
      </c>
      <c r="F1158" t="s">
        <v>6035</v>
      </c>
      <c r="G1158" t="s">
        <v>6076</v>
      </c>
      <c r="H1158" t="s">
        <v>6097</v>
      </c>
      <c r="I1158">
        <v>4</v>
      </c>
      <c r="J1158">
        <v>7</v>
      </c>
      <c r="K1158" t="s">
        <v>6099</v>
      </c>
      <c r="L1158" t="s">
        <v>6100</v>
      </c>
      <c r="M1158" t="s">
        <v>6100</v>
      </c>
      <c r="N1158">
        <v>3</v>
      </c>
      <c r="O1158" t="s">
        <v>6101</v>
      </c>
      <c r="P1158" t="s">
        <v>6108</v>
      </c>
      <c r="Q1158">
        <v>2</v>
      </c>
      <c r="R1158">
        <v>2026</v>
      </c>
      <c r="S1158" t="s">
        <v>6100</v>
      </c>
      <c r="T1158">
        <v>0</v>
      </c>
      <c r="U1158" t="s">
        <v>6020</v>
      </c>
      <c r="V1158">
        <v>1</v>
      </c>
    </row>
    <row r="1159" spans="1:22" x14ac:dyDescent="0.3">
      <c r="A1159" t="s">
        <v>1174</v>
      </c>
      <c r="B1159" s="2">
        <v>46079.730555555558</v>
      </c>
      <c r="C1159" s="2">
        <v>46081.163888888892</v>
      </c>
      <c r="D1159" t="s">
        <v>6025</v>
      </c>
      <c r="E1159" t="s">
        <v>6032</v>
      </c>
      <c r="F1159" t="s">
        <v>6034</v>
      </c>
      <c r="G1159" t="s">
        <v>6038</v>
      </c>
      <c r="H1159" t="s">
        <v>6096</v>
      </c>
      <c r="I1159">
        <v>24</v>
      </c>
      <c r="J1159">
        <v>34.4</v>
      </c>
      <c r="K1159" t="s">
        <v>6099</v>
      </c>
      <c r="L1159" t="s">
        <v>6100</v>
      </c>
      <c r="M1159" t="s">
        <v>6100</v>
      </c>
      <c r="N1159">
        <v>5</v>
      </c>
      <c r="O1159" t="s">
        <v>6101</v>
      </c>
      <c r="P1159" t="s">
        <v>6108</v>
      </c>
      <c r="Q1159">
        <v>2</v>
      </c>
      <c r="R1159">
        <v>2026</v>
      </c>
      <c r="S1159" t="s">
        <v>6100</v>
      </c>
      <c r="T1159">
        <v>0</v>
      </c>
      <c r="U1159" t="s">
        <v>6020</v>
      </c>
      <c r="V1159">
        <v>1</v>
      </c>
    </row>
    <row r="1160" spans="1:22" x14ac:dyDescent="0.3">
      <c r="A1160" t="s">
        <v>1175</v>
      </c>
      <c r="B1160" s="2">
        <v>46079.773611111108</v>
      </c>
      <c r="C1160" s="2">
        <v>46080.661111111112</v>
      </c>
      <c r="D1160" t="s">
        <v>6025</v>
      </c>
      <c r="E1160" t="s">
        <v>6030</v>
      </c>
      <c r="F1160" t="s">
        <v>6035</v>
      </c>
      <c r="G1160" t="s">
        <v>6041</v>
      </c>
      <c r="H1160" t="s">
        <v>6096</v>
      </c>
      <c r="I1160">
        <v>4</v>
      </c>
      <c r="J1160">
        <v>21.3</v>
      </c>
      <c r="K1160" t="s">
        <v>6100</v>
      </c>
      <c r="L1160" t="s">
        <v>6099</v>
      </c>
      <c r="M1160" t="s">
        <v>6100</v>
      </c>
      <c r="N1160">
        <v>2</v>
      </c>
      <c r="O1160" t="s">
        <v>6101</v>
      </c>
      <c r="P1160" t="s">
        <v>6108</v>
      </c>
      <c r="Q1160">
        <v>2</v>
      </c>
      <c r="R1160">
        <v>2026</v>
      </c>
      <c r="S1160" t="s">
        <v>6100</v>
      </c>
      <c r="T1160">
        <v>0</v>
      </c>
      <c r="U1160" t="s">
        <v>6019</v>
      </c>
      <c r="V1160">
        <v>0</v>
      </c>
    </row>
    <row r="1161" spans="1:22" x14ac:dyDescent="0.3">
      <c r="A1161" t="s">
        <v>1176</v>
      </c>
      <c r="B1161" s="2">
        <v>46079.867361111108</v>
      </c>
      <c r="C1161" s="2">
        <v>46080.125694444447</v>
      </c>
      <c r="D1161" t="s">
        <v>6025</v>
      </c>
      <c r="E1161" t="s">
        <v>6030</v>
      </c>
      <c r="F1161" t="s">
        <v>6034</v>
      </c>
      <c r="G1161" t="s">
        <v>6048</v>
      </c>
      <c r="H1161" t="s">
        <v>6096</v>
      </c>
      <c r="I1161">
        <v>24</v>
      </c>
      <c r="J1161">
        <v>6.2</v>
      </c>
      <c r="K1161" t="s">
        <v>6100</v>
      </c>
      <c r="L1161" t="s">
        <v>6100</v>
      </c>
      <c r="M1161" t="s">
        <v>6100</v>
      </c>
      <c r="N1161">
        <v>5</v>
      </c>
      <c r="O1161" t="s">
        <v>6101</v>
      </c>
      <c r="P1161" t="s">
        <v>6108</v>
      </c>
      <c r="Q1161">
        <v>2</v>
      </c>
      <c r="R1161">
        <v>2026</v>
      </c>
      <c r="S1161" t="s">
        <v>6099</v>
      </c>
      <c r="T1161">
        <v>1</v>
      </c>
      <c r="U1161" t="s">
        <v>6021</v>
      </c>
      <c r="V1161">
        <v>0</v>
      </c>
    </row>
    <row r="1162" spans="1:22" x14ac:dyDescent="0.3">
      <c r="A1162" t="s">
        <v>1177</v>
      </c>
      <c r="B1162" s="2">
        <v>46080.148611111108</v>
      </c>
      <c r="C1162" s="2">
        <v>46080.490277777775</v>
      </c>
      <c r="D1162" t="s">
        <v>6028</v>
      </c>
      <c r="E1162" t="s">
        <v>6031</v>
      </c>
      <c r="F1162" t="s">
        <v>6033</v>
      </c>
      <c r="G1162" t="s">
        <v>6065</v>
      </c>
      <c r="H1162" t="s">
        <v>6097</v>
      </c>
      <c r="I1162">
        <v>72</v>
      </c>
      <c r="J1162">
        <v>8.1999999999999993</v>
      </c>
      <c r="K1162" t="s">
        <v>6099</v>
      </c>
      <c r="L1162" t="s">
        <v>6100</v>
      </c>
      <c r="M1162" t="s">
        <v>6100</v>
      </c>
      <c r="O1162" t="s">
        <v>6101</v>
      </c>
      <c r="P1162" t="s">
        <v>6108</v>
      </c>
      <c r="Q1162">
        <v>2</v>
      </c>
      <c r="R1162">
        <v>2026</v>
      </c>
      <c r="S1162" t="s">
        <v>6099</v>
      </c>
      <c r="T1162">
        <v>1</v>
      </c>
      <c r="U1162" t="s">
        <v>6020</v>
      </c>
      <c r="V1162">
        <v>1</v>
      </c>
    </row>
    <row r="1163" spans="1:22" x14ac:dyDescent="0.3">
      <c r="A1163" t="s">
        <v>1178</v>
      </c>
      <c r="B1163" s="2">
        <v>46080.174305555556</v>
      </c>
      <c r="C1163" s="2">
        <v>46083.095138888886</v>
      </c>
      <c r="D1163" t="s">
        <v>6026</v>
      </c>
      <c r="E1163" t="s">
        <v>6030</v>
      </c>
      <c r="F1163" t="s">
        <v>6033</v>
      </c>
      <c r="G1163" t="s">
        <v>6050</v>
      </c>
      <c r="H1163" t="s">
        <v>6098</v>
      </c>
      <c r="I1163">
        <v>72</v>
      </c>
      <c r="J1163">
        <v>70.099999999999994</v>
      </c>
      <c r="K1163" t="s">
        <v>6099</v>
      </c>
      <c r="L1163" t="s">
        <v>6100</v>
      </c>
      <c r="M1163" t="s">
        <v>6099</v>
      </c>
      <c r="N1163">
        <v>5</v>
      </c>
      <c r="O1163" t="s">
        <v>6101</v>
      </c>
      <c r="P1163" t="s">
        <v>6108</v>
      </c>
      <c r="Q1163">
        <v>2</v>
      </c>
      <c r="R1163">
        <v>2026</v>
      </c>
      <c r="S1163" t="s">
        <v>6099</v>
      </c>
      <c r="T1163">
        <v>1</v>
      </c>
      <c r="U1163" t="s">
        <v>6019</v>
      </c>
      <c r="V1163">
        <v>1</v>
      </c>
    </row>
    <row r="1164" spans="1:22" x14ac:dyDescent="0.3">
      <c r="A1164" t="s">
        <v>1179</v>
      </c>
      <c r="B1164" s="2">
        <v>46080.197916666664</v>
      </c>
      <c r="C1164" s="2">
        <v>46080.489583333336</v>
      </c>
      <c r="D1164" t="s">
        <v>6023</v>
      </c>
      <c r="E1164" t="s">
        <v>6029</v>
      </c>
      <c r="F1164" t="s">
        <v>6034</v>
      </c>
      <c r="G1164" t="s">
        <v>6067</v>
      </c>
      <c r="H1164" t="s">
        <v>6098</v>
      </c>
      <c r="I1164">
        <v>24</v>
      </c>
      <c r="J1164">
        <v>7</v>
      </c>
      <c r="K1164" t="s">
        <v>6100</v>
      </c>
      <c r="L1164" t="s">
        <v>6099</v>
      </c>
      <c r="M1164" t="s">
        <v>6100</v>
      </c>
      <c r="N1164">
        <v>4</v>
      </c>
      <c r="O1164" t="s">
        <v>6101</v>
      </c>
      <c r="P1164" t="s">
        <v>6108</v>
      </c>
      <c r="Q1164">
        <v>2</v>
      </c>
      <c r="R1164">
        <v>2026</v>
      </c>
      <c r="S1164" t="s">
        <v>6099</v>
      </c>
      <c r="T1164">
        <v>1</v>
      </c>
      <c r="U1164" t="s">
        <v>6021</v>
      </c>
      <c r="V1164">
        <v>0</v>
      </c>
    </row>
    <row r="1165" spans="1:22" x14ac:dyDescent="0.3">
      <c r="A1165" t="s">
        <v>1180</v>
      </c>
      <c r="B1165" s="2">
        <v>46080.222916666666</v>
      </c>
      <c r="C1165" s="2">
        <v>46081.818749999999</v>
      </c>
      <c r="D1165" t="s">
        <v>6022</v>
      </c>
      <c r="E1165" t="s">
        <v>6029</v>
      </c>
      <c r="F1165" t="s">
        <v>6033</v>
      </c>
      <c r="G1165" t="s">
        <v>6038</v>
      </c>
      <c r="H1165" t="s">
        <v>6096</v>
      </c>
      <c r="I1165">
        <v>72</v>
      </c>
      <c r="J1165">
        <v>38.299999999999997</v>
      </c>
      <c r="K1165" t="s">
        <v>6100</v>
      </c>
      <c r="L1165" t="s">
        <v>6099</v>
      </c>
      <c r="M1165" t="s">
        <v>6100</v>
      </c>
      <c r="O1165" t="s">
        <v>6101</v>
      </c>
      <c r="P1165" t="s">
        <v>6108</v>
      </c>
      <c r="Q1165">
        <v>2</v>
      </c>
      <c r="R1165">
        <v>2026</v>
      </c>
      <c r="S1165" t="s">
        <v>6099</v>
      </c>
      <c r="T1165">
        <v>1</v>
      </c>
      <c r="U1165" t="s">
        <v>6019</v>
      </c>
      <c r="V1165">
        <v>0</v>
      </c>
    </row>
    <row r="1166" spans="1:22" x14ac:dyDescent="0.3">
      <c r="A1166" t="s">
        <v>1181</v>
      </c>
      <c r="B1166" s="2">
        <v>46080.258333333331</v>
      </c>
      <c r="C1166" s="2">
        <v>46080.745833333334</v>
      </c>
      <c r="D1166" t="s">
        <v>6025</v>
      </c>
      <c r="E1166" t="s">
        <v>6031</v>
      </c>
      <c r="F1166" t="s">
        <v>6035</v>
      </c>
      <c r="G1166" t="s">
        <v>6063</v>
      </c>
      <c r="H1166" t="s">
        <v>6097</v>
      </c>
      <c r="I1166">
        <v>4</v>
      </c>
      <c r="J1166">
        <v>11.7</v>
      </c>
      <c r="K1166" t="s">
        <v>6099</v>
      </c>
      <c r="L1166" t="s">
        <v>6100</v>
      </c>
      <c r="M1166" t="s">
        <v>6100</v>
      </c>
      <c r="O1166" t="s">
        <v>6101</v>
      </c>
      <c r="P1166" t="s">
        <v>6108</v>
      </c>
      <c r="Q1166">
        <v>2</v>
      </c>
      <c r="R1166">
        <v>2026</v>
      </c>
      <c r="S1166" t="s">
        <v>6100</v>
      </c>
      <c r="T1166">
        <v>0</v>
      </c>
      <c r="U1166" t="s">
        <v>6021</v>
      </c>
      <c r="V1166">
        <v>1</v>
      </c>
    </row>
    <row r="1167" spans="1:22" x14ac:dyDescent="0.3">
      <c r="A1167" t="s">
        <v>1182</v>
      </c>
      <c r="B1167" s="2">
        <v>46080.365277777775</v>
      </c>
      <c r="C1167" s="2">
        <v>46080.677777777775</v>
      </c>
      <c r="D1167" t="s">
        <v>6023</v>
      </c>
      <c r="E1167" t="s">
        <v>6029</v>
      </c>
      <c r="F1167" t="s">
        <v>6033</v>
      </c>
      <c r="G1167" t="s">
        <v>6039</v>
      </c>
      <c r="H1167" t="s">
        <v>6097</v>
      </c>
      <c r="I1167">
        <v>72</v>
      </c>
      <c r="J1167">
        <v>7.5</v>
      </c>
      <c r="K1167" t="s">
        <v>6099</v>
      </c>
      <c r="L1167" t="s">
        <v>6100</v>
      </c>
      <c r="M1167" t="s">
        <v>6100</v>
      </c>
      <c r="N1167">
        <v>5</v>
      </c>
      <c r="O1167" t="s">
        <v>6101</v>
      </c>
      <c r="P1167" t="s">
        <v>6108</v>
      </c>
      <c r="Q1167">
        <v>2</v>
      </c>
      <c r="R1167">
        <v>2026</v>
      </c>
      <c r="S1167" t="s">
        <v>6099</v>
      </c>
      <c r="T1167">
        <v>1</v>
      </c>
      <c r="U1167" t="s">
        <v>6019</v>
      </c>
      <c r="V1167">
        <v>1</v>
      </c>
    </row>
    <row r="1168" spans="1:22" x14ac:dyDescent="0.3">
      <c r="A1168" t="s">
        <v>1183</v>
      </c>
      <c r="B1168" s="2">
        <v>46080.379166666666</v>
      </c>
      <c r="C1168" s="2">
        <v>46080.758333333331</v>
      </c>
      <c r="D1168" t="s">
        <v>6028</v>
      </c>
      <c r="E1168" t="s">
        <v>6029</v>
      </c>
      <c r="F1168" t="s">
        <v>6034</v>
      </c>
      <c r="G1168" t="s">
        <v>6088</v>
      </c>
      <c r="H1168" t="s">
        <v>6097</v>
      </c>
      <c r="I1168">
        <v>24</v>
      </c>
      <c r="J1168">
        <v>9.1</v>
      </c>
      <c r="K1168" t="s">
        <v>6099</v>
      </c>
      <c r="L1168" t="s">
        <v>6100</v>
      </c>
      <c r="M1168" t="s">
        <v>6100</v>
      </c>
      <c r="N1168">
        <v>4</v>
      </c>
      <c r="O1168" t="s">
        <v>6101</v>
      </c>
      <c r="P1168" t="s">
        <v>6108</v>
      </c>
      <c r="Q1168">
        <v>2</v>
      </c>
      <c r="R1168">
        <v>2026</v>
      </c>
      <c r="S1168" t="s">
        <v>6099</v>
      </c>
      <c r="T1168">
        <v>1</v>
      </c>
      <c r="U1168" t="s">
        <v>6021</v>
      </c>
      <c r="V1168">
        <v>1</v>
      </c>
    </row>
    <row r="1169" spans="1:22" x14ac:dyDescent="0.3">
      <c r="A1169" t="s">
        <v>1184</v>
      </c>
      <c r="B1169" s="2">
        <v>46080.429861111108</v>
      </c>
      <c r="C1169" s="2">
        <v>46080.500694444447</v>
      </c>
      <c r="D1169" t="s">
        <v>6023</v>
      </c>
      <c r="E1169" t="s">
        <v>6030</v>
      </c>
      <c r="F1169" t="s">
        <v>6034</v>
      </c>
      <c r="G1169" t="s">
        <v>6090</v>
      </c>
      <c r="H1169" t="s">
        <v>6097</v>
      </c>
      <c r="I1169">
        <v>24</v>
      </c>
      <c r="J1169">
        <v>1.7</v>
      </c>
      <c r="K1169" t="s">
        <v>6099</v>
      </c>
      <c r="L1169" t="s">
        <v>6100</v>
      </c>
      <c r="M1169" t="s">
        <v>6100</v>
      </c>
      <c r="O1169" t="s">
        <v>6101</v>
      </c>
      <c r="P1169" t="s">
        <v>6108</v>
      </c>
      <c r="Q1169">
        <v>2</v>
      </c>
      <c r="R1169">
        <v>2026</v>
      </c>
      <c r="S1169" t="s">
        <v>6099</v>
      </c>
      <c r="T1169">
        <v>1</v>
      </c>
      <c r="U1169" t="s">
        <v>6020</v>
      </c>
      <c r="V1169">
        <v>1</v>
      </c>
    </row>
    <row r="1170" spans="1:22" x14ac:dyDescent="0.3">
      <c r="A1170" t="s">
        <v>1185</v>
      </c>
      <c r="B1170" s="2">
        <v>46080.459027777775</v>
      </c>
      <c r="C1170" s="2">
        <v>46081.142361111109</v>
      </c>
      <c r="D1170" t="s">
        <v>6025</v>
      </c>
      <c r="E1170" t="s">
        <v>6031</v>
      </c>
      <c r="F1170" t="s">
        <v>6034</v>
      </c>
      <c r="G1170" t="s">
        <v>6094</v>
      </c>
      <c r="H1170" t="s">
        <v>6098</v>
      </c>
      <c r="I1170">
        <v>24</v>
      </c>
      <c r="J1170">
        <v>16.399999999999999</v>
      </c>
      <c r="K1170" t="s">
        <v>6099</v>
      </c>
      <c r="L1170" t="s">
        <v>6100</v>
      </c>
      <c r="M1170" t="s">
        <v>6100</v>
      </c>
      <c r="O1170" t="s">
        <v>6101</v>
      </c>
      <c r="P1170" t="s">
        <v>6108</v>
      </c>
      <c r="Q1170">
        <v>2</v>
      </c>
      <c r="R1170">
        <v>2026</v>
      </c>
      <c r="S1170" t="s">
        <v>6099</v>
      </c>
      <c r="T1170">
        <v>1</v>
      </c>
      <c r="U1170" t="s">
        <v>6020</v>
      </c>
      <c r="V1170">
        <v>1</v>
      </c>
    </row>
    <row r="1171" spans="1:22" x14ac:dyDescent="0.3">
      <c r="A1171" t="s">
        <v>1186</v>
      </c>
      <c r="B1171" s="2">
        <v>46080.459027777775</v>
      </c>
      <c r="C1171" s="2">
        <v>46081.338194444441</v>
      </c>
      <c r="D1171" t="s">
        <v>6025</v>
      </c>
      <c r="E1171" t="s">
        <v>6030</v>
      </c>
      <c r="F1171" t="s">
        <v>6033</v>
      </c>
      <c r="G1171" t="s">
        <v>6036</v>
      </c>
      <c r="H1171" t="s">
        <v>6096</v>
      </c>
      <c r="I1171">
        <v>72</v>
      </c>
      <c r="J1171">
        <v>21.1</v>
      </c>
      <c r="K1171" t="s">
        <v>6100</v>
      </c>
      <c r="L1171" t="s">
        <v>6100</v>
      </c>
      <c r="M1171" t="s">
        <v>6100</v>
      </c>
      <c r="N1171">
        <v>4</v>
      </c>
      <c r="O1171" t="s">
        <v>6101</v>
      </c>
      <c r="P1171" t="s">
        <v>6108</v>
      </c>
      <c r="Q1171">
        <v>2</v>
      </c>
      <c r="R1171">
        <v>2026</v>
      </c>
      <c r="S1171" t="s">
        <v>6099</v>
      </c>
      <c r="T1171">
        <v>1</v>
      </c>
      <c r="U1171" t="s">
        <v>6020</v>
      </c>
      <c r="V1171">
        <v>0</v>
      </c>
    </row>
    <row r="1172" spans="1:22" x14ac:dyDescent="0.3">
      <c r="A1172" t="s">
        <v>1187</v>
      </c>
      <c r="B1172" s="2">
        <v>46080.488194444442</v>
      </c>
      <c r="C1172" s="2">
        <v>46080.800694444442</v>
      </c>
      <c r="D1172" t="s">
        <v>6023</v>
      </c>
      <c r="E1172" t="s">
        <v>6030</v>
      </c>
      <c r="F1172" t="s">
        <v>6033</v>
      </c>
      <c r="G1172" t="s">
        <v>6081</v>
      </c>
      <c r="H1172" t="s">
        <v>6098</v>
      </c>
      <c r="I1172">
        <v>72</v>
      </c>
      <c r="J1172">
        <v>7.5</v>
      </c>
      <c r="K1172" t="s">
        <v>6099</v>
      </c>
      <c r="L1172" t="s">
        <v>6100</v>
      </c>
      <c r="M1172" t="s">
        <v>6100</v>
      </c>
      <c r="N1172">
        <v>4</v>
      </c>
      <c r="O1172" t="s">
        <v>6101</v>
      </c>
      <c r="P1172" t="s">
        <v>6108</v>
      </c>
      <c r="Q1172">
        <v>2</v>
      </c>
      <c r="R1172">
        <v>2026</v>
      </c>
      <c r="S1172" t="s">
        <v>6099</v>
      </c>
      <c r="T1172">
        <v>1</v>
      </c>
      <c r="U1172" t="s">
        <v>6019</v>
      </c>
      <c r="V1172">
        <v>1</v>
      </c>
    </row>
    <row r="1173" spans="1:22" x14ac:dyDescent="0.3">
      <c r="A1173" t="s">
        <v>1188</v>
      </c>
      <c r="B1173" s="2">
        <v>46080.525694444441</v>
      </c>
      <c r="C1173" s="2">
        <v>46082.013194444444</v>
      </c>
      <c r="D1173" t="s">
        <v>6022</v>
      </c>
      <c r="E1173" t="s">
        <v>6032</v>
      </c>
      <c r="F1173" t="s">
        <v>6034</v>
      </c>
      <c r="G1173" t="s">
        <v>6073</v>
      </c>
      <c r="H1173" t="s">
        <v>6096</v>
      </c>
      <c r="I1173">
        <v>24</v>
      </c>
      <c r="J1173">
        <v>35.700000000000003</v>
      </c>
      <c r="K1173" t="s">
        <v>6099</v>
      </c>
      <c r="L1173" t="s">
        <v>6100</v>
      </c>
      <c r="M1173" t="s">
        <v>6100</v>
      </c>
      <c r="O1173" t="s">
        <v>6101</v>
      </c>
      <c r="P1173" t="s">
        <v>6108</v>
      </c>
      <c r="Q1173">
        <v>2</v>
      </c>
      <c r="R1173">
        <v>2026</v>
      </c>
      <c r="S1173" t="s">
        <v>6100</v>
      </c>
      <c r="T1173">
        <v>0</v>
      </c>
      <c r="U1173" t="s">
        <v>6020</v>
      </c>
      <c r="V1173">
        <v>1</v>
      </c>
    </row>
    <row r="1174" spans="1:22" x14ac:dyDescent="0.3">
      <c r="A1174" t="s">
        <v>1189</v>
      </c>
      <c r="B1174" s="2">
        <v>46080.538888888892</v>
      </c>
      <c r="C1174" s="2">
        <v>46081.001388888886</v>
      </c>
      <c r="D1174" t="s">
        <v>6024</v>
      </c>
      <c r="E1174" t="s">
        <v>6029</v>
      </c>
      <c r="F1174" t="s">
        <v>6033</v>
      </c>
      <c r="G1174" t="s">
        <v>6087</v>
      </c>
      <c r="H1174" t="s">
        <v>6098</v>
      </c>
      <c r="I1174">
        <v>72</v>
      </c>
      <c r="J1174">
        <v>11.1</v>
      </c>
      <c r="K1174" t="s">
        <v>6099</v>
      </c>
      <c r="L1174" t="s">
        <v>6100</v>
      </c>
      <c r="M1174" t="s">
        <v>6100</v>
      </c>
      <c r="N1174">
        <v>5</v>
      </c>
      <c r="O1174" t="s">
        <v>6101</v>
      </c>
      <c r="P1174" t="s">
        <v>6108</v>
      </c>
      <c r="Q1174">
        <v>2</v>
      </c>
      <c r="R1174">
        <v>2026</v>
      </c>
      <c r="S1174" t="s">
        <v>6099</v>
      </c>
      <c r="T1174">
        <v>1</v>
      </c>
      <c r="U1174" t="s">
        <v>6021</v>
      </c>
      <c r="V1174">
        <v>1</v>
      </c>
    </row>
    <row r="1175" spans="1:22" x14ac:dyDescent="0.3">
      <c r="A1175" t="s">
        <v>1190</v>
      </c>
      <c r="B1175" s="2">
        <v>46080.552083333336</v>
      </c>
      <c r="C1175" s="2">
        <v>46082.947916666664</v>
      </c>
      <c r="D1175" t="s">
        <v>6025</v>
      </c>
      <c r="E1175" t="s">
        <v>6032</v>
      </c>
      <c r="F1175" t="s">
        <v>6034</v>
      </c>
      <c r="G1175" t="s">
        <v>6056</v>
      </c>
      <c r="H1175" t="s">
        <v>6098</v>
      </c>
      <c r="I1175">
        <v>24</v>
      </c>
      <c r="J1175">
        <v>57.5</v>
      </c>
      <c r="K1175" t="s">
        <v>6099</v>
      </c>
      <c r="L1175" t="s">
        <v>6100</v>
      </c>
      <c r="M1175" t="s">
        <v>6100</v>
      </c>
      <c r="O1175" t="s">
        <v>6101</v>
      </c>
      <c r="P1175" t="s">
        <v>6108</v>
      </c>
      <c r="Q1175">
        <v>2</v>
      </c>
      <c r="R1175">
        <v>2026</v>
      </c>
      <c r="S1175" t="s">
        <v>6100</v>
      </c>
      <c r="T1175">
        <v>0</v>
      </c>
      <c r="U1175" t="s">
        <v>6018</v>
      </c>
      <c r="V1175">
        <v>1</v>
      </c>
    </row>
    <row r="1176" spans="1:22" x14ac:dyDescent="0.3">
      <c r="A1176" t="s">
        <v>1191</v>
      </c>
      <c r="B1176" s="2">
        <v>46080.620138888888</v>
      </c>
      <c r="C1176" s="2">
        <v>46080.870138888888</v>
      </c>
      <c r="D1176" t="s">
        <v>6023</v>
      </c>
      <c r="E1176" t="s">
        <v>6029</v>
      </c>
      <c r="F1176" t="s">
        <v>6033</v>
      </c>
      <c r="G1176" t="s">
        <v>6045</v>
      </c>
      <c r="H1176" t="s">
        <v>6096</v>
      </c>
      <c r="I1176">
        <v>72</v>
      </c>
      <c r="J1176">
        <v>6</v>
      </c>
      <c r="K1176" t="s">
        <v>6100</v>
      </c>
      <c r="L1176" t="s">
        <v>6099</v>
      </c>
      <c r="M1176" t="s">
        <v>6100</v>
      </c>
      <c r="N1176">
        <v>3</v>
      </c>
      <c r="O1176" t="s">
        <v>6101</v>
      </c>
      <c r="P1176" t="s">
        <v>6108</v>
      </c>
      <c r="Q1176">
        <v>2</v>
      </c>
      <c r="R1176">
        <v>2026</v>
      </c>
      <c r="S1176" t="s">
        <v>6099</v>
      </c>
      <c r="T1176">
        <v>1</v>
      </c>
      <c r="U1176" t="s">
        <v>6018</v>
      </c>
      <c r="V1176">
        <v>0</v>
      </c>
    </row>
    <row r="1177" spans="1:22" x14ac:dyDescent="0.3">
      <c r="A1177" t="s">
        <v>1192</v>
      </c>
      <c r="B1177" s="2">
        <v>46080.643750000003</v>
      </c>
      <c r="C1177" s="2">
        <v>46081.76458333333</v>
      </c>
      <c r="D1177" t="s">
        <v>6023</v>
      </c>
      <c r="E1177" t="s">
        <v>6032</v>
      </c>
      <c r="F1177" t="s">
        <v>6034</v>
      </c>
      <c r="G1177" t="s">
        <v>6036</v>
      </c>
      <c r="H1177" t="s">
        <v>6096</v>
      </c>
      <c r="I1177">
        <v>24</v>
      </c>
      <c r="J1177">
        <v>26.9</v>
      </c>
      <c r="K1177" t="s">
        <v>6099</v>
      </c>
      <c r="L1177" t="s">
        <v>6100</v>
      </c>
      <c r="M1177" t="s">
        <v>6100</v>
      </c>
      <c r="O1177" t="s">
        <v>6101</v>
      </c>
      <c r="P1177" t="s">
        <v>6108</v>
      </c>
      <c r="Q1177">
        <v>2</v>
      </c>
      <c r="R1177">
        <v>2026</v>
      </c>
      <c r="S1177" t="s">
        <v>6100</v>
      </c>
      <c r="T1177">
        <v>0</v>
      </c>
      <c r="U1177" t="s">
        <v>6020</v>
      </c>
      <c r="V1177">
        <v>1</v>
      </c>
    </row>
    <row r="1178" spans="1:22" x14ac:dyDescent="0.3">
      <c r="A1178" t="s">
        <v>1193</v>
      </c>
      <c r="B1178" s="2">
        <v>46080.65625</v>
      </c>
      <c r="C1178" s="2">
        <v>46080.931250000001</v>
      </c>
      <c r="D1178" t="s">
        <v>6023</v>
      </c>
      <c r="E1178" t="s">
        <v>6030</v>
      </c>
      <c r="F1178" t="s">
        <v>6034</v>
      </c>
      <c r="G1178" t="s">
        <v>6089</v>
      </c>
      <c r="H1178" t="s">
        <v>6098</v>
      </c>
      <c r="I1178">
        <v>24</v>
      </c>
      <c r="J1178">
        <v>6.6</v>
      </c>
      <c r="K1178" t="s">
        <v>6100</v>
      </c>
      <c r="L1178" t="s">
        <v>6099</v>
      </c>
      <c r="M1178" t="s">
        <v>6100</v>
      </c>
      <c r="N1178">
        <v>3</v>
      </c>
      <c r="O1178" t="s">
        <v>6101</v>
      </c>
      <c r="P1178" t="s">
        <v>6108</v>
      </c>
      <c r="Q1178">
        <v>2</v>
      </c>
      <c r="R1178">
        <v>2026</v>
      </c>
      <c r="S1178" t="s">
        <v>6099</v>
      </c>
      <c r="T1178">
        <v>1</v>
      </c>
      <c r="U1178" t="s">
        <v>6017</v>
      </c>
      <c r="V1178">
        <v>0</v>
      </c>
    </row>
    <row r="1179" spans="1:22" x14ac:dyDescent="0.3">
      <c r="A1179" t="s">
        <v>1194</v>
      </c>
      <c r="B1179" s="2">
        <v>46080.677777777775</v>
      </c>
      <c r="C1179" s="2">
        <v>46080.756944444445</v>
      </c>
      <c r="D1179" t="s">
        <v>6022</v>
      </c>
      <c r="E1179" t="s">
        <v>6030</v>
      </c>
      <c r="F1179" t="s">
        <v>6033</v>
      </c>
      <c r="G1179" t="s">
        <v>6053</v>
      </c>
      <c r="H1179" t="s">
        <v>6097</v>
      </c>
      <c r="I1179">
        <v>72</v>
      </c>
      <c r="J1179">
        <v>1.9</v>
      </c>
      <c r="K1179" t="s">
        <v>6099</v>
      </c>
      <c r="L1179" t="s">
        <v>6100</v>
      </c>
      <c r="M1179" t="s">
        <v>6100</v>
      </c>
      <c r="N1179">
        <v>3</v>
      </c>
      <c r="O1179" t="s">
        <v>6101</v>
      </c>
      <c r="P1179" t="s">
        <v>6108</v>
      </c>
      <c r="Q1179">
        <v>2</v>
      </c>
      <c r="R1179">
        <v>2026</v>
      </c>
      <c r="S1179" t="s">
        <v>6099</v>
      </c>
      <c r="T1179">
        <v>1</v>
      </c>
      <c r="U1179" t="s">
        <v>6017</v>
      </c>
      <c r="V1179">
        <v>1</v>
      </c>
    </row>
    <row r="1180" spans="1:22" x14ac:dyDescent="0.3">
      <c r="A1180" t="s">
        <v>1195</v>
      </c>
      <c r="B1180" s="2">
        <v>46080.688888888886</v>
      </c>
      <c r="C1180" s="2">
        <v>46080.884722222225</v>
      </c>
      <c r="D1180" t="s">
        <v>6023</v>
      </c>
      <c r="E1180" t="s">
        <v>6029</v>
      </c>
      <c r="F1180" t="s">
        <v>6034</v>
      </c>
      <c r="G1180" t="s">
        <v>6039</v>
      </c>
      <c r="H1180" t="s">
        <v>6097</v>
      </c>
      <c r="I1180">
        <v>24</v>
      </c>
      <c r="J1180">
        <v>4.7</v>
      </c>
      <c r="K1180" t="s">
        <v>6100</v>
      </c>
      <c r="L1180" t="s">
        <v>6099</v>
      </c>
      <c r="M1180" t="s">
        <v>6100</v>
      </c>
      <c r="N1180">
        <v>4</v>
      </c>
      <c r="O1180" t="s">
        <v>6101</v>
      </c>
      <c r="P1180" t="s">
        <v>6108</v>
      </c>
      <c r="Q1180">
        <v>2</v>
      </c>
      <c r="R1180">
        <v>2026</v>
      </c>
      <c r="S1180" t="s">
        <v>6099</v>
      </c>
      <c r="T1180">
        <v>1</v>
      </c>
      <c r="U1180" t="s">
        <v>6019</v>
      </c>
      <c r="V1180">
        <v>0</v>
      </c>
    </row>
    <row r="1181" spans="1:22" x14ac:dyDescent="0.3">
      <c r="A1181" t="s">
        <v>1196</v>
      </c>
      <c r="B1181" s="2">
        <v>46080.709027777775</v>
      </c>
      <c r="C1181" s="2">
        <v>46081.47152777778</v>
      </c>
      <c r="D1181" t="s">
        <v>6024</v>
      </c>
      <c r="E1181" t="s">
        <v>6029</v>
      </c>
      <c r="F1181" t="s">
        <v>6034</v>
      </c>
      <c r="G1181" t="s">
        <v>6037</v>
      </c>
      <c r="H1181" t="s">
        <v>6096</v>
      </c>
      <c r="I1181">
        <v>24</v>
      </c>
      <c r="J1181">
        <v>18.3</v>
      </c>
      <c r="K1181" t="s">
        <v>6099</v>
      </c>
      <c r="L1181" t="s">
        <v>6100</v>
      </c>
      <c r="M1181" t="s">
        <v>6100</v>
      </c>
      <c r="N1181">
        <v>5</v>
      </c>
      <c r="O1181" t="s">
        <v>6101</v>
      </c>
      <c r="P1181" t="s">
        <v>6108</v>
      </c>
      <c r="Q1181">
        <v>2</v>
      </c>
      <c r="R1181">
        <v>2026</v>
      </c>
      <c r="S1181" t="s">
        <v>6099</v>
      </c>
      <c r="T1181">
        <v>1</v>
      </c>
      <c r="U1181" t="s">
        <v>6017</v>
      </c>
      <c r="V1181">
        <v>1</v>
      </c>
    </row>
    <row r="1182" spans="1:22" x14ac:dyDescent="0.3">
      <c r="A1182" t="s">
        <v>1197</v>
      </c>
      <c r="B1182" s="2">
        <v>46080.711805555555</v>
      </c>
      <c r="C1182" s="2">
        <v>46081.286805555559</v>
      </c>
      <c r="D1182" t="s">
        <v>6028</v>
      </c>
      <c r="E1182" t="s">
        <v>6029</v>
      </c>
      <c r="F1182" t="s">
        <v>6035</v>
      </c>
      <c r="G1182" t="s">
        <v>6060</v>
      </c>
      <c r="H1182" t="s">
        <v>6097</v>
      </c>
      <c r="I1182">
        <v>4</v>
      </c>
      <c r="J1182">
        <v>13.8</v>
      </c>
      <c r="K1182" t="s">
        <v>6099</v>
      </c>
      <c r="L1182" t="s">
        <v>6100</v>
      </c>
      <c r="M1182" t="s">
        <v>6100</v>
      </c>
      <c r="N1182">
        <v>5</v>
      </c>
      <c r="O1182" t="s">
        <v>6101</v>
      </c>
      <c r="P1182" t="s">
        <v>6108</v>
      </c>
      <c r="Q1182">
        <v>2</v>
      </c>
      <c r="R1182">
        <v>2026</v>
      </c>
      <c r="S1182" t="s">
        <v>6100</v>
      </c>
      <c r="T1182">
        <v>0</v>
      </c>
      <c r="U1182" t="s">
        <v>6020</v>
      </c>
      <c r="V1182">
        <v>1</v>
      </c>
    </row>
    <row r="1183" spans="1:22" x14ac:dyDescent="0.3">
      <c r="A1183" t="s">
        <v>1198</v>
      </c>
      <c r="B1183" s="2">
        <v>46080.714583333334</v>
      </c>
      <c r="C1183" s="2">
        <v>46081.352083333331</v>
      </c>
      <c r="D1183" t="s">
        <v>6028</v>
      </c>
      <c r="E1183" t="s">
        <v>6031</v>
      </c>
      <c r="F1183" t="s">
        <v>6035</v>
      </c>
      <c r="G1183" t="s">
        <v>6076</v>
      </c>
      <c r="H1183" t="s">
        <v>6097</v>
      </c>
      <c r="I1183">
        <v>4</v>
      </c>
      <c r="J1183">
        <v>15.3</v>
      </c>
      <c r="K1183" t="s">
        <v>6100</v>
      </c>
      <c r="L1183" t="s">
        <v>6099</v>
      </c>
      <c r="M1183" t="s">
        <v>6100</v>
      </c>
      <c r="O1183" t="s">
        <v>6101</v>
      </c>
      <c r="P1183" t="s">
        <v>6108</v>
      </c>
      <c r="Q1183">
        <v>2</v>
      </c>
      <c r="R1183">
        <v>2026</v>
      </c>
      <c r="S1183" t="s">
        <v>6100</v>
      </c>
      <c r="T1183">
        <v>0</v>
      </c>
      <c r="U1183" t="s">
        <v>6021</v>
      </c>
      <c r="V1183">
        <v>0</v>
      </c>
    </row>
    <row r="1184" spans="1:22" x14ac:dyDescent="0.3">
      <c r="A1184" t="s">
        <v>1199</v>
      </c>
      <c r="B1184" s="2">
        <v>46080.825694444444</v>
      </c>
      <c r="C1184" s="2">
        <v>46081.242361111108</v>
      </c>
      <c r="D1184" t="s">
        <v>6028</v>
      </c>
      <c r="E1184" t="s">
        <v>6030</v>
      </c>
      <c r="F1184" t="s">
        <v>6035</v>
      </c>
      <c r="G1184" t="s">
        <v>6058</v>
      </c>
      <c r="H1184" t="s">
        <v>6098</v>
      </c>
      <c r="I1184">
        <v>4</v>
      </c>
      <c r="J1184">
        <v>10</v>
      </c>
      <c r="K1184" t="s">
        <v>6099</v>
      </c>
      <c r="L1184" t="s">
        <v>6100</v>
      </c>
      <c r="M1184" t="s">
        <v>6099</v>
      </c>
      <c r="N1184">
        <v>4</v>
      </c>
      <c r="O1184" t="s">
        <v>6101</v>
      </c>
      <c r="P1184" t="s">
        <v>6108</v>
      </c>
      <c r="Q1184">
        <v>2</v>
      </c>
      <c r="R1184">
        <v>2026</v>
      </c>
      <c r="S1184" t="s">
        <v>6100</v>
      </c>
      <c r="T1184">
        <v>0</v>
      </c>
      <c r="U1184" t="s">
        <v>6019</v>
      </c>
      <c r="V1184">
        <v>1</v>
      </c>
    </row>
    <row r="1185" spans="1:22" x14ac:dyDescent="0.3">
      <c r="A1185" t="s">
        <v>1200</v>
      </c>
      <c r="B1185" s="2">
        <v>46080.853472222225</v>
      </c>
      <c r="C1185" s="2">
        <v>46081.032638888886</v>
      </c>
      <c r="D1185" t="s">
        <v>6027</v>
      </c>
      <c r="E1185" t="s">
        <v>6029</v>
      </c>
      <c r="F1185" t="s">
        <v>6034</v>
      </c>
      <c r="G1185" t="s">
        <v>6090</v>
      </c>
      <c r="H1185" t="s">
        <v>6097</v>
      </c>
      <c r="I1185">
        <v>24</v>
      </c>
      <c r="J1185">
        <v>4.3</v>
      </c>
      <c r="K1185" t="s">
        <v>6100</v>
      </c>
      <c r="L1185" t="s">
        <v>6099</v>
      </c>
      <c r="M1185" t="s">
        <v>6100</v>
      </c>
      <c r="O1185" t="s">
        <v>6101</v>
      </c>
      <c r="P1185" t="s">
        <v>6108</v>
      </c>
      <c r="Q1185">
        <v>2</v>
      </c>
      <c r="R1185">
        <v>2026</v>
      </c>
      <c r="S1185" t="s">
        <v>6099</v>
      </c>
      <c r="T1185">
        <v>1</v>
      </c>
      <c r="U1185" t="s">
        <v>6021</v>
      </c>
      <c r="V1185">
        <v>0</v>
      </c>
    </row>
    <row r="1186" spans="1:22" x14ac:dyDescent="0.3">
      <c r="A1186" t="s">
        <v>1201</v>
      </c>
      <c r="B1186" s="2">
        <v>46081.224999999999</v>
      </c>
      <c r="C1186" s="2">
        <v>46082.087500000001</v>
      </c>
      <c r="D1186" t="s">
        <v>6024</v>
      </c>
      <c r="E1186" t="s">
        <v>6029</v>
      </c>
      <c r="F1186" t="s">
        <v>6034</v>
      </c>
      <c r="G1186" t="s">
        <v>6061</v>
      </c>
      <c r="H1186" t="s">
        <v>6096</v>
      </c>
      <c r="I1186">
        <v>24</v>
      </c>
      <c r="J1186">
        <v>20.7</v>
      </c>
      <c r="K1186" t="s">
        <v>6099</v>
      </c>
      <c r="L1186" t="s">
        <v>6100</v>
      </c>
      <c r="M1186" t="s">
        <v>6100</v>
      </c>
      <c r="N1186">
        <v>5</v>
      </c>
      <c r="O1186" t="s">
        <v>6101</v>
      </c>
      <c r="P1186" t="s">
        <v>6108</v>
      </c>
      <c r="Q1186">
        <v>2</v>
      </c>
      <c r="R1186">
        <v>2026</v>
      </c>
      <c r="S1186" t="s">
        <v>6099</v>
      </c>
      <c r="T1186">
        <v>1</v>
      </c>
      <c r="U1186" t="s">
        <v>6021</v>
      </c>
      <c r="V1186">
        <v>1</v>
      </c>
    </row>
    <row r="1187" spans="1:22" x14ac:dyDescent="0.3">
      <c r="A1187" t="s">
        <v>1202</v>
      </c>
      <c r="B1187" s="2">
        <v>46081.234027777777</v>
      </c>
      <c r="C1187" s="2">
        <v>46081.750694444447</v>
      </c>
      <c r="D1187" t="s">
        <v>6023</v>
      </c>
      <c r="E1187" t="s">
        <v>6029</v>
      </c>
      <c r="F1187" t="s">
        <v>6033</v>
      </c>
      <c r="G1187" t="s">
        <v>6074</v>
      </c>
      <c r="H1187" t="s">
        <v>6098</v>
      </c>
      <c r="I1187">
        <v>72</v>
      </c>
      <c r="J1187">
        <v>12.4</v>
      </c>
      <c r="K1187" t="s">
        <v>6100</v>
      </c>
      <c r="L1187" t="s">
        <v>6099</v>
      </c>
      <c r="M1187" t="s">
        <v>6100</v>
      </c>
      <c r="O1187" t="s">
        <v>6101</v>
      </c>
      <c r="P1187" t="s">
        <v>6108</v>
      </c>
      <c r="Q1187">
        <v>2</v>
      </c>
      <c r="R1187">
        <v>2026</v>
      </c>
      <c r="S1187" t="s">
        <v>6099</v>
      </c>
      <c r="T1187">
        <v>1</v>
      </c>
      <c r="U1187" t="s">
        <v>6019</v>
      </c>
      <c r="V1187">
        <v>0</v>
      </c>
    </row>
    <row r="1188" spans="1:22" x14ac:dyDescent="0.3">
      <c r="A1188" t="s">
        <v>1203</v>
      </c>
      <c r="B1188" s="2">
        <v>46081.273611111108</v>
      </c>
      <c r="C1188" s="2">
        <v>46082.544444444444</v>
      </c>
      <c r="D1188" t="s">
        <v>6028</v>
      </c>
      <c r="E1188" t="s">
        <v>6031</v>
      </c>
      <c r="F1188" t="s">
        <v>6035</v>
      </c>
      <c r="G1188" t="s">
        <v>6060</v>
      </c>
      <c r="H1188" t="s">
        <v>6097</v>
      </c>
      <c r="I1188">
        <v>4</v>
      </c>
      <c r="J1188">
        <v>30.5</v>
      </c>
      <c r="K1188" t="s">
        <v>6099</v>
      </c>
      <c r="L1188" t="s">
        <v>6100</v>
      </c>
      <c r="M1188" t="s">
        <v>6100</v>
      </c>
      <c r="N1188">
        <v>5</v>
      </c>
      <c r="O1188" t="s">
        <v>6101</v>
      </c>
      <c r="P1188" t="s">
        <v>6108</v>
      </c>
      <c r="Q1188">
        <v>2</v>
      </c>
      <c r="R1188">
        <v>2026</v>
      </c>
      <c r="S1188" t="s">
        <v>6100</v>
      </c>
      <c r="T1188">
        <v>0</v>
      </c>
      <c r="U1188" t="s">
        <v>6018</v>
      </c>
      <c r="V1188">
        <v>1</v>
      </c>
    </row>
    <row r="1189" spans="1:22" x14ac:dyDescent="0.3">
      <c r="A1189" t="s">
        <v>1204</v>
      </c>
      <c r="B1189" s="2">
        <v>46081.28125</v>
      </c>
      <c r="C1189" s="2">
        <v>46086.82708333333</v>
      </c>
      <c r="D1189" t="s">
        <v>6026</v>
      </c>
      <c r="E1189" t="s">
        <v>6031</v>
      </c>
      <c r="F1189" t="s">
        <v>6033</v>
      </c>
      <c r="G1189" t="s">
        <v>6095</v>
      </c>
      <c r="H1189" t="s">
        <v>6098</v>
      </c>
      <c r="I1189">
        <v>72</v>
      </c>
      <c r="J1189">
        <v>133.1</v>
      </c>
      <c r="K1189" t="s">
        <v>6100</v>
      </c>
      <c r="L1189" t="s">
        <v>6099</v>
      </c>
      <c r="M1189" t="s">
        <v>6100</v>
      </c>
      <c r="N1189">
        <v>2</v>
      </c>
      <c r="O1189" t="s">
        <v>6101</v>
      </c>
      <c r="P1189" t="s">
        <v>6108</v>
      </c>
      <c r="Q1189">
        <v>2</v>
      </c>
      <c r="R1189">
        <v>2026</v>
      </c>
      <c r="S1189" t="s">
        <v>6100</v>
      </c>
      <c r="T1189">
        <v>0</v>
      </c>
      <c r="U1189" t="s">
        <v>6021</v>
      </c>
      <c r="V1189">
        <v>0</v>
      </c>
    </row>
    <row r="1190" spans="1:22" x14ac:dyDescent="0.3">
      <c r="A1190" t="s">
        <v>1205</v>
      </c>
      <c r="B1190" s="2">
        <v>46081.311111111114</v>
      </c>
      <c r="C1190" s="2">
        <v>46083.981944444444</v>
      </c>
      <c r="D1190" t="s">
        <v>6022</v>
      </c>
      <c r="E1190" t="s">
        <v>6031</v>
      </c>
      <c r="F1190" t="s">
        <v>6034</v>
      </c>
      <c r="G1190" t="s">
        <v>6067</v>
      </c>
      <c r="H1190" t="s">
        <v>6098</v>
      </c>
      <c r="I1190">
        <v>24</v>
      </c>
      <c r="J1190">
        <v>64.099999999999994</v>
      </c>
      <c r="K1190" t="s">
        <v>6099</v>
      </c>
      <c r="L1190" t="s">
        <v>6100</v>
      </c>
      <c r="M1190" t="s">
        <v>6100</v>
      </c>
      <c r="O1190" t="s">
        <v>6101</v>
      </c>
      <c r="P1190" t="s">
        <v>6108</v>
      </c>
      <c r="Q1190">
        <v>2</v>
      </c>
      <c r="R1190">
        <v>2026</v>
      </c>
      <c r="S1190" t="s">
        <v>6100</v>
      </c>
      <c r="T1190">
        <v>0</v>
      </c>
      <c r="U1190" t="s">
        <v>6020</v>
      </c>
      <c r="V1190">
        <v>1</v>
      </c>
    </row>
    <row r="1191" spans="1:22" x14ac:dyDescent="0.3">
      <c r="A1191" t="s">
        <v>1206</v>
      </c>
      <c r="B1191" s="2">
        <v>46081.365972222222</v>
      </c>
      <c r="C1191" s="2">
        <v>46085.295138888891</v>
      </c>
      <c r="D1191" t="s">
        <v>6026</v>
      </c>
      <c r="E1191" t="s">
        <v>6031</v>
      </c>
      <c r="F1191" t="s">
        <v>6034</v>
      </c>
      <c r="G1191" t="s">
        <v>6091</v>
      </c>
      <c r="H1191" t="s">
        <v>6097</v>
      </c>
      <c r="I1191">
        <v>24</v>
      </c>
      <c r="J1191">
        <v>94.3</v>
      </c>
      <c r="K1191" t="s">
        <v>6099</v>
      </c>
      <c r="L1191" t="s">
        <v>6100</v>
      </c>
      <c r="M1191" t="s">
        <v>6099</v>
      </c>
      <c r="N1191">
        <v>4</v>
      </c>
      <c r="O1191" t="s">
        <v>6101</v>
      </c>
      <c r="P1191" t="s">
        <v>6108</v>
      </c>
      <c r="Q1191">
        <v>2</v>
      </c>
      <c r="R1191">
        <v>2026</v>
      </c>
      <c r="S1191" t="s">
        <v>6100</v>
      </c>
      <c r="T1191">
        <v>0</v>
      </c>
      <c r="U1191" t="s">
        <v>6018</v>
      </c>
      <c r="V1191">
        <v>1</v>
      </c>
    </row>
    <row r="1192" spans="1:22" x14ac:dyDescent="0.3">
      <c r="A1192" t="s">
        <v>1207</v>
      </c>
      <c r="B1192" s="2">
        <v>46081.412499999999</v>
      </c>
      <c r="C1192" s="2">
        <v>46081.65</v>
      </c>
      <c r="D1192" t="s">
        <v>6028</v>
      </c>
      <c r="E1192" t="s">
        <v>6029</v>
      </c>
      <c r="F1192" t="s">
        <v>6035</v>
      </c>
      <c r="G1192" t="s">
        <v>6080</v>
      </c>
      <c r="H1192" t="s">
        <v>6096</v>
      </c>
      <c r="I1192">
        <v>4</v>
      </c>
      <c r="J1192">
        <v>5.7</v>
      </c>
      <c r="K1192" t="s">
        <v>6100</v>
      </c>
      <c r="L1192" t="s">
        <v>6099</v>
      </c>
      <c r="M1192" t="s">
        <v>6100</v>
      </c>
      <c r="N1192">
        <v>2</v>
      </c>
      <c r="O1192" t="s">
        <v>6101</v>
      </c>
      <c r="P1192" t="s">
        <v>6108</v>
      </c>
      <c r="Q1192">
        <v>2</v>
      </c>
      <c r="R1192">
        <v>2026</v>
      </c>
      <c r="S1192" t="s">
        <v>6100</v>
      </c>
      <c r="T1192">
        <v>0</v>
      </c>
      <c r="U1192" t="s">
        <v>6018</v>
      </c>
      <c r="V1192">
        <v>0</v>
      </c>
    </row>
    <row r="1193" spans="1:22" x14ac:dyDescent="0.3">
      <c r="A1193" t="s">
        <v>1208</v>
      </c>
      <c r="B1193" s="2">
        <v>46081.418749999997</v>
      </c>
      <c r="C1193" s="2">
        <v>46081.731249999997</v>
      </c>
      <c r="D1193" t="s">
        <v>6028</v>
      </c>
      <c r="E1193" t="s">
        <v>6029</v>
      </c>
      <c r="F1193" t="s">
        <v>6035</v>
      </c>
      <c r="G1193" t="s">
        <v>6053</v>
      </c>
      <c r="H1193" t="s">
        <v>6097</v>
      </c>
      <c r="I1193">
        <v>4</v>
      </c>
      <c r="J1193">
        <v>7.5</v>
      </c>
      <c r="K1193" t="s">
        <v>6099</v>
      </c>
      <c r="L1193" t="s">
        <v>6100</v>
      </c>
      <c r="M1193" t="s">
        <v>6100</v>
      </c>
      <c r="N1193">
        <v>5</v>
      </c>
      <c r="O1193" t="s">
        <v>6101</v>
      </c>
      <c r="P1193" t="s">
        <v>6108</v>
      </c>
      <c r="Q1193">
        <v>2</v>
      </c>
      <c r="R1193">
        <v>2026</v>
      </c>
      <c r="S1193" t="s">
        <v>6100</v>
      </c>
      <c r="T1193">
        <v>0</v>
      </c>
      <c r="U1193" t="s">
        <v>6017</v>
      </c>
      <c r="V1193">
        <v>1</v>
      </c>
    </row>
    <row r="1194" spans="1:22" x14ac:dyDescent="0.3">
      <c r="A1194" t="s">
        <v>1209</v>
      </c>
      <c r="B1194" s="2">
        <v>46081.448611111111</v>
      </c>
      <c r="C1194" s="2">
        <v>46082.977777777778</v>
      </c>
      <c r="D1194" t="s">
        <v>6025</v>
      </c>
      <c r="E1194" t="s">
        <v>6029</v>
      </c>
      <c r="F1194" t="s">
        <v>6033</v>
      </c>
      <c r="G1194" t="s">
        <v>6073</v>
      </c>
      <c r="H1194" t="s">
        <v>6096</v>
      </c>
      <c r="I1194">
        <v>72</v>
      </c>
      <c r="J1194">
        <v>36.700000000000003</v>
      </c>
      <c r="K1194" t="s">
        <v>6100</v>
      </c>
      <c r="L1194" t="s">
        <v>6099</v>
      </c>
      <c r="M1194" t="s">
        <v>6100</v>
      </c>
      <c r="O1194" t="s">
        <v>6101</v>
      </c>
      <c r="P1194" t="s">
        <v>6108</v>
      </c>
      <c r="Q1194">
        <v>2</v>
      </c>
      <c r="R1194">
        <v>2026</v>
      </c>
      <c r="S1194" t="s">
        <v>6099</v>
      </c>
      <c r="T1194">
        <v>1</v>
      </c>
      <c r="U1194" t="s">
        <v>6019</v>
      </c>
      <c r="V1194">
        <v>0</v>
      </c>
    </row>
    <row r="1195" spans="1:22" x14ac:dyDescent="0.3">
      <c r="A1195" t="s">
        <v>1210</v>
      </c>
      <c r="B1195" s="2">
        <v>46081.462500000001</v>
      </c>
      <c r="C1195" s="2">
        <v>46085.554166666669</v>
      </c>
      <c r="D1195" t="s">
        <v>6022</v>
      </c>
      <c r="E1195" t="s">
        <v>6031</v>
      </c>
      <c r="F1195" t="s">
        <v>6033</v>
      </c>
      <c r="G1195" t="s">
        <v>6077</v>
      </c>
      <c r="H1195" t="s">
        <v>6098</v>
      </c>
      <c r="I1195">
        <v>72</v>
      </c>
      <c r="J1195">
        <v>98.2</v>
      </c>
      <c r="K1195" t="s">
        <v>6099</v>
      </c>
      <c r="L1195" t="s">
        <v>6100</v>
      </c>
      <c r="M1195" t="s">
        <v>6100</v>
      </c>
      <c r="N1195">
        <v>2</v>
      </c>
      <c r="O1195" t="s">
        <v>6101</v>
      </c>
      <c r="P1195" t="s">
        <v>6108</v>
      </c>
      <c r="Q1195">
        <v>2</v>
      </c>
      <c r="R1195">
        <v>2026</v>
      </c>
      <c r="S1195" t="s">
        <v>6100</v>
      </c>
      <c r="T1195">
        <v>0</v>
      </c>
      <c r="U1195" t="s">
        <v>6020</v>
      </c>
      <c r="V1195">
        <v>1</v>
      </c>
    </row>
    <row r="1196" spans="1:22" x14ac:dyDescent="0.3">
      <c r="A1196" t="s">
        <v>1211</v>
      </c>
      <c r="B1196" s="2">
        <v>46081.503472222219</v>
      </c>
      <c r="C1196" s="2">
        <v>46082.182638888888</v>
      </c>
      <c r="D1196" t="s">
        <v>6027</v>
      </c>
      <c r="E1196" t="s">
        <v>6032</v>
      </c>
      <c r="F1196" t="s">
        <v>6033</v>
      </c>
      <c r="G1196" t="s">
        <v>6089</v>
      </c>
      <c r="H1196" t="s">
        <v>6098</v>
      </c>
      <c r="I1196">
        <v>72</v>
      </c>
      <c r="J1196">
        <v>16.3</v>
      </c>
      <c r="K1196" t="s">
        <v>6099</v>
      </c>
      <c r="L1196" t="s">
        <v>6100</v>
      </c>
      <c r="M1196" t="s">
        <v>6100</v>
      </c>
      <c r="N1196">
        <v>5</v>
      </c>
      <c r="O1196" t="s">
        <v>6101</v>
      </c>
      <c r="P1196" t="s">
        <v>6108</v>
      </c>
      <c r="Q1196">
        <v>2</v>
      </c>
      <c r="R1196">
        <v>2026</v>
      </c>
      <c r="S1196" t="s">
        <v>6099</v>
      </c>
      <c r="T1196">
        <v>1</v>
      </c>
      <c r="U1196" t="s">
        <v>6019</v>
      </c>
      <c r="V1196">
        <v>1</v>
      </c>
    </row>
    <row r="1197" spans="1:22" x14ac:dyDescent="0.3">
      <c r="A1197" t="s">
        <v>1212</v>
      </c>
      <c r="B1197" s="2">
        <v>46081.51666666667</v>
      </c>
      <c r="C1197" s="2">
        <v>46082</v>
      </c>
      <c r="D1197" t="s">
        <v>6028</v>
      </c>
      <c r="E1197" t="s">
        <v>6030</v>
      </c>
      <c r="F1197" t="s">
        <v>6034</v>
      </c>
      <c r="G1197" t="s">
        <v>6048</v>
      </c>
      <c r="H1197" t="s">
        <v>6096</v>
      </c>
      <c r="I1197">
        <v>24</v>
      </c>
      <c r="J1197">
        <v>11.6</v>
      </c>
      <c r="K1197" t="s">
        <v>6100</v>
      </c>
      <c r="L1197" t="s">
        <v>6099</v>
      </c>
      <c r="M1197" t="s">
        <v>6100</v>
      </c>
      <c r="O1197" t="s">
        <v>6101</v>
      </c>
      <c r="P1197" t="s">
        <v>6108</v>
      </c>
      <c r="Q1197">
        <v>2</v>
      </c>
      <c r="R1197">
        <v>2026</v>
      </c>
      <c r="S1197" t="s">
        <v>6099</v>
      </c>
      <c r="T1197">
        <v>1</v>
      </c>
      <c r="U1197" t="s">
        <v>6021</v>
      </c>
      <c r="V1197">
        <v>0</v>
      </c>
    </row>
    <row r="1198" spans="1:22" x14ac:dyDescent="0.3">
      <c r="A1198" t="s">
        <v>1213</v>
      </c>
      <c r="B1198" s="2">
        <v>46081.53125</v>
      </c>
      <c r="C1198" s="2">
        <v>46082.17291666667</v>
      </c>
      <c r="D1198" t="s">
        <v>6028</v>
      </c>
      <c r="E1198" t="s">
        <v>6031</v>
      </c>
      <c r="F1198" t="s">
        <v>6035</v>
      </c>
      <c r="G1198" t="s">
        <v>6042</v>
      </c>
      <c r="H1198" t="s">
        <v>6098</v>
      </c>
      <c r="I1198">
        <v>4</v>
      </c>
      <c r="J1198">
        <v>15.4</v>
      </c>
      <c r="K1198" t="s">
        <v>6099</v>
      </c>
      <c r="L1198" t="s">
        <v>6100</v>
      </c>
      <c r="M1198" t="s">
        <v>6100</v>
      </c>
      <c r="N1198">
        <v>4</v>
      </c>
      <c r="O1198" t="s">
        <v>6101</v>
      </c>
      <c r="P1198" t="s">
        <v>6108</v>
      </c>
      <c r="Q1198">
        <v>2</v>
      </c>
      <c r="R1198">
        <v>2026</v>
      </c>
      <c r="S1198" t="s">
        <v>6100</v>
      </c>
      <c r="T1198">
        <v>0</v>
      </c>
      <c r="U1198" t="s">
        <v>6018</v>
      </c>
      <c r="V1198">
        <v>1</v>
      </c>
    </row>
    <row r="1199" spans="1:22" x14ac:dyDescent="0.3">
      <c r="A1199" t="s">
        <v>1214</v>
      </c>
      <c r="B1199" s="2">
        <v>46081.549305555556</v>
      </c>
      <c r="C1199" s="2">
        <v>46082.632638888892</v>
      </c>
      <c r="D1199" t="s">
        <v>6028</v>
      </c>
      <c r="E1199" t="s">
        <v>6031</v>
      </c>
      <c r="F1199" t="s">
        <v>6035</v>
      </c>
      <c r="G1199" t="s">
        <v>6050</v>
      </c>
      <c r="H1199" t="s">
        <v>6098</v>
      </c>
      <c r="I1199">
        <v>4</v>
      </c>
      <c r="J1199">
        <v>26</v>
      </c>
      <c r="K1199" t="s">
        <v>6099</v>
      </c>
      <c r="L1199" t="s">
        <v>6100</v>
      </c>
      <c r="M1199" t="s">
        <v>6099</v>
      </c>
      <c r="N1199">
        <v>4</v>
      </c>
      <c r="O1199" t="s">
        <v>6101</v>
      </c>
      <c r="P1199" t="s">
        <v>6108</v>
      </c>
      <c r="Q1199">
        <v>2</v>
      </c>
      <c r="R1199">
        <v>2026</v>
      </c>
      <c r="S1199" t="s">
        <v>6100</v>
      </c>
      <c r="T1199">
        <v>0</v>
      </c>
      <c r="U1199" t="s">
        <v>6018</v>
      </c>
      <c r="V1199">
        <v>1</v>
      </c>
    </row>
    <row r="1200" spans="1:22" x14ac:dyDescent="0.3">
      <c r="A1200" t="s">
        <v>1215</v>
      </c>
      <c r="B1200" s="2">
        <v>46081.572916666664</v>
      </c>
      <c r="C1200" s="2">
        <v>46084.631249999999</v>
      </c>
      <c r="D1200" t="s">
        <v>6025</v>
      </c>
      <c r="E1200" t="s">
        <v>6029</v>
      </c>
      <c r="F1200" t="s">
        <v>6034</v>
      </c>
      <c r="G1200" t="s">
        <v>6065</v>
      </c>
      <c r="H1200" t="s">
        <v>6097</v>
      </c>
      <c r="I1200">
        <v>24</v>
      </c>
      <c r="J1200">
        <v>73.400000000000006</v>
      </c>
      <c r="K1200" t="s">
        <v>6099</v>
      </c>
      <c r="L1200" t="s">
        <v>6100</v>
      </c>
      <c r="M1200" t="s">
        <v>6100</v>
      </c>
      <c r="N1200">
        <v>4</v>
      </c>
      <c r="O1200" t="s">
        <v>6101</v>
      </c>
      <c r="P1200" t="s">
        <v>6108</v>
      </c>
      <c r="Q1200">
        <v>2</v>
      </c>
      <c r="R1200">
        <v>2026</v>
      </c>
      <c r="S1200" t="s">
        <v>6100</v>
      </c>
      <c r="T1200">
        <v>0</v>
      </c>
      <c r="U1200" t="s">
        <v>6017</v>
      </c>
      <c r="V1200">
        <v>1</v>
      </c>
    </row>
    <row r="1201" spans="1:22" x14ac:dyDescent="0.3">
      <c r="A1201" t="s">
        <v>1216</v>
      </c>
      <c r="B1201" s="2">
        <v>46081.579861111109</v>
      </c>
      <c r="C1201" s="2">
        <v>46081.684027777781</v>
      </c>
      <c r="D1201" t="s">
        <v>6023</v>
      </c>
      <c r="E1201" t="s">
        <v>6029</v>
      </c>
      <c r="F1201" t="s">
        <v>6035</v>
      </c>
      <c r="G1201" t="s">
        <v>6070</v>
      </c>
      <c r="H1201" t="s">
        <v>6097</v>
      </c>
      <c r="I1201">
        <v>4</v>
      </c>
      <c r="J1201">
        <v>2.5</v>
      </c>
      <c r="K1201" t="s">
        <v>6099</v>
      </c>
      <c r="L1201" t="s">
        <v>6100</v>
      </c>
      <c r="M1201" t="s">
        <v>6100</v>
      </c>
      <c r="N1201">
        <v>5</v>
      </c>
      <c r="O1201" t="s">
        <v>6101</v>
      </c>
      <c r="P1201" t="s">
        <v>6108</v>
      </c>
      <c r="Q1201">
        <v>2</v>
      </c>
      <c r="R1201">
        <v>2026</v>
      </c>
      <c r="S1201" t="s">
        <v>6099</v>
      </c>
      <c r="T1201">
        <v>1</v>
      </c>
      <c r="U1201" t="s">
        <v>6021</v>
      </c>
      <c r="V1201">
        <v>1</v>
      </c>
    </row>
    <row r="1202" spans="1:22" x14ac:dyDescent="0.3">
      <c r="A1202" t="s">
        <v>1217</v>
      </c>
      <c r="B1202" s="2">
        <v>46081.60833333333</v>
      </c>
      <c r="C1202" s="2">
        <v>46082.275000000001</v>
      </c>
      <c r="D1202" t="s">
        <v>6024</v>
      </c>
      <c r="E1202" t="s">
        <v>6029</v>
      </c>
      <c r="F1202" t="s">
        <v>6035</v>
      </c>
      <c r="G1202" t="s">
        <v>6066</v>
      </c>
      <c r="H1202" t="s">
        <v>6096</v>
      </c>
      <c r="I1202">
        <v>4</v>
      </c>
      <c r="J1202">
        <v>16</v>
      </c>
      <c r="K1202" t="s">
        <v>6099</v>
      </c>
      <c r="L1202" t="s">
        <v>6100</v>
      </c>
      <c r="M1202" t="s">
        <v>6099</v>
      </c>
      <c r="O1202" t="s">
        <v>6101</v>
      </c>
      <c r="P1202" t="s">
        <v>6108</v>
      </c>
      <c r="Q1202">
        <v>2</v>
      </c>
      <c r="R1202">
        <v>2026</v>
      </c>
      <c r="S1202" t="s">
        <v>6100</v>
      </c>
      <c r="T1202">
        <v>0</v>
      </c>
      <c r="U1202" t="s">
        <v>6020</v>
      </c>
      <c r="V1202">
        <v>1</v>
      </c>
    </row>
    <row r="1203" spans="1:22" x14ac:dyDescent="0.3">
      <c r="A1203" t="s">
        <v>1218</v>
      </c>
      <c r="B1203" s="2">
        <v>46081.626388888886</v>
      </c>
      <c r="C1203" s="2">
        <v>46087.159722222219</v>
      </c>
      <c r="D1203" t="s">
        <v>6026</v>
      </c>
      <c r="E1203" t="s">
        <v>6031</v>
      </c>
      <c r="F1203" t="s">
        <v>6035</v>
      </c>
      <c r="G1203" t="s">
        <v>6048</v>
      </c>
      <c r="H1203" t="s">
        <v>6096</v>
      </c>
      <c r="I1203">
        <v>4</v>
      </c>
      <c r="K1203" t="s">
        <v>6100</v>
      </c>
      <c r="L1203" t="s">
        <v>6099</v>
      </c>
      <c r="M1203" t="s">
        <v>6100</v>
      </c>
      <c r="N1203">
        <v>3</v>
      </c>
      <c r="O1203" t="s">
        <v>6101</v>
      </c>
      <c r="P1203" t="s">
        <v>6108</v>
      </c>
      <c r="Q1203">
        <v>2</v>
      </c>
      <c r="R1203">
        <v>2026</v>
      </c>
      <c r="U1203" t="s">
        <v>6017</v>
      </c>
      <c r="V1203">
        <v>0</v>
      </c>
    </row>
    <row r="1204" spans="1:22" x14ac:dyDescent="0.3">
      <c r="A1204" t="s">
        <v>1219</v>
      </c>
      <c r="B1204" s="2">
        <v>46081.62777777778</v>
      </c>
      <c r="C1204" s="2">
        <v>46082.490277777775</v>
      </c>
      <c r="D1204" t="s">
        <v>6023</v>
      </c>
      <c r="E1204" t="s">
        <v>6032</v>
      </c>
      <c r="F1204" t="s">
        <v>6034</v>
      </c>
      <c r="G1204" t="s">
        <v>6075</v>
      </c>
      <c r="H1204" t="s">
        <v>6097</v>
      </c>
      <c r="I1204">
        <v>24</v>
      </c>
      <c r="J1204">
        <v>20.7</v>
      </c>
      <c r="K1204" t="s">
        <v>6100</v>
      </c>
      <c r="L1204" t="s">
        <v>6099</v>
      </c>
      <c r="M1204" t="s">
        <v>6100</v>
      </c>
      <c r="N1204">
        <v>4</v>
      </c>
      <c r="O1204" t="s">
        <v>6101</v>
      </c>
      <c r="P1204" t="s">
        <v>6108</v>
      </c>
      <c r="Q1204">
        <v>2</v>
      </c>
      <c r="R1204">
        <v>2026</v>
      </c>
      <c r="S1204" t="s">
        <v>6099</v>
      </c>
      <c r="T1204">
        <v>1</v>
      </c>
      <c r="U1204" t="s">
        <v>6021</v>
      </c>
      <c r="V1204">
        <v>0</v>
      </c>
    </row>
    <row r="1205" spans="1:22" x14ac:dyDescent="0.3">
      <c r="A1205" t="s">
        <v>1220</v>
      </c>
      <c r="B1205" s="2">
        <v>46081.65</v>
      </c>
      <c r="C1205" s="2">
        <v>46082.1875</v>
      </c>
      <c r="D1205" t="s">
        <v>6024</v>
      </c>
      <c r="E1205" t="s">
        <v>6029</v>
      </c>
      <c r="F1205" t="s">
        <v>6035</v>
      </c>
      <c r="G1205" t="s">
        <v>6070</v>
      </c>
      <c r="H1205" t="s">
        <v>6097</v>
      </c>
      <c r="I1205">
        <v>4</v>
      </c>
      <c r="J1205">
        <v>12.9</v>
      </c>
      <c r="K1205" t="s">
        <v>6099</v>
      </c>
      <c r="L1205" t="s">
        <v>6100</v>
      </c>
      <c r="M1205" t="s">
        <v>6100</v>
      </c>
      <c r="N1205">
        <v>4</v>
      </c>
      <c r="O1205" t="s">
        <v>6101</v>
      </c>
      <c r="P1205" t="s">
        <v>6108</v>
      </c>
      <c r="Q1205">
        <v>2</v>
      </c>
      <c r="R1205">
        <v>2026</v>
      </c>
      <c r="S1205" t="s">
        <v>6100</v>
      </c>
      <c r="T1205">
        <v>0</v>
      </c>
      <c r="U1205" t="s">
        <v>6021</v>
      </c>
      <c r="V1205">
        <v>1</v>
      </c>
    </row>
    <row r="1206" spans="1:22" x14ac:dyDescent="0.3">
      <c r="A1206" t="s">
        <v>1221</v>
      </c>
      <c r="B1206" s="2">
        <v>46082.148611111108</v>
      </c>
      <c r="C1206" s="2">
        <v>46082.348611111112</v>
      </c>
      <c r="D1206" t="s">
        <v>6023</v>
      </c>
      <c r="E1206" t="s">
        <v>6030</v>
      </c>
      <c r="F1206" t="s">
        <v>6033</v>
      </c>
      <c r="G1206" t="s">
        <v>6070</v>
      </c>
      <c r="H1206" t="s">
        <v>6097</v>
      </c>
      <c r="I1206">
        <v>72</v>
      </c>
      <c r="J1206">
        <v>4.8</v>
      </c>
      <c r="K1206" t="s">
        <v>6099</v>
      </c>
      <c r="L1206" t="s">
        <v>6100</v>
      </c>
      <c r="M1206" t="s">
        <v>6100</v>
      </c>
      <c r="O1206" t="s">
        <v>6101</v>
      </c>
      <c r="P1206" t="s">
        <v>6109</v>
      </c>
      <c r="Q1206">
        <v>3</v>
      </c>
      <c r="R1206">
        <v>2026</v>
      </c>
      <c r="S1206" t="s">
        <v>6099</v>
      </c>
      <c r="T1206">
        <v>1</v>
      </c>
      <c r="U1206" t="s">
        <v>6020</v>
      </c>
      <c r="V1206">
        <v>1</v>
      </c>
    </row>
    <row r="1207" spans="1:22" x14ac:dyDescent="0.3">
      <c r="A1207" t="s">
        <v>1222</v>
      </c>
      <c r="B1207" s="2">
        <v>46082.256944444445</v>
      </c>
      <c r="C1207" s="2">
        <v>46083.944444444445</v>
      </c>
      <c r="D1207" t="s">
        <v>6027</v>
      </c>
      <c r="E1207" t="s">
        <v>6031</v>
      </c>
      <c r="F1207" t="s">
        <v>6035</v>
      </c>
      <c r="G1207" t="s">
        <v>6094</v>
      </c>
      <c r="H1207" t="s">
        <v>6098</v>
      </c>
      <c r="I1207">
        <v>4</v>
      </c>
      <c r="J1207">
        <v>40.5</v>
      </c>
      <c r="K1207" t="s">
        <v>6099</v>
      </c>
      <c r="L1207" t="s">
        <v>6100</v>
      </c>
      <c r="M1207" t="s">
        <v>6099</v>
      </c>
      <c r="N1207">
        <v>5</v>
      </c>
      <c r="O1207" t="s">
        <v>6101</v>
      </c>
      <c r="P1207" t="s">
        <v>6109</v>
      </c>
      <c r="Q1207">
        <v>3</v>
      </c>
      <c r="R1207">
        <v>2026</v>
      </c>
      <c r="S1207" t="s">
        <v>6100</v>
      </c>
      <c r="T1207">
        <v>0</v>
      </c>
      <c r="U1207" t="s">
        <v>6019</v>
      </c>
      <c r="V1207">
        <v>1</v>
      </c>
    </row>
    <row r="1208" spans="1:22" x14ac:dyDescent="0.3">
      <c r="A1208" t="s">
        <v>1223</v>
      </c>
      <c r="B1208" s="2">
        <v>46082.32916666667</v>
      </c>
      <c r="C1208" s="2">
        <v>46082.570833333331</v>
      </c>
      <c r="D1208" t="s">
        <v>6028</v>
      </c>
      <c r="E1208" t="s">
        <v>6030</v>
      </c>
      <c r="F1208" t="s">
        <v>6034</v>
      </c>
      <c r="G1208" t="s">
        <v>6079</v>
      </c>
      <c r="H1208" t="s">
        <v>6097</v>
      </c>
      <c r="I1208">
        <v>24</v>
      </c>
      <c r="J1208">
        <v>5.8</v>
      </c>
      <c r="K1208" t="s">
        <v>6099</v>
      </c>
      <c r="L1208" t="s">
        <v>6100</v>
      </c>
      <c r="M1208" t="s">
        <v>6100</v>
      </c>
      <c r="N1208">
        <v>3</v>
      </c>
      <c r="O1208" t="s">
        <v>6101</v>
      </c>
      <c r="P1208" t="s">
        <v>6109</v>
      </c>
      <c r="Q1208">
        <v>3</v>
      </c>
      <c r="R1208">
        <v>2026</v>
      </c>
      <c r="S1208" t="s">
        <v>6099</v>
      </c>
      <c r="T1208">
        <v>1</v>
      </c>
      <c r="U1208" t="s">
        <v>6018</v>
      </c>
      <c r="V1208">
        <v>1</v>
      </c>
    </row>
    <row r="1209" spans="1:22" x14ac:dyDescent="0.3">
      <c r="A1209" t="s">
        <v>1224</v>
      </c>
      <c r="B1209" s="2">
        <v>46082.336111111108</v>
      </c>
      <c r="C1209" s="2">
        <v>46084.169444444444</v>
      </c>
      <c r="D1209" t="s">
        <v>6028</v>
      </c>
      <c r="E1209" t="s">
        <v>6031</v>
      </c>
      <c r="F1209" t="s">
        <v>6033</v>
      </c>
      <c r="G1209" t="s">
        <v>6052</v>
      </c>
      <c r="H1209" t="s">
        <v>6098</v>
      </c>
      <c r="I1209">
        <v>72</v>
      </c>
      <c r="J1209">
        <v>44</v>
      </c>
      <c r="K1209" t="s">
        <v>6099</v>
      </c>
      <c r="L1209" t="s">
        <v>6100</v>
      </c>
      <c r="M1209" t="s">
        <v>6100</v>
      </c>
      <c r="N1209">
        <v>5</v>
      </c>
      <c r="O1209" t="s">
        <v>6101</v>
      </c>
      <c r="P1209" t="s">
        <v>6109</v>
      </c>
      <c r="Q1209">
        <v>3</v>
      </c>
      <c r="R1209">
        <v>2026</v>
      </c>
      <c r="S1209" t="s">
        <v>6099</v>
      </c>
      <c r="T1209">
        <v>1</v>
      </c>
      <c r="U1209" t="s">
        <v>6020</v>
      </c>
      <c r="V1209">
        <v>1</v>
      </c>
    </row>
    <row r="1210" spans="1:22" x14ac:dyDescent="0.3">
      <c r="A1210" t="s">
        <v>1225</v>
      </c>
      <c r="B1210" s="2">
        <v>46082.349305555559</v>
      </c>
      <c r="C1210" s="2">
        <v>46082.711805555555</v>
      </c>
      <c r="D1210" t="s">
        <v>6022</v>
      </c>
      <c r="E1210" t="s">
        <v>6030</v>
      </c>
      <c r="F1210" t="s">
        <v>6033</v>
      </c>
      <c r="G1210" t="s">
        <v>6044</v>
      </c>
      <c r="H1210" t="s">
        <v>6097</v>
      </c>
      <c r="I1210">
        <v>72</v>
      </c>
      <c r="J1210">
        <v>8.6999999999999993</v>
      </c>
      <c r="K1210" t="s">
        <v>6099</v>
      </c>
      <c r="L1210" t="s">
        <v>6100</v>
      </c>
      <c r="M1210" t="s">
        <v>6100</v>
      </c>
      <c r="N1210">
        <v>4</v>
      </c>
      <c r="O1210" t="s">
        <v>6101</v>
      </c>
      <c r="P1210" t="s">
        <v>6109</v>
      </c>
      <c r="Q1210">
        <v>3</v>
      </c>
      <c r="R1210">
        <v>2026</v>
      </c>
      <c r="S1210" t="s">
        <v>6099</v>
      </c>
      <c r="T1210">
        <v>1</v>
      </c>
      <c r="U1210" t="s">
        <v>6018</v>
      </c>
      <c r="V1210">
        <v>1</v>
      </c>
    </row>
    <row r="1211" spans="1:22" x14ac:dyDescent="0.3">
      <c r="A1211" t="s">
        <v>1226</v>
      </c>
      <c r="B1211" s="2">
        <v>46082.397222222222</v>
      </c>
      <c r="C1211" s="2">
        <v>46082.638888888891</v>
      </c>
      <c r="D1211" t="s">
        <v>6028</v>
      </c>
      <c r="E1211" t="s">
        <v>6029</v>
      </c>
      <c r="F1211" t="s">
        <v>6035</v>
      </c>
      <c r="G1211" t="s">
        <v>6065</v>
      </c>
      <c r="H1211" t="s">
        <v>6097</v>
      </c>
      <c r="I1211">
        <v>4</v>
      </c>
      <c r="J1211">
        <v>5.8</v>
      </c>
      <c r="K1211" t="s">
        <v>6099</v>
      </c>
      <c r="L1211" t="s">
        <v>6100</v>
      </c>
      <c r="M1211" t="s">
        <v>6100</v>
      </c>
      <c r="N1211">
        <v>4</v>
      </c>
      <c r="O1211" t="s">
        <v>6101</v>
      </c>
      <c r="P1211" t="s">
        <v>6109</v>
      </c>
      <c r="Q1211">
        <v>3</v>
      </c>
      <c r="R1211">
        <v>2026</v>
      </c>
      <c r="S1211" t="s">
        <v>6100</v>
      </c>
      <c r="T1211">
        <v>0</v>
      </c>
      <c r="U1211" t="s">
        <v>6017</v>
      </c>
      <c r="V1211">
        <v>1</v>
      </c>
    </row>
    <row r="1212" spans="1:22" x14ac:dyDescent="0.3">
      <c r="A1212" t="s">
        <v>1227</v>
      </c>
      <c r="B1212" s="2">
        <v>46082.410416666666</v>
      </c>
      <c r="C1212" s="2">
        <v>46082.872916666667</v>
      </c>
      <c r="D1212" t="s">
        <v>6024</v>
      </c>
      <c r="E1212" t="s">
        <v>6030</v>
      </c>
      <c r="F1212" t="s">
        <v>6033</v>
      </c>
      <c r="G1212" t="s">
        <v>6093</v>
      </c>
      <c r="H1212" t="s">
        <v>6097</v>
      </c>
      <c r="I1212">
        <v>72</v>
      </c>
      <c r="J1212">
        <v>11.1</v>
      </c>
      <c r="K1212" t="s">
        <v>6099</v>
      </c>
      <c r="L1212" t="s">
        <v>6100</v>
      </c>
      <c r="M1212" t="s">
        <v>6100</v>
      </c>
      <c r="N1212">
        <v>5</v>
      </c>
      <c r="O1212" t="s">
        <v>6101</v>
      </c>
      <c r="P1212" t="s">
        <v>6109</v>
      </c>
      <c r="Q1212">
        <v>3</v>
      </c>
      <c r="R1212">
        <v>2026</v>
      </c>
      <c r="S1212" t="s">
        <v>6099</v>
      </c>
      <c r="T1212">
        <v>1</v>
      </c>
      <c r="U1212" t="s">
        <v>6018</v>
      </c>
      <c r="V1212">
        <v>1</v>
      </c>
    </row>
    <row r="1213" spans="1:22" x14ac:dyDescent="0.3">
      <c r="A1213" t="s">
        <v>1228</v>
      </c>
      <c r="B1213" s="2">
        <v>46082.438888888886</v>
      </c>
      <c r="C1213" s="2">
        <v>46084.876388888886</v>
      </c>
      <c r="D1213" t="s">
        <v>6023</v>
      </c>
      <c r="E1213" t="s">
        <v>6032</v>
      </c>
      <c r="F1213" t="s">
        <v>6034</v>
      </c>
      <c r="G1213" t="s">
        <v>6078</v>
      </c>
      <c r="H1213" t="s">
        <v>6097</v>
      </c>
      <c r="I1213">
        <v>24</v>
      </c>
      <c r="J1213">
        <v>58.5</v>
      </c>
      <c r="K1213" t="s">
        <v>6099</v>
      </c>
      <c r="L1213" t="s">
        <v>6100</v>
      </c>
      <c r="M1213" t="s">
        <v>6100</v>
      </c>
      <c r="N1213">
        <v>5</v>
      </c>
      <c r="O1213" t="s">
        <v>6101</v>
      </c>
      <c r="P1213" t="s">
        <v>6109</v>
      </c>
      <c r="Q1213">
        <v>3</v>
      </c>
      <c r="R1213">
        <v>2026</v>
      </c>
      <c r="S1213" t="s">
        <v>6100</v>
      </c>
      <c r="T1213">
        <v>0</v>
      </c>
      <c r="U1213" t="s">
        <v>6018</v>
      </c>
      <c r="V1213">
        <v>1</v>
      </c>
    </row>
    <row r="1214" spans="1:22" x14ac:dyDescent="0.3">
      <c r="A1214" t="s">
        <v>1229</v>
      </c>
      <c r="B1214" s="2">
        <v>46082.45208333333</v>
      </c>
      <c r="C1214" s="2">
        <v>46083.864583333336</v>
      </c>
      <c r="D1214" t="s">
        <v>6023</v>
      </c>
      <c r="E1214" t="s">
        <v>6029</v>
      </c>
      <c r="F1214" t="s">
        <v>6034</v>
      </c>
      <c r="G1214" t="s">
        <v>6095</v>
      </c>
      <c r="H1214" t="s">
        <v>6098</v>
      </c>
      <c r="I1214">
        <v>24</v>
      </c>
      <c r="J1214">
        <v>33.9</v>
      </c>
      <c r="K1214" t="s">
        <v>6099</v>
      </c>
      <c r="L1214" t="s">
        <v>6100</v>
      </c>
      <c r="M1214" t="s">
        <v>6100</v>
      </c>
      <c r="N1214">
        <v>2</v>
      </c>
      <c r="O1214" t="s">
        <v>6101</v>
      </c>
      <c r="P1214" t="s">
        <v>6109</v>
      </c>
      <c r="Q1214">
        <v>3</v>
      </c>
      <c r="R1214">
        <v>2026</v>
      </c>
      <c r="S1214" t="s">
        <v>6100</v>
      </c>
      <c r="T1214">
        <v>0</v>
      </c>
      <c r="U1214" t="s">
        <v>6019</v>
      </c>
      <c r="V1214">
        <v>1</v>
      </c>
    </row>
    <row r="1215" spans="1:22" x14ac:dyDescent="0.3">
      <c r="A1215" t="s">
        <v>1230</v>
      </c>
      <c r="B1215" s="2">
        <v>46082.457638888889</v>
      </c>
      <c r="C1215" s="2">
        <v>46082.699305555558</v>
      </c>
      <c r="D1215" t="s">
        <v>6023</v>
      </c>
      <c r="E1215" t="s">
        <v>6030</v>
      </c>
      <c r="F1215" t="s">
        <v>6035</v>
      </c>
      <c r="G1215" t="s">
        <v>6060</v>
      </c>
      <c r="H1215" t="s">
        <v>6097</v>
      </c>
      <c r="I1215">
        <v>4</v>
      </c>
      <c r="J1215">
        <v>5.8</v>
      </c>
      <c r="K1215" t="s">
        <v>6099</v>
      </c>
      <c r="L1215" t="s">
        <v>6100</v>
      </c>
      <c r="M1215" t="s">
        <v>6100</v>
      </c>
      <c r="N1215">
        <v>5</v>
      </c>
      <c r="O1215" t="s">
        <v>6101</v>
      </c>
      <c r="P1215" t="s">
        <v>6109</v>
      </c>
      <c r="Q1215">
        <v>3</v>
      </c>
      <c r="R1215">
        <v>2026</v>
      </c>
      <c r="S1215" t="s">
        <v>6100</v>
      </c>
      <c r="T1215">
        <v>0</v>
      </c>
      <c r="U1215" t="s">
        <v>6019</v>
      </c>
      <c r="V1215">
        <v>1</v>
      </c>
    </row>
    <row r="1216" spans="1:22" x14ac:dyDescent="0.3">
      <c r="A1216" t="s">
        <v>1231</v>
      </c>
      <c r="B1216" s="2">
        <v>46082.495833333334</v>
      </c>
      <c r="C1216" s="2">
        <v>46082.654166666667</v>
      </c>
      <c r="D1216" t="s">
        <v>6028</v>
      </c>
      <c r="E1216" t="s">
        <v>6030</v>
      </c>
      <c r="F1216" t="s">
        <v>6034</v>
      </c>
      <c r="G1216" t="s">
        <v>6085</v>
      </c>
      <c r="H1216" t="s">
        <v>6097</v>
      </c>
      <c r="I1216">
        <v>24</v>
      </c>
      <c r="J1216">
        <v>3.8</v>
      </c>
      <c r="K1216" t="s">
        <v>6099</v>
      </c>
      <c r="L1216" t="s">
        <v>6100</v>
      </c>
      <c r="M1216" t="s">
        <v>6100</v>
      </c>
      <c r="O1216" t="s">
        <v>6101</v>
      </c>
      <c r="P1216" t="s">
        <v>6109</v>
      </c>
      <c r="Q1216">
        <v>3</v>
      </c>
      <c r="R1216">
        <v>2026</v>
      </c>
      <c r="S1216" t="s">
        <v>6099</v>
      </c>
      <c r="T1216">
        <v>1</v>
      </c>
      <c r="U1216" t="s">
        <v>6018</v>
      </c>
      <c r="V1216">
        <v>1</v>
      </c>
    </row>
    <row r="1217" spans="1:22" x14ac:dyDescent="0.3">
      <c r="A1217" t="s">
        <v>1232</v>
      </c>
      <c r="B1217" s="2">
        <v>46082.509027777778</v>
      </c>
      <c r="C1217" s="2">
        <v>46082.663194444445</v>
      </c>
      <c r="D1217" t="s">
        <v>6028</v>
      </c>
      <c r="E1217" t="s">
        <v>6030</v>
      </c>
      <c r="F1217" t="s">
        <v>6034</v>
      </c>
      <c r="G1217" t="s">
        <v>6045</v>
      </c>
      <c r="H1217" t="s">
        <v>6096</v>
      </c>
      <c r="I1217">
        <v>24</v>
      </c>
      <c r="J1217">
        <v>3.7</v>
      </c>
      <c r="K1217" t="s">
        <v>6100</v>
      </c>
      <c r="L1217" t="s">
        <v>6099</v>
      </c>
      <c r="M1217" t="s">
        <v>6100</v>
      </c>
      <c r="N1217">
        <v>5</v>
      </c>
      <c r="O1217" t="s">
        <v>6101</v>
      </c>
      <c r="P1217" t="s">
        <v>6109</v>
      </c>
      <c r="Q1217">
        <v>3</v>
      </c>
      <c r="R1217">
        <v>2026</v>
      </c>
      <c r="S1217" t="s">
        <v>6099</v>
      </c>
      <c r="T1217">
        <v>1</v>
      </c>
      <c r="U1217" t="s">
        <v>6021</v>
      </c>
      <c r="V1217">
        <v>0</v>
      </c>
    </row>
    <row r="1218" spans="1:22" x14ac:dyDescent="0.3">
      <c r="A1218" t="s">
        <v>1233</v>
      </c>
      <c r="B1218" s="2">
        <v>46082.51458333333</v>
      </c>
      <c r="C1218" s="2">
        <v>46084.310416666667</v>
      </c>
      <c r="D1218" t="s">
        <v>6022</v>
      </c>
      <c r="E1218" t="s">
        <v>6029</v>
      </c>
      <c r="F1218" t="s">
        <v>6033</v>
      </c>
      <c r="G1218" t="s">
        <v>6044</v>
      </c>
      <c r="H1218" t="s">
        <v>6097</v>
      </c>
      <c r="I1218">
        <v>72</v>
      </c>
      <c r="J1218">
        <v>43.1</v>
      </c>
      <c r="K1218" t="s">
        <v>6099</v>
      </c>
      <c r="L1218" t="s">
        <v>6100</v>
      </c>
      <c r="M1218" t="s">
        <v>6100</v>
      </c>
      <c r="N1218">
        <v>4</v>
      </c>
      <c r="O1218" t="s">
        <v>6101</v>
      </c>
      <c r="P1218" t="s">
        <v>6109</v>
      </c>
      <c r="Q1218">
        <v>3</v>
      </c>
      <c r="R1218">
        <v>2026</v>
      </c>
      <c r="S1218" t="s">
        <v>6099</v>
      </c>
      <c r="T1218">
        <v>1</v>
      </c>
      <c r="U1218" t="s">
        <v>6021</v>
      </c>
      <c r="V1218">
        <v>1</v>
      </c>
    </row>
    <row r="1219" spans="1:22" x14ac:dyDescent="0.3">
      <c r="A1219" t="s">
        <v>1234</v>
      </c>
      <c r="B1219" s="2">
        <v>46082.527777777781</v>
      </c>
      <c r="C1219" s="2">
        <v>46085.111111111109</v>
      </c>
      <c r="D1219" t="s">
        <v>6024</v>
      </c>
      <c r="E1219" t="s">
        <v>6032</v>
      </c>
      <c r="F1219" t="s">
        <v>6034</v>
      </c>
      <c r="G1219" t="s">
        <v>6090</v>
      </c>
      <c r="H1219" t="s">
        <v>6097</v>
      </c>
      <c r="I1219">
        <v>24</v>
      </c>
      <c r="J1219">
        <v>62</v>
      </c>
      <c r="K1219" t="s">
        <v>6099</v>
      </c>
      <c r="L1219" t="s">
        <v>6100</v>
      </c>
      <c r="M1219" t="s">
        <v>6100</v>
      </c>
      <c r="N1219">
        <v>5</v>
      </c>
      <c r="O1219" t="s">
        <v>6101</v>
      </c>
      <c r="P1219" t="s">
        <v>6109</v>
      </c>
      <c r="Q1219">
        <v>3</v>
      </c>
      <c r="R1219">
        <v>2026</v>
      </c>
      <c r="S1219" t="s">
        <v>6100</v>
      </c>
      <c r="T1219">
        <v>0</v>
      </c>
      <c r="U1219" t="s">
        <v>6018</v>
      </c>
      <c r="V1219">
        <v>1</v>
      </c>
    </row>
    <row r="1220" spans="1:22" x14ac:dyDescent="0.3">
      <c r="A1220" t="s">
        <v>1235</v>
      </c>
      <c r="B1220" s="2">
        <v>46082.543055555558</v>
      </c>
      <c r="C1220" s="2">
        <v>46083.001388888886</v>
      </c>
      <c r="D1220" t="s">
        <v>6023</v>
      </c>
      <c r="E1220" t="s">
        <v>6029</v>
      </c>
      <c r="F1220" t="s">
        <v>6035</v>
      </c>
      <c r="G1220" t="s">
        <v>6051</v>
      </c>
      <c r="H1220" t="s">
        <v>6097</v>
      </c>
      <c r="I1220">
        <v>4</v>
      </c>
      <c r="J1220">
        <v>11</v>
      </c>
      <c r="K1220" t="s">
        <v>6099</v>
      </c>
      <c r="L1220" t="s">
        <v>6100</v>
      </c>
      <c r="M1220" t="s">
        <v>6100</v>
      </c>
      <c r="N1220">
        <v>5</v>
      </c>
      <c r="O1220" t="s">
        <v>6101</v>
      </c>
      <c r="P1220" t="s">
        <v>6109</v>
      </c>
      <c r="Q1220">
        <v>3</v>
      </c>
      <c r="R1220">
        <v>2026</v>
      </c>
      <c r="S1220" t="s">
        <v>6100</v>
      </c>
      <c r="T1220">
        <v>0</v>
      </c>
      <c r="U1220" t="s">
        <v>6021</v>
      </c>
      <c r="V1220">
        <v>1</v>
      </c>
    </row>
    <row r="1221" spans="1:22" x14ac:dyDescent="0.3">
      <c r="A1221" t="s">
        <v>1236</v>
      </c>
      <c r="B1221" s="2">
        <v>46082.54791666667</v>
      </c>
      <c r="C1221" s="2">
        <v>46082.831250000003</v>
      </c>
      <c r="D1221" t="s">
        <v>6025</v>
      </c>
      <c r="E1221" t="s">
        <v>6029</v>
      </c>
      <c r="F1221" t="s">
        <v>6035</v>
      </c>
      <c r="G1221" t="s">
        <v>6079</v>
      </c>
      <c r="H1221" t="s">
        <v>6097</v>
      </c>
      <c r="I1221">
        <v>4</v>
      </c>
      <c r="J1221">
        <v>6.8</v>
      </c>
      <c r="K1221" t="s">
        <v>6100</v>
      </c>
      <c r="L1221" t="s">
        <v>6100</v>
      </c>
      <c r="M1221" t="s">
        <v>6100</v>
      </c>
      <c r="O1221" t="s">
        <v>6101</v>
      </c>
      <c r="P1221" t="s">
        <v>6109</v>
      </c>
      <c r="Q1221">
        <v>3</v>
      </c>
      <c r="R1221">
        <v>2026</v>
      </c>
      <c r="S1221" t="s">
        <v>6100</v>
      </c>
      <c r="T1221">
        <v>0</v>
      </c>
      <c r="U1221" t="s">
        <v>6018</v>
      </c>
      <c r="V1221">
        <v>0</v>
      </c>
    </row>
    <row r="1222" spans="1:22" x14ac:dyDescent="0.3">
      <c r="A1222" t="s">
        <v>1237</v>
      </c>
      <c r="B1222" s="2">
        <v>46082.564583333333</v>
      </c>
      <c r="C1222" s="2">
        <v>46083.206250000003</v>
      </c>
      <c r="D1222" t="s">
        <v>6022</v>
      </c>
      <c r="E1222" t="s">
        <v>6029</v>
      </c>
      <c r="F1222" t="s">
        <v>6034</v>
      </c>
      <c r="G1222" t="s">
        <v>6091</v>
      </c>
      <c r="H1222" t="s">
        <v>6097</v>
      </c>
      <c r="I1222">
        <v>24</v>
      </c>
      <c r="J1222">
        <v>15.4</v>
      </c>
      <c r="K1222" t="s">
        <v>6099</v>
      </c>
      <c r="L1222" t="s">
        <v>6100</v>
      </c>
      <c r="M1222" t="s">
        <v>6099</v>
      </c>
      <c r="O1222" t="s">
        <v>6101</v>
      </c>
      <c r="P1222" t="s">
        <v>6109</v>
      </c>
      <c r="Q1222">
        <v>3</v>
      </c>
      <c r="R1222">
        <v>2026</v>
      </c>
      <c r="S1222" t="s">
        <v>6099</v>
      </c>
      <c r="T1222">
        <v>1</v>
      </c>
      <c r="U1222" t="s">
        <v>6020</v>
      </c>
      <c r="V1222">
        <v>1</v>
      </c>
    </row>
    <row r="1223" spans="1:22" x14ac:dyDescent="0.3">
      <c r="A1223" t="s">
        <v>1238</v>
      </c>
      <c r="B1223" s="2">
        <v>46082.650694444441</v>
      </c>
      <c r="C1223" s="2">
        <v>46082.904861111114</v>
      </c>
      <c r="D1223" t="s">
        <v>6027</v>
      </c>
      <c r="E1223" t="s">
        <v>6029</v>
      </c>
      <c r="F1223" t="s">
        <v>6034</v>
      </c>
      <c r="G1223" t="s">
        <v>6063</v>
      </c>
      <c r="H1223" t="s">
        <v>6097</v>
      </c>
      <c r="I1223">
        <v>24</v>
      </c>
      <c r="J1223">
        <v>6.1</v>
      </c>
      <c r="K1223" t="s">
        <v>6099</v>
      </c>
      <c r="L1223" t="s">
        <v>6100</v>
      </c>
      <c r="M1223" t="s">
        <v>6100</v>
      </c>
      <c r="N1223">
        <v>5</v>
      </c>
      <c r="O1223" t="s">
        <v>6101</v>
      </c>
      <c r="P1223" t="s">
        <v>6109</v>
      </c>
      <c r="Q1223">
        <v>3</v>
      </c>
      <c r="R1223">
        <v>2026</v>
      </c>
      <c r="S1223" t="s">
        <v>6099</v>
      </c>
      <c r="T1223">
        <v>1</v>
      </c>
      <c r="U1223" t="s">
        <v>6017</v>
      </c>
      <c r="V1223">
        <v>1</v>
      </c>
    </row>
    <row r="1224" spans="1:22" x14ac:dyDescent="0.3">
      <c r="A1224" t="s">
        <v>1239</v>
      </c>
      <c r="B1224" s="2">
        <v>46082.65347222222</v>
      </c>
      <c r="C1224" s="2">
        <v>46087.332638888889</v>
      </c>
      <c r="D1224" t="s">
        <v>6026</v>
      </c>
      <c r="E1224" t="s">
        <v>6031</v>
      </c>
      <c r="F1224" t="s">
        <v>6034</v>
      </c>
      <c r="G1224" t="s">
        <v>6095</v>
      </c>
      <c r="H1224" t="s">
        <v>6098</v>
      </c>
      <c r="I1224">
        <v>24</v>
      </c>
      <c r="J1224">
        <v>112.3</v>
      </c>
      <c r="K1224" t="s">
        <v>6099</v>
      </c>
      <c r="L1224" t="s">
        <v>6100</v>
      </c>
      <c r="M1224" t="s">
        <v>6100</v>
      </c>
      <c r="O1224" t="s">
        <v>6101</v>
      </c>
      <c r="P1224" t="s">
        <v>6109</v>
      </c>
      <c r="Q1224">
        <v>3</v>
      </c>
      <c r="R1224">
        <v>2026</v>
      </c>
      <c r="S1224" t="s">
        <v>6100</v>
      </c>
      <c r="T1224">
        <v>0</v>
      </c>
      <c r="U1224" t="s">
        <v>6020</v>
      </c>
      <c r="V1224">
        <v>1</v>
      </c>
    </row>
    <row r="1225" spans="1:22" x14ac:dyDescent="0.3">
      <c r="A1225" t="s">
        <v>1240</v>
      </c>
      <c r="B1225" s="2">
        <v>46082.679166666669</v>
      </c>
      <c r="C1225" s="2">
        <v>46083.441666666666</v>
      </c>
      <c r="D1225" t="s">
        <v>6028</v>
      </c>
      <c r="E1225" t="s">
        <v>6031</v>
      </c>
      <c r="F1225" t="s">
        <v>6034</v>
      </c>
      <c r="G1225" t="s">
        <v>6079</v>
      </c>
      <c r="H1225" t="s">
        <v>6097</v>
      </c>
      <c r="I1225">
        <v>24</v>
      </c>
      <c r="J1225">
        <v>18.3</v>
      </c>
      <c r="K1225" t="s">
        <v>6099</v>
      </c>
      <c r="L1225" t="s">
        <v>6100</v>
      </c>
      <c r="M1225" t="s">
        <v>6100</v>
      </c>
      <c r="O1225" t="s">
        <v>6101</v>
      </c>
      <c r="P1225" t="s">
        <v>6109</v>
      </c>
      <c r="Q1225">
        <v>3</v>
      </c>
      <c r="R1225">
        <v>2026</v>
      </c>
      <c r="S1225" t="s">
        <v>6099</v>
      </c>
      <c r="T1225">
        <v>1</v>
      </c>
      <c r="U1225" t="s">
        <v>6018</v>
      </c>
      <c r="V1225">
        <v>1</v>
      </c>
    </row>
    <row r="1226" spans="1:22" x14ac:dyDescent="0.3">
      <c r="A1226" t="s">
        <v>1241</v>
      </c>
      <c r="B1226" s="2">
        <v>46082.688194444447</v>
      </c>
      <c r="C1226" s="2">
        <v>46082.97152777778</v>
      </c>
      <c r="D1226" t="s">
        <v>6023</v>
      </c>
      <c r="E1226" t="s">
        <v>6029</v>
      </c>
      <c r="F1226" t="s">
        <v>6033</v>
      </c>
      <c r="G1226" t="s">
        <v>6082</v>
      </c>
      <c r="H1226" t="s">
        <v>6097</v>
      </c>
      <c r="I1226">
        <v>72</v>
      </c>
      <c r="J1226">
        <v>6.8</v>
      </c>
      <c r="K1226" t="s">
        <v>6099</v>
      </c>
      <c r="L1226" t="s">
        <v>6100</v>
      </c>
      <c r="M1226" t="s">
        <v>6100</v>
      </c>
      <c r="O1226" t="s">
        <v>6101</v>
      </c>
      <c r="P1226" t="s">
        <v>6109</v>
      </c>
      <c r="Q1226">
        <v>3</v>
      </c>
      <c r="R1226">
        <v>2026</v>
      </c>
      <c r="S1226" t="s">
        <v>6099</v>
      </c>
      <c r="T1226">
        <v>1</v>
      </c>
      <c r="U1226" t="s">
        <v>6021</v>
      </c>
      <c r="V1226">
        <v>1</v>
      </c>
    </row>
    <row r="1227" spans="1:22" x14ac:dyDescent="0.3">
      <c r="A1227" t="s">
        <v>1242</v>
      </c>
      <c r="B1227" s="2">
        <v>46082.692361111112</v>
      </c>
      <c r="C1227" s="2">
        <v>46082.892361111109</v>
      </c>
      <c r="D1227" t="s">
        <v>6027</v>
      </c>
      <c r="E1227" t="s">
        <v>6029</v>
      </c>
      <c r="F1227" t="s">
        <v>6034</v>
      </c>
      <c r="G1227" t="s">
        <v>6066</v>
      </c>
      <c r="H1227" t="s">
        <v>6096</v>
      </c>
      <c r="I1227">
        <v>24</v>
      </c>
      <c r="J1227">
        <v>4.8</v>
      </c>
      <c r="K1227" t="s">
        <v>6099</v>
      </c>
      <c r="L1227" t="s">
        <v>6100</v>
      </c>
      <c r="M1227" t="s">
        <v>6100</v>
      </c>
      <c r="N1227">
        <v>5</v>
      </c>
      <c r="O1227" t="s">
        <v>6101</v>
      </c>
      <c r="P1227" t="s">
        <v>6109</v>
      </c>
      <c r="Q1227">
        <v>3</v>
      </c>
      <c r="R1227">
        <v>2026</v>
      </c>
      <c r="S1227" t="s">
        <v>6099</v>
      </c>
      <c r="T1227">
        <v>1</v>
      </c>
      <c r="U1227" t="s">
        <v>6021</v>
      </c>
      <c r="V1227">
        <v>1</v>
      </c>
    </row>
    <row r="1228" spans="1:22" x14ac:dyDescent="0.3">
      <c r="A1228" t="s">
        <v>1243</v>
      </c>
      <c r="B1228" s="2">
        <v>46082.897222222222</v>
      </c>
      <c r="C1228" s="2">
        <v>46083.013888888891</v>
      </c>
      <c r="D1228" t="s">
        <v>6028</v>
      </c>
      <c r="E1228" t="s">
        <v>6029</v>
      </c>
      <c r="F1228" t="s">
        <v>6035</v>
      </c>
      <c r="G1228" t="s">
        <v>6079</v>
      </c>
      <c r="H1228" t="s">
        <v>6097</v>
      </c>
      <c r="I1228">
        <v>4</v>
      </c>
      <c r="J1228">
        <v>2.8</v>
      </c>
      <c r="K1228" t="s">
        <v>6099</v>
      </c>
      <c r="L1228" t="s">
        <v>6100</v>
      </c>
      <c r="M1228" t="s">
        <v>6099</v>
      </c>
      <c r="O1228" t="s">
        <v>6101</v>
      </c>
      <c r="P1228" t="s">
        <v>6109</v>
      </c>
      <c r="Q1228">
        <v>3</v>
      </c>
      <c r="R1228">
        <v>2026</v>
      </c>
      <c r="S1228" t="s">
        <v>6099</v>
      </c>
      <c r="T1228">
        <v>1</v>
      </c>
      <c r="U1228" t="s">
        <v>6020</v>
      </c>
      <c r="V1228">
        <v>1</v>
      </c>
    </row>
    <row r="1229" spans="1:22" x14ac:dyDescent="0.3">
      <c r="A1229" t="s">
        <v>1244</v>
      </c>
      <c r="B1229" s="2">
        <v>46082.958333333336</v>
      </c>
      <c r="C1229" s="2">
        <v>46083.529166666667</v>
      </c>
      <c r="D1229" t="s">
        <v>6027</v>
      </c>
      <c r="E1229" t="s">
        <v>6030</v>
      </c>
      <c r="F1229" t="s">
        <v>6034</v>
      </c>
      <c r="G1229" t="s">
        <v>6043</v>
      </c>
      <c r="H1229" t="s">
        <v>6097</v>
      </c>
      <c r="I1229">
        <v>24</v>
      </c>
      <c r="J1229">
        <v>13.7</v>
      </c>
      <c r="K1229" t="s">
        <v>6099</v>
      </c>
      <c r="L1229" t="s">
        <v>6100</v>
      </c>
      <c r="M1229" t="s">
        <v>6100</v>
      </c>
      <c r="N1229">
        <v>5</v>
      </c>
      <c r="O1229" t="s">
        <v>6101</v>
      </c>
      <c r="P1229" t="s">
        <v>6109</v>
      </c>
      <c r="Q1229">
        <v>3</v>
      </c>
      <c r="R1229">
        <v>2026</v>
      </c>
      <c r="S1229" t="s">
        <v>6099</v>
      </c>
      <c r="T1229">
        <v>1</v>
      </c>
      <c r="U1229" t="s">
        <v>6019</v>
      </c>
      <c r="V1229">
        <v>1</v>
      </c>
    </row>
    <row r="1230" spans="1:22" x14ac:dyDescent="0.3">
      <c r="A1230" t="s">
        <v>1245</v>
      </c>
      <c r="B1230" s="2">
        <v>46083.104166666664</v>
      </c>
      <c r="C1230" s="2">
        <v>46083.254166666666</v>
      </c>
      <c r="D1230" t="s">
        <v>6023</v>
      </c>
      <c r="E1230" t="s">
        <v>6030</v>
      </c>
      <c r="F1230" t="s">
        <v>6033</v>
      </c>
      <c r="G1230" t="s">
        <v>6046</v>
      </c>
      <c r="H1230" t="s">
        <v>6098</v>
      </c>
      <c r="I1230">
        <v>72</v>
      </c>
      <c r="J1230">
        <v>3.6</v>
      </c>
      <c r="K1230" t="s">
        <v>6099</v>
      </c>
      <c r="L1230" t="s">
        <v>6100</v>
      </c>
      <c r="M1230" t="s">
        <v>6100</v>
      </c>
      <c r="O1230" t="s">
        <v>6101</v>
      </c>
      <c r="P1230" t="s">
        <v>6109</v>
      </c>
      <c r="Q1230">
        <v>3</v>
      </c>
      <c r="R1230">
        <v>2026</v>
      </c>
      <c r="S1230" t="s">
        <v>6099</v>
      </c>
      <c r="T1230">
        <v>1</v>
      </c>
      <c r="U1230" t="s">
        <v>6020</v>
      </c>
      <c r="V1230">
        <v>1</v>
      </c>
    </row>
    <row r="1231" spans="1:22" x14ac:dyDescent="0.3">
      <c r="A1231" t="s">
        <v>1246</v>
      </c>
      <c r="B1231" s="2">
        <v>46083.154861111114</v>
      </c>
      <c r="C1231" s="2">
        <v>46084.759027777778</v>
      </c>
      <c r="D1231" t="s">
        <v>6026</v>
      </c>
      <c r="E1231" t="s">
        <v>6029</v>
      </c>
      <c r="F1231" t="s">
        <v>6033</v>
      </c>
      <c r="G1231" t="s">
        <v>6051</v>
      </c>
      <c r="H1231" t="s">
        <v>6097</v>
      </c>
      <c r="I1231">
        <v>72</v>
      </c>
      <c r="J1231">
        <v>38.5</v>
      </c>
      <c r="K1231" t="s">
        <v>6099</v>
      </c>
      <c r="L1231" t="s">
        <v>6100</v>
      </c>
      <c r="M1231" t="s">
        <v>6100</v>
      </c>
      <c r="N1231">
        <v>4</v>
      </c>
      <c r="O1231" t="s">
        <v>6101</v>
      </c>
      <c r="P1231" t="s">
        <v>6109</v>
      </c>
      <c r="Q1231">
        <v>3</v>
      </c>
      <c r="R1231">
        <v>2026</v>
      </c>
      <c r="S1231" t="s">
        <v>6099</v>
      </c>
      <c r="T1231">
        <v>1</v>
      </c>
      <c r="U1231" t="s">
        <v>6021</v>
      </c>
      <c r="V1231">
        <v>1</v>
      </c>
    </row>
    <row r="1232" spans="1:22" x14ac:dyDescent="0.3">
      <c r="A1232" t="s">
        <v>1247</v>
      </c>
      <c r="B1232" s="2">
        <v>46083.314583333333</v>
      </c>
      <c r="C1232" s="2">
        <v>46084.472916666666</v>
      </c>
      <c r="D1232" t="s">
        <v>6028</v>
      </c>
      <c r="E1232" t="s">
        <v>6031</v>
      </c>
      <c r="F1232" t="s">
        <v>6034</v>
      </c>
      <c r="G1232" t="s">
        <v>6056</v>
      </c>
      <c r="H1232" t="s">
        <v>6098</v>
      </c>
      <c r="I1232">
        <v>24</v>
      </c>
      <c r="J1232">
        <v>27.8</v>
      </c>
      <c r="K1232" t="s">
        <v>6099</v>
      </c>
      <c r="L1232" t="s">
        <v>6100</v>
      </c>
      <c r="M1232" t="s">
        <v>6100</v>
      </c>
      <c r="N1232">
        <v>4</v>
      </c>
      <c r="O1232" t="s">
        <v>6101</v>
      </c>
      <c r="P1232" t="s">
        <v>6109</v>
      </c>
      <c r="Q1232">
        <v>3</v>
      </c>
      <c r="R1232">
        <v>2026</v>
      </c>
      <c r="S1232" t="s">
        <v>6100</v>
      </c>
      <c r="T1232">
        <v>0</v>
      </c>
      <c r="U1232" t="s">
        <v>6017</v>
      </c>
      <c r="V1232">
        <v>1</v>
      </c>
    </row>
    <row r="1233" spans="1:22" x14ac:dyDescent="0.3">
      <c r="A1233" t="s">
        <v>1248</v>
      </c>
      <c r="B1233" s="2">
        <v>46083.323611111111</v>
      </c>
      <c r="C1233" s="2">
        <v>46083.652777777781</v>
      </c>
      <c r="D1233" t="s">
        <v>6023</v>
      </c>
      <c r="E1233" t="s">
        <v>6032</v>
      </c>
      <c r="F1233" t="s">
        <v>6033</v>
      </c>
      <c r="G1233" t="s">
        <v>6088</v>
      </c>
      <c r="H1233" t="s">
        <v>6097</v>
      </c>
      <c r="I1233">
        <v>72</v>
      </c>
      <c r="J1233">
        <v>7.9</v>
      </c>
      <c r="K1233" t="s">
        <v>6099</v>
      </c>
      <c r="L1233" t="s">
        <v>6100</v>
      </c>
      <c r="M1233" t="s">
        <v>6100</v>
      </c>
      <c r="N1233">
        <v>5</v>
      </c>
      <c r="O1233" t="s">
        <v>6101</v>
      </c>
      <c r="P1233" t="s">
        <v>6109</v>
      </c>
      <c r="Q1233">
        <v>3</v>
      </c>
      <c r="R1233">
        <v>2026</v>
      </c>
      <c r="S1233" t="s">
        <v>6099</v>
      </c>
      <c r="T1233">
        <v>1</v>
      </c>
      <c r="U1233" t="s">
        <v>6018</v>
      </c>
      <c r="V1233">
        <v>1</v>
      </c>
    </row>
    <row r="1234" spans="1:22" x14ac:dyDescent="0.3">
      <c r="A1234" t="s">
        <v>1249</v>
      </c>
      <c r="B1234" s="2">
        <v>46083.405555555553</v>
      </c>
      <c r="C1234" s="2">
        <v>46083.784722222219</v>
      </c>
      <c r="D1234" t="s">
        <v>6024</v>
      </c>
      <c r="E1234" t="s">
        <v>6030</v>
      </c>
      <c r="F1234" t="s">
        <v>6033</v>
      </c>
      <c r="G1234" t="s">
        <v>6054</v>
      </c>
      <c r="H1234" t="s">
        <v>6096</v>
      </c>
      <c r="I1234">
        <v>72</v>
      </c>
      <c r="J1234">
        <v>9.1</v>
      </c>
      <c r="K1234" t="s">
        <v>6100</v>
      </c>
      <c r="L1234" t="s">
        <v>6099</v>
      </c>
      <c r="M1234" t="s">
        <v>6100</v>
      </c>
      <c r="N1234">
        <v>3</v>
      </c>
      <c r="O1234" t="s">
        <v>6101</v>
      </c>
      <c r="P1234" t="s">
        <v>6109</v>
      </c>
      <c r="Q1234">
        <v>3</v>
      </c>
      <c r="R1234">
        <v>2026</v>
      </c>
      <c r="S1234" t="s">
        <v>6099</v>
      </c>
      <c r="T1234">
        <v>1</v>
      </c>
      <c r="U1234" t="s">
        <v>6021</v>
      </c>
      <c r="V1234">
        <v>0</v>
      </c>
    </row>
    <row r="1235" spans="1:22" x14ac:dyDescent="0.3">
      <c r="A1235" t="s">
        <v>1250</v>
      </c>
      <c r="B1235" s="2">
        <v>46083.468055555553</v>
      </c>
      <c r="C1235" s="2">
        <v>46085.409722222219</v>
      </c>
      <c r="D1235" t="s">
        <v>6022</v>
      </c>
      <c r="E1235" t="s">
        <v>6031</v>
      </c>
      <c r="F1235" t="s">
        <v>6033</v>
      </c>
      <c r="G1235" t="s">
        <v>6043</v>
      </c>
      <c r="H1235" t="s">
        <v>6097</v>
      </c>
      <c r="I1235">
        <v>72</v>
      </c>
      <c r="J1235">
        <v>46.6</v>
      </c>
      <c r="K1235" t="s">
        <v>6100</v>
      </c>
      <c r="L1235" t="s">
        <v>6100</v>
      </c>
      <c r="M1235" t="s">
        <v>6100</v>
      </c>
      <c r="N1235">
        <v>4</v>
      </c>
      <c r="O1235" t="s">
        <v>6101</v>
      </c>
      <c r="P1235" t="s">
        <v>6109</v>
      </c>
      <c r="Q1235">
        <v>3</v>
      </c>
      <c r="R1235">
        <v>2026</v>
      </c>
      <c r="S1235" t="s">
        <v>6099</v>
      </c>
      <c r="T1235">
        <v>1</v>
      </c>
      <c r="U1235" t="s">
        <v>6020</v>
      </c>
      <c r="V1235">
        <v>0</v>
      </c>
    </row>
    <row r="1236" spans="1:22" x14ac:dyDescent="0.3">
      <c r="A1236" t="s">
        <v>1251</v>
      </c>
      <c r="B1236" s="2">
        <v>46083.470833333333</v>
      </c>
      <c r="C1236" s="2">
        <v>46084.112500000003</v>
      </c>
      <c r="D1236" t="s">
        <v>6025</v>
      </c>
      <c r="E1236" t="s">
        <v>6029</v>
      </c>
      <c r="F1236" t="s">
        <v>6034</v>
      </c>
      <c r="G1236" t="s">
        <v>6086</v>
      </c>
      <c r="H1236" t="s">
        <v>6098</v>
      </c>
      <c r="I1236">
        <v>24</v>
      </c>
      <c r="J1236">
        <v>15.4</v>
      </c>
      <c r="K1236" t="s">
        <v>6099</v>
      </c>
      <c r="L1236" t="s">
        <v>6100</v>
      </c>
      <c r="M1236" t="s">
        <v>6100</v>
      </c>
      <c r="N1236">
        <v>5</v>
      </c>
      <c r="O1236" t="s">
        <v>6101</v>
      </c>
      <c r="P1236" t="s">
        <v>6109</v>
      </c>
      <c r="Q1236">
        <v>3</v>
      </c>
      <c r="R1236">
        <v>2026</v>
      </c>
      <c r="S1236" t="s">
        <v>6099</v>
      </c>
      <c r="T1236">
        <v>1</v>
      </c>
      <c r="U1236" t="s">
        <v>6018</v>
      </c>
      <c r="V1236">
        <v>1</v>
      </c>
    </row>
    <row r="1237" spans="1:22" x14ac:dyDescent="0.3">
      <c r="A1237" t="s">
        <v>1252</v>
      </c>
      <c r="B1237" s="2">
        <v>46083.48333333333</v>
      </c>
      <c r="C1237" s="2">
        <v>46091.1</v>
      </c>
      <c r="D1237" t="s">
        <v>6026</v>
      </c>
      <c r="E1237" t="s">
        <v>6031</v>
      </c>
      <c r="F1237" t="s">
        <v>6034</v>
      </c>
      <c r="G1237" t="s">
        <v>6038</v>
      </c>
      <c r="H1237" t="s">
        <v>6096</v>
      </c>
      <c r="I1237">
        <v>24</v>
      </c>
      <c r="J1237">
        <v>182.8</v>
      </c>
      <c r="K1237" t="s">
        <v>6099</v>
      </c>
      <c r="L1237" t="s">
        <v>6100</v>
      </c>
      <c r="M1237" t="s">
        <v>6100</v>
      </c>
      <c r="O1237" t="s">
        <v>6101</v>
      </c>
      <c r="P1237" t="s">
        <v>6109</v>
      </c>
      <c r="Q1237">
        <v>3</v>
      </c>
      <c r="R1237">
        <v>2026</v>
      </c>
      <c r="S1237" t="s">
        <v>6100</v>
      </c>
      <c r="T1237">
        <v>0</v>
      </c>
      <c r="U1237" t="s">
        <v>6021</v>
      </c>
      <c r="V1237">
        <v>1</v>
      </c>
    </row>
    <row r="1238" spans="1:22" x14ac:dyDescent="0.3">
      <c r="A1238" t="s">
        <v>1253</v>
      </c>
      <c r="B1238" s="2">
        <v>46083.5</v>
      </c>
      <c r="C1238" s="2">
        <v>46083.804166666669</v>
      </c>
      <c r="D1238" t="s">
        <v>6028</v>
      </c>
      <c r="E1238" t="s">
        <v>6031</v>
      </c>
      <c r="F1238" t="s">
        <v>6035</v>
      </c>
      <c r="G1238" t="s">
        <v>6040</v>
      </c>
      <c r="H1238" t="s">
        <v>6097</v>
      </c>
      <c r="I1238">
        <v>4</v>
      </c>
      <c r="J1238">
        <v>7.3</v>
      </c>
      <c r="K1238" t="s">
        <v>6099</v>
      </c>
      <c r="L1238" t="s">
        <v>6100</v>
      </c>
      <c r="M1238" t="s">
        <v>6099</v>
      </c>
      <c r="N1238">
        <v>3</v>
      </c>
      <c r="O1238" t="s">
        <v>6101</v>
      </c>
      <c r="P1238" t="s">
        <v>6109</v>
      </c>
      <c r="Q1238">
        <v>3</v>
      </c>
      <c r="R1238">
        <v>2026</v>
      </c>
      <c r="S1238" t="s">
        <v>6100</v>
      </c>
      <c r="T1238">
        <v>0</v>
      </c>
      <c r="U1238" t="s">
        <v>6017</v>
      </c>
      <c r="V1238">
        <v>1</v>
      </c>
    </row>
    <row r="1239" spans="1:22" x14ac:dyDescent="0.3">
      <c r="A1239" t="s">
        <v>1254</v>
      </c>
      <c r="B1239" s="2">
        <v>46083.501388888886</v>
      </c>
      <c r="C1239" s="2">
        <v>46083.93472222222</v>
      </c>
      <c r="D1239" t="s">
        <v>6028</v>
      </c>
      <c r="E1239" t="s">
        <v>6029</v>
      </c>
      <c r="F1239" t="s">
        <v>6035</v>
      </c>
      <c r="G1239" t="s">
        <v>6091</v>
      </c>
      <c r="H1239" t="s">
        <v>6097</v>
      </c>
      <c r="I1239">
        <v>4</v>
      </c>
      <c r="J1239">
        <v>10.4</v>
      </c>
      <c r="K1239" t="s">
        <v>6099</v>
      </c>
      <c r="L1239" t="s">
        <v>6100</v>
      </c>
      <c r="M1239" t="s">
        <v>6099</v>
      </c>
      <c r="O1239" t="s">
        <v>6101</v>
      </c>
      <c r="P1239" t="s">
        <v>6109</v>
      </c>
      <c r="Q1239">
        <v>3</v>
      </c>
      <c r="R1239">
        <v>2026</v>
      </c>
      <c r="S1239" t="s">
        <v>6100</v>
      </c>
      <c r="T1239">
        <v>0</v>
      </c>
      <c r="U1239" t="s">
        <v>6020</v>
      </c>
      <c r="V1239">
        <v>1</v>
      </c>
    </row>
    <row r="1240" spans="1:22" x14ac:dyDescent="0.3">
      <c r="A1240" t="s">
        <v>1255</v>
      </c>
      <c r="B1240" s="2">
        <v>46083.524305555555</v>
      </c>
      <c r="C1240" s="2">
        <v>46083.978472222225</v>
      </c>
      <c r="D1240" t="s">
        <v>6023</v>
      </c>
      <c r="E1240" t="s">
        <v>6030</v>
      </c>
      <c r="F1240" t="s">
        <v>6034</v>
      </c>
      <c r="G1240" t="s">
        <v>6039</v>
      </c>
      <c r="H1240" t="s">
        <v>6097</v>
      </c>
      <c r="I1240">
        <v>24</v>
      </c>
      <c r="J1240">
        <v>10.9</v>
      </c>
      <c r="K1240" t="s">
        <v>6099</v>
      </c>
      <c r="L1240" t="s">
        <v>6100</v>
      </c>
      <c r="M1240" t="s">
        <v>6100</v>
      </c>
      <c r="O1240" t="s">
        <v>6101</v>
      </c>
      <c r="P1240" t="s">
        <v>6109</v>
      </c>
      <c r="Q1240">
        <v>3</v>
      </c>
      <c r="R1240">
        <v>2026</v>
      </c>
      <c r="S1240" t="s">
        <v>6099</v>
      </c>
      <c r="T1240">
        <v>1</v>
      </c>
      <c r="U1240" t="s">
        <v>6021</v>
      </c>
      <c r="V1240">
        <v>1</v>
      </c>
    </row>
    <row r="1241" spans="1:22" x14ac:dyDescent="0.3">
      <c r="A1241" t="s">
        <v>1256</v>
      </c>
      <c r="B1241" s="2">
        <v>46083.581250000003</v>
      </c>
      <c r="C1241" s="2">
        <v>46084.068749999999</v>
      </c>
      <c r="D1241" t="s">
        <v>6028</v>
      </c>
      <c r="E1241" t="s">
        <v>6029</v>
      </c>
      <c r="F1241" t="s">
        <v>6033</v>
      </c>
      <c r="G1241" t="s">
        <v>6083</v>
      </c>
      <c r="H1241" t="s">
        <v>6096</v>
      </c>
      <c r="I1241">
        <v>72</v>
      </c>
      <c r="J1241">
        <v>11.7</v>
      </c>
      <c r="K1241" t="s">
        <v>6100</v>
      </c>
      <c r="L1241" t="s">
        <v>6100</v>
      </c>
      <c r="M1241" t="s">
        <v>6100</v>
      </c>
      <c r="O1241" t="s">
        <v>6101</v>
      </c>
      <c r="P1241" t="s">
        <v>6109</v>
      </c>
      <c r="Q1241">
        <v>3</v>
      </c>
      <c r="R1241">
        <v>2026</v>
      </c>
      <c r="S1241" t="s">
        <v>6099</v>
      </c>
      <c r="T1241">
        <v>1</v>
      </c>
      <c r="U1241" t="s">
        <v>6019</v>
      </c>
      <c r="V1241">
        <v>0</v>
      </c>
    </row>
    <row r="1242" spans="1:22" x14ac:dyDescent="0.3">
      <c r="A1242" t="s">
        <v>1257</v>
      </c>
      <c r="B1242" s="2">
        <v>46083.59097222222</v>
      </c>
      <c r="C1242" s="2">
        <v>46084.295138888891</v>
      </c>
      <c r="D1242" t="s">
        <v>6023</v>
      </c>
      <c r="E1242" t="s">
        <v>6029</v>
      </c>
      <c r="F1242" t="s">
        <v>6034</v>
      </c>
      <c r="G1242" t="s">
        <v>6047</v>
      </c>
      <c r="H1242" t="s">
        <v>6098</v>
      </c>
      <c r="I1242">
        <v>24</v>
      </c>
      <c r="J1242">
        <v>16.899999999999999</v>
      </c>
      <c r="K1242" t="s">
        <v>6099</v>
      </c>
      <c r="L1242" t="s">
        <v>6100</v>
      </c>
      <c r="M1242" t="s">
        <v>6100</v>
      </c>
      <c r="O1242" t="s">
        <v>6101</v>
      </c>
      <c r="P1242" t="s">
        <v>6109</v>
      </c>
      <c r="Q1242">
        <v>3</v>
      </c>
      <c r="R1242">
        <v>2026</v>
      </c>
      <c r="S1242" t="s">
        <v>6099</v>
      </c>
      <c r="T1242">
        <v>1</v>
      </c>
      <c r="U1242" t="s">
        <v>6021</v>
      </c>
      <c r="V1242">
        <v>1</v>
      </c>
    </row>
    <row r="1243" spans="1:22" x14ac:dyDescent="0.3">
      <c r="A1243" t="s">
        <v>1258</v>
      </c>
      <c r="B1243" s="2">
        <v>46083.60833333333</v>
      </c>
      <c r="C1243" s="2">
        <v>46084.14166666667</v>
      </c>
      <c r="D1243" t="s">
        <v>6023</v>
      </c>
      <c r="E1243" t="s">
        <v>6029</v>
      </c>
      <c r="F1243" t="s">
        <v>6033</v>
      </c>
      <c r="G1243" t="s">
        <v>6043</v>
      </c>
      <c r="H1243" t="s">
        <v>6097</v>
      </c>
      <c r="I1243">
        <v>72</v>
      </c>
      <c r="J1243">
        <v>12.8</v>
      </c>
      <c r="K1243" t="s">
        <v>6099</v>
      </c>
      <c r="L1243" t="s">
        <v>6100</v>
      </c>
      <c r="M1243" t="s">
        <v>6100</v>
      </c>
      <c r="N1243">
        <v>5</v>
      </c>
      <c r="O1243" t="s">
        <v>6101</v>
      </c>
      <c r="P1243" t="s">
        <v>6109</v>
      </c>
      <c r="Q1243">
        <v>3</v>
      </c>
      <c r="R1243">
        <v>2026</v>
      </c>
      <c r="S1243" t="s">
        <v>6099</v>
      </c>
      <c r="T1243">
        <v>1</v>
      </c>
      <c r="U1243" t="s">
        <v>6019</v>
      </c>
      <c r="V1243">
        <v>1</v>
      </c>
    </row>
    <row r="1244" spans="1:22" x14ac:dyDescent="0.3">
      <c r="A1244" t="s">
        <v>1259</v>
      </c>
      <c r="B1244" s="2">
        <v>46083.671527777777</v>
      </c>
      <c r="C1244" s="2">
        <v>46084.092361111114</v>
      </c>
      <c r="D1244" t="s">
        <v>6023</v>
      </c>
      <c r="E1244" t="s">
        <v>6029</v>
      </c>
      <c r="F1244" t="s">
        <v>6034</v>
      </c>
      <c r="G1244" t="s">
        <v>6064</v>
      </c>
      <c r="H1244" t="s">
        <v>6096</v>
      </c>
      <c r="I1244">
        <v>24</v>
      </c>
      <c r="J1244">
        <v>10.1</v>
      </c>
      <c r="K1244" t="s">
        <v>6100</v>
      </c>
      <c r="L1244" t="s">
        <v>6100</v>
      </c>
      <c r="M1244" t="s">
        <v>6099</v>
      </c>
      <c r="O1244" t="s">
        <v>6101</v>
      </c>
      <c r="P1244" t="s">
        <v>6109</v>
      </c>
      <c r="Q1244">
        <v>3</v>
      </c>
      <c r="R1244">
        <v>2026</v>
      </c>
      <c r="S1244" t="s">
        <v>6099</v>
      </c>
      <c r="T1244">
        <v>1</v>
      </c>
      <c r="U1244" t="s">
        <v>6019</v>
      </c>
      <c r="V1244">
        <v>0</v>
      </c>
    </row>
    <row r="1245" spans="1:22" x14ac:dyDescent="0.3">
      <c r="A1245" t="s">
        <v>1260</v>
      </c>
      <c r="B1245" s="2">
        <v>46083.704861111109</v>
      </c>
      <c r="C1245" s="2">
        <v>46084.042361111111</v>
      </c>
      <c r="D1245" t="s">
        <v>6024</v>
      </c>
      <c r="E1245" t="s">
        <v>6029</v>
      </c>
      <c r="F1245" t="s">
        <v>6033</v>
      </c>
      <c r="G1245" t="s">
        <v>6036</v>
      </c>
      <c r="H1245" t="s">
        <v>6096</v>
      </c>
      <c r="I1245">
        <v>72</v>
      </c>
      <c r="J1245">
        <v>8.1</v>
      </c>
      <c r="K1245" t="s">
        <v>6100</v>
      </c>
      <c r="L1245" t="s">
        <v>6099</v>
      </c>
      <c r="M1245" t="s">
        <v>6100</v>
      </c>
      <c r="N1245">
        <v>4</v>
      </c>
      <c r="O1245" t="s">
        <v>6101</v>
      </c>
      <c r="P1245" t="s">
        <v>6109</v>
      </c>
      <c r="Q1245">
        <v>3</v>
      </c>
      <c r="R1245">
        <v>2026</v>
      </c>
      <c r="S1245" t="s">
        <v>6099</v>
      </c>
      <c r="T1245">
        <v>1</v>
      </c>
      <c r="U1245" t="s">
        <v>6017</v>
      </c>
      <c r="V1245">
        <v>0</v>
      </c>
    </row>
    <row r="1246" spans="1:22" x14ac:dyDescent="0.3">
      <c r="A1246" t="s">
        <v>1261</v>
      </c>
      <c r="B1246" s="2">
        <v>46083.734722222223</v>
      </c>
      <c r="C1246" s="2">
        <v>46083.913888888892</v>
      </c>
      <c r="D1246" t="s">
        <v>6027</v>
      </c>
      <c r="E1246" t="s">
        <v>6029</v>
      </c>
      <c r="F1246" t="s">
        <v>6034</v>
      </c>
      <c r="G1246" t="s">
        <v>6064</v>
      </c>
      <c r="H1246" t="s">
        <v>6096</v>
      </c>
      <c r="I1246">
        <v>24</v>
      </c>
      <c r="J1246">
        <v>4.3</v>
      </c>
      <c r="K1246" t="s">
        <v>6099</v>
      </c>
      <c r="L1246" t="s">
        <v>6100</v>
      </c>
      <c r="M1246" t="s">
        <v>6100</v>
      </c>
      <c r="O1246" t="s">
        <v>6101</v>
      </c>
      <c r="P1246" t="s">
        <v>6109</v>
      </c>
      <c r="Q1246">
        <v>3</v>
      </c>
      <c r="R1246">
        <v>2026</v>
      </c>
      <c r="S1246" t="s">
        <v>6099</v>
      </c>
      <c r="T1246">
        <v>1</v>
      </c>
      <c r="U1246" t="s">
        <v>6018</v>
      </c>
      <c r="V1246">
        <v>1</v>
      </c>
    </row>
    <row r="1247" spans="1:22" x14ac:dyDescent="0.3">
      <c r="A1247" t="s">
        <v>1262</v>
      </c>
      <c r="B1247" s="2">
        <v>46083.8125</v>
      </c>
      <c r="C1247" s="2">
        <v>46088.175000000003</v>
      </c>
      <c r="D1247" t="s">
        <v>6022</v>
      </c>
      <c r="E1247" t="s">
        <v>6031</v>
      </c>
      <c r="F1247" t="s">
        <v>6033</v>
      </c>
      <c r="G1247" t="s">
        <v>6048</v>
      </c>
      <c r="H1247" t="s">
        <v>6096</v>
      </c>
      <c r="I1247">
        <v>72</v>
      </c>
      <c r="J1247">
        <v>104.7</v>
      </c>
      <c r="K1247" t="s">
        <v>6099</v>
      </c>
      <c r="L1247" t="s">
        <v>6100</v>
      </c>
      <c r="M1247" t="s">
        <v>6100</v>
      </c>
      <c r="N1247">
        <v>5</v>
      </c>
      <c r="O1247" t="s">
        <v>6101</v>
      </c>
      <c r="P1247" t="s">
        <v>6109</v>
      </c>
      <c r="Q1247">
        <v>3</v>
      </c>
      <c r="R1247">
        <v>2026</v>
      </c>
      <c r="S1247" t="s">
        <v>6100</v>
      </c>
      <c r="T1247">
        <v>0</v>
      </c>
      <c r="U1247" t="s">
        <v>6020</v>
      </c>
      <c r="V1247">
        <v>1</v>
      </c>
    </row>
    <row r="1248" spans="1:22" x14ac:dyDescent="0.3">
      <c r="A1248" t="s">
        <v>1263</v>
      </c>
      <c r="B1248" s="2">
        <v>46083.9</v>
      </c>
      <c r="C1248" s="2">
        <v>46086.279166666667</v>
      </c>
      <c r="D1248" t="s">
        <v>6026</v>
      </c>
      <c r="E1248" t="s">
        <v>6031</v>
      </c>
      <c r="F1248" t="s">
        <v>6035</v>
      </c>
      <c r="G1248" t="s">
        <v>6060</v>
      </c>
      <c r="H1248" t="s">
        <v>6097</v>
      </c>
      <c r="I1248">
        <v>4</v>
      </c>
      <c r="J1248">
        <v>57.1</v>
      </c>
      <c r="K1248" t="s">
        <v>6099</v>
      </c>
      <c r="L1248" t="s">
        <v>6100</v>
      </c>
      <c r="M1248" t="s">
        <v>6100</v>
      </c>
      <c r="O1248" t="s">
        <v>6101</v>
      </c>
      <c r="P1248" t="s">
        <v>6109</v>
      </c>
      <c r="Q1248">
        <v>3</v>
      </c>
      <c r="R1248">
        <v>2026</v>
      </c>
      <c r="S1248" t="s">
        <v>6100</v>
      </c>
      <c r="T1248">
        <v>0</v>
      </c>
      <c r="U1248" t="s">
        <v>6021</v>
      </c>
      <c r="V1248">
        <v>1</v>
      </c>
    </row>
    <row r="1249" spans="1:22" x14ac:dyDescent="0.3">
      <c r="A1249" t="s">
        <v>1264</v>
      </c>
      <c r="B1249" s="2">
        <v>46084.194444444445</v>
      </c>
      <c r="C1249" s="2">
        <v>46084.298611111109</v>
      </c>
      <c r="D1249" t="s">
        <v>6022</v>
      </c>
      <c r="E1249" t="s">
        <v>6030</v>
      </c>
      <c r="F1249" t="s">
        <v>6035</v>
      </c>
      <c r="G1249" t="s">
        <v>6067</v>
      </c>
      <c r="H1249" t="s">
        <v>6098</v>
      </c>
      <c r="I1249">
        <v>4</v>
      </c>
      <c r="J1249">
        <v>2.5</v>
      </c>
      <c r="K1249" t="s">
        <v>6100</v>
      </c>
      <c r="L1249" t="s">
        <v>6099</v>
      </c>
      <c r="M1249" t="s">
        <v>6100</v>
      </c>
      <c r="O1249" t="s">
        <v>6101</v>
      </c>
      <c r="P1249" t="s">
        <v>6109</v>
      </c>
      <c r="Q1249">
        <v>3</v>
      </c>
      <c r="R1249">
        <v>2026</v>
      </c>
      <c r="S1249" t="s">
        <v>6099</v>
      </c>
      <c r="T1249">
        <v>1</v>
      </c>
      <c r="U1249" t="s">
        <v>6017</v>
      </c>
      <c r="V1249">
        <v>0</v>
      </c>
    </row>
    <row r="1250" spans="1:22" x14ac:dyDescent="0.3">
      <c r="A1250" t="s">
        <v>1265</v>
      </c>
      <c r="B1250" s="2">
        <v>46084.310416666667</v>
      </c>
      <c r="C1250" s="2">
        <v>46084.431250000001</v>
      </c>
      <c r="D1250" t="s">
        <v>6027</v>
      </c>
      <c r="E1250" t="s">
        <v>6030</v>
      </c>
      <c r="F1250" t="s">
        <v>6034</v>
      </c>
      <c r="G1250" t="s">
        <v>6070</v>
      </c>
      <c r="H1250" t="s">
        <v>6097</v>
      </c>
      <c r="I1250">
        <v>24</v>
      </c>
      <c r="J1250">
        <v>2.9</v>
      </c>
      <c r="K1250" t="s">
        <v>6099</v>
      </c>
      <c r="L1250" t="s">
        <v>6100</v>
      </c>
      <c r="M1250" t="s">
        <v>6100</v>
      </c>
      <c r="N1250">
        <v>4</v>
      </c>
      <c r="O1250" t="s">
        <v>6101</v>
      </c>
      <c r="P1250" t="s">
        <v>6109</v>
      </c>
      <c r="Q1250">
        <v>3</v>
      </c>
      <c r="R1250">
        <v>2026</v>
      </c>
      <c r="S1250" t="s">
        <v>6099</v>
      </c>
      <c r="T1250">
        <v>1</v>
      </c>
      <c r="U1250" t="s">
        <v>6020</v>
      </c>
      <c r="V1250">
        <v>1</v>
      </c>
    </row>
    <row r="1251" spans="1:22" x14ac:dyDescent="0.3">
      <c r="A1251" t="s">
        <v>1266</v>
      </c>
      <c r="B1251" s="2">
        <v>46084.390972222223</v>
      </c>
      <c r="C1251" s="2">
        <v>46086.070138888892</v>
      </c>
      <c r="D1251" t="s">
        <v>6028</v>
      </c>
      <c r="E1251" t="s">
        <v>6031</v>
      </c>
      <c r="F1251" t="s">
        <v>6035</v>
      </c>
      <c r="G1251" t="s">
        <v>6086</v>
      </c>
      <c r="H1251" t="s">
        <v>6098</v>
      </c>
      <c r="I1251">
        <v>4</v>
      </c>
      <c r="J1251">
        <v>40.299999999999997</v>
      </c>
      <c r="K1251" t="s">
        <v>6099</v>
      </c>
      <c r="L1251" t="s">
        <v>6100</v>
      </c>
      <c r="M1251" t="s">
        <v>6100</v>
      </c>
      <c r="N1251">
        <v>5</v>
      </c>
      <c r="O1251" t="s">
        <v>6101</v>
      </c>
      <c r="P1251" t="s">
        <v>6109</v>
      </c>
      <c r="Q1251">
        <v>3</v>
      </c>
      <c r="R1251">
        <v>2026</v>
      </c>
      <c r="S1251" t="s">
        <v>6100</v>
      </c>
      <c r="T1251">
        <v>0</v>
      </c>
      <c r="U1251" t="s">
        <v>6019</v>
      </c>
      <c r="V1251">
        <v>1</v>
      </c>
    </row>
    <row r="1252" spans="1:22" x14ac:dyDescent="0.3">
      <c r="A1252" t="s">
        <v>1267</v>
      </c>
      <c r="B1252" s="2">
        <v>46084.397222222222</v>
      </c>
      <c r="C1252" s="2">
        <v>46084.743055555555</v>
      </c>
      <c r="D1252" t="s">
        <v>6027</v>
      </c>
      <c r="E1252" t="s">
        <v>6029</v>
      </c>
      <c r="F1252" t="s">
        <v>6034</v>
      </c>
      <c r="G1252" t="s">
        <v>6076</v>
      </c>
      <c r="H1252" t="s">
        <v>6097</v>
      </c>
      <c r="I1252">
        <v>24</v>
      </c>
      <c r="J1252">
        <v>8.3000000000000007</v>
      </c>
      <c r="K1252" t="s">
        <v>6099</v>
      </c>
      <c r="L1252" t="s">
        <v>6100</v>
      </c>
      <c r="M1252" t="s">
        <v>6100</v>
      </c>
      <c r="N1252">
        <v>5</v>
      </c>
      <c r="O1252" t="s">
        <v>6101</v>
      </c>
      <c r="P1252" t="s">
        <v>6109</v>
      </c>
      <c r="Q1252">
        <v>3</v>
      </c>
      <c r="R1252">
        <v>2026</v>
      </c>
      <c r="S1252" t="s">
        <v>6099</v>
      </c>
      <c r="T1252">
        <v>1</v>
      </c>
      <c r="U1252" t="s">
        <v>6021</v>
      </c>
      <c r="V1252">
        <v>1</v>
      </c>
    </row>
    <row r="1253" spans="1:22" x14ac:dyDescent="0.3">
      <c r="A1253" t="s">
        <v>1268</v>
      </c>
      <c r="B1253" s="2">
        <v>46084.402777777781</v>
      </c>
      <c r="C1253" s="2">
        <v>46084.661111111112</v>
      </c>
      <c r="D1253" t="s">
        <v>6028</v>
      </c>
      <c r="E1253" t="s">
        <v>6030</v>
      </c>
      <c r="F1253" t="s">
        <v>6035</v>
      </c>
      <c r="G1253" t="s">
        <v>6091</v>
      </c>
      <c r="H1253" t="s">
        <v>6097</v>
      </c>
      <c r="I1253">
        <v>4</v>
      </c>
      <c r="J1253">
        <v>6.2</v>
      </c>
      <c r="K1253" t="s">
        <v>6100</v>
      </c>
      <c r="L1253" t="s">
        <v>6099</v>
      </c>
      <c r="M1253" t="s">
        <v>6100</v>
      </c>
      <c r="N1253">
        <v>2</v>
      </c>
      <c r="O1253" t="s">
        <v>6101</v>
      </c>
      <c r="P1253" t="s">
        <v>6109</v>
      </c>
      <c r="Q1253">
        <v>3</v>
      </c>
      <c r="R1253">
        <v>2026</v>
      </c>
      <c r="S1253" t="s">
        <v>6100</v>
      </c>
      <c r="T1253">
        <v>0</v>
      </c>
      <c r="U1253" t="s">
        <v>6017</v>
      </c>
      <c r="V1253">
        <v>0</v>
      </c>
    </row>
    <row r="1254" spans="1:22" x14ac:dyDescent="0.3">
      <c r="A1254" t="s">
        <v>1269</v>
      </c>
      <c r="B1254" s="2">
        <v>46084.463194444441</v>
      </c>
      <c r="C1254" s="2">
        <v>46084.913194444445</v>
      </c>
      <c r="D1254" t="s">
        <v>6028</v>
      </c>
      <c r="E1254" t="s">
        <v>6031</v>
      </c>
      <c r="F1254" t="s">
        <v>6034</v>
      </c>
      <c r="G1254" t="s">
        <v>6049</v>
      </c>
      <c r="H1254" t="s">
        <v>6097</v>
      </c>
      <c r="I1254">
        <v>24</v>
      </c>
      <c r="J1254">
        <v>10.8</v>
      </c>
      <c r="K1254" t="s">
        <v>6099</v>
      </c>
      <c r="L1254" t="s">
        <v>6100</v>
      </c>
      <c r="M1254" t="s">
        <v>6100</v>
      </c>
      <c r="N1254">
        <v>4</v>
      </c>
      <c r="O1254" t="s">
        <v>6101</v>
      </c>
      <c r="P1254" t="s">
        <v>6109</v>
      </c>
      <c r="Q1254">
        <v>3</v>
      </c>
      <c r="R1254">
        <v>2026</v>
      </c>
      <c r="S1254" t="s">
        <v>6099</v>
      </c>
      <c r="T1254">
        <v>1</v>
      </c>
      <c r="U1254" t="s">
        <v>6020</v>
      </c>
      <c r="V1254">
        <v>1</v>
      </c>
    </row>
    <row r="1255" spans="1:22" x14ac:dyDescent="0.3">
      <c r="A1255" t="s">
        <v>1270</v>
      </c>
      <c r="B1255" s="2">
        <v>46084.46597222222</v>
      </c>
      <c r="C1255" s="2">
        <v>46084.586805555555</v>
      </c>
      <c r="D1255" t="s">
        <v>6023</v>
      </c>
      <c r="E1255" t="s">
        <v>6030</v>
      </c>
      <c r="F1255" t="s">
        <v>6034</v>
      </c>
      <c r="G1255" t="s">
        <v>6037</v>
      </c>
      <c r="H1255" t="s">
        <v>6096</v>
      </c>
      <c r="I1255">
        <v>24</v>
      </c>
      <c r="J1255">
        <v>2.9</v>
      </c>
      <c r="K1255" t="s">
        <v>6100</v>
      </c>
      <c r="L1255" t="s">
        <v>6100</v>
      </c>
      <c r="M1255" t="s">
        <v>6100</v>
      </c>
      <c r="O1255" t="s">
        <v>6101</v>
      </c>
      <c r="P1255" t="s">
        <v>6109</v>
      </c>
      <c r="Q1255">
        <v>3</v>
      </c>
      <c r="R1255">
        <v>2026</v>
      </c>
      <c r="S1255" t="s">
        <v>6099</v>
      </c>
      <c r="T1255">
        <v>1</v>
      </c>
      <c r="U1255" t="s">
        <v>6021</v>
      </c>
      <c r="V1255">
        <v>0</v>
      </c>
    </row>
    <row r="1256" spans="1:22" x14ac:dyDescent="0.3">
      <c r="A1256" t="s">
        <v>1271</v>
      </c>
      <c r="B1256" s="2">
        <v>46084.472916666666</v>
      </c>
      <c r="C1256" s="2">
        <v>46084.822916666664</v>
      </c>
      <c r="D1256" t="s">
        <v>6025</v>
      </c>
      <c r="E1256" t="s">
        <v>6029</v>
      </c>
      <c r="F1256" t="s">
        <v>6033</v>
      </c>
      <c r="G1256" t="s">
        <v>6055</v>
      </c>
      <c r="H1256" t="s">
        <v>6096</v>
      </c>
      <c r="I1256">
        <v>72</v>
      </c>
      <c r="J1256">
        <v>8.4</v>
      </c>
      <c r="K1256" t="s">
        <v>6100</v>
      </c>
      <c r="L1256" t="s">
        <v>6100</v>
      </c>
      <c r="M1256" t="s">
        <v>6100</v>
      </c>
      <c r="N1256">
        <v>3</v>
      </c>
      <c r="O1256" t="s">
        <v>6101</v>
      </c>
      <c r="P1256" t="s">
        <v>6109</v>
      </c>
      <c r="Q1256">
        <v>3</v>
      </c>
      <c r="R1256">
        <v>2026</v>
      </c>
      <c r="S1256" t="s">
        <v>6099</v>
      </c>
      <c r="T1256">
        <v>1</v>
      </c>
      <c r="U1256" t="s">
        <v>6020</v>
      </c>
      <c r="V1256">
        <v>0</v>
      </c>
    </row>
    <row r="1257" spans="1:22" x14ac:dyDescent="0.3">
      <c r="A1257" t="s">
        <v>1272</v>
      </c>
      <c r="B1257" s="2">
        <v>46084.487500000003</v>
      </c>
      <c r="C1257" s="2">
        <v>46084.745833333334</v>
      </c>
      <c r="D1257" t="s">
        <v>6023</v>
      </c>
      <c r="E1257" t="s">
        <v>6029</v>
      </c>
      <c r="F1257" t="s">
        <v>6034</v>
      </c>
      <c r="G1257" t="s">
        <v>6080</v>
      </c>
      <c r="H1257" t="s">
        <v>6096</v>
      </c>
      <c r="I1257">
        <v>24</v>
      </c>
      <c r="J1257">
        <v>6.2</v>
      </c>
      <c r="K1257" t="s">
        <v>6099</v>
      </c>
      <c r="L1257" t="s">
        <v>6100</v>
      </c>
      <c r="M1257" t="s">
        <v>6100</v>
      </c>
      <c r="N1257">
        <v>5</v>
      </c>
      <c r="O1257" t="s">
        <v>6101</v>
      </c>
      <c r="P1257" t="s">
        <v>6109</v>
      </c>
      <c r="Q1257">
        <v>3</v>
      </c>
      <c r="R1257">
        <v>2026</v>
      </c>
      <c r="S1257" t="s">
        <v>6099</v>
      </c>
      <c r="T1257">
        <v>1</v>
      </c>
      <c r="U1257" t="s">
        <v>6017</v>
      </c>
      <c r="V1257">
        <v>1</v>
      </c>
    </row>
    <row r="1258" spans="1:22" x14ac:dyDescent="0.3">
      <c r="A1258" t="s">
        <v>1273</v>
      </c>
      <c r="B1258" s="2">
        <v>46084.489583333336</v>
      </c>
      <c r="C1258" s="2">
        <v>46088.231249999997</v>
      </c>
      <c r="D1258" t="s">
        <v>6026</v>
      </c>
      <c r="E1258" t="s">
        <v>6031</v>
      </c>
      <c r="F1258" t="s">
        <v>6034</v>
      </c>
      <c r="G1258" t="s">
        <v>6057</v>
      </c>
      <c r="H1258" t="s">
        <v>6097</v>
      </c>
      <c r="I1258">
        <v>24</v>
      </c>
      <c r="J1258">
        <v>89.8</v>
      </c>
      <c r="K1258" t="s">
        <v>6099</v>
      </c>
      <c r="L1258" t="s">
        <v>6100</v>
      </c>
      <c r="M1258" t="s">
        <v>6100</v>
      </c>
      <c r="N1258">
        <v>5</v>
      </c>
      <c r="O1258" t="s">
        <v>6101</v>
      </c>
      <c r="P1258" t="s">
        <v>6109</v>
      </c>
      <c r="Q1258">
        <v>3</v>
      </c>
      <c r="R1258">
        <v>2026</v>
      </c>
      <c r="S1258" t="s">
        <v>6100</v>
      </c>
      <c r="T1258">
        <v>0</v>
      </c>
      <c r="U1258" t="s">
        <v>6019</v>
      </c>
      <c r="V1258">
        <v>1</v>
      </c>
    </row>
    <row r="1259" spans="1:22" x14ac:dyDescent="0.3">
      <c r="A1259" t="s">
        <v>1274</v>
      </c>
      <c r="B1259" s="2">
        <v>46084.501388888886</v>
      </c>
      <c r="C1259" s="2">
        <v>46084.863888888889</v>
      </c>
      <c r="D1259" t="s">
        <v>6026</v>
      </c>
      <c r="E1259" t="s">
        <v>6030</v>
      </c>
      <c r="F1259" t="s">
        <v>6033</v>
      </c>
      <c r="G1259" t="s">
        <v>6068</v>
      </c>
      <c r="H1259" t="s">
        <v>6098</v>
      </c>
      <c r="I1259">
        <v>72</v>
      </c>
      <c r="J1259">
        <v>8.6999999999999993</v>
      </c>
      <c r="K1259" t="s">
        <v>6099</v>
      </c>
      <c r="L1259" t="s">
        <v>6100</v>
      </c>
      <c r="M1259" t="s">
        <v>6100</v>
      </c>
      <c r="O1259" t="s">
        <v>6101</v>
      </c>
      <c r="P1259" t="s">
        <v>6109</v>
      </c>
      <c r="Q1259">
        <v>3</v>
      </c>
      <c r="R1259">
        <v>2026</v>
      </c>
      <c r="S1259" t="s">
        <v>6099</v>
      </c>
      <c r="T1259">
        <v>1</v>
      </c>
      <c r="U1259" t="s">
        <v>6021</v>
      </c>
      <c r="V1259">
        <v>1</v>
      </c>
    </row>
    <row r="1260" spans="1:22" x14ac:dyDescent="0.3">
      <c r="A1260" t="s">
        <v>1275</v>
      </c>
      <c r="B1260" s="2">
        <v>46084.566666666666</v>
      </c>
      <c r="C1260" s="2">
        <v>46086</v>
      </c>
      <c r="D1260" t="s">
        <v>6025</v>
      </c>
      <c r="E1260" t="s">
        <v>6029</v>
      </c>
      <c r="F1260" t="s">
        <v>6035</v>
      </c>
      <c r="G1260" t="s">
        <v>6038</v>
      </c>
      <c r="H1260" t="s">
        <v>6096</v>
      </c>
      <c r="I1260">
        <v>4</v>
      </c>
      <c r="J1260">
        <v>34.4</v>
      </c>
      <c r="K1260" t="s">
        <v>6099</v>
      </c>
      <c r="L1260" t="s">
        <v>6100</v>
      </c>
      <c r="M1260" t="s">
        <v>6100</v>
      </c>
      <c r="N1260">
        <v>4</v>
      </c>
      <c r="O1260" t="s">
        <v>6101</v>
      </c>
      <c r="P1260" t="s">
        <v>6109</v>
      </c>
      <c r="Q1260">
        <v>3</v>
      </c>
      <c r="R1260">
        <v>2026</v>
      </c>
      <c r="S1260" t="s">
        <v>6100</v>
      </c>
      <c r="T1260">
        <v>0</v>
      </c>
      <c r="U1260" t="s">
        <v>6020</v>
      </c>
      <c r="V1260">
        <v>1</v>
      </c>
    </row>
    <row r="1261" spans="1:22" x14ac:dyDescent="0.3">
      <c r="A1261" t="s">
        <v>1276</v>
      </c>
      <c r="B1261" s="2">
        <v>46084.568749999999</v>
      </c>
      <c r="C1261" s="2">
        <v>46084.727083333331</v>
      </c>
      <c r="D1261" t="s">
        <v>6023</v>
      </c>
      <c r="E1261" t="s">
        <v>6032</v>
      </c>
      <c r="F1261" t="s">
        <v>6033</v>
      </c>
      <c r="G1261" t="s">
        <v>6095</v>
      </c>
      <c r="H1261" t="s">
        <v>6098</v>
      </c>
      <c r="I1261">
        <v>72</v>
      </c>
      <c r="J1261">
        <v>3.8</v>
      </c>
      <c r="K1261" t="s">
        <v>6099</v>
      </c>
      <c r="L1261" t="s">
        <v>6100</v>
      </c>
      <c r="M1261" t="s">
        <v>6099</v>
      </c>
      <c r="O1261" t="s">
        <v>6101</v>
      </c>
      <c r="P1261" t="s">
        <v>6109</v>
      </c>
      <c r="Q1261">
        <v>3</v>
      </c>
      <c r="R1261">
        <v>2026</v>
      </c>
      <c r="S1261" t="s">
        <v>6099</v>
      </c>
      <c r="T1261">
        <v>1</v>
      </c>
      <c r="U1261" t="s">
        <v>6020</v>
      </c>
      <c r="V1261">
        <v>1</v>
      </c>
    </row>
    <row r="1262" spans="1:22" x14ac:dyDescent="0.3">
      <c r="A1262" t="s">
        <v>1277</v>
      </c>
      <c r="B1262" s="2">
        <v>46084.640277777777</v>
      </c>
      <c r="C1262" s="2">
        <v>46084.794444444444</v>
      </c>
      <c r="D1262" t="s">
        <v>6023</v>
      </c>
      <c r="E1262" t="s">
        <v>6029</v>
      </c>
      <c r="F1262" t="s">
        <v>6033</v>
      </c>
      <c r="G1262" t="s">
        <v>6060</v>
      </c>
      <c r="H1262" t="s">
        <v>6097</v>
      </c>
      <c r="I1262">
        <v>72</v>
      </c>
      <c r="J1262">
        <v>3.7</v>
      </c>
      <c r="K1262" t="s">
        <v>6099</v>
      </c>
      <c r="L1262" t="s">
        <v>6100</v>
      </c>
      <c r="M1262" t="s">
        <v>6100</v>
      </c>
      <c r="N1262">
        <v>5</v>
      </c>
      <c r="O1262" t="s">
        <v>6101</v>
      </c>
      <c r="P1262" t="s">
        <v>6109</v>
      </c>
      <c r="Q1262">
        <v>3</v>
      </c>
      <c r="R1262">
        <v>2026</v>
      </c>
      <c r="S1262" t="s">
        <v>6099</v>
      </c>
      <c r="T1262">
        <v>1</v>
      </c>
      <c r="U1262" t="s">
        <v>6021</v>
      </c>
      <c r="V1262">
        <v>1</v>
      </c>
    </row>
    <row r="1263" spans="1:22" x14ac:dyDescent="0.3">
      <c r="A1263" t="s">
        <v>1278</v>
      </c>
      <c r="B1263" s="2">
        <v>46084.657638888886</v>
      </c>
      <c r="C1263" s="2">
        <v>46085.290972222225</v>
      </c>
      <c r="D1263" t="s">
        <v>6022</v>
      </c>
      <c r="E1263" t="s">
        <v>6030</v>
      </c>
      <c r="F1263" t="s">
        <v>6033</v>
      </c>
      <c r="G1263" t="s">
        <v>6074</v>
      </c>
      <c r="H1263" t="s">
        <v>6098</v>
      </c>
      <c r="I1263">
        <v>72</v>
      </c>
      <c r="J1263">
        <v>15.2</v>
      </c>
      <c r="K1263" t="s">
        <v>6100</v>
      </c>
      <c r="L1263" t="s">
        <v>6100</v>
      </c>
      <c r="M1263" t="s">
        <v>6100</v>
      </c>
      <c r="N1263">
        <v>5</v>
      </c>
      <c r="O1263" t="s">
        <v>6101</v>
      </c>
      <c r="P1263" t="s">
        <v>6109</v>
      </c>
      <c r="Q1263">
        <v>3</v>
      </c>
      <c r="R1263">
        <v>2026</v>
      </c>
      <c r="S1263" t="s">
        <v>6099</v>
      </c>
      <c r="T1263">
        <v>1</v>
      </c>
      <c r="U1263" t="s">
        <v>6019</v>
      </c>
      <c r="V1263">
        <v>0</v>
      </c>
    </row>
    <row r="1264" spans="1:22" x14ac:dyDescent="0.3">
      <c r="A1264" t="s">
        <v>1279</v>
      </c>
      <c r="B1264" s="2">
        <v>46084.668055555558</v>
      </c>
      <c r="C1264" s="2">
        <v>46085.305555555555</v>
      </c>
      <c r="D1264" t="s">
        <v>6025</v>
      </c>
      <c r="E1264" t="s">
        <v>6031</v>
      </c>
      <c r="F1264" t="s">
        <v>6033</v>
      </c>
      <c r="G1264" t="s">
        <v>6070</v>
      </c>
      <c r="H1264" t="s">
        <v>6097</v>
      </c>
      <c r="I1264">
        <v>72</v>
      </c>
      <c r="J1264">
        <v>15.3</v>
      </c>
      <c r="K1264" t="s">
        <v>6100</v>
      </c>
      <c r="L1264" t="s">
        <v>6099</v>
      </c>
      <c r="M1264" t="s">
        <v>6100</v>
      </c>
      <c r="N1264">
        <v>3</v>
      </c>
      <c r="O1264" t="s">
        <v>6101</v>
      </c>
      <c r="P1264" t="s">
        <v>6109</v>
      </c>
      <c r="Q1264">
        <v>3</v>
      </c>
      <c r="R1264">
        <v>2026</v>
      </c>
      <c r="S1264" t="s">
        <v>6099</v>
      </c>
      <c r="T1264">
        <v>1</v>
      </c>
      <c r="U1264" t="s">
        <v>6018</v>
      </c>
      <c r="V1264">
        <v>0</v>
      </c>
    </row>
    <row r="1265" spans="1:22" x14ac:dyDescent="0.3">
      <c r="A1265" t="s">
        <v>1280</v>
      </c>
      <c r="B1265" s="2">
        <v>46084.724999999999</v>
      </c>
      <c r="C1265" s="2">
        <v>46085.033333333333</v>
      </c>
      <c r="D1265" t="s">
        <v>6023</v>
      </c>
      <c r="E1265" t="s">
        <v>6032</v>
      </c>
      <c r="F1265" t="s">
        <v>6033</v>
      </c>
      <c r="G1265" t="s">
        <v>6046</v>
      </c>
      <c r="H1265" t="s">
        <v>6098</v>
      </c>
      <c r="I1265">
        <v>72</v>
      </c>
      <c r="J1265">
        <v>7.4</v>
      </c>
      <c r="K1265" t="s">
        <v>6099</v>
      </c>
      <c r="L1265" t="s">
        <v>6100</v>
      </c>
      <c r="M1265" t="s">
        <v>6100</v>
      </c>
      <c r="O1265" t="s">
        <v>6101</v>
      </c>
      <c r="P1265" t="s">
        <v>6109</v>
      </c>
      <c r="Q1265">
        <v>3</v>
      </c>
      <c r="R1265">
        <v>2026</v>
      </c>
      <c r="S1265" t="s">
        <v>6099</v>
      </c>
      <c r="T1265">
        <v>1</v>
      </c>
      <c r="U1265" t="s">
        <v>6020</v>
      </c>
      <c r="V1265">
        <v>1</v>
      </c>
    </row>
    <row r="1266" spans="1:22" x14ac:dyDescent="0.3">
      <c r="A1266" t="s">
        <v>1281</v>
      </c>
      <c r="B1266" s="2">
        <v>46084.873611111114</v>
      </c>
      <c r="C1266" s="2">
        <v>46085.419444444444</v>
      </c>
      <c r="D1266" t="s">
        <v>6025</v>
      </c>
      <c r="E1266" t="s">
        <v>6029</v>
      </c>
      <c r="F1266" t="s">
        <v>6034</v>
      </c>
      <c r="G1266" t="s">
        <v>6091</v>
      </c>
      <c r="H1266" t="s">
        <v>6097</v>
      </c>
      <c r="I1266">
        <v>24</v>
      </c>
      <c r="J1266">
        <v>13.1</v>
      </c>
      <c r="K1266" t="s">
        <v>6099</v>
      </c>
      <c r="L1266" t="s">
        <v>6100</v>
      </c>
      <c r="M1266" t="s">
        <v>6100</v>
      </c>
      <c r="O1266" t="s">
        <v>6101</v>
      </c>
      <c r="P1266" t="s">
        <v>6109</v>
      </c>
      <c r="Q1266">
        <v>3</v>
      </c>
      <c r="R1266">
        <v>2026</v>
      </c>
      <c r="S1266" t="s">
        <v>6099</v>
      </c>
      <c r="T1266">
        <v>1</v>
      </c>
      <c r="U1266" t="s">
        <v>6019</v>
      </c>
      <c r="V1266">
        <v>1</v>
      </c>
    </row>
    <row r="1267" spans="1:22" x14ac:dyDescent="0.3">
      <c r="A1267" t="s">
        <v>1282</v>
      </c>
      <c r="B1267" s="2">
        <v>46084.929166666669</v>
      </c>
      <c r="C1267" s="2">
        <v>46085.854166666664</v>
      </c>
      <c r="D1267" t="s">
        <v>6027</v>
      </c>
      <c r="E1267" t="s">
        <v>6032</v>
      </c>
      <c r="F1267" t="s">
        <v>6033</v>
      </c>
      <c r="G1267" t="s">
        <v>6089</v>
      </c>
      <c r="H1267" t="s">
        <v>6098</v>
      </c>
      <c r="I1267">
        <v>72</v>
      </c>
      <c r="J1267">
        <v>22.2</v>
      </c>
      <c r="K1267" t="s">
        <v>6099</v>
      </c>
      <c r="L1267" t="s">
        <v>6100</v>
      </c>
      <c r="M1267" t="s">
        <v>6100</v>
      </c>
      <c r="N1267">
        <v>5</v>
      </c>
      <c r="O1267" t="s">
        <v>6101</v>
      </c>
      <c r="P1267" t="s">
        <v>6109</v>
      </c>
      <c r="Q1267">
        <v>3</v>
      </c>
      <c r="R1267">
        <v>2026</v>
      </c>
      <c r="S1267" t="s">
        <v>6099</v>
      </c>
      <c r="T1267">
        <v>1</v>
      </c>
      <c r="U1267" t="s">
        <v>6017</v>
      </c>
      <c r="V1267">
        <v>1</v>
      </c>
    </row>
    <row r="1268" spans="1:22" x14ac:dyDescent="0.3">
      <c r="A1268" t="s">
        <v>1283</v>
      </c>
      <c r="B1268" s="2">
        <v>46085.101388888892</v>
      </c>
      <c r="C1268" s="2">
        <v>46085.99722222222</v>
      </c>
      <c r="D1268" t="s">
        <v>6023</v>
      </c>
      <c r="E1268" t="s">
        <v>6032</v>
      </c>
      <c r="F1268" t="s">
        <v>6034</v>
      </c>
      <c r="G1268" t="s">
        <v>6038</v>
      </c>
      <c r="H1268" t="s">
        <v>6096</v>
      </c>
      <c r="I1268">
        <v>24</v>
      </c>
      <c r="J1268">
        <v>21.5</v>
      </c>
      <c r="K1268" t="s">
        <v>6099</v>
      </c>
      <c r="L1268" t="s">
        <v>6100</v>
      </c>
      <c r="M1268" t="s">
        <v>6100</v>
      </c>
      <c r="N1268">
        <v>5</v>
      </c>
      <c r="O1268" t="s">
        <v>6101</v>
      </c>
      <c r="P1268" t="s">
        <v>6109</v>
      </c>
      <c r="Q1268">
        <v>3</v>
      </c>
      <c r="R1268">
        <v>2026</v>
      </c>
      <c r="S1268" t="s">
        <v>6099</v>
      </c>
      <c r="T1268">
        <v>1</v>
      </c>
      <c r="U1268" t="s">
        <v>6017</v>
      </c>
      <c r="V1268">
        <v>1</v>
      </c>
    </row>
    <row r="1269" spans="1:22" x14ac:dyDescent="0.3">
      <c r="A1269" t="s">
        <v>1284</v>
      </c>
      <c r="B1269" s="2">
        <v>46085.18472222222</v>
      </c>
      <c r="C1269" s="2">
        <v>46085.355555555558</v>
      </c>
      <c r="D1269" t="s">
        <v>6023</v>
      </c>
      <c r="E1269" t="s">
        <v>6029</v>
      </c>
      <c r="F1269" t="s">
        <v>6033</v>
      </c>
      <c r="G1269" t="s">
        <v>6079</v>
      </c>
      <c r="H1269" t="s">
        <v>6097</v>
      </c>
      <c r="I1269">
        <v>72</v>
      </c>
      <c r="J1269">
        <v>4.0999999999999996</v>
      </c>
      <c r="K1269" t="s">
        <v>6099</v>
      </c>
      <c r="L1269" t="s">
        <v>6100</v>
      </c>
      <c r="M1269" t="s">
        <v>6100</v>
      </c>
      <c r="N1269">
        <v>4</v>
      </c>
      <c r="O1269" t="s">
        <v>6101</v>
      </c>
      <c r="P1269" t="s">
        <v>6109</v>
      </c>
      <c r="Q1269">
        <v>3</v>
      </c>
      <c r="R1269">
        <v>2026</v>
      </c>
      <c r="S1269" t="s">
        <v>6099</v>
      </c>
      <c r="T1269">
        <v>1</v>
      </c>
      <c r="U1269" t="s">
        <v>6021</v>
      </c>
      <c r="V1269">
        <v>1</v>
      </c>
    </row>
    <row r="1270" spans="1:22" x14ac:dyDescent="0.3">
      <c r="A1270" t="s">
        <v>1285</v>
      </c>
      <c r="B1270" s="2">
        <v>46085.338888888888</v>
      </c>
      <c r="C1270" s="2">
        <v>46085.718055555553</v>
      </c>
      <c r="D1270" t="s">
        <v>6027</v>
      </c>
      <c r="E1270" t="s">
        <v>6029</v>
      </c>
      <c r="F1270" t="s">
        <v>6034</v>
      </c>
      <c r="G1270" t="s">
        <v>6060</v>
      </c>
      <c r="H1270" t="s">
        <v>6097</v>
      </c>
      <c r="I1270">
        <v>24</v>
      </c>
      <c r="J1270">
        <v>9.1</v>
      </c>
      <c r="K1270" t="s">
        <v>6100</v>
      </c>
      <c r="L1270" t="s">
        <v>6100</v>
      </c>
      <c r="M1270" t="s">
        <v>6100</v>
      </c>
      <c r="N1270">
        <v>3</v>
      </c>
      <c r="O1270" t="s">
        <v>6101</v>
      </c>
      <c r="P1270" t="s">
        <v>6109</v>
      </c>
      <c r="Q1270">
        <v>3</v>
      </c>
      <c r="R1270">
        <v>2026</v>
      </c>
      <c r="S1270" t="s">
        <v>6099</v>
      </c>
      <c r="T1270">
        <v>1</v>
      </c>
      <c r="U1270" t="s">
        <v>6021</v>
      </c>
      <c r="V1270">
        <v>0</v>
      </c>
    </row>
    <row r="1271" spans="1:22" x14ac:dyDescent="0.3">
      <c r="A1271" t="s">
        <v>1286</v>
      </c>
      <c r="B1271" s="2">
        <v>46085.382638888892</v>
      </c>
      <c r="C1271" s="2">
        <v>46086.207638888889</v>
      </c>
      <c r="D1271" t="s">
        <v>6024</v>
      </c>
      <c r="E1271" t="s">
        <v>6030</v>
      </c>
      <c r="F1271" t="s">
        <v>6034</v>
      </c>
      <c r="G1271" t="s">
        <v>6091</v>
      </c>
      <c r="H1271" t="s">
        <v>6097</v>
      </c>
      <c r="I1271">
        <v>24</v>
      </c>
      <c r="J1271">
        <v>19.8</v>
      </c>
      <c r="K1271" t="s">
        <v>6099</v>
      </c>
      <c r="L1271" t="s">
        <v>6100</v>
      </c>
      <c r="M1271" t="s">
        <v>6100</v>
      </c>
      <c r="N1271">
        <v>5</v>
      </c>
      <c r="O1271" t="s">
        <v>6101</v>
      </c>
      <c r="P1271" t="s">
        <v>6109</v>
      </c>
      <c r="Q1271">
        <v>3</v>
      </c>
      <c r="R1271">
        <v>2026</v>
      </c>
      <c r="S1271" t="s">
        <v>6099</v>
      </c>
      <c r="T1271">
        <v>1</v>
      </c>
      <c r="U1271" t="s">
        <v>6021</v>
      </c>
      <c r="V1271">
        <v>1</v>
      </c>
    </row>
    <row r="1272" spans="1:22" x14ac:dyDescent="0.3">
      <c r="A1272" t="s">
        <v>1287</v>
      </c>
      <c r="B1272" s="2">
        <v>46085.411111111112</v>
      </c>
      <c r="C1272" s="2">
        <v>46088.106944444444</v>
      </c>
      <c r="D1272" t="s">
        <v>6025</v>
      </c>
      <c r="E1272" t="s">
        <v>6032</v>
      </c>
      <c r="F1272" t="s">
        <v>6034</v>
      </c>
      <c r="G1272" t="s">
        <v>6078</v>
      </c>
      <c r="H1272" t="s">
        <v>6097</v>
      </c>
      <c r="I1272">
        <v>24</v>
      </c>
      <c r="J1272">
        <v>64.7</v>
      </c>
      <c r="K1272" t="s">
        <v>6100</v>
      </c>
      <c r="L1272" t="s">
        <v>6100</v>
      </c>
      <c r="M1272" t="s">
        <v>6100</v>
      </c>
      <c r="N1272">
        <v>4</v>
      </c>
      <c r="O1272" t="s">
        <v>6101</v>
      </c>
      <c r="P1272" t="s">
        <v>6109</v>
      </c>
      <c r="Q1272">
        <v>3</v>
      </c>
      <c r="R1272">
        <v>2026</v>
      </c>
      <c r="S1272" t="s">
        <v>6100</v>
      </c>
      <c r="T1272">
        <v>0</v>
      </c>
      <c r="U1272" t="s">
        <v>6019</v>
      </c>
      <c r="V1272">
        <v>0</v>
      </c>
    </row>
    <row r="1273" spans="1:22" x14ac:dyDescent="0.3">
      <c r="A1273" t="s">
        <v>1288</v>
      </c>
      <c r="B1273" s="2">
        <v>46085.42083333333</v>
      </c>
      <c r="C1273" s="2">
        <v>46086.074999999997</v>
      </c>
      <c r="D1273" t="s">
        <v>6027</v>
      </c>
      <c r="E1273" t="s">
        <v>6032</v>
      </c>
      <c r="F1273" t="s">
        <v>6033</v>
      </c>
      <c r="G1273" t="s">
        <v>6045</v>
      </c>
      <c r="H1273" t="s">
        <v>6096</v>
      </c>
      <c r="I1273">
        <v>72</v>
      </c>
      <c r="J1273">
        <v>15.7</v>
      </c>
      <c r="K1273" t="s">
        <v>6100</v>
      </c>
      <c r="L1273" t="s">
        <v>6099</v>
      </c>
      <c r="M1273" t="s">
        <v>6100</v>
      </c>
      <c r="N1273">
        <v>3</v>
      </c>
      <c r="O1273" t="s">
        <v>6101</v>
      </c>
      <c r="P1273" t="s">
        <v>6109</v>
      </c>
      <c r="Q1273">
        <v>3</v>
      </c>
      <c r="R1273">
        <v>2026</v>
      </c>
      <c r="S1273" t="s">
        <v>6099</v>
      </c>
      <c r="T1273">
        <v>1</v>
      </c>
      <c r="U1273" t="s">
        <v>6019</v>
      </c>
      <c r="V1273">
        <v>0</v>
      </c>
    </row>
    <row r="1274" spans="1:22" x14ac:dyDescent="0.3">
      <c r="A1274" t="s">
        <v>1289</v>
      </c>
      <c r="B1274" s="2">
        <v>46085.456944444442</v>
      </c>
      <c r="C1274" s="2">
        <v>46085.773611111108</v>
      </c>
      <c r="D1274" t="s">
        <v>6023</v>
      </c>
      <c r="E1274" t="s">
        <v>6029</v>
      </c>
      <c r="F1274" t="s">
        <v>6034</v>
      </c>
      <c r="G1274" t="s">
        <v>6043</v>
      </c>
      <c r="H1274" t="s">
        <v>6097</v>
      </c>
      <c r="I1274">
        <v>24</v>
      </c>
      <c r="J1274">
        <v>7.6</v>
      </c>
      <c r="K1274" t="s">
        <v>6099</v>
      </c>
      <c r="L1274" t="s">
        <v>6100</v>
      </c>
      <c r="M1274" t="s">
        <v>6100</v>
      </c>
      <c r="N1274">
        <v>5</v>
      </c>
      <c r="O1274" t="s">
        <v>6101</v>
      </c>
      <c r="P1274" t="s">
        <v>6109</v>
      </c>
      <c r="Q1274">
        <v>3</v>
      </c>
      <c r="R1274">
        <v>2026</v>
      </c>
      <c r="S1274" t="s">
        <v>6099</v>
      </c>
      <c r="T1274">
        <v>1</v>
      </c>
      <c r="U1274" t="s">
        <v>6019</v>
      </c>
      <c r="V1274">
        <v>1</v>
      </c>
    </row>
    <row r="1275" spans="1:22" x14ac:dyDescent="0.3">
      <c r="A1275" t="s">
        <v>1290</v>
      </c>
      <c r="B1275" s="2">
        <v>46085.462500000001</v>
      </c>
      <c r="C1275" s="2">
        <v>46085.662499999999</v>
      </c>
      <c r="D1275" t="s">
        <v>6027</v>
      </c>
      <c r="E1275" t="s">
        <v>6029</v>
      </c>
      <c r="F1275" t="s">
        <v>6035</v>
      </c>
      <c r="G1275" t="s">
        <v>6095</v>
      </c>
      <c r="H1275" t="s">
        <v>6098</v>
      </c>
      <c r="I1275">
        <v>4</v>
      </c>
      <c r="J1275">
        <v>4.8</v>
      </c>
      <c r="K1275" t="s">
        <v>6099</v>
      </c>
      <c r="L1275" t="s">
        <v>6100</v>
      </c>
      <c r="M1275" t="s">
        <v>6100</v>
      </c>
      <c r="N1275">
        <v>3</v>
      </c>
      <c r="O1275" t="s">
        <v>6101</v>
      </c>
      <c r="P1275" t="s">
        <v>6109</v>
      </c>
      <c r="Q1275">
        <v>3</v>
      </c>
      <c r="R1275">
        <v>2026</v>
      </c>
      <c r="S1275" t="s">
        <v>6100</v>
      </c>
      <c r="T1275">
        <v>0</v>
      </c>
      <c r="U1275" t="s">
        <v>6021</v>
      </c>
      <c r="V1275">
        <v>1</v>
      </c>
    </row>
    <row r="1276" spans="1:22" x14ac:dyDescent="0.3">
      <c r="A1276" t="s">
        <v>1291</v>
      </c>
      <c r="B1276" s="2">
        <v>46085.463194444441</v>
      </c>
      <c r="C1276" s="2">
        <v>46085.567361111112</v>
      </c>
      <c r="D1276" t="s">
        <v>6023</v>
      </c>
      <c r="E1276" t="s">
        <v>6029</v>
      </c>
      <c r="F1276" t="s">
        <v>6034</v>
      </c>
      <c r="G1276" t="s">
        <v>6085</v>
      </c>
      <c r="H1276" t="s">
        <v>6097</v>
      </c>
      <c r="I1276">
        <v>24</v>
      </c>
      <c r="J1276">
        <v>2.5</v>
      </c>
      <c r="K1276" t="s">
        <v>6099</v>
      </c>
      <c r="L1276" t="s">
        <v>6100</v>
      </c>
      <c r="M1276" t="s">
        <v>6100</v>
      </c>
      <c r="O1276" t="s">
        <v>6101</v>
      </c>
      <c r="P1276" t="s">
        <v>6109</v>
      </c>
      <c r="Q1276">
        <v>3</v>
      </c>
      <c r="R1276">
        <v>2026</v>
      </c>
      <c r="S1276" t="s">
        <v>6099</v>
      </c>
      <c r="T1276">
        <v>1</v>
      </c>
      <c r="U1276" t="s">
        <v>6019</v>
      </c>
      <c r="V1276">
        <v>1</v>
      </c>
    </row>
    <row r="1277" spans="1:22" x14ac:dyDescent="0.3">
      <c r="A1277" t="s">
        <v>1292</v>
      </c>
      <c r="B1277" s="2">
        <v>46085.489583333336</v>
      </c>
      <c r="C1277" s="2">
        <v>46085.956250000003</v>
      </c>
      <c r="D1277" t="s">
        <v>6022</v>
      </c>
      <c r="E1277" t="s">
        <v>6029</v>
      </c>
      <c r="F1277" t="s">
        <v>6034</v>
      </c>
      <c r="G1277" t="s">
        <v>6088</v>
      </c>
      <c r="H1277" t="s">
        <v>6097</v>
      </c>
      <c r="I1277">
        <v>24</v>
      </c>
      <c r="J1277">
        <v>11.2</v>
      </c>
      <c r="K1277" t="s">
        <v>6099</v>
      </c>
      <c r="L1277" t="s">
        <v>6100</v>
      </c>
      <c r="M1277" t="s">
        <v>6100</v>
      </c>
      <c r="N1277">
        <v>4</v>
      </c>
      <c r="O1277" t="s">
        <v>6101</v>
      </c>
      <c r="P1277" t="s">
        <v>6109</v>
      </c>
      <c r="Q1277">
        <v>3</v>
      </c>
      <c r="R1277">
        <v>2026</v>
      </c>
      <c r="S1277" t="s">
        <v>6099</v>
      </c>
      <c r="T1277">
        <v>1</v>
      </c>
      <c r="U1277" t="s">
        <v>6021</v>
      </c>
      <c r="V1277">
        <v>1</v>
      </c>
    </row>
    <row r="1278" spans="1:22" x14ac:dyDescent="0.3">
      <c r="A1278" t="s">
        <v>1293</v>
      </c>
      <c r="B1278" s="2">
        <v>46085.507638888892</v>
      </c>
      <c r="C1278" s="2">
        <v>46086.128472222219</v>
      </c>
      <c r="D1278" t="s">
        <v>6028</v>
      </c>
      <c r="E1278" t="s">
        <v>6029</v>
      </c>
      <c r="F1278" t="s">
        <v>6035</v>
      </c>
      <c r="G1278" t="s">
        <v>6078</v>
      </c>
      <c r="H1278" t="s">
        <v>6097</v>
      </c>
      <c r="I1278">
        <v>4</v>
      </c>
      <c r="J1278">
        <v>14.9</v>
      </c>
      <c r="K1278" t="s">
        <v>6099</v>
      </c>
      <c r="L1278" t="s">
        <v>6100</v>
      </c>
      <c r="M1278" t="s">
        <v>6100</v>
      </c>
      <c r="O1278" t="s">
        <v>6101</v>
      </c>
      <c r="P1278" t="s">
        <v>6109</v>
      </c>
      <c r="Q1278">
        <v>3</v>
      </c>
      <c r="R1278">
        <v>2026</v>
      </c>
      <c r="S1278" t="s">
        <v>6100</v>
      </c>
      <c r="T1278">
        <v>0</v>
      </c>
      <c r="U1278" t="s">
        <v>6018</v>
      </c>
      <c r="V1278">
        <v>1</v>
      </c>
    </row>
    <row r="1279" spans="1:22" x14ac:dyDescent="0.3">
      <c r="A1279" t="s">
        <v>1294</v>
      </c>
      <c r="B1279" s="2">
        <v>46085.538194444445</v>
      </c>
      <c r="C1279" s="2">
        <v>46085.788194444445</v>
      </c>
      <c r="D1279" t="s">
        <v>6023</v>
      </c>
      <c r="E1279" t="s">
        <v>6030</v>
      </c>
      <c r="F1279" t="s">
        <v>6033</v>
      </c>
      <c r="G1279" t="s">
        <v>6071</v>
      </c>
      <c r="H1279" t="s">
        <v>6098</v>
      </c>
      <c r="I1279">
        <v>72</v>
      </c>
      <c r="J1279">
        <v>6</v>
      </c>
      <c r="K1279" t="s">
        <v>6099</v>
      </c>
      <c r="L1279" t="s">
        <v>6100</v>
      </c>
      <c r="M1279" t="s">
        <v>6100</v>
      </c>
      <c r="O1279" t="s">
        <v>6101</v>
      </c>
      <c r="P1279" t="s">
        <v>6109</v>
      </c>
      <c r="Q1279">
        <v>3</v>
      </c>
      <c r="R1279">
        <v>2026</v>
      </c>
      <c r="S1279" t="s">
        <v>6099</v>
      </c>
      <c r="T1279">
        <v>1</v>
      </c>
      <c r="U1279" t="s">
        <v>6021</v>
      </c>
      <c r="V1279">
        <v>1</v>
      </c>
    </row>
    <row r="1280" spans="1:22" x14ac:dyDescent="0.3">
      <c r="A1280" t="s">
        <v>1295</v>
      </c>
      <c r="B1280" s="2">
        <v>46085.623611111114</v>
      </c>
      <c r="C1280" s="2">
        <v>46085.840277777781</v>
      </c>
      <c r="D1280" t="s">
        <v>6023</v>
      </c>
      <c r="E1280" t="s">
        <v>6029</v>
      </c>
      <c r="F1280" t="s">
        <v>6034</v>
      </c>
      <c r="G1280" t="s">
        <v>6046</v>
      </c>
      <c r="H1280" t="s">
        <v>6098</v>
      </c>
      <c r="I1280">
        <v>24</v>
      </c>
      <c r="J1280">
        <v>5.2</v>
      </c>
      <c r="K1280" t="s">
        <v>6099</v>
      </c>
      <c r="L1280" t="s">
        <v>6100</v>
      </c>
      <c r="M1280" t="s">
        <v>6100</v>
      </c>
      <c r="O1280" t="s">
        <v>6101</v>
      </c>
      <c r="P1280" t="s">
        <v>6109</v>
      </c>
      <c r="Q1280">
        <v>3</v>
      </c>
      <c r="R1280">
        <v>2026</v>
      </c>
      <c r="S1280" t="s">
        <v>6099</v>
      </c>
      <c r="T1280">
        <v>1</v>
      </c>
      <c r="U1280" t="s">
        <v>6020</v>
      </c>
      <c r="V1280">
        <v>1</v>
      </c>
    </row>
    <row r="1281" spans="1:22" x14ac:dyDescent="0.3">
      <c r="A1281" t="s">
        <v>1296</v>
      </c>
      <c r="B1281" s="2">
        <v>46085.623611111114</v>
      </c>
      <c r="C1281" s="2">
        <v>46086.06527777778</v>
      </c>
      <c r="D1281" t="s">
        <v>6023</v>
      </c>
      <c r="E1281" t="s">
        <v>6032</v>
      </c>
      <c r="F1281" t="s">
        <v>6034</v>
      </c>
      <c r="G1281" t="s">
        <v>6049</v>
      </c>
      <c r="H1281" t="s">
        <v>6097</v>
      </c>
      <c r="I1281">
        <v>24</v>
      </c>
      <c r="J1281">
        <v>10.6</v>
      </c>
      <c r="K1281" t="s">
        <v>6099</v>
      </c>
      <c r="L1281" t="s">
        <v>6100</v>
      </c>
      <c r="M1281" t="s">
        <v>6100</v>
      </c>
      <c r="N1281">
        <v>3</v>
      </c>
      <c r="O1281" t="s">
        <v>6101</v>
      </c>
      <c r="P1281" t="s">
        <v>6109</v>
      </c>
      <c r="Q1281">
        <v>3</v>
      </c>
      <c r="R1281">
        <v>2026</v>
      </c>
      <c r="S1281" t="s">
        <v>6099</v>
      </c>
      <c r="T1281">
        <v>1</v>
      </c>
      <c r="U1281" t="s">
        <v>6018</v>
      </c>
      <c r="V1281">
        <v>1</v>
      </c>
    </row>
    <row r="1282" spans="1:22" x14ac:dyDescent="0.3">
      <c r="A1282" t="s">
        <v>1297</v>
      </c>
      <c r="B1282" s="2">
        <v>46085.699305555558</v>
      </c>
      <c r="C1282" s="2">
        <v>46088.124305555553</v>
      </c>
      <c r="D1282" t="s">
        <v>6025</v>
      </c>
      <c r="E1282" t="s">
        <v>6031</v>
      </c>
      <c r="F1282" t="s">
        <v>6035</v>
      </c>
      <c r="G1282" t="s">
        <v>6042</v>
      </c>
      <c r="H1282" t="s">
        <v>6098</v>
      </c>
      <c r="I1282">
        <v>4</v>
      </c>
      <c r="J1282">
        <v>58.2</v>
      </c>
      <c r="K1282" t="s">
        <v>6099</v>
      </c>
      <c r="L1282" t="s">
        <v>6100</v>
      </c>
      <c r="M1282" t="s">
        <v>6100</v>
      </c>
      <c r="O1282" t="s">
        <v>6101</v>
      </c>
      <c r="P1282" t="s">
        <v>6109</v>
      </c>
      <c r="Q1282">
        <v>3</v>
      </c>
      <c r="R1282">
        <v>2026</v>
      </c>
      <c r="S1282" t="s">
        <v>6100</v>
      </c>
      <c r="T1282">
        <v>0</v>
      </c>
      <c r="U1282" t="s">
        <v>6017</v>
      </c>
      <c r="V1282">
        <v>1</v>
      </c>
    </row>
    <row r="1283" spans="1:22" x14ac:dyDescent="0.3">
      <c r="A1283" t="s">
        <v>1298</v>
      </c>
      <c r="B1283" s="2">
        <v>46085.743750000001</v>
      </c>
      <c r="C1283" s="2">
        <v>46086.489583333336</v>
      </c>
      <c r="D1283" t="s">
        <v>6025</v>
      </c>
      <c r="E1283" t="s">
        <v>6029</v>
      </c>
      <c r="F1283" t="s">
        <v>6033</v>
      </c>
      <c r="G1283" t="s">
        <v>6085</v>
      </c>
      <c r="H1283" t="s">
        <v>6097</v>
      </c>
      <c r="I1283">
        <v>72</v>
      </c>
      <c r="J1283">
        <v>17.899999999999999</v>
      </c>
      <c r="K1283" t="s">
        <v>6099</v>
      </c>
      <c r="L1283" t="s">
        <v>6100</v>
      </c>
      <c r="M1283" t="s">
        <v>6100</v>
      </c>
      <c r="N1283">
        <v>4</v>
      </c>
      <c r="O1283" t="s">
        <v>6101</v>
      </c>
      <c r="P1283" t="s">
        <v>6109</v>
      </c>
      <c r="Q1283">
        <v>3</v>
      </c>
      <c r="R1283">
        <v>2026</v>
      </c>
      <c r="S1283" t="s">
        <v>6099</v>
      </c>
      <c r="T1283">
        <v>1</v>
      </c>
      <c r="U1283" t="s">
        <v>6019</v>
      </c>
      <c r="V1283">
        <v>1</v>
      </c>
    </row>
    <row r="1284" spans="1:22" x14ac:dyDescent="0.3">
      <c r="A1284" t="s">
        <v>1299</v>
      </c>
      <c r="B1284" s="2">
        <v>46085.811805555553</v>
      </c>
      <c r="C1284" s="2">
        <v>46086.907638888886</v>
      </c>
      <c r="D1284" t="s">
        <v>6022</v>
      </c>
      <c r="E1284" t="s">
        <v>6030</v>
      </c>
      <c r="F1284" t="s">
        <v>6033</v>
      </c>
      <c r="G1284" t="s">
        <v>6042</v>
      </c>
      <c r="H1284" t="s">
        <v>6098</v>
      </c>
      <c r="I1284">
        <v>72</v>
      </c>
      <c r="J1284">
        <v>26.3</v>
      </c>
      <c r="K1284" t="s">
        <v>6099</v>
      </c>
      <c r="L1284" t="s">
        <v>6100</v>
      </c>
      <c r="M1284" t="s">
        <v>6100</v>
      </c>
      <c r="O1284" t="s">
        <v>6101</v>
      </c>
      <c r="P1284" t="s">
        <v>6109</v>
      </c>
      <c r="Q1284">
        <v>3</v>
      </c>
      <c r="R1284">
        <v>2026</v>
      </c>
      <c r="S1284" t="s">
        <v>6099</v>
      </c>
      <c r="T1284">
        <v>1</v>
      </c>
      <c r="U1284" t="s">
        <v>6019</v>
      </c>
      <c r="V1284">
        <v>1</v>
      </c>
    </row>
    <row r="1285" spans="1:22" x14ac:dyDescent="0.3">
      <c r="A1285" t="s">
        <v>1300</v>
      </c>
      <c r="B1285" s="2">
        <v>46085.904166666667</v>
      </c>
      <c r="C1285" s="2">
        <v>46086.0625</v>
      </c>
      <c r="D1285" t="s">
        <v>6022</v>
      </c>
      <c r="E1285" t="s">
        <v>6030</v>
      </c>
      <c r="F1285" t="s">
        <v>6034</v>
      </c>
      <c r="G1285" t="s">
        <v>6058</v>
      </c>
      <c r="H1285" t="s">
        <v>6098</v>
      </c>
      <c r="I1285">
        <v>24</v>
      </c>
      <c r="J1285">
        <v>3.8</v>
      </c>
      <c r="K1285" t="s">
        <v>6100</v>
      </c>
      <c r="L1285" t="s">
        <v>6099</v>
      </c>
      <c r="M1285" t="s">
        <v>6100</v>
      </c>
      <c r="O1285" t="s">
        <v>6101</v>
      </c>
      <c r="P1285" t="s">
        <v>6109</v>
      </c>
      <c r="Q1285">
        <v>3</v>
      </c>
      <c r="R1285">
        <v>2026</v>
      </c>
      <c r="S1285" t="s">
        <v>6099</v>
      </c>
      <c r="T1285">
        <v>1</v>
      </c>
      <c r="U1285" t="s">
        <v>6021</v>
      </c>
      <c r="V1285">
        <v>0</v>
      </c>
    </row>
    <row r="1286" spans="1:22" x14ac:dyDescent="0.3">
      <c r="A1286" t="s">
        <v>1301</v>
      </c>
      <c r="B1286" s="2">
        <v>46086.154861111114</v>
      </c>
      <c r="C1286" s="2">
        <v>46086.667361111111</v>
      </c>
      <c r="D1286" t="s">
        <v>6022</v>
      </c>
      <c r="E1286" t="s">
        <v>6031</v>
      </c>
      <c r="F1286" t="s">
        <v>6034</v>
      </c>
      <c r="G1286" t="s">
        <v>6037</v>
      </c>
      <c r="H1286" t="s">
        <v>6096</v>
      </c>
      <c r="I1286">
        <v>24</v>
      </c>
      <c r="J1286">
        <v>12.3</v>
      </c>
      <c r="K1286" t="s">
        <v>6099</v>
      </c>
      <c r="L1286" t="s">
        <v>6100</v>
      </c>
      <c r="M1286" t="s">
        <v>6100</v>
      </c>
      <c r="O1286" t="s">
        <v>6101</v>
      </c>
      <c r="P1286" t="s">
        <v>6109</v>
      </c>
      <c r="Q1286">
        <v>3</v>
      </c>
      <c r="R1286">
        <v>2026</v>
      </c>
      <c r="S1286" t="s">
        <v>6099</v>
      </c>
      <c r="T1286">
        <v>1</v>
      </c>
      <c r="U1286" t="s">
        <v>6018</v>
      </c>
      <c r="V1286">
        <v>1</v>
      </c>
    </row>
    <row r="1287" spans="1:22" x14ac:dyDescent="0.3">
      <c r="A1287" t="s">
        <v>1302</v>
      </c>
      <c r="B1287" s="2">
        <v>46086.303472222222</v>
      </c>
      <c r="C1287" s="2">
        <v>46086.420138888891</v>
      </c>
      <c r="D1287" t="s">
        <v>6027</v>
      </c>
      <c r="E1287" t="s">
        <v>6030</v>
      </c>
      <c r="F1287" t="s">
        <v>6033</v>
      </c>
      <c r="G1287" t="s">
        <v>6047</v>
      </c>
      <c r="H1287" t="s">
        <v>6098</v>
      </c>
      <c r="I1287">
        <v>72</v>
      </c>
      <c r="J1287">
        <v>2.8</v>
      </c>
      <c r="K1287" t="s">
        <v>6100</v>
      </c>
      <c r="L1287" t="s">
        <v>6100</v>
      </c>
      <c r="M1287" t="s">
        <v>6100</v>
      </c>
      <c r="N1287">
        <v>3</v>
      </c>
      <c r="O1287" t="s">
        <v>6101</v>
      </c>
      <c r="P1287" t="s">
        <v>6109</v>
      </c>
      <c r="Q1287">
        <v>3</v>
      </c>
      <c r="R1287">
        <v>2026</v>
      </c>
      <c r="S1287" t="s">
        <v>6099</v>
      </c>
      <c r="T1287">
        <v>1</v>
      </c>
      <c r="U1287" t="s">
        <v>6017</v>
      </c>
      <c r="V1287">
        <v>0</v>
      </c>
    </row>
    <row r="1288" spans="1:22" x14ac:dyDescent="0.3">
      <c r="A1288" t="s">
        <v>1303</v>
      </c>
      <c r="B1288" s="2">
        <v>46086.35</v>
      </c>
      <c r="C1288" s="2">
        <v>46086.620833333334</v>
      </c>
      <c r="D1288" t="s">
        <v>6023</v>
      </c>
      <c r="E1288" t="s">
        <v>6030</v>
      </c>
      <c r="F1288" t="s">
        <v>6034</v>
      </c>
      <c r="G1288" t="s">
        <v>6069</v>
      </c>
      <c r="H1288" t="s">
        <v>6098</v>
      </c>
      <c r="I1288">
        <v>24</v>
      </c>
      <c r="J1288">
        <v>6.5</v>
      </c>
      <c r="K1288" t="s">
        <v>6100</v>
      </c>
      <c r="L1288" t="s">
        <v>6099</v>
      </c>
      <c r="M1288" t="s">
        <v>6100</v>
      </c>
      <c r="N1288">
        <v>2</v>
      </c>
      <c r="O1288" t="s">
        <v>6101</v>
      </c>
      <c r="P1288" t="s">
        <v>6109</v>
      </c>
      <c r="Q1288">
        <v>3</v>
      </c>
      <c r="R1288">
        <v>2026</v>
      </c>
      <c r="S1288" t="s">
        <v>6099</v>
      </c>
      <c r="T1288">
        <v>1</v>
      </c>
      <c r="U1288" t="s">
        <v>6017</v>
      </c>
      <c r="V1288">
        <v>0</v>
      </c>
    </row>
    <row r="1289" spans="1:22" x14ac:dyDescent="0.3">
      <c r="A1289" t="s">
        <v>1304</v>
      </c>
      <c r="B1289" s="2">
        <v>46086.402777777781</v>
      </c>
      <c r="C1289" s="2">
        <v>46086.723611111112</v>
      </c>
      <c r="D1289" t="s">
        <v>6023</v>
      </c>
      <c r="E1289" t="s">
        <v>6029</v>
      </c>
      <c r="F1289" t="s">
        <v>6033</v>
      </c>
      <c r="G1289" t="s">
        <v>6045</v>
      </c>
      <c r="H1289" t="s">
        <v>6096</v>
      </c>
      <c r="I1289">
        <v>72</v>
      </c>
      <c r="J1289">
        <v>7.7</v>
      </c>
      <c r="K1289" t="s">
        <v>6100</v>
      </c>
      <c r="L1289" t="s">
        <v>6100</v>
      </c>
      <c r="M1289" t="s">
        <v>6100</v>
      </c>
      <c r="N1289">
        <v>2</v>
      </c>
      <c r="O1289" t="s">
        <v>6101</v>
      </c>
      <c r="P1289" t="s">
        <v>6109</v>
      </c>
      <c r="Q1289">
        <v>3</v>
      </c>
      <c r="R1289">
        <v>2026</v>
      </c>
      <c r="S1289" t="s">
        <v>6099</v>
      </c>
      <c r="T1289">
        <v>1</v>
      </c>
      <c r="U1289" t="s">
        <v>6017</v>
      </c>
      <c r="V1289">
        <v>0</v>
      </c>
    </row>
    <row r="1290" spans="1:22" x14ac:dyDescent="0.3">
      <c r="A1290" t="s">
        <v>1305</v>
      </c>
      <c r="B1290" s="2">
        <v>46086.423611111109</v>
      </c>
      <c r="C1290" s="2">
        <v>46086.873611111114</v>
      </c>
      <c r="D1290" t="s">
        <v>6028</v>
      </c>
      <c r="E1290" t="s">
        <v>6029</v>
      </c>
      <c r="F1290" t="s">
        <v>6035</v>
      </c>
      <c r="G1290" t="s">
        <v>6089</v>
      </c>
      <c r="H1290" t="s">
        <v>6098</v>
      </c>
      <c r="I1290">
        <v>4</v>
      </c>
      <c r="J1290">
        <v>10.8</v>
      </c>
      <c r="K1290" t="s">
        <v>6099</v>
      </c>
      <c r="L1290" t="s">
        <v>6100</v>
      </c>
      <c r="M1290" t="s">
        <v>6100</v>
      </c>
      <c r="O1290" t="s">
        <v>6101</v>
      </c>
      <c r="P1290" t="s">
        <v>6109</v>
      </c>
      <c r="Q1290">
        <v>3</v>
      </c>
      <c r="R1290">
        <v>2026</v>
      </c>
      <c r="S1290" t="s">
        <v>6100</v>
      </c>
      <c r="T1290">
        <v>0</v>
      </c>
      <c r="U1290" t="s">
        <v>6018</v>
      </c>
      <c r="V1290">
        <v>1</v>
      </c>
    </row>
    <row r="1291" spans="1:22" x14ac:dyDescent="0.3">
      <c r="A1291" t="s">
        <v>1306</v>
      </c>
      <c r="B1291" s="2">
        <v>46086.427777777775</v>
      </c>
      <c r="C1291" s="2">
        <v>46094.736111111109</v>
      </c>
      <c r="D1291" t="s">
        <v>6026</v>
      </c>
      <c r="E1291" t="s">
        <v>6031</v>
      </c>
      <c r="F1291" t="s">
        <v>6034</v>
      </c>
      <c r="G1291" t="s">
        <v>6087</v>
      </c>
      <c r="H1291" t="s">
        <v>6098</v>
      </c>
      <c r="I1291">
        <v>24</v>
      </c>
      <c r="J1291">
        <v>199.4</v>
      </c>
      <c r="K1291" t="s">
        <v>6099</v>
      </c>
      <c r="L1291" t="s">
        <v>6100</v>
      </c>
      <c r="M1291" t="s">
        <v>6100</v>
      </c>
      <c r="N1291">
        <v>5</v>
      </c>
      <c r="O1291" t="s">
        <v>6101</v>
      </c>
      <c r="P1291" t="s">
        <v>6109</v>
      </c>
      <c r="Q1291">
        <v>3</v>
      </c>
      <c r="R1291">
        <v>2026</v>
      </c>
      <c r="S1291" t="s">
        <v>6100</v>
      </c>
      <c r="T1291">
        <v>0</v>
      </c>
      <c r="U1291" t="s">
        <v>6020</v>
      </c>
      <c r="V1291">
        <v>1</v>
      </c>
    </row>
    <row r="1292" spans="1:22" x14ac:dyDescent="0.3">
      <c r="A1292" t="s">
        <v>1307</v>
      </c>
      <c r="B1292" s="2">
        <v>46086.447222222225</v>
      </c>
      <c r="C1292" s="2">
        <v>46086.705555555556</v>
      </c>
      <c r="D1292" t="s">
        <v>6027</v>
      </c>
      <c r="E1292" t="s">
        <v>6030</v>
      </c>
      <c r="F1292" t="s">
        <v>6033</v>
      </c>
      <c r="G1292" t="s">
        <v>6062</v>
      </c>
      <c r="H1292" t="s">
        <v>6096</v>
      </c>
      <c r="I1292">
        <v>72</v>
      </c>
      <c r="J1292">
        <v>6.2</v>
      </c>
      <c r="K1292" t="s">
        <v>6099</v>
      </c>
      <c r="L1292" t="s">
        <v>6100</v>
      </c>
      <c r="M1292" t="s">
        <v>6100</v>
      </c>
      <c r="N1292">
        <v>4</v>
      </c>
      <c r="O1292" t="s">
        <v>6101</v>
      </c>
      <c r="P1292" t="s">
        <v>6109</v>
      </c>
      <c r="Q1292">
        <v>3</v>
      </c>
      <c r="R1292">
        <v>2026</v>
      </c>
      <c r="S1292" t="s">
        <v>6099</v>
      </c>
      <c r="T1292">
        <v>1</v>
      </c>
      <c r="U1292" t="s">
        <v>6021</v>
      </c>
      <c r="V1292">
        <v>1</v>
      </c>
    </row>
    <row r="1293" spans="1:22" x14ac:dyDescent="0.3">
      <c r="A1293" t="s">
        <v>1308</v>
      </c>
      <c r="B1293" s="2">
        <v>46086.454861111109</v>
      </c>
      <c r="C1293" s="2">
        <v>46086.742361111108</v>
      </c>
      <c r="D1293" t="s">
        <v>6023</v>
      </c>
      <c r="E1293" t="s">
        <v>6029</v>
      </c>
      <c r="F1293" t="s">
        <v>6034</v>
      </c>
      <c r="G1293" t="s">
        <v>6071</v>
      </c>
      <c r="H1293" t="s">
        <v>6098</v>
      </c>
      <c r="I1293">
        <v>24</v>
      </c>
      <c r="J1293">
        <v>6.9</v>
      </c>
      <c r="K1293" t="s">
        <v>6099</v>
      </c>
      <c r="L1293" t="s">
        <v>6100</v>
      </c>
      <c r="M1293" t="s">
        <v>6100</v>
      </c>
      <c r="N1293">
        <v>4</v>
      </c>
      <c r="O1293" t="s">
        <v>6101</v>
      </c>
      <c r="P1293" t="s">
        <v>6109</v>
      </c>
      <c r="Q1293">
        <v>3</v>
      </c>
      <c r="R1293">
        <v>2026</v>
      </c>
      <c r="S1293" t="s">
        <v>6099</v>
      </c>
      <c r="T1293">
        <v>1</v>
      </c>
      <c r="U1293" t="s">
        <v>6018</v>
      </c>
      <c r="V1293">
        <v>1</v>
      </c>
    </row>
    <row r="1294" spans="1:22" x14ac:dyDescent="0.3">
      <c r="A1294" t="s">
        <v>1309</v>
      </c>
      <c r="B1294" s="2">
        <v>46086.460416666669</v>
      </c>
      <c r="C1294" s="2">
        <v>46086.71875</v>
      </c>
      <c r="D1294" t="s">
        <v>6024</v>
      </c>
      <c r="E1294" t="s">
        <v>6029</v>
      </c>
      <c r="F1294" t="s">
        <v>6034</v>
      </c>
      <c r="G1294" t="s">
        <v>6052</v>
      </c>
      <c r="H1294" t="s">
        <v>6098</v>
      </c>
      <c r="I1294">
        <v>24</v>
      </c>
      <c r="J1294">
        <v>6.2</v>
      </c>
      <c r="K1294" t="s">
        <v>6100</v>
      </c>
      <c r="L1294" t="s">
        <v>6099</v>
      </c>
      <c r="M1294" t="s">
        <v>6100</v>
      </c>
      <c r="O1294" t="s">
        <v>6101</v>
      </c>
      <c r="P1294" t="s">
        <v>6109</v>
      </c>
      <c r="Q1294">
        <v>3</v>
      </c>
      <c r="R1294">
        <v>2026</v>
      </c>
      <c r="S1294" t="s">
        <v>6099</v>
      </c>
      <c r="T1294">
        <v>1</v>
      </c>
      <c r="U1294" t="s">
        <v>6021</v>
      </c>
      <c r="V1294">
        <v>0</v>
      </c>
    </row>
    <row r="1295" spans="1:22" x14ac:dyDescent="0.3">
      <c r="A1295" t="s">
        <v>1310</v>
      </c>
      <c r="B1295" s="2">
        <v>46086.461111111108</v>
      </c>
      <c r="C1295" s="2">
        <v>46087.865277777775</v>
      </c>
      <c r="D1295" t="s">
        <v>6025</v>
      </c>
      <c r="E1295" t="s">
        <v>6032</v>
      </c>
      <c r="F1295" t="s">
        <v>6035</v>
      </c>
      <c r="G1295" t="s">
        <v>6078</v>
      </c>
      <c r="H1295" t="s">
        <v>6097</v>
      </c>
      <c r="I1295">
        <v>4</v>
      </c>
      <c r="J1295">
        <v>33.700000000000003</v>
      </c>
      <c r="K1295" t="s">
        <v>6100</v>
      </c>
      <c r="L1295" t="s">
        <v>6099</v>
      </c>
      <c r="M1295" t="s">
        <v>6100</v>
      </c>
      <c r="N1295">
        <v>3</v>
      </c>
      <c r="O1295" t="s">
        <v>6101</v>
      </c>
      <c r="P1295" t="s">
        <v>6109</v>
      </c>
      <c r="Q1295">
        <v>3</v>
      </c>
      <c r="R1295">
        <v>2026</v>
      </c>
      <c r="S1295" t="s">
        <v>6100</v>
      </c>
      <c r="T1295">
        <v>0</v>
      </c>
      <c r="U1295" t="s">
        <v>6017</v>
      </c>
      <c r="V1295">
        <v>0</v>
      </c>
    </row>
    <row r="1296" spans="1:22" x14ac:dyDescent="0.3">
      <c r="A1296" t="s">
        <v>1311</v>
      </c>
      <c r="B1296" s="2">
        <v>46086.527083333334</v>
      </c>
      <c r="C1296" s="2">
        <v>46086.752083333333</v>
      </c>
      <c r="D1296" t="s">
        <v>6028</v>
      </c>
      <c r="E1296" t="s">
        <v>6030</v>
      </c>
      <c r="F1296" t="s">
        <v>6035</v>
      </c>
      <c r="G1296" t="s">
        <v>6068</v>
      </c>
      <c r="H1296" t="s">
        <v>6098</v>
      </c>
      <c r="I1296">
        <v>4</v>
      </c>
      <c r="J1296">
        <v>5.4</v>
      </c>
      <c r="K1296" t="s">
        <v>6099</v>
      </c>
      <c r="L1296" t="s">
        <v>6100</v>
      </c>
      <c r="M1296" t="s">
        <v>6100</v>
      </c>
      <c r="N1296">
        <v>5</v>
      </c>
      <c r="O1296" t="s">
        <v>6101</v>
      </c>
      <c r="P1296" t="s">
        <v>6109</v>
      </c>
      <c r="Q1296">
        <v>3</v>
      </c>
      <c r="R1296">
        <v>2026</v>
      </c>
      <c r="S1296" t="s">
        <v>6100</v>
      </c>
      <c r="T1296">
        <v>0</v>
      </c>
      <c r="U1296" t="s">
        <v>6020</v>
      </c>
      <c r="V1296">
        <v>1</v>
      </c>
    </row>
    <row r="1297" spans="1:22" x14ac:dyDescent="0.3">
      <c r="A1297" t="s">
        <v>1312</v>
      </c>
      <c r="B1297" s="2">
        <v>46086.540972222225</v>
      </c>
      <c r="C1297" s="2">
        <v>46086.84097222222</v>
      </c>
      <c r="D1297" t="s">
        <v>6023</v>
      </c>
      <c r="E1297" t="s">
        <v>6029</v>
      </c>
      <c r="F1297" t="s">
        <v>6033</v>
      </c>
      <c r="G1297" t="s">
        <v>6082</v>
      </c>
      <c r="H1297" t="s">
        <v>6097</v>
      </c>
      <c r="I1297">
        <v>72</v>
      </c>
      <c r="J1297">
        <v>7.2</v>
      </c>
      <c r="K1297" t="s">
        <v>6099</v>
      </c>
      <c r="L1297" t="s">
        <v>6100</v>
      </c>
      <c r="M1297" t="s">
        <v>6100</v>
      </c>
      <c r="N1297">
        <v>3</v>
      </c>
      <c r="O1297" t="s">
        <v>6101</v>
      </c>
      <c r="P1297" t="s">
        <v>6109</v>
      </c>
      <c r="Q1297">
        <v>3</v>
      </c>
      <c r="R1297">
        <v>2026</v>
      </c>
      <c r="S1297" t="s">
        <v>6099</v>
      </c>
      <c r="T1297">
        <v>1</v>
      </c>
      <c r="U1297" t="s">
        <v>6017</v>
      </c>
      <c r="V1297">
        <v>1</v>
      </c>
    </row>
    <row r="1298" spans="1:22" x14ac:dyDescent="0.3">
      <c r="A1298" t="s">
        <v>1313</v>
      </c>
      <c r="B1298" s="2">
        <v>46086.552777777775</v>
      </c>
      <c r="C1298" s="2">
        <v>46087.527777777781</v>
      </c>
      <c r="D1298" t="s">
        <v>6024</v>
      </c>
      <c r="E1298" t="s">
        <v>6031</v>
      </c>
      <c r="F1298" t="s">
        <v>6034</v>
      </c>
      <c r="G1298" t="s">
        <v>6075</v>
      </c>
      <c r="H1298" t="s">
        <v>6097</v>
      </c>
      <c r="I1298">
        <v>24</v>
      </c>
      <c r="J1298">
        <v>23.4</v>
      </c>
      <c r="K1298" t="s">
        <v>6099</v>
      </c>
      <c r="L1298" t="s">
        <v>6100</v>
      </c>
      <c r="M1298" t="s">
        <v>6100</v>
      </c>
      <c r="O1298" t="s">
        <v>6101</v>
      </c>
      <c r="P1298" t="s">
        <v>6109</v>
      </c>
      <c r="Q1298">
        <v>3</v>
      </c>
      <c r="R1298">
        <v>2026</v>
      </c>
      <c r="S1298" t="s">
        <v>6099</v>
      </c>
      <c r="T1298">
        <v>1</v>
      </c>
      <c r="U1298" t="s">
        <v>6018</v>
      </c>
      <c r="V1298">
        <v>1</v>
      </c>
    </row>
    <row r="1299" spans="1:22" x14ac:dyDescent="0.3">
      <c r="A1299" t="s">
        <v>1314</v>
      </c>
      <c r="B1299" s="2">
        <v>46086.557638888888</v>
      </c>
      <c r="C1299" s="2">
        <v>46087.040972222225</v>
      </c>
      <c r="D1299" t="s">
        <v>6022</v>
      </c>
      <c r="E1299" t="s">
        <v>6030</v>
      </c>
      <c r="F1299" t="s">
        <v>6034</v>
      </c>
      <c r="G1299" t="s">
        <v>6089</v>
      </c>
      <c r="H1299" t="s">
        <v>6098</v>
      </c>
      <c r="I1299">
        <v>24</v>
      </c>
      <c r="J1299">
        <v>11.6</v>
      </c>
      <c r="K1299" t="s">
        <v>6099</v>
      </c>
      <c r="L1299" t="s">
        <v>6100</v>
      </c>
      <c r="M1299" t="s">
        <v>6100</v>
      </c>
      <c r="N1299">
        <v>5</v>
      </c>
      <c r="O1299" t="s">
        <v>6101</v>
      </c>
      <c r="P1299" t="s">
        <v>6109</v>
      </c>
      <c r="Q1299">
        <v>3</v>
      </c>
      <c r="R1299">
        <v>2026</v>
      </c>
      <c r="S1299" t="s">
        <v>6099</v>
      </c>
      <c r="T1299">
        <v>1</v>
      </c>
      <c r="U1299" t="s">
        <v>6020</v>
      </c>
      <c r="V1299">
        <v>1</v>
      </c>
    </row>
    <row r="1300" spans="1:22" x14ac:dyDescent="0.3">
      <c r="A1300" t="s">
        <v>1315</v>
      </c>
      <c r="B1300" s="2">
        <v>46086.579861111109</v>
      </c>
      <c r="C1300" s="2">
        <v>46087.09652777778</v>
      </c>
      <c r="D1300" t="s">
        <v>6023</v>
      </c>
      <c r="E1300" t="s">
        <v>6029</v>
      </c>
      <c r="F1300" t="s">
        <v>6034</v>
      </c>
      <c r="G1300" t="s">
        <v>6042</v>
      </c>
      <c r="H1300" t="s">
        <v>6098</v>
      </c>
      <c r="I1300">
        <v>24</v>
      </c>
      <c r="J1300">
        <v>12.4</v>
      </c>
      <c r="K1300" t="s">
        <v>6100</v>
      </c>
      <c r="L1300" t="s">
        <v>6099</v>
      </c>
      <c r="M1300" t="s">
        <v>6100</v>
      </c>
      <c r="O1300" t="s">
        <v>6101</v>
      </c>
      <c r="P1300" t="s">
        <v>6109</v>
      </c>
      <c r="Q1300">
        <v>3</v>
      </c>
      <c r="R1300">
        <v>2026</v>
      </c>
      <c r="S1300" t="s">
        <v>6099</v>
      </c>
      <c r="T1300">
        <v>1</v>
      </c>
      <c r="U1300" t="s">
        <v>6018</v>
      </c>
      <c r="V1300">
        <v>0</v>
      </c>
    </row>
    <row r="1301" spans="1:22" x14ac:dyDescent="0.3">
      <c r="A1301" t="s">
        <v>1316</v>
      </c>
      <c r="B1301" s="2">
        <v>46086.617361111108</v>
      </c>
      <c r="C1301" s="2">
        <v>46087.067361111112</v>
      </c>
      <c r="D1301" t="s">
        <v>6023</v>
      </c>
      <c r="E1301" t="s">
        <v>6032</v>
      </c>
      <c r="F1301" t="s">
        <v>6034</v>
      </c>
      <c r="G1301" t="s">
        <v>6074</v>
      </c>
      <c r="H1301" t="s">
        <v>6098</v>
      </c>
      <c r="I1301">
        <v>24</v>
      </c>
      <c r="J1301">
        <v>10.8</v>
      </c>
      <c r="K1301" t="s">
        <v>6099</v>
      </c>
      <c r="L1301" t="s">
        <v>6100</v>
      </c>
      <c r="M1301" t="s">
        <v>6100</v>
      </c>
      <c r="O1301" t="s">
        <v>6101</v>
      </c>
      <c r="P1301" t="s">
        <v>6109</v>
      </c>
      <c r="Q1301">
        <v>3</v>
      </c>
      <c r="R1301">
        <v>2026</v>
      </c>
      <c r="S1301" t="s">
        <v>6099</v>
      </c>
      <c r="T1301">
        <v>1</v>
      </c>
      <c r="U1301" t="s">
        <v>6020</v>
      </c>
      <c r="V1301">
        <v>1</v>
      </c>
    </row>
    <row r="1302" spans="1:22" x14ac:dyDescent="0.3">
      <c r="A1302" t="s">
        <v>1317</v>
      </c>
      <c r="B1302" s="2">
        <v>46086.620138888888</v>
      </c>
      <c r="C1302" s="2">
        <v>46086.957638888889</v>
      </c>
      <c r="D1302" t="s">
        <v>6028</v>
      </c>
      <c r="E1302" t="s">
        <v>6031</v>
      </c>
      <c r="F1302" t="s">
        <v>6035</v>
      </c>
      <c r="G1302" t="s">
        <v>6092</v>
      </c>
      <c r="H1302" t="s">
        <v>6097</v>
      </c>
      <c r="I1302">
        <v>4</v>
      </c>
      <c r="J1302">
        <v>8.1</v>
      </c>
      <c r="K1302" t="s">
        <v>6099</v>
      </c>
      <c r="L1302" t="s">
        <v>6100</v>
      </c>
      <c r="M1302" t="s">
        <v>6100</v>
      </c>
      <c r="N1302">
        <v>3</v>
      </c>
      <c r="O1302" t="s">
        <v>6101</v>
      </c>
      <c r="P1302" t="s">
        <v>6109</v>
      </c>
      <c r="Q1302">
        <v>3</v>
      </c>
      <c r="R1302">
        <v>2026</v>
      </c>
      <c r="S1302" t="s">
        <v>6100</v>
      </c>
      <c r="T1302">
        <v>0</v>
      </c>
      <c r="U1302" t="s">
        <v>6017</v>
      </c>
      <c r="V1302">
        <v>1</v>
      </c>
    </row>
    <row r="1303" spans="1:22" x14ac:dyDescent="0.3">
      <c r="A1303" t="s">
        <v>1318</v>
      </c>
      <c r="B1303" s="2">
        <v>46086.625</v>
      </c>
      <c r="C1303" s="2">
        <v>46086.883333333331</v>
      </c>
      <c r="D1303" t="s">
        <v>6024</v>
      </c>
      <c r="E1303" t="s">
        <v>6029</v>
      </c>
      <c r="F1303" t="s">
        <v>6034</v>
      </c>
      <c r="G1303" t="s">
        <v>6053</v>
      </c>
      <c r="H1303" t="s">
        <v>6097</v>
      </c>
      <c r="I1303">
        <v>24</v>
      </c>
      <c r="J1303">
        <v>6.2</v>
      </c>
      <c r="K1303" t="s">
        <v>6100</v>
      </c>
      <c r="L1303" t="s">
        <v>6100</v>
      </c>
      <c r="M1303" t="s">
        <v>6100</v>
      </c>
      <c r="O1303" t="s">
        <v>6101</v>
      </c>
      <c r="P1303" t="s">
        <v>6109</v>
      </c>
      <c r="Q1303">
        <v>3</v>
      </c>
      <c r="R1303">
        <v>2026</v>
      </c>
      <c r="S1303" t="s">
        <v>6099</v>
      </c>
      <c r="T1303">
        <v>1</v>
      </c>
      <c r="U1303" t="s">
        <v>6018</v>
      </c>
      <c r="V1303">
        <v>0</v>
      </c>
    </row>
    <row r="1304" spans="1:22" x14ac:dyDescent="0.3">
      <c r="A1304" t="s">
        <v>1319</v>
      </c>
      <c r="B1304" s="2">
        <v>46086.625694444447</v>
      </c>
      <c r="C1304" s="2">
        <v>46090.571527777778</v>
      </c>
      <c r="D1304" t="s">
        <v>6026</v>
      </c>
      <c r="E1304" t="s">
        <v>6031</v>
      </c>
      <c r="F1304" t="s">
        <v>6034</v>
      </c>
      <c r="G1304" t="s">
        <v>6042</v>
      </c>
      <c r="H1304" t="s">
        <v>6098</v>
      </c>
      <c r="I1304">
        <v>24</v>
      </c>
      <c r="J1304">
        <v>94.7</v>
      </c>
      <c r="K1304" t="s">
        <v>6099</v>
      </c>
      <c r="L1304" t="s">
        <v>6100</v>
      </c>
      <c r="M1304" t="s">
        <v>6100</v>
      </c>
      <c r="N1304">
        <v>4</v>
      </c>
      <c r="O1304" t="s">
        <v>6101</v>
      </c>
      <c r="P1304" t="s">
        <v>6109</v>
      </c>
      <c r="Q1304">
        <v>3</v>
      </c>
      <c r="R1304">
        <v>2026</v>
      </c>
      <c r="S1304" t="s">
        <v>6100</v>
      </c>
      <c r="T1304">
        <v>0</v>
      </c>
      <c r="U1304" t="s">
        <v>6019</v>
      </c>
      <c r="V1304">
        <v>1</v>
      </c>
    </row>
    <row r="1305" spans="1:22" x14ac:dyDescent="0.3">
      <c r="A1305" t="s">
        <v>1320</v>
      </c>
      <c r="B1305" s="2">
        <v>46086.638194444444</v>
      </c>
      <c r="C1305" s="2">
        <v>46086.879861111112</v>
      </c>
      <c r="D1305" t="s">
        <v>6027</v>
      </c>
      <c r="E1305" t="s">
        <v>6029</v>
      </c>
      <c r="F1305" t="s">
        <v>6034</v>
      </c>
      <c r="G1305" t="s">
        <v>6053</v>
      </c>
      <c r="H1305" t="s">
        <v>6097</v>
      </c>
      <c r="I1305">
        <v>24</v>
      </c>
      <c r="J1305">
        <v>5.8</v>
      </c>
      <c r="K1305" t="s">
        <v>6100</v>
      </c>
      <c r="L1305" t="s">
        <v>6099</v>
      </c>
      <c r="M1305" t="s">
        <v>6100</v>
      </c>
      <c r="N1305">
        <v>2</v>
      </c>
      <c r="O1305" t="s">
        <v>6101</v>
      </c>
      <c r="P1305" t="s">
        <v>6109</v>
      </c>
      <c r="Q1305">
        <v>3</v>
      </c>
      <c r="R1305">
        <v>2026</v>
      </c>
      <c r="S1305" t="s">
        <v>6099</v>
      </c>
      <c r="T1305">
        <v>1</v>
      </c>
      <c r="U1305" t="s">
        <v>6018</v>
      </c>
      <c r="V1305">
        <v>0</v>
      </c>
    </row>
    <row r="1306" spans="1:22" x14ac:dyDescent="0.3">
      <c r="A1306" t="s">
        <v>1321</v>
      </c>
      <c r="B1306" s="2">
        <v>46086.668055555558</v>
      </c>
      <c r="C1306" s="2">
        <v>46087.518055555556</v>
      </c>
      <c r="D1306" t="s">
        <v>6027</v>
      </c>
      <c r="E1306" t="s">
        <v>6032</v>
      </c>
      <c r="F1306" t="s">
        <v>6033</v>
      </c>
      <c r="G1306" t="s">
        <v>6048</v>
      </c>
      <c r="H1306" t="s">
        <v>6096</v>
      </c>
      <c r="I1306">
        <v>72</v>
      </c>
      <c r="J1306">
        <v>20.399999999999999</v>
      </c>
      <c r="K1306" t="s">
        <v>6099</v>
      </c>
      <c r="L1306" t="s">
        <v>6100</v>
      </c>
      <c r="M1306" t="s">
        <v>6100</v>
      </c>
      <c r="N1306">
        <v>4</v>
      </c>
      <c r="O1306" t="s">
        <v>6101</v>
      </c>
      <c r="P1306" t="s">
        <v>6109</v>
      </c>
      <c r="Q1306">
        <v>3</v>
      </c>
      <c r="R1306">
        <v>2026</v>
      </c>
      <c r="S1306" t="s">
        <v>6099</v>
      </c>
      <c r="T1306">
        <v>1</v>
      </c>
      <c r="U1306" t="s">
        <v>6017</v>
      </c>
      <c r="V1306">
        <v>1</v>
      </c>
    </row>
    <row r="1307" spans="1:22" x14ac:dyDescent="0.3">
      <c r="A1307" t="s">
        <v>1322</v>
      </c>
      <c r="B1307" s="2">
        <v>46086.73541666667</v>
      </c>
      <c r="C1307" s="2">
        <v>46087.193749999999</v>
      </c>
      <c r="D1307" t="s">
        <v>6028</v>
      </c>
      <c r="E1307" t="s">
        <v>6029</v>
      </c>
      <c r="F1307" t="s">
        <v>6033</v>
      </c>
      <c r="G1307" t="s">
        <v>6064</v>
      </c>
      <c r="H1307" t="s">
        <v>6096</v>
      </c>
      <c r="I1307">
        <v>72</v>
      </c>
      <c r="J1307">
        <v>11</v>
      </c>
      <c r="K1307" t="s">
        <v>6099</v>
      </c>
      <c r="L1307" t="s">
        <v>6100</v>
      </c>
      <c r="M1307" t="s">
        <v>6100</v>
      </c>
      <c r="O1307" t="s">
        <v>6101</v>
      </c>
      <c r="P1307" t="s">
        <v>6109</v>
      </c>
      <c r="Q1307">
        <v>3</v>
      </c>
      <c r="R1307">
        <v>2026</v>
      </c>
      <c r="S1307" t="s">
        <v>6099</v>
      </c>
      <c r="T1307">
        <v>1</v>
      </c>
      <c r="U1307" t="s">
        <v>6020</v>
      </c>
      <c r="V1307">
        <v>1</v>
      </c>
    </row>
    <row r="1308" spans="1:22" x14ac:dyDescent="0.3">
      <c r="A1308" t="s">
        <v>1323</v>
      </c>
      <c r="B1308" s="2">
        <v>46086.759027777778</v>
      </c>
      <c r="C1308" s="2">
        <v>46087.292361111111</v>
      </c>
      <c r="D1308" t="s">
        <v>6024</v>
      </c>
      <c r="E1308" t="s">
        <v>6031</v>
      </c>
      <c r="F1308" t="s">
        <v>6034</v>
      </c>
      <c r="G1308" t="s">
        <v>6074</v>
      </c>
      <c r="H1308" t="s">
        <v>6098</v>
      </c>
      <c r="I1308">
        <v>24</v>
      </c>
      <c r="J1308">
        <v>12.8</v>
      </c>
      <c r="K1308" t="s">
        <v>6099</v>
      </c>
      <c r="L1308" t="s">
        <v>6100</v>
      </c>
      <c r="M1308" t="s">
        <v>6100</v>
      </c>
      <c r="O1308" t="s">
        <v>6101</v>
      </c>
      <c r="P1308" t="s">
        <v>6109</v>
      </c>
      <c r="Q1308">
        <v>3</v>
      </c>
      <c r="R1308">
        <v>2026</v>
      </c>
      <c r="S1308" t="s">
        <v>6099</v>
      </c>
      <c r="T1308">
        <v>1</v>
      </c>
      <c r="U1308" t="s">
        <v>6017</v>
      </c>
      <c r="V1308">
        <v>1</v>
      </c>
    </row>
    <row r="1309" spans="1:22" x14ac:dyDescent="0.3">
      <c r="A1309" t="s">
        <v>1324</v>
      </c>
      <c r="B1309" s="2">
        <v>46086.762499999997</v>
      </c>
      <c r="C1309" s="2">
        <v>46088.800000000003</v>
      </c>
      <c r="D1309" t="s">
        <v>6022</v>
      </c>
      <c r="E1309" t="s">
        <v>6031</v>
      </c>
      <c r="F1309" t="s">
        <v>6034</v>
      </c>
      <c r="G1309" t="s">
        <v>6059</v>
      </c>
      <c r="H1309" t="s">
        <v>6097</v>
      </c>
      <c r="I1309">
        <v>24</v>
      </c>
      <c r="J1309">
        <v>48.9</v>
      </c>
      <c r="K1309" t="s">
        <v>6100</v>
      </c>
      <c r="L1309" t="s">
        <v>6100</v>
      </c>
      <c r="M1309" t="s">
        <v>6100</v>
      </c>
      <c r="N1309">
        <v>3</v>
      </c>
      <c r="O1309" t="s">
        <v>6101</v>
      </c>
      <c r="P1309" t="s">
        <v>6109</v>
      </c>
      <c r="Q1309">
        <v>3</v>
      </c>
      <c r="R1309">
        <v>2026</v>
      </c>
      <c r="S1309" t="s">
        <v>6100</v>
      </c>
      <c r="T1309">
        <v>0</v>
      </c>
      <c r="U1309" t="s">
        <v>6018</v>
      </c>
      <c r="V1309">
        <v>0</v>
      </c>
    </row>
    <row r="1310" spans="1:22" x14ac:dyDescent="0.3">
      <c r="A1310" t="s">
        <v>1325</v>
      </c>
      <c r="B1310" s="2">
        <v>46086.865277777775</v>
      </c>
      <c r="C1310" s="2">
        <v>46087.75277777778</v>
      </c>
      <c r="D1310" t="s">
        <v>6028</v>
      </c>
      <c r="E1310" t="s">
        <v>6031</v>
      </c>
      <c r="F1310" t="s">
        <v>6034</v>
      </c>
      <c r="G1310" t="s">
        <v>6093</v>
      </c>
      <c r="H1310" t="s">
        <v>6097</v>
      </c>
      <c r="I1310">
        <v>24</v>
      </c>
      <c r="J1310">
        <v>21.3</v>
      </c>
      <c r="K1310" t="s">
        <v>6100</v>
      </c>
      <c r="L1310" t="s">
        <v>6099</v>
      </c>
      <c r="M1310" t="s">
        <v>6100</v>
      </c>
      <c r="N1310">
        <v>3</v>
      </c>
      <c r="O1310" t="s">
        <v>6101</v>
      </c>
      <c r="P1310" t="s">
        <v>6109</v>
      </c>
      <c r="Q1310">
        <v>3</v>
      </c>
      <c r="R1310">
        <v>2026</v>
      </c>
      <c r="S1310" t="s">
        <v>6099</v>
      </c>
      <c r="T1310">
        <v>1</v>
      </c>
      <c r="U1310" t="s">
        <v>6021</v>
      </c>
      <c r="V1310">
        <v>0</v>
      </c>
    </row>
    <row r="1311" spans="1:22" x14ac:dyDescent="0.3">
      <c r="A1311" t="s">
        <v>1326</v>
      </c>
      <c r="B1311" s="2">
        <v>46087.254166666666</v>
      </c>
      <c r="C1311" s="2">
        <v>46087.64166666667</v>
      </c>
      <c r="D1311" t="s">
        <v>6023</v>
      </c>
      <c r="E1311" t="s">
        <v>6029</v>
      </c>
      <c r="F1311" t="s">
        <v>6033</v>
      </c>
      <c r="G1311" t="s">
        <v>6065</v>
      </c>
      <c r="H1311" t="s">
        <v>6097</v>
      </c>
      <c r="I1311">
        <v>72</v>
      </c>
      <c r="J1311">
        <v>9.3000000000000007</v>
      </c>
      <c r="K1311" t="s">
        <v>6099</v>
      </c>
      <c r="L1311" t="s">
        <v>6100</v>
      </c>
      <c r="M1311" t="s">
        <v>6100</v>
      </c>
      <c r="O1311" t="s">
        <v>6101</v>
      </c>
      <c r="P1311" t="s">
        <v>6109</v>
      </c>
      <c r="Q1311">
        <v>3</v>
      </c>
      <c r="R1311">
        <v>2026</v>
      </c>
      <c r="S1311" t="s">
        <v>6099</v>
      </c>
      <c r="T1311">
        <v>1</v>
      </c>
      <c r="U1311" t="s">
        <v>6021</v>
      </c>
      <c r="V1311">
        <v>1</v>
      </c>
    </row>
    <row r="1312" spans="1:22" x14ac:dyDescent="0.3">
      <c r="A1312" t="s">
        <v>1327</v>
      </c>
      <c r="B1312" s="2">
        <v>46087.324305555558</v>
      </c>
      <c r="C1312" s="2">
        <v>46087.495138888888</v>
      </c>
      <c r="D1312" t="s">
        <v>6022</v>
      </c>
      <c r="E1312" t="s">
        <v>6030</v>
      </c>
      <c r="F1312" t="s">
        <v>6034</v>
      </c>
      <c r="G1312" t="s">
        <v>6077</v>
      </c>
      <c r="H1312" t="s">
        <v>6098</v>
      </c>
      <c r="I1312">
        <v>24</v>
      </c>
      <c r="J1312">
        <v>4.0999999999999996</v>
      </c>
      <c r="K1312" t="s">
        <v>6100</v>
      </c>
      <c r="L1312" t="s">
        <v>6099</v>
      </c>
      <c r="M1312" t="s">
        <v>6100</v>
      </c>
      <c r="O1312" t="s">
        <v>6101</v>
      </c>
      <c r="P1312" t="s">
        <v>6109</v>
      </c>
      <c r="Q1312">
        <v>3</v>
      </c>
      <c r="R1312">
        <v>2026</v>
      </c>
      <c r="S1312" t="s">
        <v>6099</v>
      </c>
      <c r="T1312">
        <v>1</v>
      </c>
      <c r="U1312" t="s">
        <v>6018</v>
      </c>
      <c r="V1312">
        <v>0</v>
      </c>
    </row>
    <row r="1313" spans="1:22" x14ac:dyDescent="0.3">
      <c r="A1313" t="s">
        <v>1328</v>
      </c>
      <c r="B1313" s="2">
        <v>46087.429861111108</v>
      </c>
      <c r="C1313" s="2">
        <v>46087.567361111112</v>
      </c>
      <c r="D1313" t="s">
        <v>6024</v>
      </c>
      <c r="E1313" t="s">
        <v>6029</v>
      </c>
      <c r="F1313" t="s">
        <v>6035</v>
      </c>
      <c r="G1313" t="s">
        <v>6076</v>
      </c>
      <c r="H1313" t="s">
        <v>6097</v>
      </c>
      <c r="I1313">
        <v>4</v>
      </c>
      <c r="J1313">
        <v>3.3</v>
      </c>
      <c r="K1313" t="s">
        <v>6099</v>
      </c>
      <c r="L1313" t="s">
        <v>6100</v>
      </c>
      <c r="M1313" t="s">
        <v>6100</v>
      </c>
      <c r="N1313">
        <v>3</v>
      </c>
      <c r="O1313" t="s">
        <v>6101</v>
      </c>
      <c r="P1313" t="s">
        <v>6109</v>
      </c>
      <c r="Q1313">
        <v>3</v>
      </c>
      <c r="R1313">
        <v>2026</v>
      </c>
      <c r="S1313" t="s">
        <v>6099</v>
      </c>
      <c r="T1313">
        <v>1</v>
      </c>
      <c r="U1313" t="s">
        <v>6021</v>
      </c>
      <c r="V1313">
        <v>1</v>
      </c>
    </row>
    <row r="1314" spans="1:22" x14ac:dyDescent="0.3">
      <c r="A1314" t="s">
        <v>1329</v>
      </c>
      <c r="B1314" s="2">
        <v>46087.439583333333</v>
      </c>
      <c r="C1314" s="2">
        <v>46087.681250000001</v>
      </c>
      <c r="D1314" t="s">
        <v>6023</v>
      </c>
      <c r="E1314" t="s">
        <v>6029</v>
      </c>
      <c r="F1314" t="s">
        <v>6033</v>
      </c>
      <c r="G1314" t="s">
        <v>6040</v>
      </c>
      <c r="H1314" t="s">
        <v>6097</v>
      </c>
      <c r="I1314">
        <v>72</v>
      </c>
      <c r="J1314">
        <v>5.8</v>
      </c>
      <c r="K1314" t="s">
        <v>6099</v>
      </c>
      <c r="L1314" t="s">
        <v>6100</v>
      </c>
      <c r="M1314" t="s">
        <v>6100</v>
      </c>
      <c r="N1314">
        <v>3</v>
      </c>
      <c r="O1314" t="s">
        <v>6101</v>
      </c>
      <c r="P1314" t="s">
        <v>6109</v>
      </c>
      <c r="Q1314">
        <v>3</v>
      </c>
      <c r="R1314">
        <v>2026</v>
      </c>
      <c r="S1314" t="s">
        <v>6099</v>
      </c>
      <c r="T1314">
        <v>1</v>
      </c>
      <c r="U1314" t="s">
        <v>6020</v>
      </c>
      <c r="V1314">
        <v>1</v>
      </c>
    </row>
    <row r="1315" spans="1:22" x14ac:dyDescent="0.3">
      <c r="A1315" t="s">
        <v>1330</v>
      </c>
      <c r="B1315" s="2">
        <v>46087.447222222225</v>
      </c>
      <c r="C1315" s="2">
        <v>46088.268055555556</v>
      </c>
      <c r="D1315" t="s">
        <v>6022</v>
      </c>
      <c r="E1315" t="s">
        <v>6029</v>
      </c>
      <c r="F1315" t="s">
        <v>6033</v>
      </c>
      <c r="G1315" t="s">
        <v>6045</v>
      </c>
      <c r="H1315" t="s">
        <v>6096</v>
      </c>
      <c r="I1315">
        <v>72</v>
      </c>
      <c r="J1315">
        <v>19.7</v>
      </c>
      <c r="K1315" t="s">
        <v>6099</v>
      </c>
      <c r="L1315" t="s">
        <v>6100</v>
      </c>
      <c r="M1315" t="s">
        <v>6100</v>
      </c>
      <c r="N1315">
        <v>5</v>
      </c>
      <c r="O1315" t="s">
        <v>6101</v>
      </c>
      <c r="P1315" t="s">
        <v>6109</v>
      </c>
      <c r="Q1315">
        <v>3</v>
      </c>
      <c r="R1315">
        <v>2026</v>
      </c>
      <c r="S1315" t="s">
        <v>6099</v>
      </c>
      <c r="T1315">
        <v>1</v>
      </c>
      <c r="U1315" t="s">
        <v>6018</v>
      </c>
      <c r="V1315">
        <v>1</v>
      </c>
    </row>
    <row r="1316" spans="1:22" x14ac:dyDescent="0.3">
      <c r="A1316" t="s">
        <v>1331</v>
      </c>
      <c r="B1316" s="2">
        <v>46087.459722222222</v>
      </c>
      <c r="C1316" s="2">
        <v>46087.776388888888</v>
      </c>
      <c r="D1316" t="s">
        <v>6027</v>
      </c>
      <c r="E1316" t="s">
        <v>6030</v>
      </c>
      <c r="F1316" t="s">
        <v>6033</v>
      </c>
      <c r="G1316" t="s">
        <v>6038</v>
      </c>
      <c r="H1316" t="s">
        <v>6096</v>
      </c>
      <c r="I1316">
        <v>72</v>
      </c>
      <c r="J1316">
        <v>7.6</v>
      </c>
      <c r="K1316" t="s">
        <v>6100</v>
      </c>
      <c r="L1316" t="s">
        <v>6100</v>
      </c>
      <c r="M1316" t="s">
        <v>6100</v>
      </c>
      <c r="N1316">
        <v>4</v>
      </c>
      <c r="O1316" t="s">
        <v>6101</v>
      </c>
      <c r="P1316" t="s">
        <v>6109</v>
      </c>
      <c r="Q1316">
        <v>3</v>
      </c>
      <c r="R1316">
        <v>2026</v>
      </c>
      <c r="S1316" t="s">
        <v>6099</v>
      </c>
      <c r="T1316">
        <v>1</v>
      </c>
      <c r="U1316" t="s">
        <v>6021</v>
      </c>
      <c r="V1316">
        <v>0</v>
      </c>
    </row>
    <row r="1317" spans="1:22" x14ac:dyDescent="0.3">
      <c r="A1317" t="s">
        <v>1332</v>
      </c>
      <c r="B1317" s="2">
        <v>46087.470138888886</v>
      </c>
      <c r="C1317" s="2">
        <v>46087.728472222225</v>
      </c>
      <c r="D1317" t="s">
        <v>6027</v>
      </c>
      <c r="E1317" t="s">
        <v>6032</v>
      </c>
      <c r="F1317" t="s">
        <v>6033</v>
      </c>
      <c r="G1317" t="s">
        <v>6065</v>
      </c>
      <c r="H1317" t="s">
        <v>6097</v>
      </c>
      <c r="I1317">
        <v>72</v>
      </c>
      <c r="J1317">
        <v>6.2</v>
      </c>
      <c r="K1317" t="s">
        <v>6099</v>
      </c>
      <c r="L1317" t="s">
        <v>6100</v>
      </c>
      <c r="M1317" t="s">
        <v>6100</v>
      </c>
      <c r="N1317">
        <v>4</v>
      </c>
      <c r="O1317" t="s">
        <v>6101</v>
      </c>
      <c r="P1317" t="s">
        <v>6109</v>
      </c>
      <c r="Q1317">
        <v>3</v>
      </c>
      <c r="R1317">
        <v>2026</v>
      </c>
      <c r="S1317" t="s">
        <v>6099</v>
      </c>
      <c r="T1317">
        <v>1</v>
      </c>
      <c r="U1317" t="s">
        <v>6018</v>
      </c>
      <c r="V1317">
        <v>1</v>
      </c>
    </row>
    <row r="1318" spans="1:22" x14ac:dyDescent="0.3">
      <c r="A1318" t="s">
        <v>1333</v>
      </c>
      <c r="B1318" s="2">
        <v>46087.577777777777</v>
      </c>
      <c r="C1318" s="2">
        <v>46088.519444444442</v>
      </c>
      <c r="D1318" t="s">
        <v>6028</v>
      </c>
      <c r="E1318" t="s">
        <v>6031</v>
      </c>
      <c r="F1318" t="s">
        <v>6035</v>
      </c>
      <c r="G1318" t="s">
        <v>6059</v>
      </c>
      <c r="H1318" t="s">
        <v>6097</v>
      </c>
      <c r="I1318">
        <v>4</v>
      </c>
      <c r="J1318">
        <v>22.6</v>
      </c>
      <c r="K1318" t="s">
        <v>6099</v>
      </c>
      <c r="L1318" t="s">
        <v>6100</v>
      </c>
      <c r="M1318" t="s">
        <v>6100</v>
      </c>
      <c r="O1318" t="s">
        <v>6101</v>
      </c>
      <c r="P1318" t="s">
        <v>6109</v>
      </c>
      <c r="Q1318">
        <v>3</v>
      </c>
      <c r="R1318">
        <v>2026</v>
      </c>
      <c r="S1318" t="s">
        <v>6100</v>
      </c>
      <c r="T1318">
        <v>0</v>
      </c>
      <c r="U1318" t="s">
        <v>6018</v>
      </c>
      <c r="V1318">
        <v>1</v>
      </c>
    </row>
    <row r="1319" spans="1:22" x14ac:dyDescent="0.3">
      <c r="A1319" t="s">
        <v>1334</v>
      </c>
      <c r="B1319" s="2">
        <v>46087.577777777777</v>
      </c>
      <c r="C1319" s="2">
        <v>46087.927777777775</v>
      </c>
      <c r="D1319" t="s">
        <v>6028</v>
      </c>
      <c r="E1319" t="s">
        <v>6029</v>
      </c>
      <c r="F1319" t="s">
        <v>6033</v>
      </c>
      <c r="G1319" t="s">
        <v>6044</v>
      </c>
      <c r="H1319" t="s">
        <v>6097</v>
      </c>
      <c r="I1319">
        <v>72</v>
      </c>
      <c r="J1319">
        <v>8.4</v>
      </c>
      <c r="K1319" t="s">
        <v>6099</v>
      </c>
      <c r="L1319" t="s">
        <v>6100</v>
      </c>
      <c r="M1319" t="s">
        <v>6100</v>
      </c>
      <c r="N1319">
        <v>5</v>
      </c>
      <c r="O1319" t="s">
        <v>6101</v>
      </c>
      <c r="P1319" t="s">
        <v>6109</v>
      </c>
      <c r="Q1319">
        <v>3</v>
      </c>
      <c r="R1319">
        <v>2026</v>
      </c>
      <c r="S1319" t="s">
        <v>6099</v>
      </c>
      <c r="T1319">
        <v>1</v>
      </c>
      <c r="U1319" t="s">
        <v>6017</v>
      </c>
      <c r="V1319">
        <v>1</v>
      </c>
    </row>
    <row r="1320" spans="1:22" x14ac:dyDescent="0.3">
      <c r="A1320" t="s">
        <v>1335</v>
      </c>
      <c r="B1320" s="2">
        <v>46087.577777777777</v>
      </c>
      <c r="C1320" s="2">
        <v>46087.923611111109</v>
      </c>
      <c r="D1320" t="s">
        <v>6022</v>
      </c>
      <c r="E1320" t="s">
        <v>6029</v>
      </c>
      <c r="F1320" t="s">
        <v>6034</v>
      </c>
      <c r="G1320" t="s">
        <v>6064</v>
      </c>
      <c r="H1320" t="s">
        <v>6096</v>
      </c>
      <c r="I1320">
        <v>24</v>
      </c>
      <c r="J1320">
        <v>8.3000000000000007</v>
      </c>
      <c r="K1320" t="s">
        <v>6099</v>
      </c>
      <c r="L1320" t="s">
        <v>6100</v>
      </c>
      <c r="M1320" t="s">
        <v>6100</v>
      </c>
      <c r="O1320" t="s">
        <v>6101</v>
      </c>
      <c r="P1320" t="s">
        <v>6109</v>
      </c>
      <c r="Q1320">
        <v>3</v>
      </c>
      <c r="R1320">
        <v>2026</v>
      </c>
      <c r="S1320" t="s">
        <v>6099</v>
      </c>
      <c r="T1320">
        <v>1</v>
      </c>
      <c r="U1320" t="s">
        <v>6020</v>
      </c>
      <c r="V1320">
        <v>1</v>
      </c>
    </row>
    <row r="1321" spans="1:22" x14ac:dyDescent="0.3">
      <c r="A1321" t="s">
        <v>1336</v>
      </c>
      <c r="B1321" s="2">
        <v>46087.598611111112</v>
      </c>
      <c r="C1321" s="2">
        <v>46087.781944444447</v>
      </c>
      <c r="D1321" t="s">
        <v>6024</v>
      </c>
      <c r="E1321" t="s">
        <v>6029</v>
      </c>
      <c r="F1321" t="s">
        <v>6033</v>
      </c>
      <c r="G1321" t="s">
        <v>6073</v>
      </c>
      <c r="H1321" t="s">
        <v>6096</v>
      </c>
      <c r="I1321">
        <v>72</v>
      </c>
      <c r="J1321">
        <v>4.4000000000000004</v>
      </c>
      <c r="K1321" t="s">
        <v>6099</v>
      </c>
      <c r="L1321" t="s">
        <v>6100</v>
      </c>
      <c r="M1321" t="s">
        <v>6100</v>
      </c>
      <c r="N1321">
        <v>5</v>
      </c>
      <c r="O1321" t="s">
        <v>6101</v>
      </c>
      <c r="P1321" t="s">
        <v>6109</v>
      </c>
      <c r="Q1321">
        <v>3</v>
      </c>
      <c r="R1321">
        <v>2026</v>
      </c>
      <c r="S1321" t="s">
        <v>6099</v>
      </c>
      <c r="T1321">
        <v>1</v>
      </c>
      <c r="U1321" t="s">
        <v>6017</v>
      </c>
      <c r="V1321">
        <v>1</v>
      </c>
    </row>
    <row r="1322" spans="1:22" x14ac:dyDescent="0.3">
      <c r="A1322" t="s">
        <v>1337</v>
      </c>
      <c r="B1322" s="2">
        <v>46087.614583333336</v>
      </c>
      <c r="C1322" s="2">
        <v>46087.777083333334</v>
      </c>
      <c r="D1322" t="s">
        <v>6028</v>
      </c>
      <c r="E1322" t="s">
        <v>6029</v>
      </c>
      <c r="F1322" t="s">
        <v>6035</v>
      </c>
      <c r="G1322" t="s">
        <v>6082</v>
      </c>
      <c r="H1322" t="s">
        <v>6097</v>
      </c>
      <c r="I1322">
        <v>4</v>
      </c>
      <c r="J1322">
        <v>3.9</v>
      </c>
      <c r="K1322" t="s">
        <v>6099</v>
      </c>
      <c r="L1322" t="s">
        <v>6100</v>
      </c>
      <c r="M1322" t="s">
        <v>6100</v>
      </c>
      <c r="N1322">
        <v>5</v>
      </c>
      <c r="O1322" t="s">
        <v>6101</v>
      </c>
      <c r="P1322" t="s">
        <v>6109</v>
      </c>
      <c r="Q1322">
        <v>3</v>
      </c>
      <c r="R1322">
        <v>2026</v>
      </c>
      <c r="S1322" t="s">
        <v>6099</v>
      </c>
      <c r="T1322">
        <v>1</v>
      </c>
      <c r="U1322" t="s">
        <v>6018</v>
      </c>
      <c r="V1322">
        <v>1</v>
      </c>
    </row>
    <row r="1323" spans="1:22" x14ac:dyDescent="0.3">
      <c r="A1323" t="s">
        <v>1338</v>
      </c>
      <c r="B1323" s="2">
        <v>46087.615972222222</v>
      </c>
      <c r="C1323" s="2">
        <v>46088.049305555556</v>
      </c>
      <c r="D1323" t="s">
        <v>6022</v>
      </c>
      <c r="E1323" t="s">
        <v>6030</v>
      </c>
      <c r="F1323" t="s">
        <v>6033</v>
      </c>
      <c r="G1323" t="s">
        <v>6086</v>
      </c>
      <c r="H1323" t="s">
        <v>6098</v>
      </c>
      <c r="I1323">
        <v>72</v>
      </c>
      <c r="J1323">
        <v>10.4</v>
      </c>
      <c r="K1323" t="s">
        <v>6099</v>
      </c>
      <c r="L1323" t="s">
        <v>6100</v>
      </c>
      <c r="M1323" t="s">
        <v>6100</v>
      </c>
      <c r="N1323">
        <v>5</v>
      </c>
      <c r="O1323" t="s">
        <v>6101</v>
      </c>
      <c r="P1323" t="s">
        <v>6109</v>
      </c>
      <c r="Q1323">
        <v>3</v>
      </c>
      <c r="R1323">
        <v>2026</v>
      </c>
      <c r="S1323" t="s">
        <v>6099</v>
      </c>
      <c r="T1323">
        <v>1</v>
      </c>
      <c r="U1323" t="s">
        <v>6017</v>
      </c>
      <c r="V1323">
        <v>1</v>
      </c>
    </row>
    <row r="1324" spans="1:22" x14ac:dyDescent="0.3">
      <c r="A1324" t="s">
        <v>1339</v>
      </c>
      <c r="B1324" s="2">
        <v>46087.631944444445</v>
      </c>
      <c r="C1324" s="2">
        <v>46089.856944444444</v>
      </c>
      <c r="D1324" t="s">
        <v>6025</v>
      </c>
      <c r="E1324" t="s">
        <v>6031</v>
      </c>
      <c r="F1324" t="s">
        <v>6034</v>
      </c>
      <c r="G1324" t="s">
        <v>6083</v>
      </c>
      <c r="H1324" t="s">
        <v>6096</v>
      </c>
      <c r="I1324">
        <v>24</v>
      </c>
      <c r="J1324">
        <v>53.4</v>
      </c>
      <c r="K1324" t="s">
        <v>6099</v>
      </c>
      <c r="L1324" t="s">
        <v>6100</v>
      </c>
      <c r="M1324" t="s">
        <v>6100</v>
      </c>
      <c r="O1324" t="s">
        <v>6101</v>
      </c>
      <c r="P1324" t="s">
        <v>6109</v>
      </c>
      <c r="Q1324">
        <v>3</v>
      </c>
      <c r="R1324">
        <v>2026</v>
      </c>
      <c r="S1324" t="s">
        <v>6100</v>
      </c>
      <c r="T1324">
        <v>0</v>
      </c>
      <c r="U1324" t="s">
        <v>6020</v>
      </c>
      <c r="V1324">
        <v>1</v>
      </c>
    </row>
    <row r="1325" spans="1:22" x14ac:dyDescent="0.3">
      <c r="A1325" t="s">
        <v>1340</v>
      </c>
      <c r="B1325" s="2">
        <v>46087.663194444445</v>
      </c>
      <c r="C1325" s="2">
        <v>46090.259027777778</v>
      </c>
      <c r="D1325" t="s">
        <v>6027</v>
      </c>
      <c r="E1325" t="s">
        <v>6032</v>
      </c>
      <c r="F1325" t="s">
        <v>6034</v>
      </c>
      <c r="G1325" t="s">
        <v>6062</v>
      </c>
      <c r="H1325" t="s">
        <v>6096</v>
      </c>
      <c r="I1325">
        <v>24</v>
      </c>
      <c r="J1325">
        <v>62.3</v>
      </c>
      <c r="K1325" t="s">
        <v>6099</v>
      </c>
      <c r="L1325" t="s">
        <v>6100</v>
      </c>
      <c r="M1325" t="s">
        <v>6100</v>
      </c>
      <c r="O1325" t="s">
        <v>6101</v>
      </c>
      <c r="P1325" t="s">
        <v>6109</v>
      </c>
      <c r="Q1325">
        <v>3</v>
      </c>
      <c r="R1325">
        <v>2026</v>
      </c>
      <c r="S1325" t="s">
        <v>6100</v>
      </c>
      <c r="T1325">
        <v>0</v>
      </c>
      <c r="U1325" t="s">
        <v>6017</v>
      </c>
      <c r="V1325">
        <v>1</v>
      </c>
    </row>
    <row r="1326" spans="1:22" x14ac:dyDescent="0.3">
      <c r="A1326" t="s">
        <v>1341</v>
      </c>
      <c r="B1326" s="2">
        <v>46087.665972222225</v>
      </c>
      <c r="C1326" s="2">
        <v>46087.970138888886</v>
      </c>
      <c r="D1326" t="s">
        <v>6023</v>
      </c>
      <c r="E1326" t="s">
        <v>6029</v>
      </c>
      <c r="F1326" t="s">
        <v>6033</v>
      </c>
      <c r="G1326" t="s">
        <v>6050</v>
      </c>
      <c r="H1326" t="s">
        <v>6098</v>
      </c>
      <c r="I1326">
        <v>72</v>
      </c>
      <c r="J1326">
        <v>7.3</v>
      </c>
      <c r="K1326" t="s">
        <v>6099</v>
      </c>
      <c r="L1326" t="s">
        <v>6100</v>
      </c>
      <c r="M1326" t="s">
        <v>6100</v>
      </c>
      <c r="O1326" t="s">
        <v>6101</v>
      </c>
      <c r="P1326" t="s">
        <v>6109</v>
      </c>
      <c r="Q1326">
        <v>3</v>
      </c>
      <c r="R1326">
        <v>2026</v>
      </c>
      <c r="S1326" t="s">
        <v>6099</v>
      </c>
      <c r="T1326">
        <v>1</v>
      </c>
      <c r="U1326" t="s">
        <v>6020</v>
      </c>
      <c r="V1326">
        <v>1</v>
      </c>
    </row>
    <row r="1327" spans="1:22" x14ac:dyDescent="0.3">
      <c r="A1327" t="s">
        <v>1342</v>
      </c>
      <c r="B1327" s="2">
        <v>46087.698611111111</v>
      </c>
      <c r="C1327" s="2">
        <v>46087.986111111109</v>
      </c>
      <c r="D1327" t="s">
        <v>6024</v>
      </c>
      <c r="E1327" t="s">
        <v>6030</v>
      </c>
      <c r="F1327" t="s">
        <v>6033</v>
      </c>
      <c r="G1327" t="s">
        <v>6087</v>
      </c>
      <c r="H1327" t="s">
        <v>6098</v>
      </c>
      <c r="I1327">
        <v>72</v>
      </c>
      <c r="J1327">
        <v>6.9</v>
      </c>
      <c r="K1327" t="s">
        <v>6099</v>
      </c>
      <c r="L1327" t="s">
        <v>6100</v>
      </c>
      <c r="M1327" t="s">
        <v>6100</v>
      </c>
      <c r="N1327">
        <v>3</v>
      </c>
      <c r="O1327" t="s">
        <v>6101</v>
      </c>
      <c r="P1327" t="s">
        <v>6109</v>
      </c>
      <c r="Q1327">
        <v>3</v>
      </c>
      <c r="R1327">
        <v>2026</v>
      </c>
      <c r="S1327" t="s">
        <v>6099</v>
      </c>
      <c r="T1327">
        <v>1</v>
      </c>
      <c r="U1327" t="s">
        <v>6021</v>
      </c>
      <c r="V1327">
        <v>1</v>
      </c>
    </row>
    <row r="1328" spans="1:22" x14ac:dyDescent="0.3">
      <c r="A1328" t="s">
        <v>1343</v>
      </c>
      <c r="B1328" s="2">
        <v>46087.709722222222</v>
      </c>
      <c r="C1328" s="2">
        <v>46104.001388888886</v>
      </c>
      <c r="D1328" t="s">
        <v>6026</v>
      </c>
      <c r="E1328" t="s">
        <v>6031</v>
      </c>
      <c r="F1328" t="s">
        <v>6034</v>
      </c>
      <c r="G1328" t="s">
        <v>6073</v>
      </c>
      <c r="H1328" t="s">
        <v>6096</v>
      </c>
      <c r="I1328">
        <v>24</v>
      </c>
      <c r="J1328">
        <v>391</v>
      </c>
      <c r="K1328" t="s">
        <v>6099</v>
      </c>
      <c r="L1328" t="s">
        <v>6100</v>
      </c>
      <c r="M1328" t="s">
        <v>6100</v>
      </c>
      <c r="N1328">
        <v>5</v>
      </c>
      <c r="O1328" t="s">
        <v>6101</v>
      </c>
      <c r="P1328" t="s">
        <v>6109</v>
      </c>
      <c r="Q1328">
        <v>3</v>
      </c>
      <c r="R1328">
        <v>2026</v>
      </c>
      <c r="S1328" t="s">
        <v>6100</v>
      </c>
      <c r="T1328">
        <v>0</v>
      </c>
      <c r="U1328" t="s">
        <v>6019</v>
      </c>
      <c r="V1328">
        <v>1</v>
      </c>
    </row>
    <row r="1329" spans="1:22" x14ac:dyDescent="0.3">
      <c r="A1329" t="s">
        <v>1344</v>
      </c>
      <c r="B1329" s="2">
        <v>46087.84097222222</v>
      </c>
      <c r="C1329" s="2">
        <v>46088.620138888888</v>
      </c>
      <c r="D1329" t="s">
        <v>6024</v>
      </c>
      <c r="E1329" t="s">
        <v>6029</v>
      </c>
      <c r="F1329" t="s">
        <v>6035</v>
      </c>
      <c r="G1329" t="s">
        <v>6051</v>
      </c>
      <c r="H1329" t="s">
        <v>6097</v>
      </c>
      <c r="I1329">
        <v>4</v>
      </c>
      <c r="J1329">
        <v>18.7</v>
      </c>
      <c r="K1329" t="s">
        <v>6099</v>
      </c>
      <c r="L1329" t="s">
        <v>6100</v>
      </c>
      <c r="M1329" t="s">
        <v>6100</v>
      </c>
      <c r="O1329" t="s">
        <v>6101</v>
      </c>
      <c r="P1329" t="s">
        <v>6109</v>
      </c>
      <c r="Q1329">
        <v>3</v>
      </c>
      <c r="R1329">
        <v>2026</v>
      </c>
      <c r="S1329" t="s">
        <v>6100</v>
      </c>
      <c r="T1329">
        <v>0</v>
      </c>
      <c r="U1329" t="s">
        <v>6020</v>
      </c>
      <c r="V1329">
        <v>1</v>
      </c>
    </row>
    <row r="1330" spans="1:22" x14ac:dyDescent="0.3">
      <c r="A1330" t="s">
        <v>1345</v>
      </c>
      <c r="B1330" s="2">
        <v>46087.940972222219</v>
      </c>
      <c r="C1330" s="2">
        <v>46088.095138888886</v>
      </c>
      <c r="D1330" t="s">
        <v>6023</v>
      </c>
      <c r="E1330" t="s">
        <v>6029</v>
      </c>
      <c r="F1330" t="s">
        <v>6033</v>
      </c>
      <c r="G1330" t="s">
        <v>6056</v>
      </c>
      <c r="H1330" t="s">
        <v>6098</v>
      </c>
      <c r="I1330">
        <v>72</v>
      </c>
      <c r="J1330">
        <v>3.7</v>
      </c>
      <c r="K1330" t="s">
        <v>6099</v>
      </c>
      <c r="L1330" t="s">
        <v>6100</v>
      </c>
      <c r="M1330" t="s">
        <v>6100</v>
      </c>
      <c r="N1330">
        <v>3</v>
      </c>
      <c r="O1330" t="s">
        <v>6101</v>
      </c>
      <c r="P1330" t="s">
        <v>6109</v>
      </c>
      <c r="Q1330">
        <v>3</v>
      </c>
      <c r="R1330">
        <v>2026</v>
      </c>
      <c r="S1330" t="s">
        <v>6099</v>
      </c>
      <c r="T1330">
        <v>1</v>
      </c>
      <c r="U1330" t="s">
        <v>6018</v>
      </c>
      <c r="V1330">
        <v>1</v>
      </c>
    </row>
    <row r="1331" spans="1:22" x14ac:dyDescent="0.3">
      <c r="A1331" t="s">
        <v>1346</v>
      </c>
      <c r="B1331" s="2">
        <v>46088.209722222222</v>
      </c>
      <c r="C1331" s="2">
        <v>46092.718055555553</v>
      </c>
      <c r="D1331" t="s">
        <v>6026</v>
      </c>
      <c r="E1331" t="s">
        <v>6031</v>
      </c>
      <c r="F1331" t="s">
        <v>6033</v>
      </c>
      <c r="G1331" t="s">
        <v>6081</v>
      </c>
      <c r="H1331" t="s">
        <v>6098</v>
      </c>
      <c r="I1331">
        <v>72</v>
      </c>
      <c r="J1331">
        <v>108.2</v>
      </c>
      <c r="K1331" t="s">
        <v>6100</v>
      </c>
      <c r="L1331" t="s">
        <v>6099</v>
      </c>
      <c r="M1331" t="s">
        <v>6100</v>
      </c>
      <c r="O1331" t="s">
        <v>6101</v>
      </c>
      <c r="P1331" t="s">
        <v>6109</v>
      </c>
      <c r="Q1331">
        <v>3</v>
      </c>
      <c r="R1331">
        <v>2026</v>
      </c>
      <c r="S1331" t="s">
        <v>6100</v>
      </c>
      <c r="T1331">
        <v>0</v>
      </c>
      <c r="U1331" t="s">
        <v>6019</v>
      </c>
      <c r="V1331">
        <v>0</v>
      </c>
    </row>
    <row r="1332" spans="1:22" x14ac:dyDescent="0.3">
      <c r="A1332" t="s">
        <v>1347</v>
      </c>
      <c r="B1332" s="2">
        <v>46088.382638888892</v>
      </c>
      <c r="C1332" s="2">
        <v>46088.974305555559</v>
      </c>
      <c r="D1332" t="s">
        <v>6028</v>
      </c>
      <c r="E1332" t="s">
        <v>6031</v>
      </c>
      <c r="F1332" t="s">
        <v>6033</v>
      </c>
      <c r="G1332" t="s">
        <v>6075</v>
      </c>
      <c r="H1332" t="s">
        <v>6097</v>
      </c>
      <c r="I1332">
        <v>72</v>
      </c>
      <c r="J1332">
        <v>14.2</v>
      </c>
      <c r="K1332" t="s">
        <v>6100</v>
      </c>
      <c r="L1332" t="s">
        <v>6099</v>
      </c>
      <c r="M1332" t="s">
        <v>6100</v>
      </c>
      <c r="O1332" t="s">
        <v>6101</v>
      </c>
      <c r="P1332" t="s">
        <v>6109</v>
      </c>
      <c r="Q1332">
        <v>3</v>
      </c>
      <c r="R1332">
        <v>2026</v>
      </c>
      <c r="S1332" t="s">
        <v>6099</v>
      </c>
      <c r="T1332">
        <v>1</v>
      </c>
      <c r="U1332" t="s">
        <v>6021</v>
      </c>
      <c r="V1332">
        <v>0</v>
      </c>
    </row>
    <row r="1333" spans="1:22" x14ac:dyDescent="0.3">
      <c r="A1333" t="s">
        <v>1348</v>
      </c>
      <c r="B1333" s="2">
        <v>46088.447222222225</v>
      </c>
      <c r="C1333" s="2">
        <v>46089.243055555555</v>
      </c>
      <c r="D1333" t="s">
        <v>6024</v>
      </c>
      <c r="E1333" t="s">
        <v>6031</v>
      </c>
      <c r="F1333" t="s">
        <v>6034</v>
      </c>
      <c r="G1333" t="s">
        <v>6049</v>
      </c>
      <c r="H1333" t="s">
        <v>6097</v>
      </c>
      <c r="I1333">
        <v>24</v>
      </c>
      <c r="J1333">
        <v>19.100000000000001</v>
      </c>
      <c r="K1333" t="s">
        <v>6099</v>
      </c>
      <c r="L1333" t="s">
        <v>6100</v>
      </c>
      <c r="M1333" t="s">
        <v>6100</v>
      </c>
      <c r="O1333" t="s">
        <v>6101</v>
      </c>
      <c r="P1333" t="s">
        <v>6109</v>
      </c>
      <c r="Q1333">
        <v>3</v>
      </c>
      <c r="R1333">
        <v>2026</v>
      </c>
      <c r="S1333" t="s">
        <v>6099</v>
      </c>
      <c r="T1333">
        <v>1</v>
      </c>
      <c r="U1333" t="s">
        <v>6018</v>
      </c>
      <c r="V1333">
        <v>1</v>
      </c>
    </row>
    <row r="1334" spans="1:22" x14ac:dyDescent="0.3">
      <c r="A1334" t="s">
        <v>1349</v>
      </c>
      <c r="B1334" s="2">
        <v>46088.454861111109</v>
      </c>
      <c r="C1334" s="2">
        <v>46088.959027777775</v>
      </c>
      <c r="D1334" t="s">
        <v>6023</v>
      </c>
      <c r="E1334" t="s">
        <v>6029</v>
      </c>
      <c r="F1334" t="s">
        <v>6033</v>
      </c>
      <c r="G1334" t="s">
        <v>6079</v>
      </c>
      <c r="H1334" t="s">
        <v>6097</v>
      </c>
      <c r="I1334">
        <v>72</v>
      </c>
      <c r="J1334">
        <v>12.1</v>
      </c>
      <c r="K1334" t="s">
        <v>6099</v>
      </c>
      <c r="L1334" t="s">
        <v>6100</v>
      </c>
      <c r="M1334" t="s">
        <v>6100</v>
      </c>
      <c r="O1334" t="s">
        <v>6101</v>
      </c>
      <c r="P1334" t="s">
        <v>6109</v>
      </c>
      <c r="Q1334">
        <v>3</v>
      </c>
      <c r="R1334">
        <v>2026</v>
      </c>
      <c r="S1334" t="s">
        <v>6099</v>
      </c>
      <c r="T1334">
        <v>1</v>
      </c>
      <c r="U1334" t="s">
        <v>6020</v>
      </c>
      <c r="V1334">
        <v>1</v>
      </c>
    </row>
    <row r="1335" spans="1:22" x14ac:dyDescent="0.3">
      <c r="A1335" t="s">
        <v>1350</v>
      </c>
      <c r="B1335" s="2">
        <v>46088.463194444441</v>
      </c>
      <c r="C1335" s="2">
        <v>46088.621527777781</v>
      </c>
      <c r="D1335" t="s">
        <v>6024</v>
      </c>
      <c r="E1335" t="s">
        <v>6030</v>
      </c>
      <c r="F1335" t="s">
        <v>6034</v>
      </c>
      <c r="G1335" t="s">
        <v>6040</v>
      </c>
      <c r="H1335" t="s">
        <v>6097</v>
      </c>
      <c r="I1335">
        <v>24</v>
      </c>
      <c r="J1335">
        <v>3.8</v>
      </c>
      <c r="K1335" t="s">
        <v>6099</v>
      </c>
      <c r="L1335" t="s">
        <v>6100</v>
      </c>
      <c r="M1335" t="s">
        <v>6099</v>
      </c>
      <c r="N1335">
        <v>4</v>
      </c>
      <c r="O1335" t="s">
        <v>6101</v>
      </c>
      <c r="P1335" t="s">
        <v>6109</v>
      </c>
      <c r="Q1335">
        <v>3</v>
      </c>
      <c r="R1335">
        <v>2026</v>
      </c>
      <c r="S1335" t="s">
        <v>6099</v>
      </c>
      <c r="T1335">
        <v>1</v>
      </c>
      <c r="U1335" t="s">
        <v>6018</v>
      </c>
      <c r="V1335">
        <v>1</v>
      </c>
    </row>
    <row r="1336" spans="1:22" x14ac:dyDescent="0.3">
      <c r="A1336" t="s">
        <v>1351</v>
      </c>
      <c r="B1336" s="2">
        <v>46088.563194444447</v>
      </c>
      <c r="C1336" s="2">
        <v>46088.967361111114</v>
      </c>
      <c r="D1336" t="s">
        <v>6025</v>
      </c>
      <c r="E1336" t="s">
        <v>6030</v>
      </c>
      <c r="F1336" t="s">
        <v>6033</v>
      </c>
      <c r="G1336" t="s">
        <v>6079</v>
      </c>
      <c r="H1336" t="s">
        <v>6097</v>
      </c>
      <c r="I1336">
        <v>72</v>
      </c>
      <c r="J1336">
        <v>9.6999999999999993</v>
      </c>
      <c r="K1336" t="s">
        <v>6099</v>
      </c>
      <c r="L1336" t="s">
        <v>6100</v>
      </c>
      <c r="M1336" t="s">
        <v>6100</v>
      </c>
      <c r="O1336" t="s">
        <v>6101</v>
      </c>
      <c r="P1336" t="s">
        <v>6109</v>
      </c>
      <c r="Q1336">
        <v>3</v>
      </c>
      <c r="R1336">
        <v>2026</v>
      </c>
      <c r="S1336" t="s">
        <v>6099</v>
      </c>
      <c r="T1336">
        <v>1</v>
      </c>
      <c r="U1336" t="s">
        <v>6017</v>
      </c>
      <c r="V1336">
        <v>1</v>
      </c>
    </row>
    <row r="1337" spans="1:22" x14ac:dyDescent="0.3">
      <c r="A1337" t="s">
        <v>1352</v>
      </c>
      <c r="B1337" s="2">
        <v>46088.603472222225</v>
      </c>
      <c r="C1337" s="2">
        <v>46093.974305555559</v>
      </c>
      <c r="D1337" t="s">
        <v>6025</v>
      </c>
      <c r="E1337" t="s">
        <v>6031</v>
      </c>
      <c r="F1337" t="s">
        <v>6034</v>
      </c>
      <c r="G1337" t="s">
        <v>6054</v>
      </c>
      <c r="H1337" t="s">
        <v>6096</v>
      </c>
      <c r="I1337">
        <v>24</v>
      </c>
      <c r="J1337">
        <v>128.9</v>
      </c>
      <c r="K1337" t="s">
        <v>6100</v>
      </c>
      <c r="L1337" t="s">
        <v>6100</v>
      </c>
      <c r="M1337" t="s">
        <v>6100</v>
      </c>
      <c r="N1337">
        <v>3</v>
      </c>
      <c r="O1337" t="s">
        <v>6101</v>
      </c>
      <c r="P1337" t="s">
        <v>6109</v>
      </c>
      <c r="Q1337">
        <v>3</v>
      </c>
      <c r="R1337">
        <v>2026</v>
      </c>
      <c r="S1337" t="s">
        <v>6100</v>
      </c>
      <c r="T1337">
        <v>0</v>
      </c>
      <c r="U1337" t="s">
        <v>6018</v>
      </c>
      <c r="V1337">
        <v>0</v>
      </c>
    </row>
    <row r="1338" spans="1:22" x14ac:dyDescent="0.3">
      <c r="A1338" t="s">
        <v>1353</v>
      </c>
      <c r="B1338" s="2">
        <v>46088.60833333333</v>
      </c>
      <c r="C1338" s="2">
        <v>46089.05</v>
      </c>
      <c r="D1338" t="s">
        <v>6027</v>
      </c>
      <c r="E1338" t="s">
        <v>6029</v>
      </c>
      <c r="F1338" t="s">
        <v>6034</v>
      </c>
      <c r="G1338" t="s">
        <v>6063</v>
      </c>
      <c r="H1338" t="s">
        <v>6097</v>
      </c>
      <c r="I1338">
        <v>24</v>
      </c>
      <c r="J1338">
        <v>10.6</v>
      </c>
      <c r="K1338" t="s">
        <v>6099</v>
      </c>
      <c r="L1338" t="s">
        <v>6100</v>
      </c>
      <c r="M1338" t="s">
        <v>6099</v>
      </c>
      <c r="O1338" t="s">
        <v>6101</v>
      </c>
      <c r="P1338" t="s">
        <v>6109</v>
      </c>
      <c r="Q1338">
        <v>3</v>
      </c>
      <c r="R1338">
        <v>2026</v>
      </c>
      <c r="S1338" t="s">
        <v>6099</v>
      </c>
      <c r="T1338">
        <v>1</v>
      </c>
      <c r="U1338" t="s">
        <v>6021</v>
      </c>
      <c r="V1338">
        <v>1</v>
      </c>
    </row>
    <row r="1339" spans="1:22" x14ac:dyDescent="0.3">
      <c r="A1339" t="s">
        <v>1354</v>
      </c>
      <c r="B1339" s="2">
        <v>46088.615277777775</v>
      </c>
      <c r="C1339" s="2">
        <v>46089.327777777777</v>
      </c>
      <c r="D1339" t="s">
        <v>6024</v>
      </c>
      <c r="E1339" t="s">
        <v>6029</v>
      </c>
      <c r="F1339" t="s">
        <v>6034</v>
      </c>
      <c r="G1339" t="s">
        <v>6042</v>
      </c>
      <c r="H1339" t="s">
        <v>6098</v>
      </c>
      <c r="I1339">
        <v>24</v>
      </c>
      <c r="J1339">
        <v>17.100000000000001</v>
      </c>
      <c r="K1339" t="s">
        <v>6100</v>
      </c>
      <c r="L1339" t="s">
        <v>6099</v>
      </c>
      <c r="M1339" t="s">
        <v>6100</v>
      </c>
      <c r="O1339" t="s">
        <v>6101</v>
      </c>
      <c r="P1339" t="s">
        <v>6109</v>
      </c>
      <c r="Q1339">
        <v>3</v>
      </c>
      <c r="R1339">
        <v>2026</v>
      </c>
      <c r="S1339" t="s">
        <v>6099</v>
      </c>
      <c r="T1339">
        <v>1</v>
      </c>
      <c r="U1339" t="s">
        <v>6021</v>
      </c>
      <c r="V1339">
        <v>0</v>
      </c>
    </row>
    <row r="1340" spans="1:22" x14ac:dyDescent="0.3">
      <c r="A1340" t="s">
        <v>1355</v>
      </c>
      <c r="B1340" s="2">
        <v>46088.615277777775</v>
      </c>
      <c r="C1340" s="2">
        <v>46093.765277777777</v>
      </c>
      <c r="D1340" t="s">
        <v>6026</v>
      </c>
      <c r="E1340" t="s">
        <v>6031</v>
      </c>
      <c r="F1340" t="s">
        <v>6033</v>
      </c>
      <c r="G1340" t="s">
        <v>6041</v>
      </c>
      <c r="H1340" t="s">
        <v>6096</v>
      </c>
      <c r="I1340">
        <v>72</v>
      </c>
      <c r="J1340">
        <v>123.6</v>
      </c>
      <c r="K1340" t="s">
        <v>6099</v>
      </c>
      <c r="L1340" t="s">
        <v>6100</v>
      </c>
      <c r="M1340" t="s">
        <v>6100</v>
      </c>
      <c r="O1340" t="s">
        <v>6101</v>
      </c>
      <c r="P1340" t="s">
        <v>6109</v>
      </c>
      <c r="Q1340">
        <v>3</v>
      </c>
      <c r="R1340">
        <v>2026</v>
      </c>
      <c r="S1340" t="s">
        <v>6100</v>
      </c>
      <c r="T1340">
        <v>0</v>
      </c>
      <c r="U1340" t="s">
        <v>6018</v>
      </c>
      <c r="V1340">
        <v>1</v>
      </c>
    </row>
    <row r="1341" spans="1:22" x14ac:dyDescent="0.3">
      <c r="A1341" t="s">
        <v>1356</v>
      </c>
      <c r="B1341" s="2">
        <v>46088.65625</v>
      </c>
      <c r="C1341" s="2">
        <v>46089.185416666667</v>
      </c>
      <c r="D1341" t="s">
        <v>6022</v>
      </c>
      <c r="E1341" t="s">
        <v>6030</v>
      </c>
      <c r="F1341" t="s">
        <v>6033</v>
      </c>
      <c r="G1341" t="s">
        <v>6084</v>
      </c>
      <c r="H1341" t="s">
        <v>6098</v>
      </c>
      <c r="I1341">
        <v>72</v>
      </c>
      <c r="J1341">
        <v>12.7</v>
      </c>
      <c r="K1341" t="s">
        <v>6100</v>
      </c>
      <c r="L1341" t="s">
        <v>6100</v>
      </c>
      <c r="M1341" t="s">
        <v>6099</v>
      </c>
      <c r="N1341">
        <v>4</v>
      </c>
      <c r="O1341" t="s">
        <v>6101</v>
      </c>
      <c r="P1341" t="s">
        <v>6109</v>
      </c>
      <c r="Q1341">
        <v>3</v>
      </c>
      <c r="R1341">
        <v>2026</v>
      </c>
      <c r="S1341" t="s">
        <v>6099</v>
      </c>
      <c r="T1341">
        <v>1</v>
      </c>
      <c r="U1341" t="s">
        <v>6018</v>
      </c>
      <c r="V1341">
        <v>0</v>
      </c>
    </row>
    <row r="1342" spans="1:22" x14ac:dyDescent="0.3">
      <c r="A1342" t="s">
        <v>1357</v>
      </c>
      <c r="B1342" s="2">
        <v>46088.730555555558</v>
      </c>
      <c r="C1342" s="2">
        <v>46089.859722222223</v>
      </c>
      <c r="D1342" t="s">
        <v>6028</v>
      </c>
      <c r="E1342" t="s">
        <v>6031</v>
      </c>
      <c r="F1342" t="s">
        <v>6034</v>
      </c>
      <c r="G1342" t="s">
        <v>6093</v>
      </c>
      <c r="H1342" t="s">
        <v>6097</v>
      </c>
      <c r="I1342">
        <v>24</v>
      </c>
      <c r="J1342">
        <v>27.1</v>
      </c>
      <c r="K1342" t="s">
        <v>6099</v>
      </c>
      <c r="L1342" t="s">
        <v>6100</v>
      </c>
      <c r="M1342" t="s">
        <v>6100</v>
      </c>
      <c r="N1342">
        <v>4</v>
      </c>
      <c r="O1342" t="s">
        <v>6101</v>
      </c>
      <c r="P1342" t="s">
        <v>6109</v>
      </c>
      <c r="Q1342">
        <v>3</v>
      </c>
      <c r="R1342">
        <v>2026</v>
      </c>
      <c r="S1342" t="s">
        <v>6100</v>
      </c>
      <c r="T1342">
        <v>0</v>
      </c>
      <c r="U1342" t="s">
        <v>6017</v>
      </c>
      <c r="V1342">
        <v>1</v>
      </c>
    </row>
    <row r="1343" spans="1:22" x14ac:dyDescent="0.3">
      <c r="A1343" t="s">
        <v>1358</v>
      </c>
      <c r="B1343" s="2">
        <v>46088.923611111109</v>
      </c>
      <c r="C1343" s="2">
        <v>46092.019444444442</v>
      </c>
      <c r="D1343" t="s">
        <v>6025</v>
      </c>
      <c r="E1343" t="s">
        <v>6031</v>
      </c>
      <c r="F1343" t="s">
        <v>6034</v>
      </c>
      <c r="G1343" t="s">
        <v>6095</v>
      </c>
      <c r="H1343" t="s">
        <v>6098</v>
      </c>
      <c r="I1343">
        <v>24</v>
      </c>
      <c r="J1343">
        <v>74.3</v>
      </c>
      <c r="K1343" t="s">
        <v>6099</v>
      </c>
      <c r="L1343" t="s">
        <v>6100</v>
      </c>
      <c r="M1343" t="s">
        <v>6100</v>
      </c>
      <c r="N1343">
        <v>4</v>
      </c>
      <c r="O1343" t="s">
        <v>6101</v>
      </c>
      <c r="P1343" t="s">
        <v>6109</v>
      </c>
      <c r="Q1343">
        <v>3</v>
      </c>
      <c r="R1343">
        <v>2026</v>
      </c>
      <c r="S1343" t="s">
        <v>6100</v>
      </c>
      <c r="T1343">
        <v>0</v>
      </c>
      <c r="U1343" t="s">
        <v>6019</v>
      </c>
      <c r="V1343">
        <v>1</v>
      </c>
    </row>
    <row r="1344" spans="1:22" x14ac:dyDescent="0.3">
      <c r="A1344" t="s">
        <v>1359</v>
      </c>
      <c r="B1344" s="2">
        <v>46089.327777777777</v>
      </c>
      <c r="C1344" s="2">
        <v>46089.765277777777</v>
      </c>
      <c r="D1344" t="s">
        <v>6027</v>
      </c>
      <c r="E1344" t="s">
        <v>6029</v>
      </c>
      <c r="F1344" t="s">
        <v>6034</v>
      </c>
      <c r="G1344" t="s">
        <v>6080</v>
      </c>
      <c r="H1344" t="s">
        <v>6096</v>
      </c>
      <c r="I1344">
        <v>24</v>
      </c>
      <c r="J1344">
        <v>10.5</v>
      </c>
      <c r="K1344" t="s">
        <v>6099</v>
      </c>
      <c r="L1344" t="s">
        <v>6100</v>
      </c>
      <c r="M1344" t="s">
        <v>6100</v>
      </c>
      <c r="N1344">
        <v>4</v>
      </c>
      <c r="O1344" t="s">
        <v>6101</v>
      </c>
      <c r="P1344" t="s">
        <v>6109</v>
      </c>
      <c r="Q1344">
        <v>3</v>
      </c>
      <c r="R1344">
        <v>2026</v>
      </c>
      <c r="S1344" t="s">
        <v>6099</v>
      </c>
      <c r="T1344">
        <v>1</v>
      </c>
      <c r="U1344" t="s">
        <v>6018</v>
      </c>
      <c r="V1344">
        <v>1</v>
      </c>
    </row>
    <row r="1345" spans="1:22" x14ac:dyDescent="0.3">
      <c r="A1345" t="s">
        <v>1360</v>
      </c>
      <c r="B1345" s="2">
        <v>46089.427777777775</v>
      </c>
      <c r="C1345" s="2">
        <v>46092.06527777778</v>
      </c>
      <c r="D1345" t="s">
        <v>6025</v>
      </c>
      <c r="E1345" t="s">
        <v>6032</v>
      </c>
      <c r="F1345" t="s">
        <v>6033</v>
      </c>
      <c r="G1345" t="s">
        <v>6050</v>
      </c>
      <c r="H1345" t="s">
        <v>6098</v>
      </c>
      <c r="I1345">
        <v>72</v>
      </c>
      <c r="J1345">
        <v>63.3</v>
      </c>
      <c r="K1345" t="s">
        <v>6099</v>
      </c>
      <c r="L1345" t="s">
        <v>6100</v>
      </c>
      <c r="M1345" t="s">
        <v>6100</v>
      </c>
      <c r="N1345">
        <v>4</v>
      </c>
      <c r="O1345" t="s">
        <v>6101</v>
      </c>
      <c r="P1345" t="s">
        <v>6109</v>
      </c>
      <c r="Q1345">
        <v>3</v>
      </c>
      <c r="R1345">
        <v>2026</v>
      </c>
      <c r="S1345" t="s">
        <v>6099</v>
      </c>
      <c r="T1345">
        <v>1</v>
      </c>
      <c r="U1345" t="s">
        <v>6021</v>
      </c>
      <c r="V1345">
        <v>1</v>
      </c>
    </row>
    <row r="1346" spans="1:22" x14ac:dyDescent="0.3">
      <c r="A1346" t="s">
        <v>1361</v>
      </c>
      <c r="B1346" s="2">
        <v>46089.429861111108</v>
      </c>
      <c r="C1346" s="2">
        <v>46089.917361111111</v>
      </c>
      <c r="D1346" t="s">
        <v>6022</v>
      </c>
      <c r="E1346" t="s">
        <v>6030</v>
      </c>
      <c r="F1346" t="s">
        <v>6033</v>
      </c>
      <c r="G1346" t="s">
        <v>6086</v>
      </c>
      <c r="H1346" t="s">
        <v>6098</v>
      </c>
      <c r="I1346">
        <v>72</v>
      </c>
      <c r="J1346">
        <v>11.7</v>
      </c>
      <c r="K1346" t="s">
        <v>6099</v>
      </c>
      <c r="L1346" t="s">
        <v>6100</v>
      </c>
      <c r="M1346" t="s">
        <v>6100</v>
      </c>
      <c r="O1346" t="s">
        <v>6101</v>
      </c>
      <c r="P1346" t="s">
        <v>6109</v>
      </c>
      <c r="Q1346">
        <v>3</v>
      </c>
      <c r="R1346">
        <v>2026</v>
      </c>
      <c r="S1346" t="s">
        <v>6099</v>
      </c>
      <c r="T1346">
        <v>1</v>
      </c>
      <c r="U1346" t="s">
        <v>6017</v>
      </c>
      <c r="V1346">
        <v>1</v>
      </c>
    </row>
    <row r="1347" spans="1:22" x14ac:dyDescent="0.3">
      <c r="A1347" t="s">
        <v>1362</v>
      </c>
      <c r="B1347" s="2">
        <v>46089.438888888886</v>
      </c>
      <c r="C1347" s="2">
        <v>46090.334722222222</v>
      </c>
      <c r="D1347" t="s">
        <v>6025</v>
      </c>
      <c r="E1347" t="s">
        <v>6031</v>
      </c>
      <c r="F1347" t="s">
        <v>6033</v>
      </c>
      <c r="G1347" t="s">
        <v>6037</v>
      </c>
      <c r="H1347" t="s">
        <v>6096</v>
      </c>
      <c r="I1347">
        <v>72</v>
      </c>
      <c r="J1347">
        <v>21.5</v>
      </c>
      <c r="K1347" t="s">
        <v>6099</v>
      </c>
      <c r="L1347" t="s">
        <v>6100</v>
      </c>
      <c r="M1347" t="s">
        <v>6100</v>
      </c>
      <c r="O1347" t="s">
        <v>6101</v>
      </c>
      <c r="P1347" t="s">
        <v>6109</v>
      </c>
      <c r="Q1347">
        <v>3</v>
      </c>
      <c r="R1347">
        <v>2026</v>
      </c>
      <c r="S1347" t="s">
        <v>6099</v>
      </c>
      <c r="T1347">
        <v>1</v>
      </c>
      <c r="U1347" t="s">
        <v>6018</v>
      </c>
      <c r="V1347">
        <v>1</v>
      </c>
    </row>
    <row r="1348" spans="1:22" x14ac:dyDescent="0.3">
      <c r="A1348" t="s">
        <v>1363</v>
      </c>
      <c r="B1348" s="2">
        <v>46089.450694444444</v>
      </c>
      <c r="C1348" s="2">
        <v>46091.904861111114</v>
      </c>
      <c r="D1348" t="s">
        <v>6023</v>
      </c>
      <c r="E1348" t="s">
        <v>6032</v>
      </c>
      <c r="F1348" t="s">
        <v>6034</v>
      </c>
      <c r="G1348" t="s">
        <v>6054</v>
      </c>
      <c r="H1348" t="s">
        <v>6096</v>
      </c>
      <c r="I1348">
        <v>24</v>
      </c>
      <c r="J1348">
        <v>58.9</v>
      </c>
      <c r="K1348" t="s">
        <v>6099</v>
      </c>
      <c r="L1348" t="s">
        <v>6100</v>
      </c>
      <c r="M1348" t="s">
        <v>6099</v>
      </c>
      <c r="N1348">
        <v>4</v>
      </c>
      <c r="O1348" t="s">
        <v>6101</v>
      </c>
      <c r="P1348" t="s">
        <v>6109</v>
      </c>
      <c r="Q1348">
        <v>3</v>
      </c>
      <c r="R1348">
        <v>2026</v>
      </c>
      <c r="S1348" t="s">
        <v>6100</v>
      </c>
      <c r="T1348">
        <v>0</v>
      </c>
      <c r="U1348" t="s">
        <v>6017</v>
      </c>
      <c r="V1348">
        <v>1</v>
      </c>
    </row>
    <row r="1349" spans="1:22" x14ac:dyDescent="0.3">
      <c r="A1349" t="s">
        <v>1364</v>
      </c>
      <c r="B1349" s="2">
        <v>46089.456250000003</v>
      </c>
      <c r="C1349" s="2">
        <v>46089.872916666667</v>
      </c>
      <c r="D1349" t="s">
        <v>6024</v>
      </c>
      <c r="E1349" t="s">
        <v>6029</v>
      </c>
      <c r="F1349" t="s">
        <v>6034</v>
      </c>
      <c r="G1349" t="s">
        <v>6084</v>
      </c>
      <c r="H1349" t="s">
        <v>6098</v>
      </c>
      <c r="I1349">
        <v>24</v>
      </c>
      <c r="J1349">
        <v>10</v>
      </c>
      <c r="K1349" t="s">
        <v>6100</v>
      </c>
      <c r="L1349" t="s">
        <v>6099</v>
      </c>
      <c r="M1349" t="s">
        <v>6100</v>
      </c>
      <c r="N1349">
        <v>3</v>
      </c>
      <c r="O1349" t="s">
        <v>6101</v>
      </c>
      <c r="P1349" t="s">
        <v>6109</v>
      </c>
      <c r="Q1349">
        <v>3</v>
      </c>
      <c r="R1349">
        <v>2026</v>
      </c>
      <c r="S1349" t="s">
        <v>6099</v>
      </c>
      <c r="T1349">
        <v>1</v>
      </c>
      <c r="U1349" t="s">
        <v>6021</v>
      </c>
      <c r="V1349">
        <v>0</v>
      </c>
    </row>
    <row r="1350" spans="1:22" x14ac:dyDescent="0.3">
      <c r="A1350" t="s">
        <v>1365</v>
      </c>
      <c r="B1350" s="2">
        <v>46089.490277777775</v>
      </c>
      <c r="C1350" s="2">
        <v>46089.723611111112</v>
      </c>
      <c r="D1350" t="s">
        <v>6023</v>
      </c>
      <c r="E1350" t="s">
        <v>6029</v>
      </c>
      <c r="F1350" t="s">
        <v>6034</v>
      </c>
      <c r="G1350" t="s">
        <v>6089</v>
      </c>
      <c r="H1350" t="s">
        <v>6098</v>
      </c>
      <c r="I1350">
        <v>24</v>
      </c>
      <c r="J1350">
        <v>5.6</v>
      </c>
      <c r="K1350" t="s">
        <v>6099</v>
      </c>
      <c r="L1350" t="s">
        <v>6100</v>
      </c>
      <c r="M1350" t="s">
        <v>6100</v>
      </c>
      <c r="O1350" t="s">
        <v>6101</v>
      </c>
      <c r="P1350" t="s">
        <v>6109</v>
      </c>
      <c r="Q1350">
        <v>3</v>
      </c>
      <c r="R1350">
        <v>2026</v>
      </c>
      <c r="S1350" t="s">
        <v>6099</v>
      </c>
      <c r="T1350">
        <v>1</v>
      </c>
      <c r="U1350" t="s">
        <v>6020</v>
      </c>
      <c r="V1350">
        <v>1</v>
      </c>
    </row>
    <row r="1351" spans="1:22" x14ac:dyDescent="0.3">
      <c r="A1351" t="s">
        <v>1366</v>
      </c>
      <c r="B1351" s="2">
        <v>46089.526388888888</v>
      </c>
      <c r="C1351" s="2">
        <v>46090.055555555555</v>
      </c>
      <c r="D1351" t="s">
        <v>6023</v>
      </c>
      <c r="E1351" t="s">
        <v>6029</v>
      </c>
      <c r="F1351" t="s">
        <v>6034</v>
      </c>
      <c r="G1351" t="s">
        <v>6057</v>
      </c>
      <c r="H1351" t="s">
        <v>6097</v>
      </c>
      <c r="I1351">
        <v>24</v>
      </c>
      <c r="J1351">
        <v>12.7</v>
      </c>
      <c r="K1351" t="s">
        <v>6099</v>
      </c>
      <c r="L1351" t="s">
        <v>6100</v>
      </c>
      <c r="M1351" t="s">
        <v>6100</v>
      </c>
      <c r="N1351">
        <v>5</v>
      </c>
      <c r="O1351" t="s">
        <v>6101</v>
      </c>
      <c r="P1351" t="s">
        <v>6109</v>
      </c>
      <c r="Q1351">
        <v>3</v>
      </c>
      <c r="R1351">
        <v>2026</v>
      </c>
      <c r="S1351" t="s">
        <v>6099</v>
      </c>
      <c r="T1351">
        <v>1</v>
      </c>
      <c r="U1351" t="s">
        <v>6020</v>
      </c>
      <c r="V1351">
        <v>1</v>
      </c>
    </row>
    <row r="1352" spans="1:22" x14ac:dyDescent="0.3">
      <c r="A1352" t="s">
        <v>1367</v>
      </c>
      <c r="B1352" s="2">
        <v>46089.534722222219</v>
      </c>
      <c r="C1352" s="2">
        <v>46090.005555555559</v>
      </c>
      <c r="D1352" t="s">
        <v>6022</v>
      </c>
      <c r="E1352" t="s">
        <v>6030</v>
      </c>
      <c r="F1352" t="s">
        <v>6034</v>
      </c>
      <c r="G1352" t="s">
        <v>6068</v>
      </c>
      <c r="H1352" t="s">
        <v>6098</v>
      </c>
      <c r="I1352">
        <v>24</v>
      </c>
      <c r="J1352">
        <v>11.3</v>
      </c>
      <c r="K1352" t="s">
        <v>6099</v>
      </c>
      <c r="L1352" t="s">
        <v>6100</v>
      </c>
      <c r="M1352" t="s">
        <v>6100</v>
      </c>
      <c r="O1352" t="s">
        <v>6101</v>
      </c>
      <c r="P1352" t="s">
        <v>6109</v>
      </c>
      <c r="Q1352">
        <v>3</v>
      </c>
      <c r="R1352">
        <v>2026</v>
      </c>
      <c r="S1352" t="s">
        <v>6099</v>
      </c>
      <c r="T1352">
        <v>1</v>
      </c>
      <c r="U1352" t="s">
        <v>6019</v>
      </c>
      <c r="V1352">
        <v>1</v>
      </c>
    </row>
    <row r="1353" spans="1:22" x14ac:dyDescent="0.3">
      <c r="A1353" t="s">
        <v>1368</v>
      </c>
      <c r="B1353" s="2">
        <v>46089.546527777777</v>
      </c>
      <c r="C1353" s="2">
        <v>46090.679861111108</v>
      </c>
      <c r="D1353" t="s">
        <v>6025</v>
      </c>
      <c r="E1353" t="s">
        <v>6029</v>
      </c>
      <c r="F1353" t="s">
        <v>6033</v>
      </c>
      <c r="G1353" t="s">
        <v>6092</v>
      </c>
      <c r="H1353" t="s">
        <v>6097</v>
      </c>
      <c r="I1353">
        <v>72</v>
      </c>
      <c r="J1353">
        <v>27.2</v>
      </c>
      <c r="K1353" t="s">
        <v>6099</v>
      </c>
      <c r="L1353" t="s">
        <v>6100</v>
      </c>
      <c r="M1353" t="s">
        <v>6100</v>
      </c>
      <c r="O1353" t="s">
        <v>6101</v>
      </c>
      <c r="P1353" t="s">
        <v>6109</v>
      </c>
      <c r="Q1353">
        <v>3</v>
      </c>
      <c r="R1353">
        <v>2026</v>
      </c>
      <c r="S1353" t="s">
        <v>6099</v>
      </c>
      <c r="T1353">
        <v>1</v>
      </c>
      <c r="U1353" t="s">
        <v>6018</v>
      </c>
      <c r="V1353">
        <v>1</v>
      </c>
    </row>
    <row r="1354" spans="1:22" x14ac:dyDescent="0.3">
      <c r="A1354" t="s">
        <v>1369</v>
      </c>
      <c r="B1354" s="2">
        <v>46089.54791666667</v>
      </c>
      <c r="C1354" s="2">
        <v>46090.01458333333</v>
      </c>
      <c r="D1354" t="s">
        <v>6022</v>
      </c>
      <c r="E1354" t="s">
        <v>6029</v>
      </c>
      <c r="F1354" t="s">
        <v>6034</v>
      </c>
      <c r="G1354" t="s">
        <v>6075</v>
      </c>
      <c r="H1354" t="s">
        <v>6097</v>
      </c>
      <c r="I1354">
        <v>24</v>
      </c>
      <c r="J1354">
        <v>11.2</v>
      </c>
      <c r="K1354" t="s">
        <v>6100</v>
      </c>
      <c r="L1354" t="s">
        <v>6099</v>
      </c>
      <c r="M1354" t="s">
        <v>6099</v>
      </c>
      <c r="N1354">
        <v>5</v>
      </c>
      <c r="O1354" t="s">
        <v>6101</v>
      </c>
      <c r="P1354" t="s">
        <v>6109</v>
      </c>
      <c r="Q1354">
        <v>3</v>
      </c>
      <c r="R1354">
        <v>2026</v>
      </c>
      <c r="S1354" t="s">
        <v>6099</v>
      </c>
      <c r="T1354">
        <v>1</v>
      </c>
      <c r="U1354" t="s">
        <v>6019</v>
      </c>
      <c r="V1354">
        <v>0</v>
      </c>
    </row>
    <row r="1355" spans="1:22" x14ac:dyDescent="0.3">
      <c r="A1355" t="s">
        <v>1370</v>
      </c>
      <c r="B1355" s="2">
        <v>46089.552083333336</v>
      </c>
      <c r="C1355" s="2">
        <v>46090.052083333336</v>
      </c>
      <c r="D1355" t="s">
        <v>6024</v>
      </c>
      <c r="E1355" t="s">
        <v>6032</v>
      </c>
      <c r="F1355" t="s">
        <v>6034</v>
      </c>
      <c r="G1355" t="s">
        <v>6058</v>
      </c>
      <c r="H1355" t="s">
        <v>6098</v>
      </c>
      <c r="I1355">
        <v>24</v>
      </c>
      <c r="J1355">
        <v>12</v>
      </c>
      <c r="K1355" t="s">
        <v>6100</v>
      </c>
      <c r="L1355" t="s">
        <v>6100</v>
      </c>
      <c r="M1355" t="s">
        <v>6100</v>
      </c>
      <c r="N1355">
        <v>4</v>
      </c>
      <c r="O1355" t="s">
        <v>6101</v>
      </c>
      <c r="P1355" t="s">
        <v>6109</v>
      </c>
      <c r="Q1355">
        <v>3</v>
      </c>
      <c r="R1355">
        <v>2026</v>
      </c>
      <c r="S1355" t="s">
        <v>6099</v>
      </c>
      <c r="T1355">
        <v>1</v>
      </c>
      <c r="U1355" t="s">
        <v>6017</v>
      </c>
      <c r="V1355">
        <v>0</v>
      </c>
    </row>
    <row r="1356" spans="1:22" x14ac:dyDescent="0.3">
      <c r="A1356" t="s">
        <v>1371</v>
      </c>
      <c r="B1356" s="2">
        <v>46089.574305555558</v>
      </c>
      <c r="C1356" s="2">
        <v>46090.607638888891</v>
      </c>
      <c r="D1356" t="s">
        <v>6023</v>
      </c>
      <c r="E1356" t="s">
        <v>6032</v>
      </c>
      <c r="F1356" t="s">
        <v>6033</v>
      </c>
      <c r="G1356" t="s">
        <v>6045</v>
      </c>
      <c r="H1356" t="s">
        <v>6096</v>
      </c>
      <c r="I1356">
        <v>72</v>
      </c>
      <c r="J1356">
        <v>24.8</v>
      </c>
      <c r="K1356" t="s">
        <v>6099</v>
      </c>
      <c r="L1356" t="s">
        <v>6100</v>
      </c>
      <c r="M1356" t="s">
        <v>6100</v>
      </c>
      <c r="N1356">
        <v>4</v>
      </c>
      <c r="O1356" t="s">
        <v>6101</v>
      </c>
      <c r="P1356" t="s">
        <v>6109</v>
      </c>
      <c r="Q1356">
        <v>3</v>
      </c>
      <c r="R1356">
        <v>2026</v>
      </c>
      <c r="S1356" t="s">
        <v>6099</v>
      </c>
      <c r="T1356">
        <v>1</v>
      </c>
      <c r="U1356" t="s">
        <v>6020</v>
      </c>
      <c r="V1356">
        <v>1</v>
      </c>
    </row>
    <row r="1357" spans="1:22" x14ac:dyDescent="0.3">
      <c r="A1357" t="s">
        <v>1372</v>
      </c>
      <c r="B1357" s="2">
        <v>46089.574999999997</v>
      </c>
      <c r="C1357" s="2">
        <v>46089.691666666666</v>
      </c>
      <c r="D1357" t="s">
        <v>6028</v>
      </c>
      <c r="E1357" t="s">
        <v>6029</v>
      </c>
      <c r="F1357" t="s">
        <v>6033</v>
      </c>
      <c r="G1357" t="s">
        <v>6071</v>
      </c>
      <c r="H1357" t="s">
        <v>6098</v>
      </c>
      <c r="I1357">
        <v>72</v>
      </c>
      <c r="J1357">
        <v>2.8</v>
      </c>
      <c r="K1357" t="s">
        <v>6099</v>
      </c>
      <c r="L1357" t="s">
        <v>6100</v>
      </c>
      <c r="M1357" t="s">
        <v>6100</v>
      </c>
      <c r="O1357" t="s">
        <v>6101</v>
      </c>
      <c r="P1357" t="s">
        <v>6109</v>
      </c>
      <c r="Q1357">
        <v>3</v>
      </c>
      <c r="R1357">
        <v>2026</v>
      </c>
      <c r="S1357" t="s">
        <v>6099</v>
      </c>
      <c r="T1357">
        <v>1</v>
      </c>
      <c r="U1357" t="s">
        <v>6017</v>
      </c>
      <c r="V1357">
        <v>1</v>
      </c>
    </row>
    <row r="1358" spans="1:22" x14ac:dyDescent="0.3">
      <c r="A1358" t="s">
        <v>1373</v>
      </c>
      <c r="B1358" s="2">
        <v>46089.57708333333</v>
      </c>
      <c r="C1358" s="2">
        <v>46092.147916666669</v>
      </c>
      <c r="D1358" t="s">
        <v>6026</v>
      </c>
      <c r="E1358" t="s">
        <v>6029</v>
      </c>
      <c r="F1358" t="s">
        <v>6035</v>
      </c>
      <c r="G1358" t="s">
        <v>6087</v>
      </c>
      <c r="H1358" t="s">
        <v>6098</v>
      </c>
      <c r="I1358">
        <v>4</v>
      </c>
      <c r="J1358">
        <v>61.7</v>
      </c>
      <c r="K1358" t="s">
        <v>6100</v>
      </c>
      <c r="L1358" t="s">
        <v>6100</v>
      </c>
      <c r="M1358" t="s">
        <v>6099</v>
      </c>
      <c r="N1358">
        <v>2</v>
      </c>
      <c r="O1358" t="s">
        <v>6101</v>
      </c>
      <c r="P1358" t="s">
        <v>6109</v>
      </c>
      <c r="Q1358">
        <v>3</v>
      </c>
      <c r="R1358">
        <v>2026</v>
      </c>
      <c r="S1358" t="s">
        <v>6100</v>
      </c>
      <c r="T1358">
        <v>0</v>
      </c>
      <c r="U1358" t="s">
        <v>6019</v>
      </c>
      <c r="V1358">
        <v>0</v>
      </c>
    </row>
    <row r="1359" spans="1:22" x14ac:dyDescent="0.3">
      <c r="A1359" t="s">
        <v>1374</v>
      </c>
      <c r="B1359" s="2">
        <v>46089.692361111112</v>
      </c>
      <c r="C1359" s="2">
        <v>46090.100694444445</v>
      </c>
      <c r="D1359" t="s">
        <v>6022</v>
      </c>
      <c r="E1359" t="s">
        <v>6029</v>
      </c>
      <c r="F1359" t="s">
        <v>6033</v>
      </c>
      <c r="G1359" t="s">
        <v>6089</v>
      </c>
      <c r="H1359" t="s">
        <v>6098</v>
      </c>
      <c r="I1359">
        <v>72</v>
      </c>
      <c r="J1359">
        <v>9.8000000000000007</v>
      </c>
      <c r="K1359" t="s">
        <v>6100</v>
      </c>
      <c r="L1359" t="s">
        <v>6099</v>
      </c>
      <c r="M1359" t="s">
        <v>6100</v>
      </c>
      <c r="O1359" t="s">
        <v>6101</v>
      </c>
      <c r="P1359" t="s">
        <v>6109</v>
      </c>
      <c r="Q1359">
        <v>3</v>
      </c>
      <c r="R1359">
        <v>2026</v>
      </c>
      <c r="S1359" t="s">
        <v>6099</v>
      </c>
      <c r="T1359">
        <v>1</v>
      </c>
      <c r="U1359" t="s">
        <v>6018</v>
      </c>
      <c r="V1359">
        <v>0</v>
      </c>
    </row>
    <row r="1360" spans="1:22" x14ac:dyDescent="0.3">
      <c r="A1360" t="s">
        <v>1375</v>
      </c>
      <c r="B1360" s="2">
        <v>46089.693749999999</v>
      </c>
      <c r="C1360" s="2">
        <v>46090.106249999997</v>
      </c>
      <c r="D1360" t="s">
        <v>6023</v>
      </c>
      <c r="E1360" t="s">
        <v>6030</v>
      </c>
      <c r="F1360" t="s">
        <v>6033</v>
      </c>
      <c r="G1360" t="s">
        <v>6055</v>
      </c>
      <c r="H1360" t="s">
        <v>6096</v>
      </c>
      <c r="I1360">
        <v>72</v>
      </c>
      <c r="J1360">
        <v>9.9</v>
      </c>
      <c r="K1360" t="s">
        <v>6099</v>
      </c>
      <c r="L1360" t="s">
        <v>6100</v>
      </c>
      <c r="M1360" t="s">
        <v>6100</v>
      </c>
      <c r="N1360">
        <v>5</v>
      </c>
      <c r="O1360" t="s">
        <v>6101</v>
      </c>
      <c r="P1360" t="s">
        <v>6109</v>
      </c>
      <c r="Q1360">
        <v>3</v>
      </c>
      <c r="R1360">
        <v>2026</v>
      </c>
      <c r="S1360" t="s">
        <v>6099</v>
      </c>
      <c r="T1360">
        <v>1</v>
      </c>
      <c r="U1360" t="s">
        <v>6021</v>
      </c>
      <c r="V1360">
        <v>1</v>
      </c>
    </row>
    <row r="1361" spans="1:22" x14ac:dyDescent="0.3">
      <c r="A1361" t="s">
        <v>1376</v>
      </c>
      <c r="B1361" s="2">
        <v>46089.70416666667</v>
      </c>
      <c r="C1361" s="2">
        <v>46090.058333333334</v>
      </c>
      <c r="D1361" t="s">
        <v>6024</v>
      </c>
      <c r="E1361" t="s">
        <v>6030</v>
      </c>
      <c r="F1361" t="s">
        <v>6034</v>
      </c>
      <c r="G1361" t="s">
        <v>6087</v>
      </c>
      <c r="H1361" t="s">
        <v>6098</v>
      </c>
      <c r="I1361">
        <v>24</v>
      </c>
      <c r="J1361">
        <v>8.5</v>
      </c>
      <c r="K1361" t="s">
        <v>6099</v>
      </c>
      <c r="L1361" t="s">
        <v>6100</v>
      </c>
      <c r="M1361" t="s">
        <v>6100</v>
      </c>
      <c r="N1361">
        <v>4</v>
      </c>
      <c r="O1361" t="s">
        <v>6101</v>
      </c>
      <c r="P1361" t="s">
        <v>6109</v>
      </c>
      <c r="Q1361">
        <v>3</v>
      </c>
      <c r="R1361">
        <v>2026</v>
      </c>
      <c r="S1361" t="s">
        <v>6099</v>
      </c>
      <c r="T1361">
        <v>1</v>
      </c>
      <c r="U1361" t="s">
        <v>6018</v>
      </c>
      <c r="V1361">
        <v>1</v>
      </c>
    </row>
    <row r="1362" spans="1:22" x14ac:dyDescent="0.3">
      <c r="A1362" t="s">
        <v>1377</v>
      </c>
      <c r="B1362" s="2">
        <v>46089.707638888889</v>
      </c>
      <c r="C1362" s="2">
        <v>46094.586805555555</v>
      </c>
      <c r="D1362" t="s">
        <v>6022</v>
      </c>
      <c r="E1362" t="s">
        <v>6031</v>
      </c>
      <c r="F1362" t="s">
        <v>6033</v>
      </c>
      <c r="G1362" t="s">
        <v>6085</v>
      </c>
      <c r="H1362" t="s">
        <v>6097</v>
      </c>
      <c r="I1362">
        <v>72</v>
      </c>
      <c r="J1362">
        <v>117.1</v>
      </c>
      <c r="K1362" t="s">
        <v>6100</v>
      </c>
      <c r="L1362" t="s">
        <v>6100</v>
      </c>
      <c r="M1362" t="s">
        <v>6100</v>
      </c>
      <c r="N1362">
        <v>5</v>
      </c>
      <c r="O1362" t="s">
        <v>6101</v>
      </c>
      <c r="P1362" t="s">
        <v>6109</v>
      </c>
      <c r="Q1362">
        <v>3</v>
      </c>
      <c r="R1362">
        <v>2026</v>
      </c>
      <c r="S1362" t="s">
        <v>6100</v>
      </c>
      <c r="T1362">
        <v>0</v>
      </c>
      <c r="U1362" t="s">
        <v>6017</v>
      </c>
      <c r="V1362">
        <v>0</v>
      </c>
    </row>
    <row r="1363" spans="1:22" x14ac:dyDescent="0.3">
      <c r="A1363" t="s">
        <v>1378</v>
      </c>
      <c r="B1363" s="2">
        <v>46089.739583333336</v>
      </c>
      <c r="C1363" s="2">
        <v>46089.972916666666</v>
      </c>
      <c r="D1363" t="s">
        <v>6028</v>
      </c>
      <c r="E1363" t="s">
        <v>6029</v>
      </c>
      <c r="F1363" t="s">
        <v>6035</v>
      </c>
      <c r="G1363" t="s">
        <v>6051</v>
      </c>
      <c r="H1363" t="s">
        <v>6097</v>
      </c>
      <c r="I1363">
        <v>4</v>
      </c>
      <c r="J1363">
        <v>5.6</v>
      </c>
      <c r="K1363" t="s">
        <v>6100</v>
      </c>
      <c r="L1363" t="s">
        <v>6100</v>
      </c>
      <c r="M1363" t="s">
        <v>6100</v>
      </c>
      <c r="N1363">
        <v>4</v>
      </c>
      <c r="O1363" t="s">
        <v>6101</v>
      </c>
      <c r="P1363" t="s">
        <v>6109</v>
      </c>
      <c r="Q1363">
        <v>3</v>
      </c>
      <c r="R1363">
        <v>2026</v>
      </c>
      <c r="S1363" t="s">
        <v>6100</v>
      </c>
      <c r="T1363">
        <v>0</v>
      </c>
      <c r="U1363" t="s">
        <v>6020</v>
      </c>
      <c r="V1363">
        <v>0</v>
      </c>
    </row>
    <row r="1364" spans="1:22" x14ac:dyDescent="0.3">
      <c r="A1364" t="s">
        <v>1379</v>
      </c>
      <c r="B1364" s="2">
        <v>46089.776388888888</v>
      </c>
      <c r="C1364" s="2">
        <v>46090.051388888889</v>
      </c>
      <c r="D1364" t="s">
        <v>6027</v>
      </c>
      <c r="E1364" t="s">
        <v>6030</v>
      </c>
      <c r="F1364" t="s">
        <v>6033</v>
      </c>
      <c r="G1364" t="s">
        <v>6058</v>
      </c>
      <c r="H1364" t="s">
        <v>6098</v>
      </c>
      <c r="I1364">
        <v>72</v>
      </c>
      <c r="J1364">
        <v>6.6</v>
      </c>
      <c r="K1364" t="s">
        <v>6099</v>
      </c>
      <c r="L1364" t="s">
        <v>6100</v>
      </c>
      <c r="M1364" t="s">
        <v>6100</v>
      </c>
      <c r="O1364" t="s">
        <v>6101</v>
      </c>
      <c r="P1364" t="s">
        <v>6109</v>
      </c>
      <c r="Q1364">
        <v>3</v>
      </c>
      <c r="R1364">
        <v>2026</v>
      </c>
      <c r="S1364" t="s">
        <v>6099</v>
      </c>
      <c r="T1364">
        <v>1</v>
      </c>
      <c r="U1364" t="s">
        <v>6021</v>
      </c>
      <c r="V1364">
        <v>1</v>
      </c>
    </row>
    <row r="1365" spans="1:22" x14ac:dyDescent="0.3">
      <c r="A1365" t="s">
        <v>1380</v>
      </c>
      <c r="B1365" s="2">
        <v>46089.786111111112</v>
      </c>
      <c r="C1365" s="2">
        <v>46092.544444444444</v>
      </c>
      <c r="D1365" t="s">
        <v>6026</v>
      </c>
      <c r="E1365" t="s">
        <v>6030</v>
      </c>
      <c r="F1365" t="s">
        <v>6035</v>
      </c>
      <c r="G1365" t="s">
        <v>6061</v>
      </c>
      <c r="H1365" t="s">
        <v>6096</v>
      </c>
      <c r="I1365">
        <v>4</v>
      </c>
      <c r="J1365">
        <v>66.2</v>
      </c>
      <c r="K1365" t="s">
        <v>6100</v>
      </c>
      <c r="L1365" t="s">
        <v>6099</v>
      </c>
      <c r="M1365" t="s">
        <v>6100</v>
      </c>
      <c r="N1365">
        <v>4</v>
      </c>
      <c r="O1365" t="s">
        <v>6101</v>
      </c>
      <c r="P1365" t="s">
        <v>6109</v>
      </c>
      <c r="Q1365">
        <v>3</v>
      </c>
      <c r="R1365">
        <v>2026</v>
      </c>
      <c r="S1365" t="s">
        <v>6100</v>
      </c>
      <c r="T1365">
        <v>0</v>
      </c>
      <c r="U1365" t="s">
        <v>6017</v>
      </c>
      <c r="V1365">
        <v>0</v>
      </c>
    </row>
    <row r="1366" spans="1:22" x14ac:dyDescent="0.3">
      <c r="A1366" t="s">
        <v>1381</v>
      </c>
      <c r="B1366" s="2">
        <v>46089.836805555555</v>
      </c>
      <c r="C1366" s="2">
        <v>46090.274305555555</v>
      </c>
      <c r="D1366" t="s">
        <v>6024</v>
      </c>
      <c r="E1366" t="s">
        <v>6029</v>
      </c>
      <c r="F1366" t="s">
        <v>6034</v>
      </c>
      <c r="G1366" t="s">
        <v>6063</v>
      </c>
      <c r="H1366" t="s">
        <v>6097</v>
      </c>
      <c r="I1366">
        <v>24</v>
      </c>
      <c r="J1366">
        <v>10.5</v>
      </c>
      <c r="K1366" t="s">
        <v>6099</v>
      </c>
      <c r="L1366" t="s">
        <v>6100</v>
      </c>
      <c r="M1366" t="s">
        <v>6100</v>
      </c>
      <c r="O1366" t="s">
        <v>6101</v>
      </c>
      <c r="P1366" t="s">
        <v>6109</v>
      </c>
      <c r="Q1366">
        <v>3</v>
      </c>
      <c r="R1366">
        <v>2026</v>
      </c>
      <c r="S1366" t="s">
        <v>6099</v>
      </c>
      <c r="T1366">
        <v>1</v>
      </c>
      <c r="U1366" t="s">
        <v>6021</v>
      </c>
      <c r="V1366">
        <v>1</v>
      </c>
    </row>
    <row r="1367" spans="1:22" x14ac:dyDescent="0.3">
      <c r="A1367" t="s">
        <v>1382</v>
      </c>
      <c r="B1367" s="2">
        <v>46089.988194444442</v>
      </c>
      <c r="C1367" s="2">
        <v>46091.167361111111</v>
      </c>
      <c r="D1367" t="s">
        <v>6022</v>
      </c>
      <c r="E1367" t="s">
        <v>6032</v>
      </c>
      <c r="F1367" t="s">
        <v>6034</v>
      </c>
      <c r="G1367" t="s">
        <v>6070</v>
      </c>
      <c r="H1367" t="s">
        <v>6097</v>
      </c>
      <c r="I1367">
        <v>24</v>
      </c>
      <c r="J1367">
        <v>28.3</v>
      </c>
      <c r="K1367" t="s">
        <v>6099</v>
      </c>
      <c r="L1367" t="s">
        <v>6100</v>
      </c>
      <c r="M1367" t="s">
        <v>6100</v>
      </c>
      <c r="O1367" t="s">
        <v>6101</v>
      </c>
      <c r="P1367" t="s">
        <v>6109</v>
      </c>
      <c r="Q1367">
        <v>3</v>
      </c>
      <c r="R1367">
        <v>2026</v>
      </c>
      <c r="S1367" t="s">
        <v>6100</v>
      </c>
      <c r="T1367">
        <v>0</v>
      </c>
      <c r="U1367" t="s">
        <v>6021</v>
      </c>
      <c r="V1367">
        <v>1</v>
      </c>
    </row>
    <row r="1368" spans="1:22" x14ac:dyDescent="0.3">
      <c r="A1368" t="s">
        <v>1383</v>
      </c>
      <c r="B1368" s="2">
        <v>46090.211805555555</v>
      </c>
      <c r="C1368" s="2">
        <v>46090.461805555555</v>
      </c>
      <c r="D1368" t="s">
        <v>6023</v>
      </c>
      <c r="E1368" t="s">
        <v>6029</v>
      </c>
      <c r="F1368" t="s">
        <v>6034</v>
      </c>
      <c r="G1368" t="s">
        <v>6069</v>
      </c>
      <c r="H1368" t="s">
        <v>6098</v>
      </c>
      <c r="I1368">
        <v>24</v>
      </c>
      <c r="J1368">
        <v>6</v>
      </c>
      <c r="K1368" t="s">
        <v>6099</v>
      </c>
      <c r="L1368" t="s">
        <v>6100</v>
      </c>
      <c r="M1368" t="s">
        <v>6100</v>
      </c>
      <c r="N1368">
        <v>4</v>
      </c>
      <c r="O1368" t="s">
        <v>6101</v>
      </c>
      <c r="P1368" t="s">
        <v>6109</v>
      </c>
      <c r="Q1368">
        <v>3</v>
      </c>
      <c r="R1368">
        <v>2026</v>
      </c>
      <c r="S1368" t="s">
        <v>6099</v>
      </c>
      <c r="T1368">
        <v>1</v>
      </c>
      <c r="U1368" t="s">
        <v>6019</v>
      </c>
      <c r="V1368">
        <v>1</v>
      </c>
    </row>
    <row r="1369" spans="1:22" x14ac:dyDescent="0.3">
      <c r="A1369" t="s">
        <v>1384</v>
      </c>
      <c r="B1369" s="2">
        <v>46090.25</v>
      </c>
      <c r="C1369" s="2">
        <v>46094.462500000001</v>
      </c>
      <c r="D1369" t="s">
        <v>6028</v>
      </c>
      <c r="E1369" t="s">
        <v>6031</v>
      </c>
      <c r="F1369" t="s">
        <v>6035</v>
      </c>
      <c r="G1369" t="s">
        <v>6048</v>
      </c>
      <c r="H1369" t="s">
        <v>6096</v>
      </c>
      <c r="I1369">
        <v>4</v>
      </c>
      <c r="J1369">
        <v>101.1</v>
      </c>
      <c r="K1369" t="s">
        <v>6100</v>
      </c>
      <c r="L1369" t="s">
        <v>6100</v>
      </c>
      <c r="M1369" t="s">
        <v>6100</v>
      </c>
      <c r="N1369">
        <v>3</v>
      </c>
      <c r="O1369" t="s">
        <v>6101</v>
      </c>
      <c r="P1369" t="s">
        <v>6109</v>
      </c>
      <c r="Q1369">
        <v>3</v>
      </c>
      <c r="R1369">
        <v>2026</v>
      </c>
      <c r="S1369" t="s">
        <v>6100</v>
      </c>
      <c r="T1369">
        <v>0</v>
      </c>
      <c r="U1369" t="s">
        <v>6018</v>
      </c>
      <c r="V1369">
        <v>0</v>
      </c>
    </row>
    <row r="1370" spans="1:22" x14ac:dyDescent="0.3">
      <c r="A1370" t="s">
        <v>1385</v>
      </c>
      <c r="B1370" s="2">
        <v>46090.25</v>
      </c>
      <c r="C1370" s="2">
        <v>46093.408333333333</v>
      </c>
      <c r="D1370" t="s">
        <v>6028</v>
      </c>
      <c r="E1370" t="s">
        <v>6031</v>
      </c>
      <c r="F1370" t="s">
        <v>6033</v>
      </c>
      <c r="G1370" t="s">
        <v>6066</v>
      </c>
      <c r="H1370" t="s">
        <v>6096</v>
      </c>
      <c r="I1370">
        <v>72</v>
      </c>
      <c r="J1370">
        <v>75.8</v>
      </c>
      <c r="K1370" t="s">
        <v>6099</v>
      </c>
      <c r="L1370" t="s">
        <v>6100</v>
      </c>
      <c r="M1370" t="s">
        <v>6100</v>
      </c>
      <c r="N1370">
        <v>4</v>
      </c>
      <c r="O1370" t="s">
        <v>6101</v>
      </c>
      <c r="P1370" t="s">
        <v>6109</v>
      </c>
      <c r="Q1370">
        <v>3</v>
      </c>
      <c r="R1370">
        <v>2026</v>
      </c>
      <c r="S1370" t="s">
        <v>6100</v>
      </c>
      <c r="T1370">
        <v>0</v>
      </c>
      <c r="U1370" t="s">
        <v>6018</v>
      </c>
      <c r="V1370">
        <v>1</v>
      </c>
    </row>
    <row r="1371" spans="1:22" x14ac:dyDescent="0.3">
      <c r="A1371" t="s">
        <v>1386</v>
      </c>
      <c r="B1371" s="2">
        <v>46090.25</v>
      </c>
      <c r="C1371" s="2">
        <v>46091.89166666667</v>
      </c>
      <c r="D1371" t="s">
        <v>6028</v>
      </c>
      <c r="E1371" t="s">
        <v>6029</v>
      </c>
      <c r="F1371" t="s">
        <v>6034</v>
      </c>
      <c r="G1371" t="s">
        <v>6081</v>
      </c>
      <c r="H1371" t="s">
        <v>6098</v>
      </c>
      <c r="I1371">
        <v>24</v>
      </c>
      <c r="J1371">
        <v>39.4</v>
      </c>
      <c r="K1371" t="s">
        <v>6099</v>
      </c>
      <c r="L1371" t="s">
        <v>6100</v>
      </c>
      <c r="M1371" t="s">
        <v>6100</v>
      </c>
      <c r="N1371">
        <v>4</v>
      </c>
      <c r="O1371" t="s">
        <v>6101</v>
      </c>
      <c r="P1371" t="s">
        <v>6109</v>
      </c>
      <c r="Q1371">
        <v>3</v>
      </c>
      <c r="R1371">
        <v>2026</v>
      </c>
      <c r="S1371" t="s">
        <v>6100</v>
      </c>
      <c r="T1371">
        <v>0</v>
      </c>
      <c r="U1371" t="s">
        <v>6018</v>
      </c>
      <c r="V1371">
        <v>1</v>
      </c>
    </row>
    <row r="1372" spans="1:22" x14ac:dyDescent="0.3">
      <c r="A1372" t="s">
        <v>1387</v>
      </c>
      <c r="B1372" s="2">
        <v>46090.25</v>
      </c>
      <c r="C1372" s="2">
        <v>46090.724999999999</v>
      </c>
      <c r="D1372" t="s">
        <v>6028</v>
      </c>
      <c r="E1372" t="s">
        <v>6030</v>
      </c>
      <c r="F1372" t="s">
        <v>6034</v>
      </c>
      <c r="G1372" t="s">
        <v>6073</v>
      </c>
      <c r="H1372" t="s">
        <v>6096</v>
      </c>
      <c r="I1372">
        <v>24</v>
      </c>
      <c r="J1372">
        <v>11.4</v>
      </c>
      <c r="K1372" t="s">
        <v>6099</v>
      </c>
      <c r="L1372" t="s">
        <v>6100</v>
      </c>
      <c r="M1372" t="s">
        <v>6100</v>
      </c>
      <c r="N1372">
        <v>4</v>
      </c>
      <c r="O1372" t="s">
        <v>6101</v>
      </c>
      <c r="P1372" t="s">
        <v>6109</v>
      </c>
      <c r="Q1372">
        <v>3</v>
      </c>
      <c r="R1372">
        <v>2026</v>
      </c>
      <c r="S1372" t="s">
        <v>6099</v>
      </c>
      <c r="T1372">
        <v>1</v>
      </c>
      <c r="U1372" t="s">
        <v>6018</v>
      </c>
      <c r="V1372">
        <v>1</v>
      </c>
    </row>
    <row r="1373" spans="1:22" x14ac:dyDescent="0.3">
      <c r="A1373" t="s">
        <v>1388</v>
      </c>
      <c r="B1373" s="2">
        <v>46090.25</v>
      </c>
      <c r="C1373" s="2">
        <v>46091.595833333333</v>
      </c>
      <c r="D1373" t="s">
        <v>6028</v>
      </c>
      <c r="E1373" t="s">
        <v>6030</v>
      </c>
      <c r="F1373" t="s">
        <v>6035</v>
      </c>
      <c r="G1373" t="s">
        <v>6057</v>
      </c>
      <c r="H1373" t="s">
        <v>6097</v>
      </c>
      <c r="I1373">
        <v>4</v>
      </c>
      <c r="J1373">
        <v>32.299999999999997</v>
      </c>
      <c r="K1373" t="s">
        <v>6099</v>
      </c>
      <c r="L1373" t="s">
        <v>6100</v>
      </c>
      <c r="M1373" t="s">
        <v>6099</v>
      </c>
      <c r="O1373" t="s">
        <v>6101</v>
      </c>
      <c r="P1373" t="s">
        <v>6109</v>
      </c>
      <c r="Q1373">
        <v>3</v>
      </c>
      <c r="R1373">
        <v>2026</v>
      </c>
      <c r="S1373" t="s">
        <v>6100</v>
      </c>
      <c r="T1373">
        <v>0</v>
      </c>
      <c r="U1373" t="s">
        <v>6018</v>
      </c>
      <c r="V1373">
        <v>1</v>
      </c>
    </row>
    <row r="1374" spans="1:22" x14ac:dyDescent="0.3">
      <c r="A1374" t="s">
        <v>1389</v>
      </c>
      <c r="B1374" s="2">
        <v>46090.291666666664</v>
      </c>
      <c r="C1374" s="2">
        <v>46091.116666666669</v>
      </c>
      <c r="D1374" t="s">
        <v>6028</v>
      </c>
      <c r="E1374" t="s">
        <v>6029</v>
      </c>
      <c r="F1374" t="s">
        <v>6035</v>
      </c>
      <c r="G1374" t="s">
        <v>6062</v>
      </c>
      <c r="H1374" t="s">
        <v>6096</v>
      </c>
      <c r="I1374">
        <v>4</v>
      </c>
      <c r="J1374">
        <v>19.8</v>
      </c>
      <c r="K1374" t="s">
        <v>6100</v>
      </c>
      <c r="L1374" t="s">
        <v>6099</v>
      </c>
      <c r="M1374" t="s">
        <v>6099</v>
      </c>
      <c r="N1374">
        <v>3</v>
      </c>
      <c r="O1374" t="s">
        <v>6101</v>
      </c>
      <c r="P1374" t="s">
        <v>6109</v>
      </c>
      <c r="Q1374">
        <v>3</v>
      </c>
      <c r="R1374">
        <v>2026</v>
      </c>
      <c r="S1374" t="s">
        <v>6100</v>
      </c>
      <c r="T1374">
        <v>0</v>
      </c>
      <c r="U1374" t="s">
        <v>6018</v>
      </c>
      <c r="V1374">
        <v>0</v>
      </c>
    </row>
    <row r="1375" spans="1:22" x14ac:dyDescent="0.3">
      <c r="A1375" t="s">
        <v>1390</v>
      </c>
      <c r="B1375" s="2">
        <v>46090.291666666664</v>
      </c>
      <c r="C1375" s="2">
        <v>46090.754166666666</v>
      </c>
      <c r="D1375" t="s">
        <v>6028</v>
      </c>
      <c r="E1375" t="s">
        <v>6029</v>
      </c>
      <c r="F1375" t="s">
        <v>6034</v>
      </c>
      <c r="G1375" t="s">
        <v>6051</v>
      </c>
      <c r="H1375" t="s">
        <v>6097</v>
      </c>
      <c r="I1375">
        <v>24</v>
      </c>
      <c r="J1375">
        <v>11.1</v>
      </c>
      <c r="K1375" t="s">
        <v>6100</v>
      </c>
      <c r="L1375" t="s">
        <v>6099</v>
      </c>
      <c r="M1375" t="s">
        <v>6100</v>
      </c>
      <c r="O1375" t="s">
        <v>6101</v>
      </c>
      <c r="P1375" t="s">
        <v>6109</v>
      </c>
      <c r="Q1375">
        <v>3</v>
      </c>
      <c r="R1375">
        <v>2026</v>
      </c>
      <c r="S1375" t="s">
        <v>6099</v>
      </c>
      <c r="T1375">
        <v>1</v>
      </c>
      <c r="U1375" t="s">
        <v>6018</v>
      </c>
      <c r="V1375">
        <v>0</v>
      </c>
    </row>
    <row r="1376" spans="1:22" x14ac:dyDescent="0.3">
      <c r="A1376" t="s">
        <v>1391</v>
      </c>
      <c r="B1376" s="2">
        <v>46090.291666666664</v>
      </c>
      <c r="C1376" s="2">
        <v>46091.145833333336</v>
      </c>
      <c r="D1376" t="s">
        <v>6028</v>
      </c>
      <c r="E1376" t="s">
        <v>6029</v>
      </c>
      <c r="F1376" t="s">
        <v>6034</v>
      </c>
      <c r="G1376" t="s">
        <v>6042</v>
      </c>
      <c r="H1376" t="s">
        <v>6098</v>
      </c>
      <c r="I1376">
        <v>24</v>
      </c>
      <c r="J1376">
        <v>20.5</v>
      </c>
      <c r="K1376" t="s">
        <v>6099</v>
      </c>
      <c r="L1376" t="s">
        <v>6100</v>
      </c>
      <c r="M1376" t="s">
        <v>6100</v>
      </c>
      <c r="O1376" t="s">
        <v>6101</v>
      </c>
      <c r="P1376" t="s">
        <v>6109</v>
      </c>
      <c r="Q1376">
        <v>3</v>
      </c>
      <c r="R1376">
        <v>2026</v>
      </c>
      <c r="S1376" t="s">
        <v>6099</v>
      </c>
      <c r="T1376">
        <v>1</v>
      </c>
      <c r="U1376" t="s">
        <v>6018</v>
      </c>
      <c r="V1376">
        <v>1</v>
      </c>
    </row>
    <row r="1377" spans="1:22" x14ac:dyDescent="0.3">
      <c r="A1377" t="s">
        <v>1392</v>
      </c>
      <c r="B1377" s="2">
        <v>46090.291666666664</v>
      </c>
      <c r="C1377" s="2">
        <v>46091.520833333336</v>
      </c>
      <c r="D1377" t="s">
        <v>6028</v>
      </c>
      <c r="E1377" t="s">
        <v>6031</v>
      </c>
      <c r="F1377" t="s">
        <v>6033</v>
      </c>
      <c r="G1377" t="s">
        <v>6090</v>
      </c>
      <c r="H1377" t="s">
        <v>6097</v>
      </c>
      <c r="I1377">
        <v>72</v>
      </c>
      <c r="J1377">
        <v>29.5</v>
      </c>
      <c r="K1377" t="s">
        <v>6099</v>
      </c>
      <c r="L1377" t="s">
        <v>6100</v>
      </c>
      <c r="M1377" t="s">
        <v>6100</v>
      </c>
      <c r="N1377">
        <v>3</v>
      </c>
      <c r="O1377" t="s">
        <v>6101</v>
      </c>
      <c r="P1377" t="s">
        <v>6109</v>
      </c>
      <c r="Q1377">
        <v>3</v>
      </c>
      <c r="R1377">
        <v>2026</v>
      </c>
      <c r="S1377" t="s">
        <v>6099</v>
      </c>
      <c r="T1377">
        <v>1</v>
      </c>
      <c r="U1377" t="s">
        <v>6021</v>
      </c>
      <c r="V1377">
        <v>1</v>
      </c>
    </row>
    <row r="1378" spans="1:22" x14ac:dyDescent="0.3">
      <c r="A1378" t="s">
        <v>1393</v>
      </c>
      <c r="B1378" s="2">
        <v>46090.291666666664</v>
      </c>
      <c r="C1378" s="2">
        <v>46093.029166666667</v>
      </c>
      <c r="D1378" t="s">
        <v>6028</v>
      </c>
      <c r="E1378" t="s">
        <v>6031</v>
      </c>
      <c r="F1378" t="s">
        <v>6034</v>
      </c>
      <c r="G1378" t="s">
        <v>6095</v>
      </c>
      <c r="H1378" t="s">
        <v>6098</v>
      </c>
      <c r="I1378">
        <v>24</v>
      </c>
      <c r="J1378">
        <v>65.7</v>
      </c>
      <c r="K1378" t="s">
        <v>6100</v>
      </c>
      <c r="L1378" t="s">
        <v>6099</v>
      </c>
      <c r="M1378" t="s">
        <v>6100</v>
      </c>
      <c r="O1378" t="s">
        <v>6101</v>
      </c>
      <c r="P1378" t="s">
        <v>6109</v>
      </c>
      <c r="Q1378">
        <v>3</v>
      </c>
      <c r="R1378">
        <v>2026</v>
      </c>
      <c r="S1378" t="s">
        <v>6100</v>
      </c>
      <c r="T1378">
        <v>0</v>
      </c>
      <c r="U1378" t="s">
        <v>6018</v>
      </c>
      <c r="V1378">
        <v>0</v>
      </c>
    </row>
    <row r="1379" spans="1:22" x14ac:dyDescent="0.3">
      <c r="A1379" t="s">
        <v>1394</v>
      </c>
      <c r="B1379" s="2">
        <v>46090.291666666664</v>
      </c>
      <c r="C1379" s="2">
        <v>46090.904166666667</v>
      </c>
      <c r="D1379" t="s">
        <v>6028</v>
      </c>
      <c r="E1379" t="s">
        <v>6029</v>
      </c>
      <c r="F1379" t="s">
        <v>6035</v>
      </c>
      <c r="G1379" t="s">
        <v>6041</v>
      </c>
      <c r="H1379" t="s">
        <v>6096</v>
      </c>
      <c r="I1379">
        <v>4</v>
      </c>
      <c r="J1379">
        <v>14.7</v>
      </c>
      <c r="K1379" t="s">
        <v>6099</v>
      </c>
      <c r="L1379" t="s">
        <v>6100</v>
      </c>
      <c r="M1379" t="s">
        <v>6099</v>
      </c>
      <c r="O1379" t="s">
        <v>6101</v>
      </c>
      <c r="P1379" t="s">
        <v>6109</v>
      </c>
      <c r="Q1379">
        <v>3</v>
      </c>
      <c r="R1379">
        <v>2026</v>
      </c>
      <c r="S1379" t="s">
        <v>6100</v>
      </c>
      <c r="T1379">
        <v>0</v>
      </c>
      <c r="U1379" t="s">
        <v>6018</v>
      </c>
      <c r="V1379">
        <v>1</v>
      </c>
    </row>
    <row r="1380" spans="1:22" x14ac:dyDescent="0.3">
      <c r="A1380" t="s">
        <v>1395</v>
      </c>
      <c r="B1380" s="2">
        <v>46090.291666666664</v>
      </c>
      <c r="C1380" s="2">
        <v>46091.770833333336</v>
      </c>
      <c r="D1380" t="s">
        <v>6028</v>
      </c>
      <c r="E1380" t="s">
        <v>6029</v>
      </c>
      <c r="F1380" t="s">
        <v>6034</v>
      </c>
      <c r="G1380" t="s">
        <v>6053</v>
      </c>
      <c r="H1380" t="s">
        <v>6097</v>
      </c>
      <c r="I1380">
        <v>24</v>
      </c>
      <c r="J1380">
        <v>35.5</v>
      </c>
      <c r="K1380" t="s">
        <v>6099</v>
      </c>
      <c r="L1380" t="s">
        <v>6100</v>
      </c>
      <c r="M1380" t="s">
        <v>6100</v>
      </c>
      <c r="N1380">
        <v>5</v>
      </c>
      <c r="O1380" t="s">
        <v>6101</v>
      </c>
      <c r="P1380" t="s">
        <v>6109</v>
      </c>
      <c r="Q1380">
        <v>3</v>
      </c>
      <c r="R1380">
        <v>2026</v>
      </c>
      <c r="S1380" t="s">
        <v>6100</v>
      </c>
      <c r="T1380">
        <v>0</v>
      </c>
      <c r="U1380" t="s">
        <v>6018</v>
      </c>
      <c r="V1380">
        <v>1</v>
      </c>
    </row>
    <row r="1381" spans="1:22" x14ac:dyDescent="0.3">
      <c r="A1381" t="s">
        <v>1396</v>
      </c>
      <c r="B1381" s="2">
        <v>46090.306250000001</v>
      </c>
      <c r="C1381" s="2">
        <v>46091.189583333333</v>
      </c>
      <c r="D1381" t="s">
        <v>6022</v>
      </c>
      <c r="E1381" t="s">
        <v>6032</v>
      </c>
      <c r="F1381" t="s">
        <v>6033</v>
      </c>
      <c r="G1381" t="s">
        <v>6075</v>
      </c>
      <c r="H1381" t="s">
        <v>6097</v>
      </c>
      <c r="I1381">
        <v>72</v>
      </c>
      <c r="J1381">
        <v>21.2</v>
      </c>
      <c r="K1381" t="s">
        <v>6099</v>
      </c>
      <c r="L1381" t="s">
        <v>6100</v>
      </c>
      <c r="M1381" t="s">
        <v>6100</v>
      </c>
      <c r="N1381">
        <v>3</v>
      </c>
      <c r="O1381" t="s">
        <v>6101</v>
      </c>
      <c r="P1381" t="s">
        <v>6109</v>
      </c>
      <c r="Q1381">
        <v>3</v>
      </c>
      <c r="R1381">
        <v>2026</v>
      </c>
      <c r="S1381" t="s">
        <v>6099</v>
      </c>
      <c r="T1381">
        <v>1</v>
      </c>
      <c r="U1381" t="s">
        <v>6021</v>
      </c>
      <c r="V1381">
        <v>1</v>
      </c>
    </row>
    <row r="1382" spans="1:22" x14ac:dyDescent="0.3">
      <c r="A1382" t="s">
        <v>1397</v>
      </c>
      <c r="B1382" s="2">
        <v>46090.333333333336</v>
      </c>
      <c r="C1382" s="2">
        <v>46092.35</v>
      </c>
      <c r="D1382" t="s">
        <v>6028</v>
      </c>
      <c r="E1382" t="s">
        <v>6031</v>
      </c>
      <c r="F1382" t="s">
        <v>6035</v>
      </c>
      <c r="G1382" t="s">
        <v>6067</v>
      </c>
      <c r="H1382" t="s">
        <v>6098</v>
      </c>
      <c r="I1382">
        <v>4</v>
      </c>
      <c r="J1382">
        <v>48.4</v>
      </c>
      <c r="K1382" t="s">
        <v>6100</v>
      </c>
      <c r="L1382" t="s">
        <v>6099</v>
      </c>
      <c r="M1382" t="s">
        <v>6099</v>
      </c>
      <c r="N1382">
        <v>1</v>
      </c>
      <c r="O1382" t="s">
        <v>6101</v>
      </c>
      <c r="P1382" t="s">
        <v>6109</v>
      </c>
      <c r="Q1382">
        <v>3</v>
      </c>
      <c r="R1382">
        <v>2026</v>
      </c>
      <c r="S1382" t="s">
        <v>6100</v>
      </c>
      <c r="T1382">
        <v>0</v>
      </c>
      <c r="U1382" t="s">
        <v>6018</v>
      </c>
      <c r="V1382">
        <v>0</v>
      </c>
    </row>
    <row r="1383" spans="1:22" x14ac:dyDescent="0.3">
      <c r="A1383" t="s">
        <v>1398</v>
      </c>
      <c r="B1383" s="2">
        <v>46090.333333333336</v>
      </c>
      <c r="C1383" s="2">
        <v>46091.0625</v>
      </c>
      <c r="D1383" t="s">
        <v>6028</v>
      </c>
      <c r="E1383" t="s">
        <v>6029</v>
      </c>
      <c r="F1383" t="s">
        <v>6034</v>
      </c>
      <c r="G1383" t="s">
        <v>6077</v>
      </c>
      <c r="H1383" t="s">
        <v>6098</v>
      </c>
      <c r="I1383">
        <v>24</v>
      </c>
      <c r="J1383">
        <v>17.5</v>
      </c>
      <c r="K1383" t="s">
        <v>6099</v>
      </c>
      <c r="L1383" t="s">
        <v>6100</v>
      </c>
      <c r="M1383" t="s">
        <v>6099</v>
      </c>
      <c r="O1383" t="s">
        <v>6101</v>
      </c>
      <c r="P1383" t="s">
        <v>6109</v>
      </c>
      <c r="Q1383">
        <v>3</v>
      </c>
      <c r="R1383">
        <v>2026</v>
      </c>
      <c r="S1383" t="s">
        <v>6099</v>
      </c>
      <c r="T1383">
        <v>1</v>
      </c>
      <c r="U1383" t="s">
        <v>6018</v>
      </c>
      <c r="V1383">
        <v>1</v>
      </c>
    </row>
    <row r="1384" spans="1:22" x14ac:dyDescent="0.3">
      <c r="A1384" t="s">
        <v>1399</v>
      </c>
      <c r="B1384" s="2">
        <v>46090.354166666664</v>
      </c>
      <c r="C1384" s="2">
        <v>46090.554166666669</v>
      </c>
      <c r="D1384" t="s">
        <v>6028</v>
      </c>
      <c r="E1384" t="s">
        <v>6029</v>
      </c>
      <c r="F1384" t="s">
        <v>6035</v>
      </c>
      <c r="G1384" t="s">
        <v>6054</v>
      </c>
      <c r="H1384" t="s">
        <v>6096</v>
      </c>
      <c r="I1384">
        <v>4</v>
      </c>
      <c r="J1384">
        <v>4.8</v>
      </c>
      <c r="K1384" t="s">
        <v>6100</v>
      </c>
      <c r="L1384" t="s">
        <v>6100</v>
      </c>
      <c r="M1384" t="s">
        <v>6099</v>
      </c>
      <c r="N1384">
        <v>4</v>
      </c>
      <c r="O1384" t="s">
        <v>6101</v>
      </c>
      <c r="P1384" t="s">
        <v>6109</v>
      </c>
      <c r="Q1384">
        <v>3</v>
      </c>
      <c r="R1384">
        <v>2026</v>
      </c>
      <c r="S1384" t="s">
        <v>6100</v>
      </c>
      <c r="T1384">
        <v>0</v>
      </c>
      <c r="U1384" t="s">
        <v>6020</v>
      </c>
      <c r="V1384">
        <v>0</v>
      </c>
    </row>
    <row r="1385" spans="1:22" x14ac:dyDescent="0.3">
      <c r="A1385" t="s">
        <v>1400</v>
      </c>
      <c r="B1385" s="2">
        <v>46090.375</v>
      </c>
      <c r="C1385" s="2">
        <v>46090.895833333336</v>
      </c>
      <c r="D1385" t="s">
        <v>6028</v>
      </c>
      <c r="E1385" t="s">
        <v>6030</v>
      </c>
      <c r="F1385" t="s">
        <v>6035</v>
      </c>
      <c r="G1385" t="s">
        <v>6093</v>
      </c>
      <c r="H1385" t="s">
        <v>6097</v>
      </c>
      <c r="I1385">
        <v>4</v>
      </c>
      <c r="J1385">
        <v>12.5</v>
      </c>
      <c r="K1385" t="s">
        <v>6099</v>
      </c>
      <c r="L1385" t="s">
        <v>6100</v>
      </c>
      <c r="M1385" t="s">
        <v>6100</v>
      </c>
      <c r="O1385" t="s">
        <v>6101</v>
      </c>
      <c r="P1385" t="s">
        <v>6109</v>
      </c>
      <c r="Q1385">
        <v>3</v>
      </c>
      <c r="R1385">
        <v>2026</v>
      </c>
      <c r="S1385" t="s">
        <v>6100</v>
      </c>
      <c r="T1385">
        <v>0</v>
      </c>
      <c r="U1385" t="s">
        <v>6018</v>
      </c>
      <c r="V1385">
        <v>1</v>
      </c>
    </row>
    <row r="1386" spans="1:22" x14ac:dyDescent="0.3">
      <c r="A1386" t="s">
        <v>1401</v>
      </c>
      <c r="B1386" s="2">
        <v>46090.375</v>
      </c>
      <c r="C1386" s="2">
        <v>46091.566666666666</v>
      </c>
      <c r="D1386" t="s">
        <v>6028</v>
      </c>
      <c r="E1386" t="s">
        <v>6031</v>
      </c>
      <c r="F1386" t="s">
        <v>6035</v>
      </c>
      <c r="G1386" t="s">
        <v>6072</v>
      </c>
      <c r="H1386" t="s">
        <v>6097</v>
      </c>
      <c r="I1386">
        <v>4</v>
      </c>
      <c r="J1386">
        <v>28.6</v>
      </c>
      <c r="K1386" t="s">
        <v>6099</v>
      </c>
      <c r="L1386" t="s">
        <v>6100</v>
      </c>
      <c r="M1386" t="s">
        <v>6100</v>
      </c>
      <c r="N1386">
        <v>5</v>
      </c>
      <c r="O1386" t="s">
        <v>6101</v>
      </c>
      <c r="P1386" t="s">
        <v>6109</v>
      </c>
      <c r="Q1386">
        <v>3</v>
      </c>
      <c r="R1386">
        <v>2026</v>
      </c>
      <c r="S1386" t="s">
        <v>6100</v>
      </c>
      <c r="T1386">
        <v>0</v>
      </c>
      <c r="U1386" t="s">
        <v>6018</v>
      </c>
      <c r="V1386">
        <v>1</v>
      </c>
    </row>
    <row r="1387" spans="1:22" x14ac:dyDescent="0.3">
      <c r="A1387" t="s">
        <v>1402</v>
      </c>
      <c r="B1387" s="2">
        <v>46090.375</v>
      </c>
      <c r="C1387" s="2">
        <v>46092.89166666667</v>
      </c>
      <c r="D1387" t="s">
        <v>6028</v>
      </c>
      <c r="E1387" t="s">
        <v>6031</v>
      </c>
      <c r="F1387" t="s">
        <v>6034</v>
      </c>
      <c r="G1387" t="s">
        <v>6083</v>
      </c>
      <c r="H1387" t="s">
        <v>6096</v>
      </c>
      <c r="I1387">
        <v>24</v>
      </c>
      <c r="J1387">
        <v>60.4</v>
      </c>
      <c r="K1387" t="s">
        <v>6099</v>
      </c>
      <c r="L1387" t="s">
        <v>6100</v>
      </c>
      <c r="M1387" t="s">
        <v>6100</v>
      </c>
      <c r="O1387" t="s">
        <v>6101</v>
      </c>
      <c r="P1387" t="s">
        <v>6109</v>
      </c>
      <c r="Q1387">
        <v>3</v>
      </c>
      <c r="R1387">
        <v>2026</v>
      </c>
      <c r="S1387" t="s">
        <v>6100</v>
      </c>
      <c r="T1387">
        <v>0</v>
      </c>
      <c r="U1387" t="s">
        <v>6018</v>
      </c>
      <c r="V1387">
        <v>1</v>
      </c>
    </row>
    <row r="1388" spans="1:22" x14ac:dyDescent="0.3">
      <c r="A1388" t="s">
        <v>1403</v>
      </c>
      <c r="B1388" s="2">
        <v>46090.376388888886</v>
      </c>
      <c r="C1388" s="2">
        <v>46090.593055555553</v>
      </c>
      <c r="D1388" t="s">
        <v>6025</v>
      </c>
      <c r="E1388" t="s">
        <v>6029</v>
      </c>
      <c r="F1388" t="s">
        <v>6035</v>
      </c>
      <c r="G1388" t="s">
        <v>6084</v>
      </c>
      <c r="H1388" t="s">
        <v>6098</v>
      </c>
      <c r="I1388">
        <v>4</v>
      </c>
      <c r="J1388">
        <v>5.2</v>
      </c>
      <c r="K1388" t="s">
        <v>6099</v>
      </c>
      <c r="L1388" t="s">
        <v>6100</v>
      </c>
      <c r="M1388" t="s">
        <v>6100</v>
      </c>
      <c r="N1388">
        <v>5</v>
      </c>
      <c r="O1388" t="s">
        <v>6101</v>
      </c>
      <c r="P1388" t="s">
        <v>6109</v>
      </c>
      <c r="Q1388">
        <v>3</v>
      </c>
      <c r="R1388">
        <v>2026</v>
      </c>
      <c r="S1388" t="s">
        <v>6100</v>
      </c>
      <c r="T1388">
        <v>0</v>
      </c>
      <c r="U1388" t="s">
        <v>6017</v>
      </c>
      <c r="V1388">
        <v>1</v>
      </c>
    </row>
    <row r="1389" spans="1:22" x14ac:dyDescent="0.3">
      <c r="A1389" t="s">
        <v>1404</v>
      </c>
      <c r="B1389" s="2">
        <v>46090.387499999997</v>
      </c>
      <c r="C1389" s="2">
        <v>46090.9</v>
      </c>
      <c r="D1389" t="s">
        <v>6025</v>
      </c>
      <c r="E1389" t="s">
        <v>6030</v>
      </c>
      <c r="F1389" t="s">
        <v>6034</v>
      </c>
      <c r="G1389" t="s">
        <v>6069</v>
      </c>
      <c r="H1389" t="s">
        <v>6098</v>
      </c>
      <c r="I1389">
        <v>24</v>
      </c>
      <c r="J1389">
        <v>12.3</v>
      </c>
      <c r="K1389" t="s">
        <v>6099</v>
      </c>
      <c r="L1389" t="s">
        <v>6100</v>
      </c>
      <c r="M1389" t="s">
        <v>6100</v>
      </c>
      <c r="N1389">
        <v>5</v>
      </c>
      <c r="O1389" t="s">
        <v>6101</v>
      </c>
      <c r="P1389" t="s">
        <v>6109</v>
      </c>
      <c r="Q1389">
        <v>3</v>
      </c>
      <c r="R1389">
        <v>2026</v>
      </c>
      <c r="S1389" t="s">
        <v>6099</v>
      </c>
      <c r="T1389">
        <v>1</v>
      </c>
      <c r="U1389" t="s">
        <v>6017</v>
      </c>
      <c r="V1389">
        <v>1</v>
      </c>
    </row>
    <row r="1390" spans="1:22" x14ac:dyDescent="0.3">
      <c r="A1390" t="s">
        <v>1405</v>
      </c>
      <c r="B1390" s="2">
        <v>46090.388194444444</v>
      </c>
      <c r="C1390" s="2">
        <v>46090.800694444442</v>
      </c>
      <c r="D1390" t="s">
        <v>6027</v>
      </c>
      <c r="E1390" t="s">
        <v>6030</v>
      </c>
      <c r="F1390" t="s">
        <v>6033</v>
      </c>
      <c r="G1390" t="s">
        <v>6053</v>
      </c>
      <c r="H1390" t="s">
        <v>6097</v>
      </c>
      <c r="I1390">
        <v>72</v>
      </c>
      <c r="J1390">
        <v>9.9</v>
      </c>
      <c r="K1390" t="s">
        <v>6099</v>
      </c>
      <c r="L1390" t="s">
        <v>6100</v>
      </c>
      <c r="M1390" t="s">
        <v>6100</v>
      </c>
      <c r="N1390">
        <v>3</v>
      </c>
      <c r="O1390" t="s">
        <v>6101</v>
      </c>
      <c r="P1390" t="s">
        <v>6109</v>
      </c>
      <c r="Q1390">
        <v>3</v>
      </c>
      <c r="R1390">
        <v>2026</v>
      </c>
      <c r="S1390" t="s">
        <v>6099</v>
      </c>
      <c r="T1390">
        <v>1</v>
      </c>
      <c r="U1390" t="s">
        <v>6017</v>
      </c>
      <c r="V1390">
        <v>1</v>
      </c>
    </row>
    <row r="1391" spans="1:22" x14ac:dyDescent="0.3">
      <c r="A1391" t="s">
        <v>1406</v>
      </c>
      <c r="B1391" s="2">
        <v>46090.38958333333</v>
      </c>
      <c r="C1391" s="2">
        <v>46091.122916666667</v>
      </c>
      <c r="D1391" t="s">
        <v>6028</v>
      </c>
      <c r="E1391" t="s">
        <v>6031</v>
      </c>
      <c r="F1391" t="s">
        <v>6035</v>
      </c>
      <c r="G1391" t="s">
        <v>6051</v>
      </c>
      <c r="H1391" t="s">
        <v>6097</v>
      </c>
      <c r="I1391">
        <v>4</v>
      </c>
      <c r="J1391">
        <v>17.600000000000001</v>
      </c>
      <c r="K1391" t="s">
        <v>6099</v>
      </c>
      <c r="L1391" t="s">
        <v>6100</v>
      </c>
      <c r="M1391" t="s">
        <v>6100</v>
      </c>
      <c r="N1391">
        <v>5</v>
      </c>
      <c r="O1391" t="s">
        <v>6101</v>
      </c>
      <c r="P1391" t="s">
        <v>6109</v>
      </c>
      <c r="Q1391">
        <v>3</v>
      </c>
      <c r="R1391">
        <v>2026</v>
      </c>
      <c r="S1391" t="s">
        <v>6100</v>
      </c>
      <c r="T1391">
        <v>0</v>
      </c>
      <c r="U1391" t="s">
        <v>6017</v>
      </c>
      <c r="V1391">
        <v>1</v>
      </c>
    </row>
    <row r="1392" spans="1:22" x14ac:dyDescent="0.3">
      <c r="A1392" t="s">
        <v>1407</v>
      </c>
      <c r="B1392" s="2">
        <v>46090.414583333331</v>
      </c>
      <c r="C1392" s="2">
        <v>46090.84375</v>
      </c>
      <c r="D1392" t="s">
        <v>6025</v>
      </c>
      <c r="E1392" t="s">
        <v>6029</v>
      </c>
      <c r="F1392" t="s">
        <v>6034</v>
      </c>
      <c r="G1392" t="s">
        <v>6062</v>
      </c>
      <c r="H1392" t="s">
        <v>6096</v>
      </c>
      <c r="I1392">
        <v>24</v>
      </c>
      <c r="J1392">
        <v>10.3</v>
      </c>
      <c r="K1392" t="s">
        <v>6099</v>
      </c>
      <c r="L1392" t="s">
        <v>6100</v>
      </c>
      <c r="M1392" t="s">
        <v>6100</v>
      </c>
      <c r="N1392">
        <v>5</v>
      </c>
      <c r="O1392" t="s">
        <v>6101</v>
      </c>
      <c r="P1392" t="s">
        <v>6109</v>
      </c>
      <c r="Q1392">
        <v>3</v>
      </c>
      <c r="R1392">
        <v>2026</v>
      </c>
      <c r="S1392" t="s">
        <v>6099</v>
      </c>
      <c r="T1392">
        <v>1</v>
      </c>
      <c r="U1392" t="s">
        <v>6018</v>
      </c>
      <c r="V1392">
        <v>1</v>
      </c>
    </row>
    <row r="1393" spans="1:22" x14ac:dyDescent="0.3">
      <c r="A1393" t="s">
        <v>1408</v>
      </c>
      <c r="B1393" s="2">
        <v>46090.416666666664</v>
      </c>
      <c r="C1393" s="2">
        <v>46090.841666666667</v>
      </c>
      <c r="D1393" t="s">
        <v>6028</v>
      </c>
      <c r="E1393" t="s">
        <v>6029</v>
      </c>
      <c r="F1393" t="s">
        <v>6035</v>
      </c>
      <c r="G1393" t="s">
        <v>6077</v>
      </c>
      <c r="H1393" t="s">
        <v>6098</v>
      </c>
      <c r="I1393">
        <v>4</v>
      </c>
      <c r="J1393">
        <v>10.199999999999999</v>
      </c>
      <c r="K1393" t="s">
        <v>6100</v>
      </c>
      <c r="L1393" t="s">
        <v>6100</v>
      </c>
      <c r="M1393" t="s">
        <v>6100</v>
      </c>
      <c r="N1393">
        <v>4</v>
      </c>
      <c r="O1393" t="s">
        <v>6101</v>
      </c>
      <c r="P1393" t="s">
        <v>6109</v>
      </c>
      <c r="Q1393">
        <v>3</v>
      </c>
      <c r="R1393">
        <v>2026</v>
      </c>
      <c r="S1393" t="s">
        <v>6100</v>
      </c>
      <c r="T1393">
        <v>0</v>
      </c>
      <c r="U1393" t="s">
        <v>6018</v>
      </c>
      <c r="V1393">
        <v>0</v>
      </c>
    </row>
    <row r="1394" spans="1:22" x14ac:dyDescent="0.3">
      <c r="A1394" t="s">
        <v>1409</v>
      </c>
      <c r="B1394" s="2">
        <v>46090.416666666664</v>
      </c>
      <c r="C1394" s="2">
        <v>46093.633333333331</v>
      </c>
      <c r="D1394" t="s">
        <v>6028</v>
      </c>
      <c r="E1394" t="s">
        <v>6031</v>
      </c>
      <c r="F1394" t="s">
        <v>6035</v>
      </c>
      <c r="G1394" t="s">
        <v>6076</v>
      </c>
      <c r="H1394" t="s">
        <v>6097</v>
      </c>
      <c r="I1394">
        <v>4</v>
      </c>
      <c r="J1394">
        <v>77.2</v>
      </c>
      <c r="K1394" t="s">
        <v>6099</v>
      </c>
      <c r="L1394" t="s">
        <v>6100</v>
      </c>
      <c r="M1394" t="s">
        <v>6100</v>
      </c>
      <c r="N1394">
        <v>4</v>
      </c>
      <c r="O1394" t="s">
        <v>6101</v>
      </c>
      <c r="P1394" t="s">
        <v>6109</v>
      </c>
      <c r="Q1394">
        <v>3</v>
      </c>
      <c r="R1394">
        <v>2026</v>
      </c>
      <c r="S1394" t="s">
        <v>6100</v>
      </c>
      <c r="T1394">
        <v>0</v>
      </c>
      <c r="U1394" t="s">
        <v>6018</v>
      </c>
      <c r="V1394">
        <v>1</v>
      </c>
    </row>
    <row r="1395" spans="1:22" x14ac:dyDescent="0.3">
      <c r="A1395" t="s">
        <v>1410</v>
      </c>
      <c r="B1395" s="2">
        <v>46090.422222222223</v>
      </c>
      <c r="C1395" s="2">
        <v>46091.055555555555</v>
      </c>
      <c r="D1395" t="s">
        <v>6028</v>
      </c>
      <c r="E1395" t="s">
        <v>6031</v>
      </c>
      <c r="F1395" t="s">
        <v>6034</v>
      </c>
      <c r="G1395" t="s">
        <v>6053</v>
      </c>
      <c r="H1395" t="s">
        <v>6097</v>
      </c>
      <c r="I1395">
        <v>24</v>
      </c>
      <c r="J1395">
        <v>15.2</v>
      </c>
      <c r="K1395" t="s">
        <v>6099</v>
      </c>
      <c r="L1395" t="s">
        <v>6100</v>
      </c>
      <c r="M1395" t="s">
        <v>6100</v>
      </c>
      <c r="O1395" t="s">
        <v>6101</v>
      </c>
      <c r="P1395" t="s">
        <v>6109</v>
      </c>
      <c r="Q1395">
        <v>3</v>
      </c>
      <c r="R1395">
        <v>2026</v>
      </c>
      <c r="S1395" t="s">
        <v>6099</v>
      </c>
      <c r="T1395">
        <v>1</v>
      </c>
      <c r="U1395" t="s">
        <v>6021</v>
      </c>
      <c r="V1395">
        <v>1</v>
      </c>
    </row>
    <row r="1396" spans="1:22" x14ac:dyDescent="0.3">
      <c r="A1396" t="s">
        <v>1411</v>
      </c>
      <c r="B1396" s="2">
        <v>46090.427083333336</v>
      </c>
      <c r="C1396" s="2">
        <v>46090.527083333334</v>
      </c>
      <c r="D1396" t="s">
        <v>6023</v>
      </c>
      <c r="E1396" t="s">
        <v>6030</v>
      </c>
      <c r="F1396" t="s">
        <v>6034</v>
      </c>
      <c r="G1396" t="s">
        <v>6063</v>
      </c>
      <c r="H1396" t="s">
        <v>6097</v>
      </c>
      <c r="I1396">
        <v>24</v>
      </c>
      <c r="J1396">
        <v>2.4</v>
      </c>
      <c r="K1396" t="s">
        <v>6099</v>
      </c>
      <c r="L1396" t="s">
        <v>6100</v>
      </c>
      <c r="M1396" t="s">
        <v>6100</v>
      </c>
      <c r="N1396">
        <v>5</v>
      </c>
      <c r="O1396" t="s">
        <v>6101</v>
      </c>
      <c r="P1396" t="s">
        <v>6109</v>
      </c>
      <c r="Q1396">
        <v>3</v>
      </c>
      <c r="R1396">
        <v>2026</v>
      </c>
      <c r="S1396" t="s">
        <v>6099</v>
      </c>
      <c r="T1396">
        <v>1</v>
      </c>
      <c r="U1396" t="s">
        <v>6021</v>
      </c>
      <c r="V1396">
        <v>1</v>
      </c>
    </row>
    <row r="1397" spans="1:22" x14ac:dyDescent="0.3">
      <c r="A1397" t="s">
        <v>1412</v>
      </c>
      <c r="B1397" s="2">
        <v>46090.458333333336</v>
      </c>
      <c r="C1397" s="2">
        <v>46091.095833333333</v>
      </c>
      <c r="D1397" t="s">
        <v>6028</v>
      </c>
      <c r="E1397" t="s">
        <v>6031</v>
      </c>
      <c r="F1397" t="s">
        <v>6034</v>
      </c>
      <c r="G1397" t="s">
        <v>6055</v>
      </c>
      <c r="H1397" t="s">
        <v>6096</v>
      </c>
      <c r="I1397">
        <v>24</v>
      </c>
      <c r="J1397">
        <v>15.3</v>
      </c>
      <c r="K1397" t="s">
        <v>6099</v>
      </c>
      <c r="L1397" t="s">
        <v>6100</v>
      </c>
      <c r="M1397" t="s">
        <v>6100</v>
      </c>
      <c r="N1397">
        <v>5</v>
      </c>
      <c r="O1397" t="s">
        <v>6101</v>
      </c>
      <c r="P1397" t="s">
        <v>6109</v>
      </c>
      <c r="Q1397">
        <v>3</v>
      </c>
      <c r="R1397">
        <v>2026</v>
      </c>
      <c r="S1397" t="s">
        <v>6099</v>
      </c>
      <c r="T1397">
        <v>1</v>
      </c>
      <c r="U1397" t="s">
        <v>6018</v>
      </c>
      <c r="V1397">
        <v>1</v>
      </c>
    </row>
    <row r="1398" spans="1:22" x14ac:dyDescent="0.3">
      <c r="A1398" t="s">
        <v>1413</v>
      </c>
      <c r="B1398" s="2">
        <v>46090.458333333336</v>
      </c>
      <c r="C1398" s="2">
        <v>46094.625</v>
      </c>
      <c r="D1398" t="s">
        <v>6028</v>
      </c>
      <c r="E1398" t="s">
        <v>6031</v>
      </c>
      <c r="F1398" t="s">
        <v>6034</v>
      </c>
      <c r="G1398" t="s">
        <v>6064</v>
      </c>
      <c r="H1398" t="s">
        <v>6096</v>
      </c>
      <c r="I1398">
        <v>24</v>
      </c>
      <c r="J1398">
        <v>100</v>
      </c>
      <c r="K1398" t="s">
        <v>6100</v>
      </c>
      <c r="L1398" t="s">
        <v>6099</v>
      </c>
      <c r="M1398" t="s">
        <v>6100</v>
      </c>
      <c r="N1398">
        <v>4</v>
      </c>
      <c r="O1398" t="s">
        <v>6101</v>
      </c>
      <c r="P1398" t="s">
        <v>6109</v>
      </c>
      <c r="Q1398">
        <v>3</v>
      </c>
      <c r="R1398">
        <v>2026</v>
      </c>
      <c r="S1398" t="s">
        <v>6100</v>
      </c>
      <c r="T1398">
        <v>0</v>
      </c>
      <c r="U1398" t="s">
        <v>6018</v>
      </c>
      <c r="V1398">
        <v>0</v>
      </c>
    </row>
    <row r="1399" spans="1:22" x14ac:dyDescent="0.3">
      <c r="A1399" t="s">
        <v>1414</v>
      </c>
      <c r="B1399" s="2">
        <v>46090.458333333336</v>
      </c>
      <c r="C1399" s="2">
        <v>46091.20416666667</v>
      </c>
      <c r="D1399" t="s">
        <v>6028</v>
      </c>
      <c r="E1399" t="s">
        <v>6030</v>
      </c>
      <c r="F1399" t="s">
        <v>6035</v>
      </c>
      <c r="G1399" t="s">
        <v>6090</v>
      </c>
      <c r="H1399" t="s">
        <v>6097</v>
      </c>
      <c r="I1399">
        <v>4</v>
      </c>
      <c r="J1399">
        <v>17.899999999999999</v>
      </c>
      <c r="K1399" t="s">
        <v>6099</v>
      </c>
      <c r="L1399" t="s">
        <v>6100</v>
      </c>
      <c r="M1399" t="s">
        <v>6100</v>
      </c>
      <c r="O1399" t="s">
        <v>6101</v>
      </c>
      <c r="P1399" t="s">
        <v>6109</v>
      </c>
      <c r="Q1399">
        <v>3</v>
      </c>
      <c r="R1399">
        <v>2026</v>
      </c>
      <c r="S1399" t="s">
        <v>6100</v>
      </c>
      <c r="T1399">
        <v>0</v>
      </c>
      <c r="U1399" t="s">
        <v>6018</v>
      </c>
      <c r="V1399">
        <v>1</v>
      </c>
    </row>
    <row r="1400" spans="1:22" x14ac:dyDescent="0.3">
      <c r="A1400" t="s">
        <v>1415</v>
      </c>
      <c r="B1400" s="2">
        <v>46090.458333333336</v>
      </c>
      <c r="C1400" s="2">
        <v>46091.04583333333</v>
      </c>
      <c r="D1400" t="s">
        <v>6028</v>
      </c>
      <c r="E1400" t="s">
        <v>6030</v>
      </c>
      <c r="F1400" t="s">
        <v>6035</v>
      </c>
      <c r="G1400" t="s">
        <v>6043</v>
      </c>
      <c r="H1400" t="s">
        <v>6097</v>
      </c>
      <c r="I1400">
        <v>4</v>
      </c>
      <c r="J1400">
        <v>14.1</v>
      </c>
      <c r="K1400" t="s">
        <v>6099</v>
      </c>
      <c r="L1400" t="s">
        <v>6100</v>
      </c>
      <c r="M1400" t="s">
        <v>6099</v>
      </c>
      <c r="N1400">
        <v>3</v>
      </c>
      <c r="O1400" t="s">
        <v>6101</v>
      </c>
      <c r="P1400" t="s">
        <v>6109</v>
      </c>
      <c r="Q1400">
        <v>3</v>
      </c>
      <c r="R1400">
        <v>2026</v>
      </c>
      <c r="S1400" t="s">
        <v>6100</v>
      </c>
      <c r="T1400">
        <v>0</v>
      </c>
      <c r="U1400" t="s">
        <v>6018</v>
      </c>
      <c r="V1400">
        <v>1</v>
      </c>
    </row>
    <row r="1401" spans="1:22" x14ac:dyDescent="0.3">
      <c r="A1401" t="s">
        <v>1416</v>
      </c>
      <c r="B1401" s="2">
        <v>46090.461805555555</v>
      </c>
      <c r="C1401" s="2">
        <v>46090.736805555556</v>
      </c>
      <c r="D1401" t="s">
        <v>6022</v>
      </c>
      <c r="E1401" t="s">
        <v>6030</v>
      </c>
      <c r="F1401" t="s">
        <v>6034</v>
      </c>
      <c r="G1401" t="s">
        <v>6069</v>
      </c>
      <c r="H1401" t="s">
        <v>6098</v>
      </c>
      <c r="I1401">
        <v>24</v>
      </c>
      <c r="J1401">
        <v>6.6</v>
      </c>
      <c r="K1401" t="s">
        <v>6099</v>
      </c>
      <c r="L1401" t="s">
        <v>6100</v>
      </c>
      <c r="M1401" t="s">
        <v>6100</v>
      </c>
      <c r="N1401">
        <v>5</v>
      </c>
      <c r="O1401" t="s">
        <v>6101</v>
      </c>
      <c r="P1401" t="s">
        <v>6109</v>
      </c>
      <c r="Q1401">
        <v>3</v>
      </c>
      <c r="R1401">
        <v>2026</v>
      </c>
      <c r="S1401" t="s">
        <v>6099</v>
      </c>
      <c r="T1401">
        <v>1</v>
      </c>
      <c r="U1401" t="s">
        <v>6017</v>
      </c>
      <c r="V1401">
        <v>1</v>
      </c>
    </row>
    <row r="1402" spans="1:22" x14ac:dyDescent="0.3">
      <c r="A1402" t="s">
        <v>1417</v>
      </c>
      <c r="B1402" s="2">
        <v>46090.490277777775</v>
      </c>
      <c r="C1402" s="2">
        <v>46090.902777777781</v>
      </c>
      <c r="D1402" t="s">
        <v>6024</v>
      </c>
      <c r="E1402" t="s">
        <v>6031</v>
      </c>
      <c r="F1402" t="s">
        <v>6034</v>
      </c>
      <c r="G1402" t="s">
        <v>6060</v>
      </c>
      <c r="H1402" t="s">
        <v>6097</v>
      </c>
      <c r="I1402">
        <v>24</v>
      </c>
      <c r="J1402">
        <v>9.9</v>
      </c>
      <c r="K1402" t="s">
        <v>6100</v>
      </c>
      <c r="L1402" t="s">
        <v>6100</v>
      </c>
      <c r="M1402" t="s">
        <v>6100</v>
      </c>
      <c r="N1402">
        <v>3</v>
      </c>
      <c r="O1402" t="s">
        <v>6101</v>
      </c>
      <c r="P1402" t="s">
        <v>6109</v>
      </c>
      <c r="Q1402">
        <v>3</v>
      </c>
      <c r="R1402">
        <v>2026</v>
      </c>
      <c r="S1402" t="s">
        <v>6099</v>
      </c>
      <c r="T1402">
        <v>1</v>
      </c>
      <c r="U1402" t="s">
        <v>6020</v>
      </c>
      <c r="V1402">
        <v>0</v>
      </c>
    </row>
    <row r="1403" spans="1:22" x14ac:dyDescent="0.3">
      <c r="A1403" t="s">
        <v>1418</v>
      </c>
      <c r="B1403" s="2">
        <v>46090.5</v>
      </c>
      <c r="C1403" s="2">
        <v>46092.091666666667</v>
      </c>
      <c r="D1403" t="s">
        <v>6028</v>
      </c>
      <c r="E1403" t="s">
        <v>6029</v>
      </c>
      <c r="F1403" t="s">
        <v>6035</v>
      </c>
      <c r="G1403" t="s">
        <v>6038</v>
      </c>
      <c r="H1403" t="s">
        <v>6096</v>
      </c>
      <c r="I1403">
        <v>4</v>
      </c>
      <c r="J1403">
        <v>38.200000000000003</v>
      </c>
      <c r="K1403" t="s">
        <v>6099</v>
      </c>
      <c r="L1403" t="s">
        <v>6100</v>
      </c>
      <c r="M1403" t="s">
        <v>6100</v>
      </c>
      <c r="N1403">
        <v>5</v>
      </c>
      <c r="O1403" t="s">
        <v>6101</v>
      </c>
      <c r="P1403" t="s">
        <v>6109</v>
      </c>
      <c r="Q1403">
        <v>3</v>
      </c>
      <c r="R1403">
        <v>2026</v>
      </c>
      <c r="S1403" t="s">
        <v>6100</v>
      </c>
      <c r="T1403">
        <v>0</v>
      </c>
      <c r="U1403" t="s">
        <v>6018</v>
      </c>
      <c r="V1403">
        <v>1</v>
      </c>
    </row>
    <row r="1404" spans="1:22" x14ac:dyDescent="0.3">
      <c r="A1404" t="s">
        <v>1419</v>
      </c>
      <c r="B1404" s="2">
        <v>46090.5</v>
      </c>
      <c r="C1404" s="2">
        <v>46091.487500000003</v>
      </c>
      <c r="D1404" t="s">
        <v>6028</v>
      </c>
      <c r="E1404" t="s">
        <v>6030</v>
      </c>
      <c r="F1404" t="s">
        <v>6035</v>
      </c>
      <c r="G1404" t="s">
        <v>6038</v>
      </c>
      <c r="H1404" t="s">
        <v>6096</v>
      </c>
      <c r="I1404">
        <v>4</v>
      </c>
      <c r="J1404">
        <v>23.7</v>
      </c>
      <c r="K1404" t="s">
        <v>6099</v>
      </c>
      <c r="L1404" t="s">
        <v>6100</v>
      </c>
      <c r="M1404" t="s">
        <v>6100</v>
      </c>
      <c r="N1404">
        <v>3</v>
      </c>
      <c r="O1404" t="s">
        <v>6101</v>
      </c>
      <c r="P1404" t="s">
        <v>6109</v>
      </c>
      <c r="Q1404">
        <v>3</v>
      </c>
      <c r="R1404">
        <v>2026</v>
      </c>
      <c r="S1404" t="s">
        <v>6100</v>
      </c>
      <c r="T1404">
        <v>0</v>
      </c>
      <c r="U1404" t="s">
        <v>6018</v>
      </c>
      <c r="V1404">
        <v>1</v>
      </c>
    </row>
    <row r="1405" spans="1:22" x14ac:dyDescent="0.3">
      <c r="A1405" t="s">
        <v>1420</v>
      </c>
      <c r="B1405" s="2">
        <v>46090.504166666666</v>
      </c>
      <c r="C1405" s="2">
        <v>46091.433333333334</v>
      </c>
      <c r="D1405" t="s">
        <v>6024</v>
      </c>
      <c r="E1405" t="s">
        <v>6029</v>
      </c>
      <c r="F1405" t="s">
        <v>6033</v>
      </c>
      <c r="G1405" t="s">
        <v>6062</v>
      </c>
      <c r="H1405" t="s">
        <v>6096</v>
      </c>
      <c r="I1405">
        <v>72</v>
      </c>
      <c r="J1405">
        <v>22.3</v>
      </c>
      <c r="K1405" t="s">
        <v>6100</v>
      </c>
      <c r="L1405" t="s">
        <v>6099</v>
      </c>
      <c r="M1405" t="s">
        <v>6100</v>
      </c>
      <c r="N1405">
        <v>3</v>
      </c>
      <c r="O1405" t="s">
        <v>6101</v>
      </c>
      <c r="P1405" t="s">
        <v>6109</v>
      </c>
      <c r="Q1405">
        <v>3</v>
      </c>
      <c r="R1405">
        <v>2026</v>
      </c>
      <c r="S1405" t="s">
        <v>6099</v>
      </c>
      <c r="T1405">
        <v>1</v>
      </c>
      <c r="U1405" t="s">
        <v>6017</v>
      </c>
      <c r="V1405">
        <v>0</v>
      </c>
    </row>
    <row r="1406" spans="1:22" x14ac:dyDescent="0.3">
      <c r="A1406" t="s">
        <v>1421</v>
      </c>
      <c r="B1406" s="2">
        <v>46090.529166666667</v>
      </c>
      <c r="C1406" s="2">
        <v>46090.758333333331</v>
      </c>
      <c r="D1406" t="s">
        <v>6024</v>
      </c>
      <c r="E1406" t="s">
        <v>6030</v>
      </c>
      <c r="F1406" t="s">
        <v>6033</v>
      </c>
      <c r="G1406" t="s">
        <v>6077</v>
      </c>
      <c r="H1406" t="s">
        <v>6098</v>
      </c>
      <c r="I1406">
        <v>72</v>
      </c>
      <c r="J1406">
        <v>5.5</v>
      </c>
      <c r="K1406" t="s">
        <v>6099</v>
      </c>
      <c r="L1406" t="s">
        <v>6100</v>
      </c>
      <c r="M1406" t="s">
        <v>6100</v>
      </c>
      <c r="N1406">
        <v>4</v>
      </c>
      <c r="O1406" t="s">
        <v>6101</v>
      </c>
      <c r="P1406" t="s">
        <v>6109</v>
      </c>
      <c r="Q1406">
        <v>3</v>
      </c>
      <c r="R1406">
        <v>2026</v>
      </c>
      <c r="S1406" t="s">
        <v>6099</v>
      </c>
      <c r="T1406">
        <v>1</v>
      </c>
      <c r="U1406" t="s">
        <v>6021</v>
      </c>
      <c r="V1406">
        <v>1</v>
      </c>
    </row>
    <row r="1407" spans="1:22" x14ac:dyDescent="0.3">
      <c r="A1407" t="s">
        <v>1422</v>
      </c>
      <c r="B1407" s="2">
        <v>46090.533333333333</v>
      </c>
      <c r="C1407" s="2">
        <v>46090.862500000003</v>
      </c>
      <c r="D1407" t="s">
        <v>6027</v>
      </c>
      <c r="E1407" t="s">
        <v>6030</v>
      </c>
      <c r="F1407" t="s">
        <v>6034</v>
      </c>
      <c r="G1407" t="s">
        <v>6041</v>
      </c>
      <c r="H1407" t="s">
        <v>6096</v>
      </c>
      <c r="I1407">
        <v>24</v>
      </c>
      <c r="J1407">
        <v>7.9</v>
      </c>
      <c r="K1407" t="s">
        <v>6099</v>
      </c>
      <c r="L1407" t="s">
        <v>6100</v>
      </c>
      <c r="M1407" t="s">
        <v>6100</v>
      </c>
      <c r="O1407" t="s">
        <v>6101</v>
      </c>
      <c r="P1407" t="s">
        <v>6109</v>
      </c>
      <c r="Q1407">
        <v>3</v>
      </c>
      <c r="R1407">
        <v>2026</v>
      </c>
      <c r="S1407" t="s">
        <v>6099</v>
      </c>
      <c r="T1407">
        <v>1</v>
      </c>
      <c r="U1407" t="s">
        <v>6019</v>
      </c>
      <c r="V1407">
        <v>1</v>
      </c>
    </row>
    <row r="1408" spans="1:22" x14ac:dyDescent="0.3">
      <c r="A1408" t="s">
        <v>1423</v>
      </c>
      <c r="B1408" s="2">
        <v>46090.541666666664</v>
      </c>
      <c r="C1408" s="2">
        <v>46092.945833333331</v>
      </c>
      <c r="D1408" t="s">
        <v>6028</v>
      </c>
      <c r="E1408" t="s">
        <v>6031</v>
      </c>
      <c r="F1408" t="s">
        <v>6034</v>
      </c>
      <c r="G1408" t="s">
        <v>6045</v>
      </c>
      <c r="H1408" t="s">
        <v>6096</v>
      </c>
      <c r="I1408">
        <v>24</v>
      </c>
      <c r="J1408">
        <v>57.7</v>
      </c>
      <c r="K1408" t="s">
        <v>6100</v>
      </c>
      <c r="L1408" t="s">
        <v>6100</v>
      </c>
      <c r="M1408" t="s">
        <v>6099</v>
      </c>
      <c r="N1408">
        <v>4</v>
      </c>
      <c r="O1408" t="s">
        <v>6101</v>
      </c>
      <c r="P1408" t="s">
        <v>6109</v>
      </c>
      <c r="Q1408">
        <v>3</v>
      </c>
      <c r="R1408">
        <v>2026</v>
      </c>
      <c r="S1408" t="s">
        <v>6100</v>
      </c>
      <c r="T1408">
        <v>0</v>
      </c>
      <c r="U1408" t="s">
        <v>6018</v>
      </c>
      <c r="V1408">
        <v>0</v>
      </c>
    </row>
    <row r="1409" spans="1:22" x14ac:dyDescent="0.3">
      <c r="A1409" t="s">
        <v>1424</v>
      </c>
      <c r="B1409" s="2">
        <v>46090.566666666666</v>
      </c>
      <c r="C1409" s="2">
        <v>46091.60833333333</v>
      </c>
      <c r="D1409" t="s">
        <v>6023</v>
      </c>
      <c r="E1409" t="s">
        <v>6030</v>
      </c>
      <c r="F1409" t="s">
        <v>6034</v>
      </c>
      <c r="G1409" t="s">
        <v>6059</v>
      </c>
      <c r="H1409" t="s">
        <v>6097</v>
      </c>
      <c r="I1409">
        <v>24</v>
      </c>
      <c r="J1409">
        <v>25</v>
      </c>
      <c r="K1409" t="s">
        <v>6099</v>
      </c>
      <c r="L1409" t="s">
        <v>6100</v>
      </c>
      <c r="M1409" t="s">
        <v>6100</v>
      </c>
      <c r="O1409" t="s">
        <v>6101</v>
      </c>
      <c r="P1409" t="s">
        <v>6109</v>
      </c>
      <c r="Q1409">
        <v>3</v>
      </c>
      <c r="R1409">
        <v>2026</v>
      </c>
      <c r="S1409" t="s">
        <v>6100</v>
      </c>
      <c r="T1409">
        <v>0</v>
      </c>
      <c r="U1409" t="s">
        <v>6019</v>
      </c>
      <c r="V1409">
        <v>1</v>
      </c>
    </row>
    <row r="1410" spans="1:22" x14ac:dyDescent="0.3">
      <c r="A1410" t="s">
        <v>1425</v>
      </c>
      <c r="B1410" s="2">
        <v>46090.571527777778</v>
      </c>
      <c r="C1410" s="2">
        <v>46090.854861111111</v>
      </c>
      <c r="D1410" t="s">
        <v>6023</v>
      </c>
      <c r="E1410" t="s">
        <v>6029</v>
      </c>
      <c r="F1410" t="s">
        <v>6033</v>
      </c>
      <c r="G1410" t="s">
        <v>6087</v>
      </c>
      <c r="H1410" t="s">
        <v>6098</v>
      </c>
      <c r="I1410">
        <v>72</v>
      </c>
      <c r="J1410">
        <v>6.8</v>
      </c>
      <c r="K1410" t="s">
        <v>6099</v>
      </c>
      <c r="L1410" t="s">
        <v>6100</v>
      </c>
      <c r="M1410" t="s">
        <v>6100</v>
      </c>
      <c r="O1410" t="s">
        <v>6101</v>
      </c>
      <c r="P1410" t="s">
        <v>6109</v>
      </c>
      <c r="Q1410">
        <v>3</v>
      </c>
      <c r="R1410">
        <v>2026</v>
      </c>
      <c r="S1410" t="s">
        <v>6099</v>
      </c>
      <c r="T1410">
        <v>1</v>
      </c>
      <c r="U1410" t="s">
        <v>6017</v>
      </c>
      <c r="V1410">
        <v>1</v>
      </c>
    </row>
    <row r="1411" spans="1:22" x14ac:dyDescent="0.3">
      <c r="A1411" t="s">
        <v>1426</v>
      </c>
      <c r="B1411" s="2">
        <v>46090.57708333333</v>
      </c>
      <c r="C1411" s="2">
        <v>46091.585416666669</v>
      </c>
      <c r="D1411" t="s">
        <v>6022</v>
      </c>
      <c r="E1411" t="s">
        <v>6032</v>
      </c>
      <c r="F1411" t="s">
        <v>6035</v>
      </c>
      <c r="G1411" t="s">
        <v>6089</v>
      </c>
      <c r="H1411" t="s">
        <v>6098</v>
      </c>
      <c r="I1411">
        <v>4</v>
      </c>
      <c r="J1411">
        <v>24.2</v>
      </c>
      <c r="K1411" t="s">
        <v>6099</v>
      </c>
      <c r="L1411" t="s">
        <v>6100</v>
      </c>
      <c r="M1411" t="s">
        <v>6100</v>
      </c>
      <c r="O1411" t="s">
        <v>6101</v>
      </c>
      <c r="P1411" t="s">
        <v>6109</v>
      </c>
      <c r="Q1411">
        <v>3</v>
      </c>
      <c r="R1411">
        <v>2026</v>
      </c>
      <c r="S1411" t="s">
        <v>6100</v>
      </c>
      <c r="T1411">
        <v>0</v>
      </c>
      <c r="U1411" t="s">
        <v>6021</v>
      </c>
      <c r="V1411">
        <v>1</v>
      </c>
    </row>
    <row r="1412" spans="1:22" x14ac:dyDescent="0.3">
      <c r="A1412" t="s">
        <v>1427</v>
      </c>
      <c r="B1412" s="2">
        <v>46090.583333333336</v>
      </c>
      <c r="C1412" s="2">
        <v>46093.283333333333</v>
      </c>
      <c r="D1412" t="s">
        <v>6028</v>
      </c>
      <c r="E1412" t="s">
        <v>6031</v>
      </c>
      <c r="F1412" t="s">
        <v>6034</v>
      </c>
      <c r="G1412" t="s">
        <v>6036</v>
      </c>
      <c r="H1412" t="s">
        <v>6096</v>
      </c>
      <c r="I1412">
        <v>24</v>
      </c>
      <c r="J1412">
        <v>64.8</v>
      </c>
      <c r="K1412" t="s">
        <v>6100</v>
      </c>
      <c r="L1412" t="s">
        <v>6100</v>
      </c>
      <c r="M1412" t="s">
        <v>6100</v>
      </c>
      <c r="N1412">
        <v>3</v>
      </c>
      <c r="O1412" t="s">
        <v>6101</v>
      </c>
      <c r="P1412" t="s">
        <v>6109</v>
      </c>
      <c r="Q1412">
        <v>3</v>
      </c>
      <c r="R1412">
        <v>2026</v>
      </c>
      <c r="S1412" t="s">
        <v>6100</v>
      </c>
      <c r="T1412">
        <v>0</v>
      </c>
      <c r="U1412" t="s">
        <v>6018</v>
      </c>
      <c r="V1412">
        <v>0</v>
      </c>
    </row>
    <row r="1413" spans="1:22" x14ac:dyDescent="0.3">
      <c r="A1413" t="s">
        <v>1428</v>
      </c>
      <c r="B1413" s="2">
        <v>46090.583333333336</v>
      </c>
      <c r="C1413" s="2">
        <v>46092.362500000003</v>
      </c>
      <c r="D1413" t="s">
        <v>6028</v>
      </c>
      <c r="E1413" t="s">
        <v>6031</v>
      </c>
      <c r="F1413" t="s">
        <v>6035</v>
      </c>
      <c r="G1413" t="s">
        <v>6044</v>
      </c>
      <c r="H1413" t="s">
        <v>6097</v>
      </c>
      <c r="I1413">
        <v>4</v>
      </c>
      <c r="J1413">
        <v>42.7</v>
      </c>
      <c r="K1413" t="s">
        <v>6100</v>
      </c>
      <c r="L1413" t="s">
        <v>6099</v>
      </c>
      <c r="M1413" t="s">
        <v>6100</v>
      </c>
      <c r="O1413" t="s">
        <v>6101</v>
      </c>
      <c r="P1413" t="s">
        <v>6109</v>
      </c>
      <c r="Q1413">
        <v>3</v>
      </c>
      <c r="R1413">
        <v>2026</v>
      </c>
      <c r="S1413" t="s">
        <v>6100</v>
      </c>
      <c r="T1413">
        <v>0</v>
      </c>
      <c r="U1413" t="s">
        <v>6019</v>
      </c>
      <c r="V1413">
        <v>0</v>
      </c>
    </row>
    <row r="1414" spans="1:22" x14ac:dyDescent="0.3">
      <c r="A1414" t="s">
        <v>1429</v>
      </c>
      <c r="B1414" s="2">
        <v>46090.583333333336</v>
      </c>
      <c r="C1414" s="2">
        <v>46092.42083333333</v>
      </c>
      <c r="D1414" t="s">
        <v>6028</v>
      </c>
      <c r="E1414" t="s">
        <v>6032</v>
      </c>
      <c r="F1414" t="s">
        <v>6034</v>
      </c>
      <c r="G1414" t="s">
        <v>6064</v>
      </c>
      <c r="H1414" t="s">
        <v>6096</v>
      </c>
      <c r="I1414">
        <v>24</v>
      </c>
      <c r="J1414">
        <v>44.1</v>
      </c>
      <c r="K1414" t="s">
        <v>6100</v>
      </c>
      <c r="L1414" t="s">
        <v>6099</v>
      </c>
      <c r="M1414" t="s">
        <v>6100</v>
      </c>
      <c r="N1414">
        <v>3</v>
      </c>
      <c r="O1414" t="s">
        <v>6101</v>
      </c>
      <c r="P1414" t="s">
        <v>6109</v>
      </c>
      <c r="Q1414">
        <v>3</v>
      </c>
      <c r="R1414">
        <v>2026</v>
      </c>
      <c r="S1414" t="s">
        <v>6100</v>
      </c>
      <c r="T1414">
        <v>0</v>
      </c>
      <c r="U1414" t="s">
        <v>6018</v>
      </c>
      <c r="V1414">
        <v>0</v>
      </c>
    </row>
    <row r="1415" spans="1:22" x14ac:dyDescent="0.3">
      <c r="A1415" t="s">
        <v>1430</v>
      </c>
      <c r="B1415" s="2">
        <v>46090.609722222223</v>
      </c>
      <c r="C1415" s="2">
        <v>46090.868055555555</v>
      </c>
      <c r="D1415" t="s">
        <v>6024</v>
      </c>
      <c r="E1415" t="s">
        <v>6030</v>
      </c>
      <c r="F1415" t="s">
        <v>6033</v>
      </c>
      <c r="G1415" t="s">
        <v>6061</v>
      </c>
      <c r="H1415" t="s">
        <v>6096</v>
      </c>
      <c r="I1415">
        <v>72</v>
      </c>
      <c r="J1415">
        <v>6.2</v>
      </c>
      <c r="K1415" t="s">
        <v>6100</v>
      </c>
      <c r="L1415" t="s">
        <v>6100</v>
      </c>
      <c r="M1415" t="s">
        <v>6100</v>
      </c>
      <c r="N1415">
        <v>3</v>
      </c>
      <c r="O1415" t="s">
        <v>6101</v>
      </c>
      <c r="P1415" t="s">
        <v>6109</v>
      </c>
      <c r="Q1415">
        <v>3</v>
      </c>
      <c r="R1415">
        <v>2026</v>
      </c>
      <c r="S1415" t="s">
        <v>6099</v>
      </c>
      <c r="T1415">
        <v>1</v>
      </c>
      <c r="U1415" t="s">
        <v>6018</v>
      </c>
      <c r="V1415">
        <v>0</v>
      </c>
    </row>
    <row r="1416" spans="1:22" x14ac:dyDescent="0.3">
      <c r="A1416" t="s">
        <v>1431</v>
      </c>
      <c r="B1416" s="2">
        <v>46090.625</v>
      </c>
      <c r="C1416" s="2">
        <v>46092.370833333334</v>
      </c>
      <c r="D1416" t="s">
        <v>6028</v>
      </c>
      <c r="E1416" t="s">
        <v>6031</v>
      </c>
      <c r="F1416" t="s">
        <v>6035</v>
      </c>
      <c r="G1416" t="s">
        <v>6057</v>
      </c>
      <c r="H1416" t="s">
        <v>6097</v>
      </c>
      <c r="I1416">
        <v>4</v>
      </c>
      <c r="J1416">
        <v>41.9</v>
      </c>
      <c r="K1416" t="s">
        <v>6100</v>
      </c>
      <c r="L1416" t="s">
        <v>6099</v>
      </c>
      <c r="M1416" t="s">
        <v>6099</v>
      </c>
      <c r="N1416">
        <v>2</v>
      </c>
      <c r="O1416" t="s">
        <v>6101</v>
      </c>
      <c r="P1416" t="s">
        <v>6109</v>
      </c>
      <c r="Q1416">
        <v>3</v>
      </c>
      <c r="R1416">
        <v>2026</v>
      </c>
      <c r="S1416" t="s">
        <v>6100</v>
      </c>
      <c r="T1416">
        <v>0</v>
      </c>
      <c r="U1416" t="s">
        <v>6018</v>
      </c>
      <c r="V1416">
        <v>0</v>
      </c>
    </row>
    <row r="1417" spans="1:22" x14ac:dyDescent="0.3">
      <c r="A1417" t="s">
        <v>1432</v>
      </c>
      <c r="B1417" s="2">
        <v>46090.626388888886</v>
      </c>
      <c r="C1417" s="2">
        <v>46091.847222222219</v>
      </c>
      <c r="D1417" t="s">
        <v>6025</v>
      </c>
      <c r="E1417" t="s">
        <v>6031</v>
      </c>
      <c r="F1417" t="s">
        <v>6033</v>
      </c>
      <c r="G1417" t="s">
        <v>6060</v>
      </c>
      <c r="H1417" t="s">
        <v>6097</v>
      </c>
      <c r="I1417">
        <v>72</v>
      </c>
      <c r="J1417">
        <v>29.3</v>
      </c>
      <c r="K1417" t="s">
        <v>6100</v>
      </c>
      <c r="L1417" t="s">
        <v>6100</v>
      </c>
      <c r="M1417" t="s">
        <v>6100</v>
      </c>
      <c r="N1417">
        <v>2</v>
      </c>
      <c r="O1417" t="s">
        <v>6101</v>
      </c>
      <c r="P1417" t="s">
        <v>6109</v>
      </c>
      <c r="Q1417">
        <v>3</v>
      </c>
      <c r="R1417">
        <v>2026</v>
      </c>
      <c r="S1417" t="s">
        <v>6099</v>
      </c>
      <c r="T1417">
        <v>1</v>
      </c>
      <c r="U1417" t="s">
        <v>6021</v>
      </c>
      <c r="V1417">
        <v>0</v>
      </c>
    </row>
    <row r="1418" spans="1:22" x14ac:dyDescent="0.3">
      <c r="A1418" t="s">
        <v>1433</v>
      </c>
      <c r="B1418" s="2">
        <v>46090.630555555559</v>
      </c>
      <c r="C1418" s="2">
        <v>46090.955555555556</v>
      </c>
      <c r="D1418" t="s">
        <v>6024</v>
      </c>
      <c r="E1418" t="s">
        <v>6030</v>
      </c>
      <c r="F1418" t="s">
        <v>6034</v>
      </c>
      <c r="G1418" t="s">
        <v>6043</v>
      </c>
      <c r="H1418" t="s">
        <v>6097</v>
      </c>
      <c r="I1418">
        <v>24</v>
      </c>
      <c r="J1418">
        <v>7.8</v>
      </c>
      <c r="K1418" t="s">
        <v>6100</v>
      </c>
      <c r="L1418" t="s">
        <v>6100</v>
      </c>
      <c r="M1418" t="s">
        <v>6100</v>
      </c>
      <c r="O1418" t="s">
        <v>6101</v>
      </c>
      <c r="P1418" t="s">
        <v>6109</v>
      </c>
      <c r="Q1418">
        <v>3</v>
      </c>
      <c r="R1418">
        <v>2026</v>
      </c>
      <c r="S1418" t="s">
        <v>6099</v>
      </c>
      <c r="T1418">
        <v>1</v>
      </c>
      <c r="U1418" t="s">
        <v>6019</v>
      </c>
      <c r="V1418">
        <v>0</v>
      </c>
    </row>
    <row r="1419" spans="1:22" x14ac:dyDescent="0.3">
      <c r="A1419" t="s">
        <v>1434</v>
      </c>
      <c r="B1419" s="2">
        <v>46090.647916666669</v>
      </c>
      <c r="C1419" s="2">
        <v>46090.78125</v>
      </c>
      <c r="D1419" t="s">
        <v>6023</v>
      </c>
      <c r="E1419" t="s">
        <v>6029</v>
      </c>
      <c r="F1419" t="s">
        <v>6033</v>
      </c>
      <c r="G1419" t="s">
        <v>6050</v>
      </c>
      <c r="H1419" t="s">
        <v>6098</v>
      </c>
      <c r="I1419">
        <v>72</v>
      </c>
      <c r="J1419">
        <v>3.2</v>
      </c>
      <c r="K1419" t="s">
        <v>6099</v>
      </c>
      <c r="L1419" t="s">
        <v>6100</v>
      </c>
      <c r="M1419" t="s">
        <v>6100</v>
      </c>
      <c r="O1419" t="s">
        <v>6101</v>
      </c>
      <c r="P1419" t="s">
        <v>6109</v>
      </c>
      <c r="Q1419">
        <v>3</v>
      </c>
      <c r="R1419">
        <v>2026</v>
      </c>
      <c r="S1419" t="s">
        <v>6099</v>
      </c>
      <c r="T1419">
        <v>1</v>
      </c>
      <c r="U1419" t="s">
        <v>6020</v>
      </c>
      <c r="V1419">
        <v>1</v>
      </c>
    </row>
    <row r="1420" spans="1:22" x14ac:dyDescent="0.3">
      <c r="A1420" t="s">
        <v>1435</v>
      </c>
      <c r="B1420" s="2">
        <v>46090.661111111112</v>
      </c>
      <c r="C1420" s="2">
        <v>46091.948611111111</v>
      </c>
      <c r="D1420" t="s">
        <v>6025</v>
      </c>
      <c r="E1420" t="s">
        <v>6031</v>
      </c>
      <c r="F1420" t="s">
        <v>6033</v>
      </c>
      <c r="G1420" t="s">
        <v>6051</v>
      </c>
      <c r="H1420" t="s">
        <v>6097</v>
      </c>
      <c r="I1420">
        <v>72</v>
      </c>
      <c r="J1420">
        <v>30.9</v>
      </c>
      <c r="K1420" t="s">
        <v>6099</v>
      </c>
      <c r="L1420" t="s">
        <v>6100</v>
      </c>
      <c r="M1420" t="s">
        <v>6100</v>
      </c>
      <c r="N1420">
        <v>3</v>
      </c>
      <c r="O1420" t="s">
        <v>6101</v>
      </c>
      <c r="P1420" t="s">
        <v>6109</v>
      </c>
      <c r="Q1420">
        <v>3</v>
      </c>
      <c r="R1420">
        <v>2026</v>
      </c>
      <c r="S1420" t="s">
        <v>6099</v>
      </c>
      <c r="T1420">
        <v>1</v>
      </c>
      <c r="U1420" t="s">
        <v>6021</v>
      </c>
      <c r="V1420">
        <v>1</v>
      </c>
    </row>
    <row r="1421" spans="1:22" x14ac:dyDescent="0.3">
      <c r="A1421" t="s">
        <v>1436</v>
      </c>
      <c r="B1421" s="2">
        <v>46090.665972222225</v>
      </c>
      <c r="C1421" s="2">
        <v>46091.157638888886</v>
      </c>
      <c r="D1421" t="s">
        <v>6022</v>
      </c>
      <c r="E1421" t="s">
        <v>6029</v>
      </c>
      <c r="F1421" t="s">
        <v>6034</v>
      </c>
      <c r="G1421" t="s">
        <v>6076</v>
      </c>
      <c r="H1421" t="s">
        <v>6097</v>
      </c>
      <c r="I1421">
        <v>24</v>
      </c>
      <c r="J1421">
        <v>11.8</v>
      </c>
      <c r="K1421" t="s">
        <v>6099</v>
      </c>
      <c r="L1421" t="s">
        <v>6100</v>
      </c>
      <c r="M1421" t="s">
        <v>6100</v>
      </c>
      <c r="N1421">
        <v>5</v>
      </c>
      <c r="O1421" t="s">
        <v>6101</v>
      </c>
      <c r="P1421" t="s">
        <v>6109</v>
      </c>
      <c r="Q1421">
        <v>3</v>
      </c>
      <c r="R1421">
        <v>2026</v>
      </c>
      <c r="S1421" t="s">
        <v>6099</v>
      </c>
      <c r="T1421">
        <v>1</v>
      </c>
      <c r="U1421" t="s">
        <v>6018</v>
      </c>
      <c r="V1421">
        <v>1</v>
      </c>
    </row>
    <row r="1422" spans="1:22" x14ac:dyDescent="0.3">
      <c r="A1422" t="s">
        <v>1437</v>
      </c>
      <c r="B1422" s="2">
        <v>46090.666666666664</v>
      </c>
      <c r="C1422" s="2">
        <v>46091.824999999997</v>
      </c>
      <c r="D1422" t="s">
        <v>6028</v>
      </c>
      <c r="E1422" t="s">
        <v>6029</v>
      </c>
      <c r="F1422" t="s">
        <v>6035</v>
      </c>
      <c r="G1422" t="s">
        <v>6064</v>
      </c>
      <c r="H1422" t="s">
        <v>6096</v>
      </c>
      <c r="I1422">
        <v>4</v>
      </c>
      <c r="J1422">
        <v>27.8</v>
      </c>
      <c r="K1422" t="s">
        <v>6100</v>
      </c>
      <c r="L1422" t="s">
        <v>6099</v>
      </c>
      <c r="M1422" t="s">
        <v>6100</v>
      </c>
      <c r="O1422" t="s">
        <v>6101</v>
      </c>
      <c r="P1422" t="s">
        <v>6109</v>
      </c>
      <c r="Q1422">
        <v>3</v>
      </c>
      <c r="R1422">
        <v>2026</v>
      </c>
      <c r="S1422" t="s">
        <v>6100</v>
      </c>
      <c r="T1422">
        <v>0</v>
      </c>
      <c r="U1422" t="s">
        <v>6018</v>
      </c>
      <c r="V1422">
        <v>0</v>
      </c>
    </row>
    <row r="1423" spans="1:22" x14ac:dyDescent="0.3">
      <c r="A1423" t="s">
        <v>1438</v>
      </c>
      <c r="B1423" s="2">
        <v>46090.666666666664</v>
      </c>
      <c r="C1423" s="2">
        <v>46091.64166666667</v>
      </c>
      <c r="D1423" t="s">
        <v>6028</v>
      </c>
      <c r="E1423" t="s">
        <v>6029</v>
      </c>
      <c r="F1423" t="s">
        <v>6035</v>
      </c>
      <c r="G1423" t="s">
        <v>6058</v>
      </c>
      <c r="H1423" t="s">
        <v>6098</v>
      </c>
      <c r="I1423">
        <v>4</v>
      </c>
      <c r="J1423">
        <v>23.4</v>
      </c>
      <c r="K1423" t="s">
        <v>6099</v>
      </c>
      <c r="L1423" t="s">
        <v>6100</v>
      </c>
      <c r="M1423" t="s">
        <v>6100</v>
      </c>
      <c r="O1423" t="s">
        <v>6101</v>
      </c>
      <c r="P1423" t="s">
        <v>6109</v>
      </c>
      <c r="Q1423">
        <v>3</v>
      </c>
      <c r="R1423">
        <v>2026</v>
      </c>
      <c r="S1423" t="s">
        <v>6100</v>
      </c>
      <c r="T1423">
        <v>0</v>
      </c>
      <c r="U1423" t="s">
        <v>6018</v>
      </c>
      <c r="V1423">
        <v>1</v>
      </c>
    </row>
    <row r="1424" spans="1:22" x14ac:dyDescent="0.3">
      <c r="A1424" t="s">
        <v>1439</v>
      </c>
      <c r="B1424" s="2">
        <v>46090.666666666664</v>
      </c>
      <c r="C1424" s="2">
        <v>46093.26666666667</v>
      </c>
      <c r="D1424" t="s">
        <v>6028</v>
      </c>
      <c r="E1424" t="s">
        <v>6031</v>
      </c>
      <c r="F1424" t="s">
        <v>6035</v>
      </c>
      <c r="G1424" t="s">
        <v>6071</v>
      </c>
      <c r="H1424" t="s">
        <v>6098</v>
      </c>
      <c r="I1424">
        <v>4</v>
      </c>
      <c r="J1424">
        <v>62.4</v>
      </c>
      <c r="K1424" t="s">
        <v>6099</v>
      </c>
      <c r="L1424" t="s">
        <v>6100</v>
      </c>
      <c r="M1424" t="s">
        <v>6100</v>
      </c>
      <c r="O1424" t="s">
        <v>6101</v>
      </c>
      <c r="P1424" t="s">
        <v>6109</v>
      </c>
      <c r="Q1424">
        <v>3</v>
      </c>
      <c r="R1424">
        <v>2026</v>
      </c>
      <c r="S1424" t="s">
        <v>6100</v>
      </c>
      <c r="T1424">
        <v>0</v>
      </c>
      <c r="U1424" t="s">
        <v>6018</v>
      </c>
      <c r="V1424">
        <v>1</v>
      </c>
    </row>
    <row r="1425" spans="1:22" x14ac:dyDescent="0.3">
      <c r="A1425" t="s">
        <v>1440</v>
      </c>
      <c r="B1425" s="2">
        <v>46090.675000000003</v>
      </c>
      <c r="C1425" s="2">
        <v>46091.279166666667</v>
      </c>
      <c r="D1425" t="s">
        <v>6024</v>
      </c>
      <c r="E1425" t="s">
        <v>6029</v>
      </c>
      <c r="F1425" t="s">
        <v>6034</v>
      </c>
      <c r="G1425" t="s">
        <v>6089</v>
      </c>
      <c r="H1425" t="s">
        <v>6098</v>
      </c>
      <c r="I1425">
        <v>24</v>
      </c>
      <c r="J1425">
        <v>14.5</v>
      </c>
      <c r="K1425" t="s">
        <v>6099</v>
      </c>
      <c r="L1425" t="s">
        <v>6100</v>
      </c>
      <c r="M1425" t="s">
        <v>6100</v>
      </c>
      <c r="N1425">
        <v>5</v>
      </c>
      <c r="O1425" t="s">
        <v>6101</v>
      </c>
      <c r="P1425" t="s">
        <v>6109</v>
      </c>
      <c r="Q1425">
        <v>3</v>
      </c>
      <c r="R1425">
        <v>2026</v>
      </c>
      <c r="S1425" t="s">
        <v>6099</v>
      </c>
      <c r="T1425">
        <v>1</v>
      </c>
      <c r="U1425" t="s">
        <v>6017</v>
      </c>
      <c r="V1425">
        <v>1</v>
      </c>
    </row>
    <row r="1426" spans="1:22" x14ac:dyDescent="0.3">
      <c r="A1426" t="s">
        <v>1441</v>
      </c>
      <c r="B1426" s="2">
        <v>46090.676388888889</v>
      </c>
      <c r="C1426" s="2">
        <v>46091.351388888892</v>
      </c>
      <c r="D1426" t="s">
        <v>6028</v>
      </c>
      <c r="E1426" t="s">
        <v>6029</v>
      </c>
      <c r="F1426" t="s">
        <v>6035</v>
      </c>
      <c r="G1426" t="s">
        <v>6052</v>
      </c>
      <c r="H1426" t="s">
        <v>6098</v>
      </c>
      <c r="I1426">
        <v>4</v>
      </c>
      <c r="J1426">
        <v>16.2</v>
      </c>
      <c r="K1426" t="s">
        <v>6099</v>
      </c>
      <c r="L1426" t="s">
        <v>6100</v>
      </c>
      <c r="M1426" t="s">
        <v>6100</v>
      </c>
      <c r="N1426">
        <v>4</v>
      </c>
      <c r="O1426" t="s">
        <v>6101</v>
      </c>
      <c r="P1426" t="s">
        <v>6109</v>
      </c>
      <c r="Q1426">
        <v>3</v>
      </c>
      <c r="R1426">
        <v>2026</v>
      </c>
      <c r="S1426" t="s">
        <v>6100</v>
      </c>
      <c r="T1426">
        <v>0</v>
      </c>
      <c r="U1426" t="s">
        <v>6019</v>
      </c>
      <c r="V1426">
        <v>1</v>
      </c>
    </row>
    <row r="1427" spans="1:22" x14ac:dyDescent="0.3">
      <c r="A1427" t="s">
        <v>1442</v>
      </c>
      <c r="B1427" s="2">
        <v>46090.708333333336</v>
      </c>
      <c r="C1427" s="2">
        <v>46091.345833333333</v>
      </c>
      <c r="D1427" t="s">
        <v>6028</v>
      </c>
      <c r="E1427" t="s">
        <v>6029</v>
      </c>
      <c r="F1427" t="s">
        <v>6034</v>
      </c>
      <c r="G1427" t="s">
        <v>6091</v>
      </c>
      <c r="H1427" t="s">
        <v>6097</v>
      </c>
      <c r="I1427">
        <v>24</v>
      </c>
      <c r="J1427">
        <v>15.3</v>
      </c>
      <c r="K1427" t="s">
        <v>6099</v>
      </c>
      <c r="L1427" t="s">
        <v>6100</v>
      </c>
      <c r="M1427" t="s">
        <v>6099</v>
      </c>
      <c r="N1427">
        <v>5</v>
      </c>
      <c r="O1427" t="s">
        <v>6101</v>
      </c>
      <c r="P1427" t="s">
        <v>6109</v>
      </c>
      <c r="Q1427">
        <v>3</v>
      </c>
      <c r="R1427">
        <v>2026</v>
      </c>
      <c r="S1427" t="s">
        <v>6099</v>
      </c>
      <c r="T1427">
        <v>1</v>
      </c>
      <c r="U1427" t="s">
        <v>6018</v>
      </c>
      <c r="V1427">
        <v>1</v>
      </c>
    </row>
    <row r="1428" spans="1:22" x14ac:dyDescent="0.3">
      <c r="A1428" t="s">
        <v>1443</v>
      </c>
      <c r="B1428" s="2">
        <v>46090.711805555555</v>
      </c>
      <c r="C1428" s="2">
        <v>46090.970138888886</v>
      </c>
      <c r="D1428" t="s">
        <v>6023</v>
      </c>
      <c r="E1428" t="s">
        <v>6029</v>
      </c>
      <c r="F1428" t="s">
        <v>6033</v>
      </c>
      <c r="G1428" t="s">
        <v>6038</v>
      </c>
      <c r="H1428" t="s">
        <v>6096</v>
      </c>
      <c r="I1428">
        <v>72</v>
      </c>
      <c r="J1428">
        <v>6.2</v>
      </c>
      <c r="K1428" t="s">
        <v>6099</v>
      </c>
      <c r="L1428" t="s">
        <v>6100</v>
      </c>
      <c r="M1428" t="s">
        <v>6100</v>
      </c>
      <c r="N1428">
        <v>5</v>
      </c>
      <c r="O1428" t="s">
        <v>6101</v>
      </c>
      <c r="P1428" t="s">
        <v>6109</v>
      </c>
      <c r="Q1428">
        <v>3</v>
      </c>
      <c r="R1428">
        <v>2026</v>
      </c>
      <c r="S1428" t="s">
        <v>6099</v>
      </c>
      <c r="T1428">
        <v>1</v>
      </c>
      <c r="U1428" t="s">
        <v>6020</v>
      </c>
      <c r="V1428">
        <v>1</v>
      </c>
    </row>
    <row r="1429" spans="1:22" x14ac:dyDescent="0.3">
      <c r="A1429" t="s">
        <v>1444</v>
      </c>
      <c r="B1429" s="2">
        <v>46090.75</v>
      </c>
      <c r="C1429" s="2">
        <v>46091.987500000003</v>
      </c>
      <c r="D1429" t="s">
        <v>6028</v>
      </c>
      <c r="E1429" t="s">
        <v>6029</v>
      </c>
      <c r="F1429" t="s">
        <v>6035</v>
      </c>
      <c r="G1429" t="s">
        <v>6092</v>
      </c>
      <c r="H1429" t="s">
        <v>6097</v>
      </c>
      <c r="I1429">
        <v>4</v>
      </c>
      <c r="J1429">
        <v>29.7</v>
      </c>
      <c r="K1429" t="s">
        <v>6099</v>
      </c>
      <c r="L1429" t="s">
        <v>6100</v>
      </c>
      <c r="M1429" t="s">
        <v>6100</v>
      </c>
      <c r="O1429" t="s">
        <v>6101</v>
      </c>
      <c r="P1429" t="s">
        <v>6109</v>
      </c>
      <c r="Q1429">
        <v>3</v>
      </c>
      <c r="R1429">
        <v>2026</v>
      </c>
      <c r="S1429" t="s">
        <v>6100</v>
      </c>
      <c r="T1429">
        <v>0</v>
      </c>
      <c r="U1429" t="s">
        <v>6018</v>
      </c>
      <c r="V1429">
        <v>1</v>
      </c>
    </row>
    <row r="1430" spans="1:22" x14ac:dyDescent="0.3">
      <c r="A1430" t="s">
        <v>1445</v>
      </c>
      <c r="B1430" s="2">
        <v>46090.75</v>
      </c>
      <c r="C1430" s="2">
        <v>46093.10833333333</v>
      </c>
      <c r="D1430" t="s">
        <v>6028</v>
      </c>
      <c r="E1430" t="s">
        <v>6031</v>
      </c>
      <c r="F1430" t="s">
        <v>6035</v>
      </c>
      <c r="G1430" t="s">
        <v>6043</v>
      </c>
      <c r="H1430" t="s">
        <v>6097</v>
      </c>
      <c r="I1430">
        <v>4</v>
      </c>
      <c r="J1430">
        <v>56.6</v>
      </c>
      <c r="K1430" t="s">
        <v>6099</v>
      </c>
      <c r="L1430" t="s">
        <v>6100</v>
      </c>
      <c r="M1430" t="s">
        <v>6100</v>
      </c>
      <c r="N1430">
        <v>5</v>
      </c>
      <c r="O1430" t="s">
        <v>6101</v>
      </c>
      <c r="P1430" t="s">
        <v>6109</v>
      </c>
      <c r="Q1430">
        <v>3</v>
      </c>
      <c r="R1430">
        <v>2026</v>
      </c>
      <c r="S1430" t="s">
        <v>6100</v>
      </c>
      <c r="T1430">
        <v>0</v>
      </c>
      <c r="U1430" t="s">
        <v>6018</v>
      </c>
      <c r="V1430">
        <v>1</v>
      </c>
    </row>
    <row r="1431" spans="1:22" x14ac:dyDescent="0.3">
      <c r="A1431" t="s">
        <v>1446</v>
      </c>
      <c r="B1431" s="2">
        <v>46090.76666666667</v>
      </c>
      <c r="C1431" s="2">
        <v>46091.258333333331</v>
      </c>
      <c r="D1431" t="s">
        <v>6022</v>
      </c>
      <c r="E1431" t="s">
        <v>6030</v>
      </c>
      <c r="F1431" t="s">
        <v>6035</v>
      </c>
      <c r="G1431" t="s">
        <v>6086</v>
      </c>
      <c r="H1431" t="s">
        <v>6098</v>
      </c>
      <c r="I1431">
        <v>4</v>
      </c>
      <c r="J1431">
        <v>11.8</v>
      </c>
      <c r="K1431" t="s">
        <v>6099</v>
      </c>
      <c r="L1431" t="s">
        <v>6100</v>
      </c>
      <c r="M1431" t="s">
        <v>6100</v>
      </c>
      <c r="O1431" t="s">
        <v>6101</v>
      </c>
      <c r="P1431" t="s">
        <v>6109</v>
      </c>
      <c r="Q1431">
        <v>3</v>
      </c>
      <c r="R1431">
        <v>2026</v>
      </c>
      <c r="S1431" t="s">
        <v>6100</v>
      </c>
      <c r="T1431">
        <v>0</v>
      </c>
      <c r="U1431" t="s">
        <v>6018</v>
      </c>
      <c r="V1431">
        <v>1</v>
      </c>
    </row>
    <row r="1432" spans="1:22" x14ac:dyDescent="0.3">
      <c r="A1432" t="s">
        <v>1447</v>
      </c>
      <c r="B1432" s="2">
        <v>46090.791666666664</v>
      </c>
      <c r="C1432" s="2">
        <v>46091.10833333333</v>
      </c>
      <c r="D1432" t="s">
        <v>6028</v>
      </c>
      <c r="E1432" t="s">
        <v>6029</v>
      </c>
      <c r="F1432" t="s">
        <v>6034</v>
      </c>
      <c r="G1432" t="s">
        <v>6073</v>
      </c>
      <c r="H1432" t="s">
        <v>6096</v>
      </c>
      <c r="I1432">
        <v>24</v>
      </c>
      <c r="J1432">
        <v>7.6</v>
      </c>
      <c r="K1432" t="s">
        <v>6100</v>
      </c>
      <c r="L1432" t="s">
        <v>6099</v>
      </c>
      <c r="M1432" t="s">
        <v>6100</v>
      </c>
      <c r="N1432">
        <v>3</v>
      </c>
      <c r="O1432" t="s">
        <v>6101</v>
      </c>
      <c r="P1432" t="s">
        <v>6109</v>
      </c>
      <c r="Q1432">
        <v>3</v>
      </c>
      <c r="R1432">
        <v>2026</v>
      </c>
      <c r="S1432" t="s">
        <v>6099</v>
      </c>
      <c r="T1432">
        <v>1</v>
      </c>
      <c r="U1432" t="s">
        <v>6018</v>
      </c>
      <c r="V1432">
        <v>0</v>
      </c>
    </row>
    <row r="1433" spans="1:22" x14ac:dyDescent="0.3">
      <c r="A1433" t="s">
        <v>1448</v>
      </c>
      <c r="B1433" s="2">
        <v>46090.791666666664</v>
      </c>
      <c r="C1433" s="2">
        <v>46092.633333333331</v>
      </c>
      <c r="D1433" t="s">
        <v>6028</v>
      </c>
      <c r="E1433" t="s">
        <v>6032</v>
      </c>
      <c r="F1433" t="s">
        <v>6035</v>
      </c>
      <c r="G1433" t="s">
        <v>6052</v>
      </c>
      <c r="H1433" t="s">
        <v>6098</v>
      </c>
      <c r="I1433">
        <v>4</v>
      </c>
      <c r="J1433">
        <v>44.2</v>
      </c>
      <c r="K1433" t="s">
        <v>6099</v>
      </c>
      <c r="L1433" t="s">
        <v>6100</v>
      </c>
      <c r="M1433" t="s">
        <v>6100</v>
      </c>
      <c r="O1433" t="s">
        <v>6101</v>
      </c>
      <c r="P1433" t="s">
        <v>6109</v>
      </c>
      <c r="Q1433">
        <v>3</v>
      </c>
      <c r="R1433">
        <v>2026</v>
      </c>
      <c r="S1433" t="s">
        <v>6100</v>
      </c>
      <c r="T1433">
        <v>0</v>
      </c>
      <c r="U1433" t="s">
        <v>6018</v>
      </c>
      <c r="V1433">
        <v>1</v>
      </c>
    </row>
    <row r="1434" spans="1:22" x14ac:dyDescent="0.3">
      <c r="A1434" t="s">
        <v>1449</v>
      </c>
      <c r="B1434" s="2">
        <v>46090.791666666664</v>
      </c>
      <c r="C1434" s="2">
        <v>46092.175000000003</v>
      </c>
      <c r="D1434" t="s">
        <v>6028</v>
      </c>
      <c r="E1434" t="s">
        <v>6029</v>
      </c>
      <c r="F1434" t="s">
        <v>6034</v>
      </c>
      <c r="G1434" t="s">
        <v>6049</v>
      </c>
      <c r="H1434" t="s">
        <v>6097</v>
      </c>
      <c r="I1434">
        <v>24</v>
      </c>
      <c r="J1434">
        <v>33.200000000000003</v>
      </c>
      <c r="K1434" t="s">
        <v>6099</v>
      </c>
      <c r="L1434" t="s">
        <v>6100</v>
      </c>
      <c r="M1434" t="s">
        <v>6100</v>
      </c>
      <c r="O1434" t="s">
        <v>6101</v>
      </c>
      <c r="P1434" t="s">
        <v>6109</v>
      </c>
      <c r="Q1434">
        <v>3</v>
      </c>
      <c r="R1434">
        <v>2026</v>
      </c>
      <c r="S1434" t="s">
        <v>6100</v>
      </c>
      <c r="T1434">
        <v>0</v>
      </c>
      <c r="U1434" t="s">
        <v>6018</v>
      </c>
      <c r="V1434">
        <v>1</v>
      </c>
    </row>
    <row r="1435" spans="1:22" x14ac:dyDescent="0.3">
      <c r="A1435" t="s">
        <v>1450</v>
      </c>
      <c r="B1435" s="2">
        <v>46090.791666666664</v>
      </c>
      <c r="C1435" s="2">
        <v>46091.237500000003</v>
      </c>
      <c r="D1435" t="s">
        <v>6028</v>
      </c>
      <c r="E1435" t="s">
        <v>6030</v>
      </c>
      <c r="F1435" t="s">
        <v>6034</v>
      </c>
      <c r="G1435" t="s">
        <v>6091</v>
      </c>
      <c r="H1435" t="s">
        <v>6097</v>
      </c>
      <c r="I1435">
        <v>24</v>
      </c>
      <c r="J1435">
        <v>10.7</v>
      </c>
      <c r="K1435" t="s">
        <v>6099</v>
      </c>
      <c r="L1435" t="s">
        <v>6100</v>
      </c>
      <c r="M1435" t="s">
        <v>6100</v>
      </c>
      <c r="N1435">
        <v>5</v>
      </c>
      <c r="O1435" t="s">
        <v>6101</v>
      </c>
      <c r="P1435" t="s">
        <v>6109</v>
      </c>
      <c r="Q1435">
        <v>3</v>
      </c>
      <c r="R1435">
        <v>2026</v>
      </c>
      <c r="S1435" t="s">
        <v>6099</v>
      </c>
      <c r="T1435">
        <v>1</v>
      </c>
      <c r="U1435" t="s">
        <v>6018</v>
      </c>
      <c r="V1435">
        <v>1</v>
      </c>
    </row>
    <row r="1436" spans="1:22" x14ac:dyDescent="0.3">
      <c r="A1436" t="s">
        <v>1451</v>
      </c>
      <c r="B1436" s="2">
        <v>46090.791666666664</v>
      </c>
      <c r="C1436" s="2">
        <v>46094.137499999997</v>
      </c>
      <c r="D1436" t="s">
        <v>6028</v>
      </c>
      <c r="E1436" t="s">
        <v>6031</v>
      </c>
      <c r="F1436" t="s">
        <v>6035</v>
      </c>
      <c r="G1436" t="s">
        <v>6069</v>
      </c>
      <c r="H1436" t="s">
        <v>6098</v>
      </c>
      <c r="I1436">
        <v>4</v>
      </c>
      <c r="J1436">
        <v>80.3</v>
      </c>
      <c r="K1436" t="s">
        <v>6099</v>
      </c>
      <c r="L1436" t="s">
        <v>6100</v>
      </c>
      <c r="M1436" t="s">
        <v>6100</v>
      </c>
      <c r="N1436">
        <v>4</v>
      </c>
      <c r="O1436" t="s">
        <v>6101</v>
      </c>
      <c r="P1436" t="s">
        <v>6109</v>
      </c>
      <c r="Q1436">
        <v>3</v>
      </c>
      <c r="R1436">
        <v>2026</v>
      </c>
      <c r="S1436" t="s">
        <v>6100</v>
      </c>
      <c r="T1436">
        <v>0</v>
      </c>
      <c r="U1436" t="s">
        <v>6018</v>
      </c>
      <c r="V1436">
        <v>1</v>
      </c>
    </row>
    <row r="1437" spans="1:22" x14ac:dyDescent="0.3">
      <c r="A1437" t="s">
        <v>1452</v>
      </c>
      <c r="B1437" s="2">
        <v>46090.791666666664</v>
      </c>
      <c r="C1437" s="2">
        <v>46095.645833333336</v>
      </c>
      <c r="D1437" t="s">
        <v>6028</v>
      </c>
      <c r="E1437" t="s">
        <v>6031</v>
      </c>
      <c r="F1437" t="s">
        <v>6035</v>
      </c>
      <c r="G1437" t="s">
        <v>6048</v>
      </c>
      <c r="H1437" t="s">
        <v>6096</v>
      </c>
      <c r="I1437">
        <v>4</v>
      </c>
      <c r="J1437">
        <v>116.5</v>
      </c>
      <c r="K1437" t="s">
        <v>6100</v>
      </c>
      <c r="L1437" t="s">
        <v>6100</v>
      </c>
      <c r="M1437" t="s">
        <v>6099</v>
      </c>
      <c r="O1437" t="s">
        <v>6101</v>
      </c>
      <c r="P1437" t="s">
        <v>6109</v>
      </c>
      <c r="Q1437">
        <v>3</v>
      </c>
      <c r="R1437">
        <v>2026</v>
      </c>
      <c r="S1437" t="s">
        <v>6100</v>
      </c>
      <c r="T1437">
        <v>0</v>
      </c>
      <c r="U1437" t="s">
        <v>6018</v>
      </c>
      <c r="V1437">
        <v>0</v>
      </c>
    </row>
    <row r="1438" spans="1:22" x14ac:dyDescent="0.3">
      <c r="A1438" t="s">
        <v>1453</v>
      </c>
      <c r="B1438" s="2">
        <v>46090.82916666667</v>
      </c>
      <c r="C1438" s="2">
        <v>46091.324999999997</v>
      </c>
      <c r="D1438" t="s">
        <v>6027</v>
      </c>
      <c r="E1438" t="s">
        <v>6029</v>
      </c>
      <c r="F1438" t="s">
        <v>6033</v>
      </c>
      <c r="G1438" t="s">
        <v>6037</v>
      </c>
      <c r="H1438" t="s">
        <v>6096</v>
      </c>
      <c r="I1438">
        <v>72</v>
      </c>
      <c r="J1438">
        <v>11.9</v>
      </c>
      <c r="K1438" t="s">
        <v>6099</v>
      </c>
      <c r="L1438" t="s">
        <v>6100</v>
      </c>
      <c r="M1438" t="s">
        <v>6100</v>
      </c>
      <c r="N1438">
        <v>4</v>
      </c>
      <c r="O1438" t="s">
        <v>6101</v>
      </c>
      <c r="P1438" t="s">
        <v>6109</v>
      </c>
      <c r="Q1438">
        <v>3</v>
      </c>
      <c r="R1438">
        <v>2026</v>
      </c>
      <c r="S1438" t="s">
        <v>6099</v>
      </c>
      <c r="T1438">
        <v>1</v>
      </c>
      <c r="U1438" t="s">
        <v>6021</v>
      </c>
      <c r="V1438">
        <v>1</v>
      </c>
    </row>
    <row r="1439" spans="1:22" x14ac:dyDescent="0.3">
      <c r="A1439" t="s">
        <v>1454</v>
      </c>
      <c r="B1439" s="2">
        <v>46090.833333333336</v>
      </c>
      <c r="C1439" s="2">
        <v>46091.466666666667</v>
      </c>
      <c r="D1439" t="s">
        <v>6028</v>
      </c>
      <c r="E1439" t="s">
        <v>6030</v>
      </c>
      <c r="F1439" t="s">
        <v>6035</v>
      </c>
      <c r="G1439" t="s">
        <v>6082</v>
      </c>
      <c r="H1439" t="s">
        <v>6097</v>
      </c>
      <c r="I1439">
        <v>4</v>
      </c>
      <c r="J1439">
        <v>15.2</v>
      </c>
      <c r="K1439" t="s">
        <v>6099</v>
      </c>
      <c r="L1439" t="s">
        <v>6100</v>
      </c>
      <c r="M1439" t="s">
        <v>6100</v>
      </c>
      <c r="O1439" t="s">
        <v>6101</v>
      </c>
      <c r="P1439" t="s">
        <v>6109</v>
      </c>
      <c r="Q1439">
        <v>3</v>
      </c>
      <c r="R1439">
        <v>2026</v>
      </c>
      <c r="S1439" t="s">
        <v>6100</v>
      </c>
      <c r="T1439">
        <v>0</v>
      </c>
      <c r="U1439" t="s">
        <v>6018</v>
      </c>
      <c r="V1439">
        <v>1</v>
      </c>
    </row>
    <row r="1440" spans="1:22" x14ac:dyDescent="0.3">
      <c r="A1440" t="s">
        <v>1455</v>
      </c>
      <c r="B1440" s="2">
        <v>46090.875</v>
      </c>
      <c r="C1440" s="2">
        <v>46092</v>
      </c>
      <c r="D1440" t="s">
        <v>6028</v>
      </c>
      <c r="E1440" t="s">
        <v>6029</v>
      </c>
      <c r="F1440" t="s">
        <v>6035</v>
      </c>
      <c r="G1440" t="s">
        <v>6037</v>
      </c>
      <c r="H1440" t="s">
        <v>6096</v>
      </c>
      <c r="I1440">
        <v>4</v>
      </c>
      <c r="J1440">
        <v>27</v>
      </c>
      <c r="K1440" t="s">
        <v>6099</v>
      </c>
      <c r="L1440" t="s">
        <v>6100</v>
      </c>
      <c r="M1440" t="s">
        <v>6100</v>
      </c>
      <c r="N1440">
        <v>4</v>
      </c>
      <c r="O1440" t="s">
        <v>6101</v>
      </c>
      <c r="P1440" t="s">
        <v>6109</v>
      </c>
      <c r="Q1440">
        <v>3</v>
      </c>
      <c r="R1440">
        <v>2026</v>
      </c>
      <c r="S1440" t="s">
        <v>6100</v>
      </c>
      <c r="T1440">
        <v>0</v>
      </c>
      <c r="U1440" t="s">
        <v>6018</v>
      </c>
      <c r="V1440">
        <v>1</v>
      </c>
    </row>
    <row r="1441" spans="1:22" x14ac:dyDescent="0.3">
      <c r="A1441" t="s">
        <v>1456</v>
      </c>
      <c r="B1441" s="2">
        <v>46090.875</v>
      </c>
      <c r="C1441" s="2">
        <v>46093.179166666669</v>
      </c>
      <c r="D1441" t="s">
        <v>6028</v>
      </c>
      <c r="E1441" t="s">
        <v>6029</v>
      </c>
      <c r="F1441" t="s">
        <v>6034</v>
      </c>
      <c r="G1441" t="s">
        <v>6062</v>
      </c>
      <c r="H1441" t="s">
        <v>6096</v>
      </c>
      <c r="I1441">
        <v>24</v>
      </c>
      <c r="J1441">
        <v>55.3</v>
      </c>
      <c r="K1441" t="s">
        <v>6100</v>
      </c>
      <c r="L1441" t="s">
        <v>6100</v>
      </c>
      <c r="M1441" t="s">
        <v>6100</v>
      </c>
      <c r="N1441">
        <v>2</v>
      </c>
      <c r="O1441" t="s">
        <v>6101</v>
      </c>
      <c r="P1441" t="s">
        <v>6109</v>
      </c>
      <c r="Q1441">
        <v>3</v>
      </c>
      <c r="R1441">
        <v>2026</v>
      </c>
      <c r="S1441" t="s">
        <v>6100</v>
      </c>
      <c r="T1441">
        <v>0</v>
      </c>
      <c r="U1441" t="s">
        <v>6018</v>
      </c>
      <c r="V1441">
        <v>0</v>
      </c>
    </row>
    <row r="1442" spans="1:22" x14ac:dyDescent="0.3">
      <c r="A1442" t="s">
        <v>1457</v>
      </c>
      <c r="B1442" s="2">
        <v>46090.875</v>
      </c>
      <c r="C1442" s="2">
        <v>46092.5625</v>
      </c>
      <c r="D1442" t="s">
        <v>6028</v>
      </c>
      <c r="E1442" t="s">
        <v>6031</v>
      </c>
      <c r="F1442" t="s">
        <v>6033</v>
      </c>
      <c r="G1442" t="s">
        <v>6060</v>
      </c>
      <c r="H1442" t="s">
        <v>6097</v>
      </c>
      <c r="I1442">
        <v>72</v>
      </c>
      <c r="J1442">
        <v>40.5</v>
      </c>
      <c r="K1442" t="s">
        <v>6099</v>
      </c>
      <c r="L1442" t="s">
        <v>6100</v>
      </c>
      <c r="M1442" t="s">
        <v>6100</v>
      </c>
      <c r="N1442">
        <v>5</v>
      </c>
      <c r="O1442" t="s">
        <v>6101</v>
      </c>
      <c r="P1442" t="s">
        <v>6109</v>
      </c>
      <c r="Q1442">
        <v>3</v>
      </c>
      <c r="R1442">
        <v>2026</v>
      </c>
      <c r="S1442" t="s">
        <v>6099</v>
      </c>
      <c r="T1442">
        <v>1</v>
      </c>
      <c r="U1442" t="s">
        <v>6018</v>
      </c>
      <c r="V1442">
        <v>1</v>
      </c>
    </row>
    <row r="1443" spans="1:22" x14ac:dyDescent="0.3">
      <c r="A1443" t="s">
        <v>1458</v>
      </c>
      <c r="B1443" s="2">
        <v>46090.878472222219</v>
      </c>
      <c r="C1443" s="2">
        <v>46091.420138888891</v>
      </c>
      <c r="D1443" t="s">
        <v>6023</v>
      </c>
      <c r="E1443" t="s">
        <v>6032</v>
      </c>
      <c r="F1443" t="s">
        <v>6033</v>
      </c>
      <c r="G1443" t="s">
        <v>6086</v>
      </c>
      <c r="H1443" t="s">
        <v>6098</v>
      </c>
      <c r="I1443">
        <v>72</v>
      </c>
      <c r="J1443">
        <v>13</v>
      </c>
      <c r="K1443" t="s">
        <v>6100</v>
      </c>
      <c r="L1443" t="s">
        <v>6099</v>
      </c>
      <c r="M1443" t="s">
        <v>6100</v>
      </c>
      <c r="O1443" t="s">
        <v>6101</v>
      </c>
      <c r="P1443" t="s">
        <v>6109</v>
      </c>
      <c r="Q1443">
        <v>3</v>
      </c>
      <c r="R1443">
        <v>2026</v>
      </c>
      <c r="S1443" t="s">
        <v>6099</v>
      </c>
      <c r="T1443">
        <v>1</v>
      </c>
      <c r="U1443" t="s">
        <v>6018</v>
      </c>
      <c r="V1443">
        <v>0</v>
      </c>
    </row>
    <row r="1444" spans="1:22" x14ac:dyDescent="0.3">
      <c r="A1444" t="s">
        <v>1459</v>
      </c>
      <c r="B1444" s="2">
        <v>46091.297222222223</v>
      </c>
      <c r="C1444" s="2">
        <v>46091.730555555558</v>
      </c>
      <c r="D1444" t="s">
        <v>6025</v>
      </c>
      <c r="E1444" t="s">
        <v>6029</v>
      </c>
      <c r="F1444" t="s">
        <v>6034</v>
      </c>
      <c r="G1444" t="s">
        <v>6038</v>
      </c>
      <c r="H1444" t="s">
        <v>6096</v>
      </c>
      <c r="I1444">
        <v>24</v>
      </c>
      <c r="J1444">
        <v>10.4</v>
      </c>
      <c r="K1444" t="s">
        <v>6100</v>
      </c>
      <c r="L1444" t="s">
        <v>6100</v>
      </c>
      <c r="M1444" t="s">
        <v>6099</v>
      </c>
      <c r="N1444">
        <v>5</v>
      </c>
      <c r="O1444" t="s">
        <v>6101</v>
      </c>
      <c r="P1444" t="s">
        <v>6109</v>
      </c>
      <c r="Q1444">
        <v>3</v>
      </c>
      <c r="R1444">
        <v>2026</v>
      </c>
      <c r="S1444" t="s">
        <v>6099</v>
      </c>
      <c r="T1444">
        <v>1</v>
      </c>
      <c r="U1444" t="s">
        <v>6021</v>
      </c>
      <c r="V1444">
        <v>0</v>
      </c>
    </row>
    <row r="1445" spans="1:22" x14ac:dyDescent="0.3">
      <c r="A1445" t="s">
        <v>1460</v>
      </c>
      <c r="B1445" s="2">
        <v>46091.329861111109</v>
      </c>
      <c r="C1445" s="2">
        <v>46091.950694444444</v>
      </c>
      <c r="D1445" t="s">
        <v>6027</v>
      </c>
      <c r="E1445" t="s">
        <v>6031</v>
      </c>
      <c r="F1445" t="s">
        <v>6034</v>
      </c>
      <c r="G1445" t="s">
        <v>6079</v>
      </c>
      <c r="H1445" t="s">
        <v>6097</v>
      </c>
      <c r="I1445">
        <v>24</v>
      </c>
      <c r="J1445">
        <v>14.9</v>
      </c>
      <c r="K1445" t="s">
        <v>6099</v>
      </c>
      <c r="L1445" t="s">
        <v>6100</v>
      </c>
      <c r="M1445" t="s">
        <v>6100</v>
      </c>
      <c r="N1445">
        <v>3</v>
      </c>
      <c r="O1445" t="s">
        <v>6101</v>
      </c>
      <c r="P1445" t="s">
        <v>6109</v>
      </c>
      <c r="Q1445">
        <v>3</v>
      </c>
      <c r="R1445">
        <v>2026</v>
      </c>
      <c r="S1445" t="s">
        <v>6099</v>
      </c>
      <c r="T1445">
        <v>1</v>
      </c>
      <c r="U1445" t="s">
        <v>6021</v>
      </c>
      <c r="V1445">
        <v>1</v>
      </c>
    </row>
    <row r="1446" spans="1:22" x14ac:dyDescent="0.3">
      <c r="A1446" t="s">
        <v>1461</v>
      </c>
      <c r="B1446" s="2">
        <v>46091.333333333336</v>
      </c>
      <c r="C1446" s="2">
        <v>46093.762499999997</v>
      </c>
      <c r="D1446" t="s">
        <v>6028</v>
      </c>
      <c r="E1446" t="s">
        <v>6030</v>
      </c>
      <c r="F1446" t="s">
        <v>6035</v>
      </c>
      <c r="G1446" t="s">
        <v>6069</v>
      </c>
      <c r="H1446" t="s">
        <v>6098</v>
      </c>
      <c r="I1446">
        <v>4</v>
      </c>
      <c r="J1446">
        <v>58.3</v>
      </c>
      <c r="K1446" t="s">
        <v>6099</v>
      </c>
      <c r="L1446" t="s">
        <v>6100</v>
      </c>
      <c r="M1446" t="s">
        <v>6100</v>
      </c>
      <c r="N1446">
        <v>4</v>
      </c>
      <c r="O1446" t="s">
        <v>6101</v>
      </c>
      <c r="P1446" t="s">
        <v>6109</v>
      </c>
      <c r="Q1446">
        <v>3</v>
      </c>
      <c r="R1446">
        <v>2026</v>
      </c>
      <c r="S1446" t="s">
        <v>6100</v>
      </c>
      <c r="T1446">
        <v>0</v>
      </c>
      <c r="U1446" t="s">
        <v>6018</v>
      </c>
      <c r="V1446">
        <v>1</v>
      </c>
    </row>
    <row r="1447" spans="1:22" x14ac:dyDescent="0.3">
      <c r="A1447" t="s">
        <v>1462</v>
      </c>
      <c r="B1447" s="2">
        <v>46091.333333333336</v>
      </c>
      <c r="C1447" s="2">
        <v>46092.620833333334</v>
      </c>
      <c r="D1447" t="s">
        <v>6028</v>
      </c>
      <c r="E1447" t="s">
        <v>6031</v>
      </c>
      <c r="F1447" t="s">
        <v>6034</v>
      </c>
      <c r="G1447" t="s">
        <v>6074</v>
      </c>
      <c r="H1447" t="s">
        <v>6098</v>
      </c>
      <c r="I1447">
        <v>24</v>
      </c>
      <c r="J1447">
        <v>30.9</v>
      </c>
      <c r="K1447" t="s">
        <v>6099</v>
      </c>
      <c r="L1447" t="s">
        <v>6100</v>
      </c>
      <c r="M1447" t="s">
        <v>6100</v>
      </c>
      <c r="N1447">
        <v>3</v>
      </c>
      <c r="O1447" t="s">
        <v>6101</v>
      </c>
      <c r="P1447" t="s">
        <v>6109</v>
      </c>
      <c r="Q1447">
        <v>3</v>
      </c>
      <c r="R1447">
        <v>2026</v>
      </c>
      <c r="S1447" t="s">
        <v>6100</v>
      </c>
      <c r="T1447">
        <v>0</v>
      </c>
      <c r="U1447" t="s">
        <v>6018</v>
      </c>
      <c r="V1447">
        <v>1</v>
      </c>
    </row>
    <row r="1448" spans="1:22" x14ac:dyDescent="0.3">
      <c r="A1448" t="s">
        <v>1463</v>
      </c>
      <c r="B1448" s="2">
        <v>46091.333333333336</v>
      </c>
      <c r="C1448" s="2">
        <v>46094.604166666664</v>
      </c>
      <c r="D1448" t="s">
        <v>6028</v>
      </c>
      <c r="E1448" t="s">
        <v>6031</v>
      </c>
      <c r="F1448" t="s">
        <v>6035</v>
      </c>
      <c r="G1448" t="s">
        <v>6065</v>
      </c>
      <c r="H1448" t="s">
        <v>6097</v>
      </c>
      <c r="I1448">
        <v>4</v>
      </c>
      <c r="J1448">
        <v>78.5</v>
      </c>
      <c r="K1448" t="s">
        <v>6099</v>
      </c>
      <c r="L1448" t="s">
        <v>6100</v>
      </c>
      <c r="M1448" t="s">
        <v>6099</v>
      </c>
      <c r="N1448">
        <v>4</v>
      </c>
      <c r="O1448" t="s">
        <v>6101</v>
      </c>
      <c r="P1448" t="s">
        <v>6109</v>
      </c>
      <c r="Q1448">
        <v>3</v>
      </c>
      <c r="R1448">
        <v>2026</v>
      </c>
      <c r="S1448" t="s">
        <v>6100</v>
      </c>
      <c r="T1448">
        <v>0</v>
      </c>
      <c r="U1448" t="s">
        <v>6018</v>
      </c>
      <c r="V1448">
        <v>1</v>
      </c>
    </row>
    <row r="1449" spans="1:22" x14ac:dyDescent="0.3">
      <c r="A1449" t="s">
        <v>1464</v>
      </c>
      <c r="B1449" s="2">
        <v>46091.378472222219</v>
      </c>
      <c r="C1449" s="2">
        <v>46096.415972222225</v>
      </c>
      <c r="D1449" t="s">
        <v>6026</v>
      </c>
      <c r="E1449" t="s">
        <v>6029</v>
      </c>
      <c r="F1449" t="s">
        <v>6033</v>
      </c>
      <c r="G1449" t="s">
        <v>6066</v>
      </c>
      <c r="H1449" t="s">
        <v>6096</v>
      </c>
      <c r="I1449">
        <v>72</v>
      </c>
      <c r="J1449">
        <v>120.9</v>
      </c>
      <c r="K1449" t="s">
        <v>6100</v>
      </c>
      <c r="L1449" t="s">
        <v>6099</v>
      </c>
      <c r="M1449" t="s">
        <v>6100</v>
      </c>
      <c r="N1449">
        <v>3</v>
      </c>
      <c r="O1449" t="s">
        <v>6101</v>
      </c>
      <c r="P1449" t="s">
        <v>6109</v>
      </c>
      <c r="Q1449">
        <v>3</v>
      </c>
      <c r="R1449">
        <v>2026</v>
      </c>
      <c r="S1449" t="s">
        <v>6100</v>
      </c>
      <c r="T1449">
        <v>0</v>
      </c>
      <c r="U1449" t="s">
        <v>6018</v>
      </c>
      <c r="V1449">
        <v>0</v>
      </c>
    </row>
    <row r="1450" spans="1:22" x14ac:dyDescent="0.3">
      <c r="A1450" t="s">
        <v>1465</v>
      </c>
      <c r="B1450" s="2">
        <v>46091.393055555556</v>
      </c>
      <c r="C1450" s="2">
        <v>46092.601388888892</v>
      </c>
      <c r="D1450" t="s">
        <v>6022</v>
      </c>
      <c r="E1450" t="s">
        <v>6032</v>
      </c>
      <c r="F1450" t="s">
        <v>6033</v>
      </c>
      <c r="G1450" t="s">
        <v>6094</v>
      </c>
      <c r="H1450" t="s">
        <v>6098</v>
      </c>
      <c r="I1450">
        <v>72</v>
      </c>
      <c r="J1450">
        <v>29</v>
      </c>
      <c r="K1450" t="s">
        <v>6099</v>
      </c>
      <c r="L1450" t="s">
        <v>6100</v>
      </c>
      <c r="M1450" t="s">
        <v>6100</v>
      </c>
      <c r="N1450">
        <v>5</v>
      </c>
      <c r="O1450" t="s">
        <v>6101</v>
      </c>
      <c r="P1450" t="s">
        <v>6109</v>
      </c>
      <c r="Q1450">
        <v>3</v>
      </c>
      <c r="R1450">
        <v>2026</v>
      </c>
      <c r="S1450" t="s">
        <v>6099</v>
      </c>
      <c r="T1450">
        <v>1</v>
      </c>
      <c r="U1450" t="s">
        <v>6018</v>
      </c>
      <c r="V1450">
        <v>1</v>
      </c>
    </row>
    <row r="1451" spans="1:22" x14ac:dyDescent="0.3">
      <c r="A1451" t="s">
        <v>1466</v>
      </c>
      <c r="B1451" s="2">
        <v>46091.409722222219</v>
      </c>
      <c r="C1451" s="2">
        <v>46096.347222222219</v>
      </c>
      <c r="D1451" t="s">
        <v>6026</v>
      </c>
      <c r="E1451" t="s">
        <v>6029</v>
      </c>
      <c r="F1451" t="s">
        <v>6034</v>
      </c>
      <c r="G1451" t="s">
        <v>6085</v>
      </c>
      <c r="H1451" t="s">
        <v>6097</v>
      </c>
      <c r="I1451">
        <v>24</v>
      </c>
      <c r="J1451">
        <v>118.5</v>
      </c>
      <c r="K1451" t="s">
        <v>6099</v>
      </c>
      <c r="L1451" t="s">
        <v>6100</v>
      </c>
      <c r="M1451" t="s">
        <v>6100</v>
      </c>
      <c r="N1451">
        <v>3</v>
      </c>
      <c r="O1451" t="s">
        <v>6101</v>
      </c>
      <c r="P1451" t="s">
        <v>6109</v>
      </c>
      <c r="Q1451">
        <v>3</v>
      </c>
      <c r="R1451">
        <v>2026</v>
      </c>
      <c r="S1451" t="s">
        <v>6100</v>
      </c>
      <c r="T1451">
        <v>0</v>
      </c>
      <c r="U1451" t="s">
        <v>6017</v>
      </c>
      <c r="V1451">
        <v>1</v>
      </c>
    </row>
    <row r="1452" spans="1:22" x14ac:dyDescent="0.3">
      <c r="A1452" t="s">
        <v>1467</v>
      </c>
      <c r="B1452" s="2">
        <v>46091.416666666664</v>
      </c>
      <c r="C1452" s="2">
        <v>46098.133333333331</v>
      </c>
      <c r="D1452" t="s">
        <v>6028</v>
      </c>
      <c r="E1452" t="s">
        <v>6031</v>
      </c>
      <c r="F1452" t="s">
        <v>6035</v>
      </c>
      <c r="G1452" t="s">
        <v>6040</v>
      </c>
      <c r="H1452" t="s">
        <v>6097</v>
      </c>
      <c r="I1452">
        <v>4</v>
      </c>
      <c r="J1452">
        <v>161.19999999999999</v>
      </c>
      <c r="K1452" t="s">
        <v>6099</v>
      </c>
      <c r="L1452" t="s">
        <v>6100</v>
      </c>
      <c r="M1452" t="s">
        <v>6100</v>
      </c>
      <c r="N1452">
        <v>3</v>
      </c>
      <c r="O1452" t="s">
        <v>6101</v>
      </c>
      <c r="P1452" t="s">
        <v>6109</v>
      </c>
      <c r="Q1452">
        <v>3</v>
      </c>
      <c r="R1452">
        <v>2026</v>
      </c>
      <c r="S1452" t="s">
        <v>6100</v>
      </c>
      <c r="T1452">
        <v>0</v>
      </c>
      <c r="U1452" t="s">
        <v>6018</v>
      </c>
      <c r="V1452">
        <v>1</v>
      </c>
    </row>
    <row r="1453" spans="1:22" x14ac:dyDescent="0.3">
      <c r="A1453" t="s">
        <v>1468</v>
      </c>
      <c r="B1453" s="2">
        <v>46091.416666666664</v>
      </c>
      <c r="C1453" s="2">
        <v>46092.883333333331</v>
      </c>
      <c r="D1453" t="s">
        <v>6028</v>
      </c>
      <c r="E1453" t="s">
        <v>6030</v>
      </c>
      <c r="F1453" t="s">
        <v>6035</v>
      </c>
      <c r="G1453" t="s">
        <v>6041</v>
      </c>
      <c r="H1453" t="s">
        <v>6096</v>
      </c>
      <c r="I1453">
        <v>4</v>
      </c>
      <c r="J1453">
        <v>35.200000000000003</v>
      </c>
      <c r="K1453" t="s">
        <v>6099</v>
      </c>
      <c r="L1453" t="s">
        <v>6100</v>
      </c>
      <c r="M1453" t="s">
        <v>6099</v>
      </c>
      <c r="N1453">
        <v>4</v>
      </c>
      <c r="O1453" t="s">
        <v>6101</v>
      </c>
      <c r="P1453" t="s">
        <v>6109</v>
      </c>
      <c r="Q1453">
        <v>3</v>
      </c>
      <c r="R1453">
        <v>2026</v>
      </c>
      <c r="S1453" t="s">
        <v>6100</v>
      </c>
      <c r="T1453">
        <v>0</v>
      </c>
      <c r="U1453" t="s">
        <v>6018</v>
      </c>
      <c r="V1453">
        <v>1</v>
      </c>
    </row>
    <row r="1454" spans="1:22" x14ac:dyDescent="0.3">
      <c r="A1454" t="s">
        <v>1469</v>
      </c>
      <c r="B1454" s="2">
        <v>46091.416666666664</v>
      </c>
      <c r="C1454" s="2">
        <v>46091.941666666666</v>
      </c>
      <c r="D1454" t="s">
        <v>6028</v>
      </c>
      <c r="E1454" t="s">
        <v>6029</v>
      </c>
      <c r="F1454" t="s">
        <v>6035</v>
      </c>
      <c r="G1454" t="s">
        <v>6066</v>
      </c>
      <c r="H1454" t="s">
        <v>6096</v>
      </c>
      <c r="I1454">
        <v>4</v>
      </c>
      <c r="J1454">
        <v>12.6</v>
      </c>
      <c r="K1454" t="s">
        <v>6100</v>
      </c>
      <c r="L1454" t="s">
        <v>6099</v>
      </c>
      <c r="M1454" t="s">
        <v>6099</v>
      </c>
      <c r="N1454">
        <v>2</v>
      </c>
      <c r="O1454" t="s">
        <v>6101</v>
      </c>
      <c r="P1454" t="s">
        <v>6109</v>
      </c>
      <c r="Q1454">
        <v>3</v>
      </c>
      <c r="R1454">
        <v>2026</v>
      </c>
      <c r="S1454" t="s">
        <v>6100</v>
      </c>
      <c r="T1454">
        <v>0</v>
      </c>
      <c r="U1454" t="s">
        <v>6018</v>
      </c>
      <c r="V1454">
        <v>0</v>
      </c>
    </row>
    <row r="1455" spans="1:22" x14ac:dyDescent="0.3">
      <c r="A1455" t="s">
        <v>1470</v>
      </c>
      <c r="B1455" s="2">
        <v>46091.425694444442</v>
      </c>
      <c r="C1455" s="2">
        <v>46091.834027777775</v>
      </c>
      <c r="D1455" t="s">
        <v>6023</v>
      </c>
      <c r="E1455" t="s">
        <v>6030</v>
      </c>
      <c r="F1455" t="s">
        <v>6034</v>
      </c>
      <c r="G1455" t="s">
        <v>6041</v>
      </c>
      <c r="H1455" t="s">
        <v>6096</v>
      </c>
      <c r="I1455">
        <v>24</v>
      </c>
      <c r="J1455">
        <v>9.8000000000000007</v>
      </c>
      <c r="K1455" t="s">
        <v>6100</v>
      </c>
      <c r="L1455" t="s">
        <v>6100</v>
      </c>
      <c r="M1455" t="s">
        <v>6100</v>
      </c>
      <c r="O1455" t="s">
        <v>6101</v>
      </c>
      <c r="P1455" t="s">
        <v>6109</v>
      </c>
      <c r="Q1455">
        <v>3</v>
      </c>
      <c r="R1455">
        <v>2026</v>
      </c>
      <c r="S1455" t="s">
        <v>6099</v>
      </c>
      <c r="T1455">
        <v>1</v>
      </c>
      <c r="U1455" t="s">
        <v>6020</v>
      </c>
      <c r="V1455">
        <v>0</v>
      </c>
    </row>
    <row r="1456" spans="1:22" x14ac:dyDescent="0.3">
      <c r="A1456" t="s">
        <v>1471</v>
      </c>
      <c r="B1456" s="2">
        <v>46091.425694444442</v>
      </c>
      <c r="C1456" s="2">
        <v>46091.609027777777</v>
      </c>
      <c r="D1456" t="s">
        <v>6023</v>
      </c>
      <c r="E1456" t="s">
        <v>6029</v>
      </c>
      <c r="F1456" t="s">
        <v>6033</v>
      </c>
      <c r="G1456" t="s">
        <v>6042</v>
      </c>
      <c r="H1456" t="s">
        <v>6098</v>
      </c>
      <c r="I1456">
        <v>72</v>
      </c>
      <c r="J1456">
        <v>4.4000000000000004</v>
      </c>
      <c r="K1456" t="s">
        <v>6100</v>
      </c>
      <c r="L1456" t="s">
        <v>6099</v>
      </c>
      <c r="M1456" t="s">
        <v>6100</v>
      </c>
      <c r="N1456">
        <v>5</v>
      </c>
      <c r="O1456" t="s">
        <v>6101</v>
      </c>
      <c r="P1456" t="s">
        <v>6109</v>
      </c>
      <c r="Q1456">
        <v>3</v>
      </c>
      <c r="R1456">
        <v>2026</v>
      </c>
      <c r="S1456" t="s">
        <v>6099</v>
      </c>
      <c r="T1456">
        <v>1</v>
      </c>
      <c r="U1456" t="s">
        <v>6018</v>
      </c>
      <c r="V1456">
        <v>0</v>
      </c>
    </row>
    <row r="1457" spans="1:22" x14ac:dyDescent="0.3">
      <c r="A1457" t="s">
        <v>1472</v>
      </c>
      <c r="B1457" s="2">
        <v>46091.454861111109</v>
      </c>
      <c r="C1457" s="2">
        <v>46091.53402777778</v>
      </c>
      <c r="D1457" t="s">
        <v>6023</v>
      </c>
      <c r="E1457" t="s">
        <v>6030</v>
      </c>
      <c r="F1457" t="s">
        <v>6034</v>
      </c>
      <c r="G1457" t="s">
        <v>6081</v>
      </c>
      <c r="H1457" t="s">
        <v>6098</v>
      </c>
      <c r="I1457">
        <v>24</v>
      </c>
      <c r="J1457">
        <v>1.9</v>
      </c>
      <c r="K1457" t="s">
        <v>6099</v>
      </c>
      <c r="L1457" t="s">
        <v>6100</v>
      </c>
      <c r="M1457" t="s">
        <v>6100</v>
      </c>
      <c r="N1457">
        <v>4</v>
      </c>
      <c r="O1457" t="s">
        <v>6101</v>
      </c>
      <c r="P1457" t="s">
        <v>6109</v>
      </c>
      <c r="Q1457">
        <v>3</v>
      </c>
      <c r="R1457">
        <v>2026</v>
      </c>
      <c r="S1457" t="s">
        <v>6099</v>
      </c>
      <c r="T1457">
        <v>1</v>
      </c>
      <c r="U1457" t="s">
        <v>6020</v>
      </c>
      <c r="V1457">
        <v>1</v>
      </c>
    </row>
    <row r="1458" spans="1:22" x14ac:dyDescent="0.3">
      <c r="A1458" t="s">
        <v>1473</v>
      </c>
      <c r="B1458" s="2">
        <v>46091.458333333336</v>
      </c>
      <c r="C1458" s="2">
        <v>46092.14166666667</v>
      </c>
      <c r="D1458" t="s">
        <v>6028</v>
      </c>
      <c r="E1458" t="s">
        <v>6029</v>
      </c>
      <c r="F1458" t="s">
        <v>6034</v>
      </c>
      <c r="G1458" t="s">
        <v>6058</v>
      </c>
      <c r="H1458" t="s">
        <v>6098</v>
      </c>
      <c r="I1458">
        <v>24</v>
      </c>
      <c r="J1458">
        <v>16.399999999999999</v>
      </c>
      <c r="K1458" t="s">
        <v>6099</v>
      </c>
      <c r="L1458" t="s">
        <v>6100</v>
      </c>
      <c r="M1458" t="s">
        <v>6100</v>
      </c>
      <c r="N1458">
        <v>3</v>
      </c>
      <c r="O1458" t="s">
        <v>6101</v>
      </c>
      <c r="P1458" t="s">
        <v>6109</v>
      </c>
      <c r="Q1458">
        <v>3</v>
      </c>
      <c r="R1458">
        <v>2026</v>
      </c>
      <c r="S1458" t="s">
        <v>6099</v>
      </c>
      <c r="T1458">
        <v>1</v>
      </c>
      <c r="U1458" t="s">
        <v>6018</v>
      </c>
      <c r="V1458">
        <v>1</v>
      </c>
    </row>
    <row r="1459" spans="1:22" x14ac:dyDescent="0.3">
      <c r="A1459" t="s">
        <v>1474</v>
      </c>
      <c r="B1459" s="2">
        <v>46091.458333333336</v>
      </c>
      <c r="C1459" s="2">
        <v>46092.004166666666</v>
      </c>
      <c r="D1459" t="s">
        <v>6028</v>
      </c>
      <c r="E1459" t="s">
        <v>6029</v>
      </c>
      <c r="F1459" t="s">
        <v>6035</v>
      </c>
      <c r="G1459" t="s">
        <v>6057</v>
      </c>
      <c r="H1459" t="s">
        <v>6097</v>
      </c>
      <c r="I1459">
        <v>4</v>
      </c>
      <c r="J1459">
        <v>13.1</v>
      </c>
      <c r="K1459" t="s">
        <v>6099</v>
      </c>
      <c r="L1459" t="s">
        <v>6100</v>
      </c>
      <c r="M1459" t="s">
        <v>6100</v>
      </c>
      <c r="O1459" t="s">
        <v>6101</v>
      </c>
      <c r="P1459" t="s">
        <v>6109</v>
      </c>
      <c r="Q1459">
        <v>3</v>
      </c>
      <c r="R1459">
        <v>2026</v>
      </c>
      <c r="S1459" t="s">
        <v>6100</v>
      </c>
      <c r="T1459">
        <v>0</v>
      </c>
      <c r="U1459" t="s">
        <v>6018</v>
      </c>
      <c r="V1459">
        <v>1</v>
      </c>
    </row>
    <row r="1460" spans="1:22" x14ac:dyDescent="0.3">
      <c r="A1460" t="s">
        <v>1475</v>
      </c>
      <c r="B1460" s="2">
        <v>46091.484722222223</v>
      </c>
      <c r="C1460" s="2">
        <v>46093.488888888889</v>
      </c>
      <c r="D1460" t="s">
        <v>6024</v>
      </c>
      <c r="E1460" t="s">
        <v>6031</v>
      </c>
      <c r="F1460" t="s">
        <v>6033</v>
      </c>
      <c r="G1460" t="s">
        <v>6051</v>
      </c>
      <c r="H1460" t="s">
        <v>6097</v>
      </c>
      <c r="I1460">
        <v>72</v>
      </c>
      <c r="J1460">
        <v>48.1</v>
      </c>
      <c r="K1460" t="s">
        <v>6100</v>
      </c>
      <c r="L1460" t="s">
        <v>6099</v>
      </c>
      <c r="M1460" t="s">
        <v>6100</v>
      </c>
      <c r="N1460">
        <v>4</v>
      </c>
      <c r="O1460" t="s">
        <v>6101</v>
      </c>
      <c r="P1460" t="s">
        <v>6109</v>
      </c>
      <c r="Q1460">
        <v>3</v>
      </c>
      <c r="R1460">
        <v>2026</v>
      </c>
      <c r="S1460" t="s">
        <v>6099</v>
      </c>
      <c r="T1460">
        <v>1</v>
      </c>
      <c r="U1460" t="s">
        <v>6019</v>
      </c>
      <c r="V1460">
        <v>0</v>
      </c>
    </row>
    <row r="1461" spans="1:22" x14ac:dyDescent="0.3">
      <c r="A1461" t="s">
        <v>1476</v>
      </c>
      <c r="B1461" s="2">
        <v>46091.5</v>
      </c>
      <c r="C1461" s="2">
        <v>46094.429166666669</v>
      </c>
      <c r="D1461" t="s">
        <v>6028</v>
      </c>
      <c r="E1461" t="s">
        <v>6031</v>
      </c>
      <c r="F1461" t="s">
        <v>6035</v>
      </c>
      <c r="G1461" t="s">
        <v>6064</v>
      </c>
      <c r="H1461" t="s">
        <v>6096</v>
      </c>
      <c r="I1461">
        <v>4</v>
      </c>
      <c r="J1461">
        <v>70.3</v>
      </c>
      <c r="K1461" t="s">
        <v>6099</v>
      </c>
      <c r="L1461" t="s">
        <v>6100</v>
      </c>
      <c r="M1461" t="s">
        <v>6100</v>
      </c>
      <c r="O1461" t="s">
        <v>6101</v>
      </c>
      <c r="P1461" t="s">
        <v>6109</v>
      </c>
      <c r="Q1461">
        <v>3</v>
      </c>
      <c r="R1461">
        <v>2026</v>
      </c>
      <c r="S1461" t="s">
        <v>6100</v>
      </c>
      <c r="T1461">
        <v>0</v>
      </c>
      <c r="U1461" t="s">
        <v>6018</v>
      </c>
      <c r="V1461">
        <v>1</v>
      </c>
    </row>
    <row r="1462" spans="1:22" x14ac:dyDescent="0.3">
      <c r="A1462" t="s">
        <v>1477</v>
      </c>
      <c r="B1462" s="2">
        <v>46091.50277777778</v>
      </c>
      <c r="C1462" s="2">
        <v>46092.544444444444</v>
      </c>
      <c r="D1462" t="s">
        <v>6026</v>
      </c>
      <c r="E1462" t="s">
        <v>6029</v>
      </c>
      <c r="F1462" t="s">
        <v>6034</v>
      </c>
      <c r="G1462" t="s">
        <v>6081</v>
      </c>
      <c r="H1462" t="s">
        <v>6098</v>
      </c>
      <c r="I1462">
        <v>24</v>
      </c>
      <c r="J1462">
        <v>25</v>
      </c>
      <c r="K1462" t="s">
        <v>6100</v>
      </c>
      <c r="L1462" t="s">
        <v>6099</v>
      </c>
      <c r="M1462" t="s">
        <v>6100</v>
      </c>
      <c r="N1462">
        <v>3</v>
      </c>
      <c r="O1462" t="s">
        <v>6101</v>
      </c>
      <c r="P1462" t="s">
        <v>6109</v>
      </c>
      <c r="Q1462">
        <v>3</v>
      </c>
      <c r="R1462">
        <v>2026</v>
      </c>
      <c r="S1462" t="s">
        <v>6100</v>
      </c>
      <c r="T1462">
        <v>0</v>
      </c>
      <c r="U1462" t="s">
        <v>6018</v>
      </c>
      <c r="V1462">
        <v>0</v>
      </c>
    </row>
    <row r="1463" spans="1:22" x14ac:dyDescent="0.3">
      <c r="A1463" t="s">
        <v>1478</v>
      </c>
      <c r="B1463" s="2">
        <v>46091.515972222223</v>
      </c>
      <c r="C1463" s="2">
        <v>46091.736805555556</v>
      </c>
      <c r="D1463" t="s">
        <v>6028</v>
      </c>
      <c r="E1463" t="s">
        <v>6029</v>
      </c>
      <c r="F1463" t="s">
        <v>6034</v>
      </c>
      <c r="G1463" t="s">
        <v>6056</v>
      </c>
      <c r="H1463" t="s">
        <v>6098</v>
      </c>
      <c r="I1463">
        <v>24</v>
      </c>
      <c r="J1463">
        <v>5.3</v>
      </c>
      <c r="K1463" t="s">
        <v>6100</v>
      </c>
      <c r="L1463" t="s">
        <v>6100</v>
      </c>
      <c r="M1463" t="s">
        <v>6100</v>
      </c>
      <c r="N1463">
        <v>3</v>
      </c>
      <c r="O1463" t="s">
        <v>6101</v>
      </c>
      <c r="P1463" t="s">
        <v>6109</v>
      </c>
      <c r="Q1463">
        <v>3</v>
      </c>
      <c r="R1463">
        <v>2026</v>
      </c>
      <c r="S1463" t="s">
        <v>6099</v>
      </c>
      <c r="T1463">
        <v>1</v>
      </c>
      <c r="U1463" t="s">
        <v>6018</v>
      </c>
      <c r="V1463">
        <v>0</v>
      </c>
    </row>
    <row r="1464" spans="1:22" x14ac:dyDescent="0.3">
      <c r="A1464" t="s">
        <v>1479</v>
      </c>
      <c r="B1464" s="2">
        <v>46091.53125</v>
      </c>
      <c r="C1464" s="2">
        <v>46091.927083333336</v>
      </c>
      <c r="D1464" t="s">
        <v>6023</v>
      </c>
      <c r="E1464" t="s">
        <v>6029</v>
      </c>
      <c r="F1464" t="s">
        <v>6033</v>
      </c>
      <c r="G1464" t="s">
        <v>6054</v>
      </c>
      <c r="H1464" t="s">
        <v>6096</v>
      </c>
      <c r="I1464">
        <v>72</v>
      </c>
      <c r="J1464">
        <v>9.5</v>
      </c>
      <c r="K1464" t="s">
        <v>6100</v>
      </c>
      <c r="L1464" t="s">
        <v>6100</v>
      </c>
      <c r="M1464" t="s">
        <v>6100</v>
      </c>
      <c r="N1464">
        <v>5</v>
      </c>
      <c r="O1464" t="s">
        <v>6101</v>
      </c>
      <c r="P1464" t="s">
        <v>6109</v>
      </c>
      <c r="Q1464">
        <v>3</v>
      </c>
      <c r="R1464">
        <v>2026</v>
      </c>
      <c r="S1464" t="s">
        <v>6099</v>
      </c>
      <c r="T1464">
        <v>1</v>
      </c>
      <c r="U1464" t="s">
        <v>6021</v>
      </c>
      <c r="V1464">
        <v>0</v>
      </c>
    </row>
    <row r="1465" spans="1:22" x14ac:dyDescent="0.3">
      <c r="A1465" t="s">
        <v>1480</v>
      </c>
      <c r="B1465" s="2">
        <v>46091.533333333333</v>
      </c>
      <c r="C1465" s="2">
        <v>46091.912499999999</v>
      </c>
      <c r="D1465" t="s">
        <v>6028</v>
      </c>
      <c r="E1465" t="s">
        <v>6031</v>
      </c>
      <c r="F1465" t="s">
        <v>6035</v>
      </c>
      <c r="G1465" t="s">
        <v>6088</v>
      </c>
      <c r="H1465" t="s">
        <v>6097</v>
      </c>
      <c r="I1465">
        <v>4</v>
      </c>
      <c r="J1465">
        <v>9.1</v>
      </c>
      <c r="K1465" t="s">
        <v>6099</v>
      </c>
      <c r="L1465" t="s">
        <v>6100</v>
      </c>
      <c r="M1465" t="s">
        <v>6100</v>
      </c>
      <c r="N1465">
        <v>4</v>
      </c>
      <c r="O1465" t="s">
        <v>6101</v>
      </c>
      <c r="P1465" t="s">
        <v>6109</v>
      </c>
      <c r="Q1465">
        <v>3</v>
      </c>
      <c r="R1465">
        <v>2026</v>
      </c>
      <c r="S1465" t="s">
        <v>6100</v>
      </c>
      <c r="T1465">
        <v>0</v>
      </c>
      <c r="U1465" t="s">
        <v>6020</v>
      </c>
      <c r="V1465">
        <v>1</v>
      </c>
    </row>
    <row r="1466" spans="1:22" x14ac:dyDescent="0.3">
      <c r="A1466" t="s">
        <v>1481</v>
      </c>
      <c r="B1466" s="2">
        <v>46091.541666666664</v>
      </c>
      <c r="C1466" s="2">
        <v>46092.074999999997</v>
      </c>
      <c r="D1466" t="s">
        <v>6028</v>
      </c>
      <c r="E1466" t="s">
        <v>6029</v>
      </c>
      <c r="F1466" t="s">
        <v>6035</v>
      </c>
      <c r="G1466" t="s">
        <v>6095</v>
      </c>
      <c r="H1466" t="s">
        <v>6098</v>
      </c>
      <c r="I1466">
        <v>4</v>
      </c>
      <c r="J1466">
        <v>12.8</v>
      </c>
      <c r="K1466" t="s">
        <v>6099</v>
      </c>
      <c r="L1466" t="s">
        <v>6100</v>
      </c>
      <c r="M1466" t="s">
        <v>6099</v>
      </c>
      <c r="O1466" t="s">
        <v>6101</v>
      </c>
      <c r="P1466" t="s">
        <v>6109</v>
      </c>
      <c r="Q1466">
        <v>3</v>
      </c>
      <c r="R1466">
        <v>2026</v>
      </c>
      <c r="S1466" t="s">
        <v>6100</v>
      </c>
      <c r="T1466">
        <v>0</v>
      </c>
      <c r="U1466" t="s">
        <v>6018</v>
      </c>
      <c r="V1466">
        <v>1</v>
      </c>
    </row>
    <row r="1467" spans="1:22" x14ac:dyDescent="0.3">
      <c r="A1467" t="s">
        <v>1482</v>
      </c>
      <c r="B1467" s="2">
        <v>46091.549305555556</v>
      </c>
      <c r="C1467" s="2">
        <v>46092.157638888886</v>
      </c>
      <c r="D1467" t="s">
        <v>6022</v>
      </c>
      <c r="E1467" t="s">
        <v>6030</v>
      </c>
      <c r="F1467" t="s">
        <v>6034</v>
      </c>
      <c r="G1467" t="s">
        <v>6039</v>
      </c>
      <c r="H1467" t="s">
        <v>6097</v>
      </c>
      <c r="I1467">
        <v>24</v>
      </c>
      <c r="J1467">
        <v>14.6</v>
      </c>
      <c r="K1467" t="s">
        <v>6099</v>
      </c>
      <c r="L1467" t="s">
        <v>6100</v>
      </c>
      <c r="M1467" t="s">
        <v>6100</v>
      </c>
      <c r="O1467" t="s">
        <v>6101</v>
      </c>
      <c r="P1467" t="s">
        <v>6109</v>
      </c>
      <c r="Q1467">
        <v>3</v>
      </c>
      <c r="R1467">
        <v>2026</v>
      </c>
      <c r="S1467" t="s">
        <v>6099</v>
      </c>
      <c r="T1467">
        <v>1</v>
      </c>
      <c r="U1467" t="s">
        <v>6021</v>
      </c>
      <c r="V1467">
        <v>1</v>
      </c>
    </row>
    <row r="1468" spans="1:22" x14ac:dyDescent="0.3">
      <c r="A1468" t="s">
        <v>1483</v>
      </c>
      <c r="B1468" s="2">
        <v>46091.583333333336</v>
      </c>
      <c r="C1468" s="2">
        <v>46092.037499999999</v>
      </c>
      <c r="D1468" t="s">
        <v>6028</v>
      </c>
      <c r="E1468" t="s">
        <v>6030</v>
      </c>
      <c r="F1468" t="s">
        <v>6034</v>
      </c>
      <c r="G1468" t="s">
        <v>6091</v>
      </c>
      <c r="H1468" t="s">
        <v>6097</v>
      </c>
      <c r="I1468">
        <v>24</v>
      </c>
      <c r="J1468">
        <v>10.9</v>
      </c>
      <c r="K1468" t="s">
        <v>6099</v>
      </c>
      <c r="L1468" t="s">
        <v>6100</v>
      </c>
      <c r="M1468" t="s">
        <v>6100</v>
      </c>
      <c r="N1468">
        <v>4</v>
      </c>
      <c r="O1468" t="s">
        <v>6101</v>
      </c>
      <c r="P1468" t="s">
        <v>6109</v>
      </c>
      <c r="Q1468">
        <v>3</v>
      </c>
      <c r="R1468">
        <v>2026</v>
      </c>
      <c r="S1468" t="s">
        <v>6099</v>
      </c>
      <c r="T1468">
        <v>1</v>
      </c>
      <c r="U1468" t="s">
        <v>6018</v>
      </c>
      <c r="V1468">
        <v>1</v>
      </c>
    </row>
    <row r="1469" spans="1:22" x14ac:dyDescent="0.3">
      <c r="A1469" t="s">
        <v>1484</v>
      </c>
      <c r="B1469" s="2">
        <v>46091.583333333336</v>
      </c>
      <c r="C1469" s="2">
        <v>46092.537499999999</v>
      </c>
      <c r="D1469" t="s">
        <v>6028</v>
      </c>
      <c r="E1469" t="s">
        <v>6030</v>
      </c>
      <c r="F1469" t="s">
        <v>6034</v>
      </c>
      <c r="G1469" t="s">
        <v>6053</v>
      </c>
      <c r="H1469" t="s">
        <v>6097</v>
      </c>
      <c r="I1469">
        <v>24</v>
      </c>
      <c r="J1469">
        <v>22.9</v>
      </c>
      <c r="K1469" t="s">
        <v>6099</v>
      </c>
      <c r="L1469" t="s">
        <v>6100</v>
      </c>
      <c r="M1469" t="s">
        <v>6100</v>
      </c>
      <c r="N1469">
        <v>3</v>
      </c>
      <c r="O1469" t="s">
        <v>6101</v>
      </c>
      <c r="P1469" t="s">
        <v>6109</v>
      </c>
      <c r="Q1469">
        <v>3</v>
      </c>
      <c r="R1469">
        <v>2026</v>
      </c>
      <c r="S1469" t="s">
        <v>6099</v>
      </c>
      <c r="T1469">
        <v>1</v>
      </c>
      <c r="U1469" t="s">
        <v>6018</v>
      </c>
      <c r="V1469">
        <v>1</v>
      </c>
    </row>
    <row r="1470" spans="1:22" x14ac:dyDescent="0.3">
      <c r="A1470" t="s">
        <v>1485</v>
      </c>
      <c r="B1470" s="2">
        <v>46091.583333333336</v>
      </c>
      <c r="C1470" s="2">
        <v>46091.816666666666</v>
      </c>
      <c r="D1470" t="s">
        <v>6028</v>
      </c>
      <c r="E1470" t="s">
        <v>6029</v>
      </c>
      <c r="F1470" t="s">
        <v>6035</v>
      </c>
      <c r="G1470" t="s">
        <v>6068</v>
      </c>
      <c r="H1470" t="s">
        <v>6098</v>
      </c>
      <c r="I1470">
        <v>4</v>
      </c>
      <c r="J1470">
        <v>5.6</v>
      </c>
      <c r="K1470" t="s">
        <v>6099</v>
      </c>
      <c r="L1470" t="s">
        <v>6100</v>
      </c>
      <c r="M1470" t="s">
        <v>6099</v>
      </c>
      <c r="O1470" t="s">
        <v>6101</v>
      </c>
      <c r="P1470" t="s">
        <v>6109</v>
      </c>
      <c r="Q1470">
        <v>3</v>
      </c>
      <c r="R1470">
        <v>2026</v>
      </c>
      <c r="S1470" t="s">
        <v>6100</v>
      </c>
      <c r="T1470">
        <v>0</v>
      </c>
      <c r="U1470" t="s">
        <v>6018</v>
      </c>
      <c r="V1470">
        <v>1</v>
      </c>
    </row>
    <row r="1471" spans="1:22" x14ac:dyDescent="0.3">
      <c r="A1471" t="s">
        <v>1486</v>
      </c>
      <c r="B1471" s="2">
        <v>46091.602777777778</v>
      </c>
      <c r="C1471" s="2">
        <v>46092.386111111111</v>
      </c>
      <c r="D1471" t="s">
        <v>6023</v>
      </c>
      <c r="E1471" t="s">
        <v>6032</v>
      </c>
      <c r="F1471" t="s">
        <v>6033</v>
      </c>
      <c r="G1471" t="s">
        <v>6057</v>
      </c>
      <c r="H1471" t="s">
        <v>6097</v>
      </c>
      <c r="I1471">
        <v>72</v>
      </c>
      <c r="J1471">
        <v>18.8</v>
      </c>
      <c r="K1471" t="s">
        <v>6099</v>
      </c>
      <c r="L1471" t="s">
        <v>6100</v>
      </c>
      <c r="M1471" t="s">
        <v>6100</v>
      </c>
      <c r="O1471" t="s">
        <v>6101</v>
      </c>
      <c r="P1471" t="s">
        <v>6109</v>
      </c>
      <c r="Q1471">
        <v>3</v>
      </c>
      <c r="R1471">
        <v>2026</v>
      </c>
      <c r="S1471" t="s">
        <v>6099</v>
      </c>
      <c r="T1471">
        <v>1</v>
      </c>
      <c r="U1471" t="s">
        <v>6017</v>
      </c>
      <c r="V1471">
        <v>1</v>
      </c>
    </row>
    <row r="1472" spans="1:22" x14ac:dyDescent="0.3">
      <c r="A1472" t="s">
        <v>1487</v>
      </c>
      <c r="B1472" s="2">
        <v>46091.625</v>
      </c>
      <c r="C1472" s="2">
        <v>46095.01666666667</v>
      </c>
      <c r="D1472" t="s">
        <v>6028</v>
      </c>
      <c r="E1472" t="s">
        <v>6031</v>
      </c>
      <c r="F1472" t="s">
        <v>6034</v>
      </c>
      <c r="G1472" t="s">
        <v>6054</v>
      </c>
      <c r="H1472" t="s">
        <v>6096</v>
      </c>
      <c r="I1472">
        <v>24</v>
      </c>
      <c r="J1472">
        <v>81.400000000000006</v>
      </c>
      <c r="K1472" t="s">
        <v>6100</v>
      </c>
      <c r="L1472" t="s">
        <v>6099</v>
      </c>
      <c r="M1472" t="s">
        <v>6100</v>
      </c>
      <c r="N1472">
        <v>2</v>
      </c>
      <c r="O1472" t="s">
        <v>6101</v>
      </c>
      <c r="P1472" t="s">
        <v>6109</v>
      </c>
      <c r="Q1472">
        <v>3</v>
      </c>
      <c r="R1472">
        <v>2026</v>
      </c>
      <c r="S1472" t="s">
        <v>6100</v>
      </c>
      <c r="T1472">
        <v>0</v>
      </c>
      <c r="U1472" t="s">
        <v>6018</v>
      </c>
      <c r="V1472">
        <v>0</v>
      </c>
    </row>
    <row r="1473" spans="1:22" x14ac:dyDescent="0.3">
      <c r="A1473" t="s">
        <v>1488</v>
      </c>
      <c r="B1473" s="2">
        <v>46091.666666666664</v>
      </c>
      <c r="C1473" s="2">
        <v>46093.429166666669</v>
      </c>
      <c r="D1473" t="s">
        <v>6028</v>
      </c>
      <c r="E1473" t="s">
        <v>6029</v>
      </c>
      <c r="F1473" t="s">
        <v>6033</v>
      </c>
      <c r="G1473" t="s">
        <v>6090</v>
      </c>
      <c r="H1473" t="s">
        <v>6097</v>
      </c>
      <c r="I1473">
        <v>72</v>
      </c>
      <c r="J1473">
        <v>42.3</v>
      </c>
      <c r="K1473" t="s">
        <v>6099</v>
      </c>
      <c r="L1473" t="s">
        <v>6100</v>
      </c>
      <c r="M1473" t="s">
        <v>6100</v>
      </c>
      <c r="N1473">
        <v>5</v>
      </c>
      <c r="O1473" t="s">
        <v>6101</v>
      </c>
      <c r="P1473" t="s">
        <v>6109</v>
      </c>
      <c r="Q1473">
        <v>3</v>
      </c>
      <c r="R1473">
        <v>2026</v>
      </c>
      <c r="S1473" t="s">
        <v>6099</v>
      </c>
      <c r="T1473">
        <v>1</v>
      </c>
      <c r="U1473" t="s">
        <v>6018</v>
      </c>
      <c r="V1473">
        <v>1</v>
      </c>
    </row>
    <row r="1474" spans="1:22" x14ac:dyDescent="0.3">
      <c r="A1474" t="s">
        <v>1489</v>
      </c>
      <c r="B1474" s="2">
        <v>46091.666666666664</v>
      </c>
      <c r="C1474" s="2">
        <v>46092.645833333336</v>
      </c>
      <c r="D1474" t="s">
        <v>6028</v>
      </c>
      <c r="E1474" t="s">
        <v>6031</v>
      </c>
      <c r="F1474" t="s">
        <v>6035</v>
      </c>
      <c r="G1474" t="s">
        <v>6050</v>
      </c>
      <c r="H1474" t="s">
        <v>6098</v>
      </c>
      <c r="I1474">
        <v>4</v>
      </c>
      <c r="J1474">
        <v>23.5</v>
      </c>
      <c r="K1474" t="s">
        <v>6099</v>
      </c>
      <c r="L1474" t="s">
        <v>6100</v>
      </c>
      <c r="M1474" t="s">
        <v>6100</v>
      </c>
      <c r="O1474" t="s">
        <v>6101</v>
      </c>
      <c r="P1474" t="s">
        <v>6109</v>
      </c>
      <c r="Q1474">
        <v>3</v>
      </c>
      <c r="R1474">
        <v>2026</v>
      </c>
      <c r="S1474" t="s">
        <v>6100</v>
      </c>
      <c r="T1474">
        <v>0</v>
      </c>
      <c r="U1474" t="s">
        <v>6018</v>
      </c>
      <c r="V1474">
        <v>1</v>
      </c>
    </row>
    <row r="1475" spans="1:22" x14ac:dyDescent="0.3">
      <c r="A1475" t="s">
        <v>1490</v>
      </c>
      <c r="B1475" s="2">
        <v>46091.672222222223</v>
      </c>
      <c r="C1475" s="2">
        <v>46092.305555555555</v>
      </c>
      <c r="D1475" t="s">
        <v>6027</v>
      </c>
      <c r="E1475" t="s">
        <v>6031</v>
      </c>
      <c r="F1475" t="s">
        <v>6034</v>
      </c>
      <c r="G1475" t="s">
        <v>6045</v>
      </c>
      <c r="H1475" t="s">
        <v>6096</v>
      </c>
      <c r="I1475">
        <v>24</v>
      </c>
      <c r="J1475">
        <v>15.2</v>
      </c>
      <c r="K1475" t="s">
        <v>6099</v>
      </c>
      <c r="L1475" t="s">
        <v>6100</v>
      </c>
      <c r="M1475" t="s">
        <v>6100</v>
      </c>
      <c r="N1475">
        <v>4</v>
      </c>
      <c r="O1475" t="s">
        <v>6101</v>
      </c>
      <c r="P1475" t="s">
        <v>6109</v>
      </c>
      <c r="Q1475">
        <v>3</v>
      </c>
      <c r="R1475">
        <v>2026</v>
      </c>
      <c r="S1475" t="s">
        <v>6099</v>
      </c>
      <c r="T1475">
        <v>1</v>
      </c>
      <c r="U1475" t="s">
        <v>6019</v>
      </c>
      <c r="V1475">
        <v>1</v>
      </c>
    </row>
    <row r="1476" spans="1:22" x14ac:dyDescent="0.3">
      <c r="A1476" t="s">
        <v>1491</v>
      </c>
      <c r="B1476" s="2">
        <v>46091.706250000003</v>
      </c>
      <c r="C1476" s="2">
        <v>46092.364583333336</v>
      </c>
      <c r="D1476" t="s">
        <v>6022</v>
      </c>
      <c r="E1476" t="s">
        <v>6031</v>
      </c>
      <c r="F1476" t="s">
        <v>6033</v>
      </c>
      <c r="G1476" t="s">
        <v>6089</v>
      </c>
      <c r="H1476" t="s">
        <v>6098</v>
      </c>
      <c r="I1476">
        <v>72</v>
      </c>
      <c r="J1476">
        <v>15.8</v>
      </c>
      <c r="K1476" t="s">
        <v>6099</v>
      </c>
      <c r="L1476" t="s">
        <v>6100</v>
      </c>
      <c r="M1476" t="s">
        <v>6100</v>
      </c>
      <c r="N1476">
        <v>5</v>
      </c>
      <c r="O1476" t="s">
        <v>6101</v>
      </c>
      <c r="P1476" t="s">
        <v>6109</v>
      </c>
      <c r="Q1476">
        <v>3</v>
      </c>
      <c r="R1476">
        <v>2026</v>
      </c>
      <c r="S1476" t="s">
        <v>6099</v>
      </c>
      <c r="T1476">
        <v>1</v>
      </c>
      <c r="U1476" t="s">
        <v>6019</v>
      </c>
      <c r="V1476">
        <v>1</v>
      </c>
    </row>
    <row r="1477" spans="1:22" x14ac:dyDescent="0.3">
      <c r="A1477" t="s">
        <v>1492</v>
      </c>
      <c r="B1477" s="2">
        <v>46091.706250000003</v>
      </c>
      <c r="C1477" s="2">
        <v>46094.63958333333</v>
      </c>
      <c r="D1477" t="s">
        <v>6026</v>
      </c>
      <c r="E1477" t="s">
        <v>6031</v>
      </c>
      <c r="F1477" t="s">
        <v>6034</v>
      </c>
      <c r="G1477" t="s">
        <v>6095</v>
      </c>
      <c r="H1477" t="s">
        <v>6098</v>
      </c>
      <c r="I1477">
        <v>24</v>
      </c>
      <c r="J1477">
        <v>70.400000000000006</v>
      </c>
      <c r="K1477" t="s">
        <v>6100</v>
      </c>
      <c r="L1477" t="s">
        <v>6100</v>
      </c>
      <c r="M1477" t="s">
        <v>6100</v>
      </c>
      <c r="N1477">
        <v>3</v>
      </c>
      <c r="O1477" t="s">
        <v>6101</v>
      </c>
      <c r="P1477" t="s">
        <v>6109</v>
      </c>
      <c r="Q1477">
        <v>3</v>
      </c>
      <c r="R1477">
        <v>2026</v>
      </c>
      <c r="S1477" t="s">
        <v>6100</v>
      </c>
      <c r="T1477">
        <v>0</v>
      </c>
      <c r="U1477" t="s">
        <v>6018</v>
      </c>
      <c r="V1477">
        <v>0</v>
      </c>
    </row>
    <row r="1478" spans="1:22" x14ac:dyDescent="0.3">
      <c r="A1478" t="s">
        <v>1493</v>
      </c>
      <c r="B1478" s="2">
        <v>46091.708333333336</v>
      </c>
      <c r="C1478" s="2">
        <v>46092.033333333333</v>
      </c>
      <c r="D1478" t="s">
        <v>6028</v>
      </c>
      <c r="E1478" t="s">
        <v>6029</v>
      </c>
      <c r="F1478" t="s">
        <v>6035</v>
      </c>
      <c r="G1478" t="s">
        <v>6040</v>
      </c>
      <c r="H1478" t="s">
        <v>6097</v>
      </c>
      <c r="I1478">
        <v>4</v>
      </c>
      <c r="J1478">
        <v>7.8</v>
      </c>
      <c r="K1478" t="s">
        <v>6099</v>
      </c>
      <c r="L1478" t="s">
        <v>6100</v>
      </c>
      <c r="M1478" t="s">
        <v>6100</v>
      </c>
      <c r="N1478">
        <v>5</v>
      </c>
      <c r="O1478" t="s">
        <v>6101</v>
      </c>
      <c r="P1478" t="s">
        <v>6109</v>
      </c>
      <c r="Q1478">
        <v>3</v>
      </c>
      <c r="R1478">
        <v>2026</v>
      </c>
      <c r="S1478" t="s">
        <v>6100</v>
      </c>
      <c r="T1478">
        <v>0</v>
      </c>
      <c r="U1478" t="s">
        <v>6018</v>
      </c>
      <c r="V1478">
        <v>1</v>
      </c>
    </row>
    <row r="1479" spans="1:22" x14ac:dyDescent="0.3">
      <c r="A1479" t="s">
        <v>1494</v>
      </c>
      <c r="B1479" s="2">
        <v>46091.708333333336</v>
      </c>
      <c r="C1479" s="2">
        <v>46092.25</v>
      </c>
      <c r="D1479" t="s">
        <v>6028</v>
      </c>
      <c r="E1479" t="s">
        <v>6029</v>
      </c>
      <c r="F1479" t="s">
        <v>6035</v>
      </c>
      <c r="G1479" t="s">
        <v>6093</v>
      </c>
      <c r="H1479" t="s">
        <v>6097</v>
      </c>
      <c r="I1479">
        <v>4</v>
      </c>
      <c r="J1479">
        <v>13</v>
      </c>
      <c r="K1479" t="s">
        <v>6099</v>
      </c>
      <c r="L1479" t="s">
        <v>6100</v>
      </c>
      <c r="M1479" t="s">
        <v>6100</v>
      </c>
      <c r="N1479">
        <v>5</v>
      </c>
      <c r="O1479" t="s">
        <v>6101</v>
      </c>
      <c r="P1479" t="s">
        <v>6109</v>
      </c>
      <c r="Q1479">
        <v>3</v>
      </c>
      <c r="R1479">
        <v>2026</v>
      </c>
      <c r="S1479" t="s">
        <v>6100</v>
      </c>
      <c r="T1479">
        <v>0</v>
      </c>
      <c r="U1479" t="s">
        <v>6018</v>
      </c>
      <c r="V1479">
        <v>1</v>
      </c>
    </row>
    <row r="1480" spans="1:22" x14ac:dyDescent="0.3">
      <c r="A1480" t="s">
        <v>1495</v>
      </c>
      <c r="B1480" s="2">
        <v>46091.708333333336</v>
      </c>
      <c r="C1480" s="2">
        <v>46094.629166666666</v>
      </c>
      <c r="D1480" t="s">
        <v>6028</v>
      </c>
      <c r="E1480" t="s">
        <v>6032</v>
      </c>
      <c r="F1480" t="s">
        <v>6035</v>
      </c>
      <c r="G1480" t="s">
        <v>6056</v>
      </c>
      <c r="H1480" t="s">
        <v>6098</v>
      </c>
      <c r="I1480">
        <v>4</v>
      </c>
      <c r="J1480">
        <v>70.099999999999994</v>
      </c>
      <c r="K1480" t="s">
        <v>6099</v>
      </c>
      <c r="L1480" t="s">
        <v>6100</v>
      </c>
      <c r="M1480" t="s">
        <v>6100</v>
      </c>
      <c r="O1480" t="s">
        <v>6101</v>
      </c>
      <c r="P1480" t="s">
        <v>6109</v>
      </c>
      <c r="Q1480">
        <v>3</v>
      </c>
      <c r="R1480">
        <v>2026</v>
      </c>
      <c r="S1480" t="s">
        <v>6100</v>
      </c>
      <c r="T1480">
        <v>0</v>
      </c>
      <c r="U1480" t="s">
        <v>6018</v>
      </c>
      <c r="V1480">
        <v>1</v>
      </c>
    </row>
    <row r="1481" spans="1:22" x14ac:dyDescent="0.3">
      <c r="A1481" t="s">
        <v>1496</v>
      </c>
      <c r="B1481" s="2">
        <v>46091.714583333334</v>
      </c>
      <c r="C1481" s="2">
        <v>46092.277083333334</v>
      </c>
      <c r="D1481" t="s">
        <v>6022</v>
      </c>
      <c r="E1481" t="s">
        <v>6029</v>
      </c>
      <c r="F1481" t="s">
        <v>6034</v>
      </c>
      <c r="G1481" t="s">
        <v>6049</v>
      </c>
      <c r="H1481" t="s">
        <v>6097</v>
      </c>
      <c r="I1481">
        <v>24</v>
      </c>
      <c r="J1481">
        <v>13.5</v>
      </c>
      <c r="K1481" t="s">
        <v>6099</v>
      </c>
      <c r="L1481" t="s">
        <v>6100</v>
      </c>
      <c r="M1481" t="s">
        <v>6100</v>
      </c>
      <c r="N1481">
        <v>5</v>
      </c>
      <c r="O1481" t="s">
        <v>6101</v>
      </c>
      <c r="P1481" t="s">
        <v>6109</v>
      </c>
      <c r="Q1481">
        <v>3</v>
      </c>
      <c r="R1481">
        <v>2026</v>
      </c>
      <c r="S1481" t="s">
        <v>6099</v>
      </c>
      <c r="T1481">
        <v>1</v>
      </c>
      <c r="U1481" t="s">
        <v>6021</v>
      </c>
      <c r="V1481">
        <v>1</v>
      </c>
    </row>
    <row r="1482" spans="1:22" x14ac:dyDescent="0.3">
      <c r="A1482" t="s">
        <v>1497</v>
      </c>
      <c r="B1482" s="2">
        <v>46091.75</v>
      </c>
      <c r="C1482" s="2">
        <v>46093.370833333334</v>
      </c>
      <c r="D1482" t="s">
        <v>6028</v>
      </c>
      <c r="E1482" t="s">
        <v>6031</v>
      </c>
      <c r="F1482" t="s">
        <v>6035</v>
      </c>
      <c r="G1482" t="s">
        <v>6054</v>
      </c>
      <c r="H1482" t="s">
        <v>6096</v>
      </c>
      <c r="I1482">
        <v>4</v>
      </c>
      <c r="J1482">
        <v>38.9</v>
      </c>
      <c r="K1482" t="s">
        <v>6099</v>
      </c>
      <c r="L1482" t="s">
        <v>6100</v>
      </c>
      <c r="M1482" t="s">
        <v>6100</v>
      </c>
      <c r="N1482">
        <v>4</v>
      </c>
      <c r="O1482" t="s">
        <v>6101</v>
      </c>
      <c r="P1482" t="s">
        <v>6109</v>
      </c>
      <c r="Q1482">
        <v>3</v>
      </c>
      <c r="R1482">
        <v>2026</v>
      </c>
      <c r="S1482" t="s">
        <v>6100</v>
      </c>
      <c r="T1482">
        <v>0</v>
      </c>
      <c r="U1482" t="s">
        <v>6018</v>
      </c>
      <c r="V1482">
        <v>1</v>
      </c>
    </row>
    <row r="1483" spans="1:22" x14ac:dyDescent="0.3">
      <c r="A1483" t="s">
        <v>1498</v>
      </c>
      <c r="B1483" s="2">
        <v>46091.75</v>
      </c>
      <c r="C1483" s="2">
        <v>46092.5</v>
      </c>
      <c r="D1483" t="s">
        <v>6028</v>
      </c>
      <c r="E1483" t="s">
        <v>6029</v>
      </c>
      <c r="F1483" t="s">
        <v>6035</v>
      </c>
      <c r="G1483" t="s">
        <v>6094</v>
      </c>
      <c r="H1483" t="s">
        <v>6098</v>
      </c>
      <c r="I1483">
        <v>4</v>
      </c>
      <c r="J1483">
        <v>18</v>
      </c>
      <c r="K1483" t="s">
        <v>6099</v>
      </c>
      <c r="L1483" t="s">
        <v>6100</v>
      </c>
      <c r="M1483" t="s">
        <v>6099</v>
      </c>
      <c r="O1483" t="s">
        <v>6101</v>
      </c>
      <c r="P1483" t="s">
        <v>6109</v>
      </c>
      <c r="Q1483">
        <v>3</v>
      </c>
      <c r="R1483">
        <v>2026</v>
      </c>
      <c r="S1483" t="s">
        <v>6100</v>
      </c>
      <c r="T1483">
        <v>0</v>
      </c>
      <c r="U1483" t="s">
        <v>6018</v>
      </c>
      <c r="V1483">
        <v>1</v>
      </c>
    </row>
    <row r="1484" spans="1:22" x14ac:dyDescent="0.3">
      <c r="A1484" t="s">
        <v>1499</v>
      </c>
      <c r="B1484" s="2">
        <v>46091.791666666664</v>
      </c>
      <c r="C1484" s="2">
        <v>46092.658333333333</v>
      </c>
      <c r="D1484" t="s">
        <v>6028</v>
      </c>
      <c r="E1484" t="s">
        <v>6029</v>
      </c>
      <c r="F1484" t="s">
        <v>6033</v>
      </c>
      <c r="G1484" t="s">
        <v>6083</v>
      </c>
      <c r="H1484" t="s">
        <v>6096</v>
      </c>
      <c r="I1484">
        <v>72</v>
      </c>
      <c r="J1484">
        <v>20.8</v>
      </c>
      <c r="K1484" t="s">
        <v>6100</v>
      </c>
      <c r="L1484" t="s">
        <v>6100</v>
      </c>
      <c r="M1484" t="s">
        <v>6100</v>
      </c>
      <c r="N1484">
        <v>5</v>
      </c>
      <c r="O1484" t="s">
        <v>6101</v>
      </c>
      <c r="P1484" t="s">
        <v>6109</v>
      </c>
      <c r="Q1484">
        <v>3</v>
      </c>
      <c r="R1484">
        <v>2026</v>
      </c>
      <c r="S1484" t="s">
        <v>6099</v>
      </c>
      <c r="T1484">
        <v>1</v>
      </c>
      <c r="U1484" t="s">
        <v>6018</v>
      </c>
      <c r="V1484">
        <v>0</v>
      </c>
    </row>
    <row r="1485" spans="1:22" x14ac:dyDescent="0.3">
      <c r="A1485" t="s">
        <v>1500</v>
      </c>
      <c r="B1485" s="2">
        <v>46091.791666666664</v>
      </c>
      <c r="C1485" s="2">
        <v>46092.904166666667</v>
      </c>
      <c r="D1485" t="s">
        <v>6028</v>
      </c>
      <c r="E1485" t="s">
        <v>6029</v>
      </c>
      <c r="F1485" t="s">
        <v>6034</v>
      </c>
      <c r="G1485" t="s">
        <v>6090</v>
      </c>
      <c r="H1485" t="s">
        <v>6097</v>
      </c>
      <c r="I1485">
        <v>24</v>
      </c>
      <c r="J1485">
        <v>26.7</v>
      </c>
      <c r="K1485" t="s">
        <v>6099</v>
      </c>
      <c r="L1485" t="s">
        <v>6100</v>
      </c>
      <c r="M1485" t="s">
        <v>6100</v>
      </c>
      <c r="O1485" t="s">
        <v>6101</v>
      </c>
      <c r="P1485" t="s">
        <v>6109</v>
      </c>
      <c r="Q1485">
        <v>3</v>
      </c>
      <c r="R1485">
        <v>2026</v>
      </c>
      <c r="S1485" t="s">
        <v>6100</v>
      </c>
      <c r="T1485">
        <v>0</v>
      </c>
      <c r="U1485" t="s">
        <v>6018</v>
      </c>
      <c r="V1485">
        <v>1</v>
      </c>
    </row>
    <row r="1486" spans="1:22" x14ac:dyDescent="0.3">
      <c r="A1486" t="s">
        <v>1501</v>
      </c>
      <c r="B1486" s="2">
        <v>46091.791666666664</v>
      </c>
      <c r="C1486" s="2">
        <v>46092.925000000003</v>
      </c>
      <c r="D1486" t="s">
        <v>6028</v>
      </c>
      <c r="E1486" t="s">
        <v>6029</v>
      </c>
      <c r="F1486" t="s">
        <v>6034</v>
      </c>
      <c r="G1486" t="s">
        <v>6058</v>
      </c>
      <c r="H1486" t="s">
        <v>6098</v>
      </c>
      <c r="I1486">
        <v>24</v>
      </c>
      <c r="J1486">
        <v>27.2</v>
      </c>
      <c r="K1486" t="s">
        <v>6099</v>
      </c>
      <c r="L1486" t="s">
        <v>6100</v>
      </c>
      <c r="M1486" t="s">
        <v>6100</v>
      </c>
      <c r="N1486">
        <v>3</v>
      </c>
      <c r="O1486" t="s">
        <v>6101</v>
      </c>
      <c r="P1486" t="s">
        <v>6109</v>
      </c>
      <c r="Q1486">
        <v>3</v>
      </c>
      <c r="R1486">
        <v>2026</v>
      </c>
      <c r="S1486" t="s">
        <v>6100</v>
      </c>
      <c r="T1486">
        <v>0</v>
      </c>
      <c r="U1486" t="s">
        <v>6018</v>
      </c>
      <c r="V1486">
        <v>1</v>
      </c>
    </row>
    <row r="1487" spans="1:22" x14ac:dyDescent="0.3">
      <c r="A1487" t="s">
        <v>1502</v>
      </c>
      <c r="B1487" s="2">
        <v>46091.791666666664</v>
      </c>
      <c r="C1487" s="2">
        <v>46092.64166666667</v>
      </c>
      <c r="D1487" t="s">
        <v>6028</v>
      </c>
      <c r="E1487" t="s">
        <v>6029</v>
      </c>
      <c r="F1487" t="s">
        <v>6035</v>
      </c>
      <c r="G1487" t="s">
        <v>6070</v>
      </c>
      <c r="H1487" t="s">
        <v>6097</v>
      </c>
      <c r="I1487">
        <v>4</v>
      </c>
      <c r="J1487">
        <v>20.399999999999999</v>
      </c>
      <c r="K1487" t="s">
        <v>6099</v>
      </c>
      <c r="L1487" t="s">
        <v>6100</v>
      </c>
      <c r="M1487" t="s">
        <v>6100</v>
      </c>
      <c r="O1487" t="s">
        <v>6101</v>
      </c>
      <c r="P1487" t="s">
        <v>6109</v>
      </c>
      <c r="Q1487">
        <v>3</v>
      </c>
      <c r="R1487">
        <v>2026</v>
      </c>
      <c r="S1487" t="s">
        <v>6100</v>
      </c>
      <c r="T1487">
        <v>0</v>
      </c>
      <c r="U1487" t="s">
        <v>6018</v>
      </c>
      <c r="V1487">
        <v>1</v>
      </c>
    </row>
    <row r="1488" spans="1:22" x14ac:dyDescent="0.3">
      <c r="A1488" t="s">
        <v>1503</v>
      </c>
      <c r="B1488" s="2">
        <v>46091.809027777781</v>
      </c>
      <c r="C1488" s="2">
        <v>46095.550694444442</v>
      </c>
      <c r="D1488" t="s">
        <v>6026</v>
      </c>
      <c r="E1488" t="s">
        <v>6032</v>
      </c>
      <c r="F1488" t="s">
        <v>6035</v>
      </c>
      <c r="G1488" t="s">
        <v>6073</v>
      </c>
      <c r="H1488" t="s">
        <v>6096</v>
      </c>
      <c r="I1488">
        <v>4</v>
      </c>
      <c r="J1488">
        <v>89.8</v>
      </c>
      <c r="K1488" t="s">
        <v>6100</v>
      </c>
      <c r="L1488" t="s">
        <v>6099</v>
      </c>
      <c r="M1488" t="s">
        <v>6100</v>
      </c>
      <c r="N1488">
        <v>2</v>
      </c>
      <c r="O1488" t="s">
        <v>6101</v>
      </c>
      <c r="P1488" t="s">
        <v>6109</v>
      </c>
      <c r="Q1488">
        <v>3</v>
      </c>
      <c r="R1488">
        <v>2026</v>
      </c>
      <c r="S1488" t="s">
        <v>6100</v>
      </c>
      <c r="T1488">
        <v>0</v>
      </c>
      <c r="U1488" t="s">
        <v>6021</v>
      </c>
      <c r="V1488">
        <v>0</v>
      </c>
    </row>
    <row r="1489" spans="1:22" x14ac:dyDescent="0.3">
      <c r="A1489" t="s">
        <v>1504</v>
      </c>
      <c r="B1489" s="2">
        <v>46091.854166666664</v>
      </c>
      <c r="C1489" s="2">
        <v>46092.25</v>
      </c>
      <c r="D1489" t="s">
        <v>6024</v>
      </c>
      <c r="E1489" t="s">
        <v>6029</v>
      </c>
      <c r="F1489" t="s">
        <v>6034</v>
      </c>
      <c r="G1489" t="s">
        <v>6052</v>
      </c>
      <c r="H1489" t="s">
        <v>6098</v>
      </c>
      <c r="I1489">
        <v>24</v>
      </c>
      <c r="J1489">
        <v>9.5</v>
      </c>
      <c r="K1489" t="s">
        <v>6100</v>
      </c>
      <c r="L1489" t="s">
        <v>6100</v>
      </c>
      <c r="M1489" t="s">
        <v>6100</v>
      </c>
      <c r="N1489">
        <v>3</v>
      </c>
      <c r="O1489" t="s">
        <v>6101</v>
      </c>
      <c r="P1489" t="s">
        <v>6109</v>
      </c>
      <c r="Q1489">
        <v>3</v>
      </c>
      <c r="R1489">
        <v>2026</v>
      </c>
      <c r="S1489" t="s">
        <v>6099</v>
      </c>
      <c r="T1489">
        <v>1</v>
      </c>
      <c r="U1489" t="s">
        <v>6020</v>
      </c>
      <c r="V1489">
        <v>0</v>
      </c>
    </row>
    <row r="1490" spans="1:22" x14ac:dyDescent="0.3">
      <c r="A1490" t="s">
        <v>1505</v>
      </c>
      <c r="B1490" s="2">
        <v>46091.857638888891</v>
      </c>
      <c r="C1490" s="2">
        <v>46092.136805555558</v>
      </c>
      <c r="D1490" t="s">
        <v>6027</v>
      </c>
      <c r="E1490" t="s">
        <v>6032</v>
      </c>
      <c r="F1490" t="s">
        <v>6034</v>
      </c>
      <c r="G1490" t="s">
        <v>6071</v>
      </c>
      <c r="H1490" t="s">
        <v>6098</v>
      </c>
      <c r="I1490">
        <v>24</v>
      </c>
      <c r="J1490">
        <v>6.7</v>
      </c>
      <c r="K1490" t="s">
        <v>6100</v>
      </c>
      <c r="L1490" t="s">
        <v>6100</v>
      </c>
      <c r="M1490" t="s">
        <v>6100</v>
      </c>
      <c r="N1490">
        <v>5</v>
      </c>
      <c r="O1490" t="s">
        <v>6101</v>
      </c>
      <c r="P1490" t="s">
        <v>6109</v>
      </c>
      <c r="Q1490">
        <v>3</v>
      </c>
      <c r="R1490">
        <v>2026</v>
      </c>
      <c r="S1490" t="s">
        <v>6099</v>
      </c>
      <c r="T1490">
        <v>1</v>
      </c>
      <c r="U1490" t="s">
        <v>6018</v>
      </c>
      <c r="V1490">
        <v>0</v>
      </c>
    </row>
    <row r="1491" spans="1:22" x14ac:dyDescent="0.3">
      <c r="A1491" t="s">
        <v>1506</v>
      </c>
      <c r="B1491" s="2">
        <v>46091.875</v>
      </c>
      <c r="C1491" s="2">
        <v>46094.2</v>
      </c>
      <c r="D1491" t="s">
        <v>6028</v>
      </c>
      <c r="E1491" t="s">
        <v>6032</v>
      </c>
      <c r="F1491" t="s">
        <v>6035</v>
      </c>
      <c r="G1491" t="s">
        <v>6051</v>
      </c>
      <c r="H1491" t="s">
        <v>6097</v>
      </c>
      <c r="I1491">
        <v>4</v>
      </c>
      <c r="J1491">
        <v>55.8</v>
      </c>
      <c r="K1491" t="s">
        <v>6100</v>
      </c>
      <c r="L1491" t="s">
        <v>6100</v>
      </c>
      <c r="M1491" t="s">
        <v>6100</v>
      </c>
      <c r="N1491">
        <v>4</v>
      </c>
      <c r="O1491" t="s">
        <v>6101</v>
      </c>
      <c r="P1491" t="s">
        <v>6109</v>
      </c>
      <c r="Q1491">
        <v>3</v>
      </c>
      <c r="R1491">
        <v>2026</v>
      </c>
      <c r="S1491" t="s">
        <v>6100</v>
      </c>
      <c r="T1491">
        <v>0</v>
      </c>
      <c r="U1491" t="s">
        <v>6018</v>
      </c>
      <c r="V1491">
        <v>0</v>
      </c>
    </row>
    <row r="1492" spans="1:22" x14ac:dyDescent="0.3">
      <c r="A1492" t="s">
        <v>1507</v>
      </c>
      <c r="B1492" s="2">
        <v>46091.875</v>
      </c>
      <c r="C1492" s="2">
        <v>46093.425000000003</v>
      </c>
      <c r="D1492" t="s">
        <v>6028</v>
      </c>
      <c r="E1492" t="s">
        <v>6029</v>
      </c>
      <c r="F1492" t="s">
        <v>6034</v>
      </c>
      <c r="G1492" t="s">
        <v>6036</v>
      </c>
      <c r="H1492" t="s">
        <v>6096</v>
      </c>
      <c r="I1492">
        <v>24</v>
      </c>
      <c r="J1492">
        <v>37.200000000000003</v>
      </c>
      <c r="K1492" t="s">
        <v>6099</v>
      </c>
      <c r="L1492" t="s">
        <v>6100</v>
      </c>
      <c r="M1492" t="s">
        <v>6100</v>
      </c>
      <c r="N1492">
        <v>4</v>
      </c>
      <c r="O1492" t="s">
        <v>6101</v>
      </c>
      <c r="P1492" t="s">
        <v>6109</v>
      </c>
      <c r="Q1492">
        <v>3</v>
      </c>
      <c r="R1492">
        <v>2026</v>
      </c>
      <c r="S1492" t="s">
        <v>6100</v>
      </c>
      <c r="T1492">
        <v>0</v>
      </c>
      <c r="U1492" t="s">
        <v>6018</v>
      </c>
      <c r="V1492">
        <v>1</v>
      </c>
    </row>
    <row r="1493" spans="1:22" x14ac:dyDescent="0.3">
      <c r="A1493" t="s">
        <v>1508</v>
      </c>
      <c r="B1493" s="2">
        <v>46091.875</v>
      </c>
      <c r="C1493" s="2">
        <v>46094.441666666666</v>
      </c>
      <c r="D1493" t="s">
        <v>6028</v>
      </c>
      <c r="E1493" t="s">
        <v>6031</v>
      </c>
      <c r="F1493" t="s">
        <v>6034</v>
      </c>
      <c r="G1493" t="s">
        <v>6049</v>
      </c>
      <c r="H1493" t="s">
        <v>6097</v>
      </c>
      <c r="I1493">
        <v>24</v>
      </c>
      <c r="J1493">
        <v>61.6</v>
      </c>
      <c r="K1493" t="s">
        <v>6099</v>
      </c>
      <c r="L1493" t="s">
        <v>6100</v>
      </c>
      <c r="M1493" t="s">
        <v>6099</v>
      </c>
      <c r="O1493" t="s">
        <v>6101</v>
      </c>
      <c r="P1493" t="s">
        <v>6109</v>
      </c>
      <c r="Q1493">
        <v>3</v>
      </c>
      <c r="R1493">
        <v>2026</v>
      </c>
      <c r="S1493" t="s">
        <v>6100</v>
      </c>
      <c r="T1493">
        <v>0</v>
      </c>
      <c r="U1493" t="s">
        <v>6018</v>
      </c>
      <c r="V1493">
        <v>1</v>
      </c>
    </row>
    <row r="1494" spans="1:22" x14ac:dyDescent="0.3">
      <c r="A1494" t="s">
        <v>1509</v>
      </c>
      <c r="B1494" s="2">
        <v>46091.875</v>
      </c>
      <c r="C1494" s="2">
        <v>46092.26666666667</v>
      </c>
      <c r="D1494" t="s">
        <v>6028</v>
      </c>
      <c r="E1494" t="s">
        <v>6030</v>
      </c>
      <c r="F1494" t="s">
        <v>6034</v>
      </c>
      <c r="G1494" t="s">
        <v>6063</v>
      </c>
      <c r="H1494" t="s">
        <v>6097</v>
      </c>
      <c r="I1494">
        <v>24</v>
      </c>
      <c r="J1494">
        <v>9.4</v>
      </c>
      <c r="K1494" t="s">
        <v>6099</v>
      </c>
      <c r="L1494" t="s">
        <v>6100</v>
      </c>
      <c r="M1494" t="s">
        <v>6100</v>
      </c>
      <c r="N1494">
        <v>5</v>
      </c>
      <c r="O1494" t="s">
        <v>6101</v>
      </c>
      <c r="P1494" t="s">
        <v>6109</v>
      </c>
      <c r="Q1494">
        <v>3</v>
      </c>
      <c r="R1494">
        <v>2026</v>
      </c>
      <c r="S1494" t="s">
        <v>6099</v>
      </c>
      <c r="T1494">
        <v>1</v>
      </c>
      <c r="U1494" t="s">
        <v>6018</v>
      </c>
      <c r="V1494">
        <v>1</v>
      </c>
    </row>
    <row r="1495" spans="1:22" x14ac:dyDescent="0.3">
      <c r="A1495" t="s">
        <v>1510</v>
      </c>
      <c r="B1495" s="2">
        <v>46091.875</v>
      </c>
      <c r="C1495" s="2">
        <v>46095.145833333336</v>
      </c>
      <c r="D1495" t="s">
        <v>6028</v>
      </c>
      <c r="E1495" t="s">
        <v>6031</v>
      </c>
      <c r="F1495" t="s">
        <v>6035</v>
      </c>
      <c r="G1495" t="s">
        <v>6044</v>
      </c>
      <c r="H1495" t="s">
        <v>6097</v>
      </c>
      <c r="I1495">
        <v>4</v>
      </c>
      <c r="J1495">
        <v>78.5</v>
      </c>
      <c r="K1495" t="s">
        <v>6100</v>
      </c>
      <c r="L1495" t="s">
        <v>6100</v>
      </c>
      <c r="M1495" t="s">
        <v>6100</v>
      </c>
      <c r="N1495">
        <v>3</v>
      </c>
      <c r="O1495" t="s">
        <v>6101</v>
      </c>
      <c r="P1495" t="s">
        <v>6109</v>
      </c>
      <c r="Q1495">
        <v>3</v>
      </c>
      <c r="R1495">
        <v>2026</v>
      </c>
      <c r="S1495" t="s">
        <v>6100</v>
      </c>
      <c r="T1495">
        <v>0</v>
      </c>
      <c r="U1495" t="s">
        <v>6018</v>
      </c>
      <c r="V1495">
        <v>0</v>
      </c>
    </row>
    <row r="1496" spans="1:22" x14ac:dyDescent="0.3">
      <c r="A1496" t="s">
        <v>1511</v>
      </c>
      <c r="B1496" s="2">
        <v>46092.188194444447</v>
      </c>
      <c r="C1496" s="2">
        <v>46094.425694444442</v>
      </c>
      <c r="D1496" t="s">
        <v>6024</v>
      </c>
      <c r="E1496" t="s">
        <v>6031</v>
      </c>
      <c r="F1496" t="s">
        <v>6033</v>
      </c>
      <c r="G1496" t="s">
        <v>6049</v>
      </c>
      <c r="H1496" t="s">
        <v>6097</v>
      </c>
      <c r="I1496">
        <v>72</v>
      </c>
      <c r="J1496">
        <v>53.7</v>
      </c>
      <c r="K1496" t="s">
        <v>6099</v>
      </c>
      <c r="L1496" t="s">
        <v>6100</v>
      </c>
      <c r="M1496" t="s">
        <v>6100</v>
      </c>
      <c r="N1496">
        <v>4</v>
      </c>
      <c r="O1496" t="s">
        <v>6101</v>
      </c>
      <c r="P1496" t="s">
        <v>6109</v>
      </c>
      <c r="Q1496">
        <v>3</v>
      </c>
      <c r="R1496">
        <v>2026</v>
      </c>
      <c r="S1496" t="s">
        <v>6099</v>
      </c>
      <c r="T1496">
        <v>1</v>
      </c>
      <c r="U1496" t="s">
        <v>6019</v>
      </c>
      <c r="V1496">
        <v>1</v>
      </c>
    </row>
    <row r="1497" spans="1:22" x14ac:dyDescent="0.3">
      <c r="A1497" t="s">
        <v>1512</v>
      </c>
      <c r="B1497" s="2">
        <v>46092.25</v>
      </c>
      <c r="C1497" s="2">
        <v>46092.495833333334</v>
      </c>
      <c r="D1497" t="s">
        <v>6028</v>
      </c>
      <c r="E1497" t="s">
        <v>6030</v>
      </c>
      <c r="F1497" t="s">
        <v>6033</v>
      </c>
      <c r="G1497" t="s">
        <v>6087</v>
      </c>
      <c r="H1497" t="s">
        <v>6098</v>
      </c>
      <c r="I1497">
        <v>72</v>
      </c>
      <c r="J1497">
        <v>5.9</v>
      </c>
      <c r="K1497" t="s">
        <v>6099</v>
      </c>
      <c r="L1497" t="s">
        <v>6100</v>
      </c>
      <c r="M1497" t="s">
        <v>6100</v>
      </c>
      <c r="O1497" t="s">
        <v>6101</v>
      </c>
      <c r="P1497" t="s">
        <v>6109</v>
      </c>
      <c r="Q1497">
        <v>3</v>
      </c>
      <c r="R1497">
        <v>2026</v>
      </c>
      <c r="S1497" t="s">
        <v>6099</v>
      </c>
      <c r="T1497">
        <v>1</v>
      </c>
      <c r="U1497" t="s">
        <v>6018</v>
      </c>
      <c r="V1497">
        <v>1</v>
      </c>
    </row>
    <row r="1498" spans="1:22" x14ac:dyDescent="0.3">
      <c r="A1498" t="s">
        <v>1513</v>
      </c>
      <c r="B1498" s="2">
        <v>46092.25</v>
      </c>
      <c r="C1498" s="2">
        <v>46094.9</v>
      </c>
      <c r="D1498" t="s">
        <v>6028</v>
      </c>
      <c r="E1498" t="s">
        <v>6031</v>
      </c>
      <c r="F1498" t="s">
        <v>6034</v>
      </c>
      <c r="G1498" t="s">
        <v>6087</v>
      </c>
      <c r="H1498" t="s">
        <v>6098</v>
      </c>
      <c r="I1498">
        <v>24</v>
      </c>
      <c r="J1498">
        <v>63.6</v>
      </c>
      <c r="K1498" t="s">
        <v>6099</v>
      </c>
      <c r="L1498" t="s">
        <v>6100</v>
      </c>
      <c r="M1498" t="s">
        <v>6100</v>
      </c>
      <c r="O1498" t="s">
        <v>6101</v>
      </c>
      <c r="P1498" t="s">
        <v>6109</v>
      </c>
      <c r="Q1498">
        <v>3</v>
      </c>
      <c r="R1498">
        <v>2026</v>
      </c>
      <c r="S1498" t="s">
        <v>6100</v>
      </c>
      <c r="T1498">
        <v>0</v>
      </c>
      <c r="U1498" t="s">
        <v>6018</v>
      </c>
      <c r="V1498">
        <v>1</v>
      </c>
    </row>
    <row r="1499" spans="1:22" x14ac:dyDescent="0.3">
      <c r="A1499" t="s">
        <v>1514</v>
      </c>
      <c r="B1499" s="2">
        <v>46092.25</v>
      </c>
      <c r="C1499" s="2">
        <v>46095.008333333331</v>
      </c>
      <c r="D1499" t="s">
        <v>6028</v>
      </c>
      <c r="E1499" t="s">
        <v>6031</v>
      </c>
      <c r="F1499" t="s">
        <v>6034</v>
      </c>
      <c r="G1499" t="s">
        <v>6080</v>
      </c>
      <c r="H1499" t="s">
        <v>6096</v>
      </c>
      <c r="I1499">
        <v>24</v>
      </c>
      <c r="J1499">
        <v>66.2</v>
      </c>
      <c r="K1499" t="s">
        <v>6099</v>
      </c>
      <c r="L1499" t="s">
        <v>6100</v>
      </c>
      <c r="M1499" t="s">
        <v>6100</v>
      </c>
      <c r="N1499">
        <v>3</v>
      </c>
      <c r="O1499" t="s">
        <v>6101</v>
      </c>
      <c r="P1499" t="s">
        <v>6109</v>
      </c>
      <c r="Q1499">
        <v>3</v>
      </c>
      <c r="R1499">
        <v>2026</v>
      </c>
      <c r="S1499" t="s">
        <v>6100</v>
      </c>
      <c r="T1499">
        <v>0</v>
      </c>
      <c r="U1499" t="s">
        <v>6018</v>
      </c>
      <c r="V1499">
        <v>1</v>
      </c>
    </row>
    <row r="1500" spans="1:22" x14ac:dyDescent="0.3">
      <c r="A1500" t="s">
        <v>1515</v>
      </c>
      <c r="B1500" s="2">
        <v>46092.25</v>
      </c>
      <c r="C1500" s="2">
        <v>46094.908333333333</v>
      </c>
      <c r="D1500" t="s">
        <v>6028</v>
      </c>
      <c r="E1500" t="s">
        <v>6029</v>
      </c>
      <c r="F1500" t="s">
        <v>6035</v>
      </c>
      <c r="G1500" t="s">
        <v>6065</v>
      </c>
      <c r="H1500" t="s">
        <v>6097</v>
      </c>
      <c r="I1500">
        <v>4</v>
      </c>
      <c r="J1500">
        <v>63.8</v>
      </c>
      <c r="K1500" t="s">
        <v>6099</v>
      </c>
      <c r="L1500" t="s">
        <v>6100</v>
      </c>
      <c r="M1500" t="s">
        <v>6099</v>
      </c>
      <c r="O1500" t="s">
        <v>6101</v>
      </c>
      <c r="P1500" t="s">
        <v>6109</v>
      </c>
      <c r="Q1500">
        <v>3</v>
      </c>
      <c r="R1500">
        <v>2026</v>
      </c>
      <c r="S1500" t="s">
        <v>6100</v>
      </c>
      <c r="T1500">
        <v>0</v>
      </c>
      <c r="U1500" t="s">
        <v>6018</v>
      </c>
      <c r="V1500">
        <v>1</v>
      </c>
    </row>
    <row r="1501" spans="1:22" x14ac:dyDescent="0.3">
      <c r="A1501" t="s">
        <v>1516</v>
      </c>
      <c r="B1501" s="2">
        <v>46092.259027777778</v>
      </c>
      <c r="C1501" s="2">
        <v>46092.571527777778</v>
      </c>
      <c r="D1501" t="s">
        <v>6028</v>
      </c>
      <c r="E1501" t="s">
        <v>6030</v>
      </c>
      <c r="F1501" t="s">
        <v>6035</v>
      </c>
      <c r="G1501" t="s">
        <v>6066</v>
      </c>
      <c r="H1501" t="s">
        <v>6096</v>
      </c>
      <c r="I1501">
        <v>4</v>
      </c>
      <c r="J1501">
        <v>7.5</v>
      </c>
      <c r="K1501" t="s">
        <v>6099</v>
      </c>
      <c r="L1501" t="s">
        <v>6100</v>
      </c>
      <c r="M1501" t="s">
        <v>6100</v>
      </c>
      <c r="O1501" t="s">
        <v>6101</v>
      </c>
      <c r="P1501" t="s">
        <v>6109</v>
      </c>
      <c r="Q1501">
        <v>3</v>
      </c>
      <c r="R1501">
        <v>2026</v>
      </c>
      <c r="S1501" t="s">
        <v>6100</v>
      </c>
      <c r="T1501">
        <v>0</v>
      </c>
      <c r="U1501" t="s">
        <v>6018</v>
      </c>
      <c r="V1501">
        <v>1</v>
      </c>
    </row>
    <row r="1502" spans="1:22" x14ac:dyDescent="0.3">
      <c r="A1502" t="s">
        <v>1517</v>
      </c>
      <c r="B1502" s="2">
        <v>46092.291666666664</v>
      </c>
      <c r="C1502" s="2">
        <v>46092.70416666667</v>
      </c>
      <c r="D1502" t="s">
        <v>6028</v>
      </c>
      <c r="E1502" t="s">
        <v>6029</v>
      </c>
      <c r="F1502" t="s">
        <v>6034</v>
      </c>
      <c r="G1502" t="s">
        <v>6076</v>
      </c>
      <c r="H1502" t="s">
        <v>6097</v>
      </c>
      <c r="I1502">
        <v>24</v>
      </c>
      <c r="J1502">
        <v>9.9</v>
      </c>
      <c r="K1502" t="s">
        <v>6099</v>
      </c>
      <c r="L1502" t="s">
        <v>6100</v>
      </c>
      <c r="M1502" t="s">
        <v>6100</v>
      </c>
      <c r="N1502">
        <v>4</v>
      </c>
      <c r="O1502" t="s">
        <v>6101</v>
      </c>
      <c r="P1502" t="s">
        <v>6109</v>
      </c>
      <c r="Q1502">
        <v>3</v>
      </c>
      <c r="R1502">
        <v>2026</v>
      </c>
      <c r="S1502" t="s">
        <v>6099</v>
      </c>
      <c r="T1502">
        <v>1</v>
      </c>
      <c r="U1502" t="s">
        <v>6018</v>
      </c>
      <c r="V1502">
        <v>1</v>
      </c>
    </row>
    <row r="1503" spans="1:22" x14ac:dyDescent="0.3">
      <c r="A1503" t="s">
        <v>1518</v>
      </c>
      <c r="B1503" s="2">
        <v>46092.291666666664</v>
      </c>
      <c r="C1503" s="2">
        <v>46093.558333333334</v>
      </c>
      <c r="D1503" t="s">
        <v>6028</v>
      </c>
      <c r="E1503" t="s">
        <v>6031</v>
      </c>
      <c r="F1503" t="s">
        <v>6035</v>
      </c>
      <c r="G1503" t="s">
        <v>6058</v>
      </c>
      <c r="H1503" t="s">
        <v>6098</v>
      </c>
      <c r="I1503">
        <v>4</v>
      </c>
      <c r="J1503">
        <v>30.4</v>
      </c>
      <c r="K1503" t="s">
        <v>6099</v>
      </c>
      <c r="L1503" t="s">
        <v>6100</v>
      </c>
      <c r="M1503" t="s">
        <v>6100</v>
      </c>
      <c r="N1503">
        <v>5</v>
      </c>
      <c r="O1503" t="s">
        <v>6101</v>
      </c>
      <c r="P1503" t="s">
        <v>6109</v>
      </c>
      <c r="Q1503">
        <v>3</v>
      </c>
      <c r="R1503">
        <v>2026</v>
      </c>
      <c r="S1503" t="s">
        <v>6100</v>
      </c>
      <c r="T1503">
        <v>0</v>
      </c>
      <c r="U1503" t="s">
        <v>6017</v>
      </c>
      <c r="V1503">
        <v>1</v>
      </c>
    </row>
    <row r="1504" spans="1:22" x14ac:dyDescent="0.3">
      <c r="A1504" t="s">
        <v>1519</v>
      </c>
      <c r="B1504" s="2">
        <v>46092.333333333336</v>
      </c>
      <c r="C1504" s="2">
        <v>46093.51666666667</v>
      </c>
      <c r="D1504" t="s">
        <v>6028</v>
      </c>
      <c r="E1504" t="s">
        <v>6029</v>
      </c>
      <c r="F1504" t="s">
        <v>6035</v>
      </c>
      <c r="G1504" t="s">
        <v>6080</v>
      </c>
      <c r="H1504" t="s">
        <v>6096</v>
      </c>
      <c r="I1504">
        <v>4</v>
      </c>
      <c r="J1504">
        <v>28.4</v>
      </c>
      <c r="K1504" t="s">
        <v>6099</v>
      </c>
      <c r="L1504" t="s">
        <v>6100</v>
      </c>
      <c r="M1504" t="s">
        <v>6100</v>
      </c>
      <c r="O1504" t="s">
        <v>6101</v>
      </c>
      <c r="P1504" t="s">
        <v>6109</v>
      </c>
      <c r="Q1504">
        <v>3</v>
      </c>
      <c r="R1504">
        <v>2026</v>
      </c>
      <c r="S1504" t="s">
        <v>6100</v>
      </c>
      <c r="T1504">
        <v>0</v>
      </c>
      <c r="U1504" t="s">
        <v>6018</v>
      </c>
      <c r="V1504">
        <v>1</v>
      </c>
    </row>
    <row r="1505" spans="1:22" x14ac:dyDescent="0.3">
      <c r="A1505" t="s">
        <v>1520</v>
      </c>
      <c r="B1505" s="2">
        <v>46092.333333333336</v>
      </c>
      <c r="C1505" s="2">
        <v>46092.45416666667</v>
      </c>
      <c r="D1505" t="s">
        <v>6028</v>
      </c>
      <c r="E1505" t="s">
        <v>6030</v>
      </c>
      <c r="F1505" t="s">
        <v>6034</v>
      </c>
      <c r="G1505" t="s">
        <v>6074</v>
      </c>
      <c r="H1505" t="s">
        <v>6098</v>
      </c>
      <c r="I1505">
        <v>24</v>
      </c>
      <c r="J1505">
        <v>2.9</v>
      </c>
      <c r="K1505" t="s">
        <v>6099</v>
      </c>
      <c r="L1505" t="s">
        <v>6100</v>
      </c>
      <c r="M1505" t="s">
        <v>6100</v>
      </c>
      <c r="N1505">
        <v>5</v>
      </c>
      <c r="O1505" t="s">
        <v>6101</v>
      </c>
      <c r="P1505" t="s">
        <v>6109</v>
      </c>
      <c r="Q1505">
        <v>3</v>
      </c>
      <c r="R1505">
        <v>2026</v>
      </c>
      <c r="S1505" t="s">
        <v>6099</v>
      </c>
      <c r="T1505">
        <v>1</v>
      </c>
      <c r="U1505" t="s">
        <v>6018</v>
      </c>
      <c r="V1505">
        <v>1</v>
      </c>
    </row>
    <row r="1506" spans="1:22" x14ac:dyDescent="0.3">
      <c r="A1506" t="s">
        <v>1521</v>
      </c>
      <c r="B1506" s="2">
        <v>46092.338888888888</v>
      </c>
      <c r="C1506" s="2">
        <v>46092.551388888889</v>
      </c>
      <c r="D1506" t="s">
        <v>6023</v>
      </c>
      <c r="E1506" t="s">
        <v>6029</v>
      </c>
      <c r="F1506" t="s">
        <v>6034</v>
      </c>
      <c r="G1506" t="s">
        <v>6044</v>
      </c>
      <c r="H1506" t="s">
        <v>6097</v>
      </c>
      <c r="I1506">
        <v>24</v>
      </c>
      <c r="J1506">
        <v>5.0999999999999996</v>
      </c>
      <c r="K1506" t="s">
        <v>6099</v>
      </c>
      <c r="L1506" t="s">
        <v>6100</v>
      </c>
      <c r="M1506" t="s">
        <v>6099</v>
      </c>
      <c r="N1506">
        <v>5</v>
      </c>
      <c r="O1506" t="s">
        <v>6101</v>
      </c>
      <c r="P1506" t="s">
        <v>6109</v>
      </c>
      <c r="Q1506">
        <v>3</v>
      </c>
      <c r="R1506">
        <v>2026</v>
      </c>
      <c r="S1506" t="s">
        <v>6099</v>
      </c>
      <c r="T1506">
        <v>1</v>
      </c>
      <c r="U1506" t="s">
        <v>6021</v>
      </c>
      <c r="V1506">
        <v>1</v>
      </c>
    </row>
    <row r="1507" spans="1:22" x14ac:dyDescent="0.3">
      <c r="A1507" t="s">
        <v>1522</v>
      </c>
      <c r="B1507" s="2">
        <v>46092.375</v>
      </c>
      <c r="C1507" s="2">
        <v>46094.033333333333</v>
      </c>
      <c r="D1507" t="s">
        <v>6028</v>
      </c>
      <c r="E1507" t="s">
        <v>6031</v>
      </c>
      <c r="F1507" t="s">
        <v>6035</v>
      </c>
      <c r="G1507" t="s">
        <v>6083</v>
      </c>
      <c r="H1507" t="s">
        <v>6096</v>
      </c>
      <c r="I1507">
        <v>4</v>
      </c>
      <c r="J1507">
        <v>39.799999999999997</v>
      </c>
      <c r="K1507" t="s">
        <v>6099</v>
      </c>
      <c r="L1507" t="s">
        <v>6100</v>
      </c>
      <c r="M1507" t="s">
        <v>6100</v>
      </c>
      <c r="N1507">
        <v>4</v>
      </c>
      <c r="O1507" t="s">
        <v>6101</v>
      </c>
      <c r="P1507" t="s">
        <v>6109</v>
      </c>
      <c r="Q1507">
        <v>3</v>
      </c>
      <c r="R1507">
        <v>2026</v>
      </c>
      <c r="S1507" t="s">
        <v>6100</v>
      </c>
      <c r="T1507">
        <v>0</v>
      </c>
      <c r="U1507" t="s">
        <v>6018</v>
      </c>
      <c r="V1507">
        <v>1</v>
      </c>
    </row>
    <row r="1508" spans="1:22" x14ac:dyDescent="0.3">
      <c r="A1508" t="s">
        <v>1523</v>
      </c>
      <c r="B1508" s="2">
        <v>46092.375</v>
      </c>
      <c r="C1508" s="2">
        <v>46093.816666666666</v>
      </c>
      <c r="D1508" t="s">
        <v>6028</v>
      </c>
      <c r="E1508" t="s">
        <v>6030</v>
      </c>
      <c r="F1508" t="s">
        <v>6035</v>
      </c>
      <c r="G1508" t="s">
        <v>6041</v>
      </c>
      <c r="H1508" t="s">
        <v>6096</v>
      </c>
      <c r="I1508">
        <v>4</v>
      </c>
      <c r="J1508">
        <v>34.6</v>
      </c>
      <c r="K1508" t="s">
        <v>6099</v>
      </c>
      <c r="L1508" t="s">
        <v>6100</v>
      </c>
      <c r="M1508" t="s">
        <v>6100</v>
      </c>
      <c r="N1508">
        <v>4</v>
      </c>
      <c r="O1508" t="s">
        <v>6101</v>
      </c>
      <c r="P1508" t="s">
        <v>6109</v>
      </c>
      <c r="Q1508">
        <v>3</v>
      </c>
      <c r="R1508">
        <v>2026</v>
      </c>
      <c r="S1508" t="s">
        <v>6100</v>
      </c>
      <c r="T1508">
        <v>0</v>
      </c>
      <c r="U1508" t="s">
        <v>6018</v>
      </c>
      <c r="V1508">
        <v>1</v>
      </c>
    </row>
    <row r="1509" spans="1:22" x14ac:dyDescent="0.3">
      <c r="A1509" t="s">
        <v>1524</v>
      </c>
      <c r="B1509" s="2">
        <v>46092.375</v>
      </c>
      <c r="C1509" s="2">
        <v>46100.775000000001</v>
      </c>
      <c r="D1509" t="s">
        <v>6028</v>
      </c>
      <c r="E1509" t="s">
        <v>6031</v>
      </c>
      <c r="F1509" t="s">
        <v>6035</v>
      </c>
      <c r="G1509" t="s">
        <v>6041</v>
      </c>
      <c r="H1509" t="s">
        <v>6096</v>
      </c>
      <c r="I1509">
        <v>4</v>
      </c>
      <c r="J1509">
        <v>201.6</v>
      </c>
      <c r="K1509" t="s">
        <v>6099</v>
      </c>
      <c r="L1509" t="s">
        <v>6100</v>
      </c>
      <c r="M1509" t="s">
        <v>6099</v>
      </c>
      <c r="N1509">
        <v>3</v>
      </c>
      <c r="O1509" t="s">
        <v>6101</v>
      </c>
      <c r="P1509" t="s">
        <v>6109</v>
      </c>
      <c r="Q1509">
        <v>3</v>
      </c>
      <c r="R1509">
        <v>2026</v>
      </c>
      <c r="S1509" t="s">
        <v>6100</v>
      </c>
      <c r="T1509">
        <v>0</v>
      </c>
      <c r="U1509" t="s">
        <v>6018</v>
      </c>
      <c r="V1509">
        <v>1</v>
      </c>
    </row>
    <row r="1510" spans="1:22" x14ac:dyDescent="0.3">
      <c r="A1510" t="s">
        <v>1525</v>
      </c>
      <c r="B1510" s="2">
        <v>46092.384722222225</v>
      </c>
      <c r="C1510" s="2">
        <v>46092.580555555556</v>
      </c>
      <c r="D1510" t="s">
        <v>6023</v>
      </c>
      <c r="E1510" t="s">
        <v>6030</v>
      </c>
      <c r="F1510" t="s">
        <v>6033</v>
      </c>
      <c r="G1510" t="s">
        <v>6080</v>
      </c>
      <c r="H1510" t="s">
        <v>6096</v>
      </c>
      <c r="I1510">
        <v>72</v>
      </c>
      <c r="J1510">
        <v>4.7</v>
      </c>
      <c r="K1510" t="s">
        <v>6100</v>
      </c>
      <c r="L1510" t="s">
        <v>6099</v>
      </c>
      <c r="M1510" t="s">
        <v>6100</v>
      </c>
      <c r="O1510" t="s">
        <v>6101</v>
      </c>
      <c r="P1510" t="s">
        <v>6109</v>
      </c>
      <c r="Q1510">
        <v>3</v>
      </c>
      <c r="R1510">
        <v>2026</v>
      </c>
      <c r="S1510" t="s">
        <v>6099</v>
      </c>
      <c r="T1510">
        <v>1</v>
      </c>
      <c r="U1510" t="s">
        <v>6021</v>
      </c>
      <c r="V1510">
        <v>0</v>
      </c>
    </row>
    <row r="1511" spans="1:22" x14ac:dyDescent="0.3">
      <c r="A1511" t="s">
        <v>1526</v>
      </c>
      <c r="B1511" s="2">
        <v>46092.386805555558</v>
      </c>
      <c r="C1511" s="2">
        <v>46094.803472222222</v>
      </c>
      <c r="D1511" t="s">
        <v>6026</v>
      </c>
      <c r="E1511" t="s">
        <v>6031</v>
      </c>
      <c r="F1511" t="s">
        <v>6033</v>
      </c>
      <c r="G1511" t="s">
        <v>6085</v>
      </c>
      <c r="H1511" t="s">
        <v>6097</v>
      </c>
      <c r="I1511">
        <v>72</v>
      </c>
      <c r="J1511">
        <v>58</v>
      </c>
      <c r="K1511" t="s">
        <v>6100</v>
      </c>
      <c r="L1511" t="s">
        <v>6099</v>
      </c>
      <c r="M1511" t="s">
        <v>6100</v>
      </c>
      <c r="N1511">
        <v>5</v>
      </c>
      <c r="O1511" t="s">
        <v>6101</v>
      </c>
      <c r="P1511" t="s">
        <v>6109</v>
      </c>
      <c r="Q1511">
        <v>3</v>
      </c>
      <c r="R1511">
        <v>2026</v>
      </c>
      <c r="S1511" t="s">
        <v>6099</v>
      </c>
      <c r="T1511">
        <v>1</v>
      </c>
      <c r="U1511" t="s">
        <v>6018</v>
      </c>
      <c r="V1511">
        <v>0</v>
      </c>
    </row>
    <row r="1512" spans="1:22" x14ac:dyDescent="0.3">
      <c r="A1512" t="s">
        <v>1527</v>
      </c>
      <c r="B1512" s="2">
        <v>46092.388888888891</v>
      </c>
      <c r="C1512" s="2">
        <v>46092.555555555555</v>
      </c>
      <c r="D1512" t="s">
        <v>6027</v>
      </c>
      <c r="E1512" t="s">
        <v>6030</v>
      </c>
      <c r="F1512" t="s">
        <v>6035</v>
      </c>
      <c r="G1512" t="s">
        <v>6064</v>
      </c>
      <c r="H1512" t="s">
        <v>6096</v>
      </c>
      <c r="I1512">
        <v>4</v>
      </c>
      <c r="J1512">
        <v>4</v>
      </c>
      <c r="K1512" t="s">
        <v>6099</v>
      </c>
      <c r="L1512" t="s">
        <v>6100</v>
      </c>
      <c r="M1512" t="s">
        <v>6100</v>
      </c>
      <c r="N1512">
        <v>5</v>
      </c>
      <c r="O1512" t="s">
        <v>6101</v>
      </c>
      <c r="P1512" t="s">
        <v>6109</v>
      </c>
      <c r="Q1512">
        <v>3</v>
      </c>
      <c r="R1512">
        <v>2026</v>
      </c>
      <c r="S1512" t="s">
        <v>6099</v>
      </c>
      <c r="T1512">
        <v>1</v>
      </c>
      <c r="U1512" t="s">
        <v>6019</v>
      </c>
      <c r="V1512">
        <v>1</v>
      </c>
    </row>
    <row r="1513" spans="1:22" x14ac:dyDescent="0.3">
      <c r="A1513" t="s">
        <v>1528</v>
      </c>
      <c r="B1513" s="2">
        <v>46092.42291666667</v>
      </c>
      <c r="C1513" s="2">
        <v>46092.618750000001</v>
      </c>
      <c r="D1513" t="s">
        <v>6027</v>
      </c>
      <c r="E1513" t="s">
        <v>6029</v>
      </c>
      <c r="F1513" t="s">
        <v>6033</v>
      </c>
      <c r="G1513" t="s">
        <v>6081</v>
      </c>
      <c r="H1513" t="s">
        <v>6098</v>
      </c>
      <c r="I1513">
        <v>72</v>
      </c>
      <c r="J1513">
        <v>4.7</v>
      </c>
      <c r="K1513" t="s">
        <v>6099</v>
      </c>
      <c r="L1513" t="s">
        <v>6100</v>
      </c>
      <c r="M1513" t="s">
        <v>6100</v>
      </c>
      <c r="O1513" t="s">
        <v>6101</v>
      </c>
      <c r="P1513" t="s">
        <v>6109</v>
      </c>
      <c r="Q1513">
        <v>3</v>
      </c>
      <c r="R1513">
        <v>2026</v>
      </c>
      <c r="S1513" t="s">
        <v>6099</v>
      </c>
      <c r="T1513">
        <v>1</v>
      </c>
      <c r="U1513" t="s">
        <v>6021</v>
      </c>
      <c r="V1513">
        <v>1</v>
      </c>
    </row>
    <row r="1514" spans="1:22" x14ac:dyDescent="0.3">
      <c r="A1514" t="s">
        <v>1529</v>
      </c>
      <c r="B1514" s="2">
        <v>46092.448611111111</v>
      </c>
      <c r="C1514" s="2">
        <v>46095.061111111114</v>
      </c>
      <c r="D1514" t="s">
        <v>6025</v>
      </c>
      <c r="E1514" t="s">
        <v>6031</v>
      </c>
      <c r="F1514" t="s">
        <v>6035</v>
      </c>
      <c r="G1514" t="s">
        <v>6089</v>
      </c>
      <c r="H1514" t="s">
        <v>6098</v>
      </c>
      <c r="I1514">
        <v>4</v>
      </c>
      <c r="J1514">
        <v>62.7</v>
      </c>
      <c r="K1514" t="s">
        <v>6099</v>
      </c>
      <c r="L1514" t="s">
        <v>6100</v>
      </c>
      <c r="M1514" t="s">
        <v>6100</v>
      </c>
      <c r="N1514">
        <v>5</v>
      </c>
      <c r="O1514" t="s">
        <v>6101</v>
      </c>
      <c r="P1514" t="s">
        <v>6109</v>
      </c>
      <c r="Q1514">
        <v>3</v>
      </c>
      <c r="R1514">
        <v>2026</v>
      </c>
      <c r="S1514" t="s">
        <v>6100</v>
      </c>
      <c r="T1514">
        <v>0</v>
      </c>
      <c r="U1514" t="s">
        <v>6019</v>
      </c>
      <c r="V1514">
        <v>1</v>
      </c>
    </row>
    <row r="1515" spans="1:22" x14ac:dyDescent="0.3">
      <c r="A1515" t="s">
        <v>1530</v>
      </c>
      <c r="B1515" s="2">
        <v>46092.458333333336</v>
      </c>
      <c r="C1515" s="2">
        <v>46093.758333333331</v>
      </c>
      <c r="D1515" t="s">
        <v>6028</v>
      </c>
      <c r="E1515" t="s">
        <v>6032</v>
      </c>
      <c r="F1515" t="s">
        <v>6034</v>
      </c>
      <c r="G1515" t="s">
        <v>6046</v>
      </c>
      <c r="H1515" t="s">
        <v>6098</v>
      </c>
      <c r="I1515">
        <v>24</v>
      </c>
      <c r="J1515">
        <v>31.2</v>
      </c>
      <c r="K1515" t="s">
        <v>6099</v>
      </c>
      <c r="L1515" t="s">
        <v>6100</v>
      </c>
      <c r="M1515" t="s">
        <v>6100</v>
      </c>
      <c r="N1515">
        <v>3</v>
      </c>
      <c r="O1515" t="s">
        <v>6101</v>
      </c>
      <c r="P1515" t="s">
        <v>6109</v>
      </c>
      <c r="Q1515">
        <v>3</v>
      </c>
      <c r="R1515">
        <v>2026</v>
      </c>
      <c r="S1515" t="s">
        <v>6100</v>
      </c>
      <c r="T1515">
        <v>0</v>
      </c>
      <c r="U1515" t="s">
        <v>6018</v>
      </c>
      <c r="V1515">
        <v>1</v>
      </c>
    </row>
    <row r="1516" spans="1:22" x14ac:dyDescent="0.3">
      <c r="A1516" t="s">
        <v>1531</v>
      </c>
      <c r="B1516" s="2">
        <v>46092.458333333336</v>
      </c>
      <c r="C1516" s="2">
        <v>46094.308333333334</v>
      </c>
      <c r="D1516" t="s">
        <v>6028</v>
      </c>
      <c r="E1516" t="s">
        <v>6029</v>
      </c>
      <c r="F1516" t="s">
        <v>6033</v>
      </c>
      <c r="G1516" t="s">
        <v>6046</v>
      </c>
      <c r="H1516" t="s">
        <v>6098</v>
      </c>
      <c r="I1516">
        <v>72</v>
      </c>
      <c r="J1516">
        <v>44.4</v>
      </c>
      <c r="K1516" t="s">
        <v>6100</v>
      </c>
      <c r="L1516" t="s">
        <v>6099</v>
      </c>
      <c r="M1516" t="s">
        <v>6100</v>
      </c>
      <c r="N1516">
        <v>4</v>
      </c>
      <c r="O1516" t="s">
        <v>6101</v>
      </c>
      <c r="P1516" t="s">
        <v>6109</v>
      </c>
      <c r="Q1516">
        <v>3</v>
      </c>
      <c r="R1516">
        <v>2026</v>
      </c>
      <c r="S1516" t="s">
        <v>6099</v>
      </c>
      <c r="T1516">
        <v>1</v>
      </c>
      <c r="U1516" t="s">
        <v>6018</v>
      </c>
      <c r="V1516">
        <v>0</v>
      </c>
    </row>
    <row r="1517" spans="1:22" x14ac:dyDescent="0.3">
      <c r="A1517" t="s">
        <v>1532</v>
      </c>
      <c r="B1517" s="2">
        <v>46092.464583333334</v>
      </c>
      <c r="C1517" s="2">
        <v>46093.09375</v>
      </c>
      <c r="D1517" t="s">
        <v>6022</v>
      </c>
      <c r="E1517" t="s">
        <v>6032</v>
      </c>
      <c r="F1517" t="s">
        <v>6034</v>
      </c>
      <c r="G1517" t="s">
        <v>6089</v>
      </c>
      <c r="H1517" t="s">
        <v>6098</v>
      </c>
      <c r="I1517">
        <v>24</v>
      </c>
      <c r="J1517">
        <v>15.1</v>
      </c>
      <c r="K1517" t="s">
        <v>6099</v>
      </c>
      <c r="L1517" t="s">
        <v>6100</v>
      </c>
      <c r="M1517" t="s">
        <v>6100</v>
      </c>
      <c r="O1517" t="s">
        <v>6101</v>
      </c>
      <c r="P1517" t="s">
        <v>6109</v>
      </c>
      <c r="Q1517">
        <v>3</v>
      </c>
      <c r="R1517">
        <v>2026</v>
      </c>
      <c r="S1517" t="s">
        <v>6099</v>
      </c>
      <c r="T1517">
        <v>1</v>
      </c>
      <c r="U1517" t="s">
        <v>6020</v>
      </c>
      <c r="V1517">
        <v>1</v>
      </c>
    </row>
    <row r="1518" spans="1:22" x14ac:dyDescent="0.3">
      <c r="A1518" t="s">
        <v>1533</v>
      </c>
      <c r="B1518" s="2">
        <v>46092.473611111112</v>
      </c>
      <c r="C1518" s="2">
        <v>46094.69027777778</v>
      </c>
      <c r="D1518" t="s">
        <v>6025</v>
      </c>
      <c r="E1518" t="s">
        <v>6031</v>
      </c>
      <c r="F1518" t="s">
        <v>6035</v>
      </c>
      <c r="G1518" t="s">
        <v>6065</v>
      </c>
      <c r="H1518" t="s">
        <v>6097</v>
      </c>
      <c r="I1518">
        <v>4</v>
      </c>
      <c r="J1518">
        <v>53.2</v>
      </c>
      <c r="K1518" t="s">
        <v>6099</v>
      </c>
      <c r="L1518" t="s">
        <v>6100</v>
      </c>
      <c r="M1518" t="s">
        <v>6100</v>
      </c>
      <c r="N1518">
        <v>5</v>
      </c>
      <c r="O1518" t="s">
        <v>6101</v>
      </c>
      <c r="P1518" t="s">
        <v>6109</v>
      </c>
      <c r="Q1518">
        <v>3</v>
      </c>
      <c r="R1518">
        <v>2026</v>
      </c>
      <c r="S1518" t="s">
        <v>6100</v>
      </c>
      <c r="T1518">
        <v>0</v>
      </c>
      <c r="U1518" t="s">
        <v>6021</v>
      </c>
      <c r="V1518">
        <v>1</v>
      </c>
    </row>
    <row r="1519" spans="1:22" x14ac:dyDescent="0.3">
      <c r="A1519" t="s">
        <v>1534</v>
      </c>
      <c r="B1519" s="2">
        <v>46092.474999999999</v>
      </c>
      <c r="C1519" s="2">
        <v>46092.712500000001</v>
      </c>
      <c r="D1519" t="s">
        <v>6023</v>
      </c>
      <c r="E1519" t="s">
        <v>6029</v>
      </c>
      <c r="F1519" t="s">
        <v>6034</v>
      </c>
      <c r="G1519" t="s">
        <v>6060</v>
      </c>
      <c r="H1519" t="s">
        <v>6097</v>
      </c>
      <c r="I1519">
        <v>24</v>
      </c>
      <c r="J1519">
        <v>5.7</v>
      </c>
      <c r="K1519" t="s">
        <v>6099</v>
      </c>
      <c r="L1519" t="s">
        <v>6100</v>
      </c>
      <c r="M1519" t="s">
        <v>6100</v>
      </c>
      <c r="N1519">
        <v>4</v>
      </c>
      <c r="O1519" t="s">
        <v>6101</v>
      </c>
      <c r="P1519" t="s">
        <v>6109</v>
      </c>
      <c r="Q1519">
        <v>3</v>
      </c>
      <c r="R1519">
        <v>2026</v>
      </c>
      <c r="S1519" t="s">
        <v>6099</v>
      </c>
      <c r="T1519">
        <v>1</v>
      </c>
      <c r="U1519" t="s">
        <v>6018</v>
      </c>
      <c r="V1519">
        <v>1</v>
      </c>
    </row>
    <row r="1520" spans="1:22" x14ac:dyDescent="0.3">
      <c r="A1520" t="s">
        <v>1535</v>
      </c>
      <c r="B1520" s="2">
        <v>46092.541666666664</v>
      </c>
      <c r="C1520" s="2">
        <v>46097.854166666664</v>
      </c>
      <c r="D1520" t="s">
        <v>6028</v>
      </c>
      <c r="E1520" t="s">
        <v>6031</v>
      </c>
      <c r="F1520" t="s">
        <v>6035</v>
      </c>
      <c r="G1520" t="s">
        <v>6048</v>
      </c>
      <c r="H1520" t="s">
        <v>6096</v>
      </c>
      <c r="I1520">
        <v>4</v>
      </c>
      <c r="J1520">
        <v>127.5</v>
      </c>
      <c r="K1520" t="s">
        <v>6099</v>
      </c>
      <c r="L1520" t="s">
        <v>6100</v>
      </c>
      <c r="M1520" t="s">
        <v>6099</v>
      </c>
      <c r="N1520">
        <v>4</v>
      </c>
      <c r="O1520" t="s">
        <v>6101</v>
      </c>
      <c r="P1520" t="s">
        <v>6109</v>
      </c>
      <c r="Q1520">
        <v>3</v>
      </c>
      <c r="R1520">
        <v>2026</v>
      </c>
      <c r="S1520" t="s">
        <v>6100</v>
      </c>
      <c r="T1520">
        <v>0</v>
      </c>
      <c r="U1520" t="s">
        <v>6018</v>
      </c>
      <c r="V1520">
        <v>1</v>
      </c>
    </row>
    <row r="1521" spans="1:22" x14ac:dyDescent="0.3">
      <c r="A1521" t="s">
        <v>1536</v>
      </c>
      <c r="B1521" s="2">
        <v>46092.541666666664</v>
      </c>
      <c r="C1521" s="2">
        <v>46093.820833333331</v>
      </c>
      <c r="D1521" t="s">
        <v>6028</v>
      </c>
      <c r="E1521" t="s">
        <v>6029</v>
      </c>
      <c r="F1521" t="s">
        <v>6035</v>
      </c>
      <c r="G1521" t="s">
        <v>6042</v>
      </c>
      <c r="H1521" t="s">
        <v>6098</v>
      </c>
      <c r="I1521">
        <v>4</v>
      </c>
      <c r="J1521">
        <v>30.7</v>
      </c>
      <c r="K1521" t="s">
        <v>6100</v>
      </c>
      <c r="L1521" t="s">
        <v>6099</v>
      </c>
      <c r="M1521" t="s">
        <v>6100</v>
      </c>
      <c r="N1521">
        <v>3</v>
      </c>
      <c r="O1521" t="s">
        <v>6101</v>
      </c>
      <c r="P1521" t="s">
        <v>6109</v>
      </c>
      <c r="Q1521">
        <v>3</v>
      </c>
      <c r="R1521">
        <v>2026</v>
      </c>
      <c r="S1521" t="s">
        <v>6100</v>
      </c>
      <c r="T1521">
        <v>0</v>
      </c>
      <c r="U1521" t="s">
        <v>6018</v>
      </c>
      <c r="V1521">
        <v>0</v>
      </c>
    </row>
    <row r="1522" spans="1:22" x14ac:dyDescent="0.3">
      <c r="A1522" t="s">
        <v>1537</v>
      </c>
      <c r="B1522" s="2">
        <v>46092.565972222219</v>
      </c>
      <c r="C1522" s="2">
        <v>46093.074305555558</v>
      </c>
      <c r="D1522" t="s">
        <v>6028</v>
      </c>
      <c r="E1522" t="s">
        <v>6029</v>
      </c>
      <c r="F1522" t="s">
        <v>6035</v>
      </c>
      <c r="G1522" t="s">
        <v>6051</v>
      </c>
      <c r="H1522" t="s">
        <v>6097</v>
      </c>
      <c r="I1522">
        <v>4</v>
      </c>
      <c r="J1522">
        <v>12.2</v>
      </c>
      <c r="K1522" t="s">
        <v>6100</v>
      </c>
      <c r="L1522" t="s">
        <v>6099</v>
      </c>
      <c r="M1522" t="s">
        <v>6099</v>
      </c>
      <c r="N1522">
        <v>4</v>
      </c>
      <c r="O1522" t="s">
        <v>6101</v>
      </c>
      <c r="P1522" t="s">
        <v>6109</v>
      </c>
      <c r="Q1522">
        <v>3</v>
      </c>
      <c r="R1522">
        <v>2026</v>
      </c>
      <c r="S1522" t="s">
        <v>6100</v>
      </c>
      <c r="T1522">
        <v>0</v>
      </c>
      <c r="U1522" t="s">
        <v>6021</v>
      </c>
      <c r="V1522">
        <v>0</v>
      </c>
    </row>
    <row r="1523" spans="1:22" x14ac:dyDescent="0.3">
      <c r="A1523" t="s">
        <v>1538</v>
      </c>
      <c r="B1523" s="2">
        <v>46092.571527777778</v>
      </c>
      <c r="C1523" s="2">
        <v>46093.000694444447</v>
      </c>
      <c r="D1523" t="s">
        <v>6022</v>
      </c>
      <c r="E1523" t="s">
        <v>6030</v>
      </c>
      <c r="F1523" t="s">
        <v>6035</v>
      </c>
      <c r="G1523" t="s">
        <v>6059</v>
      </c>
      <c r="H1523" t="s">
        <v>6097</v>
      </c>
      <c r="I1523">
        <v>4</v>
      </c>
      <c r="J1523">
        <v>10.3</v>
      </c>
      <c r="K1523" t="s">
        <v>6099</v>
      </c>
      <c r="L1523" t="s">
        <v>6100</v>
      </c>
      <c r="M1523" t="s">
        <v>6099</v>
      </c>
      <c r="N1523">
        <v>3</v>
      </c>
      <c r="O1523" t="s">
        <v>6101</v>
      </c>
      <c r="P1523" t="s">
        <v>6109</v>
      </c>
      <c r="Q1523">
        <v>3</v>
      </c>
      <c r="R1523">
        <v>2026</v>
      </c>
      <c r="S1523" t="s">
        <v>6100</v>
      </c>
      <c r="T1523">
        <v>0</v>
      </c>
      <c r="U1523" t="s">
        <v>6019</v>
      </c>
      <c r="V1523">
        <v>1</v>
      </c>
    </row>
    <row r="1524" spans="1:22" x14ac:dyDescent="0.3">
      <c r="A1524" t="s">
        <v>1539</v>
      </c>
      <c r="B1524" s="2">
        <v>46092.579861111109</v>
      </c>
      <c r="C1524" s="2">
        <v>46092.725694444445</v>
      </c>
      <c r="D1524" t="s">
        <v>6023</v>
      </c>
      <c r="E1524" t="s">
        <v>6030</v>
      </c>
      <c r="F1524" t="s">
        <v>6033</v>
      </c>
      <c r="G1524" t="s">
        <v>6079</v>
      </c>
      <c r="H1524" t="s">
        <v>6097</v>
      </c>
      <c r="I1524">
        <v>72</v>
      </c>
      <c r="J1524">
        <v>3.5</v>
      </c>
      <c r="K1524" t="s">
        <v>6099</v>
      </c>
      <c r="L1524" t="s">
        <v>6100</v>
      </c>
      <c r="M1524" t="s">
        <v>6100</v>
      </c>
      <c r="N1524">
        <v>4</v>
      </c>
      <c r="O1524" t="s">
        <v>6101</v>
      </c>
      <c r="P1524" t="s">
        <v>6109</v>
      </c>
      <c r="Q1524">
        <v>3</v>
      </c>
      <c r="R1524">
        <v>2026</v>
      </c>
      <c r="S1524" t="s">
        <v>6099</v>
      </c>
      <c r="T1524">
        <v>1</v>
      </c>
      <c r="U1524" t="s">
        <v>6020</v>
      </c>
      <c r="V1524">
        <v>1</v>
      </c>
    </row>
    <row r="1525" spans="1:22" x14ac:dyDescent="0.3">
      <c r="A1525" t="s">
        <v>1540</v>
      </c>
      <c r="B1525" s="2">
        <v>46092.583333333336</v>
      </c>
      <c r="C1525" s="2">
        <v>46094.520833333336</v>
      </c>
      <c r="D1525" t="s">
        <v>6028</v>
      </c>
      <c r="E1525" t="s">
        <v>6029</v>
      </c>
      <c r="F1525" t="s">
        <v>6035</v>
      </c>
      <c r="G1525" t="s">
        <v>6053</v>
      </c>
      <c r="H1525" t="s">
        <v>6097</v>
      </c>
      <c r="I1525">
        <v>4</v>
      </c>
      <c r="J1525">
        <v>46.5</v>
      </c>
      <c r="K1525" t="s">
        <v>6099</v>
      </c>
      <c r="L1525" t="s">
        <v>6100</v>
      </c>
      <c r="M1525" t="s">
        <v>6100</v>
      </c>
      <c r="N1525">
        <v>4</v>
      </c>
      <c r="O1525" t="s">
        <v>6101</v>
      </c>
      <c r="P1525" t="s">
        <v>6109</v>
      </c>
      <c r="Q1525">
        <v>3</v>
      </c>
      <c r="R1525">
        <v>2026</v>
      </c>
      <c r="S1525" t="s">
        <v>6100</v>
      </c>
      <c r="T1525">
        <v>0</v>
      </c>
      <c r="U1525" t="s">
        <v>6018</v>
      </c>
      <c r="V1525">
        <v>1</v>
      </c>
    </row>
    <row r="1526" spans="1:22" x14ac:dyDescent="0.3">
      <c r="A1526" t="s">
        <v>1541</v>
      </c>
      <c r="B1526" s="2">
        <v>46092.583333333336</v>
      </c>
      <c r="C1526" s="2">
        <v>46098.14166666667</v>
      </c>
      <c r="D1526" t="s">
        <v>6028</v>
      </c>
      <c r="E1526" t="s">
        <v>6031</v>
      </c>
      <c r="F1526" t="s">
        <v>6035</v>
      </c>
      <c r="G1526" t="s">
        <v>6066</v>
      </c>
      <c r="H1526" t="s">
        <v>6096</v>
      </c>
      <c r="I1526">
        <v>4</v>
      </c>
      <c r="J1526">
        <v>133.4</v>
      </c>
      <c r="K1526" t="s">
        <v>6099</v>
      </c>
      <c r="L1526" t="s">
        <v>6100</v>
      </c>
      <c r="M1526" t="s">
        <v>6099</v>
      </c>
      <c r="O1526" t="s">
        <v>6101</v>
      </c>
      <c r="P1526" t="s">
        <v>6109</v>
      </c>
      <c r="Q1526">
        <v>3</v>
      </c>
      <c r="R1526">
        <v>2026</v>
      </c>
      <c r="S1526" t="s">
        <v>6100</v>
      </c>
      <c r="T1526">
        <v>0</v>
      </c>
      <c r="U1526" t="s">
        <v>6018</v>
      </c>
      <c r="V1526">
        <v>1</v>
      </c>
    </row>
    <row r="1527" spans="1:22" x14ac:dyDescent="0.3">
      <c r="A1527" t="s">
        <v>1542</v>
      </c>
      <c r="B1527" s="2">
        <v>46092.587500000001</v>
      </c>
      <c r="C1527" s="2">
        <v>46092.783333333333</v>
      </c>
      <c r="D1527" t="s">
        <v>6022</v>
      </c>
      <c r="E1527" t="s">
        <v>6029</v>
      </c>
      <c r="F1527" t="s">
        <v>6033</v>
      </c>
      <c r="G1527" t="s">
        <v>6051</v>
      </c>
      <c r="H1527" t="s">
        <v>6097</v>
      </c>
      <c r="I1527">
        <v>72</v>
      </c>
      <c r="J1527">
        <v>4.7</v>
      </c>
      <c r="K1527" t="s">
        <v>6099</v>
      </c>
      <c r="L1527" t="s">
        <v>6100</v>
      </c>
      <c r="M1527" t="s">
        <v>6099</v>
      </c>
      <c r="N1527">
        <v>4</v>
      </c>
      <c r="O1527" t="s">
        <v>6101</v>
      </c>
      <c r="P1527" t="s">
        <v>6109</v>
      </c>
      <c r="Q1527">
        <v>3</v>
      </c>
      <c r="R1527">
        <v>2026</v>
      </c>
      <c r="S1527" t="s">
        <v>6099</v>
      </c>
      <c r="T1527">
        <v>1</v>
      </c>
      <c r="U1527" t="s">
        <v>6020</v>
      </c>
      <c r="V1527">
        <v>1</v>
      </c>
    </row>
    <row r="1528" spans="1:22" x14ac:dyDescent="0.3">
      <c r="A1528" t="s">
        <v>1543</v>
      </c>
      <c r="B1528" s="2">
        <v>46092.618750000001</v>
      </c>
      <c r="C1528" s="2">
        <v>46094.847916666666</v>
      </c>
      <c r="D1528" t="s">
        <v>6024</v>
      </c>
      <c r="E1528" t="s">
        <v>6031</v>
      </c>
      <c r="F1528" t="s">
        <v>6034</v>
      </c>
      <c r="G1528" t="s">
        <v>6084</v>
      </c>
      <c r="H1528" t="s">
        <v>6098</v>
      </c>
      <c r="I1528">
        <v>24</v>
      </c>
      <c r="J1528">
        <v>53.5</v>
      </c>
      <c r="K1528" t="s">
        <v>6100</v>
      </c>
      <c r="L1528" t="s">
        <v>6100</v>
      </c>
      <c r="M1528" t="s">
        <v>6100</v>
      </c>
      <c r="O1528" t="s">
        <v>6101</v>
      </c>
      <c r="P1528" t="s">
        <v>6109</v>
      </c>
      <c r="Q1528">
        <v>3</v>
      </c>
      <c r="R1528">
        <v>2026</v>
      </c>
      <c r="S1528" t="s">
        <v>6100</v>
      </c>
      <c r="T1528">
        <v>0</v>
      </c>
      <c r="U1528" t="s">
        <v>6018</v>
      </c>
      <c r="V1528">
        <v>0</v>
      </c>
    </row>
    <row r="1529" spans="1:22" x14ac:dyDescent="0.3">
      <c r="A1529" t="s">
        <v>1544</v>
      </c>
      <c r="B1529" s="2">
        <v>46092.625</v>
      </c>
      <c r="C1529" s="2">
        <v>46093.05</v>
      </c>
      <c r="D1529" t="s">
        <v>6028</v>
      </c>
      <c r="E1529" t="s">
        <v>6030</v>
      </c>
      <c r="F1529" t="s">
        <v>6035</v>
      </c>
      <c r="G1529" t="s">
        <v>6093</v>
      </c>
      <c r="H1529" t="s">
        <v>6097</v>
      </c>
      <c r="I1529">
        <v>4</v>
      </c>
      <c r="J1529">
        <v>10.199999999999999</v>
      </c>
      <c r="K1529" t="s">
        <v>6100</v>
      </c>
      <c r="L1529" t="s">
        <v>6099</v>
      </c>
      <c r="M1529" t="s">
        <v>6099</v>
      </c>
      <c r="N1529">
        <v>4</v>
      </c>
      <c r="O1529" t="s">
        <v>6101</v>
      </c>
      <c r="P1529" t="s">
        <v>6109</v>
      </c>
      <c r="Q1529">
        <v>3</v>
      </c>
      <c r="R1529">
        <v>2026</v>
      </c>
      <c r="S1529" t="s">
        <v>6100</v>
      </c>
      <c r="T1529">
        <v>0</v>
      </c>
      <c r="U1529" t="s">
        <v>6018</v>
      </c>
      <c r="V1529">
        <v>0</v>
      </c>
    </row>
    <row r="1530" spans="1:22" x14ac:dyDescent="0.3">
      <c r="A1530" t="s">
        <v>1545</v>
      </c>
      <c r="B1530" s="2">
        <v>46092.625</v>
      </c>
      <c r="C1530" s="2">
        <v>46093.966666666667</v>
      </c>
      <c r="D1530" t="s">
        <v>6028</v>
      </c>
      <c r="E1530" t="s">
        <v>6030</v>
      </c>
      <c r="F1530" t="s">
        <v>6033</v>
      </c>
      <c r="G1530" t="s">
        <v>6073</v>
      </c>
      <c r="H1530" t="s">
        <v>6096</v>
      </c>
      <c r="I1530">
        <v>72</v>
      </c>
      <c r="J1530">
        <v>32.200000000000003</v>
      </c>
      <c r="K1530" t="s">
        <v>6100</v>
      </c>
      <c r="L1530" t="s">
        <v>6100</v>
      </c>
      <c r="M1530" t="s">
        <v>6100</v>
      </c>
      <c r="O1530" t="s">
        <v>6101</v>
      </c>
      <c r="P1530" t="s">
        <v>6109</v>
      </c>
      <c r="Q1530">
        <v>3</v>
      </c>
      <c r="R1530">
        <v>2026</v>
      </c>
      <c r="S1530" t="s">
        <v>6099</v>
      </c>
      <c r="T1530">
        <v>1</v>
      </c>
      <c r="U1530" t="s">
        <v>6018</v>
      </c>
      <c r="V1530">
        <v>0</v>
      </c>
    </row>
    <row r="1531" spans="1:22" x14ac:dyDescent="0.3">
      <c r="A1531" t="s">
        <v>1546</v>
      </c>
      <c r="B1531" s="2">
        <v>46092.625</v>
      </c>
      <c r="C1531" s="2">
        <v>46093.637499999997</v>
      </c>
      <c r="D1531" t="s">
        <v>6028</v>
      </c>
      <c r="E1531" t="s">
        <v>6029</v>
      </c>
      <c r="F1531" t="s">
        <v>6035</v>
      </c>
      <c r="G1531" t="s">
        <v>6084</v>
      </c>
      <c r="H1531" t="s">
        <v>6098</v>
      </c>
      <c r="I1531">
        <v>4</v>
      </c>
      <c r="J1531">
        <v>24.3</v>
      </c>
      <c r="K1531" t="s">
        <v>6099</v>
      </c>
      <c r="L1531" t="s">
        <v>6100</v>
      </c>
      <c r="M1531" t="s">
        <v>6100</v>
      </c>
      <c r="O1531" t="s">
        <v>6101</v>
      </c>
      <c r="P1531" t="s">
        <v>6109</v>
      </c>
      <c r="Q1531">
        <v>3</v>
      </c>
      <c r="R1531">
        <v>2026</v>
      </c>
      <c r="S1531" t="s">
        <v>6100</v>
      </c>
      <c r="T1531">
        <v>0</v>
      </c>
      <c r="U1531" t="s">
        <v>6018</v>
      </c>
      <c r="V1531">
        <v>1</v>
      </c>
    </row>
    <row r="1532" spans="1:22" x14ac:dyDescent="0.3">
      <c r="A1532" t="s">
        <v>1547</v>
      </c>
      <c r="B1532" s="2">
        <v>46092.640972222223</v>
      </c>
      <c r="C1532" s="2">
        <v>46095.907638888886</v>
      </c>
      <c r="D1532" t="s">
        <v>6026</v>
      </c>
      <c r="E1532" t="s">
        <v>6031</v>
      </c>
      <c r="F1532" t="s">
        <v>6033</v>
      </c>
      <c r="G1532" t="s">
        <v>6040</v>
      </c>
      <c r="H1532" t="s">
        <v>6097</v>
      </c>
      <c r="I1532">
        <v>72</v>
      </c>
      <c r="J1532">
        <v>78.400000000000006</v>
      </c>
      <c r="K1532" t="s">
        <v>6099</v>
      </c>
      <c r="L1532" t="s">
        <v>6100</v>
      </c>
      <c r="M1532" t="s">
        <v>6100</v>
      </c>
      <c r="O1532" t="s">
        <v>6101</v>
      </c>
      <c r="P1532" t="s">
        <v>6109</v>
      </c>
      <c r="Q1532">
        <v>3</v>
      </c>
      <c r="R1532">
        <v>2026</v>
      </c>
      <c r="S1532" t="s">
        <v>6100</v>
      </c>
      <c r="T1532">
        <v>0</v>
      </c>
      <c r="U1532" t="s">
        <v>6020</v>
      </c>
      <c r="V1532">
        <v>1</v>
      </c>
    </row>
    <row r="1533" spans="1:22" x14ac:dyDescent="0.3">
      <c r="A1533" t="s">
        <v>1548</v>
      </c>
      <c r="B1533" s="2">
        <v>46092.661805555559</v>
      </c>
      <c r="C1533" s="2">
        <v>46093.190972222219</v>
      </c>
      <c r="D1533" t="s">
        <v>6028</v>
      </c>
      <c r="E1533" t="s">
        <v>6029</v>
      </c>
      <c r="F1533" t="s">
        <v>6035</v>
      </c>
      <c r="G1533" t="s">
        <v>6086</v>
      </c>
      <c r="H1533" t="s">
        <v>6098</v>
      </c>
      <c r="I1533">
        <v>4</v>
      </c>
      <c r="J1533">
        <v>12.7</v>
      </c>
      <c r="K1533" t="s">
        <v>6100</v>
      </c>
      <c r="L1533" t="s">
        <v>6100</v>
      </c>
      <c r="M1533" t="s">
        <v>6100</v>
      </c>
      <c r="N1533">
        <v>4</v>
      </c>
      <c r="O1533" t="s">
        <v>6101</v>
      </c>
      <c r="P1533" t="s">
        <v>6109</v>
      </c>
      <c r="Q1533">
        <v>3</v>
      </c>
      <c r="R1533">
        <v>2026</v>
      </c>
      <c r="S1533" t="s">
        <v>6100</v>
      </c>
      <c r="T1533">
        <v>0</v>
      </c>
      <c r="U1533" t="s">
        <v>6019</v>
      </c>
      <c r="V1533">
        <v>0</v>
      </c>
    </row>
    <row r="1534" spans="1:22" x14ac:dyDescent="0.3">
      <c r="A1534" t="s">
        <v>1549</v>
      </c>
      <c r="B1534" s="2">
        <v>46092.666666666664</v>
      </c>
      <c r="C1534" s="2">
        <v>46095.583333333336</v>
      </c>
      <c r="D1534" t="s">
        <v>6028</v>
      </c>
      <c r="E1534" t="s">
        <v>6031</v>
      </c>
      <c r="F1534" t="s">
        <v>6035</v>
      </c>
      <c r="G1534" t="s">
        <v>6069</v>
      </c>
      <c r="H1534" t="s">
        <v>6098</v>
      </c>
      <c r="I1534">
        <v>4</v>
      </c>
      <c r="J1534">
        <v>70</v>
      </c>
      <c r="K1534" t="s">
        <v>6099</v>
      </c>
      <c r="L1534" t="s">
        <v>6100</v>
      </c>
      <c r="M1534" t="s">
        <v>6100</v>
      </c>
      <c r="N1534">
        <v>4</v>
      </c>
      <c r="O1534" t="s">
        <v>6101</v>
      </c>
      <c r="P1534" t="s">
        <v>6109</v>
      </c>
      <c r="Q1534">
        <v>3</v>
      </c>
      <c r="R1534">
        <v>2026</v>
      </c>
      <c r="S1534" t="s">
        <v>6100</v>
      </c>
      <c r="T1534">
        <v>0</v>
      </c>
      <c r="U1534" t="s">
        <v>6018</v>
      </c>
      <c r="V1534">
        <v>1</v>
      </c>
    </row>
    <row r="1535" spans="1:22" x14ac:dyDescent="0.3">
      <c r="A1535" t="s">
        <v>1550</v>
      </c>
      <c r="B1535" s="2">
        <v>46092.730555555558</v>
      </c>
      <c r="C1535" s="2">
        <v>46092.880555555559</v>
      </c>
      <c r="D1535" t="s">
        <v>6023</v>
      </c>
      <c r="E1535" t="s">
        <v>6030</v>
      </c>
      <c r="F1535" t="s">
        <v>6033</v>
      </c>
      <c r="G1535" t="s">
        <v>6074</v>
      </c>
      <c r="H1535" t="s">
        <v>6098</v>
      </c>
      <c r="I1535">
        <v>72</v>
      </c>
      <c r="J1535">
        <v>3.6</v>
      </c>
      <c r="K1535" t="s">
        <v>6099</v>
      </c>
      <c r="L1535" t="s">
        <v>6100</v>
      </c>
      <c r="M1535" t="s">
        <v>6100</v>
      </c>
      <c r="O1535" t="s">
        <v>6101</v>
      </c>
      <c r="P1535" t="s">
        <v>6109</v>
      </c>
      <c r="Q1535">
        <v>3</v>
      </c>
      <c r="R1535">
        <v>2026</v>
      </c>
      <c r="S1535" t="s">
        <v>6099</v>
      </c>
      <c r="T1535">
        <v>1</v>
      </c>
      <c r="U1535" t="s">
        <v>6021</v>
      </c>
      <c r="V1535">
        <v>1</v>
      </c>
    </row>
    <row r="1536" spans="1:22" x14ac:dyDescent="0.3">
      <c r="A1536" t="s">
        <v>1551</v>
      </c>
      <c r="B1536" s="2">
        <v>46092.75</v>
      </c>
      <c r="C1536" s="2">
        <v>46093.26666666667</v>
      </c>
      <c r="D1536" t="s">
        <v>6028</v>
      </c>
      <c r="E1536" t="s">
        <v>6030</v>
      </c>
      <c r="F1536" t="s">
        <v>6033</v>
      </c>
      <c r="G1536" t="s">
        <v>6061</v>
      </c>
      <c r="H1536" t="s">
        <v>6096</v>
      </c>
      <c r="I1536">
        <v>72</v>
      </c>
      <c r="J1536">
        <v>12.4</v>
      </c>
      <c r="K1536" t="s">
        <v>6100</v>
      </c>
      <c r="L1536" t="s">
        <v>6099</v>
      </c>
      <c r="M1536" t="s">
        <v>6100</v>
      </c>
      <c r="N1536">
        <v>3</v>
      </c>
      <c r="O1536" t="s">
        <v>6101</v>
      </c>
      <c r="P1536" t="s">
        <v>6109</v>
      </c>
      <c r="Q1536">
        <v>3</v>
      </c>
      <c r="R1536">
        <v>2026</v>
      </c>
      <c r="S1536" t="s">
        <v>6099</v>
      </c>
      <c r="T1536">
        <v>1</v>
      </c>
      <c r="U1536" t="s">
        <v>6018</v>
      </c>
      <c r="V1536">
        <v>0</v>
      </c>
    </row>
    <row r="1537" spans="1:22" x14ac:dyDescent="0.3">
      <c r="A1537" t="s">
        <v>1552</v>
      </c>
      <c r="B1537" s="2">
        <v>46092.751388888886</v>
      </c>
      <c r="C1537" s="2">
        <v>46093.547222222223</v>
      </c>
      <c r="D1537" t="s">
        <v>6022</v>
      </c>
      <c r="E1537" t="s">
        <v>6029</v>
      </c>
      <c r="F1537" t="s">
        <v>6035</v>
      </c>
      <c r="G1537" t="s">
        <v>6077</v>
      </c>
      <c r="H1537" t="s">
        <v>6098</v>
      </c>
      <c r="I1537">
        <v>4</v>
      </c>
      <c r="J1537">
        <v>19.100000000000001</v>
      </c>
      <c r="K1537" t="s">
        <v>6099</v>
      </c>
      <c r="L1537" t="s">
        <v>6100</v>
      </c>
      <c r="M1537" t="s">
        <v>6100</v>
      </c>
      <c r="N1537">
        <v>4</v>
      </c>
      <c r="O1537" t="s">
        <v>6101</v>
      </c>
      <c r="P1537" t="s">
        <v>6109</v>
      </c>
      <c r="Q1537">
        <v>3</v>
      </c>
      <c r="R1537">
        <v>2026</v>
      </c>
      <c r="S1537" t="s">
        <v>6100</v>
      </c>
      <c r="T1537">
        <v>0</v>
      </c>
      <c r="U1537" t="s">
        <v>6018</v>
      </c>
      <c r="V1537">
        <v>1</v>
      </c>
    </row>
    <row r="1538" spans="1:22" x14ac:dyDescent="0.3">
      <c r="A1538" t="s">
        <v>1553</v>
      </c>
      <c r="B1538" s="2">
        <v>46092.751388888886</v>
      </c>
      <c r="C1538" s="2">
        <v>46093.030555555553</v>
      </c>
      <c r="D1538" t="s">
        <v>6023</v>
      </c>
      <c r="E1538" t="s">
        <v>6029</v>
      </c>
      <c r="F1538" t="s">
        <v>6033</v>
      </c>
      <c r="G1538" t="s">
        <v>6091</v>
      </c>
      <c r="H1538" t="s">
        <v>6097</v>
      </c>
      <c r="I1538">
        <v>72</v>
      </c>
      <c r="J1538">
        <v>6.7</v>
      </c>
      <c r="K1538" t="s">
        <v>6099</v>
      </c>
      <c r="L1538" t="s">
        <v>6100</v>
      </c>
      <c r="M1538" t="s">
        <v>6100</v>
      </c>
      <c r="N1538">
        <v>5</v>
      </c>
      <c r="O1538" t="s">
        <v>6101</v>
      </c>
      <c r="P1538" t="s">
        <v>6109</v>
      </c>
      <c r="Q1538">
        <v>3</v>
      </c>
      <c r="R1538">
        <v>2026</v>
      </c>
      <c r="S1538" t="s">
        <v>6099</v>
      </c>
      <c r="T1538">
        <v>1</v>
      </c>
      <c r="U1538" t="s">
        <v>6020</v>
      </c>
      <c r="V1538">
        <v>1</v>
      </c>
    </row>
    <row r="1539" spans="1:22" x14ac:dyDescent="0.3">
      <c r="A1539" t="s">
        <v>1554</v>
      </c>
      <c r="B1539" s="2">
        <v>46092.76666666667</v>
      </c>
      <c r="C1539" s="2">
        <v>46093.004166666666</v>
      </c>
      <c r="D1539" t="s">
        <v>6022</v>
      </c>
      <c r="E1539" t="s">
        <v>6030</v>
      </c>
      <c r="F1539" t="s">
        <v>6033</v>
      </c>
      <c r="G1539" t="s">
        <v>6065</v>
      </c>
      <c r="H1539" t="s">
        <v>6097</v>
      </c>
      <c r="I1539">
        <v>72</v>
      </c>
      <c r="J1539">
        <v>5.7</v>
      </c>
      <c r="K1539" t="s">
        <v>6100</v>
      </c>
      <c r="L1539" t="s">
        <v>6100</v>
      </c>
      <c r="M1539" t="s">
        <v>6100</v>
      </c>
      <c r="O1539" t="s">
        <v>6101</v>
      </c>
      <c r="P1539" t="s">
        <v>6109</v>
      </c>
      <c r="Q1539">
        <v>3</v>
      </c>
      <c r="R1539">
        <v>2026</v>
      </c>
      <c r="S1539" t="s">
        <v>6099</v>
      </c>
      <c r="T1539">
        <v>1</v>
      </c>
      <c r="U1539" t="s">
        <v>6017</v>
      </c>
      <c r="V1539">
        <v>0</v>
      </c>
    </row>
    <row r="1540" spans="1:22" x14ac:dyDescent="0.3">
      <c r="A1540" t="s">
        <v>1555</v>
      </c>
      <c r="B1540" s="2">
        <v>46092.788194444445</v>
      </c>
      <c r="C1540" s="2">
        <v>46093.713194444441</v>
      </c>
      <c r="D1540" t="s">
        <v>6027</v>
      </c>
      <c r="E1540" t="s">
        <v>6031</v>
      </c>
      <c r="F1540" t="s">
        <v>6035</v>
      </c>
      <c r="G1540" t="s">
        <v>6085</v>
      </c>
      <c r="H1540" t="s">
        <v>6097</v>
      </c>
      <c r="I1540">
        <v>4</v>
      </c>
      <c r="J1540">
        <v>22.2</v>
      </c>
      <c r="K1540" t="s">
        <v>6100</v>
      </c>
      <c r="L1540" t="s">
        <v>6099</v>
      </c>
      <c r="M1540" t="s">
        <v>6099</v>
      </c>
      <c r="O1540" t="s">
        <v>6101</v>
      </c>
      <c r="P1540" t="s">
        <v>6109</v>
      </c>
      <c r="Q1540">
        <v>3</v>
      </c>
      <c r="R1540">
        <v>2026</v>
      </c>
      <c r="S1540" t="s">
        <v>6100</v>
      </c>
      <c r="T1540">
        <v>0</v>
      </c>
      <c r="U1540" t="s">
        <v>6020</v>
      </c>
      <c r="V1540">
        <v>0</v>
      </c>
    </row>
    <row r="1541" spans="1:22" x14ac:dyDescent="0.3">
      <c r="A1541" t="s">
        <v>1556</v>
      </c>
      <c r="B1541" s="2">
        <v>46092.791666666664</v>
      </c>
      <c r="C1541" s="2">
        <v>46093.820833333331</v>
      </c>
      <c r="D1541" t="s">
        <v>6028</v>
      </c>
      <c r="E1541" t="s">
        <v>6029</v>
      </c>
      <c r="F1541" t="s">
        <v>6034</v>
      </c>
      <c r="G1541" t="s">
        <v>6095</v>
      </c>
      <c r="H1541" t="s">
        <v>6098</v>
      </c>
      <c r="I1541">
        <v>24</v>
      </c>
      <c r="J1541">
        <v>24.7</v>
      </c>
      <c r="K1541" t="s">
        <v>6099</v>
      </c>
      <c r="L1541" t="s">
        <v>6100</v>
      </c>
      <c r="M1541" t="s">
        <v>6100</v>
      </c>
      <c r="N1541">
        <v>5</v>
      </c>
      <c r="O1541" t="s">
        <v>6101</v>
      </c>
      <c r="P1541" t="s">
        <v>6109</v>
      </c>
      <c r="Q1541">
        <v>3</v>
      </c>
      <c r="R1541">
        <v>2026</v>
      </c>
      <c r="S1541" t="s">
        <v>6100</v>
      </c>
      <c r="T1541">
        <v>0</v>
      </c>
      <c r="U1541" t="s">
        <v>6017</v>
      </c>
      <c r="V1541">
        <v>1</v>
      </c>
    </row>
    <row r="1542" spans="1:22" x14ac:dyDescent="0.3">
      <c r="A1542" t="s">
        <v>1557</v>
      </c>
      <c r="B1542" s="2">
        <v>46092.791666666664</v>
      </c>
      <c r="C1542" s="2">
        <v>46094.01666666667</v>
      </c>
      <c r="D1542" t="s">
        <v>6028</v>
      </c>
      <c r="E1542" t="s">
        <v>6029</v>
      </c>
      <c r="F1542" t="s">
        <v>6035</v>
      </c>
      <c r="G1542" t="s">
        <v>6036</v>
      </c>
      <c r="H1542" t="s">
        <v>6096</v>
      </c>
      <c r="I1542">
        <v>4</v>
      </c>
      <c r="J1542">
        <v>29.4</v>
      </c>
      <c r="K1542" t="s">
        <v>6100</v>
      </c>
      <c r="L1542" t="s">
        <v>6100</v>
      </c>
      <c r="M1542" t="s">
        <v>6100</v>
      </c>
      <c r="N1542">
        <v>3</v>
      </c>
      <c r="O1542" t="s">
        <v>6101</v>
      </c>
      <c r="P1542" t="s">
        <v>6109</v>
      </c>
      <c r="Q1542">
        <v>3</v>
      </c>
      <c r="R1542">
        <v>2026</v>
      </c>
      <c r="S1542" t="s">
        <v>6100</v>
      </c>
      <c r="T1542">
        <v>0</v>
      </c>
      <c r="U1542" t="s">
        <v>6018</v>
      </c>
      <c r="V1542">
        <v>0</v>
      </c>
    </row>
    <row r="1543" spans="1:22" x14ac:dyDescent="0.3">
      <c r="A1543" t="s">
        <v>1558</v>
      </c>
      <c r="B1543" s="2">
        <v>46092.791666666664</v>
      </c>
      <c r="C1543" s="2">
        <v>46097.470833333333</v>
      </c>
      <c r="D1543" t="s">
        <v>6028</v>
      </c>
      <c r="E1543" t="s">
        <v>6031</v>
      </c>
      <c r="F1543" t="s">
        <v>6035</v>
      </c>
      <c r="G1543" t="s">
        <v>6036</v>
      </c>
      <c r="H1543" t="s">
        <v>6096</v>
      </c>
      <c r="I1543">
        <v>4</v>
      </c>
      <c r="J1543">
        <v>112.3</v>
      </c>
      <c r="K1543" t="s">
        <v>6099</v>
      </c>
      <c r="L1543" t="s">
        <v>6100</v>
      </c>
      <c r="M1543" t="s">
        <v>6100</v>
      </c>
      <c r="O1543" t="s">
        <v>6101</v>
      </c>
      <c r="P1543" t="s">
        <v>6109</v>
      </c>
      <c r="Q1543">
        <v>3</v>
      </c>
      <c r="R1543">
        <v>2026</v>
      </c>
      <c r="S1543" t="s">
        <v>6100</v>
      </c>
      <c r="T1543">
        <v>0</v>
      </c>
      <c r="U1543" t="s">
        <v>6018</v>
      </c>
      <c r="V1543">
        <v>1</v>
      </c>
    </row>
    <row r="1544" spans="1:22" x14ac:dyDescent="0.3">
      <c r="A1544" t="s">
        <v>1559</v>
      </c>
      <c r="B1544" s="2">
        <v>46092.792361111111</v>
      </c>
      <c r="C1544" s="2">
        <v>46093.829861111109</v>
      </c>
      <c r="D1544" t="s">
        <v>6022</v>
      </c>
      <c r="E1544" t="s">
        <v>6029</v>
      </c>
      <c r="F1544" t="s">
        <v>6035</v>
      </c>
      <c r="G1544" t="s">
        <v>6051</v>
      </c>
      <c r="H1544" t="s">
        <v>6097</v>
      </c>
      <c r="I1544">
        <v>4</v>
      </c>
      <c r="J1544">
        <v>24.9</v>
      </c>
      <c r="K1544" t="s">
        <v>6099</v>
      </c>
      <c r="L1544" t="s">
        <v>6100</v>
      </c>
      <c r="M1544" t="s">
        <v>6100</v>
      </c>
      <c r="N1544">
        <v>3</v>
      </c>
      <c r="O1544" t="s">
        <v>6101</v>
      </c>
      <c r="P1544" t="s">
        <v>6109</v>
      </c>
      <c r="Q1544">
        <v>3</v>
      </c>
      <c r="R1544">
        <v>2026</v>
      </c>
      <c r="S1544" t="s">
        <v>6100</v>
      </c>
      <c r="T1544">
        <v>0</v>
      </c>
      <c r="U1544" t="s">
        <v>6019</v>
      </c>
      <c r="V1544">
        <v>1</v>
      </c>
    </row>
    <row r="1545" spans="1:22" x14ac:dyDescent="0.3">
      <c r="A1545" t="s">
        <v>1560</v>
      </c>
      <c r="B1545" s="2">
        <v>46092.793055555558</v>
      </c>
      <c r="C1545" s="2">
        <v>46093.884722222225</v>
      </c>
      <c r="D1545" t="s">
        <v>6022</v>
      </c>
      <c r="E1545" t="s">
        <v>6031</v>
      </c>
      <c r="F1545" t="s">
        <v>6034</v>
      </c>
      <c r="G1545" t="s">
        <v>6093</v>
      </c>
      <c r="H1545" t="s">
        <v>6097</v>
      </c>
      <c r="I1545">
        <v>24</v>
      </c>
      <c r="J1545">
        <v>26.2</v>
      </c>
      <c r="K1545" t="s">
        <v>6099</v>
      </c>
      <c r="L1545" t="s">
        <v>6100</v>
      </c>
      <c r="M1545" t="s">
        <v>6100</v>
      </c>
      <c r="N1545">
        <v>3</v>
      </c>
      <c r="O1545" t="s">
        <v>6101</v>
      </c>
      <c r="P1545" t="s">
        <v>6109</v>
      </c>
      <c r="Q1545">
        <v>3</v>
      </c>
      <c r="R1545">
        <v>2026</v>
      </c>
      <c r="S1545" t="s">
        <v>6100</v>
      </c>
      <c r="T1545">
        <v>0</v>
      </c>
      <c r="U1545" t="s">
        <v>6017</v>
      </c>
      <c r="V1545">
        <v>1</v>
      </c>
    </row>
    <row r="1546" spans="1:22" x14ac:dyDescent="0.3">
      <c r="A1546" t="s">
        <v>1561</v>
      </c>
      <c r="B1546" s="2">
        <v>46092.875</v>
      </c>
      <c r="C1546" s="2">
        <v>46097.879166666666</v>
      </c>
      <c r="D1546" t="s">
        <v>6028</v>
      </c>
      <c r="E1546" t="s">
        <v>6031</v>
      </c>
      <c r="F1546" t="s">
        <v>6035</v>
      </c>
      <c r="G1546" t="s">
        <v>6060</v>
      </c>
      <c r="H1546" t="s">
        <v>6097</v>
      </c>
      <c r="I1546">
        <v>4</v>
      </c>
      <c r="J1546">
        <v>120.1</v>
      </c>
      <c r="K1546" t="s">
        <v>6099</v>
      </c>
      <c r="L1546" t="s">
        <v>6100</v>
      </c>
      <c r="M1546" t="s">
        <v>6099</v>
      </c>
      <c r="N1546">
        <v>3</v>
      </c>
      <c r="O1546" t="s">
        <v>6101</v>
      </c>
      <c r="P1546" t="s">
        <v>6109</v>
      </c>
      <c r="Q1546">
        <v>3</v>
      </c>
      <c r="R1546">
        <v>2026</v>
      </c>
      <c r="S1546" t="s">
        <v>6100</v>
      </c>
      <c r="T1546">
        <v>0</v>
      </c>
      <c r="U1546" t="s">
        <v>6018</v>
      </c>
      <c r="V1546">
        <v>1</v>
      </c>
    </row>
    <row r="1547" spans="1:22" x14ac:dyDescent="0.3">
      <c r="A1547" t="s">
        <v>1562</v>
      </c>
      <c r="B1547" s="2">
        <v>46092.875</v>
      </c>
      <c r="C1547" s="2">
        <v>46094.012499999997</v>
      </c>
      <c r="D1547" t="s">
        <v>6028</v>
      </c>
      <c r="E1547" t="s">
        <v>6031</v>
      </c>
      <c r="F1547" t="s">
        <v>6034</v>
      </c>
      <c r="G1547" t="s">
        <v>6059</v>
      </c>
      <c r="H1547" t="s">
        <v>6097</v>
      </c>
      <c r="I1547">
        <v>24</v>
      </c>
      <c r="J1547">
        <v>27.3</v>
      </c>
      <c r="K1547" t="s">
        <v>6099</v>
      </c>
      <c r="L1547" t="s">
        <v>6100</v>
      </c>
      <c r="M1547" t="s">
        <v>6100</v>
      </c>
      <c r="O1547" t="s">
        <v>6101</v>
      </c>
      <c r="P1547" t="s">
        <v>6109</v>
      </c>
      <c r="Q1547">
        <v>3</v>
      </c>
      <c r="R1547">
        <v>2026</v>
      </c>
      <c r="S1547" t="s">
        <v>6100</v>
      </c>
      <c r="T1547">
        <v>0</v>
      </c>
      <c r="U1547" t="s">
        <v>6018</v>
      </c>
      <c r="V1547">
        <v>1</v>
      </c>
    </row>
    <row r="1548" spans="1:22" x14ac:dyDescent="0.3">
      <c r="A1548" t="s">
        <v>1563</v>
      </c>
      <c r="B1548" s="2">
        <v>46092.890972222223</v>
      </c>
      <c r="C1548" s="2">
        <v>46093.082638888889</v>
      </c>
      <c r="D1548" t="s">
        <v>6024</v>
      </c>
      <c r="E1548" t="s">
        <v>6030</v>
      </c>
      <c r="F1548" t="s">
        <v>6033</v>
      </c>
      <c r="G1548" t="s">
        <v>6075</v>
      </c>
      <c r="H1548" t="s">
        <v>6097</v>
      </c>
      <c r="I1548">
        <v>72</v>
      </c>
      <c r="J1548">
        <v>4.5999999999999996</v>
      </c>
      <c r="K1548" t="s">
        <v>6099</v>
      </c>
      <c r="L1548" t="s">
        <v>6100</v>
      </c>
      <c r="M1548" t="s">
        <v>6100</v>
      </c>
      <c r="N1548">
        <v>4</v>
      </c>
      <c r="O1548" t="s">
        <v>6101</v>
      </c>
      <c r="P1548" t="s">
        <v>6109</v>
      </c>
      <c r="Q1548">
        <v>3</v>
      </c>
      <c r="R1548">
        <v>2026</v>
      </c>
      <c r="S1548" t="s">
        <v>6099</v>
      </c>
      <c r="T1548">
        <v>1</v>
      </c>
      <c r="U1548" t="s">
        <v>6021</v>
      </c>
      <c r="V1548">
        <v>1</v>
      </c>
    </row>
    <row r="1549" spans="1:22" x14ac:dyDescent="0.3">
      <c r="A1549" t="s">
        <v>1564</v>
      </c>
      <c r="B1549" s="2">
        <v>46093.25</v>
      </c>
      <c r="C1549" s="2">
        <v>46093.991666666669</v>
      </c>
      <c r="D1549" t="s">
        <v>6028</v>
      </c>
      <c r="E1549" t="s">
        <v>6029</v>
      </c>
      <c r="F1549" t="s">
        <v>6034</v>
      </c>
      <c r="G1549" t="s">
        <v>6054</v>
      </c>
      <c r="H1549" t="s">
        <v>6096</v>
      </c>
      <c r="I1549">
        <v>24</v>
      </c>
      <c r="J1549">
        <v>17.8</v>
      </c>
      <c r="K1549" t="s">
        <v>6099</v>
      </c>
      <c r="L1549" t="s">
        <v>6100</v>
      </c>
      <c r="M1549" t="s">
        <v>6100</v>
      </c>
      <c r="O1549" t="s">
        <v>6101</v>
      </c>
      <c r="P1549" t="s">
        <v>6109</v>
      </c>
      <c r="Q1549">
        <v>3</v>
      </c>
      <c r="R1549">
        <v>2026</v>
      </c>
      <c r="S1549" t="s">
        <v>6099</v>
      </c>
      <c r="T1549">
        <v>1</v>
      </c>
      <c r="U1549" t="s">
        <v>6018</v>
      </c>
      <c r="V1549">
        <v>1</v>
      </c>
    </row>
    <row r="1550" spans="1:22" x14ac:dyDescent="0.3">
      <c r="A1550" t="s">
        <v>1565</v>
      </c>
      <c r="B1550" s="2">
        <v>46093.25</v>
      </c>
      <c r="C1550" s="2">
        <v>46093.64166666667</v>
      </c>
      <c r="D1550" t="s">
        <v>6028</v>
      </c>
      <c r="E1550" t="s">
        <v>6029</v>
      </c>
      <c r="F1550" t="s">
        <v>6035</v>
      </c>
      <c r="G1550" t="s">
        <v>6076</v>
      </c>
      <c r="H1550" t="s">
        <v>6097</v>
      </c>
      <c r="I1550">
        <v>4</v>
      </c>
      <c r="J1550">
        <v>9.4</v>
      </c>
      <c r="K1550" t="s">
        <v>6099</v>
      </c>
      <c r="L1550" t="s">
        <v>6100</v>
      </c>
      <c r="M1550" t="s">
        <v>6100</v>
      </c>
      <c r="N1550">
        <v>4</v>
      </c>
      <c r="O1550" t="s">
        <v>6101</v>
      </c>
      <c r="P1550" t="s">
        <v>6109</v>
      </c>
      <c r="Q1550">
        <v>3</v>
      </c>
      <c r="R1550">
        <v>2026</v>
      </c>
      <c r="S1550" t="s">
        <v>6100</v>
      </c>
      <c r="T1550">
        <v>0</v>
      </c>
      <c r="U1550" t="s">
        <v>6018</v>
      </c>
      <c r="V1550">
        <v>1</v>
      </c>
    </row>
    <row r="1551" spans="1:22" x14ac:dyDescent="0.3">
      <c r="A1551" t="s">
        <v>1566</v>
      </c>
      <c r="B1551" s="2">
        <v>46093.252083333333</v>
      </c>
      <c r="C1551" s="2">
        <v>46093.34375</v>
      </c>
      <c r="D1551" t="s">
        <v>6028</v>
      </c>
      <c r="E1551" t="s">
        <v>6029</v>
      </c>
      <c r="F1551" t="s">
        <v>6035</v>
      </c>
      <c r="G1551" t="s">
        <v>6039</v>
      </c>
      <c r="H1551" t="s">
        <v>6097</v>
      </c>
      <c r="I1551">
        <v>4</v>
      </c>
      <c r="J1551">
        <v>2.2000000000000002</v>
      </c>
      <c r="K1551" t="s">
        <v>6099</v>
      </c>
      <c r="L1551" t="s">
        <v>6100</v>
      </c>
      <c r="M1551" t="s">
        <v>6099</v>
      </c>
      <c r="N1551">
        <v>5</v>
      </c>
      <c r="O1551" t="s">
        <v>6101</v>
      </c>
      <c r="P1551" t="s">
        <v>6109</v>
      </c>
      <c r="Q1551">
        <v>3</v>
      </c>
      <c r="R1551">
        <v>2026</v>
      </c>
      <c r="S1551" t="s">
        <v>6099</v>
      </c>
      <c r="T1551">
        <v>1</v>
      </c>
      <c r="U1551" t="s">
        <v>6020</v>
      </c>
      <c r="V1551">
        <v>1</v>
      </c>
    </row>
    <row r="1552" spans="1:22" x14ac:dyDescent="0.3">
      <c r="A1552" t="s">
        <v>1567</v>
      </c>
      <c r="B1552" s="2">
        <v>46093.286805555559</v>
      </c>
      <c r="C1552" s="2">
        <v>46093.828472222223</v>
      </c>
      <c r="D1552" t="s">
        <v>6024</v>
      </c>
      <c r="E1552" t="s">
        <v>6032</v>
      </c>
      <c r="F1552" t="s">
        <v>6034</v>
      </c>
      <c r="G1552" t="s">
        <v>6074</v>
      </c>
      <c r="H1552" t="s">
        <v>6098</v>
      </c>
      <c r="I1552">
        <v>24</v>
      </c>
      <c r="J1552">
        <v>13</v>
      </c>
      <c r="K1552" t="s">
        <v>6099</v>
      </c>
      <c r="L1552" t="s">
        <v>6100</v>
      </c>
      <c r="M1552" t="s">
        <v>6100</v>
      </c>
      <c r="N1552">
        <v>4</v>
      </c>
      <c r="O1552" t="s">
        <v>6101</v>
      </c>
      <c r="P1552" t="s">
        <v>6109</v>
      </c>
      <c r="Q1552">
        <v>3</v>
      </c>
      <c r="R1552">
        <v>2026</v>
      </c>
      <c r="S1552" t="s">
        <v>6099</v>
      </c>
      <c r="T1552">
        <v>1</v>
      </c>
      <c r="U1552" t="s">
        <v>6021</v>
      </c>
      <c r="V1552">
        <v>1</v>
      </c>
    </row>
    <row r="1553" spans="1:22" x14ac:dyDescent="0.3">
      <c r="A1553" t="s">
        <v>1568</v>
      </c>
      <c r="B1553" s="2">
        <v>46093.291666666664</v>
      </c>
      <c r="C1553" s="2">
        <v>46094.783333333333</v>
      </c>
      <c r="D1553" t="s">
        <v>6028</v>
      </c>
      <c r="E1553" t="s">
        <v>6031</v>
      </c>
      <c r="F1553" t="s">
        <v>6034</v>
      </c>
      <c r="G1553" t="s">
        <v>6085</v>
      </c>
      <c r="H1553" t="s">
        <v>6097</v>
      </c>
      <c r="I1553">
        <v>24</v>
      </c>
      <c r="J1553">
        <v>35.799999999999997</v>
      </c>
      <c r="K1553" t="s">
        <v>6099</v>
      </c>
      <c r="L1553" t="s">
        <v>6100</v>
      </c>
      <c r="M1553" t="s">
        <v>6100</v>
      </c>
      <c r="N1553">
        <v>5</v>
      </c>
      <c r="O1553" t="s">
        <v>6101</v>
      </c>
      <c r="P1553" t="s">
        <v>6109</v>
      </c>
      <c r="Q1553">
        <v>3</v>
      </c>
      <c r="R1553">
        <v>2026</v>
      </c>
      <c r="S1553" t="s">
        <v>6100</v>
      </c>
      <c r="T1553">
        <v>0</v>
      </c>
      <c r="U1553" t="s">
        <v>6018</v>
      </c>
      <c r="V1553">
        <v>1</v>
      </c>
    </row>
    <row r="1554" spans="1:22" x14ac:dyDescent="0.3">
      <c r="A1554" t="s">
        <v>1569</v>
      </c>
      <c r="B1554" s="2">
        <v>46093.333333333336</v>
      </c>
      <c r="C1554" s="2">
        <v>46095.629166666666</v>
      </c>
      <c r="D1554" t="s">
        <v>6028</v>
      </c>
      <c r="E1554" t="s">
        <v>6031</v>
      </c>
      <c r="F1554" t="s">
        <v>6035</v>
      </c>
      <c r="G1554" t="s">
        <v>6051</v>
      </c>
      <c r="H1554" t="s">
        <v>6097</v>
      </c>
      <c r="I1554">
        <v>4</v>
      </c>
      <c r="J1554">
        <v>55.1</v>
      </c>
      <c r="K1554" t="s">
        <v>6099</v>
      </c>
      <c r="L1554" t="s">
        <v>6100</v>
      </c>
      <c r="M1554" t="s">
        <v>6099</v>
      </c>
      <c r="N1554">
        <v>4</v>
      </c>
      <c r="O1554" t="s">
        <v>6101</v>
      </c>
      <c r="P1554" t="s">
        <v>6109</v>
      </c>
      <c r="Q1554">
        <v>3</v>
      </c>
      <c r="R1554">
        <v>2026</v>
      </c>
      <c r="S1554" t="s">
        <v>6100</v>
      </c>
      <c r="T1554">
        <v>0</v>
      </c>
      <c r="U1554" t="s">
        <v>6018</v>
      </c>
      <c r="V1554">
        <v>1</v>
      </c>
    </row>
    <row r="1555" spans="1:22" x14ac:dyDescent="0.3">
      <c r="A1555" t="s">
        <v>1570</v>
      </c>
      <c r="B1555" s="2">
        <v>46093.333333333336</v>
      </c>
      <c r="C1555" s="2">
        <v>46095.133333333331</v>
      </c>
      <c r="D1555" t="s">
        <v>6028</v>
      </c>
      <c r="E1555" t="s">
        <v>6031</v>
      </c>
      <c r="F1555" t="s">
        <v>6033</v>
      </c>
      <c r="G1555" t="s">
        <v>6095</v>
      </c>
      <c r="H1555" t="s">
        <v>6098</v>
      </c>
      <c r="I1555">
        <v>72</v>
      </c>
      <c r="J1555">
        <v>43.2</v>
      </c>
      <c r="K1555" t="s">
        <v>6100</v>
      </c>
      <c r="L1555" t="s">
        <v>6099</v>
      </c>
      <c r="M1555" t="s">
        <v>6099</v>
      </c>
      <c r="N1555">
        <v>4</v>
      </c>
      <c r="O1555" t="s">
        <v>6101</v>
      </c>
      <c r="P1555" t="s">
        <v>6109</v>
      </c>
      <c r="Q1555">
        <v>3</v>
      </c>
      <c r="R1555">
        <v>2026</v>
      </c>
      <c r="S1555" t="s">
        <v>6099</v>
      </c>
      <c r="T1555">
        <v>1</v>
      </c>
      <c r="U1555" t="s">
        <v>6018</v>
      </c>
      <c r="V1555">
        <v>0</v>
      </c>
    </row>
    <row r="1556" spans="1:22" x14ac:dyDescent="0.3">
      <c r="A1556" t="s">
        <v>1571</v>
      </c>
      <c r="B1556" s="2">
        <v>46093.333333333336</v>
      </c>
      <c r="C1556" s="2">
        <v>46093.487500000003</v>
      </c>
      <c r="D1556" t="s">
        <v>6023</v>
      </c>
      <c r="E1556" t="s">
        <v>6029</v>
      </c>
      <c r="F1556" t="s">
        <v>6033</v>
      </c>
      <c r="G1556" t="s">
        <v>6058</v>
      </c>
      <c r="H1556" t="s">
        <v>6098</v>
      </c>
      <c r="I1556">
        <v>72</v>
      </c>
      <c r="J1556">
        <v>3.7</v>
      </c>
      <c r="K1556" t="s">
        <v>6099</v>
      </c>
      <c r="L1556" t="s">
        <v>6100</v>
      </c>
      <c r="M1556" t="s">
        <v>6100</v>
      </c>
      <c r="N1556">
        <v>5</v>
      </c>
      <c r="O1556" t="s">
        <v>6101</v>
      </c>
      <c r="P1556" t="s">
        <v>6109</v>
      </c>
      <c r="Q1556">
        <v>3</v>
      </c>
      <c r="R1556">
        <v>2026</v>
      </c>
      <c r="S1556" t="s">
        <v>6099</v>
      </c>
      <c r="T1556">
        <v>1</v>
      </c>
      <c r="U1556" t="s">
        <v>6019</v>
      </c>
      <c r="V1556">
        <v>1</v>
      </c>
    </row>
    <row r="1557" spans="1:22" x14ac:dyDescent="0.3">
      <c r="A1557" t="s">
        <v>1572</v>
      </c>
      <c r="B1557" s="2">
        <v>46093.333333333336</v>
      </c>
      <c r="C1557" s="2">
        <v>46094.241666666669</v>
      </c>
      <c r="D1557" t="s">
        <v>6028</v>
      </c>
      <c r="E1557" t="s">
        <v>6031</v>
      </c>
      <c r="F1557" t="s">
        <v>6035</v>
      </c>
      <c r="G1557" t="s">
        <v>6036</v>
      </c>
      <c r="H1557" t="s">
        <v>6096</v>
      </c>
      <c r="I1557">
        <v>4</v>
      </c>
      <c r="J1557">
        <v>21.8</v>
      </c>
      <c r="K1557" t="s">
        <v>6100</v>
      </c>
      <c r="L1557" t="s">
        <v>6100</v>
      </c>
      <c r="M1557" t="s">
        <v>6100</v>
      </c>
      <c r="N1557">
        <v>4</v>
      </c>
      <c r="O1557" t="s">
        <v>6101</v>
      </c>
      <c r="P1557" t="s">
        <v>6109</v>
      </c>
      <c r="Q1557">
        <v>3</v>
      </c>
      <c r="R1557">
        <v>2026</v>
      </c>
      <c r="S1557" t="s">
        <v>6100</v>
      </c>
      <c r="T1557">
        <v>0</v>
      </c>
      <c r="U1557" t="s">
        <v>6018</v>
      </c>
      <c r="V1557">
        <v>0</v>
      </c>
    </row>
    <row r="1558" spans="1:22" x14ac:dyDescent="0.3">
      <c r="A1558" t="s">
        <v>1573</v>
      </c>
      <c r="B1558" s="2">
        <v>46093.348611111112</v>
      </c>
      <c r="C1558" s="2">
        <v>46095.006944444445</v>
      </c>
      <c r="D1558" t="s">
        <v>6022</v>
      </c>
      <c r="E1558" t="s">
        <v>6032</v>
      </c>
      <c r="F1558" t="s">
        <v>6034</v>
      </c>
      <c r="G1558" t="s">
        <v>6083</v>
      </c>
      <c r="H1558" t="s">
        <v>6096</v>
      </c>
      <c r="I1558">
        <v>24</v>
      </c>
      <c r="J1558">
        <v>39.799999999999997</v>
      </c>
      <c r="K1558" t="s">
        <v>6099</v>
      </c>
      <c r="L1558" t="s">
        <v>6100</v>
      </c>
      <c r="M1558" t="s">
        <v>6100</v>
      </c>
      <c r="N1558">
        <v>4</v>
      </c>
      <c r="O1558" t="s">
        <v>6101</v>
      </c>
      <c r="P1558" t="s">
        <v>6109</v>
      </c>
      <c r="Q1558">
        <v>3</v>
      </c>
      <c r="R1558">
        <v>2026</v>
      </c>
      <c r="S1558" t="s">
        <v>6100</v>
      </c>
      <c r="T1558">
        <v>0</v>
      </c>
      <c r="U1558" t="s">
        <v>6018</v>
      </c>
      <c r="V1558">
        <v>1</v>
      </c>
    </row>
    <row r="1559" spans="1:22" x14ac:dyDescent="0.3">
      <c r="A1559" t="s">
        <v>1574</v>
      </c>
      <c r="B1559" s="2">
        <v>46093.375</v>
      </c>
      <c r="C1559" s="2">
        <v>46094.308333333334</v>
      </c>
      <c r="D1559" t="s">
        <v>6028</v>
      </c>
      <c r="E1559" t="s">
        <v>6029</v>
      </c>
      <c r="F1559" t="s">
        <v>6033</v>
      </c>
      <c r="G1559" t="s">
        <v>6077</v>
      </c>
      <c r="H1559" t="s">
        <v>6098</v>
      </c>
      <c r="I1559">
        <v>72</v>
      </c>
      <c r="J1559">
        <v>22.4</v>
      </c>
      <c r="K1559" t="s">
        <v>6099</v>
      </c>
      <c r="L1559" t="s">
        <v>6100</v>
      </c>
      <c r="M1559" t="s">
        <v>6100</v>
      </c>
      <c r="O1559" t="s">
        <v>6101</v>
      </c>
      <c r="P1559" t="s">
        <v>6109</v>
      </c>
      <c r="Q1559">
        <v>3</v>
      </c>
      <c r="R1559">
        <v>2026</v>
      </c>
      <c r="S1559" t="s">
        <v>6099</v>
      </c>
      <c r="T1559">
        <v>1</v>
      </c>
      <c r="U1559" t="s">
        <v>6018</v>
      </c>
      <c r="V1559">
        <v>1</v>
      </c>
    </row>
    <row r="1560" spans="1:22" x14ac:dyDescent="0.3">
      <c r="A1560" t="s">
        <v>1575</v>
      </c>
      <c r="B1560" s="2">
        <v>46093.375</v>
      </c>
      <c r="C1560" s="2">
        <v>46097.775000000001</v>
      </c>
      <c r="D1560" t="s">
        <v>6028</v>
      </c>
      <c r="E1560" t="s">
        <v>6032</v>
      </c>
      <c r="F1560" t="s">
        <v>6035</v>
      </c>
      <c r="G1560" t="s">
        <v>6041</v>
      </c>
      <c r="H1560" t="s">
        <v>6096</v>
      </c>
      <c r="I1560">
        <v>4</v>
      </c>
      <c r="J1560">
        <v>105.6</v>
      </c>
      <c r="K1560" t="s">
        <v>6100</v>
      </c>
      <c r="L1560" t="s">
        <v>6099</v>
      </c>
      <c r="M1560" t="s">
        <v>6100</v>
      </c>
      <c r="N1560">
        <v>3</v>
      </c>
      <c r="O1560" t="s">
        <v>6101</v>
      </c>
      <c r="P1560" t="s">
        <v>6109</v>
      </c>
      <c r="Q1560">
        <v>3</v>
      </c>
      <c r="R1560">
        <v>2026</v>
      </c>
      <c r="S1560" t="s">
        <v>6100</v>
      </c>
      <c r="T1560">
        <v>0</v>
      </c>
      <c r="U1560" t="s">
        <v>6018</v>
      </c>
      <c r="V1560">
        <v>0</v>
      </c>
    </row>
    <row r="1561" spans="1:22" x14ac:dyDescent="0.3">
      <c r="A1561" t="s">
        <v>1576</v>
      </c>
      <c r="B1561" s="2">
        <v>46093.378472222219</v>
      </c>
      <c r="C1561" s="2">
        <v>46093.574305555558</v>
      </c>
      <c r="D1561" t="s">
        <v>6028</v>
      </c>
      <c r="E1561" t="s">
        <v>6029</v>
      </c>
      <c r="F1561" t="s">
        <v>6035</v>
      </c>
      <c r="G1561" t="s">
        <v>6091</v>
      </c>
      <c r="H1561" t="s">
        <v>6097</v>
      </c>
      <c r="I1561">
        <v>4</v>
      </c>
      <c r="J1561">
        <v>4.7</v>
      </c>
      <c r="K1561" t="s">
        <v>6100</v>
      </c>
      <c r="L1561" t="s">
        <v>6099</v>
      </c>
      <c r="M1561" t="s">
        <v>6099</v>
      </c>
      <c r="N1561">
        <v>2</v>
      </c>
      <c r="O1561" t="s">
        <v>6101</v>
      </c>
      <c r="P1561" t="s">
        <v>6109</v>
      </c>
      <c r="Q1561">
        <v>3</v>
      </c>
      <c r="R1561">
        <v>2026</v>
      </c>
      <c r="S1561" t="s">
        <v>6100</v>
      </c>
      <c r="T1561">
        <v>0</v>
      </c>
      <c r="U1561" t="s">
        <v>6017</v>
      </c>
      <c r="V1561">
        <v>0</v>
      </c>
    </row>
    <row r="1562" spans="1:22" x14ac:dyDescent="0.3">
      <c r="A1562" t="s">
        <v>1577</v>
      </c>
      <c r="B1562" s="2">
        <v>46093.416666666664</v>
      </c>
      <c r="C1562" s="2">
        <v>46094.241666666669</v>
      </c>
      <c r="D1562" t="s">
        <v>6028</v>
      </c>
      <c r="E1562" t="s">
        <v>6030</v>
      </c>
      <c r="F1562" t="s">
        <v>6033</v>
      </c>
      <c r="G1562" t="s">
        <v>6089</v>
      </c>
      <c r="H1562" t="s">
        <v>6098</v>
      </c>
      <c r="I1562">
        <v>72</v>
      </c>
      <c r="J1562">
        <v>19.8</v>
      </c>
      <c r="K1562" t="s">
        <v>6099</v>
      </c>
      <c r="L1562" t="s">
        <v>6100</v>
      </c>
      <c r="M1562" t="s">
        <v>6100</v>
      </c>
      <c r="N1562">
        <v>5</v>
      </c>
      <c r="O1562" t="s">
        <v>6101</v>
      </c>
      <c r="P1562" t="s">
        <v>6109</v>
      </c>
      <c r="Q1562">
        <v>3</v>
      </c>
      <c r="R1562">
        <v>2026</v>
      </c>
      <c r="S1562" t="s">
        <v>6099</v>
      </c>
      <c r="T1562">
        <v>1</v>
      </c>
      <c r="U1562" t="s">
        <v>6018</v>
      </c>
      <c r="V1562">
        <v>1</v>
      </c>
    </row>
    <row r="1563" spans="1:22" x14ac:dyDescent="0.3">
      <c r="A1563" t="s">
        <v>1578</v>
      </c>
      <c r="B1563" s="2">
        <v>46093.416666666664</v>
      </c>
      <c r="C1563" s="2">
        <v>46096.091666666667</v>
      </c>
      <c r="D1563" t="s">
        <v>6028</v>
      </c>
      <c r="E1563" t="s">
        <v>6031</v>
      </c>
      <c r="F1563" t="s">
        <v>6034</v>
      </c>
      <c r="G1563" t="s">
        <v>6041</v>
      </c>
      <c r="H1563" t="s">
        <v>6096</v>
      </c>
      <c r="I1563">
        <v>24</v>
      </c>
      <c r="J1563">
        <v>64.2</v>
      </c>
      <c r="K1563" t="s">
        <v>6099</v>
      </c>
      <c r="L1563" t="s">
        <v>6100</v>
      </c>
      <c r="M1563" t="s">
        <v>6100</v>
      </c>
      <c r="N1563">
        <v>5</v>
      </c>
      <c r="O1563" t="s">
        <v>6101</v>
      </c>
      <c r="P1563" t="s">
        <v>6109</v>
      </c>
      <c r="Q1563">
        <v>3</v>
      </c>
      <c r="R1563">
        <v>2026</v>
      </c>
      <c r="S1563" t="s">
        <v>6100</v>
      </c>
      <c r="T1563">
        <v>0</v>
      </c>
      <c r="U1563" t="s">
        <v>6018</v>
      </c>
      <c r="V1563">
        <v>1</v>
      </c>
    </row>
    <row r="1564" spans="1:22" x14ac:dyDescent="0.3">
      <c r="A1564" t="s">
        <v>1579</v>
      </c>
      <c r="B1564" s="2">
        <v>46093.447916666664</v>
      </c>
      <c r="C1564" s="2">
        <v>46093.95208333333</v>
      </c>
      <c r="D1564" t="s">
        <v>6023</v>
      </c>
      <c r="E1564" t="s">
        <v>6032</v>
      </c>
      <c r="F1564" t="s">
        <v>6034</v>
      </c>
      <c r="G1564" t="s">
        <v>6078</v>
      </c>
      <c r="H1564" t="s">
        <v>6097</v>
      </c>
      <c r="I1564">
        <v>24</v>
      </c>
      <c r="J1564">
        <v>12.1</v>
      </c>
      <c r="K1564" t="s">
        <v>6099</v>
      </c>
      <c r="L1564" t="s">
        <v>6100</v>
      </c>
      <c r="M1564" t="s">
        <v>6100</v>
      </c>
      <c r="N1564">
        <v>5</v>
      </c>
      <c r="O1564" t="s">
        <v>6101</v>
      </c>
      <c r="P1564" t="s">
        <v>6109</v>
      </c>
      <c r="Q1564">
        <v>3</v>
      </c>
      <c r="R1564">
        <v>2026</v>
      </c>
      <c r="S1564" t="s">
        <v>6099</v>
      </c>
      <c r="T1564">
        <v>1</v>
      </c>
      <c r="U1564" t="s">
        <v>6020</v>
      </c>
      <c r="V1564">
        <v>1</v>
      </c>
    </row>
    <row r="1565" spans="1:22" x14ac:dyDescent="0.3">
      <c r="A1565" t="s">
        <v>1580</v>
      </c>
      <c r="B1565" s="2">
        <v>46093.467361111114</v>
      </c>
      <c r="C1565" s="2">
        <v>46093.809027777781</v>
      </c>
      <c r="D1565" t="s">
        <v>6028</v>
      </c>
      <c r="E1565" t="s">
        <v>6029</v>
      </c>
      <c r="F1565" t="s">
        <v>6034</v>
      </c>
      <c r="G1565" t="s">
        <v>6095</v>
      </c>
      <c r="H1565" t="s">
        <v>6098</v>
      </c>
      <c r="I1565">
        <v>24</v>
      </c>
      <c r="J1565">
        <v>8.1999999999999993</v>
      </c>
      <c r="K1565" t="s">
        <v>6100</v>
      </c>
      <c r="L1565" t="s">
        <v>6100</v>
      </c>
      <c r="M1565" t="s">
        <v>6100</v>
      </c>
      <c r="N1565">
        <v>4</v>
      </c>
      <c r="O1565" t="s">
        <v>6101</v>
      </c>
      <c r="P1565" t="s">
        <v>6109</v>
      </c>
      <c r="Q1565">
        <v>3</v>
      </c>
      <c r="R1565">
        <v>2026</v>
      </c>
      <c r="S1565" t="s">
        <v>6099</v>
      </c>
      <c r="T1565">
        <v>1</v>
      </c>
      <c r="U1565" t="s">
        <v>6021</v>
      </c>
      <c r="V1565">
        <v>0</v>
      </c>
    </row>
    <row r="1566" spans="1:22" x14ac:dyDescent="0.3">
      <c r="A1566" t="s">
        <v>1581</v>
      </c>
      <c r="B1566" s="2">
        <v>46093.5</v>
      </c>
      <c r="C1566" s="2">
        <v>46094.083333333336</v>
      </c>
      <c r="D1566" t="s">
        <v>6028</v>
      </c>
      <c r="E1566" t="s">
        <v>6030</v>
      </c>
      <c r="F1566" t="s">
        <v>6035</v>
      </c>
      <c r="G1566" t="s">
        <v>6064</v>
      </c>
      <c r="H1566" t="s">
        <v>6096</v>
      </c>
      <c r="I1566">
        <v>4</v>
      </c>
      <c r="J1566">
        <v>14</v>
      </c>
      <c r="K1566" t="s">
        <v>6099</v>
      </c>
      <c r="L1566" t="s">
        <v>6100</v>
      </c>
      <c r="M1566" t="s">
        <v>6099</v>
      </c>
      <c r="N1566">
        <v>4</v>
      </c>
      <c r="O1566" t="s">
        <v>6101</v>
      </c>
      <c r="P1566" t="s">
        <v>6109</v>
      </c>
      <c r="Q1566">
        <v>3</v>
      </c>
      <c r="R1566">
        <v>2026</v>
      </c>
      <c r="S1566" t="s">
        <v>6100</v>
      </c>
      <c r="T1566">
        <v>0</v>
      </c>
      <c r="U1566" t="s">
        <v>6018</v>
      </c>
      <c r="V1566">
        <v>1</v>
      </c>
    </row>
    <row r="1567" spans="1:22" x14ac:dyDescent="0.3">
      <c r="A1567" t="s">
        <v>1582</v>
      </c>
      <c r="B1567" s="2">
        <v>46093.5</v>
      </c>
      <c r="C1567" s="2">
        <v>46094.89166666667</v>
      </c>
      <c r="D1567" t="s">
        <v>6028</v>
      </c>
      <c r="E1567" t="s">
        <v>6029</v>
      </c>
      <c r="F1567" t="s">
        <v>6035</v>
      </c>
      <c r="G1567" t="s">
        <v>6040</v>
      </c>
      <c r="H1567" t="s">
        <v>6097</v>
      </c>
      <c r="I1567">
        <v>4</v>
      </c>
      <c r="J1567">
        <v>33.4</v>
      </c>
      <c r="K1567" t="s">
        <v>6099</v>
      </c>
      <c r="L1567" t="s">
        <v>6100</v>
      </c>
      <c r="M1567" t="s">
        <v>6100</v>
      </c>
      <c r="N1567">
        <v>4</v>
      </c>
      <c r="O1567" t="s">
        <v>6101</v>
      </c>
      <c r="P1567" t="s">
        <v>6109</v>
      </c>
      <c r="Q1567">
        <v>3</v>
      </c>
      <c r="R1567">
        <v>2026</v>
      </c>
      <c r="S1567" t="s">
        <v>6100</v>
      </c>
      <c r="T1567">
        <v>0</v>
      </c>
      <c r="U1567" t="s">
        <v>6018</v>
      </c>
      <c r="V1567">
        <v>1</v>
      </c>
    </row>
    <row r="1568" spans="1:22" x14ac:dyDescent="0.3">
      <c r="A1568" t="s">
        <v>1583</v>
      </c>
      <c r="B1568" s="2">
        <v>46093.5</v>
      </c>
      <c r="C1568" s="2">
        <v>46094.683333333334</v>
      </c>
      <c r="D1568" t="s">
        <v>6028</v>
      </c>
      <c r="E1568" t="s">
        <v>6029</v>
      </c>
      <c r="F1568" t="s">
        <v>6033</v>
      </c>
      <c r="G1568" t="s">
        <v>6089</v>
      </c>
      <c r="H1568" t="s">
        <v>6098</v>
      </c>
      <c r="I1568">
        <v>72</v>
      </c>
      <c r="J1568">
        <v>28.4</v>
      </c>
      <c r="K1568" t="s">
        <v>6099</v>
      </c>
      <c r="L1568" t="s">
        <v>6100</v>
      </c>
      <c r="M1568" t="s">
        <v>6100</v>
      </c>
      <c r="N1568">
        <v>5</v>
      </c>
      <c r="O1568" t="s">
        <v>6101</v>
      </c>
      <c r="P1568" t="s">
        <v>6109</v>
      </c>
      <c r="Q1568">
        <v>3</v>
      </c>
      <c r="R1568">
        <v>2026</v>
      </c>
      <c r="S1568" t="s">
        <v>6099</v>
      </c>
      <c r="T1568">
        <v>1</v>
      </c>
      <c r="U1568" t="s">
        <v>6018</v>
      </c>
      <c r="V1568">
        <v>1</v>
      </c>
    </row>
    <row r="1569" spans="1:22" x14ac:dyDescent="0.3">
      <c r="A1569" t="s">
        <v>1584</v>
      </c>
      <c r="B1569" s="2">
        <v>46093.518055555556</v>
      </c>
      <c r="C1569" s="2">
        <v>46094.193055555559</v>
      </c>
      <c r="D1569" t="s">
        <v>6025</v>
      </c>
      <c r="E1569" t="s">
        <v>6029</v>
      </c>
      <c r="F1569" t="s">
        <v>6033</v>
      </c>
      <c r="G1569" t="s">
        <v>6075</v>
      </c>
      <c r="H1569" t="s">
        <v>6097</v>
      </c>
      <c r="I1569">
        <v>72</v>
      </c>
      <c r="J1569">
        <v>16.2</v>
      </c>
      <c r="K1569" t="s">
        <v>6099</v>
      </c>
      <c r="L1569" t="s">
        <v>6100</v>
      </c>
      <c r="M1569" t="s">
        <v>6100</v>
      </c>
      <c r="N1569">
        <v>5</v>
      </c>
      <c r="O1569" t="s">
        <v>6101</v>
      </c>
      <c r="P1569" t="s">
        <v>6109</v>
      </c>
      <c r="Q1569">
        <v>3</v>
      </c>
      <c r="R1569">
        <v>2026</v>
      </c>
      <c r="S1569" t="s">
        <v>6099</v>
      </c>
      <c r="T1569">
        <v>1</v>
      </c>
      <c r="U1569" t="s">
        <v>6020</v>
      </c>
      <c r="V1569">
        <v>1</v>
      </c>
    </row>
    <row r="1570" spans="1:22" x14ac:dyDescent="0.3">
      <c r="A1570" t="s">
        <v>1585</v>
      </c>
      <c r="B1570" s="2">
        <v>46093.520833333336</v>
      </c>
      <c r="C1570" s="2">
        <v>46093.558333333334</v>
      </c>
      <c r="D1570" t="s">
        <v>6028</v>
      </c>
      <c r="E1570" t="s">
        <v>6030</v>
      </c>
      <c r="F1570" t="s">
        <v>6035</v>
      </c>
      <c r="G1570" t="s">
        <v>6063</v>
      </c>
      <c r="H1570" t="s">
        <v>6097</v>
      </c>
      <c r="I1570">
        <v>4</v>
      </c>
      <c r="J1570">
        <v>0.9</v>
      </c>
      <c r="K1570" t="s">
        <v>6099</v>
      </c>
      <c r="L1570" t="s">
        <v>6100</v>
      </c>
      <c r="M1570" t="s">
        <v>6100</v>
      </c>
      <c r="N1570">
        <v>5</v>
      </c>
      <c r="O1570" t="s">
        <v>6101</v>
      </c>
      <c r="P1570" t="s">
        <v>6109</v>
      </c>
      <c r="Q1570">
        <v>3</v>
      </c>
      <c r="R1570">
        <v>2026</v>
      </c>
      <c r="S1570" t="s">
        <v>6099</v>
      </c>
      <c r="T1570">
        <v>1</v>
      </c>
      <c r="U1570" t="s">
        <v>6017</v>
      </c>
      <c r="V1570">
        <v>1</v>
      </c>
    </row>
    <row r="1571" spans="1:22" x14ac:dyDescent="0.3">
      <c r="A1571" t="s">
        <v>1586</v>
      </c>
      <c r="B1571" s="2">
        <v>46093.525694444441</v>
      </c>
      <c r="C1571" s="2">
        <v>46094.446527777778</v>
      </c>
      <c r="D1571" t="s">
        <v>6027</v>
      </c>
      <c r="E1571" t="s">
        <v>6030</v>
      </c>
      <c r="F1571" t="s">
        <v>6034</v>
      </c>
      <c r="G1571" t="s">
        <v>6055</v>
      </c>
      <c r="H1571" t="s">
        <v>6096</v>
      </c>
      <c r="I1571">
        <v>24</v>
      </c>
      <c r="J1571">
        <v>22.1</v>
      </c>
      <c r="K1571" t="s">
        <v>6100</v>
      </c>
      <c r="L1571" t="s">
        <v>6100</v>
      </c>
      <c r="M1571" t="s">
        <v>6099</v>
      </c>
      <c r="N1571">
        <v>4</v>
      </c>
      <c r="O1571" t="s">
        <v>6101</v>
      </c>
      <c r="P1571" t="s">
        <v>6109</v>
      </c>
      <c r="Q1571">
        <v>3</v>
      </c>
      <c r="R1571">
        <v>2026</v>
      </c>
      <c r="S1571" t="s">
        <v>6099</v>
      </c>
      <c r="T1571">
        <v>1</v>
      </c>
      <c r="U1571" t="s">
        <v>6019</v>
      </c>
      <c r="V1571">
        <v>0</v>
      </c>
    </row>
    <row r="1572" spans="1:22" x14ac:dyDescent="0.3">
      <c r="A1572" t="s">
        <v>1587</v>
      </c>
      <c r="B1572" s="2">
        <v>46093.53402777778</v>
      </c>
      <c r="C1572" s="2">
        <v>46094.804861111108</v>
      </c>
      <c r="D1572" t="s">
        <v>6025</v>
      </c>
      <c r="E1572" t="s">
        <v>6032</v>
      </c>
      <c r="F1572" t="s">
        <v>6034</v>
      </c>
      <c r="G1572" t="s">
        <v>6072</v>
      </c>
      <c r="H1572" t="s">
        <v>6097</v>
      </c>
      <c r="I1572">
        <v>24</v>
      </c>
      <c r="J1572">
        <v>30.5</v>
      </c>
      <c r="K1572" t="s">
        <v>6099</v>
      </c>
      <c r="L1572" t="s">
        <v>6100</v>
      </c>
      <c r="M1572" t="s">
        <v>6100</v>
      </c>
      <c r="N1572">
        <v>5</v>
      </c>
      <c r="O1572" t="s">
        <v>6101</v>
      </c>
      <c r="P1572" t="s">
        <v>6109</v>
      </c>
      <c r="Q1572">
        <v>3</v>
      </c>
      <c r="R1572">
        <v>2026</v>
      </c>
      <c r="S1572" t="s">
        <v>6100</v>
      </c>
      <c r="T1572">
        <v>0</v>
      </c>
      <c r="U1572" t="s">
        <v>6018</v>
      </c>
      <c r="V1572">
        <v>1</v>
      </c>
    </row>
    <row r="1573" spans="1:22" x14ac:dyDescent="0.3">
      <c r="A1573" t="s">
        <v>1588</v>
      </c>
      <c r="B1573" s="2">
        <v>46093.561111111114</v>
      </c>
      <c r="C1573" s="2">
        <v>46093.848611111112</v>
      </c>
      <c r="D1573" t="s">
        <v>6022</v>
      </c>
      <c r="E1573" t="s">
        <v>6030</v>
      </c>
      <c r="F1573" t="s">
        <v>6034</v>
      </c>
      <c r="G1573" t="s">
        <v>6061</v>
      </c>
      <c r="H1573" t="s">
        <v>6096</v>
      </c>
      <c r="I1573">
        <v>24</v>
      </c>
      <c r="J1573">
        <v>6.9</v>
      </c>
      <c r="K1573" t="s">
        <v>6100</v>
      </c>
      <c r="L1573" t="s">
        <v>6099</v>
      </c>
      <c r="M1573" t="s">
        <v>6100</v>
      </c>
      <c r="N1573">
        <v>5</v>
      </c>
      <c r="O1573" t="s">
        <v>6101</v>
      </c>
      <c r="P1573" t="s">
        <v>6109</v>
      </c>
      <c r="Q1573">
        <v>3</v>
      </c>
      <c r="R1573">
        <v>2026</v>
      </c>
      <c r="S1573" t="s">
        <v>6099</v>
      </c>
      <c r="T1573">
        <v>1</v>
      </c>
      <c r="U1573" t="s">
        <v>6021</v>
      </c>
      <c r="V1573">
        <v>0</v>
      </c>
    </row>
    <row r="1574" spans="1:22" x14ac:dyDescent="0.3">
      <c r="A1574" t="s">
        <v>1589</v>
      </c>
      <c r="B1574" s="2">
        <v>46093.582638888889</v>
      </c>
      <c r="C1574" s="2">
        <v>46094.457638888889</v>
      </c>
      <c r="D1574" t="s">
        <v>6028</v>
      </c>
      <c r="E1574" t="s">
        <v>6031</v>
      </c>
      <c r="F1574" t="s">
        <v>6034</v>
      </c>
      <c r="G1574" t="s">
        <v>6057</v>
      </c>
      <c r="H1574" t="s">
        <v>6097</v>
      </c>
      <c r="I1574">
        <v>24</v>
      </c>
      <c r="J1574">
        <v>21</v>
      </c>
      <c r="K1574" t="s">
        <v>6099</v>
      </c>
      <c r="L1574" t="s">
        <v>6100</v>
      </c>
      <c r="M1574" t="s">
        <v>6100</v>
      </c>
      <c r="N1574">
        <v>4</v>
      </c>
      <c r="O1574" t="s">
        <v>6101</v>
      </c>
      <c r="P1574" t="s">
        <v>6109</v>
      </c>
      <c r="Q1574">
        <v>3</v>
      </c>
      <c r="R1574">
        <v>2026</v>
      </c>
      <c r="S1574" t="s">
        <v>6099</v>
      </c>
      <c r="T1574">
        <v>1</v>
      </c>
      <c r="U1574" t="s">
        <v>6017</v>
      </c>
      <c r="V1574">
        <v>1</v>
      </c>
    </row>
    <row r="1575" spans="1:22" x14ac:dyDescent="0.3">
      <c r="A1575" t="s">
        <v>1590</v>
      </c>
      <c r="B1575" s="2">
        <v>46093.583333333336</v>
      </c>
      <c r="C1575" s="2">
        <v>46095.033333333333</v>
      </c>
      <c r="D1575" t="s">
        <v>6028</v>
      </c>
      <c r="E1575" t="s">
        <v>6032</v>
      </c>
      <c r="F1575" t="s">
        <v>6035</v>
      </c>
      <c r="G1575" t="s">
        <v>6066</v>
      </c>
      <c r="H1575" t="s">
        <v>6096</v>
      </c>
      <c r="I1575">
        <v>4</v>
      </c>
      <c r="J1575">
        <v>34.799999999999997</v>
      </c>
      <c r="K1575" t="s">
        <v>6100</v>
      </c>
      <c r="L1575" t="s">
        <v>6099</v>
      </c>
      <c r="M1575" t="s">
        <v>6100</v>
      </c>
      <c r="O1575" t="s">
        <v>6101</v>
      </c>
      <c r="P1575" t="s">
        <v>6109</v>
      </c>
      <c r="Q1575">
        <v>3</v>
      </c>
      <c r="R1575">
        <v>2026</v>
      </c>
      <c r="S1575" t="s">
        <v>6100</v>
      </c>
      <c r="T1575">
        <v>0</v>
      </c>
      <c r="U1575" t="s">
        <v>6018</v>
      </c>
      <c r="V1575">
        <v>0</v>
      </c>
    </row>
    <row r="1576" spans="1:22" x14ac:dyDescent="0.3">
      <c r="A1576" t="s">
        <v>1591</v>
      </c>
      <c r="B1576" s="2">
        <v>46093.583333333336</v>
      </c>
      <c r="C1576" s="2">
        <v>46094.29583333333</v>
      </c>
      <c r="D1576" t="s">
        <v>6028</v>
      </c>
      <c r="E1576" t="s">
        <v>6029</v>
      </c>
      <c r="F1576" t="s">
        <v>6033</v>
      </c>
      <c r="G1576" t="s">
        <v>6066</v>
      </c>
      <c r="H1576" t="s">
        <v>6096</v>
      </c>
      <c r="I1576">
        <v>72</v>
      </c>
      <c r="J1576">
        <v>17.100000000000001</v>
      </c>
      <c r="K1576" t="s">
        <v>6099</v>
      </c>
      <c r="L1576" t="s">
        <v>6100</v>
      </c>
      <c r="M1576" t="s">
        <v>6100</v>
      </c>
      <c r="N1576">
        <v>5</v>
      </c>
      <c r="O1576" t="s">
        <v>6101</v>
      </c>
      <c r="P1576" t="s">
        <v>6109</v>
      </c>
      <c r="Q1576">
        <v>3</v>
      </c>
      <c r="R1576">
        <v>2026</v>
      </c>
      <c r="S1576" t="s">
        <v>6099</v>
      </c>
      <c r="T1576">
        <v>1</v>
      </c>
      <c r="U1576" t="s">
        <v>6018</v>
      </c>
      <c r="V1576">
        <v>1</v>
      </c>
    </row>
    <row r="1577" spans="1:22" x14ac:dyDescent="0.3">
      <c r="A1577" t="s">
        <v>1592</v>
      </c>
      <c r="B1577" s="2">
        <v>46093.583333333336</v>
      </c>
      <c r="C1577" s="2">
        <v>46094.945833333331</v>
      </c>
      <c r="D1577" t="s">
        <v>6028</v>
      </c>
      <c r="E1577" t="s">
        <v>6029</v>
      </c>
      <c r="F1577" t="s">
        <v>6035</v>
      </c>
      <c r="G1577" t="s">
        <v>6052</v>
      </c>
      <c r="H1577" t="s">
        <v>6098</v>
      </c>
      <c r="I1577">
        <v>4</v>
      </c>
      <c r="J1577">
        <v>32.700000000000003</v>
      </c>
      <c r="K1577" t="s">
        <v>6099</v>
      </c>
      <c r="L1577" t="s">
        <v>6100</v>
      </c>
      <c r="M1577" t="s">
        <v>6100</v>
      </c>
      <c r="N1577">
        <v>4</v>
      </c>
      <c r="O1577" t="s">
        <v>6101</v>
      </c>
      <c r="P1577" t="s">
        <v>6109</v>
      </c>
      <c r="Q1577">
        <v>3</v>
      </c>
      <c r="R1577">
        <v>2026</v>
      </c>
      <c r="S1577" t="s">
        <v>6100</v>
      </c>
      <c r="T1577">
        <v>0</v>
      </c>
      <c r="U1577" t="s">
        <v>6018</v>
      </c>
      <c r="V1577">
        <v>1</v>
      </c>
    </row>
    <row r="1578" spans="1:22" x14ac:dyDescent="0.3">
      <c r="A1578" t="s">
        <v>1593</v>
      </c>
      <c r="B1578" s="2">
        <v>46093.590277777781</v>
      </c>
      <c r="C1578" s="2">
        <v>46093.819444444445</v>
      </c>
      <c r="D1578" t="s">
        <v>6022</v>
      </c>
      <c r="E1578" t="s">
        <v>6029</v>
      </c>
      <c r="F1578" t="s">
        <v>6034</v>
      </c>
      <c r="G1578" t="s">
        <v>6061</v>
      </c>
      <c r="H1578" t="s">
        <v>6096</v>
      </c>
      <c r="I1578">
        <v>24</v>
      </c>
      <c r="J1578">
        <v>5.5</v>
      </c>
      <c r="K1578" t="s">
        <v>6100</v>
      </c>
      <c r="L1578" t="s">
        <v>6099</v>
      </c>
      <c r="M1578" t="s">
        <v>6100</v>
      </c>
      <c r="O1578" t="s">
        <v>6101</v>
      </c>
      <c r="P1578" t="s">
        <v>6109</v>
      </c>
      <c r="Q1578">
        <v>3</v>
      </c>
      <c r="R1578">
        <v>2026</v>
      </c>
      <c r="S1578" t="s">
        <v>6099</v>
      </c>
      <c r="T1578">
        <v>1</v>
      </c>
      <c r="U1578" t="s">
        <v>6021</v>
      </c>
      <c r="V1578">
        <v>0</v>
      </c>
    </row>
    <row r="1579" spans="1:22" x14ac:dyDescent="0.3">
      <c r="A1579" t="s">
        <v>1594</v>
      </c>
      <c r="B1579" s="2">
        <v>46093.601388888892</v>
      </c>
      <c r="C1579" s="2">
        <v>46094.868055555555</v>
      </c>
      <c r="D1579" t="s">
        <v>6022</v>
      </c>
      <c r="E1579" t="s">
        <v>6029</v>
      </c>
      <c r="F1579" t="s">
        <v>6033</v>
      </c>
      <c r="G1579" t="s">
        <v>6044</v>
      </c>
      <c r="H1579" t="s">
        <v>6097</v>
      </c>
      <c r="I1579">
        <v>72</v>
      </c>
      <c r="J1579">
        <v>30.4</v>
      </c>
      <c r="K1579" t="s">
        <v>6099</v>
      </c>
      <c r="L1579" t="s">
        <v>6100</v>
      </c>
      <c r="M1579" t="s">
        <v>6100</v>
      </c>
      <c r="N1579">
        <v>4</v>
      </c>
      <c r="O1579" t="s">
        <v>6101</v>
      </c>
      <c r="P1579" t="s">
        <v>6109</v>
      </c>
      <c r="Q1579">
        <v>3</v>
      </c>
      <c r="R1579">
        <v>2026</v>
      </c>
      <c r="S1579" t="s">
        <v>6099</v>
      </c>
      <c r="T1579">
        <v>1</v>
      </c>
      <c r="U1579" t="s">
        <v>6021</v>
      </c>
      <c r="V1579">
        <v>1</v>
      </c>
    </row>
    <row r="1580" spans="1:22" x14ac:dyDescent="0.3">
      <c r="A1580" t="s">
        <v>1595</v>
      </c>
      <c r="B1580" s="2">
        <v>46093.61041666667</v>
      </c>
      <c r="C1580" s="2">
        <v>46094.368750000001</v>
      </c>
      <c r="D1580" t="s">
        <v>6022</v>
      </c>
      <c r="E1580" t="s">
        <v>6030</v>
      </c>
      <c r="F1580" t="s">
        <v>6035</v>
      </c>
      <c r="G1580" t="s">
        <v>6044</v>
      </c>
      <c r="H1580" t="s">
        <v>6097</v>
      </c>
      <c r="I1580">
        <v>4</v>
      </c>
      <c r="J1580">
        <v>18.2</v>
      </c>
      <c r="K1580" t="s">
        <v>6099</v>
      </c>
      <c r="L1580" t="s">
        <v>6100</v>
      </c>
      <c r="M1580" t="s">
        <v>6100</v>
      </c>
      <c r="N1580">
        <v>5</v>
      </c>
      <c r="O1580" t="s">
        <v>6101</v>
      </c>
      <c r="P1580" t="s">
        <v>6109</v>
      </c>
      <c r="Q1580">
        <v>3</v>
      </c>
      <c r="R1580">
        <v>2026</v>
      </c>
      <c r="S1580" t="s">
        <v>6100</v>
      </c>
      <c r="T1580">
        <v>0</v>
      </c>
      <c r="U1580" t="s">
        <v>6018</v>
      </c>
      <c r="V1580">
        <v>1</v>
      </c>
    </row>
    <row r="1581" spans="1:22" x14ac:dyDescent="0.3">
      <c r="A1581" t="s">
        <v>1596</v>
      </c>
      <c r="B1581" s="2">
        <v>46093.666666666664</v>
      </c>
      <c r="C1581" s="2">
        <v>46094.054166666669</v>
      </c>
      <c r="D1581" t="s">
        <v>6028</v>
      </c>
      <c r="E1581" t="s">
        <v>6030</v>
      </c>
      <c r="F1581" t="s">
        <v>6035</v>
      </c>
      <c r="G1581" t="s">
        <v>6065</v>
      </c>
      <c r="H1581" t="s">
        <v>6097</v>
      </c>
      <c r="I1581">
        <v>4</v>
      </c>
      <c r="J1581">
        <v>9.3000000000000007</v>
      </c>
      <c r="K1581" t="s">
        <v>6099</v>
      </c>
      <c r="L1581" t="s">
        <v>6100</v>
      </c>
      <c r="M1581" t="s">
        <v>6099</v>
      </c>
      <c r="N1581">
        <v>2</v>
      </c>
      <c r="O1581" t="s">
        <v>6101</v>
      </c>
      <c r="P1581" t="s">
        <v>6109</v>
      </c>
      <c r="Q1581">
        <v>3</v>
      </c>
      <c r="R1581">
        <v>2026</v>
      </c>
      <c r="S1581" t="s">
        <v>6100</v>
      </c>
      <c r="T1581">
        <v>0</v>
      </c>
      <c r="U1581" t="s">
        <v>6018</v>
      </c>
      <c r="V1581">
        <v>1</v>
      </c>
    </row>
    <row r="1582" spans="1:22" x14ac:dyDescent="0.3">
      <c r="A1582" t="s">
        <v>1597</v>
      </c>
      <c r="B1582" s="2">
        <v>46093.679861111108</v>
      </c>
      <c r="C1582" s="2">
        <v>46093.921527777777</v>
      </c>
      <c r="D1582" t="s">
        <v>6024</v>
      </c>
      <c r="E1582" t="s">
        <v>6030</v>
      </c>
      <c r="F1582" t="s">
        <v>6034</v>
      </c>
      <c r="G1582" t="s">
        <v>6078</v>
      </c>
      <c r="H1582" t="s">
        <v>6097</v>
      </c>
      <c r="I1582">
        <v>24</v>
      </c>
      <c r="J1582">
        <v>5.8</v>
      </c>
      <c r="K1582" t="s">
        <v>6099</v>
      </c>
      <c r="L1582" t="s">
        <v>6100</v>
      </c>
      <c r="M1582" t="s">
        <v>6100</v>
      </c>
      <c r="O1582" t="s">
        <v>6101</v>
      </c>
      <c r="P1582" t="s">
        <v>6109</v>
      </c>
      <c r="Q1582">
        <v>3</v>
      </c>
      <c r="R1582">
        <v>2026</v>
      </c>
      <c r="S1582" t="s">
        <v>6099</v>
      </c>
      <c r="T1582">
        <v>1</v>
      </c>
      <c r="U1582" t="s">
        <v>6017</v>
      </c>
      <c r="V1582">
        <v>1</v>
      </c>
    </row>
    <row r="1583" spans="1:22" x14ac:dyDescent="0.3">
      <c r="A1583" t="s">
        <v>1598</v>
      </c>
      <c r="B1583" s="2">
        <v>46093.694444444445</v>
      </c>
      <c r="C1583" s="2">
        <v>46094.356944444444</v>
      </c>
      <c r="D1583" t="s">
        <v>6025</v>
      </c>
      <c r="E1583" t="s">
        <v>6031</v>
      </c>
      <c r="F1583" t="s">
        <v>6034</v>
      </c>
      <c r="G1583" t="s">
        <v>6082</v>
      </c>
      <c r="H1583" t="s">
        <v>6097</v>
      </c>
      <c r="I1583">
        <v>24</v>
      </c>
      <c r="J1583">
        <v>15.9</v>
      </c>
      <c r="K1583" t="s">
        <v>6099</v>
      </c>
      <c r="L1583" t="s">
        <v>6100</v>
      </c>
      <c r="M1583" t="s">
        <v>6100</v>
      </c>
      <c r="N1583">
        <v>5</v>
      </c>
      <c r="O1583" t="s">
        <v>6101</v>
      </c>
      <c r="P1583" t="s">
        <v>6109</v>
      </c>
      <c r="Q1583">
        <v>3</v>
      </c>
      <c r="R1583">
        <v>2026</v>
      </c>
      <c r="S1583" t="s">
        <v>6099</v>
      </c>
      <c r="T1583">
        <v>1</v>
      </c>
      <c r="U1583" t="s">
        <v>6021</v>
      </c>
      <c r="V1583">
        <v>1</v>
      </c>
    </row>
    <row r="1584" spans="1:22" x14ac:dyDescent="0.3">
      <c r="A1584" t="s">
        <v>1599</v>
      </c>
      <c r="B1584" s="2">
        <v>46093.708333333336</v>
      </c>
      <c r="C1584" s="2">
        <v>46094.75</v>
      </c>
      <c r="D1584" t="s">
        <v>6028</v>
      </c>
      <c r="E1584" t="s">
        <v>6029</v>
      </c>
      <c r="F1584" t="s">
        <v>6035</v>
      </c>
      <c r="G1584" t="s">
        <v>6072</v>
      </c>
      <c r="H1584" t="s">
        <v>6097</v>
      </c>
      <c r="I1584">
        <v>4</v>
      </c>
      <c r="J1584">
        <v>25</v>
      </c>
      <c r="K1584" t="s">
        <v>6099</v>
      </c>
      <c r="L1584" t="s">
        <v>6100</v>
      </c>
      <c r="M1584" t="s">
        <v>6100</v>
      </c>
      <c r="O1584" t="s">
        <v>6101</v>
      </c>
      <c r="P1584" t="s">
        <v>6109</v>
      </c>
      <c r="Q1584">
        <v>3</v>
      </c>
      <c r="R1584">
        <v>2026</v>
      </c>
      <c r="S1584" t="s">
        <v>6100</v>
      </c>
      <c r="T1584">
        <v>0</v>
      </c>
      <c r="U1584" t="s">
        <v>6018</v>
      </c>
      <c r="V1584">
        <v>1</v>
      </c>
    </row>
    <row r="1585" spans="1:22" x14ac:dyDescent="0.3">
      <c r="A1585" t="s">
        <v>1600</v>
      </c>
      <c r="B1585" s="2">
        <v>46093.708333333336</v>
      </c>
      <c r="C1585" s="2">
        <v>46095.199999999997</v>
      </c>
      <c r="D1585" t="s">
        <v>6028</v>
      </c>
      <c r="E1585" t="s">
        <v>6030</v>
      </c>
      <c r="F1585" t="s">
        <v>6035</v>
      </c>
      <c r="G1585" t="s">
        <v>6064</v>
      </c>
      <c r="H1585" t="s">
        <v>6096</v>
      </c>
      <c r="I1585">
        <v>4</v>
      </c>
      <c r="J1585">
        <v>35.799999999999997</v>
      </c>
      <c r="K1585" t="s">
        <v>6099</v>
      </c>
      <c r="L1585" t="s">
        <v>6100</v>
      </c>
      <c r="M1585" t="s">
        <v>6100</v>
      </c>
      <c r="N1585">
        <v>3</v>
      </c>
      <c r="O1585" t="s">
        <v>6101</v>
      </c>
      <c r="P1585" t="s">
        <v>6109</v>
      </c>
      <c r="Q1585">
        <v>3</v>
      </c>
      <c r="R1585">
        <v>2026</v>
      </c>
      <c r="S1585" t="s">
        <v>6100</v>
      </c>
      <c r="T1585">
        <v>0</v>
      </c>
      <c r="U1585" t="s">
        <v>6018</v>
      </c>
      <c r="V1585">
        <v>1</v>
      </c>
    </row>
    <row r="1586" spans="1:22" x14ac:dyDescent="0.3">
      <c r="A1586" t="s">
        <v>1601</v>
      </c>
      <c r="B1586" s="2">
        <v>46093.708333333336</v>
      </c>
      <c r="C1586" s="2">
        <v>46094.908333333333</v>
      </c>
      <c r="D1586" t="s">
        <v>6028</v>
      </c>
      <c r="E1586" t="s">
        <v>6029</v>
      </c>
      <c r="F1586" t="s">
        <v>6034</v>
      </c>
      <c r="G1586" t="s">
        <v>6041</v>
      </c>
      <c r="H1586" t="s">
        <v>6096</v>
      </c>
      <c r="I1586">
        <v>24</v>
      </c>
      <c r="J1586">
        <v>28.8</v>
      </c>
      <c r="K1586" t="s">
        <v>6100</v>
      </c>
      <c r="L1586" t="s">
        <v>6099</v>
      </c>
      <c r="M1586" t="s">
        <v>6100</v>
      </c>
      <c r="N1586">
        <v>1</v>
      </c>
      <c r="O1586" t="s">
        <v>6101</v>
      </c>
      <c r="P1586" t="s">
        <v>6109</v>
      </c>
      <c r="Q1586">
        <v>3</v>
      </c>
      <c r="R1586">
        <v>2026</v>
      </c>
      <c r="S1586" t="s">
        <v>6100</v>
      </c>
      <c r="T1586">
        <v>0</v>
      </c>
      <c r="U1586" t="s">
        <v>6018</v>
      </c>
      <c r="V1586">
        <v>0</v>
      </c>
    </row>
    <row r="1587" spans="1:22" x14ac:dyDescent="0.3">
      <c r="A1587" t="s">
        <v>1602</v>
      </c>
      <c r="B1587" s="2">
        <v>46093.720833333333</v>
      </c>
      <c r="C1587" s="2">
        <v>46094.104166666664</v>
      </c>
      <c r="D1587" t="s">
        <v>6024</v>
      </c>
      <c r="E1587" t="s">
        <v>6029</v>
      </c>
      <c r="F1587" t="s">
        <v>6033</v>
      </c>
      <c r="G1587" t="s">
        <v>6057</v>
      </c>
      <c r="H1587" t="s">
        <v>6097</v>
      </c>
      <c r="I1587">
        <v>72</v>
      </c>
      <c r="J1587">
        <v>9.1999999999999993</v>
      </c>
      <c r="K1587" t="s">
        <v>6099</v>
      </c>
      <c r="L1587" t="s">
        <v>6100</v>
      </c>
      <c r="M1587" t="s">
        <v>6100</v>
      </c>
      <c r="N1587">
        <v>4</v>
      </c>
      <c r="O1587" t="s">
        <v>6101</v>
      </c>
      <c r="P1587" t="s">
        <v>6109</v>
      </c>
      <c r="Q1587">
        <v>3</v>
      </c>
      <c r="R1587">
        <v>2026</v>
      </c>
      <c r="S1587" t="s">
        <v>6099</v>
      </c>
      <c r="T1587">
        <v>1</v>
      </c>
      <c r="U1587" t="s">
        <v>6018</v>
      </c>
      <c r="V1587">
        <v>1</v>
      </c>
    </row>
    <row r="1588" spans="1:22" x14ac:dyDescent="0.3">
      <c r="A1588" t="s">
        <v>1603</v>
      </c>
      <c r="B1588" s="2">
        <v>46093.75</v>
      </c>
      <c r="C1588" s="2">
        <v>46095.404166666667</v>
      </c>
      <c r="D1588" t="s">
        <v>6028</v>
      </c>
      <c r="E1588" t="s">
        <v>6031</v>
      </c>
      <c r="F1588" t="s">
        <v>6033</v>
      </c>
      <c r="G1588" t="s">
        <v>6063</v>
      </c>
      <c r="H1588" t="s">
        <v>6097</v>
      </c>
      <c r="I1588">
        <v>72</v>
      </c>
      <c r="J1588">
        <v>39.700000000000003</v>
      </c>
      <c r="K1588" t="s">
        <v>6100</v>
      </c>
      <c r="L1588" t="s">
        <v>6100</v>
      </c>
      <c r="M1588" t="s">
        <v>6099</v>
      </c>
      <c r="N1588">
        <v>4</v>
      </c>
      <c r="O1588" t="s">
        <v>6101</v>
      </c>
      <c r="P1588" t="s">
        <v>6109</v>
      </c>
      <c r="Q1588">
        <v>3</v>
      </c>
      <c r="R1588">
        <v>2026</v>
      </c>
      <c r="S1588" t="s">
        <v>6099</v>
      </c>
      <c r="T1588">
        <v>1</v>
      </c>
      <c r="U1588" t="s">
        <v>6018</v>
      </c>
      <c r="V1588">
        <v>0</v>
      </c>
    </row>
    <row r="1589" spans="1:22" x14ac:dyDescent="0.3">
      <c r="A1589" t="s">
        <v>1604</v>
      </c>
      <c r="B1589" s="2">
        <v>46093.75</v>
      </c>
      <c r="C1589" s="2">
        <v>46094.4375</v>
      </c>
      <c r="D1589" t="s">
        <v>6028</v>
      </c>
      <c r="E1589" t="s">
        <v>6030</v>
      </c>
      <c r="F1589" t="s">
        <v>6034</v>
      </c>
      <c r="G1589" t="s">
        <v>6079</v>
      </c>
      <c r="H1589" t="s">
        <v>6097</v>
      </c>
      <c r="I1589">
        <v>24</v>
      </c>
      <c r="J1589">
        <v>16.5</v>
      </c>
      <c r="K1589" t="s">
        <v>6099</v>
      </c>
      <c r="L1589" t="s">
        <v>6100</v>
      </c>
      <c r="M1589" t="s">
        <v>6100</v>
      </c>
      <c r="N1589">
        <v>4</v>
      </c>
      <c r="O1589" t="s">
        <v>6101</v>
      </c>
      <c r="P1589" t="s">
        <v>6109</v>
      </c>
      <c r="Q1589">
        <v>3</v>
      </c>
      <c r="R1589">
        <v>2026</v>
      </c>
      <c r="S1589" t="s">
        <v>6099</v>
      </c>
      <c r="T1589">
        <v>1</v>
      </c>
      <c r="U1589" t="s">
        <v>6018</v>
      </c>
      <c r="V1589">
        <v>1</v>
      </c>
    </row>
    <row r="1590" spans="1:22" x14ac:dyDescent="0.3">
      <c r="A1590" t="s">
        <v>1605</v>
      </c>
      <c r="B1590" s="2">
        <v>46093.791666666664</v>
      </c>
      <c r="C1590" s="2">
        <v>46095.279166666667</v>
      </c>
      <c r="D1590" t="s">
        <v>6028</v>
      </c>
      <c r="E1590" t="s">
        <v>6029</v>
      </c>
      <c r="F1590" t="s">
        <v>6034</v>
      </c>
      <c r="G1590" t="s">
        <v>6053</v>
      </c>
      <c r="H1590" t="s">
        <v>6097</v>
      </c>
      <c r="I1590">
        <v>24</v>
      </c>
      <c r="J1590">
        <v>35.700000000000003</v>
      </c>
      <c r="K1590" t="s">
        <v>6099</v>
      </c>
      <c r="L1590" t="s">
        <v>6100</v>
      </c>
      <c r="M1590" t="s">
        <v>6100</v>
      </c>
      <c r="O1590" t="s">
        <v>6101</v>
      </c>
      <c r="P1590" t="s">
        <v>6109</v>
      </c>
      <c r="Q1590">
        <v>3</v>
      </c>
      <c r="R1590">
        <v>2026</v>
      </c>
      <c r="S1590" t="s">
        <v>6100</v>
      </c>
      <c r="T1590">
        <v>0</v>
      </c>
      <c r="U1590" t="s">
        <v>6018</v>
      </c>
      <c r="V1590">
        <v>1</v>
      </c>
    </row>
    <row r="1591" spans="1:22" x14ac:dyDescent="0.3">
      <c r="A1591" t="s">
        <v>1606</v>
      </c>
      <c r="B1591" s="2">
        <v>46093.833333333336</v>
      </c>
      <c r="C1591" s="2">
        <v>46094.14166666667</v>
      </c>
      <c r="D1591" t="s">
        <v>6028</v>
      </c>
      <c r="E1591" t="s">
        <v>6030</v>
      </c>
      <c r="F1591" t="s">
        <v>6035</v>
      </c>
      <c r="G1591" t="s">
        <v>6089</v>
      </c>
      <c r="H1591" t="s">
        <v>6098</v>
      </c>
      <c r="I1591">
        <v>4</v>
      </c>
      <c r="J1591">
        <v>7.4</v>
      </c>
      <c r="K1591" t="s">
        <v>6099</v>
      </c>
      <c r="L1591" t="s">
        <v>6100</v>
      </c>
      <c r="M1591" t="s">
        <v>6099</v>
      </c>
      <c r="N1591">
        <v>2</v>
      </c>
      <c r="O1591" t="s">
        <v>6101</v>
      </c>
      <c r="P1591" t="s">
        <v>6109</v>
      </c>
      <c r="Q1591">
        <v>3</v>
      </c>
      <c r="R1591">
        <v>2026</v>
      </c>
      <c r="S1591" t="s">
        <v>6100</v>
      </c>
      <c r="T1591">
        <v>0</v>
      </c>
      <c r="U1591" t="s">
        <v>6018</v>
      </c>
      <c r="V1591">
        <v>1</v>
      </c>
    </row>
    <row r="1592" spans="1:22" x14ac:dyDescent="0.3">
      <c r="A1592" t="s">
        <v>1607</v>
      </c>
      <c r="B1592" s="2">
        <v>46093.833333333336</v>
      </c>
      <c r="C1592" s="2">
        <v>46094.691666666666</v>
      </c>
      <c r="D1592" t="s">
        <v>6028</v>
      </c>
      <c r="E1592" t="s">
        <v>6030</v>
      </c>
      <c r="F1592" t="s">
        <v>6033</v>
      </c>
      <c r="G1592" t="s">
        <v>6061</v>
      </c>
      <c r="H1592" t="s">
        <v>6096</v>
      </c>
      <c r="I1592">
        <v>72</v>
      </c>
      <c r="J1592">
        <v>20.6</v>
      </c>
      <c r="K1592" t="s">
        <v>6099</v>
      </c>
      <c r="L1592" t="s">
        <v>6100</v>
      </c>
      <c r="M1592" t="s">
        <v>6100</v>
      </c>
      <c r="O1592" t="s">
        <v>6101</v>
      </c>
      <c r="P1592" t="s">
        <v>6109</v>
      </c>
      <c r="Q1592">
        <v>3</v>
      </c>
      <c r="R1592">
        <v>2026</v>
      </c>
      <c r="S1592" t="s">
        <v>6099</v>
      </c>
      <c r="T1592">
        <v>1</v>
      </c>
      <c r="U1592" t="s">
        <v>6018</v>
      </c>
      <c r="V1592">
        <v>1</v>
      </c>
    </row>
    <row r="1593" spans="1:22" x14ac:dyDescent="0.3">
      <c r="A1593" t="s">
        <v>1608</v>
      </c>
      <c r="B1593" s="2">
        <v>46093.862500000003</v>
      </c>
      <c r="C1593" s="2">
        <v>46096.2</v>
      </c>
      <c r="D1593" t="s">
        <v>6022</v>
      </c>
      <c r="E1593" t="s">
        <v>6029</v>
      </c>
      <c r="F1593" t="s">
        <v>6035</v>
      </c>
      <c r="G1593" t="s">
        <v>6045</v>
      </c>
      <c r="H1593" t="s">
        <v>6096</v>
      </c>
      <c r="I1593">
        <v>4</v>
      </c>
      <c r="J1593">
        <v>56.1</v>
      </c>
      <c r="K1593" t="s">
        <v>6099</v>
      </c>
      <c r="L1593" t="s">
        <v>6100</v>
      </c>
      <c r="M1593" t="s">
        <v>6099</v>
      </c>
      <c r="N1593">
        <v>2</v>
      </c>
      <c r="O1593" t="s">
        <v>6101</v>
      </c>
      <c r="P1593" t="s">
        <v>6109</v>
      </c>
      <c r="Q1593">
        <v>3</v>
      </c>
      <c r="R1593">
        <v>2026</v>
      </c>
      <c r="S1593" t="s">
        <v>6100</v>
      </c>
      <c r="T1593">
        <v>0</v>
      </c>
      <c r="U1593" t="s">
        <v>6020</v>
      </c>
      <c r="V1593">
        <v>1</v>
      </c>
    </row>
    <row r="1594" spans="1:22" x14ac:dyDescent="0.3">
      <c r="A1594" t="s">
        <v>1609</v>
      </c>
      <c r="B1594" s="2">
        <v>46093.875</v>
      </c>
      <c r="C1594" s="2">
        <v>46094.145833333336</v>
      </c>
      <c r="D1594" t="s">
        <v>6028</v>
      </c>
      <c r="E1594" t="s">
        <v>6030</v>
      </c>
      <c r="F1594" t="s">
        <v>6035</v>
      </c>
      <c r="G1594" t="s">
        <v>6088</v>
      </c>
      <c r="H1594" t="s">
        <v>6097</v>
      </c>
      <c r="I1594">
        <v>4</v>
      </c>
      <c r="J1594">
        <v>6.5</v>
      </c>
      <c r="K1594" t="s">
        <v>6099</v>
      </c>
      <c r="L1594" t="s">
        <v>6100</v>
      </c>
      <c r="M1594" t="s">
        <v>6099</v>
      </c>
      <c r="O1594" t="s">
        <v>6101</v>
      </c>
      <c r="P1594" t="s">
        <v>6109</v>
      </c>
      <c r="Q1594">
        <v>3</v>
      </c>
      <c r="R1594">
        <v>2026</v>
      </c>
      <c r="S1594" t="s">
        <v>6100</v>
      </c>
      <c r="T1594">
        <v>0</v>
      </c>
      <c r="U1594" t="s">
        <v>6018</v>
      </c>
      <c r="V1594">
        <v>1</v>
      </c>
    </row>
    <row r="1595" spans="1:22" x14ac:dyDescent="0.3">
      <c r="A1595" t="s">
        <v>1610</v>
      </c>
      <c r="B1595" s="2">
        <v>46093.875</v>
      </c>
      <c r="C1595" s="2">
        <v>46094.195833333331</v>
      </c>
      <c r="D1595" t="s">
        <v>6028</v>
      </c>
      <c r="E1595" t="s">
        <v>6030</v>
      </c>
      <c r="F1595" t="s">
        <v>6034</v>
      </c>
      <c r="G1595" t="s">
        <v>6086</v>
      </c>
      <c r="H1595" t="s">
        <v>6098</v>
      </c>
      <c r="I1595">
        <v>24</v>
      </c>
      <c r="J1595">
        <v>7.7</v>
      </c>
      <c r="K1595" t="s">
        <v>6099</v>
      </c>
      <c r="L1595" t="s">
        <v>6100</v>
      </c>
      <c r="M1595" t="s">
        <v>6100</v>
      </c>
      <c r="N1595">
        <v>4</v>
      </c>
      <c r="O1595" t="s">
        <v>6101</v>
      </c>
      <c r="P1595" t="s">
        <v>6109</v>
      </c>
      <c r="Q1595">
        <v>3</v>
      </c>
      <c r="R1595">
        <v>2026</v>
      </c>
      <c r="S1595" t="s">
        <v>6099</v>
      </c>
      <c r="T1595">
        <v>1</v>
      </c>
      <c r="U1595" t="s">
        <v>6018</v>
      </c>
      <c r="V1595">
        <v>1</v>
      </c>
    </row>
    <row r="1596" spans="1:22" x14ac:dyDescent="0.3">
      <c r="A1596" t="s">
        <v>1611</v>
      </c>
      <c r="B1596" s="2">
        <v>46093.925694444442</v>
      </c>
      <c r="C1596" s="2">
        <v>46093.992361111108</v>
      </c>
      <c r="D1596" t="s">
        <v>6028</v>
      </c>
      <c r="E1596" t="s">
        <v>6030</v>
      </c>
      <c r="F1596" t="s">
        <v>6035</v>
      </c>
      <c r="G1596" t="s">
        <v>6080</v>
      </c>
      <c r="H1596" t="s">
        <v>6096</v>
      </c>
      <c r="I1596">
        <v>4</v>
      </c>
      <c r="J1596">
        <v>1.6</v>
      </c>
      <c r="K1596" t="s">
        <v>6099</v>
      </c>
      <c r="L1596" t="s">
        <v>6100</v>
      </c>
      <c r="M1596" t="s">
        <v>6100</v>
      </c>
      <c r="N1596">
        <v>5</v>
      </c>
      <c r="O1596" t="s">
        <v>6101</v>
      </c>
      <c r="P1596" t="s">
        <v>6109</v>
      </c>
      <c r="Q1596">
        <v>3</v>
      </c>
      <c r="R1596">
        <v>2026</v>
      </c>
      <c r="S1596" t="s">
        <v>6099</v>
      </c>
      <c r="T1596">
        <v>1</v>
      </c>
      <c r="U1596" t="s">
        <v>6021</v>
      </c>
      <c r="V1596">
        <v>1</v>
      </c>
    </row>
    <row r="1597" spans="1:22" x14ac:dyDescent="0.3">
      <c r="A1597" t="s">
        <v>1612</v>
      </c>
      <c r="B1597" s="2">
        <v>46094.086111111108</v>
      </c>
      <c r="C1597" s="2">
        <v>46094.515277777777</v>
      </c>
      <c r="D1597" t="s">
        <v>6025</v>
      </c>
      <c r="E1597" t="s">
        <v>6030</v>
      </c>
      <c r="F1597" t="s">
        <v>6034</v>
      </c>
      <c r="G1597" t="s">
        <v>6066</v>
      </c>
      <c r="H1597" t="s">
        <v>6096</v>
      </c>
      <c r="I1597">
        <v>24</v>
      </c>
      <c r="J1597">
        <v>10.3</v>
      </c>
      <c r="K1597" t="s">
        <v>6099</v>
      </c>
      <c r="L1597" t="s">
        <v>6100</v>
      </c>
      <c r="M1597" t="s">
        <v>6100</v>
      </c>
      <c r="N1597">
        <v>5</v>
      </c>
      <c r="O1597" t="s">
        <v>6101</v>
      </c>
      <c r="P1597" t="s">
        <v>6109</v>
      </c>
      <c r="Q1597">
        <v>3</v>
      </c>
      <c r="R1597">
        <v>2026</v>
      </c>
      <c r="S1597" t="s">
        <v>6099</v>
      </c>
      <c r="T1597">
        <v>1</v>
      </c>
      <c r="U1597" t="s">
        <v>6018</v>
      </c>
      <c r="V1597">
        <v>1</v>
      </c>
    </row>
    <row r="1598" spans="1:22" x14ac:dyDescent="0.3">
      <c r="A1598" t="s">
        <v>1613</v>
      </c>
      <c r="B1598" s="2">
        <v>46094.220833333333</v>
      </c>
      <c r="C1598" s="2">
        <v>46094.629166666666</v>
      </c>
      <c r="D1598" t="s">
        <v>6022</v>
      </c>
      <c r="E1598" t="s">
        <v>6030</v>
      </c>
      <c r="F1598" t="s">
        <v>6034</v>
      </c>
      <c r="G1598" t="s">
        <v>6072</v>
      </c>
      <c r="H1598" t="s">
        <v>6097</v>
      </c>
      <c r="I1598">
        <v>24</v>
      </c>
      <c r="J1598">
        <v>9.8000000000000007</v>
      </c>
      <c r="K1598" t="s">
        <v>6099</v>
      </c>
      <c r="L1598" t="s">
        <v>6100</v>
      </c>
      <c r="M1598" t="s">
        <v>6100</v>
      </c>
      <c r="N1598">
        <v>5</v>
      </c>
      <c r="O1598" t="s">
        <v>6101</v>
      </c>
      <c r="P1598" t="s">
        <v>6109</v>
      </c>
      <c r="Q1598">
        <v>3</v>
      </c>
      <c r="R1598">
        <v>2026</v>
      </c>
      <c r="S1598" t="s">
        <v>6099</v>
      </c>
      <c r="T1598">
        <v>1</v>
      </c>
      <c r="U1598" t="s">
        <v>6020</v>
      </c>
      <c r="V1598">
        <v>1</v>
      </c>
    </row>
    <row r="1599" spans="1:22" x14ac:dyDescent="0.3">
      <c r="A1599" t="s">
        <v>1614</v>
      </c>
      <c r="B1599" s="2">
        <v>46094.25</v>
      </c>
      <c r="C1599" s="2">
        <v>46094.82916666667</v>
      </c>
      <c r="D1599" t="s">
        <v>6028</v>
      </c>
      <c r="E1599" t="s">
        <v>6030</v>
      </c>
      <c r="F1599" t="s">
        <v>6035</v>
      </c>
      <c r="G1599" t="s">
        <v>6063</v>
      </c>
      <c r="H1599" t="s">
        <v>6097</v>
      </c>
      <c r="I1599">
        <v>4</v>
      </c>
      <c r="J1599">
        <v>13.9</v>
      </c>
      <c r="K1599" t="s">
        <v>6099</v>
      </c>
      <c r="L1599" t="s">
        <v>6100</v>
      </c>
      <c r="M1599" t="s">
        <v>6100</v>
      </c>
      <c r="N1599">
        <v>5</v>
      </c>
      <c r="O1599" t="s">
        <v>6101</v>
      </c>
      <c r="P1599" t="s">
        <v>6109</v>
      </c>
      <c r="Q1599">
        <v>3</v>
      </c>
      <c r="R1599">
        <v>2026</v>
      </c>
      <c r="S1599" t="s">
        <v>6100</v>
      </c>
      <c r="T1599">
        <v>0</v>
      </c>
      <c r="U1599" t="s">
        <v>6018</v>
      </c>
      <c r="V1599">
        <v>1</v>
      </c>
    </row>
    <row r="1600" spans="1:22" x14ac:dyDescent="0.3">
      <c r="A1600" t="s">
        <v>1615</v>
      </c>
      <c r="B1600" s="2">
        <v>46094.25</v>
      </c>
      <c r="C1600" s="2">
        <v>46095.370833333334</v>
      </c>
      <c r="D1600" t="s">
        <v>6028</v>
      </c>
      <c r="E1600" t="s">
        <v>6029</v>
      </c>
      <c r="F1600" t="s">
        <v>6035</v>
      </c>
      <c r="G1600" t="s">
        <v>6074</v>
      </c>
      <c r="H1600" t="s">
        <v>6098</v>
      </c>
      <c r="I1600">
        <v>4</v>
      </c>
      <c r="J1600">
        <v>26.9</v>
      </c>
      <c r="K1600" t="s">
        <v>6099</v>
      </c>
      <c r="L1600" t="s">
        <v>6100</v>
      </c>
      <c r="M1600" t="s">
        <v>6100</v>
      </c>
      <c r="N1600">
        <v>5</v>
      </c>
      <c r="O1600" t="s">
        <v>6101</v>
      </c>
      <c r="P1600" t="s">
        <v>6109</v>
      </c>
      <c r="Q1600">
        <v>3</v>
      </c>
      <c r="R1600">
        <v>2026</v>
      </c>
      <c r="S1600" t="s">
        <v>6100</v>
      </c>
      <c r="T1600">
        <v>0</v>
      </c>
      <c r="U1600" t="s">
        <v>6018</v>
      </c>
      <c r="V1600">
        <v>1</v>
      </c>
    </row>
    <row r="1601" spans="1:22" x14ac:dyDescent="0.3">
      <c r="A1601" t="s">
        <v>1616</v>
      </c>
      <c r="B1601" s="2">
        <v>46094.268750000003</v>
      </c>
      <c r="C1601" s="2">
        <v>46095.01458333333</v>
      </c>
      <c r="D1601" t="s">
        <v>6023</v>
      </c>
      <c r="E1601" t="s">
        <v>6032</v>
      </c>
      <c r="F1601" t="s">
        <v>6033</v>
      </c>
      <c r="G1601" t="s">
        <v>6038</v>
      </c>
      <c r="H1601" t="s">
        <v>6096</v>
      </c>
      <c r="I1601">
        <v>72</v>
      </c>
      <c r="J1601">
        <v>17.899999999999999</v>
      </c>
      <c r="K1601" t="s">
        <v>6099</v>
      </c>
      <c r="L1601" t="s">
        <v>6100</v>
      </c>
      <c r="M1601" t="s">
        <v>6100</v>
      </c>
      <c r="O1601" t="s">
        <v>6101</v>
      </c>
      <c r="P1601" t="s">
        <v>6109</v>
      </c>
      <c r="Q1601">
        <v>3</v>
      </c>
      <c r="R1601">
        <v>2026</v>
      </c>
      <c r="S1601" t="s">
        <v>6099</v>
      </c>
      <c r="T1601">
        <v>1</v>
      </c>
      <c r="U1601" t="s">
        <v>6019</v>
      </c>
      <c r="V1601">
        <v>1</v>
      </c>
    </row>
    <row r="1602" spans="1:22" x14ac:dyDescent="0.3">
      <c r="A1602" t="s">
        <v>1617</v>
      </c>
      <c r="B1602" s="2">
        <v>46094.291666666664</v>
      </c>
      <c r="C1602" s="2">
        <v>46096.224999999999</v>
      </c>
      <c r="D1602" t="s">
        <v>6028</v>
      </c>
      <c r="E1602" t="s">
        <v>6032</v>
      </c>
      <c r="F1602" t="s">
        <v>6033</v>
      </c>
      <c r="G1602" t="s">
        <v>6093</v>
      </c>
      <c r="H1602" t="s">
        <v>6097</v>
      </c>
      <c r="I1602">
        <v>72</v>
      </c>
      <c r="J1602">
        <v>46.4</v>
      </c>
      <c r="K1602" t="s">
        <v>6099</v>
      </c>
      <c r="L1602" t="s">
        <v>6100</v>
      </c>
      <c r="M1602" t="s">
        <v>6100</v>
      </c>
      <c r="N1602">
        <v>5</v>
      </c>
      <c r="O1602" t="s">
        <v>6101</v>
      </c>
      <c r="P1602" t="s">
        <v>6109</v>
      </c>
      <c r="Q1602">
        <v>3</v>
      </c>
      <c r="R1602">
        <v>2026</v>
      </c>
      <c r="S1602" t="s">
        <v>6099</v>
      </c>
      <c r="T1602">
        <v>1</v>
      </c>
      <c r="U1602" t="s">
        <v>6018</v>
      </c>
      <c r="V1602">
        <v>1</v>
      </c>
    </row>
    <row r="1603" spans="1:22" x14ac:dyDescent="0.3">
      <c r="A1603" t="s">
        <v>1618</v>
      </c>
      <c r="B1603" s="2">
        <v>46094.291666666664</v>
      </c>
      <c r="C1603" s="2">
        <v>46094.604166666664</v>
      </c>
      <c r="D1603" t="s">
        <v>6028</v>
      </c>
      <c r="E1603" t="s">
        <v>6030</v>
      </c>
      <c r="F1603" t="s">
        <v>6033</v>
      </c>
      <c r="G1603" t="s">
        <v>6065</v>
      </c>
      <c r="H1603" t="s">
        <v>6097</v>
      </c>
      <c r="I1603">
        <v>72</v>
      </c>
      <c r="J1603">
        <v>7.5</v>
      </c>
      <c r="K1603" t="s">
        <v>6099</v>
      </c>
      <c r="L1603" t="s">
        <v>6100</v>
      </c>
      <c r="M1603" t="s">
        <v>6100</v>
      </c>
      <c r="O1603" t="s">
        <v>6101</v>
      </c>
      <c r="P1603" t="s">
        <v>6109</v>
      </c>
      <c r="Q1603">
        <v>3</v>
      </c>
      <c r="R1603">
        <v>2026</v>
      </c>
      <c r="S1603" t="s">
        <v>6099</v>
      </c>
      <c r="T1603">
        <v>1</v>
      </c>
      <c r="U1603" t="s">
        <v>6018</v>
      </c>
      <c r="V1603">
        <v>1</v>
      </c>
    </row>
    <row r="1604" spans="1:22" x14ac:dyDescent="0.3">
      <c r="A1604" t="s">
        <v>1619</v>
      </c>
      <c r="B1604" s="2">
        <v>46094.291666666664</v>
      </c>
      <c r="C1604" s="2">
        <v>46095.07916666667</v>
      </c>
      <c r="D1604" t="s">
        <v>6028</v>
      </c>
      <c r="E1604" t="s">
        <v>6030</v>
      </c>
      <c r="F1604" t="s">
        <v>6035</v>
      </c>
      <c r="G1604" t="s">
        <v>6047</v>
      </c>
      <c r="H1604" t="s">
        <v>6098</v>
      </c>
      <c r="I1604">
        <v>4</v>
      </c>
      <c r="J1604">
        <v>18.899999999999999</v>
      </c>
      <c r="K1604" t="s">
        <v>6100</v>
      </c>
      <c r="L1604" t="s">
        <v>6099</v>
      </c>
      <c r="M1604" t="s">
        <v>6100</v>
      </c>
      <c r="O1604" t="s">
        <v>6101</v>
      </c>
      <c r="P1604" t="s">
        <v>6109</v>
      </c>
      <c r="Q1604">
        <v>3</v>
      </c>
      <c r="R1604">
        <v>2026</v>
      </c>
      <c r="S1604" t="s">
        <v>6100</v>
      </c>
      <c r="T1604">
        <v>0</v>
      </c>
      <c r="U1604" t="s">
        <v>6018</v>
      </c>
      <c r="V1604">
        <v>0</v>
      </c>
    </row>
    <row r="1605" spans="1:22" x14ac:dyDescent="0.3">
      <c r="A1605" t="s">
        <v>1620</v>
      </c>
      <c r="B1605" s="2">
        <v>46094.291666666664</v>
      </c>
      <c r="C1605" s="2">
        <v>46095.533333333333</v>
      </c>
      <c r="D1605" t="s">
        <v>6028</v>
      </c>
      <c r="E1605" t="s">
        <v>6031</v>
      </c>
      <c r="F1605" t="s">
        <v>6035</v>
      </c>
      <c r="G1605" t="s">
        <v>6037</v>
      </c>
      <c r="H1605" t="s">
        <v>6096</v>
      </c>
      <c r="I1605">
        <v>4</v>
      </c>
      <c r="J1605">
        <v>29.8</v>
      </c>
      <c r="K1605" t="s">
        <v>6100</v>
      </c>
      <c r="L1605" t="s">
        <v>6100</v>
      </c>
      <c r="M1605" t="s">
        <v>6100</v>
      </c>
      <c r="N1605">
        <v>3</v>
      </c>
      <c r="O1605" t="s">
        <v>6101</v>
      </c>
      <c r="P1605" t="s">
        <v>6109</v>
      </c>
      <c r="Q1605">
        <v>3</v>
      </c>
      <c r="R1605">
        <v>2026</v>
      </c>
      <c r="S1605" t="s">
        <v>6100</v>
      </c>
      <c r="T1605">
        <v>0</v>
      </c>
      <c r="U1605" t="s">
        <v>6018</v>
      </c>
      <c r="V1605">
        <v>0</v>
      </c>
    </row>
    <row r="1606" spans="1:22" x14ac:dyDescent="0.3">
      <c r="A1606" t="s">
        <v>1621</v>
      </c>
      <c r="B1606" s="2">
        <v>46094.323611111111</v>
      </c>
      <c r="C1606" s="2">
        <v>46094.569444444445</v>
      </c>
      <c r="D1606" t="s">
        <v>6023</v>
      </c>
      <c r="E1606" t="s">
        <v>6030</v>
      </c>
      <c r="F1606" t="s">
        <v>6033</v>
      </c>
      <c r="G1606" t="s">
        <v>6048</v>
      </c>
      <c r="H1606" t="s">
        <v>6096</v>
      </c>
      <c r="I1606">
        <v>72</v>
      </c>
      <c r="J1606">
        <v>5.9</v>
      </c>
      <c r="K1606" t="s">
        <v>6099</v>
      </c>
      <c r="L1606" t="s">
        <v>6100</v>
      </c>
      <c r="M1606" t="s">
        <v>6100</v>
      </c>
      <c r="N1606">
        <v>4</v>
      </c>
      <c r="O1606" t="s">
        <v>6101</v>
      </c>
      <c r="P1606" t="s">
        <v>6109</v>
      </c>
      <c r="Q1606">
        <v>3</v>
      </c>
      <c r="R1606">
        <v>2026</v>
      </c>
      <c r="S1606" t="s">
        <v>6099</v>
      </c>
      <c r="T1606">
        <v>1</v>
      </c>
      <c r="U1606" t="s">
        <v>6021</v>
      </c>
      <c r="V1606">
        <v>1</v>
      </c>
    </row>
    <row r="1607" spans="1:22" x14ac:dyDescent="0.3">
      <c r="A1607" t="s">
        <v>1622</v>
      </c>
      <c r="B1607" s="2">
        <v>46094.333333333336</v>
      </c>
      <c r="C1607" s="2">
        <v>46095.175000000003</v>
      </c>
      <c r="D1607" t="s">
        <v>6028</v>
      </c>
      <c r="E1607" t="s">
        <v>6029</v>
      </c>
      <c r="F1607" t="s">
        <v>6035</v>
      </c>
      <c r="G1607" t="s">
        <v>6037</v>
      </c>
      <c r="H1607" t="s">
        <v>6096</v>
      </c>
      <c r="I1607">
        <v>4</v>
      </c>
      <c r="J1607">
        <v>20.2</v>
      </c>
      <c r="K1607" t="s">
        <v>6099</v>
      </c>
      <c r="L1607" t="s">
        <v>6100</v>
      </c>
      <c r="M1607" t="s">
        <v>6100</v>
      </c>
      <c r="O1607" t="s">
        <v>6101</v>
      </c>
      <c r="P1607" t="s">
        <v>6109</v>
      </c>
      <c r="Q1607">
        <v>3</v>
      </c>
      <c r="R1607">
        <v>2026</v>
      </c>
      <c r="S1607" t="s">
        <v>6100</v>
      </c>
      <c r="T1607">
        <v>0</v>
      </c>
      <c r="U1607" t="s">
        <v>6018</v>
      </c>
      <c r="V1607">
        <v>1</v>
      </c>
    </row>
    <row r="1608" spans="1:22" x14ac:dyDescent="0.3">
      <c r="A1608" t="s">
        <v>1623</v>
      </c>
      <c r="B1608" s="2">
        <v>46094.333333333336</v>
      </c>
      <c r="C1608" s="2">
        <v>46095.383333333331</v>
      </c>
      <c r="D1608" t="s">
        <v>6028</v>
      </c>
      <c r="E1608" t="s">
        <v>6029</v>
      </c>
      <c r="F1608" t="s">
        <v>6035</v>
      </c>
      <c r="G1608" t="s">
        <v>6057</v>
      </c>
      <c r="H1608" t="s">
        <v>6097</v>
      </c>
      <c r="I1608">
        <v>4</v>
      </c>
      <c r="J1608">
        <v>25.2</v>
      </c>
      <c r="K1608" t="s">
        <v>6099</v>
      </c>
      <c r="L1608" t="s">
        <v>6100</v>
      </c>
      <c r="M1608" t="s">
        <v>6099</v>
      </c>
      <c r="N1608">
        <v>4</v>
      </c>
      <c r="O1608" t="s">
        <v>6101</v>
      </c>
      <c r="P1608" t="s">
        <v>6109</v>
      </c>
      <c r="Q1608">
        <v>3</v>
      </c>
      <c r="R1608">
        <v>2026</v>
      </c>
      <c r="S1608" t="s">
        <v>6100</v>
      </c>
      <c r="T1608">
        <v>0</v>
      </c>
      <c r="U1608" t="s">
        <v>6018</v>
      </c>
      <c r="V1608">
        <v>1</v>
      </c>
    </row>
    <row r="1609" spans="1:22" x14ac:dyDescent="0.3">
      <c r="A1609" t="s">
        <v>1624</v>
      </c>
      <c r="B1609" s="2">
        <v>46094.333333333336</v>
      </c>
      <c r="C1609" s="2">
        <v>46094.854166666664</v>
      </c>
      <c r="D1609" t="s">
        <v>6028</v>
      </c>
      <c r="E1609" t="s">
        <v>6030</v>
      </c>
      <c r="F1609" t="s">
        <v>6035</v>
      </c>
      <c r="G1609" t="s">
        <v>6059</v>
      </c>
      <c r="H1609" t="s">
        <v>6097</v>
      </c>
      <c r="I1609">
        <v>4</v>
      </c>
      <c r="J1609">
        <v>12.5</v>
      </c>
      <c r="K1609" t="s">
        <v>6099</v>
      </c>
      <c r="L1609" t="s">
        <v>6100</v>
      </c>
      <c r="M1609" t="s">
        <v>6100</v>
      </c>
      <c r="N1609">
        <v>4</v>
      </c>
      <c r="O1609" t="s">
        <v>6101</v>
      </c>
      <c r="P1609" t="s">
        <v>6109</v>
      </c>
      <c r="Q1609">
        <v>3</v>
      </c>
      <c r="R1609">
        <v>2026</v>
      </c>
      <c r="S1609" t="s">
        <v>6100</v>
      </c>
      <c r="T1609">
        <v>0</v>
      </c>
      <c r="U1609" t="s">
        <v>6018</v>
      </c>
      <c r="V1609">
        <v>1</v>
      </c>
    </row>
    <row r="1610" spans="1:22" x14ac:dyDescent="0.3">
      <c r="A1610" t="s">
        <v>1625</v>
      </c>
      <c r="B1610" s="2">
        <v>46094.341666666667</v>
      </c>
      <c r="C1610" s="2">
        <v>46094.666666666664</v>
      </c>
      <c r="D1610" t="s">
        <v>6027</v>
      </c>
      <c r="E1610" t="s">
        <v>6029</v>
      </c>
      <c r="F1610" t="s">
        <v>6035</v>
      </c>
      <c r="G1610" t="s">
        <v>6085</v>
      </c>
      <c r="H1610" t="s">
        <v>6097</v>
      </c>
      <c r="I1610">
        <v>4</v>
      </c>
      <c r="J1610">
        <v>7.8</v>
      </c>
      <c r="K1610" t="s">
        <v>6099</v>
      </c>
      <c r="L1610" t="s">
        <v>6100</v>
      </c>
      <c r="M1610" t="s">
        <v>6100</v>
      </c>
      <c r="N1610">
        <v>5</v>
      </c>
      <c r="O1610" t="s">
        <v>6101</v>
      </c>
      <c r="P1610" t="s">
        <v>6109</v>
      </c>
      <c r="Q1610">
        <v>3</v>
      </c>
      <c r="R1610">
        <v>2026</v>
      </c>
      <c r="S1610" t="s">
        <v>6100</v>
      </c>
      <c r="T1610">
        <v>0</v>
      </c>
      <c r="U1610" t="s">
        <v>6021</v>
      </c>
      <c r="V1610">
        <v>1</v>
      </c>
    </row>
    <row r="1611" spans="1:22" x14ac:dyDescent="0.3">
      <c r="A1611" t="s">
        <v>1626</v>
      </c>
      <c r="B1611" s="2">
        <v>46094.375</v>
      </c>
      <c r="C1611" s="2">
        <v>46095.32916666667</v>
      </c>
      <c r="D1611" t="s">
        <v>6028</v>
      </c>
      <c r="E1611" t="s">
        <v>6029</v>
      </c>
      <c r="F1611" t="s">
        <v>6035</v>
      </c>
      <c r="G1611" t="s">
        <v>6061</v>
      </c>
      <c r="H1611" t="s">
        <v>6096</v>
      </c>
      <c r="I1611">
        <v>4</v>
      </c>
      <c r="J1611">
        <v>22.9</v>
      </c>
      <c r="K1611" t="s">
        <v>6100</v>
      </c>
      <c r="L1611" t="s">
        <v>6099</v>
      </c>
      <c r="M1611" t="s">
        <v>6100</v>
      </c>
      <c r="O1611" t="s">
        <v>6101</v>
      </c>
      <c r="P1611" t="s">
        <v>6109</v>
      </c>
      <c r="Q1611">
        <v>3</v>
      </c>
      <c r="R1611">
        <v>2026</v>
      </c>
      <c r="S1611" t="s">
        <v>6100</v>
      </c>
      <c r="T1611">
        <v>0</v>
      </c>
      <c r="U1611" t="s">
        <v>6018</v>
      </c>
      <c r="V1611">
        <v>0</v>
      </c>
    </row>
    <row r="1612" spans="1:22" x14ac:dyDescent="0.3">
      <c r="A1612" t="s">
        <v>1627</v>
      </c>
      <c r="B1612" s="2">
        <v>46094.375</v>
      </c>
      <c r="C1612" s="2">
        <v>46095.1</v>
      </c>
      <c r="D1612" t="s">
        <v>6028</v>
      </c>
      <c r="E1612" t="s">
        <v>6029</v>
      </c>
      <c r="F1612" t="s">
        <v>6035</v>
      </c>
      <c r="G1612" t="s">
        <v>6055</v>
      </c>
      <c r="H1612" t="s">
        <v>6096</v>
      </c>
      <c r="I1612">
        <v>4</v>
      </c>
      <c r="J1612">
        <v>17.399999999999999</v>
      </c>
      <c r="K1612" t="s">
        <v>6099</v>
      </c>
      <c r="L1612" t="s">
        <v>6100</v>
      </c>
      <c r="M1612" t="s">
        <v>6100</v>
      </c>
      <c r="O1612" t="s">
        <v>6101</v>
      </c>
      <c r="P1612" t="s">
        <v>6109</v>
      </c>
      <c r="Q1612">
        <v>3</v>
      </c>
      <c r="R1612">
        <v>2026</v>
      </c>
      <c r="S1612" t="s">
        <v>6100</v>
      </c>
      <c r="T1612">
        <v>0</v>
      </c>
      <c r="U1612" t="s">
        <v>6018</v>
      </c>
      <c r="V1612">
        <v>1</v>
      </c>
    </row>
    <row r="1613" spans="1:22" x14ac:dyDescent="0.3">
      <c r="A1613" t="s">
        <v>1628</v>
      </c>
      <c r="B1613" s="2">
        <v>46094.375</v>
      </c>
      <c r="C1613" s="2">
        <v>46095.912499999999</v>
      </c>
      <c r="D1613" t="s">
        <v>6028</v>
      </c>
      <c r="E1613" t="s">
        <v>6029</v>
      </c>
      <c r="F1613" t="s">
        <v>6035</v>
      </c>
      <c r="G1613" t="s">
        <v>6036</v>
      </c>
      <c r="H1613" t="s">
        <v>6096</v>
      </c>
      <c r="I1613">
        <v>4</v>
      </c>
      <c r="J1613">
        <v>36.9</v>
      </c>
      <c r="K1613" t="s">
        <v>6099</v>
      </c>
      <c r="L1613" t="s">
        <v>6100</v>
      </c>
      <c r="M1613" t="s">
        <v>6100</v>
      </c>
      <c r="N1613">
        <v>5</v>
      </c>
      <c r="O1613" t="s">
        <v>6101</v>
      </c>
      <c r="P1613" t="s">
        <v>6109</v>
      </c>
      <c r="Q1613">
        <v>3</v>
      </c>
      <c r="R1613">
        <v>2026</v>
      </c>
      <c r="S1613" t="s">
        <v>6100</v>
      </c>
      <c r="T1613">
        <v>0</v>
      </c>
      <c r="U1613" t="s">
        <v>6018</v>
      </c>
      <c r="V1613">
        <v>1</v>
      </c>
    </row>
    <row r="1614" spans="1:22" x14ac:dyDescent="0.3">
      <c r="A1614" t="s">
        <v>1629</v>
      </c>
      <c r="B1614" s="2">
        <v>46094.375</v>
      </c>
      <c r="C1614" s="2">
        <v>46095.683333333334</v>
      </c>
      <c r="D1614" t="s">
        <v>6028</v>
      </c>
      <c r="E1614" t="s">
        <v>6032</v>
      </c>
      <c r="F1614" t="s">
        <v>6035</v>
      </c>
      <c r="G1614" t="s">
        <v>6050</v>
      </c>
      <c r="H1614" t="s">
        <v>6098</v>
      </c>
      <c r="I1614">
        <v>4</v>
      </c>
      <c r="J1614">
        <v>31.4</v>
      </c>
      <c r="K1614" t="s">
        <v>6099</v>
      </c>
      <c r="L1614" t="s">
        <v>6100</v>
      </c>
      <c r="M1614" t="s">
        <v>6100</v>
      </c>
      <c r="N1614">
        <v>4</v>
      </c>
      <c r="O1614" t="s">
        <v>6101</v>
      </c>
      <c r="P1614" t="s">
        <v>6109</v>
      </c>
      <c r="Q1614">
        <v>3</v>
      </c>
      <c r="R1614">
        <v>2026</v>
      </c>
      <c r="S1614" t="s">
        <v>6100</v>
      </c>
      <c r="T1614">
        <v>0</v>
      </c>
      <c r="U1614" t="s">
        <v>6018</v>
      </c>
      <c r="V1614">
        <v>1</v>
      </c>
    </row>
    <row r="1615" spans="1:22" x14ac:dyDescent="0.3">
      <c r="A1615" t="s">
        <v>1630</v>
      </c>
      <c r="B1615" s="2">
        <v>46094.375</v>
      </c>
      <c r="C1615" s="2">
        <v>46095.887499999997</v>
      </c>
      <c r="D1615" t="s">
        <v>6028</v>
      </c>
      <c r="E1615" t="s">
        <v>6029</v>
      </c>
      <c r="F1615" t="s">
        <v>6035</v>
      </c>
      <c r="G1615" t="s">
        <v>6066</v>
      </c>
      <c r="H1615" t="s">
        <v>6096</v>
      </c>
      <c r="I1615">
        <v>4</v>
      </c>
      <c r="J1615">
        <v>36.299999999999997</v>
      </c>
      <c r="K1615" t="s">
        <v>6100</v>
      </c>
      <c r="L1615" t="s">
        <v>6100</v>
      </c>
      <c r="M1615" t="s">
        <v>6099</v>
      </c>
      <c r="N1615">
        <v>3</v>
      </c>
      <c r="O1615" t="s">
        <v>6101</v>
      </c>
      <c r="P1615" t="s">
        <v>6109</v>
      </c>
      <c r="Q1615">
        <v>3</v>
      </c>
      <c r="R1615">
        <v>2026</v>
      </c>
      <c r="S1615" t="s">
        <v>6100</v>
      </c>
      <c r="T1615">
        <v>0</v>
      </c>
      <c r="U1615" t="s">
        <v>6018</v>
      </c>
      <c r="V1615">
        <v>0</v>
      </c>
    </row>
    <row r="1616" spans="1:22" x14ac:dyDescent="0.3">
      <c r="A1616" t="s">
        <v>1631</v>
      </c>
      <c r="B1616" s="2">
        <v>46094.388888888891</v>
      </c>
      <c r="C1616" s="2">
        <v>46097.451388888891</v>
      </c>
      <c r="D1616" t="s">
        <v>6025</v>
      </c>
      <c r="E1616" t="s">
        <v>6031</v>
      </c>
      <c r="F1616" t="s">
        <v>6034</v>
      </c>
      <c r="G1616" t="s">
        <v>6089</v>
      </c>
      <c r="H1616" t="s">
        <v>6098</v>
      </c>
      <c r="I1616">
        <v>24</v>
      </c>
      <c r="J1616">
        <v>73.5</v>
      </c>
      <c r="K1616" t="s">
        <v>6099</v>
      </c>
      <c r="L1616" t="s">
        <v>6100</v>
      </c>
      <c r="M1616" t="s">
        <v>6100</v>
      </c>
      <c r="O1616" t="s">
        <v>6101</v>
      </c>
      <c r="P1616" t="s">
        <v>6109</v>
      </c>
      <c r="Q1616">
        <v>3</v>
      </c>
      <c r="R1616">
        <v>2026</v>
      </c>
      <c r="S1616" t="s">
        <v>6100</v>
      </c>
      <c r="T1616">
        <v>0</v>
      </c>
      <c r="U1616" t="s">
        <v>6020</v>
      </c>
      <c r="V1616">
        <v>1</v>
      </c>
    </row>
    <row r="1617" spans="1:22" x14ac:dyDescent="0.3">
      <c r="A1617" t="s">
        <v>1632</v>
      </c>
      <c r="B1617" s="2">
        <v>46094.416666666664</v>
      </c>
      <c r="C1617" s="2">
        <v>46097.570833333331</v>
      </c>
      <c r="D1617" t="s">
        <v>6028</v>
      </c>
      <c r="E1617" t="s">
        <v>6031</v>
      </c>
      <c r="F1617" t="s">
        <v>6035</v>
      </c>
      <c r="G1617" t="s">
        <v>6041</v>
      </c>
      <c r="H1617" t="s">
        <v>6096</v>
      </c>
      <c r="I1617">
        <v>4</v>
      </c>
      <c r="J1617">
        <v>75.7</v>
      </c>
      <c r="K1617" t="s">
        <v>6099</v>
      </c>
      <c r="L1617" t="s">
        <v>6100</v>
      </c>
      <c r="M1617" t="s">
        <v>6099</v>
      </c>
      <c r="N1617">
        <v>3</v>
      </c>
      <c r="O1617" t="s">
        <v>6101</v>
      </c>
      <c r="P1617" t="s">
        <v>6109</v>
      </c>
      <c r="Q1617">
        <v>3</v>
      </c>
      <c r="R1617">
        <v>2026</v>
      </c>
      <c r="S1617" t="s">
        <v>6100</v>
      </c>
      <c r="T1617">
        <v>0</v>
      </c>
      <c r="U1617" t="s">
        <v>6018</v>
      </c>
      <c r="V1617">
        <v>1</v>
      </c>
    </row>
    <row r="1618" spans="1:22" x14ac:dyDescent="0.3">
      <c r="A1618" t="s">
        <v>1633</v>
      </c>
      <c r="B1618" s="2">
        <v>46094.416666666664</v>
      </c>
      <c r="C1618" s="2">
        <v>46095.791666666664</v>
      </c>
      <c r="D1618" t="s">
        <v>6028</v>
      </c>
      <c r="E1618" t="s">
        <v>6029</v>
      </c>
      <c r="F1618" t="s">
        <v>6034</v>
      </c>
      <c r="G1618" t="s">
        <v>6050</v>
      </c>
      <c r="H1618" t="s">
        <v>6098</v>
      </c>
      <c r="I1618">
        <v>24</v>
      </c>
      <c r="J1618">
        <v>33</v>
      </c>
      <c r="K1618" t="s">
        <v>6099</v>
      </c>
      <c r="L1618" t="s">
        <v>6100</v>
      </c>
      <c r="M1618" t="s">
        <v>6100</v>
      </c>
      <c r="O1618" t="s">
        <v>6101</v>
      </c>
      <c r="P1618" t="s">
        <v>6109</v>
      </c>
      <c r="Q1618">
        <v>3</v>
      </c>
      <c r="R1618">
        <v>2026</v>
      </c>
      <c r="S1618" t="s">
        <v>6100</v>
      </c>
      <c r="T1618">
        <v>0</v>
      </c>
      <c r="U1618" t="s">
        <v>6018</v>
      </c>
      <c r="V1618">
        <v>1</v>
      </c>
    </row>
    <row r="1619" spans="1:22" x14ac:dyDescent="0.3">
      <c r="A1619" t="s">
        <v>1634</v>
      </c>
      <c r="B1619" s="2">
        <v>46094.416666666664</v>
      </c>
      <c r="C1619" s="2">
        <v>46096.695833333331</v>
      </c>
      <c r="D1619" t="s">
        <v>6028</v>
      </c>
      <c r="E1619" t="s">
        <v>6032</v>
      </c>
      <c r="F1619" t="s">
        <v>6034</v>
      </c>
      <c r="G1619" t="s">
        <v>6095</v>
      </c>
      <c r="H1619" t="s">
        <v>6098</v>
      </c>
      <c r="I1619">
        <v>24</v>
      </c>
      <c r="J1619">
        <v>54.7</v>
      </c>
      <c r="K1619" t="s">
        <v>6100</v>
      </c>
      <c r="L1619" t="s">
        <v>6099</v>
      </c>
      <c r="M1619" t="s">
        <v>6100</v>
      </c>
      <c r="N1619">
        <v>3</v>
      </c>
      <c r="O1619" t="s">
        <v>6101</v>
      </c>
      <c r="P1619" t="s">
        <v>6109</v>
      </c>
      <c r="Q1619">
        <v>3</v>
      </c>
      <c r="R1619">
        <v>2026</v>
      </c>
      <c r="S1619" t="s">
        <v>6100</v>
      </c>
      <c r="T1619">
        <v>0</v>
      </c>
      <c r="U1619" t="s">
        <v>6018</v>
      </c>
      <c r="V1619">
        <v>0</v>
      </c>
    </row>
    <row r="1620" spans="1:22" x14ac:dyDescent="0.3">
      <c r="A1620" t="s">
        <v>1635</v>
      </c>
      <c r="B1620" s="2">
        <v>46094.416666666664</v>
      </c>
      <c r="C1620" s="2">
        <v>46099.76666666667</v>
      </c>
      <c r="D1620" t="s">
        <v>6028</v>
      </c>
      <c r="E1620" t="s">
        <v>6031</v>
      </c>
      <c r="F1620" t="s">
        <v>6033</v>
      </c>
      <c r="G1620" t="s">
        <v>6056</v>
      </c>
      <c r="H1620" t="s">
        <v>6098</v>
      </c>
      <c r="I1620">
        <v>72</v>
      </c>
      <c r="J1620">
        <v>128.4</v>
      </c>
      <c r="K1620" t="s">
        <v>6099</v>
      </c>
      <c r="L1620" t="s">
        <v>6100</v>
      </c>
      <c r="M1620" t="s">
        <v>6100</v>
      </c>
      <c r="O1620" t="s">
        <v>6101</v>
      </c>
      <c r="P1620" t="s">
        <v>6109</v>
      </c>
      <c r="Q1620">
        <v>3</v>
      </c>
      <c r="R1620">
        <v>2026</v>
      </c>
      <c r="S1620" t="s">
        <v>6100</v>
      </c>
      <c r="T1620">
        <v>0</v>
      </c>
      <c r="U1620" t="s">
        <v>6018</v>
      </c>
      <c r="V1620">
        <v>1</v>
      </c>
    </row>
    <row r="1621" spans="1:22" x14ac:dyDescent="0.3">
      <c r="A1621" t="s">
        <v>1636</v>
      </c>
      <c r="B1621" s="2">
        <v>46094.427083333336</v>
      </c>
      <c r="C1621" s="2">
        <v>46095.102083333331</v>
      </c>
      <c r="D1621" t="s">
        <v>6022</v>
      </c>
      <c r="E1621" t="s">
        <v>6029</v>
      </c>
      <c r="F1621" t="s">
        <v>6034</v>
      </c>
      <c r="G1621" t="s">
        <v>6085</v>
      </c>
      <c r="H1621" t="s">
        <v>6097</v>
      </c>
      <c r="I1621">
        <v>24</v>
      </c>
      <c r="J1621">
        <v>16.2</v>
      </c>
      <c r="K1621" t="s">
        <v>6099</v>
      </c>
      <c r="L1621" t="s">
        <v>6100</v>
      </c>
      <c r="M1621" t="s">
        <v>6100</v>
      </c>
      <c r="O1621" t="s">
        <v>6101</v>
      </c>
      <c r="P1621" t="s">
        <v>6109</v>
      </c>
      <c r="Q1621">
        <v>3</v>
      </c>
      <c r="R1621">
        <v>2026</v>
      </c>
      <c r="S1621" t="s">
        <v>6099</v>
      </c>
      <c r="T1621">
        <v>1</v>
      </c>
      <c r="U1621" t="s">
        <v>6017</v>
      </c>
      <c r="V1621">
        <v>1</v>
      </c>
    </row>
    <row r="1622" spans="1:22" x14ac:dyDescent="0.3">
      <c r="A1622" t="s">
        <v>1637</v>
      </c>
      <c r="B1622" s="2">
        <v>46094.428472222222</v>
      </c>
      <c r="C1622" s="2">
        <v>46094.815972222219</v>
      </c>
      <c r="D1622" t="s">
        <v>6025</v>
      </c>
      <c r="E1622" t="s">
        <v>6029</v>
      </c>
      <c r="F1622" t="s">
        <v>6034</v>
      </c>
      <c r="G1622" t="s">
        <v>6095</v>
      </c>
      <c r="H1622" t="s">
        <v>6098</v>
      </c>
      <c r="I1622">
        <v>24</v>
      </c>
      <c r="J1622">
        <v>9.3000000000000007</v>
      </c>
      <c r="K1622" t="s">
        <v>6099</v>
      </c>
      <c r="L1622" t="s">
        <v>6100</v>
      </c>
      <c r="M1622" t="s">
        <v>6100</v>
      </c>
      <c r="O1622" t="s">
        <v>6101</v>
      </c>
      <c r="P1622" t="s">
        <v>6109</v>
      </c>
      <c r="Q1622">
        <v>3</v>
      </c>
      <c r="R1622">
        <v>2026</v>
      </c>
      <c r="S1622" t="s">
        <v>6099</v>
      </c>
      <c r="T1622">
        <v>1</v>
      </c>
      <c r="U1622" t="s">
        <v>6017</v>
      </c>
      <c r="V1622">
        <v>1</v>
      </c>
    </row>
    <row r="1623" spans="1:22" x14ac:dyDescent="0.3">
      <c r="A1623" t="s">
        <v>1638</v>
      </c>
      <c r="B1623" s="2">
        <v>46094.433333333334</v>
      </c>
      <c r="C1623" s="2">
        <v>46094.666666666664</v>
      </c>
      <c r="D1623" t="s">
        <v>6023</v>
      </c>
      <c r="E1623" t="s">
        <v>6032</v>
      </c>
      <c r="F1623" t="s">
        <v>6034</v>
      </c>
      <c r="G1623" t="s">
        <v>6087</v>
      </c>
      <c r="H1623" t="s">
        <v>6098</v>
      </c>
      <c r="I1623">
        <v>24</v>
      </c>
      <c r="J1623">
        <v>5.6</v>
      </c>
      <c r="K1623" t="s">
        <v>6099</v>
      </c>
      <c r="L1623" t="s">
        <v>6100</v>
      </c>
      <c r="M1623" t="s">
        <v>6100</v>
      </c>
      <c r="N1623">
        <v>4</v>
      </c>
      <c r="O1623" t="s">
        <v>6101</v>
      </c>
      <c r="P1623" t="s">
        <v>6109</v>
      </c>
      <c r="Q1623">
        <v>3</v>
      </c>
      <c r="R1623">
        <v>2026</v>
      </c>
      <c r="S1623" t="s">
        <v>6099</v>
      </c>
      <c r="T1623">
        <v>1</v>
      </c>
      <c r="U1623" t="s">
        <v>6021</v>
      </c>
      <c r="V1623">
        <v>1</v>
      </c>
    </row>
    <row r="1624" spans="1:22" x14ac:dyDescent="0.3">
      <c r="A1624" t="s">
        <v>1639</v>
      </c>
      <c r="B1624" s="2">
        <v>46094.434027777781</v>
      </c>
      <c r="C1624" s="2">
        <v>46094.717361111114</v>
      </c>
      <c r="D1624" t="s">
        <v>6023</v>
      </c>
      <c r="E1624" t="s">
        <v>6029</v>
      </c>
      <c r="F1624" t="s">
        <v>6034</v>
      </c>
      <c r="G1624" t="s">
        <v>6082</v>
      </c>
      <c r="H1624" t="s">
        <v>6097</v>
      </c>
      <c r="I1624">
        <v>24</v>
      </c>
      <c r="J1624">
        <v>6.8</v>
      </c>
      <c r="K1624" t="s">
        <v>6099</v>
      </c>
      <c r="L1624" t="s">
        <v>6100</v>
      </c>
      <c r="M1624" t="s">
        <v>6100</v>
      </c>
      <c r="O1624" t="s">
        <v>6101</v>
      </c>
      <c r="P1624" t="s">
        <v>6109</v>
      </c>
      <c r="Q1624">
        <v>3</v>
      </c>
      <c r="R1624">
        <v>2026</v>
      </c>
      <c r="S1624" t="s">
        <v>6099</v>
      </c>
      <c r="T1624">
        <v>1</v>
      </c>
      <c r="U1624" t="s">
        <v>6019</v>
      </c>
      <c r="V1624">
        <v>1</v>
      </c>
    </row>
    <row r="1625" spans="1:22" x14ac:dyDescent="0.3">
      <c r="A1625" t="s">
        <v>1640</v>
      </c>
      <c r="B1625" s="2">
        <v>46094.458333333336</v>
      </c>
      <c r="C1625" s="2">
        <v>46096.195833333331</v>
      </c>
      <c r="D1625" t="s">
        <v>6028</v>
      </c>
      <c r="E1625" t="s">
        <v>6031</v>
      </c>
      <c r="F1625" t="s">
        <v>6034</v>
      </c>
      <c r="G1625" t="s">
        <v>6063</v>
      </c>
      <c r="H1625" t="s">
        <v>6097</v>
      </c>
      <c r="I1625">
        <v>24</v>
      </c>
      <c r="J1625">
        <v>41.7</v>
      </c>
      <c r="K1625" t="s">
        <v>6099</v>
      </c>
      <c r="L1625" t="s">
        <v>6100</v>
      </c>
      <c r="M1625" t="s">
        <v>6100</v>
      </c>
      <c r="O1625" t="s">
        <v>6101</v>
      </c>
      <c r="P1625" t="s">
        <v>6109</v>
      </c>
      <c r="Q1625">
        <v>3</v>
      </c>
      <c r="R1625">
        <v>2026</v>
      </c>
      <c r="S1625" t="s">
        <v>6100</v>
      </c>
      <c r="T1625">
        <v>0</v>
      </c>
      <c r="U1625" t="s">
        <v>6018</v>
      </c>
      <c r="V1625">
        <v>1</v>
      </c>
    </row>
    <row r="1626" spans="1:22" x14ac:dyDescent="0.3">
      <c r="A1626" t="s">
        <v>1641</v>
      </c>
      <c r="B1626" s="2">
        <v>46094.484722222223</v>
      </c>
      <c r="C1626" s="2">
        <v>46094.888888888891</v>
      </c>
      <c r="D1626" t="s">
        <v>6023</v>
      </c>
      <c r="E1626" t="s">
        <v>6029</v>
      </c>
      <c r="F1626" t="s">
        <v>6034</v>
      </c>
      <c r="G1626" t="s">
        <v>6055</v>
      </c>
      <c r="H1626" t="s">
        <v>6096</v>
      </c>
      <c r="I1626">
        <v>24</v>
      </c>
      <c r="J1626">
        <v>9.6999999999999993</v>
      </c>
      <c r="K1626" t="s">
        <v>6099</v>
      </c>
      <c r="L1626" t="s">
        <v>6100</v>
      </c>
      <c r="M1626" t="s">
        <v>6100</v>
      </c>
      <c r="N1626">
        <v>5</v>
      </c>
      <c r="O1626" t="s">
        <v>6101</v>
      </c>
      <c r="P1626" t="s">
        <v>6109</v>
      </c>
      <c r="Q1626">
        <v>3</v>
      </c>
      <c r="R1626">
        <v>2026</v>
      </c>
      <c r="S1626" t="s">
        <v>6099</v>
      </c>
      <c r="T1626">
        <v>1</v>
      </c>
      <c r="U1626" t="s">
        <v>6021</v>
      </c>
      <c r="V1626">
        <v>1</v>
      </c>
    </row>
    <row r="1627" spans="1:22" x14ac:dyDescent="0.3">
      <c r="A1627" t="s">
        <v>1642</v>
      </c>
      <c r="B1627" s="2">
        <v>46094.5</v>
      </c>
      <c r="C1627" s="2">
        <v>46095.070833333331</v>
      </c>
      <c r="D1627" t="s">
        <v>6028</v>
      </c>
      <c r="E1627" t="s">
        <v>6030</v>
      </c>
      <c r="F1627" t="s">
        <v>6033</v>
      </c>
      <c r="G1627" t="s">
        <v>6045</v>
      </c>
      <c r="H1627" t="s">
        <v>6096</v>
      </c>
      <c r="I1627">
        <v>72</v>
      </c>
      <c r="J1627">
        <v>13.7</v>
      </c>
      <c r="K1627" t="s">
        <v>6100</v>
      </c>
      <c r="L1627" t="s">
        <v>6100</v>
      </c>
      <c r="M1627" t="s">
        <v>6100</v>
      </c>
      <c r="O1627" t="s">
        <v>6101</v>
      </c>
      <c r="P1627" t="s">
        <v>6109</v>
      </c>
      <c r="Q1627">
        <v>3</v>
      </c>
      <c r="R1627">
        <v>2026</v>
      </c>
      <c r="S1627" t="s">
        <v>6099</v>
      </c>
      <c r="T1627">
        <v>1</v>
      </c>
      <c r="U1627" t="s">
        <v>6018</v>
      </c>
      <c r="V1627">
        <v>0</v>
      </c>
    </row>
    <row r="1628" spans="1:22" x14ac:dyDescent="0.3">
      <c r="A1628" t="s">
        <v>1643</v>
      </c>
      <c r="B1628" s="2">
        <v>46094.5</v>
      </c>
      <c r="C1628" s="2">
        <v>46096.1875</v>
      </c>
      <c r="D1628" t="s">
        <v>6028</v>
      </c>
      <c r="E1628" t="s">
        <v>6029</v>
      </c>
      <c r="F1628" t="s">
        <v>6035</v>
      </c>
      <c r="G1628" t="s">
        <v>6055</v>
      </c>
      <c r="H1628" t="s">
        <v>6096</v>
      </c>
      <c r="I1628">
        <v>4</v>
      </c>
      <c r="J1628">
        <v>40.5</v>
      </c>
      <c r="K1628" t="s">
        <v>6099</v>
      </c>
      <c r="L1628" t="s">
        <v>6100</v>
      </c>
      <c r="M1628" t="s">
        <v>6100</v>
      </c>
      <c r="O1628" t="s">
        <v>6101</v>
      </c>
      <c r="P1628" t="s">
        <v>6109</v>
      </c>
      <c r="Q1628">
        <v>3</v>
      </c>
      <c r="R1628">
        <v>2026</v>
      </c>
      <c r="S1628" t="s">
        <v>6100</v>
      </c>
      <c r="T1628">
        <v>0</v>
      </c>
      <c r="U1628" t="s">
        <v>6018</v>
      </c>
      <c r="V1628">
        <v>1</v>
      </c>
    </row>
    <row r="1629" spans="1:22" x14ac:dyDescent="0.3">
      <c r="A1629" t="s">
        <v>1644</v>
      </c>
      <c r="B1629" s="2">
        <v>46094.5</v>
      </c>
      <c r="C1629" s="2">
        <v>46095.404166666667</v>
      </c>
      <c r="D1629" t="s">
        <v>6028</v>
      </c>
      <c r="E1629" t="s">
        <v>6030</v>
      </c>
      <c r="F1629" t="s">
        <v>6034</v>
      </c>
      <c r="G1629" t="s">
        <v>6045</v>
      </c>
      <c r="H1629" t="s">
        <v>6096</v>
      </c>
      <c r="I1629">
        <v>24</v>
      </c>
      <c r="J1629">
        <v>21.7</v>
      </c>
      <c r="K1629" t="s">
        <v>6099</v>
      </c>
      <c r="L1629" t="s">
        <v>6100</v>
      </c>
      <c r="M1629" t="s">
        <v>6100</v>
      </c>
      <c r="O1629" t="s">
        <v>6101</v>
      </c>
      <c r="P1629" t="s">
        <v>6109</v>
      </c>
      <c r="Q1629">
        <v>3</v>
      </c>
      <c r="R1629">
        <v>2026</v>
      </c>
      <c r="S1629" t="s">
        <v>6099</v>
      </c>
      <c r="T1629">
        <v>1</v>
      </c>
      <c r="U1629" t="s">
        <v>6018</v>
      </c>
      <c r="V1629">
        <v>1</v>
      </c>
    </row>
    <row r="1630" spans="1:22" x14ac:dyDescent="0.3">
      <c r="A1630" t="s">
        <v>1645</v>
      </c>
      <c r="B1630" s="2">
        <v>46094.5</v>
      </c>
      <c r="C1630" s="2">
        <v>46097.929166666669</v>
      </c>
      <c r="D1630" t="s">
        <v>6028</v>
      </c>
      <c r="E1630" t="s">
        <v>6031</v>
      </c>
      <c r="F1630" t="s">
        <v>6035</v>
      </c>
      <c r="G1630" t="s">
        <v>6061</v>
      </c>
      <c r="H1630" t="s">
        <v>6096</v>
      </c>
      <c r="I1630">
        <v>4</v>
      </c>
      <c r="J1630">
        <v>82.3</v>
      </c>
      <c r="K1630" t="s">
        <v>6099</v>
      </c>
      <c r="L1630" t="s">
        <v>6100</v>
      </c>
      <c r="M1630" t="s">
        <v>6100</v>
      </c>
      <c r="N1630">
        <v>3</v>
      </c>
      <c r="O1630" t="s">
        <v>6101</v>
      </c>
      <c r="P1630" t="s">
        <v>6109</v>
      </c>
      <c r="Q1630">
        <v>3</v>
      </c>
      <c r="R1630">
        <v>2026</v>
      </c>
      <c r="S1630" t="s">
        <v>6100</v>
      </c>
      <c r="T1630">
        <v>0</v>
      </c>
      <c r="U1630" t="s">
        <v>6018</v>
      </c>
      <c r="V1630">
        <v>1</v>
      </c>
    </row>
    <row r="1631" spans="1:22" x14ac:dyDescent="0.3">
      <c r="A1631" t="s">
        <v>1646</v>
      </c>
      <c r="B1631" s="2">
        <v>46094.503472222219</v>
      </c>
      <c r="C1631" s="2">
        <v>46094.96597222222</v>
      </c>
      <c r="D1631" t="s">
        <v>6022</v>
      </c>
      <c r="E1631" t="s">
        <v>6029</v>
      </c>
      <c r="F1631" t="s">
        <v>6035</v>
      </c>
      <c r="G1631" t="s">
        <v>6036</v>
      </c>
      <c r="H1631" t="s">
        <v>6096</v>
      </c>
      <c r="I1631">
        <v>4</v>
      </c>
      <c r="J1631">
        <v>11.1</v>
      </c>
      <c r="K1631" t="s">
        <v>6099</v>
      </c>
      <c r="L1631" t="s">
        <v>6100</v>
      </c>
      <c r="M1631" t="s">
        <v>6099</v>
      </c>
      <c r="N1631">
        <v>2</v>
      </c>
      <c r="O1631" t="s">
        <v>6101</v>
      </c>
      <c r="P1631" t="s">
        <v>6109</v>
      </c>
      <c r="Q1631">
        <v>3</v>
      </c>
      <c r="R1631">
        <v>2026</v>
      </c>
      <c r="S1631" t="s">
        <v>6100</v>
      </c>
      <c r="T1631">
        <v>0</v>
      </c>
      <c r="U1631" t="s">
        <v>6019</v>
      </c>
      <c r="V1631">
        <v>1</v>
      </c>
    </row>
    <row r="1632" spans="1:22" x14ac:dyDescent="0.3">
      <c r="A1632" t="s">
        <v>1647</v>
      </c>
      <c r="B1632" s="2">
        <v>46094.539583333331</v>
      </c>
      <c r="C1632" s="2">
        <v>46094.95208333333</v>
      </c>
      <c r="D1632" t="s">
        <v>6028</v>
      </c>
      <c r="E1632" t="s">
        <v>6029</v>
      </c>
      <c r="F1632" t="s">
        <v>6035</v>
      </c>
      <c r="G1632" t="s">
        <v>6062</v>
      </c>
      <c r="H1632" t="s">
        <v>6096</v>
      </c>
      <c r="I1632">
        <v>4</v>
      </c>
      <c r="J1632">
        <v>9.9</v>
      </c>
      <c r="K1632" t="s">
        <v>6099</v>
      </c>
      <c r="L1632" t="s">
        <v>6100</v>
      </c>
      <c r="M1632" t="s">
        <v>6100</v>
      </c>
      <c r="N1632">
        <v>3</v>
      </c>
      <c r="O1632" t="s">
        <v>6101</v>
      </c>
      <c r="P1632" t="s">
        <v>6109</v>
      </c>
      <c r="Q1632">
        <v>3</v>
      </c>
      <c r="R1632">
        <v>2026</v>
      </c>
      <c r="S1632" t="s">
        <v>6100</v>
      </c>
      <c r="T1632">
        <v>0</v>
      </c>
      <c r="U1632" t="s">
        <v>6019</v>
      </c>
      <c r="V1632">
        <v>1</v>
      </c>
    </row>
    <row r="1633" spans="1:22" x14ac:dyDescent="0.3">
      <c r="A1633" t="s">
        <v>1648</v>
      </c>
      <c r="B1633" s="2">
        <v>46094.541666666664</v>
      </c>
      <c r="C1633" s="2">
        <v>46096.01666666667</v>
      </c>
      <c r="D1633" t="s">
        <v>6028</v>
      </c>
      <c r="E1633" t="s">
        <v>6030</v>
      </c>
      <c r="F1633" t="s">
        <v>6034</v>
      </c>
      <c r="G1633" t="s">
        <v>6075</v>
      </c>
      <c r="H1633" t="s">
        <v>6097</v>
      </c>
      <c r="I1633">
        <v>24</v>
      </c>
      <c r="J1633">
        <v>35.4</v>
      </c>
      <c r="K1633" t="s">
        <v>6099</v>
      </c>
      <c r="L1633" t="s">
        <v>6100</v>
      </c>
      <c r="M1633" t="s">
        <v>6100</v>
      </c>
      <c r="N1633">
        <v>5</v>
      </c>
      <c r="O1633" t="s">
        <v>6101</v>
      </c>
      <c r="P1633" t="s">
        <v>6109</v>
      </c>
      <c r="Q1633">
        <v>3</v>
      </c>
      <c r="R1633">
        <v>2026</v>
      </c>
      <c r="S1633" t="s">
        <v>6100</v>
      </c>
      <c r="T1633">
        <v>0</v>
      </c>
      <c r="U1633" t="s">
        <v>6018</v>
      </c>
      <c r="V1633">
        <v>1</v>
      </c>
    </row>
    <row r="1634" spans="1:22" x14ac:dyDescent="0.3">
      <c r="A1634" t="s">
        <v>1649</v>
      </c>
      <c r="B1634" s="2">
        <v>46094.583333333336</v>
      </c>
      <c r="C1634" s="2">
        <v>46095.629166666666</v>
      </c>
      <c r="D1634" t="s">
        <v>6028</v>
      </c>
      <c r="E1634" t="s">
        <v>6031</v>
      </c>
      <c r="F1634" t="s">
        <v>6035</v>
      </c>
      <c r="G1634" t="s">
        <v>6087</v>
      </c>
      <c r="H1634" t="s">
        <v>6098</v>
      </c>
      <c r="I1634">
        <v>4</v>
      </c>
      <c r="J1634">
        <v>25.1</v>
      </c>
      <c r="K1634" t="s">
        <v>6099</v>
      </c>
      <c r="L1634" t="s">
        <v>6100</v>
      </c>
      <c r="M1634" t="s">
        <v>6100</v>
      </c>
      <c r="N1634">
        <v>2</v>
      </c>
      <c r="O1634" t="s">
        <v>6101</v>
      </c>
      <c r="P1634" t="s">
        <v>6109</v>
      </c>
      <c r="Q1634">
        <v>3</v>
      </c>
      <c r="R1634">
        <v>2026</v>
      </c>
      <c r="S1634" t="s">
        <v>6100</v>
      </c>
      <c r="T1634">
        <v>0</v>
      </c>
      <c r="U1634" t="s">
        <v>6018</v>
      </c>
      <c r="V1634">
        <v>1</v>
      </c>
    </row>
    <row r="1635" spans="1:22" x14ac:dyDescent="0.3">
      <c r="A1635" t="s">
        <v>1650</v>
      </c>
      <c r="B1635" s="2">
        <v>46094.583333333336</v>
      </c>
      <c r="C1635" s="2">
        <v>46095.037499999999</v>
      </c>
      <c r="D1635" t="s">
        <v>6028</v>
      </c>
      <c r="E1635" t="s">
        <v>6029</v>
      </c>
      <c r="F1635" t="s">
        <v>6035</v>
      </c>
      <c r="G1635" t="s">
        <v>6042</v>
      </c>
      <c r="H1635" t="s">
        <v>6098</v>
      </c>
      <c r="I1635">
        <v>4</v>
      </c>
      <c r="J1635">
        <v>10.9</v>
      </c>
      <c r="K1635" t="s">
        <v>6099</v>
      </c>
      <c r="L1635" t="s">
        <v>6100</v>
      </c>
      <c r="M1635" t="s">
        <v>6099</v>
      </c>
      <c r="O1635" t="s">
        <v>6101</v>
      </c>
      <c r="P1635" t="s">
        <v>6109</v>
      </c>
      <c r="Q1635">
        <v>3</v>
      </c>
      <c r="R1635">
        <v>2026</v>
      </c>
      <c r="S1635" t="s">
        <v>6100</v>
      </c>
      <c r="T1635">
        <v>0</v>
      </c>
      <c r="U1635" t="s">
        <v>6018</v>
      </c>
      <c r="V1635">
        <v>1</v>
      </c>
    </row>
    <row r="1636" spans="1:22" x14ac:dyDescent="0.3">
      <c r="A1636" t="s">
        <v>1651</v>
      </c>
      <c r="B1636" s="2">
        <v>46094.586111111108</v>
      </c>
      <c r="C1636" s="2">
        <v>46094.777777777781</v>
      </c>
      <c r="D1636" t="s">
        <v>6022</v>
      </c>
      <c r="E1636" t="s">
        <v>6030</v>
      </c>
      <c r="F1636" t="s">
        <v>6034</v>
      </c>
      <c r="G1636" t="s">
        <v>6081</v>
      </c>
      <c r="H1636" t="s">
        <v>6098</v>
      </c>
      <c r="I1636">
        <v>24</v>
      </c>
      <c r="J1636">
        <v>4.5999999999999996</v>
      </c>
      <c r="K1636" t="s">
        <v>6099</v>
      </c>
      <c r="L1636" t="s">
        <v>6100</v>
      </c>
      <c r="M1636" t="s">
        <v>6100</v>
      </c>
      <c r="O1636" t="s">
        <v>6101</v>
      </c>
      <c r="P1636" t="s">
        <v>6109</v>
      </c>
      <c r="Q1636">
        <v>3</v>
      </c>
      <c r="R1636">
        <v>2026</v>
      </c>
      <c r="S1636" t="s">
        <v>6099</v>
      </c>
      <c r="T1636">
        <v>1</v>
      </c>
      <c r="U1636" t="s">
        <v>6018</v>
      </c>
      <c r="V1636">
        <v>1</v>
      </c>
    </row>
    <row r="1637" spans="1:22" x14ac:dyDescent="0.3">
      <c r="A1637" t="s">
        <v>1652</v>
      </c>
      <c r="B1637" s="2">
        <v>46094.600694444445</v>
      </c>
      <c r="C1637" s="2">
        <v>46095.079861111109</v>
      </c>
      <c r="D1637" t="s">
        <v>6023</v>
      </c>
      <c r="E1637" t="s">
        <v>6032</v>
      </c>
      <c r="F1637" t="s">
        <v>6033</v>
      </c>
      <c r="G1637" t="s">
        <v>6041</v>
      </c>
      <c r="H1637" t="s">
        <v>6096</v>
      </c>
      <c r="I1637">
        <v>72</v>
      </c>
      <c r="J1637">
        <v>11.5</v>
      </c>
      <c r="K1637" t="s">
        <v>6100</v>
      </c>
      <c r="L1637" t="s">
        <v>6100</v>
      </c>
      <c r="M1637" t="s">
        <v>6100</v>
      </c>
      <c r="N1637">
        <v>4</v>
      </c>
      <c r="O1637" t="s">
        <v>6101</v>
      </c>
      <c r="P1637" t="s">
        <v>6109</v>
      </c>
      <c r="Q1637">
        <v>3</v>
      </c>
      <c r="R1637">
        <v>2026</v>
      </c>
      <c r="S1637" t="s">
        <v>6099</v>
      </c>
      <c r="T1637">
        <v>1</v>
      </c>
      <c r="U1637" t="s">
        <v>6019</v>
      </c>
      <c r="V1637">
        <v>0</v>
      </c>
    </row>
    <row r="1638" spans="1:22" x14ac:dyDescent="0.3">
      <c r="A1638" t="s">
        <v>1653</v>
      </c>
      <c r="B1638" s="2">
        <v>46094.625</v>
      </c>
      <c r="C1638" s="2">
        <v>46095.366666666669</v>
      </c>
      <c r="D1638" t="s">
        <v>6028</v>
      </c>
      <c r="E1638" t="s">
        <v>6029</v>
      </c>
      <c r="F1638" t="s">
        <v>6034</v>
      </c>
      <c r="G1638" t="s">
        <v>6081</v>
      </c>
      <c r="H1638" t="s">
        <v>6098</v>
      </c>
      <c r="I1638">
        <v>24</v>
      </c>
      <c r="J1638">
        <v>17.8</v>
      </c>
      <c r="K1638" t="s">
        <v>6099</v>
      </c>
      <c r="L1638" t="s">
        <v>6100</v>
      </c>
      <c r="M1638" t="s">
        <v>6100</v>
      </c>
      <c r="O1638" t="s">
        <v>6101</v>
      </c>
      <c r="P1638" t="s">
        <v>6109</v>
      </c>
      <c r="Q1638">
        <v>3</v>
      </c>
      <c r="R1638">
        <v>2026</v>
      </c>
      <c r="S1638" t="s">
        <v>6099</v>
      </c>
      <c r="T1638">
        <v>1</v>
      </c>
      <c r="U1638" t="s">
        <v>6018</v>
      </c>
      <c r="V1638">
        <v>1</v>
      </c>
    </row>
    <row r="1639" spans="1:22" x14ac:dyDescent="0.3">
      <c r="A1639" t="s">
        <v>1654</v>
      </c>
      <c r="B1639" s="2">
        <v>46094.654861111114</v>
      </c>
      <c r="C1639" s="2">
        <v>46094.950694444444</v>
      </c>
      <c r="D1639" t="s">
        <v>6024</v>
      </c>
      <c r="E1639" t="s">
        <v>6030</v>
      </c>
      <c r="F1639" t="s">
        <v>6034</v>
      </c>
      <c r="G1639" t="s">
        <v>6042</v>
      </c>
      <c r="H1639" t="s">
        <v>6098</v>
      </c>
      <c r="I1639">
        <v>24</v>
      </c>
      <c r="J1639">
        <v>7.1</v>
      </c>
      <c r="K1639" t="s">
        <v>6099</v>
      </c>
      <c r="L1639" t="s">
        <v>6100</v>
      </c>
      <c r="M1639" t="s">
        <v>6099</v>
      </c>
      <c r="N1639">
        <v>5</v>
      </c>
      <c r="O1639" t="s">
        <v>6101</v>
      </c>
      <c r="P1639" t="s">
        <v>6109</v>
      </c>
      <c r="Q1639">
        <v>3</v>
      </c>
      <c r="R1639">
        <v>2026</v>
      </c>
      <c r="S1639" t="s">
        <v>6099</v>
      </c>
      <c r="T1639">
        <v>1</v>
      </c>
      <c r="U1639" t="s">
        <v>6021</v>
      </c>
      <c r="V1639">
        <v>1</v>
      </c>
    </row>
    <row r="1640" spans="1:22" x14ac:dyDescent="0.3">
      <c r="A1640" t="s">
        <v>1655</v>
      </c>
      <c r="B1640" s="2">
        <v>46094.666666666664</v>
      </c>
      <c r="C1640" s="2">
        <v>46095.3</v>
      </c>
      <c r="D1640" t="s">
        <v>6028</v>
      </c>
      <c r="E1640" t="s">
        <v>6029</v>
      </c>
      <c r="F1640" t="s">
        <v>6034</v>
      </c>
      <c r="G1640" t="s">
        <v>6092</v>
      </c>
      <c r="H1640" t="s">
        <v>6097</v>
      </c>
      <c r="I1640">
        <v>24</v>
      </c>
      <c r="J1640">
        <v>15.2</v>
      </c>
      <c r="K1640" t="s">
        <v>6100</v>
      </c>
      <c r="L1640" t="s">
        <v>6099</v>
      </c>
      <c r="M1640" t="s">
        <v>6100</v>
      </c>
      <c r="N1640">
        <v>5</v>
      </c>
      <c r="O1640" t="s">
        <v>6101</v>
      </c>
      <c r="P1640" t="s">
        <v>6109</v>
      </c>
      <c r="Q1640">
        <v>3</v>
      </c>
      <c r="R1640">
        <v>2026</v>
      </c>
      <c r="S1640" t="s">
        <v>6099</v>
      </c>
      <c r="T1640">
        <v>1</v>
      </c>
      <c r="U1640" t="s">
        <v>6018</v>
      </c>
      <c r="V1640">
        <v>0</v>
      </c>
    </row>
    <row r="1641" spans="1:22" x14ac:dyDescent="0.3">
      <c r="A1641" t="s">
        <v>1656</v>
      </c>
      <c r="B1641" s="2">
        <v>46094.666666666664</v>
      </c>
      <c r="C1641" s="2">
        <v>46096.387499999997</v>
      </c>
      <c r="D1641" t="s">
        <v>6028</v>
      </c>
      <c r="E1641" t="s">
        <v>6029</v>
      </c>
      <c r="F1641" t="s">
        <v>6035</v>
      </c>
      <c r="G1641" t="s">
        <v>6051</v>
      </c>
      <c r="H1641" t="s">
        <v>6097</v>
      </c>
      <c r="I1641">
        <v>4</v>
      </c>
      <c r="J1641">
        <v>41.3</v>
      </c>
      <c r="K1641" t="s">
        <v>6099</v>
      </c>
      <c r="L1641" t="s">
        <v>6100</v>
      </c>
      <c r="M1641" t="s">
        <v>6100</v>
      </c>
      <c r="N1641">
        <v>3</v>
      </c>
      <c r="O1641" t="s">
        <v>6101</v>
      </c>
      <c r="P1641" t="s">
        <v>6109</v>
      </c>
      <c r="Q1641">
        <v>3</v>
      </c>
      <c r="R1641">
        <v>2026</v>
      </c>
      <c r="S1641" t="s">
        <v>6100</v>
      </c>
      <c r="T1641">
        <v>0</v>
      </c>
      <c r="U1641" t="s">
        <v>6018</v>
      </c>
      <c r="V1641">
        <v>1</v>
      </c>
    </row>
    <row r="1642" spans="1:22" x14ac:dyDescent="0.3">
      <c r="A1642" t="s">
        <v>1657</v>
      </c>
      <c r="B1642" s="2">
        <v>46094.666666666664</v>
      </c>
      <c r="C1642" s="2">
        <v>46096.9375</v>
      </c>
      <c r="D1642" t="s">
        <v>6028</v>
      </c>
      <c r="E1642" t="s">
        <v>6031</v>
      </c>
      <c r="F1642" t="s">
        <v>6035</v>
      </c>
      <c r="G1642" t="s">
        <v>6043</v>
      </c>
      <c r="H1642" t="s">
        <v>6097</v>
      </c>
      <c r="I1642">
        <v>4</v>
      </c>
      <c r="J1642">
        <v>54.5</v>
      </c>
      <c r="K1642" t="s">
        <v>6099</v>
      </c>
      <c r="L1642" t="s">
        <v>6100</v>
      </c>
      <c r="M1642" t="s">
        <v>6100</v>
      </c>
      <c r="O1642" t="s">
        <v>6101</v>
      </c>
      <c r="P1642" t="s">
        <v>6109</v>
      </c>
      <c r="Q1642">
        <v>3</v>
      </c>
      <c r="R1642">
        <v>2026</v>
      </c>
      <c r="S1642" t="s">
        <v>6100</v>
      </c>
      <c r="T1642">
        <v>0</v>
      </c>
      <c r="U1642" t="s">
        <v>6018</v>
      </c>
      <c r="V1642">
        <v>1</v>
      </c>
    </row>
    <row r="1643" spans="1:22" x14ac:dyDescent="0.3">
      <c r="A1643" t="s">
        <v>1658</v>
      </c>
      <c r="B1643" s="2">
        <v>46094.666666666664</v>
      </c>
      <c r="C1643" s="2">
        <v>46096.70416666667</v>
      </c>
      <c r="D1643" t="s">
        <v>6028</v>
      </c>
      <c r="E1643" t="s">
        <v>6031</v>
      </c>
      <c r="F1643" t="s">
        <v>6034</v>
      </c>
      <c r="G1643" t="s">
        <v>6072</v>
      </c>
      <c r="H1643" t="s">
        <v>6097</v>
      </c>
      <c r="I1643">
        <v>24</v>
      </c>
      <c r="J1643">
        <v>48.9</v>
      </c>
      <c r="K1643" t="s">
        <v>6100</v>
      </c>
      <c r="L1643" t="s">
        <v>6099</v>
      </c>
      <c r="M1643" t="s">
        <v>6100</v>
      </c>
      <c r="N1643">
        <v>4</v>
      </c>
      <c r="O1643" t="s">
        <v>6101</v>
      </c>
      <c r="P1643" t="s">
        <v>6109</v>
      </c>
      <c r="Q1643">
        <v>3</v>
      </c>
      <c r="R1643">
        <v>2026</v>
      </c>
      <c r="S1643" t="s">
        <v>6100</v>
      </c>
      <c r="T1643">
        <v>0</v>
      </c>
      <c r="U1643" t="s">
        <v>6018</v>
      </c>
      <c r="V1643">
        <v>0</v>
      </c>
    </row>
    <row r="1644" spans="1:22" x14ac:dyDescent="0.3">
      <c r="A1644" t="s">
        <v>1659</v>
      </c>
      <c r="B1644" s="2">
        <v>46094.668055555558</v>
      </c>
      <c r="C1644" s="2">
        <v>46094.909722222219</v>
      </c>
      <c r="D1644" t="s">
        <v>6022</v>
      </c>
      <c r="E1644" t="s">
        <v>6029</v>
      </c>
      <c r="F1644" t="s">
        <v>6034</v>
      </c>
      <c r="G1644" t="s">
        <v>6039</v>
      </c>
      <c r="H1644" t="s">
        <v>6097</v>
      </c>
      <c r="I1644">
        <v>24</v>
      </c>
      <c r="J1644">
        <v>5.8</v>
      </c>
      <c r="K1644" t="s">
        <v>6100</v>
      </c>
      <c r="L1644" t="s">
        <v>6099</v>
      </c>
      <c r="M1644" t="s">
        <v>6099</v>
      </c>
      <c r="N1644">
        <v>2</v>
      </c>
      <c r="O1644" t="s">
        <v>6101</v>
      </c>
      <c r="P1644" t="s">
        <v>6109</v>
      </c>
      <c r="Q1644">
        <v>3</v>
      </c>
      <c r="R1644">
        <v>2026</v>
      </c>
      <c r="S1644" t="s">
        <v>6099</v>
      </c>
      <c r="T1644">
        <v>1</v>
      </c>
      <c r="U1644" t="s">
        <v>6018</v>
      </c>
      <c r="V1644">
        <v>0</v>
      </c>
    </row>
    <row r="1645" spans="1:22" x14ac:dyDescent="0.3">
      <c r="A1645" t="s">
        <v>1660</v>
      </c>
      <c r="B1645" s="2">
        <v>46094.686111111114</v>
      </c>
      <c r="C1645" s="2">
        <v>46102.394444444442</v>
      </c>
      <c r="D1645" t="s">
        <v>6026</v>
      </c>
      <c r="E1645" t="s">
        <v>6031</v>
      </c>
      <c r="F1645" t="s">
        <v>6033</v>
      </c>
      <c r="G1645" t="s">
        <v>6044</v>
      </c>
      <c r="H1645" t="s">
        <v>6097</v>
      </c>
      <c r="I1645">
        <v>72</v>
      </c>
      <c r="J1645">
        <v>185</v>
      </c>
      <c r="K1645" t="s">
        <v>6100</v>
      </c>
      <c r="L1645" t="s">
        <v>6099</v>
      </c>
      <c r="M1645" t="s">
        <v>6100</v>
      </c>
      <c r="O1645" t="s">
        <v>6101</v>
      </c>
      <c r="P1645" t="s">
        <v>6109</v>
      </c>
      <c r="Q1645">
        <v>3</v>
      </c>
      <c r="R1645">
        <v>2026</v>
      </c>
      <c r="S1645" t="s">
        <v>6100</v>
      </c>
      <c r="T1645">
        <v>0</v>
      </c>
      <c r="U1645" t="s">
        <v>6018</v>
      </c>
      <c r="V1645">
        <v>0</v>
      </c>
    </row>
    <row r="1646" spans="1:22" x14ac:dyDescent="0.3">
      <c r="A1646" t="s">
        <v>1661</v>
      </c>
      <c r="B1646" s="2">
        <v>46094.695833333331</v>
      </c>
      <c r="C1646" s="2">
        <v>46095.029166666667</v>
      </c>
      <c r="D1646" t="s">
        <v>6025</v>
      </c>
      <c r="E1646" t="s">
        <v>6029</v>
      </c>
      <c r="F1646" t="s">
        <v>6034</v>
      </c>
      <c r="G1646" t="s">
        <v>6075</v>
      </c>
      <c r="H1646" t="s">
        <v>6097</v>
      </c>
      <c r="I1646">
        <v>24</v>
      </c>
      <c r="J1646">
        <v>8</v>
      </c>
      <c r="K1646" t="s">
        <v>6099</v>
      </c>
      <c r="L1646" t="s">
        <v>6100</v>
      </c>
      <c r="M1646" t="s">
        <v>6100</v>
      </c>
      <c r="N1646">
        <v>5</v>
      </c>
      <c r="O1646" t="s">
        <v>6101</v>
      </c>
      <c r="P1646" t="s">
        <v>6109</v>
      </c>
      <c r="Q1646">
        <v>3</v>
      </c>
      <c r="R1646">
        <v>2026</v>
      </c>
      <c r="S1646" t="s">
        <v>6099</v>
      </c>
      <c r="T1646">
        <v>1</v>
      </c>
      <c r="U1646" t="s">
        <v>6018</v>
      </c>
      <c r="V1646">
        <v>1</v>
      </c>
    </row>
    <row r="1647" spans="1:22" x14ac:dyDescent="0.3">
      <c r="A1647" t="s">
        <v>1662</v>
      </c>
      <c r="B1647" s="2">
        <v>46094.703472222223</v>
      </c>
      <c r="C1647" s="2">
        <v>46094.820138888892</v>
      </c>
      <c r="D1647" t="s">
        <v>6028</v>
      </c>
      <c r="E1647" t="s">
        <v>6030</v>
      </c>
      <c r="F1647" t="s">
        <v>6033</v>
      </c>
      <c r="G1647" t="s">
        <v>6073</v>
      </c>
      <c r="H1647" t="s">
        <v>6096</v>
      </c>
      <c r="I1647">
        <v>72</v>
      </c>
      <c r="J1647">
        <v>2.8</v>
      </c>
      <c r="K1647" t="s">
        <v>6100</v>
      </c>
      <c r="L1647" t="s">
        <v>6100</v>
      </c>
      <c r="M1647" t="s">
        <v>6100</v>
      </c>
      <c r="O1647" t="s">
        <v>6101</v>
      </c>
      <c r="P1647" t="s">
        <v>6109</v>
      </c>
      <c r="Q1647">
        <v>3</v>
      </c>
      <c r="R1647">
        <v>2026</v>
      </c>
      <c r="S1647" t="s">
        <v>6099</v>
      </c>
      <c r="T1647">
        <v>1</v>
      </c>
      <c r="U1647" t="s">
        <v>6021</v>
      </c>
      <c r="V1647">
        <v>0</v>
      </c>
    </row>
    <row r="1648" spans="1:22" x14ac:dyDescent="0.3">
      <c r="A1648" t="s">
        <v>1663</v>
      </c>
      <c r="B1648" s="2">
        <v>46094.70416666667</v>
      </c>
      <c r="C1648" s="2">
        <v>46095.066666666666</v>
      </c>
      <c r="D1648" t="s">
        <v>6027</v>
      </c>
      <c r="E1648" t="s">
        <v>6029</v>
      </c>
      <c r="F1648" t="s">
        <v>6033</v>
      </c>
      <c r="G1648" t="s">
        <v>6083</v>
      </c>
      <c r="H1648" t="s">
        <v>6096</v>
      </c>
      <c r="I1648">
        <v>72</v>
      </c>
      <c r="J1648">
        <v>8.6999999999999993</v>
      </c>
      <c r="K1648" t="s">
        <v>6099</v>
      </c>
      <c r="L1648" t="s">
        <v>6100</v>
      </c>
      <c r="M1648" t="s">
        <v>6100</v>
      </c>
      <c r="N1648">
        <v>5</v>
      </c>
      <c r="O1648" t="s">
        <v>6101</v>
      </c>
      <c r="P1648" t="s">
        <v>6109</v>
      </c>
      <c r="Q1648">
        <v>3</v>
      </c>
      <c r="R1648">
        <v>2026</v>
      </c>
      <c r="S1648" t="s">
        <v>6099</v>
      </c>
      <c r="T1648">
        <v>1</v>
      </c>
      <c r="U1648" t="s">
        <v>6021</v>
      </c>
      <c r="V1648">
        <v>1</v>
      </c>
    </row>
    <row r="1649" spans="1:22" x14ac:dyDescent="0.3">
      <c r="A1649" t="s">
        <v>1664</v>
      </c>
      <c r="B1649" s="2">
        <v>46094.708333333336</v>
      </c>
      <c r="C1649" s="2">
        <v>46095.35833333333</v>
      </c>
      <c r="D1649" t="s">
        <v>6028</v>
      </c>
      <c r="E1649" t="s">
        <v>6029</v>
      </c>
      <c r="F1649" t="s">
        <v>6035</v>
      </c>
      <c r="G1649" t="s">
        <v>6076</v>
      </c>
      <c r="H1649" t="s">
        <v>6097</v>
      </c>
      <c r="I1649">
        <v>4</v>
      </c>
      <c r="J1649">
        <v>15.6</v>
      </c>
      <c r="K1649" t="s">
        <v>6099</v>
      </c>
      <c r="L1649" t="s">
        <v>6100</v>
      </c>
      <c r="M1649" t="s">
        <v>6100</v>
      </c>
      <c r="N1649">
        <v>4</v>
      </c>
      <c r="O1649" t="s">
        <v>6101</v>
      </c>
      <c r="P1649" t="s">
        <v>6109</v>
      </c>
      <c r="Q1649">
        <v>3</v>
      </c>
      <c r="R1649">
        <v>2026</v>
      </c>
      <c r="S1649" t="s">
        <v>6100</v>
      </c>
      <c r="T1649">
        <v>0</v>
      </c>
      <c r="U1649" t="s">
        <v>6018</v>
      </c>
      <c r="V1649">
        <v>1</v>
      </c>
    </row>
    <row r="1650" spans="1:22" x14ac:dyDescent="0.3">
      <c r="A1650" t="s">
        <v>1665</v>
      </c>
      <c r="B1650" s="2">
        <v>46094.708333333336</v>
      </c>
      <c r="C1650" s="2">
        <v>46095.104166666664</v>
      </c>
      <c r="D1650" t="s">
        <v>6028</v>
      </c>
      <c r="E1650" t="s">
        <v>6029</v>
      </c>
      <c r="F1650" t="s">
        <v>6034</v>
      </c>
      <c r="G1650" t="s">
        <v>6058</v>
      </c>
      <c r="H1650" t="s">
        <v>6098</v>
      </c>
      <c r="I1650">
        <v>24</v>
      </c>
      <c r="J1650">
        <v>9.5</v>
      </c>
      <c r="K1650" t="s">
        <v>6099</v>
      </c>
      <c r="L1650" t="s">
        <v>6100</v>
      </c>
      <c r="M1650" t="s">
        <v>6100</v>
      </c>
      <c r="N1650">
        <v>5</v>
      </c>
      <c r="O1650" t="s">
        <v>6101</v>
      </c>
      <c r="P1650" t="s">
        <v>6109</v>
      </c>
      <c r="Q1650">
        <v>3</v>
      </c>
      <c r="R1650">
        <v>2026</v>
      </c>
      <c r="S1650" t="s">
        <v>6099</v>
      </c>
      <c r="T1650">
        <v>1</v>
      </c>
      <c r="U1650" t="s">
        <v>6018</v>
      </c>
      <c r="V1650">
        <v>1</v>
      </c>
    </row>
    <row r="1651" spans="1:22" x14ac:dyDescent="0.3">
      <c r="A1651" t="s">
        <v>1666</v>
      </c>
      <c r="B1651" s="2">
        <v>46094.708333333336</v>
      </c>
      <c r="C1651" s="2">
        <v>46097.20416666667</v>
      </c>
      <c r="D1651" t="s">
        <v>6028</v>
      </c>
      <c r="E1651" t="s">
        <v>6031</v>
      </c>
      <c r="F1651" t="s">
        <v>6033</v>
      </c>
      <c r="G1651" t="s">
        <v>6074</v>
      </c>
      <c r="H1651" t="s">
        <v>6098</v>
      </c>
      <c r="I1651">
        <v>72</v>
      </c>
      <c r="J1651">
        <v>59.9</v>
      </c>
      <c r="K1651" t="s">
        <v>6099</v>
      </c>
      <c r="L1651" t="s">
        <v>6100</v>
      </c>
      <c r="M1651" t="s">
        <v>6100</v>
      </c>
      <c r="O1651" t="s">
        <v>6101</v>
      </c>
      <c r="P1651" t="s">
        <v>6109</v>
      </c>
      <c r="Q1651">
        <v>3</v>
      </c>
      <c r="R1651">
        <v>2026</v>
      </c>
      <c r="S1651" t="s">
        <v>6099</v>
      </c>
      <c r="T1651">
        <v>1</v>
      </c>
      <c r="U1651" t="s">
        <v>6018</v>
      </c>
      <c r="V1651">
        <v>1</v>
      </c>
    </row>
    <row r="1652" spans="1:22" x14ac:dyDescent="0.3">
      <c r="A1652" t="s">
        <v>1667</v>
      </c>
      <c r="B1652" s="2">
        <v>46094.708333333336</v>
      </c>
      <c r="C1652" s="2">
        <v>46095.425000000003</v>
      </c>
      <c r="D1652" t="s">
        <v>6025</v>
      </c>
      <c r="E1652" t="s">
        <v>6030</v>
      </c>
      <c r="F1652" t="s">
        <v>6034</v>
      </c>
      <c r="G1652" t="s">
        <v>6037</v>
      </c>
      <c r="H1652" t="s">
        <v>6096</v>
      </c>
      <c r="I1652">
        <v>24</v>
      </c>
      <c r="J1652">
        <v>17.2</v>
      </c>
      <c r="K1652" t="s">
        <v>6099</v>
      </c>
      <c r="L1652" t="s">
        <v>6100</v>
      </c>
      <c r="M1652" t="s">
        <v>6100</v>
      </c>
      <c r="N1652">
        <v>4</v>
      </c>
      <c r="O1652" t="s">
        <v>6101</v>
      </c>
      <c r="P1652" t="s">
        <v>6109</v>
      </c>
      <c r="Q1652">
        <v>3</v>
      </c>
      <c r="R1652">
        <v>2026</v>
      </c>
      <c r="S1652" t="s">
        <v>6099</v>
      </c>
      <c r="T1652">
        <v>1</v>
      </c>
      <c r="U1652" t="s">
        <v>6019</v>
      </c>
      <c r="V1652">
        <v>1</v>
      </c>
    </row>
    <row r="1653" spans="1:22" x14ac:dyDescent="0.3">
      <c r="A1653" t="s">
        <v>1668</v>
      </c>
      <c r="B1653" s="2">
        <v>46094.709027777775</v>
      </c>
      <c r="C1653" s="2">
        <v>46095.125694444447</v>
      </c>
      <c r="D1653" t="s">
        <v>6027</v>
      </c>
      <c r="E1653" t="s">
        <v>6029</v>
      </c>
      <c r="F1653" t="s">
        <v>6034</v>
      </c>
      <c r="G1653" t="s">
        <v>6090</v>
      </c>
      <c r="H1653" t="s">
        <v>6097</v>
      </c>
      <c r="I1653">
        <v>24</v>
      </c>
      <c r="J1653">
        <v>10</v>
      </c>
      <c r="K1653" t="s">
        <v>6099</v>
      </c>
      <c r="L1653" t="s">
        <v>6100</v>
      </c>
      <c r="M1653" t="s">
        <v>6100</v>
      </c>
      <c r="N1653">
        <v>4</v>
      </c>
      <c r="O1653" t="s">
        <v>6101</v>
      </c>
      <c r="P1653" t="s">
        <v>6109</v>
      </c>
      <c r="Q1653">
        <v>3</v>
      </c>
      <c r="R1653">
        <v>2026</v>
      </c>
      <c r="S1653" t="s">
        <v>6099</v>
      </c>
      <c r="T1653">
        <v>1</v>
      </c>
      <c r="U1653" t="s">
        <v>6019</v>
      </c>
      <c r="V1653">
        <v>1</v>
      </c>
    </row>
    <row r="1654" spans="1:22" x14ac:dyDescent="0.3">
      <c r="A1654" t="s">
        <v>1669</v>
      </c>
      <c r="B1654" s="2">
        <v>46094.75</v>
      </c>
      <c r="C1654" s="2">
        <v>46097.025000000001</v>
      </c>
      <c r="D1654" t="s">
        <v>6028</v>
      </c>
      <c r="E1654" t="s">
        <v>6029</v>
      </c>
      <c r="F1654" t="s">
        <v>6035</v>
      </c>
      <c r="G1654" t="s">
        <v>6080</v>
      </c>
      <c r="H1654" t="s">
        <v>6096</v>
      </c>
      <c r="I1654">
        <v>4</v>
      </c>
      <c r="J1654">
        <v>54.6</v>
      </c>
      <c r="K1654" t="s">
        <v>6100</v>
      </c>
      <c r="L1654" t="s">
        <v>6099</v>
      </c>
      <c r="M1654" t="s">
        <v>6100</v>
      </c>
      <c r="N1654">
        <v>3</v>
      </c>
      <c r="O1654" t="s">
        <v>6101</v>
      </c>
      <c r="P1654" t="s">
        <v>6109</v>
      </c>
      <c r="Q1654">
        <v>3</v>
      </c>
      <c r="R1654">
        <v>2026</v>
      </c>
      <c r="S1654" t="s">
        <v>6100</v>
      </c>
      <c r="T1654">
        <v>0</v>
      </c>
      <c r="U1654" t="s">
        <v>6018</v>
      </c>
      <c r="V1654">
        <v>0</v>
      </c>
    </row>
    <row r="1655" spans="1:22" x14ac:dyDescent="0.3">
      <c r="A1655" t="s">
        <v>1670</v>
      </c>
      <c r="B1655" s="2">
        <v>46094.75</v>
      </c>
      <c r="C1655" s="2">
        <v>46096.458333333336</v>
      </c>
      <c r="D1655" t="s">
        <v>6028</v>
      </c>
      <c r="E1655" t="s">
        <v>6029</v>
      </c>
      <c r="F1655" t="s">
        <v>6035</v>
      </c>
      <c r="G1655" t="s">
        <v>6064</v>
      </c>
      <c r="H1655" t="s">
        <v>6096</v>
      </c>
      <c r="I1655">
        <v>4</v>
      </c>
      <c r="J1655">
        <v>41</v>
      </c>
      <c r="K1655" t="s">
        <v>6099</v>
      </c>
      <c r="L1655" t="s">
        <v>6100</v>
      </c>
      <c r="M1655" t="s">
        <v>6100</v>
      </c>
      <c r="N1655">
        <v>4</v>
      </c>
      <c r="O1655" t="s">
        <v>6101</v>
      </c>
      <c r="P1655" t="s">
        <v>6109</v>
      </c>
      <c r="Q1655">
        <v>3</v>
      </c>
      <c r="R1655">
        <v>2026</v>
      </c>
      <c r="S1655" t="s">
        <v>6100</v>
      </c>
      <c r="T1655">
        <v>0</v>
      </c>
      <c r="U1655" t="s">
        <v>6018</v>
      </c>
      <c r="V1655">
        <v>1</v>
      </c>
    </row>
    <row r="1656" spans="1:22" x14ac:dyDescent="0.3">
      <c r="A1656" t="s">
        <v>1671</v>
      </c>
      <c r="B1656" s="2">
        <v>46094.75</v>
      </c>
      <c r="C1656" s="2">
        <v>46095.345833333333</v>
      </c>
      <c r="D1656" t="s">
        <v>6028</v>
      </c>
      <c r="E1656" t="s">
        <v>6030</v>
      </c>
      <c r="F1656" t="s">
        <v>6034</v>
      </c>
      <c r="G1656" t="s">
        <v>6056</v>
      </c>
      <c r="H1656" t="s">
        <v>6098</v>
      </c>
      <c r="I1656">
        <v>24</v>
      </c>
      <c r="J1656">
        <v>14.3</v>
      </c>
      <c r="K1656" t="s">
        <v>6099</v>
      </c>
      <c r="L1656" t="s">
        <v>6100</v>
      </c>
      <c r="M1656" t="s">
        <v>6100</v>
      </c>
      <c r="N1656">
        <v>3</v>
      </c>
      <c r="O1656" t="s">
        <v>6101</v>
      </c>
      <c r="P1656" t="s">
        <v>6109</v>
      </c>
      <c r="Q1656">
        <v>3</v>
      </c>
      <c r="R1656">
        <v>2026</v>
      </c>
      <c r="S1656" t="s">
        <v>6099</v>
      </c>
      <c r="T1656">
        <v>1</v>
      </c>
      <c r="U1656" t="s">
        <v>6018</v>
      </c>
      <c r="V1656">
        <v>1</v>
      </c>
    </row>
    <row r="1657" spans="1:22" x14ac:dyDescent="0.3">
      <c r="A1657" t="s">
        <v>1672</v>
      </c>
      <c r="B1657" s="2">
        <v>46094.75</v>
      </c>
      <c r="C1657" s="2">
        <v>46096.112500000003</v>
      </c>
      <c r="D1657" t="s">
        <v>6028</v>
      </c>
      <c r="E1657" t="s">
        <v>6030</v>
      </c>
      <c r="F1657" t="s">
        <v>6034</v>
      </c>
      <c r="G1657" t="s">
        <v>6084</v>
      </c>
      <c r="H1657" t="s">
        <v>6098</v>
      </c>
      <c r="I1657">
        <v>24</v>
      </c>
      <c r="J1657">
        <v>32.700000000000003</v>
      </c>
      <c r="K1657" t="s">
        <v>6100</v>
      </c>
      <c r="L1657" t="s">
        <v>6100</v>
      </c>
      <c r="M1657" t="s">
        <v>6099</v>
      </c>
      <c r="N1657">
        <v>4</v>
      </c>
      <c r="O1657" t="s">
        <v>6101</v>
      </c>
      <c r="P1657" t="s">
        <v>6109</v>
      </c>
      <c r="Q1657">
        <v>3</v>
      </c>
      <c r="R1657">
        <v>2026</v>
      </c>
      <c r="S1657" t="s">
        <v>6100</v>
      </c>
      <c r="T1657">
        <v>0</v>
      </c>
      <c r="U1657" t="s">
        <v>6018</v>
      </c>
      <c r="V1657">
        <v>0</v>
      </c>
    </row>
    <row r="1658" spans="1:22" x14ac:dyDescent="0.3">
      <c r="A1658" t="s">
        <v>1673</v>
      </c>
      <c r="B1658" s="2">
        <v>46094.75</v>
      </c>
      <c r="C1658" s="2">
        <v>46095.037499999999</v>
      </c>
      <c r="D1658" t="s">
        <v>6028</v>
      </c>
      <c r="E1658" t="s">
        <v>6029</v>
      </c>
      <c r="F1658" t="s">
        <v>6033</v>
      </c>
      <c r="G1658" t="s">
        <v>6040</v>
      </c>
      <c r="H1658" t="s">
        <v>6097</v>
      </c>
      <c r="I1658">
        <v>72</v>
      </c>
      <c r="J1658">
        <v>6.9</v>
      </c>
      <c r="K1658" t="s">
        <v>6099</v>
      </c>
      <c r="L1658" t="s">
        <v>6100</v>
      </c>
      <c r="M1658" t="s">
        <v>6100</v>
      </c>
      <c r="N1658">
        <v>5</v>
      </c>
      <c r="O1658" t="s">
        <v>6101</v>
      </c>
      <c r="P1658" t="s">
        <v>6109</v>
      </c>
      <c r="Q1658">
        <v>3</v>
      </c>
      <c r="R1658">
        <v>2026</v>
      </c>
      <c r="S1658" t="s">
        <v>6099</v>
      </c>
      <c r="T1658">
        <v>1</v>
      </c>
      <c r="U1658" t="s">
        <v>6018</v>
      </c>
      <c r="V1658">
        <v>1</v>
      </c>
    </row>
    <row r="1659" spans="1:22" x14ac:dyDescent="0.3">
      <c r="A1659" t="s">
        <v>1674</v>
      </c>
      <c r="B1659" s="2">
        <v>46094.75</v>
      </c>
      <c r="C1659" s="2">
        <v>46095.162499999999</v>
      </c>
      <c r="D1659" t="s">
        <v>6028</v>
      </c>
      <c r="E1659" t="s">
        <v>6029</v>
      </c>
      <c r="F1659" t="s">
        <v>6035</v>
      </c>
      <c r="G1659" t="s">
        <v>6064</v>
      </c>
      <c r="H1659" t="s">
        <v>6096</v>
      </c>
      <c r="I1659">
        <v>4</v>
      </c>
      <c r="J1659">
        <v>9.9</v>
      </c>
      <c r="K1659" t="s">
        <v>6100</v>
      </c>
      <c r="L1659" t="s">
        <v>6099</v>
      </c>
      <c r="M1659" t="s">
        <v>6099</v>
      </c>
      <c r="N1659">
        <v>3</v>
      </c>
      <c r="O1659" t="s">
        <v>6101</v>
      </c>
      <c r="P1659" t="s">
        <v>6109</v>
      </c>
      <c r="Q1659">
        <v>3</v>
      </c>
      <c r="R1659">
        <v>2026</v>
      </c>
      <c r="S1659" t="s">
        <v>6100</v>
      </c>
      <c r="T1659">
        <v>0</v>
      </c>
      <c r="U1659" t="s">
        <v>6018</v>
      </c>
      <c r="V1659">
        <v>0</v>
      </c>
    </row>
    <row r="1660" spans="1:22" x14ac:dyDescent="0.3">
      <c r="A1660" t="s">
        <v>1675</v>
      </c>
      <c r="B1660" s="2">
        <v>46094.75</v>
      </c>
      <c r="C1660" s="2">
        <v>46095.208333333336</v>
      </c>
      <c r="D1660" t="s">
        <v>6028</v>
      </c>
      <c r="E1660" t="s">
        <v>6029</v>
      </c>
      <c r="F1660" t="s">
        <v>6035</v>
      </c>
      <c r="G1660" t="s">
        <v>6090</v>
      </c>
      <c r="H1660" t="s">
        <v>6097</v>
      </c>
      <c r="I1660">
        <v>4</v>
      </c>
      <c r="J1660">
        <v>11</v>
      </c>
      <c r="K1660" t="s">
        <v>6099</v>
      </c>
      <c r="L1660" t="s">
        <v>6100</v>
      </c>
      <c r="M1660" t="s">
        <v>6100</v>
      </c>
      <c r="N1660">
        <v>5</v>
      </c>
      <c r="O1660" t="s">
        <v>6101</v>
      </c>
      <c r="P1660" t="s">
        <v>6109</v>
      </c>
      <c r="Q1660">
        <v>3</v>
      </c>
      <c r="R1660">
        <v>2026</v>
      </c>
      <c r="S1660" t="s">
        <v>6100</v>
      </c>
      <c r="T1660">
        <v>0</v>
      </c>
      <c r="U1660" t="s">
        <v>6018</v>
      </c>
      <c r="V1660">
        <v>1</v>
      </c>
    </row>
    <row r="1661" spans="1:22" x14ac:dyDescent="0.3">
      <c r="A1661" t="s">
        <v>1676</v>
      </c>
      <c r="B1661" s="2">
        <v>46094.791666666664</v>
      </c>
      <c r="C1661" s="2">
        <v>46095.104166666664</v>
      </c>
      <c r="D1661" t="s">
        <v>6028</v>
      </c>
      <c r="E1661" t="s">
        <v>6029</v>
      </c>
      <c r="F1661" t="s">
        <v>6035</v>
      </c>
      <c r="G1661" t="s">
        <v>6038</v>
      </c>
      <c r="H1661" t="s">
        <v>6096</v>
      </c>
      <c r="I1661">
        <v>4</v>
      </c>
      <c r="J1661">
        <v>7.5</v>
      </c>
      <c r="K1661" t="s">
        <v>6099</v>
      </c>
      <c r="L1661" t="s">
        <v>6100</v>
      </c>
      <c r="M1661" t="s">
        <v>6100</v>
      </c>
      <c r="O1661" t="s">
        <v>6101</v>
      </c>
      <c r="P1661" t="s">
        <v>6109</v>
      </c>
      <c r="Q1661">
        <v>3</v>
      </c>
      <c r="R1661">
        <v>2026</v>
      </c>
      <c r="S1661" t="s">
        <v>6100</v>
      </c>
      <c r="T1661">
        <v>0</v>
      </c>
      <c r="U1661" t="s">
        <v>6018</v>
      </c>
      <c r="V1661">
        <v>1</v>
      </c>
    </row>
    <row r="1662" spans="1:22" x14ac:dyDescent="0.3">
      <c r="A1662" t="s">
        <v>1677</v>
      </c>
      <c r="B1662" s="2">
        <v>46094.791666666664</v>
      </c>
      <c r="C1662" s="2">
        <v>46094.166666666664</v>
      </c>
      <c r="D1662" t="s">
        <v>6028</v>
      </c>
      <c r="E1662" t="s">
        <v>6031</v>
      </c>
      <c r="F1662" t="s">
        <v>6034</v>
      </c>
      <c r="G1662" t="s">
        <v>6043</v>
      </c>
      <c r="H1662" t="s">
        <v>6097</v>
      </c>
      <c r="I1662">
        <v>24</v>
      </c>
      <c r="J1662">
        <v>58.7</v>
      </c>
      <c r="K1662" t="s">
        <v>6099</v>
      </c>
      <c r="L1662" t="s">
        <v>6100</v>
      </c>
      <c r="M1662" t="s">
        <v>6100</v>
      </c>
      <c r="O1662" t="s">
        <v>6101</v>
      </c>
      <c r="P1662" t="s">
        <v>6109</v>
      </c>
      <c r="Q1662">
        <v>3</v>
      </c>
      <c r="R1662">
        <v>2026</v>
      </c>
      <c r="S1662" t="s">
        <v>6100</v>
      </c>
      <c r="T1662">
        <v>0</v>
      </c>
      <c r="U1662" t="s">
        <v>6018</v>
      </c>
      <c r="V1662">
        <v>1</v>
      </c>
    </row>
    <row r="1663" spans="1:22" x14ac:dyDescent="0.3">
      <c r="A1663" t="s">
        <v>1678</v>
      </c>
      <c r="B1663" s="2">
        <v>46094.833333333336</v>
      </c>
      <c r="C1663" s="2">
        <v>46095.629166666666</v>
      </c>
      <c r="D1663" t="s">
        <v>6028</v>
      </c>
      <c r="E1663" t="s">
        <v>6029</v>
      </c>
      <c r="F1663" t="s">
        <v>6035</v>
      </c>
      <c r="G1663" t="s">
        <v>6070</v>
      </c>
      <c r="H1663" t="s">
        <v>6097</v>
      </c>
      <c r="I1663">
        <v>4</v>
      </c>
      <c r="J1663">
        <v>19.100000000000001</v>
      </c>
      <c r="K1663" t="s">
        <v>6099</v>
      </c>
      <c r="L1663" t="s">
        <v>6100</v>
      </c>
      <c r="M1663" t="s">
        <v>6100</v>
      </c>
      <c r="N1663">
        <v>3</v>
      </c>
      <c r="O1663" t="s">
        <v>6101</v>
      </c>
      <c r="P1663" t="s">
        <v>6109</v>
      </c>
      <c r="Q1663">
        <v>3</v>
      </c>
      <c r="R1663">
        <v>2026</v>
      </c>
      <c r="S1663" t="s">
        <v>6100</v>
      </c>
      <c r="T1663">
        <v>0</v>
      </c>
      <c r="U1663" t="s">
        <v>6018</v>
      </c>
      <c r="V1663">
        <v>1</v>
      </c>
    </row>
    <row r="1664" spans="1:22" x14ac:dyDescent="0.3">
      <c r="A1664" t="s">
        <v>1679</v>
      </c>
      <c r="B1664" s="2">
        <v>46094.833333333336</v>
      </c>
      <c r="C1664" s="2">
        <v>46099.054166666669</v>
      </c>
      <c r="D1664" t="s">
        <v>6028</v>
      </c>
      <c r="E1664" t="s">
        <v>6031</v>
      </c>
      <c r="F1664" t="s">
        <v>6034</v>
      </c>
      <c r="G1664" t="s">
        <v>6049</v>
      </c>
      <c r="H1664" t="s">
        <v>6097</v>
      </c>
      <c r="I1664">
        <v>24</v>
      </c>
      <c r="J1664">
        <v>101.3</v>
      </c>
      <c r="K1664" t="s">
        <v>6099</v>
      </c>
      <c r="L1664" t="s">
        <v>6100</v>
      </c>
      <c r="M1664" t="s">
        <v>6100</v>
      </c>
      <c r="N1664">
        <v>3</v>
      </c>
      <c r="O1664" t="s">
        <v>6101</v>
      </c>
      <c r="P1664" t="s">
        <v>6109</v>
      </c>
      <c r="Q1664">
        <v>3</v>
      </c>
      <c r="R1664">
        <v>2026</v>
      </c>
      <c r="S1664" t="s">
        <v>6100</v>
      </c>
      <c r="T1664">
        <v>0</v>
      </c>
      <c r="U1664" t="s">
        <v>6018</v>
      </c>
      <c r="V1664">
        <v>1</v>
      </c>
    </row>
    <row r="1665" spans="1:22" x14ac:dyDescent="0.3">
      <c r="A1665" t="s">
        <v>1680</v>
      </c>
      <c r="B1665" s="2">
        <v>46094.852777777778</v>
      </c>
      <c r="C1665" s="2">
        <v>46095.198611111111</v>
      </c>
      <c r="D1665" t="s">
        <v>6027</v>
      </c>
      <c r="E1665" t="s">
        <v>6029</v>
      </c>
      <c r="F1665" t="s">
        <v>6033</v>
      </c>
      <c r="G1665" t="s">
        <v>6040</v>
      </c>
      <c r="H1665" t="s">
        <v>6097</v>
      </c>
      <c r="I1665">
        <v>72</v>
      </c>
      <c r="J1665">
        <v>8.3000000000000007</v>
      </c>
      <c r="K1665" t="s">
        <v>6099</v>
      </c>
      <c r="L1665" t="s">
        <v>6100</v>
      </c>
      <c r="M1665" t="s">
        <v>6100</v>
      </c>
      <c r="N1665">
        <v>5</v>
      </c>
      <c r="O1665" t="s">
        <v>6101</v>
      </c>
      <c r="P1665" t="s">
        <v>6109</v>
      </c>
      <c r="Q1665">
        <v>3</v>
      </c>
      <c r="R1665">
        <v>2026</v>
      </c>
      <c r="S1665" t="s">
        <v>6099</v>
      </c>
      <c r="T1665">
        <v>1</v>
      </c>
      <c r="U1665" t="s">
        <v>6018</v>
      </c>
      <c r="V1665">
        <v>1</v>
      </c>
    </row>
    <row r="1666" spans="1:22" x14ac:dyDescent="0.3">
      <c r="A1666" t="s">
        <v>1681</v>
      </c>
      <c r="B1666" s="2">
        <v>46095.243750000001</v>
      </c>
      <c r="C1666" s="2">
        <v>46095.40625</v>
      </c>
      <c r="D1666" t="s">
        <v>6027</v>
      </c>
      <c r="E1666" t="s">
        <v>6030</v>
      </c>
      <c r="F1666" t="s">
        <v>6033</v>
      </c>
      <c r="G1666" t="s">
        <v>6067</v>
      </c>
      <c r="H1666" t="s">
        <v>6098</v>
      </c>
      <c r="I1666">
        <v>72</v>
      </c>
      <c r="J1666">
        <v>3.9</v>
      </c>
      <c r="K1666" t="s">
        <v>6099</v>
      </c>
      <c r="L1666" t="s">
        <v>6100</v>
      </c>
      <c r="M1666" t="s">
        <v>6100</v>
      </c>
      <c r="N1666">
        <v>3</v>
      </c>
      <c r="O1666" t="s">
        <v>6101</v>
      </c>
      <c r="P1666" t="s">
        <v>6109</v>
      </c>
      <c r="Q1666">
        <v>3</v>
      </c>
      <c r="R1666">
        <v>2026</v>
      </c>
      <c r="S1666" t="s">
        <v>6099</v>
      </c>
      <c r="T1666">
        <v>1</v>
      </c>
      <c r="U1666" t="s">
        <v>6017</v>
      </c>
      <c r="V1666">
        <v>1</v>
      </c>
    </row>
    <row r="1667" spans="1:22" x14ac:dyDescent="0.3">
      <c r="A1667" t="s">
        <v>1682</v>
      </c>
      <c r="B1667" s="2">
        <v>46095.25</v>
      </c>
      <c r="C1667" s="2">
        <v>46098.3125</v>
      </c>
      <c r="D1667" t="s">
        <v>6028</v>
      </c>
      <c r="E1667" t="s">
        <v>6031</v>
      </c>
      <c r="F1667" t="s">
        <v>6034</v>
      </c>
      <c r="G1667" t="s">
        <v>6065</v>
      </c>
      <c r="H1667" t="s">
        <v>6097</v>
      </c>
      <c r="I1667">
        <v>24</v>
      </c>
      <c r="J1667">
        <v>73.5</v>
      </c>
      <c r="K1667" t="s">
        <v>6099</v>
      </c>
      <c r="L1667" t="s">
        <v>6100</v>
      </c>
      <c r="M1667" t="s">
        <v>6100</v>
      </c>
      <c r="O1667" t="s">
        <v>6101</v>
      </c>
      <c r="P1667" t="s">
        <v>6109</v>
      </c>
      <c r="Q1667">
        <v>3</v>
      </c>
      <c r="R1667">
        <v>2026</v>
      </c>
      <c r="S1667" t="s">
        <v>6100</v>
      </c>
      <c r="T1667">
        <v>0</v>
      </c>
      <c r="U1667" t="s">
        <v>6018</v>
      </c>
      <c r="V1667">
        <v>1</v>
      </c>
    </row>
    <row r="1668" spans="1:22" x14ac:dyDescent="0.3">
      <c r="A1668" t="s">
        <v>1683</v>
      </c>
      <c r="B1668" s="2">
        <v>46095.25</v>
      </c>
      <c r="C1668" s="2">
        <v>46098.487500000003</v>
      </c>
      <c r="D1668" t="s">
        <v>6028</v>
      </c>
      <c r="E1668" t="s">
        <v>6031</v>
      </c>
      <c r="F1668" t="s">
        <v>6035</v>
      </c>
      <c r="G1668" t="s">
        <v>6062</v>
      </c>
      <c r="H1668" t="s">
        <v>6096</v>
      </c>
      <c r="I1668">
        <v>4</v>
      </c>
      <c r="J1668">
        <v>77.7</v>
      </c>
      <c r="K1668" t="s">
        <v>6100</v>
      </c>
      <c r="L1668" t="s">
        <v>6099</v>
      </c>
      <c r="M1668" t="s">
        <v>6100</v>
      </c>
      <c r="O1668" t="s">
        <v>6101</v>
      </c>
      <c r="P1668" t="s">
        <v>6109</v>
      </c>
      <c r="Q1668">
        <v>3</v>
      </c>
      <c r="R1668">
        <v>2026</v>
      </c>
      <c r="S1668" t="s">
        <v>6100</v>
      </c>
      <c r="T1668">
        <v>0</v>
      </c>
      <c r="U1668" t="s">
        <v>6019</v>
      </c>
      <c r="V1668">
        <v>0</v>
      </c>
    </row>
    <row r="1669" spans="1:22" x14ac:dyDescent="0.3">
      <c r="A1669" t="s">
        <v>1684</v>
      </c>
      <c r="B1669" s="2">
        <v>46095.25</v>
      </c>
      <c r="C1669" s="2">
        <v>46096.383333333331</v>
      </c>
      <c r="D1669" t="s">
        <v>6028</v>
      </c>
      <c r="E1669" t="s">
        <v>6029</v>
      </c>
      <c r="F1669" t="s">
        <v>6035</v>
      </c>
      <c r="G1669" t="s">
        <v>6065</v>
      </c>
      <c r="H1669" t="s">
        <v>6097</v>
      </c>
      <c r="I1669">
        <v>4</v>
      </c>
      <c r="J1669">
        <v>27.2</v>
      </c>
      <c r="K1669" t="s">
        <v>6099</v>
      </c>
      <c r="L1669" t="s">
        <v>6100</v>
      </c>
      <c r="M1669" t="s">
        <v>6100</v>
      </c>
      <c r="N1669">
        <v>5</v>
      </c>
      <c r="O1669" t="s">
        <v>6101</v>
      </c>
      <c r="P1669" t="s">
        <v>6109</v>
      </c>
      <c r="Q1669">
        <v>3</v>
      </c>
      <c r="R1669">
        <v>2026</v>
      </c>
      <c r="S1669" t="s">
        <v>6100</v>
      </c>
      <c r="T1669">
        <v>0</v>
      </c>
      <c r="U1669" t="s">
        <v>6018</v>
      </c>
      <c r="V1669">
        <v>1</v>
      </c>
    </row>
    <row r="1670" spans="1:22" x14ac:dyDescent="0.3">
      <c r="A1670" t="s">
        <v>1685</v>
      </c>
      <c r="B1670" s="2">
        <v>46095.265972222223</v>
      </c>
      <c r="C1670" s="2">
        <v>46097.507638888892</v>
      </c>
      <c r="D1670" t="s">
        <v>6025</v>
      </c>
      <c r="E1670" t="s">
        <v>6030</v>
      </c>
      <c r="F1670" t="s">
        <v>6034</v>
      </c>
      <c r="G1670" t="s">
        <v>6091</v>
      </c>
      <c r="H1670" t="s">
        <v>6097</v>
      </c>
      <c r="I1670">
        <v>24</v>
      </c>
      <c r="J1670">
        <v>53.8</v>
      </c>
      <c r="K1670" t="s">
        <v>6099</v>
      </c>
      <c r="L1670" t="s">
        <v>6100</v>
      </c>
      <c r="M1670" t="s">
        <v>6100</v>
      </c>
      <c r="O1670" t="s">
        <v>6101</v>
      </c>
      <c r="P1670" t="s">
        <v>6109</v>
      </c>
      <c r="Q1670">
        <v>3</v>
      </c>
      <c r="R1670">
        <v>2026</v>
      </c>
      <c r="S1670" t="s">
        <v>6100</v>
      </c>
      <c r="T1670">
        <v>0</v>
      </c>
      <c r="U1670" t="s">
        <v>6020</v>
      </c>
      <c r="V1670">
        <v>1</v>
      </c>
    </row>
    <row r="1671" spans="1:22" x14ac:dyDescent="0.3">
      <c r="A1671" t="s">
        <v>1686</v>
      </c>
      <c r="B1671" s="2">
        <v>46095.325694444444</v>
      </c>
      <c r="C1671" s="2">
        <v>46096.563194444447</v>
      </c>
      <c r="D1671" t="s">
        <v>6025</v>
      </c>
      <c r="E1671" t="s">
        <v>6029</v>
      </c>
      <c r="F1671" t="s">
        <v>6033</v>
      </c>
      <c r="G1671" t="s">
        <v>6090</v>
      </c>
      <c r="H1671" t="s">
        <v>6097</v>
      </c>
      <c r="I1671">
        <v>72</v>
      </c>
      <c r="J1671">
        <v>29.7</v>
      </c>
      <c r="K1671" t="s">
        <v>6099</v>
      </c>
      <c r="L1671" t="s">
        <v>6100</v>
      </c>
      <c r="M1671" t="s">
        <v>6099</v>
      </c>
      <c r="N1671">
        <v>4</v>
      </c>
      <c r="O1671" t="s">
        <v>6101</v>
      </c>
      <c r="P1671" t="s">
        <v>6109</v>
      </c>
      <c r="Q1671">
        <v>3</v>
      </c>
      <c r="R1671">
        <v>2026</v>
      </c>
      <c r="S1671" t="s">
        <v>6099</v>
      </c>
      <c r="T1671">
        <v>1</v>
      </c>
      <c r="U1671" t="s">
        <v>6021</v>
      </c>
      <c r="V1671">
        <v>1</v>
      </c>
    </row>
    <row r="1672" spans="1:22" x14ac:dyDescent="0.3">
      <c r="A1672" t="s">
        <v>1687</v>
      </c>
      <c r="B1672" s="2">
        <v>46095.333333333336</v>
      </c>
      <c r="C1672" s="2">
        <v>46097.504166666666</v>
      </c>
      <c r="D1672" t="s">
        <v>6028</v>
      </c>
      <c r="E1672" t="s">
        <v>6029</v>
      </c>
      <c r="F1672" t="s">
        <v>6034</v>
      </c>
      <c r="G1672" t="s">
        <v>6057</v>
      </c>
      <c r="H1672" t="s">
        <v>6097</v>
      </c>
      <c r="I1672">
        <v>24</v>
      </c>
      <c r="J1672">
        <v>52.1</v>
      </c>
      <c r="K1672" t="s">
        <v>6099</v>
      </c>
      <c r="L1672" t="s">
        <v>6100</v>
      </c>
      <c r="M1672" t="s">
        <v>6100</v>
      </c>
      <c r="N1672">
        <v>5</v>
      </c>
      <c r="O1672" t="s">
        <v>6101</v>
      </c>
      <c r="P1672" t="s">
        <v>6109</v>
      </c>
      <c r="Q1672">
        <v>3</v>
      </c>
      <c r="R1672">
        <v>2026</v>
      </c>
      <c r="S1672" t="s">
        <v>6100</v>
      </c>
      <c r="T1672">
        <v>0</v>
      </c>
      <c r="U1672" t="s">
        <v>6018</v>
      </c>
      <c r="V1672">
        <v>1</v>
      </c>
    </row>
    <row r="1673" spans="1:22" x14ac:dyDescent="0.3">
      <c r="A1673" t="s">
        <v>1688</v>
      </c>
      <c r="B1673" s="2">
        <v>46095.333333333336</v>
      </c>
      <c r="C1673" s="2">
        <v>46096.366666666669</v>
      </c>
      <c r="D1673" t="s">
        <v>6028</v>
      </c>
      <c r="E1673" t="s">
        <v>6029</v>
      </c>
      <c r="F1673" t="s">
        <v>6034</v>
      </c>
      <c r="G1673" t="s">
        <v>6063</v>
      </c>
      <c r="H1673" t="s">
        <v>6097</v>
      </c>
      <c r="I1673">
        <v>24</v>
      </c>
      <c r="J1673">
        <v>24.8</v>
      </c>
      <c r="K1673" t="s">
        <v>6099</v>
      </c>
      <c r="L1673" t="s">
        <v>6100</v>
      </c>
      <c r="M1673" t="s">
        <v>6100</v>
      </c>
      <c r="N1673">
        <v>4</v>
      </c>
      <c r="O1673" t="s">
        <v>6101</v>
      </c>
      <c r="P1673" t="s">
        <v>6109</v>
      </c>
      <c r="Q1673">
        <v>3</v>
      </c>
      <c r="R1673">
        <v>2026</v>
      </c>
      <c r="S1673" t="s">
        <v>6100</v>
      </c>
      <c r="T1673">
        <v>0</v>
      </c>
      <c r="U1673" t="s">
        <v>6018</v>
      </c>
      <c r="V1673">
        <v>1</v>
      </c>
    </row>
    <row r="1674" spans="1:22" x14ac:dyDescent="0.3">
      <c r="A1674" t="s">
        <v>1689</v>
      </c>
      <c r="B1674" s="2">
        <v>46095.343055555553</v>
      </c>
      <c r="C1674" s="2">
        <v>46097.051388888889</v>
      </c>
      <c r="D1674" t="s">
        <v>6023</v>
      </c>
      <c r="E1674" t="s">
        <v>6032</v>
      </c>
      <c r="F1674" t="s">
        <v>6034</v>
      </c>
      <c r="G1674" t="s">
        <v>6072</v>
      </c>
      <c r="H1674" t="s">
        <v>6097</v>
      </c>
      <c r="I1674">
        <v>24</v>
      </c>
      <c r="J1674">
        <v>41</v>
      </c>
      <c r="K1674" t="s">
        <v>6099</v>
      </c>
      <c r="L1674" t="s">
        <v>6100</v>
      </c>
      <c r="M1674" t="s">
        <v>6100</v>
      </c>
      <c r="N1674">
        <v>4</v>
      </c>
      <c r="O1674" t="s">
        <v>6101</v>
      </c>
      <c r="P1674" t="s">
        <v>6109</v>
      </c>
      <c r="Q1674">
        <v>3</v>
      </c>
      <c r="R1674">
        <v>2026</v>
      </c>
      <c r="S1674" t="s">
        <v>6100</v>
      </c>
      <c r="T1674">
        <v>0</v>
      </c>
      <c r="U1674" t="s">
        <v>6021</v>
      </c>
      <c r="V1674">
        <v>1</v>
      </c>
    </row>
    <row r="1675" spans="1:22" x14ac:dyDescent="0.3">
      <c r="A1675" t="s">
        <v>1690</v>
      </c>
      <c r="B1675" s="2">
        <v>46095.374305555553</v>
      </c>
      <c r="C1675" s="2">
        <v>46095.595138888886</v>
      </c>
      <c r="D1675" t="s">
        <v>6023</v>
      </c>
      <c r="E1675" t="s">
        <v>6030</v>
      </c>
      <c r="F1675" t="s">
        <v>6034</v>
      </c>
      <c r="G1675" t="s">
        <v>6050</v>
      </c>
      <c r="H1675" t="s">
        <v>6098</v>
      </c>
      <c r="I1675">
        <v>24</v>
      </c>
      <c r="J1675">
        <v>5.3</v>
      </c>
      <c r="K1675" t="s">
        <v>6099</v>
      </c>
      <c r="L1675" t="s">
        <v>6100</v>
      </c>
      <c r="M1675" t="s">
        <v>6100</v>
      </c>
      <c r="O1675" t="s">
        <v>6101</v>
      </c>
      <c r="P1675" t="s">
        <v>6109</v>
      </c>
      <c r="Q1675">
        <v>3</v>
      </c>
      <c r="R1675">
        <v>2026</v>
      </c>
      <c r="S1675" t="s">
        <v>6099</v>
      </c>
      <c r="T1675">
        <v>1</v>
      </c>
      <c r="U1675" t="s">
        <v>6021</v>
      </c>
      <c r="V1675">
        <v>1</v>
      </c>
    </row>
    <row r="1676" spans="1:22" x14ac:dyDescent="0.3">
      <c r="A1676" t="s">
        <v>1691</v>
      </c>
      <c r="B1676" s="2">
        <v>46095.375</v>
      </c>
      <c r="C1676" s="2">
        <v>46100.15</v>
      </c>
      <c r="D1676" t="s">
        <v>6028</v>
      </c>
      <c r="E1676" t="s">
        <v>6030</v>
      </c>
      <c r="F1676" t="s">
        <v>6034</v>
      </c>
      <c r="G1676" t="s">
        <v>6064</v>
      </c>
      <c r="H1676" t="s">
        <v>6096</v>
      </c>
      <c r="I1676">
        <v>24</v>
      </c>
      <c r="J1676">
        <v>114.6</v>
      </c>
      <c r="K1676" t="s">
        <v>6099</v>
      </c>
      <c r="L1676" t="s">
        <v>6100</v>
      </c>
      <c r="M1676" t="s">
        <v>6100</v>
      </c>
      <c r="N1676">
        <v>5</v>
      </c>
      <c r="O1676" t="s">
        <v>6101</v>
      </c>
      <c r="P1676" t="s">
        <v>6109</v>
      </c>
      <c r="Q1676">
        <v>3</v>
      </c>
      <c r="R1676">
        <v>2026</v>
      </c>
      <c r="S1676" t="s">
        <v>6100</v>
      </c>
      <c r="T1676">
        <v>0</v>
      </c>
      <c r="U1676" t="s">
        <v>6018</v>
      </c>
      <c r="V1676">
        <v>1</v>
      </c>
    </row>
    <row r="1677" spans="1:22" x14ac:dyDescent="0.3">
      <c r="A1677" t="s">
        <v>1692</v>
      </c>
      <c r="B1677" s="2">
        <v>46095.382638888892</v>
      </c>
      <c r="C1677" s="2">
        <v>46097.140972222223</v>
      </c>
      <c r="D1677" t="s">
        <v>6026</v>
      </c>
      <c r="E1677" t="s">
        <v>6031</v>
      </c>
      <c r="F1677" t="s">
        <v>6034</v>
      </c>
      <c r="G1677" t="s">
        <v>6068</v>
      </c>
      <c r="H1677" t="s">
        <v>6098</v>
      </c>
      <c r="I1677">
        <v>24</v>
      </c>
      <c r="J1677">
        <v>42.2</v>
      </c>
      <c r="K1677" t="s">
        <v>6099</v>
      </c>
      <c r="L1677" t="s">
        <v>6100</v>
      </c>
      <c r="M1677" t="s">
        <v>6100</v>
      </c>
      <c r="O1677" t="s">
        <v>6101</v>
      </c>
      <c r="P1677" t="s">
        <v>6109</v>
      </c>
      <c r="Q1677">
        <v>3</v>
      </c>
      <c r="R1677">
        <v>2026</v>
      </c>
      <c r="S1677" t="s">
        <v>6100</v>
      </c>
      <c r="T1677">
        <v>0</v>
      </c>
      <c r="U1677" t="s">
        <v>6017</v>
      </c>
      <c r="V1677">
        <v>1</v>
      </c>
    </row>
    <row r="1678" spans="1:22" x14ac:dyDescent="0.3">
      <c r="A1678" t="s">
        <v>1693</v>
      </c>
      <c r="B1678" s="2">
        <v>46095.400694444441</v>
      </c>
      <c r="C1678" s="2">
        <v>46095.688194444447</v>
      </c>
      <c r="D1678" t="s">
        <v>6028</v>
      </c>
      <c r="E1678" t="s">
        <v>6029</v>
      </c>
      <c r="F1678" t="s">
        <v>6034</v>
      </c>
      <c r="G1678" t="s">
        <v>6057</v>
      </c>
      <c r="H1678" t="s">
        <v>6097</v>
      </c>
      <c r="I1678">
        <v>24</v>
      </c>
      <c r="J1678">
        <v>6.9</v>
      </c>
      <c r="K1678" t="s">
        <v>6099</v>
      </c>
      <c r="L1678" t="s">
        <v>6100</v>
      </c>
      <c r="M1678" t="s">
        <v>6100</v>
      </c>
      <c r="O1678" t="s">
        <v>6101</v>
      </c>
      <c r="P1678" t="s">
        <v>6109</v>
      </c>
      <c r="Q1678">
        <v>3</v>
      </c>
      <c r="R1678">
        <v>2026</v>
      </c>
      <c r="S1678" t="s">
        <v>6099</v>
      </c>
      <c r="T1678">
        <v>1</v>
      </c>
      <c r="U1678" t="s">
        <v>6019</v>
      </c>
      <c r="V1678">
        <v>1</v>
      </c>
    </row>
    <row r="1679" spans="1:22" x14ac:dyDescent="0.3">
      <c r="A1679" t="s">
        <v>1694</v>
      </c>
      <c r="B1679" s="2">
        <v>46095.447222222225</v>
      </c>
      <c r="C1679" s="2">
        <v>46098.193055555559</v>
      </c>
      <c r="D1679" t="s">
        <v>6026</v>
      </c>
      <c r="E1679" t="s">
        <v>6031</v>
      </c>
      <c r="F1679" t="s">
        <v>6033</v>
      </c>
      <c r="G1679" t="s">
        <v>6066</v>
      </c>
      <c r="H1679" t="s">
        <v>6096</v>
      </c>
      <c r="I1679">
        <v>72</v>
      </c>
      <c r="J1679">
        <v>65.900000000000006</v>
      </c>
      <c r="K1679" t="s">
        <v>6099</v>
      </c>
      <c r="L1679" t="s">
        <v>6100</v>
      </c>
      <c r="M1679" t="s">
        <v>6100</v>
      </c>
      <c r="N1679">
        <v>5</v>
      </c>
      <c r="O1679" t="s">
        <v>6101</v>
      </c>
      <c r="P1679" t="s">
        <v>6109</v>
      </c>
      <c r="Q1679">
        <v>3</v>
      </c>
      <c r="R1679">
        <v>2026</v>
      </c>
      <c r="S1679" t="s">
        <v>6099</v>
      </c>
      <c r="T1679">
        <v>1</v>
      </c>
      <c r="U1679" t="s">
        <v>6019</v>
      </c>
      <c r="V1679">
        <v>1</v>
      </c>
    </row>
    <row r="1680" spans="1:22" x14ac:dyDescent="0.3">
      <c r="A1680" t="s">
        <v>1695</v>
      </c>
      <c r="B1680" s="2">
        <v>46095.458333333336</v>
      </c>
      <c r="C1680" s="2">
        <v>46096.304166666669</v>
      </c>
      <c r="D1680" t="s">
        <v>6028</v>
      </c>
      <c r="E1680" t="s">
        <v>6029</v>
      </c>
      <c r="F1680" t="s">
        <v>6035</v>
      </c>
      <c r="G1680" t="s">
        <v>6080</v>
      </c>
      <c r="H1680" t="s">
        <v>6096</v>
      </c>
      <c r="I1680">
        <v>4</v>
      </c>
      <c r="J1680">
        <v>20.3</v>
      </c>
      <c r="K1680" t="s">
        <v>6100</v>
      </c>
      <c r="L1680" t="s">
        <v>6099</v>
      </c>
      <c r="M1680" t="s">
        <v>6100</v>
      </c>
      <c r="O1680" t="s">
        <v>6101</v>
      </c>
      <c r="P1680" t="s">
        <v>6109</v>
      </c>
      <c r="Q1680">
        <v>3</v>
      </c>
      <c r="R1680">
        <v>2026</v>
      </c>
      <c r="S1680" t="s">
        <v>6100</v>
      </c>
      <c r="T1680">
        <v>0</v>
      </c>
      <c r="U1680" t="s">
        <v>6018</v>
      </c>
      <c r="V1680">
        <v>0</v>
      </c>
    </row>
    <row r="1681" spans="1:22" x14ac:dyDescent="0.3">
      <c r="A1681" t="s">
        <v>1696</v>
      </c>
      <c r="B1681" s="2">
        <v>46095.5</v>
      </c>
      <c r="C1681" s="2">
        <v>46097.987500000003</v>
      </c>
      <c r="D1681" t="s">
        <v>6028</v>
      </c>
      <c r="E1681" t="s">
        <v>6029</v>
      </c>
      <c r="F1681" t="s">
        <v>6035</v>
      </c>
      <c r="G1681" t="s">
        <v>6090</v>
      </c>
      <c r="H1681" t="s">
        <v>6097</v>
      </c>
      <c r="I1681">
        <v>4</v>
      </c>
      <c r="J1681">
        <v>59.7</v>
      </c>
      <c r="K1681" t="s">
        <v>6099</v>
      </c>
      <c r="L1681" t="s">
        <v>6100</v>
      </c>
      <c r="M1681" t="s">
        <v>6100</v>
      </c>
      <c r="N1681">
        <v>5</v>
      </c>
      <c r="O1681" t="s">
        <v>6101</v>
      </c>
      <c r="P1681" t="s">
        <v>6109</v>
      </c>
      <c r="Q1681">
        <v>3</v>
      </c>
      <c r="R1681">
        <v>2026</v>
      </c>
      <c r="S1681" t="s">
        <v>6100</v>
      </c>
      <c r="T1681">
        <v>0</v>
      </c>
      <c r="U1681" t="s">
        <v>6018</v>
      </c>
      <c r="V1681">
        <v>1</v>
      </c>
    </row>
    <row r="1682" spans="1:22" x14ac:dyDescent="0.3">
      <c r="A1682" t="s">
        <v>1697</v>
      </c>
      <c r="B1682" s="2">
        <v>46095.5</v>
      </c>
      <c r="C1682" s="2">
        <v>46098.466666666667</v>
      </c>
      <c r="D1682" t="s">
        <v>6028</v>
      </c>
      <c r="E1682" t="s">
        <v>6031</v>
      </c>
      <c r="F1682" t="s">
        <v>6034</v>
      </c>
      <c r="G1682" t="s">
        <v>6065</v>
      </c>
      <c r="H1682" t="s">
        <v>6097</v>
      </c>
      <c r="I1682">
        <v>24</v>
      </c>
      <c r="J1682">
        <v>71.2</v>
      </c>
      <c r="K1682" t="s">
        <v>6100</v>
      </c>
      <c r="L1682" t="s">
        <v>6099</v>
      </c>
      <c r="M1682" t="s">
        <v>6100</v>
      </c>
      <c r="O1682" t="s">
        <v>6101</v>
      </c>
      <c r="P1682" t="s">
        <v>6109</v>
      </c>
      <c r="Q1682">
        <v>3</v>
      </c>
      <c r="R1682">
        <v>2026</v>
      </c>
      <c r="S1682" t="s">
        <v>6100</v>
      </c>
      <c r="T1682">
        <v>0</v>
      </c>
      <c r="U1682" t="s">
        <v>6018</v>
      </c>
      <c r="V1682">
        <v>0</v>
      </c>
    </row>
    <row r="1683" spans="1:22" x14ac:dyDescent="0.3">
      <c r="A1683" t="s">
        <v>1698</v>
      </c>
      <c r="B1683" s="2">
        <v>46095.539583333331</v>
      </c>
      <c r="C1683" s="2">
        <v>46096.727083333331</v>
      </c>
      <c r="D1683" t="s">
        <v>6025</v>
      </c>
      <c r="E1683" t="s">
        <v>6032</v>
      </c>
      <c r="F1683" t="s">
        <v>6034</v>
      </c>
      <c r="G1683" t="s">
        <v>6088</v>
      </c>
      <c r="H1683" t="s">
        <v>6097</v>
      </c>
      <c r="I1683">
        <v>24</v>
      </c>
      <c r="J1683">
        <v>28.5</v>
      </c>
      <c r="K1683" t="s">
        <v>6099</v>
      </c>
      <c r="L1683" t="s">
        <v>6100</v>
      </c>
      <c r="M1683" t="s">
        <v>6100</v>
      </c>
      <c r="O1683" t="s">
        <v>6101</v>
      </c>
      <c r="P1683" t="s">
        <v>6109</v>
      </c>
      <c r="Q1683">
        <v>3</v>
      </c>
      <c r="R1683">
        <v>2026</v>
      </c>
      <c r="S1683" t="s">
        <v>6100</v>
      </c>
      <c r="T1683">
        <v>0</v>
      </c>
      <c r="U1683" t="s">
        <v>6018</v>
      </c>
      <c r="V1683">
        <v>1</v>
      </c>
    </row>
    <row r="1684" spans="1:22" x14ac:dyDescent="0.3">
      <c r="A1684" t="s">
        <v>1699</v>
      </c>
      <c r="B1684" s="2">
        <v>46095.541666666664</v>
      </c>
      <c r="C1684" s="2">
        <v>46095.9</v>
      </c>
      <c r="D1684" t="s">
        <v>6028</v>
      </c>
      <c r="E1684" t="s">
        <v>6029</v>
      </c>
      <c r="F1684" t="s">
        <v>6035</v>
      </c>
      <c r="G1684" t="s">
        <v>6055</v>
      </c>
      <c r="H1684" t="s">
        <v>6096</v>
      </c>
      <c r="I1684">
        <v>4</v>
      </c>
      <c r="J1684">
        <v>8.6</v>
      </c>
      <c r="K1684" t="s">
        <v>6099</v>
      </c>
      <c r="L1684" t="s">
        <v>6100</v>
      </c>
      <c r="M1684" t="s">
        <v>6099</v>
      </c>
      <c r="N1684">
        <v>5</v>
      </c>
      <c r="O1684" t="s">
        <v>6101</v>
      </c>
      <c r="P1684" t="s">
        <v>6109</v>
      </c>
      <c r="Q1684">
        <v>3</v>
      </c>
      <c r="R1684">
        <v>2026</v>
      </c>
      <c r="S1684" t="s">
        <v>6100</v>
      </c>
      <c r="T1684">
        <v>0</v>
      </c>
      <c r="U1684" t="s">
        <v>6018</v>
      </c>
      <c r="V1684">
        <v>1</v>
      </c>
    </row>
    <row r="1685" spans="1:22" x14ac:dyDescent="0.3">
      <c r="A1685" t="s">
        <v>1700</v>
      </c>
      <c r="B1685" s="2">
        <v>46095.541666666664</v>
      </c>
      <c r="C1685" s="2">
        <v>46101.533333333333</v>
      </c>
      <c r="D1685" t="s">
        <v>6028</v>
      </c>
      <c r="E1685" t="s">
        <v>6031</v>
      </c>
      <c r="F1685" t="s">
        <v>6035</v>
      </c>
      <c r="G1685" t="s">
        <v>6092</v>
      </c>
      <c r="H1685" t="s">
        <v>6097</v>
      </c>
      <c r="I1685">
        <v>4</v>
      </c>
      <c r="J1685">
        <v>143.80000000000001</v>
      </c>
      <c r="K1685" t="s">
        <v>6100</v>
      </c>
      <c r="L1685" t="s">
        <v>6099</v>
      </c>
      <c r="M1685" t="s">
        <v>6099</v>
      </c>
      <c r="N1685">
        <v>3</v>
      </c>
      <c r="O1685" t="s">
        <v>6101</v>
      </c>
      <c r="P1685" t="s">
        <v>6109</v>
      </c>
      <c r="Q1685">
        <v>3</v>
      </c>
      <c r="R1685">
        <v>2026</v>
      </c>
      <c r="S1685" t="s">
        <v>6100</v>
      </c>
      <c r="T1685">
        <v>0</v>
      </c>
      <c r="U1685" t="s">
        <v>6018</v>
      </c>
      <c r="V1685">
        <v>0</v>
      </c>
    </row>
    <row r="1686" spans="1:22" x14ac:dyDescent="0.3">
      <c r="A1686" t="s">
        <v>1701</v>
      </c>
      <c r="B1686" s="2">
        <v>46095.541666666664</v>
      </c>
      <c r="C1686" s="2">
        <v>46096.058333333334</v>
      </c>
      <c r="D1686" t="s">
        <v>6028</v>
      </c>
      <c r="E1686" t="s">
        <v>6029</v>
      </c>
      <c r="F1686" t="s">
        <v>6033</v>
      </c>
      <c r="G1686" t="s">
        <v>6074</v>
      </c>
      <c r="H1686" t="s">
        <v>6098</v>
      </c>
      <c r="I1686">
        <v>72</v>
      </c>
      <c r="J1686">
        <v>12.4</v>
      </c>
      <c r="K1686" t="s">
        <v>6099</v>
      </c>
      <c r="L1686" t="s">
        <v>6100</v>
      </c>
      <c r="M1686" t="s">
        <v>6100</v>
      </c>
      <c r="N1686">
        <v>5</v>
      </c>
      <c r="O1686" t="s">
        <v>6101</v>
      </c>
      <c r="P1686" t="s">
        <v>6109</v>
      </c>
      <c r="Q1686">
        <v>3</v>
      </c>
      <c r="R1686">
        <v>2026</v>
      </c>
      <c r="S1686" t="s">
        <v>6099</v>
      </c>
      <c r="T1686">
        <v>1</v>
      </c>
      <c r="U1686" t="s">
        <v>6018</v>
      </c>
      <c r="V1686">
        <v>1</v>
      </c>
    </row>
    <row r="1687" spans="1:22" x14ac:dyDescent="0.3">
      <c r="A1687" t="s">
        <v>1702</v>
      </c>
      <c r="B1687" s="2">
        <v>46095.544444444444</v>
      </c>
      <c r="C1687" s="2">
        <v>46095.831944444442</v>
      </c>
      <c r="D1687" t="s">
        <v>6028</v>
      </c>
      <c r="E1687" t="s">
        <v>6029</v>
      </c>
      <c r="F1687" t="s">
        <v>6035</v>
      </c>
      <c r="G1687" t="s">
        <v>6071</v>
      </c>
      <c r="H1687" t="s">
        <v>6098</v>
      </c>
      <c r="I1687">
        <v>4</v>
      </c>
      <c r="J1687">
        <v>6.9</v>
      </c>
      <c r="K1687" t="s">
        <v>6100</v>
      </c>
      <c r="L1687" t="s">
        <v>6099</v>
      </c>
      <c r="M1687" t="s">
        <v>6099</v>
      </c>
      <c r="O1687" t="s">
        <v>6101</v>
      </c>
      <c r="P1687" t="s">
        <v>6109</v>
      </c>
      <c r="Q1687">
        <v>3</v>
      </c>
      <c r="R1687">
        <v>2026</v>
      </c>
      <c r="S1687" t="s">
        <v>6100</v>
      </c>
      <c r="T1687">
        <v>0</v>
      </c>
      <c r="U1687" t="s">
        <v>6021</v>
      </c>
      <c r="V1687">
        <v>0</v>
      </c>
    </row>
    <row r="1688" spans="1:22" x14ac:dyDescent="0.3">
      <c r="A1688" t="s">
        <v>1703</v>
      </c>
      <c r="B1688" s="2">
        <v>46095.556944444441</v>
      </c>
      <c r="C1688" s="2">
        <v>46095.81527777778</v>
      </c>
      <c r="D1688" t="s">
        <v>6023</v>
      </c>
      <c r="E1688" t="s">
        <v>6030</v>
      </c>
      <c r="F1688" t="s">
        <v>6033</v>
      </c>
      <c r="G1688" t="s">
        <v>6059</v>
      </c>
      <c r="H1688" t="s">
        <v>6097</v>
      </c>
      <c r="I1688">
        <v>72</v>
      </c>
      <c r="J1688">
        <v>6.2</v>
      </c>
      <c r="K1688" t="s">
        <v>6100</v>
      </c>
      <c r="L1688" t="s">
        <v>6099</v>
      </c>
      <c r="M1688" t="s">
        <v>6100</v>
      </c>
      <c r="O1688" t="s">
        <v>6101</v>
      </c>
      <c r="P1688" t="s">
        <v>6109</v>
      </c>
      <c r="Q1688">
        <v>3</v>
      </c>
      <c r="R1688">
        <v>2026</v>
      </c>
      <c r="S1688" t="s">
        <v>6099</v>
      </c>
      <c r="T1688">
        <v>1</v>
      </c>
      <c r="U1688" t="s">
        <v>6019</v>
      </c>
      <c r="V1688">
        <v>0</v>
      </c>
    </row>
    <row r="1689" spans="1:22" x14ac:dyDescent="0.3">
      <c r="A1689" t="s">
        <v>1704</v>
      </c>
      <c r="B1689" s="2">
        <v>46095.563194444447</v>
      </c>
      <c r="C1689" s="2">
        <v>46098.163194444445</v>
      </c>
      <c r="D1689" t="s">
        <v>6028</v>
      </c>
      <c r="E1689" t="s">
        <v>6031</v>
      </c>
      <c r="F1689" t="s">
        <v>6035</v>
      </c>
      <c r="G1689" t="s">
        <v>6048</v>
      </c>
      <c r="H1689" t="s">
        <v>6096</v>
      </c>
      <c r="I1689">
        <v>4</v>
      </c>
      <c r="J1689">
        <v>62.4</v>
      </c>
      <c r="K1689" t="s">
        <v>6100</v>
      </c>
      <c r="L1689" t="s">
        <v>6099</v>
      </c>
      <c r="M1689" t="s">
        <v>6100</v>
      </c>
      <c r="O1689" t="s">
        <v>6101</v>
      </c>
      <c r="P1689" t="s">
        <v>6109</v>
      </c>
      <c r="Q1689">
        <v>3</v>
      </c>
      <c r="R1689">
        <v>2026</v>
      </c>
      <c r="S1689" t="s">
        <v>6100</v>
      </c>
      <c r="T1689">
        <v>0</v>
      </c>
      <c r="U1689" t="s">
        <v>6021</v>
      </c>
      <c r="V1689">
        <v>0</v>
      </c>
    </row>
    <row r="1690" spans="1:22" x14ac:dyDescent="0.3">
      <c r="A1690" t="s">
        <v>1705</v>
      </c>
      <c r="B1690" s="2">
        <v>46095.575694444444</v>
      </c>
      <c r="C1690" s="2">
        <v>46098.454861111109</v>
      </c>
      <c r="D1690" t="s">
        <v>6024</v>
      </c>
      <c r="E1690" t="s">
        <v>6031</v>
      </c>
      <c r="F1690" t="s">
        <v>6035</v>
      </c>
      <c r="G1690" t="s">
        <v>6056</v>
      </c>
      <c r="H1690" t="s">
        <v>6098</v>
      </c>
      <c r="I1690">
        <v>4</v>
      </c>
      <c r="J1690">
        <v>69.099999999999994</v>
      </c>
      <c r="K1690" t="s">
        <v>6099</v>
      </c>
      <c r="L1690" t="s">
        <v>6100</v>
      </c>
      <c r="M1690" t="s">
        <v>6100</v>
      </c>
      <c r="O1690" t="s">
        <v>6101</v>
      </c>
      <c r="P1690" t="s">
        <v>6109</v>
      </c>
      <c r="Q1690">
        <v>3</v>
      </c>
      <c r="R1690">
        <v>2026</v>
      </c>
      <c r="S1690" t="s">
        <v>6100</v>
      </c>
      <c r="T1690">
        <v>0</v>
      </c>
      <c r="U1690" t="s">
        <v>6019</v>
      </c>
      <c r="V1690">
        <v>1</v>
      </c>
    </row>
    <row r="1691" spans="1:22" x14ac:dyDescent="0.3">
      <c r="A1691" t="s">
        <v>1706</v>
      </c>
      <c r="B1691" s="2">
        <v>46095.57708333333</v>
      </c>
      <c r="C1691" s="2">
        <v>46100.631249999999</v>
      </c>
      <c r="D1691" t="s">
        <v>6025</v>
      </c>
      <c r="E1691" t="s">
        <v>6031</v>
      </c>
      <c r="F1691" t="s">
        <v>6033</v>
      </c>
      <c r="G1691" t="s">
        <v>6089</v>
      </c>
      <c r="H1691" t="s">
        <v>6098</v>
      </c>
      <c r="I1691">
        <v>72</v>
      </c>
      <c r="J1691">
        <v>121.3</v>
      </c>
      <c r="K1691" t="s">
        <v>6100</v>
      </c>
      <c r="L1691" t="s">
        <v>6099</v>
      </c>
      <c r="M1691" t="s">
        <v>6100</v>
      </c>
      <c r="O1691" t="s">
        <v>6101</v>
      </c>
      <c r="P1691" t="s">
        <v>6109</v>
      </c>
      <c r="Q1691">
        <v>3</v>
      </c>
      <c r="R1691">
        <v>2026</v>
      </c>
      <c r="S1691" t="s">
        <v>6100</v>
      </c>
      <c r="T1691">
        <v>0</v>
      </c>
      <c r="U1691" t="s">
        <v>6019</v>
      </c>
      <c r="V1691">
        <v>0</v>
      </c>
    </row>
    <row r="1692" spans="1:22" x14ac:dyDescent="0.3">
      <c r="A1692" t="s">
        <v>1707</v>
      </c>
      <c r="B1692" s="2">
        <v>46095.583333333336</v>
      </c>
      <c r="C1692" s="2">
        <v>46096.870833333334</v>
      </c>
      <c r="D1692" t="s">
        <v>6028</v>
      </c>
      <c r="E1692" t="s">
        <v>6029</v>
      </c>
      <c r="F1692" t="s">
        <v>6034</v>
      </c>
      <c r="G1692" t="s">
        <v>6055</v>
      </c>
      <c r="H1692" t="s">
        <v>6096</v>
      </c>
      <c r="I1692">
        <v>24</v>
      </c>
      <c r="J1692">
        <v>30.9</v>
      </c>
      <c r="K1692" t="s">
        <v>6100</v>
      </c>
      <c r="L1692" t="s">
        <v>6100</v>
      </c>
      <c r="M1692" t="s">
        <v>6100</v>
      </c>
      <c r="N1692">
        <v>4</v>
      </c>
      <c r="O1692" t="s">
        <v>6101</v>
      </c>
      <c r="P1692" t="s">
        <v>6109</v>
      </c>
      <c r="Q1692">
        <v>3</v>
      </c>
      <c r="R1692">
        <v>2026</v>
      </c>
      <c r="S1692" t="s">
        <v>6100</v>
      </c>
      <c r="T1692">
        <v>0</v>
      </c>
      <c r="U1692" t="s">
        <v>6018</v>
      </c>
      <c r="V1692">
        <v>0</v>
      </c>
    </row>
    <row r="1693" spans="1:22" x14ac:dyDescent="0.3">
      <c r="A1693" t="s">
        <v>1708</v>
      </c>
      <c r="B1693" s="2">
        <v>46095.583333333336</v>
      </c>
      <c r="C1693" s="2">
        <v>46096.595833333333</v>
      </c>
      <c r="D1693" t="s">
        <v>6028</v>
      </c>
      <c r="E1693" t="s">
        <v>6029</v>
      </c>
      <c r="F1693" t="s">
        <v>6034</v>
      </c>
      <c r="G1693" t="s">
        <v>6050</v>
      </c>
      <c r="H1693" t="s">
        <v>6098</v>
      </c>
      <c r="I1693">
        <v>24</v>
      </c>
      <c r="J1693">
        <v>24.3</v>
      </c>
      <c r="K1693" t="s">
        <v>6099</v>
      </c>
      <c r="L1693" t="s">
        <v>6100</v>
      </c>
      <c r="M1693" t="s">
        <v>6100</v>
      </c>
      <c r="N1693">
        <v>3</v>
      </c>
      <c r="O1693" t="s">
        <v>6101</v>
      </c>
      <c r="P1693" t="s">
        <v>6109</v>
      </c>
      <c r="Q1693">
        <v>3</v>
      </c>
      <c r="R1693">
        <v>2026</v>
      </c>
      <c r="S1693" t="s">
        <v>6100</v>
      </c>
      <c r="T1693">
        <v>0</v>
      </c>
      <c r="U1693" t="s">
        <v>6018</v>
      </c>
      <c r="V1693">
        <v>1</v>
      </c>
    </row>
    <row r="1694" spans="1:22" x14ac:dyDescent="0.3">
      <c r="A1694" t="s">
        <v>1709</v>
      </c>
      <c r="B1694" s="2">
        <v>46095.583333333336</v>
      </c>
      <c r="C1694" s="2">
        <v>46100.01666666667</v>
      </c>
      <c r="D1694" t="s">
        <v>6028</v>
      </c>
      <c r="E1694" t="s">
        <v>6031</v>
      </c>
      <c r="F1694" t="s">
        <v>6034</v>
      </c>
      <c r="G1694" t="s">
        <v>6050</v>
      </c>
      <c r="H1694" t="s">
        <v>6098</v>
      </c>
      <c r="I1694">
        <v>24</v>
      </c>
      <c r="J1694">
        <v>106.4</v>
      </c>
      <c r="K1694" t="s">
        <v>6099</v>
      </c>
      <c r="L1694" t="s">
        <v>6100</v>
      </c>
      <c r="M1694" t="s">
        <v>6099</v>
      </c>
      <c r="O1694" t="s">
        <v>6101</v>
      </c>
      <c r="P1694" t="s">
        <v>6109</v>
      </c>
      <c r="Q1694">
        <v>3</v>
      </c>
      <c r="R1694">
        <v>2026</v>
      </c>
      <c r="S1694" t="s">
        <v>6100</v>
      </c>
      <c r="T1694">
        <v>0</v>
      </c>
      <c r="U1694" t="s">
        <v>6018</v>
      </c>
      <c r="V1694">
        <v>1</v>
      </c>
    </row>
    <row r="1695" spans="1:22" x14ac:dyDescent="0.3">
      <c r="A1695" t="s">
        <v>1710</v>
      </c>
      <c r="B1695" s="2">
        <v>46095.603472222225</v>
      </c>
      <c r="C1695" s="2">
        <v>46096.053472222222</v>
      </c>
      <c r="D1695" t="s">
        <v>6023</v>
      </c>
      <c r="E1695" t="s">
        <v>6029</v>
      </c>
      <c r="F1695" t="s">
        <v>6034</v>
      </c>
      <c r="G1695" t="s">
        <v>6068</v>
      </c>
      <c r="H1695" t="s">
        <v>6098</v>
      </c>
      <c r="I1695">
        <v>24</v>
      </c>
      <c r="J1695">
        <v>10.8</v>
      </c>
      <c r="K1695" t="s">
        <v>6099</v>
      </c>
      <c r="L1695" t="s">
        <v>6100</v>
      </c>
      <c r="M1695" t="s">
        <v>6100</v>
      </c>
      <c r="N1695">
        <v>5</v>
      </c>
      <c r="O1695" t="s">
        <v>6101</v>
      </c>
      <c r="P1695" t="s">
        <v>6109</v>
      </c>
      <c r="Q1695">
        <v>3</v>
      </c>
      <c r="R1695">
        <v>2026</v>
      </c>
      <c r="S1695" t="s">
        <v>6099</v>
      </c>
      <c r="T1695">
        <v>1</v>
      </c>
      <c r="U1695" t="s">
        <v>6017</v>
      </c>
      <c r="V1695">
        <v>1</v>
      </c>
    </row>
    <row r="1696" spans="1:22" x14ac:dyDescent="0.3">
      <c r="A1696" t="s">
        <v>1711</v>
      </c>
      <c r="B1696" s="2">
        <v>46095.625</v>
      </c>
      <c r="C1696" s="2">
        <v>46096.787499999999</v>
      </c>
      <c r="D1696" t="s">
        <v>6028</v>
      </c>
      <c r="E1696" t="s">
        <v>6029</v>
      </c>
      <c r="F1696" t="s">
        <v>6035</v>
      </c>
      <c r="G1696" t="s">
        <v>6080</v>
      </c>
      <c r="H1696" t="s">
        <v>6096</v>
      </c>
      <c r="I1696">
        <v>4</v>
      </c>
      <c r="J1696">
        <v>27.9</v>
      </c>
      <c r="K1696" t="s">
        <v>6100</v>
      </c>
      <c r="L1696" t="s">
        <v>6100</v>
      </c>
      <c r="M1696" t="s">
        <v>6100</v>
      </c>
      <c r="N1696">
        <v>3</v>
      </c>
      <c r="O1696" t="s">
        <v>6101</v>
      </c>
      <c r="P1696" t="s">
        <v>6109</v>
      </c>
      <c r="Q1696">
        <v>3</v>
      </c>
      <c r="R1696">
        <v>2026</v>
      </c>
      <c r="S1696" t="s">
        <v>6100</v>
      </c>
      <c r="T1696">
        <v>0</v>
      </c>
      <c r="U1696" t="s">
        <v>6018</v>
      </c>
      <c r="V1696">
        <v>0</v>
      </c>
    </row>
    <row r="1697" spans="1:22" x14ac:dyDescent="0.3">
      <c r="A1697" t="s">
        <v>1712</v>
      </c>
      <c r="B1697" s="2">
        <v>46095.625</v>
      </c>
      <c r="C1697" s="2">
        <v>46096.787499999999</v>
      </c>
      <c r="D1697" t="s">
        <v>6028</v>
      </c>
      <c r="E1697" t="s">
        <v>6031</v>
      </c>
      <c r="F1697" t="s">
        <v>6035</v>
      </c>
      <c r="G1697" t="s">
        <v>6052</v>
      </c>
      <c r="H1697" t="s">
        <v>6098</v>
      </c>
      <c r="I1697">
        <v>4</v>
      </c>
      <c r="J1697">
        <v>27.9</v>
      </c>
      <c r="K1697" t="s">
        <v>6099</v>
      </c>
      <c r="L1697" t="s">
        <v>6100</v>
      </c>
      <c r="M1697" t="s">
        <v>6099</v>
      </c>
      <c r="O1697" t="s">
        <v>6101</v>
      </c>
      <c r="P1697" t="s">
        <v>6109</v>
      </c>
      <c r="Q1697">
        <v>3</v>
      </c>
      <c r="R1697">
        <v>2026</v>
      </c>
      <c r="S1697" t="s">
        <v>6100</v>
      </c>
      <c r="T1697">
        <v>0</v>
      </c>
      <c r="U1697" t="s">
        <v>6018</v>
      </c>
      <c r="V1697">
        <v>1</v>
      </c>
    </row>
    <row r="1698" spans="1:22" x14ac:dyDescent="0.3">
      <c r="A1698" t="s">
        <v>1713</v>
      </c>
      <c r="B1698" s="2">
        <v>46095.625</v>
      </c>
      <c r="C1698" s="2">
        <v>46096.566666666666</v>
      </c>
      <c r="D1698" t="s">
        <v>6028</v>
      </c>
      <c r="E1698" t="s">
        <v>6030</v>
      </c>
      <c r="F1698" t="s">
        <v>6035</v>
      </c>
      <c r="G1698" t="s">
        <v>6077</v>
      </c>
      <c r="H1698" t="s">
        <v>6098</v>
      </c>
      <c r="I1698">
        <v>4</v>
      </c>
      <c r="J1698">
        <v>22.6</v>
      </c>
      <c r="K1698" t="s">
        <v>6099</v>
      </c>
      <c r="L1698" t="s">
        <v>6100</v>
      </c>
      <c r="M1698" t="s">
        <v>6100</v>
      </c>
      <c r="N1698">
        <v>2</v>
      </c>
      <c r="O1698" t="s">
        <v>6101</v>
      </c>
      <c r="P1698" t="s">
        <v>6109</v>
      </c>
      <c r="Q1698">
        <v>3</v>
      </c>
      <c r="R1698">
        <v>2026</v>
      </c>
      <c r="S1698" t="s">
        <v>6100</v>
      </c>
      <c r="T1698">
        <v>0</v>
      </c>
      <c r="U1698" t="s">
        <v>6018</v>
      </c>
      <c r="V1698">
        <v>1</v>
      </c>
    </row>
    <row r="1699" spans="1:22" x14ac:dyDescent="0.3">
      <c r="A1699" t="s">
        <v>1714</v>
      </c>
      <c r="B1699" s="2">
        <v>46095.628472222219</v>
      </c>
      <c r="C1699" s="2">
        <v>46096.311805555553</v>
      </c>
      <c r="D1699" t="s">
        <v>6027</v>
      </c>
      <c r="E1699" t="s">
        <v>6031</v>
      </c>
      <c r="F1699" t="s">
        <v>6033</v>
      </c>
      <c r="G1699" t="s">
        <v>6074</v>
      </c>
      <c r="H1699" t="s">
        <v>6098</v>
      </c>
      <c r="I1699">
        <v>72</v>
      </c>
      <c r="J1699">
        <v>16.399999999999999</v>
      </c>
      <c r="K1699" t="s">
        <v>6100</v>
      </c>
      <c r="L1699" t="s">
        <v>6100</v>
      </c>
      <c r="M1699" t="s">
        <v>6100</v>
      </c>
      <c r="N1699">
        <v>3</v>
      </c>
      <c r="O1699" t="s">
        <v>6101</v>
      </c>
      <c r="P1699" t="s">
        <v>6109</v>
      </c>
      <c r="Q1699">
        <v>3</v>
      </c>
      <c r="R1699">
        <v>2026</v>
      </c>
      <c r="S1699" t="s">
        <v>6099</v>
      </c>
      <c r="T1699">
        <v>1</v>
      </c>
      <c r="U1699" t="s">
        <v>6019</v>
      </c>
      <c r="V1699">
        <v>0</v>
      </c>
    </row>
    <row r="1700" spans="1:22" x14ac:dyDescent="0.3">
      <c r="A1700" t="s">
        <v>1715</v>
      </c>
      <c r="B1700" s="2">
        <v>46095.642361111109</v>
      </c>
      <c r="C1700" s="2">
        <v>46102.234027777777</v>
      </c>
      <c r="D1700" t="s">
        <v>6026</v>
      </c>
      <c r="E1700" t="s">
        <v>6031</v>
      </c>
      <c r="F1700" t="s">
        <v>6035</v>
      </c>
      <c r="G1700" t="s">
        <v>6075</v>
      </c>
      <c r="H1700" t="s">
        <v>6097</v>
      </c>
      <c r="I1700">
        <v>4</v>
      </c>
      <c r="J1700">
        <v>158.19999999999999</v>
      </c>
      <c r="K1700" t="s">
        <v>6100</v>
      </c>
      <c r="L1700" t="s">
        <v>6099</v>
      </c>
      <c r="M1700" t="s">
        <v>6099</v>
      </c>
      <c r="O1700" t="s">
        <v>6101</v>
      </c>
      <c r="P1700" t="s">
        <v>6109</v>
      </c>
      <c r="Q1700">
        <v>3</v>
      </c>
      <c r="R1700">
        <v>2026</v>
      </c>
      <c r="S1700" t="s">
        <v>6100</v>
      </c>
      <c r="T1700">
        <v>0</v>
      </c>
      <c r="U1700" t="s">
        <v>6021</v>
      </c>
      <c r="V1700">
        <v>0</v>
      </c>
    </row>
    <row r="1701" spans="1:22" x14ac:dyDescent="0.3">
      <c r="A1701" t="s">
        <v>1716</v>
      </c>
      <c r="B1701" s="2">
        <v>46095.665277777778</v>
      </c>
      <c r="C1701" s="2">
        <v>46098.290277777778</v>
      </c>
      <c r="D1701" t="s">
        <v>6026</v>
      </c>
      <c r="E1701" t="s">
        <v>6031</v>
      </c>
      <c r="F1701" t="s">
        <v>6034</v>
      </c>
      <c r="G1701" t="s">
        <v>6054</v>
      </c>
      <c r="H1701" t="s">
        <v>6096</v>
      </c>
      <c r="I1701">
        <v>24</v>
      </c>
      <c r="J1701">
        <v>63</v>
      </c>
      <c r="K1701" t="s">
        <v>6099</v>
      </c>
      <c r="L1701" t="s">
        <v>6100</v>
      </c>
      <c r="M1701" t="s">
        <v>6100</v>
      </c>
      <c r="O1701" t="s">
        <v>6101</v>
      </c>
      <c r="P1701" t="s">
        <v>6109</v>
      </c>
      <c r="Q1701">
        <v>3</v>
      </c>
      <c r="R1701">
        <v>2026</v>
      </c>
      <c r="S1701" t="s">
        <v>6100</v>
      </c>
      <c r="T1701">
        <v>0</v>
      </c>
      <c r="U1701" t="s">
        <v>6019</v>
      </c>
      <c r="V1701">
        <v>1</v>
      </c>
    </row>
    <row r="1702" spans="1:22" x14ac:dyDescent="0.3">
      <c r="A1702" t="s">
        <v>1717</v>
      </c>
      <c r="B1702" s="2">
        <v>46095.694444444445</v>
      </c>
      <c r="C1702" s="2">
        <v>46095.87777777778</v>
      </c>
      <c r="D1702" t="s">
        <v>6028</v>
      </c>
      <c r="E1702" t="s">
        <v>6029</v>
      </c>
      <c r="F1702" t="s">
        <v>6035</v>
      </c>
      <c r="G1702" t="s">
        <v>6070</v>
      </c>
      <c r="H1702" t="s">
        <v>6097</v>
      </c>
      <c r="I1702">
        <v>4</v>
      </c>
      <c r="J1702">
        <v>4.4000000000000004</v>
      </c>
      <c r="K1702" t="s">
        <v>6099</v>
      </c>
      <c r="L1702" t="s">
        <v>6100</v>
      </c>
      <c r="M1702" t="s">
        <v>6100</v>
      </c>
      <c r="N1702">
        <v>4</v>
      </c>
      <c r="O1702" t="s">
        <v>6101</v>
      </c>
      <c r="P1702" t="s">
        <v>6109</v>
      </c>
      <c r="Q1702">
        <v>3</v>
      </c>
      <c r="R1702">
        <v>2026</v>
      </c>
      <c r="S1702" t="s">
        <v>6100</v>
      </c>
      <c r="T1702">
        <v>0</v>
      </c>
      <c r="U1702" t="s">
        <v>6019</v>
      </c>
      <c r="V1702">
        <v>1</v>
      </c>
    </row>
    <row r="1703" spans="1:22" x14ac:dyDescent="0.3">
      <c r="A1703" t="s">
        <v>1718</v>
      </c>
      <c r="B1703" s="2">
        <v>46095.706250000003</v>
      </c>
      <c r="C1703" s="2">
        <v>46096.57708333333</v>
      </c>
      <c r="D1703" t="s">
        <v>6022</v>
      </c>
      <c r="E1703" t="s">
        <v>6031</v>
      </c>
      <c r="F1703" t="s">
        <v>6035</v>
      </c>
      <c r="G1703" t="s">
        <v>6056</v>
      </c>
      <c r="H1703" t="s">
        <v>6098</v>
      </c>
      <c r="I1703">
        <v>4</v>
      </c>
      <c r="J1703">
        <v>20.9</v>
      </c>
      <c r="K1703" t="s">
        <v>6099</v>
      </c>
      <c r="L1703" t="s">
        <v>6100</v>
      </c>
      <c r="M1703" t="s">
        <v>6100</v>
      </c>
      <c r="N1703">
        <v>4</v>
      </c>
      <c r="O1703" t="s">
        <v>6101</v>
      </c>
      <c r="P1703" t="s">
        <v>6109</v>
      </c>
      <c r="Q1703">
        <v>3</v>
      </c>
      <c r="R1703">
        <v>2026</v>
      </c>
      <c r="S1703" t="s">
        <v>6100</v>
      </c>
      <c r="T1703">
        <v>0</v>
      </c>
      <c r="U1703" t="s">
        <v>6019</v>
      </c>
      <c r="V1703">
        <v>1</v>
      </c>
    </row>
    <row r="1704" spans="1:22" x14ac:dyDescent="0.3">
      <c r="A1704" t="s">
        <v>1719</v>
      </c>
      <c r="B1704" s="2">
        <v>46095.708333333336</v>
      </c>
      <c r="C1704" s="2">
        <v>46105.541666666664</v>
      </c>
      <c r="D1704" t="s">
        <v>6028</v>
      </c>
      <c r="E1704" t="s">
        <v>6031</v>
      </c>
      <c r="F1704" t="s">
        <v>6035</v>
      </c>
      <c r="G1704" t="s">
        <v>6046</v>
      </c>
      <c r="H1704" t="s">
        <v>6098</v>
      </c>
      <c r="I1704">
        <v>4</v>
      </c>
      <c r="J1704">
        <v>236</v>
      </c>
      <c r="K1704" t="s">
        <v>6099</v>
      </c>
      <c r="L1704" t="s">
        <v>6100</v>
      </c>
      <c r="M1704" t="s">
        <v>6100</v>
      </c>
      <c r="N1704">
        <v>3</v>
      </c>
      <c r="O1704" t="s">
        <v>6101</v>
      </c>
      <c r="P1704" t="s">
        <v>6109</v>
      </c>
      <c r="Q1704">
        <v>3</v>
      </c>
      <c r="R1704">
        <v>2026</v>
      </c>
      <c r="S1704" t="s">
        <v>6100</v>
      </c>
      <c r="T1704">
        <v>0</v>
      </c>
      <c r="U1704" t="s">
        <v>6018</v>
      </c>
      <c r="V1704">
        <v>1</v>
      </c>
    </row>
    <row r="1705" spans="1:22" x14ac:dyDescent="0.3">
      <c r="A1705" t="s">
        <v>1720</v>
      </c>
      <c r="B1705" s="2">
        <v>46095.708333333336</v>
      </c>
      <c r="C1705" s="2">
        <v>46111.558333333334</v>
      </c>
      <c r="D1705" t="s">
        <v>6028</v>
      </c>
      <c r="E1705" t="s">
        <v>6031</v>
      </c>
      <c r="F1705" t="s">
        <v>6034</v>
      </c>
      <c r="G1705" t="s">
        <v>6041</v>
      </c>
      <c r="H1705" t="s">
        <v>6096</v>
      </c>
      <c r="I1705">
        <v>24</v>
      </c>
      <c r="J1705">
        <v>380.4</v>
      </c>
      <c r="K1705" t="s">
        <v>6100</v>
      </c>
      <c r="L1705" t="s">
        <v>6099</v>
      </c>
      <c r="M1705" t="s">
        <v>6100</v>
      </c>
      <c r="N1705">
        <v>2</v>
      </c>
      <c r="O1705" t="s">
        <v>6101</v>
      </c>
      <c r="P1705" t="s">
        <v>6109</v>
      </c>
      <c r="Q1705">
        <v>3</v>
      </c>
      <c r="R1705">
        <v>2026</v>
      </c>
      <c r="S1705" t="s">
        <v>6100</v>
      </c>
      <c r="T1705">
        <v>0</v>
      </c>
      <c r="U1705" t="s">
        <v>6018</v>
      </c>
      <c r="V1705">
        <v>0</v>
      </c>
    </row>
    <row r="1706" spans="1:22" x14ac:dyDescent="0.3">
      <c r="A1706" t="s">
        <v>1721</v>
      </c>
      <c r="B1706" s="2">
        <v>46095.708333333336</v>
      </c>
      <c r="C1706" s="2">
        <v>46099.354166666664</v>
      </c>
      <c r="D1706" t="s">
        <v>6028</v>
      </c>
      <c r="E1706" t="s">
        <v>6031</v>
      </c>
      <c r="F1706" t="s">
        <v>6035</v>
      </c>
      <c r="G1706" t="s">
        <v>6072</v>
      </c>
      <c r="H1706" t="s">
        <v>6097</v>
      </c>
      <c r="I1706">
        <v>4</v>
      </c>
      <c r="J1706">
        <v>87.5</v>
      </c>
      <c r="K1706" t="s">
        <v>6100</v>
      </c>
      <c r="L1706" t="s">
        <v>6100</v>
      </c>
      <c r="M1706" t="s">
        <v>6100</v>
      </c>
      <c r="N1706">
        <v>3</v>
      </c>
      <c r="O1706" t="s">
        <v>6101</v>
      </c>
      <c r="P1706" t="s">
        <v>6109</v>
      </c>
      <c r="Q1706">
        <v>3</v>
      </c>
      <c r="R1706">
        <v>2026</v>
      </c>
      <c r="S1706" t="s">
        <v>6100</v>
      </c>
      <c r="T1706">
        <v>0</v>
      </c>
      <c r="U1706" t="s">
        <v>6018</v>
      </c>
      <c r="V1706">
        <v>0</v>
      </c>
    </row>
    <row r="1707" spans="1:22" x14ac:dyDescent="0.3">
      <c r="A1707" t="s">
        <v>1722</v>
      </c>
      <c r="B1707" s="2">
        <v>46095.714583333334</v>
      </c>
      <c r="C1707" s="2">
        <v>46097.460416666669</v>
      </c>
      <c r="D1707" t="s">
        <v>6022</v>
      </c>
      <c r="E1707" t="s">
        <v>6029</v>
      </c>
      <c r="F1707" t="s">
        <v>6034</v>
      </c>
      <c r="G1707" t="s">
        <v>6083</v>
      </c>
      <c r="H1707" t="s">
        <v>6096</v>
      </c>
      <c r="I1707">
        <v>24</v>
      </c>
      <c r="J1707">
        <v>41.9</v>
      </c>
      <c r="K1707" t="s">
        <v>6099</v>
      </c>
      <c r="L1707" t="s">
        <v>6100</v>
      </c>
      <c r="M1707" t="s">
        <v>6100</v>
      </c>
      <c r="O1707" t="s">
        <v>6101</v>
      </c>
      <c r="P1707" t="s">
        <v>6109</v>
      </c>
      <c r="Q1707">
        <v>3</v>
      </c>
      <c r="R1707">
        <v>2026</v>
      </c>
      <c r="S1707" t="s">
        <v>6100</v>
      </c>
      <c r="T1707">
        <v>0</v>
      </c>
      <c r="U1707" t="s">
        <v>6020</v>
      </c>
      <c r="V1707">
        <v>1</v>
      </c>
    </row>
    <row r="1708" spans="1:22" x14ac:dyDescent="0.3">
      <c r="A1708" t="s">
        <v>1723</v>
      </c>
      <c r="B1708" s="2">
        <v>46095.719444444447</v>
      </c>
      <c r="C1708" s="2">
        <v>46095.894444444442</v>
      </c>
      <c r="D1708" t="s">
        <v>6023</v>
      </c>
      <c r="E1708" t="s">
        <v>6030</v>
      </c>
      <c r="F1708" t="s">
        <v>6034</v>
      </c>
      <c r="G1708" t="s">
        <v>6048</v>
      </c>
      <c r="H1708" t="s">
        <v>6096</v>
      </c>
      <c r="I1708">
        <v>24</v>
      </c>
      <c r="J1708">
        <v>4.2</v>
      </c>
      <c r="K1708" t="s">
        <v>6099</v>
      </c>
      <c r="L1708" t="s">
        <v>6100</v>
      </c>
      <c r="M1708" t="s">
        <v>6100</v>
      </c>
      <c r="N1708">
        <v>4</v>
      </c>
      <c r="O1708" t="s">
        <v>6101</v>
      </c>
      <c r="P1708" t="s">
        <v>6109</v>
      </c>
      <c r="Q1708">
        <v>3</v>
      </c>
      <c r="R1708">
        <v>2026</v>
      </c>
      <c r="S1708" t="s">
        <v>6099</v>
      </c>
      <c r="T1708">
        <v>1</v>
      </c>
      <c r="U1708" t="s">
        <v>6020</v>
      </c>
      <c r="V1708">
        <v>1</v>
      </c>
    </row>
    <row r="1709" spans="1:22" x14ac:dyDescent="0.3">
      <c r="A1709" t="s">
        <v>1724</v>
      </c>
      <c r="B1709" s="2">
        <v>46095.720833333333</v>
      </c>
      <c r="C1709" s="2">
        <v>46095.908333333333</v>
      </c>
      <c r="D1709" t="s">
        <v>6027</v>
      </c>
      <c r="E1709" t="s">
        <v>6030</v>
      </c>
      <c r="F1709" t="s">
        <v>6033</v>
      </c>
      <c r="G1709" t="s">
        <v>6037</v>
      </c>
      <c r="H1709" t="s">
        <v>6096</v>
      </c>
      <c r="I1709">
        <v>72</v>
      </c>
      <c r="J1709">
        <v>4.5</v>
      </c>
      <c r="K1709" t="s">
        <v>6099</v>
      </c>
      <c r="L1709" t="s">
        <v>6100</v>
      </c>
      <c r="M1709" t="s">
        <v>6100</v>
      </c>
      <c r="O1709" t="s">
        <v>6101</v>
      </c>
      <c r="P1709" t="s">
        <v>6109</v>
      </c>
      <c r="Q1709">
        <v>3</v>
      </c>
      <c r="R1709">
        <v>2026</v>
      </c>
      <c r="S1709" t="s">
        <v>6099</v>
      </c>
      <c r="T1709">
        <v>1</v>
      </c>
      <c r="U1709" t="s">
        <v>6017</v>
      </c>
      <c r="V1709">
        <v>1</v>
      </c>
    </row>
    <row r="1710" spans="1:22" x14ac:dyDescent="0.3">
      <c r="A1710" t="s">
        <v>1725</v>
      </c>
      <c r="B1710" s="2">
        <v>46095.75</v>
      </c>
      <c r="C1710" s="2">
        <v>46100.404166666667</v>
      </c>
      <c r="D1710" t="s">
        <v>6028</v>
      </c>
      <c r="E1710" t="s">
        <v>6031</v>
      </c>
      <c r="F1710" t="s">
        <v>6034</v>
      </c>
      <c r="G1710" t="s">
        <v>6043</v>
      </c>
      <c r="H1710" t="s">
        <v>6097</v>
      </c>
      <c r="I1710">
        <v>24</v>
      </c>
      <c r="J1710">
        <v>111.7</v>
      </c>
      <c r="K1710" t="s">
        <v>6099</v>
      </c>
      <c r="L1710" t="s">
        <v>6100</v>
      </c>
      <c r="M1710" t="s">
        <v>6100</v>
      </c>
      <c r="N1710">
        <v>4</v>
      </c>
      <c r="O1710" t="s">
        <v>6101</v>
      </c>
      <c r="P1710" t="s">
        <v>6109</v>
      </c>
      <c r="Q1710">
        <v>3</v>
      </c>
      <c r="R1710">
        <v>2026</v>
      </c>
      <c r="S1710" t="s">
        <v>6100</v>
      </c>
      <c r="T1710">
        <v>0</v>
      </c>
      <c r="U1710" t="s">
        <v>6018</v>
      </c>
      <c r="V1710">
        <v>1</v>
      </c>
    </row>
    <row r="1711" spans="1:22" x14ac:dyDescent="0.3">
      <c r="A1711" t="s">
        <v>1726</v>
      </c>
      <c r="B1711" s="2">
        <v>46095.791666666664</v>
      </c>
      <c r="C1711" s="2">
        <v>46098.116666666669</v>
      </c>
      <c r="D1711" t="s">
        <v>6028</v>
      </c>
      <c r="E1711" t="s">
        <v>6031</v>
      </c>
      <c r="F1711" t="s">
        <v>6034</v>
      </c>
      <c r="G1711" t="s">
        <v>6063</v>
      </c>
      <c r="H1711" t="s">
        <v>6097</v>
      </c>
      <c r="I1711">
        <v>24</v>
      </c>
      <c r="J1711">
        <v>55.8</v>
      </c>
      <c r="K1711" t="s">
        <v>6100</v>
      </c>
      <c r="L1711" t="s">
        <v>6100</v>
      </c>
      <c r="M1711" t="s">
        <v>6100</v>
      </c>
      <c r="N1711">
        <v>4</v>
      </c>
      <c r="O1711" t="s">
        <v>6101</v>
      </c>
      <c r="P1711" t="s">
        <v>6109</v>
      </c>
      <c r="Q1711">
        <v>3</v>
      </c>
      <c r="R1711">
        <v>2026</v>
      </c>
      <c r="S1711" t="s">
        <v>6100</v>
      </c>
      <c r="T1711">
        <v>0</v>
      </c>
      <c r="U1711" t="s">
        <v>6018</v>
      </c>
      <c r="V1711">
        <v>0</v>
      </c>
    </row>
    <row r="1712" spans="1:22" x14ac:dyDescent="0.3">
      <c r="A1712" t="s">
        <v>1727</v>
      </c>
      <c r="B1712" s="2">
        <v>46095.791666666664</v>
      </c>
      <c r="C1712" s="2">
        <v>46098.691666666666</v>
      </c>
      <c r="D1712" t="s">
        <v>6028</v>
      </c>
      <c r="E1712" t="s">
        <v>6030</v>
      </c>
      <c r="F1712" t="s">
        <v>6035</v>
      </c>
      <c r="G1712" t="s">
        <v>6043</v>
      </c>
      <c r="H1712" t="s">
        <v>6097</v>
      </c>
      <c r="I1712">
        <v>4</v>
      </c>
      <c r="J1712">
        <v>69.599999999999994</v>
      </c>
      <c r="K1712" t="s">
        <v>6099</v>
      </c>
      <c r="L1712" t="s">
        <v>6100</v>
      </c>
      <c r="M1712" t="s">
        <v>6100</v>
      </c>
      <c r="N1712">
        <v>4</v>
      </c>
      <c r="O1712" t="s">
        <v>6101</v>
      </c>
      <c r="P1712" t="s">
        <v>6109</v>
      </c>
      <c r="Q1712">
        <v>3</v>
      </c>
      <c r="R1712">
        <v>2026</v>
      </c>
      <c r="S1712" t="s">
        <v>6100</v>
      </c>
      <c r="T1712">
        <v>0</v>
      </c>
      <c r="U1712" t="s">
        <v>6018</v>
      </c>
      <c r="V1712">
        <v>1</v>
      </c>
    </row>
    <row r="1713" spans="1:22" x14ac:dyDescent="0.3">
      <c r="A1713" t="s">
        <v>1728</v>
      </c>
      <c r="B1713" s="2">
        <v>46095.791666666664</v>
      </c>
      <c r="C1713" s="2">
        <v>46098.916666666664</v>
      </c>
      <c r="D1713" t="s">
        <v>6028</v>
      </c>
      <c r="E1713" t="s">
        <v>6031</v>
      </c>
      <c r="F1713" t="s">
        <v>6034</v>
      </c>
      <c r="G1713" t="s">
        <v>6084</v>
      </c>
      <c r="H1713" t="s">
        <v>6098</v>
      </c>
      <c r="I1713">
        <v>24</v>
      </c>
      <c r="J1713">
        <v>75</v>
      </c>
      <c r="K1713" t="s">
        <v>6100</v>
      </c>
      <c r="L1713" t="s">
        <v>6099</v>
      </c>
      <c r="M1713" t="s">
        <v>6100</v>
      </c>
      <c r="N1713">
        <v>5</v>
      </c>
      <c r="O1713" t="s">
        <v>6101</v>
      </c>
      <c r="P1713" t="s">
        <v>6109</v>
      </c>
      <c r="Q1713">
        <v>3</v>
      </c>
      <c r="R1713">
        <v>2026</v>
      </c>
      <c r="S1713" t="s">
        <v>6100</v>
      </c>
      <c r="T1713">
        <v>0</v>
      </c>
      <c r="U1713" t="s">
        <v>6018</v>
      </c>
      <c r="V1713">
        <v>0</v>
      </c>
    </row>
    <row r="1714" spans="1:22" x14ac:dyDescent="0.3">
      <c r="A1714" t="s">
        <v>1729</v>
      </c>
      <c r="B1714" s="2">
        <v>46095.833333333336</v>
      </c>
      <c r="C1714" s="2">
        <v>46098.48333333333</v>
      </c>
      <c r="D1714" t="s">
        <v>6028</v>
      </c>
      <c r="E1714" t="s">
        <v>6032</v>
      </c>
      <c r="F1714" t="s">
        <v>6035</v>
      </c>
      <c r="G1714" t="s">
        <v>6082</v>
      </c>
      <c r="H1714" t="s">
        <v>6097</v>
      </c>
      <c r="I1714">
        <v>4</v>
      </c>
      <c r="J1714">
        <v>63.6</v>
      </c>
      <c r="K1714" t="s">
        <v>6100</v>
      </c>
      <c r="L1714" t="s">
        <v>6099</v>
      </c>
      <c r="M1714" t="s">
        <v>6100</v>
      </c>
      <c r="N1714">
        <v>3</v>
      </c>
      <c r="O1714" t="s">
        <v>6101</v>
      </c>
      <c r="P1714" t="s">
        <v>6109</v>
      </c>
      <c r="Q1714">
        <v>3</v>
      </c>
      <c r="R1714">
        <v>2026</v>
      </c>
      <c r="S1714" t="s">
        <v>6100</v>
      </c>
      <c r="T1714">
        <v>0</v>
      </c>
      <c r="U1714" t="s">
        <v>6018</v>
      </c>
      <c r="V1714">
        <v>0</v>
      </c>
    </row>
    <row r="1715" spans="1:22" x14ac:dyDescent="0.3">
      <c r="A1715" t="s">
        <v>1730</v>
      </c>
      <c r="B1715" s="2">
        <v>46095.833333333336</v>
      </c>
      <c r="C1715" s="2">
        <v>46096.441666666666</v>
      </c>
      <c r="D1715" t="s">
        <v>6028</v>
      </c>
      <c r="E1715" t="s">
        <v>6029</v>
      </c>
      <c r="F1715" t="s">
        <v>6035</v>
      </c>
      <c r="G1715" t="s">
        <v>6043</v>
      </c>
      <c r="H1715" t="s">
        <v>6097</v>
      </c>
      <c r="I1715">
        <v>4</v>
      </c>
      <c r="J1715">
        <v>14.6</v>
      </c>
      <c r="K1715" t="s">
        <v>6099</v>
      </c>
      <c r="L1715" t="s">
        <v>6100</v>
      </c>
      <c r="M1715" t="s">
        <v>6099</v>
      </c>
      <c r="O1715" t="s">
        <v>6101</v>
      </c>
      <c r="P1715" t="s">
        <v>6109</v>
      </c>
      <c r="Q1715">
        <v>3</v>
      </c>
      <c r="R1715">
        <v>2026</v>
      </c>
      <c r="S1715" t="s">
        <v>6100</v>
      </c>
      <c r="T1715">
        <v>0</v>
      </c>
      <c r="U1715" t="s">
        <v>6018</v>
      </c>
      <c r="V1715">
        <v>1</v>
      </c>
    </row>
    <row r="1716" spans="1:22" x14ac:dyDescent="0.3">
      <c r="A1716" t="s">
        <v>1731</v>
      </c>
      <c r="B1716" s="2">
        <v>46095.884027777778</v>
      </c>
      <c r="C1716" s="2">
        <v>46097.15902777778</v>
      </c>
      <c r="D1716" t="s">
        <v>6022</v>
      </c>
      <c r="E1716" t="s">
        <v>6032</v>
      </c>
      <c r="F1716" t="s">
        <v>6034</v>
      </c>
      <c r="G1716" t="s">
        <v>6077</v>
      </c>
      <c r="H1716" t="s">
        <v>6098</v>
      </c>
      <c r="I1716">
        <v>24</v>
      </c>
      <c r="J1716">
        <v>30.6</v>
      </c>
      <c r="K1716" t="s">
        <v>6099</v>
      </c>
      <c r="L1716" t="s">
        <v>6100</v>
      </c>
      <c r="M1716" t="s">
        <v>6100</v>
      </c>
      <c r="N1716">
        <v>4</v>
      </c>
      <c r="O1716" t="s">
        <v>6101</v>
      </c>
      <c r="P1716" t="s">
        <v>6109</v>
      </c>
      <c r="Q1716">
        <v>3</v>
      </c>
      <c r="R1716">
        <v>2026</v>
      </c>
      <c r="S1716" t="s">
        <v>6100</v>
      </c>
      <c r="T1716">
        <v>0</v>
      </c>
      <c r="U1716" t="s">
        <v>6021</v>
      </c>
      <c r="V1716">
        <v>1</v>
      </c>
    </row>
    <row r="1717" spans="1:22" x14ac:dyDescent="0.3">
      <c r="A1717" t="s">
        <v>1732</v>
      </c>
      <c r="B1717" s="2">
        <v>46095.957638888889</v>
      </c>
      <c r="C1717" s="2">
        <v>46096.145138888889</v>
      </c>
      <c r="D1717" t="s">
        <v>6023</v>
      </c>
      <c r="E1717" t="s">
        <v>6029</v>
      </c>
      <c r="F1717" t="s">
        <v>6035</v>
      </c>
      <c r="G1717" t="s">
        <v>6090</v>
      </c>
      <c r="H1717" t="s">
        <v>6097</v>
      </c>
      <c r="I1717">
        <v>4</v>
      </c>
      <c r="J1717">
        <v>4.5</v>
      </c>
      <c r="K1717" t="s">
        <v>6099</v>
      </c>
      <c r="L1717" t="s">
        <v>6100</v>
      </c>
      <c r="M1717" t="s">
        <v>6099</v>
      </c>
      <c r="N1717">
        <v>1</v>
      </c>
      <c r="O1717" t="s">
        <v>6101</v>
      </c>
      <c r="P1717" t="s">
        <v>6109</v>
      </c>
      <c r="Q1717">
        <v>3</v>
      </c>
      <c r="R1717">
        <v>2026</v>
      </c>
      <c r="S1717" t="s">
        <v>6100</v>
      </c>
      <c r="T1717">
        <v>0</v>
      </c>
      <c r="U1717" t="s">
        <v>6018</v>
      </c>
      <c r="V1717">
        <v>1</v>
      </c>
    </row>
    <row r="1718" spans="1:22" x14ac:dyDescent="0.3">
      <c r="A1718" t="s">
        <v>1733</v>
      </c>
      <c r="B1718" s="2">
        <v>46096.063888888886</v>
      </c>
      <c r="C1718" s="2">
        <v>46096.426388888889</v>
      </c>
      <c r="D1718" t="s">
        <v>6028</v>
      </c>
      <c r="E1718" t="s">
        <v>6029</v>
      </c>
      <c r="F1718" t="s">
        <v>6034</v>
      </c>
      <c r="G1718" t="s">
        <v>6071</v>
      </c>
      <c r="H1718" t="s">
        <v>6098</v>
      </c>
      <c r="I1718">
        <v>24</v>
      </c>
      <c r="J1718">
        <v>8.6999999999999993</v>
      </c>
      <c r="K1718" t="s">
        <v>6099</v>
      </c>
      <c r="L1718" t="s">
        <v>6100</v>
      </c>
      <c r="M1718" t="s">
        <v>6100</v>
      </c>
      <c r="O1718" t="s">
        <v>6101</v>
      </c>
      <c r="P1718" t="s">
        <v>6109</v>
      </c>
      <c r="Q1718">
        <v>3</v>
      </c>
      <c r="R1718">
        <v>2026</v>
      </c>
      <c r="S1718" t="s">
        <v>6099</v>
      </c>
      <c r="T1718">
        <v>1</v>
      </c>
      <c r="U1718" t="s">
        <v>6018</v>
      </c>
      <c r="V1718">
        <v>1</v>
      </c>
    </row>
    <row r="1719" spans="1:22" x14ac:dyDescent="0.3">
      <c r="A1719" t="s">
        <v>1734</v>
      </c>
      <c r="B1719" s="2">
        <v>46096.25</v>
      </c>
      <c r="C1719" s="2">
        <v>46099.145833333336</v>
      </c>
      <c r="D1719" t="s">
        <v>6028</v>
      </c>
      <c r="E1719" t="s">
        <v>6031</v>
      </c>
      <c r="F1719" t="s">
        <v>6034</v>
      </c>
      <c r="G1719" t="s">
        <v>6079</v>
      </c>
      <c r="H1719" t="s">
        <v>6097</v>
      </c>
      <c r="I1719">
        <v>24</v>
      </c>
      <c r="J1719">
        <v>69.5</v>
      </c>
      <c r="K1719" t="s">
        <v>6099</v>
      </c>
      <c r="L1719" t="s">
        <v>6100</v>
      </c>
      <c r="M1719" t="s">
        <v>6099</v>
      </c>
      <c r="N1719">
        <v>4</v>
      </c>
      <c r="O1719" t="s">
        <v>6101</v>
      </c>
      <c r="P1719" t="s">
        <v>6109</v>
      </c>
      <c r="Q1719">
        <v>3</v>
      </c>
      <c r="R1719">
        <v>2026</v>
      </c>
      <c r="S1719" t="s">
        <v>6100</v>
      </c>
      <c r="T1719">
        <v>0</v>
      </c>
      <c r="U1719" t="s">
        <v>6018</v>
      </c>
      <c r="V1719">
        <v>1</v>
      </c>
    </row>
    <row r="1720" spans="1:22" x14ac:dyDescent="0.3">
      <c r="A1720" t="s">
        <v>1735</v>
      </c>
      <c r="B1720" s="2">
        <v>46096.25</v>
      </c>
      <c r="C1720" s="2">
        <v>46097.087500000001</v>
      </c>
      <c r="D1720" t="s">
        <v>6028</v>
      </c>
      <c r="E1720" t="s">
        <v>6030</v>
      </c>
      <c r="F1720" t="s">
        <v>6035</v>
      </c>
      <c r="G1720" t="s">
        <v>6070</v>
      </c>
      <c r="H1720" t="s">
        <v>6097</v>
      </c>
      <c r="I1720">
        <v>4</v>
      </c>
      <c r="J1720">
        <v>20.100000000000001</v>
      </c>
      <c r="K1720" t="s">
        <v>6099</v>
      </c>
      <c r="L1720" t="s">
        <v>6100</v>
      </c>
      <c r="M1720" t="s">
        <v>6100</v>
      </c>
      <c r="N1720">
        <v>4</v>
      </c>
      <c r="O1720" t="s">
        <v>6101</v>
      </c>
      <c r="P1720" t="s">
        <v>6109</v>
      </c>
      <c r="Q1720">
        <v>3</v>
      </c>
      <c r="R1720">
        <v>2026</v>
      </c>
      <c r="S1720" t="s">
        <v>6100</v>
      </c>
      <c r="T1720">
        <v>0</v>
      </c>
      <c r="U1720" t="s">
        <v>6018</v>
      </c>
      <c r="V1720">
        <v>1</v>
      </c>
    </row>
    <row r="1721" spans="1:22" x14ac:dyDescent="0.3">
      <c r="A1721" t="s">
        <v>1736</v>
      </c>
      <c r="B1721" s="2">
        <v>46096.268055555556</v>
      </c>
      <c r="C1721" s="2">
        <v>46096.830555555556</v>
      </c>
      <c r="D1721" t="s">
        <v>6023</v>
      </c>
      <c r="E1721" t="s">
        <v>6032</v>
      </c>
      <c r="F1721" t="s">
        <v>6033</v>
      </c>
      <c r="G1721" t="s">
        <v>6082</v>
      </c>
      <c r="H1721" t="s">
        <v>6097</v>
      </c>
      <c r="I1721">
        <v>72</v>
      </c>
      <c r="J1721">
        <v>13.5</v>
      </c>
      <c r="K1721" t="s">
        <v>6099</v>
      </c>
      <c r="L1721" t="s">
        <v>6100</v>
      </c>
      <c r="M1721" t="s">
        <v>6100</v>
      </c>
      <c r="N1721">
        <v>5</v>
      </c>
      <c r="O1721" t="s">
        <v>6101</v>
      </c>
      <c r="P1721" t="s">
        <v>6109</v>
      </c>
      <c r="Q1721">
        <v>3</v>
      </c>
      <c r="R1721">
        <v>2026</v>
      </c>
      <c r="S1721" t="s">
        <v>6099</v>
      </c>
      <c r="T1721">
        <v>1</v>
      </c>
      <c r="U1721" t="s">
        <v>6021</v>
      </c>
      <c r="V1721">
        <v>1</v>
      </c>
    </row>
    <row r="1722" spans="1:22" x14ac:dyDescent="0.3">
      <c r="A1722" t="s">
        <v>1737</v>
      </c>
      <c r="B1722" s="2">
        <v>46096.291666666664</v>
      </c>
      <c r="C1722" s="2">
        <v>46099.970833333333</v>
      </c>
      <c r="D1722" t="s">
        <v>6028</v>
      </c>
      <c r="E1722" t="s">
        <v>6031</v>
      </c>
      <c r="F1722" t="s">
        <v>6034</v>
      </c>
      <c r="G1722" t="s">
        <v>6080</v>
      </c>
      <c r="H1722" t="s">
        <v>6096</v>
      </c>
      <c r="I1722">
        <v>24</v>
      </c>
      <c r="J1722">
        <v>88.3</v>
      </c>
      <c r="K1722" t="s">
        <v>6100</v>
      </c>
      <c r="L1722" t="s">
        <v>6100</v>
      </c>
      <c r="M1722" t="s">
        <v>6100</v>
      </c>
      <c r="O1722" t="s">
        <v>6101</v>
      </c>
      <c r="P1722" t="s">
        <v>6109</v>
      </c>
      <c r="Q1722">
        <v>3</v>
      </c>
      <c r="R1722">
        <v>2026</v>
      </c>
      <c r="S1722" t="s">
        <v>6100</v>
      </c>
      <c r="T1722">
        <v>0</v>
      </c>
      <c r="U1722" t="s">
        <v>6018</v>
      </c>
      <c r="V1722">
        <v>0</v>
      </c>
    </row>
    <row r="1723" spans="1:22" x14ac:dyDescent="0.3">
      <c r="A1723" t="s">
        <v>1738</v>
      </c>
      <c r="B1723" s="2">
        <v>46096.291666666664</v>
      </c>
      <c r="C1723" s="2">
        <v>46097.112500000003</v>
      </c>
      <c r="D1723" t="s">
        <v>6028</v>
      </c>
      <c r="E1723" t="s">
        <v>6030</v>
      </c>
      <c r="F1723" t="s">
        <v>6035</v>
      </c>
      <c r="G1723" t="s">
        <v>6066</v>
      </c>
      <c r="H1723" t="s">
        <v>6096</v>
      </c>
      <c r="I1723">
        <v>4</v>
      </c>
      <c r="J1723">
        <v>19.7</v>
      </c>
      <c r="K1723" t="s">
        <v>6099</v>
      </c>
      <c r="L1723" t="s">
        <v>6100</v>
      </c>
      <c r="M1723" t="s">
        <v>6099</v>
      </c>
      <c r="N1723">
        <v>4</v>
      </c>
      <c r="O1723" t="s">
        <v>6101</v>
      </c>
      <c r="P1723" t="s">
        <v>6109</v>
      </c>
      <c r="Q1723">
        <v>3</v>
      </c>
      <c r="R1723">
        <v>2026</v>
      </c>
      <c r="S1723" t="s">
        <v>6100</v>
      </c>
      <c r="T1723">
        <v>0</v>
      </c>
      <c r="U1723" t="s">
        <v>6018</v>
      </c>
      <c r="V1723">
        <v>1</v>
      </c>
    </row>
    <row r="1724" spans="1:22" x14ac:dyDescent="0.3">
      <c r="A1724" t="s">
        <v>1739</v>
      </c>
      <c r="B1724" s="2">
        <v>46096.291666666664</v>
      </c>
      <c r="C1724" s="2">
        <v>46097.55</v>
      </c>
      <c r="D1724" t="s">
        <v>6028</v>
      </c>
      <c r="E1724" t="s">
        <v>6029</v>
      </c>
      <c r="F1724" t="s">
        <v>6035</v>
      </c>
      <c r="G1724" t="s">
        <v>6052</v>
      </c>
      <c r="H1724" t="s">
        <v>6098</v>
      </c>
      <c r="I1724">
        <v>4</v>
      </c>
      <c r="J1724">
        <v>30.2</v>
      </c>
      <c r="K1724" t="s">
        <v>6099</v>
      </c>
      <c r="L1724" t="s">
        <v>6100</v>
      </c>
      <c r="M1724" t="s">
        <v>6100</v>
      </c>
      <c r="O1724" t="s">
        <v>6101</v>
      </c>
      <c r="P1724" t="s">
        <v>6109</v>
      </c>
      <c r="Q1724">
        <v>3</v>
      </c>
      <c r="R1724">
        <v>2026</v>
      </c>
      <c r="S1724" t="s">
        <v>6100</v>
      </c>
      <c r="T1724">
        <v>0</v>
      </c>
      <c r="U1724" t="s">
        <v>6018</v>
      </c>
      <c r="V1724">
        <v>1</v>
      </c>
    </row>
    <row r="1725" spans="1:22" x14ac:dyDescent="0.3">
      <c r="A1725" t="s">
        <v>1740</v>
      </c>
      <c r="B1725" s="2">
        <v>46096.324305555558</v>
      </c>
      <c r="C1725" s="2">
        <v>46098.357638888891</v>
      </c>
      <c r="D1725" t="s">
        <v>6024</v>
      </c>
      <c r="E1725" t="s">
        <v>6029</v>
      </c>
      <c r="F1725" t="s">
        <v>6033</v>
      </c>
      <c r="G1725" t="s">
        <v>6094</v>
      </c>
      <c r="H1725" t="s">
        <v>6098</v>
      </c>
      <c r="I1725">
        <v>72</v>
      </c>
      <c r="J1725">
        <v>48.8</v>
      </c>
      <c r="K1725" t="s">
        <v>6100</v>
      </c>
      <c r="L1725" t="s">
        <v>6099</v>
      </c>
      <c r="M1725" t="s">
        <v>6099</v>
      </c>
      <c r="O1725" t="s">
        <v>6101</v>
      </c>
      <c r="P1725" t="s">
        <v>6109</v>
      </c>
      <c r="Q1725">
        <v>3</v>
      </c>
      <c r="R1725">
        <v>2026</v>
      </c>
      <c r="S1725" t="s">
        <v>6099</v>
      </c>
      <c r="T1725">
        <v>1</v>
      </c>
      <c r="U1725" t="s">
        <v>6021</v>
      </c>
      <c r="V1725">
        <v>0</v>
      </c>
    </row>
    <row r="1726" spans="1:22" x14ac:dyDescent="0.3">
      <c r="A1726" t="s">
        <v>1741</v>
      </c>
      <c r="B1726" s="2">
        <v>46096.333333333336</v>
      </c>
      <c r="C1726" s="2">
        <v>46097.933333333334</v>
      </c>
      <c r="D1726" t="s">
        <v>6028</v>
      </c>
      <c r="E1726" t="s">
        <v>6029</v>
      </c>
      <c r="F1726" t="s">
        <v>6035</v>
      </c>
      <c r="G1726" t="s">
        <v>6036</v>
      </c>
      <c r="H1726" t="s">
        <v>6096</v>
      </c>
      <c r="I1726">
        <v>4</v>
      </c>
      <c r="J1726">
        <v>38.4</v>
      </c>
      <c r="K1726" t="s">
        <v>6100</v>
      </c>
      <c r="L1726" t="s">
        <v>6099</v>
      </c>
      <c r="M1726" t="s">
        <v>6100</v>
      </c>
      <c r="N1726">
        <v>4</v>
      </c>
      <c r="O1726" t="s">
        <v>6101</v>
      </c>
      <c r="P1726" t="s">
        <v>6109</v>
      </c>
      <c r="Q1726">
        <v>3</v>
      </c>
      <c r="R1726">
        <v>2026</v>
      </c>
      <c r="S1726" t="s">
        <v>6100</v>
      </c>
      <c r="T1726">
        <v>0</v>
      </c>
      <c r="U1726" t="s">
        <v>6018</v>
      </c>
      <c r="V1726">
        <v>0</v>
      </c>
    </row>
    <row r="1727" spans="1:22" x14ac:dyDescent="0.3">
      <c r="A1727" t="s">
        <v>1742</v>
      </c>
      <c r="B1727" s="2">
        <v>46096.333333333336</v>
      </c>
      <c r="C1727" s="2">
        <v>46097.125</v>
      </c>
      <c r="D1727" t="s">
        <v>6028</v>
      </c>
      <c r="E1727" t="s">
        <v>6029</v>
      </c>
      <c r="F1727" t="s">
        <v>6034</v>
      </c>
      <c r="G1727" t="s">
        <v>6091</v>
      </c>
      <c r="H1727" t="s">
        <v>6097</v>
      </c>
      <c r="I1727">
        <v>24</v>
      </c>
      <c r="J1727">
        <v>19</v>
      </c>
      <c r="K1727" t="s">
        <v>6100</v>
      </c>
      <c r="L1727" t="s">
        <v>6099</v>
      </c>
      <c r="M1727" t="s">
        <v>6100</v>
      </c>
      <c r="N1727">
        <v>3</v>
      </c>
      <c r="O1727" t="s">
        <v>6101</v>
      </c>
      <c r="P1727" t="s">
        <v>6109</v>
      </c>
      <c r="Q1727">
        <v>3</v>
      </c>
      <c r="R1727">
        <v>2026</v>
      </c>
      <c r="S1727" t="s">
        <v>6099</v>
      </c>
      <c r="T1727">
        <v>1</v>
      </c>
      <c r="U1727" t="s">
        <v>6018</v>
      </c>
      <c r="V1727">
        <v>0</v>
      </c>
    </row>
    <row r="1728" spans="1:22" x14ac:dyDescent="0.3">
      <c r="A1728" t="s">
        <v>1743</v>
      </c>
      <c r="B1728" s="2">
        <v>46096.333333333336</v>
      </c>
      <c r="C1728" s="2">
        <v>46097.15</v>
      </c>
      <c r="D1728" t="s">
        <v>6028</v>
      </c>
      <c r="E1728" t="s">
        <v>6029</v>
      </c>
      <c r="F1728" t="s">
        <v>6034</v>
      </c>
      <c r="G1728" t="s">
        <v>6074</v>
      </c>
      <c r="H1728" t="s">
        <v>6098</v>
      </c>
      <c r="I1728">
        <v>24</v>
      </c>
      <c r="J1728">
        <v>19.600000000000001</v>
      </c>
      <c r="K1728" t="s">
        <v>6099</v>
      </c>
      <c r="L1728" t="s">
        <v>6100</v>
      </c>
      <c r="M1728" t="s">
        <v>6100</v>
      </c>
      <c r="N1728">
        <v>3</v>
      </c>
      <c r="O1728" t="s">
        <v>6101</v>
      </c>
      <c r="P1728" t="s">
        <v>6109</v>
      </c>
      <c r="Q1728">
        <v>3</v>
      </c>
      <c r="R1728">
        <v>2026</v>
      </c>
      <c r="S1728" t="s">
        <v>6099</v>
      </c>
      <c r="T1728">
        <v>1</v>
      </c>
      <c r="U1728" t="s">
        <v>6018</v>
      </c>
      <c r="V1728">
        <v>1</v>
      </c>
    </row>
    <row r="1729" spans="1:22" x14ac:dyDescent="0.3">
      <c r="A1729" t="s">
        <v>1744</v>
      </c>
      <c r="B1729" s="2">
        <v>46096.337500000001</v>
      </c>
      <c r="C1729" s="2">
        <v>46097.333333333336</v>
      </c>
      <c r="D1729" t="s">
        <v>6022</v>
      </c>
      <c r="E1729" t="s">
        <v>6029</v>
      </c>
      <c r="F1729" t="s">
        <v>6035</v>
      </c>
      <c r="G1729" t="s">
        <v>6095</v>
      </c>
      <c r="H1729" t="s">
        <v>6098</v>
      </c>
      <c r="I1729">
        <v>4</v>
      </c>
      <c r="J1729">
        <v>23.9</v>
      </c>
      <c r="K1729" t="s">
        <v>6100</v>
      </c>
      <c r="L1729" t="s">
        <v>6099</v>
      </c>
      <c r="M1729" t="s">
        <v>6100</v>
      </c>
      <c r="N1729">
        <v>4</v>
      </c>
      <c r="O1729" t="s">
        <v>6101</v>
      </c>
      <c r="P1729" t="s">
        <v>6109</v>
      </c>
      <c r="Q1729">
        <v>3</v>
      </c>
      <c r="R1729">
        <v>2026</v>
      </c>
      <c r="S1729" t="s">
        <v>6100</v>
      </c>
      <c r="T1729">
        <v>0</v>
      </c>
      <c r="U1729" t="s">
        <v>6019</v>
      </c>
      <c r="V1729">
        <v>0</v>
      </c>
    </row>
    <row r="1730" spans="1:22" x14ac:dyDescent="0.3">
      <c r="A1730" t="s">
        <v>1745</v>
      </c>
      <c r="B1730" s="2">
        <v>46096.352777777778</v>
      </c>
      <c r="C1730" s="2">
        <v>46097.786111111112</v>
      </c>
      <c r="D1730" t="s">
        <v>6022</v>
      </c>
      <c r="E1730" t="s">
        <v>6030</v>
      </c>
      <c r="F1730" t="s">
        <v>6034</v>
      </c>
      <c r="G1730" t="s">
        <v>6091</v>
      </c>
      <c r="H1730" t="s">
        <v>6097</v>
      </c>
      <c r="I1730">
        <v>24</v>
      </c>
      <c r="J1730">
        <v>34.4</v>
      </c>
      <c r="K1730" t="s">
        <v>6099</v>
      </c>
      <c r="L1730" t="s">
        <v>6100</v>
      </c>
      <c r="M1730" t="s">
        <v>6100</v>
      </c>
      <c r="N1730">
        <v>4</v>
      </c>
      <c r="O1730" t="s">
        <v>6101</v>
      </c>
      <c r="P1730" t="s">
        <v>6109</v>
      </c>
      <c r="Q1730">
        <v>3</v>
      </c>
      <c r="R1730">
        <v>2026</v>
      </c>
      <c r="S1730" t="s">
        <v>6100</v>
      </c>
      <c r="T1730">
        <v>0</v>
      </c>
      <c r="U1730" t="s">
        <v>6021</v>
      </c>
      <c r="V1730">
        <v>1</v>
      </c>
    </row>
    <row r="1731" spans="1:22" x14ac:dyDescent="0.3">
      <c r="A1731" t="s">
        <v>1746</v>
      </c>
      <c r="B1731" s="2">
        <v>46096.375</v>
      </c>
      <c r="C1731" s="2">
        <v>46096.866666666669</v>
      </c>
      <c r="D1731" t="s">
        <v>6028</v>
      </c>
      <c r="E1731" t="s">
        <v>6030</v>
      </c>
      <c r="F1731" t="s">
        <v>6034</v>
      </c>
      <c r="G1731" t="s">
        <v>6082</v>
      </c>
      <c r="H1731" t="s">
        <v>6097</v>
      </c>
      <c r="I1731">
        <v>24</v>
      </c>
      <c r="J1731">
        <v>11.8</v>
      </c>
      <c r="K1731" t="s">
        <v>6099</v>
      </c>
      <c r="L1731" t="s">
        <v>6100</v>
      </c>
      <c r="M1731" t="s">
        <v>6100</v>
      </c>
      <c r="N1731">
        <v>5</v>
      </c>
      <c r="O1731" t="s">
        <v>6101</v>
      </c>
      <c r="P1731" t="s">
        <v>6109</v>
      </c>
      <c r="Q1731">
        <v>3</v>
      </c>
      <c r="R1731">
        <v>2026</v>
      </c>
      <c r="S1731" t="s">
        <v>6099</v>
      </c>
      <c r="T1731">
        <v>1</v>
      </c>
      <c r="U1731" t="s">
        <v>6018</v>
      </c>
      <c r="V1731">
        <v>1</v>
      </c>
    </row>
    <row r="1732" spans="1:22" x14ac:dyDescent="0.3">
      <c r="A1732" t="s">
        <v>1747</v>
      </c>
      <c r="B1732" s="2">
        <v>46096.390277777777</v>
      </c>
      <c r="C1732" s="2">
        <v>46096.736111111109</v>
      </c>
      <c r="D1732" t="s">
        <v>6024</v>
      </c>
      <c r="E1732" t="s">
        <v>6030</v>
      </c>
      <c r="F1732" t="s">
        <v>6034</v>
      </c>
      <c r="G1732" t="s">
        <v>6075</v>
      </c>
      <c r="H1732" t="s">
        <v>6097</v>
      </c>
      <c r="I1732">
        <v>24</v>
      </c>
      <c r="J1732">
        <v>8.3000000000000007</v>
      </c>
      <c r="K1732" t="s">
        <v>6099</v>
      </c>
      <c r="L1732" t="s">
        <v>6100</v>
      </c>
      <c r="M1732" t="s">
        <v>6100</v>
      </c>
      <c r="N1732">
        <v>3</v>
      </c>
      <c r="O1732" t="s">
        <v>6101</v>
      </c>
      <c r="P1732" t="s">
        <v>6109</v>
      </c>
      <c r="Q1732">
        <v>3</v>
      </c>
      <c r="R1732">
        <v>2026</v>
      </c>
      <c r="S1732" t="s">
        <v>6099</v>
      </c>
      <c r="T1732">
        <v>1</v>
      </c>
      <c r="U1732" t="s">
        <v>6021</v>
      </c>
      <c r="V1732">
        <v>1</v>
      </c>
    </row>
    <row r="1733" spans="1:22" x14ac:dyDescent="0.3">
      <c r="A1733" t="s">
        <v>1748</v>
      </c>
      <c r="B1733" s="2">
        <v>46096.40625</v>
      </c>
      <c r="C1733" s="2">
        <v>46097.556250000001</v>
      </c>
      <c r="D1733" t="s">
        <v>6022</v>
      </c>
      <c r="E1733" t="s">
        <v>6029</v>
      </c>
      <c r="F1733" t="s">
        <v>6035</v>
      </c>
      <c r="G1733" t="s">
        <v>6048</v>
      </c>
      <c r="H1733" t="s">
        <v>6096</v>
      </c>
      <c r="I1733">
        <v>4</v>
      </c>
      <c r="J1733">
        <v>27.6</v>
      </c>
      <c r="K1733" t="s">
        <v>6099</v>
      </c>
      <c r="L1733" t="s">
        <v>6100</v>
      </c>
      <c r="M1733" t="s">
        <v>6100</v>
      </c>
      <c r="O1733" t="s">
        <v>6101</v>
      </c>
      <c r="P1733" t="s">
        <v>6109</v>
      </c>
      <c r="Q1733">
        <v>3</v>
      </c>
      <c r="R1733">
        <v>2026</v>
      </c>
      <c r="S1733" t="s">
        <v>6100</v>
      </c>
      <c r="T1733">
        <v>0</v>
      </c>
      <c r="U1733" t="s">
        <v>6017</v>
      </c>
      <c r="V1733">
        <v>1</v>
      </c>
    </row>
    <row r="1734" spans="1:22" x14ac:dyDescent="0.3">
      <c r="A1734" t="s">
        <v>1749</v>
      </c>
      <c r="B1734" s="2">
        <v>46096.416666666664</v>
      </c>
      <c r="C1734" s="2">
        <v>46097.775000000001</v>
      </c>
      <c r="D1734" t="s">
        <v>6028</v>
      </c>
      <c r="E1734" t="s">
        <v>6031</v>
      </c>
      <c r="F1734" t="s">
        <v>6034</v>
      </c>
      <c r="G1734" t="s">
        <v>6077</v>
      </c>
      <c r="H1734" t="s">
        <v>6098</v>
      </c>
      <c r="I1734">
        <v>24</v>
      </c>
      <c r="J1734">
        <v>32.6</v>
      </c>
      <c r="K1734" t="s">
        <v>6099</v>
      </c>
      <c r="L1734" t="s">
        <v>6100</v>
      </c>
      <c r="M1734" t="s">
        <v>6100</v>
      </c>
      <c r="O1734" t="s">
        <v>6101</v>
      </c>
      <c r="P1734" t="s">
        <v>6109</v>
      </c>
      <c r="Q1734">
        <v>3</v>
      </c>
      <c r="R1734">
        <v>2026</v>
      </c>
      <c r="S1734" t="s">
        <v>6100</v>
      </c>
      <c r="T1734">
        <v>0</v>
      </c>
      <c r="U1734" t="s">
        <v>6018</v>
      </c>
      <c r="V1734">
        <v>1</v>
      </c>
    </row>
    <row r="1735" spans="1:22" x14ac:dyDescent="0.3">
      <c r="A1735" t="s">
        <v>1750</v>
      </c>
      <c r="B1735" s="2">
        <v>46096.416666666664</v>
      </c>
      <c r="C1735" s="2">
        <v>46096.791666666664</v>
      </c>
      <c r="D1735" t="s">
        <v>6028</v>
      </c>
      <c r="E1735" t="s">
        <v>6030</v>
      </c>
      <c r="F1735" t="s">
        <v>6035</v>
      </c>
      <c r="G1735" t="s">
        <v>6057</v>
      </c>
      <c r="H1735" t="s">
        <v>6097</v>
      </c>
      <c r="I1735">
        <v>4</v>
      </c>
      <c r="J1735">
        <v>9</v>
      </c>
      <c r="K1735" t="s">
        <v>6099</v>
      </c>
      <c r="L1735" t="s">
        <v>6100</v>
      </c>
      <c r="M1735" t="s">
        <v>6100</v>
      </c>
      <c r="N1735">
        <v>4</v>
      </c>
      <c r="O1735" t="s">
        <v>6101</v>
      </c>
      <c r="P1735" t="s">
        <v>6109</v>
      </c>
      <c r="Q1735">
        <v>3</v>
      </c>
      <c r="R1735">
        <v>2026</v>
      </c>
      <c r="S1735" t="s">
        <v>6100</v>
      </c>
      <c r="T1735">
        <v>0</v>
      </c>
      <c r="U1735" t="s">
        <v>6018</v>
      </c>
      <c r="V1735">
        <v>1</v>
      </c>
    </row>
    <row r="1736" spans="1:22" x14ac:dyDescent="0.3">
      <c r="A1736" t="s">
        <v>1751</v>
      </c>
      <c r="B1736" s="2">
        <v>46096.416666666664</v>
      </c>
      <c r="C1736" s="2">
        <v>46097.354166666664</v>
      </c>
      <c r="D1736" t="s">
        <v>6028</v>
      </c>
      <c r="E1736" t="s">
        <v>6029</v>
      </c>
      <c r="F1736" t="s">
        <v>6035</v>
      </c>
      <c r="G1736" t="s">
        <v>6073</v>
      </c>
      <c r="H1736" t="s">
        <v>6096</v>
      </c>
      <c r="I1736">
        <v>4</v>
      </c>
      <c r="J1736">
        <v>22.5</v>
      </c>
      <c r="K1736" t="s">
        <v>6099</v>
      </c>
      <c r="L1736" t="s">
        <v>6100</v>
      </c>
      <c r="M1736" t="s">
        <v>6100</v>
      </c>
      <c r="O1736" t="s">
        <v>6101</v>
      </c>
      <c r="P1736" t="s">
        <v>6109</v>
      </c>
      <c r="Q1736">
        <v>3</v>
      </c>
      <c r="R1736">
        <v>2026</v>
      </c>
      <c r="S1736" t="s">
        <v>6100</v>
      </c>
      <c r="T1736">
        <v>0</v>
      </c>
      <c r="U1736" t="s">
        <v>6017</v>
      </c>
      <c r="V1736">
        <v>1</v>
      </c>
    </row>
    <row r="1737" spans="1:22" x14ac:dyDescent="0.3">
      <c r="A1737" t="s">
        <v>1752</v>
      </c>
      <c r="B1737" s="2">
        <v>46096.417361111111</v>
      </c>
      <c r="C1737" s="2">
        <v>46097.063194444447</v>
      </c>
      <c r="D1737" t="s">
        <v>6022</v>
      </c>
      <c r="E1737" t="s">
        <v>6029</v>
      </c>
      <c r="F1737" t="s">
        <v>6034</v>
      </c>
      <c r="G1737" t="s">
        <v>6085</v>
      </c>
      <c r="H1737" t="s">
        <v>6097</v>
      </c>
      <c r="I1737">
        <v>24</v>
      </c>
      <c r="J1737">
        <v>15.5</v>
      </c>
      <c r="K1737" t="s">
        <v>6100</v>
      </c>
      <c r="L1737" t="s">
        <v>6099</v>
      </c>
      <c r="M1737" t="s">
        <v>6100</v>
      </c>
      <c r="N1737">
        <v>4</v>
      </c>
      <c r="O1737" t="s">
        <v>6101</v>
      </c>
      <c r="P1737" t="s">
        <v>6109</v>
      </c>
      <c r="Q1737">
        <v>3</v>
      </c>
      <c r="R1737">
        <v>2026</v>
      </c>
      <c r="S1737" t="s">
        <v>6099</v>
      </c>
      <c r="T1737">
        <v>1</v>
      </c>
      <c r="U1737" t="s">
        <v>6018</v>
      </c>
      <c r="V1737">
        <v>0</v>
      </c>
    </row>
    <row r="1738" spans="1:22" x14ac:dyDescent="0.3">
      <c r="A1738" t="s">
        <v>1753</v>
      </c>
      <c r="B1738" s="2">
        <v>46096.422222222223</v>
      </c>
      <c r="C1738" s="2">
        <v>46097.188888888886</v>
      </c>
      <c r="D1738" t="s">
        <v>6023</v>
      </c>
      <c r="E1738" t="s">
        <v>6032</v>
      </c>
      <c r="F1738" t="s">
        <v>6034</v>
      </c>
      <c r="G1738" t="s">
        <v>6065</v>
      </c>
      <c r="H1738" t="s">
        <v>6097</v>
      </c>
      <c r="I1738">
        <v>24</v>
      </c>
      <c r="J1738">
        <v>18.399999999999999</v>
      </c>
      <c r="K1738" t="s">
        <v>6099</v>
      </c>
      <c r="L1738" t="s">
        <v>6100</v>
      </c>
      <c r="M1738" t="s">
        <v>6100</v>
      </c>
      <c r="N1738">
        <v>5</v>
      </c>
      <c r="O1738" t="s">
        <v>6101</v>
      </c>
      <c r="P1738" t="s">
        <v>6109</v>
      </c>
      <c r="Q1738">
        <v>3</v>
      </c>
      <c r="R1738">
        <v>2026</v>
      </c>
      <c r="S1738" t="s">
        <v>6099</v>
      </c>
      <c r="T1738">
        <v>1</v>
      </c>
      <c r="U1738" t="s">
        <v>6021</v>
      </c>
      <c r="V1738">
        <v>1</v>
      </c>
    </row>
    <row r="1739" spans="1:22" x14ac:dyDescent="0.3">
      <c r="A1739" t="s">
        <v>1754</v>
      </c>
      <c r="B1739" s="2">
        <v>46096.449305555558</v>
      </c>
      <c r="C1739" s="2">
        <v>46096.603472222225</v>
      </c>
      <c r="D1739" t="s">
        <v>6023</v>
      </c>
      <c r="E1739" t="s">
        <v>6030</v>
      </c>
      <c r="F1739" t="s">
        <v>6033</v>
      </c>
      <c r="G1739" t="s">
        <v>6040</v>
      </c>
      <c r="H1739" t="s">
        <v>6097</v>
      </c>
      <c r="I1739">
        <v>72</v>
      </c>
      <c r="J1739">
        <v>3.7</v>
      </c>
      <c r="K1739" t="s">
        <v>6100</v>
      </c>
      <c r="L1739" t="s">
        <v>6099</v>
      </c>
      <c r="M1739" t="s">
        <v>6099</v>
      </c>
      <c r="N1739">
        <v>4</v>
      </c>
      <c r="O1739" t="s">
        <v>6101</v>
      </c>
      <c r="P1739" t="s">
        <v>6109</v>
      </c>
      <c r="Q1739">
        <v>3</v>
      </c>
      <c r="R1739">
        <v>2026</v>
      </c>
      <c r="S1739" t="s">
        <v>6099</v>
      </c>
      <c r="T1739">
        <v>1</v>
      </c>
      <c r="U1739" t="s">
        <v>6021</v>
      </c>
      <c r="V1739">
        <v>0</v>
      </c>
    </row>
    <row r="1740" spans="1:22" x14ac:dyDescent="0.3">
      <c r="A1740" t="s">
        <v>1755</v>
      </c>
      <c r="B1740" s="2">
        <v>46096.454861111109</v>
      </c>
      <c r="C1740" s="2">
        <v>46097.22152777778</v>
      </c>
      <c r="D1740" t="s">
        <v>6023</v>
      </c>
      <c r="E1740" t="s">
        <v>6029</v>
      </c>
      <c r="F1740" t="s">
        <v>6034</v>
      </c>
      <c r="G1740" t="s">
        <v>6038</v>
      </c>
      <c r="H1740" t="s">
        <v>6096</v>
      </c>
      <c r="I1740">
        <v>24</v>
      </c>
      <c r="J1740">
        <v>18.399999999999999</v>
      </c>
      <c r="K1740" t="s">
        <v>6099</v>
      </c>
      <c r="L1740" t="s">
        <v>6100</v>
      </c>
      <c r="M1740" t="s">
        <v>6100</v>
      </c>
      <c r="N1740">
        <v>5</v>
      </c>
      <c r="O1740" t="s">
        <v>6101</v>
      </c>
      <c r="P1740" t="s">
        <v>6109</v>
      </c>
      <c r="Q1740">
        <v>3</v>
      </c>
      <c r="R1740">
        <v>2026</v>
      </c>
      <c r="S1740" t="s">
        <v>6099</v>
      </c>
      <c r="T1740">
        <v>1</v>
      </c>
      <c r="U1740" t="s">
        <v>6021</v>
      </c>
      <c r="V1740">
        <v>1</v>
      </c>
    </row>
    <row r="1741" spans="1:22" x14ac:dyDescent="0.3">
      <c r="A1741" t="s">
        <v>1756</v>
      </c>
      <c r="B1741" s="2">
        <v>46096.458333333336</v>
      </c>
      <c r="C1741" s="2">
        <v>46102.5</v>
      </c>
      <c r="D1741" t="s">
        <v>6028</v>
      </c>
      <c r="E1741" t="s">
        <v>6031</v>
      </c>
      <c r="F1741" t="s">
        <v>6035</v>
      </c>
      <c r="G1741" t="s">
        <v>6082</v>
      </c>
      <c r="H1741" t="s">
        <v>6097</v>
      </c>
      <c r="I1741">
        <v>4</v>
      </c>
      <c r="J1741">
        <v>145</v>
      </c>
      <c r="K1741" t="s">
        <v>6099</v>
      </c>
      <c r="L1741" t="s">
        <v>6100</v>
      </c>
      <c r="M1741" t="s">
        <v>6100</v>
      </c>
      <c r="N1741">
        <v>4</v>
      </c>
      <c r="O1741" t="s">
        <v>6101</v>
      </c>
      <c r="P1741" t="s">
        <v>6109</v>
      </c>
      <c r="Q1741">
        <v>3</v>
      </c>
      <c r="R1741">
        <v>2026</v>
      </c>
      <c r="S1741" t="s">
        <v>6100</v>
      </c>
      <c r="T1741">
        <v>0</v>
      </c>
      <c r="U1741" t="s">
        <v>6018</v>
      </c>
      <c r="V1741">
        <v>1</v>
      </c>
    </row>
    <row r="1742" spans="1:22" x14ac:dyDescent="0.3">
      <c r="A1742" t="s">
        <v>1757</v>
      </c>
      <c r="B1742" s="2">
        <v>46096.458333333336</v>
      </c>
      <c r="C1742" s="2">
        <v>46097.979166666664</v>
      </c>
      <c r="D1742" t="s">
        <v>6028</v>
      </c>
      <c r="E1742" t="s">
        <v>6029</v>
      </c>
      <c r="F1742" t="s">
        <v>6033</v>
      </c>
      <c r="G1742" t="s">
        <v>6039</v>
      </c>
      <c r="H1742" t="s">
        <v>6097</v>
      </c>
      <c r="I1742">
        <v>72</v>
      </c>
      <c r="J1742">
        <v>36.5</v>
      </c>
      <c r="K1742" t="s">
        <v>6100</v>
      </c>
      <c r="L1742" t="s">
        <v>6099</v>
      </c>
      <c r="M1742" t="s">
        <v>6100</v>
      </c>
      <c r="N1742">
        <v>5</v>
      </c>
      <c r="O1742" t="s">
        <v>6101</v>
      </c>
      <c r="P1742" t="s">
        <v>6109</v>
      </c>
      <c r="Q1742">
        <v>3</v>
      </c>
      <c r="R1742">
        <v>2026</v>
      </c>
      <c r="S1742" t="s">
        <v>6099</v>
      </c>
      <c r="T1742">
        <v>1</v>
      </c>
      <c r="U1742" t="s">
        <v>6018</v>
      </c>
      <c r="V1742">
        <v>0</v>
      </c>
    </row>
    <row r="1743" spans="1:22" x14ac:dyDescent="0.3">
      <c r="A1743" t="s">
        <v>1758</v>
      </c>
      <c r="B1743" s="2">
        <v>46096.458333333336</v>
      </c>
      <c r="C1743" s="2">
        <v>46098.133333333331</v>
      </c>
      <c r="D1743" t="s">
        <v>6028</v>
      </c>
      <c r="E1743" t="s">
        <v>6029</v>
      </c>
      <c r="F1743" t="s">
        <v>6035</v>
      </c>
      <c r="G1743" t="s">
        <v>6091</v>
      </c>
      <c r="H1743" t="s">
        <v>6097</v>
      </c>
      <c r="I1743">
        <v>4</v>
      </c>
      <c r="J1743">
        <v>40.200000000000003</v>
      </c>
      <c r="K1743" t="s">
        <v>6099</v>
      </c>
      <c r="L1743" t="s">
        <v>6100</v>
      </c>
      <c r="M1743" t="s">
        <v>6100</v>
      </c>
      <c r="N1743">
        <v>4</v>
      </c>
      <c r="O1743" t="s">
        <v>6101</v>
      </c>
      <c r="P1743" t="s">
        <v>6109</v>
      </c>
      <c r="Q1743">
        <v>3</v>
      </c>
      <c r="R1743">
        <v>2026</v>
      </c>
      <c r="S1743" t="s">
        <v>6100</v>
      </c>
      <c r="T1743">
        <v>0</v>
      </c>
      <c r="U1743" t="s">
        <v>6018</v>
      </c>
      <c r="V1743">
        <v>1</v>
      </c>
    </row>
    <row r="1744" spans="1:22" x14ac:dyDescent="0.3">
      <c r="A1744" t="s">
        <v>1759</v>
      </c>
      <c r="B1744" s="2">
        <v>46096.467361111114</v>
      </c>
      <c r="C1744" s="2">
        <v>46096.759027777778</v>
      </c>
      <c r="D1744" t="s">
        <v>6024</v>
      </c>
      <c r="E1744" t="s">
        <v>6029</v>
      </c>
      <c r="F1744" t="s">
        <v>6033</v>
      </c>
      <c r="G1744" t="s">
        <v>6056</v>
      </c>
      <c r="H1744" t="s">
        <v>6098</v>
      </c>
      <c r="I1744">
        <v>72</v>
      </c>
      <c r="J1744">
        <v>7</v>
      </c>
      <c r="K1744" t="s">
        <v>6100</v>
      </c>
      <c r="L1744" t="s">
        <v>6099</v>
      </c>
      <c r="M1744" t="s">
        <v>6100</v>
      </c>
      <c r="O1744" t="s">
        <v>6101</v>
      </c>
      <c r="P1744" t="s">
        <v>6109</v>
      </c>
      <c r="Q1744">
        <v>3</v>
      </c>
      <c r="R1744">
        <v>2026</v>
      </c>
      <c r="S1744" t="s">
        <v>6099</v>
      </c>
      <c r="T1744">
        <v>1</v>
      </c>
      <c r="U1744" t="s">
        <v>6021</v>
      </c>
      <c r="V1744">
        <v>0</v>
      </c>
    </row>
    <row r="1745" spans="1:22" x14ac:dyDescent="0.3">
      <c r="A1745" t="s">
        <v>1760</v>
      </c>
      <c r="B1745" s="2">
        <v>46096.487500000003</v>
      </c>
      <c r="C1745" s="2">
        <v>46096.775000000001</v>
      </c>
      <c r="D1745" t="s">
        <v>6028</v>
      </c>
      <c r="E1745" t="s">
        <v>6030</v>
      </c>
      <c r="F1745" t="s">
        <v>6034</v>
      </c>
      <c r="G1745" t="s">
        <v>6045</v>
      </c>
      <c r="H1745" t="s">
        <v>6096</v>
      </c>
      <c r="I1745">
        <v>24</v>
      </c>
      <c r="J1745">
        <v>6.9</v>
      </c>
      <c r="K1745" t="s">
        <v>6099</v>
      </c>
      <c r="L1745" t="s">
        <v>6100</v>
      </c>
      <c r="M1745" t="s">
        <v>6100</v>
      </c>
      <c r="N1745">
        <v>5</v>
      </c>
      <c r="O1745" t="s">
        <v>6101</v>
      </c>
      <c r="P1745" t="s">
        <v>6109</v>
      </c>
      <c r="Q1745">
        <v>3</v>
      </c>
      <c r="R1745">
        <v>2026</v>
      </c>
      <c r="S1745" t="s">
        <v>6099</v>
      </c>
      <c r="T1745">
        <v>1</v>
      </c>
      <c r="U1745" t="s">
        <v>6019</v>
      </c>
      <c r="V1745">
        <v>1</v>
      </c>
    </row>
    <row r="1746" spans="1:22" x14ac:dyDescent="0.3">
      <c r="A1746" t="s">
        <v>1761</v>
      </c>
      <c r="B1746" s="2">
        <v>46096.498611111114</v>
      </c>
      <c r="C1746" s="2">
        <v>46096.711111111108</v>
      </c>
      <c r="D1746" t="s">
        <v>6024</v>
      </c>
      <c r="E1746" t="s">
        <v>6029</v>
      </c>
      <c r="F1746" t="s">
        <v>6034</v>
      </c>
      <c r="G1746" t="s">
        <v>6049</v>
      </c>
      <c r="H1746" t="s">
        <v>6097</v>
      </c>
      <c r="I1746">
        <v>24</v>
      </c>
      <c r="J1746">
        <v>5.0999999999999996</v>
      </c>
      <c r="K1746" t="s">
        <v>6099</v>
      </c>
      <c r="L1746" t="s">
        <v>6100</v>
      </c>
      <c r="M1746" t="s">
        <v>6100</v>
      </c>
      <c r="N1746">
        <v>5</v>
      </c>
      <c r="O1746" t="s">
        <v>6101</v>
      </c>
      <c r="P1746" t="s">
        <v>6109</v>
      </c>
      <c r="Q1746">
        <v>3</v>
      </c>
      <c r="R1746">
        <v>2026</v>
      </c>
      <c r="S1746" t="s">
        <v>6099</v>
      </c>
      <c r="T1746">
        <v>1</v>
      </c>
      <c r="U1746" t="s">
        <v>6018</v>
      </c>
      <c r="V1746">
        <v>1</v>
      </c>
    </row>
    <row r="1747" spans="1:22" x14ac:dyDescent="0.3">
      <c r="A1747" t="s">
        <v>1762</v>
      </c>
      <c r="B1747" s="2">
        <v>46096.5</v>
      </c>
      <c r="C1747" s="2">
        <v>46097.308333333334</v>
      </c>
      <c r="D1747" t="s">
        <v>6028</v>
      </c>
      <c r="E1747" t="s">
        <v>6029</v>
      </c>
      <c r="F1747" t="s">
        <v>6035</v>
      </c>
      <c r="G1747" t="s">
        <v>6054</v>
      </c>
      <c r="H1747" t="s">
        <v>6096</v>
      </c>
      <c r="I1747">
        <v>4</v>
      </c>
      <c r="J1747">
        <v>19.399999999999999</v>
      </c>
      <c r="K1747" t="s">
        <v>6099</v>
      </c>
      <c r="L1747" t="s">
        <v>6100</v>
      </c>
      <c r="M1747" t="s">
        <v>6100</v>
      </c>
      <c r="N1747">
        <v>4</v>
      </c>
      <c r="O1747" t="s">
        <v>6101</v>
      </c>
      <c r="P1747" t="s">
        <v>6109</v>
      </c>
      <c r="Q1747">
        <v>3</v>
      </c>
      <c r="R1747">
        <v>2026</v>
      </c>
      <c r="S1747" t="s">
        <v>6100</v>
      </c>
      <c r="T1747">
        <v>0</v>
      </c>
      <c r="U1747" t="s">
        <v>6018</v>
      </c>
      <c r="V1747">
        <v>1</v>
      </c>
    </row>
    <row r="1748" spans="1:22" x14ac:dyDescent="0.3">
      <c r="A1748" t="s">
        <v>1763</v>
      </c>
      <c r="B1748" s="2">
        <v>46096.506944444445</v>
      </c>
      <c r="C1748" s="2">
        <v>46097.256944444445</v>
      </c>
      <c r="D1748" t="s">
        <v>6025</v>
      </c>
      <c r="E1748" t="s">
        <v>6029</v>
      </c>
      <c r="F1748" t="s">
        <v>6033</v>
      </c>
      <c r="G1748" t="s">
        <v>6080</v>
      </c>
      <c r="H1748" t="s">
        <v>6096</v>
      </c>
      <c r="I1748">
        <v>72</v>
      </c>
      <c r="J1748">
        <v>18</v>
      </c>
      <c r="K1748" t="s">
        <v>6100</v>
      </c>
      <c r="L1748" t="s">
        <v>6099</v>
      </c>
      <c r="M1748" t="s">
        <v>6100</v>
      </c>
      <c r="N1748">
        <v>5</v>
      </c>
      <c r="O1748" t="s">
        <v>6101</v>
      </c>
      <c r="P1748" t="s">
        <v>6109</v>
      </c>
      <c r="Q1748">
        <v>3</v>
      </c>
      <c r="R1748">
        <v>2026</v>
      </c>
      <c r="S1748" t="s">
        <v>6099</v>
      </c>
      <c r="T1748">
        <v>1</v>
      </c>
      <c r="U1748" t="s">
        <v>6018</v>
      </c>
      <c r="V1748">
        <v>0</v>
      </c>
    </row>
    <row r="1749" spans="1:22" x14ac:dyDescent="0.3">
      <c r="A1749" t="s">
        <v>1764</v>
      </c>
      <c r="B1749" s="2">
        <v>46096.508333333331</v>
      </c>
      <c r="C1749" s="2">
        <v>46096.691666666666</v>
      </c>
      <c r="D1749" t="s">
        <v>6023</v>
      </c>
      <c r="E1749" t="s">
        <v>6030</v>
      </c>
      <c r="F1749" t="s">
        <v>6034</v>
      </c>
      <c r="G1749" t="s">
        <v>6083</v>
      </c>
      <c r="H1749" t="s">
        <v>6096</v>
      </c>
      <c r="I1749">
        <v>24</v>
      </c>
      <c r="J1749">
        <v>4.4000000000000004</v>
      </c>
      <c r="K1749" t="s">
        <v>6099</v>
      </c>
      <c r="L1749" t="s">
        <v>6100</v>
      </c>
      <c r="M1749" t="s">
        <v>6100</v>
      </c>
      <c r="N1749">
        <v>5</v>
      </c>
      <c r="O1749" t="s">
        <v>6101</v>
      </c>
      <c r="P1749" t="s">
        <v>6109</v>
      </c>
      <c r="Q1749">
        <v>3</v>
      </c>
      <c r="R1749">
        <v>2026</v>
      </c>
      <c r="S1749" t="s">
        <v>6099</v>
      </c>
      <c r="T1749">
        <v>1</v>
      </c>
      <c r="U1749" t="s">
        <v>6019</v>
      </c>
      <c r="V1749">
        <v>1</v>
      </c>
    </row>
    <row r="1750" spans="1:22" x14ac:dyDescent="0.3">
      <c r="A1750" t="s">
        <v>1765</v>
      </c>
      <c r="B1750" s="2">
        <v>46096.525694444441</v>
      </c>
      <c r="C1750" s="2">
        <v>46096.892361111109</v>
      </c>
      <c r="D1750" t="s">
        <v>6023</v>
      </c>
      <c r="E1750" t="s">
        <v>6030</v>
      </c>
      <c r="F1750" t="s">
        <v>6033</v>
      </c>
      <c r="G1750" t="s">
        <v>6054</v>
      </c>
      <c r="H1750" t="s">
        <v>6096</v>
      </c>
      <c r="I1750">
        <v>72</v>
      </c>
      <c r="J1750">
        <v>8.8000000000000007</v>
      </c>
      <c r="K1750" t="s">
        <v>6099</v>
      </c>
      <c r="L1750" t="s">
        <v>6100</v>
      </c>
      <c r="M1750" t="s">
        <v>6100</v>
      </c>
      <c r="O1750" t="s">
        <v>6101</v>
      </c>
      <c r="P1750" t="s">
        <v>6109</v>
      </c>
      <c r="Q1750">
        <v>3</v>
      </c>
      <c r="R1750">
        <v>2026</v>
      </c>
      <c r="S1750" t="s">
        <v>6099</v>
      </c>
      <c r="T1750">
        <v>1</v>
      </c>
      <c r="U1750" t="s">
        <v>6018</v>
      </c>
      <c r="V1750">
        <v>1</v>
      </c>
    </row>
    <row r="1751" spans="1:22" x14ac:dyDescent="0.3">
      <c r="A1751" t="s">
        <v>1766</v>
      </c>
      <c r="B1751" s="2">
        <v>46096.529166666667</v>
      </c>
      <c r="C1751" s="2">
        <v>46097.55</v>
      </c>
      <c r="D1751" t="s">
        <v>6022</v>
      </c>
      <c r="E1751" t="s">
        <v>6031</v>
      </c>
      <c r="F1751" t="s">
        <v>6034</v>
      </c>
      <c r="G1751" t="s">
        <v>6042</v>
      </c>
      <c r="H1751" t="s">
        <v>6098</v>
      </c>
      <c r="I1751">
        <v>24</v>
      </c>
      <c r="J1751">
        <v>24.5</v>
      </c>
      <c r="K1751" t="s">
        <v>6099</v>
      </c>
      <c r="L1751" t="s">
        <v>6100</v>
      </c>
      <c r="M1751" t="s">
        <v>6100</v>
      </c>
      <c r="N1751">
        <v>4</v>
      </c>
      <c r="O1751" t="s">
        <v>6101</v>
      </c>
      <c r="P1751" t="s">
        <v>6109</v>
      </c>
      <c r="Q1751">
        <v>3</v>
      </c>
      <c r="R1751">
        <v>2026</v>
      </c>
      <c r="S1751" t="s">
        <v>6100</v>
      </c>
      <c r="T1751">
        <v>0</v>
      </c>
      <c r="U1751" t="s">
        <v>6020</v>
      </c>
      <c r="V1751">
        <v>1</v>
      </c>
    </row>
    <row r="1752" spans="1:22" x14ac:dyDescent="0.3">
      <c r="A1752" t="s">
        <v>1767</v>
      </c>
      <c r="B1752" s="2">
        <v>46096.53402777778</v>
      </c>
      <c r="C1752" s="2">
        <v>46098.15902777778</v>
      </c>
      <c r="D1752" t="s">
        <v>6024</v>
      </c>
      <c r="E1752" t="s">
        <v>6032</v>
      </c>
      <c r="F1752" t="s">
        <v>6034</v>
      </c>
      <c r="G1752" t="s">
        <v>6046</v>
      </c>
      <c r="H1752" t="s">
        <v>6098</v>
      </c>
      <c r="I1752">
        <v>24</v>
      </c>
      <c r="J1752">
        <v>39</v>
      </c>
      <c r="K1752" t="s">
        <v>6100</v>
      </c>
      <c r="L1752" t="s">
        <v>6100</v>
      </c>
      <c r="M1752" t="s">
        <v>6100</v>
      </c>
      <c r="O1752" t="s">
        <v>6101</v>
      </c>
      <c r="P1752" t="s">
        <v>6109</v>
      </c>
      <c r="Q1752">
        <v>3</v>
      </c>
      <c r="R1752">
        <v>2026</v>
      </c>
      <c r="S1752" t="s">
        <v>6100</v>
      </c>
      <c r="T1752">
        <v>0</v>
      </c>
      <c r="U1752" t="s">
        <v>6021</v>
      </c>
      <c r="V1752">
        <v>0</v>
      </c>
    </row>
    <row r="1753" spans="1:22" x14ac:dyDescent="0.3">
      <c r="A1753" t="s">
        <v>1768</v>
      </c>
      <c r="B1753" s="2">
        <v>46096.541666666664</v>
      </c>
      <c r="C1753" s="2">
        <v>46096.979166666664</v>
      </c>
      <c r="D1753" t="s">
        <v>6028</v>
      </c>
      <c r="E1753" t="s">
        <v>6030</v>
      </c>
      <c r="F1753" t="s">
        <v>6035</v>
      </c>
      <c r="G1753" t="s">
        <v>6050</v>
      </c>
      <c r="H1753" t="s">
        <v>6098</v>
      </c>
      <c r="I1753">
        <v>4</v>
      </c>
      <c r="J1753">
        <v>10.5</v>
      </c>
      <c r="K1753" t="s">
        <v>6099</v>
      </c>
      <c r="L1753" t="s">
        <v>6100</v>
      </c>
      <c r="M1753" t="s">
        <v>6100</v>
      </c>
      <c r="N1753">
        <v>4</v>
      </c>
      <c r="O1753" t="s">
        <v>6101</v>
      </c>
      <c r="P1753" t="s">
        <v>6109</v>
      </c>
      <c r="Q1753">
        <v>3</v>
      </c>
      <c r="R1753">
        <v>2026</v>
      </c>
      <c r="S1753" t="s">
        <v>6100</v>
      </c>
      <c r="T1753">
        <v>0</v>
      </c>
      <c r="U1753" t="s">
        <v>6018</v>
      </c>
      <c r="V1753">
        <v>1</v>
      </c>
    </row>
    <row r="1754" spans="1:22" x14ac:dyDescent="0.3">
      <c r="A1754" t="s">
        <v>1769</v>
      </c>
      <c r="B1754" s="2">
        <v>46096.541666666664</v>
      </c>
      <c r="C1754" s="2">
        <v>46097.783333333333</v>
      </c>
      <c r="D1754" t="s">
        <v>6028</v>
      </c>
      <c r="E1754" t="s">
        <v>6031</v>
      </c>
      <c r="F1754" t="s">
        <v>6035</v>
      </c>
      <c r="G1754" t="s">
        <v>6049</v>
      </c>
      <c r="H1754" t="s">
        <v>6097</v>
      </c>
      <c r="I1754">
        <v>4</v>
      </c>
      <c r="J1754">
        <v>29.8</v>
      </c>
      <c r="K1754" t="s">
        <v>6100</v>
      </c>
      <c r="L1754" t="s">
        <v>6099</v>
      </c>
      <c r="M1754" t="s">
        <v>6100</v>
      </c>
      <c r="N1754">
        <v>3</v>
      </c>
      <c r="O1754" t="s">
        <v>6101</v>
      </c>
      <c r="P1754" t="s">
        <v>6109</v>
      </c>
      <c r="Q1754">
        <v>3</v>
      </c>
      <c r="R1754">
        <v>2026</v>
      </c>
      <c r="S1754" t="s">
        <v>6100</v>
      </c>
      <c r="T1754">
        <v>0</v>
      </c>
      <c r="U1754" t="s">
        <v>6018</v>
      </c>
      <c r="V1754">
        <v>0</v>
      </c>
    </row>
    <row r="1755" spans="1:22" x14ac:dyDescent="0.3">
      <c r="A1755" t="s">
        <v>1770</v>
      </c>
      <c r="B1755" s="2">
        <v>46096.541666666664</v>
      </c>
      <c r="C1755" s="2">
        <v>46100.5</v>
      </c>
      <c r="D1755" t="s">
        <v>6028</v>
      </c>
      <c r="E1755" t="s">
        <v>6029</v>
      </c>
      <c r="F1755" t="s">
        <v>6035</v>
      </c>
      <c r="G1755" t="s">
        <v>6036</v>
      </c>
      <c r="H1755" t="s">
        <v>6096</v>
      </c>
      <c r="I1755">
        <v>4</v>
      </c>
      <c r="J1755">
        <v>95</v>
      </c>
      <c r="K1755" t="s">
        <v>6099</v>
      </c>
      <c r="L1755" t="s">
        <v>6100</v>
      </c>
      <c r="M1755" t="s">
        <v>6099</v>
      </c>
      <c r="O1755" t="s">
        <v>6101</v>
      </c>
      <c r="P1755" t="s">
        <v>6109</v>
      </c>
      <c r="Q1755">
        <v>3</v>
      </c>
      <c r="R1755">
        <v>2026</v>
      </c>
      <c r="S1755" t="s">
        <v>6100</v>
      </c>
      <c r="T1755">
        <v>0</v>
      </c>
      <c r="U1755" t="s">
        <v>6018</v>
      </c>
      <c r="V1755">
        <v>1</v>
      </c>
    </row>
    <row r="1756" spans="1:22" x14ac:dyDescent="0.3">
      <c r="A1756" t="s">
        <v>1771</v>
      </c>
      <c r="B1756" s="2">
        <v>46096.557638888888</v>
      </c>
      <c r="C1756" s="2">
        <v>46098.02847222222</v>
      </c>
      <c r="D1756" t="s">
        <v>6025</v>
      </c>
      <c r="E1756" t="s">
        <v>6029</v>
      </c>
      <c r="F1756" t="s">
        <v>6034</v>
      </c>
      <c r="G1756" t="s">
        <v>6076</v>
      </c>
      <c r="H1756" t="s">
        <v>6097</v>
      </c>
      <c r="I1756">
        <v>24</v>
      </c>
      <c r="J1756">
        <v>35.299999999999997</v>
      </c>
      <c r="K1756" t="s">
        <v>6099</v>
      </c>
      <c r="L1756" t="s">
        <v>6100</v>
      </c>
      <c r="M1756" t="s">
        <v>6100</v>
      </c>
      <c r="O1756" t="s">
        <v>6101</v>
      </c>
      <c r="P1756" t="s">
        <v>6109</v>
      </c>
      <c r="Q1756">
        <v>3</v>
      </c>
      <c r="R1756">
        <v>2026</v>
      </c>
      <c r="S1756" t="s">
        <v>6100</v>
      </c>
      <c r="T1756">
        <v>0</v>
      </c>
      <c r="U1756" t="s">
        <v>6019</v>
      </c>
      <c r="V1756">
        <v>1</v>
      </c>
    </row>
    <row r="1757" spans="1:22" x14ac:dyDescent="0.3">
      <c r="A1757" t="s">
        <v>1772</v>
      </c>
      <c r="B1757" s="2">
        <v>46096.583333333336</v>
      </c>
      <c r="C1757" s="2">
        <v>46098.974999999999</v>
      </c>
      <c r="D1757" t="s">
        <v>6028</v>
      </c>
      <c r="E1757" t="s">
        <v>6029</v>
      </c>
      <c r="F1757" t="s">
        <v>6033</v>
      </c>
      <c r="G1757" t="s">
        <v>6083</v>
      </c>
      <c r="H1757" t="s">
        <v>6096</v>
      </c>
      <c r="I1757">
        <v>72</v>
      </c>
      <c r="J1757">
        <v>57.4</v>
      </c>
      <c r="K1757" t="s">
        <v>6099</v>
      </c>
      <c r="L1757" t="s">
        <v>6100</v>
      </c>
      <c r="M1757" t="s">
        <v>6100</v>
      </c>
      <c r="N1757">
        <v>5</v>
      </c>
      <c r="O1757" t="s">
        <v>6101</v>
      </c>
      <c r="P1757" t="s">
        <v>6109</v>
      </c>
      <c r="Q1757">
        <v>3</v>
      </c>
      <c r="R1757">
        <v>2026</v>
      </c>
      <c r="S1757" t="s">
        <v>6099</v>
      </c>
      <c r="T1757">
        <v>1</v>
      </c>
      <c r="U1757" t="s">
        <v>6018</v>
      </c>
      <c r="V1757">
        <v>1</v>
      </c>
    </row>
    <row r="1758" spans="1:22" x14ac:dyDescent="0.3">
      <c r="A1758" t="s">
        <v>1773</v>
      </c>
      <c r="B1758" s="2">
        <v>46096.625</v>
      </c>
      <c r="C1758" s="2">
        <v>46097.083333333336</v>
      </c>
      <c r="D1758" t="s">
        <v>6028</v>
      </c>
      <c r="E1758" t="s">
        <v>6030</v>
      </c>
      <c r="F1758" t="s">
        <v>6035</v>
      </c>
      <c r="G1758" t="s">
        <v>6050</v>
      </c>
      <c r="H1758" t="s">
        <v>6098</v>
      </c>
      <c r="I1758">
        <v>4</v>
      </c>
      <c r="J1758">
        <v>11</v>
      </c>
      <c r="K1758" t="s">
        <v>6100</v>
      </c>
      <c r="L1758" t="s">
        <v>6100</v>
      </c>
      <c r="M1758" t="s">
        <v>6100</v>
      </c>
      <c r="O1758" t="s">
        <v>6101</v>
      </c>
      <c r="P1758" t="s">
        <v>6109</v>
      </c>
      <c r="Q1758">
        <v>3</v>
      </c>
      <c r="R1758">
        <v>2026</v>
      </c>
      <c r="S1758" t="s">
        <v>6100</v>
      </c>
      <c r="T1758">
        <v>0</v>
      </c>
      <c r="U1758" t="s">
        <v>6018</v>
      </c>
      <c r="V1758">
        <v>0</v>
      </c>
    </row>
    <row r="1759" spans="1:22" x14ac:dyDescent="0.3">
      <c r="A1759" t="s">
        <v>1774</v>
      </c>
      <c r="B1759" s="2">
        <v>46096.625</v>
      </c>
      <c r="C1759" s="2">
        <v>46096.962500000001</v>
      </c>
      <c r="D1759" t="s">
        <v>6028</v>
      </c>
      <c r="E1759" t="s">
        <v>6029</v>
      </c>
      <c r="F1759" t="s">
        <v>6035</v>
      </c>
      <c r="G1759" t="s">
        <v>6065</v>
      </c>
      <c r="H1759" t="s">
        <v>6097</v>
      </c>
      <c r="I1759">
        <v>4</v>
      </c>
      <c r="J1759">
        <v>8.1</v>
      </c>
      <c r="K1759" t="s">
        <v>6099</v>
      </c>
      <c r="L1759" t="s">
        <v>6100</v>
      </c>
      <c r="M1759" t="s">
        <v>6100</v>
      </c>
      <c r="O1759" t="s">
        <v>6101</v>
      </c>
      <c r="P1759" t="s">
        <v>6109</v>
      </c>
      <c r="Q1759">
        <v>3</v>
      </c>
      <c r="R1759">
        <v>2026</v>
      </c>
      <c r="S1759" t="s">
        <v>6100</v>
      </c>
      <c r="T1759">
        <v>0</v>
      </c>
      <c r="U1759" t="s">
        <v>6018</v>
      </c>
      <c r="V1759">
        <v>1</v>
      </c>
    </row>
    <row r="1760" spans="1:22" x14ac:dyDescent="0.3">
      <c r="A1760" t="s">
        <v>1775</v>
      </c>
      <c r="B1760" s="2">
        <v>46096.631944444445</v>
      </c>
      <c r="C1760" s="2">
        <v>46097.086111111108</v>
      </c>
      <c r="D1760" t="s">
        <v>6027</v>
      </c>
      <c r="E1760" t="s">
        <v>6029</v>
      </c>
      <c r="F1760" t="s">
        <v>6034</v>
      </c>
      <c r="G1760" t="s">
        <v>6089</v>
      </c>
      <c r="H1760" t="s">
        <v>6098</v>
      </c>
      <c r="I1760">
        <v>24</v>
      </c>
      <c r="J1760">
        <v>10.9</v>
      </c>
      <c r="K1760" t="s">
        <v>6099</v>
      </c>
      <c r="L1760" t="s">
        <v>6100</v>
      </c>
      <c r="M1760" t="s">
        <v>6099</v>
      </c>
      <c r="N1760">
        <v>5</v>
      </c>
      <c r="O1760" t="s">
        <v>6101</v>
      </c>
      <c r="P1760" t="s">
        <v>6109</v>
      </c>
      <c r="Q1760">
        <v>3</v>
      </c>
      <c r="R1760">
        <v>2026</v>
      </c>
      <c r="S1760" t="s">
        <v>6099</v>
      </c>
      <c r="T1760">
        <v>1</v>
      </c>
      <c r="U1760" t="s">
        <v>6019</v>
      </c>
      <c r="V1760">
        <v>1</v>
      </c>
    </row>
    <row r="1761" spans="1:22" x14ac:dyDescent="0.3">
      <c r="A1761" t="s">
        <v>1776</v>
      </c>
      <c r="B1761" s="2">
        <v>46096.663194444445</v>
      </c>
      <c r="C1761" s="2">
        <v>46097.688194444447</v>
      </c>
      <c r="D1761" t="s">
        <v>6027</v>
      </c>
      <c r="E1761" t="s">
        <v>6031</v>
      </c>
      <c r="F1761" t="s">
        <v>6034</v>
      </c>
      <c r="G1761" t="s">
        <v>6092</v>
      </c>
      <c r="H1761" t="s">
        <v>6097</v>
      </c>
      <c r="I1761">
        <v>24</v>
      </c>
      <c r="J1761">
        <v>24.6</v>
      </c>
      <c r="K1761" t="s">
        <v>6099</v>
      </c>
      <c r="L1761" t="s">
        <v>6100</v>
      </c>
      <c r="M1761" t="s">
        <v>6100</v>
      </c>
      <c r="N1761">
        <v>4</v>
      </c>
      <c r="O1761" t="s">
        <v>6101</v>
      </c>
      <c r="P1761" t="s">
        <v>6109</v>
      </c>
      <c r="Q1761">
        <v>3</v>
      </c>
      <c r="R1761">
        <v>2026</v>
      </c>
      <c r="S1761" t="s">
        <v>6100</v>
      </c>
      <c r="T1761">
        <v>0</v>
      </c>
      <c r="U1761" t="s">
        <v>6018</v>
      </c>
      <c r="V1761">
        <v>1</v>
      </c>
    </row>
    <row r="1762" spans="1:22" x14ac:dyDescent="0.3">
      <c r="A1762" t="s">
        <v>1777</v>
      </c>
      <c r="B1762" s="2">
        <v>46096.666666666664</v>
      </c>
      <c r="C1762" s="2">
        <v>46101.025000000001</v>
      </c>
      <c r="D1762" t="s">
        <v>6028</v>
      </c>
      <c r="E1762" t="s">
        <v>6031</v>
      </c>
      <c r="F1762" t="s">
        <v>6033</v>
      </c>
      <c r="G1762" t="s">
        <v>6048</v>
      </c>
      <c r="H1762" t="s">
        <v>6096</v>
      </c>
      <c r="I1762">
        <v>72</v>
      </c>
      <c r="J1762">
        <v>104.6</v>
      </c>
      <c r="K1762" t="s">
        <v>6099</v>
      </c>
      <c r="L1762" t="s">
        <v>6100</v>
      </c>
      <c r="M1762" t="s">
        <v>6100</v>
      </c>
      <c r="N1762">
        <v>5</v>
      </c>
      <c r="O1762" t="s">
        <v>6101</v>
      </c>
      <c r="P1762" t="s">
        <v>6109</v>
      </c>
      <c r="Q1762">
        <v>3</v>
      </c>
      <c r="R1762">
        <v>2026</v>
      </c>
      <c r="S1762" t="s">
        <v>6100</v>
      </c>
      <c r="T1762">
        <v>0</v>
      </c>
      <c r="U1762" t="s">
        <v>6018</v>
      </c>
      <c r="V1762">
        <v>1</v>
      </c>
    </row>
    <row r="1763" spans="1:22" x14ac:dyDescent="0.3">
      <c r="A1763" t="s">
        <v>1778</v>
      </c>
      <c r="B1763" s="2">
        <v>46096.666666666664</v>
      </c>
      <c r="C1763" s="2">
        <v>46097.037499999999</v>
      </c>
      <c r="D1763" t="s">
        <v>6028</v>
      </c>
      <c r="E1763" t="s">
        <v>6030</v>
      </c>
      <c r="F1763" t="s">
        <v>6034</v>
      </c>
      <c r="G1763" t="s">
        <v>6054</v>
      </c>
      <c r="H1763" t="s">
        <v>6096</v>
      </c>
      <c r="I1763">
        <v>24</v>
      </c>
      <c r="J1763">
        <v>8.9</v>
      </c>
      <c r="K1763" t="s">
        <v>6100</v>
      </c>
      <c r="L1763" t="s">
        <v>6099</v>
      </c>
      <c r="M1763" t="s">
        <v>6100</v>
      </c>
      <c r="N1763">
        <v>4</v>
      </c>
      <c r="O1763" t="s">
        <v>6101</v>
      </c>
      <c r="P1763" t="s">
        <v>6109</v>
      </c>
      <c r="Q1763">
        <v>3</v>
      </c>
      <c r="R1763">
        <v>2026</v>
      </c>
      <c r="S1763" t="s">
        <v>6099</v>
      </c>
      <c r="T1763">
        <v>1</v>
      </c>
      <c r="U1763" t="s">
        <v>6018</v>
      </c>
      <c r="V1763">
        <v>0</v>
      </c>
    </row>
    <row r="1764" spans="1:22" x14ac:dyDescent="0.3">
      <c r="A1764" t="s">
        <v>1779</v>
      </c>
      <c r="B1764" s="2">
        <v>46096.675694444442</v>
      </c>
      <c r="C1764" s="2">
        <v>46096.984027777777</v>
      </c>
      <c r="D1764" t="s">
        <v>6023</v>
      </c>
      <c r="E1764" t="s">
        <v>6029</v>
      </c>
      <c r="F1764" t="s">
        <v>6033</v>
      </c>
      <c r="G1764" t="s">
        <v>6068</v>
      </c>
      <c r="H1764" t="s">
        <v>6098</v>
      </c>
      <c r="I1764">
        <v>72</v>
      </c>
      <c r="J1764">
        <v>7.4</v>
      </c>
      <c r="K1764" t="s">
        <v>6100</v>
      </c>
      <c r="L1764" t="s">
        <v>6099</v>
      </c>
      <c r="M1764" t="s">
        <v>6100</v>
      </c>
      <c r="N1764">
        <v>5</v>
      </c>
      <c r="O1764" t="s">
        <v>6101</v>
      </c>
      <c r="P1764" t="s">
        <v>6109</v>
      </c>
      <c r="Q1764">
        <v>3</v>
      </c>
      <c r="R1764">
        <v>2026</v>
      </c>
      <c r="S1764" t="s">
        <v>6099</v>
      </c>
      <c r="T1764">
        <v>1</v>
      </c>
      <c r="U1764" t="s">
        <v>6021</v>
      </c>
      <c r="V1764">
        <v>0</v>
      </c>
    </row>
    <row r="1765" spans="1:22" x14ac:dyDescent="0.3">
      <c r="A1765" t="s">
        <v>1780</v>
      </c>
      <c r="B1765" s="2">
        <v>46096.679861111108</v>
      </c>
      <c r="C1765" s="2">
        <v>46096.90902777778</v>
      </c>
      <c r="D1765" t="s">
        <v>6023</v>
      </c>
      <c r="E1765" t="s">
        <v>6029</v>
      </c>
      <c r="F1765" t="s">
        <v>6033</v>
      </c>
      <c r="G1765" t="s">
        <v>6061</v>
      </c>
      <c r="H1765" t="s">
        <v>6096</v>
      </c>
      <c r="I1765">
        <v>72</v>
      </c>
      <c r="J1765">
        <v>5.5</v>
      </c>
      <c r="K1765" t="s">
        <v>6100</v>
      </c>
      <c r="L1765" t="s">
        <v>6099</v>
      </c>
      <c r="M1765" t="s">
        <v>6100</v>
      </c>
      <c r="O1765" t="s">
        <v>6101</v>
      </c>
      <c r="P1765" t="s">
        <v>6109</v>
      </c>
      <c r="Q1765">
        <v>3</v>
      </c>
      <c r="R1765">
        <v>2026</v>
      </c>
      <c r="S1765" t="s">
        <v>6099</v>
      </c>
      <c r="T1765">
        <v>1</v>
      </c>
      <c r="U1765" t="s">
        <v>6018</v>
      </c>
      <c r="V1765">
        <v>0</v>
      </c>
    </row>
    <row r="1766" spans="1:22" x14ac:dyDescent="0.3">
      <c r="A1766" t="s">
        <v>1781</v>
      </c>
      <c r="B1766" s="2">
        <v>46096.686805555553</v>
      </c>
      <c r="C1766" s="2">
        <v>46097.315972222219</v>
      </c>
      <c r="D1766" t="s">
        <v>6024</v>
      </c>
      <c r="E1766" t="s">
        <v>6031</v>
      </c>
      <c r="F1766" t="s">
        <v>6035</v>
      </c>
      <c r="G1766" t="s">
        <v>6040</v>
      </c>
      <c r="H1766" t="s">
        <v>6097</v>
      </c>
      <c r="I1766">
        <v>4</v>
      </c>
      <c r="J1766">
        <v>15.1</v>
      </c>
      <c r="K1766" t="s">
        <v>6099</v>
      </c>
      <c r="L1766" t="s">
        <v>6100</v>
      </c>
      <c r="M1766" t="s">
        <v>6100</v>
      </c>
      <c r="N1766">
        <v>4</v>
      </c>
      <c r="O1766" t="s">
        <v>6101</v>
      </c>
      <c r="P1766" t="s">
        <v>6109</v>
      </c>
      <c r="Q1766">
        <v>3</v>
      </c>
      <c r="R1766">
        <v>2026</v>
      </c>
      <c r="S1766" t="s">
        <v>6100</v>
      </c>
      <c r="T1766">
        <v>0</v>
      </c>
      <c r="U1766" t="s">
        <v>6020</v>
      </c>
      <c r="V1766">
        <v>1</v>
      </c>
    </row>
    <row r="1767" spans="1:22" x14ac:dyDescent="0.3">
      <c r="A1767" t="s">
        <v>1782</v>
      </c>
      <c r="B1767" s="2">
        <v>46096.697222222225</v>
      </c>
      <c r="C1767" s="2">
        <v>46104.022222222222</v>
      </c>
      <c r="D1767" t="s">
        <v>6025</v>
      </c>
      <c r="E1767" t="s">
        <v>6031</v>
      </c>
      <c r="F1767" t="s">
        <v>6034</v>
      </c>
      <c r="G1767" t="s">
        <v>6043</v>
      </c>
      <c r="H1767" t="s">
        <v>6097</v>
      </c>
      <c r="I1767">
        <v>24</v>
      </c>
      <c r="J1767">
        <v>175.8</v>
      </c>
      <c r="K1767" t="s">
        <v>6099</v>
      </c>
      <c r="L1767" t="s">
        <v>6100</v>
      </c>
      <c r="M1767" t="s">
        <v>6100</v>
      </c>
      <c r="N1767">
        <v>3</v>
      </c>
      <c r="O1767" t="s">
        <v>6101</v>
      </c>
      <c r="P1767" t="s">
        <v>6109</v>
      </c>
      <c r="Q1767">
        <v>3</v>
      </c>
      <c r="R1767">
        <v>2026</v>
      </c>
      <c r="S1767" t="s">
        <v>6100</v>
      </c>
      <c r="T1767">
        <v>0</v>
      </c>
      <c r="U1767" t="s">
        <v>6018</v>
      </c>
      <c r="V1767">
        <v>1</v>
      </c>
    </row>
    <row r="1768" spans="1:22" x14ac:dyDescent="0.3">
      <c r="A1768" t="s">
        <v>1783</v>
      </c>
      <c r="B1768" s="2">
        <v>46096.708333333336</v>
      </c>
      <c r="C1768" s="2">
        <v>46099.458333333336</v>
      </c>
      <c r="D1768" t="s">
        <v>6028</v>
      </c>
      <c r="E1768" t="s">
        <v>6031</v>
      </c>
      <c r="F1768" t="s">
        <v>6033</v>
      </c>
      <c r="G1768" t="s">
        <v>6057</v>
      </c>
      <c r="H1768" t="s">
        <v>6097</v>
      </c>
      <c r="I1768">
        <v>72</v>
      </c>
      <c r="J1768">
        <v>66</v>
      </c>
      <c r="K1768" t="s">
        <v>6099</v>
      </c>
      <c r="L1768" t="s">
        <v>6100</v>
      </c>
      <c r="M1768" t="s">
        <v>6100</v>
      </c>
      <c r="N1768">
        <v>4</v>
      </c>
      <c r="O1768" t="s">
        <v>6101</v>
      </c>
      <c r="P1768" t="s">
        <v>6109</v>
      </c>
      <c r="Q1768">
        <v>3</v>
      </c>
      <c r="R1768">
        <v>2026</v>
      </c>
      <c r="S1768" t="s">
        <v>6099</v>
      </c>
      <c r="T1768">
        <v>1</v>
      </c>
      <c r="U1768" t="s">
        <v>6018</v>
      </c>
      <c r="V1768">
        <v>1</v>
      </c>
    </row>
    <row r="1769" spans="1:22" x14ac:dyDescent="0.3">
      <c r="A1769" t="s">
        <v>1784</v>
      </c>
      <c r="B1769" s="2">
        <v>46096.729861111111</v>
      </c>
      <c r="C1769" s="2">
        <v>46097.071527777778</v>
      </c>
      <c r="D1769" t="s">
        <v>6024</v>
      </c>
      <c r="E1769" t="s">
        <v>6030</v>
      </c>
      <c r="F1769" t="s">
        <v>6033</v>
      </c>
      <c r="G1769" t="s">
        <v>6062</v>
      </c>
      <c r="H1769" t="s">
        <v>6096</v>
      </c>
      <c r="I1769">
        <v>72</v>
      </c>
      <c r="J1769">
        <v>8.1999999999999993</v>
      </c>
      <c r="K1769" t="s">
        <v>6100</v>
      </c>
      <c r="L1769" t="s">
        <v>6099</v>
      </c>
      <c r="M1769" t="s">
        <v>6100</v>
      </c>
      <c r="N1769">
        <v>3</v>
      </c>
      <c r="O1769" t="s">
        <v>6101</v>
      </c>
      <c r="P1769" t="s">
        <v>6109</v>
      </c>
      <c r="Q1769">
        <v>3</v>
      </c>
      <c r="R1769">
        <v>2026</v>
      </c>
      <c r="S1769" t="s">
        <v>6099</v>
      </c>
      <c r="T1769">
        <v>1</v>
      </c>
      <c r="U1769" t="s">
        <v>6019</v>
      </c>
      <c r="V1769">
        <v>0</v>
      </c>
    </row>
    <row r="1770" spans="1:22" x14ac:dyDescent="0.3">
      <c r="A1770" t="s">
        <v>1785</v>
      </c>
      <c r="B1770" s="2">
        <v>46096.736805555556</v>
      </c>
      <c r="C1770" s="2">
        <v>46101.824305555558</v>
      </c>
      <c r="D1770" t="s">
        <v>6026</v>
      </c>
      <c r="E1770" t="s">
        <v>6031</v>
      </c>
      <c r="F1770" t="s">
        <v>6034</v>
      </c>
      <c r="G1770" t="s">
        <v>6046</v>
      </c>
      <c r="H1770" t="s">
        <v>6098</v>
      </c>
      <c r="I1770">
        <v>24</v>
      </c>
      <c r="J1770">
        <v>122.1</v>
      </c>
      <c r="K1770" t="s">
        <v>6099</v>
      </c>
      <c r="L1770" t="s">
        <v>6100</v>
      </c>
      <c r="M1770" t="s">
        <v>6100</v>
      </c>
      <c r="N1770">
        <v>5</v>
      </c>
      <c r="O1770" t="s">
        <v>6101</v>
      </c>
      <c r="P1770" t="s">
        <v>6109</v>
      </c>
      <c r="Q1770">
        <v>3</v>
      </c>
      <c r="R1770">
        <v>2026</v>
      </c>
      <c r="S1770" t="s">
        <v>6100</v>
      </c>
      <c r="T1770">
        <v>0</v>
      </c>
      <c r="U1770" t="s">
        <v>6020</v>
      </c>
      <c r="V1770">
        <v>1</v>
      </c>
    </row>
    <row r="1771" spans="1:22" x14ac:dyDescent="0.3">
      <c r="A1771" t="s">
        <v>1786</v>
      </c>
      <c r="B1771" s="2">
        <v>46096.75</v>
      </c>
      <c r="C1771" s="2">
        <v>46098.279166666667</v>
      </c>
      <c r="D1771" t="s">
        <v>6028</v>
      </c>
      <c r="E1771" t="s">
        <v>6030</v>
      </c>
      <c r="F1771" t="s">
        <v>6034</v>
      </c>
      <c r="G1771" t="s">
        <v>6062</v>
      </c>
      <c r="H1771" t="s">
        <v>6096</v>
      </c>
      <c r="I1771">
        <v>24</v>
      </c>
      <c r="J1771">
        <v>36.700000000000003</v>
      </c>
      <c r="K1771" t="s">
        <v>6099</v>
      </c>
      <c r="L1771" t="s">
        <v>6100</v>
      </c>
      <c r="M1771" t="s">
        <v>6100</v>
      </c>
      <c r="O1771" t="s">
        <v>6101</v>
      </c>
      <c r="P1771" t="s">
        <v>6109</v>
      </c>
      <c r="Q1771">
        <v>3</v>
      </c>
      <c r="R1771">
        <v>2026</v>
      </c>
      <c r="S1771" t="s">
        <v>6100</v>
      </c>
      <c r="T1771">
        <v>0</v>
      </c>
      <c r="U1771" t="s">
        <v>6018</v>
      </c>
      <c r="V1771">
        <v>1</v>
      </c>
    </row>
    <row r="1772" spans="1:22" x14ac:dyDescent="0.3">
      <c r="A1772" t="s">
        <v>1787</v>
      </c>
      <c r="B1772" s="2">
        <v>46096.75</v>
      </c>
      <c r="C1772" s="2">
        <v>46097.65</v>
      </c>
      <c r="D1772" t="s">
        <v>6028</v>
      </c>
      <c r="E1772" t="s">
        <v>6030</v>
      </c>
      <c r="F1772" t="s">
        <v>6034</v>
      </c>
      <c r="G1772" t="s">
        <v>6062</v>
      </c>
      <c r="H1772" t="s">
        <v>6096</v>
      </c>
      <c r="I1772">
        <v>24</v>
      </c>
      <c r="J1772">
        <v>21.6</v>
      </c>
      <c r="K1772" t="s">
        <v>6099</v>
      </c>
      <c r="L1772" t="s">
        <v>6100</v>
      </c>
      <c r="M1772" t="s">
        <v>6100</v>
      </c>
      <c r="N1772">
        <v>5</v>
      </c>
      <c r="O1772" t="s">
        <v>6101</v>
      </c>
      <c r="P1772" t="s">
        <v>6109</v>
      </c>
      <c r="Q1772">
        <v>3</v>
      </c>
      <c r="R1772">
        <v>2026</v>
      </c>
      <c r="S1772" t="s">
        <v>6099</v>
      </c>
      <c r="T1772">
        <v>1</v>
      </c>
      <c r="U1772" t="s">
        <v>6018</v>
      </c>
      <c r="V1772">
        <v>1</v>
      </c>
    </row>
    <row r="1773" spans="1:22" x14ac:dyDescent="0.3">
      <c r="A1773" t="s">
        <v>1788</v>
      </c>
      <c r="B1773" s="2">
        <v>46096.75</v>
      </c>
      <c r="C1773" s="2">
        <v>46097.025000000001</v>
      </c>
      <c r="D1773" t="s">
        <v>6028</v>
      </c>
      <c r="E1773" t="s">
        <v>6030</v>
      </c>
      <c r="F1773" t="s">
        <v>6033</v>
      </c>
      <c r="G1773" t="s">
        <v>6044</v>
      </c>
      <c r="H1773" t="s">
        <v>6097</v>
      </c>
      <c r="I1773">
        <v>72</v>
      </c>
      <c r="J1773">
        <v>6.6</v>
      </c>
      <c r="K1773" t="s">
        <v>6099</v>
      </c>
      <c r="L1773" t="s">
        <v>6100</v>
      </c>
      <c r="M1773" t="s">
        <v>6100</v>
      </c>
      <c r="N1773">
        <v>5</v>
      </c>
      <c r="O1773" t="s">
        <v>6101</v>
      </c>
      <c r="P1773" t="s">
        <v>6109</v>
      </c>
      <c r="Q1773">
        <v>3</v>
      </c>
      <c r="R1773">
        <v>2026</v>
      </c>
      <c r="S1773" t="s">
        <v>6099</v>
      </c>
      <c r="T1773">
        <v>1</v>
      </c>
      <c r="U1773" t="s">
        <v>6018</v>
      </c>
      <c r="V1773">
        <v>1</v>
      </c>
    </row>
    <row r="1774" spans="1:22" x14ac:dyDescent="0.3">
      <c r="A1774" t="s">
        <v>1789</v>
      </c>
      <c r="B1774" s="2">
        <v>46096.75</v>
      </c>
      <c r="C1774" s="2">
        <v>46101.791666666664</v>
      </c>
      <c r="D1774" t="s">
        <v>6028</v>
      </c>
      <c r="E1774" t="s">
        <v>6032</v>
      </c>
      <c r="F1774" t="s">
        <v>6034</v>
      </c>
      <c r="G1774" t="s">
        <v>6063</v>
      </c>
      <c r="H1774" t="s">
        <v>6097</v>
      </c>
      <c r="I1774">
        <v>24</v>
      </c>
      <c r="J1774">
        <v>121</v>
      </c>
      <c r="K1774" t="s">
        <v>6099</v>
      </c>
      <c r="L1774" t="s">
        <v>6100</v>
      </c>
      <c r="M1774" t="s">
        <v>6100</v>
      </c>
      <c r="N1774">
        <v>2</v>
      </c>
      <c r="O1774" t="s">
        <v>6101</v>
      </c>
      <c r="P1774" t="s">
        <v>6109</v>
      </c>
      <c r="Q1774">
        <v>3</v>
      </c>
      <c r="R1774">
        <v>2026</v>
      </c>
      <c r="S1774" t="s">
        <v>6100</v>
      </c>
      <c r="T1774">
        <v>0</v>
      </c>
      <c r="U1774" t="s">
        <v>6018</v>
      </c>
      <c r="V1774">
        <v>1</v>
      </c>
    </row>
    <row r="1775" spans="1:22" x14ac:dyDescent="0.3">
      <c r="A1775" t="s">
        <v>1790</v>
      </c>
      <c r="B1775" s="2">
        <v>46096.774305555555</v>
      </c>
      <c r="C1775" s="2">
        <v>46098.095138888886</v>
      </c>
      <c r="D1775" t="s">
        <v>6023</v>
      </c>
      <c r="E1775" t="s">
        <v>6032</v>
      </c>
      <c r="F1775" t="s">
        <v>6034</v>
      </c>
      <c r="G1775" t="s">
        <v>6063</v>
      </c>
      <c r="H1775" t="s">
        <v>6097</v>
      </c>
      <c r="I1775">
        <v>24</v>
      </c>
      <c r="J1775">
        <v>31.7</v>
      </c>
      <c r="K1775" t="s">
        <v>6099</v>
      </c>
      <c r="L1775" t="s">
        <v>6100</v>
      </c>
      <c r="M1775" t="s">
        <v>6099</v>
      </c>
      <c r="N1775">
        <v>3</v>
      </c>
      <c r="O1775" t="s">
        <v>6101</v>
      </c>
      <c r="P1775" t="s">
        <v>6109</v>
      </c>
      <c r="Q1775">
        <v>3</v>
      </c>
      <c r="R1775">
        <v>2026</v>
      </c>
      <c r="S1775" t="s">
        <v>6100</v>
      </c>
      <c r="T1775">
        <v>0</v>
      </c>
      <c r="U1775" t="s">
        <v>6020</v>
      </c>
      <c r="V1775">
        <v>1</v>
      </c>
    </row>
    <row r="1776" spans="1:22" x14ac:dyDescent="0.3">
      <c r="A1776" t="s">
        <v>1791</v>
      </c>
      <c r="B1776" s="2">
        <v>46096.777777777781</v>
      </c>
      <c r="C1776" s="2">
        <v>46101.640277777777</v>
      </c>
      <c r="D1776" t="s">
        <v>6025</v>
      </c>
      <c r="E1776" t="s">
        <v>6032</v>
      </c>
      <c r="F1776" t="s">
        <v>6033</v>
      </c>
      <c r="G1776" t="s">
        <v>6070</v>
      </c>
      <c r="H1776" t="s">
        <v>6097</v>
      </c>
      <c r="I1776">
        <v>72</v>
      </c>
      <c r="J1776">
        <v>116.7</v>
      </c>
      <c r="K1776" t="s">
        <v>6099</v>
      </c>
      <c r="L1776" t="s">
        <v>6100</v>
      </c>
      <c r="M1776" t="s">
        <v>6100</v>
      </c>
      <c r="N1776">
        <v>4</v>
      </c>
      <c r="O1776" t="s">
        <v>6101</v>
      </c>
      <c r="P1776" t="s">
        <v>6109</v>
      </c>
      <c r="Q1776">
        <v>3</v>
      </c>
      <c r="R1776">
        <v>2026</v>
      </c>
      <c r="S1776" t="s">
        <v>6100</v>
      </c>
      <c r="T1776">
        <v>0</v>
      </c>
      <c r="U1776" t="s">
        <v>6020</v>
      </c>
      <c r="V1776">
        <v>1</v>
      </c>
    </row>
    <row r="1777" spans="1:22" x14ac:dyDescent="0.3">
      <c r="A1777" t="s">
        <v>1792</v>
      </c>
      <c r="B1777" s="2">
        <v>46096.791666666664</v>
      </c>
      <c r="C1777" s="2">
        <v>46097.925000000003</v>
      </c>
      <c r="D1777" t="s">
        <v>6028</v>
      </c>
      <c r="E1777" t="s">
        <v>6029</v>
      </c>
      <c r="F1777" t="s">
        <v>6035</v>
      </c>
      <c r="G1777" t="s">
        <v>6059</v>
      </c>
      <c r="H1777" t="s">
        <v>6097</v>
      </c>
      <c r="I1777">
        <v>4</v>
      </c>
      <c r="J1777">
        <v>27.2</v>
      </c>
      <c r="K1777" t="s">
        <v>6099</v>
      </c>
      <c r="L1777" t="s">
        <v>6100</v>
      </c>
      <c r="M1777" t="s">
        <v>6100</v>
      </c>
      <c r="O1777" t="s">
        <v>6101</v>
      </c>
      <c r="P1777" t="s">
        <v>6109</v>
      </c>
      <c r="Q1777">
        <v>3</v>
      </c>
      <c r="R1777">
        <v>2026</v>
      </c>
      <c r="S1777" t="s">
        <v>6100</v>
      </c>
      <c r="T1777">
        <v>0</v>
      </c>
      <c r="U1777" t="s">
        <v>6018</v>
      </c>
      <c r="V1777">
        <v>1</v>
      </c>
    </row>
    <row r="1778" spans="1:22" x14ac:dyDescent="0.3">
      <c r="A1778" t="s">
        <v>1793</v>
      </c>
      <c r="B1778" s="2">
        <v>46096.791666666664</v>
      </c>
      <c r="C1778" s="2">
        <v>46098.229166666664</v>
      </c>
      <c r="D1778" t="s">
        <v>6028</v>
      </c>
      <c r="E1778" t="s">
        <v>6029</v>
      </c>
      <c r="F1778" t="s">
        <v>6035</v>
      </c>
      <c r="G1778" t="s">
        <v>6045</v>
      </c>
      <c r="H1778" t="s">
        <v>6096</v>
      </c>
      <c r="I1778">
        <v>4</v>
      </c>
      <c r="J1778">
        <v>34.5</v>
      </c>
      <c r="K1778" t="s">
        <v>6099</v>
      </c>
      <c r="L1778" t="s">
        <v>6100</v>
      </c>
      <c r="M1778" t="s">
        <v>6099</v>
      </c>
      <c r="N1778">
        <v>4</v>
      </c>
      <c r="O1778" t="s">
        <v>6101</v>
      </c>
      <c r="P1778" t="s">
        <v>6109</v>
      </c>
      <c r="Q1778">
        <v>3</v>
      </c>
      <c r="R1778">
        <v>2026</v>
      </c>
      <c r="S1778" t="s">
        <v>6100</v>
      </c>
      <c r="T1778">
        <v>0</v>
      </c>
      <c r="U1778" t="s">
        <v>6018</v>
      </c>
      <c r="V1778">
        <v>1</v>
      </c>
    </row>
    <row r="1779" spans="1:22" x14ac:dyDescent="0.3">
      <c r="A1779" t="s">
        <v>1794</v>
      </c>
      <c r="B1779" s="2">
        <v>46096.832638888889</v>
      </c>
      <c r="C1779" s="2">
        <v>46097.145138888889</v>
      </c>
      <c r="D1779" t="s">
        <v>6023</v>
      </c>
      <c r="E1779" t="s">
        <v>6030</v>
      </c>
      <c r="F1779" t="s">
        <v>6033</v>
      </c>
      <c r="G1779" t="s">
        <v>6068</v>
      </c>
      <c r="H1779" t="s">
        <v>6098</v>
      </c>
      <c r="I1779">
        <v>72</v>
      </c>
      <c r="J1779">
        <v>7.5</v>
      </c>
      <c r="K1779" t="s">
        <v>6099</v>
      </c>
      <c r="L1779" t="s">
        <v>6100</v>
      </c>
      <c r="M1779" t="s">
        <v>6100</v>
      </c>
      <c r="O1779" t="s">
        <v>6101</v>
      </c>
      <c r="P1779" t="s">
        <v>6109</v>
      </c>
      <c r="Q1779">
        <v>3</v>
      </c>
      <c r="R1779">
        <v>2026</v>
      </c>
      <c r="S1779" t="s">
        <v>6099</v>
      </c>
      <c r="T1779">
        <v>1</v>
      </c>
      <c r="U1779" t="s">
        <v>6019</v>
      </c>
      <c r="V1779">
        <v>1</v>
      </c>
    </row>
    <row r="1780" spans="1:22" x14ac:dyDescent="0.3">
      <c r="A1780" t="s">
        <v>1795</v>
      </c>
      <c r="B1780" s="2">
        <v>46096.833333333336</v>
      </c>
      <c r="C1780" s="2">
        <v>46100.70416666667</v>
      </c>
      <c r="D1780" t="s">
        <v>6028</v>
      </c>
      <c r="E1780" t="s">
        <v>6031</v>
      </c>
      <c r="F1780" t="s">
        <v>6035</v>
      </c>
      <c r="G1780" t="s">
        <v>6087</v>
      </c>
      <c r="H1780" t="s">
        <v>6098</v>
      </c>
      <c r="I1780">
        <v>4</v>
      </c>
      <c r="J1780">
        <v>92.9</v>
      </c>
      <c r="K1780" t="s">
        <v>6099</v>
      </c>
      <c r="L1780" t="s">
        <v>6100</v>
      </c>
      <c r="M1780" t="s">
        <v>6100</v>
      </c>
      <c r="N1780">
        <v>3</v>
      </c>
      <c r="O1780" t="s">
        <v>6101</v>
      </c>
      <c r="P1780" t="s">
        <v>6109</v>
      </c>
      <c r="Q1780">
        <v>3</v>
      </c>
      <c r="R1780">
        <v>2026</v>
      </c>
      <c r="S1780" t="s">
        <v>6100</v>
      </c>
      <c r="T1780">
        <v>0</v>
      </c>
      <c r="U1780" t="s">
        <v>6018</v>
      </c>
      <c r="V1780">
        <v>1</v>
      </c>
    </row>
    <row r="1781" spans="1:22" x14ac:dyDescent="0.3">
      <c r="A1781" t="s">
        <v>1796</v>
      </c>
      <c r="B1781" s="2">
        <v>46096.833333333336</v>
      </c>
      <c r="C1781" s="2">
        <v>46102.120833333334</v>
      </c>
      <c r="D1781" t="s">
        <v>6028</v>
      </c>
      <c r="E1781" t="s">
        <v>6031</v>
      </c>
      <c r="F1781" t="s">
        <v>6035</v>
      </c>
      <c r="G1781" t="s">
        <v>6093</v>
      </c>
      <c r="H1781" t="s">
        <v>6097</v>
      </c>
      <c r="I1781">
        <v>4</v>
      </c>
      <c r="J1781">
        <v>126.9</v>
      </c>
      <c r="K1781" t="s">
        <v>6099</v>
      </c>
      <c r="L1781" t="s">
        <v>6100</v>
      </c>
      <c r="M1781" t="s">
        <v>6099</v>
      </c>
      <c r="O1781" t="s">
        <v>6101</v>
      </c>
      <c r="P1781" t="s">
        <v>6109</v>
      </c>
      <c r="Q1781">
        <v>3</v>
      </c>
      <c r="R1781">
        <v>2026</v>
      </c>
      <c r="S1781" t="s">
        <v>6100</v>
      </c>
      <c r="T1781">
        <v>0</v>
      </c>
      <c r="U1781" t="s">
        <v>6018</v>
      </c>
      <c r="V1781">
        <v>1</v>
      </c>
    </row>
    <row r="1782" spans="1:22" x14ac:dyDescent="0.3">
      <c r="A1782" t="s">
        <v>1797</v>
      </c>
      <c r="B1782" s="2">
        <v>46096.833333333336</v>
      </c>
      <c r="C1782" s="2">
        <v>46098.9375</v>
      </c>
      <c r="D1782" t="s">
        <v>6028</v>
      </c>
      <c r="E1782" t="s">
        <v>6031</v>
      </c>
      <c r="F1782" t="s">
        <v>6034</v>
      </c>
      <c r="G1782" t="s">
        <v>6055</v>
      </c>
      <c r="H1782" t="s">
        <v>6096</v>
      </c>
      <c r="I1782">
        <v>24</v>
      </c>
      <c r="J1782">
        <v>50.5</v>
      </c>
      <c r="K1782" t="s">
        <v>6100</v>
      </c>
      <c r="L1782" t="s">
        <v>6099</v>
      </c>
      <c r="M1782" t="s">
        <v>6099</v>
      </c>
      <c r="N1782">
        <v>2</v>
      </c>
      <c r="O1782" t="s">
        <v>6101</v>
      </c>
      <c r="P1782" t="s">
        <v>6109</v>
      </c>
      <c r="Q1782">
        <v>3</v>
      </c>
      <c r="R1782">
        <v>2026</v>
      </c>
      <c r="S1782" t="s">
        <v>6100</v>
      </c>
      <c r="T1782">
        <v>0</v>
      </c>
      <c r="U1782" t="s">
        <v>6018</v>
      </c>
      <c r="V1782">
        <v>0</v>
      </c>
    </row>
    <row r="1783" spans="1:22" x14ac:dyDescent="0.3">
      <c r="A1783" t="s">
        <v>1798</v>
      </c>
      <c r="B1783" s="2">
        <v>46096.833333333336</v>
      </c>
      <c r="C1783" s="2">
        <v>46097.64166666667</v>
      </c>
      <c r="D1783" t="s">
        <v>6028</v>
      </c>
      <c r="E1783" t="s">
        <v>6029</v>
      </c>
      <c r="F1783" t="s">
        <v>6034</v>
      </c>
      <c r="G1783" t="s">
        <v>6081</v>
      </c>
      <c r="H1783" t="s">
        <v>6098</v>
      </c>
      <c r="I1783">
        <v>24</v>
      </c>
      <c r="J1783">
        <v>19.399999999999999</v>
      </c>
      <c r="K1783" t="s">
        <v>6099</v>
      </c>
      <c r="L1783" t="s">
        <v>6100</v>
      </c>
      <c r="M1783" t="s">
        <v>6100</v>
      </c>
      <c r="N1783">
        <v>4</v>
      </c>
      <c r="O1783" t="s">
        <v>6101</v>
      </c>
      <c r="P1783" t="s">
        <v>6109</v>
      </c>
      <c r="Q1783">
        <v>3</v>
      </c>
      <c r="R1783">
        <v>2026</v>
      </c>
      <c r="S1783" t="s">
        <v>6099</v>
      </c>
      <c r="T1783">
        <v>1</v>
      </c>
      <c r="U1783" t="s">
        <v>6018</v>
      </c>
      <c r="V1783">
        <v>1</v>
      </c>
    </row>
    <row r="1784" spans="1:22" x14ac:dyDescent="0.3">
      <c r="A1784" t="s">
        <v>1799</v>
      </c>
      <c r="B1784" s="2">
        <v>46096.863888888889</v>
      </c>
      <c r="C1784" s="2">
        <v>46097.351388888892</v>
      </c>
      <c r="D1784" t="s">
        <v>6023</v>
      </c>
      <c r="E1784" t="s">
        <v>6032</v>
      </c>
      <c r="F1784" t="s">
        <v>6033</v>
      </c>
      <c r="G1784" t="s">
        <v>6068</v>
      </c>
      <c r="H1784" t="s">
        <v>6098</v>
      </c>
      <c r="I1784">
        <v>72</v>
      </c>
      <c r="J1784">
        <v>11.7</v>
      </c>
      <c r="K1784" t="s">
        <v>6099</v>
      </c>
      <c r="L1784" t="s">
        <v>6100</v>
      </c>
      <c r="M1784" t="s">
        <v>6100</v>
      </c>
      <c r="O1784" t="s">
        <v>6101</v>
      </c>
      <c r="P1784" t="s">
        <v>6109</v>
      </c>
      <c r="Q1784">
        <v>3</v>
      </c>
      <c r="R1784">
        <v>2026</v>
      </c>
      <c r="S1784" t="s">
        <v>6099</v>
      </c>
      <c r="T1784">
        <v>1</v>
      </c>
      <c r="U1784" t="s">
        <v>6021</v>
      </c>
      <c r="V1784">
        <v>1</v>
      </c>
    </row>
    <row r="1785" spans="1:22" x14ac:dyDescent="0.3">
      <c r="A1785" t="s">
        <v>1800</v>
      </c>
      <c r="B1785" s="2">
        <v>46096.875</v>
      </c>
      <c r="C1785" s="2">
        <v>46099.1</v>
      </c>
      <c r="D1785" t="s">
        <v>6028</v>
      </c>
      <c r="E1785" t="s">
        <v>6029</v>
      </c>
      <c r="F1785" t="s">
        <v>6034</v>
      </c>
      <c r="G1785" t="s">
        <v>6062</v>
      </c>
      <c r="H1785" t="s">
        <v>6096</v>
      </c>
      <c r="I1785">
        <v>24</v>
      </c>
      <c r="J1785">
        <v>53.4</v>
      </c>
      <c r="K1785" t="s">
        <v>6100</v>
      </c>
      <c r="L1785" t="s">
        <v>6099</v>
      </c>
      <c r="M1785" t="s">
        <v>6100</v>
      </c>
      <c r="N1785">
        <v>3</v>
      </c>
      <c r="O1785" t="s">
        <v>6101</v>
      </c>
      <c r="P1785" t="s">
        <v>6109</v>
      </c>
      <c r="Q1785">
        <v>3</v>
      </c>
      <c r="R1785">
        <v>2026</v>
      </c>
      <c r="S1785" t="s">
        <v>6100</v>
      </c>
      <c r="T1785">
        <v>0</v>
      </c>
      <c r="U1785" t="s">
        <v>6018</v>
      </c>
      <c r="V1785">
        <v>0</v>
      </c>
    </row>
    <row r="1786" spans="1:22" x14ac:dyDescent="0.3">
      <c r="A1786" t="s">
        <v>1801</v>
      </c>
      <c r="B1786" s="2">
        <v>46096.875</v>
      </c>
      <c r="C1786" s="2">
        <v>46099.675000000003</v>
      </c>
      <c r="D1786" t="s">
        <v>6028</v>
      </c>
      <c r="E1786" t="s">
        <v>6031</v>
      </c>
      <c r="F1786" t="s">
        <v>6034</v>
      </c>
      <c r="G1786" t="s">
        <v>6085</v>
      </c>
      <c r="H1786" t="s">
        <v>6097</v>
      </c>
      <c r="I1786">
        <v>24</v>
      </c>
      <c r="J1786">
        <v>67.2</v>
      </c>
      <c r="K1786" t="s">
        <v>6099</v>
      </c>
      <c r="L1786" t="s">
        <v>6100</v>
      </c>
      <c r="M1786" t="s">
        <v>6100</v>
      </c>
      <c r="N1786">
        <v>3</v>
      </c>
      <c r="O1786" t="s">
        <v>6101</v>
      </c>
      <c r="P1786" t="s">
        <v>6109</v>
      </c>
      <c r="Q1786">
        <v>3</v>
      </c>
      <c r="R1786">
        <v>2026</v>
      </c>
      <c r="S1786" t="s">
        <v>6100</v>
      </c>
      <c r="T1786">
        <v>0</v>
      </c>
      <c r="U1786" t="s">
        <v>6018</v>
      </c>
      <c r="V1786">
        <v>1</v>
      </c>
    </row>
    <row r="1787" spans="1:22" x14ac:dyDescent="0.3">
      <c r="A1787" t="s">
        <v>1802</v>
      </c>
      <c r="B1787" s="2">
        <v>46096.875</v>
      </c>
      <c r="C1787" s="2">
        <v>46098.162499999999</v>
      </c>
      <c r="D1787" t="s">
        <v>6028</v>
      </c>
      <c r="E1787" t="s">
        <v>6031</v>
      </c>
      <c r="F1787" t="s">
        <v>6034</v>
      </c>
      <c r="G1787" t="s">
        <v>6039</v>
      </c>
      <c r="H1787" t="s">
        <v>6097</v>
      </c>
      <c r="I1787">
        <v>24</v>
      </c>
      <c r="J1787">
        <v>30.9</v>
      </c>
      <c r="K1787" t="s">
        <v>6099</v>
      </c>
      <c r="L1787" t="s">
        <v>6100</v>
      </c>
      <c r="M1787" t="s">
        <v>6100</v>
      </c>
      <c r="O1787" t="s">
        <v>6101</v>
      </c>
      <c r="P1787" t="s">
        <v>6109</v>
      </c>
      <c r="Q1787">
        <v>3</v>
      </c>
      <c r="R1787">
        <v>2026</v>
      </c>
      <c r="S1787" t="s">
        <v>6100</v>
      </c>
      <c r="T1787">
        <v>0</v>
      </c>
      <c r="U1787" t="s">
        <v>6018</v>
      </c>
      <c r="V1787">
        <v>1</v>
      </c>
    </row>
    <row r="1788" spans="1:22" x14ac:dyDescent="0.3">
      <c r="A1788" t="s">
        <v>1803</v>
      </c>
      <c r="B1788" s="2">
        <v>46096.964583333334</v>
      </c>
      <c r="C1788" s="2">
        <v>46122.939583333333</v>
      </c>
      <c r="D1788" t="s">
        <v>6026</v>
      </c>
      <c r="E1788" t="s">
        <v>6031</v>
      </c>
      <c r="F1788" t="s">
        <v>6033</v>
      </c>
      <c r="G1788" t="s">
        <v>6092</v>
      </c>
      <c r="H1788" t="s">
        <v>6097</v>
      </c>
      <c r="I1788">
        <v>72</v>
      </c>
      <c r="J1788">
        <v>623.4</v>
      </c>
      <c r="K1788" t="s">
        <v>6100</v>
      </c>
      <c r="L1788" t="s">
        <v>6100</v>
      </c>
      <c r="M1788" t="s">
        <v>6100</v>
      </c>
      <c r="N1788">
        <v>2</v>
      </c>
      <c r="O1788" t="s">
        <v>6101</v>
      </c>
      <c r="P1788" t="s">
        <v>6109</v>
      </c>
      <c r="Q1788">
        <v>3</v>
      </c>
      <c r="R1788">
        <v>2026</v>
      </c>
      <c r="S1788" t="s">
        <v>6100</v>
      </c>
      <c r="T1788">
        <v>0</v>
      </c>
      <c r="U1788" t="s">
        <v>6018</v>
      </c>
      <c r="V1788">
        <v>0</v>
      </c>
    </row>
    <row r="1789" spans="1:22" x14ac:dyDescent="0.3">
      <c r="A1789" t="s">
        <v>1804</v>
      </c>
      <c r="B1789" s="2">
        <v>46097.327777777777</v>
      </c>
      <c r="C1789" s="2">
        <v>46098.527777777781</v>
      </c>
      <c r="D1789" t="s">
        <v>6022</v>
      </c>
      <c r="E1789" t="s">
        <v>6031</v>
      </c>
      <c r="F1789" t="s">
        <v>6034</v>
      </c>
      <c r="G1789" t="s">
        <v>6059</v>
      </c>
      <c r="H1789" t="s">
        <v>6097</v>
      </c>
      <c r="I1789">
        <v>24</v>
      </c>
      <c r="J1789">
        <v>28.8</v>
      </c>
      <c r="K1789" t="s">
        <v>6099</v>
      </c>
      <c r="L1789" t="s">
        <v>6100</v>
      </c>
      <c r="M1789" t="s">
        <v>6100</v>
      </c>
      <c r="N1789">
        <v>4</v>
      </c>
      <c r="O1789" t="s">
        <v>6101</v>
      </c>
      <c r="P1789" t="s">
        <v>6109</v>
      </c>
      <c r="Q1789">
        <v>3</v>
      </c>
      <c r="R1789">
        <v>2026</v>
      </c>
      <c r="S1789" t="s">
        <v>6100</v>
      </c>
      <c r="T1789">
        <v>0</v>
      </c>
      <c r="U1789" t="s">
        <v>6019</v>
      </c>
      <c r="V1789">
        <v>1</v>
      </c>
    </row>
    <row r="1790" spans="1:22" x14ac:dyDescent="0.3">
      <c r="A1790" t="s">
        <v>1805</v>
      </c>
      <c r="B1790" s="2">
        <v>46097.402083333334</v>
      </c>
      <c r="C1790" s="2">
        <v>46097.506249999999</v>
      </c>
      <c r="D1790" t="s">
        <v>6028</v>
      </c>
      <c r="E1790" t="s">
        <v>6029</v>
      </c>
      <c r="F1790" t="s">
        <v>6034</v>
      </c>
      <c r="G1790" t="s">
        <v>6069</v>
      </c>
      <c r="H1790" t="s">
        <v>6098</v>
      </c>
      <c r="I1790">
        <v>24</v>
      </c>
      <c r="J1790">
        <v>2.5</v>
      </c>
      <c r="K1790" t="s">
        <v>6099</v>
      </c>
      <c r="L1790" t="s">
        <v>6100</v>
      </c>
      <c r="M1790" t="s">
        <v>6100</v>
      </c>
      <c r="N1790">
        <v>5</v>
      </c>
      <c r="O1790" t="s">
        <v>6101</v>
      </c>
      <c r="P1790" t="s">
        <v>6109</v>
      </c>
      <c r="Q1790">
        <v>3</v>
      </c>
      <c r="R1790">
        <v>2026</v>
      </c>
      <c r="S1790" t="s">
        <v>6099</v>
      </c>
      <c r="T1790">
        <v>1</v>
      </c>
      <c r="U1790" t="s">
        <v>6018</v>
      </c>
      <c r="V1790">
        <v>1</v>
      </c>
    </row>
    <row r="1791" spans="1:22" x14ac:dyDescent="0.3">
      <c r="A1791" t="s">
        <v>1806</v>
      </c>
      <c r="B1791" s="2">
        <v>46097.421527777777</v>
      </c>
      <c r="C1791" s="2">
        <v>46097.700694444444</v>
      </c>
      <c r="D1791" t="s">
        <v>6024</v>
      </c>
      <c r="E1791" t="s">
        <v>6030</v>
      </c>
      <c r="F1791" t="s">
        <v>6034</v>
      </c>
      <c r="G1791" t="s">
        <v>6084</v>
      </c>
      <c r="H1791" t="s">
        <v>6098</v>
      </c>
      <c r="I1791">
        <v>24</v>
      </c>
      <c r="J1791">
        <v>6.7</v>
      </c>
      <c r="K1791" t="s">
        <v>6099</v>
      </c>
      <c r="L1791" t="s">
        <v>6100</v>
      </c>
      <c r="M1791" t="s">
        <v>6100</v>
      </c>
      <c r="O1791" t="s">
        <v>6101</v>
      </c>
      <c r="P1791" t="s">
        <v>6109</v>
      </c>
      <c r="Q1791">
        <v>3</v>
      </c>
      <c r="R1791">
        <v>2026</v>
      </c>
      <c r="S1791" t="s">
        <v>6099</v>
      </c>
      <c r="T1791">
        <v>1</v>
      </c>
      <c r="U1791" t="s">
        <v>6021</v>
      </c>
      <c r="V1791">
        <v>1</v>
      </c>
    </row>
    <row r="1792" spans="1:22" x14ac:dyDescent="0.3">
      <c r="A1792" t="s">
        <v>1807</v>
      </c>
      <c r="B1792" s="2">
        <v>46097.454861111109</v>
      </c>
      <c r="C1792" s="2">
        <v>46097.854861111111</v>
      </c>
      <c r="D1792" t="s">
        <v>6028</v>
      </c>
      <c r="E1792" t="s">
        <v>6029</v>
      </c>
      <c r="F1792" t="s">
        <v>6034</v>
      </c>
      <c r="G1792" t="s">
        <v>6051</v>
      </c>
      <c r="H1792" t="s">
        <v>6097</v>
      </c>
      <c r="I1792">
        <v>24</v>
      </c>
      <c r="J1792">
        <v>9.6</v>
      </c>
      <c r="K1792" t="s">
        <v>6099</v>
      </c>
      <c r="L1792" t="s">
        <v>6100</v>
      </c>
      <c r="M1792" t="s">
        <v>6100</v>
      </c>
      <c r="O1792" t="s">
        <v>6101</v>
      </c>
      <c r="P1792" t="s">
        <v>6109</v>
      </c>
      <c r="Q1792">
        <v>3</v>
      </c>
      <c r="R1792">
        <v>2026</v>
      </c>
      <c r="S1792" t="s">
        <v>6099</v>
      </c>
      <c r="T1792">
        <v>1</v>
      </c>
      <c r="U1792" t="s">
        <v>6020</v>
      </c>
      <c r="V1792">
        <v>1</v>
      </c>
    </row>
    <row r="1793" spans="1:22" x14ac:dyDescent="0.3">
      <c r="A1793" t="s">
        <v>1808</v>
      </c>
      <c r="B1793" s="2">
        <v>46097.536805555559</v>
      </c>
      <c r="C1793" s="2">
        <v>46098.065972222219</v>
      </c>
      <c r="D1793" t="s">
        <v>6023</v>
      </c>
      <c r="E1793" t="s">
        <v>6032</v>
      </c>
      <c r="F1793" t="s">
        <v>6035</v>
      </c>
      <c r="G1793" t="s">
        <v>6088</v>
      </c>
      <c r="H1793" t="s">
        <v>6097</v>
      </c>
      <c r="I1793">
        <v>4</v>
      </c>
      <c r="J1793">
        <v>12.7</v>
      </c>
      <c r="K1793" t="s">
        <v>6099</v>
      </c>
      <c r="L1793" t="s">
        <v>6100</v>
      </c>
      <c r="M1793" t="s">
        <v>6100</v>
      </c>
      <c r="O1793" t="s">
        <v>6101</v>
      </c>
      <c r="P1793" t="s">
        <v>6109</v>
      </c>
      <c r="Q1793">
        <v>3</v>
      </c>
      <c r="R1793">
        <v>2026</v>
      </c>
      <c r="S1793" t="s">
        <v>6100</v>
      </c>
      <c r="T1793">
        <v>0</v>
      </c>
      <c r="U1793" t="s">
        <v>6019</v>
      </c>
      <c r="V1793">
        <v>1</v>
      </c>
    </row>
    <row r="1794" spans="1:22" x14ac:dyDescent="0.3">
      <c r="A1794" t="s">
        <v>1809</v>
      </c>
      <c r="B1794" s="2">
        <v>46097.568055555559</v>
      </c>
      <c r="C1794" s="2">
        <v>46098.659722222219</v>
      </c>
      <c r="D1794" t="s">
        <v>6022</v>
      </c>
      <c r="E1794" t="s">
        <v>6031</v>
      </c>
      <c r="F1794" t="s">
        <v>6035</v>
      </c>
      <c r="G1794" t="s">
        <v>6062</v>
      </c>
      <c r="H1794" t="s">
        <v>6096</v>
      </c>
      <c r="I1794">
        <v>4</v>
      </c>
      <c r="J1794">
        <v>26.2</v>
      </c>
      <c r="K1794" t="s">
        <v>6099</v>
      </c>
      <c r="L1794" t="s">
        <v>6100</v>
      </c>
      <c r="M1794" t="s">
        <v>6100</v>
      </c>
      <c r="N1794">
        <v>3</v>
      </c>
      <c r="O1794" t="s">
        <v>6101</v>
      </c>
      <c r="P1794" t="s">
        <v>6109</v>
      </c>
      <c r="Q1794">
        <v>3</v>
      </c>
      <c r="R1794">
        <v>2026</v>
      </c>
      <c r="S1794" t="s">
        <v>6100</v>
      </c>
      <c r="T1794">
        <v>0</v>
      </c>
      <c r="U1794" t="s">
        <v>6018</v>
      </c>
      <c r="V1794">
        <v>1</v>
      </c>
    </row>
    <row r="1795" spans="1:22" x14ac:dyDescent="0.3">
      <c r="A1795" t="s">
        <v>1810</v>
      </c>
      <c r="B1795" s="2">
        <v>46097.638194444444</v>
      </c>
      <c r="C1795" s="2">
        <v>46097.942361111112</v>
      </c>
      <c r="D1795" t="s">
        <v>6023</v>
      </c>
      <c r="E1795" t="s">
        <v>6030</v>
      </c>
      <c r="F1795" t="s">
        <v>6034</v>
      </c>
      <c r="G1795" t="s">
        <v>6073</v>
      </c>
      <c r="H1795" t="s">
        <v>6096</v>
      </c>
      <c r="I1795">
        <v>24</v>
      </c>
      <c r="J1795">
        <v>7.3</v>
      </c>
      <c r="K1795" t="s">
        <v>6099</v>
      </c>
      <c r="L1795" t="s">
        <v>6100</v>
      </c>
      <c r="M1795" t="s">
        <v>6100</v>
      </c>
      <c r="N1795">
        <v>5</v>
      </c>
      <c r="O1795" t="s">
        <v>6101</v>
      </c>
      <c r="P1795" t="s">
        <v>6109</v>
      </c>
      <c r="Q1795">
        <v>3</v>
      </c>
      <c r="R1795">
        <v>2026</v>
      </c>
      <c r="S1795" t="s">
        <v>6099</v>
      </c>
      <c r="T1795">
        <v>1</v>
      </c>
      <c r="U1795" t="s">
        <v>6021</v>
      </c>
      <c r="V1795">
        <v>1</v>
      </c>
    </row>
    <row r="1796" spans="1:22" x14ac:dyDescent="0.3">
      <c r="A1796" t="s">
        <v>1811</v>
      </c>
      <c r="B1796" s="2">
        <v>46097.660416666666</v>
      </c>
      <c r="C1796" s="2">
        <v>46098.747916666667</v>
      </c>
      <c r="D1796" t="s">
        <v>6028</v>
      </c>
      <c r="E1796" t="s">
        <v>6029</v>
      </c>
      <c r="F1796" t="s">
        <v>6035</v>
      </c>
      <c r="G1796" t="s">
        <v>6095</v>
      </c>
      <c r="H1796" t="s">
        <v>6098</v>
      </c>
      <c r="I1796">
        <v>4</v>
      </c>
      <c r="J1796">
        <v>26.1</v>
      </c>
      <c r="K1796" t="s">
        <v>6099</v>
      </c>
      <c r="L1796" t="s">
        <v>6100</v>
      </c>
      <c r="M1796" t="s">
        <v>6100</v>
      </c>
      <c r="O1796" t="s">
        <v>6101</v>
      </c>
      <c r="P1796" t="s">
        <v>6109</v>
      </c>
      <c r="Q1796">
        <v>3</v>
      </c>
      <c r="R1796">
        <v>2026</v>
      </c>
      <c r="S1796" t="s">
        <v>6100</v>
      </c>
      <c r="T1796">
        <v>0</v>
      </c>
      <c r="U1796" t="s">
        <v>6019</v>
      </c>
      <c r="V1796">
        <v>1</v>
      </c>
    </row>
    <row r="1797" spans="1:22" x14ac:dyDescent="0.3">
      <c r="A1797" t="s">
        <v>1812</v>
      </c>
      <c r="B1797" s="2">
        <v>46097.664583333331</v>
      </c>
      <c r="C1797" s="2">
        <v>46097.835416666669</v>
      </c>
      <c r="D1797" t="s">
        <v>6022</v>
      </c>
      <c r="E1797" t="s">
        <v>6030</v>
      </c>
      <c r="F1797" t="s">
        <v>6034</v>
      </c>
      <c r="G1797" t="s">
        <v>6066</v>
      </c>
      <c r="H1797" t="s">
        <v>6096</v>
      </c>
      <c r="I1797">
        <v>24</v>
      </c>
      <c r="J1797">
        <v>4.0999999999999996</v>
      </c>
      <c r="K1797" t="s">
        <v>6099</v>
      </c>
      <c r="L1797" t="s">
        <v>6100</v>
      </c>
      <c r="M1797" t="s">
        <v>6100</v>
      </c>
      <c r="N1797">
        <v>5</v>
      </c>
      <c r="O1797" t="s">
        <v>6101</v>
      </c>
      <c r="P1797" t="s">
        <v>6109</v>
      </c>
      <c r="Q1797">
        <v>3</v>
      </c>
      <c r="R1797">
        <v>2026</v>
      </c>
      <c r="S1797" t="s">
        <v>6099</v>
      </c>
      <c r="T1797">
        <v>1</v>
      </c>
      <c r="U1797" t="s">
        <v>6020</v>
      </c>
      <c r="V1797">
        <v>1</v>
      </c>
    </row>
    <row r="1798" spans="1:22" x14ac:dyDescent="0.3">
      <c r="A1798" t="s">
        <v>1813</v>
      </c>
      <c r="B1798" s="2">
        <v>46097.730555555558</v>
      </c>
      <c r="C1798" s="2">
        <v>46097.984722222223</v>
      </c>
      <c r="D1798" t="s">
        <v>6028</v>
      </c>
      <c r="E1798" t="s">
        <v>6030</v>
      </c>
      <c r="F1798" t="s">
        <v>6034</v>
      </c>
      <c r="G1798" t="s">
        <v>6085</v>
      </c>
      <c r="H1798" t="s">
        <v>6097</v>
      </c>
      <c r="I1798">
        <v>24</v>
      </c>
      <c r="J1798">
        <v>6.1</v>
      </c>
      <c r="K1798" t="s">
        <v>6099</v>
      </c>
      <c r="L1798" t="s">
        <v>6100</v>
      </c>
      <c r="M1798" t="s">
        <v>6100</v>
      </c>
      <c r="N1798">
        <v>5</v>
      </c>
      <c r="O1798" t="s">
        <v>6101</v>
      </c>
      <c r="P1798" t="s">
        <v>6109</v>
      </c>
      <c r="Q1798">
        <v>3</v>
      </c>
      <c r="R1798">
        <v>2026</v>
      </c>
      <c r="S1798" t="s">
        <v>6099</v>
      </c>
      <c r="T1798">
        <v>1</v>
      </c>
      <c r="U1798" t="s">
        <v>6021</v>
      </c>
      <c r="V1798">
        <v>1</v>
      </c>
    </row>
    <row r="1799" spans="1:22" x14ac:dyDescent="0.3">
      <c r="A1799" t="s">
        <v>1814</v>
      </c>
      <c r="B1799" s="2">
        <v>46097.736111111109</v>
      </c>
      <c r="C1799" s="2">
        <v>46097.990277777775</v>
      </c>
      <c r="D1799" t="s">
        <v>6027</v>
      </c>
      <c r="E1799" t="s">
        <v>6030</v>
      </c>
      <c r="F1799" t="s">
        <v>6033</v>
      </c>
      <c r="G1799" t="s">
        <v>6039</v>
      </c>
      <c r="H1799" t="s">
        <v>6097</v>
      </c>
      <c r="I1799">
        <v>72</v>
      </c>
      <c r="J1799">
        <v>6.1</v>
      </c>
      <c r="K1799" t="s">
        <v>6099</v>
      </c>
      <c r="L1799" t="s">
        <v>6100</v>
      </c>
      <c r="M1799" t="s">
        <v>6100</v>
      </c>
      <c r="O1799" t="s">
        <v>6101</v>
      </c>
      <c r="P1799" t="s">
        <v>6109</v>
      </c>
      <c r="Q1799">
        <v>3</v>
      </c>
      <c r="R1799">
        <v>2026</v>
      </c>
      <c r="S1799" t="s">
        <v>6099</v>
      </c>
      <c r="T1799">
        <v>1</v>
      </c>
      <c r="U1799" t="s">
        <v>6021</v>
      </c>
      <c r="V1799">
        <v>1</v>
      </c>
    </row>
    <row r="1800" spans="1:22" x14ac:dyDescent="0.3">
      <c r="A1800" t="s">
        <v>1815</v>
      </c>
      <c r="B1800" s="2">
        <v>46097.884722222225</v>
      </c>
      <c r="C1800" s="2">
        <v>46099.697222222225</v>
      </c>
      <c r="D1800" t="s">
        <v>6026</v>
      </c>
      <c r="E1800" t="s">
        <v>6030</v>
      </c>
      <c r="F1800" t="s">
        <v>6035</v>
      </c>
      <c r="G1800" t="s">
        <v>6072</v>
      </c>
      <c r="H1800" t="s">
        <v>6097</v>
      </c>
      <c r="I1800">
        <v>4</v>
      </c>
      <c r="J1800">
        <v>43.5</v>
      </c>
      <c r="K1800" t="s">
        <v>6099</v>
      </c>
      <c r="L1800" t="s">
        <v>6100</v>
      </c>
      <c r="M1800" t="s">
        <v>6099</v>
      </c>
      <c r="O1800" t="s">
        <v>6101</v>
      </c>
      <c r="P1800" t="s">
        <v>6109</v>
      </c>
      <c r="Q1800">
        <v>3</v>
      </c>
      <c r="R1800">
        <v>2026</v>
      </c>
      <c r="S1800" t="s">
        <v>6100</v>
      </c>
      <c r="T1800">
        <v>0</v>
      </c>
      <c r="U1800" t="s">
        <v>6018</v>
      </c>
      <c r="V1800">
        <v>1</v>
      </c>
    </row>
    <row r="1801" spans="1:22" x14ac:dyDescent="0.3">
      <c r="A1801" t="s">
        <v>1816</v>
      </c>
      <c r="B1801" s="2">
        <v>46098.17291666667</v>
      </c>
      <c r="C1801" s="2">
        <v>46100.443749999999</v>
      </c>
      <c r="D1801" t="s">
        <v>6026</v>
      </c>
      <c r="E1801" t="s">
        <v>6032</v>
      </c>
      <c r="F1801" t="s">
        <v>6034</v>
      </c>
      <c r="G1801" t="s">
        <v>6086</v>
      </c>
      <c r="H1801" t="s">
        <v>6098</v>
      </c>
      <c r="I1801">
        <v>24</v>
      </c>
      <c r="J1801">
        <v>54.5</v>
      </c>
      <c r="K1801" t="s">
        <v>6099</v>
      </c>
      <c r="L1801" t="s">
        <v>6100</v>
      </c>
      <c r="M1801" t="s">
        <v>6100</v>
      </c>
      <c r="O1801" t="s">
        <v>6101</v>
      </c>
      <c r="P1801" t="s">
        <v>6109</v>
      </c>
      <c r="Q1801">
        <v>3</v>
      </c>
      <c r="R1801">
        <v>2026</v>
      </c>
      <c r="S1801" t="s">
        <v>6100</v>
      </c>
      <c r="T1801">
        <v>0</v>
      </c>
      <c r="U1801" t="s">
        <v>6018</v>
      </c>
      <c r="V1801">
        <v>1</v>
      </c>
    </row>
    <row r="1802" spans="1:22" x14ac:dyDescent="0.3">
      <c r="A1802" t="s">
        <v>1817</v>
      </c>
      <c r="B1802" s="2">
        <v>46098.296527777777</v>
      </c>
      <c r="C1802" s="2">
        <v>46098.663194444445</v>
      </c>
      <c r="D1802" t="s">
        <v>6025</v>
      </c>
      <c r="E1802" t="s">
        <v>6030</v>
      </c>
      <c r="F1802" t="s">
        <v>6034</v>
      </c>
      <c r="G1802" t="s">
        <v>6082</v>
      </c>
      <c r="H1802" t="s">
        <v>6097</v>
      </c>
      <c r="I1802">
        <v>24</v>
      </c>
      <c r="J1802">
        <v>8.8000000000000007</v>
      </c>
      <c r="K1802" t="s">
        <v>6099</v>
      </c>
      <c r="L1802" t="s">
        <v>6100</v>
      </c>
      <c r="M1802" t="s">
        <v>6100</v>
      </c>
      <c r="N1802">
        <v>4</v>
      </c>
      <c r="O1802" t="s">
        <v>6101</v>
      </c>
      <c r="P1802" t="s">
        <v>6109</v>
      </c>
      <c r="Q1802">
        <v>3</v>
      </c>
      <c r="R1802">
        <v>2026</v>
      </c>
      <c r="S1802" t="s">
        <v>6099</v>
      </c>
      <c r="T1802">
        <v>1</v>
      </c>
      <c r="U1802" t="s">
        <v>6018</v>
      </c>
      <c r="V1802">
        <v>1</v>
      </c>
    </row>
    <row r="1803" spans="1:22" x14ac:dyDescent="0.3">
      <c r="A1803" t="s">
        <v>1818</v>
      </c>
      <c r="B1803" s="2">
        <v>46098.338888888888</v>
      </c>
      <c r="C1803" s="2">
        <v>46099.034722222219</v>
      </c>
      <c r="D1803" t="s">
        <v>6022</v>
      </c>
      <c r="E1803" t="s">
        <v>6030</v>
      </c>
      <c r="F1803" t="s">
        <v>6035</v>
      </c>
      <c r="G1803" t="s">
        <v>6042</v>
      </c>
      <c r="H1803" t="s">
        <v>6098</v>
      </c>
      <c r="I1803">
        <v>4</v>
      </c>
      <c r="J1803">
        <v>16.7</v>
      </c>
      <c r="K1803" t="s">
        <v>6099</v>
      </c>
      <c r="L1803" t="s">
        <v>6100</v>
      </c>
      <c r="M1803" t="s">
        <v>6100</v>
      </c>
      <c r="N1803">
        <v>3</v>
      </c>
      <c r="O1803" t="s">
        <v>6101</v>
      </c>
      <c r="P1803" t="s">
        <v>6109</v>
      </c>
      <c r="Q1803">
        <v>3</v>
      </c>
      <c r="R1803">
        <v>2026</v>
      </c>
      <c r="S1803" t="s">
        <v>6100</v>
      </c>
      <c r="T1803">
        <v>0</v>
      </c>
      <c r="U1803" t="s">
        <v>6021</v>
      </c>
      <c r="V1803">
        <v>1</v>
      </c>
    </row>
    <row r="1804" spans="1:22" x14ac:dyDescent="0.3">
      <c r="A1804" t="s">
        <v>1819</v>
      </c>
      <c r="B1804" s="2">
        <v>46098.341666666667</v>
      </c>
      <c r="C1804" s="2">
        <v>46099.283333333333</v>
      </c>
      <c r="D1804" t="s">
        <v>6028</v>
      </c>
      <c r="E1804" t="s">
        <v>6031</v>
      </c>
      <c r="F1804" t="s">
        <v>6034</v>
      </c>
      <c r="G1804" t="s">
        <v>6085</v>
      </c>
      <c r="H1804" t="s">
        <v>6097</v>
      </c>
      <c r="I1804">
        <v>24</v>
      </c>
      <c r="J1804">
        <v>22.6</v>
      </c>
      <c r="K1804" t="s">
        <v>6099</v>
      </c>
      <c r="L1804" t="s">
        <v>6100</v>
      </c>
      <c r="M1804" t="s">
        <v>6100</v>
      </c>
      <c r="N1804">
        <v>5</v>
      </c>
      <c r="O1804" t="s">
        <v>6101</v>
      </c>
      <c r="P1804" t="s">
        <v>6109</v>
      </c>
      <c r="Q1804">
        <v>3</v>
      </c>
      <c r="R1804">
        <v>2026</v>
      </c>
      <c r="S1804" t="s">
        <v>6099</v>
      </c>
      <c r="T1804">
        <v>1</v>
      </c>
      <c r="U1804" t="s">
        <v>6019</v>
      </c>
      <c r="V1804">
        <v>1</v>
      </c>
    </row>
    <row r="1805" spans="1:22" x14ac:dyDescent="0.3">
      <c r="A1805" t="s">
        <v>1820</v>
      </c>
      <c r="B1805" s="2">
        <v>46098.345833333333</v>
      </c>
      <c r="C1805" s="2">
        <v>46102.058333333334</v>
      </c>
      <c r="D1805" t="s">
        <v>6026</v>
      </c>
      <c r="E1805" t="s">
        <v>6032</v>
      </c>
      <c r="F1805" t="s">
        <v>6034</v>
      </c>
      <c r="G1805" t="s">
        <v>6079</v>
      </c>
      <c r="H1805" t="s">
        <v>6097</v>
      </c>
      <c r="I1805">
        <v>24</v>
      </c>
      <c r="K1805" t="s">
        <v>6100</v>
      </c>
      <c r="L1805" t="s">
        <v>6099</v>
      </c>
      <c r="M1805" t="s">
        <v>6100</v>
      </c>
      <c r="O1805" t="s">
        <v>6101</v>
      </c>
      <c r="P1805" t="s">
        <v>6109</v>
      </c>
      <c r="Q1805">
        <v>3</v>
      </c>
      <c r="R1805">
        <v>2026</v>
      </c>
      <c r="U1805" t="s">
        <v>6021</v>
      </c>
      <c r="V1805">
        <v>0</v>
      </c>
    </row>
    <row r="1806" spans="1:22" x14ac:dyDescent="0.3">
      <c r="A1806" t="s">
        <v>1821</v>
      </c>
      <c r="B1806" s="2">
        <v>46098.401388888888</v>
      </c>
      <c r="C1806" s="2">
        <v>46099.326388888891</v>
      </c>
      <c r="D1806" t="s">
        <v>6025</v>
      </c>
      <c r="E1806" t="s">
        <v>6031</v>
      </c>
      <c r="F1806" t="s">
        <v>6034</v>
      </c>
      <c r="G1806" t="s">
        <v>6054</v>
      </c>
      <c r="H1806" t="s">
        <v>6096</v>
      </c>
      <c r="I1806">
        <v>24</v>
      </c>
      <c r="J1806">
        <v>22.2</v>
      </c>
      <c r="K1806" t="s">
        <v>6099</v>
      </c>
      <c r="L1806" t="s">
        <v>6100</v>
      </c>
      <c r="M1806" t="s">
        <v>6100</v>
      </c>
      <c r="N1806">
        <v>5</v>
      </c>
      <c r="O1806" t="s">
        <v>6101</v>
      </c>
      <c r="P1806" t="s">
        <v>6109</v>
      </c>
      <c r="Q1806">
        <v>3</v>
      </c>
      <c r="R1806">
        <v>2026</v>
      </c>
      <c r="S1806" t="s">
        <v>6099</v>
      </c>
      <c r="T1806">
        <v>1</v>
      </c>
      <c r="U1806" t="s">
        <v>6021</v>
      </c>
      <c r="V1806">
        <v>1</v>
      </c>
    </row>
    <row r="1807" spans="1:22" x14ac:dyDescent="0.3">
      <c r="A1807" t="s">
        <v>1822</v>
      </c>
      <c r="B1807" s="2">
        <v>46098.455555555556</v>
      </c>
      <c r="C1807" s="2">
        <v>46098.651388888888</v>
      </c>
      <c r="D1807" t="s">
        <v>6024</v>
      </c>
      <c r="E1807" t="s">
        <v>6030</v>
      </c>
      <c r="F1807" t="s">
        <v>6033</v>
      </c>
      <c r="G1807" t="s">
        <v>6047</v>
      </c>
      <c r="H1807" t="s">
        <v>6098</v>
      </c>
      <c r="I1807">
        <v>72</v>
      </c>
      <c r="J1807">
        <v>4.7</v>
      </c>
      <c r="K1807" t="s">
        <v>6100</v>
      </c>
      <c r="L1807" t="s">
        <v>6100</v>
      </c>
      <c r="M1807" t="s">
        <v>6100</v>
      </c>
      <c r="N1807">
        <v>4</v>
      </c>
      <c r="O1807" t="s">
        <v>6101</v>
      </c>
      <c r="P1807" t="s">
        <v>6109</v>
      </c>
      <c r="Q1807">
        <v>3</v>
      </c>
      <c r="R1807">
        <v>2026</v>
      </c>
      <c r="S1807" t="s">
        <v>6099</v>
      </c>
      <c r="T1807">
        <v>1</v>
      </c>
      <c r="U1807" t="s">
        <v>6021</v>
      </c>
      <c r="V1807">
        <v>0</v>
      </c>
    </row>
    <row r="1808" spans="1:22" x14ac:dyDescent="0.3">
      <c r="A1808" t="s">
        <v>1823</v>
      </c>
      <c r="B1808" s="2">
        <v>46098.457638888889</v>
      </c>
      <c r="C1808" s="2">
        <v>46098.786805555559</v>
      </c>
      <c r="D1808" t="s">
        <v>6024</v>
      </c>
      <c r="E1808" t="s">
        <v>6029</v>
      </c>
      <c r="F1808" t="s">
        <v>6034</v>
      </c>
      <c r="G1808" t="s">
        <v>6061</v>
      </c>
      <c r="H1808" t="s">
        <v>6096</v>
      </c>
      <c r="I1808">
        <v>24</v>
      </c>
      <c r="J1808">
        <v>7.9</v>
      </c>
      <c r="K1808" t="s">
        <v>6100</v>
      </c>
      <c r="L1808" t="s">
        <v>6099</v>
      </c>
      <c r="M1808" t="s">
        <v>6100</v>
      </c>
      <c r="O1808" t="s">
        <v>6101</v>
      </c>
      <c r="P1808" t="s">
        <v>6109</v>
      </c>
      <c r="Q1808">
        <v>3</v>
      </c>
      <c r="R1808">
        <v>2026</v>
      </c>
      <c r="S1808" t="s">
        <v>6099</v>
      </c>
      <c r="T1808">
        <v>1</v>
      </c>
      <c r="U1808" t="s">
        <v>6019</v>
      </c>
      <c r="V1808">
        <v>0</v>
      </c>
    </row>
    <row r="1809" spans="1:22" x14ac:dyDescent="0.3">
      <c r="A1809" t="s">
        <v>1824</v>
      </c>
      <c r="B1809" s="2">
        <v>46098.535416666666</v>
      </c>
      <c r="C1809" s="2">
        <v>46098.668749999997</v>
      </c>
      <c r="D1809" t="s">
        <v>6023</v>
      </c>
      <c r="E1809" t="s">
        <v>6029</v>
      </c>
      <c r="F1809" t="s">
        <v>6034</v>
      </c>
      <c r="G1809" t="s">
        <v>6087</v>
      </c>
      <c r="H1809" t="s">
        <v>6098</v>
      </c>
      <c r="I1809">
        <v>24</v>
      </c>
      <c r="J1809">
        <v>3.2</v>
      </c>
      <c r="K1809" t="s">
        <v>6099</v>
      </c>
      <c r="L1809" t="s">
        <v>6100</v>
      </c>
      <c r="M1809" t="s">
        <v>6100</v>
      </c>
      <c r="O1809" t="s">
        <v>6101</v>
      </c>
      <c r="P1809" t="s">
        <v>6109</v>
      </c>
      <c r="Q1809">
        <v>3</v>
      </c>
      <c r="R1809">
        <v>2026</v>
      </c>
      <c r="S1809" t="s">
        <v>6099</v>
      </c>
      <c r="T1809">
        <v>1</v>
      </c>
      <c r="U1809" t="s">
        <v>6020</v>
      </c>
      <c r="V1809">
        <v>1</v>
      </c>
    </row>
    <row r="1810" spans="1:22" x14ac:dyDescent="0.3">
      <c r="A1810" t="s">
        <v>1825</v>
      </c>
      <c r="B1810" s="2">
        <v>46098.577777777777</v>
      </c>
      <c r="C1810" s="2">
        <v>46098.786111111112</v>
      </c>
      <c r="D1810" t="s">
        <v>6023</v>
      </c>
      <c r="E1810" t="s">
        <v>6029</v>
      </c>
      <c r="F1810" t="s">
        <v>6034</v>
      </c>
      <c r="G1810" t="s">
        <v>6073</v>
      </c>
      <c r="H1810" t="s">
        <v>6096</v>
      </c>
      <c r="I1810">
        <v>24</v>
      </c>
      <c r="J1810">
        <v>5</v>
      </c>
      <c r="K1810" t="s">
        <v>6100</v>
      </c>
      <c r="L1810" t="s">
        <v>6100</v>
      </c>
      <c r="M1810" t="s">
        <v>6100</v>
      </c>
      <c r="N1810">
        <v>4</v>
      </c>
      <c r="O1810" t="s">
        <v>6101</v>
      </c>
      <c r="P1810" t="s">
        <v>6109</v>
      </c>
      <c r="Q1810">
        <v>3</v>
      </c>
      <c r="R1810">
        <v>2026</v>
      </c>
      <c r="S1810" t="s">
        <v>6099</v>
      </c>
      <c r="T1810">
        <v>1</v>
      </c>
      <c r="U1810" t="s">
        <v>6017</v>
      </c>
      <c r="V1810">
        <v>0</v>
      </c>
    </row>
    <row r="1811" spans="1:22" x14ac:dyDescent="0.3">
      <c r="A1811" t="s">
        <v>1826</v>
      </c>
      <c r="B1811" s="2">
        <v>46098.579861111109</v>
      </c>
      <c r="C1811" s="2">
        <v>46104.067361111112</v>
      </c>
      <c r="D1811" t="s">
        <v>6026</v>
      </c>
      <c r="E1811" t="s">
        <v>6031</v>
      </c>
      <c r="F1811" t="s">
        <v>6034</v>
      </c>
      <c r="G1811" t="s">
        <v>6058</v>
      </c>
      <c r="H1811" t="s">
        <v>6098</v>
      </c>
      <c r="I1811">
        <v>24</v>
      </c>
      <c r="J1811">
        <v>131.69999999999999</v>
      </c>
      <c r="K1811" t="s">
        <v>6100</v>
      </c>
      <c r="L1811" t="s">
        <v>6099</v>
      </c>
      <c r="M1811" t="s">
        <v>6100</v>
      </c>
      <c r="N1811">
        <v>2</v>
      </c>
      <c r="O1811" t="s">
        <v>6101</v>
      </c>
      <c r="P1811" t="s">
        <v>6109</v>
      </c>
      <c r="Q1811">
        <v>3</v>
      </c>
      <c r="R1811">
        <v>2026</v>
      </c>
      <c r="S1811" t="s">
        <v>6100</v>
      </c>
      <c r="T1811">
        <v>0</v>
      </c>
      <c r="U1811" t="s">
        <v>6019</v>
      </c>
      <c r="V1811">
        <v>0</v>
      </c>
    </row>
    <row r="1812" spans="1:22" x14ac:dyDescent="0.3">
      <c r="A1812" t="s">
        <v>1827</v>
      </c>
      <c r="B1812" s="2">
        <v>46098.67291666667</v>
      </c>
      <c r="C1812" s="2">
        <v>46099.92291666667</v>
      </c>
      <c r="D1812" t="s">
        <v>6026</v>
      </c>
      <c r="E1812" t="s">
        <v>6029</v>
      </c>
      <c r="F1812" t="s">
        <v>6034</v>
      </c>
      <c r="G1812" t="s">
        <v>6055</v>
      </c>
      <c r="H1812" t="s">
        <v>6096</v>
      </c>
      <c r="I1812">
        <v>24</v>
      </c>
      <c r="J1812">
        <v>30</v>
      </c>
      <c r="K1812" t="s">
        <v>6100</v>
      </c>
      <c r="L1812" t="s">
        <v>6100</v>
      </c>
      <c r="M1812" t="s">
        <v>6100</v>
      </c>
      <c r="O1812" t="s">
        <v>6101</v>
      </c>
      <c r="P1812" t="s">
        <v>6109</v>
      </c>
      <c r="Q1812">
        <v>3</v>
      </c>
      <c r="R1812">
        <v>2026</v>
      </c>
      <c r="S1812" t="s">
        <v>6100</v>
      </c>
      <c r="T1812">
        <v>0</v>
      </c>
      <c r="U1812" t="s">
        <v>6019</v>
      </c>
      <c r="V1812">
        <v>0</v>
      </c>
    </row>
    <row r="1813" spans="1:22" x14ac:dyDescent="0.3">
      <c r="A1813" t="s">
        <v>1828</v>
      </c>
      <c r="B1813" s="2">
        <v>46098.768750000003</v>
      </c>
      <c r="C1813" s="2">
        <v>46098.989583333336</v>
      </c>
      <c r="D1813" t="s">
        <v>6023</v>
      </c>
      <c r="E1813" t="s">
        <v>6029</v>
      </c>
      <c r="F1813" t="s">
        <v>6033</v>
      </c>
      <c r="G1813" t="s">
        <v>6046</v>
      </c>
      <c r="H1813" t="s">
        <v>6098</v>
      </c>
      <c r="I1813">
        <v>72</v>
      </c>
      <c r="J1813">
        <v>5.3</v>
      </c>
      <c r="K1813" t="s">
        <v>6099</v>
      </c>
      <c r="L1813" t="s">
        <v>6100</v>
      </c>
      <c r="M1813" t="s">
        <v>6100</v>
      </c>
      <c r="N1813">
        <v>4</v>
      </c>
      <c r="O1813" t="s">
        <v>6101</v>
      </c>
      <c r="P1813" t="s">
        <v>6109</v>
      </c>
      <c r="Q1813">
        <v>3</v>
      </c>
      <c r="R1813">
        <v>2026</v>
      </c>
      <c r="S1813" t="s">
        <v>6099</v>
      </c>
      <c r="T1813">
        <v>1</v>
      </c>
      <c r="U1813" t="s">
        <v>6020</v>
      </c>
      <c r="V1813">
        <v>1</v>
      </c>
    </row>
    <row r="1814" spans="1:22" x14ac:dyDescent="0.3">
      <c r="A1814" t="s">
        <v>1829</v>
      </c>
      <c r="B1814" s="2">
        <v>46098.792361111111</v>
      </c>
      <c r="C1814" s="2">
        <v>46099.450694444444</v>
      </c>
      <c r="D1814" t="s">
        <v>6028</v>
      </c>
      <c r="E1814" t="s">
        <v>6031</v>
      </c>
      <c r="F1814" t="s">
        <v>6035</v>
      </c>
      <c r="G1814" t="s">
        <v>6069</v>
      </c>
      <c r="H1814" t="s">
        <v>6098</v>
      </c>
      <c r="I1814">
        <v>4</v>
      </c>
      <c r="J1814">
        <v>15.8</v>
      </c>
      <c r="K1814" t="s">
        <v>6099</v>
      </c>
      <c r="L1814" t="s">
        <v>6100</v>
      </c>
      <c r="M1814" t="s">
        <v>6100</v>
      </c>
      <c r="O1814" t="s">
        <v>6101</v>
      </c>
      <c r="P1814" t="s">
        <v>6109</v>
      </c>
      <c r="Q1814">
        <v>3</v>
      </c>
      <c r="R1814">
        <v>2026</v>
      </c>
      <c r="S1814" t="s">
        <v>6100</v>
      </c>
      <c r="T1814">
        <v>0</v>
      </c>
      <c r="U1814" t="s">
        <v>6020</v>
      </c>
      <c r="V1814">
        <v>1</v>
      </c>
    </row>
    <row r="1815" spans="1:22" x14ac:dyDescent="0.3">
      <c r="A1815" t="s">
        <v>1830</v>
      </c>
      <c r="B1815" s="2">
        <v>46098.813194444447</v>
      </c>
      <c r="C1815" s="2">
        <v>46099.779861111114</v>
      </c>
      <c r="D1815" t="s">
        <v>6027</v>
      </c>
      <c r="E1815" t="s">
        <v>6031</v>
      </c>
      <c r="F1815" t="s">
        <v>6033</v>
      </c>
      <c r="G1815" t="s">
        <v>6054</v>
      </c>
      <c r="H1815" t="s">
        <v>6096</v>
      </c>
      <c r="I1815">
        <v>72</v>
      </c>
      <c r="J1815">
        <v>23.2</v>
      </c>
      <c r="K1815" t="s">
        <v>6100</v>
      </c>
      <c r="L1815" t="s">
        <v>6099</v>
      </c>
      <c r="M1815" t="s">
        <v>6100</v>
      </c>
      <c r="N1815">
        <v>5</v>
      </c>
      <c r="O1815" t="s">
        <v>6101</v>
      </c>
      <c r="P1815" t="s">
        <v>6109</v>
      </c>
      <c r="Q1815">
        <v>3</v>
      </c>
      <c r="R1815">
        <v>2026</v>
      </c>
      <c r="S1815" t="s">
        <v>6099</v>
      </c>
      <c r="T1815">
        <v>1</v>
      </c>
      <c r="U1815" t="s">
        <v>6017</v>
      </c>
      <c r="V1815">
        <v>0</v>
      </c>
    </row>
    <row r="1816" spans="1:22" x14ac:dyDescent="0.3">
      <c r="A1816" t="s">
        <v>1831</v>
      </c>
      <c r="B1816" s="2">
        <v>46098.933333333334</v>
      </c>
      <c r="C1816" s="2">
        <v>46099.708333333336</v>
      </c>
      <c r="D1816" t="s">
        <v>6025</v>
      </c>
      <c r="E1816" t="s">
        <v>6030</v>
      </c>
      <c r="F1816" t="s">
        <v>6034</v>
      </c>
      <c r="G1816" t="s">
        <v>6091</v>
      </c>
      <c r="H1816" t="s">
        <v>6097</v>
      </c>
      <c r="I1816">
        <v>24</v>
      </c>
      <c r="J1816">
        <v>18.600000000000001</v>
      </c>
      <c r="K1816" t="s">
        <v>6099</v>
      </c>
      <c r="L1816" t="s">
        <v>6100</v>
      </c>
      <c r="M1816" t="s">
        <v>6099</v>
      </c>
      <c r="N1816">
        <v>4</v>
      </c>
      <c r="O1816" t="s">
        <v>6101</v>
      </c>
      <c r="P1816" t="s">
        <v>6109</v>
      </c>
      <c r="Q1816">
        <v>3</v>
      </c>
      <c r="R1816">
        <v>2026</v>
      </c>
      <c r="S1816" t="s">
        <v>6099</v>
      </c>
      <c r="T1816">
        <v>1</v>
      </c>
      <c r="U1816" t="s">
        <v>6021</v>
      </c>
      <c r="V1816">
        <v>1</v>
      </c>
    </row>
    <row r="1817" spans="1:22" x14ac:dyDescent="0.3">
      <c r="A1817" t="s">
        <v>1832</v>
      </c>
      <c r="B1817" s="2">
        <v>46098.935416666667</v>
      </c>
      <c r="C1817" s="2">
        <v>46099.002083333333</v>
      </c>
      <c r="D1817" t="s">
        <v>6028</v>
      </c>
      <c r="E1817" t="s">
        <v>6030</v>
      </c>
      <c r="F1817" t="s">
        <v>6035</v>
      </c>
      <c r="G1817" t="s">
        <v>6058</v>
      </c>
      <c r="H1817" t="s">
        <v>6098</v>
      </c>
      <c r="I1817">
        <v>4</v>
      </c>
      <c r="J1817">
        <v>1.6</v>
      </c>
      <c r="K1817" t="s">
        <v>6099</v>
      </c>
      <c r="L1817" t="s">
        <v>6100</v>
      </c>
      <c r="M1817" t="s">
        <v>6100</v>
      </c>
      <c r="O1817" t="s">
        <v>6101</v>
      </c>
      <c r="P1817" t="s">
        <v>6109</v>
      </c>
      <c r="Q1817">
        <v>3</v>
      </c>
      <c r="R1817">
        <v>2026</v>
      </c>
      <c r="S1817" t="s">
        <v>6099</v>
      </c>
      <c r="T1817">
        <v>1</v>
      </c>
      <c r="U1817" t="s">
        <v>6020</v>
      </c>
      <c r="V1817">
        <v>1</v>
      </c>
    </row>
    <row r="1818" spans="1:22" x14ac:dyDescent="0.3">
      <c r="A1818" t="s">
        <v>1833</v>
      </c>
      <c r="B1818" s="2">
        <v>46098.939583333333</v>
      </c>
      <c r="C1818" s="2">
        <v>46105.097916666666</v>
      </c>
      <c r="D1818" t="s">
        <v>6026</v>
      </c>
      <c r="E1818" t="s">
        <v>6031</v>
      </c>
      <c r="F1818" t="s">
        <v>6034</v>
      </c>
      <c r="G1818" t="s">
        <v>6053</v>
      </c>
      <c r="H1818" t="s">
        <v>6097</v>
      </c>
      <c r="I1818">
        <v>24</v>
      </c>
      <c r="J1818">
        <v>147.80000000000001</v>
      </c>
      <c r="K1818" t="s">
        <v>6099</v>
      </c>
      <c r="L1818" t="s">
        <v>6100</v>
      </c>
      <c r="M1818" t="s">
        <v>6100</v>
      </c>
      <c r="N1818">
        <v>3</v>
      </c>
      <c r="O1818" t="s">
        <v>6101</v>
      </c>
      <c r="P1818" t="s">
        <v>6109</v>
      </c>
      <c r="Q1818">
        <v>3</v>
      </c>
      <c r="R1818">
        <v>2026</v>
      </c>
      <c r="S1818" t="s">
        <v>6100</v>
      </c>
      <c r="T1818">
        <v>0</v>
      </c>
      <c r="U1818" t="s">
        <v>6019</v>
      </c>
      <c r="V1818">
        <v>1</v>
      </c>
    </row>
    <row r="1819" spans="1:22" x14ac:dyDescent="0.3">
      <c r="A1819" t="s">
        <v>1834</v>
      </c>
      <c r="B1819" s="2">
        <v>46099.165277777778</v>
      </c>
      <c r="C1819" s="2">
        <v>46099.427777777775</v>
      </c>
      <c r="D1819" t="s">
        <v>6028</v>
      </c>
      <c r="E1819" t="s">
        <v>6029</v>
      </c>
      <c r="F1819" t="s">
        <v>6034</v>
      </c>
      <c r="G1819" t="s">
        <v>6060</v>
      </c>
      <c r="H1819" t="s">
        <v>6097</v>
      </c>
      <c r="I1819">
        <v>24</v>
      </c>
      <c r="J1819">
        <v>6.3</v>
      </c>
      <c r="K1819" t="s">
        <v>6099</v>
      </c>
      <c r="L1819" t="s">
        <v>6100</v>
      </c>
      <c r="M1819" t="s">
        <v>6100</v>
      </c>
      <c r="N1819">
        <v>5</v>
      </c>
      <c r="O1819" t="s">
        <v>6101</v>
      </c>
      <c r="P1819" t="s">
        <v>6109</v>
      </c>
      <c r="Q1819">
        <v>3</v>
      </c>
      <c r="R1819">
        <v>2026</v>
      </c>
      <c r="S1819" t="s">
        <v>6099</v>
      </c>
      <c r="T1819">
        <v>1</v>
      </c>
      <c r="U1819" t="s">
        <v>6017</v>
      </c>
      <c r="V1819">
        <v>1</v>
      </c>
    </row>
    <row r="1820" spans="1:22" x14ac:dyDescent="0.3">
      <c r="A1820" t="s">
        <v>1835</v>
      </c>
      <c r="B1820" s="2">
        <v>46099.178472222222</v>
      </c>
      <c r="C1820" s="2">
        <v>46099.332638888889</v>
      </c>
      <c r="D1820" t="s">
        <v>6028</v>
      </c>
      <c r="E1820" t="s">
        <v>6029</v>
      </c>
      <c r="F1820" t="s">
        <v>6035</v>
      </c>
      <c r="G1820" t="s">
        <v>6091</v>
      </c>
      <c r="H1820" t="s">
        <v>6097</v>
      </c>
      <c r="I1820">
        <v>4</v>
      </c>
      <c r="J1820">
        <v>3.7</v>
      </c>
      <c r="K1820" t="s">
        <v>6099</v>
      </c>
      <c r="L1820" t="s">
        <v>6100</v>
      </c>
      <c r="M1820" t="s">
        <v>6099</v>
      </c>
      <c r="N1820">
        <v>3</v>
      </c>
      <c r="O1820" t="s">
        <v>6101</v>
      </c>
      <c r="P1820" t="s">
        <v>6109</v>
      </c>
      <c r="Q1820">
        <v>3</v>
      </c>
      <c r="R1820">
        <v>2026</v>
      </c>
      <c r="S1820" t="s">
        <v>6099</v>
      </c>
      <c r="T1820">
        <v>1</v>
      </c>
      <c r="U1820" t="s">
        <v>6019</v>
      </c>
      <c r="V1820">
        <v>1</v>
      </c>
    </row>
    <row r="1821" spans="1:22" x14ac:dyDescent="0.3">
      <c r="A1821" t="s">
        <v>1836</v>
      </c>
      <c r="B1821" s="2">
        <v>46099.211805555555</v>
      </c>
      <c r="C1821" s="2">
        <v>46099.386805555558</v>
      </c>
      <c r="D1821" t="s">
        <v>6028</v>
      </c>
      <c r="E1821" t="s">
        <v>6029</v>
      </c>
      <c r="F1821" t="s">
        <v>6034</v>
      </c>
      <c r="G1821" t="s">
        <v>6075</v>
      </c>
      <c r="H1821" t="s">
        <v>6097</v>
      </c>
      <c r="I1821">
        <v>24</v>
      </c>
      <c r="J1821">
        <v>4.2</v>
      </c>
      <c r="K1821" t="s">
        <v>6099</v>
      </c>
      <c r="L1821" t="s">
        <v>6100</v>
      </c>
      <c r="M1821" t="s">
        <v>6100</v>
      </c>
      <c r="O1821" t="s">
        <v>6101</v>
      </c>
      <c r="P1821" t="s">
        <v>6109</v>
      </c>
      <c r="Q1821">
        <v>3</v>
      </c>
      <c r="R1821">
        <v>2026</v>
      </c>
      <c r="S1821" t="s">
        <v>6099</v>
      </c>
      <c r="T1821">
        <v>1</v>
      </c>
      <c r="U1821" t="s">
        <v>6018</v>
      </c>
      <c r="V1821">
        <v>1</v>
      </c>
    </row>
    <row r="1822" spans="1:22" x14ac:dyDescent="0.3">
      <c r="A1822" t="s">
        <v>1837</v>
      </c>
      <c r="B1822" s="2">
        <v>46099.238194444442</v>
      </c>
      <c r="C1822" s="2">
        <v>46099.434027777781</v>
      </c>
      <c r="D1822" t="s">
        <v>6025</v>
      </c>
      <c r="E1822" t="s">
        <v>6029</v>
      </c>
      <c r="F1822" t="s">
        <v>6034</v>
      </c>
      <c r="G1822" t="s">
        <v>6048</v>
      </c>
      <c r="H1822" t="s">
        <v>6096</v>
      </c>
      <c r="I1822">
        <v>24</v>
      </c>
      <c r="J1822">
        <v>4.7</v>
      </c>
      <c r="K1822" t="s">
        <v>6100</v>
      </c>
      <c r="L1822" t="s">
        <v>6100</v>
      </c>
      <c r="M1822" t="s">
        <v>6100</v>
      </c>
      <c r="O1822" t="s">
        <v>6101</v>
      </c>
      <c r="P1822" t="s">
        <v>6109</v>
      </c>
      <c r="Q1822">
        <v>3</v>
      </c>
      <c r="R1822">
        <v>2026</v>
      </c>
      <c r="S1822" t="s">
        <v>6099</v>
      </c>
      <c r="T1822">
        <v>1</v>
      </c>
      <c r="U1822" t="s">
        <v>6018</v>
      </c>
      <c r="V1822">
        <v>0</v>
      </c>
    </row>
    <row r="1823" spans="1:22" x14ac:dyDescent="0.3">
      <c r="A1823" t="s">
        <v>1838</v>
      </c>
      <c r="B1823" s="2">
        <v>46099.311111111114</v>
      </c>
      <c r="C1823" s="2">
        <v>46100.261111111111</v>
      </c>
      <c r="D1823" t="s">
        <v>6025</v>
      </c>
      <c r="E1823" t="s">
        <v>6029</v>
      </c>
      <c r="F1823" t="s">
        <v>6035</v>
      </c>
      <c r="G1823" t="s">
        <v>6072</v>
      </c>
      <c r="H1823" t="s">
        <v>6097</v>
      </c>
      <c r="I1823">
        <v>4</v>
      </c>
      <c r="J1823">
        <v>22.8</v>
      </c>
      <c r="K1823" t="s">
        <v>6099</v>
      </c>
      <c r="L1823" t="s">
        <v>6100</v>
      </c>
      <c r="M1823" t="s">
        <v>6100</v>
      </c>
      <c r="O1823" t="s">
        <v>6101</v>
      </c>
      <c r="P1823" t="s">
        <v>6109</v>
      </c>
      <c r="Q1823">
        <v>3</v>
      </c>
      <c r="R1823">
        <v>2026</v>
      </c>
      <c r="S1823" t="s">
        <v>6100</v>
      </c>
      <c r="T1823">
        <v>0</v>
      </c>
      <c r="U1823" t="s">
        <v>6020</v>
      </c>
      <c r="V1823">
        <v>1</v>
      </c>
    </row>
    <row r="1824" spans="1:22" x14ac:dyDescent="0.3">
      <c r="A1824" t="s">
        <v>1839</v>
      </c>
      <c r="B1824" s="2">
        <v>46099.314583333333</v>
      </c>
      <c r="C1824" s="2">
        <v>46100.372916666667</v>
      </c>
      <c r="D1824" t="s">
        <v>6025</v>
      </c>
      <c r="E1824" t="s">
        <v>6030</v>
      </c>
      <c r="F1824" t="s">
        <v>6034</v>
      </c>
      <c r="G1824" t="s">
        <v>6090</v>
      </c>
      <c r="H1824" t="s">
        <v>6097</v>
      </c>
      <c r="I1824">
        <v>24</v>
      </c>
      <c r="J1824">
        <v>25.4</v>
      </c>
      <c r="K1824" t="s">
        <v>6100</v>
      </c>
      <c r="L1824" t="s">
        <v>6099</v>
      </c>
      <c r="M1824" t="s">
        <v>6100</v>
      </c>
      <c r="N1824">
        <v>5</v>
      </c>
      <c r="O1824" t="s">
        <v>6101</v>
      </c>
      <c r="P1824" t="s">
        <v>6109</v>
      </c>
      <c r="Q1824">
        <v>3</v>
      </c>
      <c r="R1824">
        <v>2026</v>
      </c>
      <c r="S1824" t="s">
        <v>6100</v>
      </c>
      <c r="T1824">
        <v>0</v>
      </c>
      <c r="U1824" t="s">
        <v>6020</v>
      </c>
      <c r="V1824">
        <v>0</v>
      </c>
    </row>
    <row r="1825" spans="1:22" x14ac:dyDescent="0.3">
      <c r="A1825" t="s">
        <v>1840</v>
      </c>
      <c r="B1825" s="2">
        <v>46099.320833333331</v>
      </c>
      <c r="C1825" s="2">
        <v>46099.533333333333</v>
      </c>
      <c r="D1825" t="s">
        <v>6024</v>
      </c>
      <c r="E1825" t="s">
        <v>6029</v>
      </c>
      <c r="F1825" t="s">
        <v>6035</v>
      </c>
      <c r="G1825" t="s">
        <v>6055</v>
      </c>
      <c r="H1825" t="s">
        <v>6096</v>
      </c>
      <c r="I1825">
        <v>4</v>
      </c>
      <c r="J1825">
        <v>5.0999999999999996</v>
      </c>
      <c r="K1825" t="s">
        <v>6100</v>
      </c>
      <c r="L1825" t="s">
        <v>6099</v>
      </c>
      <c r="M1825" t="s">
        <v>6100</v>
      </c>
      <c r="O1825" t="s">
        <v>6101</v>
      </c>
      <c r="P1825" t="s">
        <v>6109</v>
      </c>
      <c r="Q1825">
        <v>3</v>
      </c>
      <c r="R1825">
        <v>2026</v>
      </c>
      <c r="S1825" t="s">
        <v>6100</v>
      </c>
      <c r="T1825">
        <v>0</v>
      </c>
      <c r="U1825" t="s">
        <v>6020</v>
      </c>
      <c r="V1825">
        <v>0</v>
      </c>
    </row>
    <row r="1826" spans="1:22" x14ac:dyDescent="0.3">
      <c r="A1826" t="s">
        <v>1841</v>
      </c>
      <c r="B1826" s="2">
        <v>46099.356944444444</v>
      </c>
      <c r="C1826" s="2">
        <v>46099.656944444447</v>
      </c>
      <c r="D1826" t="s">
        <v>6028</v>
      </c>
      <c r="E1826" t="s">
        <v>6029</v>
      </c>
      <c r="F1826" t="s">
        <v>6034</v>
      </c>
      <c r="G1826" t="s">
        <v>6083</v>
      </c>
      <c r="H1826" t="s">
        <v>6096</v>
      </c>
      <c r="I1826">
        <v>24</v>
      </c>
      <c r="J1826">
        <v>7.2</v>
      </c>
      <c r="K1826" t="s">
        <v>6100</v>
      </c>
      <c r="L1826" t="s">
        <v>6100</v>
      </c>
      <c r="M1826" t="s">
        <v>6100</v>
      </c>
      <c r="N1826">
        <v>5</v>
      </c>
      <c r="O1826" t="s">
        <v>6101</v>
      </c>
      <c r="P1826" t="s">
        <v>6109</v>
      </c>
      <c r="Q1826">
        <v>3</v>
      </c>
      <c r="R1826">
        <v>2026</v>
      </c>
      <c r="S1826" t="s">
        <v>6099</v>
      </c>
      <c r="T1826">
        <v>1</v>
      </c>
      <c r="U1826" t="s">
        <v>6021</v>
      </c>
      <c r="V1826">
        <v>0</v>
      </c>
    </row>
    <row r="1827" spans="1:22" x14ac:dyDescent="0.3">
      <c r="A1827" t="s">
        <v>1842</v>
      </c>
      <c r="B1827" s="2">
        <v>46099.36041666667</v>
      </c>
      <c r="C1827" s="2">
        <v>46099.706250000003</v>
      </c>
      <c r="D1827" t="s">
        <v>6028</v>
      </c>
      <c r="E1827" t="s">
        <v>6029</v>
      </c>
      <c r="F1827" t="s">
        <v>6034</v>
      </c>
      <c r="G1827" t="s">
        <v>6072</v>
      </c>
      <c r="H1827" t="s">
        <v>6097</v>
      </c>
      <c r="I1827">
        <v>24</v>
      </c>
      <c r="J1827">
        <v>8.3000000000000007</v>
      </c>
      <c r="K1827" t="s">
        <v>6099</v>
      </c>
      <c r="L1827" t="s">
        <v>6100</v>
      </c>
      <c r="M1827" t="s">
        <v>6099</v>
      </c>
      <c r="N1827">
        <v>3</v>
      </c>
      <c r="O1827" t="s">
        <v>6101</v>
      </c>
      <c r="P1827" t="s">
        <v>6109</v>
      </c>
      <c r="Q1827">
        <v>3</v>
      </c>
      <c r="R1827">
        <v>2026</v>
      </c>
      <c r="S1827" t="s">
        <v>6099</v>
      </c>
      <c r="T1827">
        <v>1</v>
      </c>
      <c r="U1827" t="s">
        <v>6020</v>
      </c>
      <c r="V1827">
        <v>1</v>
      </c>
    </row>
    <row r="1828" spans="1:22" x14ac:dyDescent="0.3">
      <c r="A1828" t="s">
        <v>1843</v>
      </c>
      <c r="B1828" s="2">
        <v>46099.370833333334</v>
      </c>
      <c r="C1828" s="2">
        <v>46099.566666666666</v>
      </c>
      <c r="D1828" t="s">
        <v>6023</v>
      </c>
      <c r="E1828" t="s">
        <v>6030</v>
      </c>
      <c r="F1828" t="s">
        <v>6034</v>
      </c>
      <c r="G1828" t="s">
        <v>6073</v>
      </c>
      <c r="H1828" t="s">
        <v>6096</v>
      </c>
      <c r="I1828">
        <v>24</v>
      </c>
      <c r="J1828">
        <v>4.7</v>
      </c>
      <c r="K1828" t="s">
        <v>6100</v>
      </c>
      <c r="L1828" t="s">
        <v>6099</v>
      </c>
      <c r="M1828" t="s">
        <v>6100</v>
      </c>
      <c r="N1828">
        <v>5</v>
      </c>
      <c r="O1828" t="s">
        <v>6101</v>
      </c>
      <c r="P1828" t="s">
        <v>6109</v>
      </c>
      <c r="Q1828">
        <v>3</v>
      </c>
      <c r="R1828">
        <v>2026</v>
      </c>
      <c r="S1828" t="s">
        <v>6099</v>
      </c>
      <c r="T1828">
        <v>1</v>
      </c>
      <c r="U1828" t="s">
        <v>6018</v>
      </c>
      <c r="V1828">
        <v>0</v>
      </c>
    </row>
    <row r="1829" spans="1:22" x14ac:dyDescent="0.3">
      <c r="A1829" t="s">
        <v>1844</v>
      </c>
      <c r="B1829" s="2">
        <v>46099.418055555558</v>
      </c>
      <c r="C1829" s="2">
        <v>46099.784722222219</v>
      </c>
      <c r="D1829" t="s">
        <v>6023</v>
      </c>
      <c r="E1829" t="s">
        <v>6030</v>
      </c>
      <c r="F1829" t="s">
        <v>6033</v>
      </c>
      <c r="G1829" t="s">
        <v>6069</v>
      </c>
      <c r="H1829" t="s">
        <v>6098</v>
      </c>
      <c r="I1829">
        <v>72</v>
      </c>
      <c r="J1829">
        <v>8.8000000000000007</v>
      </c>
      <c r="K1829" t="s">
        <v>6099</v>
      </c>
      <c r="L1829" t="s">
        <v>6100</v>
      </c>
      <c r="M1829" t="s">
        <v>6100</v>
      </c>
      <c r="O1829" t="s">
        <v>6101</v>
      </c>
      <c r="P1829" t="s">
        <v>6109</v>
      </c>
      <c r="Q1829">
        <v>3</v>
      </c>
      <c r="R1829">
        <v>2026</v>
      </c>
      <c r="S1829" t="s">
        <v>6099</v>
      </c>
      <c r="T1829">
        <v>1</v>
      </c>
      <c r="U1829" t="s">
        <v>6018</v>
      </c>
      <c r="V1829">
        <v>1</v>
      </c>
    </row>
    <row r="1830" spans="1:22" x14ac:dyDescent="0.3">
      <c r="A1830" t="s">
        <v>1845</v>
      </c>
      <c r="B1830" s="2">
        <v>46099.464583333334</v>
      </c>
      <c r="C1830" s="2">
        <v>46099.756249999999</v>
      </c>
      <c r="D1830" t="s">
        <v>6025</v>
      </c>
      <c r="E1830" t="s">
        <v>6029</v>
      </c>
      <c r="F1830" t="s">
        <v>6035</v>
      </c>
      <c r="G1830" t="s">
        <v>6053</v>
      </c>
      <c r="H1830" t="s">
        <v>6097</v>
      </c>
      <c r="I1830">
        <v>4</v>
      </c>
      <c r="J1830">
        <v>7</v>
      </c>
      <c r="K1830" t="s">
        <v>6099</v>
      </c>
      <c r="L1830" t="s">
        <v>6100</v>
      </c>
      <c r="M1830" t="s">
        <v>6100</v>
      </c>
      <c r="N1830">
        <v>4</v>
      </c>
      <c r="O1830" t="s">
        <v>6101</v>
      </c>
      <c r="P1830" t="s">
        <v>6109</v>
      </c>
      <c r="Q1830">
        <v>3</v>
      </c>
      <c r="R1830">
        <v>2026</v>
      </c>
      <c r="S1830" t="s">
        <v>6100</v>
      </c>
      <c r="T1830">
        <v>0</v>
      </c>
      <c r="U1830" t="s">
        <v>6018</v>
      </c>
      <c r="V1830">
        <v>1</v>
      </c>
    </row>
    <row r="1831" spans="1:22" x14ac:dyDescent="0.3">
      <c r="A1831" t="s">
        <v>1846</v>
      </c>
      <c r="B1831" s="2">
        <v>46099.477083333331</v>
      </c>
      <c r="C1831" s="2">
        <v>46101.339583333334</v>
      </c>
      <c r="D1831" t="s">
        <v>6025</v>
      </c>
      <c r="E1831" t="s">
        <v>6029</v>
      </c>
      <c r="F1831" t="s">
        <v>6034</v>
      </c>
      <c r="G1831" t="s">
        <v>6055</v>
      </c>
      <c r="H1831" t="s">
        <v>6096</v>
      </c>
      <c r="I1831">
        <v>24</v>
      </c>
      <c r="J1831">
        <v>44.7</v>
      </c>
      <c r="K1831" t="s">
        <v>6100</v>
      </c>
      <c r="L1831" t="s">
        <v>6099</v>
      </c>
      <c r="M1831" t="s">
        <v>6100</v>
      </c>
      <c r="O1831" t="s">
        <v>6101</v>
      </c>
      <c r="P1831" t="s">
        <v>6109</v>
      </c>
      <c r="Q1831">
        <v>3</v>
      </c>
      <c r="R1831">
        <v>2026</v>
      </c>
      <c r="S1831" t="s">
        <v>6100</v>
      </c>
      <c r="T1831">
        <v>0</v>
      </c>
      <c r="U1831" t="s">
        <v>6020</v>
      </c>
      <c r="V1831">
        <v>0</v>
      </c>
    </row>
    <row r="1832" spans="1:22" x14ac:dyDescent="0.3">
      <c r="A1832" t="s">
        <v>1847</v>
      </c>
      <c r="B1832" s="2">
        <v>46099.486111111109</v>
      </c>
      <c r="C1832" s="2">
        <v>46100.498611111114</v>
      </c>
      <c r="D1832" t="s">
        <v>6024</v>
      </c>
      <c r="E1832" t="s">
        <v>6032</v>
      </c>
      <c r="F1832" t="s">
        <v>6034</v>
      </c>
      <c r="G1832" t="s">
        <v>6039</v>
      </c>
      <c r="H1832" t="s">
        <v>6097</v>
      </c>
      <c r="I1832">
        <v>24</v>
      </c>
      <c r="J1832">
        <v>24.3</v>
      </c>
      <c r="K1832" t="s">
        <v>6099</v>
      </c>
      <c r="L1832" t="s">
        <v>6100</v>
      </c>
      <c r="M1832" t="s">
        <v>6100</v>
      </c>
      <c r="N1832">
        <v>3</v>
      </c>
      <c r="O1832" t="s">
        <v>6101</v>
      </c>
      <c r="P1832" t="s">
        <v>6109</v>
      </c>
      <c r="Q1832">
        <v>3</v>
      </c>
      <c r="R1832">
        <v>2026</v>
      </c>
      <c r="S1832" t="s">
        <v>6100</v>
      </c>
      <c r="T1832">
        <v>0</v>
      </c>
      <c r="U1832" t="s">
        <v>6021</v>
      </c>
      <c r="V1832">
        <v>1</v>
      </c>
    </row>
    <row r="1833" spans="1:22" x14ac:dyDescent="0.3">
      <c r="A1833" t="s">
        <v>1848</v>
      </c>
      <c r="B1833" s="2">
        <v>46099.526388888888</v>
      </c>
      <c r="C1833" s="2">
        <v>46099.826388888891</v>
      </c>
      <c r="D1833" t="s">
        <v>6028</v>
      </c>
      <c r="E1833" t="s">
        <v>6029</v>
      </c>
      <c r="F1833" t="s">
        <v>6035</v>
      </c>
      <c r="G1833" t="s">
        <v>6087</v>
      </c>
      <c r="H1833" t="s">
        <v>6098</v>
      </c>
      <c r="I1833">
        <v>4</v>
      </c>
      <c r="J1833">
        <v>7.2</v>
      </c>
      <c r="K1833" t="s">
        <v>6100</v>
      </c>
      <c r="L1833" t="s">
        <v>6100</v>
      </c>
      <c r="M1833" t="s">
        <v>6100</v>
      </c>
      <c r="N1833">
        <v>4</v>
      </c>
      <c r="O1833" t="s">
        <v>6101</v>
      </c>
      <c r="P1833" t="s">
        <v>6109</v>
      </c>
      <c r="Q1833">
        <v>3</v>
      </c>
      <c r="R1833">
        <v>2026</v>
      </c>
      <c r="S1833" t="s">
        <v>6100</v>
      </c>
      <c r="T1833">
        <v>0</v>
      </c>
      <c r="U1833" t="s">
        <v>6021</v>
      </c>
      <c r="V1833">
        <v>0</v>
      </c>
    </row>
    <row r="1834" spans="1:22" x14ac:dyDescent="0.3">
      <c r="A1834" t="s">
        <v>1849</v>
      </c>
      <c r="B1834" s="2">
        <v>46099.55</v>
      </c>
      <c r="C1834" s="2">
        <v>46102.783333333333</v>
      </c>
      <c r="D1834" t="s">
        <v>6025</v>
      </c>
      <c r="E1834" t="s">
        <v>6029</v>
      </c>
      <c r="F1834" t="s">
        <v>6034</v>
      </c>
      <c r="G1834" t="s">
        <v>6037</v>
      </c>
      <c r="H1834" t="s">
        <v>6096</v>
      </c>
      <c r="I1834">
        <v>24</v>
      </c>
      <c r="J1834">
        <v>77.599999999999994</v>
      </c>
      <c r="K1834" t="s">
        <v>6099</v>
      </c>
      <c r="L1834" t="s">
        <v>6100</v>
      </c>
      <c r="M1834" t="s">
        <v>6100</v>
      </c>
      <c r="N1834">
        <v>3</v>
      </c>
      <c r="O1834" t="s">
        <v>6101</v>
      </c>
      <c r="P1834" t="s">
        <v>6109</v>
      </c>
      <c r="Q1834">
        <v>3</v>
      </c>
      <c r="R1834">
        <v>2026</v>
      </c>
      <c r="S1834" t="s">
        <v>6100</v>
      </c>
      <c r="T1834">
        <v>0</v>
      </c>
      <c r="U1834" t="s">
        <v>6019</v>
      </c>
      <c r="V1834">
        <v>1</v>
      </c>
    </row>
    <row r="1835" spans="1:22" x14ac:dyDescent="0.3">
      <c r="A1835" t="s">
        <v>1850</v>
      </c>
      <c r="B1835" s="2">
        <v>46099.550694444442</v>
      </c>
      <c r="C1835" s="2">
        <v>46099.688194444447</v>
      </c>
      <c r="D1835" t="s">
        <v>6027</v>
      </c>
      <c r="E1835" t="s">
        <v>6029</v>
      </c>
      <c r="F1835" t="s">
        <v>6034</v>
      </c>
      <c r="G1835" t="s">
        <v>6066</v>
      </c>
      <c r="H1835" t="s">
        <v>6096</v>
      </c>
      <c r="I1835">
        <v>24</v>
      </c>
      <c r="J1835">
        <v>3.3</v>
      </c>
      <c r="K1835" t="s">
        <v>6100</v>
      </c>
      <c r="L1835" t="s">
        <v>6099</v>
      </c>
      <c r="M1835" t="s">
        <v>6100</v>
      </c>
      <c r="O1835" t="s">
        <v>6101</v>
      </c>
      <c r="P1835" t="s">
        <v>6109</v>
      </c>
      <c r="Q1835">
        <v>3</v>
      </c>
      <c r="R1835">
        <v>2026</v>
      </c>
      <c r="S1835" t="s">
        <v>6099</v>
      </c>
      <c r="T1835">
        <v>1</v>
      </c>
      <c r="U1835" t="s">
        <v>6018</v>
      </c>
      <c r="V1835">
        <v>0</v>
      </c>
    </row>
    <row r="1836" spans="1:22" x14ac:dyDescent="0.3">
      <c r="A1836" t="s">
        <v>1851</v>
      </c>
      <c r="B1836" s="2">
        <v>46099.556944444441</v>
      </c>
      <c r="C1836" s="2">
        <v>46100.486111111109</v>
      </c>
      <c r="D1836" t="s">
        <v>6023</v>
      </c>
      <c r="E1836" t="s">
        <v>6032</v>
      </c>
      <c r="F1836" t="s">
        <v>6034</v>
      </c>
      <c r="G1836" t="s">
        <v>6064</v>
      </c>
      <c r="H1836" t="s">
        <v>6096</v>
      </c>
      <c r="I1836">
        <v>24</v>
      </c>
      <c r="J1836">
        <v>22.3</v>
      </c>
      <c r="K1836" t="s">
        <v>6100</v>
      </c>
      <c r="L1836" t="s">
        <v>6099</v>
      </c>
      <c r="M1836" t="s">
        <v>6100</v>
      </c>
      <c r="N1836">
        <v>3</v>
      </c>
      <c r="O1836" t="s">
        <v>6101</v>
      </c>
      <c r="P1836" t="s">
        <v>6109</v>
      </c>
      <c r="Q1836">
        <v>3</v>
      </c>
      <c r="R1836">
        <v>2026</v>
      </c>
      <c r="S1836" t="s">
        <v>6099</v>
      </c>
      <c r="T1836">
        <v>1</v>
      </c>
      <c r="U1836" t="s">
        <v>6019</v>
      </c>
      <c r="V1836">
        <v>0</v>
      </c>
    </row>
    <row r="1837" spans="1:22" x14ac:dyDescent="0.3">
      <c r="A1837" t="s">
        <v>1852</v>
      </c>
      <c r="B1837" s="2">
        <v>46099.568749999999</v>
      </c>
      <c r="C1837" s="2">
        <v>46099.685416666667</v>
      </c>
      <c r="D1837" t="s">
        <v>6023</v>
      </c>
      <c r="E1837" t="s">
        <v>6029</v>
      </c>
      <c r="F1837" t="s">
        <v>6033</v>
      </c>
      <c r="G1837" t="s">
        <v>6045</v>
      </c>
      <c r="H1837" t="s">
        <v>6096</v>
      </c>
      <c r="I1837">
        <v>72</v>
      </c>
      <c r="J1837">
        <v>2.8</v>
      </c>
      <c r="K1837" t="s">
        <v>6099</v>
      </c>
      <c r="L1837" t="s">
        <v>6100</v>
      </c>
      <c r="M1837" t="s">
        <v>6100</v>
      </c>
      <c r="N1837">
        <v>5</v>
      </c>
      <c r="O1837" t="s">
        <v>6101</v>
      </c>
      <c r="P1837" t="s">
        <v>6109</v>
      </c>
      <c r="Q1837">
        <v>3</v>
      </c>
      <c r="R1837">
        <v>2026</v>
      </c>
      <c r="S1837" t="s">
        <v>6099</v>
      </c>
      <c r="T1837">
        <v>1</v>
      </c>
      <c r="U1837" t="s">
        <v>6021</v>
      </c>
      <c r="V1837">
        <v>1</v>
      </c>
    </row>
    <row r="1838" spans="1:22" x14ac:dyDescent="0.3">
      <c r="A1838" t="s">
        <v>1853</v>
      </c>
      <c r="B1838" s="2">
        <v>46099.685416666667</v>
      </c>
      <c r="C1838" s="2">
        <v>46112.04791666667</v>
      </c>
      <c r="D1838" t="s">
        <v>6026</v>
      </c>
      <c r="E1838" t="s">
        <v>6031</v>
      </c>
      <c r="F1838" t="s">
        <v>6034</v>
      </c>
      <c r="G1838" t="s">
        <v>6064</v>
      </c>
      <c r="H1838" t="s">
        <v>6096</v>
      </c>
      <c r="I1838">
        <v>24</v>
      </c>
      <c r="J1838">
        <v>296.7</v>
      </c>
      <c r="K1838" t="s">
        <v>6100</v>
      </c>
      <c r="L1838" t="s">
        <v>6099</v>
      </c>
      <c r="M1838" t="s">
        <v>6100</v>
      </c>
      <c r="O1838" t="s">
        <v>6101</v>
      </c>
      <c r="P1838" t="s">
        <v>6109</v>
      </c>
      <c r="Q1838">
        <v>3</v>
      </c>
      <c r="R1838">
        <v>2026</v>
      </c>
      <c r="S1838" t="s">
        <v>6100</v>
      </c>
      <c r="T1838">
        <v>0</v>
      </c>
      <c r="U1838" t="s">
        <v>6021</v>
      </c>
      <c r="V1838">
        <v>0</v>
      </c>
    </row>
    <row r="1839" spans="1:22" x14ac:dyDescent="0.3">
      <c r="A1839" t="s">
        <v>1854</v>
      </c>
      <c r="B1839" s="2">
        <v>46099.695138888892</v>
      </c>
      <c r="C1839" s="2">
        <v>46099.96597222222</v>
      </c>
      <c r="D1839" t="s">
        <v>6024</v>
      </c>
      <c r="E1839" t="s">
        <v>6030</v>
      </c>
      <c r="F1839" t="s">
        <v>6033</v>
      </c>
      <c r="G1839" t="s">
        <v>6049</v>
      </c>
      <c r="H1839" t="s">
        <v>6097</v>
      </c>
      <c r="I1839">
        <v>72</v>
      </c>
      <c r="J1839">
        <v>6.5</v>
      </c>
      <c r="K1839" t="s">
        <v>6099</v>
      </c>
      <c r="L1839" t="s">
        <v>6100</v>
      </c>
      <c r="M1839" t="s">
        <v>6100</v>
      </c>
      <c r="N1839">
        <v>4</v>
      </c>
      <c r="O1839" t="s">
        <v>6101</v>
      </c>
      <c r="P1839" t="s">
        <v>6109</v>
      </c>
      <c r="Q1839">
        <v>3</v>
      </c>
      <c r="R1839">
        <v>2026</v>
      </c>
      <c r="S1839" t="s">
        <v>6099</v>
      </c>
      <c r="T1839">
        <v>1</v>
      </c>
      <c r="U1839" t="s">
        <v>6019</v>
      </c>
      <c r="V1839">
        <v>1</v>
      </c>
    </row>
    <row r="1840" spans="1:22" x14ac:dyDescent="0.3">
      <c r="A1840" t="s">
        <v>1855</v>
      </c>
      <c r="B1840" s="2">
        <v>46099.706944444442</v>
      </c>
      <c r="C1840" s="2">
        <v>46101.19027777778</v>
      </c>
      <c r="D1840" t="s">
        <v>6022</v>
      </c>
      <c r="E1840" t="s">
        <v>6029</v>
      </c>
      <c r="F1840" t="s">
        <v>6034</v>
      </c>
      <c r="G1840" t="s">
        <v>6085</v>
      </c>
      <c r="H1840" t="s">
        <v>6097</v>
      </c>
      <c r="I1840">
        <v>24</v>
      </c>
      <c r="J1840">
        <v>35.6</v>
      </c>
      <c r="K1840" t="s">
        <v>6099</v>
      </c>
      <c r="L1840" t="s">
        <v>6100</v>
      </c>
      <c r="M1840" t="s">
        <v>6100</v>
      </c>
      <c r="O1840" t="s">
        <v>6101</v>
      </c>
      <c r="P1840" t="s">
        <v>6109</v>
      </c>
      <c r="Q1840">
        <v>3</v>
      </c>
      <c r="R1840">
        <v>2026</v>
      </c>
      <c r="S1840" t="s">
        <v>6100</v>
      </c>
      <c r="T1840">
        <v>0</v>
      </c>
      <c r="U1840" t="s">
        <v>6018</v>
      </c>
      <c r="V1840">
        <v>1</v>
      </c>
    </row>
    <row r="1841" spans="1:22" x14ac:dyDescent="0.3">
      <c r="A1841" t="s">
        <v>1856</v>
      </c>
      <c r="B1841" s="2">
        <v>46099.811111111114</v>
      </c>
      <c r="C1841" s="2">
        <v>46099.936111111114</v>
      </c>
      <c r="D1841" t="s">
        <v>6023</v>
      </c>
      <c r="E1841" t="s">
        <v>6029</v>
      </c>
      <c r="F1841" t="s">
        <v>6033</v>
      </c>
      <c r="G1841" t="s">
        <v>6085</v>
      </c>
      <c r="H1841" t="s">
        <v>6097</v>
      </c>
      <c r="I1841">
        <v>72</v>
      </c>
      <c r="J1841">
        <v>3</v>
      </c>
      <c r="K1841" t="s">
        <v>6099</v>
      </c>
      <c r="L1841" t="s">
        <v>6100</v>
      </c>
      <c r="M1841" t="s">
        <v>6099</v>
      </c>
      <c r="N1841">
        <v>5</v>
      </c>
      <c r="O1841" t="s">
        <v>6101</v>
      </c>
      <c r="P1841" t="s">
        <v>6109</v>
      </c>
      <c r="Q1841">
        <v>3</v>
      </c>
      <c r="R1841">
        <v>2026</v>
      </c>
      <c r="S1841" t="s">
        <v>6099</v>
      </c>
      <c r="T1841">
        <v>1</v>
      </c>
      <c r="U1841" t="s">
        <v>6021</v>
      </c>
      <c r="V1841">
        <v>1</v>
      </c>
    </row>
    <row r="1842" spans="1:22" x14ac:dyDescent="0.3">
      <c r="A1842" t="s">
        <v>1857</v>
      </c>
      <c r="B1842" s="2">
        <v>46099.814583333333</v>
      </c>
      <c r="C1842" s="2">
        <v>46100.48541666667</v>
      </c>
      <c r="D1842" t="s">
        <v>6023</v>
      </c>
      <c r="E1842" t="s">
        <v>6030</v>
      </c>
      <c r="F1842" t="s">
        <v>6033</v>
      </c>
      <c r="G1842" t="s">
        <v>6087</v>
      </c>
      <c r="H1842" t="s">
        <v>6098</v>
      </c>
      <c r="I1842">
        <v>72</v>
      </c>
      <c r="J1842">
        <v>16.100000000000001</v>
      </c>
      <c r="K1842" t="s">
        <v>6099</v>
      </c>
      <c r="L1842" t="s">
        <v>6100</v>
      </c>
      <c r="M1842" t="s">
        <v>6100</v>
      </c>
      <c r="N1842">
        <v>4</v>
      </c>
      <c r="O1842" t="s">
        <v>6101</v>
      </c>
      <c r="P1842" t="s">
        <v>6109</v>
      </c>
      <c r="Q1842">
        <v>3</v>
      </c>
      <c r="R1842">
        <v>2026</v>
      </c>
      <c r="S1842" t="s">
        <v>6099</v>
      </c>
      <c r="T1842">
        <v>1</v>
      </c>
      <c r="U1842" t="s">
        <v>6020</v>
      </c>
      <c r="V1842">
        <v>1</v>
      </c>
    </row>
    <row r="1843" spans="1:22" x14ac:dyDescent="0.3">
      <c r="A1843" t="s">
        <v>1858</v>
      </c>
      <c r="B1843" s="2">
        <v>46099.841666666667</v>
      </c>
      <c r="C1843" s="2">
        <v>46100.520833333336</v>
      </c>
      <c r="D1843" t="s">
        <v>6027</v>
      </c>
      <c r="E1843" t="s">
        <v>6031</v>
      </c>
      <c r="F1843" t="s">
        <v>6034</v>
      </c>
      <c r="G1843" t="s">
        <v>6050</v>
      </c>
      <c r="H1843" t="s">
        <v>6098</v>
      </c>
      <c r="I1843">
        <v>24</v>
      </c>
      <c r="J1843">
        <v>16.3</v>
      </c>
      <c r="K1843" t="s">
        <v>6099</v>
      </c>
      <c r="L1843" t="s">
        <v>6100</v>
      </c>
      <c r="M1843" t="s">
        <v>6100</v>
      </c>
      <c r="O1843" t="s">
        <v>6101</v>
      </c>
      <c r="P1843" t="s">
        <v>6109</v>
      </c>
      <c r="Q1843">
        <v>3</v>
      </c>
      <c r="R1843">
        <v>2026</v>
      </c>
      <c r="S1843" t="s">
        <v>6099</v>
      </c>
      <c r="T1843">
        <v>1</v>
      </c>
      <c r="U1843" t="s">
        <v>6020</v>
      </c>
      <c r="V1843">
        <v>1</v>
      </c>
    </row>
    <row r="1844" spans="1:22" x14ac:dyDescent="0.3">
      <c r="A1844" t="s">
        <v>1859</v>
      </c>
      <c r="B1844" s="2">
        <v>46099.851388888892</v>
      </c>
      <c r="C1844" s="2">
        <v>46100.43472222222</v>
      </c>
      <c r="D1844" t="s">
        <v>6024</v>
      </c>
      <c r="E1844" t="s">
        <v>6029</v>
      </c>
      <c r="F1844" t="s">
        <v>6034</v>
      </c>
      <c r="G1844" t="s">
        <v>6088</v>
      </c>
      <c r="H1844" t="s">
        <v>6097</v>
      </c>
      <c r="I1844">
        <v>24</v>
      </c>
      <c r="J1844">
        <v>14</v>
      </c>
      <c r="K1844" t="s">
        <v>6100</v>
      </c>
      <c r="L1844" t="s">
        <v>6100</v>
      </c>
      <c r="M1844" t="s">
        <v>6100</v>
      </c>
      <c r="N1844">
        <v>4</v>
      </c>
      <c r="O1844" t="s">
        <v>6101</v>
      </c>
      <c r="P1844" t="s">
        <v>6109</v>
      </c>
      <c r="Q1844">
        <v>3</v>
      </c>
      <c r="R1844">
        <v>2026</v>
      </c>
      <c r="S1844" t="s">
        <v>6099</v>
      </c>
      <c r="T1844">
        <v>1</v>
      </c>
      <c r="U1844" t="s">
        <v>6017</v>
      </c>
      <c r="V1844">
        <v>0</v>
      </c>
    </row>
    <row r="1845" spans="1:22" x14ac:dyDescent="0.3">
      <c r="A1845" t="s">
        <v>1860</v>
      </c>
      <c r="B1845" s="2">
        <v>46099.952777777777</v>
      </c>
      <c r="C1845" s="2">
        <v>46100.236111111109</v>
      </c>
      <c r="D1845" t="s">
        <v>6022</v>
      </c>
      <c r="E1845" t="s">
        <v>6030</v>
      </c>
      <c r="F1845" t="s">
        <v>6034</v>
      </c>
      <c r="G1845" t="s">
        <v>6084</v>
      </c>
      <c r="H1845" t="s">
        <v>6098</v>
      </c>
      <c r="I1845">
        <v>24</v>
      </c>
      <c r="J1845">
        <v>6.8</v>
      </c>
      <c r="K1845" t="s">
        <v>6099</v>
      </c>
      <c r="L1845" t="s">
        <v>6100</v>
      </c>
      <c r="M1845" t="s">
        <v>6100</v>
      </c>
      <c r="O1845" t="s">
        <v>6101</v>
      </c>
      <c r="P1845" t="s">
        <v>6109</v>
      </c>
      <c r="Q1845">
        <v>3</v>
      </c>
      <c r="R1845">
        <v>2026</v>
      </c>
      <c r="S1845" t="s">
        <v>6099</v>
      </c>
      <c r="T1845">
        <v>1</v>
      </c>
      <c r="U1845" t="s">
        <v>6021</v>
      </c>
      <c r="V1845">
        <v>1</v>
      </c>
    </row>
    <row r="1846" spans="1:22" x14ac:dyDescent="0.3">
      <c r="A1846" t="s">
        <v>1861</v>
      </c>
      <c r="B1846" s="2">
        <v>46100.256249999999</v>
      </c>
      <c r="C1846" s="2">
        <v>46100.635416666664</v>
      </c>
      <c r="D1846" t="s">
        <v>6025</v>
      </c>
      <c r="E1846" t="s">
        <v>6030</v>
      </c>
      <c r="F1846" t="s">
        <v>6034</v>
      </c>
      <c r="G1846" t="s">
        <v>6046</v>
      </c>
      <c r="H1846" t="s">
        <v>6098</v>
      </c>
      <c r="I1846">
        <v>24</v>
      </c>
      <c r="J1846">
        <v>9.1</v>
      </c>
      <c r="K1846" t="s">
        <v>6099</v>
      </c>
      <c r="L1846" t="s">
        <v>6100</v>
      </c>
      <c r="M1846" t="s">
        <v>6100</v>
      </c>
      <c r="N1846">
        <v>4</v>
      </c>
      <c r="O1846" t="s">
        <v>6101</v>
      </c>
      <c r="P1846" t="s">
        <v>6109</v>
      </c>
      <c r="Q1846">
        <v>3</v>
      </c>
      <c r="R1846">
        <v>2026</v>
      </c>
      <c r="S1846" t="s">
        <v>6099</v>
      </c>
      <c r="T1846">
        <v>1</v>
      </c>
      <c r="U1846" t="s">
        <v>6018</v>
      </c>
      <c r="V1846">
        <v>1</v>
      </c>
    </row>
    <row r="1847" spans="1:22" x14ac:dyDescent="0.3">
      <c r="A1847" t="s">
        <v>1862</v>
      </c>
      <c r="B1847" s="2">
        <v>46100.27847222222</v>
      </c>
      <c r="C1847" s="2">
        <v>46102.824305555558</v>
      </c>
      <c r="D1847" t="s">
        <v>6026</v>
      </c>
      <c r="E1847" t="s">
        <v>6032</v>
      </c>
      <c r="F1847" t="s">
        <v>6034</v>
      </c>
      <c r="G1847" t="s">
        <v>6077</v>
      </c>
      <c r="H1847" t="s">
        <v>6098</v>
      </c>
      <c r="I1847">
        <v>24</v>
      </c>
      <c r="J1847">
        <v>61.1</v>
      </c>
      <c r="K1847" t="s">
        <v>6099</v>
      </c>
      <c r="L1847" t="s">
        <v>6100</v>
      </c>
      <c r="M1847" t="s">
        <v>6100</v>
      </c>
      <c r="N1847">
        <v>4</v>
      </c>
      <c r="O1847" t="s">
        <v>6101</v>
      </c>
      <c r="P1847" t="s">
        <v>6109</v>
      </c>
      <c r="Q1847">
        <v>3</v>
      </c>
      <c r="R1847">
        <v>2026</v>
      </c>
      <c r="S1847" t="s">
        <v>6100</v>
      </c>
      <c r="T1847">
        <v>0</v>
      </c>
      <c r="U1847" t="s">
        <v>6021</v>
      </c>
      <c r="V1847">
        <v>1</v>
      </c>
    </row>
    <row r="1848" spans="1:22" x14ac:dyDescent="0.3">
      <c r="A1848" t="s">
        <v>1863</v>
      </c>
      <c r="B1848" s="2">
        <v>46100.279166666667</v>
      </c>
      <c r="C1848" s="2">
        <v>46100.508333333331</v>
      </c>
      <c r="D1848" t="s">
        <v>6023</v>
      </c>
      <c r="E1848" t="s">
        <v>6032</v>
      </c>
      <c r="F1848" t="s">
        <v>6033</v>
      </c>
      <c r="G1848" t="s">
        <v>6086</v>
      </c>
      <c r="H1848" t="s">
        <v>6098</v>
      </c>
      <c r="I1848">
        <v>72</v>
      </c>
      <c r="J1848">
        <v>5.5</v>
      </c>
      <c r="K1848" t="s">
        <v>6100</v>
      </c>
      <c r="L1848" t="s">
        <v>6099</v>
      </c>
      <c r="M1848" t="s">
        <v>6100</v>
      </c>
      <c r="N1848">
        <v>5</v>
      </c>
      <c r="O1848" t="s">
        <v>6101</v>
      </c>
      <c r="P1848" t="s">
        <v>6109</v>
      </c>
      <c r="Q1848">
        <v>3</v>
      </c>
      <c r="R1848">
        <v>2026</v>
      </c>
      <c r="S1848" t="s">
        <v>6099</v>
      </c>
      <c r="T1848">
        <v>1</v>
      </c>
      <c r="U1848" t="s">
        <v>6021</v>
      </c>
      <c r="V1848">
        <v>0</v>
      </c>
    </row>
    <row r="1849" spans="1:22" x14ac:dyDescent="0.3">
      <c r="A1849" t="s">
        <v>1864</v>
      </c>
      <c r="B1849" s="2">
        <v>46100.436805555553</v>
      </c>
      <c r="C1849" s="2">
        <v>46100.753472222219</v>
      </c>
      <c r="D1849" t="s">
        <v>6022</v>
      </c>
      <c r="E1849" t="s">
        <v>6029</v>
      </c>
      <c r="F1849" t="s">
        <v>6033</v>
      </c>
      <c r="G1849" t="s">
        <v>6060</v>
      </c>
      <c r="H1849" t="s">
        <v>6097</v>
      </c>
      <c r="I1849">
        <v>72</v>
      </c>
      <c r="J1849">
        <v>7.6</v>
      </c>
      <c r="K1849" t="s">
        <v>6099</v>
      </c>
      <c r="L1849" t="s">
        <v>6100</v>
      </c>
      <c r="M1849" t="s">
        <v>6100</v>
      </c>
      <c r="N1849">
        <v>5</v>
      </c>
      <c r="O1849" t="s">
        <v>6101</v>
      </c>
      <c r="P1849" t="s">
        <v>6109</v>
      </c>
      <c r="Q1849">
        <v>3</v>
      </c>
      <c r="R1849">
        <v>2026</v>
      </c>
      <c r="S1849" t="s">
        <v>6099</v>
      </c>
      <c r="T1849">
        <v>1</v>
      </c>
      <c r="U1849" t="s">
        <v>6021</v>
      </c>
      <c r="V1849">
        <v>1</v>
      </c>
    </row>
    <row r="1850" spans="1:22" x14ac:dyDescent="0.3">
      <c r="A1850" t="s">
        <v>1865</v>
      </c>
      <c r="B1850" s="2">
        <v>46100.458333333336</v>
      </c>
      <c r="C1850" s="2">
        <v>46101.558333333334</v>
      </c>
      <c r="D1850" t="s">
        <v>6023</v>
      </c>
      <c r="E1850" t="s">
        <v>6029</v>
      </c>
      <c r="F1850" t="s">
        <v>6034</v>
      </c>
      <c r="G1850" t="s">
        <v>6083</v>
      </c>
      <c r="H1850" t="s">
        <v>6096</v>
      </c>
      <c r="I1850">
        <v>24</v>
      </c>
      <c r="J1850">
        <v>26.4</v>
      </c>
      <c r="K1850" t="s">
        <v>6099</v>
      </c>
      <c r="L1850" t="s">
        <v>6100</v>
      </c>
      <c r="M1850" t="s">
        <v>6100</v>
      </c>
      <c r="O1850" t="s">
        <v>6101</v>
      </c>
      <c r="P1850" t="s">
        <v>6109</v>
      </c>
      <c r="Q1850">
        <v>3</v>
      </c>
      <c r="R1850">
        <v>2026</v>
      </c>
      <c r="S1850" t="s">
        <v>6100</v>
      </c>
      <c r="T1850">
        <v>0</v>
      </c>
      <c r="U1850" t="s">
        <v>6018</v>
      </c>
      <c r="V1850">
        <v>1</v>
      </c>
    </row>
    <row r="1851" spans="1:22" x14ac:dyDescent="0.3">
      <c r="A1851" t="s">
        <v>1866</v>
      </c>
      <c r="B1851" s="2">
        <v>46100.490277777775</v>
      </c>
      <c r="C1851" s="2">
        <v>46102.048611111109</v>
      </c>
      <c r="D1851" t="s">
        <v>6028</v>
      </c>
      <c r="E1851" t="s">
        <v>6032</v>
      </c>
      <c r="F1851" t="s">
        <v>6034</v>
      </c>
      <c r="G1851" t="s">
        <v>6094</v>
      </c>
      <c r="H1851" t="s">
        <v>6098</v>
      </c>
      <c r="I1851">
        <v>24</v>
      </c>
      <c r="J1851">
        <v>37.4</v>
      </c>
      <c r="K1851" t="s">
        <v>6099</v>
      </c>
      <c r="L1851" t="s">
        <v>6100</v>
      </c>
      <c r="M1851" t="s">
        <v>6100</v>
      </c>
      <c r="N1851">
        <v>4</v>
      </c>
      <c r="O1851" t="s">
        <v>6101</v>
      </c>
      <c r="P1851" t="s">
        <v>6109</v>
      </c>
      <c r="Q1851">
        <v>3</v>
      </c>
      <c r="R1851">
        <v>2026</v>
      </c>
      <c r="S1851" t="s">
        <v>6100</v>
      </c>
      <c r="T1851">
        <v>0</v>
      </c>
      <c r="U1851" t="s">
        <v>6019</v>
      </c>
      <c r="V1851">
        <v>1</v>
      </c>
    </row>
    <row r="1852" spans="1:22" x14ac:dyDescent="0.3">
      <c r="A1852" t="s">
        <v>1867</v>
      </c>
      <c r="B1852" s="2">
        <v>46100.513194444444</v>
      </c>
      <c r="C1852" s="2">
        <v>46100.754861111112</v>
      </c>
      <c r="D1852" t="s">
        <v>6028</v>
      </c>
      <c r="E1852" t="s">
        <v>6029</v>
      </c>
      <c r="F1852" t="s">
        <v>6035</v>
      </c>
      <c r="G1852" t="s">
        <v>6065</v>
      </c>
      <c r="H1852" t="s">
        <v>6097</v>
      </c>
      <c r="I1852">
        <v>4</v>
      </c>
      <c r="J1852">
        <v>5.8</v>
      </c>
      <c r="K1852" t="s">
        <v>6099</v>
      </c>
      <c r="L1852" t="s">
        <v>6100</v>
      </c>
      <c r="M1852" t="s">
        <v>6100</v>
      </c>
      <c r="N1852">
        <v>5</v>
      </c>
      <c r="O1852" t="s">
        <v>6101</v>
      </c>
      <c r="P1852" t="s">
        <v>6109</v>
      </c>
      <c r="Q1852">
        <v>3</v>
      </c>
      <c r="R1852">
        <v>2026</v>
      </c>
      <c r="S1852" t="s">
        <v>6100</v>
      </c>
      <c r="T1852">
        <v>0</v>
      </c>
      <c r="U1852" t="s">
        <v>6021</v>
      </c>
      <c r="V1852">
        <v>1</v>
      </c>
    </row>
    <row r="1853" spans="1:22" x14ac:dyDescent="0.3">
      <c r="A1853" t="s">
        <v>1868</v>
      </c>
      <c r="B1853" s="2">
        <v>46100.52847222222</v>
      </c>
      <c r="C1853" s="2">
        <v>46100.961805555555</v>
      </c>
      <c r="D1853" t="s">
        <v>6022</v>
      </c>
      <c r="E1853" t="s">
        <v>6032</v>
      </c>
      <c r="F1853" t="s">
        <v>6033</v>
      </c>
      <c r="G1853" t="s">
        <v>6064</v>
      </c>
      <c r="H1853" t="s">
        <v>6096</v>
      </c>
      <c r="I1853">
        <v>72</v>
      </c>
      <c r="J1853">
        <v>10.4</v>
      </c>
      <c r="K1853" t="s">
        <v>6099</v>
      </c>
      <c r="L1853" t="s">
        <v>6100</v>
      </c>
      <c r="M1853" t="s">
        <v>6100</v>
      </c>
      <c r="N1853">
        <v>5</v>
      </c>
      <c r="O1853" t="s">
        <v>6101</v>
      </c>
      <c r="P1853" t="s">
        <v>6109</v>
      </c>
      <c r="Q1853">
        <v>3</v>
      </c>
      <c r="R1853">
        <v>2026</v>
      </c>
      <c r="S1853" t="s">
        <v>6099</v>
      </c>
      <c r="T1853">
        <v>1</v>
      </c>
      <c r="U1853" t="s">
        <v>6018</v>
      </c>
      <c r="V1853">
        <v>1</v>
      </c>
    </row>
    <row r="1854" spans="1:22" x14ac:dyDescent="0.3">
      <c r="A1854" t="s">
        <v>1869</v>
      </c>
      <c r="B1854" s="2">
        <v>46100.52847222222</v>
      </c>
      <c r="C1854" s="2">
        <v>46100.928472222222</v>
      </c>
      <c r="D1854" t="s">
        <v>6023</v>
      </c>
      <c r="E1854" t="s">
        <v>6032</v>
      </c>
      <c r="F1854" t="s">
        <v>6034</v>
      </c>
      <c r="G1854" t="s">
        <v>6095</v>
      </c>
      <c r="H1854" t="s">
        <v>6098</v>
      </c>
      <c r="I1854">
        <v>24</v>
      </c>
      <c r="J1854">
        <v>9.6</v>
      </c>
      <c r="K1854" t="s">
        <v>6099</v>
      </c>
      <c r="L1854" t="s">
        <v>6100</v>
      </c>
      <c r="M1854" t="s">
        <v>6100</v>
      </c>
      <c r="N1854">
        <v>5</v>
      </c>
      <c r="O1854" t="s">
        <v>6101</v>
      </c>
      <c r="P1854" t="s">
        <v>6109</v>
      </c>
      <c r="Q1854">
        <v>3</v>
      </c>
      <c r="R1854">
        <v>2026</v>
      </c>
      <c r="S1854" t="s">
        <v>6099</v>
      </c>
      <c r="T1854">
        <v>1</v>
      </c>
      <c r="U1854" t="s">
        <v>6017</v>
      </c>
      <c r="V1854">
        <v>1</v>
      </c>
    </row>
    <row r="1855" spans="1:22" x14ac:dyDescent="0.3">
      <c r="A1855" t="s">
        <v>1870</v>
      </c>
      <c r="B1855" s="2">
        <v>46100.544444444444</v>
      </c>
      <c r="C1855" s="2">
        <v>46100.990277777775</v>
      </c>
      <c r="D1855" t="s">
        <v>6028</v>
      </c>
      <c r="E1855" t="s">
        <v>6029</v>
      </c>
      <c r="F1855" t="s">
        <v>6035</v>
      </c>
      <c r="G1855" t="s">
        <v>6064</v>
      </c>
      <c r="H1855" t="s">
        <v>6096</v>
      </c>
      <c r="I1855">
        <v>4</v>
      </c>
      <c r="J1855">
        <v>10.7</v>
      </c>
      <c r="K1855" t="s">
        <v>6100</v>
      </c>
      <c r="L1855" t="s">
        <v>6100</v>
      </c>
      <c r="M1855" t="s">
        <v>6099</v>
      </c>
      <c r="N1855">
        <v>3</v>
      </c>
      <c r="O1855" t="s">
        <v>6101</v>
      </c>
      <c r="P1855" t="s">
        <v>6109</v>
      </c>
      <c r="Q1855">
        <v>3</v>
      </c>
      <c r="R1855">
        <v>2026</v>
      </c>
      <c r="S1855" t="s">
        <v>6100</v>
      </c>
      <c r="T1855">
        <v>0</v>
      </c>
      <c r="U1855" t="s">
        <v>6017</v>
      </c>
      <c r="V1855">
        <v>0</v>
      </c>
    </row>
    <row r="1856" spans="1:22" x14ac:dyDescent="0.3">
      <c r="A1856" t="s">
        <v>1871</v>
      </c>
      <c r="B1856" s="2">
        <v>46100.55</v>
      </c>
      <c r="C1856" s="2">
        <v>46100.754166666666</v>
      </c>
      <c r="D1856" t="s">
        <v>6022</v>
      </c>
      <c r="E1856" t="s">
        <v>6030</v>
      </c>
      <c r="F1856" t="s">
        <v>6034</v>
      </c>
      <c r="G1856" t="s">
        <v>6042</v>
      </c>
      <c r="H1856" t="s">
        <v>6098</v>
      </c>
      <c r="I1856">
        <v>24</v>
      </c>
      <c r="J1856">
        <v>4.9000000000000004</v>
      </c>
      <c r="K1856" t="s">
        <v>6099</v>
      </c>
      <c r="L1856" t="s">
        <v>6100</v>
      </c>
      <c r="M1856" t="s">
        <v>6099</v>
      </c>
      <c r="N1856">
        <v>5</v>
      </c>
      <c r="O1856" t="s">
        <v>6101</v>
      </c>
      <c r="P1856" t="s">
        <v>6109</v>
      </c>
      <c r="Q1856">
        <v>3</v>
      </c>
      <c r="R1856">
        <v>2026</v>
      </c>
      <c r="S1856" t="s">
        <v>6099</v>
      </c>
      <c r="T1856">
        <v>1</v>
      </c>
      <c r="U1856" t="s">
        <v>6020</v>
      </c>
      <c r="V1856">
        <v>1</v>
      </c>
    </row>
    <row r="1857" spans="1:22" x14ac:dyDescent="0.3">
      <c r="A1857" t="s">
        <v>1872</v>
      </c>
      <c r="B1857" s="2">
        <v>46100.572222222225</v>
      </c>
      <c r="C1857" s="2">
        <v>46101.230555555558</v>
      </c>
      <c r="D1857" t="s">
        <v>6027</v>
      </c>
      <c r="E1857" t="s">
        <v>6032</v>
      </c>
      <c r="F1857" t="s">
        <v>6033</v>
      </c>
      <c r="G1857" t="s">
        <v>6068</v>
      </c>
      <c r="H1857" t="s">
        <v>6098</v>
      </c>
      <c r="I1857">
        <v>72</v>
      </c>
      <c r="J1857">
        <v>15.8</v>
      </c>
      <c r="K1857" t="s">
        <v>6100</v>
      </c>
      <c r="L1857" t="s">
        <v>6100</v>
      </c>
      <c r="M1857" t="s">
        <v>6100</v>
      </c>
      <c r="N1857">
        <v>4</v>
      </c>
      <c r="O1857" t="s">
        <v>6101</v>
      </c>
      <c r="P1857" t="s">
        <v>6109</v>
      </c>
      <c r="Q1857">
        <v>3</v>
      </c>
      <c r="R1857">
        <v>2026</v>
      </c>
      <c r="S1857" t="s">
        <v>6099</v>
      </c>
      <c r="T1857">
        <v>1</v>
      </c>
      <c r="U1857" t="s">
        <v>6018</v>
      </c>
      <c r="V1857">
        <v>0</v>
      </c>
    </row>
    <row r="1858" spans="1:22" x14ac:dyDescent="0.3">
      <c r="A1858" t="s">
        <v>1873</v>
      </c>
      <c r="B1858" s="2">
        <v>46100.588888888888</v>
      </c>
      <c r="C1858" s="2">
        <v>46100.672222222223</v>
      </c>
      <c r="D1858" t="s">
        <v>6023</v>
      </c>
      <c r="E1858" t="s">
        <v>6030</v>
      </c>
      <c r="F1858" t="s">
        <v>6033</v>
      </c>
      <c r="G1858" t="s">
        <v>6089</v>
      </c>
      <c r="H1858" t="s">
        <v>6098</v>
      </c>
      <c r="I1858">
        <v>72</v>
      </c>
      <c r="J1858">
        <v>2</v>
      </c>
      <c r="K1858" t="s">
        <v>6100</v>
      </c>
      <c r="L1858" t="s">
        <v>6099</v>
      </c>
      <c r="M1858" t="s">
        <v>6100</v>
      </c>
      <c r="N1858">
        <v>4</v>
      </c>
      <c r="O1858" t="s">
        <v>6101</v>
      </c>
      <c r="P1858" t="s">
        <v>6109</v>
      </c>
      <c r="Q1858">
        <v>3</v>
      </c>
      <c r="R1858">
        <v>2026</v>
      </c>
      <c r="S1858" t="s">
        <v>6099</v>
      </c>
      <c r="T1858">
        <v>1</v>
      </c>
      <c r="U1858" t="s">
        <v>6017</v>
      </c>
      <c r="V1858">
        <v>0</v>
      </c>
    </row>
    <row r="1859" spans="1:22" x14ac:dyDescent="0.3">
      <c r="A1859" t="s">
        <v>1874</v>
      </c>
      <c r="B1859" s="2">
        <v>46100.636111111111</v>
      </c>
      <c r="C1859" s="2">
        <v>46100.952777777777</v>
      </c>
      <c r="D1859" t="s">
        <v>6022</v>
      </c>
      <c r="E1859" t="s">
        <v>6029</v>
      </c>
      <c r="F1859" t="s">
        <v>6034</v>
      </c>
      <c r="G1859" t="s">
        <v>6051</v>
      </c>
      <c r="H1859" t="s">
        <v>6097</v>
      </c>
      <c r="I1859">
        <v>24</v>
      </c>
      <c r="J1859">
        <v>7.6</v>
      </c>
      <c r="K1859" t="s">
        <v>6099</v>
      </c>
      <c r="L1859" t="s">
        <v>6100</v>
      </c>
      <c r="M1859" t="s">
        <v>6100</v>
      </c>
      <c r="O1859" t="s">
        <v>6101</v>
      </c>
      <c r="P1859" t="s">
        <v>6109</v>
      </c>
      <c r="Q1859">
        <v>3</v>
      </c>
      <c r="R1859">
        <v>2026</v>
      </c>
      <c r="S1859" t="s">
        <v>6099</v>
      </c>
      <c r="T1859">
        <v>1</v>
      </c>
      <c r="U1859" t="s">
        <v>6017</v>
      </c>
      <c r="V1859">
        <v>1</v>
      </c>
    </row>
    <row r="1860" spans="1:22" x14ac:dyDescent="0.3">
      <c r="A1860" t="s">
        <v>1875</v>
      </c>
      <c r="B1860" s="2">
        <v>46100.697916666664</v>
      </c>
      <c r="C1860" s="2">
        <v>46101.364583333336</v>
      </c>
      <c r="D1860" t="s">
        <v>6022</v>
      </c>
      <c r="E1860" t="s">
        <v>6029</v>
      </c>
      <c r="F1860" t="s">
        <v>6034</v>
      </c>
      <c r="G1860" t="s">
        <v>6082</v>
      </c>
      <c r="H1860" t="s">
        <v>6097</v>
      </c>
      <c r="I1860">
        <v>24</v>
      </c>
      <c r="J1860">
        <v>16</v>
      </c>
      <c r="K1860" t="s">
        <v>6099</v>
      </c>
      <c r="L1860" t="s">
        <v>6100</v>
      </c>
      <c r="M1860" t="s">
        <v>6100</v>
      </c>
      <c r="O1860" t="s">
        <v>6101</v>
      </c>
      <c r="P1860" t="s">
        <v>6109</v>
      </c>
      <c r="Q1860">
        <v>3</v>
      </c>
      <c r="R1860">
        <v>2026</v>
      </c>
      <c r="S1860" t="s">
        <v>6099</v>
      </c>
      <c r="T1860">
        <v>1</v>
      </c>
      <c r="U1860" t="s">
        <v>6019</v>
      </c>
      <c r="V1860">
        <v>1</v>
      </c>
    </row>
    <row r="1861" spans="1:22" x14ac:dyDescent="0.3">
      <c r="A1861" t="s">
        <v>1876</v>
      </c>
      <c r="B1861" s="2">
        <v>46100.706250000003</v>
      </c>
      <c r="C1861" s="2">
        <v>46101.464583333334</v>
      </c>
      <c r="D1861" t="s">
        <v>6024</v>
      </c>
      <c r="E1861" t="s">
        <v>6031</v>
      </c>
      <c r="F1861" t="s">
        <v>6033</v>
      </c>
      <c r="G1861" t="s">
        <v>6046</v>
      </c>
      <c r="H1861" t="s">
        <v>6098</v>
      </c>
      <c r="I1861">
        <v>72</v>
      </c>
      <c r="J1861">
        <v>18.2</v>
      </c>
      <c r="K1861" t="s">
        <v>6099</v>
      </c>
      <c r="L1861" t="s">
        <v>6100</v>
      </c>
      <c r="M1861" t="s">
        <v>6100</v>
      </c>
      <c r="N1861">
        <v>5</v>
      </c>
      <c r="O1861" t="s">
        <v>6101</v>
      </c>
      <c r="P1861" t="s">
        <v>6109</v>
      </c>
      <c r="Q1861">
        <v>3</v>
      </c>
      <c r="R1861">
        <v>2026</v>
      </c>
      <c r="S1861" t="s">
        <v>6099</v>
      </c>
      <c r="T1861">
        <v>1</v>
      </c>
      <c r="U1861" t="s">
        <v>6021</v>
      </c>
      <c r="V1861">
        <v>1</v>
      </c>
    </row>
    <row r="1862" spans="1:22" x14ac:dyDescent="0.3">
      <c r="A1862" t="s">
        <v>1877</v>
      </c>
      <c r="B1862" s="2">
        <v>46100.73333333333</v>
      </c>
      <c r="C1862" s="2">
        <v>46101.541666666664</v>
      </c>
      <c r="D1862" t="s">
        <v>6027</v>
      </c>
      <c r="E1862" t="s">
        <v>6029</v>
      </c>
      <c r="F1862" t="s">
        <v>6033</v>
      </c>
      <c r="G1862" t="s">
        <v>6060</v>
      </c>
      <c r="H1862" t="s">
        <v>6097</v>
      </c>
      <c r="I1862">
        <v>72</v>
      </c>
      <c r="J1862">
        <v>19.399999999999999</v>
      </c>
      <c r="K1862" t="s">
        <v>6099</v>
      </c>
      <c r="L1862" t="s">
        <v>6100</v>
      </c>
      <c r="M1862" t="s">
        <v>6099</v>
      </c>
      <c r="O1862" t="s">
        <v>6101</v>
      </c>
      <c r="P1862" t="s">
        <v>6109</v>
      </c>
      <c r="Q1862">
        <v>3</v>
      </c>
      <c r="R1862">
        <v>2026</v>
      </c>
      <c r="S1862" t="s">
        <v>6099</v>
      </c>
      <c r="T1862">
        <v>1</v>
      </c>
      <c r="U1862" t="s">
        <v>6021</v>
      </c>
      <c r="V1862">
        <v>1</v>
      </c>
    </row>
    <row r="1863" spans="1:22" x14ac:dyDescent="0.3">
      <c r="A1863" t="s">
        <v>1878</v>
      </c>
      <c r="B1863" s="2">
        <v>46100.756249999999</v>
      </c>
      <c r="C1863" s="2">
        <v>46100.914583333331</v>
      </c>
      <c r="D1863" t="s">
        <v>6023</v>
      </c>
      <c r="E1863" t="s">
        <v>6030</v>
      </c>
      <c r="F1863" t="s">
        <v>6033</v>
      </c>
      <c r="G1863" t="s">
        <v>6074</v>
      </c>
      <c r="H1863" t="s">
        <v>6098</v>
      </c>
      <c r="I1863">
        <v>72</v>
      </c>
      <c r="J1863">
        <v>3.8</v>
      </c>
      <c r="K1863" t="s">
        <v>6099</v>
      </c>
      <c r="L1863" t="s">
        <v>6100</v>
      </c>
      <c r="M1863" t="s">
        <v>6100</v>
      </c>
      <c r="O1863" t="s">
        <v>6101</v>
      </c>
      <c r="P1863" t="s">
        <v>6109</v>
      </c>
      <c r="Q1863">
        <v>3</v>
      </c>
      <c r="R1863">
        <v>2026</v>
      </c>
      <c r="S1863" t="s">
        <v>6099</v>
      </c>
      <c r="T1863">
        <v>1</v>
      </c>
      <c r="U1863" t="s">
        <v>6018</v>
      </c>
      <c r="V1863">
        <v>1</v>
      </c>
    </row>
    <row r="1864" spans="1:22" x14ac:dyDescent="0.3">
      <c r="A1864" t="s">
        <v>1879</v>
      </c>
      <c r="B1864" s="2">
        <v>46100.771527777775</v>
      </c>
      <c r="C1864" s="2">
        <v>46100.925694444442</v>
      </c>
      <c r="D1864" t="s">
        <v>6024</v>
      </c>
      <c r="E1864" t="s">
        <v>6030</v>
      </c>
      <c r="F1864" t="s">
        <v>6033</v>
      </c>
      <c r="G1864" t="s">
        <v>6078</v>
      </c>
      <c r="H1864" t="s">
        <v>6097</v>
      </c>
      <c r="I1864">
        <v>72</v>
      </c>
      <c r="J1864">
        <v>3.7</v>
      </c>
      <c r="K1864" t="s">
        <v>6099</v>
      </c>
      <c r="L1864" t="s">
        <v>6100</v>
      </c>
      <c r="M1864" t="s">
        <v>6100</v>
      </c>
      <c r="O1864" t="s">
        <v>6101</v>
      </c>
      <c r="P1864" t="s">
        <v>6109</v>
      </c>
      <c r="Q1864">
        <v>3</v>
      </c>
      <c r="R1864">
        <v>2026</v>
      </c>
      <c r="S1864" t="s">
        <v>6099</v>
      </c>
      <c r="T1864">
        <v>1</v>
      </c>
      <c r="U1864" t="s">
        <v>6017</v>
      </c>
      <c r="V1864">
        <v>1</v>
      </c>
    </row>
    <row r="1865" spans="1:22" x14ac:dyDescent="0.3">
      <c r="A1865" t="s">
        <v>1880</v>
      </c>
      <c r="B1865" s="2">
        <v>46100.789583333331</v>
      </c>
      <c r="C1865" s="2">
        <v>46103.356249999997</v>
      </c>
      <c r="D1865" t="s">
        <v>6026</v>
      </c>
      <c r="E1865" t="s">
        <v>6029</v>
      </c>
      <c r="F1865" t="s">
        <v>6034</v>
      </c>
      <c r="G1865" t="s">
        <v>6082</v>
      </c>
      <c r="H1865" t="s">
        <v>6097</v>
      </c>
      <c r="I1865">
        <v>24</v>
      </c>
      <c r="J1865">
        <v>61.6</v>
      </c>
      <c r="K1865" t="s">
        <v>6099</v>
      </c>
      <c r="L1865" t="s">
        <v>6100</v>
      </c>
      <c r="M1865" t="s">
        <v>6100</v>
      </c>
      <c r="O1865" t="s">
        <v>6101</v>
      </c>
      <c r="P1865" t="s">
        <v>6109</v>
      </c>
      <c r="Q1865">
        <v>3</v>
      </c>
      <c r="R1865">
        <v>2026</v>
      </c>
      <c r="S1865" t="s">
        <v>6100</v>
      </c>
      <c r="T1865">
        <v>0</v>
      </c>
      <c r="U1865" t="s">
        <v>6019</v>
      </c>
      <c r="V1865">
        <v>1</v>
      </c>
    </row>
    <row r="1866" spans="1:22" x14ac:dyDescent="0.3">
      <c r="A1866" t="s">
        <v>1881</v>
      </c>
      <c r="B1866" s="2">
        <v>46100.993750000001</v>
      </c>
      <c r="C1866" s="2">
        <v>46101.122916666667</v>
      </c>
      <c r="D1866" t="s">
        <v>6023</v>
      </c>
      <c r="E1866" t="s">
        <v>6030</v>
      </c>
      <c r="F1866" t="s">
        <v>6033</v>
      </c>
      <c r="G1866" t="s">
        <v>6074</v>
      </c>
      <c r="H1866" t="s">
        <v>6098</v>
      </c>
      <c r="I1866">
        <v>72</v>
      </c>
      <c r="J1866">
        <v>3.1</v>
      </c>
      <c r="K1866" t="s">
        <v>6099</v>
      </c>
      <c r="L1866" t="s">
        <v>6100</v>
      </c>
      <c r="M1866" t="s">
        <v>6100</v>
      </c>
      <c r="N1866">
        <v>4</v>
      </c>
      <c r="O1866" t="s">
        <v>6101</v>
      </c>
      <c r="P1866" t="s">
        <v>6109</v>
      </c>
      <c r="Q1866">
        <v>3</v>
      </c>
      <c r="R1866">
        <v>2026</v>
      </c>
      <c r="S1866" t="s">
        <v>6099</v>
      </c>
      <c r="T1866">
        <v>1</v>
      </c>
      <c r="U1866" t="s">
        <v>6020</v>
      </c>
      <c r="V1866">
        <v>1</v>
      </c>
    </row>
    <row r="1867" spans="1:22" x14ac:dyDescent="0.3">
      <c r="A1867" t="s">
        <v>1882</v>
      </c>
      <c r="B1867" s="2">
        <v>46101.145138888889</v>
      </c>
      <c r="C1867" s="2">
        <v>46101.828472222223</v>
      </c>
      <c r="D1867" t="s">
        <v>6028</v>
      </c>
      <c r="E1867" t="s">
        <v>6032</v>
      </c>
      <c r="F1867" t="s">
        <v>6035</v>
      </c>
      <c r="G1867" t="s">
        <v>6058</v>
      </c>
      <c r="H1867" t="s">
        <v>6098</v>
      </c>
      <c r="I1867">
        <v>4</v>
      </c>
      <c r="J1867">
        <v>16.399999999999999</v>
      </c>
      <c r="K1867" t="s">
        <v>6099</v>
      </c>
      <c r="L1867" t="s">
        <v>6100</v>
      </c>
      <c r="M1867" t="s">
        <v>6099</v>
      </c>
      <c r="N1867">
        <v>2</v>
      </c>
      <c r="O1867" t="s">
        <v>6101</v>
      </c>
      <c r="P1867" t="s">
        <v>6109</v>
      </c>
      <c r="Q1867">
        <v>3</v>
      </c>
      <c r="R1867">
        <v>2026</v>
      </c>
      <c r="S1867" t="s">
        <v>6100</v>
      </c>
      <c r="T1867">
        <v>0</v>
      </c>
      <c r="U1867" t="s">
        <v>6019</v>
      </c>
      <c r="V1867">
        <v>1</v>
      </c>
    </row>
    <row r="1868" spans="1:22" x14ac:dyDescent="0.3">
      <c r="A1868" t="s">
        <v>1883</v>
      </c>
      <c r="B1868" s="2">
        <v>46101.354166666664</v>
      </c>
      <c r="C1868" s="2">
        <v>46102.537499999999</v>
      </c>
      <c r="D1868" t="s">
        <v>6025</v>
      </c>
      <c r="E1868" t="s">
        <v>6031</v>
      </c>
      <c r="F1868" t="s">
        <v>6035</v>
      </c>
      <c r="G1868" t="s">
        <v>6044</v>
      </c>
      <c r="H1868" t="s">
        <v>6097</v>
      </c>
      <c r="I1868">
        <v>4</v>
      </c>
      <c r="J1868">
        <v>28.4</v>
      </c>
      <c r="K1868" t="s">
        <v>6099</v>
      </c>
      <c r="L1868" t="s">
        <v>6100</v>
      </c>
      <c r="M1868" t="s">
        <v>6100</v>
      </c>
      <c r="O1868" t="s">
        <v>6101</v>
      </c>
      <c r="P1868" t="s">
        <v>6109</v>
      </c>
      <c r="Q1868">
        <v>3</v>
      </c>
      <c r="R1868">
        <v>2026</v>
      </c>
      <c r="S1868" t="s">
        <v>6100</v>
      </c>
      <c r="T1868">
        <v>0</v>
      </c>
      <c r="U1868" t="s">
        <v>6017</v>
      </c>
      <c r="V1868">
        <v>1</v>
      </c>
    </row>
    <row r="1869" spans="1:22" x14ac:dyDescent="0.3">
      <c r="A1869" t="s">
        <v>1884</v>
      </c>
      <c r="B1869" s="2">
        <v>46101.359722222223</v>
      </c>
      <c r="C1869" s="2">
        <v>46101.601388888892</v>
      </c>
      <c r="D1869" t="s">
        <v>6023</v>
      </c>
      <c r="E1869" t="s">
        <v>6029</v>
      </c>
      <c r="F1869" t="s">
        <v>6033</v>
      </c>
      <c r="G1869" t="s">
        <v>6039</v>
      </c>
      <c r="H1869" t="s">
        <v>6097</v>
      </c>
      <c r="I1869">
        <v>72</v>
      </c>
      <c r="J1869">
        <v>5.8</v>
      </c>
      <c r="K1869" t="s">
        <v>6099</v>
      </c>
      <c r="L1869" t="s">
        <v>6100</v>
      </c>
      <c r="M1869" t="s">
        <v>6099</v>
      </c>
      <c r="N1869">
        <v>5</v>
      </c>
      <c r="O1869" t="s">
        <v>6101</v>
      </c>
      <c r="P1869" t="s">
        <v>6109</v>
      </c>
      <c r="Q1869">
        <v>3</v>
      </c>
      <c r="R1869">
        <v>2026</v>
      </c>
      <c r="S1869" t="s">
        <v>6099</v>
      </c>
      <c r="T1869">
        <v>1</v>
      </c>
      <c r="U1869" t="s">
        <v>6018</v>
      </c>
      <c r="V1869">
        <v>1</v>
      </c>
    </row>
    <row r="1870" spans="1:22" x14ac:dyDescent="0.3">
      <c r="A1870" t="s">
        <v>1885</v>
      </c>
      <c r="B1870" s="2">
        <v>46101.40902777778</v>
      </c>
      <c r="C1870" s="2">
        <v>46102.504861111112</v>
      </c>
      <c r="D1870" t="s">
        <v>6025</v>
      </c>
      <c r="E1870" t="s">
        <v>6031</v>
      </c>
      <c r="F1870" t="s">
        <v>6034</v>
      </c>
      <c r="G1870" t="s">
        <v>6065</v>
      </c>
      <c r="H1870" t="s">
        <v>6097</v>
      </c>
      <c r="I1870">
        <v>24</v>
      </c>
      <c r="J1870">
        <v>26.3</v>
      </c>
      <c r="K1870" t="s">
        <v>6099</v>
      </c>
      <c r="L1870" t="s">
        <v>6100</v>
      </c>
      <c r="M1870" t="s">
        <v>6100</v>
      </c>
      <c r="O1870" t="s">
        <v>6101</v>
      </c>
      <c r="P1870" t="s">
        <v>6109</v>
      </c>
      <c r="Q1870">
        <v>3</v>
      </c>
      <c r="R1870">
        <v>2026</v>
      </c>
      <c r="S1870" t="s">
        <v>6100</v>
      </c>
      <c r="T1870">
        <v>0</v>
      </c>
      <c r="U1870" t="s">
        <v>6017</v>
      </c>
      <c r="V1870">
        <v>1</v>
      </c>
    </row>
    <row r="1871" spans="1:22" x14ac:dyDescent="0.3">
      <c r="A1871" t="s">
        <v>1886</v>
      </c>
      <c r="B1871" s="2">
        <v>46101.472222222219</v>
      </c>
      <c r="C1871" s="2">
        <v>46102.534722222219</v>
      </c>
      <c r="D1871" t="s">
        <v>6028</v>
      </c>
      <c r="E1871" t="s">
        <v>6031</v>
      </c>
      <c r="F1871" t="s">
        <v>6033</v>
      </c>
      <c r="G1871" t="s">
        <v>6079</v>
      </c>
      <c r="H1871" t="s">
        <v>6097</v>
      </c>
      <c r="I1871">
        <v>72</v>
      </c>
      <c r="J1871">
        <v>25.5</v>
      </c>
      <c r="K1871" t="s">
        <v>6099</v>
      </c>
      <c r="L1871" t="s">
        <v>6100</v>
      </c>
      <c r="M1871" t="s">
        <v>6099</v>
      </c>
      <c r="N1871">
        <v>4</v>
      </c>
      <c r="O1871" t="s">
        <v>6101</v>
      </c>
      <c r="P1871" t="s">
        <v>6109</v>
      </c>
      <c r="Q1871">
        <v>3</v>
      </c>
      <c r="R1871">
        <v>2026</v>
      </c>
      <c r="S1871" t="s">
        <v>6099</v>
      </c>
      <c r="T1871">
        <v>1</v>
      </c>
      <c r="U1871" t="s">
        <v>6020</v>
      </c>
      <c r="V1871">
        <v>1</v>
      </c>
    </row>
    <row r="1872" spans="1:22" x14ac:dyDescent="0.3">
      <c r="A1872" t="s">
        <v>1887</v>
      </c>
      <c r="B1872" s="2">
        <v>46101.484722222223</v>
      </c>
      <c r="C1872" s="2">
        <v>46102.718055555553</v>
      </c>
      <c r="D1872" t="s">
        <v>6022</v>
      </c>
      <c r="E1872" t="s">
        <v>6032</v>
      </c>
      <c r="F1872" t="s">
        <v>6034</v>
      </c>
      <c r="G1872" t="s">
        <v>6064</v>
      </c>
      <c r="H1872" t="s">
        <v>6096</v>
      </c>
      <c r="I1872">
        <v>24</v>
      </c>
      <c r="J1872">
        <v>29.6</v>
      </c>
      <c r="K1872" t="s">
        <v>6099</v>
      </c>
      <c r="L1872" t="s">
        <v>6100</v>
      </c>
      <c r="M1872" t="s">
        <v>6099</v>
      </c>
      <c r="N1872">
        <v>4</v>
      </c>
      <c r="O1872" t="s">
        <v>6101</v>
      </c>
      <c r="P1872" t="s">
        <v>6109</v>
      </c>
      <c r="Q1872">
        <v>3</v>
      </c>
      <c r="R1872">
        <v>2026</v>
      </c>
      <c r="S1872" t="s">
        <v>6100</v>
      </c>
      <c r="T1872">
        <v>0</v>
      </c>
      <c r="U1872" t="s">
        <v>6019</v>
      </c>
      <c r="V1872">
        <v>1</v>
      </c>
    </row>
    <row r="1873" spans="1:22" x14ac:dyDescent="0.3">
      <c r="A1873" t="s">
        <v>1888</v>
      </c>
      <c r="B1873" s="2">
        <v>46101.493750000001</v>
      </c>
      <c r="C1873" s="2">
        <v>46103.006249999999</v>
      </c>
      <c r="D1873" t="s">
        <v>6025</v>
      </c>
      <c r="E1873" t="s">
        <v>6031</v>
      </c>
      <c r="F1873" t="s">
        <v>6035</v>
      </c>
      <c r="G1873" t="s">
        <v>6079</v>
      </c>
      <c r="H1873" t="s">
        <v>6097</v>
      </c>
      <c r="I1873">
        <v>4</v>
      </c>
      <c r="J1873">
        <v>36.299999999999997</v>
      </c>
      <c r="K1873" t="s">
        <v>6099</v>
      </c>
      <c r="L1873" t="s">
        <v>6100</v>
      </c>
      <c r="M1873" t="s">
        <v>6100</v>
      </c>
      <c r="N1873">
        <v>4</v>
      </c>
      <c r="O1873" t="s">
        <v>6101</v>
      </c>
      <c r="P1873" t="s">
        <v>6109</v>
      </c>
      <c r="Q1873">
        <v>3</v>
      </c>
      <c r="R1873">
        <v>2026</v>
      </c>
      <c r="S1873" t="s">
        <v>6100</v>
      </c>
      <c r="T1873">
        <v>0</v>
      </c>
      <c r="U1873" t="s">
        <v>6021</v>
      </c>
      <c r="V1873">
        <v>1</v>
      </c>
    </row>
    <row r="1874" spans="1:22" x14ac:dyDescent="0.3">
      <c r="A1874" t="s">
        <v>1889</v>
      </c>
      <c r="B1874" s="2">
        <v>46101.495138888888</v>
      </c>
      <c r="C1874" s="2">
        <v>46102.036805555559</v>
      </c>
      <c r="D1874" t="s">
        <v>6024</v>
      </c>
      <c r="E1874" t="s">
        <v>6029</v>
      </c>
      <c r="F1874" t="s">
        <v>6033</v>
      </c>
      <c r="G1874" t="s">
        <v>6078</v>
      </c>
      <c r="H1874" t="s">
        <v>6097</v>
      </c>
      <c r="I1874">
        <v>72</v>
      </c>
      <c r="J1874">
        <v>13</v>
      </c>
      <c r="K1874" t="s">
        <v>6099</v>
      </c>
      <c r="L1874" t="s">
        <v>6100</v>
      </c>
      <c r="M1874" t="s">
        <v>6100</v>
      </c>
      <c r="O1874" t="s">
        <v>6101</v>
      </c>
      <c r="P1874" t="s">
        <v>6109</v>
      </c>
      <c r="Q1874">
        <v>3</v>
      </c>
      <c r="R1874">
        <v>2026</v>
      </c>
      <c r="S1874" t="s">
        <v>6099</v>
      </c>
      <c r="T1874">
        <v>1</v>
      </c>
      <c r="U1874" t="s">
        <v>6021</v>
      </c>
      <c r="V1874">
        <v>1</v>
      </c>
    </row>
    <row r="1875" spans="1:22" x14ac:dyDescent="0.3">
      <c r="A1875" t="s">
        <v>1890</v>
      </c>
      <c r="B1875" s="2">
        <v>46101.50277777778</v>
      </c>
      <c r="C1875" s="2">
        <v>46101.773611111108</v>
      </c>
      <c r="D1875" t="s">
        <v>6025</v>
      </c>
      <c r="E1875" t="s">
        <v>6030</v>
      </c>
      <c r="F1875" t="s">
        <v>6033</v>
      </c>
      <c r="G1875" t="s">
        <v>6047</v>
      </c>
      <c r="H1875" t="s">
        <v>6098</v>
      </c>
      <c r="I1875">
        <v>72</v>
      </c>
      <c r="J1875">
        <v>6.5</v>
      </c>
      <c r="K1875" t="s">
        <v>6099</v>
      </c>
      <c r="L1875" t="s">
        <v>6100</v>
      </c>
      <c r="M1875" t="s">
        <v>6100</v>
      </c>
      <c r="O1875" t="s">
        <v>6101</v>
      </c>
      <c r="P1875" t="s">
        <v>6109</v>
      </c>
      <c r="Q1875">
        <v>3</v>
      </c>
      <c r="R1875">
        <v>2026</v>
      </c>
      <c r="S1875" t="s">
        <v>6099</v>
      </c>
      <c r="T1875">
        <v>1</v>
      </c>
      <c r="U1875" t="s">
        <v>6021</v>
      </c>
      <c r="V1875">
        <v>1</v>
      </c>
    </row>
    <row r="1876" spans="1:22" x14ac:dyDescent="0.3">
      <c r="A1876" t="s">
        <v>1891</v>
      </c>
      <c r="B1876" s="2">
        <v>46101.563888888886</v>
      </c>
      <c r="C1876" s="2">
        <v>46106.351388888892</v>
      </c>
      <c r="D1876" t="s">
        <v>6026</v>
      </c>
      <c r="E1876" t="s">
        <v>6031</v>
      </c>
      <c r="F1876" t="s">
        <v>6033</v>
      </c>
      <c r="G1876" t="s">
        <v>6090</v>
      </c>
      <c r="H1876" t="s">
        <v>6097</v>
      </c>
      <c r="I1876">
        <v>72</v>
      </c>
      <c r="J1876">
        <v>114.9</v>
      </c>
      <c r="K1876" t="s">
        <v>6100</v>
      </c>
      <c r="L1876" t="s">
        <v>6100</v>
      </c>
      <c r="M1876" t="s">
        <v>6100</v>
      </c>
      <c r="N1876">
        <v>3</v>
      </c>
      <c r="O1876" t="s">
        <v>6101</v>
      </c>
      <c r="P1876" t="s">
        <v>6109</v>
      </c>
      <c r="Q1876">
        <v>3</v>
      </c>
      <c r="R1876">
        <v>2026</v>
      </c>
      <c r="S1876" t="s">
        <v>6100</v>
      </c>
      <c r="T1876">
        <v>0</v>
      </c>
      <c r="U1876" t="s">
        <v>6019</v>
      </c>
      <c r="V1876">
        <v>0</v>
      </c>
    </row>
    <row r="1877" spans="1:22" x14ac:dyDescent="0.3">
      <c r="A1877" t="s">
        <v>1892</v>
      </c>
      <c r="B1877" s="2">
        <v>46101.573611111111</v>
      </c>
      <c r="C1877" s="2">
        <v>46102.069444444445</v>
      </c>
      <c r="D1877" t="s">
        <v>6027</v>
      </c>
      <c r="E1877" t="s">
        <v>6029</v>
      </c>
      <c r="F1877" t="s">
        <v>6033</v>
      </c>
      <c r="G1877" t="s">
        <v>6095</v>
      </c>
      <c r="H1877" t="s">
        <v>6098</v>
      </c>
      <c r="I1877">
        <v>72</v>
      </c>
      <c r="J1877">
        <v>11.9</v>
      </c>
      <c r="K1877" t="s">
        <v>6100</v>
      </c>
      <c r="L1877" t="s">
        <v>6100</v>
      </c>
      <c r="M1877" t="s">
        <v>6100</v>
      </c>
      <c r="O1877" t="s">
        <v>6101</v>
      </c>
      <c r="P1877" t="s">
        <v>6109</v>
      </c>
      <c r="Q1877">
        <v>3</v>
      </c>
      <c r="R1877">
        <v>2026</v>
      </c>
      <c r="S1877" t="s">
        <v>6099</v>
      </c>
      <c r="T1877">
        <v>1</v>
      </c>
      <c r="U1877" t="s">
        <v>6019</v>
      </c>
      <c r="V1877">
        <v>0</v>
      </c>
    </row>
    <row r="1878" spans="1:22" x14ac:dyDescent="0.3">
      <c r="A1878" t="s">
        <v>1893</v>
      </c>
      <c r="B1878" s="2">
        <v>46101.59097222222</v>
      </c>
      <c r="C1878" s="2">
        <v>46102.428472222222</v>
      </c>
      <c r="D1878" t="s">
        <v>6028</v>
      </c>
      <c r="E1878" t="s">
        <v>6031</v>
      </c>
      <c r="F1878" t="s">
        <v>6035</v>
      </c>
      <c r="G1878" t="s">
        <v>6051</v>
      </c>
      <c r="H1878" t="s">
        <v>6097</v>
      </c>
      <c r="I1878">
        <v>4</v>
      </c>
      <c r="J1878">
        <v>20.100000000000001</v>
      </c>
      <c r="K1878" t="s">
        <v>6099</v>
      </c>
      <c r="L1878" t="s">
        <v>6100</v>
      </c>
      <c r="M1878" t="s">
        <v>6100</v>
      </c>
      <c r="N1878">
        <v>4</v>
      </c>
      <c r="O1878" t="s">
        <v>6101</v>
      </c>
      <c r="P1878" t="s">
        <v>6109</v>
      </c>
      <c r="Q1878">
        <v>3</v>
      </c>
      <c r="R1878">
        <v>2026</v>
      </c>
      <c r="S1878" t="s">
        <v>6100</v>
      </c>
      <c r="T1878">
        <v>0</v>
      </c>
      <c r="U1878" t="s">
        <v>6021</v>
      </c>
      <c r="V1878">
        <v>1</v>
      </c>
    </row>
    <row r="1879" spans="1:22" x14ac:dyDescent="0.3">
      <c r="A1879" t="s">
        <v>1894</v>
      </c>
      <c r="B1879" s="2">
        <v>46101.597916666666</v>
      </c>
      <c r="C1879" s="2">
        <v>46102.806250000001</v>
      </c>
      <c r="D1879" t="s">
        <v>6028</v>
      </c>
      <c r="E1879" t="s">
        <v>6031</v>
      </c>
      <c r="F1879" t="s">
        <v>6035</v>
      </c>
      <c r="G1879" t="s">
        <v>6078</v>
      </c>
      <c r="H1879" t="s">
        <v>6097</v>
      </c>
      <c r="I1879">
        <v>4</v>
      </c>
      <c r="J1879">
        <v>29</v>
      </c>
      <c r="K1879" t="s">
        <v>6099</v>
      </c>
      <c r="L1879" t="s">
        <v>6100</v>
      </c>
      <c r="M1879" t="s">
        <v>6100</v>
      </c>
      <c r="O1879" t="s">
        <v>6101</v>
      </c>
      <c r="P1879" t="s">
        <v>6109</v>
      </c>
      <c r="Q1879">
        <v>3</v>
      </c>
      <c r="R1879">
        <v>2026</v>
      </c>
      <c r="S1879" t="s">
        <v>6100</v>
      </c>
      <c r="T1879">
        <v>0</v>
      </c>
      <c r="U1879" t="s">
        <v>6018</v>
      </c>
      <c r="V1879">
        <v>1</v>
      </c>
    </row>
    <row r="1880" spans="1:22" x14ac:dyDescent="0.3">
      <c r="A1880" t="s">
        <v>1895</v>
      </c>
      <c r="B1880" s="2">
        <v>46101.643055555556</v>
      </c>
      <c r="C1880" s="2">
        <v>46102.272222222222</v>
      </c>
      <c r="D1880" t="s">
        <v>6028</v>
      </c>
      <c r="E1880" t="s">
        <v>6031</v>
      </c>
      <c r="F1880" t="s">
        <v>6034</v>
      </c>
      <c r="G1880" t="s">
        <v>6054</v>
      </c>
      <c r="H1880" t="s">
        <v>6096</v>
      </c>
      <c r="I1880">
        <v>24</v>
      </c>
      <c r="J1880">
        <v>15.1</v>
      </c>
      <c r="K1880" t="s">
        <v>6099</v>
      </c>
      <c r="L1880" t="s">
        <v>6100</v>
      </c>
      <c r="M1880" t="s">
        <v>6100</v>
      </c>
      <c r="O1880" t="s">
        <v>6101</v>
      </c>
      <c r="P1880" t="s">
        <v>6109</v>
      </c>
      <c r="Q1880">
        <v>3</v>
      </c>
      <c r="R1880">
        <v>2026</v>
      </c>
      <c r="S1880" t="s">
        <v>6099</v>
      </c>
      <c r="T1880">
        <v>1</v>
      </c>
      <c r="U1880" t="s">
        <v>6019</v>
      </c>
      <c r="V1880">
        <v>1</v>
      </c>
    </row>
    <row r="1881" spans="1:22" x14ac:dyDescent="0.3">
      <c r="A1881" t="s">
        <v>1896</v>
      </c>
      <c r="B1881" s="2">
        <v>46101.657638888886</v>
      </c>
      <c r="C1881" s="2">
        <v>46101.845138888886</v>
      </c>
      <c r="D1881" t="s">
        <v>6023</v>
      </c>
      <c r="E1881" t="s">
        <v>6030</v>
      </c>
      <c r="F1881" t="s">
        <v>6033</v>
      </c>
      <c r="G1881" t="s">
        <v>6052</v>
      </c>
      <c r="H1881" t="s">
        <v>6098</v>
      </c>
      <c r="I1881">
        <v>72</v>
      </c>
      <c r="J1881">
        <v>4.5</v>
      </c>
      <c r="K1881" t="s">
        <v>6100</v>
      </c>
      <c r="L1881" t="s">
        <v>6100</v>
      </c>
      <c r="M1881" t="s">
        <v>6100</v>
      </c>
      <c r="O1881" t="s">
        <v>6101</v>
      </c>
      <c r="P1881" t="s">
        <v>6109</v>
      </c>
      <c r="Q1881">
        <v>3</v>
      </c>
      <c r="R1881">
        <v>2026</v>
      </c>
      <c r="S1881" t="s">
        <v>6099</v>
      </c>
      <c r="T1881">
        <v>1</v>
      </c>
      <c r="U1881" t="s">
        <v>6021</v>
      </c>
      <c r="V1881">
        <v>0</v>
      </c>
    </row>
    <row r="1882" spans="1:22" x14ac:dyDescent="0.3">
      <c r="A1882" t="s">
        <v>1897</v>
      </c>
      <c r="B1882" s="2">
        <v>46101.681944444441</v>
      </c>
      <c r="C1882" s="2">
        <v>46102.527777777781</v>
      </c>
      <c r="D1882" t="s">
        <v>6022</v>
      </c>
      <c r="E1882" t="s">
        <v>6031</v>
      </c>
      <c r="F1882" t="s">
        <v>6034</v>
      </c>
      <c r="G1882" t="s">
        <v>6038</v>
      </c>
      <c r="H1882" t="s">
        <v>6096</v>
      </c>
      <c r="I1882">
        <v>24</v>
      </c>
      <c r="J1882">
        <v>20.3</v>
      </c>
      <c r="K1882" t="s">
        <v>6099</v>
      </c>
      <c r="L1882" t="s">
        <v>6100</v>
      </c>
      <c r="M1882" t="s">
        <v>6100</v>
      </c>
      <c r="N1882">
        <v>5</v>
      </c>
      <c r="O1882" t="s">
        <v>6101</v>
      </c>
      <c r="P1882" t="s">
        <v>6109</v>
      </c>
      <c r="Q1882">
        <v>3</v>
      </c>
      <c r="R1882">
        <v>2026</v>
      </c>
      <c r="S1882" t="s">
        <v>6099</v>
      </c>
      <c r="T1882">
        <v>1</v>
      </c>
      <c r="U1882" t="s">
        <v>6017</v>
      </c>
      <c r="V1882">
        <v>1</v>
      </c>
    </row>
    <row r="1883" spans="1:22" x14ac:dyDescent="0.3">
      <c r="A1883" t="s">
        <v>1898</v>
      </c>
      <c r="B1883" s="2">
        <v>46101.686111111114</v>
      </c>
      <c r="C1883" s="2">
        <v>46103.436111111114</v>
      </c>
      <c r="D1883" t="s">
        <v>6026</v>
      </c>
      <c r="E1883" t="s">
        <v>6029</v>
      </c>
      <c r="F1883" t="s">
        <v>6033</v>
      </c>
      <c r="G1883" t="s">
        <v>6072</v>
      </c>
      <c r="H1883" t="s">
        <v>6097</v>
      </c>
      <c r="I1883">
        <v>72</v>
      </c>
      <c r="J1883">
        <v>42</v>
      </c>
      <c r="K1883" t="s">
        <v>6099</v>
      </c>
      <c r="L1883" t="s">
        <v>6100</v>
      </c>
      <c r="M1883" t="s">
        <v>6100</v>
      </c>
      <c r="O1883" t="s">
        <v>6101</v>
      </c>
      <c r="P1883" t="s">
        <v>6109</v>
      </c>
      <c r="Q1883">
        <v>3</v>
      </c>
      <c r="R1883">
        <v>2026</v>
      </c>
      <c r="S1883" t="s">
        <v>6099</v>
      </c>
      <c r="T1883">
        <v>1</v>
      </c>
      <c r="U1883" t="s">
        <v>6019</v>
      </c>
      <c r="V1883">
        <v>1</v>
      </c>
    </row>
    <row r="1884" spans="1:22" x14ac:dyDescent="0.3">
      <c r="A1884" t="s">
        <v>1899</v>
      </c>
      <c r="B1884" s="2">
        <v>46101.693749999999</v>
      </c>
      <c r="C1884" s="2">
        <v>46102.010416666664</v>
      </c>
      <c r="D1884" t="s">
        <v>6028</v>
      </c>
      <c r="E1884" t="s">
        <v>6029</v>
      </c>
      <c r="F1884" t="s">
        <v>6034</v>
      </c>
      <c r="G1884" t="s">
        <v>6073</v>
      </c>
      <c r="H1884" t="s">
        <v>6096</v>
      </c>
      <c r="I1884">
        <v>24</v>
      </c>
      <c r="J1884">
        <v>7.6</v>
      </c>
      <c r="K1884" t="s">
        <v>6100</v>
      </c>
      <c r="L1884" t="s">
        <v>6099</v>
      </c>
      <c r="M1884" t="s">
        <v>6100</v>
      </c>
      <c r="N1884">
        <v>5</v>
      </c>
      <c r="O1884" t="s">
        <v>6101</v>
      </c>
      <c r="P1884" t="s">
        <v>6109</v>
      </c>
      <c r="Q1884">
        <v>3</v>
      </c>
      <c r="R1884">
        <v>2026</v>
      </c>
      <c r="S1884" t="s">
        <v>6099</v>
      </c>
      <c r="T1884">
        <v>1</v>
      </c>
      <c r="U1884" t="s">
        <v>6017</v>
      </c>
      <c r="V1884">
        <v>0</v>
      </c>
    </row>
    <row r="1885" spans="1:22" x14ac:dyDescent="0.3">
      <c r="A1885" t="s">
        <v>1900</v>
      </c>
      <c r="B1885" s="2">
        <v>46101.729861111111</v>
      </c>
      <c r="C1885" s="2">
        <v>46102.025694444441</v>
      </c>
      <c r="D1885" t="s">
        <v>6027</v>
      </c>
      <c r="E1885" t="s">
        <v>6030</v>
      </c>
      <c r="F1885" t="s">
        <v>6034</v>
      </c>
      <c r="G1885" t="s">
        <v>6066</v>
      </c>
      <c r="H1885" t="s">
        <v>6096</v>
      </c>
      <c r="I1885">
        <v>24</v>
      </c>
      <c r="J1885">
        <v>7.1</v>
      </c>
      <c r="K1885" t="s">
        <v>6099</v>
      </c>
      <c r="L1885" t="s">
        <v>6100</v>
      </c>
      <c r="M1885" t="s">
        <v>6100</v>
      </c>
      <c r="N1885">
        <v>5</v>
      </c>
      <c r="O1885" t="s">
        <v>6101</v>
      </c>
      <c r="P1885" t="s">
        <v>6109</v>
      </c>
      <c r="Q1885">
        <v>3</v>
      </c>
      <c r="R1885">
        <v>2026</v>
      </c>
      <c r="S1885" t="s">
        <v>6099</v>
      </c>
      <c r="T1885">
        <v>1</v>
      </c>
      <c r="U1885" t="s">
        <v>6021</v>
      </c>
      <c r="V1885">
        <v>1</v>
      </c>
    </row>
    <row r="1886" spans="1:22" x14ac:dyDescent="0.3">
      <c r="A1886" t="s">
        <v>1901</v>
      </c>
      <c r="B1886" s="2">
        <v>46102.245138888888</v>
      </c>
      <c r="C1886" s="2">
        <v>46106.228472222225</v>
      </c>
      <c r="D1886" t="s">
        <v>6026</v>
      </c>
      <c r="E1886" t="s">
        <v>6031</v>
      </c>
      <c r="F1886" t="s">
        <v>6034</v>
      </c>
      <c r="G1886" t="s">
        <v>6064</v>
      </c>
      <c r="H1886" t="s">
        <v>6096</v>
      </c>
      <c r="I1886">
        <v>24</v>
      </c>
      <c r="J1886">
        <v>95.6</v>
      </c>
      <c r="K1886" t="s">
        <v>6100</v>
      </c>
      <c r="L1886" t="s">
        <v>6099</v>
      </c>
      <c r="M1886" t="s">
        <v>6100</v>
      </c>
      <c r="N1886">
        <v>4</v>
      </c>
      <c r="O1886" t="s">
        <v>6101</v>
      </c>
      <c r="P1886" t="s">
        <v>6109</v>
      </c>
      <c r="Q1886">
        <v>3</v>
      </c>
      <c r="R1886">
        <v>2026</v>
      </c>
      <c r="S1886" t="s">
        <v>6100</v>
      </c>
      <c r="T1886">
        <v>0</v>
      </c>
      <c r="U1886" t="s">
        <v>6017</v>
      </c>
      <c r="V1886">
        <v>0</v>
      </c>
    </row>
    <row r="1887" spans="1:22" x14ac:dyDescent="0.3">
      <c r="A1887" t="s">
        <v>1902</v>
      </c>
      <c r="B1887" s="2">
        <v>46102.32916666667</v>
      </c>
      <c r="C1887" s="2">
        <v>46102.808333333334</v>
      </c>
      <c r="D1887" t="s">
        <v>6027</v>
      </c>
      <c r="E1887" t="s">
        <v>6030</v>
      </c>
      <c r="F1887" t="s">
        <v>6033</v>
      </c>
      <c r="G1887" t="s">
        <v>6037</v>
      </c>
      <c r="H1887" t="s">
        <v>6096</v>
      </c>
      <c r="I1887">
        <v>72</v>
      </c>
      <c r="J1887">
        <v>11.5</v>
      </c>
      <c r="K1887" t="s">
        <v>6099</v>
      </c>
      <c r="L1887" t="s">
        <v>6100</v>
      </c>
      <c r="M1887" t="s">
        <v>6100</v>
      </c>
      <c r="N1887">
        <v>4</v>
      </c>
      <c r="O1887" t="s">
        <v>6101</v>
      </c>
      <c r="P1887" t="s">
        <v>6109</v>
      </c>
      <c r="Q1887">
        <v>3</v>
      </c>
      <c r="R1887">
        <v>2026</v>
      </c>
      <c r="S1887" t="s">
        <v>6099</v>
      </c>
      <c r="T1887">
        <v>1</v>
      </c>
      <c r="U1887" t="s">
        <v>6017</v>
      </c>
      <c r="V1887">
        <v>1</v>
      </c>
    </row>
    <row r="1888" spans="1:22" x14ac:dyDescent="0.3">
      <c r="A1888" t="s">
        <v>1903</v>
      </c>
      <c r="B1888" s="2">
        <v>46102.384027777778</v>
      </c>
      <c r="C1888" s="2">
        <v>46102.904861111114</v>
      </c>
      <c r="D1888" t="s">
        <v>6024</v>
      </c>
      <c r="E1888" t="s">
        <v>6030</v>
      </c>
      <c r="F1888" t="s">
        <v>6034</v>
      </c>
      <c r="G1888" t="s">
        <v>6054</v>
      </c>
      <c r="H1888" t="s">
        <v>6096</v>
      </c>
      <c r="I1888">
        <v>24</v>
      </c>
      <c r="J1888">
        <v>12.5</v>
      </c>
      <c r="K1888" t="s">
        <v>6099</v>
      </c>
      <c r="L1888" t="s">
        <v>6100</v>
      </c>
      <c r="M1888" t="s">
        <v>6100</v>
      </c>
      <c r="N1888">
        <v>5</v>
      </c>
      <c r="O1888" t="s">
        <v>6101</v>
      </c>
      <c r="P1888" t="s">
        <v>6109</v>
      </c>
      <c r="Q1888">
        <v>3</v>
      </c>
      <c r="R1888">
        <v>2026</v>
      </c>
      <c r="S1888" t="s">
        <v>6099</v>
      </c>
      <c r="T1888">
        <v>1</v>
      </c>
      <c r="U1888" t="s">
        <v>6020</v>
      </c>
      <c r="V1888">
        <v>1</v>
      </c>
    </row>
    <row r="1889" spans="1:22" x14ac:dyDescent="0.3">
      <c r="A1889" t="s">
        <v>1904</v>
      </c>
      <c r="B1889" s="2">
        <v>46102.396527777775</v>
      </c>
      <c r="C1889" s="2">
        <v>46102.700694444444</v>
      </c>
      <c r="D1889" t="s">
        <v>6027</v>
      </c>
      <c r="E1889" t="s">
        <v>6029</v>
      </c>
      <c r="F1889" t="s">
        <v>6034</v>
      </c>
      <c r="G1889" t="s">
        <v>6065</v>
      </c>
      <c r="H1889" t="s">
        <v>6097</v>
      </c>
      <c r="I1889">
        <v>24</v>
      </c>
      <c r="J1889">
        <v>7.3</v>
      </c>
      <c r="K1889" t="s">
        <v>6099</v>
      </c>
      <c r="L1889" t="s">
        <v>6100</v>
      </c>
      <c r="M1889" t="s">
        <v>6100</v>
      </c>
      <c r="N1889">
        <v>5</v>
      </c>
      <c r="O1889" t="s">
        <v>6101</v>
      </c>
      <c r="P1889" t="s">
        <v>6109</v>
      </c>
      <c r="Q1889">
        <v>3</v>
      </c>
      <c r="R1889">
        <v>2026</v>
      </c>
      <c r="S1889" t="s">
        <v>6099</v>
      </c>
      <c r="T1889">
        <v>1</v>
      </c>
      <c r="U1889" t="s">
        <v>6021</v>
      </c>
      <c r="V1889">
        <v>1</v>
      </c>
    </row>
    <row r="1890" spans="1:22" x14ac:dyDescent="0.3">
      <c r="A1890" t="s">
        <v>1905</v>
      </c>
      <c r="B1890" s="2">
        <v>46102.416666666664</v>
      </c>
      <c r="C1890" s="2">
        <v>46102.787499999999</v>
      </c>
      <c r="D1890" t="s">
        <v>6024</v>
      </c>
      <c r="E1890" t="s">
        <v>6030</v>
      </c>
      <c r="F1890" t="s">
        <v>6034</v>
      </c>
      <c r="G1890" t="s">
        <v>6061</v>
      </c>
      <c r="H1890" t="s">
        <v>6096</v>
      </c>
      <c r="I1890">
        <v>24</v>
      </c>
      <c r="J1890">
        <v>8.9</v>
      </c>
      <c r="K1890" t="s">
        <v>6099</v>
      </c>
      <c r="L1890" t="s">
        <v>6100</v>
      </c>
      <c r="M1890" t="s">
        <v>6100</v>
      </c>
      <c r="N1890">
        <v>5</v>
      </c>
      <c r="O1890" t="s">
        <v>6101</v>
      </c>
      <c r="P1890" t="s">
        <v>6109</v>
      </c>
      <c r="Q1890">
        <v>3</v>
      </c>
      <c r="R1890">
        <v>2026</v>
      </c>
      <c r="S1890" t="s">
        <v>6099</v>
      </c>
      <c r="T1890">
        <v>1</v>
      </c>
      <c r="U1890" t="s">
        <v>6020</v>
      </c>
      <c r="V1890">
        <v>1</v>
      </c>
    </row>
    <row r="1891" spans="1:22" x14ac:dyDescent="0.3">
      <c r="A1891" t="s">
        <v>1906</v>
      </c>
      <c r="B1891" s="2">
        <v>46102.419444444444</v>
      </c>
      <c r="C1891" s="2">
        <v>46107.115277777775</v>
      </c>
      <c r="D1891" t="s">
        <v>6026</v>
      </c>
      <c r="E1891" t="s">
        <v>6031</v>
      </c>
      <c r="F1891" t="s">
        <v>6034</v>
      </c>
      <c r="G1891" t="s">
        <v>6068</v>
      </c>
      <c r="H1891" t="s">
        <v>6098</v>
      </c>
      <c r="I1891">
        <v>24</v>
      </c>
      <c r="J1891">
        <v>112.7</v>
      </c>
      <c r="K1891" t="s">
        <v>6100</v>
      </c>
      <c r="L1891" t="s">
        <v>6100</v>
      </c>
      <c r="M1891" t="s">
        <v>6100</v>
      </c>
      <c r="N1891">
        <v>3</v>
      </c>
      <c r="O1891" t="s">
        <v>6101</v>
      </c>
      <c r="P1891" t="s">
        <v>6109</v>
      </c>
      <c r="Q1891">
        <v>3</v>
      </c>
      <c r="R1891">
        <v>2026</v>
      </c>
      <c r="S1891" t="s">
        <v>6100</v>
      </c>
      <c r="T1891">
        <v>0</v>
      </c>
      <c r="U1891" t="s">
        <v>6021</v>
      </c>
      <c r="V1891">
        <v>0</v>
      </c>
    </row>
    <row r="1892" spans="1:22" x14ac:dyDescent="0.3">
      <c r="A1892" t="s">
        <v>1907</v>
      </c>
      <c r="B1892" s="2">
        <v>46102.443055555559</v>
      </c>
      <c r="C1892" s="2">
        <v>46103.24722222222</v>
      </c>
      <c r="D1892" t="s">
        <v>6025</v>
      </c>
      <c r="E1892" t="s">
        <v>6029</v>
      </c>
      <c r="F1892" t="s">
        <v>6034</v>
      </c>
      <c r="G1892" t="s">
        <v>6038</v>
      </c>
      <c r="H1892" t="s">
        <v>6096</v>
      </c>
      <c r="I1892">
        <v>24</v>
      </c>
      <c r="J1892">
        <v>19.3</v>
      </c>
      <c r="K1892" t="s">
        <v>6099</v>
      </c>
      <c r="L1892" t="s">
        <v>6100</v>
      </c>
      <c r="M1892" t="s">
        <v>6100</v>
      </c>
      <c r="N1892">
        <v>5</v>
      </c>
      <c r="O1892" t="s">
        <v>6101</v>
      </c>
      <c r="P1892" t="s">
        <v>6109</v>
      </c>
      <c r="Q1892">
        <v>3</v>
      </c>
      <c r="R1892">
        <v>2026</v>
      </c>
      <c r="S1892" t="s">
        <v>6099</v>
      </c>
      <c r="T1892">
        <v>1</v>
      </c>
      <c r="U1892" t="s">
        <v>6020</v>
      </c>
      <c r="V1892">
        <v>1</v>
      </c>
    </row>
    <row r="1893" spans="1:22" x14ac:dyDescent="0.3">
      <c r="A1893" t="s">
        <v>1908</v>
      </c>
      <c r="B1893" s="2">
        <v>46102.446527777778</v>
      </c>
      <c r="C1893" s="2">
        <v>46102.729861111111</v>
      </c>
      <c r="D1893" t="s">
        <v>6022</v>
      </c>
      <c r="E1893" t="s">
        <v>6029</v>
      </c>
      <c r="F1893" t="s">
        <v>6033</v>
      </c>
      <c r="G1893" t="s">
        <v>6051</v>
      </c>
      <c r="H1893" t="s">
        <v>6097</v>
      </c>
      <c r="I1893">
        <v>72</v>
      </c>
      <c r="J1893">
        <v>6.8</v>
      </c>
      <c r="K1893" t="s">
        <v>6099</v>
      </c>
      <c r="L1893" t="s">
        <v>6100</v>
      </c>
      <c r="M1893" t="s">
        <v>6100</v>
      </c>
      <c r="N1893">
        <v>3</v>
      </c>
      <c r="O1893" t="s">
        <v>6101</v>
      </c>
      <c r="P1893" t="s">
        <v>6109</v>
      </c>
      <c r="Q1893">
        <v>3</v>
      </c>
      <c r="R1893">
        <v>2026</v>
      </c>
      <c r="S1893" t="s">
        <v>6099</v>
      </c>
      <c r="T1893">
        <v>1</v>
      </c>
      <c r="U1893" t="s">
        <v>6019</v>
      </c>
      <c r="V1893">
        <v>1</v>
      </c>
    </row>
    <row r="1894" spans="1:22" x14ac:dyDescent="0.3">
      <c r="A1894" t="s">
        <v>1909</v>
      </c>
      <c r="B1894" s="2">
        <v>46102.466666666667</v>
      </c>
      <c r="C1894" s="2">
        <v>46102.883333333331</v>
      </c>
      <c r="D1894" t="s">
        <v>6023</v>
      </c>
      <c r="E1894" t="s">
        <v>6032</v>
      </c>
      <c r="F1894" t="s">
        <v>6033</v>
      </c>
      <c r="G1894" t="s">
        <v>6045</v>
      </c>
      <c r="H1894" t="s">
        <v>6096</v>
      </c>
      <c r="I1894">
        <v>72</v>
      </c>
      <c r="J1894">
        <v>10</v>
      </c>
      <c r="K1894" t="s">
        <v>6100</v>
      </c>
      <c r="L1894" t="s">
        <v>6099</v>
      </c>
      <c r="M1894" t="s">
        <v>6100</v>
      </c>
      <c r="N1894">
        <v>4</v>
      </c>
      <c r="O1894" t="s">
        <v>6101</v>
      </c>
      <c r="P1894" t="s">
        <v>6109</v>
      </c>
      <c r="Q1894">
        <v>3</v>
      </c>
      <c r="R1894">
        <v>2026</v>
      </c>
      <c r="S1894" t="s">
        <v>6099</v>
      </c>
      <c r="T1894">
        <v>1</v>
      </c>
      <c r="U1894" t="s">
        <v>6017</v>
      </c>
      <c r="V1894">
        <v>0</v>
      </c>
    </row>
    <row r="1895" spans="1:22" x14ac:dyDescent="0.3">
      <c r="A1895" t="s">
        <v>1910</v>
      </c>
      <c r="B1895" s="2">
        <v>46102.538888888892</v>
      </c>
      <c r="C1895" s="2">
        <v>46103.351388888892</v>
      </c>
      <c r="D1895" t="s">
        <v>6025</v>
      </c>
      <c r="E1895" t="s">
        <v>6030</v>
      </c>
      <c r="F1895" t="s">
        <v>6033</v>
      </c>
      <c r="G1895" t="s">
        <v>6048</v>
      </c>
      <c r="H1895" t="s">
        <v>6096</v>
      </c>
      <c r="I1895">
        <v>72</v>
      </c>
      <c r="J1895">
        <v>19.5</v>
      </c>
      <c r="K1895" t="s">
        <v>6100</v>
      </c>
      <c r="L1895" t="s">
        <v>6099</v>
      </c>
      <c r="M1895" t="s">
        <v>6100</v>
      </c>
      <c r="N1895">
        <v>5</v>
      </c>
      <c r="O1895" t="s">
        <v>6101</v>
      </c>
      <c r="P1895" t="s">
        <v>6109</v>
      </c>
      <c r="Q1895">
        <v>3</v>
      </c>
      <c r="R1895">
        <v>2026</v>
      </c>
      <c r="S1895" t="s">
        <v>6099</v>
      </c>
      <c r="T1895">
        <v>1</v>
      </c>
      <c r="U1895" t="s">
        <v>6019</v>
      </c>
      <c r="V1895">
        <v>0</v>
      </c>
    </row>
    <row r="1896" spans="1:22" x14ac:dyDescent="0.3">
      <c r="A1896" t="s">
        <v>1911</v>
      </c>
      <c r="B1896" s="2">
        <v>46102.539583333331</v>
      </c>
      <c r="C1896" s="2">
        <v>46102.831250000003</v>
      </c>
      <c r="D1896" t="s">
        <v>6022</v>
      </c>
      <c r="E1896" t="s">
        <v>6029</v>
      </c>
      <c r="F1896" t="s">
        <v>6033</v>
      </c>
      <c r="G1896" t="s">
        <v>6087</v>
      </c>
      <c r="H1896" t="s">
        <v>6098</v>
      </c>
      <c r="I1896">
        <v>72</v>
      </c>
      <c r="J1896">
        <v>7</v>
      </c>
      <c r="K1896" t="s">
        <v>6099</v>
      </c>
      <c r="L1896" t="s">
        <v>6100</v>
      </c>
      <c r="M1896" t="s">
        <v>6100</v>
      </c>
      <c r="N1896">
        <v>4</v>
      </c>
      <c r="O1896" t="s">
        <v>6101</v>
      </c>
      <c r="P1896" t="s">
        <v>6109</v>
      </c>
      <c r="Q1896">
        <v>3</v>
      </c>
      <c r="R1896">
        <v>2026</v>
      </c>
      <c r="S1896" t="s">
        <v>6099</v>
      </c>
      <c r="T1896">
        <v>1</v>
      </c>
      <c r="U1896" t="s">
        <v>6020</v>
      </c>
      <c r="V1896">
        <v>1</v>
      </c>
    </row>
    <row r="1897" spans="1:22" x14ac:dyDescent="0.3">
      <c r="A1897" t="s">
        <v>1912</v>
      </c>
      <c r="B1897" s="2">
        <v>46102.574305555558</v>
      </c>
      <c r="C1897" s="2">
        <v>46103.074305555558</v>
      </c>
      <c r="D1897" t="s">
        <v>6027</v>
      </c>
      <c r="E1897" t="s">
        <v>6029</v>
      </c>
      <c r="F1897" t="s">
        <v>6034</v>
      </c>
      <c r="G1897" t="s">
        <v>6061</v>
      </c>
      <c r="H1897" t="s">
        <v>6096</v>
      </c>
      <c r="I1897">
        <v>24</v>
      </c>
      <c r="J1897">
        <v>12</v>
      </c>
      <c r="K1897" t="s">
        <v>6099</v>
      </c>
      <c r="L1897" t="s">
        <v>6100</v>
      </c>
      <c r="M1897" t="s">
        <v>6100</v>
      </c>
      <c r="N1897">
        <v>5</v>
      </c>
      <c r="O1897" t="s">
        <v>6101</v>
      </c>
      <c r="P1897" t="s">
        <v>6109</v>
      </c>
      <c r="Q1897">
        <v>3</v>
      </c>
      <c r="R1897">
        <v>2026</v>
      </c>
      <c r="S1897" t="s">
        <v>6099</v>
      </c>
      <c r="T1897">
        <v>1</v>
      </c>
      <c r="U1897" t="s">
        <v>6019</v>
      </c>
      <c r="V1897">
        <v>1</v>
      </c>
    </row>
    <row r="1898" spans="1:22" x14ac:dyDescent="0.3">
      <c r="A1898" t="s">
        <v>1913</v>
      </c>
      <c r="B1898" s="2">
        <v>46102.581944444442</v>
      </c>
      <c r="C1898" s="2">
        <v>46103.019444444442</v>
      </c>
      <c r="D1898" t="s">
        <v>6027</v>
      </c>
      <c r="E1898" t="s">
        <v>6029</v>
      </c>
      <c r="F1898" t="s">
        <v>6033</v>
      </c>
      <c r="G1898" t="s">
        <v>6077</v>
      </c>
      <c r="H1898" t="s">
        <v>6098</v>
      </c>
      <c r="I1898">
        <v>72</v>
      </c>
      <c r="J1898">
        <v>10.5</v>
      </c>
      <c r="K1898" t="s">
        <v>6099</v>
      </c>
      <c r="L1898" t="s">
        <v>6100</v>
      </c>
      <c r="M1898" t="s">
        <v>6100</v>
      </c>
      <c r="N1898">
        <v>5</v>
      </c>
      <c r="O1898" t="s">
        <v>6101</v>
      </c>
      <c r="P1898" t="s">
        <v>6109</v>
      </c>
      <c r="Q1898">
        <v>3</v>
      </c>
      <c r="R1898">
        <v>2026</v>
      </c>
      <c r="S1898" t="s">
        <v>6099</v>
      </c>
      <c r="T1898">
        <v>1</v>
      </c>
      <c r="U1898" t="s">
        <v>6020</v>
      </c>
      <c r="V1898">
        <v>1</v>
      </c>
    </row>
    <row r="1899" spans="1:22" x14ac:dyDescent="0.3">
      <c r="A1899" t="s">
        <v>1914</v>
      </c>
      <c r="B1899" s="2">
        <v>46102.584027777775</v>
      </c>
      <c r="C1899" s="2">
        <v>46102.942361111112</v>
      </c>
      <c r="D1899" t="s">
        <v>6022</v>
      </c>
      <c r="E1899" t="s">
        <v>6030</v>
      </c>
      <c r="F1899" t="s">
        <v>6035</v>
      </c>
      <c r="G1899" t="s">
        <v>6082</v>
      </c>
      <c r="H1899" t="s">
        <v>6097</v>
      </c>
      <c r="I1899">
        <v>4</v>
      </c>
      <c r="J1899">
        <v>8.6</v>
      </c>
      <c r="K1899" t="s">
        <v>6099</v>
      </c>
      <c r="L1899" t="s">
        <v>6100</v>
      </c>
      <c r="M1899" t="s">
        <v>6100</v>
      </c>
      <c r="O1899" t="s">
        <v>6101</v>
      </c>
      <c r="P1899" t="s">
        <v>6109</v>
      </c>
      <c r="Q1899">
        <v>3</v>
      </c>
      <c r="R1899">
        <v>2026</v>
      </c>
      <c r="S1899" t="s">
        <v>6100</v>
      </c>
      <c r="T1899">
        <v>0</v>
      </c>
      <c r="U1899" t="s">
        <v>6020</v>
      </c>
      <c r="V1899">
        <v>1</v>
      </c>
    </row>
    <row r="1900" spans="1:22" x14ac:dyDescent="0.3">
      <c r="A1900" t="s">
        <v>1915</v>
      </c>
      <c r="B1900" s="2">
        <v>46102.588194444441</v>
      </c>
      <c r="C1900" s="2">
        <v>46104.829861111109</v>
      </c>
      <c r="D1900" t="s">
        <v>6026</v>
      </c>
      <c r="E1900" t="s">
        <v>6031</v>
      </c>
      <c r="F1900" t="s">
        <v>6035</v>
      </c>
      <c r="G1900" t="s">
        <v>6051</v>
      </c>
      <c r="H1900" t="s">
        <v>6097</v>
      </c>
      <c r="I1900">
        <v>4</v>
      </c>
      <c r="J1900">
        <v>53.8</v>
      </c>
      <c r="K1900" t="s">
        <v>6099</v>
      </c>
      <c r="L1900" t="s">
        <v>6100</v>
      </c>
      <c r="M1900" t="s">
        <v>6100</v>
      </c>
      <c r="N1900">
        <v>4</v>
      </c>
      <c r="O1900" t="s">
        <v>6101</v>
      </c>
      <c r="P1900" t="s">
        <v>6109</v>
      </c>
      <c r="Q1900">
        <v>3</v>
      </c>
      <c r="R1900">
        <v>2026</v>
      </c>
      <c r="S1900" t="s">
        <v>6100</v>
      </c>
      <c r="T1900">
        <v>0</v>
      </c>
      <c r="U1900" t="s">
        <v>6021</v>
      </c>
      <c r="V1900">
        <v>1</v>
      </c>
    </row>
    <row r="1901" spans="1:22" x14ac:dyDescent="0.3">
      <c r="A1901" t="s">
        <v>1916</v>
      </c>
      <c r="B1901" s="2">
        <v>46102.679861111108</v>
      </c>
      <c r="C1901" s="2">
        <v>46103.254861111112</v>
      </c>
      <c r="D1901" t="s">
        <v>6028</v>
      </c>
      <c r="E1901" t="s">
        <v>6031</v>
      </c>
      <c r="F1901" t="s">
        <v>6035</v>
      </c>
      <c r="G1901" t="s">
        <v>6090</v>
      </c>
      <c r="H1901" t="s">
        <v>6097</v>
      </c>
      <c r="I1901">
        <v>4</v>
      </c>
      <c r="J1901">
        <v>13.8</v>
      </c>
      <c r="K1901" t="s">
        <v>6099</v>
      </c>
      <c r="L1901" t="s">
        <v>6100</v>
      </c>
      <c r="M1901" t="s">
        <v>6100</v>
      </c>
      <c r="O1901" t="s">
        <v>6101</v>
      </c>
      <c r="P1901" t="s">
        <v>6109</v>
      </c>
      <c r="Q1901">
        <v>3</v>
      </c>
      <c r="R1901">
        <v>2026</v>
      </c>
      <c r="S1901" t="s">
        <v>6100</v>
      </c>
      <c r="T1901">
        <v>0</v>
      </c>
      <c r="U1901" t="s">
        <v>6021</v>
      </c>
      <c r="V1901">
        <v>1</v>
      </c>
    </row>
    <row r="1902" spans="1:22" x14ac:dyDescent="0.3">
      <c r="A1902" t="s">
        <v>1917</v>
      </c>
      <c r="B1902" s="2">
        <v>46102.680555555555</v>
      </c>
      <c r="C1902" s="2">
        <v>46103.026388888888</v>
      </c>
      <c r="D1902" t="s">
        <v>6024</v>
      </c>
      <c r="E1902" t="s">
        <v>6029</v>
      </c>
      <c r="F1902" t="s">
        <v>6033</v>
      </c>
      <c r="G1902" t="s">
        <v>6053</v>
      </c>
      <c r="H1902" t="s">
        <v>6097</v>
      </c>
      <c r="I1902">
        <v>72</v>
      </c>
      <c r="K1902" t="s">
        <v>6099</v>
      </c>
      <c r="L1902" t="s">
        <v>6100</v>
      </c>
      <c r="M1902" t="s">
        <v>6100</v>
      </c>
      <c r="O1902" t="s">
        <v>6101</v>
      </c>
      <c r="P1902" t="s">
        <v>6109</v>
      </c>
      <c r="Q1902">
        <v>3</v>
      </c>
      <c r="R1902">
        <v>2026</v>
      </c>
      <c r="U1902" t="s">
        <v>6019</v>
      </c>
      <c r="V1902">
        <v>1</v>
      </c>
    </row>
    <row r="1903" spans="1:22" x14ac:dyDescent="0.3">
      <c r="A1903" t="s">
        <v>1918</v>
      </c>
      <c r="B1903" s="2">
        <v>46102.693749999999</v>
      </c>
      <c r="C1903" s="2">
        <v>46107.622916666667</v>
      </c>
      <c r="D1903" t="s">
        <v>6026</v>
      </c>
      <c r="E1903" t="s">
        <v>6031</v>
      </c>
      <c r="F1903" t="s">
        <v>6034</v>
      </c>
      <c r="G1903" t="s">
        <v>6087</v>
      </c>
      <c r="H1903" t="s">
        <v>6098</v>
      </c>
      <c r="I1903">
        <v>24</v>
      </c>
      <c r="J1903">
        <v>118.3</v>
      </c>
      <c r="K1903" t="s">
        <v>6100</v>
      </c>
      <c r="L1903" t="s">
        <v>6100</v>
      </c>
      <c r="M1903" t="s">
        <v>6100</v>
      </c>
      <c r="N1903">
        <v>4</v>
      </c>
      <c r="O1903" t="s">
        <v>6101</v>
      </c>
      <c r="P1903" t="s">
        <v>6109</v>
      </c>
      <c r="Q1903">
        <v>3</v>
      </c>
      <c r="R1903">
        <v>2026</v>
      </c>
      <c r="S1903" t="s">
        <v>6100</v>
      </c>
      <c r="T1903">
        <v>0</v>
      </c>
      <c r="U1903" t="s">
        <v>6017</v>
      </c>
      <c r="V1903">
        <v>0</v>
      </c>
    </row>
    <row r="1904" spans="1:22" x14ac:dyDescent="0.3">
      <c r="A1904" t="s">
        <v>1919</v>
      </c>
      <c r="B1904" s="2">
        <v>46102.763888888891</v>
      </c>
      <c r="C1904" s="2">
        <v>46102.913888888892</v>
      </c>
      <c r="D1904" t="s">
        <v>6023</v>
      </c>
      <c r="E1904" t="s">
        <v>6030</v>
      </c>
      <c r="F1904" t="s">
        <v>6034</v>
      </c>
      <c r="G1904" t="s">
        <v>6058</v>
      </c>
      <c r="H1904" t="s">
        <v>6098</v>
      </c>
      <c r="I1904">
        <v>24</v>
      </c>
      <c r="J1904">
        <v>3.6</v>
      </c>
      <c r="K1904" t="s">
        <v>6099</v>
      </c>
      <c r="L1904" t="s">
        <v>6100</v>
      </c>
      <c r="M1904" t="s">
        <v>6100</v>
      </c>
      <c r="O1904" t="s">
        <v>6101</v>
      </c>
      <c r="P1904" t="s">
        <v>6109</v>
      </c>
      <c r="Q1904">
        <v>3</v>
      </c>
      <c r="R1904">
        <v>2026</v>
      </c>
      <c r="S1904" t="s">
        <v>6099</v>
      </c>
      <c r="T1904">
        <v>1</v>
      </c>
      <c r="U1904" t="s">
        <v>6020</v>
      </c>
      <c r="V1904">
        <v>1</v>
      </c>
    </row>
    <row r="1905" spans="1:22" x14ac:dyDescent="0.3">
      <c r="A1905" t="s">
        <v>1920</v>
      </c>
      <c r="B1905" s="2">
        <v>46102.990277777775</v>
      </c>
      <c r="C1905" s="2">
        <v>46103.461111111108</v>
      </c>
      <c r="D1905" t="s">
        <v>6022</v>
      </c>
      <c r="E1905" t="s">
        <v>6029</v>
      </c>
      <c r="F1905" t="s">
        <v>6033</v>
      </c>
      <c r="G1905" t="s">
        <v>6044</v>
      </c>
      <c r="H1905" t="s">
        <v>6097</v>
      </c>
      <c r="I1905">
        <v>72</v>
      </c>
      <c r="J1905">
        <v>11.3</v>
      </c>
      <c r="K1905" t="s">
        <v>6099</v>
      </c>
      <c r="L1905" t="s">
        <v>6100</v>
      </c>
      <c r="M1905" t="s">
        <v>6100</v>
      </c>
      <c r="O1905" t="s">
        <v>6101</v>
      </c>
      <c r="P1905" t="s">
        <v>6109</v>
      </c>
      <c r="Q1905">
        <v>3</v>
      </c>
      <c r="R1905">
        <v>2026</v>
      </c>
      <c r="S1905" t="s">
        <v>6099</v>
      </c>
      <c r="T1905">
        <v>1</v>
      </c>
      <c r="U1905" t="s">
        <v>6018</v>
      </c>
      <c r="V1905">
        <v>1</v>
      </c>
    </row>
    <row r="1906" spans="1:22" x14ac:dyDescent="0.3">
      <c r="A1906" t="s">
        <v>1921</v>
      </c>
      <c r="B1906" s="2">
        <v>46102.992361111108</v>
      </c>
      <c r="C1906" s="2">
        <v>46103.446527777778</v>
      </c>
      <c r="D1906" t="s">
        <v>6023</v>
      </c>
      <c r="E1906" t="s">
        <v>6029</v>
      </c>
      <c r="F1906" t="s">
        <v>6033</v>
      </c>
      <c r="G1906" t="s">
        <v>6084</v>
      </c>
      <c r="H1906" t="s">
        <v>6098</v>
      </c>
      <c r="I1906">
        <v>72</v>
      </c>
      <c r="J1906">
        <v>10.9</v>
      </c>
      <c r="K1906" t="s">
        <v>6099</v>
      </c>
      <c r="L1906" t="s">
        <v>6100</v>
      </c>
      <c r="M1906" t="s">
        <v>6100</v>
      </c>
      <c r="N1906">
        <v>3</v>
      </c>
      <c r="O1906" t="s">
        <v>6101</v>
      </c>
      <c r="P1906" t="s">
        <v>6109</v>
      </c>
      <c r="Q1906">
        <v>3</v>
      </c>
      <c r="R1906">
        <v>2026</v>
      </c>
      <c r="S1906" t="s">
        <v>6099</v>
      </c>
      <c r="T1906">
        <v>1</v>
      </c>
      <c r="U1906" t="s">
        <v>6017</v>
      </c>
      <c r="V1906">
        <v>1</v>
      </c>
    </row>
    <row r="1907" spans="1:22" x14ac:dyDescent="0.3">
      <c r="A1907" t="s">
        <v>1922</v>
      </c>
      <c r="B1907" s="2">
        <v>46103.256944444445</v>
      </c>
      <c r="C1907" s="2">
        <v>46104.790277777778</v>
      </c>
      <c r="D1907" t="s">
        <v>6022</v>
      </c>
      <c r="E1907" t="s">
        <v>6032</v>
      </c>
      <c r="F1907" t="s">
        <v>6033</v>
      </c>
      <c r="G1907" t="s">
        <v>6044</v>
      </c>
      <c r="H1907" t="s">
        <v>6097</v>
      </c>
      <c r="I1907">
        <v>72</v>
      </c>
      <c r="J1907">
        <v>36.799999999999997</v>
      </c>
      <c r="K1907" t="s">
        <v>6099</v>
      </c>
      <c r="L1907" t="s">
        <v>6100</v>
      </c>
      <c r="M1907" t="s">
        <v>6100</v>
      </c>
      <c r="N1907">
        <v>5</v>
      </c>
      <c r="O1907" t="s">
        <v>6101</v>
      </c>
      <c r="P1907" t="s">
        <v>6109</v>
      </c>
      <c r="Q1907">
        <v>3</v>
      </c>
      <c r="R1907">
        <v>2026</v>
      </c>
      <c r="S1907" t="s">
        <v>6099</v>
      </c>
      <c r="T1907">
        <v>1</v>
      </c>
      <c r="U1907" t="s">
        <v>6020</v>
      </c>
      <c r="V1907">
        <v>1</v>
      </c>
    </row>
    <row r="1908" spans="1:22" x14ac:dyDescent="0.3">
      <c r="A1908" t="s">
        <v>1923</v>
      </c>
      <c r="B1908" s="2">
        <v>46103.290277777778</v>
      </c>
      <c r="C1908" s="2">
        <v>46103.861111111109</v>
      </c>
      <c r="D1908" t="s">
        <v>6024</v>
      </c>
      <c r="E1908" t="s">
        <v>6031</v>
      </c>
      <c r="F1908" t="s">
        <v>6034</v>
      </c>
      <c r="G1908" t="s">
        <v>6058</v>
      </c>
      <c r="H1908" t="s">
        <v>6098</v>
      </c>
      <c r="I1908">
        <v>24</v>
      </c>
      <c r="J1908">
        <v>13.7</v>
      </c>
      <c r="K1908" t="s">
        <v>6100</v>
      </c>
      <c r="L1908" t="s">
        <v>6099</v>
      </c>
      <c r="M1908" t="s">
        <v>6100</v>
      </c>
      <c r="N1908">
        <v>3</v>
      </c>
      <c r="O1908" t="s">
        <v>6101</v>
      </c>
      <c r="P1908" t="s">
        <v>6109</v>
      </c>
      <c r="Q1908">
        <v>3</v>
      </c>
      <c r="R1908">
        <v>2026</v>
      </c>
      <c r="S1908" t="s">
        <v>6099</v>
      </c>
      <c r="T1908">
        <v>1</v>
      </c>
      <c r="U1908" t="s">
        <v>6021</v>
      </c>
      <c r="V1908">
        <v>0</v>
      </c>
    </row>
    <row r="1909" spans="1:22" x14ac:dyDescent="0.3">
      <c r="A1909" t="s">
        <v>1924</v>
      </c>
      <c r="B1909" s="2">
        <v>46103.347916666666</v>
      </c>
      <c r="C1909" s="2">
        <v>46103.431250000001</v>
      </c>
      <c r="D1909" t="s">
        <v>6028</v>
      </c>
      <c r="E1909" t="s">
        <v>6029</v>
      </c>
      <c r="F1909" t="s">
        <v>6034</v>
      </c>
      <c r="G1909" t="s">
        <v>6079</v>
      </c>
      <c r="H1909" t="s">
        <v>6097</v>
      </c>
      <c r="I1909">
        <v>24</v>
      </c>
      <c r="J1909">
        <v>2</v>
      </c>
      <c r="K1909" t="s">
        <v>6099</v>
      </c>
      <c r="L1909" t="s">
        <v>6100</v>
      </c>
      <c r="M1909" t="s">
        <v>6100</v>
      </c>
      <c r="N1909">
        <v>5</v>
      </c>
      <c r="O1909" t="s">
        <v>6101</v>
      </c>
      <c r="P1909" t="s">
        <v>6109</v>
      </c>
      <c r="Q1909">
        <v>3</v>
      </c>
      <c r="R1909">
        <v>2026</v>
      </c>
      <c r="S1909" t="s">
        <v>6099</v>
      </c>
      <c r="T1909">
        <v>1</v>
      </c>
      <c r="U1909" t="s">
        <v>6020</v>
      </c>
      <c r="V1909">
        <v>1</v>
      </c>
    </row>
    <row r="1910" spans="1:22" x14ac:dyDescent="0.3">
      <c r="A1910" t="s">
        <v>1925</v>
      </c>
      <c r="B1910" s="2">
        <v>46103.37777777778</v>
      </c>
      <c r="C1910" s="2">
        <v>46106.802777777775</v>
      </c>
      <c r="D1910" t="s">
        <v>6025</v>
      </c>
      <c r="E1910" t="s">
        <v>6031</v>
      </c>
      <c r="F1910" t="s">
        <v>6034</v>
      </c>
      <c r="G1910" t="s">
        <v>6037</v>
      </c>
      <c r="H1910" t="s">
        <v>6096</v>
      </c>
      <c r="I1910">
        <v>24</v>
      </c>
      <c r="J1910">
        <v>82.2</v>
      </c>
      <c r="K1910" t="s">
        <v>6099</v>
      </c>
      <c r="L1910" t="s">
        <v>6100</v>
      </c>
      <c r="M1910" t="s">
        <v>6100</v>
      </c>
      <c r="O1910" t="s">
        <v>6101</v>
      </c>
      <c r="P1910" t="s">
        <v>6109</v>
      </c>
      <c r="Q1910">
        <v>3</v>
      </c>
      <c r="R1910">
        <v>2026</v>
      </c>
      <c r="S1910" t="s">
        <v>6100</v>
      </c>
      <c r="T1910">
        <v>0</v>
      </c>
      <c r="U1910" t="s">
        <v>6018</v>
      </c>
      <c r="V1910">
        <v>1</v>
      </c>
    </row>
    <row r="1911" spans="1:22" x14ac:dyDescent="0.3">
      <c r="A1911" t="s">
        <v>1926</v>
      </c>
      <c r="B1911" s="2">
        <v>46103.388888888891</v>
      </c>
      <c r="C1911" s="2">
        <v>46103.963888888888</v>
      </c>
      <c r="D1911" t="s">
        <v>6022</v>
      </c>
      <c r="E1911" t="s">
        <v>6029</v>
      </c>
      <c r="F1911" t="s">
        <v>6034</v>
      </c>
      <c r="G1911" t="s">
        <v>6052</v>
      </c>
      <c r="H1911" t="s">
        <v>6098</v>
      </c>
      <c r="I1911">
        <v>24</v>
      </c>
      <c r="J1911">
        <v>13.8</v>
      </c>
      <c r="K1911" t="s">
        <v>6099</v>
      </c>
      <c r="L1911" t="s">
        <v>6100</v>
      </c>
      <c r="M1911" t="s">
        <v>6100</v>
      </c>
      <c r="N1911">
        <v>4</v>
      </c>
      <c r="O1911" t="s">
        <v>6101</v>
      </c>
      <c r="P1911" t="s">
        <v>6109</v>
      </c>
      <c r="Q1911">
        <v>3</v>
      </c>
      <c r="R1911">
        <v>2026</v>
      </c>
      <c r="S1911" t="s">
        <v>6099</v>
      </c>
      <c r="T1911">
        <v>1</v>
      </c>
      <c r="U1911" t="s">
        <v>6017</v>
      </c>
      <c r="V1911">
        <v>1</v>
      </c>
    </row>
    <row r="1912" spans="1:22" x14ac:dyDescent="0.3">
      <c r="A1912" t="s">
        <v>1927</v>
      </c>
      <c r="B1912" s="2">
        <v>46103.4</v>
      </c>
      <c r="C1912" s="2">
        <v>46113.129166666666</v>
      </c>
      <c r="D1912" t="s">
        <v>6026</v>
      </c>
      <c r="E1912" t="s">
        <v>6032</v>
      </c>
      <c r="F1912" t="s">
        <v>6034</v>
      </c>
      <c r="G1912" t="s">
        <v>6066</v>
      </c>
      <c r="H1912" t="s">
        <v>6096</v>
      </c>
      <c r="I1912">
        <v>24</v>
      </c>
      <c r="J1912">
        <v>233.5</v>
      </c>
      <c r="K1912" t="s">
        <v>6100</v>
      </c>
      <c r="L1912" t="s">
        <v>6100</v>
      </c>
      <c r="M1912" t="s">
        <v>6100</v>
      </c>
      <c r="O1912" t="s">
        <v>6101</v>
      </c>
      <c r="P1912" t="s">
        <v>6109</v>
      </c>
      <c r="Q1912">
        <v>3</v>
      </c>
      <c r="R1912">
        <v>2026</v>
      </c>
      <c r="S1912" t="s">
        <v>6100</v>
      </c>
      <c r="T1912">
        <v>0</v>
      </c>
      <c r="U1912" t="s">
        <v>6020</v>
      </c>
      <c r="V1912">
        <v>0</v>
      </c>
    </row>
    <row r="1913" spans="1:22" x14ac:dyDescent="0.3">
      <c r="A1913" t="s">
        <v>1928</v>
      </c>
      <c r="B1913" s="2">
        <v>46103.440972222219</v>
      </c>
      <c r="C1913" s="2">
        <v>46104.670138888891</v>
      </c>
      <c r="D1913" t="s">
        <v>6026</v>
      </c>
      <c r="E1913" t="s">
        <v>6030</v>
      </c>
      <c r="F1913" t="s">
        <v>6035</v>
      </c>
      <c r="G1913" t="s">
        <v>6053</v>
      </c>
      <c r="H1913" t="s">
        <v>6097</v>
      </c>
      <c r="I1913">
        <v>4</v>
      </c>
      <c r="J1913">
        <v>29.5</v>
      </c>
      <c r="K1913" t="s">
        <v>6099</v>
      </c>
      <c r="L1913" t="s">
        <v>6100</v>
      </c>
      <c r="M1913" t="s">
        <v>6100</v>
      </c>
      <c r="N1913">
        <v>4</v>
      </c>
      <c r="O1913" t="s">
        <v>6101</v>
      </c>
      <c r="P1913" t="s">
        <v>6109</v>
      </c>
      <c r="Q1913">
        <v>3</v>
      </c>
      <c r="R1913">
        <v>2026</v>
      </c>
      <c r="S1913" t="s">
        <v>6100</v>
      </c>
      <c r="T1913">
        <v>0</v>
      </c>
      <c r="U1913" t="s">
        <v>6017</v>
      </c>
      <c r="V1913">
        <v>1</v>
      </c>
    </row>
    <row r="1914" spans="1:22" x14ac:dyDescent="0.3">
      <c r="A1914" t="s">
        <v>1929</v>
      </c>
      <c r="B1914" s="2">
        <v>46103.48541666667</v>
      </c>
      <c r="C1914" s="2">
        <v>46104.36041666667</v>
      </c>
      <c r="D1914" t="s">
        <v>6025</v>
      </c>
      <c r="E1914" t="s">
        <v>6030</v>
      </c>
      <c r="F1914" t="s">
        <v>6033</v>
      </c>
      <c r="G1914" t="s">
        <v>6076</v>
      </c>
      <c r="H1914" t="s">
        <v>6097</v>
      </c>
      <c r="I1914">
        <v>72</v>
      </c>
      <c r="J1914">
        <v>21</v>
      </c>
      <c r="K1914" t="s">
        <v>6100</v>
      </c>
      <c r="L1914" t="s">
        <v>6099</v>
      </c>
      <c r="M1914" t="s">
        <v>6099</v>
      </c>
      <c r="N1914">
        <v>3</v>
      </c>
      <c r="O1914" t="s">
        <v>6101</v>
      </c>
      <c r="P1914" t="s">
        <v>6109</v>
      </c>
      <c r="Q1914">
        <v>3</v>
      </c>
      <c r="R1914">
        <v>2026</v>
      </c>
      <c r="S1914" t="s">
        <v>6099</v>
      </c>
      <c r="T1914">
        <v>1</v>
      </c>
      <c r="U1914" t="s">
        <v>6017</v>
      </c>
      <c r="V1914">
        <v>0</v>
      </c>
    </row>
    <row r="1915" spans="1:22" x14ac:dyDescent="0.3">
      <c r="A1915" t="s">
        <v>1930</v>
      </c>
      <c r="B1915" s="2">
        <v>46103.487500000003</v>
      </c>
      <c r="C1915" s="2">
        <v>46104.945833333331</v>
      </c>
      <c r="D1915" t="s">
        <v>6025</v>
      </c>
      <c r="E1915" t="s">
        <v>6031</v>
      </c>
      <c r="F1915" t="s">
        <v>6034</v>
      </c>
      <c r="G1915" t="s">
        <v>6044</v>
      </c>
      <c r="H1915" t="s">
        <v>6097</v>
      </c>
      <c r="I1915">
        <v>24</v>
      </c>
      <c r="J1915">
        <v>35</v>
      </c>
      <c r="K1915" t="s">
        <v>6099</v>
      </c>
      <c r="L1915" t="s">
        <v>6100</v>
      </c>
      <c r="M1915" t="s">
        <v>6099</v>
      </c>
      <c r="N1915">
        <v>4</v>
      </c>
      <c r="O1915" t="s">
        <v>6101</v>
      </c>
      <c r="P1915" t="s">
        <v>6109</v>
      </c>
      <c r="Q1915">
        <v>3</v>
      </c>
      <c r="R1915">
        <v>2026</v>
      </c>
      <c r="S1915" t="s">
        <v>6100</v>
      </c>
      <c r="T1915">
        <v>0</v>
      </c>
      <c r="U1915" t="s">
        <v>6017</v>
      </c>
      <c r="V1915">
        <v>1</v>
      </c>
    </row>
    <row r="1916" spans="1:22" x14ac:dyDescent="0.3">
      <c r="A1916" t="s">
        <v>1931</v>
      </c>
      <c r="B1916" s="2">
        <v>46103.509722222225</v>
      </c>
      <c r="C1916" s="2">
        <v>46104.276388888888</v>
      </c>
      <c r="D1916" t="s">
        <v>6028</v>
      </c>
      <c r="E1916" t="s">
        <v>6031</v>
      </c>
      <c r="F1916" t="s">
        <v>6033</v>
      </c>
      <c r="G1916" t="s">
        <v>6074</v>
      </c>
      <c r="H1916" t="s">
        <v>6098</v>
      </c>
      <c r="I1916">
        <v>72</v>
      </c>
      <c r="J1916">
        <v>18.399999999999999</v>
      </c>
      <c r="K1916" t="s">
        <v>6100</v>
      </c>
      <c r="L1916" t="s">
        <v>6099</v>
      </c>
      <c r="M1916" t="s">
        <v>6100</v>
      </c>
      <c r="N1916">
        <v>5</v>
      </c>
      <c r="O1916" t="s">
        <v>6101</v>
      </c>
      <c r="P1916" t="s">
        <v>6109</v>
      </c>
      <c r="Q1916">
        <v>3</v>
      </c>
      <c r="R1916">
        <v>2026</v>
      </c>
      <c r="S1916" t="s">
        <v>6099</v>
      </c>
      <c r="T1916">
        <v>1</v>
      </c>
      <c r="U1916" t="s">
        <v>6017</v>
      </c>
      <c r="V1916">
        <v>0</v>
      </c>
    </row>
    <row r="1917" spans="1:22" x14ac:dyDescent="0.3">
      <c r="A1917" t="s">
        <v>1932</v>
      </c>
      <c r="B1917" s="2">
        <v>46103.511111111111</v>
      </c>
      <c r="C1917" s="2">
        <v>46104.386111111111</v>
      </c>
      <c r="D1917" t="s">
        <v>6025</v>
      </c>
      <c r="E1917" t="s">
        <v>6030</v>
      </c>
      <c r="F1917" t="s">
        <v>6033</v>
      </c>
      <c r="G1917" t="s">
        <v>6059</v>
      </c>
      <c r="H1917" t="s">
        <v>6097</v>
      </c>
      <c r="I1917">
        <v>72</v>
      </c>
      <c r="J1917">
        <v>21</v>
      </c>
      <c r="K1917" t="s">
        <v>6099</v>
      </c>
      <c r="L1917" t="s">
        <v>6100</v>
      </c>
      <c r="M1917" t="s">
        <v>6100</v>
      </c>
      <c r="O1917" t="s">
        <v>6101</v>
      </c>
      <c r="P1917" t="s">
        <v>6109</v>
      </c>
      <c r="Q1917">
        <v>3</v>
      </c>
      <c r="R1917">
        <v>2026</v>
      </c>
      <c r="S1917" t="s">
        <v>6099</v>
      </c>
      <c r="T1917">
        <v>1</v>
      </c>
      <c r="U1917" t="s">
        <v>6018</v>
      </c>
      <c r="V1917">
        <v>1</v>
      </c>
    </row>
    <row r="1918" spans="1:22" x14ac:dyDescent="0.3">
      <c r="A1918" t="s">
        <v>1933</v>
      </c>
      <c r="B1918" s="2">
        <v>46103.524305555555</v>
      </c>
      <c r="C1918" s="2">
        <v>46105.032638888886</v>
      </c>
      <c r="D1918" t="s">
        <v>6022</v>
      </c>
      <c r="E1918" t="s">
        <v>6031</v>
      </c>
      <c r="F1918" t="s">
        <v>6034</v>
      </c>
      <c r="G1918" t="s">
        <v>6049</v>
      </c>
      <c r="H1918" t="s">
        <v>6097</v>
      </c>
      <c r="I1918">
        <v>24</v>
      </c>
      <c r="J1918">
        <v>36.200000000000003</v>
      </c>
      <c r="K1918" t="s">
        <v>6099</v>
      </c>
      <c r="L1918" t="s">
        <v>6100</v>
      </c>
      <c r="M1918" t="s">
        <v>6100</v>
      </c>
      <c r="N1918">
        <v>4</v>
      </c>
      <c r="O1918" t="s">
        <v>6101</v>
      </c>
      <c r="P1918" t="s">
        <v>6109</v>
      </c>
      <c r="Q1918">
        <v>3</v>
      </c>
      <c r="R1918">
        <v>2026</v>
      </c>
      <c r="S1918" t="s">
        <v>6100</v>
      </c>
      <c r="T1918">
        <v>0</v>
      </c>
      <c r="U1918" t="s">
        <v>6017</v>
      </c>
      <c r="V1918">
        <v>1</v>
      </c>
    </row>
    <row r="1919" spans="1:22" x14ac:dyDescent="0.3">
      <c r="A1919" t="s">
        <v>1934</v>
      </c>
      <c r="B1919" s="2">
        <v>46103.529166666667</v>
      </c>
      <c r="C1919" s="2">
        <v>46104.224999999999</v>
      </c>
      <c r="D1919" t="s">
        <v>6028</v>
      </c>
      <c r="E1919" t="s">
        <v>6031</v>
      </c>
      <c r="F1919" t="s">
        <v>6034</v>
      </c>
      <c r="G1919" t="s">
        <v>6072</v>
      </c>
      <c r="H1919" t="s">
        <v>6097</v>
      </c>
      <c r="I1919">
        <v>24</v>
      </c>
      <c r="J1919">
        <v>16.7</v>
      </c>
      <c r="K1919" t="s">
        <v>6100</v>
      </c>
      <c r="L1919" t="s">
        <v>6099</v>
      </c>
      <c r="M1919" t="s">
        <v>6100</v>
      </c>
      <c r="N1919">
        <v>5</v>
      </c>
      <c r="O1919" t="s">
        <v>6101</v>
      </c>
      <c r="P1919" t="s">
        <v>6109</v>
      </c>
      <c r="Q1919">
        <v>3</v>
      </c>
      <c r="R1919">
        <v>2026</v>
      </c>
      <c r="S1919" t="s">
        <v>6099</v>
      </c>
      <c r="T1919">
        <v>1</v>
      </c>
      <c r="U1919" t="s">
        <v>6019</v>
      </c>
      <c r="V1919">
        <v>0</v>
      </c>
    </row>
    <row r="1920" spans="1:22" x14ac:dyDescent="0.3">
      <c r="A1920" t="s">
        <v>1935</v>
      </c>
      <c r="B1920" s="2">
        <v>46103.540972222225</v>
      </c>
      <c r="C1920" s="2">
        <v>46103.832638888889</v>
      </c>
      <c r="D1920" t="s">
        <v>6024</v>
      </c>
      <c r="E1920" t="s">
        <v>6029</v>
      </c>
      <c r="F1920" t="s">
        <v>6035</v>
      </c>
      <c r="G1920" t="s">
        <v>6050</v>
      </c>
      <c r="H1920" t="s">
        <v>6098</v>
      </c>
      <c r="I1920">
        <v>4</v>
      </c>
      <c r="J1920">
        <v>7</v>
      </c>
      <c r="K1920" t="s">
        <v>6099</v>
      </c>
      <c r="L1920" t="s">
        <v>6100</v>
      </c>
      <c r="M1920" t="s">
        <v>6099</v>
      </c>
      <c r="N1920">
        <v>5</v>
      </c>
      <c r="O1920" t="s">
        <v>6101</v>
      </c>
      <c r="P1920" t="s">
        <v>6109</v>
      </c>
      <c r="Q1920">
        <v>3</v>
      </c>
      <c r="R1920">
        <v>2026</v>
      </c>
      <c r="S1920" t="s">
        <v>6100</v>
      </c>
      <c r="T1920">
        <v>0</v>
      </c>
      <c r="U1920" t="s">
        <v>6018</v>
      </c>
      <c r="V1920">
        <v>1</v>
      </c>
    </row>
    <row r="1921" spans="1:22" x14ac:dyDescent="0.3">
      <c r="A1921" t="s">
        <v>1936</v>
      </c>
      <c r="B1921" s="2">
        <v>46103.549305555556</v>
      </c>
      <c r="C1921" s="2">
        <v>46104.349305555559</v>
      </c>
      <c r="D1921" t="s">
        <v>6024</v>
      </c>
      <c r="E1921" t="s">
        <v>6031</v>
      </c>
      <c r="F1921" t="s">
        <v>6034</v>
      </c>
      <c r="G1921" t="s">
        <v>6054</v>
      </c>
      <c r="H1921" t="s">
        <v>6096</v>
      </c>
      <c r="I1921">
        <v>24</v>
      </c>
      <c r="J1921">
        <v>19.2</v>
      </c>
      <c r="K1921" t="s">
        <v>6099</v>
      </c>
      <c r="L1921" t="s">
        <v>6100</v>
      </c>
      <c r="M1921" t="s">
        <v>6100</v>
      </c>
      <c r="O1921" t="s">
        <v>6101</v>
      </c>
      <c r="P1921" t="s">
        <v>6109</v>
      </c>
      <c r="Q1921">
        <v>3</v>
      </c>
      <c r="R1921">
        <v>2026</v>
      </c>
      <c r="S1921" t="s">
        <v>6099</v>
      </c>
      <c r="T1921">
        <v>1</v>
      </c>
      <c r="U1921" t="s">
        <v>6020</v>
      </c>
      <c r="V1921">
        <v>1</v>
      </c>
    </row>
    <row r="1922" spans="1:22" x14ac:dyDescent="0.3">
      <c r="A1922" t="s">
        <v>1937</v>
      </c>
      <c r="B1922" s="2">
        <v>46103.586111111108</v>
      </c>
      <c r="C1922" s="2">
        <v>46103.81527777778</v>
      </c>
      <c r="D1922" t="s">
        <v>6028</v>
      </c>
      <c r="E1922" t="s">
        <v>6029</v>
      </c>
      <c r="F1922" t="s">
        <v>6033</v>
      </c>
      <c r="G1922" t="s">
        <v>6052</v>
      </c>
      <c r="H1922" t="s">
        <v>6098</v>
      </c>
      <c r="I1922">
        <v>72</v>
      </c>
      <c r="J1922">
        <v>5.5</v>
      </c>
      <c r="K1922" t="s">
        <v>6099</v>
      </c>
      <c r="L1922" t="s">
        <v>6100</v>
      </c>
      <c r="M1922" t="s">
        <v>6100</v>
      </c>
      <c r="N1922">
        <v>5</v>
      </c>
      <c r="O1922" t="s">
        <v>6101</v>
      </c>
      <c r="P1922" t="s">
        <v>6109</v>
      </c>
      <c r="Q1922">
        <v>3</v>
      </c>
      <c r="R1922">
        <v>2026</v>
      </c>
      <c r="S1922" t="s">
        <v>6099</v>
      </c>
      <c r="T1922">
        <v>1</v>
      </c>
      <c r="U1922" t="s">
        <v>6019</v>
      </c>
      <c r="V1922">
        <v>1</v>
      </c>
    </row>
    <row r="1923" spans="1:22" x14ac:dyDescent="0.3">
      <c r="A1923" t="s">
        <v>1938</v>
      </c>
      <c r="B1923" s="2">
        <v>46103.600694444445</v>
      </c>
      <c r="C1923" s="2">
        <v>46104.009027777778</v>
      </c>
      <c r="D1923" t="s">
        <v>6023</v>
      </c>
      <c r="E1923" t="s">
        <v>6029</v>
      </c>
      <c r="F1923" t="s">
        <v>6034</v>
      </c>
      <c r="G1923" t="s">
        <v>6088</v>
      </c>
      <c r="H1923" t="s">
        <v>6097</v>
      </c>
      <c r="I1923">
        <v>24</v>
      </c>
      <c r="J1923">
        <v>9.8000000000000007</v>
      </c>
      <c r="K1923" t="s">
        <v>6099</v>
      </c>
      <c r="L1923" t="s">
        <v>6100</v>
      </c>
      <c r="M1923" t="s">
        <v>6100</v>
      </c>
      <c r="O1923" t="s">
        <v>6101</v>
      </c>
      <c r="P1923" t="s">
        <v>6109</v>
      </c>
      <c r="Q1923">
        <v>3</v>
      </c>
      <c r="R1923">
        <v>2026</v>
      </c>
      <c r="S1923" t="s">
        <v>6099</v>
      </c>
      <c r="T1923">
        <v>1</v>
      </c>
      <c r="U1923" t="s">
        <v>6019</v>
      </c>
      <c r="V1923">
        <v>1</v>
      </c>
    </row>
    <row r="1924" spans="1:22" x14ac:dyDescent="0.3">
      <c r="A1924" t="s">
        <v>1939</v>
      </c>
      <c r="B1924" s="2">
        <v>46103.632638888892</v>
      </c>
      <c r="C1924" s="2">
        <v>46104.815972222219</v>
      </c>
      <c r="D1924" t="s">
        <v>6025</v>
      </c>
      <c r="E1924" t="s">
        <v>6030</v>
      </c>
      <c r="F1924" t="s">
        <v>6034</v>
      </c>
      <c r="G1924" t="s">
        <v>6042</v>
      </c>
      <c r="H1924" t="s">
        <v>6098</v>
      </c>
      <c r="I1924">
        <v>24</v>
      </c>
      <c r="J1924">
        <v>28.4</v>
      </c>
      <c r="K1924" t="s">
        <v>6099</v>
      </c>
      <c r="L1924" t="s">
        <v>6100</v>
      </c>
      <c r="M1924" t="s">
        <v>6100</v>
      </c>
      <c r="N1924">
        <v>3</v>
      </c>
      <c r="O1924" t="s">
        <v>6101</v>
      </c>
      <c r="P1924" t="s">
        <v>6109</v>
      </c>
      <c r="Q1924">
        <v>3</v>
      </c>
      <c r="R1924">
        <v>2026</v>
      </c>
      <c r="S1924" t="s">
        <v>6100</v>
      </c>
      <c r="T1924">
        <v>0</v>
      </c>
      <c r="U1924" t="s">
        <v>6018</v>
      </c>
      <c r="V1924">
        <v>1</v>
      </c>
    </row>
    <row r="1925" spans="1:22" x14ac:dyDescent="0.3">
      <c r="A1925" t="s">
        <v>1940</v>
      </c>
      <c r="B1925" s="2">
        <v>46103.638888888891</v>
      </c>
      <c r="C1925" s="2">
        <v>46104.105555555558</v>
      </c>
      <c r="D1925" t="s">
        <v>6023</v>
      </c>
      <c r="E1925" t="s">
        <v>6032</v>
      </c>
      <c r="F1925" t="s">
        <v>6033</v>
      </c>
      <c r="G1925" t="s">
        <v>6044</v>
      </c>
      <c r="H1925" t="s">
        <v>6097</v>
      </c>
      <c r="I1925">
        <v>72</v>
      </c>
      <c r="J1925">
        <v>11.2</v>
      </c>
      <c r="K1925" t="s">
        <v>6100</v>
      </c>
      <c r="L1925" t="s">
        <v>6099</v>
      </c>
      <c r="M1925" t="s">
        <v>6100</v>
      </c>
      <c r="N1925">
        <v>2</v>
      </c>
      <c r="O1925" t="s">
        <v>6101</v>
      </c>
      <c r="P1925" t="s">
        <v>6109</v>
      </c>
      <c r="Q1925">
        <v>3</v>
      </c>
      <c r="R1925">
        <v>2026</v>
      </c>
      <c r="S1925" t="s">
        <v>6099</v>
      </c>
      <c r="T1925">
        <v>1</v>
      </c>
      <c r="U1925" t="s">
        <v>6018</v>
      </c>
      <c r="V1925">
        <v>0</v>
      </c>
    </row>
    <row r="1926" spans="1:22" x14ac:dyDescent="0.3">
      <c r="A1926" t="s">
        <v>1941</v>
      </c>
      <c r="B1926" s="2">
        <v>46103.670138888891</v>
      </c>
      <c r="C1926" s="2">
        <v>46104.374305555553</v>
      </c>
      <c r="D1926" t="s">
        <v>6027</v>
      </c>
      <c r="E1926" t="s">
        <v>6031</v>
      </c>
      <c r="F1926" t="s">
        <v>6034</v>
      </c>
      <c r="G1926" t="s">
        <v>6059</v>
      </c>
      <c r="H1926" t="s">
        <v>6097</v>
      </c>
      <c r="I1926">
        <v>24</v>
      </c>
      <c r="J1926">
        <v>16.899999999999999</v>
      </c>
      <c r="K1926" t="s">
        <v>6099</v>
      </c>
      <c r="L1926" t="s">
        <v>6100</v>
      </c>
      <c r="M1926" t="s">
        <v>6100</v>
      </c>
      <c r="O1926" t="s">
        <v>6101</v>
      </c>
      <c r="P1926" t="s">
        <v>6109</v>
      </c>
      <c r="Q1926">
        <v>3</v>
      </c>
      <c r="R1926">
        <v>2026</v>
      </c>
      <c r="S1926" t="s">
        <v>6099</v>
      </c>
      <c r="T1926">
        <v>1</v>
      </c>
      <c r="U1926" t="s">
        <v>6018</v>
      </c>
      <c r="V1926">
        <v>1</v>
      </c>
    </row>
    <row r="1927" spans="1:22" x14ac:dyDescent="0.3">
      <c r="A1927" t="s">
        <v>1942</v>
      </c>
      <c r="B1927" s="2">
        <v>46103.686111111114</v>
      </c>
      <c r="C1927" s="2">
        <v>46105.402777777781</v>
      </c>
      <c r="D1927" t="s">
        <v>6024</v>
      </c>
      <c r="E1927" t="s">
        <v>6032</v>
      </c>
      <c r="F1927" t="s">
        <v>6034</v>
      </c>
      <c r="G1927" t="s">
        <v>6064</v>
      </c>
      <c r="H1927" t="s">
        <v>6096</v>
      </c>
      <c r="I1927">
        <v>24</v>
      </c>
      <c r="J1927">
        <v>41.2</v>
      </c>
      <c r="K1927" t="s">
        <v>6100</v>
      </c>
      <c r="L1927" t="s">
        <v>6099</v>
      </c>
      <c r="M1927" t="s">
        <v>6100</v>
      </c>
      <c r="N1927">
        <v>3</v>
      </c>
      <c r="O1927" t="s">
        <v>6101</v>
      </c>
      <c r="P1927" t="s">
        <v>6109</v>
      </c>
      <c r="Q1927">
        <v>3</v>
      </c>
      <c r="R1927">
        <v>2026</v>
      </c>
      <c r="S1927" t="s">
        <v>6100</v>
      </c>
      <c r="T1927">
        <v>0</v>
      </c>
      <c r="U1927" t="s">
        <v>6019</v>
      </c>
      <c r="V1927">
        <v>0</v>
      </c>
    </row>
    <row r="1928" spans="1:22" x14ac:dyDescent="0.3">
      <c r="A1928" t="s">
        <v>1943</v>
      </c>
      <c r="B1928" s="2">
        <v>46103.765277777777</v>
      </c>
      <c r="C1928" s="2">
        <v>46103.906944444447</v>
      </c>
      <c r="D1928" t="s">
        <v>6023</v>
      </c>
      <c r="E1928" t="s">
        <v>6029</v>
      </c>
      <c r="F1928" t="s">
        <v>6034</v>
      </c>
      <c r="G1928" t="s">
        <v>6071</v>
      </c>
      <c r="H1928" t="s">
        <v>6098</v>
      </c>
      <c r="I1928">
        <v>24</v>
      </c>
      <c r="J1928">
        <v>3.4</v>
      </c>
      <c r="K1928" t="s">
        <v>6100</v>
      </c>
      <c r="L1928" t="s">
        <v>6100</v>
      </c>
      <c r="M1928" t="s">
        <v>6100</v>
      </c>
      <c r="N1928">
        <v>4</v>
      </c>
      <c r="O1928" t="s">
        <v>6101</v>
      </c>
      <c r="P1928" t="s">
        <v>6109</v>
      </c>
      <c r="Q1928">
        <v>3</v>
      </c>
      <c r="R1928">
        <v>2026</v>
      </c>
      <c r="S1928" t="s">
        <v>6099</v>
      </c>
      <c r="T1928">
        <v>1</v>
      </c>
      <c r="U1928" t="s">
        <v>6020</v>
      </c>
      <c r="V1928">
        <v>0</v>
      </c>
    </row>
    <row r="1929" spans="1:22" x14ac:dyDescent="0.3">
      <c r="A1929" t="s">
        <v>1944</v>
      </c>
      <c r="B1929" s="2">
        <v>46103.788888888892</v>
      </c>
      <c r="C1929" s="2">
        <v>46104.62222222222</v>
      </c>
      <c r="D1929" t="s">
        <v>6024</v>
      </c>
      <c r="E1929" t="s">
        <v>6030</v>
      </c>
      <c r="F1929" t="s">
        <v>6034</v>
      </c>
      <c r="G1929" t="s">
        <v>6061</v>
      </c>
      <c r="H1929" t="s">
        <v>6096</v>
      </c>
      <c r="I1929">
        <v>24</v>
      </c>
      <c r="J1929">
        <v>20</v>
      </c>
      <c r="K1929" t="s">
        <v>6100</v>
      </c>
      <c r="L1929" t="s">
        <v>6100</v>
      </c>
      <c r="M1929" t="s">
        <v>6100</v>
      </c>
      <c r="N1929">
        <v>5</v>
      </c>
      <c r="O1929" t="s">
        <v>6101</v>
      </c>
      <c r="P1929" t="s">
        <v>6109</v>
      </c>
      <c r="Q1929">
        <v>3</v>
      </c>
      <c r="R1929">
        <v>2026</v>
      </c>
      <c r="S1929" t="s">
        <v>6099</v>
      </c>
      <c r="T1929">
        <v>1</v>
      </c>
      <c r="U1929" t="s">
        <v>6018</v>
      </c>
      <c r="V1929">
        <v>0</v>
      </c>
    </row>
    <row r="1930" spans="1:22" x14ac:dyDescent="0.3">
      <c r="A1930" t="s">
        <v>1945</v>
      </c>
      <c r="B1930" s="2">
        <v>46103.810416666667</v>
      </c>
      <c r="C1930" s="2">
        <v>46104.13958333333</v>
      </c>
      <c r="D1930" t="s">
        <v>6023</v>
      </c>
      <c r="E1930" t="s">
        <v>6029</v>
      </c>
      <c r="F1930" t="s">
        <v>6034</v>
      </c>
      <c r="G1930" t="s">
        <v>6062</v>
      </c>
      <c r="H1930" t="s">
        <v>6096</v>
      </c>
      <c r="I1930">
        <v>24</v>
      </c>
      <c r="J1930">
        <v>7.9</v>
      </c>
      <c r="K1930" t="s">
        <v>6100</v>
      </c>
      <c r="L1930" t="s">
        <v>6099</v>
      </c>
      <c r="M1930" t="s">
        <v>6100</v>
      </c>
      <c r="N1930">
        <v>2</v>
      </c>
      <c r="O1930" t="s">
        <v>6101</v>
      </c>
      <c r="P1930" t="s">
        <v>6109</v>
      </c>
      <c r="Q1930">
        <v>3</v>
      </c>
      <c r="R1930">
        <v>2026</v>
      </c>
      <c r="S1930" t="s">
        <v>6099</v>
      </c>
      <c r="T1930">
        <v>1</v>
      </c>
      <c r="U1930" t="s">
        <v>6019</v>
      </c>
      <c r="V1930">
        <v>0</v>
      </c>
    </row>
    <row r="1931" spans="1:22" x14ac:dyDescent="0.3">
      <c r="A1931" t="s">
        <v>1946</v>
      </c>
      <c r="B1931" s="2">
        <v>46103.841666666667</v>
      </c>
      <c r="C1931" s="2">
        <v>46111.270833333336</v>
      </c>
      <c r="D1931" t="s">
        <v>6026</v>
      </c>
      <c r="E1931" t="s">
        <v>6031</v>
      </c>
      <c r="F1931" t="s">
        <v>6035</v>
      </c>
      <c r="G1931" t="s">
        <v>6083</v>
      </c>
      <c r="H1931" t="s">
        <v>6096</v>
      </c>
      <c r="I1931">
        <v>4</v>
      </c>
      <c r="J1931">
        <v>178.3</v>
      </c>
      <c r="K1931" t="s">
        <v>6100</v>
      </c>
      <c r="L1931" t="s">
        <v>6100</v>
      </c>
      <c r="M1931" t="s">
        <v>6100</v>
      </c>
      <c r="N1931">
        <v>3</v>
      </c>
      <c r="O1931" t="s">
        <v>6101</v>
      </c>
      <c r="P1931" t="s">
        <v>6109</v>
      </c>
      <c r="Q1931">
        <v>3</v>
      </c>
      <c r="R1931">
        <v>2026</v>
      </c>
      <c r="S1931" t="s">
        <v>6100</v>
      </c>
      <c r="T1931">
        <v>0</v>
      </c>
      <c r="U1931" t="s">
        <v>6017</v>
      </c>
      <c r="V1931">
        <v>0</v>
      </c>
    </row>
    <row r="1932" spans="1:22" x14ac:dyDescent="0.3">
      <c r="A1932" t="s">
        <v>1947</v>
      </c>
      <c r="B1932" s="2">
        <v>46103.979166666664</v>
      </c>
      <c r="C1932" s="2">
        <v>46104.512499999997</v>
      </c>
      <c r="D1932" t="s">
        <v>6022</v>
      </c>
      <c r="E1932" t="s">
        <v>6029</v>
      </c>
      <c r="F1932" t="s">
        <v>6033</v>
      </c>
      <c r="G1932" t="s">
        <v>6091</v>
      </c>
      <c r="H1932" t="s">
        <v>6097</v>
      </c>
      <c r="I1932">
        <v>72</v>
      </c>
      <c r="J1932">
        <v>12.8</v>
      </c>
      <c r="K1932" t="s">
        <v>6099</v>
      </c>
      <c r="L1932" t="s">
        <v>6100</v>
      </c>
      <c r="M1932" t="s">
        <v>6099</v>
      </c>
      <c r="N1932">
        <v>4</v>
      </c>
      <c r="O1932" t="s">
        <v>6101</v>
      </c>
      <c r="P1932" t="s">
        <v>6109</v>
      </c>
      <c r="Q1932">
        <v>3</v>
      </c>
      <c r="R1932">
        <v>2026</v>
      </c>
      <c r="S1932" t="s">
        <v>6099</v>
      </c>
      <c r="T1932">
        <v>1</v>
      </c>
      <c r="U1932" t="s">
        <v>6017</v>
      </c>
      <c r="V1932">
        <v>1</v>
      </c>
    </row>
    <row r="1933" spans="1:22" x14ac:dyDescent="0.3">
      <c r="A1933" t="s">
        <v>1948</v>
      </c>
      <c r="B1933" s="2">
        <v>46104.2</v>
      </c>
      <c r="C1933" s="2">
        <v>46104.387499999997</v>
      </c>
      <c r="D1933" t="s">
        <v>6022</v>
      </c>
      <c r="E1933" t="s">
        <v>6030</v>
      </c>
      <c r="F1933" t="s">
        <v>6034</v>
      </c>
      <c r="G1933" t="s">
        <v>6036</v>
      </c>
      <c r="H1933" t="s">
        <v>6096</v>
      </c>
      <c r="I1933">
        <v>24</v>
      </c>
      <c r="J1933">
        <v>4.5</v>
      </c>
      <c r="K1933" t="s">
        <v>6099</v>
      </c>
      <c r="L1933" t="s">
        <v>6100</v>
      </c>
      <c r="M1933" t="s">
        <v>6100</v>
      </c>
      <c r="O1933" t="s">
        <v>6101</v>
      </c>
      <c r="P1933" t="s">
        <v>6109</v>
      </c>
      <c r="Q1933">
        <v>3</v>
      </c>
      <c r="R1933">
        <v>2026</v>
      </c>
      <c r="S1933" t="s">
        <v>6099</v>
      </c>
      <c r="T1933">
        <v>1</v>
      </c>
      <c r="U1933" t="s">
        <v>6020</v>
      </c>
      <c r="V1933">
        <v>1</v>
      </c>
    </row>
    <row r="1934" spans="1:22" x14ac:dyDescent="0.3">
      <c r="A1934" t="s">
        <v>1949</v>
      </c>
      <c r="B1934" s="2">
        <v>46104.222916666666</v>
      </c>
      <c r="C1934" s="2">
        <v>46106.502083333333</v>
      </c>
      <c r="D1934" t="s">
        <v>6026</v>
      </c>
      <c r="E1934" t="s">
        <v>6032</v>
      </c>
      <c r="F1934" t="s">
        <v>6033</v>
      </c>
      <c r="G1934" t="s">
        <v>6080</v>
      </c>
      <c r="H1934" t="s">
        <v>6096</v>
      </c>
      <c r="I1934">
        <v>72</v>
      </c>
      <c r="J1934">
        <v>54.7</v>
      </c>
      <c r="K1934" t="s">
        <v>6100</v>
      </c>
      <c r="L1934" t="s">
        <v>6100</v>
      </c>
      <c r="M1934" t="s">
        <v>6100</v>
      </c>
      <c r="O1934" t="s">
        <v>6101</v>
      </c>
      <c r="P1934" t="s">
        <v>6109</v>
      </c>
      <c r="Q1934">
        <v>3</v>
      </c>
      <c r="R1934">
        <v>2026</v>
      </c>
      <c r="S1934" t="s">
        <v>6099</v>
      </c>
      <c r="T1934">
        <v>1</v>
      </c>
      <c r="U1934" t="s">
        <v>6021</v>
      </c>
      <c r="V1934">
        <v>0</v>
      </c>
    </row>
    <row r="1935" spans="1:22" x14ac:dyDescent="0.3">
      <c r="A1935" t="s">
        <v>1950</v>
      </c>
      <c r="B1935" s="2">
        <v>46104.26458333333</v>
      </c>
      <c r="C1935" s="2">
        <v>46107.36041666667</v>
      </c>
      <c r="D1935" t="s">
        <v>6026</v>
      </c>
      <c r="E1935" t="s">
        <v>6031</v>
      </c>
      <c r="F1935" t="s">
        <v>6033</v>
      </c>
      <c r="G1935" t="s">
        <v>6053</v>
      </c>
      <c r="H1935" t="s">
        <v>6097</v>
      </c>
      <c r="I1935">
        <v>72</v>
      </c>
      <c r="J1935">
        <v>74.3</v>
      </c>
      <c r="K1935" t="s">
        <v>6099</v>
      </c>
      <c r="L1935" t="s">
        <v>6100</v>
      </c>
      <c r="M1935" t="s">
        <v>6100</v>
      </c>
      <c r="O1935" t="s">
        <v>6101</v>
      </c>
      <c r="P1935" t="s">
        <v>6109</v>
      </c>
      <c r="Q1935">
        <v>3</v>
      </c>
      <c r="R1935">
        <v>2026</v>
      </c>
      <c r="S1935" t="s">
        <v>6100</v>
      </c>
      <c r="T1935">
        <v>0</v>
      </c>
      <c r="U1935" t="s">
        <v>6020</v>
      </c>
      <c r="V1935">
        <v>1</v>
      </c>
    </row>
    <row r="1936" spans="1:22" x14ac:dyDescent="0.3">
      <c r="A1936" t="s">
        <v>1951</v>
      </c>
      <c r="B1936" s="2">
        <v>46104.316666666666</v>
      </c>
      <c r="C1936" s="2">
        <v>46104.395833333336</v>
      </c>
      <c r="D1936" t="s">
        <v>6027</v>
      </c>
      <c r="E1936" t="s">
        <v>6029</v>
      </c>
      <c r="F1936" t="s">
        <v>6035</v>
      </c>
      <c r="G1936" t="s">
        <v>6049</v>
      </c>
      <c r="H1936" t="s">
        <v>6097</v>
      </c>
      <c r="I1936">
        <v>4</v>
      </c>
      <c r="J1936">
        <v>1.9</v>
      </c>
      <c r="K1936" t="s">
        <v>6099</v>
      </c>
      <c r="L1936" t="s">
        <v>6100</v>
      </c>
      <c r="M1936" t="s">
        <v>6100</v>
      </c>
      <c r="O1936" t="s">
        <v>6101</v>
      </c>
      <c r="P1936" t="s">
        <v>6109</v>
      </c>
      <c r="Q1936">
        <v>3</v>
      </c>
      <c r="R1936">
        <v>2026</v>
      </c>
      <c r="S1936" t="s">
        <v>6099</v>
      </c>
      <c r="T1936">
        <v>1</v>
      </c>
      <c r="U1936" t="s">
        <v>6020</v>
      </c>
      <c r="V1936">
        <v>1</v>
      </c>
    </row>
    <row r="1937" spans="1:22" x14ac:dyDescent="0.3">
      <c r="A1937" t="s">
        <v>1952</v>
      </c>
      <c r="B1937" s="2">
        <v>46104.342361111114</v>
      </c>
      <c r="C1937" s="2">
        <v>46104.638194444444</v>
      </c>
      <c r="D1937" t="s">
        <v>6026</v>
      </c>
      <c r="E1937" t="s">
        <v>6030</v>
      </c>
      <c r="F1937" t="s">
        <v>6033</v>
      </c>
      <c r="G1937" t="s">
        <v>6078</v>
      </c>
      <c r="H1937" t="s">
        <v>6097</v>
      </c>
      <c r="I1937">
        <v>72</v>
      </c>
      <c r="J1937">
        <v>7.1</v>
      </c>
      <c r="K1937" t="s">
        <v>6099</v>
      </c>
      <c r="L1937" t="s">
        <v>6100</v>
      </c>
      <c r="M1937" t="s">
        <v>6100</v>
      </c>
      <c r="N1937">
        <v>5</v>
      </c>
      <c r="O1937" t="s">
        <v>6101</v>
      </c>
      <c r="P1937" t="s">
        <v>6109</v>
      </c>
      <c r="Q1937">
        <v>3</v>
      </c>
      <c r="R1937">
        <v>2026</v>
      </c>
      <c r="S1937" t="s">
        <v>6099</v>
      </c>
      <c r="T1937">
        <v>1</v>
      </c>
      <c r="U1937" t="s">
        <v>6017</v>
      </c>
      <c r="V1937">
        <v>1</v>
      </c>
    </row>
    <row r="1938" spans="1:22" x14ac:dyDescent="0.3">
      <c r="A1938" t="s">
        <v>1953</v>
      </c>
      <c r="B1938" s="2">
        <v>46104.368750000001</v>
      </c>
      <c r="C1938" s="2">
        <v>46104.618750000001</v>
      </c>
      <c r="D1938" t="s">
        <v>6027</v>
      </c>
      <c r="E1938" t="s">
        <v>6030</v>
      </c>
      <c r="F1938" t="s">
        <v>6033</v>
      </c>
      <c r="G1938" t="s">
        <v>6081</v>
      </c>
      <c r="H1938" t="s">
        <v>6098</v>
      </c>
      <c r="I1938">
        <v>72</v>
      </c>
      <c r="J1938">
        <v>6</v>
      </c>
      <c r="K1938" t="s">
        <v>6099</v>
      </c>
      <c r="L1938" t="s">
        <v>6100</v>
      </c>
      <c r="M1938" t="s">
        <v>6100</v>
      </c>
      <c r="N1938">
        <v>4</v>
      </c>
      <c r="O1938" t="s">
        <v>6101</v>
      </c>
      <c r="P1938" t="s">
        <v>6109</v>
      </c>
      <c r="Q1938">
        <v>3</v>
      </c>
      <c r="R1938">
        <v>2026</v>
      </c>
      <c r="S1938" t="s">
        <v>6099</v>
      </c>
      <c r="T1938">
        <v>1</v>
      </c>
      <c r="U1938" t="s">
        <v>6018</v>
      </c>
      <c r="V1938">
        <v>1</v>
      </c>
    </row>
    <row r="1939" spans="1:22" x14ac:dyDescent="0.3">
      <c r="A1939" t="s">
        <v>1954</v>
      </c>
      <c r="B1939" s="2">
        <v>46104.371527777781</v>
      </c>
      <c r="C1939" s="2">
        <v>46105.334027777775</v>
      </c>
      <c r="D1939" t="s">
        <v>6028</v>
      </c>
      <c r="E1939" t="s">
        <v>6029</v>
      </c>
      <c r="F1939" t="s">
        <v>6035</v>
      </c>
      <c r="G1939" t="s">
        <v>6044</v>
      </c>
      <c r="H1939" t="s">
        <v>6097</v>
      </c>
      <c r="I1939">
        <v>4</v>
      </c>
      <c r="J1939">
        <v>23.1</v>
      </c>
      <c r="K1939" t="s">
        <v>6100</v>
      </c>
      <c r="L1939" t="s">
        <v>6099</v>
      </c>
      <c r="M1939" t="s">
        <v>6100</v>
      </c>
      <c r="N1939">
        <v>3</v>
      </c>
      <c r="O1939" t="s">
        <v>6101</v>
      </c>
      <c r="P1939" t="s">
        <v>6109</v>
      </c>
      <c r="Q1939">
        <v>3</v>
      </c>
      <c r="R1939">
        <v>2026</v>
      </c>
      <c r="S1939" t="s">
        <v>6100</v>
      </c>
      <c r="T1939">
        <v>0</v>
      </c>
      <c r="U1939" t="s">
        <v>6019</v>
      </c>
      <c r="V1939">
        <v>0</v>
      </c>
    </row>
    <row r="1940" spans="1:22" x14ac:dyDescent="0.3">
      <c r="A1940" t="s">
        <v>1955</v>
      </c>
      <c r="B1940" s="2">
        <v>46104.371527777781</v>
      </c>
      <c r="C1940" s="2">
        <v>46104.638194444444</v>
      </c>
      <c r="D1940" t="s">
        <v>6022</v>
      </c>
      <c r="E1940" t="s">
        <v>6029</v>
      </c>
      <c r="F1940" t="s">
        <v>6035</v>
      </c>
      <c r="G1940" t="s">
        <v>6043</v>
      </c>
      <c r="H1940" t="s">
        <v>6097</v>
      </c>
      <c r="I1940">
        <v>4</v>
      </c>
      <c r="J1940">
        <v>6.4</v>
      </c>
      <c r="K1940" t="s">
        <v>6099</v>
      </c>
      <c r="L1940" t="s">
        <v>6100</v>
      </c>
      <c r="M1940" t="s">
        <v>6100</v>
      </c>
      <c r="N1940">
        <v>5</v>
      </c>
      <c r="O1940" t="s">
        <v>6101</v>
      </c>
      <c r="P1940" t="s">
        <v>6109</v>
      </c>
      <c r="Q1940">
        <v>3</v>
      </c>
      <c r="R1940">
        <v>2026</v>
      </c>
      <c r="S1940" t="s">
        <v>6100</v>
      </c>
      <c r="T1940">
        <v>0</v>
      </c>
      <c r="U1940" t="s">
        <v>6018</v>
      </c>
      <c r="V1940">
        <v>1</v>
      </c>
    </row>
    <row r="1941" spans="1:22" x14ac:dyDescent="0.3">
      <c r="A1941" t="s">
        <v>1956</v>
      </c>
      <c r="B1941" s="2">
        <v>46104.390277777777</v>
      </c>
      <c r="C1941" s="2">
        <v>46104.981944444444</v>
      </c>
      <c r="D1941" t="s">
        <v>6027</v>
      </c>
      <c r="E1941" t="s">
        <v>6029</v>
      </c>
      <c r="F1941" t="s">
        <v>6034</v>
      </c>
      <c r="G1941" t="s">
        <v>6089</v>
      </c>
      <c r="H1941" t="s">
        <v>6098</v>
      </c>
      <c r="I1941">
        <v>24</v>
      </c>
      <c r="J1941">
        <v>14.2</v>
      </c>
      <c r="K1941" t="s">
        <v>6100</v>
      </c>
      <c r="L1941" t="s">
        <v>6100</v>
      </c>
      <c r="M1941" t="s">
        <v>6100</v>
      </c>
      <c r="N1941">
        <v>4</v>
      </c>
      <c r="O1941" t="s">
        <v>6101</v>
      </c>
      <c r="P1941" t="s">
        <v>6109</v>
      </c>
      <c r="Q1941">
        <v>3</v>
      </c>
      <c r="R1941">
        <v>2026</v>
      </c>
      <c r="S1941" t="s">
        <v>6099</v>
      </c>
      <c r="T1941">
        <v>1</v>
      </c>
      <c r="U1941" t="s">
        <v>6019</v>
      </c>
      <c r="V1941">
        <v>0</v>
      </c>
    </row>
    <row r="1942" spans="1:22" x14ac:dyDescent="0.3">
      <c r="A1942" t="s">
        <v>1957</v>
      </c>
      <c r="B1942" s="2">
        <v>46104.405555555553</v>
      </c>
      <c r="C1942" s="2">
        <v>46105.188888888886</v>
      </c>
      <c r="D1942" t="s">
        <v>6025</v>
      </c>
      <c r="E1942" t="s">
        <v>6031</v>
      </c>
      <c r="F1942" t="s">
        <v>6035</v>
      </c>
      <c r="G1942" t="s">
        <v>6065</v>
      </c>
      <c r="H1942" t="s">
        <v>6097</v>
      </c>
      <c r="I1942">
        <v>4</v>
      </c>
      <c r="J1942">
        <v>18.8</v>
      </c>
      <c r="K1942" t="s">
        <v>6100</v>
      </c>
      <c r="L1942" t="s">
        <v>6099</v>
      </c>
      <c r="M1942" t="s">
        <v>6100</v>
      </c>
      <c r="N1942">
        <v>3</v>
      </c>
      <c r="O1942" t="s">
        <v>6101</v>
      </c>
      <c r="P1942" t="s">
        <v>6109</v>
      </c>
      <c r="Q1942">
        <v>3</v>
      </c>
      <c r="R1942">
        <v>2026</v>
      </c>
      <c r="S1942" t="s">
        <v>6100</v>
      </c>
      <c r="T1942">
        <v>0</v>
      </c>
      <c r="U1942" t="s">
        <v>6018</v>
      </c>
      <c r="V1942">
        <v>0</v>
      </c>
    </row>
    <row r="1943" spans="1:22" x14ac:dyDescent="0.3">
      <c r="A1943" t="s">
        <v>1958</v>
      </c>
      <c r="B1943" s="2">
        <v>46104.429861111108</v>
      </c>
      <c r="C1943" s="2">
        <v>46104.692361111112</v>
      </c>
      <c r="D1943" t="s">
        <v>6023</v>
      </c>
      <c r="E1943" t="s">
        <v>6029</v>
      </c>
      <c r="F1943" t="s">
        <v>6035</v>
      </c>
      <c r="G1943" t="s">
        <v>6067</v>
      </c>
      <c r="H1943" t="s">
        <v>6098</v>
      </c>
      <c r="I1943">
        <v>4</v>
      </c>
      <c r="J1943">
        <v>6.3</v>
      </c>
      <c r="K1943" t="s">
        <v>6099</v>
      </c>
      <c r="L1943" t="s">
        <v>6100</v>
      </c>
      <c r="M1943" t="s">
        <v>6099</v>
      </c>
      <c r="N1943">
        <v>4</v>
      </c>
      <c r="O1943" t="s">
        <v>6101</v>
      </c>
      <c r="P1943" t="s">
        <v>6109</v>
      </c>
      <c r="Q1943">
        <v>3</v>
      </c>
      <c r="R1943">
        <v>2026</v>
      </c>
      <c r="S1943" t="s">
        <v>6100</v>
      </c>
      <c r="T1943">
        <v>0</v>
      </c>
      <c r="U1943" t="s">
        <v>6020</v>
      </c>
      <c r="V1943">
        <v>1</v>
      </c>
    </row>
    <row r="1944" spans="1:22" x14ac:dyDescent="0.3">
      <c r="A1944" t="s">
        <v>1959</v>
      </c>
      <c r="B1944" s="2">
        <v>46104.447916666664</v>
      </c>
      <c r="C1944" s="2">
        <v>46105.756249999999</v>
      </c>
      <c r="D1944" t="s">
        <v>6022</v>
      </c>
      <c r="E1944" t="s">
        <v>6029</v>
      </c>
      <c r="F1944" t="s">
        <v>6033</v>
      </c>
      <c r="G1944" t="s">
        <v>6046</v>
      </c>
      <c r="H1944" t="s">
        <v>6098</v>
      </c>
      <c r="I1944">
        <v>72</v>
      </c>
      <c r="J1944">
        <v>31.4</v>
      </c>
      <c r="K1944" t="s">
        <v>6100</v>
      </c>
      <c r="L1944" t="s">
        <v>6099</v>
      </c>
      <c r="M1944" t="s">
        <v>6100</v>
      </c>
      <c r="N1944">
        <v>4</v>
      </c>
      <c r="O1944" t="s">
        <v>6101</v>
      </c>
      <c r="P1944" t="s">
        <v>6109</v>
      </c>
      <c r="Q1944">
        <v>3</v>
      </c>
      <c r="R1944">
        <v>2026</v>
      </c>
      <c r="S1944" t="s">
        <v>6099</v>
      </c>
      <c r="T1944">
        <v>1</v>
      </c>
      <c r="U1944" t="s">
        <v>6020</v>
      </c>
      <c r="V1944">
        <v>0</v>
      </c>
    </row>
    <row r="1945" spans="1:22" x14ac:dyDescent="0.3">
      <c r="A1945" t="s">
        <v>1960</v>
      </c>
      <c r="B1945" s="2">
        <v>46104.481249999997</v>
      </c>
      <c r="C1945" s="2">
        <v>46107.231249999997</v>
      </c>
      <c r="D1945" t="s">
        <v>6026</v>
      </c>
      <c r="E1945" t="s">
        <v>6031</v>
      </c>
      <c r="F1945" t="s">
        <v>6033</v>
      </c>
      <c r="G1945" t="s">
        <v>6060</v>
      </c>
      <c r="H1945" t="s">
        <v>6097</v>
      </c>
      <c r="I1945">
        <v>72</v>
      </c>
      <c r="J1945">
        <v>66</v>
      </c>
      <c r="K1945" t="s">
        <v>6099</v>
      </c>
      <c r="L1945" t="s">
        <v>6100</v>
      </c>
      <c r="M1945" t="s">
        <v>6100</v>
      </c>
      <c r="N1945">
        <v>5</v>
      </c>
      <c r="O1945" t="s">
        <v>6101</v>
      </c>
      <c r="P1945" t="s">
        <v>6109</v>
      </c>
      <c r="Q1945">
        <v>3</v>
      </c>
      <c r="R1945">
        <v>2026</v>
      </c>
      <c r="S1945" t="s">
        <v>6099</v>
      </c>
      <c r="T1945">
        <v>1</v>
      </c>
      <c r="U1945" t="s">
        <v>6018</v>
      </c>
      <c r="V1945">
        <v>1</v>
      </c>
    </row>
    <row r="1946" spans="1:22" x14ac:dyDescent="0.3">
      <c r="A1946" t="s">
        <v>1961</v>
      </c>
      <c r="B1946" s="2">
        <v>46104.496527777781</v>
      </c>
      <c r="C1946" s="2">
        <v>46104.621527777781</v>
      </c>
      <c r="D1946" t="s">
        <v>6023</v>
      </c>
      <c r="E1946" t="s">
        <v>6030</v>
      </c>
      <c r="F1946" t="s">
        <v>6034</v>
      </c>
      <c r="G1946" t="s">
        <v>6075</v>
      </c>
      <c r="H1946" t="s">
        <v>6097</v>
      </c>
      <c r="I1946">
        <v>24</v>
      </c>
      <c r="J1946">
        <v>3</v>
      </c>
      <c r="K1946" t="s">
        <v>6100</v>
      </c>
      <c r="L1946" t="s">
        <v>6100</v>
      </c>
      <c r="M1946" t="s">
        <v>6100</v>
      </c>
      <c r="N1946">
        <v>4</v>
      </c>
      <c r="O1946" t="s">
        <v>6101</v>
      </c>
      <c r="P1946" t="s">
        <v>6109</v>
      </c>
      <c r="Q1946">
        <v>3</v>
      </c>
      <c r="R1946">
        <v>2026</v>
      </c>
      <c r="S1946" t="s">
        <v>6099</v>
      </c>
      <c r="T1946">
        <v>1</v>
      </c>
      <c r="U1946" t="s">
        <v>6018</v>
      </c>
      <c r="V1946">
        <v>0</v>
      </c>
    </row>
    <row r="1947" spans="1:22" x14ac:dyDescent="0.3">
      <c r="A1947" t="s">
        <v>1962</v>
      </c>
      <c r="B1947" s="2">
        <v>46104.499305555553</v>
      </c>
      <c r="C1947" s="2">
        <v>46104.686805555553</v>
      </c>
      <c r="D1947" t="s">
        <v>6022</v>
      </c>
      <c r="E1947" t="s">
        <v>6030</v>
      </c>
      <c r="F1947" t="s">
        <v>6033</v>
      </c>
      <c r="G1947" t="s">
        <v>6059</v>
      </c>
      <c r="H1947" t="s">
        <v>6097</v>
      </c>
      <c r="I1947">
        <v>72</v>
      </c>
      <c r="J1947">
        <v>4.5</v>
      </c>
      <c r="K1947" t="s">
        <v>6099</v>
      </c>
      <c r="L1947" t="s">
        <v>6100</v>
      </c>
      <c r="M1947" t="s">
        <v>6100</v>
      </c>
      <c r="N1947">
        <v>5</v>
      </c>
      <c r="O1947" t="s">
        <v>6101</v>
      </c>
      <c r="P1947" t="s">
        <v>6109</v>
      </c>
      <c r="Q1947">
        <v>3</v>
      </c>
      <c r="R1947">
        <v>2026</v>
      </c>
      <c r="S1947" t="s">
        <v>6099</v>
      </c>
      <c r="T1947">
        <v>1</v>
      </c>
      <c r="U1947" t="s">
        <v>6018</v>
      </c>
      <c r="V1947">
        <v>1</v>
      </c>
    </row>
    <row r="1948" spans="1:22" x14ac:dyDescent="0.3">
      <c r="A1948" t="s">
        <v>1963</v>
      </c>
      <c r="B1948" s="2">
        <v>46104.5</v>
      </c>
      <c r="C1948" s="2">
        <v>46105.412499999999</v>
      </c>
      <c r="D1948" t="s">
        <v>6028</v>
      </c>
      <c r="E1948" t="s">
        <v>6029</v>
      </c>
      <c r="F1948" t="s">
        <v>6034</v>
      </c>
      <c r="G1948" t="s">
        <v>6073</v>
      </c>
      <c r="H1948" t="s">
        <v>6096</v>
      </c>
      <c r="I1948">
        <v>24</v>
      </c>
      <c r="J1948">
        <v>21.9</v>
      </c>
      <c r="K1948" t="s">
        <v>6099</v>
      </c>
      <c r="L1948" t="s">
        <v>6100</v>
      </c>
      <c r="M1948" t="s">
        <v>6100</v>
      </c>
      <c r="O1948" t="s">
        <v>6101</v>
      </c>
      <c r="P1948" t="s">
        <v>6109</v>
      </c>
      <c r="Q1948">
        <v>3</v>
      </c>
      <c r="R1948">
        <v>2026</v>
      </c>
      <c r="S1948" t="s">
        <v>6099</v>
      </c>
      <c r="T1948">
        <v>1</v>
      </c>
      <c r="U1948" t="s">
        <v>6017</v>
      </c>
      <c r="V1948">
        <v>1</v>
      </c>
    </row>
    <row r="1949" spans="1:22" x14ac:dyDescent="0.3">
      <c r="A1949" t="s">
        <v>1964</v>
      </c>
      <c r="B1949" s="2">
        <v>46104.576388888891</v>
      </c>
      <c r="C1949" s="2">
        <v>46104.647222222222</v>
      </c>
      <c r="D1949" t="s">
        <v>6023</v>
      </c>
      <c r="E1949" t="s">
        <v>6030</v>
      </c>
      <c r="F1949" t="s">
        <v>6034</v>
      </c>
      <c r="G1949" t="s">
        <v>6080</v>
      </c>
      <c r="H1949" t="s">
        <v>6096</v>
      </c>
      <c r="I1949">
        <v>24</v>
      </c>
      <c r="J1949">
        <v>1.7</v>
      </c>
      <c r="K1949" t="s">
        <v>6099</v>
      </c>
      <c r="L1949" t="s">
        <v>6100</v>
      </c>
      <c r="M1949" t="s">
        <v>6100</v>
      </c>
      <c r="N1949">
        <v>4</v>
      </c>
      <c r="O1949" t="s">
        <v>6101</v>
      </c>
      <c r="P1949" t="s">
        <v>6109</v>
      </c>
      <c r="Q1949">
        <v>3</v>
      </c>
      <c r="R1949">
        <v>2026</v>
      </c>
      <c r="S1949" t="s">
        <v>6099</v>
      </c>
      <c r="T1949">
        <v>1</v>
      </c>
      <c r="U1949" t="s">
        <v>6018</v>
      </c>
      <c r="V1949">
        <v>1</v>
      </c>
    </row>
    <row r="1950" spans="1:22" x14ac:dyDescent="0.3">
      <c r="A1950" t="s">
        <v>1965</v>
      </c>
      <c r="B1950" s="2">
        <v>46104.586805555555</v>
      </c>
      <c r="C1950" s="2">
        <v>46105.395138888889</v>
      </c>
      <c r="D1950" t="s">
        <v>6028</v>
      </c>
      <c r="E1950" t="s">
        <v>6030</v>
      </c>
      <c r="F1950" t="s">
        <v>6035</v>
      </c>
      <c r="G1950" t="s">
        <v>6077</v>
      </c>
      <c r="H1950" t="s">
        <v>6098</v>
      </c>
      <c r="I1950">
        <v>4</v>
      </c>
      <c r="J1950">
        <v>19.399999999999999</v>
      </c>
      <c r="K1950" t="s">
        <v>6100</v>
      </c>
      <c r="L1950" t="s">
        <v>6099</v>
      </c>
      <c r="M1950" t="s">
        <v>6100</v>
      </c>
      <c r="N1950">
        <v>4</v>
      </c>
      <c r="O1950" t="s">
        <v>6101</v>
      </c>
      <c r="P1950" t="s">
        <v>6109</v>
      </c>
      <c r="Q1950">
        <v>3</v>
      </c>
      <c r="R1950">
        <v>2026</v>
      </c>
      <c r="S1950" t="s">
        <v>6100</v>
      </c>
      <c r="T1950">
        <v>0</v>
      </c>
      <c r="U1950" t="s">
        <v>6018</v>
      </c>
      <c r="V1950">
        <v>0</v>
      </c>
    </row>
    <row r="1951" spans="1:22" x14ac:dyDescent="0.3">
      <c r="A1951" t="s">
        <v>1966</v>
      </c>
      <c r="B1951" s="2">
        <v>46104.61041666667</v>
      </c>
      <c r="C1951" s="2">
        <v>46115.67291666667</v>
      </c>
      <c r="D1951" t="s">
        <v>6026</v>
      </c>
      <c r="E1951" t="s">
        <v>6031</v>
      </c>
      <c r="F1951" t="s">
        <v>6034</v>
      </c>
      <c r="G1951" t="s">
        <v>6056</v>
      </c>
      <c r="H1951" t="s">
        <v>6098</v>
      </c>
      <c r="I1951">
        <v>24</v>
      </c>
      <c r="J1951">
        <v>265.5</v>
      </c>
      <c r="K1951" t="s">
        <v>6099</v>
      </c>
      <c r="L1951" t="s">
        <v>6100</v>
      </c>
      <c r="M1951" t="s">
        <v>6100</v>
      </c>
      <c r="N1951">
        <v>5</v>
      </c>
      <c r="O1951" t="s">
        <v>6101</v>
      </c>
      <c r="P1951" t="s">
        <v>6109</v>
      </c>
      <c r="Q1951">
        <v>3</v>
      </c>
      <c r="R1951">
        <v>2026</v>
      </c>
      <c r="S1951" t="s">
        <v>6100</v>
      </c>
      <c r="T1951">
        <v>0</v>
      </c>
      <c r="U1951" t="s">
        <v>6021</v>
      </c>
      <c r="V1951">
        <v>1</v>
      </c>
    </row>
    <row r="1952" spans="1:22" x14ac:dyDescent="0.3">
      <c r="A1952" t="s">
        <v>1967</v>
      </c>
      <c r="B1952" s="2">
        <v>46104.61041666667</v>
      </c>
      <c r="C1952" s="2">
        <v>46105.060416666667</v>
      </c>
      <c r="D1952" t="s">
        <v>6022</v>
      </c>
      <c r="E1952" t="s">
        <v>6032</v>
      </c>
      <c r="F1952" t="s">
        <v>6034</v>
      </c>
      <c r="G1952" t="s">
        <v>6053</v>
      </c>
      <c r="H1952" t="s">
        <v>6097</v>
      </c>
      <c r="I1952">
        <v>24</v>
      </c>
      <c r="J1952">
        <v>10.8</v>
      </c>
      <c r="K1952" t="s">
        <v>6099</v>
      </c>
      <c r="L1952" t="s">
        <v>6100</v>
      </c>
      <c r="M1952" t="s">
        <v>6100</v>
      </c>
      <c r="N1952">
        <v>5</v>
      </c>
      <c r="O1952" t="s">
        <v>6101</v>
      </c>
      <c r="P1952" t="s">
        <v>6109</v>
      </c>
      <c r="Q1952">
        <v>3</v>
      </c>
      <c r="R1952">
        <v>2026</v>
      </c>
      <c r="S1952" t="s">
        <v>6099</v>
      </c>
      <c r="T1952">
        <v>1</v>
      </c>
      <c r="U1952" t="s">
        <v>6018</v>
      </c>
      <c r="V1952">
        <v>1</v>
      </c>
    </row>
    <row r="1953" spans="1:22" x14ac:dyDescent="0.3">
      <c r="A1953" t="s">
        <v>1968</v>
      </c>
      <c r="B1953" s="2">
        <v>46104.618750000001</v>
      </c>
      <c r="C1953" s="2">
        <v>46107.977083333331</v>
      </c>
      <c r="D1953" t="s">
        <v>6026</v>
      </c>
      <c r="E1953" t="s">
        <v>6031</v>
      </c>
      <c r="F1953" t="s">
        <v>6035</v>
      </c>
      <c r="G1953" t="s">
        <v>6090</v>
      </c>
      <c r="H1953" t="s">
        <v>6097</v>
      </c>
      <c r="I1953">
        <v>4</v>
      </c>
      <c r="J1953">
        <v>80.599999999999994</v>
      </c>
      <c r="K1953" t="s">
        <v>6099</v>
      </c>
      <c r="L1953" t="s">
        <v>6100</v>
      </c>
      <c r="M1953" t="s">
        <v>6099</v>
      </c>
      <c r="N1953">
        <v>5</v>
      </c>
      <c r="O1953" t="s">
        <v>6101</v>
      </c>
      <c r="P1953" t="s">
        <v>6109</v>
      </c>
      <c r="Q1953">
        <v>3</v>
      </c>
      <c r="R1953">
        <v>2026</v>
      </c>
      <c r="S1953" t="s">
        <v>6100</v>
      </c>
      <c r="T1953">
        <v>0</v>
      </c>
      <c r="U1953" t="s">
        <v>6021</v>
      </c>
      <c r="V1953">
        <v>1</v>
      </c>
    </row>
    <row r="1954" spans="1:22" x14ac:dyDescent="0.3">
      <c r="A1954" t="s">
        <v>1969</v>
      </c>
      <c r="B1954" s="2">
        <v>46104.622916666667</v>
      </c>
      <c r="C1954" s="2">
        <v>46104.914583333331</v>
      </c>
      <c r="D1954" t="s">
        <v>6027</v>
      </c>
      <c r="E1954" t="s">
        <v>6030</v>
      </c>
      <c r="F1954" t="s">
        <v>6034</v>
      </c>
      <c r="G1954" t="s">
        <v>6049</v>
      </c>
      <c r="H1954" t="s">
        <v>6097</v>
      </c>
      <c r="I1954">
        <v>24</v>
      </c>
      <c r="J1954">
        <v>7</v>
      </c>
      <c r="K1954" t="s">
        <v>6099</v>
      </c>
      <c r="L1954" t="s">
        <v>6100</v>
      </c>
      <c r="M1954" t="s">
        <v>6100</v>
      </c>
      <c r="O1954" t="s">
        <v>6101</v>
      </c>
      <c r="P1954" t="s">
        <v>6109</v>
      </c>
      <c r="Q1954">
        <v>3</v>
      </c>
      <c r="R1954">
        <v>2026</v>
      </c>
      <c r="S1954" t="s">
        <v>6099</v>
      </c>
      <c r="T1954">
        <v>1</v>
      </c>
      <c r="U1954" t="s">
        <v>6021</v>
      </c>
      <c r="V1954">
        <v>1</v>
      </c>
    </row>
    <row r="1955" spans="1:22" x14ac:dyDescent="0.3">
      <c r="A1955" t="s">
        <v>1970</v>
      </c>
      <c r="B1955" s="2">
        <v>46104.624305555553</v>
      </c>
      <c r="C1955" s="2">
        <v>46105.370138888888</v>
      </c>
      <c r="D1955" t="s">
        <v>6025</v>
      </c>
      <c r="E1955" t="s">
        <v>6029</v>
      </c>
      <c r="F1955" t="s">
        <v>6034</v>
      </c>
      <c r="G1955" t="s">
        <v>6078</v>
      </c>
      <c r="H1955" t="s">
        <v>6097</v>
      </c>
      <c r="I1955">
        <v>24</v>
      </c>
      <c r="J1955">
        <v>17.899999999999999</v>
      </c>
      <c r="K1955" t="s">
        <v>6099</v>
      </c>
      <c r="L1955" t="s">
        <v>6100</v>
      </c>
      <c r="M1955" t="s">
        <v>6100</v>
      </c>
      <c r="N1955">
        <v>4</v>
      </c>
      <c r="O1955" t="s">
        <v>6101</v>
      </c>
      <c r="P1955" t="s">
        <v>6109</v>
      </c>
      <c r="Q1955">
        <v>3</v>
      </c>
      <c r="R1955">
        <v>2026</v>
      </c>
      <c r="S1955" t="s">
        <v>6099</v>
      </c>
      <c r="T1955">
        <v>1</v>
      </c>
      <c r="U1955" t="s">
        <v>6019</v>
      </c>
      <c r="V1955">
        <v>1</v>
      </c>
    </row>
    <row r="1956" spans="1:22" x14ac:dyDescent="0.3">
      <c r="A1956" t="s">
        <v>1971</v>
      </c>
      <c r="B1956" s="2">
        <v>46104.753472222219</v>
      </c>
      <c r="C1956" s="2">
        <v>46105.799305555556</v>
      </c>
      <c r="D1956" t="s">
        <v>6028</v>
      </c>
      <c r="E1956" t="s">
        <v>6031</v>
      </c>
      <c r="F1956" t="s">
        <v>6035</v>
      </c>
      <c r="G1956" t="s">
        <v>6068</v>
      </c>
      <c r="H1956" t="s">
        <v>6098</v>
      </c>
      <c r="I1956">
        <v>4</v>
      </c>
      <c r="J1956">
        <v>25.1</v>
      </c>
      <c r="K1956" t="s">
        <v>6099</v>
      </c>
      <c r="L1956" t="s">
        <v>6100</v>
      </c>
      <c r="M1956" t="s">
        <v>6099</v>
      </c>
      <c r="N1956">
        <v>4</v>
      </c>
      <c r="O1956" t="s">
        <v>6101</v>
      </c>
      <c r="P1956" t="s">
        <v>6109</v>
      </c>
      <c r="Q1956">
        <v>3</v>
      </c>
      <c r="R1956">
        <v>2026</v>
      </c>
      <c r="S1956" t="s">
        <v>6100</v>
      </c>
      <c r="T1956">
        <v>0</v>
      </c>
      <c r="U1956" t="s">
        <v>6019</v>
      </c>
      <c r="V1956">
        <v>1</v>
      </c>
    </row>
    <row r="1957" spans="1:22" x14ac:dyDescent="0.3">
      <c r="A1957" t="s">
        <v>1972</v>
      </c>
      <c r="B1957" s="2">
        <v>46104.800694444442</v>
      </c>
      <c r="C1957" s="2">
        <v>46105.004861111112</v>
      </c>
      <c r="D1957" t="s">
        <v>6027</v>
      </c>
      <c r="E1957" t="s">
        <v>6030</v>
      </c>
      <c r="F1957" t="s">
        <v>6034</v>
      </c>
      <c r="G1957" t="s">
        <v>6065</v>
      </c>
      <c r="H1957" t="s">
        <v>6097</v>
      </c>
      <c r="I1957">
        <v>24</v>
      </c>
      <c r="J1957">
        <v>4.9000000000000004</v>
      </c>
      <c r="K1957" t="s">
        <v>6099</v>
      </c>
      <c r="L1957" t="s">
        <v>6100</v>
      </c>
      <c r="M1957" t="s">
        <v>6100</v>
      </c>
      <c r="N1957">
        <v>5</v>
      </c>
      <c r="O1957" t="s">
        <v>6101</v>
      </c>
      <c r="P1957" t="s">
        <v>6109</v>
      </c>
      <c r="Q1957">
        <v>3</v>
      </c>
      <c r="R1957">
        <v>2026</v>
      </c>
      <c r="S1957" t="s">
        <v>6099</v>
      </c>
      <c r="T1957">
        <v>1</v>
      </c>
      <c r="U1957" t="s">
        <v>6017</v>
      </c>
      <c r="V1957">
        <v>1</v>
      </c>
    </row>
    <row r="1958" spans="1:22" x14ac:dyDescent="0.3">
      <c r="A1958" t="s">
        <v>1973</v>
      </c>
      <c r="B1958" s="2">
        <v>46105.170138888891</v>
      </c>
      <c r="C1958" s="2">
        <v>46105.632638888892</v>
      </c>
      <c r="D1958" t="s">
        <v>6028</v>
      </c>
      <c r="E1958" t="s">
        <v>6029</v>
      </c>
      <c r="F1958" t="s">
        <v>6035</v>
      </c>
      <c r="G1958" t="s">
        <v>6082</v>
      </c>
      <c r="H1958" t="s">
        <v>6097</v>
      </c>
      <c r="I1958">
        <v>4</v>
      </c>
      <c r="J1958">
        <v>11.1</v>
      </c>
      <c r="K1958" t="s">
        <v>6099</v>
      </c>
      <c r="L1958" t="s">
        <v>6100</v>
      </c>
      <c r="M1958" t="s">
        <v>6100</v>
      </c>
      <c r="O1958" t="s">
        <v>6101</v>
      </c>
      <c r="P1958" t="s">
        <v>6109</v>
      </c>
      <c r="Q1958">
        <v>3</v>
      </c>
      <c r="R1958">
        <v>2026</v>
      </c>
      <c r="S1958" t="s">
        <v>6100</v>
      </c>
      <c r="T1958">
        <v>0</v>
      </c>
      <c r="U1958" t="s">
        <v>6021</v>
      </c>
      <c r="V1958">
        <v>1</v>
      </c>
    </row>
    <row r="1959" spans="1:22" x14ac:dyDescent="0.3">
      <c r="A1959" t="s">
        <v>1974</v>
      </c>
      <c r="B1959" s="2">
        <v>46105.286805555559</v>
      </c>
      <c r="C1959" s="2">
        <v>46106.782638888886</v>
      </c>
      <c r="D1959" t="s">
        <v>6022</v>
      </c>
      <c r="E1959" t="s">
        <v>6031</v>
      </c>
      <c r="F1959" t="s">
        <v>6033</v>
      </c>
      <c r="G1959" t="s">
        <v>6063</v>
      </c>
      <c r="H1959" t="s">
        <v>6097</v>
      </c>
      <c r="I1959">
        <v>72</v>
      </c>
      <c r="J1959">
        <v>35.9</v>
      </c>
      <c r="K1959" t="s">
        <v>6099</v>
      </c>
      <c r="L1959" t="s">
        <v>6100</v>
      </c>
      <c r="M1959" t="s">
        <v>6100</v>
      </c>
      <c r="O1959" t="s">
        <v>6101</v>
      </c>
      <c r="P1959" t="s">
        <v>6109</v>
      </c>
      <c r="Q1959">
        <v>3</v>
      </c>
      <c r="R1959">
        <v>2026</v>
      </c>
      <c r="S1959" t="s">
        <v>6099</v>
      </c>
      <c r="T1959">
        <v>1</v>
      </c>
      <c r="U1959" t="s">
        <v>6019</v>
      </c>
      <c r="V1959">
        <v>1</v>
      </c>
    </row>
    <row r="1960" spans="1:22" x14ac:dyDescent="0.3">
      <c r="A1960" t="s">
        <v>1975</v>
      </c>
      <c r="B1960" s="2">
        <v>46105.322916666664</v>
      </c>
      <c r="C1960" s="2">
        <v>46106.23541666667</v>
      </c>
      <c r="D1960" t="s">
        <v>6026</v>
      </c>
      <c r="E1960" t="s">
        <v>6029</v>
      </c>
      <c r="F1960" t="s">
        <v>6033</v>
      </c>
      <c r="G1960" t="s">
        <v>6043</v>
      </c>
      <c r="H1960" t="s">
        <v>6097</v>
      </c>
      <c r="I1960">
        <v>72</v>
      </c>
      <c r="J1960">
        <v>21.9</v>
      </c>
      <c r="K1960" t="s">
        <v>6100</v>
      </c>
      <c r="L1960" t="s">
        <v>6099</v>
      </c>
      <c r="M1960" t="s">
        <v>6100</v>
      </c>
      <c r="O1960" t="s">
        <v>6101</v>
      </c>
      <c r="P1960" t="s">
        <v>6109</v>
      </c>
      <c r="Q1960">
        <v>3</v>
      </c>
      <c r="R1960">
        <v>2026</v>
      </c>
      <c r="S1960" t="s">
        <v>6099</v>
      </c>
      <c r="T1960">
        <v>1</v>
      </c>
      <c r="U1960" t="s">
        <v>6019</v>
      </c>
      <c r="V1960">
        <v>0</v>
      </c>
    </row>
    <row r="1961" spans="1:22" x14ac:dyDescent="0.3">
      <c r="A1961" t="s">
        <v>1976</v>
      </c>
      <c r="B1961" s="2">
        <v>46105.339583333334</v>
      </c>
      <c r="C1961" s="2">
        <v>46105.493750000001</v>
      </c>
      <c r="D1961" t="s">
        <v>6028</v>
      </c>
      <c r="E1961" t="s">
        <v>6030</v>
      </c>
      <c r="F1961" t="s">
        <v>6035</v>
      </c>
      <c r="G1961" t="s">
        <v>6084</v>
      </c>
      <c r="H1961" t="s">
        <v>6098</v>
      </c>
      <c r="I1961">
        <v>4</v>
      </c>
      <c r="J1961">
        <v>3.7</v>
      </c>
      <c r="K1961" t="s">
        <v>6099</v>
      </c>
      <c r="L1961" t="s">
        <v>6100</v>
      </c>
      <c r="M1961" t="s">
        <v>6100</v>
      </c>
      <c r="N1961">
        <v>5</v>
      </c>
      <c r="O1961" t="s">
        <v>6101</v>
      </c>
      <c r="P1961" t="s">
        <v>6109</v>
      </c>
      <c r="Q1961">
        <v>3</v>
      </c>
      <c r="R1961">
        <v>2026</v>
      </c>
      <c r="S1961" t="s">
        <v>6099</v>
      </c>
      <c r="T1961">
        <v>1</v>
      </c>
      <c r="U1961" t="s">
        <v>6021</v>
      </c>
      <c r="V1961">
        <v>1</v>
      </c>
    </row>
    <row r="1962" spans="1:22" x14ac:dyDescent="0.3">
      <c r="A1962" t="s">
        <v>1977</v>
      </c>
      <c r="B1962" s="2">
        <v>46105.34375</v>
      </c>
      <c r="C1962" s="2">
        <v>46106.46875</v>
      </c>
      <c r="D1962" t="s">
        <v>6024</v>
      </c>
      <c r="E1962" t="s">
        <v>6032</v>
      </c>
      <c r="F1962" t="s">
        <v>6035</v>
      </c>
      <c r="G1962" t="s">
        <v>6059</v>
      </c>
      <c r="H1962" t="s">
        <v>6097</v>
      </c>
      <c r="I1962">
        <v>4</v>
      </c>
      <c r="J1962">
        <v>27</v>
      </c>
      <c r="K1962" t="s">
        <v>6100</v>
      </c>
      <c r="L1962" t="s">
        <v>6100</v>
      </c>
      <c r="M1962" t="s">
        <v>6100</v>
      </c>
      <c r="O1962" t="s">
        <v>6101</v>
      </c>
      <c r="P1962" t="s">
        <v>6109</v>
      </c>
      <c r="Q1962">
        <v>3</v>
      </c>
      <c r="R1962">
        <v>2026</v>
      </c>
      <c r="S1962" t="s">
        <v>6100</v>
      </c>
      <c r="T1962">
        <v>0</v>
      </c>
      <c r="U1962" t="s">
        <v>6018</v>
      </c>
      <c r="V1962">
        <v>0</v>
      </c>
    </row>
    <row r="1963" spans="1:22" x14ac:dyDescent="0.3">
      <c r="A1963" t="s">
        <v>1978</v>
      </c>
      <c r="B1963" s="2">
        <v>46105.359722222223</v>
      </c>
      <c r="C1963" s="2">
        <v>46106.905555555553</v>
      </c>
      <c r="D1963" t="s">
        <v>6025</v>
      </c>
      <c r="E1963" t="s">
        <v>6031</v>
      </c>
      <c r="F1963" t="s">
        <v>6034</v>
      </c>
      <c r="G1963" t="s">
        <v>6067</v>
      </c>
      <c r="H1963" t="s">
        <v>6098</v>
      </c>
      <c r="I1963">
        <v>24</v>
      </c>
      <c r="J1963">
        <v>37.1</v>
      </c>
      <c r="K1963" t="s">
        <v>6099</v>
      </c>
      <c r="L1963" t="s">
        <v>6100</v>
      </c>
      <c r="M1963" t="s">
        <v>6100</v>
      </c>
      <c r="N1963">
        <v>5</v>
      </c>
      <c r="O1963" t="s">
        <v>6101</v>
      </c>
      <c r="P1963" t="s">
        <v>6109</v>
      </c>
      <c r="Q1963">
        <v>3</v>
      </c>
      <c r="R1963">
        <v>2026</v>
      </c>
      <c r="S1963" t="s">
        <v>6100</v>
      </c>
      <c r="T1963">
        <v>0</v>
      </c>
      <c r="U1963" t="s">
        <v>6021</v>
      </c>
      <c r="V1963">
        <v>1</v>
      </c>
    </row>
    <row r="1964" spans="1:22" x14ac:dyDescent="0.3">
      <c r="A1964" t="s">
        <v>1979</v>
      </c>
      <c r="B1964" s="2">
        <v>46105.385416666664</v>
      </c>
      <c r="C1964" s="2">
        <v>46106.222916666666</v>
      </c>
      <c r="D1964" t="s">
        <v>6025</v>
      </c>
      <c r="E1964" t="s">
        <v>6031</v>
      </c>
      <c r="F1964" t="s">
        <v>6034</v>
      </c>
      <c r="G1964" t="s">
        <v>6050</v>
      </c>
      <c r="H1964" t="s">
        <v>6098</v>
      </c>
      <c r="I1964">
        <v>24</v>
      </c>
      <c r="J1964">
        <v>20.100000000000001</v>
      </c>
      <c r="K1964" t="s">
        <v>6100</v>
      </c>
      <c r="L1964" t="s">
        <v>6100</v>
      </c>
      <c r="M1964" t="s">
        <v>6100</v>
      </c>
      <c r="O1964" t="s">
        <v>6101</v>
      </c>
      <c r="P1964" t="s">
        <v>6109</v>
      </c>
      <c r="Q1964">
        <v>3</v>
      </c>
      <c r="R1964">
        <v>2026</v>
      </c>
      <c r="S1964" t="s">
        <v>6099</v>
      </c>
      <c r="T1964">
        <v>1</v>
      </c>
      <c r="U1964" t="s">
        <v>6020</v>
      </c>
      <c r="V1964">
        <v>0</v>
      </c>
    </row>
    <row r="1965" spans="1:22" x14ac:dyDescent="0.3">
      <c r="A1965" t="s">
        <v>1980</v>
      </c>
      <c r="B1965" s="2">
        <v>46105.400694444441</v>
      </c>
      <c r="C1965" s="2">
        <v>46105.738194444442</v>
      </c>
      <c r="D1965" t="s">
        <v>6022</v>
      </c>
      <c r="E1965" t="s">
        <v>6032</v>
      </c>
      <c r="F1965" t="s">
        <v>6035</v>
      </c>
      <c r="G1965" t="s">
        <v>6083</v>
      </c>
      <c r="H1965" t="s">
        <v>6096</v>
      </c>
      <c r="I1965">
        <v>4</v>
      </c>
      <c r="J1965">
        <v>8.1</v>
      </c>
      <c r="K1965" t="s">
        <v>6099</v>
      </c>
      <c r="L1965" t="s">
        <v>6100</v>
      </c>
      <c r="M1965" t="s">
        <v>6100</v>
      </c>
      <c r="N1965">
        <v>4</v>
      </c>
      <c r="O1965" t="s">
        <v>6101</v>
      </c>
      <c r="P1965" t="s">
        <v>6109</v>
      </c>
      <c r="Q1965">
        <v>3</v>
      </c>
      <c r="R1965">
        <v>2026</v>
      </c>
      <c r="S1965" t="s">
        <v>6100</v>
      </c>
      <c r="T1965">
        <v>0</v>
      </c>
      <c r="U1965" t="s">
        <v>6019</v>
      </c>
      <c r="V1965">
        <v>1</v>
      </c>
    </row>
    <row r="1966" spans="1:22" x14ac:dyDescent="0.3">
      <c r="A1966" t="s">
        <v>1981</v>
      </c>
      <c r="B1966" s="2">
        <v>46105.480555555558</v>
      </c>
      <c r="C1966" s="2">
        <v>46110.055555555555</v>
      </c>
      <c r="D1966" t="s">
        <v>6025</v>
      </c>
      <c r="E1966" t="s">
        <v>6031</v>
      </c>
      <c r="F1966" t="s">
        <v>6034</v>
      </c>
      <c r="G1966" t="s">
        <v>6061</v>
      </c>
      <c r="H1966" t="s">
        <v>6096</v>
      </c>
      <c r="I1966">
        <v>24</v>
      </c>
      <c r="J1966">
        <v>109.8</v>
      </c>
      <c r="K1966" t="s">
        <v>6100</v>
      </c>
      <c r="L1966" t="s">
        <v>6099</v>
      </c>
      <c r="M1966" t="s">
        <v>6100</v>
      </c>
      <c r="N1966">
        <v>3</v>
      </c>
      <c r="O1966" t="s">
        <v>6101</v>
      </c>
      <c r="P1966" t="s">
        <v>6109</v>
      </c>
      <c r="Q1966">
        <v>3</v>
      </c>
      <c r="R1966">
        <v>2026</v>
      </c>
      <c r="S1966" t="s">
        <v>6100</v>
      </c>
      <c r="T1966">
        <v>0</v>
      </c>
      <c r="U1966" t="s">
        <v>6018</v>
      </c>
      <c r="V1966">
        <v>0</v>
      </c>
    </row>
    <row r="1967" spans="1:22" x14ac:dyDescent="0.3">
      <c r="A1967" t="s">
        <v>1982</v>
      </c>
      <c r="B1967" s="2">
        <v>46105.522916666669</v>
      </c>
      <c r="C1967" s="2">
        <v>46114.131249999999</v>
      </c>
      <c r="D1967" t="s">
        <v>6026</v>
      </c>
      <c r="E1967" t="s">
        <v>6031</v>
      </c>
      <c r="F1967" t="s">
        <v>6035</v>
      </c>
      <c r="G1967" t="s">
        <v>6088</v>
      </c>
      <c r="H1967" t="s">
        <v>6097</v>
      </c>
      <c r="I1967">
        <v>4</v>
      </c>
      <c r="J1967">
        <v>206.6</v>
      </c>
      <c r="K1967" t="s">
        <v>6099</v>
      </c>
      <c r="L1967" t="s">
        <v>6100</v>
      </c>
      <c r="M1967" t="s">
        <v>6100</v>
      </c>
      <c r="O1967" t="s">
        <v>6101</v>
      </c>
      <c r="P1967" t="s">
        <v>6109</v>
      </c>
      <c r="Q1967">
        <v>3</v>
      </c>
      <c r="R1967">
        <v>2026</v>
      </c>
      <c r="S1967" t="s">
        <v>6100</v>
      </c>
      <c r="T1967">
        <v>0</v>
      </c>
      <c r="U1967" t="s">
        <v>6018</v>
      </c>
      <c r="V1967">
        <v>1</v>
      </c>
    </row>
    <row r="1968" spans="1:22" x14ac:dyDescent="0.3">
      <c r="A1968" t="s">
        <v>1983</v>
      </c>
      <c r="B1968" s="2">
        <v>46105.53402777778</v>
      </c>
      <c r="C1968" s="2">
        <v>46105.72152777778</v>
      </c>
      <c r="D1968" t="s">
        <v>6028</v>
      </c>
      <c r="E1968" t="s">
        <v>6029</v>
      </c>
      <c r="F1968" t="s">
        <v>6035</v>
      </c>
      <c r="G1968" t="s">
        <v>6069</v>
      </c>
      <c r="H1968" t="s">
        <v>6098</v>
      </c>
      <c r="I1968">
        <v>4</v>
      </c>
      <c r="J1968">
        <v>4.5</v>
      </c>
      <c r="K1968" t="s">
        <v>6099</v>
      </c>
      <c r="L1968" t="s">
        <v>6100</v>
      </c>
      <c r="M1968" t="s">
        <v>6100</v>
      </c>
      <c r="O1968" t="s">
        <v>6101</v>
      </c>
      <c r="P1968" t="s">
        <v>6109</v>
      </c>
      <c r="Q1968">
        <v>3</v>
      </c>
      <c r="R1968">
        <v>2026</v>
      </c>
      <c r="S1968" t="s">
        <v>6100</v>
      </c>
      <c r="T1968">
        <v>0</v>
      </c>
      <c r="U1968" t="s">
        <v>6019</v>
      </c>
      <c r="V1968">
        <v>1</v>
      </c>
    </row>
    <row r="1969" spans="1:22" x14ac:dyDescent="0.3">
      <c r="A1969" t="s">
        <v>1984</v>
      </c>
      <c r="B1969" s="2">
        <v>46105.567361111112</v>
      </c>
      <c r="C1969" s="2">
        <v>46106.809027777781</v>
      </c>
      <c r="D1969" t="s">
        <v>6025</v>
      </c>
      <c r="E1969" t="s">
        <v>6030</v>
      </c>
      <c r="F1969" t="s">
        <v>6033</v>
      </c>
      <c r="G1969" t="s">
        <v>6079</v>
      </c>
      <c r="H1969" t="s">
        <v>6097</v>
      </c>
      <c r="I1969">
        <v>72</v>
      </c>
      <c r="J1969">
        <v>29.8</v>
      </c>
      <c r="K1969" t="s">
        <v>6099</v>
      </c>
      <c r="L1969" t="s">
        <v>6100</v>
      </c>
      <c r="M1969" t="s">
        <v>6100</v>
      </c>
      <c r="O1969" t="s">
        <v>6101</v>
      </c>
      <c r="P1969" t="s">
        <v>6109</v>
      </c>
      <c r="Q1969">
        <v>3</v>
      </c>
      <c r="R1969">
        <v>2026</v>
      </c>
      <c r="S1969" t="s">
        <v>6099</v>
      </c>
      <c r="T1969">
        <v>1</v>
      </c>
      <c r="U1969" t="s">
        <v>6021</v>
      </c>
      <c r="V1969">
        <v>1</v>
      </c>
    </row>
    <row r="1970" spans="1:22" x14ac:dyDescent="0.3">
      <c r="A1970" t="s">
        <v>1985</v>
      </c>
      <c r="B1970" s="2">
        <v>46105.577777777777</v>
      </c>
      <c r="C1970" s="2">
        <v>46108.165277777778</v>
      </c>
      <c r="D1970" t="s">
        <v>6025</v>
      </c>
      <c r="E1970" t="s">
        <v>6031</v>
      </c>
      <c r="F1970" t="s">
        <v>6034</v>
      </c>
      <c r="G1970" t="s">
        <v>6081</v>
      </c>
      <c r="H1970" t="s">
        <v>6098</v>
      </c>
      <c r="I1970">
        <v>24</v>
      </c>
      <c r="J1970">
        <v>62.1</v>
      </c>
      <c r="K1970" t="s">
        <v>6099</v>
      </c>
      <c r="L1970" t="s">
        <v>6100</v>
      </c>
      <c r="M1970" t="s">
        <v>6100</v>
      </c>
      <c r="N1970">
        <v>5</v>
      </c>
      <c r="O1970" t="s">
        <v>6101</v>
      </c>
      <c r="P1970" t="s">
        <v>6109</v>
      </c>
      <c r="Q1970">
        <v>3</v>
      </c>
      <c r="R1970">
        <v>2026</v>
      </c>
      <c r="S1970" t="s">
        <v>6100</v>
      </c>
      <c r="T1970">
        <v>0</v>
      </c>
      <c r="U1970" t="s">
        <v>6019</v>
      </c>
      <c r="V1970">
        <v>1</v>
      </c>
    </row>
    <row r="1971" spans="1:22" x14ac:dyDescent="0.3">
      <c r="A1971" t="s">
        <v>1986</v>
      </c>
      <c r="B1971" s="2">
        <v>46105.59652777778</v>
      </c>
      <c r="C1971" s="2">
        <v>46106.379861111112</v>
      </c>
      <c r="D1971" t="s">
        <v>6025</v>
      </c>
      <c r="E1971" t="s">
        <v>6029</v>
      </c>
      <c r="F1971" t="s">
        <v>6034</v>
      </c>
      <c r="G1971" t="s">
        <v>6074</v>
      </c>
      <c r="H1971" t="s">
        <v>6098</v>
      </c>
      <c r="I1971">
        <v>24</v>
      </c>
      <c r="J1971">
        <v>18.8</v>
      </c>
      <c r="K1971" t="s">
        <v>6099</v>
      </c>
      <c r="L1971" t="s">
        <v>6100</v>
      </c>
      <c r="M1971" t="s">
        <v>6100</v>
      </c>
      <c r="O1971" t="s">
        <v>6101</v>
      </c>
      <c r="P1971" t="s">
        <v>6109</v>
      </c>
      <c r="Q1971">
        <v>3</v>
      </c>
      <c r="R1971">
        <v>2026</v>
      </c>
      <c r="S1971" t="s">
        <v>6099</v>
      </c>
      <c r="T1971">
        <v>1</v>
      </c>
      <c r="U1971" t="s">
        <v>6021</v>
      </c>
      <c r="V1971">
        <v>1</v>
      </c>
    </row>
    <row r="1972" spans="1:22" x14ac:dyDescent="0.3">
      <c r="A1972" t="s">
        <v>1987</v>
      </c>
      <c r="B1972" s="2">
        <v>46105.614583333336</v>
      </c>
      <c r="C1972" s="2">
        <v>46105.943749999999</v>
      </c>
      <c r="D1972" t="s">
        <v>6028</v>
      </c>
      <c r="E1972" t="s">
        <v>6031</v>
      </c>
      <c r="F1972" t="s">
        <v>6034</v>
      </c>
      <c r="G1972" t="s">
        <v>6045</v>
      </c>
      <c r="H1972" t="s">
        <v>6096</v>
      </c>
      <c r="I1972">
        <v>24</v>
      </c>
      <c r="J1972">
        <v>7.9</v>
      </c>
      <c r="K1972" t="s">
        <v>6100</v>
      </c>
      <c r="L1972" t="s">
        <v>6099</v>
      </c>
      <c r="M1972" t="s">
        <v>6100</v>
      </c>
      <c r="N1972">
        <v>3</v>
      </c>
      <c r="O1972" t="s">
        <v>6101</v>
      </c>
      <c r="P1972" t="s">
        <v>6109</v>
      </c>
      <c r="Q1972">
        <v>3</v>
      </c>
      <c r="R1972">
        <v>2026</v>
      </c>
      <c r="S1972" t="s">
        <v>6099</v>
      </c>
      <c r="T1972">
        <v>1</v>
      </c>
      <c r="U1972" t="s">
        <v>6019</v>
      </c>
      <c r="V1972">
        <v>0</v>
      </c>
    </row>
    <row r="1973" spans="1:22" x14ac:dyDescent="0.3">
      <c r="A1973" t="s">
        <v>1988</v>
      </c>
      <c r="B1973" s="2">
        <v>46105.62222222222</v>
      </c>
      <c r="C1973" s="2">
        <v>46106.330555555556</v>
      </c>
      <c r="D1973" t="s">
        <v>6023</v>
      </c>
      <c r="E1973" t="s">
        <v>6032</v>
      </c>
      <c r="F1973" t="s">
        <v>6034</v>
      </c>
      <c r="G1973" t="s">
        <v>6078</v>
      </c>
      <c r="H1973" t="s">
        <v>6097</v>
      </c>
      <c r="I1973">
        <v>24</v>
      </c>
      <c r="J1973">
        <v>17</v>
      </c>
      <c r="K1973" t="s">
        <v>6100</v>
      </c>
      <c r="L1973" t="s">
        <v>6100</v>
      </c>
      <c r="M1973" t="s">
        <v>6100</v>
      </c>
      <c r="N1973">
        <v>5</v>
      </c>
      <c r="O1973" t="s">
        <v>6101</v>
      </c>
      <c r="P1973" t="s">
        <v>6109</v>
      </c>
      <c r="Q1973">
        <v>3</v>
      </c>
      <c r="R1973">
        <v>2026</v>
      </c>
      <c r="S1973" t="s">
        <v>6099</v>
      </c>
      <c r="T1973">
        <v>1</v>
      </c>
      <c r="U1973" t="s">
        <v>6019</v>
      </c>
      <c r="V1973">
        <v>0</v>
      </c>
    </row>
    <row r="1974" spans="1:22" x14ac:dyDescent="0.3">
      <c r="A1974" t="s">
        <v>1989</v>
      </c>
      <c r="B1974" s="2">
        <v>46105.623611111114</v>
      </c>
      <c r="C1974" s="2">
        <v>46108.840277777781</v>
      </c>
      <c r="D1974" t="s">
        <v>6022</v>
      </c>
      <c r="E1974" t="s">
        <v>6029</v>
      </c>
      <c r="F1974" t="s">
        <v>6033</v>
      </c>
      <c r="G1974" t="s">
        <v>6083</v>
      </c>
      <c r="H1974" t="s">
        <v>6096</v>
      </c>
      <c r="I1974">
        <v>72</v>
      </c>
      <c r="J1974">
        <v>77.2</v>
      </c>
      <c r="K1974" t="s">
        <v>6099</v>
      </c>
      <c r="L1974" t="s">
        <v>6100</v>
      </c>
      <c r="M1974" t="s">
        <v>6100</v>
      </c>
      <c r="O1974" t="s">
        <v>6101</v>
      </c>
      <c r="P1974" t="s">
        <v>6109</v>
      </c>
      <c r="Q1974">
        <v>3</v>
      </c>
      <c r="R1974">
        <v>2026</v>
      </c>
      <c r="S1974" t="s">
        <v>6100</v>
      </c>
      <c r="T1974">
        <v>0</v>
      </c>
      <c r="U1974" t="s">
        <v>6021</v>
      </c>
      <c r="V1974">
        <v>1</v>
      </c>
    </row>
    <row r="1975" spans="1:22" x14ac:dyDescent="0.3">
      <c r="A1975" t="s">
        <v>1990</v>
      </c>
      <c r="B1975" s="2">
        <v>46105.669444444444</v>
      </c>
      <c r="C1975" s="2">
        <v>46106.831944444442</v>
      </c>
      <c r="D1975" t="s">
        <v>6028</v>
      </c>
      <c r="E1975" t="s">
        <v>6031</v>
      </c>
      <c r="F1975" t="s">
        <v>6035</v>
      </c>
      <c r="G1975" t="s">
        <v>6047</v>
      </c>
      <c r="H1975" t="s">
        <v>6098</v>
      </c>
      <c r="I1975">
        <v>4</v>
      </c>
      <c r="J1975">
        <v>27.9</v>
      </c>
      <c r="K1975" t="s">
        <v>6099</v>
      </c>
      <c r="L1975" t="s">
        <v>6100</v>
      </c>
      <c r="M1975" t="s">
        <v>6099</v>
      </c>
      <c r="N1975">
        <v>3</v>
      </c>
      <c r="O1975" t="s">
        <v>6101</v>
      </c>
      <c r="P1975" t="s">
        <v>6109</v>
      </c>
      <c r="Q1975">
        <v>3</v>
      </c>
      <c r="R1975">
        <v>2026</v>
      </c>
      <c r="S1975" t="s">
        <v>6100</v>
      </c>
      <c r="T1975">
        <v>0</v>
      </c>
      <c r="U1975" t="s">
        <v>6021</v>
      </c>
      <c r="V1975">
        <v>1</v>
      </c>
    </row>
    <row r="1976" spans="1:22" x14ac:dyDescent="0.3">
      <c r="A1976" t="s">
        <v>1991</v>
      </c>
      <c r="B1976" s="2">
        <v>46105.67291666667</v>
      </c>
      <c r="C1976" s="2">
        <v>46107.777083333334</v>
      </c>
      <c r="D1976" t="s">
        <v>6025</v>
      </c>
      <c r="E1976" t="s">
        <v>6029</v>
      </c>
      <c r="F1976" t="s">
        <v>6035</v>
      </c>
      <c r="G1976" t="s">
        <v>6048</v>
      </c>
      <c r="H1976" t="s">
        <v>6096</v>
      </c>
      <c r="I1976">
        <v>4</v>
      </c>
      <c r="J1976">
        <v>50.5</v>
      </c>
      <c r="K1976" t="s">
        <v>6100</v>
      </c>
      <c r="L1976" t="s">
        <v>6099</v>
      </c>
      <c r="M1976" t="s">
        <v>6099</v>
      </c>
      <c r="O1976" t="s">
        <v>6101</v>
      </c>
      <c r="P1976" t="s">
        <v>6109</v>
      </c>
      <c r="Q1976">
        <v>3</v>
      </c>
      <c r="R1976">
        <v>2026</v>
      </c>
      <c r="S1976" t="s">
        <v>6100</v>
      </c>
      <c r="T1976">
        <v>0</v>
      </c>
      <c r="U1976" t="s">
        <v>6018</v>
      </c>
      <c r="V1976">
        <v>0</v>
      </c>
    </row>
    <row r="1977" spans="1:22" x14ac:dyDescent="0.3">
      <c r="A1977" t="s">
        <v>1992</v>
      </c>
      <c r="B1977" s="2">
        <v>46105.75277777778</v>
      </c>
      <c r="C1977" s="2">
        <v>46112.115277777775</v>
      </c>
      <c r="D1977" t="s">
        <v>6026</v>
      </c>
      <c r="E1977" t="s">
        <v>6032</v>
      </c>
      <c r="F1977" t="s">
        <v>6033</v>
      </c>
      <c r="G1977" t="s">
        <v>6048</v>
      </c>
      <c r="H1977" t="s">
        <v>6096</v>
      </c>
      <c r="I1977">
        <v>72</v>
      </c>
      <c r="J1977">
        <v>152.69999999999999</v>
      </c>
      <c r="K1977" t="s">
        <v>6099</v>
      </c>
      <c r="L1977" t="s">
        <v>6100</v>
      </c>
      <c r="M1977" t="s">
        <v>6100</v>
      </c>
      <c r="N1977">
        <v>4</v>
      </c>
      <c r="O1977" t="s">
        <v>6101</v>
      </c>
      <c r="P1977" t="s">
        <v>6109</v>
      </c>
      <c r="Q1977">
        <v>3</v>
      </c>
      <c r="R1977">
        <v>2026</v>
      </c>
      <c r="S1977" t="s">
        <v>6100</v>
      </c>
      <c r="T1977">
        <v>0</v>
      </c>
      <c r="U1977" t="s">
        <v>6021</v>
      </c>
      <c r="V1977">
        <v>1</v>
      </c>
    </row>
    <row r="1978" spans="1:22" x14ac:dyDescent="0.3">
      <c r="A1978" t="s">
        <v>1993</v>
      </c>
      <c r="B1978" s="2">
        <v>46105.797222222223</v>
      </c>
      <c r="C1978" s="2">
        <v>46106.022222222222</v>
      </c>
      <c r="D1978" t="s">
        <v>6022</v>
      </c>
      <c r="E1978" t="s">
        <v>6030</v>
      </c>
      <c r="F1978" t="s">
        <v>6033</v>
      </c>
      <c r="G1978" t="s">
        <v>6074</v>
      </c>
      <c r="H1978" t="s">
        <v>6098</v>
      </c>
      <c r="I1978">
        <v>72</v>
      </c>
      <c r="J1978">
        <v>5.4</v>
      </c>
      <c r="K1978" t="s">
        <v>6099</v>
      </c>
      <c r="L1978" t="s">
        <v>6100</v>
      </c>
      <c r="M1978" t="s">
        <v>6100</v>
      </c>
      <c r="N1978">
        <v>5</v>
      </c>
      <c r="O1978" t="s">
        <v>6101</v>
      </c>
      <c r="P1978" t="s">
        <v>6109</v>
      </c>
      <c r="Q1978">
        <v>3</v>
      </c>
      <c r="R1978">
        <v>2026</v>
      </c>
      <c r="S1978" t="s">
        <v>6099</v>
      </c>
      <c r="T1978">
        <v>1</v>
      </c>
      <c r="U1978" t="s">
        <v>6019</v>
      </c>
      <c r="V1978">
        <v>1</v>
      </c>
    </row>
    <row r="1979" spans="1:22" x14ac:dyDescent="0.3">
      <c r="A1979" t="s">
        <v>1994</v>
      </c>
      <c r="B1979" s="2">
        <v>46105.865277777775</v>
      </c>
      <c r="C1979" s="2">
        <v>46106.223611111112</v>
      </c>
      <c r="D1979" t="s">
        <v>6028</v>
      </c>
      <c r="E1979" t="s">
        <v>6029</v>
      </c>
      <c r="F1979" t="s">
        <v>6034</v>
      </c>
      <c r="G1979" t="s">
        <v>6045</v>
      </c>
      <c r="H1979" t="s">
        <v>6096</v>
      </c>
      <c r="I1979">
        <v>24</v>
      </c>
      <c r="J1979">
        <v>8.6</v>
      </c>
      <c r="K1979" t="s">
        <v>6099</v>
      </c>
      <c r="L1979" t="s">
        <v>6100</v>
      </c>
      <c r="M1979" t="s">
        <v>6100</v>
      </c>
      <c r="O1979" t="s">
        <v>6101</v>
      </c>
      <c r="P1979" t="s">
        <v>6109</v>
      </c>
      <c r="Q1979">
        <v>3</v>
      </c>
      <c r="R1979">
        <v>2026</v>
      </c>
      <c r="S1979" t="s">
        <v>6099</v>
      </c>
      <c r="T1979">
        <v>1</v>
      </c>
      <c r="U1979" t="s">
        <v>6020</v>
      </c>
      <c r="V1979">
        <v>1</v>
      </c>
    </row>
    <row r="1980" spans="1:22" x14ac:dyDescent="0.3">
      <c r="A1980" t="s">
        <v>1995</v>
      </c>
      <c r="B1980" s="2">
        <v>46105.902777777781</v>
      </c>
      <c r="C1980" s="2">
        <v>46108.111111111109</v>
      </c>
      <c r="D1980" t="s">
        <v>6027</v>
      </c>
      <c r="E1980" t="s">
        <v>6032</v>
      </c>
      <c r="F1980" t="s">
        <v>6033</v>
      </c>
      <c r="G1980" t="s">
        <v>6083</v>
      </c>
      <c r="H1980" t="s">
        <v>6096</v>
      </c>
      <c r="I1980">
        <v>72</v>
      </c>
      <c r="J1980">
        <v>53</v>
      </c>
      <c r="K1980" t="s">
        <v>6100</v>
      </c>
      <c r="L1980" t="s">
        <v>6099</v>
      </c>
      <c r="M1980" t="s">
        <v>6100</v>
      </c>
      <c r="O1980" t="s">
        <v>6101</v>
      </c>
      <c r="P1980" t="s">
        <v>6109</v>
      </c>
      <c r="Q1980">
        <v>3</v>
      </c>
      <c r="R1980">
        <v>2026</v>
      </c>
      <c r="S1980" t="s">
        <v>6099</v>
      </c>
      <c r="T1980">
        <v>1</v>
      </c>
      <c r="U1980" t="s">
        <v>6021</v>
      </c>
      <c r="V1980">
        <v>0</v>
      </c>
    </row>
    <row r="1981" spans="1:22" x14ac:dyDescent="0.3">
      <c r="A1981" t="s">
        <v>1996</v>
      </c>
      <c r="B1981" s="2">
        <v>46105.945138888892</v>
      </c>
      <c r="C1981" s="2">
        <v>46106.036805555559</v>
      </c>
      <c r="D1981" t="s">
        <v>6023</v>
      </c>
      <c r="E1981" t="s">
        <v>6029</v>
      </c>
      <c r="F1981" t="s">
        <v>6033</v>
      </c>
      <c r="G1981" t="s">
        <v>6080</v>
      </c>
      <c r="H1981" t="s">
        <v>6096</v>
      </c>
      <c r="I1981">
        <v>72</v>
      </c>
      <c r="J1981">
        <v>2.2000000000000002</v>
      </c>
      <c r="K1981" t="s">
        <v>6100</v>
      </c>
      <c r="L1981" t="s">
        <v>6099</v>
      </c>
      <c r="M1981" t="s">
        <v>6100</v>
      </c>
      <c r="N1981">
        <v>5</v>
      </c>
      <c r="O1981" t="s">
        <v>6101</v>
      </c>
      <c r="P1981" t="s">
        <v>6109</v>
      </c>
      <c r="Q1981">
        <v>3</v>
      </c>
      <c r="R1981">
        <v>2026</v>
      </c>
      <c r="S1981" t="s">
        <v>6099</v>
      </c>
      <c r="T1981">
        <v>1</v>
      </c>
      <c r="U1981" t="s">
        <v>6021</v>
      </c>
      <c r="V1981">
        <v>0</v>
      </c>
    </row>
    <row r="1982" spans="1:22" x14ac:dyDescent="0.3">
      <c r="A1982" t="s">
        <v>1997</v>
      </c>
      <c r="B1982" s="2">
        <v>46106.249305555553</v>
      </c>
      <c r="C1982" s="2">
        <v>46106.386805555558</v>
      </c>
      <c r="D1982" t="s">
        <v>6022</v>
      </c>
      <c r="E1982" t="s">
        <v>6029</v>
      </c>
      <c r="F1982" t="s">
        <v>6033</v>
      </c>
      <c r="G1982" t="s">
        <v>6061</v>
      </c>
      <c r="H1982" t="s">
        <v>6096</v>
      </c>
      <c r="I1982">
        <v>72</v>
      </c>
      <c r="J1982">
        <v>3.3</v>
      </c>
      <c r="K1982" t="s">
        <v>6099</v>
      </c>
      <c r="L1982" t="s">
        <v>6100</v>
      </c>
      <c r="M1982" t="s">
        <v>6100</v>
      </c>
      <c r="N1982">
        <v>4</v>
      </c>
      <c r="O1982" t="s">
        <v>6101</v>
      </c>
      <c r="P1982" t="s">
        <v>6109</v>
      </c>
      <c r="Q1982">
        <v>3</v>
      </c>
      <c r="R1982">
        <v>2026</v>
      </c>
      <c r="S1982" t="s">
        <v>6099</v>
      </c>
      <c r="T1982">
        <v>1</v>
      </c>
      <c r="U1982" t="s">
        <v>6021</v>
      </c>
      <c r="V1982">
        <v>1</v>
      </c>
    </row>
    <row r="1983" spans="1:22" x14ac:dyDescent="0.3">
      <c r="A1983" t="s">
        <v>1998</v>
      </c>
      <c r="B1983" s="2">
        <v>46106.285416666666</v>
      </c>
      <c r="C1983" s="2">
        <v>46106.489583333336</v>
      </c>
      <c r="D1983" t="s">
        <v>6027</v>
      </c>
      <c r="E1983" t="s">
        <v>6030</v>
      </c>
      <c r="F1983" t="s">
        <v>6033</v>
      </c>
      <c r="G1983" t="s">
        <v>6048</v>
      </c>
      <c r="H1983" t="s">
        <v>6096</v>
      </c>
      <c r="I1983">
        <v>72</v>
      </c>
      <c r="J1983">
        <v>4.9000000000000004</v>
      </c>
      <c r="K1983" t="s">
        <v>6100</v>
      </c>
      <c r="L1983" t="s">
        <v>6099</v>
      </c>
      <c r="M1983" t="s">
        <v>6100</v>
      </c>
      <c r="N1983">
        <v>4</v>
      </c>
      <c r="O1983" t="s">
        <v>6101</v>
      </c>
      <c r="P1983" t="s">
        <v>6109</v>
      </c>
      <c r="Q1983">
        <v>3</v>
      </c>
      <c r="R1983">
        <v>2026</v>
      </c>
      <c r="S1983" t="s">
        <v>6099</v>
      </c>
      <c r="T1983">
        <v>1</v>
      </c>
      <c r="U1983" t="s">
        <v>6020</v>
      </c>
      <c r="V1983">
        <v>0</v>
      </c>
    </row>
    <row r="1984" spans="1:22" x14ac:dyDescent="0.3">
      <c r="A1984" t="s">
        <v>1999</v>
      </c>
      <c r="B1984" s="2">
        <v>46106.375694444447</v>
      </c>
      <c r="C1984" s="2">
        <v>46106.904861111114</v>
      </c>
      <c r="D1984" t="s">
        <v>6022</v>
      </c>
      <c r="E1984" t="s">
        <v>6029</v>
      </c>
      <c r="F1984" t="s">
        <v>6034</v>
      </c>
      <c r="G1984" t="s">
        <v>6089</v>
      </c>
      <c r="H1984" t="s">
        <v>6098</v>
      </c>
      <c r="I1984">
        <v>24</v>
      </c>
      <c r="J1984">
        <v>12.7</v>
      </c>
      <c r="K1984" t="s">
        <v>6099</v>
      </c>
      <c r="L1984" t="s">
        <v>6100</v>
      </c>
      <c r="M1984" t="s">
        <v>6099</v>
      </c>
      <c r="N1984">
        <v>5</v>
      </c>
      <c r="O1984" t="s">
        <v>6101</v>
      </c>
      <c r="P1984" t="s">
        <v>6109</v>
      </c>
      <c r="Q1984">
        <v>3</v>
      </c>
      <c r="R1984">
        <v>2026</v>
      </c>
      <c r="S1984" t="s">
        <v>6099</v>
      </c>
      <c r="T1984">
        <v>1</v>
      </c>
      <c r="U1984" t="s">
        <v>6018</v>
      </c>
      <c r="V1984">
        <v>1</v>
      </c>
    </row>
    <row r="1985" spans="1:22" x14ac:dyDescent="0.3">
      <c r="A1985" t="s">
        <v>2000</v>
      </c>
      <c r="B1985" s="2">
        <v>46106.406944444447</v>
      </c>
      <c r="C1985" s="2">
        <v>46106.823611111111</v>
      </c>
      <c r="D1985" t="s">
        <v>6024</v>
      </c>
      <c r="E1985" t="s">
        <v>6029</v>
      </c>
      <c r="F1985" t="s">
        <v>6033</v>
      </c>
      <c r="G1985" t="s">
        <v>6076</v>
      </c>
      <c r="H1985" t="s">
        <v>6097</v>
      </c>
      <c r="I1985">
        <v>72</v>
      </c>
      <c r="J1985">
        <v>10</v>
      </c>
      <c r="K1985" t="s">
        <v>6099</v>
      </c>
      <c r="L1985" t="s">
        <v>6100</v>
      </c>
      <c r="M1985" t="s">
        <v>6100</v>
      </c>
      <c r="N1985">
        <v>4</v>
      </c>
      <c r="O1985" t="s">
        <v>6101</v>
      </c>
      <c r="P1985" t="s">
        <v>6109</v>
      </c>
      <c r="Q1985">
        <v>3</v>
      </c>
      <c r="R1985">
        <v>2026</v>
      </c>
      <c r="S1985" t="s">
        <v>6099</v>
      </c>
      <c r="T1985">
        <v>1</v>
      </c>
      <c r="U1985" t="s">
        <v>6018</v>
      </c>
      <c r="V1985">
        <v>1</v>
      </c>
    </row>
    <row r="1986" spans="1:22" x14ac:dyDescent="0.3">
      <c r="A1986" t="s">
        <v>2001</v>
      </c>
      <c r="B1986" s="2">
        <v>46106.475694444445</v>
      </c>
      <c r="C1986" s="2">
        <v>46109.225694444445</v>
      </c>
      <c r="D1986" t="s">
        <v>6025</v>
      </c>
      <c r="E1986" t="s">
        <v>6031</v>
      </c>
      <c r="F1986" t="s">
        <v>6034</v>
      </c>
      <c r="G1986" t="s">
        <v>6074</v>
      </c>
      <c r="H1986" t="s">
        <v>6098</v>
      </c>
      <c r="I1986">
        <v>24</v>
      </c>
      <c r="J1986">
        <v>66</v>
      </c>
      <c r="K1986" t="s">
        <v>6100</v>
      </c>
      <c r="L1986" t="s">
        <v>6100</v>
      </c>
      <c r="M1986" t="s">
        <v>6100</v>
      </c>
      <c r="N1986">
        <v>5</v>
      </c>
      <c r="O1986" t="s">
        <v>6101</v>
      </c>
      <c r="P1986" t="s">
        <v>6109</v>
      </c>
      <c r="Q1986">
        <v>3</v>
      </c>
      <c r="R1986">
        <v>2026</v>
      </c>
      <c r="S1986" t="s">
        <v>6100</v>
      </c>
      <c r="T1986">
        <v>0</v>
      </c>
      <c r="U1986" t="s">
        <v>6020</v>
      </c>
      <c r="V1986">
        <v>0</v>
      </c>
    </row>
    <row r="1987" spans="1:22" x14ac:dyDescent="0.3">
      <c r="A1987" t="s">
        <v>2002</v>
      </c>
      <c r="B1987" s="2">
        <v>46106.481249999997</v>
      </c>
      <c r="C1987" s="2">
        <v>46107.539583333331</v>
      </c>
      <c r="D1987" t="s">
        <v>6027</v>
      </c>
      <c r="E1987" t="s">
        <v>6032</v>
      </c>
      <c r="F1987" t="s">
        <v>6034</v>
      </c>
      <c r="G1987" t="s">
        <v>6085</v>
      </c>
      <c r="H1987" t="s">
        <v>6097</v>
      </c>
      <c r="I1987">
        <v>24</v>
      </c>
      <c r="J1987">
        <v>25.4</v>
      </c>
      <c r="K1987" t="s">
        <v>6099</v>
      </c>
      <c r="L1987" t="s">
        <v>6100</v>
      </c>
      <c r="M1987" t="s">
        <v>6100</v>
      </c>
      <c r="O1987" t="s">
        <v>6101</v>
      </c>
      <c r="P1987" t="s">
        <v>6109</v>
      </c>
      <c r="Q1987">
        <v>3</v>
      </c>
      <c r="R1987">
        <v>2026</v>
      </c>
      <c r="S1987" t="s">
        <v>6100</v>
      </c>
      <c r="T1987">
        <v>0</v>
      </c>
      <c r="U1987" t="s">
        <v>6019</v>
      </c>
      <c r="V1987">
        <v>1</v>
      </c>
    </row>
    <row r="1988" spans="1:22" x14ac:dyDescent="0.3">
      <c r="A1988" t="s">
        <v>2003</v>
      </c>
      <c r="B1988" s="2">
        <v>46106.48333333333</v>
      </c>
      <c r="C1988" s="2">
        <v>46106.912499999999</v>
      </c>
      <c r="D1988" t="s">
        <v>6028</v>
      </c>
      <c r="E1988" t="s">
        <v>6030</v>
      </c>
      <c r="F1988" t="s">
        <v>6035</v>
      </c>
      <c r="G1988" t="s">
        <v>6048</v>
      </c>
      <c r="H1988" t="s">
        <v>6096</v>
      </c>
      <c r="I1988">
        <v>4</v>
      </c>
      <c r="J1988">
        <v>10.3</v>
      </c>
      <c r="K1988" t="s">
        <v>6099</v>
      </c>
      <c r="L1988" t="s">
        <v>6100</v>
      </c>
      <c r="M1988" t="s">
        <v>6100</v>
      </c>
      <c r="N1988">
        <v>5</v>
      </c>
      <c r="O1988" t="s">
        <v>6101</v>
      </c>
      <c r="P1988" t="s">
        <v>6109</v>
      </c>
      <c r="Q1988">
        <v>3</v>
      </c>
      <c r="R1988">
        <v>2026</v>
      </c>
      <c r="S1988" t="s">
        <v>6100</v>
      </c>
      <c r="T1988">
        <v>0</v>
      </c>
      <c r="U1988" t="s">
        <v>6020</v>
      </c>
      <c r="V1988">
        <v>1</v>
      </c>
    </row>
    <row r="1989" spans="1:22" x14ac:dyDescent="0.3">
      <c r="A1989" t="s">
        <v>2004</v>
      </c>
      <c r="B1989" s="2">
        <v>46106.48541666667</v>
      </c>
      <c r="C1989" s="2">
        <v>46106.65625</v>
      </c>
      <c r="D1989" t="s">
        <v>6027</v>
      </c>
      <c r="E1989" t="s">
        <v>6030</v>
      </c>
      <c r="F1989" t="s">
        <v>6034</v>
      </c>
      <c r="G1989" t="s">
        <v>6043</v>
      </c>
      <c r="H1989" t="s">
        <v>6097</v>
      </c>
      <c r="I1989">
        <v>24</v>
      </c>
      <c r="J1989">
        <v>4.0999999999999996</v>
      </c>
      <c r="K1989" t="s">
        <v>6099</v>
      </c>
      <c r="L1989" t="s">
        <v>6100</v>
      </c>
      <c r="M1989" t="s">
        <v>6100</v>
      </c>
      <c r="O1989" t="s">
        <v>6101</v>
      </c>
      <c r="P1989" t="s">
        <v>6109</v>
      </c>
      <c r="Q1989">
        <v>3</v>
      </c>
      <c r="R1989">
        <v>2026</v>
      </c>
      <c r="S1989" t="s">
        <v>6099</v>
      </c>
      <c r="T1989">
        <v>1</v>
      </c>
      <c r="U1989" t="s">
        <v>6018</v>
      </c>
      <c r="V1989">
        <v>1</v>
      </c>
    </row>
    <row r="1990" spans="1:22" x14ac:dyDescent="0.3">
      <c r="A1990" t="s">
        <v>2005</v>
      </c>
      <c r="B1990" s="2">
        <v>46106.500694444447</v>
      </c>
      <c r="C1990" s="2">
        <v>46106.950694444444</v>
      </c>
      <c r="D1990" t="s">
        <v>6025</v>
      </c>
      <c r="E1990" t="s">
        <v>6030</v>
      </c>
      <c r="F1990" t="s">
        <v>6035</v>
      </c>
      <c r="G1990" t="s">
        <v>6074</v>
      </c>
      <c r="H1990" t="s">
        <v>6098</v>
      </c>
      <c r="I1990">
        <v>4</v>
      </c>
      <c r="J1990">
        <v>10.8</v>
      </c>
      <c r="K1990" t="s">
        <v>6099</v>
      </c>
      <c r="L1990" t="s">
        <v>6100</v>
      </c>
      <c r="M1990" t="s">
        <v>6100</v>
      </c>
      <c r="O1990" t="s">
        <v>6101</v>
      </c>
      <c r="P1990" t="s">
        <v>6109</v>
      </c>
      <c r="Q1990">
        <v>3</v>
      </c>
      <c r="R1990">
        <v>2026</v>
      </c>
      <c r="S1990" t="s">
        <v>6100</v>
      </c>
      <c r="T1990">
        <v>0</v>
      </c>
      <c r="U1990" t="s">
        <v>6017</v>
      </c>
      <c r="V1990">
        <v>1</v>
      </c>
    </row>
    <row r="1991" spans="1:22" x14ac:dyDescent="0.3">
      <c r="A1991" t="s">
        <v>2006</v>
      </c>
      <c r="B1991" s="2">
        <v>46106.524305555555</v>
      </c>
      <c r="C1991" s="2">
        <v>46108.603472222225</v>
      </c>
      <c r="D1991" t="s">
        <v>6026</v>
      </c>
      <c r="E1991" t="s">
        <v>6031</v>
      </c>
      <c r="F1991" t="s">
        <v>6033</v>
      </c>
      <c r="G1991" t="s">
        <v>6069</v>
      </c>
      <c r="H1991" t="s">
        <v>6098</v>
      </c>
      <c r="I1991">
        <v>72</v>
      </c>
      <c r="J1991">
        <v>49.9</v>
      </c>
      <c r="K1991" t="s">
        <v>6099</v>
      </c>
      <c r="L1991" t="s">
        <v>6100</v>
      </c>
      <c r="M1991" t="s">
        <v>6100</v>
      </c>
      <c r="N1991">
        <v>5</v>
      </c>
      <c r="O1991" t="s">
        <v>6101</v>
      </c>
      <c r="P1991" t="s">
        <v>6109</v>
      </c>
      <c r="Q1991">
        <v>3</v>
      </c>
      <c r="R1991">
        <v>2026</v>
      </c>
      <c r="S1991" t="s">
        <v>6099</v>
      </c>
      <c r="T1991">
        <v>1</v>
      </c>
      <c r="U1991" t="s">
        <v>6019</v>
      </c>
      <c r="V1991">
        <v>1</v>
      </c>
    </row>
    <row r="1992" spans="1:22" x14ac:dyDescent="0.3">
      <c r="A1992" t="s">
        <v>2007</v>
      </c>
      <c r="B1992" s="2">
        <v>46106.54791666667</v>
      </c>
      <c r="C1992" s="2">
        <v>46106.731249999997</v>
      </c>
      <c r="D1992" t="s">
        <v>6022</v>
      </c>
      <c r="E1992" t="s">
        <v>6029</v>
      </c>
      <c r="F1992" t="s">
        <v>6034</v>
      </c>
      <c r="G1992" t="s">
        <v>6060</v>
      </c>
      <c r="H1992" t="s">
        <v>6097</v>
      </c>
      <c r="I1992">
        <v>24</v>
      </c>
      <c r="J1992">
        <v>4.4000000000000004</v>
      </c>
      <c r="K1992" t="s">
        <v>6099</v>
      </c>
      <c r="L1992" t="s">
        <v>6100</v>
      </c>
      <c r="M1992" t="s">
        <v>6100</v>
      </c>
      <c r="N1992">
        <v>5</v>
      </c>
      <c r="O1992" t="s">
        <v>6101</v>
      </c>
      <c r="P1992" t="s">
        <v>6109</v>
      </c>
      <c r="Q1992">
        <v>3</v>
      </c>
      <c r="R1992">
        <v>2026</v>
      </c>
      <c r="S1992" t="s">
        <v>6099</v>
      </c>
      <c r="T1992">
        <v>1</v>
      </c>
      <c r="U1992" t="s">
        <v>6019</v>
      </c>
      <c r="V1992">
        <v>1</v>
      </c>
    </row>
    <row r="1993" spans="1:22" x14ac:dyDescent="0.3">
      <c r="A1993" t="s">
        <v>2008</v>
      </c>
      <c r="B1993" s="2">
        <v>46106.552083333336</v>
      </c>
      <c r="C1993" s="2">
        <v>46108.481249999997</v>
      </c>
      <c r="D1993" t="s">
        <v>6026</v>
      </c>
      <c r="E1993" t="s">
        <v>6029</v>
      </c>
      <c r="F1993" t="s">
        <v>6034</v>
      </c>
      <c r="G1993" t="s">
        <v>6083</v>
      </c>
      <c r="H1993" t="s">
        <v>6096</v>
      </c>
      <c r="I1993">
        <v>24</v>
      </c>
      <c r="J1993">
        <v>46.3</v>
      </c>
      <c r="K1993" t="s">
        <v>6099</v>
      </c>
      <c r="L1993" t="s">
        <v>6100</v>
      </c>
      <c r="M1993" t="s">
        <v>6100</v>
      </c>
      <c r="N1993">
        <v>3</v>
      </c>
      <c r="O1993" t="s">
        <v>6101</v>
      </c>
      <c r="P1993" t="s">
        <v>6109</v>
      </c>
      <c r="Q1993">
        <v>3</v>
      </c>
      <c r="R1993">
        <v>2026</v>
      </c>
      <c r="S1993" t="s">
        <v>6100</v>
      </c>
      <c r="T1993">
        <v>0</v>
      </c>
      <c r="U1993" t="s">
        <v>6019</v>
      </c>
      <c r="V1993">
        <v>1</v>
      </c>
    </row>
    <row r="1994" spans="1:22" x14ac:dyDescent="0.3">
      <c r="A1994" t="s">
        <v>2009</v>
      </c>
      <c r="B1994" s="2">
        <v>46106.578472222223</v>
      </c>
      <c r="C1994" s="2">
        <v>46106.724305555559</v>
      </c>
      <c r="D1994" t="s">
        <v>6022</v>
      </c>
      <c r="E1994" t="s">
        <v>6029</v>
      </c>
      <c r="F1994" t="s">
        <v>6034</v>
      </c>
      <c r="G1994" t="s">
        <v>6051</v>
      </c>
      <c r="H1994" t="s">
        <v>6097</v>
      </c>
      <c r="I1994">
        <v>24</v>
      </c>
      <c r="J1994">
        <v>3.5</v>
      </c>
      <c r="K1994" t="s">
        <v>6099</v>
      </c>
      <c r="L1994" t="s">
        <v>6100</v>
      </c>
      <c r="M1994" t="s">
        <v>6100</v>
      </c>
      <c r="N1994">
        <v>5</v>
      </c>
      <c r="O1994" t="s">
        <v>6101</v>
      </c>
      <c r="P1994" t="s">
        <v>6109</v>
      </c>
      <c r="Q1994">
        <v>3</v>
      </c>
      <c r="R1994">
        <v>2026</v>
      </c>
      <c r="S1994" t="s">
        <v>6099</v>
      </c>
      <c r="T1994">
        <v>1</v>
      </c>
      <c r="U1994" t="s">
        <v>6021</v>
      </c>
      <c r="V1994">
        <v>1</v>
      </c>
    </row>
    <row r="1995" spans="1:22" x14ac:dyDescent="0.3">
      <c r="A1995" t="s">
        <v>2010</v>
      </c>
      <c r="B1995" s="2">
        <v>46106.617361111108</v>
      </c>
      <c r="C1995" s="2">
        <v>46106.813194444447</v>
      </c>
      <c r="D1995" t="s">
        <v>6028</v>
      </c>
      <c r="E1995" t="s">
        <v>6029</v>
      </c>
      <c r="F1995" t="s">
        <v>6035</v>
      </c>
      <c r="G1995" t="s">
        <v>6046</v>
      </c>
      <c r="H1995" t="s">
        <v>6098</v>
      </c>
      <c r="I1995">
        <v>4</v>
      </c>
      <c r="J1995">
        <v>4.7</v>
      </c>
      <c r="K1995" t="s">
        <v>6099</v>
      </c>
      <c r="L1995" t="s">
        <v>6100</v>
      </c>
      <c r="M1995" t="s">
        <v>6100</v>
      </c>
      <c r="O1995" t="s">
        <v>6101</v>
      </c>
      <c r="P1995" t="s">
        <v>6109</v>
      </c>
      <c r="Q1995">
        <v>3</v>
      </c>
      <c r="R1995">
        <v>2026</v>
      </c>
      <c r="S1995" t="s">
        <v>6100</v>
      </c>
      <c r="T1995">
        <v>0</v>
      </c>
      <c r="U1995" t="s">
        <v>6019</v>
      </c>
      <c r="V1995">
        <v>1</v>
      </c>
    </row>
    <row r="1996" spans="1:22" x14ac:dyDescent="0.3">
      <c r="A1996" t="s">
        <v>2011</v>
      </c>
      <c r="B1996" s="2">
        <v>46106.62222222222</v>
      </c>
      <c r="C1996" s="2">
        <v>46106.943055555559</v>
      </c>
      <c r="D1996" t="s">
        <v>6023</v>
      </c>
      <c r="E1996" t="s">
        <v>6029</v>
      </c>
      <c r="F1996" t="s">
        <v>6033</v>
      </c>
      <c r="G1996" t="s">
        <v>6056</v>
      </c>
      <c r="H1996" t="s">
        <v>6098</v>
      </c>
      <c r="I1996">
        <v>72</v>
      </c>
      <c r="J1996">
        <v>7.7</v>
      </c>
      <c r="K1996" t="s">
        <v>6099</v>
      </c>
      <c r="L1996" t="s">
        <v>6100</v>
      </c>
      <c r="M1996" t="s">
        <v>6100</v>
      </c>
      <c r="O1996" t="s">
        <v>6101</v>
      </c>
      <c r="P1996" t="s">
        <v>6109</v>
      </c>
      <c r="Q1996">
        <v>3</v>
      </c>
      <c r="R1996">
        <v>2026</v>
      </c>
      <c r="S1996" t="s">
        <v>6099</v>
      </c>
      <c r="T1996">
        <v>1</v>
      </c>
      <c r="U1996" t="s">
        <v>6019</v>
      </c>
      <c r="V1996">
        <v>1</v>
      </c>
    </row>
    <row r="1997" spans="1:22" x14ac:dyDescent="0.3">
      <c r="A1997" t="s">
        <v>2012</v>
      </c>
      <c r="B1997" s="2">
        <v>46106.625694444447</v>
      </c>
      <c r="C1997" s="2">
        <v>46108.992361111108</v>
      </c>
      <c r="D1997" t="s">
        <v>6022</v>
      </c>
      <c r="E1997" t="s">
        <v>6032</v>
      </c>
      <c r="F1997" t="s">
        <v>6035</v>
      </c>
      <c r="G1997" t="s">
        <v>6036</v>
      </c>
      <c r="H1997" t="s">
        <v>6096</v>
      </c>
      <c r="I1997">
        <v>4</v>
      </c>
      <c r="J1997">
        <v>56.8</v>
      </c>
      <c r="K1997" t="s">
        <v>6100</v>
      </c>
      <c r="L1997" t="s">
        <v>6100</v>
      </c>
      <c r="M1997" t="s">
        <v>6099</v>
      </c>
      <c r="N1997">
        <v>2</v>
      </c>
      <c r="O1997" t="s">
        <v>6101</v>
      </c>
      <c r="P1997" t="s">
        <v>6109</v>
      </c>
      <c r="Q1997">
        <v>3</v>
      </c>
      <c r="R1997">
        <v>2026</v>
      </c>
      <c r="S1997" t="s">
        <v>6100</v>
      </c>
      <c r="T1997">
        <v>0</v>
      </c>
      <c r="U1997" t="s">
        <v>6018</v>
      </c>
      <c r="V1997">
        <v>0</v>
      </c>
    </row>
    <row r="1998" spans="1:22" x14ac:dyDescent="0.3">
      <c r="A1998" t="s">
        <v>2013</v>
      </c>
      <c r="B1998" s="2">
        <v>46106.651388888888</v>
      </c>
      <c r="C1998" s="2">
        <v>46111.572222222225</v>
      </c>
      <c r="D1998" t="s">
        <v>6024</v>
      </c>
      <c r="E1998" t="s">
        <v>6031</v>
      </c>
      <c r="F1998" t="s">
        <v>6033</v>
      </c>
      <c r="G1998" t="s">
        <v>6051</v>
      </c>
      <c r="H1998" t="s">
        <v>6097</v>
      </c>
      <c r="I1998">
        <v>72</v>
      </c>
      <c r="J1998">
        <v>118.1</v>
      </c>
      <c r="K1998" t="s">
        <v>6099</v>
      </c>
      <c r="L1998" t="s">
        <v>6100</v>
      </c>
      <c r="M1998" t="s">
        <v>6100</v>
      </c>
      <c r="N1998">
        <v>4</v>
      </c>
      <c r="O1998" t="s">
        <v>6101</v>
      </c>
      <c r="P1998" t="s">
        <v>6109</v>
      </c>
      <c r="Q1998">
        <v>3</v>
      </c>
      <c r="R1998">
        <v>2026</v>
      </c>
      <c r="S1998" t="s">
        <v>6100</v>
      </c>
      <c r="T1998">
        <v>0</v>
      </c>
      <c r="U1998" t="s">
        <v>6019</v>
      </c>
      <c r="V1998">
        <v>1</v>
      </c>
    </row>
    <row r="1999" spans="1:22" x14ac:dyDescent="0.3">
      <c r="A1999" t="s">
        <v>2014</v>
      </c>
      <c r="B1999" s="2">
        <v>46106.652777777781</v>
      </c>
      <c r="C1999" s="2">
        <v>46107.340277777781</v>
      </c>
      <c r="D1999" t="s">
        <v>6028</v>
      </c>
      <c r="E1999" t="s">
        <v>6029</v>
      </c>
      <c r="F1999" t="s">
        <v>6035</v>
      </c>
      <c r="G1999" t="s">
        <v>6089</v>
      </c>
      <c r="H1999" t="s">
        <v>6098</v>
      </c>
      <c r="I1999">
        <v>4</v>
      </c>
      <c r="J1999">
        <v>16.5</v>
      </c>
      <c r="K1999" t="s">
        <v>6099</v>
      </c>
      <c r="L1999" t="s">
        <v>6100</v>
      </c>
      <c r="M1999" t="s">
        <v>6100</v>
      </c>
      <c r="N1999">
        <v>4</v>
      </c>
      <c r="O1999" t="s">
        <v>6101</v>
      </c>
      <c r="P1999" t="s">
        <v>6109</v>
      </c>
      <c r="Q1999">
        <v>3</v>
      </c>
      <c r="R1999">
        <v>2026</v>
      </c>
      <c r="S1999" t="s">
        <v>6100</v>
      </c>
      <c r="T1999">
        <v>0</v>
      </c>
      <c r="U1999" t="s">
        <v>6018</v>
      </c>
      <c r="V1999">
        <v>1</v>
      </c>
    </row>
    <row r="2000" spans="1:22" x14ac:dyDescent="0.3">
      <c r="A2000" t="s">
        <v>2015</v>
      </c>
      <c r="B2000" s="2">
        <v>46106.662499999999</v>
      </c>
      <c r="C2000" s="2">
        <v>46106.837500000001</v>
      </c>
      <c r="D2000" t="s">
        <v>6025</v>
      </c>
      <c r="E2000" t="s">
        <v>6030</v>
      </c>
      <c r="F2000" t="s">
        <v>6033</v>
      </c>
      <c r="G2000" t="s">
        <v>6046</v>
      </c>
      <c r="H2000" t="s">
        <v>6098</v>
      </c>
      <c r="I2000">
        <v>72</v>
      </c>
      <c r="J2000">
        <v>4.2</v>
      </c>
      <c r="K2000" t="s">
        <v>6099</v>
      </c>
      <c r="L2000" t="s">
        <v>6100</v>
      </c>
      <c r="M2000" t="s">
        <v>6100</v>
      </c>
      <c r="O2000" t="s">
        <v>6101</v>
      </c>
      <c r="P2000" t="s">
        <v>6109</v>
      </c>
      <c r="Q2000">
        <v>3</v>
      </c>
      <c r="R2000">
        <v>2026</v>
      </c>
      <c r="S2000" t="s">
        <v>6099</v>
      </c>
      <c r="T2000">
        <v>1</v>
      </c>
      <c r="U2000" t="s">
        <v>6021</v>
      </c>
      <c r="V2000">
        <v>1</v>
      </c>
    </row>
    <row r="2001" spans="1:22" x14ac:dyDescent="0.3">
      <c r="A2001" t="s">
        <v>2016</v>
      </c>
      <c r="B2001" s="2">
        <v>46106.795138888891</v>
      </c>
      <c r="C2001" s="2">
        <v>46106.978472222225</v>
      </c>
      <c r="D2001" t="s">
        <v>6027</v>
      </c>
      <c r="E2001" t="s">
        <v>6030</v>
      </c>
      <c r="F2001" t="s">
        <v>6034</v>
      </c>
      <c r="G2001" t="s">
        <v>6062</v>
      </c>
      <c r="H2001" t="s">
        <v>6096</v>
      </c>
      <c r="I2001">
        <v>24</v>
      </c>
      <c r="J2001">
        <v>4.4000000000000004</v>
      </c>
      <c r="K2001" t="s">
        <v>6100</v>
      </c>
      <c r="L2001" t="s">
        <v>6099</v>
      </c>
      <c r="M2001" t="s">
        <v>6100</v>
      </c>
      <c r="O2001" t="s">
        <v>6101</v>
      </c>
      <c r="P2001" t="s">
        <v>6109</v>
      </c>
      <c r="Q2001">
        <v>3</v>
      </c>
      <c r="R2001">
        <v>2026</v>
      </c>
      <c r="S2001" t="s">
        <v>6099</v>
      </c>
      <c r="T2001">
        <v>1</v>
      </c>
      <c r="U2001" t="s">
        <v>6020</v>
      </c>
      <c r="V2001">
        <v>0</v>
      </c>
    </row>
    <row r="2002" spans="1:22" x14ac:dyDescent="0.3">
      <c r="A2002" t="s">
        <v>2017</v>
      </c>
      <c r="B2002" s="2">
        <v>46106.80972222222</v>
      </c>
      <c r="C2002" s="2">
        <v>46107.430555555555</v>
      </c>
      <c r="D2002" t="s">
        <v>6023</v>
      </c>
      <c r="E2002" t="s">
        <v>6032</v>
      </c>
      <c r="F2002" t="s">
        <v>6033</v>
      </c>
      <c r="G2002" t="s">
        <v>6058</v>
      </c>
      <c r="H2002" t="s">
        <v>6098</v>
      </c>
      <c r="I2002">
        <v>72</v>
      </c>
      <c r="J2002">
        <v>14.9</v>
      </c>
      <c r="K2002" t="s">
        <v>6099</v>
      </c>
      <c r="L2002" t="s">
        <v>6100</v>
      </c>
      <c r="M2002" t="s">
        <v>6100</v>
      </c>
      <c r="N2002">
        <v>4</v>
      </c>
      <c r="O2002" t="s">
        <v>6101</v>
      </c>
      <c r="P2002" t="s">
        <v>6109</v>
      </c>
      <c r="Q2002">
        <v>3</v>
      </c>
      <c r="R2002">
        <v>2026</v>
      </c>
      <c r="S2002" t="s">
        <v>6099</v>
      </c>
      <c r="T2002">
        <v>1</v>
      </c>
      <c r="U2002" t="s">
        <v>6020</v>
      </c>
      <c r="V2002">
        <v>1</v>
      </c>
    </row>
    <row r="2003" spans="1:22" x14ac:dyDescent="0.3">
      <c r="A2003" t="s">
        <v>2018</v>
      </c>
      <c r="B2003" s="2">
        <v>46107.234722222223</v>
      </c>
      <c r="C2003" s="2">
        <v>46107.859722222223</v>
      </c>
      <c r="D2003" t="s">
        <v>6024</v>
      </c>
      <c r="E2003" t="s">
        <v>6029</v>
      </c>
      <c r="F2003" t="s">
        <v>6035</v>
      </c>
      <c r="G2003" t="s">
        <v>6090</v>
      </c>
      <c r="H2003" t="s">
        <v>6097</v>
      </c>
      <c r="I2003">
        <v>4</v>
      </c>
      <c r="J2003">
        <v>15</v>
      </c>
      <c r="K2003" t="s">
        <v>6099</v>
      </c>
      <c r="L2003" t="s">
        <v>6100</v>
      </c>
      <c r="M2003" t="s">
        <v>6100</v>
      </c>
      <c r="N2003">
        <v>3</v>
      </c>
      <c r="O2003" t="s">
        <v>6101</v>
      </c>
      <c r="P2003" t="s">
        <v>6109</v>
      </c>
      <c r="Q2003">
        <v>3</v>
      </c>
      <c r="R2003">
        <v>2026</v>
      </c>
      <c r="S2003" t="s">
        <v>6100</v>
      </c>
      <c r="T2003">
        <v>0</v>
      </c>
      <c r="U2003" t="s">
        <v>6020</v>
      </c>
      <c r="V2003">
        <v>1</v>
      </c>
    </row>
    <row r="2004" spans="1:22" x14ac:dyDescent="0.3">
      <c r="A2004" t="s">
        <v>2019</v>
      </c>
      <c r="B2004" s="2">
        <v>46107.240277777775</v>
      </c>
      <c r="C2004" s="2">
        <v>46110.290277777778</v>
      </c>
      <c r="D2004" t="s">
        <v>6025</v>
      </c>
      <c r="E2004" t="s">
        <v>6031</v>
      </c>
      <c r="F2004" t="s">
        <v>6035</v>
      </c>
      <c r="G2004" t="s">
        <v>6048</v>
      </c>
      <c r="H2004" t="s">
        <v>6096</v>
      </c>
      <c r="I2004">
        <v>4</v>
      </c>
      <c r="J2004">
        <v>73.2</v>
      </c>
      <c r="K2004" t="s">
        <v>6100</v>
      </c>
      <c r="L2004" t="s">
        <v>6099</v>
      </c>
      <c r="M2004" t="s">
        <v>6100</v>
      </c>
      <c r="N2004">
        <v>1</v>
      </c>
      <c r="O2004" t="s">
        <v>6101</v>
      </c>
      <c r="P2004" t="s">
        <v>6109</v>
      </c>
      <c r="Q2004">
        <v>3</v>
      </c>
      <c r="R2004">
        <v>2026</v>
      </c>
      <c r="S2004" t="s">
        <v>6100</v>
      </c>
      <c r="T2004">
        <v>0</v>
      </c>
      <c r="U2004" t="s">
        <v>6017</v>
      </c>
      <c r="V2004">
        <v>0</v>
      </c>
    </row>
    <row r="2005" spans="1:22" x14ac:dyDescent="0.3">
      <c r="A2005" t="s">
        <v>2020</v>
      </c>
      <c r="B2005" s="2">
        <v>46107.252083333333</v>
      </c>
      <c r="C2005" s="2">
        <v>46107.522916666669</v>
      </c>
      <c r="D2005" t="s">
        <v>6023</v>
      </c>
      <c r="E2005" t="s">
        <v>6029</v>
      </c>
      <c r="F2005" t="s">
        <v>6034</v>
      </c>
      <c r="G2005" t="s">
        <v>6040</v>
      </c>
      <c r="H2005" t="s">
        <v>6097</v>
      </c>
      <c r="I2005">
        <v>24</v>
      </c>
      <c r="J2005">
        <v>6.5</v>
      </c>
      <c r="K2005" t="s">
        <v>6099</v>
      </c>
      <c r="L2005" t="s">
        <v>6100</v>
      </c>
      <c r="M2005" t="s">
        <v>6100</v>
      </c>
      <c r="N2005">
        <v>5</v>
      </c>
      <c r="O2005" t="s">
        <v>6101</v>
      </c>
      <c r="P2005" t="s">
        <v>6109</v>
      </c>
      <c r="Q2005">
        <v>3</v>
      </c>
      <c r="R2005">
        <v>2026</v>
      </c>
      <c r="S2005" t="s">
        <v>6099</v>
      </c>
      <c r="T2005">
        <v>1</v>
      </c>
      <c r="U2005" t="s">
        <v>6021</v>
      </c>
      <c r="V2005">
        <v>1</v>
      </c>
    </row>
    <row r="2006" spans="1:22" x14ac:dyDescent="0.3">
      <c r="A2006" t="s">
        <v>2021</v>
      </c>
      <c r="B2006" s="2">
        <v>46107.252083333333</v>
      </c>
      <c r="C2006" s="2">
        <v>46107.59375</v>
      </c>
      <c r="D2006" t="s">
        <v>6023</v>
      </c>
      <c r="E2006" t="s">
        <v>6032</v>
      </c>
      <c r="F2006" t="s">
        <v>6033</v>
      </c>
      <c r="G2006" t="s">
        <v>6090</v>
      </c>
      <c r="H2006" t="s">
        <v>6097</v>
      </c>
      <c r="I2006">
        <v>72</v>
      </c>
      <c r="J2006">
        <v>8.1999999999999993</v>
      </c>
      <c r="K2006" t="s">
        <v>6099</v>
      </c>
      <c r="L2006" t="s">
        <v>6100</v>
      </c>
      <c r="M2006" t="s">
        <v>6100</v>
      </c>
      <c r="O2006" t="s">
        <v>6101</v>
      </c>
      <c r="P2006" t="s">
        <v>6109</v>
      </c>
      <c r="Q2006">
        <v>3</v>
      </c>
      <c r="R2006">
        <v>2026</v>
      </c>
      <c r="S2006" t="s">
        <v>6099</v>
      </c>
      <c r="T2006">
        <v>1</v>
      </c>
      <c r="U2006" t="s">
        <v>6019</v>
      </c>
      <c r="V2006">
        <v>1</v>
      </c>
    </row>
    <row r="2007" spans="1:22" x14ac:dyDescent="0.3">
      <c r="A2007" t="s">
        <v>2022</v>
      </c>
      <c r="B2007" s="2">
        <v>46107.277777777781</v>
      </c>
      <c r="C2007" s="2">
        <v>46107.94027777778</v>
      </c>
      <c r="D2007" t="s">
        <v>6024</v>
      </c>
      <c r="E2007" t="s">
        <v>6029</v>
      </c>
      <c r="F2007" t="s">
        <v>6034</v>
      </c>
      <c r="G2007" t="s">
        <v>6048</v>
      </c>
      <c r="H2007" t="s">
        <v>6096</v>
      </c>
      <c r="I2007">
        <v>24</v>
      </c>
      <c r="J2007">
        <v>15.9</v>
      </c>
      <c r="K2007" t="s">
        <v>6100</v>
      </c>
      <c r="L2007" t="s">
        <v>6099</v>
      </c>
      <c r="M2007" t="s">
        <v>6099</v>
      </c>
      <c r="N2007">
        <v>3</v>
      </c>
      <c r="O2007" t="s">
        <v>6101</v>
      </c>
      <c r="P2007" t="s">
        <v>6109</v>
      </c>
      <c r="Q2007">
        <v>3</v>
      </c>
      <c r="R2007">
        <v>2026</v>
      </c>
      <c r="S2007" t="s">
        <v>6099</v>
      </c>
      <c r="T2007">
        <v>1</v>
      </c>
      <c r="U2007" t="s">
        <v>6018</v>
      </c>
      <c r="V2007">
        <v>0</v>
      </c>
    </row>
    <row r="2008" spans="1:22" x14ac:dyDescent="0.3">
      <c r="A2008" t="s">
        <v>2023</v>
      </c>
      <c r="B2008" s="2">
        <v>46107.341666666667</v>
      </c>
      <c r="C2008" s="2">
        <v>46108.254166666666</v>
      </c>
      <c r="D2008" t="s">
        <v>6025</v>
      </c>
      <c r="E2008" t="s">
        <v>6031</v>
      </c>
      <c r="F2008" t="s">
        <v>6034</v>
      </c>
      <c r="G2008" t="s">
        <v>6071</v>
      </c>
      <c r="H2008" t="s">
        <v>6098</v>
      </c>
      <c r="I2008">
        <v>24</v>
      </c>
      <c r="J2008">
        <v>21.9</v>
      </c>
      <c r="K2008" t="s">
        <v>6099</v>
      </c>
      <c r="L2008" t="s">
        <v>6100</v>
      </c>
      <c r="M2008" t="s">
        <v>6100</v>
      </c>
      <c r="N2008">
        <v>5</v>
      </c>
      <c r="O2008" t="s">
        <v>6101</v>
      </c>
      <c r="P2008" t="s">
        <v>6109</v>
      </c>
      <c r="Q2008">
        <v>3</v>
      </c>
      <c r="R2008">
        <v>2026</v>
      </c>
      <c r="S2008" t="s">
        <v>6099</v>
      </c>
      <c r="T2008">
        <v>1</v>
      </c>
      <c r="U2008" t="s">
        <v>6020</v>
      </c>
      <c r="V2008">
        <v>1</v>
      </c>
    </row>
    <row r="2009" spans="1:22" x14ac:dyDescent="0.3">
      <c r="A2009" t="s">
        <v>2024</v>
      </c>
      <c r="B2009" s="2">
        <v>46107.361805555556</v>
      </c>
      <c r="C2009" s="2">
        <v>46107.761805555558</v>
      </c>
      <c r="D2009" t="s">
        <v>6022</v>
      </c>
      <c r="E2009" t="s">
        <v>6030</v>
      </c>
      <c r="F2009" t="s">
        <v>6033</v>
      </c>
      <c r="G2009" t="s">
        <v>6049</v>
      </c>
      <c r="H2009" t="s">
        <v>6097</v>
      </c>
      <c r="I2009">
        <v>72</v>
      </c>
      <c r="J2009">
        <v>9.6</v>
      </c>
      <c r="K2009" t="s">
        <v>6099</v>
      </c>
      <c r="L2009" t="s">
        <v>6100</v>
      </c>
      <c r="M2009" t="s">
        <v>6100</v>
      </c>
      <c r="O2009" t="s">
        <v>6101</v>
      </c>
      <c r="P2009" t="s">
        <v>6109</v>
      </c>
      <c r="Q2009">
        <v>3</v>
      </c>
      <c r="R2009">
        <v>2026</v>
      </c>
      <c r="S2009" t="s">
        <v>6099</v>
      </c>
      <c r="T2009">
        <v>1</v>
      </c>
      <c r="U2009" t="s">
        <v>6021</v>
      </c>
      <c r="V2009">
        <v>1</v>
      </c>
    </row>
    <row r="2010" spans="1:22" x14ac:dyDescent="0.3">
      <c r="A2010" t="s">
        <v>2025</v>
      </c>
      <c r="B2010" s="2">
        <v>46107.395138888889</v>
      </c>
      <c r="C2010" s="2">
        <v>46107.924305555556</v>
      </c>
      <c r="D2010" t="s">
        <v>6023</v>
      </c>
      <c r="E2010" t="s">
        <v>6030</v>
      </c>
      <c r="F2010" t="s">
        <v>6033</v>
      </c>
      <c r="G2010" t="s">
        <v>6066</v>
      </c>
      <c r="H2010" t="s">
        <v>6096</v>
      </c>
      <c r="I2010">
        <v>72</v>
      </c>
      <c r="J2010">
        <v>12.7</v>
      </c>
      <c r="K2010" t="s">
        <v>6100</v>
      </c>
      <c r="L2010" t="s">
        <v>6099</v>
      </c>
      <c r="M2010" t="s">
        <v>6099</v>
      </c>
      <c r="N2010">
        <v>2</v>
      </c>
      <c r="O2010" t="s">
        <v>6101</v>
      </c>
      <c r="P2010" t="s">
        <v>6109</v>
      </c>
      <c r="Q2010">
        <v>3</v>
      </c>
      <c r="R2010">
        <v>2026</v>
      </c>
      <c r="S2010" t="s">
        <v>6099</v>
      </c>
      <c r="T2010">
        <v>1</v>
      </c>
      <c r="U2010" t="s">
        <v>6021</v>
      </c>
      <c r="V2010">
        <v>0</v>
      </c>
    </row>
    <row r="2011" spans="1:22" x14ac:dyDescent="0.3">
      <c r="A2011" t="s">
        <v>2026</v>
      </c>
      <c r="B2011" s="2">
        <v>46107.424305555556</v>
      </c>
      <c r="C2011" s="2">
        <v>46108.920138888891</v>
      </c>
      <c r="D2011" t="s">
        <v>6027</v>
      </c>
      <c r="E2011" t="s">
        <v>6032</v>
      </c>
      <c r="F2011" t="s">
        <v>6034</v>
      </c>
      <c r="G2011" t="s">
        <v>6046</v>
      </c>
      <c r="H2011" t="s">
        <v>6098</v>
      </c>
      <c r="I2011">
        <v>24</v>
      </c>
      <c r="J2011">
        <v>35.9</v>
      </c>
      <c r="K2011" t="s">
        <v>6099</v>
      </c>
      <c r="L2011" t="s">
        <v>6100</v>
      </c>
      <c r="M2011" t="s">
        <v>6100</v>
      </c>
      <c r="O2011" t="s">
        <v>6101</v>
      </c>
      <c r="P2011" t="s">
        <v>6109</v>
      </c>
      <c r="Q2011">
        <v>3</v>
      </c>
      <c r="R2011">
        <v>2026</v>
      </c>
      <c r="S2011" t="s">
        <v>6100</v>
      </c>
      <c r="T2011">
        <v>0</v>
      </c>
      <c r="U2011" t="s">
        <v>6018</v>
      </c>
      <c r="V2011">
        <v>1</v>
      </c>
    </row>
    <row r="2012" spans="1:22" x14ac:dyDescent="0.3">
      <c r="A2012" t="s">
        <v>2027</v>
      </c>
      <c r="B2012" s="2">
        <v>46107.427777777775</v>
      </c>
      <c r="C2012" s="2">
        <v>46107.765277777777</v>
      </c>
      <c r="D2012" t="s">
        <v>6023</v>
      </c>
      <c r="E2012" t="s">
        <v>6029</v>
      </c>
      <c r="F2012" t="s">
        <v>6033</v>
      </c>
      <c r="G2012" t="s">
        <v>6072</v>
      </c>
      <c r="H2012" t="s">
        <v>6097</v>
      </c>
      <c r="I2012">
        <v>72</v>
      </c>
      <c r="J2012">
        <v>8.1</v>
      </c>
      <c r="K2012" t="s">
        <v>6099</v>
      </c>
      <c r="L2012" t="s">
        <v>6100</v>
      </c>
      <c r="M2012" t="s">
        <v>6100</v>
      </c>
      <c r="N2012">
        <v>5</v>
      </c>
      <c r="O2012" t="s">
        <v>6101</v>
      </c>
      <c r="P2012" t="s">
        <v>6109</v>
      </c>
      <c r="Q2012">
        <v>3</v>
      </c>
      <c r="R2012">
        <v>2026</v>
      </c>
      <c r="S2012" t="s">
        <v>6099</v>
      </c>
      <c r="T2012">
        <v>1</v>
      </c>
      <c r="U2012" t="s">
        <v>6018</v>
      </c>
      <c r="V2012">
        <v>1</v>
      </c>
    </row>
    <row r="2013" spans="1:22" x14ac:dyDescent="0.3">
      <c r="A2013" t="s">
        <v>2028</v>
      </c>
      <c r="B2013" s="2">
        <v>46107.4375</v>
      </c>
      <c r="C2013" s="2">
        <v>46107.82916666667</v>
      </c>
      <c r="D2013" t="s">
        <v>6024</v>
      </c>
      <c r="E2013" t="s">
        <v>6031</v>
      </c>
      <c r="F2013" t="s">
        <v>6033</v>
      </c>
      <c r="G2013" t="s">
        <v>6075</v>
      </c>
      <c r="H2013" t="s">
        <v>6097</v>
      </c>
      <c r="I2013">
        <v>72</v>
      </c>
      <c r="J2013">
        <v>9.4</v>
      </c>
      <c r="K2013" t="s">
        <v>6100</v>
      </c>
      <c r="L2013" t="s">
        <v>6100</v>
      </c>
      <c r="M2013" t="s">
        <v>6099</v>
      </c>
      <c r="N2013">
        <v>4</v>
      </c>
      <c r="O2013" t="s">
        <v>6101</v>
      </c>
      <c r="P2013" t="s">
        <v>6109</v>
      </c>
      <c r="Q2013">
        <v>3</v>
      </c>
      <c r="R2013">
        <v>2026</v>
      </c>
      <c r="S2013" t="s">
        <v>6099</v>
      </c>
      <c r="T2013">
        <v>1</v>
      </c>
      <c r="U2013" t="s">
        <v>6021</v>
      </c>
      <c r="V2013">
        <v>0</v>
      </c>
    </row>
    <row r="2014" spans="1:22" x14ac:dyDescent="0.3">
      <c r="A2014" t="s">
        <v>2029</v>
      </c>
      <c r="B2014" s="2">
        <v>46107.529861111114</v>
      </c>
      <c r="C2014" s="2">
        <v>46108.121527777781</v>
      </c>
      <c r="D2014" t="s">
        <v>6025</v>
      </c>
      <c r="E2014" t="s">
        <v>6031</v>
      </c>
      <c r="F2014" t="s">
        <v>6034</v>
      </c>
      <c r="G2014" t="s">
        <v>6078</v>
      </c>
      <c r="H2014" t="s">
        <v>6097</v>
      </c>
      <c r="I2014">
        <v>24</v>
      </c>
      <c r="J2014">
        <v>14.2</v>
      </c>
      <c r="K2014" t="s">
        <v>6099</v>
      </c>
      <c r="L2014" t="s">
        <v>6100</v>
      </c>
      <c r="M2014" t="s">
        <v>6100</v>
      </c>
      <c r="O2014" t="s">
        <v>6101</v>
      </c>
      <c r="P2014" t="s">
        <v>6109</v>
      </c>
      <c r="Q2014">
        <v>3</v>
      </c>
      <c r="R2014">
        <v>2026</v>
      </c>
      <c r="S2014" t="s">
        <v>6099</v>
      </c>
      <c r="T2014">
        <v>1</v>
      </c>
      <c r="U2014" t="s">
        <v>6020</v>
      </c>
      <c r="V2014">
        <v>1</v>
      </c>
    </row>
    <row r="2015" spans="1:22" x14ac:dyDescent="0.3">
      <c r="A2015" t="s">
        <v>2030</v>
      </c>
      <c r="B2015" s="2">
        <v>46107.549305555556</v>
      </c>
      <c r="C2015" s="2">
        <v>46109.161805555559</v>
      </c>
      <c r="D2015" t="s">
        <v>6026</v>
      </c>
      <c r="E2015" t="s">
        <v>6031</v>
      </c>
      <c r="F2015" t="s">
        <v>6034</v>
      </c>
      <c r="G2015" t="s">
        <v>6072</v>
      </c>
      <c r="H2015" t="s">
        <v>6097</v>
      </c>
      <c r="I2015">
        <v>24</v>
      </c>
      <c r="J2015">
        <v>38.700000000000003</v>
      </c>
      <c r="K2015" t="s">
        <v>6099</v>
      </c>
      <c r="L2015" t="s">
        <v>6100</v>
      </c>
      <c r="M2015" t="s">
        <v>6100</v>
      </c>
      <c r="N2015">
        <v>5</v>
      </c>
      <c r="O2015" t="s">
        <v>6101</v>
      </c>
      <c r="P2015" t="s">
        <v>6109</v>
      </c>
      <c r="Q2015">
        <v>3</v>
      </c>
      <c r="R2015">
        <v>2026</v>
      </c>
      <c r="S2015" t="s">
        <v>6100</v>
      </c>
      <c r="T2015">
        <v>0</v>
      </c>
      <c r="U2015" t="s">
        <v>6019</v>
      </c>
      <c r="V2015">
        <v>1</v>
      </c>
    </row>
    <row r="2016" spans="1:22" x14ac:dyDescent="0.3">
      <c r="A2016" t="s">
        <v>2031</v>
      </c>
      <c r="B2016" s="2">
        <v>46107.566666666666</v>
      </c>
      <c r="C2016" s="2">
        <v>46107.883333333331</v>
      </c>
      <c r="D2016" t="s">
        <v>6024</v>
      </c>
      <c r="E2016" t="s">
        <v>6029</v>
      </c>
      <c r="F2016" t="s">
        <v>6033</v>
      </c>
      <c r="G2016" t="s">
        <v>6085</v>
      </c>
      <c r="H2016" t="s">
        <v>6097</v>
      </c>
      <c r="I2016">
        <v>72</v>
      </c>
      <c r="J2016">
        <v>7.6</v>
      </c>
      <c r="K2016" t="s">
        <v>6099</v>
      </c>
      <c r="L2016" t="s">
        <v>6100</v>
      </c>
      <c r="M2016" t="s">
        <v>6100</v>
      </c>
      <c r="O2016" t="s">
        <v>6101</v>
      </c>
      <c r="P2016" t="s">
        <v>6109</v>
      </c>
      <c r="Q2016">
        <v>3</v>
      </c>
      <c r="R2016">
        <v>2026</v>
      </c>
      <c r="S2016" t="s">
        <v>6099</v>
      </c>
      <c r="T2016">
        <v>1</v>
      </c>
      <c r="U2016" t="s">
        <v>6021</v>
      </c>
      <c r="V2016">
        <v>1</v>
      </c>
    </row>
    <row r="2017" spans="1:22" x14ac:dyDescent="0.3">
      <c r="A2017" t="s">
        <v>2032</v>
      </c>
      <c r="B2017" s="2">
        <v>46107.595833333333</v>
      </c>
      <c r="C2017" s="2">
        <v>46107.675000000003</v>
      </c>
      <c r="D2017" t="s">
        <v>6023</v>
      </c>
      <c r="E2017" t="s">
        <v>6030</v>
      </c>
      <c r="F2017" t="s">
        <v>6033</v>
      </c>
      <c r="G2017" t="s">
        <v>6041</v>
      </c>
      <c r="H2017" t="s">
        <v>6096</v>
      </c>
      <c r="I2017">
        <v>72</v>
      </c>
      <c r="J2017">
        <v>1.9</v>
      </c>
      <c r="K2017" t="s">
        <v>6099</v>
      </c>
      <c r="L2017" t="s">
        <v>6100</v>
      </c>
      <c r="M2017" t="s">
        <v>6100</v>
      </c>
      <c r="N2017">
        <v>5</v>
      </c>
      <c r="O2017" t="s">
        <v>6101</v>
      </c>
      <c r="P2017" t="s">
        <v>6109</v>
      </c>
      <c r="Q2017">
        <v>3</v>
      </c>
      <c r="R2017">
        <v>2026</v>
      </c>
      <c r="S2017" t="s">
        <v>6099</v>
      </c>
      <c r="T2017">
        <v>1</v>
      </c>
      <c r="U2017" t="s">
        <v>6021</v>
      </c>
      <c r="V2017">
        <v>1</v>
      </c>
    </row>
    <row r="2018" spans="1:22" x14ac:dyDescent="0.3">
      <c r="A2018" t="s">
        <v>2033</v>
      </c>
      <c r="B2018" s="2">
        <v>46107.600694444445</v>
      </c>
      <c r="C2018" s="2">
        <v>46107.84652777778</v>
      </c>
      <c r="D2018" t="s">
        <v>6023</v>
      </c>
      <c r="E2018" t="s">
        <v>6032</v>
      </c>
      <c r="F2018" t="s">
        <v>6033</v>
      </c>
      <c r="G2018" t="s">
        <v>6047</v>
      </c>
      <c r="H2018" t="s">
        <v>6098</v>
      </c>
      <c r="I2018">
        <v>72</v>
      </c>
      <c r="J2018">
        <v>5.9</v>
      </c>
      <c r="K2018" t="s">
        <v>6099</v>
      </c>
      <c r="L2018" t="s">
        <v>6100</v>
      </c>
      <c r="M2018" t="s">
        <v>6100</v>
      </c>
      <c r="N2018">
        <v>4</v>
      </c>
      <c r="O2018" t="s">
        <v>6101</v>
      </c>
      <c r="P2018" t="s">
        <v>6109</v>
      </c>
      <c r="Q2018">
        <v>3</v>
      </c>
      <c r="R2018">
        <v>2026</v>
      </c>
      <c r="S2018" t="s">
        <v>6099</v>
      </c>
      <c r="T2018">
        <v>1</v>
      </c>
      <c r="U2018" t="s">
        <v>6019</v>
      </c>
      <c r="V2018">
        <v>1</v>
      </c>
    </row>
    <row r="2019" spans="1:22" x14ac:dyDescent="0.3">
      <c r="A2019" t="s">
        <v>2034</v>
      </c>
      <c r="B2019" s="2">
        <v>46107.613888888889</v>
      </c>
      <c r="C2019" s="2">
        <v>46107.784722222219</v>
      </c>
      <c r="D2019" t="s">
        <v>6028</v>
      </c>
      <c r="E2019" t="s">
        <v>6029</v>
      </c>
      <c r="F2019" t="s">
        <v>6035</v>
      </c>
      <c r="G2019" t="s">
        <v>6089</v>
      </c>
      <c r="H2019" t="s">
        <v>6098</v>
      </c>
      <c r="I2019">
        <v>4</v>
      </c>
      <c r="J2019">
        <v>4.0999999999999996</v>
      </c>
      <c r="K2019" t="s">
        <v>6099</v>
      </c>
      <c r="L2019" t="s">
        <v>6100</v>
      </c>
      <c r="M2019" t="s">
        <v>6100</v>
      </c>
      <c r="N2019">
        <v>5</v>
      </c>
      <c r="O2019" t="s">
        <v>6101</v>
      </c>
      <c r="P2019" t="s">
        <v>6109</v>
      </c>
      <c r="Q2019">
        <v>3</v>
      </c>
      <c r="R2019">
        <v>2026</v>
      </c>
      <c r="S2019" t="s">
        <v>6100</v>
      </c>
      <c r="T2019">
        <v>0</v>
      </c>
      <c r="U2019" t="s">
        <v>6020</v>
      </c>
      <c r="V2019">
        <v>1</v>
      </c>
    </row>
    <row r="2020" spans="1:22" x14ac:dyDescent="0.3">
      <c r="A2020" t="s">
        <v>2035</v>
      </c>
      <c r="B2020" s="2">
        <v>46107.614583333336</v>
      </c>
      <c r="C2020" s="2">
        <v>46117.439583333333</v>
      </c>
      <c r="D2020" t="s">
        <v>6026</v>
      </c>
      <c r="E2020" t="s">
        <v>6031</v>
      </c>
      <c r="F2020" t="s">
        <v>6033</v>
      </c>
      <c r="G2020" t="s">
        <v>6074</v>
      </c>
      <c r="H2020" t="s">
        <v>6098</v>
      </c>
      <c r="I2020">
        <v>72</v>
      </c>
      <c r="J2020">
        <v>235.8</v>
      </c>
      <c r="K2020" t="s">
        <v>6100</v>
      </c>
      <c r="L2020" t="s">
        <v>6099</v>
      </c>
      <c r="M2020" t="s">
        <v>6100</v>
      </c>
      <c r="O2020" t="s">
        <v>6101</v>
      </c>
      <c r="P2020" t="s">
        <v>6109</v>
      </c>
      <c r="Q2020">
        <v>3</v>
      </c>
      <c r="R2020">
        <v>2026</v>
      </c>
      <c r="S2020" t="s">
        <v>6100</v>
      </c>
      <c r="T2020">
        <v>0</v>
      </c>
      <c r="U2020" t="s">
        <v>6021</v>
      </c>
      <c r="V2020">
        <v>0</v>
      </c>
    </row>
    <row r="2021" spans="1:22" x14ac:dyDescent="0.3">
      <c r="A2021" t="s">
        <v>2036</v>
      </c>
      <c r="B2021" s="2">
        <v>46107.654166666667</v>
      </c>
      <c r="C2021" s="2">
        <v>46108.85833333333</v>
      </c>
      <c r="D2021" t="s">
        <v>6024</v>
      </c>
      <c r="E2021" t="s">
        <v>6032</v>
      </c>
      <c r="F2021" t="s">
        <v>6035</v>
      </c>
      <c r="G2021" t="s">
        <v>6039</v>
      </c>
      <c r="H2021" t="s">
        <v>6097</v>
      </c>
      <c r="I2021">
        <v>4</v>
      </c>
      <c r="J2021">
        <v>28.9</v>
      </c>
      <c r="K2021" t="s">
        <v>6099</v>
      </c>
      <c r="L2021" t="s">
        <v>6100</v>
      </c>
      <c r="M2021" t="s">
        <v>6099</v>
      </c>
      <c r="N2021">
        <v>2</v>
      </c>
      <c r="O2021" t="s">
        <v>6101</v>
      </c>
      <c r="P2021" t="s">
        <v>6109</v>
      </c>
      <c r="Q2021">
        <v>3</v>
      </c>
      <c r="R2021">
        <v>2026</v>
      </c>
      <c r="S2021" t="s">
        <v>6100</v>
      </c>
      <c r="T2021">
        <v>0</v>
      </c>
      <c r="U2021" t="s">
        <v>6018</v>
      </c>
      <c r="V2021">
        <v>1</v>
      </c>
    </row>
    <row r="2022" spans="1:22" x14ac:dyDescent="0.3">
      <c r="A2022" t="s">
        <v>2037</v>
      </c>
      <c r="B2022" s="2">
        <v>46107.714583333334</v>
      </c>
      <c r="C2022" s="2">
        <v>46108.260416666664</v>
      </c>
      <c r="D2022" t="s">
        <v>6023</v>
      </c>
      <c r="E2022" t="s">
        <v>6032</v>
      </c>
      <c r="F2022" t="s">
        <v>6034</v>
      </c>
      <c r="G2022" t="s">
        <v>6095</v>
      </c>
      <c r="H2022" t="s">
        <v>6098</v>
      </c>
      <c r="I2022">
        <v>24</v>
      </c>
      <c r="J2022">
        <v>13.1</v>
      </c>
      <c r="K2022" t="s">
        <v>6099</v>
      </c>
      <c r="L2022" t="s">
        <v>6100</v>
      </c>
      <c r="M2022" t="s">
        <v>6100</v>
      </c>
      <c r="O2022" t="s">
        <v>6101</v>
      </c>
      <c r="P2022" t="s">
        <v>6109</v>
      </c>
      <c r="Q2022">
        <v>3</v>
      </c>
      <c r="R2022">
        <v>2026</v>
      </c>
      <c r="S2022" t="s">
        <v>6099</v>
      </c>
      <c r="T2022">
        <v>1</v>
      </c>
      <c r="U2022" t="s">
        <v>6019</v>
      </c>
      <c r="V2022">
        <v>1</v>
      </c>
    </row>
    <row r="2023" spans="1:22" x14ac:dyDescent="0.3">
      <c r="A2023" t="s">
        <v>2038</v>
      </c>
      <c r="B2023" s="2">
        <v>46107.719444444447</v>
      </c>
      <c r="C2023" s="2">
        <v>46108.036111111112</v>
      </c>
      <c r="D2023" t="s">
        <v>6022</v>
      </c>
      <c r="E2023" t="s">
        <v>6030</v>
      </c>
      <c r="F2023" t="s">
        <v>6034</v>
      </c>
      <c r="G2023" t="s">
        <v>6086</v>
      </c>
      <c r="H2023" t="s">
        <v>6098</v>
      </c>
      <c r="I2023">
        <v>24</v>
      </c>
      <c r="J2023">
        <v>7.6</v>
      </c>
      <c r="K2023" t="s">
        <v>6099</v>
      </c>
      <c r="L2023" t="s">
        <v>6100</v>
      </c>
      <c r="M2023" t="s">
        <v>6100</v>
      </c>
      <c r="N2023">
        <v>5</v>
      </c>
      <c r="O2023" t="s">
        <v>6101</v>
      </c>
      <c r="P2023" t="s">
        <v>6109</v>
      </c>
      <c r="Q2023">
        <v>3</v>
      </c>
      <c r="R2023">
        <v>2026</v>
      </c>
      <c r="S2023" t="s">
        <v>6099</v>
      </c>
      <c r="T2023">
        <v>1</v>
      </c>
      <c r="U2023" t="s">
        <v>6020</v>
      </c>
      <c r="V2023">
        <v>1</v>
      </c>
    </row>
    <row r="2024" spans="1:22" x14ac:dyDescent="0.3">
      <c r="A2024" t="s">
        <v>2039</v>
      </c>
      <c r="B2024" s="2">
        <v>46107.756249999999</v>
      </c>
      <c r="C2024" s="2">
        <v>46121.947916666664</v>
      </c>
      <c r="D2024" t="s">
        <v>6026</v>
      </c>
      <c r="E2024" t="s">
        <v>6031</v>
      </c>
      <c r="F2024" t="s">
        <v>6033</v>
      </c>
      <c r="G2024" t="s">
        <v>6082</v>
      </c>
      <c r="H2024" t="s">
        <v>6097</v>
      </c>
      <c r="I2024">
        <v>72</v>
      </c>
      <c r="J2024">
        <v>340.6</v>
      </c>
      <c r="K2024" t="s">
        <v>6099</v>
      </c>
      <c r="L2024" t="s">
        <v>6100</v>
      </c>
      <c r="M2024" t="s">
        <v>6100</v>
      </c>
      <c r="N2024">
        <v>4</v>
      </c>
      <c r="O2024" t="s">
        <v>6101</v>
      </c>
      <c r="P2024" t="s">
        <v>6109</v>
      </c>
      <c r="Q2024">
        <v>3</v>
      </c>
      <c r="R2024">
        <v>2026</v>
      </c>
      <c r="S2024" t="s">
        <v>6100</v>
      </c>
      <c r="T2024">
        <v>0</v>
      </c>
      <c r="U2024" t="s">
        <v>6017</v>
      </c>
      <c r="V2024">
        <v>1</v>
      </c>
    </row>
    <row r="2025" spans="1:22" x14ac:dyDescent="0.3">
      <c r="A2025" t="s">
        <v>2040</v>
      </c>
      <c r="B2025" s="2">
        <v>46107.779861111114</v>
      </c>
      <c r="C2025" s="2">
        <v>46108.113194444442</v>
      </c>
      <c r="D2025" t="s">
        <v>6022</v>
      </c>
      <c r="E2025" t="s">
        <v>6029</v>
      </c>
      <c r="F2025" t="s">
        <v>6034</v>
      </c>
      <c r="G2025" t="s">
        <v>6069</v>
      </c>
      <c r="H2025" t="s">
        <v>6098</v>
      </c>
      <c r="I2025">
        <v>24</v>
      </c>
      <c r="J2025">
        <v>8</v>
      </c>
      <c r="K2025" t="s">
        <v>6099</v>
      </c>
      <c r="L2025" t="s">
        <v>6100</v>
      </c>
      <c r="M2025" t="s">
        <v>6099</v>
      </c>
      <c r="O2025" t="s">
        <v>6101</v>
      </c>
      <c r="P2025" t="s">
        <v>6109</v>
      </c>
      <c r="Q2025">
        <v>3</v>
      </c>
      <c r="R2025">
        <v>2026</v>
      </c>
      <c r="S2025" t="s">
        <v>6099</v>
      </c>
      <c r="T2025">
        <v>1</v>
      </c>
      <c r="U2025" t="s">
        <v>6019</v>
      </c>
      <c r="V2025">
        <v>1</v>
      </c>
    </row>
    <row r="2026" spans="1:22" x14ac:dyDescent="0.3">
      <c r="A2026" t="s">
        <v>2041</v>
      </c>
      <c r="B2026" s="2">
        <v>46107.779861111114</v>
      </c>
      <c r="C2026" s="2">
        <v>46107.854861111111</v>
      </c>
      <c r="D2026" t="s">
        <v>6028</v>
      </c>
      <c r="E2026" t="s">
        <v>6030</v>
      </c>
      <c r="F2026" t="s">
        <v>6035</v>
      </c>
      <c r="G2026" t="s">
        <v>6084</v>
      </c>
      <c r="H2026" t="s">
        <v>6098</v>
      </c>
      <c r="I2026">
        <v>4</v>
      </c>
      <c r="J2026">
        <v>1.8</v>
      </c>
      <c r="K2026" t="s">
        <v>6100</v>
      </c>
      <c r="L2026" t="s">
        <v>6099</v>
      </c>
      <c r="M2026" t="s">
        <v>6100</v>
      </c>
      <c r="N2026">
        <v>5</v>
      </c>
      <c r="O2026" t="s">
        <v>6101</v>
      </c>
      <c r="P2026" t="s">
        <v>6109</v>
      </c>
      <c r="Q2026">
        <v>3</v>
      </c>
      <c r="R2026">
        <v>2026</v>
      </c>
      <c r="S2026" t="s">
        <v>6099</v>
      </c>
      <c r="T2026">
        <v>1</v>
      </c>
      <c r="U2026" t="s">
        <v>6020</v>
      </c>
      <c r="V2026">
        <v>0</v>
      </c>
    </row>
    <row r="2027" spans="1:22" x14ac:dyDescent="0.3">
      <c r="A2027" t="s">
        <v>2042</v>
      </c>
      <c r="B2027" s="2">
        <v>46107.816666666666</v>
      </c>
      <c r="C2027" s="2">
        <v>46108.845833333333</v>
      </c>
      <c r="D2027" t="s">
        <v>6024</v>
      </c>
      <c r="E2027" t="s">
        <v>6030</v>
      </c>
      <c r="F2027" t="s">
        <v>6033</v>
      </c>
      <c r="G2027" t="s">
        <v>6048</v>
      </c>
      <c r="H2027" t="s">
        <v>6096</v>
      </c>
      <c r="I2027">
        <v>72</v>
      </c>
      <c r="J2027">
        <v>24.7</v>
      </c>
      <c r="K2027" t="s">
        <v>6100</v>
      </c>
      <c r="L2027" t="s">
        <v>6099</v>
      </c>
      <c r="M2027" t="s">
        <v>6100</v>
      </c>
      <c r="N2027">
        <v>4</v>
      </c>
      <c r="O2027" t="s">
        <v>6101</v>
      </c>
      <c r="P2027" t="s">
        <v>6109</v>
      </c>
      <c r="Q2027">
        <v>3</v>
      </c>
      <c r="R2027">
        <v>2026</v>
      </c>
      <c r="S2027" t="s">
        <v>6099</v>
      </c>
      <c r="T2027">
        <v>1</v>
      </c>
      <c r="U2027" t="s">
        <v>6017</v>
      </c>
      <c r="V2027">
        <v>0</v>
      </c>
    </row>
    <row r="2028" spans="1:22" x14ac:dyDescent="0.3">
      <c r="A2028" t="s">
        <v>2043</v>
      </c>
      <c r="B2028" s="2">
        <v>46108.130555555559</v>
      </c>
      <c r="C2028" s="2">
        <v>46108.880555555559</v>
      </c>
      <c r="D2028" t="s">
        <v>6022</v>
      </c>
      <c r="E2028" t="s">
        <v>6029</v>
      </c>
      <c r="F2028" t="s">
        <v>6035</v>
      </c>
      <c r="G2028" t="s">
        <v>6038</v>
      </c>
      <c r="H2028" t="s">
        <v>6096</v>
      </c>
      <c r="I2028">
        <v>4</v>
      </c>
      <c r="J2028">
        <v>18</v>
      </c>
      <c r="K2028" t="s">
        <v>6099</v>
      </c>
      <c r="L2028" t="s">
        <v>6100</v>
      </c>
      <c r="M2028" t="s">
        <v>6100</v>
      </c>
      <c r="N2028">
        <v>3</v>
      </c>
      <c r="O2028" t="s">
        <v>6101</v>
      </c>
      <c r="P2028" t="s">
        <v>6109</v>
      </c>
      <c r="Q2028">
        <v>3</v>
      </c>
      <c r="R2028">
        <v>2026</v>
      </c>
      <c r="S2028" t="s">
        <v>6100</v>
      </c>
      <c r="T2028">
        <v>0</v>
      </c>
      <c r="U2028" t="s">
        <v>6021</v>
      </c>
      <c r="V2028">
        <v>1</v>
      </c>
    </row>
    <row r="2029" spans="1:22" x14ac:dyDescent="0.3">
      <c r="A2029" t="s">
        <v>2044</v>
      </c>
      <c r="B2029" s="2">
        <v>46108.152777777781</v>
      </c>
      <c r="C2029" s="2">
        <v>46108.473611111112</v>
      </c>
      <c r="D2029" t="s">
        <v>6028</v>
      </c>
      <c r="E2029" t="s">
        <v>6031</v>
      </c>
      <c r="F2029" t="s">
        <v>6035</v>
      </c>
      <c r="G2029" t="s">
        <v>6077</v>
      </c>
      <c r="H2029" t="s">
        <v>6098</v>
      </c>
      <c r="I2029">
        <v>4</v>
      </c>
      <c r="J2029">
        <v>7.7</v>
      </c>
      <c r="K2029" t="s">
        <v>6099</v>
      </c>
      <c r="L2029" t="s">
        <v>6100</v>
      </c>
      <c r="M2029" t="s">
        <v>6100</v>
      </c>
      <c r="N2029">
        <v>5</v>
      </c>
      <c r="O2029" t="s">
        <v>6101</v>
      </c>
      <c r="P2029" t="s">
        <v>6109</v>
      </c>
      <c r="Q2029">
        <v>3</v>
      </c>
      <c r="R2029">
        <v>2026</v>
      </c>
      <c r="S2029" t="s">
        <v>6100</v>
      </c>
      <c r="T2029">
        <v>0</v>
      </c>
      <c r="U2029" t="s">
        <v>6019</v>
      </c>
      <c r="V2029">
        <v>1</v>
      </c>
    </row>
    <row r="2030" spans="1:22" x14ac:dyDescent="0.3">
      <c r="A2030" t="s">
        <v>2045</v>
      </c>
      <c r="B2030" s="2">
        <v>46108.193055555559</v>
      </c>
      <c r="C2030" s="2">
        <v>46108.472222222219</v>
      </c>
      <c r="D2030" t="s">
        <v>6022</v>
      </c>
      <c r="E2030" t="s">
        <v>6030</v>
      </c>
      <c r="F2030" t="s">
        <v>6035</v>
      </c>
      <c r="G2030" t="s">
        <v>6077</v>
      </c>
      <c r="H2030" t="s">
        <v>6098</v>
      </c>
      <c r="I2030">
        <v>4</v>
      </c>
      <c r="J2030">
        <v>6.7</v>
      </c>
      <c r="K2030" t="s">
        <v>6100</v>
      </c>
      <c r="L2030" t="s">
        <v>6100</v>
      </c>
      <c r="M2030" t="s">
        <v>6100</v>
      </c>
      <c r="N2030">
        <v>4</v>
      </c>
      <c r="O2030" t="s">
        <v>6101</v>
      </c>
      <c r="P2030" t="s">
        <v>6109</v>
      </c>
      <c r="Q2030">
        <v>3</v>
      </c>
      <c r="R2030">
        <v>2026</v>
      </c>
      <c r="S2030" t="s">
        <v>6100</v>
      </c>
      <c r="T2030">
        <v>0</v>
      </c>
      <c r="U2030" t="s">
        <v>6018</v>
      </c>
      <c r="V2030">
        <v>0</v>
      </c>
    </row>
    <row r="2031" spans="1:22" x14ac:dyDescent="0.3">
      <c r="A2031" t="s">
        <v>2046</v>
      </c>
      <c r="B2031" s="2">
        <v>46108.208333333336</v>
      </c>
      <c r="C2031" s="2">
        <v>46108.508333333331</v>
      </c>
      <c r="D2031" t="s">
        <v>6023</v>
      </c>
      <c r="E2031" t="s">
        <v>6030</v>
      </c>
      <c r="F2031" t="s">
        <v>6034</v>
      </c>
      <c r="G2031" t="s">
        <v>6076</v>
      </c>
      <c r="H2031" t="s">
        <v>6097</v>
      </c>
      <c r="I2031">
        <v>24</v>
      </c>
      <c r="J2031">
        <v>7.2</v>
      </c>
      <c r="K2031" t="s">
        <v>6099</v>
      </c>
      <c r="L2031" t="s">
        <v>6100</v>
      </c>
      <c r="M2031" t="s">
        <v>6100</v>
      </c>
      <c r="O2031" t="s">
        <v>6101</v>
      </c>
      <c r="P2031" t="s">
        <v>6109</v>
      </c>
      <c r="Q2031">
        <v>3</v>
      </c>
      <c r="R2031">
        <v>2026</v>
      </c>
      <c r="S2031" t="s">
        <v>6099</v>
      </c>
      <c r="T2031">
        <v>1</v>
      </c>
      <c r="U2031" t="s">
        <v>6020</v>
      </c>
      <c r="V2031">
        <v>1</v>
      </c>
    </row>
    <row r="2032" spans="1:22" x14ac:dyDescent="0.3">
      <c r="A2032" t="s">
        <v>2047</v>
      </c>
      <c r="B2032" s="2">
        <v>46108.259027777778</v>
      </c>
      <c r="C2032" s="2">
        <v>46108.392361111109</v>
      </c>
      <c r="D2032" t="s">
        <v>6023</v>
      </c>
      <c r="E2032" t="s">
        <v>6030</v>
      </c>
      <c r="F2032" t="s">
        <v>6034</v>
      </c>
      <c r="G2032" t="s">
        <v>6037</v>
      </c>
      <c r="H2032" t="s">
        <v>6096</v>
      </c>
      <c r="I2032">
        <v>24</v>
      </c>
      <c r="J2032">
        <v>3.2</v>
      </c>
      <c r="K2032" t="s">
        <v>6100</v>
      </c>
      <c r="L2032" t="s">
        <v>6100</v>
      </c>
      <c r="M2032" t="s">
        <v>6100</v>
      </c>
      <c r="N2032">
        <v>4</v>
      </c>
      <c r="O2032" t="s">
        <v>6101</v>
      </c>
      <c r="P2032" t="s">
        <v>6109</v>
      </c>
      <c r="Q2032">
        <v>3</v>
      </c>
      <c r="R2032">
        <v>2026</v>
      </c>
      <c r="S2032" t="s">
        <v>6099</v>
      </c>
      <c r="T2032">
        <v>1</v>
      </c>
      <c r="U2032" t="s">
        <v>6018</v>
      </c>
      <c r="V2032">
        <v>0</v>
      </c>
    </row>
    <row r="2033" spans="1:22" x14ac:dyDescent="0.3">
      <c r="A2033" t="s">
        <v>2048</v>
      </c>
      <c r="B2033" s="2">
        <v>46108.309027777781</v>
      </c>
      <c r="C2033" s="2">
        <v>46109.429861111108</v>
      </c>
      <c r="D2033" t="s">
        <v>6028</v>
      </c>
      <c r="E2033" t="s">
        <v>6031</v>
      </c>
      <c r="F2033" t="s">
        <v>6035</v>
      </c>
      <c r="G2033" t="s">
        <v>6085</v>
      </c>
      <c r="H2033" t="s">
        <v>6097</v>
      </c>
      <c r="I2033">
        <v>4</v>
      </c>
      <c r="J2033">
        <v>26.9</v>
      </c>
      <c r="K2033" t="s">
        <v>6099</v>
      </c>
      <c r="L2033" t="s">
        <v>6100</v>
      </c>
      <c r="M2033" t="s">
        <v>6100</v>
      </c>
      <c r="O2033" t="s">
        <v>6101</v>
      </c>
      <c r="P2033" t="s">
        <v>6109</v>
      </c>
      <c r="Q2033">
        <v>3</v>
      </c>
      <c r="R2033">
        <v>2026</v>
      </c>
      <c r="S2033" t="s">
        <v>6100</v>
      </c>
      <c r="T2033">
        <v>0</v>
      </c>
      <c r="U2033" t="s">
        <v>6020</v>
      </c>
      <c r="V2033">
        <v>1</v>
      </c>
    </row>
    <row r="2034" spans="1:22" x14ac:dyDescent="0.3">
      <c r="A2034" t="s">
        <v>2049</v>
      </c>
      <c r="B2034" s="2">
        <v>46108.30972222222</v>
      </c>
      <c r="C2034" s="2">
        <v>46108.597222222219</v>
      </c>
      <c r="D2034" t="s">
        <v>6023</v>
      </c>
      <c r="E2034" t="s">
        <v>6029</v>
      </c>
      <c r="F2034" t="s">
        <v>6034</v>
      </c>
      <c r="G2034" t="s">
        <v>6075</v>
      </c>
      <c r="H2034" t="s">
        <v>6097</v>
      </c>
      <c r="I2034">
        <v>24</v>
      </c>
      <c r="J2034">
        <v>6.9</v>
      </c>
      <c r="K2034" t="s">
        <v>6100</v>
      </c>
      <c r="L2034" t="s">
        <v>6100</v>
      </c>
      <c r="M2034" t="s">
        <v>6100</v>
      </c>
      <c r="N2034">
        <v>4</v>
      </c>
      <c r="O2034" t="s">
        <v>6101</v>
      </c>
      <c r="P2034" t="s">
        <v>6109</v>
      </c>
      <c r="Q2034">
        <v>3</v>
      </c>
      <c r="R2034">
        <v>2026</v>
      </c>
      <c r="S2034" t="s">
        <v>6099</v>
      </c>
      <c r="T2034">
        <v>1</v>
      </c>
      <c r="U2034" t="s">
        <v>6020</v>
      </c>
      <c r="V2034">
        <v>0</v>
      </c>
    </row>
    <row r="2035" spans="1:22" x14ac:dyDescent="0.3">
      <c r="A2035" t="s">
        <v>2050</v>
      </c>
      <c r="B2035" s="2">
        <v>46108.311805555553</v>
      </c>
      <c r="C2035" s="2">
        <v>46108.624305555553</v>
      </c>
      <c r="D2035" t="s">
        <v>6028</v>
      </c>
      <c r="E2035" t="s">
        <v>6029</v>
      </c>
      <c r="F2035" t="s">
        <v>6033</v>
      </c>
      <c r="G2035" t="s">
        <v>6086</v>
      </c>
      <c r="H2035" t="s">
        <v>6098</v>
      </c>
      <c r="I2035">
        <v>72</v>
      </c>
      <c r="J2035">
        <v>7.5</v>
      </c>
      <c r="K2035" t="s">
        <v>6099</v>
      </c>
      <c r="L2035" t="s">
        <v>6100</v>
      </c>
      <c r="M2035" t="s">
        <v>6099</v>
      </c>
      <c r="O2035" t="s">
        <v>6101</v>
      </c>
      <c r="P2035" t="s">
        <v>6109</v>
      </c>
      <c r="Q2035">
        <v>3</v>
      </c>
      <c r="R2035">
        <v>2026</v>
      </c>
      <c r="S2035" t="s">
        <v>6099</v>
      </c>
      <c r="T2035">
        <v>1</v>
      </c>
      <c r="U2035" t="s">
        <v>6019</v>
      </c>
      <c r="V2035">
        <v>1</v>
      </c>
    </row>
    <row r="2036" spans="1:22" x14ac:dyDescent="0.3">
      <c r="A2036" t="s">
        <v>2051</v>
      </c>
      <c r="B2036" s="2">
        <v>46108.336805555555</v>
      </c>
      <c r="C2036" s="2">
        <v>46108.499305555553</v>
      </c>
      <c r="D2036" t="s">
        <v>6022</v>
      </c>
      <c r="E2036" t="s">
        <v>6029</v>
      </c>
      <c r="F2036" t="s">
        <v>6033</v>
      </c>
      <c r="G2036" t="s">
        <v>6063</v>
      </c>
      <c r="H2036" t="s">
        <v>6097</v>
      </c>
      <c r="I2036">
        <v>72</v>
      </c>
      <c r="J2036">
        <v>3.9</v>
      </c>
      <c r="K2036" t="s">
        <v>6099</v>
      </c>
      <c r="L2036" t="s">
        <v>6100</v>
      </c>
      <c r="M2036" t="s">
        <v>6100</v>
      </c>
      <c r="N2036">
        <v>5</v>
      </c>
      <c r="O2036" t="s">
        <v>6101</v>
      </c>
      <c r="P2036" t="s">
        <v>6109</v>
      </c>
      <c r="Q2036">
        <v>3</v>
      </c>
      <c r="R2036">
        <v>2026</v>
      </c>
      <c r="S2036" t="s">
        <v>6099</v>
      </c>
      <c r="T2036">
        <v>1</v>
      </c>
      <c r="U2036" t="s">
        <v>6021</v>
      </c>
      <c r="V2036">
        <v>1</v>
      </c>
    </row>
    <row r="2037" spans="1:22" x14ac:dyDescent="0.3">
      <c r="A2037" t="s">
        <v>2052</v>
      </c>
      <c r="B2037" s="2">
        <v>46108.408333333333</v>
      </c>
      <c r="C2037" s="2">
        <v>46109.20416666667</v>
      </c>
      <c r="D2037" t="s">
        <v>6025</v>
      </c>
      <c r="E2037" t="s">
        <v>6030</v>
      </c>
      <c r="F2037" t="s">
        <v>6035</v>
      </c>
      <c r="G2037" t="s">
        <v>6058</v>
      </c>
      <c r="H2037" t="s">
        <v>6098</v>
      </c>
      <c r="I2037">
        <v>4</v>
      </c>
      <c r="J2037">
        <v>19.100000000000001</v>
      </c>
      <c r="K2037" t="s">
        <v>6099</v>
      </c>
      <c r="L2037" t="s">
        <v>6100</v>
      </c>
      <c r="M2037" t="s">
        <v>6100</v>
      </c>
      <c r="N2037">
        <v>4</v>
      </c>
      <c r="O2037" t="s">
        <v>6101</v>
      </c>
      <c r="P2037" t="s">
        <v>6109</v>
      </c>
      <c r="Q2037">
        <v>3</v>
      </c>
      <c r="R2037">
        <v>2026</v>
      </c>
      <c r="S2037" t="s">
        <v>6100</v>
      </c>
      <c r="T2037">
        <v>0</v>
      </c>
      <c r="U2037" t="s">
        <v>6020</v>
      </c>
      <c r="V2037">
        <v>1</v>
      </c>
    </row>
    <row r="2038" spans="1:22" x14ac:dyDescent="0.3">
      <c r="A2038" t="s">
        <v>2053</v>
      </c>
      <c r="B2038" s="2">
        <v>46108.427083333336</v>
      </c>
      <c r="C2038" s="2">
        <v>46108.810416666667</v>
      </c>
      <c r="D2038" t="s">
        <v>6028</v>
      </c>
      <c r="E2038" t="s">
        <v>6029</v>
      </c>
      <c r="F2038" t="s">
        <v>6035</v>
      </c>
      <c r="G2038" t="s">
        <v>6062</v>
      </c>
      <c r="H2038" t="s">
        <v>6096</v>
      </c>
      <c r="I2038">
        <v>4</v>
      </c>
      <c r="J2038">
        <v>9.1999999999999993</v>
      </c>
      <c r="K2038" t="s">
        <v>6099</v>
      </c>
      <c r="L2038" t="s">
        <v>6100</v>
      </c>
      <c r="M2038" t="s">
        <v>6100</v>
      </c>
      <c r="N2038">
        <v>3</v>
      </c>
      <c r="O2038" t="s">
        <v>6101</v>
      </c>
      <c r="P2038" t="s">
        <v>6109</v>
      </c>
      <c r="Q2038">
        <v>3</v>
      </c>
      <c r="R2038">
        <v>2026</v>
      </c>
      <c r="S2038" t="s">
        <v>6100</v>
      </c>
      <c r="T2038">
        <v>0</v>
      </c>
      <c r="U2038" t="s">
        <v>6019</v>
      </c>
      <c r="V2038">
        <v>1</v>
      </c>
    </row>
    <row r="2039" spans="1:22" x14ac:dyDescent="0.3">
      <c r="A2039" t="s">
        <v>2054</v>
      </c>
      <c r="B2039" s="2">
        <v>46108.45</v>
      </c>
      <c r="C2039" s="2">
        <v>46108.675000000003</v>
      </c>
      <c r="D2039" t="s">
        <v>6022</v>
      </c>
      <c r="E2039" t="s">
        <v>6029</v>
      </c>
      <c r="F2039" t="s">
        <v>6034</v>
      </c>
      <c r="G2039" t="s">
        <v>6068</v>
      </c>
      <c r="H2039" t="s">
        <v>6098</v>
      </c>
      <c r="I2039">
        <v>24</v>
      </c>
      <c r="J2039">
        <v>5.4</v>
      </c>
      <c r="K2039" t="s">
        <v>6099</v>
      </c>
      <c r="L2039" t="s">
        <v>6100</v>
      </c>
      <c r="M2039" t="s">
        <v>6100</v>
      </c>
      <c r="N2039">
        <v>4</v>
      </c>
      <c r="O2039" t="s">
        <v>6101</v>
      </c>
      <c r="P2039" t="s">
        <v>6109</v>
      </c>
      <c r="Q2039">
        <v>3</v>
      </c>
      <c r="R2039">
        <v>2026</v>
      </c>
      <c r="S2039" t="s">
        <v>6099</v>
      </c>
      <c r="T2039">
        <v>1</v>
      </c>
      <c r="U2039" t="s">
        <v>6018</v>
      </c>
      <c r="V2039">
        <v>1</v>
      </c>
    </row>
    <row r="2040" spans="1:22" x14ac:dyDescent="0.3">
      <c r="A2040" t="s">
        <v>2055</v>
      </c>
      <c r="B2040" s="2">
        <v>46108.45416666667</v>
      </c>
      <c r="C2040" s="2">
        <v>46108.604166666664</v>
      </c>
      <c r="D2040" t="s">
        <v>6023</v>
      </c>
      <c r="E2040" t="s">
        <v>6029</v>
      </c>
      <c r="F2040" t="s">
        <v>6034</v>
      </c>
      <c r="G2040" t="s">
        <v>6082</v>
      </c>
      <c r="H2040" t="s">
        <v>6097</v>
      </c>
      <c r="I2040">
        <v>24</v>
      </c>
      <c r="J2040">
        <v>3.6</v>
      </c>
      <c r="K2040" t="s">
        <v>6099</v>
      </c>
      <c r="L2040" t="s">
        <v>6100</v>
      </c>
      <c r="M2040" t="s">
        <v>6100</v>
      </c>
      <c r="O2040" t="s">
        <v>6101</v>
      </c>
      <c r="P2040" t="s">
        <v>6109</v>
      </c>
      <c r="Q2040">
        <v>3</v>
      </c>
      <c r="R2040">
        <v>2026</v>
      </c>
      <c r="S2040" t="s">
        <v>6099</v>
      </c>
      <c r="T2040">
        <v>1</v>
      </c>
      <c r="U2040" t="s">
        <v>6021</v>
      </c>
      <c r="V2040">
        <v>1</v>
      </c>
    </row>
    <row r="2041" spans="1:22" x14ac:dyDescent="0.3">
      <c r="A2041" t="s">
        <v>2056</v>
      </c>
      <c r="B2041" s="2">
        <v>46108.456944444442</v>
      </c>
      <c r="C2041" s="2">
        <v>46108.902777777781</v>
      </c>
      <c r="D2041" t="s">
        <v>6022</v>
      </c>
      <c r="E2041" t="s">
        <v>6030</v>
      </c>
      <c r="F2041" t="s">
        <v>6034</v>
      </c>
      <c r="G2041" t="s">
        <v>6090</v>
      </c>
      <c r="H2041" t="s">
        <v>6097</v>
      </c>
      <c r="I2041">
        <v>24</v>
      </c>
      <c r="J2041">
        <v>10.7</v>
      </c>
      <c r="K2041" t="s">
        <v>6099</v>
      </c>
      <c r="L2041" t="s">
        <v>6100</v>
      </c>
      <c r="M2041" t="s">
        <v>6100</v>
      </c>
      <c r="N2041">
        <v>4</v>
      </c>
      <c r="O2041" t="s">
        <v>6101</v>
      </c>
      <c r="P2041" t="s">
        <v>6109</v>
      </c>
      <c r="Q2041">
        <v>3</v>
      </c>
      <c r="R2041">
        <v>2026</v>
      </c>
      <c r="S2041" t="s">
        <v>6099</v>
      </c>
      <c r="T2041">
        <v>1</v>
      </c>
      <c r="U2041" t="s">
        <v>6020</v>
      </c>
      <c r="V2041">
        <v>1</v>
      </c>
    </row>
    <row r="2042" spans="1:22" x14ac:dyDescent="0.3">
      <c r="A2042" t="s">
        <v>2057</v>
      </c>
      <c r="B2042" s="2">
        <v>46108.468055555553</v>
      </c>
      <c r="C2042" s="2">
        <v>46111.538888888892</v>
      </c>
      <c r="D2042" t="s">
        <v>6025</v>
      </c>
      <c r="E2042" t="s">
        <v>6031</v>
      </c>
      <c r="F2042" t="s">
        <v>6033</v>
      </c>
      <c r="G2042" t="s">
        <v>6053</v>
      </c>
      <c r="H2042" t="s">
        <v>6097</v>
      </c>
      <c r="I2042">
        <v>72</v>
      </c>
      <c r="J2042">
        <v>73.7</v>
      </c>
      <c r="K2042" t="s">
        <v>6099</v>
      </c>
      <c r="L2042" t="s">
        <v>6100</v>
      </c>
      <c r="M2042" t="s">
        <v>6100</v>
      </c>
      <c r="N2042">
        <v>5</v>
      </c>
      <c r="O2042" t="s">
        <v>6101</v>
      </c>
      <c r="P2042" t="s">
        <v>6109</v>
      </c>
      <c r="Q2042">
        <v>3</v>
      </c>
      <c r="R2042">
        <v>2026</v>
      </c>
      <c r="S2042" t="s">
        <v>6100</v>
      </c>
      <c r="T2042">
        <v>0</v>
      </c>
      <c r="U2042" t="s">
        <v>6019</v>
      </c>
      <c r="V2042">
        <v>1</v>
      </c>
    </row>
    <row r="2043" spans="1:22" x14ac:dyDescent="0.3">
      <c r="A2043" t="s">
        <v>2058</v>
      </c>
      <c r="B2043" s="2">
        <v>46108.481249999997</v>
      </c>
      <c r="C2043" s="2">
        <v>46109.443749999999</v>
      </c>
      <c r="D2043" t="s">
        <v>6028</v>
      </c>
      <c r="E2043" t="s">
        <v>6029</v>
      </c>
      <c r="F2043" t="s">
        <v>6034</v>
      </c>
      <c r="G2043" t="s">
        <v>6058</v>
      </c>
      <c r="H2043" t="s">
        <v>6098</v>
      </c>
      <c r="I2043">
        <v>24</v>
      </c>
      <c r="J2043">
        <v>23.1</v>
      </c>
      <c r="K2043" t="s">
        <v>6099</v>
      </c>
      <c r="L2043" t="s">
        <v>6100</v>
      </c>
      <c r="M2043" t="s">
        <v>6100</v>
      </c>
      <c r="O2043" t="s">
        <v>6101</v>
      </c>
      <c r="P2043" t="s">
        <v>6109</v>
      </c>
      <c r="Q2043">
        <v>3</v>
      </c>
      <c r="R2043">
        <v>2026</v>
      </c>
      <c r="S2043" t="s">
        <v>6099</v>
      </c>
      <c r="T2043">
        <v>1</v>
      </c>
      <c r="U2043" t="s">
        <v>6017</v>
      </c>
      <c r="V2043">
        <v>1</v>
      </c>
    </row>
    <row r="2044" spans="1:22" x14ac:dyDescent="0.3">
      <c r="A2044" t="s">
        <v>2059</v>
      </c>
      <c r="B2044" s="2">
        <v>46108.493055555555</v>
      </c>
      <c r="C2044" s="2">
        <v>46108.626388888886</v>
      </c>
      <c r="D2044" t="s">
        <v>6022</v>
      </c>
      <c r="E2044" t="s">
        <v>6030</v>
      </c>
      <c r="F2044" t="s">
        <v>6033</v>
      </c>
      <c r="G2044" t="s">
        <v>6044</v>
      </c>
      <c r="H2044" t="s">
        <v>6097</v>
      </c>
      <c r="I2044">
        <v>72</v>
      </c>
      <c r="J2044">
        <v>3.2</v>
      </c>
      <c r="K2044" t="s">
        <v>6099</v>
      </c>
      <c r="L2044" t="s">
        <v>6100</v>
      </c>
      <c r="M2044" t="s">
        <v>6099</v>
      </c>
      <c r="O2044" t="s">
        <v>6101</v>
      </c>
      <c r="P2044" t="s">
        <v>6109</v>
      </c>
      <c r="Q2044">
        <v>3</v>
      </c>
      <c r="R2044">
        <v>2026</v>
      </c>
      <c r="S2044" t="s">
        <v>6099</v>
      </c>
      <c r="T2044">
        <v>1</v>
      </c>
      <c r="U2044" t="s">
        <v>6018</v>
      </c>
      <c r="V2044">
        <v>1</v>
      </c>
    </row>
    <row r="2045" spans="1:22" x14ac:dyDescent="0.3">
      <c r="A2045" t="s">
        <v>2060</v>
      </c>
      <c r="B2045" s="2">
        <v>46108.541666666664</v>
      </c>
      <c r="C2045" s="2">
        <v>46108.758333333331</v>
      </c>
      <c r="D2045" t="s">
        <v>6024</v>
      </c>
      <c r="E2045" t="s">
        <v>6030</v>
      </c>
      <c r="F2045" t="s">
        <v>6033</v>
      </c>
      <c r="G2045" t="s">
        <v>6080</v>
      </c>
      <c r="H2045" t="s">
        <v>6096</v>
      </c>
      <c r="I2045">
        <v>72</v>
      </c>
      <c r="J2045">
        <v>5.2</v>
      </c>
      <c r="K2045" t="s">
        <v>6099</v>
      </c>
      <c r="L2045" t="s">
        <v>6100</v>
      </c>
      <c r="M2045" t="s">
        <v>6100</v>
      </c>
      <c r="N2045">
        <v>5</v>
      </c>
      <c r="O2045" t="s">
        <v>6101</v>
      </c>
      <c r="P2045" t="s">
        <v>6109</v>
      </c>
      <c r="Q2045">
        <v>3</v>
      </c>
      <c r="R2045">
        <v>2026</v>
      </c>
      <c r="S2045" t="s">
        <v>6099</v>
      </c>
      <c r="T2045">
        <v>1</v>
      </c>
      <c r="U2045" t="s">
        <v>6020</v>
      </c>
      <c r="V2045">
        <v>1</v>
      </c>
    </row>
    <row r="2046" spans="1:22" x14ac:dyDescent="0.3">
      <c r="A2046" t="s">
        <v>2061</v>
      </c>
      <c r="B2046" s="2">
        <v>46108.552083333336</v>
      </c>
      <c r="C2046" s="2">
        <v>46108.95208333333</v>
      </c>
      <c r="D2046" t="s">
        <v>6027</v>
      </c>
      <c r="E2046" t="s">
        <v>6029</v>
      </c>
      <c r="F2046" t="s">
        <v>6035</v>
      </c>
      <c r="G2046" t="s">
        <v>6057</v>
      </c>
      <c r="H2046" t="s">
        <v>6097</v>
      </c>
      <c r="I2046">
        <v>4</v>
      </c>
      <c r="J2046">
        <v>9.6</v>
      </c>
      <c r="K2046" t="s">
        <v>6099</v>
      </c>
      <c r="L2046" t="s">
        <v>6100</v>
      </c>
      <c r="M2046" t="s">
        <v>6099</v>
      </c>
      <c r="O2046" t="s">
        <v>6101</v>
      </c>
      <c r="P2046" t="s">
        <v>6109</v>
      </c>
      <c r="Q2046">
        <v>3</v>
      </c>
      <c r="R2046">
        <v>2026</v>
      </c>
      <c r="S2046" t="s">
        <v>6100</v>
      </c>
      <c r="T2046">
        <v>0</v>
      </c>
      <c r="U2046" t="s">
        <v>6021</v>
      </c>
      <c r="V2046">
        <v>1</v>
      </c>
    </row>
    <row r="2047" spans="1:22" x14ac:dyDescent="0.3">
      <c r="A2047" t="s">
        <v>2062</v>
      </c>
      <c r="B2047" s="2">
        <v>46108.567361111112</v>
      </c>
      <c r="C2047" s="2">
        <v>46108.829861111109</v>
      </c>
      <c r="D2047" t="s">
        <v>6024</v>
      </c>
      <c r="E2047" t="s">
        <v>6030</v>
      </c>
      <c r="F2047" t="s">
        <v>6034</v>
      </c>
      <c r="G2047" t="s">
        <v>6037</v>
      </c>
      <c r="H2047" t="s">
        <v>6096</v>
      </c>
      <c r="I2047">
        <v>24</v>
      </c>
      <c r="J2047">
        <v>6.3</v>
      </c>
      <c r="K2047" t="s">
        <v>6100</v>
      </c>
      <c r="L2047" t="s">
        <v>6100</v>
      </c>
      <c r="M2047" t="s">
        <v>6099</v>
      </c>
      <c r="O2047" t="s">
        <v>6101</v>
      </c>
      <c r="P2047" t="s">
        <v>6109</v>
      </c>
      <c r="Q2047">
        <v>3</v>
      </c>
      <c r="R2047">
        <v>2026</v>
      </c>
      <c r="S2047" t="s">
        <v>6099</v>
      </c>
      <c r="T2047">
        <v>1</v>
      </c>
      <c r="U2047" t="s">
        <v>6018</v>
      </c>
      <c r="V2047">
        <v>0</v>
      </c>
    </row>
    <row r="2048" spans="1:22" x14ac:dyDescent="0.3">
      <c r="A2048" t="s">
        <v>2063</v>
      </c>
      <c r="B2048" s="2">
        <v>46108.574999999997</v>
      </c>
      <c r="C2048" s="2">
        <v>46109.620833333334</v>
      </c>
      <c r="D2048" t="s">
        <v>6025</v>
      </c>
      <c r="E2048" t="s">
        <v>6031</v>
      </c>
      <c r="F2048" t="s">
        <v>6033</v>
      </c>
      <c r="G2048" t="s">
        <v>6091</v>
      </c>
      <c r="H2048" t="s">
        <v>6097</v>
      </c>
      <c r="I2048">
        <v>72</v>
      </c>
      <c r="J2048">
        <v>25.1</v>
      </c>
      <c r="K2048" t="s">
        <v>6100</v>
      </c>
      <c r="L2048" t="s">
        <v>6100</v>
      </c>
      <c r="M2048" t="s">
        <v>6100</v>
      </c>
      <c r="N2048">
        <v>5</v>
      </c>
      <c r="O2048" t="s">
        <v>6101</v>
      </c>
      <c r="P2048" t="s">
        <v>6109</v>
      </c>
      <c r="Q2048">
        <v>3</v>
      </c>
      <c r="R2048">
        <v>2026</v>
      </c>
      <c r="S2048" t="s">
        <v>6099</v>
      </c>
      <c r="T2048">
        <v>1</v>
      </c>
      <c r="U2048" t="s">
        <v>6021</v>
      </c>
      <c r="V2048">
        <v>0</v>
      </c>
    </row>
    <row r="2049" spans="1:22" x14ac:dyDescent="0.3">
      <c r="A2049" t="s">
        <v>2064</v>
      </c>
      <c r="B2049" s="2">
        <v>46108.813194444447</v>
      </c>
      <c r="C2049" s="2">
        <v>46109.063194444447</v>
      </c>
      <c r="D2049" t="s">
        <v>6022</v>
      </c>
      <c r="E2049" t="s">
        <v>6030</v>
      </c>
      <c r="F2049" t="s">
        <v>6034</v>
      </c>
      <c r="G2049" t="s">
        <v>6043</v>
      </c>
      <c r="H2049" t="s">
        <v>6097</v>
      </c>
      <c r="I2049">
        <v>24</v>
      </c>
      <c r="J2049">
        <v>6</v>
      </c>
      <c r="K2049" t="s">
        <v>6100</v>
      </c>
      <c r="L2049" t="s">
        <v>6099</v>
      </c>
      <c r="M2049" t="s">
        <v>6099</v>
      </c>
      <c r="O2049" t="s">
        <v>6101</v>
      </c>
      <c r="P2049" t="s">
        <v>6109</v>
      </c>
      <c r="Q2049">
        <v>3</v>
      </c>
      <c r="R2049">
        <v>2026</v>
      </c>
      <c r="S2049" t="s">
        <v>6099</v>
      </c>
      <c r="T2049">
        <v>1</v>
      </c>
      <c r="U2049" t="s">
        <v>6017</v>
      </c>
      <c r="V2049">
        <v>0</v>
      </c>
    </row>
    <row r="2050" spans="1:22" x14ac:dyDescent="0.3">
      <c r="A2050" t="s">
        <v>2065</v>
      </c>
      <c r="B2050" s="2">
        <v>46109.249305555553</v>
      </c>
      <c r="C2050" s="2">
        <v>46112.432638888888</v>
      </c>
      <c r="D2050" t="s">
        <v>6022</v>
      </c>
      <c r="E2050" t="s">
        <v>6031</v>
      </c>
      <c r="F2050" t="s">
        <v>6034</v>
      </c>
      <c r="G2050" t="s">
        <v>6066</v>
      </c>
      <c r="H2050" t="s">
        <v>6096</v>
      </c>
      <c r="I2050">
        <v>24</v>
      </c>
      <c r="J2050">
        <v>76.400000000000006</v>
      </c>
      <c r="K2050" t="s">
        <v>6099</v>
      </c>
      <c r="L2050" t="s">
        <v>6100</v>
      </c>
      <c r="M2050" t="s">
        <v>6099</v>
      </c>
      <c r="N2050">
        <v>4</v>
      </c>
      <c r="O2050" t="s">
        <v>6101</v>
      </c>
      <c r="P2050" t="s">
        <v>6109</v>
      </c>
      <c r="Q2050">
        <v>3</v>
      </c>
      <c r="R2050">
        <v>2026</v>
      </c>
      <c r="S2050" t="s">
        <v>6100</v>
      </c>
      <c r="T2050">
        <v>0</v>
      </c>
      <c r="U2050" t="s">
        <v>6017</v>
      </c>
      <c r="V2050">
        <v>1</v>
      </c>
    </row>
    <row r="2051" spans="1:22" x14ac:dyDescent="0.3">
      <c r="A2051" t="s">
        <v>2066</v>
      </c>
      <c r="B2051" s="2">
        <v>46109.275694444441</v>
      </c>
      <c r="C2051" s="2">
        <v>46113.129861111112</v>
      </c>
      <c r="D2051" t="s">
        <v>6026</v>
      </c>
      <c r="E2051" t="s">
        <v>6031</v>
      </c>
      <c r="F2051" t="s">
        <v>6033</v>
      </c>
      <c r="G2051" t="s">
        <v>6074</v>
      </c>
      <c r="H2051" t="s">
        <v>6098</v>
      </c>
      <c r="I2051">
        <v>72</v>
      </c>
      <c r="J2051">
        <v>92.5</v>
      </c>
      <c r="K2051" t="s">
        <v>6099</v>
      </c>
      <c r="L2051" t="s">
        <v>6100</v>
      </c>
      <c r="M2051" t="s">
        <v>6100</v>
      </c>
      <c r="O2051" t="s">
        <v>6101</v>
      </c>
      <c r="P2051" t="s">
        <v>6109</v>
      </c>
      <c r="Q2051">
        <v>3</v>
      </c>
      <c r="R2051">
        <v>2026</v>
      </c>
      <c r="S2051" t="s">
        <v>6100</v>
      </c>
      <c r="T2051">
        <v>0</v>
      </c>
      <c r="U2051" t="s">
        <v>6021</v>
      </c>
      <c r="V2051">
        <v>1</v>
      </c>
    </row>
    <row r="2052" spans="1:22" x14ac:dyDescent="0.3">
      <c r="A2052" t="s">
        <v>2067</v>
      </c>
      <c r="B2052" s="2">
        <v>46109.331944444442</v>
      </c>
      <c r="C2052" s="2">
        <v>46110.619444444441</v>
      </c>
      <c r="D2052" t="s">
        <v>6022</v>
      </c>
      <c r="E2052" t="s">
        <v>6029</v>
      </c>
      <c r="F2052" t="s">
        <v>6033</v>
      </c>
      <c r="G2052" t="s">
        <v>6041</v>
      </c>
      <c r="H2052" t="s">
        <v>6096</v>
      </c>
      <c r="I2052">
        <v>72</v>
      </c>
      <c r="J2052">
        <v>30.9</v>
      </c>
      <c r="K2052" t="s">
        <v>6099</v>
      </c>
      <c r="L2052" t="s">
        <v>6100</v>
      </c>
      <c r="M2052" t="s">
        <v>6100</v>
      </c>
      <c r="N2052">
        <v>5</v>
      </c>
      <c r="O2052" t="s">
        <v>6101</v>
      </c>
      <c r="P2052" t="s">
        <v>6109</v>
      </c>
      <c r="Q2052">
        <v>3</v>
      </c>
      <c r="R2052">
        <v>2026</v>
      </c>
      <c r="S2052" t="s">
        <v>6099</v>
      </c>
      <c r="T2052">
        <v>1</v>
      </c>
      <c r="U2052" t="s">
        <v>6018</v>
      </c>
      <c r="V2052">
        <v>1</v>
      </c>
    </row>
    <row r="2053" spans="1:22" x14ac:dyDescent="0.3">
      <c r="A2053" t="s">
        <v>2068</v>
      </c>
      <c r="B2053" s="2">
        <v>46109.35833333333</v>
      </c>
      <c r="C2053" s="2">
        <v>46109.73333333333</v>
      </c>
      <c r="D2053" t="s">
        <v>6027</v>
      </c>
      <c r="E2053" t="s">
        <v>6032</v>
      </c>
      <c r="F2053" t="s">
        <v>6033</v>
      </c>
      <c r="G2053" t="s">
        <v>6050</v>
      </c>
      <c r="H2053" t="s">
        <v>6098</v>
      </c>
      <c r="I2053">
        <v>72</v>
      </c>
      <c r="J2053">
        <v>9</v>
      </c>
      <c r="K2053" t="s">
        <v>6100</v>
      </c>
      <c r="L2053" t="s">
        <v>6100</v>
      </c>
      <c r="M2053" t="s">
        <v>6100</v>
      </c>
      <c r="N2053">
        <v>5</v>
      </c>
      <c r="O2053" t="s">
        <v>6101</v>
      </c>
      <c r="P2053" t="s">
        <v>6109</v>
      </c>
      <c r="Q2053">
        <v>3</v>
      </c>
      <c r="R2053">
        <v>2026</v>
      </c>
      <c r="S2053" t="s">
        <v>6099</v>
      </c>
      <c r="T2053">
        <v>1</v>
      </c>
      <c r="U2053" t="s">
        <v>6020</v>
      </c>
      <c r="V2053">
        <v>0</v>
      </c>
    </row>
    <row r="2054" spans="1:22" x14ac:dyDescent="0.3">
      <c r="A2054" t="s">
        <v>2069</v>
      </c>
      <c r="B2054" s="2">
        <v>46109.395833333336</v>
      </c>
      <c r="C2054" s="2">
        <v>46109.64166666667</v>
      </c>
      <c r="D2054" t="s">
        <v>6023</v>
      </c>
      <c r="E2054" t="s">
        <v>6030</v>
      </c>
      <c r="F2054" t="s">
        <v>6034</v>
      </c>
      <c r="G2054" t="s">
        <v>6053</v>
      </c>
      <c r="H2054" t="s">
        <v>6097</v>
      </c>
      <c r="I2054">
        <v>24</v>
      </c>
      <c r="J2054">
        <v>5.9</v>
      </c>
      <c r="K2054" t="s">
        <v>6099</v>
      </c>
      <c r="L2054" t="s">
        <v>6100</v>
      </c>
      <c r="M2054" t="s">
        <v>6100</v>
      </c>
      <c r="N2054">
        <v>5</v>
      </c>
      <c r="O2054" t="s">
        <v>6101</v>
      </c>
      <c r="P2054" t="s">
        <v>6109</v>
      </c>
      <c r="Q2054">
        <v>3</v>
      </c>
      <c r="R2054">
        <v>2026</v>
      </c>
      <c r="S2054" t="s">
        <v>6099</v>
      </c>
      <c r="T2054">
        <v>1</v>
      </c>
      <c r="U2054" t="s">
        <v>6017</v>
      </c>
      <c r="V2054">
        <v>1</v>
      </c>
    </row>
    <row r="2055" spans="1:22" x14ac:dyDescent="0.3">
      <c r="A2055" t="s">
        <v>2070</v>
      </c>
      <c r="B2055" s="2">
        <v>46109.404861111114</v>
      </c>
      <c r="C2055" s="2">
        <v>46109.692361111112</v>
      </c>
      <c r="D2055" t="s">
        <v>6028</v>
      </c>
      <c r="E2055" t="s">
        <v>6029</v>
      </c>
      <c r="F2055" t="s">
        <v>6035</v>
      </c>
      <c r="G2055" t="s">
        <v>6054</v>
      </c>
      <c r="H2055" t="s">
        <v>6096</v>
      </c>
      <c r="I2055">
        <v>4</v>
      </c>
      <c r="J2055">
        <v>6.9</v>
      </c>
      <c r="K2055" t="s">
        <v>6100</v>
      </c>
      <c r="L2055" t="s">
        <v>6099</v>
      </c>
      <c r="M2055" t="s">
        <v>6100</v>
      </c>
      <c r="O2055" t="s">
        <v>6101</v>
      </c>
      <c r="P2055" t="s">
        <v>6109</v>
      </c>
      <c r="Q2055">
        <v>3</v>
      </c>
      <c r="R2055">
        <v>2026</v>
      </c>
      <c r="S2055" t="s">
        <v>6100</v>
      </c>
      <c r="T2055">
        <v>0</v>
      </c>
      <c r="U2055" t="s">
        <v>6019</v>
      </c>
      <c r="V2055">
        <v>0</v>
      </c>
    </row>
    <row r="2056" spans="1:22" x14ac:dyDescent="0.3">
      <c r="A2056" t="s">
        <v>2071</v>
      </c>
      <c r="B2056" s="2">
        <v>46109.474305555559</v>
      </c>
      <c r="C2056" s="2">
        <v>46109.849305555559</v>
      </c>
      <c r="D2056" t="s">
        <v>6028</v>
      </c>
      <c r="E2056" t="s">
        <v>6031</v>
      </c>
      <c r="F2056" t="s">
        <v>6034</v>
      </c>
      <c r="G2056" t="s">
        <v>6039</v>
      </c>
      <c r="H2056" t="s">
        <v>6097</v>
      </c>
      <c r="I2056">
        <v>24</v>
      </c>
      <c r="J2056">
        <v>9</v>
      </c>
      <c r="K2056" t="s">
        <v>6099</v>
      </c>
      <c r="L2056" t="s">
        <v>6100</v>
      </c>
      <c r="M2056" t="s">
        <v>6100</v>
      </c>
      <c r="N2056">
        <v>5</v>
      </c>
      <c r="O2056" t="s">
        <v>6101</v>
      </c>
      <c r="P2056" t="s">
        <v>6109</v>
      </c>
      <c r="Q2056">
        <v>3</v>
      </c>
      <c r="R2056">
        <v>2026</v>
      </c>
      <c r="S2056" t="s">
        <v>6099</v>
      </c>
      <c r="T2056">
        <v>1</v>
      </c>
      <c r="U2056" t="s">
        <v>6020</v>
      </c>
      <c r="V2056">
        <v>1</v>
      </c>
    </row>
    <row r="2057" spans="1:22" x14ac:dyDescent="0.3">
      <c r="A2057" t="s">
        <v>2072</v>
      </c>
      <c r="B2057" s="2">
        <v>46109.477777777778</v>
      </c>
      <c r="C2057" s="2">
        <v>46110.365277777775</v>
      </c>
      <c r="D2057" t="s">
        <v>6026</v>
      </c>
      <c r="E2057" t="s">
        <v>6030</v>
      </c>
      <c r="F2057" t="s">
        <v>6035</v>
      </c>
      <c r="G2057" t="s">
        <v>6046</v>
      </c>
      <c r="H2057" t="s">
        <v>6098</v>
      </c>
      <c r="I2057">
        <v>4</v>
      </c>
      <c r="J2057">
        <v>21.3</v>
      </c>
      <c r="K2057" t="s">
        <v>6100</v>
      </c>
      <c r="L2057" t="s">
        <v>6100</v>
      </c>
      <c r="M2057" t="s">
        <v>6100</v>
      </c>
      <c r="N2057">
        <v>3</v>
      </c>
      <c r="O2057" t="s">
        <v>6101</v>
      </c>
      <c r="P2057" t="s">
        <v>6109</v>
      </c>
      <c r="Q2057">
        <v>3</v>
      </c>
      <c r="R2057">
        <v>2026</v>
      </c>
      <c r="S2057" t="s">
        <v>6100</v>
      </c>
      <c r="T2057">
        <v>0</v>
      </c>
      <c r="U2057" t="s">
        <v>6018</v>
      </c>
      <c r="V2057">
        <v>0</v>
      </c>
    </row>
    <row r="2058" spans="1:22" x14ac:dyDescent="0.3">
      <c r="A2058" t="s">
        <v>2073</v>
      </c>
      <c r="B2058" s="2">
        <v>46109.527083333334</v>
      </c>
      <c r="C2058" s="2">
        <v>46110.472916666666</v>
      </c>
      <c r="D2058" t="s">
        <v>6025</v>
      </c>
      <c r="E2058" t="s">
        <v>6030</v>
      </c>
      <c r="F2058" t="s">
        <v>6033</v>
      </c>
      <c r="G2058" t="s">
        <v>6078</v>
      </c>
      <c r="H2058" t="s">
        <v>6097</v>
      </c>
      <c r="I2058">
        <v>72</v>
      </c>
      <c r="J2058">
        <v>22.7</v>
      </c>
      <c r="K2058" t="s">
        <v>6099</v>
      </c>
      <c r="L2058" t="s">
        <v>6100</v>
      </c>
      <c r="M2058" t="s">
        <v>6100</v>
      </c>
      <c r="N2058">
        <v>4</v>
      </c>
      <c r="O2058" t="s">
        <v>6101</v>
      </c>
      <c r="P2058" t="s">
        <v>6109</v>
      </c>
      <c r="Q2058">
        <v>3</v>
      </c>
      <c r="R2058">
        <v>2026</v>
      </c>
      <c r="S2058" t="s">
        <v>6099</v>
      </c>
      <c r="T2058">
        <v>1</v>
      </c>
      <c r="U2058" t="s">
        <v>6017</v>
      </c>
      <c r="V2058">
        <v>1</v>
      </c>
    </row>
    <row r="2059" spans="1:22" x14ac:dyDescent="0.3">
      <c r="A2059" t="s">
        <v>2074</v>
      </c>
      <c r="B2059" s="2">
        <v>46109.527777777781</v>
      </c>
      <c r="C2059" s="2">
        <v>46110.240277777775</v>
      </c>
      <c r="D2059" t="s">
        <v>6022</v>
      </c>
      <c r="E2059" t="s">
        <v>6030</v>
      </c>
      <c r="F2059" t="s">
        <v>6033</v>
      </c>
      <c r="G2059" t="s">
        <v>6055</v>
      </c>
      <c r="H2059" t="s">
        <v>6096</v>
      </c>
      <c r="I2059">
        <v>72</v>
      </c>
      <c r="J2059">
        <v>17.100000000000001</v>
      </c>
      <c r="K2059" t="s">
        <v>6100</v>
      </c>
      <c r="L2059" t="s">
        <v>6100</v>
      </c>
      <c r="M2059" t="s">
        <v>6100</v>
      </c>
      <c r="N2059">
        <v>4</v>
      </c>
      <c r="O2059" t="s">
        <v>6101</v>
      </c>
      <c r="P2059" t="s">
        <v>6109</v>
      </c>
      <c r="Q2059">
        <v>3</v>
      </c>
      <c r="R2059">
        <v>2026</v>
      </c>
      <c r="S2059" t="s">
        <v>6099</v>
      </c>
      <c r="T2059">
        <v>1</v>
      </c>
      <c r="U2059" t="s">
        <v>6021</v>
      </c>
      <c r="V2059">
        <v>0</v>
      </c>
    </row>
    <row r="2060" spans="1:22" x14ac:dyDescent="0.3">
      <c r="A2060" t="s">
        <v>2075</v>
      </c>
      <c r="B2060" s="2">
        <v>46109.570138888892</v>
      </c>
      <c r="C2060" s="2">
        <v>46109.678472222222</v>
      </c>
      <c r="D2060" t="s">
        <v>6028</v>
      </c>
      <c r="E2060" t="s">
        <v>6030</v>
      </c>
      <c r="F2060" t="s">
        <v>6035</v>
      </c>
      <c r="G2060" t="s">
        <v>6095</v>
      </c>
      <c r="H2060" t="s">
        <v>6098</v>
      </c>
      <c r="I2060">
        <v>4</v>
      </c>
      <c r="J2060">
        <v>2.6</v>
      </c>
      <c r="K2060" t="s">
        <v>6100</v>
      </c>
      <c r="L2060" t="s">
        <v>6100</v>
      </c>
      <c r="M2060" t="s">
        <v>6100</v>
      </c>
      <c r="N2060">
        <v>5</v>
      </c>
      <c r="O2060" t="s">
        <v>6101</v>
      </c>
      <c r="P2060" t="s">
        <v>6109</v>
      </c>
      <c r="Q2060">
        <v>3</v>
      </c>
      <c r="R2060">
        <v>2026</v>
      </c>
      <c r="S2060" t="s">
        <v>6099</v>
      </c>
      <c r="T2060">
        <v>1</v>
      </c>
      <c r="U2060" t="s">
        <v>6021</v>
      </c>
      <c r="V2060">
        <v>0</v>
      </c>
    </row>
    <row r="2061" spans="1:22" x14ac:dyDescent="0.3">
      <c r="A2061" t="s">
        <v>2076</v>
      </c>
      <c r="B2061" s="2">
        <v>46109.607638888891</v>
      </c>
      <c r="C2061" s="2">
        <v>46110.057638888888</v>
      </c>
      <c r="D2061" t="s">
        <v>6027</v>
      </c>
      <c r="E2061" t="s">
        <v>6029</v>
      </c>
      <c r="F2061" t="s">
        <v>6035</v>
      </c>
      <c r="G2061" t="s">
        <v>6046</v>
      </c>
      <c r="H2061" t="s">
        <v>6098</v>
      </c>
      <c r="I2061">
        <v>4</v>
      </c>
      <c r="J2061">
        <v>10.8</v>
      </c>
      <c r="K2061" t="s">
        <v>6099</v>
      </c>
      <c r="L2061" t="s">
        <v>6100</v>
      </c>
      <c r="M2061" t="s">
        <v>6100</v>
      </c>
      <c r="N2061">
        <v>4</v>
      </c>
      <c r="O2061" t="s">
        <v>6101</v>
      </c>
      <c r="P2061" t="s">
        <v>6109</v>
      </c>
      <c r="Q2061">
        <v>3</v>
      </c>
      <c r="R2061">
        <v>2026</v>
      </c>
      <c r="S2061" t="s">
        <v>6100</v>
      </c>
      <c r="T2061">
        <v>0</v>
      </c>
      <c r="U2061" t="s">
        <v>6020</v>
      </c>
      <c r="V2061">
        <v>1</v>
      </c>
    </row>
    <row r="2062" spans="1:22" x14ac:dyDescent="0.3">
      <c r="A2062" t="s">
        <v>2077</v>
      </c>
      <c r="B2062" s="2">
        <v>46109.624305555553</v>
      </c>
      <c r="C2062" s="2">
        <v>46116.907638888886</v>
      </c>
      <c r="D2062" t="s">
        <v>6026</v>
      </c>
      <c r="E2062" t="s">
        <v>6031</v>
      </c>
      <c r="F2062" t="s">
        <v>6034</v>
      </c>
      <c r="G2062" t="s">
        <v>6057</v>
      </c>
      <c r="H2062" t="s">
        <v>6097</v>
      </c>
      <c r="I2062">
        <v>24</v>
      </c>
      <c r="J2062">
        <v>174.8</v>
      </c>
      <c r="K2062" t="s">
        <v>6099</v>
      </c>
      <c r="L2062" t="s">
        <v>6100</v>
      </c>
      <c r="M2062" t="s">
        <v>6100</v>
      </c>
      <c r="N2062">
        <v>2</v>
      </c>
      <c r="O2062" t="s">
        <v>6101</v>
      </c>
      <c r="P2062" t="s">
        <v>6109</v>
      </c>
      <c r="Q2062">
        <v>3</v>
      </c>
      <c r="R2062">
        <v>2026</v>
      </c>
      <c r="S2062" t="s">
        <v>6100</v>
      </c>
      <c r="T2062">
        <v>0</v>
      </c>
      <c r="U2062" t="s">
        <v>6018</v>
      </c>
      <c r="V2062">
        <v>1</v>
      </c>
    </row>
    <row r="2063" spans="1:22" x14ac:dyDescent="0.3">
      <c r="A2063" t="s">
        <v>2078</v>
      </c>
      <c r="B2063" s="2">
        <v>46109.67083333333</v>
      </c>
      <c r="C2063" s="2">
        <v>46109.970833333333</v>
      </c>
      <c r="D2063" t="s">
        <v>6027</v>
      </c>
      <c r="E2063" t="s">
        <v>6029</v>
      </c>
      <c r="F2063" t="s">
        <v>6034</v>
      </c>
      <c r="G2063" t="s">
        <v>6090</v>
      </c>
      <c r="H2063" t="s">
        <v>6097</v>
      </c>
      <c r="I2063">
        <v>24</v>
      </c>
      <c r="J2063">
        <v>7.2</v>
      </c>
      <c r="K2063" t="s">
        <v>6099</v>
      </c>
      <c r="L2063" t="s">
        <v>6100</v>
      </c>
      <c r="M2063" t="s">
        <v>6100</v>
      </c>
      <c r="O2063" t="s">
        <v>6101</v>
      </c>
      <c r="P2063" t="s">
        <v>6109</v>
      </c>
      <c r="Q2063">
        <v>3</v>
      </c>
      <c r="R2063">
        <v>2026</v>
      </c>
      <c r="S2063" t="s">
        <v>6099</v>
      </c>
      <c r="T2063">
        <v>1</v>
      </c>
      <c r="U2063" t="s">
        <v>6020</v>
      </c>
      <c r="V2063">
        <v>1</v>
      </c>
    </row>
    <row r="2064" spans="1:22" x14ac:dyDescent="0.3">
      <c r="A2064" t="s">
        <v>2079</v>
      </c>
      <c r="B2064" s="2">
        <v>46109.680555555555</v>
      </c>
      <c r="C2064" s="2">
        <v>46110.213888888888</v>
      </c>
      <c r="D2064" t="s">
        <v>6028</v>
      </c>
      <c r="E2064" t="s">
        <v>6029</v>
      </c>
      <c r="F2064" t="s">
        <v>6035</v>
      </c>
      <c r="G2064" t="s">
        <v>6062</v>
      </c>
      <c r="H2064" t="s">
        <v>6096</v>
      </c>
      <c r="I2064">
        <v>4</v>
      </c>
      <c r="J2064">
        <v>12.8</v>
      </c>
      <c r="K2064" t="s">
        <v>6099</v>
      </c>
      <c r="L2064" t="s">
        <v>6100</v>
      </c>
      <c r="M2064" t="s">
        <v>6100</v>
      </c>
      <c r="N2064">
        <v>3</v>
      </c>
      <c r="O2064" t="s">
        <v>6101</v>
      </c>
      <c r="P2064" t="s">
        <v>6109</v>
      </c>
      <c r="Q2064">
        <v>3</v>
      </c>
      <c r="R2064">
        <v>2026</v>
      </c>
      <c r="S2064" t="s">
        <v>6100</v>
      </c>
      <c r="T2064">
        <v>0</v>
      </c>
      <c r="U2064" t="s">
        <v>6018</v>
      </c>
      <c r="V2064">
        <v>1</v>
      </c>
    </row>
    <row r="2065" spans="1:22" x14ac:dyDescent="0.3">
      <c r="A2065" t="s">
        <v>2080</v>
      </c>
      <c r="B2065" s="2">
        <v>46109.706250000003</v>
      </c>
      <c r="C2065" s="2">
        <v>46110.13958333333</v>
      </c>
      <c r="D2065" t="s">
        <v>6023</v>
      </c>
      <c r="E2065" t="s">
        <v>6032</v>
      </c>
      <c r="F2065" t="s">
        <v>6034</v>
      </c>
      <c r="G2065" t="s">
        <v>6051</v>
      </c>
      <c r="H2065" t="s">
        <v>6097</v>
      </c>
      <c r="I2065">
        <v>24</v>
      </c>
      <c r="J2065">
        <v>10.4</v>
      </c>
      <c r="K2065" t="s">
        <v>6100</v>
      </c>
      <c r="L2065" t="s">
        <v>6100</v>
      </c>
      <c r="M2065" t="s">
        <v>6100</v>
      </c>
      <c r="N2065">
        <v>5</v>
      </c>
      <c r="O2065" t="s">
        <v>6101</v>
      </c>
      <c r="P2065" t="s">
        <v>6109</v>
      </c>
      <c r="Q2065">
        <v>3</v>
      </c>
      <c r="R2065">
        <v>2026</v>
      </c>
      <c r="S2065" t="s">
        <v>6099</v>
      </c>
      <c r="T2065">
        <v>1</v>
      </c>
      <c r="U2065" t="s">
        <v>6018</v>
      </c>
      <c r="V2065">
        <v>0</v>
      </c>
    </row>
    <row r="2066" spans="1:22" x14ac:dyDescent="0.3">
      <c r="A2066" t="s">
        <v>2081</v>
      </c>
      <c r="B2066" s="2">
        <v>46109.74722222222</v>
      </c>
      <c r="C2066" s="2">
        <v>46110.168055555558</v>
      </c>
      <c r="D2066" t="s">
        <v>6028</v>
      </c>
      <c r="E2066" t="s">
        <v>6029</v>
      </c>
      <c r="F2066" t="s">
        <v>6035</v>
      </c>
      <c r="G2066" t="s">
        <v>6064</v>
      </c>
      <c r="H2066" t="s">
        <v>6096</v>
      </c>
      <c r="I2066">
        <v>4</v>
      </c>
      <c r="J2066">
        <v>10.1</v>
      </c>
      <c r="K2066" t="s">
        <v>6100</v>
      </c>
      <c r="L2066" t="s">
        <v>6099</v>
      </c>
      <c r="M2066" t="s">
        <v>6100</v>
      </c>
      <c r="N2066">
        <v>3</v>
      </c>
      <c r="O2066" t="s">
        <v>6101</v>
      </c>
      <c r="P2066" t="s">
        <v>6109</v>
      </c>
      <c r="Q2066">
        <v>3</v>
      </c>
      <c r="R2066">
        <v>2026</v>
      </c>
      <c r="S2066" t="s">
        <v>6100</v>
      </c>
      <c r="T2066">
        <v>0</v>
      </c>
      <c r="U2066" t="s">
        <v>6018</v>
      </c>
      <c r="V2066">
        <v>0</v>
      </c>
    </row>
    <row r="2067" spans="1:22" x14ac:dyDescent="0.3">
      <c r="A2067" t="s">
        <v>2082</v>
      </c>
      <c r="B2067" s="2">
        <v>46109.796527777777</v>
      </c>
      <c r="C2067" s="2">
        <v>46110.121527777781</v>
      </c>
      <c r="D2067" t="s">
        <v>6023</v>
      </c>
      <c r="E2067" t="s">
        <v>6029</v>
      </c>
      <c r="F2067" t="s">
        <v>6033</v>
      </c>
      <c r="G2067" t="s">
        <v>6090</v>
      </c>
      <c r="H2067" t="s">
        <v>6097</v>
      </c>
      <c r="I2067">
        <v>72</v>
      </c>
      <c r="J2067">
        <v>7.8</v>
      </c>
      <c r="K2067" t="s">
        <v>6099</v>
      </c>
      <c r="L2067" t="s">
        <v>6100</v>
      </c>
      <c r="M2067" t="s">
        <v>6100</v>
      </c>
      <c r="N2067">
        <v>5</v>
      </c>
      <c r="O2067" t="s">
        <v>6101</v>
      </c>
      <c r="P2067" t="s">
        <v>6109</v>
      </c>
      <c r="Q2067">
        <v>3</v>
      </c>
      <c r="R2067">
        <v>2026</v>
      </c>
      <c r="S2067" t="s">
        <v>6099</v>
      </c>
      <c r="T2067">
        <v>1</v>
      </c>
      <c r="U2067" t="s">
        <v>6020</v>
      </c>
      <c r="V2067">
        <v>1</v>
      </c>
    </row>
    <row r="2068" spans="1:22" x14ac:dyDescent="0.3">
      <c r="A2068" t="s">
        <v>2083</v>
      </c>
      <c r="B2068" s="2">
        <v>46109.826388888891</v>
      </c>
      <c r="C2068" s="2">
        <v>46109.943055555559</v>
      </c>
      <c r="D2068" t="s">
        <v>6027</v>
      </c>
      <c r="E2068" t="s">
        <v>6029</v>
      </c>
      <c r="F2068" t="s">
        <v>6034</v>
      </c>
      <c r="G2068" t="s">
        <v>6087</v>
      </c>
      <c r="H2068" t="s">
        <v>6098</v>
      </c>
      <c r="I2068">
        <v>24</v>
      </c>
      <c r="J2068">
        <v>2.8</v>
      </c>
      <c r="K2068" t="s">
        <v>6099</v>
      </c>
      <c r="L2068" t="s">
        <v>6100</v>
      </c>
      <c r="M2068" t="s">
        <v>6100</v>
      </c>
      <c r="N2068">
        <v>4</v>
      </c>
      <c r="O2068" t="s">
        <v>6101</v>
      </c>
      <c r="P2068" t="s">
        <v>6109</v>
      </c>
      <c r="Q2068">
        <v>3</v>
      </c>
      <c r="R2068">
        <v>2026</v>
      </c>
      <c r="S2068" t="s">
        <v>6099</v>
      </c>
      <c r="T2068">
        <v>1</v>
      </c>
      <c r="U2068" t="s">
        <v>6018</v>
      </c>
      <c r="V2068">
        <v>1</v>
      </c>
    </row>
    <row r="2069" spans="1:22" x14ac:dyDescent="0.3">
      <c r="A2069" t="s">
        <v>2084</v>
      </c>
      <c r="B2069" s="2">
        <v>46109.89166666667</v>
      </c>
      <c r="C2069" s="2">
        <v>46110.695833333331</v>
      </c>
      <c r="D2069" t="s">
        <v>6023</v>
      </c>
      <c r="E2069" t="s">
        <v>6029</v>
      </c>
      <c r="F2069" t="s">
        <v>6034</v>
      </c>
      <c r="G2069" t="s">
        <v>6046</v>
      </c>
      <c r="H2069" t="s">
        <v>6098</v>
      </c>
      <c r="I2069">
        <v>24</v>
      </c>
      <c r="J2069">
        <v>19.3</v>
      </c>
      <c r="K2069" t="s">
        <v>6099</v>
      </c>
      <c r="L2069" t="s">
        <v>6100</v>
      </c>
      <c r="M2069" t="s">
        <v>6100</v>
      </c>
      <c r="O2069" t="s">
        <v>6101</v>
      </c>
      <c r="P2069" t="s">
        <v>6109</v>
      </c>
      <c r="Q2069">
        <v>3</v>
      </c>
      <c r="R2069">
        <v>2026</v>
      </c>
      <c r="S2069" t="s">
        <v>6099</v>
      </c>
      <c r="T2069">
        <v>1</v>
      </c>
      <c r="U2069" t="s">
        <v>6017</v>
      </c>
      <c r="V2069">
        <v>1</v>
      </c>
    </row>
    <row r="2070" spans="1:22" x14ac:dyDescent="0.3">
      <c r="A2070" t="s">
        <v>2085</v>
      </c>
      <c r="B2070" s="2">
        <v>46110.125694444447</v>
      </c>
      <c r="C2070" s="2">
        <v>46111.729861111111</v>
      </c>
      <c r="D2070" t="s">
        <v>6022</v>
      </c>
      <c r="E2070" t="s">
        <v>6031</v>
      </c>
      <c r="F2070" t="s">
        <v>6033</v>
      </c>
      <c r="G2070" t="s">
        <v>6069</v>
      </c>
      <c r="H2070" t="s">
        <v>6098</v>
      </c>
      <c r="I2070">
        <v>72</v>
      </c>
      <c r="J2070">
        <v>38.5</v>
      </c>
      <c r="K2070" t="s">
        <v>6100</v>
      </c>
      <c r="L2070" t="s">
        <v>6100</v>
      </c>
      <c r="M2070" t="s">
        <v>6100</v>
      </c>
      <c r="N2070">
        <v>5</v>
      </c>
      <c r="O2070" t="s">
        <v>6101</v>
      </c>
      <c r="P2070" t="s">
        <v>6109</v>
      </c>
      <c r="Q2070">
        <v>3</v>
      </c>
      <c r="R2070">
        <v>2026</v>
      </c>
      <c r="S2070" t="s">
        <v>6099</v>
      </c>
      <c r="T2070">
        <v>1</v>
      </c>
      <c r="U2070" t="s">
        <v>6020</v>
      </c>
      <c r="V2070">
        <v>0</v>
      </c>
    </row>
    <row r="2071" spans="1:22" x14ac:dyDescent="0.3">
      <c r="A2071" t="s">
        <v>2086</v>
      </c>
      <c r="B2071" s="2">
        <v>46110.239583333336</v>
      </c>
      <c r="C2071" s="2">
        <v>46110.53125</v>
      </c>
      <c r="D2071" t="s">
        <v>6023</v>
      </c>
      <c r="E2071" t="s">
        <v>6030</v>
      </c>
      <c r="F2071" t="s">
        <v>6034</v>
      </c>
      <c r="G2071" t="s">
        <v>6061</v>
      </c>
      <c r="H2071" t="s">
        <v>6096</v>
      </c>
      <c r="I2071">
        <v>24</v>
      </c>
      <c r="J2071">
        <v>7</v>
      </c>
      <c r="K2071" t="s">
        <v>6100</v>
      </c>
      <c r="L2071" t="s">
        <v>6100</v>
      </c>
      <c r="M2071" t="s">
        <v>6100</v>
      </c>
      <c r="N2071">
        <v>5</v>
      </c>
      <c r="O2071" t="s">
        <v>6101</v>
      </c>
      <c r="P2071" t="s">
        <v>6109</v>
      </c>
      <c r="Q2071">
        <v>3</v>
      </c>
      <c r="R2071">
        <v>2026</v>
      </c>
      <c r="S2071" t="s">
        <v>6099</v>
      </c>
      <c r="T2071">
        <v>1</v>
      </c>
      <c r="U2071" t="s">
        <v>6021</v>
      </c>
      <c r="V2071">
        <v>0</v>
      </c>
    </row>
    <row r="2072" spans="1:22" x14ac:dyDescent="0.3">
      <c r="A2072" t="s">
        <v>2087</v>
      </c>
      <c r="B2072" s="2">
        <v>46110.25</v>
      </c>
      <c r="C2072" s="2">
        <v>46110.433333333334</v>
      </c>
      <c r="D2072" t="s">
        <v>6023</v>
      </c>
      <c r="E2072" t="s">
        <v>6030</v>
      </c>
      <c r="F2072" t="s">
        <v>6033</v>
      </c>
      <c r="G2072" t="s">
        <v>6044</v>
      </c>
      <c r="H2072" t="s">
        <v>6097</v>
      </c>
      <c r="I2072">
        <v>72</v>
      </c>
      <c r="J2072">
        <v>4.4000000000000004</v>
      </c>
      <c r="K2072" t="s">
        <v>6100</v>
      </c>
      <c r="L2072" t="s">
        <v>6099</v>
      </c>
      <c r="M2072" t="s">
        <v>6100</v>
      </c>
      <c r="N2072">
        <v>3</v>
      </c>
      <c r="O2072" t="s">
        <v>6101</v>
      </c>
      <c r="P2072" t="s">
        <v>6109</v>
      </c>
      <c r="Q2072">
        <v>3</v>
      </c>
      <c r="R2072">
        <v>2026</v>
      </c>
      <c r="S2072" t="s">
        <v>6099</v>
      </c>
      <c r="T2072">
        <v>1</v>
      </c>
      <c r="U2072" t="s">
        <v>6020</v>
      </c>
      <c r="V2072">
        <v>0</v>
      </c>
    </row>
    <row r="2073" spans="1:22" x14ac:dyDescent="0.3">
      <c r="A2073" t="s">
        <v>2088</v>
      </c>
      <c r="B2073" s="2">
        <v>46110.253472222219</v>
      </c>
      <c r="C2073" s="2">
        <v>46110.453472222223</v>
      </c>
      <c r="D2073" t="s">
        <v>6023</v>
      </c>
      <c r="E2073" t="s">
        <v>6029</v>
      </c>
      <c r="F2073" t="s">
        <v>6033</v>
      </c>
      <c r="G2073" t="s">
        <v>6089</v>
      </c>
      <c r="H2073" t="s">
        <v>6098</v>
      </c>
      <c r="I2073">
        <v>72</v>
      </c>
      <c r="J2073">
        <v>4.8</v>
      </c>
      <c r="K2073" t="s">
        <v>6099</v>
      </c>
      <c r="L2073" t="s">
        <v>6100</v>
      </c>
      <c r="M2073" t="s">
        <v>6100</v>
      </c>
      <c r="O2073" t="s">
        <v>6101</v>
      </c>
      <c r="P2073" t="s">
        <v>6109</v>
      </c>
      <c r="Q2073">
        <v>3</v>
      </c>
      <c r="R2073">
        <v>2026</v>
      </c>
      <c r="S2073" t="s">
        <v>6099</v>
      </c>
      <c r="T2073">
        <v>1</v>
      </c>
      <c r="U2073" t="s">
        <v>6020</v>
      </c>
      <c r="V2073">
        <v>1</v>
      </c>
    </row>
    <row r="2074" spans="1:22" x14ac:dyDescent="0.3">
      <c r="A2074" t="s">
        <v>2089</v>
      </c>
      <c r="B2074" s="2">
        <v>46110.259722222225</v>
      </c>
      <c r="C2074" s="2">
        <v>46111.093055555553</v>
      </c>
      <c r="D2074" t="s">
        <v>6028</v>
      </c>
      <c r="E2074" t="s">
        <v>6029</v>
      </c>
      <c r="F2074" t="s">
        <v>6034</v>
      </c>
      <c r="G2074" t="s">
        <v>6064</v>
      </c>
      <c r="H2074" t="s">
        <v>6096</v>
      </c>
      <c r="I2074">
        <v>24</v>
      </c>
      <c r="J2074">
        <v>20</v>
      </c>
      <c r="K2074" t="s">
        <v>6099</v>
      </c>
      <c r="L2074" t="s">
        <v>6100</v>
      </c>
      <c r="M2074" t="s">
        <v>6100</v>
      </c>
      <c r="N2074">
        <v>5</v>
      </c>
      <c r="O2074" t="s">
        <v>6101</v>
      </c>
      <c r="P2074" t="s">
        <v>6109</v>
      </c>
      <c r="Q2074">
        <v>3</v>
      </c>
      <c r="R2074">
        <v>2026</v>
      </c>
      <c r="S2074" t="s">
        <v>6099</v>
      </c>
      <c r="T2074">
        <v>1</v>
      </c>
      <c r="U2074" t="s">
        <v>6017</v>
      </c>
      <c r="V2074">
        <v>1</v>
      </c>
    </row>
    <row r="2075" spans="1:22" x14ac:dyDescent="0.3">
      <c r="A2075" t="s">
        <v>2090</v>
      </c>
      <c r="B2075" s="2">
        <v>46110.282638888886</v>
      </c>
      <c r="C2075" s="2">
        <v>46110.695138888892</v>
      </c>
      <c r="D2075" t="s">
        <v>6023</v>
      </c>
      <c r="E2075" t="s">
        <v>6030</v>
      </c>
      <c r="F2075" t="s">
        <v>6034</v>
      </c>
      <c r="G2075" t="s">
        <v>6056</v>
      </c>
      <c r="H2075" t="s">
        <v>6098</v>
      </c>
      <c r="I2075">
        <v>24</v>
      </c>
      <c r="J2075">
        <v>9.9</v>
      </c>
      <c r="K2075" t="s">
        <v>6099</v>
      </c>
      <c r="L2075" t="s">
        <v>6100</v>
      </c>
      <c r="M2075" t="s">
        <v>6100</v>
      </c>
      <c r="O2075" t="s">
        <v>6101</v>
      </c>
      <c r="P2075" t="s">
        <v>6109</v>
      </c>
      <c r="Q2075">
        <v>3</v>
      </c>
      <c r="R2075">
        <v>2026</v>
      </c>
      <c r="S2075" t="s">
        <v>6099</v>
      </c>
      <c r="T2075">
        <v>1</v>
      </c>
      <c r="U2075" t="s">
        <v>6018</v>
      </c>
      <c r="V2075">
        <v>1</v>
      </c>
    </row>
    <row r="2076" spans="1:22" x14ac:dyDescent="0.3">
      <c r="A2076" t="s">
        <v>2091</v>
      </c>
      <c r="B2076" s="2">
        <v>46110.369444444441</v>
      </c>
      <c r="C2076" s="2">
        <v>46110.673611111109</v>
      </c>
      <c r="D2076" t="s">
        <v>6023</v>
      </c>
      <c r="E2076" t="s">
        <v>6032</v>
      </c>
      <c r="F2076" t="s">
        <v>6034</v>
      </c>
      <c r="G2076" t="s">
        <v>6095</v>
      </c>
      <c r="H2076" t="s">
        <v>6098</v>
      </c>
      <c r="I2076">
        <v>24</v>
      </c>
      <c r="J2076">
        <v>7.3</v>
      </c>
      <c r="K2076" t="s">
        <v>6099</v>
      </c>
      <c r="L2076" t="s">
        <v>6100</v>
      </c>
      <c r="M2076" t="s">
        <v>6100</v>
      </c>
      <c r="O2076" t="s">
        <v>6101</v>
      </c>
      <c r="P2076" t="s">
        <v>6109</v>
      </c>
      <c r="Q2076">
        <v>3</v>
      </c>
      <c r="R2076">
        <v>2026</v>
      </c>
      <c r="S2076" t="s">
        <v>6099</v>
      </c>
      <c r="T2076">
        <v>1</v>
      </c>
      <c r="U2076" t="s">
        <v>6020</v>
      </c>
      <c r="V2076">
        <v>1</v>
      </c>
    </row>
    <row r="2077" spans="1:22" x14ac:dyDescent="0.3">
      <c r="A2077" t="s">
        <v>2092</v>
      </c>
      <c r="B2077" s="2">
        <v>46110.394444444442</v>
      </c>
      <c r="C2077" s="2">
        <v>46110.706944444442</v>
      </c>
      <c r="D2077" t="s">
        <v>6028</v>
      </c>
      <c r="E2077" t="s">
        <v>6030</v>
      </c>
      <c r="F2077" t="s">
        <v>6035</v>
      </c>
      <c r="G2077" t="s">
        <v>6060</v>
      </c>
      <c r="H2077" t="s">
        <v>6097</v>
      </c>
      <c r="I2077">
        <v>4</v>
      </c>
      <c r="J2077">
        <v>7.5</v>
      </c>
      <c r="K2077" t="s">
        <v>6099</v>
      </c>
      <c r="L2077" t="s">
        <v>6100</v>
      </c>
      <c r="M2077" t="s">
        <v>6100</v>
      </c>
      <c r="N2077">
        <v>4</v>
      </c>
      <c r="O2077" t="s">
        <v>6101</v>
      </c>
      <c r="P2077" t="s">
        <v>6109</v>
      </c>
      <c r="Q2077">
        <v>3</v>
      </c>
      <c r="R2077">
        <v>2026</v>
      </c>
      <c r="S2077" t="s">
        <v>6100</v>
      </c>
      <c r="T2077">
        <v>0</v>
      </c>
      <c r="U2077" t="s">
        <v>6017</v>
      </c>
      <c r="V2077">
        <v>1</v>
      </c>
    </row>
    <row r="2078" spans="1:22" x14ac:dyDescent="0.3">
      <c r="A2078" t="s">
        <v>2093</v>
      </c>
      <c r="B2078" s="2">
        <v>46110.433333333334</v>
      </c>
      <c r="C2078" s="2">
        <v>46110.958333333336</v>
      </c>
      <c r="D2078" t="s">
        <v>6028</v>
      </c>
      <c r="E2078" t="s">
        <v>6031</v>
      </c>
      <c r="F2078" t="s">
        <v>6034</v>
      </c>
      <c r="G2078" t="s">
        <v>6069</v>
      </c>
      <c r="H2078" t="s">
        <v>6098</v>
      </c>
      <c r="I2078">
        <v>24</v>
      </c>
      <c r="J2078">
        <v>12.6</v>
      </c>
      <c r="K2078" t="s">
        <v>6099</v>
      </c>
      <c r="L2078" t="s">
        <v>6100</v>
      </c>
      <c r="M2078" t="s">
        <v>6100</v>
      </c>
      <c r="N2078">
        <v>4</v>
      </c>
      <c r="O2078" t="s">
        <v>6101</v>
      </c>
      <c r="P2078" t="s">
        <v>6109</v>
      </c>
      <c r="Q2078">
        <v>3</v>
      </c>
      <c r="R2078">
        <v>2026</v>
      </c>
      <c r="S2078" t="s">
        <v>6099</v>
      </c>
      <c r="T2078">
        <v>1</v>
      </c>
      <c r="U2078" t="s">
        <v>6020</v>
      </c>
      <c r="V2078">
        <v>1</v>
      </c>
    </row>
    <row r="2079" spans="1:22" x14ac:dyDescent="0.3">
      <c r="A2079" t="s">
        <v>2094</v>
      </c>
      <c r="B2079" s="2">
        <v>46110.443749999999</v>
      </c>
      <c r="C2079" s="2">
        <v>46110.885416666664</v>
      </c>
      <c r="D2079" t="s">
        <v>6023</v>
      </c>
      <c r="E2079" t="s">
        <v>6029</v>
      </c>
      <c r="F2079" t="s">
        <v>6034</v>
      </c>
      <c r="G2079" t="s">
        <v>6060</v>
      </c>
      <c r="H2079" t="s">
        <v>6097</v>
      </c>
      <c r="I2079">
        <v>24</v>
      </c>
      <c r="J2079">
        <v>10.6</v>
      </c>
      <c r="K2079" t="s">
        <v>6099</v>
      </c>
      <c r="L2079" t="s">
        <v>6100</v>
      </c>
      <c r="M2079" t="s">
        <v>6100</v>
      </c>
      <c r="O2079" t="s">
        <v>6101</v>
      </c>
      <c r="P2079" t="s">
        <v>6109</v>
      </c>
      <c r="Q2079">
        <v>3</v>
      </c>
      <c r="R2079">
        <v>2026</v>
      </c>
      <c r="S2079" t="s">
        <v>6099</v>
      </c>
      <c r="T2079">
        <v>1</v>
      </c>
      <c r="U2079" t="s">
        <v>6019</v>
      </c>
      <c r="V2079">
        <v>1</v>
      </c>
    </row>
    <row r="2080" spans="1:22" x14ac:dyDescent="0.3">
      <c r="A2080" t="s">
        <v>2095</v>
      </c>
      <c r="B2080" s="2">
        <v>46110.472916666666</v>
      </c>
      <c r="C2080" s="2">
        <v>46110.643750000003</v>
      </c>
      <c r="D2080" t="s">
        <v>6023</v>
      </c>
      <c r="E2080" t="s">
        <v>6030</v>
      </c>
      <c r="F2080" t="s">
        <v>6034</v>
      </c>
      <c r="G2080" t="s">
        <v>6094</v>
      </c>
      <c r="H2080" t="s">
        <v>6098</v>
      </c>
      <c r="I2080">
        <v>24</v>
      </c>
      <c r="J2080">
        <v>4.0999999999999996</v>
      </c>
      <c r="K2080" t="s">
        <v>6099</v>
      </c>
      <c r="L2080" t="s">
        <v>6100</v>
      </c>
      <c r="M2080" t="s">
        <v>6100</v>
      </c>
      <c r="O2080" t="s">
        <v>6101</v>
      </c>
      <c r="P2080" t="s">
        <v>6109</v>
      </c>
      <c r="Q2080">
        <v>3</v>
      </c>
      <c r="R2080">
        <v>2026</v>
      </c>
      <c r="S2080" t="s">
        <v>6099</v>
      </c>
      <c r="T2080">
        <v>1</v>
      </c>
      <c r="U2080" t="s">
        <v>6017</v>
      </c>
      <c r="V2080">
        <v>1</v>
      </c>
    </row>
    <row r="2081" spans="1:22" x14ac:dyDescent="0.3">
      <c r="A2081" t="s">
        <v>2096</v>
      </c>
      <c r="B2081" s="2">
        <v>46110.479166666664</v>
      </c>
      <c r="C2081" s="2">
        <v>46113.35833333333</v>
      </c>
      <c r="D2081" t="s">
        <v>6025</v>
      </c>
      <c r="E2081" t="s">
        <v>6032</v>
      </c>
      <c r="F2081" t="s">
        <v>6033</v>
      </c>
      <c r="G2081" t="s">
        <v>6072</v>
      </c>
      <c r="H2081" t="s">
        <v>6097</v>
      </c>
      <c r="I2081">
        <v>72</v>
      </c>
      <c r="J2081">
        <v>69.099999999999994</v>
      </c>
      <c r="K2081" t="s">
        <v>6099</v>
      </c>
      <c r="L2081" t="s">
        <v>6100</v>
      </c>
      <c r="M2081" t="s">
        <v>6100</v>
      </c>
      <c r="N2081">
        <v>5</v>
      </c>
      <c r="O2081" t="s">
        <v>6101</v>
      </c>
      <c r="P2081" t="s">
        <v>6109</v>
      </c>
      <c r="Q2081">
        <v>3</v>
      </c>
      <c r="R2081">
        <v>2026</v>
      </c>
      <c r="S2081" t="s">
        <v>6099</v>
      </c>
      <c r="T2081">
        <v>1</v>
      </c>
      <c r="U2081" t="s">
        <v>6021</v>
      </c>
      <c r="V2081">
        <v>1</v>
      </c>
    </row>
    <row r="2082" spans="1:22" x14ac:dyDescent="0.3">
      <c r="A2082" t="s">
        <v>2097</v>
      </c>
      <c r="B2082" s="2">
        <v>46110.486805555556</v>
      </c>
      <c r="C2082" s="2">
        <v>46113.65347222222</v>
      </c>
      <c r="D2082" t="s">
        <v>6026</v>
      </c>
      <c r="E2082" t="s">
        <v>6031</v>
      </c>
      <c r="F2082" t="s">
        <v>6034</v>
      </c>
      <c r="G2082" t="s">
        <v>6058</v>
      </c>
      <c r="H2082" t="s">
        <v>6098</v>
      </c>
      <c r="I2082">
        <v>24</v>
      </c>
      <c r="J2082">
        <v>76</v>
      </c>
      <c r="K2082" t="s">
        <v>6099</v>
      </c>
      <c r="L2082" t="s">
        <v>6100</v>
      </c>
      <c r="M2082" t="s">
        <v>6100</v>
      </c>
      <c r="N2082">
        <v>4</v>
      </c>
      <c r="O2082" t="s">
        <v>6101</v>
      </c>
      <c r="P2082" t="s">
        <v>6109</v>
      </c>
      <c r="Q2082">
        <v>3</v>
      </c>
      <c r="R2082">
        <v>2026</v>
      </c>
      <c r="S2082" t="s">
        <v>6100</v>
      </c>
      <c r="T2082">
        <v>0</v>
      </c>
      <c r="U2082" t="s">
        <v>6019</v>
      </c>
      <c r="V2082">
        <v>1</v>
      </c>
    </row>
    <row r="2083" spans="1:22" x14ac:dyDescent="0.3">
      <c r="A2083" t="s">
        <v>2098</v>
      </c>
      <c r="B2083" s="2">
        <v>46110.495833333334</v>
      </c>
      <c r="C2083" s="2">
        <v>46115.379166666666</v>
      </c>
      <c r="D2083" t="s">
        <v>6025</v>
      </c>
      <c r="E2083" t="s">
        <v>6031</v>
      </c>
      <c r="F2083" t="s">
        <v>6034</v>
      </c>
      <c r="G2083" t="s">
        <v>6048</v>
      </c>
      <c r="H2083" t="s">
        <v>6096</v>
      </c>
      <c r="I2083">
        <v>24</v>
      </c>
      <c r="J2083">
        <v>117.2</v>
      </c>
      <c r="K2083" t="s">
        <v>6099</v>
      </c>
      <c r="L2083" t="s">
        <v>6100</v>
      </c>
      <c r="M2083" t="s">
        <v>6100</v>
      </c>
      <c r="N2083">
        <v>5</v>
      </c>
      <c r="O2083" t="s">
        <v>6101</v>
      </c>
      <c r="P2083" t="s">
        <v>6109</v>
      </c>
      <c r="Q2083">
        <v>3</v>
      </c>
      <c r="R2083">
        <v>2026</v>
      </c>
      <c r="S2083" t="s">
        <v>6100</v>
      </c>
      <c r="T2083">
        <v>0</v>
      </c>
      <c r="U2083" t="s">
        <v>6019</v>
      </c>
      <c r="V2083">
        <v>1</v>
      </c>
    </row>
    <row r="2084" spans="1:22" x14ac:dyDescent="0.3">
      <c r="A2084" t="s">
        <v>2099</v>
      </c>
      <c r="B2084" s="2">
        <v>46110.503472222219</v>
      </c>
      <c r="C2084" s="2">
        <v>46110.645138888889</v>
      </c>
      <c r="D2084" t="s">
        <v>6027</v>
      </c>
      <c r="E2084" t="s">
        <v>6029</v>
      </c>
      <c r="F2084" t="s">
        <v>6033</v>
      </c>
      <c r="G2084" t="s">
        <v>6049</v>
      </c>
      <c r="H2084" t="s">
        <v>6097</v>
      </c>
      <c r="I2084">
        <v>72</v>
      </c>
      <c r="J2084">
        <v>3.4</v>
      </c>
      <c r="K2084" t="s">
        <v>6099</v>
      </c>
      <c r="L2084" t="s">
        <v>6100</v>
      </c>
      <c r="M2084" t="s">
        <v>6100</v>
      </c>
      <c r="O2084" t="s">
        <v>6101</v>
      </c>
      <c r="P2084" t="s">
        <v>6109</v>
      </c>
      <c r="Q2084">
        <v>3</v>
      </c>
      <c r="R2084">
        <v>2026</v>
      </c>
      <c r="S2084" t="s">
        <v>6099</v>
      </c>
      <c r="T2084">
        <v>1</v>
      </c>
      <c r="U2084" t="s">
        <v>6020</v>
      </c>
      <c r="V2084">
        <v>1</v>
      </c>
    </row>
    <row r="2085" spans="1:22" x14ac:dyDescent="0.3">
      <c r="A2085" t="s">
        <v>2100</v>
      </c>
      <c r="B2085" s="2">
        <v>46110.509027777778</v>
      </c>
      <c r="C2085" s="2">
        <v>46110.796527777777</v>
      </c>
      <c r="D2085" t="s">
        <v>6023</v>
      </c>
      <c r="E2085" t="s">
        <v>6029</v>
      </c>
      <c r="F2085" t="s">
        <v>6034</v>
      </c>
      <c r="G2085" t="s">
        <v>6067</v>
      </c>
      <c r="H2085" t="s">
        <v>6098</v>
      </c>
      <c r="I2085">
        <v>24</v>
      </c>
      <c r="J2085">
        <v>6.9</v>
      </c>
      <c r="K2085" t="s">
        <v>6100</v>
      </c>
      <c r="L2085" t="s">
        <v>6100</v>
      </c>
      <c r="M2085" t="s">
        <v>6100</v>
      </c>
      <c r="O2085" t="s">
        <v>6101</v>
      </c>
      <c r="P2085" t="s">
        <v>6109</v>
      </c>
      <c r="Q2085">
        <v>3</v>
      </c>
      <c r="R2085">
        <v>2026</v>
      </c>
      <c r="S2085" t="s">
        <v>6099</v>
      </c>
      <c r="T2085">
        <v>1</v>
      </c>
      <c r="U2085" t="s">
        <v>6019</v>
      </c>
      <c r="V2085">
        <v>0</v>
      </c>
    </row>
    <row r="2086" spans="1:22" x14ac:dyDescent="0.3">
      <c r="A2086" t="s">
        <v>2101</v>
      </c>
      <c r="B2086" s="2">
        <v>46110.513194444444</v>
      </c>
      <c r="C2086" s="2">
        <v>46110.913194444445</v>
      </c>
      <c r="D2086" t="s">
        <v>6022</v>
      </c>
      <c r="E2086" t="s">
        <v>6029</v>
      </c>
      <c r="F2086" t="s">
        <v>6033</v>
      </c>
      <c r="G2086" t="s">
        <v>6088</v>
      </c>
      <c r="H2086" t="s">
        <v>6097</v>
      </c>
      <c r="I2086">
        <v>72</v>
      </c>
      <c r="J2086">
        <v>9.6</v>
      </c>
      <c r="K2086" t="s">
        <v>6100</v>
      </c>
      <c r="L2086" t="s">
        <v>6100</v>
      </c>
      <c r="M2086" t="s">
        <v>6099</v>
      </c>
      <c r="O2086" t="s">
        <v>6101</v>
      </c>
      <c r="P2086" t="s">
        <v>6109</v>
      </c>
      <c r="Q2086">
        <v>3</v>
      </c>
      <c r="R2086">
        <v>2026</v>
      </c>
      <c r="S2086" t="s">
        <v>6099</v>
      </c>
      <c r="T2086">
        <v>1</v>
      </c>
      <c r="U2086" t="s">
        <v>6021</v>
      </c>
      <c r="V2086">
        <v>0</v>
      </c>
    </row>
    <row r="2087" spans="1:22" x14ac:dyDescent="0.3">
      <c r="A2087" t="s">
        <v>2102</v>
      </c>
      <c r="B2087" s="2">
        <v>46110.527083333334</v>
      </c>
      <c r="C2087" s="2">
        <v>46111.856249999997</v>
      </c>
      <c r="D2087" t="s">
        <v>6027</v>
      </c>
      <c r="E2087" t="s">
        <v>6032</v>
      </c>
      <c r="F2087" t="s">
        <v>6034</v>
      </c>
      <c r="G2087" t="s">
        <v>6088</v>
      </c>
      <c r="H2087" t="s">
        <v>6097</v>
      </c>
      <c r="I2087">
        <v>24</v>
      </c>
      <c r="J2087">
        <v>31.9</v>
      </c>
      <c r="K2087" t="s">
        <v>6099</v>
      </c>
      <c r="L2087" t="s">
        <v>6100</v>
      </c>
      <c r="M2087" t="s">
        <v>6100</v>
      </c>
      <c r="N2087">
        <v>5</v>
      </c>
      <c r="O2087" t="s">
        <v>6101</v>
      </c>
      <c r="P2087" t="s">
        <v>6109</v>
      </c>
      <c r="Q2087">
        <v>3</v>
      </c>
      <c r="R2087">
        <v>2026</v>
      </c>
      <c r="S2087" t="s">
        <v>6100</v>
      </c>
      <c r="T2087">
        <v>0</v>
      </c>
      <c r="U2087" t="s">
        <v>6019</v>
      </c>
      <c r="V2087">
        <v>1</v>
      </c>
    </row>
    <row r="2088" spans="1:22" x14ac:dyDescent="0.3">
      <c r="A2088" t="s">
        <v>2103</v>
      </c>
      <c r="B2088" s="2">
        <v>46110.566666666666</v>
      </c>
      <c r="C2088" s="2">
        <v>46111.162499999999</v>
      </c>
      <c r="D2088" t="s">
        <v>6022</v>
      </c>
      <c r="E2088" t="s">
        <v>6029</v>
      </c>
      <c r="F2088" t="s">
        <v>6033</v>
      </c>
      <c r="G2088" t="s">
        <v>6077</v>
      </c>
      <c r="H2088" t="s">
        <v>6098</v>
      </c>
      <c r="I2088">
        <v>72</v>
      </c>
      <c r="J2088">
        <v>14.3</v>
      </c>
      <c r="K2088" t="s">
        <v>6100</v>
      </c>
      <c r="L2088" t="s">
        <v>6099</v>
      </c>
      <c r="M2088" t="s">
        <v>6099</v>
      </c>
      <c r="O2088" t="s">
        <v>6101</v>
      </c>
      <c r="P2088" t="s">
        <v>6109</v>
      </c>
      <c r="Q2088">
        <v>3</v>
      </c>
      <c r="R2088">
        <v>2026</v>
      </c>
      <c r="S2088" t="s">
        <v>6099</v>
      </c>
      <c r="T2088">
        <v>1</v>
      </c>
      <c r="U2088" t="s">
        <v>6018</v>
      </c>
      <c r="V2088">
        <v>0</v>
      </c>
    </row>
    <row r="2089" spans="1:22" x14ac:dyDescent="0.3">
      <c r="A2089" t="s">
        <v>2104</v>
      </c>
      <c r="B2089" s="2">
        <v>46110.567361111112</v>
      </c>
      <c r="C2089" s="2">
        <v>46110.796527777777</v>
      </c>
      <c r="D2089" t="s">
        <v>6027</v>
      </c>
      <c r="E2089" t="s">
        <v>6030</v>
      </c>
      <c r="F2089" t="s">
        <v>6033</v>
      </c>
      <c r="G2089" t="s">
        <v>6069</v>
      </c>
      <c r="H2089" t="s">
        <v>6098</v>
      </c>
      <c r="I2089">
        <v>72</v>
      </c>
      <c r="J2089">
        <v>5.5</v>
      </c>
      <c r="K2089" t="s">
        <v>6099</v>
      </c>
      <c r="L2089" t="s">
        <v>6100</v>
      </c>
      <c r="M2089" t="s">
        <v>6100</v>
      </c>
      <c r="N2089">
        <v>5</v>
      </c>
      <c r="O2089" t="s">
        <v>6101</v>
      </c>
      <c r="P2089" t="s">
        <v>6109</v>
      </c>
      <c r="Q2089">
        <v>3</v>
      </c>
      <c r="R2089">
        <v>2026</v>
      </c>
      <c r="S2089" t="s">
        <v>6099</v>
      </c>
      <c r="T2089">
        <v>1</v>
      </c>
      <c r="U2089" t="s">
        <v>6018</v>
      </c>
      <c r="V2089">
        <v>1</v>
      </c>
    </row>
    <row r="2090" spans="1:22" x14ac:dyDescent="0.3">
      <c r="A2090" t="s">
        <v>2105</v>
      </c>
      <c r="B2090" s="2">
        <v>46110.583333333336</v>
      </c>
      <c r="C2090" s="2">
        <v>46110.745833333334</v>
      </c>
      <c r="D2090" t="s">
        <v>6028</v>
      </c>
      <c r="E2090" t="s">
        <v>6029</v>
      </c>
      <c r="F2090" t="s">
        <v>6035</v>
      </c>
      <c r="G2090" t="s">
        <v>6040</v>
      </c>
      <c r="H2090" t="s">
        <v>6097</v>
      </c>
      <c r="I2090">
        <v>4</v>
      </c>
      <c r="J2090">
        <v>3.9</v>
      </c>
      <c r="K2090" t="s">
        <v>6099</v>
      </c>
      <c r="L2090" t="s">
        <v>6100</v>
      </c>
      <c r="M2090" t="s">
        <v>6100</v>
      </c>
      <c r="O2090" t="s">
        <v>6101</v>
      </c>
      <c r="P2090" t="s">
        <v>6109</v>
      </c>
      <c r="Q2090">
        <v>3</v>
      </c>
      <c r="R2090">
        <v>2026</v>
      </c>
      <c r="S2090" t="s">
        <v>6099</v>
      </c>
      <c r="T2090">
        <v>1</v>
      </c>
      <c r="U2090" t="s">
        <v>6021</v>
      </c>
      <c r="V2090">
        <v>1</v>
      </c>
    </row>
    <row r="2091" spans="1:22" x14ac:dyDescent="0.3">
      <c r="A2091" t="s">
        <v>2106</v>
      </c>
      <c r="B2091" s="2">
        <v>46110.600694444445</v>
      </c>
      <c r="C2091" s="2">
        <v>46110.934027777781</v>
      </c>
      <c r="D2091" t="s">
        <v>6025</v>
      </c>
      <c r="E2091" t="s">
        <v>6029</v>
      </c>
      <c r="F2091" t="s">
        <v>6033</v>
      </c>
      <c r="G2091" t="s">
        <v>6060</v>
      </c>
      <c r="H2091" t="s">
        <v>6097</v>
      </c>
      <c r="I2091">
        <v>72</v>
      </c>
      <c r="J2091">
        <v>8</v>
      </c>
      <c r="K2091" t="s">
        <v>6099</v>
      </c>
      <c r="L2091" t="s">
        <v>6100</v>
      </c>
      <c r="M2091" t="s">
        <v>6100</v>
      </c>
      <c r="N2091">
        <v>3</v>
      </c>
      <c r="O2091" t="s">
        <v>6101</v>
      </c>
      <c r="P2091" t="s">
        <v>6109</v>
      </c>
      <c r="Q2091">
        <v>3</v>
      </c>
      <c r="R2091">
        <v>2026</v>
      </c>
      <c r="S2091" t="s">
        <v>6099</v>
      </c>
      <c r="T2091">
        <v>1</v>
      </c>
      <c r="U2091" t="s">
        <v>6020</v>
      </c>
      <c r="V2091">
        <v>1</v>
      </c>
    </row>
    <row r="2092" spans="1:22" x14ac:dyDescent="0.3">
      <c r="A2092" t="s">
        <v>2107</v>
      </c>
      <c r="B2092" s="2">
        <v>46110.620138888888</v>
      </c>
      <c r="C2092" s="2">
        <v>46111.003472222219</v>
      </c>
      <c r="D2092" t="s">
        <v>6022</v>
      </c>
      <c r="E2092" t="s">
        <v>6030</v>
      </c>
      <c r="F2092" t="s">
        <v>6034</v>
      </c>
      <c r="G2092" t="s">
        <v>6042</v>
      </c>
      <c r="H2092" t="s">
        <v>6098</v>
      </c>
      <c r="I2092">
        <v>24</v>
      </c>
      <c r="J2092">
        <v>9.1999999999999993</v>
      </c>
      <c r="K2092" t="s">
        <v>6099</v>
      </c>
      <c r="L2092" t="s">
        <v>6100</v>
      </c>
      <c r="M2092" t="s">
        <v>6100</v>
      </c>
      <c r="N2092">
        <v>5</v>
      </c>
      <c r="O2092" t="s">
        <v>6101</v>
      </c>
      <c r="P2092" t="s">
        <v>6109</v>
      </c>
      <c r="Q2092">
        <v>3</v>
      </c>
      <c r="R2092">
        <v>2026</v>
      </c>
      <c r="S2092" t="s">
        <v>6099</v>
      </c>
      <c r="T2092">
        <v>1</v>
      </c>
      <c r="U2092" t="s">
        <v>6020</v>
      </c>
      <c r="V2092">
        <v>1</v>
      </c>
    </row>
    <row r="2093" spans="1:22" x14ac:dyDescent="0.3">
      <c r="A2093" t="s">
        <v>2108</v>
      </c>
      <c r="B2093" s="2">
        <v>46110.65347222222</v>
      </c>
      <c r="C2093" s="2">
        <v>46111.361805555556</v>
      </c>
      <c r="D2093" t="s">
        <v>6028</v>
      </c>
      <c r="E2093" t="s">
        <v>6031</v>
      </c>
      <c r="F2093" t="s">
        <v>6034</v>
      </c>
      <c r="G2093" t="s">
        <v>6039</v>
      </c>
      <c r="H2093" t="s">
        <v>6097</v>
      </c>
      <c r="I2093">
        <v>24</v>
      </c>
      <c r="J2093">
        <v>17</v>
      </c>
      <c r="K2093" t="s">
        <v>6099</v>
      </c>
      <c r="L2093" t="s">
        <v>6100</v>
      </c>
      <c r="M2093" t="s">
        <v>6100</v>
      </c>
      <c r="O2093" t="s">
        <v>6101</v>
      </c>
      <c r="P2093" t="s">
        <v>6109</v>
      </c>
      <c r="Q2093">
        <v>3</v>
      </c>
      <c r="R2093">
        <v>2026</v>
      </c>
      <c r="S2093" t="s">
        <v>6099</v>
      </c>
      <c r="T2093">
        <v>1</v>
      </c>
      <c r="U2093" t="s">
        <v>6020</v>
      </c>
      <c r="V2093">
        <v>1</v>
      </c>
    </row>
    <row r="2094" spans="1:22" x14ac:dyDescent="0.3">
      <c r="A2094" t="s">
        <v>2109</v>
      </c>
      <c r="B2094" s="2">
        <v>46110.740277777775</v>
      </c>
      <c r="C2094" s="2">
        <v>46110.906944444447</v>
      </c>
      <c r="D2094" t="s">
        <v>6023</v>
      </c>
      <c r="E2094" t="s">
        <v>6029</v>
      </c>
      <c r="F2094" t="s">
        <v>6034</v>
      </c>
      <c r="G2094" t="s">
        <v>6068</v>
      </c>
      <c r="H2094" t="s">
        <v>6098</v>
      </c>
      <c r="I2094">
        <v>24</v>
      </c>
      <c r="J2094">
        <v>4</v>
      </c>
      <c r="K2094" t="s">
        <v>6100</v>
      </c>
      <c r="L2094" t="s">
        <v>6099</v>
      </c>
      <c r="M2094" t="s">
        <v>6100</v>
      </c>
      <c r="N2094">
        <v>5</v>
      </c>
      <c r="O2094" t="s">
        <v>6101</v>
      </c>
      <c r="P2094" t="s">
        <v>6109</v>
      </c>
      <c r="Q2094">
        <v>3</v>
      </c>
      <c r="R2094">
        <v>2026</v>
      </c>
      <c r="S2094" t="s">
        <v>6099</v>
      </c>
      <c r="T2094">
        <v>1</v>
      </c>
      <c r="U2094" t="s">
        <v>6020</v>
      </c>
      <c r="V2094">
        <v>0</v>
      </c>
    </row>
    <row r="2095" spans="1:22" x14ac:dyDescent="0.3">
      <c r="A2095" t="s">
        <v>2110</v>
      </c>
      <c r="B2095" s="2">
        <v>46110.819444444445</v>
      </c>
      <c r="C2095" s="2">
        <v>46111.177777777775</v>
      </c>
      <c r="D2095" t="s">
        <v>6028</v>
      </c>
      <c r="E2095" t="s">
        <v>6030</v>
      </c>
      <c r="F2095" t="s">
        <v>6035</v>
      </c>
      <c r="G2095" t="s">
        <v>6083</v>
      </c>
      <c r="H2095" t="s">
        <v>6096</v>
      </c>
      <c r="I2095">
        <v>4</v>
      </c>
      <c r="J2095">
        <v>8.6</v>
      </c>
      <c r="K2095" t="s">
        <v>6100</v>
      </c>
      <c r="L2095" t="s">
        <v>6100</v>
      </c>
      <c r="M2095" t="s">
        <v>6099</v>
      </c>
      <c r="O2095" t="s">
        <v>6101</v>
      </c>
      <c r="P2095" t="s">
        <v>6109</v>
      </c>
      <c r="Q2095">
        <v>3</v>
      </c>
      <c r="R2095">
        <v>2026</v>
      </c>
      <c r="S2095" t="s">
        <v>6100</v>
      </c>
      <c r="T2095">
        <v>0</v>
      </c>
      <c r="U2095" t="s">
        <v>6017</v>
      </c>
      <c r="V2095">
        <v>0</v>
      </c>
    </row>
    <row r="2096" spans="1:22" x14ac:dyDescent="0.3">
      <c r="A2096" t="s">
        <v>2111</v>
      </c>
      <c r="B2096" s="2">
        <v>46111.183333333334</v>
      </c>
      <c r="C2096" s="2">
        <v>46113.129166666666</v>
      </c>
      <c r="D2096" t="s">
        <v>6022</v>
      </c>
      <c r="E2096" t="s">
        <v>6032</v>
      </c>
      <c r="F2096" t="s">
        <v>6033</v>
      </c>
      <c r="G2096" t="s">
        <v>6036</v>
      </c>
      <c r="H2096" t="s">
        <v>6096</v>
      </c>
      <c r="I2096">
        <v>72</v>
      </c>
      <c r="J2096">
        <v>46.7</v>
      </c>
      <c r="K2096" t="s">
        <v>6099</v>
      </c>
      <c r="L2096" t="s">
        <v>6100</v>
      </c>
      <c r="M2096" t="s">
        <v>6100</v>
      </c>
      <c r="N2096">
        <v>5</v>
      </c>
      <c r="O2096" t="s">
        <v>6101</v>
      </c>
      <c r="P2096" t="s">
        <v>6109</v>
      </c>
      <c r="Q2096">
        <v>3</v>
      </c>
      <c r="R2096">
        <v>2026</v>
      </c>
      <c r="S2096" t="s">
        <v>6099</v>
      </c>
      <c r="T2096">
        <v>1</v>
      </c>
      <c r="U2096" t="s">
        <v>6021</v>
      </c>
      <c r="V2096">
        <v>1</v>
      </c>
    </row>
    <row r="2097" spans="1:22" x14ac:dyDescent="0.3">
      <c r="A2097" t="s">
        <v>2112</v>
      </c>
      <c r="B2097" s="2">
        <v>46111.227777777778</v>
      </c>
      <c r="C2097" s="2">
        <v>46112.523611111108</v>
      </c>
      <c r="D2097" t="s">
        <v>6025</v>
      </c>
      <c r="E2097" t="s">
        <v>6030</v>
      </c>
      <c r="F2097" t="s">
        <v>6035</v>
      </c>
      <c r="G2097" t="s">
        <v>6066</v>
      </c>
      <c r="H2097" t="s">
        <v>6096</v>
      </c>
      <c r="I2097">
        <v>4</v>
      </c>
      <c r="J2097">
        <v>31.1</v>
      </c>
      <c r="K2097" t="s">
        <v>6099</v>
      </c>
      <c r="L2097" t="s">
        <v>6100</v>
      </c>
      <c r="M2097" t="s">
        <v>6100</v>
      </c>
      <c r="N2097">
        <v>5</v>
      </c>
      <c r="O2097" t="s">
        <v>6101</v>
      </c>
      <c r="P2097" t="s">
        <v>6109</v>
      </c>
      <c r="Q2097">
        <v>3</v>
      </c>
      <c r="R2097">
        <v>2026</v>
      </c>
      <c r="S2097" t="s">
        <v>6100</v>
      </c>
      <c r="T2097">
        <v>0</v>
      </c>
      <c r="U2097" t="s">
        <v>6021</v>
      </c>
      <c r="V2097">
        <v>1</v>
      </c>
    </row>
    <row r="2098" spans="1:22" x14ac:dyDescent="0.3">
      <c r="A2098" t="s">
        <v>2113</v>
      </c>
      <c r="B2098" s="2">
        <v>46111.265277777777</v>
      </c>
      <c r="C2098" s="2">
        <v>46111.694444444445</v>
      </c>
      <c r="D2098" t="s">
        <v>6025</v>
      </c>
      <c r="E2098" t="s">
        <v>6030</v>
      </c>
      <c r="F2098" t="s">
        <v>6035</v>
      </c>
      <c r="G2098" t="s">
        <v>6056</v>
      </c>
      <c r="H2098" t="s">
        <v>6098</v>
      </c>
      <c r="I2098">
        <v>4</v>
      </c>
      <c r="J2098">
        <v>10.3</v>
      </c>
      <c r="K2098" t="s">
        <v>6099</v>
      </c>
      <c r="L2098" t="s">
        <v>6100</v>
      </c>
      <c r="M2098" t="s">
        <v>6100</v>
      </c>
      <c r="N2098">
        <v>2</v>
      </c>
      <c r="O2098" t="s">
        <v>6101</v>
      </c>
      <c r="P2098" t="s">
        <v>6109</v>
      </c>
      <c r="Q2098">
        <v>3</v>
      </c>
      <c r="R2098">
        <v>2026</v>
      </c>
      <c r="S2098" t="s">
        <v>6100</v>
      </c>
      <c r="T2098">
        <v>0</v>
      </c>
      <c r="U2098" t="s">
        <v>6021</v>
      </c>
      <c r="V2098">
        <v>1</v>
      </c>
    </row>
    <row r="2099" spans="1:22" x14ac:dyDescent="0.3">
      <c r="A2099" t="s">
        <v>2114</v>
      </c>
      <c r="B2099" s="2">
        <v>46111.398611111108</v>
      </c>
      <c r="C2099" s="2">
        <v>46111.694444444445</v>
      </c>
      <c r="D2099" t="s">
        <v>6023</v>
      </c>
      <c r="E2099" t="s">
        <v>6029</v>
      </c>
      <c r="F2099" t="s">
        <v>6034</v>
      </c>
      <c r="G2099" t="s">
        <v>6039</v>
      </c>
      <c r="H2099" t="s">
        <v>6097</v>
      </c>
      <c r="I2099">
        <v>24</v>
      </c>
      <c r="J2099">
        <v>7.1</v>
      </c>
      <c r="K2099" t="s">
        <v>6099</v>
      </c>
      <c r="L2099" t="s">
        <v>6100</v>
      </c>
      <c r="M2099" t="s">
        <v>6100</v>
      </c>
      <c r="N2099">
        <v>4</v>
      </c>
      <c r="O2099" t="s">
        <v>6101</v>
      </c>
      <c r="P2099" t="s">
        <v>6109</v>
      </c>
      <c r="Q2099">
        <v>3</v>
      </c>
      <c r="R2099">
        <v>2026</v>
      </c>
      <c r="S2099" t="s">
        <v>6099</v>
      </c>
      <c r="T2099">
        <v>1</v>
      </c>
      <c r="U2099" t="s">
        <v>6021</v>
      </c>
      <c r="V2099">
        <v>1</v>
      </c>
    </row>
    <row r="2100" spans="1:22" x14ac:dyDescent="0.3">
      <c r="A2100" t="s">
        <v>2115</v>
      </c>
      <c r="B2100" s="2">
        <v>46111.407638888886</v>
      </c>
      <c r="C2100" s="2">
        <v>46111.815972222219</v>
      </c>
      <c r="D2100" t="s">
        <v>6027</v>
      </c>
      <c r="E2100" t="s">
        <v>6030</v>
      </c>
      <c r="F2100" t="s">
        <v>6034</v>
      </c>
      <c r="G2100" t="s">
        <v>6083</v>
      </c>
      <c r="H2100" t="s">
        <v>6096</v>
      </c>
      <c r="I2100">
        <v>24</v>
      </c>
      <c r="J2100">
        <v>9.8000000000000007</v>
      </c>
      <c r="K2100" t="s">
        <v>6099</v>
      </c>
      <c r="L2100" t="s">
        <v>6100</v>
      </c>
      <c r="M2100" t="s">
        <v>6100</v>
      </c>
      <c r="O2100" t="s">
        <v>6101</v>
      </c>
      <c r="P2100" t="s">
        <v>6109</v>
      </c>
      <c r="Q2100">
        <v>3</v>
      </c>
      <c r="R2100">
        <v>2026</v>
      </c>
      <c r="S2100" t="s">
        <v>6099</v>
      </c>
      <c r="T2100">
        <v>1</v>
      </c>
      <c r="U2100" t="s">
        <v>6017</v>
      </c>
      <c r="V2100">
        <v>1</v>
      </c>
    </row>
    <row r="2101" spans="1:22" x14ac:dyDescent="0.3">
      <c r="A2101" t="s">
        <v>2116</v>
      </c>
      <c r="B2101" s="2">
        <v>46111.428472222222</v>
      </c>
      <c r="C2101" s="2">
        <v>46111.570138888892</v>
      </c>
      <c r="D2101" t="s">
        <v>6028</v>
      </c>
      <c r="E2101" t="s">
        <v>6029</v>
      </c>
      <c r="F2101" t="s">
        <v>6035</v>
      </c>
      <c r="G2101" t="s">
        <v>6068</v>
      </c>
      <c r="H2101" t="s">
        <v>6098</v>
      </c>
      <c r="I2101">
        <v>4</v>
      </c>
      <c r="J2101">
        <v>3.4</v>
      </c>
      <c r="K2101" t="s">
        <v>6099</v>
      </c>
      <c r="L2101" t="s">
        <v>6100</v>
      </c>
      <c r="M2101" t="s">
        <v>6100</v>
      </c>
      <c r="N2101">
        <v>5</v>
      </c>
      <c r="O2101" t="s">
        <v>6101</v>
      </c>
      <c r="P2101" t="s">
        <v>6109</v>
      </c>
      <c r="Q2101">
        <v>3</v>
      </c>
      <c r="R2101">
        <v>2026</v>
      </c>
      <c r="S2101" t="s">
        <v>6099</v>
      </c>
      <c r="T2101">
        <v>1</v>
      </c>
      <c r="U2101" t="s">
        <v>6018</v>
      </c>
      <c r="V2101">
        <v>1</v>
      </c>
    </row>
    <row r="2102" spans="1:22" x14ac:dyDescent="0.3">
      <c r="A2102" t="s">
        <v>2117</v>
      </c>
      <c r="B2102" s="2">
        <v>46111.443055555559</v>
      </c>
      <c r="C2102" s="2">
        <v>46112.272222222222</v>
      </c>
      <c r="D2102" t="s">
        <v>6024</v>
      </c>
      <c r="E2102" t="s">
        <v>6031</v>
      </c>
      <c r="F2102" t="s">
        <v>6033</v>
      </c>
      <c r="G2102" t="s">
        <v>6048</v>
      </c>
      <c r="H2102" t="s">
        <v>6096</v>
      </c>
      <c r="I2102">
        <v>72</v>
      </c>
      <c r="J2102">
        <v>19.899999999999999</v>
      </c>
      <c r="K2102" t="s">
        <v>6099</v>
      </c>
      <c r="L2102" t="s">
        <v>6100</v>
      </c>
      <c r="M2102" t="s">
        <v>6100</v>
      </c>
      <c r="O2102" t="s">
        <v>6101</v>
      </c>
      <c r="P2102" t="s">
        <v>6109</v>
      </c>
      <c r="Q2102">
        <v>3</v>
      </c>
      <c r="R2102">
        <v>2026</v>
      </c>
      <c r="S2102" t="s">
        <v>6099</v>
      </c>
      <c r="T2102">
        <v>1</v>
      </c>
      <c r="U2102" t="s">
        <v>6020</v>
      </c>
      <c r="V2102">
        <v>1</v>
      </c>
    </row>
    <row r="2103" spans="1:22" x14ac:dyDescent="0.3">
      <c r="A2103" t="s">
        <v>2118</v>
      </c>
      <c r="B2103" s="2">
        <v>46111.451388888891</v>
      </c>
      <c r="C2103" s="2">
        <v>46112.105555555558</v>
      </c>
      <c r="D2103" t="s">
        <v>6023</v>
      </c>
      <c r="E2103" t="s">
        <v>6032</v>
      </c>
      <c r="F2103" t="s">
        <v>6034</v>
      </c>
      <c r="G2103" t="s">
        <v>6084</v>
      </c>
      <c r="H2103" t="s">
        <v>6098</v>
      </c>
      <c r="I2103">
        <v>24</v>
      </c>
      <c r="J2103">
        <v>15.7</v>
      </c>
      <c r="K2103" t="s">
        <v>6100</v>
      </c>
      <c r="L2103" t="s">
        <v>6099</v>
      </c>
      <c r="M2103" t="s">
        <v>6100</v>
      </c>
      <c r="O2103" t="s">
        <v>6101</v>
      </c>
      <c r="P2103" t="s">
        <v>6109</v>
      </c>
      <c r="Q2103">
        <v>3</v>
      </c>
      <c r="R2103">
        <v>2026</v>
      </c>
      <c r="S2103" t="s">
        <v>6099</v>
      </c>
      <c r="T2103">
        <v>1</v>
      </c>
      <c r="U2103" t="s">
        <v>6018</v>
      </c>
      <c r="V2103">
        <v>0</v>
      </c>
    </row>
    <row r="2104" spans="1:22" x14ac:dyDescent="0.3">
      <c r="A2104" t="s">
        <v>2119</v>
      </c>
      <c r="B2104" s="2">
        <v>46111.456944444442</v>
      </c>
      <c r="C2104" s="2">
        <v>46111.798611111109</v>
      </c>
      <c r="D2104" t="s">
        <v>6022</v>
      </c>
      <c r="E2104" t="s">
        <v>6029</v>
      </c>
      <c r="F2104" t="s">
        <v>6034</v>
      </c>
      <c r="G2104" t="s">
        <v>6059</v>
      </c>
      <c r="H2104" t="s">
        <v>6097</v>
      </c>
      <c r="I2104">
        <v>24</v>
      </c>
      <c r="J2104">
        <v>8.1999999999999993</v>
      </c>
      <c r="K2104" t="s">
        <v>6099</v>
      </c>
      <c r="L2104" t="s">
        <v>6100</v>
      </c>
      <c r="M2104" t="s">
        <v>6100</v>
      </c>
      <c r="O2104" t="s">
        <v>6101</v>
      </c>
      <c r="P2104" t="s">
        <v>6109</v>
      </c>
      <c r="Q2104">
        <v>3</v>
      </c>
      <c r="R2104">
        <v>2026</v>
      </c>
      <c r="S2104" t="s">
        <v>6099</v>
      </c>
      <c r="T2104">
        <v>1</v>
      </c>
      <c r="U2104" t="s">
        <v>6017</v>
      </c>
      <c r="V2104">
        <v>1</v>
      </c>
    </row>
    <row r="2105" spans="1:22" x14ac:dyDescent="0.3">
      <c r="A2105" t="s">
        <v>2120</v>
      </c>
      <c r="B2105" s="2">
        <v>46111.474999999999</v>
      </c>
      <c r="C2105" s="2">
        <v>46111.591666666667</v>
      </c>
      <c r="D2105" t="s">
        <v>6024</v>
      </c>
      <c r="E2105" t="s">
        <v>6030</v>
      </c>
      <c r="F2105" t="s">
        <v>6034</v>
      </c>
      <c r="G2105" t="s">
        <v>6047</v>
      </c>
      <c r="H2105" t="s">
        <v>6098</v>
      </c>
      <c r="I2105">
        <v>24</v>
      </c>
      <c r="J2105">
        <v>2.8</v>
      </c>
      <c r="K2105" t="s">
        <v>6099</v>
      </c>
      <c r="L2105" t="s">
        <v>6100</v>
      </c>
      <c r="M2105" t="s">
        <v>6100</v>
      </c>
      <c r="O2105" t="s">
        <v>6101</v>
      </c>
      <c r="P2105" t="s">
        <v>6109</v>
      </c>
      <c r="Q2105">
        <v>3</v>
      </c>
      <c r="R2105">
        <v>2026</v>
      </c>
      <c r="S2105" t="s">
        <v>6099</v>
      </c>
      <c r="T2105">
        <v>1</v>
      </c>
      <c r="U2105" t="s">
        <v>6018</v>
      </c>
      <c r="V2105">
        <v>1</v>
      </c>
    </row>
    <row r="2106" spans="1:22" x14ac:dyDescent="0.3">
      <c r="A2106" t="s">
        <v>2121</v>
      </c>
      <c r="B2106" s="2">
        <v>46111.476388888892</v>
      </c>
      <c r="C2106" s="2">
        <v>46112.084722222222</v>
      </c>
      <c r="D2106" t="s">
        <v>6023</v>
      </c>
      <c r="E2106" t="s">
        <v>6032</v>
      </c>
      <c r="F2106" t="s">
        <v>6033</v>
      </c>
      <c r="G2106" t="s">
        <v>6063</v>
      </c>
      <c r="H2106" t="s">
        <v>6097</v>
      </c>
      <c r="I2106">
        <v>72</v>
      </c>
      <c r="J2106">
        <v>14.6</v>
      </c>
      <c r="K2106" t="s">
        <v>6100</v>
      </c>
      <c r="L2106" t="s">
        <v>6100</v>
      </c>
      <c r="M2106" t="s">
        <v>6100</v>
      </c>
      <c r="O2106" t="s">
        <v>6101</v>
      </c>
      <c r="P2106" t="s">
        <v>6109</v>
      </c>
      <c r="Q2106">
        <v>3</v>
      </c>
      <c r="R2106">
        <v>2026</v>
      </c>
      <c r="S2106" t="s">
        <v>6099</v>
      </c>
      <c r="T2106">
        <v>1</v>
      </c>
      <c r="U2106" t="s">
        <v>6019</v>
      </c>
      <c r="V2106">
        <v>0</v>
      </c>
    </row>
    <row r="2107" spans="1:22" x14ac:dyDescent="0.3">
      <c r="A2107" t="s">
        <v>2122</v>
      </c>
      <c r="B2107" s="2">
        <v>46111.527777777781</v>
      </c>
      <c r="C2107" s="2">
        <v>46112.173611111109</v>
      </c>
      <c r="D2107" t="s">
        <v>6024</v>
      </c>
      <c r="E2107" t="s">
        <v>6029</v>
      </c>
      <c r="F2107" t="s">
        <v>6034</v>
      </c>
      <c r="G2107" t="s">
        <v>6073</v>
      </c>
      <c r="H2107" t="s">
        <v>6096</v>
      </c>
      <c r="I2107">
        <v>24</v>
      </c>
      <c r="J2107">
        <v>15.5</v>
      </c>
      <c r="K2107" t="s">
        <v>6099</v>
      </c>
      <c r="L2107" t="s">
        <v>6100</v>
      </c>
      <c r="M2107" t="s">
        <v>6100</v>
      </c>
      <c r="O2107" t="s">
        <v>6101</v>
      </c>
      <c r="P2107" t="s">
        <v>6109</v>
      </c>
      <c r="Q2107">
        <v>3</v>
      </c>
      <c r="R2107">
        <v>2026</v>
      </c>
      <c r="S2107" t="s">
        <v>6099</v>
      </c>
      <c r="T2107">
        <v>1</v>
      </c>
      <c r="U2107" t="s">
        <v>6019</v>
      </c>
      <c r="V2107">
        <v>1</v>
      </c>
    </row>
    <row r="2108" spans="1:22" x14ac:dyDescent="0.3">
      <c r="A2108" t="s">
        <v>2123</v>
      </c>
      <c r="B2108" s="2">
        <v>46111.556944444441</v>
      </c>
      <c r="C2108" s="2">
        <v>46111.886111111111</v>
      </c>
      <c r="D2108" t="s">
        <v>6022</v>
      </c>
      <c r="E2108" t="s">
        <v>6030</v>
      </c>
      <c r="F2108" t="s">
        <v>6035</v>
      </c>
      <c r="G2108" t="s">
        <v>6076</v>
      </c>
      <c r="H2108" t="s">
        <v>6097</v>
      </c>
      <c r="I2108">
        <v>4</v>
      </c>
      <c r="J2108">
        <v>7.9</v>
      </c>
      <c r="K2108" t="s">
        <v>6099</v>
      </c>
      <c r="L2108" t="s">
        <v>6100</v>
      </c>
      <c r="M2108" t="s">
        <v>6100</v>
      </c>
      <c r="N2108">
        <v>3</v>
      </c>
      <c r="O2108" t="s">
        <v>6101</v>
      </c>
      <c r="P2108" t="s">
        <v>6109</v>
      </c>
      <c r="Q2108">
        <v>3</v>
      </c>
      <c r="R2108">
        <v>2026</v>
      </c>
      <c r="S2108" t="s">
        <v>6100</v>
      </c>
      <c r="T2108">
        <v>0</v>
      </c>
      <c r="U2108" t="s">
        <v>6018</v>
      </c>
      <c r="V2108">
        <v>1</v>
      </c>
    </row>
    <row r="2109" spans="1:22" x14ac:dyDescent="0.3">
      <c r="A2109" t="s">
        <v>2124</v>
      </c>
      <c r="B2109" s="2">
        <v>46111.593055555553</v>
      </c>
      <c r="C2109" s="2">
        <v>46126.743055555555</v>
      </c>
      <c r="D2109" t="s">
        <v>6026</v>
      </c>
      <c r="E2109" t="s">
        <v>6031</v>
      </c>
      <c r="F2109" t="s">
        <v>6035</v>
      </c>
      <c r="G2109" t="s">
        <v>6044</v>
      </c>
      <c r="H2109" t="s">
        <v>6097</v>
      </c>
      <c r="I2109">
        <v>4</v>
      </c>
      <c r="J2109">
        <v>363.6</v>
      </c>
      <c r="K2109" t="s">
        <v>6099</v>
      </c>
      <c r="L2109" t="s">
        <v>6100</v>
      </c>
      <c r="M2109" t="s">
        <v>6100</v>
      </c>
      <c r="N2109">
        <v>5</v>
      </c>
      <c r="O2109" t="s">
        <v>6101</v>
      </c>
      <c r="P2109" t="s">
        <v>6109</v>
      </c>
      <c r="Q2109">
        <v>3</v>
      </c>
      <c r="R2109">
        <v>2026</v>
      </c>
      <c r="S2109" t="s">
        <v>6100</v>
      </c>
      <c r="T2109">
        <v>0</v>
      </c>
      <c r="U2109" t="s">
        <v>6020</v>
      </c>
      <c r="V2109">
        <v>1</v>
      </c>
    </row>
    <row r="2110" spans="1:22" x14ac:dyDescent="0.3">
      <c r="A2110" t="s">
        <v>2125</v>
      </c>
      <c r="B2110" s="2">
        <v>46111.703472222223</v>
      </c>
      <c r="C2110" s="2">
        <v>46112.140972222223</v>
      </c>
      <c r="D2110" t="s">
        <v>6024</v>
      </c>
      <c r="E2110" t="s">
        <v>6029</v>
      </c>
      <c r="F2110" t="s">
        <v>6034</v>
      </c>
      <c r="G2110" t="s">
        <v>6094</v>
      </c>
      <c r="H2110" t="s">
        <v>6098</v>
      </c>
      <c r="I2110">
        <v>24</v>
      </c>
      <c r="J2110">
        <v>10.5</v>
      </c>
      <c r="K2110" t="s">
        <v>6099</v>
      </c>
      <c r="L2110" t="s">
        <v>6100</v>
      </c>
      <c r="M2110" t="s">
        <v>6100</v>
      </c>
      <c r="N2110">
        <v>5</v>
      </c>
      <c r="O2110" t="s">
        <v>6101</v>
      </c>
      <c r="P2110" t="s">
        <v>6109</v>
      </c>
      <c r="Q2110">
        <v>3</v>
      </c>
      <c r="R2110">
        <v>2026</v>
      </c>
      <c r="S2110" t="s">
        <v>6099</v>
      </c>
      <c r="T2110">
        <v>1</v>
      </c>
      <c r="U2110" t="s">
        <v>6019</v>
      </c>
      <c r="V2110">
        <v>1</v>
      </c>
    </row>
    <row r="2111" spans="1:22" x14ac:dyDescent="0.3">
      <c r="A2111" t="s">
        <v>2126</v>
      </c>
      <c r="B2111" s="2">
        <v>46111.703472222223</v>
      </c>
      <c r="C2111" s="2">
        <v>46111.974305555559</v>
      </c>
      <c r="D2111" t="s">
        <v>6023</v>
      </c>
      <c r="E2111" t="s">
        <v>6030</v>
      </c>
      <c r="F2111" t="s">
        <v>6034</v>
      </c>
      <c r="G2111" t="s">
        <v>6081</v>
      </c>
      <c r="H2111" t="s">
        <v>6098</v>
      </c>
      <c r="I2111">
        <v>24</v>
      </c>
      <c r="J2111">
        <v>6.5</v>
      </c>
      <c r="K2111" t="s">
        <v>6099</v>
      </c>
      <c r="L2111" t="s">
        <v>6100</v>
      </c>
      <c r="M2111" t="s">
        <v>6100</v>
      </c>
      <c r="N2111">
        <v>5</v>
      </c>
      <c r="O2111" t="s">
        <v>6101</v>
      </c>
      <c r="P2111" t="s">
        <v>6109</v>
      </c>
      <c r="Q2111">
        <v>3</v>
      </c>
      <c r="R2111">
        <v>2026</v>
      </c>
      <c r="S2111" t="s">
        <v>6099</v>
      </c>
      <c r="T2111">
        <v>1</v>
      </c>
      <c r="U2111" t="s">
        <v>6021</v>
      </c>
      <c r="V2111">
        <v>1</v>
      </c>
    </row>
    <row r="2112" spans="1:22" x14ac:dyDescent="0.3">
      <c r="A2112" t="s">
        <v>2127</v>
      </c>
      <c r="B2112" s="2">
        <v>46111.713888888888</v>
      </c>
      <c r="C2112" s="2">
        <v>46112.547222222223</v>
      </c>
      <c r="D2112" t="s">
        <v>6024</v>
      </c>
      <c r="E2112" t="s">
        <v>6031</v>
      </c>
      <c r="F2112" t="s">
        <v>6033</v>
      </c>
      <c r="G2112" t="s">
        <v>6041</v>
      </c>
      <c r="H2112" t="s">
        <v>6096</v>
      </c>
      <c r="I2112">
        <v>72</v>
      </c>
      <c r="J2112">
        <v>20</v>
      </c>
      <c r="K2112" t="s">
        <v>6100</v>
      </c>
      <c r="L2112" t="s">
        <v>6100</v>
      </c>
      <c r="M2112" t="s">
        <v>6100</v>
      </c>
      <c r="N2112">
        <v>4</v>
      </c>
      <c r="O2112" t="s">
        <v>6101</v>
      </c>
      <c r="P2112" t="s">
        <v>6109</v>
      </c>
      <c r="Q2112">
        <v>3</v>
      </c>
      <c r="R2112">
        <v>2026</v>
      </c>
      <c r="S2112" t="s">
        <v>6099</v>
      </c>
      <c r="T2112">
        <v>1</v>
      </c>
      <c r="U2112" t="s">
        <v>6020</v>
      </c>
      <c r="V2112">
        <v>0</v>
      </c>
    </row>
    <row r="2113" spans="1:22" x14ac:dyDescent="0.3">
      <c r="A2113" t="s">
        <v>2128</v>
      </c>
      <c r="B2113" s="2">
        <v>46112.05</v>
      </c>
      <c r="C2113" s="2">
        <v>46112.98333333333</v>
      </c>
      <c r="D2113" t="s">
        <v>6022</v>
      </c>
      <c r="E2113" t="s">
        <v>6029</v>
      </c>
      <c r="F2113" t="s">
        <v>6034</v>
      </c>
      <c r="G2113" t="s">
        <v>6087</v>
      </c>
      <c r="H2113" t="s">
        <v>6098</v>
      </c>
      <c r="I2113">
        <v>24</v>
      </c>
      <c r="J2113">
        <v>22.4</v>
      </c>
      <c r="K2113" t="s">
        <v>6099</v>
      </c>
      <c r="L2113" t="s">
        <v>6100</v>
      </c>
      <c r="M2113" t="s">
        <v>6100</v>
      </c>
      <c r="N2113">
        <v>3</v>
      </c>
      <c r="O2113" t="s">
        <v>6101</v>
      </c>
      <c r="P2113" t="s">
        <v>6109</v>
      </c>
      <c r="Q2113">
        <v>3</v>
      </c>
      <c r="R2113">
        <v>2026</v>
      </c>
      <c r="S2113" t="s">
        <v>6099</v>
      </c>
      <c r="T2113">
        <v>1</v>
      </c>
      <c r="U2113" t="s">
        <v>6019</v>
      </c>
      <c r="V2113">
        <v>1</v>
      </c>
    </row>
    <row r="2114" spans="1:22" x14ac:dyDescent="0.3">
      <c r="A2114" t="s">
        <v>2129</v>
      </c>
      <c r="B2114" s="2">
        <v>46112.17291666667</v>
      </c>
      <c r="C2114" s="2">
        <v>46112.46875</v>
      </c>
      <c r="D2114" t="s">
        <v>6023</v>
      </c>
      <c r="E2114" t="s">
        <v>6029</v>
      </c>
      <c r="F2114" t="s">
        <v>6033</v>
      </c>
      <c r="G2114" t="s">
        <v>6094</v>
      </c>
      <c r="H2114" t="s">
        <v>6098</v>
      </c>
      <c r="I2114">
        <v>72</v>
      </c>
      <c r="J2114">
        <v>7.1</v>
      </c>
      <c r="K2114" t="s">
        <v>6099</v>
      </c>
      <c r="L2114" t="s">
        <v>6100</v>
      </c>
      <c r="M2114" t="s">
        <v>6100</v>
      </c>
      <c r="O2114" t="s">
        <v>6101</v>
      </c>
      <c r="P2114" t="s">
        <v>6109</v>
      </c>
      <c r="Q2114">
        <v>3</v>
      </c>
      <c r="R2114">
        <v>2026</v>
      </c>
      <c r="S2114" t="s">
        <v>6099</v>
      </c>
      <c r="T2114">
        <v>1</v>
      </c>
      <c r="U2114" t="s">
        <v>6021</v>
      </c>
      <c r="V2114">
        <v>1</v>
      </c>
    </row>
    <row r="2115" spans="1:22" x14ac:dyDescent="0.3">
      <c r="A2115" t="s">
        <v>2130</v>
      </c>
      <c r="B2115" s="2">
        <v>46112.176388888889</v>
      </c>
      <c r="C2115" s="2">
        <v>46116.526388888888</v>
      </c>
      <c r="D2115" t="s">
        <v>6026</v>
      </c>
      <c r="E2115" t="s">
        <v>6031</v>
      </c>
      <c r="F2115" t="s">
        <v>6033</v>
      </c>
      <c r="G2115" t="s">
        <v>6073</v>
      </c>
      <c r="H2115" t="s">
        <v>6096</v>
      </c>
      <c r="I2115">
        <v>72</v>
      </c>
      <c r="K2115" t="s">
        <v>6100</v>
      </c>
      <c r="L2115" t="s">
        <v>6100</v>
      </c>
      <c r="M2115" t="s">
        <v>6100</v>
      </c>
      <c r="N2115">
        <v>5</v>
      </c>
      <c r="O2115" t="s">
        <v>6101</v>
      </c>
      <c r="P2115" t="s">
        <v>6109</v>
      </c>
      <c r="Q2115">
        <v>3</v>
      </c>
      <c r="R2115">
        <v>2026</v>
      </c>
      <c r="U2115" t="s">
        <v>6017</v>
      </c>
      <c r="V2115">
        <v>0</v>
      </c>
    </row>
    <row r="2116" spans="1:22" x14ac:dyDescent="0.3">
      <c r="A2116" t="s">
        <v>2131</v>
      </c>
      <c r="B2116" s="2">
        <v>46112.199305555558</v>
      </c>
      <c r="C2116" s="2">
        <v>46112.345138888886</v>
      </c>
      <c r="D2116" t="s">
        <v>6028</v>
      </c>
      <c r="E2116" t="s">
        <v>6029</v>
      </c>
      <c r="F2116" t="s">
        <v>6035</v>
      </c>
      <c r="G2116" t="s">
        <v>6051</v>
      </c>
      <c r="H2116" t="s">
        <v>6097</v>
      </c>
      <c r="I2116">
        <v>4</v>
      </c>
      <c r="J2116">
        <v>3.5</v>
      </c>
      <c r="K2116" t="s">
        <v>6099</v>
      </c>
      <c r="L2116" t="s">
        <v>6100</v>
      </c>
      <c r="M2116" t="s">
        <v>6100</v>
      </c>
      <c r="N2116">
        <v>4</v>
      </c>
      <c r="O2116" t="s">
        <v>6101</v>
      </c>
      <c r="P2116" t="s">
        <v>6109</v>
      </c>
      <c r="Q2116">
        <v>3</v>
      </c>
      <c r="R2116">
        <v>2026</v>
      </c>
      <c r="S2116" t="s">
        <v>6099</v>
      </c>
      <c r="T2116">
        <v>1</v>
      </c>
      <c r="U2116" t="s">
        <v>6021</v>
      </c>
      <c r="V2116">
        <v>1</v>
      </c>
    </row>
    <row r="2117" spans="1:22" x14ac:dyDescent="0.3">
      <c r="A2117" t="s">
        <v>2132</v>
      </c>
      <c r="B2117" s="2">
        <v>46112.203472222223</v>
      </c>
      <c r="C2117" s="2">
        <v>46112.603472222225</v>
      </c>
      <c r="D2117" t="s">
        <v>6023</v>
      </c>
      <c r="E2117" t="s">
        <v>6029</v>
      </c>
      <c r="F2117" t="s">
        <v>6034</v>
      </c>
      <c r="G2117" t="s">
        <v>6041</v>
      </c>
      <c r="H2117" t="s">
        <v>6096</v>
      </c>
      <c r="I2117">
        <v>24</v>
      </c>
      <c r="J2117">
        <v>9.6</v>
      </c>
      <c r="K2117" t="s">
        <v>6099</v>
      </c>
      <c r="L2117" t="s">
        <v>6100</v>
      </c>
      <c r="M2117" t="s">
        <v>6100</v>
      </c>
      <c r="O2117" t="s">
        <v>6101</v>
      </c>
      <c r="P2117" t="s">
        <v>6109</v>
      </c>
      <c r="Q2117">
        <v>3</v>
      </c>
      <c r="R2117">
        <v>2026</v>
      </c>
      <c r="S2117" t="s">
        <v>6099</v>
      </c>
      <c r="T2117">
        <v>1</v>
      </c>
      <c r="U2117" t="s">
        <v>6019</v>
      </c>
      <c r="V2117">
        <v>1</v>
      </c>
    </row>
    <row r="2118" spans="1:22" x14ac:dyDescent="0.3">
      <c r="A2118" t="s">
        <v>2133</v>
      </c>
      <c r="B2118" s="2">
        <v>46112.349305555559</v>
      </c>
      <c r="C2118" s="2">
        <v>46112.636805555558</v>
      </c>
      <c r="D2118" t="s">
        <v>6024</v>
      </c>
      <c r="E2118" t="s">
        <v>6029</v>
      </c>
      <c r="F2118" t="s">
        <v>6035</v>
      </c>
      <c r="G2118" t="s">
        <v>6091</v>
      </c>
      <c r="H2118" t="s">
        <v>6097</v>
      </c>
      <c r="I2118">
        <v>4</v>
      </c>
      <c r="J2118">
        <v>6.9</v>
      </c>
      <c r="K2118" t="s">
        <v>6099</v>
      </c>
      <c r="L2118" t="s">
        <v>6100</v>
      </c>
      <c r="M2118" t="s">
        <v>6099</v>
      </c>
      <c r="N2118">
        <v>4</v>
      </c>
      <c r="O2118" t="s">
        <v>6101</v>
      </c>
      <c r="P2118" t="s">
        <v>6109</v>
      </c>
      <c r="Q2118">
        <v>3</v>
      </c>
      <c r="R2118">
        <v>2026</v>
      </c>
      <c r="S2118" t="s">
        <v>6100</v>
      </c>
      <c r="T2118">
        <v>0</v>
      </c>
      <c r="U2118" t="s">
        <v>6021</v>
      </c>
      <c r="V2118">
        <v>1</v>
      </c>
    </row>
    <row r="2119" spans="1:22" x14ac:dyDescent="0.3">
      <c r="A2119" t="s">
        <v>2134</v>
      </c>
      <c r="B2119" s="2">
        <v>46112.385416666664</v>
      </c>
      <c r="C2119" s="2">
        <v>46112.543749999997</v>
      </c>
      <c r="D2119" t="s">
        <v>6023</v>
      </c>
      <c r="E2119" t="s">
        <v>6029</v>
      </c>
      <c r="F2119" t="s">
        <v>6034</v>
      </c>
      <c r="G2119" t="s">
        <v>6086</v>
      </c>
      <c r="H2119" t="s">
        <v>6098</v>
      </c>
      <c r="I2119">
        <v>24</v>
      </c>
      <c r="J2119">
        <v>3.8</v>
      </c>
      <c r="K2119" t="s">
        <v>6099</v>
      </c>
      <c r="L2119" t="s">
        <v>6100</v>
      </c>
      <c r="M2119" t="s">
        <v>6100</v>
      </c>
      <c r="N2119">
        <v>3</v>
      </c>
      <c r="O2119" t="s">
        <v>6101</v>
      </c>
      <c r="P2119" t="s">
        <v>6109</v>
      </c>
      <c r="Q2119">
        <v>3</v>
      </c>
      <c r="R2119">
        <v>2026</v>
      </c>
      <c r="S2119" t="s">
        <v>6099</v>
      </c>
      <c r="T2119">
        <v>1</v>
      </c>
      <c r="U2119" t="s">
        <v>6020</v>
      </c>
      <c r="V2119">
        <v>1</v>
      </c>
    </row>
    <row r="2120" spans="1:22" x14ac:dyDescent="0.3">
      <c r="A2120" t="s">
        <v>2135</v>
      </c>
      <c r="B2120" s="2">
        <v>46112.420138888891</v>
      </c>
      <c r="C2120" s="2">
        <v>46113.503472222219</v>
      </c>
      <c r="D2120" t="s">
        <v>6022</v>
      </c>
      <c r="E2120" t="s">
        <v>6031</v>
      </c>
      <c r="F2120" t="s">
        <v>6034</v>
      </c>
      <c r="G2120" t="s">
        <v>6090</v>
      </c>
      <c r="H2120" t="s">
        <v>6097</v>
      </c>
      <c r="I2120">
        <v>24</v>
      </c>
      <c r="J2120">
        <v>26</v>
      </c>
      <c r="K2120" t="s">
        <v>6099</v>
      </c>
      <c r="L2120" t="s">
        <v>6100</v>
      </c>
      <c r="M2120" t="s">
        <v>6100</v>
      </c>
      <c r="N2120">
        <v>3</v>
      </c>
      <c r="O2120" t="s">
        <v>6101</v>
      </c>
      <c r="P2120" t="s">
        <v>6109</v>
      </c>
      <c r="Q2120">
        <v>3</v>
      </c>
      <c r="R2120">
        <v>2026</v>
      </c>
      <c r="S2120" t="s">
        <v>6100</v>
      </c>
      <c r="T2120">
        <v>0</v>
      </c>
      <c r="U2120" t="s">
        <v>6018</v>
      </c>
      <c r="V2120">
        <v>1</v>
      </c>
    </row>
    <row r="2121" spans="1:22" x14ac:dyDescent="0.3">
      <c r="A2121" t="s">
        <v>2136</v>
      </c>
      <c r="B2121" s="2">
        <v>46112.430555555555</v>
      </c>
      <c r="C2121" s="2">
        <v>46112.472222222219</v>
      </c>
      <c r="D2121" t="s">
        <v>6023</v>
      </c>
      <c r="E2121" t="s">
        <v>6029</v>
      </c>
      <c r="F2121" t="s">
        <v>6033</v>
      </c>
      <c r="G2121" t="s">
        <v>6059</v>
      </c>
      <c r="H2121" t="s">
        <v>6097</v>
      </c>
      <c r="I2121">
        <v>72</v>
      </c>
      <c r="J2121">
        <v>1</v>
      </c>
      <c r="K2121" t="s">
        <v>6099</v>
      </c>
      <c r="L2121" t="s">
        <v>6100</v>
      </c>
      <c r="M2121" t="s">
        <v>6100</v>
      </c>
      <c r="N2121">
        <v>5</v>
      </c>
      <c r="O2121" t="s">
        <v>6101</v>
      </c>
      <c r="P2121" t="s">
        <v>6109</v>
      </c>
      <c r="Q2121">
        <v>3</v>
      </c>
      <c r="R2121">
        <v>2026</v>
      </c>
      <c r="S2121" t="s">
        <v>6099</v>
      </c>
      <c r="T2121">
        <v>1</v>
      </c>
      <c r="U2121" t="s">
        <v>6021</v>
      </c>
      <c r="V2121">
        <v>1</v>
      </c>
    </row>
    <row r="2122" spans="1:22" x14ac:dyDescent="0.3">
      <c r="A2122" t="s">
        <v>2137</v>
      </c>
      <c r="B2122" s="2">
        <v>46112.447916666664</v>
      </c>
      <c r="C2122" s="2">
        <v>46113.435416666667</v>
      </c>
      <c r="D2122" t="s">
        <v>6028</v>
      </c>
      <c r="E2122" t="s">
        <v>6031</v>
      </c>
      <c r="F2122" t="s">
        <v>6034</v>
      </c>
      <c r="G2122" t="s">
        <v>6057</v>
      </c>
      <c r="H2122" t="s">
        <v>6097</v>
      </c>
      <c r="I2122">
        <v>24</v>
      </c>
      <c r="J2122">
        <v>23.7</v>
      </c>
      <c r="K2122" t="s">
        <v>6100</v>
      </c>
      <c r="L2122" t="s">
        <v>6099</v>
      </c>
      <c r="M2122" t="s">
        <v>6100</v>
      </c>
      <c r="N2122">
        <v>5</v>
      </c>
      <c r="O2122" t="s">
        <v>6101</v>
      </c>
      <c r="P2122" t="s">
        <v>6109</v>
      </c>
      <c r="Q2122">
        <v>3</v>
      </c>
      <c r="R2122">
        <v>2026</v>
      </c>
      <c r="S2122" t="s">
        <v>6099</v>
      </c>
      <c r="T2122">
        <v>1</v>
      </c>
      <c r="U2122" t="s">
        <v>6017</v>
      </c>
      <c r="V2122">
        <v>0</v>
      </c>
    </row>
    <row r="2123" spans="1:22" x14ac:dyDescent="0.3">
      <c r="A2123" t="s">
        <v>2138</v>
      </c>
      <c r="B2123" s="2">
        <v>46112.452777777777</v>
      </c>
      <c r="C2123" s="2">
        <v>46112.811111111114</v>
      </c>
      <c r="D2123" t="s">
        <v>6024</v>
      </c>
      <c r="E2123" t="s">
        <v>6031</v>
      </c>
      <c r="F2123" t="s">
        <v>6034</v>
      </c>
      <c r="G2123" t="s">
        <v>6064</v>
      </c>
      <c r="H2123" t="s">
        <v>6096</v>
      </c>
      <c r="I2123">
        <v>24</v>
      </c>
      <c r="J2123">
        <v>8.6</v>
      </c>
      <c r="K2123" t="s">
        <v>6099</v>
      </c>
      <c r="L2123" t="s">
        <v>6100</v>
      </c>
      <c r="M2123" t="s">
        <v>6100</v>
      </c>
      <c r="O2123" t="s">
        <v>6101</v>
      </c>
      <c r="P2123" t="s">
        <v>6109</v>
      </c>
      <c r="Q2123">
        <v>3</v>
      </c>
      <c r="R2123">
        <v>2026</v>
      </c>
      <c r="S2123" t="s">
        <v>6099</v>
      </c>
      <c r="T2123">
        <v>1</v>
      </c>
      <c r="U2123" t="s">
        <v>6021</v>
      </c>
      <c r="V2123">
        <v>1</v>
      </c>
    </row>
    <row r="2124" spans="1:22" x14ac:dyDescent="0.3">
      <c r="A2124" t="s">
        <v>2139</v>
      </c>
      <c r="B2124" s="2">
        <v>46112.527777777781</v>
      </c>
      <c r="C2124" s="2">
        <v>46113.144444444442</v>
      </c>
      <c r="D2124" t="s">
        <v>6026</v>
      </c>
      <c r="E2124" t="s">
        <v>6029</v>
      </c>
      <c r="F2124" t="s">
        <v>6033</v>
      </c>
      <c r="G2124" t="s">
        <v>6066</v>
      </c>
      <c r="H2124" t="s">
        <v>6096</v>
      </c>
      <c r="I2124">
        <v>72</v>
      </c>
      <c r="J2124">
        <v>14.8</v>
      </c>
      <c r="K2124" t="s">
        <v>6100</v>
      </c>
      <c r="L2124" t="s">
        <v>6100</v>
      </c>
      <c r="M2124" t="s">
        <v>6100</v>
      </c>
      <c r="O2124" t="s">
        <v>6101</v>
      </c>
      <c r="P2124" t="s">
        <v>6109</v>
      </c>
      <c r="Q2124">
        <v>3</v>
      </c>
      <c r="R2124">
        <v>2026</v>
      </c>
      <c r="S2124" t="s">
        <v>6099</v>
      </c>
      <c r="T2124">
        <v>1</v>
      </c>
      <c r="U2124" t="s">
        <v>6018</v>
      </c>
      <c r="V2124">
        <v>0</v>
      </c>
    </row>
    <row r="2125" spans="1:22" x14ac:dyDescent="0.3">
      <c r="A2125" t="s">
        <v>2140</v>
      </c>
      <c r="B2125" s="2">
        <v>46112.588888888888</v>
      </c>
      <c r="C2125" s="2">
        <v>46112.938888888886</v>
      </c>
      <c r="D2125" t="s">
        <v>6028</v>
      </c>
      <c r="E2125" t="s">
        <v>6029</v>
      </c>
      <c r="F2125" t="s">
        <v>6035</v>
      </c>
      <c r="G2125" t="s">
        <v>6068</v>
      </c>
      <c r="H2125" t="s">
        <v>6098</v>
      </c>
      <c r="I2125">
        <v>4</v>
      </c>
      <c r="J2125">
        <v>8.4</v>
      </c>
      <c r="K2125" t="s">
        <v>6099</v>
      </c>
      <c r="L2125" t="s">
        <v>6100</v>
      </c>
      <c r="M2125" t="s">
        <v>6100</v>
      </c>
      <c r="O2125" t="s">
        <v>6101</v>
      </c>
      <c r="P2125" t="s">
        <v>6109</v>
      </c>
      <c r="Q2125">
        <v>3</v>
      </c>
      <c r="R2125">
        <v>2026</v>
      </c>
      <c r="S2125" t="s">
        <v>6100</v>
      </c>
      <c r="T2125">
        <v>0</v>
      </c>
      <c r="U2125" t="s">
        <v>6020</v>
      </c>
      <c r="V2125">
        <v>1</v>
      </c>
    </row>
    <row r="2126" spans="1:22" x14ac:dyDescent="0.3">
      <c r="A2126" t="s">
        <v>2141</v>
      </c>
      <c r="B2126" s="2">
        <v>46112.597222222219</v>
      </c>
      <c r="C2126" s="2">
        <v>46112.788888888892</v>
      </c>
      <c r="D2126" t="s">
        <v>6028</v>
      </c>
      <c r="E2126" t="s">
        <v>6029</v>
      </c>
      <c r="F2126" t="s">
        <v>6034</v>
      </c>
      <c r="G2126" t="s">
        <v>6040</v>
      </c>
      <c r="H2126" t="s">
        <v>6097</v>
      </c>
      <c r="I2126">
        <v>24</v>
      </c>
      <c r="J2126">
        <v>4.5999999999999996</v>
      </c>
      <c r="K2126" t="s">
        <v>6099</v>
      </c>
      <c r="L2126" t="s">
        <v>6100</v>
      </c>
      <c r="M2126" t="s">
        <v>6100</v>
      </c>
      <c r="N2126">
        <v>4</v>
      </c>
      <c r="O2126" t="s">
        <v>6101</v>
      </c>
      <c r="P2126" t="s">
        <v>6109</v>
      </c>
      <c r="Q2126">
        <v>3</v>
      </c>
      <c r="R2126">
        <v>2026</v>
      </c>
      <c r="S2126" t="s">
        <v>6099</v>
      </c>
      <c r="T2126">
        <v>1</v>
      </c>
      <c r="U2126" t="s">
        <v>6017</v>
      </c>
      <c r="V2126">
        <v>1</v>
      </c>
    </row>
    <row r="2127" spans="1:22" x14ac:dyDescent="0.3">
      <c r="A2127" t="s">
        <v>2142</v>
      </c>
      <c r="B2127" s="2">
        <v>46112.631944444445</v>
      </c>
      <c r="C2127" s="2">
        <v>46112.873611111114</v>
      </c>
      <c r="D2127" t="s">
        <v>6023</v>
      </c>
      <c r="E2127" t="s">
        <v>6032</v>
      </c>
      <c r="F2127" t="s">
        <v>6033</v>
      </c>
      <c r="G2127" t="s">
        <v>6083</v>
      </c>
      <c r="H2127" t="s">
        <v>6096</v>
      </c>
      <c r="I2127">
        <v>72</v>
      </c>
      <c r="J2127">
        <v>5.8</v>
      </c>
      <c r="K2127" t="s">
        <v>6100</v>
      </c>
      <c r="L2127" t="s">
        <v>6099</v>
      </c>
      <c r="M2127" t="s">
        <v>6100</v>
      </c>
      <c r="O2127" t="s">
        <v>6101</v>
      </c>
      <c r="P2127" t="s">
        <v>6109</v>
      </c>
      <c r="Q2127">
        <v>3</v>
      </c>
      <c r="R2127">
        <v>2026</v>
      </c>
      <c r="S2127" t="s">
        <v>6099</v>
      </c>
      <c r="T2127">
        <v>1</v>
      </c>
      <c r="U2127" t="s">
        <v>6019</v>
      </c>
      <c r="V2127">
        <v>0</v>
      </c>
    </row>
    <row r="2128" spans="1:22" x14ac:dyDescent="0.3">
      <c r="A2128" t="s">
        <v>2143</v>
      </c>
      <c r="B2128" s="2">
        <v>46112.656944444447</v>
      </c>
      <c r="C2128" s="2">
        <v>46113.740277777775</v>
      </c>
      <c r="D2128" t="s">
        <v>6022</v>
      </c>
      <c r="E2128" t="s">
        <v>6032</v>
      </c>
      <c r="F2128" t="s">
        <v>6033</v>
      </c>
      <c r="G2128" t="s">
        <v>6056</v>
      </c>
      <c r="H2128" t="s">
        <v>6098</v>
      </c>
      <c r="I2128">
        <v>72</v>
      </c>
      <c r="J2128">
        <v>26</v>
      </c>
      <c r="K2128" t="s">
        <v>6099</v>
      </c>
      <c r="L2128" t="s">
        <v>6100</v>
      </c>
      <c r="M2128" t="s">
        <v>6100</v>
      </c>
      <c r="N2128">
        <v>5</v>
      </c>
      <c r="O2128" t="s">
        <v>6101</v>
      </c>
      <c r="P2128" t="s">
        <v>6109</v>
      </c>
      <c r="Q2128">
        <v>3</v>
      </c>
      <c r="R2128">
        <v>2026</v>
      </c>
      <c r="S2128" t="s">
        <v>6099</v>
      </c>
      <c r="T2128">
        <v>1</v>
      </c>
      <c r="U2128" t="s">
        <v>6018</v>
      </c>
      <c r="V2128">
        <v>1</v>
      </c>
    </row>
    <row r="2129" spans="1:22" x14ac:dyDescent="0.3">
      <c r="A2129" t="s">
        <v>2144</v>
      </c>
      <c r="B2129" s="2">
        <v>46112.704861111109</v>
      </c>
      <c r="C2129" s="2">
        <v>46113.738194444442</v>
      </c>
      <c r="D2129" t="s">
        <v>6024</v>
      </c>
      <c r="E2129" t="s">
        <v>6029</v>
      </c>
      <c r="F2129" t="s">
        <v>6033</v>
      </c>
      <c r="G2129" t="s">
        <v>6044</v>
      </c>
      <c r="H2129" t="s">
        <v>6097</v>
      </c>
      <c r="I2129">
        <v>72</v>
      </c>
      <c r="J2129">
        <v>24.8</v>
      </c>
      <c r="K2129" t="s">
        <v>6100</v>
      </c>
      <c r="L2129" t="s">
        <v>6100</v>
      </c>
      <c r="M2129" t="s">
        <v>6100</v>
      </c>
      <c r="N2129">
        <v>4</v>
      </c>
      <c r="O2129" t="s">
        <v>6101</v>
      </c>
      <c r="P2129" t="s">
        <v>6109</v>
      </c>
      <c r="Q2129">
        <v>3</v>
      </c>
      <c r="R2129">
        <v>2026</v>
      </c>
      <c r="S2129" t="s">
        <v>6099</v>
      </c>
      <c r="T2129">
        <v>1</v>
      </c>
      <c r="U2129" t="s">
        <v>6017</v>
      </c>
      <c r="V2129">
        <v>0</v>
      </c>
    </row>
    <row r="2130" spans="1:22" x14ac:dyDescent="0.3">
      <c r="A2130" t="s">
        <v>2145</v>
      </c>
      <c r="B2130" s="2">
        <v>46112.709722222222</v>
      </c>
      <c r="C2130" s="2">
        <v>46113.297222222223</v>
      </c>
      <c r="D2130" t="s">
        <v>6028</v>
      </c>
      <c r="E2130" t="s">
        <v>6031</v>
      </c>
      <c r="F2130" t="s">
        <v>6034</v>
      </c>
      <c r="G2130" t="s">
        <v>6086</v>
      </c>
      <c r="H2130" t="s">
        <v>6098</v>
      </c>
      <c r="I2130">
        <v>24</v>
      </c>
      <c r="J2130">
        <v>14.1</v>
      </c>
      <c r="K2130" t="s">
        <v>6099</v>
      </c>
      <c r="L2130" t="s">
        <v>6100</v>
      </c>
      <c r="M2130" t="s">
        <v>6100</v>
      </c>
      <c r="N2130">
        <v>5</v>
      </c>
      <c r="O2130" t="s">
        <v>6101</v>
      </c>
      <c r="P2130" t="s">
        <v>6109</v>
      </c>
      <c r="Q2130">
        <v>3</v>
      </c>
      <c r="R2130">
        <v>2026</v>
      </c>
      <c r="S2130" t="s">
        <v>6099</v>
      </c>
      <c r="T2130">
        <v>1</v>
      </c>
      <c r="U2130" t="s">
        <v>6020</v>
      </c>
      <c r="V2130">
        <v>1</v>
      </c>
    </row>
    <row r="2131" spans="1:22" x14ac:dyDescent="0.3">
      <c r="A2131" t="s">
        <v>2146</v>
      </c>
      <c r="B2131" s="2">
        <v>46112.736805555556</v>
      </c>
      <c r="C2131" s="2">
        <v>46113.078472222223</v>
      </c>
      <c r="D2131" t="s">
        <v>6022</v>
      </c>
      <c r="E2131" t="s">
        <v>6029</v>
      </c>
      <c r="F2131" t="s">
        <v>6034</v>
      </c>
      <c r="G2131" t="s">
        <v>6093</v>
      </c>
      <c r="H2131" t="s">
        <v>6097</v>
      </c>
      <c r="I2131">
        <v>24</v>
      </c>
      <c r="J2131">
        <v>8.1999999999999993</v>
      </c>
      <c r="K2131" t="s">
        <v>6099</v>
      </c>
      <c r="L2131" t="s">
        <v>6100</v>
      </c>
      <c r="M2131" t="s">
        <v>6100</v>
      </c>
      <c r="N2131">
        <v>4</v>
      </c>
      <c r="O2131" t="s">
        <v>6101</v>
      </c>
      <c r="P2131" t="s">
        <v>6109</v>
      </c>
      <c r="Q2131">
        <v>3</v>
      </c>
      <c r="R2131">
        <v>2026</v>
      </c>
      <c r="S2131" t="s">
        <v>6099</v>
      </c>
      <c r="T2131">
        <v>1</v>
      </c>
      <c r="U2131" t="s">
        <v>6019</v>
      </c>
      <c r="V2131">
        <v>1</v>
      </c>
    </row>
    <row r="2132" spans="1:22" x14ac:dyDescent="0.3">
      <c r="A2132" t="s">
        <v>2147</v>
      </c>
      <c r="B2132" s="2">
        <v>46113.226388888892</v>
      </c>
      <c r="C2132" s="2">
        <v>46115.426388888889</v>
      </c>
      <c r="D2132" t="s">
        <v>6026</v>
      </c>
      <c r="E2132" t="s">
        <v>6031</v>
      </c>
      <c r="F2132" t="s">
        <v>6033</v>
      </c>
      <c r="G2132" t="s">
        <v>6056</v>
      </c>
      <c r="H2132" t="s">
        <v>6098</v>
      </c>
      <c r="I2132">
        <v>72</v>
      </c>
      <c r="J2132">
        <v>52.8</v>
      </c>
      <c r="K2132" t="s">
        <v>6099</v>
      </c>
      <c r="L2132" t="s">
        <v>6100</v>
      </c>
      <c r="M2132" t="s">
        <v>6100</v>
      </c>
      <c r="N2132">
        <v>4</v>
      </c>
      <c r="O2132" t="s">
        <v>6101</v>
      </c>
      <c r="P2132" t="s">
        <v>6110</v>
      </c>
      <c r="Q2132">
        <v>4</v>
      </c>
      <c r="R2132">
        <v>2026</v>
      </c>
      <c r="S2132" t="s">
        <v>6099</v>
      </c>
      <c r="T2132">
        <v>1</v>
      </c>
      <c r="U2132" t="s">
        <v>6019</v>
      </c>
      <c r="V2132">
        <v>1</v>
      </c>
    </row>
    <row r="2133" spans="1:22" x14ac:dyDescent="0.3">
      <c r="A2133" t="s">
        <v>2148</v>
      </c>
      <c r="B2133" s="2">
        <v>46113.347222222219</v>
      </c>
      <c r="C2133" s="2">
        <v>46114.072222222225</v>
      </c>
      <c r="D2133" t="s">
        <v>6022</v>
      </c>
      <c r="E2133" t="s">
        <v>6029</v>
      </c>
      <c r="F2133" t="s">
        <v>6034</v>
      </c>
      <c r="G2133" t="s">
        <v>6036</v>
      </c>
      <c r="H2133" t="s">
        <v>6096</v>
      </c>
      <c r="I2133">
        <v>24</v>
      </c>
      <c r="J2133">
        <v>17.399999999999999</v>
      </c>
      <c r="K2133" t="s">
        <v>6099</v>
      </c>
      <c r="L2133" t="s">
        <v>6100</v>
      </c>
      <c r="M2133" t="s">
        <v>6100</v>
      </c>
      <c r="N2133">
        <v>5</v>
      </c>
      <c r="O2133" t="s">
        <v>6101</v>
      </c>
      <c r="P2133" t="s">
        <v>6110</v>
      </c>
      <c r="Q2133">
        <v>4</v>
      </c>
      <c r="R2133">
        <v>2026</v>
      </c>
      <c r="S2133" t="s">
        <v>6099</v>
      </c>
      <c r="T2133">
        <v>1</v>
      </c>
      <c r="U2133" t="s">
        <v>6018</v>
      </c>
      <c r="V2133">
        <v>1</v>
      </c>
    </row>
    <row r="2134" spans="1:22" x14ac:dyDescent="0.3">
      <c r="A2134" t="s">
        <v>2149</v>
      </c>
      <c r="B2134" s="2">
        <v>46113.363888888889</v>
      </c>
      <c r="C2134" s="2">
        <v>46113.597222222219</v>
      </c>
      <c r="D2134" t="s">
        <v>6022</v>
      </c>
      <c r="E2134" t="s">
        <v>6029</v>
      </c>
      <c r="F2134" t="s">
        <v>6033</v>
      </c>
      <c r="G2134" t="s">
        <v>6072</v>
      </c>
      <c r="H2134" t="s">
        <v>6097</v>
      </c>
      <c r="I2134">
        <v>72</v>
      </c>
      <c r="J2134">
        <v>5.6</v>
      </c>
      <c r="K2134" t="s">
        <v>6099</v>
      </c>
      <c r="L2134" t="s">
        <v>6100</v>
      </c>
      <c r="M2134" t="s">
        <v>6100</v>
      </c>
      <c r="N2134">
        <v>4</v>
      </c>
      <c r="O2134" t="s">
        <v>6101</v>
      </c>
      <c r="P2134" t="s">
        <v>6110</v>
      </c>
      <c r="Q2134">
        <v>4</v>
      </c>
      <c r="R2134">
        <v>2026</v>
      </c>
      <c r="S2134" t="s">
        <v>6099</v>
      </c>
      <c r="T2134">
        <v>1</v>
      </c>
      <c r="U2134" t="s">
        <v>6017</v>
      </c>
      <c r="V2134">
        <v>1</v>
      </c>
    </row>
    <row r="2135" spans="1:22" x14ac:dyDescent="0.3">
      <c r="A2135" t="s">
        <v>2150</v>
      </c>
      <c r="B2135" s="2">
        <v>46113.380555555559</v>
      </c>
      <c r="C2135" s="2">
        <v>46114.951388888891</v>
      </c>
      <c r="D2135" t="s">
        <v>6025</v>
      </c>
      <c r="E2135" t="s">
        <v>6031</v>
      </c>
      <c r="F2135" t="s">
        <v>6034</v>
      </c>
      <c r="G2135" t="s">
        <v>6041</v>
      </c>
      <c r="H2135" t="s">
        <v>6096</v>
      </c>
      <c r="I2135">
        <v>24</v>
      </c>
      <c r="J2135">
        <v>37.700000000000003</v>
      </c>
      <c r="K2135" t="s">
        <v>6099</v>
      </c>
      <c r="L2135" t="s">
        <v>6100</v>
      </c>
      <c r="M2135" t="s">
        <v>6100</v>
      </c>
      <c r="O2135" t="s">
        <v>6101</v>
      </c>
      <c r="P2135" t="s">
        <v>6110</v>
      </c>
      <c r="Q2135">
        <v>4</v>
      </c>
      <c r="R2135">
        <v>2026</v>
      </c>
      <c r="S2135" t="s">
        <v>6100</v>
      </c>
      <c r="T2135">
        <v>0</v>
      </c>
      <c r="U2135" t="s">
        <v>6020</v>
      </c>
      <c r="V2135">
        <v>1</v>
      </c>
    </row>
    <row r="2136" spans="1:22" x14ac:dyDescent="0.3">
      <c r="A2136" t="s">
        <v>2151</v>
      </c>
      <c r="B2136" s="2">
        <v>46113.428472222222</v>
      </c>
      <c r="C2136" s="2">
        <v>46115.665972222225</v>
      </c>
      <c r="D2136" t="s">
        <v>6025</v>
      </c>
      <c r="E2136" t="s">
        <v>6029</v>
      </c>
      <c r="F2136" t="s">
        <v>6033</v>
      </c>
      <c r="G2136" t="s">
        <v>6093</v>
      </c>
      <c r="H2136" t="s">
        <v>6097</v>
      </c>
      <c r="I2136">
        <v>72</v>
      </c>
      <c r="J2136">
        <v>53.7</v>
      </c>
      <c r="K2136" t="s">
        <v>6099</v>
      </c>
      <c r="L2136" t="s">
        <v>6100</v>
      </c>
      <c r="M2136" t="s">
        <v>6100</v>
      </c>
      <c r="O2136" t="s">
        <v>6101</v>
      </c>
      <c r="P2136" t="s">
        <v>6110</v>
      </c>
      <c r="Q2136">
        <v>4</v>
      </c>
      <c r="R2136">
        <v>2026</v>
      </c>
      <c r="S2136" t="s">
        <v>6099</v>
      </c>
      <c r="T2136">
        <v>1</v>
      </c>
      <c r="U2136" t="s">
        <v>6019</v>
      </c>
      <c r="V2136">
        <v>1</v>
      </c>
    </row>
    <row r="2137" spans="1:22" x14ac:dyDescent="0.3">
      <c r="A2137" t="s">
        <v>2152</v>
      </c>
      <c r="B2137" s="2">
        <v>46113.459027777775</v>
      </c>
      <c r="C2137" s="2">
        <v>46113.821527777778</v>
      </c>
      <c r="D2137" t="s">
        <v>6023</v>
      </c>
      <c r="E2137" t="s">
        <v>6029</v>
      </c>
      <c r="F2137" t="s">
        <v>6033</v>
      </c>
      <c r="G2137" t="s">
        <v>6084</v>
      </c>
      <c r="H2137" t="s">
        <v>6098</v>
      </c>
      <c r="I2137">
        <v>72</v>
      </c>
      <c r="J2137">
        <v>8.6999999999999993</v>
      </c>
      <c r="K2137" t="s">
        <v>6099</v>
      </c>
      <c r="L2137" t="s">
        <v>6100</v>
      </c>
      <c r="M2137" t="s">
        <v>6100</v>
      </c>
      <c r="N2137">
        <v>3</v>
      </c>
      <c r="O2137" t="s">
        <v>6101</v>
      </c>
      <c r="P2137" t="s">
        <v>6110</v>
      </c>
      <c r="Q2137">
        <v>4</v>
      </c>
      <c r="R2137">
        <v>2026</v>
      </c>
      <c r="S2137" t="s">
        <v>6099</v>
      </c>
      <c r="T2137">
        <v>1</v>
      </c>
      <c r="U2137" t="s">
        <v>6018</v>
      </c>
      <c r="V2137">
        <v>1</v>
      </c>
    </row>
    <row r="2138" spans="1:22" x14ac:dyDescent="0.3">
      <c r="A2138" t="s">
        <v>2153</v>
      </c>
      <c r="B2138" s="2">
        <v>46113.460416666669</v>
      </c>
      <c r="C2138" s="2">
        <v>46115.006249999999</v>
      </c>
      <c r="D2138" t="s">
        <v>6024</v>
      </c>
      <c r="E2138" t="s">
        <v>6032</v>
      </c>
      <c r="F2138" t="s">
        <v>6034</v>
      </c>
      <c r="G2138" t="s">
        <v>6077</v>
      </c>
      <c r="H2138" t="s">
        <v>6098</v>
      </c>
      <c r="I2138">
        <v>24</v>
      </c>
      <c r="J2138">
        <v>37.1</v>
      </c>
      <c r="K2138" t="s">
        <v>6100</v>
      </c>
      <c r="L2138" t="s">
        <v>6099</v>
      </c>
      <c r="M2138" t="s">
        <v>6100</v>
      </c>
      <c r="N2138">
        <v>4</v>
      </c>
      <c r="O2138" t="s">
        <v>6101</v>
      </c>
      <c r="P2138" t="s">
        <v>6110</v>
      </c>
      <c r="Q2138">
        <v>4</v>
      </c>
      <c r="R2138">
        <v>2026</v>
      </c>
      <c r="S2138" t="s">
        <v>6100</v>
      </c>
      <c r="T2138">
        <v>0</v>
      </c>
      <c r="U2138" t="s">
        <v>6018</v>
      </c>
      <c r="V2138">
        <v>0</v>
      </c>
    </row>
    <row r="2139" spans="1:22" x14ac:dyDescent="0.3">
      <c r="A2139" t="s">
        <v>2154</v>
      </c>
      <c r="B2139" s="2">
        <v>46113.479861111111</v>
      </c>
      <c r="C2139" s="2">
        <v>46113.78402777778</v>
      </c>
      <c r="D2139" t="s">
        <v>6022</v>
      </c>
      <c r="E2139" t="s">
        <v>6029</v>
      </c>
      <c r="F2139" t="s">
        <v>6033</v>
      </c>
      <c r="G2139" t="s">
        <v>6059</v>
      </c>
      <c r="H2139" t="s">
        <v>6097</v>
      </c>
      <c r="I2139">
        <v>72</v>
      </c>
      <c r="J2139">
        <v>7.3</v>
      </c>
      <c r="K2139" t="s">
        <v>6099</v>
      </c>
      <c r="L2139" t="s">
        <v>6100</v>
      </c>
      <c r="M2139" t="s">
        <v>6100</v>
      </c>
      <c r="O2139" t="s">
        <v>6101</v>
      </c>
      <c r="P2139" t="s">
        <v>6110</v>
      </c>
      <c r="Q2139">
        <v>4</v>
      </c>
      <c r="R2139">
        <v>2026</v>
      </c>
      <c r="S2139" t="s">
        <v>6099</v>
      </c>
      <c r="T2139">
        <v>1</v>
      </c>
      <c r="U2139" t="s">
        <v>6018</v>
      </c>
      <c r="V2139">
        <v>1</v>
      </c>
    </row>
    <row r="2140" spans="1:22" x14ac:dyDescent="0.3">
      <c r="A2140" t="s">
        <v>2155</v>
      </c>
      <c r="B2140" s="2">
        <v>46113.515972222223</v>
      </c>
      <c r="C2140" s="2">
        <v>46113.824305555558</v>
      </c>
      <c r="D2140" t="s">
        <v>6023</v>
      </c>
      <c r="E2140" t="s">
        <v>6029</v>
      </c>
      <c r="F2140" t="s">
        <v>6033</v>
      </c>
      <c r="G2140" t="s">
        <v>6041</v>
      </c>
      <c r="H2140" t="s">
        <v>6096</v>
      </c>
      <c r="I2140">
        <v>72</v>
      </c>
      <c r="J2140">
        <v>7.4</v>
      </c>
      <c r="K2140" t="s">
        <v>6100</v>
      </c>
      <c r="L2140" t="s">
        <v>6099</v>
      </c>
      <c r="M2140" t="s">
        <v>6100</v>
      </c>
      <c r="O2140" t="s">
        <v>6101</v>
      </c>
      <c r="P2140" t="s">
        <v>6110</v>
      </c>
      <c r="Q2140">
        <v>4</v>
      </c>
      <c r="R2140">
        <v>2026</v>
      </c>
      <c r="S2140" t="s">
        <v>6099</v>
      </c>
      <c r="T2140">
        <v>1</v>
      </c>
      <c r="U2140" t="s">
        <v>6017</v>
      </c>
      <c r="V2140">
        <v>0</v>
      </c>
    </row>
    <row r="2141" spans="1:22" x14ac:dyDescent="0.3">
      <c r="A2141" t="s">
        <v>2156</v>
      </c>
      <c r="B2141" s="2">
        <v>46113.537499999999</v>
      </c>
      <c r="C2141" s="2">
        <v>46113.679166666669</v>
      </c>
      <c r="D2141" t="s">
        <v>6023</v>
      </c>
      <c r="E2141" t="s">
        <v>6029</v>
      </c>
      <c r="F2141" t="s">
        <v>6033</v>
      </c>
      <c r="G2141" t="s">
        <v>6086</v>
      </c>
      <c r="H2141" t="s">
        <v>6098</v>
      </c>
      <c r="I2141">
        <v>72</v>
      </c>
      <c r="J2141">
        <v>3.4</v>
      </c>
      <c r="K2141" t="s">
        <v>6100</v>
      </c>
      <c r="L2141" t="s">
        <v>6100</v>
      </c>
      <c r="M2141" t="s">
        <v>6100</v>
      </c>
      <c r="N2141">
        <v>4</v>
      </c>
      <c r="O2141" t="s">
        <v>6101</v>
      </c>
      <c r="P2141" t="s">
        <v>6110</v>
      </c>
      <c r="Q2141">
        <v>4</v>
      </c>
      <c r="R2141">
        <v>2026</v>
      </c>
      <c r="S2141" t="s">
        <v>6099</v>
      </c>
      <c r="T2141">
        <v>1</v>
      </c>
      <c r="U2141" t="s">
        <v>6021</v>
      </c>
      <c r="V2141">
        <v>0</v>
      </c>
    </row>
    <row r="2142" spans="1:22" x14ac:dyDescent="0.3">
      <c r="A2142" t="s">
        <v>2157</v>
      </c>
      <c r="B2142" s="2">
        <v>46113.540277777778</v>
      </c>
      <c r="C2142" s="2">
        <v>46113.75277777778</v>
      </c>
      <c r="D2142" t="s">
        <v>6024</v>
      </c>
      <c r="E2142" t="s">
        <v>6029</v>
      </c>
      <c r="F2142" t="s">
        <v>6035</v>
      </c>
      <c r="G2142" t="s">
        <v>6082</v>
      </c>
      <c r="H2142" t="s">
        <v>6097</v>
      </c>
      <c r="I2142">
        <v>4</v>
      </c>
      <c r="J2142">
        <v>5.0999999999999996</v>
      </c>
      <c r="K2142" t="s">
        <v>6099</v>
      </c>
      <c r="L2142" t="s">
        <v>6100</v>
      </c>
      <c r="M2142" t="s">
        <v>6100</v>
      </c>
      <c r="N2142">
        <v>4</v>
      </c>
      <c r="O2142" t="s">
        <v>6101</v>
      </c>
      <c r="P2142" t="s">
        <v>6110</v>
      </c>
      <c r="Q2142">
        <v>4</v>
      </c>
      <c r="R2142">
        <v>2026</v>
      </c>
      <c r="S2142" t="s">
        <v>6100</v>
      </c>
      <c r="T2142">
        <v>0</v>
      </c>
      <c r="U2142" t="s">
        <v>6018</v>
      </c>
      <c r="V2142">
        <v>1</v>
      </c>
    </row>
    <row r="2143" spans="1:22" x14ac:dyDescent="0.3">
      <c r="A2143" t="s">
        <v>2158</v>
      </c>
      <c r="B2143" s="2">
        <v>46113.548611111109</v>
      </c>
      <c r="C2143" s="2">
        <v>46113.711111111108</v>
      </c>
      <c r="D2143" t="s">
        <v>6023</v>
      </c>
      <c r="E2143" t="s">
        <v>6029</v>
      </c>
      <c r="F2143" t="s">
        <v>6033</v>
      </c>
      <c r="G2143" t="s">
        <v>6058</v>
      </c>
      <c r="H2143" t="s">
        <v>6098</v>
      </c>
      <c r="I2143">
        <v>72</v>
      </c>
      <c r="J2143">
        <v>3.9</v>
      </c>
      <c r="K2143" t="s">
        <v>6100</v>
      </c>
      <c r="L2143" t="s">
        <v>6099</v>
      </c>
      <c r="M2143" t="s">
        <v>6100</v>
      </c>
      <c r="O2143" t="s">
        <v>6101</v>
      </c>
      <c r="P2143" t="s">
        <v>6110</v>
      </c>
      <c r="Q2143">
        <v>4</v>
      </c>
      <c r="R2143">
        <v>2026</v>
      </c>
      <c r="S2143" t="s">
        <v>6099</v>
      </c>
      <c r="T2143">
        <v>1</v>
      </c>
      <c r="U2143" t="s">
        <v>6019</v>
      </c>
      <c r="V2143">
        <v>0</v>
      </c>
    </row>
    <row r="2144" spans="1:22" x14ac:dyDescent="0.3">
      <c r="A2144" t="s">
        <v>2159</v>
      </c>
      <c r="B2144" s="2">
        <v>46113.572916666664</v>
      </c>
      <c r="C2144" s="2">
        <v>46113.98541666667</v>
      </c>
      <c r="D2144" t="s">
        <v>6022</v>
      </c>
      <c r="E2144" t="s">
        <v>6029</v>
      </c>
      <c r="F2144" t="s">
        <v>6035</v>
      </c>
      <c r="G2144" t="s">
        <v>6069</v>
      </c>
      <c r="H2144" t="s">
        <v>6098</v>
      </c>
      <c r="I2144">
        <v>4</v>
      </c>
      <c r="J2144">
        <v>9.9</v>
      </c>
      <c r="K2144" t="s">
        <v>6099</v>
      </c>
      <c r="L2144" t="s">
        <v>6100</v>
      </c>
      <c r="M2144" t="s">
        <v>6100</v>
      </c>
      <c r="N2144">
        <v>4</v>
      </c>
      <c r="O2144" t="s">
        <v>6101</v>
      </c>
      <c r="P2144" t="s">
        <v>6110</v>
      </c>
      <c r="Q2144">
        <v>4</v>
      </c>
      <c r="R2144">
        <v>2026</v>
      </c>
      <c r="S2144" t="s">
        <v>6100</v>
      </c>
      <c r="T2144">
        <v>0</v>
      </c>
      <c r="U2144" t="s">
        <v>6018</v>
      </c>
      <c r="V2144">
        <v>1</v>
      </c>
    </row>
    <row r="2145" spans="1:22" x14ac:dyDescent="0.3">
      <c r="A2145" t="s">
        <v>2160</v>
      </c>
      <c r="B2145" s="2">
        <v>46113.597222222219</v>
      </c>
      <c r="C2145" s="2">
        <v>46114.388888888891</v>
      </c>
      <c r="D2145" t="s">
        <v>6028</v>
      </c>
      <c r="E2145" t="s">
        <v>6032</v>
      </c>
      <c r="F2145" t="s">
        <v>6035</v>
      </c>
      <c r="G2145" t="s">
        <v>6072</v>
      </c>
      <c r="H2145" t="s">
        <v>6097</v>
      </c>
      <c r="I2145">
        <v>4</v>
      </c>
      <c r="J2145">
        <v>19</v>
      </c>
      <c r="K2145" t="s">
        <v>6099</v>
      </c>
      <c r="L2145" t="s">
        <v>6100</v>
      </c>
      <c r="M2145" t="s">
        <v>6099</v>
      </c>
      <c r="O2145" t="s">
        <v>6101</v>
      </c>
      <c r="P2145" t="s">
        <v>6110</v>
      </c>
      <c r="Q2145">
        <v>4</v>
      </c>
      <c r="R2145">
        <v>2026</v>
      </c>
      <c r="S2145" t="s">
        <v>6100</v>
      </c>
      <c r="T2145">
        <v>0</v>
      </c>
      <c r="U2145" t="s">
        <v>6017</v>
      </c>
      <c r="V2145">
        <v>1</v>
      </c>
    </row>
    <row r="2146" spans="1:22" x14ac:dyDescent="0.3">
      <c r="A2146" t="s">
        <v>2161</v>
      </c>
      <c r="B2146" s="2">
        <v>46113.617361111108</v>
      </c>
      <c r="C2146" s="2">
        <v>46114.671527777777</v>
      </c>
      <c r="D2146" t="s">
        <v>6026</v>
      </c>
      <c r="E2146" t="s">
        <v>6029</v>
      </c>
      <c r="F2146" t="s">
        <v>6035</v>
      </c>
      <c r="G2146" t="s">
        <v>6051</v>
      </c>
      <c r="H2146" t="s">
        <v>6097</v>
      </c>
      <c r="I2146">
        <v>4</v>
      </c>
      <c r="J2146">
        <v>25.3</v>
      </c>
      <c r="K2146" t="s">
        <v>6099</v>
      </c>
      <c r="L2146" t="s">
        <v>6100</v>
      </c>
      <c r="M2146" t="s">
        <v>6100</v>
      </c>
      <c r="N2146">
        <v>4</v>
      </c>
      <c r="O2146" t="s">
        <v>6101</v>
      </c>
      <c r="P2146" t="s">
        <v>6110</v>
      </c>
      <c r="Q2146">
        <v>4</v>
      </c>
      <c r="R2146">
        <v>2026</v>
      </c>
      <c r="S2146" t="s">
        <v>6100</v>
      </c>
      <c r="T2146">
        <v>0</v>
      </c>
      <c r="U2146" t="s">
        <v>6018</v>
      </c>
      <c r="V2146">
        <v>1</v>
      </c>
    </row>
    <row r="2147" spans="1:22" x14ac:dyDescent="0.3">
      <c r="A2147" t="s">
        <v>2162</v>
      </c>
      <c r="B2147" s="2">
        <v>46113.62222222222</v>
      </c>
      <c r="C2147" s="2">
        <v>46113.705555555556</v>
      </c>
      <c r="D2147" t="s">
        <v>6028</v>
      </c>
      <c r="E2147" t="s">
        <v>6029</v>
      </c>
      <c r="F2147" t="s">
        <v>6034</v>
      </c>
      <c r="G2147" t="s">
        <v>6072</v>
      </c>
      <c r="H2147" t="s">
        <v>6097</v>
      </c>
      <c r="I2147">
        <v>24</v>
      </c>
      <c r="J2147">
        <v>2</v>
      </c>
      <c r="K2147" t="s">
        <v>6099</v>
      </c>
      <c r="L2147" t="s">
        <v>6100</v>
      </c>
      <c r="M2147" t="s">
        <v>6100</v>
      </c>
      <c r="O2147" t="s">
        <v>6101</v>
      </c>
      <c r="P2147" t="s">
        <v>6110</v>
      </c>
      <c r="Q2147">
        <v>4</v>
      </c>
      <c r="R2147">
        <v>2026</v>
      </c>
      <c r="S2147" t="s">
        <v>6099</v>
      </c>
      <c r="T2147">
        <v>1</v>
      </c>
      <c r="U2147" t="s">
        <v>6020</v>
      </c>
      <c r="V2147">
        <v>1</v>
      </c>
    </row>
    <row r="2148" spans="1:22" x14ac:dyDescent="0.3">
      <c r="A2148" t="s">
        <v>2163</v>
      </c>
      <c r="B2148" s="2">
        <v>46113.692361111112</v>
      </c>
      <c r="C2148" s="2">
        <v>46113.984027777777</v>
      </c>
      <c r="D2148" t="s">
        <v>6028</v>
      </c>
      <c r="E2148" t="s">
        <v>6029</v>
      </c>
      <c r="F2148" t="s">
        <v>6034</v>
      </c>
      <c r="G2148" t="s">
        <v>6054</v>
      </c>
      <c r="H2148" t="s">
        <v>6096</v>
      </c>
      <c r="I2148">
        <v>24</v>
      </c>
      <c r="J2148">
        <v>7</v>
      </c>
      <c r="K2148" t="s">
        <v>6100</v>
      </c>
      <c r="L2148" t="s">
        <v>6100</v>
      </c>
      <c r="M2148" t="s">
        <v>6100</v>
      </c>
      <c r="O2148" t="s">
        <v>6101</v>
      </c>
      <c r="P2148" t="s">
        <v>6110</v>
      </c>
      <c r="Q2148">
        <v>4</v>
      </c>
      <c r="R2148">
        <v>2026</v>
      </c>
      <c r="S2148" t="s">
        <v>6099</v>
      </c>
      <c r="T2148">
        <v>1</v>
      </c>
      <c r="U2148" t="s">
        <v>6017</v>
      </c>
      <c r="V2148">
        <v>0</v>
      </c>
    </row>
    <row r="2149" spans="1:22" x14ac:dyDescent="0.3">
      <c r="A2149" t="s">
        <v>2164</v>
      </c>
      <c r="B2149" s="2">
        <v>46113.722916666666</v>
      </c>
      <c r="C2149" s="2">
        <v>46115.29791666667</v>
      </c>
      <c r="D2149" t="s">
        <v>6026</v>
      </c>
      <c r="E2149" t="s">
        <v>6029</v>
      </c>
      <c r="F2149" t="s">
        <v>6033</v>
      </c>
      <c r="G2149" t="s">
        <v>6085</v>
      </c>
      <c r="H2149" t="s">
        <v>6097</v>
      </c>
      <c r="I2149">
        <v>72</v>
      </c>
      <c r="J2149">
        <v>37.799999999999997</v>
      </c>
      <c r="K2149" t="s">
        <v>6100</v>
      </c>
      <c r="L2149" t="s">
        <v>6099</v>
      </c>
      <c r="M2149" t="s">
        <v>6100</v>
      </c>
      <c r="O2149" t="s">
        <v>6101</v>
      </c>
      <c r="P2149" t="s">
        <v>6110</v>
      </c>
      <c r="Q2149">
        <v>4</v>
      </c>
      <c r="R2149">
        <v>2026</v>
      </c>
      <c r="S2149" t="s">
        <v>6099</v>
      </c>
      <c r="T2149">
        <v>1</v>
      </c>
      <c r="U2149" t="s">
        <v>6020</v>
      </c>
      <c r="V2149">
        <v>0</v>
      </c>
    </row>
    <row r="2150" spans="1:22" x14ac:dyDescent="0.3">
      <c r="A2150" t="s">
        <v>2165</v>
      </c>
      <c r="B2150" s="2">
        <v>46113.736805555556</v>
      </c>
      <c r="C2150" s="2">
        <v>46113.928472222222</v>
      </c>
      <c r="D2150" t="s">
        <v>6023</v>
      </c>
      <c r="E2150" t="s">
        <v>6029</v>
      </c>
      <c r="F2150" t="s">
        <v>6034</v>
      </c>
      <c r="G2150" t="s">
        <v>6044</v>
      </c>
      <c r="H2150" t="s">
        <v>6097</v>
      </c>
      <c r="I2150">
        <v>24</v>
      </c>
      <c r="J2150">
        <v>4.5999999999999996</v>
      </c>
      <c r="K2150" t="s">
        <v>6099</v>
      </c>
      <c r="L2150" t="s">
        <v>6100</v>
      </c>
      <c r="M2150" t="s">
        <v>6100</v>
      </c>
      <c r="N2150">
        <v>5</v>
      </c>
      <c r="O2150" t="s">
        <v>6101</v>
      </c>
      <c r="P2150" t="s">
        <v>6110</v>
      </c>
      <c r="Q2150">
        <v>4</v>
      </c>
      <c r="R2150">
        <v>2026</v>
      </c>
      <c r="S2150" t="s">
        <v>6099</v>
      </c>
      <c r="T2150">
        <v>1</v>
      </c>
      <c r="U2150" t="s">
        <v>6021</v>
      </c>
      <c r="V2150">
        <v>1</v>
      </c>
    </row>
    <row r="2151" spans="1:22" x14ac:dyDescent="0.3">
      <c r="A2151" t="s">
        <v>2166</v>
      </c>
      <c r="B2151" s="2">
        <v>46113.742361111108</v>
      </c>
      <c r="C2151" s="2">
        <v>46113.804861111108</v>
      </c>
      <c r="D2151" t="s">
        <v>6023</v>
      </c>
      <c r="E2151" t="s">
        <v>6030</v>
      </c>
      <c r="F2151" t="s">
        <v>6033</v>
      </c>
      <c r="G2151" t="s">
        <v>6083</v>
      </c>
      <c r="H2151" t="s">
        <v>6096</v>
      </c>
      <c r="I2151">
        <v>72</v>
      </c>
      <c r="J2151">
        <v>1.5</v>
      </c>
      <c r="K2151" t="s">
        <v>6099</v>
      </c>
      <c r="L2151" t="s">
        <v>6100</v>
      </c>
      <c r="M2151" t="s">
        <v>6100</v>
      </c>
      <c r="N2151">
        <v>5</v>
      </c>
      <c r="O2151" t="s">
        <v>6101</v>
      </c>
      <c r="P2151" t="s">
        <v>6110</v>
      </c>
      <c r="Q2151">
        <v>4</v>
      </c>
      <c r="R2151">
        <v>2026</v>
      </c>
      <c r="S2151" t="s">
        <v>6099</v>
      </c>
      <c r="T2151">
        <v>1</v>
      </c>
      <c r="U2151" t="s">
        <v>6017</v>
      </c>
      <c r="V2151">
        <v>1</v>
      </c>
    </row>
    <row r="2152" spans="1:22" x14ac:dyDescent="0.3">
      <c r="A2152" t="s">
        <v>2167</v>
      </c>
      <c r="B2152" s="2">
        <v>46113.743055555555</v>
      </c>
      <c r="C2152" s="2">
        <v>46113.876388888886</v>
      </c>
      <c r="D2152" t="s">
        <v>6024</v>
      </c>
      <c r="E2152" t="s">
        <v>6030</v>
      </c>
      <c r="F2152" t="s">
        <v>6033</v>
      </c>
      <c r="G2152" t="s">
        <v>6075</v>
      </c>
      <c r="H2152" t="s">
        <v>6097</v>
      </c>
      <c r="I2152">
        <v>72</v>
      </c>
      <c r="J2152">
        <v>3.2</v>
      </c>
      <c r="K2152" t="s">
        <v>6099</v>
      </c>
      <c r="L2152" t="s">
        <v>6100</v>
      </c>
      <c r="M2152" t="s">
        <v>6100</v>
      </c>
      <c r="N2152">
        <v>5</v>
      </c>
      <c r="O2152" t="s">
        <v>6101</v>
      </c>
      <c r="P2152" t="s">
        <v>6110</v>
      </c>
      <c r="Q2152">
        <v>4</v>
      </c>
      <c r="R2152">
        <v>2026</v>
      </c>
      <c r="S2152" t="s">
        <v>6099</v>
      </c>
      <c r="T2152">
        <v>1</v>
      </c>
      <c r="U2152" t="s">
        <v>6018</v>
      </c>
      <c r="V2152">
        <v>1</v>
      </c>
    </row>
    <row r="2153" spans="1:22" x14ac:dyDescent="0.3">
      <c r="A2153" t="s">
        <v>2168</v>
      </c>
      <c r="B2153" s="2">
        <v>46113.77847222222</v>
      </c>
      <c r="C2153" s="2">
        <v>46116.307638888888</v>
      </c>
      <c r="D2153" t="s">
        <v>6026</v>
      </c>
      <c r="E2153" t="s">
        <v>6031</v>
      </c>
      <c r="F2153" t="s">
        <v>6035</v>
      </c>
      <c r="G2153" t="s">
        <v>6043</v>
      </c>
      <c r="H2153" t="s">
        <v>6097</v>
      </c>
      <c r="I2153">
        <v>4</v>
      </c>
      <c r="J2153">
        <v>60.7</v>
      </c>
      <c r="K2153" t="s">
        <v>6099</v>
      </c>
      <c r="L2153" t="s">
        <v>6100</v>
      </c>
      <c r="M2153" t="s">
        <v>6100</v>
      </c>
      <c r="N2153">
        <v>2</v>
      </c>
      <c r="O2153" t="s">
        <v>6101</v>
      </c>
      <c r="P2153" t="s">
        <v>6110</v>
      </c>
      <c r="Q2153">
        <v>4</v>
      </c>
      <c r="R2153">
        <v>2026</v>
      </c>
      <c r="S2153" t="s">
        <v>6100</v>
      </c>
      <c r="T2153">
        <v>0</v>
      </c>
      <c r="U2153" t="s">
        <v>6017</v>
      </c>
      <c r="V2153">
        <v>1</v>
      </c>
    </row>
    <row r="2154" spans="1:22" x14ac:dyDescent="0.3">
      <c r="A2154" t="s">
        <v>2169</v>
      </c>
      <c r="B2154" s="2">
        <v>46113.788194444445</v>
      </c>
      <c r="C2154" s="2">
        <v>46114.571527777778</v>
      </c>
      <c r="D2154" t="s">
        <v>6028</v>
      </c>
      <c r="E2154" t="s">
        <v>6031</v>
      </c>
      <c r="F2154" t="s">
        <v>6034</v>
      </c>
      <c r="G2154" t="s">
        <v>6091</v>
      </c>
      <c r="H2154" t="s">
        <v>6097</v>
      </c>
      <c r="I2154">
        <v>24</v>
      </c>
      <c r="J2154">
        <v>18.8</v>
      </c>
      <c r="K2154" t="s">
        <v>6099</v>
      </c>
      <c r="L2154" t="s">
        <v>6100</v>
      </c>
      <c r="M2154" t="s">
        <v>6100</v>
      </c>
      <c r="N2154">
        <v>5</v>
      </c>
      <c r="O2154" t="s">
        <v>6101</v>
      </c>
      <c r="P2154" t="s">
        <v>6110</v>
      </c>
      <c r="Q2154">
        <v>4</v>
      </c>
      <c r="R2154">
        <v>2026</v>
      </c>
      <c r="S2154" t="s">
        <v>6099</v>
      </c>
      <c r="T2154">
        <v>1</v>
      </c>
      <c r="U2154" t="s">
        <v>6019</v>
      </c>
      <c r="V2154">
        <v>1</v>
      </c>
    </row>
    <row r="2155" spans="1:22" x14ac:dyDescent="0.3">
      <c r="A2155" t="s">
        <v>2170</v>
      </c>
      <c r="B2155" s="2">
        <v>46113.790277777778</v>
      </c>
      <c r="C2155" s="2">
        <v>46114.965277777781</v>
      </c>
      <c r="D2155" t="s">
        <v>6026</v>
      </c>
      <c r="E2155" t="s">
        <v>6029</v>
      </c>
      <c r="F2155" t="s">
        <v>6034</v>
      </c>
      <c r="G2155" t="s">
        <v>6047</v>
      </c>
      <c r="H2155" t="s">
        <v>6098</v>
      </c>
      <c r="I2155">
        <v>24</v>
      </c>
      <c r="J2155">
        <v>28.2</v>
      </c>
      <c r="K2155" t="s">
        <v>6100</v>
      </c>
      <c r="L2155" t="s">
        <v>6099</v>
      </c>
      <c r="M2155" t="s">
        <v>6099</v>
      </c>
      <c r="O2155" t="s">
        <v>6101</v>
      </c>
      <c r="P2155" t="s">
        <v>6110</v>
      </c>
      <c r="Q2155">
        <v>4</v>
      </c>
      <c r="R2155">
        <v>2026</v>
      </c>
      <c r="S2155" t="s">
        <v>6100</v>
      </c>
      <c r="T2155">
        <v>0</v>
      </c>
      <c r="U2155" t="s">
        <v>6019</v>
      </c>
      <c r="V2155">
        <v>0</v>
      </c>
    </row>
    <row r="2156" spans="1:22" x14ac:dyDescent="0.3">
      <c r="A2156" t="s">
        <v>2171</v>
      </c>
      <c r="B2156" s="2">
        <v>46113.79791666667</v>
      </c>
      <c r="C2156" s="2">
        <v>46114.964583333334</v>
      </c>
      <c r="D2156" t="s">
        <v>6022</v>
      </c>
      <c r="E2156" t="s">
        <v>6029</v>
      </c>
      <c r="F2156" t="s">
        <v>6033</v>
      </c>
      <c r="G2156" t="s">
        <v>6040</v>
      </c>
      <c r="H2156" t="s">
        <v>6097</v>
      </c>
      <c r="I2156">
        <v>72</v>
      </c>
      <c r="J2156">
        <v>28</v>
      </c>
      <c r="K2156" t="s">
        <v>6100</v>
      </c>
      <c r="L2156" t="s">
        <v>6100</v>
      </c>
      <c r="M2156" t="s">
        <v>6100</v>
      </c>
      <c r="O2156" t="s">
        <v>6101</v>
      </c>
      <c r="P2156" t="s">
        <v>6110</v>
      </c>
      <c r="Q2156">
        <v>4</v>
      </c>
      <c r="R2156">
        <v>2026</v>
      </c>
      <c r="S2156" t="s">
        <v>6099</v>
      </c>
      <c r="T2156">
        <v>1</v>
      </c>
      <c r="U2156" t="s">
        <v>6021</v>
      </c>
      <c r="V2156">
        <v>0</v>
      </c>
    </row>
    <row r="2157" spans="1:22" x14ac:dyDescent="0.3">
      <c r="A2157" t="s">
        <v>2172</v>
      </c>
      <c r="B2157" s="2">
        <v>46113.870833333334</v>
      </c>
      <c r="C2157" s="2">
        <v>46118.35</v>
      </c>
      <c r="D2157" t="s">
        <v>6022</v>
      </c>
      <c r="E2157" t="s">
        <v>6031</v>
      </c>
      <c r="F2157" t="s">
        <v>6033</v>
      </c>
      <c r="G2157" t="s">
        <v>6069</v>
      </c>
      <c r="H2157" t="s">
        <v>6098</v>
      </c>
      <c r="I2157">
        <v>72</v>
      </c>
      <c r="J2157">
        <v>107.5</v>
      </c>
      <c r="K2157" t="s">
        <v>6100</v>
      </c>
      <c r="L2157" t="s">
        <v>6100</v>
      </c>
      <c r="M2157" t="s">
        <v>6100</v>
      </c>
      <c r="N2157">
        <v>4</v>
      </c>
      <c r="O2157" t="s">
        <v>6101</v>
      </c>
      <c r="P2157" t="s">
        <v>6110</v>
      </c>
      <c r="Q2157">
        <v>4</v>
      </c>
      <c r="R2157">
        <v>2026</v>
      </c>
      <c r="S2157" t="s">
        <v>6100</v>
      </c>
      <c r="T2157">
        <v>0</v>
      </c>
      <c r="U2157" t="s">
        <v>6019</v>
      </c>
      <c r="V2157">
        <v>0</v>
      </c>
    </row>
    <row r="2158" spans="1:22" x14ac:dyDescent="0.3">
      <c r="A2158" t="s">
        <v>2173</v>
      </c>
      <c r="B2158" s="2">
        <v>46114.270833333336</v>
      </c>
      <c r="C2158" s="2">
        <v>46114.845833333333</v>
      </c>
      <c r="D2158" t="s">
        <v>6022</v>
      </c>
      <c r="E2158" t="s">
        <v>6029</v>
      </c>
      <c r="F2158" t="s">
        <v>6033</v>
      </c>
      <c r="G2158" t="s">
        <v>6050</v>
      </c>
      <c r="H2158" t="s">
        <v>6098</v>
      </c>
      <c r="I2158">
        <v>72</v>
      </c>
      <c r="J2158">
        <v>13.8</v>
      </c>
      <c r="K2158" t="s">
        <v>6100</v>
      </c>
      <c r="L2158" t="s">
        <v>6100</v>
      </c>
      <c r="M2158" t="s">
        <v>6100</v>
      </c>
      <c r="O2158" t="s">
        <v>6101</v>
      </c>
      <c r="P2158" t="s">
        <v>6110</v>
      </c>
      <c r="Q2158">
        <v>4</v>
      </c>
      <c r="R2158">
        <v>2026</v>
      </c>
      <c r="S2158" t="s">
        <v>6099</v>
      </c>
      <c r="T2158">
        <v>1</v>
      </c>
      <c r="U2158" t="s">
        <v>6018</v>
      </c>
      <c r="V2158">
        <v>0</v>
      </c>
    </row>
    <row r="2159" spans="1:22" x14ac:dyDescent="0.3">
      <c r="A2159" t="s">
        <v>2174</v>
      </c>
      <c r="B2159" s="2">
        <v>46114.296527777777</v>
      </c>
      <c r="C2159" s="2">
        <v>46115.188194444447</v>
      </c>
      <c r="D2159" t="s">
        <v>6028</v>
      </c>
      <c r="E2159" t="s">
        <v>6031</v>
      </c>
      <c r="F2159" t="s">
        <v>6035</v>
      </c>
      <c r="G2159" t="s">
        <v>6079</v>
      </c>
      <c r="H2159" t="s">
        <v>6097</v>
      </c>
      <c r="I2159">
        <v>4</v>
      </c>
      <c r="J2159">
        <v>21.4</v>
      </c>
      <c r="K2159" t="s">
        <v>6099</v>
      </c>
      <c r="L2159" t="s">
        <v>6100</v>
      </c>
      <c r="M2159" t="s">
        <v>6099</v>
      </c>
      <c r="N2159">
        <v>4</v>
      </c>
      <c r="O2159" t="s">
        <v>6101</v>
      </c>
      <c r="P2159" t="s">
        <v>6110</v>
      </c>
      <c r="Q2159">
        <v>4</v>
      </c>
      <c r="R2159">
        <v>2026</v>
      </c>
      <c r="S2159" t="s">
        <v>6100</v>
      </c>
      <c r="T2159">
        <v>0</v>
      </c>
      <c r="U2159" t="s">
        <v>6018</v>
      </c>
      <c r="V2159">
        <v>1</v>
      </c>
    </row>
    <row r="2160" spans="1:22" x14ac:dyDescent="0.3">
      <c r="A2160" t="s">
        <v>2175</v>
      </c>
      <c r="B2160" s="2">
        <v>46114.318055555559</v>
      </c>
      <c r="C2160" s="2">
        <v>46114.884722222225</v>
      </c>
      <c r="D2160" t="s">
        <v>6025</v>
      </c>
      <c r="E2160" t="s">
        <v>6031</v>
      </c>
      <c r="F2160" t="s">
        <v>6034</v>
      </c>
      <c r="G2160" t="s">
        <v>6093</v>
      </c>
      <c r="H2160" t="s">
        <v>6097</v>
      </c>
      <c r="I2160">
        <v>24</v>
      </c>
      <c r="J2160">
        <v>13.6</v>
      </c>
      <c r="K2160" t="s">
        <v>6099</v>
      </c>
      <c r="L2160" t="s">
        <v>6100</v>
      </c>
      <c r="M2160" t="s">
        <v>6100</v>
      </c>
      <c r="N2160">
        <v>5</v>
      </c>
      <c r="O2160" t="s">
        <v>6101</v>
      </c>
      <c r="P2160" t="s">
        <v>6110</v>
      </c>
      <c r="Q2160">
        <v>4</v>
      </c>
      <c r="R2160">
        <v>2026</v>
      </c>
      <c r="S2160" t="s">
        <v>6099</v>
      </c>
      <c r="T2160">
        <v>1</v>
      </c>
      <c r="U2160" t="s">
        <v>6019</v>
      </c>
      <c r="V2160">
        <v>1</v>
      </c>
    </row>
    <row r="2161" spans="1:22" x14ac:dyDescent="0.3">
      <c r="A2161" t="s">
        <v>2176</v>
      </c>
      <c r="B2161" s="2">
        <v>46114.349305555559</v>
      </c>
      <c r="C2161" s="2">
        <v>46114.657638888886</v>
      </c>
      <c r="D2161" t="s">
        <v>6027</v>
      </c>
      <c r="E2161" t="s">
        <v>6029</v>
      </c>
      <c r="F2161" t="s">
        <v>6033</v>
      </c>
      <c r="G2161" t="s">
        <v>6039</v>
      </c>
      <c r="H2161" t="s">
        <v>6097</v>
      </c>
      <c r="I2161">
        <v>72</v>
      </c>
      <c r="J2161">
        <v>7.4</v>
      </c>
      <c r="K2161" t="s">
        <v>6100</v>
      </c>
      <c r="L2161" t="s">
        <v>6099</v>
      </c>
      <c r="M2161" t="s">
        <v>6099</v>
      </c>
      <c r="O2161" t="s">
        <v>6101</v>
      </c>
      <c r="P2161" t="s">
        <v>6110</v>
      </c>
      <c r="Q2161">
        <v>4</v>
      </c>
      <c r="R2161">
        <v>2026</v>
      </c>
      <c r="S2161" t="s">
        <v>6099</v>
      </c>
      <c r="T2161">
        <v>1</v>
      </c>
      <c r="U2161" t="s">
        <v>6019</v>
      </c>
      <c r="V2161">
        <v>0</v>
      </c>
    </row>
    <row r="2162" spans="1:22" x14ac:dyDescent="0.3">
      <c r="A2162" t="s">
        <v>2177</v>
      </c>
      <c r="B2162" s="2">
        <v>46114.413888888892</v>
      </c>
      <c r="C2162" s="2">
        <v>46118.038888888892</v>
      </c>
      <c r="D2162" t="s">
        <v>6025</v>
      </c>
      <c r="E2162" t="s">
        <v>6031</v>
      </c>
      <c r="F2162" t="s">
        <v>6034</v>
      </c>
      <c r="G2162" t="s">
        <v>6062</v>
      </c>
      <c r="H2162" t="s">
        <v>6096</v>
      </c>
      <c r="I2162">
        <v>24</v>
      </c>
      <c r="J2162">
        <v>87</v>
      </c>
      <c r="K2162" t="s">
        <v>6099</v>
      </c>
      <c r="L2162" t="s">
        <v>6100</v>
      </c>
      <c r="M2162" t="s">
        <v>6100</v>
      </c>
      <c r="N2162">
        <v>4</v>
      </c>
      <c r="O2162" t="s">
        <v>6101</v>
      </c>
      <c r="P2162" t="s">
        <v>6110</v>
      </c>
      <c r="Q2162">
        <v>4</v>
      </c>
      <c r="R2162">
        <v>2026</v>
      </c>
      <c r="S2162" t="s">
        <v>6100</v>
      </c>
      <c r="T2162">
        <v>0</v>
      </c>
      <c r="U2162" t="s">
        <v>6021</v>
      </c>
      <c r="V2162">
        <v>1</v>
      </c>
    </row>
    <row r="2163" spans="1:22" x14ac:dyDescent="0.3">
      <c r="A2163" t="s">
        <v>2178</v>
      </c>
      <c r="B2163" s="2">
        <v>46114.418749999997</v>
      </c>
      <c r="C2163" s="2">
        <v>46114.96875</v>
      </c>
      <c r="D2163" t="s">
        <v>6022</v>
      </c>
      <c r="E2163" t="s">
        <v>6029</v>
      </c>
      <c r="F2163" t="s">
        <v>6034</v>
      </c>
      <c r="G2163" t="s">
        <v>6085</v>
      </c>
      <c r="H2163" t="s">
        <v>6097</v>
      </c>
      <c r="I2163">
        <v>24</v>
      </c>
      <c r="J2163">
        <v>13.2</v>
      </c>
      <c r="K2163" t="s">
        <v>6099</v>
      </c>
      <c r="L2163" t="s">
        <v>6100</v>
      </c>
      <c r="M2163" t="s">
        <v>6100</v>
      </c>
      <c r="N2163">
        <v>5</v>
      </c>
      <c r="O2163" t="s">
        <v>6101</v>
      </c>
      <c r="P2163" t="s">
        <v>6110</v>
      </c>
      <c r="Q2163">
        <v>4</v>
      </c>
      <c r="R2163">
        <v>2026</v>
      </c>
      <c r="S2163" t="s">
        <v>6099</v>
      </c>
      <c r="T2163">
        <v>1</v>
      </c>
      <c r="U2163" t="s">
        <v>6019</v>
      </c>
      <c r="V2163">
        <v>1</v>
      </c>
    </row>
    <row r="2164" spans="1:22" x14ac:dyDescent="0.3">
      <c r="A2164" t="s">
        <v>2179</v>
      </c>
      <c r="B2164" s="2">
        <v>46114.446527777778</v>
      </c>
      <c r="C2164" s="2">
        <v>46114.625694444447</v>
      </c>
      <c r="D2164" t="s">
        <v>6023</v>
      </c>
      <c r="E2164" t="s">
        <v>6029</v>
      </c>
      <c r="F2164" t="s">
        <v>6033</v>
      </c>
      <c r="G2164" t="s">
        <v>6063</v>
      </c>
      <c r="H2164" t="s">
        <v>6097</v>
      </c>
      <c r="I2164">
        <v>72</v>
      </c>
      <c r="J2164">
        <v>4.3</v>
      </c>
      <c r="K2164" t="s">
        <v>6100</v>
      </c>
      <c r="L2164" t="s">
        <v>6100</v>
      </c>
      <c r="M2164" t="s">
        <v>6100</v>
      </c>
      <c r="O2164" t="s">
        <v>6101</v>
      </c>
      <c r="P2164" t="s">
        <v>6110</v>
      </c>
      <c r="Q2164">
        <v>4</v>
      </c>
      <c r="R2164">
        <v>2026</v>
      </c>
      <c r="S2164" t="s">
        <v>6099</v>
      </c>
      <c r="T2164">
        <v>1</v>
      </c>
      <c r="U2164" t="s">
        <v>6018</v>
      </c>
      <c r="V2164">
        <v>0</v>
      </c>
    </row>
    <row r="2165" spans="1:22" x14ac:dyDescent="0.3">
      <c r="A2165" t="s">
        <v>2180</v>
      </c>
      <c r="B2165" s="2">
        <v>46114.459027777775</v>
      </c>
      <c r="C2165" s="2">
        <v>46115.104861111111</v>
      </c>
      <c r="D2165" t="s">
        <v>6023</v>
      </c>
      <c r="E2165" t="s">
        <v>6029</v>
      </c>
      <c r="F2165" t="s">
        <v>6033</v>
      </c>
      <c r="G2165" t="s">
        <v>6068</v>
      </c>
      <c r="H2165" t="s">
        <v>6098</v>
      </c>
      <c r="I2165">
        <v>72</v>
      </c>
      <c r="J2165">
        <v>15.5</v>
      </c>
      <c r="K2165" t="s">
        <v>6099</v>
      </c>
      <c r="L2165" t="s">
        <v>6100</v>
      </c>
      <c r="M2165" t="s">
        <v>6100</v>
      </c>
      <c r="N2165">
        <v>5</v>
      </c>
      <c r="O2165" t="s">
        <v>6101</v>
      </c>
      <c r="P2165" t="s">
        <v>6110</v>
      </c>
      <c r="Q2165">
        <v>4</v>
      </c>
      <c r="R2165">
        <v>2026</v>
      </c>
      <c r="S2165" t="s">
        <v>6099</v>
      </c>
      <c r="T2165">
        <v>1</v>
      </c>
      <c r="U2165" t="s">
        <v>6018</v>
      </c>
      <c r="V2165">
        <v>1</v>
      </c>
    </row>
    <row r="2166" spans="1:22" x14ac:dyDescent="0.3">
      <c r="A2166" t="s">
        <v>2181</v>
      </c>
      <c r="B2166" s="2">
        <v>46114.476388888892</v>
      </c>
      <c r="C2166" s="2">
        <v>46114.643055555556</v>
      </c>
      <c r="D2166" t="s">
        <v>6028</v>
      </c>
      <c r="E2166" t="s">
        <v>6029</v>
      </c>
      <c r="F2166" t="s">
        <v>6035</v>
      </c>
      <c r="G2166" t="s">
        <v>6055</v>
      </c>
      <c r="H2166" t="s">
        <v>6096</v>
      </c>
      <c r="I2166">
        <v>4</v>
      </c>
      <c r="J2166">
        <v>4</v>
      </c>
      <c r="K2166" t="s">
        <v>6099</v>
      </c>
      <c r="L2166" t="s">
        <v>6100</v>
      </c>
      <c r="M2166" t="s">
        <v>6100</v>
      </c>
      <c r="N2166">
        <v>5</v>
      </c>
      <c r="O2166" t="s">
        <v>6101</v>
      </c>
      <c r="P2166" t="s">
        <v>6110</v>
      </c>
      <c r="Q2166">
        <v>4</v>
      </c>
      <c r="R2166">
        <v>2026</v>
      </c>
      <c r="S2166" t="s">
        <v>6099</v>
      </c>
      <c r="T2166">
        <v>1</v>
      </c>
      <c r="U2166" t="s">
        <v>6017</v>
      </c>
      <c r="V2166">
        <v>1</v>
      </c>
    </row>
    <row r="2167" spans="1:22" x14ac:dyDescent="0.3">
      <c r="A2167" t="s">
        <v>2182</v>
      </c>
      <c r="B2167" s="2">
        <v>46114.495138888888</v>
      </c>
      <c r="C2167" s="2">
        <v>46115.270138888889</v>
      </c>
      <c r="D2167" t="s">
        <v>6028</v>
      </c>
      <c r="E2167" t="s">
        <v>6031</v>
      </c>
      <c r="F2167" t="s">
        <v>6035</v>
      </c>
      <c r="G2167" t="s">
        <v>6067</v>
      </c>
      <c r="H2167" t="s">
        <v>6098</v>
      </c>
      <c r="I2167">
        <v>4</v>
      </c>
      <c r="J2167">
        <v>18.600000000000001</v>
      </c>
      <c r="K2167" t="s">
        <v>6100</v>
      </c>
      <c r="L2167" t="s">
        <v>6099</v>
      </c>
      <c r="M2167" t="s">
        <v>6099</v>
      </c>
      <c r="N2167">
        <v>1</v>
      </c>
      <c r="O2167" t="s">
        <v>6101</v>
      </c>
      <c r="P2167" t="s">
        <v>6110</v>
      </c>
      <c r="Q2167">
        <v>4</v>
      </c>
      <c r="R2167">
        <v>2026</v>
      </c>
      <c r="S2167" t="s">
        <v>6100</v>
      </c>
      <c r="T2167">
        <v>0</v>
      </c>
      <c r="U2167" t="s">
        <v>6021</v>
      </c>
      <c r="V2167">
        <v>0</v>
      </c>
    </row>
    <row r="2168" spans="1:22" x14ac:dyDescent="0.3">
      <c r="A2168" t="s">
        <v>2183</v>
      </c>
      <c r="B2168" s="2">
        <v>46114.511111111111</v>
      </c>
      <c r="C2168" s="2">
        <v>46114.777777777781</v>
      </c>
      <c r="D2168" t="s">
        <v>6028</v>
      </c>
      <c r="E2168" t="s">
        <v>6029</v>
      </c>
      <c r="F2168" t="s">
        <v>6035</v>
      </c>
      <c r="G2168" t="s">
        <v>6070</v>
      </c>
      <c r="H2168" t="s">
        <v>6097</v>
      </c>
      <c r="I2168">
        <v>4</v>
      </c>
      <c r="J2168">
        <v>6.4</v>
      </c>
      <c r="K2168" t="s">
        <v>6099</v>
      </c>
      <c r="L2168" t="s">
        <v>6100</v>
      </c>
      <c r="M2168" t="s">
        <v>6100</v>
      </c>
      <c r="N2168">
        <v>4</v>
      </c>
      <c r="O2168" t="s">
        <v>6101</v>
      </c>
      <c r="P2168" t="s">
        <v>6110</v>
      </c>
      <c r="Q2168">
        <v>4</v>
      </c>
      <c r="R2168">
        <v>2026</v>
      </c>
      <c r="S2168" t="s">
        <v>6100</v>
      </c>
      <c r="T2168">
        <v>0</v>
      </c>
      <c r="U2168" t="s">
        <v>6018</v>
      </c>
      <c r="V2168">
        <v>1</v>
      </c>
    </row>
    <row r="2169" spans="1:22" x14ac:dyDescent="0.3">
      <c r="A2169" t="s">
        <v>2184</v>
      </c>
      <c r="B2169" s="2">
        <v>46114.548611111109</v>
      </c>
      <c r="C2169" s="2">
        <v>46116.681944444441</v>
      </c>
      <c r="D2169" t="s">
        <v>6025</v>
      </c>
      <c r="E2169" t="s">
        <v>6031</v>
      </c>
      <c r="F2169" t="s">
        <v>6034</v>
      </c>
      <c r="G2169" t="s">
        <v>6066</v>
      </c>
      <c r="H2169" t="s">
        <v>6096</v>
      </c>
      <c r="I2169">
        <v>24</v>
      </c>
      <c r="J2169">
        <v>51.2</v>
      </c>
      <c r="K2169" t="s">
        <v>6100</v>
      </c>
      <c r="L2169" t="s">
        <v>6099</v>
      </c>
      <c r="M2169" t="s">
        <v>6100</v>
      </c>
      <c r="N2169">
        <v>2</v>
      </c>
      <c r="O2169" t="s">
        <v>6101</v>
      </c>
      <c r="P2169" t="s">
        <v>6110</v>
      </c>
      <c r="Q2169">
        <v>4</v>
      </c>
      <c r="R2169">
        <v>2026</v>
      </c>
      <c r="S2169" t="s">
        <v>6100</v>
      </c>
      <c r="T2169">
        <v>0</v>
      </c>
      <c r="U2169" t="s">
        <v>6019</v>
      </c>
      <c r="V2169">
        <v>0</v>
      </c>
    </row>
    <row r="2170" spans="1:22" x14ac:dyDescent="0.3">
      <c r="A2170" t="s">
        <v>2185</v>
      </c>
      <c r="B2170" s="2">
        <v>46114.566666666666</v>
      </c>
      <c r="C2170" s="2">
        <v>46114.866666666669</v>
      </c>
      <c r="D2170" t="s">
        <v>6023</v>
      </c>
      <c r="E2170" t="s">
        <v>6032</v>
      </c>
      <c r="F2170" t="s">
        <v>6034</v>
      </c>
      <c r="G2170" t="s">
        <v>6067</v>
      </c>
      <c r="H2170" t="s">
        <v>6098</v>
      </c>
      <c r="I2170">
        <v>24</v>
      </c>
      <c r="J2170">
        <v>7.2</v>
      </c>
      <c r="K2170" t="s">
        <v>6100</v>
      </c>
      <c r="L2170" t="s">
        <v>6100</v>
      </c>
      <c r="M2170" t="s">
        <v>6100</v>
      </c>
      <c r="N2170">
        <v>5</v>
      </c>
      <c r="O2170" t="s">
        <v>6101</v>
      </c>
      <c r="P2170" t="s">
        <v>6110</v>
      </c>
      <c r="Q2170">
        <v>4</v>
      </c>
      <c r="R2170">
        <v>2026</v>
      </c>
      <c r="S2170" t="s">
        <v>6099</v>
      </c>
      <c r="T2170">
        <v>1</v>
      </c>
      <c r="U2170" t="s">
        <v>6019</v>
      </c>
      <c r="V2170">
        <v>0</v>
      </c>
    </row>
    <row r="2171" spans="1:22" x14ac:dyDescent="0.3">
      <c r="A2171" t="s">
        <v>2186</v>
      </c>
      <c r="B2171" s="2">
        <v>46114.573611111111</v>
      </c>
      <c r="C2171" s="2">
        <v>46115.356944444444</v>
      </c>
      <c r="D2171" t="s">
        <v>6022</v>
      </c>
      <c r="E2171" t="s">
        <v>6032</v>
      </c>
      <c r="F2171" t="s">
        <v>6035</v>
      </c>
      <c r="G2171" t="s">
        <v>6087</v>
      </c>
      <c r="H2171" t="s">
        <v>6098</v>
      </c>
      <c r="I2171">
        <v>4</v>
      </c>
      <c r="J2171">
        <v>18.8</v>
      </c>
      <c r="K2171" t="s">
        <v>6099</v>
      </c>
      <c r="L2171" t="s">
        <v>6100</v>
      </c>
      <c r="M2171" t="s">
        <v>6099</v>
      </c>
      <c r="N2171">
        <v>4</v>
      </c>
      <c r="O2171" t="s">
        <v>6101</v>
      </c>
      <c r="P2171" t="s">
        <v>6110</v>
      </c>
      <c r="Q2171">
        <v>4</v>
      </c>
      <c r="R2171">
        <v>2026</v>
      </c>
      <c r="S2171" t="s">
        <v>6100</v>
      </c>
      <c r="T2171">
        <v>0</v>
      </c>
      <c r="U2171" t="s">
        <v>6019</v>
      </c>
      <c r="V2171">
        <v>1</v>
      </c>
    </row>
    <row r="2172" spans="1:22" x14ac:dyDescent="0.3">
      <c r="A2172" t="s">
        <v>2187</v>
      </c>
      <c r="B2172" s="2">
        <v>46114.57708333333</v>
      </c>
      <c r="C2172" s="2">
        <v>46116.489583333336</v>
      </c>
      <c r="D2172" t="s">
        <v>6028</v>
      </c>
      <c r="E2172" t="s">
        <v>6031</v>
      </c>
      <c r="F2172" t="s">
        <v>6033</v>
      </c>
      <c r="G2172" t="s">
        <v>6045</v>
      </c>
      <c r="H2172" t="s">
        <v>6096</v>
      </c>
      <c r="I2172">
        <v>72</v>
      </c>
      <c r="J2172">
        <v>45.9</v>
      </c>
      <c r="K2172" t="s">
        <v>6099</v>
      </c>
      <c r="L2172" t="s">
        <v>6100</v>
      </c>
      <c r="M2172" t="s">
        <v>6100</v>
      </c>
      <c r="N2172">
        <v>5</v>
      </c>
      <c r="O2172" t="s">
        <v>6101</v>
      </c>
      <c r="P2172" t="s">
        <v>6110</v>
      </c>
      <c r="Q2172">
        <v>4</v>
      </c>
      <c r="R2172">
        <v>2026</v>
      </c>
      <c r="S2172" t="s">
        <v>6099</v>
      </c>
      <c r="T2172">
        <v>1</v>
      </c>
      <c r="U2172" t="s">
        <v>6020</v>
      </c>
      <c r="V2172">
        <v>1</v>
      </c>
    </row>
    <row r="2173" spans="1:22" x14ac:dyDescent="0.3">
      <c r="A2173" t="s">
        <v>2188</v>
      </c>
      <c r="B2173" s="2">
        <v>46114.586111111108</v>
      </c>
      <c r="C2173" s="2">
        <v>46119.452777777777</v>
      </c>
      <c r="D2173" t="s">
        <v>6026</v>
      </c>
      <c r="E2173" t="s">
        <v>6031</v>
      </c>
      <c r="F2173" t="s">
        <v>6033</v>
      </c>
      <c r="G2173" t="s">
        <v>6069</v>
      </c>
      <c r="H2173" t="s">
        <v>6098</v>
      </c>
      <c r="I2173">
        <v>72</v>
      </c>
      <c r="J2173">
        <v>116.8</v>
      </c>
      <c r="K2173" t="s">
        <v>6100</v>
      </c>
      <c r="L2173" t="s">
        <v>6100</v>
      </c>
      <c r="M2173" t="s">
        <v>6100</v>
      </c>
      <c r="O2173" t="s">
        <v>6101</v>
      </c>
      <c r="P2173" t="s">
        <v>6110</v>
      </c>
      <c r="Q2173">
        <v>4</v>
      </c>
      <c r="R2173">
        <v>2026</v>
      </c>
      <c r="S2173" t="s">
        <v>6100</v>
      </c>
      <c r="T2173">
        <v>0</v>
      </c>
      <c r="U2173" t="s">
        <v>6019</v>
      </c>
      <c r="V2173">
        <v>0</v>
      </c>
    </row>
    <row r="2174" spans="1:22" x14ac:dyDescent="0.3">
      <c r="A2174" t="s">
        <v>2189</v>
      </c>
      <c r="B2174" s="2">
        <v>46114.605555555558</v>
      </c>
      <c r="C2174" s="2">
        <v>46115.213888888888</v>
      </c>
      <c r="D2174" t="s">
        <v>6027</v>
      </c>
      <c r="E2174" t="s">
        <v>6029</v>
      </c>
      <c r="F2174" t="s">
        <v>6035</v>
      </c>
      <c r="G2174" t="s">
        <v>6036</v>
      </c>
      <c r="H2174" t="s">
        <v>6096</v>
      </c>
      <c r="I2174">
        <v>4</v>
      </c>
      <c r="J2174">
        <v>14.6</v>
      </c>
      <c r="K2174" t="s">
        <v>6099</v>
      </c>
      <c r="L2174" t="s">
        <v>6100</v>
      </c>
      <c r="M2174" t="s">
        <v>6100</v>
      </c>
      <c r="N2174">
        <v>5</v>
      </c>
      <c r="O2174" t="s">
        <v>6101</v>
      </c>
      <c r="P2174" t="s">
        <v>6110</v>
      </c>
      <c r="Q2174">
        <v>4</v>
      </c>
      <c r="R2174">
        <v>2026</v>
      </c>
      <c r="S2174" t="s">
        <v>6100</v>
      </c>
      <c r="T2174">
        <v>0</v>
      </c>
      <c r="U2174" t="s">
        <v>6018</v>
      </c>
      <c r="V2174">
        <v>1</v>
      </c>
    </row>
    <row r="2175" spans="1:22" x14ac:dyDescent="0.3">
      <c r="A2175" t="s">
        <v>2190</v>
      </c>
      <c r="B2175" s="2">
        <v>46114.666666666664</v>
      </c>
      <c r="C2175" s="2">
        <v>46114.779166666667</v>
      </c>
      <c r="D2175" t="s">
        <v>6028</v>
      </c>
      <c r="E2175" t="s">
        <v>6029</v>
      </c>
      <c r="F2175" t="s">
        <v>6033</v>
      </c>
      <c r="G2175" t="s">
        <v>6046</v>
      </c>
      <c r="H2175" t="s">
        <v>6098</v>
      </c>
      <c r="I2175">
        <v>72</v>
      </c>
      <c r="J2175">
        <v>2.7</v>
      </c>
      <c r="K2175" t="s">
        <v>6099</v>
      </c>
      <c r="L2175" t="s">
        <v>6100</v>
      </c>
      <c r="M2175" t="s">
        <v>6100</v>
      </c>
      <c r="N2175">
        <v>4</v>
      </c>
      <c r="O2175" t="s">
        <v>6101</v>
      </c>
      <c r="P2175" t="s">
        <v>6110</v>
      </c>
      <c r="Q2175">
        <v>4</v>
      </c>
      <c r="R2175">
        <v>2026</v>
      </c>
      <c r="S2175" t="s">
        <v>6099</v>
      </c>
      <c r="T2175">
        <v>1</v>
      </c>
      <c r="U2175" t="s">
        <v>6020</v>
      </c>
      <c r="V2175">
        <v>1</v>
      </c>
    </row>
    <row r="2176" spans="1:22" x14ac:dyDescent="0.3">
      <c r="A2176" t="s">
        <v>2191</v>
      </c>
      <c r="B2176" s="2">
        <v>46114.68472222222</v>
      </c>
      <c r="C2176" s="2">
        <v>46120.343055555553</v>
      </c>
      <c r="D2176" t="s">
        <v>6026</v>
      </c>
      <c r="E2176" t="s">
        <v>6031</v>
      </c>
      <c r="F2176" t="s">
        <v>6034</v>
      </c>
      <c r="G2176" t="s">
        <v>6049</v>
      </c>
      <c r="H2176" t="s">
        <v>6097</v>
      </c>
      <c r="I2176">
        <v>24</v>
      </c>
      <c r="J2176">
        <v>135.80000000000001</v>
      </c>
      <c r="K2176" t="s">
        <v>6099</v>
      </c>
      <c r="L2176" t="s">
        <v>6100</v>
      </c>
      <c r="M2176" t="s">
        <v>6100</v>
      </c>
      <c r="N2176">
        <v>4</v>
      </c>
      <c r="O2176" t="s">
        <v>6101</v>
      </c>
      <c r="P2176" t="s">
        <v>6110</v>
      </c>
      <c r="Q2176">
        <v>4</v>
      </c>
      <c r="R2176">
        <v>2026</v>
      </c>
      <c r="S2176" t="s">
        <v>6100</v>
      </c>
      <c r="T2176">
        <v>0</v>
      </c>
      <c r="U2176" t="s">
        <v>6018</v>
      </c>
      <c r="V2176">
        <v>1</v>
      </c>
    </row>
    <row r="2177" spans="1:22" x14ac:dyDescent="0.3">
      <c r="A2177" t="s">
        <v>2192</v>
      </c>
      <c r="B2177" s="2">
        <v>46114.768055555556</v>
      </c>
      <c r="C2177" s="2">
        <v>46117.49722222222</v>
      </c>
      <c r="D2177" t="s">
        <v>6026</v>
      </c>
      <c r="E2177" t="s">
        <v>6031</v>
      </c>
      <c r="F2177" t="s">
        <v>6033</v>
      </c>
      <c r="G2177" t="s">
        <v>6063</v>
      </c>
      <c r="H2177" t="s">
        <v>6097</v>
      </c>
      <c r="I2177">
        <v>72</v>
      </c>
      <c r="J2177">
        <v>65.5</v>
      </c>
      <c r="K2177" t="s">
        <v>6100</v>
      </c>
      <c r="L2177" t="s">
        <v>6099</v>
      </c>
      <c r="M2177" t="s">
        <v>6100</v>
      </c>
      <c r="N2177">
        <v>5</v>
      </c>
      <c r="O2177" t="s">
        <v>6101</v>
      </c>
      <c r="P2177" t="s">
        <v>6110</v>
      </c>
      <c r="Q2177">
        <v>4</v>
      </c>
      <c r="R2177">
        <v>2026</v>
      </c>
      <c r="S2177" t="s">
        <v>6099</v>
      </c>
      <c r="T2177">
        <v>1</v>
      </c>
      <c r="U2177" t="s">
        <v>6017</v>
      </c>
      <c r="V2177">
        <v>0</v>
      </c>
    </row>
    <row r="2178" spans="1:22" x14ac:dyDescent="0.3">
      <c r="A2178" t="s">
        <v>2193</v>
      </c>
      <c r="B2178" s="2">
        <v>46114.813194444447</v>
      </c>
      <c r="C2178" s="2">
        <v>46115.013194444444</v>
      </c>
      <c r="D2178" t="s">
        <v>6027</v>
      </c>
      <c r="E2178" t="s">
        <v>6029</v>
      </c>
      <c r="F2178" t="s">
        <v>6033</v>
      </c>
      <c r="G2178" t="s">
        <v>6095</v>
      </c>
      <c r="H2178" t="s">
        <v>6098</v>
      </c>
      <c r="I2178">
        <v>72</v>
      </c>
      <c r="J2178">
        <v>4.8</v>
      </c>
      <c r="K2178" t="s">
        <v>6100</v>
      </c>
      <c r="L2178" t="s">
        <v>6099</v>
      </c>
      <c r="M2178" t="s">
        <v>6100</v>
      </c>
      <c r="N2178">
        <v>3</v>
      </c>
      <c r="O2178" t="s">
        <v>6101</v>
      </c>
      <c r="P2178" t="s">
        <v>6110</v>
      </c>
      <c r="Q2178">
        <v>4</v>
      </c>
      <c r="R2178">
        <v>2026</v>
      </c>
      <c r="S2178" t="s">
        <v>6099</v>
      </c>
      <c r="T2178">
        <v>1</v>
      </c>
      <c r="U2178" t="s">
        <v>6020</v>
      </c>
      <c r="V2178">
        <v>0</v>
      </c>
    </row>
    <row r="2179" spans="1:22" x14ac:dyDescent="0.3">
      <c r="A2179" t="s">
        <v>2194</v>
      </c>
      <c r="B2179" s="2">
        <v>46114.859722222223</v>
      </c>
      <c r="C2179" s="2">
        <v>46116.118055555555</v>
      </c>
      <c r="D2179" t="s">
        <v>6025</v>
      </c>
      <c r="E2179" t="s">
        <v>6029</v>
      </c>
      <c r="F2179" t="s">
        <v>6033</v>
      </c>
      <c r="G2179" t="s">
        <v>6065</v>
      </c>
      <c r="H2179" t="s">
        <v>6097</v>
      </c>
      <c r="I2179">
        <v>72</v>
      </c>
      <c r="J2179">
        <v>30.2</v>
      </c>
      <c r="K2179" t="s">
        <v>6099</v>
      </c>
      <c r="L2179" t="s">
        <v>6100</v>
      </c>
      <c r="M2179" t="s">
        <v>6100</v>
      </c>
      <c r="O2179" t="s">
        <v>6101</v>
      </c>
      <c r="P2179" t="s">
        <v>6110</v>
      </c>
      <c r="Q2179">
        <v>4</v>
      </c>
      <c r="R2179">
        <v>2026</v>
      </c>
      <c r="S2179" t="s">
        <v>6099</v>
      </c>
      <c r="T2179">
        <v>1</v>
      </c>
      <c r="U2179" t="s">
        <v>6019</v>
      </c>
      <c r="V2179">
        <v>1</v>
      </c>
    </row>
    <row r="2180" spans="1:22" x14ac:dyDescent="0.3">
      <c r="A2180" t="s">
        <v>2195</v>
      </c>
      <c r="B2180" s="2">
        <v>46114.924305555556</v>
      </c>
      <c r="C2180" s="2">
        <v>46115.057638888888</v>
      </c>
      <c r="D2180" t="s">
        <v>6023</v>
      </c>
      <c r="E2180" t="s">
        <v>6029</v>
      </c>
      <c r="F2180" t="s">
        <v>6033</v>
      </c>
      <c r="G2180" t="s">
        <v>6064</v>
      </c>
      <c r="H2180" t="s">
        <v>6096</v>
      </c>
      <c r="I2180">
        <v>72</v>
      </c>
      <c r="J2180">
        <v>3.2</v>
      </c>
      <c r="K2180" t="s">
        <v>6099</v>
      </c>
      <c r="L2180" t="s">
        <v>6100</v>
      </c>
      <c r="M2180" t="s">
        <v>6099</v>
      </c>
      <c r="N2180">
        <v>4</v>
      </c>
      <c r="O2180" t="s">
        <v>6101</v>
      </c>
      <c r="P2180" t="s">
        <v>6110</v>
      </c>
      <c r="Q2180">
        <v>4</v>
      </c>
      <c r="R2180">
        <v>2026</v>
      </c>
      <c r="S2180" t="s">
        <v>6099</v>
      </c>
      <c r="T2180">
        <v>1</v>
      </c>
      <c r="U2180" t="s">
        <v>6018</v>
      </c>
      <c r="V2180">
        <v>1</v>
      </c>
    </row>
    <row r="2181" spans="1:22" x14ac:dyDescent="0.3">
      <c r="A2181" t="s">
        <v>2196</v>
      </c>
      <c r="B2181" s="2">
        <v>46115.145138888889</v>
      </c>
      <c r="C2181" s="2">
        <v>46115.52847222222</v>
      </c>
      <c r="D2181" t="s">
        <v>6028</v>
      </c>
      <c r="E2181" t="s">
        <v>6029</v>
      </c>
      <c r="F2181" t="s">
        <v>6034</v>
      </c>
      <c r="G2181" t="s">
        <v>6078</v>
      </c>
      <c r="H2181" t="s">
        <v>6097</v>
      </c>
      <c r="I2181">
        <v>24</v>
      </c>
      <c r="J2181">
        <v>9.1999999999999993</v>
      </c>
      <c r="K2181" t="s">
        <v>6099</v>
      </c>
      <c r="L2181" t="s">
        <v>6100</v>
      </c>
      <c r="M2181" t="s">
        <v>6100</v>
      </c>
      <c r="N2181">
        <v>4</v>
      </c>
      <c r="O2181" t="s">
        <v>6101</v>
      </c>
      <c r="P2181" t="s">
        <v>6110</v>
      </c>
      <c r="Q2181">
        <v>4</v>
      </c>
      <c r="R2181">
        <v>2026</v>
      </c>
      <c r="S2181" t="s">
        <v>6099</v>
      </c>
      <c r="T2181">
        <v>1</v>
      </c>
      <c r="U2181" t="s">
        <v>6018</v>
      </c>
      <c r="V2181">
        <v>1</v>
      </c>
    </row>
    <row r="2182" spans="1:22" x14ac:dyDescent="0.3">
      <c r="A2182" t="s">
        <v>2197</v>
      </c>
      <c r="B2182" s="2">
        <v>46115.195138888892</v>
      </c>
      <c r="C2182" s="2">
        <v>46117.224305555559</v>
      </c>
      <c r="D2182" t="s">
        <v>6024</v>
      </c>
      <c r="E2182" t="s">
        <v>6029</v>
      </c>
      <c r="F2182" t="s">
        <v>6033</v>
      </c>
      <c r="G2182" t="s">
        <v>6048</v>
      </c>
      <c r="H2182" t="s">
        <v>6096</v>
      </c>
      <c r="I2182">
        <v>72</v>
      </c>
      <c r="J2182">
        <v>48.7</v>
      </c>
      <c r="K2182" t="s">
        <v>6099</v>
      </c>
      <c r="L2182" t="s">
        <v>6100</v>
      </c>
      <c r="M2182" t="s">
        <v>6100</v>
      </c>
      <c r="N2182">
        <v>4</v>
      </c>
      <c r="O2182" t="s">
        <v>6101</v>
      </c>
      <c r="P2182" t="s">
        <v>6110</v>
      </c>
      <c r="Q2182">
        <v>4</v>
      </c>
      <c r="R2182">
        <v>2026</v>
      </c>
      <c r="S2182" t="s">
        <v>6099</v>
      </c>
      <c r="T2182">
        <v>1</v>
      </c>
      <c r="U2182" t="s">
        <v>6021</v>
      </c>
      <c r="V2182">
        <v>1</v>
      </c>
    </row>
    <row r="2183" spans="1:22" x14ac:dyDescent="0.3">
      <c r="A2183" t="s">
        <v>2198</v>
      </c>
      <c r="B2183" s="2">
        <v>46115.31527777778</v>
      </c>
      <c r="C2183" s="2">
        <v>46116.052777777775</v>
      </c>
      <c r="D2183" t="s">
        <v>6025</v>
      </c>
      <c r="E2183" t="s">
        <v>6030</v>
      </c>
      <c r="F2183" t="s">
        <v>6033</v>
      </c>
      <c r="G2183" t="s">
        <v>6062</v>
      </c>
      <c r="H2183" t="s">
        <v>6096</v>
      </c>
      <c r="I2183">
        <v>72</v>
      </c>
      <c r="J2183">
        <v>17.7</v>
      </c>
      <c r="K2183" t="s">
        <v>6099</v>
      </c>
      <c r="L2183" t="s">
        <v>6100</v>
      </c>
      <c r="M2183" t="s">
        <v>6100</v>
      </c>
      <c r="O2183" t="s">
        <v>6101</v>
      </c>
      <c r="P2183" t="s">
        <v>6110</v>
      </c>
      <c r="Q2183">
        <v>4</v>
      </c>
      <c r="R2183">
        <v>2026</v>
      </c>
      <c r="S2183" t="s">
        <v>6099</v>
      </c>
      <c r="T2183">
        <v>1</v>
      </c>
      <c r="U2183" t="s">
        <v>6018</v>
      </c>
      <c r="V2183">
        <v>1</v>
      </c>
    </row>
    <row r="2184" spans="1:22" x14ac:dyDescent="0.3">
      <c r="A2184" t="s">
        <v>2199</v>
      </c>
      <c r="B2184" s="2">
        <v>46115.352083333331</v>
      </c>
      <c r="C2184" s="2">
        <v>46116.777083333334</v>
      </c>
      <c r="D2184" t="s">
        <v>6022</v>
      </c>
      <c r="E2184" t="s">
        <v>6029</v>
      </c>
      <c r="F2184" t="s">
        <v>6034</v>
      </c>
      <c r="G2184" t="s">
        <v>6094</v>
      </c>
      <c r="H2184" t="s">
        <v>6098</v>
      </c>
      <c r="I2184">
        <v>24</v>
      </c>
      <c r="J2184">
        <v>34.200000000000003</v>
      </c>
      <c r="K2184" t="s">
        <v>6099</v>
      </c>
      <c r="L2184" t="s">
        <v>6100</v>
      </c>
      <c r="M2184" t="s">
        <v>6100</v>
      </c>
      <c r="O2184" t="s">
        <v>6101</v>
      </c>
      <c r="P2184" t="s">
        <v>6110</v>
      </c>
      <c r="Q2184">
        <v>4</v>
      </c>
      <c r="R2184">
        <v>2026</v>
      </c>
      <c r="S2184" t="s">
        <v>6100</v>
      </c>
      <c r="T2184">
        <v>0</v>
      </c>
      <c r="U2184" t="s">
        <v>6021</v>
      </c>
      <c r="V2184">
        <v>1</v>
      </c>
    </row>
    <row r="2185" spans="1:22" x14ac:dyDescent="0.3">
      <c r="A2185" t="s">
        <v>2200</v>
      </c>
      <c r="B2185" s="2">
        <v>46115.402777777781</v>
      </c>
      <c r="C2185" s="2">
        <v>46115.861111111109</v>
      </c>
      <c r="D2185" t="s">
        <v>6022</v>
      </c>
      <c r="E2185" t="s">
        <v>6030</v>
      </c>
      <c r="F2185" t="s">
        <v>6033</v>
      </c>
      <c r="G2185" t="s">
        <v>6072</v>
      </c>
      <c r="H2185" t="s">
        <v>6097</v>
      </c>
      <c r="I2185">
        <v>72</v>
      </c>
      <c r="J2185">
        <v>11</v>
      </c>
      <c r="K2185" t="s">
        <v>6100</v>
      </c>
      <c r="L2185" t="s">
        <v>6099</v>
      </c>
      <c r="M2185" t="s">
        <v>6100</v>
      </c>
      <c r="N2185">
        <v>4</v>
      </c>
      <c r="O2185" t="s">
        <v>6101</v>
      </c>
      <c r="P2185" t="s">
        <v>6110</v>
      </c>
      <c r="Q2185">
        <v>4</v>
      </c>
      <c r="R2185">
        <v>2026</v>
      </c>
      <c r="S2185" t="s">
        <v>6099</v>
      </c>
      <c r="T2185">
        <v>1</v>
      </c>
      <c r="U2185" t="s">
        <v>6019</v>
      </c>
      <c r="V2185">
        <v>0</v>
      </c>
    </row>
    <row r="2186" spans="1:22" x14ac:dyDescent="0.3">
      <c r="A2186" t="s">
        <v>2201</v>
      </c>
      <c r="B2186" s="2">
        <v>46115.404166666667</v>
      </c>
      <c r="C2186" s="2">
        <v>46115.92083333333</v>
      </c>
      <c r="D2186" t="s">
        <v>6024</v>
      </c>
      <c r="E2186" t="s">
        <v>6029</v>
      </c>
      <c r="F2186" t="s">
        <v>6034</v>
      </c>
      <c r="G2186" t="s">
        <v>6069</v>
      </c>
      <c r="H2186" t="s">
        <v>6098</v>
      </c>
      <c r="I2186">
        <v>24</v>
      </c>
      <c r="J2186">
        <v>12.4</v>
      </c>
      <c r="K2186" t="s">
        <v>6099</v>
      </c>
      <c r="L2186" t="s">
        <v>6100</v>
      </c>
      <c r="M2186" t="s">
        <v>6100</v>
      </c>
      <c r="N2186">
        <v>2</v>
      </c>
      <c r="O2186" t="s">
        <v>6101</v>
      </c>
      <c r="P2186" t="s">
        <v>6110</v>
      </c>
      <c r="Q2186">
        <v>4</v>
      </c>
      <c r="R2186">
        <v>2026</v>
      </c>
      <c r="S2186" t="s">
        <v>6099</v>
      </c>
      <c r="T2186">
        <v>1</v>
      </c>
      <c r="U2186" t="s">
        <v>6017</v>
      </c>
      <c r="V2186">
        <v>1</v>
      </c>
    </row>
    <row r="2187" spans="1:22" x14ac:dyDescent="0.3">
      <c r="A2187" t="s">
        <v>2202</v>
      </c>
      <c r="B2187" s="2">
        <v>46115.410416666666</v>
      </c>
      <c r="C2187" s="2">
        <v>46116.902083333334</v>
      </c>
      <c r="D2187" t="s">
        <v>6025</v>
      </c>
      <c r="E2187" t="s">
        <v>6032</v>
      </c>
      <c r="F2187" t="s">
        <v>6033</v>
      </c>
      <c r="G2187" t="s">
        <v>6064</v>
      </c>
      <c r="H2187" t="s">
        <v>6096</v>
      </c>
      <c r="I2187">
        <v>72</v>
      </c>
      <c r="J2187">
        <v>35.799999999999997</v>
      </c>
      <c r="K2187" t="s">
        <v>6099</v>
      </c>
      <c r="L2187" t="s">
        <v>6100</v>
      </c>
      <c r="M2187" t="s">
        <v>6099</v>
      </c>
      <c r="O2187" t="s">
        <v>6101</v>
      </c>
      <c r="P2187" t="s">
        <v>6110</v>
      </c>
      <c r="Q2187">
        <v>4</v>
      </c>
      <c r="R2187">
        <v>2026</v>
      </c>
      <c r="S2187" t="s">
        <v>6099</v>
      </c>
      <c r="T2187">
        <v>1</v>
      </c>
      <c r="U2187" t="s">
        <v>6018</v>
      </c>
      <c r="V2187">
        <v>1</v>
      </c>
    </row>
    <row r="2188" spans="1:22" x14ac:dyDescent="0.3">
      <c r="A2188" t="s">
        <v>2203</v>
      </c>
      <c r="B2188" s="2">
        <v>46115.42083333333</v>
      </c>
      <c r="C2188" s="2">
        <v>46115.691666666666</v>
      </c>
      <c r="D2188" t="s">
        <v>6023</v>
      </c>
      <c r="E2188" t="s">
        <v>6029</v>
      </c>
      <c r="F2188" t="s">
        <v>6034</v>
      </c>
      <c r="G2188" t="s">
        <v>6060</v>
      </c>
      <c r="H2188" t="s">
        <v>6097</v>
      </c>
      <c r="I2188">
        <v>24</v>
      </c>
      <c r="J2188">
        <v>6.5</v>
      </c>
      <c r="K2188" t="s">
        <v>6100</v>
      </c>
      <c r="L2188" t="s">
        <v>6099</v>
      </c>
      <c r="M2188" t="s">
        <v>6100</v>
      </c>
      <c r="N2188">
        <v>3</v>
      </c>
      <c r="O2188" t="s">
        <v>6101</v>
      </c>
      <c r="P2188" t="s">
        <v>6110</v>
      </c>
      <c r="Q2188">
        <v>4</v>
      </c>
      <c r="R2188">
        <v>2026</v>
      </c>
      <c r="S2188" t="s">
        <v>6099</v>
      </c>
      <c r="T2188">
        <v>1</v>
      </c>
      <c r="U2188" t="s">
        <v>6017</v>
      </c>
      <c r="V2188">
        <v>0</v>
      </c>
    </row>
    <row r="2189" spans="1:22" x14ac:dyDescent="0.3">
      <c r="A2189" t="s">
        <v>2204</v>
      </c>
      <c r="B2189" s="2">
        <v>46115.502083333333</v>
      </c>
      <c r="C2189" s="2">
        <v>46115.660416666666</v>
      </c>
      <c r="D2189" t="s">
        <v>6023</v>
      </c>
      <c r="E2189" t="s">
        <v>6030</v>
      </c>
      <c r="F2189" t="s">
        <v>6034</v>
      </c>
      <c r="G2189" t="s">
        <v>6043</v>
      </c>
      <c r="H2189" t="s">
        <v>6097</v>
      </c>
      <c r="I2189">
        <v>24</v>
      </c>
      <c r="J2189">
        <v>3.8</v>
      </c>
      <c r="K2189" t="s">
        <v>6100</v>
      </c>
      <c r="L2189" t="s">
        <v>6099</v>
      </c>
      <c r="M2189" t="s">
        <v>6100</v>
      </c>
      <c r="O2189" t="s">
        <v>6101</v>
      </c>
      <c r="P2189" t="s">
        <v>6110</v>
      </c>
      <c r="Q2189">
        <v>4</v>
      </c>
      <c r="R2189">
        <v>2026</v>
      </c>
      <c r="S2189" t="s">
        <v>6099</v>
      </c>
      <c r="T2189">
        <v>1</v>
      </c>
      <c r="U2189" t="s">
        <v>6018</v>
      </c>
      <c r="V2189">
        <v>0</v>
      </c>
    </row>
    <row r="2190" spans="1:22" x14ac:dyDescent="0.3">
      <c r="A2190" t="s">
        <v>2205</v>
      </c>
      <c r="B2190" s="2">
        <v>46115.509027777778</v>
      </c>
      <c r="C2190" s="2">
        <v>46115.629861111112</v>
      </c>
      <c r="D2190" t="s">
        <v>6024</v>
      </c>
      <c r="E2190" t="s">
        <v>6030</v>
      </c>
      <c r="F2190" t="s">
        <v>6033</v>
      </c>
      <c r="G2190" t="s">
        <v>6075</v>
      </c>
      <c r="H2190" t="s">
        <v>6097</v>
      </c>
      <c r="I2190">
        <v>72</v>
      </c>
      <c r="J2190">
        <v>2.9</v>
      </c>
      <c r="K2190" t="s">
        <v>6099</v>
      </c>
      <c r="L2190" t="s">
        <v>6100</v>
      </c>
      <c r="M2190" t="s">
        <v>6100</v>
      </c>
      <c r="N2190">
        <v>5</v>
      </c>
      <c r="O2190" t="s">
        <v>6101</v>
      </c>
      <c r="P2190" t="s">
        <v>6110</v>
      </c>
      <c r="Q2190">
        <v>4</v>
      </c>
      <c r="R2190">
        <v>2026</v>
      </c>
      <c r="S2190" t="s">
        <v>6099</v>
      </c>
      <c r="T2190">
        <v>1</v>
      </c>
      <c r="U2190" t="s">
        <v>6018</v>
      </c>
      <c r="V2190">
        <v>1</v>
      </c>
    </row>
    <row r="2191" spans="1:22" x14ac:dyDescent="0.3">
      <c r="A2191" t="s">
        <v>2206</v>
      </c>
      <c r="B2191" s="2">
        <v>46115.513888888891</v>
      </c>
      <c r="C2191" s="2">
        <v>46116.480555555558</v>
      </c>
      <c r="D2191" t="s">
        <v>6022</v>
      </c>
      <c r="E2191" t="s">
        <v>6029</v>
      </c>
      <c r="F2191" t="s">
        <v>6034</v>
      </c>
      <c r="G2191" t="s">
        <v>6084</v>
      </c>
      <c r="H2191" t="s">
        <v>6098</v>
      </c>
      <c r="I2191">
        <v>24</v>
      </c>
      <c r="J2191">
        <v>23.2</v>
      </c>
      <c r="K2191" t="s">
        <v>6099</v>
      </c>
      <c r="L2191" t="s">
        <v>6100</v>
      </c>
      <c r="M2191" t="s">
        <v>6100</v>
      </c>
      <c r="N2191">
        <v>4</v>
      </c>
      <c r="O2191" t="s">
        <v>6101</v>
      </c>
      <c r="P2191" t="s">
        <v>6110</v>
      </c>
      <c r="Q2191">
        <v>4</v>
      </c>
      <c r="R2191">
        <v>2026</v>
      </c>
      <c r="S2191" t="s">
        <v>6099</v>
      </c>
      <c r="T2191">
        <v>1</v>
      </c>
      <c r="U2191" t="s">
        <v>6019</v>
      </c>
      <c r="V2191">
        <v>1</v>
      </c>
    </row>
    <row r="2192" spans="1:22" x14ac:dyDescent="0.3">
      <c r="A2192" t="s">
        <v>2207</v>
      </c>
      <c r="B2192" s="2">
        <v>46115.529861111114</v>
      </c>
      <c r="C2192" s="2">
        <v>46116.554861111108</v>
      </c>
      <c r="D2192" t="s">
        <v>6024</v>
      </c>
      <c r="E2192" t="s">
        <v>6032</v>
      </c>
      <c r="F2192" t="s">
        <v>6033</v>
      </c>
      <c r="G2192" t="s">
        <v>6077</v>
      </c>
      <c r="H2192" t="s">
        <v>6098</v>
      </c>
      <c r="I2192">
        <v>72</v>
      </c>
      <c r="J2192">
        <v>24.6</v>
      </c>
      <c r="K2192" t="s">
        <v>6099</v>
      </c>
      <c r="L2192" t="s">
        <v>6100</v>
      </c>
      <c r="M2192" t="s">
        <v>6100</v>
      </c>
      <c r="N2192">
        <v>4</v>
      </c>
      <c r="O2192" t="s">
        <v>6101</v>
      </c>
      <c r="P2192" t="s">
        <v>6110</v>
      </c>
      <c r="Q2192">
        <v>4</v>
      </c>
      <c r="R2192">
        <v>2026</v>
      </c>
      <c r="S2192" t="s">
        <v>6099</v>
      </c>
      <c r="T2192">
        <v>1</v>
      </c>
      <c r="U2192" t="s">
        <v>6017</v>
      </c>
      <c r="V2192">
        <v>1</v>
      </c>
    </row>
    <row r="2193" spans="1:22" x14ac:dyDescent="0.3">
      <c r="A2193" t="s">
        <v>2208</v>
      </c>
      <c r="B2193" s="2">
        <v>46115.555555555555</v>
      </c>
      <c r="C2193" s="2">
        <v>46116.455555555556</v>
      </c>
      <c r="D2193" t="s">
        <v>6024</v>
      </c>
      <c r="E2193" t="s">
        <v>6032</v>
      </c>
      <c r="F2193" t="s">
        <v>6033</v>
      </c>
      <c r="G2193" t="s">
        <v>6046</v>
      </c>
      <c r="H2193" t="s">
        <v>6098</v>
      </c>
      <c r="I2193">
        <v>72</v>
      </c>
      <c r="J2193">
        <v>21.6</v>
      </c>
      <c r="K2193" t="s">
        <v>6099</v>
      </c>
      <c r="L2193" t="s">
        <v>6100</v>
      </c>
      <c r="M2193" t="s">
        <v>6100</v>
      </c>
      <c r="N2193">
        <v>5</v>
      </c>
      <c r="O2193" t="s">
        <v>6101</v>
      </c>
      <c r="P2193" t="s">
        <v>6110</v>
      </c>
      <c r="Q2193">
        <v>4</v>
      </c>
      <c r="R2193">
        <v>2026</v>
      </c>
      <c r="S2193" t="s">
        <v>6099</v>
      </c>
      <c r="T2193">
        <v>1</v>
      </c>
      <c r="U2193" t="s">
        <v>6021</v>
      </c>
      <c r="V2193">
        <v>1</v>
      </c>
    </row>
    <row r="2194" spans="1:22" x14ac:dyDescent="0.3">
      <c r="A2194" t="s">
        <v>2209</v>
      </c>
      <c r="B2194" s="2">
        <v>46115.570833333331</v>
      </c>
      <c r="C2194" s="2">
        <v>46115.82916666667</v>
      </c>
      <c r="D2194" t="s">
        <v>6025</v>
      </c>
      <c r="E2194" t="s">
        <v>6029</v>
      </c>
      <c r="F2194" t="s">
        <v>6034</v>
      </c>
      <c r="G2194" t="s">
        <v>6090</v>
      </c>
      <c r="H2194" t="s">
        <v>6097</v>
      </c>
      <c r="I2194">
        <v>24</v>
      </c>
      <c r="J2194">
        <v>6.2</v>
      </c>
      <c r="K2194" t="s">
        <v>6099</v>
      </c>
      <c r="L2194" t="s">
        <v>6100</v>
      </c>
      <c r="M2194" t="s">
        <v>6100</v>
      </c>
      <c r="N2194">
        <v>5</v>
      </c>
      <c r="O2194" t="s">
        <v>6101</v>
      </c>
      <c r="P2194" t="s">
        <v>6110</v>
      </c>
      <c r="Q2194">
        <v>4</v>
      </c>
      <c r="R2194">
        <v>2026</v>
      </c>
      <c r="S2194" t="s">
        <v>6099</v>
      </c>
      <c r="T2194">
        <v>1</v>
      </c>
      <c r="U2194" t="s">
        <v>6020</v>
      </c>
      <c r="V2194">
        <v>1</v>
      </c>
    </row>
    <row r="2195" spans="1:22" x14ac:dyDescent="0.3">
      <c r="A2195" t="s">
        <v>2210</v>
      </c>
      <c r="B2195" s="2">
        <v>46115.605555555558</v>
      </c>
      <c r="C2195" s="2">
        <v>46115.843055555553</v>
      </c>
      <c r="D2195" t="s">
        <v>6023</v>
      </c>
      <c r="E2195" t="s">
        <v>6029</v>
      </c>
      <c r="F2195" t="s">
        <v>6033</v>
      </c>
      <c r="G2195" t="s">
        <v>6074</v>
      </c>
      <c r="H2195" t="s">
        <v>6098</v>
      </c>
      <c r="I2195">
        <v>72</v>
      </c>
      <c r="J2195">
        <v>5.7</v>
      </c>
      <c r="K2195" t="s">
        <v>6100</v>
      </c>
      <c r="L2195" t="s">
        <v>6099</v>
      </c>
      <c r="M2195" t="s">
        <v>6100</v>
      </c>
      <c r="O2195" t="s">
        <v>6101</v>
      </c>
      <c r="P2195" t="s">
        <v>6110</v>
      </c>
      <c r="Q2195">
        <v>4</v>
      </c>
      <c r="R2195">
        <v>2026</v>
      </c>
      <c r="S2195" t="s">
        <v>6099</v>
      </c>
      <c r="T2195">
        <v>1</v>
      </c>
      <c r="U2195" t="s">
        <v>6017</v>
      </c>
      <c r="V2195">
        <v>0</v>
      </c>
    </row>
    <row r="2196" spans="1:22" x14ac:dyDescent="0.3">
      <c r="A2196" t="s">
        <v>2211</v>
      </c>
      <c r="B2196" s="2">
        <v>46115.642361111109</v>
      </c>
      <c r="C2196" s="2">
        <v>46117.092361111114</v>
      </c>
      <c r="D2196" t="s">
        <v>6026</v>
      </c>
      <c r="E2196" t="s">
        <v>6029</v>
      </c>
      <c r="F2196" t="s">
        <v>6034</v>
      </c>
      <c r="G2196" t="s">
        <v>6077</v>
      </c>
      <c r="H2196" t="s">
        <v>6098</v>
      </c>
      <c r="I2196">
        <v>24</v>
      </c>
      <c r="J2196">
        <v>34.799999999999997</v>
      </c>
      <c r="K2196" t="s">
        <v>6100</v>
      </c>
      <c r="L2196" t="s">
        <v>6100</v>
      </c>
      <c r="M2196" t="s">
        <v>6100</v>
      </c>
      <c r="O2196" t="s">
        <v>6101</v>
      </c>
      <c r="P2196" t="s">
        <v>6110</v>
      </c>
      <c r="Q2196">
        <v>4</v>
      </c>
      <c r="R2196">
        <v>2026</v>
      </c>
      <c r="S2196" t="s">
        <v>6100</v>
      </c>
      <c r="T2196">
        <v>0</v>
      </c>
      <c r="U2196" t="s">
        <v>6020</v>
      </c>
      <c r="V2196">
        <v>0</v>
      </c>
    </row>
    <row r="2197" spans="1:22" x14ac:dyDescent="0.3">
      <c r="A2197" t="s">
        <v>2212</v>
      </c>
      <c r="B2197" s="2">
        <v>46115.695833333331</v>
      </c>
      <c r="C2197" s="2">
        <v>46115.787499999999</v>
      </c>
      <c r="D2197" t="s">
        <v>6023</v>
      </c>
      <c r="E2197" t="s">
        <v>6030</v>
      </c>
      <c r="F2197" t="s">
        <v>6033</v>
      </c>
      <c r="G2197" t="s">
        <v>6091</v>
      </c>
      <c r="H2197" t="s">
        <v>6097</v>
      </c>
      <c r="I2197">
        <v>72</v>
      </c>
      <c r="J2197">
        <v>2.2000000000000002</v>
      </c>
      <c r="K2197" t="s">
        <v>6099</v>
      </c>
      <c r="L2197" t="s">
        <v>6100</v>
      </c>
      <c r="M2197" t="s">
        <v>6100</v>
      </c>
      <c r="N2197">
        <v>5</v>
      </c>
      <c r="O2197" t="s">
        <v>6101</v>
      </c>
      <c r="P2197" t="s">
        <v>6110</v>
      </c>
      <c r="Q2197">
        <v>4</v>
      </c>
      <c r="R2197">
        <v>2026</v>
      </c>
      <c r="S2197" t="s">
        <v>6099</v>
      </c>
      <c r="T2197">
        <v>1</v>
      </c>
      <c r="U2197" t="s">
        <v>6021</v>
      </c>
      <c r="V2197">
        <v>1</v>
      </c>
    </row>
    <row r="2198" spans="1:22" x14ac:dyDescent="0.3">
      <c r="A2198" t="s">
        <v>2213</v>
      </c>
      <c r="B2198" s="2">
        <v>46115.709027777775</v>
      </c>
      <c r="C2198" s="2">
        <v>46116.434027777781</v>
      </c>
      <c r="D2198" t="s">
        <v>6028</v>
      </c>
      <c r="E2198" t="s">
        <v>6031</v>
      </c>
      <c r="F2198" t="s">
        <v>6035</v>
      </c>
      <c r="G2198" t="s">
        <v>6083</v>
      </c>
      <c r="H2198" t="s">
        <v>6096</v>
      </c>
      <c r="I2198">
        <v>4</v>
      </c>
      <c r="J2198">
        <v>17.399999999999999</v>
      </c>
      <c r="K2198" t="s">
        <v>6100</v>
      </c>
      <c r="L2198" t="s">
        <v>6099</v>
      </c>
      <c r="M2198" t="s">
        <v>6100</v>
      </c>
      <c r="O2198" t="s">
        <v>6101</v>
      </c>
      <c r="P2198" t="s">
        <v>6110</v>
      </c>
      <c r="Q2198">
        <v>4</v>
      </c>
      <c r="R2198">
        <v>2026</v>
      </c>
      <c r="S2198" t="s">
        <v>6100</v>
      </c>
      <c r="T2198">
        <v>0</v>
      </c>
      <c r="U2198" t="s">
        <v>6021</v>
      </c>
      <c r="V2198">
        <v>0</v>
      </c>
    </row>
    <row r="2199" spans="1:22" x14ac:dyDescent="0.3">
      <c r="A2199" t="s">
        <v>2214</v>
      </c>
      <c r="B2199" s="2">
        <v>46115.724305555559</v>
      </c>
      <c r="C2199" s="2">
        <v>46138.328472222223</v>
      </c>
      <c r="D2199" t="s">
        <v>6026</v>
      </c>
      <c r="E2199" t="s">
        <v>6031</v>
      </c>
      <c r="F2199" t="s">
        <v>6035</v>
      </c>
      <c r="G2199" t="s">
        <v>6054</v>
      </c>
      <c r="H2199" t="s">
        <v>6096</v>
      </c>
      <c r="I2199">
        <v>4</v>
      </c>
      <c r="J2199">
        <v>542.5</v>
      </c>
      <c r="K2199" t="s">
        <v>6099</v>
      </c>
      <c r="L2199" t="s">
        <v>6100</v>
      </c>
      <c r="M2199" t="s">
        <v>6100</v>
      </c>
      <c r="N2199">
        <v>5</v>
      </c>
      <c r="O2199" t="s">
        <v>6101</v>
      </c>
      <c r="P2199" t="s">
        <v>6110</v>
      </c>
      <c r="Q2199">
        <v>4</v>
      </c>
      <c r="R2199">
        <v>2026</v>
      </c>
      <c r="S2199" t="s">
        <v>6100</v>
      </c>
      <c r="T2199">
        <v>0</v>
      </c>
      <c r="U2199" t="s">
        <v>6017</v>
      </c>
      <c r="V2199">
        <v>1</v>
      </c>
    </row>
    <row r="2200" spans="1:22" x14ac:dyDescent="0.3">
      <c r="A2200" t="s">
        <v>2215</v>
      </c>
      <c r="B2200" s="2">
        <v>46115.730555555558</v>
      </c>
      <c r="C2200" s="2">
        <v>46116.272222222222</v>
      </c>
      <c r="D2200" t="s">
        <v>6022</v>
      </c>
      <c r="E2200" t="s">
        <v>6030</v>
      </c>
      <c r="F2200" t="s">
        <v>6035</v>
      </c>
      <c r="G2200" t="s">
        <v>6044</v>
      </c>
      <c r="H2200" t="s">
        <v>6097</v>
      </c>
      <c r="I2200">
        <v>4</v>
      </c>
      <c r="J2200">
        <v>13</v>
      </c>
      <c r="K2200" t="s">
        <v>6099</v>
      </c>
      <c r="L2200" t="s">
        <v>6100</v>
      </c>
      <c r="M2200" t="s">
        <v>6100</v>
      </c>
      <c r="N2200">
        <v>5</v>
      </c>
      <c r="O2200" t="s">
        <v>6101</v>
      </c>
      <c r="P2200" t="s">
        <v>6110</v>
      </c>
      <c r="Q2200">
        <v>4</v>
      </c>
      <c r="R2200">
        <v>2026</v>
      </c>
      <c r="S2200" t="s">
        <v>6100</v>
      </c>
      <c r="T2200">
        <v>0</v>
      </c>
      <c r="U2200" t="s">
        <v>6020</v>
      </c>
      <c r="V2200">
        <v>1</v>
      </c>
    </row>
    <row r="2201" spans="1:22" x14ac:dyDescent="0.3">
      <c r="A2201" t="s">
        <v>2216</v>
      </c>
      <c r="B2201" s="2">
        <v>46115.753472222219</v>
      </c>
      <c r="C2201" s="2">
        <v>46116.849305555559</v>
      </c>
      <c r="D2201" t="s">
        <v>6028</v>
      </c>
      <c r="E2201" t="s">
        <v>6029</v>
      </c>
      <c r="F2201" t="s">
        <v>6035</v>
      </c>
      <c r="G2201" t="s">
        <v>6052</v>
      </c>
      <c r="H2201" t="s">
        <v>6098</v>
      </c>
      <c r="I2201">
        <v>4</v>
      </c>
      <c r="J2201">
        <v>26.3</v>
      </c>
      <c r="K2201" t="s">
        <v>6099</v>
      </c>
      <c r="L2201" t="s">
        <v>6100</v>
      </c>
      <c r="M2201" t="s">
        <v>6099</v>
      </c>
      <c r="N2201">
        <v>5</v>
      </c>
      <c r="O2201" t="s">
        <v>6101</v>
      </c>
      <c r="P2201" t="s">
        <v>6110</v>
      </c>
      <c r="Q2201">
        <v>4</v>
      </c>
      <c r="R2201">
        <v>2026</v>
      </c>
      <c r="S2201" t="s">
        <v>6100</v>
      </c>
      <c r="T2201">
        <v>0</v>
      </c>
      <c r="U2201" t="s">
        <v>6020</v>
      </c>
      <c r="V2201">
        <v>1</v>
      </c>
    </row>
    <row r="2202" spans="1:22" x14ac:dyDescent="0.3">
      <c r="A2202" t="s">
        <v>2217</v>
      </c>
      <c r="B2202" s="2">
        <v>46115.79583333333</v>
      </c>
      <c r="C2202" s="2">
        <v>46116.504166666666</v>
      </c>
      <c r="D2202" t="s">
        <v>6028</v>
      </c>
      <c r="E2202" t="s">
        <v>6029</v>
      </c>
      <c r="F2202" t="s">
        <v>6034</v>
      </c>
      <c r="G2202" t="s">
        <v>6077</v>
      </c>
      <c r="H2202" t="s">
        <v>6098</v>
      </c>
      <c r="I2202">
        <v>24</v>
      </c>
      <c r="J2202">
        <v>17</v>
      </c>
      <c r="K2202" t="s">
        <v>6099</v>
      </c>
      <c r="L2202" t="s">
        <v>6100</v>
      </c>
      <c r="M2202" t="s">
        <v>6100</v>
      </c>
      <c r="N2202">
        <v>5</v>
      </c>
      <c r="O2202" t="s">
        <v>6101</v>
      </c>
      <c r="P2202" t="s">
        <v>6110</v>
      </c>
      <c r="Q2202">
        <v>4</v>
      </c>
      <c r="R2202">
        <v>2026</v>
      </c>
      <c r="S2202" t="s">
        <v>6099</v>
      </c>
      <c r="T2202">
        <v>1</v>
      </c>
      <c r="U2202" t="s">
        <v>6019</v>
      </c>
      <c r="V2202">
        <v>1</v>
      </c>
    </row>
    <row r="2203" spans="1:22" x14ac:dyDescent="0.3">
      <c r="A2203" t="s">
        <v>2218</v>
      </c>
      <c r="B2203" s="2">
        <v>46115.796527777777</v>
      </c>
      <c r="C2203" s="2">
        <v>46116.254861111112</v>
      </c>
      <c r="D2203" t="s">
        <v>6027</v>
      </c>
      <c r="E2203" t="s">
        <v>6032</v>
      </c>
      <c r="F2203" t="s">
        <v>6034</v>
      </c>
      <c r="G2203" t="s">
        <v>6049</v>
      </c>
      <c r="H2203" t="s">
        <v>6097</v>
      </c>
      <c r="I2203">
        <v>24</v>
      </c>
      <c r="J2203">
        <v>11</v>
      </c>
      <c r="K2203" t="s">
        <v>6099</v>
      </c>
      <c r="L2203" t="s">
        <v>6100</v>
      </c>
      <c r="M2203" t="s">
        <v>6100</v>
      </c>
      <c r="O2203" t="s">
        <v>6101</v>
      </c>
      <c r="P2203" t="s">
        <v>6110</v>
      </c>
      <c r="Q2203">
        <v>4</v>
      </c>
      <c r="R2203">
        <v>2026</v>
      </c>
      <c r="S2203" t="s">
        <v>6099</v>
      </c>
      <c r="T2203">
        <v>1</v>
      </c>
      <c r="U2203" t="s">
        <v>6021</v>
      </c>
      <c r="V2203">
        <v>1</v>
      </c>
    </row>
    <row r="2204" spans="1:22" x14ac:dyDescent="0.3">
      <c r="A2204" t="s">
        <v>2219</v>
      </c>
      <c r="B2204" s="2">
        <v>46115.970138888886</v>
      </c>
      <c r="C2204" s="2">
        <v>46117.961805555555</v>
      </c>
      <c r="D2204" t="s">
        <v>6025</v>
      </c>
      <c r="E2204" t="s">
        <v>6032</v>
      </c>
      <c r="F2204" t="s">
        <v>6033</v>
      </c>
      <c r="G2204" t="s">
        <v>6083</v>
      </c>
      <c r="H2204" t="s">
        <v>6096</v>
      </c>
      <c r="I2204">
        <v>72</v>
      </c>
      <c r="J2204">
        <v>47.8</v>
      </c>
      <c r="K2204" t="s">
        <v>6100</v>
      </c>
      <c r="L2204" t="s">
        <v>6100</v>
      </c>
      <c r="M2204" t="s">
        <v>6100</v>
      </c>
      <c r="N2204">
        <v>3</v>
      </c>
      <c r="O2204" t="s">
        <v>6101</v>
      </c>
      <c r="P2204" t="s">
        <v>6110</v>
      </c>
      <c r="Q2204">
        <v>4</v>
      </c>
      <c r="R2204">
        <v>2026</v>
      </c>
      <c r="S2204" t="s">
        <v>6099</v>
      </c>
      <c r="T2204">
        <v>1</v>
      </c>
      <c r="U2204" t="s">
        <v>6021</v>
      </c>
      <c r="V2204">
        <v>0</v>
      </c>
    </row>
    <row r="2205" spans="1:22" x14ac:dyDescent="0.3">
      <c r="A2205" t="s">
        <v>2220</v>
      </c>
      <c r="B2205" s="2">
        <v>46116.029861111114</v>
      </c>
      <c r="C2205" s="2">
        <v>46116.238194444442</v>
      </c>
      <c r="D2205" t="s">
        <v>6023</v>
      </c>
      <c r="E2205" t="s">
        <v>6029</v>
      </c>
      <c r="F2205" t="s">
        <v>6034</v>
      </c>
      <c r="G2205" t="s">
        <v>6090</v>
      </c>
      <c r="H2205" t="s">
        <v>6097</v>
      </c>
      <c r="I2205">
        <v>24</v>
      </c>
      <c r="J2205">
        <v>5</v>
      </c>
      <c r="K2205" t="s">
        <v>6099</v>
      </c>
      <c r="L2205" t="s">
        <v>6100</v>
      </c>
      <c r="M2205" t="s">
        <v>6100</v>
      </c>
      <c r="N2205">
        <v>4</v>
      </c>
      <c r="O2205" t="s">
        <v>6101</v>
      </c>
      <c r="P2205" t="s">
        <v>6110</v>
      </c>
      <c r="Q2205">
        <v>4</v>
      </c>
      <c r="R2205">
        <v>2026</v>
      </c>
      <c r="S2205" t="s">
        <v>6099</v>
      </c>
      <c r="T2205">
        <v>1</v>
      </c>
      <c r="U2205" t="s">
        <v>6020</v>
      </c>
      <c r="V2205">
        <v>1</v>
      </c>
    </row>
    <row r="2206" spans="1:22" x14ac:dyDescent="0.3">
      <c r="A2206" t="s">
        <v>2221</v>
      </c>
      <c r="B2206" s="2">
        <v>46116.126388888886</v>
      </c>
      <c r="C2206" s="2">
        <v>46120.99722222222</v>
      </c>
      <c r="D2206" t="s">
        <v>6026</v>
      </c>
      <c r="E2206" t="s">
        <v>6031</v>
      </c>
      <c r="F2206" t="s">
        <v>6033</v>
      </c>
      <c r="G2206" t="s">
        <v>6042</v>
      </c>
      <c r="H2206" t="s">
        <v>6098</v>
      </c>
      <c r="I2206">
        <v>72</v>
      </c>
      <c r="J2206">
        <v>116.9</v>
      </c>
      <c r="K2206" t="s">
        <v>6100</v>
      </c>
      <c r="L2206" t="s">
        <v>6099</v>
      </c>
      <c r="M2206" t="s">
        <v>6100</v>
      </c>
      <c r="N2206">
        <v>2</v>
      </c>
      <c r="O2206" t="s">
        <v>6101</v>
      </c>
      <c r="P2206" t="s">
        <v>6110</v>
      </c>
      <c r="Q2206">
        <v>4</v>
      </c>
      <c r="R2206">
        <v>2026</v>
      </c>
      <c r="S2206" t="s">
        <v>6100</v>
      </c>
      <c r="T2206">
        <v>0</v>
      </c>
      <c r="U2206" t="s">
        <v>6018</v>
      </c>
      <c r="V2206">
        <v>0</v>
      </c>
    </row>
    <row r="2207" spans="1:22" x14ac:dyDescent="0.3">
      <c r="A2207" t="s">
        <v>2222</v>
      </c>
      <c r="B2207" s="2">
        <v>46116.230555555558</v>
      </c>
      <c r="C2207" s="2">
        <v>46116.709722222222</v>
      </c>
      <c r="D2207" t="s">
        <v>6023</v>
      </c>
      <c r="E2207" t="s">
        <v>6029</v>
      </c>
      <c r="F2207" t="s">
        <v>6033</v>
      </c>
      <c r="G2207" t="s">
        <v>6071</v>
      </c>
      <c r="H2207" t="s">
        <v>6098</v>
      </c>
      <c r="I2207">
        <v>72</v>
      </c>
      <c r="J2207">
        <v>11.5</v>
      </c>
      <c r="K2207" t="s">
        <v>6099</v>
      </c>
      <c r="L2207" t="s">
        <v>6100</v>
      </c>
      <c r="M2207" t="s">
        <v>6099</v>
      </c>
      <c r="N2207">
        <v>5</v>
      </c>
      <c r="O2207" t="s">
        <v>6101</v>
      </c>
      <c r="P2207" t="s">
        <v>6110</v>
      </c>
      <c r="Q2207">
        <v>4</v>
      </c>
      <c r="R2207">
        <v>2026</v>
      </c>
      <c r="S2207" t="s">
        <v>6099</v>
      </c>
      <c r="T2207">
        <v>1</v>
      </c>
      <c r="U2207" t="s">
        <v>6021</v>
      </c>
      <c r="V2207">
        <v>1</v>
      </c>
    </row>
    <row r="2208" spans="1:22" x14ac:dyDescent="0.3">
      <c r="A2208" t="s">
        <v>2223</v>
      </c>
      <c r="B2208" s="2">
        <v>46116.344444444447</v>
      </c>
      <c r="C2208" s="2">
        <v>46117.294444444444</v>
      </c>
      <c r="D2208" t="s">
        <v>6026</v>
      </c>
      <c r="E2208" t="s">
        <v>6032</v>
      </c>
      <c r="F2208" t="s">
        <v>6034</v>
      </c>
      <c r="G2208" t="s">
        <v>6068</v>
      </c>
      <c r="H2208" t="s">
        <v>6098</v>
      </c>
      <c r="I2208">
        <v>24</v>
      </c>
      <c r="J2208">
        <v>22.8</v>
      </c>
      <c r="K2208" t="s">
        <v>6100</v>
      </c>
      <c r="L2208" t="s">
        <v>6100</v>
      </c>
      <c r="M2208" t="s">
        <v>6100</v>
      </c>
      <c r="O2208" t="s">
        <v>6101</v>
      </c>
      <c r="P2208" t="s">
        <v>6110</v>
      </c>
      <c r="Q2208">
        <v>4</v>
      </c>
      <c r="R2208">
        <v>2026</v>
      </c>
      <c r="S2208" t="s">
        <v>6099</v>
      </c>
      <c r="T2208">
        <v>1</v>
      </c>
      <c r="U2208" t="s">
        <v>6021</v>
      </c>
      <c r="V2208">
        <v>0</v>
      </c>
    </row>
    <row r="2209" spans="1:22" x14ac:dyDescent="0.3">
      <c r="A2209" t="s">
        <v>2224</v>
      </c>
      <c r="B2209" s="2">
        <v>46116.386805555558</v>
      </c>
      <c r="C2209" s="2">
        <v>46118.765972222223</v>
      </c>
      <c r="D2209" t="s">
        <v>6024</v>
      </c>
      <c r="E2209" t="s">
        <v>6031</v>
      </c>
      <c r="F2209" t="s">
        <v>6034</v>
      </c>
      <c r="G2209" t="s">
        <v>6078</v>
      </c>
      <c r="H2209" t="s">
        <v>6097</v>
      </c>
      <c r="I2209">
        <v>24</v>
      </c>
      <c r="J2209">
        <v>57.1</v>
      </c>
      <c r="K2209" t="s">
        <v>6099</v>
      </c>
      <c r="L2209" t="s">
        <v>6100</v>
      </c>
      <c r="M2209" t="s">
        <v>6099</v>
      </c>
      <c r="N2209">
        <v>4</v>
      </c>
      <c r="O2209" t="s">
        <v>6101</v>
      </c>
      <c r="P2209" t="s">
        <v>6110</v>
      </c>
      <c r="Q2209">
        <v>4</v>
      </c>
      <c r="R2209">
        <v>2026</v>
      </c>
      <c r="S2209" t="s">
        <v>6100</v>
      </c>
      <c r="T2209">
        <v>0</v>
      </c>
      <c r="U2209" t="s">
        <v>6019</v>
      </c>
      <c r="V2209">
        <v>1</v>
      </c>
    </row>
    <row r="2210" spans="1:22" x14ac:dyDescent="0.3">
      <c r="A2210" t="s">
        <v>2225</v>
      </c>
      <c r="B2210" s="2">
        <v>46116.38958333333</v>
      </c>
      <c r="C2210" s="2">
        <v>46118.13958333333</v>
      </c>
      <c r="D2210" t="s">
        <v>6023</v>
      </c>
      <c r="E2210" t="s">
        <v>6029</v>
      </c>
      <c r="F2210" t="s">
        <v>6034</v>
      </c>
      <c r="G2210" t="s">
        <v>6055</v>
      </c>
      <c r="H2210" t="s">
        <v>6096</v>
      </c>
      <c r="I2210">
        <v>24</v>
      </c>
      <c r="J2210">
        <v>42</v>
      </c>
      <c r="K2210" t="s">
        <v>6099</v>
      </c>
      <c r="L2210" t="s">
        <v>6100</v>
      </c>
      <c r="M2210" t="s">
        <v>6100</v>
      </c>
      <c r="N2210">
        <v>5</v>
      </c>
      <c r="O2210" t="s">
        <v>6101</v>
      </c>
      <c r="P2210" t="s">
        <v>6110</v>
      </c>
      <c r="Q2210">
        <v>4</v>
      </c>
      <c r="R2210">
        <v>2026</v>
      </c>
      <c r="S2210" t="s">
        <v>6100</v>
      </c>
      <c r="T2210">
        <v>0</v>
      </c>
      <c r="U2210" t="s">
        <v>6021</v>
      </c>
      <c r="V2210">
        <v>1</v>
      </c>
    </row>
    <row r="2211" spans="1:22" x14ac:dyDescent="0.3">
      <c r="A2211" t="s">
        <v>2226</v>
      </c>
      <c r="B2211" s="2">
        <v>46116.438194444447</v>
      </c>
      <c r="C2211" s="2">
        <v>46121.304861111108</v>
      </c>
      <c r="D2211" t="s">
        <v>6026</v>
      </c>
      <c r="E2211" t="s">
        <v>6031</v>
      </c>
      <c r="F2211" t="s">
        <v>6034</v>
      </c>
      <c r="G2211" t="s">
        <v>6059</v>
      </c>
      <c r="H2211" t="s">
        <v>6097</v>
      </c>
      <c r="I2211">
        <v>24</v>
      </c>
      <c r="J2211">
        <v>116.8</v>
      </c>
      <c r="K2211" t="s">
        <v>6099</v>
      </c>
      <c r="L2211" t="s">
        <v>6100</v>
      </c>
      <c r="M2211" t="s">
        <v>6099</v>
      </c>
      <c r="O2211" t="s">
        <v>6101</v>
      </c>
      <c r="P2211" t="s">
        <v>6110</v>
      </c>
      <c r="Q2211">
        <v>4</v>
      </c>
      <c r="R2211">
        <v>2026</v>
      </c>
      <c r="S2211" t="s">
        <v>6100</v>
      </c>
      <c r="T2211">
        <v>0</v>
      </c>
      <c r="U2211" t="s">
        <v>6020</v>
      </c>
      <c r="V2211">
        <v>1</v>
      </c>
    </row>
    <row r="2212" spans="1:22" x14ac:dyDescent="0.3">
      <c r="A2212" t="s">
        <v>2227</v>
      </c>
      <c r="B2212" s="2">
        <v>46116.511805555558</v>
      </c>
      <c r="C2212" s="2">
        <v>46117.449305555558</v>
      </c>
      <c r="D2212" t="s">
        <v>6023</v>
      </c>
      <c r="E2212" t="s">
        <v>6032</v>
      </c>
      <c r="F2212" t="s">
        <v>6033</v>
      </c>
      <c r="G2212" t="s">
        <v>6041</v>
      </c>
      <c r="H2212" t="s">
        <v>6096</v>
      </c>
      <c r="I2212">
        <v>72</v>
      </c>
      <c r="J2212">
        <v>22.5</v>
      </c>
      <c r="K2212" t="s">
        <v>6100</v>
      </c>
      <c r="L2212" t="s">
        <v>6100</v>
      </c>
      <c r="M2212" t="s">
        <v>6100</v>
      </c>
      <c r="N2212">
        <v>4</v>
      </c>
      <c r="O2212" t="s">
        <v>6101</v>
      </c>
      <c r="P2212" t="s">
        <v>6110</v>
      </c>
      <c r="Q2212">
        <v>4</v>
      </c>
      <c r="R2212">
        <v>2026</v>
      </c>
      <c r="S2212" t="s">
        <v>6099</v>
      </c>
      <c r="T2212">
        <v>1</v>
      </c>
      <c r="U2212" t="s">
        <v>6019</v>
      </c>
      <c r="V2212">
        <v>0</v>
      </c>
    </row>
    <row r="2213" spans="1:22" x14ac:dyDescent="0.3">
      <c r="A2213" t="s">
        <v>2228</v>
      </c>
      <c r="B2213" s="2">
        <v>46116.51458333333</v>
      </c>
      <c r="C2213" s="2">
        <v>46117.92291666667</v>
      </c>
      <c r="D2213" t="s">
        <v>6022</v>
      </c>
      <c r="E2213" t="s">
        <v>6029</v>
      </c>
      <c r="F2213" t="s">
        <v>6033</v>
      </c>
      <c r="G2213" t="s">
        <v>6077</v>
      </c>
      <c r="H2213" t="s">
        <v>6098</v>
      </c>
      <c r="I2213">
        <v>72</v>
      </c>
      <c r="J2213">
        <v>33.799999999999997</v>
      </c>
      <c r="K2213" t="s">
        <v>6099</v>
      </c>
      <c r="L2213" t="s">
        <v>6100</v>
      </c>
      <c r="M2213" t="s">
        <v>6100</v>
      </c>
      <c r="N2213">
        <v>5</v>
      </c>
      <c r="O2213" t="s">
        <v>6101</v>
      </c>
      <c r="P2213" t="s">
        <v>6110</v>
      </c>
      <c r="Q2213">
        <v>4</v>
      </c>
      <c r="R2213">
        <v>2026</v>
      </c>
      <c r="S2213" t="s">
        <v>6099</v>
      </c>
      <c r="T2213">
        <v>1</v>
      </c>
      <c r="U2213" t="s">
        <v>6019</v>
      </c>
      <c r="V2213">
        <v>1</v>
      </c>
    </row>
    <row r="2214" spans="1:22" x14ac:dyDescent="0.3">
      <c r="A2214" t="s">
        <v>2229</v>
      </c>
      <c r="B2214" s="2">
        <v>46116.540277777778</v>
      </c>
      <c r="C2214" s="2">
        <v>46118.402777777781</v>
      </c>
      <c r="D2214" t="s">
        <v>6023</v>
      </c>
      <c r="E2214" t="s">
        <v>6032</v>
      </c>
      <c r="F2214" t="s">
        <v>6035</v>
      </c>
      <c r="G2214" t="s">
        <v>6054</v>
      </c>
      <c r="H2214" t="s">
        <v>6096</v>
      </c>
      <c r="I2214">
        <v>4</v>
      </c>
      <c r="J2214">
        <v>44.7</v>
      </c>
      <c r="K2214" t="s">
        <v>6100</v>
      </c>
      <c r="L2214" t="s">
        <v>6099</v>
      </c>
      <c r="M2214" t="s">
        <v>6100</v>
      </c>
      <c r="N2214">
        <v>3</v>
      </c>
      <c r="O2214" t="s">
        <v>6101</v>
      </c>
      <c r="P2214" t="s">
        <v>6110</v>
      </c>
      <c r="Q2214">
        <v>4</v>
      </c>
      <c r="R2214">
        <v>2026</v>
      </c>
      <c r="S2214" t="s">
        <v>6100</v>
      </c>
      <c r="T2214">
        <v>0</v>
      </c>
      <c r="U2214" t="s">
        <v>6019</v>
      </c>
      <c r="V2214">
        <v>0</v>
      </c>
    </row>
    <row r="2215" spans="1:22" x14ac:dyDescent="0.3">
      <c r="A2215" t="s">
        <v>2230</v>
      </c>
      <c r="B2215" s="2">
        <v>46116.548611111109</v>
      </c>
      <c r="C2215" s="2">
        <v>46117.027777777781</v>
      </c>
      <c r="D2215" t="s">
        <v>6025</v>
      </c>
      <c r="E2215" t="s">
        <v>6029</v>
      </c>
      <c r="F2215" t="s">
        <v>6033</v>
      </c>
      <c r="G2215" t="s">
        <v>6053</v>
      </c>
      <c r="H2215" t="s">
        <v>6097</v>
      </c>
      <c r="I2215">
        <v>72</v>
      </c>
      <c r="J2215">
        <v>11.5</v>
      </c>
      <c r="K2215" t="s">
        <v>6099</v>
      </c>
      <c r="L2215" t="s">
        <v>6100</v>
      </c>
      <c r="M2215" t="s">
        <v>6100</v>
      </c>
      <c r="O2215" t="s">
        <v>6101</v>
      </c>
      <c r="P2215" t="s">
        <v>6110</v>
      </c>
      <c r="Q2215">
        <v>4</v>
      </c>
      <c r="R2215">
        <v>2026</v>
      </c>
      <c r="S2215" t="s">
        <v>6099</v>
      </c>
      <c r="T2215">
        <v>1</v>
      </c>
      <c r="U2215" t="s">
        <v>6018</v>
      </c>
      <c r="V2215">
        <v>1</v>
      </c>
    </row>
    <row r="2216" spans="1:22" x14ac:dyDescent="0.3">
      <c r="A2216" t="s">
        <v>2231</v>
      </c>
      <c r="B2216" s="2">
        <v>46116.549305555556</v>
      </c>
      <c r="C2216" s="2">
        <v>46116.836805555555</v>
      </c>
      <c r="D2216" t="s">
        <v>6024</v>
      </c>
      <c r="E2216" t="s">
        <v>6030</v>
      </c>
      <c r="F2216" t="s">
        <v>6034</v>
      </c>
      <c r="G2216" t="s">
        <v>6091</v>
      </c>
      <c r="H2216" t="s">
        <v>6097</v>
      </c>
      <c r="I2216">
        <v>24</v>
      </c>
      <c r="J2216">
        <v>6.9</v>
      </c>
      <c r="K2216" t="s">
        <v>6099</v>
      </c>
      <c r="L2216" t="s">
        <v>6100</v>
      </c>
      <c r="M2216" t="s">
        <v>6100</v>
      </c>
      <c r="O2216" t="s">
        <v>6101</v>
      </c>
      <c r="P2216" t="s">
        <v>6110</v>
      </c>
      <c r="Q2216">
        <v>4</v>
      </c>
      <c r="R2216">
        <v>2026</v>
      </c>
      <c r="S2216" t="s">
        <v>6099</v>
      </c>
      <c r="T2216">
        <v>1</v>
      </c>
      <c r="U2216" t="s">
        <v>6019</v>
      </c>
      <c r="V2216">
        <v>1</v>
      </c>
    </row>
    <row r="2217" spans="1:22" x14ac:dyDescent="0.3">
      <c r="A2217" t="s">
        <v>2232</v>
      </c>
      <c r="B2217" s="2">
        <v>46116.621527777781</v>
      </c>
      <c r="C2217" s="2">
        <v>46116.717361111114</v>
      </c>
      <c r="D2217" t="s">
        <v>6023</v>
      </c>
      <c r="E2217" t="s">
        <v>6030</v>
      </c>
      <c r="F2217" t="s">
        <v>6033</v>
      </c>
      <c r="G2217" t="s">
        <v>6038</v>
      </c>
      <c r="H2217" t="s">
        <v>6096</v>
      </c>
      <c r="I2217">
        <v>72</v>
      </c>
      <c r="J2217">
        <v>2.2999999999999998</v>
      </c>
      <c r="K2217" t="s">
        <v>6099</v>
      </c>
      <c r="L2217" t="s">
        <v>6100</v>
      </c>
      <c r="M2217" t="s">
        <v>6100</v>
      </c>
      <c r="N2217">
        <v>4</v>
      </c>
      <c r="O2217" t="s">
        <v>6101</v>
      </c>
      <c r="P2217" t="s">
        <v>6110</v>
      </c>
      <c r="Q2217">
        <v>4</v>
      </c>
      <c r="R2217">
        <v>2026</v>
      </c>
      <c r="S2217" t="s">
        <v>6099</v>
      </c>
      <c r="T2217">
        <v>1</v>
      </c>
      <c r="U2217" t="s">
        <v>6017</v>
      </c>
      <c r="V2217">
        <v>1</v>
      </c>
    </row>
    <row r="2218" spans="1:22" x14ac:dyDescent="0.3">
      <c r="A2218" t="s">
        <v>2233</v>
      </c>
      <c r="B2218" s="2">
        <v>46116.648611111108</v>
      </c>
      <c r="C2218" s="2">
        <v>46117.327777777777</v>
      </c>
      <c r="D2218" t="s">
        <v>6022</v>
      </c>
      <c r="E2218" t="s">
        <v>6031</v>
      </c>
      <c r="F2218" t="s">
        <v>6033</v>
      </c>
      <c r="G2218" t="s">
        <v>6043</v>
      </c>
      <c r="H2218" t="s">
        <v>6097</v>
      </c>
      <c r="I2218">
        <v>72</v>
      </c>
      <c r="J2218">
        <v>16.3</v>
      </c>
      <c r="K2218" t="s">
        <v>6099</v>
      </c>
      <c r="L2218" t="s">
        <v>6100</v>
      </c>
      <c r="M2218" t="s">
        <v>6100</v>
      </c>
      <c r="N2218">
        <v>5</v>
      </c>
      <c r="O2218" t="s">
        <v>6101</v>
      </c>
      <c r="P2218" t="s">
        <v>6110</v>
      </c>
      <c r="Q2218">
        <v>4</v>
      </c>
      <c r="R2218">
        <v>2026</v>
      </c>
      <c r="S2218" t="s">
        <v>6099</v>
      </c>
      <c r="T2218">
        <v>1</v>
      </c>
      <c r="U2218" t="s">
        <v>6019</v>
      </c>
      <c r="V2218">
        <v>1</v>
      </c>
    </row>
    <row r="2219" spans="1:22" x14ac:dyDescent="0.3">
      <c r="A2219" t="s">
        <v>2234</v>
      </c>
      <c r="B2219" s="2">
        <v>46116.716666666667</v>
      </c>
      <c r="C2219" s="2">
        <v>46117.2</v>
      </c>
      <c r="D2219" t="s">
        <v>6022</v>
      </c>
      <c r="E2219" t="s">
        <v>6030</v>
      </c>
      <c r="F2219" t="s">
        <v>6034</v>
      </c>
      <c r="G2219" t="s">
        <v>6076</v>
      </c>
      <c r="H2219" t="s">
        <v>6097</v>
      </c>
      <c r="I2219">
        <v>24</v>
      </c>
      <c r="J2219">
        <v>11.6</v>
      </c>
      <c r="K2219" t="s">
        <v>6099</v>
      </c>
      <c r="L2219" t="s">
        <v>6100</v>
      </c>
      <c r="M2219" t="s">
        <v>6099</v>
      </c>
      <c r="N2219">
        <v>5</v>
      </c>
      <c r="O2219" t="s">
        <v>6101</v>
      </c>
      <c r="P2219" t="s">
        <v>6110</v>
      </c>
      <c r="Q2219">
        <v>4</v>
      </c>
      <c r="R2219">
        <v>2026</v>
      </c>
      <c r="S2219" t="s">
        <v>6099</v>
      </c>
      <c r="T2219">
        <v>1</v>
      </c>
      <c r="U2219" t="s">
        <v>6021</v>
      </c>
      <c r="V2219">
        <v>1</v>
      </c>
    </row>
    <row r="2220" spans="1:22" x14ac:dyDescent="0.3">
      <c r="A2220" t="s">
        <v>2235</v>
      </c>
      <c r="B2220" s="2">
        <v>46116.72152777778</v>
      </c>
      <c r="C2220" s="2">
        <v>46119.742361111108</v>
      </c>
      <c r="D2220" t="s">
        <v>6024</v>
      </c>
      <c r="E2220" t="s">
        <v>6032</v>
      </c>
      <c r="F2220" t="s">
        <v>6033</v>
      </c>
      <c r="G2220" t="s">
        <v>6051</v>
      </c>
      <c r="H2220" t="s">
        <v>6097</v>
      </c>
      <c r="I2220">
        <v>72</v>
      </c>
      <c r="J2220">
        <v>72.5</v>
      </c>
      <c r="K2220" t="s">
        <v>6099</v>
      </c>
      <c r="L2220" t="s">
        <v>6100</v>
      </c>
      <c r="M2220" t="s">
        <v>6100</v>
      </c>
      <c r="N2220">
        <v>4</v>
      </c>
      <c r="O2220" t="s">
        <v>6101</v>
      </c>
      <c r="P2220" t="s">
        <v>6110</v>
      </c>
      <c r="Q2220">
        <v>4</v>
      </c>
      <c r="R2220">
        <v>2026</v>
      </c>
      <c r="S2220" t="s">
        <v>6100</v>
      </c>
      <c r="T2220">
        <v>0</v>
      </c>
      <c r="U2220" t="s">
        <v>6018</v>
      </c>
      <c r="V2220">
        <v>1</v>
      </c>
    </row>
    <row r="2221" spans="1:22" x14ac:dyDescent="0.3">
      <c r="A2221" t="s">
        <v>2236</v>
      </c>
      <c r="B2221" s="2">
        <v>46116.730555555558</v>
      </c>
      <c r="C2221" s="2">
        <v>46117.047222222223</v>
      </c>
      <c r="D2221" t="s">
        <v>6025</v>
      </c>
      <c r="E2221" t="s">
        <v>6030</v>
      </c>
      <c r="F2221" t="s">
        <v>6033</v>
      </c>
      <c r="G2221" t="s">
        <v>6049</v>
      </c>
      <c r="H2221" t="s">
        <v>6097</v>
      </c>
      <c r="I2221">
        <v>72</v>
      </c>
      <c r="J2221">
        <v>7.6</v>
      </c>
      <c r="K2221" t="s">
        <v>6099</v>
      </c>
      <c r="L2221" t="s">
        <v>6100</v>
      </c>
      <c r="M2221" t="s">
        <v>6099</v>
      </c>
      <c r="N2221">
        <v>5</v>
      </c>
      <c r="O2221" t="s">
        <v>6101</v>
      </c>
      <c r="P2221" t="s">
        <v>6110</v>
      </c>
      <c r="Q2221">
        <v>4</v>
      </c>
      <c r="R2221">
        <v>2026</v>
      </c>
      <c r="S2221" t="s">
        <v>6099</v>
      </c>
      <c r="T2221">
        <v>1</v>
      </c>
      <c r="U2221" t="s">
        <v>6020</v>
      </c>
      <c r="V2221">
        <v>1</v>
      </c>
    </row>
    <row r="2222" spans="1:22" x14ac:dyDescent="0.3">
      <c r="A2222" t="s">
        <v>2237</v>
      </c>
      <c r="B2222" s="2">
        <v>46116.822916666664</v>
      </c>
      <c r="C2222" s="2">
        <v>46117.927083333336</v>
      </c>
      <c r="D2222" t="s">
        <v>6022</v>
      </c>
      <c r="E2222" t="s">
        <v>6032</v>
      </c>
      <c r="F2222" t="s">
        <v>6033</v>
      </c>
      <c r="G2222" t="s">
        <v>6085</v>
      </c>
      <c r="H2222" t="s">
        <v>6097</v>
      </c>
      <c r="I2222">
        <v>72</v>
      </c>
      <c r="J2222">
        <v>26.5</v>
      </c>
      <c r="K2222" t="s">
        <v>6099</v>
      </c>
      <c r="L2222" t="s">
        <v>6100</v>
      </c>
      <c r="M2222" t="s">
        <v>6100</v>
      </c>
      <c r="N2222">
        <v>4</v>
      </c>
      <c r="O2222" t="s">
        <v>6101</v>
      </c>
      <c r="P2222" t="s">
        <v>6110</v>
      </c>
      <c r="Q2222">
        <v>4</v>
      </c>
      <c r="R2222">
        <v>2026</v>
      </c>
      <c r="S2222" t="s">
        <v>6099</v>
      </c>
      <c r="T2222">
        <v>1</v>
      </c>
      <c r="U2222" t="s">
        <v>6018</v>
      </c>
      <c r="V2222">
        <v>1</v>
      </c>
    </row>
    <row r="2223" spans="1:22" x14ac:dyDescent="0.3">
      <c r="A2223" t="s">
        <v>2238</v>
      </c>
      <c r="B2223" s="2">
        <v>46116.870138888888</v>
      </c>
      <c r="C2223" s="2">
        <v>46117.132638888892</v>
      </c>
      <c r="D2223" t="s">
        <v>6024</v>
      </c>
      <c r="E2223" t="s">
        <v>6032</v>
      </c>
      <c r="F2223" t="s">
        <v>6033</v>
      </c>
      <c r="G2223" t="s">
        <v>6090</v>
      </c>
      <c r="H2223" t="s">
        <v>6097</v>
      </c>
      <c r="I2223">
        <v>72</v>
      </c>
      <c r="J2223">
        <v>6.3</v>
      </c>
      <c r="K2223" t="s">
        <v>6100</v>
      </c>
      <c r="L2223" t="s">
        <v>6099</v>
      </c>
      <c r="M2223" t="s">
        <v>6100</v>
      </c>
      <c r="O2223" t="s">
        <v>6101</v>
      </c>
      <c r="P2223" t="s">
        <v>6110</v>
      </c>
      <c r="Q2223">
        <v>4</v>
      </c>
      <c r="R2223">
        <v>2026</v>
      </c>
      <c r="S2223" t="s">
        <v>6099</v>
      </c>
      <c r="T2223">
        <v>1</v>
      </c>
      <c r="U2223" t="s">
        <v>6019</v>
      </c>
      <c r="V2223">
        <v>0</v>
      </c>
    </row>
    <row r="2224" spans="1:22" x14ac:dyDescent="0.3">
      <c r="A2224" t="s">
        <v>2239</v>
      </c>
      <c r="B2224" s="2">
        <v>46116.958333333336</v>
      </c>
      <c r="C2224" s="2">
        <v>46117.587500000001</v>
      </c>
      <c r="D2224" t="s">
        <v>6023</v>
      </c>
      <c r="E2224" t="s">
        <v>6029</v>
      </c>
      <c r="F2224" t="s">
        <v>6034</v>
      </c>
      <c r="G2224" t="s">
        <v>6045</v>
      </c>
      <c r="H2224" t="s">
        <v>6096</v>
      </c>
      <c r="I2224">
        <v>24</v>
      </c>
      <c r="J2224">
        <v>15.1</v>
      </c>
      <c r="K2224" t="s">
        <v>6099</v>
      </c>
      <c r="L2224" t="s">
        <v>6100</v>
      </c>
      <c r="M2224" t="s">
        <v>6100</v>
      </c>
      <c r="N2224">
        <v>5</v>
      </c>
      <c r="O2224" t="s">
        <v>6101</v>
      </c>
      <c r="P2224" t="s">
        <v>6110</v>
      </c>
      <c r="Q2224">
        <v>4</v>
      </c>
      <c r="R2224">
        <v>2026</v>
      </c>
      <c r="S2224" t="s">
        <v>6099</v>
      </c>
      <c r="T2224">
        <v>1</v>
      </c>
      <c r="U2224" t="s">
        <v>6017</v>
      </c>
      <c r="V2224">
        <v>1</v>
      </c>
    </row>
    <row r="2225" spans="1:22" x14ac:dyDescent="0.3">
      <c r="A2225" t="s">
        <v>2240</v>
      </c>
      <c r="B2225" s="2">
        <v>46117.268750000003</v>
      </c>
      <c r="C2225" s="2">
        <v>46117.493750000001</v>
      </c>
      <c r="D2225" t="s">
        <v>6028</v>
      </c>
      <c r="E2225" t="s">
        <v>6029</v>
      </c>
      <c r="F2225" t="s">
        <v>6034</v>
      </c>
      <c r="G2225" t="s">
        <v>6070</v>
      </c>
      <c r="H2225" t="s">
        <v>6097</v>
      </c>
      <c r="I2225">
        <v>24</v>
      </c>
      <c r="J2225">
        <v>5.4</v>
      </c>
      <c r="K2225" t="s">
        <v>6099</v>
      </c>
      <c r="L2225" t="s">
        <v>6100</v>
      </c>
      <c r="M2225" t="s">
        <v>6100</v>
      </c>
      <c r="N2225">
        <v>5</v>
      </c>
      <c r="O2225" t="s">
        <v>6101</v>
      </c>
      <c r="P2225" t="s">
        <v>6110</v>
      </c>
      <c r="Q2225">
        <v>4</v>
      </c>
      <c r="R2225">
        <v>2026</v>
      </c>
      <c r="S2225" t="s">
        <v>6099</v>
      </c>
      <c r="T2225">
        <v>1</v>
      </c>
      <c r="U2225" t="s">
        <v>6021</v>
      </c>
      <c r="V2225">
        <v>1</v>
      </c>
    </row>
    <row r="2226" spans="1:22" x14ac:dyDescent="0.3">
      <c r="A2226" t="s">
        <v>2241</v>
      </c>
      <c r="B2226" s="2">
        <v>46117.305555555555</v>
      </c>
      <c r="C2226" s="2">
        <v>46118.009722222225</v>
      </c>
      <c r="D2226" t="s">
        <v>6025</v>
      </c>
      <c r="E2226" t="s">
        <v>6029</v>
      </c>
      <c r="F2226" t="s">
        <v>6034</v>
      </c>
      <c r="G2226" t="s">
        <v>6075</v>
      </c>
      <c r="H2226" t="s">
        <v>6097</v>
      </c>
      <c r="I2226">
        <v>24</v>
      </c>
      <c r="J2226">
        <v>16.899999999999999</v>
      </c>
      <c r="K2226" t="s">
        <v>6099</v>
      </c>
      <c r="L2226" t="s">
        <v>6100</v>
      </c>
      <c r="M2226" t="s">
        <v>6100</v>
      </c>
      <c r="O2226" t="s">
        <v>6101</v>
      </c>
      <c r="P2226" t="s">
        <v>6110</v>
      </c>
      <c r="Q2226">
        <v>4</v>
      </c>
      <c r="R2226">
        <v>2026</v>
      </c>
      <c r="S2226" t="s">
        <v>6099</v>
      </c>
      <c r="T2226">
        <v>1</v>
      </c>
      <c r="U2226" t="s">
        <v>6017</v>
      </c>
      <c r="V2226">
        <v>1</v>
      </c>
    </row>
    <row r="2227" spans="1:22" x14ac:dyDescent="0.3">
      <c r="A2227" t="s">
        <v>2242</v>
      </c>
      <c r="B2227" s="2">
        <v>46117.356944444444</v>
      </c>
      <c r="C2227" s="2">
        <v>46117.702777777777</v>
      </c>
      <c r="D2227" t="s">
        <v>6023</v>
      </c>
      <c r="E2227" t="s">
        <v>6029</v>
      </c>
      <c r="F2227" t="s">
        <v>6033</v>
      </c>
      <c r="G2227" t="s">
        <v>6057</v>
      </c>
      <c r="H2227" t="s">
        <v>6097</v>
      </c>
      <c r="I2227">
        <v>72</v>
      </c>
      <c r="J2227">
        <v>8.3000000000000007</v>
      </c>
      <c r="K2227" t="s">
        <v>6099</v>
      </c>
      <c r="L2227" t="s">
        <v>6100</v>
      </c>
      <c r="M2227" t="s">
        <v>6100</v>
      </c>
      <c r="O2227" t="s">
        <v>6101</v>
      </c>
      <c r="P2227" t="s">
        <v>6110</v>
      </c>
      <c r="Q2227">
        <v>4</v>
      </c>
      <c r="R2227">
        <v>2026</v>
      </c>
      <c r="S2227" t="s">
        <v>6099</v>
      </c>
      <c r="T2227">
        <v>1</v>
      </c>
      <c r="U2227" t="s">
        <v>6018</v>
      </c>
      <c r="V2227">
        <v>1</v>
      </c>
    </row>
    <row r="2228" spans="1:22" x14ac:dyDescent="0.3">
      <c r="A2228" t="s">
        <v>2243</v>
      </c>
      <c r="B2228" s="2">
        <v>46117.395138888889</v>
      </c>
      <c r="C2228" s="2">
        <v>46117.695138888892</v>
      </c>
      <c r="D2228" t="s">
        <v>6023</v>
      </c>
      <c r="E2228" t="s">
        <v>6030</v>
      </c>
      <c r="F2228" t="s">
        <v>6033</v>
      </c>
      <c r="G2228" t="s">
        <v>6059</v>
      </c>
      <c r="H2228" t="s">
        <v>6097</v>
      </c>
      <c r="I2228">
        <v>72</v>
      </c>
      <c r="J2228">
        <v>7.2</v>
      </c>
      <c r="K2228" t="s">
        <v>6099</v>
      </c>
      <c r="L2228" t="s">
        <v>6100</v>
      </c>
      <c r="M2228" t="s">
        <v>6100</v>
      </c>
      <c r="N2228">
        <v>5</v>
      </c>
      <c r="O2228" t="s">
        <v>6101</v>
      </c>
      <c r="P2228" t="s">
        <v>6110</v>
      </c>
      <c r="Q2228">
        <v>4</v>
      </c>
      <c r="R2228">
        <v>2026</v>
      </c>
      <c r="S2228" t="s">
        <v>6099</v>
      </c>
      <c r="T2228">
        <v>1</v>
      </c>
      <c r="U2228" t="s">
        <v>6019</v>
      </c>
      <c r="V2228">
        <v>1</v>
      </c>
    </row>
    <row r="2229" spans="1:22" x14ac:dyDescent="0.3">
      <c r="A2229" t="s">
        <v>2244</v>
      </c>
      <c r="B2229" s="2">
        <v>46117.397916666669</v>
      </c>
      <c r="C2229" s="2">
        <v>46117.964583333334</v>
      </c>
      <c r="D2229" t="s">
        <v>6023</v>
      </c>
      <c r="E2229" t="s">
        <v>6029</v>
      </c>
      <c r="F2229" t="s">
        <v>6033</v>
      </c>
      <c r="G2229" t="s">
        <v>6087</v>
      </c>
      <c r="H2229" t="s">
        <v>6098</v>
      </c>
      <c r="I2229">
        <v>72</v>
      </c>
      <c r="J2229">
        <v>13.6</v>
      </c>
      <c r="K2229" t="s">
        <v>6100</v>
      </c>
      <c r="L2229" t="s">
        <v>6099</v>
      </c>
      <c r="M2229" t="s">
        <v>6100</v>
      </c>
      <c r="N2229">
        <v>3</v>
      </c>
      <c r="O2229" t="s">
        <v>6101</v>
      </c>
      <c r="P2229" t="s">
        <v>6110</v>
      </c>
      <c r="Q2229">
        <v>4</v>
      </c>
      <c r="R2229">
        <v>2026</v>
      </c>
      <c r="S2229" t="s">
        <v>6099</v>
      </c>
      <c r="T2229">
        <v>1</v>
      </c>
      <c r="U2229" t="s">
        <v>6019</v>
      </c>
      <c r="V2229">
        <v>0</v>
      </c>
    </row>
    <row r="2230" spans="1:22" x14ac:dyDescent="0.3">
      <c r="A2230" t="s">
        <v>2245</v>
      </c>
      <c r="B2230" s="2">
        <v>46117.504166666666</v>
      </c>
      <c r="C2230" s="2">
        <v>46118.537499999999</v>
      </c>
      <c r="D2230" t="s">
        <v>6025</v>
      </c>
      <c r="E2230" t="s">
        <v>6030</v>
      </c>
      <c r="F2230" t="s">
        <v>6034</v>
      </c>
      <c r="G2230" t="s">
        <v>6089</v>
      </c>
      <c r="H2230" t="s">
        <v>6098</v>
      </c>
      <c r="I2230">
        <v>24</v>
      </c>
      <c r="J2230">
        <v>24.8</v>
      </c>
      <c r="K2230" t="s">
        <v>6099</v>
      </c>
      <c r="L2230" t="s">
        <v>6100</v>
      </c>
      <c r="M2230" t="s">
        <v>6100</v>
      </c>
      <c r="O2230" t="s">
        <v>6101</v>
      </c>
      <c r="P2230" t="s">
        <v>6110</v>
      </c>
      <c r="Q2230">
        <v>4</v>
      </c>
      <c r="R2230">
        <v>2026</v>
      </c>
      <c r="S2230" t="s">
        <v>6100</v>
      </c>
      <c r="T2230">
        <v>0</v>
      </c>
      <c r="U2230" t="s">
        <v>6021</v>
      </c>
      <c r="V2230">
        <v>1</v>
      </c>
    </row>
    <row r="2231" spans="1:22" x14ac:dyDescent="0.3">
      <c r="A2231" t="s">
        <v>2246</v>
      </c>
      <c r="B2231" s="2">
        <v>46117.508333333331</v>
      </c>
      <c r="C2231" s="2">
        <v>46126.916666666664</v>
      </c>
      <c r="D2231" t="s">
        <v>6026</v>
      </c>
      <c r="E2231" t="s">
        <v>6031</v>
      </c>
      <c r="F2231" t="s">
        <v>6033</v>
      </c>
      <c r="G2231" t="s">
        <v>6085</v>
      </c>
      <c r="H2231" t="s">
        <v>6097</v>
      </c>
      <c r="I2231">
        <v>72</v>
      </c>
      <c r="J2231">
        <v>225.8</v>
      </c>
      <c r="K2231" t="s">
        <v>6099</v>
      </c>
      <c r="L2231" t="s">
        <v>6100</v>
      </c>
      <c r="M2231" t="s">
        <v>6100</v>
      </c>
      <c r="N2231">
        <v>5</v>
      </c>
      <c r="O2231" t="s">
        <v>6101</v>
      </c>
      <c r="P2231" t="s">
        <v>6110</v>
      </c>
      <c r="Q2231">
        <v>4</v>
      </c>
      <c r="R2231">
        <v>2026</v>
      </c>
      <c r="S2231" t="s">
        <v>6100</v>
      </c>
      <c r="T2231">
        <v>0</v>
      </c>
      <c r="U2231" t="s">
        <v>6019</v>
      </c>
      <c r="V2231">
        <v>1</v>
      </c>
    </row>
    <row r="2232" spans="1:22" x14ac:dyDescent="0.3">
      <c r="A2232" t="s">
        <v>2247</v>
      </c>
      <c r="B2232" s="2">
        <v>46117.513888888891</v>
      </c>
      <c r="C2232" s="2">
        <v>46118.730555555558</v>
      </c>
      <c r="D2232" t="s">
        <v>6023</v>
      </c>
      <c r="E2232" t="s">
        <v>6032</v>
      </c>
      <c r="F2232" t="s">
        <v>6033</v>
      </c>
      <c r="G2232" t="s">
        <v>6092</v>
      </c>
      <c r="H2232" t="s">
        <v>6097</v>
      </c>
      <c r="I2232">
        <v>72</v>
      </c>
      <c r="J2232">
        <v>29.2</v>
      </c>
      <c r="K2232" t="s">
        <v>6100</v>
      </c>
      <c r="L2232" t="s">
        <v>6099</v>
      </c>
      <c r="M2232" t="s">
        <v>6100</v>
      </c>
      <c r="O2232" t="s">
        <v>6101</v>
      </c>
      <c r="P2232" t="s">
        <v>6110</v>
      </c>
      <c r="Q2232">
        <v>4</v>
      </c>
      <c r="R2232">
        <v>2026</v>
      </c>
      <c r="S2232" t="s">
        <v>6099</v>
      </c>
      <c r="T2232">
        <v>1</v>
      </c>
      <c r="U2232" t="s">
        <v>6018</v>
      </c>
      <c r="V2232">
        <v>0</v>
      </c>
    </row>
    <row r="2233" spans="1:22" x14ac:dyDescent="0.3">
      <c r="A2233" t="s">
        <v>2248</v>
      </c>
      <c r="B2233" s="2">
        <v>46117.55972222222</v>
      </c>
      <c r="C2233" s="2">
        <v>46118.447222222225</v>
      </c>
      <c r="D2233" t="s">
        <v>6025</v>
      </c>
      <c r="E2233" t="s">
        <v>6029</v>
      </c>
      <c r="F2233" t="s">
        <v>6033</v>
      </c>
      <c r="G2233" t="s">
        <v>6084</v>
      </c>
      <c r="H2233" t="s">
        <v>6098</v>
      </c>
      <c r="I2233">
        <v>72</v>
      </c>
      <c r="J2233">
        <v>21.3</v>
      </c>
      <c r="K2233" t="s">
        <v>6100</v>
      </c>
      <c r="L2233" t="s">
        <v>6099</v>
      </c>
      <c r="M2233" t="s">
        <v>6100</v>
      </c>
      <c r="N2233">
        <v>4</v>
      </c>
      <c r="O2233" t="s">
        <v>6101</v>
      </c>
      <c r="P2233" t="s">
        <v>6110</v>
      </c>
      <c r="Q2233">
        <v>4</v>
      </c>
      <c r="R2233">
        <v>2026</v>
      </c>
      <c r="S2233" t="s">
        <v>6099</v>
      </c>
      <c r="T2233">
        <v>1</v>
      </c>
      <c r="U2233" t="s">
        <v>6018</v>
      </c>
      <c r="V2233">
        <v>0</v>
      </c>
    </row>
    <row r="2234" spans="1:22" x14ac:dyDescent="0.3">
      <c r="A2234" t="s">
        <v>2249</v>
      </c>
      <c r="B2234" s="2">
        <v>46117.587500000001</v>
      </c>
      <c r="C2234" s="2">
        <v>46122.429166666669</v>
      </c>
      <c r="D2234" t="s">
        <v>6026</v>
      </c>
      <c r="E2234" t="s">
        <v>6031</v>
      </c>
      <c r="F2234" t="s">
        <v>6034</v>
      </c>
      <c r="G2234" t="s">
        <v>6088</v>
      </c>
      <c r="H2234" t="s">
        <v>6097</v>
      </c>
      <c r="I2234">
        <v>24</v>
      </c>
      <c r="J2234">
        <v>116.2</v>
      </c>
      <c r="K2234" t="s">
        <v>6099</v>
      </c>
      <c r="L2234" t="s">
        <v>6100</v>
      </c>
      <c r="M2234" t="s">
        <v>6099</v>
      </c>
      <c r="N2234">
        <v>4</v>
      </c>
      <c r="O2234" t="s">
        <v>6101</v>
      </c>
      <c r="P2234" t="s">
        <v>6110</v>
      </c>
      <c r="Q2234">
        <v>4</v>
      </c>
      <c r="R2234">
        <v>2026</v>
      </c>
      <c r="S2234" t="s">
        <v>6100</v>
      </c>
      <c r="T2234">
        <v>0</v>
      </c>
      <c r="U2234" t="s">
        <v>6021</v>
      </c>
      <c r="V2234">
        <v>1</v>
      </c>
    </row>
    <row r="2235" spans="1:22" x14ac:dyDescent="0.3">
      <c r="A2235" t="s">
        <v>2250</v>
      </c>
      <c r="B2235" s="2">
        <v>46117.629166666666</v>
      </c>
      <c r="C2235" s="2">
        <v>46118.633333333331</v>
      </c>
      <c r="D2235" t="s">
        <v>6023</v>
      </c>
      <c r="E2235" t="s">
        <v>6032</v>
      </c>
      <c r="F2235" t="s">
        <v>6033</v>
      </c>
      <c r="G2235" t="s">
        <v>6075</v>
      </c>
      <c r="H2235" t="s">
        <v>6097</v>
      </c>
      <c r="I2235">
        <v>72</v>
      </c>
      <c r="J2235">
        <v>24.1</v>
      </c>
      <c r="K2235" t="s">
        <v>6099</v>
      </c>
      <c r="L2235" t="s">
        <v>6100</v>
      </c>
      <c r="M2235" t="s">
        <v>6100</v>
      </c>
      <c r="O2235" t="s">
        <v>6101</v>
      </c>
      <c r="P2235" t="s">
        <v>6110</v>
      </c>
      <c r="Q2235">
        <v>4</v>
      </c>
      <c r="R2235">
        <v>2026</v>
      </c>
      <c r="S2235" t="s">
        <v>6099</v>
      </c>
      <c r="T2235">
        <v>1</v>
      </c>
      <c r="U2235" t="s">
        <v>6019</v>
      </c>
      <c r="V2235">
        <v>1</v>
      </c>
    </row>
    <row r="2236" spans="1:22" x14ac:dyDescent="0.3">
      <c r="A2236" t="s">
        <v>2251</v>
      </c>
      <c r="B2236" s="2">
        <v>46117.690972222219</v>
      </c>
      <c r="C2236" s="2">
        <v>46118.915972222225</v>
      </c>
      <c r="D2236" t="s">
        <v>6027</v>
      </c>
      <c r="E2236" t="s">
        <v>6032</v>
      </c>
      <c r="F2236" t="s">
        <v>6035</v>
      </c>
      <c r="G2236" t="s">
        <v>6078</v>
      </c>
      <c r="H2236" t="s">
        <v>6097</v>
      </c>
      <c r="I2236">
        <v>4</v>
      </c>
      <c r="J2236">
        <v>29.4</v>
      </c>
      <c r="K2236" t="s">
        <v>6100</v>
      </c>
      <c r="L2236" t="s">
        <v>6099</v>
      </c>
      <c r="M2236" t="s">
        <v>6100</v>
      </c>
      <c r="N2236">
        <v>4</v>
      </c>
      <c r="O2236" t="s">
        <v>6101</v>
      </c>
      <c r="P2236" t="s">
        <v>6110</v>
      </c>
      <c r="Q2236">
        <v>4</v>
      </c>
      <c r="R2236">
        <v>2026</v>
      </c>
      <c r="S2236" t="s">
        <v>6100</v>
      </c>
      <c r="T2236">
        <v>0</v>
      </c>
      <c r="U2236" t="s">
        <v>6018</v>
      </c>
      <c r="V2236">
        <v>0</v>
      </c>
    </row>
    <row r="2237" spans="1:22" x14ac:dyDescent="0.3">
      <c r="A2237" t="s">
        <v>2252</v>
      </c>
      <c r="B2237" s="2">
        <v>46118.137499999997</v>
      </c>
      <c r="C2237" s="2">
        <v>46118.362500000003</v>
      </c>
      <c r="D2237" t="s">
        <v>6027</v>
      </c>
      <c r="E2237" t="s">
        <v>6030</v>
      </c>
      <c r="F2237" t="s">
        <v>6033</v>
      </c>
      <c r="G2237" t="s">
        <v>6037</v>
      </c>
      <c r="H2237" t="s">
        <v>6096</v>
      </c>
      <c r="I2237">
        <v>72</v>
      </c>
      <c r="J2237">
        <v>5.4</v>
      </c>
      <c r="K2237" t="s">
        <v>6099</v>
      </c>
      <c r="L2237" t="s">
        <v>6100</v>
      </c>
      <c r="M2237" t="s">
        <v>6100</v>
      </c>
      <c r="N2237">
        <v>5</v>
      </c>
      <c r="O2237" t="s">
        <v>6101</v>
      </c>
      <c r="P2237" t="s">
        <v>6110</v>
      </c>
      <c r="Q2237">
        <v>4</v>
      </c>
      <c r="R2237">
        <v>2026</v>
      </c>
      <c r="S2237" t="s">
        <v>6099</v>
      </c>
      <c r="T2237">
        <v>1</v>
      </c>
      <c r="U2237" t="s">
        <v>6020</v>
      </c>
      <c r="V2237">
        <v>1</v>
      </c>
    </row>
    <row r="2238" spans="1:22" x14ac:dyDescent="0.3">
      <c r="A2238" t="s">
        <v>2253</v>
      </c>
      <c r="B2238" s="2">
        <v>46118.189583333333</v>
      </c>
      <c r="C2238" s="2">
        <v>46118.73541666667</v>
      </c>
      <c r="D2238" t="s">
        <v>6023</v>
      </c>
      <c r="E2238" t="s">
        <v>6032</v>
      </c>
      <c r="F2238" t="s">
        <v>6034</v>
      </c>
      <c r="G2238" t="s">
        <v>6076</v>
      </c>
      <c r="H2238" t="s">
        <v>6097</v>
      </c>
      <c r="I2238">
        <v>24</v>
      </c>
      <c r="J2238">
        <v>13.1</v>
      </c>
      <c r="K2238" t="s">
        <v>6099</v>
      </c>
      <c r="L2238" t="s">
        <v>6100</v>
      </c>
      <c r="M2238" t="s">
        <v>6100</v>
      </c>
      <c r="N2238">
        <v>5</v>
      </c>
      <c r="O2238" t="s">
        <v>6101</v>
      </c>
      <c r="P2238" t="s">
        <v>6110</v>
      </c>
      <c r="Q2238">
        <v>4</v>
      </c>
      <c r="R2238">
        <v>2026</v>
      </c>
      <c r="S2238" t="s">
        <v>6099</v>
      </c>
      <c r="T2238">
        <v>1</v>
      </c>
      <c r="U2238" t="s">
        <v>6020</v>
      </c>
      <c r="V2238">
        <v>1</v>
      </c>
    </row>
    <row r="2239" spans="1:22" x14ac:dyDescent="0.3">
      <c r="A2239" t="s">
        <v>2254</v>
      </c>
      <c r="B2239" s="2">
        <v>46118.21597222222</v>
      </c>
      <c r="C2239" s="2">
        <v>46131.224305555559</v>
      </c>
      <c r="D2239" t="s">
        <v>6026</v>
      </c>
      <c r="E2239" t="s">
        <v>6031</v>
      </c>
      <c r="F2239" t="s">
        <v>6033</v>
      </c>
      <c r="G2239" t="s">
        <v>6041</v>
      </c>
      <c r="H2239" t="s">
        <v>6096</v>
      </c>
      <c r="I2239">
        <v>72</v>
      </c>
      <c r="J2239">
        <v>312.2</v>
      </c>
      <c r="K2239" t="s">
        <v>6100</v>
      </c>
      <c r="L2239" t="s">
        <v>6099</v>
      </c>
      <c r="M2239" t="s">
        <v>6100</v>
      </c>
      <c r="N2239">
        <v>3</v>
      </c>
      <c r="O2239" t="s">
        <v>6101</v>
      </c>
      <c r="P2239" t="s">
        <v>6110</v>
      </c>
      <c r="Q2239">
        <v>4</v>
      </c>
      <c r="R2239">
        <v>2026</v>
      </c>
      <c r="S2239" t="s">
        <v>6100</v>
      </c>
      <c r="T2239">
        <v>0</v>
      </c>
      <c r="U2239" t="s">
        <v>6021</v>
      </c>
      <c r="V2239">
        <v>0</v>
      </c>
    </row>
    <row r="2240" spans="1:22" x14ac:dyDescent="0.3">
      <c r="A2240" t="s">
        <v>2255</v>
      </c>
      <c r="B2240" s="2">
        <v>46118.318055555559</v>
      </c>
      <c r="C2240" s="2">
        <v>46118.880555555559</v>
      </c>
      <c r="D2240" t="s">
        <v>6024</v>
      </c>
      <c r="E2240" t="s">
        <v>6029</v>
      </c>
      <c r="F2240" t="s">
        <v>6034</v>
      </c>
      <c r="G2240" t="s">
        <v>6058</v>
      </c>
      <c r="H2240" t="s">
        <v>6098</v>
      </c>
      <c r="I2240">
        <v>24</v>
      </c>
      <c r="J2240">
        <v>13.5</v>
      </c>
      <c r="K2240" t="s">
        <v>6099</v>
      </c>
      <c r="L2240" t="s">
        <v>6100</v>
      </c>
      <c r="M2240" t="s">
        <v>6100</v>
      </c>
      <c r="N2240">
        <v>3</v>
      </c>
      <c r="O2240" t="s">
        <v>6101</v>
      </c>
      <c r="P2240" t="s">
        <v>6110</v>
      </c>
      <c r="Q2240">
        <v>4</v>
      </c>
      <c r="R2240">
        <v>2026</v>
      </c>
      <c r="S2240" t="s">
        <v>6099</v>
      </c>
      <c r="T2240">
        <v>1</v>
      </c>
      <c r="U2240" t="s">
        <v>6021</v>
      </c>
      <c r="V2240">
        <v>1</v>
      </c>
    </row>
    <row r="2241" spans="1:22" x14ac:dyDescent="0.3">
      <c r="A2241" t="s">
        <v>2256</v>
      </c>
      <c r="B2241" s="2">
        <v>46118.386111111111</v>
      </c>
      <c r="C2241" s="2">
        <v>46118.573611111111</v>
      </c>
      <c r="D2241" t="s">
        <v>6023</v>
      </c>
      <c r="E2241" t="s">
        <v>6030</v>
      </c>
      <c r="F2241" t="s">
        <v>6035</v>
      </c>
      <c r="G2241" t="s">
        <v>6041</v>
      </c>
      <c r="H2241" t="s">
        <v>6096</v>
      </c>
      <c r="I2241">
        <v>4</v>
      </c>
      <c r="J2241">
        <v>4.5</v>
      </c>
      <c r="K2241" t="s">
        <v>6099</v>
      </c>
      <c r="L2241" t="s">
        <v>6100</v>
      </c>
      <c r="M2241" t="s">
        <v>6099</v>
      </c>
      <c r="N2241">
        <v>4</v>
      </c>
      <c r="O2241" t="s">
        <v>6101</v>
      </c>
      <c r="P2241" t="s">
        <v>6110</v>
      </c>
      <c r="Q2241">
        <v>4</v>
      </c>
      <c r="R2241">
        <v>2026</v>
      </c>
      <c r="S2241" t="s">
        <v>6100</v>
      </c>
      <c r="T2241">
        <v>0</v>
      </c>
      <c r="U2241" t="s">
        <v>6021</v>
      </c>
      <c r="V2241">
        <v>1</v>
      </c>
    </row>
    <row r="2242" spans="1:22" x14ac:dyDescent="0.3">
      <c r="A2242" t="s">
        <v>2257</v>
      </c>
      <c r="B2242" s="2">
        <v>46118.439583333333</v>
      </c>
      <c r="C2242" s="2">
        <v>46118.997916666667</v>
      </c>
      <c r="D2242" t="s">
        <v>6028</v>
      </c>
      <c r="E2242" t="s">
        <v>6029</v>
      </c>
      <c r="F2242" t="s">
        <v>6034</v>
      </c>
      <c r="G2242" t="s">
        <v>6094</v>
      </c>
      <c r="H2242" t="s">
        <v>6098</v>
      </c>
      <c r="I2242">
        <v>24</v>
      </c>
      <c r="J2242">
        <v>13.4</v>
      </c>
      <c r="K2242" t="s">
        <v>6100</v>
      </c>
      <c r="L2242" t="s">
        <v>6099</v>
      </c>
      <c r="M2242" t="s">
        <v>6100</v>
      </c>
      <c r="N2242">
        <v>3</v>
      </c>
      <c r="O2242" t="s">
        <v>6101</v>
      </c>
      <c r="P2242" t="s">
        <v>6110</v>
      </c>
      <c r="Q2242">
        <v>4</v>
      </c>
      <c r="R2242">
        <v>2026</v>
      </c>
      <c r="S2242" t="s">
        <v>6099</v>
      </c>
      <c r="T2242">
        <v>1</v>
      </c>
      <c r="U2242" t="s">
        <v>6020</v>
      </c>
      <c r="V2242">
        <v>0</v>
      </c>
    </row>
    <row r="2243" spans="1:22" x14ac:dyDescent="0.3">
      <c r="A2243" t="s">
        <v>2258</v>
      </c>
      <c r="B2243" s="2">
        <v>46118.488888888889</v>
      </c>
      <c r="C2243" s="2">
        <v>46121.505555555559</v>
      </c>
      <c r="D2243" t="s">
        <v>6024</v>
      </c>
      <c r="E2243" t="s">
        <v>6031</v>
      </c>
      <c r="F2243" t="s">
        <v>6034</v>
      </c>
      <c r="G2243" t="s">
        <v>6068</v>
      </c>
      <c r="H2243" t="s">
        <v>6098</v>
      </c>
      <c r="I2243">
        <v>24</v>
      </c>
      <c r="J2243">
        <v>72.400000000000006</v>
      </c>
      <c r="K2243" t="s">
        <v>6099</v>
      </c>
      <c r="L2243" t="s">
        <v>6100</v>
      </c>
      <c r="M2243" t="s">
        <v>6100</v>
      </c>
      <c r="N2243">
        <v>4</v>
      </c>
      <c r="O2243" t="s">
        <v>6101</v>
      </c>
      <c r="P2243" t="s">
        <v>6110</v>
      </c>
      <c r="Q2243">
        <v>4</v>
      </c>
      <c r="R2243">
        <v>2026</v>
      </c>
      <c r="S2243" t="s">
        <v>6100</v>
      </c>
      <c r="T2243">
        <v>0</v>
      </c>
      <c r="U2243" t="s">
        <v>6018</v>
      </c>
      <c r="V2243">
        <v>1</v>
      </c>
    </row>
    <row r="2244" spans="1:22" x14ac:dyDescent="0.3">
      <c r="A2244" t="s">
        <v>2259</v>
      </c>
      <c r="B2244" s="2">
        <v>46118.500694444447</v>
      </c>
      <c r="C2244" s="2">
        <v>46118.692361111112</v>
      </c>
      <c r="D2244" t="s">
        <v>6022</v>
      </c>
      <c r="E2244" t="s">
        <v>6030</v>
      </c>
      <c r="F2244" t="s">
        <v>6033</v>
      </c>
      <c r="G2244" t="s">
        <v>6069</v>
      </c>
      <c r="H2244" t="s">
        <v>6098</v>
      </c>
      <c r="I2244">
        <v>72</v>
      </c>
      <c r="J2244">
        <v>4.5999999999999996</v>
      </c>
      <c r="K2244" t="s">
        <v>6100</v>
      </c>
      <c r="L2244" t="s">
        <v>6099</v>
      </c>
      <c r="M2244" t="s">
        <v>6099</v>
      </c>
      <c r="N2244">
        <v>4</v>
      </c>
      <c r="O2244" t="s">
        <v>6101</v>
      </c>
      <c r="P2244" t="s">
        <v>6110</v>
      </c>
      <c r="Q2244">
        <v>4</v>
      </c>
      <c r="R2244">
        <v>2026</v>
      </c>
      <c r="S2244" t="s">
        <v>6099</v>
      </c>
      <c r="T2244">
        <v>1</v>
      </c>
      <c r="U2244" t="s">
        <v>6020</v>
      </c>
      <c r="V2244">
        <v>0</v>
      </c>
    </row>
    <row r="2245" spans="1:22" x14ac:dyDescent="0.3">
      <c r="A2245" t="s">
        <v>2260</v>
      </c>
      <c r="B2245" s="2">
        <v>46118.53402777778</v>
      </c>
      <c r="C2245" s="2">
        <v>46118.867361111108</v>
      </c>
      <c r="D2245" t="s">
        <v>6028</v>
      </c>
      <c r="E2245" t="s">
        <v>6029</v>
      </c>
      <c r="F2245" t="s">
        <v>6034</v>
      </c>
      <c r="G2245" t="s">
        <v>6054</v>
      </c>
      <c r="H2245" t="s">
        <v>6096</v>
      </c>
      <c r="I2245">
        <v>24</v>
      </c>
      <c r="J2245">
        <v>8</v>
      </c>
      <c r="K2245" t="s">
        <v>6099</v>
      </c>
      <c r="L2245" t="s">
        <v>6100</v>
      </c>
      <c r="M2245" t="s">
        <v>6100</v>
      </c>
      <c r="O2245" t="s">
        <v>6101</v>
      </c>
      <c r="P2245" t="s">
        <v>6110</v>
      </c>
      <c r="Q2245">
        <v>4</v>
      </c>
      <c r="R2245">
        <v>2026</v>
      </c>
      <c r="S2245" t="s">
        <v>6099</v>
      </c>
      <c r="T2245">
        <v>1</v>
      </c>
      <c r="U2245" t="s">
        <v>6017</v>
      </c>
      <c r="V2245">
        <v>1</v>
      </c>
    </row>
    <row r="2246" spans="1:22" x14ac:dyDescent="0.3">
      <c r="A2246" t="s">
        <v>2261</v>
      </c>
      <c r="B2246" s="2">
        <v>46118.618055555555</v>
      </c>
      <c r="C2246" s="2">
        <v>46118.801388888889</v>
      </c>
      <c r="D2246" t="s">
        <v>6023</v>
      </c>
      <c r="E2246" t="s">
        <v>6030</v>
      </c>
      <c r="F2246" t="s">
        <v>6034</v>
      </c>
      <c r="G2246" t="s">
        <v>6095</v>
      </c>
      <c r="H2246" t="s">
        <v>6098</v>
      </c>
      <c r="I2246">
        <v>24</v>
      </c>
      <c r="J2246">
        <v>4.4000000000000004</v>
      </c>
      <c r="K2246" t="s">
        <v>6099</v>
      </c>
      <c r="L2246" t="s">
        <v>6100</v>
      </c>
      <c r="M2246" t="s">
        <v>6100</v>
      </c>
      <c r="N2246">
        <v>5</v>
      </c>
      <c r="O2246" t="s">
        <v>6101</v>
      </c>
      <c r="P2246" t="s">
        <v>6110</v>
      </c>
      <c r="Q2246">
        <v>4</v>
      </c>
      <c r="R2246">
        <v>2026</v>
      </c>
      <c r="S2246" t="s">
        <v>6099</v>
      </c>
      <c r="T2246">
        <v>1</v>
      </c>
      <c r="U2246" t="s">
        <v>6019</v>
      </c>
      <c r="V2246">
        <v>1</v>
      </c>
    </row>
    <row r="2247" spans="1:22" x14ac:dyDescent="0.3">
      <c r="A2247" t="s">
        <v>2262</v>
      </c>
      <c r="B2247" s="2">
        <v>46118.754166666666</v>
      </c>
      <c r="C2247" s="2">
        <v>46119.433333333334</v>
      </c>
      <c r="D2247" t="s">
        <v>6028</v>
      </c>
      <c r="E2247" t="s">
        <v>6031</v>
      </c>
      <c r="F2247" t="s">
        <v>6035</v>
      </c>
      <c r="G2247" t="s">
        <v>6065</v>
      </c>
      <c r="H2247" t="s">
        <v>6097</v>
      </c>
      <c r="I2247">
        <v>4</v>
      </c>
      <c r="J2247">
        <v>16.3</v>
      </c>
      <c r="K2247" t="s">
        <v>6100</v>
      </c>
      <c r="L2247" t="s">
        <v>6099</v>
      </c>
      <c r="M2247" t="s">
        <v>6100</v>
      </c>
      <c r="N2247">
        <v>2</v>
      </c>
      <c r="O2247" t="s">
        <v>6101</v>
      </c>
      <c r="P2247" t="s">
        <v>6110</v>
      </c>
      <c r="Q2247">
        <v>4</v>
      </c>
      <c r="R2247">
        <v>2026</v>
      </c>
      <c r="S2247" t="s">
        <v>6100</v>
      </c>
      <c r="T2247">
        <v>0</v>
      </c>
      <c r="U2247" t="s">
        <v>6017</v>
      </c>
      <c r="V2247">
        <v>0</v>
      </c>
    </row>
    <row r="2248" spans="1:22" x14ac:dyDescent="0.3">
      <c r="A2248" t="s">
        <v>2263</v>
      </c>
      <c r="B2248" s="2">
        <v>46119.177083333336</v>
      </c>
      <c r="C2248" s="2">
        <v>46122.481249999997</v>
      </c>
      <c r="D2248" t="s">
        <v>6026</v>
      </c>
      <c r="E2248" t="s">
        <v>6031</v>
      </c>
      <c r="F2248" t="s">
        <v>6034</v>
      </c>
      <c r="G2248" t="s">
        <v>6056</v>
      </c>
      <c r="H2248" t="s">
        <v>6098</v>
      </c>
      <c r="I2248">
        <v>24</v>
      </c>
      <c r="J2248">
        <v>79.3</v>
      </c>
      <c r="K2248" t="s">
        <v>6099</v>
      </c>
      <c r="L2248" t="s">
        <v>6100</v>
      </c>
      <c r="M2248" t="s">
        <v>6100</v>
      </c>
      <c r="N2248">
        <v>4</v>
      </c>
      <c r="O2248" t="s">
        <v>6101</v>
      </c>
      <c r="P2248" t="s">
        <v>6110</v>
      </c>
      <c r="Q2248">
        <v>4</v>
      </c>
      <c r="R2248">
        <v>2026</v>
      </c>
      <c r="S2248" t="s">
        <v>6100</v>
      </c>
      <c r="T2248">
        <v>0</v>
      </c>
      <c r="U2248" t="s">
        <v>6020</v>
      </c>
      <c r="V2248">
        <v>1</v>
      </c>
    </row>
    <row r="2249" spans="1:22" x14ac:dyDescent="0.3">
      <c r="A2249" t="s">
        <v>2264</v>
      </c>
      <c r="B2249" s="2">
        <v>46119.211805555555</v>
      </c>
      <c r="C2249" s="2">
        <v>46119.411805555559</v>
      </c>
      <c r="D2249" t="s">
        <v>6023</v>
      </c>
      <c r="E2249" t="s">
        <v>6030</v>
      </c>
      <c r="F2249" t="s">
        <v>6034</v>
      </c>
      <c r="G2249" t="s">
        <v>6044</v>
      </c>
      <c r="H2249" t="s">
        <v>6097</v>
      </c>
      <c r="I2249">
        <v>24</v>
      </c>
      <c r="J2249">
        <v>4.8</v>
      </c>
      <c r="K2249" t="s">
        <v>6099</v>
      </c>
      <c r="L2249" t="s">
        <v>6100</v>
      </c>
      <c r="M2249" t="s">
        <v>6100</v>
      </c>
      <c r="O2249" t="s">
        <v>6101</v>
      </c>
      <c r="P2249" t="s">
        <v>6110</v>
      </c>
      <c r="Q2249">
        <v>4</v>
      </c>
      <c r="R2249">
        <v>2026</v>
      </c>
      <c r="S2249" t="s">
        <v>6099</v>
      </c>
      <c r="T2249">
        <v>1</v>
      </c>
      <c r="U2249" t="s">
        <v>6020</v>
      </c>
      <c r="V2249">
        <v>1</v>
      </c>
    </row>
    <row r="2250" spans="1:22" x14ac:dyDescent="0.3">
      <c r="A2250" t="s">
        <v>2265</v>
      </c>
      <c r="B2250" s="2">
        <v>46119.308333333334</v>
      </c>
      <c r="C2250" s="2">
        <v>46119.8125</v>
      </c>
      <c r="D2250" t="s">
        <v>6028</v>
      </c>
      <c r="E2250" t="s">
        <v>6029</v>
      </c>
      <c r="F2250" t="s">
        <v>6034</v>
      </c>
      <c r="G2250" t="s">
        <v>6061</v>
      </c>
      <c r="H2250" t="s">
        <v>6096</v>
      </c>
      <c r="I2250">
        <v>24</v>
      </c>
      <c r="J2250">
        <v>12.1</v>
      </c>
      <c r="K2250" t="s">
        <v>6100</v>
      </c>
      <c r="L2250" t="s">
        <v>6099</v>
      </c>
      <c r="M2250" t="s">
        <v>6100</v>
      </c>
      <c r="N2250">
        <v>3</v>
      </c>
      <c r="O2250" t="s">
        <v>6101</v>
      </c>
      <c r="P2250" t="s">
        <v>6110</v>
      </c>
      <c r="Q2250">
        <v>4</v>
      </c>
      <c r="R2250">
        <v>2026</v>
      </c>
      <c r="S2250" t="s">
        <v>6099</v>
      </c>
      <c r="T2250">
        <v>1</v>
      </c>
      <c r="U2250" t="s">
        <v>6019</v>
      </c>
      <c r="V2250">
        <v>0</v>
      </c>
    </row>
    <row r="2251" spans="1:22" x14ac:dyDescent="0.3">
      <c r="A2251" t="s">
        <v>2266</v>
      </c>
      <c r="B2251" s="2">
        <v>46119.319444444445</v>
      </c>
      <c r="C2251" s="2">
        <v>46119.852777777778</v>
      </c>
      <c r="D2251" t="s">
        <v>6022</v>
      </c>
      <c r="E2251" t="s">
        <v>6029</v>
      </c>
      <c r="F2251" t="s">
        <v>6034</v>
      </c>
      <c r="G2251" t="s">
        <v>6036</v>
      </c>
      <c r="H2251" t="s">
        <v>6096</v>
      </c>
      <c r="I2251">
        <v>24</v>
      </c>
      <c r="J2251">
        <v>12.8</v>
      </c>
      <c r="K2251" t="s">
        <v>6100</v>
      </c>
      <c r="L2251" t="s">
        <v>6099</v>
      </c>
      <c r="M2251" t="s">
        <v>6100</v>
      </c>
      <c r="O2251" t="s">
        <v>6101</v>
      </c>
      <c r="P2251" t="s">
        <v>6110</v>
      </c>
      <c r="Q2251">
        <v>4</v>
      </c>
      <c r="R2251">
        <v>2026</v>
      </c>
      <c r="S2251" t="s">
        <v>6099</v>
      </c>
      <c r="T2251">
        <v>1</v>
      </c>
      <c r="U2251" t="s">
        <v>6020</v>
      </c>
      <c r="V2251">
        <v>0</v>
      </c>
    </row>
    <row r="2252" spans="1:22" x14ac:dyDescent="0.3">
      <c r="A2252" t="s">
        <v>2267</v>
      </c>
      <c r="B2252" s="2">
        <v>46119.422222222223</v>
      </c>
      <c r="C2252" s="2">
        <v>46125.109722222223</v>
      </c>
      <c r="D2252" t="s">
        <v>6026</v>
      </c>
      <c r="E2252" t="s">
        <v>6031</v>
      </c>
      <c r="F2252" t="s">
        <v>6034</v>
      </c>
      <c r="G2252" t="s">
        <v>6060</v>
      </c>
      <c r="H2252" t="s">
        <v>6097</v>
      </c>
      <c r="I2252">
        <v>24</v>
      </c>
      <c r="J2252">
        <v>136.5</v>
      </c>
      <c r="K2252" t="s">
        <v>6099</v>
      </c>
      <c r="L2252" t="s">
        <v>6100</v>
      </c>
      <c r="M2252" t="s">
        <v>6100</v>
      </c>
      <c r="N2252">
        <v>3</v>
      </c>
      <c r="O2252" t="s">
        <v>6101</v>
      </c>
      <c r="P2252" t="s">
        <v>6110</v>
      </c>
      <c r="Q2252">
        <v>4</v>
      </c>
      <c r="R2252">
        <v>2026</v>
      </c>
      <c r="S2252" t="s">
        <v>6100</v>
      </c>
      <c r="T2252">
        <v>0</v>
      </c>
      <c r="U2252" t="s">
        <v>6020</v>
      </c>
      <c r="V2252">
        <v>1</v>
      </c>
    </row>
    <row r="2253" spans="1:22" x14ac:dyDescent="0.3">
      <c r="A2253" t="s">
        <v>2268</v>
      </c>
      <c r="B2253" s="2">
        <v>46119.446527777778</v>
      </c>
      <c r="C2253" s="2">
        <v>46120.767361111109</v>
      </c>
      <c r="D2253" t="s">
        <v>6026</v>
      </c>
      <c r="E2253" t="s">
        <v>6032</v>
      </c>
      <c r="F2253" t="s">
        <v>6034</v>
      </c>
      <c r="G2253" t="s">
        <v>6064</v>
      </c>
      <c r="H2253" t="s">
        <v>6096</v>
      </c>
      <c r="I2253">
        <v>24</v>
      </c>
      <c r="J2253">
        <v>31.7</v>
      </c>
      <c r="K2253" t="s">
        <v>6100</v>
      </c>
      <c r="L2253" t="s">
        <v>6099</v>
      </c>
      <c r="M2253" t="s">
        <v>6100</v>
      </c>
      <c r="N2253">
        <v>4</v>
      </c>
      <c r="O2253" t="s">
        <v>6101</v>
      </c>
      <c r="P2253" t="s">
        <v>6110</v>
      </c>
      <c r="Q2253">
        <v>4</v>
      </c>
      <c r="R2253">
        <v>2026</v>
      </c>
      <c r="S2253" t="s">
        <v>6100</v>
      </c>
      <c r="T2253">
        <v>0</v>
      </c>
      <c r="U2253" t="s">
        <v>6021</v>
      </c>
      <c r="V2253">
        <v>0</v>
      </c>
    </row>
    <row r="2254" spans="1:22" x14ac:dyDescent="0.3">
      <c r="A2254" t="s">
        <v>2269</v>
      </c>
      <c r="B2254" s="2">
        <v>46119.461805555555</v>
      </c>
      <c r="C2254" s="2">
        <v>46120.77847222222</v>
      </c>
      <c r="D2254" t="s">
        <v>6022</v>
      </c>
      <c r="E2254" t="s">
        <v>6031</v>
      </c>
      <c r="F2254" t="s">
        <v>6033</v>
      </c>
      <c r="G2254" t="s">
        <v>6069</v>
      </c>
      <c r="H2254" t="s">
        <v>6098</v>
      </c>
      <c r="I2254">
        <v>72</v>
      </c>
      <c r="J2254">
        <v>31.6</v>
      </c>
      <c r="K2254" t="s">
        <v>6099</v>
      </c>
      <c r="L2254" t="s">
        <v>6100</v>
      </c>
      <c r="M2254" t="s">
        <v>6100</v>
      </c>
      <c r="O2254" t="s">
        <v>6101</v>
      </c>
      <c r="P2254" t="s">
        <v>6110</v>
      </c>
      <c r="Q2254">
        <v>4</v>
      </c>
      <c r="R2254">
        <v>2026</v>
      </c>
      <c r="S2254" t="s">
        <v>6099</v>
      </c>
      <c r="T2254">
        <v>1</v>
      </c>
      <c r="U2254" t="s">
        <v>6021</v>
      </c>
      <c r="V2254">
        <v>1</v>
      </c>
    </row>
    <row r="2255" spans="1:22" x14ac:dyDescent="0.3">
      <c r="A2255" t="s">
        <v>2270</v>
      </c>
      <c r="B2255" s="2">
        <v>46119.538888888892</v>
      </c>
      <c r="C2255" s="2">
        <v>46120.805555555555</v>
      </c>
      <c r="D2255" t="s">
        <v>6025</v>
      </c>
      <c r="E2255" t="s">
        <v>6031</v>
      </c>
      <c r="F2255" t="s">
        <v>6035</v>
      </c>
      <c r="G2255" t="s">
        <v>6079</v>
      </c>
      <c r="H2255" t="s">
        <v>6097</v>
      </c>
      <c r="I2255">
        <v>4</v>
      </c>
      <c r="J2255">
        <v>30.4</v>
      </c>
      <c r="K2255" t="s">
        <v>6099</v>
      </c>
      <c r="L2255" t="s">
        <v>6100</v>
      </c>
      <c r="M2255" t="s">
        <v>6099</v>
      </c>
      <c r="N2255">
        <v>5</v>
      </c>
      <c r="O2255" t="s">
        <v>6101</v>
      </c>
      <c r="P2255" t="s">
        <v>6110</v>
      </c>
      <c r="Q2255">
        <v>4</v>
      </c>
      <c r="R2255">
        <v>2026</v>
      </c>
      <c r="S2255" t="s">
        <v>6100</v>
      </c>
      <c r="T2255">
        <v>0</v>
      </c>
      <c r="U2255" t="s">
        <v>6018</v>
      </c>
      <c r="V2255">
        <v>1</v>
      </c>
    </row>
    <row r="2256" spans="1:22" x14ac:dyDescent="0.3">
      <c r="A2256" t="s">
        <v>2271</v>
      </c>
      <c r="B2256" s="2">
        <v>46119.54791666667</v>
      </c>
      <c r="C2256" s="2">
        <v>46119.714583333334</v>
      </c>
      <c r="D2256" t="s">
        <v>6024</v>
      </c>
      <c r="E2256" t="s">
        <v>6029</v>
      </c>
      <c r="F2256" t="s">
        <v>6034</v>
      </c>
      <c r="G2256" t="s">
        <v>6063</v>
      </c>
      <c r="H2256" t="s">
        <v>6097</v>
      </c>
      <c r="I2256">
        <v>24</v>
      </c>
      <c r="J2256">
        <v>4</v>
      </c>
      <c r="K2256" t="s">
        <v>6099</v>
      </c>
      <c r="L2256" t="s">
        <v>6100</v>
      </c>
      <c r="M2256" t="s">
        <v>6100</v>
      </c>
      <c r="N2256">
        <v>5</v>
      </c>
      <c r="O2256" t="s">
        <v>6101</v>
      </c>
      <c r="P2256" t="s">
        <v>6110</v>
      </c>
      <c r="Q2256">
        <v>4</v>
      </c>
      <c r="R2256">
        <v>2026</v>
      </c>
      <c r="S2256" t="s">
        <v>6099</v>
      </c>
      <c r="T2256">
        <v>1</v>
      </c>
      <c r="U2256" t="s">
        <v>6020</v>
      </c>
      <c r="V2256">
        <v>1</v>
      </c>
    </row>
    <row r="2257" spans="1:22" x14ac:dyDescent="0.3">
      <c r="A2257" t="s">
        <v>2272</v>
      </c>
      <c r="B2257" s="2">
        <v>46119.574305555558</v>
      </c>
      <c r="C2257" s="2">
        <v>46120.245138888888</v>
      </c>
      <c r="D2257" t="s">
        <v>6028</v>
      </c>
      <c r="E2257" t="s">
        <v>6031</v>
      </c>
      <c r="F2257" t="s">
        <v>6034</v>
      </c>
      <c r="G2257" t="s">
        <v>6037</v>
      </c>
      <c r="H2257" t="s">
        <v>6096</v>
      </c>
      <c r="I2257">
        <v>24</v>
      </c>
      <c r="J2257">
        <v>16.100000000000001</v>
      </c>
      <c r="K2257" t="s">
        <v>6100</v>
      </c>
      <c r="L2257" t="s">
        <v>6099</v>
      </c>
      <c r="M2257" t="s">
        <v>6099</v>
      </c>
      <c r="N2257">
        <v>3</v>
      </c>
      <c r="O2257" t="s">
        <v>6101</v>
      </c>
      <c r="P2257" t="s">
        <v>6110</v>
      </c>
      <c r="Q2257">
        <v>4</v>
      </c>
      <c r="R2257">
        <v>2026</v>
      </c>
      <c r="S2257" t="s">
        <v>6099</v>
      </c>
      <c r="T2257">
        <v>1</v>
      </c>
      <c r="U2257" t="s">
        <v>6018</v>
      </c>
      <c r="V2257">
        <v>0</v>
      </c>
    </row>
    <row r="2258" spans="1:22" x14ac:dyDescent="0.3">
      <c r="A2258" t="s">
        <v>2273</v>
      </c>
      <c r="B2258" s="2">
        <v>46119.601388888892</v>
      </c>
      <c r="C2258" s="2">
        <v>46121.99722222222</v>
      </c>
      <c r="D2258" t="s">
        <v>6026</v>
      </c>
      <c r="E2258" t="s">
        <v>6031</v>
      </c>
      <c r="F2258" t="s">
        <v>6033</v>
      </c>
      <c r="G2258" t="s">
        <v>6065</v>
      </c>
      <c r="H2258" t="s">
        <v>6097</v>
      </c>
      <c r="I2258">
        <v>72</v>
      </c>
      <c r="J2258">
        <v>57.5</v>
      </c>
      <c r="K2258" t="s">
        <v>6099</v>
      </c>
      <c r="L2258" t="s">
        <v>6100</v>
      </c>
      <c r="M2258" t="s">
        <v>6100</v>
      </c>
      <c r="N2258">
        <v>5</v>
      </c>
      <c r="O2258" t="s">
        <v>6101</v>
      </c>
      <c r="P2258" t="s">
        <v>6110</v>
      </c>
      <c r="Q2258">
        <v>4</v>
      </c>
      <c r="R2258">
        <v>2026</v>
      </c>
      <c r="S2258" t="s">
        <v>6099</v>
      </c>
      <c r="T2258">
        <v>1</v>
      </c>
      <c r="U2258" t="s">
        <v>6017</v>
      </c>
      <c r="V2258">
        <v>1</v>
      </c>
    </row>
    <row r="2259" spans="1:22" x14ac:dyDescent="0.3">
      <c r="A2259" t="s">
        <v>2274</v>
      </c>
      <c r="B2259" s="2">
        <v>46119.723611111112</v>
      </c>
      <c r="C2259" s="2">
        <v>46119.806944444441</v>
      </c>
      <c r="D2259" t="s">
        <v>6023</v>
      </c>
      <c r="E2259" t="s">
        <v>6030</v>
      </c>
      <c r="F2259" t="s">
        <v>6033</v>
      </c>
      <c r="G2259" t="s">
        <v>6053</v>
      </c>
      <c r="H2259" t="s">
        <v>6097</v>
      </c>
      <c r="I2259">
        <v>72</v>
      </c>
      <c r="J2259">
        <v>2</v>
      </c>
      <c r="K2259" t="s">
        <v>6100</v>
      </c>
      <c r="L2259" t="s">
        <v>6099</v>
      </c>
      <c r="M2259" t="s">
        <v>6100</v>
      </c>
      <c r="N2259">
        <v>2</v>
      </c>
      <c r="O2259" t="s">
        <v>6101</v>
      </c>
      <c r="P2259" t="s">
        <v>6110</v>
      </c>
      <c r="Q2259">
        <v>4</v>
      </c>
      <c r="R2259">
        <v>2026</v>
      </c>
      <c r="S2259" t="s">
        <v>6099</v>
      </c>
      <c r="T2259">
        <v>1</v>
      </c>
      <c r="U2259" t="s">
        <v>6017</v>
      </c>
      <c r="V2259">
        <v>0</v>
      </c>
    </row>
    <row r="2260" spans="1:22" x14ac:dyDescent="0.3">
      <c r="A2260" t="s">
        <v>2275</v>
      </c>
      <c r="B2260" s="2">
        <v>46119.727777777778</v>
      </c>
      <c r="C2260" s="2">
        <v>46120.223611111112</v>
      </c>
      <c r="D2260" t="s">
        <v>6022</v>
      </c>
      <c r="E2260" t="s">
        <v>6030</v>
      </c>
      <c r="F2260" t="s">
        <v>6034</v>
      </c>
      <c r="G2260" t="s">
        <v>6053</v>
      </c>
      <c r="H2260" t="s">
        <v>6097</v>
      </c>
      <c r="I2260">
        <v>24</v>
      </c>
      <c r="J2260">
        <v>11.9</v>
      </c>
      <c r="K2260" t="s">
        <v>6099</v>
      </c>
      <c r="L2260" t="s">
        <v>6100</v>
      </c>
      <c r="M2260" t="s">
        <v>6100</v>
      </c>
      <c r="N2260">
        <v>5</v>
      </c>
      <c r="O2260" t="s">
        <v>6101</v>
      </c>
      <c r="P2260" t="s">
        <v>6110</v>
      </c>
      <c r="Q2260">
        <v>4</v>
      </c>
      <c r="R2260">
        <v>2026</v>
      </c>
      <c r="S2260" t="s">
        <v>6099</v>
      </c>
      <c r="T2260">
        <v>1</v>
      </c>
      <c r="U2260" t="s">
        <v>6019</v>
      </c>
      <c r="V2260">
        <v>1</v>
      </c>
    </row>
    <row r="2261" spans="1:22" x14ac:dyDescent="0.3">
      <c r="A2261" t="s">
        <v>2276</v>
      </c>
      <c r="B2261" s="2">
        <v>46119.842361111114</v>
      </c>
      <c r="C2261" s="2">
        <v>46120.417361111111</v>
      </c>
      <c r="D2261" t="s">
        <v>6024</v>
      </c>
      <c r="E2261" t="s">
        <v>6030</v>
      </c>
      <c r="F2261" t="s">
        <v>6034</v>
      </c>
      <c r="G2261" t="s">
        <v>6043</v>
      </c>
      <c r="H2261" t="s">
        <v>6097</v>
      </c>
      <c r="I2261">
        <v>24</v>
      </c>
      <c r="J2261">
        <v>13.8</v>
      </c>
      <c r="K2261" t="s">
        <v>6099</v>
      </c>
      <c r="L2261" t="s">
        <v>6100</v>
      </c>
      <c r="M2261" t="s">
        <v>6099</v>
      </c>
      <c r="N2261">
        <v>5</v>
      </c>
      <c r="O2261" t="s">
        <v>6101</v>
      </c>
      <c r="P2261" t="s">
        <v>6110</v>
      </c>
      <c r="Q2261">
        <v>4</v>
      </c>
      <c r="R2261">
        <v>2026</v>
      </c>
      <c r="S2261" t="s">
        <v>6099</v>
      </c>
      <c r="T2261">
        <v>1</v>
      </c>
      <c r="U2261" t="s">
        <v>6019</v>
      </c>
      <c r="V2261">
        <v>1</v>
      </c>
    </row>
    <row r="2262" spans="1:22" x14ac:dyDescent="0.3">
      <c r="A2262" t="s">
        <v>2277</v>
      </c>
      <c r="B2262" s="2">
        <v>46119.859722222223</v>
      </c>
      <c r="C2262" s="2">
        <v>46120.913888888892</v>
      </c>
      <c r="D2262" t="s">
        <v>6028</v>
      </c>
      <c r="E2262" t="s">
        <v>6031</v>
      </c>
      <c r="F2262" t="s">
        <v>6035</v>
      </c>
      <c r="G2262" t="s">
        <v>6043</v>
      </c>
      <c r="H2262" t="s">
        <v>6097</v>
      </c>
      <c r="I2262">
        <v>4</v>
      </c>
      <c r="J2262">
        <v>25.3</v>
      </c>
      <c r="K2262" t="s">
        <v>6099</v>
      </c>
      <c r="L2262" t="s">
        <v>6100</v>
      </c>
      <c r="M2262" t="s">
        <v>6100</v>
      </c>
      <c r="N2262">
        <v>5</v>
      </c>
      <c r="O2262" t="s">
        <v>6101</v>
      </c>
      <c r="P2262" t="s">
        <v>6110</v>
      </c>
      <c r="Q2262">
        <v>4</v>
      </c>
      <c r="R2262">
        <v>2026</v>
      </c>
      <c r="S2262" t="s">
        <v>6100</v>
      </c>
      <c r="T2262">
        <v>0</v>
      </c>
      <c r="U2262" t="s">
        <v>6020</v>
      </c>
      <c r="V2262">
        <v>1</v>
      </c>
    </row>
    <row r="2263" spans="1:22" x14ac:dyDescent="0.3">
      <c r="A2263" t="s">
        <v>2278</v>
      </c>
      <c r="B2263" s="2">
        <v>46120.288194444445</v>
      </c>
      <c r="C2263" s="2">
        <v>46121.375694444447</v>
      </c>
      <c r="D2263" t="s">
        <v>6027</v>
      </c>
      <c r="E2263" t="s">
        <v>6031</v>
      </c>
      <c r="F2263" t="s">
        <v>6035</v>
      </c>
      <c r="G2263" t="s">
        <v>6038</v>
      </c>
      <c r="H2263" t="s">
        <v>6096</v>
      </c>
      <c r="I2263">
        <v>4</v>
      </c>
      <c r="J2263">
        <v>26.1</v>
      </c>
      <c r="K2263" t="s">
        <v>6100</v>
      </c>
      <c r="L2263" t="s">
        <v>6100</v>
      </c>
      <c r="M2263" t="s">
        <v>6100</v>
      </c>
      <c r="O2263" t="s">
        <v>6101</v>
      </c>
      <c r="P2263" t="s">
        <v>6110</v>
      </c>
      <c r="Q2263">
        <v>4</v>
      </c>
      <c r="R2263">
        <v>2026</v>
      </c>
      <c r="S2263" t="s">
        <v>6100</v>
      </c>
      <c r="T2263">
        <v>0</v>
      </c>
      <c r="U2263" t="s">
        <v>6021</v>
      </c>
      <c r="V2263">
        <v>0</v>
      </c>
    </row>
    <row r="2264" spans="1:22" x14ac:dyDescent="0.3">
      <c r="A2264" t="s">
        <v>2279</v>
      </c>
      <c r="B2264" s="2">
        <v>46120.318749999999</v>
      </c>
      <c r="C2264" s="2">
        <v>46120.84375</v>
      </c>
      <c r="D2264" t="s">
        <v>6024</v>
      </c>
      <c r="E2264" t="s">
        <v>6029</v>
      </c>
      <c r="F2264" t="s">
        <v>6034</v>
      </c>
      <c r="G2264" t="s">
        <v>6052</v>
      </c>
      <c r="H2264" t="s">
        <v>6098</v>
      </c>
      <c r="I2264">
        <v>24</v>
      </c>
      <c r="J2264">
        <v>12.6</v>
      </c>
      <c r="K2264" t="s">
        <v>6099</v>
      </c>
      <c r="L2264" t="s">
        <v>6100</v>
      </c>
      <c r="M2264" t="s">
        <v>6100</v>
      </c>
      <c r="O2264" t="s">
        <v>6101</v>
      </c>
      <c r="P2264" t="s">
        <v>6110</v>
      </c>
      <c r="Q2264">
        <v>4</v>
      </c>
      <c r="R2264">
        <v>2026</v>
      </c>
      <c r="S2264" t="s">
        <v>6099</v>
      </c>
      <c r="T2264">
        <v>1</v>
      </c>
      <c r="U2264" t="s">
        <v>6019</v>
      </c>
      <c r="V2264">
        <v>1</v>
      </c>
    </row>
    <row r="2265" spans="1:22" x14ac:dyDescent="0.3">
      <c r="A2265" t="s">
        <v>2280</v>
      </c>
      <c r="B2265" s="2">
        <v>46120.36041666667</v>
      </c>
      <c r="C2265" s="2">
        <v>46120.84375</v>
      </c>
      <c r="D2265" t="s">
        <v>6027</v>
      </c>
      <c r="E2265" t="s">
        <v>6032</v>
      </c>
      <c r="F2265" t="s">
        <v>6034</v>
      </c>
      <c r="G2265" t="s">
        <v>6087</v>
      </c>
      <c r="H2265" t="s">
        <v>6098</v>
      </c>
      <c r="I2265">
        <v>24</v>
      </c>
      <c r="J2265">
        <v>11.6</v>
      </c>
      <c r="K2265" t="s">
        <v>6099</v>
      </c>
      <c r="L2265" t="s">
        <v>6100</v>
      </c>
      <c r="M2265" t="s">
        <v>6100</v>
      </c>
      <c r="O2265" t="s">
        <v>6101</v>
      </c>
      <c r="P2265" t="s">
        <v>6110</v>
      </c>
      <c r="Q2265">
        <v>4</v>
      </c>
      <c r="R2265">
        <v>2026</v>
      </c>
      <c r="S2265" t="s">
        <v>6099</v>
      </c>
      <c r="T2265">
        <v>1</v>
      </c>
      <c r="U2265" t="s">
        <v>6017</v>
      </c>
      <c r="V2265">
        <v>1</v>
      </c>
    </row>
    <row r="2266" spans="1:22" x14ac:dyDescent="0.3">
      <c r="A2266" t="s">
        <v>2281</v>
      </c>
      <c r="B2266" s="2">
        <v>46120.421527777777</v>
      </c>
      <c r="C2266" s="2">
        <v>46120.717361111114</v>
      </c>
      <c r="D2266" t="s">
        <v>6023</v>
      </c>
      <c r="E2266" t="s">
        <v>6029</v>
      </c>
      <c r="F2266" t="s">
        <v>6034</v>
      </c>
      <c r="G2266" t="s">
        <v>6089</v>
      </c>
      <c r="H2266" t="s">
        <v>6098</v>
      </c>
      <c r="I2266">
        <v>24</v>
      </c>
      <c r="J2266">
        <v>7.1</v>
      </c>
      <c r="K2266" t="s">
        <v>6099</v>
      </c>
      <c r="L2266" t="s">
        <v>6100</v>
      </c>
      <c r="M2266" t="s">
        <v>6100</v>
      </c>
      <c r="N2266">
        <v>5</v>
      </c>
      <c r="O2266" t="s">
        <v>6101</v>
      </c>
      <c r="P2266" t="s">
        <v>6110</v>
      </c>
      <c r="Q2266">
        <v>4</v>
      </c>
      <c r="R2266">
        <v>2026</v>
      </c>
      <c r="S2266" t="s">
        <v>6099</v>
      </c>
      <c r="T2266">
        <v>1</v>
      </c>
      <c r="U2266" t="s">
        <v>6019</v>
      </c>
      <c r="V2266">
        <v>1</v>
      </c>
    </row>
    <row r="2267" spans="1:22" x14ac:dyDescent="0.3">
      <c r="A2267" t="s">
        <v>2282</v>
      </c>
      <c r="B2267" s="2">
        <v>46120.434027777781</v>
      </c>
      <c r="C2267" s="2">
        <v>46120.913194444445</v>
      </c>
      <c r="D2267" t="s">
        <v>6023</v>
      </c>
      <c r="E2267" t="s">
        <v>6032</v>
      </c>
      <c r="F2267" t="s">
        <v>6034</v>
      </c>
      <c r="G2267" t="s">
        <v>6060</v>
      </c>
      <c r="H2267" t="s">
        <v>6097</v>
      </c>
      <c r="I2267">
        <v>24</v>
      </c>
      <c r="J2267">
        <v>11.5</v>
      </c>
      <c r="K2267" t="s">
        <v>6099</v>
      </c>
      <c r="L2267" t="s">
        <v>6100</v>
      </c>
      <c r="M2267" t="s">
        <v>6100</v>
      </c>
      <c r="N2267">
        <v>5</v>
      </c>
      <c r="O2267" t="s">
        <v>6101</v>
      </c>
      <c r="P2267" t="s">
        <v>6110</v>
      </c>
      <c r="Q2267">
        <v>4</v>
      </c>
      <c r="R2267">
        <v>2026</v>
      </c>
      <c r="S2267" t="s">
        <v>6099</v>
      </c>
      <c r="T2267">
        <v>1</v>
      </c>
      <c r="U2267" t="s">
        <v>6018</v>
      </c>
      <c r="V2267">
        <v>1</v>
      </c>
    </row>
    <row r="2268" spans="1:22" x14ac:dyDescent="0.3">
      <c r="A2268" t="s">
        <v>2283</v>
      </c>
      <c r="B2268" s="2">
        <v>46120.4375</v>
      </c>
      <c r="C2268" s="2">
        <v>46121.75</v>
      </c>
      <c r="D2268" t="s">
        <v>6025</v>
      </c>
      <c r="E2268" t="s">
        <v>6031</v>
      </c>
      <c r="F2268" t="s">
        <v>6034</v>
      </c>
      <c r="G2268" t="s">
        <v>6094</v>
      </c>
      <c r="H2268" t="s">
        <v>6098</v>
      </c>
      <c r="I2268">
        <v>24</v>
      </c>
      <c r="J2268">
        <v>31.5</v>
      </c>
      <c r="K2268" t="s">
        <v>6099</v>
      </c>
      <c r="L2268" t="s">
        <v>6100</v>
      </c>
      <c r="M2268" t="s">
        <v>6100</v>
      </c>
      <c r="N2268">
        <v>5</v>
      </c>
      <c r="O2268" t="s">
        <v>6101</v>
      </c>
      <c r="P2268" t="s">
        <v>6110</v>
      </c>
      <c r="Q2268">
        <v>4</v>
      </c>
      <c r="R2268">
        <v>2026</v>
      </c>
      <c r="S2268" t="s">
        <v>6100</v>
      </c>
      <c r="T2268">
        <v>0</v>
      </c>
      <c r="U2268" t="s">
        <v>6021</v>
      </c>
      <c r="V2268">
        <v>1</v>
      </c>
    </row>
    <row r="2269" spans="1:22" x14ac:dyDescent="0.3">
      <c r="A2269" t="s">
        <v>2284</v>
      </c>
      <c r="B2269" s="2">
        <v>46120.4375</v>
      </c>
      <c r="C2269" s="2">
        <v>46121.854166666664</v>
      </c>
      <c r="D2269" t="s">
        <v>6026</v>
      </c>
      <c r="E2269" t="s">
        <v>6032</v>
      </c>
      <c r="F2269" t="s">
        <v>6034</v>
      </c>
      <c r="G2269" t="s">
        <v>6064</v>
      </c>
      <c r="H2269" t="s">
        <v>6096</v>
      </c>
      <c r="I2269">
        <v>24</v>
      </c>
      <c r="J2269">
        <v>34</v>
      </c>
      <c r="K2269" t="s">
        <v>6100</v>
      </c>
      <c r="L2269" t="s">
        <v>6100</v>
      </c>
      <c r="M2269" t="s">
        <v>6100</v>
      </c>
      <c r="O2269" t="s">
        <v>6101</v>
      </c>
      <c r="P2269" t="s">
        <v>6110</v>
      </c>
      <c r="Q2269">
        <v>4</v>
      </c>
      <c r="R2269">
        <v>2026</v>
      </c>
      <c r="S2269" t="s">
        <v>6100</v>
      </c>
      <c r="T2269">
        <v>0</v>
      </c>
      <c r="U2269" t="s">
        <v>6021</v>
      </c>
      <c r="V2269">
        <v>0</v>
      </c>
    </row>
    <row r="2270" spans="1:22" x14ac:dyDescent="0.3">
      <c r="A2270" t="s">
        <v>2285</v>
      </c>
      <c r="B2270" s="2">
        <v>46120.513888888891</v>
      </c>
      <c r="C2270" s="2">
        <v>46121.322222222225</v>
      </c>
      <c r="D2270" t="s">
        <v>6026</v>
      </c>
      <c r="E2270" t="s">
        <v>6029</v>
      </c>
      <c r="F2270" t="s">
        <v>6033</v>
      </c>
      <c r="G2270" t="s">
        <v>6084</v>
      </c>
      <c r="H2270" t="s">
        <v>6098</v>
      </c>
      <c r="I2270">
        <v>72</v>
      </c>
      <c r="J2270">
        <v>19.399999999999999</v>
      </c>
      <c r="K2270" t="s">
        <v>6099</v>
      </c>
      <c r="L2270" t="s">
        <v>6100</v>
      </c>
      <c r="M2270" t="s">
        <v>6100</v>
      </c>
      <c r="N2270">
        <v>5</v>
      </c>
      <c r="O2270" t="s">
        <v>6101</v>
      </c>
      <c r="P2270" t="s">
        <v>6110</v>
      </c>
      <c r="Q2270">
        <v>4</v>
      </c>
      <c r="R2270">
        <v>2026</v>
      </c>
      <c r="S2270" t="s">
        <v>6099</v>
      </c>
      <c r="T2270">
        <v>1</v>
      </c>
      <c r="U2270" t="s">
        <v>6020</v>
      </c>
      <c r="V2270">
        <v>1</v>
      </c>
    </row>
    <row r="2271" spans="1:22" x14ac:dyDescent="0.3">
      <c r="A2271" t="s">
        <v>2286</v>
      </c>
      <c r="B2271" s="2">
        <v>46120.540277777778</v>
      </c>
      <c r="C2271" s="2">
        <v>46121.956944444442</v>
      </c>
      <c r="D2271" t="s">
        <v>6022</v>
      </c>
      <c r="E2271" t="s">
        <v>6031</v>
      </c>
      <c r="F2271" t="s">
        <v>6034</v>
      </c>
      <c r="G2271" t="s">
        <v>6062</v>
      </c>
      <c r="H2271" t="s">
        <v>6096</v>
      </c>
      <c r="I2271">
        <v>24</v>
      </c>
      <c r="J2271">
        <v>34</v>
      </c>
      <c r="K2271" t="s">
        <v>6100</v>
      </c>
      <c r="L2271" t="s">
        <v>6099</v>
      </c>
      <c r="M2271" t="s">
        <v>6099</v>
      </c>
      <c r="N2271">
        <v>2</v>
      </c>
      <c r="O2271" t="s">
        <v>6101</v>
      </c>
      <c r="P2271" t="s">
        <v>6110</v>
      </c>
      <c r="Q2271">
        <v>4</v>
      </c>
      <c r="R2271">
        <v>2026</v>
      </c>
      <c r="S2271" t="s">
        <v>6100</v>
      </c>
      <c r="T2271">
        <v>0</v>
      </c>
      <c r="U2271" t="s">
        <v>6019</v>
      </c>
      <c r="V2271">
        <v>0</v>
      </c>
    </row>
    <row r="2272" spans="1:22" x14ac:dyDescent="0.3">
      <c r="A2272" t="s">
        <v>2287</v>
      </c>
      <c r="B2272" s="2">
        <v>46120.540277777778</v>
      </c>
      <c r="C2272" s="2">
        <v>46120.906944444447</v>
      </c>
      <c r="D2272" t="s">
        <v>6027</v>
      </c>
      <c r="E2272" t="s">
        <v>6032</v>
      </c>
      <c r="F2272" t="s">
        <v>6034</v>
      </c>
      <c r="G2272" t="s">
        <v>6075</v>
      </c>
      <c r="H2272" t="s">
        <v>6097</v>
      </c>
      <c r="I2272">
        <v>24</v>
      </c>
      <c r="J2272">
        <v>8.8000000000000007</v>
      </c>
      <c r="K2272" t="s">
        <v>6100</v>
      </c>
      <c r="L2272" t="s">
        <v>6099</v>
      </c>
      <c r="M2272" t="s">
        <v>6100</v>
      </c>
      <c r="N2272">
        <v>5</v>
      </c>
      <c r="O2272" t="s">
        <v>6101</v>
      </c>
      <c r="P2272" t="s">
        <v>6110</v>
      </c>
      <c r="Q2272">
        <v>4</v>
      </c>
      <c r="R2272">
        <v>2026</v>
      </c>
      <c r="S2272" t="s">
        <v>6099</v>
      </c>
      <c r="T2272">
        <v>1</v>
      </c>
      <c r="U2272" t="s">
        <v>6017</v>
      </c>
      <c r="V2272">
        <v>0</v>
      </c>
    </row>
    <row r="2273" spans="1:22" x14ac:dyDescent="0.3">
      <c r="A2273" t="s">
        <v>2288</v>
      </c>
      <c r="B2273" s="2">
        <v>46120.542361111111</v>
      </c>
      <c r="C2273" s="2">
        <v>46121.15902777778</v>
      </c>
      <c r="D2273" t="s">
        <v>6024</v>
      </c>
      <c r="E2273" t="s">
        <v>6030</v>
      </c>
      <c r="F2273" t="s">
        <v>6033</v>
      </c>
      <c r="G2273" t="s">
        <v>6050</v>
      </c>
      <c r="H2273" t="s">
        <v>6098</v>
      </c>
      <c r="I2273">
        <v>72</v>
      </c>
      <c r="J2273">
        <v>14.8</v>
      </c>
      <c r="K2273" t="s">
        <v>6100</v>
      </c>
      <c r="L2273" t="s">
        <v>6099</v>
      </c>
      <c r="M2273" t="s">
        <v>6100</v>
      </c>
      <c r="N2273">
        <v>3</v>
      </c>
      <c r="O2273" t="s">
        <v>6101</v>
      </c>
      <c r="P2273" t="s">
        <v>6110</v>
      </c>
      <c r="Q2273">
        <v>4</v>
      </c>
      <c r="R2273">
        <v>2026</v>
      </c>
      <c r="S2273" t="s">
        <v>6099</v>
      </c>
      <c r="T2273">
        <v>1</v>
      </c>
      <c r="U2273" t="s">
        <v>6018</v>
      </c>
      <c r="V2273">
        <v>0</v>
      </c>
    </row>
    <row r="2274" spans="1:22" x14ac:dyDescent="0.3">
      <c r="A2274" t="s">
        <v>2289</v>
      </c>
      <c r="B2274" s="2">
        <v>46120.588194444441</v>
      </c>
      <c r="C2274" s="2">
        <v>46121.038194444445</v>
      </c>
      <c r="D2274" t="s">
        <v>6026</v>
      </c>
      <c r="E2274" t="s">
        <v>6029</v>
      </c>
      <c r="F2274" t="s">
        <v>6033</v>
      </c>
      <c r="G2274" t="s">
        <v>6076</v>
      </c>
      <c r="H2274" t="s">
        <v>6097</v>
      </c>
      <c r="I2274">
        <v>72</v>
      </c>
      <c r="J2274">
        <v>10.8</v>
      </c>
      <c r="K2274" t="s">
        <v>6100</v>
      </c>
      <c r="L2274" t="s">
        <v>6100</v>
      </c>
      <c r="M2274" t="s">
        <v>6100</v>
      </c>
      <c r="N2274">
        <v>4</v>
      </c>
      <c r="O2274" t="s">
        <v>6101</v>
      </c>
      <c r="P2274" t="s">
        <v>6110</v>
      </c>
      <c r="Q2274">
        <v>4</v>
      </c>
      <c r="R2274">
        <v>2026</v>
      </c>
      <c r="S2274" t="s">
        <v>6099</v>
      </c>
      <c r="T2274">
        <v>1</v>
      </c>
      <c r="U2274" t="s">
        <v>6021</v>
      </c>
      <c r="V2274">
        <v>0</v>
      </c>
    </row>
    <row r="2275" spans="1:22" x14ac:dyDescent="0.3">
      <c r="A2275" t="s">
        <v>2290</v>
      </c>
      <c r="B2275" s="2">
        <v>46120.59375</v>
      </c>
      <c r="C2275" s="2">
        <v>46121.897916666669</v>
      </c>
      <c r="D2275" t="s">
        <v>6022</v>
      </c>
      <c r="E2275" t="s">
        <v>6029</v>
      </c>
      <c r="F2275" t="s">
        <v>6033</v>
      </c>
      <c r="G2275" t="s">
        <v>6074</v>
      </c>
      <c r="H2275" t="s">
        <v>6098</v>
      </c>
      <c r="I2275">
        <v>72</v>
      </c>
      <c r="J2275">
        <v>31.3</v>
      </c>
      <c r="K2275" t="s">
        <v>6100</v>
      </c>
      <c r="L2275" t="s">
        <v>6099</v>
      </c>
      <c r="M2275" t="s">
        <v>6100</v>
      </c>
      <c r="N2275">
        <v>3</v>
      </c>
      <c r="O2275" t="s">
        <v>6101</v>
      </c>
      <c r="P2275" t="s">
        <v>6110</v>
      </c>
      <c r="Q2275">
        <v>4</v>
      </c>
      <c r="R2275">
        <v>2026</v>
      </c>
      <c r="S2275" t="s">
        <v>6099</v>
      </c>
      <c r="T2275">
        <v>1</v>
      </c>
      <c r="U2275" t="s">
        <v>6019</v>
      </c>
      <c r="V2275">
        <v>0</v>
      </c>
    </row>
    <row r="2276" spans="1:22" x14ac:dyDescent="0.3">
      <c r="A2276" t="s">
        <v>2291</v>
      </c>
      <c r="B2276" s="2">
        <v>46120.620833333334</v>
      </c>
      <c r="C2276" s="2">
        <v>46120.995833333334</v>
      </c>
      <c r="D2276" t="s">
        <v>6022</v>
      </c>
      <c r="E2276" t="s">
        <v>6029</v>
      </c>
      <c r="F2276" t="s">
        <v>6035</v>
      </c>
      <c r="G2276" t="s">
        <v>6079</v>
      </c>
      <c r="H2276" t="s">
        <v>6097</v>
      </c>
      <c r="I2276">
        <v>4</v>
      </c>
      <c r="J2276">
        <v>9</v>
      </c>
      <c r="K2276" t="s">
        <v>6100</v>
      </c>
      <c r="L2276" t="s">
        <v>6099</v>
      </c>
      <c r="M2276" t="s">
        <v>6100</v>
      </c>
      <c r="O2276" t="s">
        <v>6101</v>
      </c>
      <c r="P2276" t="s">
        <v>6110</v>
      </c>
      <c r="Q2276">
        <v>4</v>
      </c>
      <c r="R2276">
        <v>2026</v>
      </c>
      <c r="S2276" t="s">
        <v>6100</v>
      </c>
      <c r="T2276">
        <v>0</v>
      </c>
      <c r="U2276" t="s">
        <v>6021</v>
      </c>
      <c r="V2276">
        <v>0</v>
      </c>
    </row>
    <row r="2277" spans="1:22" x14ac:dyDescent="0.3">
      <c r="A2277" t="s">
        <v>2292</v>
      </c>
      <c r="B2277" s="2">
        <v>46120.64166666667</v>
      </c>
      <c r="C2277" s="2">
        <v>46122.379166666666</v>
      </c>
      <c r="D2277" t="s">
        <v>6028</v>
      </c>
      <c r="E2277" t="s">
        <v>6031</v>
      </c>
      <c r="F2277" t="s">
        <v>6034</v>
      </c>
      <c r="G2277" t="s">
        <v>6078</v>
      </c>
      <c r="H2277" t="s">
        <v>6097</v>
      </c>
      <c r="I2277">
        <v>24</v>
      </c>
      <c r="J2277">
        <v>41.7</v>
      </c>
      <c r="K2277" t="s">
        <v>6100</v>
      </c>
      <c r="L2277" t="s">
        <v>6099</v>
      </c>
      <c r="M2277" t="s">
        <v>6100</v>
      </c>
      <c r="N2277">
        <v>3</v>
      </c>
      <c r="O2277" t="s">
        <v>6101</v>
      </c>
      <c r="P2277" t="s">
        <v>6110</v>
      </c>
      <c r="Q2277">
        <v>4</v>
      </c>
      <c r="R2277">
        <v>2026</v>
      </c>
      <c r="S2277" t="s">
        <v>6100</v>
      </c>
      <c r="T2277">
        <v>0</v>
      </c>
      <c r="U2277" t="s">
        <v>6021</v>
      </c>
      <c r="V2277">
        <v>0</v>
      </c>
    </row>
    <row r="2278" spans="1:22" x14ac:dyDescent="0.3">
      <c r="A2278" t="s">
        <v>2293</v>
      </c>
      <c r="B2278" s="2">
        <v>46120.672222222223</v>
      </c>
      <c r="C2278" s="2">
        <v>46121.101388888892</v>
      </c>
      <c r="D2278" t="s">
        <v>6028</v>
      </c>
      <c r="E2278" t="s">
        <v>6031</v>
      </c>
      <c r="F2278" t="s">
        <v>6034</v>
      </c>
      <c r="G2278" t="s">
        <v>6084</v>
      </c>
      <c r="H2278" t="s">
        <v>6098</v>
      </c>
      <c r="I2278">
        <v>24</v>
      </c>
      <c r="J2278">
        <v>10.3</v>
      </c>
      <c r="K2278" t="s">
        <v>6100</v>
      </c>
      <c r="L2278" t="s">
        <v>6100</v>
      </c>
      <c r="M2278" t="s">
        <v>6100</v>
      </c>
      <c r="O2278" t="s">
        <v>6101</v>
      </c>
      <c r="P2278" t="s">
        <v>6110</v>
      </c>
      <c r="Q2278">
        <v>4</v>
      </c>
      <c r="R2278">
        <v>2026</v>
      </c>
      <c r="S2278" t="s">
        <v>6099</v>
      </c>
      <c r="T2278">
        <v>1</v>
      </c>
      <c r="U2278" t="s">
        <v>6020</v>
      </c>
      <c r="V2278">
        <v>0</v>
      </c>
    </row>
    <row r="2279" spans="1:22" x14ac:dyDescent="0.3">
      <c r="A2279" t="s">
        <v>2294</v>
      </c>
      <c r="B2279" s="2">
        <v>46120.674305555556</v>
      </c>
      <c r="C2279" s="2">
        <v>46120.782638888886</v>
      </c>
      <c r="D2279" t="s">
        <v>6028</v>
      </c>
      <c r="E2279" t="s">
        <v>6029</v>
      </c>
      <c r="F2279" t="s">
        <v>6035</v>
      </c>
      <c r="G2279" t="s">
        <v>6039</v>
      </c>
      <c r="H2279" t="s">
        <v>6097</v>
      </c>
      <c r="I2279">
        <v>4</v>
      </c>
      <c r="J2279">
        <v>2.6</v>
      </c>
      <c r="K2279" t="s">
        <v>6100</v>
      </c>
      <c r="L2279" t="s">
        <v>6099</v>
      </c>
      <c r="M2279" t="s">
        <v>6100</v>
      </c>
      <c r="O2279" t="s">
        <v>6101</v>
      </c>
      <c r="P2279" t="s">
        <v>6110</v>
      </c>
      <c r="Q2279">
        <v>4</v>
      </c>
      <c r="R2279">
        <v>2026</v>
      </c>
      <c r="S2279" t="s">
        <v>6099</v>
      </c>
      <c r="T2279">
        <v>1</v>
      </c>
      <c r="U2279" t="s">
        <v>6020</v>
      </c>
      <c r="V2279">
        <v>0</v>
      </c>
    </row>
    <row r="2280" spans="1:22" x14ac:dyDescent="0.3">
      <c r="A2280" t="s">
        <v>2295</v>
      </c>
      <c r="B2280" s="2">
        <v>46120.681250000001</v>
      </c>
      <c r="C2280" s="2">
        <v>46120.927083333336</v>
      </c>
      <c r="D2280" t="s">
        <v>6023</v>
      </c>
      <c r="E2280" t="s">
        <v>6029</v>
      </c>
      <c r="F2280" t="s">
        <v>6034</v>
      </c>
      <c r="G2280" t="s">
        <v>6088</v>
      </c>
      <c r="H2280" t="s">
        <v>6097</v>
      </c>
      <c r="I2280">
        <v>24</v>
      </c>
      <c r="J2280">
        <v>5.9</v>
      </c>
      <c r="K2280" t="s">
        <v>6099</v>
      </c>
      <c r="L2280" t="s">
        <v>6100</v>
      </c>
      <c r="M2280" t="s">
        <v>6100</v>
      </c>
      <c r="N2280">
        <v>5</v>
      </c>
      <c r="O2280" t="s">
        <v>6101</v>
      </c>
      <c r="P2280" t="s">
        <v>6110</v>
      </c>
      <c r="Q2280">
        <v>4</v>
      </c>
      <c r="R2280">
        <v>2026</v>
      </c>
      <c r="S2280" t="s">
        <v>6099</v>
      </c>
      <c r="T2280">
        <v>1</v>
      </c>
      <c r="U2280" t="s">
        <v>6020</v>
      </c>
      <c r="V2280">
        <v>1</v>
      </c>
    </row>
    <row r="2281" spans="1:22" x14ac:dyDescent="0.3">
      <c r="A2281" t="s">
        <v>2296</v>
      </c>
      <c r="B2281" s="2">
        <v>46120.748611111114</v>
      </c>
      <c r="C2281" s="2">
        <v>46122.573611111111</v>
      </c>
      <c r="D2281" t="s">
        <v>6026</v>
      </c>
      <c r="E2281" t="s">
        <v>6029</v>
      </c>
      <c r="F2281" t="s">
        <v>6033</v>
      </c>
      <c r="G2281" t="s">
        <v>6080</v>
      </c>
      <c r="H2281" t="s">
        <v>6096</v>
      </c>
      <c r="I2281">
        <v>72</v>
      </c>
      <c r="J2281">
        <v>43.8</v>
      </c>
      <c r="K2281" t="s">
        <v>6100</v>
      </c>
      <c r="L2281" t="s">
        <v>6100</v>
      </c>
      <c r="M2281" t="s">
        <v>6100</v>
      </c>
      <c r="N2281">
        <v>5</v>
      </c>
      <c r="O2281" t="s">
        <v>6101</v>
      </c>
      <c r="P2281" t="s">
        <v>6110</v>
      </c>
      <c r="Q2281">
        <v>4</v>
      </c>
      <c r="R2281">
        <v>2026</v>
      </c>
      <c r="S2281" t="s">
        <v>6099</v>
      </c>
      <c r="T2281">
        <v>1</v>
      </c>
      <c r="U2281" t="s">
        <v>6021</v>
      </c>
      <c r="V2281">
        <v>0</v>
      </c>
    </row>
    <row r="2282" spans="1:22" x14ac:dyDescent="0.3">
      <c r="A2282" t="s">
        <v>2297</v>
      </c>
      <c r="B2282" s="2">
        <v>46120.763194444444</v>
      </c>
      <c r="C2282" s="2">
        <v>46121.246527777781</v>
      </c>
      <c r="D2282" t="s">
        <v>6027</v>
      </c>
      <c r="E2282" t="s">
        <v>6032</v>
      </c>
      <c r="F2282" t="s">
        <v>6034</v>
      </c>
      <c r="G2282" t="s">
        <v>6074</v>
      </c>
      <c r="H2282" t="s">
        <v>6098</v>
      </c>
      <c r="I2282">
        <v>24</v>
      </c>
      <c r="J2282">
        <v>11.6</v>
      </c>
      <c r="K2282" t="s">
        <v>6099</v>
      </c>
      <c r="L2282" t="s">
        <v>6100</v>
      </c>
      <c r="M2282" t="s">
        <v>6100</v>
      </c>
      <c r="N2282">
        <v>5</v>
      </c>
      <c r="O2282" t="s">
        <v>6101</v>
      </c>
      <c r="P2282" t="s">
        <v>6110</v>
      </c>
      <c r="Q2282">
        <v>4</v>
      </c>
      <c r="R2282">
        <v>2026</v>
      </c>
      <c r="S2282" t="s">
        <v>6099</v>
      </c>
      <c r="T2282">
        <v>1</v>
      </c>
      <c r="U2282" t="s">
        <v>6017</v>
      </c>
      <c r="V2282">
        <v>1</v>
      </c>
    </row>
    <row r="2283" spans="1:22" x14ac:dyDescent="0.3">
      <c r="A2283" t="s">
        <v>2298</v>
      </c>
      <c r="B2283" s="2">
        <v>46120.790972222225</v>
      </c>
      <c r="C2283" s="2">
        <v>46121.220138888886</v>
      </c>
      <c r="D2283" t="s">
        <v>6027</v>
      </c>
      <c r="E2283" t="s">
        <v>6032</v>
      </c>
      <c r="F2283" t="s">
        <v>6033</v>
      </c>
      <c r="G2283" t="s">
        <v>6088</v>
      </c>
      <c r="H2283" t="s">
        <v>6097</v>
      </c>
      <c r="I2283">
        <v>72</v>
      </c>
      <c r="J2283">
        <v>10.3</v>
      </c>
      <c r="K2283" t="s">
        <v>6099</v>
      </c>
      <c r="L2283" t="s">
        <v>6100</v>
      </c>
      <c r="M2283" t="s">
        <v>6100</v>
      </c>
      <c r="N2283">
        <v>5</v>
      </c>
      <c r="O2283" t="s">
        <v>6101</v>
      </c>
      <c r="P2283" t="s">
        <v>6110</v>
      </c>
      <c r="Q2283">
        <v>4</v>
      </c>
      <c r="R2283">
        <v>2026</v>
      </c>
      <c r="S2283" t="s">
        <v>6099</v>
      </c>
      <c r="T2283">
        <v>1</v>
      </c>
      <c r="U2283" t="s">
        <v>6017</v>
      </c>
      <c r="V2283">
        <v>1</v>
      </c>
    </row>
    <row r="2284" spans="1:22" x14ac:dyDescent="0.3">
      <c r="A2284" t="s">
        <v>2299</v>
      </c>
      <c r="B2284" s="2">
        <v>46120.950694444444</v>
      </c>
      <c r="C2284" s="2">
        <v>46123.28402777778</v>
      </c>
      <c r="D2284" t="s">
        <v>6025</v>
      </c>
      <c r="E2284" t="s">
        <v>6029</v>
      </c>
      <c r="F2284" t="s">
        <v>6033</v>
      </c>
      <c r="G2284" t="s">
        <v>6038</v>
      </c>
      <c r="H2284" t="s">
        <v>6096</v>
      </c>
      <c r="I2284">
        <v>72</v>
      </c>
      <c r="J2284">
        <v>56</v>
      </c>
      <c r="K2284" t="s">
        <v>6099</v>
      </c>
      <c r="L2284" t="s">
        <v>6100</v>
      </c>
      <c r="M2284" t="s">
        <v>6100</v>
      </c>
      <c r="N2284">
        <v>5</v>
      </c>
      <c r="O2284" t="s">
        <v>6101</v>
      </c>
      <c r="P2284" t="s">
        <v>6110</v>
      </c>
      <c r="Q2284">
        <v>4</v>
      </c>
      <c r="R2284">
        <v>2026</v>
      </c>
      <c r="S2284" t="s">
        <v>6099</v>
      </c>
      <c r="T2284">
        <v>1</v>
      </c>
      <c r="U2284" t="s">
        <v>6019</v>
      </c>
      <c r="V2284">
        <v>1</v>
      </c>
    </row>
    <row r="2285" spans="1:22" x14ac:dyDescent="0.3">
      <c r="A2285" t="s">
        <v>2300</v>
      </c>
      <c r="B2285" s="2">
        <v>46121.180555555555</v>
      </c>
      <c r="C2285" s="2">
        <v>46121.601388888892</v>
      </c>
      <c r="D2285" t="s">
        <v>6022</v>
      </c>
      <c r="E2285" t="s">
        <v>6030</v>
      </c>
      <c r="F2285" t="s">
        <v>6033</v>
      </c>
      <c r="G2285" t="s">
        <v>6062</v>
      </c>
      <c r="H2285" t="s">
        <v>6096</v>
      </c>
      <c r="I2285">
        <v>72</v>
      </c>
      <c r="J2285">
        <v>10.1</v>
      </c>
      <c r="K2285" t="s">
        <v>6100</v>
      </c>
      <c r="L2285" t="s">
        <v>6100</v>
      </c>
      <c r="M2285" t="s">
        <v>6100</v>
      </c>
      <c r="N2285">
        <v>2</v>
      </c>
      <c r="O2285" t="s">
        <v>6101</v>
      </c>
      <c r="P2285" t="s">
        <v>6110</v>
      </c>
      <c r="Q2285">
        <v>4</v>
      </c>
      <c r="R2285">
        <v>2026</v>
      </c>
      <c r="S2285" t="s">
        <v>6099</v>
      </c>
      <c r="T2285">
        <v>1</v>
      </c>
      <c r="U2285" t="s">
        <v>6021</v>
      </c>
      <c r="V2285">
        <v>0</v>
      </c>
    </row>
    <row r="2286" spans="1:22" x14ac:dyDescent="0.3">
      <c r="A2286" t="s">
        <v>2301</v>
      </c>
      <c r="B2286" s="2">
        <v>46121.193749999999</v>
      </c>
      <c r="C2286" s="2">
        <v>46121.497916666667</v>
      </c>
      <c r="D2286" t="s">
        <v>6023</v>
      </c>
      <c r="E2286" t="s">
        <v>6029</v>
      </c>
      <c r="F2286" t="s">
        <v>6033</v>
      </c>
      <c r="G2286" t="s">
        <v>6077</v>
      </c>
      <c r="H2286" t="s">
        <v>6098</v>
      </c>
      <c r="I2286">
        <v>72</v>
      </c>
      <c r="J2286">
        <v>7.3</v>
      </c>
      <c r="K2286" t="s">
        <v>6099</v>
      </c>
      <c r="L2286" t="s">
        <v>6100</v>
      </c>
      <c r="M2286" t="s">
        <v>6100</v>
      </c>
      <c r="N2286">
        <v>3</v>
      </c>
      <c r="O2286" t="s">
        <v>6101</v>
      </c>
      <c r="P2286" t="s">
        <v>6110</v>
      </c>
      <c r="Q2286">
        <v>4</v>
      </c>
      <c r="R2286">
        <v>2026</v>
      </c>
      <c r="S2286" t="s">
        <v>6099</v>
      </c>
      <c r="T2286">
        <v>1</v>
      </c>
      <c r="U2286" t="s">
        <v>6021</v>
      </c>
      <c r="V2286">
        <v>1</v>
      </c>
    </row>
    <row r="2287" spans="1:22" x14ac:dyDescent="0.3">
      <c r="A2287" t="s">
        <v>2302</v>
      </c>
      <c r="B2287" s="2">
        <v>46121.261111111111</v>
      </c>
      <c r="C2287" s="2">
        <v>46121.531944444447</v>
      </c>
      <c r="D2287" t="s">
        <v>6022</v>
      </c>
      <c r="E2287" t="s">
        <v>6030</v>
      </c>
      <c r="F2287" t="s">
        <v>6033</v>
      </c>
      <c r="G2287" t="s">
        <v>6052</v>
      </c>
      <c r="H2287" t="s">
        <v>6098</v>
      </c>
      <c r="I2287">
        <v>72</v>
      </c>
      <c r="J2287">
        <v>6.5</v>
      </c>
      <c r="K2287" t="s">
        <v>6099</v>
      </c>
      <c r="L2287" t="s">
        <v>6100</v>
      </c>
      <c r="M2287" t="s">
        <v>6100</v>
      </c>
      <c r="O2287" t="s">
        <v>6101</v>
      </c>
      <c r="P2287" t="s">
        <v>6110</v>
      </c>
      <c r="Q2287">
        <v>4</v>
      </c>
      <c r="R2287">
        <v>2026</v>
      </c>
      <c r="S2287" t="s">
        <v>6099</v>
      </c>
      <c r="T2287">
        <v>1</v>
      </c>
      <c r="U2287" t="s">
        <v>6019</v>
      </c>
      <c r="V2287">
        <v>1</v>
      </c>
    </row>
    <row r="2288" spans="1:22" x14ac:dyDescent="0.3">
      <c r="A2288" t="s">
        <v>2303</v>
      </c>
      <c r="B2288" s="2">
        <v>46121.304861111108</v>
      </c>
      <c r="C2288" s="2">
        <v>46121.446527777778</v>
      </c>
      <c r="D2288" t="s">
        <v>6022</v>
      </c>
      <c r="E2288" t="s">
        <v>6029</v>
      </c>
      <c r="F2288" t="s">
        <v>6035</v>
      </c>
      <c r="G2288" t="s">
        <v>6083</v>
      </c>
      <c r="H2288" t="s">
        <v>6096</v>
      </c>
      <c r="I2288">
        <v>4</v>
      </c>
      <c r="J2288">
        <v>3.4</v>
      </c>
      <c r="K2288" t="s">
        <v>6099</v>
      </c>
      <c r="L2288" t="s">
        <v>6100</v>
      </c>
      <c r="M2288" t="s">
        <v>6099</v>
      </c>
      <c r="N2288">
        <v>5</v>
      </c>
      <c r="O2288" t="s">
        <v>6101</v>
      </c>
      <c r="P2288" t="s">
        <v>6110</v>
      </c>
      <c r="Q2288">
        <v>4</v>
      </c>
      <c r="R2288">
        <v>2026</v>
      </c>
      <c r="S2288" t="s">
        <v>6099</v>
      </c>
      <c r="T2288">
        <v>1</v>
      </c>
      <c r="U2288" t="s">
        <v>6021</v>
      </c>
      <c r="V2288">
        <v>1</v>
      </c>
    </row>
    <row r="2289" spans="1:22" x14ac:dyDescent="0.3">
      <c r="A2289" t="s">
        <v>2304</v>
      </c>
      <c r="B2289" s="2">
        <v>46121.397916666669</v>
      </c>
      <c r="C2289" s="2">
        <v>46122.497916666667</v>
      </c>
      <c r="D2289" t="s">
        <v>6024</v>
      </c>
      <c r="E2289" t="s">
        <v>6031</v>
      </c>
      <c r="F2289" t="s">
        <v>6034</v>
      </c>
      <c r="G2289" t="s">
        <v>6082</v>
      </c>
      <c r="H2289" t="s">
        <v>6097</v>
      </c>
      <c r="I2289">
        <v>24</v>
      </c>
      <c r="J2289">
        <v>26.4</v>
      </c>
      <c r="K2289" t="s">
        <v>6099</v>
      </c>
      <c r="L2289" t="s">
        <v>6100</v>
      </c>
      <c r="M2289" t="s">
        <v>6100</v>
      </c>
      <c r="N2289">
        <v>3</v>
      </c>
      <c r="O2289" t="s">
        <v>6101</v>
      </c>
      <c r="P2289" t="s">
        <v>6110</v>
      </c>
      <c r="Q2289">
        <v>4</v>
      </c>
      <c r="R2289">
        <v>2026</v>
      </c>
      <c r="S2289" t="s">
        <v>6100</v>
      </c>
      <c r="T2289">
        <v>0</v>
      </c>
      <c r="U2289" t="s">
        <v>6019</v>
      </c>
      <c r="V2289">
        <v>1</v>
      </c>
    </row>
    <row r="2290" spans="1:22" x14ac:dyDescent="0.3">
      <c r="A2290" t="s">
        <v>2305</v>
      </c>
      <c r="B2290" s="2">
        <v>46121.45416666667</v>
      </c>
      <c r="C2290" s="2">
        <v>46121.525000000001</v>
      </c>
      <c r="D2290" t="s">
        <v>6027</v>
      </c>
      <c r="E2290" t="s">
        <v>6030</v>
      </c>
      <c r="F2290" t="s">
        <v>6034</v>
      </c>
      <c r="G2290" t="s">
        <v>6080</v>
      </c>
      <c r="H2290" t="s">
        <v>6096</v>
      </c>
      <c r="I2290">
        <v>24</v>
      </c>
      <c r="J2290">
        <v>1.7</v>
      </c>
      <c r="K2290" t="s">
        <v>6100</v>
      </c>
      <c r="L2290" t="s">
        <v>6099</v>
      </c>
      <c r="M2290" t="s">
        <v>6100</v>
      </c>
      <c r="O2290" t="s">
        <v>6101</v>
      </c>
      <c r="P2290" t="s">
        <v>6110</v>
      </c>
      <c r="Q2290">
        <v>4</v>
      </c>
      <c r="R2290">
        <v>2026</v>
      </c>
      <c r="S2290" t="s">
        <v>6099</v>
      </c>
      <c r="T2290">
        <v>1</v>
      </c>
      <c r="U2290" t="s">
        <v>6021</v>
      </c>
      <c r="V2290">
        <v>0</v>
      </c>
    </row>
    <row r="2291" spans="1:22" x14ac:dyDescent="0.3">
      <c r="A2291" t="s">
        <v>2306</v>
      </c>
      <c r="B2291" s="2">
        <v>46121.468055555553</v>
      </c>
      <c r="C2291" s="2">
        <v>46122.938888888886</v>
      </c>
      <c r="D2291" t="s">
        <v>6022</v>
      </c>
      <c r="E2291" t="s">
        <v>6032</v>
      </c>
      <c r="F2291" t="s">
        <v>6034</v>
      </c>
      <c r="G2291" t="s">
        <v>6087</v>
      </c>
      <c r="H2291" t="s">
        <v>6098</v>
      </c>
      <c r="I2291">
        <v>24</v>
      </c>
      <c r="J2291">
        <v>35.299999999999997</v>
      </c>
      <c r="K2291" t="s">
        <v>6099</v>
      </c>
      <c r="L2291" t="s">
        <v>6100</v>
      </c>
      <c r="M2291" t="s">
        <v>6100</v>
      </c>
      <c r="N2291">
        <v>5</v>
      </c>
      <c r="O2291" t="s">
        <v>6101</v>
      </c>
      <c r="P2291" t="s">
        <v>6110</v>
      </c>
      <c r="Q2291">
        <v>4</v>
      </c>
      <c r="R2291">
        <v>2026</v>
      </c>
      <c r="S2291" t="s">
        <v>6100</v>
      </c>
      <c r="T2291">
        <v>0</v>
      </c>
      <c r="U2291" t="s">
        <v>6017</v>
      </c>
      <c r="V2291">
        <v>1</v>
      </c>
    </row>
    <row r="2292" spans="1:22" x14ac:dyDescent="0.3">
      <c r="A2292" t="s">
        <v>2307</v>
      </c>
      <c r="B2292" s="2">
        <v>46121.477083333331</v>
      </c>
      <c r="C2292" s="2">
        <v>46122.193749999999</v>
      </c>
      <c r="D2292" t="s">
        <v>6028</v>
      </c>
      <c r="E2292" t="s">
        <v>6029</v>
      </c>
      <c r="F2292" t="s">
        <v>6034</v>
      </c>
      <c r="G2292" t="s">
        <v>6077</v>
      </c>
      <c r="H2292" t="s">
        <v>6098</v>
      </c>
      <c r="I2292">
        <v>24</v>
      </c>
      <c r="J2292">
        <v>17.2</v>
      </c>
      <c r="K2292" t="s">
        <v>6099</v>
      </c>
      <c r="L2292" t="s">
        <v>6100</v>
      </c>
      <c r="M2292" t="s">
        <v>6100</v>
      </c>
      <c r="N2292">
        <v>5</v>
      </c>
      <c r="O2292" t="s">
        <v>6101</v>
      </c>
      <c r="P2292" t="s">
        <v>6110</v>
      </c>
      <c r="Q2292">
        <v>4</v>
      </c>
      <c r="R2292">
        <v>2026</v>
      </c>
      <c r="S2292" t="s">
        <v>6099</v>
      </c>
      <c r="T2292">
        <v>1</v>
      </c>
      <c r="U2292" t="s">
        <v>6021</v>
      </c>
      <c r="V2292">
        <v>1</v>
      </c>
    </row>
    <row r="2293" spans="1:22" x14ac:dyDescent="0.3">
      <c r="A2293" t="s">
        <v>2308</v>
      </c>
      <c r="B2293" s="2">
        <v>46121.505555555559</v>
      </c>
      <c r="C2293" s="2">
        <v>46122.18472222222</v>
      </c>
      <c r="D2293" t="s">
        <v>6022</v>
      </c>
      <c r="E2293" t="s">
        <v>6032</v>
      </c>
      <c r="F2293" t="s">
        <v>6034</v>
      </c>
      <c r="G2293" t="s">
        <v>6047</v>
      </c>
      <c r="H2293" t="s">
        <v>6098</v>
      </c>
      <c r="I2293">
        <v>24</v>
      </c>
      <c r="J2293">
        <v>16.3</v>
      </c>
      <c r="K2293" t="s">
        <v>6100</v>
      </c>
      <c r="L2293" t="s">
        <v>6099</v>
      </c>
      <c r="M2293" t="s">
        <v>6100</v>
      </c>
      <c r="N2293">
        <v>3</v>
      </c>
      <c r="O2293" t="s">
        <v>6101</v>
      </c>
      <c r="P2293" t="s">
        <v>6110</v>
      </c>
      <c r="Q2293">
        <v>4</v>
      </c>
      <c r="R2293">
        <v>2026</v>
      </c>
      <c r="S2293" t="s">
        <v>6099</v>
      </c>
      <c r="T2293">
        <v>1</v>
      </c>
      <c r="U2293" t="s">
        <v>6018</v>
      </c>
      <c r="V2293">
        <v>0</v>
      </c>
    </row>
    <row r="2294" spans="1:22" x14ac:dyDescent="0.3">
      <c r="A2294" t="s">
        <v>2309</v>
      </c>
      <c r="B2294" s="2">
        <v>46121.529861111114</v>
      </c>
      <c r="C2294" s="2">
        <v>46121.917361111111</v>
      </c>
      <c r="D2294" t="s">
        <v>6024</v>
      </c>
      <c r="E2294" t="s">
        <v>6030</v>
      </c>
      <c r="F2294" t="s">
        <v>6034</v>
      </c>
      <c r="G2294" t="s">
        <v>6040</v>
      </c>
      <c r="H2294" t="s">
        <v>6097</v>
      </c>
      <c r="I2294">
        <v>24</v>
      </c>
      <c r="J2294">
        <v>9.3000000000000007</v>
      </c>
      <c r="K2294" t="s">
        <v>6099</v>
      </c>
      <c r="L2294" t="s">
        <v>6100</v>
      </c>
      <c r="M2294" t="s">
        <v>6100</v>
      </c>
      <c r="O2294" t="s">
        <v>6101</v>
      </c>
      <c r="P2294" t="s">
        <v>6110</v>
      </c>
      <c r="Q2294">
        <v>4</v>
      </c>
      <c r="R2294">
        <v>2026</v>
      </c>
      <c r="S2294" t="s">
        <v>6099</v>
      </c>
      <c r="T2294">
        <v>1</v>
      </c>
      <c r="U2294" t="s">
        <v>6021</v>
      </c>
      <c r="V2294">
        <v>1</v>
      </c>
    </row>
    <row r="2295" spans="1:22" x14ac:dyDescent="0.3">
      <c r="A2295" t="s">
        <v>2310</v>
      </c>
      <c r="B2295" s="2">
        <v>46121.554861111108</v>
      </c>
      <c r="C2295" s="2">
        <v>46122.934027777781</v>
      </c>
      <c r="D2295" t="s">
        <v>6022</v>
      </c>
      <c r="E2295" t="s">
        <v>6029</v>
      </c>
      <c r="F2295" t="s">
        <v>6033</v>
      </c>
      <c r="G2295" t="s">
        <v>6048</v>
      </c>
      <c r="H2295" t="s">
        <v>6096</v>
      </c>
      <c r="I2295">
        <v>72</v>
      </c>
      <c r="J2295">
        <v>33.1</v>
      </c>
      <c r="K2295" t="s">
        <v>6099</v>
      </c>
      <c r="L2295" t="s">
        <v>6100</v>
      </c>
      <c r="M2295" t="s">
        <v>6100</v>
      </c>
      <c r="N2295">
        <v>5</v>
      </c>
      <c r="O2295" t="s">
        <v>6101</v>
      </c>
      <c r="P2295" t="s">
        <v>6110</v>
      </c>
      <c r="Q2295">
        <v>4</v>
      </c>
      <c r="R2295">
        <v>2026</v>
      </c>
      <c r="S2295" t="s">
        <v>6099</v>
      </c>
      <c r="T2295">
        <v>1</v>
      </c>
      <c r="U2295" t="s">
        <v>6021</v>
      </c>
      <c r="V2295">
        <v>1</v>
      </c>
    </row>
    <row r="2296" spans="1:22" x14ac:dyDescent="0.3">
      <c r="A2296" t="s">
        <v>2311</v>
      </c>
      <c r="B2296" s="2">
        <v>46121.555555555555</v>
      </c>
      <c r="C2296" s="2">
        <v>46122.693055555559</v>
      </c>
      <c r="D2296" t="s">
        <v>6025</v>
      </c>
      <c r="E2296" t="s">
        <v>6031</v>
      </c>
      <c r="F2296" t="s">
        <v>6033</v>
      </c>
      <c r="G2296" t="s">
        <v>6083</v>
      </c>
      <c r="H2296" t="s">
        <v>6096</v>
      </c>
      <c r="I2296">
        <v>72</v>
      </c>
      <c r="J2296">
        <v>27.3</v>
      </c>
      <c r="K2296" t="s">
        <v>6100</v>
      </c>
      <c r="L2296" t="s">
        <v>6099</v>
      </c>
      <c r="M2296" t="s">
        <v>6100</v>
      </c>
      <c r="O2296" t="s">
        <v>6101</v>
      </c>
      <c r="P2296" t="s">
        <v>6110</v>
      </c>
      <c r="Q2296">
        <v>4</v>
      </c>
      <c r="R2296">
        <v>2026</v>
      </c>
      <c r="S2296" t="s">
        <v>6099</v>
      </c>
      <c r="T2296">
        <v>1</v>
      </c>
      <c r="U2296" t="s">
        <v>6017</v>
      </c>
      <c r="V2296">
        <v>0</v>
      </c>
    </row>
    <row r="2297" spans="1:22" x14ac:dyDescent="0.3">
      <c r="A2297" t="s">
        <v>2312</v>
      </c>
      <c r="B2297" s="2">
        <v>46121.586805555555</v>
      </c>
      <c r="C2297" s="2">
        <v>46121.724305555559</v>
      </c>
      <c r="D2297" t="s">
        <v>6023</v>
      </c>
      <c r="E2297" t="s">
        <v>6029</v>
      </c>
      <c r="F2297" t="s">
        <v>6033</v>
      </c>
      <c r="G2297" t="s">
        <v>6065</v>
      </c>
      <c r="H2297" t="s">
        <v>6097</v>
      </c>
      <c r="I2297">
        <v>72</v>
      </c>
      <c r="J2297">
        <v>3.3</v>
      </c>
      <c r="K2297" t="s">
        <v>6100</v>
      </c>
      <c r="L2297" t="s">
        <v>6100</v>
      </c>
      <c r="M2297" t="s">
        <v>6100</v>
      </c>
      <c r="N2297">
        <v>3</v>
      </c>
      <c r="O2297" t="s">
        <v>6101</v>
      </c>
      <c r="P2297" t="s">
        <v>6110</v>
      </c>
      <c r="Q2297">
        <v>4</v>
      </c>
      <c r="R2297">
        <v>2026</v>
      </c>
      <c r="S2297" t="s">
        <v>6099</v>
      </c>
      <c r="T2297">
        <v>1</v>
      </c>
      <c r="U2297" t="s">
        <v>6019</v>
      </c>
      <c r="V2297">
        <v>0</v>
      </c>
    </row>
    <row r="2298" spans="1:22" x14ac:dyDescent="0.3">
      <c r="A2298" t="s">
        <v>2313</v>
      </c>
      <c r="B2298" s="2">
        <v>46121.604861111111</v>
      </c>
      <c r="C2298" s="2">
        <v>46122.100694444445</v>
      </c>
      <c r="D2298" t="s">
        <v>6028</v>
      </c>
      <c r="E2298" t="s">
        <v>6029</v>
      </c>
      <c r="F2298" t="s">
        <v>6034</v>
      </c>
      <c r="G2298" t="s">
        <v>6057</v>
      </c>
      <c r="H2298" t="s">
        <v>6097</v>
      </c>
      <c r="I2298">
        <v>24</v>
      </c>
      <c r="J2298">
        <v>11.9</v>
      </c>
      <c r="K2298" t="s">
        <v>6099</v>
      </c>
      <c r="L2298" t="s">
        <v>6100</v>
      </c>
      <c r="M2298" t="s">
        <v>6100</v>
      </c>
      <c r="O2298" t="s">
        <v>6101</v>
      </c>
      <c r="P2298" t="s">
        <v>6110</v>
      </c>
      <c r="Q2298">
        <v>4</v>
      </c>
      <c r="R2298">
        <v>2026</v>
      </c>
      <c r="S2298" t="s">
        <v>6099</v>
      </c>
      <c r="T2298">
        <v>1</v>
      </c>
      <c r="U2298" t="s">
        <v>6020</v>
      </c>
      <c r="V2298">
        <v>1</v>
      </c>
    </row>
    <row r="2299" spans="1:22" x14ac:dyDescent="0.3">
      <c r="A2299" t="s">
        <v>2314</v>
      </c>
      <c r="B2299" s="2">
        <v>46121.620833333334</v>
      </c>
      <c r="C2299" s="2">
        <v>46122.245833333334</v>
      </c>
      <c r="D2299" t="s">
        <v>6024</v>
      </c>
      <c r="E2299" t="s">
        <v>6029</v>
      </c>
      <c r="F2299" t="s">
        <v>6034</v>
      </c>
      <c r="G2299" t="s">
        <v>6038</v>
      </c>
      <c r="H2299" t="s">
        <v>6096</v>
      </c>
      <c r="I2299">
        <v>24</v>
      </c>
      <c r="J2299">
        <v>15</v>
      </c>
      <c r="K2299" t="s">
        <v>6099</v>
      </c>
      <c r="L2299" t="s">
        <v>6100</v>
      </c>
      <c r="M2299" t="s">
        <v>6100</v>
      </c>
      <c r="N2299">
        <v>4</v>
      </c>
      <c r="O2299" t="s">
        <v>6101</v>
      </c>
      <c r="P2299" t="s">
        <v>6110</v>
      </c>
      <c r="Q2299">
        <v>4</v>
      </c>
      <c r="R2299">
        <v>2026</v>
      </c>
      <c r="S2299" t="s">
        <v>6099</v>
      </c>
      <c r="T2299">
        <v>1</v>
      </c>
      <c r="U2299" t="s">
        <v>6021</v>
      </c>
      <c r="V2299">
        <v>1</v>
      </c>
    </row>
    <row r="2300" spans="1:22" x14ac:dyDescent="0.3">
      <c r="A2300" t="s">
        <v>2315</v>
      </c>
      <c r="B2300" s="2">
        <v>46121.647222222222</v>
      </c>
      <c r="C2300" s="2">
        <v>46121.738888888889</v>
      </c>
      <c r="D2300" t="s">
        <v>6024</v>
      </c>
      <c r="E2300" t="s">
        <v>6030</v>
      </c>
      <c r="F2300" t="s">
        <v>6034</v>
      </c>
      <c r="G2300" t="s">
        <v>6056</v>
      </c>
      <c r="H2300" t="s">
        <v>6098</v>
      </c>
      <c r="I2300">
        <v>24</v>
      </c>
      <c r="J2300">
        <v>2.2000000000000002</v>
      </c>
      <c r="K2300" t="s">
        <v>6099</v>
      </c>
      <c r="L2300" t="s">
        <v>6100</v>
      </c>
      <c r="M2300" t="s">
        <v>6100</v>
      </c>
      <c r="N2300">
        <v>5</v>
      </c>
      <c r="O2300" t="s">
        <v>6101</v>
      </c>
      <c r="P2300" t="s">
        <v>6110</v>
      </c>
      <c r="Q2300">
        <v>4</v>
      </c>
      <c r="R2300">
        <v>2026</v>
      </c>
      <c r="S2300" t="s">
        <v>6099</v>
      </c>
      <c r="T2300">
        <v>1</v>
      </c>
      <c r="U2300" t="s">
        <v>6017</v>
      </c>
      <c r="V2300">
        <v>1</v>
      </c>
    </row>
    <row r="2301" spans="1:22" x14ac:dyDescent="0.3">
      <c r="A2301" t="s">
        <v>2316</v>
      </c>
      <c r="B2301" s="2">
        <v>46121.695138888892</v>
      </c>
      <c r="C2301" s="2">
        <v>46121.986805555556</v>
      </c>
      <c r="D2301" t="s">
        <v>6022</v>
      </c>
      <c r="E2301" t="s">
        <v>6030</v>
      </c>
      <c r="F2301" t="s">
        <v>6034</v>
      </c>
      <c r="G2301" t="s">
        <v>6054</v>
      </c>
      <c r="H2301" t="s">
        <v>6096</v>
      </c>
      <c r="I2301">
        <v>24</v>
      </c>
      <c r="J2301">
        <v>7</v>
      </c>
      <c r="K2301" t="s">
        <v>6099</v>
      </c>
      <c r="L2301" t="s">
        <v>6100</v>
      </c>
      <c r="M2301" t="s">
        <v>6100</v>
      </c>
      <c r="N2301">
        <v>4</v>
      </c>
      <c r="O2301" t="s">
        <v>6101</v>
      </c>
      <c r="P2301" t="s">
        <v>6110</v>
      </c>
      <c r="Q2301">
        <v>4</v>
      </c>
      <c r="R2301">
        <v>2026</v>
      </c>
      <c r="S2301" t="s">
        <v>6099</v>
      </c>
      <c r="T2301">
        <v>1</v>
      </c>
      <c r="U2301" t="s">
        <v>6020</v>
      </c>
      <c r="V2301">
        <v>1</v>
      </c>
    </row>
    <row r="2302" spans="1:22" x14ac:dyDescent="0.3">
      <c r="A2302" t="s">
        <v>2317</v>
      </c>
      <c r="B2302" s="2">
        <v>46121.701388888891</v>
      </c>
      <c r="C2302" s="2">
        <v>46122.447222222225</v>
      </c>
      <c r="D2302" t="s">
        <v>6027</v>
      </c>
      <c r="E2302" t="s">
        <v>6030</v>
      </c>
      <c r="F2302" t="s">
        <v>6034</v>
      </c>
      <c r="G2302" t="s">
        <v>6037</v>
      </c>
      <c r="H2302" t="s">
        <v>6096</v>
      </c>
      <c r="I2302">
        <v>24</v>
      </c>
      <c r="J2302">
        <v>17.899999999999999</v>
      </c>
      <c r="K2302" t="s">
        <v>6100</v>
      </c>
      <c r="L2302" t="s">
        <v>6100</v>
      </c>
      <c r="M2302" t="s">
        <v>6100</v>
      </c>
      <c r="N2302">
        <v>5</v>
      </c>
      <c r="O2302" t="s">
        <v>6101</v>
      </c>
      <c r="P2302" t="s">
        <v>6110</v>
      </c>
      <c r="Q2302">
        <v>4</v>
      </c>
      <c r="R2302">
        <v>2026</v>
      </c>
      <c r="S2302" t="s">
        <v>6099</v>
      </c>
      <c r="T2302">
        <v>1</v>
      </c>
      <c r="U2302" t="s">
        <v>6020</v>
      </c>
      <c r="V2302">
        <v>0</v>
      </c>
    </row>
    <row r="2303" spans="1:22" x14ac:dyDescent="0.3">
      <c r="A2303" t="s">
        <v>2318</v>
      </c>
      <c r="B2303" s="2">
        <v>46121.714583333334</v>
      </c>
      <c r="C2303" s="2">
        <v>46121.818749999999</v>
      </c>
      <c r="D2303" t="s">
        <v>6023</v>
      </c>
      <c r="E2303" t="s">
        <v>6029</v>
      </c>
      <c r="F2303" t="s">
        <v>6034</v>
      </c>
      <c r="G2303" t="s">
        <v>6093</v>
      </c>
      <c r="H2303" t="s">
        <v>6097</v>
      </c>
      <c r="I2303">
        <v>24</v>
      </c>
      <c r="J2303">
        <v>2.5</v>
      </c>
      <c r="K2303" t="s">
        <v>6099</v>
      </c>
      <c r="L2303" t="s">
        <v>6100</v>
      </c>
      <c r="M2303" t="s">
        <v>6100</v>
      </c>
      <c r="O2303" t="s">
        <v>6101</v>
      </c>
      <c r="P2303" t="s">
        <v>6110</v>
      </c>
      <c r="Q2303">
        <v>4</v>
      </c>
      <c r="R2303">
        <v>2026</v>
      </c>
      <c r="S2303" t="s">
        <v>6099</v>
      </c>
      <c r="T2303">
        <v>1</v>
      </c>
      <c r="U2303" t="s">
        <v>6018</v>
      </c>
      <c r="V2303">
        <v>1</v>
      </c>
    </row>
    <row r="2304" spans="1:22" x14ac:dyDescent="0.3">
      <c r="A2304" t="s">
        <v>2319</v>
      </c>
      <c r="B2304" s="2">
        <v>46121.96875</v>
      </c>
      <c r="C2304" s="2">
        <v>46126.497916666667</v>
      </c>
      <c r="D2304" t="s">
        <v>6026</v>
      </c>
      <c r="E2304" t="s">
        <v>6031</v>
      </c>
      <c r="F2304" t="s">
        <v>6035</v>
      </c>
      <c r="G2304" t="s">
        <v>6059</v>
      </c>
      <c r="H2304" t="s">
        <v>6097</v>
      </c>
      <c r="I2304">
        <v>4</v>
      </c>
      <c r="J2304">
        <v>108.7</v>
      </c>
      <c r="K2304" t="s">
        <v>6099</v>
      </c>
      <c r="L2304" t="s">
        <v>6100</v>
      </c>
      <c r="M2304" t="s">
        <v>6100</v>
      </c>
      <c r="N2304">
        <v>4</v>
      </c>
      <c r="O2304" t="s">
        <v>6101</v>
      </c>
      <c r="P2304" t="s">
        <v>6110</v>
      </c>
      <c r="Q2304">
        <v>4</v>
      </c>
      <c r="R2304">
        <v>2026</v>
      </c>
      <c r="S2304" t="s">
        <v>6100</v>
      </c>
      <c r="T2304">
        <v>0</v>
      </c>
      <c r="U2304" t="s">
        <v>6019</v>
      </c>
      <c r="V2304">
        <v>1</v>
      </c>
    </row>
    <row r="2305" spans="1:22" x14ac:dyDescent="0.3">
      <c r="A2305" t="s">
        <v>2320</v>
      </c>
      <c r="B2305" s="2">
        <v>46122.20208333333</v>
      </c>
      <c r="C2305" s="2">
        <v>46122.527083333334</v>
      </c>
      <c r="D2305" t="s">
        <v>6027</v>
      </c>
      <c r="E2305" t="s">
        <v>6030</v>
      </c>
      <c r="F2305" t="s">
        <v>6033</v>
      </c>
      <c r="G2305" t="s">
        <v>6086</v>
      </c>
      <c r="H2305" t="s">
        <v>6098</v>
      </c>
      <c r="I2305">
        <v>72</v>
      </c>
      <c r="J2305">
        <v>7.8</v>
      </c>
      <c r="K2305" t="s">
        <v>6099</v>
      </c>
      <c r="L2305" t="s">
        <v>6100</v>
      </c>
      <c r="M2305" t="s">
        <v>6100</v>
      </c>
      <c r="N2305">
        <v>5</v>
      </c>
      <c r="O2305" t="s">
        <v>6101</v>
      </c>
      <c r="P2305" t="s">
        <v>6110</v>
      </c>
      <c r="Q2305">
        <v>4</v>
      </c>
      <c r="R2305">
        <v>2026</v>
      </c>
      <c r="S2305" t="s">
        <v>6099</v>
      </c>
      <c r="T2305">
        <v>1</v>
      </c>
      <c r="U2305" t="s">
        <v>6021</v>
      </c>
      <c r="V2305">
        <v>1</v>
      </c>
    </row>
    <row r="2306" spans="1:22" x14ac:dyDescent="0.3">
      <c r="A2306" t="s">
        <v>2321</v>
      </c>
      <c r="B2306" s="2">
        <v>46122.204861111109</v>
      </c>
      <c r="C2306" s="2">
        <v>46126.421527777777</v>
      </c>
      <c r="D2306" t="s">
        <v>6026</v>
      </c>
      <c r="E2306" t="s">
        <v>6031</v>
      </c>
      <c r="F2306" t="s">
        <v>6034</v>
      </c>
      <c r="G2306" t="s">
        <v>6075</v>
      </c>
      <c r="H2306" t="s">
        <v>6097</v>
      </c>
      <c r="I2306">
        <v>24</v>
      </c>
      <c r="J2306">
        <v>101.2</v>
      </c>
      <c r="K2306" t="s">
        <v>6099</v>
      </c>
      <c r="L2306" t="s">
        <v>6100</v>
      </c>
      <c r="M2306" t="s">
        <v>6100</v>
      </c>
      <c r="O2306" t="s">
        <v>6101</v>
      </c>
      <c r="P2306" t="s">
        <v>6110</v>
      </c>
      <c r="Q2306">
        <v>4</v>
      </c>
      <c r="R2306">
        <v>2026</v>
      </c>
      <c r="S2306" t="s">
        <v>6100</v>
      </c>
      <c r="T2306">
        <v>0</v>
      </c>
      <c r="U2306" t="s">
        <v>6020</v>
      </c>
      <c r="V2306">
        <v>1</v>
      </c>
    </row>
    <row r="2307" spans="1:22" x14ac:dyDescent="0.3">
      <c r="A2307" t="s">
        <v>2322</v>
      </c>
      <c r="B2307" s="2">
        <v>46122.270833333336</v>
      </c>
      <c r="C2307" s="2">
        <v>46125.129166666666</v>
      </c>
      <c r="D2307" t="s">
        <v>6025</v>
      </c>
      <c r="E2307" t="s">
        <v>6031</v>
      </c>
      <c r="F2307" t="s">
        <v>6033</v>
      </c>
      <c r="G2307" t="s">
        <v>6078</v>
      </c>
      <c r="H2307" t="s">
        <v>6097</v>
      </c>
      <c r="I2307">
        <v>72</v>
      </c>
      <c r="J2307">
        <v>68.599999999999994</v>
      </c>
      <c r="K2307" t="s">
        <v>6100</v>
      </c>
      <c r="L2307" t="s">
        <v>6099</v>
      </c>
      <c r="M2307" t="s">
        <v>6100</v>
      </c>
      <c r="N2307">
        <v>4</v>
      </c>
      <c r="O2307" t="s">
        <v>6101</v>
      </c>
      <c r="P2307" t="s">
        <v>6110</v>
      </c>
      <c r="Q2307">
        <v>4</v>
      </c>
      <c r="R2307">
        <v>2026</v>
      </c>
      <c r="S2307" t="s">
        <v>6099</v>
      </c>
      <c r="T2307">
        <v>1</v>
      </c>
      <c r="U2307" t="s">
        <v>6020</v>
      </c>
      <c r="V2307">
        <v>0</v>
      </c>
    </row>
    <row r="2308" spans="1:22" x14ac:dyDescent="0.3">
      <c r="A2308" t="s">
        <v>2323</v>
      </c>
      <c r="B2308" s="2">
        <v>46122.322916666664</v>
      </c>
      <c r="C2308" s="2">
        <v>46122.393750000003</v>
      </c>
      <c r="D2308" t="s">
        <v>6028</v>
      </c>
      <c r="E2308" t="s">
        <v>6030</v>
      </c>
      <c r="F2308" t="s">
        <v>6034</v>
      </c>
      <c r="G2308" t="s">
        <v>6082</v>
      </c>
      <c r="H2308" t="s">
        <v>6097</v>
      </c>
      <c r="I2308">
        <v>24</v>
      </c>
      <c r="J2308">
        <v>1.7</v>
      </c>
      <c r="K2308" t="s">
        <v>6099</v>
      </c>
      <c r="L2308" t="s">
        <v>6100</v>
      </c>
      <c r="M2308" t="s">
        <v>6100</v>
      </c>
      <c r="O2308" t="s">
        <v>6101</v>
      </c>
      <c r="P2308" t="s">
        <v>6110</v>
      </c>
      <c r="Q2308">
        <v>4</v>
      </c>
      <c r="R2308">
        <v>2026</v>
      </c>
      <c r="S2308" t="s">
        <v>6099</v>
      </c>
      <c r="T2308">
        <v>1</v>
      </c>
      <c r="U2308" t="s">
        <v>6019</v>
      </c>
      <c r="V2308">
        <v>1</v>
      </c>
    </row>
    <row r="2309" spans="1:22" x14ac:dyDescent="0.3">
      <c r="A2309" t="s">
        <v>2324</v>
      </c>
      <c r="B2309" s="2">
        <v>46122.334722222222</v>
      </c>
      <c r="C2309" s="2">
        <v>46123.422222222223</v>
      </c>
      <c r="D2309" t="s">
        <v>6028</v>
      </c>
      <c r="E2309" t="s">
        <v>6029</v>
      </c>
      <c r="F2309" t="s">
        <v>6035</v>
      </c>
      <c r="G2309" t="s">
        <v>6043</v>
      </c>
      <c r="H2309" t="s">
        <v>6097</v>
      </c>
      <c r="I2309">
        <v>4</v>
      </c>
      <c r="J2309">
        <v>26.1</v>
      </c>
      <c r="K2309" t="s">
        <v>6099</v>
      </c>
      <c r="L2309" t="s">
        <v>6100</v>
      </c>
      <c r="M2309" t="s">
        <v>6099</v>
      </c>
      <c r="N2309">
        <v>4</v>
      </c>
      <c r="O2309" t="s">
        <v>6101</v>
      </c>
      <c r="P2309" t="s">
        <v>6110</v>
      </c>
      <c r="Q2309">
        <v>4</v>
      </c>
      <c r="R2309">
        <v>2026</v>
      </c>
      <c r="S2309" t="s">
        <v>6100</v>
      </c>
      <c r="T2309">
        <v>0</v>
      </c>
      <c r="U2309" t="s">
        <v>6020</v>
      </c>
      <c r="V2309">
        <v>1</v>
      </c>
    </row>
    <row r="2310" spans="1:22" x14ac:dyDescent="0.3">
      <c r="A2310" t="s">
        <v>2325</v>
      </c>
      <c r="B2310" s="2">
        <v>46122.349305555559</v>
      </c>
      <c r="C2310" s="2">
        <v>46122.482638888891</v>
      </c>
      <c r="D2310" t="s">
        <v>6023</v>
      </c>
      <c r="E2310" t="s">
        <v>6030</v>
      </c>
      <c r="F2310" t="s">
        <v>6033</v>
      </c>
      <c r="G2310" t="s">
        <v>6084</v>
      </c>
      <c r="H2310" t="s">
        <v>6098</v>
      </c>
      <c r="I2310">
        <v>72</v>
      </c>
      <c r="J2310">
        <v>3.2</v>
      </c>
      <c r="K2310" t="s">
        <v>6100</v>
      </c>
      <c r="L2310" t="s">
        <v>6099</v>
      </c>
      <c r="M2310" t="s">
        <v>6100</v>
      </c>
      <c r="N2310">
        <v>4</v>
      </c>
      <c r="O2310" t="s">
        <v>6101</v>
      </c>
      <c r="P2310" t="s">
        <v>6110</v>
      </c>
      <c r="Q2310">
        <v>4</v>
      </c>
      <c r="R2310">
        <v>2026</v>
      </c>
      <c r="S2310" t="s">
        <v>6099</v>
      </c>
      <c r="T2310">
        <v>1</v>
      </c>
      <c r="U2310" t="s">
        <v>6017</v>
      </c>
      <c r="V2310">
        <v>0</v>
      </c>
    </row>
    <row r="2311" spans="1:22" x14ac:dyDescent="0.3">
      <c r="A2311" t="s">
        <v>2326</v>
      </c>
      <c r="B2311" s="2">
        <v>46122.399305555555</v>
      </c>
      <c r="C2311" s="2">
        <v>46122.799305555556</v>
      </c>
      <c r="D2311" t="s">
        <v>6024</v>
      </c>
      <c r="E2311" t="s">
        <v>6029</v>
      </c>
      <c r="F2311" t="s">
        <v>6034</v>
      </c>
      <c r="G2311" t="s">
        <v>6086</v>
      </c>
      <c r="H2311" t="s">
        <v>6098</v>
      </c>
      <c r="I2311">
        <v>24</v>
      </c>
      <c r="J2311">
        <v>9.6</v>
      </c>
      <c r="K2311" t="s">
        <v>6099</v>
      </c>
      <c r="L2311" t="s">
        <v>6100</v>
      </c>
      <c r="M2311" t="s">
        <v>6100</v>
      </c>
      <c r="N2311">
        <v>5</v>
      </c>
      <c r="O2311" t="s">
        <v>6101</v>
      </c>
      <c r="P2311" t="s">
        <v>6110</v>
      </c>
      <c r="Q2311">
        <v>4</v>
      </c>
      <c r="R2311">
        <v>2026</v>
      </c>
      <c r="S2311" t="s">
        <v>6099</v>
      </c>
      <c r="T2311">
        <v>1</v>
      </c>
      <c r="U2311" t="s">
        <v>6020</v>
      </c>
      <c r="V2311">
        <v>1</v>
      </c>
    </row>
    <row r="2312" spans="1:22" x14ac:dyDescent="0.3">
      <c r="A2312" t="s">
        <v>2327</v>
      </c>
      <c r="B2312" s="2">
        <v>46122.458333333336</v>
      </c>
      <c r="C2312" s="2">
        <v>46123.212500000001</v>
      </c>
      <c r="D2312" t="s">
        <v>6022</v>
      </c>
      <c r="E2312" t="s">
        <v>6032</v>
      </c>
      <c r="F2312" t="s">
        <v>6033</v>
      </c>
      <c r="G2312" t="s">
        <v>6068</v>
      </c>
      <c r="H2312" t="s">
        <v>6098</v>
      </c>
      <c r="I2312">
        <v>72</v>
      </c>
      <c r="J2312">
        <v>18.100000000000001</v>
      </c>
      <c r="K2312" t="s">
        <v>6099</v>
      </c>
      <c r="L2312" t="s">
        <v>6100</v>
      </c>
      <c r="M2312" t="s">
        <v>6100</v>
      </c>
      <c r="N2312">
        <v>4</v>
      </c>
      <c r="O2312" t="s">
        <v>6101</v>
      </c>
      <c r="P2312" t="s">
        <v>6110</v>
      </c>
      <c r="Q2312">
        <v>4</v>
      </c>
      <c r="R2312">
        <v>2026</v>
      </c>
      <c r="S2312" t="s">
        <v>6099</v>
      </c>
      <c r="T2312">
        <v>1</v>
      </c>
      <c r="U2312" t="s">
        <v>6020</v>
      </c>
      <c r="V2312">
        <v>1</v>
      </c>
    </row>
    <row r="2313" spans="1:22" x14ac:dyDescent="0.3">
      <c r="A2313" t="s">
        <v>2328</v>
      </c>
      <c r="B2313" s="2">
        <v>46122.463194444441</v>
      </c>
      <c r="C2313" s="2">
        <v>46122.742361111108</v>
      </c>
      <c r="D2313" t="s">
        <v>6023</v>
      </c>
      <c r="E2313" t="s">
        <v>6029</v>
      </c>
      <c r="F2313" t="s">
        <v>6034</v>
      </c>
      <c r="G2313" t="s">
        <v>6067</v>
      </c>
      <c r="H2313" t="s">
        <v>6098</v>
      </c>
      <c r="I2313">
        <v>24</v>
      </c>
      <c r="J2313">
        <v>6.7</v>
      </c>
      <c r="K2313" t="s">
        <v>6099</v>
      </c>
      <c r="L2313" t="s">
        <v>6100</v>
      </c>
      <c r="M2313" t="s">
        <v>6100</v>
      </c>
      <c r="N2313">
        <v>4</v>
      </c>
      <c r="O2313" t="s">
        <v>6101</v>
      </c>
      <c r="P2313" t="s">
        <v>6110</v>
      </c>
      <c r="Q2313">
        <v>4</v>
      </c>
      <c r="R2313">
        <v>2026</v>
      </c>
      <c r="S2313" t="s">
        <v>6099</v>
      </c>
      <c r="T2313">
        <v>1</v>
      </c>
      <c r="U2313" t="s">
        <v>6020</v>
      </c>
      <c r="V2313">
        <v>1</v>
      </c>
    </row>
    <row r="2314" spans="1:22" x14ac:dyDescent="0.3">
      <c r="A2314" t="s">
        <v>2329</v>
      </c>
      <c r="B2314" s="2">
        <v>46122.510416666664</v>
      </c>
      <c r="C2314" s="2">
        <v>46122.847916666666</v>
      </c>
      <c r="D2314" t="s">
        <v>6028</v>
      </c>
      <c r="E2314" t="s">
        <v>6030</v>
      </c>
      <c r="F2314" t="s">
        <v>6035</v>
      </c>
      <c r="G2314" t="s">
        <v>6068</v>
      </c>
      <c r="H2314" t="s">
        <v>6098</v>
      </c>
      <c r="I2314">
        <v>4</v>
      </c>
      <c r="J2314">
        <v>8.1</v>
      </c>
      <c r="K2314" t="s">
        <v>6099</v>
      </c>
      <c r="L2314" t="s">
        <v>6100</v>
      </c>
      <c r="M2314" t="s">
        <v>6099</v>
      </c>
      <c r="O2314" t="s">
        <v>6101</v>
      </c>
      <c r="P2314" t="s">
        <v>6110</v>
      </c>
      <c r="Q2314">
        <v>4</v>
      </c>
      <c r="R2314">
        <v>2026</v>
      </c>
      <c r="S2314" t="s">
        <v>6100</v>
      </c>
      <c r="T2314">
        <v>0</v>
      </c>
      <c r="U2314" t="s">
        <v>6020</v>
      </c>
      <c r="V2314">
        <v>1</v>
      </c>
    </row>
    <row r="2315" spans="1:22" x14ac:dyDescent="0.3">
      <c r="A2315" t="s">
        <v>2330</v>
      </c>
      <c r="B2315" s="2">
        <v>46122.511805555558</v>
      </c>
      <c r="C2315" s="2">
        <v>46125.261805555558</v>
      </c>
      <c r="D2315" t="s">
        <v>6026</v>
      </c>
      <c r="E2315" t="s">
        <v>6031</v>
      </c>
      <c r="F2315" t="s">
        <v>6033</v>
      </c>
      <c r="G2315" t="s">
        <v>6041</v>
      </c>
      <c r="H2315" t="s">
        <v>6096</v>
      </c>
      <c r="I2315">
        <v>72</v>
      </c>
      <c r="J2315">
        <v>66</v>
      </c>
      <c r="K2315" t="s">
        <v>6100</v>
      </c>
      <c r="L2315" t="s">
        <v>6100</v>
      </c>
      <c r="M2315" t="s">
        <v>6100</v>
      </c>
      <c r="N2315">
        <v>4</v>
      </c>
      <c r="O2315" t="s">
        <v>6101</v>
      </c>
      <c r="P2315" t="s">
        <v>6110</v>
      </c>
      <c r="Q2315">
        <v>4</v>
      </c>
      <c r="R2315">
        <v>2026</v>
      </c>
      <c r="S2315" t="s">
        <v>6099</v>
      </c>
      <c r="T2315">
        <v>1</v>
      </c>
      <c r="U2315" t="s">
        <v>6019</v>
      </c>
      <c r="V2315">
        <v>0</v>
      </c>
    </row>
    <row r="2316" spans="1:22" x14ac:dyDescent="0.3">
      <c r="A2316" t="s">
        <v>2331</v>
      </c>
      <c r="B2316" s="2">
        <v>46122.520833333336</v>
      </c>
      <c r="C2316" s="2">
        <v>46122.73333333333</v>
      </c>
      <c r="D2316" t="s">
        <v>6028</v>
      </c>
      <c r="E2316" t="s">
        <v>6030</v>
      </c>
      <c r="F2316" t="s">
        <v>6033</v>
      </c>
      <c r="G2316" t="s">
        <v>6058</v>
      </c>
      <c r="H2316" t="s">
        <v>6098</v>
      </c>
      <c r="I2316">
        <v>72</v>
      </c>
      <c r="J2316">
        <v>5.0999999999999996</v>
      </c>
      <c r="K2316" t="s">
        <v>6099</v>
      </c>
      <c r="L2316" t="s">
        <v>6100</v>
      </c>
      <c r="M2316" t="s">
        <v>6100</v>
      </c>
      <c r="N2316">
        <v>5</v>
      </c>
      <c r="O2316" t="s">
        <v>6101</v>
      </c>
      <c r="P2316" t="s">
        <v>6110</v>
      </c>
      <c r="Q2316">
        <v>4</v>
      </c>
      <c r="R2316">
        <v>2026</v>
      </c>
      <c r="S2316" t="s">
        <v>6099</v>
      </c>
      <c r="T2316">
        <v>1</v>
      </c>
      <c r="U2316" t="s">
        <v>6017</v>
      </c>
      <c r="V2316">
        <v>1</v>
      </c>
    </row>
    <row r="2317" spans="1:22" x14ac:dyDescent="0.3">
      <c r="A2317" t="s">
        <v>2332</v>
      </c>
      <c r="B2317" s="2">
        <v>46122.531944444447</v>
      </c>
      <c r="C2317" s="2">
        <v>46122.869444444441</v>
      </c>
      <c r="D2317" t="s">
        <v>6028</v>
      </c>
      <c r="E2317" t="s">
        <v>6029</v>
      </c>
      <c r="F2317" t="s">
        <v>6034</v>
      </c>
      <c r="G2317" t="s">
        <v>6060</v>
      </c>
      <c r="H2317" t="s">
        <v>6097</v>
      </c>
      <c r="I2317">
        <v>24</v>
      </c>
      <c r="J2317">
        <v>8.1</v>
      </c>
      <c r="K2317" t="s">
        <v>6099</v>
      </c>
      <c r="L2317" t="s">
        <v>6100</v>
      </c>
      <c r="M2317" t="s">
        <v>6100</v>
      </c>
      <c r="N2317">
        <v>3</v>
      </c>
      <c r="O2317" t="s">
        <v>6101</v>
      </c>
      <c r="P2317" t="s">
        <v>6110</v>
      </c>
      <c r="Q2317">
        <v>4</v>
      </c>
      <c r="R2317">
        <v>2026</v>
      </c>
      <c r="S2317" t="s">
        <v>6099</v>
      </c>
      <c r="T2317">
        <v>1</v>
      </c>
      <c r="U2317" t="s">
        <v>6018</v>
      </c>
      <c r="V2317">
        <v>1</v>
      </c>
    </row>
    <row r="2318" spans="1:22" x14ac:dyDescent="0.3">
      <c r="A2318" t="s">
        <v>2333</v>
      </c>
      <c r="B2318" s="2">
        <v>46122.532638888886</v>
      </c>
      <c r="C2318" s="2">
        <v>46123.065972222219</v>
      </c>
      <c r="D2318" t="s">
        <v>6023</v>
      </c>
      <c r="E2318" t="s">
        <v>6029</v>
      </c>
      <c r="F2318" t="s">
        <v>6034</v>
      </c>
      <c r="G2318" t="s">
        <v>6065</v>
      </c>
      <c r="H2318" t="s">
        <v>6097</v>
      </c>
      <c r="I2318">
        <v>24</v>
      </c>
      <c r="J2318">
        <v>12.8</v>
      </c>
      <c r="K2318" t="s">
        <v>6099</v>
      </c>
      <c r="L2318" t="s">
        <v>6100</v>
      </c>
      <c r="M2318" t="s">
        <v>6100</v>
      </c>
      <c r="O2318" t="s">
        <v>6101</v>
      </c>
      <c r="P2318" t="s">
        <v>6110</v>
      </c>
      <c r="Q2318">
        <v>4</v>
      </c>
      <c r="R2318">
        <v>2026</v>
      </c>
      <c r="S2318" t="s">
        <v>6099</v>
      </c>
      <c r="T2318">
        <v>1</v>
      </c>
      <c r="U2318" t="s">
        <v>6019</v>
      </c>
      <c r="V2318">
        <v>1</v>
      </c>
    </row>
    <row r="2319" spans="1:22" x14ac:dyDescent="0.3">
      <c r="A2319" t="s">
        <v>2334</v>
      </c>
      <c r="B2319" s="2">
        <v>46122.557638888888</v>
      </c>
      <c r="C2319" s="2">
        <v>46122.982638888891</v>
      </c>
      <c r="D2319" t="s">
        <v>6023</v>
      </c>
      <c r="E2319" t="s">
        <v>6029</v>
      </c>
      <c r="F2319" t="s">
        <v>6034</v>
      </c>
      <c r="G2319" t="s">
        <v>6044</v>
      </c>
      <c r="H2319" t="s">
        <v>6097</v>
      </c>
      <c r="I2319">
        <v>24</v>
      </c>
      <c r="J2319">
        <v>10.199999999999999</v>
      </c>
      <c r="K2319" t="s">
        <v>6099</v>
      </c>
      <c r="L2319" t="s">
        <v>6100</v>
      </c>
      <c r="M2319" t="s">
        <v>6100</v>
      </c>
      <c r="N2319">
        <v>5</v>
      </c>
      <c r="O2319" t="s">
        <v>6101</v>
      </c>
      <c r="P2319" t="s">
        <v>6110</v>
      </c>
      <c r="Q2319">
        <v>4</v>
      </c>
      <c r="R2319">
        <v>2026</v>
      </c>
      <c r="S2319" t="s">
        <v>6099</v>
      </c>
      <c r="T2319">
        <v>1</v>
      </c>
      <c r="U2319" t="s">
        <v>6019</v>
      </c>
      <c r="V2319">
        <v>1</v>
      </c>
    </row>
    <row r="2320" spans="1:22" x14ac:dyDescent="0.3">
      <c r="A2320" t="s">
        <v>2335</v>
      </c>
      <c r="B2320" s="2">
        <v>46122.578472222223</v>
      </c>
      <c r="C2320" s="2">
        <v>46124.561805555553</v>
      </c>
      <c r="D2320" t="s">
        <v>6025</v>
      </c>
      <c r="E2320" t="s">
        <v>6031</v>
      </c>
      <c r="F2320" t="s">
        <v>6035</v>
      </c>
      <c r="G2320" t="s">
        <v>6083</v>
      </c>
      <c r="H2320" t="s">
        <v>6096</v>
      </c>
      <c r="I2320">
        <v>4</v>
      </c>
      <c r="J2320">
        <v>47.6</v>
      </c>
      <c r="K2320" t="s">
        <v>6099</v>
      </c>
      <c r="L2320" t="s">
        <v>6100</v>
      </c>
      <c r="M2320" t="s">
        <v>6099</v>
      </c>
      <c r="N2320">
        <v>5</v>
      </c>
      <c r="O2320" t="s">
        <v>6101</v>
      </c>
      <c r="P2320" t="s">
        <v>6110</v>
      </c>
      <c r="Q2320">
        <v>4</v>
      </c>
      <c r="R2320">
        <v>2026</v>
      </c>
      <c r="S2320" t="s">
        <v>6100</v>
      </c>
      <c r="T2320">
        <v>0</v>
      </c>
      <c r="U2320" t="s">
        <v>6018</v>
      </c>
      <c r="V2320">
        <v>1</v>
      </c>
    </row>
    <row r="2321" spans="1:22" x14ac:dyDescent="0.3">
      <c r="A2321" t="s">
        <v>2336</v>
      </c>
      <c r="B2321" s="2">
        <v>46122.579861111109</v>
      </c>
      <c r="C2321" s="2">
        <v>46122.888194444444</v>
      </c>
      <c r="D2321" t="s">
        <v>6028</v>
      </c>
      <c r="E2321" t="s">
        <v>6031</v>
      </c>
      <c r="F2321" t="s">
        <v>6034</v>
      </c>
      <c r="G2321" t="s">
        <v>6072</v>
      </c>
      <c r="H2321" t="s">
        <v>6097</v>
      </c>
      <c r="I2321">
        <v>24</v>
      </c>
      <c r="J2321">
        <v>7.4</v>
      </c>
      <c r="K2321" t="s">
        <v>6099</v>
      </c>
      <c r="L2321" t="s">
        <v>6100</v>
      </c>
      <c r="M2321" t="s">
        <v>6100</v>
      </c>
      <c r="O2321" t="s">
        <v>6101</v>
      </c>
      <c r="P2321" t="s">
        <v>6110</v>
      </c>
      <c r="Q2321">
        <v>4</v>
      </c>
      <c r="R2321">
        <v>2026</v>
      </c>
      <c r="S2321" t="s">
        <v>6099</v>
      </c>
      <c r="T2321">
        <v>1</v>
      </c>
      <c r="U2321" t="s">
        <v>6021</v>
      </c>
      <c r="V2321">
        <v>1</v>
      </c>
    </row>
    <row r="2322" spans="1:22" x14ac:dyDescent="0.3">
      <c r="A2322" t="s">
        <v>2337</v>
      </c>
      <c r="B2322" s="2">
        <v>46122.594444444447</v>
      </c>
      <c r="C2322" s="2">
        <v>46123.215277777781</v>
      </c>
      <c r="D2322" t="s">
        <v>6025</v>
      </c>
      <c r="E2322" t="s">
        <v>6029</v>
      </c>
      <c r="F2322" t="s">
        <v>6035</v>
      </c>
      <c r="G2322" t="s">
        <v>6069</v>
      </c>
      <c r="H2322" t="s">
        <v>6098</v>
      </c>
      <c r="I2322">
        <v>4</v>
      </c>
      <c r="J2322">
        <v>14.9</v>
      </c>
      <c r="K2322" t="s">
        <v>6100</v>
      </c>
      <c r="L2322" t="s">
        <v>6099</v>
      </c>
      <c r="M2322" t="s">
        <v>6099</v>
      </c>
      <c r="N2322">
        <v>3</v>
      </c>
      <c r="O2322" t="s">
        <v>6101</v>
      </c>
      <c r="P2322" t="s">
        <v>6110</v>
      </c>
      <c r="Q2322">
        <v>4</v>
      </c>
      <c r="R2322">
        <v>2026</v>
      </c>
      <c r="S2322" t="s">
        <v>6100</v>
      </c>
      <c r="T2322">
        <v>0</v>
      </c>
      <c r="U2322" t="s">
        <v>6017</v>
      </c>
      <c r="V2322">
        <v>0</v>
      </c>
    </row>
    <row r="2323" spans="1:22" x14ac:dyDescent="0.3">
      <c r="A2323" t="s">
        <v>2338</v>
      </c>
      <c r="B2323" s="2">
        <v>46122.604861111111</v>
      </c>
      <c r="C2323" s="2">
        <v>46122.954861111109</v>
      </c>
      <c r="D2323" t="s">
        <v>6022</v>
      </c>
      <c r="E2323" t="s">
        <v>6030</v>
      </c>
      <c r="F2323" t="s">
        <v>6035</v>
      </c>
      <c r="G2323" t="s">
        <v>6066</v>
      </c>
      <c r="H2323" t="s">
        <v>6096</v>
      </c>
      <c r="I2323">
        <v>4</v>
      </c>
      <c r="J2323">
        <v>8.4</v>
      </c>
      <c r="K2323" t="s">
        <v>6100</v>
      </c>
      <c r="L2323" t="s">
        <v>6099</v>
      </c>
      <c r="M2323" t="s">
        <v>6100</v>
      </c>
      <c r="N2323">
        <v>2</v>
      </c>
      <c r="O2323" t="s">
        <v>6101</v>
      </c>
      <c r="P2323" t="s">
        <v>6110</v>
      </c>
      <c r="Q2323">
        <v>4</v>
      </c>
      <c r="R2323">
        <v>2026</v>
      </c>
      <c r="S2323" t="s">
        <v>6100</v>
      </c>
      <c r="T2323">
        <v>0</v>
      </c>
      <c r="U2323" t="s">
        <v>6020</v>
      </c>
      <c r="V2323">
        <v>0</v>
      </c>
    </row>
    <row r="2324" spans="1:22" x14ac:dyDescent="0.3">
      <c r="A2324" t="s">
        <v>2339</v>
      </c>
      <c r="B2324" s="2">
        <v>46122.637499999997</v>
      </c>
      <c r="C2324" s="2">
        <v>46122.7</v>
      </c>
      <c r="D2324" t="s">
        <v>6023</v>
      </c>
      <c r="E2324" t="s">
        <v>6029</v>
      </c>
      <c r="F2324" t="s">
        <v>6034</v>
      </c>
      <c r="G2324" t="s">
        <v>6083</v>
      </c>
      <c r="H2324" t="s">
        <v>6096</v>
      </c>
      <c r="I2324">
        <v>24</v>
      </c>
      <c r="J2324">
        <v>1.5</v>
      </c>
      <c r="K2324" t="s">
        <v>6100</v>
      </c>
      <c r="L2324" t="s">
        <v>6100</v>
      </c>
      <c r="M2324" t="s">
        <v>6100</v>
      </c>
      <c r="O2324" t="s">
        <v>6101</v>
      </c>
      <c r="P2324" t="s">
        <v>6110</v>
      </c>
      <c r="Q2324">
        <v>4</v>
      </c>
      <c r="R2324">
        <v>2026</v>
      </c>
      <c r="S2324" t="s">
        <v>6099</v>
      </c>
      <c r="T2324">
        <v>1</v>
      </c>
      <c r="U2324" t="s">
        <v>6020</v>
      </c>
      <c r="V2324">
        <v>0</v>
      </c>
    </row>
    <row r="2325" spans="1:22" x14ac:dyDescent="0.3">
      <c r="A2325" t="s">
        <v>2340</v>
      </c>
      <c r="B2325" s="2">
        <v>46122.651388888888</v>
      </c>
      <c r="C2325" s="2">
        <v>46123.297222222223</v>
      </c>
      <c r="D2325" t="s">
        <v>6023</v>
      </c>
      <c r="E2325" t="s">
        <v>6032</v>
      </c>
      <c r="F2325" t="s">
        <v>6033</v>
      </c>
      <c r="G2325" t="s">
        <v>6074</v>
      </c>
      <c r="H2325" t="s">
        <v>6098</v>
      </c>
      <c r="I2325">
        <v>72</v>
      </c>
      <c r="J2325">
        <v>15.5</v>
      </c>
      <c r="K2325" t="s">
        <v>6100</v>
      </c>
      <c r="L2325" t="s">
        <v>6099</v>
      </c>
      <c r="M2325" t="s">
        <v>6100</v>
      </c>
      <c r="N2325">
        <v>3</v>
      </c>
      <c r="O2325" t="s">
        <v>6101</v>
      </c>
      <c r="P2325" t="s">
        <v>6110</v>
      </c>
      <c r="Q2325">
        <v>4</v>
      </c>
      <c r="R2325">
        <v>2026</v>
      </c>
      <c r="S2325" t="s">
        <v>6099</v>
      </c>
      <c r="T2325">
        <v>1</v>
      </c>
      <c r="U2325" t="s">
        <v>6020</v>
      </c>
      <c r="V2325">
        <v>0</v>
      </c>
    </row>
    <row r="2326" spans="1:22" x14ac:dyDescent="0.3">
      <c r="A2326" t="s">
        <v>2341</v>
      </c>
      <c r="B2326" s="2">
        <v>46122.691666666666</v>
      </c>
      <c r="C2326" s="2">
        <v>46123.324999999997</v>
      </c>
      <c r="D2326" t="s">
        <v>6028</v>
      </c>
      <c r="E2326" t="s">
        <v>6030</v>
      </c>
      <c r="F2326" t="s">
        <v>6033</v>
      </c>
      <c r="G2326" t="s">
        <v>6083</v>
      </c>
      <c r="H2326" t="s">
        <v>6096</v>
      </c>
      <c r="I2326">
        <v>72</v>
      </c>
      <c r="J2326">
        <v>15.2</v>
      </c>
      <c r="K2326" t="s">
        <v>6099</v>
      </c>
      <c r="L2326" t="s">
        <v>6100</v>
      </c>
      <c r="M2326" t="s">
        <v>6100</v>
      </c>
      <c r="N2326">
        <v>5</v>
      </c>
      <c r="O2326" t="s">
        <v>6101</v>
      </c>
      <c r="P2326" t="s">
        <v>6110</v>
      </c>
      <c r="Q2326">
        <v>4</v>
      </c>
      <c r="R2326">
        <v>2026</v>
      </c>
      <c r="S2326" t="s">
        <v>6099</v>
      </c>
      <c r="T2326">
        <v>1</v>
      </c>
      <c r="U2326" t="s">
        <v>6018</v>
      </c>
      <c r="V2326">
        <v>1</v>
      </c>
    </row>
    <row r="2327" spans="1:22" x14ac:dyDescent="0.3">
      <c r="A2327" t="s">
        <v>2342</v>
      </c>
      <c r="B2327" s="2">
        <v>46122.827777777777</v>
      </c>
      <c r="C2327" s="2">
        <v>46123.115277777775</v>
      </c>
      <c r="D2327" t="s">
        <v>6024</v>
      </c>
      <c r="E2327" t="s">
        <v>6030</v>
      </c>
      <c r="F2327" t="s">
        <v>6033</v>
      </c>
      <c r="G2327" t="s">
        <v>6075</v>
      </c>
      <c r="H2327" t="s">
        <v>6097</v>
      </c>
      <c r="I2327">
        <v>72</v>
      </c>
      <c r="J2327">
        <v>6.9</v>
      </c>
      <c r="K2327" t="s">
        <v>6100</v>
      </c>
      <c r="L2327" t="s">
        <v>6100</v>
      </c>
      <c r="M2327" t="s">
        <v>6100</v>
      </c>
      <c r="N2327">
        <v>3</v>
      </c>
      <c r="O2327" t="s">
        <v>6101</v>
      </c>
      <c r="P2327" t="s">
        <v>6110</v>
      </c>
      <c r="Q2327">
        <v>4</v>
      </c>
      <c r="R2327">
        <v>2026</v>
      </c>
      <c r="S2327" t="s">
        <v>6099</v>
      </c>
      <c r="T2327">
        <v>1</v>
      </c>
      <c r="U2327" t="s">
        <v>6021</v>
      </c>
      <c r="V2327">
        <v>0</v>
      </c>
    </row>
    <row r="2328" spans="1:22" x14ac:dyDescent="0.3">
      <c r="A2328" t="s">
        <v>2343</v>
      </c>
      <c r="B2328" s="2">
        <v>46122.869444444441</v>
      </c>
      <c r="C2328" s="2">
        <v>46126.611111111109</v>
      </c>
      <c r="D2328" t="s">
        <v>6025</v>
      </c>
      <c r="E2328" t="s">
        <v>6032</v>
      </c>
      <c r="F2328" t="s">
        <v>6033</v>
      </c>
      <c r="G2328" t="s">
        <v>6038</v>
      </c>
      <c r="H2328" t="s">
        <v>6096</v>
      </c>
      <c r="I2328">
        <v>72</v>
      </c>
      <c r="J2328">
        <v>89.8</v>
      </c>
      <c r="K2328" t="s">
        <v>6099</v>
      </c>
      <c r="L2328" t="s">
        <v>6100</v>
      </c>
      <c r="M2328" t="s">
        <v>6100</v>
      </c>
      <c r="N2328">
        <v>3</v>
      </c>
      <c r="O2328" t="s">
        <v>6101</v>
      </c>
      <c r="P2328" t="s">
        <v>6110</v>
      </c>
      <c r="Q2328">
        <v>4</v>
      </c>
      <c r="R2328">
        <v>2026</v>
      </c>
      <c r="S2328" t="s">
        <v>6100</v>
      </c>
      <c r="T2328">
        <v>0</v>
      </c>
      <c r="U2328" t="s">
        <v>6020</v>
      </c>
      <c r="V2328">
        <v>1</v>
      </c>
    </row>
    <row r="2329" spans="1:22" x14ac:dyDescent="0.3">
      <c r="A2329" t="s">
        <v>2344</v>
      </c>
      <c r="B2329" s="2">
        <v>46123.211111111108</v>
      </c>
      <c r="C2329" s="2">
        <v>46129.073611111111</v>
      </c>
      <c r="D2329" t="s">
        <v>6025</v>
      </c>
      <c r="E2329" t="s">
        <v>6031</v>
      </c>
      <c r="F2329" t="s">
        <v>6034</v>
      </c>
      <c r="G2329" t="s">
        <v>6059</v>
      </c>
      <c r="H2329" t="s">
        <v>6097</v>
      </c>
      <c r="I2329">
        <v>24</v>
      </c>
      <c r="J2329">
        <v>140.69999999999999</v>
      </c>
      <c r="K2329" t="s">
        <v>6100</v>
      </c>
      <c r="L2329" t="s">
        <v>6100</v>
      </c>
      <c r="M2329" t="s">
        <v>6100</v>
      </c>
      <c r="N2329">
        <v>4</v>
      </c>
      <c r="O2329" t="s">
        <v>6101</v>
      </c>
      <c r="P2329" t="s">
        <v>6110</v>
      </c>
      <c r="Q2329">
        <v>4</v>
      </c>
      <c r="R2329">
        <v>2026</v>
      </c>
      <c r="S2329" t="s">
        <v>6100</v>
      </c>
      <c r="T2329">
        <v>0</v>
      </c>
      <c r="U2329" t="s">
        <v>6018</v>
      </c>
      <c r="V2329">
        <v>0</v>
      </c>
    </row>
    <row r="2330" spans="1:22" x14ac:dyDescent="0.3">
      <c r="A2330" t="s">
        <v>2345</v>
      </c>
      <c r="B2330" s="2">
        <v>46123.409722222219</v>
      </c>
      <c r="C2330" s="2">
        <v>46123.601388888892</v>
      </c>
      <c r="D2330" t="s">
        <v>6028</v>
      </c>
      <c r="E2330" t="s">
        <v>6030</v>
      </c>
      <c r="F2330" t="s">
        <v>6035</v>
      </c>
      <c r="G2330" t="s">
        <v>6081</v>
      </c>
      <c r="H2330" t="s">
        <v>6098</v>
      </c>
      <c r="I2330">
        <v>4</v>
      </c>
      <c r="J2330">
        <v>4.5999999999999996</v>
      </c>
      <c r="K2330" t="s">
        <v>6100</v>
      </c>
      <c r="L2330" t="s">
        <v>6099</v>
      </c>
      <c r="M2330" t="s">
        <v>6100</v>
      </c>
      <c r="O2330" t="s">
        <v>6101</v>
      </c>
      <c r="P2330" t="s">
        <v>6110</v>
      </c>
      <c r="Q2330">
        <v>4</v>
      </c>
      <c r="R2330">
        <v>2026</v>
      </c>
      <c r="S2330" t="s">
        <v>6100</v>
      </c>
      <c r="T2330">
        <v>0</v>
      </c>
      <c r="U2330" t="s">
        <v>6020</v>
      </c>
      <c r="V2330">
        <v>0</v>
      </c>
    </row>
    <row r="2331" spans="1:22" x14ac:dyDescent="0.3">
      <c r="A2331" t="s">
        <v>2346</v>
      </c>
      <c r="B2331" s="2">
        <v>46123.422222222223</v>
      </c>
      <c r="C2331" s="2">
        <v>46123.655555555553</v>
      </c>
      <c r="D2331" t="s">
        <v>6022</v>
      </c>
      <c r="E2331" t="s">
        <v>6029</v>
      </c>
      <c r="F2331" t="s">
        <v>6033</v>
      </c>
      <c r="G2331" t="s">
        <v>6085</v>
      </c>
      <c r="H2331" t="s">
        <v>6097</v>
      </c>
      <c r="I2331">
        <v>72</v>
      </c>
      <c r="J2331">
        <v>5.6</v>
      </c>
      <c r="K2331" t="s">
        <v>6100</v>
      </c>
      <c r="L2331" t="s">
        <v>6099</v>
      </c>
      <c r="M2331" t="s">
        <v>6100</v>
      </c>
      <c r="N2331">
        <v>4</v>
      </c>
      <c r="O2331" t="s">
        <v>6101</v>
      </c>
      <c r="P2331" t="s">
        <v>6110</v>
      </c>
      <c r="Q2331">
        <v>4</v>
      </c>
      <c r="R2331">
        <v>2026</v>
      </c>
      <c r="S2331" t="s">
        <v>6099</v>
      </c>
      <c r="T2331">
        <v>1</v>
      </c>
      <c r="U2331" t="s">
        <v>6021</v>
      </c>
      <c r="V2331">
        <v>0</v>
      </c>
    </row>
    <row r="2332" spans="1:22" x14ac:dyDescent="0.3">
      <c r="A2332" t="s">
        <v>2347</v>
      </c>
      <c r="B2332" s="2">
        <v>46123.443749999999</v>
      </c>
      <c r="C2332" s="2">
        <v>46124.03125</v>
      </c>
      <c r="D2332" t="s">
        <v>6025</v>
      </c>
      <c r="E2332" t="s">
        <v>6029</v>
      </c>
      <c r="F2332" t="s">
        <v>6034</v>
      </c>
      <c r="G2332" t="s">
        <v>6069</v>
      </c>
      <c r="H2332" t="s">
        <v>6098</v>
      </c>
      <c r="I2332">
        <v>24</v>
      </c>
      <c r="J2332">
        <v>14.1</v>
      </c>
      <c r="K2332" t="s">
        <v>6099</v>
      </c>
      <c r="L2332" t="s">
        <v>6100</v>
      </c>
      <c r="M2332" t="s">
        <v>6100</v>
      </c>
      <c r="O2332" t="s">
        <v>6101</v>
      </c>
      <c r="P2332" t="s">
        <v>6110</v>
      </c>
      <c r="Q2332">
        <v>4</v>
      </c>
      <c r="R2332">
        <v>2026</v>
      </c>
      <c r="S2332" t="s">
        <v>6099</v>
      </c>
      <c r="T2332">
        <v>1</v>
      </c>
      <c r="U2332" t="s">
        <v>6019</v>
      </c>
      <c r="V2332">
        <v>1</v>
      </c>
    </row>
    <row r="2333" spans="1:22" x14ac:dyDescent="0.3">
      <c r="A2333" t="s">
        <v>2348</v>
      </c>
      <c r="B2333" s="2">
        <v>46123.523611111108</v>
      </c>
      <c r="C2333" s="2">
        <v>46123.844444444447</v>
      </c>
      <c r="D2333" t="s">
        <v>6022</v>
      </c>
      <c r="E2333" t="s">
        <v>6030</v>
      </c>
      <c r="F2333" t="s">
        <v>6033</v>
      </c>
      <c r="G2333" t="s">
        <v>6077</v>
      </c>
      <c r="H2333" t="s">
        <v>6098</v>
      </c>
      <c r="I2333">
        <v>72</v>
      </c>
      <c r="J2333">
        <v>7.7</v>
      </c>
      <c r="K2333" t="s">
        <v>6100</v>
      </c>
      <c r="L2333" t="s">
        <v>6100</v>
      </c>
      <c r="M2333" t="s">
        <v>6100</v>
      </c>
      <c r="N2333">
        <v>1</v>
      </c>
      <c r="O2333" t="s">
        <v>6101</v>
      </c>
      <c r="P2333" t="s">
        <v>6110</v>
      </c>
      <c r="Q2333">
        <v>4</v>
      </c>
      <c r="R2333">
        <v>2026</v>
      </c>
      <c r="S2333" t="s">
        <v>6099</v>
      </c>
      <c r="T2333">
        <v>1</v>
      </c>
      <c r="U2333" t="s">
        <v>6018</v>
      </c>
      <c r="V2333">
        <v>0</v>
      </c>
    </row>
    <row r="2334" spans="1:22" x14ac:dyDescent="0.3">
      <c r="A2334" t="s">
        <v>2349</v>
      </c>
      <c r="B2334" s="2">
        <v>46123.548611111109</v>
      </c>
      <c r="C2334" s="2">
        <v>46125.119444444441</v>
      </c>
      <c r="D2334" t="s">
        <v>6022</v>
      </c>
      <c r="E2334" t="s">
        <v>6030</v>
      </c>
      <c r="F2334" t="s">
        <v>6034</v>
      </c>
      <c r="G2334" t="s">
        <v>6054</v>
      </c>
      <c r="H2334" t="s">
        <v>6096</v>
      </c>
      <c r="I2334">
        <v>24</v>
      </c>
      <c r="J2334">
        <v>37.700000000000003</v>
      </c>
      <c r="K2334" t="s">
        <v>6099</v>
      </c>
      <c r="L2334" t="s">
        <v>6100</v>
      </c>
      <c r="M2334" t="s">
        <v>6100</v>
      </c>
      <c r="O2334" t="s">
        <v>6101</v>
      </c>
      <c r="P2334" t="s">
        <v>6110</v>
      </c>
      <c r="Q2334">
        <v>4</v>
      </c>
      <c r="R2334">
        <v>2026</v>
      </c>
      <c r="S2334" t="s">
        <v>6100</v>
      </c>
      <c r="T2334">
        <v>0</v>
      </c>
      <c r="U2334" t="s">
        <v>6019</v>
      </c>
      <c r="V2334">
        <v>1</v>
      </c>
    </row>
    <row r="2335" spans="1:22" x14ac:dyDescent="0.3">
      <c r="A2335" t="s">
        <v>2350</v>
      </c>
      <c r="B2335" s="2">
        <v>46123.552777777775</v>
      </c>
      <c r="C2335" s="2">
        <v>46124.56527777778</v>
      </c>
      <c r="D2335" t="s">
        <v>6022</v>
      </c>
      <c r="E2335" t="s">
        <v>6029</v>
      </c>
      <c r="F2335" t="s">
        <v>6035</v>
      </c>
      <c r="G2335" t="s">
        <v>6087</v>
      </c>
      <c r="H2335" t="s">
        <v>6098</v>
      </c>
      <c r="I2335">
        <v>4</v>
      </c>
      <c r="J2335">
        <v>24.3</v>
      </c>
      <c r="K2335" t="s">
        <v>6099</v>
      </c>
      <c r="L2335" t="s">
        <v>6100</v>
      </c>
      <c r="M2335" t="s">
        <v>6099</v>
      </c>
      <c r="O2335" t="s">
        <v>6101</v>
      </c>
      <c r="P2335" t="s">
        <v>6110</v>
      </c>
      <c r="Q2335">
        <v>4</v>
      </c>
      <c r="R2335">
        <v>2026</v>
      </c>
      <c r="S2335" t="s">
        <v>6100</v>
      </c>
      <c r="T2335">
        <v>0</v>
      </c>
      <c r="U2335" t="s">
        <v>6019</v>
      </c>
      <c r="V2335">
        <v>1</v>
      </c>
    </row>
    <row r="2336" spans="1:22" x14ac:dyDescent="0.3">
      <c r="A2336" t="s">
        <v>2351</v>
      </c>
      <c r="B2336" s="2">
        <v>46123.560416666667</v>
      </c>
      <c r="C2336" s="2">
        <v>46125.027083333334</v>
      </c>
      <c r="D2336" t="s">
        <v>6022</v>
      </c>
      <c r="E2336" t="s">
        <v>6032</v>
      </c>
      <c r="F2336" t="s">
        <v>6034</v>
      </c>
      <c r="G2336" t="s">
        <v>6072</v>
      </c>
      <c r="H2336" t="s">
        <v>6097</v>
      </c>
      <c r="I2336">
        <v>24</v>
      </c>
      <c r="J2336">
        <v>35.200000000000003</v>
      </c>
      <c r="K2336" t="s">
        <v>6099</v>
      </c>
      <c r="L2336" t="s">
        <v>6100</v>
      </c>
      <c r="M2336" t="s">
        <v>6100</v>
      </c>
      <c r="O2336" t="s">
        <v>6101</v>
      </c>
      <c r="P2336" t="s">
        <v>6110</v>
      </c>
      <c r="Q2336">
        <v>4</v>
      </c>
      <c r="R2336">
        <v>2026</v>
      </c>
      <c r="S2336" t="s">
        <v>6100</v>
      </c>
      <c r="T2336">
        <v>0</v>
      </c>
      <c r="U2336" t="s">
        <v>6020</v>
      </c>
      <c r="V2336">
        <v>1</v>
      </c>
    </row>
    <row r="2337" spans="1:22" x14ac:dyDescent="0.3">
      <c r="A2337" t="s">
        <v>2352</v>
      </c>
      <c r="B2337" s="2">
        <v>46123.582638888889</v>
      </c>
      <c r="C2337" s="2">
        <v>46123.907638888886</v>
      </c>
      <c r="D2337" t="s">
        <v>6024</v>
      </c>
      <c r="E2337" t="s">
        <v>6030</v>
      </c>
      <c r="F2337" t="s">
        <v>6033</v>
      </c>
      <c r="G2337" t="s">
        <v>6086</v>
      </c>
      <c r="H2337" t="s">
        <v>6098</v>
      </c>
      <c r="I2337">
        <v>72</v>
      </c>
      <c r="J2337">
        <v>7.8</v>
      </c>
      <c r="K2337" t="s">
        <v>6099</v>
      </c>
      <c r="L2337" t="s">
        <v>6100</v>
      </c>
      <c r="M2337" t="s">
        <v>6100</v>
      </c>
      <c r="N2337">
        <v>5</v>
      </c>
      <c r="O2337" t="s">
        <v>6101</v>
      </c>
      <c r="P2337" t="s">
        <v>6110</v>
      </c>
      <c r="Q2337">
        <v>4</v>
      </c>
      <c r="R2337">
        <v>2026</v>
      </c>
      <c r="S2337" t="s">
        <v>6099</v>
      </c>
      <c r="T2337">
        <v>1</v>
      </c>
      <c r="U2337" t="s">
        <v>6021</v>
      </c>
      <c r="V2337">
        <v>1</v>
      </c>
    </row>
    <row r="2338" spans="1:22" x14ac:dyDescent="0.3">
      <c r="A2338" t="s">
        <v>2353</v>
      </c>
      <c r="B2338" s="2">
        <v>46123.614583333336</v>
      </c>
      <c r="C2338" s="2">
        <v>46123.989583333336</v>
      </c>
      <c r="D2338" t="s">
        <v>6024</v>
      </c>
      <c r="E2338" t="s">
        <v>6030</v>
      </c>
      <c r="F2338" t="s">
        <v>6033</v>
      </c>
      <c r="G2338" t="s">
        <v>6037</v>
      </c>
      <c r="H2338" t="s">
        <v>6096</v>
      </c>
      <c r="I2338">
        <v>72</v>
      </c>
      <c r="J2338">
        <v>9</v>
      </c>
      <c r="K2338" t="s">
        <v>6100</v>
      </c>
      <c r="L2338" t="s">
        <v>6100</v>
      </c>
      <c r="M2338" t="s">
        <v>6100</v>
      </c>
      <c r="N2338">
        <v>2</v>
      </c>
      <c r="O2338" t="s">
        <v>6101</v>
      </c>
      <c r="P2338" t="s">
        <v>6110</v>
      </c>
      <c r="Q2338">
        <v>4</v>
      </c>
      <c r="R2338">
        <v>2026</v>
      </c>
      <c r="S2338" t="s">
        <v>6099</v>
      </c>
      <c r="T2338">
        <v>1</v>
      </c>
      <c r="U2338" t="s">
        <v>6018</v>
      </c>
      <c r="V2338">
        <v>0</v>
      </c>
    </row>
    <row r="2339" spans="1:22" x14ac:dyDescent="0.3">
      <c r="A2339" t="s">
        <v>2354</v>
      </c>
      <c r="B2339" s="2">
        <v>46123.630555555559</v>
      </c>
      <c r="C2339" s="2">
        <v>46123.801388888889</v>
      </c>
      <c r="D2339" t="s">
        <v>6028</v>
      </c>
      <c r="E2339" t="s">
        <v>6029</v>
      </c>
      <c r="F2339" t="s">
        <v>6035</v>
      </c>
      <c r="G2339" t="s">
        <v>6052</v>
      </c>
      <c r="H2339" t="s">
        <v>6098</v>
      </c>
      <c r="I2339">
        <v>4</v>
      </c>
      <c r="J2339">
        <v>4.0999999999999996</v>
      </c>
      <c r="K2339" t="s">
        <v>6100</v>
      </c>
      <c r="L2339" t="s">
        <v>6099</v>
      </c>
      <c r="M2339" t="s">
        <v>6100</v>
      </c>
      <c r="N2339">
        <v>4</v>
      </c>
      <c r="O2339" t="s">
        <v>6101</v>
      </c>
      <c r="P2339" t="s">
        <v>6110</v>
      </c>
      <c r="Q2339">
        <v>4</v>
      </c>
      <c r="R2339">
        <v>2026</v>
      </c>
      <c r="S2339" t="s">
        <v>6100</v>
      </c>
      <c r="T2339">
        <v>0</v>
      </c>
      <c r="U2339" t="s">
        <v>6018</v>
      </c>
      <c r="V2339">
        <v>0</v>
      </c>
    </row>
    <row r="2340" spans="1:22" x14ac:dyDescent="0.3">
      <c r="A2340" t="s">
        <v>2355</v>
      </c>
      <c r="B2340" s="2">
        <v>46123.654861111114</v>
      </c>
      <c r="C2340" s="2">
        <v>46124.004861111112</v>
      </c>
      <c r="D2340" t="s">
        <v>6023</v>
      </c>
      <c r="E2340" t="s">
        <v>6029</v>
      </c>
      <c r="F2340" t="s">
        <v>6033</v>
      </c>
      <c r="G2340" t="s">
        <v>6079</v>
      </c>
      <c r="H2340" t="s">
        <v>6097</v>
      </c>
      <c r="I2340">
        <v>72</v>
      </c>
      <c r="J2340">
        <v>8.4</v>
      </c>
      <c r="K2340" t="s">
        <v>6099</v>
      </c>
      <c r="L2340" t="s">
        <v>6100</v>
      </c>
      <c r="M2340" t="s">
        <v>6099</v>
      </c>
      <c r="N2340">
        <v>5</v>
      </c>
      <c r="O2340" t="s">
        <v>6101</v>
      </c>
      <c r="P2340" t="s">
        <v>6110</v>
      </c>
      <c r="Q2340">
        <v>4</v>
      </c>
      <c r="R2340">
        <v>2026</v>
      </c>
      <c r="S2340" t="s">
        <v>6099</v>
      </c>
      <c r="T2340">
        <v>1</v>
      </c>
      <c r="U2340" t="s">
        <v>6018</v>
      </c>
      <c r="V2340">
        <v>1</v>
      </c>
    </row>
    <row r="2341" spans="1:22" x14ac:dyDescent="0.3">
      <c r="A2341" t="s">
        <v>2356</v>
      </c>
      <c r="B2341" s="2">
        <v>46123.706944444442</v>
      </c>
      <c r="C2341" s="2">
        <v>46127.756944444445</v>
      </c>
      <c r="D2341" t="s">
        <v>6027</v>
      </c>
      <c r="E2341" t="s">
        <v>6031</v>
      </c>
      <c r="F2341" t="s">
        <v>6033</v>
      </c>
      <c r="G2341" t="s">
        <v>6065</v>
      </c>
      <c r="H2341" t="s">
        <v>6097</v>
      </c>
      <c r="I2341">
        <v>72</v>
      </c>
      <c r="J2341">
        <v>97.2</v>
      </c>
      <c r="K2341" t="s">
        <v>6099</v>
      </c>
      <c r="L2341" t="s">
        <v>6100</v>
      </c>
      <c r="M2341" t="s">
        <v>6100</v>
      </c>
      <c r="N2341">
        <v>5</v>
      </c>
      <c r="O2341" t="s">
        <v>6101</v>
      </c>
      <c r="P2341" t="s">
        <v>6110</v>
      </c>
      <c r="Q2341">
        <v>4</v>
      </c>
      <c r="R2341">
        <v>2026</v>
      </c>
      <c r="S2341" t="s">
        <v>6100</v>
      </c>
      <c r="T2341">
        <v>0</v>
      </c>
      <c r="U2341" t="s">
        <v>6020</v>
      </c>
      <c r="V2341">
        <v>1</v>
      </c>
    </row>
    <row r="2342" spans="1:22" x14ac:dyDescent="0.3">
      <c r="A2342" t="s">
        <v>2357</v>
      </c>
      <c r="B2342" s="2">
        <v>46123.711805555555</v>
      </c>
      <c r="C2342" s="2">
        <v>46124.395138888889</v>
      </c>
      <c r="D2342" t="s">
        <v>6028</v>
      </c>
      <c r="E2342" t="s">
        <v>6031</v>
      </c>
      <c r="F2342" t="s">
        <v>6035</v>
      </c>
      <c r="G2342" t="s">
        <v>6082</v>
      </c>
      <c r="H2342" t="s">
        <v>6097</v>
      </c>
      <c r="I2342">
        <v>4</v>
      </c>
      <c r="J2342">
        <v>16.399999999999999</v>
      </c>
      <c r="K2342" t="s">
        <v>6099</v>
      </c>
      <c r="L2342" t="s">
        <v>6100</v>
      </c>
      <c r="M2342" t="s">
        <v>6100</v>
      </c>
      <c r="N2342">
        <v>4</v>
      </c>
      <c r="O2342" t="s">
        <v>6101</v>
      </c>
      <c r="P2342" t="s">
        <v>6110</v>
      </c>
      <c r="Q2342">
        <v>4</v>
      </c>
      <c r="R2342">
        <v>2026</v>
      </c>
      <c r="S2342" t="s">
        <v>6100</v>
      </c>
      <c r="T2342">
        <v>0</v>
      </c>
      <c r="U2342" t="s">
        <v>6019</v>
      </c>
      <c r="V2342">
        <v>1</v>
      </c>
    </row>
    <row r="2343" spans="1:22" x14ac:dyDescent="0.3">
      <c r="A2343" t="s">
        <v>2358</v>
      </c>
      <c r="B2343" s="2">
        <v>46123.712500000001</v>
      </c>
      <c r="C2343" s="2">
        <v>46124.087500000001</v>
      </c>
      <c r="D2343" t="s">
        <v>6027</v>
      </c>
      <c r="E2343" t="s">
        <v>6030</v>
      </c>
      <c r="F2343" t="s">
        <v>6033</v>
      </c>
      <c r="G2343" t="s">
        <v>6042</v>
      </c>
      <c r="H2343" t="s">
        <v>6098</v>
      </c>
      <c r="I2343">
        <v>72</v>
      </c>
      <c r="J2343">
        <v>9</v>
      </c>
      <c r="K2343" t="s">
        <v>6100</v>
      </c>
      <c r="L2343" t="s">
        <v>6099</v>
      </c>
      <c r="M2343" t="s">
        <v>6100</v>
      </c>
      <c r="N2343">
        <v>3</v>
      </c>
      <c r="O2343" t="s">
        <v>6101</v>
      </c>
      <c r="P2343" t="s">
        <v>6110</v>
      </c>
      <c r="Q2343">
        <v>4</v>
      </c>
      <c r="R2343">
        <v>2026</v>
      </c>
      <c r="S2343" t="s">
        <v>6099</v>
      </c>
      <c r="T2343">
        <v>1</v>
      </c>
      <c r="U2343" t="s">
        <v>6018</v>
      </c>
      <c r="V2343">
        <v>0</v>
      </c>
    </row>
    <row r="2344" spans="1:22" x14ac:dyDescent="0.3">
      <c r="A2344" t="s">
        <v>2359</v>
      </c>
      <c r="B2344" s="2">
        <v>46123.722222222219</v>
      </c>
      <c r="C2344" s="2">
        <v>46124.259722222225</v>
      </c>
      <c r="D2344" t="s">
        <v>6023</v>
      </c>
      <c r="E2344" t="s">
        <v>6030</v>
      </c>
      <c r="F2344" t="s">
        <v>6035</v>
      </c>
      <c r="G2344" t="s">
        <v>6073</v>
      </c>
      <c r="H2344" t="s">
        <v>6096</v>
      </c>
      <c r="I2344">
        <v>4</v>
      </c>
      <c r="J2344">
        <v>12.9</v>
      </c>
      <c r="K2344" t="s">
        <v>6099</v>
      </c>
      <c r="L2344" t="s">
        <v>6100</v>
      </c>
      <c r="M2344" t="s">
        <v>6099</v>
      </c>
      <c r="N2344">
        <v>3</v>
      </c>
      <c r="O2344" t="s">
        <v>6101</v>
      </c>
      <c r="P2344" t="s">
        <v>6110</v>
      </c>
      <c r="Q2344">
        <v>4</v>
      </c>
      <c r="R2344">
        <v>2026</v>
      </c>
      <c r="S2344" t="s">
        <v>6100</v>
      </c>
      <c r="T2344">
        <v>0</v>
      </c>
      <c r="U2344" t="s">
        <v>6018</v>
      </c>
      <c r="V2344">
        <v>1</v>
      </c>
    </row>
    <row r="2345" spans="1:22" x14ac:dyDescent="0.3">
      <c r="A2345" t="s">
        <v>2360</v>
      </c>
      <c r="B2345" s="2">
        <v>46123.774305555555</v>
      </c>
      <c r="C2345" s="2">
        <v>46124.061805555553</v>
      </c>
      <c r="D2345" t="s">
        <v>6023</v>
      </c>
      <c r="E2345" t="s">
        <v>6029</v>
      </c>
      <c r="F2345" t="s">
        <v>6033</v>
      </c>
      <c r="G2345" t="s">
        <v>6043</v>
      </c>
      <c r="H2345" t="s">
        <v>6097</v>
      </c>
      <c r="I2345">
        <v>72</v>
      </c>
      <c r="J2345">
        <v>6.9</v>
      </c>
      <c r="K2345" t="s">
        <v>6099</v>
      </c>
      <c r="L2345" t="s">
        <v>6100</v>
      </c>
      <c r="M2345" t="s">
        <v>6100</v>
      </c>
      <c r="N2345">
        <v>5</v>
      </c>
      <c r="O2345" t="s">
        <v>6101</v>
      </c>
      <c r="P2345" t="s">
        <v>6110</v>
      </c>
      <c r="Q2345">
        <v>4</v>
      </c>
      <c r="R2345">
        <v>2026</v>
      </c>
      <c r="S2345" t="s">
        <v>6099</v>
      </c>
      <c r="T2345">
        <v>1</v>
      </c>
      <c r="U2345" t="s">
        <v>6019</v>
      </c>
      <c r="V2345">
        <v>1</v>
      </c>
    </row>
    <row r="2346" spans="1:22" x14ac:dyDescent="0.3">
      <c r="A2346" t="s">
        <v>2361</v>
      </c>
      <c r="B2346" s="2">
        <v>46123.998611111114</v>
      </c>
      <c r="C2346" s="2">
        <v>46124.261111111111</v>
      </c>
      <c r="D2346" t="s">
        <v>6027</v>
      </c>
      <c r="E2346" t="s">
        <v>6029</v>
      </c>
      <c r="F2346" t="s">
        <v>6034</v>
      </c>
      <c r="G2346" t="s">
        <v>6084</v>
      </c>
      <c r="H2346" t="s">
        <v>6098</v>
      </c>
      <c r="I2346">
        <v>24</v>
      </c>
      <c r="J2346">
        <v>6.3</v>
      </c>
      <c r="K2346" t="s">
        <v>6099</v>
      </c>
      <c r="L2346" t="s">
        <v>6100</v>
      </c>
      <c r="M2346" t="s">
        <v>6100</v>
      </c>
      <c r="N2346">
        <v>3</v>
      </c>
      <c r="O2346" t="s">
        <v>6101</v>
      </c>
      <c r="P2346" t="s">
        <v>6110</v>
      </c>
      <c r="Q2346">
        <v>4</v>
      </c>
      <c r="R2346">
        <v>2026</v>
      </c>
      <c r="S2346" t="s">
        <v>6099</v>
      </c>
      <c r="T2346">
        <v>1</v>
      </c>
      <c r="U2346" t="s">
        <v>6019</v>
      </c>
      <c r="V2346">
        <v>1</v>
      </c>
    </row>
    <row r="2347" spans="1:22" x14ac:dyDescent="0.3">
      <c r="A2347" t="s">
        <v>2362</v>
      </c>
      <c r="B2347" s="2">
        <v>46124.124305555553</v>
      </c>
      <c r="C2347" s="2">
        <v>46124.361805555556</v>
      </c>
      <c r="D2347" t="s">
        <v>6028</v>
      </c>
      <c r="E2347" t="s">
        <v>6029</v>
      </c>
      <c r="F2347" t="s">
        <v>6034</v>
      </c>
      <c r="G2347" t="s">
        <v>6086</v>
      </c>
      <c r="H2347" t="s">
        <v>6098</v>
      </c>
      <c r="I2347">
        <v>24</v>
      </c>
      <c r="J2347">
        <v>5.7</v>
      </c>
      <c r="K2347" t="s">
        <v>6099</v>
      </c>
      <c r="L2347" t="s">
        <v>6100</v>
      </c>
      <c r="M2347" t="s">
        <v>6100</v>
      </c>
      <c r="N2347">
        <v>5</v>
      </c>
      <c r="O2347" t="s">
        <v>6101</v>
      </c>
      <c r="P2347" t="s">
        <v>6110</v>
      </c>
      <c r="Q2347">
        <v>4</v>
      </c>
      <c r="R2347">
        <v>2026</v>
      </c>
      <c r="S2347" t="s">
        <v>6099</v>
      </c>
      <c r="T2347">
        <v>1</v>
      </c>
      <c r="U2347" t="s">
        <v>6018</v>
      </c>
      <c r="V2347">
        <v>1</v>
      </c>
    </row>
    <row r="2348" spans="1:22" x14ac:dyDescent="0.3">
      <c r="A2348" t="s">
        <v>2363</v>
      </c>
      <c r="B2348" s="2">
        <v>46124.163888888892</v>
      </c>
      <c r="C2348" s="2">
        <v>46124.480555555558</v>
      </c>
      <c r="D2348" t="s">
        <v>6025</v>
      </c>
      <c r="E2348" t="s">
        <v>6029</v>
      </c>
      <c r="F2348" t="s">
        <v>6035</v>
      </c>
      <c r="G2348" t="s">
        <v>6090</v>
      </c>
      <c r="H2348" t="s">
        <v>6097</v>
      </c>
      <c r="I2348">
        <v>4</v>
      </c>
      <c r="J2348">
        <v>7.6</v>
      </c>
      <c r="K2348" t="s">
        <v>6099</v>
      </c>
      <c r="L2348" t="s">
        <v>6100</v>
      </c>
      <c r="M2348" t="s">
        <v>6100</v>
      </c>
      <c r="N2348">
        <v>5</v>
      </c>
      <c r="O2348" t="s">
        <v>6101</v>
      </c>
      <c r="P2348" t="s">
        <v>6110</v>
      </c>
      <c r="Q2348">
        <v>4</v>
      </c>
      <c r="R2348">
        <v>2026</v>
      </c>
      <c r="S2348" t="s">
        <v>6100</v>
      </c>
      <c r="T2348">
        <v>0</v>
      </c>
      <c r="U2348" t="s">
        <v>6021</v>
      </c>
      <c r="V2348">
        <v>1</v>
      </c>
    </row>
    <row r="2349" spans="1:22" x14ac:dyDescent="0.3">
      <c r="A2349" t="s">
        <v>2364</v>
      </c>
      <c r="B2349" s="2">
        <v>46124.189583333333</v>
      </c>
      <c r="C2349" s="2">
        <v>46124.568749999999</v>
      </c>
      <c r="D2349" t="s">
        <v>6028</v>
      </c>
      <c r="E2349" t="s">
        <v>6031</v>
      </c>
      <c r="F2349" t="s">
        <v>6034</v>
      </c>
      <c r="G2349" t="s">
        <v>6058</v>
      </c>
      <c r="H2349" t="s">
        <v>6098</v>
      </c>
      <c r="I2349">
        <v>24</v>
      </c>
      <c r="J2349">
        <v>9.1</v>
      </c>
      <c r="K2349" t="s">
        <v>6099</v>
      </c>
      <c r="L2349" t="s">
        <v>6100</v>
      </c>
      <c r="M2349" t="s">
        <v>6100</v>
      </c>
      <c r="N2349">
        <v>4</v>
      </c>
      <c r="O2349" t="s">
        <v>6101</v>
      </c>
      <c r="P2349" t="s">
        <v>6110</v>
      </c>
      <c r="Q2349">
        <v>4</v>
      </c>
      <c r="R2349">
        <v>2026</v>
      </c>
      <c r="S2349" t="s">
        <v>6099</v>
      </c>
      <c r="T2349">
        <v>1</v>
      </c>
      <c r="U2349" t="s">
        <v>6021</v>
      </c>
      <c r="V2349">
        <v>1</v>
      </c>
    </row>
    <row r="2350" spans="1:22" x14ac:dyDescent="0.3">
      <c r="A2350" t="s">
        <v>2365</v>
      </c>
      <c r="B2350" s="2">
        <v>46124.321527777778</v>
      </c>
      <c r="C2350" s="2">
        <v>46124.738194444442</v>
      </c>
      <c r="D2350" t="s">
        <v>6028</v>
      </c>
      <c r="E2350" t="s">
        <v>6030</v>
      </c>
      <c r="F2350" t="s">
        <v>6035</v>
      </c>
      <c r="G2350" t="s">
        <v>6088</v>
      </c>
      <c r="H2350" t="s">
        <v>6097</v>
      </c>
      <c r="I2350">
        <v>4</v>
      </c>
      <c r="J2350">
        <v>10</v>
      </c>
      <c r="K2350" t="s">
        <v>6100</v>
      </c>
      <c r="L2350" t="s">
        <v>6100</v>
      </c>
      <c r="M2350" t="s">
        <v>6099</v>
      </c>
      <c r="N2350">
        <v>4</v>
      </c>
      <c r="O2350" t="s">
        <v>6101</v>
      </c>
      <c r="P2350" t="s">
        <v>6110</v>
      </c>
      <c r="Q2350">
        <v>4</v>
      </c>
      <c r="R2350">
        <v>2026</v>
      </c>
      <c r="S2350" t="s">
        <v>6100</v>
      </c>
      <c r="T2350">
        <v>0</v>
      </c>
      <c r="U2350" t="s">
        <v>6021</v>
      </c>
      <c r="V2350">
        <v>0</v>
      </c>
    </row>
    <row r="2351" spans="1:22" x14ac:dyDescent="0.3">
      <c r="A2351" t="s">
        <v>2366</v>
      </c>
      <c r="B2351" s="2">
        <v>46124.385416666664</v>
      </c>
      <c r="C2351" s="2">
        <v>46125.106249999997</v>
      </c>
      <c r="D2351" t="s">
        <v>6027</v>
      </c>
      <c r="E2351" t="s">
        <v>6029</v>
      </c>
      <c r="F2351" t="s">
        <v>6034</v>
      </c>
      <c r="G2351" t="s">
        <v>6078</v>
      </c>
      <c r="H2351" t="s">
        <v>6097</v>
      </c>
      <c r="I2351">
        <v>24</v>
      </c>
      <c r="J2351">
        <v>17.3</v>
      </c>
      <c r="K2351" t="s">
        <v>6099</v>
      </c>
      <c r="L2351" t="s">
        <v>6100</v>
      </c>
      <c r="M2351" t="s">
        <v>6100</v>
      </c>
      <c r="O2351" t="s">
        <v>6101</v>
      </c>
      <c r="P2351" t="s">
        <v>6110</v>
      </c>
      <c r="Q2351">
        <v>4</v>
      </c>
      <c r="R2351">
        <v>2026</v>
      </c>
      <c r="S2351" t="s">
        <v>6099</v>
      </c>
      <c r="T2351">
        <v>1</v>
      </c>
      <c r="U2351" t="s">
        <v>6018</v>
      </c>
      <c r="V2351">
        <v>1</v>
      </c>
    </row>
    <row r="2352" spans="1:22" x14ac:dyDescent="0.3">
      <c r="A2352" t="s">
        <v>2367</v>
      </c>
      <c r="B2352" s="2">
        <v>46124.436111111114</v>
      </c>
      <c r="C2352" s="2">
        <v>46124.923611111109</v>
      </c>
      <c r="D2352" t="s">
        <v>6028</v>
      </c>
      <c r="E2352" t="s">
        <v>6030</v>
      </c>
      <c r="F2352" t="s">
        <v>6034</v>
      </c>
      <c r="G2352" t="s">
        <v>6055</v>
      </c>
      <c r="H2352" t="s">
        <v>6096</v>
      </c>
      <c r="I2352">
        <v>24</v>
      </c>
      <c r="J2352">
        <v>11.7</v>
      </c>
      <c r="K2352" t="s">
        <v>6100</v>
      </c>
      <c r="L2352" t="s">
        <v>6099</v>
      </c>
      <c r="M2352" t="s">
        <v>6099</v>
      </c>
      <c r="O2352" t="s">
        <v>6101</v>
      </c>
      <c r="P2352" t="s">
        <v>6110</v>
      </c>
      <c r="Q2352">
        <v>4</v>
      </c>
      <c r="R2352">
        <v>2026</v>
      </c>
      <c r="S2352" t="s">
        <v>6099</v>
      </c>
      <c r="T2352">
        <v>1</v>
      </c>
      <c r="U2352" t="s">
        <v>6017</v>
      </c>
      <c r="V2352">
        <v>0</v>
      </c>
    </row>
    <row r="2353" spans="1:22" x14ac:dyDescent="0.3">
      <c r="A2353" t="s">
        <v>2368</v>
      </c>
      <c r="B2353" s="2">
        <v>46124.505555555559</v>
      </c>
      <c r="C2353" s="2">
        <v>46125.12222222222</v>
      </c>
      <c r="D2353" t="s">
        <v>6027</v>
      </c>
      <c r="E2353" t="s">
        <v>6029</v>
      </c>
      <c r="F2353" t="s">
        <v>6034</v>
      </c>
      <c r="G2353" t="s">
        <v>6053</v>
      </c>
      <c r="H2353" t="s">
        <v>6097</v>
      </c>
      <c r="I2353">
        <v>24</v>
      </c>
      <c r="J2353">
        <v>14.8</v>
      </c>
      <c r="K2353" t="s">
        <v>6099</v>
      </c>
      <c r="L2353" t="s">
        <v>6100</v>
      </c>
      <c r="M2353" t="s">
        <v>6100</v>
      </c>
      <c r="O2353" t="s">
        <v>6101</v>
      </c>
      <c r="P2353" t="s">
        <v>6110</v>
      </c>
      <c r="Q2353">
        <v>4</v>
      </c>
      <c r="R2353">
        <v>2026</v>
      </c>
      <c r="S2353" t="s">
        <v>6099</v>
      </c>
      <c r="T2353">
        <v>1</v>
      </c>
      <c r="U2353" t="s">
        <v>6021</v>
      </c>
      <c r="V2353">
        <v>1</v>
      </c>
    </row>
    <row r="2354" spans="1:22" x14ac:dyDescent="0.3">
      <c r="A2354" t="s">
        <v>2369</v>
      </c>
      <c r="B2354" s="2">
        <v>46124.559027777781</v>
      </c>
      <c r="C2354" s="2">
        <v>46125.304861111108</v>
      </c>
      <c r="D2354" t="s">
        <v>6022</v>
      </c>
      <c r="E2354" t="s">
        <v>6029</v>
      </c>
      <c r="F2354" t="s">
        <v>6034</v>
      </c>
      <c r="G2354" t="s">
        <v>6092</v>
      </c>
      <c r="H2354" t="s">
        <v>6097</v>
      </c>
      <c r="I2354">
        <v>24</v>
      </c>
      <c r="J2354">
        <v>17.899999999999999</v>
      </c>
      <c r="K2354" t="s">
        <v>6099</v>
      </c>
      <c r="L2354" t="s">
        <v>6100</v>
      </c>
      <c r="M2354" t="s">
        <v>6100</v>
      </c>
      <c r="O2354" t="s">
        <v>6101</v>
      </c>
      <c r="P2354" t="s">
        <v>6110</v>
      </c>
      <c r="Q2354">
        <v>4</v>
      </c>
      <c r="R2354">
        <v>2026</v>
      </c>
      <c r="S2354" t="s">
        <v>6099</v>
      </c>
      <c r="T2354">
        <v>1</v>
      </c>
      <c r="U2354" t="s">
        <v>6018</v>
      </c>
      <c r="V2354">
        <v>1</v>
      </c>
    </row>
    <row r="2355" spans="1:22" x14ac:dyDescent="0.3">
      <c r="A2355" t="s">
        <v>2370</v>
      </c>
      <c r="B2355" s="2">
        <v>46124.560416666667</v>
      </c>
      <c r="C2355" s="2">
        <v>46124.935416666667</v>
      </c>
      <c r="D2355" t="s">
        <v>6023</v>
      </c>
      <c r="E2355" t="s">
        <v>6029</v>
      </c>
      <c r="F2355" t="s">
        <v>6034</v>
      </c>
      <c r="G2355" t="s">
        <v>6039</v>
      </c>
      <c r="H2355" t="s">
        <v>6097</v>
      </c>
      <c r="I2355">
        <v>24</v>
      </c>
      <c r="J2355">
        <v>9</v>
      </c>
      <c r="K2355" t="s">
        <v>6099</v>
      </c>
      <c r="L2355" t="s">
        <v>6100</v>
      </c>
      <c r="M2355" t="s">
        <v>6100</v>
      </c>
      <c r="N2355">
        <v>5</v>
      </c>
      <c r="O2355" t="s">
        <v>6101</v>
      </c>
      <c r="P2355" t="s">
        <v>6110</v>
      </c>
      <c r="Q2355">
        <v>4</v>
      </c>
      <c r="R2355">
        <v>2026</v>
      </c>
      <c r="S2355" t="s">
        <v>6099</v>
      </c>
      <c r="T2355">
        <v>1</v>
      </c>
      <c r="U2355" t="s">
        <v>6018</v>
      </c>
      <c r="V2355">
        <v>1</v>
      </c>
    </row>
    <row r="2356" spans="1:22" x14ac:dyDescent="0.3">
      <c r="A2356" t="s">
        <v>2371</v>
      </c>
      <c r="B2356" s="2">
        <v>46124.588888888888</v>
      </c>
      <c r="C2356" s="2">
        <v>46125.288888888892</v>
      </c>
      <c r="D2356" t="s">
        <v>6025</v>
      </c>
      <c r="E2356" t="s">
        <v>6030</v>
      </c>
      <c r="F2356" t="s">
        <v>6033</v>
      </c>
      <c r="G2356" t="s">
        <v>6056</v>
      </c>
      <c r="H2356" t="s">
        <v>6098</v>
      </c>
      <c r="I2356">
        <v>72</v>
      </c>
      <c r="J2356">
        <v>16.8</v>
      </c>
      <c r="K2356" t="s">
        <v>6099</v>
      </c>
      <c r="L2356" t="s">
        <v>6100</v>
      </c>
      <c r="M2356" t="s">
        <v>6100</v>
      </c>
      <c r="O2356" t="s">
        <v>6101</v>
      </c>
      <c r="P2356" t="s">
        <v>6110</v>
      </c>
      <c r="Q2356">
        <v>4</v>
      </c>
      <c r="R2356">
        <v>2026</v>
      </c>
      <c r="S2356" t="s">
        <v>6099</v>
      </c>
      <c r="T2356">
        <v>1</v>
      </c>
      <c r="U2356" t="s">
        <v>6021</v>
      </c>
      <c r="V2356">
        <v>1</v>
      </c>
    </row>
    <row r="2357" spans="1:22" x14ac:dyDescent="0.3">
      <c r="A2357" t="s">
        <v>2372</v>
      </c>
      <c r="B2357" s="2">
        <v>46124.593055555553</v>
      </c>
      <c r="C2357" s="2">
        <v>46125.813888888886</v>
      </c>
      <c r="D2357" t="s">
        <v>6025</v>
      </c>
      <c r="E2357" t="s">
        <v>6029</v>
      </c>
      <c r="F2357" t="s">
        <v>6033</v>
      </c>
      <c r="G2357" t="s">
        <v>6088</v>
      </c>
      <c r="H2357" t="s">
        <v>6097</v>
      </c>
      <c r="I2357">
        <v>72</v>
      </c>
      <c r="J2357">
        <v>29.3</v>
      </c>
      <c r="K2357" t="s">
        <v>6100</v>
      </c>
      <c r="L2357" t="s">
        <v>6099</v>
      </c>
      <c r="M2357" t="s">
        <v>6099</v>
      </c>
      <c r="N2357">
        <v>3</v>
      </c>
      <c r="O2357" t="s">
        <v>6101</v>
      </c>
      <c r="P2357" t="s">
        <v>6110</v>
      </c>
      <c r="Q2357">
        <v>4</v>
      </c>
      <c r="R2357">
        <v>2026</v>
      </c>
      <c r="S2357" t="s">
        <v>6099</v>
      </c>
      <c r="T2357">
        <v>1</v>
      </c>
      <c r="U2357" t="s">
        <v>6017</v>
      </c>
      <c r="V2357">
        <v>0</v>
      </c>
    </row>
    <row r="2358" spans="1:22" x14ac:dyDescent="0.3">
      <c r="A2358" t="s">
        <v>2373</v>
      </c>
      <c r="B2358" s="2">
        <v>46124.609722222223</v>
      </c>
      <c r="C2358" s="2">
        <v>46126.222222222219</v>
      </c>
      <c r="D2358" t="s">
        <v>6024</v>
      </c>
      <c r="E2358" t="s">
        <v>6031</v>
      </c>
      <c r="F2358" t="s">
        <v>6033</v>
      </c>
      <c r="G2358" t="s">
        <v>6076</v>
      </c>
      <c r="H2358" t="s">
        <v>6097</v>
      </c>
      <c r="I2358">
        <v>72</v>
      </c>
      <c r="J2358">
        <v>38.700000000000003</v>
      </c>
      <c r="K2358" t="s">
        <v>6099</v>
      </c>
      <c r="L2358" t="s">
        <v>6100</v>
      </c>
      <c r="M2358" t="s">
        <v>6100</v>
      </c>
      <c r="N2358">
        <v>5</v>
      </c>
      <c r="O2358" t="s">
        <v>6101</v>
      </c>
      <c r="P2358" t="s">
        <v>6110</v>
      </c>
      <c r="Q2358">
        <v>4</v>
      </c>
      <c r="R2358">
        <v>2026</v>
      </c>
      <c r="S2358" t="s">
        <v>6099</v>
      </c>
      <c r="T2358">
        <v>1</v>
      </c>
      <c r="U2358" t="s">
        <v>6018</v>
      </c>
      <c r="V2358">
        <v>1</v>
      </c>
    </row>
    <row r="2359" spans="1:22" x14ac:dyDescent="0.3">
      <c r="A2359" t="s">
        <v>2374</v>
      </c>
      <c r="B2359" s="2">
        <v>46124.623611111114</v>
      </c>
      <c r="C2359" s="2">
        <v>46124.765277777777</v>
      </c>
      <c r="D2359" t="s">
        <v>6024</v>
      </c>
      <c r="E2359" t="s">
        <v>6029</v>
      </c>
      <c r="F2359" t="s">
        <v>6033</v>
      </c>
      <c r="G2359" t="s">
        <v>6051</v>
      </c>
      <c r="H2359" t="s">
        <v>6097</v>
      </c>
      <c r="I2359">
        <v>72</v>
      </c>
      <c r="J2359">
        <v>3.4</v>
      </c>
      <c r="K2359" t="s">
        <v>6099</v>
      </c>
      <c r="L2359" t="s">
        <v>6100</v>
      </c>
      <c r="M2359" t="s">
        <v>6100</v>
      </c>
      <c r="O2359" t="s">
        <v>6101</v>
      </c>
      <c r="P2359" t="s">
        <v>6110</v>
      </c>
      <c r="Q2359">
        <v>4</v>
      </c>
      <c r="R2359">
        <v>2026</v>
      </c>
      <c r="S2359" t="s">
        <v>6099</v>
      </c>
      <c r="T2359">
        <v>1</v>
      </c>
      <c r="U2359" t="s">
        <v>6020</v>
      </c>
      <c r="V2359">
        <v>1</v>
      </c>
    </row>
    <row r="2360" spans="1:22" x14ac:dyDescent="0.3">
      <c r="A2360" t="s">
        <v>2375</v>
      </c>
      <c r="B2360" s="2">
        <v>46124.631249999999</v>
      </c>
      <c r="C2360" s="2">
        <v>46132.28125</v>
      </c>
      <c r="D2360" t="s">
        <v>6025</v>
      </c>
      <c r="E2360" t="s">
        <v>6031</v>
      </c>
      <c r="F2360" t="s">
        <v>6034</v>
      </c>
      <c r="G2360" t="s">
        <v>6073</v>
      </c>
      <c r="H2360" t="s">
        <v>6096</v>
      </c>
      <c r="I2360">
        <v>24</v>
      </c>
      <c r="J2360">
        <v>183.6</v>
      </c>
      <c r="K2360" t="s">
        <v>6099</v>
      </c>
      <c r="L2360" t="s">
        <v>6100</v>
      </c>
      <c r="M2360" t="s">
        <v>6100</v>
      </c>
      <c r="O2360" t="s">
        <v>6101</v>
      </c>
      <c r="P2360" t="s">
        <v>6110</v>
      </c>
      <c r="Q2360">
        <v>4</v>
      </c>
      <c r="R2360">
        <v>2026</v>
      </c>
      <c r="S2360" t="s">
        <v>6100</v>
      </c>
      <c r="T2360">
        <v>0</v>
      </c>
      <c r="U2360" t="s">
        <v>6018</v>
      </c>
      <c r="V2360">
        <v>1</v>
      </c>
    </row>
    <row r="2361" spans="1:22" x14ac:dyDescent="0.3">
      <c r="A2361" t="s">
        <v>2376</v>
      </c>
      <c r="B2361" s="2">
        <v>46124.658333333333</v>
      </c>
      <c r="C2361" s="2">
        <v>46126.324999999997</v>
      </c>
      <c r="D2361" t="s">
        <v>6022</v>
      </c>
      <c r="E2361" t="s">
        <v>6032</v>
      </c>
      <c r="F2361" t="s">
        <v>6034</v>
      </c>
      <c r="G2361" t="s">
        <v>6049</v>
      </c>
      <c r="H2361" t="s">
        <v>6097</v>
      </c>
      <c r="I2361">
        <v>24</v>
      </c>
      <c r="J2361">
        <v>40</v>
      </c>
      <c r="K2361" t="s">
        <v>6099</v>
      </c>
      <c r="L2361" t="s">
        <v>6100</v>
      </c>
      <c r="M2361" t="s">
        <v>6100</v>
      </c>
      <c r="N2361">
        <v>3</v>
      </c>
      <c r="O2361" t="s">
        <v>6101</v>
      </c>
      <c r="P2361" t="s">
        <v>6110</v>
      </c>
      <c r="Q2361">
        <v>4</v>
      </c>
      <c r="R2361">
        <v>2026</v>
      </c>
      <c r="S2361" t="s">
        <v>6100</v>
      </c>
      <c r="T2361">
        <v>0</v>
      </c>
      <c r="U2361" t="s">
        <v>6021</v>
      </c>
      <c r="V2361">
        <v>1</v>
      </c>
    </row>
    <row r="2362" spans="1:22" x14ac:dyDescent="0.3">
      <c r="A2362" t="s">
        <v>2377</v>
      </c>
      <c r="B2362" s="2">
        <v>46124.863194444442</v>
      </c>
      <c r="C2362" s="2">
        <v>46124.917361111111</v>
      </c>
      <c r="D2362" t="s">
        <v>6028</v>
      </c>
      <c r="E2362" t="s">
        <v>6030</v>
      </c>
      <c r="F2362" t="s">
        <v>6034</v>
      </c>
      <c r="G2362" t="s">
        <v>6083</v>
      </c>
      <c r="H2362" t="s">
        <v>6096</v>
      </c>
      <c r="I2362">
        <v>24</v>
      </c>
      <c r="J2362">
        <v>1.3</v>
      </c>
      <c r="K2362" t="s">
        <v>6099</v>
      </c>
      <c r="L2362" t="s">
        <v>6100</v>
      </c>
      <c r="M2362" t="s">
        <v>6100</v>
      </c>
      <c r="O2362" t="s">
        <v>6101</v>
      </c>
      <c r="P2362" t="s">
        <v>6110</v>
      </c>
      <c r="Q2362">
        <v>4</v>
      </c>
      <c r="R2362">
        <v>2026</v>
      </c>
      <c r="S2362" t="s">
        <v>6099</v>
      </c>
      <c r="T2362">
        <v>1</v>
      </c>
      <c r="U2362" t="s">
        <v>6021</v>
      </c>
      <c r="V2362">
        <v>1</v>
      </c>
    </row>
    <row r="2363" spans="1:22" x14ac:dyDescent="0.3">
      <c r="A2363" t="s">
        <v>2378</v>
      </c>
      <c r="B2363" s="2">
        <v>46124.88958333333</v>
      </c>
      <c r="C2363" s="2">
        <v>46125.010416666664</v>
      </c>
      <c r="D2363" t="s">
        <v>6023</v>
      </c>
      <c r="E2363" t="s">
        <v>6030</v>
      </c>
      <c r="F2363" t="s">
        <v>6034</v>
      </c>
      <c r="G2363" t="s">
        <v>6043</v>
      </c>
      <c r="H2363" t="s">
        <v>6097</v>
      </c>
      <c r="I2363">
        <v>24</v>
      </c>
      <c r="J2363">
        <v>2.9</v>
      </c>
      <c r="K2363" t="s">
        <v>6100</v>
      </c>
      <c r="L2363" t="s">
        <v>6099</v>
      </c>
      <c r="M2363" t="s">
        <v>6100</v>
      </c>
      <c r="N2363">
        <v>5</v>
      </c>
      <c r="O2363" t="s">
        <v>6101</v>
      </c>
      <c r="P2363" t="s">
        <v>6110</v>
      </c>
      <c r="Q2363">
        <v>4</v>
      </c>
      <c r="R2363">
        <v>2026</v>
      </c>
      <c r="S2363" t="s">
        <v>6099</v>
      </c>
      <c r="T2363">
        <v>1</v>
      </c>
      <c r="U2363" t="s">
        <v>6018</v>
      </c>
      <c r="V2363">
        <v>0</v>
      </c>
    </row>
    <row r="2364" spans="1:22" x14ac:dyDescent="0.3">
      <c r="A2364" t="s">
        <v>2379</v>
      </c>
      <c r="B2364" s="2">
        <v>46124.974305555559</v>
      </c>
      <c r="C2364" s="2">
        <v>46125.486805555556</v>
      </c>
      <c r="D2364" t="s">
        <v>6022</v>
      </c>
      <c r="E2364" t="s">
        <v>6029</v>
      </c>
      <c r="F2364" t="s">
        <v>6034</v>
      </c>
      <c r="G2364" t="s">
        <v>6068</v>
      </c>
      <c r="H2364" t="s">
        <v>6098</v>
      </c>
      <c r="I2364">
        <v>24</v>
      </c>
      <c r="J2364">
        <v>12.3</v>
      </c>
      <c r="K2364" t="s">
        <v>6099</v>
      </c>
      <c r="L2364" t="s">
        <v>6100</v>
      </c>
      <c r="M2364" t="s">
        <v>6100</v>
      </c>
      <c r="N2364">
        <v>4</v>
      </c>
      <c r="O2364" t="s">
        <v>6101</v>
      </c>
      <c r="P2364" t="s">
        <v>6110</v>
      </c>
      <c r="Q2364">
        <v>4</v>
      </c>
      <c r="R2364">
        <v>2026</v>
      </c>
      <c r="S2364" t="s">
        <v>6099</v>
      </c>
      <c r="T2364">
        <v>1</v>
      </c>
      <c r="U2364" t="s">
        <v>6017</v>
      </c>
      <c r="V2364">
        <v>1</v>
      </c>
    </row>
    <row r="2365" spans="1:22" x14ac:dyDescent="0.3">
      <c r="A2365" t="s">
        <v>2380</v>
      </c>
      <c r="B2365" s="2">
        <v>46125.144444444442</v>
      </c>
      <c r="C2365" s="2">
        <v>46125.656944444447</v>
      </c>
      <c r="D2365" t="s">
        <v>6025</v>
      </c>
      <c r="E2365" t="s">
        <v>6029</v>
      </c>
      <c r="F2365" t="s">
        <v>6033</v>
      </c>
      <c r="G2365" t="s">
        <v>6050</v>
      </c>
      <c r="H2365" t="s">
        <v>6098</v>
      </c>
      <c r="I2365">
        <v>72</v>
      </c>
      <c r="J2365">
        <v>12.3</v>
      </c>
      <c r="K2365" t="s">
        <v>6099</v>
      </c>
      <c r="L2365" t="s">
        <v>6100</v>
      </c>
      <c r="M2365" t="s">
        <v>6100</v>
      </c>
      <c r="N2365">
        <v>5</v>
      </c>
      <c r="O2365" t="s">
        <v>6101</v>
      </c>
      <c r="P2365" t="s">
        <v>6110</v>
      </c>
      <c r="Q2365">
        <v>4</v>
      </c>
      <c r="R2365">
        <v>2026</v>
      </c>
      <c r="S2365" t="s">
        <v>6099</v>
      </c>
      <c r="T2365">
        <v>1</v>
      </c>
      <c r="U2365" t="s">
        <v>6019</v>
      </c>
      <c r="V2365">
        <v>1</v>
      </c>
    </row>
    <row r="2366" spans="1:22" x14ac:dyDescent="0.3">
      <c r="A2366" t="s">
        <v>2381</v>
      </c>
      <c r="B2366" s="2">
        <v>46125.158333333333</v>
      </c>
      <c r="C2366" s="2">
        <v>46126.254166666666</v>
      </c>
      <c r="D2366" t="s">
        <v>6025</v>
      </c>
      <c r="E2366" t="s">
        <v>6029</v>
      </c>
      <c r="F2366" t="s">
        <v>6034</v>
      </c>
      <c r="G2366" t="s">
        <v>6044</v>
      </c>
      <c r="H2366" t="s">
        <v>6097</v>
      </c>
      <c r="I2366">
        <v>24</v>
      </c>
      <c r="J2366">
        <v>26.3</v>
      </c>
      <c r="K2366" t="s">
        <v>6099</v>
      </c>
      <c r="L2366" t="s">
        <v>6100</v>
      </c>
      <c r="M2366" t="s">
        <v>6100</v>
      </c>
      <c r="N2366">
        <v>3</v>
      </c>
      <c r="O2366" t="s">
        <v>6101</v>
      </c>
      <c r="P2366" t="s">
        <v>6110</v>
      </c>
      <c r="Q2366">
        <v>4</v>
      </c>
      <c r="R2366">
        <v>2026</v>
      </c>
      <c r="S2366" t="s">
        <v>6100</v>
      </c>
      <c r="T2366">
        <v>0</v>
      </c>
      <c r="U2366" t="s">
        <v>6018</v>
      </c>
      <c r="V2366">
        <v>1</v>
      </c>
    </row>
    <row r="2367" spans="1:22" x14ac:dyDescent="0.3">
      <c r="A2367" t="s">
        <v>2382</v>
      </c>
      <c r="B2367" s="2">
        <v>46125.290972222225</v>
      </c>
      <c r="C2367" s="2">
        <v>46125.711805555555</v>
      </c>
      <c r="D2367" t="s">
        <v>6022</v>
      </c>
      <c r="E2367" t="s">
        <v>6032</v>
      </c>
      <c r="F2367" t="s">
        <v>6033</v>
      </c>
      <c r="G2367" t="s">
        <v>6063</v>
      </c>
      <c r="H2367" t="s">
        <v>6097</v>
      </c>
      <c r="I2367">
        <v>72</v>
      </c>
      <c r="J2367">
        <v>10.1</v>
      </c>
      <c r="K2367" t="s">
        <v>6100</v>
      </c>
      <c r="L2367" t="s">
        <v>6100</v>
      </c>
      <c r="M2367" t="s">
        <v>6100</v>
      </c>
      <c r="O2367" t="s">
        <v>6101</v>
      </c>
      <c r="P2367" t="s">
        <v>6110</v>
      </c>
      <c r="Q2367">
        <v>4</v>
      </c>
      <c r="R2367">
        <v>2026</v>
      </c>
      <c r="S2367" t="s">
        <v>6099</v>
      </c>
      <c r="T2367">
        <v>1</v>
      </c>
      <c r="U2367" t="s">
        <v>6021</v>
      </c>
      <c r="V2367">
        <v>0</v>
      </c>
    </row>
    <row r="2368" spans="1:22" x14ac:dyDescent="0.3">
      <c r="A2368" t="s">
        <v>2383</v>
      </c>
      <c r="B2368" s="2">
        <v>46125.322222222225</v>
      </c>
      <c r="C2368" s="2">
        <v>46125.730555555558</v>
      </c>
      <c r="D2368" t="s">
        <v>6024</v>
      </c>
      <c r="E2368" t="s">
        <v>6030</v>
      </c>
      <c r="F2368" t="s">
        <v>6034</v>
      </c>
      <c r="G2368" t="s">
        <v>6080</v>
      </c>
      <c r="H2368" t="s">
        <v>6096</v>
      </c>
      <c r="I2368">
        <v>24</v>
      </c>
      <c r="J2368">
        <v>9.8000000000000007</v>
      </c>
      <c r="K2368" t="s">
        <v>6099</v>
      </c>
      <c r="L2368" t="s">
        <v>6100</v>
      </c>
      <c r="M2368" t="s">
        <v>6100</v>
      </c>
      <c r="N2368">
        <v>5</v>
      </c>
      <c r="O2368" t="s">
        <v>6101</v>
      </c>
      <c r="P2368" t="s">
        <v>6110</v>
      </c>
      <c r="Q2368">
        <v>4</v>
      </c>
      <c r="R2368">
        <v>2026</v>
      </c>
      <c r="S2368" t="s">
        <v>6099</v>
      </c>
      <c r="T2368">
        <v>1</v>
      </c>
      <c r="U2368" t="s">
        <v>6019</v>
      </c>
      <c r="V2368">
        <v>1</v>
      </c>
    </row>
    <row r="2369" spans="1:22" x14ac:dyDescent="0.3">
      <c r="A2369" t="s">
        <v>2384</v>
      </c>
      <c r="B2369" s="2">
        <v>46125.338194444441</v>
      </c>
      <c r="C2369" s="2">
        <v>46125.792361111111</v>
      </c>
      <c r="D2369" t="s">
        <v>6023</v>
      </c>
      <c r="E2369" t="s">
        <v>6032</v>
      </c>
      <c r="F2369" t="s">
        <v>6034</v>
      </c>
      <c r="G2369" t="s">
        <v>6037</v>
      </c>
      <c r="H2369" t="s">
        <v>6096</v>
      </c>
      <c r="I2369">
        <v>24</v>
      </c>
      <c r="J2369">
        <v>10.9</v>
      </c>
      <c r="K2369" t="s">
        <v>6099</v>
      </c>
      <c r="L2369" t="s">
        <v>6100</v>
      </c>
      <c r="M2369" t="s">
        <v>6100</v>
      </c>
      <c r="N2369">
        <v>5</v>
      </c>
      <c r="O2369" t="s">
        <v>6101</v>
      </c>
      <c r="P2369" t="s">
        <v>6110</v>
      </c>
      <c r="Q2369">
        <v>4</v>
      </c>
      <c r="R2369">
        <v>2026</v>
      </c>
      <c r="S2369" t="s">
        <v>6099</v>
      </c>
      <c r="T2369">
        <v>1</v>
      </c>
      <c r="U2369" t="s">
        <v>6020</v>
      </c>
      <c r="V2369">
        <v>1</v>
      </c>
    </row>
    <row r="2370" spans="1:22" x14ac:dyDescent="0.3">
      <c r="A2370" t="s">
        <v>2385</v>
      </c>
      <c r="B2370" s="2">
        <v>46125.343055555553</v>
      </c>
      <c r="C2370" s="2">
        <v>46125.576388888891</v>
      </c>
      <c r="D2370" t="s">
        <v>6023</v>
      </c>
      <c r="E2370" t="s">
        <v>6030</v>
      </c>
      <c r="F2370" t="s">
        <v>6034</v>
      </c>
      <c r="G2370" t="s">
        <v>6080</v>
      </c>
      <c r="H2370" t="s">
        <v>6096</v>
      </c>
      <c r="I2370">
        <v>24</v>
      </c>
      <c r="J2370">
        <v>5.6</v>
      </c>
      <c r="K2370" t="s">
        <v>6100</v>
      </c>
      <c r="L2370" t="s">
        <v>6100</v>
      </c>
      <c r="M2370" t="s">
        <v>6100</v>
      </c>
      <c r="N2370">
        <v>4</v>
      </c>
      <c r="O2370" t="s">
        <v>6101</v>
      </c>
      <c r="P2370" t="s">
        <v>6110</v>
      </c>
      <c r="Q2370">
        <v>4</v>
      </c>
      <c r="R2370">
        <v>2026</v>
      </c>
      <c r="S2370" t="s">
        <v>6099</v>
      </c>
      <c r="T2370">
        <v>1</v>
      </c>
      <c r="U2370" t="s">
        <v>6020</v>
      </c>
      <c r="V2370">
        <v>0</v>
      </c>
    </row>
    <row r="2371" spans="1:22" x14ac:dyDescent="0.3">
      <c r="A2371" t="s">
        <v>2386</v>
      </c>
      <c r="B2371" s="2">
        <v>46125.369444444441</v>
      </c>
      <c r="C2371" s="2">
        <v>46126.902777777781</v>
      </c>
      <c r="D2371" t="s">
        <v>6025</v>
      </c>
      <c r="E2371" t="s">
        <v>6031</v>
      </c>
      <c r="F2371" t="s">
        <v>6035</v>
      </c>
      <c r="G2371" t="s">
        <v>6063</v>
      </c>
      <c r="H2371" t="s">
        <v>6097</v>
      </c>
      <c r="I2371">
        <v>4</v>
      </c>
      <c r="J2371">
        <v>36.799999999999997</v>
      </c>
      <c r="K2371" t="s">
        <v>6099</v>
      </c>
      <c r="L2371" t="s">
        <v>6100</v>
      </c>
      <c r="M2371" t="s">
        <v>6099</v>
      </c>
      <c r="N2371">
        <v>4</v>
      </c>
      <c r="O2371" t="s">
        <v>6101</v>
      </c>
      <c r="P2371" t="s">
        <v>6110</v>
      </c>
      <c r="Q2371">
        <v>4</v>
      </c>
      <c r="R2371">
        <v>2026</v>
      </c>
      <c r="S2371" t="s">
        <v>6100</v>
      </c>
      <c r="T2371">
        <v>0</v>
      </c>
      <c r="U2371" t="s">
        <v>6021</v>
      </c>
      <c r="V2371">
        <v>1</v>
      </c>
    </row>
    <row r="2372" spans="1:22" x14ac:dyDescent="0.3">
      <c r="A2372" t="s">
        <v>2387</v>
      </c>
      <c r="B2372" s="2">
        <v>46125.382638888892</v>
      </c>
      <c r="C2372" s="2">
        <v>46125.603472222225</v>
      </c>
      <c r="D2372" t="s">
        <v>6023</v>
      </c>
      <c r="E2372" t="s">
        <v>6030</v>
      </c>
      <c r="F2372" t="s">
        <v>6033</v>
      </c>
      <c r="G2372" t="s">
        <v>6043</v>
      </c>
      <c r="H2372" t="s">
        <v>6097</v>
      </c>
      <c r="I2372">
        <v>72</v>
      </c>
      <c r="J2372">
        <v>5.3</v>
      </c>
      <c r="K2372" t="s">
        <v>6100</v>
      </c>
      <c r="L2372" t="s">
        <v>6099</v>
      </c>
      <c r="M2372" t="s">
        <v>6100</v>
      </c>
      <c r="N2372">
        <v>2</v>
      </c>
      <c r="O2372" t="s">
        <v>6101</v>
      </c>
      <c r="P2372" t="s">
        <v>6110</v>
      </c>
      <c r="Q2372">
        <v>4</v>
      </c>
      <c r="R2372">
        <v>2026</v>
      </c>
      <c r="S2372" t="s">
        <v>6099</v>
      </c>
      <c r="T2372">
        <v>1</v>
      </c>
      <c r="U2372" t="s">
        <v>6019</v>
      </c>
      <c r="V2372">
        <v>0</v>
      </c>
    </row>
    <row r="2373" spans="1:22" x14ac:dyDescent="0.3">
      <c r="A2373" t="s">
        <v>2388</v>
      </c>
      <c r="B2373" s="2">
        <v>46125.396527777775</v>
      </c>
      <c r="C2373" s="2">
        <v>46125.65902777778</v>
      </c>
      <c r="D2373" t="s">
        <v>6023</v>
      </c>
      <c r="E2373" t="s">
        <v>6029</v>
      </c>
      <c r="F2373" t="s">
        <v>6034</v>
      </c>
      <c r="G2373" t="s">
        <v>6048</v>
      </c>
      <c r="H2373" t="s">
        <v>6096</v>
      </c>
      <c r="I2373">
        <v>24</v>
      </c>
      <c r="J2373">
        <v>6.3</v>
      </c>
      <c r="K2373" t="s">
        <v>6099</v>
      </c>
      <c r="L2373" t="s">
        <v>6100</v>
      </c>
      <c r="M2373" t="s">
        <v>6100</v>
      </c>
      <c r="N2373">
        <v>5</v>
      </c>
      <c r="O2373" t="s">
        <v>6101</v>
      </c>
      <c r="P2373" t="s">
        <v>6110</v>
      </c>
      <c r="Q2373">
        <v>4</v>
      </c>
      <c r="R2373">
        <v>2026</v>
      </c>
      <c r="S2373" t="s">
        <v>6099</v>
      </c>
      <c r="T2373">
        <v>1</v>
      </c>
      <c r="U2373" t="s">
        <v>6018</v>
      </c>
      <c r="V2373">
        <v>1</v>
      </c>
    </row>
    <row r="2374" spans="1:22" x14ac:dyDescent="0.3">
      <c r="A2374" t="s">
        <v>2389</v>
      </c>
      <c r="B2374" s="2">
        <v>46125.461805555555</v>
      </c>
      <c r="C2374" s="2">
        <v>46125.620138888888</v>
      </c>
      <c r="D2374" t="s">
        <v>6028</v>
      </c>
      <c r="E2374" t="s">
        <v>6029</v>
      </c>
      <c r="F2374" t="s">
        <v>6034</v>
      </c>
      <c r="G2374" t="s">
        <v>6071</v>
      </c>
      <c r="H2374" t="s">
        <v>6098</v>
      </c>
      <c r="I2374">
        <v>24</v>
      </c>
      <c r="J2374">
        <v>3.8</v>
      </c>
      <c r="K2374" t="s">
        <v>6099</v>
      </c>
      <c r="L2374" t="s">
        <v>6100</v>
      </c>
      <c r="M2374" t="s">
        <v>6100</v>
      </c>
      <c r="N2374">
        <v>4</v>
      </c>
      <c r="O2374" t="s">
        <v>6101</v>
      </c>
      <c r="P2374" t="s">
        <v>6110</v>
      </c>
      <c r="Q2374">
        <v>4</v>
      </c>
      <c r="R2374">
        <v>2026</v>
      </c>
      <c r="S2374" t="s">
        <v>6099</v>
      </c>
      <c r="T2374">
        <v>1</v>
      </c>
      <c r="U2374" t="s">
        <v>6019</v>
      </c>
      <c r="V2374">
        <v>1</v>
      </c>
    </row>
    <row r="2375" spans="1:22" x14ac:dyDescent="0.3">
      <c r="A2375" t="s">
        <v>2390</v>
      </c>
      <c r="B2375" s="2">
        <v>46125.486111111109</v>
      </c>
      <c r="C2375" s="2">
        <v>46125.81527777778</v>
      </c>
      <c r="D2375" t="s">
        <v>6028</v>
      </c>
      <c r="E2375" t="s">
        <v>6030</v>
      </c>
      <c r="F2375" t="s">
        <v>6034</v>
      </c>
      <c r="G2375" t="s">
        <v>6055</v>
      </c>
      <c r="H2375" t="s">
        <v>6096</v>
      </c>
      <c r="I2375">
        <v>24</v>
      </c>
      <c r="J2375">
        <v>7.9</v>
      </c>
      <c r="K2375" t="s">
        <v>6099</v>
      </c>
      <c r="L2375" t="s">
        <v>6100</v>
      </c>
      <c r="M2375" t="s">
        <v>6100</v>
      </c>
      <c r="O2375" t="s">
        <v>6101</v>
      </c>
      <c r="P2375" t="s">
        <v>6110</v>
      </c>
      <c r="Q2375">
        <v>4</v>
      </c>
      <c r="R2375">
        <v>2026</v>
      </c>
      <c r="S2375" t="s">
        <v>6099</v>
      </c>
      <c r="T2375">
        <v>1</v>
      </c>
      <c r="U2375" t="s">
        <v>6019</v>
      </c>
      <c r="V2375">
        <v>1</v>
      </c>
    </row>
    <row r="2376" spans="1:22" x14ac:dyDescent="0.3">
      <c r="A2376" t="s">
        <v>2391</v>
      </c>
      <c r="B2376" s="2">
        <v>46125.509722222225</v>
      </c>
      <c r="C2376" s="2">
        <v>46125.880555555559</v>
      </c>
      <c r="D2376" t="s">
        <v>6025</v>
      </c>
      <c r="E2376" t="s">
        <v>6030</v>
      </c>
      <c r="F2376" t="s">
        <v>6034</v>
      </c>
      <c r="G2376" t="s">
        <v>6050</v>
      </c>
      <c r="H2376" t="s">
        <v>6098</v>
      </c>
      <c r="I2376">
        <v>24</v>
      </c>
      <c r="J2376">
        <v>8.9</v>
      </c>
      <c r="K2376" t="s">
        <v>6099</v>
      </c>
      <c r="L2376" t="s">
        <v>6100</v>
      </c>
      <c r="M2376" t="s">
        <v>6100</v>
      </c>
      <c r="O2376" t="s">
        <v>6101</v>
      </c>
      <c r="P2376" t="s">
        <v>6110</v>
      </c>
      <c r="Q2376">
        <v>4</v>
      </c>
      <c r="R2376">
        <v>2026</v>
      </c>
      <c r="S2376" t="s">
        <v>6099</v>
      </c>
      <c r="T2376">
        <v>1</v>
      </c>
      <c r="U2376" t="s">
        <v>6021</v>
      </c>
      <c r="V2376">
        <v>1</v>
      </c>
    </row>
    <row r="2377" spans="1:22" x14ac:dyDescent="0.3">
      <c r="A2377" t="s">
        <v>2392</v>
      </c>
      <c r="B2377" s="2">
        <v>46125.522916666669</v>
      </c>
      <c r="C2377" s="2">
        <v>46125.631249999999</v>
      </c>
      <c r="D2377" t="s">
        <v>6027</v>
      </c>
      <c r="E2377" t="s">
        <v>6030</v>
      </c>
      <c r="F2377" t="s">
        <v>6034</v>
      </c>
      <c r="G2377" t="s">
        <v>6093</v>
      </c>
      <c r="H2377" t="s">
        <v>6097</v>
      </c>
      <c r="I2377">
        <v>24</v>
      </c>
      <c r="J2377">
        <v>2.6</v>
      </c>
      <c r="K2377" t="s">
        <v>6099</v>
      </c>
      <c r="L2377" t="s">
        <v>6100</v>
      </c>
      <c r="M2377" t="s">
        <v>6100</v>
      </c>
      <c r="N2377">
        <v>5</v>
      </c>
      <c r="O2377" t="s">
        <v>6101</v>
      </c>
      <c r="P2377" t="s">
        <v>6110</v>
      </c>
      <c r="Q2377">
        <v>4</v>
      </c>
      <c r="R2377">
        <v>2026</v>
      </c>
      <c r="S2377" t="s">
        <v>6099</v>
      </c>
      <c r="T2377">
        <v>1</v>
      </c>
      <c r="U2377" t="s">
        <v>6020</v>
      </c>
      <c r="V2377">
        <v>1</v>
      </c>
    </row>
    <row r="2378" spans="1:22" x14ac:dyDescent="0.3">
      <c r="A2378" t="s">
        <v>2393</v>
      </c>
      <c r="B2378" s="2">
        <v>46125.538194444445</v>
      </c>
      <c r="C2378" s="2">
        <v>46125.934027777781</v>
      </c>
      <c r="D2378" t="s">
        <v>6023</v>
      </c>
      <c r="E2378" t="s">
        <v>6029</v>
      </c>
      <c r="F2378" t="s">
        <v>6034</v>
      </c>
      <c r="G2378" t="s">
        <v>6083</v>
      </c>
      <c r="H2378" t="s">
        <v>6096</v>
      </c>
      <c r="I2378">
        <v>24</v>
      </c>
      <c r="J2378">
        <v>9.5</v>
      </c>
      <c r="K2378" t="s">
        <v>6100</v>
      </c>
      <c r="L2378" t="s">
        <v>6100</v>
      </c>
      <c r="M2378" t="s">
        <v>6100</v>
      </c>
      <c r="O2378" t="s">
        <v>6101</v>
      </c>
      <c r="P2378" t="s">
        <v>6110</v>
      </c>
      <c r="Q2378">
        <v>4</v>
      </c>
      <c r="R2378">
        <v>2026</v>
      </c>
      <c r="S2378" t="s">
        <v>6099</v>
      </c>
      <c r="T2378">
        <v>1</v>
      </c>
      <c r="U2378" t="s">
        <v>6020</v>
      </c>
      <c r="V2378">
        <v>0</v>
      </c>
    </row>
    <row r="2379" spans="1:22" x14ac:dyDescent="0.3">
      <c r="A2379" t="s">
        <v>2394</v>
      </c>
      <c r="B2379" s="2">
        <v>46125.567361111112</v>
      </c>
      <c r="C2379" s="2">
        <v>46125.771527777775</v>
      </c>
      <c r="D2379" t="s">
        <v>6023</v>
      </c>
      <c r="E2379" t="s">
        <v>6029</v>
      </c>
      <c r="F2379" t="s">
        <v>6033</v>
      </c>
      <c r="G2379" t="s">
        <v>6039</v>
      </c>
      <c r="H2379" t="s">
        <v>6097</v>
      </c>
      <c r="I2379">
        <v>72</v>
      </c>
      <c r="J2379">
        <v>4.9000000000000004</v>
      </c>
      <c r="K2379" t="s">
        <v>6099</v>
      </c>
      <c r="L2379" t="s">
        <v>6100</v>
      </c>
      <c r="M2379" t="s">
        <v>6100</v>
      </c>
      <c r="O2379" t="s">
        <v>6101</v>
      </c>
      <c r="P2379" t="s">
        <v>6110</v>
      </c>
      <c r="Q2379">
        <v>4</v>
      </c>
      <c r="R2379">
        <v>2026</v>
      </c>
      <c r="S2379" t="s">
        <v>6099</v>
      </c>
      <c r="T2379">
        <v>1</v>
      </c>
      <c r="U2379" t="s">
        <v>6019</v>
      </c>
      <c r="V2379">
        <v>1</v>
      </c>
    </row>
    <row r="2380" spans="1:22" x14ac:dyDescent="0.3">
      <c r="A2380" t="s">
        <v>2395</v>
      </c>
      <c r="B2380" s="2">
        <v>46125.57916666667</v>
      </c>
      <c r="C2380" s="2">
        <v>46126.39166666667</v>
      </c>
      <c r="D2380" t="s">
        <v>6025</v>
      </c>
      <c r="E2380" t="s">
        <v>6032</v>
      </c>
      <c r="F2380" t="s">
        <v>6035</v>
      </c>
      <c r="G2380" t="s">
        <v>6049</v>
      </c>
      <c r="H2380" t="s">
        <v>6097</v>
      </c>
      <c r="I2380">
        <v>4</v>
      </c>
      <c r="J2380">
        <v>19.5</v>
      </c>
      <c r="K2380" t="s">
        <v>6099</v>
      </c>
      <c r="L2380" t="s">
        <v>6100</v>
      </c>
      <c r="M2380" t="s">
        <v>6100</v>
      </c>
      <c r="N2380">
        <v>3</v>
      </c>
      <c r="O2380" t="s">
        <v>6101</v>
      </c>
      <c r="P2380" t="s">
        <v>6110</v>
      </c>
      <c r="Q2380">
        <v>4</v>
      </c>
      <c r="R2380">
        <v>2026</v>
      </c>
      <c r="S2380" t="s">
        <v>6100</v>
      </c>
      <c r="T2380">
        <v>0</v>
      </c>
      <c r="U2380" t="s">
        <v>6017</v>
      </c>
      <c r="V2380">
        <v>1</v>
      </c>
    </row>
    <row r="2381" spans="1:22" x14ac:dyDescent="0.3">
      <c r="A2381" t="s">
        <v>2396</v>
      </c>
      <c r="B2381" s="2">
        <v>46125.621527777781</v>
      </c>
      <c r="C2381" s="2">
        <v>46132.879861111112</v>
      </c>
      <c r="D2381" t="s">
        <v>6026</v>
      </c>
      <c r="E2381" t="s">
        <v>6031</v>
      </c>
      <c r="F2381" t="s">
        <v>6034</v>
      </c>
      <c r="G2381" t="s">
        <v>6065</v>
      </c>
      <c r="H2381" t="s">
        <v>6097</v>
      </c>
      <c r="I2381">
        <v>24</v>
      </c>
      <c r="J2381">
        <v>174.2</v>
      </c>
      <c r="K2381" t="s">
        <v>6100</v>
      </c>
      <c r="L2381" t="s">
        <v>6099</v>
      </c>
      <c r="M2381" t="s">
        <v>6100</v>
      </c>
      <c r="O2381" t="s">
        <v>6101</v>
      </c>
      <c r="P2381" t="s">
        <v>6110</v>
      </c>
      <c r="Q2381">
        <v>4</v>
      </c>
      <c r="R2381">
        <v>2026</v>
      </c>
      <c r="S2381" t="s">
        <v>6100</v>
      </c>
      <c r="T2381">
        <v>0</v>
      </c>
      <c r="U2381" t="s">
        <v>6021</v>
      </c>
      <c r="V2381">
        <v>0</v>
      </c>
    </row>
    <row r="2382" spans="1:22" x14ac:dyDescent="0.3">
      <c r="A2382" t="s">
        <v>2397</v>
      </c>
      <c r="B2382" s="2">
        <v>46125.622916666667</v>
      </c>
      <c r="C2382" s="2">
        <v>46126.185416666667</v>
      </c>
      <c r="D2382" t="s">
        <v>6027</v>
      </c>
      <c r="E2382" t="s">
        <v>6029</v>
      </c>
      <c r="F2382" t="s">
        <v>6035</v>
      </c>
      <c r="G2382" t="s">
        <v>6084</v>
      </c>
      <c r="H2382" t="s">
        <v>6098</v>
      </c>
      <c r="I2382">
        <v>4</v>
      </c>
      <c r="J2382">
        <v>13.5</v>
      </c>
      <c r="K2382" t="s">
        <v>6099</v>
      </c>
      <c r="L2382" t="s">
        <v>6100</v>
      </c>
      <c r="M2382" t="s">
        <v>6100</v>
      </c>
      <c r="O2382" t="s">
        <v>6101</v>
      </c>
      <c r="P2382" t="s">
        <v>6110</v>
      </c>
      <c r="Q2382">
        <v>4</v>
      </c>
      <c r="R2382">
        <v>2026</v>
      </c>
      <c r="S2382" t="s">
        <v>6100</v>
      </c>
      <c r="T2382">
        <v>0</v>
      </c>
      <c r="U2382" t="s">
        <v>6019</v>
      </c>
      <c r="V2382">
        <v>1</v>
      </c>
    </row>
    <row r="2383" spans="1:22" x14ac:dyDescent="0.3">
      <c r="A2383" t="s">
        <v>2398</v>
      </c>
      <c r="B2383" s="2">
        <v>46125.62777777778</v>
      </c>
      <c r="C2383" s="2">
        <v>46126.840277777781</v>
      </c>
      <c r="D2383" t="s">
        <v>6022</v>
      </c>
      <c r="E2383" t="s">
        <v>6032</v>
      </c>
      <c r="F2383" t="s">
        <v>6033</v>
      </c>
      <c r="G2383" t="s">
        <v>6052</v>
      </c>
      <c r="H2383" t="s">
        <v>6098</v>
      </c>
      <c r="I2383">
        <v>72</v>
      </c>
      <c r="J2383">
        <v>29.1</v>
      </c>
      <c r="K2383" t="s">
        <v>6100</v>
      </c>
      <c r="L2383" t="s">
        <v>6100</v>
      </c>
      <c r="M2383" t="s">
        <v>6099</v>
      </c>
      <c r="O2383" t="s">
        <v>6101</v>
      </c>
      <c r="P2383" t="s">
        <v>6110</v>
      </c>
      <c r="Q2383">
        <v>4</v>
      </c>
      <c r="R2383">
        <v>2026</v>
      </c>
      <c r="S2383" t="s">
        <v>6099</v>
      </c>
      <c r="T2383">
        <v>1</v>
      </c>
      <c r="U2383" t="s">
        <v>6021</v>
      </c>
      <c r="V2383">
        <v>0</v>
      </c>
    </row>
    <row r="2384" spans="1:22" x14ac:dyDescent="0.3">
      <c r="A2384" t="s">
        <v>2399</v>
      </c>
      <c r="B2384" s="2">
        <v>46125.631249999999</v>
      </c>
      <c r="C2384" s="2">
        <v>46126.318749999999</v>
      </c>
      <c r="D2384" t="s">
        <v>6023</v>
      </c>
      <c r="E2384" t="s">
        <v>6032</v>
      </c>
      <c r="F2384" t="s">
        <v>6033</v>
      </c>
      <c r="G2384" t="s">
        <v>6085</v>
      </c>
      <c r="H2384" t="s">
        <v>6097</v>
      </c>
      <c r="I2384">
        <v>72</v>
      </c>
      <c r="J2384">
        <v>16.5</v>
      </c>
      <c r="K2384" t="s">
        <v>6099</v>
      </c>
      <c r="L2384" t="s">
        <v>6100</v>
      </c>
      <c r="M2384" t="s">
        <v>6100</v>
      </c>
      <c r="N2384">
        <v>3</v>
      </c>
      <c r="O2384" t="s">
        <v>6101</v>
      </c>
      <c r="P2384" t="s">
        <v>6110</v>
      </c>
      <c r="Q2384">
        <v>4</v>
      </c>
      <c r="R2384">
        <v>2026</v>
      </c>
      <c r="S2384" t="s">
        <v>6099</v>
      </c>
      <c r="T2384">
        <v>1</v>
      </c>
      <c r="U2384" t="s">
        <v>6020</v>
      </c>
      <c r="V2384">
        <v>1</v>
      </c>
    </row>
    <row r="2385" spans="1:22" x14ac:dyDescent="0.3">
      <c r="A2385" t="s">
        <v>2400</v>
      </c>
      <c r="B2385" s="2">
        <v>46125.634027777778</v>
      </c>
      <c r="C2385" s="2">
        <v>46128.904861111114</v>
      </c>
      <c r="D2385" t="s">
        <v>6024</v>
      </c>
      <c r="E2385" t="s">
        <v>6029</v>
      </c>
      <c r="F2385" t="s">
        <v>6033</v>
      </c>
      <c r="G2385" t="s">
        <v>6082</v>
      </c>
      <c r="H2385" t="s">
        <v>6097</v>
      </c>
      <c r="I2385">
        <v>72</v>
      </c>
      <c r="J2385">
        <v>78.5</v>
      </c>
      <c r="K2385" t="s">
        <v>6099</v>
      </c>
      <c r="L2385" t="s">
        <v>6100</v>
      </c>
      <c r="M2385" t="s">
        <v>6100</v>
      </c>
      <c r="N2385">
        <v>3</v>
      </c>
      <c r="O2385" t="s">
        <v>6101</v>
      </c>
      <c r="P2385" t="s">
        <v>6110</v>
      </c>
      <c r="Q2385">
        <v>4</v>
      </c>
      <c r="R2385">
        <v>2026</v>
      </c>
      <c r="S2385" t="s">
        <v>6100</v>
      </c>
      <c r="T2385">
        <v>0</v>
      </c>
      <c r="U2385" t="s">
        <v>6019</v>
      </c>
      <c r="V2385">
        <v>1</v>
      </c>
    </row>
    <row r="2386" spans="1:22" x14ac:dyDescent="0.3">
      <c r="A2386" t="s">
        <v>2401</v>
      </c>
      <c r="B2386" s="2">
        <v>46125.634027777778</v>
      </c>
      <c r="C2386" s="2">
        <v>46128.146527777775</v>
      </c>
      <c r="D2386" t="s">
        <v>6025</v>
      </c>
      <c r="E2386" t="s">
        <v>6031</v>
      </c>
      <c r="F2386" t="s">
        <v>6033</v>
      </c>
      <c r="G2386" t="s">
        <v>6048</v>
      </c>
      <c r="H2386" t="s">
        <v>6096</v>
      </c>
      <c r="I2386">
        <v>72</v>
      </c>
      <c r="J2386">
        <v>60.3</v>
      </c>
      <c r="K2386" t="s">
        <v>6100</v>
      </c>
      <c r="L2386" t="s">
        <v>6099</v>
      </c>
      <c r="M2386" t="s">
        <v>6100</v>
      </c>
      <c r="N2386">
        <v>4</v>
      </c>
      <c r="O2386" t="s">
        <v>6101</v>
      </c>
      <c r="P2386" t="s">
        <v>6110</v>
      </c>
      <c r="Q2386">
        <v>4</v>
      </c>
      <c r="R2386">
        <v>2026</v>
      </c>
      <c r="S2386" t="s">
        <v>6099</v>
      </c>
      <c r="T2386">
        <v>1</v>
      </c>
      <c r="U2386" t="s">
        <v>6021</v>
      </c>
      <c r="V2386">
        <v>0</v>
      </c>
    </row>
    <row r="2387" spans="1:22" x14ac:dyDescent="0.3">
      <c r="A2387" t="s">
        <v>2402</v>
      </c>
      <c r="B2387" s="2">
        <v>46125.637499999997</v>
      </c>
      <c r="C2387" s="2">
        <v>46126.033333333333</v>
      </c>
      <c r="D2387" t="s">
        <v>6023</v>
      </c>
      <c r="E2387" t="s">
        <v>6032</v>
      </c>
      <c r="F2387" t="s">
        <v>6033</v>
      </c>
      <c r="G2387" t="s">
        <v>6089</v>
      </c>
      <c r="H2387" t="s">
        <v>6098</v>
      </c>
      <c r="I2387">
        <v>72</v>
      </c>
      <c r="J2387">
        <v>9.5</v>
      </c>
      <c r="K2387" t="s">
        <v>6099</v>
      </c>
      <c r="L2387" t="s">
        <v>6100</v>
      </c>
      <c r="M2387" t="s">
        <v>6100</v>
      </c>
      <c r="N2387">
        <v>4</v>
      </c>
      <c r="O2387" t="s">
        <v>6101</v>
      </c>
      <c r="P2387" t="s">
        <v>6110</v>
      </c>
      <c r="Q2387">
        <v>4</v>
      </c>
      <c r="R2387">
        <v>2026</v>
      </c>
      <c r="S2387" t="s">
        <v>6099</v>
      </c>
      <c r="T2387">
        <v>1</v>
      </c>
      <c r="U2387" t="s">
        <v>6021</v>
      </c>
      <c r="V2387">
        <v>1</v>
      </c>
    </row>
    <row r="2388" spans="1:22" x14ac:dyDescent="0.3">
      <c r="A2388" t="s">
        <v>2403</v>
      </c>
      <c r="B2388" s="2">
        <v>46125.645833333336</v>
      </c>
      <c r="C2388" s="2">
        <v>46126.412499999999</v>
      </c>
      <c r="D2388" t="s">
        <v>6024</v>
      </c>
      <c r="E2388" t="s">
        <v>6031</v>
      </c>
      <c r="F2388" t="s">
        <v>6033</v>
      </c>
      <c r="G2388" t="s">
        <v>6091</v>
      </c>
      <c r="H2388" t="s">
        <v>6097</v>
      </c>
      <c r="I2388">
        <v>72</v>
      </c>
      <c r="J2388">
        <v>18.399999999999999</v>
      </c>
      <c r="K2388" t="s">
        <v>6099</v>
      </c>
      <c r="L2388" t="s">
        <v>6100</v>
      </c>
      <c r="M2388" t="s">
        <v>6100</v>
      </c>
      <c r="O2388" t="s">
        <v>6101</v>
      </c>
      <c r="P2388" t="s">
        <v>6110</v>
      </c>
      <c r="Q2388">
        <v>4</v>
      </c>
      <c r="R2388">
        <v>2026</v>
      </c>
      <c r="S2388" t="s">
        <v>6099</v>
      </c>
      <c r="T2388">
        <v>1</v>
      </c>
      <c r="U2388" t="s">
        <v>6017</v>
      </c>
      <c r="V2388">
        <v>1</v>
      </c>
    </row>
    <row r="2389" spans="1:22" x14ac:dyDescent="0.3">
      <c r="A2389" t="s">
        <v>2404</v>
      </c>
      <c r="B2389" s="2">
        <v>46125.65</v>
      </c>
      <c r="C2389" s="2">
        <v>46125.991666666669</v>
      </c>
      <c r="D2389" t="s">
        <v>6023</v>
      </c>
      <c r="E2389" t="s">
        <v>6032</v>
      </c>
      <c r="F2389" t="s">
        <v>6033</v>
      </c>
      <c r="G2389" t="s">
        <v>6071</v>
      </c>
      <c r="H2389" t="s">
        <v>6098</v>
      </c>
      <c r="I2389">
        <v>72</v>
      </c>
      <c r="J2389">
        <v>8.1999999999999993</v>
      </c>
      <c r="K2389" t="s">
        <v>6099</v>
      </c>
      <c r="L2389" t="s">
        <v>6100</v>
      </c>
      <c r="M2389" t="s">
        <v>6100</v>
      </c>
      <c r="O2389" t="s">
        <v>6101</v>
      </c>
      <c r="P2389" t="s">
        <v>6110</v>
      </c>
      <c r="Q2389">
        <v>4</v>
      </c>
      <c r="R2389">
        <v>2026</v>
      </c>
      <c r="S2389" t="s">
        <v>6099</v>
      </c>
      <c r="T2389">
        <v>1</v>
      </c>
      <c r="U2389" t="s">
        <v>6017</v>
      </c>
      <c r="V2389">
        <v>1</v>
      </c>
    </row>
    <row r="2390" spans="1:22" x14ac:dyDescent="0.3">
      <c r="A2390" t="s">
        <v>2405</v>
      </c>
      <c r="B2390" s="2">
        <v>46125.671527777777</v>
      </c>
      <c r="C2390" s="2">
        <v>46126.604861111111</v>
      </c>
      <c r="D2390" t="s">
        <v>6022</v>
      </c>
      <c r="E2390" t="s">
        <v>6032</v>
      </c>
      <c r="F2390" t="s">
        <v>6033</v>
      </c>
      <c r="G2390" t="s">
        <v>6050</v>
      </c>
      <c r="H2390" t="s">
        <v>6098</v>
      </c>
      <c r="I2390">
        <v>72</v>
      </c>
      <c r="J2390">
        <v>22.4</v>
      </c>
      <c r="K2390" t="s">
        <v>6100</v>
      </c>
      <c r="L2390" t="s">
        <v>6100</v>
      </c>
      <c r="M2390" t="s">
        <v>6100</v>
      </c>
      <c r="O2390" t="s">
        <v>6101</v>
      </c>
      <c r="P2390" t="s">
        <v>6110</v>
      </c>
      <c r="Q2390">
        <v>4</v>
      </c>
      <c r="R2390">
        <v>2026</v>
      </c>
      <c r="S2390" t="s">
        <v>6099</v>
      </c>
      <c r="T2390">
        <v>1</v>
      </c>
      <c r="U2390" t="s">
        <v>6021</v>
      </c>
      <c r="V2390">
        <v>0</v>
      </c>
    </row>
    <row r="2391" spans="1:22" x14ac:dyDescent="0.3">
      <c r="A2391" t="s">
        <v>2406</v>
      </c>
      <c r="B2391" s="2">
        <v>46125.68472222222</v>
      </c>
      <c r="C2391" s="2">
        <v>46125.99722222222</v>
      </c>
      <c r="D2391" t="s">
        <v>6023</v>
      </c>
      <c r="E2391" t="s">
        <v>6029</v>
      </c>
      <c r="F2391" t="s">
        <v>6033</v>
      </c>
      <c r="G2391" t="s">
        <v>6072</v>
      </c>
      <c r="H2391" t="s">
        <v>6097</v>
      </c>
      <c r="I2391">
        <v>72</v>
      </c>
      <c r="J2391">
        <v>7.5</v>
      </c>
      <c r="K2391" t="s">
        <v>6099</v>
      </c>
      <c r="L2391" t="s">
        <v>6100</v>
      </c>
      <c r="M2391" t="s">
        <v>6100</v>
      </c>
      <c r="N2391">
        <v>5</v>
      </c>
      <c r="O2391" t="s">
        <v>6101</v>
      </c>
      <c r="P2391" t="s">
        <v>6110</v>
      </c>
      <c r="Q2391">
        <v>4</v>
      </c>
      <c r="R2391">
        <v>2026</v>
      </c>
      <c r="S2391" t="s">
        <v>6099</v>
      </c>
      <c r="T2391">
        <v>1</v>
      </c>
      <c r="U2391" t="s">
        <v>6019</v>
      </c>
      <c r="V2391">
        <v>1</v>
      </c>
    </row>
    <row r="2392" spans="1:22" x14ac:dyDescent="0.3">
      <c r="A2392" t="s">
        <v>2407</v>
      </c>
      <c r="B2392" s="2">
        <v>46125.712500000001</v>
      </c>
      <c r="C2392" s="2">
        <v>46125.845833333333</v>
      </c>
      <c r="D2392" t="s">
        <v>6027</v>
      </c>
      <c r="E2392" t="s">
        <v>6030</v>
      </c>
      <c r="F2392" t="s">
        <v>6034</v>
      </c>
      <c r="G2392" t="s">
        <v>6073</v>
      </c>
      <c r="H2392" t="s">
        <v>6096</v>
      </c>
      <c r="I2392">
        <v>24</v>
      </c>
      <c r="J2392">
        <v>3.2</v>
      </c>
      <c r="K2392" t="s">
        <v>6100</v>
      </c>
      <c r="L2392" t="s">
        <v>6100</v>
      </c>
      <c r="M2392" t="s">
        <v>6100</v>
      </c>
      <c r="N2392">
        <v>4</v>
      </c>
      <c r="O2392" t="s">
        <v>6101</v>
      </c>
      <c r="P2392" t="s">
        <v>6110</v>
      </c>
      <c r="Q2392">
        <v>4</v>
      </c>
      <c r="R2392">
        <v>2026</v>
      </c>
      <c r="S2392" t="s">
        <v>6099</v>
      </c>
      <c r="T2392">
        <v>1</v>
      </c>
      <c r="U2392" t="s">
        <v>6020</v>
      </c>
      <c r="V2392">
        <v>0</v>
      </c>
    </row>
    <row r="2393" spans="1:22" x14ac:dyDescent="0.3">
      <c r="A2393" t="s">
        <v>2408</v>
      </c>
      <c r="B2393" s="2">
        <v>46125.72152777778</v>
      </c>
      <c r="C2393" s="2">
        <v>46125.929861111108</v>
      </c>
      <c r="D2393" t="s">
        <v>6023</v>
      </c>
      <c r="E2393" t="s">
        <v>6029</v>
      </c>
      <c r="F2393" t="s">
        <v>6035</v>
      </c>
      <c r="G2393" t="s">
        <v>6075</v>
      </c>
      <c r="H2393" t="s">
        <v>6097</v>
      </c>
      <c r="I2393">
        <v>4</v>
      </c>
      <c r="J2393">
        <v>5</v>
      </c>
      <c r="K2393" t="s">
        <v>6099</v>
      </c>
      <c r="L2393" t="s">
        <v>6100</v>
      </c>
      <c r="M2393" t="s">
        <v>6099</v>
      </c>
      <c r="N2393">
        <v>4</v>
      </c>
      <c r="O2393" t="s">
        <v>6101</v>
      </c>
      <c r="P2393" t="s">
        <v>6110</v>
      </c>
      <c r="Q2393">
        <v>4</v>
      </c>
      <c r="R2393">
        <v>2026</v>
      </c>
      <c r="S2393" t="s">
        <v>6100</v>
      </c>
      <c r="T2393">
        <v>0</v>
      </c>
      <c r="U2393" t="s">
        <v>6021</v>
      </c>
      <c r="V2393">
        <v>1</v>
      </c>
    </row>
    <row r="2394" spans="1:22" x14ac:dyDescent="0.3">
      <c r="A2394" t="s">
        <v>2409</v>
      </c>
      <c r="B2394" s="2">
        <v>46125.746527777781</v>
      </c>
      <c r="C2394" s="2">
        <v>46126.179861111108</v>
      </c>
      <c r="D2394" t="s">
        <v>6028</v>
      </c>
      <c r="E2394" t="s">
        <v>6030</v>
      </c>
      <c r="F2394" t="s">
        <v>6033</v>
      </c>
      <c r="G2394" t="s">
        <v>6040</v>
      </c>
      <c r="H2394" t="s">
        <v>6097</v>
      </c>
      <c r="I2394">
        <v>72</v>
      </c>
      <c r="J2394">
        <v>10.4</v>
      </c>
      <c r="K2394" t="s">
        <v>6100</v>
      </c>
      <c r="L2394" t="s">
        <v>6099</v>
      </c>
      <c r="M2394" t="s">
        <v>6100</v>
      </c>
      <c r="O2394" t="s">
        <v>6101</v>
      </c>
      <c r="P2394" t="s">
        <v>6110</v>
      </c>
      <c r="Q2394">
        <v>4</v>
      </c>
      <c r="R2394">
        <v>2026</v>
      </c>
      <c r="S2394" t="s">
        <v>6099</v>
      </c>
      <c r="T2394">
        <v>1</v>
      </c>
      <c r="U2394" t="s">
        <v>6019</v>
      </c>
      <c r="V2394">
        <v>0</v>
      </c>
    </row>
    <row r="2395" spans="1:22" x14ac:dyDescent="0.3">
      <c r="A2395" t="s">
        <v>2410</v>
      </c>
      <c r="B2395" s="2">
        <v>46125.758333333331</v>
      </c>
      <c r="C2395" s="2">
        <v>46125.979166666664</v>
      </c>
      <c r="D2395" t="s">
        <v>6023</v>
      </c>
      <c r="E2395" t="s">
        <v>6029</v>
      </c>
      <c r="F2395" t="s">
        <v>6034</v>
      </c>
      <c r="G2395" t="s">
        <v>6070</v>
      </c>
      <c r="H2395" t="s">
        <v>6097</v>
      </c>
      <c r="I2395">
        <v>24</v>
      </c>
      <c r="J2395">
        <v>5.3</v>
      </c>
      <c r="K2395" t="s">
        <v>6099</v>
      </c>
      <c r="L2395" t="s">
        <v>6100</v>
      </c>
      <c r="M2395" t="s">
        <v>6100</v>
      </c>
      <c r="O2395" t="s">
        <v>6101</v>
      </c>
      <c r="P2395" t="s">
        <v>6110</v>
      </c>
      <c r="Q2395">
        <v>4</v>
      </c>
      <c r="R2395">
        <v>2026</v>
      </c>
      <c r="S2395" t="s">
        <v>6099</v>
      </c>
      <c r="T2395">
        <v>1</v>
      </c>
      <c r="U2395" t="s">
        <v>6021</v>
      </c>
      <c r="V2395">
        <v>1</v>
      </c>
    </row>
    <row r="2396" spans="1:22" x14ac:dyDescent="0.3">
      <c r="A2396" t="s">
        <v>2411</v>
      </c>
      <c r="B2396" s="2">
        <v>46125.78125</v>
      </c>
      <c r="C2396" s="2">
        <v>46126.431250000001</v>
      </c>
      <c r="D2396" t="s">
        <v>6028</v>
      </c>
      <c r="E2396" t="s">
        <v>6029</v>
      </c>
      <c r="F2396" t="s">
        <v>6035</v>
      </c>
      <c r="G2396" t="s">
        <v>6045</v>
      </c>
      <c r="H2396" t="s">
        <v>6096</v>
      </c>
      <c r="I2396">
        <v>4</v>
      </c>
      <c r="J2396">
        <v>15.6</v>
      </c>
      <c r="K2396" t="s">
        <v>6100</v>
      </c>
      <c r="L2396" t="s">
        <v>6099</v>
      </c>
      <c r="M2396" t="s">
        <v>6100</v>
      </c>
      <c r="N2396">
        <v>1</v>
      </c>
      <c r="O2396" t="s">
        <v>6101</v>
      </c>
      <c r="P2396" t="s">
        <v>6110</v>
      </c>
      <c r="Q2396">
        <v>4</v>
      </c>
      <c r="R2396">
        <v>2026</v>
      </c>
      <c r="S2396" t="s">
        <v>6100</v>
      </c>
      <c r="T2396">
        <v>0</v>
      </c>
      <c r="U2396" t="s">
        <v>6020</v>
      </c>
      <c r="V2396">
        <v>0</v>
      </c>
    </row>
    <row r="2397" spans="1:22" x14ac:dyDescent="0.3">
      <c r="A2397" t="s">
        <v>2412</v>
      </c>
      <c r="B2397" s="2">
        <v>46126.304861111108</v>
      </c>
      <c r="C2397" s="2">
        <v>46126.884027777778</v>
      </c>
      <c r="D2397" t="s">
        <v>6022</v>
      </c>
      <c r="E2397" t="s">
        <v>6030</v>
      </c>
      <c r="F2397" t="s">
        <v>6034</v>
      </c>
      <c r="G2397" t="s">
        <v>6085</v>
      </c>
      <c r="H2397" t="s">
        <v>6097</v>
      </c>
      <c r="I2397">
        <v>24</v>
      </c>
      <c r="J2397">
        <v>13.9</v>
      </c>
      <c r="K2397" t="s">
        <v>6099</v>
      </c>
      <c r="L2397" t="s">
        <v>6100</v>
      </c>
      <c r="M2397" t="s">
        <v>6100</v>
      </c>
      <c r="O2397" t="s">
        <v>6101</v>
      </c>
      <c r="P2397" t="s">
        <v>6110</v>
      </c>
      <c r="Q2397">
        <v>4</v>
      </c>
      <c r="R2397">
        <v>2026</v>
      </c>
      <c r="S2397" t="s">
        <v>6099</v>
      </c>
      <c r="T2397">
        <v>1</v>
      </c>
      <c r="U2397" t="s">
        <v>6019</v>
      </c>
      <c r="V2397">
        <v>1</v>
      </c>
    </row>
    <row r="2398" spans="1:22" x14ac:dyDescent="0.3">
      <c r="A2398" t="s">
        <v>2413</v>
      </c>
      <c r="B2398" s="2">
        <v>46126.347222222219</v>
      </c>
      <c r="C2398" s="2">
        <v>46127.155555555553</v>
      </c>
      <c r="D2398" t="s">
        <v>6023</v>
      </c>
      <c r="E2398" t="s">
        <v>6032</v>
      </c>
      <c r="F2398" t="s">
        <v>6034</v>
      </c>
      <c r="G2398" t="s">
        <v>6049</v>
      </c>
      <c r="H2398" t="s">
        <v>6097</v>
      </c>
      <c r="I2398">
        <v>24</v>
      </c>
      <c r="J2398">
        <v>19.399999999999999</v>
      </c>
      <c r="K2398" t="s">
        <v>6100</v>
      </c>
      <c r="L2398" t="s">
        <v>6099</v>
      </c>
      <c r="M2398" t="s">
        <v>6100</v>
      </c>
      <c r="N2398">
        <v>4</v>
      </c>
      <c r="O2398" t="s">
        <v>6101</v>
      </c>
      <c r="P2398" t="s">
        <v>6110</v>
      </c>
      <c r="Q2398">
        <v>4</v>
      </c>
      <c r="R2398">
        <v>2026</v>
      </c>
      <c r="S2398" t="s">
        <v>6099</v>
      </c>
      <c r="T2398">
        <v>1</v>
      </c>
      <c r="U2398" t="s">
        <v>6018</v>
      </c>
      <c r="V2398">
        <v>0</v>
      </c>
    </row>
    <row r="2399" spans="1:22" x14ac:dyDescent="0.3">
      <c r="A2399" t="s">
        <v>2414</v>
      </c>
      <c r="B2399" s="2">
        <v>46126.367361111108</v>
      </c>
      <c r="C2399" s="2">
        <v>46126.588194444441</v>
      </c>
      <c r="D2399" t="s">
        <v>6028</v>
      </c>
      <c r="E2399" t="s">
        <v>6029</v>
      </c>
      <c r="F2399" t="s">
        <v>6035</v>
      </c>
      <c r="G2399" t="s">
        <v>6071</v>
      </c>
      <c r="H2399" t="s">
        <v>6098</v>
      </c>
      <c r="I2399">
        <v>4</v>
      </c>
      <c r="J2399">
        <v>5.3</v>
      </c>
      <c r="K2399" t="s">
        <v>6099</v>
      </c>
      <c r="L2399" t="s">
        <v>6100</v>
      </c>
      <c r="M2399" t="s">
        <v>6100</v>
      </c>
      <c r="N2399">
        <v>3</v>
      </c>
      <c r="O2399" t="s">
        <v>6101</v>
      </c>
      <c r="P2399" t="s">
        <v>6110</v>
      </c>
      <c r="Q2399">
        <v>4</v>
      </c>
      <c r="R2399">
        <v>2026</v>
      </c>
      <c r="S2399" t="s">
        <v>6100</v>
      </c>
      <c r="T2399">
        <v>0</v>
      </c>
      <c r="U2399" t="s">
        <v>6021</v>
      </c>
      <c r="V2399">
        <v>1</v>
      </c>
    </row>
    <row r="2400" spans="1:22" x14ac:dyDescent="0.3">
      <c r="A2400" t="s">
        <v>2415</v>
      </c>
      <c r="B2400" s="2">
        <v>46126.399305555555</v>
      </c>
      <c r="C2400" s="2">
        <v>46126.90347222222</v>
      </c>
      <c r="D2400" t="s">
        <v>6023</v>
      </c>
      <c r="E2400" t="s">
        <v>6029</v>
      </c>
      <c r="F2400" t="s">
        <v>6033</v>
      </c>
      <c r="G2400" t="s">
        <v>6053</v>
      </c>
      <c r="H2400" t="s">
        <v>6097</v>
      </c>
      <c r="I2400">
        <v>72</v>
      </c>
      <c r="J2400">
        <v>12.1</v>
      </c>
      <c r="K2400" t="s">
        <v>6099</v>
      </c>
      <c r="L2400" t="s">
        <v>6100</v>
      </c>
      <c r="M2400" t="s">
        <v>6100</v>
      </c>
      <c r="N2400">
        <v>5</v>
      </c>
      <c r="O2400" t="s">
        <v>6101</v>
      </c>
      <c r="P2400" t="s">
        <v>6110</v>
      </c>
      <c r="Q2400">
        <v>4</v>
      </c>
      <c r="R2400">
        <v>2026</v>
      </c>
      <c r="S2400" t="s">
        <v>6099</v>
      </c>
      <c r="T2400">
        <v>1</v>
      </c>
      <c r="U2400" t="s">
        <v>6021</v>
      </c>
      <c r="V2400">
        <v>1</v>
      </c>
    </row>
    <row r="2401" spans="1:22" x14ac:dyDescent="0.3">
      <c r="A2401" t="s">
        <v>2416</v>
      </c>
      <c r="B2401" s="2">
        <v>46126.413194444445</v>
      </c>
      <c r="C2401" s="2">
        <v>46126.688194444447</v>
      </c>
      <c r="D2401" t="s">
        <v>6023</v>
      </c>
      <c r="E2401" t="s">
        <v>6030</v>
      </c>
      <c r="F2401" t="s">
        <v>6034</v>
      </c>
      <c r="G2401" t="s">
        <v>6057</v>
      </c>
      <c r="H2401" t="s">
        <v>6097</v>
      </c>
      <c r="I2401">
        <v>24</v>
      </c>
      <c r="J2401">
        <v>6.6</v>
      </c>
      <c r="K2401" t="s">
        <v>6099</v>
      </c>
      <c r="L2401" t="s">
        <v>6100</v>
      </c>
      <c r="M2401" t="s">
        <v>6100</v>
      </c>
      <c r="N2401">
        <v>5</v>
      </c>
      <c r="O2401" t="s">
        <v>6101</v>
      </c>
      <c r="P2401" t="s">
        <v>6110</v>
      </c>
      <c r="Q2401">
        <v>4</v>
      </c>
      <c r="R2401">
        <v>2026</v>
      </c>
      <c r="S2401" t="s">
        <v>6099</v>
      </c>
      <c r="T2401">
        <v>1</v>
      </c>
      <c r="U2401" t="s">
        <v>6021</v>
      </c>
      <c r="V2401">
        <v>1</v>
      </c>
    </row>
    <row r="2402" spans="1:22" x14ac:dyDescent="0.3">
      <c r="A2402" t="s">
        <v>2417</v>
      </c>
      <c r="B2402" s="2">
        <v>46126.415277777778</v>
      </c>
      <c r="C2402" s="2">
        <v>46126.631944444445</v>
      </c>
      <c r="D2402" t="s">
        <v>6023</v>
      </c>
      <c r="E2402" t="s">
        <v>6029</v>
      </c>
      <c r="F2402" t="s">
        <v>6035</v>
      </c>
      <c r="G2402" t="s">
        <v>6051</v>
      </c>
      <c r="H2402" t="s">
        <v>6097</v>
      </c>
      <c r="I2402">
        <v>4</v>
      </c>
      <c r="J2402">
        <v>5.2</v>
      </c>
      <c r="K2402" t="s">
        <v>6099</v>
      </c>
      <c r="L2402" t="s">
        <v>6100</v>
      </c>
      <c r="M2402" t="s">
        <v>6099</v>
      </c>
      <c r="O2402" t="s">
        <v>6101</v>
      </c>
      <c r="P2402" t="s">
        <v>6110</v>
      </c>
      <c r="Q2402">
        <v>4</v>
      </c>
      <c r="R2402">
        <v>2026</v>
      </c>
      <c r="S2402" t="s">
        <v>6100</v>
      </c>
      <c r="T2402">
        <v>0</v>
      </c>
      <c r="U2402" t="s">
        <v>6018</v>
      </c>
      <c r="V2402">
        <v>1</v>
      </c>
    </row>
    <row r="2403" spans="1:22" x14ac:dyDescent="0.3">
      <c r="A2403" t="s">
        <v>2418</v>
      </c>
      <c r="B2403" s="2">
        <v>46126.417361111111</v>
      </c>
      <c r="C2403" s="2">
        <v>46126.763194444444</v>
      </c>
      <c r="D2403" t="s">
        <v>6022</v>
      </c>
      <c r="E2403" t="s">
        <v>6029</v>
      </c>
      <c r="F2403" t="s">
        <v>6034</v>
      </c>
      <c r="G2403" t="s">
        <v>6054</v>
      </c>
      <c r="H2403" t="s">
        <v>6096</v>
      </c>
      <c r="I2403">
        <v>24</v>
      </c>
      <c r="J2403">
        <v>8.3000000000000007</v>
      </c>
      <c r="K2403" t="s">
        <v>6100</v>
      </c>
      <c r="L2403" t="s">
        <v>6100</v>
      </c>
      <c r="M2403" t="s">
        <v>6100</v>
      </c>
      <c r="N2403">
        <v>4</v>
      </c>
      <c r="O2403" t="s">
        <v>6101</v>
      </c>
      <c r="P2403" t="s">
        <v>6110</v>
      </c>
      <c r="Q2403">
        <v>4</v>
      </c>
      <c r="R2403">
        <v>2026</v>
      </c>
      <c r="S2403" t="s">
        <v>6099</v>
      </c>
      <c r="T2403">
        <v>1</v>
      </c>
      <c r="U2403" t="s">
        <v>6021</v>
      </c>
      <c r="V2403">
        <v>0</v>
      </c>
    </row>
    <row r="2404" spans="1:22" x14ac:dyDescent="0.3">
      <c r="A2404" t="s">
        <v>2419</v>
      </c>
      <c r="B2404" s="2">
        <v>46126.42291666667</v>
      </c>
      <c r="C2404" s="2">
        <v>46126.689583333333</v>
      </c>
      <c r="D2404" t="s">
        <v>6022</v>
      </c>
      <c r="E2404" t="s">
        <v>6029</v>
      </c>
      <c r="F2404" t="s">
        <v>6034</v>
      </c>
      <c r="G2404" t="s">
        <v>6067</v>
      </c>
      <c r="H2404" t="s">
        <v>6098</v>
      </c>
      <c r="I2404">
        <v>24</v>
      </c>
      <c r="J2404">
        <v>6.4</v>
      </c>
      <c r="K2404" t="s">
        <v>6099</v>
      </c>
      <c r="L2404" t="s">
        <v>6100</v>
      </c>
      <c r="M2404" t="s">
        <v>6100</v>
      </c>
      <c r="N2404">
        <v>4</v>
      </c>
      <c r="O2404" t="s">
        <v>6101</v>
      </c>
      <c r="P2404" t="s">
        <v>6110</v>
      </c>
      <c r="Q2404">
        <v>4</v>
      </c>
      <c r="R2404">
        <v>2026</v>
      </c>
      <c r="S2404" t="s">
        <v>6099</v>
      </c>
      <c r="T2404">
        <v>1</v>
      </c>
      <c r="U2404" t="s">
        <v>6020</v>
      </c>
      <c r="V2404">
        <v>1</v>
      </c>
    </row>
    <row r="2405" spans="1:22" x14ac:dyDescent="0.3">
      <c r="A2405" t="s">
        <v>2420</v>
      </c>
      <c r="B2405" s="2">
        <v>46126.434027777781</v>
      </c>
      <c r="C2405" s="2">
        <v>46126.725694444445</v>
      </c>
      <c r="D2405" t="s">
        <v>6027</v>
      </c>
      <c r="E2405" t="s">
        <v>6029</v>
      </c>
      <c r="F2405" t="s">
        <v>6034</v>
      </c>
      <c r="G2405" t="s">
        <v>6089</v>
      </c>
      <c r="H2405" t="s">
        <v>6098</v>
      </c>
      <c r="I2405">
        <v>24</v>
      </c>
      <c r="J2405">
        <v>7</v>
      </c>
      <c r="K2405" t="s">
        <v>6099</v>
      </c>
      <c r="L2405" t="s">
        <v>6100</v>
      </c>
      <c r="M2405" t="s">
        <v>6100</v>
      </c>
      <c r="N2405">
        <v>5</v>
      </c>
      <c r="O2405" t="s">
        <v>6101</v>
      </c>
      <c r="P2405" t="s">
        <v>6110</v>
      </c>
      <c r="Q2405">
        <v>4</v>
      </c>
      <c r="R2405">
        <v>2026</v>
      </c>
      <c r="S2405" t="s">
        <v>6099</v>
      </c>
      <c r="T2405">
        <v>1</v>
      </c>
      <c r="U2405" t="s">
        <v>6020</v>
      </c>
      <c r="V2405">
        <v>1</v>
      </c>
    </row>
    <row r="2406" spans="1:22" x14ac:dyDescent="0.3">
      <c r="A2406" t="s">
        <v>2421</v>
      </c>
      <c r="B2406" s="2">
        <v>46126.460416666669</v>
      </c>
      <c r="C2406" s="2">
        <v>46127.331250000003</v>
      </c>
      <c r="D2406" t="s">
        <v>6022</v>
      </c>
      <c r="E2406" t="s">
        <v>6032</v>
      </c>
      <c r="F2406" t="s">
        <v>6034</v>
      </c>
      <c r="G2406" t="s">
        <v>6079</v>
      </c>
      <c r="H2406" t="s">
        <v>6097</v>
      </c>
      <c r="I2406">
        <v>24</v>
      </c>
      <c r="J2406">
        <v>20.9</v>
      </c>
      <c r="K2406" t="s">
        <v>6099</v>
      </c>
      <c r="L2406" t="s">
        <v>6100</v>
      </c>
      <c r="M2406" t="s">
        <v>6100</v>
      </c>
      <c r="N2406">
        <v>4</v>
      </c>
      <c r="O2406" t="s">
        <v>6101</v>
      </c>
      <c r="P2406" t="s">
        <v>6110</v>
      </c>
      <c r="Q2406">
        <v>4</v>
      </c>
      <c r="R2406">
        <v>2026</v>
      </c>
      <c r="S2406" t="s">
        <v>6099</v>
      </c>
      <c r="T2406">
        <v>1</v>
      </c>
      <c r="U2406" t="s">
        <v>6020</v>
      </c>
      <c r="V2406">
        <v>1</v>
      </c>
    </row>
    <row r="2407" spans="1:22" x14ac:dyDescent="0.3">
      <c r="A2407" t="s">
        <v>2422</v>
      </c>
      <c r="B2407" s="2">
        <v>46126.464583333334</v>
      </c>
      <c r="C2407" s="2">
        <v>46126.806250000001</v>
      </c>
      <c r="D2407" t="s">
        <v>6023</v>
      </c>
      <c r="E2407" t="s">
        <v>6029</v>
      </c>
      <c r="F2407" t="s">
        <v>6033</v>
      </c>
      <c r="G2407" t="s">
        <v>6052</v>
      </c>
      <c r="H2407" t="s">
        <v>6098</v>
      </c>
      <c r="I2407">
        <v>72</v>
      </c>
      <c r="J2407">
        <v>8.1999999999999993</v>
      </c>
      <c r="K2407" t="s">
        <v>6099</v>
      </c>
      <c r="L2407" t="s">
        <v>6100</v>
      </c>
      <c r="M2407" t="s">
        <v>6100</v>
      </c>
      <c r="N2407">
        <v>4</v>
      </c>
      <c r="O2407" t="s">
        <v>6101</v>
      </c>
      <c r="P2407" t="s">
        <v>6110</v>
      </c>
      <c r="Q2407">
        <v>4</v>
      </c>
      <c r="R2407">
        <v>2026</v>
      </c>
      <c r="S2407" t="s">
        <v>6099</v>
      </c>
      <c r="T2407">
        <v>1</v>
      </c>
      <c r="U2407" t="s">
        <v>6019</v>
      </c>
      <c r="V2407">
        <v>1</v>
      </c>
    </row>
    <row r="2408" spans="1:22" x14ac:dyDescent="0.3">
      <c r="A2408" t="s">
        <v>2423</v>
      </c>
      <c r="B2408" s="2">
        <v>46126.47152777778</v>
      </c>
      <c r="C2408" s="2">
        <v>46127.550694444442</v>
      </c>
      <c r="D2408" t="s">
        <v>6023</v>
      </c>
      <c r="E2408" t="s">
        <v>6032</v>
      </c>
      <c r="F2408" t="s">
        <v>6033</v>
      </c>
      <c r="G2408" t="s">
        <v>6094</v>
      </c>
      <c r="H2408" t="s">
        <v>6098</v>
      </c>
      <c r="I2408">
        <v>72</v>
      </c>
      <c r="J2408">
        <v>25.9</v>
      </c>
      <c r="K2408" t="s">
        <v>6100</v>
      </c>
      <c r="L2408" t="s">
        <v>6099</v>
      </c>
      <c r="M2408" t="s">
        <v>6100</v>
      </c>
      <c r="O2408" t="s">
        <v>6101</v>
      </c>
      <c r="P2408" t="s">
        <v>6110</v>
      </c>
      <c r="Q2408">
        <v>4</v>
      </c>
      <c r="R2408">
        <v>2026</v>
      </c>
      <c r="S2408" t="s">
        <v>6099</v>
      </c>
      <c r="T2408">
        <v>1</v>
      </c>
      <c r="U2408" t="s">
        <v>6019</v>
      </c>
      <c r="V2408">
        <v>0</v>
      </c>
    </row>
    <row r="2409" spans="1:22" x14ac:dyDescent="0.3">
      <c r="A2409" t="s">
        <v>2424</v>
      </c>
      <c r="B2409" s="2">
        <v>46126.472916666666</v>
      </c>
      <c r="C2409" s="2">
        <v>46127.70208333333</v>
      </c>
      <c r="D2409" t="s">
        <v>6022</v>
      </c>
      <c r="E2409" t="s">
        <v>6029</v>
      </c>
      <c r="F2409" t="s">
        <v>6034</v>
      </c>
      <c r="G2409" t="s">
        <v>6052</v>
      </c>
      <c r="H2409" t="s">
        <v>6098</v>
      </c>
      <c r="I2409">
        <v>24</v>
      </c>
      <c r="J2409">
        <v>29.5</v>
      </c>
      <c r="K2409" t="s">
        <v>6099</v>
      </c>
      <c r="L2409" t="s">
        <v>6100</v>
      </c>
      <c r="M2409" t="s">
        <v>6100</v>
      </c>
      <c r="N2409">
        <v>4</v>
      </c>
      <c r="O2409" t="s">
        <v>6101</v>
      </c>
      <c r="P2409" t="s">
        <v>6110</v>
      </c>
      <c r="Q2409">
        <v>4</v>
      </c>
      <c r="R2409">
        <v>2026</v>
      </c>
      <c r="S2409" t="s">
        <v>6100</v>
      </c>
      <c r="T2409">
        <v>0</v>
      </c>
      <c r="U2409" t="s">
        <v>6017</v>
      </c>
      <c r="V2409">
        <v>1</v>
      </c>
    </row>
    <row r="2410" spans="1:22" x14ac:dyDescent="0.3">
      <c r="A2410" t="s">
        <v>2425</v>
      </c>
      <c r="B2410" s="2">
        <v>46126.477777777778</v>
      </c>
      <c r="C2410" s="2">
        <v>46127.036111111112</v>
      </c>
      <c r="D2410" t="s">
        <v>6025</v>
      </c>
      <c r="E2410" t="s">
        <v>6030</v>
      </c>
      <c r="F2410" t="s">
        <v>6034</v>
      </c>
      <c r="G2410" t="s">
        <v>6048</v>
      </c>
      <c r="H2410" t="s">
        <v>6096</v>
      </c>
      <c r="I2410">
        <v>24</v>
      </c>
      <c r="J2410">
        <v>13.4</v>
      </c>
      <c r="K2410" t="s">
        <v>6099</v>
      </c>
      <c r="L2410" t="s">
        <v>6100</v>
      </c>
      <c r="M2410" t="s">
        <v>6100</v>
      </c>
      <c r="O2410" t="s">
        <v>6101</v>
      </c>
      <c r="P2410" t="s">
        <v>6110</v>
      </c>
      <c r="Q2410">
        <v>4</v>
      </c>
      <c r="R2410">
        <v>2026</v>
      </c>
      <c r="S2410" t="s">
        <v>6099</v>
      </c>
      <c r="T2410">
        <v>1</v>
      </c>
      <c r="U2410" t="s">
        <v>6020</v>
      </c>
      <c r="V2410">
        <v>1</v>
      </c>
    </row>
    <row r="2411" spans="1:22" x14ac:dyDescent="0.3">
      <c r="A2411" t="s">
        <v>2426</v>
      </c>
      <c r="B2411" s="2">
        <v>46126.490972222222</v>
      </c>
      <c r="C2411" s="2">
        <v>46126.940972222219</v>
      </c>
      <c r="D2411" t="s">
        <v>6028</v>
      </c>
      <c r="E2411" t="s">
        <v>6031</v>
      </c>
      <c r="F2411" t="s">
        <v>6035</v>
      </c>
      <c r="G2411" t="s">
        <v>6060</v>
      </c>
      <c r="H2411" t="s">
        <v>6097</v>
      </c>
      <c r="I2411">
        <v>4</v>
      </c>
      <c r="J2411">
        <v>10.8</v>
      </c>
      <c r="K2411" t="s">
        <v>6099</v>
      </c>
      <c r="L2411" t="s">
        <v>6100</v>
      </c>
      <c r="M2411" t="s">
        <v>6100</v>
      </c>
      <c r="N2411">
        <v>4</v>
      </c>
      <c r="O2411" t="s">
        <v>6101</v>
      </c>
      <c r="P2411" t="s">
        <v>6110</v>
      </c>
      <c r="Q2411">
        <v>4</v>
      </c>
      <c r="R2411">
        <v>2026</v>
      </c>
      <c r="S2411" t="s">
        <v>6100</v>
      </c>
      <c r="T2411">
        <v>0</v>
      </c>
      <c r="U2411" t="s">
        <v>6018</v>
      </c>
      <c r="V2411">
        <v>1</v>
      </c>
    </row>
    <row r="2412" spans="1:22" x14ac:dyDescent="0.3">
      <c r="A2412" t="s">
        <v>2427</v>
      </c>
      <c r="B2412" s="2">
        <v>46126.506944444445</v>
      </c>
      <c r="C2412" s="2">
        <v>46127.356944444444</v>
      </c>
      <c r="D2412" t="s">
        <v>6024</v>
      </c>
      <c r="E2412" t="s">
        <v>6031</v>
      </c>
      <c r="F2412" t="s">
        <v>6034</v>
      </c>
      <c r="G2412" t="s">
        <v>6039</v>
      </c>
      <c r="H2412" t="s">
        <v>6097</v>
      </c>
      <c r="I2412">
        <v>24</v>
      </c>
      <c r="J2412">
        <v>20.399999999999999</v>
      </c>
      <c r="K2412" t="s">
        <v>6099</v>
      </c>
      <c r="L2412" t="s">
        <v>6100</v>
      </c>
      <c r="M2412" t="s">
        <v>6100</v>
      </c>
      <c r="N2412">
        <v>5</v>
      </c>
      <c r="O2412" t="s">
        <v>6101</v>
      </c>
      <c r="P2412" t="s">
        <v>6110</v>
      </c>
      <c r="Q2412">
        <v>4</v>
      </c>
      <c r="R2412">
        <v>2026</v>
      </c>
      <c r="S2412" t="s">
        <v>6099</v>
      </c>
      <c r="T2412">
        <v>1</v>
      </c>
      <c r="U2412" t="s">
        <v>6018</v>
      </c>
      <c r="V2412">
        <v>1</v>
      </c>
    </row>
    <row r="2413" spans="1:22" x14ac:dyDescent="0.3">
      <c r="A2413" t="s">
        <v>2428</v>
      </c>
      <c r="B2413" s="2">
        <v>46126.520138888889</v>
      </c>
      <c r="C2413" s="2">
        <v>46128.345138888886</v>
      </c>
      <c r="D2413" t="s">
        <v>6028</v>
      </c>
      <c r="E2413" t="s">
        <v>6031</v>
      </c>
      <c r="F2413" t="s">
        <v>6034</v>
      </c>
      <c r="G2413" t="s">
        <v>6045</v>
      </c>
      <c r="H2413" t="s">
        <v>6096</v>
      </c>
      <c r="I2413">
        <v>24</v>
      </c>
      <c r="J2413">
        <v>43.8</v>
      </c>
      <c r="K2413" t="s">
        <v>6099</v>
      </c>
      <c r="L2413" t="s">
        <v>6100</v>
      </c>
      <c r="M2413" t="s">
        <v>6099</v>
      </c>
      <c r="N2413">
        <v>3</v>
      </c>
      <c r="O2413" t="s">
        <v>6101</v>
      </c>
      <c r="P2413" t="s">
        <v>6110</v>
      </c>
      <c r="Q2413">
        <v>4</v>
      </c>
      <c r="R2413">
        <v>2026</v>
      </c>
      <c r="S2413" t="s">
        <v>6100</v>
      </c>
      <c r="T2413">
        <v>0</v>
      </c>
      <c r="U2413" t="s">
        <v>6018</v>
      </c>
      <c r="V2413">
        <v>1</v>
      </c>
    </row>
    <row r="2414" spans="1:22" x14ac:dyDescent="0.3">
      <c r="A2414" t="s">
        <v>2429</v>
      </c>
      <c r="B2414" s="2">
        <v>46126.535416666666</v>
      </c>
      <c r="C2414" s="2">
        <v>46127.01458333333</v>
      </c>
      <c r="D2414" t="s">
        <v>6023</v>
      </c>
      <c r="E2414" t="s">
        <v>6029</v>
      </c>
      <c r="F2414" t="s">
        <v>6033</v>
      </c>
      <c r="G2414" t="s">
        <v>6088</v>
      </c>
      <c r="H2414" t="s">
        <v>6097</v>
      </c>
      <c r="I2414">
        <v>72</v>
      </c>
      <c r="J2414">
        <v>11.5</v>
      </c>
      <c r="K2414" t="s">
        <v>6099</v>
      </c>
      <c r="L2414" t="s">
        <v>6100</v>
      </c>
      <c r="M2414" t="s">
        <v>6100</v>
      </c>
      <c r="N2414">
        <v>5</v>
      </c>
      <c r="O2414" t="s">
        <v>6101</v>
      </c>
      <c r="P2414" t="s">
        <v>6110</v>
      </c>
      <c r="Q2414">
        <v>4</v>
      </c>
      <c r="R2414">
        <v>2026</v>
      </c>
      <c r="S2414" t="s">
        <v>6099</v>
      </c>
      <c r="T2414">
        <v>1</v>
      </c>
      <c r="U2414" t="s">
        <v>6019</v>
      </c>
      <c r="V2414">
        <v>1</v>
      </c>
    </row>
    <row r="2415" spans="1:22" x14ac:dyDescent="0.3">
      <c r="A2415" t="s">
        <v>2430</v>
      </c>
      <c r="B2415" s="2">
        <v>46126.582638888889</v>
      </c>
      <c r="C2415" s="2">
        <v>46128.199305555558</v>
      </c>
      <c r="D2415" t="s">
        <v>6022</v>
      </c>
      <c r="E2415" t="s">
        <v>6031</v>
      </c>
      <c r="F2415" t="s">
        <v>6034</v>
      </c>
      <c r="G2415" t="s">
        <v>6059</v>
      </c>
      <c r="H2415" t="s">
        <v>6097</v>
      </c>
      <c r="I2415">
        <v>24</v>
      </c>
      <c r="J2415">
        <v>38.799999999999997</v>
      </c>
      <c r="K2415" t="s">
        <v>6099</v>
      </c>
      <c r="L2415" t="s">
        <v>6100</v>
      </c>
      <c r="M2415" t="s">
        <v>6100</v>
      </c>
      <c r="N2415">
        <v>4</v>
      </c>
      <c r="O2415" t="s">
        <v>6101</v>
      </c>
      <c r="P2415" t="s">
        <v>6110</v>
      </c>
      <c r="Q2415">
        <v>4</v>
      </c>
      <c r="R2415">
        <v>2026</v>
      </c>
      <c r="S2415" t="s">
        <v>6100</v>
      </c>
      <c r="T2415">
        <v>0</v>
      </c>
      <c r="U2415" t="s">
        <v>6020</v>
      </c>
      <c r="V2415">
        <v>1</v>
      </c>
    </row>
    <row r="2416" spans="1:22" x14ac:dyDescent="0.3">
      <c r="A2416" t="s">
        <v>2431</v>
      </c>
      <c r="B2416" s="2">
        <v>46126.605555555558</v>
      </c>
      <c r="C2416" s="2">
        <v>46126.826388888891</v>
      </c>
      <c r="D2416" t="s">
        <v>6022</v>
      </c>
      <c r="E2416" t="s">
        <v>6030</v>
      </c>
      <c r="F2416" t="s">
        <v>6034</v>
      </c>
      <c r="G2416" t="s">
        <v>6071</v>
      </c>
      <c r="H2416" t="s">
        <v>6098</v>
      </c>
      <c r="I2416">
        <v>24</v>
      </c>
      <c r="J2416">
        <v>5.3</v>
      </c>
      <c r="K2416" t="s">
        <v>6100</v>
      </c>
      <c r="L2416" t="s">
        <v>6100</v>
      </c>
      <c r="M2416" t="s">
        <v>6100</v>
      </c>
      <c r="O2416" t="s">
        <v>6101</v>
      </c>
      <c r="P2416" t="s">
        <v>6110</v>
      </c>
      <c r="Q2416">
        <v>4</v>
      </c>
      <c r="R2416">
        <v>2026</v>
      </c>
      <c r="S2416" t="s">
        <v>6099</v>
      </c>
      <c r="T2416">
        <v>1</v>
      </c>
      <c r="U2416" t="s">
        <v>6017</v>
      </c>
      <c r="V2416">
        <v>0</v>
      </c>
    </row>
    <row r="2417" spans="1:22" x14ac:dyDescent="0.3">
      <c r="A2417" t="s">
        <v>2432</v>
      </c>
      <c r="B2417" s="2">
        <v>46126.616666666669</v>
      </c>
      <c r="C2417" s="2">
        <v>46127.708333333336</v>
      </c>
      <c r="D2417" t="s">
        <v>6025</v>
      </c>
      <c r="E2417" t="s">
        <v>6031</v>
      </c>
      <c r="F2417" t="s">
        <v>6034</v>
      </c>
      <c r="G2417" t="s">
        <v>6061</v>
      </c>
      <c r="H2417" t="s">
        <v>6096</v>
      </c>
      <c r="I2417">
        <v>24</v>
      </c>
      <c r="J2417">
        <v>26.2</v>
      </c>
      <c r="K2417" t="s">
        <v>6099</v>
      </c>
      <c r="L2417" t="s">
        <v>6100</v>
      </c>
      <c r="M2417" t="s">
        <v>6100</v>
      </c>
      <c r="N2417">
        <v>5</v>
      </c>
      <c r="O2417" t="s">
        <v>6101</v>
      </c>
      <c r="P2417" t="s">
        <v>6110</v>
      </c>
      <c r="Q2417">
        <v>4</v>
      </c>
      <c r="R2417">
        <v>2026</v>
      </c>
      <c r="S2417" t="s">
        <v>6100</v>
      </c>
      <c r="T2417">
        <v>0</v>
      </c>
      <c r="U2417" t="s">
        <v>6021</v>
      </c>
      <c r="V2417">
        <v>1</v>
      </c>
    </row>
    <row r="2418" spans="1:22" x14ac:dyDescent="0.3">
      <c r="A2418" t="s">
        <v>2433</v>
      </c>
      <c r="B2418" s="2">
        <v>46126.620833333334</v>
      </c>
      <c r="C2418" s="2">
        <v>46127.304166666669</v>
      </c>
      <c r="D2418" t="s">
        <v>6028</v>
      </c>
      <c r="E2418" t="s">
        <v>6031</v>
      </c>
      <c r="F2418" t="s">
        <v>6035</v>
      </c>
      <c r="G2418" t="s">
        <v>6036</v>
      </c>
      <c r="H2418" t="s">
        <v>6096</v>
      </c>
      <c r="I2418">
        <v>4</v>
      </c>
      <c r="J2418">
        <v>16.399999999999999</v>
      </c>
      <c r="K2418" t="s">
        <v>6100</v>
      </c>
      <c r="L2418" t="s">
        <v>6099</v>
      </c>
      <c r="M2418" t="s">
        <v>6100</v>
      </c>
      <c r="O2418" t="s">
        <v>6101</v>
      </c>
      <c r="P2418" t="s">
        <v>6110</v>
      </c>
      <c r="Q2418">
        <v>4</v>
      </c>
      <c r="R2418">
        <v>2026</v>
      </c>
      <c r="S2418" t="s">
        <v>6100</v>
      </c>
      <c r="T2418">
        <v>0</v>
      </c>
      <c r="U2418" t="s">
        <v>6017</v>
      </c>
      <c r="V2418">
        <v>0</v>
      </c>
    </row>
    <row r="2419" spans="1:22" x14ac:dyDescent="0.3">
      <c r="A2419" t="s">
        <v>2434</v>
      </c>
      <c r="B2419" s="2">
        <v>46126.646527777775</v>
      </c>
      <c r="C2419" s="2">
        <v>46127.150694444441</v>
      </c>
      <c r="D2419" t="s">
        <v>6022</v>
      </c>
      <c r="E2419" t="s">
        <v>6030</v>
      </c>
      <c r="F2419" t="s">
        <v>6033</v>
      </c>
      <c r="G2419" t="s">
        <v>6045</v>
      </c>
      <c r="H2419" t="s">
        <v>6096</v>
      </c>
      <c r="I2419">
        <v>72</v>
      </c>
      <c r="J2419">
        <v>12.1</v>
      </c>
      <c r="K2419" t="s">
        <v>6099</v>
      </c>
      <c r="L2419" t="s">
        <v>6100</v>
      </c>
      <c r="M2419" t="s">
        <v>6100</v>
      </c>
      <c r="N2419">
        <v>5</v>
      </c>
      <c r="O2419" t="s">
        <v>6101</v>
      </c>
      <c r="P2419" t="s">
        <v>6110</v>
      </c>
      <c r="Q2419">
        <v>4</v>
      </c>
      <c r="R2419">
        <v>2026</v>
      </c>
      <c r="S2419" t="s">
        <v>6099</v>
      </c>
      <c r="T2419">
        <v>1</v>
      </c>
      <c r="U2419" t="s">
        <v>6018</v>
      </c>
      <c r="V2419">
        <v>1</v>
      </c>
    </row>
    <row r="2420" spans="1:22" x14ac:dyDescent="0.3">
      <c r="A2420" t="s">
        <v>2435</v>
      </c>
      <c r="B2420" s="2">
        <v>46126.668749999997</v>
      </c>
      <c r="C2420" s="2">
        <v>46129.793749999997</v>
      </c>
      <c r="D2420" t="s">
        <v>6026</v>
      </c>
      <c r="E2420" t="s">
        <v>6031</v>
      </c>
      <c r="F2420" t="s">
        <v>6034</v>
      </c>
      <c r="G2420" t="s">
        <v>6081</v>
      </c>
      <c r="H2420" t="s">
        <v>6098</v>
      </c>
      <c r="I2420">
        <v>24</v>
      </c>
      <c r="J2420">
        <v>75</v>
      </c>
      <c r="K2420" t="s">
        <v>6100</v>
      </c>
      <c r="L2420" t="s">
        <v>6100</v>
      </c>
      <c r="M2420" t="s">
        <v>6100</v>
      </c>
      <c r="O2420" t="s">
        <v>6101</v>
      </c>
      <c r="P2420" t="s">
        <v>6110</v>
      </c>
      <c r="Q2420">
        <v>4</v>
      </c>
      <c r="R2420">
        <v>2026</v>
      </c>
      <c r="S2420" t="s">
        <v>6100</v>
      </c>
      <c r="T2420">
        <v>0</v>
      </c>
      <c r="U2420" t="s">
        <v>6017</v>
      </c>
      <c r="V2420">
        <v>0</v>
      </c>
    </row>
    <row r="2421" spans="1:22" x14ac:dyDescent="0.3">
      <c r="A2421" t="s">
        <v>2436</v>
      </c>
      <c r="B2421" s="2">
        <v>46126.787499999999</v>
      </c>
      <c r="C2421" s="2">
        <v>46126.875</v>
      </c>
      <c r="D2421" t="s">
        <v>6027</v>
      </c>
      <c r="E2421" t="s">
        <v>6029</v>
      </c>
      <c r="F2421" t="s">
        <v>6034</v>
      </c>
      <c r="G2421" t="s">
        <v>6049</v>
      </c>
      <c r="H2421" t="s">
        <v>6097</v>
      </c>
      <c r="I2421">
        <v>24</v>
      </c>
      <c r="J2421">
        <v>2.1</v>
      </c>
      <c r="K2421" t="s">
        <v>6099</v>
      </c>
      <c r="L2421" t="s">
        <v>6100</v>
      </c>
      <c r="M2421" t="s">
        <v>6100</v>
      </c>
      <c r="O2421" t="s">
        <v>6101</v>
      </c>
      <c r="P2421" t="s">
        <v>6110</v>
      </c>
      <c r="Q2421">
        <v>4</v>
      </c>
      <c r="R2421">
        <v>2026</v>
      </c>
      <c r="S2421" t="s">
        <v>6099</v>
      </c>
      <c r="T2421">
        <v>1</v>
      </c>
      <c r="U2421" t="s">
        <v>6020</v>
      </c>
      <c r="V2421">
        <v>1</v>
      </c>
    </row>
    <row r="2422" spans="1:22" x14ac:dyDescent="0.3">
      <c r="A2422" t="s">
        <v>2437</v>
      </c>
      <c r="B2422" s="2">
        <v>46126.818749999999</v>
      </c>
      <c r="C2422" s="2">
        <v>46127.535416666666</v>
      </c>
      <c r="D2422" t="s">
        <v>6024</v>
      </c>
      <c r="E2422" t="s">
        <v>6032</v>
      </c>
      <c r="F2422" t="s">
        <v>6033</v>
      </c>
      <c r="G2422" t="s">
        <v>6051</v>
      </c>
      <c r="H2422" t="s">
        <v>6097</v>
      </c>
      <c r="I2422">
        <v>72</v>
      </c>
      <c r="J2422">
        <v>17.2</v>
      </c>
      <c r="K2422" t="s">
        <v>6099</v>
      </c>
      <c r="L2422" t="s">
        <v>6100</v>
      </c>
      <c r="M2422" t="s">
        <v>6100</v>
      </c>
      <c r="O2422" t="s">
        <v>6101</v>
      </c>
      <c r="P2422" t="s">
        <v>6110</v>
      </c>
      <c r="Q2422">
        <v>4</v>
      </c>
      <c r="R2422">
        <v>2026</v>
      </c>
      <c r="S2422" t="s">
        <v>6099</v>
      </c>
      <c r="T2422">
        <v>1</v>
      </c>
      <c r="U2422" t="s">
        <v>6017</v>
      </c>
      <c r="V2422">
        <v>1</v>
      </c>
    </row>
    <row r="2423" spans="1:22" x14ac:dyDescent="0.3">
      <c r="A2423" t="s">
        <v>2438</v>
      </c>
      <c r="B2423" s="2">
        <v>46127.276388888888</v>
      </c>
      <c r="C2423" s="2">
        <v>46127.501388888886</v>
      </c>
      <c r="D2423" t="s">
        <v>6027</v>
      </c>
      <c r="E2423" t="s">
        <v>6029</v>
      </c>
      <c r="F2423" t="s">
        <v>6035</v>
      </c>
      <c r="G2423" t="s">
        <v>6067</v>
      </c>
      <c r="H2423" t="s">
        <v>6098</v>
      </c>
      <c r="I2423">
        <v>4</v>
      </c>
      <c r="J2423">
        <v>5.4</v>
      </c>
      <c r="K2423" t="s">
        <v>6099</v>
      </c>
      <c r="L2423" t="s">
        <v>6100</v>
      </c>
      <c r="M2423" t="s">
        <v>6099</v>
      </c>
      <c r="O2423" t="s">
        <v>6101</v>
      </c>
      <c r="P2423" t="s">
        <v>6110</v>
      </c>
      <c r="Q2423">
        <v>4</v>
      </c>
      <c r="R2423">
        <v>2026</v>
      </c>
      <c r="S2423" t="s">
        <v>6100</v>
      </c>
      <c r="T2423">
        <v>0</v>
      </c>
      <c r="U2423" t="s">
        <v>6017</v>
      </c>
      <c r="V2423">
        <v>1</v>
      </c>
    </row>
    <row r="2424" spans="1:22" x14ac:dyDescent="0.3">
      <c r="A2424" t="s">
        <v>2439</v>
      </c>
      <c r="B2424" s="2">
        <v>46127.293749999997</v>
      </c>
      <c r="C2424" s="2">
        <v>46127.70208333333</v>
      </c>
      <c r="D2424" t="s">
        <v>6024</v>
      </c>
      <c r="E2424" t="s">
        <v>6029</v>
      </c>
      <c r="F2424" t="s">
        <v>6033</v>
      </c>
      <c r="G2424" t="s">
        <v>6046</v>
      </c>
      <c r="H2424" t="s">
        <v>6098</v>
      </c>
      <c r="I2424">
        <v>72</v>
      </c>
      <c r="J2424">
        <v>9.8000000000000007</v>
      </c>
      <c r="K2424" t="s">
        <v>6099</v>
      </c>
      <c r="L2424" t="s">
        <v>6100</v>
      </c>
      <c r="M2424" t="s">
        <v>6099</v>
      </c>
      <c r="O2424" t="s">
        <v>6101</v>
      </c>
      <c r="P2424" t="s">
        <v>6110</v>
      </c>
      <c r="Q2424">
        <v>4</v>
      </c>
      <c r="R2424">
        <v>2026</v>
      </c>
      <c r="S2424" t="s">
        <v>6099</v>
      </c>
      <c r="T2424">
        <v>1</v>
      </c>
      <c r="U2424" t="s">
        <v>6017</v>
      </c>
      <c r="V2424">
        <v>1</v>
      </c>
    </row>
    <row r="2425" spans="1:22" x14ac:dyDescent="0.3">
      <c r="A2425" t="s">
        <v>2440</v>
      </c>
      <c r="B2425" s="2">
        <v>46127.294444444444</v>
      </c>
      <c r="C2425" s="2">
        <v>46127.573611111111</v>
      </c>
      <c r="D2425" t="s">
        <v>6028</v>
      </c>
      <c r="E2425" t="s">
        <v>6030</v>
      </c>
      <c r="F2425" t="s">
        <v>6034</v>
      </c>
      <c r="G2425" t="s">
        <v>6036</v>
      </c>
      <c r="H2425" t="s">
        <v>6096</v>
      </c>
      <c r="I2425">
        <v>24</v>
      </c>
      <c r="J2425">
        <v>6.7</v>
      </c>
      <c r="K2425" t="s">
        <v>6099</v>
      </c>
      <c r="L2425" t="s">
        <v>6100</v>
      </c>
      <c r="M2425" t="s">
        <v>6100</v>
      </c>
      <c r="O2425" t="s">
        <v>6101</v>
      </c>
      <c r="P2425" t="s">
        <v>6110</v>
      </c>
      <c r="Q2425">
        <v>4</v>
      </c>
      <c r="R2425">
        <v>2026</v>
      </c>
      <c r="S2425" t="s">
        <v>6099</v>
      </c>
      <c r="T2425">
        <v>1</v>
      </c>
      <c r="U2425" t="s">
        <v>6020</v>
      </c>
      <c r="V2425">
        <v>1</v>
      </c>
    </row>
    <row r="2426" spans="1:22" x14ac:dyDescent="0.3">
      <c r="A2426" t="s">
        <v>2441</v>
      </c>
      <c r="B2426" s="2">
        <v>46127.306250000001</v>
      </c>
      <c r="C2426" s="2">
        <v>46128.185416666667</v>
      </c>
      <c r="D2426" t="s">
        <v>6022</v>
      </c>
      <c r="E2426" t="s">
        <v>6029</v>
      </c>
      <c r="F2426" t="s">
        <v>6033</v>
      </c>
      <c r="G2426" t="s">
        <v>6077</v>
      </c>
      <c r="H2426" t="s">
        <v>6098</v>
      </c>
      <c r="I2426">
        <v>72</v>
      </c>
      <c r="J2426">
        <v>21.1</v>
      </c>
      <c r="K2426" t="s">
        <v>6100</v>
      </c>
      <c r="L2426" t="s">
        <v>6099</v>
      </c>
      <c r="M2426" t="s">
        <v>6100</v>
      </c>
      <c r="N2426">
        <v>3</v>
      </c>
      <c r="O2426" t="s">
        <v>6101</v>
      </c>
      <c r="P2426" t="s">
        <v>6110</v>
      </c>
      <c r="Q2426">
        <v>4</v>
      </c>
      <c r="R2426">
        <v>2026</v>
      </c>
      <c r="S2426" t="s">
        <v>6099</v>
      </c>
      <c r="T2426">
        <v>1</v>
      </c>
      <c r="U2426" t="s">
        <v>6020</v>
      </c>
      <c r="V2426">
        <v>0</v>
      </c>
    </row>
    <row r="2427" spans="1:22" x14ac:dyDescent="0.3">
      <c r="A2427" t="s">
        <v>2442</v>
      </c>
      <c r="B2427" s="2">
        <v>46127.387499999997</v>
      </c>
      <c r="C2427" s="2">
        <v>46127.604166666664</v>
      </c>
      <c r="D2427" t="s">
        <v>6023</v>
      </c>
      <c r="E2427" t="s">
        <v>6029</v>
      </c>
      <c r="F2427" t="s">
        <v>6033</v>
      </c>
      <c r="G2427" t="s">
        <v>6078</v>
      </c>
      <c r="H2427" t="s">
        <v>6097</v>
      </c>
      <c r="I2427">
        <v>72</v>
      </c>
      <c r="J2427">
        <v>5.2</v>
      </c>
      <c r="K2427" t="s">
        <v>6099</v>
      </c>
      <c r="L2427" t="s">
        <v>6100</v>
      </c>
      <c r="M2427" t="s">
        <v>6100</v>
      </c>
      <c r="O2427" t="s">
        <v>6101</v>
      </c>
      <c r="P2427" t="s">
        <v>6110</v>
      </c>
      <c r="Q2427">
        <v>4</v>
      </c>
      <c r="R2427">
        <v>2026</v>
      </c>
      <c r="S2427" t="s">
        <v>6099</v>
      </c>
      <c r="T2427">
        <v>1</v>
      </c>
      <c r="U2427" t="s">
        <v>6017</v>
      </c>
      <c r="V2427">
        <v>1</v>
      </c>
    </row>
    <row r="2428" spans="1:22" x14ac:dyDescent="0.3">
      <c r="A2428" t="s">
        <v>2443</v>
      </c>
      <c r="B2428" s="2">
        <v>46127.393750000003</v>
      </c>
      <c r="C2428" s="2">
        <v>46128.368750000001</v>
      </c>
      <c r="D2428" t="s">
        <v>6022</v>
      </c>
      <c r="E2428" t="s">
        <v>6029</v>
      </c>
      <c r="F2428" t="s">
        <v>6034</v>
      </c>
      <c r="G2428" t="s">
        <v>6063</v>
      </c>
      <c r="H2428" t="s">
        <v>6097</v>
      </c>
      <c r="I2428">
        <v>24</v>
      </c>
      <c r="J2428">
        <v>23.4</v>
      </c>
      <c r="K2428" t="s">
        <v>6099</v>
      </c>
      <c r="L2428" t="s">
        <v>6100</v>
      </c>
      <c r="M2428" t="s">
        <v>6100</v>
      </c>
      <c r="N2428">
        <v>4</v>
      </c>
      <c r="O2428" t="s">
        <v>6101</v>
      </c>
      <c r="P2428" t="s">
        <v>6110</v>
      </c>
      <c r="Q2428">
        <v>4</v>
      </c>
      <c r="R2428">
        <v>2026</v>
      </c>
      <c r="S2428" t="s">
        <v>6099</v>
      </c>
      <c r="T2428">
        <v>1</v>
      </c>
      <c r="U2428" t="s">
        <v>6020</v>
      </c>
      <c r="V2428">
        <v>1</v>
      </c>
    </row>
    <row r="2429" spans="1:22" x14ac:dyDescent="0.3">
      <c r="A2429" t="s">
        <v>2444</v>
      </c>
      <c r="B2429" s="2">
        <v>46127.404166666667</v>
      </c>
      <c r="C2429" s="2">
        <v>46127.679166666669</v>
      </c>
      <c r="D2429" t="s">
        <v>6022</v>
      </c>
      <c r="E2429" t="s">
        <v>6030</v>
      </c>
      <c r="F2429" t="s">
        <v>6034</v>
      </c>
      <c r="G2429" t="s">
        <v>6046</v>
      </c>
      <c r="H2429" t="s">
        <v>6098</v>
      </c>
      <c r="I2429">
        <v>24</v>
      </c>
      <c r="J2429">
        <v>6.6</v>
      </c>
      <c r="K2429" t="s">
        <v>6100</v>
      </c>
      <c r="L2429" t="s">
        <v>6099</v>
      </c>
      <c r="M2429" t="s">
        <v>6100</v>
      </c>
      <c r="N2429">
        <v>4</v>
      </c>
      <c r="O2429" t="s">
        <v>6101</v>
      </c>
      <c r="P2429" t="s">
        <v>6110</v>
      </c>
      <c r="Q2429">
        <v>4</v>
      </c>
      <c r="R2429">
        <v>2026</v>
      </c>
      <c r="S2429" t="s">
        <v>6099</v>
      </c>
      <c r="T2429">
        <v>1</v>
      </c>
      <c r="U2429" t="s">
        <v>6021</v>
      </c>
      <c r="V2429">
        <v>0</v>
      </c>
    </row>
    <row r="2430" spans="1:22" x14ac:dyDescent="0.3">
      <c r="A2430" t="s">
        <v>2445</v>
      </c>
      <c r="B2430" s="2">
        <v>46127.424305555556</v>
      </c>
      <c r="C2430" s="2">
        <v>46127.932638888888</v>
      </c>
      <c r="D2430" t="s">
        <v>6026</v>
      </c>
      <c r="E2430" t="s">
        <v>6031</v>
      </c>
      <c r="F2430" t="s">
        <v>6034</v>
      </c>
      <c r="G2430" t="s">
        <v>6071</v>
      </c>
      <c r="H2430" t="s">
        <v>6098</v>
      </c>
      <c r="I2430">
        <v>24</v>
      </c>
      <c r="J2430">
        <v>12.2</v>
      </c>
      <c r="K2430" t="s">
        <v>6099</v>
      </c>
      <c r="L2430" t="s">
        <v>6100</v>
      </c>
      <c r="M2430" t="s">
        <v>6100</v>
      </c>
      <c r="O2430" t="s">
        <v>6101</v>
      </c>
      <c r="P2430" t="s">
        <v>6110</v>
      </c>
      <c r="Q2430">
        <v>4</v>
      </c>
      <c r="R2430">
        <v>2026</v>
      </c>
      <c r="S2430" t="s">
        <v>6099</v>
      </c>
      <c r="T2430">
        <v>1</v>
      </c>
      <c r="U2430" t="s">
        <v>6018</v>
      </c>
      <c r="V2430">
        <v>1</v>
      </c>
    </row>
    <row r="2431" spans="1:22" x14ac:dyDescent="0.3">
      <c r="A2431" t="s">
        <v>2446</v>
      </c>
      <c r="B2431" s="2">
        <v>46127.432638888888</v>
      </c>
      <c r="C2431" s="2">
        <v>46127.807638888888</v>
      </c>
      <c r="D2431" t="s">
        <v>6028</v>
      </c>
      <c r="E2431" t="s">
        <v>6029</v>
      </c>
      <c r="F2431" t="s">
        <v>6034</v>
      </c>
      <c r="G2431" t="s">
        <v>6047</v>
      </c>
      <c r="H2431" t="s">
        <v>6098</v>
      </c>
      <c r="I2431">
        <v>24</v>
      </c>
      <c r="J2431">
        <v>9</v>
      </c>
      <c r="K2431" t="s">
        <v>6099</v>
      </c>
      <c r="L2431" t="s">
        <v>6100</v>
      </c>
      <c r="M2431" t="s">
        <v>6100</v>
      </c>
      <c r="N2431">
        <v>5</v>
      </c>
      <c r="O2431" t="s">
        <v>6101</v>
      </c>
      <c r="P2431" t="s">
        <v>6110</v>
      </c>
      <c r="Q2431">
        <v>4</v>
      </c>
      <c r="R2431">
        <v>2026</v>
      </c>
      <c r="S2431" t="s">
        <v>6099</v>
      </c>
      <c r="T2431">
        <v>1</v>
      </c>
      <c r="U2431" t="s">
        <v>6018</v>
      </c>
      <c r="V2431">
        <v>1</v>
      </c>
    </row>
    <row r="2432" spans="1:22" x14ac:dyDescent="0.3">
      <c r="A2432" t="s">
        <v>2447</v>
      </c>
      <c r="B2432" s="2">
        <v>46127.445138888892</v>
      </c>
      <c r="C2432" s="2">
        <v>46128.486805555556</v>
      </c>
      <c r="D2432" t="s">
        <v>6025</v>
      </c>
      <c r="E2432" t="s">
        <v>6029</v>
      </c>
      <c r="F2432" t="s">
        <v>6034</v>
      </c>
      <c r="G2432" t="s">
        <v>6059</v>
      </c>
      <c r="H2432" t="s">
        <v>6097</v>
      </c>
      <c r="I2432">
        <v>24</v>
      </c>
      <c r="J2432">
        <v>25</v>
      </c>
      <c r="K2432" t="s">
        <v>6099</v>
      </c>
      <c r="L2432" t="s">
        <v>6100</v>
      </c>
      <c r="M2432" t="s">
        <v>6100</v>
      </c>
      <c r="O2432" t="s">
        <v>6101</v>
      </c>
      <c r="P2432" t="s">
        <v>6110</v>
      </c>
      <c r="Q2432">
        <v>4</v>
      </c>
      <c r="R2432">
        <v>2026</v>
      </c>
      <c r="S2432" t="s">
        <v>6100</v>
      </c>
      <c r="T2432">
        <v>0</v>
      </c>
      <c r="U2432" t="s">
        <v>6019</v>
      </c>
      <c r="V2432">
        <v>1</v>
      </c>
    </row>
    <row r="2433" spans="1:22" x14ac:dyDescent="0.3">
      <c r="A2433" t="s">
        <v>2448</v>
      </c>
      <c r="B2433" s="2">
        <v>46127.478472222225</v>
      </c>
      <c r="C2433" s="2">
        <v>46127.649305555555</v>
      </c>
      <c r="D2433" t="s">
        <v>6027</v>
      </c>
      <c r="E2433" t="s">
        <v>6030</v>
      </c>
      <c r="F2433" t="s">
        <v>6034</v>
      </c>
      <c r="G2433" t="s">
        <v>6064</v>
      </c>
      <c r="H2433" t="s">
        <v>6096</v>
      </c>
      <c r="I2433">
        <v>24</v>
      </c>
      <c r="J2433">
        <v>4.0999999999999996</v>
      </c>
      <c r="K2433" t="s">
        <v>6100</v>
      </c>
      <c r="L2433" t="s">
        <v>6100</v>
      </c>
      <c r="M2433" t="s">
        <v>6100</v>
      </c>
      <c r="O2433" t="s">
        <v>6101</v>
      </c>
      <c r="P2433" t="s">
        <v>6110</v>
      </c>
      <c r="Q2433">
        <v>4</v>
      </c>
      <c r="R2433">
        <v>2026</v>
      </c>
      <c r="S2433" t="s">
        <v>6099</v>
      </c>
      <c r="T2433">
        <v>1</v>
      </c>
      <c r="U2433" t="s">
        <v>6020</v>
      </c>
      <c r="V2433">
        <v>0</v>
      </c>
    </row>
    <row r="2434" spans="1:22" x14ac:dyDescent="0.3">
      <c r="A2434" t="s">
        <v>2449</v>
      </c>
      <c r="B2434" s="2">
        <v>46127.48541666667</v>
      </c>
      <c r="C2434" s="2">
        <v>46128.481249999997</v>
      </c>
      <c r="D2434" t="s">
        <v>6022</v>
      </c>
      <c r="E2434" t="s">
        <v>6032</v>
      </c>
      <c r="F2434" t="s">
        <v>6033</v>
      </c>
      <c r="G2434" t="s">
        <v>6044</v>
      </c>
      <c r="H2434" t="s">
        <v>6097</v>
      </c>
      <c r="I2434">
        <v>72</v>
      </c>
      <c r="J2434">
        <v>23.9</v>
      </c>
      <c r="K2434" t="s">
        <v>6099</v>
      </c>
      <c r="L2434" t="s">
        <v>6100</v>
      </c>
      <c r="M2434" t="s">
        <v>6100</v>
      </c>
      <c r="O2434" t="s">
        <v>6101</v>
      </c>
      <c r="P2434" t="s">
        <v>6110</v>
      </c>
      <c r="Q2434">
        <v>4</v>
      </c>
      <c r="R2434">
        <v>2026</v>
      </c>
      <c r="S2434" t="s">
        <v>6099</v>
      </c>
      <c r="T2434">
        <v>1</v>
      </c>
      <c r="U2434" t="s">
        <v>6018</v>
      </c>
      <c r="V2434">
        <v>1</v>
      </c>
    </row>
    <row r="2435" spans="1:22" x14ac:dyDescent="0.3">
      <c r="A2435" t="s">
        <v>2450</v>
      </c>
      <c r="B2435" s="2">
        <v>46127.490277777775</v>
      </c>
      <c r="C2435" s="2">
        <v>46127.786111111112</v>
      </c>
      <c r="D2435" t="s">
        <v>6027</v>
      </c>
      <c r="E2435" t="s">
        <v>6030</v>
      </c>
      <c r="F2435" t="s">
        <v>6034</v>
      </c>
      <c r="G2435" t="s">
        <v>6037</v>
      </c>
      <c r="H2435" t="s">
        <v>6096</v>
      </c>
      <c r="I2435">
        <v>24</v>
      </c>
      <c r="J2435">
        <v>7.1</v>
      </c>
      <c r="K2435" t="s">
        <v>6100</v>
      </c>
      <c r="L2435" t="s">
        <v>6099</v>
      </c>
      <c r="M2435" t="s">
        <v>6100</v>
      </c>
      <c r="O2435" t="s">
        <v>6101</v>
      </c>
      <c r="P2435" t="s">
        <v>6110</v>
      </c>
      <c r="Q2435">
        <v>4</v>
      </c>
      <c r="R2435">
        <v>2026</v>
      </c>
      <c r="S2435" t="s">
        <v>6099</v>
      </c>
      <c r="T2435">
        <v>1</v>
      </c>
      <c r="U2435" t="s">
        <v>6020</v>
      </c>
      <c r="V2435">
        <v>0</v>
      </c>
    </row>
    <row r="2436" spans="1:22" x14ac:dyDescent="0.3">
      <c r="A2436" t="s">
        <v>2451</v>
      </c>
      <c r="B2436" s="2">
        <v>46127.504861111112</v>
      </c>
      <c r="C2436" s="2">
        <v>46129.917361111111</v>
      </c>
      <c r="D2436" t="s">
        <v>6026</v>
      </c>
      <c r="E2436" t="s">
        <v>6031</v>
      </c>
      <c r="F2436" t="s">
        <v>6034</v>
      </c>
      <c r="G2436" t="s">
        <v>6051</v>
      </c>
      <c r="H2436" t="s">
        <v>6097</v>
      </c>
      <c r="I2436">
        <v>24</v>
      </c>
      <c r="J2436">
        <v>57.9</v>
      </c>
      <c r="K2436" t="s">
        <v>6100</v>
      </c>
      <c r="L2436" t="s">
        <v>6099</v>
      </c>
      <c r="M2436" t="s">
        <v>6100</v>
      </c>
      <c r="O2436" t="s">
        <v>6101</v>
      </c>
      <c r="P2436" t="s">
        <v>6110</v>
      </c>
      <c r="Q2436">
        <v>4</v>
      </c>
      <c r="R2436">
        <v>2026</v>
      </c>
      <c r="S2436" t="s">
        <v>6100</v>
      </c>
      <c r="T2436">
        <v>0</v>
      </c>
      <c r="U2436" t="s">
        <v>6019</v>
      </c>
      <c r="V2436">
        <v>0</v>
      </c>
    </row>
    <row r="2437" spans="1:22" x14ac:dyDescent="0.3">
      <c r="A2437" t="s">
        <v>2452</v>
      </c>
      <c r="B2437" s="2">
        <v>46127.515972222223</v>
      </c>
      <c r="C2437" s="2">
        <v>46127.757638888892</v>
      </c>
      <c r="D2437" t="s">
        <v>6022</v>
      </c>
      <c r="E2437" t="s">
        <v>6030</v>
      </c>
      <c r="F2437" t="s">
        <v>6035</v>
      </c>
      <c r="G2437" t="s">
        <v>6093</v>
      </c>
      <c r="H2437" t="s">
        <v>6097</v>
      </c>
      <c r="I2437">
        <v>4</v>
      </c>
      <c r="J2437">
        <v>5.8</v>
      </c>
      <c r="K2437" t="s">
        <v>6099</v>
      </c>
      <c r="L2437" t="s">
        <v>6100</v>
      </c>
      <c r="M2437" t="s">
        <v>6100</v>
      </c>
      <c r="O2437" t="s">
        <v>6101</v>
      </c>
      <c r="P2437" t="s">
        <v>6110</v>
      </c>
      <c r="Q2437">
        <v>4</v>
      </c>
      <c r="R2437">
        <v>2026</v>
      </c>
      <c r="S2437" t="s">
        <v>6100</v>
      </c>
      <c r="T2437">
        <v>0</v>
      </c>
      <c r="U2437" t="s">
        <v>6017</v>
      </c>
      <c r="V2437">
        <v>1</v>
      </c>
    </row>
    <row r="2438" spans="1:22" x14ac:dyDescent="0.3">
      <c r="A2438" t="s">
        <v>2453</v>
      </c>
      <c r="B2438" s="2">
        <v>46127.52847222222</v>
      </c>
      <c r="C2438" s="2">
        <v>46128.436805555553</v>
      </c>
      <c r="D2438" t="s">
        <v>6028</v>
      </c>
      <c r="E2438" t="s">
        <v>6031</v>
      </c>
      <c r="F2438" t="s">
        <v>6035</v>
      </c>
      <c r="G2438" t="s">
        <v>6087</v>
      </c>
      <c r="H2438" t="s">
        <v>6098</v>
      </c>
      <c r="I2438">
        <v>4</v>
      </c>
      <c r="J2438">
        <v>21.8</v>
      </c>
      <c r="K2438" t="s">
        <v>6099</v>
      </c>
      <c r="L2438" t="s">
        <v>6100</v>
      </c>
      <c r="M2438" t="s">
        <v>6100</v>
      </c>
      <c r="O2438" t="s">
        <v>6101</v>
      </c>
      <c r="P2438" t="s">
        <v>6110</v>
      </c>
      <c r="Q2438">
        <v>4</v>
      </c>
      <c r="R2438">
        <v>2026</v>
      </c>
      <c r="S2438" t="s">
        <v>6100</v>
      </c>
      <c r="T2438">
        <v>0</v>
      </c>
      <c r="U2438" t="s">
        <v>6018</v>
      </c>
      <c r="V2438">
        <v>1</v>
      </c>
    </row>
    <row r="2439" spans="1:22" x14ac:dyDescent="0.3">
      <c r="A2439" t="s">
        <v>2454</v>
      </c>
      <c r="B2439" s="2">
        <v>46127.53402777778</v>
      </c>
      <c r="C2439" s="2">
        <v>46128.250694444447</v>
      </c>
      <c r="D2439" t="s">
        <v>6028</v>
      </c>
      <c r="E2439" t="s">
        <v>6031</v>
      </c>
      <c r="F2439" t="s">
        <v>6033</v>
      </c>
      <c r="G2439" t="s">
        <v>6058</v>
      </c>
      <c r="H2439" t="s">
        <v>6098</v>
      </c>
      <c r="I2439">
        <v>72</v>
      </c>
      <c r="J2439">
        <v>17.2</v>
      </c>
      <c r="K2439" t="s">
        <v>6099</v>
      </c>
      <c r="L2439" t="s">
        <v>6100</v>
      </c>
      <c r="M2439" t="s">
        <v>6100</v>
      </c>
      <c r="N2439">
        <v>5</v>
      </c>
      <c r="O2439" t="s">
        <v>6101</v>
      </c>
      <c r="P2439" t="s">
        <v>6110</v>
      </c>
      <c r="Q2439">
        <v>4</v>
      </c>
      <c r="R2439">
        <v>2026</v>
      </c>
      <c r="S2439" t="s">
        <v>6099</v>
      </c>
      <c r="T2439">
        <v>1</v>
      </c>
      <c r="U2439" t="s">
        <v>6019</v>
      </c>
      <c r="V2439">
        <v>1</v>
      </c>
    </row>
    <row r="2440" spans="1:22" x14ac:dyDescent="0.3">
      <c r="A2440" t="s">
        <v>2455</v>
      </c>
      <c r="B2440" s="2">
        <v>46127.54791666667</v>
      </c>
      <c r="C2440" s="2">
        <v>46127.856249999997</v>
      </c>
      <c r="D2440" t="s">
        <v>6028</v>
      </c>
      <c r="E2440" t="s">
        <v>6030</v>
      </c>
      <c r="F2440" t="s">
        <v>6035</v>
      </c>
      <c r="G2440" t="s">
        <v>6061</v>
      </c>
      <c r="H2440" t="s">
        <v>6096</v>
      </c>
      <c r="I2440">
        <v>4</v>
      </c>
      <c r="J2440">
        <v>7.4</v>
      </c>
      <c r="K2440" t="s">
        <v>6100</v>
      </c>
      <c r="L2440" t="s">
        <v>6099</v>
      </c>
      <c r="M2440" t="s">
        <v>6099</v>
      </c>
      <c r="O2440" t="s">
        <v>6101</v>
      </c>
      <c r="P2440" t="s">
        <v>6110</v>
      </c>
      <c r="Q2440">
        <v>4</v>
      </c>
      <c r="R2440">
        <v>2026</v>
      </c>
      <c r="S2440" t="s">
        <v>6100</v>
      </c>
      <c r="T2440">
        <v>0</v>
      </c>
      <c r="U2440" t="s">
        <v>6020</v>
      </c>
      <c r="V2440">
        <v>0</v>
      </c>
    </row>
    <row r="2441" spans="1:22" x14ac:dyDescent="0.3">
      <c r="A2441" t="s">
        <v>2456</v>
      </c>
      <c r="B2441" s="2">
        <v>46127.560416666667</v>
      </c>
      <c r="C2441" s="2">
        <v>46128.064583333333</v>
      </c>
      <c r="D2441" t="s">
        <v>6025</v>
      </c>
      <c r="E2441" t="s">
        <v>6029</v>
      </c>
      <c r="F2441" t="s">
        <v>6034</v>
      </c>
      <c r="G2441" t="s">
        <v>6051</v>
      </c>
      <c r="H2441" t="s">
        <v>6097</v>
      </c>
      <c r="I2441">
        <v>24</v>
      </c>
      <c r="J2441">
        <v>12.1</v>
      </c>
      <c r="K2441" t="s">
        <v>6100</v>
      </c>
      <c r="L2441" t="s">
        <v>6100</v>
      </c>
      <c r="M2441" t="s">
        <v>6100</v>
      </c>
      <c r="N2441">
        <v>5</v>
      </c>
      <c r="O2441" t="s">
        <v>6101</v>
      </c>
      <c r="P2441" t="s">
        <v>6110</v>
      </c>
      <c r="Q2441">
        <v>4</v>
      </c>
      <c r="R2441">
        <v>2026</v>
      </c>
      <c r="S2441" t="s">
        <v>6099</v>
      </c>
      <c r="T2441">
        <v>1</v>
      </c>
      <c r="U2441" t="s">
        <v>6021</v>
      </c>
      <c r="V2441">
        <v>0</v>
      </c>
    </row>
    <row r="2442" spans="1:22" x14ac:dyDescent="0.3">
      <c r="A2442" t="s">
        <v>2457</v>
      </c>
      <c r="B2442" s="2">
        <v>46127.568749999999</v>
      </c>
      <c r="C2442" s="2">
        <v>46128.847916666666</v>
      </c>
      <c r="D2442" t="s">
        <v>6023</v>
      </c>
      <c r="E2442" t="s">
        <v>6032</v>
      </c>
      <c r="F2442" t="s">
        <v>6033</v>
      </c>
      <c r="G2442" t="s">
        <v>6054</v>
      </c>
      <c r="H2442" t="s">
        <v>6096</v>
      </c>
      <c r="I2442">
        <v>72</v>
      </c>
      <c r="J2442">
        <v>30.7</v>
      </c>
      <c r="K2442" t="s">
        <v>6099</v>
      </c>
      <c r="L2442" t="s">
        <v>6100</v>
      </c>
      <c r="M2442" t="s">
        <v>6100</v>
      </c>
      <c r="O2442" t="s">
        <v>6101</v>
      </c>
      <c r="P2442" t="s">
        <v>6110</v>
      </c>
      <c r="Q2442">
        <v>4</v>
      </c>
      <c r="R2442">
        <v>2026</v>
      </c>
      <c r="S2442" t="s">
        <v>6099</v>
      </c>
      <c r="T2442">
        <v>1</v>
      </c>
      <c r="U2442" t="s">
        <v>6020</v>
      </c>
      <c r="V2442">
        <v>1</v>
      </c>
    </row>
    <row r="2443" spans="1:22" x14ac:dyDescent="0.3">
      <c r="A2443" t="s">
        <v>2458</v>
      </c>
      <c r="B2443" s="2">
        <v>46127.57708333333</v>
      </c>
      <c r="C2443" s="2">
        <v>46128.181250000001</v>
      </c>
      <c r="D2443" t="s">
        <v>6023</v>
      </c>
      <c r="E2443" t="s">
        <v>6032</v>
      </c>
      <c r="F2443" t="s">
        <v>6034</v>
      </c>
      <c r="G2443" t="s">
        <v>6052</v>
      </c>
      <c r="H2443" t="s">
        <v>6098</v>
      </c>
      <c r="I2443">
        <v>24</v>
      </c>
      <c r="J2443">
        <v>14.5</v>
      </c>
      <c r="K2443" t="s">
        <v>6099</v>
      </c>
      <c r="L2443" t="s">
        <v>6100</v>
      </c>
      <c r="M2443" t="s">
        <v>6100</v>
      </c>
      <c r="N2443">
        <v>5</v>
      </c>
      <c r="O2443" t="s">
        <v>6101</v>
      </c>
      <c r="P2443" t="s">
        <v>6110</v>
      </c>
      <c r="Q2443">
        <v>4</v>
      </c>
      <c r="R2443">
        <v>2026</v>
      </c>
      <c r="S2443" t="s">
        <v>6099</v>
      </c>
      <c r="T2443">
        <v>1</v>
      </c>
      <c r="U2443" t="s">
        <v>6018</v>
      </c>
      <c r="V2443">
        <v>1</v>
      </c>
    </row>
    <row r="2444" spans="1:22" x14ac:dyDescent="0.3">
      <c r="A2444" t="s">
        <v>2459</v>
      </c>
      <c r="B2444" s="2">
        <v>46127.581250000003</v>
      </c>
      <c r="C2444" s="2">
        <v>46127.972916666666</v>
      </c>
      <c r="D2444" t="s">
        <v>6024</v>
      </c>
      <c r="E2444" t="s">
        <v>6032</v>
      </c>
      <c r="F2444" t="s">
        <v>6033</v>
      </c>
      <c r="G2444" t="s">
        <v>6072</v>
      </c>
      <c r="H2444" t="s">
        <v>6097</v>
      </c>
      <c r="I2444">
        <v>72</v>
      </c>
      <c r="J2444">
        <v>9.4</v>
      </c>
      <c r="K2444" t="s">
        <v>6099</v>
      </c>
      <c r="L2444" t="s">
        <v>6100</v>
      </c>
      <c r="M2444" t="s">
        <v>6099</v>
      </c>
      <c r="O2444" t="s">
        <v>6101</v>
      </c>
      <c r="P2444" t="s">
        <v>6110</v>
      </c>
      <c r="Q2444">
        <v>4</v>
      </c>
      <c r="R2444">
        <v>2026</v>
      </c>
      <c r="S2444" t="s">
        <v>6099</v>
      </c>
      <c r="T2444">
        <v>1</v>
      </c>
      <c r="U2444" t="s">
        <v>6021</v>
      </c>
      <c r="V2444">
        <v>1</v>
      </c>
    </row>
    <row r="2445" spans="1:22" x14ac:dyDescent="0.3">
      <c r="A2445" t="s">
        <v>2460</v>
      </c>
      <c r="B2445" s="2">
        <v>46127.581250000003</v>
      </c>
      <c r="C2445" s="2">
        <v>46127.777083333334</v>
      </c>
      <c r="D2445" t="s">
        <v>6023</v>
      </c>
      <c r="E2445" t="s">
        <v>6029</v>
      </c>
      <c r="F2445" t="s">
        <v>6034</v>
      </c>
      <c r="G2445" t="s">
        <v>6088</v>
      </c>
      <c r="H2445" t="s">
        <v>6097</v>
      </c>
      <c r="I2445">
        <v>24</v>
      </c>
      <c r="J2445">
        <v>4.7</v>
      </c>
      <c r="K2445" t="s">
        <v>6099</v>
      </c>
      <c r="L2445" t="s">
        <v>6100</v>
      </c>
      <c r="M2445" t="s">
        <v>6100</v>
      </c>
      <c r="N2445">
        <v>5</v>
      </c>
      <c r="O2445" t="s">
        <v>6101</v>
      </c>
      <c r="P2445" t="s">
        <v>6110</v>
      </c>
      <c r="Q2445">
        <v>4</v>
      </c>
      <c r="R2445">
        <v>2026</v>
      </c>
      <c r="S2445" t="s">
        <v>6099</v>
      </c>
      <c r="T2445">
        <v>1</v>
      </c>
      <c r="U2445" t="s">
        <v>6017</v>
      </c>
      <c r="V2445">
        <v>1</v>
      </c>
    </row>
    <row r="2446" spans="1:22" x14ac:dyDescent="0.3">
      <c r="A2446" t="s">
        <v>2461</v>
      </c>
      <c r="B2446" s="2">
        <v>46127.592361111114</v>
      </c>
      <c r="C2446" s="2">
        <v>46127.842361111114</v>
      </c>
      <c r="D2446" t="s">
        <v>6028</v>
      </c>
      <c r="E2446" t="s">
        <v>6030</v>
      </c>
      <c r="F2446" t="s">
        <v>6035</v>
      </c>
      <c r="G2446" t="s">
        <v>6045</v>
      </c>
      <c r="H2446" t="s">
        <v>6096</v>
      </c>
      <c r="I2446">
        <v>4</v>
      </c>
      <c r="J2446">
        <v>6</v>
      </c>
      <c r="K2446" t="s">
        <v>6099</v>
      </c>
      <c r="L2446" t="s">
        <v>6100</v>
      </c>
      <c r="M2446" t="s">
        <v>6100</v>
      </c>
      <c r="O2446" t="s">
        <v>6101</v>
      </c>
      <c r="P2446" t="s">
        <v>6110</v>
      </c>
      <c r="Q2446">
        <v>4</v>
      </c>
      <c r="R2446">
        <v>2026</v>
      </c>
      <c r="S2446" t="s">
        <v>6100</v>
      </c>
      <c r="T2446">
        <v>0</v>
      </c>
      <c r="U2446" t="s">
        <v>6020</v>
      </c>
      <c r="V2446">
        <v>1</v>
      </c>
    </row>
    <row r="2447" spans="1:22" x14ac:dyDescent="0.3">
      <c r="A2447" t="s">
        <v>2462</v>
      </c>
      <c r="B2447" s="2">
        <v>46127.595138888886</v>
      </c>
      <c r="C2447" s="2">
        <v>46129.307638888888</v>
      </c>
      <c r="D2447" t="s">
        <v>6027</v>
      </c>
      <c r="E2447" t="s">
        <v>6031</v>
      </c>
      <c r="F2447" t="s">
        <v>6033</v>
      </c>
      <c r="G2447" t="s">
        <v>6093</v>
      </c>
      <c r="H2447" t="s">
        <v>6097</v>
      </c>
      <c r="I2447">
        <v>72</v>
      </c>
      <c r="J2447">
        <v>41.1</v>
      </c>
      <c r="K2447" t="s">
        <v>6099</v>
      </c>
      <c r="L2447" t="s">
        <v>6100</v>
      </c>
      <c r="M2447" t="s">
        <v>6100</v>
      </c>
      <c r="N2447">
        <v>5</v>
      </c>
      <c r="O2447" t="s">
        <v>6101</v>
      </c>
      <c r="P2447" t="s">
        <v>6110</v>
      </c>
      <c r="Q2447">
        <v>4</v>
      </c>
      <c r="R2447">
        <v>2026</v>
      </c>
      <c r="S2447" t="s">
        <v>6099</v>
      </c>
      <c r="T2447">
        <v>1</v>
      </c>
      <c r="U2447" t="s">
        <v>6018</v>
      </c>
      <c r="V2447">
        <v>1</v>
      </c>
    </row>
    <row r="2448" spans="1:22" x14ac:dyDescent="0.3">
      <c r="A2448" t="s">
        <v>2463</v>
      </c>
      <c r="B2448" s="2">
        <v>46127.602083333331</v>
      </c>
      <c r="C2448" s="2">
        <v>46128.631249999999</v>
      </c>
      <c r="D2448" t="s">
        <v>6025</v>
      </c>
      <c r="E2448" t="s">
        <v>6029</v>
      </c>
      <c r="F2448" t="s">
        <v>6033</v>
      </c>
      <c r="G2448" t="s">
        <v>6075</v>
      </c>
      <c r="H2448" t="s">
        <v>6097</v>
      </c>
      <c r="I2448">
        <v>72</v>
      </c>
      <c r="J2448">
        <v>24.7</v>
      </c>
      <c r="K2448" t="s">
        <v>6100</v>
      </c>
      <c r="L2448" t="s">
        <v>6099</v>
      </c>
      <c r="M2448" t="s">
        <v>6100</v>
      </c>
      <c r="N2448">
        <v>4</v>
      </c>
      <c r="O2448" t="s">
        <v>6101</v>
      </c>
      <c r="P2448" t="s">
        <v>6110</v>
      </c>
      <c r="Q2448">
        <v>4</v>
      </c>
      <c r="R2448">
        <v>2026</v>
      </c>
      <c r="S2448" t="s">
        <v>6099</v>
      </c>
      <c r="T2448">
        <v>1</v>
      </c>
      <c r="U2448" t="s">
        <v>6020</v>
      </c>
      <c r="V2448">
        <v>0</v>
      </c>
    </row>
    <row r="2449" spans="1:22" x14ac:dyDescent="0.3">
      <c r="A2449" t="s">
        <v>2464</v>
      </c>
      <c r="B2449" s="2">
        <v>46127.604861111111</v>
      </c>
      <c r="C2449" s="2">
        <v>46130.634027777778</v>
      </c>
      <c r="D2449" t="s">
        <v>6026</v>
      </c>
      <c r="E2449" t="s">
        <v>6031</v>
      </c>
      <c r="F2449" t="s">
        <v>6033</v>
      </c>
      <c r="G2449" t="s">
        <v>6044</v>
      </c>
      <c r="H2449" t="s">
        <v>6097</v>
      </c>
      <c r="I2449">
        <v>72</v>
      </c>
      <c r="J2449">
        <v>72.7</v>
      </c>
      <c r="K2449" t="s">
        <v>6099</v>
      </c>
      <c r="L2449" t="s">
        <v>6100</v>
      </c>
      <c r="M2449" t="s">
        <v>6100</v>
      </c>
      <c r="N2449">
        <v>5</v>
      </c>
      <c r="O2449" t="s">
        <v>6101</v>
      </c>
      <c r="P2449" t="s">
        <v>6110</v>
      </c>
      <c r="Q2449">
        <v>4</v>
      </c>
      <c r="R2449">
        <v>2026</v>
      </c>
      <c r="S2449" t="s">
        <v>6100</v>
      </c>
      <c r="T2449">
        <v>0</v>
      </c>
      <c r="U2449" t="s">
        <v>6021</v>
      </c>
      <c r="V2449">
        <v>1</v>
      </c>
    </row>
    <row r="2450" spans="1:22" x14ac:dyDescent="0.3">
      <c r="A2450" t="s">
        <v>2465</v>
      </c>
      <c r="B2450" s="2">
        <v>46127.609027777777</v>
      </c>
      <c r="C2450" s="2">
        <v>46135.09652777778</v>
      </c>
      <c r="D2450" t="s">
        <v>6026</v>
      </c>
      <c r="E2450" t="s">
        <v>6031</v>
      </c>
      <c r="F2450" t="s">
        <v>6034</v>
      </c>
      <c r="G2450" t="s">
        <v>6090</v>
      </c>
      <c r="H2450" t="s">
        <v>6097</v>
      </c>
      <c r="I2450">
        <v>24</v>
      </c>
      <c r="J2450">
        <v>179.7</v>
      </c>
      <c r="K2450" t="s">
        <v>6099</v>
      </c>
      <c r="L2450" t="s">
        <v>6100</v>
      </c>
      <c r="M2450" t="s">
        <v>6100</v>
      </c>
      <c r="N2450">
        <v>3</v>
      </c>
      <c r="O2450" t="s">
        <v>6101</v>
      </c>
      <c r="P2450" t="s">
        <v>6110</v>
      </c>
      <c r="Q2450">
        <v>4</v>
      </c>
      <c r="R2450">
        <v>2026</v>
      </c>
      <c r="S2450" t="s">
        <v>6100</v>
      </c>
      <c r="T2450">
        <v>0</v>
      </c>
      <c r="U2450" t="s">
        <v>6020</v>
      </c>
      <c r="V2450">
        <v>1</v>
      </c>
    </row>
    <row r="2451" spans="1:22" x14ac:dyDescent="0.3">
      <c r="A2451" t="s">
        <v>2466</v>
      </c>
      <c r="B2451" s="2">
        <v>46127.646527777775</v>
      </c>
      <c r="C2451" s="2">
        <v>46128.067361111112</v>
      </c>
      <c r="D2451" t="s">
        <v>6024</v>
      </c>
      <c r="E2451" t="s">
        <v>6032</v>
      </c>
      <c r="F2451" t="s">
        <v>6034</v>
      </c>
      <c r="G2451" t="s">
        <v>6092</v>
      </c>
      <c r="H2451" t="s">
        <v>6097</v>
      </c>
      <c r="I2451">
        <v>24</v>
      </c>
      <c r="J2451">
        <v>10.1</v>
      </c>
      <c r="K2451" t="s">
        <v>6099</v>
      </c>
      <c r="L2451" t="s">
        <v>6100</v>
      </c>
      <c r="M2451" t="s">
        <v>6100</v>
      </c>
      <c r="N2451">
        <v>3</v>
      </c>
      <c r="O2451" t="s">
        <v>6101</v>
      </c>
      <c r="P2451" t="s">
        <v>6110</v>
      </c>
      <c r="Q2451">
        <v>4</v>
      </c>
      <c r="R2451">
        <v>2026</v>
      </c>
      <c r="S2451" t="s">
        <v>6099</v>
      </c>
      <c r="T2451">
        <v>1</v>
      </c>
      <c r="U2451" t="s">
        <v>6017</v>
      </c>
      <c r="V2451">
        <v>1</v>
      </c>
    </row>
    <row r="2452" spans="1:22" x14ac:dyDescent="0.3">
      <c r="A2452" t="s">
        <v>2467</v>
      </c>
      <c r="B2452" s="2">
        <v>46127.657638888886</v>
      </c>
      <c r="C2452" s="2">
        <v>46128.615972222222</v>
      </c>
      <c r="D2452" t="s">
        <v>6024</v>
      </c>
      <c r="E2452" t="s">
        <v>6030</v>
      </c>
      <c r="F2452" t="s">
        <v>6034</v>
      </c>
      <c r="G2452" t="s">
        <v>6059</v>
      </c>
      <c r="H2452" t="s">
        <v>6097</v>
      </c>
      <c r="I2452">
        <v>24</v>
      </c>
      <c r="J2452">
        <v>23</v>
      </c>
      <c r="K2452" t="s">
        <v>6099</v>
      </c>
      <c r="L2452" t="s">
        <v>6100</v>
      </c>
      <c r="M2452" t="s">
        <v>6100</v>
      </c>
      <c r="N2452">
        <v>5</v>
      </c>
      <c r="O2452" t="s">
        <v>6101</v>
      </c>
      <c r="P2452" t="s">
        <v>6110</v>
      </c>
      <c r="Q2452">
        <v>4</v>
      </c>
      <c r="R2452">
        <v>2026</v>
      </c>
      <c r="S2452" t="s">
        <v>6099</v>
      </c>
      <c r="T2452">
        <v>1</v>
      </c>
      <c r="U2452" t="s">
        <v>6019</v>
      </c>
      <c r="V2452">
        <v>1</v>
      </c>
    </row>
    <row r="2453" spans="1:22" x14ac:dyDescent="0.3">
      <c r="A2453" t="s">
        <v>2468</v>
      </c>
      <c r="B2453" s="2">
        <v>46127.70416666667</v>
      </c>
      <c r="C2453" s="2">
        <v>46127.925000000003</v>
      </c>
      <c r="D2453" t="s">
        <v>6028</v>
      </c>
      <c r="E2453" t="s">
        <v>6029</v>
      </c>
      <c r="F2453" t="s">
        <v>6035</v>
      </c>
      <c r="G2453" t="s">
        <v>6076</v>
      </c>
      <c r="H2453" t="s">
        <v>6097</v>
      </c>
      <c r="I2453">
        <v>4</v>
      </c>
      <c r="J2453">
        <v>5.3</v>
      </c>
      <c r="K2453" t="s">
        <v>6099</v>
      </c>
      <c r="L2453" t="s">
        <v>6100</v>
      </c>
      <c r="M2453" t="s">
        <v>6099</v>
      </c>
      <c r="N2453">
        <v>3</v>
      </c>
      <c r="O2453" t="s">
        <v>6101</v>
      </c>
      <c r="P2453" t="s">
        <v>6110</v>
      </c>
      <c r="Q2453">
        <v>4</v>
      </c>
      <c r="R2453">
        <v>2026</v>
      </c>
      <c r="S2453" t="s">
        <v>6100</v>
      </c>
      <c r="T2453">
        <v>0</v>
      </c>
      <c r="U2453" t="s">
        <v>6018</v>
      </c>
      <c r="V2453">
        <v>1</v>
      </c>
    </row>
    <row r="2454" spans="1:22" x14ac:dyDescent="0.3">
      <c r="A2454" t="s">
        <v>2469</v>
      </c>
      <c r="B2454" s="2">
        <v>46127.806944444441</v>
      </c>
      <c r="C2454" s="2">
        <v>46130.25277777778</v>
      </c>
      <c r="D2454" t="s">
        <v>6022</v>
      </c>
      <c r="E2454" t="s">
        <v>6031</v>
      </c>
      <c r="F2454" t="s">
        <v>6033</v>
      </c>
      <c r="G2454" t="s">
        <v>6064</v>
      </c>
      <c r="H2454" t="s">
        <v>6096</v>
      </c>
      <c r="I2454">
        <v>72</v>
      </c>
      <c r="J2454">
        <v>58.7</v>
      </c>
      <c r="K2454" t="s">
        <v>6099</v>
      </c>
      <c r="L2454" t="s">
        <v>6100</v>
      </c>
      <c r="M2454" t="s">
        <v>6100</v>
      </c>
      <c r="O2454" t="s">
        <v>6101</v>
      </c>
      <c r="P2454" t="s">
        <v>6110</v>
      </c>
      <c r="Q2454">
        <v>4</v>
      </c>
      <c r="R2454">
        <v>2026</v>
      </c>
      <c r="S2454" t="s">
        <v>6099</v>
      </c>
      <c r="T2454">
        <v>1</v>
      </c>
      <c r="U2454" t="s">
        <v>6018</v>
      </c>
      <c r="V2454">
        <v>1</v>
      </c>
    </row>
    <row r="2455" spans="1:22" x14ac:dyDescent="0.3">
      <c r="A2455" t="s">
        <v>2470</v>
      </c>
      <c r="B2455" s="2">
        <v>46127.995833333334</v>
      </c>
      <c r="C2455" s="2">
        <v>46128.79583333333</v>
      </c>
      <c r="D2455" t="s">
        <v>6023</v>
      </c>
      <c r="E2455" t="s">
        <v>6032</v>
      </c>
      <c r="F2455" t="s">
        <v>6034</v>
      </c>
      <c r="G2455" t="s">
        <v>6058</v>
      </c>
      <c r="H2455" t="s">
        <v>6098</v>
      </c>
      <c r="I2455">
        <v>24</v>
      </c>
      <c r="J2455">
        <v>19.2</v>
      </c>
      <c r="K2455" t="s">
        <v>6100</v>
      </c>
      <c r="L2455" t="s">
        <v>6099</v>
      </c>
      <c r="M2455" t="s">
        <v>6100</v>
      </c>
      <c r="N2455">
        <v>4</v>
      </c>
      <c r="O2455" t="s">
        <v>6101</v>
      </c>
      <c r="P2455" t="s">
        <v>6110</v>
      </c>
      <c r="Q2455">
        <v>4</v>
      </c>
      <c r="R2455">
        <v>2026</v>
      </c>
      <c r="S2455" t="s">
        <v>6099</v>
      </c>
      <c r="T2455">
        <v>1</v>
      </c>
      <c r="U2455" t="s">
        <v>6021</v>
      </c>
      <c r="V2455">
        <v>0</v>
      </c>
    </row>
    <row r="2456" spans="1:22" x14ac:dyDescent="0.3">
      <c r="A2456" t="s">
        <v>2471</v>
      </c>
      <c r="B2456" s="2">
        <v>46128.035416666666</v>
      </c>
      <c r="C2456" s="2">
        <v>46128.222916666666</v>
      </c>
      <c r="D2456" t="s">
        <v>6025</v>
      </c>
      <c r="E2456" t="s">
        <v>6030</v>
      </c>
      <c r="F2456" t="s">
        <v>6035</v>
      </c>
      <c r="G2456" t="s">
        <v>6069</v>
      </c>
      <c r="H2456" t="s">
        <v>6098</v>
      </c>
      <c r="I2456">
        <v>4</v>
      </c>
      <c r="J2456">
        <v>4.5</v>
      </c>
      <c r="K2456" t="s">
        <v>6099</v>
      </c>
      <c r="L2456" t="s">
        <v>6100</v>
      </c>
      <c r="M2456" t="s">
        <v>6100</v>
      </c>
      <c r="N2456">
        <v>3</v>
      </c>
      <c r="O2456" t="s">
        <v>6101</v>
      </c>
      <c r="P2456" t="s">
        <v>6110</v>
      </c>
      <c r="Q2456">
        <v>4</v>
      </c>
      <c r="R2456">
        <v>2026</v>
      </c>
      <c r="S2456" t="s">
        <v>6100</v>
      </c>
      <c r="T2456">
        <v>0</v>
      </c>
      <c r="U2456" t="s">
        <v>6020</v>
      </c>
      <c r="V2456">
        <v>1</v>
      </c>
    </row>
    <row r="2457" spans="1:22" x14ac:dyDescent="0.3">
      <c r="A2457" t="s">
        <v>2472</v>
      </c>
      <c r="B2457" s="2">
        <v>46128.241666666669</v>
      </c>
      <c r="C2457" s="2">
        <v>46128.570833333331</v>
      </c>
      <c r="D2457" t="s">
        <v>6025</v>
      </c>
      <c r="E2457" t="s">
        <v>6029</v>
      </c>
      <c r="F2457" t="s">
        <v>6034</v>
      </c>
      <c r="G2457" t="s">
        <v>6089</v>
      </c>
      <c r="H2457" t="s">
        <v>6098</v>
      </c>
      <c r="I2457">
        <v>24</v>
      </c>
      <c r="J2457">
        <v>7.9</v>
      </c>
      <c r="K2457" t="s">
        <v>6100</v>
      </c>
      <c r="L2457" t="s">
        <v>6099</v>
      </c>
      <c r="M2457" t="s">
        <v>6100</v>
      </c>
      <c r="N2457">
        <v>3</v>
      </c>
      <c r="O2457" t="s">
        <v>6101</v>
      </c>
      <c r="P2457" t="s">
        <v>6110</v>
      </c>
      <c r="Q2457">
        <v>4</v>
      </c>
      <c r="R2457">
        <v>2026</v>
      </c>
      <c r="S2457" t="s">
        <v>6099</v>
      </c>
      <c r="T2457">
        <v>1</v>
      </c>
      <c r="U2457" t="s">
        <v>6018</v>
      </c>
      <c r="V2457">
        <v>0</v>
      </c>
    </row>
    <row r="2458" spans="1:22" x14ac:dyDescent="0.3">
      <c r="A2458" t="s">
        <v>2473</v>
      </c>
      <c r="B2458" s="2">
        <v>46128.293055555558</v>
      </c>
      <c r="C2458" s="2">
        <v>46129.80972222222</v>
      </c>
      <c r="D2458" t="s">
        <v>6028</v>
      </c>
      <c r="E2458" t="s">
        <v>6031</v>
      </c>
      <c r="F2458" t="s">
        <v>6034</v>
      </c>
      <c r="G2458" t="s">
        <v>6058</v>
      </c>
      <c r="H2458" t="s">
        <v>6098</v>
      </c>
      <c r="I2458">
        <v>24</v>
      </c>
      <c r="J2458">
        <v>36.4</v>
      </c>
      <c r="K2458" t="s">
        <v>6099</v>
      </c>
      <c r="L2458" t="s">
        <v>6100</v>
      </c>
      <c r="M2458" t="s">
        <v>6100</v>
      </c>
      <c r="N2458">
        <v>5</v>
      </c>
      <c r="O2458" t="s">
        <v>6101</v>
      </c>
      <c r="P2458" t="s">
        <v>6110</v>
      </c>
      <c r="Q2458">
        <v>4</v>
      </c>
      <c r="R2458">
        <v>2026</v>
      </c>
      <c r="S2458" t="s">
        <v>6100</v>
      </c>
      <c r="T2458">
        <v>0</v>
      </c>
      <c r="U2458" t="s">
        <v>6017</v>
      </c>
      <c r="V2458">
        <v>1</v>
      </c>
    </row>
    <row r="2459" spans="1:22" x14ac:dyDescent="0.3">
      <c r="A2459" t="s">
        <v>2474</v>
      </c>
      <c r="B2459" s="2">
        <v>46128.328472222223</v>
      </c>
      <c r="C2459" s="2">
        <v>46128.561805555553</v>
      </c>
      <c r="D2459" t="s">
        <v>6022</v>
      </c>
      <c r="E2459" t="s">
        <v>6030</v>
      </c>
      <c r="F2459" t="s">
        <v>6034</v>
      </c>
      <c r="G2459" t="s">
        <v>6094</v>
      </c>
      <c r="H2459" t="s">
        <v>6098</v>
      </c>
      <c r="I2459">
        <v>24</v>
      </c>
      <c r="J2459">
        <v>5.6</v>
      </c>
      <c r="K2459" t="s">
        <v>6100</v>
      </c>
      <c r="L2459" t="s">
        <v>6099</v>
      </c>
      <c r="M2459" t="s">
        <v>6099</v>
      </c>
      <c r="N2459">
        <v>4</v>
      </c>
      <c r="O2459" t="s">
        <v>6101</v>
      </c>
      <c r="P2459" t="s">
        <v>6110</v>
      </c>
      <c r="Q2459">
        <v>4</v>
      </c>
      <c r="R2459">
        <v>2026</v>
      </c>
      <c r="S2459" t="s">
        <v>6099</v>
      </c>
      <c r="T2459">
        <v>1</v>
      </c>
      <c r="U2459" t="s">
        <v>6017</v>
      </c>
      <c r="V2459">
        <v>0</v>
      </c>
    </row>
    <row r="2460" spans="1:22" x14ac:dyDescent="0.3">
      <c r="A2460" t="s">
        <v>2475</v>
      </c>
      <c r="B2460" s="2">
        <v>46128.396527777775</v>
      </c>
      <c r="C2460" s="2">
        <v>46128.717361111114</v>
      </c>
      <c r="D2460" t="s">
        <v>6024</v>
      </c>
      <c r="E2460" t="s">
        <v>6030</v>
      </c>
      <c r="F2460" t="s">
        <v>6034</v>
      </c>
      <c r="G2460" t="s">
        <v>6080</v>
      </c>
      <c r="H2460" t="s">
        <v>6096</v>
      </c>
      <c r="I2460">
        <v>24</v>
      </c>
      <c r="J2460">
        <v>7.7</v>
      </c>
      <c r="K2460" t="s">
        <v>6099</v>
      </c>
      <c r="L2460" t="s">
        <v>6100</v>
      </c>
      <c r="M2460" t="s">
        <v>6100</v>
      </c>
      <c r="O2460" t="s">
        <v>6101</v>
      </c>
      <c r="P2460" t="s">
        <v>6110</v>
      </c>
      <c r="Q2460">
        <v>4</v>
      </c>
      <c r="R2460">
        <v>2026</v>
      </c>
      <c r="S2460" t="s">
        <v>6099</v>
      </c>
      <c r="T2460">
        <v>1</v>
      </c>
      <c r="U2460" t="s">
        <v>6019</v>
      </c>
      <c r="V2460">
        <v>1</v>
      </c>
    </row>
    <row r="2461" spans="1:22" x14ac:dyDescent="0.3">
      <c r="A2461" t="s">
        <v>2476</v>
      </c>
      <c r="B2461" s="2">
        <v>46128.42083333333</v>
      </c>
      <c r="C2461" s="2">
        <v>46128.862500000003</v>
      </c>
      <c r="D2461" t="s">
        <v>6022</v>
      </c>
      <c r="E2461" t="s">
        <v>6032</v>
      </c>
      <c r="F2461" t="s">
        <v>6034</v>
      </c>
      <c r="G2461" t="s">
        <v>6063</v>
      </c>
      <c r="H2461" t="s">
        <v>6097</v>
      </c>
      <c r="I2461">
        <v>24</v>
      </c>
      <c r="J2461">
        <v>10.6</v>
      </c>
      <c r="K2461" t="s">
        <v>6099</v>
      </c>
      <c r="L2461" t="s">
        <v>6100</v>
      </c>
      <c r="M2461" t="s">
        <v>6100</v>
      </c>
      <c r="N2461">
        <v>4</v>
      </c>
      <c r="O2461" t="s">
        <v>6101</v>
      </c>
      <c r="P2461" t="s">
        <v>6110</v>
      </c>
      <c r="Q2461">
        <v>4</v>
      </c>
      <c r="R2461">
        <v>2026</v>
      </c>
      <c r="S2461" t="s">
        <v>6099</v>
      </c>
      <c r="T2461">
        <v>1</v>
      </c>
      <c r="U2461" t="s">
        <v>6021</v>
      </c>
      <c r="V2461">
        <v>1</v>
      </c>
    </row>
    <row r="2462" spans="1:22" x14ac:dyDescent="0.3">
      <c r="A2462" t="s">
        <v>2477</v>
      </c>
      <c r="B2462" s="2">
        <v>46128.475694444445</v>
      </c>
      <c r="C2462" s="2">
        <v>46128.588194444441</v>
      </c>
      <c r="D2462" t="s">
        <v>6022</v>
      </c>
      <c r="E2462" t="s">
        <v>6030</v>
      </c>
      <c r="F2462" t="s">
        <v>6033</v>
      </c>
      <c r="G2462" t="s">
        <v>6077</v>
      </c>
      <c r="H2462" t="s">
        <v>6098</v>
      </c>
      <c r="I2462">
        <v>72</v>
      </c>
      <c r="J2462">
        <v>2.7</v>
      </c>
      <c r="K2462" t="s">
        <v>6100</v>
      </c>
      <c r="L2462" t="s">
        <v>6099</v>
      </c>
      <c r="M2462" t="s">
        <v>6099</v>
      </c>
      <c r="N2462">
        <v>3</v>
      </c>
      <c r="O2462" t="s">
        <v>6101</v>
      </c>
      <c r="P2462" t="s">
        <v>6110</v>
      </c>
      <c r="Q2462">
        <v>4</v>
      </c>
      <c r="R2462">
        <v>2026</v>
      </c>
      <c r="S2462" t="s">
        <v>6099</v>
      </c>
      <c r="T2462">
        <v>1</v>
      </c>
      <c r="U2462" t="s">
        <v>6021</v>
      </c>
      <c r="V2462">
        <v>0</v>
      </c>
    </row>
    <row r="2463" spans="1:22" x14ac:dyDescent="0.3">
      <c r="A2463" t="s">
        <v>2478</v>
      </c>
      <c r="B2463" s="2">
        <v>46128.502083333333</v>
      </c>
      <c r="C2463" s="2">
        <v>46129.310416666667</v>
      </c>
      <c r="D2463" t="s">
        <v>6027</v>
      </c>
      <c r="E2463" t="s">
        <v>6029</v>
      </c>
      <c r="F2463" t="s">
        <v>6034</v>
      </c>
      <c r="G2463" t="s">
        <v>6059</v>
      </c>
      <c r="H2463" t="s">
        <v>6097</v>
      </c>
      <c r="I2463">
        <v>24</v>
      </c>
      <c r="J2463">
        <v>19.399999999999999</v>
      </c>
      <c r="K2463" t="s">
        <v>6100</v>
      </c>
      <c r="L2463" t="s">
        <v>6099</v>
      </c>
      <c r="M2463" t="s">
        <v>6100</v>
      </c>
      <c r="N2463">
        <v>4</v>
      </c>
      <c r="O2463" t="s">
        <v>6101</v>
      </c>
      <c r="P2463" t="s">
        <v>6110</v>
      </c>
      <c r="Q2463">
        <v>4</v>
      </c>
      <c r="R2463">
        <v>2026</v>
      </c>
      <c r="S2463" t="s">
        <v>6099</v>
      </c>
      <c r="T2463">
        <v>1</v>
      </c>
      <c r="U2463" t="s">
        <v>6021</v>
      </c>
      <c r="V2463">
        <v>0</v>
      </c>
    </row>
    <row r="2464" spans="1:22" x14ac:dyDescent="0.3">
      <c r="A2464" t="s">
        <v>2479</v>
      </c>
      <c r="B2464" s="2">
        <v>46128.521527777775</v>
      </c>
      <c r="C2464" s="2">
        <v>46128.90902777778</v>
      </c>
      <c r="D2464" t="s">
        <v>6022</v>
      </c>
      <c r="E2464" t="s">
        <v>6030</v>
      </c>
      <c r="F2464" t="s">
        <v>6033</v>
      </c>
      <c r="G2464" t="s">
        <v>6056</v>
      </c>
      <c r="H2464" t="s">
        <v>6098</v>
      </c>
      <c r="I2464">
        <v>72</v>
      </c>
      <c r="J2464">
        <v>9.3000000000000007</v>
      </c>
      <c r="K2464" t="s">
        <v>6100</v>
      </c>
      <c r="L2464" t="s">
        <v>6099</v>
      </c>
      <c r="M2464" t="s">
        <v>6100</v>
      </c>
      <c r="O2464" t="s">
        <v>6101</v>
      </c>
      <c r="P2464" t="s">
        <v>6110</v>
      </c>
      <c r="Q2464">
        <v>4</v>
      </c>
      <c r="R2464">
        <v>2026</v>
      </c>
      <c r="S2464" t="s">
        <v>6099</v>
      </c>
      <c r="T2464">
        <v>1</v>
      </c>
      <c r="U2464" t="s">
        <v>6020</v>
      </c>
      <c r="V2464">
        <v>0</v>
      </c>
    </row>
    <row r="2465" spans="1:22" x14ac:dyDescent="0.3">
      <c r="A2465" t="s">
        <v>2480</v>
      </c>
      <c r="B2465" s="2">
        <v>46128.523611111108</v>
      </c>
      <c r="C2465" s="2">
        <v>46128.75277777778</v>
      </c>
      <c r="D2465" t="s">
        <v>6028</v>
      </c>
      <c r="E2465" t="s">
        <v>6030</v>
      </c>
      <c r="F2465" t="s">
        <v>6034</v>
      </c>
      <c r="G2465" t="s">
        <v>6089</v>
      </c>
      <c r="H2465" t="s">
        <v>6098</v>
      </c>
      <c r="I2465">
        <v>24</v>
      </c>
      <c r="J2465">
        <v>5.5</v>
      </c>
      <c r="K2465" t="s">
        <v>6100</v>
      </c>
      <c r="L2465" t="s">
        <v>6100</v>
      </c>
      <c r="M2465" t="s">
        <v>6100</v>
      </c>
      <c r="N2465">
        <v>4</v>
      </c>
      <c r="O2465" t="s">
        <v>6101</v>
      </c>
      <c r="P2465" t="s">
        <v>6110</v>
      </c>
      <c r="Q2465">
        <v>4</v>
      </c>
      <c r="R2465">
        <v>2026</v>
      </c>
      <c r="S2465" t="s">
        <v>6099</v>
      </c>
      <c r="T2465">
        <v>1</v>
      </c>
      <c r="U2465" t="s">
        <v>6019</v>
      </c>
      <c r="V2465">
        <v>0</v>
      </c>
    </row>
    <row r="2466" spans="1:22" x14ac:dyDescent="0.3">
      <c r="A2466" t="s">
        <v>2481</v>
      </c>
      <c r="B2466" s="2">
        <v>46128.543055555558</v>
      </c>
      <c r="C2466" s="2">
        <v>46128.722222222219</v>
      </c>
      <c r="D2466" t="s">
        <v>6022</v>
      </c>
      <c r="E2466" t="s">
        <v>6030</v>
      </c>
      <c r="F2466" t="s">
        <v>6034</v>
      </c>
      <c r="G2466" t="s">
        <v>6072</v>
      </c>
      <c r="H2466" t="s">
        <v>6097</v>
      </c>
      <c r="I2466">
        <v>24</v>
      </c>
      <c r="J2466">
        <v>4.3</v>
      </c>
      <c r="K2466" t="s">
        <v>6099</v>
      </c>
      <c r="L2466" t="s">
        <v>6100</v>
      </c>
      <c r="M2466" t="s">
        <v>6100</v>
      </c>
      <c r="N2466">
        <v>5</v>
      </c>
      <c r="O2466" t="s">
        <v>6101</v>
      </c>
      <c r="P2466" t="s">
        <v>6110</v>
      </c>
      <c r="Q2466">
        <v>4</v>
      </c>
      <c r="R2466">
        <v>2026</v>
      </c>
      <c r="S2466" t="s">
        <v>6099</v>
      </c>
      <c r="T2466">
        <v>1</v>
      </c>
      <c r="U2466" t="s">
        <v>6020</v>
      </c>
      <c r="V2466">
        <v>1</v>
      </c>
    </row>
    <row r="2467" spans="1:22" x14ac:dyDescent="0.3">
      <c r="A2467" t="s">
        <v>2482</v>
      </c>
      <c r="B2467" s="2">
        <v>46128.544444444444</v>
      </c>
      <c r="C2467" s="2">
        <v>46128.952777777777</v>
      </c>
      <c r="D2467" t="s">
        <v>6028</v>
      </c>
      <c r="E2467" t="s">
        <v>6029</v>
      </c>
      <c r="F2467" t="s">
        <v>6033</v>
      </c>
      <c r="G2467" t="s">
        <v>6060</v>
      </c>
      <c r="H2467" t="s">
        <v>6097</v>
      </c>
      <c r="I2467">
        <v>72</v>
      </c>
      <c r="J2467">
        <v>9.8000000000000007</v>
      </c>
      <c r="K2467" t="s">
        <v>6099</v>
      </c>
      <c r="L2467" t="s">
        <v>6100</v>
      </c>
      <c r="M2467" t="s">
        <v>6100</v>
      </c>
      <c r="N2467">
        <v>5</v>
      </c>
      <c r="O2467" t="s">
        <v>6101</v>
      </c>
      <c r="P2467" t="s">
        <v>6110</v>
      </c>
      <c r="Q2467">
        <v>4</v>
      </c>
      <c r="R2467">
        <v>2026</v>
      </c>
      <c r="S2467" t="s">
        <v>6099</v>
      </c>
      <c r="T2467">
        <v>1</v>
      </c>
      <c r="U2467" t="s">
        <v>6018</v>
      </c>
      <c r="V2467">
        <v>1</v>
      </c>
    </row>
    <row r="2468" spans="1:22" x14ac:dyDescent="0.3">
      <c r="A2468" t="s">
        <v>2483</v>
      </c>
      <c r="B2468" s="2">
        <v>46128.548611111109</v>
      </c>
      <c r="C2468" s="2">
        <v>46130.794444444444</v>
      </c>
      <c r="D2468" t="s">
        <v>6025</v>
      </c>
      <c r="E2468" t="s">
        <v>6031</v>
      </c>
      <c r="F2468" t="s">
        <v>6034</v>
      </c>
      <c r="G2468" t="s">
        <v>6056</v>
      </c>
      <c r="H2468" t="s">
        <v>6098</v>
      </c>
      <c r="I2468">
        <v>24</v>
      </c>
      <c r="J2468">
        <v>53.9</v>
      </c>
      <c r="K2468" t="s">
        <v>6099</v>
      </c>
      <c r="L2468" t="s">
        <v>6100</v>
      </c>
      <c r="M2468" t="s">
        <v>6100</v>
      </c>
      <c r="N2468">
        <v>5</v>
      </c>
      <c r="O2468" t="s">
        <v>6101</v>
      </c>
      <c r="P2468" t="s">
        <v>6110</v>
      </c>
      <c r="Q2468">
        <v>4</v>
      </c>
      <c r="R2468">
        <v>2026</v>
      </c>
      <c r="S2468" t="s">
        <v>6100</v>
      </c>
      <c r="T2468">
        <v>0</v>
      </c>
      <c r="U2468" t="s">
        <v>6020</v>
      </c>
      <c r="V2468">
        <v>1</v>
      </c>
    </row>
    <row r="2469" spans="1:22" x14ac:dyDescent="0.3">
      <c r="A2469" t="s">
        <v>2484</v>
      </c>
      <c r="B2469" s="2">
        <v>46128.570138888892</v>
      </c>
      <c r="C2469" s="2">
        <v>46128.724305555559</v>
      </c>
      <c r="D2469" t="s">
        <v>6023</v>
      </c>
      <c r="E2469" t="s">
        <v>6029</v>
      </c>
      <c r="F2469" t="s">
        <v>6034</v>
      </c>
      <c r="G2469" t="s">
        <v>6093</v>
      </c>
      <c r="H2469" t="s">
        <v>6097</v>
      </c>
      <c r="I2469">
        <v>24</v>
      </c>
      <c r="J2469">
        <v>3.7</v>
      </c>
      <c r="K2469" t="s">
        <v>6099</v>
      </c>
      <c r="L2469" t="s">
        <v>6100</v>
      </c>
      <c r="M2469" t="s">
        <v>6100</v>
      </c>
      <c r="O2469" t="s">
        <v>6101</v>
      </c>
      <c r="P2469" t="s">
        <v>6110</v>
      </c>
      <c r="Q2469">
        <v>4</v>
      </c>
      <c r="R2469">
        <v>2026</v>
      </c>
      <c r="S2469" t="s">
        <v>6099</v>
      </c>
      <c r="T2469">
        <v>1</v>
      </c>
      <c r="U2469" t="s">
        <v>6018</v>
      </c>
      <c r="V2469">
        <v>1</v>
      </c>
    </row>
    <row r="2470" spans="1:22" x14ac:dyDescent="0.3">
      <c r="A2470" t="s">
        <v>2485</v>
      </c>
      <c r="B2470" s="2">
        <v>46128.577777777777</v>
      </c>
      <c r="C2470" s="2">
        <v>46129.006944444445</v>
      </c>
      <c r="D2470" t="s">
        <v>6025</v>
      </c>
      <c r="E2470" t="s">
        <v>6029</v>
      </c>
      <c r="F2470" t="s">
        <v>6033</v>
      </c>
      <c r="G2470" t="s">
        <v>6067</v>
      </c>
      <c r="H2470" t="s">
        <v>6098</v>
      </c>
      <c r="I2470">
        <v>72</v>
      </c>
      <c r="J2470">
        <v>10.3</v>
      </c>
      <c r="K2470" t="s">
        <v>6099</v>
      </c>
      <c r="L2470" t="s">
        <v>6100</v>
      </c>
      <c r="M2470" t="s">
        <v>6100</v>
      </c>
      <c r="N2470">
        <v>5</v>
      </c>
      <c r="O2470" t="s">
        <v>6101</v>
      </c>
      <c r="P2470" t="s">
        <v>6110</v>
      </c>
      <c r="Q2470">
        <v>4</v>
      </c>
      <c r="R2470">
        <v>2026</v>
      </c>
      <c r="S2470" t="s">
        <v>6099</v>
      </c>
      <c r="T2470">
        <v>1</v>
      </c>
      <c r="U2470" t="s">
        <v>6021</v>
      </c>
      <c r="V2470">
        <v>1</v>
      </c>
    </row>
    <row r="2471" spans="1:22" x14ac:dyDescent="0.3">
      <c r="A2471" t="s">
        <v>2486</v>
      </c>
      <c r="B2471" s="2">
        <v>46128.583333333336</v>
      </c>
      <c r="C2471" s="2">
        <v>46129.779166666667</v>
      </c>
      <c r="D2471" t="s">
        <v>6022</v>
      </c>
      <c r="E2471" t="s">
        <v>6029</v>
      </c>
      <c r="F2471" t="s">
        <v>6033</v>
      </c>
      <c r="G2471" t="s">
        <v>6079</v>
      </c>
      <c r="H2471" t="s">
        <v>6097</v>
      </c>
      <c r="I2471">
        <v>72</v>
      </c>
      <c r="J2471">
        <v>28.7</v>
      </c>
      <c r="K2471" t="s">
        <v>6099</v>
      </c>
      <c r="L2471" t="s">
        <v>6100</v>
      </c>
      <c r="M2471" t="s">
        <v>6099</v>
      </c>
      <c r="N2471">
        <v>5</v>
      </c>
      <c r="O2471" t="s">
        <v>6101</v>
      </c>
      <c r="P2471" t="s">
        <v>6110</v>
      </c>
      <c r="Q2471">
        <v>4</v>
      </c>
      <c r="R2471">
        <v>2026</v>
      </c>
      <c r="S2471" t="s">
        <v>6099</v>
      </c>
      <c r="T2471">
        <v>1</v>
      </c>
      <c r="U2471" t="s">
        <v>6018</v>
      </c>
      <c r="V2471">
        <v>1</v>
      </c>
    </row>
    <row r="2472" spans="1:22" x14ac:dyDescent="0.3">
      <c r="A2472" t="s">
        <v>2487</v>
      </c>
      <c r="B2472" s="2">
        <v>46128.609722222223</v>
      </c>
      <c r="C2472" s="2">
        <v>46129.013888888891</v>
      </c>
      <c r="D2472" t="s">
        <v>6028</v>
      </c>
      <c r="E2472" t="s">
        <v>6030</v>
      </c>
      <c r="F2472" t="s">
        <v>6034</v>
      </c>
      <c r="G2472" t="s">
        <v>6058</v>
      </c>
      <c r="H2472" t="s">
        <v>6098</v>
      </c>
      <c r="I2472">
        <v>24</v>
      </c>
      <c r="J2472">
        <v>9.6999999999999993</v>
      </c>
      <c r="K2472" t="s">
        <v>6099</v>
      </c>
      <c r="L2472" t="s">
        <v>6100</v>
      </c>
      <c r="M2472" t="s">
        <v>6100</v>
      </c>
      <c r="O2472" t="s">
        <v>6101</v>
      </c>
      <c r="P2472" t="s">
        <v>6110</v>
      </c>
      <c r="Q2472">
        <v>4</v>
      </c>
      <c r="R2472">
        <v>2026</v>
      </c>
      <c r="S2472" t="s">
        <v>6099</v>
      </c>
      <c r="T2472">
        <v>1</v>
      </c>
      <c r="U2472" t="s">
        <v>6018</v>
      </c>
      <c r="V2472">
        <v>1</v>
      </c>
    </row>
    <row r="2473" spans="1:22" x14ac:dyDescent="0.3">
      <c r="A2473" t="s">
        <v>2488</v>
      </c>
      <c r="B2473" s="2">
        <v>46128.62777777778</v>
      </c>
      <c r="C2473" s="2">
        <v>46128.931944444441</v>
      </c>
      <c r="D2473" t="s">
        <v>6023</v>
      </c>
      <c r="E2473" t="s">
        <v>6032</v>
      </c>
      <c r="F2473" t="s">
        <v>6034</v>
      </c>
      <c r="G2473" t="s">
        <v>6068</v>
      </c>
      <c r="H2473" t="s">
        <v>6098</v>
      </c>
      <c r="I2473">
        <v>24</v>
      </c>
      <c r="J2473">
        <v>7.3</v>
      </c>
      <c r="K2473" t="s">
        <v>6100</v>
      </c>
      <c r="L2473" t="s">
        <v>6099</v>
      </c>
      <c r="M2473" t="s">
        <v>6100</v>
      </c>
      <c r="N2473">
        <v>4</v>
      </c>
      <c r="O2473" t="s">
        <v>6101</v>
      </c>
      <c r="P2473" t="s">
        <v>6110</v>
      </c>
      <c r="Q2473">
        <v>4</v>
      </c>
      <c r="R2473">
        <v>2026</v>
      </c>
      <c r="S2473" t="s">
        <v>6099</v>
      </c>
      <c r="T2473">
        <v>1</v>
      </c>
      <c r="U2473" t="s">
        <v>6020</v>
      </c>
      <c r="V2473">
        <v>0</v>
      </c>
    </row>
    <row r="2474" spans="1:22" x14ac:dyDescent="0.3">
      <c r="A2474" t="s">
        <v>2489</v>
      </c>
      <c r="B2474" s="2">
        <v>46128.634722222225</v>
      </c>
      <c r="C2474" s="2">
        <v>46128.980555555558</v>
      </c>
      <c r="D2474" t="s">
        <v>6028</v>
      </c>
      <c r="E2474" t="s">
        <v>6030</v>
      </c>
      <c r="F2474" t="s">
        <v>6034</v>
      </c>
      <c r="G2474" t="s">
        <v>6048</v>
      </c>
      <c r="H2474" t="s">
        <v>6096</v>
      </c>
      <c r="I2474">
        <v>24</v>
      </c>
      <c r="J2474">
        <v>8.3000000000000007</v>
      </c>
      <c r="K2474" t="s">
        <v>6099</v>
      </c>
      <c r="L2474" t="s">
        <v>6100</v>
      </c>
      <c r="M2474" t="s">
        <v>6100</v>
      </c>
      <c r="N2474">
        <v>5</v>
      </c>
      <c r="O2474" t="s">
        <v>6101</v>
      </c>
      <c r="P2474" t="s">
        <v>6110</v>
      </c>
      <c r="Q2474">
        <v>4</v>
      </c>
      <c r="R2474">
        <v>2026</v>
      </c>
      <c r="S2474" t="s">
        <v>6099</v>
      </c>
      <c r="T2474">
        <v>1</v>
      </c>
      <c r="U2474" t="s">
        <v>6021</v>
      </c>
      <c r="V2474">
        <v>1</v>
      </c>
    </row>
    <row r="2475" spans="1:22" x14ac:dyDescent="0.3">
      <c r="A2475" t="s">
        <v>2490</v>
      </c>
      <c r="B2475" s="2">
        <v>46128.720833333333</v>
      </c>
      <c r="C2475" s="2">
        <v>46128.945833333331</v>
      </c>
      <c r="D2475" t="s">
        <v>6027</v>
      </c>
      <c r="E2475" t="s">
        <v>6030</v>
      </c>
      <c r="F2475" t="s">
        <v>6034</v>
      </c>
      <c r="G2475" t="s">
        <v>6043</v>
      </c>
      <c r="H2475" t="s">
        <v>6097</v>
      </c>
      <c r="I2475">
        <v>24</v>
      </c>
      <c r="J2475">
        <v>5.4</v>
      </c>
      <c r="K2475" t="s">
        <v>6099</v>
      </c>
      <c r="L2475" t="s">
        <v>6100</v>
      </c>
      <c r="M2475" t="s">
        <v>6100</v>
      </c>
      <c r="N2475">
        <v>5</v>
      </c>
      <c r="O2475" t="s">
        <v>6101</v>
      </c>
      <c r="P2475" t="s">
        <v>6110</v>
      </c>
      <c r="Q2475">
        <v>4</v>
      </c>
      <c r="R2475">
        <v>2026</v>
      </c>
      <c r="S2475" t="s">
        <v>6099</v>
      </c>
      <c r="T2475">
        <v>1</v>
      </c>
      <c r="U2475" t="s">
        <v>6020</v>
      </c>
      <c r="V2475">
        <v>1</v>
      </c>
    </row>
    <row r="2476" spans="1:22" x14ac:dyDescent="0.3">
      <c r="A2476" t="s">
        <v>2491</v>
      </c>
      <c r="B2476" s="2">
        <v>46128.732638888891</v>
      </c>
      <c r="C2476" s="2">
        <v>46128.986805555556</v>
      </c>
      <c r="D2476" t="s">
        <v>6022</v>
      </c>
      <c r="E2476" t="s">
        <v>6029</v>
      </c>
      <c r="F2476" t="s">
        <v>6034</v>
      </c>
      <c r="G2476" t="s">
        <v>6070</v>
      </c>
      <c r="H2476" t="s">
        <v>6097</v>
      </c>
      <c r="I2476">
        <v>24</v>
      </c>
      <c r="J2476">
        <v>6.1</v>
      </c>
      <c r="K2476" t="s">
        <v>6099</v>
      </c>
      <c r="L2476" t="s">
        <v>6100</v>
      </c>
      <c r="M2476" t="s">
        <v>6100</v>
      </c>
      <c r="O2476" t="s">
        <v>6101</v>
      </c>
      <c r="P2476" t="s">
        <v>6110</v>
      </c>
      <c r="Q2476">
        <v>4</v>
      </c>
      <c r="R2476">
        <v>2026</v>
      </c>
      <c r="S2476" t="s">
        <v>6099</v>
      </c>
      <c r="T2476">
        <v>1</v>
      </c>
      <c r="U2476" t="s">
        <v>6021</v>
      </c>
      <c r="V2476">
        <v>1</v>
      </c>
    </row>
    <row r="2477" spans="1:22" x14ac:dyDescent="0.3">
      <c r="A2477" t="s">
        <v>2492</v>
      </c>
      <c r="B2477" s="2">
        <v>46128.786111111112</v>
      </c>
      <c r="C2477" s="2">
        <v>46128.244444444441</v>
      </c>
      <c r="D2477" t="s">
        <v>6023</v>
      </c>
      <c r="E2477" t="s">
        <v>6029</v>
      </c>
      <c r="F2477" t="s">
        <v>6034</v>
      </c>
      <c r="G2477" t="s">
        <v>6082</v>
      </c>
      <c r="H2477" t="s">
        <v>6097</v>
      </c>
      <c r="I2477">
        <v>24</v>
      </c>
      <c r="J2477">
        <v>3.1</v>
      </c>
      <c r="K2477" t="s">
        <v>6100</v>
      </c>
      <c r="L2477" t="s">
        <v>6099</v>
      </c>
      <c r="M2477" t="s">
        <v>6100</v>
      </c>
      <c r="O2477" t="s">
        <v>6101</v>
      </c>
      <c r="P2477" t="s">
        <v>6110</v>
      </c>
      <c r="Q2477">
        <v>4</v>
      </c>
      <c r="R2477">
        <v>2026</v>
      </c>
      <c r="S2477" t="s">
        <v>6099</v>
      </c>
      <c r="T2477">
        <v>1</v>
      </c>
      <c r="U2477" t="s">
        <v>6020</v>
      </c>
      <c r="V2477">
        <v>0</v>
      </c>
    </row>
    <row r="2478" spans="1:22" x14ac:dyDescent="0.3">
      <c r="A2478" t="s">
        <v>2493</v>
      </c>
      <c r="B2478" s="2">
        <v>46128.839583333334</v>
      </c>
      <c r="C2478" s="2">
        <v>46130.131249999999</v>
      </c>
      <c r="D2478" t="s">
        <v>6026</v>
      </c>
      <c r="E2478" t="s">
        <v>6029</v>
      </c>
      <c r="F2478" t="s">
        <v>6034</v>
      </c>
      <c r="G2478" t="s">
        <v>6085</v>
      </c>
      <c r="H2478" t="s">
        <v>6097</v>
      </c>
      <c r="I2478">
        <v>24</v>
      </c>
      <c r="J2478">
        <v>31</v>
      </c>
      <c r="K2478" t="s">
        <v>6099</v>
      </c>
      <c r="L2478" t="s">
        <v>6100</v>
      </c>
      <c r="M2478" t="s">
        <v>6100</v>
      </c>
      <c r="N2478">
        <v>4</v>
      </c>
      <c r="O2478" t="s">
        <v>6101</v>
      </c>
      <c r="P2478" t="s">
        <v>6110</v>
      </c>
      <c r="Q2478">
        <v>4</v>
      </c>
      <c r="R2478">
        <v>2026</v>
      </c>
      <c r="S2478" t="s">
        <v>6100</v>
      </c>
      <c r="T2478">
        <v>0</v>
      </c>
      <c r="U2478" t="s">
        <v>6017</v>
      </c>
      <c r="V2478">
        <v>1</v>
      </c>
    </row>
    <row r="2479" spans="1:22" x14ac:dyDescent="0.3">
      <c r="A2479" t="s">
        <v>2494</v>
      </c>
      <c r="B2479" s="2">
        <v>46128.870833333334</v>
      </c>
      <c r="C2479" s="2">
        <v>46133.64166666667</v>
      </c>
      <c r="D2479" t="s">
        <v>6026</v>
      </c>
      <c r="E2479" t="s">
        <v>6031</v>
      </c>
      <c r="F2479" t="s">
        <v>6034</v>
      </c>
      <c r="G2479" t="s">
        <v>6074</v>
      </c>
      <c r="H2479" t="s">
        <v>6098</v>
      </c>
      <c r="I2479">
        <v>24</v>
      </c>
      <c r="J2479">
        <v>114.5</v>
      </c>
      <c r="K2479" t="s">
        <v>6099</v>
      </c>
      <c r="L2479" t="s">
        <v>6100</v>
      </c>
      <c r="M2479" t="s">
        <v>6100</v>
      </c>
      <c r="O2479" t="s">
        <v>6101</v>
      </c>
      <c r="P2479" t="s">
        <v>6110</v>
      </c>
      <c r="Q2479">
        <v>4</v>
      </c>
      <c r="R2479">
        <v>2026</v>
      </c>
      <c r="S2479" t="s">
        <v>6100</v>
      </c>
      <c r="T2479">
        <v>0</v>
      </c>
      <c r="U2479" t="s">
        <v>6020</v>
      </c>
      <c r="V2479">
        <v>1</v>
      </c>
    </row>
    <row r="2480" spans="1:22" x14ac:dyDescent="0.3">
      <c r="A2480" t="s">
        <v>2495</v>
      </c>
      <c r="B2480" s="2">
        <v>46128.895833333336</v>
      </c>
      <c r="C2480" s="2">
        <v>46129.237500000003</v>
      </c>
      <c r="D2480" t="s">
        <v>6024</v>
      </c>
      <c r="E2480" t="s">
        <v>6029</v>
      </c>
      <c r="F2480" t="s">
        <v>6034</v>
      </c>
      <c r="G2480" t="s">
        <v>6086</v>
      </c>
      <c r="H2480" t="s">
        <v>6098</v>
      </c>
      <c r="I2480">
        <v>24</v>
      </c>
      <c r="J2480">
        <v>8.1999999999999993</v>
      </c>
      <c r="K2480" t="s">
        <v>6099</v>
      </c>
      <c r="L2480" t="s">
        <v>6100</v>
      </c>
      <c r="M2480" t="s">
        <v>6100</v>
      </c>
      <c r="O2480" t="s">
        <v>6101</v>
      </c>
      <c r="P2480" t="s">
        <v>6110</v>
      </c>
      <c r="Q2480">
        <v>4</v>
      </c>
      <c r="R2480">
        <v>2026</v>
      </c>
      <c r="S2480" t="s">
        <v>6099</v>
      </c>
      <c r="T2480">
        <v>1</v>
      </c>
      <c r="U2480" t="s">
        <v>6018</v>
      </c>
      <c r="V2480">
        <v>1</v>
      </c>
    </row>
    <row r="2481" spans="1:22" x14ac:dyDescent="0.3">
      <c r="A2481" t="s">
        <v>2496</v>
      </c>
      <c r="B2481" s="2">
        <v>46129.173611111109</v>
      </c>
      <c r="C2481" s="2">
        <v>46130.131944444445</v>
      </c>
      <c r="D2481" t="s">
        <v>6023</v>
      </c>
      <c r="E2481" t="s">
        <v>6032</v>
      </c>
      <c r="F2481" t="s">
        <v>6033</v>
      </c>
      <c r="G2481" t="s">
        <v>6091</v>
      </c>
      <c r="H2481" t="s">
        <v>6097</v>
      </c>
      <c r="I2481">
        <v>72</v>
      </c>
      <c r="J2481">
        <v>23</v>
      </c>
      <c r="K2481" t="s">
        <v>6099</v>
      </c>
      <c r="L2481" t="s">
        <v>6100</v>
      </c>
      <c r="M2481" t="s">
        <v>6100</v>
      </c>
      <c r="O2481" t="s">
        <v>6101</v>
      </c>
      <c r="P2481" t="s">
        <v>6110</v>
      </c>
      <c r="Q2481">
        <v>4</v>
      </c>
      <c r="R2481">
        <v>2026</v>
      </c>
      <c r="S2481" t="s">
        <v>6099</v>
      </c>
      <c r="T2481">
        <v>1</v>
      </c>
      <c r="U2481" t="s">
        <v>6019</v>
      </c>
      <c r="V2481">
        <v>1</v>
      </c>
    </row>
    <row r="2482" spans="1:22" x14ac:dyDescent="0.3">
      <c r="A2482" t="s">
        <v>2497</v>
      </c>
      <c r="B2482" s="2">
        <v>46129.227083333331</v>
      </c>
      <c r="C2482" s="2">
        <v>46129.381249999999</v>
      </c>
      <c r="D2482" t="s">
        <v>6023</v>
      </c>
      <c r="E2482" t="s">
        <v>6029</v>
      </c>
      <c r="F2482" t="s">
        <v>6034</v>
      </c>
      <c r="G2482" t="s">
        <v>6053</v>
      </c>
      <c r="H2482" t="s">
        <v>6097</v>
      </c>
      <c r="I2482">
        <v>24</v>
      </c>
      <c r="J2482">
        <v>3.7</v>
      </c>
      <c r="K2482" t="s">
        <v>6100</v>
      </c>
      <c r="L2482" t="s">
        <v>6100</v>
      </c>
      <c r="M2482" t="s">
        <v>6100</v>
      </c>
      <c r="O2482" t="s">
        <v>6101</v>
      </c>
      <c r="P2482" t="s">
        <v>6110</v>
      </c>
      <c r="Q2482">
        <v>4</v>
      </c>
      <c r="R2482">
        <v>2026</v>
      </c>
      <c r="S2482" t="s">
        <v>6099</v>
      </c>
      <c r="T2482">
        <v>1</v>
      </c>
      <c r="U2482" t="s">
        <v>6017</v>
      </c>
      <c r="V2482">
        <v>0</v>
      </c>
    </row>
    <row r="2483" spans="1:22" x14ac:dyDescent="0.3">
      <c r="A2483" t="s">
        <v>2498</v>
      </c>
      <c r="B2483" s="2">
        <v>46129.300694444442</v>
      </c>
      <c r="C2483" s="2">
        <v>46129.729861111111</v>
      </c>
      <c r="D2483" t="s">
        <v>6023</v>
      </c>
      <c r="E2483" t="s">
        <v>6029</v>
      </c>
      <c r="F2483" t="s">
        <v>6034</v>
      </c>
      <c r="G2483" t="s">
        <v>6082</v>
      </c>
      <c r="H2483" t="s">
        <v>6097</v>
      </c>
      <c r="I2483">
        <v>24</v>
      </c>
      <c r="J2483">
        <v>10.3</v>
      </c>
      <c r="K2483" t="s">
        <v>6099</v>
      </c>
      <c r="L2483" t="s">
        <v>6100</v>
      </c>
      <c r="M2483" t="s">
        <v>6100</v>
      </c>
      <c r="N2483">
        <v>4</v>
      </c>
      <c r="O2483" t="s">
        <v>6101</v>
      </c>
      <c r="P2483" t="s">
        <v>6110</v>
      </c>
      <c r="Q2483">
        <v>4</v>
      </c>
      <c r="R2483">
        <v>2026</v>
      </c>
      <c r="S2483" t="s">
        <v>6099</v>
      </c>
      <c r="T2483">
        <v>1</v>
      </c>
      <c r="U2483" t="s">
        <v>6017</v>
      </c>
      <c r="V2483">
        <v>1</v>
      </c>
    </row>
    <row r="2484" spans="1:22" x14ac:dyDescent="0.3">
      <c r="A2484" t="s">
        <v>2499</v>
      </c>
      <c r="B2484" s="2">
        <v>46129.313194444447</v>
      </c>
      <c r="C2484" s="2">
        <v>46130.104861111111</v>
      </c>
      <c r="D2484" t="s">
        <v>6022</v>
      </c>
      <c r="E2484" t="s">
        <v>6029</v>
      </c>
      <c r="F2484" t="s">
        <v>6034</v>
      </c>
      <c r="G2484" t="s">
        <v>6072</v>
      </c>
      <c r="H2484" t="s">
        <v>6097</v>
      </c>
      <c r="I2484">
        <v>24</v>
      </c>
      <c r="J2484">
        <v>19</v>
      </c>
      <c r="K2484" t="s">
        <v>6099</v>
      </c>
      <c r="L2484" t="s">
        <v>6100</v>
      </c>
      <c r="M2484" t="s">
        <v>6100</v>
      </c>
      <c r="N2484">
        <v>5</v>
      </c>
      <c r="O2484" t="s">
        <v>6101</v>
      </c>
      <c r="P2484" t="s">
        <v>6110</v>
      </c>
      <c r="Q2484">
        <v>4</v>
      </c>
      <c r="R2484">
        <v>2026</v>
      </c>
      <c r="S2484" t="s">
        <v>6099</v>
      </c>
      <c r="T2484">
        <v>1</v>
      </c>
      <c r="U2484" t="s">
        <v>6018</v>
      </c>
      <c r="V2484">
        <v>1</v>
      </c>
    </row>
    <row r="2485" spans="1:22" x14ac:dyDescent="0.3">
      <c r="A2485" t="s">
        <v>2500</v>
      </c>
      <c r="B2485" s="2">
        <v>46129.356944444444</v>
      </c>
      <c r="C2485" s="2">
        <v>46129.515277777777</v>
      </c>
      <c r="D2485" t="s">
        <v>6023</v>
      </c>
      <c r="E2485" t="s">
        <v>6030</v>
      </c>
      <c r="F2485" t="s">
        <v>6034</v>
      </c>
      <c r="G2485" t="s">
        <v>6069</v>
      </c>
      <c r="H2485" t="s">
        <v>6098</v>
      </c>
      <c r="I2485">
        <v>24</v>
      </c>
      <c r="J2485">
        <v>3.8</v>
      </c>
      <c r="K2485" t="s">
        <v>6099</v>
      </c>
      <c r="L2485" t="s">
        <v>6100</v>
      </c>
      <c r="M2485" t="s">
        <v>6100</v>
      </c>
      <c r="N2485">
        <v>5</v>
      </c>
      <c r="O2485" t="s">
        <v>6101</v>
      </c>
      <c r="P2485" t="s">
        <v>6110</v>
      </c>
      <c r="Q2485">
        <v>4</v>
      </c>
      <c r="R2485">
        <v>2026</v>
      </c>
      <c r="S2485" t="s">
        <v>6099</v>
      </c>
      <c r="T2485">
        <v>1</v>
      </c>
      <c r="U2485" t="s">
        <v>6019</v>
      </c>
      <c r="V2485">
        <v>1</v>
      </c>
    </row>
    <row r="2486" spans="1:22" x14ac:dyDescent="0.3">
      <c r="A2486" t="s">
        <v>2501</v>
      </c>
      <c r="B2486" s="2">
        <v>46129.427083333336</v>
      </c>
      <c r="C2486" s="2">
        <v>46130.32708333333</v>
      </c>
      <c r="D2486" t="s">
        <v>6027</v>
      </c>
      <c r="E2486" t="s">
        <v>6032</v>
      </c>
      <c r="F2486" t="s">
        <v>6034</v>
      </c>
      <c r="G2486" t="s">
        <v>6037</v>
      </c>
      <c r="H2486" t="s">
        <v>6096</v>
      </c>
      <c r="I2486">
        <v>24</v>
      </c>
      <c r="J2486">
        <v>21.6</v>
      </c>
      <c r="K2486" t="s">
        <v>6100</v>
      </c>
      <c r="L2486" t="s">
        <v>6100</v>
      </c>
      <c r="M2486" t="s">
        <v>6100</v>
      </c>
      <c r="N2486">
        <v>5</v>
      </c>
      <c r="O2486" t="s">
        <v>6101</v>
      </c>
      <c r="P2486" t="s">
        <v>6110</v>
      </c>
      <c r="Q2486">
        <v>4</v>
      </c>
      <c r="R2486">
        <v>2026</v>
      </c>
      <c r="S2486" t="s">
        <v>6099</v>
      </c>
      <c r="T2486">
        <v>1</v>
      </c>
      <c r="U2486" t="s">
        <v>6017</v>
      </c>
      <c r="V2486">
        <v>0</v>
      </c>
    </row>
    <row r="2487" spans="1:22" x14ac:dyDescent="0.3">
      <c r="A2487" t="s">
        <v>2502</v>
      </c>
      <c r="B2487" s="2">
        <v>46129.4375</v>
      </c>
      <c r="C2487" s="2">
        <v>46132.308333333334</v>
      </c>
      <c r="D2487" t="s">
        <v>6026</v>
      </c>
      <c r="E2487" t="s">
        <v>6031</v>
      </c>
      <c r="F2487" t="s">
        <v>6034</v>
      </c>
      <c r="G2487" t="s">
        <v>6046</v>
      </c>
      <c r="H2487" t="s">
        <v>6098</v>
      </c>
      <c r="I2487">
        <v>24</v>
      </c>
      <c r="J2487">
        <v>68.900000000000006</v>
      </c>
      <c r="K2487" t="s">
        <v>6099</v>
      </c>
      <c r="L2487" t="s">
        <v>6100</v>
      </c>
      <c r="M2487" t="s">
        <v>6100</v>
      </c>
      <c r="O2487" t="s">
        <v>6101</v>
      </c>
      <c r="P2487" t="s">
        <v>6110</v>
      </c>
      <c r="Q2487">
        <v>4</v>
      </c>
      <c r="R2487">
        <v>2026</v>
      </c>
      <c r="S2487" t="s">
        <v>6100</v>
      </c>
      <c r="T2487">
        <v>0</v>
      </c>
      <c r="U2487" t="s">
        <v>6018</v>
      </c>
      <c r="V2487">
        <v>1</v>
      </c>
    </row>
    <row r="2488" spans="1:22" x14ac:dyDescent="0.3">
      <c r="A2488" t="s">
        <v>2503</v>
      </c>
      <c r="B2488" s="2">
        <v>46129.511111111111</v>
      </c>
      <c r="C2488" s="2">
        <v>46130.148611111108</v>
      </c>
      <c r="D2488" t="s">
        <v>6025</v>
      </c>
      <c r="E2488" t="s">
        <v>6029</v>
      </c>
      <c r="F2488" t="s">
        <v>6034</v>
      </c>
      <c r="G2488" t="s">
        <v>6062</v>
      </c>
      <c r="H2488" t="s">
        <v>6096</v>
      </c>
      <c r="I2488">
        <v>24</v>
      </c>
      <c r="J2488">
        <v>15.3</v>
      </c>
      <c r="K2488" t="s">
        <v>6099</v>
      </c>
      <c r="L2488" t="s">
        <v>6100</v>
      </c>
      <c r="M2488" t="s">
        <v>6100</v>
      </c>
      <c r="N2488">
        <v>5</v>
      </c>
      <c r="O2488" t="s">
        <v>6101</v>
      </c>
      <c r="P2488" t="s">
        <v>6110</v>
      </c>
      <c r="Q2488">
        <v>4</v>
      </c>
      <c r="R2488">
        <v>2026</v>
      </c>
      <c r="S2488" t="s">
        <v>6099</v>
      </c>
      <c r="T2488">
        <v>1</v>
      </c>
      <c r="U2488" t="s">
        <v>6019</v>
      </c>
      <c r="V2488">
        <v>1</v>
      </c>
    </row>
    <row r="2489" spans="1:22" x14ac:dyDescent="0.3">
      <c r="A2489" t="s">
        <v>2504</v>
      </c>
      <c r="B2489" s="2">
        <v>46129.537499999999</v>
      </c>
      <c r="C2489" s="2">
        <v>46129.716666666667</v>
      </c>
      <c r="D2489" t="s">
        <v>6022</v>
      </c>
      <c r="E2489" t="s">
        <v>6029</v>
      </c>
      <c r="F2489" t="s">
        <v>6034</v>
      </c>
      <c r="G2489" t="s">
        <v>6044</v>
      </c>
      <c r="H2489" t="s">
        <v>6097</v>
      </c>
      <c r="I2489">
        <v>24</v>
      </c>
      <c r="J2489">
        <v>4.3</v>
      </c>
      <c r="K2489" t="s">
        <v>6099</v>
      </c>
      <c r="L2489" t="s">
        <v>6100</v>
      </c>
      <c r="M2489" t="s">
        <v>6100</v>
      </c>
      <c r="N2489">
        <v>5</v>
      </c>
      <c r="O2489" t="s">
        <v>6101</v>
      </c>
      <c r="P2489" t="s">
        <v>6110</v>
      </c>
      <c r="Q2489">
        <v>4</v>
      </c>
      <c r="R2489">
        <v>2026</v>
      </c>
      <c r="S2489" t="s">
        <v>6099</v>
      </c>
      <c r="T2489">
        <v>1</v>
      </c>
      <c r="U2489" t="s">
        <v>6021</v>
      </c>
      <c r="V2489">
        <v>1</v>
      </c>
    </row>
    <row r="2490" spans="1:22" x14ac:dyDescent="0.3">
      <c r="A2490" t="s">
        <v>2505</v>
      </c>
      <c r="B2490" s="2">
        <v>46129.555555555555</v>
      </c>
      <c r="C2490" s="2">
        <v>46131.551388888889</v>
      </c>
      <c r="D2490" t="s">
        <v>6025</v>
      </c>
      <c r="E2490" t="s">
        <v>6031</v>
      </c>
      <c r="F2490" t="s">
        <v>6034</v>
      </c>
      <c r="G2490" t="s">
        <v>6079</v>
      </c>
      <c r="H2490" t="s">
        <v>6097</v>
      </c>
      <c r="I2490">
        <v>24</v>
      </c>
      <c r="J2490">
        <v>47.9</v>
      </c>
      <c r="K2490" t="s">
        <v>6099</v>
      </c>
      <c r="L2490" t="s">
        <v>6100</v>
      </c>
      <c r="M2490" t="s">
        <v>6100</v>
      </c>
      <c r="O2490" t="s">
        <v>6101</v>
      </c>
      <c r="P2490" t="s">
        <v>6110</v>
      </c>
      <c r="Q2490">
        <v>4</v>
      </c>
      <c r="R2490">
        <v>2026</v>
      </c>
      <c r="S2490" t="s">
        <v>6100</v>
      </c>
      <c r="T2490">
        <v>0</v>
      </c>
      <c r="U2490" t="s">
        <v>6020</v>
      </c>
      <c r="V2490">
        <v>1</v>
      </c>
    </row>
    <row r="2491" spans="1:22" x14ac:dyDescent="0.3">
      <c r="A2491" t="s">
        <v>2506</v>
      </c>
      <c r="B2491" s="2">
        <v>46129.594444444447</v>
      </c>
      <c r="C2491" s="2">
        <v>46129.831944444442</v>
      </c>
      <c r="D2491" t="s">
        <v>6028</v>
      </c>
      <c r="E2491" t="s">
        <v>6029</v>
      </c>
      <c r="F2491" t="s">
        <v>6035</v>
      </c>
      <c r="G2491" t="s">
        <v>6084</v>
      </c>
      <c r="H2491" t="s">
        <v>6098</v>
      </c>
      <c r="I2491">
        <v>4</v>
      </c>
      <c r="J2491">
        <v>5.7</v>
      </c>
      <c r="K2491" t="s">
        <v>6099</v>
      </c>
      <c r="L2491" t="s">
        <v>6100</v>
      </c>
      <c r="M2491" t="s">
        <v>6100</v>
      </c>
      <c r="N2491">
        <v>4</v>
      </c>
      <c r="O2491" t="s">
        <v>6101</v>
      </c>
      <c r="P2491" t="s">
        <v>6110</v>
      </c>
      <c r="Q2491">
        <v>4</v>
      </c>
      <c r="R2491">
        <v>2026</v>
      </c>
      <c r="S2491" t="s">
        <v>6100</v>
      </c>
      <c r="T2491">
        <v>0</v>
      </c>
      <c r="U2491" t="s">
        <v>6020</v>
      </c>
      <c r="V2491">
        <v>1</v>
      </c>
    </row>
    <row r="2492" spans="1:22" x14ac:dyDescent="0.3">
      <c r="A2492" t="s">
        <v>2507</v>
      </c>
      <c r="B2492" s="2">
        <v>46129.651388888888</v>
      </c>
      <c r="C2492" s="2">
        <v>46129.909722222219</v>
      </c>
      <c r="D2492" t="s">
        <v>6028</v>
      </c>
      <c r="E2492" t="s">
        <v>6031</v>
      </c>
      <c r="F2492" t="s">
        <v>6034</v>
      </c>
      <c r="G2492" t="s">
        <v>6052</v>
      </c>
      <c r="H2492" t="s">
        <v>6098</v>
      </c>
      <c r="I2492">
        <v>24</v>
      </c>
      <c r="J2492">
        <v>6.2</v>
      </c>
      <c r="K2492" t="s">
        <v>6099</v>
      </c>
      <c r="L2492" t="s">
        <v>6100</v>
      </c>
      <c r="M2492" t="s">
        <v>6100</v>
      </c>
      <c r="N2492">
        <v>5</v>
      </c>
      <c r="O2492" t="s">
        <v>6101</v>
      </c>
      <c r="P2492" t="s">
        <v>6110</v>
      </c>
      <c r="Q2492">
        <v>4</v>
      </c>
      <c r="R2492">
        <v>2026</v>
      </c>
      <c r="S2492" t="s">
        <v>6099</v>
      </c>
      <c r="T2492">
        <v>1</v>
      </c>
      <c r="U2492" t="s">
        <v>6020</v>
      </c>
      <c r="V2492">
        <v>1</v>
      </c>
    </row>
    <row r="2493" spans="1:22" x14ac:dyDescent="0.3">
      <c r="A2493" t="s">
        <v>2508</v>
      </c>
      <c r="B2493" s="2">
        <v>46129.684027777781</v>
      </c>
      <c r="C2493" s="2">
        <v>46132.813194444447</v>
      </c>
      <c r="D2493" t="s">
        <v>6022</v>
      </c>
      <c r="E2493" t="s">
        <v>6031</v>
      </c>
      <c r="F2493" t="s">
        <v>6034</v>
      </c>
      <c r="G2493" t="s">
        <v>6069</v>
      </c>
      <c r="H2493" t="s">
        <v>6098</v>
      </c>
      <c r="I2493">
        <v>24</v>
      </c>
      <c r="J2493">
        <v>75.099999999999994</v>
      </c>
      <c r="K2493" t="s">
        <v>6100</v>
      </c>
      <c r="L2493" t="s">
        <v>6099</v>
      </c>
      <c r="M2493" t="s">
        <v>6099</v>
      </c>
      <c r="N2493">
        <v>3</v>
      </c>
      <c r="O2493" t="s">
        <v>6101</v>
      </c>
      <c r="P2493" t="s">
        <v>6110</v>
      </c>
      <c r="Q2493">
        <v>4</v>
      </c>
      <c r="R2493">
        <v>2026</v>
      </c>
      <c r="S2493" t="s">
        <v>6100</v>
      </c>
      <c r="T2493">
        <v>0</v>
      </c>
      <c r="U2493" t="s">
        <v>6019</v>
      </c>
      <c r="V2493">
        <v>0</v>
      </c>
    </row>
    <row r="2494" spans="1:22" x14ac:dyDescent="0.3">
      <c r="A2494" t="s">
        <v>2509</v>
      </c>
      <c r="B2494" s="2">
        <v>46129.713194444441</v>
      </c>
      <c r="C2494" s="2">
        <v>46130.079861111109</v>
      </c>
      <c r="D2494" t="s">
        <v>6024</v>
      </c>
      <c r="E2494" t="s">
        <v>6030</v>
      </c>
      <c r="F2494" t="s">
        <v>6033</v>
      </c>
      <c r="G2494" t="s">
        <v>6083</v>
      </c>
      <c r="H2494" t="s">
        <v>6096</v>
      </c>
      <c r="I2494">
        <v>72</v>
      </c>
      <c r="J2494">
        <v>8.8000000000000007</v>
      </c>
      <c r="K2494" t="s">
        <v>6100</v>
      </c>
      <c r="L2494" t="s">
        <v>6099</v>
      </c>
      <c r="M2494" t="s">
        <v>6100</v>
      </c>
      <c r="N2494">
        <v>5</v>
      </c>
      <c r="O2494" t="s">
        <v>6101</v>
      </c>
      <c r="P2494" t="s">
        <v>6110</v>
      </c>
      <c r="Q2494">
        <v>4</v>
      </c>
      <c r="R2494">
        <v>2026</v>
      </c>
      <c r="S2494" t="s">
        <v>6099</v>
      </c>
      <c r="T2494">
        <v>1</v>
      </c>
      <c r="U2494" t="s">
        <v>6021</v>
      </c>
      <c r="V2494">
        <v>0</v>
      </c>
    </row>
    <row r="2495" spans="1:22" x14ac:dyDescent="0.3">
      <c r="A2495" t="s">
        <v>2510</v>
      </c>
      <c r="B2495" s="2">
        <v>46129.763194444444</v>
      </c>
      <c r="C2495" s="2">
        <v>46130.538194444445</v>
      </c>
      <c r="D2495" t="s">
        <v>6022</v>
      </c>
      <c r="E2495" t="s">
        <v>6031</v>
      </c>
      <c r="F2495" t="s">
        <v>6034</v>
      </c>
      <c r="G2495" t="s">
        <v>6049</v>
      </c>
      <c r="H2495" t="s">
        <v>6097</v>
      </c>
      <c r="I2495">
        <v>24</v>
      </c>
      <c r="J2495">
        <v>18.600000000000001</v>
      </c>
      <c r="K2495" t="s">
        <v>6099</v>
      </c>
      <c r="L2495" t="s">
        <v>6100</v>
      </c>
      <c r="M2495" t="s">
        <v>6100</v>
      </c>
      <c r="N2495">
        <v>4</v>
      </c>
      <c r="O2495" t="s">
        <v>6101</v>
      </c>
      <c r="P2495" t="s">
        <v>6110</v>
      </c>
      <c r="Q2495">
        <v>4</v>
      </c>
      <c r="R2495">
        <v>2026</v>
      </c>
      <c r="S2495" t="s">
        <v>6099</v>
      </c>
      <c r="T2495">
        <v>1</v>
      </c>
      <c r="U2495" t="s">
        <v>6018</v>
      </c>
      <c r="V2495">
        <v>1</v>
      </c>
    </row>
    <row r="2496" spans="1:22" x14ac:dyDescent="0.3">
      <c r="A2496" t="s">
        <v>2511</v>
      </c>
      <c r="B2496" s="2">
        <v>46129.796527777777</v>
      </c>
      <c r="C2496" s="2">
        <v>46130.638194444444</v>
      </c>
      <c r="D2496" t="s">
        <v>6022</v>
      </c>
      <c r="E2496" t="s">
        <v>6030</v>
      </c>
      <c r="F2496" t="s">
        <v>6033</v>
      </c>
      <c r="G2496" t="s">
        <v>6055</v>
      </c>
      <c r="H2496" t="s">
        <v>6096</v>
      </c>
      <c r="I2496">
        <v>72</v>
      </c>
      <c r="J2496">
        <v>20.2</v>
      </c>
      <c r="K2496" t="s">
        <v>6100</v>
      </c>
      <c r="L2496" t="s">
        <v>6100</v>
      </c>
      <c r="M2496" t="s">
        <v>6100</v>
      </c>
      <c r="N2496">
        <v>5</v>
      </c>
      <c r="O2496" t="s">
        <v>6101</v>
      </c>
      <c r="P2496" t="s">
        <v>6110</v>
      </c>
      <c r="Q2496">
        <v>4</v>
      </c>
      <c r="R2496">
        <v>2026</v>
      </c>
      <c r="S2496" t="s">
        <v>6099</v>
      </c>
      <c r="T2496">
        <v>1</v>
      </c>
      <c r="U2496" t="s">
        <v>6019</v>
      </c>
      <c r="V2496">
        <v>0</v>
      </c>
    </row>
    <row r="2497" spans="1:22" x14ac:dyDescent="0.3">
      <c r="A2497" t="s">
        <v>2512</v>
      </c>
      <c r="B2497" s="2">
        <v>46130.113194444442</v>
      </c>
      <c r="C2497" s="2">
        <v>46131.829861111109</v>
      </c>
      <c r="D2497" t="s">
        <v>6022</v>
      </c>
      <c r="E2497" t="s">
        <v>6029</v>
      </c>
      <c r="F2497" t="s">
        <v>6034</v>
      </c>
      <c r="G2497" t="s">
        <v>6058</v>
      </c>
      <c r="H2497" t="s">
        <v>6098</v>
      </c>
      <c r="I2497">
        <v>24</v>
      </c>
      <c r="J2497">
        <v>41.2</v>
      </c>
      <c r="K2497" t="s">
        <v>6100</v>
      </c>
      <c r="L2497" t="s">
        <v>6099</v>
      </c>
      <c r="M2497" t="s">
        <v>6100</v>
      </c>
      <c r="O2497" t="s">
        <v>6101</v>
      </c>
      <c r="P2497" t="s">
        <v>6110</v>
      </c>
      <c r="Q2497">
        <v>4</v>
      </c>
      <c r="R2497">
        <v>2026</v>
      </c>
      <c r="S2497" t="s">
        <v>6100</v>
      </c>
      <c r="T2497">
        <v>0</v>
      </c>
      <c r="U2497" t="s">
        <v>6019</v>
      </c>
      <c r="V2497">
        <v>0</v>
      </c>
    </row>
    <row r="2498" spans="1:22" x14ac:dyDescent="0.3">
      <c r="A2498" t="s">
        <v>2513</v>
      </c>
      <c r="B2498" s="2">
        <v>46130.170138888891</v>
      </c>
      <c r="C2498" s="2">
        <v>46130.695138888892</v>
      </c>
      <c r="D2498" t="s">
        <v>6024</v>
      </c>
      <c r="E2498" t="s">
        <v>6029</v>
      </c>
      <c r="F2498" t="s">
        <v>6033</v>
      </c>
      <c r="G2498" t="s">
        <v>6062</v>
      </c>
      <c r="H2498" t="s">
        <v>6096</v>
      </c>
      <c r="I2498">
        <v>72</v>
      </c>
      <c r="J2498">
        <v>12.6</v>
      </c>
      <c r="K2498" t="s">
        <v>6099</v>
      </c>
      <c r="L2498" t="s">
        <v>6100</v>
      </c>
      <c r="M2498" t="s">
        <v>6100</v>
      </c>
      <c r="N2498">
        <v>5</v>
      </c>
      <c r="O2498" t="s">
        <v>6101</v>
      </c>
      <c r="P2498" t="s">
        <v>6110</v>
      </c>
      <c r="Q2498">
        <v>4</v>
      </c>
      <c r="R2498">
        <v>2026</v>
      </c>
      <c r="S2498" t="s">
        <v>6099</v>
      </c>
      <c r="T2498">
        <v>1</v>
      </c>
      <c r="U2498" t="s">
        <v>6019</v>
      </c>
      <c r="V2498">
        <v>1</v>
      </c>
    </row>
    <row r="2499" spans="1:22" x14ac:dyDescent="0.3">
      <c r="A2499" t="s">
        <v>2514</v>
      </c>
      <c r="B2499" s="2">
        <v>46130.224305555559</v>
      </c>
      <c r="C2499" s="2">
        <v>46130.799305555556</v>
      </c>
      <c r="D2499" t="s">
        <v>6022</v>
      </c>
      <c r="E2499" t="s">
        <v>6030</v>
      </c>
      <c r="F2499" t="s">
        <v>6034</v>
      </c>
      <c r="G2499" t="s">
        <v>6079</v>
      </c>
      <c r="H2499" t="s">
        <v>6097</v>
      </c>
      <c r="I2499">
        <v>24</v>
      </c>
      <c r="J2499">
        <v>13.8</v>
      </c>
      <c r="K2499" t="s">
        <v>6099</v>
      </c>
      <c r="L2499" t="s">
        <v>6100</v>
      </c>
      <c r="M2499" t="s">
        <v>6099</v>
      </c>
      <c r="O2499" t="s">
        <v>6101</v>
      </c>
      <c r="P2499" t="s">
        <v>6110</v>
      </c>
      <c r="Q2499">
        <v>4</v>
      </c>
      <c r="R2499">
        <v>2026</v>
      </c>
      <c r="S2499" t="s">
        <v>6099</v>
      </c>
      <c r="T2499">
        <v>1</v>
      </c>
      <c r="U2499" t="s">
        <v>6018</v>
      </c>
      <c r="V2499">
        <v>1</v>
      </c>
    </row>
    <row r="2500" spans="1:22" x14ac:dyDescent="0.3">
      <c r="A2500" t="s">
        <v>2515</v>
      </c>
      <c r="B2500" s="2">
        <v>46130.258333333331</v>
      </c>
      <c r="C2500" s="2">
        <v>46130.570833333331</v>
      </c>
      <c r="D2500" t="s">
        <v>6027</v>
      </c>
      <c r="E2500" t="s">
        <v>6029</v>
      </c>
      <c r="F2500" t="s">
        <v>6033</v>
      </c>
      <c r="G2500" t="s">
        <v>6089</v>
      </c>
      <c r="H2500" t="s">
        <v>6098</v>
      </c>
      <c r="I2500">
        <v>72</v>
      </c>
      <c r="J2500">
        <v>7.5</v>
      </c>
      <c r="K2500" t="s">
        <v>6099</v>
      </c>
      <c r="L2500" t="s">
        <v>6100</v>
      </c>
      <c r="M2500" t="s">
        <v>6100</v>
      </c>
      <c r="N2500">
        <v>4</v>
      </c>
      <c r="O2500" t="s">
        <v>6101</v>
      </c>
      <c r="P2500" t="s">
        <v>6110</v>
      </c>
      <c r="Q2500">
        <v>4</v>
      </c>
      <c r="R2500">
        <v>2026</v>
      </c>
      <c r="S2500" t="s">
        <v>6099</v>
      </c>
      <c r="T2500">
        <v>1</v>
      </c>
      <c r="U2500" t="s">
        <v>6018</v>
      </c>
      <c r="V2500">
        <v>1</v>
      </c>
    </row>
    <row r="2501" spans="1:22" x14ac:dyDescent="0.3">
      <c r="A2501" t="s">
        <v>2516</v>
      </c>
      <c r="B2501" s="2">
        <v>46130.283333333333</v>
      </c>
      <c r="C2501" s="2">
        <v>46131.39166666667</v>
      </c>
      <c r="D2501" t="s">
        <v>6025</v>
      </c>
      <c r="E2501" t="s">
        <v>6029</v>
      </c>
      <c r="F2501" t="s">
        <v>6033</v>
      </c>
      <c r="G2501" t="s">
        <v>6037</v>
      </c>
      <c r="H2501" t="s">
        <v>6096</v>
      </c>
      <c r="I2501">
        <v>72</v>
      </c>
      <c r="J2501">
        <v>26.6</v>
      </c>
      <c r="K2501" t="s">
        <v>6099</v>
      </c>
      <c r="L2501" t="s">
        <v>6100</v>
      </c>
      <c r="M2501" t="s">
        <v>6100</v>
      </c>
      <c r="O2501" t="s">
        <v>6101</v>
      </c>
      <c r="P2501" t="s">
        <v>6110</v>
      </c>
      <c r="Q2501">
        <v>4</v>
      </c>
      <c r="R2501">
        <v>2026</v>
      </c>
      <c r="S2501" t="s">
        <v>6099</v>
      </c>
      <c r="T2501">
        <v>1</v>
      </c>
      <c r="U2501" t="s">
        <v>6018</v>
      </c>
      <c r="V2501">
        <v>1</v>
      </c>
    </row>
    <row r="2502" spans="1:22" x14ac:dyDescent="0.3">
      <c r="A2502" t="s">
        <v>2517</v>
      </c>
      <c r="B2502" s="2">
        <v>46130.295138888891</v>
      </c>
      <c r="C2502" s="2">
        <v>46136.582638888889</v>
      </c>
      <c r="D2502" t="s">
        <v>6026</v>
      </c>
      <c r="E2502" t="s">
        <v>6029</v>
      </c>
      <c r="F2502" t="s">
        <v>6033</v>
      </c>
      <c r="G2502" t="s">
        <v>6061</v>
      </c>
      <c r="H2502" t="s">
        <v>6096</v>
      </c>
      <c r="I2502">
        <v>72</v>
      </c>
      <c r="J2502">
        <v>150.9</v>
      </c>
      <c r="K2502" t="s">
        <v>6100</v>
      </c>
      <c r="L2502" t="s">
        <v>6100</v>
      </c>
      <c r="M2502" t="s">
        <v>6100</v>
      </c>
      <c r="N2502">
        <v>5</v>
      </c>
      <c r="O2502" t="s">
        <v>6101</v>
      </c>
      <c r="P2502" t="s">
        <v>6110</v>
      </c>
      <c r="Q2502">
        <v>4</v>
      </c>
      <c r="R2502">
        <v>2026</v>
      </c>
      <c r="S2502" t="s">
        <v>6100</v>
      </c>
      <c r="T2502">
        <v>0</v>
      </c>
      <c r="U2502" t="s">
        <v>6018</v>
      </c>
      <c r="V2502">
        <v>0</v>
      </c>
    </row>
    <row r="2503" spans="1:22" x14ac:dyDescent="0.3">
      <c r="A2503" t="s">
        <v>2518</v>
      </c>
      <c r="B2503" s="2">
        <v>46130.307638888888</v>
      </c>
      <c r="C2503" s="2">
        <v>46131.178472222222</v>
      </c>
      <c r="D2503" t="s">
        <v>6024</v>
      </c>
      <c r="E2503" t="s">
        <v>6032</v>
      </c>
      <c r="F2503" t="s">
        <v>6034</v>
      </c>
      <c r="G2503" t="s">
        <v>6037</v>
      </c>
      <c r="H2503" t="s">
        <v>6096</v>
      </c>
      <c r="I2503">
        <v>24</v>
      </c>
      <c r="J2503">
        <v>20.9</v>
      </c>
      <c r="K2503" t="s">
        <v>6099</v>
      </c>
      <c r="L2503" t="s">
        <v>6100</v>
      </c>
      <c r="M2503" t="s">
        <v>6100</v>
      </c>
      <c r="N2503">
        <v>4</v>
      </c>
      <c r="O2503" t="s">
        <v>6101</v>
      </c>
      <c r="P2503" t="s">
        <v>6110</v>
      </c>
      <c r="Q2503">
        <v>4</v>
      </c>
      <c r="R2503">
        <v>2026</v>
      </c>
      <c r="S2503" t="s">
        <v>6099</v>
      </c>
      <c r="T2503">
        <v>1</v>
      </c>
      <c r="U2503" t="s">
        <v>6020</v>
      </c>
      <c r="V2503">
        <v>1</v>
      </c>
    </row>
    <row r="2504" spans="1:22" x14ac:dyDescent="0.3">
      <c r="A2504" t="s">
        <v>2519</v>
      </c>
      <c r="B2504" s="2">
        <v>46130.311805555553</v>
      </c>
      <c r="C2504" s="2">
        <v>46132.070138888892</v>
      </c>
      <c r="D2504" t="s">
        <v>6028</v>
      </c>
      <c r="E2504" t="s">
        <v>6031</v>
      </c>
      <c r="F2504" t="s">
        <v>6035</v>
      </c>
      <c r="G2504" t="s">
        <v>6090</v>
      </c>
      <c r="H2504" t="s">
        <v>6097</v>
      </c>
      <c r="I2504">
        <v>4</v>
      </c>
      <c r="J2504">
        <v>42.2</v>
      </c>
      <c r="K2504" t="s">
        <v>6099</v>
      </c>
      <c r="L2504" t="s">
        <v>6100</v>
      </c>
      <c r="M2504" t="s">
        <v>6099</v>
      </c>
      <c r="O2504" t="s">
        <v>6101</v>
      </c>
      <c r="P2504" t="s">
        <v>6110</v>
      </c>
      <c r="Q2504">
        <v>4</v>
      </c>
      <c r="R2504">
        <v>2026</v>
      </c>
      <c r="S2504" t="s">
        <v>6100</v>
      </c>
      <c r="T2504">
        <v>0</v>
      </c>
      <c r="U2504" t="s">
        <v>6020</v>
      </c>
      <c r="V2504">
        <v>1</v>
      </c>
    </row>
    <row r="2505" spans="1:22" x14ac:dyDescent="0.3">
      <c r="A2505" t="s">
        <v>2520</v>
      </c>
      <c r="B2505" s="2">
        <v>46130.31527777778</v>
      </c>
      <c r="C2505" s="2">
        <v>46130.644444444442</v>
      </c>
      <c r="D2505" t="s">
        <v>6024</v>
      </c>
      <c r="E2505" t="s">
        <v>6030</v>
      </c>
      <c r="F2505" t="s">
        <v>6034</v>
      </c>
      <c r="G2505" t="s">
        <v>6039</v>
      </c>
      <c r="H2505" t="s">
        <v>6097</v>
      </c>
      <c r="I2505">
        <v>24</v>
      </c>
      <c r="J2505">
        <v>7.9</v>
      </c>
      <c r="K2505" t="s">
        <v>6099</v>
      </c>
      <c r="L2505" t="s">
        <v>6100</v>
      </c>
      <c r="M2505" t="s">
        <v>6100</v>
      </c>
      <c r="N2505">
        <v>4</v>
      </c>
      <c r="O2505" t="s">
        <v>6101</v>
      </c>
      <c r="P2505" t="s">
        <v>6110</v>
      </c>
      <c r="Q2505">
        <v>4</v>
      </c>
      <c r="R2505">
        <v>2026</v>
      </c>
      <c r="S2505" t="s">
        <v>6099</v>
      </c>
      <c r="T2505">
        <v>1</v>
      </c>
      <c r="U2505" t="s">
        <v>6021</v>
      </c>
      <c r="V2505">
        <v>1</v>
      </c>
    </row>
    <row r="2506" spans="1:22" x14ac:dyDescent="0.3">
      <c r="A2506" t="s">
        <v>2521</v>
      </c>
      <c r="B2506" s="2">
        <v>46130.34097222222</v>
      </c>
      <c r="C2506" s="2">
        <v>46130.857638888891</v>
      </c>
      <c r="D2506" t="s">
        <v>6024</v>
      </c>
      <c r="E2506" t="s">
        <v>6029</v>
      </c>
      <c r="F2506" t="s">
        <v>6034</v>
      </c>
      <c r="G2506" t="s">
        <v>6082</v>
      </c>
      <c r="H2506" t="s">
        <v>6097</v>
      </c>
      <c r="I2506">
        <v>24</v>
      </c>
      <c r="J2506">
        <v>12.4</v>
      </c>
      <c r="K2506" t="s">
        <v>6099</v>
      </c>
      <c r="L2506" t="s">
        <v>6100</v>
      </c>
      <c r="M2506" t="s">
        <v>6100</v>
      </c>
      <c r="O2506" t="s">
        <v>6101</v>
      </c>
      <c r="P2506" t="s">
        <v>6110</v>
      </c>
      <c r="Q2506">
        <v>4</v>
      </c>
      <c r="R2506">
        <v>2026</v>
      </c>
      <c r="S2506" t="s">
        <v>6099</v>
      </c>
      <c r="T2506">
        <v>1</v>
      </c>
      <c r="U2506" t="s">
        <v>6019</v>
      </c>
      <c r="V2506">
        <v>1</v>
      </c>
    </row>
    <row r="2507" spans="1:22" x14ac:dyDescent="0.3">
      <c r="A2507" t="s">
        <v>2522</v>
      </c>
      <c r="B2507" s="2">
        <v>46130.353472222225</v>
      </c>
      <c r="C2507" s="2">
        <v>46130.445138888892</v>
      </c>
      <c r="D2507" t="s">
        <v>6028</v>
      </c>
      <c r="E2507" t="s">
        <v>6029</v>
      </c>
      <c r="F2507" t="s">
        <v>6035</v>
      </c>
      <c r="G2507" t="s">
        <v>6052</v>
      </c>
      <c r="H2507" t="s">
        <v>6098</v>
      </c>
      <c r="I2507">
        <v>4</v>
      </c>
      <c r="J2507">
        <v>2.2000000000000002</v>
      </c>
      <c r="K2507" t="s">
        <v>6100</v>
      </c>
      <c r="L2507" t="s">
        <v>6099</v>
      </c>
      <c r="M2507" t="s">
        <v>6100</v>
      </c>
      <c r="N2507">
        <v>5</v>
      </c>
      <c r="O2507" t="s">
        <v>6101</v>
      </c>
      <c r="P2507" t="s">
        <v>6110</v>
      </c>
      <c r="Q2507">
        <v>4</v>
      </c>
      <c r="R2507">
        <v>2026</v>
      </c>
      <c r="S2507" t="s">
        <v>6099</v>
      </c>
      <c r="T2507">
        <v>1</v>
      </c>
      <c r="U2507" t="s">
        <v>6018</v>
      </c>
      <c r="V2507">
        <v>0</v>
      </c>
    </row>
    <row r="2508" spans="1:22" x14ac:dyDescent="0.3">
      <c r="A2508" t="s">
        <v>2523</v>
      </c>
      <c r="B2508" s="2">
        <v>46130.400000000001</v>
      </c>
      <c r="C2508" s="2">
        <v>46133.7</v>
      </c>
      <c r="D2508" t="s">
        <v>6026</v>
      </c>
      <c r="E2508" t="s">
        <v>6031</v>
      </c>
      <c r="F2508" t="s">
        <v>6033</v>
      </c>
      <c r="G2508" t="s">
        <v>6092</v>
      </c>
      <c r="H2508" t="s">
        <v>6097</v>
      </c>
      <c r="I2508">
        <v>72</v>
      </c>
      <c r="J2508">
        <v>79.2</v>
      </c>
      <c r="K2508" t="s">
        <v>6099</v>
      </c>
      <c r="L2508" t="s">
        <v>6100</v>
      </c>
      <c r="M2508" t="s">
        <v>6100</v>
      </c>
      <c r="N2508">
        <v>4</v>
      </c>
      <c r="O2508" t="s">
        <v>6101</v>
      </c>
      <c r="P2508" t="s">
        <v>6110</v>
      </c>
      <c r="Q2508">
        <v>4</v>
      </c>
      <c r="R2508">
        <v>2026</v>
      </c>
      <c r="S2508" t="s">
        <v>6100</v>
      </c>
      <c r="T2508">
        <v>0</v>
      </c>
      <c r="U2508" t="s">
        <v>6020</v>
      </c>
      <c r="V2508">
        <v>1</v>
      </c>
    </row>
    <row r="2509" spans="1:22" x14ac:dyDescent="0.3">
      <c r="A2509" t="s">
        <v>2524</v>
      </c>
      <c r="B2509" s="2">
        <v>46130.425000000003</v>
      </c>
      <c r="C2509" s="2">
        <v>46135.208333333336</v>
      </c>
      <c r="D2509" t="s">
        <v>6025</v>
      </c>
      <c r="E2509" t="s">
        <v>6031</v>
      </c>
      <c r="F2509" t="s">
        <v>6034</v>
      </c>
      <c r="G2509" t="s">
        <v>6095</v>
      </c>
      <c r="H2509" t="s">
        <v>6098</v>
      </c>
      <c r="I2509">
        <v>24</v>
      </c>
      <c r="J2509">
        <v>114.8</v>
      </c>
      <c r="K2509" t="s">
        <v>6099</v>
      </c>
      <c r="L2509" t="s">
        <v>6100</v>
      </c>
      <c r="M2509" t="s">
        <v>6100</v>
      </c>
      <c r="N2509">
        <v>4</v>
      </c>
      <c r="O2509" t="s">
        <v>6101</v>
      </c>
      <c r="P2509" t="s">
        <v>6110</v>
      </c>
      <c r="Q2509">
        <v>4</v>
      </c>
      <c r="R2509">
        <v>2026</v>
      </c>
      <c r="S2509" t="s">
        <v>6100</v>
      </c>
      <c r="T2509">
        <v>0</v>
      </c>
      <c r="U2509" t="s">
        <v>6019</v>
      </c>
      <c r="V2509">
        <v>1</v>
      </c>
    </row>
    <row r="2510" spans="1:22" x14ac:dyDescent="0.3">
      <c r="A2510" t="s">
        <v>2525</v>
      </c>
      <c r="B2510" s="2">
        <v>46130.429861111108</v>
      </c>
      <c r="C2510" s="2">
        <v>46130.975694444445</v>
      </c>
      <c r="D2510" t="s">
        <v>6023</v>
      </c>
      <c r="E2510" t="s">
        <v>6029</v>
      </c>
      <c r="F2510" t="s">
        <v>6034</v>
      </c>
      <c r="G2510" t="s">
        <v>6084</v>
      </c>
      <c r="H2510" t="s">
        <v>6098</v>
      </c>
      <c r="I2510">
        <v>24</v>
      </c>
      <c r="J2510">
        <v>13.1</v>
      </c>
      <c r="K2510" t="s">
        <v>6099</v>
      </c>
      <c r="L2510" t="s">
        <v>6100</v>
      </c>
      <c r="M2510" t="s">
        <v>6100</v>
      </c>
      <c r="N2510">
        <v>4</v>
      </c>
      <c r="O2510" t="s">
        <v>6101</v>
      </c>
      <c r="P2510" t="s">
        <v>6110</v>
      </c>
      <c r="Q2510">
        <v>4</v>
      </c>
      <c r="R2510">
        <v>2026</v>
      </c>
      <c r="S2510" t="s">
        <v>6099</v>
      </c>
      <c r="T2510">
        <v>1</v>
      </c>
      <c r="U2510" t="s">
        <v>6018</v>
      </c>
      <c r="V2510">
        <v>1</v>
      </c>
    </row>
    <row r="2511" spans="1:22" x14ac:dyDescent="0.3">
      <c r="A2511" t="s">
        <v>2526</v>
      </c>
      <c r="B2511" s="2">
        <v>46130.433333333334</v>
      </c>
      <c r="C2511" s="2">
        <v>46130.979166666664</v>
      </c>
      <c r="D2511" t="s">
        <v>6027</v>
      </c>
      <c r="E2511" t="s">
        <v>6029</v>
      </c>
      <c r="F2511" t="s">
        <v>6034</v>
      </c>
      <c r="G2511" t="s">
        <v>6039</v>
      </c>
      <c r="H2511" t="s">
        <v>6097</v>
      </c>
      <c r="I2511">
        <v>24</v>
      </c>
      <c r="J2511">
        <v>13.1</v>
      </c>
      <c r="K2511" t="s">
        <v>6100</v>
      </c>
      <c r="L2511" t="s">
        <v>6099</v>
      </c>
      <c r="M2511" t="s">
        <v>6100</v>
      </c>
      <c r="N2511">
        <v>5</v>
      </c>
      <c r="O2511" t="s">
        <v>6101</v>
      </c>
      <c r="P2511" t="s">
        <v>6110</v>
      </c>
      <c r="Q2511">
        <v>4</v>
      </c>
      <c r="R2511">
        <v>2026</v>
      </c>
      <c r="S2511" t="s">
        <v>6099</v>
      </c>
      <c r="T2511">
        <v>1</v>
      </c>
      <c r="U2511" t="s">
        <v>6019</v>
      </c>
      <c r="V2511">
        <v>0</v>
      </c>
    </row>
    <row r="2512" spans="1:22" x14ac:dyDescent="0.3">
      <c r="A2512" t="s">
        <v>2527</v>
      </c>
      <c r="B2512" s="2">
        <v>46130.439583333333</v>
      </c>
      <c r="C2512" s="2">
        <v>46130.977083333331</v>
      </c>
      <c r="D2512" t="s">
        <v>6022</v>
      </c>
      <c r="E2512" t="s">
        <v>6030</v>
      </c>
      <c r="F2512" t="s">
        <v>6034</v>
      </c>
      <c r="G2512" t="s">
        <v>6078</v>
      </c>
      <c r="H2512" t="s">
        <v>6097</v>
      </c>
      <c r="I2512">
        <v>24</v>
      </c>
      <c r="J2512">
        <v>12.9</v>
      </c>
      <c r="K2512" t="s">
        <v>6100</v>
      </c>
      <c r="L2512" t="s">
        <v>6099</v>
      </c>
      <c r="M2512" t="s">
        <v>6100</v>
      </c>
      <c r="O2512" t="s">
        <v>6101</v>
      </c>
      <c r="P2512" t="s">
        <v>6110</v>
      </c>
      <c r="Q2512">
        <v>4</v>
      </c>
      <c r="R2512">
        <v>2026</v>
      </c>
      <c r="S2512" t="s">
        <v>6099</v>
      </c>
      <c r="T2512">
        <v>1</v>
      </c>
      <c r="U2512" t="s">
        <v>6021</v>
      </c>
      <c r="V2512">
        <v>0</v>
      </c>
    </row>
    <row r="2513" spans="1:22" x14ac:dyDescent="0.3">
      <c r="A2513" t="s">
        <v>2528</v>
      </c>
      <c r="B2513" s="2">
        <v>46130.448611111111</v>
      </c>
      <c r="C2513" s="2">
        <v>46131.890277777777</v>
      </c>
      <c r="D2513" t="s">
        <v>6025</v>
      </c>
      <c r="E2513" t="s">
        <v>6029</v>
      </c>
      <c r="F2513" t="s">
        <v>6034</v>
      </c>
      <c r="G2513" t="s">
        <v>6059</v>
      </c>
      <c r="H2513" t="s">
        <v>6097</v>
      </c>
      <c r="I2513">
        <v>24</v>
      </c>
      <c r="J2513">
        <v>34.6</v>
      </c>
      <c r="K2513" t="s">
        <v>6099</v>
      </c>
      <c r="L2513" t="s">
        <v>6100</v>
      </c>
      <c r="M2513" t="s">
        <v>6100</v>
      </c>
      <c r="O2513" t="s">
        <v>6101</v>
      </c>
      <c r="P2513" t="s">
        <v>6110</v>
      </c>
      <c r="Q2513">
        <v>4</v>
      </c>
      <c r="R2513">
        <v>2026</v>
      </c>
      <c r="S2513" t="s">
        <v>6100</v>
      </c>
      <c r="T2513">
        <v>0</v>
      </c>
      <c r="U2513" t="s">
        <v>6019</v>
      </c>
      <c r="V2513">
        <v>1</v>
      </c>
    </row>
    <row r="2514" spans="1:22" x14ac:dyDescent="0.3">
      <c r="A2514" t="s">
        <v>2529</v>
      </c>
      <c r="B2514" s="2">
        <v>46130.451388888891</v>
      </c>
      <c r="C2514" s="2">
        <v>46131.62222222222</v>
      </c>
      <c r="D2514" t="s">
        <v>6024</v>
      </c>
      <c r="E2514" t="s">
        <v>6030</v>
      </c>
      <c r="F2514" t="s">
        <v>6034</v>
      </c>
      <c r="G2514" t="s">
        <v>6041</v>
      </c>
      <c r="H2514" t="s">
        <v>6096</v>
      </c>
      <c r="I2514">
        <v>24</v>
      </c>
      <c r="J2514">
        <v>28.1</v>
      </c>
      <c r="K2514" t="s">
        <v>6100</v>
      </c>
      <c r="L2514" t="s">
        <v>6099</v>
      </c>
      <c r="M2514" t="s">
        <v>6099</v>
      </c>
      <c r="N2514">
        <v>4</v>
      </c>
      <c r="O2514" t="s">
        <v>6101</v>
      </c>
      <c r="P2514" t="s">
        <v>6110</v>
      </c>
      <c r="Q2514">
        <v>4</v>
      </c>
      <c r="R2514">
        <v>2026</v>
      </c>
      <c r="S2514" t="s">
        <v>6100</v>
      </c>
      <c r="T2514">
        <v>0</v>
      </c>
      <c r="U2514" t="s">
        <v>6017</v>
      </c>
      <c r="V2514">
        <v>0</v>
      </c>
    </row>
    <row r="2515" spans="1:22" x14ac:dyDescent="0.3">
      <c r="A2515" t="s">
        <v>2530</v>
      </c>
      <c r="B2515" s="2">
        <v>46130.473611111112</v>
      </c>
      <c r="C2515" s="2">
        <v>46131.390277777777</v>
      </c>
      <c r="D2515" t="s">
        <v>6028</v>
      </c>
      <c r="E2515" t="s">
        <v>6032</v>
      </c>
      <c r="F2515" t="s">
        <v>6034</v>
      </c>
      <c r="G2515" t="s">
        <v>6082</v>
      </c>
      <c r="H2515" t="s">
        <v>6097</v>
      </c>
      <c r="I2515">
        <v>24</v>
      </c>
      <c r="J2515">
        <v>22</v>
      </c>
      <c r="K2515" t="s">
        <v>6099</v>
      </c>
      <c r="L2515" t="s">
        <v>6100</v>
      </c>
      <c r="M2515" t="s">
        <v>6100</v>
      </c>
      <c r="N2515">
        <v>4</v>
      </c>
      <c r="O2515" t="s">
        <v>6101</v>
      </c>
      <c r="P2515" t="s">
        <v>6110</v>
      </c>
      <c r="Q2515">
        <v>4</v>
      </c>
      <c r="R2515">
        <v>2026</v>
      </c>
      <c r="S2515" t="s">
        <v>6099</v>
      </c>
      <c r="T2515">
        <v>1</v>
      </c>
      <c r="U2515" t="s">
        <v>6019</v>
      </c>
      <c r="V2515">
        <v>1</v>
      </c>
    </row>
    <row r="2516" spans="1:22" x14ac:dyDescent="0.3">
      <c r="A2516" t="s">
        <v>2531</v>
      </c>
      <c r="B2516" s="2">
        <v>46130.476388888892</v>
      </c>
      <c r="C2516" s="2">
        <v>46130.888888888891</v>
      </c>
      <c r="D2516" t="s">
        <v>6024</v>
      </c>
      <c r="E2516" t="s">
        <v>6030</v>
      </c>
      <c r="F2516" t="s">
        <v>6035</v>
      </c>
      <c r="G2516" t="s">
        <v>6068</v>
      </c>
      <c r="H2516" t="s">
        <v>6098</v>
      </c>
      <c r="I2516">
        <v>4</v>
      </c>
      <c r="J2516">
        <v>9.9</v>
      </c>
      <c r="K2516" t="s">
        <v>6100</v>
      </c>
      <c r="L2516" t="s">
        <v>6099</v>
      </c>
      <c r="M2516" t="s">
        <v>6100</v>
      </c>
      <c r="N2516">
        <v>4</v>
      </c>
      <c r="O2516" t="s">
        <v>6101</v>
      </c>
      <c r="P2516" t="s">
        <v>6110</v>
      </c>
      <c r="Q2516">
        <v>4</v>
      </c>
      <c r="R2516">
        <v>2026</v>
      </c>
      <c r="S2516" t="s">
        <v>6100</v>
      </c>
      <c r="T2516">
        <v>0</v>
      </c>
      <c r="U2516" t="s">
        <v>6020</v>
      </c>
      <c r="V2516">
        <v>0</v>
      </c>
    </row>
    <row r="2517" spans="1:22" x14ac:dyDescent="0.3">
      <c r="A2517" t="s">
        <v>2532</v>
      </c>
      <c r="B2517" s="2">
        <v>46130.507638888892</v>
      </c>
      <c r="C2517" s="2">
        <v>46133.545138888891</v>
      </c>
      <c r="D2517" t="s">
        <v>6026</v>
      </c>
      <c r="E2517" t="s">
        <v>6031</v>
      </c>
      <c r="F2517" t="s">
        <v>6034</v>
      </c>
      <c r="G2517" t="s">
        <v>6050</v>
      </c>
      <c r="H2517" t="s">
        <v>6098</v>
      </c>
      <c r="I2517">
        <v>24</v>
      </c>
      <c r="J2517">
        <v>72.900000000000006</v>
      </c>
      <c r="K2517" t="s">
        <v>6099</v>
      </c>
      <c r="L2517" t="s">
        <v>6100</v>
      </c>
      <c r="M2517" t="s">
        <v>6099</v>
      </c>
      <c r="N2517">
        <v>3</v>
      </c>
      <c r="O2517" t="s">
        <v>6101</v>
      </c>
      <c r="P2517" t="s">
        <v>6110</v>
      </c>
      <c r="Q2517">
        <v>4</v>
      </c>
      <c r="R2517">
        <v>2026</v>
      </c>
      <c r="S2517" t="s">
        <v>6100</v>
      </c>
      <c r="T2517">
        <v>0</v>
      </c>
      <c r="U2517" t="s">
        <v>6017</v>
      </c>
      <c r="V2517">
        <v>1</v>
      </c>
    </row>
    <row r="2518" spans="1:22" x14ac:dyDescent="0.3">
      <c r="A2518" t="s">
        <v>2533</v>
      </c>
      <c r="B2518" s="2">
        <v>46130.515277777777</v>
      </c>
      <c r="C2518" s="2">
        <v>46130.648611111108</v>
      </c>
      <c r="D2518" t="s">
        <v>6023</v>
      </c>
      <c r="E2518" t="s">
        <v>6030</v>
      </c>
      <c r="F2518" t="s">
        <v>6034</v>
      </c>
      <c r="G2518" t="s">
        <v>6076</v>
      </c>
      <c r="H2518" t="s">
        <v>6097</v>
      </c>
      <c r="I2518">
        <v>24</v>
      </c>
      <c r="J2518">
        <v>3.2</v>
      </c>
      <c r="K2518" t="s">
        <v>6100</v>
      </c>
      <c r="L2518" t="s">
        <v>6099</v>
      </c>
      <c r="M2518" t="s">
        <v>6100</v>
      </c>
      <c r="N2518">
        <v>4</v>
      </c>
      <c r="O2518" t="s">
        <v>6101</v>
      </c>
      <c r="P2518" t="s">
        <v>6110</v>
      </c>
      <c r="Q2518">
        <v>4</v>
      </c>
      <c r="R2518">
        <v>2026</v>
      </c>
      <c r="S2518" t="s">
        <v>6099</v>
      </c>
      <c r="T2518">
        <v>1</v>
      </c>
      <c r="U2518" t="s">
        <v>6019</v>
      </c>
      <c r="V2518">
        <v>0</v>
      </c>
    </row>
    <row r="2519" spans="1:22" x14ac:dyDescent="0.3">
      <c r="A2519" t="s">
        <v>2534</v>
      </c>
      <c r="B2519" s="2">
        <v>46130.557638888888</v>
      </c>
      <c r="C2519" s="2">
        <v>46131.582638888889</v>
      </c>
      <c r="D2519" t="s">
        <v>6028</v>
      </c>
      <c r="E2519" t="s">
        <v>6029</v>
      </c>
      <c r="F2519" t="s">
        <v>6035</v>
      </c>
      <c r="G2519" t="s">
        <v>6062</v>
      </c>
      <c r="H2519" t="s">
        <v>6096</v>
      </c>
      <c r="I2519">
        <v>4</v>
      </c>
      <c r="J2519">
        <v>24.6</v>
      </c>
      <c r="K2519" t="s">
        <v>6099</v>
      </c>
      <c r="L2519" t="s">
        <v>6100</v>
      </c>
      <c r="M2519" t="s">
        <v>6100</v>
      </c>
      <c r="N2519">
        <v>3</v>
      </c>
      <c r="O2519" t="s">
        <v>6101</v>
      </c>
      <c r="P2519" t="s">
        <v>6110</v>
      </c>
      <c r="Q2519">
        <v>4</v>
      </c>
      <c r="R2519">
        <v>2026</v>
      </c>
      <c r="S2519" t="s">
        <v>6100</v>
      </c>
      <c r="T2519">
        <v>0</v>
      </c>
      <c r="U2519" t="s">
        <v>6020</v>
      </c>
      <c r="V2519">
        <v>1</v>
      </c>
    </row>
    <row r="2520" spans="1:22" x14ac:dyDescent="0.3">
      <c r="A2520" t="s">
        <v>2535</v>
      </c>
      <c r="B2520" s="2">
        <v>46130.5625</v>
      </c>
      <c r="C2520" s="2">
        <v>46131.116666666669</v>
      </c>
      <c r="D2520" t="s">
        <v>6027</v>
      </c>
      <c r="E2520" t="s">
        <v>6029</v>
      </c>
      <c r="F2520" t="s">
        <v>6033</v>
      </c>
      <c r="G2520" t="s">
        <v>6089</v>
      </c>
      <c r="H2520" t="s">
        <v>6098</v>
      </c>
      <c r="I2520">
        <v>72</v>
      </c>
      <c r="J2520">
        <v>13.3</v>
      </c>
      <c r="K2520" t="s">
        <v>6099</v>
      </c>
      <c r="L2520" t="s">
        <v>6100</v>
      </c>
      <c r="M2520" t="s">
        <v>6100</v>
      </c>
      <c r="O2520" t="s">
        <v>6101</v>
      </c>
      <c r="P2520" t="s">
        <v>6110</v>
      </c>
      <c r="Q2520">
        <v>4</v>
      </c>
      <c r="R2520">
        <v>2026</v>
      </c>
      <c r="S2520" t="s">
        <v>6099</v>
      </c>
      <c r="T2520">
        <v>1</v>
      </c>
      <c r="U2520" t="s">
        <v>6019</v>
      </c>
      <c r="V2520">
        <v>1</v>
      </c>
    </row>
    <row r="2521" spans="1:22" x14ac:dyDescent="0.3">
      <c r="A2521" t="s">
        <v>2536</v>
      </c>
      <c r="B2521" s="2">
        <v>46130.588194444441</v>
      </c>
      <c r="C2521" s="2">
        <v>46131.275694444441</v>
      </c>
      <c r="D2521" t="s">
        <v>6028</v>
      </c>
      <c r="E2521" t="s">
        <v>6029</v>
      </c>
      <c r="F2521" t="s">
        <v>6035</v>
      </c>
      <c r="G2521" t="s">
        <v>6091</v>
      </c>
      <c r="H2521" t="s">
        <v>6097</v>
      </c>
      <c r="I2521">
        <v>4</v>
      </c>
      <c r="J2521">
        <v>16.5</v>
      </c>
      <c r="K2521" t="s">
        <v>6099</v>
      </c>
      <c r="L2521" t="s">
        <v>6100</v>
      </c>
      <c r="M2521" t="s">
        <v>6100</v>
      </c>
      <c r="N2521">
        <v>3</v>
      </c>
      <c r="O2521" t="s">
        <v>6101</v>
      </c>
      <c r="P2521" t="s">
        <v>6110</v>
      </c>
      <c r="Q2521">
        <v>4</v>
      </c>
      <c r="R2521">
        <v>2026</v>
      </c>
      <c r="S2521" t="s">
        <v>6100</v>
      </c>
      <c r="T2521">
        <v>0</v>
      </c>
      <c r="U2521" t="s">
        <v>6018</v>
      </c>
      <c r="V2521">
        <v>1</v>
      </c>
    </row>
    <row r="2522" spans="1:22" x14ac:dyDescent="0.3">
      <c r="A2522" t="s">
        <v>2537</v>
      </c>
      <c r="B2522" s="2">
        <v>46130.665277777778</v>
      </c>
      <c r="C2522" s="2">
        <v>46131.256944444445</v>
      </c>
      <c r="D2522" t="s">
        <v>6023</v>
      </c>
      <c r="E2522" t="s">
        <v>6029</v>
      </c>
      <c r="F2522" t="s">
        <v>6034</v>
      </c>
      <c r="G2522" t="s">
        <v>6062</v>
      </c>
      <c r="H2522" t="s">
        <v>6096</v>
      </c>
      <c r="I2522">
        <v>24</v>
      </c>
      <c r="J2522">
        <v>14.2</v>
      </c>
      <c r="K2522" t="s">
        <v>6099</v>
      </c>
      <c r="L2522" t="s">
        <v>6100</v>
      </c>
      <c r="M2522" t="s">
        <v>6099</v>
      </c>
      <c r="O2522" t="s">
        <v>6101</v>
      </c>
      <c r="P2522" t="s">
        <v>6110</v>
      </c>
      <c r="Q2522">
        <v>4</v>
      </c>
      <c r="R2522">
        <v>2026</v>
      </c>
      <c r="S2522" t="s">
        <v>6099</v>
      </c>
      <c r="T2522">
        <v>1</v>
      </c>
      <c r="U2522" t="s">
        <v>6020</v>
      </c>
      <c r="V2522">
        <v>1</v>
      </c>
    </row>
    <row r="2523" spans="1:22" x14ac:dyDescent="0.3">
      <c r="A2523" t="s">
        <v>2538</v>
      </c>
      <c r="B2523" s="2">
        <v>46130.692361111112</v>
      </c>
      <c r="C2523" s="2">
        <v>46131.484027777777</v>
      </c>
      <c r="D2523" t="s">
        <v>6028</v>
      </c>
      <c r="E2523" t="s">
        <v>6029</v>
      </c>
      <c r="F2523" t="s">
        <v>6035</v>
      </c>
      <c r="G2523" t="s">
        <v>6053</v>
      </c>
      <c r="H2523" t="s">
        <v>6097</v>
      </c>
      <c r="I2523">
        <v>4</v>
      </c>
      <c r="J2523">
        <v>19</v>
      </c>
      <c r="K2523" t="s">
        <v>6099</v>
      </c>
      <c r="L2523" t="s">
        <v>6100</v>
      </c>
      <c r="M2523" t="s">
        <v>6100</v>
      </c>
      <c r="N2523">
        <v>4</v>
      </c>
      <c r="O2523" t="s">
        <v>6101</v>
      </c>
      <c r="P2523" t="s">
        <v>6110</v>
      </c>
      <c r="Q2523">
        <v>4</v>
      </c>
      <c r="R2523">
        <v>2026</v>
      </c>
      <c r="S2523" t="s">
        <v>6100</v>
      </c>
      <c r="T2523">
        <v>0</v>
      </c>
      <c r="U2523" t="s">
        <v>6018</v>
      </c>
      <c r="V2523">
        <v>1</v>
      </c>
    </row>
    <row r="2524" spans="1:22" x14ac:dyDescent="0.3">
      <c r="A2524" t="s">
        <v>2539</v>
      </c>
      <c r="B2524" s="2">
        <v>46130.713888888888</v>
      </c>
      <c r="C2524" s="2">
        <v>46131.001388888886</v>
      </c>
      <c r="D2524" t="s">
        <v>6027</v>
      </c>
      <c r="E2524" t="s">
        <v>6030</v>
      </c>
      <c r="F2524" t="s">
        <v>6033</v>
      </c>
      <c r="G2524" t="s">
        <v>6072</v>
      </c>
      <c r="H2524" t="s">
        <v>6097</v>
      </c>
      <c r="I2524">
        <v>72</v>
      </c>
      <c r="J2524">
        <v>6.9</v>
      </c>
      <c r="K2524" t="s">
        <v>6099</v>
      </c>
      <c r="L2524" t="s">
        <v>6100</v>
      </c>
      <c r="M2524" t="s">
        <v>6100</v>
      </c>
      <c r="N2524">
        <v>5</v>
      </c>
      <c r="O2524" t="s">
        <v>6101</v>
      </c>
      <c r="P2524" t="s">
        <v>6110</v>
      </c>
      <c r="Q2524">
        <v>4</v>
      </c>
      <c r="R2524">
        <v>2026</v>
      </c>
      <c r="S2524" t="s">
        <v>6099</v>
      </c>
      <c r="T2524">
        <v>1</v>
      </c>
      <c r="U2524" t="s">
        <v>6019</v>
      </c>
      <c r="V2524">
        <v>1</v>
      </c>
    </row>
    <row r="2525" spans="1:22" x14ac:dyDescent="0.3">
      <c r="A2525" t="s">
        <v>2540</v>
      </c>
      <c r="B2525" s="2">
        <v>46130.75277777778</v>
      </c>
      <c r="C2525" s="2">
        <v>46131.544444444444</v>
      </c>
      <c r="D2525" t="s">
        <v>6024</v>
      </c>
      <c r="E2525" t="s">
        <v>6032</v>
      </c>
      <c r="F2525" t="s">
        <v>6035</v>
      </c>
      <c r="G2525" t="s">
        <v>6043</v>
      </c>
      <c r="H2525" t="s">
        <v>6097</v>
      </c>
      <c r="I2525">
        <v>4</v>
      </c>
      <c r="J2525">
        <v>19</v>
      </c>
      <c r="K2525" t="s">
        <v>6099</v>
      </c>
      <c r="L2525" t="s">
        <v>6100</v>
      </c>
      <c r="M2525" t="s">
        <v>6100</v>
      </c>
      <c r="O2525" t="s">
        <v>6101</v>
      </c>
      <c r="P2525" t="s">
        <v>6110</v>
      </c>
      <c r="Q2525">
        <v>4</v>
      </c>
      <c r="R2525">
        <v>2026</v>
      </c>
      <c r="S2525" t="s">
        <v>6100</v>
      </c>
      <c r="T2525">
        <v>0</v>
      </c>
      <c r="U2525" t="s">
        <v>6018</v>
      </c>
      <c r="V2525">
        <v>1</v>
      </c>
    </row>
    <row r="2526" spans="1:22" x14ac:dyDescent="0.3">
      <c r="A2526" t="s">
        <v>2541</v>
      </c>
      <c r="B2526" s="2">
        <v>46130.756249999999</v>
      </c>
      <c r="C2526" s="2">
        <v>46131.418749999997</v>
      </c>
      <c r="D2526" t="s">
        <v>6022</v>
      </c>
      <c r="E2526" t="s">
        <v>6029</v>
      </c>
      <c r="F2526" t="s">
        <v>6034</v>
      </c>
      <c r="G2526" t="s">
        <v>6068</v>
      </c>
      <c r="H2526" t="s">
        <v>6098</v>
      </c>
      <c r="I2526">
        <v>24</v>
      </c>
      <c r="J2526">
        <v>15.9</v>
      </c>
      <c r="K2526" t="s">
        <v>6099</v>
      </c>
      <c r="L2526" t="s">
        <v>6100</v>
      </c>
      <c r="M2526" t="s">
        <v>6100</v>
      </c>
      <c r="N2526">
        <v>4</v>
      </c>
      <c r="O2526" t="s">
        <v>6101</v>
      </c>
      <c r="P2526" t="s">
        <v>6110</v>
      </c>
      <c r="Q2526">
        <v>4</v>
      </c>
      <c r="R2526">
        <v>2026</v>
      </c>
      <c r="S2526" t="s">
        <v>6099</v>
      </c>
      <c r="T2526">
        <v>1</v>
      </c>
      <c r="U2526" t="s">
        <v>6018</v>
      </c>
      <c r="V2526">
        <v>1</v>
      </c>
    </row>
    <row r="2527" spans="1:22" x14ac:dyDescent="0.3">
      <c r="A2527" t="s">
        <v>2542</v>
      </c>
      <c r="B2527" s="2">
        <v>46130.756944444445</v>
      </c>
      <c r="C2527" s="2">
        <v>46133.152777777781</v>
      </c>
      <c r="D2527" t="s">
        <v>6022</v>
      </c>
      <c r="E2527" t="s">
        <v>6029</v>
      </c>
      <c r="F2527" t="s">
        <v>6035</v>
      </c>
      <c r="G2527" t="s">
        <v>6061</v>
      </c>
      <c r="H2527" t="s">
        <v>6096</v>
      </c>
      <c r="I2527">
        <v>4</v>
      </c>
      <c r="J2527">
        <v>57.5</v>
      </c>
      <c r="K2527" t="s">
        <v>6099</v>
      </c>
      <c r="L2527" t="s">
        <v>6100</v>
      </c>
      <c r="M2527" t="s">
        <v>6099</v>
      </c>
      <c r="N2527">
        <v>4</v>
      </c>
      <c r="O2527" t="s">
        <v>6101</v>
      </c>
      <c r="P2527" t="s">
        <v>6110</v>
      </c>
      <c r="Q2527">
        <v>4</v>
      </c>
      <c r="R2527">
        <v>2026</v>
      </c>
      <c r="S2527" t="s">
        <v>6100</v>
      </c>
      <c r="T2527">
        <v>0</v>
      </c>
      <c r="U2527" t="s">
        <v>6020</v>
      </c>
      <c r="V2527">
        <v>1</v>
      </c>
    </row>
    <row r="2528" spans="1:22" x14ac:dyDescent="0.3">
      <c r="A2528" t="s">
        <v>2543</v>
      </c>
      <c r="B2528" s="2">
        <v>46130.803472222222</v>
      </c>
      <c r="C2528" s="2">
        <v>46131.165972222225</v>
      </c>
      <c r="D2528" t="s">
        <v>6023</v>
      </c>
      <c r="E2528" t="s">
        <v>6032</v>
      </c>
      <c r="F2528" t="s">
        <v>6033</v>
      </c>
      <c r="G2528" t="s">
        <v>6066</v>
      </c>
      <c r="H2528" t="s">
        <v>6096</v>
      </c>
      <c r="I2528">
        <v>72</v>
      </c>
      <c r="J2528">
        <v>8.6999999999999993</v>
      </c>
      <c r="K2528" t="s">
        <v>6099</v>
      </c>
      <c r="L2528" t="s">
        <v>6100</v>
      </c>
      <c r="M2528" t="s">
        <v>6100</v>
      </c>
      <c r="O2528" t="s">
        <v>6101</v>
      </c>
      <c r="P2528" t="s">
        <v>6110</v>
      </c>
      <c r="Q2528">
        <v>4</v>
      </c>
      <c r="R2528">
        <v>2026</v>
      </c>
      <c r="S2528" t="s">
        <v>6099</v>
      </c>
      <c r="T2528">
        <v>1</v>
      </c>
      <c r="U2528" t="s">
        <v>6017</v>
      </c>
      <c r="V2528">
        <v>1</v>
      </c>
    </row>
    <row r="2529" spans="1:22" x14ac:dyDescent="0.3">
      <c r="A2529" t="s">
        <v>2544</v>
      </c>
      <c r="B2529" s="2">
        <v>46130.829861111109</v>
      </c>
      <c r="C2529" s="2">
        <v>46132.304861111108</v>
      </c>
      <c r="D2529" t="s">
        <v>6026</v>
      </c>
      <c r="E2529" t="s">
        <v>6030</v>
      </c>
      <c r="F2529" t="s">
        <v>6033</v>
      </c>
      <c r="G2529" t="s">
        <v>6072</v>
      </c>
      <c r="H2529" t="s">
        <v>6097</v>
      </c>
      <c r="I2529">
        <v>72</v>
      </c>
      <c r="J2529">
        <v>35.4</v>
      </c>
      <c r="K2529" t="s">
        <v>6100</v>
      </c>
      <c r="L2529" t="s">
        <v>6099</v>
      </c>
      <c r="M2529" t="s">
        <v>6100</v>
      </c>
      <c r="O2529" t="s">
        <v>6101</v>
      </c>
      <c r="P2529" t="s">
        <v>6110</v>
      </c>
      <c r="Q2529">
        <v>4</v>
      </c>
      <c r="R2529">
        <v>2026</v>
      </c>
      <c r="S2529" t="s">
        <v>6099</v>
      </c>
      <c r="T2529">
        <v>1</v>
      </c>
      <c r="U2529" t="s">
        <v>6019</v>
      </c>
      <c r="V2529">
        <v>0</v>
      </c>
    </row>
    <row r="2530" spans="1:22" x14ac:dyDescent="0.3">
      <c r="A2530" t="s">
        <v>2545</v>
      </c>
      <c r="B2530" s="2">
        <v>46130.928472222222</v>
      </c>
      <c r="C2530" s="2">
        <v>46132.336805555555</v>
      </c>
      <c r="D2530" t="s">
        <v>6028</v>
      </c>
      <c r="E2530" t="s">
        <v>6031</v>
      </c>
      <c r="F2530" t="s">
        <v>6035</v>
      </c>
      <c r="G2530" t="s">
        <v>6076</v>
      </c>
      <c r="H2530" t="s">
        <v>6097</v>
      </c>
      <c r="I2530">
        <v>4</v>
      </c>
      <c r="J2530">
        <v>33.799999999999997</v>
      </c>
      <c r="K2530" t="s">
        <v>6100</v>
      </c>
      <c r="L2530" t="s">
        <v>6099</v>
      </c>
      <c r="M2530" t="s">
        <v>6100</v>
      </c>
      <c r="N2530">
        <v>4</v>
      </c>
      <c r="O2530" t="s">
        <v>6101</v>
      </c>
      <c r="P2530" t="s">
        <v>6110</v>
      </c>
      <c r="Q2530">
        <v>4</v>
      </c>
      <c r="R2530">
        <v>2026</v>
      </c>
      <c r="S2530" t="s">
        <v>6100</v>
      </c>
      <c r="T2530">
        <v>0</v>
      </c>
      <c r="U2530" t="s">
        <v>6018</v>
      </c>
      <c r="V2530">
        <v>0</v>
      </c>
    </row>
    <row r="2531" spans="1:22" x14ac:dyDescent="0.3">
      <c r="A2531" t="s">
        <v>2546</v>
      </c>
      <c r="B2531" s="2">
        <v>46131.130555555559</v>
      </c>
      <c r="C2531" s="2">
        <v>46131.534722222219</v>
      </c>
      <c r="D2531" t="s">
        <v>6028</v>
      </c>
      <c r="E2531" t="s">
        <v>6029</v>
      </c>
      <c r="F2531" t="s">
        <v>6035</v>
      </c>
      <c r="G2531" t="s">
        <v>6088</v>
      </c>
      <c r="H2531" t="s">
        <v>6097</v>
      </c>
      <c r="I2531">
        <v>4</v>
      </c>
      <c r="J2531">
        <v>9.6999999999999993</v>
      </c>
      <c r="K2531" t="s">
        <v>6099</v>
      </c>
      <c r="L2531" t="s">
        <v>6100</v>
      </c>
      <c r="M2531" t="s">
        <v>6100</v>
      </c>
      <c r="N2531">
        <v>4</v>
      </c>
      <c r="O2531" t="s">
        <v>6101</v>
      </c>
      <c r="P2531" t="s">
        <v>6110</v>
      </c>
      <c r="Q2531">
        <v>4</v>
      </c>
      <c r="R2531">
        <v>2026</v>
      </c>
      <c r="S2531" t="s">
        <v>6100</v>
      </c>
      <c r="T2531">
        <v>0</v>
      </c>
      <c r="U2531" t="s">
        <v>6020</v>
      </c>
      <c r="V2531">
        <v>1</v>
      </c>
    </row>
    <row r="2532" spans="1:22" x14ac:dyDescent="0.3">
      <c r="A2532" t="s">
        <v>2547</v>
      </c>
      <c r="B2532" s="2">
        <v>46131.277777777781</v>
      </c>
      <c r="C2532" s="2">
        <v>46131.998611111114</v>
      </c>
      <c r="D2532" t="s">
        <v>6022</v>
      </c>
      <c r="E2532" t="s">
        <v>6029</v>
      </c>
      <c r="F2532" t="s">
        <v>6034</v>
      </c>
      <c r="G2532" t="s">
        <v>6046</v>
      </c>
      <c r="H2532" t="s">
        <v>6098</v>
      </c>
      <c r="I2532">
        <v>24</v>
      </c>
      <c r="J2532">
        <v>17.3</v>
      </c>
      <c r="K2532" t="s">
        <v>6100</v>
      </c>
      <c r="L2532" t="s">
        <v>6100</v>
      </c>
      <c r="M2532" t="s">
        <v>6100</v>
      </c>
      <c r="N2532">
        <v>4</v>
      </c>
      <c r="O2532" t="s">
        <v>6101</v>
      </c>
      <c r="P2532" t="s">
        <v>6110</v>
      </c>
      <c r="Q2532">
        <v>4</v>
      </c>
      <c r="R2532">
        <v>2026</v>
      </c>
      <c r="S2532" t="s">
        <v>6099</v>
      </c>
      <c r="T2532">
        <v>1</v>
      </c>
      <c r="U2532" t="s">
        <v>6019</v>
      </c>
      <c r="V2532">
        <v>0</v>
      </c>
    </row>
    <row r="2533" spans="1:22" x14ac:dyDescent="0.3">
      <c r="A2533" t="s">
        <v>2548</v>
      </c>
      <c r="B2533" s="2">
        <v>46131.290277777778</v>
      </c>
      <c r="C2533" s="2">
        <v>46134.06527777778</v>
      </c>
      <c r="D2533" t="s">
        <v>6025</v>
      </c>
      <c r="E2533" t="s">
        <v>6031</v>
      </c>
      <c r="F2533" t="s">
        <v>6034</v>
      </c>
      <c r="G2533" t="s">
        <v>6043</v>
      </c>
      <c r="H2533" t="s">
        <v>6097</v>
      </c>
      <c r="I2533">
        <v>24</v>
      </c>
      <c r="J2533">
        <v>66.599999999999994</v>
      </c>
      <c r="K2533" t="s">
        <v>6099</v>
      </c>
      <c r="L2533" t="s">
        <v>6100</v>
      </c>
      <c r="M2533" t="s">
        <v>6100</v>
      </c>
      <c r="N2533">
        <v>4</v>
      </c>
      <c r="O2533" t="s">
        <v>6101</v>
      </c>
      <c r="P2533" t="s">
        <v>6110</v>
      </c>
      <c r="Q2533">
        <v>4</v>
      </c>
      <c r="R2533">
        <v>2026</v>
      </c>
      <c r="S2533" t="s">
        <v>6100</v>
      </c>
      <c r="T2533">
        <v>0</v>
      </c>
      <c r="U2533" t="s">
        <v>6021</v>
      </c>
      <c r="V2533">
        <v>1</v>
      </c>
    </row>
    <row r="2534" spans="1:22" x14ac:dyDescent="0.3">
      <c r="A2534" t="s">
        <v>2549</v>
      </c>
      <c r="B2534" s="2">
        <v>46131.402777777781</v>
      </c>
      <c r="C2534" s="2">
        <v>46131.965277777781</v>
      </c>
      <c r="D2534" t="s">
        <v>6023</v>
      </c>
      <c r="E2534" t="s">
        <v>6032</v>
      </c>
      <c r="F2534" t="s">
        <v>6034</v>
      </c>
      <c r="G2534" t="s">
        <v>6090</v>
      </c>
      <c r="H2534" t="s">
        <v>6097</v>
      </c>
      <c r="I2534">
        <v>24</v>
      </c>
      <c r="J2534">
        <v>13.5</v>
      </c>
      <c r="K2534" t="s">
        <v>6099</v>
      </c>
      <c r="L2534" t="s">
        <v>6100</v>
      </c>
      <c r="M2534" t="s">
        <v>6100</v>
      </c>
      <c r="O2534" t="s">
        <v>6101</v>
      </c>
      <c r="P2534" t="s">
        <v>6110</v>
      </c>
      <c r="Q2534">
        <v>4</v>
      </c>
      <c r="R2534">
        <v>2026</v>
      </c>
      <c r="S2534" t="s">
        <v>6099</v>
      </c>
      <c r="T2534">
        <v>1</v>
      </c>
      <c r="U2534" t="s">
        <v>6019</v>
      </c>
      <c r="V2534">
        <v>1</v>
      </c>
    </row>
    <row r="2535" spans="1:22" x14ac:dyDescent="0.3">
      <c r="A2535" t="s">
        <v>2550</v>
      </c>
      <c r="B2535" s="2">
        <v>46131.42291666667</v>
      </c>
      <c r="C2535" s="2">
        <v>46131.760416666664</v>
      </c>
      <c r="D2535" t="s">
        <v>6028</v>
      </c>
      <c r="E2535" t="s">
        <v>6029</v>
      </c>
      <c r="F2535" t="s">
        <v>6035</v>
      </c>
      <c r="G2535" t="s">
        <v>6053</v>
      </c>
      <c r="H2535" t="s">
        <v>6097</v>
      </c>
      <c r="I2535">
        <v>4</v>
      </c>
      <c r="J2535">
        <v>8.1</v>
      </c>
      <c r="K2535" t="s">
        <v>6099</v>
      </c>
      <c r="L2535" t="s">
        <v>6100</v>
      </c>
      <c r="M2535" t="s">
        <v>6100</v>
      </c>
      <c r="O2535" t="s">
        <v>6101</v>
      </c>
      <c r="P2535" t="s">
        <v>6110</v>
      </c>
      <c r="Q2535">
        <v>4</v>
      </c>
      <c r="R2535">
        <v>2026</v>
      </c>
      <c r="S2535" t="s">
        <v>6100</v>
      </c>
      <c r="T2535">
        <v>0</v>
      </c>
      <c r="U2535" t="s">
        <v>6021</v>
      </c>
      <c r="V2535">
        <v>1</v>
      </c>
    </row>
    <row r="2536" spans="1:22" x14ac:dyDescent="0.3">
      <c r="A2536" t="s">
        <v>2551</v>
      </c>
      <c r="B2536" s="2">
        <v>46131.47152777778</v>
      </c>
      <c r="C2536" s="2">
        <v>46140.546527777777</v>
      </c>
      <c r="D2536" t="s">
        <v>6026</v>
      </c>
      <c r="E2536" t="s">
        <v>6031</v>
      </c>
      <c r="F2536" t="s">
        <v>6034</v>
      </c>
      <c r="G2536" t="s">
        <v>6064</v>
      </c>
      <c r="H2536" t="s">
        <v>6096</v>
      </c>
      <c r="I2536">
        <v>24</v>
      </c>
      <c r="J2536">
        <v>217.8</v>
      </c>
      <c r="K2536" t="s">
        <v>6100</v>
      </c>
      <c r="L2536" t="s">
        <v>6099</v>
      </c>
      <c r="M2536" t="s">
        <v>6100</v>
      </c>
      <c r="N2536">
        <v>3</v>
      </c>
      <c r="O2536" t="s">
        <v>6101</v>
      </c>
      <c r="P2536" t="s">
        <v>6110</v>
      </c>
      <c r="Q2536">
        <v>4</v>
      </c>
      <c r="R2536">
        <v>2026</v>
      </c>
      <c r="S2536" t="s">
        <v>6100</v>
      </c>
      <c r="T2536">
        <v>0</v>
      </c>
      <c r="U2536" t="s">
        <v>6021</v>
      </c>
      <c r="V2536">
        <v>0</v>
      </c>
    </row>
    <row r="2537" spans="1:22" x14ac:dyDescent="0.3">
      <c r="A2537" t="s">
        <v>2552</v>
      </c>
      <c r="B2537" s="2">
        <v>46131.472916666666</v>
      </c>
      <c r="C2537" s="2">
        <v>46131.831250000003</v>
      </c>
      <c r="D2537" t="s">
        <v>6027</v>
      </c>
      <c r="E2537" t="s">
        <v>6029</v>
      </c>
      <c r="F2537" t="s">
        <v>6033</v>
      </c>
      <c r="G2537" t="s">
        <v>6089</v>
      </c>
      <c r="H2537" t="s">
        <v>6098</v>
      </c>
      <c r="I2537">
        <v>72</v>
      </c>
      <c r="J2537">
        <v>8.6</v>
      </c>
      <c r="K2537" t="s">
        <v>6099</v>
      </c>
      <c r="L2537" t="s">
        <v>6100</v>
      </c>
      <c r="M2537" t="s">
        <v>6100</v>
      </c>
      <c r="N2537">
        <v>4</v>
      </c>
      <c r="O2537" t="s">
        <v>6101</v>
      </c>
      <c r="P2537" t="s">
        <v>6110</v>
      </c>
      <c r="Q2537">
        <v>4</v>
      </c>
      <c r="R2537">
        <v>2026</v>
      </c>
      <c r="S2537" t="s">
        <v>6099</v>
      </c>
      <c r="T2537">
        <v>1</v>
      </c>
      <c r="U2537" t="s">
        <v>6021</v>
      </c>
      <c r="V2537">
        <v>1</v>
      </c>
    </row>
    <row r="2538" spans="1:22" x14ac:dyDescent="0.3">
      <c r="A2538" t="s">
        <v>2553</v>
      </c>
      <c r="B2538" s="2">
        <v>46131.473611111112</v>
      </c>
      <c r="C2538" s="2">
        <v>46131.602777777778</v>
      </c>
      <c r="D2538" t="s">
        <v>6023</v>
      </c>
      <c r="E2538" t="s">
        <v>6030</v>
      </c>
      <c r="F2538" t="s">
        <v>6033</v>
      </c>
      <c r="G2538" t="s">
        <v>6049</v>
      </c>
      <c r="H2538" t="s">
        <v>6097</v>
      </c>
      <c r="I2538">
        <v>72</v>
      </c>
      <c r="J2538">
        <v>3.1</v>
      </c>
      <c r="K2538" t="s">
        <v>6099</v>
      </c>
      <c r="L2538" t="s">
        <v>6100</v>
      </c>
      <c r="M2538" t="s">
        <v>6100</v>
      </c>
      <c r="N2538">
        <v>5</v>
      </c>
      <c r="O2538" t="s">
        <v>6101</v>
      </c>
      <c r="P2538" t="s">
        <v>6110</v>
      </c>
      <c r="Q2538">
        <v>4</v>
      </c>
      <c r="R2538">
        <v>2026</v>
      </c>
      <c r="S2538" t="s">
        <v>6099</v>
      </c>
      <c r="T2538">
        <v>1</v>
      </c>
      <c r="U2538" t="s">
        <v>6020</v>
      </c>
      <c r="V2538">
        <v>1</v>
      </c>
    </row>
    <row r="2539" spans="1:22" x14ac:dyDescent="0.3">
      <c r="A2539" t="s">
        <v>2554</v>
      </c>
      <c r="B2539" s="2">
        <v>46131.490277777775</v>
      </c>
      <c r="C2539" s="2">
        <v>46132.402777777781</v>
      </c>
      <c r="D2539" t="s">
        <v>6025</v>
      </c>
      <c r="E2539" t="s">
        <v>6030</v>
      </c>
      <c r="F2539" t="s">
        <v>6033</v>
      </c>
      <c r="G2539" t="s">
        <v>6038</v>
      </c>
      <c r="H2539" t="s">
        <v>6096</v>
      </c>
      <c r="I2539">
        <v>72</v>
      </c>
      <c r="J2539">
        <v>21.9</v>
      </c>
      <c r="K2539" t="s">
        <v>6099</v>
      </c>
      <c r="L2539" t="s">
        <v>6100</v>
      </c>
      <c r="M2539" t="s">
        <v>6100</v>
      </c>
      <c r="N2539">
        <v>4</v>
      </c>
      <c r="O2539" t="s">
        <v>6101</v>
      </c>
      <c r="P2539" t="s">
        <v>6110</v>
      </c>
      <c r="Q2539">
        <v>4</v>
      </c>
      <c r="R2539">
        <v>2026</v>
      </c>
      <c r="S2539" t="s">
        <v>6099</v>
      </c>
      <c r="T2539">
        <v>1</v>
      </c>
      <c r="U2539" t="s">
        <v>6020</v>
      </c>
      <c r="V2539">
        <v>1</v>
      </c>
    </row>
    <row r="2540" spans="1:22" x14ac:dyDescent="0.3">
      <c r="A2540" t="s">
        <v>2555</v>
      </c>
      <c r="B2540" s="2">
        <v>46131.512499999997</v>
      </c>
      <c r="C2540" s="2">
        <v>46135.395833333336</v>
      </c>
      <c r="D2540" t="s">
        <v>6026</v>
      </c>
      <c r="E2540" t="s">
        <v>6032</v>
      </c>
      <c r="F2540" t="s">
        <v>6033</v>
      </c>
      <c r="G2540" t="s">
        <v>6085</v>
      </c>
      <c r="H2540" t="s">
        <v>6097</v>
      </c>
      <c r="I2540">
        <v>72</v>
      </c>
      <c r="J2540">
        <v>93.2</v>
      </c>
      <c r="K2540" t="s">
        <v>6100</v>
      </c>
      <c r="L2540" t="s">
        <v>6100</v>
      </c>
      <c r="M2540" t="s">
        <v>6100</v>
      </c>
      <c r="N2540">
        <v>4</v>
      </c>
      <c r="O2540" t="s">
        <v>6101</v>
      </c>
      <c r="P2540" t="s">
        <v>6110</v>
      </c>
      <c r="Q2540">
        <v>4</v>
      </c>
      <c r="R2540">
        <v>2026</v>
      </c>
      <c r="S2540" t="s">
        <v>6100</v>
      </c>
      <c r="T2540">
        <v>0</v>
      </c>
      <c r="U2540" t="s">
        <v>6017</v>
      </c>
      <c r="V2540">
        <v>0</v>
      </c>
    </row>
    <row r="2541" spans="1:22" x14ac:dyDescent="0.3">
      <c r="A2541" t="s">
        <v>2556</v>
      </c>
      <c r="B2541" s="2">
        <v>46131.638888888891</v>
      </c>
      <c r="C2541" s="2">
        <v>46131.976388888892</v>
      </c>
      <c r="D2541" t="s">
        <v>6028</v>
      </c>
      <c r="E2541" t="s">
        <v>6029</v>
      </c>
      <c r="F2541" t="s">
        <v>6033</v>
      </c>
      <c r="G2541" t="s">
        <v>6063</v>
      </c>
      <c r="H2541" t="s">
        <v>6097</v>
      </c>
      <c r="I2541">
        <v>72</v>
      </c>
      <c r="J2541">
        <v>8.1</v>
      </c>
      <c r="K2541" t="s">
        <v>6099</v>
      </c>
      <c r="L2541" t="s">
        <v>6100</v>
      </c>
      <c r="M2541" t="s">
        <v>6100</v>
      </c>
      <c r="N2541">
        <v>4</v>
      </c>
      <c r="O2541" t="s">
        <v>6101</v>
      </c>
      <c r="P2541" t="s">
        <v>6110</v>
      </c>
      <c r="Q2541">
        <v>4</v>
      </c>
      <c r="R2541">
        <v>2026</v>
      </c>
      <c r="S2541" t="s">
        <v>6099</v>
      </c>
      <c r="T2541">
        <v>1</v>
      </c>
      <c r="U2541" t="s">
        <v>6017</v>
      </c>
      <c r="V2541">
        <v>1</v>
      </c>
    </row>
    <row r="2542" spans="1:22" x14ac:dyDescent="0.3">
      <c r="A2542" t="s">
        <v>2557</v>
      </c>
      <c r="B2542" s="2">
        <v>46131.693055555559</v>
      </c>
      <c r="C2542" s="2">
        <v>46132.205555555556</v>
      </c>
      <c r="D2542" t="s">
        <v>6022</v>
      </c>
      <c r="E2542" t="s">
        <v>6030</v>
      </c>
      <c r="F2542" t="s">
        <v>6033</v>
      </c>
      <c r="G2542" t="s">
        <v>6048</v>
      </c>
      <c r="H2542" t="s">
        <v>6096</v>
      </c>
      <c r="I2542">
        <v>72</v>
      </c>
      <c r="J2542">
        <v>12.3</v>
      </c>
      <c r="K2542" t="s">
        <v>6100</v>
      </c>
      <c r="L2542" t="s">
        <v>6100</v>
      </c>
      <c r="M2542" t="s">
        <v>6100</v>
      </c>
      <c r="O2542" t="s">
        <v>6101</v>
      </c>
      <c r="P2542" t="s">
        <v>6110</v>
      </c>
      <c r="Q2542">
        <v>4</v>
      </c>
      <c r="R2542">
        <v>2026</v>
      </c>
      <c r="S2542" t="s">
        <v>6099</v>
      </c>
      <c r="T2542">
        <v>1</v>
      </c>
      <c r="U2542" t="s">
        <v>6017</v>
      </c>
      <c r="V2542">
        <v>0</v>
      </c>
    </row>
    <row r="2543" spans="1:22" x14ac:dyDescent="0.3">
      <c r="A2543" t="s">
        <v>2558</v>
      </c>
      <c r="B2543" s="2">
        <v>46131.756249999999</v>
      </c>
      <c r="C2543" s="2">
        <v>46132.477083333331</v>
      </c>
      <c r="D2543" t="s">
        <v>6023</v>
      </c>
      <c r="E2543" t="s">
        <v>6029</v>
      </c>
      <c r="F2543" t="s">
        <v>6034</v>
      </c>
      <c r="G2543" t="s">
        <v>6070</v>
      </c>
      <c r="H2543" t="s">
        <v>6097</v>
      </c>
      <c r="I2543">
        <v>24</v>
      </c>
      <c r="J2543">
        <v>17.3</v>
      </c>
      <c r="K2543" t="s">
        <v>6099</v>
      </c>
      <c r="L2543" t="s">
        <v>6100</v>
      </c>
      <c r="M2543" t="s">
        <v>6100</v>
      </c>
      <c r="O2543" t="s">
        <v>6101</v>
      </c>
      <c r="P2543" t="s">
        <v>6110</v>
      </c>
      <c r="Q2543">
        <v>4</v>
      </c>
      <c r="R2543">
        <v>2026</v>
      </c>
      <c r="S2543" t="s">
        <v>6099</v>
      </c>
      <c r="T2543">
        <v>1</v>
      </c>
      <c r="U2543" t="s">
        <v>6017</v>
      </c>
      <c r="V2543">
        <v>1</v>
      </c>
    </row>
    <row r="2544" spans="1:22" x14ac:dyDescent="0.3">
      <c r="A2544" t="s">
        <v>2559</v>
      </c>
      <c r="B2544" s="2">
        <v>46131.790972222225</v>
      </c>
      <c r="C2544" s="2">
        <v>46132.624305555553</v>
      </c>
      <c r="D2544" t="s">
        <v>6027</v>
      </c>
      <c r="E2544" t="s">
        <v>6029</v>
      </c>
      <c r="F2544" t="s">
        <v>6033</v>
      </c>
      <c r="G2544" t="s">
        <v>6041</v>
      </c>
      <c r="H2544" t="s">
        <v>6096</v>
      </c>
      <c r="I2544">
        <v>72</v>
      </c>
      <c r="J2544">
        <v>20</v>
      </c>
      <c r="K2544" t="s">
        <v>6099</v>
      </c>
      <c r="L2544" t="s">
        <v>6100</v>
      </c>
      <c r="M2544" t="s">
        <v>6100</v>
      </c>
      <c r="N2544">
        <v>4</v>
      </c>
      <c r="O2544" t="s">
        <v>6101</v>
      </c>
      <c r="P2544" t="s">
        <v>6110</v>
      </c>
      <c r="Q2544">
        <v>4</v>
      </c>
      <c r="R2544">
        <v>2026</v>
      </c>
      <c r="S2544" t="s">
        <v>6099</v>
      </c>
      <c r="T2544">
        <v>1</v>
      </c>
      <c r="U2544" t="s">
        <v>6018</v>
      </c>
      <c r="V2544">
        <v>1</v>
      </c>
    </row>
    <row r="2545" spans="1:22" x14ac:dyDescent="0.3">
      <c r="A2545" t="s">
        <v>2560</v>
      </c>
      <c r="B2545" s="2">
        <v>46131.808333333334</v>
      </c>
      <c r="C2545" s="2">
        <v>46132.662499999999</v>
      </c>
      <c r="D2545" t="s">
        <v>6024</v>
      </c>
      <c r="E2545" t="s">
        <v>6030</v>
      </c>
      <c r="F2545" t="s">
        <v>6035</v>
      </c>
      <c r="G2545" t="s">
        <v>6036</v>
      </c>
      <c r="H2545" t="s">
        <v>6096</v>
      </c>
      <c r="I2545">
        <v>4</v>
      </c>
      <c r="J2545">
        <v>20.5</v>
      </c>
      <c r="K2545" t="s">
        <v>6100</v>
      </c>
      <c r="L2545" t="s">
        <v>6100</v>
      </c>
      <c r="M2545" t="s">
        <v>6099</v>
      </c>
      <c r="N2545">
        <v>2</v>
      </c>
      <c r="O2545" t="s">
        <v>6101</v>
      </c>
      <c r="P2545" t="s">
        <v>6110</v>
      </c>
      <c r="Q2545">
        <v>4</v>
      </c>
      <c r="R2545">
        <v>2026</v>
      </c>
      <c r="S2545" t="s">
        <v>6100</v>
      </c>
      <c r="T2545">
        <v>0</v>
      </c>
      <c r="U2545" t="s">
        <v>6017</v>
      </c>
      <c r="V2545">
        <v>0</v>
      </c>
    </row>
    <row r="2546" spans="1:22" x14ac:dyDescent="0.3">
      <c r="A2546" t="s">
        <v>2561</v>
      </c>
      <c r="B2546" s="2">
        <v>46131.852777777778</v>
      </c>
      <c r="C2546" s="2">
        <v>46132.431944444441</v>
      </c>
      <c r="D2546" t="s">
        <v>6027</v>
      </c>
      <c r="E2546" t="s">
        <v>6032</v>
      </c>
      <c r="F2546" t="s">
        <v>6034</v>
      </c>
      <c r="G2546" t="s">
        <v>6050</v>
      </c>
      <c r="H2546" t="s">
        <v>6098</v>
      </c>
      <c r="I2546">
        <v>24</v>
      </c>
      <c r="J2546">
        <v>13.9</v>
      </c>
      <c r="K2546" t="s">
        <v>6100</v>
      </c>
      <c r="L2546" t="s">
        <v>6099</v>
      </c>
      <c r="M2546" t="s">
        <v>6100</v>
      </c>
      <c r="N2546">
        <v>2</v>
      </c>
      <c r="O2546" t="s">
        <v>6101</v>
      </c>
      <c r="P2546" t="s">
        <v>6110</v>
      </c>
      <c r="Q2546">
        <v>4</v>
      </c>
      <c r="R2546">
        <v>2026</v>
      </c>
      <c r="S2546" t="s">
        <v>6099</v>
      </c>
      <c r="T2546">
        <v>1</v>
      </c>
      <c r="U2546" t="s">
        <v>6021</v>
      </c>
      <c r="V2546">
        <v>0</v>
      </c>
    </row>
    <row r="2547" spans="1:22" x14ac:dyDescent="0.3">
      <c r="A2547" t="s">
        <v>2562</v>
      </c>
      <c r="B2547" s="2">
        <v>46131.872916666667</v>
      </c>
      <c r="C2547" s="2">
        <v>46132.318749999999</v>
      </c>
      <c r="D2547" t="s">
        <v>6027</v>
      </c>
      <c r="E2547" t="s">
        <v>6030</v>
      </c>
      <c r="F2547" t="s">
        <v>6034</v>
      </c>
      <c r="G2547" t="s">
        <v>6059</v>
      </c>
      <c r="H2547" t="s">
        <v>6097</v>
      </c>
      <c r="I2547">
        <v>24</v>
      </c>
      <c r="J2547">
        <v>10.7</v>
      </c>
      <c r="K2547" t="s">
        <v>6099</v>
      </c>
      <c r="L2547" t="s">
        <v>6100</v>
      </c>
      <c r="M2547" t="s">
        <v>6100</v>
      </c>
      <c r="O2547" t="s">
        <v>6101</v>
      </c>
      <c r="P2547" t="s">
        <v>6110</v>
      </c>
      <c r="Q2547">
        <v>4</v>
      </c>
      <c r="R2547">
        <v>2026</v>
      </c>
      <c r="S2547" t="s">
        <v>6099</v>
      </c>
      <c r="T2547">
        <v>1</v>
      </c>
      <c r="U2547" t="s">
        <v>6020</v>
      </c>
      <c r="V2547">
        <v>1</v>
      </c>
    </row>
    <row r="2548" spans="1:22" x14ac:dyDescent="0.3">
      <c r="A2548" t="s">
        <v>2563</v>
      </c>
      <c r="B2548" s="2">
        <v>46131.905555555553</v>
      </c>
      <c r="C2548" s="2">
        <v>46132.322222222225</v>
      </c>
      <c r="D2548" t="s">
        <v>6023</v>
      </c>
      <c r="E2548" t="s">
        <v>6032</v>
      </c>
      <c r="F2548" t="s">
        <v>6033</v>
      </c>
      <c r="G2548" t="s">
        <v>6067</v>
      </c>
      <c r="H2548" t="s">
        <v>6098</v>
      </c>
      <c r="I2548">
        <v>72</v>
      </c>
      <c r="J2548">
        <v>10</v>
      </c>
      <c r="K2548" t="s">
        <v>6099</v>
      </c>
      <c r="L2548" t="s">
        <v>6100</v>
      </c>
      <c r="M2548" t="s">
        <v>6100</v>
      </c>
      <c r="N2548">
        <v>5</v>
      </c>
      <c r="O2548" t="s">
        <v>6101</v>
      </c>
      <c r="P2548" t="s">
        <v>6110</v>
      </c>
      <c r="Q2548">
        <v>4</v>
      </c>
      <c r="R2548">
        <v>2026</v>
      </c>
      <c r="S2548" t="s">
        <v>6099</v>
      </c>
      <c r="T2548">
        <v>1</v>
      </c>
      <c r="U2548" t="s">
        <v>6021</v>
      </c>
      <c r="V2548">
        <v>1</v>
      </c>
    </row>
    <row r="2549" spans="1:22" x14ac:dyDescent="0.3">
      <c r="A2549" t="s">
        <v>2564</v>
      </c>
      <c r="B2549" s="2">
        <v>46132.118750000001</v>
      </c>
      <c r="C2549" s="2">
        <v>46132.90625</v>
      </c>
      <c r="D2549" t="s">
        <v>6023</v>
      </c>
      <c r="E2549" t="s">
        <v>6032</v>
      </c>
      <c r="F2549" t="s">
        <v>6033</v>
      </c>
      <c r="G2549" t="s">
        <v>6036</v>
      </c>
      <c r="H2549" t="s">
        <v>6096</v>
      </c>
      <c r="I2549">
        <v>72</v>
      </c>
      <c r="J2549">
        <v>18.899999999999999</v>
      </c>
      <c r="K2549" t="s">
        <v>6099</v>
      </c>
      <c r="L2549" t="s">
        <v>6100</v>
      </c>
      <c r="M2549" t="s">
        <v>6100</v>
      </c>
      <c r="N2549">
        <v>5</v>
      </c>
      <c r="O2549" t="s">
        <v>6101</v>
      </c>
      <c r="P2549" t="s">
        <v>6110</v>
      </c>
      <c r="Q2549">
        <v>4</v>
      </c>
      <c r="R2549">
        <v>2026</v>
      </c>
      <c r="S2549" t="s">
        <v>6099</v>
      </c>
      <c r="T2549">
        <v>1</v>
      </c>
      <c r="U2549" t="s">
        <v>6021</v>
      </c>
      <c r="V2549">
        <v>1</v>
      </c>
    </row>
    <row r="2550" spans="1:22" x14ac:dyDescent="0.3">
      <c r="A2550" t="s">
        <v>2565</v>
      </c>
      <c r="B2550" s="2">
        <v>46132.164583333331</v>
      </c>
      <c r="C2550" s="2">
        <v>46132.318749999999</v>
      </c>
      <c r="D2550" t="s">
        <v>6023</v>
      </c>
      <c r="E2550" t="s">
        <v>6030</v>
      </c>
      <c r="F2550" t="s">
        <v>6034</v>
      </c>
      <c r="G2550" t="s">
        <v>6064</v>
      </c>
      <c r="H2550" t="s">
        <v>6096</v>
      </c>
      <c r="I2550">
        <v>24</v>
      </c>
      <c r="J2550">
        <v>3.7</v>
      </c>
      <c r="K2550" t="s">
        <v>6099</v>
      </c>
      <c r="L2550" t="s">
        <v>6100</v>
      </c>
      <c r="M2550" t="s">
        <v>6100</v>
      </c>
      <c r="N2550">
        <v>5</v>
      </c>
      <c r="O2550" t="s">
        <v>6101</v>
      </c>
      <c r="P2550" t="s">
        <v>6110</v>
      </c>
      <c r="Q2550">
        <v>4</v>
      </c>
      <c r="R2550">
        <v>2026</v>
      </c>
      <c r="S2550" t="s">
        <v>6099</v>
      </c>
      <c r="T2550">
        <v>1</v>
      </c>
      <c r="U2550" t="s">
        <v>6018</v>
      </c>
      <c r="V2550">
        <v>1</v>
      </c>
    </row>
    <row r="2551" spans="1:22" x14ac:dyDescent="0.3">
      <c r="A2551" t="s">
        <v>2566</v>
      </c>
      <c r="B2551" s="2">
        <v>46132.359027777777</v>
      </c>
      <c r="C2551" s="2">
        <v>46133.179861111108</v>
      </c>
      <c r="D2551" t="s">
        <v>6022</v>
      </c>
      <c r="E2551" t="s">
        <v>6029</v>
      </c>
      <c r="F2551" t="s">
        <v>6033</v>
      </c>
      <c r="G2551" t="s">
        <v>6095</v>
      </c>
      <c r="H2551" t="s">
        <v>6098</v>
      </c>
      <c r="I2551">
        <v>72</v>
      </c>
      <c r="J2551">
        <v>19.7</v>
      </c>
      <c r="K2551" t="s">
        <v>6099</v>
      </c>
      <c r="L2551" t="s">
        <v>6100</v>
      </c>
      <c r="M2551" t="s">
        <v>6100</v>
      </c>
      <c r="N2551">
        <v>5</v>
      </c>
      <c r="O2551" t="s">
        <v>6101</v>
      </c>
      <c r="P2551" t="s">
        <v>6110</v>
      </c>
      <c r="Q2551">
        <v>4</v>
      </c>
      <c r="R2551">
        <v>2026</v>
      </c>
      <c r="S2551" t="s">
        <v>6099</v>
      </c>
      <c r="T2551">
        <v>1</v>
      </c>
      <c r="U2551" t="s">
        <v>6021</v>
      </c>
      <c r="V2551">
        <v>1</v>
      </c>
    </row>
    <row r="2552" spans="1:22" x14ac:dyDescent="0.3">
      <c r="A2552" t="s">
        <v>2567</v>
      </c>
      <c r="B2552" s="2">
        <v>46132.474999999999</v>
      </c>
      <c r="C2552" s="2">
        <v>46134.558333333334</v>
      </c>
      <c r="D2552" t="s">
        <v>6026</v>
      </c>
      <c r="E2552" t="s">
        <v>6029</v>
      </c>
      <c r="F2552" t="s">
        <v>6033</v>
      </c>
      <c r="G2552" t="s">
        <v>6081</v>
      </c>
      <c r="H2552" t="s">
        <v>6098</v>
      </c>
      <c r="I2552">
        <v>72</v>
      </c>
      <c r="J2552">
        <v>50</v>
      </c>
      <c r="K2552" t="s">
        <v>6099</v>
      </c>
      <c r="L2552" t="s">
        <v>6100</v>
      </c>
      <c r="M2552" t="s">
        <v>6100</v>
      </c>
      <c r="N2552">
        <v>4</v>
      </c>
      <c r="O2552" t="s">
        <v>6101</v>
      </c>
      <c r="P2552" t="s">
        <v>6110</v>
      </c>
      <c r="Q2552">
        <v>4</v>
      </c>
      <c r="R2552">
        <v>2026</v>
      </c>
      <c r="S2552" t="s">
        <v>6099</v>
      </c>
      <c r="T2552">
        <v>1</v>
      </c>
      <c r="U2552" t="s">
        <v>6018</v>
      </c>
      <c r="V2552">
        <v>1</v>
      </c>
    </row>
    <row r="2553" spans="1:22" x14ac:dyDescent="0.3">
      <c r="A2553" t="s">
        <v>2568</v>
      </c>
      <c r="B2553" s="2">
        <v>46132.479861111111</v>
      </c>
      <c r="C2553" s="2">
        <v>46132.871527777781</v>
      </c>
      <c r="D2553" t="s">
        <v>6024</v>
      </c>
      <c r="E2553" t="s">
        <v>6029</v>
      </c>
      <c r="F2553" t="s">
        <v>6034</v>
      </c>
      <c r="G2553" t="s">
        <v>6041</v>
      </c>
      <c r="H2553" t="s">
        <v>6096</v>
      </c>
      <c r="I2553">
        <v>24</v>
      </c>
      <c r="J2553">
        <v>9.4</v>
      </c>
      <c r="K2553" t="s">
        <v>6100</v>
      </c>
      <c r="L2553" t="s">
        <v>6099</v>
      </c>
      <c r="M2553" t="s">
        <v>6100</v>
      </c>
      <c r="N2553">
        <v>4</v>
      </c>
      <c r="O2553" t="s">
        <v>6101</v>
      </c>
      <c r="P2553" t="s">
        <v>6110</v>
      </c>
      <c r="Q2553">
        <v>4</v>
      </c>
      <c r="R2553">
        <v>2026</v>
      </c>
      <c r="S2553" t="s">
        <v>6099</v>
      </c>
      <c r="T2553">
        <v>1</v>
      </c>
      <c r="U2553" t="s">
        <v>6019</v>
      </c>
      <c r="V2553">
        <v>0</v>
      </c>
    </row>
    <row r="2554" spans="1:22" x14ac:dyDescent="0.3">
      <c r="A2554" t="s">
        <v>2569</v>
      </c>
      <c r="B2554" s="2">
        <v>46132.510416666664</v>
      </c>
      <c r="C2554" s="2">
        <v>46132.802083333336</v>
      </c>
      <c r="D2554" t="s">
        <v>6025</v>
      </c>
      <c r="E2554" t="s">
        <v>6030</v>
      </c>
      <c r="F2554" t="s">
        <v>6034</v>
      </c>
      <c r="G2554" t="s">
        <v>6065</v>
      </c>
      <c r="H2554" t="s">
        <v>6097</v>
      </c>
      <c r="I2554">
        <v>24</v>
      </c>
      <c r="J2554">
        <v>7</v>
      </c>
      <c r="K2554" t="s">
        <v>6100</v>
      </c>
      <c r="L2554" t="s">
        <v>6099</v>
      </c>
      <c r="M2554" t="s">
        <v>6100</v>
      </c>
      <c r="N2554">
        <v>4</v>
      </c>
      <c r="O2554" t="s">
        <v>6101</v>
      </c>
      <c r="P2554" t="s">
        <v>6110</v>
      </c>
      <c r="Q2554">
        <v>4</v>
      </c>
      <c r="R2554">
        <v>2026</v>
      </c>
      <c r="S2554" t="s">
        <v>6099</v>
      </c>
      <c r="T2554">
        <v>1</v>
      </c>
      <c r="U2554" t="s">
        <v>6017</v>
      </c>
      <c r="V2554">
        <v>0</v>
      </c>
    </row>
    <row r="2555" spans="1:22" x14ac:dyDescent="0.3">
      <c r="A2555" t="s">
        <v>2570</v>
      </c>
      <c r="B2555" s="2">
        <v>46132.537499999999</v>
      </c>
      <c r="C2555" s="2">
        <v>46133.970833333333</v>
      </c>
      <c r="D2555" t="s">
        <v>6027</v>
      </c>
      <c r="E2555" t="s">
        <v>6031</v>
      </c>
      <c r="F2555" t="s">
        <v>6034</v>
      </c>
      <c r="G2555" t="s">
        <v>6092</v>
      </c>
      <c r="H2555" t="s">
        <v>6097</v>
      </c>
      <c r="I2555">
        <v>24</v>
      </c>
      <c r="J2555">
        <v>34.4</v>
      </c>
      <c r="K2555" t="s">
        <v>6099</v>
      </c>
      <c r="L2555" t="s">
        <v>6100</v>
      </c>
      <c r="M2555" t="s">
        <v>6100</v>
      </c>
      <c r="N2555">
        <v>4</v>
      </c>
      <c r="O2555" t="s">
        <v>6101</v>
      </c>
      <c r="P2555" t="s">
        <v>6110</v>
      </c>
      <c r="Q2555">
        <v>4</v>
      </c>
      <c r="R2555">
        <v>2026</v>
      </c>
      <c r="S2555" t="s">
        <v>6100</v>
      </c>
      <c r="T2555">
        <v>0</v>
      </c>
      <c r="U2555" t="s">
        <v>6020</v>
      </c>
      <c r="V2555">
        <v>1</v>
      </c>
    </row>
    <row r="2556" spans="1:22" x14ac:dyDescent="0.3">
      <c r="A2556" t="s">
        <v>2571</v>
      </c>
      <c r="B2556" s="2">
        <v>46132.552777777775</v>
      </c>
      <c r="C2556" s="2">
        <v>46133.181944444441</v>
      </c>
      <c r="D2556" t="s">
        <v>6025</v>
      </c>
      <c r="E2556" t="s">
        <v>6029</v>
      </c>
      <c r="F2556" t="s">
        <v>6033</v>
      </c>
      <c r="G2556" t="s">
        <v>6075</v>
      </c>
      <c r="H2556" t="s">
        <v>6097</v>
      </c>
      <c r="I2556">
        <v>72</v>
      </c>
      <c r="J2556">
        <v>15.1</v>
      </c>
      <c r="K2556" t="s">
        <v>6099</v>
      </c>
      <c r="L2556" t="s">
        <v>6100</v>
      </c>
      <c r="M2556" t="s">
        <v>6100</v>
      </c>
      <c r="N2556">
        <v>5</v>
      </c>
      <c r="O2556" t="s">
        <v>6101</v>
      </c>
      <c r="P2556" t="s">
        <v>6110</v>
      </c>
      <c r="Q2556">
        <v>4</v>
      </c>
      <c r="R2556">
        <v>2026</v>
      </c>
      <c r="S2556" t="s">
        <v>6099</v>
      </c>
      <c r="T2556">
        <v>1</v>
      </c>
      <c r="U2556" t="s">
        <v>6021</v>
      </c>
      <c r="V2556">
        <v>1</v>
      </c>
    </row>
    <row r="2557" spans="1:22" x14ac:dyDescent="0.3">
      <c r="A2557" t="s">
        <v>2572</v>
      </c>
      <c r="B2557" s="2">
        <v>46132.5625</v>
      </c>
      <c r="C2557" s="2">
        <v>46132.85833333333</v>
      </c>
      <c r="D2557" t="s">
        <v>6027</v>
      </c>
      <c r="E2557" t="s">
        <v>6030</v>
      </c>
      <c r="F2557" t="s">
        <v>6033</v>
      </c>
      <c r="G2557" t="s">
        <v>6057</v>
      </c>
      <c r="H2557" t="s">
        <v>6097</v>
      </c>
      <c r="I2557">
        <v>72</v>
      </c>
      <c r="J2557">
        <v>7.1</v>
      </c>
      <c r="K2557" t="s">
        <v>6100</v>
      </c>
      <c r="L2557" t="s">
        <v>6099</v>
      </c>
      <c r="M2557" t="s">
        <v>6100</v>
      </c>
      <c r="N2557">
        <v>3</v>
      </c>
      <c r="O2557" t="s">
        <v>6101</v>
      </c>
      <c r="P2557" t="s">
        <v>6110</v>
      </c>
      <c r="Q2557">
        <v>4</v>
      </c>
      <c r="R2557">
        <v>2026</v>
      </c>
      <c r="S2557" t="s">
        <v>6099</v>
      </c>
      <c r="T2557">
        <v>1</v>
      </c>
      <c r="U2557" t="s">
        <v>6021</v>
      </c>
      <c r="V2557">
        <v>0</v>
      </c>
    </row>
    <row r="2558" spans="1:22" x14ac:dyDescent="0.3">
      <c r="A2558" t="s">
        <v>2573</v>
      </c>
      <c r="B2558" s="2">
        <v>46132.570138888892</v>
      </c>
      <c r="C2558" s="2">
        <v>46132.786805555559</v>
      </c>
      <c r="D2558" t="s">
        <v>6024</v>
      </c>
      <c r="E2558" t="s">
        <v>6030</v>
      </c>
      <c r="F2558" t="s">
        <v>6033</v>
      </c>
      <c r="G2558" t="s">
        <v>6052</v>
      </c>
      <c r="H2558" t="s">
        <v>6098</v>
      </c>
      <c r="I2558">
        <v>72</v>
      </c>
      <c r="J2558">
        <v>5.2</v>
      </c>
      <c r="K2558" t="s">
        <v>6100</v>
      </c>
      <c r="L2558" t="s">
        <v>6099</v>
      </c>
      <c r="M2558" t="s">
        <v>6100</v>
      </c>
      <c r="N2558">
        <v>4</v>
      </c>
      <c r="O2558" t="s">
        <v>6101</v>
      </c>
      <c r="P2558" t="s">
        <v>6110</v>
      </c>
      <c r="Q2558">
        <v>4</v>
      </c>
      <c r="R2558">
        <v>2026</v>
      </c>
      <c r="S2558" t="s">
        <v>6099</v>
      </c>
      <c r="T2558">
        <v>1</v>
      </c>
      <c r="U2558" t="s">
        <v>6021</v>
      </c>
      <c r="V2558">
        <v>0</v>
      </c>
    </row>
    <row r="2559" spans="1:22" x14ac:dyDescent="0.3">
      <c r="A2559" t="s">
        <v>2574</v>
      </c>
      <c r="B2559" s="2">
        <v>46132.571527777778</v>
      </c>
      <c r="C2559" s="2">
        <v>46133.313194444447</v>
      </c>
      <c r="D2559" t="s">
        <v>6025</v>
      </c>
      <c r="E2559" t="s">
        <v>6029</v>
      </c>
      <c r="F2559" t="s">
        <v>6033</v>
      </c>
      <c r="G2559" t="s">
        <v>6046</v>
      </c>
      <c r="H2559" t="s">
        <v>6098</v>
      </c>
      <c r="I2559">
        <v>72</v>
      </c>
      <c r="J2559">
        <v>17.8</v>
      </c>
      <c r="K2559" t="s">
        <v>6099</v>
      </c>
      <c r="L2559" t="s">
        <v>6100</v>
      </c>
      <c r="M2559" t="s">
        <v>6100</v>
      </c>
      <c r="O2559" t="s">
        <v>6101</v>
      </c>
      <c r="P2559" t="s">
        <v>6110</v>
      </c>
      <c r="Q2559">
        <v>4</v>
      </c>
      <c r="R2559">
        <v>2026</v>
      </c>
      <c r="S2559" t="s">
        <v>6099</v>
      </c>
      <c r="T2559">
        <v>1</v>
      </c>
      <c r="U2559" t="s">
        <v>6017</v>
      </c>
      <c r="V2559">
        <v>1</v>
      </c>
    </row>
    <row r="2560" spans="1:22" x14ac:dyDescent="0.3">
      <c r="A2560" t="s">
        <v>2575</v>
      </c>
      <c r="B2560" s="2">
        <v>46132.594444444447</v>
      </c>
      <c r="C2560" s="2">
        <v>46133.636111111111</v>
      </c>
      <c r="D2560" t="s">
        <v>6028</v>
      </c>
      <c r="E2560" t="s">
        <v>6031</v>
      </c>
      <c r="F2560" t="s">
        <v>6034</v>
      </c>
      <c r="G2560" t="s">
        <v>6065</v>
      </c>
      <c r="H2560" t="s">
        <v>6097</v>
      </c>
      <c r="I2560">
        <v>24</v>
      </c>
      <c r="J2560">
        <v>25</v>
      </c>
      <c r="K2560" t="s">
        <v>6099</v>
      </c>
      <c r="L2560" t="s">
        <v>6100</v>
      </c>
      <c r="M2560" t="s">
        <v>6100</v>
      </c>
      <c r="N2560">
        <v>4</v>
      </c>
      <c r="O2560" t="s">
        <v>6101</v>
      </c>
      <c r="P2560" t="s">
        <v>6110</v>
      </c>
      <c r="Q2560">
        <v>4</v>
      </c>
      <c r="R2560">
        <v>2026</v>
      </c>
      <c r="S2560" t="s">
        <v>6100</v>
      </c>
      <c r="T2560">
        <v>0</v>
      </c>
      <c r="U2560" t="s">
        <v>6021</v>
      </c>
      <c r="V2560">
        <v>1</v>
      </c>
    </row>
    <row r="2561" spans="1:22" x14ac:dyDescent="0.3">
      <c r="A2561" t="s">
        <v>2576</v>
      </c>
      <c r="B2561" s="2">
        <v>46132.77847222222</v>
      </c>
      <c r="C2561" s="2">
        <v>46133.228472222225</v>
      </c>
      <c r="D2561" t="s">
        <v>6023</v>
      </c>
      <c r="E2561" t="s">
        <v>6029</v>
      </c>
      <c r="F2561" t="s">
        <v>6033</v>
      </c>
      <c r="G2561" t="s">
        <v>6046</v>
      </c>
      <c r="H2561" t="s">
        <v>6098</v>
      </c>
      <c r="I2561">
        <v>72</v>
      </c>
      <c r="J2561">
        <v>10.8</v>
      </c>
      <c r="K2561" t="s">
        <v>6099</v>
      </c>
      <c r="L2561" t="s">
        <v>6100</v>
      </c>
      <c r="M2561" t="s">
        <v>6100</v>
      </c>
      <c r="O2561" t="s">
        <v>6101</v>
      </c>
      <c r="P2561" t="s">
        <v>6110</v>
      </c>
      <c r="Q2561">
        <v>4</v>
      </c>
      <c r="R2561">
        <v>2026</v>
      </c>
      <c r="S2561" t="s">
        <v>6099</v>
      </c>
      <c r="T2561">
        <v>1</v>
      </c>
      <c r="U2561" t="s">
        <v>6020</v>
      </c>
      <c r="V2561">
        <v>1</v>
      </c>
    </row>
    <row r="2562" spans="1:22" x14ac:dyDescent="0.3">
      <c r="A2562" t="s">
        <v>2577</v>
      </c>
      <c r="B2562" s="2">
        <v>46132.831250000003</v>
      </c>
      <c r="C2562" s="2">
        <v>46133.018750000003</v>
      </c>
      <c r="D2562" t="s">
        <v>6028</v>
      </c>
      <c r="E2562" t="s">
        <v>6029</v>
      </c>
      <c r="F2562" t="s">
        <v>6034</v>
      </c>
      <c r="G2562" t="s">
        <v>6094</v>
      </c>
      <c r="H2562" t="s">
        <v>6098</v>
      </c>
      <c r="I2562">
        <v>24</v>
      </c>
      <c r="J2562">
        <v>4.5</v>
      </c>
      <c r="K2562" t="s">
        <v>6099</v>
      </c>
      <c r="L2562" t="s">
        <v>6100</v>
      </c>
      <c r="M2562" t="s">
        <v>6100</v>
      </c>
      <c r="N2562">
        <v>5</v>
      </c>
      <c r="O2562" t="s">
        <v>6101</v>
      </c>
      <c r="P2562" t="s">
        <v>6110</v>
      </c>
      <c r="Q2562">
        <v>4</v>
      </c>
      <c r="R2562">
        <v>2026</v>
      </c>
      <c r="S2562" t="s">
        <v>6099</v>
      </c>
      <c r="T2562">
        <v>1</v>
      </c>
      <c r="U2562" t="s">
        <v>6021</v>
      </c>
      <c r="V2562">
        <v>1</v>
      </c>
    </row>
    <row r="2563" spans="1:22" x14ac:dyDescent="0.3">
      <c r="A2563" t="s">
        <v>2578</v>
      </c>
      <c r="B2563" s="2">
        <v>46132.9</v>
      </c>
      <c r="C2563" s="2">
        <v>46133.208333333336</v>
      </c>
      <c r="D2563" t="s">
        <v>6022</v>
      </c>
      <c r="E2563" t="s">
        <v>6029</v>
      </c>
      <c r="F2563" t="s">
        <v>6034</v>
      </c>
      <c r="G2563" t="s">
        <v>6042</v>
      </c>
      <c r="H2563" t="s">
        <v>6098</v>
      </c>
      <c r="I2563">
        <v>24</v>
      </c>
      <c r="J2563">
        <v>7.4</v>
      </c>
      <c r="K2563" t="s">
        <v>6099</v>
      </c>
      <c r="L2563" t="s">
        <v>6100</v>
      </c>
      <c r="M2563" t="s">
        <v>6100</v>
      </c>
      <c r="O2563" t="s">
        <v>6101</v>
      </c>
      <c r="P2563" t="s">
        <v>6110</v>
      </c>
      <c r="Q2563">
        <v>4</v>
      </c>
      <c r="R2563">
        <v>2026</v>
      </c>
      <c r="S2563" t="s">
        <v>6099</v>
      </c>
      <c r="T2563">
        <v>1</v>
      </c>
      <c r="U2563" t="s">
        <v>6020</v>
      </c>
      <c r="V2563">
        <v>1</v>
      </c>
    </row>
    <row r="2564" spans="1:22" x14ac:dyDescent="0.3">
      <c r="A2564" t="s">
        <v>2579</v>
      </c>
      <c r="B2564" s="2">
        <v>46133.151388888888</v>
      </c>
      <c r="C2564" s="2">
        <v>46133.363888888889</v>
      </c>
      <c r="D2564" t="s">
        <v>6023</v>
      </c>
      <c r="E2564" t="s">
        <v>6030</v>
      </c>
      <c r="F2564" t="s">
        <v>6033</v>
      </c>
      <c r="G2564" t="s">
        <v>6072</v>
      </c>
      <c r="H2564" t="s">
        <v>6097</v>
      </c>
      <c r="I2564">
        <v>72</v>
      </c>
      <c r="J2564">
        <v>5.0999999999999996</v>
      </c>
      <c r="K2564" t="s">
        <v>6099</v>
      </c>
      <c r="L2564" t="s">
        <v>6100</v>
      </c>
      <c r="M2564" t="s">
        <v>6100</v>
      </c>
      <c r="O2564" t="s">
        <v>6101</v>
      </c>
      <c r="P2564" t="s">
        <v>6110</v>
      </c>
      <c r="Q2564">
        <v>4</v>
      </c>
      <c r="R2564">
        <v>2026</v>
      </c>
      <c r="S2564" t="s">
        <v>6099</v>
      </c>
      <c r="T2564">
        <v>1</v>
      </c>
      <c r="U2564" t="s">
        <v>6021</v>
      </c>
      <c r="V2564">
        <v>1</v>
      </c>
    </row>
    <row r="2565" spans="1:22" x14ac:dyDescent="0.3">
      <c r="A2565" t="s">
        <v>2580</v>
      </c>
      <c r="B2565" s="2">
        <v>46133.303472222222</v>
      </c>
      <c r="C2565" s="2">
        <v>46133.678472222222</v>
      </c>
      <c r="D2565" t="s">
        <v>6025</v>
      </c>
      <c r="E2565" t="s">
        <v>6030</v>
      </c>
      <c r="F2565" t="s">
        <v>6034</v>
      </c>
      <c r="G2565" t="s">
        <v>6038</v>
      </c>
      <c r="H2565" t="s">
        <v>6096</v>
      </c>
      <c r="I2565">
        <v>24</v>
      </c>
      <c r="J2565">
        <v>9</v>
      </c>
      <c r="K2565" t="s">
        <v>6100</v>
      </c>
      <c r="L2565" t="s">
        <v>6099</v>
      </c>
      <c r="M2565" t="s">
        <v>6100</v>
      </c>
      <c r="N2565">
        <v>4</v>
      </c>
      <c r="O2565" t="s">
        <v>6101</v>
      </c>
      <c r="P2565" t="s">
        <v>6110</v>
      </c>
      <c r="Q2565">
        <v>4</v>
      </c>
      <c r="R2565">
        <v>2026</v>
      </c>
      <c r="S2565" t="s">
        <v>6099</v>
      </c>
      <c r="T2565">
        <v>1</v>
      </c>
      <c r="U2565" t="s">
        <v>6020</v>
      </c>
      <c r="V2565">
        <v>0</v>
      </c>
    </row>
    <row r="2566" spans="1:22" x14ac:dyDescent="0.3">
      <c r="A2566" t="s">
        <v>2581</v>
      </c>
      <c r="B2566" s="2">
        <v>46133.338888888888</v>
      </c>
      <c r="C2566" s="2">
        <v>46133.413888888892</v>
      </c>
      <c r="D2566" t="s">
        <v>6023</v>
      </c>
      <c r="E2566" t="s">
        <v>6029</v>
      </c>
      <c r="F2566" t="s">
        <v>6033</v>
      </c>
      <c r="G2566" t="s">
        <v>6056</v>
      </c>
      <c r="H2566" t="s">
        <v>6098</v>
      </c>
      <c r="I2566">
        <v>72</v>
      </c>
      <c r="J2566">
        <v>1.8</v>
      </c>
      <c r="K2566" t="s">
        <v>6100</v>
      </c>
      <c r="L2566" t="s">
        <v>6099</v>
      </c>
      <c r="M2566" t="s">
        <v>6100</v>
      </c>
      <c r="O2566" t="s">
        <v>6101</v>
      </c>
      <c r="P2566" t="s">
        <v>6110</v>
      </c>
      <c r="Q2566">
        <v>4</v>
      </c>
      <c r="R2566">
        <v>2026</v>
      </c>
      <c r="S2566" t="s">
        <v>6099</v>
      </c>
      <c r="T2566">
        <v>1</v>
      </c>
      <c r="U2566" t="s">
        <v>6021</v>
      </c>
      <c r="V2566">
        <v>0</v>
      </c>
    </row>
    <row r="2567" spans="1:22" x14ac:dyDescent="0.3">
      <c r="A2567" t="s">
        <v>2582</v>
      </c>
      <c r="B2567" s="2">
        <v>46133.345833333333</v>
      </c>
      <c r="C2567" s="2">
        <v>46133.612500000003</v>
      </c>
      <c r="D2567" t="s">
        <v>6027</v>
      </c>
      <c r="E2567" t="s">
        <v>6029</v>
      </c>
      <c r="F2567" t="s">
        <v>6034</v>
      </c>
      <c r="G2567" t="s">
        <v>6076</v>
      </c>
      <c r="H2567" t="s">
        <v>6097</v>
      </c>
      <c r="I2567">
        <v>24</v>
      </c>
      <c r="J2567">
        <v>6.4</v>
      </c>
      <c r="K2567" t="s">
        <v>6099</v>
      </c>
      <c r="L2567" t="s">
        <v>6100</v>
      </c>
      <c r="M2567" t="s">
        <v>6100</v>
      </c>
      <c r="N2567">
        <v>5</v>
      </c>
      <c r="O2567" t="s">
        <v>6101</v>
      </c>
      <c r="P2567" t="s">
        <v>6110</v>
      </c>
      <c r="Q2567">
        <v>4</v>
      </c>
      <c r="R2567">
        <v>2026</v>
      </c>
      <c r="S2567" t="s">
        <v>6099</v>
      </c>
      <c r="T2567">
        <v>1</v>
      </c>
      <c r="U2567" t="s">
        <v>6019</v>
      </c>
      <c r="V2567">
        <v>1</v>
      </c>
    </row>
    <row r="2568" spans="1:22" x14ac:dyDescent="0.3">
      <c r="A2568" t="s">
        <v>2583</v>
      </c>
      <c r="B2568" s="2">
        <v>46133.365277777775</v>
      </c>
      <c r="C2568" s="2">
        <v>46134.523611111108</v>
      </c>
      <c r="D2568" t="s">
        <v>6025</v>
      </c>
      <c r="E2568" t="s">
        <v>6030</v>
      </c>
      <c r="F2568" t="s">
        <v>6034</v>
      </c>
      <c r="G2568" t="s">
        <v>6084</v>
      </c>
      <c r="H2568" t="s">
        <v>6098</v>
      </c>
      <c r="I2568">
        <v>24</v>
      </c>
      <c r="J2568">
        <v>27.8</v>
      </c>
      <c r="K2568" t="s">
        <v>6099</v>
      </c>
      <c r="L2568" t="s">
        <v>6100</v>
      </c>
      <c r="M2568" t="s">
        <v>6100</v>
      </c>
      <c r="N2568">
        <v>5</v>
      </c>
      <c r="O2568" t="s">
        <v>6101</v>
      </c>
      <c r="P2568" t="s">
        <v>6110</v>
      </c>
      <c r="Q2568">
        <v>4</v>
      </c>
      <c r="R2568">
        <v>2026</v>
      </c>
      <c r="S2568" t="s">
        <v>6100</v>
      </c>
      <c r="T2568">
        <v>0</v>
      </c>
      <c r="U2568" t="s">
        <v>6020</v>
      </c>
      <c r="V2568">
        <v>1</v>
      </c>
    </row>
    <row r="2569" spans="1:22" x14ac:dyDescent="0.3">
      <c r="A2569" t="s">
        <v>2584</v>
      </c>
      <c r="B2569" s="2">
        <v>46133.368055555555</v>
      </c>
      <c r="C2569" s="2">
        <v>46133.701388888891</v>
      </c>
      <c r="D2569" t="s">
        <v>6027</v>
      </c>
      <c r="E2569" t="s">
        <v>6029</v>
      </c>
      <c r="F2569" t="s">
        <v>6034</v>
      </c>
      <c r="G2569" t="s">
        <v>6040</v>
      </c>
      <c r="H2569" t="s">
        <v>6097</v>
      </c>
      <c r="I2569">
        <v>24</v>
      </c>
      <c r="J2569">
        <v>8</v>
      </c>
      <c r="K2569" t="s">
        <v>6099</v>
      </c>
      <c r="L2569" t="s">
        <v>6100</v>
      </c>
      <c r="M2569" t="s">
        <v>6100</v>
      </c>
      <c r="N2569">
        <v>4</v>
      </c>
      <c r="O2569" t="s">
        <v>6101</v>
      </c>
      <c r="P2569" t="s">
        <v>6110</v>
      </c>
      <c r="Q2569">
        <v>4</v>
      </c>
      <c r="R2569">
        <v>2026</v>
      </c>
      <c r="S2569" t="s">
        <v>6099</v>
      </c>
      <c r="T2569">
        <v>1</v>
      </c>
      <c r="U2569" t="s">
        <v>6019</v>
      </c>
      <c r="V2569">
        <v>1</v>
      </c>
    </row>
    <row r="2570" spans="1:22" x14ac:dyDescent="0.3">
      <c r="A2570" t="s">
        <v>2585</v>
      </c>
      <c r="B2570" s="2">
        <v>46133.458333333336</v>
      </c>
      <c r="C2570" s="2">
        <v>46133.833333333336</v>
      </c>
      <c r="D2570" t="s">
        <v>6028</v>
      </c>
      <c r="E2570" t="s">
        <v>6031</v>
      </c>
      <c r="F2570" t="s">
        <v>6034</v>
      </c>
      <c r="G2570" t="s">
        <v>6087</v>
      </c>
      <c r="H2570" t="s">
        <v>6098</v>
      </c>
      <c r="I2570">
        <v>24</v>
      </c>
      <c r="J2570">
        <v>9</v>
      </c>
      <c r="K2570" t="s">
        <v>6099</v>
      </c>
      <c r="L2570" t="s">
        <v>6100</v>
      </c>
      <c r="M2570" t="s">
        <v>6100</v>
      </c>
      <c r="N2570">
        <v>4</v>
      </c>
      <c r="O2570" t="s">
        <v>6101</v>
      </c>
      <c r="P2570" t="s">
        <v>6110</v>
      </c>
      <c r="Q2570">
        <v>4</v>
      </c>
      <c r="R2570">
        <v>2026</v>
      </c>
      <c r="S2570" t="s">
        <v>6099</v>
      </c>
      <c r="T2570">
        <v>1</v>
      </c>
      <c r="U2570" t="s">
        <v>6020</v>
      </c>
      <c r="V2570">
        <v>1</v>
      </c>
    </row>
    <row r="2571" spans="1:22" x14ac:dyDescent="0.3">
      <c r="A2571" t="s">
        <v>2586</v>
      </c>
      <c r="B2571" s="2">
        <v>46133.482638888891</v>
      </c>
      <c r="C2571" s="2">
        <v>46133.632638888892</v>
      </c>
      <c r="D2571" t="s">
        <v>6022</v>
      </c>
      <c r="E2571" t="s">
        <v>6029</v>
      </c>
      <c r="F2571" t="s">
        <v>6033</v>
      </c>
      <c r="G2571" t="s">
        <v>6049</v>
      </c>
      <c r="H2571" t="s">
        <v>6097</v>
      </c>
      <c r="I2571">
        <v>72</v>
      </c>
      <c r="J2571">
        <v>3.6</v>
      </c>
      <c r="K2571" t="s">
        <v>6099</v>
      </c>
      <c r="L2571" t="s">
        <v>6100</v>
      </c>
      <c r="M2571" t="s">
        <v>6099</v>
      </c>
      <c r="N2571">
        <v>5</v>
      </c>
      <c r="O2571" t="s">
        <v>6101</v>
      </c>
      <c r="P2571" t="s">
        <v>6110</v>
      </c>
      <c r="Q2571">
        <v>4</v>
      </c>
      <c r="R2571">
        <v>2026</v>
      </c>
      <c r="S2571" t="s">
        <v>6099</v>
      </c>
      <c r="T2571">
        <v>1</v>
      </c>
      <c r="U2571" t="s">
        <v>6021</v>
      </c>
      <c r="V2571">
        <v>1</v>
      </c>
    </row>
    <row r="2572" spans="1:22" x14ac:dyDescent="0.3">
      <c r="A2572" t="s">
        <v>2587</v>
      </c>
      <c r="B2572" s="2">
        <v>46133.486805555556</v>
      </c>
      <c r="C2572" s="2">
        <v>46134.561805555553</v>
      </c>
      <c r="D2572" t="s">
        <v>6024</v>
      </c>
      <c r="E2572" t="s">
        <v>6031</v>
      </c>
      <c r="F2572" t="s">
        <v>6035</v>
      </c>
      <c r="G2572" t="s">
        <v>6070</v>
      </c>
      <c r="H2572" t="s">
        <v>6097</v>
      </c>
      <c r="I2572">
        <v>4</v>
      </c>
      <c r="J2572">
        <v>25.8</v>
      </c>
      <c r="K2572" t="s">
        <v>6099</v>
      </c>
      <c r="L2572" t="s">
        <v>6100</v>
      </c>
      <c r="M2572" t="s">
        <v>6100</v>
      </c>
      <c r="N2572">
        <v>5</v>
      </c>
      <c r="O2572" t="s">
        <v>6101</v>
      </c>
      <c r="P2572" t="s">
        <v>6110</v>
      </c>
      <c r="Q2572">
        <v>4</v>
      </c>
      <c r="R2572">
        <v>2026</v>
      </c>
      <c r="S2572" t="s">
        <v>6100</v>
      </c>
      <c r="T2572">
        <v>0</v>
      </c>
      <c r="U2572" t="s">
        <v>6019</v>
      </c>
      <c r="V2572">
        <v>1</v>
      </c>
    </row>
    <row r="2573" spans="1:22" x14ac:dyDescent="0.3">
      <c r="A2573" t="s">
        <v>2588</v>
      </c>
      <c r="B2573" s="2">
        <v>46133.50277777778</v>
      </c>
      <c r="C2573" s="2">
        <v>46133.686111111114</v>
      </c>
      <c r="D2573" t="s">
        <v>6023</v>
      </c>
      <c r="E2573" t="s">
        <v>6030</v>
      </c>
      <c r="F2573" t="s">
        <v>6034</v>
      </c>
      <c r="G2573" t="s">
        <v>6066</v>
      </c>
      <c r="H2573" t="s">
        <v>6096</v>
      </c>
      <c r="I2573">
        <v>24</v>
      </c>
      <c r="J2573">
        <v>4.4000000000000004</v>
      </c>
      <c r="K2573" t="s">
        <v>6099</v>
      </c>
      <c r="L2573" t="s">
        <v>6100</v>
      </c>
      <c r="M2573" t="s">
        <v>6100</v>
      </c>
      <c r="O2573" t="s">
        <v>6101</v>
      </c>
      <c r="P2573" t="s">
        <v>6110</v>
      </c>
      <c r="Q2573">
        <v>4</v>
      </c>
      <c r="R2573">
        <v>2026</v>
      </c>
      <c r="S2573" t="s">
        <v>6099</v>
      </c>
      <c r="T2573">
        <v>1</v>
      </c>
      <c r="U2573" t="s">
        <v>6018</v>
      </c>
      <c r="V2573">
        <v>1</v>
      </c>
    </row>
    <row r="2574" spans="1:22" x14ac:dyDescent="0.3">
      <c r="A2574" t="s">
        <v>2589</v>
      </c>
      <c r="B2574" s="2">
        <v>46133.504166666666</v>
      </c>
      <c r="C2574" s="2">
        <v>46134.537499999999</v>
      </c>
      <c r="D2574" t="s">
        <v>6024</v>
      </c>
      <c r="E2574" t="s">
        <v>6031</v>
      </c>
      <c r="F2574" t="s">
        <v>6034</v>
      </c>
      <c r="G2574" t="s">
        <v>6088</v>
      </c>
      <c r="H2574" t="s">
        <v>6097</v>
      </c>
      <c r="I2574">
        <v>24</v>
      </c>
      <c r="J2574">
        <v>24.8</v>
      </c>
      <c r="K2574" t="s">
        <v>6099</v>
      </c>
      <c r="L2574" t="s">
        <v>6100</v>
      </c>
      <c r="M2574" t="s">
        <v>6100</v>
      </c>
      <c r="N2574">
        <v>3</v>
      </c>
      <c r="O2574" t="s">
        <v>6101</v>
      </c>
      <c r="P2574" t="s">
        <v>6110</v>
      </c>
      <c r="Q2574">
        <v>4</v>
      </c>
      <c r="R2574">
        <v>2026</v>
      </c>
      <c r="S2574" t="s">
        <v>6100</v>
      </c>
      <c r="T2574">
        <v>0</v>
      </c>
      <c r="U2574" t="s">
        <v>6017</v>
      </c>
      <c r="V2574">
        <v>1</v>
      </c>
    </row>
    <row r="2575" spans="1:22" x14ac:dyDescent="0.3">
      <c r="A2575" t="s">
        <v>2590</v>
      </c>
      <c r="B2575" s="2">
        <v>46133.532638888886</v>
      </c>
      <c r="C2575" s="2">
        <v>46133.990972222222</v>
      </c>
      <c r="D2575" t="s">
        <v>6024</v>
      </c>
      <c r="E2575" t="s">
        <v>6029</v>
      </c>
      <c r="F2575" t="s">
        <v>6034</v>
      </c>
      <c r="G2575" t="s">
        <v>6055</v>
      </c>
      <c r="H2575" t="s">
        <v>6096</v>
      </c>
      <c r="I2575">
        <v>24</v>
      </c>
      <c r="J2575">
        <v>11</v>
      </c>
      <c r="K2575" t="s">
        <v>6099</v>
      </c>
      <c r="L2575" t="s">
        <v>6100</v>
      </c>
      <c r="M2575" t="s">
        <v>6100</v>
      </c>
      <c r="N2575">
        <v>3</v>
      </c>
      <c r="O2575" t="s">
        <v>6101</v>
      </c>
      <c r="P2575" t="s">
        <v>6110</v>
      </c>
      <c r="Q2575">
        <v>4</v>
      </c>
      <c r="R2575">
        <v>2026</v>
      </c>
      <c r="S2575" t="s">
        <v>6099</v>
      </c>
      <c r="T2575">
        <v>1</v>
      </c>
      <c r="U2575" t="s">
        <v>6021</v>
      </c>
      <c r="V2575">
        <v>1</v>
      </c>
    </row>
    <row r="2576" spans="1:22" x14ac:dyDescent="0.3">
      <c r="A2576" t="s">
        <v>2591</v>
      </c>
      <c r="B2576" s="2">
        <v>46133.554861111108</v>
      </c>
      <c r="C2576" s="2">
        <v>46135.400694444441</v>
      </c>
      <c r="D2576" t="s">
        <v>6025</v>
      </c>
      <c r="E2576" t="s">
        <v>6031</v>
      </c>
      <c r="F2576" t="s">
        <v>6034</v>
      </c>
      <c r="G2576" t="s">
        <v>6039</v>
      </c>
      <c r="H2576" t="s">
        <v>6097</v>
      </c>
      <c r="I2576">
        <v>24</v>
      </c>
      <c r="J2576">
        <v>44.3</v>
      </c>
      <c r="K2576" t="s">
        <v>6099</v>
      </c>
      <c r="L2576" t="s">
        <v>6100</v>
      </c>
      <c r="M2576" t="s">
        <v>6100</v>
      </c>
      <c r="O2576" t="s">
        <v>6101</v>
      </c>
      <c r="P2576" t="s">
        <v>6110</v>
      </c>
      <c r="Q2576">
        <v>4</v>
      </c>
      <c r="R2576">
        <v>2026</v>
      </c>
      <c r="S2576" t="s">
        <v>6100</v>
      </c>
      <c r="T2576">
        <v>0</v>
      </c>
      <c r="U2576" t="s">
        <v>6021</v>
      </c>
      <c r="V2576">
        <v>1</v>
      </c>
    </row>
    <row r="2577" spans="1:22" x14ac:dyDescent="0.3">
      <c r="A2577" t="s">
        <v>2592</v>
      </c>
      <c r="B2577" s="2">
        <v>46133.614583333336</v>
      </c>
      <c r="C2577" s="2">
        <v>46133.772916666669</v>
      </c>
      <c r="D2577" t="s">
        <v>6027</v>
      </c>
      <c r="E2577" t="s">
        <v>6029</v>
      </c>
      <c r="F2577" t="s">
        <v>6033</v>
      </c>
      <c r="G2577" t="s">
        <v>6045</v>
      </c>
      <c r="H2577" t="s">
        <v>6096</v>
      </c>
      <c r="I2577">
        <v>72</v>
      </c>
      <c r="J2577">
        <v>3.8</v>
      </c>
      <c r="K2577" t="s">
        <v>6100</v>
      </c>
      <c r="L2577" t="s">
        <v>6099</v>
      </c>
      <c r="M2577" t="s">
        <v>6100</v>
      </c>
      <c r="N2577">
        <v>4</v>
      </c>
      <c r="O2577" t="s">
        <v>6101</v>
      </c>
      <c r="P2577" t="s">
        <v>6110</v>
      </c>
      <c r="Q2577">
        <v>4</v>
      </c>
      <c r="R2577">
        <v>2026</v>
      </c>
      <c r="S2577" t="s">
        <v>6099</v>
      </c>
      <c r="T2577">
        <v>1</v>
      </c>
      <c r="U2577" t="s">
        <v>6020</v>
      </c>
      <c r="V2577">
        <v>0</v>
      </c>
    </row>
    <row r="2578" spans="1:22" x14ac:dyDescent="0.3">
      <c r="A2578" t="s">
        <v>2593</v>
      </c>
      <c r="B2578" s="2">
        <v>46133.654166666667</v>
      </c>
      <c r="C2578" s="2">
        <v>46133.9375</v>
      </c>
      <c r="D2578" t="s">
        <v>6028</v>
      </c>
      <c r="E2578" t="s">
        <v>6029</v>
      </c>
      <c r="F2578" t="s">
        <v>6034</v>
      </c>
      <c r="G2578" t="s">
        <v>6060</v>
      </c>
      <c r="H2578" t="s">
        <v>6097</v>
      </c>
      <c r="I2578">
        <v>24</v>
      </c>
      <c r="J2578">
        <v>6.8</v>
      </c>
      <c r="K2578" t="s">
        <v>6099</v>
      </c>
      <c r="L2578" t="s">
        <v>6100</v>
      </c>
      <c r="M2578" t="s">
        <v>6100</v>
      </c>
      <c r="N2578">
        <v>4</v>
      </c>
      <c r="O2578" t="s">
        <v>6101</v>
      </c>
      <c r="P2578" t="s">
        <v>6110</v>
      </c>
      <c r="Q2578">
        <v>4</v>
      </c>
      <c r="R2578">
        <v>2026</v>
      </c>
      <c r="S2578" t="s">
        <v>6099</v>
      </c>
      <c r="T2578">
        <v>1</v>
      </c>
      <c r="U2578" t="s">
        <v>6017</v>
      </c>
      <c r="V2578">
        <v>1</v>
      </c>
    </row>
    <row r="2579" spans="1:22" x14ac:dyDescent="0.3">
      <c r="A2579" t="s">
        <v>2594</v>
      </c>
      <c r="B2579" s="2">
        <v>46133.738194444442</v>
      </c>
      <c r="C2579" s="2">
        <v>46134.979861111111</v>
      </c>
      <c r="D2579" t="s">
        <v>6024</v>
      </c>
      <c r="E2579" t="s">
        <v>6031</v>
      </c>
      <c r="F2579" t="s">
        <v>6034</v>
      </c>
      <c r="G2579" t="s">
        <v>6093</v>
      </c>
      <c r="H2579" t="s">
        <v>6097</v>
      </c>
      <c r="I2579">
        <v>24</v>
      </c>
      <c r="J2579">
        <v>29.8</v>
      </c>
      <c r="K2579" t="s">
        <v>6099</v>
      </c>
      <c r="L2579" t="s">
        <v>6100</v>
      </c>
      <c r="M2579" t="s">
        <v>6100</v>
      </c>
      <c r="N2579">
        <v>5</v>
      </c>
      <c r="O2579" t="s">
        <v>6101</v>
      </c>
      <c r="P2579" t="s">
        <v>6110</v>
      </c>
      <c r="Q2579">
        <v>4</v>
      </c>
      <c r="R2579">
        <v>2026</v>
      </c>
      <c r="S2579" t="s">
        <v>6100</v>
      </c>
      <c r="T2579">
        <v>0</v>
      </c>
      <c r="U2579" t="s">
        <v>6021</v>
      </c>
      <c r="V2579">
        <v>1</v>
      </c>
    </row>
    <row r="2580" spans="1:22" x14ac:dyDescent="0.3">
      <c r="A2580" t="s">
        <v>2595</v>
      </c>
      <c r="B2580" s="2">
        <v>46133.775694444441</v>
      </c>
      <c r="C2580" s="2">
        <v>46134.046527777777</v>
      </c>
      <c r="D2580" t="s">
        <v>6024</v>
      </c>
      <c r="E2580" t="s">
        <v>6029</v>
      </c>
      <c r="F2580" t="s">
        <v>6034</v>
      </c>
      <c r="G2580" t="s">
        <v>6059</v>
      </c>
      <c r="H2580" t="s">
        <v>6097</v>
      </c>
      <c r="I2580">
        <v>24</v>
      </c>
      <c r="J2580">
        <v>6.5</v>
      </c>
      <c r="K2580" t="s">
        <v>6099</v>
      </c>
      <c r="L2580" t="s">
        <v>6100</v>
      </c>
      <c r="M2580" t="s">
        <v>6100</v>
      </c>
      <c r="N2580">
        <v>5</v>
      </c>
      <c r="O2580" t="s">
        <v>6101</v>
      </c>
      <c r="P2580" t="s">
        <v>6110</v>
      </c>
      <c r="Q2580">
        <v>4</v>
      </c>
      <c r="R2580">
        <v>2026</v>
      </c>
      <c r="S2580" t="s">
        <v>6099</v>
      </c>
      <c r="T2580">
        <v>1</v>
      </c>
      <c r="U2580" t="s">
        <v>6020</v>
      </c>
      <c r="V2580">
        <v>1</v>
      </c>
    </row>
    <row r="2581" spans="1:22" x14ac:dyDescent="0.3">
      <c r="A2581" t="s">
        <v>2596</v>
      </c>
      <c r="B2581" s="2">
        <v>46133.781944444447</v>
      </c>
      <c r="C2581" s="2">
        <v>46136.119444444441</v>
      </c>
      <c r="D2581" t="s">
        <v>6026</v>
      </c>
      <c r="E2581" t="s">
        <v>6029</v>
      </c>
      <c r="F2581" t="s">
        <v>6035</v>
      </c>
      <c r="G2581" t="s">
        <v>6041</v>
      </c>
      <c r="H2581" t="s">
        <v>6096</v>
      </c>
      <c r="I2581">
        <v>4</v>
      </c>
      <c r="J2581">
        <v>56.1</v>
      </c>
      <c r="K2581" t="s">
        <v>6100</v>
      </c>
      <c r="L2581" t="s">
        <v>6100</v>
      </c>
      <c r="M2581" t="s">
        <v>6100</v>
      </c>
      <c r="N2581">
        <v>4</v>
      </c>
      <c r="O2581" t="s">
        <v>6101</v>
      </c>
      <c r="P2581" t="s">
        <v>6110</v>
      </c>
      <c r="Q2581">
        <v>4</v>
      </c>
      <c r="R2581">
        <v>2026</v>
      </c>
      <c r="S2581" t="s">
        <v>6100</v>
      </c>
      <c r="T2581">
        <v>0</v>
      </c>
      <c r="U2581" t="s">
        <v>6021</v>
      </c>
      <c r="V2581">
        <v>0</v>
      </c>
    </row>
    <row r="2582" spans="1:22" x14ac:dyDescent="0.3">
      <c r="A2582" t="s">
        <v>2597</v>
      </c>
      <c r="B2582" s="2">
        <v>46133.789583333331</v>
      </c>
      <c r="C2582" s="2">
        <v>46134.477083333331</v>
      </c>
      <c r="D2582" t="s">
        <v>6025</v>
      </c>
      <c r="E2582" t="s">
        <v>6029</v>
      </c>
      <c r="F2582" t="s">
        <v>6034</v>
      </c>
      <c r="G2582" t="s">
        <v>6045</v>
      </c>
      <c r="H2582" t="s">
        <v>6096</v>
      </c>
      <c r="I2582">
        <v>24</v>
      </c>
      <c r="J2582">
        <v>16.5</v>
      </c>
      <c r="K2582" t="s">
        <v>6099</v>
      </c>
      <c r="L2582" t="s">
        <v>6100</v>
      </c>
      <c r="M2582" t="s">
        <v>6100</v>
      </c>
      <c r="O2582" t="s">
        <v>6101</v>
      </c>
      <c r="P2582" t="s">
        <v>6110</v>
      </c>
      <c r="Q2582">
        <v>4</v>
      </c>
      <c r="R2582">
        <v>2026</v>
      </c>
      <c r="S2582" t="s">
        <v>6099</v>
      </c>
      <c r="T2582">
        <v>1</v>
      </c>
      <c r="U2582" t="s">
        <v>6021</v>
      </c>
      <c r="V2582">
        <v>1</v>
      </c>
    </row>
    <row r="2583" spans="1:22" x14ac:dyDescent="0.3">
      <c r="A2583" t="s">
        <v>2598</v>
      </c>
      <c r="B2583" s="2">
        <v>46133.799305555556</v>
      </c>
      <c r="C2583" s="2">
        <v>46134.65347222222</v>
      </c>
      <c r="D2583" t="s">
        <v>6022</v>
      </c>
      <c r="E2583" t="s">
        <v>6029</v>
      </c>
      <c r="F2583" t="s">
        <v>6034</v>
      </c>
      <c r="G2583" t="s">
        <v>6051</v>
      </c>
      <c r="H2583" t="s">
        <v>6097</v>
      </c>
      <c r="I2583">
        <v>24</v>
      </c>
      <c r="J2583">
        <v>20.5</v>
      </c>
      <c r="K2583" t="s">
        <v>6099</v>
      </c>
      <c r="L2583" t="s">
        <v>6100</v>
      </c>
      <c r="M2583" t="s">
        <v>6100</v>
      </c>
      <c r="O2583" t="s">
        <v>6101</v>
      </c>
      <c r="P2583" t="s">
        <v>6110</v>
      </c>
      <c r="Q2583">
        <v>4</v>
      </c>
      <c r="R2583">
        <v>2026</v>
      </c>
      <c r="S2583" t="s">
        <v>6099</v>
      </c>
      <c r="T2583">
        <v>1</v>
      </c>
      <c r="U2583" t="s">
        <v>6019</v>
      </c>
      <c r="V2583">
        <v>1</v>
      </c>
    </row>
    <row r="2584" spans="1:22" x14ac:dyDescent="0.3">
      <c r="A2584" t="s">
        <v>2599</v>
      </c>
      <c r="B2584" s="2">
        <v>46133.929166666669</v>
      </c>
      <c r="C2584" s="2">
        <v>46134.645833333336</v>
      </c>
      <c r="D2584" t="s">
        <v>6022</v>
      </c>
      <c r="E2584" t="s">
        <v>6029</v>
      </c>
      <c r="F2584" t="s">
        <v>6033</v>
      </c>
      <c r="G2584" t="s">
        <v>6039</v>
      </c>
      <c r="H2584" t="s">
        <v>6097</v>
      </c>
      <c r="I2584">
        <v>72</v>
      </c>
      <c r="J2584">
        <v>17.2</v>
      </c>
      <c r="K2584" t="s">
        <v>6099</v>
      </c>
      <c r="L2584" t="s">
        <v>6100</v>
      </c>
      <c r="M2584" t="s">
        <v>6100</v>
      </c>
      <c r="N2584">
        <v>5</v>
      </c>
      <c r="O2584" t="s">
        <v>6101</v>
      </c>
      <c r="P2584" t="s">
        <v>6110</v>
      </c>
      <c r="Q2584">
        <v>4</v>
      </c>
      <c r="R2584">
        <v>2026</v>
      </c>
      <c r="S2584" t="s">
        <v>6099</v>
      </c>
      <c r="T2584">
        <v>1</v>
      </c>
      <c r="U2584" t="s">
        <v>6019</v>
      </c>
      <c r="V2584">
        <v>1</v>
      </c>
    </row>
    <row r="2585" spans="1:22" x14ac:dyDescent="0.3">
      <c r="A2585" t="s">
        <v>2600</v>
      </c>
      <c r="B2585" s="2">
        <v>46134.259027777778</v>
      </c>
      <c r="C2585" s="2">
        <v>46134.809027777781</v>
      </c>
      <c r="D2585" t="s">
        <v>6023</v>
      </c>
      <c r="E2585" t="s">
        <v>6029</v>
      </c>
      <c r="F2585" t="s">
        <v>6033</v>
      </c>
      <c r="G2585" t="s">
        <v>6073</v>
      </c>
      <c r="H2585" t="s">
        <v>6096</v>
      </c>
      <c r="I2585">
        <v>72</v>
      </c>
      <c r="J2585">
        <v>13.2</v>
      </c>
      <c r="K2585" t="s">
        <v>6100</v>
      </c>
      <c r="L2585" t="s">
        <v>6100</v>
      </c>
      <c r="M2585" t="s">
        <v>6100</v>
      </c>
      <c r="N2585">
        <v>4</v>
      </c>
      <c r="O2585" t="s">
        <v>6101</v>
      </c>
      <c r="P2585" t="s">
        <v>6110</v>
      </c>
      <c r="Q2585">
        <v>4</v>
      </c>
      <c r="R2585">
        <v>2026</v>
      </c>
      <c r="S2585" t="s">
        <v>6099</v>
      </c>
      <c r="T2585">
        <v>1</v>
      </c>
      <c r="U2585" t="s">
        <v>6020</v>
      </c>
      <c r="V2585">
        <v>0</v>
      </c>
    </row>
    <row r="2586" spans="1:22" x14ac:dyDescent="0.3">
      <c r="A2586" t="s">
        <v>2601</v>
      </c>
      <c r="B2586" s="2">
        <v>46134.335416666669</v>
      </c>
      <c r="C2586" s="2">
        <v>46138.54791666667</v>
      </c>
      <c r="D2586" t="s">
        <v>6026</v>
      </c>
      <c r="E2586" t="s">
        <v>6031</v>
      </c>
      <c r="F2586" t="s">
        <v>6033</v>
      </c>
      <c r="G2586" t="s">
        <v>6038</v>
      </c>
      <c r="H2586" t="s">
        <v>6096</v>
      </c>
      <c r="I2586">
        <v>72</v>
      </c>
      <c r="J2586">
        <v>101.1</v>
      </c>
      <c r="K2586" t="s">
        <v>6099</v>
      </c>
      <c r="L2586" t="s">
        <v>6100</v>
      </c>
      <c r="M2586" t="s">
        <v>6100</v>
      </c>
      <c r="N2586">
        <v>5</v>
      </c>
      <c r="O2586" t="s">
        <v>6101</v>
      </c>
      <c r="P2586" t="s">
        <v>6110</v>
      </c>
      <c r="Q2586">
        <v>4</v>
      </c>
      <c r="R2586">
        <v>2026</v>
      </c>
      <c r="S2586" t="s">
        <v>6100</v>
      </c>
      <c r="T2586">
        <v>0</v>
      </c>
      <c r="U2586" t="s">
        <v>6019</v>
      </c>
      <c r="V2586">
        <v>1</v>
      </c>
    </row>
    <row r="2587" spans="1:22" x14ac:dyDescent="0.3">
      <c r="A2587" t="s">
        <v>2602</v>
      </c>
      <c r="B2587" s="2">
        <v>46134.35833333333</v>
      </c>
      <c r="C2587" s="2">
        <v>46134.574999999997</v>
      </c>
      <c r="D2587" t="s">
        <v>6028</v>
      </c>
      <c r="E2587" t="s">
        <v>6029</v>
      </c>
      <c r="F2587" t="s">
        <v>6035</v>
      </c>
      <c r="G2587" t="s">
        <v>6055</v>
      </c>
      <c r="H2587" t="s">
        <v>6096</v>
      </c>
      <c r="I2587">
        <v>4</v>
      </c>
      <c r="J2587">
        <v>5.2</v>
      </c>
      <c r="K2587" t="s">
        <v>6099</v>
      </c>
      <c r="L2587" t="s">
        <v>6100</v>
      </c>
      <c r="M2587" t="s">
        <v>6100</v>
      </c>
      <c r="O2587" t="s">
        <v>6101</v>
      </c>
      <c r="P2587" t="s">
        <v>6110</v>
      </c>
      <c r="Q2587">
        <v>4</v>
      </c>
      <c r="R2587">
        <v>2026</v>
      </c>
      <c r="S2587" t="s">
        <v>6100</v>
      </c>
      <c r="T2587">
        <v>0</v>
      </c>
      <c r="U2587" t="s">
        <v>6021</v>
      </c>
      <c r="V2587">
        <v>1</v>
      </c>
    </row>
    <row r="2588" spans="1:22" x14ac:dyDescent="0.3">
      <c r="A2588" t="s">
        <v>2603</v>
      </c>
      <c r="B2588" s="2">
        <v>46134.392361111109</v>
      </c>
      <c r="C2588" s="2">
        <v>46138.642361111109</v>
      </c>
      <c r="D2588" t="s">
        <v>6026</v>
      </c>
      <c r="E2588" t="s">
        <v>6029</v>
      </c>
      <c r="F2588" t="s">
        <v>6034</v>
      </c>
      <c r="G2588" t="s">
        <v>6083</v>
      </c>
      <c r="H2588" t="s">
        <v>6096</v>
      </c>
      <c r="I2588">
        <v>24</v>
      </c>
      <c r="J2588">
        <v>102</v>
      </c>
      <c r="K2588" t="s">
        <v>6100</v>
      </c>
      <c r="L2588" t="s">
        <v>6099</v>
      </c>
      <c r="M2588" t="s">
        <v>6100</v>
      </c>
      <c r="N2588">
        <v>4</v>
      </c>
      <c r="O2588" t="s">
        <v>6101</v>
      </c>
      <c r="P2588" t="s">
        <v>6110</v>
      </c>
      <c r="Q2588">
        <v>4</v>
      </c>
      <c r="R2588">
        <v>2026</v>
      </c>
      <c r="S2588" t="s">
        <v>6100</v>
      </c>
      <c r="T2588">
        <v>0</v>
      </c>
      <c r="U2588" t="s">
        <v>6019</v>
      </c>
      <c r="V2588">
        <v>0</v>
      </c>
    </row>
    <row r="2589" spans="1:22" x14ac:dyDescent="0.3">
      <c r="A2589" t="s">
        <v>2604</v>
      </c>
      <c r="B2589" s="2">
        <v>46134.398611111108</v>
      </c>
      <c r="C2589" s="2">
        <v>46135.840277777781</v>
      </c>
      <c r="D2589" t="s">
        <v>6023</v>
      </c>
      <c r="E2589" t="s">
        <v>6032</v>
      </c>
      <c r="F2589" t="s">
        <v>6033</v>
      </c>
      <c r="G2589" t="s">
        <v>6065</v>
      </c>
      <c r="H2589" t="s">
        <v>6097</v>
      </c>
      <c r="I2589">
        <v>72</v>
      </c>
      <c r="J2589">
        <v>34.6</v>
      </c>
      <c r="K2589" t="s">
        <v>6100</v>
      </c>
      <c r="L2589" t="s">
        <v>6099</v>
      </c>
      <c r="M2589" t="s">
        <v>6100</v>
      </c>
      <c r="N2589">
        <v>2</v>
      </c>
      <c r="O2589" t="s">
        <v>6101</v>
      </c>
      <c r="P2589" t="s">
        <v>6110</v>
      </c>
      <c r="Q2589">
        <v>4</v>
      </c>
      <c r="R2589">
        <v>2026</v>
      </c>
      <c r="S2589" t="s">
        <v>6099</v>
      </c>
      <c r="T2589">
        <v>1</v>
      </c>
      <c r="U2589" t="s">
        <v>6021</v>
      </c>
      <c r="V2589">
        <v>0</v>
      </c>
    </row>
    <row r="2590" spans="1:22" x14ac:dyDescent="0.3">
      <c r="A2590" t="s">
        <v>2605</v>
      </c>
      <c r="B2590" s="2">
        <v>46134.418749999997</v>
      </c>
      <c r="C2590" s="2">
        <v>46134.631249999999</v>
      </c>
      <c r="D2590" t="s">
        <v>6028</v>
      </c>
      <c r="E2590" t="s">
        <v>6029</v>
      </c>
      <c r="F2590" t="s">
        <v>6035</v>
      </c>
      <c r="G2590" t="s">
        <v>6062</v>
      </c>
      <c r="H2590" t="s">
        <v>6096</v>
      </c>
      <c r="I2590">
        <v>4</v>
      </c>
      <c r="J2590">
        <v>5.0999999999999996</v>
      </c>
      <c r="K2590" t="s">
        <v>6099</v>
      </c>
      <c r="L2590" t="s">
        <v>6100</v>
      </c>
      <c r="M2590" t="s">
        <v>6099</v>
      </c>
      <c r="O2590" t="s">
        <v>6101</v>
      </c>
      <c r="P2590" t="s">
        <v>6110</v>
      </c>
      <c r="Q2590">
        <v>4</v>
      </c>
      <c r="R2590">
        <v>2026</v>
      </c>
      <c r="S2590" t="s">
        <v>6100</v>
      </c>
      <c r="T2590">
        <v>0</v>
      </c>
      <c r="U2590" t="s">
        <v>6018</v>
      </c>
      <c r="V2590">
        <v>1</v>
      </c>
    </row>
    <row r="2591" spans="1:22" x14ac:dyDescent="0.3">
      <c r="A2591" t="s">
        <v>2606</v>
      </c>
      <c r="B2591" s="2">
        <v>46134.449305555558</v>
      </c>
      <c r="C2591" s="2">
        <v>46134.90347222222</v>
      </c>
      <c r="D2591" t="s">
        <v>6028</v>
      </c>
      <c r="E2591" t="s">
        <v>6031</v>
      </c>
      <c r="F2591" t="s">
        <v>6035</v>
      </c>
      <c r="G2591" t="s">
        <v>6042</v>
      </c>
      <c r="H2591" t="s">
        <v>6098</v>
      </c>
      <c r="I2591">
        <v>4</v>
      </c>
      <c r="J2591">
        <v>10.9</v>
      </c>
      <c r="K2591" t="s">
        <v>6099</v>
      </c>
      <c r="L2591" t="s">
        <v>6100</v>
      </c>
      <c r="M2591" t="s">
        <v>6100</v>
      </c>
      <c r="O2591" t="s">
        <v>6101</v>
      </c>
      <c r="P2591" t="s">
        <v>6110</v>
      </c>
      <c r="Q2591">
        <v>4</v>
      </c>
      <c r="R2591">
        <v>2026</v>
      </c>
      <c r="S2591" t="s">
        <v>6100</v>
      </c>
      <c r="T2591">
        <v>0</v>
      </c>
      <c r="U2591" t="s">
        <v>6018</v>
      </c>
      <c r="V2591">
        <v>1</v>
      </c>
    </row>
    <row r="2592" spans="1:22" x14ac:dyDescent="0.3">
      <c r="A2592" t="s">
        <v>2607</v>
      </c>
      <c r="B2592" s="2">
        <v>46134.462500000001</v>
      </c>
      <c r="C2592" s="2">
        <v>46134.762499999997</v>
      </c>
      <c r="D2592" t="s">
        <v>6027</v>
      </c>
      <c r="E2592" t="s">
        <v>6030</v>
      </c>
      <c r="F2592" t="s">
        <v>6034</v>
      </c>
      <c r="G2592" t="s">
        <v>6040</v>
      </c>
      <c r="H2592" t="s">
        <v>6097</v>
      </c>
      <c r="I2592">
        <v>24</v>
      </c>
      <c r="J2592">
        <v>7.2</v>
      </c>
      <c r="K2592" t="s">
        <v>6099</v>
      </c>
      <c r="L2592" t="s">
        <v>6100</v>
      </c>
      <c r="M2592" t="s">
        <v>6100</v>
      </c>
      <c r="N2592">
        <v>5</v>
      </c>
      <c r="O2592" t="s">
        <v>6101</v>
      </c>
      <c r="P2592" t="s">
        <v>6110</v>
      </c>
      <c r="Q2592">
        <v>4</v>
      </c>
      <c r="R2592">
        <v>2026</v>
      </c>
      <c r="S2592" t="s">
        <v>6099</v>
      </c>
      <c r="T2592">
        <v>1</v>
      </c>
      <c r="U2592" t="s">
        <v>6018</v>
      </c>
      <c r="V2592">
        <v>1</v>
      </c>
    </row>
    <row r="2593" spans="1:22" x14ac:dyDescent="0.3">
      <c r="A2593" t="s">
        <v>2608</v>
      </c>
      <c r="B2593" s="2">
        <v>46134.478472222225</v>
      </c>
      <c r="C2593" s="2">
        <v>46134.674305555556</v>
      </c>
      <c r="D2593" t="s">
        <v>6023</v>
      </c>
      <c r="E2593" t="s">
        <v>6029</v>
      </c>
      <c r="F2593" t="s">
        <v>6034</v>
      </c>
      <c r="G2593" t="s">
        <v>6066</v>
      </c>
      <c r="H2593" t="s">
        <v>6096</v>
      </c>
      <c r="I2593">
        <v>24</v>
      </c>
      <c r="J2593">
        <v>4.7</v>
      </c>
      <c r="K2593" t="s">
        <v>6100</v>
      </c>
      <c r="L2593" t="s">
        <v>6100</v>
      </c>
      <c r="M2593" t="s">
        <v>6100</v>
      </c>
      <c r="O2593" t="s">
        <v>6101</v>
      </c>
      <c r="P2593" t="s">
        <v>6110</v>
      </c>
      <c r="Q2593">
        <v>4</v>
      </c>
      <c r="R2593">
        <v>2026</v>
      </c>
      <c r="S2593" t="s">
        <v>6099</v>
      </c>
      <c r="T2593">
        <v>1</v>
      </c>
      <c r="U2593" t="s">
        <v>6019</v>
      </c>
      <c r="V2593">
        <v>0</v>
      </c>
    </row>
    <row r="2594" spans="1:22" x14ac:dyDescent="0.3">
      <c r="A2594" t="s">
        <v>2609</v>
      </c>
      <c r="B2594" s="2">
        <v>46134.48333333333</v>
      </c>
      <c r="C2594" s="2">
        <v>46135.158333333333</v>
      </c>
      <c r="D2594" t="s">
        <v>6022</v>
      </c>
      <c r="E2594" t="s">
        <v>6031</v>
      </c>
      <c r="F2594" t="s">
        <v>6034</v>
      </c>
      <c r="G2594" t="s">
        <v>6063</v>
      </c>
      <c r="H2594" t="s">
        <v>6097</v>
      </c>
      <c r="I2594">
        <v>24</v>
      </c>
      <c r="J2594">
        <v>16.2</v>
      </c>
      <c r="K2594" t="s">
        <v>6099</v>
      </c>
      <c r="L2594" t="s">
        <v>6100</v>
      </c>
      <c r="M2594" t="s">
        <v>6099</v>
      </c>
      <c r="N2594">
        <v>5</v>
      </c>
      <c r="O2594" t="s">
        <v>6101</v>
      </c>
      <c r="P2594" t="s">
        <v>6110</v>
      </c>
      <c r="Q2594">
        <v>4</v>
      </c>
      <c r="R2594">
        <v>2026</v>
      </c>
      <c r="S2594" t="s">
        <v>6099</v>
      </c>
      <c r="T2594">
        <v>1</v>
      </c>
      <c r="U2594" t="s">
        <v>6019</v>
      </c>
      <c r="V2594">
        <v>1</v>
      </c>
    </row>
    <row r="2595" spans="1:22" x14ac:dyDescent="0.3">
      <c r="A2595" t="s">
        <v>2610</v>
      </c>
      <c r="B2595" s="2">
        <v>46134.486805555556</v>
      </c>
      <c r="C2595" s="2">
        <v>46134.861805555556</v>
      </c>
      <c r="D2595" t="s">
        <v>6023</v>
      </c>
      <c r="E2595" t="s">
        <v>6032</v>
      </c>
      <c r="F2595" t="s">
        <v>6033</v>
      </c>
      <c r="G2595" t="s">
        <v>6064</v>
      </c>
      <c r="H2595" t="s">
        <v>6096</v>
      </c>
      <c r="I2595">
        <v>72</v>
      </c>
      <c r="J2595">
        <v>9</v>
      </c>
      <c r="K2595" t="s">
        <v>6100</v>
      </c>
      <c r="L2595" t="s">
        <v>6099</v>
      </c>
      <c r="M2595" t="s">
        <v>6099</v>
      </c>
      <c r="N2595">
        <v>4</v>
      </c>
      <c r="O2595" t="s">
        <v>6101</v>
      </c>
      <c r="P2595" t="s">
        <v>6110</v>
      </c>
      <c r="Q2595">
        <v>4</v>
      </c>
      <c r="R2595">
        <v>2026</v>
      </c>
      <c r="S2595" t="s">
        <v>6099</v>
      </c>
      <c r="T2595">
        <v>1</v>
      </c>
      <c r="U2595" t="s">
        <v>6019</v>
      </c>
      <c r="V2595">
        <v>0</v>
      </c>
    </row>
    <row r="2596" spans="1:22" x14ac:dyDescent="0.3">
      <c r="A2596" t="s">
        <v>2611</v>
      </c>
      <c r="B2596" s="2">
        <v>46134.487500000003</v>
      </c>
      <c r="C2596" s="2">
        <v>46136.533333333333</v>
      </c>
      <c r="D2596" t="s">
        <v>6026</v>
      </c>
      <c r="E2596" t="s">
        <v>6031</v>
      </c>
      <c r="F2596" t="s">
        <v>6033</v>
      </c>
      <c r="G2596" t="s">
        <v>6042</v>
      </c>
      <c r="H2596" t="s">
        <v>6098</v>
      </c>
      <c r="I2596">
        <v>72</v>
      </c>
      <c r="J2596">
        <v>49.1</v>
      </c>
      <c r="K2596" t="s">
        <v>6100</v>
      </c>
      <c r="L2596" t="s">
        <v>6100</v>
      </c>
      <c r="M2596" t="s">
        <v>6100</v>
      </c>
      <c r="N2596">
        <v>4</v>
      </c>
      <c r="O2596" t="s">
        <v>6101</v>
      </c>
      <c r="P2596" t="s">
        <v>6110</v>
      </c>
      <c r="Q2596">
        <v>4</v>
      </c>
      <c r="R2596">
        <v>2026</v>
      </c>
      <c r="S2596" t="s">
        <v>6099</v>
      </c>
      <c r="T2596">
        <v>1</v>
      </c>
      <c r="U2596" t="s">
        <v>6021</v>
      </c>
      <c r="V2596">
        <v>0</v>
      </c>
    </row>
    <row r="2597" spans="1:22" x14ac:dyDescent="0.3">
      <c r="A2597" t="s">
        <v>2612</v>
      </c>
      <c r="B2597" s="2">
        <v>46134.493750000001</v>
      </c>
      <c r="C2597" s="2">
        <v>46139.785416666666</v>
      </c>
      <c r="D2597" t="s">
        <v>6026</v>
      </c>
      <c r="E2597" t="s">
        <v>6031</v>
      </c>
      <c r="F2597" t="s">
        <v>6033</v>
      </c>
      <c r="G2597" t="s">
        <v>6073</v>
      </c>
      <c r="H2597" t="s">
        <v>6096</v>
      </c>
      <c r="I2597">
        <v>72</v>
      </c>
      <c r="J2597">
        <v>127</v>
      </c>
      <c r="K2597" t="s">
        <v>6100</v>
      </c>
      <c r="L2597" t="s">
        <v>6100</v>
      </c>
      <c r="M2597" t="s">
        <v>6100</v>
      </c>
      <c r="O2597" t="s">
        <v>6101</v>
      </c>
      <c r="P2597" t="s">
        <v>6110</v>
      </c>
      <c r="Q2597">
        <v>4</v>
      </c>
      <c r="R2597">
        <v>2026</v>
      </c>
      <c r="S2597" t="s">
        <v>6100</v>
      </c>
      <c r="T2597">
        <v>0</v>
      </c>
      <c r="U2597" t="s">
        <v>6019</v>
      </c>
      <c r="V2597">
        <v>0</v>
      </c>
    </row>
    <row r="2598" spans="1:22" x14ac:dyDescent="0.3">
      <c r="A2598" t="s">
        <v>2613</v>
      </c>
      <c r="B2598" s="2">
        <v>46134.500694444447</v>
      </c>
      <c r="C2598" s="2">
        <v>46134.863194444442</v>
      </c>
      <c r="D2598" t="s">
        <v>6024</v>
      </c>
      <c r="E2598" t="s">
        <v>6029</v>
      </c>
      <c r="F2598" t="s">
        <v>6033</v>
      </c>
      <c r="G2598" t="s">
        <v>6061</v>
      </c>
      <c r="H2598" t="s">
        <v>6096</v>
      </c>
      <c r="I2598">
        <v>72</v>
      </c>
      <c r="J2598">
        <v>8.6999999999999993</v>
      </c>
      <c r="K2598" t="s">
        <v>6099</v>
      </c>
      <c r="L2598" t="s">
        <v>6100</v>
      </c>
      <c r="M2598" t="s">
        <v>6100</v>
      </c>
      <c r="N2598">
        <v>5</v>
      </c>
      <c r="O2598" t="s">
        <v>6101</v>
      </c>
      <c r="P2598" t="s">
        <v>6110</v>
      </c>
      <c r="Q2598">
        <v>4</v>
      </c>
      <c r="R2598">
        <v>2026</v>
      </c>
      <c r="S2598" t="s">
        <v>6099</v>
      </c>
      <c r="T2598">
        <v>1</v>
      </c>
      <c r="U2598" t="s">
        <v>6019</v>
      </c>
      <c r="V2598">
        <v>1</v>
      </c>
    </row>
    <row r="2599" spans="1:22" x14ac:dyDescent="0.3">
      <c r="A2599" t="s">
        <v>2614</v>
      </c>
      <c r="B2599" s="2">
        <v>46134.53402777778</v>
      </c>
      <c r="C2599" s="2">
        <v>46135.438194444447</v>
      </c>
      <c r="D2599" t="s">
        <v>6024</v>
      </c>
      <c r="E2599" t="s">
        <v>6029</v>
      </c>
      <c r="F2599" t="s">
        <v>6034</v>
      </c>
      <c r="G2599" t="s">
        <v>6083</v>
      </c>
      <c r="H2599" t="s">
        <v>6096</v>
      </c>
      <c r="I2599">
        <v>24</v>
      </c>
      <c r="J2599">
        <v>21.7</v>
      </c>
      <c r="K2599" t="s">
        <v>6099</v>
      </c>
      <c r="L2599" t="s">
        <v>6100</v>
      </c>
      <c r="M2599" t="s">
        <v>6100</v>
      </c>
      <c r="N2599">
        <v>4</v>
      </c>
      <c r="O2599" t="s">
        <v>6101</v>
      </c>
      <c r="P2599" t="s">
        <v>6110</v>
      </c>
      <c r="Q2599">
        <v>4</v>
      </c>
      <c r="R2599">
        <v>2026</v>
      </c>
      <c r="S2599" t="s">
        <v>6099</v>
      </c>
      <c r="T2599">
        <v>1</v>
      </c>
      <c r="U2599" t="s">
        <v>6017</v>
      </c>
      <c r="V2599">
        <v>1</v>
      </c>
    </row>
    <row r="2600" spans="1:22" x14ac:dyDescent="0.3">
      <c r="A2600" t="s">
        <v>2615</v>
      </c>
      <c r="B2600" s="2">
        <v>46134.617361111108</v>
      </c>
      <c r="C2600" s="2">
        <v>46134.813194444447</v>
      </c>
      <c r="D2600" t="s">
        <v>6024</v>
      </c>
      <c r="E2600" t="s">
        <v>6029</v>
      </c>
      <c r="F2600" t="s">
        <v>6033</v>
      </c>
      <c r="G2600" t="s">
        <v>6076</v>
      </c>
      <c r="H2600" t="s">
        <v>6097</v>
      </c>
      <c r="I2600">
        <v>72</v>
      </c>
      <c r="J2600">
        <v>4.7</v>
      </c>
      <c r="K2600" t="s">
        <v>6099</v>
      </c>
      <c r="L2600" t="s">
        <v>6100</v>
      </c>
      <c r="M2600" t="s">
        <v>6100</v>
      </c>
      <c r="N2600">
        <v>5</v>
      </c>
      <c r="O2600" t="s">
        <v>6101</v>
      </c>
      <c r="P2600" t="s">
        <v>6110</v>
      </c>
      <c r="Q2600">
        <v>4</v>
      </c>
      <c r="R2600">
        <v>2026</v>
      </c>
      <c r="S2600" t="s">
        <v>6099</v>
      </c>
      <c r="T2600">
        <v>1</v>
      </c>
      <c r="U2600" t="s">
        <v>6018</v>
      </c>
      <c r="V2600">
        <v>1</v>
      </c>
    </row>
    <row r="2601" spans="1:22" x14ac:dyDescent="0.3">
      <c r="A2601" t="s">
        <v>2616</v>
      </c>
      <c r="B2601" s="2">
        <v>46134.65902777778</v>
      </c>
      <c r="C2601" s="2">
        <v>46134.954861111109</v>
      </c>
      <c r="D2601" t="s">
        <v>6027</v>
      </c>
      <c r="E2601" t="s">
        <v>6029</v>
      </c>
      <c r="F2601" t="s">
        <v>6034</v>
      </c>
      <c r="G2601" t="s">
        <v>6087</v>
      </c>
      <c r="H2601" t="s">
        <v>6098</v>
      </c>
      <c r="I2601">
        <v>24</v>
      </c>
      <c r="J2601">
        <v>7.1</v>
      </c>
      <c r="K2601" t="s">
        <v>6099</v>
      </c>
      <c r="L2601" t="s">
        <v>6100</v>
      </c>
      <c r="M2601" t="s">
        <v>6100</v>
      </c>
      <c r="N2601">
        <v>5</v>
      </c>
      <c r="O2601" t="s">
        <v>6101</v>
      </c>
      <c r="P2601" t="s">
        <v>6110</v>
      </c>
      <c r="Q2601">
        <v>4</v>
      </c>
      <c r="R2601">
        <v>2026</v>
      </c>
      <c r="S2601" t="s">
        <v>6099</v>
      </c>
      <c r="T2601">
        <v>1</v>
      </c>
      <c r="U2601" t="s">
        <v>6017</v>
      </c>
      <c r="V2601">
        <v>1</v>
      </c>
    </row>
    <row r="2602" spans="1:22" x14ac:dyDescent="0.3">
      <c r="A2602" t="s">
        <v>2617</v>
      </c>
      <c r="B2602" s="2">
        <v>46134.662499999999</v>
      </c>
      <c r="C2602" s="2">
        <v>46137.866666666669</v>
      </c>
      <c r="D2602" t="s">
        <v>6024</v>
      </c>
      <c r="E2602" t="s">
        <v>6031</v>
      </c>
      <c r="F2602" t="s">
        <v>6034</v>
      </c>
      <c r="G2602" t="s">
        <v>6061</v>
      </c>
      <c r="H2602" t="s">
        <v>6096</v>
      </c>
      <c r="I2602">
        <v>24</v>
      </c>
      <c r="J2602">
        <v>76.900000000000006</v>
      </c>
      <c r="K2602" t="s">
        <v>6099</v>
      </c>
      <c r="L2602" t="s">
        <v>6100</v>
      </c>
      <c r="M2602" t="s">
        <v>6100</v>
      </c>
      <c r="N2602">
        <v>4</v>
      </c>
      <c r="O2602" t="s">
        <v>6101</v>
      </c>
      <c r="P2602" t="s">
        <v>6110</v>
      </c>
      <c r="Q2602">
        <v>4</v>
      </c>
      <c r="R2602">
        <v>2026</v>
      </c>
      <c r="S2602" t="s">
        <v>6100</v>
      </c>
      <c r="T2602">
        <v>0</v>
      </c>
      <c r="U2602" t="s">
        <v>6019</v>
      </c>
      <c r="V2602">
        <v>1</v>
      </c>
    </row>
    <row r="2603" spans="1:22" x14ac:dyDescent="0.3">
      <c r="A2603" t="s">
        <v>2618</v>
      </c>
      <c r="B2603" s="2">
        <v>46134.691666666666</v>
      </c>
      <c r="C2603" s="2">
        <v>46135.037499999999</v>
      </c>
      <c r="D2603" t="s">
        <v>6028</v>
      </c>
      <c r="E2603" t="s">
        <v>6032</v>
      </c>
      <c r="F2603" t="s">
        <v>6035</v>
      </c>
      <c r="G2603" t="s">
        <v>6046</v>
      </c>
      <c r="H2603" t="s">
        <v>6098</v>
      </c>
      <c r="I2603">
        <v>4</v>
      </c>
      <c r="J2603">
        <v>8.3000000000000007</v>
      </c>
      <c r="K2603" t="s">
        <v>6099</v>
      </c>
      <c r="L2603" t="s">
        <v>6100</v>
      </c>
      <c r="M2603" t="s">
        <v>6099</v>
      </c>
      <c r="N2603">
        <v>5</v>
      </c>
      <c r="O2603" t="s">
        <v>6101</v>
      </c>
      <c r="P2603" t="s">
        <v>6110</v>
      </c>
      <c r="Q2603">
        <v>4</v>
      </c>
      <c r="R2603">
        <v>2026</v>
      </c>
      <c r="S2603" t="s">
        <v>6100</v>
      </c>
      <c r="T2603">
        <v>0</v>
      </c>
      <c r="U2603" t="s">
        <v>6020</v>
      </c>
      <c r="V2603">
        <v>1</v>
      </c>
    </row>
    <row r="2604" spans="1:22" x14ac:dyDescent="0.3">
      <c r="A2604" t="s">
        <v>2619</v>
      </c>
      <c r="B2604" s="2">
        <v>46134.738888888889</v>
      </c>
      <c r="C2604" s="2">
        <v>46134.897222222222</v>
      </c>
      <c r="D2604" t="s">
        <v>6024</v>
      </c>
      <c r="E2604" t="s">
        <v>6029</v>
      </c>
      <c r="F2604" t="s">
        <v>6033</v>
      </c>
      <c r="G2604" t="s">
        <v>6052</v>
      </c>
      <c r="H2604" t="s">
        <v>6098</v>
      </c>
      <c r="I2604">
        <v>72</v>
      </c>
      <c r="J2604">
        <v>3.8</v>
      </c>
      <c r="K2604" t="s">
        <v>6099</v>
      </c>
      <c r="L2604" t="s">
        <v>6100</v>
      </c>
      <c r="M2604" t="s">
        <v>6100</v>
      </c>
      <c r="N2604">
        <v>4</v>
      </c>
      <c r="O2604" t="s">
        <v>6101</v>
      </c>
      <c r="P2604" t="s">
        <v>6110</v>
      </c>
      <c r="Q2604">
        <v>4</v>
      </c>
      <c r="R2604">
        <v>2026</v>
      </c>
      <c r="S2604" t="s">
        <v>6099</v>
      </c>
      <c r="T2604">
        <v>1</v>
      </c>
      <c r="U2604" t="s">
        <v>6020</v>
      </c>
      <c r="V2604">
        <v>1</v>
      </c>
    </row>
    <row r="2605" spans="1:22" x14ac:dyDescent="0.3">
      <c r="A2605" t="s">
        <v>2620</v>
      </c>
      <c r="B2605" s="2">
        <v>46134.843055555553</v>
      </c>
      <c r="C2605" s="2">
        <v>46135.501388888886</v>
      </c>
      <c r="D2605" t="s">
        <v>6027</v>
      </c>
      <c r="E2605" t="s">
        <v>6032</v>
      </c>
      <c r="F2605" t="s">
        <v>6034</v>
      </c>
      <c r="G2605" t="s">
        <v>6062</v>
      </c>
      <c r="H2605" t="s">
        <v>6096</v>
      </c>
      <c r="I2605">
        <v>24</v>
      </c>
      <c r="J2605">
        <v>15.8</v>
      </c>
      <c r="K2605" t="s">
        <v>6100</v>
      </c>
      <c r="L2605" t="s">
        <v>6100</v>
      </c>
      <c r="M2605" t="s">
        <v>6100</v>
      </c>
      <c r="N2605">
        <v>4</v>
      </c>
      <c r="O2605" t="s">
        <v>6101</v>
      </c>
      <c r="P2605" t="s">
        <v>6110</v>
      </c>
      <c r="Q2605">
        <v>4</v>
      </c>
      <c r="R2605">
        <v>2026</v>
      </c>
      <c r="S2605" t="s">
        <v>6099</v>
      </c>
      <c r="T2605">
        <v>1</v>
      </c>
      <c r="U2605" t="s">
        <v>6021</v>
      </c>
      <c r="V2605">
        <v>0</v>
      </c>
    </row>
    <row r="2606" spans="1:22" x14ac:dyDescent="0.3">
      <c r="A2606" t="s">
        <v>2621</v>
      </c>
      <c r="B2606" s="2">
        <v>46134.884722222225</v>
      </c>
      <c r="C2606" s="2">
        <v>46136.805555555555</v>
      </c>
      <c r="D2606" t="s">
        <v>6024</v>
      </c>
      <c r="E2606" t="s">
        <v>6032</v>
      </c>
      <c r="F2606" t="s">
        <v>6033</v>
      </c>
      <c r="G2606" t="s">
        <v>6069</v>
      </c>
      <c r="H2606" t="s">
        <v>6098</v>
      </c>
      <c r="I2606">
        <v>72</v>
      </c>
      <c r="J2606">
        <v>46.1</v>
      </c>
      <c r="K2606" t="s">
        <v>6100</v>
      </c>
      <c r="L2606" t="s">
        <v>6099</v>
      </c>
      <c r="M2606" t="s">
        <v>6100</v>
      </c>
      <c r="N2606">
        <v>4</v>
      </c>
      <c r="O2606" t="s">
        <v>6101</v>
      </c>
      <c r="P2606" t="s">
        <v>6110</v>
      </c>
      <c r="Q2606">
        <v>4</v>
      </c>
      <c r="R2606">
        <v>2026</v>
      </c>
      <c r="S2606" t="s">
        <v>6099</v>
      </c>
      <c r="T2606">
        <v>1</v>
      </c>
      <c r="U2606" t="s">
        <v>6020</v>
      </c>
      <c r="V2606">
        <v>0</v>
      </c>
    </row>
    <row r="2607" spans="1:22" x14ac:dyDescent="0.3">
      <c r="A2607" t="s">
        <v>2622</v>
      </c>
      <c r="B2607" s="2">
        <v>46134.970138888886</v>
      </c>
      <c r="C2607" s="2">
        <v>46135.586805555555</v>
      </c>
      <c r="D2607" t="s">
        <v>6027</v>
      </c>
      <c r="E2607" t="s">
        <v>6031</v>
      </c>
      <c r="F2607" t="s">
        <v>6033</v>
      </c>
      <c r="G2607" t="s">
        <v>6094</v>
      </c>
      <c r="H2607" t="s">
        <v>6098</v>
      </c>
      <c r="I2607">
        <v>72</v>
      </c>
      <c r="J2607">
        <v>14.8</v>
      </c>
      <c r="K2607" t="s">
        <v>6099</v>
      </c>
      <c r="L2607" t="s">
        <v>6100</v>
      </c>
      <c r="M2607" t="s">
        <v>6100</v>
      </c>
      <c r="O2607" t="s">
        <v>6101</v>
      </c>
      <c r="P2607" t="s">
        <v>6110</v>
      </c>
      <c r="Q2607">
        <v>4</v>
      </c>
      <c r="R2607">
        <v>2026</v>
      </c>
      <c r="S2607" t="s">
        <v>6099</v>
      </c>
      <c r="T2607">
        <v>1</v>
      </c>
      <c r="U2607" t="s">
        <v>6019</v>
      </c>
      <c r="V2607">
        <v>1</v>
      </c>
    </row>
    <row r="2608" spans="1:22" x14ac:dyDescent="0.3">
      <c r="A2608" t="s">
        <v>2623</v>
      </c>
      <c r="B2608" s="2">
        <v>46135.313194444447</v>
      </c>
      <c r="C2608" s="2">
        <v>46136.421527777777</v>
      </c>
      <c r="D2608" t="s">
        <v>6022</v>
      </c>
      <c r="E2608" t="s">
        <v>6029</v>
      </c>
      <c r="F2608" t="s">
        <v>6034</v>
      </c>
      <c r="G2608" t="s">
        <v>6087</v>
      </c>
      <c r="H2608" t="s">
        <v>6098</v>
      </c>
      <c r="I2608">
        <v>24</v>
      </c>
      <c r="J2608">
        <v>26.6</v>
      </c>
      <c r="K2608" t="s">
        <v>6099</v>
      </c>
      <c r="L2608" t="s">
        <v>6100</v>
      </c>
      <c r="M2608" t="s">
        <v>6100</v>
      </c>
      <c r="N2608">
        <v>3</v>
      </c>
      <c r="O2608" t="s">
        <v>6101</v>
      </c>
      <c r="P2608" t="s">
        <v>6110</v>
      </c>
      <c r="Q2608">
        <v>4</v>
      </c>
      <c r="R2608">
        <v>2026</v>
      </c>
      <c r="S2608" t="s">
        <v>6100</v>
      </c>
      <c r="T2608">
        <v>0</v>
      </c>
      <c r="U2608" t="s">
        <v>6021</v>
      </c>
      <c r="V2608">
        <v>1</v>
      </c>
    </row>
    <row r="2609" spans="1:22" x14ac:dyDescent="0.3">
      <c r="A2609" t="s">
        <v>2624</v>
      </c>
      <c r="B2609" s="2">
        <v>46135.337500000001</v>
      </c>
      <c r="C2609" s="2">
        <v>46135.412499999999</v>
      </c>
      <c r="D2609" t="s">
        <v>6023</v>
      </c>
      <c r="E2609" t="s">
        <v>6030</v>
      </c>
      <c r="F2609" t="s">
        <v>6034</v>
      </c>
      <c r="G2609" t="s">
        <v>6040</v>
      </c>
      <c r="H2609" t="s">
        <v>6097</v>
      </c>
      <c r="I2609">
        <v>24</v>
      </c>
      <c r="J2609">
        <v>1.8</v>
      </c>
      <c r="K2609" t="s">
        <v>6099</v>
      </c>
      <c r="L2609" t="s">
        <v>6100</v>
      </c>
      <c r="M2609" t="s">
        <v>6100</v>
      </c>
      <c r="O2609" t="s">
        <v>6101</v>
      </c>
      <c r="P2609" t="s">
        <v>6110</v>
      </c>
      <c r="Q2609">
        <v>4</v>
      </c>
      <c r="R2609">
        <v>2026</v>
      </c>
      <c r="S2609" t="s">
        <v>6099</v>
      </c>
      <c r="T2609">
        <v>1</v>
      </c>
      <c r="U2609" t="s">
        <v>6020</v>
      </c>
      <c r="V2609">
        <v>1</v>
      </c>
    </row>
    <row r="2610" spans="1:22" x14ac:dyDescent="0.3">
      <c r="A2610" t="s">
        <v>2625</v>
      </c>
      <c r="B2610" s="2">
        <v>46135.368750000001</v>
      </c>
      <c r="C2610" s="2">
        <v>46137.38958333333</v>
      </c>
      <c r="D2610" t="s">
        <v>6025</v>
      </c>
      <c r="E2610" t="s">
        <v>6031</v>
      </c>
      <c r="F2610" t="s">
        <v>6033</v>
      </c>
      <c r="G2610" t="s">
        <v>6087</v>
      </c>
      <c r="H2610" t="s">
        <v>6098</v>
      </c>
      <c r="I2610">
        <v>72</v>
      </c>
      <c r="J2610">
        <v>48.5</v>
      </c>
      <c r="K2610" t="s">
        <v>6099</v>
      </c>
      <c r="L2610" t="s">
        <v>6100</v>
      </c>
      <c r="M2610" t="s">
        <v>6100</v>
      </c>
      <c r="N2610">
        <v>4</v>
      </c>
      <c r="O2610" t="s">
        <v>6101</v>
      </c>
      <c r="P2610" t="s">
        <v>6110</v>
      </c>
      <c r="Q2610">
        <v>4</v>
      </c>
      <c r="R2610">
        <v>2026</v>
      </c>
      <c r="S2610" t="s">
        <v>6099</v>
      </c>
      <c r="T2610">
        <v>1</v>
      </c>
      <c r="U2610" t="s">
        <v>6018</v>
      </c>
      <c r="V2610">
        <v>1</v>
      </c>
    </row>
    <row r="2611" spans="1:22" x14ac:dyDescent="0.3">
      <c r="A2611" t="s">
        <v>2626</v>
      </c>
      <c r="B2611" s="2">
        <v>46135.388888888891</v>
      </c>
      <c r="C2611" s="2">
        <v>46135.543055555558</v>
      </c>
      <c r="D2611" t="s">
        <v>6023</v>
      </c>
      <c r="E2611" t="s">
        <v>6029</v>
      </c>
      <c r="F2611" t="s">
        <v>6034</v>
      </c>
      <c r="G2611" t="s">
        <v>6043</v>
      </c>
      <c r="H2611" t="s">
        <v>6097</v>
      </c>
      <c r="I2611">
        <v>24</v>
      </c>
      <c r="J2611">
        <v>3.7</v>
      </c>
      <c r="K2611" t="s">
        <v>6100</v>
      </c>
      <c r="L2611" t="s">
        <v>6099</v>
      </c>
      <c r="M2611" t="s">
        <v>6100</v>
      </c>
      <c r="N2611">
        <v>5</v>
      </c>
      <c r="O2611" t="s">
        <v>6101</v>
      </c>
      <c r="P2611" t="s">
        <v>6110</v>
      </c>
      <c r="Q2611">
        <v>4</v>
      </c>
      <c r="R2611">
        <v>2026</v>
      </c>
      <c r="S2611" t="s">
        <v>6099</v>
      </c>
      <c r="T2611">
        <v>1</v>
      </c>
      <c r="U2611" t="s">
        <v>6020</v>
      </c>
      <c r="V2611">
        <v>0</v>
      </c>
    </row>
    <row r="2612" spans="1:22" x14ac:dyDescent="0.3">
      <c r="A2612" t="s">
        <v>2627</v>
      </c>
      <c r="B2612" s="2">
        <v>46135.390972222223</v>
      </c>
      <c r="C2612" s="2">
        <v>46135.782638888886</v>
      </c>
      <c r="D2612" t="s">
        <v>6022</v>
      </c>
      <c r="E2612" t="s">
        <v>6030</v>
      </c>
      <c r="F2612" t="s">
        <v>6034</v>
      </c>
      <c r="G2612" t="s">
        <v>6050</v>
      </c>
      <c r="H2612" t="s">
        <v>6098</v>
      </c>
      <c r="I2612">
        <v>24</v>
      </c>
      <c r="J2612">
        <v>9.4</v>
      </c>
      <c r="K2612" t="s">
        <v>6099</v>
      </c>
      <c r="L2612" t="s">
        <v>6100</v>
      </c>
      <c r="M2612" t="s">
        <v>6100</v>
      </c>
      <c r="N2612">
        <v>5</v>
      </c>
      <c r="O2612" t="s">
        <v>6101</v>
      </c>
      <c r="P2612" t="s">
        <v>6110</v>
      </c>
      <c r="Q2612">
        <v>4</v>
      </c>
      <c r="R2612">
        <v>2026</v>
      </c>
      <c r="S2612" t="s">
        <v>6099</v>
      </c>
      <c r="T2612">
        <v>1</v>
      </c>
      <c r="U2612" t="s">
        <v>6019</v>
      </c>
      <c r="V2612">
        <v>1</v>
      </c>
    </row>
    <row r="2613" spans="1:22" x14ac:dyDescent="0.3">
      <c r="A2613" t="s">
        <v>2628</v>
      </c>
      <c r="B2613" s="2">
        <v>46135.39166666667</v>
      </c>
      <c r="C2613" s="2">
        <v>46135.637499999997</v>
      </c>
      <c r="D2613" t="s">
        <v>6023</v>
      </c>
      <c r="E2613" t="s">
        <v>6029</v>
      </c>
      <c r="F2613" t="s">
        <v>6033</v>
      </c>
      <c r="G2613" t="s">
        <v>6090</v>
      </c>
      <c r="H2613" t="s">
        <v>6097</v>
      </c>
      <c r="I2613">
        <v>72</v>
      </c>
      <c r="J2613">
        <v>5.9</v>
      </c>
      <c r="K2613" t="s">
        <v>6099</v>
      </c>
      <c r="L2613" t="s">
        <v>6100</v>
      </c>
      <c r="M2613" t="s">
        <v>6100</v>
      </c>
      <c r="N2613">
        <v>5</v>
      </c>
      <c r="O2613" t="s">
        <v>6101</v>
      </c>
      <c r="P2613" t="s">
        <v>6110</v>
      </c>
      <c r="Q2613">
        <v>4</v>
      </c>
      <c r="R2613">
        <v>2026</v>
      </c>
      <c r="S2613" t="s">
        <v>6099</v>
      </c>
      <c r="T2613">
        <v>1</v>
      </c>
      <c r="U2613" t="s">
        <v>6017</v>
      </c>
      <c r="V2613">
        <v>1</v>
      </c>
    </row>
    <row r="2614" spans="1:22" x14ac:dyDescent="0.3">
      <c r="A2614" t="s">
        <v>2629</v>
      </c>
      <c r="B2614" s="2">
        <v>46135.4</v>
      </c>
      <c r="C2614" s="2">
        <v>46137.487500000003</v>
      </c>
      <c r="D2614" t="s">
        <v>6027</v>
      </c>
      <c r="E2614" t="s">
        <v>6032</v>
      </c>
      <c r="F2614" t="s">
        <v>6033</v>
      </c>
      <c r="G2614" t="s">
        <v>6080</v>
      </c>
      <c r="H2614" t="s">
        <v>6096</v>
      </c>
      <c r="I2614">
        <v>72</v>
      </c>
      <c r="J2614">
        <v>50.1</v>
      </c>
      <c r="K2614" t="s">
        <v>6099</v>
      </c>
      <c r="L2614" t="s">
        <v>6100</v>
      </c>
      <c r="M2614" t="s">
        <v>6100</v>
      </c>
      <c r="N2614">
        <v>5</v>
      </c>
      <c r="O2614" t="s">
        <v>6101</v>
      </c>
      <c r="P2614" t="s">
        <v>6110</v>
      </c>
      <c r="Q2614">
        <v>4</v>
      </c>
      <c r="R2614">
        <v>2026</v>
      </c>
      <c r="S2614" t="s">
        <v>6099</v>
      </c>
      <c r="T2614">
        <v>1</v>
      </c>
      <c r="U2614" t="s">
        <v>6019</v>
      </c>
      <c r="V2614">
        <v>1</v>
      </c>
    </row>
    <row r="2615" spans="1:22" x14ac:dyDescent="0.3">
      <c r="A2615" t="s">
        <v>2630</v>
      </c>
      <c r="B2615" s="2">
        <v>46135.42083333333</v>
      </c>
      <c r="C2615" s="2">
        <v>46136.529166666667</v>
      </c>
      <c r="D2615" t="s">
        <v>6022</v>
      </c>
      <c r="E2615" t="s">
        <v>6032</v>
      </c>
      <c r="F2615" t="s">
        <v>6033</v>
      </c>
      <c r="G2615" t="s">
        <v>6039</v>
      </c>
      <c r="H2615" t="s">
        <v>6097</v>
      </c>
      <c r="I2615">
        <v>72</v>
      </c>
      <c r="J2615">
        <v>26.6</v>
      </c>
      <c r="K2615" t="s">
        <v>6099</v>
      </c>
      <c r="L2615" t="s">
        <v>6100</v>
      </c>
      <c r="M2615" t="s">
        <v>6100</v>
      </c>
      <c r="N2615">
        <v>5</v>
      </c>
      <c r="O2615" t="s">
        <v>6101</v>
      </c>
      <c r="P2615" t="s">
        <v>6110</v>
      </c>
      <c r="Q2615">
        <v>4</v>
      </c>
      <c r="R2615">
        <v>2026</v>
      </c>
      <c r="S2615" t="s">
        <v>6099</v>
      </c>
      <c r="T2615">
        <v>1</v>
      </c>
      <c r="U2615" t="s">
        <v>6018</v>
      </c>
      <c r="V2615">
        <v>1</v>
      </c>
    </row>
    <row r="2616" spans="1:22" x14ac:dyDescent="0.3">
      <c r="A2616" t="s">
        <v>2631</v>
      </c>
      <c r="B2616" s="2">
        <v>46135.426388888889</v>
      </c>
      <c r="C2616" s="2">
        <v>46135.534722222219</v>
      </c>
      <c r="D2616" t="s">
        <v>6024</v>
      </c>
      <c r="E2616" t="s">
        <v>6030</v>
      </c>
      <c r="F2616" t="s">
        <v>6034</v>
      </c>
      <c r="G2616" t="s">
        <v>6085</v>
      </c>
      <c r="H2616" t="s">
        <v>6097</v>
      </c>
      <c r="I2616">
        <v>24</v>
      </c>
      <c r="J2616">
        <v>2.6</v>
      </c>
      <c r="K2616" t="s">
        <v>6099</v>
      </c>
      <c r="L2616" t="s">
        <v>6100</v>
      </c>
      <c r="M2616" t="s">
        <v>6100</v>
      </c>
      <c r="O2616" t="s">
        <v>6101</v>
      </c>
      <c r="P2616" t="s">
        <v>6110</v>
      </c>
      <c r="Q2616">
        <v>4</v>
      </c>
      <c r="R2616">
        <v>2026</v>
      </c>
      <c r="S2616" t="s">
        <v>6099</v>
      </c>
      <c r="T2616">
        <v>1</v>
      </c>
      <c r="U2616" t="s">
        <v>6020</v>
      </c>
      <c r="V2616">
        <v>1</v>
      </c>
    </row>
    <row r="2617" spans="1:22" x14ac:dyDescent="0.3">
      <c r="A2617" t="s">
        <v>2632</v>
      </c>
      <c r="B2617" s="2">
        <v>46135.4375</v>
      </c>
      <c r="C2617" s="2">
        <v>46135.804166666669</v>
      </c>
      <c r="D2617" t="s">
        <v>6027</v>
      </c>
      <c r="E2617" t="s">
        <v>6029</v>
      </c>
      <c r="F2617" t="s">
        <v>6034</v>
      </c>
      <c r="G2617" t="s">
        <v>6073</v>
      </c>
      <c r="H2617" t="s">
        <v>6096</v>
      </c>
      <c r="I2617">
        <v>24</v>
      </c>
      <c r="J2617">
        <v>8.8000000000000007</v>
      </c>
      <c r="K2617" t="s">
        <v>6100</v>
      </c>
      <c r="L2617" t="s">
        <v>6099</v>
      </c>
      <c r="M2617" t="s">
        <v>6100</v>
      </c>
      <c r="O2617" t="s">
        <v>6101</v>
      </c>
      <c r="P2617" t="s">
        <v>6110</v>
      </c>
      <c r="Q2617">
        <v>4</v>
      </c>
      <c r="R2617">
        <v>2026</v>
      </c>
      <c r="S2617" t="s">
        <v>6099</v>
      </c>
      <c r="T2617">
        <v>1</v>
      </c>
      <c r="U2617" t="s">
        <v>6018</v>
      </c>
      <c r="V2617">
        <v>0</v>
      </c>
    </row>
    <row r="2618" spans="1:22" x14ac:dyDescent="0.3">
      <c r="A2618" t="s">
        <v>2633</v>
      </c>
      <c r="B2618" s="2">
        <v>46135.44027777778</v>
      </c>
      <c r="C2618" s="2">
        <v>46138.365277777775</v>
      </c>
      <c r="D2618" t="s">
        <v>6026</v>
      </c>
      <c r="E2618" t="s">
        <v>6031</v>
      </c>
      <c r="F2618" t="s">
        <v>6034</v>
      </c>
      <c r="G2618" t="s">
        <v>6046</v>
      </c>
      <c r="H2618" t="s">
        <v>6098</v>
      </c>
      <c r="I2618">
        <v>24</v>
      </c>
      <c r="J2618">
        <v>70.2</v>
      </c>
      <c r="K2618" t="s">
        <v>6099</v>
      </c>
      <c r="L2618" t="s">
        <v>6100</v>
      </c>
      <c r="M2618" t="s">
        <v>6100</v>
      </c>
      <c r="N2618">
        <v>3</v>
      </c>
      <c r="O2618" t="s">
        <v>6101</v>
      </c>
      <c r="P2618" t="s">
        <v>6110</v>
      </c>
      <c r="Q2618">
        <v>4</v>
      </c>
      <c r="R2618">
        <v>2026</v>
      </c>
      <c r="S2618" t="s">
        <v>6100</v>
      </c>
      <c r="T2618">
        <v>0</v>
      </c>
      <c r="U2618" t="s">
        <v>6021</v>
      </c>
      <c r="V2618">
        <v>1</v>
      </c>
    </row>
    <row r="2619" spans="1:22" x14ac:dyDescent="0.3">
      <c r="A2619" t="s">
        <v>2634</v>
      </c>
      <c r="B2619" s="2">
        <v>46135.46875</v>
      </c>
      <c r="C2619" s="2">
        <v>46135.88958333333</v>
      </c>
      <c r="D2619" t="s">
        <v>6023</v>
      </c>
      <c r="E2619" t="s">
        <v>6029</v>
      </c>
      <c r="F2619" t="s">
        <v>6033</v>
      </c>
      <c r="G2619" t="s">
        <v>6065</v>
      </c>
      <c r="H2619" t="s">
        <v>6097</v>
      </c>
      <c r="I2619">
        <v>72</v>
      </c>
      <c r="J2619">
        <v>10.1</v>
      </c>
      <c r="K2619" t="s">
        <v>6099</v>
      </c>
      <c r="L2619" t="s">
        <v>6100</v>
      </c>
      <c r="M2619" t="s">
        <v>6100</v>
      </c>
      <c r="O2619" t="s">
        <v>6101</v>
      </c>
      <c r="P2619" t="s">
        <v>6110</v>
      </c>
      <c r="Q2619">
        <v>4</v>
      </c>
      <c r="R2619">
        <v>2026</v>
      </c>
      <c r="S2619" t="s">
        <v>6099</v>
      </c>
      <c r="T2619">
        <v>1</v>
      </c>
      <c r="U2619" t="s">
        <v>6021</v>
      </c>
      <c r="V2619">
        <v>1</v>
      </c>
    </row>
    <row r="2620" spans="1:22" x14ac:dyDescent="0.3">
      <c r="A2620" t="s">
        <v>2635</v>
      </c>
      <c r="B2620" s="2">
        <v>46135.469444444447</v>
      </c>
      <c r="C2620" s="2">
        <v>46138.490277777775</v>
      </c>
      <c r="D2620" t="s">
        <v>6025</v>
      </c>
      <c r="E2620" t="s">
        <v>6032</v>
      </c>
      <c r="F2620" t="s">
        <v>6033</v>
      </c>
      <c r="G2620" t="s">
        <v>6054</v>
      </c>
      <c r="H2620" t="s">
        <v>6096</v>
      </c>
      <c r="I2620">
        <v>72</v>
      </c>
      <c r="J2620">
        <v>72.5</v>
      </c>
      <c r="K2620" t="s">
        <v>6099</v>
      </c>
      <c r="L2620" t="s">
        <v>6100</v>
      </c>
      <c r="M2620" t="s">
        <v>6100</v>
      </c>
      <c r="O2620" t="s">
        <v>6101</v>
      </c>
      <c r="P2620" t="s">
        <v>6110</v>
      </c>
      <c r="Q2620">
        <v>4</v>
      </c>
      <c r="R2620">
        <v>2026</v>
      </c>
      <c r="S2620" t="s">
        <v>6100</v>
      </c>
      <c r="T2620">
        <v>0</v>
      </c>
      <c r="U2620" t="s">
        <v>6019</v>
      </c>
      <c r="V2620">
        <v>1</v>
      </c>
    </row>
    <row r="2621" spans="1:22" x14ac:dyDescent="0.3">
      <c r="A2621" t="s">
        <v>2636</v>
      </c>
      <c r="B2621" s="2">
        <v>46135.474305555559</v>
      </c>
      <c r="C2621" s="2">
        <v>46136.186805555553</v>
      </c>
      <c r="D2621" t="s">
        <v>6024</v>
      </c>
      <c r="E2621" t="s">
        <v>6032</v>
      </c>
      <c r="F2621" t="s">
        <v>6034</v>
      </c>
      <c r="G2621" t="s">
        <v>6039</v>
      </c>
      <c r="H2621" t="s">
        <v>6097</v>
      </c>
      <c r="I2621">
        <v>24</v>
      </c>
      <c r="J2621">
        <v>17.100000000000001</v>
      </c>
      <c r="K2621" t="s">
        <v>6099</v>
      </c>
      <c r="L2621" t="s">
        <v>6100</v>
      </c>
      <c r="M2621" t="s">
        <v>6099</v>
      </c>
      <c r="O2621" t="s">
        <v>6101</v>
      </c>
      <c r="P2621" t="s">
        <v>6110</v>
      </c>
      <c r="Q2621">
        <v>4</v>
      </c>
      <c r="R2621">
        <v>2026</v>
      </c>
      <c r="S2621" t="s">
        <v>6099</v>
      </c>
      <c r="T2621">
        <v>1</v>
      </c>
      <c r="U2621" t="s">
        <v>6021</v>
      </c>
      <c r="V2621">
        <v>1</v>
      </c>
    </row>
    <row r="2622" spans="1:22" x14ac:dyDescent="0.3">
      <c r="A2622" t="s">
        <v>2637</v>
      </c>
      <c r="B2622" s="2">
        <v>46135.547222222223</v>
      </c>
      <c r="C2622" s="2">
        <v>46136.697222222225</v>
      </c>
      <c r="D2622" t="s">
        <v>6023</v>
      </c>
      <c r="E2622" t="s">
        <v>6029</v>
      </c>
      <c r="F2622" t="s">
        <v>6033</v>
      </c>
      <c r="G2622" t="s">
        <v>6036</v>
      </c>
      <c r="H2622" t="s">
        <v>6096</v>
      </c>
      <c r="I2622">
        <v>72</v>
      </c>
      <c r="J2622">
        <v>27.6</v>
      </c>
      <c r="K2622" t="s">
        <v>6100</v>
      </c>
      <c r="L2622" t="s">
        <v>6100</v>
      </c>
      <c r="M2622" t="s">
        <v>6100</v>
      </c>
      <c r="N2622">
        <v>5</v>
      </c>
      <c r="O2622" t="s">
        <v>6101</v>
      </c>
      <c r="P2622" t="s">
        <v>6110</v>
      </c>
      <c r="Q2622">
        <v>4</v>
      </c>
      <c r="R2622">
        <v>2026</v>
      </c>
      <c r="S2622" t="s">
        <v>6099</v>
      </c>
      <c r="T2622">
        <v>1</v>
      </c>
      <c r="U2622" t="s">
        <v>6021</v>
      </c>
      <c r="V2622">
        <v>0</v>
      </c>
    </row>
    <row r="2623" spans="1:22" x14ac:dyDescent="0.3">
      <c r="A2623" t="s">
        <v>2638</v>
      </c>
      <c r="B2623" s="2">
        <v>46135.65902777778</v>
      </c>
      <c r="C2623" s="2">
        <v>46135.40902777778</v>
      </c>
      <c r="D2623" t="s">
        <v>6028</v>
      </c>
      <c r="E2623" t="s">
        <v>6031</v>
      </c>
      <c r="F2623" t="s">
        <v>6034</v>
      </c>
      <c r="G2623" t="s">
        <v>6062</v>
      </c>
      <c r="H2623" t="s">
        <v>6096</v>
      </c>
      <c r="I2623">
        <v>24</v>
      </c>
      <c r="J2623">
        <v>8.3000000000000007</v>
      </c>
      <c r="K2623" t="s">
        <v>6099</v>
      </c>
      <c r="L2623" t="s">
        <v>6100</v>
      </c>
      <c r="M2623" t="s">
        <v>6100</v>
      </c>
      <c r="N2623">
        <v>5</v>
      </c>
      <c r="O2623" t="s">
        <v>6101</v>
      </c>
      <c r="P2623" t="s">
        <v>6110</v>
      </c>
      <c r="Q2623">
        <v>4</v>
      </c>
      <c r="R2623">
        <v>2026</v>
      </c>
      <c r="S2623" t="s">
        <v>6099</v>
      </c>
      <c r="T2623">
        <v>1</v>
      </c>
      <c r="U2623" t="s">
        <v>6020</v>
      </c>
      <c r="V2623">
        <v>1</v>
      </c>
    </row>
    <row r="2624" spans="1:22" x14ac:dyDescent="0.3">
      <c r="A2624" t="s">
        <v>2639</v>
      </c>
      <c r="B2624" s="2">
        <v>46135.661111111112</v>
      </c>
      <c r="C2624" s="2">
        <v>46147.573611111111</v>
      </c>
      <c r="D2624" t="s">
        <v>6026</v>
      </c>
      <c r="E2624" t="s">
        <v>6031</v>
      </c>
      <c r="F2624" t="s">
        <v>6033</v>
      </c>
      <c r="G2624" t="s">
        <v>6045</v>
      </c>
      <c r="H2624" t="s">
        <v>6096</v>
      </c>
      <c r="I2624">
        <v>72</v>
      </c>
      <c r="J2624">
        <v>285.89999999999998</v>
      </c>
      <c r="K2624" t="s">
        <v>6100</v>
      </c>
      <c r="L2624" t="s">
        <v>6099</v>
      </c>
      <c r="M2624" t="s">
        <v>6100</v>
      </c>
      <c r="O2624" t="s">
        <v>6101</v>
      </c>
      <c r="P2624" t="s">
        <v>6110</v>
      </c>
      <c r="Q2624">
        <v>4</v>
      </c>
      <c r="R2624">
        <v>2026</v>
      </c>
      <c r="S2624" t="s">
        <v>6100</v>
      </c>
      <c r="T2624">
        <v>0</v>
      </c>
      <c r="U2624" t="s">
        <v>6021</v>
      </c>
      <c r="V2624">
        <v>0</v>
      </c>
    </row>
    <row r="2625" spans="1:22" x14ac:dyDescent="0.3">
      <c r="A2625" t="s">
        <v>2640</v>
      </c>
      <c r="B2625" s="2">
        <v>46135.734722222223</v>
      </c>
      <c r="C2625" s="2">
        <v>46136.643055555556</v>
      </c>
      <c r="D2625" t="s">
        <v>6026</v>
      </c>
      <c r="E2625" t="s">
        <v>6031</v>
      </c>
      <c r="F2625" t="s">
        <v>6033</v>
      </c>
      <c r="G2625" t="s">
        <v>6093</v>
      </c>
      <c r="H2625" t="s">
        <v>6097</v>
      </c>
      <c r="I2625">
        <v>72</v>
      </c>
      <c r="J2625">
        <v>21.8</v>
      </c>
      <c r="K2625" t="s">
        <v>6099</v>
      </c>
      <c r="L2625" t="s">
        <v>6100</v>
      </c>
      <c r="M2625" t="s">
        <v>6100</v>
      </c>
      <c r="N2625">
        <v>2</v>
      </c>
      <c r="O2625" t="s">
        <v>6101</v>
      </c>
      <c r="P2625" t="s">
        <v>6110</v>
      </c>
      <c r="Q2625">
        <v>4</v>
      </c>
      <c r="R2625">
        <v>2026</v>
      </c>
      <c r="S2625" t="s">
        <v>6099</v>
      </c>
      <c r="T2625">
        <v>1</v>
      </c>
      <c r="U2625" t="s">
        <v>6021</v>
      </c>
      <c r="V2625">
        <v>1</v>
      </c>
    </row>
    <row r="2626" spans="1:22" x14ac:dyDescent="0.3">
      <c r="A2626" t="s">
        <v>2641</v>
      </c>
      <c r="B2626" s="2">
        <v>46135.753472222219</v>
      </c>
      <c r="C2626" s="2">
        <v>46136.553472222222</v>
      </c>
      <c r="D2626" t="s">
        <v>6022</v>
      </c>
      <c r="E2626" t="s">
        <v>6029</v>
      </c>
      <c r="F2626" t="s">
        <v>6034</v>
      </c>
      <c r="G2626" t="s">
        <v>6043</v>
      </c>
      <c r="H2626" t="s">
        <v>6097</v>
      </c>
      <c r="I2626">
        <v>24</v>
      </c>
      <c r="J2626">
        <v>19.2</v>
      </c>
      <c r="K2626" t="s">
        <v>6100</v>
      </c>
      <c r="L2626" t="s">
        <v>6100</v>
      </c>
      <c r="M2626" t="s">
        <v>6100</v>
      </c>
      <c r="N2626">
        <v>5</v>
      </c>
      <c r="O2626" t="s">
        <v>6101</v>
      </c>
      <c r="P2626" t="s">
        <v>6110</v>
      </c>
      <c r="Q2626">
        <v>4</v>
      </c>
      <c r="R2626">
        <v>2026</v>
      </c>
      <c r="S2626" t="s">
        <v>6099</v>
      </c>
      <c r="T2626">
        <v>1</v>
      </c>
      <c r="U2626" t="s">
        <v>6018</v>
      </c>
      <c r="V2626">
        <v>0</v>
      </c>
    </row>
    <row r="2627" spans="1:22" x14ac:dyDescent="0.3">
      <c r="A2627" t="s">
        <v>2642</v>
      </c>
      <c r="B2627" s="2">
        <v>46135.813888888886</v>
      </c>
      <c r="C2627" s="2">
        <v>46137.113888888889</v>
      </c>
      <c r="D2627" t="s">
        <v>6024</v>
      </c>
      <c r="E2627" t="s">
        <v>6029</v>
      </c>
      <c r="F2627" t="s">
        <v>6033</v>
      </c>
      <c r="G2627" t="s">
        <v>6047</v>
      </c>
      <c r="H2627" t="s">
        <v>6098</v>
      </c>
      <c r="I2627">
        <v>72</v>
      </c>
      <c r="J2627">
        <v>31.2</v>
      </c>
      <c r="K2627" t="s">
        <v>6099</v>
      </c>
      <c r="L2627" t="s">
        <v>6100</v>
      </c>
      <c r="M2627" t="s">
        <v>6100</v>
      </c>
      <c r="N2627">
        <v>5</v>
      </c>
      <c r="O2627" t="s">
        <v>6101</v>
      </c>
      <c r="P2627" t="s">
        <v>6110</v>
      </c>
      <c r="Q2627">
        <v>4</v>
      </c>
      <c r="R2627">
        <v>2026</v>
      </c>
      <c r="S2627" t="s">
        <v>6099</v>
      </c>
      <c r="T2627">
        <v>1</v>
      </c>
      <c r="U2627" t="s">
        <v>6019</v>
      </c>
      <c r="V2627">
        <v>1</v>
      </c>
    </row>
    <row r="2628" spans="1:22" x14ac:dyDescent="0.3">
      <c r="A2628" t="s">
        <v>2643</v>
      </c>
      <c r="B2628" s="2">
        <v>46135.976388888892</v>
      </c>
      <c r="C2628" s="2">
        <v>46138.734722222223</v>
      </c>
      <c r="D2628" t="s">
        <v>6026</v>
      </c>
      <c r="E2628" t="s">
        <v>6032</v>
      </c>
      <c r="F2628" t="s">
        <v>6033</v>
      </c>
      <c r="G2628" t="s">
        <v>6074</v>
      </c>
      <c r="H2628" t="s">
        <v>6098</v>
      </c>
      <c r="I2628">
        <v>72</v>
      </c>
      <c r="J2628">
        <v>66.2</v>
      </c>
      <c r="K2628" t="s">
        <v>6099</v>
      </c>
      <c r="L2628" t="s">
        <v>6100</v>
      </c>
      <c r="M2628" t="s">
        <v>6100</v>
      </c>
      <c r="N2628">
        <v>5</v>
      </c>
      <c r="O2628" t="s">
        <v>6101</v>
      </c>
      <c r="P2628" t="s">
        <v>6110</v>
      </c>
      <c r="Q2628">
        <v>4</v>
      </c>
      <c r="R2628">
        <v>2026</v>
      </c>
      <c r="S2628" t="s">
        <v>6099</v>
      </c>
      <c r="T2628">
        <v>1</v>
      </c>
      <c r="U2628" t="s">
        <v>6020</v>
      </c>
      <c r="V2628">
        <v>1</v>
      </c>
    </row>
    <row r="2629" spans="1:22" x14ac:dyDescent="0.3">
      <c r="A2629" t="s">
        <v>2644</v>
      </c>
      <c r="B2629" s="2">
        <v>46136.02847222222</v>
      </c>
      <c r="C2629" s="2">
        <v>46136.857638888891</v>
      </c>
      <c r="D2629" t="s">
        <v>6022</v>
      </c>
      <c r="E2629" t="s">
        <v>6031</v>
      </c>
      <c r="F2629" t="s">
        <v>6034</v>
      </c>
      <c r="G2629" t="s">
        <v>6089</v>
      </c>
      <c r="H2629" t="s">
        <v>6098</v>
      </c>
      <c r="I2629">
        <v>24</v>
      </c>
      <c r="J2629">
        <v>19.899999999999999</v>
      </c>
      <c r="K2629" t="s">
        <v>6100</v>
      </c>
      <c r="L2629" t="s">
        <v>6099</v>
      </c>
      <c r="M2629" t="s">
        <v>6099</v>
      </c>
      <c r="O2629" t="s">
        <v>6101</v>
      </c>
      <c r="P2629" t="s">
        <v>6110</v>
      </c>
      <c r="Q2629">
        <v>4</v>
      </c>
      <c r="R2629">
        <v>2026</v>
      </c>
      <c r="S2629" t="s">
        <v>6099</v>
      </c>
      <c r="T2629">
        <v>1</v>
      </c>
      <c r="U2629" t="s">
        <v>6020</v>
      </c>
      <c r="V2629">
        <v>0</v>
      </c>
    </row>
    <row r="2630" spans="1:22" x14ac:dyDescent="0.3">
      <c r="A2630" t="s">
        <v>2645</v>
      </c>
      <c r="B2630" s="2">
        <v>46136.245833333334</v>
      </c>
      <c r="C2630" s="2">
        <v>46142.3</v>
      </c>
      <c r="D2630" t="s">
        <v>6026</v>
      </c>
      <c r="E2630" t="s">
        <v>6031</v>
      </c>
      <c r="F2630" t="s">
        <v>6033</v>
      </c>
      <c r="G2630" t="s">
        <v>6050</v>
      </c>
      <c r="H2630" t="s">
        <v>6098</v>
      </c>
      <c r="I2630">
        <v>72</v>
      </c>
      <c r="J2630">
        <v>145.30000000000001</v>
      </c>
      <c r="K2630" t="s">
        <v>6099</v>
      </c>
      <c r="L2630" t="s">
        <v>6100</v>
      </c>
      <c r="M2630" t="s">
        <v>6100</v>
      </c>
      <c r="O2630" t="s">
        <v>6101</v>
      </c>
      <c r="P2630" t="s">
        <v>6110</v>
      </c>
      <c r="Q2630">
        <v>4</v>
      </c>
      <c r="R2630">
        <v>2026</v>
      </c>
      <c r="S2630" t="s">
        <v>6100</v>
      </c>
      <c r="T2630">
        <v>0</v>
      </c>
      <c r="U2630" t="s">
        <v>6021</v>
      </c>
      <c r="V2630">
        <v>1</v>
      </c>
    </row>
    <row r="2631" spans="1:22" x14ac:dyDescent="0.3">
      <c r="A2631" t="s">
        <v>2646</v>
      </c>
      <c r="B2631" s="2">
        <v>46136.269444444442</v>
      </c>
      <c r="C2631" s="2">
        <v>46136.586111111108</v>
      </c>
      <c r="D2631" t="s">
        <v>6025</v>
      </c>
      <c r="E2631" t="s">
        <v>6030</v>
      </c>
      <c r="F2631" t="s">
        <v>6034</v>
      </c>
      <c r="G2631" t="s">
        <v>6093</v>
      </c>
      <c r="H2631" t="s">
        <v>6097</v>
      </c>
      <c r="I2631">
        <v>24</v>
      </c>
      <c r="J2631">
        <v>7.6</v>
      </c>
      <c r="K2631" t="s">
        <v>6099</v>
      </c>
      <c r="L2631" t="s">
        <v>6100</v>
      </c>
      <c r="M2631" t="s">
        <v>6100</v>
      </c>
      <c r="N2631">
        <v>4</v>
      </c>
      <c r="O2631" t="s">
        <v>6101</v>
      </c>
      <c r="P2631" t="s">
        <v>6110</v>
      </c>
      <c r="Q2631">
        <v>4</v>
      </c>
      <c r="R2631">
        <v>2026</v>
      </c>
      <c r="S2631" t="s">
        <v>6099</v>
      </c>
      <c r="T2631">
        <v>1</v>
      </c>
      <c r="U2631" t="s">
        <v>6018</v>
      </c>
      <c r="V2631">
        <v>1</v>
      </c>
    </row>
    <row r="2632" spans="1:22" x14ac:dyDescent="0.3">
      <c r="A2632" t="s">
        <v>2647</v>
      </c>
      <c r="B2632" s="2">
        <v>46136.289583333331</v>
      </c>
      <c r="C2632" s="2">
        <v>46136.652083333334</v>
      </c>
      <c r="D2632" t="s">
        <v>6025</v>
      </c>
      <c r="E2632" t="s">
        <v>6029</v>
      </c>
      <c r="F2632" t="s">
        <v>6034</v>
      </c>
      <c r="G2632" t="s">
        <v>6071</v>
      </c>
      <c r="H2632" t="s">
        <v>6098</v>
      </c>
      <c r="I2632">
        <v>24</v>
      </c>
      <c r="J2632">
        <v>8.6999999999999993</v>
      </c>
      <c r="K2632" t="s">
        <v>6099</v>
      </c>
      <c r="L2632" t="s">
        <v>6100</v>
      </c>
      <c r="M2632" t="s">
        <v>6100</v>
      </c>
      <c r="N2632">
        <v>5</v>
      </c>
      <c r="O2632" t="s">
        <v>6101</v>
      </c>
      <c r="P2632" t="s">
        <v>6110</v>
      </c>
      <c r="Q2632">
        <v>4</v>
      </c>
      <c r="R2632">
        <v>2026</v>
      </c>
      <c r="S2632" t="s">
        <v>6099</v>
      </c>
      <c r="T2632">
        <v>1</v>
      </c>
      <c r="U2632" t="s">
        <v>6021</v>
      </c>
      <c r="V2632">
        <v>1</v>
      </c>
    </row>
    <row r="2633" spans="1:22" x14ac:dyDescent="0.3">
      <c r="A2633" t="s">
        <v>2648</v>
      </c>
      <c r="B2633" s="2">
        <v>46136.341666666667</v>
      </c>
      <c r="C2633" s="2">
        <v>46136.60833333333</v>
      </c>
      <c r="D2633" t="s">
        <v>6027</v>
      </c>
      <c r="E2633" t="s">
        <v>6030</v>
      </c>
      <c r="F2633" t="s">
        <v>6033</v>
      </c>
      <c r="G2633" t="s">
        <v>6037</v>
      </c>
      <c r="H2633" t="s">
        <v>6096</v>
      </c>
      <c r="I2633">
        <v>72</v>
      </c>
      <c r="J2633">
        <v>6.4</v>
      </c>
      <c r="K2633" t="s">
        <v>6099</v>
      </c>
      <c r="L2633" t="s">
        <v>6100</v>
      </c>
      <c r="M2633" t="s">
        <v>6100</v>
      </c>
      <c r="O2633" t="s">
        <v>6101</v>
      </c>
      <c r="P2633" t="s">
        <v>6110</v>
      </c>
      <c r="Q2633">
        <v>4</v>
      </c>
      <c r="R2633">
        <v>2026</v>
      </c>
      <c r="S2633" t="s">
        <v>6099</v>
      </c>
      <c r="T2633">
        <v>1</v>
      </c>
      <c r="U2633" t="s">
        <v>6018</v>
      </c>
      <c r="V2633">
        <v>1</v>
      </c>
    </row>
    <row r="2634" spans="1:22" x14ac:dyDescent="0.3">
      <c r="A2634" t="s">
        <v>2649</v>
      </c>
      <c r="B2634" s="2">
        <v>46136.38958333333</v>
      </c>
      <c r="C2634" s="2">
        <v>46136.647916666669</v>
      </c>
      <c r="D2634" t="s">
        <v>6028</v>
      </c>
      <c r="E2634" t="s">
        <v>6030</v>
      </c>
      <c r="F2634" t="s">
        <v>6034</v>
      </c>
      <c r="G2634" t="s">
        <v>6057</v>
      </c>
      <c r="H2634" t="s">
        <v>6097</v>
      </c>
      <c r="I2634">
        <v>24</v>
      </c>
      <c r="J2634">
        <v>6.2</v>
      </c>
      <c r="K2634" t="s">
        <v>6099</v>
      </c>
      <c r="L2634" t="s">
        <v>6100</v>
      </c>
      <c r="M2634" t="s">
        <v>6100</v>
      </c>
      <c r="O2634" t="s">
        <v>6101</v>
      </c>
      <c r="P2634" t="s">
        <v>6110</v>
      </c>
      <c r="Q2634">
        <v>4</v>
      </c>
      <c r="R2634">
        <v>2026</v>
      </c>
      <c r="S2634" t="s">
        <v>6099</v>
      </c>
      <c r="T2634">
        <v>1</v>
      </c>
      <c r="U2634" t="s">
        <v>6020</v>
      </c>
      <c r="V2634">
        <v>1</v>
      </c>
    </row>
    <row r="2635" spans="1:22" x14ac:dyDescent="0.3">
      <c r="A2635" t="s">
        <v>2650</v>
      </c>
      <c r="B2635" s="2">
        <v>46136.390972222223</v>
      </c>
      <c r="C2635" s="2">
        <v>46136.570138888892</v>
      </c>
      <c r="D2635" t="s">
        <v>6022</v>
      </c>
      <c r="E2635" t="s">
        <v>6030</v>
      </c>
      <c r="F2635" t="s">
        <v>6033</v>
      </c>
      <c r="G2635" t="s">
        <v>6094</v>
      </c>
      <c r="H2635" t="s">
        <v>6098</v>
      </c>
      <c r="I2635">
        <v>72</v>
      </c>
      <c r="J2635">
        <v>4.3</v>
      </c>
      <c r="K2635" t="s">
        <v>6099</v>
      </c>
      <c r="L2635" t="s">
        <v>6100</v>
      </c>
      <c r="M2635" t="s">
        <v>6100</v>
      </c>
      <c r="N2635">
        <v>5</v>
      </c>
      <c r="O2635" t="s">
        <v>6101</v>
      </c>
      <c r="P2635" t="s">
        <v>6110</v>
      </c>
      <c r="Q2635">
        <v>4</v>
      </c>
      <c r="R2635">
        <v>2026</v>
      </c>
      <c r="S2635" t="s">
        <v>6099</v>
      </c>
      <c r="T2635">
        <v>1</v>
      </c>
      <c r="U2635" t="s">
        <v>6018</v>
      </c>
      <c r="V2635">
        <v>1</v>
      </c>
    </row>
    <row r="2636" spans="1:22" x14ac:dyDescent="0.3">
      <c r="A2636" t="s">
        <v>2651</v>
      </c>
      <c r="B2636" s="2">
        <v>46136.395833333336</v>
      </c>
      <c r="C2636" s="2">
        <v>46137.529166666667</v>
      </c>
      <c r="D2636" t="s">
        <v>6027</v>
      </c>
      <c r="E2636" t="s">
        <v>6031</v>
      </c>
      <c r="F2636" t="s">
        <v>6033</v>
      </c>
      <c r="G2636" t="s">
        <v>6049</v>
      </c>
      <c r="H2636" t="s">
        <v>6097</v>
      </c>
      <c r="I2636">
        <v>72</v>
      </c>
      <c r="J2636">
        <v>27.2</v>
      </c>
      <c r="K2636" t="s">
        <v>6099</v>
      </c>
      <c r="L2636" t="s">
        <v>6100</v>
      </c>
      <c r="M2636" t="s">
        <v>6100</v>
      </c>
      <c r="N2636">
        <v>3</v>
      </c>
      <c r="O2636" t="s">
        <v>6101</v>
      </c>
      <c r="P2636" t="s">
        <v>6110</v>
      </c>
      <c r="Q2636">
        <v>4</v>
      </c>
      <c r="R2636">
        <v>2026</v>
      </c>
      <c r="S2636" t="s">
        <v>6099</v>
      </c>
      <c r="T2636">
        <v>1</v>
      </c>
      <c r="U2636" t="s">
        <v>6019</v>
      </c>
      <c r="V2636">
        <v>1</v>
      </c>
    </row>
    <row r="2637" spans="1:22" x14ac:dyDescent="0.3">
      <c r="A2637" t="s">
        <v>2652</v>
      </c>
      <c r="B2637" s="2">
        <v>46136.430555555555</v>
      </c>
      <c r="C2637" s="2">
        <v>46137.426388888889</v>
      </c>
      <c r="D2637" t="s">
        <v>6022</v>
      </c>
      <c r="E2637" t="s">
        <v>6029</v>
      </c>
      <c r="F2637" t="s">
        <v>6035</v>
      </c>
      <c r="G2637" t="s">
        <v>6081</v>
      </c>
      <c r="H2637" t="s">
        <v>6098</v>
      </c>
      <c r="I2637">
        <v>4</v>
      </c>
      <c r="J2637">
        <v>23.9</v>
      </c>
      <c r="K2637" t="s">
        <v>6100</v>
      </c>
      <c r="L2637" t="s">
        <v>6099</v>
      </c>
      <c r="M2637" t="s">
        <v>6099</v>
      </c>
      <c r="N2637">
        <v>4</v>
      </c>
      <c r="O2637" t="s">
        <v>6101</v>
      </c>
      <c r="P2637" t="s">
        <v>6110</v>
      </c>
      <c r="Q2637">
        <v>4</v>
      </c>
      <c r="R2637">
        <v>2026</v>
      </c>
      <c r="S2637" t="s">
        <v>6100</v>
      </c>
      <c r="T2637">
        <v>0</v>
      </c>
      <c r="U2637" t="s">
        <v>6017</v>
      </c>
      <c r="V2637">
        <v>0</v>
      </c>
    </row>
    <row r="2638" spans="1:22" x14ac:dyDescent="0.3">
      <c r="A2638" t="s">
        <v>2653</v>
      </c>
      <c r="B2638" s="2">
        <v>46136.443749999999</v>
      </c>
      <c r="C2638" s="2">
        <v>46136.76458333333</v>
      </c>
      <c r="D2638" t="s">
        <v>6022</v>
      </c>
      <c r="E2638" t="s">
        <v>6029</v>
      </c>
      <c r="F2638" t="s">
        <v>6033</v>
      </c>
      <c r="G2638" t="s">
        <v>6073</v>
      </c>
      <c r="H2638" t="s">
        <v>6096</v>
      </c>
      <c r="I2638">
        <v>72</v>
      </c>
      <c r="J2638">
        <v>7.7</v>
      </c>
      <c r="K2638" t="s">
        <v>6100</v>
      </c>
      <c r="L2638" t="s">
        <v>6100</v>
      </c>
      <c r="M2638" t="s">
        <v>6100</v>
      </c>
      <c r="N2638">
        <v>5</v>
      </c>
      <c r="O2638" t="s">
        <v>6101</v>
      </c>
      <c r="P2638" t="s">
        <v>6110</v>
      </c>
      <c r="Q2638">
        <v>4</v>
      </c>
      <c r="R2638">
        <v>2026</v>
      </c>
      <c r="S2638" t="s">
        <v>6099</v>
      </c>
      <c r="T2638">
        <v>1</v>
      </c>
      <c r="U2638" t="s">
        <v>6021</v>
      </c>
      <c r="V2638">
        <v>0</v>
      </c>
    </row>
    <row r="2639" spans="1:22" x14ac:dyDescent="0.3">
      <c r="A2639" t="s">
        <v>2654</v>
      </c>
      <c r="B2639" s="2">
        <v>46136.452777777777</v>
      </c>
      <c r="C2639" s="2">
        <v>46136.873611111114</v>
      </c>
      <c r="D2639" t="s">
        <v>6028</v>
      </c>
      <c r="E2639" t="s">
        <v>6029</v>
      </c>
      <c r="F2639" t="s">
        <v>6034</v>
      </c>
      <c r="G2639" t="s">
        <v>6093</v>
      </c>
      <c r="H2639" t="s">
        <v>6097</v>
      </c>
      <c r="I2639">
        <v>24</v>
      </c>
      <c r="J2639">
        <v>10.1</v>
      </c>
      <c r="K2639" t="s">
        <v>6099</v>
      </c>
      <c r="L2639" t="s">
        <v>6100</v>
      </c>
      <c r="M2639" t="s">
        <v>6100</v>
      </c>
      <c r="N2639">
        <v>4</v>
      </c>
      <c r="O2639" t="s">
        <v>6101</v>
      </c>
      <c r="P2639" t="s">
        <v>6110</v>
      </c>
      <c r="Q2639">
        <v>4</v>
      </c>
      <c r="R2639">
        <v>2026</v>
      </c>
      <c r="S2639" t="s">
        <v>6099</v>
      </c>
      <c r="T2639">
        <v>1</v>
      </c>
      <c r="U2639" t="s">
        <v>6021</v>
      </c>
      <c r="V2639">
        <v>1</v>
      </c>
    </row>
    <row r="2640" spans="1:22" x14ac:dyDescent="0.3">
      <c r="A2640" t="s">
        <v>2655</v>
      </c>
      <c r="B2640" s="2">
        <v>46136.566666666666</v>
      </c>
      <c r="C2640" s="2">
        <v>46136.941666666666</v>
      </c>
      <c r="D2640" t="s">
        <v>6024</v>
      </c>
      <c r="E2640" t="s">
        <v>6029</v>
      </c>
      <c r="F2640" t="s">
        <v>6034</v>
      </c>
      <c r="G2640" t="s">
        <v>6077</v>
      </c>
      <c r="H2640" t="s">
        <v>6098</v>
      </c>
      <c r="I2640">
        <v>24</v>
      </c>
      <c r="J2640">
        <v>9</v>
      </c>
      <c r="K2640" t="s">
        <v>6100</v>
      </c>
      <c r="L2640" t="s">
        <v>6099</v>
      </c>
      <c r="M2640" t="s">
        <v>6100</v>
      </c>
      <c r="N2640">
        <v>4</v>
      </c>
      <c r="O2640" t="s">
        <v>6101</v>
      </c>
      <c r="P2640" t="s">
        <v>6110</v>
      </c>
      <c r="Q2640">
        <v>4</v>
      </c>
      <c r="R2640">
        <v>2026</v>
      </c>
      <c r="S2640" t="s">
        <v>6099</v>
      </c>
      <c r="T2640">
        <v>1</v>
      </c>
      <c r="U2640" t="s">
        <v>6019</v>
      </c>
      <c r="V2640">
        <v>0</v>
      </c>
    </row>
    <row r="2641" spans="1:22" x14ac:dyDescent="0.3">
      <c r="A2641" t="s">
        <v>2656</v>
      </c>
      <c r="B2641" s="2">
        <v>46136.614583333336</v>
      </c>
      <c r="C2641" s="2">
        <v>46138.318749999999</v>
      </c>
      <c r="D2641" t="s">
        <v>6026</v>
      </c>
      <c r="E2641" t="s">
        <v>6031</v>
      </c>
      <c r="F2641" t="s">
        <v>6034</v>
      </c>
      <c r="G2641" t="s">
        <v>6047</v>
      </c>
      <c r="H2641" t="s">
        <v>6098</v>
      </c>
      <c r="I2641">
        <v>24</v>
      </c>
      <c r="J2641">
        <v>40.9</v>
      </c>
      <c r="K2641" t="s">
        <v>6099</v>
      </c>
      <c r="L2641" t="s">
        <v>6100</v>
      </c>
      <c r="M2641" t="s">
        <v>6100</v>
      </c>
      <c r="O2641" t="s">
        <v>6101</v>
      </c>
      <c r="P2641" t="s">
        <v>6110</v>
      </c>
      <c r="Q2641">
        <v>4</v>
      </c>
      <c r="R2641">
        <v>2026</v>
      </c>
      <c r="S2641" t="s">
        <v>6100</v>
      </c>
      <c r="T2641">
        <v>0</v>
      </c>
      <c r="U2641" t="s">
        <v>6020</v>
      </c>
      <c r="V2641">
        <v>1</v>
      </c>
    </row>
    <row r="2642" spans="1:22" x14ac:dyDescent="0.3">
      <c r="A2642" t="s">
        <v>2657</v>
      </c>
      <c r="B2642" s="2">
        <v>46136.634722222225</v>
      </c>
      <c r="C2642" s="2">
        <v>46136.859722222223</v>
      </c>
      <c r="D2642" t="s">
        <v>6023</v>
      </c>
      <c r="E2642" t="s">
        <v>6029</v>
      </c>
      <c r="F2642" t="s">
        <v>6033</v>
      </c>
      <c r="G2642" t="s">
        <v>6066</v>
      </c>
      <c r="H2642" t="s">
        <v>6096</v>
      </c>
      <c r="I2642">
        <v>72</v>
      </c>
      <c r="J2642">
        <v>5.4</v>
      </c>
      <c r="K2642" t="s">
        <v>6099</v>
      </c>
      <c r="L2642" t="s">
        <v>6100</v>
      </c>
      <c r="M2642" t="s">
        <v>6100</v>
      </c>
      <c r="N2642">
        <v>5</v>
      </c>
      <c r="O2642" t="s">
        <v>6101</v>
      </c>
      <c r="P2642" t="s">
        <v>6110</v>
      </c>
      <c r="Q2642">
        <v>4</v>
      </c>
      <c r="R2642">
        <v>2026</v>
      </c>
      <c r="S2642" t="s">
        <v>6099</v>
      </c>
      <c r="T2642">
        <v>1</v>
      </c>
      <c r="U2642" t="s">
        <v>6017</v>
      </c>
      <c r="V2642">
        <v>1</v>
      </c>
    </row>
    <row r="2643" spans="1:22" x14ac:dyDescent="0.3">
      <c r="A2643" t="s">
        <v>2658</v>
      </c>
      <c r="B2643" s="2">
        <v>46136.674305555556</v>
      </c>
      <c r="C2643" s="2">
        <v>46138.120138888888</v>
      </c>
      <c r="D2643" t="s">
        <v>6025</v>
      </c>
      <c r="E2643" t="s">
        <v>6031</v>
      </c>
      <c r="F2643" t="s">
        <v>6033</v>
      </c>
      <c r="G2643" t="s">
        <v>6045</v>
      </c>
      <c r="H2643" t="s">
        <v>6096</v>
      </c>
      <c r="I2643">
        <v>72</v>
      </c>
      <c r="J2643">
        <v>34.700000000000003</v>
      </c>
      <c r="K2643" t="s">
        <v>6099</v>
      </c>
      <c r="L2643" t="s">
        <v>6100</v>
      </c>
      <c r="M2643" t="s">
        <v>6100</v>
      </c>
      <c r="N2643">
        <v>4</v>
      </c>
      <c r="O2643" t="s">
        <v>6101</v>
      </c>
      <c r="P2643" t="s">
        <v>6110</v>
      </c>
      <c r="Q2643">
        <v>4</v>
      </c>
      <c r="R2643">
        <v>2026</v>
      </c>
      <c r="S2643" t="s">
        <v>6099</v>
      </c>
      <c r="T2643">
        <v>1</v>
      </c>
      <c r="U2643" t="s">
        <v>6020</v>
      </c>
      <c r="V2643">
        <v>1</v>
      </c>
    </row>
    <row r="2644" spans="1:22" x14ac:dyDescent="0.3">
      <c r="A2644" t="s">
        <v>2659</v>
      </c>
      <c r="B2644" s="2">
        <v>46136.711111111108</v>
      </c>
      <c r="C2644" s="2">
        <v>46136.819444444445</v>
      </c>
      <c r="D2644" t="s">
        <v>6023</v>
      </c>
      <c r="E2644" t="s">
        <v>6030</v>
      </c>
      <c r="F2644" t="s">
        <v>6034</v>
      </c>
      <c r="G2644" t="s">
        <v>6062</v>
      </c>
      <c r="H2644" t="s">
        <v>6096</v>
      </c>
      <c r="I2644">
        <v>24</v>
      </c>
      <c r="J2644">
        <v>2.6</v>
      </c>
      <c r="K2644" t="s">
        <v>6099</v>
      </c>
      <c r="L2644" t="s">
        <v>6100</v>
      </c>
      <c r="M2644" t="s">
        <v>6100</v>
      </c>
      <c r="O2644" t="s">
        <v>6101</v>
      </c>
      <c r="P2644" t="s">
        <v>6110</v>
      </c>
      <c r="Q2644">
        <v>4</v>
      </c>
      <c r="R2644">
        <v>2026</v>
      </c>
      <c r="S2644" t="s">
        <v>6099</v>
      </c>
      <c r="T2644">
        <v>1</v>
      </c>
      <c r="U2644" t="s">
        <v>6018</v>
      </c>
      <c r="V2644">
        <v>1</v>
      </c>
    </row>
    <row r="2645" spans="1:22" x14ac:dyDescent="0.3">
      <c r="A2645" t="s">
        <v>2660</v>
      </c>
      <c r="B2645" s="2">
        <v>46136.716666666667</v>
      </c>
      <c r="C2645" s="2">
        <v>46136.933333333334</v>
      </c>
      <c r="D2645" t="s">
        <v>6024</v>
      </c>
      <c r="E2645" t="s">
        <v>6030</v>
      </c>
      <c r="F2645" t="s">
        <v>6033</v>
      </c>
      <c r="G2645" t="s">
        <v>6064</v>
      </c>
      <c r="H2645" t="s">
        <v>6096</v>
      </c>
      <c r="I2645">
        <v>72</v>
      </c>
      <c r="J2645">
        <v>5.2</v>
      </c>
      <c r="K2645" t="s">
        <v>6099</v>
      </c>
      <c r="L2645" t="s">
        <v>6100</v>
      </c>
      <c r="M2645" t="s">
        <v>6100</v>
      </c>
      <c r="N2645">
        <v>5</v>
      </c>
      <c r="O2645" t="s">
        <v>6101</v>
      </c>
      <c r="P2645" t="s">
        <v>6110</v>
      </c>
      <c r="Q2645">
        <v>4</v>
      </c>
      <c r="R2645">
        <v>2026</v>
      </c>
      <c r="S2645" t="s">
        <v>6099</v>
      </c>
      <c r="T2645">
        <v>1</v>
      </c>
      <c r="U2645" t="s">
        <v>6018</v>
      </c>
      <c r="V2645">
        <v>1</v>
      </c>
    </row>
    <row r="2646" spans="1:22" x14ac:dyDescent="0.3">
      <c r="A2646" t="s">
        <v>2661</v>
      </c>
      <c r="B2646" s="2">
        <v>46137.164583333331</v>
      </c>
      <c r="C2646" s="2">
        <v>46138.414583333331</v>
      </c>
      <c r="D2646" t="s">
        <v>6028</v>
      </c>
      <c r="E2646" t="s">
        <v>6031</v>
      </c>
      <c r="F2646" t="s">
        <v>6035</v>
      </c>
      <c r="G2646" t="s">
        <v>6088</v>
      </c>
      <c r="H2646" t="s">
        <v>6097</v>
      </c>
      <c r="I2646">
        <v>4</v>
      </c>
      <c r="J2646">
        <v>30</v>
      </c>
      <c r="K2646" t="s">
        <v>6099</v>
      </c>
      <c r="L2646" t="s">
        <v>6100</v>
      </c>
      <c r="M2646" t="s">
        <v>6100</v>
      </c>
      <c r="O2646" t="s">
        <v>6101</v>
      </c>
      <c r="P2646" t="s">
        <v>6110</v>
      </c>
      <c r="Q2646">
        <v>4</v>
      </c>
      <c r="R2646">
        <v>2026</v>
      </c>
      <c r="S2646" t="s">
        <v>6100</v>
      </c>
      <c r="T2646">
        <v>0</v>
      </c>
      <c r="U2646" t="s">
        <v>6018</v>
      </c>
      <c r="V2646">
        <v>1</v>
      </c>
    </row>
    <row r="2647" spans="1:22" x14ac:dyDescent="0.3">
      <c r="A2647" t="s">
        <v>2662</v>
      </c>
      <c r="B2647" s="2">
        <v>46137.168749999997</v>
      </c>
      <c r="C2647" s="2">
        <v>46139.53125</v>
      </c>
      <c r="D2647" t="s">
        <v>6024</v>
      </c>
      <c r="E2647" t="s">
        <v>6032</v>
      </c>
      <c r="F2647" t="s">
        <v>6033</v>
      </c>
      <c r="G2647" t="s">
        <v>6036</v>
      </c>
      <c r="H2647" t="s">
        <v>6096</v>
      </c>
      <c r="I2647">
        <v>72</v>
      </c>
      <c r="J2647">
        <v>56.7</v>
      </c>
      <c r="K2647" t="s">
        <v>6100</v>
      </c>
      <c r="L2647" t="s">
        <v>6099</v>
      </c>
      <c r="M2647" t="s">
        <v>6100</v>
      </c>
      <c r="N2647">
        <v>3</v>
      </c>
      <c r="O2647" t="s">
        <v>6101</v>
      </c>
      <c r="P2647" t="s">
        <v>6110</v>
      </c>
      <c r="Q2647">
        <v>4</v>
      </c>
      <c r="R2647">
        <v>2026</v>
      </c>
      <c r="S2647" t="s">
        <v>6099</v>
      </c>
      <c r="T2647">
        <v>1</v>
      </c>
      <c r="U2647" t="s">
        <v>6020</v>
      </c>
      <c r="V2647">
        <v>0</v>
      </c>
    </row>
    <row r="2648" spans="1:22" x14ac:dyDescent="0.3">
      <c r="A2648" t="s">
        <v>2663</v>
      </c>
      <c r="B2648" s="2">
        <v>46137.305555555555</v>
      </c>
      <c r="C2648" s="2">
        <v>46137.672222222223</v>
      </c>
      <c r="D2648" t="s">
        <v>6027</v>
      </c>
      <c r="E2648" t="s">
        <v>6032</v>
      </c>
      <c r="F2648" t="s">
        <v>6035</v>
      </c>
      <c r="G2648" t="s">
        <v>6074</v>
      </c>
      <c r="H2648" t="s">
        <v>6098</v>
      </c>
      <c r="I2648">
        <v>4</v>
      </c>
      <c r="J2648">
        <v>8.8000000000000007</v>
      </c>
      <c r="K2648" t="s">
        <v>6099</v>
      </c>
      <c r="L2648" t="s">
        <v>6100</v>
      </c>
      <c r="M2648" t="s">
        <v>6100</v>
      </c>
      <c r="N2648">
        <v>4</v>
      </c>
      <c r="O2648" t="s">
        <v>6101</v>
      </c>
      <c r="P2648" t="s">
        <v>6110</v>
      </c>
      <c r="Q2648">
        <v>4</v>
      </c>
      <c r="R2648">
        <v>2026</v>
      </c>
      <c r="S2648" t="s">
        <v>6100</v>
      </c>
      <c r="T2648">
        <v>0</v>
      </c>
      <c r="U2648" t="s">
        <v>6021</v>
      </c>
      <c r="V2648">
        <v>1</v>
      </c>
    </row>
    <row r="2649" spans="1:22" x14ac:dyDescent="0.3">
      <c r="A2649" t="s">
        <v>2664</v>
      </c>
      <c r="B2649" s="2">
        <v>46137.35</v>
      </c>
      <c r="C2649" s="2">
        <v>46138.708333333336</v>
      </c>
      <c r="D2649" t="s">
        <v>6025</v>
      </c>
      <c r="E2649" t="s">
        <v>6029</v>
      </c>
      <c r="F2649" t="s">
        <v>6034</v>
      </c>
      <c r="G2649" t="s">
        <v>6048</v>
      </c>
      <c r="H2649" t="s">
        <v>6096</v>
      </c>
      <c r="I2649">
        <v>24</v>
      </c>
      <c r="J2649">
        <v>32.6</v>
      </c>
      <c r="K2649" t="s">
        <v>6100</v>
      </c>
      <c r="L2649" t="s">
        <v>6100</v>
      </c>
      <c r="M2649" t="s">
        <v>6100</v>
      </c>
      <c r="O2649" t="s">
        <v>6101</v>
      </c>
      <c r="P2649" t="s">
        <v>6110</v>
      </c>
      <c r="Q2649">
        <v>4</v>
      </c>
      <c r="R2649">
        <v>2026</v>
      </c>
      <c r="S2649" t="s">
        <v>6100</v>
      </c>
      <c r="T2649">
        <v>0</v>
      </c>
      <c r="U2649" t="s">
        <v>6019</v>
      </c>
      <c r="V2649">
        <v>0</v>
      </c>
    </row>
    <row r="2650" spans="1:22" x14ac:dyDescent="0.3">
      <c r="A2650" t="s">
        <v>2665</v>
      </c>
      <c r="B2650" s="2">
        <v>46137.40902777778</v>
      </c>
      <c r="C2650" s="2">
        <v>46137.538194444445</v>
      </c>
      <c r="D2650" t="s">
        <v>6024</v>
      </c>
      <c r="E2650" t="s">
        <v>6030</v>
      </c>
      <c r="F2650" t="s">
        <v>6034</v>
      </c>
      <c r="G2650" t="s">
        <v>6073</v>
      </c>
      <c r="H2650" t="s">
        <v>6096</v>
      </c>
      <c r="I2650">
        <v>24</v>
      </c>
      <c r="J2650">
        <v>3.1</v>
      </c>
      <c r="K2650" t="s">
        <v>6100</v>
      </c>
      <c r="L2650" t="s">
        <v>6099</v>
      </c>
      <c r="M2650" t="s">
        <v>6100</v>
      </c>
      <c r="N2650">
        <v>2</v>
      </c>
      <c r="O2650" t="s">
        <v>6101</v>
      </c>
      <c r="P2650" t="s">
        <v>6110</v>
      </c>
      <c r="Q2650">
        <v>4</v>
      </c>
      <c r="R2650">
        <v>2026</v>
      </c>
      <c r="S2650" t="s">
        <v>6099</v>
      </c>
      <c r="T2650">
        <v>1</v>
      </c>
      <c r="U2650" t="s">
        <v>6018</v>
      </c>
      <c r="V2650">
        <v>0</v>
      </c>
    </row>
    <row r="2651" spans="1:22" x14ac:dyDescent="0.3">
      <c r="A2651" t="s">
        <v>2666</v>
      </c>
      <c r="B2651" s="2">
        <v>46137.474999999999</v>
      </c>
      <c r="C2651" s="2">
        <v>46137.73333333333</v>
      </c>
      <c r="D2651" t="s">
        <v>6023</v>
      </c>
      <c r="E2651" t="s">
        <v>6029</v>
      </c>
      <c r="F2651" t="s">
        <v>6034</v>
      </c>
      <c r="G2651" t="s">
        <v>6050</v>
      </c>
      <c r="H2651" t="s">
        <v>6098</v>
      </c>
      <c r="I2651">
        <v>24</v>
      </c>
      <c r="J2651">
        <v>6.2</v>
      </c>
      <c r="K2651" t="s">
        <v>6100</v>
      </c>
      <c r="L2651" t="s">
        <v>6100</v>
      </c>
      <c r="M2651" t="s">
        <v>6100</v>
      </c>
      <c r="N2651">
        <v>4</v>
      </c>
      <c r="O2651" t="s">
        <v>6101</v>
      </c>
      <c r="P2651" t="s">
        <v>6110</v>
      </c>
      <c r="Q2651">
        <v>4</v>
      </c>
      <c r="R2651">
        <v>2026</v>
      </c>
      <c r="S2651" t="s">
        <v>6099</v>
      </c>
      <c r="T2651">
        <v>1</v>
      </c>
      <c r="U2651" t="s">
        <v>6020</v>
      </c>
      <c r="V2651">
        <v>0</v>
      </c>
    </row>
    <row r="2652" spans="1:22" x14ac:dyDescent="0.3">
      <c r="A2652" t="s">
        <v>2667</v>
      </c>
      <c r="B2652" s="2">
        <v>46137.497916666667</v>
      </c>
      <c r="C2652" s="2">
        <v>46138.722916666666</v>
      </c>
      <c r="D2652" t="s">
        <v>6023</v>
      </c>
      <c r="E2652" t="s">
        <v>6032</v>
      </c>
      <c r="F2652" t="s">
        <v>6034</v>
      </c>
      <c r="G2652" t="s">
        <v>6094</v>
      </c>
      <c r="H2652" t="s">
        <v>6098</v>
      </c>
      <c r="I2652">
        <v>24</v>
      </c>
      <c r="J2652">
        <v>29.4</v>
      </c>
      <c r="K2652" t="s">
        <v>6099</v>
      </c>
      <c r="L2652" t="s">
        <v>6100</v>
      </c>
      <c r="M2652" t="s">
        <v>6100</v>
      </c>
      <c r="N2652">
        <v>2</v>
      </c>
      <c r="O2652" t="s">
        <v>6101</v>
      </c>
      <c r="P2652" t="s">
        <v>6110</v>
      </c>
      <c r="Q2652">
        <v>4</v>
      </c>
      <c r="R2652">
        <v>2026</v>
      </c>
      <c r="S2652" t="s">
        <v>6100</v>
      </c>
      <c r="T2652">
        <v>0</v>
      </c>
      <c r="U2652" t="s">
        <v>6018</v>
      </c>
      <c r="V2652">
        <v>1</v>
      </c>
    </row>
    <row r="2653" spans="1:22" x14ac:dyDescent="0.3">
      <c r="A2653" t="s">
        <v>2668</v>
      </c>
      <c r="B2653" s="2">
        <v>46137.505555555559</v>
      </c>
      <c r="C2653" s="2">
        <v>46137.688888888886</v>
      </c>
      <c r="D2653" t="s">
        <v>6024</v>
      </c>
      <c r="E2653" t="s">
        <v>6030</v>
      </c>
      <c r="F2653" t="s">
        <v>6034</v>
      </c>
      <c r="G2653" t="s">
        <v>6091</v>
      </c>
      <c r="H2653" t="s">
        <v>6097</v>
      </c>
      <c r="I2653">
        <v>24</v>
      </c>
      <c r="J2653">
        <v>4.4000000000000004</v>
      </c>
      <c r="K2653" t="s">
        <v>6099</v>
      </c>
      <c r="L2653" t="s">
        <v>6100</v>
      </c>
      <c r="M2653" t="s">
        <v>6100</v>
      </c>
      <c r="N2653">
        <v>4</v>
      </c>
      <c r="O2653" t="s">
        <v>6101</v>
      </c>
      <c r="P2653" t="s">
        <v>6110</v>
      </c>
      <c r="Q2653">
        <v>4</v>
      </c>
      <c r="R2653">
        <v>2026</v>
      </c>
      <c r="S2653" t="s">
        <v>6099</v>
      </c>
      <c r="T2653">
        <v>1</v>
      </c>
      <c r="U2653" t="s">
        <v>6020</v>
      </c>
      <c r="V2653">
        <v>1</v>
      </c>
    </row>
    <row r="2654" spans="1:22" x14ac:dyDescent="0.3">
      <c r="A2654" t="s">
        <v>2669</v>
      </c>
      <c r="B2654" s="2">
        <v>46137.510416666664</v>
      </c>
      <c r="C2654" s="2">
        <v>46139.060416666667</v>
      </c>
      <c r="D2654" t="s">
        <v>6027</v>
      </c>
      <c r="E2654" t="s">
        <v>6031</v>
      </c>
      <c r="F2654" t="s">
        <v>6033</v>
      </c>
      <c r="G2654" t="s">
        <v>6052</v>
      </c>
      <c r="H2654" t="s">
        <v>6098</v>
      </c>
      <c r="I2654">
        <v>72</v>
      </c>
      <c r="J2654">
        <v>37.200000000000003</v>
      </c>
      <c r="K2654" t="s">
        <v>6099</v>
      </c>
      <c r="L2654" t="s">
        <v>6100</v>
      </c>
      <c r="M2654" t="s">
        <v>6100</v>
      </c>
      <c r="O2654" t="s">
        <v>6101</v>
      </c>
      <c r="P2654" t="s">
        <v>6110</v>
      </c>
      <c r="Q2654">
        <v>4</v>
      </c>
      <c r="R2654">
        <v>2026</v>
      </c>
      <c r="S2654" t="s">
        <v>6099</v>
      </c>
      <c r="T2654">
        <v>1</v>
      </c>
      <c r="U2654" t="s">
        <v>6017</v>
      </c>
      <c r="V2654">
        <v>1</v>
      </c>
    </row>
    <row r="2655" spans="1:22" x14ac:dyDescent="0.3">
      <c r="A2655" t="s">
        <v>2670</v>
      </c>
      <c r="B2655" s="2">
        <v>46137.540972222225</v>
      </c>
      <c r="C2655" s="2">
        <v>46138.353472222225</v>
      </c>
      <c r="D2655" t="s">
        <v>6027</v>
      </c>
      <c r="E2655" t="s">
        <v>6029</v>
      </c>
      <c r="F2655" t="s">
        <v>6033</v>
      </c>
      <c r="G2655" t="s">
        <v>6090</v>
      </c>
      <c r="H2655" t="s">
        <v>6097</v>
      </c>
      <c r="I2655">
        <v>72</v>
      </c>
      <c r="J2655">
        <v>19.5</v>
      </c>
      <c r="K2655" t="s">
        <v>6099</v>
      </c>
      <c r="L2655" t="s">
        <v>6100</v>
      </c>
      <c r="M2655" t="s">
        <v>6099</v>
      </c>
      <c r="O2655" t="s">
        <v>6101</v>
      </c>
      <c r="P2655" t="s">
        <v>6110</v>
      </c>
      <c r="Q2655">
        <v>4</v>
      </c>
      <c r="R2655">
        <v>2026</v>
      </c>
      <c r="S2655" t="s">
        <v>6099</v>
      </c>
      <c r="T2655">
        <v>1</v>
      </c>
      <c r="U2655" t="s">
        <v>6021</v>
      </c>
      <c r="V2655">
        <v>1</v>
      </c>
    </row>
    <row r="2656" spans="1:22" x14ac:dyDescent="0.3">
      <c r="A2656" t="s">
        <v>2671</v>
      </c>
      <c r="B2656" s="2">
        <v>46137.561111111114</v>
      </c>
      <c r="C2656" s="2">
        <v>46137.765277777777</v>
      </c>
      <c r="D2656" t="s">
        <v>6028</v>
      </c>
      <c r="E2656" t="s">
        <v>6030</v>
      </c>
      <c r="F2656" t="s">
        <v>6033</v>
      </c>
      <c r="G2656" t="s">
        <v>6052</v>
      </c>
      <c r="H2656" t="s">
        <v>6098</v>
      </c>
      <c r="I2656">
        <v>72</v>
      </c>
      <c r="J2656">
        <v>4.9000000000000004</v>
      </c>
      <c r="K2656" t="s">
        <v>6099</v>
      </c>
      <c r="L2656" t="s">
        <v>6100</v>
      </c>
      <c r="M2656" t="s">
        <v>6100</v>
      </c>
      <c r="N2656">
        <v>4</v>
      </c>
      <c r="O2656" t="s">
        <v>6101</v>
      </c>
      <c r="P2656" t="s">
        <v>6110</v>
      </c>
      <c r="Q2656">
        <v>4</v>
      </c>
      <c r="R2656">
        <v>2026</v>
      </c>
      <c r="S2656" t="s">
        <v>6099</v>
      </c>
      <c r="T2656">
        <v>1</v>
      </c>
      <c r="U2656" t="s">
        <v>6018</v>
      </c>
      <c r="V2656">
        <v>1</v>
      </c>
    </row>
    <row r="2657" spans="1:22" x14ac:dyDescent="0.3">
      <c r="A2657" t="s">
        <v>2672</v>
      </c>
      <c r="B2657" s="2">
        <v>46137.563194444447</v>
      </c>
      <c r="C2657" s="2">
        <v>46138.725694444445</v>
      </c>
      <c r="D2657" t="s">
        <v>6025</v>
      </c>
      <c r="E2657" t="s">
        <v>6032</v>
      </c>
      <c r="F2657" t="s">
        <v>6034</v>
      </c>
      <c r="G2657" t="s">
        <v>6082</v>
      </c>
      <c r="H2657" t="s">
        <v>6097</v>
      </c>
      <c r="I2657">
        <v>24</v>
      </c>
      <c r="J2657">
        <v>27.9</v>
      </c>
      <c r="K2657" t="s">
        <v>6099</v>
      </c>
      <c r="L2657" t="s">
        <v>6100</v>
      </c>
      <c r="M2657" t="s">
        <v>6100</v>
      </c>
      <c r="O2657" t="s">
        <v>6101</v>
      </c>
      <c r="P2657" t="s">
        <v>6110</v>
      </c>
      <c r="Q2657">
        <v>4</v>
      </c>
      <c r="R2657">
        <v>2026</v>
      </c>
      <c r="S2657" t="s">
        <v>6100</v>
      </c>
      <c r="T2657">
        <v>0</v>
      </c>
      <c r="U2657" t="s">
        <v>6017</v>
      </c>
      <c r="V2657">
        <v>1</v>
      </c>
    </row>
    <row r="2658" spans="1:22" x14ac:dyDescent="0.3">
      <c r="A2658" t="s">
        <v>2673</v>
      </c>
      <c r="B2658" s="2">
        <v>46137.568055555559</v>
      </c>
      <c r="C2658" s="2">
        <v>46138.488888888889</v>
      </c>
      <c r="D2658" t="s">
        <v>6027</v>
      </c>
      <c r="E2658" t="s">
        <v>6030</v>
      </c>
      <c r="F2658" t="s">
        <v>6034</v>
      </c>
      <c r="G2658" t="s">
        <v>6046</v>
      </c>
      <c r="H2658" t="s">
        <v>6098</v>
      </c>
      <c r="I2658">
        <v>24</v>
      </c>
      <c r="J2658">
        <v>22.1</v>
      </c>
      <c r="K2658" t="s">
        <v>6099</v>
      </c>
      <c r="L2658" t="s">
        <v>6100</v>
      </c>
      <c r="M2658" t="s">
        <v>6100</v>
      </c>
      <c r="N2658">
        <v>4</v>
      </c>
      <c r="O2658" t="s">
        <v>6101</v>
      </c>
      <c r="P2658" t="s">
        <v>6110</v>
      </c>
      <c r="Q2658">
        <v>4</v>
      </c>
      <c r="R2658">
        <v>2026</v>
      </c>
      <c r="S2658" t="s">
        <v>6099</v>
      </c>
      <c r="T2658">
        <v>1</v>
      </c>
      <c r="U2658" t="s">
        <v>6017</v>
      </c>
      <c r="V2658">
        <v>1</v>
      </c>
    </row>
    <row r="2659" spans="1:22" x14ac:dyDescent="0.3">
      <c r="A2659" t="s">
        <v>2674</v>
      </c>
      <c r="B2659" s="2">
        <v>46137.597222222219</v>
      </c>
      <c r="C2659" s="2">
        <v>46138.630555555559</v>
      </c>
      <c r="D2659" t="s">
        <v>6024</v>
      </c>
      <c r="E2659" t="s">
        <v>6029</v>
      </c>
      <c r="F2659" t="s">
        <v>6035</v>
      </c>
      <c r="G2659" t="s">
        <v>6083</v>
      </c>
      <c r="H2659" t="s">
        <v>6096</v>
      </c>
      <c r="I2659">
        <v>4</v>
      </c>
      <c r="J2659">
        <v>24.8</v>
      </c>
      <c r="K2659" t="s">
        <v>6099</v>
      </c>
      <c r="L2659" t="s">
        <v>6100</v>
      </c>
      <c r="M2659" t="s">
        <v>6100</v>
      </c>
      <c r="N2659">
        <v>5</v>
      </c>
      <c r="O2659" t="s">
        <v>6101</v>
      </c>
      <c r="P2659" t="s">
        <v>6110</v>
      </c>
      <c r="Q2659">
        <v>4</v>
      </c>
      <c r="R2659">
        <v>2026</v>
      </c>
      <c r="S2659" t="s">
        <v>6100</v>
      </c>
      <c r="T2659">
        <v>0</v>
      </c>
      <c r="U2659" t="s">
        <v>6021</v>
      </c>
      <c r="V2659">
        <v>1</v>
      </c>
    </row>
    <row r="2660" spans="1:22" x14ac:dyDescent="0.3">
      <c r="A2660" t="s">
        <v>2675</v>
      </c>
      <c r="B2660" s="2">
        <v>46137.604861111111</v>
      </c>
      <c r="C2660" s="2">
        <v>46138.496527777781</v>
      </c>
      <c r="D2660" t="s">
        <v>6022</v>
      </c>
      <c r="E2660" t="s">
        <v>6029</v>
      </c>
      <c r="F2660" t="s">
        <v>6034</v>
      </c>
      <c r="G2660" t="s">
        <v>6075</v>
      </c>
      <c r="H2660" t="s">
        <v>6097</v>
      </c>
      <c r="I2660">
        <v>24</v>
      </c>
      <c r="J2660">
        <v>21.4</v>
      </c>
      <c r="K2660" t="s">
        <v>6099</v>
      </c>
      <c r="L2660" t="s">
        <v>6100</v>
      </c>
      <c r="M2660" t="s">
        <v>6100</v>
      </c>
      <c r="O2660" t="s">
        <v>6101</v>
      </c>
      <c r="P2660" t="s">
        <v>6110</v>
      </c>
      <c r="Q2660">
        <v>4</v>
      </c>
      <c r="R2660">
        <v>2026</v>
      </c>
      <c r="S2660" t="s">
        <v>6099</v>
      </c>
      <c r="T2660">
        <v>1</v>
      </c>
      <c r="U2660" t="s">
        <v>6021</v>
      </c>
      <c r="V2660">
        <v>1</v>
      </c>
    </row>
    <row r="2661" spans="1:22" x14ac:dyDescent="0.3">
      <c r="A2661" t="s">
        <v>2676</v>
      </c>
      <c r="B2661" s="2">
        <v>46137.625694444447</v>
      </c>
      <c r="C2661" s="2">
        <v>46138.017361111109</v>
      </c>
      <c r="D2661" t="s">
        <v>6024</v>
      </c>
      <c r="E2661" t="s">
        <v>6029</v>
      </c>
      <c r="F2661" t="s">
        <v>6034</v>
      </c>
      <c r="G2661" t="s">
        <v>6085</v>
      </c>
      <c r="H2661" t="s">
        <v>6097</v>
      </c>
      <c r="I2661">
        <v>24</v>
      </c>
      <c r="J2661">
        <v>9.4</v>
      </c>
      <c r="K2661" t="s">
        <v>6100</v>
      </c>
      <c r="L2661" t="s">
        <v>6100</v>
      </c>
      <c r="M2661" t="s">
        <v>6100</v>
      </c>
      <c r="N2661">
        <v>5</v>
      </c>
      <c r="O2661" t="s">
        <v>6101</v>
      </c>
      <c r="P2661" t="s">
        <v>6110</v>
      </c>
      <c r="Q2661">
        <v>4</v>
      </c>
      <c r="R2661">
        <v>2026</v>
      </c>
      <c r="S2661" t="s">
        <v>6099</v>
      </c>
      <c r="T2661">
        <v>1</v>
      </c>
      <c r="U2661" t="s">
        <v>6021</v>
      </c>
      <c r="V2661">
        <v>0</v>
      </c>
    </row>
    <row r="2662" spans="1:22" x14ac:dyDescent="0.3">
      <c r="A2662" t="s">
        <v>2677</v>
      </c>
      <c r="B2662" s="2">
        <v>46137.669444444444</v>
      </c>
      <c r="C2662" s="2">
        <v>46137.986111111109</v>
      </c>
      <c r="D2662" t="s">
        <v>6022</v>
      </c>
      <c r="E2662" t="s">
        <v>6030</v>
      </c>
      <c r="F2662" t="s">
        <v>6034</v>
      </c>
      <c r="G2662" t="s">
        <v>6071</v>
      </c>
      <c r="H2662" t="s">
        <v>6098</v>
      </c>
      <c r="I2662">
        <v>24</v>
      </c>
      <c r="J2662">
        <v>7.6</v>
      </c>
      <c r="K2662" t="s">
        <v>6100</v>
      </c>
      <c r="L2662" t="s">
        <v>6099</v>
      </c>
      <c r="M2662" t="s">
        <v>6100</v>
      </c>
      <c r="N2662">
        <v>3</v>
      </c>
      <c r="O2662" t="s">
        <v>6101</v>
      </c>
      <c r="P2662" t="s">
        <v>6110</v>
      </c>
      <c r="Q2662">
        <v>4</v>
      </c>
      <c r="R2662">
        <v>2026</v>
      </c>
      <c r="S2662" t="s">
        <v>6099</v>
      </c>
      <c r="T2662">
        <v>1</v>
      </c>
      <c r="U2662" t="s">
        <v>6018</v>
      </c>
      <c r="V2662">
        <v>0</v>
      </c>
    </row>
    <row r="2663" spans="1:22" x14ac:dyDescent="0.3">
      <c r="A2663" t="s">
        <v>2678</v>
      </c>
      <c r="B2663" s="2">
        <v>46137.673611111109</v>
      </c>
      <c r="C2663" s="2">
        <v>46140.298611111109</v>
      </c>
      <c r="D2663" t="s">
        <v>6028</v>
      </c>
      <c r="E2663" t="s">
        <v>6031</v>
      </c>
      <c r="F2663" t="s">
        <v>6034</v>
      </c>
      <c r="G2663" t="s">
        <v>6091</v>
      </c>
      <c r="H2663" t="s">
        <v>6097</v>
      </c>
      <c r="I2663">
        <v>24</v>
      </c>
      <c r="J2663">
        <v>63</v>
      </c>
      <c r="K2663" t="s">
        <v>6099</v>
      </c>
      <c r="L2663" t="s">
        <v>6100</v>
      </c>
      <c r="M2663" t="s">
        <v>6099</v>
      </c>
      <c r="N2663">
        <v>3</v>
      </c>
      <c r="O2663" t="s">
        <v>6101</v>
      </c>
      <c r="P2663" t="s">
        <v>6110</v>
      </c>
      <c r="Q2663">
        <v>4</v>
      </c>
      <c r="R2663">
        <v>2026</v>
      </c>
      <c r="S2663" t="s">
        <v>6100</v>
      </c>
      <c r="T2663">
        <v>0</v>
      </c>
      <c r="U2663" t="s">
        <v>6019</v>
      </c>
      <c r="V2663">
        <v>1</v>
      </c>
    </row>
    <row r="2664" spans="1:22" x14ac:dyDescent="0.3">
      <c r="A2664" t="s">
        <v>2679</v>
      </c>
      <c r="B2664" s="2">
        <v>46137.717361111114</v>
      </c>
      <c r="C2664" s="2">
        <v>46137.963194444441</v>
      </c>
      <c r="D2664" t="s">
        <v>6022</v>
      </c>
      <c r="E2664" t="s">
        <v>6030</v>
      </c>
      <c r="F2664" t="s">
        <v>6034</v>
      </c>
      <c r="G2664" t="s">
        <v>6047</v>
      </c>
      <c r="H2664" t="s">
        <v>6098</v>
      </c>
      <c r="I2664">
        <v>24</v>
      </c>
      <c r="J2664">
        <v>5.9</v>
      </c>
      <c r="K2664" t="s">
        <v>6099</v>
      </c>
      <c r="L2664" t="s">
        <v>6100</v>
      </c>
      <c r="M2664" t="s">
        <v>6100</v>
      </c>
      <c r="N2664">
        <v>5</v>
      </c>
      <c r="O2664" t="s">
        <v>6101</v>
      </c>
      <c r="P2664" t="s">
        <v>6110</v>
      </c>
      <c r="Q2664">
        <v>4</v>
      </c>
      <c r="R2664">
        <v>2026</v>
      </c>
      <c r="S2664" t="s">
        <v>6099</v>
      </c>
      <c r="T2664">
        <v>1</v>
      </c>
      <c r="U2664" t="s">
        <v>6018</v>
      </c>
      <c r="V2664">
        <v>1</v>
      </c>
    </row>
    <row r="2665" spans="1:22" x14ac:dyDescent="0.3">
      <c r="A2665" t="s">
        <v>2680</v>
      </c>
      <c r="B2665" s="2">
        <v>46137.768055555556</v>
      </c>
      <c r="C2665" s="2">
        <v>46140.713888888888</v>
      </c>
      <c r="D2665" t="s">
        <v>6026</v>
      </c>
      <c r="E2665" t="s">
        <v>6032</v>
      </c>
      <c r="F2665" t="s">
        <v>6034</v>
      </c>
      <c r="G2665" t="s">
        <v>6060</v>
      </c>
      <c r="H2665" t="s">
        <v>6097</v>
      </c>
      <c r="I2665">
        <v>24</v>
      </c>
      <c r="J2665">
        <v>70.7</v>
      </c>
      <c r="K2665" t="s">
        <v>6099</v>
      </c>
      <c r="L2665" t="s">
        <v>6100</v>
      </c>
      <c r="M2665" t="s">
        <v>6100</v>
      </c>
      <c r="O2665" t="s">
        <v>6101</v>
      </c>
      <c r="P2665" t="s">
        <v>6110</v>
      </c>
      <c r="Q2665">
        <v>4</v>
      </c>
      <c r="R2665">
        <v>2026</v>
      </c>
      <c r="S2665" t="s">
        <v>6100</v>
      </c>
      <c r="T2665">
        <v>0</v>
      </c>
      <c r="U2665" t="s">
        <v>6021</v>
      </c>
      <c r="V2665">
        <v>1</v>
      </c>
    </row>
    <row r="2666" spans="1:22" x14ac:dyDescent="0.3">
      <c r="A2666" t="s">
        <v>2681</v>
      </c>
      <c r="B2666" s="2">
        <v>46138.25</v>
      </c>
      <c r="C2666" s="2">
        <v>46139.1875</v>
      </c>
      <c r="D2666" t="s">
        <v>6022</v>
      </c>
      <c r="E2666" t="s">
        <v>6032</v>
      </c>
      <c r="F2666" t="s">
        <v>6033</v>
      </c>
      <c r="G2666" t="s">
        <v>6039</v>
      </c>
      <c r="H2666" t="s">
        <v>6097</v>
      </c>
      <c r="I2666">
        <v>72</v>
      </c>
      <c r="J2666">
        <v>22.5</v>
      </c>
      <c r="K2666" t="s">
        <v>6099</v>
      </c>
      <c r="L2666" t="s">
        <v>6100</v>
      </c>
      <c r="M2666" t="s">
        <v>6100</v>
      </c>
      <c r="N2666">
        <v>4</v>
      </c>
      <c r="O2666" t="s">
        <v>6101</v>
      </c>
      <c r="P2666" t="s">
        <v>6110</v>
      </c>
      <c r="Q2666">
        <v>4</v>
      </c>
      <c r="R2666">
        <v>2026</v>
      </c>
      <c r="S2666" t="s">
        <v>6099</v>
      </c>
      <c r="T2666">
        <v>1</v>
      </c>
      <c r="U2666" t="s">
        <v>6018</v>
      </c>
      <c r="V2666">
        <v>1</v>
      </c>
    </row>
    <row r="2667" spans="1:22" x14ac:dyDescent="0.3">
      <c r="A2667" t="s">
        <v>2682</v>
      </c>
      <c r="B2667" s="2">
        <v>46138.34097222222</v>
      </c>
      <c r="C2667" s="2">
        <v>46141.857638888891</v>
      </c>
      <c r="D2667" t="s">
        <v>6025</v>
      </c>
      <c r="E2667" t="s">
        <v>6031</v>
      </c>
      <c r="F2667" t="s">
        <v>6033</v>
      </c>
      <c r="G2667" t="s">
        <v>6053</v>
      </c>
      <c r="H2667" t="s">
        <v>6097</v>
      </c>
      <c r="I2667">
        <v>72</v>
      </c>
      <c r="J2667">
        <v>84.4</v>
      </c>
      <c r="K2667" t="s">
        <v>6099</v>
      </c>
      <c r="L2667" t="s">
        <v>6100</v>
      </c>
      <c r="M2667" t="s">
        <v>6100</v>
      </c>
      <c r="O2667" t="s">
        <v>6101</v>
      </c>
      <c r="P2667" t="s">
        <v>6110</v>
      </c>
      <c r="Q2667">
        <v>4</v>
      </c>
      <c r="R2667">
        <v>2026</v>
      </c>
      <c r="S2667" t="s">
        <v>6100</v>
      </c>
      <c r="T2667">
        <v>0</v>
      </c>
      <c r="U2667" t="s">
        <v>6020</v>
      </c>
      <c r="V2667">
        <v>1</v>
      </c>
    </row>
    <row r="2668" spans="1:22" x14ac:dyDescent="0.3">
      <c r="A2668" t="s">
        <v>2683</v>
      </c>
      <c r="B2668" s="2">
        <v>46138.347916666666</v>
      </c>
      <c r="C2668" s="2">
        <v>46138.981249999997</v>
      </c>
      <c r="D2668" t="s">
        <v>6024</v>
      </c>
      <c r="E2668" t="s">
        <v>6029</v>
      </c>
      <c r="F2668" t="s">
        <v>6033</v>
      </c>
      <c r="G2668" t="s">
        <v>6091</v>
      </c>
      <c r="H2668" t="s">
        <v>6097</v>
      </c>
      <c r="I2668">
        <v>72</v>
      </c>
      <c r="J2668">
        <v>15.2</v>
      </c>
      <c r="K2668" t="s">
        <v>6099</v>
      </c>
      <c r="L2668" t="s">
        <v>6100</v>
      </c>
      <c r="M2668" t="s">
        <v>6100</v>
      </c>
      <c r="N2668">
        <v>5</v>
      </c>
      <c r="O2668" t="s">
        <v>6101</v>
      </c>
      <c r="P2668" t="s">
        <v>6110</v>
      </c>
      <c r="Q2668">
        <v>4</v>
      </c>
      <c r="R2668">
        <v>2026</v>
      </c>
      <c r="S2668" t="s">
        <v>6099</v>
      </c>
      <c r="T2668">
        <v>1</v>
      </c>
      <c r="U2668" t="s">
        <v>6020</v>
      </c>
      <c r="V2668">
        <v>1</v>
      </c>
    </row>
    <row r="2669" spans="1:22" x14ac:dyDescent="0.3">
      <c r="A2669" t="s">
        <v>2684</v>
      </c>
      <c r="B2669" s="2">
        <v>46138.35</v>
      </c>
      <c r="C2669" s="2">
        <v>46138.929166666669</v>
      </c>
      <c r="D2669" t="s">
        <v>6023</v>
      </c>
      <c r="E2669" t="s">
        <v>6029</v>
      </c>
      <c r="F2669" t="s">
        <v>6034</v>
      </c>
      <c r="G2669" t="s">
        <v>6094</v>
      </c>
      <c r="H2669" t="s">
        <v>6098</v>
      </c>
      <c r="I2669">
        <v>24</v>
      </c>
      <c r="J2669">
        <v>13.9</v>
      </c>
      <c r="K2669" t="s">
        <v>6100</v>
      </c>
      <c r="L2669" t="s">
        <v>6099</v>
      </c>
      <c r="M2669" t="s">
        <v>6100</v>
      </c>
      <c r="N2669">
        <v>4</v>
      </c>
      <c r="O2669" t="s">
        <v>6101</v>
      </c>
      <c r="P2669" t="s">
        <v>6110</v>
      </c>
      <c r="Q2669">
        <v>4</v>
      </c>
      <c r="R2669">
        <v>2026</v>
      </c>
      <c r="S2669" t="s">
        <v>6099</v>
      </c>
      <c r="T2669">
        <v>1</v>
      </c>
      <c r="U2669" t="s">
        <v>6020</v>
      </c>
      <c r="V2669">
        <v>0</v>
      </c>
    </row>
    <row r="2670" spans="1:22" x14ac:dyDescent="0.3">
      <c r="A2670" t="s">
        <v>2685</v>
      </c>
      <c r="B2670" s="2">
        <v>46138.377083333333</v>
      </c>
      <c r="C2670" s="2">
        <v>46139.177083333336</v>
      </c>
      <c r="D2670" t="s">
        <v>6023</v>
      </c>
      <c r="E2670" t="s">
        <v>6030</v>
      </c>
      <c r="F2670" t="s">
        <v>6034</v>
      </c>
      <c r="G2670" t="s">
        <v>6048</v>
      </c>
      <c r="H2670" t="s">
        <v>6096</v>
      </c>
      <c r="I2670">
        <v>24</v>
      </c>
      <c r="J2670">
        <v>19.2</v>
      </c>
      <c r="K2670" t="s">
        <v>6100</v>
      </c>
      <c r="L2670" t="s">
        <v>6099</v>
      </c>
      <c r="M2670" t="s">
        <v>6100</v>
      </c>
      <c r="N2670">
        <v>3</v>
      </c>
      <c r="O2670" t="s">
        <v>6101</v>
      </c>
      <c r="P2670" t="s">
        <v>6110</v>
      </c>
      <c r="Q2670">
        <v>4</v>
      </c>
      <c r="R2670">
        <v>2026</v>
      </c>
      <c r="S2670" t="s">
        <v>6099</v>
      </c>
      <c r="T2670">
        <v>1</v>
      </c>
      <c r="U2670" t="s">
        <v>6017</v>
      </c>
      <c r="V2670">
        <v>0</v>
      </c>
    </row>
    <row r="2671" spans="1:22" x14ac:dyDescent="0.3">
      <c r="A2671" t="s">
        <v>2686</v>
      </c>
      <c r="B2671" s="2">
        <v>46138.407638888886</v>
      </c>
      <c r="C2671" s="2">
        <v>46138.71597222222</v>
      </c>
      <c r="D2671" t="s">
        <v>6028</v>
      </c>
      <c r="E2671" t="s">
        <v>6029</v>
      </c>
      <c r="F2671" t="s">
        <v>6033</v>
      </c>
      <c r="G2671" t="s">
        <v>6042</v>
      </c>
      <c r="H2671" t="s">
        <v>6098</v>
      </c>
      <c r="I2671">
        <v>72</v>
      </c>
      <c r="J2671">
        <v>7.4</v>
      </c>
      <c r="K2671" t="s">
        <v>6099</v>
      </c>
      <c r="L2671" t="s">
        <v>6100</v>
      </c>
      <c r="M2671" t="s">
        <v>6099</v>
      </c>
      <c r="O2671" t="s">
        <v>6101</v>
      </c>
      <c r="P2671" t="s">
        <v>6110</v>
      </c>
      <c r="Q2671">
        <v>4</v>
      </c>
      <c r="R2671">
        <v>2026</v>
      </c>
      <c r="S2671" t="s">
        <v>6099</v>
      </c>
      <c r="T2671">
        <v>1</v>
      </c>
      <c r="U2671" t="s">
        <v>6019</v>
      </c>
      <c r="V2671">
        <v>1</v>
      </c>
    </row>
    <row r="2672" spans="1:22" x14ac:dyDescent="0.3">
      <c r="A2672" t="s">
        <v>2687</v>
      </c>
      <c r="B2672" s="2">
        <v>46138.45416666667</v>
      </c>
      <c r="C2672" s="2">
        <v>46138.82916666667</v>
      </c>
      <c r="D2672" t="s">
        <v>6023</v>
      </c>
      <c r="E2672" t="s">
        <v>6029</v>
      </c>
      <c r="F2672" t="s">
        <v>6033</v>
      </c>
      <c r="G2672" t="s">
        <v>6042</v>
      </c>
      <c r="H2672" t="s">
        <v>6098</v>
      </c>
      <c r="I2672">
        <v>72</v>
      </c>
      <c r="J2672">
        <v>9</v>
      </c>
      <c r="K2672" t="s">
        <v>6099</v>
      </c>
      <c r="L2672" t="s">
        <v>6100</v>
      </c>
      <c r="M2672" t="s">
        <v>6100</v>
      </c>
      <c r="N2672">
        <v>5</v>
      </c>
      <c r="O2672" t="s">
        <v>6101</v>
      </c>
      <c r="P2672" t="s">
        <v>6110</v>
      </c>
      <c r="Q2672">
        <v>4</v>
      </c>
      <c r="R2672">
        <v>2026</v>
      </c>
      <c r="S2672" t="s">
        <v>6099</v>
      </c>
      <c r="T2672">
        <v>1</v>
      </c>
      <c r="U2672" t="s">
        <v>6019</v>
      </c>
      <c r="V2672">
        <v>1</v>
      </c>
    </row>
    <row r="2673" spans="1:22" x14ac:dyDescent="0.3">
      <c r="A2673" t="s">
        <v>2688</v>
      </c>
      <c r="B2673" s="2">
        <v>46138.536805555559</v>
      </c>
      <c r="C2673" s="2">
        <v>46145.357638888891</v>
      </c>
      <c r="D2673" t="s">
        <v>6026</v>
      </c>
      <c r="E2673" t="s">
        <v>6031</v>
      </c>
      <c r="F2673" t="s">
        <v>6034</v>
      </c>
      <c r="G2673" t="s">
        <v>6044</v>
      </c>
      <c r="H2673" t="s">
        <v>6097</v>
      </c>
      <c r="I2673">
        <v>24</v>
      </c>
      <c r="J2673">
        <v>163.69999999999999</v>
      </c>
      <c r="K2673" t="s">
        <v>6100</v>
      </c>
      <c r="L2673" t="s">
        <v>6099</v>
      </c>
      <c r="M2673" t="s">
        <v>6100</v>
      </c>
      <c r="N2673">
        <v>3</v>
      </c>
      <c r="O2673" t="s">
        <v>6101</v>
      </c>
      <c r="P2673" t="s">
        <v>6110</v>
      </c>
      <c r="Q2673">
        <v>4</v>
      </c>
      <c r="R2673">
        <v>2026</v>
      </c>
      <c r="S2673" t="s">
        <v>6100</v>
      </c>
      <c r="T2673">
        <v>0</v>
      </c>
      <c r="U2673" t="s">
        <v>6017</v>
      </c>
      <c r="V2673">
        <v>0</v>
      </c>
    </row>
    <row r="2674" spans="1:22" x14ac:dyDescent="0.3">
      <c r="A2674" t="s">
        <v>2689</v>
      </c>
      <c r="B2674" s="2">
        <v>46138.571527777778</v>
      </c>
      <c r="C2674" s="2">
        <v>46139.863194444442</v>
      </c>
      <c r="D2674" t="s">
        <v>6026</v>
      </c>
      <c r="E2674" t="s">
        <v>6029</v>
      </c>
      <c r="F2674" t="s">
        <v>6034</v>
      </c>
      <c r="G2674" t="s">
        <v>6071</v>
      </c>
      <c r="H2674" t="s">
        <v>6098</v>
      </c>
      <c r="I2674">
        <v>24</v>
      </c>
      <c r="J2674">
        <v>31</v>
      </c>
      <c r="K2674" t="s">
        <v>6100</v>
      </c>
      <c r="L2674" t="s">
        <v>6100</v>
      </c>
      <c r="M2674" t="s">
        <v>6100</v>
      </c>
      <c r="O2674" t="s">
        <v>6101</v>
      </c>
      <c r="P2674" t="s">
        <v>6110</v>
      </c>
      <c r="Q2674">
        <v>4</v>
      </c>
      <c r="R2674">
        <v>2026</v>
      </c>
      <c r="S2674" t="s">
        <v>6100</v>
      </c>
      <c r="T2674">
        <v>0</v>
      </c>
      <c r="U2674" t="s">
        <v>6017</v>
      </c>
      <c r="V2674">
        <v>0</v>
      </c>
    </row>
    <row r="2675" spans="1:22" x14ac:dyDescent="0.3">
      <c r="A2675" t="s">
        <v>2690</v>
      </c>
      <c r="B2675" s="2">
        <v>46138.588194444441</v>
      </c>
      <c r="C2675" s="2">
        <v>46138.72152777778</v>
      </c>
      <c r="D2675" t="s">
        <v>6022</v>
      </c>
      <c r="E2675" t="s">
        <v>6030</v>
      </c>
      <c r="F2675" t="s">
        <v>6034</v>
      </c>
      <c r="G2675" t="s">
        <v>6043</v>
      </c>
      <c r="H2675" t="s">
        <v>6097</v>
      </c>
      <c r="I2675">
        <v>24</v>
      </c>
      <c r="J2675">
        <v>3.2</v>
      </c>
      <c r="K2675" t="s">
        <v>6099</v>
      </c>
      <c r="L2675" t="s">
        <v>6100</v>
      </c>
      <c r="M2675" t="s">
        <v>6100</v>
      </c>
      <c r="O2675" t="s">
        <v>6101</v>
      </c>
      <c r="P2675" t="s">
        <v>6110</v>
      </c>
      <c r="Q2675">
        <v>4</v>
      </c>
      <c r="R2675">
        <v>2026</v>
      </c>
      <c r="S2675" t="s">
        <v>6099</v>
      </c>
      <c r="T2675">
        <v>1</v>
      </c>
      <c r="U2675" t="s">
        <v>6020</v>
      </c>
      <c r="V2675">
        <v>1</v>
      </c>
    </row>
    <row r="2676" spans="1:22" x14ac:dyDescent="0.3">
      <c r="A2676" t="s">
        <v>2691</v>
      </c>
      <c r="B2676" s="2">
        <v>46138.616666666669</v>
      </c>
      <c r="C2676" s="2">
        <v>46139.762499999997</v>
      </c>
      <c r="D2676" t="s">
        <v>6024</v>
      </c>
      <c r="E2676" t="s">
        <v>6030</v>
      </c>
      <c r="F2676" t="s">
        <v>6034</v>
      </c>
      <c r="G2676" t="s">
        <v>6087</v>
      </c>
      <c r="H2676" t="s">
        <v>6098</v>
      </c>
      <c r="I2676">
        <v>24</v>
      </c>
      <c r="J2676">
        <v>27.5</v>
      </c>
      <c r="K2676" t="s">
        <v>6099</v>
      </c>
      <c r="L2676" t="s">
        <v>6100</v>
      </c>
      <c r="M2676" t="s">
        <v>6100</v>
      </c>
      <c r="O2676" t="s">
        <v>6101</v>
      </c>
      <c r="P2676" t="s">
        <v>6110</v>
      </c>
      <c r="Q2676">
        <v>4</v>
      </c>
      <c r="R2676">
        <v>2026</v>
      </c>
      <c r="S2676" t="s">
        <v>6100</v>
      </c>
      <c r="T2676">
        <v>0</v>
      </c>
      <c r="U2676" t="s">
        <v>6021</v>
      </c>
      <c r="V2676">
        <v>1</v>
      </c>
    </row>
    <row r="2677" spans="1:22" x14ac:dyDescent="0.3">
      <c r="A2677" t="s">
        <v>2692</v>
      </c>
      <c r="B2677" s="2">
        <v>46138.636805555558</v>
      </c>
      <c r="C2677" s="2">
        <v>46138.770138888889</v>
      </c>
      <c r="D2677" t="s">
        <v>6023</v>
      </c>
      <c r="E2677" t="s">
        <v>6030</v>
      </c>
      <c r="F2677" t="s">
        <v>6033</v>
      </c>
      <c r="G2677" t="s">
        <v>6053</v>
      </c>
      <c r="H2677" t="s">
        <v>6097</v>
      </c>
      <c r="I2677">
        <v>72</v>
      </c>
      <c r="J2677">
        <v>3.2</v>
      </c>
      <c r="K2677" t="s">
        <v>6099</v>
      </c>
      <c r="L2677" t="s">
        <v>6100</v>
      </c>
      <c r="M2677" t="s">
        <v>6100</v>
      </c>
      <c r="O2677" t="s">
        <v>6101</v>
      </c>
      <c r="P2677" t="s">
        <v>6110</v>
      </c>
      <c r="Q2677">
        <v>4</v>
      </c>
      <c r="R2677">
        <v>2026</v>
      </c>
      <c r="S2677" t="s">
        <v>6099</v>
      </c>
      <c r="T2677">
        <v>1</v>
      </c>
      <c r="U2677" t="s">
        <v>6018</v>
      </c>
      <c r="V2677">
        <v>1</v>
      </c>
    </row>
    <row r="2678" spans="1:22" x14ac:dyDescent="0.3">
      <c r="A2678" t="s">
        <v>2693</v>
      </c>
      <c r="B2678" s="2">
        <v>46138.650694444441</v>
      </c>
      <c r="C2678" s="2">
        <v>46139.188194444447</v>
      </c>
      <c r="D2678" t="s">
        <v>6025</v>
      </c>
      <c r="E2678" t="s">
        <v>6030</v>
      </c>
      <c r="F2678" t="s">
        <v>6033</v>
      </c>
      <c r="G2678" t="s">
        <v>6063</v>
      </c>
      <c r="H2678" t="s">
        <v>6097</v>
      </c>
      <c r="I2678">
        <v>72</v>
      </c>
      <c r="J2678">
        <v>12.9</v>
      </c>
      <c r="K2678" t="s">
        <v>6100</v>
      </c>
      <c r="L2678" t="s">
        <v>6099</v>
      </c>
      <c r="M2678" t="s">
        <v>6100</v>
      </c>
      <c r="N2678">
        <v>4</v>
      </c>
      <c r="O2678" t="s">
        <v>6101</v>
      </c>
      <c r="P2678" t="s">
        <v>6110</v>
      </c>
      <c r="Q2678">
        <v>4</v>
      </c>
      <c r="R2678">
        <v>2026</v>
      </c>
      <c r="S2678" t="s">
        <v>6099</v>
      </c>
      <c r="T2678">
        <v>1</v>
      </c>
      <c r="U2678" t="s">
        <v>6021</v>
      </c>
      <c r="V2678">
        <v>0</v>
      </c>
    </row>
    <row r="2679" spans="1:22" x14ac:dyDescent="0.3">
      <c r="A2679" t="s">
        <v>2694</v>
      </c>
      <c r="B2679" s="2">
        <v>46138.660416666666</v>
      </c>
      <c r="C2679" s="2">
        <v>46139.28125</v>
      </c>
      <c r="D2679" t="s">
        <v>6028</v>
      </c>
      <c r="E2679" t="s">
        <v>6031</v>
      </c>
      <c r="F2679" t="s">
        <v>6034</v>
      </c>
      <c r="G2679" t="s">
        <v>6068</v>
      </c>
      <c r="H2679" t="s">
        <v>6098</v>
      </c>
      <c r="I2679">
        <v>24</v>
      </c>
      <c r="J2679">
        <v>14.9</v>
      </c>
      <c r="K2679" t="s">
        <v>6099</v>
      </c>
      <c r="L2679" t="s">
        <v>6100</v>
      </c>
      <c r="M2679" t="s">
        <v>6100</v>
      </c>
      <c r="N2679">
        <v>4</v>
      </c>
      <c r="O2679" t="s">
        <v>6101</v>
      </c>
      <c r="P2679" t="s">
        <v>6110</v>
      </c>
      <c r="Q2679">
        <v>4</v>
      </c>
      <c r="R2679">
        <v>2026</v>
      </c>
      <c r="S2679" t="s">
        <v>6099</v>
      </c>
      <c r="T2679">
        <v>1</v>
      </c>
      <c r="U2679" t="s">
        <v>6020</v>
      </c>
      <c r="V2679">
        <v>1</v>
      </c>
    </row>
    <row r="2680" spans="1:22" x14ac:dyDescent="0.3">
      <c r="A2680" t="s">
        <v>2695</v>
      </c>
      <c r="B2680" s="2">
        <v>46138.695138888892</v>
      </c>
      <c r="C2680" s="2">
        <v>46139.282638888886</v>
      </c>
      <c r="D2680" t="s">
        <v>6023</v>
      </c>
      <c r="E2680" t="s">
        <v>6030</v>
      </c>
      <c r="F2680" t="s">
        <v>6034</v>
      </c>
      <c r="G2680" t="s">
        <v>6091</v>
      </c>
      <c r="H2680" t="s">
        <v>6097</v>
      </c>
      <c r="I2680">
        <v>24</v>
      </c>
      <c r="J2680">
        <v>14.1</v>
      </c>
      <c r="K2680" t="s">
        <v>6099</v>
      </c>
      <c r="L2680" t="s">
        <v>6100</v>
      </c>
      <c r="M2680" t="s">
        <v>6100</v>
      </c>
      <c r="N2680">
        <v>5</v>
      </c>
      <c r="O2680" t="s">
        <v>6101</v>
      </c>
      <c r="P2680" t="s">
        <v>6110</v>
      </c>
      <c r="Q2680">
        <v>4</v>
      </c>
      <c r="R2680">
        <v>2026</v>
      </c>
      <c r="S2680" t="s">
        <v>6099</v>
      </c>
      <c r="T2680">
        <v>1</v>
      </c>
      <c r="U2680" t="s">
        <v>6021</v>
      </c>
      <c r="V2680">
        <v>1</v>
      </c>
    </row>
    <row r="2681" spans="1:22" x14ac:dyDescent="0.3">
      <c r="A2681" t="s">
        <v>2696</v>
      </c>
      <c r="B2681" s="2">
        <v>46138.720833333333</v>
      </c>
      <c r="C2681" s="2">
        <v>46146.820833333331</v>
      </c>
      <c r="D2681" t="s">
        <v>6026</v>
      </c>
      <c r="E2681" t="s">
        <v>6031</v>
      </c>
      <c r="F2681" t="s">
        <v>6034</v>
      </c>
      <c r="G2681" t="s">
        <v>6051</v>
      </c>
      <c r="H2681" t="s">
        <v>6097</v>
      </c>
      <c r="I2681">
        <v>24</v>
      </c>
      <c r="J2681">
        <v>194.4</v>
      </c>
      <c r="K2681" t="s">
        <v>6099</v>
      </c>
      <c r="L2681" t="s">
        <v>6100</v>
      </c>
      <c r="M2681" t="s">
        <v>6100</v>
      </c>
      <c r="O2681" t="s">
        <v>6101</v>
      </c>
      <c r="P2681" t="s">
        <v>6110</v>
      </c>
      <c r="Q2681">
        <v>4</v>
      </c>
      <c r="R2681">
        <v>2026</v>
      </c>
      <c r="S2681" t="s">
        <v>6100</v>
      </c>
      <c r="T2681">
        <v>0</v>
      </c>
      <c r="U2681" t="s">
        <v>6021</v>
      </c>
      <c r="V2681">
        <v>1</v>
      </c>
    </row>
    <row r="2682" spans="1:22" x14ac:dyDescent="0.3">
      <c r="A2682" t="s">
        <v>2697</v>
      </c>
      <c r="B2682" s="2">
        <v>46138.727777777778</v>
      </c>
      <c r="C2682" s="2">
        <v>46143.823611111111</v>
      </c>
      <c r="D2682" t="s">
        <v>6025</v>
      </c>
      <c r="E2682" t="s">
        <v>6031</v>
      </c>
      <c r="F2682" t="s">
        <v>6033</v>
      </c>
      <c r="G2682" t="s">
        <v>6092</v>
      </c>
      <c r="H2682" t="s">
        <v>6097</v>
      </c>
      <c r="I2682">
        <v>72</v>
      </c>
      <c r="J2682">
        <v>122.3</v>
      </c>
      <c r="K2682" t="s">
        <v>6099</v>
      </c>
      <c r="L2682" t="s">
        <v>6100</v>
      </c>
      <c r="M2682" t="s">
        <v>6100</v>
      </c>
      <c r="O2682" t="s">
        <v>6101</v>
      </c>
      <c r="P2682" t="s">
        <v>6110</v>
      </c>
      <c r="Q2682">
        <v>4</v>
      </c>
      <c r="R2682">
        <v>2026</v>
      </c>
      <c r="S2682" t="s">
        <v>6100</v>
      </c>
      <c r="T2682">
        <v>0</v>
      </c>
      <c r="U2682" t="s">
        <v>6017</v>
      </c>
      <c r="V2682">
        <v>1</v>
      </c>
    </row>
    <row r="2683" spans="1:22" x14ac:dyDescent="0.3">
      <c r="A2683" t="s">
        <v>2698</v>
      </c>
      <c r="B2683" s="2">
        <v>46138.729861111111</v>
      </c>
      <c r="C2683" s="2">
        <v>46139.059027777781</v>
      </c>
      <c r="D2683" t="s">
        <v>6024</v>
      </c>
      <c r="E2683" t="s">
        <v>6029</v>
      </c>
      <c r="F2683" t="s">
        <v>6035</v>
      </c>
      <c r="G2683" t="s">
        <v>6054</v>
      </c>
      <c r="H2683" t="s">
        <v>6096</v>
      </c>
      <c r="I2683">
        <v>4</v>
      </c>
      <c r="J2683">
        <v>7.9</v>
      </c>
      <c r="K2683" t="s">
        <v>6099</v>
      </c>
      <c r="L2683" t="s">
        <v>6100</v>
      </c>
      <c r="M2683" t="s">
        <v>6100</v>
      </c>
      <c r="N2683">
        <v>2</v>
      </c>
      <c r="O2683" t="s">
        <v>6101</v>
      </c>
      <c r="P2683" t="s">
        <v>6110</v>
      </c>
      <c r="Q2683">
        <v>4</v>
      </c>
      <c r="R2683">
        <v>2026</v>
      </c>
      <c r="S2683" t="s">
        <v>6100</v>
      </c>
      <c r="T2683">
        <v>0</v>
      </c>
      <c r="U2683" t="s">
        <v>6018</v>
      </c>
      <c r="V2683">
        <v>1</v>
      </c>
    </row>
    <row r="2684" spans="1:22" x14ac:dyDescent="0.3">
      <c r="A2684" t="s">
        <v>2699</v>
      </c>
      <c r="B2684" s="2">
        <v>46138.769444444442</v>
      </c>
      <c r="C2684" s="2">
        <v>46138.956944444442</v>
      </c>
      <c r="D2684" t="s">
        <v>6027</v>
      </c>
      <c r="E2684" t="s">
        <v>6030</v>
      </c>
      <c r="F2684" t="s">
        <v>6033</v>
      </c>
      <c r="G2684" t="s">
        <v>6057</v>
      </c>
      <c r="H2684" t="s">
        <v>6097</v>
      </c>
      <c r="I2684">
        <v>72</v>
      </c>
      <c r="J2684">
        <v>4.5</v>
      </c>
      <c r="K2684" t="s">
        <v>6099</v>
      </c>
      <c r="L2684" t="s">
        <v>6100</v>
      </c>
      <c r="M2684" t="s">
        <v>6100</v>
      </c>
      <c r="O2684" t="s">
        <v>6101</v>
      </c>
      <c r="P2684" t="s">
        <v>6110</v>
      </c>
      <c r="Q2684">
        <v>4</v>
      </c>
      <c r="R2684">
        <v>2026</v>
      </c>
      <c r="S2684" t="s">
        <v>6099</v>
      </c>
      <c r="T2684">
        <v>1</v>
      </c>
      <c r="U2684" t="s">
        <v>6018</v>
      </c>
      <c r="V2684">
        <v>1</v>
      </c>
    </row>
    <row r="2685" spans="1:22" x14ac:dyDescent="0.3">
      <c r="A2685" t="s">
        <v>2700</v>
      </c>
      <c r="B2685" s="2">
        <v>46138.772916666669</v>
      </c>
      <c r="C2685" s="2">
        <v>46143.102083333331</v>
      </c>
      <c r="D2685" t="s">
        <v>6025</v>
      </c>
      <c r="E2685" t="s">
        <v>6032</v>
      </c>
      <c r="F2685" t="s">
        <v>6034</v>
      </c>
      <c r="G2685" t="s">
        <v>6071</v>
      </c>
      <c r="H2685" t="s">
        <v>6098</v>
      </c>
      <c r="I2685">
        <v>24</v>
      </c>
      <c r="J2685">
        <v>103.9</v>
      </c>
      <c r="K2685" t="s">
        <v>6099</v>
      </c>
      <c r="L2685" t="s">
        <v>6100</v>
      </c>
      <c r="M2685" t="s">
        <v>6100</v>
      </c>
      <c r="O2685" t="s">
        <v>6101</v>
      </c>
      <c r="P2685" t="s">
        <v>6110</v>
      </c>
      <c r="Q2685">
        <v>4</v>
      </c>
      <c r="R2685">
        <v>2026</v>
      </c>
      <c r="S2685" t="s">
        <v>6100</v>
      </c>
      <c r="T2685">
        <v>0</v>
      </c>
      <c r="U2685" t="s">
        <v>6021</v>
      </c>
      <c r="V2685">
        <v>1</v>
      </c>
    </row>
    <row r="2686" spans="1:22" x14ac:dyDescent="0.3">
      <c r="A2686" t="s">
        <v>2701</v>
      </c>
      <c r="B2686" s="2">
        <v>46138.781944444447</v>
      </c>
      <c r="C2686" s="2">
        <v>46139.181944444441</v>
      </c>
      <c r="D2686" t="s">
        <v>6023</v>
      </c>
      <c r="E2686" t="s">
        <v>6030</v>
      </c>
      <c r="F2686" t="s">
        <v>6033</v>
      </c>
      <c r="G2686" t="s">
        <v>6067</v>
      </c>
      <c r="H2686" t="s">
        <v>6098</v>
      </c>
      <c r="I2686">
        <v>72</v>
      </c>
      <c r="J2686">
        <v>9.6</v>
      </c>
      <c r="K2686" t="s">
        <v>6099</v>
      </c>
      <c r="L2686" t="s">
        <v>6100</v>
      </c>
      <c r="M2686" t="s">
        <v>6100</v>
      </c>
      <c r="O2686" t="s">
        <v>6101</v>
      </c>
      <c r="P2686" t="s">
        <v>6110</v>
      </c>
      <c r="Q2686">
        <v>4</v>
      </c>
      <c r="R2686">
        <v>2026</v>
      </c>
      <c r="S2686" t="s">
        <v>6099</v>
      </c>
      <c r="T2686">
        <v>1</v>
      </c>
      <c r="U2686" t="s">
        <v>6017</v>
      </c>
      <c r="V2686">
        <v>1</v>
      </c>
    </row>
    <row r="2687" spans="1:22" x14ac:dyDescent="0.3">
      <c r="A2687" t="s">
        <v>2702</v>
      </c>
      <c r="B2687" s="2">
        <v>46139.127083333333</v>
      </c>
      <c r="C2687" s="2">
        <v>46140.652083333334</v>
      </c>
      <c r="D2687" t="s">
        <v>6025</v>
      </c>
      <c r="E2687" t="s">
        <v>6032</v>
      </c>
      <c r="F2687" t="s">
        <v>6034</v>
      </c>
      <c r="G2687" t="s">
        <v>6042</v>
      </c>
      <c r="H2687" t="s">
        <v>6098</v>
      </c>
      <c r="I2687">
        <v>24</v>
      </c>
      <c r="J2687">
        <v>36.6</v>
      </c>
      <c r="K2687" t="s">
        <v>6099</v>
      </c>
      <c r="L2687" t="s">
        <v>6100</v>
      </c>
      <c r="M2687" t="s">
        <v>6100</v>
      </c>
      <c r="N2687">
        <v>5</v>
      </c>
      <c r="O2687" t="s">
        <v>6101</v>
      </c>
      <c r="P2687" t="s">
        <v>6110</v>
      </c>
      <c r="Q2687">
        <v>4</v>
      </c>
      <c r="R2687">
        <v>2026</v>
      </c>
      <c r="S2687" t="s">
        <v>6100</v>
      </c>
      <c r="T2687">
        <v>0</v>
      </c>
      <c r="U2687" t="s">
        <v>6020</v>
      </c>
      <c r="V2687">
        <v>1</v>
      </c>
    </row>
    <row r="2688" spans="1:22" x14ac:dyDescent="0.3">
      <c r="A2688" t="s">
        <v>2703</v>
      </c>
      <c r="B2688" s="2">
        <v>46139.268750000003</v>
      </c>
      <c r="C2688" s="2">
        <v>46139.631249999999</v>
      </c>
      <c r="D2688" t="s">
        <v>6028</v>
      </c>
      <c r="E2688" t="s">
        <v>6029</v>
      </c>
      <c r="F2688" t="s">
        <v>6035</v>
      </c>
      <c r="G2688" t="s">
        <v>6037</v>
      </c>
      <c r="H2688" t="s">
        <v>6096</v>
      </c>
      <c r="I2688">
        <v>4</v>
      </c>
      <c r="J2688">
        <v>8.6999999999999993</v>
      </c>
      <c r="K2688" t="s">
        <v>6099</v>
      </c>
      <c r="L2688" t="s">
        <v>6100</v>
      </c>
      <c r="M2688" t="s">
        <v>6100</v>
      </c>
      <c r="O2688" t="s">
        <v>6101</v>
      </c>
      <c r="P2688" t="s">
        <v>6110</v>
      </c>
      <c r="Q2688">
        <v>4</v>
      </c>
      <c r="R2688">
        <v>2026</v>
      </c>
      <c r="S2688" t="s">
        <v>6100</v>
      </c>
      <c r="T2688">
        <v>0</v>
      </c>
      <c r="U2688" t="s">
        <v>6018</v>
      </c>
      <c r="V2688">
        <v>1</v>
      </c>
    </row>
    <row r="2689" spans="1:22" x14ac:dyDescent="0.3">
      <c r="A2689" t="s">
        <v>2704</v>
      </c>
      <c r="B2689" s="2">
        <v>46139.340277777781</v>
      </c>
      <c r="C2689" s="2">
        <v>46139.494444444441</v>
      </c>
      <c r="D2689" t="s">
        <v>6028</v>
      </c>
      <c r="E2689" t="s">
        <v>6029</v>
      </c>
      <c r="F2689" t="s">
        <v>6033</v>
      </c>
      <c r="G2689" t="s">
        <v>6049</v>
      </c>
      <c r="H2689" t="s">
        <v>6097</v>
      </c>
      <c r="I2689">
        <v>72</v>
      </c>
      <c r="J2689">
        <v>3.7</v>
      </c>
      <c r="K2689" t="s">
        <v>6099</v>
      </c>
      <c r="L2689" t="s">
        <v>6100</v>
      </c>
      <c r="M2689" t="s">
        <v>6100</v>
      </c>
      <c r="N2689">
        <v>4</v>
      </c>
      <c r="O2689" t="s">
        <v>6101</v>
      </c>
      <c r="P2689" t="s">
        <v>6110</v>
      </c>
      <c r="Q2689">
        <v>4</v>
      </c>
      <c r="R2689">
        <v>2026</v>
      </c>
      <c r="S2689" t="s">
        <v>6099</v>
      </c>
      <c r="T2689">
        <v>1</v>
      </c>
      <c r="U2689" t="s">
        <v>6018</v>
      </c>
      <c r="V2689">
        <v>1</v>
      </c>
    </row>
    <row r="2690" spans="1:22" x14ac:dyDescent="0.3">
      <c r="A2690" t="s">
        <v>2705</v>
      </c>
      <c r="B2690" s="2">
        <v>46139.376388888886</v>
      </c>
      <c r="C2690" s="2">
        <v>46140.076388888891</v>
      </c>
      <c r="D2690" t="s">
        <v>6024</v>
      </c>
      <c r="E2690" t="s">
        <v>6032</v>
      </c>
      <c r="F2690" t="s">
        <v>6034</v>
      </c>
      <c r="G2690" t="s">
        <v>6047</v>
      </c>
      <c r="H2690" t="s">
        <v>6098</v>
      </c>
      <c r="I2690">
        <v>24</v>
      </c>
      <c r="J2690">
        <v>16.8</v>
      </c>
      <c r="K2690" t="s">
        <v>6099</v>
      </c>
      <c r="L2690" t="s">
        <v>6100</v>
      </c>
      <c r="M2690" t="s">
        <v>6100</v>
      </c>
      <c r="N2690">
        <v>5</v>
      </c>
      <c r="O2690" t="s">
        <v>6101</v>
      </c>
      <c r="P2690" t="s">
        <v>6110</v>
      </c>
      <c r="Q2690">
        <v>4</v>
      </c>
      <c r="R2690">
        <v>2026</v>
      </c>
      <c r="S2690" t="s">
        <v>6099</v>
      </c>
      <c r="T2690">
        <v>1</v>
      </c>
      <c r="U2690" t="s">
        <v>6019</v>
      </c>
      <c r="V2690">
        <v>1</v>
      </c>
    </row>
    <row r="2691" spans="1:22" x14ac:dyDescent="0.3">
      <c r="A2691" t="s">
        <v>2706</v>
      </c>
      <c r="B2691" s="2">
        <v>46139.377083333333</v>
      </c>
      <c r="C2691" s="2">
        <v>46139.59375</v>
      </c>
      <c r="D2691" t="s">
        <v>6023</v>
      </c>
      <c r="E2691" t="s">
        <v>6029</v>
      </c>
      <c r="F2691" t="s">
        <v>6034</v>
      </c>
      <c r="G2691" t="s">
        <v>6069</v>
      </c>
      <c r="H2691" t="s">
        <v>6098</v>
      </c>
      <c r="I2691">
        <v>24</v>
      </c>
      <c r="J2691">
        <v>5.2</v>
      </c>
      <c r="K2691" t="s">
        <v>6100</v>
      </c>
      <c r="L2691" t="s">
        <v>6100</v>
      </c>
      <c r="M2691" t="s">
        <v>6100</v>
      </c>
      <c r="N2691">
        <v>4</v>
      </c>
      <c r="O2691" t="s">
        <v>6101</v>
      </c>
      <c r="P2691" t="s">
        <v>6110</v>
      </c>
      <c r="Q2691">
        <v>4</v>
      </c>
      <c r="R2691">
        <v>2026</v>
      </c>
      <c r="S2691" t="s">
        <v>6099</v>
      </c>
      <c r="T2691">
        <v>1</v>
      </c>
      <c r="U2691" t="s">
        <v>6017</v>
      </c>
      <c r="V2691">
        <v>0</v>
      </c>
    </row>
    <row r="2692" spans="1:22" x14ac:dyDescent="0.3">
      <c r="A2692" t="s">
        <v>2707</v>
      </c>
      <c r="B2692" s="2">
        <v>46139.402777777781</v>
      </c>
      <c r="C2692" s="2">
        <v>46140.423611111109</v>
      </c>
      <c r="D2692" t="s">
        <v>6026</v>
      </c>
      <c r="E2692" t="s">
        <v>6029</v>
      </c>
      <c r="F2692" t="s">
        <v>6035</v>
      </c>
      <c r="G2692" t="s">
        <v>6049</v>
      </c>
      <c r="H2692" t="s">
        <v>6097</v>
      </c>
      <c r="I2692">
        <v>4</v>
      </c>
      <c r="J2692">
        <v>24.5</v>
      </c>
      <c r="K2692" t="s">
        <v>6099</v>
      </c>
      <c r="L2692" t="s">
        <v>6100</v>
      </c>
      <c r="M2692" t="s">
        <v>6100</v>
      </c>
      <c r="O2692" t="s">
        <v>6101</v>
      </c>
      <c r="P2692" t="s">
        <v>6110</v>
      </c>
      <c r="Q2692">
        <v>4</v>
      </c>
      <c r="R2692">
        <v>2026</v>
      </c>
      <c r="S2692" t="s">
        <v>6100</v>
      </c>
      <c r="T2692">
        <v>0</v>
      </c>
      <c r="U2692" t="s">
        <v>6021</v>
      </c>
      <c r="V2692">
        <v>1</v>
      </c>
    </row>
    <row r="2693" spans="1:22" x14ac:dyDescent="0.3">
      <c r="A2693" t="s">
        <v>2708</v>
      </c>
      <c r="B2693" s="2">
        <v>46139.418055555558</v>
      </c>
      <c r="C2693" s="2">
        <v>46140.155555555553</v>
      </c>
      <c r="D2693" t="s">
        <v>6028</v>
      </c>
      <c r="E2693" t="s">
        <v>6031</v>
      </c>
      <c r="F2693" t="s">
        <v>6035</v>
      </c>
      <c r="G2693" t="s">
        <v>6041</v>
      </c>
      <c r="H2693" t="s">
        <v>6096</v>
      </c>
      <c r="I2693">
        <v>4</v>
      </c>
      <c r="J2693">
        <v>17.7</v>
      </c>
      <c r="K2693" t="s">
        <v>6099</v>
      </c>
      <c r="L2693" t="s">
        <v>6100</v>
      </c>
      <c r="M2693" t="s">
        <v>6099</v>
      </c>
      <c r="N2693">
        <v>2</v>
      </c>
      <c r="O2693" t="s">
        <v>6101</v>
      </c>
      <c r="P2693" t="s">
        <v>6110</v>
      </c>
      <c r="Q2693">
        <v>4</v>
      </c>
      <c r="R2693">
        <v>2026</v>
      </c>
      <c r="S2693" t="s">
        <v>6100</v>
      </c>
      <c r="T2693">
        <v>0</v>
      </c>
      <c r="U2693" t="s">
        <v>6018</v>
      </c>
      <c r="V2693">
        <v>1</v>
      </c>
    </row>
    <row r="2694" spans="1:22" x14ac:dyDescent="0.3">
      <c r="A2694" t="s">
        <v>2709</v>
      </c>
      <c r="B2694" s="2">
        <v>46139.51666666667</v>
      </c>
      <c r="C2694" s="2">
        <v>46140.841666666667</v>
      </c>
      <c r="D2694" t="s">
        <v>6025</v>
      </c>
      <c r="E2694" t="s">
        <v>6032</v>
      </c>
      <c r="F2694" t="s">
        <v>6034</v>
      </c>
      <c r="G2694" t="s">
        <v>6038</v>
      </c>
      <c r="H2694" t="s">
        <v>6096</v>
      </c>
      <c r="I2694">
        <v>24</v>
      </c>
      <c r="J2694">
        <v>31.8</v>
      </c>
      <c r="K2694" t="s">
        <v>6099</v>
      </c>
      <c r="L2694" t="s">
        <v>6100</v>
      </c>
      <c r="M2694" t="s">
        <v>6100</v>
      </c>
      <c r="N2694">
        <v>3</v>
      </c>
      <c r="O2694" t="s">
        <v>6101</v>
      </c>
      <c r="P2694" t="s">
        <v>6110</v>
      </c>
      <c r="Q2694">
        <v>4</v>
      </c>
      <c r="R2694">
        <v>2026</v>
      </c>
      <c r="S2694" t="s">
        <v>6100</v>
      </c>
      <c r="T2694">
        <v>0</v>
      </c>
      <c r="U2694" t="s">
        <v>6021</v>
      </c>
      <c r="V2694">
        <v>1</v>
      </c>
    </row>
    <row r="2695" spans="1:22" x14ac:dyDescent="0.3">
      <c r="A2695" t="s">
        <v>2710</v>
      </c>
      <c r="B2695" s="2">
        <v>46139.554166666669</v>
      </c>
      <c r="C2695" s="2">
        <v>46140.3</v>
      </c>
      <c r="D2695" t="s">
        <v>6028</v>
      </c>
      <c r="E2695" t="s">
        <v>6031</v>
      </c>
      <c r="F2695" t="s">
        <v>6033</v>
      </c>
      <c r="G2695" t="s">
        <v>6065</v>
      </c>
      <c r="H2695" t="s">
        <v>6097</v>
      </c>
      <c r="I2695">
        <v>72</v>
      </c>
      <c r="J2695">
        <v>17.899999999999999</v>
      </c>
      <c r="K2695" t="s">
        <v>6099</v>
      </c>
      <c r="L2695" t="s">
        <v>6100</v>
      </c>
      <c r="M2695" t="s">
        <v>6100</v>
      </c>
      <c r="N2695">
        <v>5</v>
      </c>
      <c r="O2695" t="s">
        <v>6101</v>
      </c>
      <c r="P2695" t="s">
        <v>6110</v>
      </c>
      <c r="Q2695">
        <v>4</v>
      </c>
      <c r="R2695">
        <v>2026</v>
      </c>
      <c r="S2695" t="s">
        <v>6099</v>
      </c>
      <c r="T2695">
        <v>1</v>
      </c>
      <c r="U2695" t="s">
        <v>6020</v>
      </c>
      <c r="V2695">
        <v>1</v>
      </c>
    </row>
    <row r="2696" spans="1:22" x14ac:dyDescent="0.3">
      <c r="A2696" t="s">
        <v>2711</v>
      </c>
      <c r="B2696" s="2">
        <v>46139.563194444447</v>
      </c>
      <c r="C2696" s="2">
        <v>46139.692361111112</v>
      </c>
      <c r="D2696" t="s">
        <v>6028</v>
      </c>
      <c r="E2696" t="s">
        <v>6030</v>
      </c>
      <c r="F2696" t="s">
        <v>6035</v>
      </c>
      <c r="G2696" t="s">
        <v>6048</v>
      </c>
      <c r="H2696" t="s">
        <v>6096</v>
      </c>
      <c r="I2696">
        <v>4</v>
      </c>
      <c r="J2696">
        <v>3.1</v>
      </c>
      <c r="K2696" t="s">
        <v>6100</v>
      </c>
      <c r="L2696" t="s">
        <v>6100</v>
      </c>
      <c r="M2696" t="s">
        <v>6100</v>
      </c>
      <c r="O2696" t="s">
        <v>6101</v>
      </c>
      <c r="P2696" t="s">
        <v>6110</v>
      </c>
      <c r="Q2696">
        <v>4</v>
      </c>
      <c r="R2696">
        <v>2026</v>
      </c>
      <c r="S2696" t="s">
        <v>6099</v>
      </c>
      <c r="T2696">
        <v>1</v>
      </c>
      <c r="U2696" t="s">
        <v>6021</v>
      </c>
      <c r="V2696">
        <v>0</v>
      </c>
    </row>
    <row r="2697" spans="1:22" x14ac:dyDescent="0.3">
      <c r="A2697" t="s">
        <v>2712</v>
      </c>
      <c r="B2697" s="2">
        <v>46139.570138888892</v>
      </c>
      <c r="C2697" s="2">
        <v>46139.986805555556</v>
      </c>
      <c r="D2697" t="s">
        <v>6025</v>
      </c>
      <c r="E2697" t="s">
        <v>6030</v>
      </c>
      <c r="F2697" t="s">
        <v>6034</v>
      </c>
      <c r="G2697" t="s">
        <v>6091</v>
      </c>
      <c r="H2697" t="s">
        <v>6097</v>
      </c>
      <c r="I2697">
        <v>24</v>
      </c>
      <c r="J2697">
        <v>10</v>
      </c>
      <c r="K2697" t="s">
        <v>6100</v>
      </c>
      <c r="L2697" t="s">
        <v>6099</v>
      </c>
      <c r="M2697" t="s">
        <v>6100</v>
      </c>
      <c r="O2697" t="s">
        <v>6101</v>
      </c>
      <c r="P2697" t="s">
        <v>6110</v>
      </c>
      <c r="Q2697">
        <v>4</v>
      </c>
      <c r="R2697">
        <v>2026</v>
      </c>
      <c r="S2697" t="s">
        <v>6099</v>
      </c>
      <c r="T2697">
        <v>1</v>
      </c>
      <c r="U2697" t="s">
        <v>6019</v>
      </c>
      <c r="V2697">
        <v>0</v>
      </c>
    </row>
    <row r="2698" spans="1:22" x14ac:dyDescent="0.3">
      <c r="A2698" t="s">
        <v>2713</v>
      </c>
      <c r="B2698" s="2">
        <v>46139.650694444441</v>
      </c>
      <c r="C2698" s="2">
        <v>46139.863194444442</v>
      </c>
      <c r="D2698" t="s">
        <v>6023</v>
      </c>
      <c r="E2698" t="s">
        <v>6029</v>
      </c>
      <c r="F2698" t="s">
        <v>6033</v>
      </c>
      <c r="G2698" t="s">
        <v>6085</v>
      </c>
      <c r="H2698" t="s">
        <v>6097</v>
      </c>
      <c r="I2698">
        <v>72</v>
      </c>
      <c r="J2698">
        <v>5.0999999999999996</v>
      </c>
      <c r="K2698" t="s">
        <v>6099</v>
      </c>
      <c r="L2698" t="s">
        <v>6100</v>
      </c>
      <c r="M2698" t="s">
        <v>6100</v>
      </c>
      <c r="O2698" t="s">
        <v>6101</v>
      </c>
      <c r="P2698" t="s">
        <v>6110</v>
      </c>
      <c r="Q2698">
        <v>4</v>
      </c>
      <c r="R2698">
        <v>2026</v>
      </c>
      <c r="S2698" t="s">
        <v>6099</v>
      </c>
      <c r="T2698">
        <v>1</v>
      </c>
      <c r="U2698" t="s">
        <v>6019</v>
      </c>
      <c r="V2698">
        <v>1</v>
      </c>
    </row>
    <row r="2699" spans="1:22" x14ac:dyDescent="0.3">
      <c r="A2699" t="s">
        <v>2714</v>
      </c>
      <c r="B2699" s="2">
        <v>46139.65902777778</v>
      </c>
      <c r="C2699" s="2">
        <v>46139.700694444444</v>
      </c>
      <c r="D2699" t="s">
        <v>6023</v>
      </c>
      <c r="E2699" t="s">
        <v>6030</v>
      </c>
      <c r="F2699" t="s">
        <v>6034</v>
      </c>
      <c r="G2699" t="s">
        <v>6065</v>
      </c>
      <c r="H2699" t="s">
        <v>6097</v>
      </c>
      <c r="I2699">
        <v>24</v>
      </c>
      <c r="J2699">
        <v>1</v>
      </c>
      <c r="K2699" t="s">
        <v>6099</v>
      </c>
      <c r="L2699" t="s">
        <v>6100</v>
      </c>
      <c r="M2699" t="s">
        <v>6100</v>
      </c>
      <c r="N2699">
        <v>5</v>
      </c>
      <c r="O2699" t="s">
        <v>6101</v>
      </c>
      <c r="P2699" t="s">
        <v>6110</v>
      </c>
      <c r="Q2699">
        <v>4</v>
      </c>
      <c r="R2699">
        <v>2026</v>
      </c>
      <c r="S2699" t="s">
        <v>6099</v>
      </c>
      <c r="T2699">
        <v>1</v>
      </c>
      <c r="U2699" t="s">
        <v>6018</v>
      </c>
      <c r="V2699">
        <v>1</v>
      </c>
    </row>
    <row r="2700" spans="1:22" x14ac:dyDescent="0.3">
      <c r="A2700" t="s">
        <v>2715</v>
      </c>
      <c r="B2700" s="2">
        <v>46139.659722222219</v>
      </c>
      <c r="C2700" s="2">
        <v>46140.180555555555</v>
      </c>
      <c r="D2700" t="s">
        <v>6022</v>
      </c>
      <c r="E2700" t="s">
        <v>6029</v>
      </c>
      <c r="F2700" t="s">
        <v>6034</v>
      </c>
      <c r="G2700" t="s">
        <v>6056</v>
      </c>
      <c r="H2700" t="s">
        <v>6098</v>
      </c>
      <c r="I2700">
        <v>24</v>
      </c>
      <c r="J2700">
        <v>12.5</v>
      </c>
      <c r="K2700" t="s">
        <v>6099</v>
      </c>
      <c r="L2700" t="s">
        <v>6100</v>
      </c>
      <c r="M2700" t="s">
        <v>6100</v>
      </c>
      <c r="O2700" t="s">
        <v>6101</v>
      </c>
      <c r="P2700" t="s">
        <v>6110</v>
      </c>
      <c r="Q2700">
        <v>4</v>
      </c>
      <c r="R2700">
        <v>2026</v>
      </c>
      <c r="S2700" t="s">
        <v>6099</v>
      </c>
      <c r="T2700">
        <v>1</v>
      </c>
      <c r="U2700" t="s">
        <v>6019</v>
      </c>
      <c r="V2700">
        <v>1</v>
      </c>
    </row>
    <row r="2701" spans="1:22" x14ac:dyDescent="0.3">
      <c r="A2701" t="s">
        <v>2716</v>
      </c>
      <c r="B2701" s="2">
        <v>46139.708333333336</v>
      </c>
      <c r="C2701" s="2">
        <v>46140.179166666669</v>
      </c>
      <c r="D2701" t="s">
        <v>6023</v>
      </c>
      <c r="E2701" t="s">
        <v>6029</v>
      </c>
      <c r="F2701" t="s">
        <v>6033</v>
      </c>
      <c r="G2701" t="s">
        <v>6046</v>
      </c>
      <c r="H2701" t="s">
        <v>6098</v>
      </c>
      <c r="I2701">
        <v>72</v>
      </c>
      <c r="J2701">
        <v>11.3</v>
      </c>
      <c r="K2701" t="s">
        <v>6099</v>
      </c>
      <c r="L2701" t="s">
        <v>6100</v>
      </c>
      <c r="M2701" t="s">
        <v>6100</v>
      </c>
      <c r="N2701">
        <v>5</v>
      </c>
      <c r="O2701" t="s">
        <v>6101</v>
      </c>
      <c r="P2701" t="s">
        <v>6110</v>
      </c>
      <c r="Q2701">
        <v>4</v>
      </c>
      <c r="R2701">
        <v>2026</v>
      </c>
      <c r="S2701" t="s">
        <v>6099</v>
      </c>
      <c r="T2701">
        <v>1</v>
      </c>
      <c r="U2701" t="s">
        <v>6021</v>
      </c>
      <c r="V2701">
        <v>1</v>
      </c>
    </row>
    <row r="2702" spans="1:22" x14ac:dyDescent="0.3">
      <c r="A2702" t="s">
        <v>2717</v>
      </c>
      <c r="B2702" s="2">
        <v>46139.875</v>
      </c>
      <c r="C2702" s="2">
        <v>46141.633333333331</v>
      </c>
      <c r="D2702" t="s">
        <v>6026</v>
      </c>
      <c r="E2702" t="s">
        <v>6032</v>
      </c>
      <c r="F2702" t="s">
        <v>6033</v>
      </c>
      <c r="G2702" t="s">
        <v>6074</v>
      </c>
      <c r="H2702" t="s">
        <v>6098</v>
      </c>
      <c r="I2702">
        <v>72</v>
      </c>
      <c r="J2702">
        <v>42.2</v>
      </c>
      <c r="K2702" t="s">
        <v>6099</v>
      </c>
      <c r="L2702" t="s">
        <v>6100</v>
      </c>
      <c r="M2702" t="s">
        <v>6100</v>
      </c>
      <c r="N2702">
        <v>5</v>
      </c>
      <c r="O2702" t="s">
        <v>6101</v>
      </c>
      <c r="P2702" t="s">
        <v>6110</v>
      </c>
      <c r="Q2702">
        <v>4</v>
      </c>
      <c r="R2702">
        <v>2026</v>
      </c>
      <c r="S2702" t="s">
        <v>6099</v>
      </c>
      <c r="T2702">
        <v>1</v>
      </c>
      <c r="U2702" t="s">
        <v>6019</v>
      </c>
      <c r="V2702">
        <v>1</v>
      </c>
    </row>
    <row r="2703" spans="1:22" x14ac:dyDescent="0.3">
      <c r="A2703" t="s">
        <v>2718</v>
      </c>
      <c r="B2703" s="2">
        <v>46140.216666666667</v>
      </c>
      <c r="C2703" s="2">
        <v>46138.925000000003</v>
      </c>
      <c r="D2703" t="s">
        <v>6026</v>
      </c>
      <c r="E2703" t="s">
        <v>6031</v>
      </c>
      <c r="F2703" t="s">
        <v>6034</v>
      </c>
      <c r="G2703" t="s">
        <v>6044</v>
      </c>
      <c r="H2703" t="s">
        <v>6097</v>
      </c>
      <c r="I2703">
        <v>24</v>
      </c>
      <c r="J2703">
        <v>85</v>
      </c>
      <c r="K2703" t="s">
        <v>6099</v>
      </c>
      <c r="L2703" t="s">
        <v>6100</v>
      </c>
      <c r="M2703" t="s">
        <v>6100</v>
      </c>
      <c r="N2703">
        <v>4</v>
      </c>
      <c r="O2703" t="s">
        <v>6101</v>
      </c>
      <c r="P2703" t="s">
        <v>6110</v>
      </c>
      <c r="Q2703">
        <v>4</v>
      </c>
      <c r="R2703">
        <v>2026</v>
      </c>
      <c r="S2703" t="s">
        <v>6100</v>
      </c>
      <c r="T2703">
        <v>0</v>
      </c>
      <c r="U2703" t="s">
        <v>6018</v>
      </c>
      <c r="V2703">
        <v>1</v>
      </c>
    </row>
    <row r="2704" spans="1:22" x14ac:dyDescent="0.3">
      <c r="A2704" t="s">
        <v>2719</v>
      </c>
      <c r="B2704" s="2">
        <v>46140.253472222219</v>
      </c>
      <c r="C2704" s="2">
        <v>46141.070138888892</v>
      </c>
      <c r="D2704" t="s">
        <v>6022</v>
      </c>
      <c r="E2704" t="s">
        <v>6030</v>
      </c>
      <c r="F2704" t="s">
        <v>6035</v>
      </c>
      <c r="G2704" t="s">
        <v>6082</v>
      </c>
      <c r="H2704" t="s">
        <v>6097</v>
      </c>
      <c r="I2704">
        <v>4</v>
      </c>
      <c r="J2704">
        <v>19.600000000000001</v>
      </c>
      <c r="K2704" t="s">
        <v>6099</v>
      </c>
      <c r="L2704" t="s">
        <v>6100</v>
      </c>
      <c r="M2704" t="s">
        <v>6099</v>
      </c>
      <c r="N2704">
        <v>4</v>
      </c>
      <c r="O2704" t="s">
        <v>6101</v>
      </c>
      <c r="P2704" t="s">
        <v>6110</v>
      </c>
      <c r="Q2704">
        <v>4</v>
      </c>
      <c r="R2704">
        <v>2026</v>
      </c>
      <c r="S2704" t="s">
        <v>6100</v>
      </c>
      <c r="T2704">
        <v>0</v>
      </c>
      <c r="U2704" t="s">
        <v>6021</v>
      </c>
      <c r="V2704">
        <v>1</v>
      </c>
    </row>
    <row r="2705" spans="1:22" x14ac:dyDescent="0.3">
      <c r="A2705" t="s">
        <v>2720</v>
      </c>
      <c r="B2705" s="2">
        <v>46140.29583333333</v>
      </c>
      <c r="C2705" s="2">
        <v>46140.466666666667</v>
      </c>
      <c r="D2705" t="s">
        <v>6023</v>
      </c>
      <c r="E2705" t="s">
        <v>6029</v>
      </c>
      <c r="F2705" t="s">
        <v>6034</v>
      </c>
      <c r="G2705" t="s">
        <v>6078</v>
      </c>
      <c r="H2705" t="s">
        <v>6097</v>
      </c>
      <c r="I2705">
        <v>24</v>
      </c>
      <c r="J2705">
        <v>4.0999999999999996</v>
      </c>
      <c r="K2705" t="s">
        <v>6100</v>
      </c>
      <c r="L2705" t="s">
        <v>6099</v>
      </c>
      <c r="M2705" t="s">
        <v>6100</v>
      </c>
      <c r="N2705">
        <v>3</v>
      </c>
      <c r="O2705" t="s">
        <v>6101</v>
      </c>
      <c r="P2705" t="s">
        <v>6110</v>
      </c>
      <c r="Q2705">
        <v>4</v>
      </c>
      <c r="R2705">
        <v>2026</v>
      </c>
      <c r="S2705" t="s">
        <v>6099</v>
      </c>
      <c r="T2705">
        <v>1</v>
      </c>
      <c r="U2705" t="s">
        <v>6018</v>
      </c>
      <c r="V2705">
        <v>0</v>
      </c>
    </row>
    <row r="2706" spans="1:22" x14ac:dyDescent="0.3">
      <c r="A2706" t="s">
        <v>2721</v>
      </c>
      <c r="B2706" s="2">
        <v>46140.320138888892</v>
      </c>
      <c r="C2706" s="2">
        <v>46140.649305555555</v>
      </c>
      <c r="D2706" t="s">
        <v>6023</v>
      </c>
      <c r="E2706" t="s">
        <v>6030</v>
      </c>
      <c r="F2706" t="s">
        <v>6033</v>
      </c>
      <c r="G2706" t="s">
        <v>6086</v>
      </c>
      <c r="H2706" t="s">
        <v>6098</v>
      </c>
      <c r="I2706">
        <v>72</v>
      </c>
      <c r="J2706">
        <v>7.9</v>
      </c>
      <c r="K2706" t="s">
        <v>6099</v>
      </c>
      <c r="L2706" t="s">
        <v>6100</v>
      </c>
      <c r="M2706" t="s">
        <v>6100</v>
      </c>
      <c r="N2706">
        <v>5</v>
      </c>
      <c r="O2706" t="s">
        <v>6101</v>
      </c>
      <c r="P2706" t="s">
        <v>6110</v>
      </c>
      <c r="Q2706">
        <v>4</v>
      </c>
      <c r="R2706">
        <v>2026</v>
      </c>
      <c r="S2706" t="s">
        <v>6099</v>
      </c>
      <c r="T2706">
        <v>1</v>
      </c>
      <c r="U2706" t="s">
        <v>6021</v>
      </c>
      <c r="V2706">
        <v>1</v>
      </c>
    </row>
    <row r="2707" spans="1:22" x14ac:dyDescent="0.3">
      <c r="A2707" t="s">
        <v>2722</v>
      </c>
      <c r="B2707" s="2">
        <v>46140.37222222222</v>
      </c>
      <c r="C2707" s="2">
        <v>46140.718055555553</v>
      </c>
      <c r="D2707" t="s">
        <v>6025</v>
      </c>
      <c r="E2707" t="s">
        <v>6029</v>
      </c>
      <c r="F2707" t="s">
        <v>6035</v>
      </c>
      <c r="G2707" t="s">
        <v>6077</v>
      </c>
      <c r="H2707" t="s">
        <v>6098</v>
      </c>
      <c r="I2707">
        <v>4</v>
      </c>
      <c r="J2707">
        <v>8.3000000000000007</v>
      </c>
      <c r="K2707" t="s">
        <v>6100</v>
      </c>
      <c r="L2707" t="s">
        <v>6100</v>
      </c>
      <c r="M2707" t="s">
        <v>6100</v>
      </c>
      <c r="N2707">
        <v>3</v>
      </c>
      <c r="O2707" t="s">
        <v>6101</v>
      </c>
      <c r="P2707" t="s">
        <v>6110</v>
      </c>
      <c r="Q2707">
        <v>4</v>
      </c>
      <c r="R2707">
        <v>2026</v>
      </c>
      <c r="S2707" t="s">
        <v>6100</v>
      </c>
      <c r="T2707">
        <v>0</v>
      </c>
      <c r="U2707" t="s">
        <v>6018</v>
      </c>
      <c r="V2707">
        <v>0</v>
      </c>
    </row>
    <row r="2708" spans="1:22" x14ac:dyDescent="0.3">
      <c r="A2708" t="s">
        <v>2723</v>
      </c>
      <c r="B2708" s="2">
        <v>46140.42291666667</v>
      </c>
      <c r="C2708" s="2">
        <v>46141.268750000003</v>
      </c>
      <c r="D2708" t="s">
        <v>6027</v>
      </c>
      <c r="E2708" t="s">
        <v>6032</v>
      </c>
      <c r="F2708" t="s">
        <v>6034</v>
      </c>
      <c r="G2708" t="s">
        <v>6036</v>
      </c>
      <c r="H2708" t="s">
        <v>6096</v>
      </c>
      <c r="I2708">
        <v>24</v>
      </c>
      <c r="J2708">
        <v>20.3</v>
      </c>
      <c r="K2708" t="s">
        <v>6100</v>
      </c>
      <c r="L2708" t="s">
        <v>6099</v>
      </c>
      <c r="M2708" t="s">
        <v>6100</v>
      </c>
      <c r="N2708">
        <v>5</v>
      </c>
      <c r="O2708" t="s">
        <v>6101</v>
      </c>
      <c r="P2708" t="s">
        <v>6110</v>
      </c>
      <c r="Q2708">
        <v>4</v>
      </c>
      <c r="R2708">
        <v>2026</v>
      </c>
      <c r="S2708" t="s">
        <v>6099</v>
      </c>
      <c r="T2708">
        <v>1</v>
      </c>
      <c r="U2708" t="s">
        <v>6017</v>
      </c>
      <c r="V2708">
        <v>0</v>
      </c>
    </row>
    <row r="2709" spans="1:22" x14ac:dyDescent="0.3">
      <c r="A2709" t="s">
        <v>2724</v>
      </c>
      <c r="B2709" s="2">
        <v>46140.517361111109</v>
      </c>
      <c r="C2709" s="2">
        <v>46142.134027777778</v>
      </c>
      <c r="D2709" t="s">
        <v>6025</v>
      </c>
      <c r="E2709" t="s">
        <v>6031</v>
      </c>
      <c r="F2709" t="s">
        <v>6034</v>
      </c>
      <c r="G2709" t="s">
        <v>6062</v>
      </c>
      <c r="H2709" t="s">
        <v>6096</v>
      </c>
      <c r="I2709">
        <v>24</v>
      </c>
      <c r="J2709">
        <v>38.799999999999997</v>
      </c>
      <c r="K2709" t="s">
        <v>6099</v>
      </c>
      <c r="L2709" t="s">
        <v>6100</v>
      </c>
      <c r="M2709" t="s">
        <v>6100</v>
      </c>
      <c r="O2709" t="s">
        <v>6101</v>
      </c>
      <c r="P2709" t="s">
        <v>6110</v>
      </c>
      <c r="Q2709">
        <v>4</v>
      </c>
      <c r="R2709">
        <v>2026</v>
      </c>
      <c r="S2709" t="s">
        <v>6100</v>
      </c>
      <c r="T2709">
        <v>0</v>
      </c>
      <c r="U2709" t="s">
        <v>6021</v>
      </c>
      <c r="V2709">
        <v>1</v>
      </c>
    </row>
    <row r="2710" spans="1:22" x14ac:dyDescent="0.3">
      <c r="A2710" t="s">
        <v>2725</v>
      </c>
      <c r="B2710" s="2">
        <v>46140.567361111112</v>
      </c>
      <c r="C2710" s="2">
        <v>46140.84652777778</v>
      </c>
      <c r="D2710" t="s">
        <v>6023</v>
      </c>
      <c r="E2710" t="s">
        <v>6029</v>
      </c>
      <c r="F2710" t="s">
        <v>6033</v>
      </c>
      <c r="G2710" t="s">
        <v>6061</v>
      </c>
      <c r="H2710" t="s">
        <v>6096</v>
      </c>
      <c r="I2710">
        <v>72</v>
      </c>
      <c r="J2710">
        <v>6.7</v>
      </c>
      <c r="K2710" t="s">
        <v>6099</v>
      </c>
      <c r="L2710" t="s">
        <v>6100</v>
      </c>
      <c r="M2710" t="s">
        <v>6100</v>
      </c>
      <c r="O2710" t="s">
        <v>6101</v>
      </c>
      <c r="P2710" t="s">
        <v>6110</v>
      </c>
      <c r="Q2710">
        <v>4</v>
      </c>
      <c r="R2710">
        <v>2026</v>
      </c>
      <c r="S2710" t="s">
        <v>6099</v>
      </c>
      <c r="T2710">
        <v>1</v>
      </c>
      <c r="U2710" t="s">
        <v>6021</v>
      </c>
      <c r="V2710">
        <v>1</v>
      </c>
    </row>
    <row r="2711" spans="1:22" x14ac:dyDescent="0.3">
      <c r="A2711" t="s">
        <v>2726</v>
      </c>
      <c r="B2711" s="2">
        <v>46140.575694444444</v>
      </c>
      <c r="C2711" s="2">
        <v>46141.229861111111</v>
      </c>
      <c r="D2711" t="s">
        <v>6028</v>
      </c>
      <c r="E2711" t="s">
        <v>6029</v>
      </c>
      <c r="F2711" t="s">
        <v>6034</v>
      </c>
      <c r="G2711" t="s">
        <v>6057</v>
      </c>
      <c r="H2711" t="s">
        <v>6097</v>
      </c>
      <c r="I2711">
        <v>24</v>
      </c>
      <c r="J2711">
        <v>15.7</v>
      </c>
      <c r="K2711" t="s">
        <v>6099</v>
      </c>
      <c r="L2711" t="s">
        <v>6100</v>
      </c>
      <c r="M2711" t="s">
        <v>6100</v>
      </c>
      <c r="N2711">
        <v>4</v>
      </c>
      <c r="O2711" t="s">
        <v>6101</v>
      </c>
      <c r="P2711" t="s">
        <v>6110</v>
      </c>
      <c r="Q2711">
        <v>4</v>
      </c>
      <c r="R2711">
        <v>2026</v>
      </c>
      <c r="S2711" t="s">
        <v>6099</v>
      </c>
      <c r="T2711">
        <v>1</v>
      </c>
      <c r="U2711" t="s">
        <v>6021</v>
      </c>
      <c r="V2711">
        <v>1</v>
      </c>
    </row>
    <row r="2712" spans="1:22" x14ac:dyDescent="0.3">
      <c r="A2712" t="s">
        <v>2727</v>
      </c>
      <c r="B2712" s="2">
        <v>46140.582638888889</v>
      </c>
      <c r="C2712" s="2">
        <v>46140.857638888891</v>
      </c>
      <c r="D2712" t="s">
        <v>6023</v>
      </c>
      <c r="E2712" t="s">
        <v>6032</v>
      </c>
      <c r="F2712" t="s">
        <v>6034</v>
      </c>
      <c r="G2712" t="s">
        <v>6080</v>
      </c>
      <c r="H2712" t="s">
        <v>6096</v>
      </c>
      <c r="I2712">
        <v>24</v>
      </c>
      <c r="J2712">
        <v>6.6</v>
      </c>
      <c r="K2712" t="s">
        <v>6100</v>
      </c>
      <c r="L2712" t="s">
        <v>6099</v>
      </c>
      <c r="M2712" t="s">
        <v>6100</v>
      </c>
      <c r="N2712">
        <v>4</v>
      </c>
      <c r="O2712" t="s">
        <v>6101</v>
      </c>
      <c r="P2712" t="s">
        <v>6110</v>
      </c>
      <c r="Q2712">
        <v>4</v>
      </c>
      <c r="R2712">
        <v>2026</v>
      </c>
      <c r="S2712" t="s">
        <v>6099</v>
      </c>
      <c r="T2712">
        <v>1</v>
      </c>
      <c r="U2712" t="s">
        <v>6017</v>
      </c>
      <c r="V2712">
        <v>0</v>
      </c>
    </row>
    <row r="2713" spans="1:22" x14ac:dyDescent="0.3">
      <c r="A2713" t="s">
        <v>2728</v>
      </c>
      <c r="B2713" s="2">
        <v>46140.603472222225</v>
      </c>
      <c r="C2713" s="2">
        <v>46140.765972222223</v>
      </c>
      <c r="D2713" t="s">
        <v>6028</v>
      </c>
      <c r="E2713" t="s">
        <v>6029</v>
      </c>
      <c r="F2713" t="s">
        <v>6035</v>
      </c>
      <c r="G2713" t="s">
        <v>6069</v>
      </c>
      <c r="H2713" t="s">
        <v>6098</v>
      </c>
      <c r="I2713">
        <v>4</v>
      </c>
      <c r="J2713">
        <v>3.9</v>
      </c>
      <c r="K2713" t="s">
        <v>6099</v>
      </c>
      <c r="L2713" t="s">
        <v>6100</v>
      </c>
      <c r="M2713" t="s">
        <v>6100</v>
      </c>
      <c r="N2713">
        <v>4</v>
      </c>
      <c r="O2713" t="s">
        <v>6101</v>
      </c>
      <c r="P2713" t="s">
        <v>6110</v>
      </c>
      <c r="Q2713">
        <v>4</v>
      </c>
      <c r="R2713">
        <v>2026</v>
      </c>
      <c r="S2713" t="s">
        <v>6099</v>
      </c>
      <c r="T2713">
        <v>1</v>
      </c>
      <c r="U2713" t="s">
        <v>6017</v>
      </c>
      <c r="V2713">
        <v>1</v>
      </c>
    </row>
    <row r="2714" spans="1:22" x14ac:dyDescent="0.3">
      <c r="A2714" t="s">
        <v>2729</v>
      </c>
      <c r="B2714" s="2">
        <v>46140.607638888891</v>
      </c>
      <c r="C2714" s="2">
        <v>46140.790972222225</v>
      </c>
      <c r="D2714" t="s">
        <v>6023</v>
      </c>
      <c r="E2714" t="s">
        <v>6032</v>
      </c>
      <c r="F2714" t="s">
        <v>6034</v>
      </c>
      <c r="G2714" t="s">
        <v>6061</v>
      </c>
      <c r="H2714" t="s">
        <v>6096</v>
      </c>
      <c r="I2714">
        <v>24</v>
      </c>
      <c r="J2714">
        <v>4.4000000000000004</v>
      </c>
      <c r="K2714" t="s">
        <v>6099</v>
      </c>
      <c r="L2714" t="s">
        <v>6100</v>
      </c>
      <c r="M2714" t="s">
        <v>6100</v>
      </c>
      <c r="N2714">
        <v>3</v>
      </c>
      <c r="O2714" t="s">
        <v>6101</v>
      </c>
      <c r="P2714" t="s">
        <v>6110</v>
      </c>
      <c r="Q2714">
        <v>4</v>
      </c>
      <c r="R2714">
        <v>2026</v>
      </c>
      <c r="S2714" t="s">
        <v>6099</v>
      </c>
      <c r="T2714">
        <v>1</v>
      </c>
      <c r="U2714" t="s">
        <v>6021</v>
      </c>
      <c r="V2714">
        <v>1</v>
      </c>
    </row>
    <row r="2715" spans="1:22" x14ac:dyDescent="0.3">
      <c r="A2715" t="s">
        <v>2730</v>
      </c>
      <c r="B2715" s="2">
        <v>46140.61041666667</v>
      </c>
      <c r="C2715" s="2">
        <v>46140.78125</v>
      </c>
      <c r="D2715" t="s">
        <v>6028</v>
      </c>
      <c r="E2715" t="s">
        <v>6030</v>
      </c>
      <c r="F2715" t="s">
        <v>6035</v>
      </c>
      <c r="G2715" t="s">
        <v>6061</v>
      </c>
      <c r="H2715" t="s">
        <v>6096</v>
      </c>
      <c r="I2715">
        <v>4</v>
      </c>
      <c r="J2715">
        <v>4.0999999999999996</v>
      </c>
      <c r="K2715" t="s">
        <v>6100</v>
      </c>
      <c r="L2715" t="s">
        <v>6099</v>
      </c>
      <c r="M2715" t="s">
        <v>6099</v>
      </c>
      <c r="N2715">
        <v>3</v>
      </c>
      <c r="O2715" t="s">
        <v>6101</v>
      </c>
      <c r="P2715" t="s">
        <v>6110</v>
      </c>
      <c r="Q2715">
        <v>4</v>
      </c>
      <c r="R2715">
        <v>2026</v>
      </c>
      <c r="S2715" t="s">
        <v>6100</v>
      </c>
      <c r="T2715">
        <v>0</v>
      </c>
      <c r="U2715" t="s">
        <v>6020</v>
      </c>
      <c r="V2715">
        <v>0</v>
      </c>
    </row>
    <row r="2716" spans="1:22" x14ac:dyDescent="0.3">
      <c r="A2716" t="s">
        <v>2731</v>
      </c>
      <c r="B2716" s="2">
        <v>46140.679861111108</v>
      </c>
      <c r="C2716" s="2">
        <v>46142.425694444442</v>
      </c>
      <c r="D2716" t="s">
        <v>6025</v>
      </c>
      <c r="E2716" t="s">
        <v>6031</v>
      </c>
      <c r="F2716" t="s">
        <v>6033</v>
      </c>
      <c r="G2716" t="s">
        <v>6082</v>
      </c>
      <c r="H2716" t="s">
        <v>6097</v>
      </c>
      <c r="I2716">
        <v>72</v>
      </c>
      <c r="J2716">
        <v>41.9</v>
      </c>
      <c r="K2716" t="s">
        <v>6099</v>
      </c>
      <c r="L2716" t="s">
        <v>6100</v>
      </c>
      <c r="M2716" t="s">
        <v>6100</v>
      </c>
      <c r="N2716">
        <v>3</v>
      </c>
      <c r="O2716" t="s">
        <v>6101</v>
      </c>
      <c r="P2716" t="s">
        <v>6110</v>
      </c>
      <c r="Q2716">
        <v>4</v>
      </c>
      <c r="R2716">
        <v>2026</v>
      </c>
      <c r="S2716" t="s">
        <v>6099</v>
      </c>
      <c r="T2716">
        <v>1</v>
      </c>
      <c r="U2716" t="s">
        <v>6017</v>
      </c>
      <c r="V2716">
        <v>1</v>
      </c>
    </row>
    <row r="2717" spans="1:22" x14ac:dyDescent="0.3">
      <c r="A2717" t="s">
        <v>2732</v>
      </c>
      <c r="B2717" s="2">
        <v>46141.177777777775</v>
      </c>
      <c r="C2717" s="2">
        <v>46141.290277777778</v>
      </c>
      <c r="D2717" t="s">
        <v>6024</v>
      </c>
      <c r="E2717" t="s">
        <v>6030</v>
      </c>
      <c r="F2717" t="s">
        <v>6034</v>
      </c>
      <c r="G2717" t="s">
        <v>6068</v>
      </c>
      <c r="H2717" t="s">
        <v>6098</v>
      </c>
      <c r="I2717">
        <v>24</v>
      </c>
      <c r="J2717">
        <v>2.7</v>
      </c>
      <c r="K2717" t="s">
        <v>6099</v>
      </c>
      <c r="L2717" t="s">
        <v>6100</v>
      </c>
      <c r="M2717" t="s">
        <v>6100</v>
      </c>
      <c r="N2717">
        <v>4</v>
      </c>
      <c r="O2717" t="s">
        <v>6101</v>
      </c>
      <c r="P2717" t="s">
        <v>6110</v>
      </c>
      <c r="Q2717">
        <v>4</v>
      </c>
      <c r="R2717">
        <v>2026</v>
      </c>
      <c r="S2717" t="s">
        <v>6099</v>
      </c>
      <c r="T2717">
        <v>1</v>
      </c>
      <c r="U2717" t="s">
        <v>6017</v>
      </c>
      <c r="V2717">
        <v>1</v>
      </c>
    </row>
    <row r="2718" spans="1:22" x14ac:dyDescent="0.3">
      <c r="A2718" t="s">
        <v>2733</v>
      </c>
      <c r="B2718" s="2">
        <v>46141.2</v>
      </c>
      <c r="C2718" s="2">
        <v>46141.287499999999</v>
      </c>
      <c r="D2718" t="s">
        <v>6023</v>
      </c>
      <c r="E2718" t="s">
        <v>6030</v>
      </c>
      <c r="F2718" t="s">
        <v>6034</v>
      </c>
      <c r="G2718" t="s">
        <v>6050</v>
      </c>
      <c r="H2718" t="s">
        <v>6098</v>
      </c>
      <c r="I2718">
        <v>24</v>
      </c>
      <c r="J2718">
        <v>2.1</v>
      </c>
      <c r="K2718" t="s">
        <v>6100</v>
      </c>
      <c r="L2718" t="s">
        <v>6099</v>
      </c>
      <c r="M2718" t="s">
        <v>6100</v>
      </c>
      <c r="O2718" t="s">
        <v>6101</v>
      </c>
      <c r="P2718" t="s">
        <v>6110</v>
      </c>
      <c r="Q2718">
        <v>4</v>
      </c>
      <c r="R2718">
        <v>2026</v>
      </c>
      <c r="S2718" t="s">
        <v>6099</v>
      </c>
      <c r="T2718">
        <v>1</v>
      </c>
      <c r="U2718" t="s">
        <v>6018</v>
      </c>
      <c r="V2718">
        <v>0</v>
      </c>
    </row>
    <row r="2719" spans="1:22" x14ac:dyDescent="0.3">
      <c r="A2719" t="s">
        <v>2734</v>
      </c>
      <c r="B2719" s="2">
        <v>46141.261111111111</v>
      </c>
      <c r="C2719" s="2">
        <v>46142.669444444444</v>
      </c>
      <c r="D2719" t="s">
        <v>6025</v>
      </c>
      <c r="E2719" t="s">
        <v>6029</v>
      </c>
      <c r="F2719" t="s">
        <v>6033</v>
      </c>
      <c r="G2719" t="s">
        <v>6073</v>
      </c>
      <c r="H2719" t="s">
        <v>6096</v>
      </c>
      <c r="I2719">
        <v>72</v>
      </c>
      <c r="J2719">
        <v>33.799999999999997</v>
      </c>
      <c r="K2719" t="s">
        <v>6100</v>
      </c>
      <c r="L2719" t="s">
        <v>6099</v>
      </c>
      <c r="M2719" t="s">
        <v>6100</v>
      </c>
      <c r="O2719" t="s">
        <v>6101</v>
      </c>
      <c r="P2719" t="s">
        <v>6110</v>
      </c>
      <c r="Q2719">
        <v>4</v>
      </c>
      <c r="R2719">
        <v>2026</v>
      </c>
      <c r="S2719" t="s">
        <v>6099</v>
      </c>
      <c r="T2719">
        <v>1</v>
      </c>
      <c r="U2719" t="s">
        <v>6021</v>
      </c>
      <c r="V2719">
        <v>0</v>
      </c>
    </row>
    <row r="2720" spans="1:22" x14ac:dyDescent="0.3">
      <c r="A2720" t="s">
        <v>2735</v>
      </c>
      <c r="B2720" s="2">
        <v>46141.291666666664</v>
      </c>
      <c r="C2720" s="2">
        <v>46142.029166666667</v>
      </c>
      <c r="D2720" t="s">
        <v>6022</v>
      </c>
      <c r="E2720" t="s">
        <v>6030</v>
      </c>
      <c r="F2720" t="s">
        <v>6034</v>
      </c>
      <c r="G2720" t="s">
        <v>6083</v>
      </c>
      <c r="H2720" t="s">
        <v>6096</v>
      </c>
      <c r="I2720">
        <v>24</v>
      </c>
      <c r="J2720">
        <v>17.7</v>
      </c>
      <c r="K2720" t="s">
        <v>6100</v>
      </c>
      <c r="L2720" t="s">
        <v>6100</v>
      </c>
      <c r="M2720" t="s">
        <v>6100</v>
      </c>
      <c r="N2720">
        <v>5</v>
      </c>
      <c r="O2720" t="s">
        <v>6101</v>
      </c>
      <c r="P2720" t="s">
        <v>6110</v>
      </c>
      <c r="Q2720">
        <v>4</v>
      </c>
      <c r="R2720">
        <v>2026</v>
      </c>
      <c r="S2720" t="s">
        <v>6099</v>
      </c>
      <c r="T2720">
        <v>1</v>
      </c>
      <c r="U2720" t="s">
        <v>6018</v>
      </c>
      <c r="V2720">
        <v>0</v>
      </c>
    </row>
    <row r="2721" spans="1:22" x14ac:dyDescent="0.3">
      <c r="A2721" t="s">
        <v>2736</v>
      </c>
      <c r="B2721" s="2">
        <v>46141.3125</v>
      </c>
      <c r="C2721" s="2">
        <v>46141.537499999999</v>
      </c>
      <c r="D2721" t="s">
        <v>6023</v>
      </c>
      <c r="E2721" t="s">
        <v>6029</v>
      </c>
      <c r="F2721" t="s">
        <v>6033</v>
      </c>
      <c r="G2721" t="s">
        <v>6039</v>
      </c>
      <c r="H2721" t="s">
        <v>6097</v>
      </c>
      <c r="I2721">
        <v>72</v>
      </c>
      <c r="J2721">
        <v>5.4</v>
      </c>
      <c r="K2721" t="s">
        <v>6099</v>
      </c>
      <c r="L2721" t="s">
        <v>6100</v>
      </c>
      <c r="M2721" t="s">
        <v>6100</v>
      </c>
      <c r="N2721">
        <v>5</v>
      </c>
      <c r="O2721" t="s">
        <v>6101</v>
      </c>
      <c r="P2721" t="s">
        <v>6110</v>
      </c>
      <c r="Q2721">
        <v>4</v>
      </c>
      <c r="R2721">
        <v>2026</v>
      </c>
      <c r="S2721" t="s">
        <v>6099</v>
      </c>
      <c r="T2721">
        <v>1</v>
      </c>
      <c r="U2721" t="s">
        <v>6018</v>
      </c>
      <c r="V2721">
        <v>1</v>
      </c>
    </row>
    <row r="2722" spans="1:22" x14ac:dyDescent="0.3">
      <c r="A2722" t="s">
        <v>2737</v>
      </c>
      <c r="B2722" s="2">
        <v>46141.333333333336</v>
      </c>
      <c r="C2722" s="2">
        <v>46143.112500000003</v>
      </c>
      <c r="D2722" t="s">
        <v>6028</v>
      </c>
      <c r="E2722" t="s">
        <v>6031</v>
      </c>
      <c r="F2722" t="s">
        <v>6035</v>
      </c>
      <c r="G2722" t="s">
        <v>6080</v>
      </c>
      <c r="H2722" t="s">
        <v>6096</v>
      </c>
      <c r="I2722">
        <v>4</v>
      </c>
      <c r="J2722">
        <v>42.7</v>
      </c>
      <c r="K2722" t="s">
        <v>6100</v>
      </c>
      <c r="L2722" t="s">
        <v>6100</v>
      </c>
      <c r="M2722" t="s">
        <v>6100</v>
      </c>
      <c r="N2722">
        <v>5</v>
      </c>
      <c r="O2722" t="s">
        <v>6101</v>
      </c>
      <c r="P2722" t="s">
        <v>6110</v>
      </c>
      <c r="Q2722">
        <v>4</v>
      </c>
      <c r="R2722">
        <v>2026</v>
      </c>
      <c r="S2722" t="s">
        <v>6100</v>
      </c>
      <c r="T2722">
        <v>0</v>
      </c>
      <c r="U2722" t="s">
        <v>6019</v>
      </c>
      <c r="V2722">
        <v>0</v>
      </c>
    </row>
    <row r="2723" spans="1:22" x14ac:dyDescent="0.3">
      <c r="A2723" t="s">
        <v>2738</v>
      </c>
      <c r="B2723" s="2">
        <v>46141.375694444447</v>
      </c>
      <c r="C2723" s="2">
        <v>46142.138194444444</v>
      </c>
      <c r="D2723" t="s">
        <v>6023</v>
      </c>
      <c r="E2723" t="s">
        <v>6032</v>
      </c>
      <c r="F2723" t="s">
        <v>6033</v>
      </c>
      <c r="G2723" t="s">
        <v>6063</v>
      </c>
      <c r="H2723" t="s">
        <v>6097</v>
      </c>
      <c r="I2723">
        <v>72</v>
      </c>
      <c r="J2723">
        <v>18.3</v>
      </c>
      <c r="K2723" t="s">
        <v>6099</v>
      </c>
      <c r="L2723" t="s">
        <v>6100</v>
      </c>
      <c r="M2723" t="s">
        <v>6100</v>
      </c>
      <c r="N2723">
        <v>5</v>
      </c>
      <c r="O2723" t="s">
        <v>6101</v>
      </c>
      <c r="P2723" t="s">
        <v>6110</v>
      </c>
      <c r="Q2723">
        <v>4</v>
      </c>
      <c r="R2723">
        <v>2026</v>
      </c>
      <c r="S2723" t="s">
        <v>6099</v>
      </c>
      <c r="T2723">
        <v>1</v>
      </c>
      <c r="U2723" t="s">
        <v>6021</v>
      </c>
      <c r="V2723">
        <v>1</v>
      </c>
    </row>
    <row r="2724" spans="1:22" x14ac:dyDescent="0.3">
      <c r="A2724" t="s">
        <v>2739</v>
      </c>
      <c r="B2724" s="2">
        <v>46141.379166666666</v>
      </c>
      <c r="C2724" s="2">
        <v>46142.224999999999</v>
      </c>
      <c r="D2724" t="s">
        <v>6028</v>
      </c>
      <c r="E2724" t="s">
        <v>6031</v>
      </c>
      <c r="F2724" t="s">
        <v>6035</v>
      </c>
      <c r="G2724" t="s">
        <v>6081</v>
      </c>
      <c r="H2724" t="s">
        <v>6098</v>
      </c>
      <c r="I2724">
        <v>4</v>
      </c>
      <c r="J2724">
        <v>20.3</v>
      </c>
      <c r="K2724" t="s">
        <v>6099</v>
      </c>
      <c r="L2724" t="s">
        <v>6100</v>
      </c>
      <c r="M2724" t="s">
        <v>6100</v>
      </c>
      <c r="N2724">
        <v>3</v>
      </c>
      <c r="O2724" t="s">
        <v>6101</v>
      </c>
      <c r="P2724" t="s">
        <v>6110</v>
      </c>
      <c r="Q2724">
        <v>4</v>
      </c>
      <c r="R2724">
        <v>2026</v>
      </c>
      <c r="S2724" t="s">
        <v>6100</v>
      </c>
      <c r="T2724">
        <v>0</v>
      </c>
      <c r="U2724" t="s">
        <v>6019</v>
      </c>
      <c r="V2724">
        <v>1</v>
      </c>
    </row>
    <row r="2725" spans="1:22" x14ac:dyDescent="0.3">
      <c r="A2725" t="s">
        <v>2740</v>
      </c>
      <c r="B2725" s="2">
        <v>46141.418749999997</v>
      </c>
      <c r="C2725" s="2">
        <v>46141.535416666666</v>
      </c>
      <c r="D2725" t="s">
        <v>6023</v>
      </c>
      <c r="E2725" t="s">
        <v>6030</v>
      </c>
      <c r="F2725" t="s">
        <v>6034</v>
      </c>
      <c r="G2725" t="s">
        <v>6072</v>
      </c>
      <c r="H2725" t="s">
        <v>6097</v>
      </c>
      <c r="I2725">
        <v>24</v>
      </c>
      <c r="J2725">
        <v>2.8</v>
      </c>
      <c r="K2725" t="s">
        <v>6099</v>
      </c>
      <c r="L2725" t="s">
        <v>6100</v>
      </c>
      <c r="M2725" t="s">
        <v>6100</v>
      </c>
      <c r="N2725">
        <v>4</v>
      </c>
      <c r="O2725" t="s">
        <v>6101</v>
      </c>
      <c r="P2725" t="s">
        <v>6110</v>
      </c>
      <c r="Q2725">
        <v>4</v>
      </c>
      <c r="R2725">
        <v>2026</v>
      </c>
      <c r="S2725" t="s">
        <v>6099</v>
      </c>
      <c r="T2725">
        <v>1</v>
      </c>
      <c r="U2725" t="s">
        <v>6018</v>
      </c>
      <c r="V2725">
        <v>1</v>
      </c>
    </row>
    <row r="2726" spans="1:22" x14ac:dyDescent="0.3">
      <c r="A2726" t="s">
        <v>2741</v>
      </c>
      <c r="B2726" s="2">
        <v>46141.432638888888</v>
      </c>
      <c r="C2726" s="2">
        <v>46141.836805555555</v>
      </c>
      <c r="D2726" t="s">
        <v>6023</v>
      </c>
      <c r="E2726" t="s">
        <v>6032</v>
      </c>
      <c r="F2726" t="s">
        <v>6033</v>
      </c>
      <c r="G2726" t="s">
        <v>6058</v>
      </c>
      <c r="H2726" t="s">
        <v>6098</v>
      </c>
      <c r="I2726">
        <v>72</v>
      </c>
      <c r="J2726">
        <v>9.6999999999999993</v>
      </c>
      <c r="K2726" t="s">
        <v>6100</v>
      </c>
      <c r="L2726" t="s">
        <v>6099</v>
      </c>
      <c r="M2726" t="s">
        <v>6100</v>
      </c>
      <c r="O2726" t="s">
        <v>6101</v>
      </c>
      <c r="P2726" t="s">
        <v>6110</v>
      </c>
      <c r="Q2726">
        <v>4</v>
      </c>
      <c r="R2726">
        <v>2026</v>
      </c>
      <c r="S2726" t="s">
        <v>6099</v>
      </c>
      <c r="T2726">
        <v>1</v>
      </c>
      <c r="U2726" t="s">
        <v>6018</v>
      </c>
      <c r="V2726">
        <v>0</v>
      </c>
    </row>
    <row r="2727" spans="1:22" x14ac:dyDescent="0.3">
      <c r="A2727" t="s">
        <v>2742</v>
      </c>
      <c r="B2727" s="2">
        <v>46141.472916666666</v>
      </c>
      <c r="C2727" s="2">
        <v>46141.772916666669</v>
      </c>
      <c r="D2727" t="s">
        <v>6028</v>
      </c>
      <c r="E2727" t="s">
        <v>6030</v>
      </c>
      <c r="F2727" t="s">
        <v>6033</v>
      </c>
      <c r="G2727" t="s">
        <v>6069</v>
      </c>
      <c r="H2727" t="s">
        <v>6098</v>
      </c>
      <c r="I2727">
        <v>72</v>
      </c>
      <c r="J2727">
        <v>7.2</v>
      </c>
      <c r="K2727" t="s">
        <v>6099</v>
      </c>
      <c r="L2727" t="s">
        <v>6100</v>
      </c>
      <c r="M2727" t="s">
        <v>6100</v>
      </c>
      <c r="N2727">
        <v>5</v>
      </c>
      <c r="O2727" t="s">
        <v>6101</v>
      </c>
      <c r="P2727" t="s">
        <v>6110</v>
      </c>
      <c r="Q2727">
        <v>4</v>
      </c>
      <c r="R2727">
        <v>2026</v>
      </c>
      <c r="S2727" t="s">
        <v>6099</v>
      </c>
      <c r="T2727">
        <v>1</v>
      </c>
      <c r="U2727" t="s">
        <v>6019</v>
      </c>
      <c r="V2727">
        <v>1</v>
      </c>
    </row>
    <row r="2728" spans="1:22" x14ac:dyDescent="0.3">
      <c r="A2728" t="s">
        <v>2743</v>
      </c>
      <c r="B2728" s="2">
        <v>46141.506944444445</v>
      </c>
      <c r="C2728" s="2">
        <v>46142.090277777781</v>
      </c>
      <c r="D2728" t="s">
        <v>6028</v>
      </c>
      <c r="E2728" t="s">
        <v>6031</v>
      </c>
      <c r="F2728" t="s">
        <v>6034</v>
      </c>
      <c r="G2728" t="s">
        <v>6081</v>
      </c>
      <c r="H2728" t="s">
        <v>6098</v>
      </c>
      <c r="I2728">
        <v>24</v>
      </c>
      <c r="J2728">
        <v>14</v>
      </c>
      <c r="K2728" t="s">
        <v>6099</v>
      </c>
      <c r="L2728" t="s">
        <v>6100</v>
      </c>
      <c r="M2728" t="s">
        <v>6100</v>
      </c>
      <c r="N2728">
        <v>5</v>
      </c>
      <c r="O2728" t="s">
        <v>6101</v>
      </c>
      <c r="P2728" t="s">
        <v>6110</v>
      </c>
      <c r="Q2728">
        <v>4</v>
      </c>
      <c r="R2728">
        <v>2026</v>
      </c>
      <c r="S2728" t="s">
        <v>6099</v>
      </c>
      <c r="T2728">
        <v>1</v>
      </c>
      <c r="U2728" t="s">
        <v>6018</v>
      </c>
      <c r="V2728">
        <v>1</v>
      </c>
    </row>
    <row r="2729" spans="1:22" x14ac:dyDescent="0.3">
      <c r="A2729" t="s">
        <v>2744</v>
      </c>
      <c r="B2729" s="2">
        <v>46141.561805555553</v>
      </c>
      <c r="C2729" s="2">
        <v>46141.774305555555</v>
      </c>
      <c r="D2729" t="s">
        <v>6023</v>
      </c>
      <c r="E2729" t="s">
        <v>6029</v>
      </c>
      <c r="F2729" t="s">
        <v>6034</v>
      </c>
      <c r="G2729" t="s">
        <v>6068</v>
      </c>
      <c r="H2729" t="s">
        <v>6098</v>
      </c>
      <c r="I2729">
        <v>24</v>
      </c>
      <c r="J2729">
        <v>5.0999999999999996</v>
      </c>
      <c r="K2729" t="s">
        <v>6099</v>
      </c>
      <c r="L2729" t="s">
        <v>6100</v>
      </c>
      <c r="M2729" t="s">
        <v>6100</v>
      </c>
      <c r="N2729">
        <v>3</v>
      </c>
      <c r="O2729" t="s">
        <v>6101</v>
      </c>
      <c r="P2729" t="s">
        <v>6110</v>
      </c>
      <c r="Q2729">
        <v>4</v>
      </c>
      <c r="R2729">
        <v>2026</v>
      </c>
      <c r="S2729" t="s">
        <v>6099</v>
      </c>
      <c r="T2729">
        <v>1</v>
      </c>
      <c r="U2729" t="s">
        <v>6021</v>
      </c>
      <c r="V2729">
        <v>1</v>
      </c>
    </row>
    <row r="2730" spans="1:22" x14ac:dyDescent="0.3">
      <c r="A2730" t="s">
        <v>2745</v>
      </c>
      <c r="B2730" s="2">
        <v>46141.569444444445</v>
      </c>
      <c r="C2730" s="2">
        <v>46141.919444444444</v>
      </c>
      <c r="D2730" t="s">
        <v>6028</v>
      </c>
      <c r="E2730" t="s">
        <v>6029</v>
      </c>
      <c r="F2730" t="s">
        <v>6034</v>
      </c>
      <c r="G2730" t="s">
        <v>6046</v>
      </c>
      <c r="H2730" t="s">
        <v>6098</v>
      </c>
      <c r="I2730">
        <v>24</v>
      </c>
      <c r="J2730">
        <v>8.4</v>
      </c>
      <c r="K2730" t="s">
        <v>6100</v>
      </c>
      <c r="L2730" t="s">
        <v>6100</v>
      </c>
      <c r="M2730" t="s">
        <v>6100</v>
      </c>
      <c r="N2730">
        <v>3</v>
      </c>
      <c r="O2730" t="s">
        <v>6101</v>
      </c>
      <c r="P2730" t="s">
        <v>6110</v>
      </c>
      <c r="Q2730">
        <v>4</v>
      </c>
      <c r="R2730">
        <v>2026</v>
      </c>
      <c r="S2730" t="s">
        <v>6099</v>
      </c>
      <c r="T2730">
        <v>1</v>
      </c>
      <c r="U2730" t="s">
        <v>6018</v>
      </c>
      <c r="V2730">
        <v>0</v>
      </c>
    </row>
    <row r="2731" spans="1:22" x14ac:dyDescent="0.3">
      <c r="A2731" t="s">
        <v>2746</v>
      </c>
      <c r="B2731" s="2">
        <v>46141.572916666664</v>
      </c>
      <c r="C2731" s="2">
        <v>46143.352083333331</v>
      </c>
      <c r="D2731" t="s">
        <v>6026</v>
      </c>
      <c r="E2731" t="s">
        <v>6031</v>
      </c>
      <c r="F2731" t="s">
        <v>6035</v>
      </c>
      <c r="G2731" t="s">
        <v>6081</v>
      </c>
      <c r="H2731" t="s">
        <v>6098</v>
      </c>
      <c r="I2731">
        <v>4</v>
      </c>
      <c r="J2731">
        <v>42.7</v>
      </c>
      <c r="K2731" t="s">
        <v>6100</v>
      </c>
      <c r="L2731" t="s">
        <v>6099</v>
      </c>
      <c r="M2731" t="s">
        <v>6100</v>
      </c>
      <c r="N2731">
        <v>2</v>
      </c>
      <c r="O2731" t="s">
        <v>6101</v>
      </c>
      <c r="P2731" t="s">
        <v>6110</v>
      </c>
      <c r="Q2731">
        <v>4</v>
      </c>
      <c r="R2731">
        <v>2026</v>
      </c>
      <c r="S2731" t="s">
        <v>6100</v>
      </c>
      <c r="T2731">
        <v>0</v>
      </c>
      <c r="U2731" t="s">
        <v>6021</v>
      </c>
      <c r="V2731">
        <v>0</v>
      </c>
    </row>
    <row r="2732" spans="1:22" x14ac:dyDescent="0.3">
      <c r="A2732" t="s">
        <v>2747</v>
      </c>
      <c r="B2732" s="2">
        <v>46141.584722222222</v>
      </c>
      <c r="C2732" s="2">
        <v>46141.293055555558</v>
      </c>
      <c r="D2732" t="s">
        <v>6024</v>
      </c>
      <c r="E2732" t="s">
        <v>6030</v>
      </c>
      <c r="F2732" t="s">
        <v>6034</v>
      </c>
      <c r="G2732" t="s">
        <v>6048</v>
      </c>
      <c r="H2732" t="s">
        <v>6096</v>
      </c>
      <c r="I2732">
        <v>24</v>
      </c>
      <c r="J2732">
        <v>19.100000000000001</v>
      </c>
      <c r="K2732" t="s">
        <v>6099</v>
      </c>
      <c r="L2732" t="s">
        <v>6100</v>
      </c>
      <c r="M2732" t="s">
        <v>6100</v>
      </c>
      <c r="O2732" t="s">
        <v>6101</v>
      </c>
      <c r="P2732" t="s">
        <v>6110</v>
      </c>
      <c r="Q2732">
        <v>4</v>
      </c>
      <c r="R2732">
        <v>2026</v>
      </c>
      <c r="S2732" t="s">
        <v>6099</v>
      </c>
      <c r="T2732">
        <v>1</v>
      </c>
      <c r="U2732" t="s">
        <v>6021</v>
      </c>
      <c r="V2732">
        <v>1</v>
      </c>
    </row>
    <row r="2733" spans="1:22" x14ac:dyDescent="0.3">
      <c r="A2733" t="s">
        <v>2748</v>
      </c>
      <c r="B2733" s="2">
        <v>46141.597916666666</v>
      </c>
      <c r="C2733" s="2">
        <v>46149.36041666667</v>
      </c>
      <c r="D2733" t="s">
        <v>6026</v>
      </c>
      <c r="E2733" t="s">
        <v>6031</v>
      </c>
      <c r="F2733" t="s">
        <v>6034</v>
      </c>
      <c r="G2733" t="s">
        <v>6041</v>
      </c>
      <c r="H2733" t="s">
        <v>6096</v>
      </c>
      <c r="I2733">
        <v>24</v>
      </c>
      <c r="J2733">
        <v>186.3</v>
      </c>
      <c r="K2733" t="s">
        <v>6099</v>
      </c>
      <c r="L2733" t="s">
        <v>6100</v>
      </c>
      <c r="M2733" t="s">
        <v>6100</v>
      </c>
      <c r="N2733">
        <v>4</v>
      </c>
      <c r="O2733" t="s">
        <v>6101</v>
      </c>
      <c r="P2733" t="s">
        <v>6110</v>
      </c>
      <c r="Q2733">
        <v>4</v>
      </c>
      <c r="R2733">
        <v>2026</v>
      </c>
      <c r="S2733" t="s">
        <v>6100</v>
      </c>
      <c r="T2733">
        <v>0</v>
      </c>
      <c r="U2733" t="s">
        <v>6017</v>
      </c>
      <c r="V2733">
        <v>1</v>
      </c>
    </row>
    <row r="2734" spans="1:22" x14ac:dyDescent="0.3">
      <c r="A2734" t="s">
        <v>2749</v>
      </c>
      <c r="B2734" s="2">
        <v>46141.633333333331</v>
      </c>
      <c r="C2734" s="2">
        <v>46153.491666666669</v>
      </c>
      <c r="D2734" t="s">
        <v>6026</v>
      </c>
      <c r="E2734" t="s">
        <v>6031</v>
      </c>
      <c r="F2734" t="s">
        <v>6034</v>
      </c>
      <c r="G2734" t="s">
        <v>6050</v>
      </c>
      <c r="H2734" t="s">
        <v>6098</v>
      </c>
      <c r="I2734">
        <v>24</v>
      </c>
      <c r="J2734">
        <v>284.60000000000002</v>
      </c>
      <c r="K2734" t="s">
        <v>6100</v>
      </c>
      <c r="L2734" t="s">
        <v>6100</v>
      </c>
      <c r="M2734" t="s">
        <v>6100</v>
      </c>
      <c r="N2734">
        <v>4</v>
      </c>
      <c r="O2734" t="s">
        <v>6101</v>
      </c>
      <c r="P2734" t="s">
        <v>6110</v>
      </c>
      <c r="Q2734">
        <v>4</v>
      </c>
      <c r="R2734">
        <v>2026</v>
      </c>
      <c r="S2734" t="s">
        <v>6100</v>
      </c>
      <c r="T2734">
        <v>0</v>
      </c>
      <c r="U2734" t="s">
        <v>6021</v>
      </c>
      <c r="V2734">
        <v>0</v>
      </c>
    </row>
    <row r="2735" spans="1:22" x14ac:dyDescent="0.3">
      <c r="A2735" t="s">
        <v>2750</v>
      </c>
      <c r="B2735" s="2">
        <v>46141.803472222222</v>
      </c>
      <c r="C2735" s="2">
        <v>46141.953472222223</v>
      </c>
      <c r="D2735" t="s">
        <v>6023</v>
      </c>
      <c r="E2735" t="s">
        <v>6030</v>
      </c>
      <c r="F2735" t="s">
        <v>6034</v>
      </c>
      <c r="G2735" t="s">
        <v>6053</v>
      </c>
      <c r="H2735" t="s">
        <v>6097</v>
      </c>
      <c r="I2735">
        <v>24</v>
      </c>
      <c r="J2735">
        <v>3.6</v>
      </c>
      <c r="K2735" t="s">
        <v>6099</v>
      </c>
      <c r="L2735" t="s">
        <v>6100</v>
      </c>
      <c r="M2735" t="s">
        <v>6100</v>
      </c>
      <c r="N2735">
        <v>5</v>
      </c>
      <c r="O2735" t="s">
        <v>6101</v>
      </c>
      <c r="P2735" t="s">
        <v>6110</v>
      </c>
      <c r="Q2735">
        <v>4</v>
      </c>
      <c r="R2735">
        <v>2026</v>
      </c>
      <c r="S2735" t="s">
        <v>6099</v>
      </c>
      <c r="T2735">
        <v>1</v>
      </c>
      <c r="U2735" t="s">
        <v>6020</v>
      </c>
      <c r="V2735">
        <v>1</v>
      </c>
    </row>
    <row r="2736" spans="1:22" x14ac:dyDescent="0.3">
      <c r="A2736" t="s">
        <v>2751</v>
      </c>
      <c r="B2736" s="2">
        <v>46141.85</v>
      </c>
      <c r="C2736" s="2">
        <v>46142.008333333331</v>
      </c>
      <c r="D2736" t="s">
        <v>6023</v>
      </c>
      <c r="E2736" t="s">
        <v>6029</v>
      </c>
      <c r="F2736" t="s">
        <v>6034</v>
      </c>
      <c r="G2736" t="s">
        <v>6050</v>
      </c>
      <c r="H2736" t="s">
        <v>6098</v>
      </c>
      <c r="I2736">
        <v>24</v>
      </c>
      <c r="J2736">
        <v>3.8</v>
      </c>
      <c r="K2736" t="s">
        <v>6099</v>
      </c>
      <c r="L2736" t="s">
        <v>6100</v>
      </c>
      <c r="M2736" t="s">
        <v>6100</v>
      </c>
      <c r="N2736">
        <v>5</v>
      </c>
      <c r="O2736" t="s">
        <v>6101</v>
      </c>
      <c r="P2736" t="s">
        <v>6110</v>
      </c>
      <c r="Q2736">
        <v>4</v>
      </c>
      <c r="R2736">
        <v>2026</v>
      </c>
      <c r="S2736" t="s">
        <v>6099</v>
      </c>
      <c r="T2736">
        <v>1</v>
      </c>
      <c r="U2736" t="s">
        <v>6017</v>
      </c>
      <c r="V2736">
        <v>1</v>
      </c>
    </row>
    <row r="2737" spans="1:22" x14ac:dyDescent="0.3">
      <c r="A2737" t="s">
        <v>2752</v>
      </c>
      <c r="B2737" s="2">
        <v>46141.851388888892</v>
      </c>
      <c r="C2737" s="2">
        <v>46142.680555555555</v>
      </c>
      <c r="D2737" t="s">
        <v>6022</v>
      </c>
      <c r="E2737" t="s">
        <v>6029</v>
      </c>
      <c r="F2737" t="s">
        <v>6033</v>
      </c>
      <c r="G2737" t="s">
        <v>6059</v>
      </c>
      <c r="H2737" t="s">
        <v>6097</v>
      </c>
      <c r="I2737">
        <v>72</v>
      </c>
      <c r="J2737">
        <v>19.899999999999999</v>
      </c>
      <c r="K2737" t="s">
        <v>6099</v>
      </c>
      <c r="L2737" t="s">
        <v>6100</v>
      </c>
      <c r="M2737" t="s">
        <v>6100</v>
      </c>
      <c r="N2737">
        <v>4</v>
      </c>
      <c r="O2737" t="s">
        <v>6101</v>
      </c>
      <c r="P2737" t="s">
        <v>6110</v>
      </c>
      <c r="Q2737">
        <v>4</v>
      </c>
      <c r="R2737">
        <v>2026</v>
      </c>
      <c r="S2737" t="s">
        <v>6099</v>
      </c>
      <c r="T2737">
        <v>1</v>
      </c>
      <c r="U2737" t="s">
        <v>6017</v>
      </c>
      <c r="V2737">
        <v>1</v>
      </c>
    </row>
    <row r="2738" spans="1:22" x14ac:dyDescent="0.3">
      <c r="A2738" t="s">
        <v>2753</v>
      </c>
      <c r="B2738" s="2">
        <v>46141.86041666667</v>
      </c>
      <c r="C2738" s="2">
        <v>46142.03125</v>
      </c>
      <c r="D2738" t="s">
        <v>6027</v>
      </c>
      <c r="E2738" t="s">
        <v>6030</v>
      </c>
      <c r="F2738" t="s">
        <v>6033</v>
      </c>
      <c r="G2738" t="s">
        <v>6077</v>
      </c>
      <c r="H2738" t="s">
        <v>6098</v>
      </c>
      <c r="I2738">
        <v>72</v>
      </c>
      <c r="J2738">
        <v>4.0999999999999996</v>
      </c>
      <c r="K2738" t="s">
        <v>6099</v>
      </c>
      <c r="L2738" t="s">
        <v>6100</v>
      </c>
      <c r="M2738" t="s">
        <v>6100</v>
      </c>
      <c r="O2738" t="s">
        <v>6101</v>
      </c>
      <c r="P2738" t="s">
        <v>6110</v>
      </c>
      <c r="Q2738">
        <v>4</v>
      </c>
      <c r="R2738">
        <v>2026</v>
      </c>
      <c r="S2738" t="s">
        <v>6099</v>
      </c>
      <c r="T2738">
        <v>1</v>
      </c>
      <c r="U2738" t="s">
        <v>6017</v>
      </c>
      <c r="V2738">
        <v>1</v>
      </c>
    </row>
    <row r="2739" spans="1:22" x14ac:dyDescent="0.3">
      <c r="A2739" t="s">
        <v>2754</v>
      </c>
      <c r="B2739" s="2">
        <v>46141.863194444442</v>
      </c>
      <c r="C2739" s="2">
        <v>46142.150694444441</v>
      </c>
      <c r="D2739" t="s">
        <v>6022</v>
      </c>
      <c r="E2739" t="s">
        <v>6029</v>
      </c>
      <c r="F2739" t="s">
        <v>6034</v>
      </c>
      <c r="G2739" t="s">
        <v>6075</v>
      </c>
      <c r="H2739" t="s">
        <v>6097</v>
      </c>
      <c r="I2739">
        <v>24</v>
      </c>
      <c r="J2739">
        <v>6.9</v>
      </c>
      <c r="K2739" t="s">
        <v>6099</v>
      </c>
      <c r="L2739" t="s">
        <v>6100</v>
      </c>
      <c r="M2739" t="s">
        <v>6100</v>
      </c>
      <c r="N2739">
        <v>5</v>
      </c>
      <c r="O2739" t="s">
        <v>6101</v>
      </c>
      <c r="P2739" t="s">
        <v>6110</v>
      </c>
      <c r="Q2739">
        <v>4</v>
      </c>
      <c r="R2739">
        <v>2026</v>
      </c>
      <c r="S2739" t="s">
        <v>6099</v>
      </c>
      <c r="T2739">
        <v>1</v>
      </c>
      <c r="U2739" t="s">
        <v>6018</v>
      </c>
      <c r="V2739">
        <v>1</v>
      </c>
    </row>
    <row r="2740" spans="1:22" x14ac:dyDescent="0.3">
      <c r="A2740" t="s">
        <v>2755</v>
      </c>
      <c r="B2740" s="2">
        <v>46141.881249999999</v>
      </c>
      <c r="C2740" s="2">
        <v>46142.806250000001</v>
      </c>
      <c r="D2740" t="s">
        <v>6028</v>
      </c>
      <c r="E2740" t="s">
        <v>6031</v>
      </c>
      <c r="F2740" t="s">
        <v>6035</v>
      </c>
      <c r="G2740" t="s">
        <v>6052</v>
      </c>
      <c r="H2740" t="s">
        <v>6098</v>
      </c>
      <c r="I2740">
        <v>4</v>
      </c>
      <c r="J2740">
        <v>22.2</v>
      </c>
      <c r="K2740" t="s">
        <v>6099</v>
      </c>
      <c r="L2740" t="s">
        <v>6100</v>
      </c>
      <c r="M2740" t="s">
        <v>6100</v>
      </c>
      <c r="N2740">
        <v>5</v>
      </c>
      <c r="O2740" t="s">
        <v>6101</v>
      </c>
      <c r="P2740" t="s">
        <v>6110</v>
      </c>
      <c r="Q2740">
        <v>4</v>
      </c>
      <c r="R2740">
        <v>2026</v>
      </c>
      <c r="S2740" t="s">
        <v>6100</v>
      </c>
      <c r="T2740">
        <v>0</v>
      </c>
      <c r="U2740" t="s">
        <v>6019</v>
      </c>
      <c r="V2740">
        <v>1</v>
      </c>
    </row>
    <row r="2741" spans="1:22" x14ac:dyDescent="0.3">
      <c r="A2741" t="s">
        <v>2756</v>
      </c>
      <c r="B2741" s="2">
        <v>46142.265277777777</v>
      </c>
      <c r="C2741" s="2">
        <v>46143.552777777775</v>
      </c>
      <c r="D2741" t="s">
        <v>6027</v>
      </c>
      <c r="E2741" t="s">
        <v>6032</v>
      </c>
      <c r="F2741" t="s">
        <v>6033</v>
      </c>
      <c r="G2741" t="s">
        <v>6051</v>
      </c>
      <c r="H2741" t="s">
        <v>6097</v>
      </c>
      <c r="I2741">
        <v>72</v>
      </c>
      <c r="J2741">
        <v>30.9</v>
      </c>
      <c r="K2741" t="s">
        <v>6099</v>
      </c>
      <c r="L2741" t="s">
        <v>6100</v>
      </c>
      <c r="M2741" t="s">
        <v>6099</v>
      </c>
      <c r="N2741">
        <v>5</v>
      </c>
      <c r="O2741" t="s">
        <v>6101</v>
      </c>
      <c r="P2741" t="s">
        <v>6110</v>
      </c>
      <c r="Q2741">
        <v>4</v>
      </c>
      <c r="R2741">
        <v>2026</v>
      </c>
      <c r="S2741" t="s">
        <v>6099</v>
      </c>
      <c r="T2741">
        <v>1</v>
      </c>
      <c r="U2741" t="s">
        <v>6019</v>
      </c>
      <c r="V2741">
        <v>1</v>
      </c>
    </row>
    <row r="2742" spans="1:22" x14ac:dyDescent="0.3">
      <c r="A2742" t="s">
        <v>2757</v>
      </c>
      <c r="B2742" s="2">
        <v>46142.32916666667</v>
      </c>
      <c r="C2742" s="2">
        <v>46142.741666666669</v>
      </c>
      <c r="D2742" t="s">
        <v>6027</v>
      </c>
      <c r="E2742" t="s">
        <v>6029</v>
      </c>
      <c r="F2742" t="s">
        <v>6033</v>
      </c>
      <c r="G2742" t="s">
        <v>6066</v>
      </c>
      <c r="H2742" t="s">
        <v>6096</v>
      </c>
      <c r="I2742">
        <v>72</v>
      </c>
      <c r="J2742">
        <v>9.9</v>
      </c>
      <c r="K2742" t="s">
        <v>6099</v>
      </c>
      <c r="L2742" t="s">
        <v>6100</v>
      </c>
      <c r="M2742" t="s">
        <v>6100</v>
      </c>
      <c r="N2742">
        <v>5</v>
      </c>
      <c r="O2742" t="s">
        <v>6101</v>
      </c>
      <c r="P2742" t="s">
        <v>6110</v>
      </c>
      <c r="Q2742">
        <v>4</v>
      </c>
      <c r="R2742">
        <v>2026</v>
      </c>
      <c r="S2742" t="s">
        <v>6099</v>
      </c>
      <c r="T2742">
        <v>1</v>
      </c>
      <c r="U2742" t="s">
        <v>6019</v>
      </c>
      <c r="V2742">
        <v>1</v>
      </c>
    </row>
    <row r="2743" spans="1:22" x14ac:dyDescent="0.3">
      <c r="A2743" t="s">
        <v>2758</v>
      </c>
      <c r="B2743" s="2">
        <v>46142.334722222222</v>
      </c>
      <c r="C2743" s="2">
        <v>46143.251388888886</v>
      </c>
      <c r="D2743" t="s">
        <v>6028</v>
      </c>
      <c r="E2743" t="s">
        <v>6031</v>
      </c>
      <c r="F2743" t="s">
        <v>6034</v>
      </c>
      <c r="G2743" t="s">
        <v>6068</v>
      </c>
      <c r="H2743" t="s">
        <v>6098</v>
      </c>
      <c r="I2743">
        <v>24</v>
      </c>
      <c r="J2743">
        <v>22</v>
      </c>
      <c r="K2743" t="s">
        <v>6100</v>
      </c>
      <c r="L2743" t="s">
        <v>6099</v>
      </c>
      <c r="M2743" t="s">
        <v>6100</v>
      </c>
      <c r="O2743" t="s">
        <v>6101</v>
      </c>
      <c r="P2743" t="s">
        <v>6110</v>
      </c>
      <c r="Q2743">
        <v>4</v>
      </c>
      <c r="R2743">
        <v>2026</v>
      </c>
      <c r="S2743" t="s">
        <v>6099</v>
      </c>
      <c r="T2743">
        <v>1</v>
      </c>
      <c r="U2743" t="s">
        <v>6020</v>
      </c>
      <c r="V2743">
        <v>0</v>
      </c>
    </row>
    <row r="2744" spans="1:22" x14ac:dyDescent="0.3">
      <c r="A2744" t="s">
        <v>2759</v>
      </c>
      <c r="B2744" s="2">
        <v>46142.443749999999</v>
      </c>
      <c r="C2744" s="2">
        <v>46144.877083333333</v>
      </c>
      <c r="D2744" t="s">
        <v>6024</v>
      </c>
      <c r="E2744" t="s">
        <v>6032</v>
      </c>
      <c r="F2744" t="s">
        <v>6033</v>
      </c>
      <c r="G2744" t="s">
        <v>6056</v>
      </c>
      <c r="H2744" t="s">
        <v>6098</v>
      </c>
      <c r="I2744">
        <v>72</v>
      </c>
      <c r="J2744">
        <v>58.4</v>
      </c>
      <c r="K2744" t="s">
        <v>6100</v>
      </c>
      <c r="L2744" t="s">
        <v>6100</v>
      </c>
      <c r="M2744" t="s">
        <v>6100</v>
      </c>
      <c r="O2744" t="s">
        <v>6101</v>
      </c>
      <c r="P2744" t="s">
        <v>6110</v>
      </c>
      <c r="Q2744">
        <v>4</v>
      </c>
      <c r="R2744">
        <v>2026</v>
      </c>
      <c r="S2744" t="s">
        <v>6099</v>
      </c>
      <c r="T2744">
        <v>1</v>
      </c>
      <c r="U2744" t="s">
        <v>6019</v>
      </c>
      <c r="V2744">
        <v>0</v>
      </c>
    </row>
    <row r="2745" spans="1:22" x14ac:dyDescent="0.3">
      <c r="A2745" t="s">
        <v>2760</v>
      </c>
      <c r="B2745" s="2">
        <v>46142.449305555558</v>
      </c>
      <c r="C2745" s="2">
        <v>46142.995138888888</v>
      </c>
      <c r="D2745" t="s">
        <v>6028</v>
      </c>
      <c r="E2745" t="s">
        <v>6031</v>
      </c>
      <c r="F2745" t="s">
        <v>6034</v>
      </c>
      <c r="G2745" t="s">
        <v>6078</v>
      </c>
      <c r="H2745" t="s">
        <v>6097</v>
      </c>
      <c r="I2745">
        <v>24</v>
      </c>
      <c r="J2745">
        <v>13.1</v>
      </c>
      <c r="K2745" t="s">
        <v>6099</v>
      </c>
      <c r="L2745" t="s">
        <v>6100</v>
      </c>
      <c r="M2745" t="s">
        <v>6100</v>
      </c>
      <c r="N2745">
        <v>5</v>
      </c>
      <c r="O2745" t="s">
        <v>6101</v>
      </c>
      <c r="P2745" t="s">
        <v>6110</v>
      </c>
      <c r="Q2745">
        <v>4</v>
      </c>
      <c r="R2745">
        <v>2026</v>
      </c>
      <c r="S2745" t="s">
        <v>6099</v>
      </c>
      <c r="T2745">
        <v>1</v>
      </c>
      <c r="U2745" t="s">
        <v>6019</v>
      </c>
      <c r="V2745">
        <v>1</v>
      </c>
    </row>
    <row r="2746" spans="1:22" x14ac:dyDescent="0.3">
      <c r="A2746" t="s">
        <v>2761</v>
      </c>
      <c r="B2746" s="2">
        <v>46142.455555555556</v>
      </c>
      <c r="C2746" s="2">
        <v>46142.938888888886</v>
      </c>
      <c r="D2746" t="s">
        <v>6022</v>
      </c>
      <c r="E2746" t="s">
        <v>6029</v>
      </c>
      <c r="F2746" t="s">
        <v>6034</v>
      </c>
      <c r="G2746" t="s">
        <v>6076</v>
      </c>
      <c r="H2746" t="s">
        <v>6097</v>
      </c>
      <c r="I2746">
        <v>24</v>
      </c>
      <c r="J2746">
        <v>11.6</v>
      </c>
      <c r="K2746" t="s">
        <v>6099</v>
      </c>
      <c r="L2746" t="s">
        <v>6100</v>
      </c>
      <c r="M2746" t="s">
        <v>6100</v>
      </c>
      <c r="O2746" t="s">
        <v>6101</v>
      </c>
      <c r="P2746" t="s">
        <v>6110</v>
      </c>
      <c r="Q2746">
        <v>4</v>
      </c>
      <c r="R2746">
        <v>2026</v>
      </c>
      <c r="S2746" t="s">
        <v>6099</v>
      </c>
      <c r="T2746">
        <v>1</v>
      </c>
      <c r="U2746" t="s">
        <v>6019</v>
      </c>
      <c r="V2746">
        <v>1</v>
      </c>
    </row>
    <row r="2747" spans="1:22" x14ac:dyDescent="0.3">
      <c r="A2747" t="s">
        <v>2762</v>
      </c>
      <c r="B2747" s="2">
        <v>46142.493750000001</v>
      </c>
      <c r="C2747" s="2">
        <v>46149.064583333333</v>
      </c>
      <c r="D2747" t="s">
        <v>6026</v>
      </c>
      <c r="E2747" t="s">
        <v>6029</v>
      </c>
      <c r="F2747" t="s">
        <v>6034</v>
      </c>
      <c r="G2747" t="s">
        <v>6056</v>
      </c>
      <c r="H2747" t="s">
        <v>6098</v>
      </c>
      <c r="I2747">
        <v>24</v>
      </c>
      <c r="J2747">
        <v>157.69999999999999</v>
      </c>
      <c r="K2747" t="s">
        <v>6100</v>
      </c>
      <c r="L2747" t="s">
        <v>6099</v>
      </c>
      <c r="M2747" t="s">
        <v>6100</v>
      </c>
      <c r="N2747">
        <v>2</v>
      </c>
      <c r="O2747" t="s">
        <v>6101</v>
      </c>
      <c r="P2747" t="s">
        <v>6110</v>
      </c>
      <c r="Q2747">
        <v>4</v>
      </c>
      <c r="R2747">
        <v>2026</v>
      </c>
      <c r="S2747" t="s">
        <v>6100</v>
      </c>
      <c r="T2747">
        <v>0</v>
      </c>
      <c r="U2747" t="s">
        <v>6019</v>
      </c>
      <c r="V2747">
        <v>0</v>
      </c>
    </row>
    <row r="2748" spans="1:22" x14ac:dyDescent="0.3">
      <c r="A2748" t="s">
        <v>2763</v>
      </c>
      <c r="B2748" s="2">
        <v>46142.495138888888</v>
      </c>
      <c r="C2748" s="2">
        <v>46142.845138888886</v>
      </c>
      <c r="D2748" t="s">
        <v>6028</v>
      </c>
      <c r="E2748" t="s">
        <v>6029</v>
      </c>
      <c r="F2748" t="s">
        <v>6035</v>
      </c>
      <c r="G2748" t="s">
        <v>6087</v>
      </c>
      <c r="H2748" t="s">
        <v>6098</v>
      </c>
      <c r="I2748">
        <v>4</v>
      </c>
      <c r="J2748">
        <v>8.4</v>
      </c>
      <c r="K2748" t="s">
        <v>6100</v>
      </c>
      <c r="L2748" t="s">
        <v>6100</v>
      </c>
      <c r="M2748" t="s">
        <v>6100</v>
      </c>
      <c r="N2748">
        <v>3</v>
      </c>
      <c r="O2748" t="s">
        <v>6101</v>
      </c>
      <c r="P2748" t="s">
        <v>6110</v>
      </c>
      <c r="Q2748">
        <v>4</v>
      </c>
      <c r="R2748">
        <v>2026</v>
      </c>
      <c r="S2748" t="s">
        <v>6100</v>
      </c>
      <c r="T2748">
        <v>0</v>
      </c>
      <c r="U2748" t="s">
        <v>6019</v>
      </c>
      <c r="V2748">
        <v>0</v>
      </c>
    </row>
    <row r="2749" spans="1:22" x14ac:dyDescent="0.3">
      <c r="A2749" t="s">
        <v>2764</v>
      </c>
      <c r="B2749" s="2">
        <v>46142.505555555559</v>
      </c>
      <c r="C2749" s="2">
        <v>46144.609722222223</v>
      </c>
      <c r="D2749" t="s">
        <v>6026</v>
      </c>
      <c r="E2749" t="s">
        <v>6031</v>
      </c>
      <c r="F2749" t="s">
        <v>6035</v>
      </c>
      <c r="G2749" t="s">
        <v>6079</v>
      </c>
      <c r="H2749" t="s">
        <v>6097</v>
      </c>
      <c r="I2749">
        <v>4</v>
      </c>
      <c r="J2749">
        <v>50.5</v>
      </c>
      <c r="K2749" t="s">
        <v>6099</v>
      </c>
      <c r="L2749" t="s">
        <v>6100</v>
      </c>
      <c r="M2749" t="s">
        <v>6099</v>
      </c>
      <c r="O2749" t="s">
        <v>6101</v>
      </c>
      <c r="P2749" t="s">
        <v>6110</v>
      </c>
      <c r="Q2749">
        <v>4</v>
      </c>
      <c r="R2749">
        <v>2026</v>
      </c>
      <c r="S2749" t="s">
        <v>6100</v>
      </c>
      <c r="T2749">
        <v>0</v>
      </c>
      <c r="U2749" t="s">
        <v>6018</v>
      </c>
      <c r="V2749">
        <v>1</v>
      </c>
    </row>
    <row r="2750" spans="1:22" x14ac:dyDescent="0.3">
      <c r="A2750" t="s">
        <v>2765</v>
      </c>
      <c r="B2750" s="2">
        <v>46142.513888888891</v>
      </c>
      <c r="C2750" s="2">
        <v>46142.751388888886</v>
      </c>
      <c r="D2750" t="s">
        <v>6023</v>
      </c>
      <c r="E2750" t="s">
        <v>6029</v>
      </c>
      <c r="F2750" t="s">
        <v>6033</v>
      </c>
      <c r="G2750" t="s">
        <v>6040</v>
      </c>
      <c r="H2750" t="s">
        <v>6097</v>
      </c>
      <c r="I2750">
        <v>72</v>
      </c>
      <c r="J2750">
        <v>5.7</v>
      </c>
      <c r="K2750" t="s">
        <v>6099</v>
      </c>
      <c r="L2750" t="s">
        <v>6100</v>
      </c>
      <c r="M2750" t="s">
        <v>6099</v>
      </c>
      <c r="N2750">
        <v>5</v>
      </c>
      <c r="O2750" t="s">
        <v>6101</v>
      </c>
      <c r="P2750" t="s">
        <v>6110</v>
      </c>
      <c r="Q2750">
        <v>4</v>
      </c>
      <c r="R2750">
        <v>2026</v>
      </c>
      <c r="S2750" t="s">
        <v>6099</v>
      </c>
      <c r="T2750">
        <v>1</v>
      </c>
      <c r="U2750" t="s">
        <v>6019</v>
      </c>
      <c r="V2750">
        <v>1</v>
      </c>
    </row>
    <row r="2751" spans="1:22" x14ac:dyDescent="0.3">
      <c r="A2751" t="s">
        <v>2766</v>
      </c>
      <c r="B2751" s="2">
        <v>46142.536111111112</v>
      </c>
      <c r="C2751" s="2">
        <v>46142.848611111112</v>
      </c>
      <c r="D2751" t="s">
        <v>6028</v>
      </c>
      <c r="E2751" t="s">
        <v>6030</v>
      </c>
      <c r="F2751" t="s">
        <v>6034</v>
      </c>
      <c r="G2751" t="s">
        <v>6037</v>
      </c>
      <c r="H2751" t="s">
        <v>6096</v>
      </c>
      <c r="I2751">
        <v>24</v>
      </c>
      <c r="J2751">
        <v>7.5</v>
      </c>
      <c r="K2751" t="s">
        <v>6099</v>
      </c>
      <c r="L2751" t="s">
        <v>6100</v>
      </c>
      <c r="M2751" t="s">
        <v>6100</v>
      </c>
      <c r="N2751">
        <v>5</v>
      </c>
      <c r="O2751" t="s">
        <v>6101</v>
      </c>
      <c r="P2751" t="s">
        <v>6110</v>
      </c>
      <c r="Q2751">
        <v>4</v>
      </c>
      <c r="R2751">
        <v>2026</v>
      </c>
      <c r="S2751" t="s">
        <v>6099</v>
      </c>
      <c r="T2751">
        <v>1</v>
      </c>
      <c r="U2751" t="s">
        <v>6021</v>
      </c>
      <c r="V2751">
        <v>1</v>
      </c>
    </row>
    <row r="2752" spans="1:22" x14ac:dyDescent="0.3">
      <c r="A2752" t="s">
        <v>2767</v>
      </c>
      <c r="B2752" s="2">
        <v>46142.544444444444</v>
      </c>
      <c r="C2752" s="2">
        <v>46142.973611111112</v>
      </c>
      <c r="D2752" t="s">
        <v>6022</v>
      </c>
      <c r="E2752" t="s">
        <v>6030</v>
      </c>
      <c r="F2752" t="s">
        <v>6033</v>
      </c>
      <c r="G2752" t="s">
        <v>6042</v>
      </c>
      <c r="H2752" t="s">
        <v>6098</v>
      </c>
      <c r="I2752">
        <v>72</v>
      </c>
      <c r="J2752">
        <v>10.3</v>
      </c>
      <c r="K2752" t="s">
        <v>6099</v>
      </c>
      <c r="L2752" t="s">
        <v>6100</v>
      </c>
      <c r="M2752" t="s">
        <v>6100</v>
      </c>
      <c r="N2752">
        <v>5</v>
      </c>
      <c r="O2752" t="s">
        <v>6101</v>
      </c>
      <c r="P2752" t="s">
        <v>6110</v>
      </c>
      <c r="Q2752">
        <v>4</v>
      </c>
      <c r="R2752">
        <v>2026</v>
      </c>
      <c r="S2752" t="s">
        <v>6099</v>
      </c>
      <c r="T2752">
        <v>1</v>
      </c>
      <c r="U2752" t="s">
        <v>6020</v>
      </c>
      <c r="V2752">
        <v>1</v>
      </c>
    </row>
    <row r="2753" spans="1:22" x14ac:dyDescent="0.3">
      <c r="A2753" t="s">
        <v>2768</v>
      </c>
      <c r="B2753" s="2">
        <v>46142.550694444442</v>
      </c>
      <c r="C2753" s="2">
        <v>46144.521527777775</v>
      </c>
      <c r="D2753" t="s">
        <v>6028</v>
      </c>
      <c r="E2753" t="s">
        <v>6032</v>
      </c>
      <c r="F2753" t="s">
        <v>6034</v>
      </c>
      <c r="G2753" t="s">
        <v>6064</v>
      </c>
      <c r="H2753" t="s">
        <v>6096</v>
      </c>
      <c r="I2753">
        <v>24</v>
      </c>
      <c r="J2753">
        <v>47.3</v>
      </c>
      <c r="K2753" t="s">
        <v>6100</v>
      </c>
      <c r="L2753" t="s">
        <v>6100</v>
      </c>
      <c r="M2753" t="s">
        <v>6100</v>
      </c>
      <c r="N2753">
        <v>5</v>
      </c>
      <c r="O2753" t="s">
        <v>6101</v>
      </c>
      <c r="P2753" t="s">
        <v>6110</v>
      </c>
      <c r="Q2753">
        <v>4</v>
      </c>
      <c r="R2753">
        <v>2026</v>
      </c>
      <c r="S2753" t="s">
        <v>6100</v>
      </c>
      <c r="T2753">
        <v>0</v>
      </c>
      <c r="U2753" t="s">
        <v>6018</v>
      </c>
      <c r="V2753">
        <v>0</v>
      </c>
    </row>
    <row r="2754" spans="1:22" x14ac:dyDescent="0.3">
      <c r="A2754" t="s">
        <v>2769</v>
      </c>
      <c r="B2754" s="2">
        <v>46142.55972222222</v>
      </c>
      <c r="C2754" s="2">
        <v>46145.947222222225</v>
      </c>
      <c r="D2754" t="s">
        <v>6025</v>
      </c>
      <c r="E2754" t="s">
        <v>6031</v>
      </c>
      <c r="F2754" t="s">
        <v>6033</v>
      </c>
      <c r="G2754" t="s">
        <v>6045</v>
      </c>
      <c r="H2754" t="s">
        <v>6096</v>
      </c>
      <c r="I2754">
        <v>72</v>
      </c>
      <c r="J2754">
        <v>81.3</v>
      </c>
      <c r="K2754" t="s">
        <v>6099</v>
      </c>
      <c r="L2754" t="s">
        <v>6100</v>
      </c>
      <c r="M2754" t="s">
        <v>6099</v>
      </c>
      <c r="O2754" t="s">
        <v>6101</v>
      </c>
      <c r="P2754" t="s">
        <v>6110</v>
      </c>
      <c r="Q2754">
        <v>4</v>
      </c>
      <c r="R2754">
        <v>2026</v>
      </c>
      <c r="S2754" t="s">
        <v>6100</v>
      </c>
      <c r="T2754">
        <v>0</v>
      </c>
      <c r="U2754" t="s">
        <v>6021</v>
      </c>
      <c r="V2754">
        <v>1</v>
      </c>
    </row>
    <row r="2755" spans="1:22" x14ac:dyDescent="0.3">
      <c r="A2755" t="s">
        <v>2770</v>
      </c>
      <c r="B2755" s="2">
        <v>46142.606249999997</v>
      </c>
      <c r="C2755" s="2">
        <v>46145.614583333336</v>
      </c>
      <c r="D2755" t="s">
        <v>6026</v>
      </c>
      <c r="E2755" t="s">
        <v>6029</v>
      </c>
      <c r="F2755" t="s">
        <v>6034</v>
      </c>
      <c r="G2755" t="s">
        <v>6075</v>
      </c>
      <c r="H2755" t="s">
        <v>6097</v>
      </c>
      <c r="I2755">
        <v>24</v>
      </c>
      <c r="J2755">
        <v>72.2</v>
      </c>
      <c r="K2755" t="s">
        <v>6099</v>
      </c>
      <c r="L2755" t="s">
        <v>6100</v>
      </c>
      <c r="M2755" t="s">
        <v>6100</v>
      </c>
      <c r="N2755">
        <v>5</v>
      </c>
      <c r="O2755" t="s">
        <v>6101</v>
      </c>
      <c r="P2755" t="s">
        <v>6110</v>
      </c>
      <c r="Q2755">
        <v>4</v>
      </c>
      <c r="R2755">
        <v>2026</v>
      </c>
      <c r="S2755" t="s">
        <v>6100</v>
      </c>
      <c r="T2755">
        <v>0</v>
      </c>
      <c r="U2755" t="s">
        <v>6021</v>
      </c>
      <c r="V2755">
        <v>1</v>
      </c>
    </row>
    <row r="2756" spans="1:22" x14ac:dyDescent="0.3">
      <c r="A2756" t="s">
        <v>2771</v>
      </c>
      <c r="B2756" s="2">
        <v>46142.613194444442</v>
      </c>
      <c r="C2756" s="2">
        <v>46143.084027777775</v>
      </c>
      <c r="D2756" t="s">
        <v>6028</v>
      </c>
      <c r="E2756" t="s">
        <v>6031</v>
      </c>
      <c r="F2756" t="s">
        <v>6035</v>
      </c>
      <c r="G2756" t="s">
        <v>6052</v>
      </c>
      <c r="H2756" t="s">
        <v>6098</v>
      </c>
      <c r="I2756">
        <v>4</v>
      </c>
      <c r="J2756">
        <v>11.3</v>
      </c>
      <c r="K2756" t="s">
        <v>6100</v>
      </c>
      <c r="L2756" t="s">
        <v>6099</v>
      </c>
      <c r="M2756" t="s">
        <v>6099</v>
      </c>
      <c r="N2756">
        <v>4</v>
      </c>
      <c r="O2756" t="s">
        <v>6101</v>
      </c>
      <c r="P2756" t="s">
        <v>6110</v>
      </c>
      <c r="Q2756">
        <v>4</v>
      </c>
      <c r="R2756">
        <v>2026</v>
      </c>
      <c r="S2756" t="s">
        <v>6100</v>
      </c>
      <c r="T2756">
        <v>0</v>
      </c>
      <c r="U2756" t="s">
        <v>6020</v>
      </c>
      <c r="V2756">
        <v>0</v>
      </c>
    </row>
    <row r="2757" spans="1:22" x14ac:dyDescent="0.3">
      <c r="A2757" t="s">
        <v>2772</v>
      </c>
      <c r="B2757" s="2">
        <v>46142.620833333334</v>
      </c>
      <c r="C2757" s="2">
        <v>46142.716666666667</v>
      </c>
      <c r="D2757" t="s">
        <v>6022</v>
      </c>
      <c r="E2757" t="s">
        <v>6029</v>
      </c>
      <c r="F2757" t="s">
        <v>6034</v>
      </c>
      <c r="G2757" t="s">
        <v>6060</v>
      </c>
      <c r="H2757" t="s">
        <v>6097</v>
      </c>
      <c r="I2757">
        <v>24</v>
      </c>
      <c r="J2757">
        <v>2.2999999999999998</v>
      </c>
      <c r="K2757" t="s">
        <v>6099</v>
      </c>
      <c r="L2757" t="s">
        <v>6100</v>
      </c>
      <c r="M2757" t="s">
        <v>6100</v>
      </c>
      <c r="N2757">
        <v>4</v>
      </c>
      <c r="O2757" t="s">
        <v>6101</v>
      </c>
      <c r="P2757" t="s">
        <v>6110</v>
      </c>
      <c r="Q2757">
        <v>4</v>
      </c>
      <c r="R2757">
        <v>2026</v>
      </c>
      <c r="S2757" t="s">
        <v>6099</v>
      </c>
      <c r="T2757">
        <v>1</v>
      </c>
      <c r="U2757" t="s">
        <v>6018</v>
      </c>
      <c r="V2757">
        <v>1</v>
      </c>
    </row>
    <row r="2758" spans="1:22" x14ac:dyDescent="0.3">
      <c r="A2758" t="s">
        <v>2773</v>
      </c>
      <c r="B2758" s="2">
        <v>46142.626388888886</v>
      </c>
      <c r="C2758" s="2">
        <v>46145.355555555558</v>
      </c>
      <c r="D2758" t="s">
        <v>6026</v>
      </c>
      <c r="E2758" t="s">
        <v>6031</v>
      </c>
      <c r="F2758" t="s">
        <v>6033</v>
      </c>
      <c r="G2758" t="s">
        <v>6044</v>
      </c>
      <c r="H2758" t="s">
        <v>6097</v>
      </c>
      <c r="I2758">
        <v>72</v>
      </c>
      <c r="J2758">
        <v>65.5</v>
      </c>
      <c r="K2758" t="s">
        <v>6099</v>
      </c>
      <c r="L2758" t="s">
        <v>6100</v>
      </c>
      <c r="M2758" t="s">
        <v>6100</v>
      </c>
      <c r="O2758" t="s">
        <v>6101</v>
      </c>
      <c r="P2758" t="s">
        <v>6110</v>
      </c>
      <c r="Q2758">
        <v>4</v>
      </c>
      <c r="R2758">
        <v>2026</v>
      </c>
      <c r="S2758" t="s">
        <v>6099</v>
      </c>
      <c r="T2758">
        <v>1</v>
      </c>
      <c r="U2758" t="s">
        <v>6017</v>
      </c>
      <c r="V2758">
        <v>1</v>
      </c>
    </row>
    <row r="2759" spans="1:22" x14ac:dyDescent="0.3">
      <c r="A2759" t="s">
        <v>2774</v>
      </c>
      <c r="B2759" s="2">
        <v>46142.629861111112</v>
      </c>
      <c r="C2759" s="2">
        <v>46149.021527777775</v>
      </c>
      <c r="D2759" t="s">
        <v>6026</v>
      </c>
      <c r="E2759" t="s">
        <v>6031</v>
      </c>
      <c r="F2759" t="s">
        <v>6033</v>
      </c>
      <c r="G2759" t="s">
        <v>6081</v>
      </c>
      <c r="H2759" t="s">
        <v>6098</v>
      </c>
      <c r="I2759">
        <v>72</v>
      </c>
      <c r="J2759">
        <v>153.4</v>
      </c>
      <c r="K2759" t="s">
        <v>6099</v>
      </c>
      <c r="L2759" t="s">
        <v>6100</v>
      </c>
      <c r="M2759" t="s">
        <v>6100</v>
      </c>
      <c r="N2759">
        <v>3</v>
      </c>
      <c r="O2759" t="s">
        <v>6101</v>
      </c>
      <c r="P2759" t="s">
        <v>6110</v>
      </c>
      <c r="Q2759">
        <v>4</v>
      </c>
      <c r="R2759">
        <v>2026</v>
      </c>
      <c r="S2759" t="s">
        <v>6100</v>
      </c>
      <c r="T2759">
        <v>0</v>
      </c>
      <c r="U2759" t="s">
        <v>6021</v>
      </c>
      <c r="V2759">
        <v>1</v>
      </c>
    </row>
    <row r="2760" spans="1:22" x14ac:dyDescent="0.3">
      <c r="A2760" t="s">
        <v>2775</v>
      </c>
      <c r="B2760" s="2">
        <v>46142.646527777775</v>
      </c>
      <c r="C2760" s="2">
        <v>46142.863194444442</v>
      </c>
      <c r="D2760" t="s">
        <v>6027</v>
      </c>
      <c r="E2760" t="s">
        <v>6029</v>
      </c>
      <c r="F2760" t="s">
        <v>6034</v>
      </c>
      <c r="G2760" t="s">
        <v>6044</v>
      </c>
      <c r="H2760" t="s">
        <v>6097</v>
      </c>
      <c r="I2760">
        <v>24</v>
      </c>
      <c r="J2760">
        <v>5.2</v>
      </c>
      <c r="K2760" t="s">
        <v>6099</v>
      </c>
      <c r="L2760" t="s">
        <v>6100</v>
      </c>
      <c r="M2760" t="s">
        <v>6100</v>
      </c>
      <c r="N2760">
        <v>5</v>
      </c>
      <c r="O2760" t="s">
        <v>6101</v>
      </c>
      <c r="P2760" t="s">
        <v>6110</v>
      </c>
      <c r="Q2760">
        <v>4</v>
      </c>
      <c r="R2760">
        <v>2026</v>
      </c>
      <c r="S2760" t="s">
        <v>6099</v>
      </c>
      <c r="T2760">
        <v>1</v>
      </c>
      <c r="U2760" t="s">
        <v>6017</v>
      </c>
      <c r="V2760">
        <v>1</v>
      </c>
    </row>
    <row r="2761" spans="1:22" x14ac:dyDescent="0.3">
      <c r="A2761" t="s">
        <v>2776</v>
      </c>
      <c r="B2761" s="2">
        <v>46142.676388888889</v>
      </c>
      <c r="C2761" s="2">
        <v>46142.938888888886</v>
      </c>
      <c r="D2761" t="s">
        <v>6025</v>
      </c>
      <c r="E2761" t="s">
        <v>6029</v>
      </c>
      <c r="F2761" t="s">
        <v>6034</v>
      </c>
      <c r="G2761" t="s">
        <v>6073</v>
      </c>
      <c r="H2761" t="s">
        <v>6096</v>
      </c>
      <c r="I2761">
        <v>24</v>
      </c>
      <c r="J2761">
        <v>6.3</v>
      </c>
      <c r="K2761" t="s">
        <v>6099</v>
      </c>
      <c r="L2761" t="s">
        <v>6100</v>
      </c>
      <c r="M2761" t="s">
        <v>6100</v>
      </c>
      <c r="O2761" t="s">
        <v>6101</v>
      </c>
      <c r="P2761" t="s">
        <v>6110</v>
      </c>
      <c r="Q2761">
        <v>4</v>
      </c>
      <c r="R2761">
        <v>2026</v>
      </c>
      <c r="S2761" t="s">
        <v>6099</v>
      </c>
      <c r="T2761">
        <v>1</v>
      </c>
      <c r="U2761" t="s">
        <v>6020</v>
      </c>
      <c r="V2761">
        <v>1</v>
      </c>
    </row>
    <row r="2762" spans="1:22" x14ac:dyDescent="0.3">
      <c r="A2762" t="s">
        <v>2777</v>
      </c>
      <c r="B2762" s="2">
        <v>46142.726388888892</v>
      </c>
      <c r="C2762" s="2">
        <v>46142.943055555559</v>
      </c>
      <c r="D2762" t="s">
        <v>6022</v>
      </c>
      <c r="E2762" t="s">
        <v>6030</v>
      </c>
      <c r="F2762" t="s">
        <v>6033</v>
      </c>
      <c r="G2762" t="s">
        <v>6055</v>
      </c>
      <c r="H2762" t="s">
        <v>6096</v>
      </c>
      <c r="I2762">
        <v>72</v>
      </c>
      <c r="J2762">
        <v>5.2</v>
      </c>
      <c r="K2762" t="s">
        <v>6100</v>
      </c>
      <c r="L2762" t="s">
        <v>6099</v>
      </c>
      <c r="M2762" t="s">
        <v>6100</v>
      </c>
      <c r="O2762" t="s">
        <v>6101</v>
      </c>
      <c r="P2762" t="s">
        <v>6110</v>
      </c>
      <c r="Q2762">
        <v>4</v>
      </c>
      <c r="R2762">
        <v>2026</v>
      </c>
      <c r="S2762" t="s">
        <v>6099</v>
      </c>
      <c r="T2762">
        <v>1</v>
      </c>
      <c r="U2762" t="s">
        <v>6018</v>
      </c>
      <c r="V2762">
        <v>0</v>
      </c>
    </row>
    <row r="2763" spans="1:22" x14ac:dyDescent="0.3">
      <c r="A2763" t="s">
        <v>2778</v>
      </c>
      <c r="B2763" s="2">
        <v>46142.726388888892</v>
      </c>
      <c r="C2763" s="2">
        <v>46143.234722222223</v>
      </c>
      <c r="D2763" t="s">
        <v>6028</v>
      </c>
      <c r="E2763" t="s">
        <v>6031</v>
      </c>
      <c r="F2763" t="s">
        <v>6034</v>
      </c>
      <c r="G2763" t="s">
        <v>6080</v>
      </c>
      <c r="H2763" t="s">
        <v>6096</v>
      </c>
      <c r="I2763">
        <v>24</v>
      </c>
      <c r="J2763">
        <v>12.2</v>
      </c>
      <c r="K2763" t="s">
        <v>6100</v>
      </c>
      <c r="L2763" t="s">
        <v>6099</v>
      </c>
      <c r="M2763" t="s">
        <v>6099</v>
      </c>
      <c r="N2763">
        <v>3</v>
      </c>
      <c r="O2763" t="s">
        <v>6101</v>
      </c>
      <c r="P2763" t="s">
        <v>6110</v>
      </c>
      <c r="Q2763">
        <v>4</v>
      </c>
      <c r="R2763">
        <v>2026</v>
      </c>
      <c r="S2763" t="s">
        <v>6099</v>
      </c>
      <c r="T2763">
        <v>1</v>
      </c>
      <c r="U2763" t="s">
        <v>6018</v>
      </c>
      <c r="V2763">
        <v>0</v>
      </c>
    </row>
    <row r="2764" spans="1:22" x14ac:dyDescent="0.3">
      <c r="A2764" t="s">
        <v>2779</v>
      </c>
      <c r="B2764" s="2">
        <v>46142.740277777775</v>
      </c>
      <c r="C2764" s="2">
        <v>46144.12777777778</v>
      </c>
      <c r="D2764" t="s">
        <v>6028</v>
      </c>
      <c r="E2764" t="s">
        <v>6031</v>
      </c>
      <c r="F2764" t="s">
        <v>6035</v>
      </c>
      <c r="G2764" t="s">
        <v>6066</v>
      </c>
      <c r="H2764" t="s">
        <v>6096</v>
      </c>
      <c r="I2764">
        <v>4</v>
      </c>
      <c r="J2764">
        <v>33.299999999999997</v>
      </c>
      <c r="K2764" t="s">
        <v>6099</v>
      </c>
      <c r="L2764" t="s">
        <v>6100</v>
      </c>
      <c r="M2764" t="s">
        <v>6099</v>
      </c>
      <c r="N2764">
        <v>5</v>
      </c>
      <c r="O2764" t="s">
        <v>6101</v>
      </c>
      <c r="P2764" t="s">
        <v>6110</v>
      </c>
      <c r="Q2764">
        <v>4</v>
      </c>
      <c r="R2764">
        <v>2026</v>
      </c>
      <c r="S2764" t="s">
        <v>6100</v>
      </c>
      <c r="T2764">
        <v>0</v>
      </c>
      <c r="U2764" t="s">
        <v>6019</v>
      </c>
      <c r="V2764">
        <v>1</v>
      </c>
    </row>
    <row r="2765" spans="1:22" x14ac:dyDescent="0.3">
      <c r="A2765" t="s">
        <v>2780</v>
      </c>
      <c r="B2765" s="2">
        <v>46142.740972222222</v>
      </c>
      <c r="C2765" s="2">
        <v>46143.986805555556</v>
      </c>
      <c r="D2765" t="s">
        <v>6024</v>
      </c>
      <c r="E2765" t="s">
        <v>6032</v>
      </c>
      <c r="F2765" t="s">
        <v>6035</v>
      </c>
      <c r="G2765" t="s">
        <v>6044</v>
      </c>
      <c r="H2765" t="s">
        <v>6097</v>
      </c>
      <c r="I2765">
        <v>4</v>
      </c>
      <c r="J2765">
        <v>29.9</v>
      </c>
      <c r="K2765" t="s">
        <v>6100</v>
      </c>
      <c r="L2765" t="s">
        <v>6099</v>
      </c>
      <c r="M2765" t="s">
        <v>6100</v>
      </c>
      <c r="N2765">
        <v>3</v>
      </c>
      <c r="O2765" t="s">
        <v>6101</v>
      </c>
      <c r="P2765" t="s">
        <v>6110</v>
      </c>
      <c r="Q2765">
        <v>4</v>
      </c>
      <c r="R2765">
        <v>2026</v>
      </c>
      <c r="S2765" t="s">
        <v>6100</v>
      </c>
      <c r="T2765">
        <v>0</v>
      </c>
      <c r="U2765" t="s">
        <v>6019</v>
      </c>
      <c r="V2765">
        <v>0</v>
      </c>
    </row>
    <row r="2766" spans="1:22" x14ac:dyDescent="0.3">
      <c r="A2766" t="s">
        <v>2781</v>
      </c>
      <c r="B2766" s="2">
        <v>46142.746527777781</v>
      </c>
      <c r="C2766" s="2">
        <v>46143.571527777778</v>
      </c>
      <c r="D2766" t="s">
        <v>6024</v>
      </c>
      <c r="E2766" t="s">
        <v>6031</v>
      </c>
      <c r="F2766" t="s">
        <v>6034</v>
      </c>
      <c r="G2766" t="s">
        <v>6085</v>
      </c>
      <c r="H2766" t="s">
        <v>6097</v>
      </c>
      <c r="I2766">
        <v>24</v>
      </c>
      <c r="J2766">
        <v>19.8</v>
      </c>
      <c r="K2766" t="s">
        <v>6099</v>
      </c>
      <c r="L2766" t="s">
        <v>6100</v>
      </c>
      <c r="M2766" t="s">
        <v>6100</v>
      </c>
      <c r="O2766" t="s">
        <v>6101</v>
      </c>
      <c r="P2766" t="s">
        <v>6110</v>
      </c>
      <c r="Q2766">
        <v>4</v>
      </c>
      <c r="R2766">
        <v>2026</v>
      </c>
      <c r="S2766" t="s">
        <v>6099</v>
      </c>
      <c r="T2766">
        <v>1</v>
      </c>
      <c r="U2766" t="s">
        <v>6019</v>
      </c>
      <c r="V2766">
        <v>1</v>
      </c>
    </row>
    <row r="2767" spans="1:22" x14ac:dyDescent="0.3">
      <c r="A2767" t="s">
        <v>2782</v>
      </c>
      <c r="B2767" s="2">
        <v>46142.792361111111</v>
      </c>
      <c r="C2767" s="2">
        <v>46143.479861111111</v>
      </c>
      <c r="D2767" t="s">
        <v>6025</v>
      </c>
      <c r="E2767" t="s">
        <v>6030</v>
      </c>
      <c r="F2767" t="s">
        <v>6033</v>
      </c>
      <c r="G2767" t="s">
        <v>6093</v>
      </c>
      <c r="H2767" t="s">
        <v>6097</v>
      </c>
      <c r="I2767">
        <v>72</v>
      </c>
      <c r="J2767">
        <v>16.5</v>
      </c>
      <c r="K2767" t="s">
        <v>6100</v>
      </c>
      <c r="L2767" t="s">
        <v>6099</v>
      </c>
      <c r="M2767" t="s">
        <v>6100</v>
      </c>
      <c r="O2767" t="s">
        <v>6101</v>
      </c>
      <c r="P2767" t="s">
        <v>6110</v>
      </c>
      <c r="Q2767">
        <v>4</v>
      </c>
      <c r="R2767">
        <v>2026</v>
      </c>
      <c r="S2767" t="s">
        <v>6099</v>
      </c>
      <c r="T2767">
        <v>1</v>
      </c>
      <c r="U2767" t="s">
        <v>6017</v>
      </c>
      <c r="V2767">
        <v>0</v>
      </c>
    </row>
    <row r="2768" spans="1:22" x14ac:dyDescent="0.3">
      <c r="A2768" t="s">
        <v>2783</v>
      </c>
      <c r="B2768" s="2">
        <v>46142.882638888892</v>
      </c>
      <c r="C2768" s="2">
        <v>46143.628472222219</v>
      </c>
      <c r="D2768" t="s">
        <v>6028</v>
      </c>
      <c r="E2768" t="s">
        <v>6031</v>
      </c>
      <c r="F2768" t="s">
        <v>6034</v>
      </c>
      <c r="G2768" t="s">
        <v>6046</v>
      </c>
      <c r="H2768" t="s">
        <v>6098</v>
      </c>
      <c r="I2768">
        <v>24</v>
      </c>
      <c r="J2768">
        <v>17.899999999999999</v>
      </c>
      <c r="K2768" t="s">
        <v>6099</v>
      </c>
      <c r="L2768" t="s">
        <v>6100</v>
      </c>
      <c r="M2768" t="s">
        <v>6100</v>
      </c>
      <c r="N2768">
        <v>4</v>
      </c>
      <c r="O2768" t="s">
        <v>6101</v>
      </c>
      <c r="P2768" t="s">
        <v>6110</v>
      </c>
      <c r="Q2768">
        <v>4</v>
      </c>
      <c r="R2768">
        <v>2026</v>
      </c>
      <c r="S2768" t="s">
        <v>6099</v>
      </c>
      <c r="T2768">
        <v>1</v>
      </c>
      <c r="U2768" t="s">
        <v>6017</v>
      </c>
      <c r="V2768">
        <v>1</v>
      </c>
    </row>
    <row r="2769" spans="1:22" x14ac:dyDescent="0.3">
      <c r="A2769" t="s">
        <v>2784</v>
      </c>
      <c r="B2769" s="2">
        <v>46143.161805555559</v>
      </c>
      <c r="C2769" s="2">
        <v>46143.27847222222</v>
      </c>
      <c r="D2769" t="s">
        <v>6025</v>
      </c>
      <c r="E2769" t="s">
        <v>6030</v>
      </c>
      <c r="F2769" t="s">
        <v>6034</v>
      </c>
      <c r="G2769" t="s">
        <v>6056</v>
      </c>
      <c r="H2769" t="s">
        <v>6098</v>
      </c>
      <c r="I2769">
        <v>24</v>
      </c>
      <c r="J2769">
        <v>2.8</v>
      </c>
      <c r="K2769" t="s">
        <v>6100</v>
      </c>
      <c r="L2769" t="s">
        <v>6100</v>
      </c>
      <c r="M2769" t="s">
        <v>6100</v>
      </c>
      <c r="N2769">
        <v>3</v>
      </c>
      <c r="O2769" t="s">
        <v>6101</v>
      </c>
      <c r="P2769" t="s">
        <v>6111</v>
      </c>
      <c r="Q2769">
        <v>5</v>
      </c>
      <c r="R2769">
        <v>2026</v>
      </c>
      <c r="S2769" t="s">
        <v>6099</v>
      </c>
      <c r="T2769">
        <v>1</v>
      </c>
      <c r="U2769" t="s">
        <v>6018</v>
      </c>
      <c r="V2769">
        <v>0</v>
      </c>
    </row>
    <row r="2770" spans="1:22" x14ac:dyDescent="0.3">
      <c r="A2770" t="s">
        <v>2785</v>
      </c>
      <c r="B2770" s="2">
        <v>46143.204861111109</v>
      </c>
      <c r="C2770" s="2">
        <v>46143.904861111114</v>
      </c>
      <c r="D2770" t="s">
        <v>6022</v>
      </c>
      <c r="E2770" t="s">
        <v>6029</v>
      </c>
      <c r="F2770" t="s">
        <v>6034</v>
      </c>
      <c r="G2770" t="s">
        <v>6084</v>
      </c>
      <c r="H2770" t="s">
        <v>6098</v>
      </c>
      <c r="I2770">
        <v>24</v>
      </c>
      <c r="J2770">
        <v>16.8</v>
      </c>
      <c r="K2770" t="s">
        <v>6100</v>
      </c>
      <c r="L2770" t="s">
        <v>6100</v>
      </c>
      <c r="M2770" t="s">
        <v>6100</v>
      </c>
      <c r="N2770">
        <v>5</v>
      </c>
      <c r="O2770" t="s">
        <v>6101</v>
      </c>
      <c r="P2770" t="s">
        <v>6111</v>
      </c>
      <c r="Q2770">
        <v>5</v>
      </c>
      <c r="R2770">
        <v>2026</v>
      </c>
      <c r="S2770" t="s">
        <v>6099</v>
      </c>
      <c r="T2770">
        <v>1</v>
      </c>
      <c r="U2770" t="s">
        <v>6021</v>
      </c>
      <c r="V2770">
        <v>0</v>
      </c>
    </row>
    <row r="2771" spans="1:22" x14ac:dyDescent="0.3">
      <c r="A2771" t="s">
        <v>2786</v>
      </c>
      <c r="B2771" s="2">
        <v>46143.250694444447</v>
      </c>
      <c r="C2771" s="2">
        <v>46146.167361111111</v>
      </c>
      <c r="D2771" t="s">
        <v>6026</v>
      </c>
      <c r="E2771" t="s">
        <v>6029</v>
      </c>
      <c r="F2771" t="s">
        <v>6034</v>
      </c>
      <c r="G2771" t="s">
        <v>6088</v>
      </c>
      <c r="H2771" t="s">
        <v>6097</v>
      </c>
      <c r="I2771">
        <v>24</v>
      </c>
      <c r="J2771">
        <v>70</v>
      </c>
      <c r="K2771" t="s">
        <v>6099</v>
      </c>
      <c r="L2771" t="s">
        <v>6100</v>
      </c>
      <c r="M2771" t="s">
        <v>6099</v>
      </c>
      <c r="N2771">
        <v>3</v>
      </c>
      <c r="O2771" t="s">
        <v>6101</v>
      </c>
      <c r="P2771" t="s">
        <v>6111</v>
      </c>
      <c r="Q2771">
        <v>5</v>
      </c>
      <c r="R2771">
        <v>2026</v>
      </c>
      <c r="S2771" t="s">
        <v>6100</v>
      </c>
      <c r="T2771">
        <v>0</v>
      </c>
      <c r="U2771" t="s">
        <v>6021</v>
      </c>
      <c r="V2771">
        <v>1</v>
      </c>
    </row>
    <row r="2772" spans="1:22" x14ac:dyDescent="0.3">
      <c r="A2772" t="s">
        <v>2787</v>
      </c>
      <c r="B2772" s="2">
        <v>46143.270833333336</v>
      </c>
      <c r="C2772" s="2">
        <v>46143.604166666664</v>
      </c>
      <c r="D2772" t="s">
        <v>6027</v>
      </c>
      <c r="E2772" t="s">
        <v>6029</v>
      </c>
      <c r="F2772" t="s">
        <v>6034</v>
      </c>
      <c r="G2772" t="s">
        <v>6059</v>
      </c>
      <c r="H2772" t="s">
        <v>6097</v>
      </c>
      <c r="I2772">
        <v>24</v>
      </c>
      <c r="J2772">
        <v>8</v>
      </c>
      <c r="K2772" t="s">
        <v>6100</v>
      </c>
      <c r="L2772" t="s">
        <v>6099</v>
      </c>
      <c r="M2772" t="s">
        <v>6100</v>
      </c>
      <c r="N2772">
        <v>4</v>
      </c>
      <c r="O2772" t="s">
        <v>6101</v>
      </c>
      <c r="P2772" t="s">
        <v>6111</v>
      </c>
      <c r="Q2772">
        <v>5</v>
      </c>
      <c r="R2772">
        <v>2026</v>
      </c>
      <c r="S2772" t="s">
        <v>6099</v>
      </c>
      <c r="T2772">
        <v>1</v>
      </c>
      <c r="U2772" t="s">
        <v>6020</v>
      </c>
      <c r="V2772">
        <v>0</v>
      </c>
    </row>
    <row r="2773" spans="1:22" x14ac:dyDescent="0.3">
      <c r="A2773" t="s">
        <v>2788</v>
      </c>
      <c r="B2773" s="2">
        <v>46143.34375</v>
      </c>
      <c r="C2773" s="2">
        <v>46145.285416666666</v>
      </c>
      <c r="D2773" t="s">
        <v>6024</v>
      </c>
      <c r="E2773" t="s">
        <v>6031</v>
      </c>
      <c r="F2773" t="s">
        <v>6034</v>
      </c>
      <c r="G2773" t="s">
        <v>6049</v>
      </c>
      <c r="H2773" t="s">
        <v>6097</v>
      </c>
      <c r="I2773">
        <v>24</v>
      </c>
      <c r="J2773">
        <v>46.6</v>
      </c>
      <c r="K2773" t="s">
        <v>6099</v>
      </c>
      <c r="L2773" t="s">
        <v>6100</v>
      </c>
      <c r="M2773" t="s">
        <v>6100</v>
      </c>
      <c r="N2773">
        <v>4</v>
      </c>
      <c r="O2773" t="s">
        <v>6101</v>
      </c>
      <c r="P2773" t="s">
        <v>6111</v>
      </c>
      <c r="Q2773">
        <v>5</v>
      </c>
      <c r="R2773">
        <v>2026</v>
      </c>
      <c r="S2773" t="s">
        <v>6100</v>
      </c>
      <c r="T2773">
        <v>0</v>
      </c>
      <c r="U2773" t="s">
        <v>6018</v>
      </c>
      <c r="V2773">
        <v>1</v>
      </c>
    </row>
    <row r="2774" spans="1:22" x14ac:dyDescent="0.3">
      <c r="A2774" t="s">
        <v>2789</v>
      </c>
      <c r="B2774" s="2">
        <v>46143.38958333333</v>
      </c>
      <c r="C2774" s="2">
        <v>46143.581250000003</v>
      </c>
      <c r="D2774" t="s">
        <v>6023</v>
      </c>
      <c r="E2774" t="s">
        <v>6029</v>
      </c>
      <c r="F2774" t="s">
        <v>6033</v>
      </c>
      <c r="G2774" t="s">
        <v>6069</v>
      </c>
      <c r="H2774" t="s">
        <v>6098</v>
      </c>
      <c r="I2774">
        <v>72</v>
      </c>
      <c r="J2774">
        <v>4.5999999999999996</v>
      </c>
      <c r="K2774" t="s">
        <v>6099</v>
      </c>
      <c r="L2774" t="s">
        <v>6100</v>
      </c>
      <c r="M2774" t="s">
        <v>6100</v>
      </c>
      <c r="N2774">
        <v>5</v>
      </c>
      <c r="O2774" t="s">
        <v>6101</v>
      </c>
      <c r="P2774" t="s">
        <v>6111</v>
      </c>
      <c r="Q2774">
        <v>5</v>
      </c>
      <c r="R2774">
        <v>2026</v>
      </c>
      <c r="S2774" t="s">
        <v>6099</v>
      </c>
      <c r="T2774">
        <v>1</v>
      </c>
      <c r="U2774" t="s">
        <v>6021</v>
      </c>
      <c r="V2774">
        <v>1</v>
      </c>
    </row>
    <row r="2775" spans="1:22" x14ac:dyDescent="0.3">
      <c r="A2775" t="s">
        <v>2790</v>
      </c>
      <c r="B2775" s="2">
        <v>46143.404166666667</v>
      </c>
      <c r="C2775" s="2">
        <v>46143.8125</v>
      </c>
      <c r="D2775" t="s">
        <v>6024</v>
      </c>
      <c r="E2775" t="s">
        <v>6031</v>
      </c>
      <c r="F2775" t="s">
        <v>6033</v>
      </c>
      <c r="G2775" t="s">
        <v>6068</v>
      </c>
      <c r="H2775" t="s">
        <v>6098</v>
      </c>
      <c r="I2775">
        <v>72</v>
      </c>
      <c r="J2775">
        <v>9.8000000000000007</v>
      </c>
      <c r="K2775" t="s">
        <v>6099</v>
      </c>
      <c r="L2775" t="s">
        <v>6100</v>
      </c>
      <c r="M2775" t="s">
        <v>6100</v>
      </c>
      <c r="N2775">
        <v>5</v>
      </c>
      <c r="O2775" t="s">
        <v>6101</v>
      </c>
      <c r="P2775" t="s">
        <v>6111</v>
      </c>
      <c r="Q2775">
        <v>5</v>
      </c>
      <c r="R2775">
        <v>2026</v>
      </c>
      <c r="S2775" t="s">
        <v>6099</v>
      </c>
      <c r="T2775">
        <v>1</v>
      </c>
      <c r="U2775" t="s">
        <v>6021</v>
      </c>
      <c r="V2775">
        <v>1</v>
      </c>
    </row>
    <row r="2776" spans="1:22" x14ac:dyDescent="0.3">
      <c r="A2776" t="s">
        <v>2791</v>
      </c>
      <c r="B2776" s="2">
        <v>46143.427083333336</v>
      </c>
      <c r="C2776" s="2">
        <v>46144.03125</v>
      </c>
      <c r="D2776" t="s">
        <v>6025</v>
      </c>
      <c r="E2776" t="s">
        <v>6031</v>
      </c>
      <c r="F2776" t="s">
        <v>6034</v>
      </c>
      <c r="G2776" t="s">
        <v>6083</v>
      </c>
      <c r="H2776" t="s">
        <v>6096</v>
      </c>
      <c r="I2776">
        <v>24</v>
      </c>
      <c r="J2776">
        <v>14.5</v>
      </c>
      <c r="K2776" t="s">
        <v>6099</v>
      </c>
      <c r="L2776" t="s">
        <v>6100</v>
      </c>
      <c r="M2776" t="s">
        <v>6100</v>
      </c>
      <c r="N2776">
        <v>4</v>
      </c>
      <c r="O2776" t="s">
        <v>6101</v>
      </c>
      <c r="P2776" t="s">
        <v>6111</v>
      </c>
      <c r="Q2776">
        <v>5</v>
      </c>
      <c r="R2776">
        <v>2026</v>
      </c>
      <c r="S2776" t="s">
        <v>6099</v>
      </c>
      <c r="T2776">
        <v>1</v>
      </c>
      <c r="U2776" t="s">
        <v>6020</v>
      </c>
      <c r="V2776">
        <v>1</v>
      </c>
    </row>
    <row r="2777" spans="1:22" x14ac:dyDescent="0.3">
      <c r="A2777" t="s">
        <v>2792</v>
      </c>
      <c r="B2777" s="2">
        <v>46143.45</v>
      </c>
      <c r="C2777" s="2">
        <v>46143.824999999997</v>
      </c>
      <c r="D2777" t="s">
        <v>6022</v>
      </c>
      <c r="E2777" t="s">
        <v>6029</v>
      </c>
      <c r="F2777" t="s">
        <v>6034</v>
      </c>
      <c r="G2777" t="s">
        <v>6047</v>
      </c>
      <c r="H2777" t="s">
        <v>6098</v>
      </c>
      <c r="I2777">
        <v>24</v>
      </c>
      <c r="J2777">
        <v>9</v>
      </c>
      <c r="K2777" t="s">
        <v>6099</v>
      </c>
      <c r="L2777" t="s">
        <v>6100</v>
      </c>
      <c r="M2777" t="s">
        <v>6100</v>
      </c>
      <c r="N2777">
        <v>5</v>
      </c>
      <c r="O2777" t="s">
        <v>6101</v>
      </c>
      <c r="P2777" t="s">
        <v>6111</v>
      </c>
      <c r="Q2777">
        <v>5</v>
      </c>
      <c r="R2777">
        <v>2026</v>
      </c>
      <c r="S2777" t="s">
        <v>6099</v>
      </c>
      <c r="T2777">
        <v>1</v>
      </c>
      <c r="U2777" t="s">
        <v>6020</v>
      </c>
      <c r="V2777">
        <v>1</v>
      </c>
    </row>
    <row r="2778" spans="1:22" x14ac:dyDescent="0.3">
      <c r="A2778" t="s">
        <v>2793</v>
      </c>
      <c r="B2778" s="2">
        <v>46143.515277777777</v>
      </c>
      <c r="C2778" s="2">
        <v>46144.156944444447</v>
      </c>
      <c r="D2778" t="s">
        <v>6028</v>
      </c>
      <c r="E2778" t="s">
        <v>6031</v>
      </c>
      <c r="F2778" t="s">
        <v>6033</v>
      </c>
      <c r="G2778" t="s">
        <v>6049</v>
      </c>
      <c r="H2778" t="s">
        <v>6097</v>
      </c>
      <c r="I2778">
        <v>72</v>
      </c>
      <c r="J2778">
        <v>15.4</v>
      </c>
      <c r="K2778" t="s">
        <v>6100</v>
      </c>
      <c r="L2778" t="s">
        <v>6099</v>
      </c>
      <c r="M2778" t="s">
        <v>6100</v>
      </c>
      <c r="N2778">
        <v>3</v>
      </c>
      <c r="O2778" t="s">
        <v>6101</v>
      </c>
      <c r="P2778" t="s">
        <v>6111</v>
      </c>
      <c r="Q2778">
        <v>5</v>
      </c>
      <c r="R2778">
        <v>2026</v>
      </c>
      <c r="S2778" t="s">
        <v>6099</v>
      </c>
      <c r="T2778">
        <v>1</v>
      </c>
      <c r="U2778" t="s">
        <v>6019</v>
      </c>
      <c r="V2778">
        <v>0</v>
      </c>
    </row>
    <row r="2779" spans="1:22" x14ac:dyDescent="0.3">
      <c r="A2779" t="s">
        <v>2794</v>
      </c>
      <c r="B2779" s="2">
        <v>46143.542361111111</v>
      </c>
      <c r="C2779" s="2">
        <v>46143.996527777781</v>
      </c>
      <c r="D2779" t="s">
        <v>6024</v>
      </c>
      <c r="E2779" t="s">
        <v>6029</v>
      </c>
      <c r="F2779" t="s">
        <v>6033</v>
      </c>
      <c r="G2779" t="s">
        <v>6042</v>
      </c>
      <c r="H2779" t="s">
        <v>6098</v>
      </c>
      <c r="I2779">
        <v>72</v>
      </c>
      <c r="J2779">
        <v>10.9</v>
      </c>
      <c r="K2779" t="s">
        <v>6100</v>
      </c>
      <c r="L2779" t="s">
        <v>6099</v>
      </c>
      <c r="M2779" t="s">
        <v>6099</v>
      </c>
      <c r="N2779">
        <v>1</v>
      </c>
      <c r="O2779" t="s">
        <v>6101</v>
      </c>
      <c r="P2779" t="s">
        <v>6111</v>
      </c>
      <c r="Q2779">
        <v>5</v>
      </c>
      <c r="R2779">
        <v>2026</v>
      </c>
      <c r="S2779" t="s">
        <v>6099</v>
      </c>
      <c r="T2779">
        <v>1</v>
      </c>
      <c r="U2779" t="s">
        <v>6018</v>
      </c>
      <c r="V2779">
        <v>0</v>
      </c>
    </row>
    <row r="2780" spans="1:22" x14ac:dyDescent="0.3">
      <c r="A2780" t="s">
        <v>2795</v>
      </c>
      <c r="B2780" s="2">
        <v>46143.588888888888</v>
      </c>
      <c r="C2780" s="2">
        <v>46146.076388888891</v>
      </c>
      <c r="D2780" t="s">
        <v>6025</v>
      </c>
      <c r="E2780" t="s">
        <v>6032</v>
      </c>
      <c r="F2780" t="s">
        <v>6035</v>
      </c>
      <c r="G2780" t="s">
        <v>6088</v>
      </c>
      <c r="H2780" t="s">
        <v>6097</v>
      </c>
      <c r="I2780">
        <v>4</v>
      </c>
      <c r="J2780">
        <v>59.7</v>
      </c>
      <c r="K2780" t="s">
        <v>6099</v>
      </c>
      <c r="L2780" t="s">
        <v>6100</v>
      </c>
      <c r="M2780" t="s">
        <v>6100</v>
      </c>
      <c r="O2780" t="s">
        <v>6101</v>
      </c>
      <c r="P2780" t="s">
        <v>6111</v>
      </c>
      <c r="Q2780">
        <v>5</v>
      </c>
      <c r="R2780">
        <v>2026</v>
      </c>
      <c r="S2780" t="s">
        <v>6100</v>
      </c>
      <c r="T2780">
        <v>0</v>
      </c>
      <c r="U2780" t="s">
        <v>6021</v>
      </c>
      <c r="V2780">
        <v>1</v>
      </c>
    </row>
    <row r="2781" spans="1:22" x14ac:dyDescent="0.3">
      <c r="A2781" t="s">
        <v>2796</v>
      </c>
      <c r="B2781" s="2">
        <v>46143.613888888889</v>
      </c>
      <c r="C2781" s="2">
        <v>46146.451388888891</v>
      </c>
      <c r="D2781" t="s">
        <v>6026</v>
      </c>
      <c r="E2781" t="s">
        <v>6030</v>
      </c>
      <c r="F2781" t="s">
        <v>6033</v>
      </c>
      <c r="G2781" t="s">
        <v>6066</v>
      </c>
      <c r="H2781" t="s">
        <v>6096</v>
      </c>
      <c r="I2781">
        <v>72</v>
      </c>
      <c r="J2781">
        <v>68.099999999999994</v>
      </c>
      <c r="K2781" t="s">
        <v>6100</v>
      </c>
      <c r="L2781" t="s">
        <v>6100</v>
      </c>
      <c r="M2781" t="s">
        <v>6100</v>
      </c>
      <c r="O2781" t="s">
        <v>6101</v>
      </c>
      <c r="P2781" t="s">
        <v>6111</v>
      </c>
      <c r="Q2781">
        <v>5</v>
      </c>
      <c r="R2781">
        <v>2026</v>
      </c>
      <c r="S2781" t="s">
        <v>6099</v>
      </c>
      <c r="T2781">
        <v>1</v>
      </c>
      <c r="U2781" t="s">
        <v>6019</v>
      </c>
      <c r="V2781">
        <v>0</v>
      </c>
    </row>
    <row r="2782" spans="1:22" x14ac:dyDescent="0.3">
      <c r="A2782" t="s">
        <v>2797</v>
      </c>
      <c r="B2782" s="2">
        <v>46143.621527777781</v>
      </c>
      <c r="C2782" s="2">
        <v>46143.742361111108</v>
      </c>
      <c r="D2782" t="s">
        <v>6022</v>
      </c>
      <c r="E2782" t="s">
        <v>6030</v>
      </c>
      <c r="F2782" t="s">
        <v>6033</v>
      </c>
      <c r="G2782" t="s">
        <v>6056</v>
      </c>
      <c r="H2782" t="s">
        <v>6098</v>
      </c>
      <c r="I2782">
        <v>72</v>
      </c>
      <c r="J2782">
        <v>2.9</v>
      </c>
      <c r="K2782" t="s">
        <v>6100</v>
      </c>
      <c r="L2782" t="s">
        <v>6099</v>
      </c>
      <c r="M2782" t="s">
        <v>6100</v>
      </c>
      <c r="N2782">
        <v>5</v>
      </c>
      <c r="O2782" t="s">
        <v>6101</v>
      </c>
      <c r="P2782" t="s">
        <v>6111</v>
      </c>
      <c r="Q2782">
        <v>5</v>
      </c>
      <c r="R2782">
        <v>2026</v>
      </c>
      <c r="S2782" t="s">
        <v>6099</v>
      </c>
      <c r="T2782">
        <v>1</v>
      </c>
      <c r="U2782" t="s">
        <v>6018</v>
      </c>
      <c r="V2782">
        <v>0</v>
      </c>
    </row>
    <row r="2783" spans="1:22" x14ac:dyDescent="0.3">
      <c r="A2783" t="s">
        <v>2798</v>
      </c>
      <c r="B2783" s="2">
        <v>46143.642361111109</v>
      </c>
      <c r="C2783" s="2">
        <v>46144.150694444441</v>
      </c>
      <c r="D2783" t="s">
        <v>6023</v>
      </c>
      <c r="E2783" t="s">
        <v>6029</v>
      </c>
      <c r="F2783" t="s">
        <v>6033</v>
      </c>
      <c r="G2783" t="s">
        <v>6040</v>
      </c>
      <c r="H2783" t="s">
        <v>6097</v>
      </c>
      <c r="I2783">
        <v>72</v>
      </c>
      <c r="J2783">
        <v>12.2</v>
      </c>
      <c r="K2783" t="s">
        <v>6099</v>
      </c>
      <c r="L2783" t="s">
        <v>6100</v>
      </c>
      <c r="M2783" t="s">
        <v>6100</v>
      </c>
      <c r="N2783">
        <v>5</v>
      </c>
      <c r="O2783" t="s">
        <v>6101</v>
      </c>
      <c r="P2783" t="s">
        <v>6111</v>
      </c>
      <c r="Q2783">
        <v>5</v>
      </c>
      <c r="R2783">
        <v>2026</v>
      </c>
      <c r="S2783" t="s">
        <v>6099</v>
      </c>
      <c r="T2783">
        <v>1</v>
      </c>
      <c r="U2783" t="s">
        <v>6019</v>
      </c>
      <c r="V2783">
        <v>1</v>
      </c>
    </row>
    <row r="2784" spans="1:22" x14ac:dyDescent="0.3">
      <c r="A2784" t="s">
        <v>2799</v>
      </c>
      <c r="B2784" s="2">
        <v>46143.646527777775</v>
      </c>
      <c r="C2784" s="2">
        <v>46146.021527777775</v>
      </c>
      <c r="D2784" t="s">
        <v>6022</v>
      </c>
      <c r="E2784" t="s">
        <v>6029</v>
      </c>
      <c r="F2784" t="s">
        <v>6033</v>
      </c>
      <c r="G2784" t="s">
        <v>6055</v>
      </c>
      <c r="H2784" t="s">
        <v>6096</v>
      </c>
      <c r="I2784">
        <v>72</v>
      </c>
      <c r="J2784">
        <v>57</v>
      </c>
      <c r="K2784" t="s">
        <v>6100</v>
      </c>
      <c r="L2784" t="s">
        <v>6099</v>
      </c>
      <c r="M2784" t="s">
        <v>6100</v>
      </c>
      <c r="O2784" t="s">
        <v>6101</v>
      </c>
      <c r="P2784" t="s">
        <v>6111</v>
      </c>
      <c r="Q2784">
        <v>5</v>
      </c>
      <c r="R2784">
        <v>2026</v>
      </c>
      <c r="S2784" t="s">
        <v>6099</v>
      </c>
      <c r="T2784">
        <v>1</v>
      </c>
      <c r="U2784" t="s">
        <v>6021</v>
      </c>
      <c r="V2784">
        <v>0</v>
      </c>
    </row>
    <row r="2785" spans="1:22" x14ac:dyDescent="0.3">
      <c r="A2785" t="s">
        <v>2800</v>
      </c>
      <c r="B2785" s="2">
        <v>46143.660416666666</v>
      </c>
      <c r="C2785" s="2">
        <v>46144.11041666667</v>
      </c>
      <c r="D2785" t="s">
        <v>6022</v>
      </c>
      <c r="E2785" t="s">
        <v>6030</v>
      </c>
      <c r="F2785" t="s">
        <v>6035</v>
      </c>
      <c r="G2785" t="s">
        <v>6088</v>
      </c>
      <c r="H2785" t="s">
        <v>6097</v>
      </c>
      <c r="I2785">
        <v>4</v>
      </c>
      <c r="J2785">
        <v>10.8</v>
      </c>
      <c r="K2785" t="s">
        <v>6099</v>
      </c>
      <c r="L2785" t="s">
        <v>6100</v>
      </c>
      <c r="M2785" t="s">
        <v>6100</v>
      </c>
      <c r="O2785" t="s">
        <v>6101</v>
      </c>
      <c r="P2785" t="s">
        <v>6111</v>
      </c>
      <c r="Q2785">
        <v>5</v>
      </c>
      <c r="R2785">
        <v>2026</v>
      </c>
      <c r="S2785" t="s">
        <v>6100</v>
      </c>
      <c r="T2785">
        <v>0</v>
      </c>
      <c r="U2785" t="s">
        <v>6017</v>
      </c>
      <c r="V2785">
        <v>1</v>
      </c>
    </row>
    <row r="2786" spans="1:22" x14ac:dyDescent="0.3">
      <c r="A2786" t="s">
        <v>2801</v>
      </c>
      <c r="B2786" s="2">
        <v>46143.747916666667</v>
      </c>
      <c r="C2786" s="2">
        <v>46144.810416666667</v>
      </c>
      <c r="D2786" t="s">
        <v>6028</v>
      </c>
      <c r="E2786" t="s">
        <v>6031</v>
      </c>
      <c r="F2786" t="s">
        <v>6034</v>
      </c>
      <c r="G2786" t="s">
        <v>6064</v>
      </c>
      <c r="H2786" t="s">
        <v>6096</v>
      </c>
      <c r="I2786">
        <v>24</v>
      </c>
      <c r="J2786">
        <v>25.5</v>
      </c>
      <c r="K2786" t="s">
        <v>6099</v>
      </c>
      <c r="L2786" t="s">
        <v>6100</v>
      </c>
      <c r="M2786" t="s">
        <v>6100</v>
      </c>
      <c r="N2786">
        <v>5</v>
      </c>
      <c r="O2786" t="s">
        <v>6101</v>
      </c>
      <c r="P2786" t="s">
        <v>6111</v>
      </c>
      <c r="Q2786">
        <v>5</v>
      </c>
      <c r="R2786">
        <v>2026</v>
      </c>
      <c r="S2786" t="s">
        <v>6100</v>
      </c>
      <c r="T2786">
        <v>0</v>
      </c>
      <c r="U2786" t="s">
        <v>6017</v>
      </c>
      <c r="V2786">
        <v>1</v>
      </c>
    </row>
    <row r="2787" spans="1:22" x14ac:dyDescent="0.3">
      <c r="A2787" t="s">
        <v>2802</v>
      </c>
      <c r="B2787" s="2">
        <v>46143.79583333333</v>
      </c>
      <c r="C2787" s="2">
        <v>46144.645833333336</v>
      </c>
      <c r="D2787" t="s">
        <v>6028</v>
      </c>
      <c r="E2787" t="s">
        <v>6031</v>
      </c>
      <c r="F2787" t="s">
        <v>6035</v>
      </c>
      <c r="G2787" t="s">
        <v>6073</v>
      </c>
      <c r="H2787" t="s">
        <v>6096</v>
      </c>
      <c r="I2787">
        <v>4</v>
      </c>
      <c r="J2787">
        <v>20.399999999999999</v>
      </c>
      <c r="K2787" t="s">
        <v>6099</v>
      </c>
      <c r="L2787" t="s">
        <v>6100</v>
      </c>
      <c r="M2787" t="s">
        <v>6100</v>
      </c>
      <c r="N2787">
        <v>4</v>
      </c>
      <c r="O2787" t="s">
        <v>6101</v>
      </c>
      <c r="P2787" t="s">
        <v>6111</v>
      </c>
      <c r="Q2787">
        <v>5</v>
      </c>
      <c r="R2787">
        <v>2026</v>
      </c>
      <c r="S2787" t="s">
        <v>6100</v>
      </c>
      <c r="T2787">
        <v>0</v>
      </c>
      <c r="U2787" t="s">
        <v>6021</v>
      </c>
      <c r="V2787">
        <v>1</v>
      </c>
    </row>
    <row r="2788" spans="1:22" x14ac:dyDescent="0.3">
      <c r="A2788" t="s">
        <v>2803</v>
      </c>
      <c r="B2788" s="2">
        <v>46143.89166666667</v>
      </c>
      <c r="C2788" s="2">
        <v>46145.212500000001</v>
      </c>
      <c r="D2788" t="s">
        <v>6024</v>
      </c>
      <c r="E2788" t="s">
        <v>6029</v>
      </c>
      <c r="F2788" t="s">
        <v>6034</v>
      </c>
      <c r="G2788" t="s">
        <v>6036</v>
      </c>
      <c r="H2788" t="s">
        <v>6096</v>
      </c>
      <c r="I2788">
        <v>24</v>
      </c>
      <c r="J2788">
        <v>31.7</v>
      </c>
      <c r="K2788" t="s">
        <v>6099</v>
      </c>
      <c r="L2788" t="s">
        <v>6100</v>
      </c>
      <c r="M2788" t="s">
        <v>6100</v>
      </c>
      <c r="N2788">
        <v>5</v>
      </c>
      <c r="O2788" t="s">
        <v>6101</v>
      </c>
      <c r="P2788" t="s">
        <v>6111</v>
      </c>
      <c r="Q2788">
        <v>5</v>
      </c>
      <c r="R2788">
        <v>2026</v>
      </c>
      <c r="S2788" t="s">
        <v>6100</v>
      </c>
      <c r="T2788">
        <v>0</v>
      </c>
      <c r="U2788" t="s">
        <v>6018</v>
      </c>
      <c r="V2788">
        <v>1</v>
      </c>
    </row>
    <row r="2789" spans="1:22" x14ac:dyDescent="0.3">
      <c r="A2789" t="s">
        <v>2804</v>
      </c>
      <c r="B2789" s="2">
        <v>46144.275000000001</v>
      </c>
      <c r="C2789" s="2">
        <v>46144.662499999999</v>
      </c>
      <c r="D2789" t="s">
        <v>6028</v>
      </c>
      <c r="E2789" t="s">
        <v>6029</v>
      </c>
      <c r="F2789" t="s">
        <v>6035</v>
      </c>
      <c r="G2789" t="s">
        <v>6084</v>
      </c>
      <c r="H2789" t="s">
        <v>6098</v>
      </c>
      <c r="I2789">
        <v>4</v>
      </c>
      <c r="J2789">
        <v>9.3000000000000007</v>
      </c>
      <c r="K2789" t="s">
        <v>6100</v>
      </c>
      <c r="L2789" t="s">
        <v>6100</v>
      </c>
      <c r="M2789" t="s">
        <v>6100</v>
      </c>
      <c r="N2789">
        <v>3</v>
      </c>
      <c r="O2789" t="s">
        <v>6101</v>
      </c>
      <c r="P2789" t="s">
        <v>6111</v>
      </c>
      <c r="Q2789">
        <v>5</v>
      </c>
      <c r="R2789">
        <v>2026</v>
      </c>
      <c r="S2789" t="s">
        <v>6100</v>
      </c>
      <c r="T2789">
        <v>0</v>
      </c>
      <c r="U2789" t="s">
        <v>6020</v>
      </c>
      <c r="V2789">
        <v>0</v>
      </c>
    </row>
    <row r="2790" spans="1:22" x14ac:dyDescent="0.3">
      <c r="A2790" t="s">
        <v>2805</v>
      </c>
      <c r="B2790" s="2">
        <v>46144.288194444445</v>
      </c>
      <c r="C2790" s="2">
        <v>46144.459027777775</v>
      </c>
      <c r="D2790" t="s">
        <v>6027</v>
      </c>
      <c r="E2790" t="s">
        <v>6030</v>
      </c>
      <c r="F2790" t="s">
        <v>6034</v>
      </c>
      <c r="G2790" t="s">
        <v>6040</v>
      </c>
      <c r="H2790" t="s">
        <v>6097</v>
      </c>
      <c r="I2790">
        <v>24</v>
      </c>
      <c r="J2790">
        <v>4.0999999999999996</v>
      </c>
      <c r="K2790" t="s">
        <v>6099</v>
      </c>
      <c r="L2790" t="s">
        <v>6100</v>
      </c>
      <c r="M2790" t="s">
        <v>6100</v>
      </c>
      <c r="N2790">
        <v>5</v>
      </c>
      <c r="O2790" t="s">
        <v>6101</v>
      </c>
      <c r="P2790" t="s">
        <v>6111</v>
      </c>
      <c r="Q2790">
        <v>5</v>
      </c>
      <c r="R2790">
        <v>2026</v>
      </c>
      <c r="S2790" t="s">
        <v>6099</v>
      </c>
      <c r="T2790">
        <v>1</v>
      </c>
      <c r="U2790" t="s">
        <v>6018</v>
      </c>
      <c r="V2790">
        <v>1</v>
      </c>
    </row>
    <row r="2791" spans="1:22" x14ac:dyDescent="0.3">
      <c r="A2791" t="s">
        <v>2806</v>
      </c>
      <c r="B2791" s="2">
        <v>46144.310416666667</v>
      </c>
      <c r="C2791" s="2">
        <v>46149.185416666667</v>
      </c>
      <c r="D2791" t="s">
        <v>6025</v>
      </c>
      <c r="E2791" t="s">
        <v>6031</v>
      </c>
      <c r="F2791" t="s">
        <v>6034</v>
      </c>
      <c r="G2791" t="s">
        <v>6056</v>
      </c>
      <c r="H2791" t="s">
        <v>6098</v>
      </c>
      <c r="I2791">
        <v>24</v>
      </c>
      <c r="J2791">
        <v>117</v>
      </c>
      <c r="K2791" t="s">
        <v>6099</v>
      </c>
      <c r="L2791" t="s">
        <v>6100</v>
      </c>
      <c r="M2791" t="s">
        <v>6100</v>
      </c>
      <c r="N2791">
        <v>5</v>
      </c>
      <c r="O2791" t="s">
        <v>6101</v>
      </c>
      <c r="P2791" t="s">
        <v>6111</v>
      </c>
      <c r="Q2791">
        <v>5</v>
      </c>
      <c r="R2791">
        <v>2026</v>
      </c>
      <c r="S2791" t="s">
        <v>6100</v>
      </c>
      <c r="T2791">
        <v>0</v>
      </c>
      <c r="U2791" t="s">
        <v>6020</v>
      </c>
      <c r="V2791">
        <v>1</v>
      </c>
    </row>
    <row r="2792" spans="1:22" x14ac:dyDescent="0.3">
      <c r="A2792" t="s">
        <v>2807</v>
      </c>
      <c r="B2792" s="2">
        <v>46144.387499999997</v>
      </c>
      <c r="C2792" s="2">
        <v>46145.224999999999</v>
      </c>
      <c r="D2792" t="s">
        <v>6022</v>
      </c>
      <c r="E2792" t="s">
        <v>6030</v>
      </c>
      <c r="F2792" t="s">
        <v>6034</v>
      </c>
      <c r="G2792" t="s">
        <v>6060</v>
      </c>
      <c r="H2792" t="s">
        <v>6097</v>
      </c>
      <c r="I2792">
        <v>24</v>
      </c>
      <c r="J2792">
        <v>20.100000000000001</v>
      </c>
      <c r="K2792" t="s">
        <v>6099</v>
      </c>
      <c r="L2792" t="s">
        <v>6100</v>
      </c>
      <c r="M2792" t="s">
        <v>6100</v>
      </c>
      <c r="O2792" t="s">
        <v>6101</v>
      </c>
      <c r="P2792" t="s">
        <v>6111</v>
      </c>
      <c r="Q2792">
        <v>5</v>
      </c>
      <c r="R2792">
        <v>2026</v>
      </c>
      <c r="S2792" t="s">
        <v>6099</v>
      </c>
      <c r="T2792">
        <v>1</v>
      </c>
      <c r="U2792" t="s">
        <v>6020</v>
      </c>
      <c r="V2792">
        <v>1</v>
      </c>
    </row>
    <row r="2793" spans="1:22" x14ac:dyDescent="0.3">
      <c r="A2793" t="s">
        <v>2808</v>
      </c>
      <c r="B2793" s="2">
        <v>46144.425694444442</v>
      </c>
      <c r="C2793" s="2">
        <v>46144.567361111112</v>
      </c>
      <c r="D2793" t="s">
        <v>6023</v>
      </c>
      <c r="E2793" t="s">
        <v>6030</v>
      </c>
      <c r="F2793" t="s">
        <v>6033</v>
      </c>
      <c r="G2793" t="s">
        <v>6071</v>
      </c>
      <c r="H2793" t="s">
        <v>6098</v>
      </c>
      <c r="I2793">
        <v>72</v>
      </c>
      <c r="J2793">
        <v>3.4</v>
      </c>
      <c r="K2793" t="s">
        <v>6099</v>
      </c>
      <c r="L2793" t="s">
        <v>6100</v>
      </c>
      <c r="M2793" t="s">
        <v>6100</v>
      </c>
      <c r="N2793">
        <v>5</v>
      </c>
      <c r="O2793" t="s">
        <v>6101</v>
      </c>
      <c r="P2793" t="s">
        <v>6111</v>
      </c>
      <c r="Q2793">
        <v>5</v>
      </c>
      <c r="R2793">
        <v>2026</v>
      </c>
      <c r="S2793" t="s">
        <v>6099</v>
      </c>
      <c r="T2793">
        <v>1</v>
      </c>
      <c r="U2793" t="s">
        <v>6020</v>
      </c>
      <c r="V2793">
        <v>1</v>
      </c>
    </row>
    <row r="2794" spans="1:22" x14ac:dyDescent="0.3">
      <c r="A2794" t="s">
        <v>2809</v>
      </c>
      <c r="B2794" s="2">
        <v>46144.473611111112</v>
      </c>
      <c r="C2794" s="2">
        <v>46145.836111111108</v>
      </c>
      <c r="D2794" t="s">
        <v>6023</v>
      </c>
      <c r="E2794" t="s">
        <v>6032</v>
      </c>
      <c r="F2794" t="s">
        <v>6034</v>
      </c>
      <c r="G2794" t="s">
        <v>6038</v>
      </c>
      <c r="H2794" t="s">
        <v>6096</v>
      </c>
      <c r="I2794">
        <v>24</v>
      </c>
      <c r="J2794">
        <v>32.700000000000003</v>
      </c>
      <c r="K2794" t="s">
        <v>6099</v>
      </c>
      <c r="L2794" t="s">
        <v>6100</v>
      </c>
      <c r="M2794" t="s">
        <v>6100</v>
      </c>
      <c r="N2794">
        <v>3</v>
      </c>
      <c r="O2794" t="s">
        <v>6101</v>
      </c>
      <c r="P2794" t="s">
        <v>6111</v>
      </c>
      <c r="Q2794">
        <v>5</v>
      </c>
      <c r="R2794">
        <v>2026</v>
      </c>
      <c r="S2794" t="s">
        <v>6100</v>
      </c>
      <c r="T2794">
        <v>0</v>
      </c>
      <c r="U2794" t="s">
        <v>6020</v>
      </c>
      <c r="V2794">
        <v>1</v>
      </c>
    </row>
    <row r="2795" spans="1:22" x14ac:dyDescent="0.3">
      <c r="A2795" t="s">
        <v>2810</v>
      </c>
      <c r="B2795" s="2">
        <v>46144.489583333336</v>
      </c>
      <c r="C2795" s="2">
        <v>46145.67291666667</v>
      </c>
      <c r="D2795" t="s">
        <v>6027</v>
      </c>
      <c r="E2795" t="s">
        <v>6031</v>
      </c>
      <c r="F2795" t="s">
        <v>6034</v>
      </c>
      <c r="G2795" t="s">
        <v>6054</v>
      </c>
      <c r="H2795" t="s">
        <v>6096</v>
      </c>
      <c r="I2795">
        <v>24</v>
      </c>
      <c r="J2795">
        <v>28.4</v>
      </c>
      <c r="K2795" t="s">
        <v>6099</v>
      </c>
      <c r="L2795" t="s">
        <v>6100</v>
      </c>
      <c r="M2795" t="s">
        <v>6100</v>
      </c>
      <c r="N2795">
        <v>3</v>
      </c>
      <c r="O2795" t="s">
        <v>6101</v>
      </c>
      <c r="P2795" t="s">
        <v>6111</v>
      </c>
      <c r="Q2795">
        <v>5</v>
      </c>
      <c r="R2795">
        <v>2026</v>
      </c>
      <c r="S2795" t="s">
        <v>6100</v>
      </c>
      <c r="T2795">
        <v>0</v>
      </c>
      <c r="U2795" t="s">
        <v>6019</v>
      </c>
      <c r="V2795">
        <v>1</v>
      </c>
    </row>
    <row r="2796" spans="1:22" x14ac:dyDescent="0.3">
      <c r="A2796" t="s">
        <v>2811</v>
      </c>
      <c r="B2796" s="2">
        <v>46144.513194444444</v>
      </c>
      <c r="C2796" s="2">
        <v>46145.317361111112</v>
      </c>
      <c r="D2796" t="s">
        <v>6022</v>
      </c>
      <c r="E2796" t="s">
        <v>6030</v>
      </c>
      <c r="F2796" t="s">
        <v>6034</v>
      </c>
      <c r="G2796" t="s">
        <v>6051</v>
      </c>
      <c r="H2796" t="s">
        <v>6097</v>
      </c>
      <c r="I2796">
        <v>24</v>
      </c>
      <c r="J2796">
        <v>19.3</v>
      </c>
      <c r="K2796" t="s">
        <v>6099</v>
      </c>
      <c r="L2796" t="s">
        <v>6100</v>
      </c>
      <c r="M2796" t="s">
        <v>6100</v>
      </c>
      <c r="N2796">
        <v>5</v>
      </c>
      <c r="O2796" t="s">
        <v>6101</v>
      </c>
      <c r="P2796" t="s">
        <v>6111</v>
      </c>
      <c r="Q2796">
        <v>5</v>
      </c>
      <c r="R2796">
        <v>2026</v>
      </c>
      <c r="S2796" t="s">
        <v>6099</v>
      </c>
      <c r="T2796">
        <v>1</v>
      </c>
      <c r="U2796" t="s">
        <v>6021</v>
      </c>
      <c r="V2796">
        <v>1</v>
      </c>
    </row>
    <row r="2797" spans="1:22" x14ac:dyDescent="0.3">
      <c r="A2797" t="s">
        <v>2812</v>
      </c>
      <c r="B2797" s="2">
        <v>46144.513194444444</v>
      </c>
      <c r="C2797" s="2">
        <v>46145.246527777781</v>
      </c>
      <c r="D2797" t="s">
        <v>6028</v>
      </c>
      <c r="E2797" t="s">
        <v>6031</v>
      </c>
      <c r="F2797" t="s">
        <v>6033</v>
      </c>
      <c r="G2797" t="s">
        <v>6062</v>
      </c>
      <c r="H2797" t="s">
        <v>6096</v>
      </c>
      <c r="I2797">
        <v>72</v>
      </c>
      <c r="J2797">
        <v>17.600000000000001</v>
      </c>
      <c r="K2797" t="s">
        <v>6100</v>
      </c>
      <c r="L2797" t="s">
        <v>6100</v>
      </c>
      <c r="M2797" t="s">
        <v>6100</v>
      </c>
      <c r="N2797">
        <v>5</v>
      </c>
      <c r="O2797" t="s">
        <v>6101</v>
      </c>
      <c r="P2797" t="s">
        <v>6111</v>
      </c>
      <c r="Q2797">
        <v>5</v>
      </c>
      <c r="R2797">
        <v>2026</v>
      </c>
      <c r="S2797" t="s">
        <v>6099</v>
      </c>
      <c r="T2797">
        <v>1</v>
      </c>
      <c r="U2797" t="s">
        <v>6021</v>
      </c>
      <c r="V2797">
        <v>0</v>
      </c>
    </row>
    <row r="2798" spans="1:22" x14ac:dyDescent="0.3">
      <c r="A2798" t="s">
        <v>2813</v>
      </c>
      <c r="B2798" s="2">
        <v>46144.532638888886</v>
      </c>
      <c r="C2798" s="2">
        <v>46144.907638888886</v>
      </c>
      <c r="D2798" t="s">
        <v>6022</v>
      </c>
      <c r="E2798" t="s">
        <v>6030</v>
      </c>
      <c r="F2798" t="s">
        <v>6033</v>
      </c>
      <c r="G2798" t="s">
        <v>6049</v>
      </c>
      <c r="H2798" t="s">
        <v>6097</v>
      </c>
      <c r="I2798">
        <v>72</v>
      </c>
      <c r="J2798">
        <v>9</v>
      </c>
      <c r="K2798" t="s">
        <v>6099</v>
      </c>
      <c r="L2798" t="s">
        <v>6100</v>
      </c>
      <c r="M2798" t="s">
        <v>6100</v>
      </c>
      <c r="N2798">
        <v>5</v>
      </c>
      <c r="O2798" t="s">
        <v>6101</v>
      </c>
      <c r="P2798" t="s">
        <v>6111</v>
      </c>
      <c r="Q2798">
        <v>5</v>
      </c>
      <c r="R2798">
        <v>2026</v>
      </c>
      <c r="S2798" t="s">
        <v>6099</v>
      </c>
      <c r="T2798">
        <v>1</v>
      </c>
      <c r="U2798" t="s">
        <v>6021</v>
      </c>
      <c r="V2798">
        <v>1</v>
      </c>
    </row>
    <row r="2799" spans="1:22" x14ac:dyDescent="0.3">
      <c r="A2799" t="s">
        <v>2814</v>
      </c>
      <c r="B2799" s="2">
        <v>46144.534722222219</v>
      </c>
      <c r="C2799" s="2">
        <v>46145.472222222219</v>
      </c>
      <c r="D2799" t="s">
        <v>6028</v>
      </c>
      <c r="E2799" t="s">
        <v>6030</v>
      </c>
      <c r="F2799" t="s">
        <v>6033</v>
      </c>
      <c r="G2799" t="s">
        <v>6061</v>
      </c>
      <c r="H2799" t="s">
        <v>6096</v>
      </c>
      <c r="I2799">
        <v>72</v>
      </c>
      <c r="J2799">
        <v>22.5</v>
      </c>
      <c r="K2799" t="s">
        <v>6099</v>
      </c>
      <c r="L2799" t="s">
        <v>6100</v>
      </c>
      <c r="M2799" t="s">
        <v>6100</v>
      </c>
      <c r="N2799">
        <v>4</v>
      </c>
      <c r="O2799" t="s">
        <v>6101</v>
      </c>
      <c r="P2799" t="s">
        <v>6111</v>
      </c>
      <c r="Q2799">
        <v>5</v>
      </c>
      <c r="R2799">
        <v>2026</v>
      </c>
      <c r="S2799" t="s">
        <v>6099</v>
      </c>
      <c r="T2799">
        <v>1</v>
      </c>
      <c r="U2799" t="s">
        <v>6018</v>
      </c>
      <c r="V2799">
        <v>1</v>
      </c>
    </row>
    <row r="2800" spans="1:22" x14ac:dyDescent="0.3">
      <c r="A2800" t="s">
        <v>2815</v>
      </c>
      <c r="B2800" s="2">
        <v>46144.54791666667</v>
      </c>
      <c r="C2800" s="2">
        <v>46145.668749999997</v>
      </c>
      <c r="D2800" t="s">
        <v>6024</v>
      </c>
      <c r="E2800" t="s">
        <v>6030</v>
      </c>
      <c r="F2800" t="s">
        <v>6033</v>
      </c>
      <c r="G2800" t="s">
        <v>6058</v>
      </c>
      <c r="H2800" t="s">
        <v>6098</v>
      </c>
      <c r="I2800">
        <v>72</v>
      </c>
      <c r="J2800">
        <v>26.9</v>
      </c>
      <c r="K2800" t="s">
        <v>6099</v>
      </c>
      <c r="L2800" t="s">
        <v>6100</v>
      </c>
      <c r="M2800" t="s">
        <v>6100</v>
      </c>
      <c r="N2800">
        <v>5</v>
      </c>
      <c r="O2800" t="s">
        <v>6101</v>
      </c>
      <c r="P2800" t="s">
        <v>6111</v>
      </c>
      <c r="Q2800">
        <v>5</v>
      </c>
      <c r="R2800">
        <v>2026</v>
      </c>
      <c r="S2800" t="s">
        <v>6099</v>
      </c>
      <c r="T2800">
        <v>1</v>
      </c>
      <c r="U2800" t="s">
        <v>6020</v>
      </c>
      <c r="V2800">
        <v>1</v>
      </c>
    </row>
    <row r="2801" spans="1:22" x14ac:dyDescent="0.3">
      <c r="A2801" t="s">
        <v>2816</v>
      </c>
      <c r="B2801" s="2">
        <v>46144.56527777778</v>
      </c>
      <c r="C2801" s="2">
        <v>46145.631944444445</v>
      </c>
      <c r="D2801" t="s">
        <v>6026</v>
      </c>
      <c r="E2801" t="s">
        <v>6032</v>
      </c>
      <c r="F2801" t="s">
        <v>6035</v>
      </c>
      <c r="G2801" t="s">
        <v>6061</v>
      </c>
      <c r="H2801" t="s">
        <v>6096</v>
      </c>
      <c r="I2801">
        <v>4</v>
      </c>
      <c r="J2801">
        <v>25.6</v>
      </c>
      <c r="K2801" t="s">
        <v>6100</v>
      </c>
      <c r="L2801" t="s">
        <v>6099</v>
      </c>
      <c r="M2801" t="s">
        <v>6100</v>
      </c>
      <c r="N2801">
        <v>3</v>
      </c>
      <c r="O2801" t="s">
        <v>6101</v>
      </c>
      <c r="P2801" t="s">
        <v>6111</v>
      </c>
      <c r="Q2801">
        <v>5</v>
      </c>
      <c r="R2801">
        <v>2026</v>
      </c>
      <c r="S2801" t="s">
        <v>6100</v>
      </c>
      <c r="T2801">
        <v>0</v>
      </c>
      <c r="U2801" t="s">
        <v>6020</v>
      </c>
      <c r="V2801">
        <v>0</v>
      </c>
    </row>
    <row r="2802" spans="1:22" x14ac:dyDescent="0.3">
      <c r="A2802" t="s">
        <v>2817</v>
      </c>
      <c r="B2802" s="2">
        <v>46144.57916666667</v>
      </c>
      <c r="C2802" s="2">
        <v>46157.237500000003</v>
      </c>
      <c r="D2802" t="s">
        <v>6026</v>
      </c>
      <c r="E2802" t="s">
        <v>6031</v>
      </c>
      <c r="F2802" t="s">
        <v>6034</v>
      </c>
      <c r="G2802" t="s">
        <v>6088</v>
      </c>
      <c r="H2802" t="s">
        <v>6097</v>
      </c>
      <c r="I2802">
        <v>24</v>
      </c>
      <c r="J2802">
        <v>303.8</v>
      </c>
      <c r="K2802" t="s">
        <v>6100</v>
      </c>
      <c r="L2802" t="s">
        <v>6100</v>
      </c>
      <c r="M2802" t="s">
        <v>6100</v>
      </c>
      <c r="N2802">
        <v>3</v>
      </c>
      <c r="O2802" t="s">
        <v>6101</v>
      </c>
      <c r="P2802" t="s">
        <v>6111</v>
      </c>
      <c r="Q2802">
        <v>5</v>
      </c>
      <c r="R2802">
        <v>2026</v>
      </c>
      <c r="S2802" t="s">
        <v>6100</v>
      </c>
      <c r="T2802">
        <v>0</v>
      </c>
      <c r="U2802" t="s">
        <v>6019</v>
      </c>
      <c r="V2802">
        <v>0</v>
      </c>
    </row>
    <row r="2803" spans="1:22" x14ac:dyDescent="0.3">
      <c r="A2803" t="s">
        <v>2818</v>
      </c>
      <c r="B2803" s="2">
        <v>46144.598611111112</v>
      </c>
      <c r="C2803" s="2">
        <v>46144.861111111109</v>
      </c>
      <c r="D2803" t="s">
        <v>6023</v>
      </c>
      <c r="E2803" t="s">
        <v>6030</v>
      </c>
      <c r="F2803" t="s">
        <v>6033</v>
      </c>
      <c r="G2803" t="s">
        <v>6079</v>
      </c>
      <c r="H2803" t="s">
        <v>6097</v>
      </c>
      <c r="I2803">
        <v>72</v>
      </c>
      <c r="J2803">
        <v>6.3</v>
      </c>
      <c r="K2803" t="s">
        <v>6099</v>
      </c>
      <c r="L2803" t="s">
        <v>6100</v>
      </c>
      <c r="M2803" t="s">
        <v>6100</v>
      </c>
      <c r="N2803">
        <v>5</v>
      </c>
      <c r="O2803" t="s">
        <v>6101</v>
      </c>
      <c r="P2803" t="s">
        <v>6111</v>
      </c>
      <c r="Q2803">
        <v>5</v>
      </c>
      <c r="R2803">
        <v>2026</v>
      </c>
      <c r="S2803" t="s">
        <v>6099</v>
      </c>
      <c r="T2803">
        <v>1</v>
      </c>
      <c r="U2803" t="s">
        <v>6017</v>
      </c>
      <c r="V2803">
        <v>1</v>
      </c>
    </row>
    <row r="2804" spans="1:22" x14ac:dyDescent="0.3">
      <c r="A2804" t="s">
        <v>2819</v>
      </c>
      <c r="B2804" s="2">
        <v>46144.620833333334</v>
      </c>
      <c r="C2804" s="2">
        <v>46144.979166666664</v>
      </c>
      <c r="D2804" t="s">
        <v>6023</v>
      </c>
      <c r="E2804" t="s">
        <v>6029</v>
      </c>
      <c r="F2804" t="s">
        <v>6034</v>
      </c>
      <c r="G2804" t="s">
        <v>6084</v>
      </c>
      <c r="H2804" t="s">
        <v>6098</v>
      </c>
      <c r="I2804">
        <v>24</v>
      </c>
      <c r="J2804">
        <v>8.6</v>
      </c>
      <c r="K2804" t="s">
        <v>6099</v>
      </c>
      <c r="L2804" t="s">
        <v>6100</v>
      </c>
      <c r="M2804" t="s">
        <v>6100</v>
      </c>
      <c r="N2804">
        <v>5</v>
      </c>
      <c r="O2804" t="s">
        <v>6101</v>
      </c>
      <c r="P2804" t="s">
        <v>6111</v>
      </c>
      <c r="Q2804">
        <v>5</v>
      </c>
      <c r="R2804">
        <v>2026</v>
      </c>
      <c r="S2804" t="s">
        <v>6099</v>
      </c>
      <c r="T2804">
        <v>1</v>
      </c>
      <c r="U2804" t="s">
        <v>6019</v>
      </c>
      <c r="V2804">
        <v>1</v>
      </c>
    </row>
    <row r="2805" spans="1:22" x14ac:dyDescent="0.3">
      <c r="A2805" t="s">
        <v>2820</v>
      </c>
      <c r="B2805" s="2">
        <v>46144.624305555553</v>
      </c>
      <c r="C2805" s="2">
        <v>46145.636805555558</v>
      </c>
      <c r="D2805" t="s">
        <v>6023</v>
      </c>
      <c r="E2805" t="s">
        <v>6032</v>
      </c>
      <c r="F2805" t="s">
        <v>6034</v>
      </c>
      <c r="G2805" t="s">
        <v>6041</v>
      </c>
      <c r="H2805" t="s">
        <v>6096</v>
      </c>
      <c r="I2805">
        <v>24</v>
      </c>
      <c r="J2805">
        <v>24.3</v>
      </c>
      <c r="K2805" t="s">
        <v>6099</v>
      </c>
      <c r="L2805" t="s">
        <v>6100</v>
      </c>
      <c r="M2805" t="s">
        <v>6100</v>
      </c>
      <c r="N2805">
        <v>4</v>
      </c>
      <c r="O2805" t="s">
        <v>6101</v>
      </c>
      <c r="P2805" t="s">
        <v>6111</v>
      </c>
      <c r="Q2805">
        <v>5</v>
      </c>
      <c r="R2805">
        <v>2026</v>
      </c>
      <c r="S2805" t="s">
        <v>6100</v>
      </c>
      <c r="T2805">
        <v>0</v>
      </c>
      <c r="U2805" t="s">
        <v>6019</v>
      </c>
      <c r="V2805">
        <v>1</v>
      </c>
    </row>
    <row r="2806" spans="1:22" x14ac:dyDescent="0.3">
      <c r="A2806" t="s">
        <v>2821</v>
      </c>
      <c r="B2806" s="2">
        <v>46144.658333333333</v>
      </c>
      <c r="C2806" s="2">
        <v>46144.98333333333</v>
      </c>
      <c r="D2806" t="s">
        <v>6028</v>
      </c>
      <c r="E2806" t="s">
        <v>6029</v>
      </c>
      <c r="F2806" t="s">
        <v>6035</v>
      </c>
      <c r="G2806" t="s">
        <v>6063</v>
      </c>
      <c r="H2806" t="s">
        <v>6097</v>
      </c>
      <c r="I2806">
        <v>4</v>
      </c>
      <c r="K2806" t="s">
        <v>6100</v>
      </c>
      <c r="L2806" t="s">
        <v>6099</v>
      </c>
      <c r="M2806" t="s">
        <v>6100</v>
      </c>
      <c r="O2806" t="s">
        <v>6101</v>
      </c>
      <c r="P2806" t="s">
        <v>6111</v>
      </c>
      <c r="Q2806">
        <v>5</v>
      </c>
      <c r="R2806">
        <v>2026</v>
      </c>
      <c r="U2806" t="s">
        <v>6021</v>
      </c>
      <c r="V2806">
        <v>0</v>
      </c>
    </row>
    <row r="2807" spans="1:22" x14ac:dyDescent="0.3">
      <c r="A2807" t="s">
        <v>2822</v>
      </c>
      <c r="B2807" s="2">
        <v>46144.661805555559</v>
      </c>
      <c r="C2807" s="2">
        <v>46145.032638888886</v>
      </c>
      <c r="D2807" t="s">
        <v>6022</v>
      </c>
      <c r="E2807" t="s">
        <v>6029</v>
      </c>
      <c r="F2807" t="s">
        <v>6034</v>
      </c>
      <c r="G2807" t="s">
        <v>6091</v>
      </c>
      <c r="H2807" t="s">
        <v>6097</v>
      </c>
      <c r="I2807">
        <v>24</v>
      </c>
      <c r="J2807">
        <v>8.9</v>
      </c>
      <c r="K2807" t="s">
        <v>6100</v>
      </c>
      <c r="L2807" t="s">
        <v>6100</v>
      </c>
      <c r="M2807" t="s">
        <v>6100</v>
      </c>
      <c r="O2807" t="s">
        <v>6101</v>
      </c>
      <c r="P2807" t="s">
        <v>6111</v>
      </c>
      <c r="Q2807">
        <v>5</v>
      </c>
      <c r="R2807">
        <v>2026</v>
      </c>
      <c r="S2807" t="s">
        <v>6099</v>
      </c>
      <c r="T2807">
        <v>1</v>
      </c>
      <c r="U2807" t="s">
        <v>6018</v>
      </c>
      <c r="V2807">
        <v>0</v>
      </c>
    </row>
    <row r="2808" spans="1:22" x14ac:dyDescent="0.3">
      <c r="A2808" t="s">
        <v>2823</v>
      </c>
      <c r="B2808" s="2">
        <v>46144.662499999999</v>
      </c>
      <c r="C2808" s="2">
        <v>46145.412499999999</v>
      </c>
      <c r="D2808" t="s">
        <v>6024</v>
      </c>
      <c r="E2808" t="s">
        <v>6030</v>
      </c>
      <c r="F2808" t="s">
        <v>6033</v>
      </c>
      <c r="G2808" t="s">
        <v>6059</v>
      </c>
      <c r="H2808" t="s">
        <v>6097</v>
      </c>
      <c r="I2808">
        <v>72</v>
      </c>
      <c r="J2808">
        <v>18</v>
      </c>
      <c r="K2808" t="s">
        <v>6100</v>
      </c>
      <c r="L2808" t="s">
        <v>6100</v>
      </c>
      <c r="M2808" t="s">
        <v>6100</v>
      </c>
      <c r="O2808" t="s">
        <v>6101</v>
      </c>
      <c r="P2808" t="s">
        <v>6111</v>
      </c>
      <c r="Q2808">
        <v>5</v>
      </c>
      <c r="R2808">
        <v>2026</v>
      </c>
      <c r="S2808" t="s">
        <v>6099</v>
      </c>
      <c r="T2808">
        <v>1</v>
      </c>
      <c r="U2808" t="s">
        <v>6020</v>
      </c>
      <c r="V2808">
        <v>0</v>
      </c>
    </row>
    <row r="2809" spans="1:22" x14ac:dyDescent="0.3">
      <c r="A2809" t="s">
        <v>2824</v>
      </c>
      <c r="B2809" s="2">
        <v>46144.695833333331</v>
      </c>
      <c r="C2809" s="2">
        <v>46145.020833333336</v>
      </c>
      <c r="D2809" t="s">
        <v>6027</v>
      </c>
      <c r="E2809" t="s">
        <v>6029</v>
      </c>
      <c r="F2809" t="s">
        <v>6034</v>
      </c>
      <c r="G2809" t="s">
        <v>6084</v>
      </c>
      <c r="H2809" t="s">
        <v>6098</v>
      </c>
      <c r="I2809">
        <v>24</v>
      </c>
      <c r="J2809">
        <v>7.8</v>
      </c>
      <c r="K2809" t="s">
        <v>6099</v>
      </c>
      <c r="L2809" t="s">
        <v>6100</v>
      </c>
      <c r="M2809" t="s">
        <v>6100</v>
      </c>
      <c r="O2809" t="s">
        <v>6101</v>
      </c>
      <c r="P2809" t="s">
        <v>6111</v>
      </c>
      <c r="Q2809">
        <v>5</v>
      </c>
      <c r="R2809">
        <v>2026</v>
      </c>
      <c r="S2809" t="s">
        <v>6099</v>
      </c>
      <c r="T2809">
        <v>1</v>
      </c>
      <c r="U2809" t="s">
        <v>6019</v>
      </c>
      <c r="V2809">
        <v>1</v>
      </c>
    </row>
    <row r="2810" spans="1:22" x14ac:dyDescent="0.3">
      <c r="A2810" t="s">
        <v>2825</v>
      </c>
      <c r="B2810" s="2">
        <v>46144.729861111111</v>
      </c>
      <c r="C2810" s="2">
        <v>46144.900694444441</v>
      </c>
      <c r="D2810" t="s">
        <v>6028</v>
      </c>
      <c r="E2810" t="s">
        <v>6029</v>
      </c>
      <c r="F2810" t="s">
        <v>6035</v>
      </c>
      <c r="G2810" t="s">
        <v>6046</v>
      </c>
      <c r="H2810" t="s">
        <v>6098</v>
      </c>
      <c r="I2810">
        <v>4</v>
      </c>
      <c r="J2810">
        <v>4.0999999999999996</v>
      </c>
      <c r="K2810" t="s">
        <v>6099</v>
      </c>
      <c r="L2810" t="s">
        <v>6100</v>
      </c>
      <c r="M2810" t="s">
        <v>6100</v>
      </c>
      <c r="O2810" t="s">
        <v>6101</v>
      </c>
      <c r="P2810" t="s">
        <v>6111</v>
      </c>
      <c r="Q2810">
        <v>5</v>
      </c>
      <c r="R2810">
        <v>2026</v>
      </c>
      <c r="S2810" t="s">
        <v>6100</v>
      </c>
      <c r="T2810">
        <v>0</v>
      </c>
      <c r="U2810" t="s">
        <v>6021</v>
      </c>
      <c r="V2810">
        <v>1</v>
      </c>
    </row>
    <row r="2811" spans="1:22" x14ac:dyDescent="0.3">
      <c r="A2811" t="s">
        <v>2826</v>
      </c>
      <c r="B2811" s="2">
        <v>46144.736111111109</v>
      </c>
      <c r="C2811" s="2">
        <v>46145.486111111109</v>
      </c>
      <c r="D2811" t="s">
        <v>6022</v>
      </c>
      <c r="E2811" t="s">
        <v>6030</v>
      </c>
      <c r="F2811" t="s">
        <v>6033</v>
      </c>
      <c r="G2811" t="s">
        <v>6047</v>
      </c>
      <c r="H2811" t="s">
        <v>6098</v>
      </c>
      <c r="I2811">
        <v>72</v>
      </c>
      <c r="J2811">
        <v>18</v>
      </c>
      <c r="K2811" t="s">
        <v>6100</v>
      </c>
      <c r="L2811" t="s">
        <v>6099</v>
      </c>
      <c r="M2811" t="s">
        <v>6100</v>
      </c>
      <c r="N2811">
        <v>4</v>
      </c>
      <c r="O2811" t="s">
        <v>6101</v>
      </c>
      <c r="P2811" t="s">
        <v>6111</v>
      </c>
      <c r="Q2811">
        <v>5</v>
      </c>
      <c r="R2811">
        <v>2026</v>
      </c>
      <c r="S2811" t="s">
        <v>6099</v>
      </c>
      <c r="T2811">
        <v>1</v>
      </c>
      <c r="U2811" t="s">
        <v>6020</v>
      </c>
      <c r="V2811">
        <v>0</v>
      </c>
    </row>
    <row r="2812" spans="1:22" x14ac:dyDescent="0.3">
      <c r="A2812" t="s">
        <v>2827</v>
      </c>
      <c r="B2812" s="2">
        <v>46144.736805555556</v>
      </c>
      <c r="C2812" s="2">
        <v>46146.990972222222</v>
      </c>
      <c r="D2812" t="s">
        <v>6022</v>
      </c>
      <c r="E2812" t="s">
        <v>6031</v>
      </c>
      <c r="F2812" t="s">
        <v>6033</v>
      </c>
      <c r="G2812" t="s">
        <v>6077</v>
      </c>
      <c r="H2812" t="s">
        <v>6098</v>
      </c>
      <c r="I2812">
        <v>72</v>
      </c>
      <c r="J2812">
        <v>54.1</v>
      </c>
      <c r="K2812" t="s">
        <v>6099</v>
      </c>
      <c r="L2812" t="s">
        <v>6100</v>
      </c>
      <c r="M2812" t="s">
        <v>6100</v>
      </c>
      <c r="O2812" t="s">
        <v>6101</v>
      </c>
      <c r="P2812" t="s">
        <v>6111</v>
      </c>
      <c r="Q2812">
        <v>5</v>
      </c>
      <c r="R2812">
        <v>2026</v>
      </c>
      <c r="S2812" t="s">
        <v>6099</v>
      </c>
      <c r="T2812">
        <v>1</v>
      </c>
      <c r="U2812" t="s">
        <v>6020</v>
      </c>
      <c r="V2812">
        <v>1</v>
      </c>
    </row>
    <row r="2813" spans="1:22" x14ac:dyDescent="0.3">
      <c r="A2813" t="s">
        <v>2828</v>
      </c>
      <c r="B2813" s="2">
        <v>46144.739583333336</v>
      </c>
      <c r="C2813" s="2">
        <v>46145.310416666667</v>
      </c>
      <c r="D2813" t="s">
        <v>6022</v>
      </c>
      <c r="E2813" t="s">
        <v>6032</v>
      </c>
      <c r="F2813" t="s">
        <v>6033</v>
      </c>
      <c r="G2813" t="s">
        <v>6074</v>
      </c>
      <c r="H2813" t="s">
        <v>6098</v>
      </c>
      <c r="I2813">
        <v>72</v>
      </c>
      <c r="J2813">
        <v>13.7</v>
      </c>
      <c r="K2813" t="s">
        <v>6100</v>
      </c>
      <c r="L2813" t="s">
        <v>6100</v>
      </c>
      <c r="M2813" t="s">
        <v>6100</v>
      </c>
      <c r="O2813" t="s">
        <v>6101</v>
      </c>
      <c r="P2813" t="s">
        <v>6111</v>
      </c>
      <c r="Q2813">
        <v>5</v>
      </c>
      <c r="R2813">
        <v>2026</v>
      </c>
      <c r="S2813" t="s">
        <v>6099</v>
      </c>
      <c r="T2813">
        <v>1</v>
      </c>
      <c r="U2813" t="s">
        <v>6018</v>
      </c>
      <c r="V2813">
        <v>0</v>
      </c>
    </row>
    <row r="2814" spans="1:22" x14ac:dyDescent="0.3">
      <c r="A2814" t="s">
        <v>2829</v>
      </c>
      <c r="B2814" s="2">
        <v>46144.756944444445</v>
      </c>
      <c r="C2814" s="2">
        <v>46145.44027777778</v>
      </c>
      <c r="D2814" t="s">
        <v>6028</v>
      </c>
      <c r="E2814" t="s">
        <v>6029</v>
      </c>
      <c r="F2814" t="s">
        <v>6035</v>
      </c>
      <c r="G2814" t="s">
        <v>6037</v>
      </c>
      <c r="H2814" t="s">
        <v>6096</v>
      </c>
      <c r="I2814">
        <v>4</v>
      </c>
      <c r="J2814">
        <v>16.399999999999999</v>
      </c>
      <c r="K2814" t="s">
        <v>6099</v>
      </c>
      <c r="L2814" t="s">
        <v>6100</v>
      </c>
      <c r="M2814" t="s">
        <v>6100</v>
      </c>
      <c r="O2814" t="s">
        <v>6101</v>
      </c>
      <c r="P2814" t="s">
        <v>6111</v>
      </c>
      <c r="Q2814">
        <v>5</v>
      </c>
      <c r="R2814">
        <v>2026</v>
      </c>
      <c r="S2814" t="s">
        <v>6100</v>
      </c>
      <c r="T2814">
        <v>0</v>
      </c>
      <c r="U2814" t="s">
        <v>6021</v>
      </c>
      <c r="V2814">
        <v>1</v>
      </c>
    </row>
    <row r="2815" spans="1:22" x14ac:dyDescent="0.3">
      <c r="A2815" t="s">
        <v>2830</v>
      </c>
      <c r="B2815" s="2">
        <v>46145.249305555553</v>
      </c>
      <c r="C2815" s="2">
        <v>46147.707638888889</v>
      </c>
      <c r="D2815" t="s">
        <v>6027</v>
      </c>
      <c r="E2815" t="s">
        <v>6031</v>
      </c>
      <c r="F2815" t="s">
        <v>6033</v>
      </c>
      <c r="G2815" t="s">
        <v>6045</v>
      </c>
      <c r="H2815" t="s">
        <v>6096</v>
      </c>
      <c r="I2815">
        <v>72</v>
      </c>
      <c r="J2815">
        <v>59</v>
      </c>
      <c r="K2815" t="s">
        <v>6100</v>
      </c>
      <c r="L2815" t="s">
        <v>6099</v>
      </c>
      <c r="M2815" t="s">
        <v>6100</v>
      </c>
      <c r="N2815">
        <v>4</v>
      </c>
      <c r="O2815" t="s">
        <v>6101</v>
      </c>
      <c r="P2815" t="s">
        <v>6111</v>
      </c>
      <c r="Q2815">
        <v>5</v>
      </c>
      <c r="R2815">
        <v>2026</v>
      </c>
      <c r="S2815" t="s">
        <v>6099</v>
      </c>
      <c r="T2815">
        <v>1</v>
      </c>
      <c r="U2815" t="s">
        <v>6021</v>
      </c>
      <c r="V2815">
        <v>0</v>
      </c>
    </row>
    <row r="2816" spans="1:22" x14ac:dyDescent="0.3">
      <c r="A2816" t="s">
        <v>2831</v>
      </c>
      <c r="B2816" s="2">
        <v>46145.324305555558</v>
      </c>
      <c r="C2816" s="2">
        <v>46145.582638888889</v>
      </c>
      <c r="D2816" t="s">
        <v>6023</v>
      </c>
      <c r="E2816" t="s">
        <v>6029</v>
      </c>
      <c r="F2816" t="s">
        <v>6034</v>
      </c>
      <c r="G2816" t="s">
        <v>6074</v>
      </c>
      <c r="H2816" t="s">
        <v>6098</v>
      </c>
      <c r="I2816">
        <v>24</v>
      </c>
      <c r="J2816">
        <v>6.2</v>
      </c>
      <c r="K2816" t="s">
        <v>6100</v>
      </c>
      <c r="L2816" t="s">
        <v>6100</v>
      </c>
      <c r="M2816" t="s">
        <v>6100</v>
      </c>
      <c r="N2816">
        <v>5</v>
      </c>
      <c r="O2816" t="s">
        <v>6101</v>
      </c>
      <c r="P2816" t="s">
        <v>6111</v>
      </c>
      <c r="Q2816">
        <v>5</v>
      </c>
      <c r="R2816">
        <v>2026</v>
      </c>
      <c r="S2816" t="s">
        <v>6099</v>
      </c>
      <c r="T2816">
        <v>1</v>
      </c>
      <c r="U2816" t="s">
        <v>6018</v>
      </c>
      <c r="V2816">
        <v>0</v>
      </c>
    </row>
    <row r="2817" spans="1:22" x14ac:dyDescent="0.3">
      <c r="A2817" t="s">
        <v>2832</v>
      </c>
      <c r="B2817" s="2">
        <v>46145.334722222222</v>
      </c>
      <c r="C2817" s="2">
        <v>46146.009722222225</v>
      </c>
      <c r="D2817" t="s">
        <v>6024</v>
      </c>
      <c r="E2817" t="s">
        <v>6030</v>
      </c>
      <c r="F2817" t="s">
        <v>6034</v>
      </c>
      <c r="G2817" t="s">
        <v>6045</v>
      </c>
      <c r="H2817" t="s">
        <v>6096</v>
      </c>
      <c r="I2817">
        <v>24</v>
      </c>
      <c r="J2817">
        <v>16.2</v>
      </c>
      <c r="K2817" t="s">
        <v>6100</v>
      </c>
      <c r="L2817" t="s">
        <v>6100</v>
      </c>
      <c r="M2817" t="s">
        <v>6100</v>
      </c>
      <c r="N2817">
        <v>5</v>
      </c>
      <c r="O2817" t="s">
        <v>6101</v>
      </c>
      <c r="P2817" t="s">
        <v>6111</v>
      </c>
      <c r="Q2817">
        <v>5</v>
      </c>
      <c r="R2817">
        <v>2026</v>
      </c>
      <c r="S2817" t="s">
        <v>6099</v>
      </c>
      <c r="T2817">
        <v>1</v>
      </c>
      <c r="U2817" t="s">
        <v>6021</v>
      </c>
      <c r="V2817">
        <v>0</v>
      </c>
    </row>
    <row r="2818" spans="1:22" x14ac:dyDescent="0.3">
      <c r="A2818" t="s">
        <v>2833</v>
      </c>
      <c r="B2818" s="2">
        <v>46145.381944444445</v>
      </c>
      <c r="C2818" s="2">
        <v>46146.040277777778</v>
      </c>
      <c r="D2818" t="s">
        <v>6023</v>
      </c>
      <c r="E2818" t="s">
        <v>6029</v>
      </c>
      <c r="F2818" t="s">
        <v>6033</v>
      </c>
      <c r="G2818" t="s">
        <v>6057</v>
      </c>
      <c r="H2818" t="s">
        <v>6097</v>
      </c>
      <c r="I2818">
        <v>72</v>
      </c>
      <c r="J2818">
        <v>15.8</v>
      </c>
      <c r="K2818" t="s">
        <v>6099</v>
      </c>
      <c r="L2818" t="s">
        <v>6100</v>
      </c>
      <c r="M2818" t="s">
        <v>6100</v>
      </c>
      <c r="N2818">
        <v>5</v>
      </c>
      <c r="O2818" t="s">
        <v>6101</v>
      </c>
      <c r="P2818" t="s">
        <v>6111</v>
      </c>
      <c r="Q2818">
        <v>5</v>
      </c>
      <c r="R2818">
        <v>2026</v>
      </c>
      <c r="S2818" t="s">
        <v>6099</v>
      </c>
      <c r="T2818">
        <v>1</v>
      </c>
      <c r="U2818" t="s">
        <v>6020</v>
      </c>
      <c r="V2818">
        <v>1</v>
      </c>
    </row>
    <row r="2819" spans="1:22" x14ac:dyDescent="0.3">
      <c r="A2819" t="s">
        <v>2834</v>
      </c>
      <c r="B2819" s="2">
        <v>46145.409722222219</v>
      </c>
      <c r="C2819" s="2">
        <v>46145.647222222222</v>
      </c>
      <c r="D2819" t="s">
        <v>6023</v>
      </c>
      <c r="E2819" t="s">
        <v>6030</v>
      </c>
      <c r="F2819" t="s">
        <v>6033</v>
      </c>
      <c r="G2819" t="s">
        <v>6047</v>
      </c>
      <c r="H2819" t="s">
        <v>6098</v>
      </c>
      <c r="I2819">
        <v>72</v>
      </c>
      <c r="J2819">
        <v>5.7</v>
      </c>
      <c r="K2819" t="s">
        <v>6099</v>
      </c>
      <c r="L2819" t="s">
        <v>6100</v>
      </c>
      <c r="M2819" t="s">
        <v>6100</v>
      </c>
      <c r="N2819">
        <v>2</v>
      </c>
      <c r="O2819" t="s">
        <v>6101</v>
      </c>
      <c r="P2819" t="s">
        <v>6111</v>
      </c>
      <c r="Q2819">
        <v>5</v>
      </c>
      <c r="R2819">
        <v>2026</v>
      </c>
      <c r="S2819" t="s">
        <v>6099</v>
      </c>
      <c r="T2819">
        <v>1</v>
      </c>
      <c r="U2819" t="s">
        <v>6019</v>
      </c>
      <c r="V2819">
        <v>1</v>
      </c>
    </row>
    <row r="2820" spans="1:22" x14ac:dyDescent="0.3">
      <c r="A2820" t="s">
        <v>2835</v>
      </c>
      <c r="B2820" s="2">
        <v>46145.410416666666</v>
      </c>
      <c r="C2820" s="2">
        <v>46145.989583333336</v>
      </c>
      <c r="D2820" t="s">
        <v>6023</v>
      </c>
      <c r="E2820" t="s">
        <v>6029</v>
      </c>
      <c r="F2820" t="s">
        <v>6034</v>
      </c>
      <c r="G2820" t="s">
        <v>6048</v>
      </c>
      <c r="H2820" t="s">
        <v>6096</v>
      </c>
      <c r="I2820">
        <v>24</v>
      </c>
      <c r="J2820">
        <v>13.9</v>
      </c>
      <c r="K2820" t="s">
        <v>6099</v>
      </c>
      <c r="L2820" t="s">
        <v>6100</v>
      </c>
      <c r="M2820" t="s">
        <v>6100</v>
      </c>
      <c r="O2820" t="s">
        <v>6101</v>
      </c>
      <c r="P2820" t="s">
        <v>6111</v>
      </c>
      <c r="Q2820">
        <v>5</v>
      </c>
      <c r="R2820">
        <v>2026</v>
      </c>
      <c r="S2820" t="s">
        <v>6099</v>
      </c>
      <c r="T2820">
        <v>1</v>
      </c>
      <c r="U2820" t="s">
        <v>6020</v>
      </c>
      <c r="V2820">
        <v>1</v>
      </c>
    </row>
    <row r="2821" spans="1:22" x14ac:dyDescent="0.3">
      <c r="A2821" t="s">
        <v>2836</v>
      </c>
      <c r="B2821" s="2">
        <v>46145.467361111114</v>
      </c>
      <c r="C2821" s="2">
        <v>46145.767361111109</v>
      </c>
      <c r="D2821" t="s">
        <v>6025</v>
      </c>
      <c r="E2821" t="s">
        <v>6029</v>
      </c>
      <c r="F2821" t="s">
        <v>6034</v>
      </c>
      <c r="G2821" t="s">
        <v>6037</v>
      </c>
      <c r="H2821" t="s">
        <v>6096</v>
      </c>
      <c r="I2821">
        <v>24</v>
      </c>
      <c r="J2821">
        <v>7.2</v>
      </c>
      <c r="K2821" t="s">
        <v>6100</v>
      </c>
      <c r="L2821" t="s">
        <v>6100</v>
      </c>
      <c r="M2821" t="s">
        <v>6100</v>
      </c>
      <c r="O2821" t="s">
        <v>6101</v>
      </c>
      <c r="P2821" t="s">
        <v>6111</v>
      </c>
      <c r="Q2821">
        <v>5</v>
      </c>
      <c r="R2821">
        <v>2026</v>
      </c>
      <c r="S2821" t="s">
        <v>6099</v>
      </c>
      <c r="T2821">
        <v>1</v>
      </c>
      <c r="U2821" t="s">
        <v>6018</v>
      </c>
      <c r="V2821">
        <v>0</v>
      </c>
    </row>
    <row r="2822" spans="1:22" x14ac:dyDescent="0.3">
      <c r="A2822" t="s">
        <v>2837</v>
      </c>
      <c r="B2822" s="2">
        <v>46145.474305555559</v>
      </c>
      <c r="C2822" s="2">
        <v>46147.274305555555</v>
      </c>
      <c r="D2822" t="s">
        <v>6023</v>
      </c>
      <c r="E2822" t="s">
        <v>6032</v>
      </c>
      <c r="F2822" t="s">
        <v>6034</v>
      </c>
      <c r="G2822" t="s">
        <v>6076</v>
      </c>
      <c r="H2822" t="s">
        <v>6097</v>
      </c>
      <c r="I2822">
        <v>24</v>
      </c>
      <c r="J2822">
        <v>43.2</v>
      </c>
      <c r="K2822" t="s">
        <v>6100</v>
      </c>
      <c r="L2822" t="s">
        <v>6099</v>
      </c>
      <c r="M2822" t="s">
        <v>6100</v>
      </c>
      <c r="N2822">
        <v>3</v>
      </c>
      <c r="O2822" t="s">
        <v>6101</v>
      </c>
      <c r="P2822" t="s">
        <v>6111</v>
      </c>
      <c r="Q2822">
        <v>5</v>
      </c>
      <c r="R2822">
        <v>2026</v>
      </c>
      <c r="S2822" t="s">
        <v>6100</v>
      </c>
      <c r="T2822">
        <v>0</v>
      </c>
      <c r="U2822" t="s">
        <v>6019</v>
      </c>
      <c r="V2822">
        <v>0</v>
      </c>
    </row>
    <row r="2823" spans="1:22" x14ac:dyDescent="0.3">
      <c r="A2823" t="s">
        <v>2838</v>
      </c>
      <c r="B2823" s="2">
        <v>46145.486111111109</v>
      </c>
      <c r="C2823" s="2">
        <v>46153.340277777781</v>
      </c>
      <c r="D2823" t="s">
        <v>6026</v>
      </c>
      <c r="E2823" t="s">
        <v>6032</v>
      </c>
      <c r="F2823" t="s">
        <v>6034</v>
      </c>
      <c r="G2823" t="s">
        <v>6058</v>
      </c>
      <c r="H2823" t="s">
        <v>6098</v>
      </c>
      <c r="I2823">
        <v>24</v>
      </c>
      <c r="J2823">
        <v>188.5</v>
      </c>
      <c r="K2823" t="s">
        <v>6099</v>
      </c>
      <c r="L2823" t="s">
        <v>6100</v>
      </c>
      <c r="M2823" t="s">
        <v>6100</v>
      </c>
      <c r="N2823">
        <v>4</v>
      </c>
      <c r="O2823" t="s">
        <v>6101</v>
      </c>
      <c r="P2823" t="s">
        <v>6111</v>
      </c>
      <c r="Q2823">
        <v>5</v>
      </c>
      <c r="R2823">
        <v>2026</v>
      </c>
      <c r="S2823" t="s">
        <v>6100</v>
      </c>
      <c r="T2823">
        <v>0</v>
      </c>
      <c r="U2823" t="s">
        <v>6021</v>
      </c>
      <c r="V2823">
        <v>1</v>
      </c>
    </row>
    <row r="2824" spans="1:22" x14ac:dyDescent="0.3">
      <c r="A2824" t="s">
        <v>2839</v>
      </c>
      <c r="B2824" s="2">
        <v>46145.488888888889</v>
      </c>
      <c r="C2824" s="2">
        <v>46147.922222222223</v>
      </c>
      <c r="D2824" t="s">
        <v>6027</v>
      </c>
      <c r="E2824" t="s">
        <v>6029</v>
      </c>
      <c r="F2824" t="s">
        <v>6034</v>
      </c>
      <c r="G2824" t="s">
        <v>6064</v>
      </c>
      <c r="H2824" t="s">
        <v>6096</v>
      </c>
      <c r="I2824">
        <v>24</v>
      </c>
      <c r="J2824">
        <v>58.4</v>
      </c>
      <c r="K2824" t="s">
        <v>6099</v>
      </c>
      <c r="L2824" t="s">
        <v>6100</v>
      </c>
      <c r="M2824" t="s">
        <v>6100</v>
      </c>
      <c r="O2824" t="s">
        <v>6101</v>
      </c>
      <c r="P2824" t="s">
        <v>6111</v>
      </c>
      <c r="Q2824">
        <v>5</v>
      </c>
      <c r="R2824">
        <v>2026</v>
      </c>
      <c r="S2824" t="s">
        <v>6100</v>
      </c>
      <c r="T2824">
        <v>0</v>
      </c>
      <c r="U2824" t="s">
        <v>6021</v>
      </c>
      <c r="V2824">
        <v>1</v>
      </c>
    </row>
    <row r="2825" spans="1:22" x14ac:dyDescent="0.3">
      <c r="A2825" t="s">
        <v>2840</v>
      </c>
      <c r="B2825" s="2">
        <v>46145.510416666664</v>
      </c>
      <c r="C2825" s="2">
        <v>46146.693749999999</v>
      </c>
      <c r="D2825" t="s">
        <v>6028</v>
      </c>
      <c r="E2825" t="s">
        <v>6031</v>
      </c>
      <c r="F2825" t="s">
        <v>6034</v>
      </c>
      <c r="G2825" t="s">
        <v>6051</v>
      </c>
      <c r="H2825" t="s">
        <v>6097</v>
      </c>
      <c r="I2825">
        <v>24</v>
      </c>
      <c r="J2825">
        <v>28.4</v>
      </c>
      <c r="K2825" t="s">
        <v>6099</v>
      </c>
      <c r="L2825" t="s">
        <v>6100</v>
      </c>
      <c r="M2825" t="s">
        <v>6100</v>
      </c>
      <c r="O2825" t="s">
        <v>6101</v>
      </c>
      <c r="P2825" t="s">
        <v>6111</v>
      </c>
      <c r="Q2825">
        <v>5</v>
      </c>
      <c r="R2825">
        <v>2026</v>
      </c>
      <c r="S2825" t="s">
        <v>6100</v>
      </c>
      <c r="T2825">
        <v>0</v>
      </c>
      <c r="U2825" t="s">
        <v>6018</v>
      </c>
      <c r="V2825">
        <v>1</v>
      </c>
    </row>
    <row r="2826" spans="1:22" x14ac:dyDescent="0.3">
      <c r="A2826" t="s">
        <v>2841</v>
      </c>
      <c r="B2826" s="2">
        <v>46145.569444444445</v>
      </c>
      <c r="C2826" s="2">
        <v>46146.156944444447</v>
      </c>
      <c r="D2826" t="s">
        <v>6023</v>
      </c>
      <c r="E2826" t="s">
        <v>6030</v>
      </c>
      <c r="F2826" t="s">
        <v>6033</v>
      </c>
      <c r="G2826" t="s">
        <v>6080</v>
      </c>
      <c r="H2826" t="s">
        <v>6096</v>
      </c>
      <c r="I2826">
        <v>72</v>
      </c>
      <c r="J2826">
        <v>14.1</v>
      </c>
      <c r="K2826" t="s">
        <v>6099</v>
      </c>
      <c r="L2826" t="s">
        <v>6100</v>
      </c>
      <c r="M2826" t="s">
        <v>6100</v>
      </c>
      <c r="N2826">
        <v>5</v>
      </c>
      <c r="O2826" t="s">
        <v>6101</v>
      </c>
      <c r="P2826" t="s">
        <v>6111</v>
      </c>
      <c r="Q2826">
        <v>5</v>
      </c>
      <c r="R2826">
        <v>2026</v>
      </c>
      <c r="S2826" t="s">
        <v>6099</v>
      </c>
      <c r="T2826">
        <v>1</v>
      </c>
      <c r="U2826" t="s">
        <v>6021</v>
      </c>
      <c r="V2826">
        <v>1</v>
      </c>
    </row>
    <row r="2827" spans="1:22" x14ac:dyDescent="0.3">
      <c r="A2827" t="s">
        <v>2842</v>
      </c>
      <c r="B2827" s="2">
        <v>46145.570833333331</v>
      </c>
      <c r="C2827" s="2">
        <v>46147.129166666666</v>
      </c>
      <c r="D2827" t="s">
        <v>6024</v>
      </c>
      <c r="E2827" t="s">
        <v>6029</v>
      </c>
      <c r="F2827" t="s">
        <v>6033</v>
      </c>
      <c r="G2827" t="s">
        <v>6038</v>
      </c>
      <c r="H2827" t="s">
        <v>6096</v>
      </c>
      <c r="I2827">
        <v>72</v>
      </c>
      <c r="J2827">
        <v>37.4</v>
      </c>
      <c r="K2827" t="s">
        <v>6100</v>
      </c>
      <c r="L2827" t="s">
        <v>6099</v>
      </c>
      <c r="M2827" t="s">
        <v>6100</v>
      </c>
      <c r="O2827" t="s">
        <v>6101</v>
      </c>
      <c r="P2827" t="s">
        <v>6111</v>
      </c>
      <c r="Q2827">
        <v>5</v>
      </c>
      <c r="R2827">
        <v>2026</v>
      </c>
      <c r="S2827" t="s">
        <v>6099</v>
      </c>
      <c r="T2827">
        <v>1</v>
      </c>
      <c r="U2827" t="s">
        <v>6020</v>
      </c>
      <c r="V2827">
        <v>0</v>
      </c>
    </row>
    <row r="2828" spans="1:22" x14ac:dyDescent="0.3">
      <c r="A2828" t="s">
        <v>2843</v>
      </c>
      <c r="B2828" s="2">
        <v>46145.571527777778</v>
      </c>
      <c r="C2828" s="2">
        <v>46146.559027777781</v>
      </c>
      <c r="D2828" t="s">
        <v>6024</v>
      </c>
      <c r="E2828" t="s">
        <v>6032</v>
      </c>
      <c r="F2828" t="s">
        <v>6033</v>
      </c>
      <c r="G2828" t="s">
        <v>6089</v>
      </c>
      <c r="H2828" t="s">
        <v>6098</v>
      </c>
      <c r="I2828">
        <v>72</v>
      </c>
      <c r="J2828">
        <v>23.7</v>
      </c>
      <c r="K2828" t="s">
        <v>6099</v>
      </c>
      <c r="L2828" t="s">
        <v>6100</v>
      </c>
      <c r="M2828" t="s">
        <v>6100</v>
      </c>
      <c r="O2828" t="s">
        <v>6101</v>
      </c>
      <c r="P2828" t="s">
        <v>6111</v>
      </c>
      <c r="Q2828">
        <v>5</v>
      </c>
      <c r="R2828">
        <v>2026</v>
      </c>
      <c r="S2828" t="s">
        <v>6099</v>
      </c>
      <c r="T2828">
        <v>1</v>
      </c>
      <c r="U2828" t="s">
        <v>6021</v>
      </c>
      <c r="V2828">
        <v>1</v>
      </c>
    </row>
    <row r="2829" spans="1:22" x14ac:dyDescent="0.3">
      <c r="A2829" t="s">
        <v>2844</v>
      </c>
      <c r="B2829" s="2">
        <v>46145.580555555556</v>
      </c>
      <c r="C2829" s="2">
        <v>46146.047222222223</v>
      </c>
      <c r="D2829" t="s">
        <v>6028</v>
      </c>
      <c r="E2829" t="s">
        <v>6029</v>
      </c>
      <c r="F2829" t="s">
        <v>6035</v>
      </c>
      <c r="G2829" t="s">
        <v>6075</v>
      </c>
      <c r="H2829" t="s">
        <v>6097</v>
      </c>
      <c r="I2829">
        <v>4</v>
      </c>
      <c r="J2829">
        <v>11.2</v>
      </c>
      <c r="K2829" t="s">
        <v>6099</v>
      </c>
      <c r="L2829" t="s">
        <v>6100</v>
      </c>
      <c r="M2829" t="s">
        <v>6099</v>
      </c>
      <c r="N2829">
        <v>4</v>
      </c>
      <c r="O2829" t="s">
        <v>6101</v>
      </c>
      <c r="P2829" t="s">
        <v>6111</v>
      </c>
      <c r="Q2829">
        <v>5</v>
      </c>
      <c r="R2829">
        <v>2026</v>
      </c>
      <c r="S2829" t="s">
        <v>6100</v>
      </c>
      <c r="T2829">
        <v>0</v>
      </c>
      <c r="U2829" t="s">
        <v>6020</v>
      </c>
      <c r="V2829">
        <v>1</v>
      </c>
    </row>
    <row r="2830" spans="1:22" x14ac:dyDescent="0.3">
      <c r="A2830" t="s">
        <v>2845</v>
      </c>
      <c r="B2830" s="2">
        <v>46145.637499999997</v>
      </c>
      <c r="C2830" s="2">
        <v>46146.720833333333</v>
      </c>
      <c r="D2830" t="s">
        <v>6028</v>
      </c>
      <c r="E2830" t="s">
        <v>6031</v>
      </c>
      <c r="F2830" t="s">
        <v>6034</v>
      </c>
      <c r="G2830" t="s">
        <v>6065</v>
      </c>
      <c r="H2830" t="s">
        <v>6097</v>
      </c>
      <c r="I2830">
        <v>24</v>
      </c>
      <c r="J2830">
        <v>26</v>
      </c>
      <c r="K2830" t="s">
        <v>6100</v>
      </c>
      <c r="L2830" t="s">
        <v>6100</v>
      </c>
      <c r="M2830" t="s">
        <v>6100</v>
      </c>
      <c r="N2830">
        <v>3</v>
      </c>
      <c r="O2830" t="s">
        <v>6101</v>
      </c>
      <c r="P2830" t="s">
        <v>6111</v>
      </c>
      <c r="Q2830">
        <v>5</v>
      </c>
      <c r="R2830">
        <v>2026</v>
      </c>
      <c r="S2830" t="s">
        <v>6100</v>
      </c>
      <c r="T2830">
        <v>0</v>
      </c>
      <c r="U2830" t="s">
        <v>6019</v>
      </c>
      <c r="V2830">
        <v>0</v>
      </c>
    </row>
    <row r="2831" spans="1:22" x14ac:dyDescent="0.3">
      <c r="A2831" t="s">
        <v>2846</v>
      </c>
      <c r="B2831" s="2">
        <v>46145.638194444444</v>
      </c>
      <c r="C2831" s="2">
        <v>46146.104861111111</v>
      </c>
      <c r="D2831" t="s">
        <v>6028</v>
      </c>
      <c r="E2831" t="s">
        <v>6029</v>
      </c>
      <c r="F2831" t="s">
        <v>6035</v>
      </c>
      <c r="G2831" t="s">
        <v>6051</v>
      </c>
      <c r="H2831" t="s">
        <v>6097</v>
      </c>
      <c r="I2831">
        <v>4</v>
      </c>
      <c r="J2831">
        <v>11.2</v>
      </c>
      <c r="K2831" t="s">
        <v>6099</v>
      </c>
      <c r="L2831" t="s">
        <v>6100</v>
      </c>
      <c r="M2831" t="s">
        <v>6100</v>
      </c>
      <c r="N2831">
        <v>3</v>
      </c>
      <c r="O2831" t="s">
        <v>6101</v>
      </c>
      <c r="P2831" t="s">
        <v>6111</v>
      </c>
      <c r="Q2831">
        <v>5</v>
      </c>
      <c r="R2831">
        <v>2026</v>
      </c>
      <c r="S2831" t="s">
        <v>6100</v>
      </c>
      <c r="T2831">
        <v>0</v>
      </c>
      <c r="U2831" t="s">
        <v>6019</v>
      </c>
      <c r="V2831">
        <v>1</v>
      </c>
    </row>
    <row r="2832" spans="1:22" x14ac:dyDescent="0.3">
      <c r="A2832" t="s">
        <v>2847</v>
      </c>
      <c r="B2832" s="2">
        <v>46145.663888888892</v>
      </c>
      <c r="C2832" s="2">
        <v>46145.843055555553</v>
      </c>
      <c r="D2832" t="s">
        <v>6024</v>
      </c>
      <c r="E2832" t="s">
        <v>6029</v>
      </c>
      <c r="F2832" t="s">
        <v>6034</v>
      </c>
      <c r="G2832" t="s">
        <v>6074</v>
      </c>
      <c r="H2832" t="s">
        <v>6098</v>
      </c>
      <c r="I2832">
        <v>24</v>
      </c>
      <c r="J2832">
        <v>4.3</v>
      </c>
      <c r="K2832" t="s">
        <v>6099</v>
      </c>
      <c r="L2832" t="s">
        <v>6100</v>
      </c>
      <c r="M2832" t="s">
        <v>6100</v>
      </c>
      <c r="N2832">
        <v>5</v>
      </c>
      <c r="O2832" t="s">
        <v>6101</v>
      </c>
      <c r="P2832" t="s">
        <v>6111</v>
      </c>
      <c r="Q2832">
        <v>5</v>
      </c>
      <c r="R2832">
        <v>2026</v>
      </c>
      <c r="S2832" t="s">
        <v>6099</v>
      </c>
      <c r="T2832">
        <v>1</v>
      </c>
      <c r="U2832" t="s">
        <v>6020</v>
      </c>
      <c r="V2832">
        <v>1</v>
      </c>
    </row>
    <row r="2833" spans="1:22" x14ac:dyDescent="0.3">
      <c r="A2833" t="s">
        <v>2848</v>
      </c>
      <c r="B2833" s="2">
        <v>46145.668749999997</v>
      </c>
      <c r="C2833" s="2">
        <v>46145.997916666667</v>
      </c>
      <c r="D2833" t="s">
        <v>6028</v>
      </c>
      <c r="E2833" t="s">
        <v>6031</v>
      </c>
      <c r="F2833" t="s">
        <v>6035</v>
      </c>
      <c r="G2833" t="s">
        <v>6058</v>
      </c>
      <c r="H2833" t="s">
        <v>6098</v>
      </c>
      <c r="I2833">
        <v>4</v>
      </c>
      <c r="J2833">
        <v>7.9</v>
      </c>
      <c r="K2833" t="s">
        <v>6099</v>
      </c>
      <c r="L2833" t="s">
        <v>6100</v>
      </c>
      <c r="M2833" t="s">
        <v>6100</v>
      </c>
      <c r="O2833" t="s">
        <v>6101</v>
      </c>
      <c r="P2833" t="s">
        <v>6111</v>
      </c>
      <c r="Q2833">
        <v>5</v>
      </c>
      <c r="R2833">
        <v>2026</v>
      </c>
      <c r="S2833" t="s">
        <v>6100</v>
      </c>
      <c r="T2833">
        <v>0</v>
      </c>
      <c r="U2833" t="s">
        <v>6020</v>
      </c>
      <c r="V2833">
        <v>1</v>
      </c>
    </row>
    <row r="2834" spans="1:22" x14ac:dyDescent="0.3">
      <c r="A2834" t="s">
        <v>2849</v>
      </c>
      <c r="B2834" s="2">
        <v>46145.6875</v>
      </c>
      <c r="C2834" s="2">
        <v>46145.933333333334</v>
      </c>
      <c r="D2834" t="s">
        <v>6027</v>
      </c>
      <c r="E2834" t="s">
        <v>6030</v>
      </c>
      <c r="F2834" t="s">
        <v>6034</v>
      </c>
      <c r="G2834" t="s">
        <v>6075</v>
      </c>
      <c r="H2834" t="s">
        <v>6097</v>
      </c>
      <c r="I2834">
        <v>24</v>
      </c>
      <c r="J2834">
        <v>5.9</v>
      </c>
      <c r="K2834" t="s">
        <v>6099</v>
      </c>
      <c r="L2834" t="s">
        <v>6100</v>
      </c>
      <c r="M2834" t="s">
        <v>6100</v>
      </c>
      <c r="N2834">
        <v>4</v>
      </c>
      <c r="O2834" t="s">
        <v>6101</v>
      </c>
      <c r="P2834" t="s">
        <v>6111</v>
      </c>
      <c r="Q2834">
        <v>5</v>
      </c>
      <c r="R2834">
        <v>2026</v>
      </c>
      <c r="S2834" t="s">
        <v>6099</v>
      </c>
      <c r="T2834">
        <v>1</v>
      </c>
      <c r="U2834" t="s">
        <v>6019</v>
      </c>
      <c r="V2834">
        <v>1</v>
      </c>
    </row>
    <row r="2835" spans="1:22" x14ac:dyDescent="0.3">
      <c r="A2835" t="s">
        <v>2850</v>
      </c>
      <c r="B2835" s="2">
        <v>46145.713888888888</v>
      </c>
      <c r="C2835" s="2">
        <v>46146.243055555555</v>
      </c>
      <c r="D2835" t="s">
        <v>6025</v>
      </c>
      <c r="E2835" t="s">
        <v>6029</v>
      </c>
      <c r="F2835" t="s">
        <v>6034</v>
      </c>
      <c r="G2835" t="s">
        <v>6095</v>
      </c>
      <c r="H2835" t="s">
        <v>6098</v>
      </c>
      <c r="I2835">
        <v>24</v>
      </c>
      <c r="J2835">
        <v>12.7</v>
      </c>
      <c r="K2835" t="s">
        <v>6100</v>
      </c>
      <c r="L2835" t="s">
        <v>6099</v>
      </c>
      <c r="M2835" t="s">
        <v>6100</v>
      </c>
      <c r="O2835" t="s">
        <v>6101</v>
      </c>
      <c r="P2835" t="s">
        <v>6111</v>
      </c>
      <c r="Q2835">
        <v>5</v>
      </c>
      <c r="R2835">
        <v>2026</v>
      </c>
      <c r="S2835" t="s">
        <v>6099</v>
      </c>
      <c r="T2835">
        <v>1</v>
      </c>
      <c r="U2835" t="s">
        <v>6021</v>
      </c>
      <c r="V2835">
        <v>0</v>
      </c>
    </row>
    <row r="2836" spans="1:22" x14ac:dyDescent="0.3">
      <c r="A2836" t="s">
        <v>2851</v>
      </c>
      <c r="B2836" s="2">
        <v>46145.740277777775</v>
      </c>
      <c r="C2836" s="2">
        <v>46146.081944444442</v>
      </c>
      <c r="D2836" t="s">
        <v>6023</v>
      </c>
      <c r="E2836" t="s">
        <v>6030</v>
      </c>
      <c r="F2836" t="s">
        <v>6033</v>
      </c>
      <c r="G2836" t="s">
        <v>6053</v>
      </c>
      <c r="H2836" t="s">
        <v>6097</v>
      </c>
      <c r="I2836">
        <v>72</v>
      </c>
      <c r="J2836">
        <v>8.1999999999999993</v>
      </c>
      <c r="K2836" t="s">
        <v>6099</v>
      </c>
      <c r="L2836" t="s">
        <v>6100</v>
      </c>
      <c r="M2836" t="s">
        <v>6100</v>
      </c>
      <c r="N2836">
        <v>5</v>
      </c>
      <c r="O2836" t="s">
        <v>6101</v>
      </c>
      <c r="P2836" t="s">
        <v>6111</v>
      </c>
      <c r="Q2836">
        <v>5</v>
      </c>
      <c r="R2836">
        <v>2026</v>
      </c>
      <c r="S2836" t="s">
        <v>6099</v>
      </c>
      <c r="T2836">
        <v>1</v>
      </c>
      <c r="U2836" t="s">
        <v>6018</v>
      </c>
      <c r="V2836">
        <v>1</v>
      </c>
    </row>
    <row r="2837" spans="1:22" x14ac:dyDescent="0.3">
      <c r="A2837" t="s">
        <v>2852</v>
      </c>
      <c r="B2837" s="2">
        <v>46145.789583333331</v>
      </c>
      <c r="C2837" s="2">
        <v>46146.04791666667</v>
      </c>
      <c r="D2837" t="s">
        <v>6028</v>
      </c>
      <c r="E2837" t="s">
        <v>6029</v>
      </c>
      <c r="F2837" t="s">
        <v>6035</v>
      </c>
      <c r="G2837" t="s">
        <v>6053</v>
      </c>
      <c r="H2837" t="s">
        <v>6097</v>
      </c>
      <c r="I2837">
        <v>4</v>
      </c>
      <c r="J2837">
        <v>6.2</v>
      </c>
      <c r="K2837" t="s">
        <v>6099</v>
      </c>
      <c r="L2837" t="s">
        <v>6100</v>
      </c>
      <c r="M2837" t="s">
        <v>6100</v>
      </c>
      <c r="N2837">
        <v>4</v>
      </c>
      <c r="O2837" t="s">
        <v>6101</v>
      </c>
      <c r="P2837" t="s">
        <v>6111</v>
      </c>
      <c r="Q2837">
        <v>5</v>
      </c>
      <c r="R2837">
        <v>2026</v>
      </c>
      <c r="S2837" t="s">
        <v>6100</v>
      </c>
      <c r="T2837">
        <v>0</v>
      </c>
      <c r="U2837" t="s">
        <v>6018</v>
      </c>
      <c r="V2837">
        <v>1</v>
      </c>
    </row>
    <row r="2838" spans="1:22" x14ac:dyDescent="0.3">
      <c r="A2838" t="s">
        <v>2853</v>
      </c>
      <c r="B2838" s="2">
        <v>46145.797222222223</v>
      </c>
      <c r="C2838" s="2">
        <v>46146.193055555559</v>
      </c>
      <c r="D2838" t="s">
        <v>6028</v>
      </c>
      <c r="E2838" t="s">
        <v>6029</v>
      </c>
      <c r="F2838" t="s">
        <v>6034</v>
      </c>
      <c r="G2838" t="s">
        <v>6051</v>
      </c>
      <c r="H2838" t="s">
        <v>6097</v>
      </c>
      <c r="I2838">
        <v>24</v>
      </c>
      <c r="J2838">
        <v>9.5</v>
      </c>
      <c r="K2838" t="s">
        <v>6099</v>
      </c>
      <c r="L2838" t="s">
        <v>6100</v>
      </c>
      <c r="M2838" t="s">
        <v>6100</v>
      </c>
      <c r="O2838" t="s">
        <v>6101</v>
      </c>
      <c r="P2838" t="s">
        <v>6111</v>
      </c>
      <c r="Q2838">
        <v>5</v>
      </c>
      <c r="R2838">
        <v>2026</v>
      </c>
      <c r="S2838" t="s">
        <v>6099</v>
      </c>
      <c r="T2838">
        <v>1</v>
      </c>
      <c r="U2838" t="s">
        <v>6018</v>
      </c>
      <c r="V2838">
        <v>1</v>
      </c>
    </row>
    <row r="2839" spans="1:22" x14ac:dyDescent="0.3">
      <c r="A2839" t="s">
        <v>2854</v>
      </c>
      <c r="B2839" s="2">
        <v>46145.8125</v>
      </c>
      <c r="C2839" s="2">
        <v>46146.60833333333</v>
      </c>
      <c r="D2839" t="s">
        <v>6028</v>
      </c>
      <c r="E2839" t="s">
        <v>6031</v>
      </c>
      <c r="F2839" t="s">
        <v>6035</v>
      </c>
      <c r="G2839" t="s">
        <v>6093</v>
      </c>
      <c r="H2839" t="s">
        <v>6097</v>
      </c>
      <c r="I2839">
        <v>4</v>
      </c>
      <c r="J2839">
        <v>19.100000000000001</v>
      </c>
      <c r="K2839" t="s">
        <v>6100</v>
      </c>
      <c r="L2839" t="s">
        <v>6100</v>
      </c>
      <c r="M2839" t="s">
        <v>6100</v>
      </c>
      <c r="N2839">
        <v>4</v>
      </c>
      <c r="O2839" t="s">
        <v>6101</v>
      </c>
      <c r="P2839" t="s">
        <v>6111</v>
      </c>
      <c r="Q2839">
        <v>5</v>
      </c>
      <c r="R2839">
        <v>2026</v>
      </c>
      <c r="S2839" t="s">
        <v>6100</v>
      </c>
      <c r="T2839">
        <v>0</v>
      </c>
      <c r="U2839" t="s">
        <v>6018</v>
      </c>
      <c r="V2839">
        <v>0</v>
      </c>
    </row>
    <row r="2840" spans="1:22" x14ac:dyDescent="0.3">
      <c r="A2840" t="s">
        <v>2855</v>
      </c>
      <c r="B2840" s="2">
        <v>46145.830555555556</v>
      </c>
      <c r="C2840" s="2">
        <v>46146.055555555555</v>
      </c>
      <c r="D2840" t="s">
        <v>6027</v>
      </c>
      <c r="E2840" t="s">
        <v>6029</v>
      </c>
      <c r="F2840" t="s">
        <v>6034</v>
      </c>
      <c r="G2840" t="s">
        <v>6061</v>
      </c>
      <c r="H2840" t="s">
        <v>6096</v>
      </c>
      <c r="I2840">
        <v>24</v>
      </c>
      <c r="J2840">
        <v>5.4</v>
      </c>
      <c r="K2840" t="s">
        <v>6099</v>
      </c>
      <c r="L2840" t="s">
        <v>6100</v>
      </c>
      <c r="M2840" t="s">
        <v>6100</v>
      </c>
      <c r="N2840">
        <v>5</v>
      </c>
      <c r="O2840" t="s">
        <v>6101</v>
      </c>
      <c r="P2840" t="s">
        <v>6111</v>
      </c>
      <c r="Q2840">
        <v>5</v>
      </c>
      <c r="R2840">
        <v>2026</v>
      </c>
      <c r="S2840" t="s">
        <v>6099</v>
      </c>
      <c r="T2840">
        <v>1</v>
      </c>
      <c r="U2840" t="s">
        <v>6019</v>
      </c>
      <c r="V2840">
        <v>1</v>
      </c>
    </row>
    <row r="2841" spans="1:22" x14ac:dyDescent="0.3">
      <c r="A2841" t="s">
        <v>2856</v>
      </c>
      <c r="B2841" s="2">
        <v>46145.890972222223</v>
      </c>
      <c r="C2841" s="2">
        <v>46146.882638888892</v>
      </c>
      <c r="D2841" t="s">
        <v>6022</v>
      </c>
      <c r="E2841" t="s">
        <v>6029</v>
      </c>
      <c r="F2841" t="s">
        <v>6034</v>
      </c>
      <c r="G2841" t="s">
        <v>6083</v>
      </c>
      <c r="H2841" t="s">
        <v>6096</v>
      </c>
      <c r="I2841">
        <v>24</v>
      </c>
      <c r="J2841">
        <v>23.8</v>
      </c>
      <c r="K2841" t="s">
        <v>6099</v>
      </c>
      <c r="L2841" t="s">
        <v>6100</v>
      </c>
      <c r="M2841" t="s">
        <v>6100</v>
      </c>
      <c r="O2841" t="s">
        <v>6101</v>
      </c>
      <c r="P2841" t="s">
        <v>6111</v>
      </c>
      <c r="Q2841">
        <v>5</v>
      </c>
      <c r="R2841">
        <v>2026</v>
      </c>
      <c r="S2841" t="s">
        <v>6099</v>
      </c>
      <c r="T2841">
        <v>1</v>
      </c>
      <c r="U2841" t="s">
        <v>6019</v>
      </c>
      <c r="V2841">
        <v>1</v>
      </c>
    </row>
    <row r="2842" spans="1:22" x14ac:dyDescent="0.3">
      <c r="A2842" t="s">
        <v>2857</v>
      </c>
      <c r="B2842" s="2">
        <v>46146.216666666667</v>
      </c>
      <c r="C2842" s="2">
        <v>46147.441666666666</v>
      </c>
      <c r="D2842" t="s">
        <v>6026</v>
      </c>
      <c r="E2842" t="s">
        <v>6031</v>
      </c>
      <c r="F2842" t="s">
        <v>6033</v>
      </c>
      <c r="G2842" t="s">
        <v>6044</v>
      </c>
      <c r="H2842" t="s">
        <v>6097</v>
      </c>
      <c r="I2842">
        <v>72</v>
      </c>
      <c r="J2842">
        <v>29.4</v>
      </c>
      <c r="K2842" t="s">
        <v>6099</v>
      </c>
      <c r="L2842" t="s">
        <v>6100</v>
      </c>
      <c r="M2842" t="s">
        <v>6100</v>
      </c>
      <c r="N2842">
        <v>4</v>
      </c>
      <c r="O2842" t="s">
        <v>6101</v>
      </c>
      <c r="P2842" t="s">
        <v>6111</v>
      </c>
      <c r="Q2842">
        <v>5</v>
      </c>
      <c r="R2842">
        <v>2026</v>
      </c>
      <c r="S2842" t="s">
        <v>6099</v>
      </c>
      <c r="T2842">
        <v>1</v>
      </c>
      <c r="U2842" t="s">
        <v>6021</v>
      </c>
      <c r="V2842">
        <v>1</v>
      </c>
    </row>
    <row r="2843" spans="1:22" x14ac:dyDescent="0.3">
      <c r="A2843" t="s">
        <v>2858</v>
      </c>
      <c r="B2843" s="2">
        <v>46146.272222222222</v>
      </c>
      <c r="C2843" s="2">
        <v>46147.626388888886</v>
      </c>
      <c r="D2843" t="s">
        <v>6026</v>
      </c>
      <c r="E2843" t="s">
        <v>6030</v>
      </c>
      <c r="F2843" t="s">
        <v>6034</v>
      </c>
      <c r="G2843" t="s">
        <v>6094</v>
      </c>
      <c r="H2843" t="s">
        <v>6098</v>
      </c>
      <c r="I2843">
        <v>24</v>
      </c>
      <c r="J2843">
        <v>32.5</v>
      </c>
      <c r="K2843" t="s">
        <v>6099</v>
      </c>
      <c r="L2843" t="s">
        <v>6100</v>
      </c>
      <c r="M2843" t="s">
        <v>6100</v>
      </c>
      <c r="N2843">
        <v>3</v>
      </c>
      <c r="O2843" t="s">
        <v>6101</v>
      </c>
      <c r="P2843" t="s">
        <v>6111</v>
      </c>
      <c r="Q2843">
        <v>5</v>
      </c>
      <c r="R2843">
        <v>2026</v>
      </c>
      <c r="S2843" t="s">
        <v>6100</v>
      </c>
      <c r="T2843">
        <v>0</v>
      </c>
      <c r="U2843" t="s">
        <v>6018</v>
      </c>
      <c r="V2843">
        <v>1</v>
      </c>
    </row>
    <row r="2844" spans="1:22" x14ac:dyDescent="0.3">
      <c r="A2844" t="s">
        <v>2859</v>
      </c>
      <c r="B2844" s="2">
        <v>46146.297222222223</v>
      </c>
      <c r="C2844" s="2">
        <v>46146.476388888892</v>
      </c>
      <c r="D2844" t="s">
        <v>6027</v>
      </c>
      <c r="E2844" t="s">
        <v>6029</v>
      </c>
      <c r="F2844" t="s">
        <v>6033</v>
      </c>
      <c r="G2844" t="s">
        <v>6093</v>
      </c>
      <c r="H2844" t="s">
        <v>6097</v>
      </c>
      <c r="I2844">
        <v>72</v>
      </c>
      <c r="J2844">
        <v>4.3</v>
      </c>
      <c r="K2844" t="s">
        <v>6099</v>
      </c>
      <c r="L2844" t="s">
        <v>6100</v>
      </c>
      <c r="M2844" t="s">
        <v>6100</v>
      </c>
      <c r="O2844" t="s">
        <v>6101</v>
      </c>
      <c r="P2844" t="s">
        <v>6111</v>
      </c>
      <c r="Q2844">
        <v>5</v>
      </c>
      <c r="R2844">
        <v>2026</v>
      </c>
      <c r="S2844" t="s">
        <v>6099</v>
      </c>
      <c r="T2844">
        <v>1</v>
      </c>
      <c r="U2844" t="s">
        <v>6021</v>
      </c>
      <c r="V2844">
        <v>1</v>
      </c>
    </row>
    <row r="2845" spans="1:22" x14ac:dyDescent="0.3">
      <c r="A2845" t="s">
        <v>2860</v>
      </c>
      <c r="B2845" s="2">
        <v>46146.402083333334</v>
      </c>
      <c r="C2845" s="2">
        <v>46146.564583333333</v>
      </c>
      <c r="D2845" t="s">
        <v>6024</v>
      </c>
      <c r="E2845" t="s">
        <v>6029</v>
      </c>
      <c r="F2845" t="s">
        <v>6033</v>
      </c>
      <c r="G2845" t="s">
        <v>6072</v>
      </c>
      <c r="H2845" t="s">
        <v>6097</v>
      </c>
      <c r="I2845">
        <v>72</v>
      </c>
      <c r="J2845">
        <v>3.9</v>
      </c>
      <c r="K2845" t="s">
        <v>6099</v>
      </c>
      <c r="L2845" t="s">
        <v>6100</v>
      </c>
      <c r="M2845" t="s">
        <v>6099</v>
      </c>
      <c r="O2845" t="s">
        <v>6101</v>
      </c>
      <c r="P2845" t="s">
        <v>6111</v>
      </c>
      <c r="Q2845">
        <v>5</v>
      </c>
      <c r="R2845">
        <v>2026</v>
      </c>
      <c r="S2845" t="s">
        <v>6099</v>
      </c>
      <c r="T2845">
        <v>1</v>
      </c>
      <c r="U2845" t="s">
        <v>6017</v>
      </c>
      <c r="V2845">
        <v>1</v>
      </c>
    </row>
    <row r="2846" spans="1:22" x14ac:dyDescent="0.3">
      <c r="A2846" t="s">
        <v>2861</v>
      </c>
      <c r="B2846" s="2">
        <v>46146.461111111108</v>
      </c>
      <c r="C2846" s="2">
        <v>46146.736111111109</v>
      </c>
      <c r="D2846" t="s">
        <v>6023</v>
      </c>
      <c r="E2846" t="s">
        <v>6029</v>
      </c>
      <c r="F2846" t="s">
        <v>6033</v>
      </c>
      <c r="G2846" t="s">
        <v>6075</v>
      </c>
      <c r="H2846" t="s">
        <v>6097</v>
      </c>
      <c r="I2846">
        <v>72</v>
      </c>
      <c r="J2846">
        <v>6.6</v>
      </c>
      <c r="K2846" t="s">
        <v>6099</v>
      </c>
      <c r="L2846" t="s">
        <v>6100</v>
      </c>
      <c r="M2846" t="s">
        <v>6100</v>
      </c>
      <c r="O2846" t="s">
        <v>6101</v>
      </c>
      <c r="P2846" t="s">
        <v>6111</v>
      </c>
      <c r="Q2846">
        <v>5</v>
      </c>
      <c r="R2846">
        <v>2026</v>
      </c>
      <c r="S2846" t="s">
        <v>6099</v>
      </c>
      <c r="T2846">
        <v>1</v>
      </c>
      <c r="U2846" t="s">
        <v>6020</v>
      </c>
      <c r="V2846">
        <v>1</v>
      </c>
    </row>
    <row r="2847" spans="1:22" x14ac:dyDescent="0.3">
      <c r="A2847" t="s">
        <v>2862</v>
      </c>
      <c r="B2847" s="2">
        <v>46146.46597222222</v>
      </c>
      <c r="C2847" s="2">
        <v>46149.049305555556</v>
      </c>
      <c r="D2847" t="s">
        <v>6026</v>
      </c>
      <c r="E2847" t="s">
        <v>6032</v>
      </c>
      <c r="F2847" t="s">
        <v>6034</v>
      </c>
      <c r="G2847" t="s">
        <v>6056</v>
      </c>
      <c r="H2847" t="s">
        <v>6098</v>
      </c>
      <c r="I2847">
        <v>24</v>
      </c>
      <c r="J2847">
        <v>62</v>
      </c>
      <c r="K2847" t="s">
        <v>6100</v>
      </c>
      <c r="L2847" t="s">
        <v>6099</v>
      </c>
      <c r="M2847" t="s">
        <v>6100</v>
      </c>
      <c r="O2847" t="s">
        <v>6101</v>
      </c>
      <c r="P2847" t="s">
        <v>6111</v>
      </c>
      <c r="Q2847">
        <v>5</v>
      </c>
      <c r="R2847">
        <v>2026</v>
      </c>
      <c r="S2847" t="s">
        <v>6100</v>
      </c>
      <c r="T2847">
        <v>0</v>
      </c>
      <c r="U2847" t="s">
        <v>6017</v>
      </c>
      <c r="V2847">
        <v>0</v>
      </c>
    </row>
    <row r="2848" spans="1:22" x14ac:dyDescent="0.3">
      <c r="A2848" t="s">
        <v>2863</v>
      </c>
      <c r="B2848" s="2">
        <v>46146.46875</v>
      </c>
      <c r="C2848" s="2">
        <v>46147.61041666667</v>
      </c>
      <c r="D2848" t="s">
        <v>6028</v>
      </c>
      <c r="E2848" t="s">
        <v>6031</v>
      </c>
      <c r="F2848" t="s">
        <v>6035</v>
      </c>
      <c r="G2848" t="s">
        <v>6063</v>
      </c>
      <c r="H2848" t="s">
        <v>6097</v>
      </c>
      <c r="I2848">
        <v>4</v>
      </c>
      <c r="J2848">
        <v>27.4</v>
      </c>
      <c r="K2848" t="s">
        <v>6099</v>
      </c>
      <c r="L2848" t="s">
        <v>6100</v>
      </c>
      <c r="M2848" t="s">
        <v>6099</v>
      </c>
      <c r="N2848">
        <v>3</v>
      </c>
      <c r="O2848" t="s">
        <v>6101</v>
      </c>
      <c r="P2848" t="s">
        <v>6111</v>
      </c>
      <c r="Q2848">
        <v>5</v>
      </c>
      <c r="R2848">
        <v>2026</v>
      </c>
      <c r="S2848" t="s">
        <v>6100</v>
      </c>
      <c r="T2848">
        <v>0</v>
      </c>
      <c r="U2848" t="s">
        <v>6018</v>
      </c>
      <c r="V2848">
        <v>1</v>
      </c>
    </row>
    <row r="2849" spans="1:22" x14ac:dyDescent="0.3">
      <c r="A2849" t="s">
        <v>2864</v>
      </c>
      <c r="B2849" s="2">
        <v>46146.472916666666</v>
      </c>
      <c r="C2849" s="2">
        <v>46146.660416666666</v>
      </c>
      <c r="D2849" t="s">
        <v>6023</v>
      </c>
      <c r="E2849" t="s">
        <v>6029</v>
      </c>
      <c r="F2849" t="s">
        <v>6034</v>
      </c>
      <c r="G2849" t="s">
        <v>6084</v>
      </c>
      <c r="H2849" t="s">
        <v>6098</v>
      </c>
      <c r="I2849">
        <v>24</v>
      </c>
      <c r="J2849">
        <v>4.5</v>
      </c>
      <c r="K2849" t="s">
        <v>6099</v>
      </c>
      <c r="L2849" t="s">
        <v>6100</v>
      </c>
      <c r="M2849" t="s">
        <v>6100</v>
      </c>
      <c r="N2849">
        <v>5</v>
      </c>
      <c r="O2849" t="s">
        <v>6101</v>
      </c>
      <c r="P2849" t="s">
        <v>6111</v>
      </c>
      <c r="Q2849">
        <v>5</v>
      </c>
      <c r="R2849">
        <v>2026</v>
      </c>
      <c r="S2849" t="s">
        <v>6099</v>
      </c>
      <c r="T2849">
        <v>1</v>
      </c>
      <c r="U2849" t="s">
        <v>6018</v>
      </c>
      <c r="V2849">
        <v>1</v>
      </c>
    </row>
    <row r="2850" spans="1:22" x14ac:dyDescent="0.3">
      <c r="A2850" t="s">
        <v>2865</v>
      </c>
      <c r="B2850" s="2">
        <v>46146.484027777777</v>
      </c>
      <c r="C2850" s="2">
        <v>46146.900694444441</v>
      </c>
      <c r="D2850" t="s">
        <v>6022</v>
      </c>
      <c r="E2850" t="s">
        <v>6030</v>
      </c>
      <c r="F2850" t="s">
        <v>6034</v>
      </c>
      <c r="G2850" t="s">
        <v>6092</v>
      </c>
      <c r="H2850" t="s">
        <v>6097</v>
      </c>
      <c r="I2850">
        <v>24</v>
      </c>
      <c r="J2850">
        <v>10</v>
      </c>
      <c r="K2850" t="s">
        <v>6099</v>
      </c>
      <c r="L2850" t="s">
        <v>6100</v>
      </c>
      <c r="M2850" t="s">
        <v>6100</v>
      </c>
      <c r="O2850" t="s">
        <v>6101</v>
      </c>
      <c r="P2850" t="s">
        <v>6111</v>
      </c>
      <c r="Q2850">
        <v>5</v>
      </c>
      <c r="R2850">
        <v>2026</v>
      </c>
      <c r="S2850" t="s">
        <v>6099</v>
      </c>
      <c r="T2850">
        <v>1</v>
      </c>
      <c r="U2850" t="s">
        <v>6018</v>
      </c>
      <c r="V2850">
        <v>1</v>
      </c>
    </row>
    <row r="2851" spans="1:22" x14ac:dyDescent="0.3">
      <c r="A2851" t="s">
        <v>2866</v>
      </c>
      <c r="B2851" s="2">
        <v>46146.517361111109</v>
      </c>
      <c r="C2851" s="2">
        <v>46147.504861111112</v>
      </c>
      <c r="D2851" t="s">
        <v>6024</v>
      </c>
      <c r="E2851" t="s">
        <v>6029</v>
      </c>
      <c r="F2851" t="s">
        <v>6034</v>
      </c>
      <c r="G2851" t="s">
        <v>6041</v>
      </c>
      <c r="H2851" t="s">
        <v>6096</v>
      </c>
      <c r="I2851">
        <v>24</v>
      </c>
      <c r="J2851">
        <v>23.7</v>
      </c>
      <c r="K2851" t="s">
        <v>6100</v>
      </c>
      <c r="L2851" t="s">
        <v>6100</v>
      </c>
      <c r="M2851" t="s">
        <v>6100</v>
      </c>
      <c r="N2851">
        <v>4</v>
      </c>
      <c r="O2851" t="s">
        <v>6101</v>
      </c>
      <c r="P2851" t="s">
        <v>6111</v>
      </c>
      <c r="Q2851">
        <v>5</v>
      </c>
      <c r="R2851">
        <v>2026</v>
      </c>
      <c r="S2851" t="s">
        <v>6099</v>
      </c>
      <c r="T2851">
        <v>1</v>
      </c>
      <c r="U2851" t="s">
        <v>6019</v>
      </c>
      <c r="V2851">
        <v>0</v>
      </c>
    </row>
    <row r="2852" spans="1:22" x14ac:dyDescent="0.3">
      <c r="A2852" t="s">
        <v>2867</v>
      </c>
      <c r="B2852" s="2">
        <v>46146.522222222222</v>
      </c>
      <c r="C2852" s="2">
        <v>46146.772222222222</v>
      </c>
      <c r="D2852" t="s">
        <v>6022</v>
      </c>
      <c r="E2852" t="s">
        <v>6030</v>
      </c>
      <c r="F2852" t="s">
        <v>6035</v>
      </c>
      <c r="G2852" t="s">
        <v>6061</v>
      </c>
      <c r="H2852" t="s">
        <v>6096</v>
      </c>
      <c r="I2852">
        <v>4</v>
      </c>
      <c r="J2852">
        <v>6</v>
      </c>
      <c r="K2852" t="s">
        <v>6099</v>
      </c>
      <c r="L2852" t="s">
        <v>6100</v>
      </c>
      <c r="M2852" t="s">
        <v>6100</v>
      </c>
      <c r="N2852">
        <v>4</v>
      </c>
      <c r="O2852" t="s">
        <v>6101</v>
      </c>
      <c r="P2852" t="s">
        <v>6111</v>
      </c>
      <c r="Q2852">
        <v>5</v>
      </c>
      <c r="R2852">
        <v>2026</v>
      </c>
      <c r="S2852" t="s">
        <v>6100</v>
      </c>
      <c r="T2852">
        <v>0</v>
      </c>
      <c r="U2852" t="s">
        <v>6021</v>
      </c>
      <c r="V2852">
        <v>1</v>
      </c>
    </row>
    <row r="2853" spans="1:22" x14ac:dyDescent="0.3">
      <c r="A2853" t="s">
        <v>2868</v>
      </c>
      <c r="B2853" s="2">
        <v>46146.523611111108</v>
      </c>
      <c r="C2853" s="2">
        <v>46148.352777777778</v>
      </c>
      <c r="D2853" t="s">
        <v>6022</v>
      </c>
      <c r="E2853" t="s">
        <v>6031</v>
      </c>
      <c r="F2853" t="s">
        <v>6034</v>
      </c>
      <c r="G2853" t="s">
        <v>6075</v>
      </c>
      <c r="H2853" t="s">
        <v>6097</v>
      </c>
      <c r="I2853">
        <v>24</v>
      </c>
      <c r="J2853">
        <v>43.9</v>
      </c>
      <c r="K2853" t="s">
        <v>6099</v>
      </c>
      <c r="L2853" t="s">
        <v>6100</v>
      </c>
      <c r="M2853" t="s">
        <v>6100</v>
      </c>
      <c r="N2853">
        <v>4</v>
      </c>
      <c r="O2853" t="s">
        <v>6101</v>
      </c>
      <c r="P2853" t="s">
        <v>6111</v>
      </c>
      <c r="Q2853">
        <v>5</v>
      </c>
      <c r="R2853">
        <v>2026</v>
      </c>
      <c r="S2853" t="s">
        <v>6100</v>
      </c>
      <c r="T2853">
        <v>0</v>
      </c>
      <c r="U2853" t="s">
        <v>6019</v>
      </c>
      <c r="V2853">
        <v>1</v>
      </c>
    </row>
    <row r="2854" spans="1:22" x14ac:dyDescent="0.3">
      <c r="A2854" t="s">
        <v>2869</v>
      </c>
      <c r="B2854" s="2">
        <v>46146.541666666664</v>
      </c>
      <c r="C2854" s="2">
        <v>46146.658333333333</v>
      </c>
      <c r="D2854" t="s">
        <v>6023</v>
      </c>
      <c r="E2854" t="s">
        <v>6029</v>
      </c>
      <c r="F2854" t="s">
        <v>6034</v>
      </c>
      <c r="G2854" t="s">
        <v>6067</v>
      </c>
      <c r="H2854" t="s">
        <v>6098</v>
      </c>
      <c r="I2854">
        <v>24</v>
      </c>
      <c r="J2854">
        <v>2.8</v>
      </c>
      <c r="K2854" t="s">
        <v>6100</v>
      </c>
      <c r="L2854" t="s">
        <v>6099</v>
      </c>
      <c r="M2854" t="s">
        <v>6100</v>
      </c>
      <c r="N2854">
        <v>3</v>
      </c>
      <c r="O2854" t="s">
        <v>6101</v>
      </c>
      <c r="P2854" t="s">
        <v>6111</v>
      </c>
      <c r="Q2854">
        <v>5</v>
      </c>
      <c r="R2854">
        <v>2026</v>
      </c>
      <c r="S2854" t="s">
        <v>6099</v>
      </c>
      <c r="T2854">
        <v>1</v>
      </c>
      <c r="U2854" t="s">
        <v>6020</v>
      </c>
      <c r="V2854">
        <v>0</v>
      </c>
    </row>
    <row r="2855" spans="1:22" x14ac:dyDescent="0.3">
      <c r="A2855" t="s">
        <v>2870</v>
      </c>
      <c r="B2855" s="2">
        <v>46146.556250000001</v>
      </c>
      <c r="C2855" s="2">
        <v>46145.972916666666</v>
      </c>
      <c r="D2855" t="s">
        <v>6024</v>
      </c>
      <c r="E2855" t="s">
        <v>6029</v>
      </c>
      <c r="F2855" t="s">
        <v>6034</v>
      </c>
      <c r="G2855" t="s">
        <v>6084</v>
      </c>
      <c r="H2855" t="s">
        <v>6098</v>
      </c>
      <c r="I2855">
        <v>24</v>
      </c>
      <c r="J2855">
        <v>12.8</v>
      </c>
      <c r="K2855" t="s">
        <v>6100</v>
      </c>
      <c r="L2855" t="s">
        <v>6099</v>
      </c>
      <c r="M2855" t="s">
        <v>6099</v>
      </c>
      <c r="O2855" t="s">
        <v>6101</v>
      </c>
      <c r="P2855" t="s">
        <v>6111</v>
      </c>
      <c r="Q2855">
        <v>5</v>
      </c>
      <c r="R2855">
        <v>2026</v>
      </c>
      <c r="S2855" t="s">
        <v>6099</v>
      </c>
      <c r="T2855">
        <v>1</v>
      </c>
      <c r="U2855" t="s">
        <v>6020</v>
      </c>
      <c r="V2855">
        <v>0</v>
      </c>
    </row>
    <row r="2856" spans="1:22" x14ac:dyDescent="0.3">
      <c r="A2856" t="s">
        <v>2871</v>
      </c>
      <c r="B2856" s="2">
        <v>46146.593055555553</v>
      </c>
      <c r="C2856" s="2">
        <v>46147.968055555553</v>
      </c>
      <c r="D2856" t="s">
        <v>6025</v>
      </c>
      <c r="E2856" t="s">
        <v>6029</v>
      </c>
      <c r="F2856" t="s">
        <v>6035</v>
      </c>
      <c r="G2856" t="s">
        <v>6089</v>
      </c>
      <c r="H2856" t="s">
        <v>6098</v>
      </c>
      <c r="I2856">
        <v>4</v>
      </c>
      <c r="J2856">
        <v>33</v>
      </c>
      <c r="K2856" t="s">
        <v>6100</v>
      </c>
      <c r="L2856" t="s">
        <v>6100</v>
      </c>
      <c r="M2856" t="s">
        <v>6100</v>
      </c>
      <c r="N2856">
        <v>3</v>
      </c>
      <c r="O2856" t="s">
        <v>6101</v>
      </c>
      <c r="P2856" t="s">
        <v>6111</v>
      </c>
      <c r="Q2856">
        <v>5</v>
      </c>
      <c r="R2856">
        <v>2026</v>
      </c>
      <c r="S2856" t="s">
        <v>6100</v>
      </c>
      <c r="T2856">
        <v>0</v>
      </c>
      <c r="U2856" t="s">
        <v>6020</v>
      </c>
      <c r="V2856">
        <v>0</v>
      </c>
    </row>
    <row r="2857" spans="1:22" x14ac:dyDescent="0.3">
      <c r="A2857" t="s">
        <v>2872</v>
      </c>
      <c r="B2857" s="2">
        <v>46146.599305555559</v>
      </c>
      <c r="C2857" s="2">
        <v>46147.145138888889</v>
      </c>
      <c r="D2857" t="s">
        <v>6022</v>
      </c>
      <c r="E2857" t="s">
        <v>6029</v>
      </c>
      <c r="F2857" t="s">
        <v>6033</v>
      </c>
      <c r="G2857" t="s">
        <v>6041</v>
      </c>
      <c r="H2857" t="s">
        <v>6096</v>
      </c>
      <c r="I2857">
        <v>72</v>
      </c>
      <c r="J2857">
        <v>13.1</v>
      </c>
      <c r="K2857" t="s">
        <v>6099</v>
      </c>
      <c r="L2857" t="s">
        <v>6100</v>
      </c>
      <c r="M2857" t="s">
        <v>6100</v>
      </c>
      <c r="N2857">
        <v>5</v>
      </c>
      <c r="O2857" t="s">
        <v>6101</v>
      </c>
      <c r="P2857" t="s">
        <v>6111</v>
      </c>
      <c r="Q2857">
        <v>5</v>
      </c>
      <c r="R2857">
        <v>2026</v>
      </c>
      <c r="S2857" t="s">
        <v>6099</v>
      </c>
      <c r="T2857">
        <v>1</v>
      </c>
      <c r="U2857" t="s">
        <v>6017</v>
      </c>
      <c r="V2857">
        <v>1</v>
      </c>
    </row>
    <row r="2858" spans="1:22" x14ac:dyDescent="0.3">
      <c r="A2858" t="s">
        <v>2873</v>
      </c>
      <c r="B2858" s="2">
        <v>46146.618055555555</v>
      </c>
      <c r="C2858" s="2">
        <v>46147.176388888889</v>
      </c>
      <c r="D2858" t="s">
        <v>6023</v>
      </c>
      <c r="E2858" t="s">
        <v>6032</v>
      </c>
      <c r="F2858" t="s">
        <v>6033</v>
      </c>
      <c r="G2858" t="s">
        <v>6045</v>
      </c>
      <c r="H2858" t="s">
        <v>6096</v>
      </c>
      <c r="I2858">
        <v>72</v>
      </c>
      <c r="J2858">
        <v>13.4</v>
      </c>
      <c r="K2858" t="s">
        <v>6100</v>
      </c>
      <c r="L2858" t="s">
        <v>6100</v>
      </c>
      <c r="M2858" t="s">
        <v>6100</v>
      </c>
      <c r="O2858" t="s">
        <v>6101</v>
      </c>
      <c r="P2858" t="s">
        <v>6111</v>
      </c>
      <c r="Q2858">
        <v>5</v>
      </c>
      <c r="R2858">
        <v>2026</v>
      </c>
      <c r="S2858" t="s">
        <v>6099</v>
      </c>
      <c r="T2858">
        <v>1</v>
      </c>
      <c r="U2858" t="s">
        <v>6020</v>
      </c>
      <c r="V2858">
        <v>0</v>
      </c>
    </row>
    <row r="2859" spans="1:22" x14ac:dyDescent="0.3">
      <c r="A2859" t="s">
        <v>2874</v>
      </c>
      <c r="B2859" s="2">
        <v>46146.65902777778</v>
      </c>
      <c r="C2859" s="2">
        <v>46147.15902777778</v>
      </c>
      <c r="D2859" t="s">
        <v>6022</v>
      </c>
      <c r="E2859" t="s">
        <v>6029</v>
      </c>
      <c r="F2859" t="s">
        <v>6033</v>
      </c>
      <c r="G2859" t="s">
        <v>6057</v>
      </c>
      <c r="H2859" t="s">
        <v>6097</v>
      </c>
      <c r="I2859">
        <v>72</v>
      </c>
      <c r="J2859">
        <v>12</v>
      </c>
      <c r="K2859" t="s">
        <v>6100</v>
      </c>
      <c r="L2859" t="s">
        <v>6100</v>
      </c>
      <c r="M2859" t="s">
        <v>6100</v>
      </c>
      <c r="O2859" t="s">
        <v>6101</v>
      </c>
      <c r="P2859" t="s">
        <v>6111</v>
      </c>
      <c r="Q2859">
        <v>5</v>
      </c>
      <c r="R2859">
        <v>2026</v>
      </c>
      <c r="S2859" t="s">
        <v>6099</v>
      </c>
      <c r="T2859">
        <v>1</v>
      </c>
      <c r="U2859" t="s">
        <v>6020</v>
      </c>
      <c r="V2859">
        <v>0</v>
      </c>
    </row>
    <row r="2860" spans="1:22" x14ac:dyDescent="0.3">
      <c r="A2860" t="s">
        <v>2875</v>
      </c>
      <c r="B2860" s="2">
        <v>46146.678472222222</v>
      </c>
      <c r="C2860" s="2">
        <v>46149.132638888892</v>
      </c>
      <c r="D2860" t="s">
        <v>6026</v>
      </c>
      <c r="E2860" t="s">
        <v>6031</v>
      </c>
      <c r="F2860" t="s">
        <v>6035</v>
      </c>
      <c r="G2860" t="s">
        <v>6072</v>
      </c>
      <c r="H2860" t="s">
        <v>6097</v>
      </c>
      <c r="I2860">
        <v>4</v>
      </c>
      <c r="J2860">
        <v>58.9</v>
      </c>
      <c r="K2860" t="s">
        <v>6100</v>
      </c>
      <c r="L2860" t="s">
        <v>6099</v>
      </c>
      <c r="M2860" t="s">
        <v>6099</v>
      </c>
      <c r="O2860" t="s">
        <v>6101</v>
      </c>
      <c r="P2860" t="s">
        <v>6111</v>
      </c>
      <c r="Q2860">
        <v>5</v>
      </c>
      <c r="R2860">
        <v>2026</v>
      </c>
      <c r="S2860" t="s">
        <v>6100</v>
      </c>
      <c r="T2860">
        <v>0</v>
      </c>
      <c r="U2860" t="s">
        <v>6018</v>
      </c>
      <c r="V2860">
        <v>0</v>
      </c>
    </row>
    <row r="2861" spans="1:22" x14ac:dyDescent="0.3">
      <c r="A2861" t="s">
        <v>2876</v>
      </c>
      <c r="B2861" s="2">
        <v>46146.73541666667</v>
      </c>
      <c r="C2861" s="2">
        <v>46147.552083333336</v>
      </c>
      <c r="D2861" t="s">
        <v>6028</v>
      </c>
      <c r="E2861" t="s">
        <v>6032</v>
      </c>
      <c r="F2861" t="s">
        <v>6035</v>
      </c>
      <c r="G2861" t="s">
        <v>6055</v>
      </c>
      <c r="H2861" t="s">
        <v>6096</v>
      </c>
      <c r="I2861">
        <v>4</v>
      </c>
      <c r="J2861">
        <v>19.600000000000001</v>
      </c>
      <c r="K2861" t="s">
        <v>6099</v>
      </c>
      <c r="L2861" t="s">
        <v>6100</v>
      </c>
      <c r="M2861" t="s">
        <v>6100</v>
      </c>
      <c r="N2861">
        <v>5</v>
      </c>
      <c r="O2861" t="s">
        <v>6101</v>
      </c>
      <c r="P2861" t="s">
        <v>6111</v>
      </c>
      <c r="Q2861">
        <v>5</v>
      </c>
      <c r="R2861">
        <v>2026</v>
      </c>
      <c r="S2861" t="s">
        <v>6100</v>
      </c>
      <c r="T2861">
        <v>0</v>
      </c>
      <c r="U2861" t="s">
        <v>6020</v>
      </c>
      <c r="V2861">
        <v>1</v>
      </c>
    </row>
    <row r="2862" spans="1:22" x14ac:dyDescent="0.3">
      <c r="A2862" t="s">
        <v>2877</v>
      </c>
      <c r="B2862" s="2">
        <v>46146.738888888889</v>
      </c>
      <c r="C2862" s="2">
        <v>46147.076388888891</v>
      </c>
      <c r="D2862" t="s">
        <v>6024</v>
      </c>
      <c r="E2862" t="s">
        <v>6029</v>
      </c>
      <c r="F2862" t="s">
        <v>6033</v>
      </c>
      <c r="G2862" t="s">
        <v>6051</v>
      </c>
      <c r="H2862" t="s">
        <v>6097</v>
      </c>
      <c r="I2862">
        <v>72</v>
      </c>
      <c r="J2862">
        <v>8.1</v>
      </c>
      <c r="K2862" t="s">
        <v>6099</v>
      </c>
      <c r="L2862" t="s">
        <v>6100</v>
      </c>
      <c r="M2862" t="s">
        <v>6100</v>
      </c>
      <c r="O2862" t="s">
        <v>6101</v>
      </c>
      <c r="P2862" t="s">
        <v>6111</v>
      </c>
      <c r="Q2862">
        <v>5</v>
      </c>
      <c r="R2862">
        <v>2026</v>
      </c>
      <c r="S2862" t="s">
        <v>6099</v>
      </c>
      <c r="T2862">
        <v>1</v>
      </c>
      <c r="U2862" t="s">
        <v>6019</v>
      </c>
      <c r="V2862">
        <v>1</v>
      </c>
    </row>
    <row r="2863" spans="1:22" x14ac:dyDescent="0.3">
      <c r="A2863" t="s">
        <v>2878</v>
      </c>
      <c r="B2863" s="2">
        <v>46146.768750000003</v>
      </c>
      <c r="C2863" s="2">
        <v>46148.960416666669</v>
      </c>
      <c r="D2863" t="s">
        <v>6026</v>
      </c>
      <c r="E2863" t="s">
        <v>6029</v>
      </c>
      <c r="F2863" t="s">
        <v>6035</v>
      </c>
      <c r="G2863" t="s">
        <v>6055</v>
      </c>
      <c r="H2863" t="s">
        <v>6096</v>
      </c>
      <c r="I2863">
        <v>4</v>
      </c>
      <c r="J2863">
        <v>52.6</v>
      </c>
      <c r="K2863" t="s">
        <v>6099</v>
      </c>
      <c r="L2863" t="s">
        <v>6100</v>
      </c>
      <c r="M2863" t="s">
        <v>6100</v>
      </c>
      <c r="O2863" t="s">
        <v>6101</v>
      </c>
      <c r="P2863" t="s">
        <v>6111</v>
      </c>
      <c r="Q2863">
        <v>5</v>
      </c>
      <c r="R2863">
        <v>2026</v>
      </c>
      <c r="S2863" t="s">
        <v>6100</v>
      </c>
      <c r="T2863">
        <v>0</v>
      </c>
      <c r="U2863" t="s">
        <v>6021</v>
      </c>
      <c r="V2863">
        <v>1</v>
      </c>
    </row>
    <row r="2864" spans="1:22" x14ac:dyDescent="0.3">
      <c r="A2864" t="s">
        <v>2879</v>
      </c>
      <c r="B2864" s="2">
        <v>46146.859722222223</v>
      </c>
      <c r="C2864" s="2">
        <v>46147.55972222222</v>
      </c>
      <c r="D2864" t="s">
        <v>6028</v>
      </c>
      <c r="E2864" t="s">
        <v>6029</v>
      </c>
      <c r="F2864" t="s">
        <v>6034</v>
      </c>
      <c r="G2864" t="s">
        <v>6078</v>
      </c>
      <c r="H2864" t="s">
        <v>6097</v>
      </c>
      <c r="I2864">
        <v>24</v>
      </c>
      <c r="J2864">
        <v>16.8</v>
      </c>
      <c r="K2864" t="s">
        <v>6099</v>
      </c>
      <c r="L2864" t="s">
        <v>6100</v>
      </c>
      <c r="M2864" t="s">
        <v>6100</v>
      </c>
      <c r="N2864">
        <v>5</v>
      </c>
      <c r="O2864" t="s">
        <v>6101</v>
      </c>
      <c r="P2864" t="s">
        <v>6111</v>
      </c>
      <c r="Q2864">
        <v>5</v>
      </c>
      <c r="R2864">
        <v>2026</v>
      </c>
      <c r="S2864" t="s">
        <v>6099</v>
      </c>
      <c r="T2864">
        <v>1</v>
      </c>
      <c r="U2864" t="s">
        <v>6019</v>
      </c>
      <c r="V2864">
        <v>1</v>
      </c>
    </row>
    <row r="2865" spans="1:22" x14ac:dyDescent="0.3">
      <c r="A2865" t="s">
        <v>2880</v>
      </c>
      <c r="B2865" s="2">
        <v>46147.186111111114</v>
      </c>
      <c r="C2865" s="2">
        <v>46147.836111111108</v>
      </c>
      <c r="D2865" t="s">
        <v>6025</v>
      </c>
      <c r="E2865" t="s">
        <v>6029</v>
      </c>
      <c r="F2865" t="s">
        <v>6034</v>
      </c>
      <c r="G2865" t="s">
        <v>6036</v>
      </c>
      <c r="H2865" t="s">
        <v>6096</v>
      </c>
      <c r="I2865">
        <v>24</v>
      </c>
      <c r="J2865">
        <v>15.6</v>
      </c>
      <c r="K2865" t="s">
        <v>6099</v>
      </c>
      <c r="L2865" t="s">
        <v>6100</v>
      </c>
      <c r="M2865" t="s">
        <v>6100</v>
      </c>
      <c r="N2865">
        <v>5</v>
      </c>
      <c r="O2865" t="s">
        <v>6101</v>
      </c>
      <c r="P2865" t="s">
        <v>6111</v>
      </c>
      <c r="Q2865">
        <v>5</v>
      </c>
      <c r="R2865">
        <v>2026</v>
      </c>
      <c r="S2865" t="s">
        <v>6099</v>
      </c>
      <c r="T2865">
        <v>1</v>
      </c>
      <c r="U2865" t="s">
        <v>6021</v>
      </c>
      <c r="V2865">
        <v>1</v>
      </c>
    </row>
    <row r="2866" spans="1:22" x14ac:dyDescent="0.3">
      <c r="A2866" t="s">
        <v>2881</v>
      </c>
      <c r="B2866" s="2">
        <v>46147.238194444442</v>
      </c>
      <c r="C2866" s="2">
        <v>46147.359027777777</v>
      </c>
      <c r="D2866" t="s">
        <v>6023</v>
      </c>
      <c r="E2866" t="s">
        <v>6029</v>
      </c>
      <c r="F2866" t="s">
        <v>6034</v>
      </c>
      <c r="G2866" t="s">
        <v>6086</v>
      </c>
      <c r="H2866" t="s">
        <v>6098</v>
      </c>
      <c r="I2866">
        <v>24</v>
      </c>
      <c r="J2866">
        <v>2.9</v>
      </c>
      <c r="K2866" t="s">
        <v>6099</v>
      </c>
      <c r="L2866" t="s">
        <v>6100</v>
      </c>
      <c r="M2866" t="s">
        <v>6100</v>
      </c>
      <c r="N2866">
        <v>5</v>
      </c>
      <c r="O2866" t="s">
        <v>6101</v>
      </c>
      <c r="P2866" t="s">
        <v>6111</v>
      </c>
      <c r="Q2866">
        <v>5</v>
      </c>
      <c r="R2866">
        <v>2026</v>
      </c>
      <c r="S2866" t="s">
        <v>6099</v>
      </c>
      <c r="T2866">
        <v>1</v>
      </c>
      <c r="U2866" t="s">
        <v>6021</v>
      </c>
      <c r="V2866">
        <v>1</v>
      </c>
    </row>
    <row r="2867" spans="1:22" x14ac:dyDescent="0.3">
      <c r="A2867" t="s">
        <v>2882</v>
      </c>
      <c r="B2867" s="2">
        <v>46147.320833333331</v>
      </c>
      <c r="C2867" s="2">
        <v>46147.70416666667</v>
      </c>
      <c r="D2867" t="s">
        <v>6027</v>
      </c>
      <c r="E2867" t="s">
        <v>6029</v>
      </c>
      <c r="F2867" t="s">
        <v>6033</v>
      </c>
      <c r="G2867" t="s">
        <v>6094</v>
      </c>
      <c r="H2867" t="s">
        <v>6098</v>
      </c>
      <c r="I2867">
        <v>72</v>
      </c>
      <c r="J2867">
        <v>9.1999999999999993</v>
      </c>
      <c r="K2867" t="s">
        <v>6099</v>
      </c>
      <c r="L2867" t="s">
        <v>6100</v>
      </c>
      <c r="M2867" t="s">
        <v>6100</v>
      </c>
      <c r="N2867">
        <v>4</v>
      </c>
      <c r="O2867" t="s">
        <v>6101</v>
      </c>
      <c r="P2867" t="s">
        <v>6111</v>
      </c>
      <c r="Q2867">
        <v>5</v>
      </c>
      <c r="R2867">
        <v>2026</v>
      </c>
      <c r="S2867" t="s">
        <v>6099</v>
      </c>
      <c r="T2867">
        <v>1</v>
      </c>
      <c r="U2867" t="s">
        <v>6021</v>
      </c>
      <c r="V2867">
        <v>1</v>
      </c>
    </row>
    <row r="2868" spans="1:22" x14ac:dyDescent="0.3">
      <c r="A2868" t="s">
        <v>2883</v>
      </c>
      <c r="B2868" s="2">
        <v>46147.444444444445</v>
      </c>
      <c r="C2868" s="2">
        <v>46148.611111111109</v>
      </c>
      <c r="D2868" t="s">
        <v>6025</v>
      </c>
      <c r="E2868" t="s">
        <v>6032</v>
      </c>
      <c r="F2868" t="s">
        <v>6033</v>
      </c>
      <c r="G2868" t="s">
        <v>6084</v>
      </c>
      <c r="H2868" t="s">
        <v>6098</v>
      </c>
      <c r="I2868">
        <v>72</v>
      </c>
      <c r="J2868">
        <v>28</v>
      </c>
      <c r="K2868" t="s">
        <v>6100</v>
      </c>
      <c r="L2868" t="s">
        <v>6099</v>
      </c>
      <c r="M2868" t="s">
        <v>6100</v>
      </c>
      <c r="N2868">
        <v>2</v>
      </c>
      <c r="O2868" t="s">
        <v>6101</v>
      </c>
      <c r="P2868" t="s">
        <v>6111</v>
      </c>
      <c r="Q2868">
        <v>5</v>
      </c>
      <c r="R2868">
        <v>2026</v>
      </c>
      <c r="S2868" t="s">
        <v>6099</v>
      </c>
      <c r="T2868">
        <v>1</v>
      </c>
      <c r="U2868" t="s">
        <v>6019</v>
      </c>
      <c r="V2868">
        <v>0</v>
      </c>
    </row>
    <row r="2869" spans="1:22" x14ac:dyDescent="0.3">
      <c r="A2869" t="s">
        <v>2884</v>
      </c>
      <c r="B2869" s="2">
        <v>46147.484027777777</v>
      </c>
      <c r="C2869" s="2">
        <v>46147.629861111112</v>
      </c>
      <c r="D2869" t="s">
        <v>6022</v>
      </c>
      <c r="E2869" t="s">
        <v>6030</v>
      </c>
      <c r="F2869" t="s">
        <v>6034</v>
      </c>
      <c r="G2869" t="s">
        <v>6083</v>
      </c>
      <c r="H2869" t="s">
        <v>6096</v>
      </c>
      <c r="I2869">
        <v>24</v>
      </c>
      <c r="J2869">
        <v>3.5</v>
      </c>
      <c r="K2869" t="s">
        <v>6100</v>
      </c>
      <c r="L2869" t="s">
        <v>6099</v>
      </c>
      <c r="M2869" t="s">
        <v>6100</v>
      </c>
      <c r="N2869">
        <v>3</v>
      </c>
      <c r="O2869" t="s">
        <v>6101</v>
      </c>
      <c r="P2869" t="s">
        <v>6111</v>
      </c>
      <c r="Q2869">
        <v>5</v>
      </c>
      <c r="R2869">
        <v>2026</v>
      </c>
      <c r="S2869" t="s">
        <v>6099</v>
      </c>
      <c r="T2869">
        <v>1</v>
      </c>
      <c r="U2869" t="s">
        <v>6020</v>
      </c>
      <c r="V2869">
        <v>0</v>
      </c>
    </row>
    <row r="2870" spans="1:22" x14ac:dyDescent="0.3">
      <c r="A2870" t="s">
        <v>2885</v>
      </c>
      <c r="B2870" s="2">
        <v>46147.49722222222</v>
      </c>
      <c r="C2870" s="2">
        <v>46148.034722222219</v>
      </c>
      <c r="D2870" t="s">
        <v>6024</v>
      </c>
      <c r="E2870" t="s">
        <v>6031</v>
      </c>
      <c r="F2870" t="s">
        <v>6034</v>
      </c>
      <c r="G2870" t="s">
        <v>6064</v>
      </c>
      <c r="H2870" t="s">
        <v>6096</v>
      </c>
      <c r="I2870">
        <v>24</v>
      </c>
      <c r="J2870">
        <v>12.9</v>
      </c>
      <c r="K2870" t="s">
        <v>6099</v>
      </c>
      <c r="L2870" t="s">
        <v>6100</v>
      </c>
      <c r="M2870" t="s">
        <v>6100</v>
      </c>
      <c r="N2870">
        <v>5</v>
      </c>
      <c r="O2870" t="s">
        <v>6101</v>
      </c>
      <c r="P2870" t="s">
        <v>6111</v>
      </c>
      <c r="Q2870">
        <v>5</v>
      </c>
      <c r="R2870">
        <v>2026</v>
      </c>
      <c r="S2870" t="s">
        <v>6099</v>
      </c>
      <c r="T2870">
        <v>1</v>
      </c>
      <c r="U2870" t="s">
        <v>6017</v>
      </c>
      <c r="V2870">
        <v>1</v>
      </c>
    </row>
    <row r="2871" spans="1:22" x14ac:dyDescent="0.3">
      <c r="A2871" t="s">
        <v>2886</v>
      </c>
      <c r="B2871" s="2">
        <v>46147.503472222219</v>
      </c>
      <c r="C2871" s="2">
        <v>46149.607638888891</v>
      </c>
      <c r="D2871" t="s">
        <v>6025</v>
      </c>
      <c r="E2871" t="s">
        <v>6029</v>
      </c>
      <c r="F2871" t="s">
        <v>6034</v>
      </c>
      <c r="G2871" t="s">
        <v>6061</v>
      </c>
      <c r="H2871" t="s">
        <v>6096</v>
      </c>
      <c r="I2871">
        <v>24</v>
      </c>
      <c r="J2871">
        <v>50.5</v>
      </c>
      <c r="K2871" t="s">
        <v>6099</v>
      </c>
      <c r="L2871" t="s">
        <v>6100</v>
      </c>
      <c r="M2871" t="s">
        <v>6099</v>
      </c>
      <c r="N2871">
        <v>4</v>
      </c>
      <c r="O2871" t="s">
        <v>6101</v>
      </c>
      <c r="P2871" t="s">
        <v>6111</v>
      </c>
      <c r="Q2871">
        <v>5</v>
      </c>
      <c r="R2871">
        <v>2026</v>
      </c>
      <c r="S2871" t="s">
        <v>6100</v>
      </c>
      <c r="T2871">
        <v>0</v>
      </c>
      <c r="U2871" t="s">
        <v>6019</v>
      </c>
      <c r="V2871">
        <v>1</v>
      </c>
    </row>
    <row r="2872" spans="1:22" x14ac:dyDescent="0.3">
      <c r="A2872" t="s">
        <v>2887</v>
      </c>
      <c r="B2872" s="2">
        <v>46147.520833333336</v>
      </c>
      <c r="C2872" s="2">
        <v>46147.637499999997</v>
      </c>
      <c r="D2872" t="s">
        <v>6023</v>
      </c>
      <c r="E2872" t="s">
        <v>6029</v>
      </c>
      <c r="F2872" t="s">
        <v>6033</v>
      </c>
      <c r="G2872" t="s">
        <v>6077</v>
      </c>
      <c r="H2872" t="s">
        <v>6098</v>
      </c>
      <c r="I2872">
        <v>72</v>
      </c>
      <c r="J2872">
        <v>2.8</v>
      </c>
      <c r="K2872" t="s">
        <v>6099</v>
      </c>
      <c r="L2872" t="s">
        <v>6100</v>
      </c>
      <c r="M2872" t="s">
        <v>6100</v>
      </c>
      <c r="N2872">
        <v>5</v>
      </c>
      <c r="O2872" t="s">
        <v>6101</v>
      </c>
      <c r="P2872" t="s">
        <v>6111</v>
      </c>
      <c r="Q2872">
        <v>5</v>
      </c>
      <c r="R2872">
        <v>2026</v>
      </c>
      <c r="S2872" t="s">
        <v>6099</v>
      </c>
      <c r="T2872">
        <v>1</v>
      </c>
      <c r="U2872" t="s">
        <v>6021</v>
      </c>
      <c r="V2872">
        <v>1</v>
      </c>
    </row>
    <row r="2873" spans="1:22" x14ac:dyDescent="0.3">
      <c r="A2873" t="s">
        <v>2888</v>
      </c>
      <c r="B2873" s="2">
        <v>46147.542361111111</v>
      </c>
      <c r="C2873" s="2">
        <v>46147.954861111109</v>
      </c>
      <c r="D2873" t="s">
        <v>6027</v>
      </c>
      <c r="E2873" t="s">
        <v>6029</v>
      </c>
      <c r="F2873" t="s">
        <v>6034</v>
      </c>
      <c r="G2873" t="s">
        <v>6056</v>
      </c>
      <c r="H2873" t="s">
        <v>6098</v>
      </c>
      <c r="I2873">
        <v>24</v>
      </c>
      <c r="J2873">
        <v>9.9</v>
      </c>
      <c r="K2873" t="s">
        <v>6099</v>
      </c>
      <c r="L2873" t="s">
        <v>6100</v>
      </c>
      <c r="M2873" t="s">
        <v>6100</v>
      </c>
      <c r="N2873">
        <v>4</v>
      </c>
      <c r="O2873" t="s">
        <v>6101</v>
      </c>
      <c r="P2873" t="s">
        <v>6111</v>
      </c>
      <c r="Q2873">
        <v>5</v>
      </c>
      <c r="R2873">
        <v>2026</v>
      </c>
      <c r="S2873" t="s">
        <v>6099</v>
      </c>
      <c r="T2873">
        <v>1</v>
      </c>
      <c r="U2873" t="s">
        <v>6017</v>
      </c>
      <c r="V2873">
        <v>1</v>
      </c>
    </row>
    <row r="2874" spans="1:22" x14ac:dyDescent="0.3">
      <c r="A2874" t="s">
        <v>2889</v>
      </c>
      <c r="B2874" s="2">
        <v>46147.563888888886</v>
      </c>
      <c r="C2874" s="2">
        <v>46147.826388888891</v>
      </c>
      <c r="D2874" t="s">
        <v>6023</v>
      </c>
      <c r="E2874" t="s">
        <v>6029</v>
      </c>
      <c r="F2874" t="s">
        <v>6033</v>
      </c>
      <c r="G2874" t="s">
        <v>6050</v>
      </c>
      <c r="H2874" t="s">
        <v>6098</v>
      </c>
      <c r="I2874">
        <v>72</v>
      </c>
      <c r="J2874">
        <v>6.3</v>
      </c>
      <c r="K2874" t="s">
        <v>6099</v>
      </c>
      <c r="L2874" t="s">
        <v>6100</v>
      </c>
      <c r="M2874" t="s">
        <v>6100</v>
      </c>
      <c r="N2874">
        <v>5</v>
      </c>
      <c r="O2874" t="s">
        <v>6101</v>
      </c>
      <c r="P2874" t="s">
        <v>6111</v>
      </c>
      <c r="Q2874">
        <v>5</v>
      </c>
      <c r="R2874">
        <v>2026</v>
      </c>
      <c r="S2874" t="s">
        <v>6099</v>
      </c>
      <c r="T2874">
        <v>1</v>
      </c>
      <c r="U2874" t="s">
        <v>6018</v>
      </c>
      <c r="V2874">
        <v>1</v>
      </c>
    </row>
    <row r="2875" spans="1:22" x14ac:dyDescent="0.3">
      <c r="A2875" t="s">
        <v>2890</v>
      </c>
      <c r="B2875" s="2">
        <v>46147.565972222219</v>
      </c>
      <c r="C2875" s="2">
        <v>46147.770138888889</v>
      </c>
      <c r="D2875" t="s">
        <v>6022</v>
      </c>
      <c r="E2875" t="s">
        <v>6029</v>
      </c>
      <c r="F2875" t="s">
        <v>6033</v>
      </c>
      <c r="G2875" t="s">
        <v>6082</v>
      </c>
      <c r="H2875" t="s">
        <v>6097</v>
      </c>
      <c r="I2875">
        <v>72</v>
      </c>
      <c r="J2875">
        <v>4.9000000000000004</v>
      </c>
      <c r="K2875" t="s">
        <v>6099</v>
      </c>
      <c r="L2875" t="s">
        <v>6100</v>
      </c>
      <c r="M2875" t="s">
        <v>6100</v>
      </c>
      <c r="O2875" t="s">
        <v>6101</v>
      </c>
      <c r="P2875" t="s">
        <v>6111</v>
      </c>
      <c r="Q2875">
        <v>5</v>
      </c>
      <c r="R2875">
        <v>2026</v>
      </c>
      <c r="S2875" t="s">
        <v>6099</v>
      </c>
      <c r="T2875">
        <v>1</v>
      </c>
      <c r="U2875" t="s">
        <v>6021</v>
      </c>
      <c r="V2875">
        <v>1</v>
      </c>
    </row>
    <row r="2876" spans="1:22" x14ac:dyDescent="0.3">
      <c r="A2876" t="s">
        <v>2891</v>
      </c>
      <c r="B2876" s="2">
        <v>46147.625694444447</v>
      </c>
      <c r="C2876" s="2">
        <v>46150.334027777775</v>
      </c>
      <c r="D2876" t="s">
        <v>6025</v>
      </c>
      <c r="E2876" t="s">
        <v>6031</v>
      </c>
      <c r="F2876" t="s">
        <v>6033</v>
      </c>
      <c r="G2876" t="s">
        <v>6071</v>
      </c>
      <c r="H2876" t="s">
        <v>6098</v>
      </c>
      <c r="I2876">
        <v>72</v>
      </c>
      <c r="J2876">
        <v>65</v>
      </c>
      <c r="K2876" t="s">
        <v>6099</v>
      </c>
      <c r="L2876" t="s">
        <v>6100</v>
      </c>
      <c r="M2876" t="s">
        <v>6100</v>
      </c>
      <c r="O2876" t="s">
        <v>6101</v>
      </c>
      <c r="P2876" t="s">
        <v>6111</v>
      </c>
      <c r="Q2876">
        <v>5</v>
      </c>
      <c r="R2876">
        <v>2026</v>
      </c>
      <c r="S2876" t="s">
        <v>6099</v>
      </c>
      <c r="T2876">
        <v>1</v>
      </c>
      <c r="U2876" t="s">
        <v>6020</v>
      </c>
      <c r="V2876">
        <v>1</v>
      </c>
    </row>
    <row r="2877" spans="1:22" x14ac:dyDescent="0.3">
      <c r="A2877" t="s">
        <v>2892</v>
      </c>
      <c r="B2877" s="2">
        <v>46147.647222222222</v>
      </c>
      <c r="C2877" s="2">
        <v>46149.826388888891</v>
      </c>
      <c r="D2877" t="s">
        <v>6025</v>
      </c>
      <c r="E2877" t="s">
        <v>6031</v>
      </c>
      <c r="F2877" t="s">
        <v>6034</v>
      </c>
      <c r="G2877" t="s">
        <v>6094</v>
      </c>
      <c r="H2877" t="s">
        <v>6098</v>
      </c>
      <c r="I2877">
        <v>24</v>
      </c>
      <c r="J2877">
        <v>52.3</v>
      </c>
      <c r="K2877" t="s">
        <v>6099</v>
      </c>
      <c r="L2877" t="s">
        <v>6100</v>
      </c>
      <c r="M2877" t="s">
        <v>6100</v>
      </c>
      <c r="O2877" t="s">
        <v>6101</v>
      </c>
      <c r="P2877" t="s">
        <v>6111</v>
      </c>
      <c r="Q2877">
        <v>5</v>
      </c>
      <c r="R2877">
        <v>2026</v>
      </c>
      <c r="S2877" t="s">
        <v>6100</v>
      </c>
      <c r="T2877">
        <v>0</v>
      </c>
      <c r="U2877" t="s">
        <v>6018</v>
      </c>
      <c r="V2877">
        <v>1</v>
      </c>
    </row>
    <row r="2878" spans="1:22" x14ac:dyDescent="0.3">
      <c r="A2878" t="s">
        <v>2893</v>
      </c>
      <c r="B2878" s="2">
        <v>46147.715277777781</v>
      </c>
      <c r="C2878" s="2">
        <v>46147.736111111109</v>
      </c>
      <c r="D2878" t="s">
        <v>6023</v>
      </c>
      <c r="E2878" t="s">
        <v>6029</v>
      </c>
      <c r="F2878" t="s">
        <v>6033</v>
      </c>
      <c r="G2878" t="s">
        <v>6085</v>
      </c>
      <c r="H2878" t="s">
        <v>6097</v>
      </c>
      <c r="I2878">
        <v>72</v>
      </c>
      <c r="J2878">
        <v>0.5</v>
      </c>
      <c r="K2878" t="s">
        <v>6099</v>
      </c>
      <c r="L2878" t="s">
        <v>6100</v>
      </c>
      <c r="M2878" t="s">
        <v>6100</v>
      </c>
      <c r="O2878" t="s">
        <v>6101</v>
      </c>
      <c r="P2878" t="s">
        <v>6111</v>
      </c>
      <c r="Q2878">
        <v>5</v>
      </c>
      <c r="R2878">
        <v>2026</v>
      </c>
      <c r="S2878" t="s">
        <v>6099</v>
      </c>
      <c r="T2878">
        <v>1</v>
      </c>
      <c r="U2878" t="s">
        <v>6018</v>
      </c>
      <c r="V2878">
        <v>1</v>
      </c>
    </row>
    <row r="2879" spans="1:22" x14ac:dyDescent="0.3">
      <c r="A2879" t="s">
        <v>2894</v>
      </c>
      <c r="B2879" s="2">
        <v>46147.740972222222</v>
      </c>
      <c r="C2879" s="2">
        <v>46149.678472222222</v>
      </c>
      <c r="D2879" t="s">
        <v>6026</v>
      </c>
      <c r="E2879" t="s">
        <v>6031</v>
      </c>
      <c r="F2879" t="s">
        <v>6035</v>
      </c>
      <c r="G2879" t="s">
        <v>6081</v>
      </c>
      <c r="H2879" t="s">
        <v>6098</v>
      </c>
      <c r="I2879">
        <v>4</v>
      </c>
      <c r="J2879">
        <v>46.5</v>
      </c>
      <c r="K2879" t="s">
        <v>6100</v>
      </c>
      <c r="L2879" t="s">
        <v>6099</v>
      </c>
      <c r="M2879" t="s">
        <v>6100</v>
      </c>
      <c r="N2879">
        <v>4</v>
      </c>
      <c r="O2879" t="s">
        <v>6101</v>
      </c>
      <c r="P2879" t="s">
        <v>6111</v>
      </c>
      <c r="Q2879">
        <v>5</v>
      </c>
      <c r="R2879">
        <v>2026</v>
      </c>
      <c r="S2879" t="s">
        <v>6100</v>
      </c>
      <c r="T2879">
        <v>0</v>
      </c>
      <c r="U2879" t="s">
        <v>6017</v>
      </c>
      <c r="V2879">
        <v>0</v>
      </c>
    </row>
    <row r="2880" spans="1:22" x14ac:dyDescent="0.3">
      <c r="A2880" t="s">
        <v>2895</v>
      </c>
      <c r="B2880" s="2">
        <v>46147.741666666669</v>
      </c>
      <c r="C2880" s="2">
        <v>46148.4</v>
      </c>
      <c r="D2880" t="s">
        <v>6024</v>
      </c>
      <c r="E2880" t="s">
        <v>6029</v>
      </c>
      <c r="F2880" t="s">
        <v>6034</v>
      </c>
      <c r="G2880" t="s">
        <v>6093</v>
      </c>
      <c r="H2880" t="s">
        <v>6097</v>
      </c>
      <c r="I2880">
        <v>24</v>
      </c>
      <c r="J2880">
        <v>15.8</v>
      </c>
      <c r="K2880" t="s">
        <v>6100</v>
      </c>
      <c r="L2880" t="s">
        <v>6100</v>
      </c>
      <c r="M2880" t="s">
        <v>6100</v>
      </c>
      <c r="N2880">
        <v>5</v>
      </c>
      <c r="O2880" t="s">
        <v>6101</v>
      </c>
      <c r="P2880" t="s">
        <v>6111</v>
      </c>
      <c r="Q2880">
        <v>5</v>
      </c>
      <c r="R2880">
        <v>2026</v>
      </c>
      <c r="S2880" t="s">
        <v>6099</v>
      </c>
      <c r="T2880">
        <v>1</v>
      </c>
      <c r="U2880" t="s">
        <v>6020</v>
      </c>
      <c r="V2880">
        <v>0</v>
      </c>
    </row>
    <row r="2881" spans="1:22" x14ac:dyDescent="0.3">
      <c r="A2881" t="s">
        <v>2896</v>
      </c>
      <c r="B2881" s="2">
        <v>46147.760416666664</v>
      </c>
      <c r="C2881" s="2">
        <v>46148.022916666669</v>
      </c>
      <c r="D2881" t="s">
        <v>6023</v>
      </c>
      <c r="E2881" t="s">
        <v>6030</v>
      </c>
      <c r="F2881" t="s">
        <v>6034</v>
      </c>
      <c r="G2881" t="s">
        <v>6058</v>
      </c>
      <c r="H2881" t="s">
        <v>6098</v>
      </c>
      <c r="I2881">
        <v>24</v>
      </c>
      <c r="J2881">
        <v>6.3</v>
      </c>
      <c r="K2881" t="s">
        <v>6099</v>
      </c>
      <c r="L2881" t="s">
        <v>6100</v>
      </c>
      <c r="M2881" t="s">
        <v>6100</v>
      </c>
      <c r="O2881" t="s">
        <v>6101</v>
      </c>
      <c r="P2881" t="s">
        <v>6111</v>
      </c>
      <c r="Q2881">
        <v>5</v>
      </c>
      <c r="R2881">
        <v>2026</v>
      </c>
      <c r="S2881" t="s">
        <v>6099</v>
      </c>
      <c r="T2881">
        <v>1</v>
      </c>
      <c r="U2881" t="s">
        <v>6021</v>
      </c>
      <c r="V2881">
        <v>1</v>
      </c>
    </row>
    <row r="2882" spans="1:22" x14ac:dyDescent="0.3">
      <c r="A2882" t="s">
        <v>2897</v>
      </c>
      <c r="B2882" s="2">
        <v>46147.893055555556</v>
      </c>
      <c r="C2882" s="2">
        <v>46148.338888888888</v>
      </c>
      <c r="D2882" t="s">
        <v>6027</v>
      </c>
      <c r="E2882" t="s">
        <v>6030</v>
      </c>
      <c r="F2882" t="s">
        <v>6034</v>
      </c>
      <c r="G2882" t="s">
        <v>6095</v>
      </c>
      <c r="H2882" t="s">
        <v>6098</v>
      </c>
      <c r="I2882">
        <v>24</v>
      </c>
      <c r="J2882">
        <v>10.7</v>
      </c>
      <c r="K2882" t="s">
        <v>6099</v>
      </c>
      <c r="L2882" t="s">
        <v>6100</v>
      </c>
      <c r="M2882" t="s">
        <v>6100</v>
      </c>
      <c r="N2882">
        <v>5</v>
      </c>
      <c r="O2882" t="s">
        <v>6101</v>
      </c>
      <c r="P2882" t="s">
        <v>6111</v>
      </c>
      <c r="Q2882">
        <v>5</v>
      </c>
      <c r="R2882">
        <v>2026</v>
      </c>
      <c r="S2882" t="s">
        <v>6099</v>
      </c>
      <c r="T2882">
        <v>1</v>
      </c>
      <c r="U2882" t="s">
        <v>6020</v>
      </c>
      <c r="V2882">
        <v>1</v>
      </c>
    </row>
    <row r="2883" spans="1:22" x14ac:dyDescent="0.3">
      <c r="A2883" t="s">
        <v>2898</v>
      </c>
      <c r="B2883" s="2">
        <v>46147.964583333334</v>
      </c>
      <c r="C2883" s="2">
        <v>46149.143750000003</v>
      </c>
      <c r="D2883" t="s">
        <v>6023</v>
      </c>
      <c r="E2883" t="s">
        <v>6029</v>
      </c>
      <c r="F2883" t="s">
        <v>6033</v>
      </c>
      <c r="G2883" t="s">
        <v>6037</v>
      </c>
      <c r="H2883" t="s">
        <v>6096</v>
      </c>
      <c r="I2883">
        <v>72</v>
      </c>
      <c r="J2883">
        <v>28.3</v>
      </c>
      <c r="K2883" t="s">
        <v>6099</v>
      </c>
      <c r="L2883" t="s">
        <v>6100</v>
      </c>
      <c r="M2883" t="s">
        <v>6099</v>
      </c>
      <c r="N2883">
        <v>4</v>
      </c>
      <c r="O2883" t="s">
        <v>6101</v>
      </c>
      <c r="P2883" t="s">
        <v>6111</v>
      </c>
      <c r="Q2883">
        <v>5</v>
      </c>
      <c r="R2883">
        <v>2026</v>
      </c>
      <c r="S2883" t="s">
        <v>6099</v>
      </c>
      <c r="T2883">
        <v>1</v>
      </c>
      <c r="U2883" t="s">
        <v>6021</v>
      </c>
      <c r="V2883">
        <v>1</v>
      </c>
    </row>
    <row r="2884" spans="1:22" x14ac:dyDescent="0.3">
      <c r="A2884" t="s">
        <v>2899</v>
      </c>
      <c r="B2884" s="2">
        <v>46148.263194444444</v>
      </c>
      <c r="C2884" s="2">
        <v>46157.03402777778</v>
      </c>
      <c r="D2884" t="s">
        <v>6026</v>
      </c>
      <c r="E2884" t="s">
        <v>6031</v>
      </c>
      <c r="F2884" t="s">
        <v>6034</v>
      </c>
      <c r="G2884" t="s">
        <v>6037</v>
      </c>
      <c r="H2884" t="s">
        <v>6096</v>
      </c>
      <c r="I2884">
        <v>24</v>
      </c>
      <c r="J2884">
        <v>210.5</v>
      </c>
      <c r="K2884" t="s">
        <v>6099</v>
      </c>
      <c r="L2884" t="s">
        <v>6100</v>
      </c>
      <c r="M2884" t="s">
        <v>6100</v>
      </c>
      <c r="N2884">
        <v>3</v>
      </c>
      <c r="O2884" t="s">
        <v>6101</v>
      </c>
      <c r="P2884" t="s">
        <v>6111</v>
      </c>
      <c r="Q2884">
        <v>5</v>
      </c>
      <c r="R2884">
        <v>2026</v>
      </c>
      <c r="S2884" t="s">
        <v>6100</v>
      </c>
      <c r="T2884">
        <v>0</v>
      </c>
      <c r="U2884" t="s">
        <v>6021</v>
      </c>
      <c r="V2884">
        <v>1</v>
      </c>
    </row>
    <row r="2885" spans="1:22" x14ac:dyDescent="0.3">
      <c r="A2885" t="s">
        <v>2900</v>
      </c>
      <c r="B2885" s="2">
        <v>46148.279166666667</v>
      </c>
      <c r="C2885" s="2">
        <v>46148.895833333336</v>
      </c>
      <c r="D2885" t="s">
        <v>6028</v>
      </c>
      <c r="E2885" t="s">
        <v>6029</v>
      </c>
      <c r="F2885" t="s">
        <v>6034</v>
      </c>
      <c r="G2885" t="s">
        <v>6056</v>
      </c>
      <c r="H2885" t="s">
        <v>6098</v>
      </c>
      <c r="I2885">
        <v>24</v>
      </c>
      <c r="J2885">
        <v>14.8</v>
      </c>
      <c r="K2885" t="s">
        <v>6099</v>
      </c>
      <c r="L2885" t="s">
        <v>6100</v>
      </c>
      <c r="M2885" t="s">
        <v>6100</v>
      </c>
      <c r="O2885" t="s">
        <v>6101</v>
      </c>
      <c r="P2885" t="s">
        <v>6111</v>
      </c>
      <c r="Q2885">
        <v>5</v>
      </c>
      <c r="R2885">
        <v>2026</v>
      </c>
      <c r="S2885" t="s">
        <v>6099</v>
      </c>
      <c r="T2885">
        <v>1</v>
      </c>
      <c r="U2885" t="s">
        <v>6021</v>
      </c>
      <c r="V2885">
        <v>1</v>
      </c>
    </row>
    <row r="2886" spans="1:22" x14ac:dyDescent="0.3">
      <c r="A2886" t="s">
        <v>2901</v>
      </c>
      <c r="B2886" s="2">
        <v>46148.347222222219</v>
      </c>
      <c r="C2886" s="2">
        <v>46148.788888888892</v>
      </c>
      <c r="D2886" t="s">
        <v>6023</v>
      </c>
      <c r="E2886" t="s">
        <v>6032</v>
      </c>
      <c r="F2886" t="s">
        <v>6034</v>
      </c>
      <c r="G2886" t="s">
        <v>6085</v>
      </c>
      <c r="H2886" t="s">
        <v>6097</v>
      </c>
      <c r="I2886">
        <v>24</v>
      </c>
      <c r="J2886">
        <v>10.6</v>
      </c>
      <c r="K2886" t="s">
        <v>6099</v>
      </c>
      <c r="L2886" t="s">
        <v>6100</v>
      </c>
      <c r="M2886" t="s">
        <v>6099</v>
      </c>
      <c r="O2886" t="s">
        <v>6101</v>
      </c>
      <c r="P2886" t="s">
        <v>6111</v>
      </c>
      <c r="Q2886">
        <v>5</v>
      </c>
      <c r="R2886">
        <v>2026</v>
      </c>
      <c r="S2886" t="s">
        <v>6099</v>
      </c>
      <c r="T2886">
        <v>1</v>
      </c>
      <c r="U2886" t="s">
        <v>6018</v>
      </c>
      <c r="V2886">
        <v>1</v>
      </c>
    </row>
    <row r="2887" spans="1:22" x14ac:dyDescent="0.3">
      <c r="A2887" t="s">
        <v>2902</v>
      </c>
      <c r="B2887" s="2">
        <v>46148.356944444444</v>
      </c>
      <c r="C2887" s="2">
        <v>46148.498611111114</v>
      </c>
      <c r="D2887" t="s">
        <v>6028</v>
      </c>
      <c r="E2887" t="s">
        <v>6029</v>
      </c>
      <c r="F2887" t="s">
        <v>6033</v>
      </c>
      <c r="G2887" t="s">
        <v>6044</v>
      </c>
      <c r="H2887" t="s">
        <v>6097</v>
      </c>
      <c r="I2887">
        <v>72</v>
      </c>
      <c r="J2887">
        <v>3.4</v>
      </c>
      <c r="K2887" t="s">
        <v>6099</v>
      </c>
      <c r="L2887" t="s">
        <v>6100</v>
      </c>
      <c r="M2887" t="s">
        <v>6100</v>
      </c>
      <c r="N2887">
        <v>5</v>
      </c>
      <c r="O2887" t="s">
        <v>6101</v>
      </c>
      <c r="P2887" t="s">
        <v>6111</v>
      </c>
      <c r="Q2887">
        <v>5</v>
      </c>
      <c r="R2887">
        <v>2026</v>
      </c>
      <c r="S2887" t="s">
        <v>6099</v>
      </c>
      <c r="T2887">
        <v>1</v>
      </c>
      <c r="U2887" t="s">
        <v>6018</v>
      </c>
      <c r="V2887">
        <v>1</v>
      </c>
    </row>
    <row r="2888" spans="1:22" x14ac:dyDescent="0.3">
      <c r="A2888" t="s">
        <v>2903</v>
      </c>
      <c r="B2888" s="2">
        <v>46148.428472222222</v>
      </c>
      <c r="C2888" s="2">
        <v>46148.878472222219</v>
      </c>
      <c r="D2888" t="s">
        <v>6022</v>
      </c>
      <c r="E2888" t="s">
        <v>6030</v>
      </c>
      <c r="F2888" t="s">
        <v>6034</v>
      </c>
      <c r="G2888" t="s">
        <v>6064</v>
      </c>
      <c r="H2888" t="s">
        <v>6096</v>
      </c>
      <c r="I2888">
        <v>24</v>
      </c>
      <c r="J2888">
        <v>10.8</v>
      </c>
      <c r="K2888" t="s">
        <v>6099</v>
      </c>
      <c r="L2888" t="s">
        <v>6100</v>
      </c>
      <c r="M2888" t="s">
        <v>6100</v>
      </c>
      <c r="N2888">
        <v>5</v>
      </c>
      <c r="O2888" t="s">
        <v>6101</v>
      </c>
      <c r="P2888" t="s">
        <v>6111</v>
      </c>
      <c r="Q2888">
        <v>5</v>
      </c>
      <c r="R2888">
        <v>2026</v>
      </c>
      <c r="S2888" t="s">
        <v>6099</v>
      </c>
      <c r="T2888">
        <v>1</v>
      </c>
      <c r="U2888" t="s">
        <v>6017</v>
      </c>
      <c r="V2888">
        <v>1</v>
      </c>
    </row>
    <row r="2889" spans="1:22" x14ac:dyDescent="0.3">
      <c r="A2889" t="s">
        <v>2904</v>
      </c>
      <c r="B2889" s="2">
        <v>46148.435416666667</v>
      </c>
      <c r="C2889" s="2">
        <v>46148.506249999999</v>
      </c>
      <c r="D2889" t="s">
        <v>6028</v>
      </c>
      <c r="E2889" t="s">
        <v>6029</v>
      </c>
      <c r="F2889" t="s">
        <v>6035</v>
      </c>
      <c r="G2889" t="s">
        <v>6092</v>
      </c>
      <c r="H2889" t="s">
        <v>6097</v>
      </c>
      <c r="I2889">
        <v>4</v>
      </c>
      <c r="J2889">
        <v>1.7</v>
      </c>
      <c r="K2889" t="s">
        <v>6099</v>
      </c>
      <c r="L2889" t="s">
        <v>6100</v>
      </c>
      <c r="M2889" t="s">
        <v>6100</v>
      </c>
      <c r="N2889">
        <v>5</v>
      </c>
      <c r="O2889" t="s">
        <v>6101</v>
      </c>
      <c r="P2889" t="s">
        <v>6111</v>
      </c>
      <c r="Q2889">
        <v>5</v>
      </c>
      <c r="R2889">
        <v>2026</v>
      </c>
      <c r="S2889" t="s">
        <v>6099</v>
      </c>
      <c r="T2889">
        <v>1</v>
      </c>
      <c r="U2889" t="s">
        <v>6018</v>
      </c>
      <c r="V2889">
        <v>1</v>
      </c>
    </row>
    <row r="2890" spans="1:22" x14ac:dyDescent="0.3">
      <c r="A2890" t="s">
        <v>2905</v>
      </c>
      <c r="B2890" s="2">
        <v>46148.472222222219</v>
      </c>
      <c r="C2890" s="2">
        <v>46149.313888888886</v>
      </c>
      <c r="D2890" t="s">
        <v>6025</v>
      </c>
      <c r="E2890" t="s">
        <v>6032</v>
      </c>
      <c r="F2890" t="s">
        <v>6033</v>
      </c>
      <c r="G2890" t="s">
        <v>6079</v>
      </c>
      <c r="H2890" t="s">
        <v>6097</v>
      </c>
      <c r="I2890">
        <v>72</v>
      </c>
      <c r="J2890">
        <v>20.2</v>
      </c>
      <c r="K2890" t="s">
        <v>6099</v>
      </c>
      <c r="L2890" t="s">
        <v>6100</v>
      </c>
      <c r="M2890" t="s">
        <v>6100</v>
      </c>
      <c r="O2890" t="s">
        <v>6101</v>
      </c>
      <c r="P2890" t="s">
        <v>6111</v>
      </c>
      <c r="Q2890">
        <v>5</v>
      </c>
      <c r="R2890">
        <v>2026</v>
      </c>
      <c r="S2890" t="s">
        <v>6099</v>
      </c>
      <c r="T2890">
        <v>1</v>
      </c>
      <c r="U2890" t="s">
        <v>6020</v>
      </c>
      <c r="V2890">
        <v>1</v>
      </c>
    </row>
    <row r="2891" spans="1:22" x14ac:dyDescent="0.3">
      <c r="A2891" t="s">
        <v>2906</v>
      </c>
      <c r="B2891" s="2">
        <v>46148.496527777781</v>
      </c>
      <c r="C2891" s="2">
        <v>46149.334027777775</v>
      </c>
      <c r="D2891" t="s">
        <v>6028</v>
      </c>
      <c r="E2891" t="s">
        <v>6031</v>
      </c>
      <c r="F2891" t="s">
        <v>6035</v>
      </c>
      <c r="G2891" t="s">
        <v>6084</v>
      </c>
      <c r="H2891" t="s">
        <v>6098</v>
      </c>
      <c r="I2891">
        <v>4</v>
      </c>
      <c r="J2891">
        <v>20.100000000000001</v>
      </c>
      <c r="K2891" t="s">
        <v>6099</v>
      </c>
      <c r="L2891" t="s">
        <v>6100</v>
      </c>
      <c r="M2891" t="s">
        <v>6100</v>
      </c>
      <c r="O2891" t="s">
        <v>6101</v>
      </c>
      <c r="P2891" t="s">
        <v>6111</v>
      </c>
      <c r="Q2891">
        <v>5</v>
      </c>
      <c r="R2891">
        <v>2026</v>
      </c>
      <c r="S2891" t="s">
        <v>6100</v>
      </c>
      <c r="T2891">
        <v>0</v>
      </c>
      <c r="U2891" t="s">
        <v>6020</v>
      </c>
      <c r="V2891">
        <v>1</v>
      </c>
    </row>
    <row r="2892" spans="1:22" x14ac:dyDescent="0.3">
      <c r="A2892" t="s">
        <v>2907</v>
      </c>
      <c r="B2892" s="2">
        <v>46148.515972222223</v>
      </c>
      <c r="C2892" s="2">
        <v>46149.128472222219</v>
      </c>
      <c r="D2892" t="s">
        <v>6027</v>
      </c>
      <c r="E2892" t="s">
        <v>6029</v>
      </c>
      <c r="F2892" t="s">
        <v>6034</v>
      </c>
      <c r="G2892" t="s">
        <v>6061</v>
      </c>
      <c r="H2892" t="s">
        <v>6096</v>
      </c>
      <c r="I2892">
        <v>24</v>
      </c>
      <c r="J2892">
        <v>14.7</v>
      </c>
      <c r="K2892" t="s">
        <v>6100</v>
      </c>
      <c r="L2892" t="s">
        <v>6099</v>
      </c>
      <c r="M2892" t="s">
        <v>6100</v>
      </c>
      <c r="N2892">
        <v>4</v>
      </c>
      <c r="O2892" t="s">
        <v>6101</v>
      </c>
      <c r="P2892" t="s">
        <v>6111</v>
      </c>
      <c r="Q2892">
        <v>5</v>
      </c>
      <c r="R2892">
        <v>2026</v>
      </c>
      <c r="S2892" t="s">
        <v>6099</v>
      </c>
      <c r="T2892">
        <v>1</v>
      </c>
      <c r="U2892" t="s">
        <v>6019</v>
      </c>
      <c r="V2892">
        <v>0</v>
      </c>
    </row>
    <row r="2893" spans="1:22" x14ac:dyDescent="0.3">
      <c r="A2893" t="s">
        <v>2908</v>
      </c>
      <c r="B2893" s="2">
        <v>46148.525000000001</v>
      </c>
      <c r="C2893" s="2">
        <v>46149.07916666667</v>
      </c>
      <c r="D2893" t="s">
        <v>6028</v>
      </c>
      <c r="E2893" t="s">
        <v>6029</v>
      </c>
      <c r="F2893" t="s">
        <v>6035</v>
      </c>
      <c r="G2893" t="s">
        <v>6082</v>
      </c>
      <c r="H2893" t="s">
        <v>6097</v>
      </c>
      <c r="I2893">
        <v>4</v>
      </c>
      <c r="J2893">
        <v>13.3</v>
      </c>
      <c r="K2893" t="s">
        <v>6099</v>
      </c>
      <c r="L2893" t="s">
        <v>6100</v>
      </c>
      <c r="M2893" t="s">
        <v>6100</v>
      </c>
      <c r="N2893">
        <v>3</v>
      </c>
      <c r="O2893" t="s">
        <v>6101</v>
      </c>
      <c r="P2893" t="s">
        <v>6111</v>
      </c>
      <c r="Q2893">
        <v>5</v>
      </c>
      <c r="R2893">
        <v>2026</v>
      </c>
      <c r="S2893" t="s">
        <v>6100</v>
      </c>
      <c r="T2893">
        <v>0</v>
      </c>
      <c r="U2893" t="s">
        <v>6018</v>
      </c>
      <c r="V2893">
        <v>1</v>
      </c>
    </row>
    <row r="2894" spans="1:22" x14ac:dyDescent="0.3">
      <c r="A2894" t="s">
        <v>2909</v>
      </c>
      <c r="B2894" s="2">
        <v>46148.564583333333</v>
      </c>
      <c r="C2894" s="2">
        <v>46151.26458333333</v>
      </c>
      <c r="D2894" t="s">
        <v>6026</v>
      </c>
      <c r="E2894" t="s">
        <v>6031</v>
      </c>
      <c r="F2894" t="s">
        <v>6034</v>
      </c>
      <c r="G2894" t="s">
        <v>6036</v>
      </c>
      <c r="H2894" t="s">
        <v>6096</v>
      </c>
      <c r="I2894">
        <v>24</v>
      </c>
      <c r="J2894">
        <v>64.8</v>
      </c>
      <c r="K2894" t="s">
        <v>6100</v>
      </c>
      <c r="L2894" t="s">
        <v>6099</v>
      </c>
      <c r="M2894" t="s">
        <v>6100</v>
      </c>
      <c r="N2894">
        <v>3</v>
      </c>
      <c r="O2894" t="s">
        <v>6101</v>
      </c>
      <c r="P2894" t="s">
        <v>6111</v>
      </c>
      <c r="Q2894">
        <v>5</v>
      </c>
      <c r="R2894">
        <v>2026</v>
      </c>
      <c r="S2894" t="s">
        <v>6100</v>
      </c>
      <c r="T2894">
        <v>0</v>
      </c>
      <c r="U2894" t="s">
        <v>6021</v>
      </c>
      <c r="V2894">
        <v>0</v>
      </c>
    </row>
    <row r="2895" spans="1:22" x14ac:dyDescent="0.3">
      <c r="A2895" t="s">
        <v>2910</v>
      </c>
      <c r="B2895" s="2">
        <v>46148.576388888891</v>
      </c>
      <c r="C2895" s="2">
        <v>46149.018055555556</v>
      </c>
      <c r="D2895" t="s">
        <v>6022</v>
      </c>
      <c r="E2895" t="s">
        <v>6029</v>
      </c>
      <c r="F2895" t="s">
        <v>6034</v>
      </c>
      <c r="G2895" t="s">
        <v>6083</v>
      </c>
      <c r="H2895" t="s">
        <v>6096</v>
      </c>
      <c r="I2895">
        <v>24</v>
      </c>
      <c r="J2895">
        <v>10.6</v>
      </c>
      <c r="K2895" t="s">
        <v>6100</v>
      </c>
      <c r="L2895" t="s">
        <v>6099</v>
      </c>
      <c r="M2895" t="s">
        <v>6100</v>
      </c>
      <c r="N2895">
        <v>5</v>
      </c>
      <c r="O2895" t="s">
        <v>6101</v>
      </c>
      <c r="P2895" t="s">
        <v>6111</v>
      </c>
      <c r="Q2895">
        <v>5</v>
      </c>
      <c r="R2895">
        <v>2026</v>
      </c>
      <c r="S2895" t="s">
        <v>6099</v>
      </c>
      <c r="T2895">
        <v>1</v>
      </c>
      <c r="U2895" t="s">
        <v>6018</v>
      </c>
      <c r="V2895">
        <v>0</v>
      </c>
    </row>
    <row r="2896" spans="1:22" x14ac:dyDescent="0.3">
      <c r="A2896" t="s">
        <v>2911</v>
      </c>
      <c r="B2896" s="2">
        <v>46148.577777777777</v>
      </c>
      <c r="C2896" s="2">
        <v>46148.819444444445</v>
      </c>
      <c r="D2896" t="s">
        <v>6022</v>
      </c>
      <c r="E2896" t="s">
        <v>6029</v>
      </c>
      <c r="F2896" t="s">
        <v>6033</v>
      </c>
      <c r="G2896" t="s">
        <v>6079</v>
      </c>
      <c r="H2896" t="s">
        <v>6097</v>
      </c>
      <c r="I2896">
        <v>72</v>
      </c>
      <c r="J2896">
        <v>5.8</v>
      </c>
      <c r="K2896" t="s">
        <v>6099</v>
      </c>
      <c r="L2896" t="s">
        <v>6100</v>
      </c>
      <c r="M2896" t="s">
        <v>6100</v>
      </c>
      <c r="O2896" t="s">
        <v>6101</v>
      </c>
      <c r="P2896" t="s">
        <v>6111</v>
      </c>
      <c r="Q2896">
        <v>5</v>
      </c>
      <c r="R2896">
        <v>2026</v>
      </c>
      <c r="S2896" t="s">
        <v>6099</v>
      </c>
      <c r="T2896">
        <v>1</v>
      </c>
      <c r="U2896" t="s">
        <v>6017</v>
      </c>
      <c r="V2896">
        <v>1</v>
      </c>
    </row>
    <row r="2897" spans="1:22" x14ac:dyDescent="0.3">
      <c r="A2897" t="s">
        <v>2912</v>
      </c>
      <c r="B2897" s="2">
        <v>46148.59097222222</v>
      </c>
      <c r="C2897" s="2">
        <v>46149.036805555559</v>
      </c>
      <c r="D2897" t="s">
        <v>6024</v>
      </c>
      <c r="E2897" t="s">
        <v>6029</v>
      </c>
      <c r="F2897" t="s">
        <v>6034</v>
      </c>
      <c r="G2897" t="s">
        <v>6077</v>
      </c>
      <c r="H2897" t="s">
        <v>6098</v>
      </c>
      <c r="I2897">
        <v>24</v>
      </c>
      <c r="J2897">
        <v>10.7</v>
      </c>
      <c r="K2897" t="s">
        <v>6100</v>
      </c>
      <c r="L2897" t="s">
        <v>6099</v>
      </c>
      <c r="M2897" t="s">
        <v>6100</v>
      </c>
      <c r="N2897">
        <v>4</v>
      </c>
      <c r="O2897" t="s">
        <v>6101</v>
      </c>
      <c r="P2897" t="s">
        <v>6111</v>
      </c>
      <c r="Q2897">
        <v>5</v>
      </c>
      <c r="R2897">
        <v>2026</v>
      </c>
      <c r="S2897" t="s">
        <v>6099</v>
      </c>
      <c r="T2897">
        <v>1</v>
      </c>
      <c r="U2897" t="s">
        <v>6019</v>
      </c>
      <c r="V2897">
        <v>0</v>
      </c>
    </row>
    <row r="2898" spans="1:22" x14ac:dyDescent="0.3">
      <c r="A2898" t="s">
        <v>2913</v>
      </c>
      <c r="B2898" s="2">
        <v>46148.620833333334</v>
      </c>
      <c r="C2898" s="2">
        <v>46148.9</v>
      </c>
      <c r="D2898" t="s">
        <v>6023</v>
      </c>
      <c r="E2898" t="s">
        <v>6030</v>
      </c>
      <c r="F2898" t="s">
        <v>6034</v>
      </c>
      <c r="G2898" t="s">
        <v>6062</v>
      </c>
      <c r="H2898" t="s">
        <v>6096</v>
      </c>
      <c r="I2898">
        <v>24</v>
      </c>
      <c r="J2898">
        <v>6.7</v>
      </c>
      <c r="K2898" t="s">
        <v>6099</v>
      </c>
      <c r="L2898" t="s">
        <v>6100</v>
      </c>
      <c r="M2898" t="s">
        <v>6100</v>
      </c>
      <c r="N2898">
        <v>4</v>
      </c>
      <c r="O2898" t="s">
        <v>6101</v>
      </c>
      <c r="P2898" t="s">
        <v>6111</v>
      </c>
      <c r="Q2898">
        <v>5</v>
      </c>
      <c r="R2898">
        <v>2026</v>
      </c>
      <c r="S2898" t="s">
        <v>6099</v>
      </c>
      <c r="T2898">
        <v>1</v>
      </c>
      <c r="U2898" t="s">
        <v>6021</v>
      </c>
      <c r="V2898">
        <v>1</v>
      </c>
    </row>
    <row r="2899" spans="1:22" x14ac:dyDescent="0.3">
      <c r="A2899" t="s">
        <v>2914</v>
      </c>
      <c r="B2899" s="2">
        <v>46148.675694444442</v>
      </c>
      <c r="C2899" s="2">
        <v>46149.263194444444</v>
      </c>
      <c r="D2899" t="s">
        <v>6027</v>
      </c>
      <c r="E2899" t="s">
        <v>6030</v>
      </c>
      <c r="F2899" t="s">
        <v>6035</v>
      </c>
      <c r="G2899" t="s">
        <v>6052</v>
      </c>
      <c r="H2899" t="s">
        <v>6098</v>
      </c>
      <c r="I2899">
        <v>4</v>
      </c>
      <c r="J2899">
        <v>14.1</v>
      </c>
      <c r="K2899" t="s">
        <v>6099</v>
      </c>
      <c r="L2899" t="s">
        <v>6100</v>
      </c>
      <c r="M2899" t="s">
        <v>6100</v>
      </c>
      <c r="O2899" t="s">
        <v>6101</v>
      </c>
      <c r="P2899" t="s">
        <v>6111</v>
      </c>
      <c r="Q2899">
        <v>5</v>
      </c>
      <c r="R2899">
        <v>2026</v>
      </c>
      <c r="S2899" t="s">
        <v>6100</v>
      </c>
      <c r="T2899">
        <v>0</v>
      </c>
      <c r="U2899" t="s">
        <v>6019</v>
      </c>
      <c r="V2899">
        <v>1</v>
      </c>
    </row>
    <row r="2900" spans="1:22" x14ac:dyDescent="0.3">
      <c r="A2900" t="s">
        <v>2915</v>
      </c>
      <c r="B2900" s="2">
        <v>46148.731249999997</v>
      </c>
      <c r="C2900" s="2">
        <v>46149.03125</v>
      </c>
      <c r="D2900" t="s">
        <v>6023</v>
      </c>
      <c r="E2900" t="s">
        <v>6029</v>
      </c>
      <c r="F2900" t="s">
        <v>6033</v>
      </c>
      <c r="G2900" t="s">
        <v>6085</v>
      </c>
      <c r="H2900" t="s">
        <v>6097</v>
      </c>
      <c r="I2900">
        <v>72</v>
      </c>
      <c r="J2900">
        <v>7.2</v>
      </c>
      <c r="K2900" t="s">
        <v>6099</v>
      </c>
      <c r="L2900" t="s">
        <v>6100</v>
      </c>
      <c r="M2900" t="s">
        <v>6100</v>
      </c>
      <c r="N2900">
        <v>5</v>
      </c>
      <c r="O2900" t="s">
        <v>6101</v>
      </c>
      <c r="P2900" t="s">
        <v>6111</v>
      </c>
      <c r="Q2900">
        <v>5</v>
      </c>
      <c r="R2900">
        <v>2026</v>
      </c>
      <c r="S2900" t="s">
        <v>6099</v>
      </c>
      <c r="T2900">
        <v>1</v>
      </c>
      <c r="U2900" t="s">
        <v>6021</v>
      </c>
      <c r="V2900">
        <v>1</v>
      </c>
    </row>
    <row r="2901" spans="1:22" x14ac:dyDescent="0.3">
      <c r="A2901" t="s">
        <v>2916</v>
      </c>
      <c r="B2901" s="2">
        <v>46148.772222222222</v>
      </c>
      <c r="C2901" s="2">
        <v>46148.938888888886</v>
      </c>
      <c r="D2901" t="s">
        <v>6023</v>
      </c>
      <c r="E2901" t="s">
        <v>6029</v>
      </c>
      <c r="F2901" t="s">
        <v>6034</v>
      </c>
      <c r="G2901" t="s">
        <v>6064</v>
      </c>
      <c r="H2901" t="s">
        <v>6096</v>
      </c>
      <c r="I2901">
        <v>24</v>
      </c>
      <c r="J2901">
        <v>4</v>
      </c>
      <c r="K2901" t="s">
        <v>6099</v>
      </c>
      <c r="L2901" t="s">
        <v>6100</v>
      </c>
      <c r="M2901" t="s">
        <v>6100</v>
      </c>
      <c r="N2901">
        <v>5</v>
      </c>
      <c r="O2901" t="s">
        <v>6101</v>
      </c>
      <c r="P2901" t="s">
        <v>6111</v>
      </c>
      <c r="Q2901">
        <v>5</v>
      </c>
      <c r="R2901">
        <v>2026</v>
      </c>
      <c r="S2901" t="s">
        <v>6099</v>
      </c>
      <c r="T2901">
        <v>1</v>
      </c>
      <c r="U2901" t="s">
        <v>6020</v>
      </c>
      <c r="V2901">
        <v>1</v>
      </c>
    </row>
    <row r="2902" spans="1:22" x14ac:dyDescent="0.3">
      <c r="A2902" t="s">
        <v>2917</v>
      </c>
      <c r="B2902" s="2">
        <v>46148.797222222223</v>
      </c>
      <c r="C2902" s="2">
        <v>46150.013888888891</v>
      </c>
      <c r="D2902" t="s">
        <v>6022</v>
      </c>
      <c r="E2902" t="s">
        <v>6032</v>
      </c>
      <c r="F2902" t="s">
        <v>6035</v>
      </c>
      <c r="G2902" t="s">
        <v>6073</v>
      </c>
      <c r="H2902" t="s">
        <v>6096</v>
      </c>
      <c r="I2902">
        <v>4</v>
      </c>
      <c r="J2902">
        <v>29.2</v>
      </c>
      <c r="K2902" t="s">
        <v>6099</v>
      </c>
      <c r="L2902" t="s">
        <v>6100</v>
      </c>
      <c r="M2902" t="s">
        <v>6100</v>
      </c>
      <c r="N2902">
        <v>5</v>
      </c>
      <c r="O2902" t="s">
        <v>6101</v>
      </c>
      <c r="P2902" t="s">
        <v>6111</v>
      </c>
      <c r="Q2902">
        <v>5</v>
      </c>
      <c r="R2902">
        <v>2026</v>
      </c>
      <c r="S2902" t="s">
        <v>6100</v>
      </c>
      <c r="T2902">
        <v>0</v>
      </c>
      <c r="U2902" t="s">
        <v>6017</v>
      </c>
      <c r="V2902">
        <v>1</v>
      </c>
    </row>
    <row r="2903" spans="1:22" x14ac:dyDescent="0.3">
      <c r="A2903" t="s">
        <v>2918</v>
      </c>
      <c r="B2903" s="2">
        <v>46148.806944444441</v>
      </c>
      <c r="C2903" s="2">
        <v>46149.069444444445</v>
      </c>
      <c r="D2903" t="s">
        <v>6024</v>
      </c>
      <c r="E2903" t="s">
        <v>6030</v>
      </c>
      <c r="F2903" t="s">
        <v>6034</v>
      </c>
      <c r="G2903" t="s">
        <v>6049</v>
      </c>
      <c r="H2903" t="s">
        <v>6097</v>
      </c>
      <c r="I2903">
        <v>24</v>
      </c>
      <c r="J2903">
        <v>6.3</v>
      </c>
      <c r="K2903" t="s">
        <v>6100</v>
      </c>
      <c r="L2903" t="s">
        <v>6100</v>
      </c>
      <c r="M2903" t="s">
        <v>6100</v>
      </c>
      <c r="N2903">
        <v>4</v>
      </c>
      <c r="O2903" t="s">
        <v>6101</v>
      </c>
      <c r="P2903" t="s">
        <v>6111</v>
      </c>
      <c r="Q2903">
        <v>5</v>
      </c>
      <c r="R2903">
        <v>2026</v>
      </c>
      <c r="S2903" t="s">
        <v>6099</v>
      </c>
      <c r="T2903">
        <v>1</v>
      </c>
      <c r="U2903" t="s">
        <v>6020</v>
      </c>
      <c r="V2903">
        <v>0</v>
      </c>
    </row>
    <row r="2904" spans="1:22" x14ac:dyDescent="0.3">
      <c r="A2904" t="s">
        <v>2919</v>
      </c>
      <c r="B2904" s="2">
        <v>46149.20208333333</v>
      </c>
      <c r="C2904" s="2">
        <v>46149.310416666667</v>
      </c>
      <c r="D2904" t="s">
        <v>6023</v>
      </c>
      <c r="E2904" t="s">
        <v>6030</v>
      </c>
      <c r="F2904" t="s">
        <v>6034</v>
      </c>
      <c r="G2904" t="s">
        <v>6080</v>
      </c>
      <c r="H2904" t="s">
        <v>6096</v>
      </c>
      <c r="I2904">
        <v>24</v>
      </c>
      <c r="J2904">
        <v>2.6</v>
      </c>
      <c r="K2904" t="s">
        <v>6100</v>
      </c>
      <c r="L2904" t="s">
        <v>6100</v>
      </c>
      <c r="M2904" t="s">
        <v>6100</v>
      </c>
      <c r="N2904">
        <v>4</v>
      </c>
      <c r="O2904" t="s">
        <v>6101</v>
      </c>
      <c r="P2904" t="s">
        <v>6111</v>
      </c>
      <c r="Q2904">
        <v>5</v>
      </c>
      <c r="R2904">
        <v>2026</v>
      </c>
      <c r="S2904" t="s">
        <v>6099</v>
      </c>
      <c r="T2904">
        <v>1</v>
      </c>
      <c r="U2904" t="s">
        <v>6018</v>
      </c>
      <c r="V2904">
        <v>0</v>
      </c>
    </row>
    <row r="2905" spans="1:22" x14ac:dyDescent="0.3">
      <c r="A2905" t="s">
        <v>2920</v>
      </c>
      <c r="B2905" s="2">
        <v>46149.217361111114</v>
      </c>
      <c r="C2905" s="2">
        <v>46153.204861111109</v>
      </c>
      <c r="D2905" t="s">
        <v>6026</v>
      </c>
      <c r="E2905" t="s">
        <v>6031</v>
      </c>
      <c r="F2905" t="s">
        <v>6034</v>
      </c>
      <c r="G2905" t="s">
        <v>6092</v>
      </c>
      <c r="H2905" t="s">
        <v>6097</v>
      </c>
      <c r="I2905">
        <v>24</v>
      </c>
      <c r="J2905">
        <v>95.7</v>
      </c>
      <c r="K2905" t="s">
        <v>6099</v>
      </c>
      <c r="L2905" t="s">
        <v>6100</v>
      </c>
      <c r="M2905" t="s">
        <v>6100</v>
      </c>
      <c r="O2905" t="s">
        <v>6101</v>
      </c>
      <c r="P2905" t="s">
        <v>6111</v>
      </c>
      <c r="Q2905">
        <v>5</v>
      </c>
      <c r="R2905">
        <v>2026</v>
      </c>
      <c r="S2905" t="s">
        <v>6100</v>
      </c>
      <c r="T2905">
        <v>0</v>
      </c>
      <c r="U2905" t="s">
        <v>6017</v>
      </c>
      <c r="V2905">
        <v>1</v>
      </c>
    </row>
    <row r="2906" spans="1:22" x14ac:dyDescent="0.3">
      <c r="A2906" t="s">
        <v>2921</v>
      </c>
      <c r="B2906" s="2">
        <v>46149.241666666669</v>
      </c>
      <c r="C2906" s="2">
        <v>46149.558333333334</v>
      </c>
      <c r="D2906" t="s">
        <v>6027</v>
      </c>
      <c r="E2906" t="s">
        <v>6030</v>
      </c>
      <c r="F2906" t="s">
        <v>6034</v>
      </c>
      <c r="G2906" t="s">
        <v>6063</v>
      </c>
      <c r="H2906" t="s">
        <v>6097</v>
      </c>
      <c r="I2906">
        <v>24</v>
      </c>
      <c r="J2906">
        <v>7.6</v>
      </c>
      <c r="K2906" t="s">
        <v>6099</v>
      </c>
      <c r="L2906" t="s">
        <v>6100</v>
      </c>
      <c r="M2906" t="s">
        <v>6100</v>
      </c>
      <c r="O2906" t="s">
        <v>6101</v>
      </c>
      <c r="P2906" t="s">
        <v>6111</v>
      </c>
      <c r="Q2906">
        <v>5</v>
      </c>
      <c r="R2906">
        <v>2026</v>
      </c>
      <c r="S2906" t="s">
        <v>6099</v>
      </c>
      <c r="T2906">
        <v>1</v>
      </c>
      <c r="U2906" t="s">
        <v>6020</v>
      </c>
      <c r="V2906">
        <v>1</v>
      </c>
    </row>
    <row r="2907" spans="1:22" x14ac:dyDescent="0.3">
      <c r="A2907" t="s">
        <v>2922</v>
      </c>
      <c r="B2907" s="2">
        <v>46149.339583333334</v>
      </c>
      <c r="C2907" s="2">
        <v>46149.65625</v>
      </c>
      <c r="D2907" t="s">
        <v>6028</v>
      </c>
      <c r="E2907" t="s">
        <v>6029</v>
      </c>
      <c r="F2907" t="s">
        <v>6035</v>
      </c>
      <c r="G2907" t="s">
        <v>6081</v>
      </c>
      <c r="H2907" t="s">
        <v>6098</v>
      </c>
      <c r="I2907">
        <v>4</v>
      </c>
      <c r="J2907">
        <v>7.6</v>
      </c>
      <c r="K2907" t="s">
        <v>6100</v>
      </c>
      <c r="L2907" t="s">
        <v>6099</v>
      </c>
      <c r="M2907" t="s">
        <v>6100</v>
      </c>
      <c r="N2907">
        <v>4</v>
      </c>
      <c r="O2907" t="s">
        <v>6101</v>
      </c>
      <c r="P2907" t="s">
        <v>6111</v>
      </c>
      <c r="Q2907">
        <v>5</v>
      </c>
      <c r="R2907">
        <v>2026</v>
      </c>
      <c r="S2907" t="s">
        <v>6100</v>
      </c>
      <c r="T2907">
        <v>0</v>
      </c>
      <c r="U2907" t="s">
        <v>6020</v>
      </c>
      <c r="V2907">
        <v>0</v>
      </c>
    </row>
    <row r="2908" spans="1:22" x14ac:dyDescent="0.3">
      <c r="A2908" t="s">
        <v>2923</v>
      </c>
      <c r="B2908" s="2">
        <v>46149.357638888891</v>
      </c>
      <c r="C2908" s="2">
        <v>46149.545138888891</v>
      </c>
      <c r="D2908" t="s">
        <v>6028</v>
      </c>
      <c r="E2908" t="s">
        <v>6029</v>
      </c>
      <c r="F2908" t="s">
        <v>6034</v>
      </c>
      <c r="G2908" t="s">
        <v>6082</v>
      </c>
      <c r="H2908" t="s">
        <v>6097</v>
      </c>
      <c r="I2908">
        <v>24</v>
      </c>
      <c r="J2908">
        <v>4.5</v>
      </c>
      <c r="K2908" t="s">
        <v>6099</v>
      </c>
      <c r="L2908" t="s">
        <v>6100</v>
      </c>
      <c r="M2908" t="s">
        <v>6100</v>
      </c>
      <c r="N2908">
        <v>5</v>
      </c>
      <c r="O2908" t="s">
        <v>6101</v>
      </c>
      <c r="P2908" t="s">
        <v>6111</v>
      </c>
      <c r="Q2908">
        <v>5</v>
      </c>
      <c r="R2908">
        <v>2026</v>
      </c>
      <c r="S2908" t="s">
        <v>6099</v>
      </c>
      <c r="T2908">
        <v>1</v>
      </c>
      <c r="U2908" t="s">
        <v>6021</v>
      </c>
      <c r="V2908">
        <v>1</v>
      </c>
    </row>
    <row r="2909" spans="1:22" x14ac:dyDescent="0.3">
      <c r="A2909" t="s">
        <v>2924</v>
      </c>
      <c r="B2909" s="2">
        <v>46149.361111111109</v>
      </c>
      <c r="C2909" s="2">
        <v>46149.956944444442</v>
      </c>
      <c r="D2909" t="s">
        <v>6027</v>
      </c>
      <c r="E2909" t="s">
        <v>6029</v>
      </c>
      <c r="F2909" t="s">
        <v>6033</v>
      </c>
      <c r="G2909" t="s">
        <v>6051</v>
      </c>
      <c r="H2909" t="s">
        <v>6097</v>
      </c>
      <c r="I2909">
        <v>72</v>
      </c>
      <c r="J2909">
        <v>14.3</v>
      </c>
      <c r="K2909" t="s">
        <v>6099</v>
      </c>
      <c r="L2909" t="s">
        <v>6100</v>
      </c>
      <c r="M2909" t="s">
        <v>6100</v>
      </c>
      <c r="O2909" t="s">
        <v>6101</v>
      </c>
      <c r="P2909" t="s">
        <v>6111</v>
      </c>
      <c r="Q2909">
        <v>5</v>
      </c>
      <c r="R2909">
        <v>2026</v>
      </c>
      <c r="S2909" t="s">
        <v>6099</v>
      </c>
      <c r="T2909">
        <v>1</v>
      </c>
      <c r="U2909" t="s">
        <v>6018</v>
      </c>
      <c r="V2909">
        <v>1</v>
      </c>
    </row>
    <row r="2910" spans="1:22" x14ac:dyDescent="0.3">
      <c r="A2910" t="s">
        <v>2925</v>
      </c>
      <c r="B2910" s="2">
        <v>46149.363888888889</v>
      </c>
      <c r="C2910" s="2">
        <v>46149.505555555559</v>
      </c>
      <c r="D2910" t="s">
        <v>6023</v>
      </c>
      <c r="E2910" t="s">
        <v>6029</v>
      </c>
      <c r="F2910" t="s">
        <v>6034</v>
      </c>
      <c r="G2910" t="s">
        <v>6048</v>
      </c>
      <c r="H2910" t="s">
        <v>6096</v>
      </c>
      <c r="I2910">
        <v>24</v>
      </c>
      <c r="J2910">
        <v>3.4</v>
      </c>
      <c r="K2910" t="s">
        <v>6099</v>
      </c>
      <c r="L2910" t="s">
        <v>6100</v>
      </c>
      <c r="M2910" t="s">
        <v>6100</v>
      </c>
      <c r="N2910">
        <v>5</v>
      </c>
      <c r="O2910" t="s">
        <v>6101</v>
      </c>
      <c r="P2910" t="s">
        <v>6111</v>
      </c>
      <c r="Q2910">
        <v>5</v>
      </c>
      <c r="R2910">
        <v>2026</v>
      </c>
      <c r="S2910" t="s">
        <v>6099</v>
      </c>
      <c r="T2910">
        <v>1</v>
      </c>
      <c r="U2910" t="s">
        <v>6020</v>
      </c>
      <c r="V2910">
        <v>1</v>
      </c>
    </row>
    <row r="2911" spans="1:22" x14ac:dyDescent="0.3">
      <c r="A2911" t="s">
        <v>2926</v>
      </c>
      <c r="B2911" s="2">
        <v>46149.367361111108</v>
      </c>
      <c r="C2911" s="2">
        <v>46150.388194444444</v>
      </c>
      <c r="D2911" t="s">
        <v>6025</v>
      </c>
      <c r="E2911" t="s">
        <v>6031</v>
      </c>
      <c r="F2911" t="s">
        <v>6035</v>
      </c>
      <c r="G2911" t="s">
        <v>6070</v>
      </c>
      <c r="H2911" t="s">
        <v>6097</v>
      </c>
      <c r="I2911">
        <v>4</v>
      </c>
      <c r="J2911">
        <v>24.5</v>
      </c>
      <c r="K2911" t="s">
        <v>6099</v>
      </c>
      <c r="L2911" t="s">
        <v>6100</v>
      </c>
      <c r="M2911" t="s">
        <v>6099</v>
      </c>
      <c r="N2911">
        <v>4</v>
      </c>
      <c r="O2911" t="s">
        <v>6101</v>
      </c>
      <c r="P2911" t="s">
        <v>6111</v>
      </c>
      <c r="Q2911">
        <v>5</v>
      </c>
      <c r="R2911">
        <v>2026</v>
      </c>
      <c r="S2911" t="s">
        <v>6100</v>
      </c>
      <c r="T2911">
        <v>0</v>
      </c>
      <c r="U2911" t="s">
        <v>6021</v>
      </c>
      <c r="V2911">
        <v>1</v>
      </c>
    </row>
    <row r="2912" spans="1:22" x14ac:dyDescent="0.3">
      <c r="A2912" t="s">
        <v>2927</v>
      </c>
      <c r="B2912" s="2">
        <v>46149.388888888891</v>
      </c>
      <c r="C2912" s="2">
        <v>46149.534722222219</v>
      </c>
      <c r="D2912" t="s">
        <v>6023</v>
      </c>
      <c r="E2912" t="s">
        <v>6030</v>
      </c>
      <c r="F2912" t="s">
        <v>6034</v>
      </c>
      <c r="G2912" t="s">
        <v>6089</v>
      </c>
      <c r="H2912" t="s">
        <v>6098</v>
      </c>
      <c r="I2912">
        <v>24</v>
      </c>
      <c r="J2912">
        <v>3.5</v>
      </c>
      <c r="K2912" t="s">
        <v>6099</v>
      </c>
      <c r="L2912" t="s">
        <v>6100</v>
      </c>
      <c r="M2912" t="s">
        <v>6100</v>
      </c>
      <c r="N2912">
        <v>5</v>
      </c>
      <c r="O2912" t="s">
        <v>6101</v>
      </c>
      <c r="P2912" t="s">
        <v>6111</v>
      </c>
      <c r="Q2912">
        <v>5</v>
      </c>
      <c r="R2912">
        <v>2026</v>
      </c>
      <c r="S2912" t="s">
        <v>6099</v>
      </c>
      <c r="T2912">
        <v>1</v>
      </c>
      <c r="U2912" t="s">
        <v>6020</v>
      </c>
      <c r="V2912">
        <v>1</v>
      </c>
    </row>
    <row r="2913" spans="1:22" x14ac:dyDescent="0.3">
      <c r="A2913" t="s">
        <v>2928</v>
      </c>
      <c r="B2913" s="2">
        <v>46149.396527777775</v>
      </c>
      <c r="C2913" s="2">
        <v>46149.938194444447</v>
      </c>
      <c r="D2913" t="s">
        <v>6027</v>
      </c>
      <c r="E2913" t="s">
        <v>6032</v>
      </c>
      <c r="F2913" t="s">
        <v>6034</v>
      </c>
      <c r="G2913" t="s">
        <v>6042</v>
      </c>
      <c r="H2913" t="s">
        <v>6098</v>
      </c>
      <c r="I2913">
        <v>24</v>
      </c>
      <c r="J2913">
        <v>13</v>
      </c>
      <c r="K2913" t="s">
        <v>6099</v>
      </c>
      <c r="L2913" t="s">
        <v>6100</v>
      </c>
      <c r="M2913" t="s">
        <v>6100</v>
      </c>
      <c r="N2913">
        <v>5</v>
      </c>
      <c r="O2913" t="s">
        <v>6101</v>
      </c>
      <c r="P2913" t="s">
        <v>6111</v>
      </c>
      <c r="Q2913">
        <v>5</v>
      </c>
      <c r="R2913">
        <v>2026</v>
      </c>
      <c r="S2913" t="s">
        <v>6099</v>
      </c>
      <c r="T2913">
        <v>1</v>
      </c>
      <c r="U2913" t="s">
        <v>6021</v>
      </c>
      <c r="V2913">
        <v>1</v>
      </c>
    </row>
    <row r="2914" spans="1:22" x14ac:dyDescent="0.3">
      <c r="A2914" t="s">
        <v>2929</v>
      </c>
      <c r="B2914" s="2">
        <v>46149.397916666669</v>
      </c>
      <c r="C2914" s="2">
        <v>46149.147916666669</v>
      </c>
      <c r="D2914" t="s">
        <v>6028</v>
      </c>
      <c r="E2914" t="s">
        <v>6029</v>
      </c>
      <c r="F2914" t="s">
        <v>6034</v>
      </c>
      <c r="G2914" t="s">
        <v>6053</v>
      </c>
      <c r="H2914" t="s">
        <v>6097</v>
      </c>
      <c r="I2914">
        <v>24</v>
      </c>
      <c r="J2914">
        <v>5.6</v>
      </c>
      <c r="K2914" t="s">
        <v>6099</v>
      </c>
      <c r="L2914" t="s">
        <v>6100</v>
      </c>
      <c r="M2914" t="s">
        <v>6100</v>
      </c>
      <c r="N2914">
        <v>3</v>
      </c>
      <c r="O2914" t="s">
        <v>6101</v>
      </c>
      <c r="P2914" t="s">
        <v>6111</v>
      </c>
      <c r="Q2914">
        <v>5</v>
      </c>
      <c r="R2914">
        <v>2026</v>
      </c>
      <c r="S2914" t="s">
        <v>6099</v>
      </c>
      <c r="T2914">
        <v>1</v>
      </c>
      <c r="U2914" t="s">
        <v>6020</v>
      </c>
      <c r="V2914">
        <v>1</v>
      </c>
    </row>
    <row r="2915" spans="1:22" x14ac:dyDescent="0.3">
      <c r="A2915" t="s">
        <v>2930</v>
      </c>
      <c r="B2915" s="2">
        <v>46149.42291666667</v>
      </c>
      <c r="C2915" s="2">
        <v>46149.852083333331</v>
      </c>
      <c r="D2915" t="s">
        <v>6028</v>
      </c>
      <c r="E2915" t="s">
        <v>6031</v>
      </c>
      <c r="F2915" t="s">
        <v>6035</v>
      </c>
      <c r="G2915" t="s">
        <v>6050</v>
      </c>
      <c r="H2915" t="s">
        <v>6098</v>
      </c>
      <c r="I2915">
        <v>4</v>
      </c>
      <c r="J2915">
        <v>10.3</v>
      </c>
      <c r="K2915" t="s">
        <v>6100</v>
      </c>
      <c r="L2915" t="s">
        <v>6099</v>
      </c>
      <c r="M2915" t="s">
        <v>6100</v>
      </c>
      <c r="N2915">
        <v>4</v>
      </c>
      <c r="O2915" t="s">
        <v>6101</v>
      </c>
      <c r="P2915" t="s">
        <v>6111</v>
      </c>
      <c r="Q2915">
        <v>5</v>
      </c>
      <c r="R2915">
        <v>2026</v>
      </c>
      <c r="S2915" t="s">
        <v>6100</v>
      </c>
      <c r="T2915">
        <v>0</v>
      </c>
      <c r="U2915" t="s">
        <v>6021</v>
      </c>
      <c r="V2915">
        <v>0</v>
      </c>
    </row>
    <row r="2916" spans="1:22" x14ac:dyDescent="0.3">
      <c r="A2916" t="s">
        <v>2931</v>
      </c>
      <c r="B2916" s="2">
        <v>46149.473611111112</v>
      </c>
      <c r="C2916" s="2">
        <v>46149.615277777775</v>
      </c>
      <c r="D2916" t="s">
        <v>6023</v>
      </c>
      <c r="E2916" t="s">
        <v>6029</v>
      </c>
      <c r="F2916" t="s">
        <v>6034</v>
      </c>
      <c r="G2916" t="s">
        <v>6088</v>
      </c>
      <c r="H2916" t="s">
        <v>6097</v>
      </c>
      <c r="I2916">
        <v>24</v>
      </c>
      <c r="J2916">
        <v>3.4</v>
      </c>
      <c r="K2916" t="s">
        <v>6099</v>
      </c>
      <c r="L2916" t="s">
        <v>6100</v>
      </c>
      <c r="M2916" t="s">
        <v>6100</v>
      </c>
      <c r="N2916">
        <v>4</v>
      </c>
      <c r="O2916" t="s">
        <v>6101</v>
      </c>
      <c r="P2916" t="s">
        <v>6111</v>
      </c>
      <c r="Q2916">
        <v>5</v>
      </c>
      <c r="R2916">
        <v>2026</v>
      </c>
      <c r="S2916" t="s">
        <v>6099</v>
      </c>
      <c r="T2916">
        <v>1</v>
      </c>
      <c r="U2916" t="s">
        <v>6020</v>
      </c>
      <c r="V2916">
        <v>1</v>
      </c>
    </row>
    <row r="2917" spans="1:22" x14ac:dyDescent="0.3">
      <c r="A2917" t="s">
        <v>2932</v>
      </c>
      <c r="B2917" s="2">
        <v>46149.48541666667</v>
      </c>
      <c r="C2917" s="2">
        <v>46149.743750000001</v>
      </c>
      <c r="D2917" t="s">
        <v>6023</v>
      </c>
      <c r="E2917" t="s">
        <v>6029</v>
      </c>
      <c r="F2917" t="s">
        <v>6034</v>
      </c>
      <c r="G2917" t="s">
        <v>6072</v>
      </c>
      <c r="H2917" t="s">
        <v>6097</v>
      </c>
      <c r="I2917">
        <v>24</v>
      </c>
      <c r="J2917">
        <v>6.2</v>
      </c>
      <c r="K2917" t="s">
        <v>6099</v>
      </c>
      <c r="L2917" t="s">
        <v>6100</v>
      </c>
      <c r="M2917" t="s">
        <v>6100</v>
      </c>
      <c r="N2917">
        <v>5</v>
      </c>
      <c r="O2917" t="s">
        <v>6101</v>
      </c>
      <c r="P2917" t="s">
        <v>6111</v>
      </c>
      <c r="Q2917">
        <v>5</v>
      </c>
      <c r="R2917">
        <v>2026</v>
      </c>
      <c r="S2917" t="s">
        <v>6099</v>
      </c>
      <c r="T2917">
        <v>1</v>
      </c>
      <c r="U2917" t="s">
        <v>6018</v>
      </c>
      <c r="V2917">
        <v>1</v>
      </c>
    </row>
    <row r="2918" spans="1:22" x14ac:dyDescent="0.3">
      <c r="A2918" t="s">
        <v>2933</v>
      </c>
      <c r="B2918" s="2">
        <v>46149.569444444445</v>
      </c>
      <c r="C2918" s="2">
        <v>46149.94027777778</v>
      </c>
      <c r="D2918" t="s">
        <v>6022</v>
      </c>
      <c r="E2918" t="s">
        <v>6029</v>
      </c>
      <c r="F2918" t="s">
        <v>6034</v>
      </c>
      <c r="G2918" t="s">
        <v>6095</v>
      </c>
      <c r="H2918" t="s">
        <v>6098</v>
      </c>
      <c r="I2918">
        <v>24</v>
      </c>
      <c r="J2918">
        <v>8.9</v>
      </c>
      <c r="K2918" t="s">
        <v>6099</v>
      </c>
      <c r="L2918" t="s">
        <v>6100</v>
      </c>
      <c r="M2918" t="s">
        <v>6100</v>
      </c>
      <c r="N2918">
        <v>5</v>
      </c>
      <c r="O2918" t="s">
        <v>6101</v>
      </c>
      <c r="P2918" t="s">
        <v>6111</v>
      </c>
      <c r="Q2918">
        <v>5</v>
      </c>
      <c r="R2918">
        <v>2026</v>
      </c>
      <c r="S2918" t="s">
        <v>6099</v>
      </c>
      <c r="T2918">
        <v>1</v>
      </c>
      <c r="U2918" t="s">
        <v>6020</v>
      </c>
      <c r="V2918">
        <v>1</v>
      </c>
    </row>
    <row r="2919" spans="1:22" x14ac:dyDescent="0.3">
      <c r="A2919" t="s">
        <v>2934</v>
      </c>
      <c r="B2919" s="2">
        <v>46149.62777777778</v>
      </c>
      <c r="C2919" s="2">
        <v>46150.569444444445</v>
      </c>
      <c r="D2919" t="s">
        <v>6027</v>
      </c>
      <c r="E2919" t="s">
        <v>6031</v>
      </c>
      <c r="F2919" t="s">
        <v>6034</v>
      </c>
      <c r="G2919" t="s">
        <v>6073</v>
      </c>
      <c r="H2919" t="s">
        <v>6096</v>
      </c>
      <c r="I2919">
        <v>24</v>
      </c>
      <c r="J2919">
        <v>22.6</v>
      </c>
      <c r="K2919" t="s">
        <v>6099</v>
      </c>
      <c r="L2919" t="s">
        <v>6100</v>
      </c>
      <c r="M2919" t="s">
        <v>6100</v>
      </c>
      <c r="N2919">
        <v>5</v>
      </c>
      <c r="O2919" t="s">
        <v>6101</v>
      </c>
      <c r="P2919" t="s">
        <v>6111</v>
      </c>
      <c r="Q2919">
        <v>5</v>
      </c>
      <c r="R2919">
        <v>2026</v>
      </c>
      <c r="S2919" t="s">
        <v>6099</v>
      </c>
      <c r="T2919">
        <v>1</v>
      </c>
      <c r="U2919" t="s">
        <v>6020</v>
      </c>
      <c r="V2919">
        <v>1</v>
      </c>
    </row>
    <row r="2920" spans="1:22" x14ac:dyDescent="0.3">
      <c r="A2920" t="s">
        <v>2935</v>
      </c>
      <c r="B2920" s="2">
        <v>46149.638194444444</v>
      </c>
      <c r="C2920" s="2">
        <v>46150.584027777775</v>
      </c>
      <c r="D2920" t="s">
        <v>6022</v>
      </c>
      <c r="E2920" t="s">
        <v>6031</v>
      </c>
      <c r="F2920" t="s">
        <v>6034</v>
      </c>
      <c r="G2920" t="s">
        <v>6091</v>
      </c>
      <c r="H2920" t="s">
        <v>6097</v>
      </c>
      <c r="I2920">
        <v>24</v>
      </c>
      <c r="J2920">
        <v>22.7</v>
      </c>
      <c r="K2920" t="s">
        <v>6099</v>
      </c>
      <c r="L2920" t="s">
        <v>6100</v>
      </c>
      <c r="M2920" t="s">
        <v>6100</v>
      </c>
      <c r="O2920" t="s">
        <v>6101</v>
      </c>
      <c r="P2920" t="s">
        <v>6111</v>
      </c>
      <c r="Q2920">
        <v>5</v>
      </c>
      <c r="R2920">
        <v>2026</v>
      </c>
      <c r="S2920" t="s">
        <v>6099</v>
      </c>
      <c r="T2920">
        <v>1</v>
      </c>
      <c r="U2920" t="s">
        <v>6019</v>
      </c>
      <c r="V2920">
        <v>1</v>
      </c>
    </row>
    <row r="2921" spans="1:22" x14ac:dyDescent="0.3">
      <c r="A2921" t="s">
        <v>2936</v>
      </c>
      <c r="B2921" s="2">
        <v>46149.645138888889</v>
      </c>
      <c r="C2921" s="2">
        <v>46149.803472222222</v>
      </c>
      <c r="D2921" t="s">
        <v>6023</v>
      </c>
      <c r="E2921" t="s">
        <v>6029</v>
      </c>
      <c r="F2921" t="s">
        <v>6033</v>
      </c>
      <c r="G2921" t="s">
        <v>6079</v>
      </c>
      <c r="H2921" t="s">
        <v>6097</v>
      </c>
      <c r="I2921">
        <v>72</v>
      </c>
      <c r="J2921">
        <v>3.8</v>
      </c>
      <c r="K2921" t="s">
        <v>6099</v>
      </c>
      <c r="L2921" t="s">
        <v>6100</v>
      </c>
      <c r="M2921" t="s">
        <v>6100</v>
      </c>
      <c r="N2921">
        <v>5</v>
      </c>
      <c r="O2921" t="s">
        <v>6101</v>
      </c>
      <c r="P2921" t="s">
        <v>6111</v>
      </c>
      <c r="Q2921">
        <v>5</v>
      </c>
      <c r="R2921">
        <v>2026</v>
      </c>
      <c r="S2921" t="s">
        <v>6099</v>
      </c>
      <c r="T2921">
        <v>1</v>
      </c>
      <c r="U2921" t="s">
        <v>6018</v>
      </c>
      <c r="V2921">
        <v>1</v>
      </c>
    </row>
    <row r="2922" spans="1:22" x14ac:dyDescent="0.3">
      <c r="A2922" t="s">
        <v>2937</v>
      </c>
      <c r="B2922" s="2">
        <v>46149.675000000003</v>
      </c>
      <c r="C2922" s="2">
        <v>46152.375</v>
      </c>
      <c r="D2922" t="s">
        <v>6022</v>
      </c>
      <c r="E2922" t="s">
        <v>6032</v>
      </c>
      <c r="F2922" t="s">
        <v>6034</v>
      </c>
      <c r="G2922" t="s">
        <v>6063</v>
      </c>
      <c r="H2922" t="s">
        <v>6097</v>
      </c>
      <c r="I2922">
        <v>24</v>
      </c>
      <c r="J2922">
        <v>64.8</v>
      </c>
      <c r="K2922" t="s">
        <v>6099</v>
      </c>
      <c r="L2922" t="s">
        <v>6100</v>
      </c>
      <c r="M2922" t="s">
        <v>6100</v>
      </c>
      <c r="O2922" t="s">
        <v>6101</v>
      </c>
      <c r="P2922" t="s">
        <v>6111</v>
      </c>
      <c r="Q2922">
        <v>5</v>
      </c>
      <c r="R2922">
        <v>2026</v>
      </c>
      <c r="S2922" t="s">
        <v>6100</v>
      </c>
      <c r="T2922">
        <v>0</v>
      </c>
      <c r="U2922" t="s">
        <v>6021</v>
      </c>
      <c r="V2922">
        <v>1</v>
      </c>
    </row>
    <row r="2923" spans="1:22" x14ac:dyDescent="0.3">
      <c r="A2923" t="s">
        <v>2938</v>
      </c>
      <c r="B2923" s="2">
        <v>46149.722222222219</v>
      </c>
      <c r="C2923" s="2">
        <v>46153.630555555559</v>
      </c>
      <c r="D2923" t="s">
        <v>6026</v>
      </c>
      <c r="E2923" t="s">
        <v>6031</v>
      </c>
      <c r="F2923" t="s">
        <v>6033</v>
      </c>
      <c r="G2923" t="s">
        <v>6049</v>
      </c>
      <c r="H2923" t="s">
        <v>6097</v>
      </c>
      <c r="I2923">
        <v>72</v>
      </c>
      <c r="J2923">
        <v>93.8</v>
      </c>
      <c r="K2923" t="s">
        <v>6099</v>
      </c>
      <c r="L2923" t="s">
        <v>6100</v>
      </c>
      <c r="M2923" t="s">
        <v>6100</v>
      </c>
      <c r="O2923" t="s">
        <v>6101</v>
      </c>
      <c r="P2923" t="s">
        <v>6111</v>
      </c>
      <c r="Q2923">
        <v>5</v>
      </c>
      <c r="R2923">
        <v>2026</v>
      </c>
      <c r="S2923" t="s">
        <v>6100</v>
      </c>
      <c r="T2923">
        <v>0</v>
      </c>
      <c r="U2923" t="s">
        <v>6017</v>
      </c>
      <c r="V2923">
        <v>1</v>
      </c>
    </row>
    <row r="2924" spans="1:22" x14ac:dyDescent="0.3">
      <c r="A2924" t="s">
        <v>2939</v>
      </c>
      <c r="B2924" s="2">
        <v>46149.736805555556</v>
      </c>
      <c r="C2924" s="2">
        <v>46150.453472222223</v>
      </c>
      <c r="D2924" t="s">
        <v>6025</v>
      </c>
      <c r="E2924" t="s">
        <v>6029</v>
      </c>
      <c r="F2924" t="s">
        <v>6035</v>
      </c>
      <c r="G2924" t="s">
        <v>6056</v>
      </c>
      <c r="H2924" t="s">
        <v>6098</v>
      </c>
      <c r="I2924">
        <v>4</v>
      </c>
      <c r="J2924">
        <v>17.2</v>
      </c>
      <c r="K2924" t="s">
        <v>6099</v>
      </c>
      <c r="L2924" t="s">
        <v>6100</v>
      </c>
      <c r="M2924" t="s">
        <v>6100</v>
      </c>
      <c r="O2924" t="s">
        <v>6101</v>
      </c>
      <c r="P2924" t="s">
        <v>6111</v>
      </c>
      <c r="Q2924">
        <v>5</v>
      </c>
      <c r="R2924">
        <v>2026</v>
      </c>
      <c r="S2924" t="s">
        <v>6100</v>
      </c>
      <c r="T2924">
        <v>0</v>
      </c>
      <c r="U2924" t="s">
        <v>6018</v>
      </c>
      <c r="V2924">
        <v>1</v>
      </c>
    </row>
    <row r="2925" spans="1:22" x14ac:dyDescent="0.3">
      <c r="A2925" t="s">
        <v>2940</v>
      </c>
      <c r="B2925" s="2">
        <v>46149.74722222222</v>
      </c>
      <c r="C2925" s="2">
        <v>46150.080555555556</v>
      </c>
      <c r="D2925" t="s">
        <v>6028</v>
      </c>
      <c r="E2925" t="s">
        <v>6029</v>
      </c>
      <c r="F2925" t="s">
        <v>6034</v>
      </c>
      <c r="G2925" t="s">
        <v>6040</v>
      </c>
      <c r="H2925" t="s">
        <v>6097</v>
      </c>
      <c r="I2925">
        <v>24</v>
      </c>
      <c r="J2925">
        <v>8</v>
      </c>
      <c r="K2925" t="s">
        <v>6100</v>
      </c>
      <c r="L2925" t="s">
        <v>6100</v>
      </c>
      <c r="M2925" t="s">
        <v>6099</v>
      </c>
      <c r="N2925">
        <v>4</v>
      </c>
      <c r="O2925" t="s">
        <v>6101</v>
      </c>
      <c r="P2925" t="s">
        <v>6111</v>
      </c>
      <c r="Q2925">
        <v>5</v>
      </c>
      <c r="R2925">
        <v>2026</v>
      </c>
      <c r="S2925" t="s">
        <v>6099</v>
      </c>
      <c r="T2925">
        <v>1</v>
      </c>
      <c r="U2925" t="s">
        <v>6018</v>
      </c>
      <c r="V2925">
        <v>0</v>
      </c>
    </row>
    <row r="2926" spans="1:22" x14ac:dyDescent="0.3">
      <c r="A2926" t="s">
        <v>2941</v>
      </c>
      <c r="B2926" s="2">
        <v>46149.929861111108</v>
      </c>
      <c r="C2926" s="2">
        <v>46150.188194444447</v>
      </c>
      <c r="D2926" t="s">
        <v>6024</v>
      </c>
      <c r="E2926" t="s">
        <v>6030</v>
      </c>
      <c r="F2926" t="s">
        <v>6034</v>
      </c>
      <c r="G2926" t="s">
        <v>6043</v>
      </c>
      <c r="H2926" t="s">
        <v>6097</v>
      </c>
      <c r="I2926">
        <v>24</v>
      </c>
      <c r="J2926">
        <v>6.2</v>
      </c>
      <c r="K2926" t="s">
        <v>6099</v>
      </c>
      <c r="L2926" t="s">
        <v>6100</v>
      </c>
      <c r="M2926" t="s">
        <v>6100</v>
      </c>
      <c r="N2926">
        <v>4</v>
      </c>
      <c r="O2926" t="s">
        <v>6101</v>
      </c>
      <c r="P2926" t="s">
        <v>6111</v>
      </c>
      <c r="Q2926">
        <v>5</v>
      </c>
      <c r="R2926">
        <v>2026</v>
      </c>
      <c r="S2926" t="s">
        <v>6099</v>
      </c>
      <c r="T2926">
        <v>1</v>
      </c>
      <c r="U2926" t="s">
        <v>6021</v>
      </c>
      <c r="V2926">
        <v>1</v>
      </c>
    </row>
    <row r="2927" spans="1:22" x14ac:dyDescent="0.3">
      <c r="A2927" t="s">
        <v>2942</v>
      </c>
      <c r="B2927" s="2">
        <v>46150.273611111108</v>
      </c>
      <c r="C2927" s="2">
        <v>46150.390277777777</v>
      </c>
      <c r="D2927" t="s">
        <v>6027</v>
      </c>
      <c r="E2927" t="s">
        <v>6030</v>
      </c>
      <c r="F2927" t="s">
        <v>6034</v>
      </c>
      <c r="G2927" t="s">
        <v>6040</v>
      </c>
      <c r="H2927" t="s">
        <v>6097</v>
      </c>
      <c r="I2927">
        <v>24</v>
      </c>
      <c r="J2927">
        <v>2.8</v>
      </c>
      <c r="K2927" t="s">
        <v>6099</v>
      </c>
      <c r="L2927" t="s">
        <v>6100</v>
      </c>
      <c r="M2927" t="s">
        <v>6100</v>
      </c>
      <c r="O2927" t="s">
        <v>6101</v>
      </c>
      <c r="P2927" t="s">
        <v>6111</v>
      </c>
      <c r="Q2927">
        <v>5</v>
      </c>
      <c r="R2927">
        <v>2026</v>
      </c>
      <c r="S2927" t="s">
        <v>6099</v>
      </c>
      <c r="T2927">
        <v>1</v>
      </c>
      <c r="U2927" t="s">
        <v>6017</v>
      </c>
      <c r="V2927">
        <v>1</v>
      </c>
    </row>
    <row r="2928" spans="1:22" x14ac:dyDescent="0.3">
      <c r="A2928" t="s">
        <v>2943</v>
      </c>
      <c r="B2928" s="2">
        <v>46150.296527777777</v>
      </c>
      <c r="C2928" s="2">
        <v>46150.563194444447</v>
      </c>
      <c r="D2928" t="s">
        <v>6028</v>
      </c>
      <c r="E2928" t="s">
        <v>6030</v>
      </c>
      <c r="F2928" t="s">
        <v>6034</v>
      </c>
      <c r="G2928" t="s">
        <v>6083</v>
      </c>
      <c r="H2928" t="s">
        <v>6096</v>
      </c>
      <c r="I2928">
        <v>24</v>
      </c>
      <c r="J2928">
        <v>6.4</v>
      </c>
      <c r="K2928" t="s">
        <v>6099</v>
      </c>
      <c r="L2928" t="s">
        <v>6100</v>
      </c>
      <c r="M2928" t="s">
        <v>6100</v>
      </c>
      <c r="N2928">
        <v>5</v>
      </c>
      <c r="O2928" t="s">
        <v>6101</v>
      </c>
      <c r="P2928" t="s">
        <v>6111</v>
      </c>
      <c r="Q2928">
        <v>5</v>
      </c>
      <c r="R2928">
        <v>2026</v>
      </c>
      <c r="S2928" t="s">
        <v>6099</v>
      </c>
      <c r="T2928">
        <v>1</v>
      </c>
      <c r="U2928" t="s">
        <v>6021</v>
      </c>
      <c r="V2928">
        <v>1</v>
      </c>
    </row>
    <row r="2929" spans="1:22" x14ac:dyDescent="0.3">
      <c r="A2929" t="s">
        <v>2944</v>
      </c>
      <c r="B2929" s="2">
        <v>46150.304166666669</v>
      </c>
      <c r="C2929" s="2">
        <v>46150.5</v>
      </c>
      <c r="D2929" t="s">
        <v>6028</v>
      </c>
      <c r="E2929" t="s">
        <v>6029</v>
      </c>
      <c r="F2929" t="s">
        <v>6034</v>
      </c>
      <c r="G2929" t="s">
        <v>6039</v>
      </c>
      <c r="H2929" t="s">
        <v>6097</v>
      </c>
      <c r="I2929">
        <v>24</v>
      </c>
      <c r="J2929">
        <v>4.7</v>
      </c>
      <c r="K2929" t="s">
        <v>6099</v>
      </c>
      <c r="L2929" t="s">
        <v>6100</v>
      </c>
      <c r="M2929" t="s">
        <v>6100</v>
      </c>
      <c r="O2929" t="s">
        <v>6101</v>
      </c>
      <c r="P2929" t="s">
        <v>6111</v>
      </c>
      <c r="Q2929">
        <v>5</v>
      </c>
      <c r="R2929">
        <v>2026</v>
      </c>
      <c r="S2929" t="s">
        <v>6099</v>
      </c>
      <c r="T2929">
        <v>1</v>
      </c>
      <c r="U2929" t="s">
        <v>6020</v>
      </c>
      <c r="V2929">
        <v>1</v>
      </c>
    </row>
    <row r="2930" spans="1:22" x14ac:dyDescent="0.3">
      <c r="A2930" t="s">
        <v>2945</v>
      </c>
      <c r="B2930" s="2">
        <v>46150.341666666667</v>
      </c>
      <c r="C2930" s="2">
        <v>46151.67083333333</v>
      </c>
      <c r="D2930" t="s">
        <v>6028</v>
      </c>
      <c r="E2930" t="s">
        <v>6031</v>
      </c>
      <c r="F2930" t="s">
        <v>6034</v>
      </c>
      <c r="G2930" t="s">
        <v>6072</v>
      </c>
      <c r="H2930" t="s">
        <v>6097</v>
      </c>
      <c r="I2930">
        <v>24</v>
      </c>
      <c r="J2930">
        <v>31.9</v>
      </c>
      <c r="K2930" t="s">
        <v>6099</v>
      </c>
      <c r="L2930" t="s">
        <v>6100</v>
      </c>
      <c r="M2930" t="s">
        <v>6100</v>
      </c>
      <c r="O2930" t="s">
        <v>6101</v>
      </c>
      <c r="P2930" t="s">
        <v>6111</v>
      </c>
      <c r="Q2930">
        <v>5</v>
      </c>
      <c r="R2930">
        <v>2026</v>
      </c>
      <c r="S2930" t="s">
        <v>6100</v>
      </c>
      <c r="T2930">
        <v>0</v>
      </c>
      <c r="U2930" t="s">
        <v>6018</v>
      </c>
      <c r="V2930">
        <v>1</v>
      </c>
    </row>
    <row r="2931" spans="1:22" x14ac:dyDescent="0.3">
      <c r="A2931" t="s">
        <v>2946</v>
      </c>
      <c r="B2931" s="2">
        <v>46150.347222222219</v>
      </c>
      <c r="C2931" s="2">
        <v>46151.643055555556</v>
      </c>
      <c r="D2931" t="s">
        <v>6028</v>
      </c>
      <c r="E2931" t="s">
        <v>6031</v>
      </c>
      <c r="F2931" t="s">
        <v>6035</v>
      </c>
      <c r="G2931" t="s">
        <v>6058</v>
      </c>
      <c r="H2931" t="s">
        <v>6098</v>
      </c>
      <c r="I2931">
        <v>4</v>
      </c>
      <c r="J2931">
        <v>31.1</v>
      </c>
      <c r="K2931" t="s">
        <v>6099</v>
      </c>
      <c r="L2931" t="s">
        <v>6100</v>
      </c>
      <c r="M2931" t="s">
        <v>6099</v>
      </c>
      <c r="N2931">
        <v>4</v>
      </c>
      <c r="O2931" t="s">
        <v>6101</v>
      </c>
      <c r="P2931" t="s">
        <v>6111</v>
      </c>
      <c r="Q2931">
        <v>5</v>
      </c>
      <c r="R2931">
        <v>2026</v>
      </c>
      <c r="S2931" t="s">
        <v>6100</v>
      </c>
      <c r="T2931">
        <v>0</v>
      </c>
      <c r="U2931" t="s">
        <v>6018</v>
      </c>
      <c r="V2931">
        <v>1</v>
      </c>
    </row>
    <row r="2932" spans="1:22" x14ac:dyDescent="0.3">
      <c r="A2932" t="s">
        <v>2947</v>
      </c>
      <c r="B2932" s="2">
        <v>46150.356249999997</v>
      </c>
      <c r="C2932" s="2">
        <v>46151.160416666666</v>
      </c>
      <c r="D2932" t="s">
        <v>6025</v>
      </c>
      <c r="E2932" t="s">
        <v>6031</v>
      </c>
      <c r="F2932" t="s">
        <v>6034</v>
      </c>
      <c r="G2932" t="s">
        <v>6080</v>
      </c>
      <c r="H2932" t="s">
        <v>6096</v>
      </c>
      <c r="I2932">
        <v>24</v>
      </c>
      <c r="J2932">
        <v>19.3</v>
      </c>
      <c r="K2932" t="s">
        <v>6099</v>
      </c>
      <c r="L2932" t="s">
        <v>6100</v>
      </c>
      <c r="M2932" t="s">
        <v>6100</v>
      </c>
      <c r="N2932">
        <v>5</v>
      </c>
      <c r="O2932" t="s">
        <v>6101</v>
      </c>
      <c r="P2932" t="s">
        <v>6111</v>
      </c>
      <c r="Q2932">
        <v>5</v>
      </c>
      <c r="R2932">
        <v>2026</v>
      </c>
      <c r="S2932" t="s">
        <v>6099</v>
      </c>
      <c r="T2932">
        <v>1</v>
      </c>
      <c r="U2932" t="s">
        <v>6020</v>
      </c>
      <c r="V2932">
        <v>1</v>
      </c>
    </row>
    <row r="2933" spans="1:22" x14ac:dyDescent="0.3">
      <c r="A2933" t="s">
        <v>2948</v>
      </c>
      <c r="B2933" s="2">
        <v>46150.361111111109</v>
      </c>
      <c r="C2933" s="2">
        <v>46153.986111111109</v>
      </c>
      <c r="D2933" t="s">
        <v>6026</v>
      </c>
      <c r="E2933" t="s">
        <v>6031</v>
      </c>
      <c r="F2933" t="s">
        <v>6033</v>
      </c>
      <c r="G2933" t="s">
        <v>6077</v>
      </c>
      <c r="H2933" t="s">
        <v>6098</v>
      </c>
      <c r="I2933">
        <v>72</v>
      </c>
      <c r="J2933">
        <v>87</v>
      </c>
      <c r="K2933" t="s">
        <v>6099</v>
      </c>
      <c r="L2933" t="s">
        <v>6100</v>
      </c>
      <c r="M2933" t="s">
        <v>6100</v>
      </c>
      <c r="N2933">
        <v>5</v>
      </c>
      <c r="O2933" t="s">
        <v>6101</v>
      </c>
      <c r="P2933" t="s">
        <v>6111</v>
      </c>
      <c r="Q2933">
        <v>5</v>
      </c>
      <c r="R2933">
        <v>2026</v>
      </c>
      <c r="S2933" t="s">
        <v>6100</v>
      </c>
      <c r="T2933">
        <v>0</v>
      </c>
      <c r="U2933" t="s">
        <v>6021</v>
      </c>
      <c r="V2933">
        <v>1</v>
      </c>
    </row>
    <row r="2934" spans="1:22" x14ac:dyDescent="0.3">
      <c r="A2934" t="s">
        <v>2949</v>
      </c>
      <c r="B2934" s="2">
        <v>46150.388194444444</v>
      </c>
      <c r="C2934" s="2">
        <v>46151.679861111108</v>
      </c>
      <c r="D2934" t="s">
        <v>6023</v>
      </c>
      <c r="E2934" t="s">
        <v>6032</v>
      </c>
      <c r="F2934" t="s">
        <v>6033</v>
      </c>
      <c r="G2934" t="s">
        <v>6058</v>
      </c>
      <c r="H2934" t="s">
        <v>6098</v>
      </c>
      <c r="I2934">
        <v>72</v>
      </c>
      <c r="J2934">
        <v>31</v>
      </c>
      <c r="K2934" t="s">
        <v>6099</v>
      </c>
      <c r="L2934" t="s">
        <v>6100</v>
      </c>
      <c r="M2934" t="s">
        <v>6100</v>
      </c>
      <c r="N2934">
        <v>5</v>
      </c>
      <c r="O2934" t="s">
        <v>6101</v>
      </c>
      <c r="P2934" t="s">
        <v>6111</v>
      </c>
      <c r="Q2934">
        <v>5</v>
      </c>
      <c r="R2934">
        <v>2026</v>
      </c>
      <c r="S2934" t="s">
        <v>6099</v>
      </c>
      <c r="T2934">
        <v>1</v>
      </c>
      <c r="U2934" t="s">
        <v>6020</v>
      </c>
      <c r="V2934">
        <v>1</v>
      </c>
    </row>
    <row r="2935" spans="1:22" x14ac:dyDescent="0.3">
      <c r="A2935" t="s">
        <v>2950</v>
      </c>
      <c r="B2935" s="2">
        <v>46150.395138888889</v>
      </c>
      <c r="C2935" s="2">
        <v>46151.257638888892</v>
      </c>
      <c r="D2935" t="s">
        <v>6028</v>
      </c>
      <c r="E2935" t="s">
        <v>6032</v>
      </c>
      <c r="F2935" t="s">
        <v>6035</v>
      </c>
      <c r="G2935" t="s">
        <v>6094</v>
      </c>
      <c r="H2935" t="s">
        <v>6098</v>
      </c>
      <c r="I2935">
        <v>4</v>
      </c>
      <c r="J2935">
        <v>20.7</v>
      </c>
      <c r="K2935" t="s">
        <v>6100</v>
      </c>
      <c r="L2935" t="s">
        <v>6099</v>
      </c>
      <c r="M2935" t="s">
        <v>6099</v>
      </c>
      <c r="N2935">
        <v>3</v>
      </c>
      <c r="O2935" t="s">
        <v>6101</v>
      </c>
      <c r="P2935" t="s">
        <v>6111</v>
      </c>
      <c r="Q2935">
        <v>5</v>
      </c>
      <c r="R2935">
        <v>2026</v>
      </c>
      <c r="S2935" t="s">
        <v>6100</v>
      </c>
      <c r="T2935">
        <v>0</v>
      </c>
      <c r="U2935" t="s">
        <v>6020</v>
      </c>
      <c r="V2935">
        <v>0</v>
      </c>
    </row>
    <row r="2936" spans="1:22" x14ac:dyDescent="0.3">
      <c r="A2936" t="s">
        <v>2951</v>
      </c>
      <c r="B2936" s="2">
        <v>46150.397916666669</v>
      </c>
      <c r="C2936" s="2">
        <v>46151.385416666664</v>
      </c>
      <c r="D2936" t="s">
        <v>6025</v>
      </c>
      <c r="E2936" t="s">
        <v>6029</v>
      </c>
      <c r="F2936" t="s">
        <v>6034</v>
      </c>
      <c r="G2936" t="s">
        <v>6059</v>
      </c>
      <c r="H2936" t="s">
        <v>6097</v>
      </c>
      <c r="I2936">
        <v>24</v>
      </c>
      <c r="J2936">
        <v>23.7</v>
      </c>
      <c r="K2936" t="s">
        <v>6099</v>
      </c>
      <c r="L2936" t="s">
        <v>6100</v>
      </c>
      <c r="M2936" t="s">
        <v>6100</v>
      </c>
      <c r="O2936" t="s">
        <v>6101</v>
      </c>
      <c r="P2936" t="s">
        <v>6111</v>
      </c>
      <c r="Q2936">
        <v>5</v>
      </c>
      <c r="R2936">
        <v>2026</v>
      </c>
      <c r="S2936" t="s">
        <v>6099</v>
      </c>
      <c r="T2936">
        <v>1</v>
      </c>
      <c r="U2936" t="s">
        <v>6021</v>
      </c>
      <c r="V2936">
        <v>1</v>
      </c>
    </row>
    <row r="2937" spans="1:22" x14ac:dyDescent="0.3">
      <c r="A2937" t="s">
        <v>2952</v>
      </c>
      <c r="B2937" s="2">
        <v>46150.420138888891</v>
      </c>
      <c r="C2937" s="2">
        <v>46150.740972222222</v>
      </c>
      <c r="D2937" t="s">
        <v>6022</v>
      </c>
      <c r="E2937" t="s">
        <v>6030</v>
      </c>
      <c r="F2937" t="s">
        <v>6034</v>
      </c>
      <c r="G2937" t="s">
        <v>6042</v>
      </c>
      <c r="H2937" t="s">
        <v>6098</v>
      </c>
      <c r="I2937">
        <v>24</v>
      </c>
      <c r="J2937">
        <v>7.7</v>
      </c>
      <c r="K2937" t="s">
        <v>6100</v>
      </c>
      <c r="L2937" t="s">
        <v>6099</v>
      </c>
      <c r="M2937" t="s">
        <v>6100</v>
      </c>
      <c r="O2937" t="s">
        <v>6101</v>
      </c>
      <c r="P2937" t="s">
        <v>6111</v>
      </c>
      <c r="Q2937">
        <v>5</v>
      </c>
      <c r="R2937">
        <v>2026</v>
      </c>
      <c r="S2937" t="s">
        <v>6099</v>
      </c>
      <c r="T2937">
        <v>1</v>
      </c>
      <c r="U2937" t="s">
        <v>6018</v>
      </c>
      <c r="V2937">
        <v>0</v>
      </c>
    </row>
    <row r="2938" spans="1:22" x14ac:dyDescent="0.3">
      <c r="A2938" t="s">
        <v>2953</v>
      </c>
      <c r="B2938" s="2">
        <v>46150.433333333334</v>
      </c>
      <c r="C2938" s="2">
        <v>46151.1</v>
      </c>
      <c r="D2938" t="s">
        <v>6023</v>
      </c>
      <c r="E2938" t="s">
        <v>6029</v>
      </c>
      <c r="F2938" t="s">
        <v>6033</v>
      </c>
      <c r="G2938" t="s">
        <v>6088</v>
      </c>
      <c r="H2938" t="s">
        <v>6097</v>
      </c>
      <c r="I2938">
        <v>72</v>
      </c>
      <c r="J2938">
        <v>16</v>
      </c>
      <c r="K2938" t="s">
        <v>6099</v>
      </c>
      <c r="L2938" t="s">
        <v>6100</v>
      </c>
      <c r="M2938" t="s">
        <v>6100</v>
      </c>
      <c r="N2938">
        <v>5</v>
      </c>
      <c r="O2938" t="s">
        <v>6101</v>
      </c>
      <c r="P2938" t="s">
        <v>6111</v>
      </c>
      <c r="Q2938">
        <v>5</v>
      </c>
      <c r="R2938">
        <v>2026</v>
      </c>
      <c r="S2938" t="s">
        <v>6099</v>
      </c>
      <c r="T2938">
        <v>1</v>
      </c>
      <c r="U2938" t="s">
        <v>6018</v>
      </c>
      <c r="V2938">
        <v>1</v>
      </c>
    </row>
    <row r="2939" spans="1:22" x14ac:dyDescent="0.3">
      <c r="A2939" t="s">
        <v>2954</v>
      </c>
      <c r="B2939" s="2">
        <v>46150.443055555559</v>
      </c>
      <c r="C2939" s="2">
        <v>46150.897222222222</v>
      </c>
      <c r="D2939" t="s">
        <v>6023</v>
      </c>
      <c r="E2939" t="s">
        <v>6032</v>
      </c>
      <c r="F2939" t="s">
        <v>6033</v>
      </c>
      <c r="G2939" t="s">
        <v>6069</v>
      </c>
      <c r="H2939" t="s">
        <v>6098</v>
      </c>
      <c r="I2939">
        <v>72</v>
      </c>
      <c r="J2939">
        <v>10.9</v>
      </c>
      <c r="K2939" t="s">
        <v>6099</v>
      </c>
      <c r="L2939" t="s">
        <v>6100</v>
      </c>
      <c r="M2939" t="s">
        <v>6099</v>
      </c>
      <c r="O2939" t="s">
        <v>6101</v>
      </c>
      <c r="P2939" t="s">
        <v>6111</v>
      </c>
      <c r="Q2939">
        <v>5</v>
      </c>
      <c r="R2939">
        <v>2026</v>
      </c>
      <c r="S2939" t="s">
        <v>6099</v>
      </c>
      <c r="T2939">
        <v>1</v>
      </c>
      <c r="U2939" t="s">
        <v>6021</v>
      </c>
      <c r="V2939">
        <v>1</v>
      </c>
    </row>
    <row r="2940" spans="1:22" x14ac:dyDescent="0.3">
      <c r="A2940" t="s">
        <v>2955</v>
      </c>
      <c r="B2940" s="2">
        <v>46150.444444444445</v>
      </c>
      <c r="C2940" s="2">
        <v>46152.040277777778</v>
      </c>
      <c r="D2940" t="s">
        <v>6025</v>
      </c>
      <c r="E2940" t="s">
        <v>6030</v>
      </c>
      <c r="F2940" t="s">
        <v>6034</v>
      </c>
      <c r="G2940" t="s">
        <v>6062</v>
      </c>
      <c r="H2940" t="s">
        <v>6096</v>
      </c>
      <c r="I2940">
        <v>24</v>
      </c>
      <c r="J2940">
        <v>38.299999999999997</v>
      </c>
      <c r="K2940" t="s">
        <v>6099</v>
      </c>
      <c r="L2940" t="s">
        <v>6100</v>
      </c>
      <c r="M2940" t="s">
        <v>6100</v>
      </c>
      <c r="N2940">
        <v>5</v>
      </c>
      <c r="O2940" t="s">
        <v>6101</v>
      </c>
      <c r="P2940" t="s">
        <v>6111</v>
      </c>
      <c r="Q2940">
        <v>5</v>
      </c>
      <c r="R2940">
        <v>2026</v>
      </c>
      <c r="S2940" t="s">
        <v>6100</v>
      </c>
      <c r="T2940">
        <v>0</v>
      </c>
      <c r="U2940" t="s">
        <v>6021</v>
      </c>
      <c r="V2940">
        <v>1</v>
      </c>
    </row>
    <row r="2941" spans="1:22" x14ac:dyDescent="0.3">
      <c r="A2941" t="s">
        <v>2956</v>
      </c>
      <c r="B2941" s="2">
        <v>46150.466666666667</v>
      </c>
      <c r="C2941" s="2">
        <v>46151.941666666666</v>
      </c>
      <c r="D2941" t="s">
        <v>6025</v>
      </c>
      <c r="E2941" t="s">
        <v>6031</v>
      </c>
      <c r="F2941" t="s">
        <v>6033</v>
      </c>
      <c r="G2941" t="s">
        <v>6072</v>
      </c>
      <c r="H2941" t="s">
        <v>6097</v>
      </c>
      <c r="I2941">
        <v>72</v>
      </c>
      <c r="J2941">
        <v>35.4</v>
      </c>
      <c r="K2941" t="s">
        <v>6099</v>
      </c>
      <c r="L2941" t="s">
        <v>6100</v>
      </c>
      <c r="M2941" t="s">
        <v>6100</v>
      </c>
      <c r="N2941">
        <v>5</v>
      </c>
      <c r="O2941" t="s">
        <v>6101</v>
      </c>
      <c r="P2941" t="s">
        <v>6111</v>
      </c>
      <c r="Q2941">
        <v>5</v>
      </c>
      <c r="R2941">
        <v>2026</v>
      </c>
      <c r="S2941" t="s">
        <v>6099</v>
      </c>
      <c r="T2941">
        <v>1</v>
      </c>
      <c r="U2941" t="s">
        <v>6019</v>
      </c>
      <c r="V2941">
        <v>1</v>
      </c>
    </row>
    <row r="2942" spans="1:22" x14ac:dyDescent="0.3">
      <c r="A2942" t="s">
        <v>2957</v>
      </c>
      <c r="B2942" s="2">
        <v>46150.484722222223</v>
      </c>
      <c r="C2942" s="2">
        <v>46150.788888888892</v>
      </c>
      <c r="D2942" t="s">
        <v>6028</v>
      </c>
      <c r="E2942" t="s">
        <v>6029</v>
      </c>
      <c r="F2942" t="s">
        <v>6034</v>
      </c>
      <c r="G2942" t="s">
        <v>6058</v>
      </c>
      <c r="H2942" t="s">
        <v>6098</v>
      </c>
      <c r="I2942">
        <v>24</v>
      </c>
      <c r="J2942">
        <v>7.3</v>
      </c>
      <c r="K2942" t="s">
        <v>6099</v>
      </c>
      <c r="L2942" t="s">
        <v>6100</v>
      </c>
      <c r="M2942" t="s">
        <v>6100</v>
      </c>
      <c r="N2942">
        <v>4</v>
      </c>
      <c r="O2942" t="s">
        <v>6101</v>
      </c>
      <c r="P2942" t="s">
        <v>6111</v>
      </c>
      <c r="Q2942">
        <v>5</v>
      </c>
      <c r="R2942">
        <v>2026</v>
      </c>
      <c r="S2942" t="s">
        <v>6099</v>
      </c>
      <c r="T2942">
        <v>1</v>
      </c>
      <c r="U2942" t="s">
        <v>6021</v>
      </c>
      <c r="V2942">
        <v>1</v>
      </c>
    </row>
    <row r="2943" spans="1:22" x14ac:dyDescent="0.3">
      <c r="A2943" t="s">
        <v>2958</v>
      </c>
      <c r="B2943" s="2">
        <v>46150.496527777781</v>
      </c>
      <c r="C2943" s="2">
        <v>46151.313194444447</v>
      </c>
      <c r="D2943" t="s">
        <v>6026</v>
      </c>
      <c r="E2943" t="s">
        <v>6030</v>
      </c>
      <c r="F2943" t="s">
        <v>6033</v>
      </c>
      <c r="G2943" t="s">
        <v>6079</v>
      </c>
      <c r="H2943" t="s">
        <v>6097</v>
      </c>
      <c r="I2943">
        <v>72</v>
      </c>
      <c r="J2943">
        <v>19.600000000000001</v>
      </c>
      <c r="K2943" t="s">
        <v>6099</v>
      </c>
      <c r="L2943" t="s">
        <v>6100</v>
      </c>
      <c r="M2943" t="s">
        <v>6100</v>
      </c>
      <c r="O2943" t="s">
        <v>6101</v>
      </c>
      <c r="P2943" t="s">
        <v>6111</v>
      </c>
      <c r="Q2943">
        <v>5</v>
      </c>
      <c r="R2943">
        <v>2026</v>
      </c>
      <c r="S2943" t="s">
        <v>6099</v>
      </c>
      <c r="T2943">
        <v>1</v>
      </c>
      <c r="U2943" t="s">
        <v>6019</v>
      </c>
      <c r="V2943">
        <v>1</v>
      </c>
    </row>
    <row r="2944" spans="1:22" x14ac:dyDescent="0.3">
      <c r="A2944" t="s">
        <v>2959</v>
      </c>
      <c r="B2944" s="2">
        <v>46150.522222222222</v>
      </c>
      <c r="C2944" s="2">
        <v>46150.68472222222</v>
      </c>
      <c r="D2944" t="s">
        <v>6024</v>
      </c>
      <c r="E2944" t="s">
        <v>6030</v>
      </c>
      <c r="F2944" t="s">
        <v>6035</v>
      </c>
      <c r="G2944" t="s">
        <v>6077</v>
      </c>
      <c r="H2944" t="s">
        <v>6098</v>
      </c>
      <c r="I2944">
        <v>4</v>
      </c>
      <c r="J2944">
        <v>3.9</v>
      </c>
      <c r="K2944" t="s">
        <v>6099</v>
      </c>
      <c r="L2944" t="s">
        <v>6100</v>
      </c>
      <c r="M2944" t="s">
        <v>6100</v>
      </c>
      <c r="N2944">
        <v>5</v>
      </c>
      <c r="O2944" t="s">
        <v>6101</v>
      </c>
      <c r="P2944" t="s">
        <v>6111</v>
      </c>
      <c r="Q2944">
        <v>5</v>
      </c>
      <c r="R2944">
        <v>2026</v>
      </c>
      <c r="S2944" t="s">
        <v>6099</v>
      </c>
      <c r="T2944">
        <v>1</v>
      </c>
      <c r="U2944" t="s">
        <v>6017</v>
      </c>
      <c r="V2944">
        <v>1</v>
      </c>
    </row>
    <row r="2945" spans="1:22" x14ac:dyDescent="0.3">
      <c r="A2945" t="s">
        <v>2960</v>
      </c>
      <c r="B2945" s="2">
        <v>46150.544444444444</v>
      </c>
      <c r="C2945" s="2">
        <v>46151.186111111114</v>
      </c>
      <c r="D2945" t="s">
        <v>6028</v>
      </c>
      <c r="E2945" t="s">
        <v>6029</v>
      </c>
      <c r="F2945" t="s">
        <v>6035</v>
      </c>
      <c r="G2945" t="s">
        <v>6037</v>
      </c>
      <c r="H2945" t="s">
        <v>6096</v>
      </c>
      <c r="I2945">
        <v>4</v>
      </c>
      <c r="J2945">
        <v>15.4</v>
      </c>
      <c r="K2945" t="s">
        <v>6099</v>
      </c>
      <c r="L2945" t="s">
        <v>6100</v>
      </c>
      <c r="M2945" t="s">
        <v>6100</v>
      </c>
      <c r="O2945" t="s">
        <v>6101</v>
      </c>
      <c r="P2945" t="s">
        <v>6111</v>
      </c>
      <c r="Q2945">
        <v>5</v>
      </c>
      <c r="R2945">
        <v>2026</v>
      </c>
      <c r="S2945" t="s">
        <v>6100</v>
      </c>
      <c r="T2945">
        <v>0</v>
      </c>
      <c r="U2945" t="s">
        <v>6020</v>
      </c>
      <c r="V2945">
        <v>1</v>
      </c>
    </row>
    <row r="2946" spans="1:22" x14ac:dyDescent="0.3">
      <c r="A2946" t="s">
        <v>2961</v>
      </c>
      <c r="B2946" s="2">
        <v>46150.557638888888</v>
      </c>
      <c r="C2946" s="2">
        <v>46150.682638888888</v>
      </c>
      <c r="D2946" t="s">
        <v>6023</v>
      </c>
      <c r="E2946" t="s">
        <v>6029</v>
      </c>
      <c r="F2946" t="s">
        <v>6033</v>
      </c>
      <c r="G2946" t="s">
        <v>6062</v>
      </c>
      <c r="H2946" t="s">
        <v>6096</v>
      </c>
      <c r="I2946">
        <v>72</v>
      </c>
      <c r="J2946">
        <v>3</v>
      </c>
      <c r="K2946" t="s">
        <v>6099</v>
      </c>
      <c r="L2946" t="s">
        <v>6100</v>
      </c>
      <c r="M2946" t="s">
        <v>6100</v>
      </c>
      <c r="N2946">
        <v>5</v>
      </c>
      <c r="O2946" t="s">
        <v>6101</v>
      </c>
      <c r="P2946" t="s">
        <v>6111</v>
      </c>
      <c r="Q2946">
        <v>5</v>
      </c>
      <c r="R2946">
        <v>2026</v>
      </c>
      <c r="S2946" t="s">
        <v>6099</v>
      </c>
      <c r="T2946">
        <v>1</v>
      </c>
      <c r="U2946" t="s">
        <v>6020</v>
      </c>
      <c r="V2946">
        <v>1</v>
      </c>
    </row>
    <row r="2947" spans="1:22" x14ac:dyDescent="0.3">
      <c r="A2947" t="s">
        <v>2962</v>
      </c>
      <c r="B2947" s="2">
        <v>46150.579861111109</v>
      </c>
      <c r="C2947" s="2">
        <v>46151.579861111109</v>
      </c>
      <c r="D2947" t="s">
        <v>6022</v>
      </c>
      <c r="E2947" t="s">
        <v>6029</v>
      </c>
      <c r="F2947" t="s">
        <v>6034</v>
      </c>
      <c r="G2947" t="s">
        <v>6055</v>
      </c>
      <c r="H2947" t="s">
        <v>6096</v>
      </c>
      <c r="I2947">
        <v>24</v>
      </c>
      <c r="J2947">
        <v>24</v>
      </c>
      <c r="K2947" t="s">
        <v>6099</v>
      </c>
      <c r="L2947" t="s">
        <v>6100</v>
      </c>
      <c r="M2947" t="s">
        <v>6100</v>
      </c>
      <c r="O2947" t="s">
        <v>6101</v>
      </c>
      <c r="P2947" t="s">
        <v>6111</v>
      </c>
      <c r="Q2947">
        <v>5</v>
      </c>
      <c r="R2947">
        <v>2026</v>
      </c>
      <c r="S2947" t="s">
        <v>6099</v>
      </c>
      <c r="T2947">
        <v>1</v>
      </c>
      <c r="U2947" t="s">
        <v>6018</v>
      </c>
      <c r="V2947">
        <v>1</v>
      </c>
    </row>
    <row r="2948" spans="1:22" x14ac:dyDescent="0.3">
      <c r="A2948" t="s">
        <v>2963</v>
      </c>
      <c r="B2948" s="2">
        <v>46150.602777777778</v>
      </c>
      <c r="C2948" s="2">
        <v>46150.694444444445</v>
      </c>
      <c r="D2948" t="s">
        <v>6027</v>
      </c>
      <c r="E2948" t="s">
        <v>6030</v>
      </c>
      <c r="F2948" t="s">
        <v>6033</v>
      </c>
      <c r="G2948" t="s">
        <v>6088</v>
      </c>
      <c r="H2948" t="s">
        <v>6097</v>
      </c>
      <c r="I2948">
        <v>72</v>
      </c>
      <c r="J2948">
        <v>2.2000000000000002</v>
      </c>
      <c r="K2948" t="s">
        <v>6100</v>
      </c>
      <c r="L2948" t="s">
        <v>6100</v>
      </c>
      <c r="M2948" t="s">
        <v>6100</v>
      </c>
      <c r="O2948" t="s">
        <v>6101</v>
      </c>
      <c r="P2948" t="s">
        <v>6111</v>
      </c>
      <c r="Q2948">
        <v>5</v>
      </c>
      <c r="R2948">
        <v>2026</v>
      </c>
      <c r="S2948" t="s">
        <v>6099</v>
      </c>
      <c r="T2948">
        <v>1</v>
      </c>
      <c r="U2948" t="s">
        <v>6020</v>
      </c>
      <c r="V2948">
        <v>0</v>
      </c>
    </row>
    <row r="2949" spans="1:22" x14ac:dyDescent="0.3">
      <c r="A2949" t="s">
        <v>2964</v>
      </c>
      <c r="B2949" s="2">
        <v>46150.61041666667</v>
      </c>
      <c r="C2949" s="2">
        <v>46154.197916666664</v>
      </c>
      <c r="D2949" t="s">
        <v>6022</v>
      </c>
      <c r="E2949" t="s">
        <v>6032</v>
      </c>
      <c r="F2949" t="s">
        <v>6034</v>
      </c>
      <c r="G2949" t="s">
        <v>6069</v>
      </c>
      <c r="H2949" t="s">
        <v>6098</v>
      </c>
      <c r="I2949">
        <v>24</v>
      </c>
      <c r="J2949">
        <v>86.1</v>
      </c>
      <c r="K2949" t="s">
        <v>6099</v>
      </c>
      <c r="L2949" t="s">
        <v>6100</v>
      </c>
      <c r="M2949" t="s">
        <v>6100</v>
      </c>
      <c r="N2949">
        <v>4</v>
      </c>
      <c r="O2949" t="s">
        <v>6101</v>
      </c>
      <c r="P2949" t="s">
        <v>6111</v>
      </c>
      <c r="Q2949">
        <v>5</v>
      </c>
      <c r="R2949">
        <v>2026</v>
      </c>
      <c r="S2949" t="s">
        <v>6100</v>
      </c>
      <c r="T2949">
        <v>0</v>
      </c>
      <c r="U2949" t="s">
        <v>6020</v>
      </c>
      <c r="V2949">
        <v>1</v>
      </c>
    </row>
    <row r="2950" spans="1:22" x14ac:dyDescent="0.3">
      <c r="A2950" t="s">
        <v>2965</v>
      </c>
      <c r="B2950" s="2">
        <v>46150.632638888892</v>
      </c>
      <c r="C2950" s="2">
        <v>46150.695138888892</v>
      </c>
      <c r="D2950" t="s">
        <v>6023</v>
      </c>
      <c r="E2950" t="s">
        <v>6029</v>
      </c>
      <c r="F2950" t="s">
        <v>6033</v>
      </c>
      <c r="G2950" t="s">
        <v>6060</v>
      </c>
      <c r="H2950" t="s">
        <v>6097</v>
      </c>
      <c r="I2950">
        <v>72</v>
      </c>
      <c r="J2950">
        <v>1.5</v>
      </c>
      <c r="K2950" t="s">
        <v>6099</v>
      </c>
      <c r="L2950" t="s">
        <v>6100</v>
      </c>
      <c r="M2950" t="s">
        <v>6100</v>
      </c>
      <c r="N2950">
        <v>4</v>
      </c>
      <c r="O2950" t="s">
        <v>6101</v>
      </c>
      <c r="P2950" t="s">
        <v>6111</v>
      </c>
      <c r="Q2950">
        <v>5</v>
      </c>
      <c r="R2950">
        <v>2026</v>
      </c>
      <c r="S2950" t="s">
        <v>6099</v>
      </c>
      <c r="T2950">
        <v>1</v>
      </c>
      <c r="U2950" t="s">
        <v>6021</v>
      </c>
      <c r="V2950">
        <v>1</v>
      </c>
    </row>
    <row r="2951" spans="1:22" x14ac:dyDescent="0.3">
      <c r="A2951" t="s">
        <v>2966</v>
      </c>
      <c r="B2951" s="2">
        <v>46150.655555555553</v>
      </c>
      <c r="C2951" s="2">
        <v>46151.176388888889</v>
      </c>
      <c r="D2951" t="s">
        <v>6022</v>
      </c>
      <c r="E2951" t="s">
        <v>6029</v>
      </c>
      <c r="F2951" t="s">
        <v>6033</v>
      </c>
      <c r="G2951" t="s">
        <v>6063</v>
      </c>
      <c r="H2951" t="s">
        <v>6097</v>
      </c>
      <c r="I2951">
        <v>72</v>
      </c>
      <c r="J2951">
        <v>12.5</v>
      </c>
      <c r="K2951" t="s">
        <v>6100</v>
      </c>
      <c r="L2951" t="s">
        <v>6099</v>
      </c>
      <c r="M2951" t="s">
        <v>6100</v>
      </c>
      <c r="O2951" t="s">
        <v>6101</v>
      </c>
      <c r="P2951" t="s">
        <v>6111</v>
      </c>
      <c r="Q2951">
        <v>5</v>
      </c>
      <c r="R2951">
        <v>2026</v>
      </c>
      <c r="S2951" t="s">
        <v>6099</v>
      </c>
      <c r="T2951">
        <v>1</v>
      </c>
      <c r="U2951" t="s">
        <v>6017</v>
      </c>
      <c r="V2951">
        <v>0</v>
      </c>
    </row>
    <row r="2952" spans="1:22" x14ac:dyDescent="0.3">
      <c r="A2952" t="s">
        <v>2967</v>
      </c>
      <c r="B2952" s="2">
        <v>46150.662499999999</v>
      </c>
      <c r="C2952" s="2">
        <v>46153.737500000003</v>
      </c>
      <c r="D2952" t="s">
        <v>6025</v>
      </c>
      <c r="E2952" t="s">
        <v>6031</v>
      </c>
      <c r="F2952" t="s">
        <v>6034</v>
      </c>
      <c r="G2952" t="s">
        <v>6061</v>
      </c>
      <c r="H2952" t="s">
        <v>6096</v>
      </c>
      <c r="I2952">
        <v>24</v>
      </c>
      <c r="J2952">
        <v>73.8</v>
      </c>
      <c r="K2952" t="s">
        <v>6100</v>
      </c>
      <c r="L2952" t="s">
        <v>6100</v>
      </c>
      <c r="M2952" t="s">
        <v>6100</v>
      </c>
      <c r="O2952" t="s">
        <v>6101</v>
      </c>
      <c r="P2952" t="s">
        <v>6111</v>
      </c>
      <c r="Q2952">
        <v>5</v>
      </c>
      <c r="R2952">
        <v>2026</v>
      </c>
      <c r="S2952" t="s">
        <v>6100</v>
      </c>
      <c r="T2952">
        <v>0</v>
      </c>
      <c r="U2952" t="s">
        <v>6017</v>
      </c>
      <c r="V2952">
        <v>0</v>
      </c>
    </row>
    <row r="2953" spans="1:22" x14ac:dyDescent="0.3">
      <c r="A2953" t="s">
        <v>2968</v>
      </c>
      <c r="B2953" s="2">
        <v>46150.774305555555</v>
      </c>
      <c r="C2953" s="2">
        <v>46151.799305555556</v>
      </c>
      <c r="D2953" t="s">
        <v>6022</v>
      </c>
      <c r="E2953" t="s">
        <v>6030</v>
      </c>
      <c r="F2953" t="s">
        <v>6034</v>
      </c>
      <c r="G2953" t="s">
        <v>6036</v>
      </c>
      <c r="H2953" t="s">
        <v>6096</v>
      </c>
      <c r="I2953">
        <v>24</v>
      </c>
      <c r="J2953">
        <v>24.6</v>
      </c>
      <c r="K2953" t="s">
        <v>6100</v>
      </c>
      <c r="L2953" t="s">
        <v>6100</v>
      </c>
      <c r="M2953" t="s">
        <v>6100</v>
      </c>
      <c r="O2953" t="s">
        <v>6101</v>
      </c>
      <c r="P2953" t="s">
        <v>6111</v>
      </c>
      <c r="Q2953">
        <v>5</v>
      </c>
      <c r="R2953">
        <v>2026</v>
      </c>
      <c r="S2953" t="s">
        <v>6100</v>
      </c>
      <c r="T2953">
        <v>0</v>
      </c>
      <c r="U2953" t="s">
        <v>6020</v>
      </c>
      <c r="V2953">
        <v>0</v>
      </c>
    </row>
    <row r="2954" spans="1:22" x14ac:dyDescent="0.3">
      <c r="A2954" t="s">
        <v>2969</v>
      </c>
      <c r="B2954" s="2">
        <v>46151.066666666666</v>
      </c>
      <c r="C2954" s="2">
        <v>46151.529166666667</v>
      </c>
      <c r="D2954" t="s">
        <v>6024</v>
      </c>
      <c r="E2954" t="s">
        <v>6029</v>
      </c>
      <c r="F2954" t="s">
        <v>6034</v>
      </c>
      <c r="G2954" t="s">
        <v>6086</v>
      </c>
      <c r="H2954" t="s">
        <v>6098</v>
      </c>
      <c r="I2954">
        <v>24</v>
      </c>
      <c r="J2954">
        <v>11.1</v>
      </c>
      <c r="K2954" t="s">
        <v>6099</v>
      </c>
      <c r="L2954" t="s">
        <v>6100</v>
      </c>
      <c r="M2954" t="s">
        <v>6100</v>
      </c>
      <c r="N2954">
        <v>5</v>
      </c>
      <c r="O2954" t="s">
        <v>6101</v>
      </c>
      <c r="P2954" t="s">
        <v>6111</v>
      </c>
      <c r="Q2954">
        <v>5</v>
      </c>
      <c r="R2954">
        <v>2026</v>
      </c>
      <c r="S2954" t="s">
        <v>6099</v>
      </c>
      <c r="T2954">
        <v>1</v>
      </c>
      <c r="U2954" t="s">
        <v>6018</v>
      </c>
      <c r="V2954">
        <v>1</v>
      </c>
    </row>
    <row r="2955" spans="1:22" x14ac:dyDescent="0.3">
      <c r="A2955" t="s">
        <v>2970</v>
      </c>
      <c r="B2955" s="2">
        <v>46151.201388888891</v>
      </c>
      <c r="C2955" s="2">
        <v>46151.772222222222</v>
      </c>
      <c r="D2955" t="s">
        <v>6028</v>
      </c>
      <c r="E2955" t="s">
        <v>6032</v>
      </c>
      <c r="F2955" t="s">
        <v>6034</v>
      </c>
      <c r="G2955" t="s">
        <v>6083</v>
      </c>
      <c r="H2955" t="s">
        <v>6096</v>
      </c>
      <c r="I2955">
        <v>24</v>
      </c>
      <c r="J2955">
        <v>13.7</v>
      </c>
      <c r="K2955" t="s">
        <v>6100</v>
      </c>
      <c r="L2955" t="s">
        <v>6099</v>
      </c>
      <c r="M2955" t="s">
        <v>6100</v>
      </c>
      <c r="N2955">
        <v>5</v>
      </c>
      <c r="O2955" t="s">
        <v>6101</v>
      </c>
      <c r="P2955" t="s">
        <v>6111</v>
      </c>
      <c r="Q2955">
        <v>5</v>
      </c>
      <c r="R2955">
        <v>2026</v>
      </c>
      <c r="S2955" t="s">
        <v>6099</v>
      </c>
      <c r="T2955">
        <v>1</v>
      </c>
      <c r="U2955" t="s">
        <v>6021</v>
      </c>
      <c r="V2955">
        <v>0</v>
      </c>
    </row>
    <row r="2956" spans="1:22" x14ac:dyDescent="0.3">
      <c r="A2956" t="s">
        <v>2971</v>
      </c>
      <c r="B2956" s="2">
        <v>46151.247916666667</v>
      </c>
      <c r="C2956" s="2">
        <v>46151.618750000001</v>
      </c>
      <c r="D2956" t="s">
        <v>6027</v>
      </c>
      <c r="E2956" t="s">
        <v>6030</v>
      </c>
      <c r="F2956" t="s">
        <v>6034</v>
      </c>
      <c r="G2956" t="s">
        <v>6073</v>
      </c>
      <c r="H2956" t="s">
        <v>6096</v>
      </c>
      <c r="I2956">
        <v>24</v>
      </c>
      <c r="J2956">
        <v>8.9</v>
      </c>
      <c r="K2956" t="s">
        <v>6099</v>
      </c>
      <c r="L2956" t="s">
        <v>6100</v>
      </c>
      <c r="M2956" t="s">
        <v>6100</v>
      </c>
      <c r="N2956">
        <v>5</v>
      </c>
      <c r="O2956" t="s">
        <v>6101</v>
      </c>
      <c r="P2956" t="s">
        <v>6111</v>
      </c>
      <c r="Q2956">
        <v>5</v>
      </c>
      <c r="R2956">
        <v>2026</v>
      </c>
      <c r="S2956" t="s">
        <v>6099</v>
      </c>
      <c r="T2956">
        <v>1</v>
      </c>
      <c r="U2956" t="s">
        <v>6021</v>
      </c>
      <c r="V2956">
        <v>1</v>
      </c>
    </row>
    <row r="2957" spans="1:22" x14ac:dyDescent="0.3">
      <c r="A2957" t="s">
        <v>2972</v>
      </c>
      <c r="B2957" s="2">
        <v>46151.269444444442</v>
      </c>
      <c r="C2957" s="2">
        <v>46152.011111111111</v>
      </c>
      <c r="D2957" t="s">
        <v>6025</v>
      </c>
      <c r="E2957" t="s">
        <v>6030</v>
      </c>
      <c r="F2957" t="s">
        <v>6034</v>
      </c>
      <c r="G2957" t="s">
        <v>6083</v>
      </c>
      <c r="H2957" t="s">
        <v>6096</v>
      </c>
      <c r="I2957">
        <v>24</v>
      </c>
      <c r="J2957">
        <v>17.8</v>
      </c>
      <c r="K2957" t="s">
        <v>6099</v>
      </c>
      <c r="L2957" t="s">
        <v>6100</v>
      </c>
      <c r="M2957" t="s">
        <v>6100</v>
      </c>
      <c r="O2957" t="s">
        <v>6101</v>
      </c>
      <c r="P2957" t="s">
        <v>6111</v>
      </c>
      <c r="Q2957">
        <v>5</v>
      </c>
      <c r="R2957">
        <v>2026</v>
      </c>
      <c r="S2957" t="s">
        <v>6099</v>
      </c>
      <c r="T2957">
        <v>1</v>
      </c>
      <c r="U2957" t="s">
        <v>6021</v>
      </c>
      <c r="V2957">
        <v>1</v>
      </c>
    </row>
    <row r="2958" spans="1:22" x14ac:dyDescent="0.3">
      <c r="A2958" t="s">
        <v>2973</v>
      </c>
      <c r="B2958" s="2">
        <v>46151.318055555559</v>
      </c>
      <c r="C2958" s="2">
        <v>46152.213888888888</v>
      </c>
      <c r="D2958" t="s">
        <v>6028</v>
      </c>
      <c r="E2958" t="s">
        <v>6029</v>
      </c>
      <c r="F2958" t="s">
        <v>6035</v>
      </c>
      <c r="G2958" t="s">
        <v>6073</v>
      </c>
      <c r="H2958" t="s">
        <v>6096</v>
      </c>
      <c r="I2958">
        <v>4</v>
      </c>
      <c r="J2958">
        <v>21.5</v>
      </c>
      <c r="K2958" t="s">
        <v>6100</v>
      </c>
      <c r="L2958" t="s">
        <v>6099</v>
      </c>
      <c r="M2958" t="s">
        <v>6100</v>
      </c>
      <c r="N2958">
        <v>3</v>
      </c>
      <c r="O2958" t="s">
        <v>6101</v>
      </c>
      <c r="P2958" t="s">
        <v>6111</v>
      </c>
      <c r="Q2958">
        <v>5</v>
      </c>
      <c r="R2958">
        <v>2026</v>
      </c>
      <c r="S2958" t="s">
        <v>6100</v>
      </c>
      <c r="T2958">
        <v>0</v>
      </c>
      <c r="U2958" t="s">
        <v>6019</v>
      </c>
      <c r="V2958">
        <v>0</v>
      </c>
    </row>
    <row r="2959" spans="1:22" x14ac:dyDescent="0.3">
      <c r="A2959" t="s">
        <v>2974</v>
      </c>
      <c r="B2959" s="2">
        <v>46151.38958333333</v>
      </c>
      <c r="C2959" s="2">
        <v>46151.881249999999</v>
      </c>
      <c r="D2959" t="s">
        <v>6028</v>
      </c>
      <c r="E2959" t="s">
        <v>6032</v>
      </c>
      <c r="F2959" t="s">
        <v>6034</v>
      </c>
      <c r="G2959" t="s">
        <v>6068</v>
      </c>
      <c r="H2959" t="s">
        <v>6098</v>
      </c>
      <c r="I2959">
        <v>24</v>
      </c>
      <c r="J2959">
        <v>11.8</v>
      </c>
      <c r="K2959" t="s">
        <v>6100</v>
      </c>
      <c r="L2959" t="s">
        <v>6099</v>
      </c>
      <c r="M2959" t="s">
        <v>6100</v>
      </c>
      <c r="O2959" t="s">
        <v>6101</v>
      </c>
      <c r="P2959" t="s">
        <v>6111</v>
      </c>
      <c r="Q2959">
        <v>5</v>
      </c>
      <c r="R2959">
        <v>2026</v>
      </c>
      <c r="S2959" t="s">
        <v>6099</v>
      </c>
      <c r="T2959">
        <v>1</v>
      </c>
      <c r="U2959" t="s">
        <v>6020</v>
      </c>
      <c r="V2959">
        <v>0</v>
      </c>
    </row>
    <row r="2960" spans="1:22" x14ac:dyDescent="0.3">
      <c r="A2960" t="s">
        <v>2975</v>
      </c>
      <c r="B2960" s="2">
        <v>46151.39166666667</v>
      </c>
      <c r="C2960" s="2">
        <v>46151.912499999999</v>
      </c>
      <c r="D2960" t="s">
        <v>6023</v>
      </c>
      <c r="E2960" t="s">
        <v>6029</v>
      </c>
      <c r="F2960" t="s">
        <v>6034</v>
      </c>
      <c r="G2960" t="s">
        <v>6072</v>
      </c>
      <c r="H2960" t="s">
        <v>6097</v>
      </c>
      <c r="I2960">
        <v>24</v>
      </c>
      <c r="J2960">
        <v>12.5</v>
      </c>
      <c r="K2960" t="s">
        <v>6099</v>
      </c>
      <c r="L2960" t="s">
        <v>6100</v>
      </c>
      <c r="M2960" t="s">
        <v>6100</v>
      </c>
      <c r="O2960" t="s">
        <v>6101</v>
      </c>
      <c r="P2960" t="s">
        <v>6111</v>
      </c>
      <c r="Q2960">
        <v>5</v>
      </c>
      <c r="R2960">
        <v>2026</v>
      </c>
      <c r="S2960" t="s">
        <v>6099</v>
      </c>
      <c r="T2960">
        <v>1</v>
      </c>
      <c r="U2960" t="s">
        <v>6018</v>
      </c>
      <c r="V2960">
        <v>1</v>
      </c>
    </row>
    <row r="2961" spans="1:22" x14ac:dyDescent="0.3">
      <c r="A2961" t="s">
        <v>2976</v>
      </c>
      <c r="B2961" s="2">
        <v>46151.396527777775</v>
      </c>
      <c r="C2961" s="2">
        <v>46152.767361111109</v>
      </c>
      <c r="D2961" t="s">
        <v>6024</v>
      </c>
      <c r="E2961" t="s">
        <v>6031</v>
      </c>
      <c r="F2961" t="s">
        <v>6033</v>
      </c>
      <c r="G2961" t="s">
        <v>6069</v>
      </c>
      <c r="H2961" t="s">
        <v>6098</v>
      </c>
      <c r="I2961">
        <v>72</v>
      </c>
      <c r="J2961">
        <v>32.9</v>
      </c>
      <c r="K2961" t="s">
        <v>6099</v>
      </c>
      <c r="L2961" t="s">
        <v>6100</v>
      </c>
      <c r="M2961" t="s">
        <v>6100</v>
      </c>
      <c r="O2961" t="s">
        <v>6101</v>
      </c>
      <c r="P2961" t="s">
        <v>6111</v>
      </c>
      <c r="Q2961">
        <v>5</v>
      </c>
      <c r="R2961">
        <v>2026</v>
      </c>
      <c r="S2961" t="s">
        <v>6099</v>
      </c>
      <c r="T2961">
        <v>1</v>
      </c>
      <c r="U2961" t="s">
        <v>6018</v>
      </c>
      <c r="V2961">
        <v>1</v>
      </c>
    </row>
    <row r="2962" spans="1:22" x14ac:dyDescent="0.3">
      <c r="A2962" t="s">
        <v>2977</v>
      </c>
      <c r="B2962" s="2">
        <v>46151.397222222222</v>
      </c>
      <c r="C2962" s="2">
        <v>46153.526388888888</v>
      </c>
      <c r="D2962" t="s">
        <v>6028</v>
      </c>
      <c r="E2962" t="s">
        <v>6031</v>
      </c>
      <c r="F2962" t="s">
        <v>6033</v>
      </c>
      <c r="G2962" t="s">
        <v>6045</v>
      </c>
      <c r="H2962" t="s">
        <v>6096</v>
      </c>
      <c r="I2962">
        <v>72</v>
      </c>
      <c r="J2962">
        <v>51.1</v>
      </c>
      <c r="K2962" t="s">
        <v>6099</v>
      </c>
      <c r="L2962" t="s">
        <v>6100</v>
      </c>
      <c r="M2962" t="s">
        <v>6099</v>
      </c>
      <c r="N2962">
        <v>3</v>
      </c>
      <c r="O2962" t="s">
        <v>6101</v>
      </c>
      <c r="P2962" t="s">
        <v>6111</v>
      </c>
      <c r="Q2962">
        <v>5</v>
      </c>
      <c r="R2962">
        <v>2026</v>
      </c>
      <c r="S2962" t="s">
        <v>6099</v>
      </c>
      <c r="T2962">
        <v>1</v>
      </c>
      <c r="U2962" t="s">
        <v>6021</v>
      </c>
      <c r="V2962">
        <v>1</v>
      </c>
    </row>
    <row r="2963" spans="1:22" x14ac:dyDescent="0.3">
      <c r="A2963" t="s">
        <v>2978</v>
      </c>
      <c r="B2963" s="2">
        <v>46151.412499999999</v>
      </c>
      <c r="C2963" s="2">
        <v>46151.745833333334</v>
      </c>
      <c r="D2963" t="s">
        <v>6028</v>
      </c>
      <c r="E2963" t="s">
        <v>6031</v>
      </c>
      <c r="F2963" t="s">
        <v>6035</v>
      </c>
      <c r="G2963" t="s">
        <v>6049</v>
      </c>
      <c r="H2963" t="s">
        <v>6097</v>
      </c>
      <c r="I2963">
        <v>4</v>
      </c>
      <c r="J2963">
        <v>8</v>
      </c>
      <c r="K2963" t="s">
        <v>6100</v>
      </c>
      <c r="L2963" t="s">
        <v>6100</v>
      </c>
      <c r="M2963" t="s">
        <v>6099</v>
      </c>
      <c r="N2963">
        <v>3</v>
      </c>
      <c r="O2963" t="s">
        <v>6101</v>
      </c>
      <c r="P2963" t="s">
        <v>6111</v>
      </c>
      <c r="Q2963">
        <v>5</v>
      </c>
      <c r="R2963">
        <v>2026</v>
      </c>
      <c r="S2963" t="s">
        <v>6100</v>
      </c>
      <c r="T2963">
        <v>0</v>
      </c>
      <c r="U2963" t="s">
        <v>6017</v>
      </c>
      <c r="V2963">
        <v>0</v>
      </c>
    </row>
    <row r="2964" spans="1:22" x14ac:dyDescent="0.3">
      <c r="A2964" t="s">
        <v>2979</v>
      </c>
      <c r="B2964" s="2">
        <v>46151.486111111109</v>
      </c>
      <c r="C2964" s="2">
        <v>46151.581944444442</v>
      </c>
      <c r="D2964" t="s">
        <v>6023</v>
      </c>
      <c r="E2964" t="s">
        <v>6030</v>
      </c>
      <c r="F2964" t="s">
        <v>6034</v>
      </c>
      <c r="G2964" t="s">
        <v>6065</v>
      </c>
      <c r="H2964" t="s">
        <v>6097</v>
      </c>
      <c r="I2964">
        <v>24</v>
      </c>
      <c r="J2964">
        <v>2.2999999999999998</v>
      </c>
      <c r="K2964" t="s">
        <v>6099</v>
      </c>
      <c r="L2964" t="s">
        <v>6100</v>
      </c>
      <c r="M2964" t="s">
        <v>6100</v>
      </c>
      <c r="N2964">
        <v>5</v>
      </c>
      <c r="O2964" t="s">
        <v>6101</v>
      </c>
      <c r="P2964" t="s">
        <v>6111</v>
      </c>
      <c r="Q2964">
        <v>5</v>
      </c>
      <c r="R2964">
        <v>2026</v>
      </c>
      <c r="S2964" t="s">
        <v>6099</v>
      </c>
      <c r="T2964">
        <v>1</v>
      </c>
      <c r="U2964" t="s">
        <v>6018</v>
      </c>
      <c r="V2964">
        <v>1</v>
      </c>
    </row>
    <row r="2965" spans="1:22" x14ac:dyDescent="0.3">
      <c r="A2965" t="s">
        <v>2980</v>
      </c>
      <c r="B2965" s="2">
        <v>46151.518055555556</v>
      </c>
      <c r="C2965" s="2">
        <v>46151.888888888891</v>
      </c>
      <c r="D2965" t="s">
        <v>6023</v>
      </c>
      <c r="E2965" t="s">
        <v>6032</v>
      </c>
      <c r="F2965" t="s">
        <v>6034</v>
      </c>
      <c r="G2965" t="s">
        <v>6069</v>
      </c>
      <c r="H2965" t="s">
        <v>6098</v>
      </c>
      <c r="I2965">
        <v>24</v>
      </c>
      <c r="J2965">
        <v>8.9</v>
      </c>
      <c r="K2965" t="s">
        <v>6100</v>
      </c>
      <c r="L2965" t="s">
        <v>6099</v>
      </c>
      <c r="M2965" t="s">
        <v>6100</v>
      </c>
      <c r="O2965" t="s">
        <v>6101</v>
      </c>
      <c r="P2965" t="s">
        <v>6111</v>
      </c>
      <c r="Q2965">
        <v>5</v>
      </c>
      <c r="R2965">
        <v>2026</v>
      </c>
      <c r="S2965" t="s">
        <v>6099</v>
      </c>
      <c r="T2965">
        <v>1</v>
      </c>
      <c r="U2965" t="s">
        <v>6021</v>
      </c>
      <c r="V2965">
        <v>0</v>
      </c>
    </row>
    <row r="2966" spans="1:22" x14ac:dyDescent="0.3">
      <c r="A2966" t="s">
        <v>2981</v>
      </c>
      <c r="B2966" s="2">
        <v>46151.518055555556</v>
      </c>
      <c r="C2966" s="2">
        <v>46152.255555555559</v>
      </c>
      <c r="D2966" t="s">
        <v>6026</v>
      </c>
      <c r="E2966" t="s">
        <v>6029</v>
      </c>
      <c r="F2966" t="s">
        <v>6033</v>
      </c>
      <c r="G2966" t="s">
        <v>6050</v>
      </c>
      <c r="H2966" t="s">
        <v>6098</v>
      </c>
      <c r="I2966">
        <v>72</v>
      </c>
      <c r="J2966">
        <v>17.7</v>
      </c>
      <c r="K2966" t="s">
        <v>6100</v>
      </c>
      <c r="L2966" t="s">
        <v>6100</v>
      </c>
      <c r="M2966" t="s">
        <v>6100</v>
      </c>
      <c r="O2966" t="s">
        <v>6101</v>
      </c>
      <c r="P2966" t="s">
        <v>6111</v>
      </c>
      <c r="Q2966">
        <v>5</v>
      </c>
      <c r="R2966">
        <v>2026</v>
      </c>
      <c r="S2966" t="s">
        <v>6099</v>
      </c>
      <c r="T2966">
        <v>1</v>
      </c>
      <c r="U2966" t="s">
        <v>6020</v>
      </c>
      <c r="V2966">
        <v>0</v>
      </c>
    </row>
    <row r="2967" spans="1:22" x14ac:dyDescent="0.3">
      <c r="A2967" t="s">
        <v>2982</v>
      </c>
      <c r="B2967" s="2">
        <v>46151.586805555555</v>
      </c>
      <c r="C2967" s="2">
        <v>46153.390972222223</v>
      </c>
      <c r="D2967" t="s">
        <v>6026</v>
      </c>
      <c r="E2967" t="s">
        <v>6031</v>
      </c>
      <c r="F2967" t="s">
        <v>6033</v>
      </c>
      <c r="G2967" t="s">
        <v>6044</v>
      </c>
      <c r="H2967" t="s">
        <v>6097</v>
      </c>
      <c r="I2967">
        <v>72</v>
      </c>
      <c r="J2967">
        <v>43.3</v>
      </c>
      <c r="K2967" t="s">
        <v>6099</v>
      </c>
      <c r="L2967" t="s">
        <v>6100</v>
      </c>
      <c r="M2967" t="s">
        <v>6100</v>
      </c>
      <c r="N2967">
        <v>4</v>
      </c>
      <c r="O2967" t="s">
        <v>6101</v>
      </c>
      <c r="P2967" t="s">
        <v>6111</v>
      </c>
      <c r="Q2967">
        <v>5</v>
      </c>
      <c r="R2967">
        <v>2026</v>
      </c>
      <c r="S2967" t="s">
        <v>6099</v>
      </c>
      <c r="T2967">
        <v>1</v>
      </c>
      <c r="U2967" t="s">
        <v>6021</v>
      </c>
      <c r="V2967">
        <v>1</v>
      </c>
    </row>
    <row r="2968" spans="1:22" x14ac:dyDescent="0.3">
      <c r="A2968" t="s">
        <v>2983</v>
      </c>
      <c r="B2968" s="2">
        <v>46151.586805555555</v>
      </c>
      <c r="C2968" s="2">
        <v>46153.632638888892</v>
      </c>
      <c r="D2968" t="s">
        <v>6025</v>
      </c>
      <c r="E2968" t="s">
        <v>6031</v>
      </c>
      <c r="F2968" t="s">
        <v>6034</v>
      </c>
      <c r="G2968" t="s">
        <v>6072</v>
      </c>
      <c r="H2968" t="s">
        <v>6097</v>
      </c>
      <c r="I2968">
        <v>24</v>
      </c>
      <c r="J2968">
        <v>49.1</v>
      </c>
      <c r="K2968" t="s">
        <v>6099</v>
      </c>
      <c r="L2968" t="s">
        <v>6100</v>
      </c>
      <c r="M2968" t="s">
        <v>6100</v>
      </c>
      <c r="N2968">
        <v>4</v>
      </c>
      <c r="O2968" t="s">
        <v>6101</v>
      </c>
      <c r="P2968" t="s">
        <v>6111</v>
      </c>
      <c r="Q2968">
        <v>5</v>
      </c>
      <c r="R2968">
        <v>2026</v>
      </c>
      <c r="S2968" t="s">
        <v>6100</v>
      </c>
      <c r="T2968">
        <v>0</v>
      </c>
      <c r="U2968" t="s">
        <v>6019</v>
      </c>
      <c r="V2968">
        <v>1</v>
      </c>
    </row>
    <row r="2969" spans="1:22" x14ac:dyDescent="0.3">
      <c r="A2969" t="s">
        <v>2984</v>
      </c>
      <c r="B2969" s="2">
        <v>46151.588888888888</v>
      </c>
      <c r="C2969" s="2">
        <v>46151.876388888886</v>
      </c>
      <c r="D2969" t="s">
        <v>6028</v>
      </c>
      <c r="E2969" t="s">
        <v>6029</v>
      </c>
      <c r="F2969" t="s">
        <v>6035</v>
      </c>
      <c r="G2969" t="s">
        <v>6073</v>
      </c>
      <c r="H2969" t="s">
        <v>6096</v>
      </c>
      <c r="I2969">
        <v>4</v>
      </c>
      <c r="J2969">
        <v>6.9</v>
      </c>
      <c r="K2969" t="s">
        <v>6100</v>
      </c>
      <c r="L2969" t="s">
        <v>6100</v>
      </c>
      <c r="M2969" t="s">
        <v>6100</v>
      </c>
      <c r="N2969">
        <v>5</v>
      </c>
      <c r="O2969" t="s">
        <v>6101</v>
      </c>
      <c r="P2969" t="s">
        <v>6111</v>
      </c>
      <c r="Q2969">
        <v>5</v>
      </c>
      <c r="R2969">
        <v>2026</v>
      </c>
      <c r="S2969" t="s">
        <v>6100</v>
      </c>
      <c r="T2969">
        <v>0</v>
      </c>
      <c r="U2969" t="s">
        <v>6017</v>
      </c>
      <c r="V2969">
        <v>0</v>
      </c>
    </row>
    <row r="2970" spans="1:22" x14ac:dyDescent="0.3">
      <c r="A2970" t="s">
        <v>2985</v>
      </c>
      <c r="B2970" s="2">
        <v>46151.609722222223</v>
      </c>
      <c r="C2970" s="2">
        <v>46151.963888888888</v>
      </c>
      <c r="D2970" t="s">
        <v>6023</v>
      </c>
      <c r="E2970" t="s">
        <v>6029</v>
      </c>
      <c r="F2970" t="s">
        <v>6033</v>
      </c>
      <c r="G2970" t="s">
        <v>6080</v>
      </c>
      <c r="H2970" t="s">
        <v>6096</v>
      </c>
      <c r="I2970">
        <v>72</v>
      </c>
      <c r="J2970">
        <v>8.5</v>
      </c>
      <c r="K2970" t="s">
        <v>6099</v>
      </c>
      <c r="L2970" t="s">
        <v>6100</v>
      </c>
      <c r="M2970" t="s">
        <v>6100</v>
      </c>
      <c r="N2970">
        <v>5</v>
      </c>
      <c r="O2970" t="s">
        <v>6101</v>
      </c>
      <c r="P2970" t="s">
        <v>6111</v>
      </c>
      <c r="Q2970">
        <v>5</v>
      </c>
      <c r="R2970">
        <v>2026</v>
      </c>
      <c r="S2970" t="s">
        <v>6099</v>
      </c>
      <c r="T2970">
        <v>1</v>
      </c>
      <c r="U2970" t="s">
        <v>6017</v>
      </c>
      <c r="V2970">
        <v>1</v>
      </c>
    </row>
    <row r="2971" spans="1:22" x14ac:dyDescent="0.3">
      <c r="A2971" t="s">
        <v>2986</v>
      </c>
      <c r="B2971" s="2">
        <v>46151.638888888891</v>
      </c>
      <c r="C2971" s="2">
        <v>46155.001388888886</v>
      </c>
      <c r="D2971" t="s">
        <v>6025</v>
      </c>
      <c r="E2971" t="s">
        <v>6031</v>
      </c>
      <c r="F2971" t="s">
        <v>6035</v>
      </c>
      <c r="G2971" t="s">
        <v>6041</v>
      </c>
      <c r="H2971" t="s">
        <v>6096</v>
      </c>
      <c r="I2971">
        <v>4</v>
      </c>
      <c r="J2971">
        <v>80.7</v>
      </c>
      <c r="K2971" t="s">
        <v>6099</v>
      </c>
      <c r="L2971" t="s">
        <v>6100</v>
      </c>
      <c r="M2971" t="s">
        <v>6099</v>
      </c>
      <c r="O2971" t="s">
        <v>6101</v>
      </c>
      <c r="P2971" t="s">
        <v>6111</v>
      </c>
      <c r="Q2971">
        <v>5</v>
      </c>
      <c r="R2971">
        <v>2026</v>
      </c>
      <c r="S2971" t="s">
        <v>6100</v>
      </c>
      <c r="T2971">
        <v>0</v>
      </c>
      <c r="U2971" t="s">
        <v>6017</v>
      </c>
      <c r="V2971">
        <v>1</v>
      </c>
    </row>
    <row r="2972" spans="1:22" x14ac:dyDescent="0.3">
      <c r="A2972" t="s">
        <v>2987</v>
      </c>
      <c r="B2972" s="2">
        <v>46151.661111111112</v>
      </c>
      <c r="C2972" s="2">
        <v>46152.056944444441</v>
      </c>
      <c r="D2972" t="s">
        <v>6028</v>
      </c>
      <c r="E2972" t="s">
        <v>6029</v>
      </c>
      <c r="F2972" t="s">
        <v>6035</v>
      </c>
      <c r="G2972" t="s">
        <v>6085</v>
      </c>
      <c r="H2972" t="s">
        <v>6097</v>
      </c>
      <c r="I2972">
        <v>4</v>
      </c>
      <c r="J2972">
        <v>9.5</v>
      </c>
      <c r="K2972" t="s">
        <v>6099</v>
      </c>
      <c r="L2972" t="s">
        <v>6100</v>
      </c>
      <c r="M2972" t="s">
        <v>6100</v>
      </c>
      <c r="N2972">
        <v>4</v>
      </c>
      <c r="O2972" t="s">
        <v>6101</v>
      </c>
      <c r="P2972" t="s">
        <v>6111</v>
      </c>
      <c r="Q2972">
        <v>5</v>
      </c>
      <c r="R2972">
        <v>2026</v>
      </c>
      <c r="S2972" t="s">
        <v>6100</v>
      </c>
      <c r="T2972">
        <v>0</v>
      </c>
      <c r="U2972" t="s">
        <v>6019</v>
      </c>
      <c r="V2972">
        <v>1</v>
      </c>
    </row>
    <row r="2973" spans="1:22" x14ac:dyDescent="0.3">
      <c r="A2973" t="s">
        <v>2988</v>
      </c>
      <c r="B2973" s="2">
        <v>46151.662499999999</v>
      </c>
      <c r="C2973" s="2">
        <v>46151.837500000001</v>
      </c>
      <c r="D2973" t="s">
        <v>6023</v>
      </c>
      <c r="E2973" t="s">
        <v>6029</v>
      </c>
      <c r="F2973" t="s">
        <v>6033</v>
      </c>
      <c r="G2973" t="s">
        <v>6038</v>
      </c>
      <c r="H2973" t="s">
        <v>6096</v>
      </c>
      <c r="I2973">
        <v>72</v>
      </c>
      <c r="J2973">
        <v>4.2</v>
      </c>
      <c r="K2973" t="s">
        <v>6099</v>
      </c>
      <c r="L2973" t="s">
        <v>6100</v>
      </c>
      <c r="M2973" t="s">
        <v>6100</v>
      </c>
      <c r="O2973" t="s">
        <v>6101</v>
      </c>
      <c r="P2973" t="s">
        <v>6111</v>
      </c>
      <c r="Q2973">
        <v>5</v>
      </c>
      <c r="R2973">
        <v>2026</v>
      </c>
      <c r="S2973" t="s">
        <v>6099</v>
      </c>
      <c r="T2973">
        <v>1</v>
      </c>
      <c r="U2973" t="s">
        <v>6020</v>
      </c>
      <c r="V2973">
        <v>1</v>
      </c>
    </row>
    <row r="2974" spans="1:22" x14ac:dyDescent="0.3">
      <c r="A2974" t="s">
        <v>2989</v>
      </c>
      <c r="B2974" s="2">
        <v>46151.662499999999</v>
      </c>
      <c r="C2974" s="2">
        <v>46152.770833333336</v>
      </c>
      <c r="D2974" t="s">
        <v>6028</v>
      </c>
      <c r="E2974" t="s">
        <v>6031</v>
      </c>
      <c r="F2974" t="s">
        <v>6033</v>
      </c>
      <c r="G2974" t="s">
        <v>6080</v>
      </c>
      <c r="H2974" t="s">
        <v>6096</v>
      </c>
      <c r="I2974">
        <v>72</v>
      </c>
      <c r="J2974">
        <v>26.6</v>
      </c>
      <c r="K2974" t="s">
        <v>6099</v>
      </c>
      <c r="L2974" t="s">
        <v>6100</v>
      </c>
      <c r="M2974" t="s">
        <v>6099</v>
      </c>
      <c r="O2974" t="s">
        <v>6101</v>
      </c>
      <c r="P2974" t="s">
        <v>6111</v>
      </c>
      <c r="Q2974">
        <v>5</v>
      </c>
      <c r="R2974">
        <v>2026</v>
      </c>
      <c r="S2974" t="s">
        <v>6099</v>
      </c>
      <c r="T2974">
        <v>1</v>
      </c>
      <c r="U2974" t="s">
        <v>6021</v>
      </c>
      <c r="V2974">
        <v>1</v>
      </c>
    </row>
    <row r="2975" spans="1:22" x14ac:dyDescent="0.3">
      <c r="A2975" t="s">
        <v>2990</v>
      </c>
      <c r="B2975" s="2">
        <v>46151.701388888891</v>
      </c>
      <c r="C2975" s="2">
        <v>46151.988888888889</v>
      </c>
      <c r="D2975" t="s">
        <v>6028</v>
      </c>
      <c r="E2975" t="s">
        <v>6031</v>
      </c>
      <c r="F2975" t="s">
        <v>6034</v>
      </c>
      <c r="G2975" t="s">
        <v>6078</v>
      </c>
      <c r="H2975" t="s">
        <v>6097</v>
      </c>
      <c r="I2975">
        <v>24</v>
      </c>
      <c r="J2975">
        <v>6.9</v>
      </c>
      <c r="K2975" t="s">
        <v>6099</v>
      </c>
      <c r="L2975" t="s">
        <v>6100</v>
      </c>
      <c r="M2975" t="s">
        <v>6100</v>
      </c>
      <c r="O2975" t="s">
        <v>6101</v>
      </c>
      <c r="P2975" t="s">
        <v>6111</v>
      </c>
      <c r="Q2975">
        <v>5</v>
      </c>
      <c r="R2975">
        <v>2026</v>
      </c>
      <c r="S2975" t="s">
        <v>6099</v>
      </c>
      <c r="T2975">
        <v>1</v>
      </c>
      <c r="U2975" t="s">
        <v>6020</v>
      </c>
      <c r="V2975">
        <v>1</v>
      </c>
    </row>
    <row r="2976" spans="1:22" x14ac:dyDescent="0.3">
      <c r="A2976" t="s">
        <v>2991</v>
      </c>
      <c r="B2976" s="2">
        <v>46151.702777777777</v>
      </c>
      <c r="C2976" s="2">
        <v>46152.861111111109</v>
      </c>
      <c r="D2976" t="s">
        <v>6022</v>
      </c>
      <c r="E2976" t="s">
        <v>6029</v>
      </c>
      <c r="F2976" t="s">
        <v>6035</v>
      </c>
      <c r="G2976" t="s">
        <v>6067</v>
      </c>
      <c r="H2976" t="s">
        <v>6098</v>
      </c>
      <c r="I2976">
        <v>4</v>
      </c>
      <c r="J2976">
        <v>27.8</v>
      </c>
      <c r="K2976" t="s">
        <v>6099</v>
      </c>
      <c r="L2976" t="s">
        <v>6100</v>
      </c>
      <c r="M2976" t="s">
        <v>6099</v>
      </c>
      <c r="N2976">
        <v>4</v>
      </c>
      <c r="O2976" t="s">
        <v>6101</v>
      </c>
      <c r="P2976" t="s">
        <v>6111</v>
      </c>
      <c r="Q2976">
        <v>5</v>
      </c>
      <c r="R2976">
        <v>2026</v>
      </c>
      <c r="S2976" t="s">
        <v>6100</v>
      </c>
      <c r="T2976">
        <v>0</v>
      </c>
      <c r="U2976" t="s">
        <v>6021</v>
      </c>
      <c r="V2976">
        <v>1</v>
      </c>
    </row>
    <row r="2977" spans="1:22" x14ac:dyDescent="0.3">
      <c r="A2977" t="s">
        <v>2992</v>
      </c>
      <c r="B2977" s="2">
        <v>46151.773611111108</v>
      </c>
      <c r="C2977" s="2">
        <v>46152.177777777775</v>
      </c>
      <c r="D2977" t="s">
        <v>6023</v>
      </c>
      <c r="E2977" t="s">
        <v>6029</v>
      </c>
      <c r="F2977" t="s">
        <v>6033</v>
      </c>
      <c r="G2977" t="s">
        <v>6058</v>
      </c>
      <c r="H2977" t="s">
        <v>6098</v>
      </c>
      <c r="I2977">
        <v>72</v>
      </c>
      <c r="J2977">
        <v>9.6999999999999993</v>
      </c>
      <c r="K2977" t="s">
        <v>6100</v>
      </c>
      <c r="L2977" t="s">
        <v>6099</v>
      </c>
      <c r="M2977" t="s">
        <v>6100</v>
      </c>
      <c r="N2977">
        <v>3</v>
      </c>
      <c r="O2977" t="s">
        <v>6101</v>
      </c>
      <c r="P2977" t="s">
        <v>6111</v>
      </c>
      <c r="Q2977">
        <v>5</v>
      </c>
      <c r="R2977">
        <v>2026</v>
      </c>
      <c r="S2977" t="s">
        <v>6099</v>
      </c>
      <c r="T2977">
        <v>1</v>
      </c>
      <c r="U2977" t="s">
        <v>6019</v>
      </c>
      <c r="V2977">
        <v>0</v>
      </c>
    </row>
    <row r="2978" spans="1:22" x14ac:dyDescent="0.3">
      <c r="A2978" t="s">
        <v>2993</v>
      </c>
      <c r="B2978" s="2">
        <v>46151.854166666664</v>
      </c>
      <c r="C2978" s="2">
        <v>46152.279166666667</v>
      </c>
      <c r="D2978" t="s">
        <v>6023</v>
      </c>
      <c r="E2978" t="s">
        <v>6029</v>
      </c>
      <c r="F2978" t="s">
        <v>6034</v>
      </c>
      <c r="G2978" t="s">
        <v>6087</v>
      </c>
      <c r="H2978" t="s">
        <v>6098</v>
      </c>
      <c r="I2978">
        <v>24</v>
      </c>
      <c r="J2978">
        <v>10.199999999999999</v>
      </c>
      <c r="K2978" t="s">
        <v>6099</v>
      </c>
      <c r="L2978" t="s">
        <v>6100</v>
      </c>
      <c r="M2978" t="s">
        <v>6099</v>
      </c>
      <c r="N2978">
        <v>5</v>
      </c>
      <c r="O2978" t="s">
        <v>6101</v>
      </c>
      <c r="P2978" t="s">
        <v>6111</v>
      </c>
      <c r="Q2978">
        <v>5</v>
      </c>
      <c r="R2978">
        <v>2026</v>
      </c>
      <c r="S2978" t="s">
        <v>6099</v>
      </c>
      <c r="T2978">
        <v>1</v>
      </c>
      <c r="U2978" t="s">
        <v>6020</v>
      </c>
      <c r="V2978">
        <v>1</v>
      </c>
    </row>
    <row r="2979" spans="1:22" x14ac:dyDescent="0.3">
      <c r="A2979" t="s">
        <v>2994</v>
      </c>
      <c r="B2979" s="2">
        <v>46152.181944444441</v>
      </c>
      <c r="C2979" s="2">
        <v>46152.436111111114</v>
      </c>
      <c r="D2979" t="s">
        <v>6022</v>
      </c>
      <c r="E2979" t="s">
        <v>6029</v>
      </c>
      <c r="F2979" t="s">
        <v>6033</v>
      </c>
      <c r="G2979" t="s">
        <v>6086</v>
      </c>
      <c r="H2979" t="s">
        <v>6098</v>
      </c>
      <c r="I2979">
        <v>72</v>
      </c>
      <c r="J2979">
        <v>6.1</v>
      </c>
      <c r="K2979" t="s">
        <v>6099</v>
      </c>
      <c r="L2979" t="s">
        <v>6100</v>
      </c>
      <c r="M2979" t="s">
        <v>6100</v>
      </c>
      <c r="N2979">
        <v>5</v>
      </c>
      <c r="O2979" t="s">
        <v>6101</v>
      </c>
      <c r="P2979" t="s">
        <v>6111</v>
      </c>
      <c r="Q2979">
        <v>5</v>
      </c>
      <c r="R2979">
        <v>2026</v>
      </c>
      <c r="S2979" t="s">
        <v>6099</v>
      </c>
      <c r="T2979">
        <v>1</v>
      </c>
      <c r="U2979" t="s">
        <v>6021</v>
      </c>
      <c r="V2979">
        <v>1</v>
      </c>
    </row>
    <row r="2980" spans="1:22" x14ac:dyDescent="0.3">
      <c r="A2980" t="s">
        <v>2995</v>
      </c>
      <c r="B2980" s="2">
        <v>46152.258333333331</v>
      </c>
      <c r="C2980" s="2">
        <v>46152.520833333336</v>
      </c>
      <c r="D2980" t="s">
        <v>6023</v>
      </c>
      <c r="E2980" t="s">
        <v>6030</v>
      </c>
      <c r="F2980" t="s">
        <v>6033</v>
      </c>
      <c r="G2980" t="s">
        <v>6073</v>
      </c>
      <c r="H2980" t="s">
        <v>6096</v>
      </c>
      <c r="I2980">
        <v>72</v>
      </c>
      <c r="J2980">
        <v>6.3</v>
      </c>
      <c r="K2980" t="s">
        <v>6099</v>
      </c>
      <c r="L2980" t="s">
        <v>6100</v>
      </c>
      <c r="M2980" t="s">
        <v>6100</v>
      </c>
      <c r="N2980">
        <v>4</v>
      </c>
      <c r="O2980" t="s">
        <v>6101</v>
      </c>
      <c r="P2980" t="s">
        <v>6111</v>
      </c>
      <c r="Q2980">
        <v>5</v>
      </c>
      <c r="R2980">
        <v>2026</v>
      </c>
      <c r="S2980" t="s">
        <v>6099</v>
      </c>
      <c r="T2980">
        <v>1</v>
      </c>
      <c r="U2980" t="s">
        <v>6019</v>
      </c>
      <c r="V2980">
        <v>1</v>
      </c>
    </row>
    <row r="2981" spans="1:22" x14ac:dyDescent="0.3">
      <c r="A2981" t="s">
        <v>2996</v>
      </c>
      <c r="B2981" s="2">
        <v>46152.263194444444</v>
      </c>
      <c r="C2981" s="2">
        <v>46153.950694444444</v>
      </c>
      <c r="D2981" t="s">
        <v>6026</v>
      </c>
      <c r="E2981" t="s">
        <v>6029</v>
      </c>
      <c r="F2981" t="s">
        <v>6034</v>
      </c>
      <c r="G2981" t="s">
        <v>6085</v>
      </c>
      <c r="H2981" t="s">
        <v>6097</v>
      </c>
      <c r="I2981">
        <v>24</v>
      </c>
      <c r="J2981">
        <v>40.5</v>
      </c>
      <c r="K2981" t="s">
        <v>6099</v>
      </c>
      <c r="L2981" t="s">
        <v>6100</v>
      </c>
      <c r="M2981" t="s">
        <v>6100</v>
      </c>
      <c r="O2981" t="s">
        <v>6101</v>
      </c>
      <c r="P2981" t="s">
        <v>6111</v>
      </c>
      <c r="Q2981">
        <v>5</v>
      </c>
      <c r="R2981">
        <v>2026</v>
      </c>
      <c r="S2981" t="s">
        <v>6100</v>
      </c>
      <c r="T2981">
        <v>0</v>
      </c>
      <c r="U2981" t="s">
        <v>6017</v>
      </c>
      <c r="V2981">
        <v>1</v>
      </c>
    </row>
    <row r="2982" spans="1:22" x14ac:dyDescent="0.3">
      <c r="A2982" t="s">
        <v>2997</v>
      </c>
      <c r="B2982" s="2">
        <v>46152.355555555558</v>
      </c>
      <c r="C2982" s="2">
        <v>46153.213888888888</v>
      </c>
      <c r="D2982" t="s">
        <v>6025</v>
      </c>
      <c r="E2982" t="s">
        <v>6029</v>
      </c>
      <c r="F2982" t="s">
        <v>6034</v>
      </c>
      <c r="G2982" t="s">
        <v>6058</v>
      </c>
      <c r="H2982" t="s">
        <v>6098</v>
      </c>
      <c r="I2982">
        <v>24</v>
      </c>
      <c r="J2982">
        <v>20.6</v>
      </c>
      <c r="K2982" t="s">
        <v>6099</v>
      </c>
      <c r="L2982" t="s">
        <v>6100</v>
      </c>
      <c r="M2982" t="s">
        <v>6100</v>
      </c>
      <c r="N2982">
        <v>5</v>
      </c>
      <c r="O2982" t="s">
        <v>6101</v>
      </c>
      <c r="P2982" t="s">
        <v>6111</v>
      </c>
      <c r="Q2982">
        <v>5</v>
      </c>
      <c r="R2982">
        <v>2026</v>
      </c>
      <c r="S2982" t="s">
        <v>6099</v>
      </c>
      <c r="T2982">
        <v>1</v>
      </c>
      <c r="U2982" t="s">
        <v>6020</v>
      </c>
      <c r="V2982">
        <v>1</v>
      </c>
    </row>
    <row r="2983" spans="1:22" x14ac:dyDescent="0.3">
      <c r="A2983" t="s">
        <v>2998</v>
      </c>
      <c r="B2983" s="2">
        <v>46152.392361111109</v>
      </c>
      <c r="C2983" s="2">
        <v>46152.65902777778</v>
      </c>
      <c r="D2983" t="s">
        <v>6027</v>
      </c>
      <c r="E2983" t="s">
        <v>6030</v>
      </c>
      <c r="F2983" t="s">
        <v>6034</v>
      </c>
      <c r="G2983" t="s">
        <v>6076</v>
      </c>
      <c r="H2983" t="s">
        <v>6097</v>
      </c>
      <c r="I2983">
        <v>24</v>
      </c>
      <c r="J2983">
        <v>6.4</v>
      </c>
      <c r="K2983" t="s">
        <v>6099</v>
      </c>
      <c r="L2983" t="s">
        <v>6100</v>
      </c>
      <c r="M2983" t="s">
        <v>6100</v>
      </c>
      <c r="N2983">
        <v>5</v>
      </c>
      <c r="O2983" t="s">
        <v>6101</v>
      </c>
      <c r="P2983" t="s">
        <v>6111</v>
      </c>
      <c r="Q2983">
        <v>5</v>
      </c>
      <c r="R2983">
        <v>2026</v>
      </c>
      <c r="S2983" t="s">
        <v>6099</v>
      </c>
      <c r="T2983">
        <v>1</v>
      </c>
      <c r="U2983" t="s">
        <v>6018</v>
      </c>
      <c r="V2983">
        <v>1</v>
      </c>
    </row>
    <row r="2984" spans="1:22" x14ac:dyDescent="0.3">
      <c r="A2984" t="s">
        <v>2999</v>
      </c>
      <c r="B2984" s="2">
        <v>46152.451388888891</v>
      </c>
      <c r="C2984" s="2">
        <v>46153.338888888888</v>
      </c>
      <c r="D2984" t="s">
        <v>6023</v>
      </c>
      <c r="E2984" t="s">
        <v>6032</v>
      </c>
      <c r="F2984" t="s">
        <v>6034</v>
      </c>
      <c r="G2984" t="s">
        <v>6064</v>
      </c>
      <c r="H2984" t="s">
        <v>6096</v>
      </c>
      <c r="I2984">
        <v>24</v>
      </c>
      <c r="J2984">
        <v>21.3</v>
      </c>
      <c r="K2984" t="s">
        <v>6099</v>
      </c>
      <c r="L2984" t="s">
        <v>6100</v>
      </c>
      <c r="M2984" t="s">
        <v>6100</v>
      </c>
      <c r="N2984">
        <v>4</v>
      </c>
      <c r="O2984" t="s">
        <v>6101</v>
      </c>
      <c r="P2984" t="s">
        <v>6111</v>
      </c>
      <c r="Q2984">
        <v>5</v>
      </c>
      <c r="R2984">
        <v>2026</v>
      </c>
      <c r="S2984" t="s">
        <v>6099</v>
      </c>
      <c r="T2984">
        <v>1</v>
      </c>
      <c r="U2984" t="s">
        <v>6017</v>
      </c>
      <c r="V2984">
        <v>1</v>
      </c>
    </row>
    <row r="2985" spans="1:22" x14ac:dyDescent="0.3">
      <c r="A2985" t="s">
        <v>3000</v>
      </c>
      <c r="B2985" s="2">
        <v>46152.488888888889</v>
      </c>
      <c r="C2985" s="2">
        <v>46156.063888888886</v>
      </c>
      <c r="D2985" t="s">
        <v>6025</v>
      </c>
      <c r="E2985" t="s">
        <v>6031</v>
      </c>
      <c r="F2985" t="s">
        <v>6033</v>
      </c>
      <c r="G2985" t="s">
        <v>6086</v>
      </c>
      <c r="H2985" t="s">
        <v>6098</v>
      </c>
      <c r="I2985">
        <v>72</v>
      </c>
      <c r="J2985">
        <v>85.8</v>
      </c>
      <c r="K2985" t="s">
        <v>6100</v>
      </c>
      <c r="L2985" t="s">
        <v>6099</v>
      </c>
      <c r="M2985" t="s">
        <v>6100</v>
      </c>
      <c r="O2985" t="s">
        <v>6101</v>
      </c>
      <c r="P2985" t="s">
        <v>6111</v>
      </c>
      <c r="Q2985">
        <v>5</v>
      </c>
      <c r="R2985">
        <v>2026</v>
      </c>
      <c r="S2985" t="s">
        <v>6100</v>
      </c>
      <c r="T2985">
        <v>0</v>
      </c>
      <c r="U2985" t="s">
        <v>6021</v>
      </c>
      <c r="V2985">
        <v>0</v>
      </c>
    </row>
    <row r="2986" spans="1:22" x14ac:dyDescent="0.3">
      <c r="A2986" t="s">
        <v>3001</v>
      </c>
      <c r="B2986" s="2">
        <v>46152.513888888891</v>
      </c>
      <c r="C2986" s="2">
        <v>46154.138888888891</v>
      </c>
      <c r="D2986" t="s">
        <v>6026</v>
      </c>
      <c r="E2986" t="s">
        <v>6030</v>
      </c>
      <c r="F2986" t="s">
        <v>6033</v>
      </c>
      <c r="G2986" t="s">
        <v>6082</v>
      </c>
      <c r="H2986" t="s">
        <v>6097</v>
      </c>
      <c r="I2986">
        <v>72</v>
      </c>
      <c r="J2986">
        <v>39</v>
      </c>
      <c r="K2986" t="s">
        <v>6100</v>
      </c>
      <c r="L2986" t="s">
        <v>6099</v>
      </c>
      <c r="M2986" t="s">
        <v>6100</v>
      </c>
      <c r="N2986">
        <v>3</v>
      </c>
      <c r="O2986" t="s">
        <v>6101</v>
      </c>
      <c r="P2986" t="s">
        <v>6111</v>
      </c>
      <c r="Q2986">
        <v>5</v>
      </c>
      <c r="R2986">
        <v>2026</v>
      </c>
      <c r="S2986" t="s">
        <v>6099</v>
      </c>
      <c r="T2986">
        <v>1</v>
      </c>
      <c r="U2986" t="s">
        <v>6019</v>
      </c>
      <c r="V2986">
        <v>0</v>
      </c>
    </row>
    <row r="2987" spans="1:22" x14ac:dyDescent="0.3">
      <c r="A2987" t="s">
        <v>3002</v>
      </c>
      <c r="B2987" s="2">
        <v>46152.588888888888</v>
      </c>
      <c r="C2987" s="2">
        <v>46158.168055555558</v>
      </c>
      <c r="D2987" t="s">
        <v>6025</v>
      </c>
      <c r="E2987" t="s">
        <v>6031</v>
      </c>
      <c r="F2987" t="s">
        <v>6034</v>
      </c>
      <c r="G2987" t="s">
        <v>6038</v>
      </c>
      <c r="H2987" t="s">
        <v>6096</v>
      </c>
      <c r="I2987">
        <v>24</v>
      </c>
      <c r="J2987">
        <v>133.9</v>
      </c>
      <c r="K2987" t="s">
        <v>6100</v>
      </c>
      <c r="L2987" t="s">
        <v>6099</v>
      </c>
      <c r="M2987" t="s">
        <v>6100</v>
      </c>
      <c r="O2987" t="s">
        <v>6101</v>
      </c>
      <c r="P2987" t="s">
        <v>6111</v>
      </c>
      <c r="Q2987">
        <v>5</v>
      </c>
      <c r="R2987">
        <v>2026</v>
      </c>
      <c r="S2987" t="s">
        <v>6100</v>
      </c>
      <c r="T2987">
        <v>0</v>
      </c>
      <c r="U2987" t="s">
        <v>6021</v>
      </c>
      <c r="V2987">
        <v>0</v>
      </c>
    </row>
    <row r="2988" spans="1:22" x14ac:dyDescent="0.3">
      <c r="A2988" t="s">
        <v>3003</v>
      </c>
      <c r="B2988" s="2">
        <v>46152.602083333331</v>
      </c>
      <c r="C2988" s="2">
        <v>46152.960416666669</v>
      </c>
      <c r="D2988" t="s">
        <v>6028</v>
      </c>
      <c r="E2988" t="s">
        <v>6029</v>
      </c>
      <c r="F2988" t="s">
        <v>6035</v>
      </c>
      <c r="G2988" t="s">
        <v>6070</v>
      </c>
      <c r="H2988" t="s">
        <v>6097</v>
      </c>
      <c r="I2988">
        <v>4</v>
      </c>
      <c r="J2988">
        <v>8.6</v>
      </c>
      <c r="K2988" t="s">
        <v>6099</v>
      </c>
      <c r="L2988" t="s">
        <v>6100</v>
      </c>
      <c r="M2988" t="s">
        <v>6099</v>
      </c>
      <c r="N2988">
        <v>4</v>
      </c>
      <c r="O2988" t="s">
        <v>6101</v>
      </c>
      <c r="P2988" t="s">
        <v>6111</v>
      </c>
      <c r="Q2988">
        <v>5</v>
      </c>
      <c r="R2988">
        <v>2026</v>
      </c>
      <c r="S2988" t="s">
        <v>6100</v>
      </c>
      <c r="T2988">
        <v>0</v>
      </c>
      <c r="U2988" t="s">
        <v>6021</v>
      </c>
      <c r="V2988">
        <v>1</v>
      </c>
    </row>
    <row r="2989" spans="1:22" x14ac:dyDescent="0.3">
      <c r="A2989" t="s">
        <v>3004</v>
      </c>
      <c r="B2989" s="2">
        <v>46152.609027777777</v>
      </c>
      <c r="C2989" s="2">
        <v>46154.725694444445</v>
      </c>
      <c r="D2989" t="s">
        <v>6028</v>
      </c>
      <c r="E2989" t="s">
        <v>6031</v>
      </c>
      <c r="F2989" t="s">
        <v>6034</v>
      </c>
      <c r="G2989" t="s">
        <v>6047</v>
      </c>
      <c r="H2989" t="s">
        <v>6098</v>
      </c>
      <c r="I2989">
        <v>24</v>
      </c>
      <c r="J2989">
        <v>50.8</v>
      </c>
      <c r="K2989" t="s">
        <v>6099</v>
      </c>
      <c r="L2989" t="s">
        <v>6100</v>
      </c>
      <c r="M2989" t="s">
        <v>6100</v>
      </c>
      <c r="N2989">
        <v>5</v>
      </c>
      <c r="O2989" t="s">
        <v>6101</v>
      </c>
      <c r="P2989" t="s">
        <v>6111</v>
      </c>
      <c r="Q2989">
        <v>5</v>
      </c>
      <c r="R2989">
        <v>2026</v>
      </c>
      <c r="S2989" t="s">
        <v>6100</v>
      </c>
      <c r="T2989">
        <v>0</v>
      </c>
      <c r="U2989" t="s">
        <v>6021</v>
      </c>
      <c r="V2989">
        <v>1</v>
      </c>
    </row>
    <row r="2990" spans="1:22" x14ac:dyDescent="0.3">
      <c r="A2990" t="s">
        <v>3005</v>
      </c>
      <c r="B2990" s="2">
        <v>46152.636111111111</v>
      </c>
      <c r="C2990" s="2">
        <v>46154.090277777781</v>
      </c>
      <c r="D2990" t="s">
        <v>6025</v>
      </c>
      <c r="E2990" t="s">
        <v>6029</v>
      </c>
      <c r="F2990" t="s">
        <v>6034</v>
      </c>
      <c r="G2990" t="s">
        <v>6044</v>
      </c>
      <c r="H2990" t="s">
        <v>6097</v>
      </c>
      <c r="I2990">
        <v>24</v>
      </c>
      <c r="J2990">
        <v>34.9</v>
      </c>
      <c r="K2990" t="s">
        <v>6100</v>
      </c>
      <c r="L2990" t="s">
        <v>6099</v>
      </c>
      <c r="M2990" t="s">
        <v>6100</v>
      </c>
      <c r="N2990">
        <v>4</v>
      </c>
      <c r="O2990" t="s">
        <v>6101</v>
      </c>
      <c r="P2990" t="s">
        <v>6111</v>
      </c>
      <c r="Q2990">
        <v>5</v>
      </c>
      <c r="R2990">
        <v>2026</v>
      </c>
      <c r="S2990" t="s">
        <v>6100</v>
      </c>
      <c r="T2990">
        <v>0</v>
      </c>
      <c r="U2990" t="s">
        <v>6018</v>
      </c>
      <c r="V2990">
        <v>0</v>
      </c>
    </row>
    <row r="2991" spans="1:22" x14ac:dyDescent="0.3">
      <c r="A2991" t="s">
        <v>3006</v>
      </c>
      <c r="B2991" s="2">
        <v>46152.737500000003</v>
      </c>
      <c r="C2991" s="2">
        <v>46155.412499999999</v>
      </c>
      <c r="D2991" t="s">
        <v>6027</v>
      </c>
      <c r="E2991" t="s">
        <v>6031</v>
      </c>
      <c r="F2991" t="s">
        <v>6035</v>
      </c>
      <c r="G2991" t="s">
        <v>6060</v>
      </c>
      <c r="H2991" t="s">
        <v>6097</v>
      </c>
      <c r="I2991">
        <v>4</v>
      </c>
      <c r="J2991">
        <v>64.2</v>
      </c>
      <c r="K2991" t="s">
        <v>6099</v>
      </c>
      <c r="L2991" t="s">
        <v>6100</v>
      </c>
      <c r="M2991" t="s">
        <v>6100</v>
      </c>
      <c r="N2991">
        <v>4</v>
      </c>
      <c r="O2991" t="s">
        <v>6101</v>
      </c>
      <c r="P2991" t="s">
        <v>6111</v>
      </c>
      <c r="Q2991">
        <v>5</v>
      </c>
      <c r="R2991">
        <v>2026</v>
      </c>
      <c r="S2991" t="s">
        <v>6100</v>
      </c>
      <c r="T2991">
        <v>0</v>
      </c>
      <c r="U2991" t="s">
        <v>6019</v>
      </c>
      <c r="V2991">
        <v>1</v>
      </c>
    </row>
    <row r="2992" spans="1:22" x14ac:dyDescent="0.3">
      <c r="A2992" t="s">
        <v>3007</v>
      </c>
      <c r="B2992" s="2">
        <v>46152.864583333336</v>
      </c>
      <c r="C2992" s="2">
        <v>46153.88958333333</v>
      </c>
      <c r="D2992" t="s">
        <v>6022</v>
      </c>
      <c r="E2992" t="s">
        <v>6029</v>
      </c>
      <c r="F2992" t="s">
        <v>6033</v>
      </c>
      <c r="G2992" t="s">
        <v>6067</v>
      </c>
      <c r="H2992" t="s">
        <v>6098</v>
      </c>
      <c r="I2992">
        <v>72</v>
      </c>
      <c r="J2992">
        <v>24.6</v>
      </c>
      <c r="K2992" t="s">
        <v>6099</v>
      </c>
      <c r="L2992" t="s">
        <v>6100</v>
      </c>
      <c r="M2992" t="s">
        <v>6100</v>
      </c>
      <c r="N2992">
        <v>4</v>
      </c>
      <c r="O2992" t="s">
        <v>6101</v>
      </c>
      <c r="P2992" t="s">
        <v>6111</v>
      </c>
      <c r="Q2992">
        <v>5</v>
      </c>
      <c r="R2992">
        <v>2026</v>
      </c>
      <c r="S2992" t="s">
        <v>6099</v>
      </c>
      <c r="T2992">
        <v>1</v>
      </c>
      <c r="U2992" t="s">
        <v>6020</v>
      </c>
      <c r="V2992">
        <v>1</v>
      </c>
    </row>
    <row r="2993" spans="1:22" x14ac:dyDescent="0.3">
      <c r="A2993" t="s">
        <v>3008</v>
      </c>
      <c r="B2993" s="2">
        <v>46152.914583333331</v>
      </c>
      <c r="C2993" s="2">
        <v>46156.585416666669</v>
      </c>
      <c r="D2993" t="s">
        <v>6025</v>
      </c>
      <c r="E2993" t="s">
        <v>6032</v>
      </c>
      <c r="F2993" t="s">
        <v>6034</v>
      </c>
      <c r="G2993" t="s">
        <v>6040</v>
      </c>
      <c r="H2993" t="s">
        <v>6097</v>
      </c>
      <c r="I2993">
        <v>24</v>
      </c>
      <c r="J2993">
        <v>88.1</v>
      </c>
      <c r="K2993" t="s">
        <v>6099</v>
      </c>
      <c r="L2993" t="s">
        <v>6100</v>
      </c>
      <c r="M2993" t="s">
        <v>6100</v>
      </c>
      <c r="N2993">
        <v>4</v>
      </c>
      <c r="O2993" t="s">
        <v>6101</v>
      </c>
      <c r="P2993" t="s">
        <v>6111</v>
      </c>
      <c r="Q2993">
        <v>5</v>
      </c>
      <c r="R2993">
        <v>2026</v>
      </c>
      <c r="S2993" t="s">
        <v>6100</v>
      </c>
      <c r="T2993">
        <v>0</v>
      </c>
      <c r="U2993" t="s">
        <v>6021</v>
      </c>
      <c r="V2993">
        <v>1</v>
      </c>
    </row>
    <row r="2994" spans="1:22" x14ac:dyDescent="0.3">
      <c r="A2994" t="s">
        <v>3009</v>
      </c>
      <c r="B2994" s="2">
        <v>46153.176388888889</v>
      </c>
      <c r="C2994" s="2">
        <v>46153.701388888891</v>
      </c>
      <c r="D2994" t="s">
        <v>6027</v>
      </c>
      <c r="E2994" t="s">
        <v>6029</v>
      </c>
      <c r="F2994" t="s">
        <v>6033</v>
      </c>
      <c r="G2994" t="s">
        <v>6071</v>
      </c>
      <c r="H2994" t="s">
        <v>6098</v>
      </c>
      <c r="I2994">
        <v>72</v>
      </c>
      <c r="J2994">
        <v>12.6</v>
      </c>
      <c r="K2994" t="s">
        <v>6099</v>
      </c>
      <c r="L2994" t="s">
        <v>6100</v>
      </c>
      <c r="M2994" t="s">
        <v>6100</v>
      </c>
      <c r="N2994">
        <v>5</v>
      </c>
      <c r="O2994" t="s">
        <v>6101</v>
      </c>
      <c r="P2994" t="s">
        <v>6111</v>
      </c>
      <c r="Q2994">
        <v>5</v>
      </c>
      <c r="R2994">
        <v>2026</v>
      </c>
      <c r="S2994" t="s">
        <v>6099</v>
      </c>
      <c r="T2994">
        <v>1</v>
      </c>
      <c r="U2994" t="s">
        <v>6020</v>
      </c>
      <c r="V2994">
        <v>1</v>
      </c>
    </row>
    <row r="2995" spans="1:22" x14ac:dyDescent="0.3">
      <c r="A2995" t="s">
        <v>3010</v>
      </c>
      <c r="B2995" s="2">
        <v>46153.269444444442</v>
      </c>
      <c r="C2995" s="2">
        <v>46153.427777777775</v>
      </c>
      <c r="D2995" t="s">
        <v>6023</v>
      </c>
      <c r="E2995" t="s">
        <v>6032</v>
      </c>
      <c r="F2995" t="s">
        <v>6033</v>
      </c>
      <c r="G2995" t="s">
        <v>6051</v>
      </c>
      <c r="H2995" t="s">
        <v>6097</v>
      </c>
      <c r="I2995">
        <v>72</v>
      </c>
      <c r="J2995">
        <v>3.8</v>
      </c>
      <c r="K2995" t="s">
        <v>6100</v>
      </c>
      <c r="L2995" t="s">
        <v>6099</v>
      </c>
      <c r="M2995" t="s">
        <v>6100</v>
      </c>
      <c r="N2995">
        <v>4</v>
      </c>
      <c r="O2995" t="s">
        <v>6101</v>
      </c>
      <c r="P2995" t="s">
        <v>6111</v>
      </c>
      <c r="Q2995">
        <v>5</v>
      </c>
      <c r="R2995">
        <v>2026</v>
      </c>
      <c r="S2995" t="s">
        <v>6099</v>
      </c>
      <c r="T2995">
        <v>1</v>
      </c>
      <c r="U2995" t="s">
        <v>6018</v>
      </c>
      <c r="V2995">
        <v>0</v>
      </c>
    </row>
    <row r="2996" spans="1:22" x14ac:dyDescent="0.3">
      <c r="A2996" t="s">
        <v>3011</v>
      </c>
      <c r="B2996" s="2">
        <v>46153.304861111108</v>
      </c>
      <c r="C2996" s="2">
        <v>46154.475694444445</v>
      </c>
      <c r="D2996" t="s">
        <v>6024</v>
      </c>
      <c r="E2996" t="s">
        <v>6032</v>
      </c>
      <c r="F2996" t="s">
        <v>6034</v>
      </c>
      <c r="G2996" t="s">
        <v>6082</v>
      </c>
      <c r="H2996" t="s">
        <v>6097</v>
      </c>
      <c r="I2996">
        <v>24</v>
      </c>
      <c r="J2996">
        <v>28.1</v>
      </c>
      <c r="K2996" t="s">
        <v>6099</v>
      </c>
      <c r="L2996" t="s">
        <v>6100</v>
      </c>
      <c r="M2996" t="s">
        <v>6100</v>
      </c>
      <c r="O2996" t="s">
        <v>6101</v>
      </c>
      <c r="P2996" t="s">
        <v>6111</v>
      </c>
      <c r="Q2996">
        <v>5</v>
      </c>
      <c r="R2996">
        <v>2026</v>
      </c>
      <c r="S2996" t="s">
        <v>6100</v>
      </c>
      <c r="T2996">
        <v>0</v>
      </c>
      <c r="U2996" t="s">
        <v>6018</v>
      </c>
      <c r="V2996">
        <v>1</v>
      </c>
    </row>
    <row r="2997" spans="1:22" x14ac:dyDescent="0.3">
      <c r="A2997" t="s">
        <v>3012</v>
      </c>
      <c r="B2997" s="2">
        <v>46153.310416666667</v>
      </c>
      <c r="C2997" s="2">
        <v>46153.481249999997</v>
      </c>
      <c r="D2997" t="s">
        <v>6023</v>
      </c>
      <c r="E2997" t="s">
        <v>6029</v>
      </c>
      <c r="F2997" t="s">
        <v>6033</v>
      </c>
      <c r="G2997" t="s">
        <v>6080</v>
      </c>
      <c r="H2997" t="s">
        <v>6096</v>
      </c>
      <c r="I2997">
        <v>72</v>
      </c>
      <c r="J2997">
        <v>4.0999999999999996</v>
      </c>
      <c r="K2997" t="s">
        <v>6100</v>
      </c>
      <c r="L2997" t="s">
        <v>6099</v>
      </c>
      <c r="M2997" t="s">
        <v>6100</v>
      </c>
      <c r="O2997" t="s">
        <v>6101</v>
      </c>
      <c r="P2997" t="s">
        <v>6111</v>
      </c>
      <c r="Q2997">
        <v>5</v>
      </c>
      <c r="R2997">
        <v>2026</v>
      </c>
      <c r="S2997" t="s">
        <v>6099</v>
      </c>
      <c r="T2997">
        <v>1</v>
      </c>
      <c r="U2997" t="s">
        <v>6017</v>
      </c>
      <c r="V2997">
        <v>0</v>
      </c>
    </row>
    <row r="2998" spans="1:22" x14ac:dyDescent="0.3">
      <c r="A2998" t="s">
        <v>3013</v>
      </c>
      <c r="B2998" s="2">
        <v>46153.328472222223</v>
      </c>
      <c r="C2998" s="2">
        <v>46153.828472222223</v>
      </c>
      <c r="D2998" t="s">
        <v>6028</v>
      </c>
      <c r="E2998" t="s">
        <v>6032</v>
      </c>
      <c r="F2998" t="s">
        <v>6035</v>
      </c>
      <c r="G2998" t="s">
        <v>6067</v>
      </c>
      <c r="H2998" t="s">
        <v>6098</v>
      </c>
      <c r="I2998">
        <v>4</v>
      </c>
      <c r="J2998">
        <v>12</v>
      </c>
      <c r="K2998" t="s">
        <v>6100</v>
      </c>
      <c r="L2998" t="s">
        <v>6099</v>
      </c>
      <c r="M2998" t="s">
        <v>6100</v>
      </c>
      <c r="N2998">
        <v>3</v>
      </c>
      <c r="O2998" t="s">
        <v>6101</v>
      </c>
      <c r="P2998" t="s">
        <v>6111</v>
      </c>
      <c r="Q2998">
        <v>5</v>
      </c>
      <c r="R2998">
        <v>2026</v>
      </c>
      <c r="S2998" t="s">
        <v>6100</v>
      </c>
      <c r="T2998">
        <v>0</v>
      </c>
      <c r="U2998" t="s">
        <v>6019</v>
      </c>
      <c r="V2998">
        <v>0</v>
      </c>
    </row>
    <row r="2999" spans="1:22" x14ac:dyDescent="0.3">
      <c r="A2999" t="s">
        <v>3014</v>
      </c>
      <c r="B2999" s="2">
        <v>46153.330555555556</v>
      </c>
      <c r="C2999" s="2">
        <v>46153.751388888886</v>
      </c>
      <c r="D2999" t="s">
        <v>6025</v>
      </c>
      <c r="E2999" t="s">
        <v>6029</v>
      </c>
      <c r="F2999" t="s">
        <v>6034</v>
      </c>
      <c r="G2999" t="s">
        <v>6093</v>
      </c>
      <c r="H2999" t="s">
        <v>6097</v>
      </c>
      <c r="I2999">
        <v>24</v>
      </c>
      <c r="J2999">
        <v>10.1</v>
      </c>
      <c r="K2999" t="s">
        <v>6099</v>
      </c>
      <c r="L2999" t="s">
        <v>6100</v>
      </c>
      <c r="M2999" t="s">
        <v>6100</v>
      </c>
      <c r="N2999">
        <v>5</v>
      </c>
      <c r="O2999" t="s">
        <v>6101</v>
      </c>
      <c r="P2999" t="s">
        <v>6111</v>
      </c>
      <c r="Q2999">
        <v>5</v>
      </c>
      <c r="R2999">
        <v>2026</v>
      </c>
      <c r="S2999" t="s">
        <v>6099</v>
      </c>
      <c r="T2999">
        <v>1</v>
      </c>
      <c r="U2999" t="s">
        <v>6020</v>
      </c>
      <c r="V2999">
        <v>1</v>
      </c>
    </row>
    <row r="3000" spans="1:22" x14ac:dyDescent="0.3">
      <c r="A3000" t="s">
        <v>3015</v>
      </c>
      <c r="B3000" s="2">
        <v>46153.342361111114</v>
      </c>
      <c r="C3000" s="2">
        <v>46153.571527777778</v>
      </c>
      <c r="D3000" t="s">
        <v>6022</v>
      </c>
      <c r="E3000" t="s">
        <v>6030</v>
      </c>
      <c r="F3000" t="s">
        <v>6033</v>
      </c>
      <c r="G3000" t="s">
        <v>6051</v>
      </c>
      <c r="H3000" t="s">
        <v>6097</v>
      </c>
      <c r="I3000">
        <v>72</v>
      </c>
      <c r="J3000">
        <v>5.5</v>
      </c>
      <c r="K3000" t="s">
        <v>6099</v>
      </c>
      <c r="L3000" t="s">
        <v>6100</v>
      </c>
      <c r="M3000" t="s">
        <v>6100</v>
      </c>
      <c r="N3000">
        <v>5</v>
      </c>
      <c r="O3000" t="s">
        <v>6101</v>
      </c>
      <c r="P3000" t="s">
        <v>6111</v>
      </c>
      <c r="Q3000">
        <v>5</v>
      </c>
      <c r="R3000">
        <v>2026</v>
      </c>
      <c r="S3000" t="s">
        <v>6099</v>
      </c>
      <c r="T3000">
        <v>1</v>
      </c>
      <c r="U3000" t="s">
        <v>6018</v>
      </c>
      <c r="V3000">
        <v>1</v>
      </c>
    </row>
    <row r="3001" spans="1:22" x14ac:dyDescent="0.3">
      <c r="A3001" t="s">
        <v>3016</v>
      </c>
      <c r="B3001" s="2">
        <v>46153.385416666664</v>
      </c>
      <c r="C3001" s="2">
        <v>46153.439583333333</v>
      </c>
      <c r="D3001" t="s">
        <v>6023</v>
      </c>
      <c r="E3001" t="s">
        <v>6029</v>
      </c>
      <c r="F3001" t="s">
        <v>6034</v>
      </c>
      <c r="G3001" t="s">
        <v>6060</v>
      </c>
      <c r="H3001" t="s">
        <v>6097</v>
      </c>
      <c r="I3001">
        <v>24</v>
      </c>
      <c r="J3001">
        <v>1.3</v>
      </c>
      <c r="K3001" t="s">
        <v>6099</v>
      </c>
      <c r="L3001" t="s">
        <v>6100</v>
      </c>
      <c r="M3001" t="s">
        <v>6100</v>
      </c>
      <c r="N3001">
        <v>4</v>
      </c>
      <c r="O3001" t="s">
        <v>6101</v>
      </c>
      <c r="P3001" t="s">
        <v>6111</v>
      </c>
      <c r="Q3001">
        <v>5</v>
      </c>
      <c r="R3001">
        <v>2026</v>
      </c>
      <c r="S3001" t="s">
        <v>6099</v>
      </c>
      <c r="T3001">
        <v>1</v>
      </c>
      <c r="U3001" t="s">
        <v>6017</v>
      </c>
      <c r="V3001">
        <v>1</v>
      </c>
    </row>
    <row r="3002" spans="1:22" x14ac:dyDescent="0.3">
      <c r="A3002" t="s">
        <v>3017</v>
      </c>
      <c r="B3002" s="2">
        <v>46153.39166666667</v>
      </c>
      <c r="C3002" s="2">
        <v>46154.362500000003</v>
      </c>
      <c r="D3002" t="s">
        <v>6024</v>
      </c>
      <c r="E3002" t="s">
        <v>6029</v>
      </c>
      <c r="F3002" t="s">
        <v>6033</v>
      </c>
      <c r="G3002" t="s">
        <v>6070</v>
      </c>
      <c r="H3002" t="s">
        <v>6097</v>
      </c>
      <c r="I3002">
        <v>72</v>
      </c>
      <c r="J3002">
        <v>23.3</v>
      </c>
      <c r="K3002" t="s">
        <v>6099</v>
      </c>
      <c r="L3002" t="s">
        <v>6100</v>
      </c>
      <c r="M3002" t="s">
        <v>6100</v>
      </c>
      <c r="O3002" t="s">
        <v>6101</v>
      </c>
      <c r="P3002" t="s">
        <v>6111</v>
      </c>
      <c r="Q3002">
        <v>5</v>
      </c>
      <c r="R3002">
        <v>2026</v>
      </c>
      <c r="S3002" t="s">
        <v>6099</v>
      </c>
      <c r="T3002">
        <v>1</v>
      </c>
      <c r="U3002" t="s">
        <v>6021</v>
      </c>
      <c r="V3002">
        <v>1</v>
      </c>
    </row>
    <row r="3003" spans="1:22" x14ac:dyDescent="0.3">
      <c r="A3003" t="s">
        <v>3018</v>
      </c>
      <c r="B3003" s="2">
        <v>46153.423611111109</v>
      </c>
      <c r="C3003" s="2">
        <v>46154.756944444445</v>
      </c>
      <c r="D3003" t="s">
        <v>6022</v>
      </c>
      <c r="E3003" t="s">
        <v>6031</v>
      </c>
      <c r="F3003" t="s">
        <v>6034</v>
      </c>
      <c r="G3003" t="s">
        <v>6042</v>
      </c>
      <c r="H3003" t="s">
        <v>6098</v>
      </c>
      <c r="I3003">
        <v>24</v>
      </c>
      <c r="J3003">
        <v>32</v>
      </c>
      <c r="K3003" t="s">
        <v>6099</v>
      </c>
      <c r="L3003" t="s">
        <v>6100</v>
      </c>
      <c r="M3003" t="s">
        <v>6100</v>
      </c>
      <c r="O3003" t="s">
        <v>6101</v>
      </c>
      <c r="P3003" t="s">
        <v>6111</v>
      </c>
      <c r="Q3003">
        <v>5</v>
      </c>
      <c r="R3003">
        <v>2026</v>
      </c>
      <c r="S3003" t="s">
        <v>6100</v>
      </c>
      <c r="T3003">
        <v>0</v>
      </c>
      <c r="U3003" t="s">
        <v>6018</v>
      </c>
      <c r="V3003">
        <v>1</v>
      </c>
    </row>
    <row r="3004" spans="1:22" x14ac:dyDescent="0.3">
      <c r="A3004" t="s">
        <v>3019</v>
      </c>
      <c r="B3004" s="2">
        <v>46153.432638888888</v>
      </c>
      <c r="C3004" s="2">
        <v>46153.657638888886</v>
      </c>
      <c r="D3004" t="s">
        <v>6022</v>
      </c>
      <c r="E3004" t="s">
        <v>6029</v>
      </c>
      <c r="F3004" t="s">
        <v>6034</v>
      </c>
      <c r="G3004" t="s">
        <v>6067</v>
      </c>
      <c r="H3004" t="s">
        <v>6098</v>
      </c>
      <c r="I3004">
        <v>24</v>
      </c>
      <c r="J3004">
        <v>5.4</v>
      </c>
      <c r="K3004" t="s">
        <v>6099</v>
      </c>
      <c r="L3004" t="s">
        <v>6100</v>
      </c>
      <c r="M3004" t="s">
        <v>6100</v>
      </c>
      <c r="N3004">
        <v>5</v>
      </c>
      <c r="O3004" t="s">
        <v>6101</v>
      </c>
      <c r="P3004" t="s">
        <v>6111</v>
      </c>
      <c r="Q3004">
        <v>5</v>
      </c>
      <c r="R3004">
        <v>2026</v>
      </c>
      <c r="S3004" t="s">
        <v>6099</v>
      </c>
      <c r="T3004">
        <v>1</v>
      </c>
      <c r="U3004" t="s">
        <v>6018</v>
      </c>
      <c r="V3004">
        <v>1</v>
      </c>
    </row>
    <row r="3005" spans="1:22" x14ac:dyDescent="0.3">
      <c r="A3005" t="s">
        <v>3020</v>
      </c>
      <c r="B3005" s="2">
        <v>46153.433333333334</v>
      </c>
      <c r="C3005" s="2">
        <v>46153.75</v>
      </c>
      <c r="D3005" t="s">
        <v>6024</v>
      </c>
      <c r="E3005" t="s">
        <v>6029</v>
      </c>
      <c r="F3005" t="s">
        <v>6034</v>
      </c>
      <c r="G3005" t="s">
        <v>6045</v>
      </c>
      <c r="H3005" t="s">
        <v>6096</v>
      </c>
      <c r="I3005">
        <v>24</v>
      </c>
      <c r="J3005">
        <v>7.6</v>
      </c>
      <c r="K3005" t="s">
        <v>6099</v>
      </c>
      <c r="L3005" t="s">
        <v>6100</v>
      </c>
      <c r="M3005" t="s">
        <v>6100</v>
      </c>
      <c r="N3005">
        <v>4</v>
      </c>
      <c r="O3005" t="s">
        <v>6101</v>
      </c>
      <c r="P3005" t="s">
        <v>6111</v>
      </c>
      <c r="Q3005">
        <v>5</v>
      </c>
      <c r="R3005">
        <v>2026</v>
      </c>
      <c r="S3005" t="s">
        <v>6099</v>
      </c>
      <c r="T3005">
        <v>1</v>
      </c>
      <c r="U3005" t="s">
        <v>6019</v>
      </c>
      <c r="V3005">
        <v>1</v>
      </c>
    </row>
    <row r="3006" spans="1:22" x14ac:dyDescent="0.3">
      <c r="A3006" t="s">
        <v>3021</v>
      </c>
      <c r="B3006" s="2">
        <v>46153.506249999999</v>
      </c>
      <c r="C3006" s="2">
        <v>46154.960416666669</v>
      </c>
      <c r="D3006" t="s">
        <v>6027</v>
      </c>
      <c r="E3006" t="s">
        <v>6031</v>
      </c>
      <c r="F3006" t="s">
        <v>6033</v>
      </c>
      <c r="G3006" t="s">
        <v>6056</v>
      </c>
      <c r="H3006" t="s">
        <v>6098</v>
      </c>
      <c r="I3006">
        <v>72</v>
      </c>
      <c r="J3006">
        <v>34.9</v>
      </c>
      <c r="K3006" t="s">
        <v>6099</v>
      </c>
      <c r="L3006" t="s">
        <v>6100</v>
      </c>
      <c r="M3006" t="s">
        <v>6099</v>
      </c>
      <c r="N3006">
        <v>2</v>
      </c>
      <c r="O3006" t="s">
        <v>6101</v>
      </c>
      <c r="P3006" t="s">
        <v>6111</v>
      </c>
      <c r="Q3006">
        <v>5</v>
      </c>
      <c r="R3006">
        <v>2026</v>
      </c>
      <c r="S3006" t="s">
        <v>6099</v>
      </c>
      <c r="T3006">
        <v>1</v>
      </c>
      <c r="U3006" t="s">
        <v>6021</v>
      </c>
      <c r="V3006">
        <v>1</v>
      </c>
    </row>
    <row r="3007" spans="1:22" x14ac:dyDescent="0.3">
      <c r="A3007" t="s">
        <v>3022</v>
      </c>
      <c r="B3007" s="2">
        <v>46153.586111111108</v>
      </c>
      <c r="C3007" s="2">
        <v>46154.606944444444</v>
      </c>
      <c r="D3007" t="s">
        <v>6022</v>
      </c>
      <c r="E3007" t="s">
        <v>6029</v>
      </c>
      <c r="F3007" t="s">
        <v>6034</v>
      </c>
      <c r="G3007" t="s">
        <v>6048</v>
      </c>
      <c r="H3007" t="s">
        <v>6096</v>
      </c>
      <c r="I3007">
        <v>24</v>
      </c>
      <c r="J3007">
        <v>24.5</v>
      </c>
      <c r="K3007" t="s">
        <v>6099</v>
      </c>
      <c r="L3007" t="s">
        <v>6100</v>
      </c>
      <c r="M3007" t="s">
        <v>6100</v>
      </c>
      <c r="O3007" t="s">
        <v>6101</v>
      </c>
      <c r="P3007" t="s">
        <v>6111</v>
      </c>
      <c r="Q3007">
        <v>5</v>
      </c>
      <c r="R3007">
        <v>2026</v>
      </c>
      <c r="S3007" t="s">
        <v>6100</v>
      </c>
      <c r="T3007">
        <v>0</v>
      </c>
      <c r="U3007" t="s">
        <v>6018</v>
      </c>
      <c r="V3007">
        <v>1</v>
      </c>
    </row>
    <row r="3008" spans="1:22" x14ac:dyDescent="0.3">
      <c r="A3008" t="s">
        <v>3023</v>
      </c>
      <c r="B3008" s="2">
        <v>46153.624305555553</v>
      </c>
      <c r="C3008" s="2">
        <v>46154.220138888886</v>
      </c>
      <c r="D3008" t="s">
        <v>6025</v>
      </c>
      <c r="E3008" t="s">
        <v>6032</v>
      </c>
      <c r="F3008" t="s">
        <v>6035</v>
      </c>
      <c r="G3008" t="s">
        <v>6082</v>
      </c>
      <c r="H3008" t="s">
        <v>6097</v>
      </c>
      <c r="I3008">
        <v>4</v>
      </c>
      <c r="J3008">
        <v>14.3</v>
      </c>
      <c r="K3008" t="s">
        <v>6099</v>
      </c>
      <c r="L3008" t="s">
        <v>6100</v>
      </c>
      <c r="M3008" t="s">
        <v>6099</v>
      </c>
      <c r="O3008" t="s">
        <v>6101</v>
      </c>
      <c r="P3008" t="s">
        <v>6111</v>
      </c>
      <c r="Q3008">
        <v>5</v>
      </c>
      <c r="R3008">
        <v>2026</v>
      </c>
      <c r="S3008" t="s">
        <v>6100</v>
      </c>
      <c r="T3008">
        <v>0</v>
      </c>
      <c r="U3008" t="s">
        <v>6018</v>
      </c>
      <c r="V3008">
        <v>1</v>
      </c>
    </row>
    <row r="3009" spans="1:22" x14ac:dyDescent="0.3">
      <c r="A3009" t="s">
        <v>3024</v>
      </c>
      <c r="B3009" s="2">
        <v>46153.674305555556</v>
      </c>
      <c r="C3009" s="2">
        <v>46154.290972222225</v>
      </c>
      <c r="D3009" t="s">
        <v>6025</v>
      </c>
      <c r="E3009" t="s">
        <v>6029</v>
      </c>
      <c r="F3009" t="s">
        <v>6033</v>
      </c>
      <c r="G3009" t="s">
        <v>6067</v>
      </c>
      <c r="H3009" t="s">
        <v>6098</v>
      </c>
      <c r="I3009">
        <v>72</v>
      </c>
      <c r="J3009">
        <v>14.8</v>
      </c>
      <c r="K3009" t="s">
        <v>6099</v>
      </c>
      <c r="L3009" t="s">
        <v>6100</v>
      </c>
      <c r="M3009" t="s">
        <v>6100</v>
      </c>
      <c r="O3009" t="s">
        <v>6101</v>
      </c>
      <c r="P3009" t="s">
        <v>6111</v>
      </c>
      <c r="Q3009">
        <v>5</v>
      </c>
      <c r="R3009">
        <v>2026</v>
      </c>
      <c r="S3009" t="s">
        <v>6099</v>
      </c>
      <c r="T3009">
        <v>1</v>
      </c>
      <c r="U3009" t="s">
        <v>6021</v>
      </c>
      <c r="V3009">
        <v>1</v>
      </c>
    </row>
    <row r="3010" spans="1:22" x14ac:dyDescent="0.3">
      <c r="A3010" t="s">
        <v>3025</v>
      </c>
      <c r="B3010" s="2">
        <v>46153.680555555555</v>
      </c>
      <c r="C3010" s="2">
        <v>46153.87222222222</v>
      </c>
      <c r="D3010" t="s">
        <v>6023</v>
      </c>
      <c r="E3010" t="s">
        <v>6032</v>
      </c>
      <c r="F3010" t="s">
        <v>6033</v>
      </c>
      <c r="G3010" t="s">
        <v>6041</v>
      </c>
      <c r="H3010" t="s">
        <v>6096</v>
      </c>
      <c r="I3010">
        <v>72</v>
      </c>
      <c r="J3010">
        <v>4.5999999999999996</v>
      </c>
      <c r="K3010" t="s">
        <v>6099</v>
      </c>
      <c r="L3010" t="s">
        <v>6100</v>
      </c>
      <c r="M3010" t="s">
        <v>6100</v>
      </c>
      <c r="N3010">
        <v>5</v>
      </c>
      <c r="O3010" t="s">
        <v>6101</v>
      </c>
      <c r="P3010" t="s">
        <v>6111</v>
      </c>
      <c r="Q3010">
        <v>5</v>
      </c>
      <c r="R3010">
        <v>2026</v>
      </c>
      <c r="S3010" t="s">
        <v>6099</v>
      </c>
      <c r="T3010">
        <v>1</v>
      </c>
      <c r="U3010" t="s">
        <v>6021</v>
      </c>
      <c r="V3010">
        <v>1</v>
      </c>
    </row>
    <row r="3011" spans="1:22" x14ac:dyDescent="0.3">
      <c r="A3011" t="s">
        <v>3026</v>
      </c>
      <c r="B3011" s="2">
        <v>46153.691666666666</v>
      </c>
      <c r="C3011" s="2">
        <v>46153.887499999997</v>
      </c>
      <c r="D3011" t="s">
        <v>6028</v>
      </c>
      <c r="E3011" t="s">
        <v>6030</v>
      </c>
      <c r="F3011" t="s">
        <v>6033</v>
      </c>
      <c r="G3011" t="s">
        <v>6093</v>
      </c>
      <c r="H3011" t="s">
        <v>6097</v>
      </c>
      <c r="I3011">
        <v>72</v>
      </c>
      <c r="J3011">
        <v>4.7</v>
      </c>
      <c r="K3011" t="s">
        <v>6099</v>
      </c>
      <c r="L3011" t="s">
        <v>6100</v>
      </c>
      <c r="M3011" t="s">
        <v>6100</v>
      </c>
      <c r="N3011">
        <v>5</v>
      </c>
      <c r="O3011" t="s">
        <v>6101</v>
      </c>
      <c r="P3011" t="s">
        <v>6111</v>
      </c>
      <c r="Q3011">
        <v>5</v>
      </c>
      <c r="R3011">
        <v>2026</v>
      </c>
      <c r="S3011" t="s">
        <v>6099</v>
      </c>
      <c r="T3011">
        <v>1</v>
      </c>
      <c r="U3011" t="s">
        <v>6018</v>
      </c>
      <c r="V3011">
        <v>1</v>
      </c>
    </row>
    <row r="3012" spans="1:22" x14ac:dyDescent="0.3">
      <c r="A3012" t="s">
        <v>3027</v>
      </c>
      <c r="B3012" s="2">
        <v>46153.730555555558</v>
      </c>
      <c r="C3012" s="2">
        <v>46153.022222222222</v>
      </c>
      <c r="D3012" t="s">
        <v>6022</v>
      </c>
      <c r="E3012" t="s">
        <v>6030</v>
      </c>
      <c r="F3012" t="s">
        <v>6033</v>
      </c>
      <c r="G3012" t="s">
        <v>6073</v>
      </c>
      <c r="H3012" t="s">
        <v>6096</v>
      </c>
      <c r="I3012">
        <v>72</v>
      </c>
      <c r="J3012">
        <v>13.2</v>
      </c>
      <c r="K3012" t="s">
        <v>6100</v>
      </c>
      <c r="L3012" t="s">
        <v>6099</v>
      </c>
      <c r="M3012" t="s">
        <v>6100</v>
      </c>
      <c r="N3012">
        <v>3</v>
      </c>
      <c r="O3012" t="s">
        <v>6101</v>
      </c>
      <c r="P3012" t="s">
        <v>6111</v>
      </c>
      <c r="Q3012">
        <v>5</v>
      </c>
      <c r="R3012">
        <v>2026</v>
      </c>
      <c r="S3012" t="s">
        <v>6099</v>
      </c>
      <c r="T3012">
        <v>1</v>
      </c>
      <c r="U3012" t="s">
        <v>6019</v>
      </c>
      <c r="V3012">
        <v>0</v>
      </c>
    </row>
    <row r="3013" spans="1:22" x14ac:dyDescent="0.3">
      <c r="A3013" t="s">
        <v>3028</v>
      </c>
      <c r="B3013" s="2">
        <v>46153.755555555559</v>
      </c>
      <c r="C3013" s="2">
        <v>46154.084722222222</v>
      </c>
      <c r="D3013" t="s">
        <v>6024</v>
      </c>
      <c r="E3013" t="s">
        <v>6030</v>
      </c>
      <c r="F3013" t="s">
        <v>6033</v>
      </c>
      <c r="G3013" t="s">
        <v>6061</v>
      </c>
      <c r="H3013" t="s">
        <v>6096</v>
      </c>
      <c r="I3013">
        <v>72</v>
      </c>
      <c r="J3013">
        <v>7.9</v>
      </c>
      <c r="K3013" t="s">
        <v>6100</v>
      </c>
      <c r="L3013" t="s">
        <v>6100</v>
      </c>
      <c r="M3013" t="s">
        <v>6100</v>
      </c>
      <c r="O3013" t="s">
        <v>6101</v>
      </c>
      <c r="P3013" t="s">
        <v>6111</v>
      </c>
      <c r="Q3013">
        <v>5</v>
      </c>
      <c r="R3013">
        <v>2026</v>
      </c>
      <c r="S3013" t="s">
        <v>6099</v>
      </c>
      <c r="T3013">
        <v>1</v>
      </c>
      <c r="U3013" t="s">
        <v>6020</v>
      </c>
      <c r="V3013">
        <v>0</v>
      </c>
    </row>
    <row r="3014" spans="1:22" x14ac:dyDescent="0.3">
      <c r="A3014" t="s">
        <v>3029</v>
      </c>
      <c r="B3014" s="2">
        <v>46153.769444444442</v>
      </c>
      <c r="C3014" s="2">
        <v>46157.527777777781</v>
      </c>
      <c r="D3014" t="s">
        <v>6022</v>
      </c>
      <c r="E3014" t="s">
        <v>6032</v>
      </c>
      <c r="F3014" t="s">
        <v>6033</v>
      </c>
      <c r="G3014" t="s">
        <v>6088</v>
      </c>
      <c r="H3014" t="s">
        <v>6097</v>
      </c>
      <c r="I3014">
        <v>72</v>
      </c>
      <c r="J3014">
        <v>90.2</v>
      </c>
      <c r="K3014" t="s">
        <v>6099</v>
      </c>
      <c r="L3014" t="s">
        <v>6100</v>
      </c>
      <c r="M3014" t="s">
        <v>6100</v>
      </c>
      <c r="N3014">
        <v>3</v>
      </c>
      <c r="O3014" t="s">
        <v>6101</v>
      </c>
      <c r="P3014" t="s">
        <v>6111</v>
      </c>
      <c r="Q3014">
        <v>5</v>
      </c>
      <c r="R3014">
        <v>2026</v>
      </c>
      <c r="S3014" t="s">
        <v>6100</v>
      </c>
      <c r="T3014">
        <v>0</v>
      </c>
      <c r="U3014" t="s">
        <v>6019</v>
      </c>
      <c r="V3014">
        <v>1</v>
      </c>
    </row>
    <row r="3015" spans="1:22" x14ac:dyDescent="0.3">
      <c r="A3015" t="s">
        <v>3030</v>
      </c>
      <c r="B3015" s="2">
        <v>46153.780555555553</v>
      </c>
      <c r="C3015" s="2">
        <v>46154.284722222219</v>
      </c>
      <c r="D3015" t="s">
        <v>6024</v>
      </c>
      <c r="E3015" t="s">
        <v>6029</v>
      </c>
      <c r="F3015" t="s">
        <v>6034</v>
      </c>
      <c r="G3015" t="s">
        <v>6036</v>
      </c>
      <c r="H3015" t="s">
        <v>6096</v>
      </c>
      <c r="I3015">
        <v>24</v>
      </c>
      <c r="J3015">
        <v>12.1</v>
      </c>
      <c r="K3015" t="s">
        <v>6099</v>
      </c>
      <c r="L3015" t="s">
        <v>6100</v>
      </c>
      <c r="M3015" t="s">
        <v>6100</v>
      </c>
      <c r="N3015">
        <v>4</v>
      </c>
      <c r="O3015" t="s">
        <v>6101</v>
      </c>
      <c r="P3015" t="s">
        <v>6111</v>
      </c>
      <c r="Q3015">
        <v>5</v>
      </c>
      <c r="R3015">
        <v>2026</v>
      </c>
      <c r="S3015" t="s">
        <v>6099</v>
      </c>
      <c r="T3015">
        <v>1</v>
      </c>
      <c r="U3015" t="s">
        <v>6018</v>
      </c>
      <c r="V3015">
        <v>1</v>
      </c>
    </row>
    <row r="3016" spans="1:22" x14ac:dyDescent="0.3">
      <c r="A3016" t="s">
        <v>3031</v>
      </c>
      <c r="B3016" s="2">
        <v>46154.004861111112</v>
      </c>
      <c r="C3016" s="2">
        <v>46154.254861111112</v>
      </c>
      <c r="D3016" t="s">
        <v>6023</v>
      </c>
      <c r="E3016" t="s">
        <v>6029</v>
      </c>
      <c r="F3016" t="s">
        <v>6034</v>
      </c>
      <c r="G3016" t="s">
        <v>6091</v>
      </c>
      <c r="H3016" t="s">
        <v>6097</v>
      </c>
      <c r="I3016">
        <v>24</v>
      </c>
      <c r="J3016">
        <v>6</v>
      </c>
      <c r="K3016" t="s">
        <v>6099</v>
      </c>
      <c r="L3016" t="s">
        <v>6100</v>
      </c>
      <c r="M3016" t="s">
        <v>6100</v>
      </c>
      <c r="N3016">
        <v>5</v>
      </c>
      <c r="O3016" t="s">
        <v>6101</v>
      </c>
      <c r="P3016" t="s">
        <v>6111</v>
      </c>
      <c r="Q3016">
        <v>5</v>
      </c>
      <c r="R3016">
        <v>2026</v>
      </c>
      <c r="S3016" t="s">
        <v>6099</v>
      </c>
      <c r="T3016">
        <v>1</v>
      </c>
      <c r="U3016" t="s">
        <v>6021</v>
      </c>
      <c r="V3016">
        <v>1</v>
      </c>
    </row>
    <row r="3017" spans="1:22" x14ac:dyDescent="0.3">
      <c r="A3017" t="s">
        <v>3032</v>
      </c>
      <c r="B3017" s="2">
        <v>46154.113888888889</v>
      </c>
      <c r="C3017" s="2">
        <v>46155.293055555558</v>
      </c>
      <c r="D3017" t="s">
        <v>6023</v>
      </c>
      <c r="E3017" t="s">
        <v>6032</v>
      </c>
      <c r="F3017" t="s">
        <v>6033</v>
      </c>
      <c r="G3017" t="s">
        <v>6040</v>
      </c>
      <c r="H3017" t="s">
        <v>6097</v>
      </c>
      <c r="I3017">
        <v>72</v>
      </c>
      <c r="J3017">
        <v>28.3</v>
      </c>
      <c r="K3017" t="s">
        <v>6099</v>
      </c>
      <c r="L3017" t="s">
        <v>6100</v>
      </c>
      <c r="M3017" t="s">
        <v>6100</v>
      </c>
      <c r="N3017">
        <v>5</v>
      </c>
      <c r="O3017" t="s">
        <v>6101</v>
      </c>
      <c r="P3017" t="s">
        <v>6111</v>
      </c>
      <c r="Q3017">
        <v>5</v>
      </c>
      <c r="R3017">
        <v>2026</v>
      </c>
      <c r="S3017" t="s">
        <v>6099</v>
      </c>
      <c r="T3017">
        <v>1</v>
      </c>
      <c r="U3017" t="s">
        <v>6019</v>
      </c>
      <c r="V3017">
        <v>1</v>
      </c>
    </row>
    <row r="3018" spans="1:22" x14ac:dyDescent="0.3">
      <c r="A3018" t="s">
        <v>3033</v>
      </c>
      <c r="B3018" s="2">
        <v>46154.199305555558</v>
      </c>
      <c r="C3018" s="2">
        <v>46154.420138888891</v>
      </c>
      <c r="D3018" t="s">
        <v>6028</v>
      </c>
      <c r="E3018" t="s">
        <v>6029</v>
      </c>
      <c r="F3018" t="s">
        <v>6035</v>
      </c>
      <c r="G3018" t="s">
        <v>6050</v>
      </c>
      <c r="H3018" t="s">
        <v>6098</v>
      </c>
      <c r="I3018">
        <v>4</v>
      </c>
      <c r="J3018">
        <v>5.3</v>
      </c>
      <c r="K3018" t="s">
        <v>6099</v>
      </c>
      <c r="L3018" t="s">
        <v>6100</v>
      </c>
      <c r="M3018" t="s">
        <v>6100</v>
      </c>
      <c r="N3018">
        <v>3</v>
      </c>
      <c r="O3018" t="s">
        <v>6101</v>
      </c>
      <c r="P3018" t="s">
        <v>6111</v>
      </c>
      <c r="Q3018">
        <v>5</v>
      </c>
      <c r="R3018">
        <v>2026</v>
      </c>
      <c r="S3018" t="s">
        <v>6100</v>
      </c>
      <c r="T3018">
        <v>0</v>
      </c>
      <c r="U3018" t="s">
        <v>6021</v>
      </c>
      <c r="V3018">
        <v>1</v>
      </c>
    </row>
    <row r="3019" spans="1:22" x14ac:dyDescent="0.3">
      <c r="A3019" t="s">
        <v>3034</v>
      </c>
      <c r="B3019" s="2">
        <v>46154.220138888886</v>
      </c>
      <c r="C3019" s="2">
        <v>46159.520138888889</v>
      </c>
      <c r="D3019" t="s">
        <v>6022</v>
      </c>
      <c r="E3019" t="s">
        <v>6031</v>
      </c>
      <c r="F3019" t="s">
        <v>6035</v>
      </c>
      <c r="G3019" t="s">
        <v>6050</v>
      </c>
      <c r="H3019" t="s">
        <v>6098</v>
      </c>
      <c r="I3019">
        <v>4</v>
      </c>
      <c r="J3019">
        <v>127.2</v>
      </c>
      <c r="K3019" t="s">
        <v>6099</v>
      </c>
      <c r="L3019" t="s">
        <v>6100</v>
      </c>
      <c r="M3019" t="s">
        <v>6100</v>
      </c>
      <c r="O3019" t="s">
        <v>6101</v>
      </c>
      <c r="P3019" t="s">
        <v>6111</v>
      </c>
      <c r="Q3019">
        <v>5</v>
      </c>
      <c r="R3019">
        <v>2026</v>
      </c>
      <c r="S3019" t="s">
        <v>6100</v>
      </c>
      <c r="T3019">
        <v>0</v>
      </c>
      <c r="U3019" t="s">
        <v>6019</v>
      </c>
      <c r="V3019">
        <v>1</v>
      </c>
    </row>
    <row r="3020" spans="1:22" x14ac:dyDescent="0.3">
      <c r="A3020" t="s">
        <v>3035</v>
      </c>
      <c r="B3020" s="2">
        <v>46154.292361111111</v>
      </c>
      <c r="C3020" s="2">
        <v>46154.592361111114</v>
      </c>
      <c r="D3020" t="s">
        <v>6022</v>
      </c>
      <c r="E3020" t="s">
        <v>6031</v>
      </c>
      <c r="F3020" t="s">
        <v>6033</v>
      </c>
      <c r="G3020" t="s">
        <v>6043</v>
      </c>
      <c r="H3020" t="s">
        <v>6097</v>
      </c>
      <c r="I3020">
        <v>72</v>
      </c>
      <c r="J3020">
        <v>7.2</v>
      </c>
      <c r="K3020" t="s">
        <v>6099</v>
      </c>
      <c r="L3020" t="s">
        <v>6100</v>
      </c>
      <c r="M3020" t="s">
        <v>6100</v>
      </c>
      <c r="O3020" t="s">
        <v>6101</v>
      </c>
      <c r="P3020" t="s">
        <v>6111</v>
      </c>
      <c r="Q3020">
        <v>5</v>
      </c>
      <c r="R3020">
        <v>2026</v>
      </c>
      <c r="S3020" t="s">
        <v>6099</v>
      </c>
      <c r="T3020">
        <v>1</v>
      </c>
      <c r="U3020" t="s">
        <v>6021</v>
      </c>
      <c r="V3020">
        <v>1</v>
      </c>
    </row>
    <row r="3021" spans="1:22" x14ac:dyDescent="0.3">
      <c r="A3021" t="s">
        <v>3036</v>
      </c>
      <c r="B3021" s="2">
        <v>46154.404861111114</v>
      </c>
      <c r="C3021" s="2">
        <v>46155.438194444447</v>
      </c>
      <c r="D3021" t="s">
        <v>6026</v>
      </c>
      <c r="E3021" t="s">
        <v>6030</v>
      </c>
      <c r="F3021" t="s">
        <v>6034</v>
      </c>
      <c r="G3021" t="s">
        <v>6054</v>
      </c>
      <c r="H3021" t="s">
        <v>6096</v>
      </c>
      <c r="I3021">
        <v>24</v>
      </c>
      <c r="J3021">
        <v>24.8</v>
      </c>
      <c r="K3021" t="s">
        <v>6099</v>
      </c>
      <c r="L3021" t="s">
        <v>6100</v>
      </c>
      <c r="M3021" t="s">
        <v>6100</v>
      </c>
      <c r="N3021">
        <v>3</v>
      </c>
      <c r="O3021" t="s">
        <v>6101</v>
      </c>
      <c r="P3021" t="s">
        <v>6111</v>
      </c>
      <c r="Q3021">
        <v>5</v>
      </c>
      <c r="R3021">
        <v>2026</v>
      </c>
      <c r="S3021" t="s">
        <v>6100</v>
      </c>
      <c r="T3021">
        <v>0</v>
      </c>
      <c r="U3021" t="s">
        <v>6021</v>
      </c>
      <c r="V3021">
        <v>1</v>
      </c>
    </row>
    <row r="3022" spans="1:22" x14ac:dyDescent="0.3">
      <c r="A3022" t="s">
        <v>3037</v>
      </c>
      <c r="B3022" s="2">
        <v>46154.413888888892</v>
      </c>
      <c r="C3022" s="2">
        <v>46155.005555555559</v>
      </c>
      <c r="D3022" t="s">
        <v>6022</v>
      </c>
      <c r="E3022" t="s">
        <v>6029</v>
      </c>
      <c r="F3022" t="s">
        <v>6034</v>
      </c>
      <c r="G3022" t="s">
        <v>6069</v>
      </c>
      <c r="H3022" t="s">
        <v>6098</v>
      </c>
      <c r="I3022">
        <v>24</v>
      </c>
      <c r="J3022">
        <v>14.2</v>
      </c>
      <c r="K3022" t="s">
        <v>6099</v>
      </c>
      <c r="L3022" t="s">
        <v>6100</v>
      </c>
      <c r="M3022" t="s">
        <v>6100</v>
      </c>
      <c r="N3022">
        <v>5</v>
      </c>
      <c r="O3022" t="s">
        <v>6101</v>
      </c>
      <c r="P3022" t="s">
        <v>6111</v>
      </c>
      <c r="Q3022">
        <v>5</v>
      </c>
      <c r="R3022">
        <v>2026</v>
      </c>
      <c r="S3022" t="s">
        <v>6099</v>
      </c>
      <c r="T3022">
        <v>1</v>
      </c>
      <c r="U3022" t="s">
        <v>6018</v>
      </c>
      <c r="V3022">
        <v>1</v>
      </c>
    </row>
    <row r="3023" spans="1:22" x14ac:dyDescent="0.3">
      <c r="A3023" t="s">
        <v>3038</v>
      </c>
      <c r="B3023" s="2">
        <v>46154.429861111108</v>
      </c>
      <c r="C3023" s="2">
        <v>46154.72152777778</v>
      </c>
      <c r="D3023" t="s">
        <v>6022</v>
      </c>
      <c r="E3023" t="s">
        <v>6029</v>
      </c>
      <c r="F3023" t="s">
        <v>6034</v>
      </c>
      <c r="G3023" t="s">
        <v>6065</v>
      </c>
      <c r="H3023" t="s">
        <v>6097</v>
      </c>
      <c r="I3023">
        <v>24</v>
      </c>
      <c r="J3023">
        <v>7</v>
      </c>
      <c r="K3023" t="s">
        <v>6099</v>
      </c>
      <c r="L3023" t="s">
        <v>6100</v>
      </c>
      <c r="M3023" t="s">
        <v>6100</v>
      </c>
      <c r="O3023" t="s">
        <v>6101</v>
      </c>
      <c r="P3023" t="s">
        <v>6111</v>
      </c>
      <c r="Q3023">
        <v>5</v>
      </c>
      <c r="R3023">
        <v>2026</v>
      </c>
      <c r="S3023" t="s">
        <v>6099</v>
      </c>
      <c r="T3023">
        <v>1</v>
      </c>
      <c r="U3023" t="s">
        <v>6020</v>
      </c>
      <c r="V3023">
        <v>1</v>
      </c>
    </row>
    <row r="3024" spans="1:22" x14ac:dyDescent="0.3">
      <c r="A3024" t="s">
        <v>3039</v>
      </c>
      <c r="B3024" s="2">
        <v>46154.464583333334</v>
      </c>
      <c r="C3024" s="2">
        <v>46154.760416666664</v>
      </c>
      <c r="D3024" t="s">
        <v>6025</v>
      </c>
      <c r="E3024" t="s">
        <v>6029</v>
      </c>
      <c r="F3024" t="s">
        <v>6034</v>
      </c>
      <c r="G3024" t="s">
        <v>6071</v>
      </c>
      <c r="H3024" t="s">
        <v>6098</v>
      </c>
      <c r="I3024">
        <v>24</v>
      </c>
      <c r="J3024">
        <v>7.1</v>
      </c>
      <c r="K3024" t="s">
        <v>6099</v>
      </c>
      <c r="L3024" t="s">
        <v>6100</v>
      </c>
      <c r="M3024" t="s">
        <v>6100</v>
      </c>
      <c r="N3024">
        <v>5</v>
      </c>
      <c r="O3024" t="s">
        <v>6101</v>
      </c>
      <c r="P3024" t="s">
        <v>6111</v>
      </c>
      <c r="Q3024">
        <v>5</v>
      </c>
      <c r="R3024">
        <v>2026</v>
      </c>
      <c r="S3024" t="s">
        <v>6099</v>
      </c>
      <c r="T3024">
        <v>1</v>
      </c>
      <c r="U3024" t="s">
        <v>6020</v>
      </c>
      <c r="V3024">
        <v>1</v>
      </c>
    </row>
    <row r="3025" spans="1:22" x14ac:dyDescent="0.3">
      <c r="A3025" t="s">
        <v>3040</v>
      </c>
      <c r="B3025" s="2">
        <v>46154.479861111111</v>
      </c>
      <c r="C3025" s="2">
        <v>46154.709027777775</v>
      </c>
      <c r="D3025" t="s">
        <v>6023</v>
      </c>
      <c r="E3025" t="s">
        <v>6029</v>
      </c>
      <c r="F3025" t="s">
        <v>6033</v>
      </c>
      <c r="G3025" t="s">
        <v>6072</v>
      </c>
      <c r="H3025" t="s">
        <v>6097</v>
      </c>
      <c r="I3025">
        <v>72</v>
      </c>
      <c r="J3025">
        <v>5.5</v>
      </c>
      <c r="K3025" t="s">
        <v>6099</v>
      </c>
      <c r="L3025" t="s">
        <v>6100</v>
      </c>
      <c r="M3025" t="s">
        <v>6100</v>
      </c>
      <c r="O3025" t="s">
        <v>6101</v>
      </c>
      <c r="P3025" t="s">
        <v>6111</v>
      </c>
      <c r="Q3025">
        <v>5</v>
      </c>
      <c r="R3025">
        <v>2026</v>
      </c>
      <c r="S3025" t="s">
        <v>6099</v>
      </c>
      <c r="T3025">
        <v>1</v>
      </c>
      <c r="U3025" t="s">
        <v>6021</v>
      </c>
      <c r="V3025">
        <v>1</v>
      </c>
    </row>
    <row r="3026" spans="1:22" x14ac:dyDescent="0.3">
      <c r="A3026" t="s">
        <v>3041</v>
      </c>
      <c r="B3026" s="2">
        <v>46154.513194444444</v>
      </c>
      <c r="C3026" s="2">
        <v>46154.729861111111</v>
      </c>
      <c r="D3026" t="s">
        <v>6022</v>
      </c>
      <c r="E3026" t="s">
        <v>6029</v>
      </c>
      <c r="F3026" t="s">
        <v>6035</v>
      </c>
      <c r="G3026" t="s">
        <v>6046</v>
      </c>
      <c r="H3026" t="s">
        <v>6098</v>
      </c>
      <c r="I3026">
        <v>4</v>
      </c>
      <c r="J3026">
        <v>5.2</v>
      </c>
      <c r="K3026" t="s">
        <v>6099</v>
      </c>
      <c r="L3026" t="s">
        <v>6100</v>
      </c>
      <c r="M3026" t="s">
        <v>6100</v>
      </c>
      <c r="N3026">
        <v>4</v>
      </c>
      <c r="O3026" t="s">
        <v>6101</v>
      </c>
      <c r="P3026" t="s">
        <v>6111</v>
      </c>
      <c r="Q3026">
        <v>5</v>
      </c>
      <c r="R3026">
        <v>2026</v>
      </c>
      <c r="S3026" t="s">
        <v>6100</v>
      </c>
      <c r="T3026">
        <v>0</v>
      </c>
      <c r="U3026" t="s">
        <v>6020</v>
      </c>
      <c r="V3026">
        <v>1</v>
      </c>
    </row>
    <row r="3027" spans="1:22" x14ac:dyDescent="0.3">
      <c r="A3027" t="s">
        <v>3042</v>
      </c>
      <c r="B3027" s="2">
        <v>46154.520833333336</v>
      </c>
      <c r="C3027" s="2">
        <v>46154.770833333336</v>
      </c>
      <c r="D3027" t="s">
        <v>6024</v>
      </c>
      <c r="E3027" t="s">
        <v>6030</v>
      </c>
      <c r="F3027" t="s">
        <v>6034</v>
      </c>
      <c r="G3027" t="s">
        <v>6041</v>
      </c>
      <c r="H3027" t="s">
        <v>6096</v>
      </c>
      <c r="I3027">
        <v>24</v>
      </c>
      <c r="J3027">
        <v>6</v>
      </c>
      <c r="K3027" t="s">
        <v>6099</v>
      </c>
      <c r="L3027" t="s">
        <v>6100</v>
      </c>
      <c r="M3027" t="s">
        <v>6100</v>
      </c>
      <c r="N3027">
        <v>5</v>
      </c>
      <c r="O3027" t="s">
        <v>6101</v>
      </c>
      <c r="P3027" t="s">
        <v>6111</v>
      </c>
      <c r="Q3027">
        <v>5</v>
      </c>
      <c r="R3027">
        <v>2026</v>
      </c>
      <c r="S3027" t="s">
        <v>6099</v>
      </c>
      <c r="T3027">
        <v>1</v>
      </c>
      <c r="U3027" t="s">
        <v>6018</v>
      </c>
      <c r="V3027">
        <v>1</v>
      </c>
    </row>
    <row r="3028" spans="1:22" x14ac:dyDescent="0.3">
      <c r="A3028" t="s">
        <v>3043</v>
      </c>
      <c r="B3028" s="2">
        <v>46154.552777777775</v>
      </c>
      <c r="C3028" s="2">
        <v>46154.706944444442</v>
      </c>
      <c r="D3028" t="s">
        <v>6024</v>
      </c>
      <c r="E3028" t="s">
        <v>6030</v>
      </c>
      <c r="F3028" t="s">
        <v>6033</v>
      </c>
      <c r="G3028" t="s">
        <v>6037</v>
      </c>
      <c r="H3028" t="s">
        <v>6096</v>
      </c>
      <c r="I3028">
        <v>72</v>
      </c>
      <c r="J3028">
        <v>3.7</v>
      </c>
      <c r="K3028" t="s">
        <v>6099</v>
      </c>
      <c r="L3028" t="s">
        <v>6100</v>
      </c>
      <c r="M3028" t="s">
        <v>6100</v>
      </c>
      <c r="N3028">
        <v>2</v>
      </c>
      <c r="O3028" t="s">
        <v>6101</v>
      </c>
      <c r="P3028" t="s">
        <v>6111</v>
      </c>
      <c r="Q3028">
        <v>5</v>
      </c>
      <c r="R3028">
        <v>2026</v>
      </c>
      <c r="S3028" t="s">
        <v>6099</v>
      </c>
      <c r="T3028">
        <v>1</v>
      </c>
      <c r="U3028" t="s">
        <v>6018</v>
      </c>
      <c r="V3028">
        <v>1</v>
      </c>
    </row>
    <row r="3029" spans="1:22" x14ac:dyDescent="0.3">
      <c r="A3029" t="s">
        <v>3044</v>
      </c>
      <c r="B3029" s="2">
        <v>46154.554861111108</v>
      </c>
      <c r="C3029" s="2">
        <v>46154.679861111108</v>
      </c>
      <c r="D3029" t="s">
        <v>6027</v>
      </c>
      <c r="E3029" t="s">
        <v>6029</v>
      </c>
      <c r="F3029" t="s">
        <v>6034</v>
      </c>
      <c r="G3029" t="s">
        <v>6055</v>
      </c>
      <c r="H3029" t="s">
        <v>6096</v>
      </c>
      <c r="I3029">
        <v>24</v>
      </c>
      <c r="J3029">
        <v>3</v>
      </c>
      <c r="K3029" t="s">
        <v>6100</v>
      </c>
      <c r="L3029" t="s">
        <v>6100</v>
      </c>
      <c r="M3029" t="s">
        <v>6100</v>
      </c>
      <c r="N3029">
        <v>5</v>
      </c>
      <c r="O3029" t="s">
        <v>6101</v>
      </c>
      <c r="P3029" t="s">
        <v>6111</v>
      </c>
      <c r="Q3029">
        <v>5</v>
      </c>
      <c r="R3029">
        <v>2026</v>
      </c>
      <c r="S3029" t="s">
        <v>6099</v>
      </c>
      <c r="T3029">
        <v>1</v>
      </c>
      <c r="U3029" t="s">
        <v>6019</v>
      </c>
      <c r="V3029">
        <v>0</v>
      </c>
    </row>
    <row r="3030" spans="1:22" x14ac:dyDescent="0.3">
      <c r="A3030" t="s">
        <v>3045</v>
      </c>
      <c r="B3030" s="2">
        <v>46154.564583333333</v>
      </c>
      <c r="C3030" s="2">
        <v>46154.960416666669</v>
      </c>
      <c r="D3030" t="s">
        <v>6028</v>
      </c>
      <c r="E3030" t="s">
        <v>6029</v>
      </c>
      <c r="F3030" t="s">
        <v>6035</v>
      </c>
      <c r="G3030" t="s">
        <v>6067</v>
      </c>
      <c r="H3030" t="s">
        <v>6098</v>
      </c>
      <c r="I3030">
        <v>4</v>
      </c>
      <c r="J3030">
        <v>9.5</v>
      </c>
      <c r="K3030" t="s">
        <v>6099</v>
      </c>
      <c r="L3030" t="s">
        <v>6100</v>
      </c>
      <c r="M3030" t="s">
        <v>6100</v>
      </c>
      <c r="N3030">
        <v>4</v>
      </c>
      <c r="O3030" t="s">
        <v>6101</v>
      </c>
      <c r="P3030" t="s">
        <v>6111</v>
      </c>
      <c r="Q3030">
        <v>5</v>
      </c>
      <c r="R3030">
        <v>2026</v>
      </c>
      <c r="S3030" t="s">
        <v>6100</v>
      </c>
      <c r="T3030">
        <v>0</v>
      </c>
      <c r="U3030" t="s">
        <v>6021</v>
      </c>
      <c r="V3030">
        <v>1</v>
      </c>
    </row>
    <row r="3031" spans="1:22" x14ac:dyDescent="0.3">
      <c r="A3031" t="s">
        <v>3046</v>
      </c>
      <c r="B3031" s="2">
        <v>46154.622916666667</v>
      </c>
      <c r="C3031" s="2">
        <v>46155.706250000003</v>
      </c>
      <c r="D3031" t="s">
        <v>6026</v>
      </c>
      <c r="E3031" t="s">
        <v>6030</v>
      </c>
      <c r="F3031" t="s">
        <v>6033</v>
      </c>
      <c r="G3031" t="s">
        <v>6091</v>
      </c>
      <c r="H3031" t="s">
        <v>6097</v>
      </c>
      <c r="I3031">
        <v>72</v>
      </c>
      <c r="J3031">
        <v>26</v>
      </c>
      <c r="K3031" t="s">
        <v>6100</v>
      </c>
      <c r="L3031" t="s">
        <v>6100</v>
      </c>
      <c r="M3031" t="s">
        <v>6100</v>
      </c>
      <c r="N3031">
        <v>5</v>
      </c>
      <c r="O3031" t="s">
        <v>6101</v>
      </c>
      <c r="P3031" t="s">
        <v>6111</v>
      </c>
      <c r="Q3031">
        <v>5</v>
      </c>
      <c r="R3031">
        <v>2026</v>
      </c>
      <c r="S3031" t="s">
        <v>6099</v>
      </c>
      <c r="T3031">
        <v>1</v>
      </c>
      <c r="U3031" t="s">
        <v>6019</v>
      </c>
      <c r="V3031">
        <v>0</v>
      </c>
    </row>
    <row r="3032" spans="1:22" x14ac:dyDescent="0.3">
      <c r="A3032" t="s">
        <v>3047</v>
      </c>
      <c r="B3032" s="2">
        <v>46154.629861111112</v>
      </c>
      <c r="C3032" s="2">
        <v>46160.813194444447</v>
      </c>
      <c r="D3032" t="s">
        <v>6026</v>
      </c>
      <c r="E3032" t="s">
        <v>6031</v>
      </c>
      <c r="F3032" t="s">
        <v>6034</v>
      </c>
      <c r="G3032" t="s">
        <v>6054</v>
      </c>
      <c r="H3032" t="s">
        <v>6096</v>
      </c>
      <c r="I3032">
        <v>24</v>
      </c>
      <c r="J3032">
        <v>148.4</v>
      </c>
      <c r="K3032" t="s">
        <v>6100</v>
      </c>
      <c r="L3032" t="s">
        <v>6100</v>
      </c>
      <c r="M3032" t="s">
        <v>6100</v>
      </c>
      <c r="O3032" t="s">
        <v>6101</v>
      </c>
      <c r="P3032" t="s">
        <v>6111</v>
      </c>
      <c r="Q3032">
        <v>5</v>
      </c>
      <c r="R3032">
        <v>2026</v>
      </c>
      <c r="S3032" t="s">
        <v>6100</v>
      </c>
      <c r="T3032">
        <v>0</v>
      </c>
      <c r="U3032" t="s">
        <v>6020</v>
      </c>
      <c r="V3032">
        <v>0</v>
      </c>
    </row>
    <row r="3033" spans="1:22" x14ac:dyDescent="0.3">
      <c r="A3033" t="s">
        <v>3048</v>
      </c>
      <c r="B3033" s="2">
        <v>46154.742361111108</v>
      </c>
      <c r="C3033" s="2">
        <v>46155.021527777775</v>
      </c>
      <c r="D3033" t="s">
        <v>6022</v>
      </c>
      <c r="E3033" t="s">
        <v>6030</v>
      </c>
      <c r="F3033" t="s">
        <v>6033</v>
      </c>
      <c r="G3033" t="s">
        <v>6084</v>
      </c>
      <c r="H3033" t="s">
        <v>6098</v>
      </c>
      <c r="I3033">
        <v>72</v>
      </c>
      <c r="J3033">
        <v>6.7</v>
      </c>
      <c r="K3033" t="s">
        <v>6099</v>
      </c>
      <c r="L3033" t="s">
        <v>6100</v>
      </c>
      <c r="M3033" t="s">
        <v>6100</v>
      </c>
      <c r="O3033" t="s">
        <v>6101</v>
      </c>
      <c r="P3033" t="s">
        <v>6111</v>
      </c>
      <c r="Q3033">
        <v>5</v>
      </c>
      <c r="R3033">
        <v>2026</v>
      </c>
      <c r="S3033" t="s">
        <v>6099</v>
      </c>
      <c r="T3033">
        <v>1</v>
      </c>
      <c r="U3033" t="s">
        <v>6017</v>
      </c>
      <c r="V3033">
        <v>1</v>
      </c>
    </row>
    <row r="3034" spans="1:22" x14ac:dyDescent="0.3">
      <c r="A3034" t="s">
        <v>3049</v>
      </c>
      <c r="B3034" s="2">
        <v>46154.75277777778</v>
      </c>
      <c r="C3034" s="2">
        <v>46155.640277777777</v>
      </c>
      <c r="D3034" t="s">
        <v>6025</v>
      </c>
      <c r="E3034" t="s">
        <v>6031</v>
      </c>
      <c r="F3034" t="s">
        <v>6034</v>
      </c>
      <c r="G3034" t="s">
        <v>6084</v>
      </c>
      <c r="H3034" t="s">
        <v>6098</v>
      </c>
      <c r="I3034">
        <v>24</v>
      </c>
      <c r="J3034">
        <v>21.3</v>
      </c>
      <c r="K3034" t="s">
        <v>6099</v>
      </c>
      <c r="L3034" t="s">
        <v>6100</v>
      </c>
      <c r="M3034" t="s">
        <v>6100</v>
      </c>
      <c r="N3034">
        <v>5</v>
      </c>
      <c r="O3034" t="s">
        <v>6101</v>
      </c>
      <c r="P3034" t="s">
        <v>6111</v>
      </c>
      <c r="Q3034">
        <v>5</v>
      </c>
      <c r="R3034">
        <v>2026</v>
      </c>
      <c r="S3034" t="s">
        <v>6099</v>
      </c>
      <c r="T3034">
        <v>1</v>
      </c>
      <c r="U3034" t="s">
        <v>6018</v>
      </c>
      <c r="V3034">
        <v>1</v>
      </c>
    </row>
    <row r="3035" spans="1:22" x14ac:dyDescent="0.3">
      <c r="A3035" t="s">
        <v>3050</v>
      </c>
      <c r="B3035" s="2">
        <v>46155.397916666669</v>
      </c>
      <c r="C3035" s="2">
        <v>46155.506249999999</v>
      </c>
      <c r="D3035" t="s">
        <v>6023</v>
      </c>
      <c r="E3035" t="s">
        <v>6030</v>
      </c>
      <c r="F3035" t="s">
        <v>6033</v>
      </c>
      <c r="G3035" t="s">
        <v>6059</v>
      </c>
      <c r="H3035" t="s">
        <v>6097</v>
      </c>
      <c r="I3035">
        <v>72</v>
      </c>
      <c r="J3035">
        <v>2.6</v>
      </c>
      <c r="K3035" t="s">
        <v>6100</v>
      </c>
      <c r="L3035" t="s">
        <v>6099</v>
      </c>
      <c r="M3035" t="s">
        <v>6100</v>
      </c>
      <c r="N3035">
        <v>2</v>
      </c>
      <c r="O3035" t="s">
        <v>6101</v>
      </c>
      <c r="P3035" t="s">
        <v>6111</v>
      </c>
      <c r="Q3035">
        <v>5</v>
      </c>
      <c r="R3035">
        <v>2026</v>
      </c>
      <c r="S3035" t="s">
        <v>6099</v>
      </c>
      <c r="T3035">
        <v>1</v>
      </c>
      <c r="U3035" t="s">
        <v>6018</v>
      </c>
      <c r="V3035">
        <v>0</v>
      </c>
    </row>
    <row r="3036" spans="1:22" x14ac:dyDescent="0.3">
      <c r="A3036" t="s">
        <v>3051</v>
      </c>
      <c r="B3036" s="2">
        <v>46155.409722222219</v>
      </c>
      <c r="C3036" s="2">
        <v>46155.584722222222</v>
      </c>
      <c r="D3036" t="s">
        <v>6027</v>
      </c>
      <c r="E3036" t="s">
        <v>6029</v>
      </c>
      <c r="F3036" t="s">
        <v>6034</v>
      </c>
      <c r="G3036" t="s">
        <v>6067</v>
      </c>
      <c r="H3036" t="s">
        <v>6098</v>
      </c>
      <c r="I3036">
        <v>24</v>
      </c>
      <c r="J3036">
        <v>4.2</v>
      </c>
      <c r="K3036" t="s">
        <v>6099</v>
      </c>
      <c r="L3036" t="s">
        <v>6100</v>
      </c>
      <c r="M3036" t="s">
        <v>6100</v>
      </c>
      <c r="N3036">
        <v>5</v>
      </c>
      <c r="O3036" t="s">
        <v>6101</v>
      </c>
      <c r="P3036" t="s">
        <v>6111</v>
      </c>
      <c r="Q3036">
        <v>5</v>
      </c>
      <c r="R3036">
        <v>2026</v>
      </c>
      <c r="S3036" t="s">
        <v>6099</v>
      </c>
      <c r="T3036">
        <v>1</v>
      </c>
      <c r="U3036" t="s">
        <v>6017</v>
      </c>
      <c r="V3036">
        <v>1</v>
      </c>
    </row>
    <row r="3037" spans="1:22" x14ac:dyDescent="0.3">
      <c r="A3037" t="s">
        <v>3052</v>
      </c>
      <c r="B3037" s="2">
        <v>46155.487500000003</v>
      </c>
      <c r="C3037" s="2">
        <v>46156.800000000003</v>
      </c>
      <c r="D3037" t="s">
        <v>6028</v>
      </c>
      <c r="E3037" t="s">
        <v>6031</v>
      </c>
      <c r="F3037" t="s">
        <v>6035</v>
      </c>
      <c r="G3037" t="s">
        <v>6064</v>
      </c>
      <c r="H3037" t="s">
        <v>6096</v>
      </c>
      <c r="I3037">
        <v>4</v>
      </c>
      <c r="J3037">
        <v>31.5</v>
      </c>
      <c r="K3037" t="s">
        <v>6099</v>
      </c>
      <c r="L3037" t="s">
        <v>6100</v>
      </c>
      <c r="M3037" t="s">
        <v>6099</v>
      </c>
      <c r="O3037" t="s">
        <v>6101</v>
      </c>
      <c r="P3037" t="s">
        <v>6111</v>
      </c>
      <c r="Q3037">
        <v>5</v>
      </c>
      <c r="R3037">
        <v>2026</v>
      </c>
      <c r="S3037" t="s">
        <v>6100</v>
      </c>
      <c r="T3037">
        <v>0</v>
      </c>
      <c r="U3037" t="s">
        <v>6021</v>
      </c>
      <c r="V3037">
        <v>1</v>
      </c>
    </row>
    <row r="3038" spans="1:22" x14ac:dyDescent="0.3">
      <c r="A3038" t="s">
        <v>3053</v>
      </c>
      <c r="B3038" s="2">
        <v>46155.546527777777</v>
      </c>
      <c r="C3038" s="2">
        <v>46155.654861111114</v>
      </c>
      <c r="D3038" t="s">
        <v>6023</v>
      </c>
      <c r="E3038" t="s">
        <v>6029</v>
      </c>
      <c r="F3038" t="s">
        <v>6034</v>
      </c>
      <c r="G3038" t="s">
        <v>6041</v>
      </c>
      <c r="H3038" t="s">
        <v>6096</v>
      </c>
      <c r="I3038">
        <v>24</v>
      </c>
      <c r="J3038">
        <v>2.6</v>
      </c>
      <c r="K3038" t="s">
        <v>6100</v>
      </c>
      <c r="L3038" t="s">
        <v>6099</v>
      </c>
      <c r="M3038" t="s">
        <v>6100</v>
      </c>
      <c r="O3038" t="s">
        <v>6101</v>
      </c>
      <c r="P3038" t="s">
        <v>6111</v>
      </c>
      <c r="Q3038">
        <v>5</v>
      </c>
      <c r="R3038">
        <v>2026</v>
      </c>
      <c r="S3038" t="s">
        <v>6099</v>
      </c>
      <c r="T3038">
        <v>1</v>
      </c>
      <c r="U3038" t="s">
        <v>6020</v>
      </c>
      <c r="V3038">
        <v>0</v>
      </c>
    </row>
    <row r="3039" spans="1:22" x14ac:dyDescent="0.3">
      <c r="A3039" t="s">
        <v>3054</v>
      </c>
      <c r="B3039" s="2">
        <v>46155.625694444447</v>
      </c>
      <c r="C3039" s="2">
        <v>46155.842361111114</v>
      </c>
      <c r="D3039" t="s">
        <v>6028</v>
      </c>
      <c r="E3039" t="s">
        <v>6029</v>
      </c>
      <c r="F3039" t="s">
        <v>6034</v>
      </c>
      <c r="G3039" t="s">
        <v>6089</v>
      </c>
      <c r="H3039" t="s">
        <v>6098</v>
      </c>
      <c r="I3039">
        <v>24</v>
      </c>
      <c r="J3039">
        <v>5.2</v>
      </c>
      <c r="K3039" t="s">
        <v>6099</v>
      </c>
      <c r="L3039" t="s">
        <v>6100</v>
      </c>
      <c r="M3039" t="s">
        <v>6100</v>
      </c>
      <c r="O3039" t="s">
        <v>6101</v>
      </c>
      <c r="P3039" t="s">
        <v>6111</v>
      </c>
      <c r="Q3039">
        <v>5</v>
      </c>
      <c r="R3039">
        <v>2026</v>
      </c>
      <c r="S3039" t="s">
        <v>6099</v>
      </c>
      <c r="T3039">
        <v>1</v>
      </c>
      <c r="U3039" t="s">
        <v>6020</v>
      </c>
      <c r="V3039">
        <v>1</v>
      </c>
    </row>
    <row r="3040" spans="1:22" x14ac:dyDescent="0.3">
      <c r="A3040" t="s">
        <v>3055</v>
      </c>
      <c r="B3040" s="2">
        <v>46155.625694444447</v>
      </c>
      <c r="C3040" s="2">
        <v>46156.300694444442</v>
      </c>
      <c r="D3040" t="s">
        <v>6027</v>
      </c>
      <c r="E3040" t="s">
        <v>6031</v>
      </c>
      <c r="F3040" t="s">
        <v>6034</v>
      </c>
      <c r="G3040" t="s">
        <v>6080</v>
      </c>
      <c r="H3040" t="s">
        <v>6096</v>
      </c>
      <c r="I3040">
        <v>24</v>
      </c>
      <c r="J3040">
        <v>16.2</v>
      </c>
      <c r="K3040" t="s">
        <v>6100</v>
      </c>
      <c r="L3040" t="s">
        <v>6100</v>
      </c>
      <c r="M3040" t="s">
        <v>6100</v>
      </c>
      <c r="O3040" t="s">
        <v>6101</v>
      </c>
      <c r="P3040" t="s">
        <v>6111</v>
      </c>
      <c r="Q3040">
        <v>5</v>
      </c>
      <c r="R3040">
        <v>2026</v>
      </c>
      <c r="S3040" t="s">
        <v>6099</v>
      </c>
      <c r="T3040">
        <v>1</v>
      </c>
      <c r="U3040" t="s">
        <v>6019</v>
      </c>
      <c r="V3040">
        <v>0</v>
      </c>
    </row>
    <row r="3041" spans="1:22" x14ac:dyDescent="0.3">
      <c r="A3041" t="s">
        <v>3056</v>
      </c>
      <c r="B3041" s="2">
        <v>46155.651388888888</v>
      </c>
      <c r="C3041" s="2">
        <v>46155.87222222222</v>
      </c>
      <c r="D3041" t="s">
        <v>6028</v>
      </c>
      <c r="E3041" t="s">
        <v>6029</v>
      </c>
      <c r="F3041" t="s">
        <v>6034</v>
      </c>
      <c r="G3041" t="s">
        <v>6040</v>
      </c>
      <c r="H3041" t="s">
        <v>6097</v>
      </c>
      <c r="I3041">
        <v>24</v>
      </c>
      <c r="J3041">
        <v>5.3</v>
      </c>
      <c r="K3041" t="s">
        <v>6099</v>
      </c>
      <c r="L3041" t="s">
        <v>6100</v>
      </c>
      <c r="M3041" t="s">
        <v>6100</v>
      </c>
      <c r="N3041">
        <v>4</v>
      </c>
      <c r="O3041" t="s">
        <v>6101</v>
      </c>
      <c r="P3041" t="s">
        <v>6111</v>
      </c>
      <c r="Q3041">
        <v>5</v>
      </c>
      <c r="R3041">
        <v>2026</v>
      </c>
      <c r="S3041" t="s">
        <v>6099</v>
      </c>
      <c r="T3041">
        <v>1</v>
      </c>
      <c r="U3041" t="s">
        <v>6019</v>
      </c>
      <c r="V3041">
        <v>1</v>
      </c>
    </row>
    <row r="3042" spans="1:22" x14ac:dyDescent="0.3">
      <c r="A3042" t="s">
        <v>3057</v>
      </c>
      <c r="B3042" s="2">
        <v>46155.689583333333</v>
      </c>
      <c r="C3042" s="2">
        <v>46155.960416666669</v>
      </c>
      <c r="D3042" t="s">
        <v>6022</v>
      </c>
      <c r="E3042" t="s">
        <v>6029</v>
      </c>
      <c r="F3042" t="s">
        <v>6035</v>
      </c>
      <c r="G3042" t="s">
        <v>6060</v>
      </c>
      <c r="H3042" t="s">
        <v>6097</v>
      </c>
      <c r="I3042">
        <v>4</v>
      </c>
      <c r="J3042">
        <v>6.5</v>
      </c>
      <c r="K3042" t="s">
        <v>6099</v>
      </c>
      <c r="L3042" t="s">
        <v>6100</v>
      </c>
      <c r="M3042" t="s">
        <v>6100</v>
      </c>
      <c r="N3042">
        <v>5</v>
      </c>
      <c r="O3042" t="s">
        <v>6101</v>
      </c>
      <c r="P3042" t="s">
        <v>6111</v>
      </c>
      <c r="Q3042">
        <v>5</v>
      </c>
      <c r="R3042">
        <v>2026</v>
      </c>
      <c r="S3042" t="s">
        <v>6100</v>
      </c>
      <c r="T3042">
        <v>0</v>
      </c>
      <c r="U3042" t="s">
        <v>6018</v>
      </c>
      <c r="V3042">
        <v>1</v>
      </c>
    </row>
    <row r="3043" spans="1:22" x14ac:dyDescent="0.3">
      <c r="A3043" t="s">
        <v>3058</v>
      </c>
      <c r="B3043" s="2">
        <v>46155.804861111108</v>
      </c>
      <c r="C3043" s="2">
        <v>46156.125694444447</v>
      </c>
      <c r="D3043" t="s">
        <v>6022</v>
      </c>
      <c r="E3043" t="s">
        <v>6030</v>
      </c>
      <c r="F3043" t="s">
        <v>6034</v>
      </c>
      <c r="G3043" t="s">
        <v>6091</v>
      </c>
      <c r="H3043" t="s">
        <v>6097</v>
      </c>
      <c r="I3043">
        <v>24</v>
      </c>
      <c r="J3043">
        <v>7.7</v>
      </c>
      <c r="K3043" t="s">
        <v>6099</v>
      </c>
      <c r="L3043" t="s">
        <v>6100</v>
      </c>
      <c r="M3043" t="s">
        <v>6100</v>
      </c>
      <c r="N3043">
        <v>4</v>
      </c>
      <c r="O3043" t="s">
        <v>6101</v>
      </c>
      <c r="P3043" t="s">
        <v>6111</v>
      </c>
      <c r="Q3043">
        <v>5</v>
      </c>
      <c r="R3043">
        <v>2026</v>
      </c>
      <c r="S3043" t="s">
        <v>6099</v>
      </c>
      <c r="T3043">
        <v>1</v>
      </c>
      <c r="U3043" t="s">
        <v>6018</v>
      </c>
      <c r="V3043">
        <v>1</v>
      </c>
    </row>
    <row r="3044" spans="1:22" x14ac:dyDescent="0.3">
      <c r="A3044" t="s">
        <v>3059</v>
      </c>
      <c r="B3044" s="2">
        <v>46156.115277777775</v>
      </c>
      <c r="C3044" s="2">
        <v>46156.427777777775</v>
      </c>
      <c r="D3044" t="s">
        <v>6023</v>
      </c>
      <c r="E3044" t="s">
        <v>6029</v>
      </c>
      <c r="F3044" t="s">
        <v>6033</v>
      </c>
      <c r="G3044" t="s">
        <v>6090</v>
      </c>
      <c r="H3044" t="s">
        <v>6097</v>
      </c>
      <c r="I3044">
        <v>72</v>
      </c>
      <c r="J3044">
        <v>7.5</v>
      </c>
      <c r="K3044" t="s">
        <v>6099</v>
      </c>
      <c r="L3044" t="s">
        <v>6100</v>
      </c>
      <c r="M3044" t="s">
        <v>6100</v>
      </c>
      <c r="N3044">
        <v>5</v>
      </c>
      <c r="O3044" t="s">
        <v>6101</v>
      </c>
      <c r="P3044" t="s">
        <v>6111</v>
      </c>
      <c r="Q3044">
        <v>5</v>
      </c>
      <c r="R3044">
        <v>2026</v>
      </c>
      <c r="S3044" t="s">
        <v>6099</v>
      </c>
      <c r="T3044">
        <v>1</v>
      </c>
      <c r="U3044" t="s">
        <v>6018</v>
      </c>
      <c r="V3044">
        <v>1</v>
      </c>
    </row>
    <row r="3045" spans="1:22" x14ac:dyDescent="0.3">
      <c r="A3045" t="s">
        <v>3060</v>
      </c>
      <c r="B3045" s="2">
        <v>46156.215277777781</v>
      </c>
      <c r="C3045" s="2">
        <v>46156.652777777781</v>
      </c>
      <c r="D3045" t="s">
        <v>6022</v>
      </c>
      <c r="E3045" t="s">
        <v>6029</v>
      </c>
      <c r="F3045" t="s">
        <v>6034</v>
      </c>
      <c r="G3045" t="s">
        <v>6041</v>
      </c>
      <c r="H3045" t="s">
        <v>6096</v>
      </c>
      <c r="I3045">
        <v>24</v>
      </c>
      <c r="J3045">
        <v>10.5</v>
      </c>
      <c r="K3045" t="s">
        <v>6100</v>
      </c>
      <c r="L3045" t="s">
        <v>6099</v>
      </c>
      <c r="M3045" t="s">
        <v>6100</v>
      </c>
      <c r="O3045" t="s">
        <v>6101</v>
      </c>
      <c r="P3045" t="s">
        <v>6111</v>
      </c>
      <c r="Q3045">
        <v>5</v>
      </c>
      <c r="R3045">
        <v>2026</v>
      </c>
      <c r="S3045" t="s">
        <v>6099</v>
      </c>
      <c r="T3045">
        <v>1</v>
      </c>
      <c r="U3045" t="s">
        <v>6018</v>
      </c>
      <c r="V3045">
        <v>0</v>
      </c>
    </row>
    <row r="3046" spans="1:22" x14ac:dyDescent="0.3">
      <c r="A3046" t="s">
        <v>3061</v>
      </c>
      <c r="B3046" s="2">
        <v>46156.218055555553</v>
      </c>
      <c r="C3046" s="2">
        <v>46156.563888888886</v>
      </c>
      <c r="D3046" t="s">
        <v>6022</v>
      </c>
      <c r="E3046" t="s">
        <v>6029</v>
      </c>
      <c r="F3046" t="s">
        <v>6033</v>
      </c>
      <c r="G3046" t="s">
        <v>6059</v>
      </c>
      <c r="H3046" t="s">
        <v>6097</v>
      </c>
      <c r="I3046">
        <v>72</v>
      </c>
      <c r="J3046">
        <v>8.3000000000000007</v>
      </c>
      <c r="K3046" t="s">
        <v>6100</v>
      </c>
      <c r="L3046" t="s">
        <v>6100</v>
      </c>
      <c r="M3046" t="s">
        <v>6100</v>
      </c>
      <c r="N3046">
        <v>4</v>
      </c>
      <c r="O3046" t="s">
        <v>6101</v>
      </c>
      <c r="P3046" t="s">
        <v>6111</v>
      </c>
      <c r="Q3046">
        <v>5</v>
      </c>
      <c r="R3046">
        <v>2026</v>
      </c>
      <c r="S3046" t="s">
        <v>6099</v>
      </c>
      <c r="T3046">
        <v>1</v>
      </c>
      <c r="U3046" t="s">
        <v>6018</v>
      </c>
      <c r="V3046">
        <v>0</v>
      </c>
    </row>
    <row r="3047" spans="1:22" x14ac:dyDescent="0.3">
      <c r="A3047" t="s">
        <v>3062</v>
      </c>
      <c r="B3047" s="2">
        <v>46156.361111111109</v>
      </c>
      <c r="C3047" s="2">
        <v>46157.19027777778</v>
      </c>
      <c r="D3047" t="s">
        <v>6024</v>
      </c>
      <c r="E3047" t="s">
        <v>6029</v>
      </c>
      <c r="F3047" t="s">
        <v>6033</v>
      </c>
      <c r="G3047" t="s">
        <v>6051</v>
      </c>
      <c r="H3047" t="s">
        <v>6097</v>
      </c>
      <c r="I3047">
        <v>72</v>
      </c>
      <c r="J3047">
        <v>19.899999999999999</v>
      </c>
      <c r="K3047" t="s">
        <v>6099</v>
      </c>
      <c r="L3047" t="s">
        <v>6100</v>
      </c>
      <c r="M3047" t="s">
        <v>6100</v>
      </c>
      <c r="N3047">
        <v>5</v>
      </c>
      <c r="O3047" t="s">
        <v>6101</v>
      </c>
      <c r="P3047" t="s">
        <v>6111</v>
      </c>
      <c r="Q3047">
        <v>5</v>
      </c>
      <c r="R3047">
        <v>2026</v>
      </c>
      <c r="S3047" t="s">
        <v>6099</v>
      </c>
      <c r="T3047">
        <v>1</v>
      </c>
      <c r="U3047" t="s">
        <v>6021</v>
      </c>
      <c r="V3047">
        <v>1</v>
      </c>
    </row>
    <row r="3048" spans="1:22" x14ac:dyDescent="0.3">
      <c r="A3048" t="s">
        <v>3063</v>
      </c>
      <c r="B3048" s="2">
        <v>46156.416666666664</v>
      </c>
      <c r="C3048" s="2">
        <v>46156.737500000003</v>
      </c>
      <c r="D3048" t="s">
        <v>6023</v>
      </c>
      <c r="E3048" t="s">
        <v>6030</v>
      </c>
      <c r="F3048" t="s">
        <v>6034</v>
      </c>
      <c r="G3048" t="s">
        <v>6052</v>
      </c>
      <c r="H3048" t="s">
        <v>6098</v>
      </c>
      <c r="I3048">
        <v>24</v>
      </c>
      <c r="J3048">
        <v>7.7</v>
      </c>
      <c r="K3048" t="s">
        <v>6100</v>
      </c>
      <c r="L3048" t="s">
        <v>6099</v>
      </c>
      <c r="M3048" t="s">
        <v>6100</v>
      </c>
      <c r="O3048" t="s">
        <v>6101</v>
      </c>
      <c r="P3048" t="s">
        <v>6111</v>
      </c>
      <c r="Q3048">
        <v>5</v>
      </c>
      <c r="R3048">
        <v>2026</v>
      </c>
      <c r="S3048" t="s">
        <v>6099</v>
      </c>
      <c r="T3048">
        <v>1</v>
      </c>
      <c r="U3048" t="s">
        <v>6018</v>
      </c>
      <c r="V3048">
        <v>0</v>
      </c>
    </row>
    <row r="3049" spans="1:22" x14ac:dyDescent="0.3">
      <c r="A3049" t="s">
        <v>3064</v>
      </c>
      <c r="B3049" s="2">
        <v>46156.431250000001</v>
      </c>
      <c r="C3049" s="2">
        <v>46157.068749999999</v>
      </c>
      <c r="D3049" t="s">
        <v>6024</v>
      </c>
      <c r="E3049" t="s">
        <v>6029</v>
      </c>
      <c r="F3049" t="s">
        <v>6033</v>
      </c>
      <c r="G3049" t="s">
        <v>6083</v>
      </c>
      <c r="H3049" t="s">
        <v>6096</v>
      </c>
      <c r="I3049">
        <v>72</v>
      </c>
      <c r="J3049">
        <v>15.3</v>
      </c>
      <c r="K3049" t="s">
        <v>6100</v>
      </c>
      <c r="L3049" t="s">
        <v>6099</v>
      </c>
      <c r="M3049" t="s">
        <v>6100</v>
      </c>
      <c r="N3049">
        <v>4</v>
      </c>
      <c r="O3049" t="s">
        <v>6101</v>
      </c>
      <c r="P3049" t="s">
        <v>6111</v>
      </c>
      <c r="Q3049">
        <v>5</v>
      </c>
      <c r="R3049">
        <v>2026</v>
      </c>
      <c r="S3049" t="s">
        <v>6099</v>
      </c>
      <c r="T3049">
        <v>1</v>
      </c>
      <c r="U3049" t="s">
        <v>6018</v>
      </c>
      <c r="V3049">
        <v>0</v>
      </c>
    </row>
    <row r="3050" spans="1:22" x14ac:dyDescent="0.3">
      <c r="A3050" t="s">
        <v>3065</v>
      </c>
      <c r="B3050" s="2">
        <v>46156.45416666667</v>
      </c>
      <c r="C3050" s="2">
        <v>46156.729166666664</v>
      </c>
      <c r="D3050" t="s">
        <v>6028</v>
      </c>
      <c r="E3050" t="s">
        <v>6030</v>
      </c>
      <c r="F3050" t="s">
        <v>6035</v>
      </c>
      <c r="G3050" t="s">
        <v>6057</v>
      </c>
      <c r="H3050" t="s">
        <v>6097</v>
      </c>
      <c r="I3050">
        <v>4</v>
      </c>
      <c r="J3050">
        <v>6.6</v>
      </c>
      <c r="K3050" t="s">
        <v>6099</v>
      </c>
      <c r="L3050" t="s">
        <v>6100</v>
      </c>
      <c r="M3050" t="s">
        <v>6099</v>
      </c>
      <c r="O3050" t="s">
        <v>6101</v>
      </c>
      <c r="P3050" t="s">
        <v>6111</v>
      </c>
      <c r="Q3050">
        <v>5</v>
      </c>
      <c r="R3050">
        <v>2026</v>
      </c>
      <c r="S3050" t="s">
        <v>6100</v>
      </c>
      <c r="T3050">
        <v>0</v>
      </c>
      <c r="U3050" t="s">
        <v>6017</v>
      </c>
      <c r="V3050">
        <v>1</v>
      </c>
    </row>
    <row r="3051" spans="1:22" x14ac:dyDescent="0.3">
      <c r="A3051" t="s">
        <v>3066</v>
      </c>
      <c r="B3051" s="2">
        <v>46156.502083333333</v>
      </c>
      <c r="C3051" s="2">
        <v>46158.206250000003</v>
      </c>
      <c r="D3051" t="s">
        <v>6026</v>
      </c>
      <c r="E3051" t="s">
        <v>6031</v>
      </c>
      <c r="F3051" t="s">
        <v>6033</v>
      </c>
      <c r="G3051" t="s">
        <v>6078</v>
      </c>
      <c r="H3051" t="s">
        <v>6097</v>
      </c>
      <c r="I3051">
        <v>72</v>
      </c>
      <c r="J3051">
        <v>40.9</v>
      </c>
      <c r="K3051" t="s">
        <v>6099</v>
      </c>
      <c r="L3051" t="s">
        <v>6100</v>
      </c>
      <c r="M3051" t="s">
        <v>6100</v>
      </c>
      <c r="N3051">
        <v>5</v>
      </c>
      <c r="O3051" t="s">
        <v>6101</v>
      </c>
      <c r="P3051" t="s">
        <v>6111</v>
      </c>
      <c r="Q3051">
        <v>5</v>
      </c>
      <c r="R3051">
        <v>2026</v>
      </c>
      <c r="S3051" t="s">
        <v>6099</v>
      </c>
      <c r="T3051">
        <v>1</v>
      </c>
      <c r="U3051" t="s">
        <v>6020</v>
      </c>
      <c r="V3051">
        <v>1</v>
      </c>
    </row>
    <row r="3052" spans="1:22" x14ac:dyDescent="0.3">
      <c r="A3052" t="s">
        <v>3067</v>
      </c>
      <c r="B3052" s="2">
        <v>46156.506249999999</v>
      </c>
      <c r="C3052" s="2">
        <v>46156.677083333336</v>
      </c>
      <c r="D3052" t="s">
        <v>6027</v>
      </c>
      <c r="E3052" t="s">
        <v>6029</v>
      </c>
      <c r="F3052" t="s">
        <v>6034</v>
      </c>
      <c r="G3052" t="s">
        <v>6047</v>
      </c>
      <c r="H3052" t="s">
        <v>6098</v>
      </c>
      <c r="I3052">
        <v>24</v>
      </c>
      <c r="J3052">
        <v>4.0999999999999996</v>
      </c>
      <c r="K3052" t="s">
        <v>6099</v>
      </c>
      <c r="L3052" t="s">
        <v>6100</v>
      </c>
      <c r="M3052" t="s">
        <v>6099</v>
      </c>
      <c r="N3052">
        <v>3</v>
      </c>
      <c r="O3052" t="s">
        <v>6101</v>
      </c>
      <c r="P3052" t="s">
        <v>6111</v>
      </c>
      <c r="Q3052">
        <v>5</v>
      </c>
      <c r="R3052">
        <v>2026</v>
      </c>
      <c r="S3052" t="s">
        <v>6099</v>
      </c>
      <c r="T3052">
        <v>1</v>
      </c>
      <c r="U3052" t="s">
        <v>6019</v>
      </c>
      <c r="V3052">
        <v>1</v>
      </c>
    </row>
    <row r="3053" spans="1:22" x14ac:dyDescent="0.3">
      <c r="A3053" t="s">
        <v>3068</v>
      </c>
      <c r="B3053" s="2">
        <v>46156.509722222225</v>
      </c>
      <c r="C3053" s="2">
        <v>46156.855555555558</v>
      </c>
      <c r="D3053" t="s">
        <v>6028</v>
      </c>
      <c r="E3053" t="s">
        <v>6029</v>
      </c>
      <c r="F3053" t="s">
        <v>6035</v>
      </c>
      <c r="G3053" t="s">
        <v>6083</v>
      </c>
      <c r="H3053" t="s">
        <v>6096</v>
      </c>
      <c r="I3053">
        <v>4</v>
      </c>
      <c r="J3053">
        <v>8.3000000000000007</v>
      </c>
      <c r="K3053" t="s">
        <v>6099</v>
      </c>
      <c r="L3053" t="s">
        <v>6100</v>
      </c>
      <c r="M3053" t="s">
        <v>6100</v>
      </c>
      <c r="N3053">
        <v>2</v>
      </c>
      <c r="O3053" t="s">
        <v>6101</v>
      </c>
      <c r="P3053" t="s">
        <v>6111</v>
      </c>
      <c r="Q3053">
        <v>5</v>
      </c>
      <c r="R3053">
        <v>2026</v>
      </c>
      <c r="S3053" t="s">
        <v>6100</v>
      </c>
      <c r="T3053">
        <v>0</v>
      </c>
      <c r="U3053" t="s">
        <v>6017</v>
      </c>
      <c r="V3053">
        <v>1</v>
      </c>
    </row>
    <row r="3054" spans="1:22" x14ac:dyDescent="0.3">
      <c r="A3054" t="s">
        <v>3069</v>
      </c>
      <c r="B3054" s="2">
        <v>46156.590277777781</v>
      </c>
      <c r="C3054" s="2">
        <v>46156.731944444444</v>
      </c>
      <c r="D3054" t="s">
        <v>6023</v>
      </c>
      <c r="E3054" t="s">
        <v>6030</v>
      </c>
      <c r="F3054" t="s">
        <v>6034</v>
      </c>
      <c r="G3054" t="s">
        <v>6053</v>
      </c>
      <c r="H3054" t="s">
        <v>6097</v>
      </c>
      <c r="I3054">
        <v>24</v>
      </c>
      <c r="J3054">
        <v>3.4</v>
      </c>
      <c r="K3054" t="s">
        <v>6099</v>
      </c>
      <c r="L3054" t="s">
        <v>6100</v>
      </c>
      <c r="M3054" t="s">
        <v>6100</v>
      </c>
      <c r="N3054">
        <v>5</v>
      </c>
      <c r="O3054" t="s">
        <v>6101</v>
      </c>
      <c r="P3054" t="s">
        <v>6111</v>
      </c>
      <c r="Q3054">
        <v>5</v>
      </c>
      <c r="R3054">
        <v>2026</v>
      </c>
      <c r="S3054" t="s">
        <v>6099</v>
      </c>
      <c r="T3054">
        <v>1</v>
      </c>
      <c r="U3054" t="s">
        <v>6021</v>
      </c>
      <c r="V3054">
        <v>1</v>
      </c>
    </row>
    <row r="3055" spans="1:22" x14ac:dyDescent="0.3">
      <c r="A3055" t="s">
        <v>3070</v>
      </c>
      <c r="B3055" s="2">
        <v>46156.591666666667</v>
      </c>
      <c r="C3055" s="2">
        <v>46157.375</v>
      </c>
      <c r="D3055" t="s">
        <v>6026</v>
      </c>
      <c r="E3055" t="s">
        <v>6029</v>
      </c>
      <c r="F3055" t="s">
        <v>6034</v>
      </c>
      <c r="G3055" t="s">
        <v>6067</v>
      </c>
      <c r="H3055" t="s">
        <v>6098</v>
      </c>
      <c r="I3055">
        <v>24</v>
      </c>
      <c r="J3055">
        <v>18.8</v>
      </c>
      <c r="K3055" t="s">
        <v>6100</v>
      </c>
      <c r="L3055" t="s">
        <v>6100</v>
      </c>
      <c r="M3055" t="s">
        <v>6100</v>
      </c>
      <c r="N3055">
        <v>5</v>
      </c>
      <c r="O3055" t="s">
        <v>6101</v>
      </c>
      <c r="P3055" t="s">
        <v>6111</v>
      </c>
      <c r="Q3055">
        <v>5</v>
      </c>
      <c r="R3055">
        <v>2026</v>
      </c>
      <c r="S3055" t="s">
        <v>6099</v>
      </c>
      <c r="T3055">
        <v>1</v>
      </c>
      <c r="U3055" t="s">
        <v>6021</v>
      </c>
      <c r="V3055">
        <v>0</v>
      </c>
    </row>
    <row r="3056" spans="1:22" x14ac:dyDescent="0.3">
      <c r="A3056" t="s">
        <v>3071</v>
      </c>
      <c r="B3056" s="2">
        <v>46156.606944444444</v>
      </c>
      <c r="C3056" s="2">
        <v>46156.719444444447</v>
      </c>
      <c r="D3056" t="s">
        <v>6022</v>
      </c>
      <c r="E3056" t="s">
        <v>6030</v>
      </c>
      <c r="F3056" t="s">
        <v>6033</v>
      </c>
      <c r="G3056" t="s">
        <v>6067</v>
      </c>
      <c r="H3056" t="s">
        <v>6098</v>
      </c>
      <c r="I3056">
        <v>72</v>
      </c>
      <c r="J3056">
        <v>2.7</v>
      </c>
      <c r="K3056" t="s">
        <v>6099</v>
      </c>
      <c r="L3056" t="s">
        <v>6100</v>
      </c>
      <c r="M3056" t="s">
        <v>6099</v>
      </c>
      <c r="O3056" t="s">
        <v>6101</v>
      </c>
      <c r="P3056" t="s">
        <v>6111</v>
      </c>
      <c r="Q3056">
        <v>5</v>
      </c>
      <c r="R3056">
        <v>2026</v>
      </c>
      <c r="S3056" t="s">
        <v>6099</v>
      </c>
      <c r="T3056">
        <v>1</v>
      </c>
      <c r="U3056" t="s">
        <v>6021</v>
      </c>
      <c r="V3056">
        <v>1</v>
      </c>
    </row>
    <row r="3057" spans="1:22" x14ac:dyDescent="0.3">
      <c r="A3057" t="s">
        <v>3072</v>
      </c>
      <c r="B3057" s="2">
        <v>46156.632638888892</v>
      </c>
      <c r="C3057" s="2">
        <v>46158.386805555558</v>
      </c>
      <c r="D3057" t="s">
        <v>6024</v>
      </c>
      <c r="E3057" t="s">
        <v>6031</v>
      </c>
      <c r="F3057" t="s">
        <v>6033</v>
      </c>
      <c r="G3057" t="s">
        <v>6093</v>
      </c>
      <c r="H3057" t="s">
        <v>6097</v>
      </c>
      <c r="I3057">
        <v>72</v>
      </c>
      <c r="J3057">
        <v>42.1</v>
      </c>
      <c r="K3057" t="s">
        <v>6099</v>
      </c>
      <c r="L3057" t="s">
        <v>6100</v>
      </c>
      <c r="M3057" t="s">
        <v>6100</v>
      </c>
      <c r="N3057">
        <v>5</v>
      </c>
      <c r="O3057" t="s">
        <v>6101</v>
      </c>
      <c r="P3057" t="s">
        <v>6111</v>
      </c>
      <c r="Q3057">
        <v>5</v>
      </c>
      <c r="R3057">
        <v>2026</v>
      </c>
      <c r="S3057" t="s">
        <v>6099</v>
      </c>
      <c r="T3057">
        <v>1</v>
      </c>
      <c r="U3057" t="s">
        <v>6019</v>
      </c>
      <c r="V3057">
        <v>1</v>
      </c>
    </row>
    <row r="3058" spans="1:22" x14ac:dyDescent="0.3">
      <c r="A3058" t="s">
        <v>3073</v>
      </c>
      <c r="B3058" s="2">
        <v>46156.636805555558</v>
      </c>
      <c r="C3058" s="2">
        <v>46156.978472222225</v>
      </c>
      <c r="D3058" t="s">
        <v>6022</v>
      </c>
      <c r="E3058" t="s">
        <v>6030</v>
      </c>
      <c r="F3058" t="s">
        <v>6035</v>
      </c>
      <c r="G3058" t="s">
        <v>6078</v>
      </c>
      <c r="H3058" t="s">
        <v>6097</v>
      </c>
      <c r="I3058">
        <v>4</v>
      </c>
      <c r="J3058">
        <v>8.1999999999999993</v>
      </c>
      <c r="K3058" t="s">
        <v>6099</v>
      </c>
      <c r="L3058" t="s">
        <v>6100</v>
      </c>
      <c r="M3058" t="s">
        <v>6100</v>
      </c>
      <c r="N3058">
        <v>2</v>
      </c>
      <c r="O3058" t="s">
        <v>6101</v>
      </c>
      <c r="P3058" t="s">
        <v>6111</v>
      </c>
      <c r="Q3058">
        <v>5</v>
      </c>
      <c r="R3058">
        <v>2026</v>
      </c>
      <c r="S3058" t="s">
        <v>6100</v>
      </c>
      <c r="T3058">
        <v>0</v>
      </c>
      <c r="U3058" t="s">
        <v>6020</v>
      </c>
      <c r="V3058">
        <v>1</v>
      </c>
    </row>
    <row r="3059" spans="1:22" x14ac:dyDescent="0.3">
      <c r="A3059" t="s">
        <v>3074</v>
      </c>
      <c r="B3059" s="2">
        <v>46156.63958333333</v>
      </c>
      <c r="C3059" s="2">
        <v>46156.772916666669</v>
      </c>
      <c r="D3059" t="s">
        <v>6028</v>
      </c>
      <c r="E3059" t="s">
        <v>6029</v>
      </c>
      <c r="F3059" t="s">
        <v>6035</v>
      </c>
      <c r="G3059" t="s">
        <v>6074</v>
      </c>
      <c r="H3059" t="s">
        <v>6098</v>
      </c>
      <c r="I3059">
        <v>4</v>
      </c>
      <c r="J3059">
        <v>3.2</v>
      </c>
      <c r="K3059" t="s">
        <v>6100</v>
      </c>
      <c r="L3059" t="s">
        <v>6099</v>
      </c>
      <c r="M3059" t="s">
        <v>6100</v>
      </c>
      <c r="O3059" t="s">
        <v>6101</v>
      </c>
      <c r="P3059" t="s">
        <v>6111</v>
      </c>
      <c r="Q3059">
        <v>5</v>
      </c>
      <c r="R3059">
        <v>2026</v>
      </c>
      <c r="S3059" t="s">
        <v>6099</v>
      </c>
      <c r="T3059">
        <v>1</v>
      </c>
      <c r="U3059" t="s">
        <v>6018</v>
      </c>
      <c r="V3059">
        <v>0</v>
      </c>
    </row>
    <row r="3060" spans="1:22" x14ac:dyDescent="0.3">
      <c r="A3060" t="s">
        <v>3075</v>
      </c>
      <c r="B3060" s="2">
        <v>46156.655555555553</v>
      </c>
      <c r="C3060" s="2">
        <v>46157.293055555558</v>
      </c>
      <c r="D3060" t="s">
        <v>6028</v>
      </c>
      <c r="E3060" t="s">
        <v>6029</v>
      </c>
      <c r="F3060" t="s">
        <v>6035</v>
      </c>
      <c r="G3060" t="s">
        <v>6072</v>
      </c>
      <c r="H3060" t="s">
        <v>6097</v>
      </c>
      <c r="I3060">
        <v>4</v>
      </c>
      <c r="J3060">
        <v>15.3</v>
      </c>
      <c r="K3060" t="s">
        <v>6099</v>
      </c>
      <c r="L3060" t="s">
        <v>6100</v>
      </c>
      <c r="M3060" t="s">
        <v>6099</v>
      </c>
      <c r="O3060" t="s">
        <v>6101</v>
      </c>
      <c r="P3060" t="s">
        <v>6111</v>
      </c>
      <c r="Q3060">
        <v>5</v>
      </c>
      <c r="R3060">
        <v>2026</v>
      </c>
      <c r="S3060" t="s">
        <v>6100</v>
      </c>
      <c r="T3060">
        <v>0</v>
      </c>
      <c r="U3060" t="s">
        <v>6019</v>
      </c>
      <c r="V3060">
        <v>1</v>
      </c>
    </row>
    <row r="3061" spans="1:22" x14ac:dyDescent="0.3">
      <c r="A3061" t="s">
        <v>3076</v>
      </c>
      <c r="B3061" s="2">
        <v>46156.669444444444</v>
      </c>
      <c r="C3061" s="2">
        <v>46156.836111111108</v>
      </c>
      <c r="D3061" t="s">
        <v>6023</v>
      </c>
      <c r="E3061" t="s">
        <v>6030</v>
      </c>
      <c r="F3061" t="s">
        <v>6034</v>
      </c>
      <c r="G3061" t="s">
        <v>6049</v>
      </c>
      <c r="H3061" t="s">
        <v>6097</v>
      </c>
      <c r="I3061">
        <v>24</v>
      </c>
      <c r="J3061">
        <v>4</v>
      </c>
      <c r="K3061" t="s">
        <v>6099</v>
      </c>
      <c r="L3061" t="s">
        <v>6100</v>
      </c>
      <c r="M3061" t="s">
        <v>6100</v>
      </c>
      <c r="O3061" t="s">
        <v>6101</v>
      </c>
      <c r="P3061" t="s">
        <v>6111</v>
      </c>
      <c r="Q3061">
        <v>5</v>
      </c>
      <c r="R3061">
        <v>2026</v>
      </c>
      <c r="S3061" t="s">
        <v>6099</v>
      </c>
      <c r="T3061">
        <v>1</v>
      </c>
      <c r="U3061" t="s">
        <v>6019</v>
      </c>
      <c r="V3061">
        <v>1</v>
      </c>
    </row>
    <row r="3062" spans="1:22" x14ac:dyDescent="0.3">
      <c r="A3062" t="s">
        <v>3077</v>
      </c>
      <c r="B3062" s="2">
        <v>46156.693055555559</v>
      </c>
      <c r="C3062" s="2">
        <v>46162.12222222222</v>
      </c>
      <c r="D3062" t="s">
        <v>6026</v>
      </c>
      <c r="E3062" t="s">
        <v>6031</v>
      </c>
      <c r="F3062" t="s">
        <v>6035</v>
      </c>
      <c r="G3062" t="s">
        <v>6043</v>
      </c>
      <c r="H3062" t="s">
        <v>6097</v>
      </c>
      <c r="I3062">
        <v>4</v>
      </c>
      <c r="J3062">
        <v>130.30000000000001</v>
      </c>
      <c r="K3062" t="s">
        <v>6099</v>
      </c>
      <c r="L3062" t="s">
        <v>6100</v>
      </c>
      <c r="M3062" t="s">
        <v>6100</v>
      </c>
      <c r="O3062" t="s">
        <v>6101</v>
      </c>
      <c r="P3062" t="s">
        <v>6111</v>
      </c>
      <c r="Q3062">
        <v>5</v>
      </c>
      <c r="R3062">
        <v>2026</v>
      </c>
      <c r="S3062" t="s">
        <v>6100</v>
      </c>
      <c r="T3062">
        <v>0</v>
      </c>
      <c r="U3062" t="s">
        <v>6021</v>
      </c>
      <c r="V3062">
        <v>1</v>
      </c>
    </row>
    <row r="3063" spans="1:22" x14ac:dyDescent="0.3">
      <c r="A3063" t="s">
        <v>3078</v>
      </c>
      <c r="B3063" s="2">
        <v>46156.703472222223</v>
      </c>
      <c r="C3063" s="2">
        <v>46157.103472222225</v>
      </c>
      <c r="D3063" t="s">
        <v>6022</v>
      </c>
      <c r="E3063" t="s">
        <v>6030</v>
      </c>
      <c r="F3063" t="s">
        <v>6035</v>
      </c>
      <c r="G3063" t="s">
        <v>6072</v>
      </c>
      <c r="H3063" t="s">
        <v>6097</v>
      </c>
      <c r="I3063">
        <v>4</v>
      </c>
      <c r="J3063">
        <v>9.6</v>
      </c>
      <c r="K3063" t="s">
        <v>6099</v>
      </c>
      <c r="L3063" t="s">
        <v>6100</v>
      </c>
      <c r="M3063" t="s">
        <v>6099</v>
      </c>
      <c r="N3063">
        <v>4</v>
      </c>
      <c r="O3063" t="s">
        <v>6101</v>
      </c>
      <c r="P3063" t="s">
        <v>6111</v>
      </c>
      <c r="Q3063">
        <v>5</v>
      </c>
      <c r="R3063">
        <v>2026</v>
      </c>
      <c r="S3063" t="s">
        <v>6100</v>
      </c>
      <c r="T3063">
        <v>0</v>
      </c>
      <c r="U3063" t="s">
        <v>6020</v>
      </c>
      <c r="V3063">
        <v>1</v>
      </c>
    </row>
    <row r="3064" spans="1:22" x14ac:dyDescent="0.3">
      <c r="A3064" t="s">
        <v>3079</v>
      </c>
      <c r="B3064" s="2">
        <v>46156.70416666667</v>
      </c>
      <c r="C3064" s="2">
        <v>46157.75</v>
      </c>
      <c r="D3064" t="s">
        <v>6027</v>
      </c>
      <c r="E3064" t="s">
        <v>6031</v>
      </c>
      <c r="F3064" t="s">
        <v>6034</v>
      </c>
      <c r="G3064" t="s">
        <v>6042</v>
      </c>
      <c r="H3064" t="s">
        <v>6098</v>
      </c>
      <c r="I3064">
        <v>24</v>
      </c>
      <c r="J3064">
        <v>25.1</v>
      </c>
      <c r="K3064" t="s">
        <v>6099</v>
      </c>
      <c r="L3064" t="s">
        <v>6100</v>
      </c>
      <c r="M3064" t="s">
        <v>6100</v>
      </c>
      <c r="O3064" t="s">
        <v>6101</v>
      </c>
      <c r="P3064" t="s">
        <v>6111</v>
      </c>
      <c r="Q3064">
        <v>5</v>
      </c>
      <c r="R3064">
        <v>2026</v>
      </c>
      <c r="S3064" t="s">
        <v>6100</v>
      </c>
      <c r="T3064">
        <v>0</v>
      </c>
      <c r="U3064" t="s">
        <v>6021</v>
      </c>
      <c r="V3064">
        <v>1</v>
      </c>
    </row>
    <row r="3065" spans="1:22" x14ac:dyDescent="0.3">
      <c r="A3065" t="s">
        <v>3080</v>
      </c>
      <c r="B3065" s="2">
        <v>46156.724999999999</v>
      </c>
      <c r="C3065" s="2">
        <v>46159.633333333331</v>
      </c>
      <c r="D3065" t="s">
        <v>6026</v>
      </c>
      <c r="E3065" t="s">
        <v>6031</v>
      </c>
      <c r="F3065" t="s">
        <v>6033</v>
      </c>
      <c r="G3065" t="s">
        <v>6087</v>
      </c>
      <c r="H3065" t="s">
        <v>6098</v>
      </c>
      <c r="I3065">
        <v>72</v>
      </c>
      <c r="J3065">
        <v>69.8</v>
      </c>
      <c r="K3065" t="s">
        <v>6100</v>
      </c>
      <c r="L3065" t="s">
        <v>6100</v>
      </c>
      <c r="M3065" t="s">
        <v>6100</v>
      </c>
      <c r="O3065" t="s">
        <v>6101</v>
      </c>
      <c r="P3065" t="s">
        <v>6111</v>
      </c>
      <c r="Q3065">
        <v>5</v>
      </c>
      <c r="R3065">
        <v>2026</v>
      </c>
      <c r="S3065" t="s">
        <v>6099</v>
      </c>
      <c r="T3065">
        <v>1</v>
      </c>
      <c r="U3065" t="s">
        <v>6021</v>
      </c>
      <c r="V3065">
        <v>0</v>
      </c>
    </row>
    <row r="3066" spans="1:22" x14ac:dyDescent="0.3">
      <c r="A3066" t="s">
        <v>3081</v>
      </c>
      <c r="B3066" s="2">
        <v>46156.75277777778</v>
      </c>
      <c r="C3066" s="2">
        <v>46157.411111111112</v>
      </c>
      <c r="D3066" t="s">
        <v>6023</v>
      </c>
      <c r="E3066" t="s">
        <v>6032</v>
      </c>
      <c r="F3066" t="s">
        <v>6033</v>
      </c>
      <c r="G3066" t="s">
        <v>6059</v>
      </c>
      <c r="H3066" t="s">
        <v>6097</v>
      </c>
      <c r="I3066">
        <v>72</v>
      </c>
      <c r="J3066">
        <v>15.8</v>
      </c>
      <c r="K3066" t="s">
        <v>6099</v>
      </c>
      <c r="L3066" t="s">
        <v>6100</v>
      </c>
      <c r="M3066" t="s">
        <v>6100</v>
      </c>
      <c r="N3066">
        <v>5</v>
      </c>
      <c r="O3066" t="s">
        <v>6101</v>
      </c>
      <c r="P3066" t="s">
        <v>6111</v>
      </c>
      <c r="Q3066">
        <v>5</v>
      </c>
      <c r="R3066">
        <v>2026</v>
      </c>
      <c r="S3066" t="s">
        <v>6099</v>
      </c>
      <c r="T3066">
        <v>1</v>
      </c>
      <c r="U3066" t="s">
        <v>6021</v>
      </c>
      <c r="V3066">
        <v>1</v>
      </c>
    </row>
    <row r="3067" spans="1:22" x14ac:dyDescent="0.3">
      <c r="A3067" t="s">
        <v>3082</v>
      </c>
      <c r="B3067" s="2">
        <v>46156.780555555553</v>
      </c>
      <c r="C3067" s="2">
        <v>46157.726388888892</v>
      </c>
      <c r="D3067" t="s">
        <v>6022</v>
      </c>
      <c r="E3067" t="s">
        <v>6029</v>
      </c>
      <c r="F3067" t="s">
        <v>6033</v>
      </c>
      <c r="G3067" t="s">
        <v>6037</v>
      </c>
      <c r="H3067" t="s">
        <v>6096</v>
      </c>
      <c r="I3067">
        <v>72</v>
      </c>
      <c r="J3067">
        <v>22.7</v>
      </c>
      <c r="K3067" t="s">
        <v>6099</v>
      </c>
      <c r="L3067" t="s">
        <v>6100</v>
      </c>
      <c r="M3067" t="s">
        <v>6100</v>
      </c>
      <c r="O3067" t="s">
        <v>6101</v>
      </c>
      <c r="P3067" t="s">
        <v>6111</v>
      </c>
      <c r="Q3067">
        <v>5</v>
      </c>
      <c r="R3067">
        <v>2026</v>
      </c>
      <c r="S3067" t="s">
        <v>6099</v>
      </c>
      <c r="T3067">
        <v>1</v>
      </c>
      <c r="U3067" t="s">
        <v>6020</v>
      </c>
      <c r="V3067">
        <v>1</v>
      </c>
    </row>
    <row r="3068" spans="1:22" x14ac:dyDescent="0.3">
      <c r="A3068" t="s">
        <v>3083</v>
      </c>
      <c r="B3068" s="2">
        <v>46156.800000000003</v>
      </c>
      <c r="C3068" s="2">
        <v>46159.070833333331</v>
      </c>
      <c r="D3068" t="s">
        <v>6025</v>
      </c>
      <c r="E3068" t="s">
        <v>6031</v>
      </c>
      <c r="F3068" t="s">
        <v>6035</v>
      </c>
      <c r="G3068" t="s">
        <v>6083</v>
      </c>
      <c r="H3068" t="s">
        <v>6096</v>
      </c>
      <c r="I3068">
        <v>4</v>
      </c>
      <c r="J3068">
        <v>54.5</v>
      </c>
      <c r="K3068" t="s">
        <v>6099</v>
      </c>
      <c r="L3068" t="s">
        <v>6100</v>
      </c>
      <c r="M3068" t="s">
        <v>6100</v>
      </c>
      <c r="O3068" t="s">
        <v>6101</v>
      </c>
      <c r="P3068" t="s">
        <v>6111</v>
      </c>
      <c r="Q3068">
        <v>5</v>
      </c>
      <c r="R3068">
        <v>2026</v>
      </c>
      <c r="S3068" t="s">
        <v>6100</v>
      </c>
      <c r="T3068">
        <v>0</v>
      </c>
      <c r="U3068" t="s">
        <v>6017</v>
      </c>
      <c r="V3068">
        <v>1</v>
      </c>
    </row>
    <row r="3069" spans="1:22" x14ac:dyDescent="0.3">
      <c r="A3069" t="s">
        <v>3084</v>
      </c>
      <c r="B3069" s="2">
        <v>46156.872916666667</v>
      </c>
      <c r="C3069" s="2">
        <v>46163.510416666664</v>
      </c>
      <c r="D3069" t="s">
        <v>6025</v>
      </c>
      <c r="E3069" t="s">
        <v>6031</v>
      </c>
      <c r="F3069" t="s">
        <v>6033</v>
      </c>
      <c r="G3069" t="s">
        <v>6062</v>
      </c>
      <c r="H3069" t="s">
        <v>6096</v>
      </c>
      <c r="I3069">
        <v>72</v>
      </c>
      <c r="J3069">
        <v>159.30000000000001</v>
      </c>
      <c r="K3069" t="s">
        <v>6099</v>
      </c>
      <c r="L3069" t="s">
        <v>6100</v>
      </c>
      <c r="M3069" t="s">
        <v>6100</v>
      </c>
      <c r="N3069">
        <v>3</v>
      </c>
      <c r="O3069" t="s">
        <v>6101</v>
      </c>
      <c r="P3069" t="s">
        <v>6111</v>
      </c>
      <c r="Q3069">
        <v>5</v>
      </c>
      <c r="R3069">
        <v>2026</v>
      </c>
      <c r="S3069" t="s">
        <v>6100</v>
      </c>
      <c r="T3069">
        <v>0</v>
      </c>
      <c r="U3069" t="s">
        <v>6019</v>
      </c>
      <c r="V3069">
        <v>1</v>
      </c>
    </row>
    <row r="3070" spans="1:22" x14ac:dyDescent="0.3">
      <c r="A3070" t="s">
        <v>3085</v>
      </c>
      <c r="B3070" s="2">
        <v>46157.156944444447</v>
      </c>
      <c r="C3070" s="2">
        <v>46158.648611111108</v>
      </c>
      <c r="D3070" t="s">
        <v>6028</v>
      </c>
      <c r="E3070" t="s">
        <v>6031</v>
      </c>
      <c r="F3070" t="s">
        <v>6035</v>
      </c>
      <c r="G3070" t="s">
        <v>6043</v>
      </c>
      <c r="H3070" t="s">
        <v>6097</v>
      </c>
      <c r="I3070">
        <v>4</v>
      </c>
      <c r="J3070">
        <v>35.799999999999997</v>
      </c>
      <c r="K3070" t="s">
        <v>6099</v>
      </c>
      <c r="L3070" t="s">
        <v>6100</v>
      </c>
      <c r="M3070" t="s">
        <v>6100</v>
      </c>
      <c r="O3070" t="s">
        <v>6101</v>
      </c>
      <c r="P3070" t="s">
        <v>6111</v>
      </c>
      <c r="Q3070">
        <v>5</v>
      </c>
      <c r="R3070">
        <v>2026</v>
      </c>
      <c r="S3070" t="s">
        <v>6100</v>
      </c>
      <c r="T3070">
        <v>0</v>
      </c>
      <c r="U3070" t="s">
        <v>6018</v>
      </c>
      <c r="V3070">
        <v>1</v>
      </c>
    </row>
    <row r="3071" spans="1:22" x14ac:dyDescent="0.3">
      <c r="A3071" t="s">
        <v>3086</v>
      </c>
      <c r="B3071" s="2">
        <v>46157.258333333331</v>
      </c>
      <c r="C3071" s="2">
        <v>46161.337500000001</v>
      </c>
      <c r="D3071" t="s">
        <v>6026</v>
      </c>
      <c r="E3071" t="s">
        <v>6031</v>
      </c>
      <c r="F3071" t="s">
        <v>6033</v>
      </c>
      <c r="G3071" t="s">
        <v>6077</v>
      </c>
      <c r="H3071" t="s">
        <v>6098</v>
      </c>
      <c r="I3071">
        <v>72</v>
      </c>
      <c r="J3071">
        <v>97.9</v>
      </c>
      <c r="K3071" t="s">
        <v>6099</v>
      </c>
      <c r="L3071" t="s">
        <v>6100</v>
      </c>
      <c r="M3071" t="s">
        <v>6100</v>
      </c>
      <c r="N3071">
        <v>5</v>
      </c>
      <c r="O3071" t="s">
        <v>6101</v>
      </c>
      <c r="P3071" t="s">
        <v>6111</v>
      </c>
      <c r="Q3071">
        <v>5</v>
      </c>
      <c r="R3071">
        <v>2026</v>
      </c>
      <c r="S3071" t="s">
        <v>6100</v>
      </c>
      <c r="T3071">
        <v>0</v>
      </c>
      <c r="U3071" t="s">
        <v>6021</v>
      </c>
      <c r="V3071">
        <v>1</v>
      </c>
    </row>
    <row r="3072" spans="1:22" x14ac:dyDescent="0.3">
      <c r="A3072" t="s">
        <v>3087</v>
      </c>
      <c r="B3072" s="2">
        <v>46157.340277777781</v>
      </c>
      <c r="C3072" s="2">
        <v>46157.702777777777</v>
      </c>
      <c r="D3072" t="s">
        <v>6023</v>
      </c>
      <c r="E3072" t="s">
        <v>6029</v>
      </c>
      <c r="F3072" t="s">
        <v>6033</v>
      </c>
      <c r="G3072" t="s">
        <v>6094</v>
      </c>
      <c r="H3072" t="s">
        <v>6098</v>
      </c>
      <c r="I3072">
        <v>72</v>
      </c>
      <c r="J3072">
        <v>8.6999999999999993</v>
      </c>
      <c r="K3072" t="s">
        <v>6099</v>
      </c>
      <c r="L3072" t="s">
        <v>6100</v>
      </c>
      <c r="M3072" t="s">
        <v>6100</v>
      </c>
      <c r="O3072" t="s">
        <v>6101</v>
      </c>
      <c r="P3072" t="s">
        <v>6111</v>
      </c>
      <c r="Q3072">
        <v>5</v>
      </c>
      <c r="R3072">
        <v>2026</v>
      </c>
      <c r="S3072" t="s">
        <v>6099</v>
      </c>
      <c r="T3072">
        <v>1</v>
      </c>
      <c r="U3072" t="s">
        <v>6019</v>
      </c>
      <c r="V3072">
        <v>1</v>
      </c>
    </row>
    <row r="3073" spans="1:22" x14ac:dyDescent="0.3">
      <c r="A3073" t="s">
        <v>3088</v>
      </c>
      <c r="B3073" s="2">
        <v>46157.384027777778</v>
      </c>
      <c r="C3073" s="2">
        <v>46157.879861111112</v>
      </c>
      <c r="D3073" t="s">
        <v>6027</v>
      </c>
      <c r="E3073" t="s">
        <v>6029</v>
      </c>
      <c r="F3073" t="s">
        <v>6033</v>
      </c>
      <c r="G3073" t="s">
        <v>6060</v>
      </c>
      <c r="H3073" t="s">
        <v>6097</v>
      </c>
      <c r="I3073">
        <v>72</v>
      </c>
      <c r="J3073">
        <v>11.9</v>
      </c>
      <c r="K3073" t="s">
        <v>6099</v>
      </c>
      <c r="L3073" t="s">
        <v>6100</v>
      </c>
      <c r="M3073" t="s">
        <v>6100</v>
      </c>
      <c r="O3073" t="s">
        <v>6101</v>
      </c>
      <c r="P3073" t="s">
        <v>6111</v>
      </c>
      <c r="Q3073">
        <v>5</v>
      </c>
      <c r="R3073">
        <v>2026</v>
      </c>
      <c r="S3073" t="s">
        <v>6099</v>
      </c>
      <c r="T3073">
        <v>1</v>
      </c>
      <c r="U3073" t="s">
        <v>6021</v>
      </c>
      <c r="V3073">
        <v>1</v>
      </c>
    </row>
    <row r="3074" spans="1:22" x14ac:dyDescent="0.3">
      <c r="A3074" t="s">
        <v>3089</v>
      </c>
      <c r="B3074" s="2">
        <v>46157.456250000003</v>
      </c>
      <c r="C3074" s="2">
        <v>46157.814583333333</v>
      </c>
      <c r="D3074" t="s">
        <v>6023</v>
      </c>
      <c r="E3074" t="s">
        <v>6029</v>
      </c>
      <c r="F3074" t="s">
        <v>6034</v>
      </c>
      <c r="G3074" t="s">
        <v>6040</v>
      </c>
      <c r="H3074" t="s">
        <v>6097</v>
      </c>
      <c r="I3074">
        <v>24</v>
      </c>
      <c r="J3074">
        <v>8.6</v>
      </c>
      <c r="K3074" t="s">
        <v>6099</v>
      </c>
      <c r="L3074" t="s">
        <v>6100</v>
      </c>
      <c r="M3074" t="s">
        <v>6100</v>
      </c>
      <c r="O3074" t="s">
        <v>6101</v>
      </c>
      <c r="P3074" t="s">
        <v>6111</v>
      </c>
      <c r="Q3074">
        <v>5</v>
      </c>
      <c r="R3074">
        <v>2026</v>
      </c>
      <c r="S3074" t="s">
        <v>6099</v>
      </c>
      <c r="T3074">
        <v>1</v>
      </c>
      <c r="U3074" t="s">
        <v>6021</v>
      </c>
      <c r="V3074">
        <v>1</v>
      </c>
    </row>
    <row r="3075" spans="1:22" x14ac:dyDescent="0.3">
      <c r="A3075" t="s">
        <v>3090</v>
      </c>
      <c r="B3075" s="2">
        <v>46157.467361111114</v>
      </c>
      <c r="C3075" s="2">
        <v>46157.571527777778</v>
      </c>
      <c r="D3075" t="s">
        <v>6023</v>
      </c>
      <c r="E3075" t="s">
        <v>6030</v>
      </c>
      <c r="F3075" t="s">
        <v>6034</v>
      </c>
      <c r="G3075" t="s">
        <v>6062</v>
      </c>
      <c r="H3075" t="s">
        <v>6096</v>
      </c>
      <c r="I3075">
        <v>24</v>
      </c>
      <c r="J3075">
        <v>2.5</v>
      </c>
      <c r="K3075" t="s">
        <v>6099</v>
      </c>
      <c r="L3075" t="s">
        <v>6100</v>
      </c>
      <c r="M3075" t="s">
        <v>6100</v>
      </c>
      <c r="O3075" t="s">
        <v>6101</v>
      </c>
      <c r="P3075" t="s">
        <v>6111</v>
      </c>
      <c r="Q3075">
        <v>5</v>
      </c>
      <c r="R3075">
        <v>2026</v>
      </c>
      <c r="S3075" t="s">
        <v>6099</v>
      </c>
      <c r="T3075">
        <v>1</v>
      </c>
      <c r="U3075" t="s">
        <v>6018</v>
      </c>
      <c r="V3075">
        <v>1</v>
      </c>
    </row>
    <row r="3076" spans="1:22" x14ac:dyDescent="0.3">
      <c r="A3076" t="s">
        <v>3091</v>
      </c>
      <c r="B3076" s="2">
        <v>46157.477083333331</v>
      </c>
      <c r="C3076" s="2">
        <v>46158.064583333333</v>
      </c>
      <c r="D3076" t="s">
        <v>6022</v>
      </c>
      <c r="E3076" t="s">
        <v>6032</v>
      </c>
      <c r="F3076" t="s">
        <v>6034</v>
      </c>
      <c r="G3076" t="s">
        <v>6052</v>
      </c>
      <c r="H3076" t="s">
        <v>6098</v>
      </c>
      <c r="I3076">
        <v>24</v>
      </c>
      <c r="J3076">
        <v>14.1</v>
      </c>
      <c r="K3076" t="s">
        <v>6099</v>
      </c>
      <c r="L3076" t="s">
        <v>6100</v>
      </c>
      <c r="M3076" t="s">
        <v>6100</v>
      </c>
      <c r="N3076">
        <v>3</v>
      </c>
      <c r="O3076" t="s">
        <v>6101</v>
      </c>
      <c r="P3076" t="s">
        <v>6111</v>
      </c>
      <c r="Q3076">
        <v>5</v>
      </c>
      <c r="R3076">
        <v>2026</v>
      </c>
      <c r="S3076" t="s">
        <v>6099</v>
      </c>
      <c r="T3076">
        <v>1</v>
      </c>
      <c r="U3076" t="s">
        <v>6020</v>
      </c>
      <c r="V3076">
        <v>1</v>
      </c>
    </row>
    <row r="3077" spans="1:22" x14ac:dyDescent="0.3">
      <c r="A3077" t="s">
        <v>3092</v>
      </c>
      <c r="B3077" s="2">
        <v>46157.480555555558</v>
      </c>
      <c r="C3077" s="2">
        <v>46157.93472222222</v>
      </c>
      <c r="D3077" t="s">
        <v>6024</v>
      </c>
      <c r="E3077" t="s">
        <v>6029</v>
      </c>
      <c r="F3077" t="s">
        <v>6034</v>
      </c>
      <c r="G3077" t="s">
        <v>6061</v>
      </c>
      <c r="H3077" t="s">
        <v>6096</v>
      </c>
      <c r="I3077">
        <v>24</v>
      </c>
      <c r="J3077">
        <v>10.9</v>
      </c>
      <c r="K3077" t="s">
        <v>6099</v>
      </c>
      <c r="L3077" t="s">
        <v>6100</v>
      </c>
      <c r="M3077" t="s">
        <v>6100</v>
      </c>
      <c r="O3077" t="s">
        <v>6101</v>
      </c>
      <c r="P3077" t="s">
        <v>6111</v>
      </c>
      <c r="Q3077">
        <v>5</v>
      </c>
      <c r="R3077">
        <v>2026</v>
      </c>
      <c r="S3077" t="s">
        <v>6099</v>
      </c>
      <c r="T3077">
        <v>1</v>
      </c>
      <c r="U3077" t="s">
        <v>6021</v>
      </c>
      <c r="V3077">
        <v>1</v>
      </c>
    </row>
    <row r="3078" spans="1:22" x14ac:dyDescent="0.3">
      <c r="A3078" t="s">
        <v>3093</v>
      </c>
      <c r="B3078" s="2">
        <v>46157.481249999997</v>
      </c>
      <c r="C3078" s="2">
        <v>46157.73541666667</v>
      </c>
      <c r="D3078" t="s">
        <v>6028</v>
      </c>
      <c r="E3078" t="s">
        <v>6030</v>
      </c>
      <c r="F3078" t="s">
        <v>6034</v>
      </c>
      <c r="G3078" t="s">
        <v>6058</v>
      </c>
      <c r="H3078" t="s">
        <v>6098</v>
      </c>
      <c r="I3078">
        <v>24</v>
      </c>
      <c r="J3078">
        <v>6.1</v>
      </c>
      <c r="K3078" t="s">
        <v>6099</v>
      </c>
      <c r="L3078" t="s">
        <v>6100</v>
      </c>
      <c r="M3078" t="s">
        <v>6100</v>
      </c>
      <c r="N3078">
        <v>5</v>
      </c>
      <c r="O3078" t="s">
        <v>6101</v>
      </c>
      <c r="P3078" t="s">
        <v>6111</v>
      </c>
      <c r="Q3078">
        <v>5</v>
      </c>
      <c r="R3078">
        <v>2026</v>
      </c>
      <c r="S3078" t="s">
        <v>6099</v>
      </c>
      <c r="T3078">
        <v>1</v>
      </c>
      <c r="U3078" t="s">
        <v>6018</v>
      </c>
      <c r="V3078">
        <v>1</v>
      </c>
    </row>
    <row r="3079" spans="1:22" x14ac:dyDescent="0.3">
      <c r="A3079" t="s">
        <v>3094</v>
      </c>
      <c r="B3079" s="2">
        <v>46157.486805555556</v>
      </c>
      <c r="C3079" s="2">
        <v>46157.690972222219</v>
      </c>
      <c r="D3079" t="s">
        <v>6025</v>
      </c>
      <c r="E3079" t="s">
        <v>6029</v>
      </c>
      <c r="F3079" t="s">
        <v>6035</v>
      </c>
      <c r="G3079" t="s">
        <v>6093</v>
      </c>
      <c r="H3079" t="s">
        <v>6097</v>
      </c>
      <c r="I3079">
        <v>4</v>
      </c>
      <c r="J3079">
        <v>4.9000000000000004</v>
      </c>
      <c r="K3079" t="s">
        <v>6100</v>
      </c>
      <c r="L3079" t="s">
        <v>6100</v>
      </c>
      <c r="M3079" t="s">
        <v>6100</v>
      </c>
      <c r="N3079">
        <v>4</v>
      </c>
      <c r="O3079" t="s">
        <v>6101</v>
      </c>
      <c r="P3079" t="s">
        <v>6111</v>
      </c>
      <c r="Q3079">
        <v>5</v>
      </c>
      <c r="R3079">
        <v>2026</v>
      </c>
      <c r="S3079" t="s">
        <v>6100</v>
      </c>
      <c r="T3079">
        <v>0</v>
      </c>
      <c r="U3079" t="s">
        <v>6018</v>
      </c>
      <c r="V3079">
        <v>0</v>
      </c>
    </row>
    <row r="3080" spans="1:22" x14ac:dyDescent="0.3">
      <c r="A3080" t="s">
        <v>3095</v>
      </c>
      <c r="B3080" s="2">
        <v>46157.510416666664</v>
      </c>
      <c r="C3080" s="2">
        <v>46158.01458333333</v>
      </c>
      <c r="D3080" t="s">
        <v>6025</v>
      </c>
      <c r="E3080" t="s">
        <v>6030</v>
      </c>
      <c r="F3080" t="s">
        <v>6034</v>
      </c>
      <c r="G3080" t="s">
        <v>6049</v>
      </c>
      <c r="H3080" t="s">
        <v>6097</v>
      </c>
      <c r="I3080">
        <v>24</v>
      </c>
      <c r="J3080">
        <v>12.1</v>
      </c>
      <c r="K3080" t="s">
        <v>6099</v>
      </c>
      <c r="L3080" t="s">
        <v>6100</v>
      </c>
      <c r="M3080" t="s">
        <v>6100</v>
      </c>
      <c r="N3080">
        <v>5</v>
      </c>
      <c r="O3080" t="s">
        <v>6101</v>
      </c>
      <c r="P3080" t="s">
        <v>6111</v>
      </c>
      <c r="Q3080">
        <v>5</v>
      </c>
      <c r="R3080">
        <v>2026</v>
      </c>
      <c r="S3080" t="s">
        <v>6099</v>
      </c>
      <c r="T3080">
        <v>1</v>
      </c>
      <c r="U3080" t="s">
        <v>6020</v>
      </c>
      <c r="V3080">
        <v>1</v>
      </c>
    </row>
    <row r="3081" spans="1:22" x14ac:dyDescent="0.3">
      <c r="A3081" t="s">
        <v>3096</v>
      </c>
      <c r="B3081" s="2">
        <v>46157.529861111114</v>
      </c>
      <c r="C3081" s="2">
        <v>46158.209027777775</v>
      </c>
      <c r="D3081" t="s">
        <v>6025</v>
      </c>
      <c r="E3081" t="s">
        <v>6029</v>
      </c>
      <c r="F3081" t="s">
        <v>6034</v>
      </c>
      <c r="G3081" t="s">
        <v>6040</v>
      </c>
      <c r="H3081" t="s">
        <v>6097</v>
      </c>
      <c r="I3081">
        <v>24</v>
      </c>
      <c r="J3081">
        <v>16.3</v>
      </c>
      <c r="K3081" t="s">
        <v>6099</v>
      </c>
      <c r="L3081" t="s">
        <v>6100</v>
      </c>
      <c r="M3081" t="s">
        <v>6100</v>
      </c>
      <c r="N3081">
        <v>4</v>
      </c>
      <c r="O3081" t="s">
        <v>6101</v>
      </c>
      <c r="P3081" t="s">
        <v>6111</v>
      </c>
      <c r="Q3081">
        <v>5</v>
      </c>
      <c r="R3081">
        <v>2026</v>
      </c>
      <c r="S3081" t="s">
        <v>6099</v>
      </c>
      <c r="T3081">
        <v>1</v>
      </c>
      <c r="U3081" t="s">
        <v>6021</v>
      </c>
      <c r="V3081">
        <v>1</v>
      </c>
    </row>
    <row r="3082" spans="1:22" x14ac:dyDescent="0.3">
      <c r="A3082" t="s">
        <v>3097</v>
      </c>
      <c r="B3082" s="2">
        <v>46157.531944444447</v>
      </c>
      <c r="C3082" s="2">
        <v>46157.798611111109</v>
      </c>
      <c r="D3082" t="s">
        <v>6023</v>
      </c>
      <c r="E3082" t="s">
        <v>6030</v>
      </c>
      <c r="F3082" t="s">
        <v>6034</v>
      </c>
      <c r="G3082" t="s">
        <v>6073</v>
      </c>
      <c r="H3082" t="s">
        <v>6096</v>
      </c>
      <c r="I3082">
        <v>24</v>
      </c>
      <c r="J3082">
        <v>6.4</v>
      </c>
      <c r="K3082" t="s">
        <v>6099</v>
      </c>
      <c r="L3082" t="s">
        <v>6100</v>
      </c>
      <c r="M3082" t="s">
        <v>6100</v>
      </c>
      <c r="N3082">
        <v>5</v>
      </c>
      <c r="O3082" t="s">
        <v>6101</v>
      </c>
      <c r="P3082" t="s">
        <v>6111</v>
      </c>
      <c r="Q3082">
        <v>5</v>
      </c>
      <c r="R3082">
        <v>2026</v>
      </c>
      <c r="S3082" t="s">
        <v>6099</v>
      </c>
      <c r="T3082">
        <v>1</v>
      </c>
      <c r="U3082" t="s">
        <v>6018</v>
      </c>
      <c r="V3082">
        <v>1</v>
      </c>
    </row>
    <row r="3083" spans="1:22" x14ac:dyDescent="0.3">
      <c r="A3083" t="s">
        <v>3098</v>
      </c>
      <c r="B3083" s="2">
        <v>46157.555555555555</v>
      </c>
      <c r="C3083" s="2">
        <v>46157.697222222225</v>
      </c>
      <c r="D3083" t="s">
        <v>6023</v>
      </c>
      <c r="E3083" t="s">
        <v>6030</v>
      </c>
      <c r="F3083" t="s">
        <v>6034</v>
      </c>
      <c r="G3083" t="s">
        <v>6039</v>
      </c>
      <c r="H3083" t="s">
        <v>6097</v>
      </c>
      <c r="I3083">
        <v>24</v>
      </c>
      <c r="J3083">
        <v>3.4</v>
      </c>
      <c r="K3083" t="s">
        <v>6099</v>
      </c>
      <c r="L3083" t="s">
        <v>6100</v>
      </c>
      <c r="M3083" t="s">
        <v>6099</v>
      </c>
      <c r="O3083" t="s">
        <v>6101</v>
      </c>
      <c r="P3083" t="s">
        <v>6111</v>
      </c>
      <c r="Q3083">
        <v>5</v>
      </c>
      <c r="R3083">
        <v>2026</v>
      </c>
      <c r="S3083" t="s">
        <v>6099</v>
      </c>
      <c r="T3083">
        <v>1</v>
      </c>
      <c r="U3083" t="s">
        <v>6020</v>
      </c>
      <c r="V3083">
        <v>1</v>
      </c>
    </row>
    <row r="3084" spans="1:22" x14ac:dyDescent="0.3">
      <c r="A3084" t="s">
        <v>3099</v>
      </c>
      <c r="B3084" s="2">
        <v>46157.591666666667</v>
      </c>
      <c r="C3084" s="2">
        <v>46161.529166666667</v>
      </c>
      <c r="D3084" t="s">
        <v>6026</v>
      </c>
      <c r="E3084" t="s">
        <v>6031</v>
      </c>
      <c r="F3084" t="s">
        <v>6035</v>
      </c>
      <c r="G3084" t="s">
        <v>6077</v>
      </c>
      <c r="H3084" t="s">
        <v>6098</v>
      </c>
      <c r="I3084">
        <v>4</v>
      </c>
      <c r="J3084">
        <v>94.5</v>
      </c>
      <c r="K3084" t="s">
        <v>6100</v>
      </c>
      <c r="L3084" t="s">
        <v>6100</v>
      </c>
      <c r="M3084" t="s">
        <v>6100</v>
      </c>
      <c r="N3084">
        <v>3</v>
      </c>
      <c r="O3084" t="s">
        <v>6101</v>
      </c>
      <c r="P3084" t="s">
        <v>6111</v>
      </c>
      <c r="Q3084">
        <v>5</v>
      </c>
      <c r="R3084">
        <v>2026</v>
      </c>
      <c r="S3084" t="s">
        <v>6100</v>
      </c>
      <c r="T3084">
        <v>0</v>
      </c>
      <c r="U3084" t="s">
        <v>6018</v>
      </c>
      <c r="V3084">
        <v>0</v>
      </c>
    </row>
    <row r="3085" spans="1:22" x14ac:dyDescent="0.3">
      <c r="A3085" t="s">
        <v>3100</v>
      </c>
      <c r="B3085" s="2">
        <v>46157.738194444442</v>
      </c>
      <c r="C3085" s="2">
        <v>46159.996527777781</v>
      </c>
      <c r="D3085" t="s">
        <v>6028</v>
      </c>
      <c r="E3085" t="s">
        <v>6031</v>
      </c>
      <c r="F3085" t="s">
        <v>6035</v>
      </c>
      <c r="G3085" t="s">
        <v>6092</v>
      </c>
      <c r="H3085" t="s">
        <v>6097</v>
      </c>
      <c r="I3085">
        <v>4</v>
      </c>
      <c r="J3085">
        <v>54.2</v>
      </c>
      <c r="K3085" t="s">
        <v>6099</v>
      </c>
      <c r="L3085" t="s">
        <v>6100</v>
      </c>
      <c r="M3085" t="s">
        <v>6100</v>
      </c>
      <c r="O3085" t="s">
        <v>6101</v>
      </c>
      <c r="P3085" t="s">
        <v>6111</v>
      </c>
      <c r="Q3085">
        <v>5</v>
      </c>
      <c r="R3085">
        <v>2026</v>
      </c>
      <c r="S3085" t="s">
        <v>6100</v>
      </c>
      <c r="T3085">
        <v>0</v>
      </c>
      <c r="U3085" t="s">
        <v>6021</v>
      </c>
      <c r="V3085">
        <v>1</v>
      </c>
    </row>
    <row r="3086" spans="1:22" x14ac:dyDescent="0.3">
      <c r="A3086" t="s">
        <v>3101</v>
      </c>
      <c r="B3086" s="2">
        <v>46157.747916666667</v>
      </c>
      <c r="C3086" s="2">
        <v>46159.772916666669</v>
      </c>
      <c r="D3086" t="s">
        <v>6022</v>
      </c>
      <c r="E3086" t="s">
        <v>6031</v>
      </c>
      <c r="F3086" t="s">
        <v>6034</v>
      </c>
      <c r="G3086" t="s">
        <v>6055</v>
      </c>
      <c r="H3086" t="s">
        <v>6096</v>
      </c>
      <c r="I3086">
        <v>24</v>
      </c>
      <c r="J3086">
        <v>48.6</v>
      </c>
      <c r="K3086" t="s">
        <v>6099</v>
      </c>
      <c r="L3086" t="s">
        <v>6100</v>
      </c>
      <c r="M3086" t="s">
        <v>6100</v>
      </c>
      <c r="N3086">
        <v>5</v>
      </c>
      <c r="O3086" t="s">
        <v>6101</v>
      </c>
      <c r="P3086" t="s">
        <v>6111</v>
      </c>
      <c r="Q3086">
        <v>5</v>
      </c>
      <c r="R3086">
        <v>2026</v>
      </c>
      <c r="S3086" t="s">
        <v>6100</v>
      </c>
      <c r="T3086">
        <v>0</v>
      </c>
      <c r="U3086" t="s">
        <v>6017</v>
      </c>
      <c r="V3086">
        <v>1</v>
      </c>
    </row>
    <row r="3087" spans="1:22" x14ac:dyDescent="0.3">
      <c r="A3087" t="s">
        <v>3102</v>
      </c>
      <c r="B3087" s="2">
        <v>46157.775000000001</v>
      </c>
      <c r="C3087" s="2">
        <v>46158.837500000001</v>
      </c>
      <c r="D3087" t="s">
        <v>6025</v>
      </c>
      <c r="E3087" t="s">
        <v>6032</v>
      </c>
      <c r="F3087" t="s">
        <v>6035</v>
      </c>
      <c r="G3087" t="s">
        <v>6085</v>
      </c>
      <c r="H3087" t="s">
        <v>6097</v>
      </c>
      <c r="I3087">
        <v>4</v>
      </c>
      <c r="J3087">
        <v>25.5</v>
      </c>
      <c r="K3087" t="s">
        <v>6099</v>
      </c>
      <c r="L3087" t="s">
        <v>6100</v>
      </c>
      <c r="M3087" t="s">
        <v>6100</v>
      </c>
      <c r="N3087">
        <v>5</v>
      </c>
      <c r="O3087" t="s">
        <v>6101</v>
      </c>
      <c r="P3087" t="s">
        <v>6111</v>
      </c>
      <c r="Q3087">
        <v>5</v>
      </c>
      <c r="R3087">
        <v>2026</v>
      </c>
      <c r="S3087" t="s">
        <v>6100</v>
      </c>
      <c r="T3087">
        <v>0</v>
      </c>
      <c r="U3087" t="s">
        <v>6020</v>
      </c>
      <c r="V3087">
        <v>1</v>
      </c>
    </row>
    <row r="3088" spans="1:22" x14ac:dyDescent="0.3">
      <c r="A3088" t="s">
        <v>3103</v>
      </c>
      <c r="B3088" s="2">
        <v>46157.854166666664</v>
      </c>
      <c r="C3088" s="2">
        <v>46158.412499999999</v>
      </c>
      <c r="D3088" t="s">
        <v>6024</v>
      </c>
      <c r="E3088" t="s">
        <v>6029</v>
      </c>
      <c r="F3088" t="s">
        <v>6034</v>
      </c>
      <c r="G3088" t="s">
        <v>6093</v>
      </c>
      <c r="H3088" t="s">
        <v>6097</v>
      </c>
      <c r="I3088">
        <v>24</v>
      </c>
      <c r="J3088">
        <v>13.4</v>
      </c>
      <c r="K3088" t="s">
        <v>6099</v>
      </c>
      <c r="L3088" t="s">
        <v>6100</v>
      </c>
      <c r="M3088" t="s">
        <v>6100</v>
      </c>
      <c r="N3088">
        <v>5</v>
      </c>
      <c r="O3088" t="s">
        <v>6101</v>
      </c>
      <c r="P3088" t="s">
        <v>6111</v>
      </c>
      <c r="Q3088">
        <v>5</v>
      </c>
      <c r="R3088">
        <v>2026</v>
      </c>
      <c r="S3088" t="s">
        <v>6099</v>
      </c>
      <c r="T3088">
        <v>1</v>
      </c>
      <c r="U3088" t="s">
        <v>6018</v>
      </c>
      <c r="V3088">
        <v>1</v>
      </c>
    </row>
    <row r="3089" spans="1:22" x14ac:dyDescent="0.3">
      <c r="A3089" t="s">
        <v>3104</v>
      </c>
      <c r="B3089" s="2">
        <v>46157.867361111108</v>
      </c>
      <c r="C3089" s="2">
        <v>46157.963194444441</v>
      </c>
      <c r="D3089" t="s">
        <v>6022</v>
      </c>
      <c r="E3089" t="s">
        <v>6029</v>
      </c>
      <c r="F3089" t="s">
        <v>6034</v>
      </c>
      <c r="G3089" t="s">
        <v>6063</v>
      </c>
      <c r="H3089" t="s">
        <v>6097</v>
      </c>
      <c r="I3089">
        <v>24</v>
      </c>
      <c r="J3089">
        <v>2.2999999999999998</v>
      </c>
      <c r="K3089" t="s">
        <v>6099</v>
      </c>
      <c r="L3089" t="s">
        <v>6100</v>
      </c>
      <c r="M3089" t="s">
        <v>6100</v>
      </c>
      <c r="N3089">
        <v>5</v>
      </c>
      <c r="O3089" t="s">
        <v>6101</v>
      </c>
      <c r="P3089" t="s">
        <v>6111</v>
      </c>
      <c r="Q3089">
        <v>5</v>
      </c>
      <c r="R3089">
        <v>2026</v>
      </c>
      <c r="S3089" t="s">
        <v>6099</v>
      </c>
      <c r="T3089">
        <v>1</v>
      </c>
      <c r="U3089" t="s">
        <v>6017</v>
      </c>
      <c r="V3089">
        <v>1</v>
      </c>
    </row>
    <row r="3090" spans="1:22" x14ac:dyDescent="0.3">
      <c r="A3090" t="s">
        <v>3105</v>
      </c>
      <c r="B3090" s="2">
        <v>46158.156944444447</v>
      </c>
      <c r="C3090" s="2">
        <v>46159.302777777775</v>
      </c>
      <c r="D3090" t="s">
        <v>6028</v>
      </c>
      <c r="E3090" t="s">
        <v>6029</v>
      </c>
      <c r="F3090" t="s">
        <v>6034</v>
      </c>
      <c r="G3090" t="s">
        <v>6054</v>
      </c>
      <c r="H3090" t="s">
        <v>6096</v>
      </c>
      <c r="I3090">
        <v>24</v>
      </c>
      <c r="J3090">
        <v>27.5</v>
      </c>
      <c r="K3090" t="s">
        <v>6099</v>
      </c>
      <c r="L3090" t="s">
        <v>6100</v>
      </c>
      <c r="M3090" t="s">
        <v>6100</v>
      </c>
      <c r="O3090" t="s">
        <v>6101</v>
      </c>
      <c r="P3090" t="s">
        <v>6111</v>
      </c>
      <c r="Q3090">
        <v>5</v>
      </c>
      <c r="R3090">
        <v>2026</v>
      </c>
      <c r="S3090" t="s">
        <v>6100</v>
      </c>
      <c r="T3090">
        <v>0</v>
      </c>
      <c r="U3090" t="s">
        <v>6019</v>
      </c>
      <c r="V3090">
        <v>1</v>
      </c>
    </row>
    <row r="3091" spans="1:22" x14ac:dyDescent="0.3">
      <c r="A3091" t="s">
        <v>3106</v>
      </c>
      <c r="B3091" s="2">
        <v>46158.249305555553</v>
      </c>
      <c r="C3091" s="2">
        <v>46161.757638888892</v>
      </c>
      <c r="D3091" t="s">
        <v>6025</v>
      </c>
      <c r="E3091" t="s">
        <v>6031</v>
      </c>
      <c r="F3091" t="s">
        <v>6035</v>
      </c>
      <c r="G3091" t="s">
        <v>6068</v>
      </c>
      <c r="H3091" t="s">
        <v>6098</v>
      </c>
      <c r="I3091">
        <v>4</v>
      </c>
      <c r="J3091">
        <v>84.2</v>
      </c>
      <c r="K3091" t="s">
        <v>6099</v>
      </c>
      <c r="L3091" t="s">
        <v>6100</v>
      </c>
      <c r="M3091" t="s">
        <v>6100</v>
      </c>
      <c r="O3091" t="s">
        <v>6101</v>
      </c>
      <c r="P3091" t="s">
        <v>6111</v>
      </c>
      <c r="Q3091">
        <v>5</v>
      </c>
      <c r="R3091">
        <v>2026</v>
      </c>
      <c r="S3091" t="s">
        <v>6100</v>
      </c>
      <c r="T3091">
        <v>0</v>
      </c>
      <c r="U3091" t="s">
        <v>6020</v>
      </c>
      <c r="V3091">
        <v>1</v>
      </c>
    </row>
    <row r="3092" spans="1:22" x14ac:dyDescent="0.3">
      <c r="A3092" t="s">
        <v>3107</v>
      </c>
      <c r="B3092" s="2">
        <v>46158.259027777778</v>
      </c>
      <c r="C3092" s="2">
        <v>46158.817361111112</v>
      </c>
      <c r="D3092" t="s">
        <v>6022</v>
      </c>
      <c r="E3092" t="s">
        <v>6030</v>
      </c>
      <c r="F3092" t="s">
        <v>6034</v>
      </c>
      <c r="G3092" t="s">
        <v>6067</v>
      </c>
      <c r="H3092" t="s">
        <v>6098</v>
      </c>
      <c r="I3092">
        <v>24</v>
      </c>
      <c r="J3092">
        <v>13.4</v>
      </c>
      <c r="K3092" t="s">
        <v>6099</v>
      </c>
      <c r="L3092" t="s">
        <v>6100</v>
      </c>
      <c r="M3092" t="s">
        <v>6100</v>
      </c>
      <c r="N3092">
        <v>4</v>
      </c>
      <c r="O3092" t="s">
        <v>6101</v>
      </c>
      <c r="P3092" t="s">
        <v>6111</v>
      </c>
      <c r="Q3092">
        <v>5</v>
      </c>
      <c r="R3092">
        <v>2026</v>
      </c>
      <c r="S3092" t="s">
        <v>6099</v>
      </c>
      <c r="T3092">
        <v>1</v>
      </c>
      <c r="U3092" t="s">
        <v>6019</v>
      </c>
      <c r="V3092">
        <v>1</v>
      </c>
    </row>
    <row r="3093" spans="1:22" x14ac:dyDescent="0.3">
      <c r="A3093" t="s">
        <v>3108</v>
      </c>
      <c r="B3093" s="2">
        <v>46158.30972222222</v>
      </c>
      <c r="C3093" s="2">
        <v>46158.526388888888</v>
      </c>
      <c r="D3093" t="s">
        <v>6023</v>
      </c>
      <c r="E3093" t="s">
        <v>6029</v>
      </c>
      <c r="F3093" t="s">
        <v>6034</v>
      </c>
      <c r="G3093" t="s">
        <v>6084</v>
      </c>
      <c r="H3093" t="s">
        <v>6098</v>
      </c>
      <c r="I3093">
        <v>24</v>
      </c>
      <c r="J3093">
        <v>5.2</v>
      </c>
      <c r="K3093" t="s">
        <v>6099</v>
      </c>
      <c r="L3093" t="s">
        <v>6100</v>
      </c>
      <c r="M3093" t="s">
        <v>6100</v>
      </c>
      <c r="N3093">
        <v>5</v>
      </c>
      <c r="O3093" t="s">
        <v>6101</v>
      </c>
      <c r="P3093" t="s">
        <v>6111</v>
      </c>
      <c r="Q3093">
        <v>5</v>
      </c>
      <c r="R3093">
        <v>2026</v>
      </c>
      <c r="S3093" t="s">
        <v>6099</v>
      </c>
      <c r="T3093">
        <v>1</v>
      </c>
      <c r="U3093" t="s">
        <v>6021</v>
      </c>
      <c r="V3093">
        <v>1</v>
      </c>
    </row>
    <row r="3094" spans="1:22" x14ac:dyDescent="0.3">
      <c r="A3094" t="s">
        <v>3109</v>
      </c>
      <c r="B3094" s="2">
        <v>46158.313194444447</v>
      </c>
      <c r="C3094" s="2">
        <v>46166.604861111111</v>
      </c>
      <c r="D3094" t="s">
        <v>6026</v>
      </c>
      <c r="E3094" t="s">
        <v>6031</v>
      </c>
      <c r="F3094" t="s">
        <v>6033</v>
      </c>
      <c r="G3094" t="s">
        <v>6047</v>
      </c>
      <c r="H3094" t="s">
        <v>6098</v>
      </c>
      <c r="I3094">
        <v>72</v>
      </c>
      <c r="J3094">
        <v>199</v>
      </c>
      <c r="K3094" t="s">
        <v>6100</v>
      </c>
      <c r="L3094" t="s">
        <v>6099</v>
      </c>
      <c r="M3094" t="s">
        <v>6100</v>
      </c>
      <c r="N3094">
        <v>4</v>
      </c>
      <c r="O3094" t="s">
        <v>6101</v>
      </c>
      <c r="P3094" t="s">
        <v>6111</v>
      </c>
      <c r="Q3094">
        <v>5</v>
      </c>
      <c r="R3094">
        <v>2026</v>
      </c>
      <c r="S3094" t="s">
        <v>6100</v>
      </c>
      <c r="T3094">
        <v>0</v>
      </c>
      <c r="U3094" t="s">
        <v>6019</v>
      </c>
      <c r="V3094">
        <v>0</v>
      </c>
    </row>
    <row r="3095" spans="1:22" x14ac:dyDescent="0.3">
      <c r="A3095" t="s">
        <v>3110</v>
      </c>
      <c r="B3095" s="2">
        <v>46158.320833333331</v>
      </c>
      <c r="C3095" s="2">
        <v>46163.979166666664</v>
      </c>
      <c r="D3095" t="s">
        <v>6022</v>
      </c>
      <c r="E3095" t="s">
        <v>6032</v>
      </c>
      <c r="F3095" t="s">
        <v>6034</v>
      </c>
      <c r="G3095" t="s">
        <v>6038</v>
      </c>
      <c r="H3095" t="s">
        <v>6096</v>
      </c>
      <c r="I3095">
        <v>24</v>
      </c>
      <c r="J3095">
        <v>135.80000000000001</v>
      </c>
      <c r="K3095" t="s">
        <v>6099</v>
      </c>
      <c r="L3095" t="s">
        <v>6100</v>
      </c>
      <c r="M3095" t="s">
        <v>6100</v>
      </c>
      <c r="N3095">
        <v>3</v>
      </c>
      <c r="O3095" t="s">
        <v>6101</v>
      </c>
      <c r="P3095" t="s">
        <v>6111</v>
      </c>
      <c r="Q3095">
        <v>5</v>
      </c>
      <c r="R3095">
        <v>2026</v>
      </c>
      <c r="S3095" t="s">
        <v>6100</v>
      </c>
      <c r="T3095">
        <v>0</v>
      </c>
      <c r="U3095" t="s">
        <v>6019</v>
      </c>
      <c r="V3095">
        <v>1</v>
      </c>
    </row>
    <row r="3096" spans="1:22" x14ac:dyDescent="0.3">
      <c r="A3096" t="s">
        <v>3111</v>
      </c>
      <c r="B3096" s="2">
        <v>46158.332638888889</v>
      </c>
      <c r="C3096" s="2">
        <v>46161.145138888889</v>
      </c>
      <c r="D3096" t="s">
        <v>6026</v>
      </c>
      <c r="E3096" t="s">
        <v>6029</v>
      </c>
      <c r="F3096" t="s">
        <v>6033</v>
      </c>
      <c r="G3096" t="s">
        <v>6090</v>
      </c>
      <c r="H3096" t="s">
        <v>6097</v>
      </c>
      <c r="I3096">
        <v>72</v>
      </c>
      <c r="J3096">
        <v>67.5</v>
      </c>
      <c r="K3096" t="s">
        <v>6100</v>
      </c>
      <c r="L3096" t="s">
        <v>6099</v>
      </c>
      <c r="M3096" t="s">
        <v>6100</v>
      </c>
      <c r="N3096">
        <v>4</v>
      </c>
      <c r="O3096" t="s">
        <v>6101</v>
      </c>
      <c r="P3096" t="s">
        <v>6111</v>
      </c>
      <c r="Q3096">
        <v>5</v>
      </c>
      <c r="R3096">
        <v>2026</v>
      </c>
      <c r="S3096" t="s">
        <v>6099</v>
      </c>
      <c r="T3096">
        <v>1</v>
      </c>
      <c r="U3096" t="s">
        <v>6018</v>
      </c>
      <c r="V3096">
        <v>0</v>
      </c>
    </row>
    <row r="3097" spans="1:22" x14ac:dyDescent="0.3">
      <c r="A3097" t="s">
        <v>3112</v>
      </c>
      <c r="B3097" s="2">
        <v>46158.339583333334</v>
      </c>
      <c r="C3097" s="2">
        <v>46171.893750000003</v>
      </c>
      <c r="D3097" t="s">
        <v>6026</v>
      </c>
      <c r="E3097" t="s">
        <v>6031</v>
      </c>
      <c r="F3097" t="s">
        <v>6034</v>
      </c>
      <c r="G3097" t="s">
        <v>6037</v>
      </c>
      <c r="H3097" t="s">
        <v>6096</v>
      </c>
      <c r="I3097">
        <v>24</v>
      </c>
      <c r="J3097">
        <v>325.3</v>
      </c>
      <c r="K3097" t="s">
        <v>6099</v>
      </c>
      <c r="L3097" t="s">
        <v>6100</v>
      </c>
      <c r="M3097" t="s">
        <v>6100</v>
      </c>
      <c r="N3097">
        <v>3</v>
      </c>
      <c r="O3097" t="s">
        <v>6101</v>
      </c>
      <c r="P3097" t="s">
        <v>6111</v>
      </c>
      <c r="Q3097">
        <v>5</v>
      </c>
      <c r="R3097">
        <v>2026</v>
      </c>
      <c r="S3097" t="s">
        <v>6100</v>
      </c>
      <c r="T3097">
        <v>0</v>
      </c>
      <c r="U3097" t="s">
        <v>6020</v>
      </c>
      <c r="V3097">
        <v>1</v>
      </c>
    </row>
    <row r="3098" spans="1:22" x14ac:dyDescent="0.3">
      <c r="A3098" t="s">
        <v>3113</v>
      </c>
      <c r="B3098" s="2">
        <v>46158.445833333331</v>
      </c>
      <c r="C3098" s="2">
        <v>46159.025000000001</v>
      </c>
      <c r="D3098" t="s">
        <v>6023</v>
      </c>
      <c r="E3098" t="s">
        <v>6029</v>
      </c>
      <c r="F3098" t="s">
        <v>6034</v>
      </c>
      <c r="G3098" t="s">
        <v>6056</v>
      </c>
      <c r="H3098" t="s">
        <v>6098</v>
      </c>
      <c r="I3098">
        <v>24</v>
      </c>
      <c r="J3098">
        <v>13.9</v>
      </c>
      <c r="K3098" t="s">
        <v>6099</v>
      </c>
      <c r="L3098" t="s">
        <v>6100</v>
      </c>
      <c r="M3098" t="s">
        <v>6100</v>
      </c>
      <c r="N3098">
        <v>5</v>
      </c>
      <c r="O3098" t="s">
        <v>6101</v>
      </c>
      <c r="P3098" t="s">
        <v>6111</v>
      </c>
      <c r="Q3098">
        <v>5</v>
      </c>
      <c r="R3098">
        <v>2026</v>
      </c>
      <c r="S3098" t="s">
        <v>6099</v>
      </c>
      <c r="T3098">
        <v>1</v>
      </c>
      <c r="U3098" t="s">
        <v>6021</v>
      </c>
      <c r="V3098">
        <v>1</v>
      </c>
    </row>
    <row r="3099" spans="1:22" x14ac:dyDescent="0.3">
      <c r="A3099" t="s">
        <v>3114</v>
      </c>
      <c r="B3099" s="2">
        <v>46158.464583333334</v>
      </c>
      <c r="C3099" s="2">
        <v>46158.927083333336</v>
      </c>
      <c r="D3099" t="s">
        <v>6022</v>
      </c>
      <c r="E3099" t="s">
        <v>6029</v>
      </c>
      <c r="F3099" t="s">
        <v>6034</v>
      </c>
      <c r="G3099" t="s">
        <v>6060</v>
      </c>
      <c r="H3099" t="s">
        <v>6097</v>
      </c>
      <c r="I3099">
        <v>24</v>
      </c>
      <c r="J3099">
        <v>11.1</v>
      </c>
      <c r="K3099" t="s">
        <v>6100</v>
      </c>
      <c r="L3099" t="s">
        <v>6099</v>
      </c>
      <c r="M3099" t="s">
        <v>6100</v>
      </c>
      <c r="N3099">
        <v>3</v>
      </c>
      <c r="O3099" t="s">
        <v>6101</v>
      </c>
      <c r="P3099" t="s">
        <v>6111</v>
      </c>
      <c r="Q3099">
        <v>5</v>
      </c>
      <c r="R3099">
        <v>2026</v>
      </c>
      <c r="S3099" t="s">
        <v>6099</v>
      </c>
      <c r="T3099">
        <v>1</v>
      </c>
      <c r="U3099" t="s">
        <v>6020</v>
      </c>
      <c r="V3099">
        <v>0</v>
      </c>
    </row>
    <row r="3100" spans="1:22" x14ac:dyDescent="0.3">
      <c r="A3100" t="s">
        <v>3115</v>
      </c>
      <c r="B3100" s="2">
        <v>46158.47152777778</v>
      </c>
      <c r="C3100" s="2">
        <v>46159.592361111114</v>
      </c>
      <c r="D3100" t="s">
        <v>6026</v>
      </c>
      <c r="E3100" t="s">
        <v>6029</v>
      </c>
      <c r="F3100" t="s">
        <v>6034</v>
      </c>
      <c r="G3100" t="s">
        <v>6054</v>
      </c>
      <c r="H3100" t="s">
        <v>6096</v>
      </c>
      <c r="I3100">
        <v>24</v>
      </c>
      <c r="J3100">
        <v>26.9</v>
      </c>
      <c r="K3100" t="s">
        <v>6099</v>
      </c>
      <c r="L3100" t="s">
        <v>6100</v>
      </c>
      <c r="M3100" t="s">
        <v>6099</v>
      </c>
      <c r="N3100">
        <v>4</v>
      </c>
      <c r="O3100" t="s">
        <v>6101</v>
      </c>
      <c r="P3100" t="s">
        <v>6111</v>
      </c>
      <c r="Q3100">
        <v>5</v>
      </c>
      <c r="R3100">
        <v>2026</v>
      </c>
      <c r="S3100" t="s">
        <v>6100</v>
      </c>
      <c r="T3100">
        <v>0</v>
      </c>
      <c r="U3100" t="s">
        <v>6018</v>
      </c>
      <c r="V3100">
        <v>1</v>
      </c>
    </row>
    <row r="3101" spans="1:22" x14ac:dyDescent="0.3">
      <c r="A3101" t="s">
        <v>3116</v>
      </c>
      <c r="B3101" s="2">
        <v>46158.541666666664</v>
      </c>
      <c r="C3101" s="2">
        <v>46158.95</v>
      </c>
      <c r="D3101" t="s">
        <v>6022</v>
      </c>
      <c r="E3101" t="s">
        <v>6029</v>
      </c>
      <c r="F3101" t="s">
        <v>6033</v>
      </c>
      <c r="G3101" t="s">
        <v>6090</v>
      </c>
      <c r="H3101" t="s">
        <v>6097</v>
      </c>
      <c r="I3101">
        <v>72</v>
      </c>
      <c r="J3101">
        <v>9.8000000000000007</v>
      </c>
      <c r="K3101" t="s">
        <v>6099</v>
      </c>
      <c r="L3101" t="s">
        <v>6100</v>
      </c>
      <c r="M3101" t="s">
        <v>6100</v>
      </c>
      <c r="O3101" t="s">
        <v>6101</v>
      </c>
      <c r="P3101" t="s">
        <v>6111</v>
      </c>
      <c r="Q3101">
        <v>5</v>
      </c>
      <c r="R3101">
        <v>2026</v>
      </c>
      <c r="S3101" t="s">
        <v>6099</v>
      </c>
      <c r="T3101">
        <v>1</v>
      </c>
      <c r="U3101" t="s">
        <v>6020</v>
      </c>
      <c r="V3101">
        <v>1</v>
      </c>
    </row>
    <row r="3102" spans="1:22" x14ac:dyDescent="0.3">
      <c r="A3102" t="s">
        <v>3117</v>
      </c>
      <c r="B3102" s="2">
        <v>46158.563888888886</v>
      </c>
      <c r="C3102" s="2">
        <v>46159.576388888891</v>
      </c>
      <c r="D3102" t="s">
        <v>6028</v>
      </c>
      <c r="E3102" t="s">
        <v>6031</v>
      </c>
      <c r="F3102" t="s">
        <v>6033</v>
      </c>
      <c r="G3102" t="s">
        <v>6072</v>
      </c>
      <c r="H3102" t="s">
        <v>6097</v>
      </c>
      <c r="I3102">
        <v>72</v>
      </c>
      <c r="J3102">
        <v>24.3</v>
      </c>
      <c r="K3102" t="s">
        <v>6099</v>
      </c>
      <c r="L3102" t="s">
        <v>6100</v>
      </c>
      <c r="M3102" t="s">
        <v>6100</v>
      </c>
      <c r="N3102">
        <v>4</v>
      </c>
      <c r="O3102" t="s">
        <v>6101</v>
      </c>
      <c r="P3102" t="s">
        <v>6111</v>
      </c>
      <c r="Q3102">
        <v>5</v>
      </c>
      <c r="R3102">
        <v>2026</v>
      </c>
      <c r="S3102" t="s">
        <v>6099</v>
      </c>
      <c r="T3102">
        <v>1</v>
      </c>
      <c r="U3102" t="s">
        <v>6017</v>
      </c>
      <c r="V3102">
        <v>1</v>
      </c>
    </row>
    <row r="3103" spans="1:22" x14ac:dyDescent="0.3">
      <c r="A3103" t="s">
        <v>3118</v>
      </c>
      <c r="B3103" s="2">
        <v>46158.570833333331</v>
      </c>
      <c r="C3103" s="2">
        <v>46162.512499999997</v>
      </c>
      <c r="D3103" t="s">
        <v>6025</v>
      </c>
      <c r="E3103" t="s">
        <v>6032</v>
      </c>
      <c r="F3103" t="s">
        <v>6035</v>
      </c>
      <c r="G3103" t="s">
        <v>6036</v>
      </c>
      <c r="H3103" t="s">
        <v>6096</v>
      </c>
      <c r="I3103">
        <v>4</v>
      </c>
      <c r="J3103">
        <v>94.6</v>
      </c>
      <c r="K3103" t="s">
        <v>6099</v>
      </c>
      <c r="L3103" t="s">
        <v>6100</v>
      </c>
      <c r="M3103" t="s">
        <v>6100</v>
      </c>
      <c r="N3103">
        <v>4</v>
      </c>
      <c r="O3103" t="s">
        <v>6101</v>
      </c>
      <c r="P3103" t="s">
        <v>6111</v>
      </c>
      <c r="Q3103">
        <v>5</v>
      </c>
      <c r="R3103">
        <v>2026</v>
      </c>
      <c r="S3103" t="s">
        <v>6100</v>
      </c>
      <c r="T3103">
        <v>0</v>
      </c>
      <c r="U3103" t="s">
        <v>6020</v>
      </c>
      <c r="V3103">
        <v>1</v>
      </c>
    </row>
    <row r="3104" spans="1:22" x14ac:dyDescent="0.3">
      <c r="A3104" t="s">
        <v>3119</v>
      </c>
      <c r="B3104" s="2">
        <v>46158.572222222225</v>
      </c>
      <c r="C3104" s="2">
        <v>46163.718055555553</v>
      </c>
      <c r="D3104" t="s">
        <v>6026</v>
      </c>
      <c r="E3104" t="s">
        <v>6031</v>
      </c>
      <c r="F3104" t="s">
        <v>6034</v>
      </c>
      <c r="G3104" t="s">
        <v>6077</v>
      </c>
      <c r="H3104" t="s">
        <v>6098</v>
      </c>
      <c r="I3104">
        <v>24</v>
      </c>
      <c r="J3104">
        <v>123.5</v>
      </c>
      <c r="K3104" t="s">
        <v>6100</v>
      </c>
      <c r="L3104" t="s">
        <v>6100</v>
      </c>
      <c r="M3104" t="s">
        <v>6100</v>
      </c>
      <c r="N3104">
        <v>2</v>
      </c>
      <c r="O3104" t="s">
        <v>6101</v>
      </c>
      <c r="P3104" t="s">
        <v>6111</v>
      </c>
      <c r="Q3104">
        <v>5</v>
      </c>
      <c r="R3104">
        <v>2026</v>
      </c>
      <c r="S3104" t="s">
        <v>6100</v>
      </c>
      <c r="T3104">
        <v>0</v>
      </c>
      <c r="U3104" t="s">
        <v>6021</v>
      </c>
      <c r="V3104">
        <v>0</v>
      </c>
    </row>
    <row r="3105" spans="1:22" x14ac:dyDescent="0.3">
      <c r="A3105" t="s">
        <v>3120</v>
      </c>
      <c r="B3105" s="2">
        <v>46158.57916666667</v>
      </c>
      <c r="C3105" s="2">
        <v>46159.804166666669</v>
      </c>
      <c r="D3105" t="s">
        <v>6028</v>
      </c>
      <c r="E3105" t="s">
        <v>6031</v>
      </c>
      <c r="F3105" t="s">
        <v>6035</v>
      </c>
      <c r="G3105" t="s">
        <v>6071</v>
      </c>
      <c r="H3105" t="s">
        <v>6098</v>
      </c>
      <c r="I3105">
        <v>4</v>
      </c>
      <c r="J3105">
        <v>29.4</v>
      </c>
      <c r="K3105" t="s">
        <v>6100</v>
      </c>
      <c r="L3105" t="s">
        <v>6100</v>
      </c>
      <c r="M3105" t="s">
        <v>6100</v>
      </c>
      <c r="O3105" t="s">
        <v>6101</v>
      </c>
      <c r="P3105" t="s">
        <v>6111</v>
      </c>
      <c r="Q3105">
        <v>5</v>
      </c>
      <c r="R3105">
        <v>2026</v>
      </c>
      <c r="S3105" t="s">
        <v>6100</v>
      </c>
      <c r="T3105">
        <v>0</v>
      </c>
      <c r="U3105" t="s">
        <v>6018</v>
      </c>
      <c r="V3105">
        <v>0</v>
      </c>
    </row>
    <row r="3106" spans="1:22" x14ac:dyDescent="0.3">
      <c r="A3106" t="s">
        <v>3121</v>
      </c>
      <c r="B3106" s="2">
        <v>46158.593055555553</v>
      </c>
      <c r="C3106" s="2">
        <v>46164.826388888891</v>
      </c>
      <c r="D3106" t="s">
        <v>6026</v>
      </c>
      <c r="E3106" t="s">
        <v>6031</v>
      </c>
      <c r="F3106" t="s">
        <v>6033</v>
      </c>
      <c r="G3106" t="s">
        <v>6074</v>
      </c>
      <c r="H3106" t="s">
        <v>6098</v>
      </c>
      <c r="I3106">
        <v>72</v>
      </c>
      <c r="J3106">
        <v>149.6</v>
      </c>
      <c r="K3106" t="s">
        <v>6099</v>
      </c>
      <c r="L3106" t="s">
        <v>6100</v>
      </c>
      <c r="M3106" t="s">
        <v>6100</v>
      </c>
      <c r="N3106">
        <v>5</v>
      </c>
      <c r="O3106" t="s">
        <v>6101</v>
      </c>
      <c r="P3106" t="s">
        <v>6111</v>
      </c>
      <c r="Q3106">
        <v>5</v>
      </c>
      <c r="R3106">
        <v>2026</v>
      </c>
      <c r="S3106" t="s">
        <v>6100</v>
      </c>
      <c r="T3106">
        <v>0</v>
      </c>
      <c r="U3106" t="s">
        <v>6021</v>
      </c>
      <c r="V3106">
        <v>1</v>
      </c>
    </row>
    <row r="3107" spans="1:22" x14ac:dyDescent="0.3">
      <c r="A3107" t="s">
        <v>3122</v>
      </c>
      <c r="B3107" s="2">
        <v>46158.605555555558</v>
      </c>
      <c r="C3107" s="2">
        <v>46160.251388888886</v>
      </c>
      <c r="D3107" t="s">
        <v>6025</v>
      </c>
      <c r="E3107" t="s">
        <v>6029</v>
      </c>
      <c r="F3107" t="s">
        <v>6034</v>
      </c>
      <c r="G3107" t="s">
        <v>6073</v>
      </c>
      <c r="H3107" t="s">
        <v>6096</v>
      </c>
      <c r="I3107">
        <v>24</v>
      </c>
      <c r="J3107">
        <v>39.5</v>
      </c>
      <c r="K3107" t="s">
        <v>6099</v>
      </c>
      <c r="L3107" t="s">
        <v>6100</v>
      </c>
      <c r="M3107" t="s">
        <v>6100</v>
      </c>
      <c r="O3107" t="s">
        <v>6101</v>
      </c>
      <c r="P3107" t="s">
        <v>6111</v>
      </c>
      <c r="Q3107">
        <v>5</v>
      </c>
      <c r="R3107">
        <v>2026</v>
      </c>
      <c r="S3107" t="s">
        <v>6100</v>
      </c>
      <c r="T3107">
        <v>0</v>
      </c>
      <c r="U3107" t="s">
        <v>6017</v>
      </c>
      <c r="V3107">
        <v>1</v>
      </c>
    </row>
    <row r="3108" spans="1:22" x14ac:dyDescent="0.3">
      <c r="A3108" t="s">
        <v>3123</v>
      </c>
      <c r="B3108" s="2">
        <v>46158.640277777777</v>
      </c>
      <c r="C3108" s="2">
        <v>46159.011111111111</v>
      </c>
      <c r="D3108" t="s">
        <v>6028</v>
      </c>
      <c r="E3108" t="s">
        <v>6029</v>
      </c>
      <c r="F3108" t="s">
        <v>6035</v>
      </c>
      <c r="G3108" t="s">
        <v>6087</v>
      </c>
      <c r="H3108" t="s">
        <v>6098</v>
      </c>
      <c r="I3108">
        <v>4</v>
      </c>
      <c r="J3108">
        <v>8.9</v>
      </c>
      <c r="K3108" t="s">
        <v>6100</v>
      </c>
      <c r="L3108" t="s">
        <v>6099</v>
      </c>
      <c r="M3108" t="s">
        <v>6100</v>
      </c>
      <c r="N3108">
        <v>3</v>
      </c>
      <c r="O3108" t="s">
        <v>6101</v>
      </c>
      <c r="P3108" t="s">
        <v>6111</v>
      </c>
      <c r="Q3108">
        <v>5</v>
      </c>
      <c r="R3108">
        <v>2026</v>
      </c>
      <c r="S3108" t="s">
        <v>6100</v>
      </c>
      <c r="T3108">
        <v>0</v>
      </c>
      <c r="U3108" t="s">
        <v>6020</v>
      </c>
      <c r="V3108">
        <v>0</v>
      </c>
    </row>
    <row r="3109" spans="1:22" x14ac:dyDescent="0.3">
      <c r="A3109" t="s">
        <v>3124</v>
      </c>
      <c r="B3109" s="2">
        <v>46158.689583333333</v>
      </c>
      <c r="C3109" s="2">
        <v>46159.13958333333</v>
      </c>
      <c r="D3109" t="s">
        <v>6023</v>
      </c>
      <c r="E3109" t="s">
        <v>6032</v>
      </c>
      <c r="F3109" t="s">
        <v>6033</v>
      </c>
      <c r="G3109" t="s">
        <v>6047</v>
      </c>
      <c r="H3109" t="s">
        <v>6098</v>
      </c>
      <c r="I3109">
        <v>72</v>
      </c>
      <c r="J3109">
        <v>10.8</v>
      </c>
      <c r="K3109" t="s">
        <v>6100</v>
      </c>
      <c r="L3109" t="s">
        <v>6099</v>
      </c>
      <c r="M3109" t="s">
        <v>6100</v>
      </c>
      <c r="N3109">
        <v>5</v>
      </c>
      <c r="O3109" t="s">
        <v>6101</v>
      </c>
      <c r="P3109" t="s">
        <v>6111</v>
      </c>
      <c r="Q3109">
        <v>5</v>
      </c>
      <c r="R3109">
        <v>2026</v>
      </c>
      <c r="S3109" t="s">
        <v>6099</v>
      </c>
      <c r="T3109">
        <v>1</v>
      </c>
      <c r="U3109" t="s">
        <v>6017</v>
      </c>
      <c r="V3109">
        <v>0</v>
      </c>
    </row>
    <row r="3110" spans="1:22" x14ac:dyDescent="0.3">
      <c r="A3110" t="s">
        <v>3125</v>
      </c>
      <c r="B3110" s="2">
        <v>46158.70208333333</v>
      </c>
      <c r="C3110" s="2">
        <v>46160.143750000003</v>
      </c>
      <c r="D3110" t="s">
        <v>6028</v>
      </c>
      <c r="E3110" t="s">
        <v>6031</v>
      </c>
      <c r="F3110" t="s">
        <v>6034</v>
      </c>
      <c r="G3110" t="s">
        <v>6041</v>
      </c>
      <c r="H3110" t="s">
        <v>6096</v>
      </c>
      <c r="I3110">
        <v>24</v>
      </c>
      <c r="J3110">
        <v>34.6</v>
      </c>
      <c r="K3110" t="s">
        <v>6099</v>
      </c>
      <c r="L3110" t="s">
        <v>6100</v>
      </c>
      <c r="M3110" t="s">
        <v>6100</v>
      </c>
      <c r="N3110">
        <v>4</v>
      </c>
      <c r="O3110" t="s">
        <v>6101</v>
      </c>
      <c r="P3110" t="s">
        <v>6111</v>
      </c>
      <c r="Q3110">
        <v>5</v>
      </c>
      <c r="R3110">
        <v>2026</v>
      </c>
      <c r="S3110" t="s">
        <v>6100</v>
      </c>
      <c r="T3110">
        <v>0</v>
      </c>
      <c r="U3110" t="s">
        <v>6018</v>
      </c>
      <c r="V3110">
        <v>1</v>
      </c>
    </row>
    <row r="3111" spans="1:22" x14ac:dyDescent="0.3">
      <c r="A3111" t="s">
        <v>3126</v>
      </c>
      <c r="B3111" s="2">
        <v>46158.706250000003</v>
      </c>
      <c r="C3111" s="2">
        <v>46159.131249999999</v>
      </c>
      <c r="D3111" t="s">
        <v>6024</v>
      </c>
      <c r="E3111" t="s">
        <v>6029</v>
      </c>
      <c r="F3111" t="s">
        <v>6035</v>
      </c>
      <c r="G3111" t="s">
        <v>6037</v>
      </c>
      <c r="H3111" t="s">
        <v>6096</v>
      </c>
      <c r="I3111">
        <v>4</v>
      </c>
      <c r="J3111">
        <v>10.199999999999999</v>
      </c>
      <c r="K3111" t="s">
        <v>6099</v>
      </c>
      <c r="L3111" t="s">
        <v>6100</v>
      </c>
      <c r="M3111" t="s">
        <v>6100</v>
      </c>
      <c r="N3111">
        <v>5</v>
      </c>
      <c r="O3111" t="s">
        <v>6101</v>
      </c>
      <c r="P3111" t="s">
        <v>6111</v>
      </c>
      <c r="Q3111">
        <v>5</v>
      </c>
      <c r="R3111">
        <v>2026</v>
      </c>
      <c r="S3111" t="s">
        <v>6100</v>
      </c>
      <c r="T3111">
        <v>0</v>
      </c>
      <c r="U3111" t="s">
        <v>6018</v>
      </c>
      <c r="V3111">
        <v>1</v>
      </c>
    </row>
    <row r="3112" spans="1:22" x14ac:dyDescent="0.3">
      <c r="A3112" t="s">
        <v>3127</v>
      </c>
      <c r="B3112" s="2">
        <v>46158.707638888889</v>
      </c>
      <c r="C3112" s="2">
        <v>46159.328472222223</v>
      </c>
      <c r="D3112" t="s">
        <v>6025</v>
      </c>
      <c r="E3112" t="s">
        <v>6029</v>
      </c>
      <c r="F3112" t="s">
        <v>6034</v>
      </c>
      <c r="G3112" t="s">
        <v>6074</v>
      </c>
      <c r="H3112" t="s">
        <v>6098</v>
      </c>
      <c r="I3112">
        <v>24</v>
      </c>
      <c r="J3112">
        <v>14.9</v>
      </c>
      <c r="K3112" t="s">
        <v>6099</v>
      </c>
      <c r="L3112" t="s">
        <v>6100</v>
      </c>
      <c r="M3112" t="s">
        <v>6100</v>
      </c>
      <c r="N3112">
        <v>4</v>
      </c>
      <c r="O3112" t="s">
        <v>6101</v>
      </c>
      <c r="P3112" t="s">
        <v>6111</v>
      </c>
      <c r="Q3112">
        <v>5</v>
      </c>
      <c r="R3112">
        <v>2026</v>
      </c>
      <c r="S3112" t="s">
        <v>6099</v>
      </c>
      <c r="T3112">
        <v>1</v>
      </c>
      <c r="U3112" t="s">
        <v>6018</v>
      </c>
      <c r="V3112">
        <v>1</v>
      </c>
    </row>
    <row r="3113" spans="1:22" x14ac:dyDescent="0.3">
      <c r="A3113" t="s">
        <v>3128</v>
      </c>
      <c r="B3113" s="2">
        <v>46158.730555555558</v>
      </c>
      <c r="C3113" s="2">
        <v>46159.74722222222</v>
      </c>
      <c r="D3113" t="s">
        <v>6025</v>
      </c>
      <c r="E3113" t="s">
        <v>6029</v>
      </c>
      <c r="F3113" t="s">
        <v>6034</v>
      </c>
      <c r="G3113" t="s">
        <v>6081</v>
      </c>
      <c r="H3113" t="s">
        <v>6098</v>
      </c>
      <c r="I3113">
        <v>24</v>
      </c>
      <c r="J3113">
        <v>24.4</v>
      </c>
      <c r="K3113" t="s">
        <v>6100</v>
      </c>
      <c r="L3113" t="s">
        <v>6100</v>
      </c>
      <c r="M3113" t="s">
        <v>6100</v>
      </c>
      <c r="N3113">
        <v>3</v>
      </c>
      <c r="O3113" t="s">
        <v>6101</v>
      </c>
      <c r="P3113" t="s">
        <v>6111</v>
      </c>
      <c r="Q3113">
        <v>5</v>
      </c>
      <c r="R3113">
        <v>2026</v>
      </c>
      <c r="S3113" t="s">
        <v>6100</v>
      </c>
      <c r="T3113">
        <v>0</v>
      </c>
      <c r="U3113" t="s">
        <v>6021</v>
      </c>
      <c r="V3113">
        <v>0</v>
      </c>
    </row>
    <row r="3114" spans="1:22" x14ac:dyDescent="0.3">
      <c r="A3114" t="s">
        <v>3129</v>
      </c>
      <c r="B3114" s="2">
        <v>46158.734027777777</v>
      </c>
      <c r="C3114" s="2">
        <v>46158.946527777778</v>
      </c>
      <c r="D3114" t="s">
        <v>6022</v>
      </c>
      <c r="E3114" t="s">
        <v>6030</v>
      </c>
      <c r="F3114" t="s">
        <v>6034</v>
      </c>
      <c r="G3114" t="s">
        <v>6058</v>
      </c>
      <c r="H3114" t="s">
        <v>6098</v>
      </c>
      <c r="I3114">
        <v>24</v>
      </c>
      <c r="J3114">
        <v>5.0999999999999996</v>
      </c>
      <c r="K3114" t="s">
        <v>6099</v>
      </c>
      <c r="L3114" t="s">
        <v>6100</v>
      </c>
      <c r="M3114" t="s">
        <v>6100</v>
      </c>
      <c r="N3114">
        <v>5</v>
      </c>
      <c r="O3114" t="s">
        <v>6101</v>
      </c>
      <c r="P3114" t="s">
        <v>6111</v>
      </c>
      <c r="Q3114">
        <v>5</v>
      </c>
      <c r="R3114">
        <v>2026</v>
      </c>
      <c r="S3114" t="s">
        <v>6099</v>
      </c>
      <c r="T3114">
        <v>1</v>
      </c>
      <c r="U3114" t="s">
        <v>6017</v>
      </c>
      <c r="V3114">
        <v>1</v>
      </c>
    </row>
    <row r="3115" spans="1:22" x14ac:dyDescent="0.3">
      <c r="A3115" t="s">
        <v>3130</v>
      </c>
      <c r="B3115" s="2">
        <v>46158.743055555555</v>
      </c>
      <c r="C3115" s="2">
        <v>46160.426388888889</v>
      </c>
      <c r="D3115" t="s">
        <v>6022</v>
      </c>
      <c r="E3115" t="s">
        <v>6032</v>
      </c>
      <c r="F3115" t="s">
        <v>6035</v>
      </c>
      <c r="G3115" t="s">
        <v>6058</v>
      </c>
      <c r="H3115" t="s">
        <v>6098</v>
      </c>
      <c r="I3115">
        <v>4</v>
      </c>
      <c r="J3115">
        <v>40.4</v>
      </c>
      <c r="K3115" t="s">
        <v>6099</v>
      </c>
      <c r="L3115" t="s">
        <v>6100</v>
      </c>
      <c r="M3115" t="s">
        <v>6100</v>
      </c>
      <c r="O3115" t="s">
        <v>6101</v>
      </c>
      <c r="P3115" t="s">
        <v>6111</v>
      </c>
      <c r="Q3115">
        <v>5</v>
      </c>
      <c r="R3115">
        <v>2026</v>
      </c>
      <c r="S3115" t="s">
        <v>6100</v>
      </c>
      <c r="T3115">
        <v>0</v>
      </c>
      <c r="U3115" t="s">
        <v>6019</v>
      </c>
      <c r="V3115">
        <v>1</v>
      </c>
    </row>
    <row r="3116" spans="1:22" x14ac:dyDescent="0.3">
      <c r="A3116" t="s">
        <v>3131</v>
      </c>
      <c r="B3116" s="2">
        <v>46158.815972222219</v>
      </c>
      <c r="C3116" s="2">
        <v>46159.182638888888</v>
      </c>
      <c r="D3116" t="s">
        <v>6028</v>
      </c>
      <c r="E3116" t="s">
        <v>6029</v>
      </c>
      <c r="F3116" t="s">
        <v>6034</v>
      </c>
      <c r="G3116" t="s">
        <v>6052</v>
      </c>
      <c r="H3116" t="s">
        <v>6098</v>
      </c>
      <c r="I3116">
        <v>24</v>
      </c>
      <c r="J3116">
        <v>8.8000000000000007</v>
      </c>
      <c r="K3116" t="s">
        <v>6099</v>
      </c>
      <c r="L3116" t="s">
        <v>6100</v>
      </c>
      <c r="M3116" t="s">
        <v>6100</v>
      </c>
      <c r="O3116" t="s">
        <v>6101</v>
      </c>
      <c r="P3116" t="s">
        <v>6111</v>
      </c>
      <c r="Q3116">
        <v>5</v>
      </c>
      <c r="R3116">
        <v>2026</v>
      </c>
      <c r="S3116" t="s">
        <v>6099</v>
      </c>
      <c r="T3116">
        <v>1</v>
      </c>
      <c r="U3116" t="s">
        <v>6018</v>
      </c>
      <c r="V3116">
        <v>1</v>
      </c>
    </row>
    <row r="3117" spans="1:22" x14ac:dyDescent="0.3">
      <c r="A3117" t="s">
        <v>3132</v>
      </c>
      <c r="B3117" s="2">
        <v>46159.212500000001</v>
      </c>
      <c r="C3117" s="2">
        <v>46160.083333333336</v>
      </c>
      <c r="D3117" t="s">
        <v>6027</v>
      </c>
      <c r="E3117" t="s">
        <v>6031</v>
      </c>
      <c r="F3117" t="s">
        <v>6035</v>
      </c>
      <c r="G3117" t="s">
        <v>6093</v>
      </c>
      <c r="H3117" t="s">
        <v>6097</v>
      </c>
      <c r="I3117">
        <v>4</v>
      </c>
      <c r="J3117">
        <v>20.9</v>
      </c>
      <c r="K3117" t="s">
        <v>6099</v>
      </c>
      <c r="L3117" t="s">
        <v>6100</v>
      </c>
      <c r="M3117" t="s">
        <v>6100</v>
      </c>
      <c r="N3117">
        <v>4</v>
      </c>
      <c r="O3117" t="s">
        <v>6101</v>
      </c>
      <c r="P3117" t="s">
        <v>6111</v>
      </c>
      <c r="Q3117">
        <v>5</v>
      </c>
      <c r="R3117">
        <v>2026</v>
      </c>
      <c r="S3117" t="s">
        <v>6100</v>
      </c>
      <c r="T3117">
        <v>0</v>
      </c>
      <c r="U3117" t="s">
        <v>6019</v>
      </c>
      <c r="V3117">
        <v>1</v>
      </c>
    </row>
    <row r="3118" spans="1:22" x14ac:dyDescent="0.3">
      <c r="A3118" t="s">
        <v>3133</v>
      </c>
      <c r="B3118" s="2">
        <v>46159.250694444447</v>
      </c>
      <c r="C3118" s="2">
        <v>46163.238194444442</v>
      </c>
      <c r="D3118" t="s">
        <v>6026</v>
      </c>
      <c r="E3118" t="s">
        <v>6031</v>
      </c>
      <c r="F3118" t="s">
        <v>6035</v>
      </c>
      <c r="G3118" t="s">
        <v>6057</v>
      </c>
      <c r="H3118" t="s">
        <v>6097</v>
      </c>
      <c r="I3118">
        <v>4</v>
      </c>
      <c r="J3118">
        <v>95.7</v>
      </c>
      <c r="K3118" t="s">
        <v>6099</v>
      </c>
      <c r="L3118" t="s">
        <v>6100</v>
      </c>
      <c r="M3118" t="s">
        <v>6100</v>
      </c>
      <c r="O3118" t="s">
        <v>6101</v>
      </c>
      <c r="P3118" t="s">
        <v>6111</v>
      </c>
      <c r="Q3118">
        <v>5</v>
      </c>
      <c r="R3118">
        <v>2026</v>
      </c>
      <c r="S3118" t="s">
        <v>6100</v>
      </c>
      <c r="T3118">
        <v>0</v>
      </c>
      <c r="U3118" t="s">
        <v>6021</v>
      </c>
      <c r="V3118">
        <v>1</v>
      </c>
    </row>
    <row r="3119" spans="1:22" x14ac:dyDescent="0.3">
      <c r="A3119" t="s">
        <v>3134</v>
      </c>
      <c r="B3119" s="2">
        <v>46159.253472222219</v>
      </c>
      <c r="C3119" s="2">
        <v>46167.124305555553</v>
      </c>
      <c r="D3119" t="s">
        <v>6026</v>
      </c>
      <c r="E3119" t="s">
        <v>6031</v>
      </c>
      <c r="F3119" t="s">
        <v>6033</v>
      </c>
      <c r="G3119" t="s">
        <v>6081</v>
      </c>
      <c r="H3119" t="s">
        <v>6098</v>
      </c>
      <c r="I3119">
        <v>72</v>
      </c>
      <c r="J3119">
        <v>188.9</v>
      </c>
      <c r="K3119" t="s">
        <v>6099</v>
      </c>
      <c r="L3119" t="s">
        <v>6100</v>
      </c>
      <c r="M3119" t="s">
        <v>6099</v>
      </c>
      <c r="N3119">
        <v>4</v>
      </c>
      <c r="O3119" t="s">
        <v>6101</v>
      </c>
      <c r="P3119" t="s">
        <v>6111</v>
      </c>
      <c r="Q3119">
        <v>5</v>
      </c>
      <c r="R3119">
        <v>2026</v>
      </c>
      <c r="S3119" t="s">
        <v>6100</v>
      </c>
      <c r="T3119">
        <v>0</v>
      </c>
      <c r="U3119" t="s">
        <v>6021</v>
      </c>
      <c r="V3119">
        <v>1</v>
      </c>
    </row>
    <row r="3120" spans="1:22" x14ac:dyDescent="0.3">
      <c r="A3120" t="s">
        <v>3135</v>
      </c>
      <c r="B3120" s="2">
        <v>46159.292361111111</v>
      </c>
      <c r="C3120" s="2">
        <v>46159.888194444444</v>
      </c>
      <c r="D3120" t="s">
        <v>6028</v>
      </c>
      <c r="E3120" t="s">
        <v>6029</v>
      </c>
      <c r="F3120" t="s">
        <v>6035</v>
      </c>
      <c r="G3120" t="s">
        <v>6062</v>
      </c>
      <c r="H3120" t="s">
        <v>6096</v>
      </c>
      <c r="I3120">
        <v>4</v>
      </c>
      <c r="J3120">
        <v>14.3</v>
      </c>
      <c r="K3120" t="s">
        <v>6100</v>
      </c>
      <c r="L3120" t="s">
        <v>6099</v>
      </c>
      <c r="M3120" t="s">
        <v>6100</v>
      </c>
      <c r="O3120" t="s">
        <v>6101</v>
      </c>
      <c r="P3120" t="s">
        <v>6111</v>
      </c>
      <c r="Q3120">
        <v>5</v>
      </c>
      <c r="R3120">
        <v>2026</v>
      </c>
      <c r="S3120" t="s">
        <v>6100</v>
      </c>
      <c r="T3120">
        <v>0</v>
      </c>
      <c r="U3120" t="s">
        <v>6019</v>
      </c>
      <c r="V3120">
        <v>0</v>
      </c>
    </row>
    <row r="3121" spans="1:22" x14ac:dyDescent="0.3">
      <c r="A3121" t="s">
        <v>3136</v>
      </c>
      <c r="B3121" s="2">
        <v>46159.324999999997</v>
      </c>
      <c r="C3121" s="2">
        <v>46160.57916666667</v>
      </c>
      <c r="D3121" t="s">
        <v>6025</v>
      </c>
      <c r="E3121" t="s">
        <v>6031</v>
      </c>
      <c r="F3121" t="s">
        <v>6034</v>
      </c>
      <c r="G3121" t="s">
        <v>6092</v>
      </c>
      <c r="H3121" t="s">
        <v>6097</v>
      </c>
      <c r="I3121">
        <v>24</v>
      </c>
      <c r="J3121">
        <v>30.1</v>
      </c>
      <c r="K3121" t="s">
        <v>6099</v>
      </c>
      <c r="L3121" t="s">
        <v>6100</v>
      </c>
      <c r="M3121" t="s">
        <v>6100</v>
      </c>
      <c r="O3121" t="s">
        <v>6101</v>
      </c>
      <c r="P3121" t="s">
        <v>6111</v>
      </c>
      <c r="Q3121">
        <v>5</v>
      </c>
      <c r="R3121">
        <v>2026</v>
      </c>
      <c r="S3121" t="s">
        <v>6100</v>
      </c>
      <c r="T3121">
        <v>0</v>
      </c>
      <c r="U3121" t="s">
        <v>6021</v>
      </c>
      <c r="V3121">
        <v>1</v>
      </c>
    </row>
    <row r="3122" spans="1:22" x14ac:dyDescent="0.3">
      <c r="A3122" t="s">
        <v>3137</v>
      </c>
      <c r="B3122" s="2">
        <v>46159.338888888888</v>
      </c>
      <c r="C3122" s="2">
        <v>46159.643055555556</v>
      </c>
      <c r="D3122" t="s">
        <v>6023</v>
      </c>
      <c r="E3122" t="s">
        <v>6032</v>
      </c>
      <c r="F3122" t="s">
        <v>6033</v>
      </c>
      <c r="G3122" t="s">
        <v>6043</v>
      </c>
      <c r="H3122" t="s">
        <v>6097</v>
      </c>
      <c r="I3122">
        <v>72</v>
      </c>
      <c r="J3122">
        <v>7.3</v>
      </c>
      <c r="K3122" t="s">
        <v>6099</v>
      </c>
      <c r="L3122" t="s">
        <v>6100</v>
      </c>
      <c r="M3122" t="s">
        <v>6100</v>
      </c>
      <c r="N3122">
        <v>5</v>
      </c>
      <c r="O3122" t="s">
        <v>6101</v>
      </c>
      <c r="P3122" t="s">
        <v>6111</v>
      </c>
      <c r="Q3122">
        <v>5</v>
      </c>
      <c r="R3122">
        <v>2026</v>
      </c>
      <c r="S3122" t="s">
        <v>6099</v>
      </c>
      <c r="T3122">
        <v>1</v>
      </c>
      <c r="U3122" t="s">
        <v>6017</v>
      </c>
      <c r="V3122">
        <v>1</v>
      </c>
    </row>
    <row r="3123" spans="1:22" x14ac:dyDescent="0.3">
      <c r="A3123" t="s">
        <v>3138</v>
      </c>
      <c r="B3123" s="2">
        <v>46159.371527777781</v>
      </c>
      <c r="C3123" s="2">
        <v>46161.684027777781</v>
      </c>
      <c r="D3123" t="s">
        <v>6026</v>
      </c>
      <c r="E3123" t="s">
        <v>6031</v>
      </c>
      <c r="F3123" t="s">
        <v>6034</v>
      </c>
      <c r="G3123" t="s">
        <v>6087</v>
      </c>
      <c r="H3123" t="s">
        <v>6098</v>
      </c>
      <c r="I3123">
        <v>24</v>
      </c>
      <c r="J3123">
        <v>55.5</v>
      </c>
      <c r="K3123" t="s">
        <v>6100</v>
      </c>
      <c r="L3123" t="s">
        <v>6100</v>
      </c>
      <c r="M3123" t="s">
        <v>6100</v>
      </c>
      <c r="N3123">
        <v>3</v>
      </c>
      <c r="O3123" t="s">
        <v>6101</v>
      </c>
      <c r="P3123" t="s">
        <v>6111</v>
      </c>
      <c r="Q3123">
        <v>5</v>
      </c>
      <c r="R3123">
        <v>2026</v>
      </c>
      <c r="S3123" t="s">
        <v>6100</v>
      </c>
      <c r="T3123">
        <v>0</v>
      </c>
      <c r="U3123" t="s">
        <v>6021</v>
      </c>
      <c r="V3123">
        <v>0</v>
      </c>
    </row>
    <row r="3124" spans="1:22" x14ac:dyDescent="0.3">
      <c r="A3124" t="s">
        <v>3139</v>
      </c>
      <c r="B3124" s="2">
        <v>46159.412499999999</v>
      </c>
      <c r="C3124" s="2">
        <v>46160.741666666669</v>
      </c>
      <c r="D3124" t="s">
        <v>6027</v>
      </c>
      <c r="E3124" t="s">
        <v>6031</v>
      </c>
      <c r="F3124" t="s">
        <v>6033</v>
      </c>
      <c r="G3124" t="s">
        <v>6084</v>
      </c>
      <c r="H3124" t="s">
        <v>6098</v>
      </c>
      <c r="I3124">
        <v>72</v>
      </c>
      <c r="J3124">
        <v>31.9</v>
      </c>
      <c r="K3124" t="s">
        <v>6099</v>
      </c>
      <c r="L3124" t="s">
        <v>6100</v>
      </c>
      <c r="M3124" t="s">
        <v>6099</v>
      </c>
      <c r="N3124">
        <v>4</v>
      </c>
      <c r="O3124" t="s">
        <v>6101</v>
      </c>
      <c r="P3124" t="s">
        <v>6111</v>
      </c>
      <c r="Q3124">
        <v>5</v>
      </c>
      <c r="R3124">
        <v>2026</v>
      </c>
      <c r="S3124" t="s">
        <v>6099</v>
      </c>
      <c r="T3124">
        <v>1</v>
      </c>
      <c r="U3124" t="s">
        <v>6018</v>
      </c>
      <c r="V3124">
        <v>1</v>
      </c>
    </row>
    <row r="3125" spans="1:22" x14ac:dyDescent="0.3">
      <c r="A3125" t="s">
        <v>3140</v>
      </c>
      <c r="B3125" s="2">
        <v>46159.424305555556</v>
      </c>
      <c r="C3125" s="2">
        <v>46161.178472222222</v>
      </c>
      <c r="D3125" t="s">
        <v>6022</v>
      </c>
      <c r="E3125" t="s">
        <v>6030</v>
      </c>
      <c r="F3125" t="s">
        <v>6033</v>
      </c>
      <c r="G3125" t="s">
        <v>6064</v>
      </c>
      <c r="H3125" t="s">
        <v>6096</v>
      </c>
      <c r="I3125">
        <v>72</v>
      </c>
      <c r="J3125">
        <v>42.1</v>
      </c>
      <c r="K3125" t="s">
        <v>6099</v>
      </c>
      <c r="L3125" t="s">
        <v>6100</v>
      </c>
      <c r="M3125" t="s">
        <v>6100</v>
      </c>
      <c r="N3125">
        <v>5</v>
      </c>
      <c r="O3125" t="s">
        <v>6101</v>
      </c>
      <c r="P3125" t="s">
        <v>6111</v>
      </c>
      <c r="Q3125">
        <v>5</v>
      </c>
      <c r="R3125">
        <v>2026</v>
      </c>
      <c r="S3125" t="s">
        <v>6099</v>
      </c>
      <c r="T3125">
        <v>1</v>
      </c>
      <c r="U3125" t="s">
        <v>6020</v>
      </c>
      <c r="V3125">
        <v>1</v>
      </c>
    </row>
    <row r="3126" spans="1:22" x14ac:dyDescent="0.3">
      <c r="A3126" t="s">
        <v>3141</v>
      </c>
      <c r="B3126" s="2">
        <v>46159.474305555559</v>
      </c>
      <c r="C3126" s="2">
        <v>46159.732638888891</v>
      </c>
      <c r="D3126" t="s">
        <v>6025</v>
      </c>
      <c r="E3126" t="s">
        <v>6030</v>
      </c>
      <c r="F3126" t="s">
        <v>6034</v>
      </c>
      <c r="G3126" t="s">
        <v>6084</v>
      </c>
      <c r="H3126" t="s">
        <v>6098</v>
      </c>
      <c r="I3126">
        <v>24</v>
      </c>
      <c r="J3126">
        <v>6.2</v>
      </c>
      <c r="K3126" t="s">
        <v>6099</v>
      </c>
      <c r="L3126" t="s">
        <v>6100</v>
      </c>
      <c r="M3126" t="s">
        <v>6100</v>
      </c>
      <c r="O3126" t="s">
        <v>6101</v>
      </c>
      <c r="P3126" t="s">
        <v>6111</v>
      </c>
      <c r="Q3126">
        <v>5</v>
      </c>
      <c r="R3126">
        <v>2026</v>
      </c>
      <c r="S3126" t="s">
        <v>6099</v>
      </c>
      <c r="T3126">
        <v>1</v>
      </c>
      <c r="U3126" t="s">
        <v>6018</v>
      </c>
      <c r="V3126">
        <v>1</v>
      </c>
    </row>
    <row r="3127" spans="1:22" x14ac:dyDescent="0.3">
      <c r="A3127" t="s">
        <v>3142</v>
      </c>
      <c r="B3127" s="2">
        <v>46159.498611111114</v>
      </c>
      <c r="C3127" s="2">
        <v>46161.286111111112</v>
      </c>
      <c r="D3127" t="s">
        <v>6026</v>
      </c>
      <c r="E3127" t="s">
        <v>6031</v>
      </c>
      <c r="F3127" t="s">
        <v>6033</v>
      </c>
      <c r="G3127" t="s">
        <v>6052</v>
      </c>
      <c r="H3127" t="s">
        <v>6098</v>
      </c>
      <c r="I3127">
        <v>72</v>
      </c>
      <c r="J3127">
        <v>42.9</v>
      </c>
      <c r="K3127" t="s">
        <v>6099</v>
      </c>
      <c r="L3127" t="s">
        <v>6100</v>
      </c>
      <c r="M3127" t="s">
        <v>6099</v>
      </c>
      <c r="N3127">
        <v>5</v>
      </c>
      <c r="O3127" t="s">
        <v>6101</v>
      </c>
      <c r="P3127" t="s">
        <v>6111</v>
      </c>
      <c r="Q3127">
        <v>5</v>
      </c>
      <c r="R3127">
        <v>2026</v>
      </c>
      <c r="S3127" t="s">
        <v>6099</v>
      </c>
      <c r="T3127">
        <v>1</v>
      </c>
      <c r="U3127" t="s">
        <v>6021</v>
      </c>
      <c r="V3127">
        <v>1</v>
      </c>
    </row>
    <row r="3128" spans="1:22" x14ac:dyDescent="0.3">
      <c r="A3128" t="s">
        <v>3143</v>
      </c>
      <c r="B3128" s="2">
        <v>46159.577777777777</v>
      </c>
      <c r="C3128" s="2">
        <v>46159.773611111108</v>
      </c>
      <c r="D3128" t="s">
        <v>6027</v>
      </c>
      <c r="E3128" t="s">
        <v>6030</v>
      </c>
      <c r="F3128" t="s">
        <v>6033</v>
      </c>
      <c r="G3128" t="s">
        <v>6089</v>
      </c>
      <c r="H3128" t="s">
        <v>6098</v>
      </c>
      <c r="I3128">
        <v>72</v>
      </c>
      <c r="J3128">
        <v>4.7</v>
      </c>
      <c r="K3128" t="s">
        <v>6099</v>
      </c>
      <c r="L3128" t="s">
        <v>6100</v>
      </c>
      <c r="M3128" t="s">
        <v>6100</v>
      </c>
      <c r="N3128">
        <v>4</v>
      </c>
      <c r="O3128" t="s">
        <v>6101</v>
      </c>
      <c r="P3128" t="s">
        <v>6111</v>
      </c>
      <c r="Q3128">
        <v>5</v>
      </c>
      <c r="R3128">
        <v>2026</v>
      </c>
      <c r="S3128" t="s">
        <v>6099</v>
      </c>
      <c r="T3128">
        <v>1</v>
      </c>
      <c r="U3128" t="s">
        <v>6018</v>
      </c>
      <c r="V3128">
        <v>1</v>
      </c>
    </row>
    <row r="3129" spans="1:22" x14ac:dyDescent="0.3">
      <c r="A3129" t="s">
        <v>3144</v>
      </c>
      <c r="B3129" s="2">
        <v>46159.628472222219</v>
      </c>
      <c r="C3129" s="2">
        <v>46160.011805555558</v>
      </c>
      <c r="D3129" t="s">
        <v>6023</v>
      </c>
      <c r="E3129" t="s">
        <v>6030</v>
      </c>
      <c r="F3129" t="s">
        <v>6034</v>
      </c>
      <c r="G3129" t="s">
        <v>6092</v>
      </c>
      <c r="H3129" t="s">
        <v>6097</v>
      </c>
      <c r="I3129">
        <v>24</v>
      </c>
      <c r="J3129">
        <v>9.1999999999999993</v>
      </c>
      <c r="K3129" t="s">
        <v>6099</v>
      </c>
      <c r="L3129" t="s">
        <v>6100</v>
      </c>
      <c r="M3129" t="s">
        <v>6100</v>
      </c>
      <c r="N3129">
        <v>4</v>
      </c>
      <c r="O3129" t="s">
        <v>6101</v>
      </c>
      <c r="P3129" t="s">
        <v>6111</v>
      </c>
      <c r="Q3129">
        <v>5</v>
      </c>
      <c r="R3129">
        <v>2026</v>
      </c>
      <c r="S3129" t="s">
        <v>6099</v>
      </c>
      <c r="T3129">
        <v>1</v>
      </c>
      <c r="U3129" t="s">
        <v>6019</v>
      </c>
      <c r="V3129">
        <v>1</v>
      </c>
    </row>
    <row r="3130" spans="1:22" x14ac:dyDescent="0.3">
      <c r="A3130" t="s">
        <v>3145</v>
      </c>
      <c r="B3130" s="2">
        <v>46159.629166666666</v>
      </c>
      <c r="C3130" s="2">
        <v>46160.237500000003</v>
      </c>
      <c r="D3130" t="s">
        <v>6024</v>
      </c>
      <c r="E3130" t="s">
        <v>6029</v>
      </c>
      <c r="F3130" t="s">
        <v>6033</v>
      </c>
      <c r="G3130" t="s">
        <v>6087</v>
      </c>
      <c r="H3130" t="s">
        <v>6098</v>
      </c>
      <c r="I3130">
        <v>72</v>
      </c>
      <c r="J3130">
        <v>14.6</v>
      </c>
      <c r="K3130" t="s">
        <v>6099</v>
      </c>
      <c r="L3130" t="s">
        <v>6100</v>
      </c>
      <c r="M3130" t="s">
        <v>6100</v>
      </c>
      <c r="N3130">
        <v>5</v>
      </c>
      <c r="O3130" t="s">
        <v>6101</v>
      </c>
      <c r="P3130" t="s">
        <v>6111</v>
      </c>
      <c r="Q3130">
        <v>5</v>
      </c>
      <c r="R3130">
        <v>2026</v>
      </c>
      <c r="S3130" t="s">
        <v>6099</v>
      </c>
      <c r="T3130">
        <v>1</v>
      </c>
      <c r="U3130" t="s">
        <v>6019</v>
      </c>
      <c r="V3130">
        <v>1</v>
      </c>
    </row>
    <row r="3131" spans="1:22" x14ac:dyDescent="0.3">
      <c r="A3131" t="s">
        <v>3146</v>
      </c>
      <c r="B3131" s="2">
        <v>46159.700694444444</v>
      </c>
      <c r="C3131" s="2">
        <v>46160.529861111114</v>
      </c>
      <c r="D3131" t="s">
        <v>6024</v>
      </c>
      <c r="E3131" t="s">
        <v>6029</v>
      </c>
      <c r="F3131" t="s">
        <v>6033</v>
      </c>
      <c r="G3131" t="s">
        <v>6054</v>
      </c>
      <c r="H3131" t="s">
        <v>6096</v>
      </c>
      <c r="I3131">
        <v>72</v>
      </c>
      <c r="J3131">
        <v>19.899999999999999</v>
      </c>
      <c r="K3131" t="s">
        <v>6099</v>
      </c>
      <c r="L3131" t="s">
        <v>6100</v>
      </c>
      <c r="M3131" t="s">
        <v>6100</v>
      </c>
      <c r="O3131" t="s">
        <v>6101</v>
      </c>
      <c r="P3131" t="s">
        <v>6111</v>
      </c>
      <c r="Q3131">
        <v>5</v>
      </c>
      <c r="R3131">
        <v>2026</v>
      </c>
      <c r="S3131" t="s">
        <v>6099</v>
      </c>
      <c r="T3131">
        <v>1</v>
      </c>
      <c r="U3131" t="s">
        <v>6017</v>
      </c>
      <c r="V3131">
        <v>1</v>
      </c>
    </row>
    <row r="3132" spans="1:22" x14ac:dyDescent="0.3">
      <c r="A3132" t="s">
        <v>3147</v>
      </c>
      <c r="B3132" s="2">
        <v>46159.768055555556</v>
      </c>
      <c r="C3132" s="2">
        <v>46160.118055555555</v>
      </c>
      <c r="D3132" t="s">
        <v>6023</v>
      </c>
      <c r="E3132" t="s">
        <v>6032</v>
      </c>
      <c r="F3132" t="s">
        <v>6033</v>
      </c>
      <c r="G3132" t="s">
        <v>6053</v>
      </c>
      <c r="H3132" t="s">
        <v>6097</v>
      </c>
      <c r="I3132">
        <v>72</v>
      </c>
      <c r="J3132">
        <v>8.4</v>
      </c>
      <c r="K3132" t="s">
        <v>6099</v>
      </c>
      <c r="L3132" t="s">
        <v>6100</v>
      </c>
      <c r="M3132" t="s">
        <v>6100</v>
      </c>
      <c r="O3132" t="s">
        <v>6101</v>
      </c>
      <c r="P3132" t="s">
        <v>6111</v>
      </c>
      <c r="Q3132">
        <v>5</v>
      </c>
      <c r="R3132">
        <v>2026</v>
      </c>
      <c r="S3132" t="s">
        <v>6099</v>
      </c>
      <c r="T3132">
        <v>1</v>
      </c>
      <c r="U3132" t="s">
        <v>6020</v>
      </c>
      <c r="V3132">
        <v>1</v>
      </c>
    </row>
    <row r="3133" spans="1:22" x14ac:dyDescent="0.3">
      <c r="A3133" t="s">
        <v>3148</v>
      </c>
      <c r="B3133" s="2">
        <v>46159.781944444447</v>
      </c>
      <c r="C3133" s="2">
        <v>46160.844444444447</v>
      </c>
      <c r="D3133" t="s">
        <v>6028</v>
      </c>
      <c r="E3133" t="s">
        <v>6031</v>
      </c>
      <c r="F3133" t="s">
        <v>6034</v>
      </c>
      <c r="G3133" t="s">
        <v>6050</v>
      </c>
      <c r="H3133" t="s">
        <v>6098</v>
      </c>
      <c r="I3133">
        <v>24</v>
      </c>
      <c r="J3133">
        <v>25.5</v>
      </c>
      <c r="K3133" t="s">
        <v>6099</v>
      </c>
      <c r="L3133" t="s">
        <v>6100</v>
      </c>
      <c r="M3133" t="s">
        <v>6100</v>
      </c>
      <c r="O3133" t="s">
        <v>6101</v>
      </c>
      <c r="P3133" t="s">
        <v>6111</v>
      </c>
      <c r="Q3133">
        <v>5</v>
      </c>
      <c r="R3133">
        <v>2026</v>
      </c>
      <c r="S3133" t="s">
        <v>6100</v>
      </c>
      <c r="T3133">
        <v>0</v>
      </c>
      <c r="U3133" t="s">
        <v>6018</v>
      </c>
      <c r="V3133">
        <v>1</v>
      </c>
    </row>
    <row r="3134" spans="1:22" x14ac:dyDescent="0.3">
      <c r="A3134" t="s">
        <v>3149</v>
      </c>
      <c r="B3134" s="2">
        <v>46159.805555555555</v>
      </c>
      <c r="C3134" s="2">
        <v>46160.563888888886</v>
      </c>
      <c r="D3134" t="s">
        <v>6027</v>
      </c>
      <c r="E3134" t="s">
        <v>6029</v>
      </c>
      <c r="F3134" t="s">
        <v>6034</v>
      </c>
      <c r="G3134" t="s">
        <v>6042</v>
      </c>
      <c r="H3134" t="s">
        <v>6098</v>
      </c>
      <c r="I3134">
        <v>24</v>
      </c>
      <c r="J3134">
        <v>18.2</v>
      </c>
      <c r="K3134" t="s">
        <v>6099</v>
      </c>
      <c r="L3134" t="s">
        <v>6100</v>
      </c>
      <c r="M3134" t="s">
        <v>6100</v>
      </c>
      <c r="N3134">
        <v>4</v>
      </c>
      <c r="O3134" t="s">
        <v>6101</v>
      </c>
      <c r="P3134" t="s">
        <v>6111</v>
      </c>
      <c r="Q3134">
        <v>5</v>
      </c>
      <c r="R3134">
        <v>2026</v>
      </c>
      <c r="S3134" t="s">
        <v>6099</v>
      </c>
      <c r="T3134">
        <v>1</v>
      </c>
      <c r="U3134" t="s">
        <v>6020</v>
      </c>
      <c r="V3134">
        <v>1</v>
      </c>
    </row>
    <row r="3135" spans="1:22" x14ac:dyDescent="0.3">
      <c r="A3135" t="s">
        <v>3150</v>
      </c>
      <c r="B3135" s="2">
        <v>46160.033333333333</v>
      </c>
      <c r="C3135" s="2">
        <v>46162.92083333333</v>
      </c>
      <c r="D3135" t="s">
        <v>6028</v>
      </c>
      <c r="E3135" t="s">
        <v>6031</v>
      </c>
      <c r="F3135" t="s">
        <v>6035</v>
      </c>
      <c r="G3135" t="s">
        <v>6064</v>
      </c>
      <c r="H3135" t="s">
        <v>6096</v>
      </c>
      <c r="I3135">
        <v>4</v>
      </c>
      <c r="J3135">
        <v>69.3</v>
      </c>
      <c r="K3135" t="s">
        <v>6100</v>
      </c>
      <c r="L3135" t="s">
        <v>6100</v>
      </c>
      <c r="M3135" t="s">
        <v>6100</v>
      </c>
      <c r="N3135">
        <v>3</v>
      </c>
      <c r="O3135" t="s">
        <v>6101</v>
      </c>
      <c r="P3135" t="s">
        <v>6111</v>
      </c>
      <c r="Q3135">
        <v>5</v>
      </c>
      <c r="R3135">
        <v>2026</v>
      </c>
      <c r="S3135" t="s">
        <v>6100</v>
      </c>
      <c r="T3135">
        <v>0</v>
      </c>
      <c r="U3135" t="s">
        <v>6018</v>
      </c>
      <c r="V3135">
        <v>0</v>
      </c>
    </row>
    <row r="3136" spans="1:22" x14ac:dyDescent="0.3">
      <c r="A3136" t="s">
        <v>3151</v>
      </c>
      <c r="B3136" s="2">
        <v>46160.109722222223</v>
      </c>
      <c r="C3136" s="2">
        <v>46162.597222222219</v>
      </c>
      <c r="D3136" t="s">
        <v>6026</v>
      </c>
      <c r="E3136" t="s">
        <v>6031</v>
      </c>
      <c r="F3136" t="s">
        <v>6034</v>
      </c>
      <c r="G3136" t="s">
        <v>6065</v>
      </c>
      <c r="H3136" t="s">
        <v>6097</v>
      </c>
      <c r="I3136">
        <v>24</v>
      </c>
      <c r="J3136">
        <v>59.7</v>
      </c>
      <c r="K3136" t="s">
        <v>6099</v>
      </c>
      <c r="L3136" t="s">
        <v>6100</v>
      </c>
      <c r="M3136" t="s">
        <v>6100</v>
      </c>
      <c r="N3136">
        <v>5</v>
      </c>
      <c r="O3136" t="s">
        <v>6101</v>
      </c>
      <c r="P3136" t="s">
        <v>6111</v>
      </c>
      <c r="Q3136">
        <v>5</v>
      </c>
      <c r="R3136">
        <v>2026</v>
      </c>
      <c r="S3136" t="s">
        <v>6100</v>
      </c>
      <c r="T3136">
        <v>0</v>
      </c>
      <c r="U3136" t="s">
        <v>6021</v>
      </c>
      <c r="V3136">
        <v>1</v>
      </c>
    </row>
    <row r="3137" spans="1:22" x14ac:dyDescent="0.3">
      <c r="A3137" t="s">
        <v>3152</v>
      </c>
      <c r="B3137" s="2">
        <v>46160.211805555555</v>
      </c>
      <c r="C3137" s="2">
        <v>46160.699305555558</v>
      </c>
      <c r="D3137" t="s">
        <v>6027</v>
      </c>
      <c r="E3137" t="s">
        <v>6030</v>
      </c>
      <c r="F3137" t="s">
        <v>6034</v>
      </c>
      <c r="G3137" t="s">
        <v>6083</v>
      </c>
      <c r="H3137" t="s">
        <v>6096</v>
      </c>
      <c r="I3137">
        <v>24</v>
      </c>
      <c r="J3137">
        <v>11.7</v>
      </c>
      <c r="K3137" t="s">
        <v>6099</v>
      </c>
      <c r="L3137" t="s">
        <v>6100</v>
      </c>
      <c r="M3137" t="s">
        <v>6100</v>
      </c>
      <c r="N3137">
        <v>4</v>
      </c>
      <c r="O3137" t="s">
        <v>6101</v>
      </c>
      <c r="P3137" t="s">
        <v>6111</v>
      </c>
      <c r="Q3137">
        <v>5</v>
      </c>
      <c r="R3137">
        <v>2026</v>
      </c>
      <c r="S3137" t="s">
        <v>6099</v>
      </c>
      <c r="T3137">
        <v>1</v>
      </c>
      <c r="U3137" t="s">
        <v>6020</v>
      </c>
      <c r="V3137">
        <v>1</v>
      </c>
    </row>
    <row r="3138" spans="1:22" x14ac:dyDescent="0.3">
      <c r="A3138" t="s">
        <v>3153</v>
      </c>
      <c r="B3138" s="2">
        <v>46160.322222222225</v>
      </c>
      <c r="C3138" s="2">
        <v>46160.701388888891</v>
      </c>
      <c r="D3138" t="s">
        <v>6023</v>
      </c>
      <c r="E3138" t="s">
        <v>6029</v>
      </c>
      <c r="F3138" t="s">
        <v>6033</v>
      </c>
      <c r="G3138" t="s">
        <v>6056</v>
      </c>
      <c r="H3138" t="s">
        <v>6098</v>
      </c>
      <c r="I3138">
        <v>72</v>
      </c>
      <c r="J3138">
        <v>9.1</v>
      </c>
      <c r="K3138" t="s">
        <v>6100</v>
      </c>
      <c r="L3138" t="s">
        <v>6100</v>
      </c>
      <c r="M3138" t="s">
        <v>6100</v>
      </c>
      <c r="O3138" t="s">
        <v>6101</v>
      </c>
      <c r="P3138" t="s">
        <v>6111</v>
      </c>
      <c r="Q3138">
        <v>5</v>
      </c>
      <c r="R3138">
        <v>2026</v>
      </c>
      <c r="S3138" t="s">
        <v>6099</v>
      </c>
      <c r="T3138">
        <v>1</v>
      </c>
      <c r="U3138" t="s">
        <v>6018</v>
      </c>
      <c r="V3138">
        <v>0</v>
      </c>
    </row>
    <row r="3139" spans="1:22" x14ac:dyDescent="0.3">
      <c r="A3139" t="s">
        <v>3154</v>
      </c>
      <c r="B3139" s="2">
        <v>46160.356944444444</v>
      </c>
      <c r="C3139" s="2">
        <v>46161.936111111114</v>
      </c>
      <c r="D3139" t="s">
        <v>6026</v>
      </c>
      <c r="E3139" t="s">
        <v>6029</v>
      </c>
      <c r="F3139" t="s">
        <v>6033</v>
      </c>
      <c r="G3139" t="s">
        <v>6051</v>
      </c>
      <c r="H3139" t="s">
        <v>6097</v>
      </c>
      <c r="I3139">
        <v>72</v>
      </c>
      <c r="J3139">
        <v>37.9</v>
      </c>
      <c r="K3139" t="s">
        <v>6100</v>
      </c>
      <c r="L3139" t="s">
        <v>6099</v>
      </c>
      <c r="M3139" t="s">
        <v>6100</v>
      </c>
      <c r="N3139">
        <v>2</v>
      </c>
      <c r="O3139" t="s">
        <v>6101</v>
      </c>
      <c r="P3139" t="s">
        <v>6111</v>
      </c>
      <c r="Q3139">
        <v>5</v>
      </c>
      <c r="R3139">
        <v>2026</v>
      </c>
      <c r="S3139" t="s">
        <v>6099</v>
      </c>
      <c r="T3139">
        <v>1</v>
      </c>
      <c r="U3139" t="s">
        <v>6019</v>
      </c>
      <c r="V3139">
        <v>0</v>
      </c>
    </row>
    <row r="3140" spans="1:22" x14ac:dyDescent="0.3">
      <c r="A3140" t="s">
        <v>3155</v>
      </c>
      <c r="B3140" s="2">
        <v>46160.435416666667</v>
      </c>
      <c r="C3140" s="2">
        <v>46160.960416666669</v>
      </c>
      <c r="D3140" t="s">
        <v>6025</v>
      </c>
      <c r="E3140" t="s">
        <v>6029</v>
      </c>
      <c r="F3140" t="s">
        <v>6034</v>
      </c>
      <c r="G3140" t="s">
        <v>6082</v>
      </c>
      <c r="H3140" t="s">
        <v>6097</v>
      </c>
      <c r="I3140">
        <v>24</v>
      </c>
      <c r="J3140">
        <v>12.6</v>
      </c>
      <c r="K3140" t="s">
        <v>6099</v>
      </c>
      <c r="L3140" t="s">
        <v>6100</v>
      </c>
      <c r="M3140" t="s">
        <v>6100</v>
      </c>
      <c r="O3140" t="s">
        <v>6101</v>
      </c>
      <c r="P3140" t="s">
        <v>6111</v>
      </c>
      <c r="Q3140">
        <v>5</v>
      </c>
      <c r="R3140">
        <v>2026</v>
      </c>
      <c r="S3140" t="s">
        <v>6099</v>
      </c>
      <c r="T3140">
        <v>1</v>
      </c>
      <c r="U3140" t="s">
        <v>6020</v>
      </c>
      <c r="V3140">
        <v>1</v>
      </c>
    </row>
    <row r="3141" spans="1:22" x14ac:dyDescent="0.3">
      <c r="A3141" t="s">
        <v>3156</v>
      </c>
      <c r="B3141" s="2">
        <v>46160.435416666667</v>
      </c>
      <c r="C3141" s="2">
        <v>46169.022916666669</v>
      </c>
      <c r="D3141" t="s">
        <v>6026</v>
      </c>
      <c r="E3141" t="s">
        <v>6031</v>
      </c>
      <c r="F3141" t="s">
        <v>6034</v>
      </c>
      <c r="G3141" t="s">
        <v>6062</v>
      </c>
      <c r="H3141" t="s">
        <v>6096</v>
      </c>
      <c r="I3141">
        <v>24</v>
      </c>
      <c r="J3141">
        <v>206.1</v>
      </c>
      <c r="K3141" t="s">
        <v>6099</v>
      </c>
      <c r="L3141" t="s">
        <v>6100</v>
      </c>
      <c r="M3141" t="s">
        <v>6100</v>
      </c>
      <c r="O3141" t="s">
        <v>6101</v>
      </c>
      <c r="P3141" t="s">
        <v>6111</v>
      </c>
      <c r="Q3141">
        <v>5</v>
      </c>
      <c r="R3141">
        <v>2026</v>
      </c>
      <c r="S3141" t="s">
        <v>6100</v>
      </c>
      <c r="T3141">
        <v>0</v>
      </c>
      <c r="U3141" t="s">
        <v>6017</v>
      </c>
      <c r="V3141">
        <v>1</v>
      </c>
    </row>
    <row r="3142" spans="1:22" x14ac:dyDescent="0.3">
      <c r="A3142" t="s">
        <v>3157</v>
      </c>
      <c r="B3142" s="2">
        <v>46160.451388888891</v>
      </c>
      <c r="C3142" s="2">
        <v>46161.097222222219</v>
      </c>
      <c r="D3142" t="s">
        <v>6028</v>
      </c>
      <c r="E3142" t="s">
        <v>6029</v>
      </c>
      <c r="F3142" t="s">
        <v>6035</v>
      </c>
      <c r="G3142" t="s">
        <v>6047</v>
      </c>
      <c r="H3142" t="s">
        <v>6098</v>
      </c>
      <c r="I3142">
        <v>4</v>
      </c>
      <c r="J3142">
        <v>15.5</v>
      </c>
      <c r="K3142" t="s">
        <v>6099</v>
      </c>
      <c r="L3142" t="s">
        <v>6100</v>
      </c>
      <c r="M3142" t="s">
        <v>6099</v>
      </c>
      <c r="N3142">
        <v>4</v>
      </c>
      <c r="O3142" t="s">
        <v>6101</v>
      </c>
      <c r="P3142" t="s">
        <v>6111</v>
      </c>
      <c r="Q3142">
        <v>5</v>
      </c>
      <c r="R3142">
        <v>2026</v>
      </c>
      <c r="S3142" t="s">
        <v>6100</v>
      </c>
      <c r="T3142">
        <v>0</v>
      </c>
      <c r="U3142" t="s">
        <v>6018</v>
      </c>
      <c r="V3142">
        <v>1</v>
      </c>
    </row>
    <row r="3143" spans="1:22" x14ac:dyDescent="0.3">
      <c r="A3143" t="s">
        <v>3158</v>
      </c>
      <c r="B3143" s="2">
        <v>46160.456944444442</v>
      </c>
      <c r="C3143" s="2">
        <v>46160.648611111108</v>
      </c>
      <c r="D3143" t="s">
        <v>6028</v>
      </c>
      <c r="E3143" t="s">
        <v>6029</v>
      </c>
      <c r="F3143" t="s">
        <v>6035</v>
      </c>
      <c r="G3143" t="s">
        <v>6094</v>
      </c>
      <c r="H3143" t="s">
        <v>6098</v>
      </c>
      <c r="I3143">
        <v>4</v>
      </c>
      <c r="J3143">
        <v>4.5999999999999996</v>
      </c>
      <c r="K3143" t="s">
        <v>6100</v>
      </c>
      <c r="L3143" t="s">
        <v>6100</v>
      </c>
      <c r="M3143" t="s">
        <v>6099</v>
      </c>
      <c r="N3143">
        <v>4</v>
      </c>
      <c r="O3143" t="s">
        <v>6101</v>
      </c>
      <c r="P3143" t="s">
        <v>6111</v>
      </c>
      <c r="Q3143">
        <v>5</v>
      </c>
      <c r="R3143">
        <v>2026</v>
      </c>
      <c r="S3143" t="s">
        <v>6100</v>
      </c>
      <c r="T3143">
        <v>0</v>
      </c>
      <c r="U3143" t="s">
        <v>6019</v>
      </c>
      <c r="V3143">
        <v>0</v>
      </c>
    </row>
    <row r="3144" spans="1:22" x14ac:dyDescent="0.3">
      <c r="A3144" t="s">
        <v>3159</v>
      </c>
      <c r="B3144" s="2">
        <v>46160.467361111114</v>
      </c>
      <c r="C3144" s="2">
        <v>46160.729861111111</v>
      </c>
      <c r="D3144" t="s">
        <v>6025</v>
      </c>
      <c r="E3144" t="s">
        <v>6029</v>
      </c>
      <c r="F3144" t="s">
        <v>6034</v>
      </c>
      <c r="G3144" t="s">
        <v>6095</v>
      </c>
      <c r="H3144" t="s">
        <v>6098</v>
      </c>
      <c r="I3144">
        <v>24</v>
      </c>
      <c r="J3144">
        <v>6.3</v>
      </c>
      <c r="K3144" t="s">
        <v>6100</v>
      </c>
      <c r="L3144" t="s">
        <v>6099</v>
      </c>
      <c r="M3144" t="s">
        <v>6100</v>
      </c>
      <c r="O3144" t="s">
        <v>6101</v>
      </c>
      <c r="P3144" t="s">
        <v>6111</v>
      </c>
      <c r="Q3144">
        <v>5</v>
      </c>
      <c r="R3144">
        <v>2026</v>
      </c>
      <c r="S3144" t="s">
        <v>6099</v>
      </c>
      <c r="T3144">
        <v>1</v>
      </c>
      <c r="U3144" t="s">
        <v>6020</v>
      </c>
      <c r="V3144">
        <v>0</v>
      </c>
    </row>
    <row r="3145" spans="1:22" x14ac:dyDescent="0.3">
      <c r="A3145" t="s">
        <v>3160</v>
      </c>
      <c r="B3145" s="2">
        <v>46160.473611111112</v>
      </c>
      <c r="C3145" s="2">
        <v>46160.62777777778</v>
      </c>
      <c r="D3145" t="s">
        <v>6022</v>
      </c>
      <c r="E3145" t="s">
        <v>6030</v>
      </c>
      <c r="F3145" t="s">
        <v>6034</v>
      </c>
      <c r="G3145" t="s">
        <v>6043</v>
      </c>
      <c r="H3145" t="s">
        <v>6097</v>
      </c>
      <c r="I3145">
        <v>24</v>
      </c>
      <c r="J3145">
        <v>3.7</v>
      </c>
      <c r="K3145" t="s">
        <v>6099</v>
      </c>
      <c r="L3145" t="s">
        <v>6100</v>
      </c>
      <c r="M3145" t="s">
        <v>6100</v>
      </c>
      <c r="N3145">
        <v>4</v>
      </c>
      <c r="O3145" t="s">
        <v>6101</v>
      </c>
      <c r="P3145" t="s">
        <v>6111</v>
      </c>
      <c r="Q3145">
        <v>5</v>
      </c>
      <c r="R3145">
        <v>2026</v>
      </c>
      <c r="S3145" t="s">
        <v>6099</v>
      </c>
      <c r="T3145">
        <v>1</v>
      </c>
      <c r="U3145" t="s">
        <v>6021</v>
      </c>
      <c r="V3145">
        <v>1</v>
      </c>
    </row>
    <row r="3146" spans="1:22" x14ac:dyDescent="0.3">
      <c r="A3146" t="s">
        <v>3161</v>
      </c>
      <c r="B3146" s="2">
        <v>46160.491666666669</v>
      </c>
      <c r="C3146" s="2">
        <v>46160.679166666669</v>
      </c>
      <c r="D3146" t="s">
        <v>6025</v>
      </c>
      <c r="E3146" t="s">
        <v>6030</v>
      </c>
      <c r="F3146" t="s">
        <v>6034</v>
      </c>
      <c r="G3146" t="s">
        <v>6092</v>
      </c>
      <c r="H3146" t="s">
        <v>6097</v>
      </c>
      <c r="I3146">
        <v>24</v>
      </c>
      <c r="J3146">
        <v>4.5</v>
      </c>
      <c r="K3146" t="s">
        <v>6099</v>
      </c>
      <c r="L3146" t="s">
        <v>6100</v>
      </c>
      <c r="M3146" t="s">
        <v>6100</v>
      </c>
      <c r="N3146">
        <v>5</v>
      </c>
      <c r="O3146" t="s">
        <v>6101</v>
      </c>
      <c r="P3146" t="s">
        <v>6111</v>
      </c>
      <c r="Q3146">
        <v>5</v>
      </c>
      <c r="R3146">
        <v>2026</v>
      </c>
      <c r="S3146" t="s">
        <v>6099</v>
      </c>
      <c r="T3146">
        <v>1</v>
      </c>
      <c r="U3146" t="s">
        <v>6017</v>
      </c>
      <c r="V3146">
        <v>1</v>
      </c>
    </row>
    <row r="3147" spans="1:22" x14ac:dyDescent="0.3">
      <c r="A3147" t="s">
        <v>3162</v>
      </c>
      <c r="B3147" s="2">
        <v>46160.53125</v>
      </c>
      <c r="C3147" s="2">
        <v>46161.29791666667</v>
      </c>
      <c r="D3147" t="s">
        <v>6027</v>
      </c>
      <c r="E3147" t="s">
        <v>6032</v>
      </c>
      <c r="F3147" t="s">
        <v>6034</v>
      </c>
      <c r="G3147" t="s">
        <v>6062</v>
      </c>
      <c r="H3147" t="s">
        <v>6096</v>
      </c>
      <c r="I3147">
        <v>24</v>
      </c>
      <c r="J3147">
        <v>18.399999999999999</v>
      </c>
      <c r="K3147" t="s">
        <v>6099</v>
      </c>
      <c r="L3147" t="s">
        <v>6100</v>
      </c>
      <c r="M3147" t="s">
        <v>6100</v>
      </c>
      <c r="N3147">
        <v>5</v>
      </c>
      <c r="O3147" t="s">
        <v>6101</v>
      </c>
      <c r="P3147" t="s">
        <v>6111</v>
      </c>
      <c r="Q3147">
        <v>5</v>
      </c>
      <c r="R3147">
        <v>2026</v>
      </c>
      <c r="S3147" t="s">
        <v>6099</v>
      </c>
      <c r="T3147">
        <v>1</v>
      </c>
      <c r="U3147" t="s">
        <v>6018</v>
      </c>
      <c r="V3147">
        <v>1</v>
      </c>
    </row>
    <row r="3148" spans="1:22" x14ac:dyDescent="0.3">
      <c r="A3148" t="s">
        <v>3163</v>
      </c>
      <c r="B3148" s="2">
        <v>46160.583333333336</v>
      </c>
      <c r="C3148" s="2">
        <v>46162.220833333333</v>
      </c>
      <c r="D3148" t="s">
        <v>6026</v>
      </c>
      <c r="E3148" t="s">
        <v>6030</v>
      </c>
      <c r="F3148" t="s">
        <v>6034</v>
      </c>
      <c r="G3148" t="s">
        <v>6085</v>
      </c>
      <c r="H3148" t="s">
        <v>6097</v>
      </c>
      <c r="I3148">
        <v>24</v>
      </c>
      <c r="J3148">
        <v>39.299999999999997</v>
      </c>
      <c r="K3148" t="s">
        <v>6099</v>
      </c>
      <c r="L3148" t="s">
        <v>6100</v>
      </c>
      <c r="M3148" t="s">
        <v>6100</v>
      </c>
      <c r="O3148" t="s">
        <v>6101</v>
      </c>
      <c r="P3148" t="s">
        <v>6111</v>
      </c>
      <c r="Q3148">
        <v>5</v>
      </c>
      <c r="R3148">
        <v>2026</v>
      </c>
      <c r="S3148" t="s">
        <v>6100</v>
      </c>
      <c r="T3148">
        <v>0</v>
      </c>
      <c r="U3148" t="s">
        <v>6021</v>
      </c>
      <c r="V3148">
        <v>1</v>
      </c>
    </row>
    <row r="3149" spans="1:22" x14ac:dyDescent="0.3">
      <c r="A3149" t="s">
        <v>3164</v>
      </c>
      <c r="B3149" s="2">
        <v>46160.594444444447</v>
      </c>
      <c r="C3149" s="2">
        <v>46160.811111111114</v>
      </c>
      <c r="D3149" t="s">
        <v>6028</v>
      </c>
      <c r="E3149" t="s">
        <v>6030</v>
      </c>
      <c r="F3149" t="s">
        <v>6035</v>
      </c>
      <c r="G3149" t="s">
        <v>6043</v>
      </c>
      <c r="H3149" t="s">
        <v>6097</v>
      </c>
      <c r="I3149">
        <v>4</v>
      </c>
      <c r="J3149">
        <v>5.2</v>
      </c>
      <c r="K3149" t="s">
        <v>6100</v>
      </c>
      <c r="L3149" t="s">
        <v>6099</v>
      </c>
      <c r="M3149" t="s">
        <v>6100</v>
      </c>
      <c r="O3149" t="s">
        <v>6101</v>
      </c>
      <c r="P3149" t="s">
        <v>6111</v>
      </c>
      <c r="Q3149">
        <v>5</v>
      </c>
      <c r="R3149">
        <v>2026</v>
      </c>
      <c r="S3149" t="s">
        <v>6100</v>
      </c>
      <c r="T3149">
        <v>0</v>
      </c>
      <c r="U3149" t="s">
        <v>6021</v>
      </c>
      <c r="V3149">
        <v>0</v>
      </c>
    </row>
    <row r="3150" spans="1:22" x14ac:dyDescent="0.3">
      <c r="A3150" t="s">
        <v>3165</v>
      </c>
      <c r="B3150" s="2">
        <v>46160.640972222223</v>
      </c>
      <c r="C3150" s="2">
        <v>46161.349305555559</v>
      </c>
      <c r="D3150" t="s">
        <v>6027</v>
      </c>
      <c r="E3150" t="s">
        <v>6030</v>
      </c>
      <c r="F3150" t="s">
        <v>6034</v>
      </c>
      <c r="G3150" t="s">
        <v>6038</v>
      </c>
      <c r="H3150" t="s">
        <v>6096</v>
      </c>
      <c r="I3150">
        <v>24</v>
      </c>
      <c r="J3150">
        <v>17</v>
      </c>
      <c r="K3150" t="s">
        <v>6100</v>
      </c>
      <c r="L3150" t="s">
        <v>6099</v>
      </c>
      <c r="M3150" t="s">
        <v>6100</v>
      </c>
      <c r="N3150">
        <v>3</v>
      </c>
      <c r="O3150" t="s">
        <v>6101</v>
      </c>
      <c r="P3150" t="s">
        <v>6111</v>
      </c>
      <c r="Q3150">
        <v>5</v>
      </c>
      <c r="R3150">
        <v>2026</v>
      </c>
      <c r="S3150" t="s">
        <v>6099</v>
      </c>
      <c r="T3150">
        <v>1</v>
      </c>
      <c r="U3150" t="s">
        <v>6019</v>
      </c>
      <c r="V3150">
        <v>0</v>
      </c>
    </row>
    <row r="3151" spans="1:22" x14ac:dyDescent="0.3">
      <c r="A3151" t="s">
        <v>3166</v>
      </c>
      <c r="B3151" s="2">
        <v>46160.713194444441</v>
      </c>
      <c r="C3151" s="2">
        <v>46161.017361111109</v>
      </c>
      <c r="D3151" t="s">
        <v>6022</v>
      </c>
      <c r="E3151" t="s">
        <v>6030</v>
      </c>
      <c r="F3151" t="s">
        <v>6033</v>
      </c>
      <c r="G3151" t="s">
        <v>6058</v>
      </c>
      <c r="H3151" t="s">
        <v>6098</v>
      </c>
      <c r="I3151">
        <v>72</v>
      </c>
      <c r="J3151">
        <v>7.3</v>
      </c>
      <c r="K3151" t="s">
        <v>6099</v>
      </c>
      <c r="L3151" t="s">
        <v>6100</v>
      </c>
      <c r="M3151" t="s">
        <v>6100</v>
      </c>
      <c r="N3151">
        <v>5</v>
      </c>
      <c r="O3151" t="s">
        <v>6101</v>
      </c>
      <c r="P3151" t="s">
        <v>6111</v>
      </c>
      <c r="Q3151">
        <v>5</v>
      </c>
      <c r="R3151">
        <v>2026</v>
      </c>
      <c r="S3151" t="s">
        <v>6099</v>
      </c>
      <c r="T3151">
        <v>1</v>
      </c>
      <c r="U3151" t="s">
        <v>6019</v>
      </c>
      <c r="V3151">
        <v>1</v>
      </c>
    </row>
    <row r="3152" spans="1:22" x14ac:dyDescent="0.3">
      <c r="A3152" t="s">
        <v>3167</v>
      </c>
      <c r="B3152" s="2">
        <v>46160.714583333334</v>
      </c>
      <c r="C3152" s="2">
        <v>46161.581250000003</v>
      </c>
      <c r="D3152" t="s">
        <v>6024</v>
      </c>
      <c r="E3152" t="s">
        <v>6029</v>
      </c>
      <c r="F3152" t="s">
        <v>6035</v>
      </c>
      <c r="G3152" t="s">
        <v>6067</v>
      </c>
      <c r="H3152" t="s">
        <v>6098</v>
      </c>
      <c r="I3152">
        <v>4</v>
      </c>
      <c r="J3152">
        <v>20.8</v>
      </c>
      <c r="K3152" t="s">
        <v>6100</v>
      </c>
      <c r="L3152" t="s">
        <v>6099</v>
      </c>
      <c r="M3152" t="s">
        <v>6100</v>
      </c>
      <c r="O3152" t="s">
        <v>6101</v>
      </c>
      <c r="P3152" t="s">
        <v>6111</v>
      </c>
      <c r="Q3152">
        <v>5</v>
      </c>
      <c r="R3152">
        <v>2026</v>
      </c>
      <c r="S3152" t="s">
        <v>6100</v>
      </c>
      <c r="T3152">
        <v>0</v>
      </c>
      <c r="U3152" t="s">
        <v>6021</v>
      </c>
      <c r="V3152">
        <v>0</v>
      </c>
    </row>
    <row r="3153" spans="1:22" x14ac:dyDescent="0.3">
      <c r="A3153" t="s">
        <v>3168</v>
      </c>
      <c r="B3153" s="2">
        <v>46160.737500000003</v>
      </c>
      <c r="C3153" s="2">
        <v>46160.98333333333</v>
      </c>
      <c r="D3153" t="s">
        <v>6023</v>
      </c>
      <c r="E3153" t="s">
        <v>6030</v>
      </c>
      <c r="F3153" t="s">
        <v>6033</v>
      </c>
      <c r="G3153" t="s">
        <v>6057</v>
      </c>
      <c r="H3153" t="s">
        <v>6097</v>
      </c>
      <c r="I3153">
        <v>72</v>
      </c>
      <c r="J3153">
        <v>5.9</v>
      </c>
      <c r="K3153" t="s">
        <v>6100</v>
      </c>
      <c r="L3153" t="s">
        <v>6100</v>
      </c>
      <c r="M3153" t="s">
        <v>6100</v>
      </c>
      <c r="O3153" t="s">
        <v>6101</v>
      </c>
      <c r="P3153" t="s">
        <v>6111</v>
      </c>
      <c r="Q3153">
        <v>5</v>
      </c>
      <c r="R3153">
        <v>2026</v>
      </c>
      <c r="S3153" t="s">
        <v>6099</v>
      </c>
      <c r="T3153">
        <v>1</v>
      </c>
      <c r="U3153" t="s">
        <v>6021</v>
      </c>
      <c r="V3153">
        <v>0</v>
      </c>
    </row>
    <row r="3154" spans="1:22" x14ac:dyDescent="0.3">
      <c r="A3154" t="s">
        <v>3169</v>
      </c>
      <c r="B3154" s="2">
        <v>46160.743055555555</v>
      </c>
      <c r="C3154" s="2">
        <v>46160.888888888891</v>
      </c>
      <c r="D3154" t="s">
        <v>6024</v>
      </c>
      <c r="E3154" t="s">
        <v>6030</v>
      </c>
      <c r="F3154" t="s">
        <v>6034</v>
      </c>
      <c r="G3154" t="s">
        <v>6079</v>
      </c>
      <c r="H3154" t="s">
        <v>6097</v>
      </c>
      <c r="I3154">
        <v>24</v>
      </c>
      <c r="J3154">
        <v>3.5</v>
      </c>
      <c r="K3154" t="s">
        <v>6100</v>
      </c>
      <c r="L3154" t="s">
        <v>6099</v>
      </c>
      <c r="M3154" t="s">
        <v>6100</v>
      </c>
      <c r="O3154" t="s">
        <v>6101</v>
      </c>
      <c r="P3154" t="s">
        <v>6111</v>
      </c>
      <c r="Q3154">
        <v>5</v>
      </c>
      <c r="R3154">
        <v>2026</v>
      </c>
      <c r="S3154" t="s">
        <v>6099</v>
      </c>
      <c r="T3154">
        <v>1</v>
      </c>
      <c r="U3154" t="s">
        <v>6017</v>
      </c>
      <c r="V3154">
        <v>0</v>
      </c>
    </row>
    <row r="3155" spans="1:22" x14ac:dyDescent="0.3">
      <c r="A3155" t="s">
        <v>3170</v>
      </c>
      <c r="B3155" s="2">
        <v>46160.763888888891</v>
      </c>
      <c r="C3155" s="2">
        <v>46162.043055555558</v>
      </c>
      <c r="D3155" t="s">
        <v>6022</v>
      </c>
      <c r="E3155" t="s">
        <v>6032</v>
      </c>
      <c r="F3155" t="s">
        <v>6035</v>
      </c>
      <c r="G3155" t="s">
        <v>6056</v>
      </c>
      <c r="H3155" t="s">
        <v>6098</v>
      </c>
      <c r="I3155">
        <v>4</v>
      </c>
      <c r="J3155">
        <v>30.7</v>
      </c>
      <c r="K3155" t="s">
        <v>6099</v>
      </c>
      <c r="L3155" t="s">
        <v>6100</v>
      </c>
      <c r="M3155" t="s">
        <v>6100</v>
      </c>
      <c r="N3155">
        <v>4</v>
      </c>
      <c r="O3155" t="s">
        <v>6101</v>
      </c>
      <c r="P3155" t="s">
        <v>6111</v>
      </c>
      <c r="Q3155">
        <v>5</v>
      </c>
      <c r="R3155">
        <v>2026</v>
      </c>
      <c r="S3155" t="s">
        <v>6100</v>
      </c>
      <c r="T3155">
        <v>0</v>
      </c>
      <c r="U3155" t="s">
        <v>6020</v>
      </c>
      <c r="V3155">
        <v>1</v>
      </c>
    </row>
    <row r="3156" spans="1:22" x14ac:dyDescent="0.3">
      <c r="A3156" t="s">
        <v>3171</v>
      </c>
      <c r="B3156" s="2">
        <v>46160.777777777781</v>
      </c>
      <c r="C3156" s="2">
        <v>46164.069444444445</v>
      </c>
      <c r="D3156" t="s">
        <v>6022</v>
      </c>
      <c r="E3156" t="s">
        <v>6031</v>
      </c>
      <c r="F3156" t="s">
        <v>6034</v>
      </c>
      <c r="G3156" t="s">
        <v>6090</v>
      </c>
      <c r="H3156" t="s">
        <v>6097</v>
      </c>
      <c r="I3156">
        <v>24</v>
      </c>
      <c r="J3156">
        <v>79</v>
      </c>
      <c r="K3156" t="s">
        <v>6099</v>
      </c>
      <c r="L3156" t="s">
        <v>6100</v>
      </c>
      <c r="M3156" t="s">
        <v>6100</v>
      </c>
      <c r="N3156">
        <v>2</v>
      </c>
      <c r="O3156" t="s">
        <v>6101</v>
      </c>
      <c r="P3156" t="s">
        <v>6111</v>
      </c>
      <c r="Q3156">
        <v>5</v>
      </c>
      <c r="R3156">
        <v>2026</v>
      </c>
      <c r="S3156" t="s">
        <v>6100</v>
      </c>
      <c r="T3156">
        <v>0</v>
      </c>
      <c r="U3156" t="s">
        <v>6019</v>
      </c>
      <c r="V3156">
        <v>1</v>
      </c>
    </row>
    <row r="3157" spans="1:22" x14ac:dyDescent="0.3">
      <c r="A3157" t="s">
        <v>3172</v>
      </c>
      <c r="B3157" s="2">
        <v>46161.296527777777</v>
      </c>
      <c r="C3157" s="2">
        <v>46161.900694444441</v>
      </c>
      <c r="D3157" t="s">
        <v>6025</v>
      </c>
      <c r="E3157" t="s">
        <v>6029</v>
      </c>
      <c r="F3157" t="s">
        <v>6034</v>
      </c>
      <c r="G3157" t="s">
        <v>6082</v>
      </c>
      <c r="H3157" t="s">
        <v>6097</v>
      </c>
      <c r="I3157">
        <v>24</v>
      </c>
      <c r="J3157">
        <v>14.5</v>
      </c>
      <c r="K3157" t="s">
        <v>6099</v>
      </c>
      <c r="L3157" t="s">
        <v>6100</v>
      </c>
      <c r="M3157" t="s">
        <v>6100</v>
      </c>
      <c r="N3157">
        <v>5</v>
      </c>
      <c r="O3157" t="s">
        <v>6101</v>
      </c>
      <c r="P3157" t="s">
        <v>6111</v>
      </c>
      <c r="Q3157">
        <v>5</v>
      </c>
      <c r="R3157">
        <v>2026</v>
      </c>
      <c r="S3157" t="s">
        <v>6099</v>
      </c>
      <c r="T3157">
        <v>1</v>
      </c>
      <c r="U3157" t="s">
        <v>6018</v>
      </c>
      <c r="V3157">
        <v>1</v>
      </c>
    </row>
    <row r="3158" spans="1:22" x14ac:dyDescent="0.3">
      <c r="A3158" t="s">
        <v>3173</v>
      </c>
      <c r="B3158" s="2">
        <v>46161.299305555556</v>
      </c>
      <c r="C3158" s="2">
        <v>46162.982638888891</v>
      </c>
      <c r="D3158" t="s">
        <v>6026</v>
      </c>
      <c r="E3158" t="s">
        <v>6030</v>
      </c>
      <c r="F3158" t="s">
        <v>6034</v>
      </c>
      <c r="G3158" t="s">
        <v>6079</v>
      </c>
      <c r="H3158" t="s">
        <v>6097</v>
      </c>
      <c r="I3158">
        <v>24</v>
      </c>
      <c r="J3158">
        <v>40.4</v>
      </c>
      <c r="K3158" t="s">
        <v>6099</v>
      </c>
      <c r="L3158" t="s">
        <v>6100</v>
      </c>
      <c r="M3158" t="s">
        <v>6100</v>
      </c>
      <c r="O3158" t="s">
        <v>6101</v>
      </c>
      <c r="P3158" t="s">
        <v>6111</v>
      </c>
      <c r="Q3158">
        <v>5</v>
      </c>
      <c r="R3158">
        <v>2026</v>
      </c>
      <c r="S3158" t="s">
        <v>6100</v>
      </c>
      <c r="T3158">
        <v>0</v>
      </c>
      <c r="U3158" t="s">
        <v>6018</v>
      </c>
      <c r="V3158">
        <v>1</v>
      </c>
    </row>
    <row r="3159" spans="1:22" x14ac:dyDescent="0.3">
      <c r="A3159" t="s">
        <v>3174</v>
      </c>
      <c r="B3159" s="2">
        <v>46161.32916666667</v>
      </c>
      <c r="C3159" s="2">
        <v>46161.958333333336</v>
      </c>
      <c r="D3159" t="s">
        <v>6024</v>
      </c>
      <c r="E3159" t="s">
        <v>6031</v>
      </c>
      <c r="F3159" t="s">
        <v>6033</v>
      </c>
      <c r="G3159" t="s">
        <v>6086</v>
      </c>
      <c r="H3159" t="s">
        <v>6098</v>
      </c>
      <c r="I3159">
        <v>72</v>
      </c>
      <c r="J3159">
        <v>15.1</v>
      </c>
      <c r="K3159" t="s">
        <v>6100</v>
      </c>
      <c r="L3159" t="s">
        <v>6099</v>
      </c>
      <c r="M3159" t="s">
        <v>6100</v>
      </c>
      <c r="O3159" t="s">
        <v>6101</v>
      </c>
      <c r="P3159" t="s">
        <v>6111</v>
      </c>
      <c r="Q3159">
        <v>5</v>
      </c>
      <c r="R3159">
        <v>2026</v>
      </c>
      <c r="S3159" t="s">
        <v>6099</v>
      </c>
      <c r="T3159">
        <v>1</v>
      </c>
      <c r="U3159" t="s">
        <v>6021</v>
      </c>
      <c r="V3159">
        <v>0</v>
      </c>
    </row>
    <row r="3160" spans="1:22" x14ac:dyDescent="0.3">
      <c r="A3160" t="s">
        <v>3175</v>
      </c>
      <c r="B3160" s="2">
        <v>46161.383333333331</v>
      </c>
      <c r="C3160" s="2">
        <v>46161.716666666667</v>
      </c>
      <c r="D3160" t="s">
        <v>6025</v>
      </c>
      <c r="E3160" t="s">
        <v>6030</v>
      </c>
      <c r="F3160" t="s">
        <v>6034</v>
      </c>
      <c r="G3160" t="s">
        <v>6054</v>
      </c>
      <c r="H3160" t="s">
        <v>6096</v>
      </c>
      <c r="I3160">
        <v>24</v>
      </c>
      <c r="J3160">
        <v>8</v>
      </c>
      <c r="K3160" t="s">
        <v>6099</v>
      </c>
      <c r="L3160" t="s">
        <v>6100</v>
      </c>
      <c r="M3160" t="s">
        <v>6100</v>
      </c>
      <c r="N3160">
        <v>5</v>
      </c>
      <c r="O3160" t="s">
        <v>6101</v>
      </c>
      <c r="P3160" t="s">
        <v>6111</v>
      </c>
      <c r="Q3160">
        <v>5</v>
      </c>
      <c r="R3160">
        <v>2026</v>
      </c>
      <c r="S3160" t="s">
        <v>6099</v>
      </c>
      <c r="T3160">
        <v>1</v>
      </c>
      <c r="U3160" t="s">
        <v>6020</v>
      </c>
      <c r="V3160">
        <v>1</v>
      </c>
    </row>
    <row r="3161" spans="1:22" x14ac:dyDescent="0.3">
      <c r="A3161" t="s">
        <v>3176</v>
      </c>
      <c r="B3161" s="2">
        <v>46161.397916666669</v>
      </c>
      <c r="C3161" s="2">
        <v>46161.756249999999</v>
      </c>
      <c r="D3161" t="s">
        <v>6022</v>
      </c>
      <c r="E3161" t="s">
        <v>6030</v>
      </c>
      <c r="F3161" t="s">
        <v>6034</v>
      </c>
      <c r="G3161" t="s">
        <v>6085</v>
      </c>
      <c r="H3161" t="s">
        <v>6097</v>
      </c>
      <c r="I3161">
        <v>24</v>
      </c>
      <c r="J3161">
        <v>8.6</v>
      </c>
      <c r="K3161" t="s">
        <v>6099</v>
      </c>
      <c r="L3161" t="s">
        <v>6100</v>
      </c>
      <c r="M3161" t="s">
        <v>6100</v>
      </c>
      <c r="O3161" t="s">
        <v>6101</v>
      </c>
      <c r="P3161" t="s">
        <v>6111</v>
      </c>
      <c r="Q3161">
        <v>5</v>
      </c>
      <c r="R3161">
        <v>2026</v>
      </c>
      <c r="S3161" t="s">
        <v>6099</v>
      </c>
      <c r="T3161">
        <v>1</v>
      </c>
      <c r="U3161" t="s">
        <v>6020</v>
      </c>
      <c r="V3161">
        <v>1</v>
      </c>
    </row>
    <row r="3162" spans="1:22" x14ac:dyDescent="0.3">
      <c r="A3162" t="s">
        <v>3177</v>
      </c>
      <c r="B3162" s="2">
        <v>46161.411111111112</v>
      </c>
      <c r="C3162" s="2">
        <v>46163.423611111109</v>
      </c>
      <c r="D3162" t="s">
        <v>6026</v>
      </c>
      <c r="E3162" t="s">
        <v>6032</v>
      </c>
      <c r="F3162" t="s">
        <v>6033</v>
      </c>
      <c r="G3162" t="s">
        <v>6082</v>
      </c>
      <c r="H3162" t="s">
        <v>6097</v>
      </c>
      <c r="I3162">
        <v>72</v>
      </c>
      <c r="J3162">
        <v>48.3</v>
      </c>
      <c r="K3162" t="s">
        <v>6099</v>
      </c>
      <c r="L3162" t="s">
        <v>6100</v>
      </c>
      <c r="M3162" t="s">
        <v>6100</v>
      </c>
      <c r="N3162">
        <v>5</v>
      </c>
      <c r="O3162" t="s">
        <v>6101</v>
      </c>
      <c r="P3162" t="s">
        <v>6111</v>
      </c>
      <c r="Q3162">
        <v>5</v>
      </c>
      <c r="R3162">
        <v>2026</v>
      </c>
      <c r="S3162" t="s">
        <v>6099</v>
      </c>
      <c r="T3162">
        <v>1</v>
      </c>
      <c r="U3162" t="s">
        <v>6018</v>
      </c>
      <c r="V3162">
        <v>1</v>
      </c>
    </row>
    <row r="3163" spans="1:22" x14ac:dyDescent="0.3">
      <c r="A3163" t="s">
        <v>3178</v>
      </c>
      <c r="B3163" s="2">
        <v>46161.414583333331</v>
      </c>
      <c r="C3163" s="2">
        <v>46162.73541666667</v>
      </c>
      <c r="D3163" t="s">
        <v>6022</v>
      </c>
      <c r="E3163" t="s">
        <v>6031</v>
      </c>
      <c r="F3163" t="s">
        <v>6033</v>
      </c>
      <c r="G3163" t="s">
        <v>6081</v>
      </c>
      <c r="H3163" t="s">
        <v>6098</v>
      </c>
      <c r="I3163">
        <v>72</v>
      </c>
      <c r="J3163">
        <v>31.7</v>
      </c>
      <c r="K3163" t="s">
        <v>6099</v>
      </c>
      <c r="L3163" t="s">
        <v>6100</v>
      </c>
      <c r="M3163" t="s">
        <v>6100</v>
      </c>
      <c r="N3163">
        <v>5</v>
      </c>
      <c r="O3163" t="s">
        <v>6101</v>
      </c>
      <c r="P3163" t="s">
        <v>6111</v>
      </c>
      <c r="Q3163">
        <v>5</v>
      </c>
      <c r="R3163">
        <v>2026</v>
      </c>
      <c r="S3163" t="s">
        <v>6099</v>
      </c>
      <c r="T3163">
        <v>1</v>
      </c>
      <c r="U3163" t="s">
        <v>6021</v>
      </c>
      <c r="V3163">
        <v>1</v>
      </c>
    </row>
    <row r="3164" spans="1:22" x14ac:dyDescent="0.3">
      <c r="A3164" t="s">
        <v>3179</v>
      </c>
      <c r="B3164" s="2">
        <v>46161.418055555558</v>
      </c>
      <c r="C3164" s="2">
        <v>46162.143055555556</v>
      </c>
      <c r="D3164" t="s">
        <v>6027</v>
      </c>
      <c r="E3164" t="s">
        <v>6032</v>
      </c>
      <c r="F3164" t="s">
        <v>6033</v>
      </c>
      <c r="G3164" t="s">
        <v>6078</v>
      </c>
      <c r="H3164" t="s">
        <v>6097</v>
      </c>
      <c r="I3164">
        <v>72</v>
      </c>
      <c r="J3164">
        <v>17.399999999999999</v>
      </c>
      <c r="K3164" t="s">
        <v>6100</v>
      </c>
      <c r="L3164" t="s">
        <v>6100</v>
      </c>
      <c r="M3164" t="s">
        <v>6100</v>
      </c>
      <c r="O3164" t="s">
        <v>6101</v>
      </c>
      <c r="P3164" t="s">
        <v>6111</v>
      </c>
      <c r="Q3164">
        <v>5</v>
      </c>
      <c r="R3164">
        <v>2026</v>
      </c>
      <c r="S3164" t="s">
        <v>6099</v>
      </c>
      <c r="T3164">
        <v>1</v>
      </c>
      <c r="U3164" t="s">
        <v>6021</v>
      </c>
      <c r="V3164">
        <v>0</v>
      </c>
    </row>
    <row r="3165" spans="1:22" x14ac:dyDescent="0.3">
      <c r="A3165" t="s">
        <v>3180</v>
      </c>
      <c r="B3165" s="2">
        <v>46161.443055555559</v>
      </c>
      <c r="C3165" s="2">
        <v>46166.37222222222</v>
      </c>
      <c r="D3165" t="s">
        <v>6026</v>
      </c>
      <c r="E3165" t="s">
        <v>6031</v>
      </c>
      <c r="F3165" t="s">
        <v>6034</v>
      </c>
      <c r="G3165" t="s">
        <v>6082</v>
      </c>
      <c r="H3165" t="s">
        <v>6097</v>
      </c>
      <c r="I3165">
        <v>24</v>
      </c>
      <c r="J3165">
        <v>118.3</v>
      </c>
      <c r="K3165" t="s">
        <v>6100</v>
      </c>
      <c r="L3165" t="s">
        <v>6100</v>
      </c>
      <c r="M3165" t="s">
        <v>6100</v>
      </c>
      <c r="N3165">
        <v>4</v>
      </c>
      <c r="O3165" t="s">
        <v>6101</v>
      </c>
      <c r="P3165" t="s">
        <v>6111</v>
      </c>
      <c r="Q3165">
        <v>5</v>
      </c>
      <c r="R3165">
        <v>2026</v>
      </c>
      <c r="S3165" t="s">
        <v>6100</v>
      </c>
      <c r="T3165">
        <v>0</v>
      </c>
      <c r="U3165" t="s">
        <v>6019</v>
      </c>
      <c r="V3165">
        <v>0</v>
      </c>
    </row>
    <row r="3166" spans="1:22" x14ac:dyDescent="0.3">
      <c r="A3166" t="s">
        <v>3181</v>
      </c>
      <c r="B3166" s="2">
        <v>46161.476388888892</v>
      </c>
      <c r="C3166" s="2">
        <v>46163.230555555558</v>
      </c>
      <c r="D3166" t="s">
        <v>6025</v>
      </c>
      <c r="E3166" t="s">
        <v>6031</v>
      </c>
      <c r="F3166" t="s">
        <v>6033</v>
      </c>
      <c r="G3166" t="s">
        <v>6038</v>
      </c>
      <c r="H3166" t="s">
        <v>6096</v>
      </c>
      <c r="I3166">
        <v>72</v>
      </c>
      <c r="J3166">
        <v>42.1</v>
      </c>
      <c r="K3166" t="s">
        <v>6099</v>
      </c>
      <c r="L3166" t="s">
        <v>6100</v>
      </c>
      <c r="M3166" t="s">
        <v>6100</v>
      </c>
      <c r="O3166" t="s">
        <v>6101</v>
      </c>
      <c r="P3166" t="s">
        <v>6111</v>
      </c>
      <c r="Q3166">
        <v>5</v>
      </c>
      <c r="R3166">
        <v>2026</v>
      </c>
      <c r="S3166" t="s">
        <v>6099</v>
      </c>
      <c r="T3166">
        <v>1</v>
      </c>
      <c r="U3166" t="s">
        <v>6018</v>
      </c>
      <c r="V3166">
        <v>1</v>
      </c>
    </row>
    <row r="3167" spans="1:22" x14ac:dyDescent="0.3">
      <c r="A3167" t="s">
        <v>3182</v>
      </c>
      <c r="B3167" s="2">
        <v>46161.484027777777</v>
      </c>
      <c r="C3167" s="2">
        <v>46161.838194444441</v>
      </c>
      <c r="D3167" t="s">
        <v>6023</v>
      </c>
      <c r="E3167" t="s">
        <v>6029</v>
      </c>
      <c r="F3167" t="s">
        <v>6033</v>
      </c>
      <c r="G3167" t="s">
        <v>6052</v>
      </c>
      <c r="H3167" t="s">
        <v>6098</v>
      </c>
      <c r="I3167">
        <v>72</v>
      </c>
      <c r="J3167">
        <v>8.5</v>
      </c>
      <c r="K3167" t="s">
        <v>6099</v>
      </c>
      <c r="L3167" t="s">
        <v>6100</v>
      </c>
      <c r="M3167" t="s">
        <v>6100</v>
      </c>
      <c r="O3167" t="s">
        <v>6101</v>
      </c>
      <c r="P3167" t="s">
        <v>6111</v>
      </c>
      <c r="Q3167">
        <v>5</v>
      </c>
      <c r="R3167">
        <v>2026</v>
      </c>
      <c r="S3167" t="s">
        <v>6099</v>
      </c>
      <c r="T3167">
        <v>1</v>
      </c>
      <c r="U3167" t="s">
        <v>6019</v>
      </c>
      <c r="V3167">
        <v>1</v>
      </c>
    </row>
    <row r="3168" spans="1:22" x14ac:dyDescent="0.3">
      <c r="A3168" t="s">
        <v>3183</v>
      </c>
      <c r="B3168" s="2">
        <v>46161.490972222222</v>
      </c>
      <c r="C3168" s="2">
        <v>46161.736805555556</v>
      </c>
      <c r="D3168" t="s">
        <v>6022</v>
      </c>
      <c r="E3168" t="s">
        <v>6029</v>
      </c>
      <c r="F3168" t="s">
        <v>6033</v>
      </c>
      <c r="G3168" t="s">
        <v>6056</v>
      </c>
      <c r="H3168" t="s">
        <v>6098</v>
      </c>
      <c r="I3168">
        <v>72</v>
      </c>
      <c r="J3168">
        <v>5.9</v>
      </c>
      <c r="K3168" t="s">
        <v>6099</v>
      </c>
      <c r="L3168" t="s">
        <v>6100</v>
      </c>
      <c r="M3168" t="s">
        <v>6100</v>
      </c>
      <c r="O3168" t="s">
        <v>6101</v>
      </c>
      <c r="P3168" t="s">
        <v>6111</v>
      </c>
      <c r="Q3168">
        <v>5</v>
      </c>
      <c r="R3168">
        <v>2026</v>
      </c>
      <c r="S3168" t="s">
        <v>6099</v>
      </c>
      <c r="T3168">
        <v>1</v>
      </c>
      <c r="U3168" t="s">
        <v>6020</v>
      </c>
      <c r="V3168">
        <v>1</v>
      </c>
    </row>
    <row r="3169" spans="1:22" x14ac:dyDescent="0.3">
      <c r="A3169" t="s">
        <v>3184</v>
      </c>
      <c r="B3169" s="2">
        <v>46161.530555555553</v>
      </c>
      <c r="C3169" s="2">
        <v>46162.143055555556</v>
      </c>
      <c r="D3169" t="s">
        <v>6024</v>
      </c>
      <c r="E3169" t="s">
        <v>6029</v>
      </c>
      <c r="F3169" t="s">
        <v>6033</v>
      </c>
      <c r="G3169" t="s">
        <v>6064</v>
      </c>
      <c r="H3169" t="s">
        <v>6096</v>
      </c>
      <c r="I3169">
        <v>72</v>
      </c>
      <c r="J3169">
        <v>14.7</v>
      </c>
      <c r="K3169" t="s">
        <v>6100</v>
      </c>
      <c r="L3169" t="s">
        <v>6100</v>
      </c>
      <c r="M3169" t="s">
        <v>6100</v>
      </c>
      <c r="N3169">
        <v>3</v>
      </c>
      <c r="O3169" t="s">
        <v>6101</v>
      </c>
      <c r="P3169" t="s">
        <v>6111</v>
      </c>
      <c r="Q3169">
        <v>5</v>
      </c>
      <c r="R3169">
        <v>2026</v>
      </c>
      <c r="S3169" t="s">
        <v>6099</v>
      </c>
      <c r="T3169">
        <v>1</v>
      </c>
      <c r="U3169" t="s">
        <v>6019</v>
      </c>
      <c r="V3169">
        <v>0</v>
      </c>
    </row>
    <row r="3170" spans="1:22" x14ac:dyDescent="0.3">
      <c r="A3170" t="s">
        <v>3185</v>
      </c>
      <c r="B3170" s="2">
        <v>46161.542361111111</v>
      </c>
      <c r="C3170" s="2">
        <v>46166.859027777777</v>
      </c>
      <c r="D3170" t="s">
        <v>6026</v>
      </c>
      <c r="E3170" t="s">
        <v>6031</v>
      </c>
      <c r="F3170" t="s">
        <v>6035</v>
      </c>
      <c r="G3170" t="s">
        <v>6048</v>
      </c>
      <c r="H3170" t="s">
        <v>6096</v>
      </c>
      <c r="I3170">
        <v>4</v>
      </c>
      <c r="J3170">
        <v>127.6</v>
      </c>
      <c r="K3170" t="s">
        <v>6099</v>
      </c>
      <c r="L3170" t="s">
        <v>6100</v>
      </c>
      <c r="M3170" t="s">
        <v>6100</v>
      </c>
      <c r="N3170">
        <v>3</v>
      </c>
      <c r="O3170" t="s">
        <v>6101</v>
      </c>
      <c r="P3170" t="s">
        <v>6111</v>
      </c>
      <c r="Q3170">
        <v>5</v>
      </c>
      <c r="R3170">
        <v>2026</v>
      </c>
      <c r="S3170" t="s">
        <v>6100</v>
      </c>
      <c r="T3170">
        <v>0</v>
      </c>
      <c r="U3170" t="s">
        <v>6021</v>
      </c>
      <c r="V3170">
        <v>1</v>
      </c>
    </row>
    <row r="3171" spans="1:22" x14ac:dyDescent="0.3">
      <c r="A3171" t="s">
        <v>3186</v>
      </c>
      <c r="B3171" s="2">
        <v>46161.581944444442</v>
      </c>
      <c r="C3171" s="2">
        <v>46162.206944444442</v>
      </c>
      <c r="D3171" t="s">
        <v>6027</v>
      </c>
      <c r="E3171" t="s">
        <v>6029</v>
      </c>
      <c r="F3171" t="s">
        <v>6034</v>
      </c>
      <c r="G3171" t="s">
        <v>6063</v>
      </c>
      <c r="H3171" t="s">
        <v>6097</v>
      </c>
      <c r="I3171">
        <v>24</v>
      </c>
      <c r="J3171">
        <v>15</v>
      </c>
      <c r="K3171" t="s">
        <v>6099</v>
      </c>
      <c r="L3171" t="s">
        <v>6100</v>
      </c>
      <c r="M3171" t="s">
        <v>6100</v>
      </c>
      <c r="O3171" t="s">
        <v>6101</v>
      </c>
      <c r="P3171" t="s">
        <v>6111</v>
      </c>
      <c r="Q3171">
        <v>5</v>
      </c>
      <c r="R3171">
        <v>2026</v>
      </c>
      <c r="S3171" t="s">
        <v>6099</v>
      </c>
      <c r="T3171">
        <v>1</v>
      </c>
      <c r="U3171" t="s">
        <v>6019</v>
      </c>
      <c r="V3171">
        <v>1</v>
      </c>
    </row>
    <row r="3172" spans="1:22" x14ac:dyDescent="0.3">
      <c r="A3172" t="s">
        <v>3187</v>
      </c>
      <c r="B3172" s="2">
        <v>46161.590277777781</v>
      </c>
      <c r="C3172" s="2">
        <v>46170.281944444447</v>
      </c>
      <c r="D3172" t="s">
        <v>6026</v>
      </c>
      <c r="E3172" t="s">
        <v>6031</v>
      </c>
      <c r="F3172" t="s">
        <v>6034</v>
      </c>
      <c r="G3172" t="s">
        <v>6052</v>
      </c>
      <c r="H3172" t="s">
        <v>6098</v>
      </c>
      <c r="I3172">
        <v>24</v>
      </c>
      <c r="J3172">
        <v>208.6</v>
      </c>
      <c r="K3172" t="s">
        <v>6099</v>
      </c>
      <c r="L3172" t="s">
        <v>6100</v>
      </c>
      <c r="M3172" t="s">
        <v>6100</v>
      </c>
      <c r="N3172">
        <v>4</v>
      </c>
      <c r="O3172" t="s">
        <v>6101</v>
      </c>
      <c r="P3172" t="s">
        <v>6111</v>
      </c>
      <c r="Q3172">
        <v>5</v>
      </c>
      <c r="R3172">
        <v>2026</v>
      </c>
      <c r="S3172" t="s">
        <v>6100</v>
      </c>
      <c r="T3172">
        <v>0</v>
      </c>
      <c r="U3172" t="s">
        <v>6017</v>
      </c>
      <c r="V3172">
        <v>1</v>
      </c>
    </row>
    <row r="3173" spans="1:22" x14ac:dyDescent="0.3">
      <c r="A3173" t="s">
        <v>3188</v>
      </c>
      <c r="B3173" s="2">
        <v>46161.602083333331</v>
      </c>
      <c r="C3173" s="2">
        <v>46161.997916666667</v>
      </c>
      <c r="D3173" t="s">
        <v>6025</v>
      </c>
      <c r="E3173" t="s">
        <v>6029</v>
      </c>
      <c r="F3173" t="s">
        <v>6035</v>
      </c>
      <c r="G3173" t="s">
        <v>6090</v>
      </c>
      <c r="H3173" t="s">
        <v>6097</v>
      </c>
      <c r="I3173">
        <v>4</v>
      </c>
      <c r="J3173">
        <v>9.5</v>
      </c>
      <c r="K3173" t="s">
        <v>6100</v>
      </c>
      <c r="L3173" t="s">
        <v>6099</v>
      </c>
      <c r="M3173" t="s">
        <v>6100</v>
      </c>
      <c r="N3173">
        <v>4</v>
      </c>
      <c r="O3173" t="s">
        <v>6101</v>
      </c>
      <c r="P3173" t="s">
        <v>6111</v>
      </c>
      <c r="Q3173">
        <v>5</v>
      </c>
      <c r="R3173">
        <v>2026</v>
      </c>
      <c r="S3173" t="s">
        <v>6100</v>
      </c>
      <c r="T3173">
        <v>0</v>
      </c>
      <c r="U3173" t="s">
        <v>6018</v>
      </c>
      <c r="V3173">
        <v>0</v>
      </c>
    </row>
    <row r="3174" spans="1:22" x14ac:dyDescent="0.3">
      <c r="A3174" t="s">
        <v>3189</v>
      </c>
      <c r="B3174" s="2">
        <v>46161.636111111111</v>
      </c>
      <c r="C3174" s="2">
        <v>46162.277777777781</v>
      </c>
      <c r="D3174" t="s">
        <v>6028</v>
      </c>
      <c r="E3174" t="s">
        <v>6029</v>
      </c>
      <c r="F3174" t="s">
        <v>6035</v>
      </c>
      <c r="G3174" t="s">
        <v>6073</v>
      </c>
      <c r="H3174" t="s">
        <v>6096</v>
      </c>
      <c r="I3174">
        <v>4</v>
      </c>
      <c r="J3174">
        <v>15.4</v>
      </c>
      <c r="K3174" t="s">
        <v>6100</v>
      </c>
      <c r="L3174" t="s">
        <v>6100</v>
      </c>
      <c r="M3174" t="s">
        <v>6100</v>
      </c>
      <c r="N3174">
        <v>3</v>
      </c>
      <c r="O3174" t="s">
        <v>6101</v>
      </c>
      <c r="P3174" t="s">
        <v>6111</v>
      </c>
      <c r="Q3174">
        <v>5</v>
      </c>
      <c r="R3174">
        <v>2026</v>
      </c>
      <c r="S3174" t="s">
        <v>6100</v>
      </c>
      <c r="T3174">
        <v>0</v>
      </c>
      <c r="U3174" t="s">
        <v>6019</v>
      </c>
      <c r="V3174">
        <v>0</v>
      </c>
    </row>
    <row r="3175" spans="1:22" x14ac:dyDescent="0.3">
      <c r="A3175" t="s">
        <v>3190</v>
      </c>
      <c r="B3175" s="2">
        <v>46161.638194444444</v>
      </c>
      <c r="C3175" s="2">
        <v>46161.829861111109</v>
      </c>
      <c r="D3175" t="s">
        <v>6022</v>
      </c>
      <c r="E3175" t="s">
        <v>6030</v>
      </c>
      <c r="F3175" t="s">
        <v>6033</v>
      </c>
      <c r="G3175" t="s">
        <v>6092</v>
      </c>
      <c r="H3175" t="s">
        <v>6097</v>
      </c>
      <c r="I3175">
        <v>72</v>
      </c>
      <c r="J3175">
        <v>4.5999999999999996</v>
      </c>
      <c r="K3175" t="s">
        <v>6099</v>
      </c>
      <c r="L3175" t="s">
        <v>6100</v>
      </c>
      <c r="M3175" t="s">
        <v>6100</v>
      </c>
      <c r="N3175">
        <v>4</v>
      </c>
      <c r="O3175" t="s">
        <v>6101</v>
      </c>
      <c r="P3175" t="s">
        <v>6111</v>
      </c>
      <c r="Q3175">
        <v>5</v>
      </c>
      <c r="R3175">
        <v>2026</v>
      </c>
      <c r="S3175" t="s">
        <v>6099</v>
      </c>
      <c r="T3175">
        <v>1</v>
      </c>
      <c r="U3175" t="s">
        <v>6021</v>
      </c>
      <c r="V3175">
        <v>1</v>
      </c>
    </row>
    <row r="3176" spans="1:22" x14ac:dyDescent="0.3">
      <c r="A3176" t="s">
        <v>3191</v>
      </c>
      <c r="B3176" s="2">
        <v>46161.720833333333</v>
      </c>
      <c r="C3176" s="2">
        <v>46162.683333333334</v>
      </c>
      <c r="D3176" t="s">
        <v>6025</v>
      </c>
      <c r="E3176" t="s">
        <v>6030</v>
      </c>
      <c r="F3176" t="s">
        <v>6034</v>
      </c>
      <c r="G3176" t="s">
        <v>6044</v>
      </c>
      <c r="H3176" t="s">
        <v>6097</v>
      </c>
      <c r="I3176">
        <v>24</v>
      </c>
      <c r="J3176">
        <v>23.1</v>
      </c>
      <c r="K3176" t="s">
        <v>6099</v>
      </c>
      <c r="L3176" t="s">
        <v>6100</v>
      </c>
      <c r="M3176" t="s">
        <v>6099</v>
      </c>
      <c r="N3176">
        <v>5</v>
      </c>
      <c r="O3176" t="s">
        <v>6101</v>
      </c>
      <c r="P3176" t="s">
        <v>6111</v>
      </c>
      <c r="Q3176">
        <v>5</v>
      </c>
      <c r="R3176">
        <v>2026</v>
      </c>
      <c r="S3176" t="s">
        <v>6099</v>
      </c>
      <c r="T3176">
        <v>1</v>
      </c>
      <c r="U3176" t="s">
        <v>6019</v>
      </c>
      <c r="V3176">
        <v>1</v>
      </c>
    </row>
    <row r="3177" spans="1:22" x14ac:dyDescent="0.3">
      <c r="A3177" t="s">
        <v>3192</v>
      </c>
      <c r="B3177" s="2">
        <v>46161.727777777778</v>
      </c>
      <c r="C3177" s="2">
        <v>46162.215277777781</v>
      </c>
      <c r="D3177" t="s">
        <v>6028</v>
      </c>
      <c r="E3177" t="s">
        <v>6029</v>
      </c>
      <c r="F3177" t="s">
        <v>6035</v>
      </c>
      <c r="G3177" t="s">
        <v>6073</v>
      </c>
      <c r="H3177" t="s">
        <v>6096</v>
      </c>
      <c r="I3177">
        <v>4</v>
      </c>
      <c r="J3177">
        <v>11.7</v>
      </c>
      <c r="K3177" t="s">
        <v>6099</v>
      </c>
      <c r="L3177" t="s">
        <v>6100</v>
      </c>
      <c r="M3177" t="s">
        <v>6100</v>
      </c>
      <c r="N3177">
        <v>3</v>
      </c>
      <c r="O3177" t="s">
        <v>6101</v>
      </c>
      <c r="P3177" t="s">
        <v>6111</v>
      </c>
      <c r="Q3177">
        <v>5</v>
      </c>
      <c r="R3177">
        <v>2026</v>
      </c>
      <c r="S3177" t="s">
        <v>6100</v>
      </c>
      <c r="T3177">
        <v>0</v>
      </c>
      <c r="U3177" t="s">
        <v>6017</v>
      </c>
      <c r="V3177">
        <v>1</v>
      </c>
    </row>
    <row r="3178" spans="1:22" x14ac:dyDescent="0.3">
      <c r="A3178" t="s">
        <v>3193</v>
      </c>
      <c r="B3178" s="2">
        <v>46161.739583333336</v>
      </c>
      <c r="C3178" s="2">
        <v>46162.127083333333</v>
      </c>
      <c r="D3178" t="s">
        <v>6025</v>
      </c>
      <c r="E3178" t="s">
        <v>6029</v>
      </c>
      <c r="F3178" t="s">
        <v>6033</v>
      </c>
      <c r="G3178" t="s">
        <v>6069</v>
      </c>
      <c r="H3178" t="s">
        <v>6098</v>
      </c>
      <c r="I3178">
        <v>72</v>
      </c>
      <c r="J3178">
        <v>9.3000000000000007</v>
      </c>
      <c r="K3178" t="s">
        <v>6100</v>
      </c>
      <c r="L3178" t="s">
        <v>6099</v>
      </c>
      <c r="M3178" t="s">
        <v>6100</v>
      </c>
      <c r="O3178" t="s">
        <v>6101</v>
      </c>
      <c r="P3178" t="s">
        <v>6111</v>
      </c>
      <c r="Q3178">
        <v>5</v>
      </c>
      <c r="R3178">
        <v>2026</v>
      </c>
      <c r="S3178" t="s">
        <v>6099</v>
      </c>
      <c r="T3178">
        <v>1</v>
      </c>
      <c r="U3178" t="s">
        <v>6021</v>
      </c>
      <c r="V3178">
        <v>0</v>
      </c>
    </row>
    <row r="3179" spans="1:22" x14ac:dyDescent="0.3">
      <c r="A3179" t="s">
        <v>3194</v>
      </c>
      <c r="B3179" s="2">
        <v>46161.790277777778</v>
      </c>
      <c r="C3179" s="2">
        <v>46162.415277777778</v>
      </c>
      <c r="D3179" t="s">
        <v>6028</v>
      </c>
      <c r="E3179" t="s">
        <v>6029</v>
      </c>
      <c r="F3179" t="s">
        <v>6033</v>
      </c>
      <c r="G3179" t="s">
        <v>6036</v>
      </c>
      <c r="H3179" t="s">
        <v>6096</v>
      </c>
      <c r="I3179">
        <v>72</v>
      </c>
      <c r="J3179">
        <v>15</v>
      </c>
      <c r="K3179" t="s">
        <v>6100</v>
      </c>
      <c r="L3179" t="s">
        <v>6099</v>
      </c>
      <c r="M3179" t="s">
        <v>6100</v>
      </c>
      <c r="N3179">
        <v>5</v>
      </c>
      <c r="O3179" t="s">
        <v>6101</v>
      </c>
      <c r="P3179" t="s">
        <v>6111</v>
      </c>
      <c r="Q3179">
        <v>5</v>
      </c>
      <c r="R3179">
        <v>2026</v>
      </c>
      <c r="S3179" t="s">
        <v>6099</v>
      </c>
      <c r="T3179">
        <v>1</v>
      </c>
      <c r="U3179" t="s">
        <v>6017</v>
      </c>
      <c r="V3179">
        <v>0</v>
      </c>
    </row>
    <row r="3180" spans="1:22" x14ac:dyDescent="0.3">
      <c r="A3180" t="s">
        <v>3195</v>
      </c>
      <c r="B3180" s="2">
        <v>46161.854166666664</v>
      </c>
      <c r="C3180" s="2">
        <v>46162.95416666667</v>
      </c>
      <c r="D3180" t="s">
        <v>6025</v>
      </c>
      <c r="E3180" t="s">
        <v>6030</v>
      </c>
      <c r="F3180" t="s">
        <v>6034</v>
      </c>
      <c r="G3180" t="s">
        <v>6067</v>
      </c>
      <c r="H3180" t="s">
        <v>6098</v>
      </c>
      <c r="I3180">
        <v>24</v>
      </c>
      <c r="J3180">
        <v>26.4</v>
      </c>
      <c r="K3180" t="s">
        <v>6100</v>
      </c>
      <c r="L3180" t="s">
        <v>6099</v>
      </c>
      <c r="M3180" t="s">
        <v>6100</v>
      </c>
      <c r="O3180" t="s">
        <v>6101</v>
      </c>
      <c r="P3180" t="s">
        <v>6111</v>
      </c>
      <c r="Q3180">
        <v>5</v>
      </c>
      <c r="R3180">
        <v>2026</v>
      </c>
      <c r="S3180" t="s">
        <v>6100</v>
      </c>
      <c r="T3180">
        <v>0</v>
      </c>
      <c r="U3180" t="s">
        <v>6018</v>
      </c>
      <c r="V3180">
        <v>0</v>
      </c>
    </row>
    <row r="3181" spans="1:22" x14ac:dyDescent="0.3">
      <c r="A3181" t="s">
        <v>3196</v>
      </c>
      <c r="B3181" s="2">
        <v>46161.911111111112</v>
      </c>
      <c r="C3181" s="2">
        <v>46162.248611111114</v>
      </c>
      <c r="D3181" t="s">
        <v>6028</v>
      </c>
      <c r="E3181" t="s">
        <v>6030</v>
      </c>
      <c r="F3181" t="s">
        <v>6035</v>
      </c>
      <c r="G3181" t="s">
        <v>6054</v>
      </c>
      <c r="H3181" t="s">
        <v>6096</v>
      </c>
      <c r="I3181">
        <v>4</v>
      </c>
      <c r="J3181">
        <v>8.1</v>
      </c>
      <c r="K3181" t="s">
        <v>6099</v>
      </c>
      <c r="L3181" t="s">
        <v>6100</v>
      </c>
      <c r="M3181" t="s">
        <v>6100</v>
      </c>
      <c r="N3181">
        <v>3</v>
      </c>
      <c r="O3181" t="s">
        <v>6101</v>
      </c>
      <c r="P3181" t="s">
        <v>6111</v>
      </c>
      <c r="Q3181">
        <v>5</v>
      </c>
      <c r="R3181">
        <v>2026</v>
      </c>
      <c r="S3181" t="s">
        <v>6100</v>
      </c>
      <c r="T3181">
        <v>0</v>
      </c>
      <c r="U3181" t="s">
        <v>6020</v>
      </c>
      <c r="V3181">
        <v>1</v>
      </c>
    </row>
    <row r="3182" spans="1:22" x14ac:dyDescent="0.3">
      <c r="A3182" t="s">
        <v>3197</v>
      </c>
      <c r="B3182" s="2">
        <v>46162.294444444444</v>
      </c>
      <c r="C3182" s="2">
        <v>46163.373611111114</v>
      </c>
      <c r="D3182" t="s">
        <v>6027</v>
      </c>
      <c r="E3182" t="s">
        <v>6031</v>
      </c>
      <c r="F3182" t="s">
        <v>6034</v>
      </c>
      <c r="G3182" t="s">
        <v>6039</v>
      </c>
      <c r="H3182" t="s">
        <v>6097</v>
      </c>
      <c r="I3182">
        <v>24</v>
      </c>
      <c r="J3182">
        <v>25.9</v>
      </c>
      <c r="K3182" t="s">
        <v>6099</v>
      </c>
      <c r="L3182" t="s">
        <v>6100</v>
      </c>
      <c r="M3182" t="s">
        <v>6100</v>
      </c>
      <c r="N3182">
        <v>4</v>
      </c>
      <c r="O3182" t="s">
        <v>6101</v>
      </c>
      <c r="P3182" t="s">
        <v>6111</v>
      </c>
      <c r="Q3182">
        <v>5</v>
      </c>
      <c r="R3182">
        <v>2026</v>
      </c>
      <c r="S3182" t="s">
        <v>6100</v>
      </c>
      <c r="T3182">
        <v>0</v>
      </c>
      <c r="U3182" t="s">
        <v>6019</v>
      </c>
      <c r="V3182">
        <v>1</v>
      </c>
    </row>
    <row r="3183" spans="1:22" x14ac:dyDescent="0.3">
      <c r="A3183" t="s">
        <v>3198</v>
      </c>
      <c r="B3183" s="2">
        <v>46162.324305555558</v>
      </c>
      <c r="C3183" s="2">
        <v>46162.515972222223</v>
      </c>
      <c r="D3183" t="s">
        <v>6024</v>
      </c>
      <c r="E3183" t="s">
        <v>6029</v>
      </c>
      <c r="F3183" t="s">
        <v>6033</v>
      </c>
      <c r="G3183" t="s">
        <v>6064</v>
      </c>
      <c r="H3183" t="s">
        <v>6096</v>
      </c>
      <c r="I3183">
        <v>72</v>
      </c>
      <c r="J3183">
        <v>4.5999999999999996</v>
      </c>
      <c r="K3183" t="s">
        <v>6099</v>
      </c>
      <c r="L3183" t="s">
        <v>6100</v>
      </c>
      <c r="M3183" t="s">
        <v>6100</v>
      </c>
      <c r="O3183" t="s">
        <v>6101</v>
      </c>
      <c r="P3183" t="s">
        <v>6111</v>
      </c>
      <c r="Q3183">
        <v>5</v>
      </c>
      <c r="R3183">
        <v>2026</v>
      </c>
      <c r="S3183" t="s">
        <v>6099</v>
      </c>
      <c r="T3183">
        <v>1</v>
      </c>
      <c r="U3183" t="s">
        <v>6018</v>
      </c>
      <c r="V3183">
        <v>1</v>
      </c>
    </row>
    <row r="3184" spans="1:22" x14ac:dyDescent="0.3">
      <c r="A3184" t="s">
        <v>3199</v>
      </c>
      <c r="B3184" s="2">
        <v>46162.331944444442</v>
      </c>
      <c r="C3184" s="2">
        <v>46162.461111111108</v>
      </c>
      <c r="D3184" t="s">
        <v>6028</v>
      </c>
      <c r="E3184" t="s">
        <v>6029</v>
      </c>
      <c r="F3184" t="s">
        <v>6035</v>
      </c>
      <c r="G3184" t="s">
        <v>6076</v>
      </c>
      <c r="H3184" t="s">
        <v>6097</v>
      </c>
      <c r="I3184">
        <v>4</v>
      </c>
      <c r="J3184">
        <v>3.1</v>
      </c>
      <c r="K3184" t="s">
        <v>6099</v>
      </c>
      <c r="L3184" t="s">
        <v>6100</v>
      </c>
      <c r="M3184" t="s">
        <v>6099</v>
      </c>
      <c r="N3184">
        <v>5</v>
      </c>
      <c r="O3184" t="s">
        <v>6101</v>
      </c>
      <c r="P3184" t="s">
        <v>6111</v>
      </c>
      <c r="Q3184">
        <v>5</v>
      </c>
      <c r="R3184">
        <v>2026</v>
      </c>
      <c r="S3184" t="s">
        <v>6099</v>
      </c>
      <c r="T3184">
        <v>1</v>
      </c>
      <c r="U3184" t="s">
        <v>6019</v>
      </c>
      <c r="V3184">
        <v>1</v>
      </c>
    </row>
    <row r="3185" spans="1:22" x14ac:dyDescent="0.3">
      <c r="A3185" t="s">
        <v>3200</v>
      </c>
      <c r="B3185" s="2">
        <v>46162.397916666669</v>
      </c>
      <c r="C3185" s="2">
        <v>46162.614583333336</v>
      </c>
      <c r="D3185" t="s">
        <v>6027</v>
      </c>
      <c r="E3185" t="s">
        <v>6029</v>
      </c>
      <c r="F3185" t="s">
        <v>6034</v>
      </c>
      <c r="G3185" t="s">
        <v>6068</v>
      </c>
      <c r="H3185" t="s">
        <v>6098</v>
      </c>
      <c r="I3185">
        <v>24</v>
      </c>
      <c r="J3185">
        <v>5.2</v>
      </c>
      <c r="K3185" t="s">
        <v>6099</v>
      </c>
      <c r="L3185" t="s">
        <v>6100</v>
      </c>
      <c r="M3185" t="s">
        <v>6100</v>
      </c>
      <c r="O3185" t="s">
        <v>6101</v>
      </c>
      <c r="P3185" t="s">
        <v>6111</v>
      </c>
      <c r="Q3185">
        <v>5</v>
      </c>
      <c r="R3185">
        <v>2026</v>
      </c>
      <c r="S3185" t="s">
        <v>6099</v>
      </c>
      <c r="T3185">
        <v>1</v>
      </c>
      <c r="U3185" t="s">
        <v>6019</v>
      </c>
      <c r="V3185">
        <v>1</v>
      </c>
    </row>
    <row r="3186" spans="1:22" x14ac:dyDescent="0.3">
      <c r="A3186" t="s">
        <v>3201</v>
      </c>
      <c r="B3186" s="2">
        <v>46162.451388888891</v>
      </c>
      <c r="C3186" s="2">
        <v>46162.634722222225</v>
      </c>
      <c r="D3186" t="s">
        <v>6028</v>
      </c>
      <c r="E3186" t="s">
        <v>6029</v>
      </c>
      <c r="F3186" t="s">
        <v>6034</v>
      </c>
      <c r="G3186" t="s">
        <v>6053</v>
      </c>
      <c r="H3186" t="s">
        <v>6097</v>
      </c>
      <c r="I3186">
        <v>24</v>
      </c>
      <c r="J3186">
        <v>4.4000000000000004</v>
      </c>
      <c r="K3186" t="s">
        <v>6099</v>
      </c>
      <c r="L3186" t="s">
        <v>6100</v>
      </c>
      <c r="M3186" t="s">
        <v>6100</v>
      </c>
      <c r="N3186">
        <v>4</v>
      </c>
      <c r="O3186" t="s">
        <v>6101</v>
      </c>
      <c r="P3186" t="s">
        <v>6111</v>
      </c>
      <c r="Q3186">
        <v>5</v>
      </c>
      <c r="R3186">
        <v>2026</v>
      </c>
      <c r="S3186" t="s">
        <v>6099</v>
      </c>
      <c r="T3186">
        <v>1</v>
      </c>
      <c r="U3186" t="s">
        <v>6019</v>
      </c>
      <c r="V3186">
        <v>1</v>
      </c>
    </row>
    <row r="3187" spans="1:22" x14ac:dyDescent="0.3">
      <c r="A3187" t="s">
        <v>3202</v>
      </c>
      <c r="B3187" s="2">
        <v>46162.476388888892</v>
      </c>
      <c r="C3187" s="2">
        <v>46162.576388888891</v>
      </c>
      <c r="D3187" t="s">
        <v>6028</v>
      </c>
      <c r="E3187" t="s">
        <v>6030</v>
      </c>
      <c r="F3187" t="s">
        <v>6034</v>
      </c>
      <c r="G3187" t="s">
        <v>6082</v>
      </c>
      <c r="H3187" t="s">
        <v>6097</v>
      </c>
      <c r="I3187">
        <v>24</v>
      </c>
      <c r="J3187">
        <v>2.4</v>
      </c>
      <c r="K3187" t="s">
        <v>6099</v>
      </c>
      <c r="L3187" t="s">
        <v>6100</v>
      </c>
      <c r="M3187" t="s">
        <v>6100</v>
      </c>
      <c r="N3187">
        <v>5</v>
      </c>
      <c r="O3187" t="s">
        <v>6101</v>
      </c>
      <c r="P3187" t="s">
        <v>6111</v>
      </c>
      <c r="Q3187">
        <v>5</v>
      </c>
      <c r="R3187">
        <v>2026</v>
      </c>
      <c r="S3187" t="s">
        <v>6099</v>
      </c>
      <c r="T3187">
        <v>1</v>
      </c>
      <c r="U3187" t="s">
        <v>6021</v>
      </c>
      <c r="V3187">
        <v>1</v>
      </c>
    </row>
    <row r="3188" spans="1:22" x14ac:dyDescent="0.3">
      <c r="A3188" t="s">
        <v>3203</v>
      </c>
      <c r="B3188" s="2">
        <v>46162.546527777777</v>
      </c>
      <c r="C3188" s="2">
        <v>46163.588194444441</v>
      </c>
      <c r="D3188" t="s">
        <v>6025</v>
      </c>
      <c r="E3188" t="s">
        <v>6031</v>
      </c>
      <c r="F3188" t="s">
        <v>6034</v>
      </c>
      <c r="G3188" t="s">
        <v>6078</v>
      </c>
      <c r="H3188" t="s">
        <v>6097</v>
      </c>
      <c r="I3188">
        <v>24</v>
      </c>
      <c r="J3188">
        <v>25</v>
      </c>
      <c r="K3188" t="s">
        <v>6100</v>
      </c>
      <c r="L3188" t="s">
        <v>6099</v>
      </c>
      <c r="M3188" t="s">
        <v>6100</v>
      </c>
      <c r="O3188" t="s">
        <v>6101</v>
      </c>
      <c r="P3188" t="s">
        <v>6111</v>
      </c>
      <c r="Q3188">
        <v>5</v>
      </c>
      <c r="R3188">
        <v>2026</v>
      </c>
      <c r="S3188" t="s">
        <v>6100</v>
      </c>
      <c r="T3188">
        <v>0</v>
      </c>
      <c r="U3188" t="s">
        <v>6018</v>
      </c>
      <c r="V3188">
        <v>0</v>
      </c>
    </row>
    <row r="3189" spans="1:22" x14ac:dyDescent="0.3">
      <c r="A3189" t="s">
        <v>3204</v>
      </c>
      <c r="B3189" s="2">
        <v>46162.576388888891</v>
      </c>
      <c r="C3189" s="2">
        <v>46165.543055555558</v>
      </c>
      <c r="D3189" t="s">
        <v>6024</v>
      </c>
      <c r="E3189" t="s">
        <v>6031</v>
      </c>
      <c r="F3189" t="s">
        <v>6034</v>
      </c>
      <c r="G3189" t="s">
        <v>6047</v>
      </c>
      <c r="H3189" t="s">
        <v>6098</v>
      </c>
      <c r="I3189">
        <v>24</v>
      </c>
      <c r="J3189">
        <v>71.2</v>
      </c>
      <c r="K3189" t="s">
        <v>6100</v>
      </c>
      <c r="L3189" t="s">
        <v>6099</v>
      </c>
      <c r="M3189" t="s">
        <v>6100</v>
      </c>
      <c r="O3189" t="s">
        <v>6101</v>
      </c>
      <c r="P3189" t="s">
        <v>6111</v>
      </c>
      <c r="Q3189">
        <v>5</v>
      </c>
      <c r="R3189">
        <v>2026</v>
      </c>
      <c r="S3189" t="s">
        <v>6100</v>
      </c>
      <c r="T3189">
        <v>0</v>
      </c>
      <c r="U3189" t="s">
        <v>6018</v>
      </c>
      <c r="V3189">
        <v>0</v>
      </c>
    </row>
    <row r="3190" spans="1:22" x14ac:dyDescent="0.3">
      <c r="A3190" t="s">
        <v>3205</v>
      </c>
      <c r="B3190" s="2">
        <v>46162.6</v>
      </c>
      <c r="C3190" s="2">
        <v>46162.925000000003</v>
      </c>
      <c r="D3190" t="s">
        <v>6028</v>
      </c>
      <c r="E3190" t="s">
        <v>6029</v>
      </c>
      <c r="F3190" t="s">
        <v>6035</v>
      </c>
      <c r="G3190" t="s">
        <v>6087</v>
      </c>
      <c r="H3190" t="s">
        <v>6098</v>
      </c>
      <c r="I3190">
        <v>4</v>
      </c>
      <c r="J3190">
        <v>7.8</v>
      </c>
      <c r="K3190" t="s">
        <v>6099</v>
      </c>
      <c r="L3190" t="s">
        <v>6100</v>
      </c>
      <c r="M3190" t="s">
        <v>6099</v>
      </c>
      <c r="N3190">
        <v>4</v>
      </c>
      <c r="O3190" t="s">
        <v>6101</v>
      </c>
      <c r="P3190" t="s">
        <v>6111</v>
      </c>
      <c r="Q3190">
        <v>5</v>
      </c>
      <c r="R3190">
        <v>2026</v>
      </c>
      <c r="S3190" t="s">
        <v>6100</v>
      </c>
      <c r="T3190">
        <v>0</v>
      </c>
      <c r="U3190" t="s">
        <v>6021</v>
      </c>
      <c r="V3190">
        <v>1</v>
      </c>
    </row>
    <row r="3191" spans="1:22" x14ac:dyDescent="0.3">
      <c r="A3191" t="s">
        <v>3206</v>
      </c>
      <c r="B3191" s="2">
        <v>46162.630555555559</v>
      </c>
      <c r="C3191" s="2">
        <v>46162.972222222219</v>
      </c>
      <c r="D3191" t="s">
        <v>6028</v>
      </c>
      <c r="E3191" t="s">
        <v>6032</v>
      </c>
      <c r="F3191" t="s">
        <v>6035</v>
      </c>
      <c r="G3191" t="s">
        <v>6074</v>
      </c>
      <c r="H3191" t="s">
        <v>6098</v>
      </c>
      <c r="I3191">
        <v>4</v>
      </c>
      <c r="K3191" t="s">
        <v>6099</v>
      </c>
      <c r="L3191" t="s">
        <v>6100</v>
      </c>
      <c r="M3191" t="s">
        <v>6100</v>
      </c>
      <c r="O3191" t="s">
        <v>6101</v>
      </c>
      <c r="P3191" t="s">
        <v>6111</v>
      </c>
      <c r="Q3191">
        <v>5</v>
      </c>
      <c r="R3191">
        <v>2026</v>
      </c>
      <c r="U3191" t="s">
        <v>6020</v>
      </c>
      <c r="V3191">
        <v>1</v>
      </c>
    </row>
    <row r="3192" spans="1:22" x14ac:dyDescent="0.3">
      <c r="A3192" t="s">
        <v>3207</v>
      </c>
      <c r="B3192" s="2">
        <v>46162.637499999997</v>
      </c>
      <c r="C3192" s="2">
        <v>46163.104166666664</v>
      </c>
      <c r="D3192" t="s">
        <v>6023</v>
      </c>
      <c r="E3192" t="s">
        <v>6032</v>
      </c>
      <c r="F3192" t="s">
        <v>6034</v>
      </c>
      <c r="G3192" t="s">
        <v>6070</v>
      </c>
      <c r="H3192" t="s">
        <v>6097</v>
      </c>
      <c r="I3192">
        <v>24</v>
      </c>
      <c r="J3192">
        <v>11.2</v>
      </c>
      <c r="K3192" t="s">
        <v>6099</v>
      </c>
      <c r="L3192" t="s">
        <v>6100</v>
      </c>
      <c r="M3192" t="s">
        <v>6100</v>
      </c>
      <c r="N3192">
        <v>4</v>
      </c>
      <c r="O3192" t="s">
        <v>6101</v>
      </c>
      <c r="P3192" t="s">
        <v>6111</v>
      </c>
      <c r="Q3192">
        <v>5</v>
      </c>
      <c r="R3192">
        <v>2026</v>
      </c>
      <c r="S3192" t="s">
        <v>6099</v>
      </c>
      <c r="T3192">
        <v>1</v>
      </c>
      <c r="U3192" t="s">
        <v>6018</v>
      </c>
      <c r="V3192">
        <v>1</v>
      </c>
    </row>
    <row r="3193" spans="1:22" x14ac:dyDescent="0.3">
      <c r="A3193" t="s">
        <v>3208</v>
      </c>
      <c r="B3193" s="2">
        <v>46162.648611111108</v>
      </c>
      <c r="C3193" s="2">
        <v>46162.844444444447</v>
      </c>
      <c r="D3193" t="s">
        <v>6027</v>
      </c>
      <c r="E3193" t="s">
        <v>6030</v>
      </c>
      <c r="F3193" t="s">
        <v>6033</v>
      </c>
      <c r="G3193" t="s">
        <v>6085</v>
      </c>
      <c r="H3193" t="s">
        <v>6097</v>
      </c>
      <c r="I3193">
        <v>72</v>
      </c>
      <c r="J3193">
        <v>4.7</v>
      </c>
      <c r="K3193" t="s">
        <v>6099</v>
      </c>
      <c r="L3193" t="s">
        <v>6100</v>
      </c>
      <c r="M3193" t="s">
        <v>6100</v>
      </c>
      <c r="N3193">
        <v>5</v>
      </c>
      <c r="O3193" t="s">
        <v>6101</v>
      </c>
      <c r="P3193" t="s">
        <v>6111</v>
      </c>
      <c r="Q3193">
        <v>5</v>
      </c>
      <c r="R3193">
        <v>2026</v>
      </c>
      <c r="S3193" t="s">
        <v>6099</v>
      </c>
      <c r="T3193">
        <v>1</v>
      </c>
      <c r="U3193" t="s">
        <v>6018</v>
      </c>
      <c r="V3193">
        <v>1</v>
      </c>
    </row>
    <row r="3194" spans="1:22" x14ac:dyDescent="0.3">
      <c r="A3194" t="s">
        <v>3209</v>
      </c>
      <c r="B3194" s="2">
        <v>46162.665277777778</v>
      </c>
      <c r="C3194" s="2">
        <v>46163.215277777781</v>
      </c>
      <c r="D3194" t="s">
        <v>6022</v>
      </c>
      <c r="E3194" t="s">
        <v>6030</v>
      </c>
      <c r="F3194" t="s">
        <v>6035</v>
      </c>
      <c r="G3194" t="s">
        <v>6093</v>
      </c>
      <c r="H3194" t="s">
        <v>6097</v>
      </c>
      <c r="I3194">
        <v>4</v>
      </c>
      <c r="J3194">
        <v>13.2</v>
      </c>
      <c r="K3194" t="s">
        <v>6099</v>
      </c>
      <c r="L3194" t="s">
        <v>6100</v>
      </c>
      <c r="M3194" t="s">
        <v>6100</v>
      </c>
      <c r="O3194" t="s">
        <v>6101</v>
      </c>
      <c r="P3194" t="s">
        <v>6111</v>
      </c>
      <c r="Q3194">
        <v>5</v>
      </c>
      <c r="R3194">
        <v>2026</v>
      </c>
      <c r="S3194" t="s">
        <v>6100</v>
      </c>
      <c r="T3194">
        <v>0</v>
      </c>
      <c r="U3194" t="s">
        <v>6021</v>
      </c>
      <c r="V3194">
        <v>1</v>
      </c>
    </row>
    <row r="3195" spans="1:22" x14ac:dyDescent="0.3">
      <c r="A3195" t="s">
        <v>3210</v>
      </c>
      <c r="B3195" s="2">
        <v>46162.727777777778</v>
      </c>
      <c r="C3195" s="2">
        <v>46166.902777777781</v>
      </c>
      <c r="D3195" t="s">
        <v>6026</v>
      </c>
      <c r="E3195" t="s">
        <v>6031</v>
      </c>
      <c r="F3195" t="s">
        <v>6034</v>
      </c>
      <c r="G3195" t="s">
        <v>6039</v>
      </c>
      <c r="H3195" t="s">
        <v>6097</v>
      </c>
      <c r="I3195">
        <v>24</v>
      </c>
      <c r="J3195">
        <v>100.2</v>
      </c>
      <c r="K3195" t="s">
        <v>6100</v>
      </c>
      <c r="L3195" t="s">
        <v>6099</v>
      </c>
      <c r="M3195" t="s">
        <v>6100</v>
      </c>
      <c r="N3195">
        <v>3</v>
      </c>
      <c r="O3195" t="s">
        <v>6101</v>
      </c>
      <c r="P3195" t="s">
        <v>6111</v>
      </c>
      <c r="Q3195">
        <v>5</v>
      </c>
      <c r="R3195">
        <v>2026</v>
      </c>
      <c r="S3195" t="s">
        <v>6100</v>
      </c>
      <c r="T3195">
        <v>0</v>
      </c>
      <c r="U3195" t="s">
        <v>6020</v>
      </c>
      <c r="V3195">
        <v>0</v>
      </c>
    </row>
    <row r="3196" spans="1:22" x14ac:dyDescent="0.3">
      <c r="A3196" t="s">
        <v>3211</v>
      </c>
      <c r="B3196" s="2">
        <v>46162.813888888886</v>
      </c>
      <c r="C3196" s="2">
        <v>46163.326388888891</v>
      </c>
      <c r="D3196" t="s">
        <v>6022</v>
      </c>
      <c r="E3196" t="s">
        <v>6031</v>
      </c>
      <c r="F3196" t="s">
        <v>6034</v>
      </c>
      <c r="G3196" t="s">
        <v>6090</v>
      </c>
      <c r="H3196" t="s">
        <v>6097</v>
      </c>
      <c r="I3196">
        <v>24</v>
      </c>
      <c r="J3196">
        <v>12.3</v>
      </c>
      <c r="K3196" t="s">
        <v>6099</v>
      </c>
      <c r="L3196" t="s">
        <v>6100</v>
      </c>
      <c r="M3196" t="s">
        <v>6099</v>
      </c>
      <c r="N3196">
        <v>5</v>
      </c>
      <c r="O3196" t="s">
        <v>6101</v>
      </c>
      <c r="P3196" t="s">
        <v>6111</v>
      </c>
      <c r="Q3196">
        <v>5</v>
      </c>
      <c r="R3196">
        <v>2026</v>
      </c>
      <c r="S3196" t="s">
        <v>6099</v>
      </c>
      <c r="T3196">
        <v>1</v>
      </c>
      <c r="U3196" t="s">
        <v>6021</v>
      </c>
      <c r="V3196">
        <v>1</v>
      </c>
    </row>
    <row r="3197" spans="1:22" x14ac:dyDescent="0.3">
      <c r="A3197" t="s">
        <v>3212</v>
      </c>
      <c r="B3197" s="2">
        <v>46163.28402777778</v>
      </c>
      <c r="C3197" s="2">
        <v>46166.488194444442</v>
      </c>
      <c r="D3197" t="s">
        <v>6025</v>
      </c>
      <c r="E3197" t="s">
        <v>6031</v>
      </c>
      <c r="F3197" t="s">
        <v>6033</v>
      </c>
      <c r="G3197" t="s">
        <v>6068</v>
      </c>
      <c r="H3197" t="s">
        <v>6098</v>
      </c>
      <c r="I3197">
        <v>72</v>
      </c>
      <c r="J3197">
        <v>76.900000000000006</v>
      </c>
      <c r="K3197" t="s">
        <v>6100</v>
      </c>
      <c r="L3197" t="s">
        <v>6100</v>
      </c>
      <c r="M3197" t="s">
        <v>6100</v>
      </c>
      <c r="N3197">
        <v>3</v>
      </c>
      <c r="O3197" t="s">
        <v>6101</v>
      </c>
      <c r="P3197" t="s">
        <v>6111</v>
      </c>
      <c r="Q3197">
        <v>5</v>
      </c>
      <c r="R3197">
        <v>2026</v>
      </c>
      <c r="S3197" t="s">
        <v>6100</v>
      </c>
      <c r="T3197">
        <v>0</v>
      </c>
      <c r="U3197" t="s">
        <v>6021</v>
      </c>
      <c r="V3197">
        <v>0</v>
      </c>
    </row>
    <row r="3198" spans="1:22" x14ac:dyDescent="0.3">
      <c r="A3198" t="s">
        <v>3213</v>
      </c>
      <c r="B3198" s="2">
        <v>46163.32708333333</v>
      </c>
      <c r="C3198" s="2">
        <v>46163.964583333334</v>
      </c>
      <c r="D3198" t="s">
        <v>6024</v>
      </c>
      <c r="E3198" t="s">
        <v>6029</v>
      </c>
      <c r="F3198" t="s">
        <v>6033</v>
      </c>
      <c r="G3198" t="s">
        <v>6046</v>
      </c>
      <c r="H3198" t="s">
        <v>6098</v>
      </c>
      <c r="I3198">
        <v>72</v>
      </c>
      <c r="J3198">
        <v>15.3</v>
      </c>
      <c r="K3198" t="s">
        <v>6100</v>
      </c>
      <c r="L3198" t="s">
        <v>6099</v>
      </c>
      <c r="M3198" t="s">
        <v>6100</v>
      </c>
      <c r="N3198">
        <v>4</v>
      </c>
      <c r="O3198" t="s">
        <v>6101</v>
      </c>
      <c r="P3198" t="s">
        <v>6111</v>
      </c>
      <c r="Q3198">
        <v>5</v>
      </c>
      <c r="R3198">
        <v>2026</v>
      </c>
      <c r="S3198" t="s">
        <v>6099</v>
      </c>
      <c r="T3198">
        <v>1</v>
      </c>
      <c r="U3198" t="s">
        <v>6021</v>
      </c>
      <c r="V3198">
        <v>0</v>
      </c>
    </row>
    <row r="3199" spans="1:22" x14ac:dyDescent="0.3">
      <c r="A3199" t="s">
        <v>3214</v>
      </c>
      <c r="B3199" s="2">
        <v>46163.375694444447</v>
      </c>
      <c r="C3199" s="2">
        <v>46163.792361111111</v>
      </c>
      <c r="D3199" t="s">
        <v>6023</v>
      </c>
      <c r="E3199" t="s">
        <v>6029</v>
      </c>
      <c r="F3199" t="s">
        <v>6034</v>
      </c>
      <c r="G3199" t="s">
        <v>6080</v>
      </c>
      <c r="H3199" t="s">
        <v>6096</v>
      </c>
      <c r="I3199">
        <v>24</v>
      </c>
      <c r="J3199">
        <v>10</v>
      </c>
      <c r="K3199" t="s">
        <v>6100</v>
      </c>
      <c r="L3199" t="s">
        <v>6100</v>
      </c>
      <c r="M3199" t="s">
        <v>6100</v>
      </c>
      <c r="N3199">
        <v>5</v>
      </c>
      <c r="O3199" t="s">
        <v>6101</v>
      </c>
      <c r="P3199" t="s">
        <v>6111</v>
      </c>
      <c r="Q3199">
        <v>5</v>
      </c>
      <c r="R3199">
        <v>2026</v>
      </c>
      <c r="S3199" t="s">
        <v>6099</v>
      </c>
      <c r="T3199">
        <v>1</v>
      </c>
      <c r="U3199" t="s">
        <v>6018</v>
      </c>
      <c r="V3199">
        <v>0</v>
      </c>
    </row>
    <row r="3200" spans="1:22" x14ac:dyDescent="0.3">
      <c r="A3200" t="s">
        <v>3215</v>
      </c>
      <c r="B3200" s="2">
        <v>46163.415972222225</v>
      </c>
      <c r="C3200" s="2">
        <v>46164.053472222222</v>
      </c>
      <c r="D3200" t="s">
        <v>6028</v>
      </c>
      <c r="E3200" t="s">
        <v>6031</v>
      </c>
      <c r="F3200" t="s">
        <v>6034</v>
      </c>
      <c r="G3200" t="s">
        <v>6068</v>
      </c>
      <c r="H3200" t="s">
        <v>6098</v>
      </c>
      <c r="I3200">
        <v>24</v>
      </c>
      <c r="J3200">
        <v>15.3</v>
      </c>
      <c r="K3200" t="s">
        <v>6099</v>
      </c>
      <c r="L3200" t="s">
        <v>6100</v>
      </c>
      <c r="M3200" t="s">
        <v>6100</v>
      </c>
      <c r="N3200">
        <v>4</v>
      </c>
      <c r="O3200" t="s">
        <v>6101</v>
      </c>
      <c r="P3200" t="s">
        <v>6111</v>
      </c>
      <c r="Q3200">
        <v>5</v>
      </c>
      <c r="R3200">
        <v>2026</v>
      </c>
      <c r="S3200" t="s">
        <v>6099</v>
      </c>
      <c r="T3200">
        <v>1</v>
      </c>
      <c r="U3200" t="s">
        <v>6021</v>
      </c>
      <c r="V3200">
        <v>1</v>
      </c>
    </row>
    <row r="3201" spans="1:22" x14ac:dyDescent="0.3">
      <c r="A3201" t="s">
        <v>3216</v>
      </c>
      <c r="B3201" s="2">
        <v>46163.438194444447</v>
      </c>
      <c r="C3201" s="2">
        <v>46163.717361111114</v>
      </c>
      <c r="D3201" t="s">
        <v>6023</v>
      </c>
      <c r="E3201" t="s">
        <v>6029</v>
      </c>
      <c r="F3201" t="s">
        <v>6033</v>
      </c>
      <c r="G3201" t="s">
        <v>6082</v>
      </c>
      <c r="H3201" t="s">
        <v>6097</v>
      </c>
      <c r="I3201">
        <v>72</v>
      </c>
      <c r="J3201">
        <v>6.7</v>
      </c>
      <c r="K3201" t="s">
        <v>6099</v>
      </c>
      <c r="L3201" t="s">
        <v>6100</v>
      </c>
      <c r="M3201" t="s">
        <v>6100</v>
      </c>
      <c r="N3201">
        <v>5</v>
      </c>
      <c r="O3201" t="s">
        <v>6101</v>
      </c>
      <c r="P3201" t="s">
        <v>6111</v>
      </c>
      <c r="Q3201">
        <v>5</v>
      </c>
      <c r="R3201">
        <v>2026</v>
      </c>
      <c r="S3201" t="s">
        <v>6099</v>
      </c>
      <c r="T3201">
        <v>1</v>
      </c>
      <c r="U3201" t="s">
        <v>6019</v>
      </c>
      <c r="V3201">
        <v>1</v>
      </c>
    </row>
    <row r="3202" spans="1:22" x14ac:dyDescent="0.3">
      <c r="A3202" t="s">
        <v>3217</v>
      </c>
      <c r="B3202" s="2">
        <v>46163.443749999999</v>
      </c>
      <c r="C3202" s="2">
        <v>46163.502083333333</v>
      </c>
      <c r="D3202" t="s">
        <v>6023</v>
      </c>
      <c r="E3202" t="s">
        <v>6030</v>
      </c>
      <c r="F3202" t="s">
        <v>6033</v>
      </c>
      <c r="G3202" t="s">
        <v>6064</v>
      </c>
      <c r="H3202" t="s">
        <v>6096</v>
      </c>
      <c r="I3202">
        <v>72</v>
      </c>
      <c r="J3202">
        <v>1.4</v>
      </c>
      <c r="K3202" t="s">
        <v>6100</v>
      </c>
      <c r="L3202" t="s">
        <v>6099</v>
      </c>
      <c r="M3202" t="s">
        <v>6100</v>
      </c>
      <c r="N3202">
        <v>5</v>
      </c>
      <c r="O3202" t="s">
        <v>6101</v>
      </c>
      <c r="P3202" t="s">
        <v>6111</v>
      </c>
      <c r="Q3202">
        <v>5</v>
      </c>
      <c r="R3202">
        <v>2026</v>
      </c>
      <c r="S3202" t="s">
        <v>6099</v>
      </c>
      <c r="T3202">
        <v>1</v>
      </c>
      <c r="U3202" t="s">
        <v>6017</v>
      </c>
      <c r="V3202">
        <v>0</v>
      </c>
    </row>
    <row r="3203" spans="1:22" x14ac:dyDescent="0.3">
      <c r="A3203" t="s">
        <v>3218</v>
      </c>
      <c r="B3203" s="2">
        <v>46163.447222222225</v>
      </c>
      <c r="C3203" s="2">
        <v>46164.038888888892</v>
      </c>
      <c r="D3203" t="s">
        <v>6027</v>
      </c>
      <c r="E3203" t="s">
        <v>6031</v>
      </c>
      <c r="F3203" t="s">
        <v>6034</v>
      </c>
      <c r="G3203" t="s">
        <v>6064</v>
      </c>
      <c r="H3203" t="s">
        <v>6096</v>
      </c>
      <c r="I3203">
        <v>24</v>
      </c>
      <c r="J3203">
        <v>14.2</v>
      </c>
      <c r="K3203" t="s">
        <v>6100</v>
      </c>
      <c r="L3203" t="s">
        <v>6099</v>
      </c>
      <c r="M3203" t="s">
        <v>6100</v>
      </c>
      <c r="N3203">
        <v>3</v>
      </c>
      <c r="O3203" t="s">
        <v>6101</v>
      </c>
      <c r="P3203" t="s">
        <v>6111</v>
      </c>
      <c r="Q3203">
        <v>5</v>
      </c>
      <c r="R3203">
        <v>2026</v>
      </c>
      <c r="S3203" t="s">
        <v>6099</v>
      </c>
      <c r="T3203">
        <v>1</v>
      </c>
      <c r="U3203" t="s">
        <v>6018</v>
      </c>
      <c r="V3203">
        <v>0</v>
      </c>
    </row>
    <row r="3204" spans="1:22" x14ac:dyDescent="0.3">
      <c r="A3204" t="s">
        <v>3219</v>
      </c>
      <c r="B3204" s="2">
        <v>46163.46875</v>
      </c>
      <c r="C3204" s="2">
        <v>46163.602083333331</v>
      </c>
      <c r="D3204" t="s">
        <v>6027</v>
      </c>
      <c r="E3204" t="s">
        <v>6029</v>
      </c>
      <c r="F3204" t="s">
        <v>6034</v>
      </c>
      <c r="G3204" t="s">
        <v>6091</v>
      </c>
      <c r="H3204" t="s">
        <v>6097</v>
      </c>
      <c r="I3204">
        <v>24</v>
      </c>
      <c r="J3204">
        <v>3.2</v>
      </c>
      <c r="K3204" t="s">
        <v>6100</v>
      </c>
      <c r="L3204" t="s">
        <v>6099</v>
      </c>
      <c r="M3204" t="s">
        <v>6100</v>
      </c>
      <c r="N3204">
        <v>4</v>
      </c>
      <c r="O3204" t="s">
        <v>6101</v>
      </c>
      <c r="P3204" t="s">
        <v>6111</v>
      </c>
      <c r="Q3204">
        <v>5</v>
      </c>
      <c r="R3204">
        <v>2026</v>
      </c>
      <c r="S3204" t="s">
        <v>6099</v>
      </c>
      <c r="T3204">
        <v>1</v>
      </c>
      <c r="U3204" t="s">
        <v>6018</v>
      </c>
      <c r="V3204">
        <v>0</v>
      </c>
    </row>
    <row r="3205" spans="1:22" x14ac:dyDescent="0.3">
      <c r="A3205" t="s">
        <v>3220</v>
      </c>
      <c r="B3205" s="2">
        <v>46163.48333333333</v>
      </c>
      <c r="C3205" s="2">
        <v>46165.966666666667</v>
      </c>
      <c r="D3205" t="s">
        <v>6026</v>
      </c>
      <c r="E3205" t="s">
        <v>6031</v>
      </c>
      <c r="F3205" t="s">
        <v>6033</v>
      </c>
      <c r="G3205" t="s">
        <v>6069</v>
      </c>
      <c r="H3205" t="s">
        <v>6098</v>
      </c>
      <c r="I3205">
        <v>72</v>
      </c>
      <c r="J3205">
        <v>59.6</v>
      </c>
      <c r="K3205" t="s">
        <v>6100</v>
      </c>
      <c r="L3205" t="s">
        <v>6100</v>
      </c>
      <c r="M3205" t="s">
        <v>6100</v>
      </c>
      <c r="O3205" t="s">
        <v>6101</v>
      </c>
      <c r="P3205" t="s">
        <v>6111</v>
      </c>
      <c r="Q3205">
        <v>5</v>
      </c>
      <c r="R3205">
        <v>2026</v>
      </c>
      <c r="S3205" t="s">
        <v>6099</v>
      </c>
      <c r="T3205">
        <v>1</v>
      </c>
      <c r="U3205" t="s">
        <v>6020</v>
      </c>
      <c r="V3205">
        <v>0</v>
      </c>
    </row>
    <row r="3206" spans="1:22" x14ac:dyDescent="0.3">
      <c r="A3206" t="s">
        <v>3221</v>
      </c>
      <c r="B3206" s="2">
        <v>46163.523611111108</v>
      </c>
      <c r="C3206" s="2">
        <v>46163.761111111111</v>
      </c>
      <c r="D3206" t="s">
        <v>6022</v>
      </c>
      <c r="E3206" t="s">
        <v>6029</v>
      </c>
      <c r="F3206" t="s">
        <v>6034</v>
      </c>
      <c r="G3206" t="s">
        <v>6079</v>
      </c>
      <c r="H3206" t="s">
        <v>6097</v>
      </c>
      <c r="I3206">
        <v>24</v>
      </c>
      <c r="J3206">
        <v>5.7</v>
      </c>
      <c r="K3206" t="s">
        <v>6099</v>
      </c>
      <c r="L3206" t="s">
        <v>6100</v>
      </c>
      <c r="M3206" t="s">
        <v>6100</v>
      </c>
      <c r="O3206" t="s">
        <v>6101</v>
      </c>
      <c r="P3206" t="s">
        <v>6111</v>
      </c>
      <c r="Q3206">
        <v>5</v>
      </c>
      <c r="R3206">
        <v>2026</v>
      </c>
      <c r="S3206" t="s">
        <v>6099</v>
      </c>
      <c r="T3206">
        <v>1</v>
      </c>
      <c r="U3206" t="s">
        <v>6021</v>
      </c>
      <c r="V3206">
        <v>1</v>
      </c>
    </row>
    <row r="3207" spans="1:22" x14ac:dyDescent="0.3">
      <c r="A3207" t="s">
        <v>3222</v>
      </c>
      <c r="B3207" s="2">
        <v>46163.52847222222</v>
      </c>
      <c r="C3207" s="2">
        <v>46163.878472222219</v>
      </c>
      <c r="D3207" t="s">
        <v>6024</v>
      </c>
      <c r="E3207" t="s">
        <v>6031</v>
      </c>
      <c r="F3207" t="s">
        <v>6034</v>
      </c>
      <c r="G3207" t="s">
        <v>6073</v>
      </c>
      <c r="H3207" t="s">
        <v>6096</v>
      </c>
      <c r="I3207">
        <v>24</v>
      </c>
      <c r="J3207">
        <v>8.4</v>
      </c>
      <c r="K3207" t="s">
        <v>6099</v>
      </c>
      <c r="L3207" t="s">
        <v>6100</v>
      </c>
      <c r="M3207" t="s">
        <v>6100</v>
      </c>
      <c r="N3207">
        <v>4</v>
      </c>
      <c r="O3207" t="s">
        <v>6101</v>
      </c>
      <c r="P3207" t="s">
        <v>6111</v>
      </c>
      <c r="Q3207">
        <v>5</v>
      </c>
      <c r="R3207">
        <v>2026</v>
      </c>
      <c r="S3207" t="s">
        <v>6099</v>
      </c>
      <c r="T3207">
        <v>1</v>
      </c>
      <c r="U3207" t="s">
        <v>6021</v>
      </c>
      <c r="V3207">
        <v>1</v>
      </c>
    </row>
    <row r="3208" spans="1:22" x14ac:dyDescent="0.3">
      <c r="A3208" t="s">
        <v>3223</v>
      </c>
      <c r="B3208" s="2">
        <v>46163.546527777777</v>
      </c>
      <c r="C3208" s="2">
        <v>46164.000694444447</v>
      </c>
      <c r="D3208" t="s">
        <v>6022</v>
      </c>
      <c r="E3208" t="s">
        <v>6029</v>
      </c>
      <c r="F3208" t="s">
        <v>6034</v>
      </c>
      <c r="G3208" t="s">
        <v>6063</v>
      </c>
      <c r="H3208" t="s">
        <v>6097</v>
      </c>
      <c r="I3208">
        <v>24</v>
      </c>
      <c r="J3208">
        <v>10.9</v>
      </c>
      <c r="K3208" t="s">
        <v>6100</v>
      </c>
      <c r="L3208" t="s">
        <v>6099</v>
      </c>
      <c r="M3208" t="s">
        <v>6100</v>
      </c>
      <c r="O3208" t="s">
        <v>6101</v>
      </c>
      <c r="P3208" t="s">
        <v>6111</v>
      </c>
      <c r="Q3208">
        <v>5</v>
      </c>
      <c r="R3208">
        <v>2026</v>
      </c>
      <c r="S3208" t="s">
        <v>6099</v>
      </c>
      <c r="T3208">
        <v>1</v>
      </c>
      <c r="U3208" t="s">
        <v>6017</v>
      </c>
      <c r="V3208">
        <v>0</v>
      </c>
    </row>
    <row r="3209" spans="1:22" x14ac:dyDescent="0.3">
      <c r="A3209" t="s">
        <v>3224</v>
      </c>
      <c r="B3209" s="2">
        <v>46163.568749999999</v>
      </c>
      <c r="C3209" s="2">
        <v>46164.122916666667</v>
      </c>
      <c r="D3209" t="s">
        <v>6022</v>
      </c>
      <c r="E3209" t="s">
        <v>6029</v>
      </c>
      <c r="F3209" t="s">
        <v>6033</v>
      </c>
      <c r="G3209" t="s">
        <v>6052</v>
      </c>
      <c r="H3209" t="s">
        <v>6098</v>
      </c>
      <c r="I3209">
        <v>72</v>
      </c>
      <c r="J3209">
        <v>13.3</v>
      </c>
      <c r="K3209" t="s">
        <v>6100</v>
      </c>
      <c r="L3209" t="s">
        <v>6099</v>
      </c>
      <c r="M3209" t="s">
        <v>6100</v>
      </c>
      <c r="N3209">
        <v>3</v>
      </c>
      <c r="O3209" t="s">
        <v>6101</v>
      </c>
      <c r="P3209" t="s">
        <v>6111</v>
      </c>
      <c r="Q3209">
        <v>5</v>
      </c>
      <c r="R3209">
        <v>2026</v>
      </c>
      <c r="S3209" t="s">
        <v>6099</v>
      </c>
      <c r="T3209">
        <v>1</v>
      </c>
      <c r="U3209" t="s">
        <v>6017</v>
      </c>
      <c r="V3209">
        <v>0</v>
      </c>
    </row>
    <row r="3210" spans="1:22" x14ac:dyDescent="0.3">
      <c r="A3210" t="s">
        <v>3225</v>
      </c>
      <c r="B3210" s="2">
        <v>46163.572916666664</v>
      </c>
      <c r="C3210" s="2">
        <v>46163.881249999999</v>
      </c>
      <c r="D3210" t="s">
        <v>6023</v>
      </c>
      <c r="E3210" t="s">
        <v>6030</v>
      </c>
      <c r="F3210" t="s">
        <v>6034</v>
      </c>
      <c r="G3210" t="s">
        <v>6048</v>
      </c>
      <c r="H3210" t="s">
        <v>6096</v>
      </c>
      <c r="I3210">
        <v>24</v>
      </c>
      <c r="J3210">
        <v>7.4</v>
      </c>
      <c r="K3210" t="s">
        <v>6099</v>
      </c>
      <c r="L3210" t="s">
        <v>6100</v>
      </c>
      <c r="M3210" t="s">
        <v>6100</v>
      </c>
      <c r="N3210">
        <v>5</v>
      </c>
      <c r="O3210" t="s">
        <v>6101</v>
      </c>
      <c r="P3210" t="s">
        <v>6111</v>
      </c>
      <c r="Q3210">
        <v>5</v>
      </c>
      <c r="R3210">
        <v>2026</v>
      </c>
      <c r="S3210" t="s">
        <v>6099</v>
      </c>
      <c r="T3210">
        <v>1</v>
      </c>
      <c r="U3210" t="s">
        <v>6018</v>
      </c>
      <c r="V3210">
        <v>1</v>
      </c>
    </row>
    <row r="3211" spans="1:22" x14ac:dyDescent="0.3">
      <c r="A3211" t="s">
        <v>3226</v>
      </c>
      <c r="B3211" s="2">
        <v>46163.575694444444</v>
      </c>
      <c r="C3211" s="2">
        <v>46164.421527777777</v>
      </c>
      <c r="D3211" t="s">
        <v>6022</v>
      </c>
      <c r="E3211" t="s">
        <v>6029</v>
      </c>
      <c r="F3211" t="s">
        <v>6034</v>
      </c>
      <c r="G3211" t="s">
        <v>6043</v>
      </c>
      <c r="H3211" t="s">
        <v>6097</v>
      </c>
      <c r="I3211">
        <v>24</v>
      </c>
      <c r="J3211">
        <v>20.3</v>
      </c>
      <c r="K3211" t="s">
        <v>6099</v>
      </c>
      <c r="L3211" t="s">
        <v>6100</v>
      </c>
      <c r="M3211" t="s">
        <v>6100</v>
      </c>
      <c r="N3211">
        <v>5</v>
      </c>
      <c r="O3211" t="s">
        <v>6101</v>
      </c>
      <c r="P3211" t="s">
        <v>6111</v>
      </c>
      <c r="Q3211">
        <v>5</v>
      </c>
      <c r="R3211">
        <v>2026</v>
      </c>
      <c r="S3211" t="s">
        <v>6099</v>
      </c>
      <c r="T3211">
        <v>1</v>
      </c>
      <c r="U3211" t="s">
        <v>6018</v>
      </c>
      <c r="V3211">
        <v>1</v>
      </c>
    </row>
    <row r="3212" spans="1:22" x14ac:dyDescent="0.3">
      <c r="A3212" t="s">
        <v>3227</v>
      </c>
      <c r="B3212" s="2">
        <v>46163.583333333336</v>
      </c>
      <c r="C3212" s="2">
        <v>46164.279166666667</v>
      </c>
      <c r="D3212" t="s">
        <v>6022</v>
      </c>
      <c r="E3212" t="s">
        <v>6031</v>
      </c>
      <c r="F3212" t="s">
        <v>6034</v>
      </c>
      <c r="G3212" t="s">
        <v>6077</v>
      </c>
      <c r="H3212" t="s">
        <v>6098</v>
      </c>
      <c r="I3212">
        <v>24</v>
      </c>
      <c r="J3212">
        <v>16.7</v>
      </c>
      <c r="K3212" t="s">
        <v>6099</v>
      </c>
      <c r="L3212" t="s">
        <v>6100</v>
      </c>
      <c r="M3212" t="s">
        <v>6100</v>
      </c>
      <c r="N3212">
        <v>4</v>
      </c>
      <c r="O3212" t="s">
        <v>6101</v>
      </c>
      <c r="P3212" t="s">
        <v>6111</v>
      </c>
      <c r="Q3212">
        <v>5</v>
      </c>
      <c r="R3212">
        <v>2026</v>
      </c>
      <c r="S3212" t="s">
        <v>6099</v>
      </c>
      <c r="T3212">
        <v>1</v>
      </c>
      <c r="U3212" t="s">
        <v>6018</v>
      </c>
      <c r="V3212">
        <v>1</v>
      </c>
    </row>
    <row r="3213" spans="1:22" x14ac:dyDescent="0.3">
      <c r="A3213" t="s">
        <v>3228</v>
      </c>
      <c r="B3213" s="2">
        <v>46163.584722222222</v>
      </c>
      <c r="C3213" s="2">
        <v>46163.984722222223</v>
      </c>
      <c r="D3213" t="s">
        <v>6023</v>
      </c>
      <c r="E3213" t="s">
        <v>6032</v>
      </c>
      <c r="F3213" t="s">
        <v>6034</v>
      </c>
      <c r="G3213" t="s">
        <v>6085</v>
      </c>
      <c r="H3213" t="s">
        <v>6097</v>
      </c>
      <c r="I3213">
        <v>24</v>
      </c>
      <c r="J3213">
        <v>9.6</v>
      </c>
      <c r="K3213" t="s">
        <v>6099</v>
      </c>
      <c r="L3213" t="s">
        <v>6100</v>
      </c>
      <c r="M3213" t="s">
        <v>6100</v>
      </c>
      <c r="N3213">
        <v>4</v>
      </c>
      <c r="O3213" t="s">
        <v>6101</v>
      </c>
      <c r="P3213" t="s">
        <v>6111</v>
      </c>
      <c r="Q3213">
        <v>5</v>
      </c>
      <c r="R3213">
        <v>2026</v>
      </c>
      <c r="S3213" t="s">
        <v>6099</v>
      </c>
      <c r="T3213">
        <v>1</v>
      </c>
      <c r="U3213" t="s">
        <v>6017</v>
      </c>
      <c r="V3213">
        <v>1</v>
      </c>
    </row>
    <row r="3214" spans="1:22" x14ac:dyDescent="0.3">
      <c r="A3214" t="s">
        <v>3229</v>
      </c>
      <c r="B3214" s="2">
        <v>46163.670138888891</v>
      </c>
      <c r="C3214" s="2">
        <v>46163.924305555556</v>
      </c>
      <c r="D3214" t="s">
        <v>6028</v>
      </c>
      <c r="E3214" t="s">
        <v>6029</v>
      </c>
      <c r="F3214" t="s">
        <v>6035</v>
      </c>
      <c r="G3214" t="s">
        <v>6038</v>
      </c>
      <c r="H3214" t="s">
        <v>6096</v>
      </c>
      <c r="I3214">
        <v>4</v>
      </c>
      <c r="J3214">
        <v>6.1</v>
      </c>
      <c r="K3214" t="s">
        <v>6099</v>
      </c>
      <c r="L3214" t="s">
        <v>6100</v>
      </c>
      <c r="M3214" t="s">
        <v>6100</v>
      </c>
      <c r="O3214" t="s">
        <v>6101</v>
      </c>
      <c r="P3214" t="s">
        <v>6111</v>
      </c>
      <c r="Q3214">
        <v>5</v>
      </c>
      <c r="R3214">
        <v>2026</v>
      </c>
      <c r="S3214" t="s">
        <v>6100</v>
      </c>
      <c r="T3214">
        <v>0</v>
      </c>
      <c r="U3214" t="s">
        <v>6017</v>
      </c>
      <c r="V3214">
        <v>1</v>
      </c>
    </row>
    <row r="3215" spans="1:22" x14ac:dyDescent="0.3">
      <c r="A3215" t="s">
        <v>3230</v>
      </c>
      <c r="B3215" s="2">
        <v>46163.675694444442</v>
      </c>
      <c r="C3215" s="2">
        <v>46164.392361111109</v>
      </c>
      <c r="D3215" t="s">
        <v>6022</v>
      </c>
      <c r="E3215" t="s">
        <v>6029</v>
      </c>
      <c r="F3215" t="s">
        <v>6034</v>
      </c>
      <c r="G3215" t="s">
        <v>6089</v>
      </c>
      <c r="H3215" t="s">
        <v>6098</v>
      </c>
      <c r="I3215">
        <v>24</v>
      </c>
      <c r="J3215">
        <v>17.2</v>
      </c>
      <c r="K3215" t="s">
        <v>6099</v>
      </c>
      <c r="L3215" t="s">
        <v>6100</v>
      </c>
      <c r="M3215" t="s">
        <v>6100</v>
      </c>
      <c r="N3215">
        <v>4</v>
      </c>
      <c r="O3215" t="s">
        <v>6101</v>
      </c>
      <c r="P3215" t="s">
        <v>6111</v>
      </c>
      <c r="Q3215">
        <v>5</v>
      </c>
      <c r="R3215">
        <v>2026</v>
      </c>
      <c r="S3215" t="s">
        <v>6099</v>
      </c>
      <c r="T3215">
        <v>1</v>
      </c>
      <c r="U3215" t="s">
        <v>6020</v>
      </c>
      <c r="V3215">
        <v>1</v>
      </c>
    </row>
    <row r="3216" spans="1:22" x14ac:dyDescent="0.3">
      <c r="A3216" t="s">
        <v>3231</v>
      </c>
      <c r="B3216" s="2">
        <v>46163.6875</v>
      </c>
      <c r="C3216" s="2">
        <v>46164.183333333334</v>
      </c>
      <c r="D3216" t="s">
        <v>6028</v>
      </c>
      <c r="E3216" t="s">
        <v>6029</v>
      </c>
      <c r="F3216" t="s">
        <v>6034</v>
      </c>
      <c r="G3216" t="s">
        <v>6071</v>
      </c>
      <c r="H3216" t="s">
        <v>6098</v>
      </c>
      <c r="I3216">
        <v>24</v>
      </c>
      <c r="J3216">
        <v>11.9</v>
      </c>
      <c r="K3216" t="s">
        <v>6099</v>
      </c>
      <c r="L3216" t="s">
        <v>6100</v>
      </c>
      <c r="M3216" t="s">
        <v>6099</v>
      </c>
      <c r="O3216" t="s">
        <v>6101</v>
      </c>
      <c r="P3216" t="s">
        <v>6111</v>
      </c>
      <c r="Q3216">
        <v>5</v>
      </c>
      <c r="R3216">
        <v>2026</v>
      </c>
      <c r="S3216" t="s">
        <v>6099</v>
      </c>
      <c r="T3216">
        <v>1</v>
      </c>
      <c r="U3216" t="s">
        <v>6018</v>
      </c>
      <c r="V3216">
        <v>1</v>
      </c>
    </row>
    <row r="3217" spans="1:22" x14ac:dyDescent="0.3">
      <c r="A3217" t="s">
        <v>3232</v>
      </c>
      <c r="B3217" s="2">
        <v>46163.704861111109</v>
      </c>
      <c r="C3217" s="2">
        <v>46164.267361111109</v>
      </c>
      <c r="D3217" t="s">
        <v>6022</v>
      </c>
      <c r="E3217" t="s">
        <v>6030</v>
      </c>
      <c r="F3217" t="s">
        <v>6034</v>
      </c>
      <c r="G3217" t="s">
        <v>6050</v>
      </c>
      <c r="H3217" t="s">
        <v>6098</v>
      </c>
      <c r="I3217">
        <v>24</v>
      </c>
      <c r="J3217">
        <v>13.5</v>
      </c>
      <c r="K3217" t="s">
        <v>6099</v>
      </c>
      <c r="L3217" t="s">
        <v>6100</v>
      </c>
      <c r="M3217" t="s">
        <v>6100</v>
      </c>
      <c r="N3217">
        <v>5</v>
      </c>
      <c r="O3217" t="s">
        <v>6101</v>
      </c>
      <c r="P3217" t="s">
        <v>6111</v>
      </c>
      <c r="Q3217">
        <v>5</v>
      </c>
      <c r="R3217">
        <v>2026</v>
      </c>
      <c r="S3217" t="s">
        <v>6099</v>
      </c>
      <c r="T3217">
        <v>1</v>
      </c>
      <c r="U3217" t="s">
        <v>6018</v>
      </c>
      <c r="V3217">
        <v>1</v>
      </c>
    </row>
    <row r="3218" spans="1:22" x14ac:dyDescent="0.3">
      <c r="A3218" t="s">
        <v>3233</v>
      </c>
      <c r="B3218" s="2">
        <v>46163.726388888892</v>
      </c>
      <c r="C3218" s="2">
        <v>46165.522222222222</v>
      </c>
      <c r="D3218" t="s">
        <v>6025</v>
      </c>
      <c r="E3218" t="s">
        <v>6032</v>
      </c>
      <c r="F3218" t="s">
        <v>6035</v>
      </c>
      <c r="G3218" t="s">
        <v>6043</v>
      </c>
      <c r="H3218" t="s">
        <v>6097</v>
      </c>
      <c r="I3218">
        <v>4</v>
      </c>
      <c r="J3218">
        <v>43.1</v>
      </c>
      <c r="K3218" t="s">
        <v>6100</v>
      </c>
      <c r="L3218" t="s">
        <v>6100</v>
      </c>
      <c r="M3218" t="s">
        <v>6100</v>
      </c>
      <c r="N3218">
        <v>4</v>
      </c>
      <c r="O3218" t="s">
        <v>6101</v>
      </c>
      <c r="P3218" t="s">
        <v>6111</v>
      </c>
      <c r="Q3218">
        <v>5</v>
      </c>
      <c r="R3218">
        <v>2026</v>
      </c>
      <c r="S3218" t="s">
        <v>6100</v>
      </c>
      <c r="T3218">
        <v>0</v>
      </c>
      <c r="U3218" t="s">
        <v>6020</v>
      </c>
      <c r="V3218">
        <v>0</v>
      </c>
    </row>
    <row r="3219" spans="1:22" x14ac:dyDescent="0.3">
      <c r="A3219" t="s">
        <v>3234</v>
      </c>
      <c r="B3219" s="2">
        <v>46163.746527777781</v>
      </c>
      <c r="C3219" s="2">
        <v>46163.850694444445</v>
      </c>
      <c r="D3219" t="s">
        <v>6027</v>
      </c>
      <c r="E3219" t="s">
        <v>6030</v>
      </c>
      <c r="F3219" t="s">
        <v>6033</v>
      </c>
      <c r="G3219" t="s">
        <v>6087</v>
      </c>
      <c r="H3219" t="s">
        <v>6098</v>
      </c>
      <c r="I3219">
        <v>72</v>
      </c>
      <c r="J3219">
        <v>2.5</v>
      </c>
      <c r="K3219" t="s">
        <v>6099</v>
      </c>
      <c r="L3219" t="s">
        <v>6100</v>
      </c>
      <c r="M3219" t="s">
        <v>6100</v>
      </c>
      <c r="N3219">
        <v>5</v>
      </c>
      <c r="O3219" t="s">
        <v>6101</v>
      </c>
      <c r="P3219" t="s">
        <v>6111</v>
      </c>
      <c r="Q3219">
        <v>5</v>
      </c>
      <c r="R3219">
        <v>2026</v>
      </c>
      <c r="S3219" t="s">
        <v>6099</v>
      </c>
      <c r="T3219">
        <v>1</v>
      </c>
      <c r="U3219" t="s">
        <v>6017</v>
      </c>
      <c r="V3219">
        <v>1</v>
      </c>
    </row>
    <row r="3220" spans="1:22" x14ac:dyDescent="0.3">
      <c r="A3220" t="s">
        <v>3235</v>
      </c>
      <c r="B3220" s="2">
        <v>46163.75277777778</v>
      </c>
      <c r="C3220" s="2">
        <v>46171.56527777778</v>
      </c>
      <c r="D3220" t="s">
        <v>6026</v>
      </c>
      <c r="E3220" t="s">
        <v>6031</v>
      </c>
      <c r="F3220" t="s">
        <v>6033</v>
      </c>
      <c r="G3220" t="s">
        <v>6065</v>
      </c>
      <c r="H3220" t="s">
        <v>6097</v>
      </c>
      <c r="I3220">
        <v>72</v>
      </c>
      <c r="J3220">
        <v>187.5</v>
      </c>
      <c r="K3220" t="s">
        <v>6099</v>
      </c>
      <c r="L3220" t="s">
        <v>6100</v>
      </c>
      <c r="M3220" t="s">
        <v>6100</v>
      </c>
      <c r="N3220">
        <v>5</v>
      </c>
      <c r="O3220" t="s">
        <v>6101</v>
      </c>
      <c r="P3220" t="s">
        <v>6111</v>
      </c>
      <c r="Q3220">
        <v>5</v>
      </c>
      <c r="R3220">
        <v>2026</v>
      </c>
      <c r="S3220" t="s">
        <v>6100</v>
      </c>
      <c r="T3220">
        <v>0</v>
      </c>
      <c r="U3220" t="s">
        <v>6018</v>
      </c>
      <c r="V3220">
        <v>1</v>
      </c>
    </row>
    <row r="3221" spans="1:22" x14ac:dyDescent="0.3">
      <c r="A3221" t="s">
        <v>3236</v>
      </c>
      <c r="B3221" s="2">
        <v>46163.781944444447</v>
      </c>
      <c r="C3221" s="2">
        <v>46164.194444444445</v>
      </c>
      <c r="D3221" t="s">
        <v>6028</v>
      </c>
      <c r="E3221" t="s">
        <v>6031</v>
      </c>
      <c r="F3221" t="s">
        <v>6034</v>
      </c>
      <c r="G3221" t="s">
        <v>6054</v>
      </c>
      <c r="H3221" t="s">
        <v>6096</v>
      </c>
      <c r="I3221">
        <v>24</v>
      </c>
      <c r="J3221">
        <v>9.9</v>
      </c>
      <c r="K3221" t="s">
        <v>6100</v>
      </c>
      <c r="L3221" t="s">
        <v>6100</v>
      </c>
      <c r="M3221" t="s">
        <v>6100</v>
      </c>
      <c r="N3221">
        <v>5</v>
      </c>
      <c r="O3221" t="s">
        <v>6101</v>
      </c>
      <c r="P3221" t="s">
        <v>6111</v>
      </c>
      <c r="Q3221">
        <v>5</v>
      </c>
      <c r="R3221">
        <v>2026</v>
      </c>
      <c r="S3221" t="s">
        <v>6099</v>
      </c>
      <c r="T3221">
        <v>1</v>
      </c>
      <c r="U3221" t="s">
        <v>6019</v>
      </c>
      <c r="V3221">
        <v>0</v>
      </c>
    </row>
    <row r="3222" spans="1:22" x14ac:dyDescent="0.3">
      <c r="A3222" t="s">
        <v>3237</v>
      </c>
      <c r="B3222" s="2">
        <v>46163.79583333333</v>
      </c>
      <c r="C3222" s="2">
        <v>46164.04583333333</v>
      </c>
      <c r="D3222" t="s">
        <v>6028</v>
      </c>
      <c r="E3222" t="s">
        <v>6029</v>
      </c>
      <c r="F3222" t="s">
        <v>6035</v>
      </c>
      <c r="G3222" t="s">
        <v>6043</v>
      </c>
      <c r="H3222" t="s">
        <v>6097</v>
      </c>
      <c r="I3222">
        <v>4</v>
      </c>
      <c r="J3222">
        <v>6</v>
      </c>
      <c r="K3222" t="s">
        <v>6099</v>
      </c>
      <c r="L3222" t="s">
        <v>6100</v>
      </c>
      <c r="M3222" t="s">
        <v>6099</v>
      </c>
      <c r="O3222" t="s">
        <v>6101</v>
      </c>
      <c r="P3222" t="s">
        <v>6111</v>
      </c>
      <c r="Q3222">
        <v>5</v>
      </c>
      <c r="R3222">
        <v>2026</v>
      </c>
      <c r="S3222" t="s">
        <v>6100</v>
      </c>
      <c r="T3222">
        <v>0</v>
      </c>
      <c r="U3222" t="s">
        <v>6021</v>
      </c>
      <c r="V3222">
        <v>1</v>
      </c>
    </row>
    <row r="3223" spans="1:22" x14ac:dyDescent="0.3">
      <c r="A3223" t="s">
        <v>3238</v>
      </c>
      <c r="B3223" s="2">
        <v>46163.851388888892</v>
      </c>
      <c r="C3223" s="2">
        <v>46164.338888888888</v>
      </c>
      <c r="D3223" t="s">
        <v>6025</v>
      </c>
      <c r="E3223" t="s">
        <v>6030</v>
      </c>
      <c r="F3223" t="s">
        <v>6033</v>
      </c>
      <c r="G3223" t="s">
        <v>6086</v>
      </c>
      <c r="H3223" t="s">
        <v>6098</v>
      </c>
      <c r="I3223">
        <v>72</v>
      </c>
      <c r="J3223">
        <v>11.7</v>
      </c>
      <c r="K3223" t="s">
        <v>6099</v>
      </c>
      <c r="L3223" t="s">
        <v>6100</v>
      </c>
      <c r="M3223" t="s">
        <v>6100</v>
      </c>
      <c r="O3223" t="s">
        <v>6101</v>
      </c>
      <c r="P3223" t="s">
        <v>6111</v>
      </c>
      <c r="Q3223">
        <v>5</v>
      </c>
      <c r="R3223">
        <v>2026</v>
      </c>
      <c r="S3223" t="s">
        <v>6099</v>
      </c>
      <c r="T3223">
        <v>1</v>
      </c>
      <c r="U3223" t="s">
        <v>6018</v>
      </c>
      <c r="V3223">
        <v>1</v>
      </c>
    </row>
    <row r="3224" spans="1:22" x14ac:dyDescent="0.3">
      <c r="A3224" t="s">
        <v>3239</v>
      </c>
      <c r="B3224" s="2">
        <v>46163.956250000003</v>
      </c>
      <c r="C3224" s="2">
        <v>46167.46875</v>
      </c>
      <c r="D3224" t="s">
        <v>6024</v>
      </c>
      <c r="E3224" t="s">
        <v>6032</v>
      </c>
      <c r="F3224" t="s">
        <v>6034</v>
      </c>
      <c r="G3224" t="s">
        <v>6048</v>
      </c>
      <c r="H3224" t="s">
        <v>6096</v>
      </c>
      <c r="I3224">
        <v>24</v>
      </c>
      <c r="J3224">
        <v>84.3</v>
      </c>
      <c r="K3224" t="s">
        <v>6099</v>
      </c>
      <c r="L3224" t="s">
        <v>6100</v>
      </c>
      <c r="M3224" t="s">
        <v>6100</v>
      </c>
      <c r="N3224">
        <v>5</v>
      </c>
      <c r="O3224" t="s">
        <v>6101</v>
      </c>
      <c r="P3224" t="s">
        <v>6111</v>
      </c>
      <c r="Q3224">
        <v>5</v>
      </c>
      <c r="R3224">
        <v>2026</v>
      </c>
      <c r="S3224" t="s">
        <v>6100</v>
      </c>
      <c r="T3224">
        <v>0</v>
      </c>
      <c r="U3224" t="s">
        <v>6017</v>
      </c>
      <c r="V3224">
        <v>1</v>
      </c>
    </row>
    <row r="3225" spans="1:22" x14ac:dyDescent="0.3">
      <c r="A3225" t="s">
        <v>3240</v>
      </c>
      <c r="B3225" s="2">
        <v>46164.227777777778</v>
      </c>
      <c r="C3225" s="2">
        <v>46165.12777777778</v>
      </c>
      <c r="D3225" t="s">
        <v>6027</v>
      </c>
      <c r="E3225" t="s">
        <v>6029</v>
      </c>
      <c r="F3225" t="s">
        <v>6033</v>
      </c>
      <c r="G3225" t="s">
        <v>6040</v>
      </c>
      <c r="H3225" t="s">
        <v>6097</v>
      </c>
      <c r="I3225">
        <v>72</v>
      </c>
      <c r="J3225">
        <v>21.6</v>
      </c>
      <c r="K3225" t="s">
        <v>6100</v>
      </c>
      <c r="L3225" t="s">
        <v>6099</v>
      </c>
      <c r="M3225" t="s">
        <v>6100</v>
      </c>
      <c r="N3225">
        <v>4</v>
      </c>
      <c r="O3225" t="s">
        <v>6101</v>
      </c>
      <c r="P3225" t="s">
        <v>6111</v>
      </c>
      <c r="Q3225">
        <v>5</v>
      </c>
      <c r="R3225">
        <v>2026</v>
      </c>
      <c r="S3225" t="s">
        <v>6099</v>
      </c>
      <c r="T3225">
        <v>1</v>
      </c>
      <c r="U3225" t="s">
        <v>6018</v>
      </c>
      <c r="V3225">
        <v>0</v>
      </c>
    </row>
    <row r="3226" spans="1:22" x14ac:dyDescent="0.3">
      <c r="A3226" t="s">
        <v>3241</v>
      </c>
      <c r="B3226" s="2">
        <v>46164.228472222225</v>
      </c>
      <c r="C3226" s="2">
        <v>46164.728472222225</v>
      </c>
      <c r="D3226" t="s">
        <v>6023</v>
      </c>
      <c r="E3226" t="s">
        <v>6032</v>
      </c>
      <c r="F3226" t="s">
        <v>6034</v>
      </c>
      <c r="G3226" t="s">
        <v>6058</v>
      </c>
      <c r="H3226" t="s">
        <v>6098</v>
      </c>
      <c r="I3226">
        <v>24</v>
      </c>
      <c r="J3226">
        <v>12</v>
      </c>
      <c r="K3226" t="s">
        <v>6099</v>
      </c>
      <c r="L3226" t="s">
        <v>6100</v>
      </c>
      <c r="M3226" t="s">
        <v>6100</v>
      </c>
      <c r="N3226">
        <v>5</v>
      </c>
      <c r="O3226" t="s">
        <v>6101</v>
      </c>
      <c r="P3226" t="s">
        <v>6111</v>
      </c>
      <c r="Q3226">
        <v>5</v>
      </c>
      <c r="R3226">
        <v>2026</v>
      </c>
      <c r="S3226" t="s">
        <v>6099</v>
      </c>
      <c r="T3226">
        <v>1</v>
      </c>
      <c r="U3226" t="s">
        <v>6020</v>
      </c>
      <c r="V3226">
        <v>1</v>
      </c>
    </row>
    <row r="3227" spans="1:22" x14ac:dyDescent="0.3">
      <c r="A3227" t="s">
        <v>3242</v>
      </c>
      <c r="B3227" s="2">
        <v>46164.277083333334</v>
      </c>
      <c r="C3227" s="2">
        <v>46164.61041666667</v>
      </c>
      <c r="D3227" t="s">
        <v>6026</v>
      </c>
      <c r="E3227" t="s">
        <v>6029</v>
      </c>
      <c r="F3227" t="s">
        <v>6033</v>
      </c>
      <c r="G3227" t="s">
        <v>6081</v>
      </c>
      <c r="H3227" t="s">
        <v>6098</v>
      </c>
      <c r="I3227">
        <v>72</v>
      </c>
      <c r="J3227">
        <v>8</v>
      </c>
      <c r="K3227" t="s">
        <v>6100</v>
      </c>
      <c r="L3227" t="s">
        <v>6100</v>
      </c>
      <c r="M3227" t="s">
        <v>6100</v>
      </c>
      <c r="N3227">
        <v>4</v>
      </c>
      <c r="O3227" t="s">
        <v>6101</v>
      </c>
      <c r="P3227" t="s">
        <v>6111</v>
      </c>
      <c r="Q3227">
        <v>5</v>
      </c>
      <c r="R3227">
        <v>2026</v>
      </c>
      <c r="S3227" t="s">
        <v>6099</v>
      </c>
      <c r="T3227">
        <v>1</v>
      </c>
      <c r="U3227" t="s">
        <v>6018</v>
      </c>
      <c r="V3227">
        <v>0</v>
      </c>
    </row>
    <row r="3228" spans="1:22" x14ac:dyDescent="0.3">
      <c r="A3228" t="s">
        <v>3243</v>
      </c>
      <c r="B3228" s="2">
        <v>46164.445138888892</v>
      </c>
      <c r="C3228" s="2">
        <v>46165.624305555553</v>
      </c>
      <c r="D3228" t="s">
        <v>6024</v>
      </c>
      <c r="E3228" t="s">
        <v>6032</v>
      </c>
      <c r="F3228" t="s">
        <v>6034</v>
      </c>
      <c r="G3228" t="s">
        <v>6079</v>
      </c>
      <c r="H3228" t="s">
        <v>6097</v>
      </c>
      <c r="I3228">
        <v>24</v>
      </c>
      <c r="J3228">
        <v>28.3</v>
      </c>
      <c r="K3228" t="s">
        <v>6099</v>
      </c>
      <c r="L3228" t="s">
        <v>6100</v>
      </c>
      <c r="M3228" t="s">
        <v>6100</v>
      </c>
      <c r="N3228">
        <v>3</v>
      </c>
      <c r="O3228" t="s">
        <v>6101</v>
      </c>
      <c r="P3228" t="s">
        <v>6111</v>
      </c>
      <c r="Q3228">
        <v>5</v>
      </c>
      <c r="R3228">
        <v>2026</v>
      </c>
      <c r="S3228" t="s">
        <v>6100</v>
      </c>
      <c r="T3228">
        <v>0</v>
      </c>
      <c r="U3228" t="s">
        <v>6019</v>
      </c>
      <c r="V3228">
        <v>1</v>
      </c>
    </row>
    <row r="3229" spans="1:22" x14ac:dyDescent="0.3">
      <c r="A3229" t="s">
        <v>3244</v>
      </c>
      <c r="B3229" s="2">
        <v>46164.451388888891</v>
      </c>
      <c r="C3229" s="2">
        <v>46165.080555555556</v>
      </c>
      <c r="D3229" t="s">
        <v>6027</v>
      </c>
      <c r="E3229" t="s">
        <v>6029</v>
      </c>
      <c r="F3229" t="s">
        <v>6034</v>
      </c>
      <c r="G3229" t="s">
        <v>6046</v>
      </c>
      <c r="H3229" t="s">
        <v>6098</v>
      </c>
      <c r="I3229">
        <v>24</v>
      </c>
      <c r="J3229">
        <v>15.1</v>
      </c>
      <c r="K3229" t="s">
        <v>6099</v>
      </c>
      <c r="L3229" t="s">
        <v>6100</v>
      </c>
      <c r="M3229" t="s">
        <v>6100</v>
      </c>
      <c r="O3229" t="s">
        <v>6101</v>
      </c>
      <c r="P3229" t="s">
        <v>6111</v>
      </c>
      <c r="Q3229">
        <v>5</v>
      </c>
      <c r="R3229">
        <v>2026</v>
      </c>
      <c r="S3229" t="s">
        <v>6099</v>
      </c>
      <c r="T3229">
        <v>1</v>
      </c>
      <c r="U3229" t="s">
        <v>6018</v>
      </c>
      <c r="V3229">
        <v>1</v>
      </c>
    </row>
    <row r="3230" spans="1:22" x14ac:dyDescent="0.3">
      <c r="A3230" t="s">
        <v>3245</v>
      </c>
      <c r="B3230" s="2">
        <v>46164.478472222225</v>
      </c>
      <c r="C3230" s="2">
        <v>46164.915972222225</v>
      </c>
      <c r="D3230" t="s">
        <v>6024</v>
      </c>
      <c r="E3230" t="s">
        <v>6029</v>
      </c>
      <c r="F3230" t="s">
        <v>6033</v>
      </c>
      <c r="G3230" t="s">
        <v>6069</v>
      </c>
      <c r="H3230" t="s">
        <v>6098</v>
      </c>
      <c r="I3230">
        <v>72</v>
      </c>
      <c r="J3230">
        <v>10.5</v>
      </c>
      <c r="K3230" t="s">
        <v>6100</v>
      </c>
      <c r="L3230" t="s">
        <v>6099</v>
      </c>
      <c r="M3230" t="s">
        <v>6100</v>
      </c>
      <c r="O3230" t="s">
        <v>6101</v>
      </c>
      <c r="P3230" t="s">
        <v>6111</v>
      </c>
      <c r="Q3230">
        <v>5</v>
      </c>
      <c r="R3230">
        <v>2026</v>
      </c>
      <c r="S3230" t="s">
        <v>6099</v>
      </c>
      <c r="T3230">
        <v>1</v>
      </c>
      <c r="U3230" t="s">
        <v>6018</v>
      </c>
      <c r="V3230">
        <v>0</v>
      </c>
    </row>
    <row r="3231" spans="1:22" x14ac:dyDescent="0.3">
      <c r="A3231" t="s">
        <v>3246</v>
      </c>
      <c r="B3231" s="2">
        <v>46164.504166666666</v>
      </c>
      <c r="C3231" s="2">
        <v>46164.779166666667</v>
      </c>
      <c r="D3231" t="s">
        <v>6025</v>
      </c>
      <c r="E3231" t="s">
        <v>6030</v>
      </c>
      <c r="F3231" t="s">
        <v>6034</v>
      </c>
      <c r="G3231" t="s">
        <v>6094</v>
      </c>
      <c r="H3231" t="s">
        <v>6098</v>
      </c>
      <c r="I3231">
        <v>24</v>
      </c>
      <c r="J3231">
        <v>6.6</v>
      </c>
      <c r="K3231" t="s">
        <v>6099</v>
      </c>
      <c r="L3231" t="s">
        <v>6100</v>
      </c>
      <c r="M3231" t="s">
        <v>6100</v>
      </c>
      <c r="O3231" t="s">
        <v>6101</v>
      </c>
      <c r="P3231" t="s">
        <v>6111</v>
      </c>
      <c r="Q3231">
        <v>5</v>
      </c>
      <c r="R3231">
        <v>2026</v>
      </c>
      <c r="S3231" t="s">
        <v>6099</v>
      </c>
      <c r="T3231">
        <v>1</v>
      </c>
      <c r="U3231" t="s">
        <v>6017</v>
      </c>
      <c r="V3231">
        <v>1</v>
      </c>
    </row>
    <row r="3232" spans="1:22" x14ac:dyDescent="0.3">
      <c r="A3232" t="s">
        <v>3247</v>
      </c>
      <c r="B3232" s="2">
        <v>46164.506249999999</v>
      </c>
      <c r="C3232" s="2">
        <v>46168.377083333333</v>
      </c>
      <c r="D3232" t="s">
        <v>6026</v>
      </c>
      <c r="E3232" t="s">
        <v>6031</v>
      </c>
      <c r="F3232" t="s">
        <v>6033</v>
      </c>
      <c r="G3232" t="s">
        <v>6053</v>
      </c>
      <c r="H3232" t="s">
        <v>6097</v>
      </c>
      <c r="I3232">
        <v>72</v>
      </c>
      <c r="J3232">
        <v>92.9</v>
      </c>
      <c r="K3232" t="s">
        <v>6099</v>
      </c>
      <c r="L3232" t="s">
        <v>6100</v>
      </c>
      <c r="M3232" t="s">
        <v>6100</v>
      </c>
      <c r="O3232" t="s">
        <v>6101</v>
      </c>
      <c r="P3232" t="s">
        <v>6111</v>
      </c>
      <c r="Q3232">
        <v>5</v>
      </c>
      <c r="R3232">
        <v>2026</v>
      </c>
      <c r="S3232" t="s">
        <v>6100</v>
      </c>
      <c r="T3232">
        <v>0</v>
      </c>
      <c r="U3232" t="s">
        <v>6020</v>
      </c>
      <c r="V3232">
        <v>1</v>
      </c>
    </row>
    <row r="3233" spans="1:22" x14ac:dyDescent="0.3">
      <c r="A3233" t="s">
        <v>3248</v>
      </c>
      <c r="B3233" s="2">
        <v>46164.538888888892</v>
      </c>
      <c r="C3233" s="2">
        <v>46164.688888888886</v>
      </c>
      <c r="D3233" t="s">
        <v>6023</v>
      </c>
      <c r="E3233" t="s">
        <v>6030</v>
      </c>
      <c r="F3233" t="s">
        <v>6033</v>
      </c>
      <c r="G3233" t="s">
        <v>6068</v>
      </c>
      <c r="H3233" t="s">
        <v>6098</v>
      </c>
      <c r="I3233">
        <v>72</v>
      </c>
      <c r="J3233">
        <v>3.6</v>
      </c>
      <c r="K3233" t="s">
        <v>6099</v>
      </c>
      <c r="L3233" t="s">
        <v>6100</v>
      </c>
      <c r="M3233" t="s">
        <v>6100</v>
      </c>
      <c r="N3233">
        <v>5</v>
      </c>
      <c r="O3233" t="s">
        <v>6101</v>
      </c>
      <c r="P3233" t="s">
        <v>6111</v>
      </c>
      <c r="Q3233">
        <v>5</v>
      </c>
      <c r="R3233">
        <v>2026</v>
      </c>
      <c r="S3233" t="s">
        <v>6099</v>
      </c>
      <c r="T3233">
        <v>1</v>
      </c>
      <c r="U3233" t="s">
        <v>6018</v>
      </c>
      <c r="V3233">
        <v>1</v>
      </c>
    </row>
    <row r="3234" spans="1:22" x14ac:dyDescent="0.3">
      <c r="A3234" t="s">
        <v>3249</v>
      </c>
      <c r="B3234" s="2">
        <v>46164.560416666667</v>
      </c>
      <c r="C3234" s="2">
        <v>46165.010416666664</v>
      </c>
      <c r="D3234" t="s">
        <v>6028</v>
      </c>
      <c r="E3234" t="s">
        <v>6029</v>
      </c>
      <c r="F3234" t="s">
        <v>6035</v>
      </c>
      <c r="G3234" t="s">
        <v>6084</v>
      </c>
      <c r="H3234" t="s">
        <v>6098</v>
      </c>
      <c r="I3234">
        <v>4</v>
      </c>
      <c r="J3234">
        <v>10.8</v>
      </c>
      <c r="K3234" t="s">
        <v>6099</v>
      </c>
      <c r="L3234" t="s">
        <v>6100</v>
      </c>
      <c r="M3234" t="s">
        <v>6099</v>
      </c>
      <c r="O3234" t="s">
        <v>6101</v>
      </c>
      <c r="P3234" t="s">
        <v>6111</v>
      </c>
      <c r="Q3234">
        <v>5</v>
      </c>
      <c r="R3234">
        <v>2026</v>
      </c>
      <c r="S3234" t="s">
        <v>6100</v>
      </c>
      <c r="T3234">
        <v>0</v>
      </c>
      <c r="U3234" t="s">
        <v>6020</v>
      </c>
      <c r="V3234">
        <v>1</v>
      </c>
    </row>
    <row r="3235" spans="1:22" x14ac:dyDescent="0.3">
      <c r="A3235" t="s">
        <v>3250</v>
      </c>
      <c r="B3235" s="2">
        <v>46164.564583333333</v>
      </c>
      <c r="C3235" s="2">
        <v>46167.29791666667</v>
      </c>
      <c r="D3235" t="s">
        <v>6022</v>
      </c>
      <c r="E3235" t="s">
        <v>6032</v>
      </c>
      <c r="F3235" t="s">
        <v>6033</v>
      </c>
      <c r="G3235" t="s">
        <v>6091</v>
      </c>
      <c r="H3235" t="s">
        <v>6097</v>
      </c>
      <c r="I3235">
        <v>72</v>
      </c>
      <c r="J3235">
        <v>65.599999999999994</v>
      </c>
      <c r="K3235" t="s">
        <v>6100</v>
      </c>
      <c r="L3235" t="s">
        <v>6099</v>
      </c>
      <c r="M3235" t="s">
        <v>6100</v>
      </c>
      <c r="N3235">
        <v>4</v>
      </c>
      <c r="O3235" t="s">
        <v>6101</v>
      </c>
      <c r="P3235" t="s">
        <v>6111</v>
      </c>
      <c r="Q3235">
        <v>5</v>
      </c>
      <c r="R3235">
        <v>2026</v>
      </c>
      <c r="S3235" t="s">
        <v>6099</v>
      </c>
      <c r="T3235">
        <v>1</v>
      </c>
      <c r="U3235" t="s">
        <v>6021</v>
      </c>
      <c r="V3235">
        <v>0</v>
      </c>
    </row>
    <row r="3236" spans="1:22" x14ac:dyDescent="0.3">
      <c r="A3236" t="s">
        <v>3251</v>
      </c>
      <c r="B3236" s="2">
        <v>46164.575694444444</v>
      </c>
      <c r="C3236" s="2">
        <v>46165.379861111112</v>
      </c>
      <c r="D3236" t="s">
        <v>6023</v>
      </c>
      <c r="E3236" t="s">
        <v>6032</v>
      </c>
      <c r="F3236" t="s">
        <v>6034</v>
      </c>
      <c r="G3236" t="s">
        <v>6095</v>
      </c>
      <c r="H3236" t="s">
        <v>6098</v>
      </c>
      <c r="I3236">
        <v>24</v>
      </c>
      <c r="J3236">
        <v>19.3</v>
      </c>
      <c r="K3236" t="s">
        <v>6100</v>
      </c>
      <c r="L3236" t="s">
        <v>6100</v>
      </c>
      <c r="M3236" t="s">
        <v>6100</v>
      </c>
      <c r="N3236">
        <v>5</v>
      </c>
      <c r="O3236" t="s">
        <v>6101</v>
      </c>
      <c r="P3236" t="s">
        <v>6111</v>
      </c>
      <c r="Q3236">
        <v>5</v>
      </c>
      <c r="R3236">
        <v>2026</v>
      </c>
      <c r="S3236" t="s">
        <v>6099</v>
      </c>
      <c r="T3236">
        <v>1</v>
      </c>
      <c r="U3236" t="s">
        <v>6018</v>
      </c>
      <c r="V3236">
        <v>0</v>
      </c>
    </row>
    <row r="3237" spans="1:22" x14ac:dyDescent="0.3">
      <c r="A3237" t="s">
        <v>3252</v>
      </c>
      <c r="B3237" s="2">
        <v>46164.618055555555</v>
      </c>
      <c r="C3237" s="2">
        <v>46164.884722222225</v>
      </c>
      <c r="D3237" t="s">
        <v>6022</v>
      </c>
      <c r="E3237" t="s">
        <v>6029</v>
      </c>
      <c r="F3237" t="s">
        <v>6034</v>
      </c>
      <c r="G3237" t="s">
        <v>6044</v>
      </c>
      <c r="H3237" t="s">
        <v>6097</v>
      </c>
      <c r="I3237">
        <v>24</v>
      </c>
      <c r="J3237">
        <v>6.4</v>
      </c>
      <c r="K3237" t="s">
        <v>6099</v>
      </c>
      <c r="L3237" t="s">
        <v>6100</v>
      </c>
      <c r="M3237" t="s">
        <v>6100</v>
      </c>
      <c r="N3237">
        <v>4</v>
      </c>
      <c r="O3237" t="s">
        <v>6101</v>
      </c>
      <c r="P3237" t="s">
        <v>6111</v>
      </c>
      <c r="Q3237">
        <v>5</v>
      </c>
      <c r="R3237">
        <v>2026</v>
      </c>
      <c r="S3237" t="s">
        <v>6099</v>
      </c>
      <c r="T3237">
        <v>1</v>
      </c>
      <c r="U3237" t="s">
        <v>6017</v>
      </c>
      <c r="V3237">
        <v>1</v>
      </c>
    </row>
    <row r="3238" spans="1:22" x14ac:dyDescent="0.3">
      <c r="A3238" t="s">
        <v>3253</v>
      </c>
      <c r="B3238" s="2">
        <v>46164.62222222222</v>
      </c>
      <c r="C3238" s="2">
        <v>46165.009722222225</v>
      </c>
      <c r="D3238" t="s">
        <v>6028</v>
      </c>
      <c r="E3238" t="s">
        <v>6029</v>
      </c>
      <c r="F3238" t="s">
        <v>6035</v>
      </c>
      <c r="G3238" t="s">
        <v>6063</v>
      </c>
      <c r="H3238" t="s">
        <v>6097</v>
      </c>
      <c r="I3238">
        <v>4</v>
      </c>
      <c r="J3238">
        <v>9.3000000000000007</v>
      </c>
      <c r="K3238" t="s">
        <v>6099</v>
      </c>
      <c r="L3238" t="s">
        <v>6100</v>
      </c>
      <c r="M3238" t="s">
        <v>6100</v>
      </c>
      <c r="N3238">
        <v>5</v>
      </c>
      <c r="O3238" t="s">
        <v>6101</v>
      </c>
      <c r="P3238" t="s">
        <v>6111</v>
      </c>
      <c r="Q3238">
        <v>5</v>
      </c>
      <c r="R3238">
        <v>2026</v>
      </c>
      <c r="S3238" t="s">
        <v>6100</v>
      </c>
      <c r="T3238">
        <v>0</v>
      </c>
      <c r="U3238" t="s">
        <v>6019</v>
      </c>
      <c r="V3238">
        <v>1</v>
      </c>
    </row>
    <row r="3239" spans="1:22" x14ac:dyDescent="0.3">
      <c r="A3239" t="s">
        <v>3254</v>
      </c>
      <c r="B3239" s="2">
        <v>46164.631944444445</v>
      </c>
      <c r="C3239" s="2">
        <v>46164.911111111112</v>
      </c>
      <c r="D3239" t="s">
        <v>6028</v>
      </c>
      <c r="E3239" t="s">
        <v>6029</v>
      </c>
      <c r="F3239" t="s">
        <v>6034</v>
      </c>
      <c r="G3239" t="s">
        <v>6078</v>
      </c>
      <c r="H3239" t="s">
        <v>6097</v>
      </c>
      <c r="I3239">
        <v>24</v>
      </c>
      <c r="J3239">
        <v>6.7</v>
      </c>
      <c r="K3239" t="s">
        <v>6099</v>
      </c>
      <c r="L3239" t="s">
        <v>6100</v>
      </c>
      <c r="M3239" t="s">
        <v>6100</v>
      </c>
      <c r="O3239" t="s">
        <v>6101</v>
      </c>
      <c r="P3239" t="s">
        <v>6111</v>
      </c>
      <c r="Q3239">
        <v>5</v>
      </c>
      <c r="R3239">
        <v>2026</v>
      </c>
      <c r="S3239" t="s">
        <v>6099</v>
      </c>
      <c r="T3239">
        <v>1</v>
      </c>
      <c r="U3239" t="s">
        <v>6020</v>
      </c>
      <c r="V3239">
        <v>1</v>
      </c>
    </row>
    <row r="3240" spans="1:22" x14ac:dyDescent="0.3">
      <c r="A3240" t="s">
        <v>3255</v>
      </c>
      <c r="B3240" s="2">
        <v>46164.661111111112</v>
      </c>
      <c r="C3240" s="2">
        <v>46164.786111111112</v>
      </c>
      <c r="D3240" t="s">
        <v>6023</v>
      </c>
      <c r="E3240" t="s">
        <v>6032</v>
      </c>
      <c r="F3240" t="s">
        <v>6033</v>
      </c>
      <c r="G3240" t="s">
        <v>6074</v>
      </c>
      <c r="H3240" t="s">
        <v>6098</v>
      </c>
      <c r="I3240">
        <v>72</v>
      </c>
      <c r="J3240">
        <v>3</v>
      </c>
      <c r="K3240" t="s">
        <v>6099</v>
      </c>
      <c r="L3240" t="s">
        <v>6100</v>
      </c>
      <c r="M3240" t="s">
        <v>6100</v>
      </c>
      <c r="N3240">
        <v>4</v>
      </c>
      <c r="O3240" t="s">
        <v>6101</v>
      </c>
      <c r="P3240" t="s">
        <v>6111</v>
      </c>
      <c r="Q3240">
        <v>5</v>
      </c>
      <c r="R3240">
        <v>2026</v>
      </c>
      <c r="S3240" t="s">
        <v>6099</v>
      </c>
      <c r="T3240">
        <v>1</v>
      </c>
      <c r="U3240" t="s">
        <v>6017</v>
      </c>
      <c r="V3240">
        <v>1</v>
      </c>
    </row>
    <row r="3241" spans="1:22" x14ac:dyDescent="0.3">
      <c r="A3241" t="s">
        <v>3256</v>
      </c>
      <c r="B3241" s="2">
        <v>46164.663194444445</v>
      </c>
      <c r="C3241" s="2">
        <v>46165.492361111108</v>
      </c>
      <c r="D3241" t="s">
        <v>6024</v>
      </c>
      <c r="E3241" t="s">
        <v>6032</v>
      </c>
      <c r="F3241" t="s">
        <v>6033</v>
      </c>
      <c r="G3241" t="s">
        <v>6046</v>
      </c>
      <c r="H3241" t="s">
        <v>6098</v>
      </c>
      <c r="I3241">
        <v>72</v>
      </c>
      <c r="J3241">
        <v>19.899999999999999</v>
      </c>
      <c r="K3241" t="s">
        <v>6099</v>
      </c>
      <c r="L3241" t="s">
        <v>6100</v>
      </c>
      <c r="M3241" t="s">
        <v>6100</v>
      </c>
      <c r="N3241">
        <v>5</v>
      </c>
      <c r="O3241" t="s">
        <v>6101</v>
      </c>
      <c r="P3241" t="s">
        <v>6111</v>
      </c>
      <c r="Q3241">
        <v>5</v>
      </c>
      <c r="R3241">
        <v>2026</v>
      </c>
      <c r="S3241" t="s">
        <v>6099</v>
      </c>
      <c r="T3241">
        <v>1</v>
      </c>
      <c r="U3241" t="s">
        <v>6021</v>
      </c>
      <c r="V3241">
        <v>1</v>
      </c>
    </row>
    <row r="3242" spans="1:22" x14ac:dyDescent="0.3">
      <c r="A3242" t="s">
        <v>3257</v>
      </c>
      <c r="B3242" s="2">
        <v>46164.679166666669</v>
      </c>
      <c r="C3242" s="2">
        <v>46164.833333333336</v>
      </c>
      <c r="D3242" t="s">
        <v>6027</v>
      </c>
      <c r="E3242" t="s">
        <v>6030</v>
      </c>
      <c r="F3242" t="s">
        <v>6033</v>
      </c>
      <c r="G3242" t="s">
        <v>6052</v>
      </c>
      <c r="H3242" t="s">
        <v>6098</v>
      </c>
      <c r="I3242">
        <v>72</v>
      </c>
      <c r="J3242">
        <v>3.7</v>
      </c>
      <c r="K3242" t="s">
        <v>6100</v>
      </c>
      <c r="L3242" t="s">
        <v>6100</v>
      </c>
      <c r="M3242" t="s">
        <v>6100</v>
      </c>
      <c r="N3242">
        <v>5</v>
      </c>
      <c r="O3242" t="s">
        <v>6101</v>
      </c>
      <c r="P3242" t="s">
        <v>6111</v>
      </c>
      <c r="Q3242">
        <v>5</v>
      </c>
      <c r="R3242">
        <v>2026</v>
      </c>
      <c r="S3242" t="s">
        <v>6099</v>
      </c>
      <c r="T3242">
        <v>1</v>
      </c>
      <c r="U3242" t="s">
        <v>6020</v>
      </c>
      <c r="V3242">
        <v>0</v>
      </c>
    </row>
    <row r="3243" spans="1:22" x14ac:dyDescent="0.3">
      <c r="A3243" t="s">
        <v>3258</v>
      </c>
      <c r="B3243" s="2">
        <v>46164.686111111114</v>
      </c>
      <c r="C3243" s="2">
        <v>46165.148611111108</v>
      </c>
      <c r="D3243" t="s">
        <v>6023</v>
      </c>
      <c r="E3243" t="s">
        <v>6029</v>
      </c>
      <c r="F3243" t="s">
        <v>6033</v>
      </c>
      <c r="G3243" t="s">
        <v>6063</v>
      </c>
      <c r="H3243" t="s">
        <v>6097</v>
      </c>
      <c r="I3243">
        <v>72</v>
      </c>
      <c r="J3243">
        <v>11.1</v>
      </c>
      <c r="K3243" t="s">
        <v>6100</v>
      </c>
      <c r="L3243" t="s">
        <v>6099</v>
      </c>
      <c r="M3243" t="s">
        <v>6100</v>
      </c>
      <c r="O3243" t="s">
        <v>6101</v>
      </c>
      <c r="P3243" t="s">
        <v>6111</v>
      </c>
      <c r="Q3243">
        <v>5</v>
      </c>
      <c r="R3243">
        <v>2026</v>
      </c>
      <c r="S3243" t="s">
        <v>6099</v>
      </c>
      <c r="T3243">
        <v>1</v>
      </c>
      <c r="U3243" t="s">
        <v>6019</v>
      </c>
      <c r="V3243">
        <v>0</v>
      </c>
    </row>
    <row r="3244" spans="1:22" x14ac:dyDescent="0.3">
      <c r="A3244" t="s">
        <v>3259</v>
      </c>
      <c r="B3244" s="2">
        <v>46164.691666666666</v>
      </c>
      <c r="C3244" s="2">
        <v>46164.9375</v>
      </c>
      <c r="D3244" t="s">
        <v>6024</v>
      </c>
      <c r="E3244" t="s">
        <v>6030</v>
      </c>
      <c r="F3244" t="s">
        <v>6034</v>
      </c>
      <c r="G3244" t="s">
        <v>6049</v>
      </c>
      <c r="H3244" t="s">
        <v>6097</v>
      </c>
      <c r="I3244">
        <v>24</v>
      </c>
      <c r="J3244">
        <v>5.9</v>
      </c>
      <c r="K3244" t="s">
        <v>6099</v>
      </c>
      <c r="L3244" t="s">
        <v>6100</v>
      </c>
      <c r="M3244" t="s">
        <v>6100</v>
      </c>
      <c r="O3244" t="s">
        <v>6101</v>
      </c>
      <c r="P3244" t="s">
        <v>6111</v>
      </c>
      <c r="Q3244">
        <v>5</v>
      </c>
      <c r="R3244">
        <v>2026</v>
      </c>
      <c r="S3244" t="s">
        <v>6099</v>
      </c>
      <c r="T3244">
        <v>1</v>
      </c>
      <c r="U3244" t="s">
        <v>6019</v>
      </c>
      <c r="V3244">
        <v>1</v>
      </c>
    </row>
    <row r="3245" spans="1:22" x14ac:dyDescent="0.3">
      <c r="A3245" t="s">
        <v>3260</v>
      </c>
      <c r="B3245" s="2">
        <v>46164.7</v>
      </c>
      <c r="C3245" s="2">
        <v>46165.008333333331</v>
      </c>
      <c r="D3245" t="s">
        <v>6023</v>
      </c>
      <c r="E3245" t="s">
        <v>6030</v>
      </c>
      <c r="F3245" t="s">
        <v>6034</v>
      </c>
      <c r="G3245" t="s">
        <v>6066</v>
      </c>
      <c r="H3245" t="s">
        <v>6096</v>
      </c>
      <c r="I3245">
        <v>24</v>
      </c>
      <c r="J3245">
        <v>7.4</v>
      </c>
      <c r="K3245" t="s">
        <v>6100</v>
      </c>
      <c r="L3245" t="s">
        <v>6100</v>
      </c>
      <c r="M3245" t="s">
        <v>6100</v>
      </c>
      <c r="O3245" t="s">
        <v>6101</v>
      </c>
      <c r="P3245" t="s">
        <v>6111</v>
      </c>
      <c r="Q3245">
        <v>5</v>
      </c>
      <c r="R3245">
        <v>2026</v>
      </c>
      <c r="S3245" t="s">
        <v>6099</v>
      </c>
      <c r="T3245">
        <v>1</v>
      </c>
      <c r="U3245" t="s">
        <v>6021</v>
      </c>
      <c r="V3245">
        <v>0</v>
      </c>
    </row>
    <row r="3246" spans="1:22" x14ac:dyDescent="0.3">
      <c r="A3246" t="s">
        <v>3261</v>
      </c>
      <c r="B3246" s="2">
        <v>46164.722222222219</v>
      </c>
      <c r="C3246" s="2">
        <v>46164.922222222223</v>
      </c>
      <c r="D3246" t="s">
        <v>6022</v>
      </c>
      <c r="E3246" t="s">
        <v>6030</v>
      </c>
      <c r="F3246" t="s">
        <v>6034</v>
      </c>
      <c r="G3246" t="s">
        <v>6038</v>
      </c>
      <c r="H3246" t="s">
        <v>6096</v>
      </c>
      <c r="I3246">
        <v>24</v>
      </c>
      <c r="J3246">
        <v>4.8</v>
      </c>
      <c r="K3246" t="s">
        <v>6099</v>
      </c>
      <c r="L3246" t="s">
        <v>6100</v>
      </c>
      <c r="M3246" t="s">
        <v>6100</v>
      </c>
      <c r="N3246">
        <v>5</v>
      </c>
      <c r="O3246" t="s">
        <v>6101</v>
      </c>
      <c r="P3246" t="s">
        <v>6111</v>
      </c>
      <c r="Q3246">
        <v>5</v>
      </c>
      <c r="R3246">
        <v>2026</v>
      </c>
      <c r="S3246" t="s">
        <v>6099</v>
      </c>
      <c r="T3246">
        <v>1</v>
      </c>
      <c r="U3246" t="s">
        <v>6018</v>
      </c>
      <c r="V3246">
        <v>1</v>
      </c>
    </row>
    <row r="3247" spans="1:22" x14ac:dyDescent="0.3">
      <c r="A3247" t="s">
        <v>3262</v>
      </c>
      <c r="B3247" s="2">
        <v>46164.729166666664</v>
      </c>
      <c r="C3247" s="2">
        <v>46166.283333333333</v>
      </c>
      <c r="D3247" t="s">
        <v>6024</v>
      </c>
      <c r="E3247" t="s">
        <v>6032</v>
      </c>
      <c r="F3247" t="s">
        <v>6033</v>
      </c>
      <c r="G3247" t="s">
        <v>6070</v>
      </c>
      <c r="H3247" t="s">
        <v>6097</v>
      </c>
      <c r="I3247">
        <v>72</v>
      </c>
      <c r="J3247">
        <v>37.299999999999997</v>
      </c>
      <c r="K3247" t="s">
        <v>6099</v>
      </c>
      <c r="L3247" t="s">
        <v>6100</v>
      </c>
      <c r="M3247" t="s">
        <v>6100</v>
      </c>
      <c r="N3247">
        <v>3</v>
      </c>
      <c r="O3247" t="s">
        <v>6101</v>
      </c>
      <c r="P3247" t="s">
        <v>6111</v>
      </c>
      <c r="Q3247">
        <v>5</v>
      </c>
      <c r="R3247">
        <v>2026</v>
      </c>
      <c r="S3247" t="s">
        <v>6099</v>
      </c>
      <c r="T3247">
        <v>1</v>
      </c>
      <c r="U3247" t="s">
        <v>6021</v>
      </c>
      <c r="V3247">
        <v>1</v>
      </c>
    </row>
    <row r="3248" spans="1:22" x14ac:dyDescent="0.3">
      <c r="A3248" t="s">
        <v>3263</v>
      </c>
      <c r="B3248" s="2">
        <v>46164.861805555556</v>
      </c>
      <c r="C3248" s="2">
        <v>46165.924305555556</v>
      </c>
      <c r="D3248" t="s">
        <v>6025</v>
      </c>
      <c r="E3248" t="s">
        <v>6030</v>
      </c>
      <c r="F3248" t="s">
        <v>6034</v>
      </c>
      <c r="G3248" t="s">
        <v>6091</v>
      </c>
      <c r="H3248" t="s">
        <v>6097</v>
      </c>
      <c r="I3248">
        <v>24</v>
      </c>
      <c r="J3248">
        <v>25.5</v>
      </c>
      <c r="K3248" t="s">
        <v>6099</v>
      </c>
      <c r="L3248" t="s">
        <v>6100</v>
      </c>
      <c r="M3248" t="s">
        <v>6100</v>
      </c>
      <c r="O3248" t="s">
        <v>6101</v>
      </c>
      <c r="P3248" t="s">
        <v>6111</v>
      </c>
      <c r="Q3248">
        <v>5</v>
      </c>
      <c r="R3248">
        <v>2026</v>
      </c>
      <c r="S3248" t="s">
        <v>6100</v>
      </c>
      <c r="T3248">
        <v>0</v>
      </c>
      <c r="U3248" t="s">
        <v>6018</v>
      </c>
      <c r="V3248">
        <v>1</v>
      </c>
    </row>
    <row r="3249" spans="1:22" x14ac:dyDescent="0.3">
      <c r="A3249" t="s">
        <v>3264</v>
      </c>
      <c r="B3249" s="2">
        <v>46165.22152777778</v>
      </c>
      <c r="C3249" s="2">
        <v>46165.53402777778</v>
      </c>
      <c r="D3249" t="s">
        <v>6024</v>
      </c>
      <c r="E3249" t="s">
        <v>6030</v>
      </c>
      <c r="F3249" t="s">
        <v>6033</v>
      </c>
      <c r="G3249" t="s">
        <v>6052</v>
      </c>
      <c r="H3249" t="s">
        <v>6098</v>
      </c>
      <c r="I3249">
        <v>72</v>
      </c>
      <c r="J3249">
        <v>7.5</v>
      </c>
      <c r="K3249" t="s">
        <v>6099</v>
      </c>
      <c r="L3249" t="s">
        <v>6100</v>
      </c>
      <c r="M3249" t="s">
        <v>6100</v>
      </c>
      <c r="N3249">
        <v>4</v>
      </c>
      <c r="O3249" t="s">
        <v>6101</v>
      </c>
      <c r="P3249" t="s">
        <v>6111</v>
      </c>
      <c r="Q3249">
        <v>5</v>
      </c>
      <c r="R3249">
        <v>2026</v>
      </c>
      <c r="S3249" t="s">
        <v>6099</v>
      </c>
      <c r="T3249">
        <v>1</v>
      </c>
      <c r="U3249" t="s">
        <v>6017</v>
      </c>
      <c r="V3249">
        <v>1</v>
      </c>
    </row>
    <row r="3250" spans="1:22" x14ac:dyDescent="0.3">
      <c r="A3250" t="s">
        <v>3265</v>
      </c>
      <c r="B3250" s="2">
        <v>46165.234722222223</v>
      </c>
      <c r="C3250" s="2">
        <v>46165.49722222222</v>
      </c>
      <c r="D3250" t="s">
        <v>6028</v>
      </c>
      <c r="E3250" t="s">
        <v>6032</v>
      </c>
      <c r="F3250" t="s">
        <v>6034</v>
      </c>
      <c r="G3250" t="s">
        <v>6060</v>
      </c>
      <c r="H3250" t="s">
        <v>6097</v>
      </c>
      <c r="I3250">
        <v>24</v>
      </c>
      <c r="J3250">
        <v>6.3</v>
      </c>
      <c r="K3250" t="s">
        <v>6100</v>
      </c>
      <c r="L3250" t="s">
        <v>6100</v>
      </c>
      <c r="M3250" t="s">
        <v>6100</v>
      </c>
      <c r="N3250">
        <v>5</v>
      </c>
      <c r="O3250" t="s">
        <v>6101</v>
      </c>
      <c r="P3250" t="s">
        <v>6111</v>
      </c>
      <c r="Q3250">
        <v>5</v>
      </c>
      <c r="R3250">
        <v>2026</v>
      </c>
      <c r="S3250" t="s">
        <v>6099</v>
      </c>
      <c r="T3250">
        <v>1</v>
      </c>
      <c r="U3250" t="s">
        <v>6021</v>
      </c>
      <c r="V3250">
        <v>0</v>
      </c>
    </row>
    <row r="3251" spans="1:22" x14ac:dyDescent="0.3">
      <c r="A3251" t="s">
        <v>3266</v>
      </c>
      <c r="B3251" s="2">
        <v>46165.3</v>
      </c>
      <c r="C3251" s="2">
        <v>46170.26666666667</v>
      </c>
      <c r="D3251" t="s">
        <v>6026</v>
      </c>
      <c r="E3251" t="s">
        <v>6031</v>
      </c>
      <c r="F3251" t="s">
        <v>6034</v>
      </c>
      <c r="G3251" t="s">
        <v>6036</v>
      </c>
      <c r="H3251" t="s">
        <v>6096</v>
      </c>
      <c r="I3251">
        <v>24</v>
      </c>
      <c r="J3251">
        <v>119.2</v>
      </c>
      <c r="K3251" t="s">
        <v>6099</v>
      </c>
      <c r="L3251" t="s">
        <v>6100</v>
      </c>
      <c r="M3251" t="s">
        <v>6100</v>
      </c>
      <c r="N3251">
        <v>4</v>
      </c>
      <c r="O3251" t="s">
        <v>6101</v>
      </c>
      <c r="P3251" t="s">
        <v>6111</v>
      </c>
      <c r="Q3251">
        <v>5</v>
      </c>
      <c r="R3251">
        <v>2026</v>
      </c>
      <c r="S3251" t="s">
        <v>6100</v>
      </c>
      <c r="T3251">
        <v>0</v>
      </c>
      <c r="U3251" t="s">
        <v>6018</v>
      </c>
      <c r="V3251">
        <v>1</v>
      </c>
    </row>
    <row r="3252" spans="1:22" x14ac:dyDescent="0.3">
      <c r="A3252" t="s">
        <v>3267</v>
      </c>
      <c r="B3252" s="2">
        <v>46165.329861111109</v>
      </c>
      <c r="C3252" s="2">
        <v>46166.654861111114</v>
      </c>
      <c r="D3252" t="s">
        <v>6022</v>
      </c>
      <c r="E3252" t="s">
        <v>6031</v>
      </c>
      <c r="F3252" t="s">
        <v>6034</v>
      </c>
      <c r="G3252" t="s">
        <v>6074</v>
      </c>
      <c r="H3252" t="s">
        <v>6098</v>
      </c>
      <c r="I3252">
        <v>24</v>
      </c>
      <c r="J3252">
        <v>31.8</v>
      </c>
      <c r="K3252" t="s">
        <v>6100</v>
      </c>
      <c r="L3252" t="s">
        <v>6099</v>
      </c>
      <c r="M3252" t="s">
        <v>6100</v>
      </c>
      <c r="N3252">
        <v>3</v>
      </c>
      <c r="O3252" t="s">
        <v>6101</v>
      </c>
      <c r="P3252" t="s">
        <v>6111</v>
      </c>
      <c r="Q3252">
        <v>5</v>
      </c>
      <c r="R3252">
        <v>2026</v>
      </c>
      <c r="S3252" t="s">
        <v>6100</v>
      </c>
      <c r="T3252">
        <v>0</v>
      </c>
      <c r="U3252" t="s">
        <v>6020</v>
      </c>
      <c r="V3252">
        <v>0</v>
      </c>
    </row>
    <row r="3253" spans="1:22" x14ac:dyDescent="0.3">
      <c r="A3253" t="s">
        <v>3268</v>
      </c>
      <c r="B3253" s="2">
        <v>46165.374305555553</v>
      </c>
      <c r="C3253" s="2">
        <v>46165.524305555555</v>
      </c>
      <c r="D3253" t="s">
        <v>6023</v>
      </c>
      <c r="E3253" t="s">
        <v>6030</v>
      </c>
      <c r="F3253" t="s">
        <v>6034</v>
      </c>
      <c r="G3253" t="s">
        <v>6058</v>
      </c>
      <c r="H3253" t="s">
        <v>6098</v>
      </c>
      <c r="I3253">
        <v>24</v>
      </c>
      <c r="J3253">
        <v>3.6</v>
      </c>
      <c r="K3253" t="s">
        <v>6099</v>
      </c>
      <c r="L3253" t="s">
        <v>6100</v>
      </c>
      <c r="M3253" t="s">
        <v>6099</v>
      </c>
      <c r="N3253">
        <v>5</v>
      </c>
      <c r="O3253" t="s">
        <v>6101</v>
      </c>
      <c r="P3253" t="s">
        <v>6111</v>
      </c>
      <c r="Q3253">
        <v>5</v>
      </c>
      <c r="R3253">
        <v>2026</v>
      </c>
      <c r="S3253" t="s">
        <v>6099</v>
      </c>
      <c r="T3253">
        <v>1</v>
      </c>
      <c r="U3253" t="s">
        <v>6021</v>
      </c>
      <c r="V3253">
        <v>1</v>
      </c>
    </row>
    <row r="3254" spans="1:22" x14ac:dyDescent="0.3">
      <c r="A3254" t="s">
        <v>3269</v>
      </c>
      <c r="B3254" s="2">
        <v>46165.438194444447</v>
      </c>
      <c r="C3254" s="2">
        <v>46166.479861111111</v>
      </c>
      <c r="D3254" t="s">
        <v>6028</v>
      </c>
      <c r="E3254" t="s">
        <v>6031</v>
      </c>
      <c r="F3254" t="s">
        <v>6035</v>
      </c>
      <c r="G3254" t="s">
        <v>6073</v>
      </c>
      <c r="H3254" t="s">
        <v>6096</v>
      </c>
      <c r="I3254">
        <v>4</v>
      </c>
      <c r="J3254">
        <v>25</v>
      </c>
      <c r="K3254" t="s">
        <v>6099</v>
      </c>
      <c r="L3254" t="s">
        <v>6100</v>
      </c>
      <c r="M3254" t="s">
        <v>6100</v>
      </c>
      <c r="N3254">
        <v>5</v>
      </c>
      <c r="O3254" t="s">
        <v>6101</v>
      </c>
      <c r="P3254" t="s">
        <v>6111</v>
      </c>
      <c r="Q3254">
        <v>5</v>
      </c>
      <c r="R3254">
        <v>2026</v>
      </c>
      <c r="S3254" t="s">
        <v>6100</v>
      </c>
      <c r="T3254">
        <v>0</v>
      </c>
      <c r="U3254" t="s">
        <v>6019</v>
      </c>
      <c r="V3254">
        <v>1</v>
      </c>
    </row>
    <row r="3255" spans="1:22" x14ac:dyDescent="0.3">
      <c r="A3255" t="s">
        <v>3270</v>
      </c>
      <c r="B3255" s="2">
        <v>46165.484722222223</v>
      </c>
      <c r="C3255" s="2">
        <v>46166.793055555558</v>
      </c>
      <c r="D3255" t="s">
        <v>6026</v>
      </c>
      <c r="E3255" t="s">
        <v>6030</v>
      </c>
      <c r="F3255" t="s">
        <v>6035</v>
      </c>
      <c r="G3255" t="s">
        <v>6036</v>
      </c>
      <c r="H3255" t="s">
        <v>6096</v>
      </c>
      <c r="I3255">
        <v>4</v>
      </c>
      <c r="J3255">
        <v>31.4</v>
      </c>
      <c r="K3255" t="s">
        <v>6100</v>
      </c>
      <c r="L3255" t="s">
        <v>6099</v>
      </c>
      <c r="M3255" t="s">
        <v>6100</v>
      </c>
      <c r="O3255" t="s">
        <v>6101</v>
      </c>
      <c r="P3255" t="s">
        <v>6111</v>
      </c>
      <c r="Q3255">
        <v>5</v>
      </c>
      <c r="R3255">
        <v>2026</v>
      </c>
      <c r="S3255" t="s">
        <v>6100</v>
      </c>
      <c r="T3255">
        <v>0</v>
      </c>
      <c r="U3255" t="s">
        <v>6019</v>
      </c>
      <c r="V3255">
        <v>0</v>
      </c>
    </row>
    <row r="3256" spans="1:22" x14ac:dyDescent="0.3">
      <c r="A3256" t="s">
        <v>3271</v>
      </c>
      <c r="B3256" s="2">
        <v>46165.520833333336</v>
      </c>
      <c r="C3256" s="2">
        <v>46166.683333333334</v>
      </c>
      <c r="D3256" t="s">
        <v>6025</v>
      </c>
      <c r="E3256" t="s">
        <v>6031</v>
      </c>
      <c r="F3256" t="s">
        <v>6033</v>
      </c>
      <c r="G3256" t="s">
        <v>6058</v>
      </c>
      <c r="H3256" t="s">
        <v>6098</v>
      </c>
      <c r="I3256">
        <v>72</v>
      </c>
      <c r="J3256">
        <v>27.9</v>
      </c>
      <c r="K3256" t="s">
        <v>6099</v>
      </c>
      <c r="L3256" t="s">
        <v>6100</v>
      </c>
      <c r="M3256" t="s">
        <v>6100</v>
      </c>
      <c r="N3256">
        <v>5</v>
      </c>
      <c r="O3256" t="s">
        <v>6101</v>
      </c>
      <c r="P3256" t="s">
        <v>6111</v>
      </c>
      <c r="Q3256">
        <v>5</v>
      </c>
      <c r="R3256">
        <v>2026</v>
      </c>
      <c r="S3256" t="s">
        <v>6099</v>
      </c>
      <c r="T3256">
        <v>1</v>
      </c>
      <c r="U3256" t="s">
        <v>6020</v>
      </c>
      <c r="V3256">
        <v>1</v>
      </c>
    </row>
    <row r="3257" spans="1:22" x14ac:dyDescent="0.3">
      <c r="A3257" t="s">
        <v>3272</v>
      </c>
      <c r="B3257" s="2">
        <v>46165.526388888888</v>
      </c>
      <c r="C3257" s="2">
        <v>46165.643055555556</v>
      </c>
      <c r="D3257" t="s">
        <v>6023</v>
      </c>
      <c r="E3257" t="s">
        <v>6030</v>
      </c>
      <c r="F3257" t="s">
        <v>6033</v>
      </c>
      <c r="G3257" t="s">
        <v>6040</v>
      </c>
      <c r="H3257" t="s">
        <v>6097</v>
      </c>
      <c r="I3257">
        <v>72</v>
      </c>
      <c r="J3257">
        <v>2.8</v>
      </c>
      <c r="K3257" t="s">
        <v>6099</v>
      </c>
      <c r="L3257" t="s">
        <v>6100</v>
      </c>
      <c r="M3257" t="s">
        <v>6100</v>
      </c>
      <c r="N3257">
        <v>5</v>
      </c>
      <c r="O3257" t="s">
        <v>6101</v>
      </c>
      <c r="P3257" t="s">
        <v>6111</v>
      </c>
      <c r="Q3257">
        <v>5</v>
      </c>
      <c r="R3257">
        <v>2026</v>
      </c>
      <c r="S3257" t="s">
        <v>6099</v>
      </c>
      <c r="T3257">
        <v>1</v>
      </c>
      <c r="U3257" t="s">
        <v>6021</v>
      </c>
      <c r="V3257">
        <v>1</v>
      </c>
    </row>
    <row r="3258" spans="1:22" x14ac:dyDescent="0.3">
      <c r="A3258" t="s">
        <v>3273</v>
      </c>
      <c r="B3258" s="2">
        <v>46165.55</v>
      </c>
      <c r="C3258" s="2">
        <v>46167.887499999997</v>
      </c>
      <c r="D3258" t="s">
        <v>6025</v>
      </c>
      <c r="E3258" t="s">
        <v>6031</v>
      </c>
      <c r="F3258" t="s">
        <v>6035</v>
      </c>
      <c r="G3258" t="s">
        <v>6059</v>
      </c>
      <c r="H3258" t="s">
        <v>6097</v>
      </c>
      <c r="I3258">
        <v>4</v>
      </c>
      <c r="J3258">
        <v>56.1</v>
      </c>
      <c r="K3258" t="s">
        <v>6099</v>
      </c>
      <c r="L3258" t="s">
        <v>6100</v>
      </c>
      <c r="M3258" t="s">
        <v>6099</v>
      </c>
      <c r="O3258" t="s">
        <v>6101</v>
      </c>
      <c r="P3258" t="s">
        <v>6111</v>
      </c>
      <c r="Q3258">
        <v>5</v>
      </c>
      <c r="R3258">
        <v>2026</v>
      </c>
      <c r="S3258" t="s">
        <v>6100</v>
      </c>
      <c r="T3258">
        <v>0</v>
      </c>
      <c r="U3258" t="s">
        <v>6021</v>
      </c>
      <c r="V3258">
        <v>1</v>
      </c>
    </row>
    <row r="3259" spans="1:22" x14ac:dyDescent="0.3">
      <c r="A3259" t="s">
        <v>3274</v>
      </c>
      <c r="B3259" s="2">
        <v>46165.582638888889</v>
      </c>
      <c r="C3259" s="2">
        <v>46165.874305555553</v>
      </c>
      <c r="D3259" t="s">
        <v>6023</v>
      </c>
      <c r="E3259" t="s">
        <v>6029</v>
      </c>
      <c r="F3259" t="s">
        <v>6035</v>
      </c>
      <c r="G3259" t="s">
        <v>6043</v>
      </c>
      <c r="H3259" t="s">
        <v>6097</v>
      </c>
      <c r="I3259">
        <v>4</v>
      </c>
      <c r="J3259">
        <v>7</v>
      </c>
      <c r="K3259" t="s">
        <v>6099</v>
      </c>
      <c r="L3259" t="s">
        <v>6100</v>
      </c>
      <c r="M3259" t="s">
        <v>6100</v>
      </c>
      <c r="O3259" t="s">
        <v>6101</v>
      </c>
      <c r="P3259" t="s">
        <v>6111</v>
      </c>
      <c r="Q3259">
        <v>5</v>
      </c>
      <c r="R3259">
        <v>2026</v>
      </c>
      <c r="S3259" t="s">
        <v>6100</v>
      </c>
      <c r="T3259">
        <v>0</v>
      </c>
      <c r="U3259" t="s">
        <v>6018</v>
      </c>
      <c r="V3259">
        <v>1</v>
      </c>
    </row>
    <row r="3260" spans="1:22" x14ac:dyDescent="0.3">
      <c r="A3260" t="s">
        <v>3275</v>
      </c>
      <c r="B3260" s="2">
        <v>46165.582638888889</v>
      </c>
      <c r="C3260" s="2">
        <v>46169.295138888891</v>
      </c>
      <c r="D3260" t="s">
        <v>6022</v>
      </c>
      <c r="E3260" t="s">
        <v>6031</v>
      </c>
      <c r="F3260" t="s">
        <v>6033</v>
      </c>
      <c r="G3260" t="s">
        <v>6076</v>
      </c>
      <c r="H3260" t="s">
        <v>6097</v>
      </c>
      <c r="I3260">
        <v>72</v>
      </c>
      <c r="J3260">
        <v>89.1</v>
      </c>
      <c r="K3260" t="s">
        <v>6099</v>
      </c>
      <c r="L3260" t="s">
        <v>6100</v>
      </c>
      <c r="M3260" t="s">
        <v>6100</v>
      </c>
      <c r="N3260">
        <v>3</v>
      </c>
      <c r="O3260" t="s">
        <v>6101</v>
      </c>
      <c r="P3260" t="s">
        <v>6111</v>
      </c>
      <c r="Q3260">
        <v>5</v>
      </c>
      <c r="R3260">
        <v>2026</v>
      </c>
      <c r="S3260" t="s">
        <v>6100</v>
      </c>
      <c r="T3260">
        <v>0</v>
      </c>
      <c r="U3260" t="s">
        <v>6017</v>
      </c>
      <c r="V3260">
        <v>1</v>
      </c>
    </row>
    <row r="3261" spans="1:22" x14ac:dyDescent="0.3">
      <c r="A3261" t="s">
        <v>3276</v>
      </c>
      <c r="B3261" s="2">
        <v>46165.612500000003</v>
      </c>
      <c r="C3261" s="2">
        <v>46166.533333333333</v>
      </c>
      <c r="D3261" t="s">
        <v>6024</v>
      </c>
      <c r="E3261" t="s">
        <v>6030</v>
      </c>
      <c r="F3261" t="s">
        <v>6033</v>
      </c>
      <c r="G3261" t="s">
        <v>6054</v>
      </c>
      <c r="H3261" t="s">
        <v>6096</v>
      </c>
      <c r="I3261">
        <v>72</v>
      </c>
      <c r="J3261">
        <v>22.1</v>
      </c>
      <c r="K3261" t="s">
        <v>6099</v>
      </c>
      <c r="L3261" t="s">
        <v>6100</v>
      </c>
      <c r="M3261" t="s">
        <v>6100</v>
      </c>
      <c r="N3261">
        <v>4</v>
      </c>
      <c r="O3261" t="s">
        <v>6101</v>
      </c>
      <c r="P3261" t="s">
        <v>6111</v>
      </c>
      <c r="Q3261">
        <v>5</v>
      </c>
      <c r="R3261">
        <v>2026</v>
      </c>
      <c r="S3261" t="s">
        <v>6099</v>
      </c>
      <c r="T3261">
        <v>1</v>
      </c>
      <c r="U3261" t="s">
        <v>6018</v>
      </c>
      <c r="V3261">
        <v>1</v>
      </c>
    </row>
    <row r="3262" spans="1:22" x14ac:dyDescent="0.3">
      <c r="A3262" t="s">
        <v>3277</v>
      </c>
      <c r="B3262" s="2">
        <v>46165.620833333334</v>
      </c>
      <c r="C3262" s="2">
        <v>46166.291666666664</v>
      </c>
      <c r="D3262" t="s">
        <v>6022</v>
      </c>
      <c r="E3262" t="s">
        <v>6029</v>
      </c>
      <c r="F3262" t="s">
        <v>6034</v>
      </c>
      <c r="G3262" t="s">
        <v>6067</v>
      </c>
      <c r="H3262" t="s">
        <v>6098</v>
      </c>
      <c r="I3262">
        <v>24</v>
      </c>
      <c r="J3262">
        <v>16.100000000000001</v>
      </c>
      <c r="K3262" t="s">
        <v>6100</v>
      </c>
      <c r="L3262" t="s">
        <v>6100</v>
      </c>
      <c r="M3262" t="s">
        <v>6100</v>
      </c>
      <c r="N3262">
        <v>4</v>
      </c>
      <c r="O3262" t="s">
        <v>6101</v>
      </c>
      <c r="P3262" t="s">
        <v>6111</v>
      </c>
      <c r="Q3262">
        <v>5</v>
      </c>
      <c r="R3262">
        <v>2026</v>
      </c>
      <c r="S3262" t="s">
        <v>6099</v>
      </c>
      <c r="T3262">
        <v>1</v>
      </c>
      <c r="U3262" t="s">
        <v>6018</v>
      </c>
      <c r="V3262">
        <v>0</v>
      </c>
    </row>
    <row r="3263" spans="1:22" x14ac:dyDescent="0.3">
      <c r="A3263" t="s">
        <v>3278</v>
      </c>
      <c r="B3263" s="2">
        <v>46165.626388888886</v>
      </c>
      <c r="C3263" s="2">
        <v>46167.297222222223</v>
      </c>
      <c r="D3263" t="s">
        <v>6026</v>
      </c>
      <c r="E3263" t="s">
        <v>6030</v>
      </c>
      <c r="F3263" t="s">
        <v>6033</v>
      </c>
      <c r="G3263" t="s">
        <v>6087</v>
      </c>
      <c r="H3263" t="s">
        <v>6098</v>
      </c>
      <c r="I3263">
        <v>72</v>
      </c>
      <c r="J3263">
        <v>40.1</v>
      </c>
      <c r="K3263" t="s">
        <v>6099</v>
      </c>
      <c r="L3263" t="s">
        <v>6100</v>
      </c>
      <c r="M3263" t="s">
        <v>6100</v>
      </c>
      <c r="N3263">
        <v>5</v>
      </c>
      <c r="O3263" t="s">
        <v>6101</v>
      </c>
      <c r="P3263" t="s">
        <v>6111</v>
      </c>
      <c r="Q3263">
        <v>5</v>
      </c>
      <c r="R3263">
        <v>2026</v>
      </c>
      <c r="S3263" t="s">
        <v>6099</v>
      </c>
      <c r="T3263">
        <v>1</v>
      </c>
      <c r="U3263" t="s">
        <v>6020</v>
      </c>
      <c r="V3263">
        <v>1</v>
      </c>
    </row>
    <row r="3264" spans="1:22" x14ac:dyDescent="0.3">
      <c r="A3264" t="s">
        <v>3279</v>
      </c>
      <c r="B3264" s="2">
        <v>46165.688194444447</v>
      </c>
      <c r="C3264" s="2">
        <v>46166.067361111112</v>
      </c>
      <c r="D3264" t="s">
        <v>6028</v>
      </c>
      <c r="E3264" t="s">
        <v>6029</v>
      </c>
      <c r="F3264" t="s">
        <v>6035</v>
      </c>
      <c r="G3264" t="s">
        <v>6043</v>
      </c>
      <c r="H3264" t="s">
        <v>6097</v>
      </c>
      <c r="I3264">
        <v>4</v>
      </c>
      <c r="J3264">
        <v>9.1</v>
      </c>
      <c r="K3264" t="s">
        <v>6100</v>
      </c>
      <c r="L3264" t="s">
        <v>6100</v>
      </c>
      <c r="M3264" t="s">
        <v>6100</v>
      </c>
      <c r="N3264">
        <v>3</v>
      </c>
      <c r="O3264" t="s">
        <v>6101</v>
      </c>
      <c r="P3264" t="s">
        <v>6111</v>
      </c>
      <c r="Q3264">
        <v>5</v>
      </c>
      <c r="R3264">
        <v>2026</v>
      </c>
      <c r="S3264" t="s">
        <v>6100</v>
      </c>
      <c r="T3264">
        <v>0</v>
      </c>
      <c r="U3264" t="s">
        <v>6018</v>
      </c>
      <c r="V3264">
        <v>0</v>
      </c>
    </row>
    <row r="3265" spans="1:22" x14ac:dyDescent="0.3">
      <c r="A3265" t="s">
        <v>3280</v>
      </c>
      <c r="B3265" s="2">
        <v>46165.750694444447</v>
      </c>
      <c r="C3265" s="2">
        <v>46172.34652777778</v>
      </c>
      <c r="D3265" t="s">
        <v>6026</v>
      </c>
      <c r="E3265" t="s">
        <v>6031</v>
      </c>
      <c r="F3265" t="s">
        <v>6034</v>
      </c>
      <c r="G3265" t="s">
        <v>6080</v>
      </c>
      <c r="H3265" t="s">
        <v>6096</v>
      </c>
      <c r="I3265">
        <v>24</v>
      </c>
      <c r="J3265">
        <v>158.30000000000001</v>
      </c>
      <c r="K3265" t="s">
        <v>6100</v>
      </c>
      <c r="L3265" t="s">
        <v>6099</v>
      </c>
      <c r="M3265" t="s">
        <v>6100</v>
      </c>
      <c r="O3265" t="s">
        <v>6101</v>
      </c>
      <c r="P3265" t="s">
        <v>6111</v>
      </c>
      <c r="Q3265">
        <v>5</v>
      </c>
      <c r="R3265">
        <v>2026</v>
      </c>
      <c r="S3265" t="s">
        <v>6100</v>
      </c>
      <c r="T3265">
        <v>0</v>
      </c>
      <c r="U3265" t="s">
        <v>6020</v>
      </c>
      <c r="V3265">
        <v>0</v>
      </c>
    </row>
    <row r="3266" spans="1:22" x14ac:dyDescent="0.3">
      <c r="A3266" t="s">
        <v>3281</v>
      </c>
      <c r="B3266" s="2">
        <v>46165.853472222225</v>
      </c>
      <c r="C3266" s="2">
        <v>46166.757638888892</v>
      </c>
      <c r="D3266" t="s">
        <v>6025</v>
      </c>
      <c r="E3266" t="s">
        <v>6030</v>
      </c>
      <c r="F3266" t="s">
        <v>6033</v>
      </c>
      <c r="G3266" t="s">
        <v>6061</v>
      </c>
      <c r="H3266" t="s">
        <v>6096</v>
      </c>
      <c r="I3266">
        <v>72</v>
      </c>
      <c r="J3266">
        <v>21.7</v>
      </c>
      <c r="K3266" t="s">
        <v>6100</v>
      </c>
      <c r="L3266" t="s">
        <v>6100</v>
      </c>
      <c r="M3266" t="s">
        <v>6100</v>
      </c>
      <c r="O3266" t="s">
        <v>6101</v>
      </c>
      <c r="P3266" t="s">
        <v>6111</v>
      </c>
      <c r="Q3266">
        <v>5</v>
      </c>
      <c r="R3266">
        <v>2026</v>
      </c>
      <c r="S3266" t="s">
        <v>6099</v>
      </c>
      <c r="T3266">
        <v>1</v>
      </c>
      <c r="U3266" t="s">
        <v>6020</v>
      </c>
      <c r="V3266">
        <v>0</v>
      </c>
    </row>
    <row r="3267" spans="1:22" x14ac:dyDescent="0.3">
      <c r="A3267" t="s">
        <v>3282</v>
      </c>
      <c r="B3267" s="2">
        <v>46166.184027777781</v>
      </c>
      <c r="C3267" s="2">
        <v>46167.529861111114</v>
      </c>
      <c r="D3267" t="s">
        <v>6025</v>
      </c>
      <c r="E3267" t="s">
        <v>6029</v>
      </c>
      <c r="F3267" t="s">
        <v>6033</v>
      </c>
      <c r="G3267" t="s">
        <v>6046</v>
      </c>
      <c r="H3267" t="s">
        <v>6098</v>
      </c>
      <c r="I3267">
        <v>72</v>
      </c>
      <c r="J3267">
        <v>32.299999999999997</v>
      </c>
      <c r="K3267" t="s">
        <v>6100</v>
      </c>
      <c r="L3267" t="s">
        <v>6100</v>
      </c>
      <c r="M3267" t="s">
        <v>6100</v>
      </c>
      <c r="O3267" t="s">
        <v>6101</v>
      </c>
      <c r="P3267" t="s">
        <v>6111</v>
      </c>
      <c r="Q3267">
        <v>5</v>
      </c>
      <c r="R3267">
        <v>2026</v>
      </c>
      <c r="S3267" t="s">
        <v>6099</v>
      </c>
      <c r="T3267">
        <v>1</v>
      </c>
      <c r="U3267" t="s">
        <v>6021</v>
      </c>
      <c r="V3267">
        <v>0</v>
      </c>
    </row>
    <row r="3268" spans="1:22" x14ac:dyDescent="0.3">
      <c r="A3268" t="s">
        <v>3283</v>
      </c>
      <c r="B3268" s="2">
        <v>46166.285416666666</v>
      </c>
      <c r="C3268" s="2">
        <v>46168.79791666667</v>
      </c>
      <c r="D3268" t="s">
        <v>6028</v>
      </c>
      <c r="E3268" t="s">
        <v>6031</v>
      </c>
      <c r="F3268" t="s">
        <v>6035</v>
      </c>
      <c r="G3268" t="s">
        <v>6073</v>
      </c>
      <c r="H3268" t="s">
        <v>6096</v>
      </c>
      <c r="I3268">
        <v>4</v>
      </c>
      <c r="J3268">
        <v>60.3</v>
      </c>
      <c r="K3268" t="s">
        <v>6099</v>
      </c>
      <c r="L3268" t="s">
        <v>6100</v>
      </c>
      <c r="M3268" t="s">
        <v>6100</v>
      </c>
      <c r="N3268">
        <v>4</v>
      </c>
      <c r="O3268" t="s">
        <v>6101</v>
      </c>
      <c r="P3268" t="s">
        <v>6111</v>
      </c>
      <c r="Q3268">
        <v>5</v>
      </c>
      <c r="R3268">
        <v>2026</v>
      </c>
      <c r="S3268" t="s">
        <v>6100</v>
      </c>
      <c r="T3268">
        <v>0</v>
      </c>
      <c r="U3268" t="s">
        <v>6018</v>
      </c>
      <c r="V3268">
        <v>1</v>
      </c>
    </row>
    <row r="3269" spans="1:22" x14ac:dyDescent="0.3">
      <c r="A3269" t="s">
        <v>3284</v>
      </c>
      <c r="B3269" s="2">
        <v>46166.299305555556</v>
      </c>
      <c r="C3269" s="2">
        <v>46166.707638888889</v>
      </c>
      <c r="D3269" t="s">
        <v>6028</v>
      </c>
      <c r="E3269" t="s">
        <v>6031</v>
      </c>
      <c r="F3269" t="s">
        <v>6035</v>
      </c>
      <c r="G3269" t="s">
        <v>6075</v>
      </c>
      <c r="H3269" t="s">
        <v>6097</v>
      </c>
      <c r="I3269">
        <v>4</v>
      </c>
      <c r="J3269">
        <v>9.8000000000000007</v>
      </c>
      <c r="K3269" t="s">
        <v>6100</v>
      </c>
      <c r="L3269" t="s">
        <v>6099</v>
      </c>
      <c r="M3269" t="s">
        <v>6100</v>
      </c>
      <c r="N3269">
        <v>3</v>
      </c>
      <c r="O3269" t="s">
        <v>6101</v>
      </c>
      <c r="P3269" t="s">
        <v>6111</v>
      </c>
      <c r="Q3269">
        <v>5</v>
      </c>
      <c r="R3269">
        <v>2026</v>
      </c>
      <c r="S3269" t="s">
        <v>6100</v>
      </c>
      <c r="T3269">
        <v>0</v>
      </c>
      <c r="U3269" t="s">
        <v>6019</v>
      </c>
      <c r="V3269">
        <v>0</v>
      </c>
    </row>
    <row r="3270" spans="1:22" x14ac:dyDescent="0.3">
      <c r="A3270" t="s">
        <v>3285</v>
      </c>
      <c r="B3270" s="2">
        <v>46166.422222222223</v>
      </c>
      <c r="C3270" s="2">
        <v>46167.022222222222</v>
      </c>
      <c r="D3270" t="s">
        <v>6027</v>
      </c>
      <c r="E3270" t="s">
        <v>6031</v>
      </c>
      <c r="F3270" t="s">
        <v>6035</v>
      </c>
      <c r="G3270" t="s">
        <v>6079</v>
      </c>
      <c r="H3270" t="s">
        <v>6097</v>
      </c>
      <c r="I3270">
        <v>4</v>
      </c>
      <c r="J3270">
        <v>14.4</v>
      </c>
      <c r="K3270" t="s">
        <v>6099</v>
      </c>
      <c r="L3270" t="s">
        <v>6100</v>
      </c>
      <c r="M3270" t="s">
        <v>6100</v>
      </c>
      <c r="O3270" t="s">
        <v>6101</v>
      </c>
      <c r="P3270" t="s">
        <v>6111</v>
      </c>
      <c r="Q3270">
        <v>5</v>
      </c>
      <c r="R3270">
        <v>2026</v>
      </c>
      <c r="S3270" t="s">
        <v>6100</v>
      </c>
      <c r="T3270">
        <v>0</v>
      </c>
      <c r="U3270" t="s">
        <v>6018</v>
      </c>
      <c r="V3270">
        <v>1</v>
      </c>
    </row>
    <row r="3271" spans="1:22" x14ac:dyDescent="0.3">
      <c r="A3271" t="s">
        <v>3286</v>
      </c>
      <c r="B3271" s="2">
        <v>46166.464583333334</v>
      </c>
      <c r="C3271" s="2">
        <v>46166.631249999999</v>
      </c>
      <c r="D3271" t="s">
        <v>6028</v>
      </c>
      <c r="E3271" t="s">
        <v>6029</v>
      </c>
      <c r="F3271" t="s">
        <v>6034</v>
      </c>
      <c r="G3271" t="s">
        <v>6040</v>
      </c>
      <c r="H3271" t="s">
        <v>6097</v>
      </c>
      <c r="I3271">
        <v>24</v>
      </c>
      <c r="J3271">
        <v>4</v>
      </c>
      <c r="K3271" t="s">
        <v>6100</v>
      </c>
      <c r="L3271" t="s">
        <v>6099</v>
      </c>
      <c r="M3271" t="s">
        <v>6100</v>
      </c>
      <c r="O3271" t="s">
        <v>6101</v>
      </c>
      <c r="P3271" t="s">
        <v>6111</v>
      </c>
      <c r="Q3271">
        <v>5</v>
      </c>
      <c r="R3271">
        <v>2026</v>
      </c>
      <c r="S3271" t="s">
        <v>6099</v>
      </c>
      <c r="T3271">
        <v>1</v>
      </c>
      <c r="U3271" t="s">
        <v>6018</v>
      </c>
      <c r="V3271">
        <v>0</v>
      </c>
    </row>
    <row r="3272" spans="1:22" x14ac:dyDescent="0.3">
      <c r="A3272" t="s">
        <v>3287</v>
      </c>
      <c r="B3272" s="2">
        <v>46166.465277777781</v>
      </c>
      <c r="C3272" s="2">
        <v>46173.298611111109</v>
      </c>
      <c r="D3272" t="s">
        <v>6025</v>
      </c>
      <c r="E3272" t="s">
        <v>6031</v>
      </c>
      <c r="F3272" t="s">
        <v>6033</v>
      </c>
      <c r="G3272" t="s">
        <v>6089</v>
      </c>
      <c r="H3272" t="s">
        <v>6098</v>
      </c>
      <c r="I3272">
        <v>72</v>
      </c>
      <c r="J3272">
        <v>164</v>
      </c>
      <c r="K3272" t="s">
        <v>6099</v>
      </c>
      <c r="L3272" t="s">
        <v>6100</v>
      </c>
      <c r="M3272" t="s">
        <v>6100</v>
      </c>
      <c r="N3272">
        <v>3</v>
      </c>
      <c r="O3272" t="s">
        <v>6101</v>
      </c>
      <c r="P3272" t="s">
        <v>6111</v>
      </c>
      <c r="Q3272">
        <v>5</v>
      </c>
      <c r="R3272">
        <v>2026</v>
      </c>
      <c r="S3272" t="s">
        <v>6100</v>
      </c>
      <c r="T3272">
        <v>0</v>
      </c>
      <c r="U3272" t="s">
        <v>6018</v>
      </c>
      <c r="V3272">
        <v>1</v>
      </c>
    </row>
    <row r="3273" spans="1:22" x14ac:dyDescent="0.3">
      <c r="A3273" t="s">
        <v>3288</v>
      </c>
      <c r="B3273" s="2">
        <v>46166.524305555555</v>
      </c>
      <c r="C3273" s="2">
        <v>46167.470138888886</v>
      </c>
      <c r="D3273" t="s">
        <v>6024</v>
      </c>
      <c r="E3273" t="s">
        <v>6030</v>
      </c>
      <c r="F3273" t="s">
        <v>6035</v>
      </c>
      <c r="G3273" t="s">
        <v>6058</v>
      </c>
      <c r="H3273" t="s">
        <v>6098</v>
      </c>
      <c r="I3273">
        <v>4</v>
      </c>
      <c r="J3273">
        <v>22.7</v>
      </c>
      <c r="K3273" t="s">
        <v>6099</v>
      </c>
      <c r="L3273" t="s">
        <v>6100</v>
      </c>
      <c r="M3273" t="s">
        <v>6100</v>
      </c>
      <c r="N3273">
        <v>5</v>
      </c>
      <c r="O3273" t="s">
        <v>6101</v>
      </c>
      <c r="P3273" t="s">
        <v>6111</v>
      </c>
      <c r="Q3273">
        <v>5</v>
      </c>
      <c r="R3273">
        <v>2026</v>
      </c>
      <c r="S3273" t="s">
        <v>6100</v>
      </c>
      <c r="T3273">
        <v>0</v>
      </c>
      <c r="U3273" t="s">
        <v>6019</v>
      </c>
      <c r="V3273">
        <v>1</v>
      </c>
    </row>
    <row r="3274" spans="1:22" x14ac:dyDescent="0.3">
      <c r="A3274" t="s">
        <v>3289</v>
      </c>
      <c r="B3274" s="2">
        <v>46166.565972222219</v>
      </c>
      <c r="C3274" s="2">
        <v>46167.449305555558</v>
      </c>
      <c r="D3274" t="s">
        <v>6022</v>
      </c>
      <c r="E3274" t="s">
        <v>6031</v>
      </c>
      <c r="F3274" t="s">
        <v>6033</v>
      </c>
      <c r="G3274" t="s">
        <v>6056</v>
      </c>
      <c r="H3274" t="s">
        <v>6098</v>
      </c>
      <c r="I3274">
        <v>72</v>
      </c>
      <c r="J3274">
        <v>21.2</v>
      </c>
      <c r="K3274" t="s">
        <v>6099</v>
      </c>
      <c r="L3274" t="s">
        <v>6100</v>
      </c>
      <c r="M3274" t="s">
        <v>6100</v>
      </c>
      <c r="N3274">
        <v>5</v>
      </c>
      <c r="O3274" t="s">
        <v>6101</v>
      </c>
      <c r="P3274" t="s">
        <v>6111</v>
      </c>
      <c r="Q3274">
        <v>5</v>
      </c>
      <c r="R3274">
        <v>2026</v>
      </c>
      <c r="S3274" t="s">
        <v>6099</v>
      </c>
      <c r="T3274">
        <v>1</v>
      </c>
      <c r="U3274" t="s">
        <v>6018</v>
      </c>
      <c r="V3274">
        <v>1</v>
      </c>
    </row>
    <row r="3275" spans="1:22" x14ac:dyDescent="0.3">
      <c r="A3275" t="s">
        <v>3290</v>
      </c>
      <c r="B3275" s="2">
        <v>46166.580555555556</v>
      </c>
      <c r="C3275" s="2">
        <v>46167.093055555553</v>
      </c>
      <c r="D3275" t="s">
        <v>6024</v>
      </c>
      <c r="E3275" t="s">
        <v>6030</v>
      </c>
      <c r="F3275" t="s">
        <v>6033</v>
      </c>
      <c r="G3275" t="s">
        <v>6058</v>
      </c>
      <c r="H3275" t="s">
        <v>6098</v>
      </c>
      <c r="I3275">
        <v>72</v>
      </c>
      <c r="J3275">
        <v>12.3</v>
      </c>
      <c r="K3275" t="s">
        <v>6099</v>
      </c>
      <c r="L3275" t="s">
        <v>6100</v>
      </c>
      <c r="M3275" t="s">
        <v>6100</v>
      </c>
      <c r="N3275">
        <v>5</v>
      </c>
      <c r="O3275" t="s">
        <v>6101</v>
      </c>
      <c r="P3275" t="s">
        <v>6111</v>
      </c>
      <c r="Q3275">
        <v>5</v>
      </c>
      <c r="R3275">
        <v>2026</v>
      </c>
      <c r="S3275" t="s">
        <v>6099</v>
      </c>
      <c r="T3275">
        <v>1</v>
      </c>
      <c r="U3275" t="s">
        <v>6018</v>
      </c>
      <c r="V3275">
        <v>1</v>
      </c>
    </row>
    <row r="3276" spans="1:22" x14ac:dyDescent="0.3">
      <c r="A3276" t="s">
        <v>3291</v>
      </c>
      <c r="B3276" s="2">
        <v>46166.606944444444</v>
      </c>
      <c r="C3276" s="2">
        <v>46166.75277777778</v>
      </c>
      <c r="D3276" t="s">
        <v>6028</v>
      </c>
      <c r="E3276" t="s">
        <v>6029</v>
      </c>
      <c r="F3276" t="s">
        <v>6035</v>
      </c>
      <c r="G3276" t="s">
        <v>6037</v>
      </c>
      <c r="H3276" t="s">
        <v>6096</v>
      </c>
      <c r="I3276">
        <v>4</v>
      </c>
      <c r="J3276">
        <v>3.5</v>
      </c>
      <c r="K3276" t="s">
        <v>6100</v>
      </c>
      <c r="L3276" t="s">
        <v>6100</v>
      </c>
      <c r="M3276" t="s">
        <v>6100</v>
      </c>
      <c r="O3276" t="s">
        <v>6101</v>
      </c>
      <c r="P3276" t="s">
        <v>6111</v>
      </c>
      <c r="Q3276">
        <v>5</v>
      </c>
      <c r="R3276">
        <v>2026</v>
      </c>
      <c r="S3276" t="s">
        <v>6099</v>
      </c>
      <c r="T3276">
        <v>1</v>
      </c>
      <c r="U3276" t="s">
        <v>6018</v>
      </c>
      <c r="V3276">
        <v>0</v>
      </c>
    </row>
    <row r="3277" spans="1:22" x14ac:dyDescent="0.3">
      <c r="A3277" t="s">
        <v>3292</v>
      </c>
      <c r="B3277" s="2">
        <v>46166.613888888889</v>
      </c>
      <c r="C3277" s="2">
        <v>46168.047222222223</v>
      </c>
      <c r="D3277" t="s">
        <v>6028</v>
      </c>
      <c r="E3277" t="s">
        <v>6031</v>
      </c>
      <c r="F3277" t="s">
        <v>6034</v>
      </c>
      <c r="G3277" t="s">
        <v>6083</v>
      </c>
      <c r="H3277" t="s">
        <v>6096</v>
      </c>
      <c r="I3277">
        <v>24</v>
      </c>
      <c r="J3277">
        <v>34.4</v>
      </c>
      <c r="K3277" t="s">
        <v>6100</v>
      </c>
      <c r="L3277" t="s">
        <v>6099</v>
      </c>
      <c r="M3277" t="s">
        <v>6100</v>
      </c>
      <c r="O3277" t="s">
        <v>6101</v>
      </c>
      <c r="P3277" t="s">
        <v>6111</v>
      </c>
      <c r="Q3277">
        <v>5</v>
      </c>
      <c r="R3277">
        <v>2026</v>
      </c>
      <c r="S3277" t="s">
        <v>6100</v>
      </c>
      <c r="T3277">
        <v>0</v>
      </c>
      <c r="U3277" t="s">
        <v>6018</v>
      </c>
      <c r="V3277">
        <v>0</v>
      </c>
    </row>
    <row r="3278" spans="1:22" x14ac:dyDescent="0.3">
      <c r="A3278" t="s">
        <v>3293</v>
      </c>
      <c r="B3278" s="2">
        <v>46166.662499999999</v>
      </c>
      <c r="C3278" s="2">
        <v>46167.912499999999</v>
      </c>
      <c r="D3278" t="s">
        <v>6025</v>
      </c>
      <c r="E3278" t="s">
        <v>6029</v>
      </c>
      <c r="F3278" t="s">
        <v>6034</v>
      </c>
      <c r="G3278" t="s">
        <v>6091</v>
      </c>
      <c r="H3278" t="s">
        <v>6097</v>
      </c>
      <c r="I3278">
        <v>24</v>
      </c>
      <c r="J3278">
        <v>30</v>
      </c>
      <c r="K3278" t="s">
        <v>6100</v>
      </c>
      <c r="L3278" t="s">
        <v>6100</v>
      </c>
      <c r="M3278" t="s">
        <v>6100</v>
      </c>
      <c r="N3278">
        <v>4</v>
      </c>
      <c r="O3278" t="s">
        <v>6101</v>
      </c>
      <c r="P3278" t="s">
        <v>6111</v>
      </c>
      <c r="Q3278">
        <v>5</v>
      </c>
      <c r="R3278">
        <v>2026</v>
      </c>
      <c r="S3278" t="s">
        <v>6100</v>
      </c>
      <c r="T3278">
        <v>0</v>
      </c>
      <c r="U3278" t="s">
        <v>6020</v>
      </c>
      <c r="V3278">
        <v>0</v>
      </c>
    </row>
    <row r="3279" spans="1:22" x14ac:dyDescent="0.3">
      <c r="A3279" t="s">
        <v>3294</v>
      </c>
      <c r="B3279" s="2">
        <v>46166.696527777778</v>
      </c>
      <c r="C3279" s="2">
        <v>46167.029861111114</v>
      </c>
      <c r="D3279" t="s">
        <v>6023</v>
      </c>
      <c r="E3279" t="s">
        <v>6029</v>
      </c>
      <c r="F3279" t="s">
        <v>6034</v>
      </c>
      <c r="G3279" t="s">
        <v>6049</v>
      </c>
      <c r="H3279" t="s">
        <v>6097</v>
      </c>
      <c r="I3279">
        <v>24</v>
      </c>
      <c r="J3279">
        <v>8</v>
      </c>
      <c r="K3279" t="s">
        <v>6100</v>
      </c>
      <c r="L3279" t="s">
        <v>6100</v>
      </c>
      <c r="M3279" t="s">
        <v>6100</v>
      </c>
      <c r="N3279">
        <v>5</v>
      </c>
      <c r="O3279" t="s">
        <v>6101</v>
      </c>
      <c r="P3279" t="s">
        <v>6111</v>
      </c>
      <c r="Q3279">
        <v>5</v>
      </c>
      <c r="R3279">
        <v>2026</v>
      </c>
      <c r="S3279" t="s">
        <v>6099</v>
      </c>
      <c r="T3279">
        <v>1</v>
      </c>
      <c r="U3279" t="s">
        <v>6020</v>
      </c>
      <c r="V3279">
        <v>0</v>
      </c>
    </row>
    <row r="3280" spans="1:22" x14ac:dyDescent="0.3">
      <c r="A3280" t="s">
        <v>3295</v>
      </c>
      <c r="B3280" s="2">
        <v>46166.722916666666</v>
      </c>
      <c r="C3280" s="2">
        <v>46169.07708333333</v>
      </c>
      <c r="D3280" t="s">
        <v>6028</v>
      </c>
      <c r="E3280" t="s">
        <v>6031</v>
      </c>
      <c r="F3280" t="s">
        <v>6034</v>
      </c>
      <c r="G3280" t="s">
        <v>6065</v>
      </c>
      <c r="H3280" t="s">
        <v>6097</v>
      </c>
      <c r="I3280">
        <v>24</v>
      </c>
      <c r="J3280">
        <v>56.5</v>
      </c>
      <c r="K3280" t="s">
        <v>6099</v>
      </c>
      <c r="L3280" t="s">
        <v>6100</v>
      </c>
      <c r="M3280" t="s">
        <v>6100</v>
      </c>
      <c r="N3280">
        <v>3</v>
      </c>
      <c r="O3280" t="s">
        <v>6101</v>
      </c>
      <c r="P3280" t="s">
        <v>6111</v>
      </c>
      <c r="Q3280">
        <v>5</v>
      </c>
      <c r="R3280">
        <v>2026</v>
      </c>
      <c r="S3280" t="s">
        <v>6100</v>
      </c>
      <c r="T3280">
        <v>0</v>
      </c>
      <c r="U3280" t="s">
        <v>6017</v>
      </c>
      <c r="V3280">
        <v>1</v>
      </c>
    </row>
    <row r="3281" spans="1:22" x14ac:dyDescent="0.3">
      <c r="A3281" t="s">
        <v>3296</v>
      </c>
      <c r="B3281" s="2">
        <v>46166.724999999999</v>
      </c>
      <c r="C3281" s="2">
        <v>46166.9</v>
      </c>
      <c r="D3281" t="s">
        <v>6028</v>
      </c>
      <c r="E3281" t="s">
        <v>6030</v>
      </c>
      <c r="F3281" t="s">
        <v>6033</v>
      </c>
      <c r="G3281" t="s">
        <v>6080</v>
      </c>
      <c r="H3281" t="s">
        <v>6096</v>
      </c>
      <c r="I3281">
        <v>72</v>
      </c>
      <c r="J3281">
        <v>4.2</v>
      </c>
      <c r="K3281" t="s">
        <v>6099</v>
      </c>
      <c r="L3281" t="s">
        <v>6100</v>
      </c>
      <c r="M3281" t="s">
        <v>6100</v>
      </c>
      <c r="O3281" t="s">
        <v>6101</v>
      </c>
      <c r="P3281" t="s">
        <v>6111</v>
      </c>
      <c r="Q3281">
        <v>5</v>
      </c>
      <c r="R3281">
        <v>2026</v>
      </c>
      <c r="S3281" t="s">
        <v>6099</v>
      </c>
      <c r="T3281">
        <v>1</v>
      </c>
      <c r="U3281" t="s">
        <v>6020</v>
      </c>
      <c r="V3281">
        <v>1</v>
      </c>
    </row>
    <row r="3282" spans="1:22" x14ac:dyDescent="0.3">
      <c r="A3282" t="s">
        <v>3297</v>
      </c>
      <c r="B3282" s="2">
        <v>46166.747916666667</v>
      </c>
      <c r="C3282" s="2">
        <v>46168.106249999997</v>
      </c>
      <c r="D3282" t="s">
        <v>6024</v>
      </c>
      <c r="E3282" t="s">
        <v>6029</v>
      </c>
      <c r="F3282" t="s">
        <v>6035</v>
      </c>
      <c r="G3282" t="s">
        <v>6054</v>
      </c>
      <c r="H3282" t="s">
        <v>6096</v>
      </c>
      <c r="I3282">
        <v>4</v>
      </c>
      <c r="J3282">
        <v>32.6</v>
      </c>
      <c r="K3282" t="s">
        <v>6099</v>
      </c>
      <c r="L3282" t="s">
        <v>6100</v>
      </c>
      <c r="M3282" t="s">
        <v>6100</v>
      </c>
      <c r="N3282">
        <v>3</v>
      </c>
      <c r="O3282" t="s">
        <v>6101</v>
      </c>
      <c r="P3282" t="s">
        <v>6111</v>
      </c>
      <c r="Q3282">
        <v>5</v>
      </c>
      <c r="R3282">
        <v>2026</v>
      </c>
      <c r="S3282" t="s">
        <v>6100</v>
      </c>
      <c r="T3282">
        <v>0</v>
      </c>
      <c r="U3282" t="s">
        <v>6017</v>
      </c>
      <c r="V3282">
        <v>1</v>
      </c>
    </row>
    <row r="3283" spans="1:22" x14ac:dyDescent="0.3">
      <c r="A3283" t="s">
        <v>3298</v>
      </c>
      <c r="B3283" s="2">
        <v>46167.093055555553</v>
      </c>
      <c r="C3283" s="2">
        <v>46168.243055555555</v>
      </c>
      <c r="D3283" t="s">
        <v>6028</v>
      </c>
      <c r="E3283" t="s">
        <v>6031</v>
      </c>
      <c r="F3283" t="s">
        <v>6035</v>
      </c>
      <c r="G3283" t="s">
        <v>6069</v>
      </c>
      <c r="H3283" t="s">
        <v>6098</v>
      </c>
      <c r="I3283">
        <v>4</v>
      </c>
      <c r="J3283">
        <v>27.6</v>
      </c>
      <c r="K3283" t="s">
        <v>6099</v>
      </c>
      <c r="L3283" t="s">
        <v>6100</v>
      </c>
      <c r="M3283" t="s">
        <v>6100</v>
      </c>
      <c r="O3283" t="s">
        <v>6101</v>
      </c>
      <c r="P3283" t="s">
        <v>6111</v>
      </c>
      <c r="Q3283">
        <v>5</v>
      </c>
      <c r="R3283">
        <v>2026</v>
      </c>
      <c r="S3283" t="s">
        <v>6100</v>
      </c>
      <c r="T3283">
        <v>0</v>
      </c>
      <c r="U3283" t="s">
        <v>6018</v>
      </c>
      <c r="V3283">
        <v>1</v>
      </c>
    </row>
    <row r="3284" spans="1:22" x14ac:dyDescent="0.3">
      <c r="A3284" t="s">
        <v>3299</v>
      </c>
      <c r="B3284" s="2">
        <v>46167.333333333336</v>
      </c>
      <c r="C3284" s="2">
        <v>46167.491666666669</v>
      </c>
      <c r="D3284" t="s">
        <v>6025</v>
      </c>
      <c r="E3284" t="s">
        <v>6029</v>
      </c>
      <c r="F3284" t="s">
        <v>6033</v>
      </c>
      <c r="G3284" t="s">
        <v>6072</v>
      </c>
      <c r="H3284" t="s">
        <v>6097</v>
      </c>
      <c r="I3284">
        <v>72</v>
      </c>
      <c r="J3284">
        <v>3.8</v>
      </c>
      <c r="K3284" t="s">
        <v>6099</v>
      </c>
      <c r="L3284" t="s">
        <v>6100</v>
      </c>
      <c r="M3284" t="s">
        <v>6100</v>
      </c>
      <c r="O3284" t="s">
        <v>6101</v>
      </c>
      <c r="P3284" t="s">
        <v>6111</v>
      </c>
      <c r="Q3284">
        <v>5</v>
      </c>
      <c r="R3284">
        <v>2026</v>
      </c>
      <c r="S3284" t="s">
        <v>6099</v>
      </c>
      <c r="T3284">
        <v>1</v>
      </c>
      <c r="U3284" t="s">
        <v>6017</v>
      </c>
      <c r="V3284">
        <v>1</v>
      </c>
    </row>
    <row r="3285" spans="1:22" x14ac:dyDescent="0.3">
      <c r="A3285" t="s">
        <v>3300</v>
      </c>
      <c r="B3285" s="2">
        <v>46167.39166666667</v>
      </c>
      <c r="C3285" s="2">
        <v>46167.654166666667</v>
      </c>
      <c r="D3285" t="s">
        <v>6024</v>
      </c>
      <c r="E3285" t="s">
        <v>6030</v>
      </c>
      <c r="F3285" t="s">
        <v>6033</v>
      </c>
      <c r="G3285" t="s">
        <v>6076</v>
      </c>
      <c r="H3285" t="s">
        <v>6097</v>
      </c>
      <c r="I3285">
        <v>72</v>
      </c>
      <c r="J3285">
        <v>6.3</v>
      </c>
      <c r="K3285" t="s">
        <v>6100</v>
      </c>
      <c r="L3285" t="s">
        <v>6099</v>
      </c>
      <c r="M3285" t="s">
        <v>6100</v>
      </c>
      <c r="O3285" t="s">
        <v>6101</v>
      </c>
      <c r="P3285" t="s">
        <v>6111</v>
      </c>
      <c r="Q3285">
        <v>5</v>
      </c>
      <c r="R3285">
        <v>2026</v>
      </c>
      <c r="S3285" t="s">
        <v>6099</v>
      </c>
      <c r="T3285">
        <v>1</v>
      </c>
      <c r="U3285" t="s">
        <v>6020</v>
      </c>
      <c r="V3285">
        <v>0</v>
      </c>
    </row>
    <row r="3286" spans="1:22" x14ac:dyDescent="0.3">
      <c r="A3286" t="s">
        <v>3301</v>
      </c>
      <c r="B3286" s="2">
        <v>46167.425000000003</v>
      </c>
      <c r="C3286" s="2">
        <v>46167.833333333336</v>
      </c>
      <c r="D3286" t="s">
        <v>6023</v>
      </c>
      <c r="E3286" t="s">
        <v>6029</v>
      </c>
      <c r="F3286" t="s">
        <v>6034</v>
      </c>
      <c r="G3286" t="s">
        <v>6043</v>
      </c>
      <c r="H3286" t="s">
        <v>6097</v>
      </c>
      <c r="I3286">
        <v>24</v>
      </c>
      <c r="J3286">
        <v>9.8000000000000007</v>
      </c>
      <c r="K3286" t="s">
        <v>6099</v>
      </c>
      <c r="L3286" t="s">
        <v>6100</v>
      </c>
      <c r="M3286" t="s">
        <v>6100</v>
      </c>
      <c r="O3286" t="s">
        <v>6101</v>
      </c>
      <c r="P3286" t="s">
        <v>6111</v>
      </c>
      <c r="Q3286">
        <v>5</v>
      </c>
      <c r="R3286">
        <v>2026</v>
      </c>
      <c r="S3286" t="s">
        <v>6099</v>
      </c>
      <c r="T3286">
        <v>1</v>
      </c>
      <c r="U3286" t="s">
        <v>6018</v>
      </c>
      <c r="V3286">
        <v>1</v>
      </c>
    </row>
    <row r="3287" spans="1:22" x14ac:dyDescent="0.3">
      <c r="A3287" t="s">
        <v>3302</v>
      </c>
      <c r="B3287" s="2">
        <v>46167.455555555556</v>
      </c>
      <c r="C3287" s="2">
        <v>46169.126388888886</v>
      </c>
      <c r="D3287" t="s">
        <v>6026</v>
      </c>
      <c r="E3287" t="s">
        <v>6029</v>
      </c>
      <c r="F3287" t="s">
        <v>6033</v>
      </c>
      <c r="G3287" t="s">
        <v>6086</v>
      </c>
      <c r="H3287" t="s">
        <v>6098</v>
      </c>
      <c r="I3287">
        <v>72</v>
      </c>
      <c r="J3287">
        <v>40.1</v>
      </c>
      <c r="K3287" t="s">
        <v>6100</v>
      </c>
      <c r="L3287" t="s">
        <v>6100</v>
      </c>
      <c r="M3287" t="s">
        <v>6100</v>
      </c>
      <c r="N3287">
        <v>4</v>
      </c>
      <c r="O3287" t="s">
        <v>6101</v>
      </c>
      <c r="P3287" t="s">
        <v>6111</v>
      </c>
      <c r="Q3287">
        <v>5</v>
      </c>
      <c r="R3287">
        <v>2026</v>
      </c>
      <c r="S3287" t="s">
        <v>6099</v>
      </c>
      <c r="T3287">
        <v>1</v>
      </c>
      <c r="U3287" t="s">
        <v>6018</v>
      </c>
      <c r="V3287">
        <v>0</v>
      </c>
    </row>
    <row r="3288" spans="1:22" x14ac:dyDescent="0.3">
      <c r="A3288" t="s">
        <v>3303</v>
      </c>
      <c r="B3288" s="2">
        <v>46167.478472222225</v>
      </c>
      <c r="C3288" s="2">
        <v>46168.407638888886</v>
      </c>
      <c r="D3288" t="s">
        <v>6022</v>
      </c>
      <c r="E3288" t="s">
        <v>6029</v>
      </c>
      <c r="F3288" t="s">
        <v>6035</v>
      </c>
      <c r="G3288" t="s">
        <v>6059</v>
      </c>
      <c r="H3288" t="s">
        <v>6097</v>
      </c>
      <c r="I3288">
        <v>4</v>
      </c>
      <c r="J3288">
        <v>22.3</v>
      </c>
      <c r="K3288" t="s">
        <v>6099</v>
      </c>
      <c r="L3288" t="s">
        <v>6100</v>
      </c>
      <c r="M3288" t="s">
        <v>6100</v>
      </c>
      <c r="O3288" t="s">
        <v>6101</v>
      </c>
      <c r="P3288" t="s">
        <v>6111</v>
      </c>
      <c r="Q3288">
        <v>5</v>
      </c>
      <c r="R3288">
        <v>2026</v>
      </c>
      <c r="S3288" t="s">
        <v>6100</v>
      </c>
      <c r="T3288">
        <v>0</v>
      </c>
      <c r="U3288" t="s">
        <v>6018</v>
      </c>
      <c r="V3288">
        <v>1</v>
      </c>
    </row>
    <row r="3289" spans="1:22" x14ac:dyDescent="0.3">
      <c r="A3289" t="s">
        <v>3304</v>
      </c>
      <c r="B3289" s="2">
        <v>46167.481249999997</v>
      </c>
      <c r="C3289" s="2">
        <v>46167.96875</v>
      </c>
      <c r="D3289" t="s">
        <v>6024</v>
      </c>
      <c r="E3289" t="s">
        <v>6029</v>
      </c>
      <c r="F3289" t="s">
        <v>6034</v>
      </c>
      <c r="G3289" t="s">
        <v>6077</v>
      </c>
      <c r="H3289" t="s">
        <v>6098</v>
      </c>
      <c r="I3289">
        <v>24</v>
      </c>
      <c r="J3289">
        <v>11.7</v>
      </c>
      <c r="K3289" t="s">
        <v>6100</v>
      </c>
      <c r="L3289" t="s">
        <v>6099</v>
      </c>
      <c r="M3289" t="s">
        <v>6100</v>
      </c>
      <c r="N3289">
        <v>3</v>
      </c>
      <c r="O3289" t="s">
        <v>6101</v>
      </c>
      <c r="P3289" t="s">
        <v>6111</v>
      </c>
      <c r="Q3289">
        <v>5</v>
      </c>
      <c r="R3289">
        <v>2026</v>
      </c>
      <c r="S3289" t="s">
        <v>6099</v>
      </c>
      <c r="T3289">
        <v>1</v>
      </c>
      <c r="U3289" t="s">
        <v>6017</v>
      </c>
      <c r="V3289">
        <v>0</v>
      </c>
    </row>
    <row r="3290" spans="1:22" x14ac:dyDescent="0.3">
      <c r="A3290" t="s">
        <v>3305</v>
      </c>
      <c r="B3290" s="2">
        <v>46167.488888888889</v>
      </c>
      <c r="C3290" s="2">
        <v>46167.805555555555</v>
      </c>
      <c r="D3290" t="s">
        <v>6024</v>
      </c>
      <c r="E3290" t="s">
        <v>6029</v>
      </c>
      <c r="F3290" t="s">
        <v>6034</v>
      </c>
      <c r="G3290" t="s">
        <v>6086</v>
      </c>
      <c r="H3290" t="s">
        <v>6098</v>
      </c>
      <c r="I3290">
        <v>24</v>
      </c>
      <c r="J3290">
        <v>7.6</v>
      </c>
      <c r="K3290" t="s">
        <v>6099</v>
      </c>
      <c r="L3290" t="s">
        <v>6100</v>
      </c>
      <c r="M3290" t="s">
        <v>6100</v>
      </c>
      <c r="N3290">
        <v>5</v>
      </c>
      <c r="O3290" t="s">
        <v>6101</v>
      </c>
      <c r="P3290" t="s">
        <v>6111</v>
      </c>
      <c r="Q3290">
        <v>5</v>
      </c>
      <c r="R3290">
        <v>2026</v>
      </c>
      <c r="S3290" t="s">
        <v>6099</v>
      </c>
      <c r="T3290">
        <v>1</v>
      </c>
      <c r="U3290" t="s">
        <v>6018</v>
      </c>
      <c r="V3290">
        <v>1</v>
      </c>
    </row>
    <row r="3291" spans="1:22" x14ac:dyDescent="0.3">
      <c r="A3291" t="s">
        <v>3306</v>
      </c>
      <c r="B3291" s="2">
        <v>46167.490972222222</v>
      </c>
      <c r="C3291" s="2">
        <v>46167.761805555558</v>
      </c>
      <c r="D3291" t="s">
        <v>6022</v>
      </c>
      <c r="E3291" t="s">
        <v>6029</v>
      </c>
      <c r="F3291" t="s">
        <v>6033</v>
      </c>
      <c r="G3291" t="s">
        <v>6086</v>
      </c>
      <c r="H3291" t="s">
        <v>6098</v>
      </c>
      <c r="I3291">
        <v>72</v>
      </c>
      <c r="J3291">
        <v>6.5</v>
      </c>
      <c r="K3291" t="s">
        <v>6099</v>
      </c>
      <c r="L3291" t="s">
        <v>6100</v>
      </c>
      <c r="M3291" t="s">
        <v>6100</v>
      </c>
      <c r="N3291">
        <v>5</v>
      </c>
      <c r="O3291" t="s">
        <v>6101</v>
      </c>
      <c r="P3291" t="s">
        <v>6111</v>
      </c>
      <c r="Q3291">
        <v>5</v>
      </c>
      <c r="R3291">
        <v>2026</v>
      </c>
      <c r="S3291" t="s">
        <v>6099</v>
      </c>
      <c r="T3291">
        <v>1</v>
      </c>
      <c r="U3291" t="s">
        <v>6020</v>
      </c>
      <c r="V3291">
        <v>1</v>
      </c>
    </row>
    <row r="3292" spans="1:22" x14ac:dyDescent="0.3">
      <c r="A3292" t="s">
        <v>3307</v>
      </c>
      <c r="B3292" s="2">
        <v>46167.543749999997</v>
      </c>
      <c r="C3292" s="2">
        <v>46170.20208333333</v>
      </c>
      <c r="D3292" t="s">
        <v>6026</v>
      </c>
      <c r="E3292" t="s">
        <v>6032</v>
      </c>
      <c r="F3292" t="s">
        <v>6034</v>
      </c>
      <c r="G3292" t="s">
        <v>6080</v>
      </c>
      <c r="H3292" t="s">
        <v>6096</v>
      </c>
      <c r="I3292">
        <v>24</v>
      </c>
      <c r="J3292">
        <v>63.8</v>
      </c>
      <c r="K3292" t="s">
        <v>6099</v>
      </c>
      <c r="L3292" t="s">
        <v>6100</v>
      </c>
      <c r="M3292" t="s">
        <v>6100</v>
      </c>
      <c r="N3292">
        <v>5</v>
      </c>
      <c r="O3292" t="s">
        <v>6101</v>
      </c>
      <c r="P3292" t="s">
        <v>6111</v>
      </c>
      <c r="Q3292">
        <v>5</v>
      </c>
      <c r="R3292">
        <v>2026</v>
      </c>
      <c r="S3292" t="s">
        <v>6100</v>
      </c>
      <c r="T3292">
        <v>0</v>
      </c>
      <c r="U3292" t="s">
        <v>6019</v>
      </c>
      <c r="V3292">
        <v>1</v>
      </c>
    </row>
    <row r="3293" spans="1:22" x14ac:dyDescent="0.3">
      <c r="A3293" t="s">
        <v>3308</v>
      </c>
      <c r="B3293" s="2">
        <v>46167.555555555555</v>
      </c>
      <c r="C3293" s="2">
        <v>46168.009722222225</v>
      </c>
      <c r="D3293" t="s">
        <v>6025</v>
      </c>
      <c r="E3293" t="s">
        <v>6029</v>
      </c>
      <c r="F3293" t="s">
        <v>6033</v>
      </c>
      <c r="G3293" t="s">
        <v>6056</v>
      </c>
      <c r="H3293" t="s">
        <v>6098</v>
      </c>
      <c r="I3293">
        <v>72</v>
      </c>
      <c r="J3293">
        <v>10.9</v>
      </c>
      <c r="K3293" t="s">
        <v>6100</v>
      </c>
      <c r="L3293" t="s">
        <v>6099</v>
      </c>
      <c r="M3293" t="s">
        <v>6100</v>
      </c>
      <c r="N3293">
        <v>3</v>
      </c>
      <c r="O3293" t="s">
        <v>6101</v>
      </c>
      <c r="P3293" t="s">
        <v>6111</v>
      </c>
      <c r="Q3293">
        <v>5</v>
      </c>
      <c r="R3293">
        <v>2026</v>
      </c>
      <c r="S3293" t="s">
        <v>6099</v>
      </c>
      <c r="T3293">
        <v>1</v>
      </c>
      <c r="U3293" t="s">
        <v>6020</v>
      </c>
      <c r="V3293">
        <v>0</v>
      </c>
    </row>
    <row r="3294" spans="1:22" x14ac:dyDescent="0.3">
      <c r="A3294" t="s">
        <v>3309</v>
      </c>
      <c r="B3294" s="2">
        <v>46167.565972222219</v>
      </c>
      <c r="C3294" s="2">
        <v>46167.953472222223</v>
      </c>
      <c r="D3294" t="s">
        <v>6028</v>
      </c>
      <c r="E3294" t="s">
        <v>6029</v>
      </c>
      <c r="F3294" t="s">
        <v>6034</v>
      </c>
      <c r="G3294" t="s">
        <v>6062</v>
      </c>
      <c r="H3294" t="s">
        <v>6096</v>
      </c>
      <c r="I3294">
        <v>24</v>
      </c>
      <c r="J3294">
        <v>9.3000000000000007</v>
      </c>
      <c r="K3294" t="s">
        <v>6100</v>
      </c>
      <c r="L3294" t="s">
        <v>6099</v>
      </c>
      <c r="M3294" t="s">
        <v>6100</v>
      </c>
      <c r="N3294">
        <v>3</v>
      </c>
      <c r="O3294" t="s">
        <v>6101</v>
      </c>
      <c r="P3294" t="s">
        <v>6111</v>
      </c>
      <c r="Q3294">
        <v>5</v>
      </c>
      <c r="R3294">
        <v>2026</v>
      </c>
      <c r="S3294" t="s">
        <v>6099</v>
      </c>
      <c r="T3294">
        <v>1</v>
      </c>
      <c r="U3294" t="s">
        <v>6018</v>
      </c>
      <c r="V3294">
        <v>0</v>
      </c>
    </row>
    <row r="3295" spans="1:22" x14ac:dyDescent="0.3">
      <c r="A3295" t="s">
        <v>3310</v>
      </c>
      <c r="B3295" s="2">
        <v>46167.576388888891</v>
      </c>
      <c r="C3295" s="2">
        <v>46168.072222222225</v>
      </c>
      <c r="D3295" t="s">
        <v>6027</v>
      </c>
      <c r="E3295" t="s">
        <v>6029</v>
      </c>
      <c r="F3295" t="s">
        <v>6035</v>
      </c>
      <c r="G3295" t="s">
        <v>6036</v>
      </c>
      <c r="H3295" t="s">
        <v>6096</v>
      </c>
      <c r="I3295">
        <v>4</v>
      </c>
      <c r="J3295">
        <v>11.9</v>
      </c>
      <c r="K3295" t="s">
        <v>6099</v>
      </c>
      <c r="L3295" t="s">
        <v>6100</v>
      </c>
      <c r="M3295" t="s">
        <v>6100</v>
      </c>
      <c r="N3295">
        <v>2</v>
      </c>
      <c r="O3295" t="s">
        <v>6101</v>
      </c>
      <c r="P3295" t="s">
        <v>6111</v>
      </c>
      <c r="Q3295">
        <v>5</v>
      </c>
      <c r="R3295">
        <v>2026</v>
      </c>
      <c r="S3295" t="s">
        <v>6100</v>
      </c>
      <c r="T3295">
        <v>0</v>
      </c>
      <c r="U3295" t="s">
        <v>6020</v>
      </c>
      <c r="V3295">
        <v>1</v>
      </c>
    </row>
    <row r="3296" spans="1:22" x14ac:dyDescent="0.3">
      <c r="A3296" t="s">
        <v>3311</v>
      </c>
      <c r="B3296" s="2">
        <v>46167.754861111112</v>
      </c>
      <c r="C3296" s="2">
        <v>46167.84652777778</v>
      </c>
      <c r="D3296" t="s">
        <v>6028</v>
      </c>
      <c r="E3296" t="s">
        <v>6029</v>
      </c>
      <c r="F3296" t="s">
        <v>6033</v>
      </c>
      <c r="G3296" t="s">
        <v>6051</v>
      </c>
      <c r="H3296" t="s">
        <v>6097</v>
      </c>
      <c r="I3296">
        <v>72</v>
      </c>
      <c r="J3296">
        <v>2.2000000000000002</v>
      </c>
      <c r="K3296" t="s">
        <v>6099</v>
      </c>
      <c r="L3296" t="s">
        <v>6100</v>
      </c>
      <c r="M3296" t="s">
        <v>6100</v>
      </c>
      <c r="N3296">
        <v>5</v>
      </c>
      <c r="O3296" t="s">
        <v>6101</v>
      </c>
      <c r="P3296" t="s">
        <v>6111</v>
      </c>
      <c r="Q3296">
        <v>5</v>
      </c>
      <c r="R3296">
        <v>2026</v>
      </c>
      <c r="S3296" t="s">
        <v>6099</v>
      </c>
      <c r="T3296">
        <v>1</v>
      </c>
      <c r="U3296" t="s">
        <v>6018</v>
      </c>
      <c r="V3296">
        <v>1</v>
      </c>
    </row>
    <row r="3297" spans="1:22" x14ac:dyDescent="0.3">
      <c r="A3297" t="s">
        <v>3312</v>
      </c>
      <c r="B3297" s="2">
        <v>46168.056250000001</v>
      </c>
      <c r="C3297" s="2">
        <v>46168.402083333334</v>
      </c>
      <c r="D3297" t="s">
        <v>6022</v>
      </c>
      <c r="E3297" t="s">
        <v>6029</v>
      </c>
      <c r="F3297" t="s">
        <v>6034</v>
      </c>
      <c r="G3297" t="s">
        <v>6093</v>
      </c>
      <c r="H3297" t="s">
        <v>6097</v>
      </c>
      <c r="I3297">
        <v>24</v>
      </c>
      <c r="J3297">
        <v>8.3000000000000007</v>
      </c>
      <c r="K3297" t="s">
        <v>6099</v>
      </c>
      <c r="L3297" t="s">
        <v>6100</v>
      </c>
      <c r="M3297" t="s">
        <v>6100</v>
      </c>
      <c r="N3297">
        <v>5</v>
      </c>
      <c r="O3297" t="s">
        <v>6101</v>
      </c>
      <c r="P3297" t="s">
        <v>6111</v>
      </c>
      <c r="Q3297">
        <v>5</v>
      </c>
      <c r="R3297">
        <v>2026</v>
      </c>
      <c r="S3297" t="s">
        <v>6099</v>
      </c>
      <c r="T3297">
        <v>1</v>
      </c>
      <c r="U3297" t="s">
        <v>6018</v>
      </c>
      <c r="V3297">
        <v>1</v>
      </c>
    </row>
    <row r="3298" spans="1:22" x14ac:dyDescent="0.3">
      <c r="A3298" t="s">
        <v>3313</v>
      </c>
      <c r="B3298" s="2">
        <v>46168.28125</v>
      </c>
      <c r="C3298" s="2">
        <v>46169.010416666664</v>
      </c>
      <c r="D3298" t="s">
        <v>6026</v>
      </c>
      <c r="E3298" t="s">
        <v>6030</v>
      </c>
      <c r="F3298" t="s">
        <v>6035</v>
      </c>
      <c r="G3298" t="s">
        <v>6069</v>
      </c>
      <c r="H3298" t="s">
        <v>6098</v>
      </c>
      <c r="I3298">
        <v>4</v>
      </c>
      <c r="J3298">
        <v>17.5</v>
      </c>
      <c r="K3298" t="s">
        <v>6099</v>
      </c>
      <c r="L3298" t="s">
        <v>6100</v>
      </c>
      <c r="M3298" t="s">
        <v>6100</v>
      </c>
      <c r="N3298">
        <v>5</v>
      </c>
      <c r="O3298" t="s">
        <v>6101</v>
      </c>
      <c r="P3298" t="s">
        <v>6111</v>
      </c>
      <c r="Q3298">
        <v>5</v>
      </c>
      <c r="R3298">
        <v>2026</v>
      </c>
      <c r="S3298" t="s">
        <v>6100</v>
      </c>
      <c r="T3298">
        <v>0</v>
      </c>
      <c r="U3298" t="s">
        <v>6021</v>
      </c>
      <c r="V3298">
        <v>1</v>
      </c>
    </row>
    <row r="3299" spans="1:22" x14ac:dyDescent="0.3">
      <c r="A3299" t="s">
        <v>3314</v>
      </c>
      <c r="B3299" s="2">
        <v>46168.393055555556</v>
      </c>
      <c r="C3299" s="2">
        <v>46177.276388888888</v>
      </c>
      <c r="D3299" t="s">
        <v>6026</v>
      </c>
      <c r="E3299" t="s">
        <v>6031</v>
      </c>
      <c r="F3299" t="s">
        <v>6033</v>
      </c>
      <c r="G3299" t="s">
        <v>6090</v>
      </c>
      <c r="H3299" t="s">
        <v>6097</v>
      </c>
      <c r="I3299">
        <v>72</v>
      </c>
      <c r="J3299">
        <v>213.2</v>
      </c>
      <c r="K3299" t="s">
        <v>6100</v>
      </c>
      <c r="L3299" t="s">
        <v>6099</v>
      </c>
      <c r="M3299" t="s">
        <v>6100</v>
      </c>
      <c r="N3299">
        <v>3</v>
      </c>
      <c r="O3299" t="s">
        <v>6101</v>
      </c>
      <c r="P3299" t="s">
        <v>6111</v>
      </c>
      <c r="Q3299">
        <v>5</v>
      </c>
      <c r="R3299">
        <v>2026</v>
      </c>
      <c r="S3299" t="s">
        <v>6100</v>
      </c>
      <c r="T3299">
        <v>0</v>
      </c>
      <c r="U3299" t="s">
        <v>6020</v>
      </c>
      <c r="V3299">
        <v>0</v>
      </c>
    </row>
    <row r="3300" spans="1:22" x14ac:dyDescent="0.3">
      <c r="A3300" t="s">
        <v>3315</v>
      </c>
      <c r="B3300" s="2">
        <v>46168.404166666667</v>
      </c>
      <c r="C3300" s="2">
        <v>46169.76666666667</v>
      </c>
      <c r="D3300" t="s">
        <v>6028</v>
      </c>
      <c r="E3300" t="s">
        <v>6031</v>
      </c>
      <c r="F3300" t="s">
        <v>6035</v>
      </c>
      <c r="G3300" t="s">
        <v>6045</v>
      </c>
      <c r="H3300" t="s">
        <v>6096</v>
      </c>
      <c r="I3300">
        <v>4</v>
      </c>
      <c r="J3300">
        <v>32.700000000000003</v>
      </c>
      <c r="K3300" t="s">
        <v>6099</v>
      </c>
      <c r="L3300" t="s">
        <v>6100</v>
      </c>
      <c r="M3300" t="s">
        <v>6100</v>
      </c>
      <c r="O3300" t="s">
        <v>6101</v>
      </c>
      <c r="P3300" t="s">
        <v>6111</v>
      </c>
      <c r="Q3300">
        <v>5</v>
      </c>
      <c r="R3300">
        <v>2026</v>
      </c>
      <c r="S3300" t="s">
        <v>6100</v>
      </c>
      <c r="T3300">
        <v>0</v>
      </c>
      <c r="U3300" t="s">
        <v>6018</v>
      </c>
      <c r="V3300">
        <v>1</v>
      </c>
    </row>
    <row r="3301" spans="1:22" x14ac:dyDescent="0.3">
      <c r="A3301" t="s">
        <v>3316</v>
      </c>
      <c r="B3301" s="2">
        <v>46168.456250000003</v>
      </c>
      <c r="C3301" s="2">
        <v>46168.752083333333</v>
      </c>
      <c r="D3301" t="s">
        <v>6028</v>
      </c>
      <c r="E3301" t="s">
        <v>6029</v>
      </c>
      <c r="F3301" t="s">
        <v>6035</v>
      </c>
      <c r="G3301" t="s">
        <v>6046</v>
      </c>
      <c r="H3301" t="s">
        <v>6098</v>
      </c>
      <c r="I3301">
        <v>4</v>
      </c>
      <c r="J3301">
        <v>7.1</v>
      </c>
      <c r="K3301" t="s">
        <v>6099</v>
      </c>
      <c r="L3301" t="s">
        <v>6100</v>
      </c>
      <c r="M3301" t="s">
        <v>6100</v>
      </c>
      <c r="N3301">
        <v>5</v>
      </c>
      <c r="O3301" t="s">
        <v>6101</v>
      </c>
      <c r="P3301" t="s">
        <v>6111</v>
      </c>
      <c r="Q3301">
        <v>5</v>
      </c>
      <c r="R3301">
        <v>2026</v>
      </c>
      <c r="S3301" t="s">
        <v>6100</v>
      </c>
      <c r="T3301">
        <v>0</v>
      </c>
      <c r="U3301" t="s">
        <v>6019</v>
      </c>
      <c r="V3301">
        <v>1</v>
      </c>
    </row>
    <row r="3302" spans="1:22" x14ac:dyDescent="0.3">
      <c r="A3302" t="s">
        <v>3317</v>
      </c>
      <c r="B3302" s="2">
        <v>46168.463194444441</v>
      </c>
      <c r="C3302" s="2">
        <v>46169.78402777778</v>
      </c>
      <c r="D3302" t="s">
        <v>6026</v>
      </c>
      <c r="E3302" t="s">
        <v>6031</v>
      </c>
      <c r="F3302" t="s">
        <v>6034</v>
      </c>
      <c r="G3302" t="s">
        <v>6073</v>
      </c>
      <c r="H3302" t="s">
        <v>6096</v>
      </c>
      <c r="I3302">
        <v>24</v>
      </c>
      <c r="J3302">
        <v>31.7</v>
      </c>
      <c r="K3302" t="s">
        <v>6100</v>
      </c>
      <c r="L3302" t="s">
        <v>6100</v>
      </c>
      <c r="M3302" t="s">
        <v>6100</v>
      </c>
      <c r="O3302" t="s">
        <v>6101</v>
      </c>
      <c r="P3302" t="s">
        <v>6111</v>
      </c>
      <c r="Q3302">
        <v>5</v>
      </c>
      <c r="R3302">
        <v>2026</v>
      </c>
      <c r="S3302" t="s">
        <v>6100</v>
      </c>
      <c r="T3302">
        <v>0</v>
      </c>
      <c r="U3302" t="s">
        <v>6018</v>
      </c>
      <c r="V3302">
        <v>0</v>
      </c>
    </row>
    <row r="3303" spans="1:22" x14ac:dyDescent="0.3">
      <c r="A3303" t="s">
        <v>3318</v>
      </c>
      <c r="B3303" s="2">
        <v>46168.493055555555</v>
      </c>
      <c r="C3303" s="2">
        <v>46168.822222222225</v>
      </c>
      <c r="D3303" t="s">
        <v>6024</v>
      </c>
      <c r="E3303" t="s">
        <v>6029</v>
      </c>
      <c r="F3303" t="s">
        <v>6034</v>
      </c>
      <c r="G3303" t="s">
        <v>6082</v>
      </c>
      <c r="H3303" t="s">
        <v>6097</v>
      </c>
      <c r="I3303">
        <v>24</v>
      </c>
      <c r="J3303">
        <v>7.9</v>
      </c>
      <c r="K3303" t="s">
        <v>6100</v>
      </c>
      <c r="L3303" t="s">
        <v>6099</v>
      </c>
      <c r="M3303" t="s">
        <v>6100</v>
      </c>
      <c r="O3303" t="s">
        <v>6101</v>
      </c>
      <c r="P3303" t="s">
        <v>6111</v>
      </c>
      <c r="Q3303">
        <v>5</v>
      </c>
      <c r="R3303">
        <v>2026</v>
      </c>
      <c r="S3303" t="s">
        <v>6099</v>
      </c>
      <c r="T3303">
        <v>1</v>
      </c>
      <c r="U3303" t="s">
        <v>6020</v>
      </c>
      <c r="V3303">
        <v>0</v>
      </c>
    </row>
    <row r="3304" spans="1:22" x14ac:dyDescent="0.3">
      <c r="A3304" t="s">
        <v>3319</v>
      </c>
      <c r="B3304" s="2">
        <v>46168.496527777781</v>
      </c>
      <c r="C3304" s="2">
        <v>46168.78402777778</v>
      </c>
      <c r="D3304" t="s">
        <v>6024</v>
      </c>
      <c r="E3304" t="s">
        <v>6030</v>
      </c>
      <c r="F3304" t="s">
        <v>6034</v>
      </c>
      <c r="G3304" t="s">
        <v>6088</v>
      </c>
      <c r="H3304" t="s">
        <v>6097</v>
      </c>
      <c r="I3304">
        <v>24</v>
      </c>
      <c r="J3304">
        <v>6.9</v>
      </c>
      <c r="K3304" t="s">
        <v>6099</v>
      </c>
      <c r="L3304" t="s">
        <v>6100</v>
      </c>
      <c r="M3304" t="s">
        <v>6100</v>
      </c>
      <c r="O3304" t="s">
        <v>6101</v>
      </c>
      <c r="P3304" t="s">
        <v>6111</v>
      </c>
      <c r="Q3304">
        <v>5</v>
      </c>
      <c r="R3304">
        <v>2026</v>
      </c>
      <c r="S3304" t="s">
        <v>6099</v>
      </c>
      <c r="T3304">
        <v>1</v>
      </c>
      <c r="U3304" t="s">
        <v>6019</v>
      </c>
      <c r="V3304">
        <v>1</v>
      </c>
    </row>
    <row r="3305" spans="1:22" x14ac:dyDescent="0.3">
      <c r="A3305" t="s">
        <v>3320</v>
      </c>
      <c r="B3305" s="2">
        <v>46168.540277777778</v>
      </c>
      <c r="C3305" s="2">
        <v>46168.81527777778</v>
      </c>
      <c r="D3305" t="s">
        <v>6022</v>
      </c>
      <c r="E3305" t="s">
        <v>6029</v>
      </c>
      <c r="F3305" t="s">
        <v>6034</v>
      </c>
      <c r="G3305" t="s">
        <v>6082</v>
      </c>
      <c r="H3305" t="s">
        <v>6097</v>
      </c>
      <c r="I3305">
        <v>24</v>
      </c>
      <c r="J3305">
        <v>6.6</v>
      </c>
      <c r="K3305" t="s">
        <v>6099</v>
      </c>
      <c r="L3305" t="s">
        <v>6100</v>
      </c>
      <c r="M3305" t="s">
        <v>6100</v>
      </c>
      <c r="N3305">
        <v>5</v>
      </c>
      <c r="O3305" t="s">
        <v>6101</v>
      </c>
      <c r="P3305" t="s">
        <v>6111</v>
      </c>
      <c r="Q3305">
        <v>5</v>
      </c>
      <c r="R3305">
        <v>2026</v>
      </c>
      <c r="S3305" t="s">
        <v>6099</v>
      </c>
      <c r="T3305">
        <v>1</v>
      </c>
      <c r="U3305" t="s">
        <v>6017</v>
      </c>
      <c r="V3305">
        <v>1</v>
      </c>
    </row>
    <row r="3306" spans="1:22" x14ac:dyDescent="0.3">
      <c r="A3306" t="s">
        <v>3321</v>
      </c>
      <c r="B3306" s="2">
        <v>46168.563194444447</v>
      </c>
      <c r="C3306" s="2">
        <v>46168.975694444445</v>
      </c>
      <c r="D3306" t="s">
        <v>6027</v>
      </c>
      <c r="E3306" t="s">
        <v>6029</v>
      </c>
      <c r="F3306" t="s">
        <v>6034</v>
      </c>
      <c r="G3306" t="s">
        <v>6048</v>
      </c>
      <c r="H3306" t="s">
        <v>6096</v>
      </c>
      <c r="I3306">
        <v>24</v>
      </c>
      <c r="J3306">
        <v>9.9</v>
      </c>
      <c r="K3306" t="s">
        <v>6099</v>
      </c>
      <c r="L3306" t="s">
        <v>6100</v>
      </c>
      <c r="M3306" t="s">
        <v>6100</v>
      </c>
      <c r="N3306">
        <v>5</v>
      </c>
      <c r="O3306" t="s">
        <v>6101</v>
      </c>
      <c r="P3306" t="s">
        <v>6111</v>
      </c>
      <c r="Q3306">
        <v>5</v>
      </c>
      <c r="R3306">
        <v>2026</v>
      </c>
      <c r="S3306" t="s">
        <v>6099</v>
      </c>
      <c r="T3306">
        <v>1</v>
      </c>
      <c r="U3306" t="s">
        <v>6018</v>
      </c>
      <c r="V3306">
        <v>1</v>
      </c>
    </row>
    <row r="3307" spans="1:22" x14ac:dyDescent="0.3">
      <c r="A3307" t="s">
        <v>3322</v>
      </c>
      <c r="B3307" s="2">
        <v>46168.625694444447</v>
      </c>
      <c r="C3307" s="2">
        <v>46171.563194444447</v>
      </c>
      <c r="D3307" t="s">
        <v>6022</v>
      </c>
      <c r="E3307" t="s">
        <v>6031</v>
      </c>
      <c r="F3307" t="s">
        <v>6033</v>
      </c>
      <c r="G3307" t="s">
        <v>6074</v>
      </c>
      <c r="H3307" t="s">
        <v>6098</v>
      </c>
      <c r="I3307">
        <v>72</v>
      </c>
      <c r="J3307">
        <v>70.5</v>
      </c>
      <c r="K3307" t="s">
        <v>6099</v>
      </c>
      <c r="L3307" t="s">
        <v>6100</v>
      </c>
      <c r="M3307" t="s">
        <v>6100</v>
      </c>
      <c r="N3307">
        <v>5</v>
      </c>
      <c r="O3307" t="s">
        <v>6101</v>
      </c>
      <c r="P3307" t="s">
        <v>6111</v>
      </c>
      <c r="Q3307">
        <v>5</v>
      </c>
      <c r="R3307">
        <v>2026</v>
      </c>
      <c r="S3307" t="s">
        <v>6099</v>
      </c>
      <c r="T3307">
        <v>1</v>
      </c>
      <c r="U3307" t="s">
        <v>6018</v>
      </c>
      <c r="V3307">
        <v>1</v>
      </c>
    </row>
    <row r="3308" spans="1:22" x14ac:dyDescent="0.3">
      <c r="A3308" t="s">
        <v>3323</v>
      </c>
      <c r="B3308" s="2">
        <v>46168.648611111108</v>
      </c>
      <c r="C3308" s="2">
        <v>46168.819444444445</v>
      </c>
      <c r="D3308" t="s">
        <v>6028</v>
      </c>
      <c r="E3308" t="s">
        <v>6030</v>
      </c>
      <c r="F3308" t="s">
        <v>6035</v>
      </c>
      <c r="G3308" t="s">
        <v>6039</v>
      </c>
      <c r="H3308" t="s">
        <v>6097</v>
      </c>
      <c r="I3308">
        <v>4</v>
      </c>
      <c r="J3308">
        <v>4.0999999999999996</v>
      </c>
      <c r="K3308" t="s">
        <v>6099</v>
      </c>
      <c r="L3308" t="s">
        <v>6100</v>
      </c>
      <c r="M3308" t="s">
        <v>6100</v>
      </c>
      <c r="N3308">
        <v>5</v>
      </c>
      <c r="O3308" t="s">
        <v>6101</v>
      </c>
      <c r="P3308" t="s">
        <v>6111</v>
      </c>
      <c r="Q3308">
        <v>5</v>
      </c>
      <c r="R3308">
        <v>2026</v>
      </c>
      <c r="S3308" t="s">
        <v>6100</v>
      </c>
      <c r="T3308">
        <v>0</v>
      </c>
      <c r="U3308" t="s">
        <v>6021</v>
      </c>
      <c r="V3308">
        <v>1</v>
      </c>
    </row>
    <row r="3309" spans="1:22" x14ac:dyDescent="0.3">
      <c r="A3309" t="s">
        <v>3324</v>
      </c>
      <c r="B3309" s="2">
        <v>46168.664583333331</v>
      </c>
      <c r="C3309" s="2">
        <v>46170.88958333333</v>
      </c>
      <c r="D3309" t="s">
        <v>6025</v>
      </c>
      <c r="E3309" t="s">
        <v>6031</v>
      </c>
      <c r="F3309" t="s">
        <v>6033</v>
      </c>
      <c r="G3309" t="s">
        <v>6060</v>
      </c>
      <c r="H3309" t="s">
        <v>6097</v>
      </c>
      <c r="I3309">
        <v>72</v>
      </c>
      <c r="J3309">
        <v>53.4</v>
      </c>
      <c r="K3309" t="s">
        <v>6099</v>
      </c>
      <c r="L3309" t="s">
        <v>6100</v>
      </c>
      <c r="M3309" t="s">
        <v>6100</v>
      </c>
      <c r="O3309" t="s">
        <v>6101</v>
      </c>
      <c r="P3309" t="s">
        <v>6111</v>
      </c>
      <c r="Q3309">
        <v>5</v>
      </c>
      <c r="R3309">
        <v>2026</v>
      </c>
      <c r="S3309" t="s">
        <v>6099</v>
      </c>
      <c r="T3309">
        <v>1</v>
      </c>
      <c r="U3309" t="s">
        <v>6019</v>
      </c>
      <c r="V3309">
        <v>1</v>
      </c>
    </row>
    <row r="3310" spans="1:22" x14ac:dyDescent="0.3">
      <c r="A3310" t="s">
        <v>3325</v>
      </c>
      <c r="B3310" s="2">
        <v>46168.716666666667</v>
      </c>
      <c r="C3310" s="2">
        <v>46170.362500000003</v>
      </c>
      <c r="D3310" t="s">
        <v>6022</v>
      </c>
      <c r="E3310" t="s">
        <v>6032</v>
      </c>
      <c r="F3310" t="s">
        <v>6033</v>
      </c>
      <c r="G3310" t="s">
        <v>6064</v>
      </c>
      <c r="H3310" t="s">
        <v>6096</v>
      </c>
      <c r="I3310">
        <v>72</v>
      </c>
      <c r="J3310">
        <v>39.5</v>
      </c>
      <c r="K3310" t="s">
        <v>6099</v>
      </c>
      <c r="L3310" t="s">
        <v>6100</v>
      </c>
      <c r="M3310" t="s">
        <v>6099</v>
      </c>
      <c r="N3310">
        <v>3</v>
      </c>
      <c r="O3310" t="s">
        <v>6101</v>
      </c>
      <c r="P3310" t="s">
        <v>6111</v>
      </c>
      <c r="Q3310">
        <v>5</v>
      </c>
      <c r="R3310">
        <v>2026</v>
      </c>
      <c r="S3310" t="s">
        <v>6099</v>
      </c>
      <c r="T3310">
        <v>1</v>
      </c>
      <c r="U3310" t="s">
        <v>6017</v>
      </c>
      <c r="V3310">
        <v>1</v>
      </c>
    </row>
    <row r="3311" spans="1:22" x14ac:dyDescent="0.3">
      <c r="A3311" t="s">
        <v>3326</v>
      </c>
      <c r="B3311" s="2">
        <v>46168.757638888892</v>
      </c>
      <c r="C3311" s="2">
        <v>46168.807638888888</v>
      </c>
      <c r="D3311" t="s">
        <v>6022</v>
      </c>
      <c r="E3311" t="s">
        <v>6030</v>
      </c>
      <c r="F3311" t="s">
        <v>6034</v>
      </c>
      <c r="G3311" t="s">
        <v>6048</v>
      </c>
      <c r="H3311" t="s">
        <v>6096</v>
      </c>
      <c r="I3311">
        <v>24</v>
      </c>
      <c r="J3311">
        <v>1.2</v>
      </c>
      <c r="K3311" t="s">
        <v>6099</v>
      </c>
      <c r="L3311" t="s">
        <v>6100</v>
      </c>
      <c r="M3311" t="s">
        <v>6099</v>
      </c>
      <c r="N3311">
        <v>5</v>
      </c>
      <c r="O3311" t="s">
        <v>6101</v>
      </c>
      <c r="P3311" t="s">
        <v>6111</v>
      </c>
      <c r="Q3311">
        <v>5</v>
      </c>
      <c r="R3311">
        <v>2026</v>
      </c>
      <c r="S3311" t="s">
        <v>6099</v>
      </c>
      <c r="T3311">
        <v>1</v>
      </c>
      <c r="U3311" t="s">
        <v>6017</v>
      </c>
      <c r="V3311">
        <v>1</v>
      </c>
    </row>
    <row r="3312" spans="1:22" x14ac:dyDescent="0.3">
      <c r="A3312" t="s">
        <v>3327</v>
      </c>
      <c r="B3312" s="2">
        <v>46168.759722222225</v>
      </c>
      <c r="C3312" s="2">
        <v>46170.638888888891</v>
      </c>
      <c r="D3312" t="s">
        <v>6025</v>
      </c>
      <c r="E3312" t="s">
        <v>6032</v>
      </c>
      <c r="F3312" t="s">
        <v>6033</v>
      </c>
      <c r="G3312" t="s">
        <v>6080</v>
      </c>
      <c r="H3312" t="s">
        <v>6096</v>
      </c>
      <c r="I3312">
        <v>72</v>
      </c>
      <c r="J3312">
        <v>45.1</v>
      </c>
      <c r="K3312" t="s">
        <v>6099</v>
      </c>
      <c r="L3312" t="s">
        <v>6100</v>
      </c>
      <c r="M3312" t="s">
        <v>6100</v>
      </c>
      <c r="N3312">
        <v>5</v>
      </c>
      <c r="O3312" t="s">
        <v>6101</v>
      </c>
      <c r="P3312" t="s">
        <v>6111</v>
      </c>
      <c r="Q3312">
        <v>5</v>
      </c>
      <c r="R3312">
        <v>2026</v>
      </c>
      <c r="S3312" t="s">
        <v>6099</v>
      </c>
      <c r="T3312">
        <v>1</v>
      </c>
      <c r="U3312" t="s">
        <v>6017</v>
      </c>
      <c r="V3312">
        <v>1</v>
      </c>
    </row>
    <row r="3313" spans="1:22" x14ac:dyDescent="0.3">
      <c r="A3313" t="s">
        <v>3328</v>
      </c>
      <c r="B3313" s="2">
        <v>46168.787499999999</v>
      </c>
      <c r="C3313" s="2">
        <v>46168.974999999999</v>
      </c>
      <c r="D3313" t="s">
        <v>6028</v>
      </c>
      <c r="E3313" t="s">
        <v>6029</v>
      </c>
      <c r="F3313" t="s">
        <v>6033</v>
      </c>
      <c r="G3313" t="s">
        <v>6048</v>
      </c>
      <c r="H3313" t="s">
        <v>6096</v>
      </c>
      <c r="I3313">
        <v>72</v>
      </c>
      <c r="J3313">
        <v>4.5</v>
      </c>
      <c r="K3313" t="s">
        <v>6100</v>
      </c>
      <c r="L3313" t="s">
        <v>6100</v>
      </c>
      <c r="M3313" t="s">
        <v>6100</v>
      </c>
      <c r="N3313">
        <v>4</v>
      </c>
      <c r="O3313" t="s">
        <v>6101</v>
      </c>
      <c r="P3313" t="s">
        <v>6111</v>
      </c>
      <c r="Q3313">
        <v>5</v>
      </c>
      <c r="R3313">
        <v>2026</v>
      </c>
      <c r="S3313" t="s">
        <v>6099</v>
      </c>
      <c r="T3313">
        <v>1</v>
      </c>
      <c r="U3313" t="s">
        <v>6018</v>
      </c>
      <c r="V3313">
        <v>0</v>
      </c>
    </row>
    <row r="3314" spans="1:22" x14ac:dyDescent="0.3">
      <c r="A3314" t="s">
        <v>3329</v>
      </c>
      <c r="B3314" s="2">
        <v>46168.794444444444</v>
      </c>
      <c r="C3314" s="2">
        <v>46170.248611111114</v>
      </c>
      <c r="D3314" t="s">
        <v>6025</v>
      </c>
      <c r="E3314" t="s">
        <v>6031</v>
      </c>
      <c r="F3314" t="s">
        <v>6033</v>
      </c>
      <c r="G3314" t="s">
        <v>6063</v>
      </c>
      <c r="H3314" t="s">
        <v>6097</v>
      </c>
      <c r="I3314">
        <v>72</v>
      </c>
      <c r="J3314">
        <v>34.9</v>
      </c>
      <c r="K3314" t="s">
        <v>6099</v>
      </c>
      <c r="L3314" t="s">
        <v>6100</v>
      </c>
      <c r="M3314" t="s">
        <v>6099</v>
      </c>
      <c r="N3314">
        <v>3</v>
      </c>
      <c r="O3314" t="s">
        <v>6101</v>
      </c>
      <c r="P3314" t="s">
        <v>6111</v>
      </c>
      <c r="Q3314">
        <v>5</v>
      </c>
      <c r="R3314">
        <v>2026</v>
      </c>
      <c r="S3314" t="s">
        <v>6099</v>
      </c>
      <c r="T3314">
        <v>1</v>
      </c>
      <c r="U3314" t="s">
        <v>6021</v>
      </c>
      <c r="V3314">
        <v>1</v>
      </c>
    </row>
    <row r="3315" spans="1:22" x14ac:dyDescent="0.3">
      <c r="A3315" t="s">
        <v>3330</v>
      </c>
      <c r="B3315" s="2">
        <v>46168.919444444444</v>
      </c>
      <c r="C3315" s="2">
        <v>46169.111111111109</v>
      </c>
      <c r="D3315" t="s">
        <v>6023</v>
      </c>
      <c r="E3315" t="s">
        <v>6029</v>
      </c>
      <c r="F3315" t="s">
        <v>6033</v>
      </c>
      <c r="G3315" t="s">
        <v>6073</v>
      </c>
      <c r="H3315" t="s">
        <v>6096</v>
      </c>
      <c r="I3315">
        <v>72</v>
      </c>
      <c r="J3315">
        <v>4.5999999999999996</v>
      </c>
      <c r="K3315" t="s">
        <v>6099</v>
      </c>
      <c r="L3315" t="s">
        <v>6100</v>
      </c>
      <c r="M3315" t="s">
        <v>6100</v>
      </c>
      <c r="O3315" t="s">
        <v>6101</v>
      </c>
      <c r="P3315" t="s">
        <v>6111</v>
      </c>
      <c r="Q3315">
        <v>5</v>
      </c>
      <c r="R3315">
        <v>2026</v>
      </c>
      <c r="S3315" t="s">
        <v>6099</v>
      </c>
      <c r="T3315">
        <v>1</v>
      </c>
      <c r="U3315" t="s">
        <v>6021</v>
      </c>
      <c r="V3315">
        <v>1</v>
      </c>
    </row>
    <row r="3316" spans="1:22" x14ac:dyDescent="0.3">
      <c r="A3316" t="s">
        <v>3331</v>
      </c>
      <c r="B3316" s="2">
        <v>46168.93472222222</v>
      </c>
      <c r="C3316" s="2">
        <v>46169.197222222225</v>
      </c>
      <c r="D3316" t="s">
        <v>6023</v>
      </c>
      <c r="E3316" t="s">
        <v>6029</v>
      </c>
      <c r="F3316" t="s">
        <v>6033</v>
      </c>
      <c r="G3316" t="s">
        <v>6053</v>
      </c>
      <c r="H3316" t="s">
        <v>6097</v>
      </c>
      <c r="I3316">
        <v>72</v>
      </c>
      <c r="J3316">
        <v>6.3</v>
      </c>
      <c r="K3316" t="s">
        <v>6099</v>
      </c>
      <c r="L3316" t="s">
        <v>6100</v>
      </c>
      <c r="M3316" t="s">
        <v>6100</v>
      </c>
      <c r="O3316" t="s">
        <v>6101</v>
      </c>
      <c r="P3316" t="s">
        <v>6111</v>
      </c>
      <c r="Q3316">
        <v>5</v>
      </c>
      <c r="R3316">
        <v>2026</v>
      </c>
      <c r="S3316" t="s">
        <v>6099</v>
      </c>
      <c r="T3316">
        <v>1</v>
      </c>
      <c r="U3316" t="s">
        <v>6018</v>
      </c>
      <c r="V3316">
        <v>1</v>
      </c>
    </row>
    <row r="3317" spans="1:22" x14ac:dyDescent="0.3">
      <c r="A3317" t="s">
        <v>3332</v>
      </c>
      <c r="B3317" s="2">
        <v>46168.961111111108</v>
      </c>
      <c r="C3317" s="2">
        <v>46171.331944444442</v>
      </c>
      <c r="D3317" t="s">
        <v>6026</v>
      </c>
      <c r="E3317" t="s">
        <v>6031</v>
      </c>
      <c r="F3317" t="s">
        <v>6033</v>
      </c>
      <c r="G3317" t="s">
        <v>6089</v>
      </c>
      <c r="H3317" t="s">
        <v>6098</v>
      </c>
      <c r="I3317">
        <v>72</v>
      </c>
      <c r="J3317">
        <v>56.9</v>
      </c>
      <c r="K3317" t="s">
        <v>6099</v>
      </c>
      <c r="L3317" t="s">
        <v>6100</v>
      </c>
      <c r="M3317" t="s">
        <v>6100</v>
      </c>
      <c r="O3317" t="s">
        <v>6101</v>
      </c>
      <c r="P3317" t="s">
        <v>6111</v>
      </c>
      <c r="Q3317">
        <v>5</v>
      </c>
      <c r="R3317">
        <v>2026</v>
      </c>
      <c r="S3317" t="s">
        <v>6099</v>
      </c>
      <c r="T3317">
        <v>1</v>
      </c>
      <c r="U3317" t="s">
        <v>6018</v>
      </c>
      <c r="V3317">
        <v>1</v>
      </c>
    </row>
    <row r="3318" spans="1:22" x14ac:dyDescent="0.3">
      <c r="A3318" t="s">
        <v>3333</v>
      </c>
      <c r="B3318" s="2">
        <v>46168.982638888891</v>
      </c>
      <c r="C3318" s="2">
        <v>46169.253472222219</v>
      </c>
      <c r="D3318" t="s">
        <v>6026</v>
      </c>
      <c r="E3318" t="s">
        <v>6029</v>
      </c>
      <c r="F3318" t="s">
        <v>6033</v>
      </c>
      <c r="G3318" t="s">
        <v>6085</v>
      </c>
      <c r="H3318" t="s">
        <v>6097</v>
      </c>
      <c r="I3318">
        <v>72</v>
      </c>
      <c r="J3318">
        <v>6.5</v>
      </c>
      <c r="K3318" t="s">
        <v>6099</v>
      </c>
      <c r="L3318" t="s">
        <v>6100</v>
      </c>
      <c r="M3318" t="s">
        <v>6100</v>
      </c>
      <c r="N3318">
        <v>5</v>
      </c>
      <c r="O3318" t="s">
        <v>6101</v>
      </c>
      <c r="P3318" t="s">
        <v>6111</v>
      </c>
      <c r="Q3318">
        <v>5</v>
      </c>
      <c r="R3318">
        <v>2026</v>
      </c>
      <c r="S3318" t="s">
        <v>6099</v>
      </c>
      <c r="T3318">
        <v>1</v>
      </c>
      <c r="U3318" t="s">
        <v>6020</v>
      </c>
      <c r="V3318">
        <v>1</v>
      </c>
    </row>
    <row r="3319" spans="1:22" x14ac:dyDescent="0.3">
      <c r="A3319" t="s">
        <v>3334</v>
      </c>
      <c r="B3319" s="2">
        <v>46169.209722222222</v>
      </c>
      <c r="C3319" s="2">
        <v>46169.343055555553</v>
      </c>
      <c r="D3319" t="s">
        <v>6023</v>
      </c>
      <c r="E3319" t="s">
        <v>6030</v>
      </c>
      <c r="F3319" t="s">
        <v>6034</v>
      </c>
      <c r="G3319" t="s">
        <v>6085</v>
      </c>
      <c r="H3319" t="s">
        <v>6097</v>
      </c>
      <c r="I3319">
        <v>24</v>
      </c>
      <c r="J3319">
        <v>3.2</v>
      </c>
      <c r="K3319" t="s">
        <v>6099</v>
      </c>
      <c r="L3319" t="s">
        <v>6100</v>
      </c>
      <c r="M3319" t="s">
        <v>6100</v>
      </c>
      <c r="O3319" t="s">
        <v>6101</v>
      </c>
      <c r="P3319" t="s">
        <v>6111</v>
      </c>
      <c r="Q3319">
        <v>5</v>
      </c>
      <c r="R3319">
        <v>2026</v>
      </c>
      <c r="S3319" t="s">
        <v>6099</v>
      </c>
      <c r="T3319">
        <v>1</v>
      </c>
      <c r="U3319" t="s">
        <v>6018</v>
      </c>
      <c r="V3319">
        <v>1</v>
      </c>
    </row>
    <row r="3320" spans="1:22" x14ac:dyDescent="0.3">
      <c r="A3320" t="s">
        <v>3335</v>
      </c>
      <c r="B3320" s="2">
        <v>46169.213194444441</v>
      </c>
      <c r="C3320" s="2">
        <v>46169.300694444442</v>
      </c>
      <c r="D3320" t="s">
        <v>6027</v>
      </c>
      <c r="E3320" t="s">
        <v>6029</v>
      </c>
      <c r="F3320" t="s">
        <v>6034</v>
      </c>
      <c r="G3320" t="s">
        <v>6080</v>
      </c>
      <c r="H3320" t="s">
        <v>6096</v>
      </c>
      <c r="I3320">
        <v>24</v>
      </c>
      <c r="J3320">
        <v>2.1</v>
      </c>
      <c r="K3320" t="s">
        <v>6099</v>
      </c>
      <c r="L3320" t="s">
        <v>6100</v>
      </c>
      <c r="M3320" t="s">
        <v>6100</v>
      </c>
      <c r="O3320" t="s">
        <v>6101</v>
      </c>
      <c r="P3320" t="s">
        <v>6111</v>
      </c>
      <c r="Q3320">
        <v>5</v>
      </c>
      <c r="R3320">
        <v>2026</v>
      </c>
      <c r="S3320" t="s">
        <v>6099</v>
      </c>
      <c r="T3320">
        <v>1</v>
      </c>
      <c r="U3320" t="s">
        <v>6017</v>
      </c>
      <c r="V3320">
        <v>1</v>
      </c>
    </row>
    <row r="3321" spans="1:22" x14ac:dyDescent="0.3">
      <c r="A3321" t="s">
        <v>3336</v>
      </c>
      <c r="B3321" s="2">
        <v>46169.376388888886</v>
      </c>
      <c r="C3321" s="2">
        <v>46169.709722222222</v>
      </c>
      <c r="D3321" t="s">
        <v>6025</v>
      </c>
      <c r="E3321" t="s">
        <v>6030</v>
      </c>
      <c r="F3321" t="s">
        <v>6034</v>
      </c>
      <c r="G3321" t="s">
        <v>6087</v>
      </c>
      <c r="H3321" t="s">
        <v>6098</v>
      </c>
      <c r="I3321">
        <v>24</v>
      </c>
      <c r="J3321">
        <v>8</v>
      </c>
      <c r="K3321" t="s">
        <v>6100</v>
      </c>
      <c r="L3321" t="s">
        <v>6099</v>
      </c>
      <c r="M3321" t="s">
        <v>6099</v>
      </c>
      <c r="N3321">
        <v>3</v>
      </c>
      <c r="O3321" t="s">
        <v>6101</v>
      </c>
      <c r="P3321" t="s">
        <v>6111</v>
      </c>
      <c r="Q3321">
        <v>5</v>
      </c>
      <c r="R3321">
        <v>2026</v>
      </c>
      <c r="S3321" t="s">
        <v>6099</v>
      </c>
      <c r="T3321">
        <v>1</v>
      </c>
      <c r="U3321" t="s">
        <v>6018</v>
      </c>
      <c r="V3321">
        <v>0</v>
      </c>
    </row>
    <row r="3322" spans="1:22" x14ac:dyDescent="0.3">
      <c r="A3322" t="s">
        <v>3337</v>
      </c>
      <c r="B3322" s="2">
        <v>46169.37777777778</v>
      </c>
      <c r="C3322" s="2">
        <v>46169.665277777778</v>
      </c>
      <c r="D3322" t="s">
        <v>6023</v>
      </c>
      <c r="E3322" t="s">
        <v>6029</v>
      </c>
      <c r="F3322" t="s">
        <v>6034</v>
      </c>
      <c r="G3322" t="s">
        <v>6073</v>
      </c>
      <c r="H3322" t="s">
        <v>6096</v>
      </c>
      <c r="I3322">
        <v>24</v>
      </c>
      <c r="J3322">
        <v>6.9</v>
      </c>
      <c r="K3322" t="s">
        <v>6099</v>
      </c>
      <c r="L3322" t="s">
        <v>6100</v>
      </c>
      <c r="M3322" t="s">
        <v>6100</v>
      </c>
      <c r="N3322">
        <v>4</v>
      </c>
      <c r="O3322" t="s">
        <v>6101</v>
      </c>
      <c r="P3322" t="s">
        <v>6111</v>
      </c>
      <c r="Q3322">
        <v>5</v>
      </c>
      <c r="R3322">
        <v>2026</v>
      </c>
      <c r="S3322" t="s">
        <v>6099</v>
      </c>
      <c r="T3322">
        <v>1</v>
      </c>
      <c r="U3322" t="s">
        <v>6019</v>
      </c>
      <c r="V3322">
        <v>1</v>
      </c>
    </row>
    <row r="3323" spans="1:22" x14ac:dyDescent="0.3">
      <c r="A3323" t="s">
        <v>3338</v>
      </c>
      <c r="B3323" s="2">
        <v>46169.390277777777</v>
      </c>
      <c r="C3323" s="2">
        <v>46169.681944444441</v>
      </c>
      <c r="D3323" t="s">
        <v>6023</v>
      </c>
      <c r="E3323" t="s">
        <v>6030</v>
      </c>
      <c r="F3323" t="s">
        <v>6034</v>
      </c>
      <c r="G3323" t="s">
        <v>6067</v>
      </c>
      <c r="H3323" t="s">
        <v>6098</v>
      </c>
      <c r="I3323">
        <v>24</v>
      </c>
      <c r="J3323">
        <v>7</v>
      </c>
      <c r="K3323" t="s">
        <v>6099</v>
      </c>
      <c r="L3323" t="s">
        <v>6100</v>
      </c>
      <c r="M3323" t="s">
        <v>6100</v>
      </c>
      <c r="N3323">
        <v>5</v>
      </c>
      <c r="O3323" t="s">
        <v>6101</v>
      </c>
      <c r="P3323" t="s">
        <v>6111</v>
      </c>
      <c r="Q3323">
        <v>5</v>
      </c>
      <c r="R3323">
        <v>2026</v>
      </c>
      <c r="S3323" t="s">
        <v>6099</v>
      </c>
      <c r="T3323">
        <v>1</v>
      </c>
      <c r="U3323" t="s">
        <v>6019</v>
      </c>
      <c r="V3323">
        <v>1</v>
      </c>
    </row>
    <row r="3324" spans="1:22" x14ac:dyDescent="0.3">
      <c r="A3324" t="s">
        <v>3339</v>
      </c>
      <c r="B3324" s="2">
        <v>46169.411111111112</v>
      </c>
      <c r="C3324" s="2">
        <v>46171.044444444444</v>
      </c>
      <c r="D3324" t="s">
        <v>6028</v>
      </c>
      <c r="E3324" t="s">
        <v>6031</v>
      </c>
      <c r="F3324" t="s">
        <v>6033</v>
      </c>
      <c r="G3324" t="s">
        <v>6080</v>
      </c>
      <c r="H3324" t="s">
        <v>6096</v>
      </c>
      <c r="I3324">
        <v>72</v>
      </c>
      <c r="J3324">
        <v>39.200000000000003</v>
      </c>
      <c r="K3324" t="s">
        <v>6099</v>
      </c>
      <c r="L3324" t="s">
        <v>6100</v>
      </c>
      <c r="M3324" t="s">
        <v>6100</v>
      </c>
      <c r="O3324" t="s">
        <v>6101</v>
      </c>
      <c r="P3324" t="s">
        <v>6111</v>
      </c>
      <c r="Q3324">
        <v>5</v>
      </c>
      <c r="R3324">
        <v>2026</v>
      </c>
      <c r="S3324" t="s">
        <v>6099</v>
      </c>
      <c r="T3324">
        <v>1</v>
      </c>
      <c r="U3324" t="s">
        <v>6018</v>
      </c>
      <c r="V3324">
        <v>1</v>
      </c>
    </row>
    <row r="3325" spans="1:22" x14ac:dyDescent="0.3">
      <c r="A3325" t="s">
        <v>3340</v>
      </c>
      <c r="B3325" s="2">
        <v>46169.417361111111</v>
      </c>
      <c r="C3325" s="2">
        <v>46169.621527777781</v>
      </c>
      <c r="D3325" t="s">
        <v>6024</v>
      </c>
      <c r="E3325" t="s">
        <v>6030</v>
      </c>
      <c r="F3325" t="s">
        <v>6034</v>
      </c>
      <c r="G3325" t="s">
        <v>6037</v>
      </c>
      <c r="H3325" t="s">
        <v>6096</v>
      </c>
      <c r="I3325">
        <v>24</v>
      </c>
      <c r="J3325">
        <v>4.9000000000000004</v>
      </c>
      <c r="K3325" t="s">
        <v>6099</v>
      </c>
      <c r="L3325" t="s">
        <v>6100</v>
      </c>
      <c r="M3325" t="s">
        <v>6100</v>
      </c>
      <c r="N3325">
        <v>4</v>
      </c>
      <c r="O3325" t="s">
        <v>6101</v>
      </c>
      <c r="P3325" t="s">
        <v>6111</v>
      </c>
      <c r="Q3325">
        <v>5</v>
      </c>
      <c r="R3325">
        <v>2026</v>
      </c>
      <c r="S3325" t="s">
        <v>6099</v>
      </c>
      <c r="T3325">
        <v>1</v>
      </c>
      <c r="U3325" t="s">
        <v>6019</v>
      </c>
      <c r="V3325">
        <v>1</v>
      </c>
    </row>
    <row r="3326" spans="1:22" x14ac:dyDescent="0.3">
      <c r="A3326" t="s">
        <v>3341</v>
      </c>
      <c r="B3326" s="2">
        <v>46169.423611111109</v>
      </c>
      <c r="C3326" s="2">
        <v>46169.56527777778</v>
      </c>
      <c r="D3326" t="s">
        <v>6023</v>
      </c>
      <c r="E3326" t="s">
        <v>6029</v>
      </c>
      <c r="F3326" t="s">
        <v>6033</v>
      </c>
      <c r="G3326" t="s">
        <v>6076</v>
      </c>
      <c r="H3326" t="s">
        <v>6097</v>
      </c>
      <c r="I3326">
        <v>72</v>
      </c>
      <c r="J3326">
        <v>3.4</v>
      </c>
      <c r="K3326" t="s">
        <v>6099</v>
      </c>
      <c r="L3326" t="s">
        <v>6100</v>
      </c>
      <c r="M3326" t="s">
        <v>6100</v>
      </c>
      <c r="N3326">
        <v>5</v>
      </c>
      <c r="O3326" t="s">
        <v>6101</v>
      </c>
      <c r="P3326" t="s">
        <v>6111</v>
      </c>
      <c r="Q3326">
        <v>5</v>
      </c>
      <c r="R3326">
        <v>2026</v>
      </c>
      <c r="S3326" t="s">
        <v>6099</v>
      </c>
      <c r="T3326">
        <v>1</v>
      </c>
      <c r="U3326" t="s">
        <v>6020</v>
      </c>
      <c r="V3326">
        <v>1</v>
      </c>
    </row>
    <row r="3327" spans="1:22" x14ac:dyDescent="0.3">
      <c r="A3327" t="s">
        <v>3342</v>
      </c>
      <c r="B3327" s="2">
        <v>46169.470833333333</v>
      </c>
      <c r="C3327" s="2">
        <v>46170.95</v>
      </c>
      <c r="D3327" t="s">
        <v>6024</v>
      </c>
      <c r="E3327" t="s">
        <v>6031</v>
      </c>
      <c r="F3327" t="s">
        <v>6034</v>
      </c>
      <c r="G3327" t="s">
        <v>6052</v>
      </c>
      <c r="H3327" t="s">
        <v>6098</v>
      </c>
      <c r="I3327">
        <v>24</v>
      </c>
      <c r="J3327">
        <v>35.5</v>
      </c>
      <c r="K3327" t="s">
        <v>6099</v>
      </c>
      <c r="L3327" t="s">
        <v>6100</v>
      </c>
      <c r="M3327" t="s">
        <v>6100</v>
      </c>
      <c r="N3327">
        <v>4</v>
      </c>
      <c r="O3327" t="s">
        <v>6101</v>
      </c>
      <c r="P3327" t="s">
        <v>6111</v>
      </c>
      <c r="Q3327">
        <v>5</v>
      </c>
      <c r="R3327">
        <v>2026</v>
      </c>
      <c r="S3327" t="s">
        <v>6100</v>
      </c>
      <c r="T3327">
        <v>0</v>
      </c>
      <c r="U3327" t="s">
        <v>6021</v>
      </c>
      <c r="V3327">
        <v>1</v>
      </c>
    </row>
    <row r="3328" spans="1:22" x14ac:dyDescent="0.3">
      <c r="A3328" t="s">
        <v>3343</v>
      </c>
      <c r="B3328" s="2">
        <v>46169.493750000001</v>
      </c>
      <c r="C3328" s="2">
        <v>46170.697916666664</v>
      </c>
      <c r="D3328" t="s">
        <v>6028</v>
      </c>
      <c r="E3328" t="s">
        <v>6031</v>
      </c>
      <c r="F3328" t="s">
        <v>6035</v>
      </c>
      <c r="G3328" t="s">
        <v>6063</v>
      </c>
      <c r="H3328" t="s">
        <v>6097</v>
      </c>
      <c r="I3328">
        <v>4</v>
      </c>
      <c r="J3328">
        <v>28.9</v>
      </c>
      <c r="K3328" t="s">
        <v>6099</v>
      </c>
      <c r="L3328" t="s">
        <v>6100</v>
      </c>
      <c r="M3328" t="s">
        <v>6100</v>
      </c>
      <c r="N3328">
        <v>5</v>
      </c>
      <c r="O3328" t="s">
        <v>6101</v>
      </c>
      <c r="P3328" t="s">
        <v>6111</v>
      </c>
      <c r="Q3328">
        <v>5</v>
      </c>
      <c r="R3328">
        <v>2026</v>
      </c>
      <c r="S3328" t="s">
        <v>6100</v>
      </c>
      <c r="T3328">
        <v>0</v>
      </c>
      <c r="U3328" t="s">
        <v>6019</v>
      </c>
      <c r="V3328">
        <v>1</v>
      </c>
    </row>
    <row r="3329" spans="1:22" x14ac:dyDescent="0.3">
      <c r="A3329" t="s">
        <v>3344</v>
      </c>
      <c r="B3329" s="2">
        <v>46169.543055555558</v>
      </c>
      <c r="C3329" s="2">
        <v>46170.222222222219</v>
      </c>
      <c r="D3329" t="s">
        <v>6028</v>
      </c>
      <c r="E3329" t="s">
        <v>6031</v>
      </c>
      <c r="F3329" t="s">
        <v>6035</v>
      </c>
      <c r="G3329" t="s">
        <v>6081</v>
      </c>
      <c r="H3329" t="s">
        <v>6098</v>
      </c>
      <c r="I3329">
        <v>4</v>
      </c>
      <c r="J3329">
        <v>16.3</v>
      </c>
      <c r="K3329" t="s">
        <v>6099</v>
      </c>
      <c r="L3329" t="s">
        <v>6100</v>
      </c>
      <c r="M3329" t="s">
        <v>6100</v>
      </c>
      <c r="N3329">
        <v>5</v>
      </c>
      <c r="O3329" t="s">
        <v>6101</v>
      </c>
      <c r="P3329" t="s">
        <v>6111</v>
      </c>
      <c r="Q3329">
        <v>5</v>
      </c>
      <c r="R3329">
        <v>2026</v>
      </c>
      <c r="S3329" t="s">
        <v>6100</v>
      </c>
      <c r="T3329">
        <v>0</v>
      </c>
      <c r="U3329" t="s">
        <v>6020</v>
      </c>
      <c r="V3329">
        <v>1</v>
      </c>
    </row>
    <row r="3330" spans="1:22" x14ac:dyDescent="0.3">
      <c r="A3330" t="s">
        <v>3345</v>
      </c>
      <c r="B3330" s="2">
        <v>46169.54583333333</v>
      </c>
      <c r="C3330" s="2">
        <v>46171.091666666667</v>
      </c>
      <c r="D3330" t="s">
        <v>6026</v>
      </c>
      <c r="E3330" t="s">
        <v>6029</v>
      </c>
      <c r="F3330" t="s">
        <v>6034</v>
      </c>
      <c r="G3330" t="s">
        <v>6058</v>
      </c>
      <c r="H3330" t="s">
        <v>6098</v>
      </c>
      <c r="I3330">
        <v>24</v>
      </c>
      <c r="J3330">
        <v>37.1</v>
      </c>
      <c r="K3330" t="s">
        <v>6100</v>
      </c>
      <c r="L3330" t="s">
        <v>6099</v>
      </c>
      <c r="M3330" t="s">
        <v>6099</v>
      </c>
      <c r="N3330">
        <v>5</v>
      </c>
      <c r="O3330" t="s">
        <v>6101</v>
      </c>
      <c r="P3330" t="s">
        <v>6111</v>
      </c>
      <c r="Q3330">
        <v>5</v>
      </c>
      <c r="R3330">
        <v>2026</v>
      </c>
      <c r="S3330" t="s">
        <v>6100</v>
      </c>
      <c r="T3330">
        <v>0</v>
      </c>
      <c r="U3330" t="s">
        <v>6020</v>
      </c>
      <c r="V3330">
        <v>0</v>
      </c>
    </row>
    <row r="3331" spans="1:22" x14ac:dyDescent="0.3">
      <c r="A3331" t="s">
        <v>3346</v>
      </c>
      <c r="B3331" s="2">
        <v>46169.571527777778</v>
      </c>
      <c r="C3331" s="2">
        <v>46170.550694444442</v>
      </c>
      <c r="D3331" t="s">
        <v>6028</v>
      </c>
      <c r="E3331" t="s">
        <v>6031</v>
      </c>
      <c r="F3331" t="s">
        <v>6035</v>
      </c>
      <c r="G3331" t="s">
        <v>6062</v>
      </c>
      <c r="H3331" t="s">
        <v>6096</v>
      </c>
      <c r="I3331">
        <v>4</v>
      </c>
      <c r="J3331">
        <v>23.5</v>
      </c>
      <c r="K3331" t="s">
        <v>6099</v>
      </c>
      <c r="L3331" t="s">
        <v>6100</v>
      </c>
      <c r="M3331" t="s">
        <v>6100</v>
      </c>
      <c r="O3331" t="s">
        <v>6101</v>
      </c>
      <c r="P3331" t="s">
        <v>6111</v>
      </c>
      <c r="Q3331">
        <v>5</v>
      </c>
      <c r="R3331">
        <v>2026</v>
      </c>
      <c r="S3331" t="s">
        <v>6100</v>
      </c>
      <c r="T3331">
        <v>0</v>
      </c>
      <c r="U3331" t="s">
        <v>6019</v>
      </c>
      <c r="V3331">
        <v>1</v>
      </c>
    </row>
    <row r="3332" spans="1:22" x14ac:dyDescent="0.3">
      <c r="A3332" t="s">
        <v>3347</v>
      </c>
      <c r="B3332" s="2">
        <v>46169.57916666667</v>
      </c>
      <c r="C3332" s="2">
        <v>46170.55</v>
      </c>
      <c r="D3332" t="s">
        <v>6028</v>
      </c>
      <c r="E3332" t="s">
        <v>6031</v>
      </c>
      <c r="F3332" t="s">
        <v>6034</v>
      </c>
      <c r="G3332" t="s">
        <v>6074</v>
      </c>
      <c r="H3332" t="s">
        <v>6098</v>
      </c>
      <c r="I3332">
        <v>24</v>
      </c>
      <c r="J3332">
        <v>23.3</v>
      </c>
      <c r="K3332" t="s">
        <v>6099</v>
      </c>
      <c r="L3332" t="s">
        <v>6100</v>
      </c>
      <c r="M3332" t="s">
        <v>6100</v>
      </c>
      <c r="O3332" t="s">
        <v>6101</v>
      </c>
      <c r="P3332" t="s">
        <v>6111</v>
      </c>
      <c r="Q3332">
        <v>5</v>
      </c>
      <c r="R3332">
        <v>2026</v>
      </c>
      <c r="S3332" t="s">
        <v>6099</v>
      </c>
      <c r="T3332">
        <v>1</v>
      </c>
      <c r="U3332" t="s">
        <v>6018</v>
      </c>
      <c r="V3332">
        <v>1</v>
      </c>
    </row>
    <row r="3333" spans="1:22" x14ac:dyDescent="0.3">
      <c r="A3333" t="s">
        <v>3348</v>
      </c>
      <c r="B3333" s="2">
        <v>46169.586805555555</v>
      </c>
      <c r="C3333" s="2">
        <v>46170.728472222225</v>
      </c>
      <c r="D3333" t="s">
        <v>6023</v>
      </c>
      <c r="E3333" t="s">
        <v>6029</v>
      </c>
      <c r="F3333" t="s">
        <v>6033</v>
      </c>
      <c r="G3333" t="s">
        <v>6087</v>
      </c>
      <c r="H3333" t="s">
        <v>6098</v>
      </c>
      <c r="I3333">
        <v>72</v>
      </c>
      <c r="J3333">
        <v>27.4</v>
      </c>
      <c r="K3333" t="s">
        <v>6099</v>
      </c>
      <c r="L3333" t="s">
        <v>6100</v>
      </c>
      <c r="M3333" t="s">
        <v>6100</v>
      </c>
      <c r="N3333">
        <v>4</v>
      </c>
      <c r="O3333" t="s">
        <v>6101</v>
      </c>
      <c r="P3333" t="s">
        <v>6111</v>
      </c>
      <c r="Q3333">
        <v>5</v>
      </c>
      <c r="R3333">
        <v>2026</v>
      </c>
      <c r="S3333" t="s">
        <v>6099</v>
      </c>
      <c r="T3333">
        <v>1</v>
      </c>
      <c r="U3333" t="s">
        <v>6019</v>
      </c>
      <c r="V3333">
        <v>1</v>
      </c>
    </row>
    <row r="3334" spans="1:22" x14ac:dyDescent="0.3">
      <c r="A3334" t="s">
        <v>3349</v>
      </c>
      <c r="B3334" s="2">
        <v>46169.595138888886</v>
      </c>
      <c r="C3334" s="2">
        <v>46171.27847222222</v>
      </c>
      <c r="D3334" t="s">
        <v>6028</v>
      </c>
      <c r="E3334" t="s">
        <v>6031</v>
      </c>
      <c r="F3334" t="s">
        <v>6035</v>
      </c>
      <c r="G3334" t="s">
        <v>6047</v>
      </c>
      <c r="H3334" t="s">
        <v>6098</v>
      </c>
      <c r="I3334">
        <v>4</v>
      </c>
      <c r="J3334">
        <v>40.4</v>
      </c>
      <c r="K3334" t="s">
        <v>6099</v>
      </c>
      <c r="L3334" t="s">
        <v>6100</v>
      </c>
      <c r="M3334" t="s">
        <v>6099</v>
      </c>
      <c r="N3334">
        <v>5</v>
      </c>
      <c r="O3334" t="s">
        <v>6101</v>
      </c>
      <c r="P3334" t="s">
        <v>6111</v>
      </c>
      <c r="Q3334">
        <v>5</v>
      </c>
      <c r="R3334">
        <v>2026</v>
      </c>
      <c r="S3334" t="s">
        <v>6100</v>
      </c>
      <c r="T3334">
        <v>0</v>
      </c>
      <c r="U3334" t="s">
        <v>6021</v>
      </c>
      <c r="V3334">
        <v>1</v>
      </c>
    </row>
    <row r="3335" spans="1:22" x14ac:dyDescent="0.3">
      <c r="A3335" t="s">
        <v>3350</v>
      </c>
      <c r="B3335" s="2">
        <v>46169.618055555555</v>
      </c>
      <c r="C3335" s="2">
        <v>46169.922222222223</v>
      </c>
      <c r="D3335" t="s">
        <v>6023</v>
      </c>
      <c r="E3335" t="s">
        <v>6029</v>
      </c>
      <c r="F3335" t="s">
        <v>6033</v>
      </c>
      <c r="G3335" t="s">
        <v>6052</v>
      </c>
      <c r="H3335" t="s">
        <v>6098</v>
      </c>
      <c r="I3335">
        <v>72</v>
      </c>
      <c r="J3335">
        <v>7.3</v>
      </c>
      <c r="K3335" t="s">
        <v>6099</v>
      </c>
      <c r="L3335" t="s">
        <v>6100</v>
      </c>
      <c r="M3335" t="s">
        <v>6100</v>
      </c>
      <c r="O3335" t="s">
        <v>6101</v>
      </c>
      <c r="P3335" t="s">
        <v>6111</v>
      </c>
      <c r="Q3335">
        <v>5</v>
      </c>
      <c r="R3335">
        <v>2026</v>
      </c>
      <c r="S3335" t="s">
        <v>6099</v>
      </c>
      <c r="T3335">
        <v>1</v>
      </c>
      <c r="U3335" t="s">
        <v>6020</v>
      </c>
      <c r="V3335">
        <v>1</v>
      </c>
    </row>
    <row r="3336" spans="1:22" x14ac:dyDescent="0.3">
      <c r="A3336" t="s">
        <v>3351</v>
      </c>
      <c r="B3336" s="2">
        <v>46169.619444444441</v>
      </c>
      <c r="C3336" s="2">
        <v>46170.748611111114</v>
      </c>
      <c r="D3336" t="s">
        <v>6022</v>
      </c>
      <c r="E3336" t="s">
        <v>6032</v>
      </c>
      <c r="F3336" t="s">
        <v>6035</v>
      </c>
      <c r="G3336" t="s">
        <v>6070</v>
      </c>
      <c r="H3336" t="s">
        <v>6097</v>
      </c>
      <c r="I3336">
        <v>4</v>
      </c>
      <c r="J3336">
        <v>27.1</v>
      </c>
      <c r="K3336" t="s">
        <v>6099</v>
      </c>
      <c r="L3336" t="s">
        <v>6100</v>
      </c>
      <c r="M3336" t="s">
        <v>6099</v>
      </c>
      <c r="N3336">
        <v>3</v>
      </c>
      <c r="O3336" t="s">
        <v>6101</v>
      </c>
      <c r="P3336" t="s">
        <v>6111</v>
      </c>
      <c r="Q3336">
        <v>5</v>
      </c>
      <c r="R3336">
        <v>2026</v>
      </c>
      <c r="S3336" t="s">
        <v>6100</v>
      </c>
      <c r="T3336">
        <v>0</v>
      </c>
      <c r="U3336" t="s">
        <v>6021</v>
      </c>
      <c r="V3336">
        <v>1</v>
      </c>
    </row>
    <row r="3337" spans="1:22" x14ac:dyDescent="0.3">
      <c r="A3337" t="s">
        <v>3352</v>
      </c>
      <c r="B3337" s="2">
        <v>46169.625</v>
      </c>
      <c r="C3337" s="2">
        <v>46169.854166666664</v>
      </c>
      <c r="D3337" t="s">
        <v>6028</v>
      </c>
      <c r="E3337" t="s">
        <v>6030</v>
      </c>
      <c r="F3337" t="s">
        <v>6035</v>
      </c>
      <c r="G3337" t="s">
        <v>6038</v>
      </c>
      <c r="H3337" t="s">
        <v>6096</v>
      </c>
      <c r="I3337">
        <v>4</v>
      </c>
      <c r="J3337">
        <v>5.5</v>
      </c>
      <c r="K3337" t="s">
        <v>6100</v>
      </c>
      <c r="L3337" t="s">
        <v>6099</v>
      </c>
      <c r="M3337" t="s">
        <v>6100</v>
      </c>
      <c r="N3337">
        <v>2</v>
      </c>
      <c r="O3337" t="s">
        <v>6101</v>
      </c>
      <c r="P3337" t="s">
        <v>6111</v>
      </c>
      <c r="Q3337">
        <v>5</v>
      </c>
      <c r="R3337">
        <v>2026</v>
      </c>
      <c r="S3337" t="s">
        <v>6100</v>
      </c>
      <c r="T3337">
        <v>0</v>
      </c>
      <c r="U3337" t="s">
        <v>6021</v>
      </c>
      <c r="V3337">
        <v>0</v>
      </c>
    </row>
    <row r="3338" spans="1:22" x14ac:dyDescent="0.3">
      <c r="A3338" t="s">
        <v>3353</v>
      </c>
      <c r="B3338" s="2">
        <v>46169.633333333331</v>
      </c>
      <c r="C3338" s="2">
        <v>46172.091666666667</v>
      </c>
      <c r="D3338" t="s">
        <v>6024</v>
      </c>
      <c r="E3338" t="s">
        <v>6031</v>
      </c>
      <c r="F3338" t="s">
        <v>6034</v>
      </c>
      <c r="G3338" t="s">
        <v>6038</v>
      </c>
      <c r="H3338" t="s">
        <v>6096</v>
      </c>
      <c r="I3338">
        <v>24</v>
      </c>
      <c r="J3338">
        <v>59</v>
      </c>
      <c r="K3338" t="s">
        <v>6099</v>
      </c>
      <c r="L3338" t="s">
        <v>6100</v>
      </c>
      <c r="M3338" t="s">
        <v>6100</v>
      </c>
      <c r="N3338">
        <v>3</v>
      </c>
      <c r="O3338" t="s">
        <v>6101</v>
      </c>
      <c r="P3338" t="s">
        <v>6111</v>
      </c>
      <c r="Q3338">
        <v>5</v>
      </c>
      <c r="R3338">
        <v>2026</v>
      </c>
      <c r="S3338" t="s">
        <v>6100</v>
      </c>
      <c r="T3338">
        <v>0</v>
      </c>
      <c r="U3338" t="s">
        <v>6018</v>
      </c>
      <c r="V3338">
        <v>1</v>
      </c>
    </row>
    <row r="3339" spans="1:22" x14ac:dyDescent="0.3">
      <c r="A3339" t="s">
        <v>3354</v>
      </c>
      <c r="B3339" s="2">
        <v>46169.640972222223</v>
      </c>
      <c r="C3339" s="2">
        <v>46170.182638888888</v>
      </c>
      <c r="D3339" t="s">
        <v>6027</v>
      </c>
      <c r="E3339" t="s">
        <v>6030</v>
      </c>
      <c r="F3339" t="s">
        <v>6034</v>
      </c>
      <c r="G3339" t="s">
        <v>6057</v>
      </c>
      <c r="H3339" t="s">
        <v>6097</v>
      </c>
      <c r="I3339">
        <v>24</v>
      </c>
      <c r="J3339">
        <v>13</v>
      </c>
      <c r="K3339" t="s">
        <v>6099</v>
      </c>
      <c r="L3339" t="s">
        <v>6100</v>
      </c>
      <c r="M3339" t="s">
        <v>6100</v>
      </c>
      <c r="N3339">
        <v>5</v>
      </c>
      <c r="O3339" t="s">
        <v>6101</v>
      </c>
      <c r="P3339" t="s">
        <v>6111</v>
      </c>
      <c r="Q3339">
        <v>5</v>
      </c>
      <c r="R3339">
        <v>2026</v>
      </c>
      <c r="S3339" t="s">
        <v>6099</v>
      </c>
      <c r="T3339">
        <v>1</v>
      </c>
      <c r="U3339" t="s">
        <v>6020</v>
      </c>
      <c r="V3339">
        <v>1</v>
      </c>
    </row>
    <row r="3340" spans="1:22" x14ac:dyDescent="0.3">
      <c r="A3340" t="s">
        <v>3355</v>
      </c>
      <c r="B3340" s="2">
        <v>46169.664583333331</v>
      </c>
      <c r="C3340" s="2">
        <v>46169.70208333333</v>
      </c>
      <c r="D3340" t="s">
        <v>6023</v>
      </c>
      <c r="E3340" t="s">
        <v>6029</v>
      </c>
      <c r="F3340" t="s">
        <v>6033</v>
      </c>
      <c r="G3340" t="s">
        <v>6052</v>
      </c>
      <c r="H3340" t="s">
        <v>6098</v>
      </c>
      <c r="I3340">
        <v>72</v>
      </c>
      <c r="J3340">
        <v>0.9</v>
      </c>
      <c r="K3340" t="s">
        <v>6099</v>
      </c>
      <c r="L3340" t="s">
        <v>6100</v>
      </c>
      <c r="M3340" t="s">
        <v>6100</v>
      </c>
      <c r="N3340">
        <v>5</v>
      </c>
      <c r="O3340" t="s">
        <v>6101</v>
      </c>
      <c r="P3340" t="s">
        <v>6111</v>
      </c>
      <c r="Q3340">
        <v>5</v>
      </c>
      <c r="R3340">
        <v>2026</v>
      </c>
      <c r="S3340" t="s">
        <v>6099</v>
      </c>
      <c r="T3340">
        <v>1</v>
      </c>
      <c r="U3340" t="s">
        <v>6018</v>
      </c>
      <c r="V3340">
        <v>1</v>
      </c>
    </row>
    <row r="3341" spans="1:22" x14ac:dyDescent="0.3">
      <c r="A3341" t="s">
        <v>3356</v>
      </c>
      <c r="B3341" s="2">
        <v>46169.741666666669</v>
      </c>
      <c r="C3341" s="2">
        <v>46171.708333333336</v>
      </c>
      <c r="D3341" t="s">
        <v>6026</v>
      </c>
      <c r="E3341" t="s">
        <v>6031</v>
      </c>
      <c r="F3341" t="s">
        <v>6034</v>
      </c>
      <c r="G3341" t="s">
        <v>6091</v>
      </c>
      <c r="H3341" t="s">
        <v>6097</v>
      </c>
      <c r="I3341">
        <v>24</v>
      </c>
      <c r="J3341">
        <v>47.2</v>
      </c>
      <c r="K3341" t="s">
        <v>6100</v>
      </c>
      <c r="L3341" t="s">
        <v>6100</v>
      </c>
      <c r="M3341" t="s">
        <v>6100</v>
      </c>
      <c r="N3341">
        <v>5</v>
      </c>
      <c r="O3341" t="s">
        <v>6101</v>
      </c>
      <c r="P3341" t="s">
        <v>6111</v>
      </c>
      <c r="Q3341">
        <v>5</v>
      </c>
      <c r="R3341">
        <v>2026</v>
      </c>
      <c r="S3341" t="s">
        <v>6100</v>
      </c>
      <c r="T3341">
        <v>0</v>
      </c>
      <c r="U3341" t="s">
        <v>6019</v>
      </c>
      <c r="V3341">
        <v>0</v>
      </c>
    </row>
    <row r="3342" spans="1:22" x14ac:dyDescent="0.3">
      <c r="A3342" t="s">
        <v>3357</v>
      </c>
      <c r="B3342" s="2">
        <v>46169.761805555558</v>
      </c>
      <c r="C3342" s="2">
        <v>46169.995138888888</v>
      </c>
      <c r="D3342" t="s">
        <v>6028</v>
      </c>
      <c r="E3342" t="s">
        <v>6029</v>
      </c>
      <c r="F3342" t="s">
        <v>6035</v>
      </c>
      <c r="G3342" t="s">
        <v>6076</v>
      </c>
      <c r="H3342" t="s">
        <v>6097</v>
      </c>
      <c r="I3342">
        <v>4</v>
      </c>
      <c r="J3342">
        <v>5.6</v>
      </c>
      <c r="K3342" t="s">
        <v>6099</v>
      </c>
      <c r="L3342" t="s">
        <v>6100</v>
      </c>
      <c r="M3342" t="s">
        <v>6100</v>
      </c>
      <c r="O3342" t="s">
        <v>6101</v>
      </c>
      <c r="P3342" t="s">
        <v>6111</v>
      </c>
      <c r="Q3342">
        <v>5</v>
      </c>
      <c r="R3342">
        <v>2026</v>
      </c>
      <c r="S3342" t="s">
        <v>6100</v>
      </c>
      <c r="T3342">
        <v>0</v>
      </c>
      <c r="U3342" t="s">
        <v>6018</v>
      </c>
      <c r="V3342">
        <v>1</v>
      </c>
    </row>
    <row r="3343" spans="1:22" x14ac:dyDescent="0.3">
      <c r="A3343" t="s">
        <v>3358</v>
      </c>
      <c r="B3343" s="2">
        <v>46169.868055555555</v>
      </c>
      <c r="C3343" s="2">
        <v>46170.388888888891</v>
      </c>
      <c r="D3343" t="s">
        <v>6022</v>
      </c>
      <c r="E3343" t="s">
        <v>6030</v>
      </c>
      <c r="F3343" t="s">
        <v>6034</v>
      </c>
      <c r="G3343" t="s">
        <v>6095</v>
      </c>
      <c r="H3343" t="s">
        <v>6098</v>
      </c>
      <c r="I3343">
        <v>24</v>
      </c>
      <c r="J3343">
        <v>12.5</v>
      </c>
      <c r="K3343" t="s">
        <v>6099</v>
      </c>
      <c r="L3343" t="s">
        <v>6100</v>
      </c>
      <c r="M3343" t="s">
        <v>6099</v>
      </c>
      <c r="O3343" t="s">
        <v>6101</v>
      </c>
      <c r="P3343" t="s">
        <v>6111</v>
      </c>
      <c r="Q3343">
        <v>5</v>
      </c>
      <c r="R3343">
        <v>2026</v>
      </c>
      <c r="S3343" t="s">
        <v>6099</v>
      </c>
      <c r="T3343">
        <v>1</v>
      </c>
      <c r="U3343" t="s">
        <v>6020</v>
      </c>
      <c r="V3343">
        <v>1</v>
      </c>
    </row>
    <row r="3344" spans="1:22" x14ac:dyDescent="0.3">
      <c r="A3344" t="s">
        <v>3359</v>
      </c>
      <c r="B3344" s="2">
        <v>46170.228472222225</v>
      </c>
      <c r="C3344" s="2">
        <v>46170.457638888889</v>
      </c>
      <c r="D3344" t="s">
        <v>6023</v>
      </c>
      <c r="E3344" t="s">
        <v>6029</v>
      </c>
      <c r="F3344" t="s">
        <v>6033</v>
      </c>
      <c r="G3344" t="s">
        <v>6091</v>
      </c>
      <c r="H3344" t="s">
        <v>6097</v>
      </c>
      <c r="I3344">
        <v>72</v>
      </c>
      <c r="J3344">
        <v>5.5</v>
      </c>
      <c r="K3344" t="s">
        <v>6099</v>
      </c>
      <c r="L3344" t="s">
        <v>6100</v>
      </c>
      <c r="M3344" t="s">
        <v>6100</v>
      </c>
      <c r="O3344" t="s">
        <v>6101</v>
      </c>
      <c r="P3344" t="s">
        <v>6111</v>
      </c>
      <c r="Q3344">
        <v>5</v>
      </c>
      <c r="R3344">
        <v>2026</v>
      </c>
      <c r="S3344" t="s">
        <v>6099</v>
      </c>
      <c r="T3344">
        <v>1</v>
      </c>
      <c r="U3344" t="s">
        <v>6019</v>
      </c>
      <c r="V3344">
        <v>1</v>
      </c>
    </row>
    <row r="3345" spans="1:22" x14ac:dyDescent="0.3">
      <c r="A3345" t="s">
        <v>3360</v>
      </c>
      <c r="B3345" s="2">
        <v>46170.334722222222</v>
      </c>
      <c r="C3345" s="2">
        <v>46170.422222222223</v>
      </c>
      <c r="D3345" t="s">
        <v>6023</v>
      </c>
      <c r="E3345" t="s">
        <v>6029</v>
      </c>
      <c r="F3345" t="s">
        <v>6033</v>
      </c>
      <c r="G3345" t="s">
        <v>6038</v>
      </c>
      <c r="H3345" t="s">
        <v>6096</v>
      </c>
      <c r="I3345">
        <v>72</v>
      </c>
      <c r="J3345">
        <v>2.1</v>
      </c>
      <c r="K3345" t="s">
        <v>6099</v>
      </c>
      <c r="L3345" t="s">
        <v>6100</v>
      </c>
      <c r="M3345" t="s">
        <v>6100</v>
      </c>
      <c r="N3345">
        <v>3</v>
      </c>
      <c r="O3345" t="s">
        <v>6101</v>
      </c>
      <c r="P3345" t="s">
        <v>6111</v>
      </c>
      <c r="Q3345">
        <v>5</v>
      </c>
      <c r="R3345">
        <v>2026</v>
      </c>
      <c r="S3345" t="s">
        <v>6099</v>
      </c>
      <c r="T3345">
        <v>1</v>
      </c>
      <c r="U3345" t="s">
        <v>6019</v>
      </c>
      <c r="V3345">
        <v>1</v>
      </c>
    </row>
    <row r="3346" spans="1:22" x14ac:dyDescent="0.3">
      <c r="A3346" t="s">
        <v>3361</v>
      </c>
      <c r="B3346" s="2">
        <v>46170.345138888886</v>
      </c>
      <c r="C3346" s="2">
        <v>46173.570138888892</v>
      </c>
      <c r="D3346" t="s">
        <v>6025</v>
      </c>
      <c r="E3346" t="s">
        <v>6031</v>
      </c>
      <c r="F3346" t="s">
        <v>6033</v>
      </c>
      <c r="G3346" t="s">
        <v>6045</v>
      </c>
      <c r="H3346" t="s">
        <v>6096</v>
      </c>
      <c r="I3346">
        <v>72</v>
      </c>
      <c r="J3346">
        <v>77.400000000000006</v>
      </c>
      <c r="K3346" t="s">
        <v>6099</v>
      </c>
      <c r="L3346" t="s">
        <v>6100</v>
      </c>
      <c r="M3346" t="s">
        <v>6100</v>
      </c>
      <c r="O3346" t="s">
        <v>6101</v>
      </c>
      <c r="P3346" t="s">
        <v>6111</v>
      </c>
      <c r="Q3346">
        <v>5</v>
      </c>
      <c r="R3346">
        <v>2026</v>
      </c>
      <c r="S3346" t="s">
        <v>6100</v>
      </c>
      <c r="T3346">
        <v>0</v>
      </c>
      <c r="U3346" t="s">
        <v>6017</v>
      </c>
      <c r="V3346">
        <v>1</v>
      </c>
    </row>
    <row r="3347" spans="1:22" x14ac:dyDescent="0.3">
      <c r="A3347" t="s">
        <v>3362</v>
      </c>
      <c r="B3347" s="2">
        <v>46170.436111111114</v>
      </c>
      <c r="C3347" s="2">
        <v>46170.69027777778</v>
      </c>
      <c r="D3347" t="s">
        <v>6025</v>
      </c>
      <c r="E3347" t="s">
        <v>6029</v>
      </c>
      <c r="F3347" t="s">
        <v>6035</v>
      </c>
      <c r="G3347" t="s">
        <v>6051</v>
      </c>
      <c r="H3347" t="s">
        <v>6097</v>
      </c>
      <c r="I3347">
        <v>4</v>
      </c>
      <c r="J3347">
        <v>6.1</v>
      </c>
      <c r="K3347" t="s">
        <v>6099</v>
      </c>
      <c r="L3347" t="s">
        <v>6100</v>
      </c>
      <c r="M3347" t="s">
        <v>6100</v>
      </c>
      <c r="O3347" t="s">
        <v>6101</v>
      </c>
      <c r="P3347" t="s">
        <v>6111</v>
      </c>
      <c r="Q3347">
        <v>5</v>
      </c>
      <c r="R3347">
        <v>2026</v>
      </c>
      <c r="S3347" t="s">
        <v>6100</v>
      </c>
      <c r="T3347">
        <v>0</v>
      </c>
      <c r="U3347" t="s">
        <v>6020</v>
      </c>
      <c r="V3347">
        <v>1</v>
      </c>
    </row>
    <row r="3348" spans="1:22" x14ac:dyDescent="0.3">
      <c r="A3348" t="s">
        <v>3363</v>
      </c>
      <c r="B3348" s="2">
        <v>46170.45</v>
      </c>
      <c r="C3348" s="2">
        <v>46171.808333333334</v>
      </c>
      <c r="D3348" t="s">
        <v>6026</v>
      </c>
      <c r="E3348" t="s">
        <v>6030</v>
      </c>
      <c r="F3348" t="s">
        <v>6035</v>
      </c>
      <c r="G3348" t="s">
        <v>6088</v>
      </c>
      <c r="H3348" t="s">
        <v>6097</v>
      </c>
      <c r="I3348">
        <v>4</v>
      </c>
      <c r="J3348">
        <v>32.6</v>
      </c>
      <c r="K3348" t="s">
        <v>6099</v>
      </c>
      <c r="L3348" t="s">
        <v>6100</v>
      </c>
      <c r="M3348" t="s">
        <v>6100</v>
      </c>
      <c r="N3348">
        <v>5</v>
      </c>
      <c r="O3348" t="s">
        <v>6101</v>
      </c>
      <c r="P3348" t="s">
        <v>6111</v>
      </c>
      <c r="Q3348">
        <v>5</v>
      </c>
      <c r="R3348">
        <v>2026</v>
      </c>
      <c r="S3348" t="s">
        <v>6100</v>
      </c>
      <c r="T3348">
        <v>0</v>
      </c>
      <c r="U3348" t="s">
        <v>6018</v>
      </c>
      <c r="V3348">
        <v>1</v>
      </c>
    </row>
    <row r="3349" spans="1:22" x14ac:dyDescent="0.3">
      <c r="A3349" t="s">
        <v>3364</v>
      </c>
      <c r="B3349" s="2">
        <v>46170.515972222223</v>
      </c>
      <c r="C3349" s="2">
        <v>46170.770138888889</v>
      </c>
      <c r="D3349" t="s">
        <v>6028</v>
      </c>
      <c r="E3349" t="s">
        <v>6029</v>
      </c>
      <c r="F3349" t="s">
        <v>6034</v>
      </c>
      <c r="G3349" t="s">
        <v>6042</v>
      </c>
      <c r="H3349" t="s">
        <v>6098</v>
      </c>
      <c r="I3349">
        <v>24</v>
      </c>
      <c r="J3349">
        <v>6.1</v>
      </c>
      <c r="K3349" t="s">
        <v>6099</v>
      </c>
      <c r="L3349" t="s">
        <v>6100</v>
      </c>
      <c r="M3349" t="s">
        <v>6100</v>
      </c>
      <c r="N3349">
        <v>5</v>
      </c>
      <c r="O3349" t="s">
        <v>6101</v>
      </c>
      <c r="P3349" t="s">
        <v>6111</v>
      </c>
      <c r="Q3349">
        <v>5</v>
      </c>
      <c r="R3349">
        <v>2026</v>
      </c>
      <c r="S3349" t="s">
        <v>6099</v>
      </c>
      <c r="T3349">
        <v>1</v>
      </c>
      <c r="U3349" t="s">
        <v>6019</v>
      </c>
      <c r="V3349">
        <v>1</v>
      </c>
    </row>
    <row r="3350" spans="1:22" x14ac:dyDescent="0.3">
      <c r="A3350" t="s">
        <v>3365</v>
      </c>
      <c r="B3350" s="2">
        <v>46170.521527777775</v>
      </c>
      <c r="C3350" s="2">
        <v>46170.817361111112</v>
      </c>
      <c r="D3350" t="s">
        <v>6023</v>
      </c>
      <c r="E3350" t="s">
        <v>6030</v>
      </c>
      <c r="F3350" t="s">
        <v>6033</v>
      </c>
      <c r="G3350" t="s">
        <v>6091</v>
      </c>
      <c r="H3350" t="s">
        <v>6097</v>
      </c>
      <c r="I3350">
        <v>72</v>
      </c>
      <c r="J3350">
        <v>7.1</v>
      </c>
      <c r="K3350" t="s">
        <v>6099</v>
      </c>
      <c r="L3350" t="s">
        <v>6100</v>
      </c>
      <c r="M3350" t="s">
        <v>6100</v>
      </c>
      <c r="O3350" t="s">
        <v>6101</v>
      </c>
      <c r="P3350" t="s">
        <v>6111</v>
      </c>
      <c r="Q3350">
        <v>5</v>
      </c>
      <c r="R3350">
        <v>2026</v>
      </c>
      <c r="S3350" t="s">
        <v>6099</v>
      </c>
      <c r="T3350">
        <v>1</v>
      </c>
      <c r="U3350" t="s">
        <v>6018</v>
      </c>
      <c r="V3350">
        <v>1</v>
      </c>
    </row>
    <row r="3351" spans="1:22" x14ac:dyDescent="0.3">
      <c r="A3351" t="s">
        <v>3366</v>
      </c>
      <c r="B3351" s="2">
        <v>46170.573611111111</v>
      </c>
      <c r="C3351" s="2">
        <v>46171.098611111112</v>
      </c>
      <c r="D3351" t="s">
        <v>6028</v>
      </c>
      <c r="E3351" t="s">
        <v>6031</v>
      </c>
      <c r="F3351" t="s">
        <v>6035</v>
      </c>
      <c r="G3351" t="s">
        <v>6084</v>
      </c>
      <c r="H3351" t="s">
        <v>6098</v>
      </c>
      <c r="I3351">
        <v>4</v>
      </c>
      <c r="J3351">
        <v>12.6</v>
      </c>
      <c r="K3351" t="s">
        <v>6099</v>
      </c>
      <c r="L3351" t="s">
        <v>6100</v>
      </c>
      <c r="M3351" t="s">
        <v>6100</v>
      </c>
      <c r="O3351" t="s">
        <v>6101</v>
      </c>
      <c r="P3351" t="s">
        <v>6111</v>
      </c>
      <c r="Q3351">
        <v>5</v>
      </c>
      <c r="R3351">
        <v>2026</v>
      </c>
      <c r="S3351" t="s">
        <v>6100</v>
      </c>
      <c r="T3351">
        <v>0</v>
      </c>
      <c r="U3351" t="s">
        <v>6021</v>
      </c>
      <c r="V3351">
        <v>1</v>
      </c>
    </row>
    <row r="3352" spans="1:22" x14ac:dyDescent="0.3">
      <c r="A3352" t="s">
        <v>3367</v>
      </c>
      <c r="B3352" s="2">
        <v>46170.590277777781</v>
      </c>
      <c r="C3352" s="2">
        <v>46170.873611111114</v>
      </c>
      <c r="D3352" t="s">
        <v>6023</v>
      </c>
      <c r="E3352" t="s">
        <v>6030</v>
      </c>
      <c r="F3352" t="s">
        <v>6034</v>
      </c>
      <c r="G3352" t="s">
        <v>6080</v>
      </c>
      <c r="H3352" t="s">
        <v>6096</v>
      </c>
      <c r="I3352">
        <v>24</v>
      </c>
      <c r="J3352">
        <v>6.8</v>
      </c>
      <c r="K3352" t="s">
        <v>6099</v>
      </c>
      <c r="L3352" t="s">
        <v>6100</v>
      </c>
      <c r="M3352" t="s">
        <v>6100</v>
      </c>
      <c r="O3352" t="s">
        <v>6101</v>
      </c>
      <c r="P3352" t="s">
        <v>6111</v>
      </c>
      <c r="Q3352">
        <v>5</v>
      </c>
      <c r="R3352">
        <v>2026</v>
      </c>
      <c r="S3352" t="s">
        <v>6099</v>
      </c>
      <c r="T3352">
        <v>1</v>
      </c>
      <c r="U3352" t="s">
        <v>6019</v>
      </c>
      <c r="V3352">
        <v>1</v>
      </c>
    </row>
    <row r="3353" spans="1:22" x14ac:dyDescent="0.3">
      <c r="A3353" t="s">
        <v>3368</v>
      </c>
      <c r="B3353" s="2">
        <v>46170.598611111112</v>
      </c>
      <c r="C3353" s="2">
        <v>46170.844444444447</v>
      </c>
      <c r="D3353" t="s">
        <v>6028</v>
      </c>
      <c r="E3353" t="s">
        <v>6029</v>
      </c>
      <c r="F3353" t="s">
        <v>6034</v>
      </c>
      <c r="G3353" t="s">
        <v>6048</v>
      </c>
      <c r="H3353" t="s">
        <v>6096</v>
      </c>
      <c r="I3353">
        <v>24</v>
      </c>
      <c r="J3353">
        <v>5.9</v>
      </c>
      <c r="K3353" t="s">
        <v>6099</v>
      </c>
      <c r="L3353" t="s">
        <v>6100</v>
      </c>
      <c r="M3353" t="s">
        <v>6100</v>
      </c>
      <c r="N3353">
        <v>5</v>
      </c>
      <c r="O3353" t="s">
        <v>6101</v>
      </c>
      <c r="P3353" t="s">
        <v>6111</v>
      </c>
      <c r="Q3353">
        <v>5</v>
      </c>
      <c r="R3353">
        <v>2026</v>
      </c>
      <c r="S3353" t="s">
        <v>6099</v>
      </c>
      <c r="T3353">
        <v>1</v>
      </c>
      <c r="U3353" t="s">
        <v>6018</v>
      </c>
      <c r="V3353">
        <v>1</v>
      </c>
    </row>
    <row r="3354" spans="1:22" x14ac:dyDescent="0.3">
      <c r="A3354" t="s">
        <v>3369</v>
      </c>
      <c r="B3354" s="2">
        <v>46170.646527777775</v>
      </c>
      <c r="C3354" s="2">
        <v>46176.200694444444</v>
      </c>
      <c r="D3354" t="s">
        <v>6026</v>
      </c>
      <c r="E3354" t="s">
        <v>6031</v>
      </c>
      <c r="F3354" t="s">
        <v>6034</v>
      </c>
      <c r="G3354" t="s">
        <v>6037</v>
      </c>
      <c r="H3354" t="s">
        <v>6096</v>
      </c>
      <c r="I3354">
        <v>24</v>
      </c>
      <c r="J3354">
        <v>133.30000000000001</v>
      </c>
      <c r="K3354" t="s">
        <v>6100</v>
      </c>
      <c r="L3354" t="s">
        <v>6100</v>
      </c>
      <c r="M3354" t="s">
        <v>6100</v>
      </c>
      <c r="O3354" t="s">
        <v>6101</v>
      </c>
      <c r="P3354" t="s">
        <v>6111</v>
      </c>
      <c r="Q3354">
        <v>5</v>
      </c>
      <c r="R3354">
        <v>2026</v>
      </c>
      <c r="S3354" t="s">
        <v>6100</v>
      </c>
      <c r="T3354">
        <v>0</v>
      </c>
      <c r="U3354" t="s">
        <v>6018</v>
      </c>
      <c r="V3354">
        <v>0</v>
      </c>
    </row>
    <row r="3355" spans="1:22" x14ac:dyDescent="0.3">
      <c r="A3355" t="s">
        <v>3370</v>
      </c>
      <c r="B3355" s="2">
        <v>46170.761805555558</v>
      </c>
      <c r="C3355" s="2">
        <v>46171.307638888888</v>
      </c>
      <c r="D3355" t="s">
        <v>6023</v>
      </c>
      <c r="E3355" t="s">
        <v>6029</v>
      </c>
      <c r="F3355" t="s">
        <v>6034</v>
      </c>
      <c r="G3355" t="s">
        <v>6076</v>
      </c>
      <c r="H3355" t="s">
        <v>6097</v>
      </c>
      <c r="I3355">
        <v>24</v>
      </c>
      <c r="J3355">
        <v>13.1</v>
      </c>
      <c r="K3355" t="s">
        <v>6099</v>
      </c>
      <c r="L3355" t="s">
        <v>6100</v>
      </c>
      <c r="M3355" t="s">
        <v>6100</v>
      </c>
      <c r="N3355">
        <v>5</v>
      </c>
      <c r="O3355" t="s">
        <v>6101</v>
      </c>
      <c r="P3355" t="s">
        <v>6111</v>
      </c>
      <c r="Q3355">
        <v>5</v>
      </c>
      <c r="R3355">
        <v>2026</v>
      </c>
      <c r="S3355" t="s">
        <v>6099</v>
      </c>
      <c r="T3355">
        <v>1</v>
      </c>
      <c r="U3355" t="s">
        <v>6021</v>
      </c>
      <c r="V3355">
        <v>1</v>
      </c>
    </row>
    <row r="3356" spans="1:22" x14ac:dyDescent="0.3">
      <c r="A3356" t="s">
        <v>3371</v>
      </c>
      <c r="B3356" s="2">
        <v>46170.763888888891</v>
      </c>
      <c r="C3356" s="2">
        <v>46170.901388888888</v>
      </c>
      <c r="D3356" t="s">
        <v>6023</v>
      </c>
      <c r="E3356" t="s">
        <v>6029</v>
      </c>
      <c r="F3356" t="s">
        <v>6033</v>
      </c>
      <c r="G3356" t="s">
        <v>6086</v>
      </c>
      <c r="H3356" t="s">
        <v>6098</v>
      </c>
      <c r="I3356">
        <v>72</v>
      </c>
      <c r="J3356">
        <v>3.3</v>
      </c>
      <c r="K3356" t="s">
        <v>6099</v>
      </c>
      <c r="L3356" t="s">
        <v>6100</v>
      </c>
      <c r="M3356" t="s">
        <v>6100</v>
      </c>
      <c r="O3356" t="s">
        <v>6101</v>
      </c>
      <c r="P3356" t="s">
        <v>6111</v>
      </c>
      <c r="Q3356">
        <v>5</v>
      </c>
      <c r="R3356">
        <v>2026</v>
      </c>
      <c r="S3356" t="s">
        <v>6099</v>
      </c>
      <c r="T3356">
        <v>1</v>
      </c>
      <c r="U3356" t="s">
        <v>6019</v>
      </c>
      <c r="V3356">
        <v>1</v>
      </c>
    </row>
    <row r="3357" spans="1:22" x14ac:dyDescent="0.3">
      <c r="A3357" t="s">
        <v>3372</v>
      </c>
      <c r="B3357" s="2">
        <v>46170.76666666667</v>
      </c>
      <c r="C3357" s="2">
        <v>46170.974999999999</v>
      </c>
      <c r="D3357" t="s">
        <v>6028</v>
      </c>
      <c r="E3357" t="s">
        <v>6029</v>
      </c>
      <c r="F3357" t="s">
        <v>6035</v>
      </c>
      <c r="G3357" t="s">
        <v>6066</v>
      </c>
      <c r="H3357" t="s">
        <v>6096</v>
      </c>
      <c r="I3357">
        <v>4</v>
      </c>
      <c r="J3357">
        <v>5</v>
      </c>
      <c r="K3357" t="s">
        <v>6100</v>
      </c>
      <c r="L3357" t="s">
        <v>6099</v>
      </c>
      <c r="M3357" t="s">
        <v>6100</v>
      </c>
      <c r="N3357">
        <v>2</v>
      </c>
      <c r="O3357" t="s">
        <v>6101</v>
      </c>
      <c r="P3357" t="s">
        <v>6111</v>
      </c>
      <c r="Q3357">
        <v>5</v>
      </c>
      <c r="R3357">
        <v>2026</v>
      </c>
      <c r="S3357" t="s">
        <v>6100</v>
      </c>
      <c r="T3357">
        <v>0</v>
      </c>
      <c r="U3357" t="s">
        <v>6021</v>
      </c>
      <c r="V3357">
        <v>0</v>
      </c>
    </row>
    <row r="3358" spans="1:22" x14ac:dyDescent="0.3">
      <c r="A3358" t="s">
        <v>3373</v>
      </c>
      <c r="B3358" s="2">
        <v>46170.791666666664</v>
      </c>
      <c r="C3358" s="2">
        <v>46171.283333333333</v>
      </c>
      <c r="D3358" t="s">
        <v>6028</v>
      </c>
      <c r="E3358" t="s">
        <v>6030</v>
      </c>
      <c r="F3358" t="s">
        <v>6035</v>
      </c>
      <c r="G3358" t="s">
        <v>6079</v>
      </c>
      <c r="H3358" t="s">
        <v>6097</v>
      </c>
      <c r="I3358">
        <v>4</v>
      </c>
      <c r="J3358">
        <v>11.8</v>
      </c>
      <c r="K3358" t="s">
        <v>6099</v>
      </c>
      <c r="L3358" t="s">
        <v>6100</v>
      </c>
      <c r="M3358" t="s">
        <v>6100</v>
      </c>
      <c r="O3358" t="s">
        <v>6101</v>
      </c>
      <c r="P3358" t="s">
        <v>6111</v>
      </c>
      <c r="Q3358">
        <v>5</v>
      </c>
      <c r="R3358">
        <v>2026</v>
      </c>
      <c r="S3358" t="s">
        <v>6100</v>
      </c>
      <c r="T3358">
        <v>0</v>
      </c>
      <c r="U3358" t="s">
        <v>6018</v>
      </c>
      <c r="V3358">
        <v>1</v>
      </c>
    </row>
    <row r="3359" spans="1:22" x14ac:dyDescent="0.3">
      <c r="A3359" t="s">
        <v>3374</v>
      </c>
      <c r="B3359" s="2">
        <v>46170.861805555556</v>
      </c>
      <c r="C3359" s="2">
        <v>46171.21597222222</v>
      </c>
      <c r="D3359" t="s">
        <v>6028</v>
      </c>
      <c r="E3359" t="s">
        <v>6029</v>
      </c>
      <c r="F3359" t="s">
        <v>6034</v>
      </c>
      <c r="G3359" t="s">
        <v>6081</v>
      </c>
      <c r="H3359" t="s">
        <v>6098</v>
      </c>
      <c r="I3359">
        <v>24</v>
      </c>
      <c r="J3359">
        <v>8.5</v>
      </c>
      <c r="K3359" t="s">
        <v>6100</v>
      </c>
      <c r="L3359" t="s">
        <v>6100</v>
      </c>
      <c r="M3359" t="s">
        <v>6100</v>
      </c>
      <c r="N3359">
        <v>5</v>
      </c>
      <c r="O3359" t="s">
        <v>6101</v>
      </c>
      <c r="P3359" t="s">
        <v>6111</v>
      </c>
      <c r="Q3359">
        <v>5</v>
      </c>
      <c r="R3359">
        <v>2026</v>
      </c>
      <c r="S3359" t="s">
        <v>6099</v>
      </c>
      <c r="T3359">
        <v>1</v>
      </c>
      <c r="U3359" t="s">
        <v>6021</v>
      </c>
      <c r="V3359">
        <v>0</v>
      </c>
    </row>
    <row r="3360" spans="1:22" x14ac:dyDescent="0.3">
      <c r="A3360" t="s">
        <v>3375</v>
      </c>
      <c r="B3360" s="2">
        <v>46170.943055555559</v>
      </c>
      <c r="C3360" s="2">
        <v>46171.443055555559</v>
      </c>
      <c r="D3360" t="s">
        <v>6023</v>
      </c>
      <c r="E3360" t="s">
        <v>6032</v>
      </c>
      <c r="F3360" t="s">
        <v>6033</v>
      </c>
      <c r="G3360" t="s">
        <v>6050</v>
      </c>
      <c r="H3360" t="s">
        <v>6098</v>
      </c>
      <c r="I3360">
        <v>72</v>
      </c>
      <c r="J3360">
        <v>12</v>
      </c>
      <c r="K3360" t="s">
        <v>6099</v>
      </c>
      <c r="L3360" t="s">
        <v>6100</v>
      </c>
      <c r="M3360" t="s">
        <v>6100</v>
      </c>
      <c r="N3360">
        <v>5</v>
      </c>
      <c r="O3360" t="s">
        <v>6101</v>
      </c>
      <c r="P3360" t="s">
        <v>6111</v>
      </c>
      <c r="Q3360">
        <v>5</v>
      </c>
      <c r="R3360">
        <v>2026</v>
      </c>
      <c r="S3360" t="s">
        <v>6099</v>
      </c>
      <c r="T3360">
        <v>1</v>
      </c>
      <c r="U3360" t="s">
        <v>6017</v>
      </c>
      <c r="V3360">
        <v>1</v>
      </c>
    </row>
    <row r="3361" spans="1:22" x14ac:dyDescent="0.3">
      <c r="A3361" t="s">
        <v>3376</v>
      </c>
      <c r="B3361" s="2">
        <v>46171.004166666666</v>
      </c>
      <c r="C3361" s="2">
        <v>46172.962500000001</v>
      </c>
      <c r="D3361" t="s">
        <v>6026</v>
      </c>
      <c r="E3361" t="s">
        <v>6032</v>
      </c>
      <c r="F3361" t="s">
        <v>6034</v>
      </c>
      <c r="G3361" t="s">
        <v>6041</v>
      </c>
      <c r="H3361" t="s">
        <v>6096</v>
      </c>
      <c r="I3361">
        <v>24</v>
      </c>
      <c r="J3361">
        <v>47</v>
      </c>
      <c r="K3361" t="s">
        <v>6100</v>
      </c>
      <c r="L3361" t="s">
        <v>6100</v>
      </c>
      <c r="M3361" t="s">
        <v>6100</v>
      </c>
      <c r="O3361" t="s">
        <v>6101</v>
      </c>
      <c r="P3361" t="s">
        <v>6111</v>
      </c>
      <c r="Q3361">
        <v>5</v>
      </c>
      <c r="R3361">
        <v>2026</v>
      </c>
      <c r="S3361" t="s">
        <v>6100</v>
      </c>
      <c r="T3361">
        <v>0</v>
      </c>
      <c r="U3361" t="s">
        <v>6021</v>
      </c>
      <c r="V3361">
        <v>0</v>
      </c>
    </row>
    <row r="3362" spans="1:22" x14ac:dyDescent="0.3">
      <c r="A3362" t="s">
        <v>3377</v>
      </c>
      <c r="B3362" s="2">
        <v>46171.31527777778</v>
      </c>
      <c r="C3362" s="2">
        <v>46172.156944444447</v>
      </c>
      <c r="D3362" t="s">
        <v>6024</v>
      </c>
      <c r="E3362" t="s">
        <v>6031</v>
      </c>
      <c r="F3362" t="s">
        <v>6034</v>
      </c>
      <c r="G3362" t="s">
        <v>6070</v>
      </c>
      <c r="H3362" t="s">
        <v>6097</v>
      </c>
      <c r="I3362">
        <v>24</v>
      </c>
      <c r="J3362">
        <v>20.2</v>
      </c>
      <c r="K3362" t="s">
        <v>6099</v>
      </c>
      <c r="L3362" t="s">
        <v>6100</v>
      </c>
      <c r="M3362" t="s">
        <v>6099</v>
      </c>
      <c r="N3362">
        <v>5</v>
      </c>
      <c r="O3362" t="s">
        <v>6101</v>
      </c>
      <c r="P3362" t="s">
        <v>6111</v>
      </c>
      <c r="Q3362">
        <v>5</v>
      </c>
      <c r="R3362">
        <v>2026</v>
      </c>
      <c r="S3362" t="s">
        <v>6099</v>
      </c>
      <c r="T3362">
        <v>1</v>
      </c>
      <c r="U3362" t="s">
        <v>6018</v>
      </c>
      <c r="V3362">
        <v>1</v>
      </c>
    </row>
    <row r="3363" spans="1:22" x14ac:dyDescent="0.3">
      <c r="A3363" t="s">
        <v>3378</v>
      </c>
      <c r="B3363" s="2">
        <v>46171.37777777778</v>
      </c>
      <c r="C3363" s="2">
        <v>46171.811111111114</v>
      </c>
      <c r="D3363" t="s">
        <v>6023</v>
      </c>
      <c r="E3363" t="s">
        <v>6029</v>
      </c>
      <c r="F3363" t="s">
        <v>6035</v>
      </c>
      <c r="G3363" t="s">
        <v>6093</v>
      </c>
      <c r="H3363" t="s">
        <v>6097</v>
      </c>
      <c r="I3363">
        <v>4</v>
      </c>
      <c r="J3363">
        <v>10.4</v>
      </c>
      <c r="K3363" t="s">
        <v>6099</v>
      </c>
      <c r="L3363" t="s">
        <v>6100</v>
      </c>
      <c r="M3363" t="s">
        <v>6100</v>
      </c>
      <c r="N3363">
        <v>5</v>
      </c>
      <c r="O3363" t="s">
        <v>6101</v>
      </c>
      <c r="P3363" t="s">
        <v>6111</v>
      </c>
      <c r="Q3363">
        <v>5</v>
      </c>
      <c r="R3363">
        <v>2026</v>
      </c>
      <c r="S3363" t="s">
        <v>6100</v>
      </c>
      <c r="T3363">
        <v>0</v>
      </c>
      <c r="U3363" t="s">
        <v>6019</v>
      </c>
      <c r="V3363">
        <v>1</v>
      </c>
    </row>
    <row r="3364" spans="1:22" x14ac:dyDescent="0.3">
      <c r="A3364" t="s">
        <v>3379</v>
      </c>
      <c r="B3364" s="2">
        <v>46171.384722222225</v>
      </c>
      <c r="C3364" s="2">
        <v>46171.634722222225</v>
      </c>
      <c r="D3364" t="s">
        <v>6028</v>
      </c>
      <c r="E3364" t="s">
        <v>6029</v>
      </c>
      <c r="F3364" t="s">
        <v>6033</v>
      </c>
      <c r="G3364" t="s">
        <v>6076</v>
      </c>
      <c r="H3364" t="s">
        <v>6097</v>
      </c>
      <c r="I3364">
        <v>72</v>
      </c>
      <c r="J3364">
        <v>6</v>
      </c>
      <c r="K3364" t="s">
        <v>6099</v>
      </c>
      <c r="L3364" t="s">
        <v>6100</v>
      </c>
      <c r="M3364" t="s">
        <v>6100</v>
      </c>
      <c r="N3364">
        <v>4</v>
      </c>
      <c r="O3364" t="s">
        <v>6101</v>
      </c>
      <c r="P3364" t="s">
        <v>6111</v>
      </c>
      <c r="Q3364">
        <v>5</v>
      </c>
      <c r="R3364">
        <v>2026</v>
      </c>
      <c r="S3364" t="s">
        <v>6099</v>
      </c>
      <c r="T3364">
        <v>1</v>
      </c>
      <c r="U3364" t="s">
        <v>6020</v>
      </c>
      <c r="V3364">
        <v>1</v>
      </c>
    </row>
    <row r="3365" spans="1:22" x14ac:dyDescent="0.3">
      <c r="A3365" t="s">
        <v>3380</v>
      </c>
      <c r="B3365" s="2">
        <v>46171.386805555558</v>
      </c>
      <c r="C3365" s="2">
        <v>46172.307638888888</v>
      </c>
      <c r="D3365" t="s">
        <v>6022</v>
      </c>
      <c r="E3365" t="s">
        <v>6032</v>
      </c>
      <c r="F3365" t="s">
        <v>6035</v>
      </c>
      <c r="G3365" t="s">
        <v>6065</v>
      </c>
      <c r="H3365" t="s">
        <v>6097</v>
      </c>
      <c r="I3365">
        <v>4</v>
      </c>
      <c r="J3365">
        <v>22.1</v>
      </c>
      <c r="K3365" t="s">
        <v>6100</v>
      </c>
      <c r="L3365" t="s">
        <v>6099</v>
      </c>
      <c r="M3365" t="s">
        <v>6100</v>
      </c>
      <c r="N3365">
        <v>2</v>
      </c>
      <c r="O3365" t="s">
        <v>6101</v>
      </c>
      <c r="P3365" t="s">
        <v>6111</v>
      </c>
      <c r="Q3365">
        <v>5</v>
      </c>
      <c r="R3365">
        <v>2026</v>
      </c>
      <c r="S3365" t="s">
        <v>6100</v>
      </c>
      <c r="T3365">
        <v>0</v>
      </c>
      <c r="U3365" t="s">
        <v>6020</v>
      </c>
      <c r="V3365">
        <v>0</v>
      </c>
    </row>
    <row r="3366" spans="1:22" x14ac:dyDescent="0.3">
      <c r="A3366" t="s">
        <v>3381</v>
      </c>
      <c r="B3366" s="2">
        <v>46171.412499999999</v>
      </c>
      <c r="C3366" s="2">
        <v>46171.658333333333</v>
      </c>
      <c r="D3366" t="s">
        <v>6023</v>
      </c>
      <c r="E3366" t="s">
        <v>6030</v>
      </c>
      <c r="F3366" t="s">
        <v>6033</v>
      </c>
      <c r="G3366" t="s">
        <v>6086</v>
      </c>
      <c r="H3366" t="s">
        <v>6098</v>
      </c>
      <c r="I3366">
        <v>72</v>
      </c>
      <c r="J3366">
        <v>5.9</v>
      </c>
      <c r="K3366" t="s">
        <v>6100</v>
      </c>
      <c r="L3366" t="s">
        <v>6100</v>
      </c>
      <c r="M3366" t="s">
        <v>6100</v>
      </c>
      <c r="O3366" t="s">
        <v>6101</v>
      </c>
      <c r="P3366" t="s">
        <v>6111</v>
      </c>
      <c r="Q3366">
        <v>5</v>
      </c>
      <c r="R3366">
        <v>2026</v>
      </c>
      <c r="S3366" t="s">
        <v>6099</v>
      </c>
      <c r="T3366">
        <v>1</v>
      </c>
      <c r="U3366" t="s">
        <v>6021</v>
      </c>
      <c r="V3366">
        <v>0</v>
      </c>
    </row>
    <row r="3367" spans="1:22" x14ac:dyDescent="0.3">
      <c r="A3367" t="s">
        <v>3382</v>
      </c>
      <c r="B3367" s="2">
        <v>46171.481944444444</v>
      </c>
      <c r="C3367" s="2">
        <v>46171.598611111112</v>
      </c>
      <c r="D3367" t="s">
        <v>6023</v>
      </c>
      <c r="E3367" t="s">
        <v>6030</v>
      </c>
      <c r="F3367" t="s">
        <v>6033</v>
      </c>
      <c r="G3367" t="s">
        <v>6037</v>
      </c>
      <c r="H3367" t="s">
        <v>6096</v>
      </c>
      <c r="I3367">
        <v>72</v>
      </c>
      <c r="J3367">
        <v>2.8</v>
      </c>
      <c r="K3367" t="s">
        <v>6099</v>
      </c>
      <c r="L3367" t="s">
        <v>6100</v>
      </c>
      <c r="M3367" t="s">
        <v>6100</v>
      </c>
      <c r="N3367">
        <v>5</v>
      </c>
      <c r="O3367" t="s">
        <v>6101</v>
      </c>
      <c r="P3367" t="s">
        <v>6111</v>
      </c>
      <c r="Q3367">
        <v>5</v>
      </c>
      <c r="R3367">
        <v>2026</v>
      </c>
      <c r="S3367" t="s">
        <v>6099</v>
      </c>
      <c r="T3367">
        <v>1</v>
      </c>
      <c r="U3367" t="s">
        <v>6020</v>
      </c>
      <c r="V3367">
        <v>1</v>
      </c>
    </row>
    <row r="3368" spans="1:22" x14ac:dyDescent="0.3">
      <c r="A3368" t="s">
        <v>3383</v>
      </c>
      <c r="B3368" s="2">
        <v>46171.527777777781</v>
      </c>
      <c r="C3368" s="2">
        <v>46175.352777777778</v>
      </c>
      <c r="D3368" t="s">
        <v>6025</v>
      </c>
      <c r="E3368" t="s">
        <v>6032</v>
      </c>
      <c r="F3368" t="s">
        <v>6034</v>
      </c>
      <c r="G3368" t="s">
        <v>6045</v>
      </c>
      <c r="H3368" t="s">
        <v>6096</v>
      </c>
      <c r="I3368">
        <v>24</v>
      </c>
      <c r="J3368">
        <v>91.8</v>
      </c>
      <c r="K3368" t="s">
        <v>6099</v>
      </c>
      <c r="L3368" t="s">
        <v>6100</v>
      </c>
      <c r="M3368" t="s">
        <v>6100</v>
      </c>
      <c r="O3368" t="s">
        <v>6101</v>
      </c>
      <c r="P3368" t="s">
        <v>6111</v>
      </c>
      <c r="Q3368">
        <v>5</v>
      </c>
      <c r="R3368">
        <v>2026</v>
      </c>
      <c r="S3368" t="s">
        <v>6100</v>
      </c>
      <c r="T3368">
        <v>0</v>
      </c>
      <c r="U3368" t="s">
        <v>6019</v>
      </c>
      <c r="V3368">
        <v>1</v>
      </c>
    </row>
    <row r="3369" spans="1:22" x14ac:dyDescent="0.3">
      <c r="A3369" t="s">
        <v>3384</v>
      </c>
      <c r="B3369" s="2">
        <v>46171.572222222225</v>
      </c>
      <c r="C3369" s="2">
        <v>46171.968055555553</v>
      </c>
      <c r="D3369" t="s">
        <v>6022</v>
      </c>
      <c r="E3369" t="s">
        <v>6030</v>
      </c>
      <c r="F3369" t="s">
        <v>6033</v>
      </c>
      <c r="G3369" t="s">
        <v>6047</v>
      </c>
      <c r="H3369" t="s">
        <v>6098</v>
      </c>
      <c r="I3369">
        <v>72</v>
      </c>
      <c r="J3369">
        <v>9.5</v>
      </c>
      <c r="K3369" t="s">
        <v>6100</v>
      </c>
      <c r="L3369" t="s">
        <v>6100</v>
      </c>
      <c r="M3369" t="s">
        <v>6100</v>
      </c>
      <c r="N3369">
        <v>4</v>
      </c>
      <c r="O3369" t="s">
        <v>6101</v>
      </c>
      <c r="P3369" t="s">
        <v>6111</v>
      </c>
      <c r="Q3369">
        <v>5</v>
      </c>
      <c r="R3369">
        <v>2026</v>
      </c>
      <c r="S3369" t="s">
        <v>6099</v>
      </c>
      <c r="T3369">
        <v>1</v>
      </c>
      <c r="U3369" t="s">
        <v>6019</v>
      </c>
      <c r="V3369">
        <v>0</v>
      </c>
    </row>
    <row r="3370" spans="1:22" x14ac:dyDescent="0.3">
      <c r="A3370" t="s">
        <v>3385</v>
      </c>
      <c r="B3370" s="2">
        <v>46171.580555555556</v>
      </c>
      <c r="C3370" s="2">
        <v>46172.276388888888</v>
      </c>
      <c r="D3370" t="s">
        <v>6028</v>
      </c>
      <c r="E3370" t="s">
        <v>6031</v>
      </c>
      <c r="F3370" t="s">
        <v>6034</v>
      </c>
      <c r="G3370" t="s">
        <v>6079</v>
      </c>
      <c r="H3370" t="s">
        <v>6097</v>
      </c>
      <c r="I3370">
        <v>24</v>
      </c>
      <c r="J3370">
        <v>16.7</v>
      </c>
      <c r="K3370" t="s">
        <v>6099</v>
      </c>
      <c r="L3370" t="s">
        <v>6100</v>
      </c>
      <c r="M3370" t="s">
        <v>6099</v>
      </c>
      <c r="O3370" t="s">
        <v>6101</v>
      </c>
      <c r="P3370" t="s">
        <v>6111</v>
      </c>
      <c r="Q3370">
        <v>5</v>
      </c>
      <c r="R3370">
        <v>2026</v>
      </c>
      <c r="S3370" t="s">
        <v>6099</v>
      </c>
      <c r="T3370">
        <v>1</v>
      </c>
      <c r="U3370" t="s">
        <v>6017</v>
      </c>
      <c r="V3370">
        <v>1</v>
      </c>
    </row>
    <row r="3371" spans="1:22" x14ac:dyDescent="0.3">
      <c r="A3371" t="s">
        <v>3386</v>
      </c>
      <c r="B3371" s="2">
        <v>46171.584027777775</v>
      </c>
      <c r="C3371" s="2">
        <v>46173.509027777778</v>
      </c>
      <c r="D3371" t="s">
        <v>6025</v>
      </c>
      <c r="E3371" t="s">
        <v>6031</v>
      </c>
      <c r="F3371" t="s">
        <v>6034</v>
      </c>
      <c r="G3371" t="s">
        <v>6077</v>
      </c>
      <c r="H3371" t="s">
        <v>6098</v>
      </c>
      <c r="I3371">
        <v>24</v>
      </c>
      <c r="J3371">
        <v>46.2</v>
      </c>
      <c r="K3371" t="s">
        <v>6099</v>
      </c>
      <c r="L3371" t="s">
        <v>6100</v>
      </c>
      <c r="M3371" t="s">
        <v>6100</v>
      </c>
      <c r="N3371">
        <v>3</v>
      </c>
      <c r="O3371" t="s">
        <v>6101</v>
      </c>
      <c r="P3371" t="s">
        <v>6111</v>
      </c>
      <c r="Q3371">
        <v>5</v>
      </c>
      <c r="R3371">
        <v>2026</v>
      </c>
      <c r="S3371" t="s">
        <v>6100</v>
      </c>
      <c r="T3371">
        <v>0</v>
      </c>
      <c r="U3371" t="s">
        <v>6021</v>
      </c>
      <c r="V3371">
        <v>1</v>
      </c>
    </row>
    <row r="3372" spans="1:22" x14ac:dyDescent="0.3">
      <c r="A3372" t="s">
        <v>3387</v>
      </c>
      <c r="B3372" s="2">
        <v>46171.682638888888</v>
      </c>
      <c r="C3372" s="2">
        <v>46171.732638888891</v>
      </c>
      <c r="D3372" t="s">
        <v>6023</v>
      </c>
      <c r="E3372" t="s">
        <v>6029</v>
      </c>
      <c r="F3372" t="s">
        <v>6033</v>
      </c>
      <c r="G3372" t="s">
        <v>6040</v>
      </c>
      <c r="H3372" t="s">
        <v>6097</v>
      </c>
      <c r="I3372">
        <v>72</v>
      </c>
      <c r="J3372">
        <v>1.2</v>
      </c>
      <c r="K3372" t="s">
        <v>6100</v>
      </c>
      <c r="L3372" t="s">
        <v>6100</v>
      </c>
      <c r="M3372" t="s">
        <v>6100</v>
      </c>
      <c r="N3372">
        <v>5</v>
      </c>
      <c r="O3372" t="s">
        <v>6101</v>
      </c>
      <c r="P3372" t="s">
        <v>6111</v>
      </c>
      <c r="Q3372">
        <v>5</v>
      </c>
      <c r="R3372">
        <v>2026</v>
      </c>
      <c r="S3372" t="s">
        <v>6099</v>
      </c>
      <c r="T3372">
        <v>1</v>
      </c>
      <c r="U3372" t="s">
        <v>6020</v>
      </c>
      <c r="V3372">
        <v>0</v>
      </c>
    </row>
    <row r="3373" spans="1:22" x14ac:dyDescent="0.3">
      <c r="A3373" t="s">
        <v>3388</v>
      </c>
      <c r="B3373" s="2">
        <v>46171.703472222223</v>
      </c>
      <c r="C3373" s="2">
        <v>46173.320138888892</v>
      </c>
      <c r="D3373" t="s">
        <v>6022</v>
      </c>
      <c r="E3373" t="s">
        <v>6032</v>
      </c>
      <c r="F3373" t="s">
        <v>6034</v>
      </c>
      <c r="G3373" t="s">
        <v>6054</v>
      </c>
      <c r="H3373" t="s">
        <v>6096</v>
      </c>
      <c r="I3373">
        <v>24</v>
      </c>
      <c r="J3373">
        <v>38.799999999999997</v>
      </c>
      <c r="K3373" t="s">
        <v>6100</v>
      </c>
      <c r="L3373" t="s">
        <v>6099</v>
      </c>
      <c r="M3373" t="s">
        <v>6099</v>
      </c>
      <c r="N3373">
        <v>2</v>
      </c>
      <c r="O3373" t="s">
        <v>6101</v>
      </c>
      <c r="P3373" t="s">
        <v>6111</v>
      </c>
      <c r="Q3373">
        <v>5</v>
      </c>
      <c r="R3373">
        <v>2026</v>
      </c>
      <c r="S3373" t="s">
        <v>6100</v>
      </c>
      <c r="T3373">
        <v>0</v>
      </c>
      <c r="U3373" t="s">
        <v>6021</v>
      </c>
      <c r="V3373">
        <v>0</v>
      </c>
    </row>
    <row r="3374" spans="1:22" x14ac:dyDescent="0.3">
      <c r="A3374" t="s">
        <v>3389</v>
      </c>
      <c r="B3374" s="2">
        <v>46171.868055555555</v>
      </c>
      <c r="C3374" s="2">
        <v>46178.555555555555</v>
      </c>
      <c r="D3374" t="s">
        <v>6026</v>
      </c>
      <c r="E3374" t="s">
        <v>6031</v>
      </c>
      <c r="F3374" t="s">
        <v>6033</v>
      </c>
      <c r="G3374" t="s">
        <v>6055</v>
      </c>
      <c r="H3374" t="s">
        <v>6096</v>
      </c>
      <c r="I3374">
        <v>72</v>
      </c>
      <c r="J3374">
        <v>160.5</v>
      </c>
      <c r="K3374" t="s">
        <v>6099</v>
      </c>
      <c r="L3374" t="s">
        <v>6100</v>
      </c>
      <c r="M3374" t="s">
        <v>6100</v>
      </c>
      <c r="N3374">
        <v>4</v>
      </c>
      <c r="O3374" t="s">
        <v>6101</v>
      </c>
      <c r="P3374" t="s">
        <v>6111</v>
      </c>
      <c r="Q3374">
        <v>5</v>
      </c>
      <c r="R3374">
        <v>2026</v>
      </c>
      <c r="S3374" t="s">
        <v>6100</v>
      </c>
      <c r="T3374">
        <v>0</v>
      </c>
      <c r="U3374" t="s">
        <v>6021</v>
      </c>
      <c r="V3374">
        <v>1</v>
      </c>
    </row>
    <row r="3375" spans="1:22" x14ac:dyDescent="0.3">
      <c r="A3375" t="s">
        <v>3390</v>
      </c>
      <c r="B3375" s="2">
        <v>46171.893750000003</v>
      </c>
      <c r="C3375" s="2">
        <v>46172.572916666664</v>
      </c>
      <c r="D3375" t="s">
        <v>6025</v>
      </c>
      <c r="E3375" t="s">
        <v>6029</v>
      </c>
      <c r="F3375" t="s">
        <v>6034</v>
      </c>
      <c r="G3375" t="s">
        <v>6081</v>
      </c>
      <c r="H3375" t="s">
        <v>6098</v>
      </c>
      <c r="I3375">
        <v>24</v>
      </c>
      <c r="J3375">
        <v>16.3</v>
      </c>
      <c r="K3375" t="s">
        <v>6099</v>
      </c>
      <c r="L3375" t="s">
        <v>6100</v>
      </c>
      <c r="M3375" t="s">
        <v>6100</v>
      </c>
      <c r="N3375">
        <v>5</v>
      </c>
      <c r="O3375" t="s">
        <v>6101</v>
      </c>
      <c r="P3375" t="s">
        <v>6111</v>
      </c>
      <c r="Q3375">
        <v>5</v>
      </c>
      <c r="R3375">
        <v>2026</v>
      </c>
      <c r="S3375" t="s">
        <v>6099</v>
      </c>
      <c r="T3375">
        <v>1</v>
      </c>
      <c r="U3375" t="s">
        <v>6019</v>
      </c>
      <c r="V3375">
        <v>1</v>
      </c>
    </row>
    <row r="3376" spans="1:22" x14ac:dyDescent="0.3">
      <c r="A3376" t="s">
        <v>3391</v>
      </c>
      <c r="B3376" s="2">
        <v>46171.980555555558</v>
      </c>
      <c r="C3376" s="2">
        <v>46172.226388888892</v>
      </c>
      <c r="D3376" t="s">
        <v>6022</v>
      </c>
      <c r="E3376" t="s">
        <v>6030</v>
      </c>
      <c r="F3376" t="s">
        <v>6033</v>
      </c>
      <c r="G3376" t="s">
        <v>6093</v>
      </c>
      <c r="H3376" t="s">
        <v>6097</v>
      </c>
      <c r="I3376">
        <v>72</v>
      </c>
      <c r="J3376">
        <v>5.9</v>
      </c>
      <c r="K3376" t="s">
        <v>6099</v>
      </c>
      <c r="L3376" t="s">
        <v>6100</v>
      </c>
      <c r="M3376" t="s">
        <v>6099</v>
      </c>
      <c r="O3376" t="s">
        <v>6101</v>
      </c>
      <c r="P3376" t="s">
        <v>6111</v>
      </c>
      <c r="Q3376">
        <v>5</v>
      </c>
      <c r="R3376">
        <v>2026</v>
      </c>
      <c r="S3376" t="s">
        <v>6099</v>
      </c>
      <c r="T3376">
        <v>1</v>
      </c>
      <c r="U3376" t="s">
        <v>6020</v>
      </c>
      <c r="V3376">
        <v>1</v>
      </c>
    </row>
    <row r="3377" spans="1:22" x14ac:dyDescent="0.3">
      <c r="A3377" t="s">
        <v>3392</v>
      </c>
      <c r="B3377" s="2">
        <v>46172.158333333333</v>
      </c>
      <c r="C3377" s="2">
        <v>46173.708333333336</v>
      </c>
      <c r="D3377" t="s">
        <v>6027</v>
      </c>
      <c r="E3377" t="s">
        <v>6032</v>
      </c>
      <c r="F3377" t="s">
        <v>6033</v>
      </c>
      <c r="G3377" t="s">
        <v>6051</v>
      </c>
      <c r="H3377" t="s">
        <v>6097</v>
      </c>
      <c r="I3377">
        <v>72</v>
      </c>
      <c r="J3377">
        <v>37.200000000000003</v>
      </c>
      <c r="K3377" t="s">
        <v>6099</v>
      </c>
      <c r="L3377" t="s">
        <v>6100</v>
      </c>
      <c r="M3377" t="s">
        <v>6100</v>
      </c>
      <c r="N3377">
        <v>5</v>
      </c>
      <c r="O3377" t="s">
        <v>6101</v>
      </c>
      <c r="P3377" t="s">
        <v>6111</v>
      </c>
      <c r="Q3377">
        <v>5</v>
      </c>
      <c r="R3377">
        <v>2026</v>
      </c>
      <c r="S3377" t="s">
        <v>6099</v>
      </c>
      <c r="T3377">
        <v>1</v>
      </c>
      <c r="U3377" t="s">
        <v>6021</v>
      </c>
      <c r="V3377">
        <v>1</v>
      </c>
    </row>
    <row r="3378" spans="1:22" x14ac:dyDescent="0.3">
      <c r="A3378" t="s">
        <v>3393</v>
      </c>
      <c r="B3378" s="2">
        <v>46172.326388888891</v>
      </c>
      <c r="C3378" s="2">
        <v>46172.530555555553</v>
      </c>
      <c r="D3378" t="s">
        <v>6027</v>
      </c>
      <c r="E3378" t="s">
        <v>6030</v>
      </c>
      <c r="F3378" t="s">
        <v>6033</v>
      </c>
      <c r="G3378" t="s">
        <v>6059</v>
      </c>
      <c r="H3378" t="s">
        <v>6097</v>
      </c>
      <c r="I3378">
        <v>72</v>
      </c>
      <c r="J3378">
        <v>4.9000000000000004</v>
      </c>
      <c r="K3378" t="s">
        <v>6099</v>
      </c>
      <c r="L3378" t="s">
        <v>6100</v>
      </c>
      <c r="M3378" t="s">
        <v>6100</v>
      </c>
      <c r="N3378">
        <v>5</v>
      </c>
      <c r="O3378" t="s">
        <v>6101</v>
      </c>
      <c r="P3378" t="s">
        <v>6111</v>
      </c>
      <c r="Q3378">
        <v>5</v>
      </c>
      <c r="R3378">
        <v>2026</v>
      </c>
      <c r="S3378" t="s">
        <v>6099</v>
      </c>
      <c r="T3378">
        <v>1</v>
      </c>
      <c r="U3378" t="s">
        <v>6018</v>
      </c>
      <c r="V3378">
        <v>1</v>
      </c>
    </row>
    <row r="3379" spans="1:22" x14ac:dyDescent="0.3">
      <c r="A3379" t="s">
        <v>3394</v>
      </c>
      <c r="B3379" s="2">
        <v>46172.411805555559</v>
      </c>
      <c r="C3379" s="2">
        <v>46175.303472222222</v>
      </c>
      <c r="D3379" t="s">
        <v>6025</v>
      </c>
      <c r="E3379" t="s">
        <v>6032</v>
      </c>
      <c r="F3379" t="s">
        <v>6034</v>
      </c>
      <c r="G3379" t="s">
        <v>6085</v>
      </c>
      <c r="H3379" t="s">
        <v>6097</v>
      </c>
      <c r="I3379">
        <v>24</v>
      </c>
      <c r="J3379">
        <v>69.400000000000006</v>
      </c>
      <c r="K3379" t="s">
        <v>6099</v>
      </c>
      <c r="L3379" t="s">
        <v>6100</v>
      </c>
      <c r="M3379" t="s">
        <v>6100</v>
      </c>
      <c r="O3379" t="s">
        <v>6101</v>
      </c>
      <c r="P3379" t="s">
        <v>6111</v>
      </c>
      <c r="Q3379">
        <v>5</v>
      </c>
      <c r="R3379">
        <v>2026</v>
      </c>
      <c r="S3379" t="s">
        <v>6100</v>
      </c>
      <c r="T3379">
        <v>0</v>
      </c>
      <c r="U3379" t="s">
        <v>6020</v>
      </c>
      <c r="V3379">
        <v>1</v>
      </c>
    </row>
    <row r="3380" spans="1:22" x14ac:dyDescent="0.3">
      <c r="A3380" t="s">
        <v>3395</v>
      </c>
      <c r="B3380" s="2">
        <v>46172.412499999999</v>
      </c>
      <c r="C3380" s="2">
        <v>46172.895833333336</v>
      </c>
      <c r="D3380" t="s">
        <v>6023</v>
      </c>
      <c r="E3380" t="s">
        <v>6029</v>
      </c>
      <c r="F3380" t="s">
        <v>6033</v>
      </c>
      <c r="G3380" t="s">
        <v>6043</v>
      </c>
      <c r="H3380" t="s">
        <v>6097</v>
      </c>
      <c r="I3380">
        <v>72</v>
      </c>
      <c r="J3380">
        <v>11.6</v>
      </c>
      <c r="K3380" t="s">
        <v>6099</v>
      </c>
      <c r="L3380" t="s">
        <v>6100</v>
      </c>
      <c r="M3380" t="s">
        <v>6100</v>
      </c>
      <c r="N3380">
        <v>5</v>
      </c>
      <c r="O3380" t="s">
        <v>6101</v>
      </c>
      <c r="P3380" t="s">
        <v>6111</v>
      </c>
      <c r="Q3380">
        <v>5</v>
      </c>
      <c r="R3380">
        <v>2026</v>
      </c>
      <c r="S3380" t="s">
        <v>6099</v>
      </c>
      <c r="T3380">
        <v>1</v>
      </c>
      <c r="U3380" t="s">
        <v>6018</v>
      </c>
      <c r="V3380">
        <v>1</v>
      </c>
    </row>
    <row r="3381" spans="1:22" x14ac:dyDescent="0.3">
      <c r="A3381" t="s">
        <v>3396</v>
      </c>
      <c r="B3381" s="2">
        <v>46172.477083333331</v>
      </c>
      <c r="C3381" s="2">
        <v>46172.722916666666</v>
      </c>
      <c r="D3381" t="s">
        <v>6024</v>
      </c>
      <c r="E3381" t="s">
        <v>6030</v>
      </c>
      <c r="F3381" t="s">
        <v>6034</v>
      </c>
      <c r="G3381" t="s">
        <v>6064</v>
      </c>
      <c r="H3381" t="s">
        <v>6096</v>
      </c>
      <c r="I3381">
        <v>24</v>
      </c>
      <c r="J3381">
        <v>5.9</v>
      </c>
      <c r="K3381" t="s">
        <v>6099</v>
      </c>
      <c r="L3381" t="s">
        <v>6100</v>
      </c>
      <c r="M3381" t="s">
        <v>6100</v>
      </c>
      <c r="N3381">
        <v>4</v>
      </c>
      <c r="O3381" t="s">
        <v>6101</v>
      </c>
      <c r="P3381" t="s">
        <v>6111</v>
      </c>
      <c r="Q3381">
        <v>5</v>
      </c>
      <c r="R3381">
        <v>2026</v>
      </c>
      <c r="S3381" t="s">
        <v>6099</v>
      </c>
      <c r="T3381">
        <v>1</v>
      </c>
      <c r="U3381" t="s">
        <v>6021</v>
      </c>
      <c r="V3381">
        <v>1</v>
      </c>
    </row>
    <row r="3382" spans="1:22" x14ac:dyDescent="0.3">
      <c r="A3382" t="s">
        <v>3397</v>
      </c>
      <c r="B3382" s="2">
        <v>46172.526388888888</v>
      </c>
      <c r="C3382" s="2">
        <v>46172.751388888886</v>
      </c>
      <c r="D3382" t="s">
        <v>6023</v>
      </c>
      <c r="E3382" t="s">
        <v>6029</v>
      </c>
      <c r="F3382" t="s">
        <v>6034</v>
      </c>
      <c r="G3382" t="s">
        <v>6045</v>
      </c>
      <c r="H3382" t="s">
        <v>6096</v>
      </c>
      <c r="I3382">
        <v>24</v>
      </c>
      <c r="J3382">
        <v>5.4</v>
      </c>
      <c r="K3382" t="s">
        <v>6100</v>
      </c>
      <c r="L3382" t="s">
        <v>6100</v>
      </c>
      <c r="M3382" t="s">
        <v>6099</v>
      </c>
      <c r="N3382">
        <v>5</v>
      </c>
      <c r="O3382" t="s">
        <v>6101</v>
      </c>
      <c r="P3382" t="s">
        <v>6111</v>
      </c>
      <c r="Q3382">
        <v>5</v>
      </c>
      <c r="R3382">
        <v>2026</v>
      </c>
      <c r="S3382" t="s">
        <v>6099</v>
      </c>
      <c r="T3382">
        <v>1</v>
      </c>
      <c r="U3382" t="s">
        <v>6018</v>
      </c>
      <c r="V3382">
        <v>0</v>
      </c>
    </row>
    <row r="3383" spans="1:22" x14ac:dyDescent="0.3">
      <c r="A3383" t="s">
        <v>3398</v>
      </c>
      <c r="B3383" s="2">
        <v>46172.598611111112</v>
      </c>
      <c r="C3383" s="2">
        <v>46174.740277777775</v>
      </c>
      <c r="D3383" t="s">
        <v>6028</v>
      </c>
      <c r="E3383" t="s">
        <v>6031</v>
      </c>
      <c r="F3383" t="s">
        <v>6034</v>
      </c>
      <c r="G3383" t="s">
        <v>6079</v>
      </c>
      <c r="H3383" t="s">
        <v>6097</v>
      </c>
      <c r="I3383">
        <v>24</v>
      </c>
      <c r="J3383">
        <v>51.4</v>
      </c>
      <c r="K3383" t="s">
        <v>6099</v>
      </c>
      <c r="L3383" t="s">
        <v>6100</v>
      </c>
      <c r="M3383" t="s">
        <v>6100</v>
      </c>
      <c r="N3383">
        <v>4</v>
      </c>
      <c r="O3383" t="s">
        <v>6101</v>
      </c>
      <c r="P3383" t="s">
        <v>6111</v>
      </c>
      <c r="Q3383">
        <v>5</v>
      </c>
      <c r="R3383">
        <v>2026</v>
      </c>
      <c r="S3383" t="s">
        <v>6100</v>
      </c>
      <c r="T3383">
        <v>0</v>
      </c>
      <c r="U3383" t="s">
        <v>6018</v>
      </c>
      <c r="V3383">
        <v>1</v>
      </c>
    </row>
    <row r="3384" spans="1:22" x14ac:dyDescent="0.3">
      <c r="A3384" t="s">
        <v>3399</v>
      </c>
      <c r="B3384" s="2">
        <v>46172.70208333333</v>
      </c>
      <c r="C3384" s="2">
        <v>46173.606249999997</v>
      </c>
      <c r="D3384" t="s">
        <v>6025</v>
      </c>
      <c r="E3384" t="s">
        <v>6032</v>
      </c>
      <c r="F3384" t="s">
        <v>6034</v>
      </c>
      <c r="G3384" t="s">
        <v>6048</v>
      </c>
      <c r="H3384" t="s">
        <v>6096</v>
      </c>
      <c r="I3384">
        <v>24</v>
      </c>
      <c r="J3384">
        <v>21.7</v>
      </c>
      <c r="K3384" t="s">
        <v>6099</v>
      </c>
      <c r="L3384" t="s">
        <v>6100</v>
      </c>
      <c r="M3384" t="s">
        <v>6100</v>
      </c>
      <c r="N3384">
        <v>5</v>
      </c>
      <c r="O3384" t="s">
        <v>6101</v>
      </c>
      <c r="P3384" t="s">
        <v>6111</v>
      </c>
      <c r="Q3384">
        <v>5</v>
      </c>
      <c r="R3384">
        <v>2026</v>
      </c>
      <c r="S3384" t="s">
        <v>6099</v>
      </c>
      <c r="T3384">
        <v>1</v>
      </c>
      <c r="U3384" t="s">
        <v>6021</v>
      </c>
      <c r="V3384">
        <v>1</v>
      </c>
    </row>
    <row r="3385" spans="1:22" x14ac:dyDescent="0.3">
      <c r="A3385" t="s">
        <v>3400</v>
      </c>
      <c r="B3385" s="2">
        <v>46172.793055555558</v>
      </c>
      <c r="C3385" s="2">
        <v>46173.513888888891</v>
      </c>
      <c r="D3385" t="s">
        <v>6023</v>
      </c>
      <c r="E3385" t="s">
        <v>6032</v>
      </c>
      <c r="F3385" t="s">
        <v>6034</v>
      </c>
      <c r="G3385" t="s">
        <v>6057</v>
      </c>
      <c r="H3385" t="s">
        <v>6097</v>
      </c>
      <c r="I3385">
        <v>24</v>
      </c>
      <c r="J3385">
        <v>17.3</v>
      </c>
      <c r="K3385" t="s">
        <v>6100</v>
      </c>
      <c r="L3385" t="s">
        <v>6099</v>
      </c>
      <c r="M3385" t="s">
        <v>6100</v>
      </c>
      <c r="O3385" t="s">
        <v>6101</v>
      </c>
      <c r="P3385" t="s">
        <v>6111</v>
      </c>
      <c r="Q3385">
        <v>5</v>
      </c>
      <c r="R3385">
        <v>2026</v>
      </c>
      <c r="S3385" t="s">
        <v>6099</v>
      </c>
      <c r="T3385">
        <v>1</v>
      </c>
      <c r="U3385" t="s">
        <v>6021</v>
      </c>
      <c r="V3385">
        <v>0</v>
      </c>
    </row>
    <row r="3386" spans="1:22" x14ac:dyDescent="0.3">
      <c r="A3386" t="s">
        <v>3401</v>
      </c>
      <c r="B3386" s="2">
        <v>46172.8125</v>
      </c>
      <c r="C3386" s="2">
        <v>46173.958333333336</v>
      </c>
      <c r="D3386" t="s">
        <v>6028</v>
      </c>
      <c r="E3386" t="s">
        <v>6031</v>
      </c>
      <c r="F3386" t="s">
        <v>6035</v>
      </c>
      <c r="G3386" t="s">
        <v>6074</v>
      </c>
      <c r="H3386" t="s">
        <v>6098</v>
      </c>
      <c r="I3386">
        <v>4</v>
      </c>
      <c r="J3386">
        <v>27.5</v>
      </c>
      <c r="K3386" t="s">
        <v>6100</v>
      </c>
      <c r="L3386" t="s">
        <v>6100</v>
      </c>
      <c r="M3386" t="s">
        <v>6100</v>
      </c>
      <c r="O3386" t="s">
        <v>6101</v>
      </c>
      <c r="P3386" t="s">
        <v>6111</v>
      </c>
      <c r="Q3386">
        <v>5</v>
      </c>
      <c r="R3386">
        <v>2026</v>
      </c>
      <c r="S3386" t="s">
        <v>6100</v>
      </c>
      <c r="T3386">
        <v>0</v>
      </c>
      <c r="U3386" t="s">
        <v>6021</v>
      </c>
      <c r="V3386">
        <v>0</v>
      </c>
    </row>
    <row r="3387" spans="1:22" x14ac:dyDescent="0.3">
      <c r="A3387" t="s">
        <v>3402</v>
      </c>
      <c r="B3387" s="2">
        <v>46172.822222222225</v>
      </c>
      <c r="C3387" s="2">
        <v>46173.30972222222</v>
      </c>
      <c r="D3387" t="s">
        <v>6028</v>
      </c>
      <c r="E3387" t="s">
        <v>6031</v>
      </c>
      <c r="F3387" t="s">
        <v>6033</v>
      </c>
      <c r="G3387" t="s">
        <v>6079</v>
      </c>
      <c r="H3387" t="s">
        <v>6097</v>
      </c>
      <c r="I3387">
        <v>72</v>
      </c>
      <c r="J3387">
        <v>11.7</v>
      </c>
      <c r="K3387" t="s">
        <v>6099</v>
      </c>
      <c r="L3387" t="s">
        <v>6100</v>
      </c>
      <c r="M3387" t="s">
        <v>6100</v>
      </c>
      <c r="O3387" t="s">
        <v>6101</v>
      </c>
      <c r="P3387" t="s">
        <v>6111</v>
      </c>
      <c r="Q3387">
        <v>5</v>
      </c>
      <c r="R3387">
        <v>2026</v>
      </c>
      <c r="S3387" t="s">
        <v>6099</v>
      </c>
      <c r="T3387">
        <v>1</v>
      </c>
      <c r="U3387" t="s">
        <v>6020</v>
      </c>
      <c r="V3387">
        <v>1</v>
      </c>
    </row>
    <row r="3388" spans="1:22" x14ac:dyDescent="0.3">
      <c r="A3388" t="s">
        <v>3403</v>
      </c>
      <c r="B3388" s="2">
        <v>46172.824999999997</v>
      </c>
      <c r="C3388" s="2">
        <v>46173.679166666669</v>
      </c>
      <c r="D3388" t="s">
        <v>6022</v>
      </c>
      <c r="E3388" t="s">
        <v>6032</v>
      </c>
      <c r="F3388" t="s">
        <v>6035</v>
      </c>
      <c r="G3388" t="s">
        <v>6038</v>
      </c>
      <c r="H3388" t="s">
        <v>6096</v>
      </c>
      <c r="I3388">
        <v>4</v>
      </c>
      <c r="J3388">
        <v>20.5</v>
      </c>
      <c r="K3388" t="s">
        <v>6099</v>
      </c>
      <c r="L3388" t="s">
        <v>6100</v>
      </c>
      <c r="M3388" t="s">
        <v>6100</v>
      </c>
      <c r="N3388">
        <v>3</v>
      </c>
      <c r="O3388" t="s">
        <v>6101</v>
      </c>
      <c r="P3388" t="s">
        <v>6111</v>
      </c>
      <c r="Q3388">
        <v>5</v>
      </c>
      <c r="R3388">
        <v>2026</v>
      </c>
      <c r="S3388" t="s">
        <v>6100</v>
      </c>
      <c r="T3388">
        <v>0</v>
      </c>
      <c r="U3388" t="s">
        <v>6021</v>
      </c>
      <c r="V3388">
        <v>1</v>
      </c>
    </row>
    <row r="3389" spans="1:22" x14ac:dyDescent="0.3">
      <c r="A3389" t="s">
        <v>3404</v>
      </c>
      <c r="B3389" s="2">
        <v>46172.892361111109</v>
      </c>
      <c r="C3389" s="2">
        <v>46173.150694444441</v>
      </c>
      <c r="D3389" t="s">
        <v>6022</v>
      </c>
      <c r="E3389" t="s">
        <v>6030</v>
      </c>
      <c r="F3389" t="s">
        <v>6034</v>
      </c>
      <c r="G3389" t="s">
        <v>6052</v>
      </c>
      <c r="H3389" t="s">
        <v>6098</v>
      </c>
      <c r="I3389">
        <v>24</v>
      </c>
      <c r="J3389">
        <v>6.2</v>
      </c>
      <c r="K3389" t="s">
        <v>6100</v>
      </c>
      <c r="L3389" t="s">
        <v>6099</v>
      </c>
      <c r="M3389" t="s">
        <v>6100</v>
      </c>
      <c r="N3389">
        <v>3</v>
      </c>
      <c r="O3389" t="s">
        <v>6101</v>
      </c>
      <c r="P3389" t="s">
        <v>6111</v>
      </c>
      <c r="Q3389">
        <v>5</v>
      </c>
      <c r="R3389">
        <v>2026</v>
      </c>
      <c r="S3389" t="s">
        <v>6099</v>
      </c>
      <c r="T3389">
        <v>1</v>
      </c>
      <c r="U3389" t="s">
        <v>6020</v>
      </c>
      <c r="V3389">
        <v>0</v>
      </c>
    </row>
    <row r="3390" spans="1:22" x14ac:dyDescent="0.3">
      <c r="A3390" t="s">
        <v>3405</v>
      </c>
      <c r="B3390" s="2">
        <v>46173.304166666669</v>
      </c>
      <c r="C3390" s="2">
        <v>46177.15</v>
      </c>
      <c r="D3390" t="s">
        <v>6026</v>
      </c>
      <c r="E3390" t="s">
        <v>6031</v>
      </c>
      <c r="F3390" t="s">
        <v>6035</v>
      </c>
      <c r="G3390" t="s">
        <v>6062</v>
      </c>
      <c r="H3390" t="s">
        <v>6096</v>
      </c>
      <c r="I3390">
        <v>4</v>
      </c>
      <c r="J3390">
        <v>92.3</v>
      </c>
      <c r="K3390" t="s">
        <v>6099</v>
      </c>
      <c r="L3390" t="s">
        <v>6100</v>
      </c>
      <c r="M3390" t="s">
        <v>6100</v>
      </c>
      <c r="O3390" t="s">
        <v>6101</v>
      </c>
      <c r="P3390" t="s">
        <v>6111</v>
      </c>
      <c r="Q3390">
        <v>5</v>
      </c>
      <c r="R3390">
        <v>2026</v>
      </c>
      <c r="S3390" t="s">
        <v>6100</v>
      </c>
      <c r="T3390">
        <v>0</v>
      </c>
      <c r="U3390" t="s">
        <v>6018</v>
      </c>
      <c r="V3390">
        <v>1</v>
      </c>
    </row>
    <row r="3391" spans="1:22" x14ac:dyDescent="0.3">
      <c r="A3391" t="s">
        <v>3406</v>
      </c>
      <c r="B3391" s="2">
        <v>46173.3125</v>
      </c>
      <c r="C3391" s="2">
        <v>46173.512499999997</v>
      </c>
      <c r="D3391" t="s">
        <v>6023</v>
      </c>
      <c r="E3391" t="s">
        <v>6030</v>
      </c>
      <c r="F3391" t="s">
        <v>6034</v>
      </c>
      <c r="G3391" t="s">
        <v>6059</v>
      </c>
      <c r="H3391" t="s">
        <v>6097</v>
      </c>
      <c r="I3391">
        <v>24</v>
      </c>
      <c r="J3391">
        <v>4.8</v>
      </c>
      <c r="K3391" t="s">
        <v>6099</v>
      </c>
      <c r="L3391" t="s">
        <v>6100</v>
      </c>
      <c r="M3391" t="s">
        <v>6100</v>
      </c>
      <c r="N3391">
        <v>5</v>
      </c>
      <c r="O3391" t="s">
        <v>6101</v>
      </c>
      <c r="P3391" t="s">
        <v>6111</v>
      </c>
      <c r="Q3391">
        <v>5</v>
      </c>
      <c r="R3391">
        <v>2026</v>
      </c>
      <c r="S3391" t="s">
        <v>6099</v>
      </c>
      <c r="T3391">
        <v>1</v>
      </c>
      <c r="U3391" t="s">
        <v>6021</v>
      </c>
      <c r="V3391">
        <v>1</v>
      </c>
    </row>
    <row r="3392" spans="1:22" x14ac:dyDescent="0.3">
      <c r="A3392" t="s">
        <v>3407</v>
      </c>
      <c r="B3392" s="2">
        <v>46173.37777777778</v>
      </c>
      <c r="C3392" s="2">
        <v>46173.81527777778</v>
      </c>
      <c r="D3392" t="s">
        <v>6023</v>
      </c>
      <c r="E3392" t="s">
        <v>6030</v>
      </c>
      <c r="F3392" t="s">
        <v>6034</v>
      </c>
      <c r="G3392" t="s">
        <v>6041</v>
      </c>
      <c r="H3392" t="s">
        <v>6096</v>
      </c>
      <c r="I3392">
        <v>24</v>
      </c>
      <c r="J3392">
        <v>10.5</v>
      </c>
      <c r="K3392" t="s">
        <v>6099</v>
      </c>
      <c r="L3392" t="s">
        <v>6100</v>
      </c>
      <c r="M3392" t="s">
        <v>6100</v>
      </c>
      <c r="O3392" t="s">
        <v>6101</v>
      </c>
      <c r="P3392" t="s">
        <v>6111</v>
      </c>
      <c r="Q3392">
        <v>5</v>
      </c>
      <c r="R3392">
        <v>2026</v>
      </c>
      <c r="S3392" t="s">
        <v>6099</v>
      </c>
      <c r="T3392">
        <v>1</v>
      </c>
      <c r="U3392" t="s">
        <v>6017</v>
      </c>
      <c r="V3392">
        <v>1</v>
      </c>
    </row>
    <row r="3393" spans="1:22" x14ac:dyDescent="0.3">
      <c r="A3393" t="s">
        <v>3408</v>
      </c>
      <c r="B3393" s="2">
        <v>46173.408333333333</v>
      </c>
      <c r="C3393" s="2">
        <v>46174.75</v>
      </c>
      <c r="D3393" t="s">
        <v>6025</v>
      </c>
      <c r="E3393" t="s">
        <v>6030</v>
      </c>
      <c r="F3393" t="s">
        <v>6034</v>
      </c>
      <c r="G3393" t="s">
        <v>6072</v>
      </c>
      <c r="H3393" t="s">
        <v>6097</v>
      </c>
      <c r="I3393">
        <v>24</v>
      </c>
      <c r="J3393">
        <v>32.200000000000003</v>
      </c>
      <c r="K3393" t="s">
        <v>6099</v>
      </c>
      <c r="L3393" t="s">
        <v>6100</v>
      </c>
      <c r="M3393" t="s">
        <v>6100</v>
      </c>
      <c r="N3393">
        <v>3</v>
      </c>
      <c r="O3393" t="s">
        <v>6101</v>
      </c>
      <c r="P3393" t="s">
        <v>6111</v>
      </c>
      <c r="Q3393">
        <v>5</v>
      </c>
      <c r="R3393">
        <v>2026</v>
      </c>
      <c r="S3393" t="s">
        <v>6100</v>
      </c>
      <c r="T3393">
        <v>0</v>
      </c>
      <c r="U3393" t="s">
        <v>6020</v>
      </c>
      <c r="V3393">
        <v>1</v>
      </c>
    </row>
    <row r="3394" spans="1:22" x14ac:dyDescent="0.3">
      <c r="A3394" t="s">
        <v>3409</v>
      </c>
      <c r="B3394" s="2">
        <v>46173.478472222225</v>
      </c>
      <c r="C3394" s="2">
        <v>46173.615972222222</v>
      </c>
      <c r="D3394" t="s">
        <v>6022</v>
      </c>
      <c r="E3394" t="s">
        <v>6030</v>
      </c>
      <c r="F3394" t="s">
        <v>6034</v>
      </c>
      <c r="G3394" t="s">
        <v>6072</v>
      </c>
      <c r="H3394" t="s">
        <v>6097</v>
      </c>
      <c r="I3394">
        <v>24</v>
      </c>
      <c r="J3394">
        <v>3.3</v>
      </c>
      <c r="K3394" t="s">
        <v>6099</v>
      </c>
      <c r="L3394" t="s">
        <v>6100</v>
      </c>
      <c r="M3394" t="s">
        <v>6100</v>
      </c>
      <c r="N3394">
        <v>5</v>
      </c>
      <c r="O3394" t="s">
        <v>6101</v>
      </c>
      <c r="P3394" t="s">
        <v>6111</v>
      </c>
      <c r="Q3394">
        <v>5</v>
      </c>
      <c r="R3394">
        <v>2026</v>
      </c>
      <c r="S3394" t="s">
        <v>6099</v>
      </c>
      <c r="T3394">
        <v>1</v>
      </c>
      <c r="U3394" t="s">
        <v>6018</v>
      </c>
      <c r="V3394">
        <v>1</v>
      </c>
    </row>
    <row r="3395" spans="1:22" x14ac:dyDescent="0.3">
      <c r="A3395" t="s">
        <v>3410</v>
      </c>
      <c r="B3395" s="2">
        <v>46173.488194444442</v>
      </c>
      <c r="C3395" s="2">
        <v>46174.492361111108</v>
      </c>
      <c r="D3395" t="s">
        <v>6025</v>
      </c>
      <c r="E3395" t="s">
        <v>6029</v>
      </c>
      <c r="F3395" t="s">
        <v>6033</v>
      </c>
      <c r="G3395" t="s">
        <v>6082</v>
      </c>
      <c r="H3395" t="s">
        <v>6097</v>
      </c>
      <c r="I3395">
        <v>72</v>
      </c>
      <c r="J3395">
        <v>24.1</v>
      </c>
      <c r="K3395" t="s">
        <v>6099</v>
      </c>
      <c r="L3395" t="s">
        <v>6100</v>
      </c>
      <c r="M3395" t="s">
        <v>6100</v>
      </c>
      <c r="N3395">
        <v>5</v>
      </c>
      <c r="O3395" t="s">
        <v>6101</v>
      </c>
      <c r="P3395" t="s">
        <v>6111</v>
      </c>
      <c r="Q3395">
        <v>5</v>
      </c>
      <c r="R3395">
        <v>2026</v>
      </c>
      <c r="S3395" t="s">
        <v>6099</v>
      </c>
      <c r="T3395">
        <v>1</v>
      </c>
      <c r="U3395" t="s">
        <v>6020</v>
      </c>
      <c r="V3395">
        <v>1</v>
      </c>
    </row>
    <row r="3396" spans="1:22" x14ac:dyDescent="0.3">
      <c r="A3396" t="s">
        <v>3411</v>
      </c>
      <c r="B3396" s="2">
        <v>46173.540277777778</v>
      </c>
      <c r="C3396" s="2">
        <v>46174.319444444445</v>
      </c>
      <c r="D3396" t="s">
        <v>6022</v>
      </c>
      <c r="E3396" t="s">
        <v>6030</v>
      </c>
      <c r="F3396" t="s">
        <v>6034</v>
      </c>
      <c r="G3396" t="s">
        <v>6049</v>
      </c>
      <c r="H3396" t="s">
        <v>6097</v>
      </c>
      <c r="I3396">
        <v>24</v>
      </c>
      <c r="J3396">
        <v>18.7</v>
      </c>
      <c r="K3396" t="s">
        <v>6099</v>
      </c>
      <c r="L3396" t="s">
        <v>6100</v>
      </c>
      <c r="M3396" t="s">
        <v>6100</v>
      </c>
      <c r="N3396">
        <v>4</v>
      </c>
      <c r="O3396" t="s">
        <v>6101</v>
      </c>
      <c r="P3396" t="s">
        <v>6111</v>
      </c>
      <c r="Q3396">
        <v>5</v>
      </c>
      <c r="R3396">
        <v>2026</v>
      </c>
      <c r="S3396" t="s">
        <v>6099</v>
      </c>
      <c r="T3396">
        <v>1</v>
      </c>
      <c r="U3396" t="s">
        <v>6019</v>
      </c>
      <c r="V3396">
        <v>1</v>
      </c>
    </row>
    <row r="3397" spans="1:22" x14ac:dyDescent="0.3">
      <c r="A3397" t="s">
        <v>3412</v>
      </c>
      <c r="B3397" s="2">
        <v>46173.598611111112</v>
      </c>
      <c r="C3397" s="2">
        <v>46183.481944444444</v>
      </c>
      <c r="D3397" t="s">
        <v>6026</v>
      </c>
      <c r="E3397" t="s">
        <v>6031</v>
      </c>
      <c r="F3397" t="s">
        <v>6034</v>
      </c>
      <c r="G3397" t="s">
        <v>6037</v>
      </c>
      <c r="H3397" t="s">
        <v>6096</v>
      </c>
      <c r="I3397">
        <v>24</v>
      </c>
      <c r="J3397">
        <v>237.2</v>
      </c>
      <c r="K3397" t="s">
        <v>6100</v>
      </c>
      <c r="L3397" t="s">
        <v>6099</v>
      </c>
      <c r="M3397" t="s">
        <v>6100</v>
      </c>
      <c r="N3397">
        <v>3</v>
      </c>
      <c r="O3397" t="s">
        <v>6101</v>
      </c>
      <c r="P3397" t="s">
        <v>6111</v>
      </c>
      <c r="Q3397">
        <v>5</v>
      </c>
      <c r="R3397">
        <v>2026</v>
      </c>
      <c r="S3397" t="s">
        <v>6100</v>
      </c>
      <c r="T3397">
        <v>0</v>
      </c>
      <c r="U3397" t="s">
        <v>6020</v>
      </c>
      <c r="V3397">
        <v>0</v>
      </c>
    </row>
    <row r="3398" spans="1:22" x14ac:dyDescent="0.3">
      <c r="A3398" t="s">
        <v>3413</v>
      </c>
      <c r="B3398" s="2">
        <v>46173.603472222225</v>
      </c>
      <c r="C3398" s="2">
        <v>46174.032638888886</v>
      </c>
      <c r="D3398" t="s">
        <v>6022</v>
      </c>
      <c r="E3398" t="s">
        <v>6029</v>
      </c>
      <c r="F3398" t="s">
        <v>6035</v>
      </c>
      <c r="G3398" t="s">
        <v>6089</v>
      </c>
      <c r="H3398" t="s">
        <v>6098</v>
      </c>
      <c r="I3398">
        <v>4</v>
      </c>
      <c r="J3398">
        <v>10.3</v>
      </c>
      <c r="K3398" t="s">
        <v>6100</v>
      </c>
      <c r="L3398" t="s">
        <v>6100</v>
      </c>
      <c r="M3398" t="s">
        <v>6100</v>
      </c>
      <c r="N3398">
        <v>2</v>
      </c>
      <c r="O3398" t="s">
        <v>6101</v>
      </c>
      <c r="P3398" t="s">
        <v>6111</v>
      </c>
      <c r="Q3398">
        <v>5</v>
      </c>
      <c r="R3398">
        <v>2026</v>
      </c>
      <c r="S3398" t="s">
        <v>6100</v>
      </c>
      <c r="T3398">
        <v>0</v>
      </c>
      <c r="U3398" t="s">
        <v>6020</v>
      </c>
      <c r="V3398">
        <v>0</v>
      </c>
    </row>
    <row r="3399" spans="1:22" x14ac:dyDescent="0.3">
      <c r="A3399" t="s">
        <v>3414</v>
      </c>
      <c r="B3399" s="2">
        <v>46173.619444444441</v>
      </c>
      <c r="C3399" s="2">
        <v>46174.056944444441</v>
      </c>
      <c r="D3399" t="s">
        <v>6028</v>
      </c>
      <c r="E3399" t="s">
        <v>6029</v>
      </c>
      <c r="F3399" t="s">
        <v>6034</v>
      </c>
      <c r="G3399" t="s">
        <v>6046</v>
      </c>
      <c r="H3399" t="s">
        <v>6098</v>
      </c>
      <c r="I3399">
        <v>24</v>
      </c>
      <c r="J3399">
        <v>10.5</v>
      </c>
      <c r="K3399" t="s">
        <v>6099</v>
      </c>
      <c r="L3399" t="s">
        <v>6100</v>
      </c>
      <c r="M3399" t="s">
        <v>6100</v>
      </c>
      <c r="N3399">
        <v>5</v>
      </c>
      <c r="O3399" t="s">
        <v>6101</v>
      </c>
      <c r="P3399" t="s">
        <v>6111</v>
      </c>
      <c r="Q3399">
        <v>5</v>
      </c>
      <c r="R3399">
        <v>2026</v>
      </c>
      <c r="S3399" t="s">
        <v>6099</v>
      </c>
      <c r="T3399">
        <v>1</v>
      </c>
      <c r="U3399" t="s">
        <v>6018</v>
      </c>
      <c r="V3399">
        <v>1</v>
      </c>
    </row>
    <row r="3400" spans="1:22" x14ac:dyDescent="0.3">
      <c r="A3400" t="s">
        <v>3415</v>
      </c>
      <c r="B3400" s="2">
        <v>46173.644444444442</v>
      </c>
      <c r="C3400" s="2">
        <v>46174.365277777775</v>
      </c>
      <c r="D3400" t="s">
        <v>6024</v>
      </c>
      <c r="E3400" t="s">
        <v>6030</v>
      </c>
      <c r="F3400" t="s">
        <v>6033</v>
      </c>
      <c r="G3400" t="s">
        <v>6068</v>
      </c>
      <c r="H3400" t="s">
        <v>6098</v>
      </c>
      <c r="I3400">
        <v>72</v>
      </c>
      <c r="J3400">
        <v>17.3</v>
      </c>
      <c r="K3400" t="s">
        <v>6099</v>
      </c>
      <c r="L3400" t="s">
        <v>6100</v>
      </c>
      <c r="M3400" t="s">
        <v>6100</v>
      </c>
      <c r="N3400">
        <v>5</v>
      </c>
      <c r="O3400" t="s">
        <v>6101</v>
      </c>
      <c r="P3400" t="s">
        <v>6111</v>
      </c>
      <c r="Q3400">
        <v>5</v>
      </c>
      <c r="R3400">
        <v>2026</v>
      </c>
      <c r="S3400" t="s">
        <v>6099</v>
      </c>
      <c r="T3400">
        <v>1</v>
      </c>
      <c r="U3400" t="s">
        <v>6017</v>
      </c>
      <c r="V3400">
        <v>1</v>
      </c>
    </row>
    <row r="3401" spans="1:22" x14ac:dyDescent="0.3">
      <c r="A3401" t="s">
        <v>3416</v>
      </c>
      <c r="B3401" s="2">
        <v>46173.644444444442</v>
      </c>
      <c r="C3401" s="2">
        <v>46174.419444444444</v>
      </c>
      <c r="D3401" t="s">
        <v>6027</v>
      </c>
      <c r="E3401" t="s">
        <v>6029</v>
      </c>
      <c r="F3401" t="s">
        <v>6033</v>
      </c>
      <c r="G3401" t="s">
        <v>6068</v>
      </c>
      <c r="H3401" t="s">
        <v>6098</v>
      </c>
      <c r="I3401">
        <v>72</v>
      </c>
      <c r="J3401">
        <v>18.600000000000001</v>
      </c>
      <c r="K3401" t="s">
        <v>6100</v>
      </c>
      <c r="L3401" t="s">
        <v>6099</v>
      </c>
      <c r="M3401" t="s">
        <v>6099</v>
      </c>
      <c r="N3401">
        <v>2</v>
      </c>
      <c r="O3401" t="s">
        <v>6101</v>
      </c>
      <c r="P3401" t="s">
        <v>6111</v>
      </c>
      <c r="Q3401">
        <v>5</v>
      </c>
      <c r="R3401">
        <v>2026</v>
      </c>
      <c r="S3401" t="s">
        <v>6099</v>
      </c>
      <c r="T3401">
        <v>1</v>
      </c>
      <c r="U3401" t="s">
        <v>6019</v>
      </c>
      <c r="V3401">
        <v>0</v>
      </c>
    </row>
    <row r="3402" spans="1:22" x14ac:dyDescent="0.3">
      <c r="A3402" t="s">
        <v>3417</v>
      </c>
      <c r="B3402" s="2">
        <v>46173.645833333336</v>
      </c>
      <c r="C3402" s="2">
        <v>46175.816666666666</v>
      </c>
      <c r="D3402" t="s">
        <v>6026</v>
      </c>
      <c r="E3402" t="s">
        <v>6031</v>
      </c>
      <c r="F3402" t="s">
        <v>6034</v>
      </c>
      <c r="G3402" t="s">
        <v>6054</v>
      </c>
      <c r="H3402" t="s">
        <v>6096</v>
      </c>
      <c r="I3402">
        <v>24</v>
      </c>
      <c r="J3402">
        <v>52.1</v>
      </c>
      <c r="K3402" t="s">
        <v>6099</v>
      </c>
      <c r="L3402" t="s">
        <v>6100</v>
      </c>
      <c r="M3402" t="s">
        <v>6100</v>
      </c>
      <c r="O3402" t="s">
        <v>6101</v>
      </c>
      <c r="P3402" t="s">
        <v>6111</v>
      </c>
      <c r="Q3402">
        <v>5</v>
      </c>
      <c r="R3402">
        <v>2026</v>
      </c>
      <c r="S3402" t="s">
        <v>6100</v>
      </c>
      <c r="T3402">
        <v>0</v>
      </c>
      <c r="U3402" t="s">
        <v>6020</v>
      </c>
      <c r="V3402">
        <v>1</v>
      </c>
    </row>
    <row r="3403" spans="1:22" x14ac:dyDescent="0.3">
      <c r="A3403" t="s">
        <v>3418</v>
      </c>
      <c r="B3403" s="2">
        <v>46173.654166666667</v>
      </c>
      <c r="C3403" s="2">
        <v>46176.433333333334</v>
      </c>
      <c r="D3403" t="s">
        <v>6026</v>
      </c>
      <c r="E3403" t="s">
        <v>6031</v>
      </c>
      <c r="F3403" t="s">
        <v>6033</v>
      </c>
      <c r="G3403" t="s">
        <v>6049</v>
      </c>
      <c r="H3403" t="s">
        <v>6097</v>
      </c>
      <c r="I3403">
        <v>72</v>
      </c>
      <c r="J3403">
        <v>66.7</v>
      </c>
      <c r="K3403" t="s">
        <v>6099</v>
      </c>
      <c r="L3403" t="s">
        <v>6100</v>
      </c>
      <c r="M3403" t="s">
        <v>6100</v>
      </c>
      <c r="N3403">
        <v>4</v>
      </c>
      <c r="O3403" t="s">
        <v>6101</v>
      </c>
      <c r="P3403" t="s">
        <v>6111</v>
      </c>
      <c r="Q3403">
        <v>5</v>
      </c>
      <c r="R3403">
        <v>2026</v>
      </c>
      <c r="S3403" t="s">
        <v>6099</v>
      </c>
      <c r="T3403">
        <v>1</v>
      </c>
      <c r="U3403" t="s">
        <v>6021</v>
      </c>
      <c r="V3403">
        <v>1</v>
      </c>
    </row>
    <row r="3404" spans="1:22" x14ac:dyDescent="0.3">
      <c r="A3404" t="s">
        <v>3419</v>
      </c>
      <c r="B3404" s="2">
        <v>46173.674305555556</v>
      </c>
      <c r="C3404" s="2">
        <v>46173.790972222225</v>
      </c>
      <c r="D3404" t="s">
        <v>6023</v>
      </c>
      <c r="E3404" t="s">
        <v>6029</v>
      </c>
      <c r="F3404" t="s">
        <v>6034</v>
      </c>
      <c r="G3404" t="s">
        <v>6044</v>
      </c>
      <c r="H3404" t="s">
        <v>6097</v>
      </c>
      <c r="I3404">
        <v>24</v>
      </c>
      <c r="J3404">
        <v>2.8</v>
      </c>
      <c r="K3404" t="s">
        <v>6099</v>
      </c>
      <c r="L3404" t="s">
        <v>6100</v>
      </c>
      <c r="M3404" t="s">
        <v>6100</v>
      </c>
      <c r="O3404" t="s">
        <v>6101</v>
      </c>
      <c r="P3404" t="s">
        <v>6111</v>
      </c>
      <c r="Q3404">
        <v>5</v>
      </c>
      <c r="R3404">
        <v>2026</v>
      </c>
      <c r="S3404" t="s">
        <v>6099</v>
      </c>
      <c r="T3404">
        <v>1</v>
      </c>
      <c r="U3404" t="s">
        <v>6020</v>
      </c>
      <c r="V3404">
        <v>1</v>
      </c>
    </row>
    <row r="3405" spans="1:22" x14ac:dyDescent="0.3">
      <c r="A3405" t="s">
        <v>3420</v>
      </c>
      <c r="B3405" s="2">
        <v>46173.676388888889</v>
      </c>
      <c r="C3405" s="2">
        <v>46173.834722222222</v>
      </c>
      <c r="D3405" t="s">
        <v>6023</v>
      </c>
      <c r="E3405" t="s">
        <v>6030</v>
      </c>
      <c r="F3405" t="s">
        <v>6035</v>
      </c>
      <c r="G3405" t="s">
        <v>6089</v>
      </c>
      <c r="H3405" t="s">
        <v>6098</v>
      </c>
      <c r="I3405">
        <v>4</v>
      </c>
      <c r="J3405">
        <v>3.8</v>
      </c>
      <c r="K3405" t="s">
        <v>6099</v>
      </c>
      <c r="L3405" t="s">
        <v>6100</v>
      </c>
      <c r="M3405" t="s">
        <v>6100</v>
      </c>
      <c r="N3405">
        <v>4</v>
      </c>
      <c r="O3405" t="s">
        <v>6101</v>
      </c>
      <c r="P3405" t="s">
        <v>6111</v>
      </c>
      <c r="Q3405">
        <v>5</v>
      </c>
      <c r="R3405">
        <v>2026</v>
      </c>
      <c r="S3405" t="s">
        <v>6099</v>
      </c>
      <c r="T3405">
        <v>1</v>
      </c>
      <c r="U3405" t="s">
        <v>6021</v>
      </c>
      <c r="V3405">
        <v>1</v>
      </c>
    </row>
    <row r="3406" spans="1:22" x14ac:dyDescent="0.3">
      <c r="A3406" t="s">
        <v>3421</v>
      </c>
      <c r="B3406" s="2">
        <v>46173.698611111111</v>
      </c>
      <c r="C3406" s="2">
        <v>46176.436111111114</v>
      </c>
      <c r="D3406" t="s">
        <v>6026</v>
      </c>
      <c r="E3406" t="s">
        <v>6032</v>
      </c>
      <c r="F3406" t="s">
        <v>6033</v>
      </c>
      <c r="G3406" t="s">
        <v>6093</v>
      </c>
      <c r="H3406" t="s">
        <v>6097</v>
      </c>
      <c r="I3406">
        <v>72</v>
      </c>
      <c r="J3406">
        <v>65.7</v>
      </c>
      <c r="K3406" t="s">
        <v>6100</v>
      </c>
      <c r="L3406" t="s">
        <v>6099</v>
      </c>
      <c r="M3406" t="s">
        <v>6100</v>
      </c>
      <c r="O3406" t="s">
        <v>6101</v>
      </c>
      <c r="P3406" t="s">
        <v>6111</v>
      </c>
      <c r="Q3406">
        <v>5</v>
      </c>
      <c r="R3406">
        <v>2026</v>
      </c>
      <c r="S3406" t="s">
        <v>6099</v>
      </c>
      <c r="T3406">
        <v>1</v>
      </c>
      <c r="U3406" t="s">
        <v>6020</v>
      </c>
      <c r="V3406">
        <v>0</v>
      </c>
    </row>
    <row r="3407" spans="1:22" x14ac:dyDescent="0.3">
      <c r="A3407" t="s">
        <v>3422</v>
      </c>
      <c r="B3407" s="2">
        <v>46173.709027777775</v>
      </c>
      <c r="C3407" s="2">
        <v>46173.78402777778</v>
      </c>
      <c r="D3407" t="s">
        <v>6023</v>
      </c>
      <c r="E3407" t="s">
        <v>6030</v>
      </c>
      <c r="F3407" t="s">
        <v>6033</v>
      </c>
      <c r="G3407" t="s">
        <v>6081</v>
      </c>
      <c r="H3407" t="s">
        <v>6098</v>
      </c>
      <c r="I3407">
        <v>72</v>
      </c>
      <c r="J3407">
        <v>1.8</v>
      </c>
      <c r="K3407" t="s">
        <v>6100</v>
      </c>
      <c r="L3407" t="s">
        <v>6099</v>
      </c>
      <c r="M3407" t="s">
        <v>6100</v>
      </c>
      <c r="O3407" t="s">
        <v>6101</v>
      </c>
      <c r="P3407" t="s">
        <v>6111</v>
      </c>
      <c r="Q3407">
        <v>5</v>
      </c>
      <c r="R3407">
        <v>2026</v>
      </c>
      <c r="S3407" t="s">
        <v>6099</v>
      </c>
      <c r="T3407">
        <v>1</v>
      </c>
      <c r="U3407" t="s">
        <v>6018</v>
      </c>
      <c r="V3407">
        <v>0</v>
      </c>
    </row>
    <row r="3408" spans="1:22" x14ac:dyDescent="0.3">
      <c r="A3408" t="s">
        <v>3423</v>
      </c>
      <c r="B3408" s="2">
        <v>46173.711805555555</v>
      </c>
      <c r="C3408" s="2">
        <v>46174.503472222219</v>
      </c>
      <c r="D3408" t="s">
        <v>6023</v>
      </c>
      <c r="E3408" t="s">
        <v>6032</v>
      </c>
      <c r="F3408" t="s">
        <v>6034</v>
      </c>
      <c r="G3408" t="s">
        <v>6055</v>
      </c>
      <c r="H3408" t="s">
        <v>6096</v>
      </c>
      <c r="I3408">
        <v>24</v>
      </c>
      <c r="J3408">
        <v>19</v>
      </c>
      <c r="K3408" t="s">
        <v>6099</v>
      </c>
      <c r="L3408" t="s">
        <v>6100</v>
      </c>
      <c r="M3408" t="s">
        <v>6100</v>
      </c>
      <c r="O3408" t="s">
        <v>6101</v>
      </c>
      <c r="P3408" t="s">
        <v>6111</v>
      </c>
      <c r="Q3408">
        <v>5</v>
      </c>
      <c r="R3408">
        <v>2026</v>
      </c>
      <c r="S3408" t="s">
        <v>6099</v>
      </c>
      <c r="T3408">
        <v>1</v>
      </c>
      <c r="U3408" t="s">
        <v>6018</v>
      </c>
      <c r="V3408">
        <v>1</v>
      </c>
    </row>
    <row r="3409" spans="1:22" x14ac:dyDescent="0.3">
      <c r="A3409" t="s">
        <v>3424</v>
      </c>
      <c r="B3409" s="2">
        <v>46173.722916666666</v>
      </c>
      <c r="C3409" s="2">
        <v>46174.135416666664</v>
      </c>
      <c r="D3409" t="s">
        <v>6023</v>
      </c>
      <c r="E3409" t="s">
        <v>6029</v>
      </c>
      <c r="F3409" t="s">
        <v>6033</v>
      </c>
      <c r="G3409" t="s">
        <v>6058</v>
      </c>
      <c r="H3409" t="s">
        <v>6098</v>
      </c>
      <c r="I3409">
        <v>72</v>
      </c>
      <c r="J3409">
        <v>9.9</v>
      </c>
      <c r="K3409" t="s">
        <v>6100</v>
      </c>
      <c r="L3409" t="s">
        <v>6099</v>
      </c>
      <c r="M3409" t="s">
        <v>6100</v>
      </c>
      <c r="N3409">
        <v>4</v>
      </c>
      <c r="O3409" t="s">
        <v>6101</v>
      </c>
      <c r="P3409" t="s">
        <v>6111</v>
      </c>
      <c r="Q3409">
        <v>5</v>
      </c>
      <c r="R3409">
        <v>2026</v>
      </c>
      <c r="S3409" t="s">
        <v>6099</v>
      </c>
      <c r="T3409">
        <v>1</v>
      </c>
      <c r="U3409" t="s">
        <v>6021</v>
      </c>
      <c r="V3409">
        <v>0</v>
      </c>
    </row>
    <row r="3410" spans="1:22" x14ac:dyDescent="0.3">
      <c r="A3410" t="s">
        <v>3425</v>
      </c>
      <c r="B3410" s="2">
        <v>46173.804861111108</v>
      </c>
      <c r="C3410" s="2">
        <v>46174.463194444441</v>
      </c>
      <c r="D3410" t="s">
        <v>6023</v>
      </c>
      <c r="E3410" t="s">
        <v>6032</v>
      </c>
      <c r="F3410" t="s">
        <v>6034</v>
      </c>
      <c r="G3410" t="s">
        <v>6039</v>
      </c>
      <c r="H3410" t="s">
        <v>6097</v>
      </c>
      <c r="I3410">
        <v>24</v>
      </c>
      <c r="J3410">
        <v>15.8</v>
      </c>
      <c r="K3410" t="s">
        <v>6099</v>
      </c>
      <c r="L3410" t="s">
        <v>6100</v>
      </c>
      <c r="M3410" t="s">
        <v>6100</v>
      </c>
      <c r="N3410">
        <v>5</v>
      </c>
      <c r="O3410" t="s">
        <v>6101</v>
      </c>
      <c r="P3410" t="s">
        <v>6111</v>
      </c>
      <c r="Q3410">
        <v>5</v>
      </c>
      <c r="R3410">
        <v>2026</v>
      </c>
      <c r="S3410" t="s">
        <v>6099</v>
      </c>
      <c r="T3410">
        <v>1</v>
      </c>
      <c r="U3410" t="s">
        <v>6019</v>
      </c>
      <c r="V3410">
        <v>1</v>
      </c>
    </row>
    <row r="3411" spans="1:22" x14ac:dyDescent="0.3">
      <c r="A3411" t="s">
        <v>3426</v>
      </c>
      <c r="B3411" s="2">
        <v>46173.84097222222</v>
      </c>
      <c r="C3411" s="2">
        <v>46174.303472222222</v>
      </c>
      <c r="D3411" t="s">
        <v>6025</v>
      </c>
      <c r="E3411" t="s">
        <v>6030</v>
      </c>
      <c r="F3411" t="s">
        <v>6034</v>
      </c>
      <c r="G3411" t="s">
        <v>6082</v>
      </c>
      <c r="H3411" t="s">
        <v>6097</v>
      </c>
      <c r="I3411">
        <v>24</v>
      </c>
      <c r="J3411">
        <v>11.1</v>
      </c>
      <c r="K3411" t="s">
        <v>6099</v>
      </c>
      <c r="L3411" t="s">
        <v>6100</v>
      </c>
      <c r="M3411" t="s">
        <v>6100</v>
      </c>
      <c r="N3411">
        <v>5</v>
      </c>
      <c r="O3411" t="s">
        <v>6101</v>
      </c>
      <c r="P3411" t="s">
        <v>6111</v>
      </c>
      <c r="Q3411">
        <v>5</v>
      </c>
      <c r="R3411">
        <v>2026</v>
      </c>
      <c r="S3411" t="s">
        <v>6099</v>
      </c>
      <c r="T3411">
        <v>1</v>
      </c>
      <c r="U3411" t="s">
        <v>6018</v>
      </c>
      <c r="V3411">
        <v>1</v>
      </c>
    </row>
    <row r="3412" spans="1:22" x14ac:dyDescent="0.3">
      <c r="A3412" t="s">
        <v>3427</v>
      </c>
      <c r="B3412" s="2">
        <v>46173.87222222222</v>
      </c>
      <c r="C3412" s="2">
        <v>46174.630555555559</v>
      </c>
      <c r="D3412" t="s">
        <v>6028</v>
      </c>
      <c r="E3412" t="s">
        <v>6029</v>
      </c>
      <c r="F3412" t="s">
        <v>6035</v>
      </c>
      <c r="G3412" t="s">
        <v>6087</v>
      </c>
      <c r="H3412" t="s">
        <v>6098</v>
      </c>
      <c r="I3412">
        <v>4</v>
      </c>
      <c r="J3412">
        <v>18.2</v>
      </c>
      <c r="K3412" t="s">
        <v>6099</v>
      </c>
      <c r="L3412" t="s">
        <v>6100</v>
      </c>
      <c r="M3412" t="s">
        <v>6099</v>
      </c>
      <c r="N3412">
        <v>4</v>
      </c>
      <c r="O3412" t="s">
        <v>6101</v>
      </c>
      <c r="P3412" t="s">
        <v>6111</v>
      </c>
      <c r="Q3412">
        <v>5</v>
      </c>
      <c r="R3412">
        <v>2026</v>
      </c>
      <c r="S3412" t="s">
        <v>6100</v>
      </c>
      <c r="T3412">
        <v>0</v>
      </c>
      <c r="U3412" t="s">
        <v>6018</v>
      </c>
      <c r="V3412">
        <v>1</v>
      </c>
    </row>
    <row r="3413" spans="1:22" x14ac:dyDescent="0.3">
      <c r="A3413" t="s">
        <v>3428</v>
      </c>
      <c r="B3413" s="2">
        <v>46174.318749999999</v>
      </c>
      <c r="C3413" s="2">
        <v>46174.456250000003</v>
      </c>
      <c r="D3413" t="s">
        <v>6022</v>
      </c>
      <c r="E3413" t="s">
        <v>6030</v>
      </c>
      <c r="F3413" t="s">
        <v>6033</v>
      </c>
      <c r="G3413" t="s">
        <v>6077</v>
      </c>
      <c r="H3413" t="s">
        <v>6098</v>
      </c>
      <c r="I3413">
        <v>72</v>
      </c>
      <c r="J3413">
        <v>3.3</v>
      </c>
      <c r="K3413" t="s">
        <v>6099</v>
      </c>
      <c r="L3413" t="s">
        <v>6100</v>
      </c>
      <c r="M3413" t="s">
        <v>6100</v>
      </c>
      <c r="O3413" t="s">
        <v>6101</v>
      </c>
      <c r="P3413" t="s">
        <v>6112</v>
      </c>
      <c r="Q3413">
        <v>6</v>
      </c>
      <c r="R3413">
        <v>2026</v>
      </c>
      <c r="S3413" t="s">
        <v>6099</v>
      </c>
      <c r="T3413">
        <v>1</v>
      </c>
      <c r="U3413" t="s">
        <v>6021</v>
      </c>
      <c r="V3413">
        <v>1</v>
      </c>
    </row>
    <row r="3414" spans="1:22" x14ac:dyDescent="0.3">
      <c r="A3414" t="s">
        <v>3429</v>
      </c>
      <c r="B3414" s="2">
        <v>46174.379861111112</v>
      </c>
      <c r="C3414" s="2">
        <v>46176.571527777778</v>
      </c>
      <c r="D3414" t="s">
        <v>6023</v>
      </c>
      <c r="E3414" t="s">
        <v>6032</v>
      </c>
      <c r="F3414" t="s">
        <v>6034</v>
      </c>
      <c r="G3414" t="s">
        <v>6036</v>
      </c>
      <c r="H3414" t="s">
        <v>6096</v>
      </c>
      <c r="I3414">
        <v>24</v>
      </c>
      <c r="J3414">
        <v>52.6</v>
      </c>
      <c r="K3414" t="s">
        <v>6099</v>
      </c>
      <c r="L3414" t="s">
        <v>6100</v>
      </c>
      <c r="M3414" t="s">
        <v>6100</v>
      </c>
      <c r="O3414" t="s">
        <v>6101</v>
      </c>
      <c r="P3414" t="s">
        <v>6112</v>
      </c>
      <c r="Q3414">
        <v>6</v>
      </c>
      <c r="R3414">
        <v>2026</v>
      </c>
      <c r="S3414" t="s">
        <v>6100</v>
      </c>
      <c r="T3414">
        <v>0</v>
      </c>
      <c r="U3414" t="s">
        <v>6020</v>
      </c>
      <c r="V3414">
        <v>1</v>
      </c>
    </row>
    <row r="3415" spans="1:22" x14ac:dyDescent="0.3">
      <c r="A3415" t="s">
        <v>3430</v>
      </c>
      <c r="B3415" s="2">
        <v>46174.402777777781</v>
      </c>
      <c r="C3415" s="2">
        <v>46174.948611111111</v>
      </c>
      <c r="D3415" t="s">
        <v>6025</v>
      </c>
      <c r="E3415" t="s">
        <v>6029</v>
      </c>
      <c r="F3415" t="s">
        <v>6034</v>
      </c>
      <c r="G3415" t="s">
        <v>6042</v>
      </c>
      <c r="H3415" t="s">
        <v>6098</v>
      </c>
      <c r="I3415">
        <v>24</v>
      </c>
      <c r="J3415">
        <v>13.1</v>
      </c>
      <c r="K3415" t="s">
        <v>6099</v>
      </c>
      <c r="L3415" t="s">
        <v>6100</v>
      </c>
      <c r="M3415" t="s">
        <v>6100</v>
      </c>
      <c r="N3415">
        <v>5</v>
      </c>
      <c r="O3415" t="s">
        <v>6101</v>
      </c>
      <c r="P3415" t="s">
        <v>6112</v>
      </c>
      <c r="Q3415">
        <v>6</v>
      </c>
      <c r="R3415">
        <v>2026</v>
      </c>
      <c r="S3415" t="s">
        <v>6099</v>
      </c>
      <c r="T3415">
        <v>1</v>
      </c>
      <c r="U3415" t="s">
        <v>6019</v>
      </c>
      <c r="V3415">
        <v>1</v>
      </c>
    </row>
    <row r="3416" spans="1:22" x14ac:dyDescent="0.3">
      <c r="A3416" t="s">
        <v>3431</v>
      </c>
      <c r="B3416" s="2">
        <v>46174.427777777775</v>
      </c>
      <c r="C3416" s="2">
        <v>46174.661111111112</v>
      </c>
      <c r="D3416" t="s">
        <v>6024</v>
      </c>
      <c r="E3416" t="s">
        <v>6030</v>
      </c>
      <c r="F3416" t="s">
        <v>6033</v>
      </c>
      <c r="G3416" t="s">
        <v>6048</v>
      </c>
      <c r="H3416" t="s">
        <v>6096</v>
      </c>
      <c r="I3416">
        <v>72</v>
      </c>
      <c r="J3416">
        <v>5.6</v>
      </c>
      <c r="K3416" t="s">
        <v>6099</v>
      </c>
      <c r="L3416" t="s">
        <v>6100</v>
      </c>
      <c r="M3416" t="s">
        <v>6100</v>
      </c>
      <c r="O3416" t="s">
        <v>6101</v>
      </c>
      <c r="P3416" t="s">
        <v>6112</v>
      </c>
      <c r="Q3416">
        <v>6</v>
      </c>
      <c r="R3416">
        <v>2026</v>
      </c>
      <c r="S3416" t="s">
        <v>6099</v>
      </c>
      <c r="T3416">
        <v>1</v>
      </c>
      <c r="U3416" t="s">
        <v>6018</v>
      </c>
      <c r="V3416">
        <v>1</v>
      </c>
    </row>
    <row r="3417" spans="1:22" x14ac:dyDescent="0.3">
      <c r="A3417" t="s">
        <v>3432</v>
      </c>
      <c r="B3417" s="2">
        <v>46174.446527777778</v>
      </c>
      <c r="C3417" s="2">
        <v>46175.071527777778</v>
      </c>
      <c r="D3417" t="s">
        <v>6028</v>
      </c>
      <c r="E3417" t="s">
        <v>6029</v>
      </c>
      <c r="F3417" t="s">
        <v>6035</v>
      </c>
      <c r="G3417" t="s">
        <v>6089</v>
      </c>
      <c r="H3417" t="s">
        <v>6098</v>
      </c>
      <c r="I3417">
        <v>4</v>
      </c>
      <c r="J3417">
        <v>15</v>
      </c>
      <c r="K3417" t="s">
        <v>6099</v>
      </c>
      <c r="L3417" t="s">
        <v>6100</v>
      </c>
      <c r="M3417" t="s">
        <v>6100</v>
      </c>
      <c r="N3417">
        <v>5</v>
      </c>
      <c r="O3417" t="s">
        <v>6101</v>
      </c>
      <c r="P3417" t="s">
        <v>6112</v>
      </c>
      <c r="Q3417">
        <v>6</v>
      </c>
      <c r="R3417">
        <v>2026</v>
      </c>
      <c r="S3417" t="s">
        <v>6100</v>
      </c>
      <c r="T3417">
        <v>0</v>
      </c>
      <c r="U3417" t="s">
        <v>6019</v>
      </c>
      <c r="V3417">
        <v>1</v>
      </c>
    </row>
    <row r="3418" spans="1:22" x14ac:dyDescent="0.3">
      <c r="A3418" t="s">
        <v>3433</v>
      </c>
      <c r="B3418" s="2">
        <v>46174.456250000003</v>
      </c>
      <c r="C3418" s="2">
        <v>46175.131249999999</v>
      </c>
      <c r="D3418" t="s">
        <v>6024</v>
      </c>
      <c r="E3418" t="s">
        <v>6030</v>
      </c>
      <c r="F3418" t="s">
        <v>6033</v>
      </c>
      <c r="G3418" t="s">
        <v>6072</v>
      </c>
      <c r="H3418" t="s">
        <v>6097</v>
      </c>
      <c r="I3418">
        <v>72</v>
      </c>
      <c r="J3418">
        <v>16.2</v>
      </c>
      <c r="K3418" t="s">
        <v>6099</v>
      </c>
      <c r="L3418" t="s">
        <v>6100</v>
      </c>
      <c r="M3418" t="s">
        <v>6100</v>
      </c>
      <c r="N3418">
        <v>4</v>
      </c>
      <c r="O3418" t="s">
        <v>6101</v>
      </c>
      <c r="P3418" t="s">
        <v>6112</v>
      </c>
      <c r="Q3418">
        <v>6</v>
      </c>
      <c r="R3418">
        <v>2026</v>
      </c>
      <c r="S3418" t="s">
        <v>6099</v>
      </c>
      <c r="T3418">
        <v>1</v>
      </c>
      <c r="U3418" t="s">
        <v>6019</v>
      </c>
      <c r="V3418">
        <v>1</v>
      </c>
    </row>
    <row r="3419" spans="1:22" x14ac:dyDescent="0.3">
      <c r="A3419" t="s">
        <v>3434</v>
      </c>
      <c r="B3419" s="2">
        <v>46174.478472222225</v>
      </c>
      <c r="C3419" s="2">
        <v>46177.870138888888</v>
      </c>
      <c r="D3419" t="s">
        <v>6025</v>
      </c>
      <c r="E3419" t="s">
        <v>6031</v>
      </c>
      <c r="F3419" t="s">
        <v>6033</v>
      </c>
      <c r="G3419" t="s">
        <v>6081</v>
      </c>
      <c r="H3419" t="s">
        <v>6098</v>
      </c>
      <c r="I3419">
        <v>72</v>
      </c>
      <c r="J3419">
        <v>81.400000000000006</v>
      </c>
      <c r="K3419" t="s">
        <v>6100</v>
      </c>
      <c r="L3419" t="s">
        <v>6099</v>
      </c>
      <c r="M3419" t="s">
        <v>6100</v>
      </c>
      <c r="O3419" t="s">
        <v>6101</v>
      </c>
      <c r="P3419" t="s">
        <v>6112</v>
      </c>
      <c r="Q3419">
        <v>6</v>
      </c>
      <c r="R3419">
        <v>2026</v>
      </c>
      <c r="S3419" t="s">
        <v>6100</v>
      </c>
      <c r="T3419">
        <v>0</v>
      </c>
      <c r="U3419" t="s">
        <v>6018</v>
      </c>
      <c r="V3419">
        <v>0</v>
      </c>
    </row>
    <row r="3420" spans="1:22" x14ac:dyDescent="0.3">
      <c r="A3420" t="s">
        <v>3435</v>
      </c>
      <c r="B3420" s="2">
        <v>46174.488888888889</v>
      </c>
      <c r="C3420" s="2">
        <v>46175.168055555558</v>
      </c>
      <c r="D3420" t="s">
        <v>6023</v>
      </c>
      <c r="E3420" t="s">
        <v>6030</v>
      </c>
      <c r="F3420" t="s">
        <v>6033</v>
      </c>
      <c r="G3420" t="s">
        <v>6068</v>
      </c>
      <c r="H3420" t="s">
        <v>6098</v>
      </c>
      <c r="I3420">
        <v>72</v>
      </c>
      <c r="J3420">
        <v>16.3</v>
      </c>
      <c r="K3420" t="s">
        <v>6099</v>
      </c>
      <c r="L3420" t="s">
        <v>6100</v>
      </c>
      <c r="M3420" t="s">
        <v>6100</v>
      </c>
      <c r="N3420">
        <v>5</v>
      </c>
      <c r="O3420" t="s">
        <v>6101</v>
      </c>
      <c r="P3420" t="s">
        <v>6112</v>
      </c>
      <c r="Q3420">
        <v>6</v>
      </c>
      <c r="R3420">
        <v>2026</v>
      </c>
      <c r="S3420" t="s">
        <v>6099</v>
      </c>
      <c r="T3420">
        <v>1</v>
      </c>
      <c r="U3420" t="s">
        <v>6018</v>
      </c>
      <c r="V3420">
        <v>1</v>
      </c>
    </row>
    <row r="3421" spans="1:22" x14ac:dyDescent="0.3">
      <c r="A3421" t="s">
        <v>3436</v>
      </c>
      <c r="B3421" s="2">
        <v>46174.566666666666</v>
      </c>
      <c r="C3421" s="2">
        <v>46177.216666666667</v>
      </c>
      <c r="D3421" t="s">
        <v>6022</v>
      </c>
      <c r="E3421" t="s">
        <v>6031</v>
      </c>
      <c r="F3421" t="s">
        <v>6034</v>
      </c>
      <c r="G3421" t="s">
        <v>6061</v>
      </c>
      <c r="H3421" t="s">
        <v>6096</v>
      </c>
      <c r="I3421">
        <v>24</v>
      </c>
      <c r="J3421">
        <v>63.6</v>
      </c>
      <c r="K3421" t="s">
        <v>6100</v>
      </c>
      <c r="L3421" t="s">
        <v>6100</v>
      </c>
      <c r="M3421" t="s">
        <v>6100</v>
      </c>
      <c r="N3421">
        <v>4</v>
      </c>
      <c r="O3421" t="s">
        <v>6101</v>
      </c>
      <c r="P3421" t="s">
        <v>6112</v>
      </c>
      <c r="Q3421">
        <v>6</v>
      </c>
      <c r="R3421">
        <v>2026</v>
      </c>
      <c r="S3421" t="s">
        <v>6100</v>
      </c>
      <c r="T3421">
        <v>0</v>
      </c>
      <c r="U3421" t="s">
        <v>6019</v>
      </c>
      <c r="V3421">
        <v>0</v>
      </c>
    </row>
    <row r="3422" spans="1:22" x14ac:dyDescent="0.3">
      <c r="A3422" t="s">
        <v>3437</v>
      </c>
      <c r="B3422" s="2">
        <v>46174.584027777775</v>
      </c>
      <c r="C3422" s="2">
        <v>46174.888194444444</v>
      </c>
      <c r="D3422" t="s">
        <v>6024</v>
      </c>
      <c r="E3422" t="s">
        <v>6029</v>
      </c>
      <c r="F3422" t="s">
        <v>6034</v>
      </c>
      <c r="G3422" t="s">
        <v>6066</v>
      </c>
      <c r="H3422" t="s">
        <v>6096</v>
      </c>
      <c r="I3422">
        <v>24</v>
      </c>
      <c r="J3422">
        <v>7.3</v>
      </c>
      <c r="K3422" t="s">
        <v>6099</v>
      </c>
      <c r="L3422" t="s">
        <v>6100</v>
      </c>
      <c r="M3422" t="s">
        <v>6100</v>
      </c>
      <c r="O3422" t="s">
        <v>6101</v>
      </c>
      <c r="P3422" t="s">
        <v>6112</v>
      </c>
      <c r="Q3422">
        <v>6</v>
      </c>
      <c r="R3422">
        <v>2026</v>
      </c>
      <c r="S3422" t="s">
        <v>6099</v>
      </c>
      <c r="T3422">
        <v>1</v>
      </c>
      <c r="U3422" t="s">
        <v>6018</v>
      </c>
      <c r="V3422">
        <v>1</v>
      </c>
    </row>
    <row r="3423" spans="1:22" x14ac:dyDescent="0.3">
      <c r="A3423" t="s">
        <v>3438</v>
      </c>
      <c r="B3423" s="2">
        <v>46174.588194444441</v>
      </c>
      <c r="C3423" s="2">
        <v>46175.054861111108</v>
      </c>
      <c r="D3423" t="s">
        <v>6027</v>
      </c>
      <c r="E3423" t="s">
        <v>6029</v>
      </c>
      <c r="F3423" t="s">
        <v>6034</v>
      </c>
      <c r="G3423" t="s">
        <v>6091</v>
      </c>
      <c r="H3423" t="s">
        <v>6097</v>
      </c>
      <c r="I3423">
        <v>24</v>
      </c>
      <c r="J3423">
        <v>11.2</v>
      </c>
      <c r="K3423" t="s">
        <v>6099</v>
      </c>
      <c r="L3423" t="s">
        <v>6100</v>
      </c>
      <c r="M3423" t="s">
        <v>6100</v>
      </c>
      <c r="N3423">
        <v>4</v>
      </c>
      <c r="O3423" t="s">
        <v>6101</v>
      </c>
      <c r="P3423" t="s">
        <v>6112</v>
      </c>
      <c r="Q3423">
        <v>6</v>
      </c>
      <c r="R3423">
        <v>2026</v>
      </c>
      <c r="S3423" t="s">
        <v>6099</v>
      </c>
      <c r="T3423">
        <v>1</v>
      </c>
      <c r="U3423" t="s">
        <v>6019</v>
      </c>
      <c r="V3423">
        <v>1</v>
      </c>
    </row>
    <row r="3424" spans="1:22" x14ac:dyDescent="0.3">
      <c r="A3424" t="s">
        <v>3439</v>
      </c>
      <c r="B3424" s="2">
        <v>46174.62222222222</v>
      </c>
      <c r="C3424" s="2">
        <v>46175.368055555555</v>
      </c>
      <c r="D3424" t="s">
        <v>6023</v>
      </c>
      <c r="E3424" t="s">
        <v>6032</v>
      </c>
      <c r="F3424" t="s">
        <v>6034</v>
      </c>
      <c r="G3424" t="s">
        <v>6090</v>
      </c>
      <c r="H3424" t="s">
        <v>6097</v>
      </c>
      <c r="I3424">
        <v>24</v>
      </c>
      <c r="J3424">
        <v>17.899999999999999</v>
      </c>
      <c r="K3424" t="s">
        <v>6099</v>
      </c>
      <c r="L3424" t="s">
        <v>6100</v>
      </c>
      <c r="M3424" t="s">
        <v>6100</v>
      </c>
      <c r="N3424">
        <v>5</v>
      </c>
      <c r="O3424" t="s">
        <v>6101</v>
      </c>
      <c r="P3424" t="s">
        <v>6112</v>
      </c>
      <c r="Q3424">
        <v>6</v>
      </c>
      <c r="R3424">
        <v>2026</v>
      </c>
      <c r="S3424" t="s">
        <v>6099</v>
      </c>
      <c r="T3424">
        <v>1</v>
      </c>
      <c r="U3424" t="s">
        <v>6017</v>
      </c>
      <c r="V3424">
        <v>1</v>
      </c>
    </row>
    <row r="3425" spans="1:22" x14ac:dyDescent="0.3">
      <c r="A3425" t="s">
        <v>3440</v>
      </c>
      <c r="B3425" s="2">
        <v>46174.713194444441</v>
      </c>
      <c r="C3425" s="2">
        <v>46174.959027777775</v>
      </c>
      <c r="D3425" t="s">
        <v>6027</v>
      </c>
      <c r="E3425" t="s">
        <v>6029</v>
      </c>
      <c r="F3425" t="s">
        <v>6033</v>
      </c>
      <c r="G3425" t="s">
        <v>6053</v>
      </c>
      <c r="H3425" t="s">
        <v>6097</v>
      </c>
      <c r="I3425">
        <v>72</v>
      </c>
      <c r="J3425">
        <v>5.9</v>
      </c>
      <c r="K3425" t="s">
        <v>6099</v>
      </c>
      <c r="L3425" t="s">
        <v>6100</v>
      </c>
      <c r="M3425" t="s">
        <v>6100</v>
      </c>
      <c r="N3425">
        <v>4</v>
      </c>
      <c r="O3425" t="s">
        <v>6101</v>
      </c>
      <c r="P3425" t="s">
        <v>6112</v>
      </c>
      <c r="Q3425">
        <v>6</v>
      </c>
      <c r="R3425">
        <v>2026</v>
      </c>
      <c r="S3425" t="s">
        <v>6099</v>
      </c>
      <c r="T3425">
        <v>1</v>
      </c>
      <c r="U3425" t="s">
        <v>6021</v>
      </c>
      <c r="V3425">
        <v>1</v>
      </c>
    </row>
    <row r="3426" spans="1:22" x14ac:dyDescent="0.3">
      <c r="A3426" t="s">
        <v>3441</v>
      </c>
      <c r="B3426" s="2">
        <v>46174.718055555553</v>
      </c>
      <c r="C3426" s="2">
        <v>46175.947222222225</v>
      </c>
      <c r="D3426" t="s">
        <v>6022</v>
      </c>
      <c r="E3426" t="s">
        <v>6030</v>
      </c>
      <c r="F3426" t="s">
        <v>6033</v>
      </c>
      <c r="G3426" t="s">
        <v>6062</v>
      </c>
      <c r="H3426" t="s">
        <v>6096</v>
      </c>
      <c r="I3426">
        <v>72</v>
      </c>
      <c r="J3426">
        <v>29.5</v>
      </c>
      <c r="K3426" t="s">
        <v>6100</v>
      </c>
      <c r="L3426" t="s">
        <v>6100</v>
      </c>
      <c r="M3426" t="s">
        <v>6100</v>
      </c>
      <c r="N3426">
        <v>4</v>
      </c>
      <c r="O3426" t="s">
        <v>6101</v>
      </c>
      <c r="P3426" t="s">
        <v>6112</v>
      </c>
      <c r="Q3426">
        <v>6</v>
      </c>
      <c r="R3426">
        <v>2026</v>
      </c>
      <c r="S3426" t="s">
        <v>6099</v>
      </c>
      <c r="T3426">
        <v>1</v>
      </c>
      <c r="U3426" t="s">
        <v>6020</v>
      </c>
      <c r="V3426">
        <v>0</v>
      </c>
    </row>
    <row r="3427" spans="1:22" x14ac:dyDescent="0.3">
      <c r="A3427" t="s">
        <v>3442</v>
      </c>
      <c r="B3427" s="2">
        <v>46175.319444444445</v>
      </c>
      <c r="C3427" s="2">
        <v>46175.923611111109</v>
      </c>
      <c r="D3427" t="s">
        <v>6028</v>
      </c>
      <c r="E3427" t="s">
        <v>6031</v>
      </c>
      <c r="F3427" t="s">
        <v>6034</v>
      </c>
      <c r="G3427" t="s">
        <v>6074</v>
      </c>
      <c r="H3427" t="s">
        <v>6098</v>
      </c>
      <c r="I3427">
        <v>24</v>
      </c>
      <c r="J3427">
        <v>14.5</v>
      </c>
      <c r="K3427" t="s">
        <v>6099</v>
      </c>
      <c r="L3427" t="s">
        <v>6100</v>
      </c>
      <c r="M3427" t="s">
        <v>6100</v>
      </c>
      <c r="N3427">
        <v>5</v>
      </c>
      <c r="O3427" t="s">
        <v>6101</v>
      </c>
      <c r="P3427" t="s">
        <v>6112</v>
      </c>
      <c r="Q3427">
        <v>6</v>
      </c>
      <c r="R3427">
        <v>2026</v>
      </c>
      <c r="S3427" t="s">
        <v>6099</v>
      </c>
      <c r="T3427">
        <v>1</v>
      </c>
      <c r="U3427" t="s">
        <v>6020</v>
      </c>
      <c r="V3427">
        <v>1</v>
      </c>
    </row>
    <row r="3428" spans="1:22" x14ac:dyDescent="0.3">
      <c r="A3428" t="s">
        <v>3443</v>
      </c>
      <c r="B3428" s="2">
        <v>46175.348611111112</v>
      </c>
      <c r="C3428" s="2">
        <v>46176.173611111109</v>
      </c>
      <c r="D3428" t="s">
        <v>6028</v>
      </c>
      <c r="E3428" t="s">
        <v>6031</v>
      </c>
      <c r="F3428" t="s">
        <v>6034</v>
      </c>
      <c r="G3428" t="s">
        <v>6073</v>
      </c>
      <c r="H3428" t="s">
        <v>6096</v>
      </c>
      <c r="I3428">
        <v>24</v>
      </c>
      <c r="J3428">
        <v>19.8</v>
      </c>
      <c r="K3428" t="s">
        <v>6100</v>
      </c>
      <c r="L3428" t="s">
        <v>6099</v>
      </c>
      <c r="M3428" t="s">
        <v>6100</v>
      </c>
      <c r="N3428">
        <v>3</v>
      </c>
      <c r="O3428" t="s">
        <v>6101</v>
      </c>
      <c r="P3428" t="s">
        <v>6112</v>
      </c>
      <c r="Q3428">
        <v>6</v>
      </c>
      <c r="R3428">
        <v>2026</v>
      </c>
      <c r="S3428" t="s">
        <v>6099</v>
      </c>
      <c r="T3428">
        <v>1</v>
      </c>
      <c r="U3428" t="s">
        <v>6020</v>
      </c>
      <c r="V3428">
        <v>0</v>
      </c>
    </row>
    <row r="3429" spans="1:22" x14ac:dyDescent="0.3">
      <c r="A3429" t="s">
        <v>3444</v>
      </c>
      <c r="B3429" s="2">
        <v>46175.397916666669</v>
      </c>
      <c r="C3429" s="2">
        <v>46176.072916666664</v>
      </c>
      <c r="D3429" t="s">
        <v>6025</v>
      </c>
      <c r="E3429" t="s">
        <v>6029</v>
      </c>
      <c r="F3429" t="s">
        <v>6033</v>
      </c>
      <c r="G3429" t="s">
        <v>6053</v>
      </c>
      <c r="H3429" t="s">
        <v>6097</v>
      </c>
      <c r="I3429">
        <v>72</v>
      </c>
      <c r="J3429">
        <v>16.2</v>
      </c>
      <c r="K3429" t="s">
        <v>6099</v>
      </c>
      <c r="L3429" t="s">
        <v>6100</v>
      </c>
      <c r="M3429" t="s">
        <v>6100</v>
      </c>
      <c r="O3429" t="s">
        <v>6101</v>
      </c>
      <c r="P3429" t="s">
        <v>6112</v>
      </c>
      <c r="Q3429">
        <v>6</v>
      </c>
      <c r="R3429">
        <v>2026</v>
      </c>
      <c r="S3429" t="s">
        <v>6099</v>
      </c>
      <c r="T3429">
        <v>1</v>
      </c>
      <c r="U3429" t="s">
        <v>6019</v>
      </c>
      <c r="V3429">
        <v>1</v>
      </c>
    </row>
    <row r="3430" spans="1:22" x14ac:dyDescent="0.3">
      <c r="A3430" t="s">
        <v>3445</v>
      </c>
      <c r="B3430" s="2">
        <v>46175.417361111111</v>
      </c>
      <c r="C3430" s="2">
        <v>46175.771527777775</v>
      </c>
      <c r="D3430" t="s">
        <v>6023</v>
      </c>
      <c r="E3430" t="s">
        <v>6030</v>
      </c>
      <c r="F3430" t="s">
        <v>6034</v>
      </c>
      <c r="G3430" t="s">
        <v>6086</v>
      </c>
      <c r="H3430" t="s">
        <v>6098</v>
      </c>
      <c r="I3430">
        <v>24</v>
      </c>
      <c r="J3430">
        <v>8.5</v>
      </c>
      <c r="K3430" t="s">
        <v>6100</v>
      </c>
      <c r="L3430" t="s">
        <v>6099</v>
      </c>
      <c r="M3430" t="s">
        <v>6100</v>
      </c>
      <c r="O3430" t="s">
        <v>6101</v>
      </c>
      <c r="P3430" t="s">
        <v>6112</v>
      </c>
      <c r="Q3430">
        <v>6</v>
      </c>
      <c r="R3430">
        <v>2026</v>
      </c>
      <c r="S3430" t="s">
        <v>6099</v>
      </c>
      <c r="T3430">
        <v>1</v>
      </c>
      <c r="U3430" t="s">
        <v>6018</v>
      </c>
      <c r="V3430">
        <v>0</v>
      </c>
    </row>
    <row r="3431" spans="1:22" x14ac:dyDescent="0.3">
      <c r="A3431" t="s">
        <v>3446</v>
      </c>
      <c r="B3431" s="2">
        <v>46175.418055555558</v>
      </c>
      <c r="C3431" s="2">
        <v>46176.143055555556</v>
      </c>
      <c r="D3431" t="s">
        <v>6027</v>
      </c>
      <c r="E3431" t="s">
        <v>6029</v>
      </c>
      <c r="F3431" t="s">
        <v>6034</v>
      </c>
      <c r="G3431" t="s">
        <v>6063</v>
      </c>
      <c r="H3431" t="s">
        <v>6097</v>
      </c>
      <c r="I3431">
        <v>24</v>
      </c>
      <c r="J3431">
        <v>17.399999999999999</v>
      </c>
      <c r="K3431" t="s">
        <v>6099</v>
      </c>
      <c r="L3431" t="s">
        <v>6100</v>
      </c>
      <c r="M3431" t="s">
        <v>6100</v>
      </c>
      <c r="N3431">
        <v>5</v>
      </c>
      <c r="O3431" t="s">
        <v>6101</v>
      </c>
      <c r="P3431" t="s">
        <v>6112</v>
      </c>
      <c r="Q3431">
        <v>6</v>
      </c>
      <c r="R3431">
        <v>2026</v>
      </c>
      <c r="S3431" t="s">
        <v>6099</v>
      </c>
      <c r="T3431">
        <v>1</v>
      </c>
      <c r="U3431" t="s">
        <v>6019</v>
      </c>
      <c r="V3431">
        <v>1</v>
      </c>
    </row>
    <row r="3432" spans="1:22" x14ac:dyDescent="0.3">
      <c r="A3432" t="s">
        <v>3447</v>
      </c>
      <c r="B3432" s="2">
        <v>46175.420138888891</v>
      </c>
      <c r="C3432" s="2">
        <v>46175.682638888888</v>
      </c>
      <c r="D3432" t="s">
        <v>6028</v>
      </c>
      <c r="E3432" t="s">
        <v>6030</v>
      </c>
      <c r="F3432" t="s">
        <v>6035</v>
      </c>
      <c r="G3432" t="s">
        <v>6076</v>
      </c>
      <c r="H3432" t="s">
        <v>6097</v>
      </c>
      <c r="I3432">
        <v>4</v>
      </c>
      <c r="J3432">
        <v>6.3</v>
      </c>
      <c r="K3432" t="s">
        <v>6100</v>
      </c>
      <c r="L3432" t="s">
        <v>6099</v>
      </c>
      <c r="M3432" t="s">
        <v>6100</v>
      </c>
      <c r="O3432" t="s">
        <v>6101</v>
      </c>
      <c r="P3432" t="s">
        <v>6112</v>
      </c>
      <c r="Q3432">
        <v>6</v>
      </c>
      <c r="R3432">
        <v>2026</v>
      </c>
      <c r="S3432" t="s">
        <v>6100</v>
      </c>
      <c r="T3432">
        <v>0</v>
      </c>
      <c r="U3432" t="s">
        <v>6019</v>
      </c>
      <c r="V3432">
        <v>0</v>
      </c>
    </row>
    <row r="3433" spans="1:22" x14ac:dyDescent="0.3">
      <c r="A3433" t="s">
        <v>3448</v>
      </c>
      <c r="B3433" s="2">
        <v>46175.477777777778</v>
      </c>
      <c r="C3433" s="2">
        <v>46175.748611111114</v>
      </c>
      <c r="D3433" t="s">
        <v>6023</v>
      </c>
      <c r="E3433" t="s">
        <v>6029</v>
      </c>
      <c r="F3433" t="s">
        <v>6033</v>
      </c>
      <c r="G3433" t="s">
        <v>6071</v>
      </c>
      <c r="H3433" t="s">
        <v>6098</v>
      </c>
      <c r="I3433">
        <v>72</v>
      </c>
      <c r="J3433">
        <v>6.5</v>
      </c>
      <c r="K3433" t="s">
        <v>6099</v>
      </c>
      <c r="L3433" t="s">
        <v>6100</v>
      </c>
      <c r="M3433" t="s">
        <v>6100</v>
      </c>
      <c r="N3433">
        <v>5</v>
      </c>
      <c r="O3433" t="s">
        <v>6101</v>
      </c>
      <c r="P3433" t="s">
        <v>6112</v>
      </c>
      <c r="Q3433">
        <v>6</v>
      </c>
      <c r="R3433">
        <v>2026</v>
      </c>
      <c r="S3433" t="s">
        <v>6099</v>
      </c>
      <c r="T3433">
        <v>1</v>
      </c>
      <c r="U3433" t="s">
        <v>6021</v>
      </c>
      <c r="V3433">
        <v>1</v>
      </c>
    </row>
    <row r="3434" spans="1:22" x14ac:dyDescent="0.3">
      <c r="A3434" t="s">
        <v>3449</v>
      </c>
      <c r="B3434" s="2">
        <v>46175.480555555558</v>
      </c>
      <c r="C3434" s="2">
        <v>46175.688888888886</v>
      </c>
      <c r="D3434" t="s">
        <v>6024</v>
      </c>
      <c r="E3434" t="s">
        <v>6029</v>
      </c>
      <c r="F3434" t="s">
        <v>6033</v>
      </c>
      <c r="G3434" t="s">
        <v>6039</v>
      </c>
      <c r="H3434" t="s">
        <v>6097</v>
      </c>
      <c r="I3434">
        <v>72</v>
      </c>
      <c r="J3434">
        <v>5</v>
      </c>
      <c r="K3434" t="s">
        <v>6099</v>
      </c>
      <c r="L3434" t="s">
        <v>6100</v>
      </c>
      <c r="M3434" t="s">
        <v>6100</v>
      </c>
      <c r="N3434">
        <v>3</v>
      </c>
      <c r="O3434" t="s">
        <v>6101</v>
      </c>
      <c r="P3434" t="s">
        <v>6112</v>
      </c>
      <c r="Q3434">
        <v>6</v>
      </c>
      <c r="R3434">
        <v>2026</v>
      </c>
      <c r="S3434" t="s">
        <v>6099</v>
      </c>
      <c r="T3434">
        <v>1</v>
      </c>
      <c r="U3434" t="s">
        <v>6020</v>
      </c>
      <c r="V3434">
        <v>1</v>
      </c>
    </row>
    <row r="3435" spans="1:22" x14ac:dyDescent="0.3">
      <c r="A3435" t="s">
        <v>3450</v>
      </c>
      <c r="B3435" s="2">
        <v>46175.508333333331</v>
      </c>
      <c r="C3435" s="2">
        <v>46175.695833333331</v>
      </c>
      <c r="D3435" t="s">
        <v>6025</v>
      </c>
      <c r="E3435" t="s">
        <v>6030</v>
      </c>
      <c r="F3435" t="s">
        <v>6034</v>
      </c>
      <c r="G3435" t="s">
        <v>6070</v>
      </c>
      <c r="H3435" t="s">
        <v>6097</v>
      </c>
      <c r="I3435">
        <v>24</v>
      </c>
      <c r="J3435">
        <v>4.5</v>
      </c>
      <c r="K3435" t="s">
        <v>6099</v>
      </c>
      <c r="L3435" t="s">
        <v>6100</v>
      </c>
      <c r="M3435" t="s">
        <v>6100</v>
      </c>
      <c r="N3435">
        <v>4</v>
      </c>
      <c r="O3435" t="s">
        <v>6101</v>
      </c>
      <c r="P3435" t="s">
        <v>6112</v>
      </c>
      <c r="Q3435">
        <v>6</v>
      </c>
      <c r="R3435">
        <v>2026</v>
      </c>
      <c r="S3435" t="s">
        <v>6099</v>
      </c>
      <c r="T3435">
        <v>1</v>
      </c>
      <c r="U3435" t="s">
        <v>6021</v>
      </c>
      <c r="V3435">
        <v>1</v>
      </c>
    </row>
    <row r="3436" spans="1:22" x14ac:dyDescent="0.3">
      <c r="A3436" t="s">
        <v>3451</v>
      </c>
      <c r="B3436" s="2">
        <v>46175.515972222223</v>
      </c>
      <c r="C3436" s="2">
        <v>46175.803472222222</v>
      </c>
      <c r="D3436" t="s">
        <v>6023</v>
      </c>
      <c r="E3436" t="s">
        <v>6029</v>
      </c>
      <c r="F3436" t="s">
        <v>6034</v>
      </c>
      <c r="G3436" t="s">
        <v>6090</v>
      </c>
      <c r="H3436" t="s">
        <v>6097</v>
      </c>
      <c r="I3436">
        <v>24</v>
      </c>
      <c r="J3436">
        <v>6.9</v>
      </c>
      <c r="K3436" t="s">
        <v>6099</v>
      </c>
      <c r="L3436" t="s">
        <v>6100</v>
      </c>
      <c r="M3436" t="s">
        <v>6100</v>
      </c>
      <c r="O3436" t="s">
        <v>6101</v>
      </c>
      <c r="P3436" t="s">
        <v>6112</v>
      </c>
      <c r="Q3436">
        <v>6</v>
      </c>
      <c r="R3436">
        <v>2026</v>
      </c>
      <c r="S3436" t="s">
        <v>6099</v>
      </c>
      <c r="T3436">
        <v>1</v>
      </c>
      <c r="U3436" t="s">
        <v>6020</v>
      </c>
      <c r="V3436">
        <v>1</v>
      </c>
    </row>
    <row r="3437" spans="1:22" x14ac:dyDescent="0.3">
      <c r="A3437" t="s">
        <v>3452</v>
      </c>
      <c r="B3437" s="2">
        <v>46175.520138888889</v>
      </c>
      <c r="C3437" s="2">
        <v>46176.570138888892</v>
      </c>
      <c r="D3437" t="s">
        <v>6025</v>
      </c>
      <c r="E3437" t="s">
        <v>6032</v>
      </c>
      <c r="F3437" t="s">
        <v>6034</v>
      </c>
      <c r="G3437" t="s">
        <v>6068</v>
      </c>
      <c r="H3437" t="s">
        <v>6098</v>
      </c>
      <c r="I3437">
        <v>24</v>
      </c>
      <c r="J3437">
        <v>25.2</v>
      </c>
      <c r="K3437" t="s">
        <v>6100</v>
      </c>
      <c r="L3437" t="s">
        <v>6099</v>
      </c>
      <c r="M3437" t="s">
        <v>6100</v>
      </c>
      <c r="N3437">
        <v>2</v>
      </c>
      <c r="O3437" t="s">
        <v>6101</v>
      </c>
      <c r="P3437" t="s">
        <v>6112</v>
      </c>
      <c r="Q3437">
        <v>6</v>
      </c>
      <c r="R3437">
        <v>2026</v>
      </c>
      <c r="S3437" t="s">
        <v>6100</v>
      </c>
      <c r="T3437">
        <v>0</v>
      </c>
      <c r="U3437" t="s">
        <v>6020</v>
      </c>
      <c r="V3437">
        <v>0</v>
      </c>
    </row>
    <row r="3438" spans="1:22" x14ac:dyDescent="0.3">
      <c r="A3438" t="s">
        <v>3453</v>
      </c>
      <c r="B3438" s="2">
        <v>46175.533333333333</v>
      </c>
      <c r="C3438" s="2">
        <v>46175.783333333333</v>
      </c>
      <c r="D3438" t="s">
        <v>6023</v>
      </c>
      <c r="E3438" t="s">
        <v>6032</v>
      </c>
      <c r="F3438" t="s">
        <v>6033</v>
      </c>
      <c r="G3438" t="s">
        <v>6073</v>
      </c>
      <c r="H3438" t="s">
        <v>6096</v>
      </c>
      <c r="I3438">
        <v>72</v>
      </c>
      <c r="J3438">
        <v>6</v>
      </c>
      <c r="K3438" t="s">
        <v>6100</v>
      </c>
      <c r="L3438" t="s">
        <v>6100</v>
      </c>
      <c r="M3438" t="s">
        <v>6100</v>
      </c>
      <c r="N3438">
        <v>4</v>
      </c>
      <c r="O3438" t="s">
        <v>6101</v>
      </c>
      <c r="P3438" t="s">
        <v>6112</v>
      </c>
      <c r="Q3438">
        <v>6</v>
      </c>
      <c r="R3438">
        <v>2026</v>
      </c>
      <c r="S3438" t="s">
        <v>6099</v>
      </c>
      <c r="T3438">
        <v>1</v>
      </c>
      <c r="U3438" t="s">
        <v>6019</v>
      </c>
      <c r="V3438">
        <v>0</v>
      </c>
    </row>
    <row r="3439" spans="1:22" x14ac:dyDescent="0.3">
      <c r="A3439" t="s">
        <v>3454</v>
      </c>
      <c r="B3439" s="2">
        <v>46175.536111111112</v>
      </c>
      <c r="C3439" s="2">
        <v>46176.369444444441</v>
      </c>
      <c r="D3439" t="s">
        <v>6022</v>
      </c>
      <c r="E3439" t="s">
        <v>6029</v>
      </c>
      <c r="F3439" t="s">
        <v>6035</v>
      </c>
      <c r="G3439" t="s">
        <v>6036</v>
      </c>
      <c r="H3439" t="s">
        <v>6096</v>
      </c>
      <c r="I3439">
        <v>4</v>
      </c>
      <c r="J3439">
        <v>20</v>
      </c>
      <c r="K3439" t="s">
        <v>6099</v>
      </c>
      <c r="L3439" t="s">
        <v>6100</v>
      </c>
      <c r="M3439" t="s">
        <v>6100</v>
      </c>
      <c r="O3439" t="s">
        <v>6101</v>
      </c>
      <c r="P3439" t="s">
        <v>6112</v>
      </c>
      <c r="Q3439">
        <v>6</v>
      </c>
      <c r="R3439">
        <v>2026</v>
      </c>
      <c r="S3439" t="s">
        <v>6100</v>
      </c>
      <c r="T3439">
        <v>0</v>
      </c>
      <c r="U3439" t="s">
        <v>6019</v>
      </c>
      <c r="V3439">
        <v>1</v>
      </c>
    </row>
    <row r="3440" spans="1:22" x14ac:dyDescent="0.3">
      <c r="A3440" t="s">
        <v>3455</v>
      </c>
      <c r="B3440" s="2">
        <v>46175.551388888889</v>
      </c>
      <c r="C3440" s="2">
        <v>46175.601388888892</v>
      </c>
      <c r="D3440" t="s">
        <v>6023</v>
      </c>
      <c r="E3440" t="s">
        <v>6029</v>
      </c>
      <c r="F3440" t="s">
        <v>6034</v>
      </c>
      <c r="G3440" t="s">
        <v>6089</v>
      </c>
      <c r="H3440" t="s">
        <v>6098</v>
      </c>
      <c r="I3440">
        <v>24</v>
      </c>
      <c r="J3440">
        <v>1.2</v>
      </c>
      <c r="K3440" t="s">
        <v>6100</v>
      </c>
      <c r="L3440" t="s">
        <v>6100</v>
      </c>
      <c r="M3440" t="s">
        <v>6100</v>
      </c>
      <c r="O3440" t="s">
        <v>6101</v>
      </c>
      <c r="P3440" t="s">
        <v>6112</v>
      </c>
      <c r="Q3440">
        <v>6</v>
      </c>
      <c r="R3440">
        <v>2026</v>
      </c>
      <c r="S3440" t="s">
        <v>6099</v>
      </c>
      <c r="T3440">
        <v>1</v>
      </c>
      <c r="U3440" t="s">
        <v>6019</v>
      </c>
      <c r="V3440">
        <v>0</v>
      </c>
    </row>
    <row r="3441" spans="1:22" x14ac:dyDescent="0.3">
      <c r="A3441" t="s">
        <v>3456</v>
      </c>
      <c r="B3441" s="2">
        <v>46175.570138888892</v>
      </c>
      <c r="C3441" s="2">
        <v>46175.828472222223</v>
      </c>
      <c r="D3441" t="s">
        <v>6028</v>
      </c>
      <c r="E3441" t="s">
        <v>6029</v>
      </c>
      <c r="F3441" t="s">
        <v>6033</v>
      </c>
      <c r="G3441" t="s">
        <v>6072</v>
      </c>
      <c r="H3441" t="s">
        <v>6097</v>
      </c>
      <c r="I3441">
        <v>72</v>
      </c>
      <c r="J3441">
        <v>6.2</v>
      </c>
      <c r="K3441" t="s">
        <v>6099</v>
      </c>
      <c r="L3441" t="s">
        <v>6100</v>
      </c>
      <c r="M3441" t="s">
        <v>6100</v>
      </c>
      <c r="N3441">
        <v>5</v>
      </c>
      <c r="O3441" t="s">
        <v>6101</v>
      </c>
      <c r="P3441" t="s">
        <v>6112</v>
      </c>
      <c r="Q3441">
        <v>6</v>
      </c>
      <c r="R3441">
        <v>2026</v>
      </c>
      <c r="S3441" t="s">
        <v>6099</v>
      </c>
      <c r="T3441">
        <v>1</v>
      </c>
      <c r="U3441" t="s">
        <v>6020</v>
      </c>
      <c r="V3441">
        <v>1</v>
      </c>
    </row>
    <row r="3442" spans="1:22" x14ac:dyDescent="0.3">
      <c r="A3442" t="s">
        <v>3457</v>
      </c>
      <c r="B3442" s="2">
        <v>46175.580555555556</v>
      </c>
      <c r="C3442" s="2">
        <v>46175.963888888888</v>
      </c>
      <c r="D3442" t="s">
        <v>6022</v>
      </c>
      <c r="E3442" t="s">
        <v>6030</v>
      </c>
      <c r="F3442" t="s">
        <v>6034</v>
      </c>
      <c r="G3442" t="s">
        <v>6045</v>
      </c>
      <c r="H3442" t="s">
        <v>6096</v>
      </c>
      <c r="I3442">
        <v>24</v>
      </c>
      <c r="J3442">
        <v>9.1999999999999993</v>
      </c>
      <c r="K3442" t="s">
        <v>6099</v>
      </c>
      <c r="L3442" t="s">
        <v>6100</v>
      </c>
      <c r="M3442" t="s">
        <v>6100</v>
      </c>
      <c r="N3442">
        <v>4</v>
      </c>
      <c r="O3442" t="s">
        <v>6101</v>
      </c>
      <c r="P3442" t="s">
        <v>6112</v>
      </c>
      <c r="Q3442">
        <v>6</v>
      </c>
      <c r="R3442">
        <v>2026</v>
      </c>
      <c r="S3442" t="s">
        <v>6099</v>
      </c>
      <c r="T3442">
        <v>1</v>
      </c>
      <c r="U3442" t="s">
        <v>6021</v>
      </c>
      <c r="V3442">
        <v>1</v>
      </c>
    </row>
    <row r="3443" spans="1:22" x14ac:dyDescent="0.3">
      <c r="A3443" t="s">
        <v>3458</v>
      </c>
      <c r="B3443" s="2">
        <v>46175.63958333333</v>
      </c>
      <c r="C3443" s="2">
        <v>46182.052083333336</v>
      </c>
      <c r="D3443" t="s">
        <v>6026</v>
      </c>
      <c r="E3443" t="s">
        <v>6031</v>
      </c>
      <c r="F3443" t="s">
        <v>6034</v>
      </c>
      <c r="G3443" t="s">
        <v>6083</v>
      </c>
      <c r="H3443" t="s">
        <v>6096</v>
      </c>
      <c r="I3443">
        <v>24</v>
      </c>
      <c r="J3443">
        <v>153.9</v>
      </c>
      <c r="K3443" t="s">
        <v>6100</v>
      </c>
      <c r="L3443" t="s">
        <v>6099</v>
      </c>
      <c r="M3443" t="s">
        <v>6100</v>
      </c>
      <c r="O3443" t="s">
        <v>6101</v>
      </c>
      <c r="P3443" t="s">
        <v>6112</v>
      </c>
      <c r="Q3443">
        <v>6</v>
      </c>
      <c r="R3443">
        <v>2026</v>
      </c>
      <c r="S3443" t="s">
        <v>6100</v>
      </c>
      <c r="T3443">
        <v>0</v>
      </c>
      <c r="U3443" t="s">
        <v>6019</v>
      </c>
      <c r="V3443">
        <v>0</v>
      </c>
    </row>
    <row r="3444" spans="1:22" x14ac:dyDescent="0.3">
      <c r="A3444" t="s">
        <v>3459</v>
      </c>
      <c r="B3444" s="2">
        <v>46175.665277777778</v>
      </c>
      <c r="C3444" s="2">
        <v>46176.306944444441</v>
      </c>
      <c r="D3444" t="s">
        <v>6028</v>
      </c>
      <c r="E3444" t="s">
        <v>6029</v>
      </c>
      <c r="F3444" t="s">
        <v>6034</v>
      </c>
      <c r="G3444" t="s">
        <v>6036</v>
      </c>
      <c r="H3444" t="s">
        <v>6096</v>
      </c>
      <c r="I3444">
        <v>24</v>
      </c>
      <c r="J3444">
        <v>15.4</v>
      </c>
      <c r="K3444" t="s">
        <v>6099</v>
      </c>
      <c r="L3444" t="s">
        <v>6100</v>
      </c>
      <c r="M3444" t="s">
        <v>6100</v>
      </c>
      <c r="N3444">
        <v>4</v>
      </c>
      <c r="O3444" t="s">
        <v>6101</v>
      </c>
      <c r="P3444" t="s">
        <v>6112</v>
      </c>
      <c r="Q3444">
        <v>6</v>
      </c>
      <c r="R3444">
        <v>2026</v>
      </c>
      <c r="S3444" t="s">
        <v>6099</v>
      </c>
      <c r="T3444">
        <v>1</v>
      </c>
      <c r="U3444" t="s">
        <v>6021</v>
      </c>
      <c r="V3444">
        <v>1</v>
      </c>
    </row>
    <row r="3445" spans="1:22" x14ac:dyDescent="0.3">
      <c r="A3445" t="s">
        <v>3460</v>
      </c>
      <c r="B3445" s="2">
        <v>46175.665277777778</v>
      </c>
      <c r="C3445" s="2">
        <v>46180.37777777778</v>
      </c>
      <c r="D3445" t="s">
        <v>6025</v>
      </c>
      <c r="E3445" t="s">
        <v>6031</v>
      </c>
      <c r="F3445" t="s">
        <v>6034</v>
      </c>
      <c r="G3445" t="s">
        <v>6080</v>
      </c>
      <c r="H3445" t="s">
        <v>6096</v>
      </c>
      <c r="I3445">
        <v>24</v>
      </c>
      <c r="J3445">
        <v>113.1</v>
      </c>
      <c r="K3445" t="s">
        <v>6099</v>
      </c>
      <c r="L3445" t="s">
        <v>6100</v>
      </c>
      <c r="M3445" t="s">
        <v>6100</v>
      </c>
      <c r="N3445">
        <v>5</v>
      </c>
      <c r="O3445" t="s">
        <v>6101</v>
      </c>
      <c r="P3445" t="s">
        <v>6112</v>
      </c>
      <c r="Q3445">
        <v>6</v>
      </c>
      <c r="R3445">
        <v>2026</v>
      </c>
      <c r="S3445" t="s">
        <v>6100</v>
      </c>
      <c r="T3445">
        <v>0</v>
      </c>
      <c r="U3445" t="s">
        <v>6019</v>
      </c>
      <c r="V3445">
        <v>1</v>
      </c>
    </row>
    <row r="3446" spans="1:22" x14ac:dyDescent="0.3">
      <c r="A3446" t="s">
        <v>3461</v>
      </c>
      <c r="B3446" s="2">
        <v>46175.695138888892</v>
      </c>
      <c r="C3446" s="2">
        <v>46175.874305555553</v>
      </c>
      <c r="D3446" t="s">
        <v>6024</v>
      </c>
      <c r="E3446" t="s">
        <v>6029</v>
      </c>
      <c r="F3446" t="s">
        <v>6034</v>
      </c>
      <c r="G3446" t="s">
        <v>6036</v>
      </c>
      <c r="H3446" t="s">
        <v>6096</v>
      </c>
      <c r="I3446">
        <v>24</v>
      </c>
      <c r="J3446">
        <v>4.3</v>
      </c>
      <c r="K3446" t="s">
        <v>6100</v>
      </c>
      <c r="L3446" t="s">
        <v>6099</v>
      </c>
      <c r="M3446" t="s">
        <v>6099</v>
      </c>
      <c r="O3446" t="s">
        <v>6101</v>
      </c>
      <c r="P3446" t="s">
        <v>6112</v>
      </c>
      <c r="Q3446">
        <v>6</v>
      </c>
      <c r="R3446">
        <v>2026</v>
      </c>
      <c r="S3446" t="s">
        <v>6099</v>
      </c>
      <c r="T3446">
        <v>1</v>
      </c>
      <c r="U3446" t="s">
        <v>6021</v>
      </c>
      <c r="V3446">
        <v>0</v>
      </c>
    </row>
    <row r="3447" spans="1:22" x14ac:dyDescent="0.3">
      <c r="A3447" t="s">
        <v>3462</v>
      </c>
      <c r="B3447" s="2">
        <v>46175.705555555556</v>
      </c>
      <c r="C3447" s="2">
        <v>46175.943055555559</v>
      </c>
      <c r="D3447" t="s">
        <v>6026</v>
      </c>
      <c r="E3447" t="s">
        <v>6030</v>
      </c>
      <c r="F3447" t="s">
        <v>6035</v>
      </c>
      <c r="G3447" t="s">
        <v>6058</v>
      </c>
      <c r="H3447" t="s">
        <v>6098</v>
      </c>
      <c r="I3447">
        <v>4</v>
      </c>
      <c r="J3447">
        <v>5.7</v>
      </c>
      <c r="K3447" t="s">
        <v>6100</v>
      </c>
      <c r="L3447" t="s">
        <v>6100</v>
      </c>
      <c r="M3447" t="s">
        <v>6100</v>
      </c>
      <c r="N3447">
        <v>3</v>
      </c>
      <c r="O3447" t="s">
        <v>6101</v>
      </c>
      <c r="P3447" t="s">
        <v>6112</v>
      </c>
      <c r="Q3447">
        <v>6</v>
      </c>
      <c r="R3447">
        <v>2026</v>
      </c>
      <c r="S3447" t="s">
        <v>6100</v>
      </c>
      <c r="T3447">
        <v>0</v>
      </c>
      <c r="U3447" t="s">
        <v>6021</v>
      </c>
      <c r="V3447">
        <v>0</v>
      </c>
    </row>
    <row r="3448" spans="1:22" x14ac:dyDescent="0.3">
      <c r="A3448" t="s">
        <v>3463</v>
      </c>
      <c r="B3448" s="2">
        <v>46175.749305555553</v>
      </c>
      <c r="C3448" s="2">
        <v>46176.886805555558</v>
      </c>
      <c r="D3448" t="s">
        <v>6022</v>
      </c>
      <c r="E3448" t="s">
        <v>6032</v>
      </c>
      <c r="F3448" t="s">
        <v>6034</v>
      </c>
      <c r="G3448" t="s">
        <v>6055</v>
      </c>
      <c r="H3448" t="s">
        <v>6096</v>
      </c>
      <c r="I3448">
        <v>24</v>
      </c>
      <c r="J3448">
        <v>27.3</v>
      </c>
      <c r="K3448" t="s">
        <v>6100</v>
      </c>
      <c r="L3448" t="s">
        <v>6099</v>
      </c>
      <c r="M3448" t="s">
        <v>6100</v>
      </c>
      <c r="O3448" t="s">
        <v>6101</v>
      </c>
      <c r="P3448" t="s">
        <v>6112</v>
      </c>
      <c r="Q3448">
        <v>6</v>
      </c>
      <c r="R3448">
        <v>2026</v>
      </c>
      <c r="S3448" t="s">
        <v>6100</v>
      </c>
      <c r="T3448">
        <v>0</v>
      </c>
      <c r="U3448" t="s">
        <v>6019</v>
      </c>
      <c r="V3448">
        <v>0</v>
      </c>
    </row>
    <row r="3449" spans="1:22" x14ac:dyDescent="0.3">
      <c r="A3449" t="s">
        <v>3464</v>
      </c>
      <c r="B3449" s="2">
        <v>46175.853472222225</v>
      </c>
      <c r="C3449" s="2">
        <v>46176.199305555558</v>
      </c>
      <c r="D3449" t="s">
        <v>6023</v>
      </c>
      <c r="E3449" t="s">
        <v>6029</v>
      </c>
      <c r="F3449" t="s">
        <v>6033</v>
      </c>
      <c r="G3449" t="s">
        <v>6058</v>
      </c>
      <c r="H3449" t="s">
        <v>6098</v>
      </c>
      <c r="I3449">
        <v>72</v>
      </c>
      <c r="J3449">
        <v>8.3000000000000007</v>
      </c>
      <c r="K3449" t="s">
        <v>6100</v>
      </c>
      <c r="L3449" t="s">
        <v>6099</v>
      </c>
      <c r="M3449" t="s">
        <v>6100</v>
      </c>
      <c r="N3449">
        <v>4</v>
      </c>
      <c r="O3449" t="s">
        <v>6101</v>
      </c>
      <c r="P3449" t="s">
        <v>6112</v>
      </c>
      <c r="Q3449">
        <v>6</v>
      </c>
      <c r="R3449">
        <v>2026</v>
      </c>
      <c r="S3449" t="s">
        <v>6099</v>
      </c>
      <c r="T3449">
        <v>1</v>
      </c>
      <c r="U3449" t="s">
        <v>6017</v>
      </c>
      <c r="V3449">
        <v>0</v>
      </c>
    </row>
    <row r="3450" spans="1:22" x14ac:dyDescent="0.3">
      <c r="A3450" t="s">
        <v>3465</v>
      </c>
      <c r="B3450" s="2">
        <v>46175.948611111111</v>
      </c>
      <c r="C3450" s="2">
        <v>46176.027777777781</v>
      </c>
      <c r="D3450" t="s">
        <v>6023</v>
      </c>
      <c r="E3450" t="s">
        <v>6029</v>
      </c>
      <c r="F3450" t="s">
        <v>6034</v>
      </c>
      <c r="G3450" t="s">
        <v>6051</v>
      </c>
      <c r="H3450" t="s">
        <v>6097</v>
      </c>
      <c r="I3450">
        <v>24</v>
      </c>
      <c r="J3450">
        <v>1.9</v>
      </c>
      <c r="K3450" t="s">
        <v>6099</v>
      </c>
      <c r="L3450" t="s">
        <v>6100</v>
      </c>
      <c r="M3450" t="s">
        <v>6100</v>
      </c>
      <c r="N3450">
        <v>5</v>
      </c>
      <c r="O3450" t="s">
        <v>6101</v>
      </c>
      <c r="P3450" t="s">
        <v>6112</v>
      </c>
      <c r="Q3450">
        <v>6</v>
      </c>
      <c r="R3450">
        <v>2026</v>
      </c>
      <c r="S3450" t="s">
        <v>6099</v>
      </c>
      <c r="T3450">
        <v>1</v>
      </c>
      <c r="U3450" t="s">
        <v>6021</v>
      </c>
      <c r="V3450">
        <v>1</v>
      </c>
    </row>
    <row r="3451" spans="1:22" x14ac:dyDescent="0.3">
      <c r="A3451" t="s">
        <v>3466</v>
      </c>
      <c r="B3451" s="2">
        <v>46176.076388888891</v>
      </c>
      <c r="C3451" s="2">
        <v>46176.480555555558</v>
      </c>
      <c r="D3451" t="s">
        <v>6024</v>
      </c>
      <c r="E3451" t="s">
        <v>6030</v>
      </c>
      <c r="F3451" t="s">
        <v>6034</v>
      </c>
      <c r="G3451" t="s">
        <v>6045</v>
      </c>
      <c r="H3451" t="s">
        <v>6096</v>
      </c>
      <c r="I3451">
        <v>24</v>
      </c>
      <c r="J3451">
        <v>9.6999999999999993</v>
      </c>
      <c r="K3451" t="s">
        <v>6100</v>
      </c>
      <c r="L3451" t="s">
        <v>6099</v>
      </c>
      <c r="M3451" t="s">
        <v>6100</v>
      </c>
      <c r="N3451">
        <v>4</v>
      </c>
      <c r="O3451" t="s">
        <v>6101</v>
      </c>
      <c r="P3451" t="s">
        <v>6112</v>
      </c>
      <c r="Q3451">
        <v>6</v>
      </c>
      <c r="R3451">
        <v>2026</v>
      </c>
      <c r="S3451" t="s">
        <v>6099</v>
      </c>
      <c r="T3451">
        <v>1</v>
      </c>
      <c r="U3451" t="s">
        <v>6018</v>
      </c>
      <c r="V3451">
        <v>0</v>
      </c>
    </row>
    <row r="3452" spans="1:22" x14ac:dyDescent="0.3">
      <c r="A3452" t="s">
        <v>3467</v>
      </c>
      <c r="B3452" s="2">
        <v>46176.130555555559</v>
      </c>
      <c r="C3452" s="2">
        <v>46176.463888888888</v>
      </c>
      <c r="D3452" t="s">
        <v>6024</v>
      </c>
      <c r="E3452" t="s">
        <v>6029</v>
      </c>
      <c r="F3452" t="s">
        <v>6034</v>
      </c>
      <c r="G3452" t="s">
        <v>6086</v>
      </c>
      <c r="H3452" t="s">
        <v>6098</v>
      </c>
      <c r="I3452">
        <v>24</v>
      </c>
      <c r="J3452">
        <v>8</v>
      </c>
      <c r="K3452" t="s">
        <v>6100</v>
      </c>
      <c r="L3452" t="s">
        <v>6099</v>
      </c>
      <c r="M3452" t="s">
        <v>6100</v>
      </c>
      <c r="N3452">
        <v>4</v>
      </c>
      <c r="O3452" t="s">
        <v>6101</v>
      </c>
      <c r="P3452" t="s">
        <v>6112</v>
      </c>
      <c r="Q3452">
        <v>6</v>
      </c>
      <c r="R3452">
        <v>2026</v>
      </c>
      <c r="S3452" t="s">
        <v>6099</v>
      </c>
      <c r="T3452">
        <v>1</v>
      </c>
      <c r="U3452" t="s">
        <v>6018</v>
      </c>
      <c r="V3452">
        <v>0</v>
      </c>
    </row>
    <row r="3453" spans="1:22" x14ac:dyDescent="0.3">
      <c r="A3453" t="s">
        <v>3468</v>
      </c>
      <c r="B3453" s="2">
        <v>46176.251388888886</v>
      </c>
      <c r="C3453" s="2">
        <v>46176.593055555553</v>
      </c>
      <c r="D3453" t="s">
        <v>6025</v>
      </c>
      <c r="E3453" t="s">
        <v>6029</v>
      </c>
      <c r="F3453" t="s">
        <v>6033</v>
      </c>
      <c r="G3453" t="s">
        <v>6060</v>
      </c>
      <c r="H3453" t="s">
        <v>6097</v>
      </c>
      <c r="I3453">
        <v>72</v>
      </c>
      <c r="J3453">
        <v>8.1999999999999993</v>
      </c>
      <c r="K3453" t="s">
        <v>6100</v>
      </c>
      <c r="L3453" t="s">
        <v>6100</v>
      </c>
      <c r="M3453" t="s">
        <v>6100</v>
      </c>
      <c r="N3453">
        <v>5</v>
      </c>
      <c r="O3453" t="s">
        <v>6101</v>
      </c>
      <c r="P3453" t="s">
        <v>6112</v>
      </c>
      <c r="Q3453">
        <v>6</v>
      </c>
      <c r="R3453">
        <v>2026</v>
      </c>
      <c r="S3453" t="s">
        <v>6099</v>
      </c>
      <c r="T3453">
        <v>1</v>
      </c>
      <c r="U3453" t="s">
        <v>6021</v>
      </c>
      <c r="V3453">
        <v>0</v>
      </c>
    </row>
    <row r="3454" spans="1:22" x14ac:dyDescent="0.3">
      <c r="A3454" t="s">
        <v>3469</v>
      </c>
      <c r="B3454" s="2">
        <v>46176.354166666664</v>
      </c>
      <c r="C3454" s="2">
        <v>46176.57916666667</v>
      </c>
      <c r="D3454" t="s">
        <v>6022</v>
      </c>
      <c r="E3454" t="s">
        <v>6029</v>
      </c>
      <c r="F3454" t="s">
        <v>6033</v>
      </c>
      <c r="G3454" t="s">
        <v>6074</v>
      </c>
      <c r="H3454" t="s">
        <v>6098</v>
      </c>
      <c r="I3454">
        <v>72</v>
      </c>
      <c r="J3454">
        <v>5.4</v>
      </c>
      <c r="K3454" t="s">
        <v>6099</v>
      </c>
      <c r="L3454" t="s">
        <v>6100</v>
      </c>
      <c r="M3454" t="s">
        <v>6100</v>
      </c>
      <c r="O3454" t="s">
        <v>6101</v>
      </c>
      <c r="P3454" t="s">
        <v>6112</v>
      </c>
      <c r="Q3454">
        <v>6</v>
      </c>
      <c r="R3454">
        <v>2026</v>
      </c>
      <c r="S3454" t="s">
        <v>6099</v>
      </c>
      <c r="T3454">
        <v>1</v>
      </c>
      <c r="U3454" t="s">
        <v>6021</v>
      </c>
      <c r="V3454">
        <v>1</v>
      </c>
    </row>
    <row r="3455" spans="1:22" x14ac:dyDescent="0.3">
      <c r="A3455" t="s">
        <v>3470</v>
      </c>
      <c r="B3455" s="2">
        <v>46176.473611111112</v>
      </c>
      <c r="C3455" s="2">
        <v>46177.623611111114</v>
      </c>
      <c r="D3455" t="s">
        <v>6022</v>
      </c>
      <c r="E3455" t="s">
        <v>6031</v>
      </c>
      <c r="F3455" t="s">
        <v>6033</v>
      </c>
      <c r="G3455" t="s">
        <v>6038</v>
      </c>
      <c r="H3455" t="s">
        <v>6096</v>
      </c>
      <c r="I3455">
        <v>72</v>
      </c>
      <c r="J3455">
        <v>27.6</v>
      </c>
      <c r="K3455" t="s">
        <v>6100</v>
      </c>
      <c r="L3455" t="s">
        <v>6100</v>
      </c>
      <c r="M3455" t="s">
        <v>6100</v>
      </c>
      <c r="N3455">
        <v>4</v>
      </c>
      <c r="O3455" t="s">
        <v>6101</v>
      </c>
      <c r="P3455" t="s">
        <v>6112</v>
      </c>
      <c r="Q3455">
        <v>6</v>
      </c>
      <c r="R3455">
        <v>2026</v>
      </c>
      <c r="S3455" t="s">
        <v>6099</v>
      </c>
      <c r="T3455">
        <v>1</v>
      </c>
      <c r="U3455" t="s">
        <v>6018</v>
      </c>
      <c r="V3455">
        <v>0</v>
      </c>
    </row>
    <row r="3456" spans="1:22" x14ac:dyDescent="0.3">
      <c r="A3456" t="s">
        <v>3471</v>
      </c>
      <c r="B3456" s="2">
        <v>46176.525000000001</v>
      </c>
      <c r="C3456" s="2">
        <v>46177.441666666666</v>
      </c>
      <c r="D3456" t="s">
        <v>6022</v>
      </c>
      <c r="E3456" t="s">
        <v>6029</v>
      </c>
      <c r="F3456" t="s">
        <v>6033</v>
      </c>
      <c r="G3456" t="s">
        <v>6079</v>
      </c>
      <c r="H3456" t="s">
        <v>6097</v>
      </c>
      <c r="I3456">
        <v>72</v>
      </c>
      <c r="J3456">
        <v>22</v>
      </c>
      <c r="K3456" t="s">
        <v>6100</v>
      </c>
      <c r="L3456" t="s">
        <v>6099</v>
      </c>
      <c r="M3456" t="s">
        <v>6100</v>
      </c>
      <c r="N3456">
        <v>4</v>
      </c>
      <c r="O3456" t="s">
        <v>6101</v>
      </c>
      <c r="P3456" t="s">
        <v>6112</v>
      </c>
      <c r="Q3456">
        <v>6</v>
      </c>
      <c r="R3456">
        <v>2026</v>
      </c>
      <c r="S3456" t="s">
        <v>6099</v>
      </c>
      <c r="T3456">
        <v>1</v>
      </c>
      <c r="U3456" t="s">
        <v>6019</v>
      </c>
      <c r="V3456">
        <v>0</v>
      </c>
    </row>
    <row r="3457" spans="1:22" x14ac:dyDescent="0.3">
      <c r="A3457" t="s">
        <v>3472</v>
      </c>
      <c r="B3457" s="2">
        <v>46176.563888888886</v>
      </c>
      <c r="C3457" s="2">
        <v>46176.797222222223</v>
      </c>
      <c r="D3457" t="s">
        <v>6023</v>
      </c>
      <c r="E3457" t="s">
        <v>6032</v>
      </c>
      <c r="F3457" t="s">
        <v>6033</v>
      </c>
      <c r="G3457" t="s">
        <v>6054</v>
      </c>
      <c r="H3457" t="s">
        <v>6096</v>
      </c>
      <c r="I3457">
        <v>72</v>
      </c>
      <c r="J3457">
        <v>5.6</v>
      </c>
      <c r="K3457" t="s">
        <v>6099</v>
      </c>
      <c r="L3457" t="s">
        <v>6100</v>
      </c>
      <c r="M3457" t="s">
        <v>6100</v>
      </c>
      <c r="N3457">
        <v>4</v>
      </c>
      <c r="O3457" t="s">
        <v>6101</v>
      </c>
      <c r="P3457" t="s">
        <v>6112</v>
      </c>
      <c r="Q3457">
        <v>6</v>
      </c>
      <c r="R3457">
        <v>2026</v>
      </c>
      <c r="S3457" t="s">
        <v>6099</v>
      </c>
      <c r="T3457">
        <v>1</v>
      </c>
      <c r="U3457" t="s">
        <v>6020</v>
      </c>
      <c r="V3457">
        <v>1</v>
      </c>
    </row>
    <row r="3458" spans="1:22" x14ac:dyDescent="0.3">
      <c r="A3458" t="s">
        <v>3473</v>
      </c>
      <c r="B3458" s="2">
        <v>46176.56527777778</v>
      </c>
      <c r="C3458" s="2">
        <v>46176.873611111114</v>
      </c>
      <c r="D3458" t="s">
        <v>6025</v>
      </c>
      <c r="E3458" t="s">
        <v>6030</v>
      </c>
      <c r="F3458" t="s">
        <v>6033</v>
      </c>
      <c r="G3458" t="s">
        <v>6085</v>
      </c>
      <c r="H3458" t="s">
        <v>6097</v>
      </c>
      <c r="I3458">
        <v>72</v>
      </c>
      <c r="J3458">
        <v>7.4</v>
      </c>
      <c r="K3458" t="s">
        <v>6100</v>
      </c>
      <c r="L3458" t="s">
        <v>6099</v>
      </c>
      <c r="M3458" t="s">
        <v>6100</v>
      </c>
      <c r="O3458" t="s">
        <v>6101</v>
      </c>
      <c r="P3458" t="s">
        <v>6112</v>
      </c>
      <c r="Q3458">
        <v>6</v>
      </c>
      <c r="R3458">
        <v>2026</v>
      </c>
      <c r="S3458" t="s">
        <v>6099</v>
      </c>
      <c r="T3458">
        <v>1</v>
      </c>
      <c r="U3458" t="s">
        <v>6018</v>
      </c>
      <c r="V3458">
        <v>0</v>
      </c>
    </row>
    <row r="3459" spans="1:22" x14ac:dyDescent="0.3">
      <c r="A3459" t="s">
        <v>3474</v>
      </c>
      <c r="B3459" s="2">
        <v>46176.566666666666</v>
      </c>
      <c r="C3459" s="2">
        <v>46179.025000000001</v>
      </c>
      <c r="D3459" t="s">
        <v>6026</v>
      </c>
      <c r="E3459" t="s">
        <v>6031</v>
      </c>
      <c r="F3459" t="s">
        <v>6034</v>
      </c>
      <c r="G3459" t="s">
        <v>6040</v>
      </c>
      <c r="H3459" t="s">
        <v>6097</v>
      </c>
      <c r="I3459">
        <v>24</v>
      </c>
      <c r="J3459">
        <v>59</v>
      </c>
      <c r="K3459" t="s">
        <v>6099</v>
      </c>
      <c r="L3459" t="s">
        <v>6100</v>
      </c>
      <c r="M3459" t="s">
        <v>6100</v>
      </c>
      <c r="N3459">
        <v>4</v>
      </c>
      <c r="O3459" t="s">
        <v>6101</v>
      </c>
      <c r="P3459" t="s">
        <v>6112</v>
      </c>
      <c r="Q3459">
        <v>6</v>
      </c>
      <c r="R3459">
        <v>2026</v>
      </c>
      <c r="S3459" t="s">
        <v>6100</v>
      </c>
      <c r="T3459">
        <v>0</v>
      </c>
      <c r="U3459" t="s">
        <v>6017</v>
      </c>
      <c r="V3459">
        <v>1</v>
      </c>
    </row>
    <row r="3460" spans="1:22" x14ac:dyDescent="0.3">
      <c r="A3460" t="s">
        <v>3475</v>
      </c>
      <c r="B3460" s="2">
        <v>46176.601388888892</v>
      </c>
      <c r="C3460" s="2">
        <v>46176.918055555558</v>
      </c>
      <c r="D3460" t="s">
        <v>6028</v>
      </c>
      <c r="E3460" t="s">
        <v>6029</v>
      </c>
      <c r="F3460" t="s">
        <v>6034</v>
      </c>
      <c r="G3460" t="s">
        <v>6077</v>
      </c>
      <c r="H3460" t="s">
        <v>6098</v>
      </c>
      <c r="I3460">
        <v>24</v>
      </c>
      <c r="J3460">
        <v>7.6</v>
      </c>
      <c r="K3460" t="s">
        <v>6099</v>
      </c>
      <c r="L3460" t="s">
        <v>6100</v>
      </c>
      <c r="M3460" t="s">
        <v>6100</v>
      </c>
      <c r="N3460">
        <v>5</v>
      </c>
      <c r="O3460" t="s">
        <v>6101</v>
      </c>
      <c r="P3460" t="s">
        <v>6112</v>
      </c>
      <c r="Q3460">
        <v>6</v>
      </c>
      <c r="R3460">
        <v>2026</v>
      </c>
      <c r="S3460" t="s">
        <v>6099</v>
      </c>
      <c r="T3460">
        <v>1</v>
      </c>
      <c r="U3460" t="s">
        <v>6020</v>
      </c>
      <c r="V3460">
        <v>1</v>
      </c>
    </row>
    <row r="3461" spans="1:22" x14ac:dyDescent="0.3">
      <c r="A3461" t="s">
        <v>3476</v>
      </c>
      <c r="B3461" s="2">
        <v>46176.609722222223</v>
      </c>
      <c r="C3461" s="2">
        <v>46177.493055555555</v>
      </c>
      <c r="D3461" t="s">
        <v>6022</v>
      </c>
      <c r="E3461" t="s">
        <v>6032</v>
      </c>
      <c r="F3461" t="s">
        <v>6033</v>
      </c>
      <c r="G3461" t="s">
        <v>6057</v>
      </c>
      <c r="H3461" t="s">
        <v>6097</v>
      </c>
      <c r="I3461">
        <v>72</v>
      </c>
      <c r="J3461">
        <v>21.2</v>
      </c>
      <c r="K3461" t="s">
        <v>6099</v>
      </c>
      <c r="L3461" t="s">
        <v>6100</v>
      </c>
      <c r="M3461" t="s">
        <v>6100</v>
      </c>
      <c r="N3461">
        <v>4</v>
      </c>
      <c r="O3461" t="s">
        <v>6101</v>
      </c>
      <c r="P3461" t="s">
        <v>6112</v>
      </c>
      <c r="Q3461">
        <v>6</v>
      </c>
      <c r="R3461">
        <v>2026</v>
      </c>
      <c r="S3461" t="s">
        <v>6099</v>
      </c>
      <c r="T3461">
        <v>1</v>
      </c>
      <c r="U3461" t="s">
        <v>6017</v>
      </c>
      <c r="V3461">
        <v>1</v>
      </c>
    </row>
    <row r="3462" spans="1:22" x14ac:dyDescent="0.3">
      <c r="A3462" t="s">
        <v>3477</v>
      </c>
      <c r="B3462" s="2">
        <v>46176.617361111108</v>
      </c>
      <c r="C3462" s="2">
        <v>46177.075694444444</v>
      </c>
      <c r="D3462" t="s">
        <v>6022</v>
      </c>
      <c r="E3462" t="s">
        <v>6030</v>
      </c>
      <c r="F3462" t="s">
        <v>6034</v>
      </c>
      <c r="G3462" t="s">
        <v>6076</v>
      </c>
      <c r="H3462" t="s">
        <v>6097</v>
      </c>
      <c r="I3462">
        <v>24</v>
      </c>
      <c r="J3462">
        <v>11</v>
      </c>
      <c r="K3462" t="s">
        <v>6100</v>
      </c>
      <c r="L3462" t="s">
        <v>6100</v>
      </c>
      <c r="M3462" t="s">
        <v>6100</v>
      </c>
      <c r="N3462">
        <v>4</v>
      </c>
      <c r="O3462" t="s">
        <v>6101</v>
      </c>
      <c r="P3462" t="s">
        <v>6112</v>
      </c>
      <c r="Q3462">
        <v>6</v>
      </c>
      <c r="R3462">
        <v>2026</v>
      </c>
      <c r="S3462" t="s">
        <v>6099</v>
      </c>
      <c r="T3462">
        <v>1</v>
      </c>
      <c r="U3462" t="s">
        <v>6017</v>
      </c>
      <c r="V3462">
        <v>0</v>
      </c>
    </row>
    <row r="3463" spans="1:22" x14ac:dyDescent="0.3">
      <c r="A3463" t="s">
        <v>3478</v>
      </c>
      <c r="B3463" s="2">
        <v>46176.663194444445</v>
      </c>
      <c r="C3463" s="2">
        <v>46178.050694444442</v>
      </c>
      <c r="D3463" t="s">
        <v>6025</v>
      </c>
      <c r="E3463" t="s">
        <v>6031</v>
      </c>
      <c r="F3463" t="s">
        <v>6034</v>
      </c>
      <c r="G3463" t="s">
        <v>6044</v>
      </c>
      <c r="H3463" t="s">
        <v>6097</v>
      </c>
      <c r="I3463">
        <v>24</v>
      </c>
      <c r="J3463">
        <v>33.299999999999997</v>
      </c>
      <c r="K3463" t="s">
        <v>6100</v>
      </c>
      <c r="L3463" t="s">
        <v>6099</v>
      </c>
      <c r="M3463" t="s">
        <v>6100</v>
      </c>
      <c r="N3463">
        <v>3</v>
      </c>
      <c r="O3463" t="s">
        <v>6101</v>
      </c>
      <c r="P3463" t="s">
        <v>6112</v>
      </c>
      <c r="Q3463">
        <v>6</v>
      </c>
      <c r="R3463">
        <v>2026</v>
      </c>
      <c r="S3463" t="s">
        <v>6100</v>
      </c>
      <c r="T3463">
        <v>0</v>
      </c>
      <c r="U3463" t="s">
        <v>6019</v>
      </c>
      <c r="V3463">
        <v>0</v>
      </c>
    </row>
    <row r="3464" spans="1:22" x14ac:dyDescent="0.3">
      <c r="A3464" t="s">
        <v>3479</v>
      </c>
      <c r="B3464" s="2">
        <v>46176.671527777777</v>
      </c>
      <c r="C3464" s="2">
        <v>46177.97152777778</v>
      </c>
      <c r="D3464" t="s">
        <v>6025</v>
      </c>
      <c r="E3464" t="s">
        <v>6032</v>
      </c>
      <c r="F3464" t="s">
        <v>6034</v>
      </c>
      <c r="G3464" t="s">
        <v>6038</v>
      </c>
      <c r="H3464" t="s">
        <v>6096</v>
      </c>
      <c r="I3464">
        <v>24</v>
      </c>
      <c r="J3464">
        <v>31.2</v>
      </c>
      <c r="K3464" t="s">
        <v>6099</v>
      </c>
      <c r="L3464" t="s">
        <v>6100</v>
      </c>
      <c r="M3464" t="s">
        <v>6100</v>
      </c>
      <c r="N3464">
        <v>4</v>
      </c>
      <c r="O3464" t="s">
        <v>6101</v>
      </c>
      <c r="P3464" t="s">
        <v>6112</v>
      </c>
      <c r="Q3464">
        <v>6</v>
      </c>
      <c r="R3464">
        <v>2026</v>
      </c>
      <c r="S3464" t="s">
        <v>6100</v>
      </c>
      <c r="T3464">
        <v>0</v>
      </c>
      <c r="U3464" t="s">
        <v>6017</v>
      </c>
      <c r="V3464">
        <v>1</v>
      </c>
    </row>
    <row r="3465" spans="1:22" x14ac:dyDescent="0.3">
      <c r="A3465" t="s">
        <v>3480</v>
      </c>
      <c r="B3465" s="2">
        <v>46176.684027777781</v>
      </c>
      <c r="C3465" s="2">
        <v>46177.196527777778</v>
      </c>
      <c r="D3465" t="s">
        <v>6023</v>
      </c>
      <c r="E3465" t="s">
        <v>6029</v>
      </c>
      <c r="F3465" t="s">
        <v>6034</v>
      </c>
      <c r="G3465" t="s">
        <v>6050</v>
      </c>
      <c r="H3465" t="s">
        <v>6098</v>
      </c>
      <c r="I3465">
        <v>24</v>
      </c>
      <c r="J3465">
        <v>12.3</v>
      </c>
      <c r="K3465" t="s">
        <v>6099</v>
      </c>
      <c r="L3465" t="s">
        <v>6100</v>
      </c>
      <c r="M3465" t="s">
        <v>6100</v>
      </c>
      <c r="N3465">
        <v>5</v>
      </c>
      <c r="O3465" t="s">
        <v>6101</v>
      </c>
      <c r="P3465" t="s">
        <v>6112</v>
      </c>
      <c r="Q3465">
        <v>6</v>
      </c>
      <c r="R3465">
        <v>2026</v>
      </c>
      <c r="S3465" t="s">
        <v>6099</v>
      </c>
      <c r="T3465">
        <v>1</v>
      </c>
      <c r="U3465" t="s">
        <v>6018</v>
      </c>
      <c r="V3465">
        <v>1</v>
      </c>
    </row>
    <row r="3466" spans="1:22" x14ac:dyDescent="0.3">
      <c r="A3466" t="s">
        <v>3481</v>
      </c>
      <c r="B3466" s="2">
        <v>46176.6875</v>
      </c>
      <c r="C3466" s="2">
        <v>46177.262499999997</v>
      </c>
      <c r="D3466" t="s">
        <v>6027</v>
      </c>
      <c r="E3466" t="s">
        <v>6029</v>
      </c>
      <c r="F3466" t="s">
        <v>6035</v>
      </c>
      <c r="G3466" t="s">
        <v>6081</v>
      </c>
      <c r="H3466" t="s">
        <v>6098</v>
      </c>
      <c r="I3466">
        <v>4</v>
      </c>
      <c r="J3466">
        <v>13.8</v>
      </c>
      <c r="K3466" t="s">
        <v>6099</v>
      </c>
      <c r="L3466" t="s">
        <v>6100</v>
      </c>
      <c r="M3466" t="s">
        <v>6099</v>
      </c>
      <c r="N3466">
        <v>3</v>
      </c>
      <c r="O3466" t="s">
        <v>6101</v>
      </c>
      <c r="P3466" t="s">
        <v>6112</v>
      </c>
      <c r="Q3466">
        <v>6</v>
      </c>
      <c r="R3466">
        <v>2026</v>
      </c>
      <c r="S3466" t="s">
        <v>6100</v>
      </c>
      <c r="T3466">
        <v>0</v>
      </c>
      <c r="U3466" t="s">
        <v>6019</v>
      </c>
      <c r="V3466">
        <v>1</v>
      </c>
    </row>
    <row r="3467" spans="1:22" x14ac:dyDescent="0.3">
      <c r="A3467" t="s">
        <v>3482</v>
      </c>
      <c r="B3467" s="2">
        <v>46176.709722222222</v>
      </c>
      <c r="C3467" s="2">
        <v>46177.193055555559</v>
      </c>
      <c r="D3467" t="s">
        <v>6027</v>
      </c>
      <c r="E3467" t="s">
        <v>6030</v>
      </c>
      <c r="F3467" t="s">
        <v>6034</v>
      </c>
      <c r="G3467" t="s">
        <v>6052</v>
      </c>
      <c r="H3467" t="s">
        <v>6098</v>
      </c>
      <c r="I3467">
        <v>24</v>
      </c>
      <c r="J3467">
        <v>11.6</v>
      </c>
      <c r="K3467" t="s">
        <v>6099</v>
      </c>
      <c r="L3467" t="s">
        <v>6100</v>
      </c>
      <c r="M3467" t="s">
        <v>6100</v>
      </c>
      <c r="N3467">
        <v>5</v>
      </c>
      <c r="O3467" t="s">
        <v>6101</v>
      </c>
      <c r="P3467" t="s">
        <v>6112</v>
      </c>
      <c r="Q3467">
        <v>6</v>
      </c>
      <c r="R3467">
        <v>2026</v>
      </c>
      <c r="S3467" t="s">
        <v>6099</v>
      </c>
      <c r="T3467">
        <v>1</v>
      </c>
      <c r="U3467" t="s">
        <v>6021</v>
      </c>
      <c r="V3467">
        <v>1</v>
      </c>
    </row>
    <row r="3468" spans="1:22" x14ac:dyDescent="0.3">
      <c r="A3468" t="s">
        <v>3483</v>
      </c>
      <c r="B3468" s="2">
        <v>46176.73333333333</v>
      </c>
      <c r="C3468" s="2">
        <v>46177.112500000003</v>
      </c>
      <c r="D3468" t="s">
        <v>6027</v>
      </c>
      <c r="E3468" t="s">
        <v>6030</v>
      </c>
      <c r="F3468" t="s">
        <v>6033</v>
      </c>
      <c r="G3468" t="s">
        <v>6047</v>
      </c>
      <c r="H3468" t="s">
        <v>6098</v>
      </c>
      <c r="I3468">
        <v>72</v>
      </c>
      <c r="J3468">
        <v>9.1</v>
      </c>
      <c r="K3468" t="s">
        <v>6099</v>
      </c>
      <c r="L3468" t="s">
        <v>6100</v>
      </c>
      <c r="M3468" t="s">
        <v>6100</v>
      </c>
      <c r="N3468">
        <v>5</v>
      </c>
      <c r="O3468" t="s">
        <v>6101</v>
      </c>
      <c r="P3468" t="s">
        <v>6112</v>
      </c>
      <c r="Q3468">
        <v>6</v>
      </c>
      <c r="R3468">
        <v>2026</v>
      </c>
      <c r="S3468" t="s">
        <v>6099</v>
      </c>
      <c r="T3468">
        <v>1</v>
      </c>
      <c r="U3468" t="s">
        <v>6018</v>
      </c>
      <c r="V3468">
        <v>1</v>
      </c>
    </row>
    <row r="3469" spans="1:22" x14ac:dyDescent="0.3">
      <c r="A3469" t="s">
        <v>3484</v>
      </c>
      <c r="B3469" s="2">
        <v>46176.753472222219</v>
      </c>
      <c r="C3469" s="2">
        <v>46178.315972222219</v>
      </c>
      <c r="D3469" t="s">
        <v>6025</v>
      </c>
      <c r="E3469" t="s">
        <v>6031</v>
      </c>
      <c r="F3469" t="s">
        <v>6035</v>
      </c>
      <c r="G3469" t="s">
        <v>6083</v>
      </c>
      <c r="H3469" t="s">
        <v>6096</v>
      </c>
      <c r="I3469">
        <v>4</v>
      </c>
      <c r="J3469">
        <v>37.5</v>
      </c>
      <c r="K3469" t="s">
        <v>6099</v>
      </c>
      <c r="L3469" t="s">
        <v>6100</v>
      </c>
      <c r="M3469" t="s">
        <v>6100</v>
      </c>
      <c r="N3469">
        <v>3</v>
      </c>
      <c r="O3469" t="s">
        <v>6101</v>
      </c>
      <c r="P3469" t="s">
        <v>6112</v>
      </c>
      <c r="Q3469">
        <v>6</v>
      </c>
      <c r="R3469">
        <v>2026</v>
      </c>
      <c r="S3469" t="s">
        <v>6100</v>
      </c>
      <c r="T3469">
        <v>0</v>
      </c>
      <c r="U3469" t="s">
        <v>6018</v>
      </c>
      <c r="V3469">
        <v>1</v>
      </c>
    </row>
    <row r="3470" spans="1:22" x14ac:dyDescent="0.3">
      <c r="A3470" t="s">
        <v>3485</v>
      </c>
      <c r="B3470" s="2">
        <v>46176.81527777778</v>
      </c>
      <c r="C3470" s="2">
        <v>46177.06527777778</v>
      </c>
      <c r="D3470" t="s">
        <v>6023</v>
      </c>
      <c r="E3470" t="s">
        <v>6029</v>
      </c>
      <c r="F3470" t="s">
        <v>6034</v>
      </c>
      <c r="G3470" t="s">
        <v>6078</v>
      </c>
      <c r="H3470" t="s">
        <v>6097</v>
      </c>
      <c r="I3470">
        <v>24</v>
      </c>
      <c r="J3470">
        <v>6</v>
      </c>
      <c r="K3470" t="s">
        <v>6099</v>
      </c>
      <c r="L3470" t="s">
        <v>6100</v>
      </c>
      <c r="M3470" t="s">
        <v>6100</v>
      </c>
      <c r="N3470">
        <v>3</v>
      </c>
      <c r="O3470" t="s">
        <v>6101</v>
      </c>
      <c r="P3470" t="s">
        <v>6112</v>
      </c>
      <c r="Q3470">
        <v>6</v>
      </c>
      <c r="R3470">
        <v>2026</v>
      </c>
      <c r="S3470" t="s">
        <v>6099</v>
      </c>
      <c r="T3470">
        <v>1</v>
      </c>
      <c r="U3470" t="s">
        <v>6018</v>
      </c>
      <c r="V3470">
        <v>1</v>
      </c>
    </row>
    <row r="3471" spans="1:22" x14ac:dyDescent="0.3">
      <c r="A3471" t="s">
        <v>3486</v>
      </c>
      <c r="B3471" s="2">
        <v>46176.84097222222</v>
      </c>
      <c r="C3471" s="2">
        <v>46178.549305555556</v>
      </c>
      <c r="D3471" t="s">
        <v>6025</v>
      </c>
      <c r="E3471" t="s">
        <v>6031</v>
      </c>
      <c r="F3471" t="s">
        <v>6035</v>
      </c>
      <c r="G3471" t="s">
        <v>6058</v>
      </c>
      <c r="H3471" t="s">
        <v>6098</v>
      </c>
      <c r="I3471">
        <v>4</v>
      </c>
      <c r="J3471">
        <v>41</v>
      </c>
      <c r="K3471" t="s">
        <v>6099</v>
      </c>
      <c r="L3471" t="s">
        <v>6100</v>
      </c>
      <c r="M3471" t="s">
        <v>6100</v>
      </c>
      <c r="O3471" t="s">
        <v>6101</v>
      </c>
      <c r="P3471" t="s">
        <v>6112</v>
      </c>
      <c r="Q3471">
        <v>6</v>
      </c>
      <c r="R3471">
        <v>2026</v>
      </c>
      <c r="S3471" t="s">
        <v>6100</v>
      </c>
      <c r="T3471">
        <v>0</v>
      </c>
      <c r="U3471" t="s">
        <v>6018</v>
      </c>
      <c r="V3471">
        <v>1</v>
      </c>
    </row>
    <row r="3472" spans="1:22" x14ac:dyDescent="0.3">
      <c r="A3472" t="s">
        <v>3487</v>
      </c>
      <c r="B3472" s="2">
        <v>46176.96875</v>
      </c>
      <c r="C3472" s="2">
        <v>46178.147916666669</v>
      </c>
      <c r="D3472" t="s">
        <v>6022</v>
      </c>
      <c r="E3472" t="s">
        <v>6031</v>
      </c>
      <c r="F3472" t="s">
        <v>6034</v>
      </c>
      <c r="G3472" t="s">
        <v>6070</v>
      </c>
      <c r="H3472" t="s">
        <v>6097</v>
      </c>
      <c r="I3472">
        <v>24</v>
      </c>
      <c r="J3472">
        <v>28.3</v>
      </c>
      <c r="K3472" t="s">
        <v>6099</v>
      </c>
      <c r="L3472" t="s">
        <v>6100</v>
      </c>
      <c r="M3472" t="s">
        <v>6100</v>
      </c>
      <c r="N3472">
        <v>5</v>
      </c>
      <c r="O3472" t="s">
        <v>6101</v>
      </c>
      <c r="P3472" t="s">
        <v>6112</v>
      </c>
      <c r="Q3472">
        <v>6</v>
      </c>
      <c r="R3472">
        <v>2026</v>
      </c>
      <c r="S3472" t="s">
        <v>6100</v>
      </c>
      <c r="T3472">
        <v>0</v>
      </c>
      <c r="U3472" t="s">
        <v>6020</v>
      </c>
      <c r="V3472">
        <v>1</v>
      </c>
    </row>
    <row r="3473" spans="1:22" x14ac:dyDescent="0.3">
      <c r="A3473" t="s">
        <v>3488</v>
      </c>
      <c r="B3473" s="2">
        <v>46177.275694444441</v>
      </c>
      <c r="C3473" s="2">
        <v>46177.313194444447</v>
      </c>
      <c r="D3473" t="s">
        <v>6023</v>
      </c>
      <c r="E3473" t="s">
        <v>6030</v>
      </c>
      <c r="F3473" t="s">
        <v>6033</v>
      </c>
      <c r="G3473" t="s">
        <v>6067</v>
      </c>
      <c r="H3473" t="s">
        <v>6098</v>
      </c>
      <c r="I3473">
        <v>72</v>
      </c>
      <c r="J3473">
        <v>0.9</v>
      </c>
      <c r="K3473" t="s">
        <v>6099</v>
      </c>
      <c r="L3473" t="s">
        <v>6100</v>
      </c>
      <c r="M3473" t="s">
        <v>6100</v>
      </c>
      <c r="N3473">
        <v>4</v>
      </c>
      <c r="O3473" t="s">
        <v>6101</v>
      </c>
      <c r="P3473" t="s">
        <v>6112</v>
      </c>
      <c r="Q3473">
        <v>6</v>
      </c>
      <c r="R3473">
        <v>2026</v>
      </c>
      <c r="S3473" t="s">
        <v>6099</v>
      </c>
      <c r="T3473">
        <v>1</v>
      </c>
      <c r="U3473" t="s">
        <v>6017</v>
      </c>
      <c r="V3473">
        <v>1</v>
      </c>
    </row>
    <row r="3474" spans="1:22" x14ac:dyDescent="0.3">
      <c r="A3474" t="s">
        <v>3489</v>
      </c>
      <c r="B3474" s="2">
        <v>46177.296527777777</v>
      </c>
      <c r="C3474" s="2">
        <v>46178.417361111111</v>
      </c>
      <c r="D3474" t="s">
        <v>6028</v>
      </c>
      <c r="E3474" t="s">
        <v>6031</v>
      </c>
      <c r="F3474" t="s">
        <v>6034</v>
      </c>
      <c r="G3474" t="s">
        <v>6041</v>
      </c>
      <c r="H3474" t="s">
        <v>6096</v>
      </c>
      <c r="I3474">
        <v>24</v>
      </c>
      <c r="J3474">
        <v>26.9</v>
      </c>
      <c r="K3474" t="s">
        <v>6099</v>
      </c>
      <c r="L3474" t="s">
        <v>6100</v>
      </c>
      <c r="M3474" t="s">
        <v>6100</v>
      </c>
      <c r="O3474" t="s">
        <v>6101</v>
      </c>
      <c r="P3474" t="s">
        <v>6112</v>
      </c>
      <c r="Q3474">
        <v>6</v>
      </c>
      <c r="R3474">
        <v>2026</v>
      </c>
      <c r="S3474" t="s">
        <v>6100</v>
      </c>
      <c r="T3474">
        <v>0</v>
      </c>
      <c r="U3474" t="s">
        <v>6017</v>
      </c>
      <c r="V3474">
        <v>1</v>
      </c>
    </row>
    <row r="3475" spans="1:22" x14ac:dyDescent="0.3">
      <c r="A3475" t="s">
        <v>3490</v>
      </c>
      <c r="B3475" s="2">
        <v>46177.324999999997</v>
      </c>
      <c r="C3475" s="2">
        <v>46177.591666666667</v>
      </c>
      <c r="D3475" t="s">
        <v>6028</v>
      </c>
      <c r="E3475" t="s">
        <v>6029</v>
      </c>
      <c r="F3475" t="s">
        <v>6035</v>
      </c>
      <c r="G3475" t="s">
        <v>6037</v>
      </c>
      <c r="H3475" t="s">
        <v>6096</v>
      </c>
      <c r="I3475">
        <v>4</v>
      </c>
      <c r="J3475">
        <v>6.4</v>
      </c>
      <c r="K3475" t="s">
        <v>6099</v>
      </c>
      <c r="L3475" t="s">
        <v>6100</v>
      </c>
      <c r="M3475" t="s">
        <v>6100</v>
      </c>
      <c r="N3475">
        <v>5</v>
      </c>
      <c r="O3475" t="s">
        <v>6101</v>
      </c>
      <c r="P3475" t="s">
        <v>6112</v>
      </c>
      <c r="Q3475">
        <v>6</v>
      </c>
      <c r="R3475">
        <v>2026</v>
      </c>
      <c r="S3475" t="s">
        <v>6100</v>
      </c>
      <c r="T3475">
        <v>0</v>
      </c>
      <c r="U3475" t="s">
        <v>6018</v>
      </c>
      <c r="V3475">
        <v>1</v>
      </c>
    </row>
    <row r="3476" spans="1:22" x14ac:dyDescent="0.3">
      <c r="A3476" t="s">
        <v>3491</v>
      </c>
      <c r="B3476" s="2">
        <v>46177.386111111111</v>
      </c>
      <c r="C3476" s="2">
        <v>46184.056944444441</v>
      </c>
      <c r="D3476" t="s">
        <v>6026</v>
      </c>
      <c r="E3476" t="s">
        <v>6031</v>
      </c>
      <c r="F3476" t="s">
        <v>6034</v>
      </c>
      <c r="G3476" t="s">
        <v>6072</v>
      </c>
      <c r="H3476" t="s">
        <v>6097</v>
      </c>
      <c r="I3476">
        <v>24</v>
      </c>
      <c r="J3476">
        <v>160.1</v>
      </c>
      <c r="K3476" t="s">
        <v>6100</v>
      </c>
      <c r="L3476" t="s">
        <v>6100</v>
      </c>
      <c r="M3476" t="s">
        <v>6100</v>
      </c>
      <c r="N3476">
        <v>4</v>
      </c>
      <c r="O3476" t="s">
        <v>6101</v>
      </c>
      <c r="P3476" t="s">
        <v>6112</v>
      </c>
      <c r="Q3476">
        <v>6</v>
      </c>
      <c r="R3476">
        <v>2026</v>
      </c>
      <c r="S3476" t="s">
        <v>6100</v>
      </c>
      <c r="T3476">
        <v>0</v>
      </c>
      <c r="U3476" t="s">
        <v>6018</v>
      </c>
      <c r="V3476">
        <v>0</v>
      </c>
    </row>
    <row r="3477" spans="1:22" x14ac:dyDescent="0.3">
      <c r="A3477" t="s">
        <v>3492</v>
      </c>
      <c r="B3477" s="2">
        <v>46177.431944444441</v>
      </c>
      <c r="C3477" s="2">
        <v>46178.444444444445</v>
      </c>
      <c r="D3477" t="s">
        <v>6024</v>
      </c>
      <c r="E3477" t="s">
        <v>6032</v>
      </c>
      <c r="F3477" t="s">
        <v>6034</v>
      </c>
      <c r="G3477" t="s">
        <v>6087</v>
      </c>
      <c r="H3477" t="s">
        <v>6098</v>
      </c>
      <c r="I3477">
        <v>24</v>
      </c>
      <c r="J3477">
        <v>24.3</v>
      </c>
      <c r="K3477" t="s">
        <v>6100</v>
      </c>
      <c r="L3477" t="s">
        <v>6099</v>
      </c>
      <c r="M3477" t="s">
        <v>6100</v>
      </c>
      <c r="N3477">
        <v>2</v>
      </c>
      <c r="O3477" t="s">
        <v>6101</v>
      </c>
      <c r="P3477" t="s">
        <v>6112</v>
      </c>
      <c r="Q3477">
        <v>6</v>
      </c>
      <c r="R3477">
        <v>2026</v>
      </c>
      <c r="S3477" t="s">
        <v>6100</v>
      </c>
      <c r="T3477">
        <v>0</v>
      </c>
      <c r="U3477" t="s">
        <v>6020</v>
      </c>
      <c r="V3477">
        <v>0</v>
      </c>
    </row>
    <row r="3478" spans="1:22" x14ac:dyDescent="0.3">
      <c r="A3478" t="s">
        <v>3493</v>
      </c>
      <c r="B3478" s="2">
        <v>46177.503472222219</v>
      </c>
      <c r="C3478" s="2">
        <v>46177.807638888888</v>
      </c>
      <c r="D3478" t="s">
        <v>6022</v>
      </c>
      <c r="E3478" t="s">
        <v>6029</v>
      </c>
      <c r="F3478" t="s">
        <v>6035</v>
      </c>
      <c r="G3478" t="s">
        <v>6067</v>
      </c>
      <c r="H3478" t="s">
        <v>6098</v>
      </c>
      <c r="I3478">
        <v>4</v>
      </c>
      <c r="J3478">
        <v>7.3</v>
      </c>
      <c r="K3478" t="s">
        <v>6099</v>
      </c>
      <c r="L3478" t="s">
        <v>6100</v>
      </c>
      <c r="M3478" t="s">
        <v>6100</v>
      </c>
      <c r="N3478">
        <v>5</v>
      </c>
      <c r="O3478" t="s">
        <v>6101</v>
      </c>
      <c r="P3478" t="s">
        <v>6112</v>
      </c>
      <c r="Q3478">
        <v>6</v>
      </c>
      <c r="R3478">
        <v>2026</v>
      </c>
      <c r="S3478" t="s">
        <v>6100</v>
      </c>
      <c r="T3478">
        <v>0</v>
      </c>
      <c r="U3478" t="s">
        <v>6018</v>
      </c>
      <c r="V3478">
        <v>1</v>
      </c>
    </row>
    <row r="3479" spans="1:22" x14ac:dyDescent="0.3">
      <c r="A3479" t="s">
        <v>3494</v>
      </c>
      <c r="B3479" s="2">
        <v>46177.538194444445</v>
      </c>
      <c r="C3479" s="2">
        <v>46177.650694444441</v>
      </c>
      <c r="D3479" t="s">
        <v>6023</v>
      </c>
      <c r="E3479" t="s">
        <v>6030</v>
      </c>
      <c r="F3479" t="s">
        <v>6033</v>
      </c>
      <c r="G3479" t="s">
        <v>6081</v>
      </c>
      <c r="H3479" t="s">
        <v>6098</v>
      </c>
      <c r="I3479">
        <v>72</v>
      </c>
      <c r="J3479">
        <v>2.7</v>
      </c>
      <c r="K3479" t="s">
        <v>6100</v>
      </c>
      <c r="L3479" t="s">
        <v>6099</v>
      </c>
      <c r="M3479" t="s">
        <v>6100</v>
      </c>
      <c r="N3479">
        <v>4</v>
      </c>
      <c r="O3479" t="s">
        <v>6101</v>
      </c>
      <c r="P3479" t="s">
        <v>6112</v>
      </c>
      <c r="Q3479">
        <v>6</v>
      </c>
      <c r="R3479">
        <v>2026</v>
      </c>
      <c r="S3479" t="s">
        <v>6099</v>
      </c>
      <c r="T3479">
        <v>1</v>
      </c>
      <c r="U3479" t="s">
        <v>6021</v>
      </c>
      <c r="V3479">
        <v>0</v>
      </c>
    </row>
    <row r="3480" spans="1:22" x14ac:dyDescent="0.3">
      <c r="A3480" t="s">
        <v>3495</v>
      </c>
      <c r="B3480" s="2">
        <v>46177.572916666664</v>
      </c>
      <c r="C3480" s="2">
        <v>46177.65625</v>
      </c>
      <c r="D3480" t="s">
        <v>6023</v>
      </c>
      <c r="E3480" t="s">
        <v>6029</v>
      </c>
      <c r="F3480" t="s">
        <v>6033</v>
      </c>
      <c r="G3480" t="s">
        <v>6044</v>
      </c>
      <c r="H3480" t="s">
        <v>6097</v>
      </c>
      <c r="I3480">
        <v>72</v>
      </c>
      <c r="J3480">
        <v>2</v>
      </c>
      <c r="K3480" t="s">
        <v>6099</v>
      </c>
      <c r="L3480" t="s">
        <v>6100</v>
      </c>
      <c r="M3480" t="s">
        <v>6100</v>
      </c>
      <c r="N3480">
        <v>5</v>
      </c>
      <c r="O3480" t="s">
        <v>6101</v>
      </c>
      <c r="P3480" t="s">
        <v>6112</v>
      </c>
      <c r="Q3480">
        <v>6</v>
      </c>
      <c r="R3480">
        <v>2026</v>
      </c>
      <c r="S3480" t="s">
        <v>6099</v>
      </c>
      <c r="T3480">
        <v>1</v>
      </c>
      <c r="U3480" t="s">
        <v>6017</v>
      </c>
      <c r="V3480">
        <v>1</v>
      </c>
    </row>
    <row r="3481" spans="1:22" x14ac:dyDescent="0.3">
      <c r="A3481" t="s">
        <v>3496</v>
      </c>
      <c r="B3481" s="2">
        <v>46177.661111111112</v>
      </c>
      <c r="C3481" s="2">
        <v>46178.223611111112</v>
      </c>
      <c r="D3481" t="s">
        <v>6023</v>
      </c>
      <c r="E3481" t="s">
        <v>6029</v>
      </c>
      <c r="F3481" t="s">
        <v>6033</v>
      </c>
      <c r="G3481" t="s">
        <v>6037</v>
      </c>
      <c r="H3481" t="s">
        <v>6096</v>
      </c>
      <c r="I3481">
        <v>72</v>
      </c>
      <c r="J3481">
        <v>13.5</v>
      </c>
      <c r="K3481" t="s">
        <v>6099</v>
      </c>
      <c r="L3481" t="s">
        <v>6100</v>
      </c>
      <c r="M3481" t="s">
        <v>6100</v>
      </c>
      <c r="N3481">
        <v>5</v>
      </c>
      <c r="O3481" t="s">
        <v>6101</v>
      </c>
      <c r="P3481" t="s">
        <v>6112</v>
      </c>
      <c r="Q3481">
        <v>6</v>
      </c>
      <c r="R3481">
        <v>2026</v>
      </c>
      <c r="S3481" t="s">
        <v>6099</v>
      </c>
      <c r="T3481">
        <v>1</v>
      </c>
      <c r="U3481" t="s">
        <v>6021</v>
      </c>
      <c r="V3481">
        <v>1</v>
      </c>
    </row>
    <row r="3482" spans="1:22" x14ac:dyDescent="0.3">
      <c r="A3482" t="s">
        <v>3497</v>
      </c>
      <c r="B3482" s="2">
        <v>46177.870833333334</v>
      </c>
      <c r="C3482" s="2">
        <v>46183.01666666667</v>
      </c>
      <c r="D3482" t="s">
        <v>6022</v>
      </c>
      <c r="E3482" t="s">
        <v>6031</v>
      </c>
      <c r="F3482" t="s">
        <v>6034</v>
      </c>
      <c r="G3482" t="s">
        <v>6081</v>
      </c>
      <c r="H3482" t="s">
        <v>6098</v>
      </c>
      <c r="I3482">
        <v>24</v>
      </c>
      <c r="J3482">
        <v>123.5</v>
      </c>
      <c r="K3482" t="s">
        <v>6099</v>
      </c>
      <c r="L3482" t="s">
        <v>6100</v>
      </c>
      <c r="M3482" t="s">
        <v>6100</v>
      </c>
      <c r="O3482" t="s">
        <v>6101</v>
      </c>
      <c r="P3482" t="s">
        <v>6112</v>
      </c>
      <c r="Q3482">
        <v>6</v>
      </c>
      <c r="R3482">
        <v>2026</v>
      </c>
      <c r="S3482" t="s">
        <v>6100</v>
      </c>
      <c r="T3482">
        <v>0</v>
      </c>
      <c r="U3482" t="s">
        <v>6019</v>
      </c>
      <c r="V3482">
        <v>1</v>
      </c>
    </row>
    <row r="3483" spans="1:22" x14ac:dyDescent="0.3">
      <c r="A3483" t="s">
        <v>3498</v>
      </c>
      <c r="B3483" s="2">
        <v>46177.897916666669</v>
      </c>
      <c r="C3483" s="2">
        <v>46178.268750000003</v>
      </c>
      <c r="D3483" t="s">
        <v>6022</v>
      </c>
      <c r="E3483" t="s">
        <v>6029</v>
      </c>
      <c r="F3483" t="s">
        <v>6035</v>
      </c>
      <c r="G3483" t="s">
        <v>6062</v>
      </c>
      <c r="H3483" t="s">
        <v>6096</v>
      </c>
      <c r="I3483">
        <v>4</v>
      </c>
      <c r="J3483">
        <v>8.9</v>
      </c>
      <c r="K3483" t="s">
        <v>6099</v>
      </c>
      <c r="L3483" t="s">
        <v>6100</v>
      </c>
      <c r="M3483" t="s">
        <v>6100</v>
      </c>
      <c r="O3483" t="s">
        <v>6101</v>
      </c>
      <c r="P3483" t="s">
        <v>6112</v>
      </c>
      <c r="Q3483">
        <v>6</v>
      </c>
      <c r="R3483">
        <v>2026</v>
      </c>
      <c r="S3483" t="s">
        <v>6100</v>
      </c>
      <c r="T3483">
        <v>0</v>
      </c>
      <c r="U3483" t="s">
        <v>6021</v>
      </c>
      <c r="V3483">
        <v>1</v>
      </c>
    </row>
    <row r="3484" spans="1:22" x14ac:dyDescent="0.3">
      <c r="A3484" t="s">
        <v>3499</v>
      </c>
      <c r="B3484" s="2">
        <v>46178.263888888891</v>
      </c>
      <c r="C3484" s="2">
        <v>46178.709722222222</v>
      </c>
      <c r="D3484" t="s">
        <v>6023</v>
      </c>
      <c r="E3484" t="s">
        <v>6032</v>
      </c>
      <c r="F3484" t="s">
        <v>6034</v>
      </c>
      <c r="G3484" t="s">
        <v>6047</v>
      </c>
      <c r="H3484" t="s">
        <v>6098</v>
      </c>
      <c r="I3484">
        <v>24</v>
      </c>
      <c r="J3484">
        <v>10.7</v>
      </c>
      <c r="K3484" t="s">
        <v>6099</v>
      </c>
      <c r="L3484" t="s">
        <v>6100</v>
      </c>
      <c r="M3484" t="s">
        <v>6100</v>
      </c>
      <c r="N3484">
        <v>4</v>
      </c>
      <c r="O3484" t="s">
        <v>6101</v>
      </c>
      <c r="P3484" t="s">
        <v>6112</v>
      </c>
      <c r="Q3484">
        <v>6</v>
      </c>
      <c r="R3484">
        <v>2026</v>
      </c>
      <c r="S3484" t="s">
        <v>6099</v>
      </c>
      <c r="T3484">
        <v>1</v>
      </c>
      <c r="U3484" t="s">
        <v>6020</v>
      </c>
      <c r="V3484">
        <v>1</v>
      </c>
    </row>
    <row r="3485" spans="1:22" x14ac:dyDescent="0.3">
      <c r="A3485" t="s">
        <v>3500</v>
      </c>
      <c r="B3485" s="2">
        <v>46178.272222222222</v>
      </c>
      <c r="C3485" s="2">
        <v>46178.926388888889</v>
      </c>
      <c r="D3485" t="s">
        <v>6028</v>
      </c>
      <c r="E3485" t="s">
        <v>6032</v>
      </c>
      <c r="F3485" t="s">
        <v>6035</v>
      </c>
      <c r="G3485" t="s">
        <v>6055</v>
      </c>
      <c r="H3485" t="s">
        <v>6096</v>
      </c>
      <c r="I3485">
        <v>4</v>
      </c>
      <c r="J3485">
        <v>15.7</v>
      </c>
      <c r="K3485" t="s">
        <v>6099</v>
      </c>
      <c r="L3485" t="s">
        <v>6100</v>
      </c>
      <c r="M3485" t="s">
        <v>6100</v>
      </c>
      <c r="O3485" t="s">
        <v>6101</v>
      </c>
      <c r="P3485" t="s">
        <v>6112</v>
      </c>
      <c r="Q3485">
        <v>6</v>
      </c>
      <c r="R3485">
        <v>2026</v>
      </c>
      <c r="S3485" t="s">
        <v>6100</v>
      </c>
      <c r="T3485">
        <v>0</v>
      </c>
      <c r="U3485" t="s">
        <v>6020</v>
      </c>
      <c r="V3485">
        <v>1</v>
      </c>
    </row>
    <row r="3486" spans="1:22" x14ac:dyDescent="0.3">
      <c r="A3486" t="s">
        <v>3501</v>
      </c>
      <c r="B3486" s="2">
        <v>46178.320138888892</v>
      </c>
      <c r="C3486" s="2">
        <v>46178.699305555558</v>
      </c>
      <c r="D3486" t="s">
        <v>6028</v>
      </c>
      <c r="E3486" t="s">
        <v>6030</v>
      </c>
      <c r="F3486" t="s">
        <v>6035</v>
      </c>
      <c r="G3486" t="s">
        <v>6079</v>
      </c>
      <c r="H3486" t="s">
        <v>6097</v>
      </c>
      <c r="I3486">
        <v>4</v>
      </c>
      <c r="J3486">
        <v>9.1</v>
      </c>
      <c r="K3486" t="s">
        <v>6099</v>
      </c>
      <c r="L3486" t="s">
        <v>6100</v>
      </c>
      <c r="M3486" t="s">
        <v>6100</v>
      </c>
      <c r="O3486" t="s">
        <v>6101</v>
      </c>
      <c r="P3486" t="s">
        <v>6112</v>
      </c>
      <c r="Q3486">
        <v>6</v>
      </c>
      <c r="R3486">
        <v>2026</v>
      </c>
      <c r="S3486" t="s">
        <v>6100</v>
      </c>
      <c r="T3486">
        <v>0</v>
      </c>
      <c r="U3486" t="s">
        <v>6021</v>
      </c>
      <c r="V3486">
        <v>1</v>
      </c>
    </row>
    <row r="3487" spans="1:22" x14ac:dyDescent="0.3">
      <c r="A3487" t="s">
        <v>3502</v>
      </c>
      <c r="B3487" s="2">
        <v>46178.324305555558</v>
      </c>
      <c r="C3487" s="2">
        <v>46178.745138888888</v>
      </c>
      <c r="D3487" t="s">
        <v>6023</v>
      </c>
      <c r="E3487" t="s">
        <v>6032</v>
      </c>
      <c r="F3487" t="s">
        <v>6033</v>
      </c>
      <c r="G3487" t="s">
        <v>6090</v>
      </c>
      <c r="H3487" t="s">
        <v>6097</v>
      </c>
      <c r="I3487">
        <v>72</v>
      </c>
      <c r="J3487">
        <v>10.1</v>
      </c>
      <c r="K3487" t="s">
        <v>6099</v>
      </c>
      <c r="L3487" t="s">
        <v>6100</v>
      </c>
      <c r="M3487" t="s">
        <v>6100</v>
      </c>
      <c r="O3487" t="s">
        <v>6101</v>
      </c>
      <c r="P3487" t="s">
        <v>6112</v>
      </c>
      <c r="Q3487">
        <v>6</v>
      </c>
      <c r="R3487">
        <v>2026</v>
      </c>
      <c r="S3487" t="s">
        <v>6099</v>
      </c>
      <c r="T3487">
        <v>1</v>
      </c>
      <c r="U3487" t="s">
        <v>6019</v>
      </c>
      <c r="V3487">
        <v>1</v>
      </c>
    </row>
    <row r="3488" spans="1:22" x14ac:dyDescent="0.3">
      <c r="A3488" t="s">
        <v>3503</v>
      </c>
      <c r="B3488" s="2">
        <v>46178.365972222222</v>
      </c>
      <c r="C3488" s="2">
        <v>46179.799305555556</v>
      </c>
      <c r="D3488" t="s">
        <v>6028</v>
      </c>
      <c r="E3488" t="s">
        <v>6031</v>
      </c>
      <c r="F3488" t="s">
        <v>6035</v>
      </c>
      <c r="G3488" t="s">
        <v>6092</v>
      </c>
      <c r="H3488" t="s">
        <v>6097</v>
      </c>
      <c r="I3488">
        <v>4</v>
      </c>
      <c r="J3488">
        <v>34.4</v>
      </c>
      <c r="K3488" t="s">
        <v>6099</v>
      </c>
      <c r="L3488" t="s">
        <v>6100</v>
      </c>
      <c r="M3488" t="s">
        <v>6099</v>
      </c>
      <c r="N3488">
        <v>5</v>
      </c>
      <c r="O3488" t="s">
        <v>6101</v>
      </c>
      <c r="P3488" t="s">
        <v>6112</v>
      </c>
      <c r="Q3488">
        <v>6</v>
      </c>
      <c r="R3488">
        <v>2026</v>
      </c>
      <c r="S3488" t="s">
        <v>6100</v>
      </c>
      <c r="T3488">
        <v>0</v>
      </c>
      <c r="U3488" t="s">
        <v>6017</v>
      </c>
      <c r="V3488">
        <v>1</v>
      </c>
    </row>
    <row r="3489" spans="1:22" x14ac:dyDescent="0.3">
      <c r="A3489" t="s">
        <v>3504</v>
      </c>
      <c r="B3489" s="2">
        <v>46178.379166666666</v>
      </c>
      <c r="C3489" s="2">
        <v>46178.529166666667</v>
      </c>
      <c r="D3489" t="s">
        <v>6023</v>
      </c>
      <c r="E3489" t="s">
        <v>6029</v>
      </c>
      <c r="F3489" t="s">
        <v>6034</v>
      </c>
      <c r="G3489" t="s">
        <v>6053</v>
      </c>
      <c r="H3489" t="s">
        <v>6097</v>
      </c>
      <c r="I3489">
        <v>24</v>
      </c>
      <c r="J3489">
        <v>3.6</v>
      </c>
      <c r="K3489" t="s">
        <v>6099</v>
      </c>
      <c r="L3489" t="s">
        <v>6100</v>
      </c>
      <c r="M3489" t="s">
        <v>6099</v>
      </c>
      <c r="O3489" t="s">
        <v>6101</v>
      </c>
      <c r="P3489" t="s">
        <v>6112</v>
      </c>
      <c r="Q3489">
        <v>6</v>
      </c>
      <c r="R3489">
        <v>2026</v>
      </c>
      <c r="S3489" t="s">
        <v>6099</v>
      </c>
      <c r="T3489">
        <v>1</v>
      </c>
      <c r="U3489" t="s">
        <v>6017</v>
      </c>
      <c r="V3489">
        <v>1</v>
      </c>
    </row>
    <row r="3490" spans="1:22" x14ac:dyDescent="0.3">
      <c r="A3490" t="s">
        <v>3505</v>
      </c>
      <c r="B3490" s="2">
        <v>46178.429166666669</v>
      </c>
      <c r="C3490" s="2">
        <v>46184.737500000003</v>
      </c>
      <c r="D3490" t="s">
        <v>6026</v>
      </c>
      <c r="E3490" t="s">
        <v>6031</v>
      </c>
      <c r="F3490" t="s">
        <v>6034</v>
      </c>
      <c r="G3490" t="s">
        <v>6054</v>
      </c>
      <c r="H3490" t="s">
        <v>6096</v>
      </c>
      <c r="I3490">
        <v>24</v>
      </c>
      <c r="J3490">
        <v>151.4</v>
      </c>
      <c r="K3490" t="s">
        <v>6100</v>
      </c>
      <c r="L3490" t="s">
        <v>6099</v>
      </c>
      <c r="M3490" t="s">
        <v>6100</v>
      </c>
      <c r="O3490" t="s">
        <v>6101</v>
      </c>
      <c r="P3490" t="s">
        <v>6112</v>
      </c>
      <c r="Q3490">
        <v>6</v>
      </c>
      <c r="R3490">
        <v>2026</v>
      </c>
      <c r="S3490" t="s">
        <v>6100</v>
      </c>
      <c r="T3490">
        <v>0</v>
      </c>
      <c r="U3490" t="s">
        <v>6020</v>
      </c>
      <c r="V3490">
        <v>0</v>
      </c>
    </row>
    <row r="3491" spans="1:22" x14ac:dyDescent="0.3">
      <c r="A3491" t="s">
        <v>3506</v>
      </c>
      <c r="B3491" s="2">
        <v>46178.431250000001</v>
      </c>
      <c r="C3491" s="2">
        <v>46181.852083333331</v>
      </c>
      <c r="D3491" t="s">
        <v>6026</v>
      </c>
      <c r="E3491" t="s">
        <v>6031</v>
      </c>
      <c r="F3491" t="s">
        <v>6034</v>
      </c>
      <c r="G3491" t="s">
        <v>6072</v>
      </c>
      <c r="H3491" t="s">
        <v>6097</v>
      </c>
      <c r="I3491">
        <v>24</v>
      </c>
      <c r="J3491">
        <v>82.1</v>
      </c>
      <c r="K3491" t="s">
        <v>6099</v>
      </c>
      <c r="L3491" t="s">
        <v>6100</v>
      </c>
      <c r="M3491" t="s">
        <v>6100</v>
      </c>
      <c r="O3491" t="s">
        <v>6101</v>
      </c>
      <c r="P3491" t="s">
        <v>6112</v>
      </c>
      <c r="Q3491">
        <v>6</v>
      </c>
      <c r="R3491">
        <v>2026</v>
      </c>
      <c r="S3491" t="s">
        <v>6100</v>
      </c>
      <c r="T3491">
        <v>0</v>
      </c>
      <c r="U3491" t="s">
        <v>6019</v>
      </c>
      <c r="V3491">
        <v>1</v>
      </c>
    </row>
    <row r="3492" spans="1:22" x14ac:dyDescent="0.3">
      <c r="A3492" t="s">
        <v>3507</v>
      </c>
      <c r="B3492" s="2">
        <v>46178.436805555553</v>
      </c>
      <c r="C3492" s="2">
        <v>46178.699305555558</v>
      </c>
      <c r="D3492" t="s">
        <v>6024</v>
      </c>
      <c r="E3492" t="s">
        <v>6029</v>
      </c>
      <c r="F3492" t="s">
        <v>6033</v>
      </c>
      <c r="G3492" t="s">
        <v>6076</v>
      </c>
      <c r="H3492" t="s">
        <v>6097</v>
      </c>
      <c r="I3492">
        <v>72</v>
      </c>
      <c r="J3492">
        <v>6.3</v>
      </c>
      <c r="K3492" t="s">
        <v>6099</v>
      </c>
      <c r="L3492" t="s">
        <v>6100</v>
      </c>
      <c r="M3492" t="s">
        <v>6100</v>
      </c>
      <c r="O3492" t="s">
        <v>6101</v>
      </c>
      <c r="P3492" t="s">
        <v>6112</v>
      </c>
      <c r="Q3492">
        <v>6</v>
      </c>
      <c r="R3492">
        <v>2026</v>
      </c>
      <c r="S3492" t="s">
        <v>6099</v>
      </c>
      <c r="T3492">
        <v>1</v>
      </c>
      <c r="U3492" t="s">
        <v>6021</v>
      </c>
      <c r="V3492">
        <v>1</v>
      </c>
    </row>
    <row r="3493" spans="1:22" x14ac:dyDescent="0.3">
      <c r="A3493" t="s">
        <v>3508</v>
      </c>
      <c r="B3493" s="2">
        <v>46178.446527777778</v>
      </c>
      <c r="C3493" s="2">
        <v>46178.604861111111</v>
      </c>
      <c r="D3493" t="s">
        <v>6024</v>
      </c>
      <c r="E3493" t="s">
        <v>6029</v>
      </c>
      <c r="F3493" t="s">
        <v>6034</v>
      </c>
      <c r="G3493" t="s">
        <v>6093</v>
      </c>
      <c r="H3493" t="s">
        <v>6097</v>
      </c>
      <c r="I3493">
        <v>24</v>
      </c>
      <c r="J3493">
        <v>3.8</v>
      </c>
      <c r="K3493" t="s">
        <v>6099</v>
      </c>
      <c r="L3493" t="s">
        <v>6100</v>
      </c>
      <c r="M3493" t="s">
        <v>6100</v>
      </c>
      <c r="O3493" t="s">
        <v>6101</v>
      </c>
      <c r="P3493" t="s">
        <v>6112</v>
      </c>
      <c r="Q3493">
        <v>6</v>
      </c>
      <c r="R3493">
        <v>2026</v>
      </c>
      <c r="S3493" t="s">
        <v>6099</v>
      </c>
      <c r="T3493">
        <v>1</v>
      </c>
      <c r="U3493" t="s">
        <v>6021</v>
      </c>
      <c r="V3493">
        <v>1</v>
      </c>
    </row>
    <row r="3494" spans="1:22" x14ac:dyDescent="0.3">
      <c r="A3494" t="s">
        <v>3509</v>
      </c>
      <c r="B3494" s="2">
        <v>46178.46597222222</v>
      </c>
      <c r="C3494" s="2">
        <v>46178.632638888892</v>
      </c>
      <c r="D3494" t="s">
        <v>6024</v>
      </c>
      <c r="E3494" t="s">
        <v>6030</v>
      </c>
      <c r="F3494" t="s">
        <v>6033</v>
      </c>
      <c r="G3494" t="s">
        <v>6070</v>
      </c>
      <c r="H3494" t="s">
        <v>6097</v>
      </c>
      <c r="I3494">
        <v>72</v>
      </c>
      <c r="J3494">
        <v>4</v>
      </c>
      <c r="K3494" t="s">
        <v>6099</v>
      </c>
      <c r="L3494" t="s">
        <v>6100</v>
      </c>
      <c r="M3494" t="s">
        <v>6100</v>
      </c>
      <c r="O3494" t="s">
        <v>6101</v>
      </c>
      <c r="P3494" t="s">
        <v>6112</v>
      </c>
      <c r="Q3494">
        <v>6</v>
      </c>
      <c r="R3494">
        <v>2026</v>
      </c>
      <c r="S3494" t="s">
        <v>6099</v>
      </c>
      <c r="T3494">
        <v>1</v>
      </c>
      <c r="U3494" t="s">
        <v>6017</v>
      </c>
      <c r="V3494">
        <v>1</v>
      </c>
    </row>
    <row r="3495" spans="1:22" x14ac:dyDescent="0.3">
      <c r="A3495" t="s">
        <v>3510</v>
      </c>
      <c r="B3495" s="2">
        <v>46178.496527777781</v>
      </c>
      <c r="C3495" s="2">
        <v>46178.867361111108</v>
      </c>
      <c r="D3495" t="s">
        <v>6024</v>
      </c>
      <c r="E3495" t="s">
        <v>6031</v>
      </c>
      <c r="F3495" t="s">
        <v>6034</v>
      </c>
      <c r="G3495" t="s">
        <v>6042</v>
      </c>
      <c r="H3495" t="s">
        <v>6098</v>
      </c>
      <c r="I3495">
        <v>24</v>
      </c>
      <c r="J3495">
        <v>8.9</v>
      </c>
      <c r="K3495" t="s">
        <v>6100</v>
      </c>
      <c r="L3495" t="s">
        <v>6099</v>
      </c>
      <c r="M3495" t="s">
        <v>6100</v>
      </c>
      <c r="N3495">
        <v>4</v>
      </c>
      <c r="O3495" t="s">
        <v>6101</v>
      </c>
      <c r="P3495" t="s">
        <v>6112</v>
      </c>
      <c r="Q3495">
        <v>6</v>
      </c>
      <c r="R3495">
        <v>2026</v>
      </c>
      <c r="S3495" t="s">
        <v>6099</v>
      </c>
      <c r="T3495">
        <v>1</v>
      </c>
      <c r="U3495" t="s">
        <v>6020</v>
      </c>
      <c r="V3495">
        <v>0</v>
      </c>
    </row>
    <row r="3496" spans="1:22" x14ac:dyDescent="0.3">
      <c r="A3496" t="s">
        <v>3511</v>
      </c>
      <c r="B3496" s="2">
        <v>46178.580555555556</v>
      </c>
      <c r="C3496" s="2">
        <v>46178.922222222223</v>
      </c>
      <c r="D3496" t="s">
        <v>6028</v>
      </c>
      <c r="E3496" t="s">
        <v>6030</v>
      </c>
      <c r="F3496" t="s">
        <v>6034</v>
      </c>
      <c r="G3496" t="s">
        <v>6083</v>
      </c>
      <c r="H3496" t="s">
        <v>6096</v>
      </c>
      <c r="I3496">
        <v>24</v>
      </c>
      <c r="J3496">
        <v>8.1999999999999993</v>
      </c>
      <c r="K3496" t="s">
        <v>6100</v>
      </c>
      <c r="L3496" t="s">
        <v>6100</v>
      </c>
      <c r="M3496" t="s">
        <v>6100</v>
      </c>
      <c r="O3496" t="s">
        <v>6101</v>
      </c>
      <c r="P3496" t="s">
        <v>6112</v>
      </c>
      <c r="Q3496">
        <v>6</v>
      </c>
      <c r="R3496">
        <v>2026</v>
      </c>
      <c r="S3496" t="s">
        <v>6099</v>
      </c>
      <c r="T3496">
        <v>1</v>
      </c>
      <c r="U3496" t="s">
        <v>6021</v>
      </c>
      <c r="V3496">
        <v>0</v>
      </c>
    </row>
    <row r="3497" spans="1:22" x14ac:dyDescent="0.3">
      <c r="A3497" t="s">
        <v>3512</v>
      </c>
      <c r="B3497" s="2">
        <v>46178.585416666669</v>
      </c>
      <c r="C3497" s="2">
        <v>46187.960416666669</v>
      </c>
      <c r="D3497" t="s">
        <v>6026</v>
      </c>
      <c r="E3497" t="s">
        <v>6031</v>
      </c>
      <c r="F3497" t="s">
        <v>6033</v>
      </c>
      <c r="G3497" t="s">
        <v>6094</v>
      </c>
      <c r="H3497" t="s">
        <v>6098</v>
      </c>
      <c r="I3497">
        <v>72</v>
      </c>
      <c r="J3497">
        <v>225</v>
      </c>
      <c r="K3497" t="s">
        <v>6100</v>
      </c>
      <c r="L3497" t="s">
        <v>6100</v>
      </c>
      <c r="M3497" t="s">
        <v>6100</v>
      </c>
      <c r="N3497">
        <v>4</v>
      </c>
      <c r="O3497" t="s">
        <v>6101</v>
      </c>
      <c r="P3497" t="s">
        <v>6112</v>
      </c>
      <c r="Q3497">
        <v>6</v>
      </c>
      <c r="R3497">
        <v>2026</v>
      </c>
      <c r="S3497" t="s">
        <v>6100</v>
      </c>
      <c r="T3497">
        <v>0</v>
      </c>
      <c r="U3497" t="s">
        <v>6021</v>
      </c>
      <c r="V3497">
        <v>0</v>
      </c>
    </row>
    <row r="3498" spans="1:22" x14ac:dyDescent="0.3">
      <c r="A3498" t="s">
        <v>3513</v>
      </c>
      <c r="B3498" s="2">
        <v>46178.592361111114</v>
      </c>
      <c r="C3498" s="2">
        <v>46179.188194444447</v>
      </c>
      <c r="D3498" t="s">
        <v>6028</v>
      </c>
      <c r="E3498" t="s">
        <v>6032</v>
      </c>
      <c r="F3498" t="s">
        <v>6034</v>
      </c>
      <c r="G3498" t="s">
        <v>6092</v>
      </c>
      <c r="H3498" t="s">
        <v>6097</v>
      </c>
      <c r="I3498">
        <v>24</v>
      </c>
      <c r="J3498">
        <v>14.3</v>
      </c>
      <c r="K3498" t="s">
        <v>6099</v>
      </c>
      <c r="L3498" t="s">
        <v>6100</v>
      </c>
      <c r="M3498" t="s">
        <v>6100</v>
      </c>
      <c r="N3498">
        <v>4</v>
      </c>
      <c r="O3498" t="s">
        <v>6101</v>
      </c>
      <c r="P3498" t="s">
        <v>6112</v>
      </c>
      <c r="Q3498">
        <v>6</v>
      </c>
      <c r="R3498">
        <v>2026</v>
      </c>
      <c r="S3498" t="s">
        <v>6099</v>
      </c>
      <c r="T3498">
        <v>1</v>
      </c>
      <c r="U3498" t="s">
        <v>6019</v>
      </c>
      <c r="V3498">
        <v>1</v>
      </c>
    </row>
    <row r="3499" spans="1:22" x14ac:dyDescent="0.3">
      <c r="A3499" t="s">
        <v>3514</v>
      </c>
      <c r="B3499" s="2">
        <v>46178.654861111114</v>
      </c>
      <c r="C3499" s="2">
        <v>46179.521527777775</v>
      </c>
      <c r="D3499" t="s">
        <v>6023</v>
      </c>
      <c r="E3499" t="s">
        <v>6032</v>
      </c>
      <c r="F3499" t="s">
        <v>6033</v>
      </c>
      <c r="G3499" t="s">
        <v>6066</v>
      </c>
      <c r="H3499" t="s">
        <v>6096</v>
      </c>
      <c r="I3499">
        <v>72</v>
      </c>
      <c r="J3499">
        <v>20.8</v>
      </c>
      <c r="K3499" t="s">
        <v>6100</v>
      </c>
      <c r="L3499" t="s">
        <v>6099</v>
      </c>
      <c r="M3499" t="s">
        <v>6100</v>
      </c>
      <c r="N3499">
        <v>4</v>
      </c>
      <c r="O3499" t="s">
        <v>6101</v>
      </c>
      <c r="P3499" t="s">
        <v>6112</v>
      </c>
      <c r="Q3499">
        <v>6</v>
      </c>
      <c r="R3499">
        <v>2026</v>
      </c>
      <c r="S3499" t="s">
        <v>6099</v>
      </c>
      <c r="T3499">
        <v>1</v>
      </c>
      <c r="U3499" t="s">
        <v>6020</v>
      </c>
      <c r="V3499">
        <v>0</v>
      </c>
    </row>
    <row r="3500" spans="1:22" x14ac:dyDescent="0.3">
      <c r="A3500" t="s">
        <v>3515</v>
      </c>
      <c r="B3500" s="2">
        <v>46178.665277777778</v>
      </c>
      <c r="C3500" s="2">
        <v>46179.144444444442</v>
      </c>
      <c r="D3500" t="s">
        <v>6022</v>
      </c>
      <c r="E3500" t="s">
        <v>6030</v>
      </c>
      <c r="F3500" t="s">
        <v>6034</v>
      </c>
      <c r="G3500" t="s">
        <v>6039</v>
      </c>
      <c r="H3500" t="s">
        <v>6097</v>
      </c>
      <c r="I3500">
        <v>24</v>
      </c>
      <c r="J3500">
        <v>11.5</v>
      </c>
      <c r="K3500" t="s">
        <v>6099</v>
      </c>
      <c r="L3500" t="s">
        <v>6100</v>
      </c>
      <c r="M3500" t="s">
        <v>6100</v>
      </c>
      <c r="N3500">
        <v>4</v>
      </c>
      <c r="O3500" t="s">
        <v>6101</v>
      </c>
      <c r="P3500" t="s">
        <v>6112</v>
      </c>
      <c r="Q3500">
        <v>6</v>
      </c>
      <c r="R3500">
        <v>2026</v>
      </c>
      <c r="S3500" t="s">
        <v>6099</v>
      </c>
      <c r="T3500">
        <v>1</v>
      </c>
      <c r="U3500" t="s">
        <v>6020</v>
      </c>
      <c r="V3500">
        <v>1</v>
      </c>
    </row>
    <row r="3501" spans="1:22" x14ac:dyDescent="0.3">
      <c r="A3501" t="s">
        <v>3516</v>
      </c>
      <c r="B3501" s="2">
        <v>46178.676388888889</v>
      </c>
      <c r="C3501" s="2">
        <v>46176.926388888889</v>
      </c>
      <c r="D3501" t="s">
        <v>6023</v>
      </c>
      <c r="E3501" t="s">
        <v>6030</v>
      </c>
      <c r="F3501" t="s">
        <v>6034</v>
      </c>
      <c r="G3501" t="s">
        <v>6036</v>
      </c>
      <c r="H3501" t="s">
        <v>6096</v>
      </c>
      <c r="I3501">
        <v>24</v>
      </c>
      <c r="J3501">
        <v>5.9</v>
      </c>
      <c r="K3501" t="s">
        <v>6100</v>
      </c>
      <c r="L3501" t="s">
        <v>6100</v>
      </c>
      <c r="M3501" t="s">
        <v>6099</v>
      </c>
      <c r="N3501">
        <v>5</v>
      </c>
      <c r="O3501" t="s">
        <v>6101</v>
      </c>
      <c r="P3501" t="s">
        <v>6112</v>
      </c>
      <c r="Q3501">
        <v>6</v>
      </c>
      <c r="R3501">
        <v>2026</v>
      </c>
      <c r="S3501" t="s">
        <v>6099</v>
      </c>
      <c r="T3501">
        <v>1</v>
      </c>
      <c r="U3501" t="s">
        <v>6019</v>
      </c>
      <c r="V3501">
        <v>0</v>
      </c>
    </row>
    <row r="3502" spans="1:22" x14ac:dyDescent="0.3">
      <c r="A3502" t="s">
        <v>3517</v>
      </c>
      <c r="B3502" s="2">
        <v>46178.879861111112</v>
      </c>
      <c r="C3502" s="2">
        <v>46179.225694444445</v>
      </c>
      <c r="D3502" t="s">
        <v>6022</v>
      </c>
      <c r="E3502" t="s">
        <v>6030</v>
      </c>
      <c r="F3502" t="s">
        <v>6035</v>
      </c>
      <c r="G3502" t="s">
        <v>6076</v>
      </c>
      <c r="H3502" t="s">
        <v>6097</v>
      </c>
      <c r="I3502">
        <v>4</v>
      </c>
      <c r="J3502">
        <v>8.3000000000000007</v>
      </c>
      <c r="K3502" t="s">
        <v>6099</v>
      </c>
      <c r="L3502" t="s">
        <v>6100</v>
      </c>
      <c r="M3502" t="s">
        <v>6100</v>
      </c>
      <c r="O3502" t="s">
        <v>6101</v>
      </c>
      <c r="P3502" t="s">
        <v>6112</v>
      </c>
      <c r="Q3502">
        <v>6</v>
      </c>
      <c r="R3502">
        <v>2026</v>
      </c>
      <c r="S3502" t="s">
        <v>6100</v>
      </c>
      <c r="T3502">
        <v>0</v>
      </c>
      <c r="U3502" t="s">
        <v>6020</v>
      </c>
      <c r="V3502">
        <v>1</v>
      </c>
    </row>
    <row r="3503" spans="1:22" x14ac:dyDescent="0.3">
      <c r="A3503" t="s">
        <v>3518</v>
      </c>
      <c r="B3503" s="2">
        <v>46179.387499999997</v>
      </c>
      <c r="C3503" s="2">
        <v>46181.208333333336</v>
      </c>
      <c r="D3503" t="s">
        <v>6024</v>
      </c>
      <c r="E3503" t="s">
        <v>6031</v>
      </c>
      <c r="F3503" t="s">
        <v>6033</v>
      </c>
      <c r="G3503" t="s">
        <v>6075</v>
      </c>
      <c r="H3503" t="s">
        <v>6097</v>
      </c>
      <c r="I3503">
        <v>72</v>
      </c>
      <c r="J3503">
        <v>43.7</v>
      </c>
      <c r="K3503" t="s">
        <v>6099</v>
      </c>
      <c r="L3503" t="s">
        <v>6100</v>
      </c>
      <c r="M3503" t="s">
        <v>6100</v>
      </c>
      <c r="N3503">
        <v>5</v>
      </c>
      <c r="O3503" t="s">
        <v>6101</v>
      </c>
      <c r="P3503" t="s">
        <v>6112</v>
      </c>
      <c r="Q3503">
        <v>6</v>
      </c>
      <c r="R3503">
        <v>2026</v>
      </c>
      <c r="S3503" t="s">
        <v>6099</v>
      </c>
      <c r="T3503">
        <v>1</v>
      </c>
      <c r="U3503" t="s">
        <v>6019</v>
      </c>
      <c r="V3503">
        <v>1</v>
      </c>
    </row>
    <row r="3504" spans="1:22" x14ac:dyDescent="0.3">
      <c r="A3504" t="s">
        <v>3519</v>
      </c>
      <c r="B3504" s="2">
        <v>46179.393055555556</v>
      </c>
      <c r="C3504" s="2">
        <v>46179.626388888886</v>
      </c>
      <c r="D3504" t="s">
        <v>6023</v>
      </c>
      <c r="E3504" t="s">
        <v>6032</v>
      </c>
      <c r="F3504" t="s">
        <v>6034</v>
      </c>
      <c r="G3504" t="s">
        <v>6094</v>
      </c>
      <c r="H3504" t="s">
        <v>6098</v>
      </c>
      <c r="I3504">
        <v>24</v>
      </c>
      <c r="J3504">
        <v>5.6</v>
      </c>
      <c r="K3504" t="s">
        <v>6099</v>
      </c>
      <c r="L3504" t="s">
        <v>6100</v>
      </c>
      <c r="M3504" t="s">
        <v>6100</v>
      </c>
      <c r="N3504">
        <v>4</v>
      </c>
      <c r="O3504" t="s">
        <v>6101</v>
      </c>
      <c r="P3504" t="s">
        <v>6112</v>
      </c>
      <c r="Q3504">
        <v>6</v>
      </c>
      <c r="R3504">
        <v>2026</v>
      </c>
      <c r="S3504" t="s">
        <v>6099</v>
      </c>
      <c r="T3504">
        <v>1</v>
      </c>
      <c r="U3504" t="s">
        <v>6020</v>
      </c>
      <c r="V3504">
        <v>1</v>
      </c>
    </row>
    <row r="3505" spans="1:22" x14ac:dyDescent="0.3">
      <c r="A3505" t="s">
        <v>3520</v>
      </c>
      <c r="B3505" s="2">
        <v>46179.417361111111</v>
      </c>
      <c r="C3505" s="2">
        <v>46179.634027777778</v>
      </c>
      <c r="D3505" t="s">
        <v>6027</v>
      </c>
      <c r="E3505" t="s">
        <v>6029</v>
      </c>
      <c r="F3505" t="s">
        <v>6034</v>
      </c>
      <c r="G3505" t="s">
        <v>6083</v>
      </c>
      <c r="H3505" t="s">
        <v>6096</v>
      </c>
      <c r="I3505">
        <v>24</v>
      </c>
      <c r="J3505">
        <v>5.2</v>
      </c>
      <c r="K3505" t="s">
        <v>6100</v>
      </c>
      <c r="L3505" t="s">
        <v>6099</v>
      </c>
      <c r="M3505" t="s">
        <v>6100</v>
      </c>
      <c r="N3505">
        <v>3</v>
      </c>
      <c r="O3505" t="s">
        <v>6101</v>
      </c>
      <c r="P3505" t="s">
        <v>6112</v>
      </c>
      <c r="Q3505">
        <v>6</v>
      </c>
      <c r="R3505">
        <v>2026</v>
      </c>
      <c r="S3505" t="s">
        <v>6099</v>
      </c>
      <c r="T3505">
        <v>1</v>
      </c>
      <c r="U3505" t="s">
        <v>6018</v>
      </c>
      <c r="V3505">
        <v>0</v>
      </c>
    </row>
    <row r="3506" spans="1:22" x14ac:dyDescent="0.3">
      <c r="A3506" t="s">
        <v>3521</v>
      </c>
      <c r="B3506" s="2">
        <v>46179.431944444441</v>
      </c>
      <c r="C3506" s="2">
        <v>46179.702777777777</v>
      </c>
      <c r="D3506" t="s">
        <v>6022</v>
      </c>
      <c r="E3506" t="s">
        <v>6030</v>
      </c>
      <c r="F3506" t="s">
        <v>6033</v>
      </c>
      <c r="G3506" t="s">
        <v>6061</v>
      </c>
      <c r="H3506" t="s">
        <v>6096</v>
      </c>
      <c r="I3506">
        <v>72</v>
      </c>
      <c r="J3506">
        <v>6.5</v>
      </c>
      <c r="K3506" t="s">
        <v>6099</v>
      </c>
      <c r="L3506" t="s">
        <v>6100</v>
      </c>
      <c r="M3506" t="s">
        <v>6100</v>
      </c>
      <c r="N3506">
        <v>5</v>
      </c>
      <c r="O3506" t="s">
        <v>6101</v>
      </c>
      <c r="P3506" t="s">
        <v>6112</v>
      </c>
      <c r="Q3506">
        <v>6</v>
      </c>
      <c r="R3506">
        <v>2026</v>
      </c>
      <c r="S3506" t="s">
        <v>6099</v>
      </c>
      <c r="T3506">
        <v>1</v>
      </c>
      <c r="U3506" t="s">
        <v>6018</v>
      </c>
      <c r="V3506">
        <v>1</v>
      </c>
    </row>
    <row r="3507" spans="1:22" x14ac:dyDescent="0.3">
      <c r="A3507" t="s">
        <v>3522</v>
      </c>
      <c r="B3507" s="2">
        <v>46179.536805555559</v>
      </c>
      <c r="C3507" s="2">
        <v>46180.574305555558</v>
      </c>
      <c r="D3507" t="s">
        <v>6025</v>
      </c>
      <c r="E3507" t="s">
        <v>6032</v>
      </c>
      <c r="F3507" t="s">
        <v>6034</v>
      </c>
      <c r="G3507" t="s">
        <v>6051</v>
      </c>
      <c r="H3507" t="s">
        <v>6097</v>
      </c>
      <c r="I3507">
        <v>24</v>
      </c>
      <c r="J3507">
        <v>24.9</v>
      </c>
      <c r="K3507" t="s">
        <v>6100</v>
      </c>
      <c r="L3507" t="s">
        <v>6099</v>
      </c>
      <c r="M3507" t="s">
        <v>6100</v>
      </c>
      <c r="N3507">
        <v>4</v>
      </c>
      <c r="O3507" t="s">
        <v>6101</v>
      </c>
      <c r="P3507" t="s">
        <v>6112</v>
      </c>
      <c r="Q3507">
        <v>6</v>
      </c>
      <c r="R3507">
        <v>2026</v>
      </c>
      <c r="S3507" t="s">
        <v>6100</v>
      </c>
      <c r="T3507">
        <v>0</v>
      </c>
      <c r="U3507" t="s">
        <v>6019</v>
      </c>
      <c r="V3507">
        <v>0</v>
      </c>
    </row>
    <row r="3508" spans="1:22" x14ac:dyDescent="0.3">
      <c r="A3508" t="s">
        <v>3523</v>
      </c>
      <c r="B3508" s="2">
        <v>46179.597916666666</v>
      </c>
      <c r="C3508" s="2">
        <v>46182.40625</v>
      </c>
      <c r="D3508" t="s">
        <v>6025</v>
      </c>
      <c r="E3508" t="s">
        <v>6031</v>
      </c>
      <c r="F3508" t="s">
        <v>6033</v>
      </c>
      <c r="G3508" t="s">
        <v>6084</v>
      </c>
      <c r="H3508" t="s">
        <v>6098</v>
      </c>
      <c r="I3508">
        <v>72</v>
      </c>
      <c r="J3508">
        <v>67.400000000000006</v>
      </c>
      <c r="K3508" t="s">
        <v>6099</v>
      </c>
      <c r="L3508" t="s">
        <v>6100</v>
      </c>
      <c r="M3508" t="s">
        <v>6100</v>
      </c>
      <c r="N3508">
        <v>5</v>
      </c>
      <c r="O3508" t="s">
        <v>6101</v>
      </c>
      <c r="P3508" t="s">
        <v>6112</v>
      </c>
      <c r="Q3508">
        <v>6</v>
      </c>
      <c r="R3508">
        <v>2026</v>
      </c>
      <c r="S3508" t="s">
        <v>6099</v>
      </c>
      <c r="T3508">
        <v>1</v>
      </c>
      <c r="U3508" t="s">
        <v>6018</v>
      </c>
      <c r="V3508">
        <v>1</v>
      </c>
    </row>
    <row r="3509" spans="1:22" x14ac:dyDescent="0.3">
      <c r="A3509" t="s">
        <v>3524</v>
      </c>
      <c r="B3509" s="2">
        <v>46179.606944444444</v>
      </c>
      <c r="C3509" s="2">
        <v>46180.523611111108</v>
      </c>
      <c r="D3509" t="s">
        <v>6028</v>
      </c>
      <c r="E3509" t="s">
        <v>6031</v>
      </c>
      <c r="F3509" t="s">
        <v>6035</v>
      </c>
      <c r="G3509" t="s">
        <v>6051</v>
      </c>
      <c r="H3509" t="s">
        <v>6097</v>
      </c>
      <c r="I3509">
        <v>4</v>
      </c>
      <c r="J3509">
        <v>22</v>
      </c>
      <c r="K3509" t="s">
        <v>6099</v>
      </c>
      <c r="L3509" t="s">
        <v>6100</v>
      </c>
      <c r="M3509" t="s">
        <v>6100</v>
      </c>
      <c r="O3509" t="s">
        <v>6101</v>
      </c>
      <c r="P3509" t="s">
        <v>6112</v>
      </c>
      <c r="Q3509">
        <v>6</v>
      </c>
      <c r="R3509">
        <v>2026</v>
      </c>
      <c r="S3509" t="s">
        <v>6100</v>
      </c>
      <c r="T3509">
        <v>0</v>
      </c>
      <c r="U3509" t="s">
        <v>6020</v>
      </c>
      <c r="V3509">
        <v>1</v>
      </c>
    </row>
    <row r="3510" spans="1:22" x14ac:dyDescent="0.3">
      <c r="A3510" t="s">
        <v>3525</v>
      </c>
      <c r="B3510" s="2">
        <v>46179.612500000003</v>
      </c>
      <c r="C3510" s="2">
        <v>46182.991666666669</v>
      </c>
      <c r="D3510" t="s">
        <v>6026</v>
      </c>
      <c r="E3510" t="s">
        <v>6029</v>
      </c>
      <c r="F3510" t="s">
        <v>6034</v>
      </c>
      <c r="G3510" t="s">
        <v>6091</v>
      </c>
      <c r="H3510" t="s">
        <v>6097</v>
      </c>
      <c r="I3510">
        <v>24</v>
      </c>
      <c r="J3510">
        <v>81.099999999999994</v>
      </c>
      <c r="K3510" t="s">
        <v>6099</v>
      </c>
      <c r="L3510" t="s">
        <v>6100</v>
      </c>
      <c r="M3510" t="s">
        <v>6100</v>
      </c>
      <c r="O3510" t="s">
        <v>6101</v>
      </c>
      <c r="P3510" t="s">
        <v>6112</v>
      </c>
      <c r="Q3510">
        <v>6</v>
      </c>
      <c r="R3510">
        <v>2026</v>
      </c>
      <c r="S3510" t="s">
        <v>6100</v>
      </c>
      <c r="T3510">
        <v>0</v>
      </c>
      <c r="U3510" t="s">
        <v>6020</v>
      </c>
      <c r="V3510">
        <v>1</v>
      </c>
    </row>
    <row r="3511" spans="1:22" x14ac:dyDescent="0.3">
      <c r="A3511" t="s">
        <v>3526</v>
      </c>
      <c r="B3511" s="2">
        <v>46179.640277777777</v>
      </c>
      <c r="C3511" s="2">
        <v>46181.19027777778</v>
      </c>
      <c r="D3511" t="s">
        <v>6025</v>
      </c>
      <c r="E3511" t="s">
        <v>6029</v>
      </c>
      <c r="F3511" t="s">
        <v>6034</v>
      </c>
      <c r="G3511" t="s">
        <v>6054</v>
      </c>
      <c r="H3511" t="s">
        <v>6096</v>
      </c>
      <c r="I3511">
        <v>24</v>
      </c>
      <c r="J3511">
        <v>37.200000000000003</v>
      </c>
      <c r="K3511" t="s">
        <v>6100</v>
      </c>
      <c r="L3511" t="s">
        <v>6099</v>
      </c>
      <c r="M3511" t="s">
        <v>6100</v>
      </c>
      <c r="N3511">
        <v>3</v>
      </c>
      <c r="O3511" t="s">
        <v>6101</v>
      </c>
      <c r="P3511" t="s">
        <v>6112</v>
      </c>
      <c r="Q3511">
        <v>6</v>
      </c>
      <c r="R3511">
        <v>2026</v>
      </c>
      <c r="S3511" t="s">
        <v>6100</v>
      </c>
      <c r="T3511">
        <v>0</v>
      </c>
      <c r="U3511" t="s">
        <v>6019</v>
      </c>
      <c r="V3511">
        <v>0</v>
      </c>
    </row>
    <row r="3512" spans="1:22" x14ac:dyDescent="0.3">
      <c r="A3512" t="s">
        <v>3527</v>
      </c>
      <c r="B3512" s="2">
        <v>46179.640972222223</v>
      </c>
      <c r="C3512" s="2">
        <v>46184.970138888886</v>
      </c>
      <c r="D3512" t="s">
        <v>6025</v>
      </c>
      <c r="E3512" t="s">
        <v>6031</v>
      </c>
      <c r="F3512" t="s">
        <v>6035</v>
      </c>
      <c r="G3512" t="s">
        <v>6057</v>
      </c>
      <c r="H3512" t="s">
        <v>6097</v>
      </c>
      <c r="I3512">
        <v>4</v>
      </c>
      <c r="J3512">
        <v>127.9</v>
      </c>
      <c r="K3512" t="s">
        <v>6100</v>
      </c>
      <c r="L3512" t="s">
        <v>6100</v>
      </c>
      <c r="M3512" t="s">
        <v>6100</v>
      </c>
      <c r="N3512">
        <v>3</v>
      </c>
      <c r="O3512" t="s">
        <v>6101</v>
      </c>
      <c r="P3512" t="s">
        <v>6112</v>
      </c>
      <c r="Q3512">
        <v>6</v>
      </c>
      <c r="R3512">
        <v>2026</v>
      </c>
      <c r="S3512" t="s">
        <v>6100</v>
      </c>
      <c r="T3512">
        <v>0</v>
      </c>
      <c r="U3512" t="s">
        <v>6017</v>
      </c>
      <c r="V3512">
        <v>0</v>
      </c>
    </row>
    <row r="3513" spans="1:22" x14ac:dyDescent="0.3">
      <c r="A3513" t="s">
        <v>3528</v>
      </c>
      <c r="B3513" s="2">
        <v>46179.674305555556</v>
      </c>
      <c r="C3513" s="2">
        <v>46185.103472222225</v>
      </c>
      <c r="D3513" t="s">
        <v>6026</v>
      </c>
      <c r="E3513" t="s">
        <v>6031</v>
      </c>
      <c r="F3513" t="s">
        <v>6033</v>
      </c>
      <c r="G3513" t="s">
        <v>6087</v>
      </c>
      <c r="H3513" t="s">
        <v>6098</v>
      </c>
      <c r="I3513">
        <v>72</v>
      </c>
      <c r="J3513">
        <v>130.30000000000001</v>
      </c>
      <c r="K3513" t="s">
        <v>6100</v>
      </c>
      <c r="L3513" t="s">
        <v>6100</v>
      </c>
      <c r="M3513" t="s">
        <v>6100</v>
      </c>
      <c r="N3513">
        <v>2</v>
      </c>
      <c r="O3513" t="s">
        <v>6101</v>
      </c>
      <c r="P3513" t="s">
        <v>6112</v>
      </c>
      <c r="Q3513">
        <v>6</v>
      </c>
      <c r="R3513">
        <v>2026</v>
      </c>
      <c r="S3513" t="s">
        <v>6100</v>
      </c>
      <c r="T3513">
        <v>0</v>
      </c>
      <c r="U3513" t="s">
        <v>6021</v>
      </c>
      <c r="V3513">
        <v>0</v>
      </c>
    </row>
    <row r="3514" spans="1:22" x14ac:dyDescent="0.3">
      <c r="A3514" t="s">
        <v>3529</v>
      </c>
      <c r="B3514" s="2">
        <v>46179.681250000001</v>
      </c>
      <c r="C3514" s="2">
        <v>46180.697916666664</v>
      </c>
      <c r="D3514" t="s">
        <v>6024</v>
      </c>
      <c r="E3514" t="s">
        <v>6029</v>
      </c>
      <c r="F3514" t="s">
        <v>6033</v>
      </c>
      <c r="G3514" t="s">
        <v>6062</v>
      </c>
      <c r="H3514" t="s">
        <v>6096</v>
      </c>
      <c r="I3514">
        <v>72</v>
      </c>
      <c r="J3514">
        <v>24.4</v>
      </c>
      <c r="K3514" t="s">
        <v>6099</v>
      </c>
      <c r="L3514" t="s">
        <v>6100</v>
      </c>
      <c r="M3514" t="s">
        <v>6100</v>
      </c>
      <c r="O3514" t="s">
        <v>6101</v>
      </c>
      <c r="P3514" t="s">
        <v>6112</v>
      </c>
      <c r="Q3514">
        <v>6</v>
      </c>
      <c r="R3514">
        <v>2026</v>
      </c>
      <c r="S3514" t="s">
        <v>6099</v>
      </c>
      <c r="T3514">
        <v>1</v>
      </c>
      <c r="U3514" t="s">
        <v>6020</v>
      </c>
      <c r="V3514">
        <v>1</v>
      </c>
    </row>
    <row r="3515" spans="1:22" x14ac:dyDescent="0.3">
      <c r="A3515" t="s">
        <v>3530</v>
      </c>
      <c r="B3515" s="2">
        <v>46179.698611111111</v>
      </c>
      <c r="C3515" s="2">
        <v>46181.848611111112</v>
      </c>
      <c r="D3515" t="s">
        <v>6027</v>
      </c>
      <c r="E3515" t="s">
        <v>6032</v>
      </c>
      <c r="F3515" t="s">
        <v>6035</v>
      </c>
      <c r="G3515" t="s">
        <v>6091</v>
      </c>
      <c r="H3515" t="s">
        <v>6097</v>
      </c>
      <c r="I3515">
        <v>4</v>
      </c>
      <c r="J3515">
        <v>51.6</v>
      </c>
      <c r="K3515" t="s">
        <v>6099</v>
      </c>
      <c r="L3515" t="s">
        <v>6100</v>
      </c>
      <c r="M3515" t="s">
        <v>6099</v>
      </c>
      <c r="N3515">
        <v>3</v>
      </c>
      <c r="O3515" t="s">
        <v>6101</v>
      </c>
      <c r="P3515" t="s">
        <v>6112</v>
      </c>
      <c r="Q3515">
        <v>6</v>
      </c>
      <c r="R3515">
        <v>2026</v>
      </c>
      <c r="S3515" t="s">
        <v>6100</v>
      </c>
      <c r="T3515">
        <v>0</v>
      </c>
      <c r="U3515" t="s">
        <v>6021</v>
      </c>
      <c r="V3515">
        <v>1</v>
      </c>
    </row>
    <row r="3516" spans="1:22" x14ac:dyDescent="0.3">
      <c r="A3516" t="s">
        <v>3531</v>
      </c>
      <c r="B3516" s="2">
        <v>46179.779861111114</v>
      </c>
      <c r="C3516" s="2">
        <v>46180.184027777781</v>
      </c>
      <c r="D3516" t="s">
        <v>6028</v>
      </c>
      <c r="E3516" t="s">
        <v>6029</v>
      </c>
      <c r="F3516" t="s">
        <v>6035</v>
      </c>
      <c r="G3516" t="s">
        <v>6075</v>
      </c>
      <c r="H3516" t="s">
        <v>6097</v>
      </c>
      <c r="I3516">
        <v>4</v>
      </c>
      <c r="J3516">
        <v>9.6999999999999993</v>
      </c>
      <c r="K3516" t="s">
        <v>6099</v>
      </c>
      <c r="L3516" t="s">
        <v>6100</v>
      </c>
      <c r="M3516" t="s">
        <v>6100</v>
      </c>
      <c r="N3516">
        <v>4</v>
      </c>
      <c r="O3516" t="s">
        <v>6101</v>
      </c>
      <c r="P3516" t="s">
        <v>6112</v>
      </c>
      <c r="Q3516">
        <v>6</v>
      </c>
      <c r="R3516">
        <v>2026</v>
      </c>
      <c r="S3516" t="s">
        <v>6100</v>
      </c>
      <c r="T3516">
        <v>0</v>
      </c>
      <c r="U3516" t="s">
        <v>6019</v>
      </c>
      <c r="V3516">
        <v>1</v>
      </c>
    </row>
    <row r="3517" spans="1:22" x14ac:dyDescent="0.3">
      <c r="A3517" t="s">
        <v>3532</v>
      </c>
      <c r="B3517" s="2">
        <v>46179.796527777777</v>
      </c>
      <c r="C3517" s="2">
        <v>46180.942361111112</v>
      </c>
      <c r="D3517" t="s">
        <v>6024</v>
      </c>
      <c r="E3517" t="s">
        <v>6031</v>
      </c>
      <c r="F3517" t="s">
        <v>6033</v>
      </c>
      <c r="G3517" t="s">
        <v>6063</v>
      </c>
      <c r="H3517" t="s">
        <v>6097</v>
      </c>
      <c r="I3517">
        <v>72</v>
      </c>
      <c r="J3517">
        <v>27.5</v>
      </c>
      <c r="K3517" t="s">
        <v>6099</v>
      </c>
      <c r="L3517" t="s">
        <v>6100</v>
      </c>
      <c r="M3517" t="s">
        <v>6100</v>
      </c>
      <c r="O3517" t="s">
        <v>6101</v>
      </c>
      <c r="P3517" t="s">
        <v>6112</v>
      </c>
      <c r="Q3517">
        <v>6</v>
      </c>
      <c r="R3517">
        <v>2026</v>
      </c>
      <c r="S3517" t="s">
        <v>6099</v>
      </c>
      <c r="T3517">
        <v>1</v>
      </c>
      <c r="U3517" t="s">
        <v>6019</v>
      </c>
      <c r="V3517">
        <v>1</v>
      </c>
    </row>
    <row r="3518" spans="1:22" x14ac:dyDescent="0.3">
      <c r="A3518" t="s">
        <v>3533</v>
      </c>
      <c r="B3518" s="2">
        <v>46179.95208333333</v>
      </c>
      <c r="C3518" s="2">
        <v>46180.152083333334</v>
      </c>
      <c r="D3518" t="s">
        <v>6023</v>
      </c>
      <c r="E3518" t="s">
        <v>6029</v>
      </c>
      <c r="F3518" t="s">
        <v>6034</v>
      </c>
      <c r="G3518" t="s">
        <v>6067</v>
      </c>
      <c r="H3518" t="s">
        <v>6098</v>
      </c>
      <c r="I3518">
        <v>24</v>
      </c>
      <c r="J3518">
        <v>4.8</v>
      </c>
      <c r="K3518" t="s">
        <v>6099</v>
      </c>
      <c r="L3518" t="s">
        <v>6100</v>
      </c>
      <c r="M3518" t="s">
        <v>6100</v>
      </c>
      <c r="O3518" t="s">
        <v>6101</v>
      </c>
      <c r="P3518" t="s">
        <v>6112</v>
      </c>
      <c r="Q3518">
        <v>6</v>
      </c>
      <c r="R3518">
        <v>2026</v>
      </c>
      <c r="S3518" t="s">
        <v>6099</v>
      </c>
      <c r="T3518">
        <v>1</v>
      </c>
      <c r="U3518" t="s">
        <v>6021</v>
      </c>
      <c r="V3518">
        <v>1</v>
      </c>
    </row>
    <row r="3519" spans="1:22" x14ac:dyDescent="0.3">
      <c r="A3519" t="s">
        <v>3534</v>
      </c>
      <c r="B3519" s="2">
        <v>46180.224305555559</v>
      </c>
      <c r="C3519" s="2">
        <v>46181.149305555555</v>
      </c>
      <c r="D3519" t="s">
        <v>6023</v>
      </c>
      <c r="E3519" t="s">
        <v>6032</v>
      </c>
      <c r="F3519" t="s">
        <v>6034</v>
      </c>
      <c r="G3519" t="s">
        <v>6081</v>
      </c>
      <c r="H3519" t="s">
        <v>6098</v>
      </c>
      <c r="I3519">
        <v>24</v>
      </c>
      <c r="J3519">
        <v>22.2</v>
      </c>
      <c r="K3519" t="s">
        <v>6099</v>
      </c>
      <c r="L3519" t="s">
        <v>6100</v>
      </c>
      <c r="M3519" t="s">
        <v>6100</v>
      </c>
      <c r="O3519" t="s">
        <v>6101</v>
      </c>
      <c r="P3519" t="s">
        <v>6112</v>
      </c>
      <c r="Q3519">
        <v>6</v>
      </c>
      <c r="R3519">
        <v>2026</v>
      </c>
      <c r="S3519" t="s">
        <v>6099</v>
      </c>
      <c r="T3519">
        <v>1</v>
      </c>
      <c r="U3519" t="s">
        <v>6021</v>
      </c>
      <c r="V3519">
        <v>1</v>
      </c>
    </row>
    <row r="3520" spans="1:22" x14ac:dyDescent="0.3">
      <c r="A3520" t="s">
        <v>3535</v>
      </c>
      <c r="B3520" s="2">
        <v>46180.277777777781</v>
      </c>
      <c r="C3520" s="2">
        <v>46181.977777777778</v>
      </c>
      <c r="D3520" t="s">
        <v>6026</v>
      </c>
      <c r="E3520" t="s">
        <v>6030</v>
      </c>
      <c r="F3520" t="s">
        <v>6034</v>
      </c>
      <c r="G3520" t="s">
        <v>6081</v>
      </c>
      <c r="H3520" t="s">
        <v>6098</v>
      </c>
      <c r="I3520">
        <v>24</v>
      </c>
      <c r="J3520">
        <v>40.799999999999997</v>
      </c>
      <c r="K3520" t="s">
        <v>6100</v>
      </c>
      <c r="L3520" t="s">
        <v>6100</v>
      </c>
      <c r="M3520" t="s">
        <v>6100</v>
      </c>
      <c r="N3520">
        <v>4</v>
      </c>
      <c r="O3520" t="s">
        <v>6101</v>
      </c>
      <c r="P3520" t="s">
        <v>6112</v>
      </c>
      <c r="Q3520">
        <v>6</v>
      </c>
      <c r="R3520">
        <v>2026</v>
      </c>
      <c r="S3520" t="s">
        <v>6100</v>
      </c>
      <c r="T3520">
        <v>0</v>
      </c>
      <c r="U3520" t="s">
        <v>6018</v>
      </c>
      <c r="V3520">
        <v>0</v>
      </c>
    </row>
    <row r="3521" spans="1:22" x14ac:dyDescent="0.3">
      <c r="A3521" t="s">
        <v>3536</v>
      </c>
      <c r="B3521" s="2">
        <v>46180.32916666667</v>
      </c>
      <c r="C3521" s="2">
        <v>46180.895833333336</v>
      </c>
      <c r="D3521" t="s">
        <v>6025</v>
      </c>
      <c r="E3521" t="s">
        <v>6029</v>
      </c>
      <c r="F3521" t="s">
        <v>6035</v>
      </c>
      <c r="G3521" t="s">
        <v>6090</v>
      </c>
      <c r="H3521" t="s">
        <v>6097</v>
      </c>
      <c r="I3521">
        <v>4</v>
      </c>
      <c r="J3521">
        <v>13.6</v>
      </c>
      <c r="K3521" t="s">
        <v>6099</v>
      </c>
      <c r="L3521" t="s">
        <v>6100</v>
      </c>
      <c r="M3521" t="s">
        <v>6099</v>
      </c>
      <c r="O3521" t="s">
        <v>6101</v>
      </c>
      <c r="P3521" t="s">
        <v>6112</v>
      </c>
      <c r="Q3521">
        <v>6</v>
      </c>
      <c r="R3521">
        <v>2026</v>
      </c>
      <c r="S3521" t="s">
        <v>6100</v>
      </c>
      <c r="T3521">
        <v>0</v>
      </c>
      <c r="U3521" t="s">
        <v>6020</v>
      </c>
      <c r="V3521">
        <v>1</v>
      </c>
    </row>
    <row r="3522" spans="1:22" x14ac:dyDescent="0.3">
      <c r="A3522" t="s">
        <v>3537</v>
      </c>
      <c r="B3522" s="2">
        <v>46180.32916666667</v>
      </c>
      <c r="C3522" s="2">
        <v>46181.708333333336</v>
      </c>
      <c r="D3522" t="s">
        <v>6023</v>
      </c>
      <c r="E3522" t="s">
        <v>6032</v>
      </c>
      <c r="F3522" t="s">
        <v>6034</v>
      </c>
      <c r="G3522" t="s">
        <v>6085</v>
      </c>
      <c r="H3522" t="s">
        <v>6097</v>
      </c>
      <c r="I3522">
        <v>24</v>
      </c>
      <c r="J3522">
        <v>33.1</v>
      </c>
      <c r="K3522" t="s">
        <v>6099</v>
      </c>
      <c r="L3522" t="s">
        <v>6100</v>
      </c>
      <c r="M3522" t="s">
        <v>6100</v>
      </c>
      <c r="O3522" t="s">
        <v>6101</v>
      </c>
      <c r="P3522" t="s">
        <v>6112</v>
      </c>
      <c r="Q3522">
        <v>6</v>
      </c>
      <c r="R3522">
        <v>2026</v>
      </c>
      <c r="S3522" t="s">
        <v>6100</v>
      </c>
      <c r="T3522">
        <v>0</v>
      </c>
      <c r="U3522" t="s">
        <v>6019</v>
      </c>
      <c r="V3522">
        <v>1</v>
      </c>
    </row>
    <row r="3523" spans="1:22" x14ac:dyDescent="0.3">
      <c r="A3523" t="s">
        <v>3538</v>
      </c>
      <c r="B3523" s="2">
        <v>46180.361111111109</v>
      </c>
      <c r="C3523" s="2">
        <v>46181.665277777778</v>
      </c>
      <c r="D3523" t="s">
        <v>6022</v>
      </c>
      <c r="E3523" t="s">
        <v>6029</v>
      </c>
      <c r="F3523" t="s">
        <v>6034</v>
      </c>
      <c r="G3523" t="s">
        <v>6045</v>
      </c>
      <c r="H3523" t="s">
        <v>6096</v>
      </c>
      <c r="I3523">
        <v>24</v>
      </c>
      <c r="J3523">
        <v>31.3</v>
      </c>
      <c r="K3523" t="s">
        <v>6099</v>
      </c>
      <c r="L3523" t="s">
        <v>6100</v>
      </c>
      <c r="M3523" t="s">
        <v>6100</v>
      </c>
      <c r="N3523">
        <v>4</v>
      </c>
      <c r="O3523" t="s">
        <v>6101</v>
      </c>
      <c r="P3523" t="s">
        <v>6112</v>
      </c>
      <c r="Q3523">
        <v>6</v>
      </c>
      <c r="R3523">
        <v>2026</v>
      </c>
      <c r="S3523" t="s">
        <v>6100</v>
      </c>
      <c r="T3523">
        <v>0</v>
      </c>
      <c r="U3523" t="s">
        <v>6019</v>
      </c>
      <c r="V3523">
        <v>1</v>
      </c>
    </row>
    <row r="3524" spans="1:22" x14ac:dyDescent="0.3">
      <c r="A3524" t="s">
        <v>3539</v>
      </c>
      <c r="B3524" s="2">
        <v>46180.367361111108</v>
      </c>
      <c r="C3524" s="2">
        <v>46181.088194444441</v>
      </c>
      <c r="D3524" t="s">
        <v>6028</v>
      </c>
      <c r="E3524" t="s">
        <v>6031</v>
      </c>
      <c r="F3524" t="s">
        <v>6033</v>
      </c>
      <c r="G3524" t="s">
        <v>6082</v>
      </c>
      <c r="H3524" t="s">
        <v>6097</v>
      </c>
      <c r="I3524">
        <v>72</v>
      </c>
      <c r="J3524">
        <v>17.3</v>
      </c>
      <c r="K3524" t="s">
        <v>6099</v>
      </c>
      <c r="L3524" t="s">
        <v>6100</v>
      </c>
      <c r="M3524" t="s">
        <v>6100</v>
      </c>
      <c r="N3524">
        <v>5</v>
      </c>
      <c r="O3524" t="s">
        <v>6101</v>
      </c>
      <c r="P3524" t="s">
        <v>6112</v>
      </c>
      <c r="Q3524">
        <v>6</v>
      </c>
      <c r="R3524">
        <v>2026</v>
      </c>
      <c r="S3524" t="s">
        <v>6099</v>
      </c>
      <c r="T3524">
        <v>1</v>
      </c>
      <c r="U3524" t="s">
        <v>6019</v>
      </c>
      <c r="V3524">
        <v>1</v>
      </c>
    </row>
    <row r="3525" spans="1:22" x14ac:dyDescent="0.3">
      <c r="A3525" t="s">
        <v>3540</v>
      </c>
      <c r="B3525" s="2">
        <v>46180.378472222219</v>
      </c>
      <c r="C3525" s="2">
        <v>46180.532638888886</v>
      </c>
      <c r="D3525" t="s">
        <v>6028</v>
      </c>
      <c r="E3525" t="s">
        <v>6029</v>
      </c>
      <c r="F3525" t="s">
        <v>6035</v>
      </c>
      <c r="G3525" t="s">
        <v>6065</v>
      </c>
      <c r="H3525" t="s">
        <v>6097</v>
      </c>
      <c r="I3525">
        <v>4</v>
      </c>
      <c r="J3525">
        <v>3.7</v>
      </c>
      <c r="K3525" t="s">
        <v>6099</v>
      </c>
      <c r="L3525" t="s">
        <v>6100</v>
      </c>
      <c r="M3525" t="s">
        <v>6099</v>
      </c>
      <c r="O3525" t="s">
        <v>6101</v>
      </c>
      <c r="P3525" t="s">
        <v>6112</v>
      </c>
      <c r="Q3525">
        <v>6</v>
      </c>
      <c r="R3525">
        <v>2026</v>
      </c>
      <c r="S3525" t="s">
        <v>6099</v>
      </c>
      <c r="T3525">
        <v>1</v>
      </c>
      <c r="U3525" t="s">
        <v>6021</v>
      </c>
      <c r="V3525">
        <v>1</v>
      </c>
    </row>
    <row r="3526" spans="1:22" x14ac:dyDescent="0.3">
      <c r="A3526" t="s">
        <v>3541</v>
      </c>
      <c r="B3526" s="2">
        <v>46180.429861111108</v>
      </c>
      <c r="C3526" s="2">
        <v>46182.292361111111</v>
      </c>
      <c r="D3526" t="s">
        <v>6026</v>
      </c>
      <c r="E3526" t="s">
        <v>6029</v>
      </c>
      <c r="F3526" t="s">
        <v>6033</v>
      </c>
      <c r="G3526" t="s">
        <v>6062</v>
      </c>
      <c r="H3526" t="s">
        <v>6096</v>
      </c>
      <c r="I3526">
        <v>72</v>
      </c>
      <c r="J3526">
        <v>44.7</v>
      </c>
      <c r="K3526" t="s">
        <v>6099</v>
      </c>
      <c r="L3526" t="s">
        <v>6100</v>
      </c>
      <c r="M3526" t="s">
        <v>6100</v>
      </c>
      <c r="N3526">
        <v>5</v>
      </c>
      <c r="O3526" t="s">
        <v>6101</v>
      </c>
      <c r="P3526" t="s">
        <v>6112</v>
      </c>
      <c r="Q3526">
        <v>6</v>
      </c>
      <c r="R3526">
        <v>2026</v>
      </c>
      <c r="S3526" t="s">
        <v>6099</v>
      </c>
      <c r="T3526">
        <v>1</v>
      </c>
      <c r="U3526" t="s">
        <v>6018</v>
      </c>
      <c r="V3526">
        <v>1</v>
      </c>
    </row>
    <row r="3527" spans="1:22" x14ac:dyDescent="0.3">
      <c r="A3527" t="s">
        <v>3542</v>
      </c>
      <c r="B3527" s="2">
        <v>46180.43472222222</v>
      </c>
      <c r="C3527" s="2">
        <v>46180.626388888886</v>
      </c>
      <c r="D3527" t="s">
        <v>6023</v>
      </c>
      <c r="E3527" t="s">
        <v>6029</v>
      </c>
      <c r="F3527" t="s">
        <v>6033</v>
      </c>
      <c r="G3527" t="s">
        <v>6087</v>
      </c>
      <c r="H3527" t="s">
        <v>6098</v>
      </c>
      <c r="I3527">
        <v>72</v>
      </c>
      <c r="J3527">
        <v>4.5999999999999996</v>
      </c>
      <c r="K3527" t="s">
        <v>6099</v>
      </c>
      <c r="L3527" t="s">
        <v>6100</v>
      </c>
      <c r="M3527" t="s">
        <v>6100</v>
      </c>
      <c r="N3527">
        <v>5</v>
      </c>
      <c r="O3527" t="s">
        <v>6101</v>
      </c>
      <c r="P3527" t="s">
        <v>6112</v>
      </c>
      <c r="Q3527">
        <v>6</v>
      </c>
      <c r="R3527">
        <v>2026</v>
      </c>
      <c r="S3527" t="s">
        <v>6099</v>
      </c>
      <c r="T3527">
        <v>1</v>
      </c>
      <c r="U3527" t="s">
        <v>6021</v>
      </c>
      <c r="V3527">
        <v>1</v>
      </c>
    </row>
    <row r="3528" spans="1:22" x14ac:dyDescent="0.3">
      <c r="A3528" t="s">
        <v>3543</v>
      </c>
      <c r="B3528" s="2">
        <v>46180.43472222222</v>
      </c>
      <c r="C3528" s="2">
        <v>46181.468055555553</v>
      </c>
      <c r="D3528" t="s">
        <v>6028</v>
      </c>
      <c r="E3528" t="s">
        <v>6031</v>
      </c>
      <c r="F3528" t="s">
        <v>6035</v>
      </c>
      <c r="G3528" t="s">
        <v>6052</v>
      </c>
      <c r="H3528" t="s">
        <v>6098</v>
      </c>
      <c r="I3528">
        <v>4</v>
      </c>
      <c r="J3528">
        <v>24.8</v>
      </c>
      <c r="K3528" t="s">
        <v>6100</v>
      </c>
      <c r="L3528" t="s">
        <v>6099</v>
      </c>
      <c r="M3528" t="s">
        <v>6100</v>
      </c>
      <c r="O3528" t="s">
        <v>6101</v>
      </c>
      <c r="P3528" t="s">
        <v>6112</v>
      </c>
      <c r="Q3528">
        <v>6</v>
      </c>
      <c r="R3528">
        <v>2026</v>
      </c>
      <c r="S3528" t="s">
        <v>6100</v>
      </c>
      <c r="T3528">
        <v>0</v>
      </c>
      <c r="U3528" t="s">
        <v>6020</v>
      </c>
      <c r="V3528">
        <v>0</v>
      </c>
    </row>
    <row r="3529" spans="1:22" x14ac:dyDescent="0.3">
      <c r="A3529" t="s">
        <v>3544</v>
      </c>
      <c r="B3529" s="2">
        <v>46180.449305555558</v>
      </c>
      <c r="C3529" s="2">
        <v>46188.399305555555</v>
      </c>
      <c r="D3529" t="s">
        <v>6026</v>
      </c>
      <c r="E3529" t="s">
        <v>6031</v>
      </c>
      <c r="F3529" t="s">
        <v>6033</v>
      </c>
      <c r="G3529" t="s">
        <v>6058</v>
      </c>
      <c r="H3529" t="s">
        <v>6098</v>
      </c>
      <c r="I3529">
        <v>72</v>
      </c>
      <c r="J3529">
        <v>190.8</v>
      </c>
      <c r="K3529" t="s">
        <v>6099</v>
      </c>
      <c r="L3529" t="s">
        <v>6100</v>
      </c>
      <c r="M3529" t="s">
        <v>6100</v>
      </c>
      <c r="N3529">
        <v>5</v>
      </c>
      <c r="O3529" t="s">
        <v>6101</v>
      </c>
      <c r="P3529" t="s">
        <v>6112</v>
      </c>
      <c r="Q3529">
        <v>6</v>
      </c>
      <c r="R3529">
        <v>2026</v>
      </c>
      <c r="S3529" t="s">
        <v>6100</v>
      </c>
      <c r="T3529">
        <v>0</v>
      </c>
      <c r="U3529" t="s">
        <v>6019</v>
      </c>
      <c r="V3529">
        <v>1</v>
      </c>
    </row>
    <row r="3530" spans="1:22" x14ac:dyDescent="0.3">
      <c r="A3530" t="s">
        <v>3545</v>
      </c>
      <c r="B3530" s="2">
        <v>46180.488888888889</v>
      </c>
      <c r="C3530" s="2">
        <v>46180.918055555558</v>
      </c>
      <c r="D3530" t="s">
        <v>6022</v>
      </c>
      <c r="E3530" t="s">
        <v>6030</v>
      </c>
      <c r="F3530" t="s">
        <v>6035</v>
      </c>
      <c r="G3530" t="s">
        <v>6069</v>
      </c>
      <c r="H3530" t="s">
        <v>6098</v>
      </c>
      <c r="I3530">
        <v>4</v>
      </c>
      <c r="J3530">
        <v>10.3</v>
      </c>
      <c r="K3530" t="s">
        <v>6099</v>
      </c>
      <c r="L3530" t="s">
        <v>6100</v>
      </c>
      <c r="M3530" t="s">
        <v>6100</v>
      </c>
      <c r="O3530" t="s">
        <v>6101</v>
      </c>
      <c r="P3530" t="s">
        <v>6112</v>
      </c>
      <c r="Q3530">
        <v>6</v>
      </c>
      <c r="R3530">
        <v>2026</v>
      </c>
      <c r="S3530" t="s">
        <v>6100</v>
      </c>
      <c r="T3530">
        <v>0</v>
      </c>
      <c r="U3530" t="s">
        <v>6021</v>
      </c>
      <c r="V3530">
        <v>1</v>
      </c>
    </row>
    <row r="3531" spans="1:22" x14ac:dyDescent="0.3">
      <c r="A3531" t="s">
        <v>3546</v>
      </c>
      <c r="B3531" s="2">
        <v>46180.557638888888</v>
      </c>
      <c r="C3531" s="2">
        <v>46181.274305555555</v>
      </c>
      <c r="D3531" t="s">
        <v>6024</v>
      </c>
      <c r="E3531" t="s">
        <v>6029</v>
      </c>
      <c r="F3531" t="s">
        <v>6035</v>
      </c>
      <c r="G3531" t="s">
        <v>6051</v>
      </c>
      <c r="H3531" t="s">
        <v>6097</v>
      </c>
      <c r="I3531">
        <v>4</v>
      </c>
      <c r="J3531">
        <v>17.2</v>
      </c>
      <c r="K3531" t="s">
        <v>6099</v>
      </c>
      <c r="L3531" t="s">
        <v>6100</v>
      </c>
      <c r="M3531" t="s">
        <v>6100</v>
      </c>
      <c r="N3531">
        <v>4</v>
      </c>
      <c r="O3531" t="s">
        <v>6101</v>
      </c>
      <c r="P3531" t="s">
        <v>6112</v>
      </c>
      <c r="Q3531">
        <v>6</v>
      </c>
      <c r="R3531">
        <v>2026</v>
      </c>
      <c r="S3531" t="s">
        <v>6100</v>
      </c>
      <c r="T3531">
        <v>0</v>
      </c>
      <c r="U3531" t="s">
        <v>6019</v>
      </c>
      <c r="V3531">
        <v>1</v>
      </c>
    </row>
    <row r="3532" spans="1:22" x14ac:dyDescent="0.3">
      <c r="A3532" t="s">
        <v>3547</v>
      </c>
      <c r="B3532" s="2">
        <v>46180.57708333333</v>
      </c>
      <c r="C3532" s="2">
        <v>46181.168749999997</v>
      </c>
      <c r="D3532" t="s">
        <v>6022</v>
      </c>
      <c r="E3532" t="s">
        <v>6030</v>
      </c>
      <c r="F3532" t="s">
        <v>6033</v>
      </c>
      <c r="G3532" t="s">
        <v>6060</v>
      </c>
      <c r="H3532" t="s">
        <v>6097</v>
      </c>
      <c r="I3532">
        <v>72</v>
      </c>
      <c r="J3532">
        <v>14.2</v>
      </c>
      <c r="K3532" t="s">
        <v>6099</v>
      </c>
      <c r="L3532" t="s">
        <v>6100</v>
      </c>
      <c r="M3532" t="s">
        <v>6100</v>
      </c>
      <c r="O3532" t="s">
        <v>6101</v>
      </c>
      <c r="P3532" t="s">
        <v>6112</v>
      </c>
      <c r="Q3532">
        <v>6</v>
      </c>
      <c r="R3532">
        <v>2026</v>
      </c>
      <c r="S3532" t="s">
        <v>6099</v>
      </c>
      <c r="T3532">
        <v>1</v>
      </c>
      <c r="U3532" t="s">
        <v>6019</v>
      </c>
      <c r="V3532">
        <v>1</v>
      </c>
    </row>
    <row r="3533" spans="1:22" x14ac:dyDescent="0.3">
      <c r="A3533" t="s">
        <v>3548</v>
      </c>
      <c r="B3533" s="2">
        <v>46180.599305555559</v>
      </c>
      <c r="C3533" s="2">
        <v>46181.107638888891</v>
      </c>
      <c r="D3533" t="s">
        <v>6022</v>
      </c>
      <c r="E3533" t="s">
        <v>6030</v>
      </c>
      <c r="F3533" t="s">
        <v>6034</v>
      </c>
      <c r="G3533" t="s">
        <v>6087</v>
      </c>
      <c r="H3533" t="s">
        <v>6098</v>
      </c>
      <c r="I3533">
        <v>24</v>
      </c>
      <c r="J3533">
        <v>12.2</v>
      </c>
      <c r="K3533" t="s">
        <v>6099</v>
      </c>
      <c r="L3533" t="s">
        <v>6100</v>
      </c>
      <c r="M3533" t="s">
        <v>6100</v>
      </c>
      <c r="N3533">
        <v>3</v>
      </c>
      <c r="O3533" t="s">
        <v>6101</v>
      </c>
      <c r="P3533" t="s">
        <v>6112</v>
      </c>
      <c r="Q3533">
        <v>6</v>
      </c>
      <c r="R3533">
        <v>2026</v>
      </c>
      <c r="S3533" t="s">
        <v>6099</v>
      </c>
      <c r="T3533">
        <v>1</v>
      </c>
      <c r="U3533" t="s">
        <v>6018</v>
      </c>
      <c r="V3533">
        <v>1</v>
      </c>
    </row>
    <row r="3534" spans="1:22" x14ac:dyDescent="0.3">
      <c r="A3534" t="s">
        <v>3549</v>
      </c>
      <c r="B3534" s="2">
        <v>46180.611111111109</v>
      </c>
      <c r="C3534" s="2">
        <v>46181.06527777778</v>
      </c>
      <c r="D3534" t="s">
        <v>6022</v>
      </c>
      <c r="E3534" t="s">
        <v>6029</v>
      </c>
      <c r="F3534" t="s">
        <v>6034</v>
      </c>
      <c r="G3534" t="s">
        <v>6053</v>
      </c>
      <c r="H3534" t="s">
        <v>6097</v>
      </c>
      <c r="I3534">
        <v>24</v>
      </c>
      <c r="J3534">
        <v>10.9</v>
      </c>
      <c r="K3534" t="s">
        <v>6099</v>
      </c>
      <c r="L3534" t="s">
        <v>6100</v>
      </c>
      <c r="M3534" t="s">
        <v>6100</v>
      </c>
      <c r="N3534">
        <v>4</v>
      </c>
      <c r="O3534" t="s">
        <v>6101</v>
      </c>
      <c r="P3534" t="s">
        <v>6112</v>
      </c>
      <c r="Q3534">
        <v>6</v>
      </c>
      <c r="R3534">
        <v>2026</v>
      </c>
      <c r="S3534" t="s">
        <v>6099</v>
      </c>
      <c r="T3534">
        <v>1</v>
      </c>
      <c r="U3534" t="s">
        <v>6018</v>
      </c>
      <c r="V3534">
        <v>1</v>
      </c>
    </row>
    <row r="3535" spans="1:22" x14ac:dyDescent="0.3">
      <c r="A3535" t="s">
        <v>3550</v>
      </c>
      <c r="B3535" s="2">
        <v>46180.618750000001</v>
      </c>
      <c r="C3535" s="2">
        <v>46181.364583333336</v>
      </c>
      <c r="D3535" t="s">
        <v>6025</v>
      </c>
      <c r="E3535" t="s">
        <v>6030</v>
      </c>
      <c r="F3535" t="s">
        <v>6034</v>
      </c>
      <c r="G3535" t="s">
        <v>6047</v>
      </c>
      <c r="H3535" t="s">
        <v>6098</v>
      </c>
      <c r="I3535">
        <v>24</v>
      </c>
      <c r="J3535">
        <v>17.899999999999999</v>
      </c>
      <c r="K3535" t="s">
        <v>6099</v>
      </c>
      <c r="L3535" t="s">
        <v>6100</v>
      </c>
      <c r="M3535" t="s">
        <v>6100</v>
      </c>
      <c r="N3535">
        <v>5</v>
      </c>
      <c r="O3535" t="s">
        <v>6101</v>
      </c>
      <c r="P3535" t="s">
        <v>6112</v>
      </c>
      <c r="Q3535">
        <v>6</v>
      </c>
      <c r="R3535">
        <v>2026</v>
      </c>
      <c r="S3535" t="s">
        <v>6099</v>
      </c>
      <c r="T3535">
        <v>1</v>
      </c>
      <c r="U3535" t="s">
        <v>6019</v>
      </c>
      <c r="V3535">
        <v>1</v>
      </c>
    </row>
    <row r="3536" spans="1:22" x14ac:dyDescent="0.3">
      <c r="A3536" t="s">
        <v>3551</v>
      </c>
      <c r="B3536" s="2">
        <v>46180.640972222223</v>
      </c>
      <c r="C3536" s="2">
        <v>46181.065972222219</v>
      </c>
      <c r="D3536" t="s">
        <v>6027</v>
      </c>
      <c r="E3536" t="s">
        <v>6029</v>
      </c>
      <c r="F3536" t="s">
        <v>6034</v>
      </c>
      <c r="G3536" t="s">
        <v>6047</v>
      </c>
      <c r="H3536" t="s">
        <v>6098</v>
      </c>
      <c r="I3536">
        <v>24</v>
      </c>
      <c r="J3536">
        <v>10.199999999999999</v>
      </c>
      <c r="K3536" t="s">
        <v>6099</v>
      </c>
      <c r="L3536" t="s">
        <v>6100</v>
      </c>
      <c r="M3536" t="s">
        <v>6100</v>
      </c>
      <c r="N3536">
        <v>5</v>
      </c>
      <c r="O3536" t="s">
        <v>6101</v>
      </c>
      <c r="P3536" t="s">
        <v>6112</v>
      </c>
      <c r="Q3536">
        <v>6</v>
      </c>
      <c r="R3536">
        <v>2026</v>
      </c>
      <c r="S3536" t="s">
        <v>6099</v>
      </c>
      <c r="T3536">
        <v>1</v>
      </c>
      <c r="U3536" t="s">
        <v>6020</v>
      </c>
      <c r="V3536">
        <v>1</v>
      </c>
    </row>
    <row r="3537" spans="1:22" x14ac:dyDescent="0.3">
      <c r="A3537" t="s">
        <v>3552</v>
      </c>
      <c r="B3537" s="2">
        <v>46180.675000000003</v>
      </c>
      <c r="C3537" s="2">
        <v>46180.916666666664</v>
      </c>
      <c r="D3537" t="s">
        <v>6023</v>
      </c>
      <c r="E3537" t="s">
        <v>6030</v>
      </c>
      <c r="F3537" t="s">
        <v>6034</v>
      </c>
      <c r="G3537" t="s">
        <v>6040</v>
      </c>
      <c r="H3537" t="s">
        <v>6097</v>
      </c>
      <c r="I3537">
        <v>24</v>
      </c>
      <c r="J3537">
        <v>5.8</v>
      </c>
      <c r="K3537" t="s">
        <v>6099</v>
      </c>
      <c r="L3537" t="s">
        <v>6100</v>
      </c>
      <c r="M3537" t="s">
        <v>6100</v>
      </c>
      <c r="O3537" t="s">
        <v>6101</v>
      </c>
      <c r="P3537" t="s">
        <v>6112</v>
      </c>
      <c r="Q3537">
        <v>6</v>
      </c>
      <c r="R3537">
        <v>2026</v>
      </c>
      <c r="S3537" t="s">
        <v>6099</v>
      </c>
      <c r="T3537">
        <v>1</v>
      </c>
      <c r="U3537" t="s">
        <v>6019</v>
      </c>
      <c r="V3537">
        <v>1</v>
      </c>
    </row>
    <row r="3538" spans="1:22" x14ac:dyDescent="0.3">
      <c r="A3538" t="s">
        <v>3553</v>
      </c>
      <c r="B3538" s="2">
        <v>46180.849305555559</v>
      </c>
      <c r="C3538" s="2">
        <v>46186.540972222225</v>
      </c>
      <c r="D3538" t="s">
        <v>6026</v>
      </c>
      <c r="E3538" t="s">
        <v>6031</v>
      </c>
      <c r="F3538" t="s">
        <v>6034</v>
      </c>
      <c r="G3538" t="s">
        <v>6054</v>
      </c>
      <c r="H3538" t="s">
        <v>6096</v>
      </c>
      <c r="I3538">
        <v>24</v>
      </c>
      <c r="J3538">
        <v>136.6</v>
      </c>
      <c r="K3538" t="s">
        <v>6099</v>
      </c>
      <c r="L3538" t="s">
        <v>6100</v>
      </c>
      <c r="M3538" t="s">
        <v>6100</v>
      </c>
      <c r="N3538">
        <v>1</v>
      </c>
      <c r="O3538" t="s">
        <v>6101</v>
      </c>
      <c r="P3538" t="s">
        <v>6112</v>
      </c>
      <c r="Q3538">
        <v>6</v>
      </c>
      <c r="R3538">
        <v>2026</v>
      </c>
      <c r="S3538" t="s">
        <v>6100</v>
      </c>
      <c r="T3538">
        <v>0</v>
      </c>
      <c r="U3538" t="s">
        <v>6018</v>
      </c>
      <c r="V3538">
        <v>1</v>
      </c>
    </row>
    <row r="3539" spans="1:22" x14ac:dyDescent="0.3">
      <c r="A3539" t="s">
        <v>3554</v>
      </c>
      <c r="B3539" s="2">
        <v>46181.26666666667</v>
      </c>
      <c r="C3539" s="2">
        <v>46181.970833333333</v>
      </c>
      <c r="D3539" t="s">
        <v>6022</v>
      </c>
      <c r="E3539" t="s">
        <v>6030</v>
      </c>
      <c r="F3539" t="s">
        <v>6033</v>
      </c>
      <c r="G3539" t="s">
        <v>6095</v>
      </c>
      <c r="H3539" t="s">
        <v>6098</v>
      </c>
      <c r="I3539">
        <v>72</v>
      </c>
      <c r="J3539">
        <v>16.899999999999999</v>
      </c>
      <c r="K3539" t="s">
        <v>6099</v>
      </c>
      <c r="L3539" t="s">
        <v>6100</v>
      </c>
      <c r="M3539" t="s">
        <v>6100</v>
      </c>
      <c r="N3539">
        <v>4</v>
      </c>
      <c r="O3539" t="s">
        <v>6101</v>
      </c>
      <c r="P3539" t="s">
        <v>6112</v>
      </c>
      <c r="Q3539">
        <v>6</v>
      </c>
      <c r="R3539">
        <v>2026</v>
      </c>
      <c r="S3539" t="s">
        <v>6099</v>
      </c>
      <c r="T3539">
        <v>1</v>
      </c>
      <c r="U3539" t="s">
        <v>6020</v>
      </c>
      <c r="V3539">
        <v>1</v>
      </c>
    </row>
    <row r="3540" spans="1:22" x14ac:dyDescent="0.3">
      <c r="A3540" t="s">
        <v>3555</v>
      </c>
      <c r="B3540" s="2">
        <v>46181.277083333334</v>
      </c>
      <c r="C3540" s="2">
        <v>46181.443749999999</v>
      </c>
      <c r="D3540" t="s">
        <v>6028</v>
      </c>
      <c r="E3540" t="s">
        <v>6029</v>
      </c>
      <c r="F3540" t="s">
        <v>6034</v>
      </c>
      <c r="G3540" t="s">
        <v>6080</v>
      </c>
      <c r="H3540" t="s">
        <v>6096</v>
      </c>
      <c r="I3540">
        <v>24</v>
      </c>
      <c r="J3540">
        <v>4</v>
      </c>
      <c r="K3540" t="s">
        <v>6100</v>
      </c>
      <c r="L3540" t="s">
        <v>6100</v>
      </c>
      <c r="M3540" t="s">
        <v>6100</v>
      </c>
      <c r="O3540" t="s">
        <v>6101</v>
      </c>
      <c r="P3540" t="s">
        <v>6112</v>
      </c>
      <c r="Q3540">
        <v>6</v>
      </c>
      <c r="R3540">
        <v>2026</v>
      </c>
      <c r="S3540" t="s">
        <v>6099</v>
      </c>
      <c r="T3540">
        <v>1</v>
      </c>
      <c r="U3540" t="s">
        <v>6021</v>
      </c>
      <c r="V3540">
        <v>0</v>
      </c>
    </row>
    <row r="3541" spans="1:22" x14ac:dyDescent="0.3">
      <c r="A3541" t="s">
        <v>3556</v>
      </c>
      <c r="B3541" s="2">
        <v>46181.320138888892</v>
      </c>
      <c r="C3541" s="2">
        <v>46181.607638888891</v>
      </c>
      <c r="D3541" t="s">
        <v>6022</v>
      </c>
      <c r="E3541" t="s">
        <v>6029</v>
      </c>
      <c r="F3541" t="s">
        <v>6033</v>
      </c>
      <c r="G3541" t="s">
        <v>6040</v>
      </c>
      <c r="H3541" t="s">
        <v>6097</v>
      </c>
      <c r="I3541">
        <v>72</v>
      </c>
      <c r="J3541">
        <v>6.9</v>
      </c>
      <c r="K3541" t="s">
        <v>6100</v>
      </c>
      <c r="L3541" t="s">
        <v>6100</v>
      </c>
      <c r="M3541" t="s">
        <v>6100</v>
      </c>
      <c r="O3541" t="s">
        <v>6101</v>
      </c>
      <c r="P3541" t="s">
        <v>6112</v>
      </c>
      <c r="Q3541">
        <v>6</v>
      </c>
      <c r="R3541">
        <v>2026</v>
      </c>
      <c r="S3541" t="s">
        <v>6099</v>
      </c>
      <c r="T3541">
        <v>1</v>
      </c>
      <c r="U3541" t="s">
        <v>6017</v>
      </c>
      <c r="V3541">
        <v>0</v>
      </c>
    </row>
    <row r="3542" spans="1:22" x14ac:dyDescent="0.3">
      <c r="A3542" t="s">
        <v>3557</v>
      </c>
      <c r="B3542" s="2">
        <v>46181.354166666664</v>
      </c>
      <c r="C3542" s="2">
        <v>46181.724999999999</v>
      </c>
      <c r="D3542" t="s">
        <v>6027</v>
      </c>
      <c r="E3542" t="s">
        <v>6029</v>
      </c>
      <c r="F3542" t="s">
        <v>6033</v>
      </c>
      <c r="G3542" t="s">
        <v>6041</v>
      </c>
      <c r="H3542" t="s">
        <v>6096</v>
      </c>
      <c r="I3542">
        <v>72</v>
      </c>
      <c r="J3542">
        <v>8.9</v>
      </c>
      <c r="K3542" t="s">
        <v>6100</v>
      </c>
      <c r="L3542" t="s">
        <v>6099</v>
      </c>
      <c r="M3542" t="s">
        <v>6100</v>
      </c>
      <c r="N3542">
        <v>4</v>
      </c>
      <c r="O3542" t="s">
        <v>6101</v>
      </c>
      <c r="P3542" t="s">
        <v>6112</v>
      </c>
      <c r="Q3542">
        <v>6</v>
      </c>
      <c r="R3542">
        <v>2026</v>
      </c>
      <c r="S3542" t="s">
        <v>6099</v>
      </c>
      <c r="T3542">
        <v>1</v>
      </c>
      <c r="U3542" t="s">
        <v>6020</v>
      </c>
      <c r="V3542">
        <v>0</v>
      </c>
    </row>
    <row r="3543" spans="1:22" x14ac:dyDescent="0.3">
      <c r="A3543" t="s">
        <v>3558</v>
      </c>
      <c r="B3543" s="2">
        <v>46181.37222222222</v>
      </c>
      <c r="C3543" s="2">
        <v>46181.74722222222</v>
      </c>
      <c r="D3543" t="s">
        <v>6023</v>
      </c>
      <c r="E3543" t="s">
        <v>6030</v>
      </c>
      <c r="F3543" t="s">
        <v>6033</v>
      </c>
      <c r="G3543" t="s">
        <v>6046</v>
      </c>
      <c r="H3543" t="s">
        <v>6098</v>
      </c>
      <c r="I3543">
        <v>72</v>
      </c>
      <c r="J3543">
        <v>9</v>
      </c>
      <c r="K3543" t="s">
        <v>6100</v>
      </c>
      <c r="L3543" t="s">
        <v>6099</v>
      </c>
      <c r="M3543" t="s">
        <v>6100</v>
      </c>
      <c r="N3543">
        <v>4</v>
      </c>
      <c r="O3543" t="s">
        <v>6101</v>
      </c>
      <c r="P3543" t="s">
        <v>6112</v>
      </c>
      <c r="Q3543">
        <v>6</v>
      </c>
      <c r="R3543">
        <v>2026</v>
      </c>
      <c r="S3543" t="s">
        <v>6099</v>
      </c>
      <c r="T3543">
        <v>1</v>
      </c>
      <c r="U3543" t="s">
        <v>6020</v>
      </c>
      <c r="V3543">
        <v>0</v>
      </c>
    </row>
    <row r="3544" spans="1:22" x14ac:dyDescent="0.3">
      <c r="A3544" t="s">
        <v>3559</v>
      </c>
      <c r="B3544" s="2">
        <v>46181.388888888891</v>
      </c>
      <c r="C3544" s="2">
        <v>46182.163888888892</v>
      </c>
      <c r="D3544" t="s">
        <v>6023</v>
      </c>
      <c r="E3544" t="s">
        <v>6032</v>
      </c>
      <c r="F3544" t="s">
        <v>6035</v>
      </c>
      <c r="G3544" t="s">
        <v>6067</v>
      </c>
      <c r="H3544" t="s">
        <v>6098</v>
      </c>
      <c r="I3544">
        <v>4</v>
      </c>
      <c r="J3544">
        <v>18.600000000000001</v>
      </c>
      <c r="K3544" t="s">
        <v>6099</v>
      </c>
      <c r="L3544" t="s">
        <v>6100</v>
      </c>
      <c r="M3544" t="s">
        <v>6100</v>
      </c>
      <c r="N3544">
        <v>4</v>
      </c>
      <c r="O3544" t="s">
        <v>6101</v>
      </c>
      <c r="P3544" t="s">
        <v>6112</v>
      </c>
      <c r="Q3544">
        <v>6</v>
      </c>
      <c r="R3544">
        <v>2026</v>
      </c>
      <c r="S3544" t="s">
        <v>6100</v>
      </c>
      <c r="T3544">
        <v>0</v>
      </c>
      <c r="U3544" t="s">
        <v>6017</v>
      </c>
      <c r="V3544">
        <v>1</v>
      </c>
    </row>
    <row r="3545" spans="1:22" x14ac:dyDescent="0.3">
      <c r="A3545" t="s">
        <v>3560</v>
      </c>
      <c r="B3545" s="2">
        <v>46181.472916666666</v>
      </c>
      <c r="C3545" s="2">
        <v>46181.581250000003</v>
      </c>
      <c r="D3545" t="s">
        <v>6023</v>
      </c>
      <c r="E3545" t="s">
        <v>6030</v>
      </c>
      <c r="F3545" t="s">
        <v>6033</v>
      </c>
      <c r="G3545" t="s">
        <v>6093</v>
      </c>
      <c r="H3545" t="s">
        <v>6097</v>
      </c>
      <c r="I3545">
        <v>72</v>
      </c>
      <c r="J3545">
        <v>2.6</v>
      </c>
      <c r="K3545" t="s">
        <v>6099</v>
      </c>
      <c r="L3545" t="s">
        <v>6100</v>
      </c>
      <c r="M3545" t="s">
        <v>6100</v>
      </c>
      <c r="N3545">
        <v>5</v>
      </c>
      <c r="O3545" t="s">
        <v>6101</v>
      </c>
      <c r="P3545" t="s">
        <v>6112</v>
      </c>
      <c r="Q3545">
        <v>6</v>
      </c>
      <c r="R3545">
        <v>2026</v>
      </c>
      <c r="S3545" t="s">
        <v>6099</v>
      </c>
      <c r="T3545">
        <v>1</v>
      </c>
      <c r="U3545" t="s">
        <v>6021</v>
      </c>
      <c r="V3545">
        <v>1</v>
      </c>
    </row>
    <row r="3546" spans="1:22" x14ac:dyDescent="0.3">
      <c r="A3546" t="s">
        <v>3561</v>
      </c>
      <c r="B3546" s="2">
        <v>46181.478472222225</v>
      </c>
      <c r="C3546" s="2">
        <v>46182.045138888891</v>
      </c>
      <c r="D3546" t="s">
        <v>6024</v>
      </c>
      <c r="E3546" t="s">
        <v>6029</v>
      </c>
      <c r="F3546" t="s">
        <v>6034</v>
      </c>
      <c r="G3546" t="s">
        <v>6051</v>
      </c>
      <c r="H3546" t="s">
        <v>6097</v>
      </c>
      <c r="I3546">
        <v>24</v>
      </c>
      <c r="J3546">
        <v>13.6</v>
      </c>
      <c r="K3546" t="s">
        <v>6099</v>
      </c>
      <c r="L3546" t="s">
        <v>6100</v>
      </c>
      <c r="M3546" t="s">
        <v>6100</v>
      </c>
      <c r="O3546" t="s">
        <v>6101</v>
      </c>
      <c r="P3546" t="s">
        <v>6112</v>
      </c>
      <c r="Q3546">
        <v>6</v>
      </c>
      <c r="R3546">
        <v>2026</v>
      </c>
      <c r="S3546" t="s">
        <v>6099</v>
      </c>
      <c r="T3546">
        <v>1</v>
      </c>
      <c r="U3546" t="s">
        <v>6019</v>
      </c>
      <c r="V3546">
        <v>1</v>
      </c>
    </row>
    <row r="3547" spans="1:22" x14ac:dyDescent="0.3">
      <c r="A3547" t="s">
        <v>3562</v>
      </c>
      <c r="B3547" s="2">
        <v>46181.481944444444</v>
      </c>
      <c r="C3547" s="2">
        <v>46182.415277777778</v>
      </c>
      <c r="D3547" t="s">
        <v>6028</v>
      </c>
      <c r="E3547" t="s">
        <v>6031</v>
      </c>
      <c r="F3547" t="s">
        <v>6035</v>
      </c>
      <c r="G3547" t="s">
        <v>6052</v>
      </c>
      <c r="H3547" t="s">
        <v>6098</v>
      </c>
      <c r="I3547">
        <v>4</v>
      </c>
      <c r="J3547">
        <v>22.4</v>
      </c>
      <c r="K3547" t="s">
        <v>6099</v>
      </c>
      <c r="L3547" t="s">
        <v>6100</v>
      </c>
      <c r="M3547" t="s">
        <v>6100</v>
      </c>
      <c r="N3547">
        <v>5</v>
      </c>
      <c r="O3547" t="s">
        <v>6101</v>
      </c>
      <c r="P3547" t="s">
        <v>6112</v>
      </c>
      <c r="Q3547">
        <v>6</v>
      </c>
      <c r="R3547">
        <v>2026</v>
      </c>
      <c r="S3547" t="s">
        <v>6100</v>
      </c>
      <c r="T3547">
        <v>0</v>
      </c>
      <c r="U3547" t="s">
        <v>6017</v>
      </c>
      <c r="V3547">
        <v>1</v>
      </c>
    </row>
    <row r="3548" spans="1:22" x14ac:dyDescent="0.3">
      <c r="A3548" t="s">
        <v>3563</v>
      </c>
      <c r="B3548" s="2">
        <v>46181.48333333333</v>
      </c>
      <c r="C3548" s="2">
        <v>46181.583333333336</v>
      </c>
      <c r="D3548" t="s">
        <v>6028</v>
      </c>
      <c r="E3548" t="s">
        <v>6029</v>
      </c>
      <c r="F3548" t="s">
        <v>6035</v>
      </c>
      <c r="G3548" t="s">
        <v>6062</v>
      </c>
      <c r="H3548" t="s">
        <v>6096</v>
      </c>
      <c r="I3548">
        <v>4</v>
      </c>
      <c r="J3548">
        <v>2.4</v>
      </c>
      <c r="K3548" t="s">
        <v>6099</v>
      </c>
      <c r="L3548" t="s">
        <v>6100</v>
      </c>
      <c r="M3548" t="s">
        <v>6100</v>
      </c>
      <c r="N3548">
        <v>5</v>
      </c>
      <c r="O3548" t="s">
        <v>6101</v>
      </c>
      <c r="P3548" t="s">
        <v>6112</v>
      </c>
      <c r="Q3548">
        <v>6</v>
      </c>
      <c r="R3548">
        <v>2026</v>
      </c>
      <c r="S3548" t="s">
        <v>6099</v>
      </c>
      <c r="T3548">
        <v>1</v>
      </c>
      <c r="U3548" t="s">
        <v>6021</v>
      </c>
      <c r="V3548">
        <v>1</v>
      </c>
    </row>
    <row r="3549" spans="1:22" x14ac:dyDescent="0.3">
      <c r="A3549" t="s">
        <v>3564</v>
      </c>
      <c r="B3549" s="2">
        <v>46181.564583333333</v>
      </c>
      <c r="C3549" s="2">
        <v>46182.20208333333</v>
      </c>
      <c r="D3549" t="s">
        <v>6025</v>
      </c>
      <c r="E3549" t="s">
        <v>6030</v>
      </c>
      <c r="F3549" t="s">
        <v>6033</v>
      </c>
      <c r="G3549" t="s">
        <v>6095</v>
      </c>
      <c r="H3549" t="s">
        <v>6098</v>
      </c>
      <c r="I3549">
        <v>72</v>
      </c>
      <c r="J3549">
        <v>15.3</v>
      </c>
      <c r="K3549" t="s">
        <v>6100</v>
      </c>
      <c r="L3549" t="s">
        <v>6099</v>
      </c>
      <c r="M3549" t="s">
        <v>6100</v>
      </c>
      <c r="N3549">
        <v>4</v>
      </c>
      <c r="O3549" t="s">
        <v>6101</v>
      </c>
      <c r="P3549" t="s">
        <v>6112</v>
      </c>
      <c r="Q3549">
        <v>6</v>
      </c>
      <c r="R3549">
        <v>2026</v>
      </c>
      <c r="S3549" t="s">
        <v>6099</v>
      </c>
      <c r="T3549">
        <v>1</v>
      </c>
      <c r="U3549" t="s">
        <v>6017</v>
      </c>
      <c r="V3549">
        <v>0</v>
      </c>
    </row>
    <row r="3550" spans="1:22" x14ac:dyDescent="0.3">
      <c r="A3550" t="s">
        <v>3565</v>
      </c>
      <c r="B3550" s="2">
        <v>46181.588888888888</v>
      </c>
      <c r="C3550" s="2">
        <v>46182.93472222222</v>
      </c>
      <c r="D3550" t="s">
        <v>6028</v>
      </c>
      <c r="E3550" t="s">
        <v>6031</v>
      </c>
      <c r="F3550" t="s">
        <v>6035</v>
      </c>
      <c r="G3550" t="s">
        <v>6083</v>
      </c>
      <c r="H3550" t="s">
        <v>6096</v>
      </c>
      <c r="I3550">
        <v>4</v>
      </c>
      <c r="J3550">
        <v>32.299999999999997</v>
      </c>
      <c r="K3550" t="s">
        <v>6100</v>
      </c>
      <c r="L3550" t="s">
        <v>6100</v>
      </c>
      <c r="M3550" t="s">
        <v>6100</v>
      </c>
      <c r="N3550">
        <v>3</v>
      </c>
      <c r="O3550" t="s">
        <v>6101</v>
      </c>
      <c r="P3550" t="s">
        <v>6112</v>
      </c>
      <c r="Q3550">
        <v>6</v>
      </c>
      <c r="R3550">
        <v>2026</v>
      </c>
      <c r="S3550" t="s">
        <v>6100</v>
      </c>
      <c r="T3550">
        <v>0</v>
      </c>
      <c r="U3550" t="s">
        <v>6020</v>
      </c>
      <c r="V3550">
        <v>0</v>
      </c>
    </row>
    <row r="3551" spans="1:22" x14ac:dyDescent="0.3">
      <c r="A3551" t="s">
        <v>3566</v>
      </c>
      <c r="B3551" s="2">
        <v>46181.599305555559</v>
      </c>
      <c r="C3551" s="2">
        <v>46182.824305555558</v>
      </c>
      <c r="D3551" t="s">
        <v>6024</v>
      </c>
      <c r="E3551" t="s">
        <v>6031</v>
      </c>
      <c r="F3551" t="s">
        <v>6033</v>
      </c>
      <c r="G3551" t="s">
        <v>6052</v>
      </c>
      <c r="H3551" t="s">
        <v>6098</v>
      </c>
      <c r="I3551">
        <v>72</v>
      </c>
      <c r="J3551">
        <v>29.4</v>
      </c>
      <c r="K3551" t="s">
        <v>6099</v>
      </c>
      <c r="L3551" t="s">
        <v>6100</v>
      </c>
      <c r="M3551" t="s">
        <v>6100</v>
      </c>
      <c r="N3551">
        <v>5</v>
      </c>
      <c r="O3551" t="s">
        <v>6101</v>
      </c>
      <c r="P3551" t="s">
        <v>6112</v>
      </c>
      <c r="Q3551">
        <v>6</v>
      </c>
      <c r="R3551">
        <v>2026</v>
      </c>
      <c r="S3551" t="s">
        <v>6099</v>
      </c>
      <c r="T3551">
        <v>1</v>
      </c>
      <c r="U3551" t="s">
        <v>6017</v>
      </c>
      <c r="V3551">
        <v>1</v>
      </c>
    </row>
    <row r="3552" spans="1:22" x14ac:dyDescent="0.3">
      <c r="A3552" t="s">
        <v>3567</v>
      </c>
      <c r="B3552" s="2">
        <v>46181.613888888889</v>
      </c>
      <c r="C3552" s="2">
        <v>46181.963888888888</v>
      </c>
      <c r="D3552" t="s">
        <v>6022</v>
      </c>
      <c r="E3552" t="s">
        <v>6030</v>
      </c>
      <c r="F3552" t="s">
        <v>6034</v>
      </c>
      <c r="G3552" t="s">
        <v>6091</v>
      </c>
      <c r="H3552" t="s">
        <v>6097</v>
      </c>
      <c r="I3552">
        <v>24</v>
      </c>
      <c r="J3552">
        <v>8.4</v>
      </c>
      <c r="K3552" t="s">
        <v>6099</v>
      </c>
      <c r="L3552" t="s">
        <v>6100</v>
      </c>
      <c r="M3552" t="s">
        <v>6100</v>
      </c>
      <c r="O3552" t="s">
        <v>6101</v>
      </c>
      <c r="P3552" t="s">
        <v>6112</v>
      </c>
      <c r="Q3552">
        <v>6</v>
      </c>
      <c r="R3552">
        <v>2026</v>
      </c>
      <c r="S3552" t="s">
        <v>6099</v>
      </c>
      <c r="T3552">
        <v>1</v>
      </c>
      <c r="U3552" t="s">
        <v>6020</v>
      </c>
      <c r="V3552">
        <v>1</v>
      </c>
    </row>
    <row r="3553" spans="1:22" x14ac:dyDescent="0.3">
      <c r="A3553" t="s">
        <v>3568</v>
      </c>
      <c r="B3553" s="2">
        <v>46181.685416666667</v>
      </c>
      <c r="C3553" s="2">
        <v>46182.002083333333</v>
      </c>
      <c r="D3553" t="s">
        <v>6025</v>
      </c>
      <c r="E3553" t="s">
        <v>6030</v>
      </c>
      <c r="F3553" t="s">
        <v>6034</v>
      </c>
      <c r="G3553" t="s">
        <v>6094</v>
      </c>
      <c r="H3553" t="s">
        <v>6098</v>
      </c>
      <c r="I3553">
        <v>24</v>
      </c>
      <c r="J3553">
        <v>7.6</v>
      </c>
      <c r="K3553" t="s">
        <v>6099</v>
      </c>
      <c r="L3553" t="s">
        <v>6100</v>
      </c>
      <c r="M3553" t="s">
        <v>6100</v>
      </c>
      <c r="N3553">
        <v>5</v>
      </c>
      <c r="O3553" t="s">
        <v>6101</v>
      </c>
      <c r="P3553" t="s">
        <v>6112</v>
      </c>
      <c r="Q3553">
        <v>6</v>
      </c>
      <c r="R3553">
        <v>2026</v>
      </c>
      <c r="S3553" t="s">
        <v>6099</v>
      </c>
      <c r="T3553">
        <v>1</v>
      </c>
      <c r="U3553" t="s">
        <v>6020</v>
      </c>
      <c r="V3553">
        <v>1</v>
      </c>
    </row>
    <row r="3554" spans="1:22" x14ac:dyDescent="0.3">
      <c r="A3554" t="s">
        <v>3569</v>
      </c>
      <c r="B3554" s="2">
        <v>46181.722222222219</v>
      </c>
      <c r="C3554" s="2">
        <v>46182.055555555555</v>
      </c>
      <c r="D3554" t="s">
        <v>6028</v>
      </c>
      <c r="E3554" t="s">
        <v>6031</v>
      </c>
      <c r="F3554" t="s">
        <v>6035</v>
      </c>
      <c r="G3554" t="s">
        <v>6095</v>
      </c>
      <c r="H3554" t="s">
        <v>6098</v>
      </c>
      <c r="I3554">
        <v>4</v>
      </c>
      <c r="J3554">
        <v>8</v>
      </c>
      <c r="K3554" t="s">
        <v>6099</v>
      </c>
      <c r="L3554" t="s">
        <v>6100</v>
      </c>
      <c r="M3554" t="s">
        <v>6100</v>
      </c>
      <c r="O3554" t="s">
        <v>6101</v>
      </c>
      <c r="P3554" t="s">
        <v>6112</v>
      </c>
      <c r="Q3554">
        <v>6</v>
      </c>
      <c r="R3554">
        <v>2026</v>
      </c>
      <c r="S3554" t="s">
        <v>6100</v>
      </c>
      <c r="T3554">
        <v>0</v>
      </c>
      <c r="U3554" t="s">
        <v>6019</v>
      </c>
      <c r="V3554">
        <v>1</v>
      </c>
    </row>
    <row r="3555" spans="1:22" x14ac:dyDescent="0.3">
      <c r="A3555" t="s">
        <v>3570</v>
      </c>
      <c r="B3555" s="2">
        <v>46181.782638888886</v>
      </c>
      <c r="C3555" s="2">
        <v>46181.957638888889</v>
      </c>
      <c r="D3555" t="s">
        <v>6027</v>
      </c>
      <c r="E3555" t="s">
        <v>6029</v>
      </c>
      <c r="F3555" t="s">
        <v>6035</v>
      </c>
      <c r="G3555" t="s">
        <v>6078</v>
      </c>
      <c r="H3555" t="s">
        <v>6097</v>
      </c>
      <c r="I3555">
        <v>4</v>
      </c>
      <c r="J3555">
        <v>4.2</v>
      </c>
      <c r="K3555" t="s">
        <v>6100</v>
      </c>
      <c r="L3555" t="s">
        <v>6099</v>
      </c>
      <c r="M3555" t="s">
        <v>6099</v>
      </c>
      <c r="N3555">
        <v>2</v>
      </c>
      <c r="O3555" t="s">
        <v>6101</v>
      </c>
      <c r="P3555" t="s">
        <v>6112</v>
      </c>
      <c r="Q3555">
        <v>6</v>
      </c>
      <c r="R3555">
        <v>2026</v>
      </c>
      <c r="S3555" t="s">
        <v>6100</v>
      </c>
      <c r="T3555">
        <v>0</v>
      </c>
      <c r="U3555" t="s">
        <v>6021</v>
      </c>
      <c r="V3555">
        <v>0</v>
      </c>
    </row>
    <row r="3556" spans="1:22" x14ac:dyDescent="0.3">
      <c r="A3556" t="s">
        <v>3571</v>
      </c>
      <c r="B3556" s="2">
        <v>46181.817361111112</v>
      </c>
      <c r="C3556" s="2">
        <v>46182.809027777781</v>
      </c>
      <c r="D3556" t="s">
        <v>6026</v>
      </c>
      <c r="E3556" t="s">
        <v>6031</v>
      </c>
      <c r="F3556" t="s">
        <v>6033</v>
      </c>
      <c r="G3556" t="s">
        <v>6072</v>
      </c>
      <c r="H3556" t="s">
        <v>6097</v>
      </c>
      <c r="I3556">
        <v>72</v>
      </c>
      <c r="J3556">
        <v>23.8</v>
      </c>
      <c r="K3556" t="s">
        <v>6100</v>
      </c>
      <c r="L3556" t="s">
        <v>6099</v>
      </c>
      <c r="M3556" t="s">
        <v>6100</v>
      </c>
      <c r="O3556" t="s">
        <v>6101</v>
      </c>
      <c r="P3556" t="s">
        <v>6112</v>
      </c>
      <c r="Q3556">
        <v>6</v>
      </c>
      <c r="R3556">
        <v>2026</v>
      </c>
      <c r="S3556" t="s">
        <v>6099</v>
      </c>
      <c r="T3556">
        <v>1</v>
      </c>
      <c r="U3556" t="s">
        <v>6017</v>
      </c>
      <c r="V3556">
        <v>0</v>
      </c>
    </row>
    <row r="3557" spans="1:22" x14ac:dyDescent="0.3">
      <c r="A3557" t="s">
        <v>3572</v>
      </c>
      <c r="B3557" s="2">
        <v>46181.869444444441</v>
      </c>
      <c r="C3557" s="2">
        <v>46183.37777777778</v>
      </c>
      <c r="D3557" t="s">
        <v>6022</v>
      </c>
      <c r="E3557" t="s">
        <v>6032</v>
      </c>
      <c r="F3557" t="s">
        <v>6033</v>
      </c>
      <c r="G3557" t="s">
        <v>6050</v>
      </c>
      <c r="H3557" t="s">
        <v>6098</v>
      </c>
      <c r="I3557">
        <v>72</v>
      </c>
      <c r="J3557">
        <v>36.200000000000003</v>
      </c>
      <c r="K3557" t="s">
        <v>6099</v>
      </c>
      <c r="L3557" t="s">
        <v>6100</v>
      </c>
      <c r="M3557" t="s">
        <v>6100</v>
      </c>
      <c r="N3557">
        <v>4</v>
      </c>
      <c r="O3557" t="s">
        <v>6101</v>
      </c>
      <c r="P3557" t="s">
        <v>6112</v>
      </c>
      <c r="Q3557">
        <v>6</v>
      </c>
      <c r="R3557">
        <v>2026</v>
      </c>
      <c r="S3557" t="s">
        <v>6099</v>
      </c>
      <c r="T3557">
        <v>1</v>
      </c>
      <c r="U3557" t="s">
        <v>6018</v>
      </c>
      <c r="V3557">
        <v>1</v>
      </c>
    </row>
    <row r="3558" spans="1:22" x14ac:dyDescent="0.3">
      <c r="A3558" t="s">
        <v>3573</v>
      </c>
      <c r="B3558" s="2">
        <v>46182.001388888886</v>
      </c>
      <c r="C3558" s="2">
        <v>46182.172222222223</v>
      </c>
      <c r="D3558" t="s">
        <v>6023</v>
      </c>
      <c r="E3558" t="s">
        <v>6029</v>
      </c>
      <c r="F3558" t="s">
        <v>6034</v>
      </c>
      <c r="G3558" t="s">
        <v>6080</v>
      </c>
      <c r="H3558" t="s">
        <v>6096</v>
      </c>
      <c r="I3558">
        <v>24</v>
      </c>
      <c r="J3558">
        <v>4.0999999999999996</v>
      </c>
      <c r="K3558" t="s">
        <v>6099</v>
      </c>
      <c r="L3558" t="s">
        <v>6100</v>
      </c>
      <c r="M3558" t="s">
        <v>6100</v>
      </c>
      <c r="N3558">
        <v>5</v>
      </c>
      <c r="O3558" t="s">
        <v>6101</v>
      </c>
      <c r="P3558" t="s">
        <v>6112</v>
      </c>
      <c r="Q3558">
        <v>6</v>
      </c>
      <c r="R3558">
        <v>2026</v>
      </c>
      <c r="S3558" t="s">
        <v>6099</v>
      </c>
      <c r="T3558">
        <v>1</v>
      </c>
      <c r="U3558" t="s">
        <v>6019</v>
      </c>
      <c r="V3558">
        <v>1</v>
      </c>
    </row>
    <row r="3559" spans="1:22" x14ac:dyDescent="0.3">
      <c r="A3559" t="s">
        <v>3574</v>
      </c>
      <c r="B3559" s="2">
        <v>46182.210416666669</v>
      </c>
      <c r="C3559" s="2">
        <v>46182.518750000003</v>
      </c>
      <c r="D3559" t="s">
        <v>6024</v>
      </c>
      <c r="E3559" t="s">
        <v>6030</v>
      </c>
      <c r="F3559" t="s">
        <v>6033</v>
      </c>
      <c r="G3559" t="s">
        <v>6039</v>
      </c>
      <c r="H3559" t="s">
        <v>6097</v>
      </c>
      <c r="I3559">
        <v>72</v>
      </c>
      <c r="J3559">
        <v>7.4</v>
      </c>
      <c r="K3559" t="s">
        <v>6099</v>
      </c>
      <c r="L3559" t="s">
        <v>6100</v>
      </c>
      <c r="M3559" t="s">
        <v>6100</v>
      </c>
      <c r="O3559" t="s">
        <v>6101</v>
      </c>
      <c r="P3559" t="s">
        <v>6112</v>
      </c>
      <c r="Q3559">
        <v>6</v>
      </c>
      <c r="R3559">
        <v>2026</v>
      </c>
      <c r="S3559" t="s">
        <v>6099</v>
      </c>
      <c r="T3559">
        <v>1</v>
      </c>
      <c r="U3559" t="s">
        <v>6019</v>
      </c>
      <c r="V3559">
        <v>1</v>
      </c>
    </row>
    <row r="3560" spans="1:22" x14ac:dyDescent="0.3">
      <c r="A3560" t="s">
        <v>3575</v>
      </c>
      <c r="B3560" s="2">
        <v>46182.249305555553</v>
      </c>
      <c r="C3560" s="2">
        <v>46182.96597222222</v>
      </c>
      <c r="D3560" t="s">
        <v>6027</v>
      </c>
      <c r="E3560" t="s">
        <v>6031</v>
      </c>
      <c r="F3560" t="s">
        <v>6034</v>
      </c>
      <c r="G3560" t="s">
        <v>6074</v>
      </c>
      <c r="H3560" t="s">
        <v>6098</v>
      </c>
      <c r="I3560">
        <v>24</v>
      </c>
      <c r="J3560">
        <v>17.2</v>
      </c>
      <c r="K3560" t="s">
        <v>6099</v>
      </c>
      <c r="L3560" t="s">
        <v>6100</v>
      </c>
      <c r="M3560" t="s">
        <v>6100</v>
      </c>
      <c r="N3560">
        <v>3</v>
      </c>
      <c r="O3560" t="s">
        <v>6101</v>
      </c>
      <c r="P3560" t="s">
        <v>6112</v>
      </c>
      <c r="Q3560">
        <v>6</v>
      </c>
      <c r="R3560">
        <v>2026</v>
      </c>
      <c r="S3560" t="s">
        <v>6099</v>
      </c>
      <c r="T3560">
        <v>1</v>
      </c>
      <c r="U3560" t="s">
        <v>6020</v>
      </c>
      <c r="V3560">
        <v>1</v>
      </c>
    </row>
    <row r="3561" spans="1:22" x14ac:dyDescent="0.3">
      <c r="A3561" t="s">
        <v>3576</v>
      </c>
      <c r="B3561" s="2">
        <v>46182.28402777778</v>
      </c>
      <c r="C3561" s="2">
        <v>46182.617361111108</v>
      </c>
      <c r="D3561" t="s">
        <v>6028</v>
      </c>
      <c r="E3561" t="s">
        <v>6029</v>
      </c>
      <c r="F3561" t="s">
        <v>6035</v>
      </c>
      <c r="G3561" t="s">
        <v>6078</v>
      </c>
      <c r="H3561" t="s">
        <v>6097</v>
      </c>
      <c r="I3561">
        <v>4</v>
      </c>
      <c r="J3561">
        <v>8</v>
      </c>
      <c r="K3561" t="s">
        <v>6099</v>
      </c>
      <c r="L3561" t="s">
        <v>6100</v>
      </c>
      <c r="M3561" t="s">
        <v>6100</v>
      </c>
      <c r="N3561">
        <v>5</v>
      </c>
      <c r="O3561" t="s">
        <v>6101</v>
      </c>
      <c r="P3561" t="s">
        <v>6112</v>
      </c>
      <c r="Q3561">
        <v>6</v>
      </c>
      <c r="R3561">
        <v>2026</v>
      </c>
      <c r="S3561" t="s">
        <v>6100</v>
      </c>
      <c r="T3561">
        <v>0</v>
      </c>
      <c r="U3561" t="s">
        <v>6020</v>
      </c>
      <c r="V3561">
        <v>1</v>
      </c>
    </row>
    <row r="3562" spans="1:22" x14ac:dyDescent="0.3">
      <c r="A3562" t="s">
        <v>3577</v>
      </c>
      <c r="B3562" s="2">
        <v>46182.285416666666</v>
      </c>
      <c r="C3562" s="2">
        <v>46182.802083333336</v>
      </c>
      <c r="D3562" t="s">
        <v>6024</v>
      </c>
      <c r="E3562" t="s">
        <v>6030</v>
      </c>
      <c r="F3562" t="s">
        <v>6033</v>
      </c>
      <c r="G3562" t="s">
        <v>6081</v>
      </c>
      <c r="H3562" t="s">
        <v>6098</v>
      </c>
      <c r="I3562">
        <v>72</v>
      </c>
      <c r="J3562">
        <v>12.4</v>
      </c>
      <c r="K3562" t="s">
        <v>6100</v>
      </c>
      <c r="L3562" t="s">
        <v>6099</v>
      </c>
      <c r="M3562" t="s">
        <v>6100</v>
      </c>
      <c r="N3562">
        <v>4</v>
      </c>
      <c r="O3562" t="s">
        <v>6101</v>
      </c>
      <c r="P3562" t="s">
        <v>6112</v>
      </c>
      <c r="Q3562">
        <v>6</v>
      </c>
      <c r="R3562">
        <v>2026</v>
      </c>
      <c r="S3562" t="s">
        <v>6099</v>
      </c>
      <c r="T3562">
        <v>1</v>
      </c>
      <c r="U3562" t="s">
        <v>6018</v>
      </c>
      <c r="V3562">
        <v>0</v>
      </c>
    </row>
    <row r="3563" spans="1:22" x14ac:dyDescent="0.3">
      <c r="A3563" t="s">
        <v>3578</v>
      </c>
      <c r="B3563" s="2">
        <v>46182.29791666667</v>
      </c>
      <c r="C3563" s="2">
        <v>46182.427083333336</v>
      </c>
      <c r="D3563" t="s">
        <v>6023</v>
      </c>
      <c r="E3563" t="s">
        <v>6030</v>
      </c>
      <c r="F3563" t="s">
        <v>6033</v>
      </c>
      <c r="G3563" t="s">
        <v>6050</v>
      </c>
      <c r="H3563" t="s">
        <v>6098</v>
      </c>
      <c r="I3563">
        <v>72</v>
      </c>
      <c r="J3563">
        <v>3.1</v>
      </c>
      <c r="K3563" t="s">
        <v>6099</v>
      </c>
      <c r="L3563" t="s">
        <v>6100</v>
      </c>
      <c r="M3563" t="s">
        <v>6100</v>
      </c>
      <c r="O3563" t="s">
        <v>6101</v>
      </c>
      <c r="P3563" t="s">
        <v>6112</v>
      </c>
      <c r="Q3563">
        <v>6</v>
      </c>
      <c r="R3563">
        <v>2026</v>
      </c>
      <c r="S3563" t="s">
        <v>6099</v>
      </c>
      <c r="T3563">
        <v>1</v>
      </c>
      <c r="U3563" t="s">
        <v>6020</v>
      </c>
      <c r="V3563">
        <v>1</v>
      </c>
    </row>
    <row r="3564" spans="1:22" x14ac:dyDescent="0.3">
      <c r="A3564" t="s">
        <v>3579</v>
      </c>
      <c r="B3564" s="2">
        <v>46182.321527777778</v>
      </c>
      <c r="C3564" s="2">
        <v>46182.546527777777</v>
      </c>
      <c r="D3564" t="s">
        <v>6023</v>
      </c>
      <c r="E3564" t="s">
        <v>6029</v>
      </c>
      <c r="F3564" t="s">
        <v>6033</v>
      </c>
      <c r="G3564" t="s">
        <v>6041</v>
      </c>
      <c r="H3564" t="s">
        <v>6096</v>
      </c>
      <c r="I3564">
        <v>72</v>
      </c>
      <c r="J3564">
        <v>5.4</v>
      </c>
      <c r="K3564" t="s">
        <v>6100</v>
      </c>
      <c r="L3564" t="s">
        <v>6100</v>
      </c>
      <c r="M3564" t="s">
        <v>6099</v>
      </c>
      <c r="N3564">
        <v>4</v>
      </c>
      <c r="O3564" t="s">
        <v>6101</v>
      </c>
      <c r="P3564" t="s">
        <v>6112</v>
      </c>
      <c r="Q3564">
        <v>6</v>
      </c>
      <c r="R3564">
        <v>2026</v>
      </c>
      <c r="S3564" t="s">
        <v>6099</v>
      </c>
      <c r="T3564">
        <v>1</v>
      </c>
      <c r="U3564" t="s">
        <v>6017</v>
      </c>
      <c r="V3564">
        <v>0</v>
      </c>
    </row>
    <row r="3565" spans="1:22" x14ac:dyDescent="0.3">
      <c r="A3565" t="s">
        <v>3580</v>
      </c>
      <c r="B3565" s="2">
        <v>46182.353472222225</v>
      </c>
      <c r="C3565" s="2">
        <v>46183.586805555555</v>
      </c>
      <c r="D3565" t="s">
        <v>6028</v>
      </c>
      <c r="E3565" t="s">
        <v>6031</v>
      </c>
      <c r="F3565" t="s">
        <v>6035</v>
      </c>
      <c r="G3565" t="s">
        <v>6046</v>
      </c>
      <c r="H3565" t="s">
        <v>6098</v>
      </c>
      <c r="I3565">
        <v>4</v>
      </c>
      <c r="J3565">
        <v>29.6</v>
      </c>
      <c r="K3565" t="s">
        <v>6099</v>
      </c>
      <c r="L3565" t="s">
        <v>6100</v>
      </c>
      <c r="M3565" t="s">
        <v>6100</v>
      </c>
      <c r="O3565" t="s">
        <v>6101</v>
      </c>
      <c r="P3565" t="s">
        <v>6112</v>
      </c>
      <c r="Q3565">
        <v>6</v>
      </c>
      <c r="R3565">
        <v>2026</v>
      </c>
      <c r="S3565" t="s">
        <v>6100</v>
      </c>
      <c r="T3565">
        <v>0</v>
      </c>
      <c r="U3565" t="s">
        <v>6017</v>
      </c>
      <c r="V3565">
        <v>1</v>
      </c>
    </row>
    <row r="3566" spans="1:22" x14ac:dyDescent="0.3">
      <c r="A3566" t="s">
        <v>3581</v>
      </c>
      <c r="B3566" s="2">
        <v>46182.368055555555</v>
      </c>
      <c r="C3566" s="2">
        <v>46182.843055555553</v>
      </c>
      <c r="D3566" t="s">
        <v>6022</v>
      </c>
      <c r="E3566" t="s">
        <v>6030</v>
      </c>
      <c r="F3566" t="s">
        <v>6034</v>
      </c>
      <c r="G3566" t="s">
        <v>6054</v>
      </c>
      <c r="H3566" t="s">
        <v>6096</v>
      </c>
      <c r="I3566">
        <v>24</v>
      </c>
      <c r="J3566">
        <v>11.4</v>
      </c>
      <c r="K3566" t="s">
        <v>6099</v>
      </c>
      <c r="L3566" t="s">
        <v>6100</v>
      </c>
      <c r="M3566" t="s">
        <v>6100</v>
      </c>
      <c r="N3566">
        <v>5</v>
      </c>
      <c r="O3566" t="s">
        <v>6101</v>
      </c>
      <c r="P3566" t="s">
        <v>6112</v>
      </c>
      <c r="Q3566">
        <v>6</v>
      </c>
      <c r="R3566">
        <v>2026</v>
      </c>
      <c r="S3566" t="s">
        <v>6099</v>
      </c>
      <c r="T3566">
        <v>1</v>
      </c>
      <c r="U3566" t="s">
        <v>6019</v>
      </c>
      <c r="V3566">
        <v>1</v>
      </c>
    </row>
    <row r="3567" spans="1:22" x14ac:dyDescent="0.3">
      <c r="A3567" t="s">
        <v>3582</v>
      </c>
      <c r="B3567" s="2">
        <v>46182.379861111112</v>
      </c>
      <c r="C3567" s="2">
        <v>46182.788194444445</v>
      </c>
      <c r="D3567" t="s">
        <v>6025</v>
      </c>
      <c r="E3567" t="s">
        <v>6030</v>
      </c>
      <c r="F3567" t="s">
        <v>6034</v>
      </c>
      <c r="G3567" t="s">
        <v>6094</v>
      </c>
      <c r="H3567" t="s">
        <v>6098</v>
      </c>
      <c r="I3567">
        <v>24</v>
      </c>
      <c r="J3567">
        <v>9.8000000000000007</v>
      </c>
      <c r="K3567" t="s">
        <v>6099</v>
      </c>
      <c r="L3567" t="s">
        <v>6100</v>
      </c>
      <c r="M3567" t="s">
        <v>6100</v>
      </c>
      <c r="N3567">
        <v>5</v>
      </c>
      <c r="O3567" t="s">
        <v>6101</v>
      </c>
      <c r="P3567" t="s">
        <v>6112</v>
      </c>
      <c r="Q3567">
        <v>6</v>
      </c>
      <c r="R3567">
        <v>2026</v>
      </c>
      <c r="S3567" t="s">
        <v>6099</v>
      </c>
      <c r="T3567">
        <v>1</v>
      </c>
      <c r="U3567" t="s">
        <v>6019</v>
      </c>
      <c r="V3567">
        <v>1</v>
      </c>
    </row>
    <row r="3568" spans="1:22" x14ac:dyDescent="0.3">
      <c r="A3568" t="s">
        <v>3583</v>
      </c>
      <c r="B3568" s="2">
        <v>46182.40902777778</v>
      </c>
      <c r="C3568" s="2">
        <v>46182.763194444444</v>
      </c>
      <c r="D3568" t="s">
        <v>6023</v>
      </c>
      <c r="E3568" t="s">
        <v>6029</v>
      </c>
      <c r="F3568" t="s">
        <v>6034</v>
      </c>
      <c r="G3568" t="s">
        <v>6039</v>
      </c>
      <c r="H3568" t="s">
        <v>6097</v>
      </c>
      <c r="I3568">
        <v>24</v>
      </c>
      <c r="J3568">
        <v>8.5</v>
      </c>
      <c r="K3568" t="s">
        <v>6099</v>
      </c>
      <c r="L3568" t="s">
        <v>6100</v>
      </c>
      <c r="M3568" t="s">
        <v>6100</v>
      </c>
      <c r="N3568">
        <v>5</v>
      </c>
      <c r="O3568" t="s">
        <v>6101</v>
      </c>
      <c r="P3568" t="s">
        <v>6112</v>
      </c>
      <c r="Q3568">
        <v>6</v>
      </c>
      <c r="R3568">
        <v>2026</v>
      </c>
      <c r="S3568" t="s">
        <v>6099</v>
      </c>
      <c r="T3568">
        <v>1</v>
      </c>
      <c r="U3568" t="s">
        <v>6017</v>
      </c>
      <c r="V3568">
        <v>1</v>
      </c>
    </row>
    <row r="3569" spans="1:22" x14ac:dyDescent="0.3">
      <c r="A3569" t="s">
        <v>3584</v>
      </c>
      <c r="B3569" s="2">
        <v>46182.432638888888</v>
      </c>
      <c r="C3569" s="2">
        <v>46183.061805555553</v>
      </c>
      <c r="D3569" t="s">
        <v>6028</v>
      </c>
      <c r="E3569" t="s">
        <v>6029</v>
      </c>
      <c r="F3569" t="s">
        <v>6034</v>
      </c>
      <c r="G3569" t="s">
        <v>6040</v>
      </c>
      <c r="H3569" t="s">
        <v>6097</v>
      </c>
      <c r="I3569">
        <v>24</v>
      </c>
      <c r="J3569">
        <v>15.1</v>
      </c>
      <c r="K3569" t="s">
        <v>6099</v>
      </c>
      <c r="L3569" t="s">
        <v>6100</v>
      </c>
      <c r="M3569" t="s">
        <v>6100</v>
      </c>
      <c r="O3569" t="s">
        <v>6101</v>
      </c>
      <c r="P3569" t="s">
        <v>6112</v>
      </c>
      <c r="Q3569">
        <v>6</v>
      </c>
      <c r="R3569">
        <v>2026</v>
      </c>
      <c r="S3569" t="s">
        <v>6099</v>
      </c>
      <c r="T3569">
        <v>1</v>
      </c>
      <c r="U3569" t="s">
        <v>6021</v>
      </c>
      <c r="V3569">
        <v>1</v>
      </c>
    </row>
    <row r="3570" spans="1:22" x14ac:dyDescent="0.3">
      <c r="A3570" t="s">
        <v>3585</v>
      </c>
      <c r="B3570" s="2">
        <v>46182.4375</v>
      </c>
      <c r="C3570" s="2">
        <v>46182.64166666667</v>
      </c>
      <c r="D3570" t="s">
        <v>6023</v>
      </c>
      <c r="E3570" t="s">
        <v>6029</v>
      </c>
      <c r="F3570" t="s">
        <v>6034</v>
      </c>
      <c r="G3570" t="s">
        <v>6073</v>
      </c>
      <c r="H3570" t="s">
        <v>6096</v>
      </c>
      <c r="I3570">
        <v>24</v>
      </c>
      <c r="J3570">
        <v>4.9000000000000004</v>
      </c>
      <c r="K3570" t="s">
        <v>6099</v>
      </c>
      <c r="L3570" t="s">
        <v>6100</v>
      </c>
      <c r="M3570" t="s">
        <v>6100</v>
      </c>
      <c r="N3570">
        <v>5</v>
      </c>
      <c r="O3570" t="s">
        <v>6101</v>
      </c>
      <c r="P3570" t="s">
        <v>6112</v>
      </c>
      <c r="Q3570">
        <v>6</v>
      </c>
      <c r="R3570">
        <v>2026</v>
      </c>
      <c r="S3570" t="s">
        <v>6099</v>
      </c>
      <c r="T3570">
        <v>1</v>
      </c>
      <c r="U3570" t="s">
        <v>6018</v>
      </c>
      <c r="V3570">
        <v>1</v>
      </c>
    </row>
    <row r="3571" spans="1:22" x14ac:dyDescent="0.3">
      <c r="A3571" t="s">
        <v>3586</v>
      </c>
      <c r="B3571" s="2">
        <v>46182.481944444444</v>
      </c>
      <c r="C3571" s="2">
        <v>46182.656944444447</v>
      </c>
      <c r="D3571" t="s">
        <v>6023</v>
      </c>
      <c r="E3571" t="s">
        <v>6030</v>
      </c>
      <c r="F3571" t="s">
        <v>6033</v>
      </c>
      <c r="G3571" t="s">
        <v>6084</v>
      </c>
      <c r="H3571" t="s">
        <v>6098</v>
      </c>
      <c r="I3571">
        <v>72</v>
      </c>
      <c r="J3571">
        <v>4.2</v>
      </c>
      <c r="K3571" t="s">
        <v>6099</v>
      </c>
      <c r="L3571" t="s">
        <v>6100</v>
      </c>
      <c r="M3571" t="s">
        <v>6100</v>
      </c>
      <c r="N3571">
        <v>5</v>
      </c>
      <c r="O3571" t="s">
        <v>6101</v>
      </c>
      <c r="P3571" t="s">
        <v>6112</v>
      </c>
      <c r="Q3571">
        <v>6</v>
      </c>
      <c r="R3571">
        <v>2026</v>
      </c>
      <c r="S3571" t="s">
        <v>6099</v>
      </c>
      <c r="T3571">
        <v>1</v>
      </c>
      <c r="U3571" t="s">
        <v>6019</v>
      </c>
      <c r="V3571">
        <v>1</v>
      </c>
    </row>
    <row r="3572" spans="1:22" x14ac:dyDescent="0.3">
      <c r="A3572" t="s">
        <v>3587</v>
      </c>
      <c r="B3572" s="2">
        <v>46182.484722222223</v>
      </c>
      <c r="C3572" s="2">
        <v>46183.24722222222</v>
      </c>
      <c r="D3572" t="s">
        <v>6022</v>
      </c>
      <c r="E3572" t="s">
        <v>6029</v>
      </c>
      <c r="F3572" t="s">
        <v>6035</v>
      </c>
      <c r="G3572" t="s">
        <v>6064</v>
      </c>
      <c r="H3572" t="s">
        <v>6096</v>
      </c>
      <c r="I3572">
        <v>4</v>
      </c>
      <c r="J3572">
        <v>18.3</v>
      </c>
      <c r="K3572" t="s">
        <v>6100</v>
      </c>
      <c r="L3572" t="s">
        <v>6099</v>
      </c>
      <c r="M3572" t="s">
        <v>6100</v>
      </c>
      <c r="N3572">
        <v>4</v>
      </c>
      <c r="O3572" t="s">
        <v>6101</v>
      </c>
      <c r="P3572" t="s">
        <v>6112</v>
      </c>
      <c r="Q3572">
        <v>6</v>
      </c>
      <c r="R3572">
        <v>2026</v>
      </c>
      <c r="S3572" t="s">
        <v>6100</v>
      </c>
      <c r="T3572">
        <v>0</v>
      </c>
      <c r="U3572" t="s">
        <v>6021</v>
      </c>
      <c r="V3572">
        <v>0</v>
      </c>
    </row>
    <row r="3573" spans="1:22" x14ac:dyDescent="0.3">
      <c r="A3573" t="s">
        <v>3588</v>
      </c>
      <c r="B3573" s="2">
        <v>46182.588194444441</v>
      </c>
      <c r="C3573" s="2">
        <v>46182.700694444444</v>
      </c>
      <c r="D3573" t="s">
        <v>6024</v>
      </c>
      <c r="E3573" t="s">
        <v>6030</v>
      </c>
      <c r="F3573" t="s">
        <v>6034</v>
      </c>
      <c r="G3573" t="s">
        <v>6048</v>
      </c>
      <c r="H3573" t="s">
        <v>6096</v>
      </c>
      <c r="I3573">
        <v>24</v>
      </c>
      <c r="J3573">
        <v>2.7</v>
      </c>
      <c r="K3573" t="s">
        <v>6100</v>
      </c>
      <c r="L3573" t="s">
        <v>6099</v>
      </c>
      <c r="M3573" t="s">
        <v>6100</v>
      </c>
      <c r="O3573" t="s">
        <v>6101</v>
      </c>
      <c r="P3573" t="s">
        <v>6112</v>
      </c>
      <c r="Q3573">
        <v>6</v>
      </c>
      <c r="R3573">
        <v>2026</v>
      </c>
      <c r="S3573" t="s">
        <v>6099</v>
      </c>
      <c r="T3573">
        <v>1</v>
      </c>
      <c r="U3573" t="s">
        <v>6017</v>
      </c>
      <c r="V3573">
        <v>0</v>
      </c>
    </row>
    <row r="3574" spans="1:22" x14ac:dyDescent="0.3">
      <c r="A3574" t="s">
        <v>3589</v>
      </c>
      <c r="B3574" s="2">
        <v>46182.59097222222</v>
      </c>
      <c r="C3574" s="2">
        <v>46183.711805555555</v>
      </c>
      <c r="D3574" t="s">
        <v>6024</v>
      </c>
      <c r="E3574" t="s">
        <v>6032</v>
      </c>
      <c r="F3574" t="s">
        <v>6033</v>
      </c>
      <c r="G3574" t="s">
        <v>6037</v>
      </c>
      <c r="H3574" t="s">
        <v>6096</v>
      </c>
      <c r="I3574">
        <v>72</v>
      </c>
      <c r="J3574">
        <v>26.9</v>
      </c>
      <c r="K3574" t="s">
        <v>6099</v>
      </c>
      <c r="L3574" t="s">
        <v>6100</v>
      </c>
      <c r="M3574" t="s">
        <v>6100</v>
      </c>
      <c r="N3574">
        <v>5</v>
      </c>
      <c r="O3574" t="s">
        <v>6101</v>
      </c>
      <c r="P3574" t="s">
        <v>6112</v>
      </c>
      <c r="Q3574">
        <v>6</v>
      </c>
      <c r="R3574">
        <v>2026</v>
      </c>
      <c r="S3574" t="s">
        <v>6099</v>
      </c>
      <c r="T3574">
        <v>1</v>
      </c>
      <c r="U3574" t="s">
        <v>6021</v>
      </c>
      <c r="V3574">
        <v>1</v>
      </c>
    </row>
    <row r="3575" spans="1:22" x14ac:dyDescent="0.3">
      <c r="A3575" t="s">
        <v>3590</v>
      </c>
      <c r="B3575" s="2">
        <v>46182.59375</v>
      </c>
      <c r="C3575" s="2">
        <v>46182.92291666667</v>
      </c>
      <c r="D3575" t="s">
        <v>6028</v>
      </c>
      <c r="E3575" t="s">
        <v>6029</v>
      </c>
      <c r="F3575" t="s">
        <v>6035</v>
      </c>
      <c r="G3575" t="s">
        <v>6051</v>
      </c>
      <c r="H3575" t="s">
        <v>6097</v>
      </c>
      <c r="I3575">
        <v>4</v>
      </c>
      <c r="J3575">
        <v>7.9</v>
      </c>
      <c r="K3575" t="s">
        <v>6100</v>
      </c>
      <c r="L3575" t="s">
        <v>6100</v>
      </c>
      <c r="M3575" t="s">
        <v>6100</v>
      </c>
      <c r="N3575">
        <v>4</v>
      </c>
      <c r="O3575" t="s">
        <v>6101</v>
      </c>
      <c r="P3575" t="s">
        <v>6112</v>
      </c>
      <c r="Q3575">
        <v>6</v>
      </c>
      <c r="R3575">
        <v>2026</v>
      </c>
      <c r="S3575" t="s">
        <v>6100</v>
      </c>
      <c r="T3575">
        <v>0</v>
      </c>
      <c r="U3575" t="s">
        <v>6021</v>
      </c>
      <c r="V3575">
        <v>0</v>
      </c>
    </row>
    <row r="3576" spans="1:22" x14ac:dyDescent="0.3">
      <c r="A3576" t="s">
        <v>3591</v>
      </c>
      <c r="B3576" s="2">
        <v>46182.784722222219</v>
      </c>
      <c r="C3576" s="2">
        <v>46182.826388888891</v>
      </c>
      <c r="D3576" t="s">
        <v>6028</v>
      </c>
      <c r="E3576" t="s">
        <v>6030</v>
      </c>
      <c r="F3576" t="s">
        <v>6035</v>
      </c>
      <c r="G3576" t="s">
        <v>6073</v>
      </c>
      <c r="H3576" t="s">
        <v>6096</v>
      </c>
      <c r="I3576">
        <v>4</v>
      </c>
      <c r="J3576">
        <v>1</v>
      </c>
      <c r="K3576" t="s">
        <v>6100</v>
      </c>
      <c r="L3576" t="s">
        <v>6100</v>
      </c>
      <c r="M3576" t="s">
        <v>6100</v>
      </c>
      <c r="N3576">
        <v>2</v>
      </c>
      <c r="O3576" t="s">
        <v>6101</v>
      </c>
      <c r="P3576" t="s">
        <v>6112</v>
      </c>
      <c r="Q3576">
        <v>6</v>
      </c>
      <c r="R3576">
        <v>2026</v>
      </c>
      <c r="S3576" t="s">
        <v>6099</v>
      </c>
      <c r="T3576">
        <v>1</v>
      </c>
      <c r="U3576" t="s">
        <v>6020</v>
      </c>
      <c r="V3576">
        <v>0</v>
      </c>
    </row>
    <row r="3577" spans="1:22" x14ac:dyDescent="0.3">
      <c r="A3577" t="s">
        <v>3592</v>
      </c>
      <c r="B3577" s="2">
        <v>46183.113194444442</v>
      </c>
      <c r="C3577" s="2">
        <v>46183.184027777781</v>
      </c>
      <c r="D3577" t="s">
        <v>6027</v>
      </c>
      <c r="E3577" t="s">
        <v>6030</v>
      </c>
      <c r="F3577" t="s">
        <v>6035</v>
      </c>
      <c r="G3577" t="s">
        <v>6056</v>
      </c>
      <c r="H3577" t="s">
        <v>6098</v>
      </c>
      <c r="I3577">
        <v>4</v>
      </c>
      <c r="J3577">
        <v>1.7</v>
      </c>
      <c r="K3577" t="s">
        <v>6099</v>
      </c>
      <c r="L3577" t="s">
        <v>6100</v>
      </c>
      <c r="M3577" t="s">
        <v>6100</v>
      </c>
      <c r="N3577">
        <v>5</v>
      </c>
      <c r="O3577" t="s">
        <v>6101</v>
      </c>
      <c r="P3577" t="s">
        <v>6112</v>
      </c>
      <c r="Q3577">
        <v>6</v>
      </c>
      <c r="R3577">
        <v>2026</v>
      </c>
      <c r="S3577" t="s">
        <v>6099</v>
      </c>
      <c r="T3577">
        <v>1</v>
      </c>
      <c r="U3577" t="s">
        <v>6021</v>
      </c>
      <c r="V3577">
        <v>1</v>
      </c>
    </row>
    <row r="3578" spans="1:22" x14ac:dyDescent="0.3">
      <c r="A3578" t="s">
        <v>3593</v>
      </c>
      <c r="B3578" s="2">
        <v>46183.231944444444</v>
      </c>
      <c r="C3578" s="2">
        <v>46183.686111111114</v>
      </c>
      <c r="D3578" t="s">
        <v>6028</v>
      </c>
      <c r="E3578" t="s">
        <v>6031</v>
      </c>
      <c r="F3578" t="s">
        <v>6034</v>
      </c>
      <c r="G3578" t="s">
        <v>6045</v>
      </c>
      <c r="H3578" t="s">
        <v>6096</v>
      </c>
      <c r="I3578">
        <v>24</v>
      </c>
      <c r="J3578">
        <v>10.9</v>
      </c>
      <c r="K3578" t="s">
        <v>6099</v>
      </c>
      <c r="L3578" t="s">
        <v>6100</v>
      </c>
      <c r="M3578" t="s">
        <v>6100</v>
      </c>
      <c r="N3578">
        <v>4</v>
      </c>
      <c r="O3578" t="s">
        <v>6101</v>
      </c>
      <c r="P3578" t="s">
        <v>6112</v>
      </c>
      <c r="Q3578">
        <v>6</v>
      </c>
      <c r="R3578">
        <v>2026</v>
      </c>
      <c r="S3578" t="s">
        <v>6099</v>
      </c>
      <c r="T3578">
        <v>1</v>
      </c>
      <c r="U3578" t="s">
        <v>6020</v>
      </c>
      <c r="V3578">
        <v>1</v>
      </c>
    </row>
    <row r="3579" spans="1:22" x14ac:dyDescent="0.3">
      <c r="A3579" t="s">
        <v>3594</v>
      </c>
      <c r="B3579" s="2">
        <v>46183.279861111114</v>
      </c>
      <c r="C3579" s="2">
        <v>46183.40902777778</v>
      </c>
      <c r="D3579" t="s">
        <v>6027</v>
      </c>
      <c r="E3579" t="s">
        <v>6030</v>
      </c>
      <c r="F3579" t="s">
        <v>6034</v>
      </c>
      <c r="G3579" t="s">
        <v>6095</v>
      </c>
      <c r="H3579" t="s">
        <v>6098</v>
      </c>
      <c r="I3579">
        <v>24</v>
      </c>
      <c r="J3579">
        <v>3.1</v>
      </c>
      <c r="K3579" t="s">
        <v>6099</v>
      </c>
      <c r="L3579" t="s">
        <v>6100</v>
      </c>
      <c r="M3579" t="s">
        <v>6100</v>
      </c>
      <c r="O3579" t="s">
        <v>6101</v>
      </c>
      <c r="P3579" t="s">
        <v>6112</v>
      </c>
      <c r="Q3579">
        <v>6</v>
      </c>
      <c r="R3579">
        <v>2026</v>
      </c>
      <c r="S3579" t="s">
        <v>6099</v>
      </c>
      <c r="T3579">
        <v>1</v>
      </c>
      <c r="U3579" t="s">
        <v>6020</v>
      </c>
      <c r="V3579">
        <v>1</v>
      </c>
    </row>
    <row r="3580" spans="1:22" x14ac:dyDescent="0.3">
      <c r="A3580" t="s">
        <v>3595</v>
      </c>
      <c r="B3580" s="2">
        <v>46183.29583333333</v>
      </c>
      <c r="C3580" s="2">
        <v>46183.445833333331</v>
      </c>
      <c r="D3580" t="s">
        <v>6024</v>
      </c>
      <c r="E3580" t="s">
        <v>6029</v>
      </c>
      <c r="F3580" t="s">
        <v>6033</v>
      </c>
      <c r="G3580" t="s">
        <v>6095</v>
      </c>
      <c r="H3580" t="s">
        <v>6098</v>
      </c>
      <c r="I3580">
        <v>72</v>
      </c>
      <c r="J3580">
        <v>3.6</v>
      </c>
      <c r="K3580" t="s">
        <v>6099</v>
      </c>
      <c r="L3580" t="s">
        <v>6100</v>
      </c>
      <c r="M3580" t="s">
        <v>6100</v>
      </c>
      <c r="O3580" t="s">
        <v>6101</v>
      </c>
      <c r="P3580" t="s">
        <v>6112</v>
      </c>
      <c r="Q3580">
        <v>6</v>
      </c>
      <c r="R3580">
        <v>2026</v>
      </c>
      <c r="S3580" t="s">
        <v>6099</v>
      </c>
      <c r="T3580">
        <v>1</v>
      </c>
      <c r="U3580" t="s">
        <v>6020</v>
      </c>
      <c r="V3580">
        <v>1</v>
      </c>
    </row>
    <row r="3581" spans="1:22" x14ac:dyDescent="0.3">
      <c r="A3581" t="s">
        <v>3596</v>
      </c>
      <c r="B3581" s="2">
        <v>46183.305555555555</v>
      </c>
      <c r="C3581" s="2">
        <v>46183.638888888891</v>
      </c>
      <c r="D3581" t="s">
        <v>6023</v>
      </c>
      <c r="E3581" t="s">
        <v>6029</v>
      </c>
      <c r="F3581" t="s">
        <v>6034</v>
      </c>
      <c r="G3581" t="s">
        <v>6050</v>
      </c>
      <c r="H3581" t="s">
        <v>6098</v>
      </c>
      <c r="I3581">
        <v>24</v>
      </c>
      <c r="J3581">
        <v>8</v>
      </c>
      <c r="K3581" t="s">
        <v>6099</v>
      </c>
      <c r="L3581" t="s">
        <v>6100</v>
      </c>
      <c r="M3581" t="s">
        <v>6100</v>
      </c>
      <c r="N3581">
        <v>5</v>
      </c>
      <c r="O3581" t="s">
        <v>6101</v>
      </c>
      <c r="P3581" t="s">
        <v>6112</v>
      </c>
      <c r="Q3581">
        <v>6</v>
      </c>
      <c r="R3581">
        <v>2026</v>
      </c>
      <c r="S3581" t="s">
        <v>6099</v>
      </c>
      <c r="T3581">
        <v>1</v>
      </c>
      <c r="U3581" t="s">
        <v>6020</v>
      </c>
      <c r="V3581">
        <v>1</v>
      </c>
    </row>
    <row r="3582" spans="1:22" x14ac:dyDescent="0.3">
      <c r="A3582" t="s">
        <v>3597</v>
      </c>
      <c r="B3582" s="2">
        <v>46183.368750000001</v>
      </c>
      <c r="C3582" s="2">
        <v>46183.460416666669</v>
      </c>
      <c r="D3582" t="s">
        <v>6028</v>
      </c>
      <c r="E3582" t="s">
        <v>6029</v>
      </c>
      <c r="F3582" t="s">
        <v>6035</v>
      </c>
      <c r="G3582" t="s">
        <v>6059</v>
      </c>
      <c r="H3582" t="s">
        <v>6097</v>
      </c>
      <c r="I3582">
        <v>4</v>
      </c>
      <c r="J3582">
        <v>2.2000000000000002</v>
      </c>
      <c r="K3582" t="s">
        <v>6100</v>
      </c>
      <c r="L3582" t="s">
        <v>6099</v>
      </c>
      <c r="M3582" t="s">
        <v>6100</v>
      </c>
      <c r="N3582">
        <v>5</v>
      </c>
      <c r="O3582" t="s">
        <v>6101</v>
      </c>
      <c r="P3582" t="s">
        <v>6112</v>
      </c>
      <c r="Q3582">
        <v>6</v>
      </c>
      <c r="R3582">
        <v>2026</v>
      </c>
      <c r="S3582" t="s">
        <v>6099</v>
      </c>
      <c r="T3582">
        <v>1</v>
      </c>
      <c r="U3582" t="s">
        <v>6021</v>
      </c>
      <c r="V3582">
        <v>0</v>
      </c>
    </row>
    <row r="3583" spans="1:22" x14ac:dyDescent="0.3">
      <c r="A3583" t="s">
        <v>3598</v>
      </c>
      <c r="B3583" s="2">
        <v>46183.393750000003</v>
      </c>
      <c r="C3583" s="2">
        <v>46185.277083333334</v>
      </c>
      <c r="D3583" t="s">
        <v>6028</v>
      </c>
      <c r="E3583" t="s">
        <v>6031</v>
      </c>
      <c r="F3583" t="s">
        <v>6033</v>
      </c>
      <c r="G3583" t="s">
        <v>6079</v>
      </c>
      <c r="H3583" t="s">
        <v>6097</v>
      </c>
      <c r="I3583">
        <v>72</v>
      </c>
      <c r="J3583">
        <v>45.2</v>
      </c>
      <c r="K3583" t="s">
        <v>6099</v>
      </c>
      <c r="L3583" t="s">
        <v>6100</v>
      </c>
      <c r="M3583" t="s">
        <v>6099</v>
      </c>
      <c r="N3583">
        <v>4</v>
      </c>
      <c r="O3583" t="s">
        <v>6101</v>
      </c>
      <c r="P3583" t="s">
        <v>6112</v>
      </c>
      <c r="Q3583">
        <v>6</v>
      </c>
      <c r="R3583">
        <v>2026</v>
      </c>
      <c r="S3583" t="s">
        <v>6099</v>
      </c>
      <c r="T3583">
        <v>1</v>
      </c>
      <c r="U3583" t="s">
        <v>6020</v>
      </c>
      <c r="V3583">
        <v>1</v>
      </c>
    </row>
    <row r="3584" spans="1:22" x14ac:dyDescent="0.3">
      <c r="A3584" t="s">
        <v>3599</v>
      </c>
      <c r="B3584" s="2">
        <v>46183.406944444447</v>
      </c>
      <c r="C3584" s="2">
        <v>46183.506944444445</v>
      </c>
      <c r="D3584" t="s">
        <v>6023</v>
      </c>
      <c r="E3584" t="s">
        <v>6030</v>
      </c>
      <c r="F3584" t="s">
        <v>6034</v>
      </c>
      <c r="G3584" t="s">
        <v>6071</v>
      </c>
      <c r="H3584" t="s">
        <v>6098</v>
      </c>
      <c r="I3584">
        <v>24</v>
      </c>
      <c r="J3584">
        <v>2.4</v>
      </c>
      <c r="K3584" t="s">
        <v>6100</v>
      </c>
      <c r="L3584" t="s">
        <v>6099</v>
      </c>
      <c r="M3584" t="s">
        <v>6100</v>
      </c>
      <c r="N3584">
        <v>3</v>
      </c>
      <c r="O3584" t="s">
        <v>6101</v>
      </c>
      <c r="P3584" t="s">
        <v>6112</v>
      </c>
      <c r="Q3584">
        <v>6</v>
      </c>
      <c r="R3584">
        <v>2026</v>
      </c>
      <c r="S3584" t="s">
        <v>6099</v>
      </c>
      <c r="T3584">
        <v>1</v>
      </c>
      <c r="U3584" t="s">
        <v>6018</v>
      </c>
      <c r="V3584">
        <v>0</v>
      </c>
    </row>
    <row r="3585" spans="1:22" x14ac:dyDescent="0.3">
      <c r="A3585" t="s">
        <v>3600</v>
      </c>
      <c r="B3585" s="2">
        <v>46183.443055555559</v>
      </c>
      <c r="C3585" s="2">
        <v>46183.638888888891</v>
      </c>
      <c r="D3585" t="s">
        <v>6023</v>
      </c>
      <c r="E3585" t="s">
        <v>6029</v>
      </c>
      <c r="F3585" t="s">
        <v>6033</v>
      </c>
      <c r="G3585" t="s">
        <v>6051</v>
      </c>
      <c r="H3585" t="s">
        <v>6097</v>
      </c>
      <c r="I3585">
        <v>72</v>
      </c>
      <c r="J3585">
        <v>4.7</v>
      </c>
      <c r="K3585" t="s">
        <v>6099</v>
      </c>
      <c r="L3585" t="s">
        <v>6100</v>
      </c>
      <c r="M3585" t="s">
        <v>6100</v>
      </c>
      <c r="O3585" t="s">
        <v>6101</v>
      </c>
      <c r="P3585" t="s">
        <v>6112</v>
      </c>
      <c r="Q3585">
        <v>6</v>
      </c>
      <c r="R3585">
        <v>2026</v>
      </c>
      <c r="S3585" t="s">
        <v>6099</v>
      </c>
      <c r="T3585">
        <v>1</v>
      </c>
      <c r="U3585" t="s">
        <v>6019</v>
      </c>
      <c r="V3585">
        <v>1</v>
      </c>
    </row>
    <row r="3586" spans="1:22" x14ac:dyDescent="0.3">
      <c r="A3586" t="s">
        <v>3601</v>
      </c>
      <c r="B3586" s="2">
        <v>46183.495138888888</v>
      </c>
      <c r="C3586" s="2">
        <v>46184.52847222222</v>
      </c>
      <c r="D3586" t="s">
        <v>6024</v>
      </c>
      <c r="E3586" t="s">
        <v>6032</v>
      </c>
      <c r="F3586" t="s">
        <v>6035</v>
      </c>
      <c r="G3586" t="s">
        <v>6084</v>
      </c>
      <c r="H3586" t="s">
        <v>6098</v>
      </c>
      <c r="I3586">
        <v>4</v>
      </c>
      <c r="J3586">
        <v>24.8</v>
      </c>
      <c r="K3586" t="s">
        <v>6100</v>
      </c>
      <c r="L3586" t="s">
        <v>6100</v>
      </c>
      <c r="M3586" t="s">
        <v>6099</v>
      </c>
      <c r="N3586">
        <v>4</v>
      </c>
      <c r="O3586" t="s">
        <v>6101</v>
      </c>
      <c r="P3586" t="s">
        <v>6112</v>
      </c>
      <c r="Q3586">
        <v>6</v>
      </c>
      <c r="R3586">
        <v>2026</v>
      </c>
      <c r="S3586" t="s">
        <v>6100</v>
      </c>
      <c r="T3586">
        <v>0</v>
      </c>
      <c r="U3586" t="s">
        <v>6018</v>
      </c>
      <c r="V3586">
        <v>0</v>
      </c>
    </row>
    <row r="3587" spans="1:22" x14ac:dyDescent="0.3">
      <c r="A3587" t="s">
        <v>3602</v>
      </c>
      <c r="B3587" s="2">
        <v>46183.5</v>
      </c>
      <c r="C3587" s="2">
        <v>46183.712500000001</v>
      </c>
      <c r="D3587" t="s">
        <v>6022</v>
      </c>
      <c r="E3587" t="s">
        <v>6029</v>
      </c>
      <c r="F3587" t="s">
        <v>6034</v>
      </c>
      <c r="G3587" t="s">
        <v>6052</v>
      </c>
      <c r="H3587" t="s">
        <v>6098</v>
      </c>
      <c r="I3587">
        <v>24</v>
      </c>
      <c r="J3587">
        <v>5.0999999999999996</v>
      </c>
      <c r="K3587" t="s">
        <v>6099</v>
      </c>
      <c r="L3587" t="s">
        <v>6100</v>
      </c>
      <c r="M3587" t="s">
        <v>6100</v>
      </c>
      <c r="O3587" t="s">
        <v>6101</v>
      </c>
      <c r="P3587" t="s">
        <v>6112</v>
      </c>
      <c r="Q3587">
        <v>6</v>
      </c>
      <c r="R3587">
        <v>2026</v>
      </c>
      <c r="S3587" t="s">
        <v>6099</v>
      </c>
      <c r="T3587">
        <v>1</v>
      </c>
      <c r="U3587" t="s">
        <v>6020</v>
      </c>
      <c r="V3587">
        <v>1</v>
      </c>
    </row>
    <row r="3588" spans="1:22" x14ac:dyDescent="0.3">
      <c r="A3588" t="s">
        <v>3603</v>
      </c>
      <c r="B3588" s="2">
        <v>46183.513194444444</v>
      </c>
      <c r="C3588" s="2">
        <v>46183.650694444441</v>
      </c>
      <c r="D3588" t="s">
        <v>6027</v>
      </c>
      <c r="E3588" t="s">
        <v>6030</v>
      </c>
      <c r="F3588" t="s">
        <v>6034</v>
      </c>
      <c r="G3588" t="s">
        <v>6055</v>
      </c>
      <c r="H3588" t="s">
        <v>6096</v>
      </c>
      <c r="I3588">
        <v>24</v>
      </c>
      <c r="J3588">
        <v>3.3</v>
      </c>
      <c r="K3588" t="s">
        <v>6100</v>
      </c>
      <c r="L3588" t="s">
        <v>6100</v>
      </c>
      <c r="M3588" t="s">
        <v>6099</v>
      </c>
      <c r="O3588" t="s">
        <v>6101</v>
      </c>
      <c r="P3588" t="s">
        <v>6112</v>
      </c>
      <c r="Q3588">
        <v>6</v>
      </c>
      <c r="R3588">
        <v>2026</v>
      </c>
      <c r="S3588" t="s">
        <v>6099</v>
      </c>
      <c r="T3588">
        <v>1</v>
      </c>
      <c r="U3588" t="s">
        <v>6018</v>
      </c>
      <c r="V3588">
        <v>0</v>
      </c>
    </row>
    <row r="3589" spans="1:22" x14ac:dyDescent="0.3">
      <c r="A3589" t="s">
        <v>3604</v>
      </c>
      <c r="B3589" s="2">
        <v>46183.530555555553</v>
      </c>
      <c r="C3589" s="2">
        <v>46184.097222222219</v>
      </c>
      <c r="D3589" t="s">
        <v>6023</v>
      </c>
      <c r="E3589" t="s">
        <v>6032</v>
      </c>
      <c r="F3589" t="s">
        <v>6033</v>
      </c>
      <c r="G3589" t="s">
        <v>6069</v>
      </c>
      <c r="H3589" t="s">
        <v>6098</v>
      </c>
      <c r="I3589">
        <v>72</v>
      </c>
      <c r="J3589">
        <v>13.6</v>
      </c>
      <c r="K3589" t="s">
        <v>6099</v>
      </c>
      <c r="L3589" t="s">
        <v>6100</v>
      </c>
      <c r="M3589" t="s">
        <v>6100</v>
      </c>
      <c r="N3589">
        <v>5</v>
      </c>
      <c r="O3589" t="s">
        <v>6101</v>
      </c>
      <c r="P3589" t="s">
        <v>6112</v>
      </c>
      <c r="Q3589">
        <v>6</v>
      </c>
      <c r="R3589">
        <v>2026</v>
      </c>
      <c r="S3589" t="s">
        <v>6099</v>
      </c>
      <c r="T3589">
        <v>1</v>
      </c>
      <c r="U3589" t="s">
        <v>6020</v>
      </c>
      <c r="V3589">
        <v>1</v>
      </c>
    </row>
    <row r="3590" spans="1:22" x14ac:dyDescent="0.3">
      <c r="A3590" t="s">
        <v>3605</v>
      </c>
      <c r="B3590" s="2">
        <v>46183.592361111114</v>
      </c>
      <c r="C3590" s="2">
        <v>46183.738194444442</v>
      </c>
      <c r="D3590" t="s">
        <v>6027</v>
      </c>
      <c r="E3590" t="s">
        <v>6029</v>
      </c>
      <c r="F3590" t="s">
        <v>6034</v>
      </c>
      <c r="G3590" t="s">
        <v>6053</v>
      </c>
      <c r="H3590" t="s">
        <v>6097</v>
      </c>
      <c r="I3590">
        <v>24</v>
      </c>
      <c r="J3590">
        <v>3.5</v>
      </c>
      <c r="K3590" t="s">
        <v>6100</v>
      </c>
      <c r="L3590" t="s">
        <v>6099</v>
      </c>
      <c r="M3590" t="s">
        <v>6099</v>
      </c>
      <c r="N3590">
        <v>5</v>
      </c>
      <c r="O3590" t="s">
        <v>6101</v>
      </c>
      <c r="P3590" t="s">
        <v>6112</v>
      </c>
      <c r="Q3590">
        <v>6</v>
      </c>
      <c r="R3590">
        <v>2026</v>
      </c>
      <c r="S3590" t="s">
        <v>6099</v>
      </c>
      <c r="T3590">
        <v>1</v>
      </c>
      <c r="U3590" t="s">
        <v>6017</v>
      </c>
      <c r="V3590">
        <v>0</v>
      </c>
    </row>
    <row r="3591" spans="1:22" x14ac:dyDescent="0.3">
      <c r="A3591" t="s">
        <v>3606</v>
      </c>
      <c r="B3591" s="2">
        <v>46183.626388888886</v>
      </c>
      <c r="C3591" s="2">
        <v>46183.734722222223</v>
      </c>
      <c r="D3591" t="s">
        <v>6023</v>
      </c>
      <c r="E3591" t="s">
        <v>6030</v>
      </c>
      <c r="F3591" t="s">
        <v>6034</v>
      </c>
      <c r="G3591" t="s">
        <v>6038</v>
      </c>
      <c r="H3591" t="s">
        <v>6096</v>
      </c>
      <c r="I3591">
        <v>24</v>
      </c>
      <c r="J3591">
        <v>2.6</v>
      </c>
      <c r="K3591" t="s">
        <v>6099</v>
      </c>
      <c r="L3591" t="s">
        <v>6100</v>
      </c>
      <c r="M3591" t="s">
        <v>6100</v>
      </c>
      <c r="N3591">
        <v>3</v>
      </c>
      <c r="O3591" t="s">
        <v>6101</v>
      </c>
      <c r="P3591" t="s">
        <v>6112</v>
      </c>
      <c r="Q3591">
        <v>6</v>
      </c>
      <c r="R3591">
        <v>2026</v>
      </c>
      <c r="S3591" t="s">
        <v>6099</v>
      </c>
      <c r="T3591">
        <v>1</v>
      </c>
      <c r="U3591" t="s">
        <v>6017</v>
      </c>
      <c r="V3591">
        <v>1</v>
      </c>
    </row>
    <row r="3592" spans="1:22" x14ac:dyDescent="0.3">
      <c r="A3592" t="s">
        <v>3607</v>
      </c>
      <c r="B3592" s="2">
        <v>46183.661805555559</v>
      </c>
      <c r="C3592" s="2">
        <v>46184.853472222225</v>
      </c>
      <c r="D3592" t="s">
        <v>6025</v>
      </c>
      <c r="E3592" t="s">
        <v>6031</v>
      </c>
      <c r="F3592" t="s">
        <v>6033</v>
      </c>
      <c r="G3592" t="s">
        <v>6058</v>
      </c>
      <c r="H3592" t="s">
        <v>6098</v>
      </c>
      <c r="I3592">
        <v>72</v>
      </c>
      <c r="J3592">
        <v>28.6</v>
      </c>
      <c r="K3592" t="s">
        <v>6099</v>
      </c>
      <c r="L3592" t="s">
        <v>6100</v>
      </c>
      <c r="M3592" t="s">
        <v>6100</v>
      </c>
      <c r="O3592" t="s">
        <v>6101</v>
      </c>
      <c r="P3592" t="s">
        <v>6112</v>
      </c>
      <c r="Q3592">
        <v>6</v>
      </c>
      <c r="R3592">
        <v>2026</v>
      </c>
      <c r="S3592" t="s">
        <v>6099</v>
      </c>
      <c r="T3592">
        <v>1</v>
      </c>
      <c r="U3592" t="s">
        <v>6021</v>
      </c>
      <c r="V3592">
        <v>1</v>
      </c>
    </row>
    <row r="3593" spans="1:22" x14ac:dyDescent="0.3">
      <c r="A3593" t="s">
        <v>3608</v>
      </c>
      <c r="B3593" s="2">
        <v>46183.683333333334</v>
      </c>
      <c r="C3593" s="2">
        <v>46183.995833333334</v>
      </c>
      <c r="D3593" t="s">
        <v>6023</v>
      </c>
      <c r="E3593" t="s">
        <v>6029</v>
      </c>
      <c r="F3593" t="s">
        <v>6034</v>
      </c>
      <c r="G3593" t="s">
        <v>6064</v>
      </c>
      <c r="H3593" t="s">
        <v>6096</v>
      </c>
      <c r="I3593">
        <v>24</v>
      </c>
      <c r="J3593">
        <v>7.5</v>
      </c>
      <c r="K3593" t="s">
        <v>6099</v>
      </c>
      <c r="L3593" t="s">
        <v>6100</v>
      </c>
      <c r="M3593" t="s">
        <v>6099</v>
      </c>
      <c r="N3593">
        <v>3</v>
      </c>
      <c r="O3593" t="s">
        <v>6101</v>
      </c>
      <c r="P3593" t="s">
        <v>6112</v>
      </c>
      <c r="Q3593">
        <v>6</v>
      </c>
      <c r="R3593">
        <v>2026</v>
      </c>
      <c r="S3593" t="s">
        <v>6099</v>
      </c>
      <c r="T3593">
        <v>1</v>
      </c>
      <c r="U3593" t="s">
        <v>6021</v>
      </c>
      <c r="V3593">
        <v>1</v>
      </c>
    </row>
    <row r="3594" spans="1:22" x14ac:dyDescent="0.3">
      <c r="A3594" t="s">
        <v>3609</v>
      </c>
      <c r="B3594" s="2">
        <v>46183.722916666666</v>
      </c>
      <c r="C3594" s="2">
        <v>46184.602083333331</v>
      </c>
      <c r="D3594" t="s">
        <v>6023</v>
      </c>
      <c r="E3594" t="s">
        <v>6032</v>
      </c>
      <c r="F3594" t="s">
        <v>6034</v>
      </c>
      <c r="G3594" t="s">
        <v>6060</v>
      </c>
      <c r="H3594" t="s">
        <v>6097</v>
      </c>
      <c r="I3594">
        <v>24</v>
      </c>
      <c r="J3594">
        <v>21.1</v>
      </c>
      <c r="K3594" t="s">
        <v>6099</v>
      </c>
      <c r="L3594" t="s">
        <v>6100</v>
      </c>
      <c r="M3594" t="s">
        <v>6100</v>
      </c>
      <c r="N3594">
        <v>4</v>
      </c>
      <c r="O3594" t="s">
        <v>6101</v>
      </c>
      <c r="P3594" t="s">
        <v>6112</v>
      </c>
      <c r="Q3594">
        <v>6</v>
      </c>
      <c r="R3594">
        <v>2026</v>
      </c>
      <c r="S3594" t="s">
        <v>6099</v>
      </c>
      <c r="T3594">
        <v>1</v>
      </c>
      <c r="U3594" t="s">
        <v>6018</v>
      </c>
      <c r="V3594">
        <v>1</v>
      </c>
    </row>
    <row r="3595" spans="1:22" x14ac:dyDescent="0.3">
      <c r="A3595" t="s">
        <v>3610</v>
      </c>
      <c r="B3595" s="2">
        <v>46183.779166666667</v>
      </c>
      <c r="C3595" s="2">
        <v>46184.804166666669</v>
      </c>
      <c r="D3595" t="s">
        <v>6026</v>
      </c>
      <c r="E3595" t="s">
        <v>6029</v>
      </c>
      <c r="F3595" t="s">
        <v>6033</v>
      </c>
      <c r="G3595" t="s">
        <v>6092</v>
      </c>
      <c r="H3595" t="s">
        <v>6097</v>
      </c>
      <c r="I3595">
        <v>72</v>
      </c>
      <c r="J3595">
        <v>24.6</v>
      </c>
      <c r="K3595" t="s">
        <v>6099</v>
      </c>
      <c r="L3595" t="s">
        <v>6100</v>
      </c>
      <c r="M3595" t="s">
        <v>6100</v>
      </c>
      <c r="N3595">
        <v>4</v>
      </c>
      <c r="O3595" t="s">
        <v>6101</v>
      </c>
      <c r="P3595" t="s">
        <v>6112</v>
      </c>
      <c r="Q3595">
        <v>6</v>
      </c>
      <c r="R3595">
        <v>2026</v>
      </c>
      <c r="S3595" t="s">
        <v>6099</v>
      </c>
      <c r="T3595">
        <v>1</v>
      </c>
      <c r="U3595" t="s">
        <v>6020</v>
      </c>
      <c r="V3595">
        <v>1</v>
      </c>
    </row>
    <row r="3596" spans="1:22" x14ac:dyDescent="0.3">
      <c r="A3596" t="s">
        <v>3611</v>
      </c>
      <c r="B3596" s="2">
        <v>46183.823611111111</v>
      </c>
      <c r="C3596" s="2">
        <v>46184.023611111108</v>
      </c>
      <c r="D3596" t="s">
        <v>6027</v>
      </c>
      <c r="E3596" t="s">
        <v>6030</v>
      </c>
      <c r="F3596" t="s">
        <v>6034</v>
      </c>
      <c r="G3596" t="s">
        <v>6081</v>
      </c>
      <c r="H3596" t="s">
        <v>6098</v>
      </c>
      <c r="I3596">
        <v>24</v>
      </c>
      <c r="J3596">
        <v>4.8</v>
      </c>
      <c r="K3596" t="s">
        <v>6099</v>
      </c>
      <c r="L3596" t="s">
        <v>6100</v>
      </c>
      <c r="M3596" t="s">
        <v>6100</v>
      </c>
      <c r="N3596">
        <v>4</v>
      </c>
      <c r="O3596" t="s">
        <v>6101</v>
      </c>
      <c r="P3596" t="s">
        <v>6112</v>
      </c>
      <c r="Q3596">
        <v>6</v>
      </c>
      <c r="R3596">
        <v>2026</v>
      </c>
      <c r="S3596" t="s">
        <v>6099</v>
      </c>
      <c r="T3596">
        <v>1</v>
      </c>
      <c r="U3596" t="s">
        <v>6017</v>
      </c>
      <c r="V3596">
        <v>1</v>
      </c>
    </row>
    <row r="3597" spans="1:22" x14ac:dyDescent="0.3">
      <c r="A3597" t="s">
        <v>3612</v>
      </c>
      <c r="B3597" s="2">
        <v>46184.32708333333</v>
      </c>
      <c r="C3597" s="2">
        <v>46184.777083333334</v>
      </c>
      <c r="D3597" t="s">
        <v>6028</v>
      </c>
      <c r="E3597" t="s">
        <v>6031</v>
      </c>
      <c r="F3597" t="s">
        <v>6035</v>
      </c>
      <c r="G3597" t="s">
        <v>6073</v>
      </c>
      <c r="H3597" t="s">
        <v>6096</v>
      </c>
      <c r="I3597">
        <v>4</v>
      </c>
      <c r="J3597">
        <v>10.8</v>
      </c>
      <c r="K3597" t="s">
        <v>6099</v>
      </c>
      <c r="L3597" t="s">
        <v>6100</v>
      </c>
      <c r="M3597" t="s">
        <v>6100</v>
      </c>
      <c r="N3597">
        <v>3</v>
      </c>
      <c r="O3597" t="s">
        <v>6101</v>
      </c>
      <c r="P3597" t="s">
        <v>6112</v>
      </c>
      <c r="Q3597">
        <v>6</v>
      </c>
      <c r="R3597">
        <v>2026</v>
      </c>
      <c r="S3597" t="s">
        <v>6100</v>
      </c>
      <c r="T3597">
        <v>0</v>
      </c>
      <c r="U3597" t="s">
        <v>6021</v>
      </c>
      <c r="V3597">
        <v>1</v>
      </c>
    </row>
    <row r="3598" spans="1:22" x14ac:dyDescent="0.3">
      <c r="A3598" t="s">
        <v>3613</v>
      </c>
      <c r="B3598" s="2">
        <v>46184.368055555555</v>
      </c>
      <c r="C3598" s="2">
        <v>46184.813888888886</v>
      </c>
      <c r="D3598" t="s">
        <v>6027</v>
      </c>
      <c r="E3598" t="s">
        <v>6029</v>
      </c>
      <c r="F3598" t="s">
        <v>6033</v>
      </c>
      <c r="G3598" t="s">
        <v>6057</v>
      </c>
      <c r="H3598" t="s">
        <v>6097</v>
      </c>
      <c r="I3598">
        <v>72</v>
      </c>
      <c r="J3598">
        <v>10.7</v>
      </c>
      <c r="K3598" t="s">
        <v>6099</v>
      </c>
      <c r="L3598" t="s">
        <v>6100</v>
      </c>
      <c r="M3598" t="s">
        <v>6100</v>
      </c>
      <c r="N3598">
        <v>5</v>
      </c>
      <c r="O3598" t="s">
        <v>6101</v>
      </c>
      <c r="P3598" t="s">
        <v>6112</v>
      </c>
      <c r="Q3598">
        <v>6</v>
      </c>
      <c r="R3598">
        <v>2026</v>
      </c>
      <c r="S3598" t="s">
        <v>6099</v>
      </c>
      <c r="T3598">
        <v>1</v>
      </c>
      <c r="U3598" t="s">
        <v>6020</v>
      </c>
      <c r="V3598">
        <v>1</v>
      </c>
    </row>
    <row r="3599" spans="1:22" x14ac:dyDescent="0.3">
      <c r="A3599" t="s">
        <v>3614</v>
      </c>
      <c r="B3599" s="2">
        <v>46184.388194444444</v>
      </c>
      <c r="C3599" s="2">
        <v>46184.575694444444</v>
      </c>
      <c r="D3599" t="s">
        <v>6028</v>
      </c>
      <c r="E3599" t="s">
        <v>6031</v>
      </c>
      <c r="F3599" t="s">
        <v>6035</v>
      </c>
      <c r="G3599" t="s">
        <v>6067</v>
      </c>
      <c r="H3599" t="s">
        <v>6098</v>
      </c>
      <c r="I3599">
        <v>4</v>
      </c>
      <c r="J3599">
        <v>4.5</v>
      </c>
      <c r="K3599" t="s">
        <v>6099</v>
      </c>
      <c r="L3599" t="s">
        <v>6100</v>
      </c>
      <c r="M3599" t="s">
        <v>6100</v>
      </c>
      <c r="N3599">
        <v>2</v>
      </c>
      <c r="O3599" t="s">
        <v>6101</v>
      </c>
      <c r="P3599" t="s">
        <v>6112</v>
      </c>
      <c r="Q3599">
        <v>6</v>
      </c>
      <c r="R3599">
        <v>2026</v>
      </c>
      <c r="S3599" t="s">
        <v>6100</v>
      </c>
      <c r="T3599">
        <v>0</v>
      </c>
      <c r="U3599" t="s">
        <v>6017</v>
      </c>
      <c r="V3599">
        <v>1</v>
      </c>
    </row>
    <row r="3600" spans="1:22" x14ac:dyDescent="0.3">
      <c r="A3600" t="s">
        <v>3615</v>
      </c>
      <c r="B3600" s="2">
        <v>46184.5</v>
      </c>
      <c r="C3600" s="2">
        <v>46185.129166666666</v>
      </c>
      <c r="D3600" t="s">
        <v>6025</v>
      </c>
      <c r="E3600" t="s">
        <v>6029</v>
      </c>
      <c r="F3600" t="s">
        <v>6035</v>
      </c>
      <c r="G3600" t="s">
        <v>6055</v>
      </c>
      <c r="H3600" t="s">
        <v>6096</v>
      </c>
      <c r="I3600">
        <v>4</v>
      </c>
      <c r="J3600">
        <v>15.1</v>
      </c>
      <c r="K3600" t="s">
        <v>6099</v>
      </c>
      <c r="L3600" t="s">
        <v>6100</v>
      </c>
      <c r="M3600" t="s">
        <v>6099</v>
      </c>
      <c r="N3600">
        <v>5</v>
      </c>
      <c r="O3600" t="s">
        <v>6101</v>
      </c>
      <c r="P3600" t="s">
        <v>6112</v>
      </c>
      <c r="Q3600">
        <v>6</v>
      </c>
      <c r="R3600">
        <v>2026</v>
      </c>
      <c r="S3600" t="s">
        <v>6100</v>
      </c>
      <c r="T3600">
        <v>0</v>
      </c>
      <c r="U3600" t="s">
        <v>6021</v>
      </c>
      <c r="V3600">
        <v>1</v>
      </c>
    </row>
    <row r="3601" spans="1:22" x14ac:dyDescent="0.3">
      <c r="A3601" t="s">
        <v>3616</v>
      </c>
      <c r="B3601" s="2">
        <v>46184.52847222222</v>
      </c>
      <c r="C3601" s="2">
        <v>46184.849305555559</v>
      </c>
      <c r="D3601" t="s">
        <v>6027</v>
      </c>
      <c r="E3601" t="s">
        <v>6029</v>
      </c>
      <c r="F3601" t="s">
        <v>6033</v>
      </c>
      <c r="G3601" t="s">
        <v>6040</v>
      </c>
      <c r="H3601" t="s">
        <v>6097</v>
      </c>
      <c r="I3601">
        <v>72</v>
      </c>
      <c r="J3601">
        <v>7.7</v>
      </c>
      <c r="K3601" t="s">
        <v>6100</v>
      </c>
      <c r="L3601" t="s">
        <v>6100</v>
      </c>
      <c r="M3601" t="s">
        <v>6100</v>
      </c>
      <c r="O3601" t="s">
        <v>6101</v>
      </c>
      <c r="P3601" t="s">
        <v>6112</v>
      </c>
      <c r="Q3601">
        <v>6</v>
      </c>
      <c r="R3601">
        <v>2026</v>
      </c>
      <c r="S3601" t="s">
        <v>6099</v>
      </c>
      <c r="T3601">
        <v>1</v>
      </c>
      <c r="U3601" t="s">
        <v>6017</v>
      </c>
      <c r="V3601">
        <v>0</v>
      </c>
    </row>
    <row r="3602" spans="1:22" x14ac:dyDescent="0.3">
      <c r="A3602" t="s">
        <v>3617</v>
      </c>
      <c r="B3602" s="2">
        <v>46184.536111111112</v>
      </c>
      <c r="C3602" s="2">
        <v>46184.748611111114</v>
      </c>
      <c r="D3602" t="s">
        <v>6028</v>
      </c>
      <c r="E3602" t="s">
        <v>6029</v>
      </c>
      <c r="F3602" t="s">
        <v>6034</v>
      </c>
      <c r="G3602" t="s">
        <v>6045</v>
      </c>
      <c r="H3602" t="s">
        <v>6096</v>
      </c>
      <c r="I3602">
        <v>24</v>
      </c>
      <c r="J3602">
        <v>5.0999999999999996</v>
      </c>
      <c r="K3602" t="s">
        <v>6099</v>
      </c>
      <c r="L3602" t="s">
        <v>6100</v>
      </c>
      <c r="M3602" t="s">
        <v>6100</v>
      </c>
      <c r="N3602">
        <v>5</v>
      </c>
      <c r="O3602" t="s">
        <v>6101</v>
      </c>
      <c r="P3602" t="s">
        <v>6112</v>
      </c>
      <c r="Q3602">
        <v>6</v>
      </c>
      <c r="R3602">
        <v>2026</v>
      </c>
      <c r="S3602" t="s">
        <v>6099</v>
      </c>
      <c r="T3602">
        <v>1</v>
      </c>
      <c r="U3602" t="s">
        <v>6021</v>
      </c>
      <c r="V3602">
        <v>1</v>
      </c>
    </row>
    <row r="3603" spans="1:22" x14ac:dyDescent="0.3">
      <c r="A3603" t="s">
        <v>3618</v>
      </c>
      <c r="B3603" s="2">
        <v>46184.564583333333</v>
      </c>
      <c r="C3603" s="2">
        <v>46184.972916666666</v>
      </c>
      <c r="D3603" t="s">
        <v>6027</v>
      </c>
      <c r="E3603" t="s">
        <v>6029</v>
      </c>
      <c r="F3603" t="s">
        <v>6033</v>
      </c>
      <c r="G3603" t="s">
        <v>6076</v>
      </c>
      <c r="H3603" t="s">
        <v>6097</v>
      </c>
      <c r="I3603">
        <v>72</v>
      </c>
      <c r="J3603">
        <v>9.8000000000000007</v>
      </c>
      <c r="K3603" t="s">
        <v>6100</v>
      </c>
      <c r="L3603" t="s">
        <v>6099</v>
      </c>
      <c r="M3603" t="s">
        <v>6100</v>
      </c>
      <c r="N3603">
        <v>2</v>
      </c>
      <c r="O3603" t="s">
        <v>6101</v>
      </c>
      <c r="P3603" t="s">
        <v>6112</v>
      </c>
      <c r="Q3603">
        <v>6</v>
      </c>
      <c r="R3603">
        <v>2026</v>
      </c>
      <c r="S3603" t="s">
        <v>6099</v>
      </c>
      <c r="T3603">
        <v>1</v>
      </c>
      <c r="U3603" t="s">
        <v>6018</v>
      </c>
      <c r="V3603">
        <v>0</v>
      </c>
    </row>
    <row r="3604" spans="1:22" x14ac:dyDescent="0.3">
      <c r="A3604" t="s">
        <v>3619</v>
      </c>
      <c r="B3604" s="2">
        <v>46184.565972222219</v>
      </c>
      <c r="C3604" s="2">
        <v>46184.915972222225</v>
      </c>
      <c r="D3604" t="s">
        <v>6025</v>
      </c>
      <c r="E3604" t="s">
        <v>6029</v>
      </c>
      <c r="F3604" t="s">
        <v>6033</v>
      </c>
      <c r="G3604" t="s">
        <v>6061</v>
      </c>
      <c r="H3604" t="s">
        <v>6096</v>
      </c>
      <c r="I3604">
        <v>72</v>
      </c>
      <c r="J3604">
        <v>8.4</v>
      </c>
      <c r="K3604" t="s">
        <v>6099</v>
      </c>
      <c r="L3604" t="s">
        <v>6100</v>
      </c>
      <c r="M3604" t="s">
        <v>6099</v>
      </c>
      <c r="N3604">
        <v>3</v>
      </c>
      <c r="O3604" t="s">
        <v>6101</v>
      </c>
      <c r="P3604" t="s">
        <v>6112</v>
      </c>
      <c r="Q3604">
        <v>6</v>
      </c>
      <c r="R3604">
        <v>2026</v>
      </c>
      <c r="S3604" t="s">
        <v>6099</v>
      </c>
      <c r="T3604">
        <v>1</v>
      </c>
      <c r="U3604" t="s">
        <v>6020</v>
      </c>
      <c r="V3604">
        <v>1</v>
      </c>
    </row>
    <row r="3605" spans="1:22" x14ac:dyDescent="0.3">
      <c r="A3605" t="s">
        <v>3620</v>
      </c>
      <c r="B3605" s="2">
        <v>46184.568749999999</v>
      </c>
      <c r="C3605" s="2">
        <v>46184.98541666667</v>
      </c>
      <c r="D3605" t="s">
        <v>6022</v>
      </c>
      <c r="E3605" t="s">
        <v>6030</v>
      </c>
      <c r="F3605" t="s">
        <v>6033</v>
      </c>
      <c r="G3605" t="s">
        <v>6057</v>
      </c>
      <c r="H3605" t="s">
        <v>6097</v>
      </c>
      <c r="I3605">
        <v>72</v>
      </c>
      <c r="J3605">
        <v>10</v>
      </c>
      <c r="K3605" t="s">
        <v>6099</v>
      </c>
      <c r="L3605" t="s">
        <v>6100</v>
      </c>
      <c r="M3605" t="s">
        <v>6100</v>
      </c>
      <c r="O3605" t="s">
        <v>6101</v>
      </c>
      <c r="P3605" t="s">
        <v>6112</v>
      </c>
      <c r="Q3605">
        <v>6</v>
      </c>
      <c r="R3605">
        <v>2026</v>
      </c>
      <c r="S3605" t="s">
        <v>6099</v>
      </c>
      <c r="T3605">
        <v>1</v>
      </c>
      <c r="U3605" t="s">
        <v>6021</v>
      </c>
      <c r="V3605">
        <v>1</v>
      </c>
    </row>
    <row r="3606" spans="1:22" x14ac:dyDescent="0.3">
      <c r="A3606" t="s">
        <v>3621</v>
      </c>
      <c r="B3606" s="2">
        <v>46184.597916666666</v>
      </c>
      <c r="C3606" s="2">
        <v>46185.056250000001</v>
      </c>
      <c r="D3606" t="s">
        <v>6023</v>
      </c>
      <c r="E3606" t="s">
        <v>6032</v>
      </c>
      <c r="F3606" t="s">
        <v>6034</v>
      </c>
      <c r="G3606" t="s">
        <v>6094</v>
      </c>
      <c r="H3606" t="s">
        <v>6098</v>
      </c>
      <c r="I3606">
        <v>24</v>
      </c>
      <c r="J3606">
        <v>11</v>
      </c>
      <c r="K3606" t="s">
        <v>6100</v>
      </c>
      <c r="L3606" t="s">
        <v>6099</v>
      </c>
      <c r="M3606" t="s">
        <v>6100</v>
      </c>
      <c r="O3606" t="s">
        <v>6101</v>
      </c>
      <c r="P3606" t="s">
        <v>6112</v>
      </c>
      <c r="Q3606">
        <v>6</v>
      </c>
      <c r="R3606">
        <v>2026</v>
      </c>
      <c r="S3606" t="s">
        <v>6099</v>
      </c>
      <c r="T3606">
        <v>1</v>
      </c>
      <c r="U3606" t="s">
        <v>6018</v>
      </c>
      <c r="V3606">
        <v>0</v>
      </c>
    </row>
    <row r="3607" spans="1:22" x14ac:dyDescent="0.3">
      <c r="A3607" t="s">
        <v>3622</v>
      </c>
      <c r="B3607" s="2">
        <v>46184.638888888891</v>
      </c>
      <c r="C3607" s="2">
        <v>46185.755555555559</v>
      </c>
      <c r="D3607" t="s">
        <v>6022</v>
      </c>
      <c r="E3607" t="s">
        <v>6031</v>
      </c>
      <c r="F3607" t="s">
        <v>6033</v>
      </c>
      <c r="G3607" t="s">
        <v>6037</v>
      </c>
      <c r="H3607" t="s">
        <v>6096</v>
      </c>
      <c r="I3607">
        <v>72</v>
      </c>
      <c r="J3607">
        <v>26.8</v>
      </c>
      <c r="K3607" t="s">
        <v>6100</v>
      </c>
      <c r="L3607" t="s">
        <v>6099</v>
      </c>
      <c r="M3607" t="s">
        <v>6100</v>
      </c>
      <c r="N3607">
        <v>4</v>
      </c>
      <c r="O3607" t="s">
        <v>6101</v>
      </c>
      <c r="P3607" t="s">
        <v>6112</v>
      </c>
      <c r="Q3607">
        <v>6</v>
      </c>
      <c r="R3607">
        <v>2026</v>
      </c>
      <c r="S3607" t="s">
        <v>6099</v>
      </c>
      <c r="T3607">
        <v>1</v>
      </c>
      <c r="U3607" t="s">
        <v>6017</v>
      </c>
      <c r="V3607">
        <v>0</v>
      </c>
    </row>
    <row r="3608" spans="1:22" x14ac:dyDescent="0.3">
      <c r="A3608" t="s">
        <v>3623</v>
      </c>
      <c r="B3608" s="2">
        <v>46184.64166666667</v>
      </c>
      <c r="C3608" s="2">
        <v>46185.029166666667</v>
      </c>
      <c r="D3608" t="s">
        <v>6028</v>
      </c>
      <c r="E3608" t="s">
        <v>6029</v>
      </c>
      <c r="F3608" t="s">
        <v>6033</v>
      </c>
      <c r="G3608" t="s">
        <v>6066</v>
      </c>
      <c r="H3608" t="s">
        <v>6096</v>
      </c>
      <c r="I3608">
        <v>72</v>
      </c>
      <c r="J3608">
        <v>9.3000000000000007</v>
      </c>
      <c r="K3608" t="s">
        <v>6099</v>
      </c>
      <c r="L3608" t="s">
        <v>6100</v>
      </c>
      <c r="M3608" t="s">
        <v>6100</v>
      </c>
      <c r="O3608" t="s">
        <v>6101</v>
      </c>
      <c r="P3608" t="s">
        <v>6112</v>
      </c>
      <c r="Q3608">
        <v>6</v>
      </c>
      <c r="R3608">
        <v>2026</v>
      </c>
      <c r="S3608" t="s">
        <v>6099</v>
      </c>
      <c r="T3608">
        <v>1</v>
      </c>
      <c r="U3608" t="s">
        <v>6019</v>
      </c>
      <c r="V3608">
        <v>1</v>
      </c>
    </row>
    <row r="3609" spans="1:22" x14ac:dyDescent="0.3">
      <c r="A3609" t="s">
        <v>3624</v>
      </c>
      <c r="B3609" s="2">
        <v>46184.706944444442</v>
      </c>
      <c r="C3609" s="2">
        <v>46184.944444444445</v>
      </c>
      <c r="D3609" t="s">
        <v>6028</v>
      </c>
      <c r="E3609" t="s">
        <v>6029</v>
      </c>
      <c r="F3609" t="s">
        <v>6035</v>
      </c>
      <c r="G3609" t="s">
        <v>6046</v>
      </c>
      <c r="H3609" t="s">
        <v>6098</v>
      </c>
      <c r="I3609">
        <v>4</v>
      </c>
      <c r="J3609">
        <v>5.7</v>
      </c>
      <c r="K3609" t="s">
        <v>6099</v>
      </c>
      <c r="L3609" t="s">
        <v>6100</v>
      </c>
      <c r="M3609" t="s">
        <v>6100</v>
      </c>
      <c r="N3609">
        <v>5</v>
      </c>
      <c r="O3609" t="s">
        <v>6101</v>
      </c>
      <c r="P3609" t="s">
        <v>6112</v>
      </c>
      <c r="Q3609">
        <v>6</v>
      </c>
      <c r="R3609">
        <v>2026</v>
      </c>
      <c r="S3609" t="s">
        <v>6100</v>
      </c>
      <c r="T3609">
        <v>0</v>
      </c>
      <c r="U3609" t="s">
        <v>6021</v>
      </c>
      <c r="V3609">
        <v>1</v>
      </c>
    </row>
    <row r="3610" spans="1:22" x14ac:dyDescent="0.3">
      <c r="A3610" t="s">
        <v>3625</v>
      </c>
      <c r="B3610" s="2">
        <v>46184.706944444442</v>
      </c>
      <c r="C3610" s="2">
        <v>46186.481944444444</v>
      </c>
      <c r="D3610" t="s">
        <v>6025</v>
      </c>
      <c r="E3610" t="s">
        <v>6031</v>
      </c>
      <c r="F3610" t="s">
        <v>6033</v>
      </c>
      <c r="G3610" t="s">
        <v>6069</v>
      </c>
      <c r="H3610" t="s">
        <v>6098</v>
      </c>
      <c r="I3610">
        <v>72</v>
      </c>
      <c r="J3610">
        <v>42.6</v>
      </c>
      <c r="K3610" t="s">
        <v>6099</v>
      </c>
      <c r="L3610" t="s">
        <v>6100</v>
      </c>
      <c r="M3610" t="s">
        <v>6100</v>
      </c>
      <c r="N3610">
        <v>4</v>
      </c>
      <c r="O3610" t="s">
        <v>6101</v>
      </c>
      <c r="P3610" t="s">
        <v>6112</v>
      </c>
      <c r="Q3610">
        <v>6</v>
      </c>
      <c r="R3610">
        <v>2026</v>
      </c>
      <c r="S3610" t="s">
        <v>6099</v>
      </c>
      <c r="T3610">
        <v>1</v>
      </c>
      <c r="U3610" t="s">
        <v>6020</v>
      </c>
      <c r="V3610">
        <v>1</v>
      </c>
    </row>
    <row r="3611" spans="1:22" x14ac:dyDescent="0.3">
      <c r="A3611" t="s">
        <v>3626</v>
      </c>
      <c r="B3611" s="2">
        <v>46184.742361111108</v>
      </c>
      <c r="C3611" s="2">
        <v>46187.504861111112</v>
      </c>
      <c r="D3611" t="s">
        <v>6026</v>
      </c>
      <c r="E3611" t="s">
        <v>6031</v>
      </c>
      <c r="F3611" t="s">
        <v>6034</v>
      </c>
      <c r="G3611" t="s">
        <v>6095</v>
      </c>
      <c r="H3611" t="s">
        <v>6098</v>
      </c>
      <c r="I3611">
        <v>24</v>
      </c>
      <c r="J3611">
        <v>66.3</v>
      </c>
      <c r="K3611" t="s">
        <v>6099</v>
      </c>
      <c r="L3611" t="s">
        <v>6100</v>
      </c>
      <c r="M3611" t="s">
        <v>6100</v>
      </c>
      <c r="N3611">
        <v>5</v>
      </c>
      <c r="O3611" t="s">
        <v>6101</v>
      </c>
      <c r="P3611" t="s">
        <v>6112</v>
      </c>
      <c r="Q3611">
        <v>6</v>
      </c>
      <c r="R3611">
        <v>2026</v>
      </c>
      <c r="S3611" t="s">
        <v>6100</v>
      </c>
      <c r="T3611">
        <v>0</v>
      </c>
      <c r="U3611" t="s">
        <v>6020</v>
      </c>
      <c r="V3611">
        <v>1</v>
      </c>
    </row>
    <row r="3612" spans="1:22" x14ac:dyDescent="0.3">
      <c r="A3612" t="s">
        <v>3627</v>
      </c>
      <c r="B3612" s="2">
        <v>46185.064583333333</v>
      </c>
      <c r="C3612" s="2">
        <v>46185.28125</v>
      </c>
      <c r="D3612" t="s">
        <v>6023</v>
      </c>
      <c r="E3612" t="s">
        <v>6030</v>
      </c>
      <c r="F3612" t="s">
        <v>6033</v>
      </c>
      <c r="G3612" t="s">
        <v>6054</v>
      </c>
      <c r="H3612" t="s">
        <v>6096</v>
      </c>
      <c r="I3612">
        <v>72</v>
      </c>
      <c r="J3612">
        <v>5.2</v>
      </c>
      <c r="K3612" t="s">
        <v>6099</v>
      </c>
      <c r="L3612" t="s">
        <v>6100</v>
      </c>
      <c r="M3612" t="s">
        <v>6100</v>
      </c>
      <c r="N3612">
        <v>5</v>
      </c>
      <c r="O3612" t="s">
        <v>6101</v>
      </c>
      <c r="P3612" t="s">
        <v>6112</v>
      </c>
      <c r="Q3612">
        <v>6</v>
      </c>
      <c r="R3612">
        <v>2026</v>
      </c>
      <c r="S3612" t="s">
        <v>6099</v>
      </c>
      <c r="T3612">
        <v>1</v>
      </c>
      <c r="U3612" t="s">
        <v>6018</v>
      </c>
      <c r="V3612">
        <v>1</v>
      </c>
    </row>
    <row r="3613" spans="1:22" x14ac:dyDescent="0.3">
      <c r="A3613" t="s">
        <v>3628</v>
      </c>
      <c r="B3613" s="2">
        <v>46185.25277777778</v>
      </c>
      <c r="C3613" s="2">
        <v>46185.669444444444</v>
      </c>
      <c r="D3613" t="s">
        <v>6028</v>
      </c>
      <c r="E3613" t="s">
        <v>6029</v>
      </c>
      <c r="F3613" t="s">
        <v>6035</v>
      </c>
      <c r="G3613" t="s">
        <v>6079</v>
      </c>
      <c r="H3613" t="s">
        <v>6097</v>
      </c>
      <c r="I3613">
        <v>4</v>
      </c>
      <c r="K3613" t="s">
        <v>6099</v>
      </c>
      <c r="L3613" t="s">
        <v>6100</v>
      </c>
      <c r="M3613" t="s">
        <v>6100</v>
      </c>
      <c r="O3613" t="s">
        <v>6101</v>
      </c>
      <c r="P3613" t="s">
        <v>6112</v>
      </c>
      <c r="Q3613">
        <v>6</v>
      </c>
      <c r="R3613">
        <v>2026</v>
      </c>
      <c r="U3613" t="s">
        <v>6020</v>
      </c>
      <c r="V3613">
        <v>1</v>
      </c>
    </row>
    <row r="3614" spans="1:22" x14ac:dyDescent="0.3">
      <c r="A3614" t="s">
        <v>3629</v>
      </c>
      <c r="B3614" s="2">
        <v>46185.331944444442</v>
      </c>
      <c r="C3614" s="2">
        <v>46186.006944444445</v>
      </c>
      <c r="D3614" t="s">
        <v>6025</v>
      </c>
      <c r="E3614" t="s">
        <v>6029</v>
      </c>
      <c r="F3614" t="s">
        <v>6034</v>
      </c>
      <c r="G3614" t="s">
        <v>6060</v>
      </c>
      <c r="H3614" t="s">
        <v>6097</v>
      </c>
      <c r="I3614">
        <v>24</v>
      </c>
      <c r="J3614">
        <v>16.2</v>
      </c>
      <c r="K3614" t="s">
        <v>6099</v>
      </c>
      <c r="L3614" t="s">
        <v>6100</v>
      </c>
      <c r="M3614" t="s">
        <v>6100</v>
      </c>
      <c r="N3614">
        <v>4</v>
      </c>
      <c r="O3614" t="s">
        <v>6101</v>
      </c>
      <c r="P3614" t="s">
        <v>6112</v>
      </c>
      <c r="Q3614">
        <v>6</v>
      </c>
      <c r="R3614">
        <v>2026</v>
      </c>
      <c r="S3614" t="s">
        <v>6099</v>
      </c>
      <c r="T3614">
        <v>1</v>
      </c>
      <c r="U3614" t="s">
        <v>6018</v>
      </c>
      <c r="V3614">
        <v>1</v>
      </c>
    </row>
    <row r="3615" spans="1:22" x14ac:dyDescent="0.3">
      <c r="A3615" t="s">
        <v>3630</v>
      </c>
      <c r="B3615" s="2">
        <v>46185.422222222223</v>
      </c>
      <c r="C3615" s="2">
        <v>46186.051388888889</v>
      </c>
      <c r="D3615" t="s">
        <v>6023</v>
      </c>
      <c r="E3615" t="s">
        <v>6030</v>
      </c>
      <c r="F3615" t="s">
        <v>6034</v>
      </c>
      <c r="G3615" t="s">
        <v>6082</v>
      </c>
      <c r="H3615" t="s">
        <v>6097</v>
      </c>
      <c r="I3615">
        <v>24</v>
      </c>
      <c r="J3615">
        <v>15.1</v>
      </c>
      <c r="K3615" t="s">
        <v>6099</v>
      </c>
      <c r="L3615" t="s">
        <v>6100</v>
      </c>
      <c r="M3615" t="s">
        <v>6100</v>
      </c>
      <c r="N3615">
        <v>5</v>
      </c>
      <c r="O3615" t="s">
        <v>6101</v>
      </c>
      <c r="P3615" t="s">
        <v>6112</v>
      </c>
      <c r="Q3615">
        <v>6</v>
      </c>
      <c r="R3615">
        <v>2026</v>
      </c>
      <c r="S3615" t="s">
        <v>6099</v>
      </c>
      <c r="T3615">
        <v>1</v>
      </c>
      <c r="U3615" t="s">
        <v>6018</v>
      </c>
      <c r="V3615">
        <v>1</v>
      </c>
    </row>
    <row r="3616" spans="1:22" x14ac:dyDescent="0.3">
      <c r="A3616" t="s">
        <v>3631</v>
      </c>
      <c r="B3616" s="2">
        <v>46185.445833333331</v>
      </c>
      <c r="C3616" s="2">
        <v>46186.162499999999</v>
      </c>
      <c r="D3616" t="s">
        <v>6025</v>
      </c>
      <c r="E3616" t="s">
        <v>6030</v>
      </c>
      <c r="F3616" t="s">
        <v>6034</v>
      </c>
      <c r="G3616" t="s">
        <v>6055</v>
      </c>
      <c r="H3616" t="s">
        <v>6096</v>
      </c>
      <c r="I3616">
        <v>24</v>
      </c>
      <c r="J3616">
        <v>17.2</v>
      </c>
      <c r="K3616" t="s">
        <v>6099</v>
      </c>
      <c r="L3616" t="s">
        <v>6100</v>
      </c>
      <c r="M3616" t="s">
        <v>6100</v>
      </c>
      <c r="N3616">
        <v>3</v>
      </c>
      <c r="O3616" t="s">
        <v>6101</v>
      </c>
      <c r="P3616" t="s">
        <v>6112</v>
      </c>
      <c r="Q3616">
        <v>6</v>
      </c>
      <c r="R3616">
        <v>2026</v>
      </c>
      <c r="S3616" t="s">
        <v>6099</v>
      </c>
      <c r="T3616">
        <v>1</v>
      </c>
      <c r="U3616" t="s">
        <v>6021</v>
      </c>
      <c r="V3616">
        <v>1</v>
      </c>
    </row>
    <row r="3617" spans="1:22" x14ac:dyDescent="0.3">
      <c r="A3617" t="s">
        <v>3632</v>
      </c>
      <c r="B3617" s="2">
        <v>46185.451388888891</v>
      </c>
      <c r="C3617" s="2">
        <v>46185.680555555555</v>
      </c>
      <c r="D3617" t="s">
        <v>6023</v>
      </c>
      <c r="E3617" t="s">
        <v>6032</v>
      </c>
      <c r="F3617" t="s">
        <v>6033</v>
      </c>
      <c r="G3617" t="s">
        <v>6072</v>
      </c>
      <c r="H3617" t="s">
        <v>6097</v>
      </c>
      <c r="I3617">
        <v>72</v>
      </c>
      <c r="J3617">
        <v>5.5</v>
      </c>
      <c r="K3617" t="s">
        <v>6099</v>
      </c>
      <c r="L3617" t="s">
        <v>6100</v>
      </c>
      <c r="M3617" t="s">
        <v>6100</v>
      </c>
      <c r="N3617">
        <v>5</v>
      </c>
      <c r="O3617" t="s">
        <v>6101</v>
      </c>
      <c r="P3617" t="s">
        <v>6112</v>
      </c>
      <c r="Q3617">
        <v>6</v>
      </c>
      <c r="R3617">
        <v>2026</v>
      </c>
      <c r="S3617" t="s">
        <v>6099</v>
      </c>
      <c r="T3617">
        <v>1</v>
      </c>
      <c r="U3617" t="s">
        <v>6017</v>
      </c>
      <c r="V3617">
        <v>1</v>
      </c>
    </row>
    <row r="3618" spans="1:22" x14ac:dyDescent="0.3">
      <c r="A3618" t="s">
        <v>3633</v>
      </c>
      <c r="B3618" s="2">
        <v>46185.456944444442</v>
      </c>
      <c r="C3618" s="2">
        <v>46185.586111111108</v>
      </c>
      <c r="D3618" t="s">
        <v>6028</v>
      </c>
      <c r="E3618" t="s">
        <v>6029</v>
      </c>
      <c r="F3618" t="s">
        <v>6033</v>
      </c>
      <c r="G3618" t="s">
        <v>6046</v>
      </c>
      <c r="H3618" t="s">
        <v>6098</v>
      </c>
      <c r="I3618">
        <v>72</v>
      </c>
      <c r="J3618">
        <v>3.1</v>
      </c>
      <c r="K3618" t="s">
        <v>6099</v>
      </c>
      <c r="L3618" t="s">
        <v>6100</v>
      </c>
      <c r="M3618" t="s">
        <v>6100</v>
      </c>
      <c r="N3618">
        <v>4</v>
      </c>
      <c r="O3618" t="s">
        <v>6101</v>
      </c>
      <c r="P3618" t="s">
        <v>6112</v>
      </c>
      <c r="Q3618">
        <v>6</v>
      </c>
      <c r="R3618">
        <v>2026</v>
      </c>
      <c r="S3618" t="s">
        <v>6099</v>
      </c>
      <c r="T3618">
        <v>1</v>
      </c>
      <c r="U3618" t="s">
        <v>6017</v>
      </c>
      <c r="V3618">
        <v>1</v>
      </c>
    </row>
    <row r="3619" spans="1:22" x14ac:dyDescent="0.3">
      <c r="A3619" t="s">
        <v>3634</v>
      </c>
      <c r="B3619" s="2">
        <v>46185.489583333336</v>
      </c>
      <c r="C3619" s="2">
        <v>46185.614583333336</v>
      </c>
      <c r="D3619" t="s">
        <v>6028</v>
      </c>
      <c r="E3619" t="s">
        <v>6030</v>
      </c>
      <c r="F3619" t="s">
        <v>6034</v>
      </c>
      <c r="G3619" t="s">
        <v>6062</v>
      </c>
      <c r="H3619" t="s">
        <v>6096</v>
      </c>
      <c r="I3619">
        <v>24</v>
      </c>
      <c r="J3619">
        <v>3</v>
      </c>
      <c r="K3619" t="s">
        <v>6100</v>
      </c>
      <c r="L3619" t="s">
        <v>6100</v>
      </c>
      <c r="M3619" t="s">
        <v>6100</v>
      </c>
      <c r="N3619">
        <v>3</v>
      </c>
      <c r="O3619" t="s">
        <v>6101</v>
      </c>
      <c r="P3619" t="s">
        <v>6112</v>
      </c>
      <c r="Q3619">
        <v>6</v>
      </c>
      <c r="R3619">
        <v>2026</v>
      </c>
      <c r="S3619" t="s">
        <v>6099</v>
      </c>
      <c r="T3619">
        <v>1</v>
      </c>
      <c r="U3619" t="s">
        <v>6018</v>
      </c>
      <c r="V3619">
        <v>0</v>
      </c>
    </row>
    <row r="3620" spans="1:22" x14ac:dyDescent="0.3">
      <c r="A3620" t="s">
        <v>3635</v>
      </c>
      <c r="B3620" s="2">
        <v>46185.495833333334</v>
      </c>
      <c r="C3620" s="2">
        <v>46187.379166666666</v>
      </c>
      <c r="D3620" t="s">
        <v>6025</v>
      </c>
      <c r="E3620" t="s">
        <v>6029</v>
      </c>
      <c r="F3620" t="s">
        <v>6033</v>
      </c>
      <c r="G3620" t="s">
        <v>6058</v>
      </c>
      <c r="H3620" t="s">
        <v>6098</v>
      </c>
      <c r="I3620">
        <v>72</v>
      </c>
      <c r="J3620">
        <v>45.2</v>
      </c>
      <c r="K3620" t="s">
        <v>6100</v>
      </c>
      <c r="L3620" t="s">
        <v>6099</v>
      </c>
      <c r="M3620" t="s">
        <v>6100</v>
      </c>
      <c r="N3620">
        <v>4</v>
      </c>
      <c r="O3620" t="s">
        <v>6101</v>
      </c>
      <c r="P3620" t="s">
        <v>6112</v>
      </c>
      <c r="Q3620">
        <v>6</v>
      </c>
      <c r="R3620">
        <v>2026</v>
      </c>
      <c r="S3620" t="s">
        <v>6099</v>
      </c>
      <c r="T3620">
        <v>1</v>
      </c>
      <c r="U3620" t="s">
        <v>6018</v>
      </c>
      <c r="V3620">
        <v>0</v>
      </c>
    </row>
    <row r="3621" spans="1:22" x14ac:dyDescent="0.3">
      <c r="A3621" t="s">
        <v>3636</v>
      </c>
      <c r="B3621" s="2">
        <v>46185.513888888891</v>
      </c>
      <c r="C3621" s="2">
        <v>46189.772222222222</v>
      </c>
      <c r="D3621" t="s">
        <v>6025</v>
      </c>
      <c r="E3621" t="s">
        <v>6031</v>
      </c>
      <c r="F3621" t="s">
        <v>6034</v>
      </c>
      <c r="G3621" t="s">
        <v>6036</v>
      </c>
      <c r="H3621" t="s">
        <v>6096</v>
      </c>
      <c r="I3621">
        <v>24</v>
      </c>
      <c r="J3621">
        <v>102.2</v>
      </c>
      <c r="K3621" t="s">
        <v>6099</v>
      </c>
      <c r="L3621" t="s">
        <v>6100</v>
      </c>
      <c r="M3621" t="s">
        <v>6100</v>
      </c>
      <c r="O3621" t="s">
        <v>6101</v>
      </c>
      <c r="P3621" t="s">
        <v>6112</v>
      </c>
      <c r="Q3621">
        <v>6</v>
      </c>
      <c r="R3621">
        <v>2026</v>
      </c>
      <c r="S3621" t="s">
        <v>6100</v>
      </c>
      <c r="T3621">
        <v>0</v>
      </c>
      <c r="U3621" t="s">
        <v>6019</v>
      </c>
      <c r="V3621">
        <v>1</v>
      </c>
    </row>
    <row r="3622" spans="1:22" x14ac:dyDescent="0.3">
      <c r="A3622" t="s">
        <v>3637</v>
      </c>
      <c r="B3622" s="2">
        <v>46185.524305555555</v>
      </c>
      <c r="C3622" s="2">
        <v>46185.649305555555</v>
      </c>
      <c r="D3622" t="s">
        <v>6023</v>
      </c>
      <c r="E3622" t="s">
        <v>6030</v>
      </c>
      <c r="F3622" t="s">
        <v>6033</v>
      </c>
      <c r="G3622" t="s">
        <v>6064</v>
      </c>
      <c r="H3622" t="s">
        <v>6096</v>
      </c>
      <c r="I3622">
        <v>72</v>
      </c>
      <c r="J3622">
        <v>3</v>
      </c>
      <c r="K3622" t="s">
        <v>6100</v>
      </c>
      <c r="L3622" t="s">
        <v>6099</v>
      </c>
      <c r="M3622" t="s">
        <v>6100</v>
      </c>
      <c r="N3622">
        <v>5</v>
      </c>
      <c r="O3622" t="s">
        <v>6101</v>
      </c>
      <c r="P3622" t="s">
        <v>6112</v>
      </c>
      <c r="Q3622">
        <v>6</v>
      </c>
      <c r="R3622">
        <v>2026</v>
      </c>
      <c r="S3622" t="s">
        <v>6099</v>
      </c>
      <c r="T3622">
        <v>1</v>
      </c>
      <c r="U3622" t="s">
        <v>6018</v>
      </c>
      <c r="V3622">
        <v>0</v>
      </c>
    </row>
    <row r="3623" spans="1:22" x14ac:dyDescent="0.3">
      <c r="A3623" t="s">
        <v>3638</v>
      </c>
      <c r="B3623" s="2">
        <v>46185.525000000001</v>
      </c>
      <c r="C3623" s="2">
        <v>46187.3</v>
      </c>
      <c r="D3623" t="s">
        <v>6026</v>
      </c>
      <c r="E3623" t="s">
        <v>6031</v>
      </c>
      <c r="F3623" t="s">
        <v>6035</v>
      </c>
      <c r="G3623" t="s">
        <v>6060</v>
      </c>
      <c r="H3623" t="s">
        <v>6097</v>
      </c>
      <c r="I3623">
        <v>4</v>
      </c>
      <c r="J3623">
        <v>42.6</v>
      </c>
      <c r="K3623" t="s">
        <v>6099</v>
      </c>
      <c r="L3623" t="s">
        <v>6100</v>
      </c>
      <c r="M3623" t="s">
        <v>6100</v>
      </c>
      <c r="O3623" t="s">
        <v>6101</v>
      </c>
      <c r="P3623" t="s">
        <v>6112</v>
      </c>
      <c r="Q3623">
        <v>6</v>
      </c>
      <c r="R3623">
        <v>2026</v>
      </c>
      <c r="S3623" t="s">
        <v>6100</v>
      </c>
      <c r="T3623">
        <v>0</v>
      </c>
      <c r="U3623" t="s">
        <v>6021</v>
      </c>
      <c r="V3623">
        <v>1</v>
      </c>
    </row>
    <row r="3624" spans="1:22" x14ac:dyDescent="0.3">
      <c r="A3624" t="s">
        <v>3639</v>
      </c>
      <c r="B3624" s="2">
        <v>46185.525694444441</v>
      </c>
      <c r="C3624" s="2">
        <v>46186.946527777778</v>
      </c>
      <c r="D3624" t="s">
        <v>6025</v>
      </c>
      <c r="E3624" t="s">
        <v>6029</v>
      </c>
      <c r="F3624" t="s">
        <v>6033</v>
      </c>
      <c r="G3624" t="s">
        <v>6074</v>
      </c>
      <c r="H3624" t="s">
        <v>6098</v>
      </c>
      <c r="I3624">
        <v>72</v>
      </c>
      <c r="J3624">
        <v>34.1</v>
      </c>
      <c r="K3624" t="s">
        <v>6099</v>
      </c>
      <c r="L3624" t="s">
        <v>6100</v>
      </c>
      <c r="M3624" t="s">
        <v>6100</v>
      </c>
      <c r="O3624" t="s">
        <v>6101</v>
      </c>
      <c r="P3624" t="s">
        <v>6112</v>
      </c>
      <c r="Q3624">
        <v>6</v>
      </c>
      <c r="R3624">
        <v>2026</v>
      </c>
      <c r="S3624" t="s">
        <v>6099</v>
      </c>
      <c r="T3624">
        <v>1</v>
      </c>
      <c r="U3624" t="s">
        <v>6019</v>
      </c>
      <c r="V3624">
        <v>1</v>
      </c>
    </row>
    <row r="3625" spans="1:22" x14ac:dyDescent="0.3">
      <c r="A3625" t="s">
        <v>3640</v>
      </c>
      <c r="B3625" s="2">
        <v>46185.53125</v>
      </c>
      <c r="C3625" s="2">
        <v>46186.34375</v>
      </c>
      <c r="D3625" t="s">
        <v>6022</v>
      </c>
      <c r="E3625" t="s">
        <v>6029</v>
      </c>
      <c r="F3625" t="s">
        <v>6035</v>
      </c>
      <c r="G3625" t="s">
        <v>6059</v>
      </c>
      <c r="H3625" t="s">
        <v>6097</v>
      </c>
      <c r="I3625">
        <v>4</v>
      </c>
      <c r="J3625">
        <v>19.5</v>
      </c>
      <c r="K3625" t="s">
        <v>6099</v>
      </c>
      <c r="L3625" t="s">
        <v>6100</v>
      </c>
      <c r="M3625" t="s">
        <v>6100</v>
      </c>
      <c r="O3625" t="s">
        <v>6101</v>
      </c>
      <c r="P3625" t="s">
        <v>6112</v>
      </c>
      <c r="Q3625">
        <v>6</v>
      </c>
      <c r="R3625">
        <v>2026</v>
      </c>
      <c r="S3625" t="s">
        <v>6100</v>
      </c>
      <c r="T3625">
        <v>0</v>
      </c>
      <c r="U3625" t="s">
        <v>6020</v>
      </c>
      <c r="V3625">
        <v>1</v>
      </c>
    </row>
    <row r="3626" spans="1:22" x14ac:dyDescent="0.3">
      <c r="A3626" t="s">
        <v>3641</v>
      </c>
      <c r="B3626" s="2">
        <v>46185.551388888889</v>
      </c>
      <c r="C3626" s="2">
        <v>46185.651388888888</v>
      </c>
      <c r="D3626" t="s">
        <v>6023</v>
      </c>
      <c r="E3626" t="s">
        <v>6030</v>
      </c>
      <c r="F3626" t="s">
        <v>6034</v>
      </c>
      <c r="G3626" t="s">
        <v>6083</v>
      </c>
      <c r="H3626" t="s">
        <v>6096</v>
      </c>
      <c r="I3626">
        <v>24</v>
      </c>
      <c r="J3626">
        <v>2.4</v>
      </c>
      <c r="K3626" t="s">
        <v>6100</v>
      </c>
      <c r="L3626" t="s">
        <v>6099</v>
      </c>
      <c r="M3626" t="s">
        <v>6100</v>
      </c>
      <c r="O3626" t="s">
        <v>6101</v>
      </c>
      <c r="P3626" t="s">
        <v>6112</v>
      </c>
      <c r="Q3626">
        <v>6</v>
      </c>
      <c r="R3626">
        <v>2026</v>
      </c>
      <c r="S3626" t="s">
        <v>6099</v>
      </c>
      <c r="T3626">
        <v>1</v>
      </c>
      <c r="U3626" t="s">
        <v>6018</v>
      </c>
      <c r="V3626">
        <v>0</v>
      </c>
    </row>
    <row r="3627" spans="1:22" x14ac:dyDescent="0.3">
      <c r="A3627" t="s">
        <v>3642</v>
      </c>
      <c r="B3627" s="2">
        <v>46185.560416666667</v>
      </c>
      <c r="C3627" s="2">
        <v>46186.289583333331</v>
      </c>
      <c r="D3627" t="s">
        <v>6028</v>
      </c>
      <c r="E3627" t="s">
        <v>6031</v>
      </c>
      <c r="F3627" t="s">
        <v>6035</v>
      </c>
      <c r="G3627" t="s">
        <v>6063</v>
      </c>
      <c r="H3627" t="s">
        <v>6097</v>
      </c>
      <c r="I3627">
        <v>4</v>
      </c>
      <c r="J3627">
        <v>17.5</v>
      </c>
      <c r="K3627" t="s">
        <v>6100</v>
      </c>
      <c r="L3627" t="s">
        <v>6100</v>
      </c>
      <c r="M3627" t="s">
        <v>6099</v>
      </c>
      <c r="N3627">
        <v>4</v>
      </c>
      <c r="O3627" t="s">
        <v>6101</v>
      </c>
      <c r="P3627" t="s">
        <v>6112</v>
      </c>
      <c r="Q3627">
        <v>6</v>
      </c>
      <c r="R3627">
        <v>2026</v>
      </c>
      <c r="S3627" t="s">
        <v>6100</v>
      </c>
      <c r="T3627">
        <v>0</v>
      </c>
      <c r="U3627" t="s">
        <v>6017</v>
      </c>
      <c r="V3627">
        <v>0</v>
      </c>
    </row>
    <row r="3628" spans="1:22" x14ac:dyDescent="0.3">
      <c r="A3628" t="s">
        <v>3643</v>
      </c>
      <c r="B3628" s="2">
        <v>46185.581250000003</v>
      </c>
      <c r="C3628" s="2">
        <v>46185.643750000003</v>
      </c>
      <c r="D3628" t="s">
        <v>6023</v>
      </c>
      <c r="E3628" t="s">
        <v>6029</v>
      </c>
      <c r="F3628" t="s">
        <v>6033</v>
      </c>
      <c r="G3628" t="s">
        <v>6087</v>
      </c>
      <c r="H3628" t="s">
        <v>6098</v>
      </c>
      <c r="I3628">
        <v>72</v>
      </c>
      <c r="J3628">
        <v>1.5</v>
      </c>
      <c r="K3628" t="s">
        <v>6099</v>
      </c>
      <c r="L3628" t="s">
        <v>6100</v>
      </c>
      <c r="M3628" t="s">
        <v>6100</v>
      </c>
      <c r="N3628">
        <v>4</v>
      </c>
      <c r="O3628" t="s">
        <v>6101</v>
      </c>
      <c r="P3628" t="s">
        <v>6112</v>
      </c>
      <c r="Q3628">
        <v>6</v>
      </c>
      <c r="R3628">
        <v>2026</v>
      </c>
      <c r="S3628" t="s">
        <v>6099</v>
      </c>
      <c r="T3628">
        <v>1</v>
      </c>
      <c r="U3628" t="s">
        <v>6020</v>
      </c>
      <c r="V3628">
        <v>1</v>
      </c>
    </row>
    <row r="3629" spans="1:22" x14ac:dyDescent="0.3">
      <c r="A3629" t="s">
        <v>3644</v>
      </c>
      <c r="B3629" s="2">
        <v>46185.586111111108</v>
      </c>
      <c r="C3629" s="2">
        <v>46187.623611111114</v>
      </c>
      <c r="D3629" t="s">
        <v>6027</v>
      </c>
      <c r="E3629" t="s">
        <v>6032</v>
      </c>
      <c r="F3629" t="s">
        <v>6034</v>
      </c>
      <c r="G3629" t="s">
        <v>6057</v>
      </c>
      <c r="H3629" t="s">
        <v>6097</v>
      </c>
      <c r="I3629">
        <v>24</v>
      </c>
      <c r="J3629">
        <v>48.9</v>
      </c>
      <c r="K3629" t="s">
        <v>6099</v>
      </c>
      <c r="L3629" t="s">
        <v>6100</v>
      </c>
      <c r="M3629" t="s">
        <v>6100</v>
      </c>
      <c r="N3629">
        <v>5</v>
      </c>
      <c r="O3629" t="s">
        <v>6101</v>
      </c>
      <c r="P3629" t="s">
        <v>6112</v>
      </c>
      <c r="Q3629">
        <v>6</v>
      </c>
      <c r="R3629">
        <v>2026</v>
      </c>
      <c r="S3629" t="s">
        <v>6100</v>
      </c>
      <c r="T3629">
        <v>0</v>
      </c>
      <c r="U3629" t="s">
        <v>6019</v>
      </c>
      <c r="V3629">
        <v>1</v>
      </c>
    </row>
    <row r="3630" spans="1:22" x14ac:dyDescent="0.3">
      <c r="A3630" t="s">
        <v>3645</v>
      </c>
      <c r="B3630" s="2">
        <v>46185.606249999997</v>
      </c>
      <c r="C3630" s="2">
        <v>46185.947916666664</v>
      </c>
      <c r="D3630" t="s">
        <v>6027</v>
      </c>
      <c r="E3630" t="s">
        <v>6030</v>
      </c>
      <c r="F3630" t="s">
        <v>6034</v>
      </c>
      <c r="G3630" t="s">
        <v>6085</v>
      </c>
      <c r="H3630" t="s">
        <v>6097</v>
      </c>
      <c r="I3630">
        <v>24</v>
      </c>
      <c r="J3630">
        <v>8.1999999999999993</v>
      </c>
      <c r="K3630" t="s">
        <v>6099</v>
      </c>
      <c r="L3630" t="s">
        <v>6100</v>
      </c>
      <c r="M3630" t="s">
        <v>6100</v>
      </c>
      <c r="O3630" t="s">
        <v>6101</v>
      </c>
      <c r="P3630" t="s">
        <v>6112</v>
      </c>
      <c r="Q3630">
        <v>6</v>
      </c>
      <c r="R3630">
        <v>2026</v>
      </c>
      <c r="S3630" t="s">
        <v>6099</v>
      </c>
      <c r="T3630">
        <v>1</v>
      </c>
      <c r="U3630" t="s">
        <v>6018</v>
      </c>
      <c r="V3630">
        <v>1</v>
      </c>
    </row>
    <row r="3631" spans="1:22" x14ac:dyDescent="0.3">
      <c r="A3631" t="s">
        <v>3646</v>
      </c>
      <c r="B3631" s="2">
        <v>46185.609722222223</v>
      </c>
      <c r="C3631" s="2">
        <v>46185.693055555559</v>
      </c>
      <c r="D3631" t="s">
        <v>6023</v>
      </c>
      <c r="E3631" t="s">
        <v>6030</v>
      </c>
      <c r="F3631" t="s">
        <v>6034</v>
      </c>
      <c r="G3631" t="s">
        <v>6091</v>
      </c>
      <c r="H3631" t="s">
        <v>6097</v>
      </c>
      <c r="I3631">
        <v>24</v>
      </c>
      <c r="J3631">
        <v>2</v>
      </c>
      <c r="K3631" t="s">
        <v>6099</v>
      </c>
      <c r="L3631" t="s">
        <v>6100</v>
      </c>
      <c r="M3631" t="s">
        <v>6099</v>
      </c>
      <c r="N3631">
        <v>5</v>
      </c>
      <c r="O3631" t="s">
        <v>6101</v>
      </c>
      <c r="P3631" t="s">
        <v>6112</v>
      </c>
      <c r="Q3631">
        <v>6</v>
      </c>
      <c r="R3631">
        <v>2026</v>
      </c>
      <c r="S3631" t="s">
        <v>6099</v>
      </c>
      <c r="T3631">
        <v>1</v>
      </c>
      <c r="U3631" t="s">
        <v>6017</v>
      </c>
      <c r="V3631">
        <v>1</v>
      </c>
    </row>
    <row r="3632" spans="1:22" x14ac:dyDescent="0.3">
      <c r="A3632" t="s">
        <v>3647</v>
      </c>
      <c r="B3632" s="2">
        <v>46185.613888888889</v>
      </c>
      <c r="C3632" s="2">
        <v>46186.097222222219</v>
      </c>
      <c r="D3632" t="s">
        <v>6027</v>
      </c>
      <c r="E3632" t="s">
        <v>6029</v>
      </c>
      <c r="F3632" t="s">
        <v>6033</v>
      </c>
      <c r="G3632" t="s">
        <v>6065</v>
      </c>
      <c r="H3632" t="s">
        <v>6097</v>
      </c>
      <c r="I3632">
        <v>72</v>
      </c>
      <c r="J3632">
        <v>11.6</v>
      </c>
      <c r="K3632" t="s">
        <v>6099</v>
      </c>
      <c r="L3632" t="s">
        <v>6100</v>
      </c>
      <c r="M3632" t="s">
        <v>6100</v>
      </c>
      <c r="N3632">
        <v>5</v>
      </c>
      <c r="O3632" t="s">
        <v>6101</v>
      </c>
      <c r="P3632" t="s">
        <v>6112</v>
      </c>
      <c r="Q3632">
        <v>6</v>
      </c>
      <c r="R3632">
        <v>2026</v>
      </c>
      <c r="S3632" t="s">
        <v>6099</v>
      </c>
      <c r="T3632">
        <v>1</v>
      </c>
      <c r="U3632" t="s">
        <v>6017</v>
      </c>
      <c r="V3632">
        <v>1</v>
      </c>
    </row>
    <row r="3633" spans="1:22" x14ac:dyDescent="0.3">
      <c r="A3633" t="s">
        <v>3648</v>
      </c>
      <c r="B3633" s="2">
        <v>46185.624305555553</v>
      </c>
      <c r="C3633" s="2">
        <v>46185.945138888892</v>
      </c>
      <c r="D3633" t="s">
        <v>6023</v>
      </c>
      <c r="E3633" t="s">
        <v>6029</v>
      </c>
      <c r="F3633" t="s">
        <v>6034</v>
      </c>
      <c r="G3633" t="s">
        <v>6055</v>
      </c>
      <c r="H3633" t="s">
        <v>6096</v>
      </c>
      <c r="I3633">
        <v>24</v>
      </c>
      <c r="J3633">
        <v>7.7</v>
      </c>
      <c r="K3633" t="s">
        <v>6100</v>
      </c>
      <c r="L3633" t="s">
        <v>6099</v>
      </c>
      <c r="M3633" t="s">
        <v>6100</v>
      </c>
      <c r="O3633" t="s">
        <v>6101</v>
      </c>
      <c r="P3633" t="s">
        <v>6112</v>
      </c>
      <c r="Q3633">
        <v>6</v>
      </c>
      <c r="R3633">
        <v>2026</v>
      </c>
      <c r="S3633" t="s">
        <v>6099</v>
      </c>
      <c r="T3633">
        <v>1</v>
      </c>
      <c r="U3633" t="s">
        <v>6019</v>
      </c>
      <c r="V3633">
        <v>0</v>
      </c>
    </row>
    <row r="3634" spans="1:22" x14ac:dyDescent="0.3">
      <c r="A3634" t="s">
        <v>3649</v>
      </c>
      <c r="B3634" s="2">
        <v>46185.636805555558</v>
      </c>
      <c r="C3634" s="2">
        <v>46185.695138888892</v>
      </c>
      <c r="D3634" t="s">
        <v>6028</v>
      </c>
      <c r="E3634" t="s">
        <v>6029</v>
      </c>
      <c r="F3634" t="s">
        <v>6034</v>
      </c>
      <c r="G3634" t="s">
        <v>6088</v>
      </c>
      <c r="H3634" t="s">
        <v>6097</v>
      </c>
      <c r="I3634">
        <v>24</v>
      </c>
      <c r="J3634">
        <v>1.4</v>
      </c>
      <c r="K3634" t="s">
        <v>6099</v>
      </c>
      <c r="L3634" t="s">
        <v>6100</v>
      </c>
      <c r="M3634" t="s">
        <v>6100</v>
      </c>
      <c r="N3634">
        <v>4</v>
      </c>
      <c r="O3634" t="s">
        <v>6101</v>
      </c>
      <c r="P3634" t="s">
        <v>6112</v>
      </c>
      <c r="Q3634">
        <v>6</v>
      </c>
      <c r="R3634">
        <v>2026</v>
      </c>
      <c r="S3634" t="s">
        <v>6099</v>
      </c>
      <c r="T3634">
        <v>1</v>
      </c>
      <c r="U3634" t="s">
        <v>6017</v>
      </c>
      <c r="V3634">
        <v>1</v>
      </c>
    </row>
    <row r="3635" spans="1:22" x14ac:dyDescent="0.3">
      <c r="A3635" t="s">
        <v>3650</v>
      </c>
      <c r="B3635" s="2">
        <v>46185.640972222223</v>
      </c>
      <c r="C3635" s="2">
        <v>46185.961805555555</v>
      </c>
      <c r="D3635" t="s">
        <v>6023</v>
      </c>
      <c r="E3635" t="s">
        <v>6029</v>
      </c>
      <c r="F3635" t="s">
        <v>6034</v>
      </c>
      <c r="G3635" t="s">
        <v>6082</v>
      </c>
      <c r="H3635" t="s">
        <v>6097</v>
      </c>
      <c r="I3635">
        <v>24</v>
      </c>
      <c r="J3635">
        <v>7.7</v>
      </c>
      <c r="K3635" t="s">
        <v>6099</v>
      </c>
      <c r="L3635" t="s">
        <v>6100</v>
      </c>
      <c r="M3635" t="s">
        <v>6100</v>
      </c>
      <c r="N3635">
        <v>5</v>
      </c>
      <c r="O3635" t="s">
        <v>6101</v>
      </c>
      <c r="P3635" t="s">
        <v>6112</v>
      </c>
      <c r="Q3635">
        <v>6</v>
      </c>
      <c r="R3635">
        <v>2026</v>
      </c>
      <c r="S3635" t="s">
        <v>6099</v>
      </c>
      <c r="T3635">
        <v>1</v>
      </c>
      <c r="U3635" t="s">
        <v>6020</v>
      </c>
      <c r="V3635">
        <v>1</v>
      </c>
    </row>
    <row r="3636" spans="1:22" x14ac:dyDescent="0.3">
      <c r="A3636" t="s">
        <v>3651</v>
      </c>
      <c r="B3636" s="2">
        <v>46185.661111111112</v>
      </c>
      <c r="C3636" s="2">
        <v>46185.952777777777</v>
      </c>
      <c r="D3636" t="s">
        <v>6022</v>
      </c>
      <c r="E3636" t="s">
        <v>6030</v>
      </c>
      <c r="F3636" t="s">
        <v>6034</v>
      </c>
      <c r="G3636" t="s">
        <v>6090</v>
      </c>
      <c r="H3636" t="s">
        <v>6097</v>
      </c>
      <c r="I3636">
        <v>24</v>
      </c>
      <c r="J3636">
        <v>7</v>
      </c>
      <c r="K3636" t="s">
        <v>6099</v>
      </c>
      <c r="L3636" t="s">
        <v>6100</v>
      </c>
      <c r="M3636" t="s">
        <v>6099</v>
      </c>
      <c r="N3636">
        <v>5</v>
      </c>
      <c r="O3636" t="s">
        <v>6101</v>
      </c>
      <c r="P3636" t="s">
        <v>6112</v>
      </c>
      <c r="Q3636">
        <v>6</v>
      </c>
      <c r="R3636">
        <v>2026</v>
      </c>
      <c r="S3636" t="s">
        <v>6099</v>
      </c>
      <c r="T3636">
        <v>1</v>
      </c>
      <c r="U3636" t="s">
        <v>6018</v>
      </c>
      <c r="V3636">
        <v>1</v>
      </c>
    </row>
    <row r="3637" spans="1:22" x14ac:dyDescent="0.3">
      <c r="A3637" t="s">
        <v>3652</v>
      </c>
      <c r="B3637" s="2">
        <v>46185.72152777778</v>
      </c>
      <c r="C3637" s="2">
        <v>46185.900694444441</v>
      </c>
      <c r="D3637" t="s">
        <v>6025</v>
      </c>
      <c r="E3637" t="s">
        <v>6029</v>
      </c>
      <c r="F3637" t="s">
        <v>6034</v>
      </c>
      <c r="G3637" t="s">
        <v>6082</v>
      </c>
      <c r="H3637" t="s">
        <v>6097</v>
      </c>
      <c r="I3637">
        <v>24</v>
      </c>
      <c r="J3637">
        <v>4.3</v>
      </c>
      <c r="K3637" t="s">
        <v>6099</v>
      </c>
      <c r="L3637" t="s">
        <v>6100</v>
      </c>
      <c r="M3637" t="s">
        <v>6100</v>
      </c>
      <c r="N3637">
        <v>5</v>
      </c>
      <c r="O3637" t="s">
        <v>6101</v>
      </c>
      <c r="P3637" t="s">
        <v>6112</v>
      </c>
      <c r="Q3637">
        <v>6</v>
      </c>
      <c r="R3637">
        <v>2026</v>
      </c>
      <c r="S3637" t="s">
        <v>6099</v>
      </c>
      <c r="T3637">
        <v>1</v>
      </c>
      <c r="U3637" t="s">
        <v>6021</v>
      </c>
      <c r="V3637">
        <v>1</v>
      </c>
    </row>
    <row r="3638" spans="1:22" x14ac:dyDescent="0.3">
      <c r="A3638" t="s">
        <v>3653</v>
      </c>
      <c r="B3638" s="2">
        <v>46185.765277777777</v>
      </c>
      <c r="C3638" s="2">
        <v>46187.290277777778</v>
      </c>
      <c r="D3638" t="s">
        <v>6025</v>
      </c>
      <c r="E3638" t="s">
        <v>6031</v>
      </c>
      <c r="F3638" t="s">
        <v>6034</v>
      </c>
      <c r="G3638" t="s">
        <v>6058</v>
      </c>
      <c r="H3638" t="s">
        <v>6098</v>
      </c>
      <c r="I3638">
        <v>24</v>
      </c>
      <c r="J3638">
        <v>36.6</v>
      </c>
      <c r="K3638" t="s">
        <v>6100</v>
      </c>
      <c r="L3638" t="s">
        <v>6100</v>
      </c>
      <c r="M3638" t="s">
        <v>6100</v>
      </c>
      <c r="N3638">
        <v>1</v>
      </c>
      <c r="O3638" t="s">
        <v>6101</v>
      </c>
      <c r="P3638" t="s">
        <v>6112</v>
      </c>
      <c r="Q3638">
        <v>6</v>
      </c>
      <c r="R3638">
        <v>2026</v>
      </c>
      <c r="S3638" t="s">
        <v>6100</v>
      </c>
      <c r="T3638">
        <v>0</v>
      </c>
      <c r="U3638" t="s">
        <v>6021</v>
      </c>
      <c r="V3638">
        <v>0</v>
      </c>
    </row>
    <row r="3639" spans="1:22" x14ac:dyDescent="0.3">
      <c r="A3639" t="s">
        <v>3654</v>
      </c>
      <c r="B3639" s="2">
        <v>46185.832638888889</v>
      </c>
      <c r="C3639" s="2">
        <v>46186.307638888888</v>
      </c>
      <c r="D3639" t="s">
        <v>6025</v>
      </c>
      <c r="E3639" t="s">
        <v>6031</v>
      </c>
      <c r="F3639" t="s">
        <v>6034</v>
      </c>
      <c r="G3639" t="s">
        <v>6044</v>
      </c>
      <c r="H3639" t="s">
        <v>6097</v>
      </c>
      <c r="I3639">
        <v>24</v>
      </c>
      <c r="J3639">
        <v>11.4</v>
      </c>
      <c r="K3639" t="s">
        <v>6100</v>
      </c>
      <c r="L3639" t="s">
        <v>6100</v>
      </c>
      <c r="M3639" t="s">
        <v>6100</v>
      </c>
      <c r="N3639">
        <v>4</v>
      </c>
      <c r="O3639" t="s">
        <v>6101</v>
      </c>
      <c r="P3639" t="s">
        <v>6112</v>
      </c>
      <c r="Q3639">
        <v>6</v>
      </c>
      <c r="R3639">
        <v>2026</v>
      </c>
      <c r="S3639" t="s">
        <v>6099</v>
      </c>
      <c r="T3639">
        <v>1</v>
      </c>
      <c r="U3639" t="s">
        <v>6021</v>
      </c>
      <c r="V3639">
        <v>0</v>
      </c>
    </row>
    <row r="3640" spans="1:22" x14ac:dyDescent="0.3">
      <c r="A3640" t="s">
        <v>3655</v>
      </c>
      <c r="B3640" s="2">
        <v>46185.934027777781</v>
      </c>
      <c r="C3640" s="2">
        <v>46186.813194444447</v>
      </c>
      <c r="D3640" t="s">
        <v>6028</v>
      </c>
      <c r="E3640" t="s">
        <v>6031</v>
      </c>
      <c r="F3640" t="s">
        <v>6035</v>
      </c>
      <c r="G3640" t="s">
        <v>6081</v>
      </c>
      <c r="H3640" t="s">
        <v>6098</v>
      </c>
      <c r="I3640">
        <v>4</v>
      </c>
      <c r="J3640">
        <v>21.1</v>
      </c>
      <c r="K3640" t="s">
        <v>6099</v>
      </c>
      <c r="L3640" t="s">
        <v>6100</v>
      </c>
      <c r="M3640" t="s">
        <v>6099</v>
      </c>
      <c r="O3640" t="s">
        <v>6101</v>
      </c>
      <c r="P3640" t="s">
        <v>6112</v>
      </c>
      <c r="Q3640">
        <v>6</v>
      </c>
      <c r="R3640">
        <v>2026</v>
      </c>
      <c r="S3640" t="s">
        <v>6100</v>
      </c>
      <c r="T3640">
        <v>0</v>
      </c>
      <c r="U3640" t="s">
        <v>6018</v>
      </c>
      <c r="V3640">
        <v>1</v>
      </c>
    </row>
    <row r="3641" spans="1:22" x14ac:dyDescent="0.3">
      <c r="A3641" t="s">
        <v>3656</v>
      </c>
      <c r="B3641" s="2">
        <v>46186.029166666667</v>
      </c>
      <c r="C3641" s="2">
        <v>46186.445833333331</v>
      </c>
      <c r="D3641" t="s">
        <v>6023</v>
      </c>
      <c r="E3641" t="s">
        <v>6032</v>
      </c>
      <c r="F3641" t="s">
        <v>6034</v>
      </c>
      <c r="G3641" t="s">
        <v>6072</v>
      </c>
      <c r="H3641" t="s">
        <v>6097</v>
      </c>
      <c r="I3641">
        <v>24</v>
      </c>
      <c r="J3641">
        <v>10</v>
      </c>
      <c r="K3641" t="s">
        <v>6099</v>
      </c>
      <c r="L3641" t="s">
        <v>6100</v>
      </c>
      <c r="M3641" t="s">
        <v>6100</v>
      </c>
      <c r="N3641">
        <v>5</v>
      </c>
      <c r="O3641" t="s">
        <v>6101</v>
      </c>
      <c r="P3641" t="s">
        <v>6112</v>
      </c>
      <c r="Q3641">
        <v>6</v>
      </c>
      <c r="R3641">
        <v>2026</v>
      </c>
      <c r="S3641" t="s">
        <v>6099</v>
      </c>
      <c r="T3641">
        <v>1</v>
      </c>
      <c r="U3641" t="s">
        <v>6020</v>
      </c>
      <c r="V3641">
        <v>1</v>
      </c>
    </row>
    <row r="3642" spans="1:22" x14ac:dyDescent="0.3">
      <c r="A3642" t="s">
        <v>3657</v>
      </c>
      <c r="B3642" s="2">
        <v>46186.280555555553</v>
      </c>
      <c r="C3642" s="2">
        <v>46186.722222222219</v>
      </c>
      <c r="D3642" t="s">
        <v>6028</v>
      </c>
      <c r="E3642" t="s">
        <v>6030</v>
      </c>
      <c r="F3642" t="s">
        <v>6035</v>
      </c>
      <c r="G3642" t="s">
        <v>6081</v>
      </c>
      <c r="H3642" t="s">
        <v>6098</v>
      </c>
      <c r="I3642">
        <v>4</v>
      </c>
      <c r="J3642">
        <v>10.6</v>
      </c>
      <c r="K3642" t="s">
        <v>6100</v>
      </c>
      <c r="L3642" t="s">
        <v>6100</v>
      </c>
      <c r="M3642" t="s">
        <v>6100</v>
      </c>
      <c r="N3642">
        <v>4</v>
      </c>
      <c r="O3642" t="s">
        <v>6101</v>
      </c>
      <c r="P3642" t="s">
        <v>6112</v>
      </c>
      <c r="Q3642">
        <v>6</v>
      </c>
      <c r="R3642">
        <v>2026</v>
      </c>
      <c r="S3642" t="s">
        <v>6100</v>
      </c>
      <c r="T3642">
        <v>0</v>
      </c>
      <c r="U3642" t="s">
        <v>6020</v>
      </c>
      <c r="V3642">
        <v>0</v>
      </c>
    </row>
    <row r="3643" spans="1:22" x14ac:dyDescent="0.3">
      <c r="A3643" t="s">
        <v>3658</v>
      </c>
      <c r="B3643" s="2">
        <v>46186.366666666669</v>
      </c>
      <c r="C3643" s="2">
        <v>46186.866666666669</v>
      </c>
      <c r="D3643" t="s">
        <v>6027</v>
      </c>
      <c r="E3643" t="s">
        <v>6029</v>
      </c>
      <c r="F3643" t="s">
        <v>6034</v>
      </c>
      <c r="G3643" t="s">
        <v>6065</v>
      </c>
      <c r="H3643" t="s">
        <v>6097</v>
      </c>
      <c r="I3643">
        <v>24</v>
      </c>
      <c r="J3643">
        <v>12</v>
      </c>
      <c r="K3643" t="s">
        <v>6099</v>
      </c>
      <c r="L3643" t="s">
        <v>6100</v>
      </c>
      <c r="M3643" t="s">
        <v>6100</v>
      </c>
      <c r="N3643">
        <v>5</v>
      </c>
      <c r="O3643" t="s">
        <v>6101</v>
      </c>
      <c r="P3643" t="s">
        <v>6112</v>
      </c>
      <c r="Q3643">
        <v>6</v>
      </c>
      <c r="R3643">
        <v>2026</v>
      </c>
      <c r="S3643" t="s">
        <v>6099</v>
      </c>
      <c r="T3643">
        <v>1</v>
      </c>
      <c r="U3643" t="s">
        <v>6019</v>
      </c>
      <c r="V3643">
        <v>1</v>
      </c>
    </row>
    <row r="3644" spans="1:22" x14ac:dyDescent="0.3">
      <c r="A3644" t="s">
        <v>3659</v>
      </c>
      <c r="B3644" s="2">
        <v>46186.37222222222</v>
      </c>
      <c r="C3644" s="2">
        <v>46188.188888888886</v>
      </c>
      <c r="D3644" t="s">
        <v>6025</v>
      </c>
      <c r="E3644" t="s">
        <v>6030</v>
      </c>
      <c r="F3644" t="s">
        <v>6034</v>
      </c>
      <c r="G3644" t="s">
        <v>6055</v>
      </c>
      <c r="H3644" t="s">
        <v>6096</v>
      </c>
      <c r="I3644">
        <v>24</v>
      </c>
      <c r="J3644">
        <v>43.6</v>
      </c>
      <c r="K3644" t="s">
        <v>6100</v>
      </c>
      <c r="L3644" t="s">
        <v>6099</v>
      </c>
      <c r="M3644" t="s">
        <v>6100</v>
      </c>
      <c r="N3644">
        <v>1</v>
      </c>
      <c r="O3644" t="s">
        <v>6101</v>
      </c>
      <c r="P3644" t="s">
        <v>6112</v>
      </c>
      <c r="Q3644">
        <v>6</v>
      </c>
      <c r="R3644">
        <v>2026</v>
      </c>
      <c r="S3644" t="s">
        <v>6100</v>
      </c>
      <c r="T3644">
        <v>0</v>
      </c>
      <c r="U3644" t="s">
        <v>6019</v>
      </c>
      <c r="V3644">
        <v>0</v>
      </c>
    </row>
    <row r="3645" spans="1:22" x14ac:dyDescent="0.3">
      <c r="A3645" t="s">
        <v>3660</v>
      </c>
      <c r="B3645" s="2">
        <v>46186.402777777781</v>
      </c>
      <c r="C3645" s="2">
        <v>46187.561111111114</v>
      </c>
      <c r="D3645" t="s">
        <v>6027</v>
      </c>
      <c r="E3645" t="s">
        <v>6032</v>
      </c>
      <c r="F3645" t="s">
        <v>6034</v>
      </c>
      <c r="G3645" t="s">
        <v>6051</v>
      </c>
      <c r="H3645" t="s">
        <v>6097</v>
      </c>
      <c r="I3645">
        <v>24</v>
      </c>
      <c r="J3645">
        <v>27.8</v>
      </c>
      <c r="K3645" t="s">
        <v>6099</v>
      </c>
      <c r="L3645" t="s">
        <v>6100</v>
      </c>
      <c r="M3645" t="s">
        <v>6100</v>
      </c>
      <c r="N3645">
        <v>3</v>
      </c>
      <c r="O3645" t="s">
        <v>6101</v>
      </c>
      <c r="P3645" t="s">
        <v>6112</v>
      </c>
      <c r="Q3645">
        <v>6</v>
      </c>
      <c r="R3645">
        <v>2026</v>
      </c>
      <c r="S3645" t="s">
        <v>6100</v>
      </c>
      <c r="T3645">
        <v>0</v>
      </c>
      <c r="U3645" t="s">
        <v>6020</v>
      </c>
      <c r="V3645">
        <v>1</v>
      </c>
    </row>
    <row r="3646" spans="1:22" x14ac:dyDescent="0.3">
      <c r="A3646" t="s">
        <v>3661</v>
      </c>
      <c r="B3646" s="2">
        <v>46186.462500000001</v>
      </c>
      <c r="C3646" s="2">
        <v>46187.054166666669</v>
      </c>
      <c r="D3646" t="s">
        <v>6027</v>
      </c>
      <c r="E3646" t="s">
        <v>6029</v>
      </c>
      <c r="F3646" t="s">
        <v>6034</v>
      </c>
      <c r="G3646" t="s">
        <v>6050</v>
      </c>
      <c r="H3646" t="s">
        <v>6098</v>
      </c>
      <c r="I3646">
        <v>24</v>
      </c>
      <c r="J3646">
        <v>14.2</v>
      </c>
      <c r="K3646" t="s">
        <v>6100</v>
      </c>
      <c r="L3646" t="s">
        <v>6100</v>
      </c>
      <c r="M3646" t="s">
        <v>6100</v>
      </c>
      <c r="O3646" t="s">
        <v>6101</v>
      </c>
      <c r="P3646" t="s">
        <v>6112</v>
      </c>
      <c r="Q3646">
        <v>6</v>
      </c>
      <c r="R3646">
        <v>2026</v>
      </c>
      <c r="S3646" t="s">
        <v>6099</v>
      </c>
      <c r="T3646">
        <v>1</v>
      </c>
      <c r="U3646" t="s">
        <v>6020</v>
      </c>
      <c r="V3646">
        <v>0</v>
      </c>
    </row>
    <row r="3647" spans="1:22" x14ac:dyDescent="0.3">
      <c r="A3647" t="s">
        <v>3662</v>
      </c>
      <c r="B3647" s="2">
        <v>46186.486111111109</v>
      </c>
      <c r="C3647" s="2">
        <v>46187.931944444441</v>
      </c>
      <c r="D3647" t="s">
        <v>6024</v>
      </c>
      <c r="E3647" t="s">
        <v>6032</v>
      </c>
      <c r="F3647" t="s">
        <v>6033</v>
      </c>
      <c r="G3647" t="s">
        <v>6089</v>
      </c>
      <c r="H3647" t="s">
        <v>6098</v>
      </c>
      <c r="I3647">
        <v>72</v>
      </c>
      <c r="J3647">
        <v>34.700000000000003</v>
      </c>
      <c r="K3647" t="s">
        <v>6099</v>
      </c>
      <c r="L3647" t="s">
        <v>6100</v>
      </c>
      <c r="M3647" t="s">
        <v>6100</v>
      </c>
      <c r="O3647" t="s">
        <v>6101</v>
      </c>
      <c r="P3647" t="s">
        <v>6112</v>
      </c>
      <c r="Q3647">
        <v>6</v>
      </c>
      <c r="R3647">
        <v>2026</v>
      </c>
      <c r="S3647" t="s">
        <v>6099</v>
      </c>
      <c r="T3647">
        <v>1</v>
      </c>
      <c r="U3647" t="s">
        <v>6021</v>
      </c>
      <c r="V3647">
        <v>1</v>
      </c>
    </row>
    <row r="3648" spans="1:22" x14ac:dyDescent="0.3">
      <c r="A3648" t="s">
        <v>3663</v>
      </c>
      <c r="B3648" s="2">
        <v>46186.495138888888</v>
      </c>
      <c r="C3648" s="2">
        <v>46186.757638888892</v>
      </c>
      <c r="D3648" t="s">
        <v>6024</v>
      </c>
      <c r="E3648" t="s">
        <v>6030</v>
      </c>
      <c r="F3648" t="s">
        <v>6035</v>
      </c>
      <c r="G3648" t="s">
        <v>6076</v>
      </c>
      <c r="H3648" t="s">
        <v>6097</v>
      </c>
      <c r="I3648">
        <v>4</v>
      </c>
      <c r="J3648">
        <v>6.3</v>
      </c>
      <c r="K3648" t="s">
        <v>6100</v>
      </c>
      <c r="L3648" t="s">
        <v>6100</v>
      </c>
      <c r="M3648" t="s">
        <v>6100</v>
      </c>
      <c r="N3648">
        <v>5</v>
      </c>
      <c r="O3648" t="s">
        <v>6101</v>
      </c>
      <c r="P3648" t="s">
        <v>6112</v>
      </c>
      <c r="Q3648">
        <v>6</v>
      </c>
      <c r="R3648">
        <v>2026</v>
      </c>
      <c r="S3648" t="s">
        <v>6100</v>
      </c>
      <c r="T3648">
        <v>0</v>
      </c>
      <c r="U3648" t="s">
        <v>6018</v>
      </c>
      <c r="V3648">
        <v>0</v>
      </c>
    </row>
    <row r="3649" spans="1:22" x14ac:dyDescent="0.3">
      <c r="A3649" t="s">
        <v>3664</v>
      </c>
      <c r="B3649" s="2">
        <v>46186.532638888886</v>
      </c>
      <c r="C3649" s="2">
        <v>46187.103472222225</v>
      </c>
      <c r="D3649" t="s">
        <v>6024</v>
      </c>
      <c r="E3649" t="s">
        <v>6030</v>
      </c>
      <c r="F3649" t="s">
        <v>6035</v>
      </c>
      <c r="G3649" t="s">
        <v>6055</v>
      </c>
      <c r="H3649" t="s">
        <v>6096</v>
      </c>
      <c r="I3649">
        <v>4</v>
      </c>
      <c r="J3649">
        <v>13.7</v>
      </c>
      <c r="K3649" t="s">
        <v>6099</v>
      </c>
      <c r="L3649" t="s">
        <v>6100</v>
      </c>
      <c r="M3649" t="s">
        <v>6100</v>
      </c>
      <c r="N3649">
        <v>4</v>
      </c>
      <c r="O3649" t="s">
        <v>6101</v>
      </c>
      <c r="P3649" t="s">
        <v>6112</v>
      </c>
      <c r="Q3649">
        <v>6</v>
      </c>
      <c r="R3649">
        <v>2026</v>
      </c>
      <c r="S3649" t="s">
        <v>6100</v>
      </c>
      <c r="T3649">
        <v>0</v>
      </c>
      <c r="U3649" t="s">
        <v>6019</v>
      </c>
      <c r="V3649">
        <v>1</v>
      </c>
    </row>
    <row r="3650" spans="1:22" x14ac:dyDescent="0.3">
      <c r="A3650" t="s">
        <v>3665</v>
      </c>
      <c r="B3650" s="2">
        <v>46186.538194444445</v>
      </c>
      <c r="C3650" s="2">
        <v>46186.904861111114</v>
      </c>
      <c r="D3650" t="s">
        <v>6025</v>
      </c>
      <c r="E3650" t="s">
        <v>6030</v>
      </c>
      <c r="F3650" t="s">
        <v>6034</v>
      </c>
      <c r="G3650" t="s">
        <v>6093</v>
      </c>
      <c r="H3650" t="s">
        <v>6097</v>
      </c>
      <c r="I3650">
        <v>24</v>
      </c>
      <c r="J3650">
        <v>8.8000000000000007</v>
      </c>
      <c r="K3650" t="s">
        <v>6099</v>
      </c>
      <c r="L3650" t="s">
        <v>6100</v>
      </c>
      <c r="M3650" t="s">
        <v>6100</v>
      </c>
      <c r="O3650" t="s">
        <v>6101</v>
      </c>
      <c r="P3650" t="s">
        <v>6112</v>
      </c>
      <c r="Q3650">
        <v>6</v>
      </c>
      <c r="R3650">
        <v>2026</v>
      </c>
      <c r="S3650" t="s">
        <v>6099</v>
      </c>
      <c r="T3650">
        <v>1</v>
      </c>
      <c r="U3650" t="s">
        <v>6018</v>
      </c>
      <c r="V3650">
        <v>1</v>
      </c>
    </row>
    <row r="3651" spans="1:22" x14ac:dyDescent="0.3">
      <c r="A3651" t="s">
        <v>3666</v>
      </c>
      <c r="B3651" s="2">
        <v>46186.603472222225</v>
      </c>
      <c r="C3651" s="2">
        <v>46187.703472222223</v>
      </c>
      <c r="D3651" t="s">
        <v>6024</v>
      </c>
      <c r="E3651" t="s">
        <v>6030</v>
      </c>
      <c r="F3651" t="s">
        <v>6035</v>
      </c>
      <c r="G3651" t="s">
        <v>6081</v>
      </c>
      <c r="H3651" t="s">
        <v>6098</v>
      </c>
      <c r="I3651">
        <v>4</v>
      </c>
      <c r="J3651">
        <v>26.4</v>
      </c>
      <c r="K3651" t="s">
        <v>6099</v>
      </c>
      <c r="L3651" t="s">
        <v>6100</v>
      </c>
      <c r="M3651" t="s">
        <v>6100</v>
      </c>
      <c r="N3651">
        <v>4</v>
      </c>
      <c r="O3651" t="s">
        <v>6101</v>
      </c>
      <c r="P3651" t="s">
        <v>6112</v>
      </c>
      <c r="Q3651">
        <v>6</v>
      </c>
      <c r="R3651">
        <v>2026</v>
      </c>
      <c r="S3651" t="s">
        <v>6100</v>
      </c>
      <c r="T3651">
        <v>0</v>
      </c>
      <c r="U3651" t="s">
        <v>6019</v>
      </c>
      <c r="V3651">
        <v>1</v>
      </c>
    </row>
    <row r="3652" spans="1:22" x14ac:dyDescent="0.3">
      <c r="A3652" t="s">
        <v>3667</v>
      </c>
      <c r="B3652" s="2">
        <v>46186.624305555553</v>
      </c>
      <c r="C3652" s="2">
        <v>46186.940972222219</v>
      </c>
      <c r="D3652" t="s">
        <v>6023</v>
      </c>
      <c r="E3652" t="s">
        <v>6030</v>
      </c>
      <c r="F3652" t="s">
        <v>6033</v>
      </c>
      <c r="G3652" t="s">
        <v>6062</v>
      </c>
      <c r="H3652" t="s">
        <v>6096</v>
      </c>
      <c r="I3652">
        <v>72</v>
      </c>
      <c r="J3652">
        <v>7.6</v>
      </c>
      <c r="K3652" t="s">
        <v>6099</v>
      </c>
      <c r="L3652" t="s">
        <v>6100</v>
      </c>
      <c r="M3652" t="s">
        <v>6100</v>
      </c>
      <c r="O3652" t="s">
        <v>6101</v>
      </c>
      <c r="P3652" t="s">
        <v>6112</v>
      </c>
      <c r="Q3652">
        <v>6</v>
      </c>
      <c r="R3652">
        <v>2026</v>
      </c>
      <c r="S3652" t="s">
        <v>6099</v>
      </c>
      <c r="T3652">
        <v>1</v>
      </c>
      <c r="U3652" t="s">
        <v>6019</v>
      </c>
      <c r="V3652">
        <v>1</v>
      </c>
    </row>
    <row r="3653" spans="1:22" x14ac:dyDescent="0.3">
      <c r="A3653" t="s">
        <v>3668</v>
      </c>
      <c r="B3653" s="2">
        <v>46186.625694444447</v>
      </c>
      <c r="C3653" s="2">
        <v>46188.067361111112</v>
      </c>
      <c r="D3653" t="s">
        <v>6022</v>
      </c>
      <c r="E3653" t="s">
        <v>6032</v>
      </c>
      <c r="F3653" t="s">
        <v>6034</v>
      </c>
      <c r="G3653" t="s">
        <v>6081</v>
      </c>
      <c r="H3653" t="s">
        <v>6098</v>
      </c>
      <c r="I3653">
        <v>24</v>
      </c>
      <c r="J3653">
        <v>34.6</v>
      </c>
      <c r="K3653" t="s">
        <v>6100</v>
      </c>
      <c r="L3653" t="s">
        <v>6100</v>
      </c>
      <c r="M3653" t="s">
        <v>6100</v>
      </c>
      <c r="N3653">
        <v>3</v>
      </c>
      <c r="O3653" t="s">
        <v>6101</v>
      </c>
      <c r="P3653" t="s">
        <v>6112</v>
      </c>
      <c r="Q3653">
        <v>6</v>
      </c>
      <c r="R3653">
        <v>2026</v>
      </c>
      <c r="S3653" t="s">
        <v>6100</v>
      </c>
      <c r="T3653">
        <v>0</v>
      </c>
      <c r="U3653" t="s">
        <v>6019</v>
      </c>
      <c r="V3653">
        <v>0</v>
      </c>
    </row>
    <row r="3654" spans="1:22" x14ac:dyDescent="0.3">
      <c r="A3654" t="s">
        <v>3669</v>
      </c>
      <c r="B3654" s="2">
        <v>46186.701388888891</v>
      </c>
      <c r="C3654" s="2">
        <v>46186.834722222222</v>
      </c>
      <c r="D3654" t="s">
        <v>6023</v>
      </c>
      <c r="E3654" t="s">
        <v>6030</v>
      </c>
      <c r="F3654" t="s">
        <v>6033</v>
      </c>
      <c r="G3654" t="s">
        <v>6063</v>
      </c>
      <c r="H3654" t="s">
        <v>6097</v>
      </c>
      <c r="I3654">
        <v>72</v>
      </c>
      <c r="J3654">
        <v>3.2</v>
      </c>
      <c r="K3654" t="s">
        <v>6100</v>
      </c>
      <c r="L3654" t="s">
        <v>6099</v>
      </c>
      <c r="M3654" t="s">
        <v>6100</v>
      </c>
      <c r="N3654">
        <v>5</v>
      </c>
      <c r="O3654" t="s">
        <v>6101</v>
      </c>
      <c r="P3654" t="s">
        <v>6112</v>
      </c>
      <c r="Q3654">
        <v>6</v>
      </c>
      <c r="R3654">
        <v>2026</v>
      </c>
      <c r="S3654" t="s">
        <v>6099</v>
      </c>
      <c r="T3654">
        <v>1</v>
      </c>
      <c r="U3654" t="s">
        <v>6021</v>
      </c>
      <c r="V3654">
        <v>0</v>
      </c>
    </row>
    <row r="3655" spans="1:22" x14ac:dyDescent="0.3">
      <c r="A3655" t="s">
        <v>3670</v>
      </c>
      <c r="B3655" s="2">
        <v>46186.73541666667</v>
      </c>
      <c r="C3655" s="2">
        <v>46187.206250000003</v>
      </c>
      <c r="D3655" t="s">
        <v>6025</v>
      </c>
      <c r="E3655" t="s">
        <v>6030</v>
      </c>
      <c r="F3655" t="s">
        <v>6034</v>
      </c>
      <c r="G3655" t="s">
        <v>6070</v>
      </c>
      <c r="H3655" t="s">
        <v>6097</v>
      </c>
      <c r="I3655">
        <v>24</v>
      </c>
      <c r="J3655">
        <v>11.3</v>
      </c>
      <c r="K3655" t="s">
        <v>6099</v>
      </c>
      <c r="L3655" t="s">
        <v>6100</v>
      </c>
      <c r="M3655" t="s">
        <v>6100</v>
      </c>
      <c r="N3655">
        <v>4</v>
      </c>
      <c r="O3655" t="s">
        <v>6101</v>
      </c>
      <c r="P3655" t="s">
        <v>6112</v>
      </c>
      <c r="Q3655">
        <v>6</v>
      </c>
      <c r="R3655">
        <v>2026</v>
      </c>
      <c r="S3655" t="s">
        <v>6099</v>
      </c>
      <c r="T3655">
        <v>1</v>
      </c>
      <c r="U3655" t="s">
        <v>6019</v>
      </c>
      <c r="V3655">
        <v>1</v>
      </c>
    </row>
    <row r="3656" spans="1:22" x14ac:dyDescent="0.3">
      <c r="A3656" t="s">
        <v>3671</v>
      </c>
      <c r="B3656" s="2">
        <v>46186.747916666667</v>
      </c>
      <c r="C3656" s="2">
        <v>46193.15625</v>
      </c>
      <c r="D3656" t="s">
        <v>6026</v>
      </c>
      <c r="E3656" t="s">
        <v>6031</v>
      </c>
      <c r="F3656" t="s">
        <v>6034</v>
      </c>
      <c r="G3656" t="s">
        <v>6049</v>
      </c>
      <c r="H3656" t="s">
        <v>6097</v>
      </c>
      <c r="I3656">
        <v>24</v>
      </c>
      <c r="J3656">
        <v>153.80000000000001</v>
      </c>
      <c r="K3656" t="s">
        <v>6100</v>
      </c>
      <c r="L3656" t="s">
        <v>6099</v>
      </c>
      <c r="M3656" t="s">
        <v>6100</v>
      </c>
      <c r="O3656" t="s">
        <v>6101</v>
      </c>
      <c r="P3656" t="s">
        <v>6112</v>
      </c>
      <c r="Q3656">
        <v>6</v>
      </c>
      <c r="R3656">
        <v>2026</v>
      </c>
      <c r="S3656" t="s">
        <v>6100</v>
      </c>
      <c r="T3656">
        <v>0</v>
      </c>
      <c r="U3656" t="s">
        <v>6021</v>
      </c>
      <c r="V3656">
        <v>0</v>
      </c>
    </row>
    <row r="3657" spans="1:22" x14ac:dyDescent="0.3">
      <c r="A3657" t="s">
        <v>3672</v>
      </c>
      <c r="B3657" s="2">
        <v>46186.761805555558</v>
      </c>
      <c r="C3657" s="2">
        <v>46187.599305555559</v>
      </c>
      <c r="D3657" t="s">
        <v>6023</v>
      </c>
      <c r="E3657" t="s">
        <v>6029</v>
      </c>
      <c r="F3657" t="s">
        <v>6034</v>
      </c>
      <c r="G3657" t="s">
        <v>6048</v>
      </c>
      <c r="H3657" t="s">
        <v>6096</v>
      </c>
      <c r="I3657">
        <v>24</v>
      </c>
      <c r="J3657">
        <v>20.100000000000001</v>
      </c>
      <c r="K3657" t="s">
        <v>6100</v>
      </c>
      <c r="L3657" t="s">
        <v>6099</v>
      </c>
      <c r="M3657" t="s">
        <v>6100</v>
      </c>
      <c r="N3657">
        <v>3</v>
      </c>
      <c r="O3657" t="s">
        <v>6101</v>
      </c>
      <c r="P3657" t="s">
        <v>6112</v>
      </c>
      <c r="Q3657">
        <v>6</v>
      </c>
      <c r="R3657">
        <v>2026</v>
      </c>
      <c r="S3657" t="s">
        <v>6099</v>
      </c>
      <c r="T3657">
        <v>1</v>
      </c>
      <c r="U3657" t="s">
        <v>6018</v>
      </c>
      <c r="V3657">
        <v>0</v>
      </c>
    </row>
    <row r="3658" spans="1:22" x14ac:dyDescent="0.3">
      <c r="A3658" t="s">
        <v>3673</v>
      </c>
      <c r="B3658" s="2">
        <v>46186.850694444445</v>
      </c>
      <c r="C3658" s="2">
        <v>46187.592361111114</v>
      </c>
      <c r="D3658" t="s">
        <v>6027</v>
      </c>
      <c r="E3658" t="s">
        <v>6029</v>
      </c>
      <c r="F3658" t="s">
        <v>6033</v>
      </c>
      <c r="G3658" t="s">
        <v>6037</v>
      </c>
      <c r="H3658" t="s">
        <v>6096</v>
      </c>
      <c r="I3658">
        <v>72</v>
      </c>
      <c r="J3658">
        <v>17.8</v>
      </c>
      <c r="K3658" t="s">
        <v>6099</v>
      </c>
      <c r="L3658" t="s">
        <v>6100</v>
      </c>
      <c r="M3658" t="s">
        <v>6100</v>
      </c>
      <c r="O3658" t="s">
        <v>6101</v>
      </c>
      <c r="P3658" t="s">
        <v>6112</v>
      </c>
      <c r="Q3658">
        <v>6</v>
      </c>
      <c r="R3658">
        <v>2026</v>
      </c>
      <c r="S3658" t="s">
        <v>6099</v>
      </c>
      <c r="T3658">
        <v>1</v>
      </c>
      <c r="U3658" t="s">
        <v>6018</v>
      </c>
      <c r="V3658">
        <v>1</v>
      </c>
    </row>
    <row r="3659" spans="1:22" x14ac:dyDescent="0.3">
      <c r="A3659" t="s">
        <v>3674</v>
      </c>
      <c r="B3659" s="2">
        <v>46186.994444444441</v>
      </c>
      <c r="C3659" s="2">
        <v>46192.831944444442</v>
      </c>
      <c r="D3659" t="s">
        <v>6026</v>
      </c>
      <c r="E3659" t="s">
        <v>6032</v>
      </c>
      <c r="F3659" t="s">
        <v>6034</v>
      </c>
      <c r="G3659" t="s">
        <v>6088</v>
      </c>
      <c r="H3659" t="s">
        <v>6097</v>
      </c>
      <c r="I3659">
        <v>24</v>
      </c>
      <c r="J3659">
        <v>140.1</v>
      </c>
      <c r="K3659" t="s">
        <v>6100</v>
      </c>
      <c r="L3659" t="s">
        <v>6100</v>
      </c>
      <c r="M3659" t="s">
        <v>6100</v>
      </c>
      <c r="N3659">
        <v>2</v>
      </c>
      <c r="O3659" t="s">
        <v>6101</v>
      </c>
      <c r="P3659" t="s">
        <v>6112</v>
      </c>
      <c r="Q3659">
        <v>6</v>
      </c>
      <c r="R3659">
        <v>2026</v>
      </c>
      <c r="S3659" t="s">
        <v>6100</v>
      </c>
      <c r="T3659">
        <v>0</v>
      </c>
      <c r="U3659" t="s">
        <v>6018</v>
      </c>
      <c r="V3659">
        <v>0</v>
      </c>
    </row>
    <row r="3660" spans="1:22" x14ac:dyDescent="0.3">
      <c r="A3660" t="s">
        <v>3675</v>
      </c>
      <c r="B3660" s="2">
        <v>46186.994444444441</v>
      </c>
      <c r="C3660" s="2">
        <v>46187.290277777778</v>
      </c>
      <c r="D3660" t="s">
        <v>6023</v>
      </c>
      <c r="E3660" t="s">
        <v>6029</v>
      </c>
      <c r="F3660" t="s">
        <v>6033</v>
      </c>
      <c r="G3660" t="s">
        <v>6058</v>
      </c>
      <c r="H3660" t="s">
        <v>6098</v>
      </c>
      <c r="I3660">
        <v>72</v>
      </c>
      <c r="J3660">
        <v>7.1</v>
      </c>
      <c r="K3660" t="s">
        <v>6099</v>
      </c>
      <c r="L3660" t="s">
        <v>6100</v>
      </c>
      <c r="M3660" t="s">
        <v>6100</v>
      </c>
      <c r="N3660">
        <v>4</v>
      </c>
      <c r="O3660" t="s">
        <v>6101</v>
      </c>
      <c r="P3660" t="s">
        <v>6112</v>
      </c>
      <c r="Q3660">
        <v>6</v>
      </c>
      <c r="R3660">
        <v>2026</v>
      </c>
      <c r="S3660" t="s">
        <v>6099</v>
      </c>
      <c r="T3660">
        <v>1</v>
      </c>
      <c r="U3660" t="s">
        <v>6018</v>
      </c>
      <c r="V3660">
        <v>1</v>
      </c>
    </row>
    <row r="3661" spans="1:22" x14ac:dyDescent="0.3">
      <c r="A3661" t="s">
        <v>3676</v>
      </c>
      <c r="B3661" s="2">
        <v>46187.154166666667</v>
      </c>
      <c r="C3661" s="2">
        <v>46187.39166666667</v>
      </c>
      <c r="D3661" t="s">
        <v>6027</v>
      </c>
      <c r="E3661" t="s">
        <v>6030</v>
      </c>
      <c r="F3661" t="s">
        <v>6034</v>
      </c>
      <c r="G3661" t="s">
        <v>6061</v>
      </c>
      <c r="H3661" t="s">
        <v>6096</v>
      </c>
      <c r="I3661">
        <v>24</v>
      </c>
      <c r="J3661">
        <v>5.7</v>
      </c>
      <c r="K3661" t="s">
        <v>6100</v>
      </c>
      <c r="L3661" t="s">
        <v>6099</v>
      </c>
      <c r="M3661" t="s">
        <v>6100</v>
      </c>
      <c r="O3661" t="s">
        <v>6101</v>
      </c>
      <c r="P3661" t="s">
        <v>6112</v>
      </c>
      <c r="Q3661">
        <v>6</v>
      </c>
      <c r="R3661">
        <v>2026</v>
      </c>
      <c r="S3661" t="s">
        <v>6099</v>
      </c>
      <c r="T3661">
        <v>1</v>
      </c>
      <c r="U3661" t="s">
        <v>6018</v>
      </c>
      <c r="V3661">
        <v>0</v>
      </c>
    </row>
    <row r="3662" spans="1:22" x14ac:dyDescent="0.3">
      <c r="A3662" t="s">
        <v>3677</v>
      </c>
      <c r="B3662" s="2">
        <v>46187.254166666666</v>
      </c>
      <c r="C3662" s="2">
        <v>46188.23333333333</v>
      </c>
      <c r="D3662" t="s">
        <v>6028</v>
      </c>
      <c r="E3662" t="s">
        <v>6032</v>
      </c>
      <c r="F3662" t="s">
        <v>6035</v>
      </c>
      <c r="G3662" t="s">
        <v>6046</v>
      </c>
      <c r="H3662" t="s">
        <v>6098</v>
      </c>
      <c r="I3662">
        <v>4</v>
      </c>
      <c r="J3662">
        <v>23.5</v>
      </c>
      <c r="K3662" t="s">
        <v>6100</v>
      </c>
      <c r="L3662" t="s">
        <v>6100</v>
      </c>
      <c r="M3662" t="s">
        <v>6100</v>
      </c>
      <c r="N3662">
        <v>2</v>
      </c>
      <c r="O3662" t="s">
        <v>6101</v>
      </c>
      <c r="P3662" t="s">
        <v>6112</v>
      </c>
      <c r="Q3662">
        <v>6</v>
      </c>
      <c r="R3662">
        <v>2026</v>
      </c>
      <c r="S3662" t="s">
        <v>6100</v>
      </c>
      <c r="T3662">
        <v>0</v>
      </c>
      <c r="U3662" t="s">
        <v>6020</v>
      </c>
      <c r="V3662">
        <v>0</v>
      </c>
    </row>
    <row r="3663" spans="1:22" x14ac:dyDescent="0.3">
      <c r="A3663" t="s">
        <v>3678</v>
      </c>
      <c r="B3663" s="2">
        <v>46187.293749999997</v>
      </c>
      <c r="C3663" s="2">
        <v>46187.585416666669</v>
      </c>
      <c r="D3663" t="s">
        <v>6024</v>
      </c>
      <c r="E3663" t="s">
        <v>6029</v>
      </c>
      <c r="F3663" t="s">
        <v>6034</v>
      </c>
      <c r="G3663" t="s">
        <v>6039</v>
      </c>
      <c r="H3663" t="s">
        <v>6097</v>
      </c>
      <c r="I3663">
        <v>24</v>
      </c>
      <c r="J3663">
        <v>7</v>
      </c>
      <c r="K3663" t="s">
        <v>6100</v>
      </c>
      <c r="L3663" t="s">
        <v>6100</v>
      </c>
      <c r="M3663" t="s">
        <v>6100</v>
      </c>
      <c r="O3663" t="s">
        <v>6101</v>
      </c>
      <c r="P3663" t="s">
        <v>6112</v>
      </c>
      <c r="Q3663">
        <v>6</v>
      </c>
      <c r="R3663">
        <v>2026</v>
      </c>
      <c r="S3663" t="s">
        <v>6099</v>
      </c>
      <c r="T3663">
        <v>1</v>
      </c>
      <c r="U3663" t="s">
        <v>6019</v>
      </c>
      <c r="V3663">
        <v>0</v>
      </c>
    </row>
    <row r="3664" spans="1:22" x14ac:dyDescent="0.3">
      <c r="A3664" t="s">
        <v>3679</v>
      </c>
      <c r="B3664" s="2">
        <v>46187.307638888888</v>
      </c>
      <c r="C3664" s="2">
        <v>46187.557638888888</v>
      </c>
      <c r="D3664" t="s">
        <v>6023</v>
      </c>
      <c r="E3664" t="s">
        <v>6030</v>
      </c>
      <c r="F3664" t="s">
        <v>6034</v>
      </c>
      <c r="G3664" t="s">
        <v>6095</v>
      </c>
      <c r="H3664" t="s">
        <v>6098</v>
      </c>
      <c r="I3664">
        <v>24</v>
      </c>
      <c r="J3664">
        <v>6</v>
      </c>
      <c r="K3664" t="s">
        <v>6099</v>
      </c>
      <c r="L3664" t="s">
        <v>6100</v>
      </c>
      <c r="M3664" t="s">
        <v>6100</v>
      </c>
      <c r="N3664">
        <v>4</v>
      </c>
      <c r="O3664" t="s">
        <v>6101</v>
      </c>
      <c r="P3664" t="s">
        <v>6112</v>
      </c>
      <c r="Q3664">
        <v>6</v>
      </c>
      <c r="R3664">
        <v>2026</v>
      </c>
      <c r="S3664" t="s">
        <v>6099</v>
      </c>
      <c r="T3664">
        <v>1</v>
      </c>
      <c r="U3664" t="s">
        <v>6018</v>
      </c>
      <c r="V3664">
        <v>1</v>
      </c>
    </row>
    <row r="3665" spans="1:22" x14ac:dyDescent="0.3">
      <c r="A3665" t="s">
        <v>3680</v>
      </c>
      <c r="B3665" s="2">
        <v>46187.361805555556</v>
      </c>
      <c r="C3665" s="2">
        <v>46187.536805555559</v>
      </c>
      <c r="D3665" t="s">
        <v>6023</v>
      </c>
      <c r="E3665" t="s">
        <v>6030</v>
      </c>
      <c r="F3665" t="s">
        <v>6034</v>
      </c>
      <c r="G3665" t="s">
        <v>6055</v>
      </c>
      <c r="H3665" t="s">
        <v>6096</v>
      </c>
      <c r="I3665">
        <v>24</v>
      </c>
      <c r="J3665">
        <v>4.2</v>
      </c>
      <c r="K3665" t="s">
        <v>6099</v>
      </c>
      <c r="L3665" t="s">
        <v>6100</v>
      </c>
      <c r="M3665" t="s">
        <v>6100</v>
      </c>
      <c r="N3665">
        <v>4</v>
      </c>
      <c r="O3665" t="s">
        <v>6101</v>
      </c>
      <c r="P3665" t="s">
        <v>6112</v>
      </c>
      <c r="Q3665">
        <v>6</v>
      </c>
      <c r="R3665">
        <v>2026</v>
      </c>
      <c r="S3665" t="s">
        <v>6099</v>
      </c>
      <c r="T3665">
        <v>1</v>
      </c>
      <c r="U3665" t="s">
        <v>6017</v>
      </c>
      <c r="V3665">
        <v>1</v>
      </c>
    </row>
    <row r="3666" spans="1:22" x14ac:dyDescent="0.3">
      <c r="A3666" t="s">
        <v>3681</v>
      </c>
      <c r="B3666" s="2">
        <v>46187.363888888889</v>
      </c>
      <c r="C3666" s="2">
        <v>46189.530555555553</v>
      </c>
      <c r="D3666" t="s">
        <v>6026</v>
      </c>
      <c r="E3666" t="s">
        <v>6031</v>
      </c>
      <c r="F3666" t="s">
        <v>6035</v>
      </c>
      <c r="G3666" t="s">
        <v>6050</v>
      </c>
      <c r="H3666" t="s">
        <v>6098</v>
      </c>
      <c r="I3666">
        <v>4</v>
      </c>
      <c r="J3666">
        <v>52</v>
      </c>
      <c r="K3666" t="s">
        <v>6100</v>
      </c>
      <c r="L3666" t="s">
        <v>6100</v>
      </c>
      <c r="M3666" t="s">
        <v>6099</v>
      </c>
      <c r="O3666" t="s">
        <v>6101</v>
      </c>
      <c r="P3666" t="s">
        <v>6112</v>
      </c>
      <c r="Q3666">
        <v>6</v>
      </c>
      <c r="R3666">
        <v>2026</v>
      </c>
      <c r="S3666" t="s">
        <v>6100</v>
      </c>
      <c r="T3666">
        <v>0</v>
      </c>
      <c r="U3666" t="s">
        <v>6018</v>
      </c>
      <c r="V3666">
        <v>0</v>
      </c>
    </row>
    <row r="3667" spans="1:22" x14ac:dyDescent="0.3">
      <c r="A3667" t="s">
        <v>3682</v>
      </c>
      <c r="B3667" s="2">
        <v>46187.399305555555</v>
      </c>
      <c r="C3667" s="2">
        <v>46187.940972222219</v>
      </c>
      <c r="D3667" t="s">
        <v>6023</v>
      </c>
      <c r="E3667" t="s">
        <v>6029</v>
      </c>
      <c r="F3667" t="s">
        <v>6035</v>
      </c>
      <c r="G3667" t="s">
        <v>6048</v>
      </c>
      <c r="H3667" t="s">
        <v>6096</v>
      </c>
      <c r="I3667">
        <v>4</v>
      </c>
      <c r="J3667">
        <v>13</v>
      </c>
      <c r="K3667" t="s">
        <v>6099</v>
      </c>
      <c r="L3667" t="s">
        <v>6100</v>
      </c>
      <c r="M3667" t="s">
        <v>6100</v>
      </c>
      <c r="N3667">
        <v>5</v>
      </c>
      <c r="O3667" t="s">
        <v>6101</v>
      </c>
      <c r="P3667" t="s">
        <v>6112</v>
      </c>
      <c r="Q3667">
        <v>6</v>
      </c>
      <c r="R3667">
        <v>2026</v>
      </c>
      <c r="S3667" t="s">
        <v>6100</v>
      </c>
      <c r="T3667">
        <v>0</v>
      </c>
      <c r="U3667" t="s">
        <v>6019</v>
      </c>
      <c r="V3667">
        <v>1</v>
      </c>
    </row>
    <row r="3668" spans="1:22" x14ac:dyDescent="0.3">
      <c r="A3668" t="s">
        <v>3683</v>
      </c>
      <c r="B3668" s="2">
        <v>46187.466666666667</v>
      </c>
      <c r="C3668" s="2">
        <v>46189.837500000001</v>
      </c>
      <c r="D3668" t="s">
        <v>6026</v>
      </c>
      <c r="E3668" t="s">
        <v>6031</v>
      </c>
      <c r="F3668" t="s">
        <v>6033</v>
      </c>
      <c r="G3668" t="s">
        <v>6065</v>
      </c>
      <c r="H3668" t="s">
        <v>6097</v>
      </c>
      <c r="I3668">
        <v>72</v>
      </c>
      <c r="J3668">
        <v>56.9</v>
      </c>
      <c r="K3668" t="s">
        <v>6100</v>
      </c>
      <c r="L3668" t="s">
        <v>6099</v>
      </c>
      <c r="M3668" t="s">
        <v>6100</v>
      </c>
      <c r="N3668">
        <v>4</v>
      </c>
      <c r="O3668" t="s">
        <v>6101</v>
      </c>
      <c r="P3668" t="s">
        <v>6112</v>
      </c>
      <c r="Q3668">
        <v>6</v>
      </c>
      <c r="R3668">
        <v>2026</v>
      </c>
      <c r="S3668" t="s">
        <v>6099</v>
      </c>
      <c r="T3668">
        <v>1</v>
      </c>
      <c r="U3668" t="s">
        <v>6017</v>
      </c>
      <c r="V3668">
        <v>0</v>
      </c>
    </row>
    <row r="3669" spans="1:22" x14ac:dyDescent="0.3">
      <c r="A3669" t="s">
        <v>3684</v>
      </c>
      <c r="B3669" s="2">
        <v>46187.482638888891</v>
      </c>
      <c r="C3669" s="2">
        <v>46188.240972222222</v>
      </c>
      <c r="D3669" t="s">
        <v>6027</v>
      </c>
      <c r="E3669" t="s">
        <v>6032</v>
      </c>
      <c r="F3669" t="s">
        <v>6034</v>
      </c>
      <c r="G3669" t="s">
        <v>6086</v>
      </c>
      <c r="H3669" t="s">
        <v>6098</v>
      </c>
      <c r="I3669">
        <v>24</v>
      </c>
      <c r="J3669">
        <v>18.2</v>
      </c>
      <c r="K3669" t="s">
        <v>6099</v>
      </c>
      <c r="L3669" t="s">
        <v>6100</v>
      </c>
      <c r="M3669" t="s">
        <v>6100</v>
      </c>
      <c r="O3669" t="s">
        <v>6101</v>
      </c>
      <c r="P3669" t="s">
        <v>6112</v>
      </c>
      <c r="Q3669">
        <v>6</v>
      </c>
      <c r="R3669">
        <v>2026</v>
      </c>
      <c r="S3669" t="s">
        <v>6099</v>
      </c>
      <c r="T3669">
        <v>1</v>
      </c>
      <c r="U3669" t="s">
        <v>6021</v>
      </c>
      <c r="V3669">
        <v>1</v>
      </c>
    </row>
    <row r="3670" spans="1:22" x14ac:dyDescent="0.3">
      <c r="A3670" t="s">
        <v>3685</v>
      </c>
      <c r="B3670" s="2">
        <v>46187.501388888886</v>
      </c>
      <c r="C3670" s="2">
        <v>46189.343055555553</v>
      </c>
      <c r="D3670" t="s">
        <v>6022</v>
      </c>
      <c r="E3670" t="s">
        <v>6030</v>
      </c>
      <c r="F3670" t="s">
        <v>6033</v>
      </c>
      <c r="G3670" t="s">
        <v>6043</v>
      </c>
      <c r="H3670" t="s">
        <v>6097</v>
      </c>
      <c r="I3670">
        <v>72</v>
      </c>
      <c r="J3670">
        <v>44.2</v>
      </c>
      <c r="K3670" t="s">
        <v>6099</v>
      </c>
      <c r="L3670" t="s">
        <v>6100</v>
      </c>
      <c r="M3670" t="s">
        <v>6100</v>
      </c>
      <c r="N3670">
        <v>5</v>
      </c>
      <c r="O3670" t="s">
        <v>6101</v>
      </c>
      <c r="P3670" t="s">
        <v>6112</v>
      </c>
      <c r="Q3670">
        <v>6</v>
      </c>
      <c r="R3670">
        <v>2026</v>
      </c>
      <c r="S3670" t="s">
        <v>6099</v>
      </c>
      <c r="T3670">
        <v>1</v>
      </c>
      <c r="U3670" t="s">
        <v>6019</v>
      </c>
      <c r="V3670">
        <v>1</v>
      </c>
    </row>
    <row r="3671" spans="1:22" x14ac:dyDescent="0.3">
      <c r="A3671" t="s">
        <v>3686</v>
      </c>
      <c r="B3671" s="2">
        <v>46187.6</v>
      </c>
      <c r="C3671" s="2">
        <v>46188.55</v>
      </c>
      <c r="D3671" t="s">
        <v>6025</v>
      </c>
      <c r="E3671" t="s">
        <v>6029</v>
      </c>
      <c r="F3671" t="s">
        <v>6034</v>
      </c>
      <c r="G3671" t="s">
        <v>6088</v>
      </c>
      <c r="H3671" t="s">
        <v>6097</v>
      </c>
      <c r="I3671">
        <v>24</v>
      </c>
      <c r="J3671">
        <v>22.8</v>
      </c>
      <c r="K3671" t="s">
        <v>6099</v>
      </c>
      <c r="L3671" t="s">
        <v>6100</v>
      </c>
      <c r="M3671" t="s">
        <v>6100</v>
      </c>
      <c r="N3671">
        <v>5</v>
      </c>
      <c r="O3671" t="s">
        <v>6101</v>
      </c>
      <c r="P3671" t="s">
        <v>6112</v>
      </c>
      <c r="Q3671">
        <v>6</v>
      </c>
      <c r="R3671">
        <v>2026</v>
      </c>
      <c r="S3671" t="s">
        <v>6099</v>
      </c>
      <c r="T3671">
        <v>1</v>
      </c>
      <c r="U3671" t="s">
        <v>6018</v>
      </c>
      <c r="V3671">
        <v>1</v>
      </c>
    </row>
    <row r="3672" spans="1:22" x14ac:dyDescent="0.3">
      <c r="A3672" t="s">
        <v>3687</v>
      </c>
      <c r="B3672" s="2">
        <v>46187.631249999999</v>
      </c>
      <c r="C3672" s="2">
        <v>46187.777083333334</v>
      </c>
      <c r="D3672" t="s">
        <v>6023</v>
      </c>
      <c r="E3672" t="s">
        <v>6029</v>
      </c>
      <c r="F3672" t="s">
        <v>6035</v>
      </c>
      <c r="G3672" t="s">
        <v>6069</v>
      </c>
      <c r="H3672" t="s">
        <v>6098</v>
      </c>
      <c r="I3672">
        <v>4</v>
      </c>
      <c r="J3672">
        <v>3.5</v>
      </c>
      <c r="K3672" t="s">
        <v>6099</v>
      </c>
      <c r="L3672" t="s">
        <v>6100</v>
      </c>
      <c r="M3672" t="s">
        <v>6100</v>
      </c>
      <c r="N3672">
        <v>5</v>
      </c>
      <c r="O3672" t="s">
        <v>6101</v>
      </c>
      <c r="P3672" t="s">
        <v>6112</v>
      </c>
      <c r="Q3672">
        <v>6</v>
      </c>
      <c r="R3672">
        <v>2026</v>
      </c>
      <c r="S3672" t="s">
        <v>6099</v>
      </c>
      <c r="T3672">
        <v>1</v>
      </c>
      <c r="U3672" t="s">
        <v>6018</v>
      </c>
      <c r="V3672">
        <v>1</v>
      </c>
    </row>
    <row r="3673" spans="1:22" x14ac:dyDescent="0.3">
      <c r="A3673" t="s">
        <v>3688</v>
      </c>
      <c r="B3673" s="2">
        <v>46187.67083333333</v>
      </c>
      <c r="C3673" s="2">
        <v>46187.908333333333</v>
      </c>
      <c r="D3673" t="s">
        <v>6023</v>
      </c>
      <c r="E3673" t="s">
        <v>6029</v>
      </c>
      <c r="F3673" t="s">
        <v>6034</v>
      </c>
      <c r="G3673" t="s">
        <v>6080</v>
      </c>
      <c r="H3673" t="s">
        <v>6096</v>
      </c>
      <c r="I3673">
        <v>24</v>
      </c>
      <c r="J3673">
        <v>5.7</v>
      </c>
      <c r="K3673" t="s">
        <v>6099</v>
      </c>
      <c r="L3673" t="s">
        <v>6100</v>
      </c>
      <c r="M3673" t="s">
        <v>6100</v>
      </c>
      <c r="O3673" t="s">
        <v>6101</v>
      </c>
      <c r="P3673" t="s">
        <v>6112</v>
      </c>
      <c r="Q3673">
        <v>6</v>
      </c>
      <c r="R3673">
        <v>2026</v>
      </c>
      <c r="S3673" t="s">
        <v>6099</v>
      </c>
      <c r="T3673">
        <v>1</v>
      </c>
      <c r="U3673" t="s">
        <v>6021</v>
      </c>
      <c r="V3673">
        <v>1</v>
      </c>
    </row>
    <row r="3674" spans="1:22" x14ac:dyDescent="0.3">
      <c r="A3674" t="s">
        <v>3689</v>
      </c>
      <c r="B3674" s="2">
        <v>46187.686111111114</v>
      </c>
      <c r="C3674" s="2">
        <v>46188.531944444447</v>
      </c>
      <c r="D3674" t="s">
        <v>6027</v>
      </c>
      <c r="E3674" t="s">
        <v>6031</v>
      </c>
      <c r="F3674" t="s">
        <v>6033</v>
      </c>
      <c r="G3674" t="s">
        <v>6088</v>
      </c>
      <c r="H3674" t="s">
        <v>6097</v>
      </c>
      <c r="I3674">
        <v>72</v>
      </c>
      <c r="J3674">
        <v>20.3</v>
      </c>
      <c r="K3674" t="s">
        <v>6099</v>
      </c>
      <c r="L3674" t="s">
        <v>6100</v>
      </c>
      <c r="M3674" t="s">
        <v>6100</v>
      </c>
      <c r="N3674">
        <v>5</v>
      </c>
      <c r="O3674" t="s">
        <v>6101</v>
      </c>
      <c r="P3674" t="s">
        <v>6112</v>
      </c>
      <c r="Q3674">
        <v>6</v>
      </c>
      <c r="R3674">
        <v>2026</v>
      </c>
      <c r="S3674" t="s">
        <v>6099</v>
      </c>
      <c r="T3674">
        <v>1</v>
      </c>
      <c r="U3674" t="s">
        <v>6019</v>
      </c>
      <c r="V3674">
        <v>1</v>
      </c>
    </row>
    <row r="3675" spans="1:22" x14ac:dyDescent="0.3">
      <c r="A3675" t="s">
        <v>3690</v>
      </c>
      <c r="B3675" s="2">
        <v>46187.724305555559</v>
      </c>
      <c r="C3675" s="2">
        <v>46187.795138888891</v>
      </c>
      <c r="D3675" t="s">
        <v>6024</v>
      </c>
      <c r="E3675" t="s">
        <v>6030</v>
      </c>
      <c r="F3675" t="s">
        <v>6034</v>
      </c>
      <c r="G3675" t="s">
        <v>6062</v>
      </c>
      <c r="H3675" t="s">
        <v>6096</v>
      </c>
      <c r="I3675">
        <v>24</v>
      </c>
      <c r="J3675">
        <v>1.7</v>
      </c>
      <c r="K3675" t="s">
        <v>6099</v>
      </c>
      <c r="L3675" t="s">
        <v>6100</v>
      </c>
      <c r="M3675" t="s">
        <v>6100</v>
      </c>
      <c r="O3675" t="s">
        <v>6101</v>
      </c>
      <c r="P3675" t="s">
        <v>6112</v>
      </c>
      <c r="Q3675">
        <v>6</v>
      </c>
      <c r="R3675">
        <v>2026</v>
      </c>
      <c r="S3675" t="s">
        <v>6099</v>
      </c>
      <c r="T3675">
        <v>1</v>
      </c>
      <c r="U3675" t="s">
        <v>6021</v>
      </c>
      <c r="V3675">
        <v>1</v>
      </c>
    </row>
    <row r="3676" spans="1:22" x14ac:dyDescent="0.3">
      <c r="A3676" t="s">
        <v>3691</v>
      </c>
      <c r="B3676" s="2">
        <v>46187.731249999997</v>
      </c>
      <c r="C3676" s="2">
        <v>46187.868750000001</v>
      </c>
      <c r="D3676" t="s">
        <v>6028</v>
      </c>
      <c r="E3676" t="s">
        <v>6029</v>
      </c>
      <c r="F3676" t="s">
        <v>6035</v>
      </c>
      <c r="G3676" t="s">
        <v>6046</v>
      </c>
      <c r="H3676" t="s">
        <v>6098</v>
      </c>
      <c r="I3676">
        <v>4</v>
      </c>
      <c r="J3676">
        <v>3.3</v>
      </c>
      <c r="K3676" t="s">
        <v>6099</v>
      </c>
      <c r="L3676" t="s">
        <v>6100</v>
      </c>
      <c r="M3676" t="s">
        <v>6100</v>
      </c>
      <c r="N3676">
        <v>5</v>
      </c>
      <c r="O3676" t="s">
        <v>6101</v>
      </c>
      <c r="P3676" t="s">
        <v>6112</v>
      </c>
      <c r="Q3676">
        <v>6</v>
      </c>
      <c r="R3676">
        <v>2026</v>
      </c>
      <c r="S3676" t="s">
        <v>6099</v>
      </c>
      <c r="T3676">
        <v>1</v>
      </c>
      <c r="U3676" t="s">
        <v>6018</v>
      </c>
      <c r="V3676">
        <v>1</v>
      </c>
    </row>
    <row r="3677" spans="1:22" x14ac:dyDescent="0.3">
      <c r="A3677" t="s">
        <v>3692</v>
      </c>
      <c r="B3677" s="2">
        <v>46187.739583333336</v>
      </c>
      <c r="C3677" s="2">
        <v>46190.527083333334</v>
      </c>
      <c r="D3677" t="s">
        <v>6022</v>
      </c>
      <c r="E3677" t="s">
        <v>6031</v>
      </c>
      <c r="F3677" t="s">
        <v>6033</v>
      </c>
      <c r="G3677" t="s">
        <v>6058</v>
      </c>
      <c r="H3677" t="s">
        <v>6098</v>
      </c>
      <c r="I3677">
        <v>72</v>
      </c>
      <c r="J3677">
        <v>66.900000000000006</v>
      </c>
      <c r="K3677" t="s">
        <v>6099</v>
      </c>
      <c r="L3677" t="s">
        <v>6100</v>
      </c>
      <c r="M3677" t="s">
        <v>6100</v>
      </c>
      <c r="O3677" t="s">
        <v>6101</v>
      </c>
      <c r="P3677" t="s">
        <v>6112</v>
      </c>
      <c r="Q3677">
        <v>6</v>
      </c>
      <c r="R3677">
        <v>2026</v>
      </c>
      <c r="S3677" t="s">
        <v>6099</v>
      </c>
      <c r="T3677">
        <v>1</v>
      </c>
      <c r="U3677" t="s">
        <v>6019</v>
      </c>
      <c r="V3677">
        <v>1</v>
      </c>
    </row>
    <row r="3678" spans="1:22" x14ac:dyDescent="0.3">
      <c r="A3678" t="s">
        <v>3693</v>
      </c>
      <c r="B3678" s="2">
        <v>46187.951388888891</v>
      </c>
      <c r="C3678" s="2">
        <v>46188.24722222222</v>
      </c>
      <c r="D3678" t="s">
        <v>6028</v>
      </c>
      <c r="E3678" t="s">
        <v>6029</v>
      </c>
      <c r="F3678" t="s">
        <v>6033</v>
      </c>
      <c r="G3678" t="s">
        <v>6059</v>
      </c>
      <c r="H3678" t="s">
        <v>6097</v>
      </c>
      <c r="I3678">
        <v>72</v>
      </c>
      <c r="J3678">
        <v>7.1</v>
      </c>
      <c r="K3678" t="s">
        <v>6099</v>
      </c>
      <c r="L3678" t="s">
        <v>6100</v>
      </c>
      <c r="M3678" t="s">
        <v>6100</v>
      </c>
      <c r="O3678" t="s">
        <v>6101</v>
      </c>
      <c r="P3678" t="s">
        <v>6112</v>
      </c>
      <c r="Q3678">
        <v>6</v>
      </c>
      <c r="R3678">
        <v>2026</v>
      </c>
      <c r="S3678" t="s">
        <v>6099</v>
      </c>
      <c r="T3678">
        <v>1</v>
      </c>
      <c r="U3678" t="s">
        <v>6021</v>
      </c>
      <c r="V3678">
        <v>1</v>
      </c>
    </row>
    <row r="3679" spans="1:22" x14ac:dyDescent="0.3">
      <c r="A3679" t="s">
        <v>3694</v>
      </c>
      <c r="B3679" s="2">
        <v>46188.162499999999</v>
      </c>
      <c r="C3679" s="2">
        <v>46188.337500000001</v>
      </c>
      <c r="D3679" t="s">
        <v>6023</v>
      </c>
      <c r="E3679" t="s">
        <v>6029</v>
      </c>
      <c r="F3679" t="s">
        <v>6033</v>
      </c>
      <c r="G3679" t="s">
        <v>6062</v>
      </c>
      <c r="H3679" t="s">
        <v>6096</v>
      </c>
      <c r="I3679">
        <v>72</v>
      </c>
      <c r="J3679">
        <v>4.2</v>
      </c>
      <c r="K3679" t="s">
        <v>6099</v>
      </c>
      <c r="L3679" t="s">
        <v>6100</v>
      </c>
      <c r="M3679" t="s">
        <v>6100</v>
      </c>
      <c r="O3679" t="s">
        <v>6101</v>
      </c>
      <c r="P3679" t="s">
        <v>6112</v>
      </c>
      <c r="Q3679">
        <v>6</v>
      </c>
      <c r="R3679">
        <v>2026</v>
      </c>
      <c r="S3679" t="s">
        <v>6099</v>
      </c>
      <c r="T3679">
        <v>1</v>
      </c>
      <c r="U3679" t="s">
        <v>6021</v>
      </c>
      <c r="V3679">
        <v>1</v>
      </c>
    </row>
    <row r="3680" spans="1:22" x14ac:dyDescent="0.3">
      <c r="A3680" t="s">
        <v>3695</v>
      </c>
      <c r="B3680" s="2">
        <v>46188.241666666669</v>
      </c>
      <c r="C3680" s="2">
        <v>46188.354166666664</v>
      </c>
      <c r="D3680" t="s">
        <v>6025</v>
      </c>
      <c r="E3680" t="s">
        <v>6030</v>
      </c>
      <c r="F3680" t="s">
        <v>6033</v>
      </c>
      <c r="G3680" t="s">
        <v>6067</v>
      </c>
      <c r="H3680" t="s">
        <v>6098</v>
      </c>
      <c r="I3680">
        <v>72</v>
      </c>
      <c r="J3680">
        <v>2.7</v>
      </c>
      <c r="K3680" t="s">
        <v>6099</v>
      </c>
      <c r="L3680" t="s">
        <v>6100</v>
      </c>
      <c r="M3680" t="s">
        <v>6099</v>
      </c>
      <c r="N3680">
        <v>4</v>
      </c>
      <c r="O3680" t="s">
        <v>6101</v>
      </c>
      <c r="P3680" t="s">
        <v>6112</v>
      </c>
      <c r="Q3680">
        <v>6</v>
      </c>
      <c r="R3680">
        <v>2026</v>
      </c>
      <c r="S3680" t="s">
        <v>6099</v>
      </c>
      <c r="T3680">
        <v>1</v>
      </c>
      <c r="U3680" t="s">
        <v>6021</v>
      </c>
      <c r="V3680">
        <v>1</v>
      </c>
    </row>
    <row r="3681" spans="1:22" x14ac:dyDescent="0.3">
      <c r="A3681" t="s">
        <v>3696</v>
      </c>
      <c r="B3681" s="2">
        <v>46188.369444444441</v>
      </c>
      <c r="C3681" s="2">
        <v>46188.698611111111</v>
      </c>
      <c r="D3681" t="s">
        <v>6024</v>
      </c>
      <c r="E3681" t="s">
        <v>6029</v>
      </c>
      <c r="F3681" t="s">
        <v>6034</v>
      </c>
      <c r="G3681" t="s">
        <v>6038</v>
      </c>
      <c r="H3681" t="s">
        <v>6096</v>
      </c>
      <c r="I3681">
        <v>24</v>
      </c>
      <c r="J3681">
        <v>7.9</v>
      </c>
      <c r="K3681" t="s">
        <v>6099</v>
      </c>
      <c r="L3681" t="s">
        <v>6100</v>
      </c>
      <c r="M3681" t="s">
        <v>6100</v>
      </c>
      <c r="N3681">
        <v>4</v>
      </c>
      <c r="O3681" t="s">
        <v>6101</v>
      </c>
      <c r="P3681" t="s">
        <v>6112</v>
      </c>
      <c r="Q3681">
        <v>6</v>
      </c>
      <c r="R3681">
        <v>2026</v>
      </c>
      <c r="S3681" t="s">
        <v>6099</v>
      </c>
      <c r="T3681">
        <v>1</v>
      </c>
      <c r="U3681" t="s">
        <v>6018</v>
      </c>
      <c r="V3681">
        <v>1</v>
      </c>
    </row>
    <row r="3682" spans="1:22" x14ac:dyDescent="0.3">
      <c r="A3682" t="s">
        <v>3697</v>
      </c>
      <c r="B3682" s="2">
        <v>46188.399305555555</v>
      </c>
      <c r="C3682" s="2">
        <v>46188.995138888888</v>
      </c>
      <c r="D3682" t="s">
        <v>6022</v>
      </c>
      <c r="E3682" t="s">
        <v>6029</v>
      </c>
      <c r="F3682" t="s">
        <v>6034</v>
      </c>
      <c r="G3682" t="s">
        <v>6038</v>
      </c>
      <c r="H3682" t="s">
        <v>6096</v>
      </c>
      <c r="I3682">
        <v>24</v>
      </c>
      <c r="J3682">
        <v>14.3</v>
      </c>
      <c r="K3682" t="s">
        <v>6099</v>
      </c>
      <c r="L3682" t="s">
        <v>6100</v>
      </c>
      <c r="M3682" t="s">
        <v>6100</v>
      </c>
      <c r="O3682" t="s">
        <v>6101</v>
      </c>
      <c r="P3682" t="s">
        <v>6112</v>
      </c>
      <c r="Q3682">
        <v>6</v>
      </c>
      <c r="R3682">
        <v>2026</v>
      </c>
      <c r="S3682" t="s">
        <v>6099</v>
      </c>
      <c r="T3682">
        <v>1</v>
      </c>
      <c r="U3682" t="s">
        <v>6019</v>
      </c>
      <c r="V3682">
        <v>1</v>
      </c>
    </row>
    <row r="3683" spans="1:22" x14ac:dyDescent="0.3">
      <c r="A3683" t="s">
        <v>3698</v>
      </c>
      <c r="B3683" s="2">
        <v>46188.425694444442</v>
      </c>
      <c r="C3683" s="2">
        <v>46188.72152777778</v>
      </c>
      <c r="D3683" t="s">
        <v>6024</v>
      </c>
      <c r="E3683" t="s">
        <v>6032</v>
      </c>
      <c r="F3683" t="s">
        <v>6035</v>
      </c>
      <c r="G3683" t="s">
        <v>6072</v>
      </c>
      <c r="H3683" t="s">
        <v>6097</v>
      </c>
      <c r="I3683">
        <v>4</v>
      </c>
      <c r="J3683">
        <v>7.1</v>
      </c>
      <c r="K3683" t="s">
        <v>6100</v>
      </c>
      <c r="L3683" t="s">
        <v>6099</v>
      </c>
      <c r="M3683" t="s">
        <v>6100</v>
      </c>
      <c r="N3683">
        <v>4</v>
      </c>
      <c r="O3683" t="s">
        <v>6101</v>
      </c>
      <c r="P3683" t="s">
        <v>6112</v>
      </c>
      <c r="Q3683">
        <v>6</v>
      </c>
      <c r="R3683">
        <v>2026</v>
      </c>
      <c r="S3683" t="s">
        <v>6100</v>
      </c>
      <c r="T3683">
        <v>0</v>
      </c>
      <c r="U3683" t="s">
        <v>6021</v>
      </c>
      <c r="V3683">
        <v>0</v>
      </c>
    </row>
    <row r="3684" spans="1:22" x14ac:dyDescent="0.3">
      <c r="A3684" t="s">
        <v>3699</v>
      </c>
      <c r="B3684" s="2">
        <v>46188.4375</v>
      </c>
      <c r="C3684" s="2">
        <v>46189.216666666667</v>
      </c>
      <c r="D3684" t="s">
        <v>6028</v>
      </c>
      <c r="E3684" t="s">
        <v>6031</v>
      </c>
      <c r="F3684" t="s">
        <v>6035</v>
      </c>
      <c r="G3684" t="s">
        <v>6068</v>
      </c>
      <c r="H3684" t="s">
        <v>6098</v>
      </c>
      <c r="I3684">
        <v>4</v>
      </c>
      <c r="J3684">
        <v>18.7</v>
      </c>
      <c r="K3684" t="s">
        <v>6099</v>
      </c>
      <c r="L3684" t="s">
        <v>6100</v>
      </c>
      <c r="M3684" t="s">
        <v>6100</v>
      </c>
      <c r="N3684">
        <v>3</v>
      </c>
      <c r="O3684" t="s">
        <v>6101</v>
      </c>
      <c r="P3684" t="s">
        <v>6112</v>
      </c>
      <c r="Q3684">
        <v>6</v>
      </c>
      <c r="R3684">
        <v>2026</v>
      </c>
      <c r="S3684" t="s">
        <v>6100</v>
      </c>
      <c r="T3684">
        <v>0</v>
      </c>
      <c r="U3684" t="s">
        <v>6021</v>
      </c>
      <c r="V3684">
        <v>1</v>
      </c>
    </row>
    <row r="3685" spans="1:22" x14ac:dyDescent="0.3">
      <c r="A3685" t="s">
        <v>3700</v>
      </c>
      <c r="B3685" s="2">
        <v>46188.475694444445</v>
      </c>
      <c r="C3685" s="2">
        <v>46188.538194444445</v>
      </c>
      <c r="D3685" t="s">
        <v>6028</v>
      </c>
      <c r="E3685" t="s">
        <v>6030</v>
      </c>
      <c r="F3685" t="s">
        <v>6035</v>
      </c>
      <c r="G3685" t="s">
        <v>6083</v>
      </c>
      <c r="H3685" t="s">
        <v>6096</v>
      </c>
      <c r="I3685">
        <v>4</v>
      </c>
      <c r="J3685">
        <v>1.5</v>
      </c>
      <c r="K3685" t="s">
        <v>6100</v>
      </c>
      <c r="L3685" t="s">
        <v>6100</v>
      </c>
      <c r="M3685" t="s">
        <v>6100</v>
      </c>
      <c r="O3685" t="s">
        <v>6101</v>
      </c>
      <c r="P3685" t="s">
        <v>6112</v>
      </c>
      <c r="Q3685">
        <v>6</v>
      </c>
      <c r="R3685">
        <v>2026</v>
      </c>
      <c r="S3685" t="s">
        <v>6099</v>
      </c>
      <c r="T3685">
        <v>1</v>
      </c>
      <c r="U3685" t="s">
        <v>6018</v>
      </c>
      <c r="V3685">
        <v>0</v>
      </c>
    </row>
    <row r="3686" spans="1:22" x14ac:dyDescent="0.3">
      <c r="A3686" t="s">
        <v>3701</v>
      </c>
      <c r="B3686" s="2">
        <v>46188.479166666664</v>
      </c>
      <c r="C3686" s="2">
        <v>46189.291666666664</v>
      </c>
      <c r="D3686" t="s">
        <v>6027</v>
      </c>
      <c r="E3686" t="s">
        <v>6031</v>
      </c>
      <c r="F3686" t="s">
        <v>6034</v>
      </c>
      <c r="G3686" t="s">
        <v>6036</v>
      </c>
      <c r="H3686" t="s">
        <v>6096</v>
      </c>
      <c r="I3686">
        <v>24</v>
      </c>
      <c r="J3686">
        <v>19.5</v>
      </c>
      <c r="K3686" t="s">
        <v>6100</v>
      </c>
      <c r="L3686" t="s">
        <v>6099</v>
      </c>
      <c r="M3686" t="s">
        <v>6100</v>
      </c>
      <c r="O3686" t="s">
        <v>6101</v>
      </c>
      <c r="P3686" t="s">
        <v>6112</v>
      </c>
      <c r="Q3686">
        <v>6</v>
      </c>
      <c r="R3686">
        <v>2026</v>
      </c>
      <c r="S3686" t="s">
        <v>6099</v>
      </c>
      <c r="T3686">
        <v>1</v>
      </c>
      <c r="U3686" t="s">
        <v>6021</v>
      </c>
      <c r="V3686">
        <v>0</v>
      </c>
    </row>
    <row r="3687" spans="1:22" x14ac:dyDescent="0.3">
      <c r="A3687" t="s">
        <v>3702</v>
      </c>
      <c r="B3687" s="2">
        <v>46188.500694444447</v>
      </c>
      <c r="C3687" s="2">
        <v>46188.679861111108</v>
      </c>
      <c r="D3687" t="s">
        <v>6028</v>
      </c>
      <c r="E3687" t="s">
        <v>6029</v>
      </c>
      <c r="F3687" t="s">
        <v>6035</v>
      </c>
      <c r="G3687" t="s">
        <v>6082</v>
      </c>
      <c r="H3687" t="s">
        <v>6097</v>
      </c>
      <c r="I3687">
        <v>4</v>
      </c>
      <c r="J3687">
        <v>4.3</v>
      </c>
      <c r="K3687" t="s">
        <v>6099</v>
      </c>
      <c r="L3687" t="s">
        <v>6100</v>
      </c>
      <c r="M3687" t="s">
        <v>6100</v>
      </c>
      <c r="N3687">
        <v>4</v>
      </c>
      <c r="O3687" t="s">
        <v>6101</v>
      </c>
      <c r="P3687" t="s">
        <v>6112</v>
      </c>
      <c r="Q3687">
        <v>6</v>
      </c>
      <c r="R3687">
        <v>2026</v>
      </c>
      <c r="S3687" t="s">
        <v>6100</v>
      </c>
      <c r="T3687">
        <v>0</v>
      </c>
      <c r="U3687" t="s">
        <v>6021</v>
      </c>
      <c r="V3687">
        <v>1</v>
      </c>
    </row>
    <row r="3688" spans="1:22" x14ac:dyDescent="0.3">
      <c r="A3688" t="s">
        <v>3703</v>
      </c>
      <c r="B3688" s="2">
        <v>46188.505555555559</v>
      </c>
      <c r="C3688" s="2">
        <v>46188.926388888889</v>
      </c>
      <c r="D3688" t="s">
        <v>6028</v>
      </c>
      <c r="E3688" t="s">
        <v>6029</v>
      </c>
      <c r="F3688" t="s">
        <v>6035</v>
      </c>
      <c r="G3688" t="s">
        <v>6059</v>
      </c>
      <c r="H3688" t="s">
        <v>6097</v>
      </c>
      <c r="I3688">
        <v>4</v>
      </c>
      <c r="J3688">
        <v>10.1</v>
      </c>
      <c r="K3688" t="s">
        <v>6099</v>
      </c>
      <c r="L3688" t="s">
        <v>6100</v>
      </c>
      <c r="M3688" t="s">
        <v>6099</v>
      </c>
      <c r="O3688" t="s">
        <v>6101</v>
      </c>
      <c r="P3688" t="s">
        <v>6112</v>
      </c>
      <c r="Q3688">
        <v>6</v>
      </c>
      <c r="R3688">
        <v>2026</v>
      </c>
      <c r="S3688" t="s">
        <v>6100</v>
      </c>
      <c r="T3688">
        <v>0</v>
      </c>
      <c r="U3688" t="s">
        <v>6019</v>
      </c>
      <c r="V3688">
        <v>1</v>
      </c>
    </row>
    <row r="3689" spans="1:22" x14ac:dyDescent="0.3">
      <c r="A3689" t="s">
        <v>3704</v>
      </c>
      <c r="B3689" s="2">
        <v>46188.522916666669</v>
      </c>
      <c r="C3689" s="2">
        <v>46188.977083333331</v>
      </c>
      <c r="D3689" t="s">
        <v>6027</v>
      </c>
      <c r="E3689" t="s">
        <v>6031</v>
      </c>
      <c r="F3689" t="s">
        <v>6035</v>
      </c>
      <c r="G3689" t="s">
        <v>6042</v>
      </c>
      <c r="H3689" t="s">
        <v>6098</v>
      </c>
      <c r="I3689">
        <v>4</v>
      </c>
      <c r="J3689">
        <v>10.9</v>
      </c>
      <c r="K3689" t="s">
        <v>6100</v>
      </c>
      <c r="L3689" t="s">
        <v>6099</v>
      </c>
      <c r="M3689" t="s">
        <v>6100</v>
      </c>
      <c r="O3689" t="s">
        <v>6101</v>
      </c>
      <c r="P3689" t="s">
        <v>6112</v>
      </c>
      <c r="Q3689">
        <v>6</v>
      </c>
      <c r="R3689">
        <v>2026</v>
      </c>
      <c r="S3689" t="s">
        <v>6100</v>
      </c>
      <c r="T3689">
        <v>0</v>
      </c>
      <c r="U3689" t="s">
        <v>6020</v>
      </c>
      <c r="V3689">
        <v>0</v>
      </c>
    </row>
    <row r="3690" spans="1:22" x14ac:dyDescent="0.3">
      <c r="A3690" t="s">
        <v>3705</v>
      </c>
      <c r="B3690" s="2">
        <v>46188.529166666667</v>
      </c>
      <c r="C3690" s="2">
        <v>46188.583333333336</v>
      </c>
      <c r="D3690" t="s">
        <v>6028</v>
      </c>
      <c r="E3690" t="s">
        <v>6030</v>
      </c>
      <c r="F3690" t="s">
        <v>6035</v>
      </c>
      <c r="G3690" t="s">
        <v>6043</v>
      </c>
      <c r="H3690" t="s">
        <v>6097</v>
      </c>
      <c r="I3690">
        <v>4</v>
      </c>
      <c r="J3690">
        <v>1.3</v>
      </c>
      <c r="K3690" t="s">
        <v>6099</v>
      </c>
      <c r="L3690" t="s">
        <v>6100</v>
      </c>
      <c r="M3690" t="s">
        <v>6100</v>
      </c>
      <c r="N3690">
        <v>5</v>
      </c>
      <c r="O3690" t="s">
        <v>6101</v>
      </c>
      <c r="P3690" t="s">
        <v>6112</v>
      </c>
      <c r="Q3690">
        <v>6</v>
      </c>
      <c r="R3690">
        <v>2026</v>
      </c>
      <c r="S3690" t="s">
        <v>6099</v>
      </c>
      <c r="T3690">
        <v>1</v>
      </c>
      <c r="U3690" t="s">
        <v>6020</v>
      </c>
      <c r="V3690">
        <v>1</v>
      </c>
    </row>
    <row r="3691" spans="1:22" x14ac:dyDescent="0.3">
      <c r="A3691" t="s">
        <v>3706</v>
      </c>
      <c r="B3691" s="2">
        <v>46188.536111111112</v>
      </c>
      <c r="C3691" s="2">
        <v>46189.740277777775</v>
      </c>
      <c r="D3691" t="s">
        <v>6028</v>
      </c>
      <c r="E3691" t="s">
        <v>6031</v>
      </c>
      <c r="F3691" t="s">
        <v>6034</v>
      </c>
      <c r="G3691" t="s">
        <v>6036</v>
      </c>
      <c r="H3691" t="s">
        <v>6096</v>
      </c>
      <c r="I3691">
        <v>24</v>
      </c>
      <c r="J3691">
        <v>28.9</v>
      </c>
      <c r="K3691" t="s">
        <v>6100</v>
      </c>
      <c r="L3691" t="s">
        <v>6100</v>
      </c>
      <c r="M3691" t="s">
        <v>6100</v>
      </c>
      <c r="N3691">
        <v>5</v>
      </c>
      <c r="O3691" t="s">
        <v>6101</v>
      </c>
      <c r="P3691" t="s">
        <v>6112</v>
      </c>
      <c r="Q3691">
        <v>6</v>
      </c>
      <c r="R3691">
        <v>2026</v>
      </c>
      <c r="S3691" t="s">
        <v>6100</v>
      </c>
      <c r="T3691">
        <v>0</v>
      </c>
      <c r="U3691" t="s">
        <v>6018</v>
      </c>
      <c r="V3691">
        <v>0</v>
      </c>
    </row>
    <row r="3692" spans="1:22" x14ac:dyDescent="0.3">
      <c r="A3692" t="s">
        <v>3707</v>
      </c>
      <c r="B3692" s="2">
        <v>46188.543055555558</v>
      </c>
      <c r="C3692" s="2">
        <v>46192.034722222219</v>
      </c>
      <c r="D3692" t="s">
        <v>6026</v>
      </c>
      <c r="E3692" t="s">
        <v>6032</v>
      </c>
      <c r="F3692" t="s">
        <v>6035</v>
      </c>
      <c r="G3692" t="s">
        <v>6086</v>
      </c>
      <c r="H3692" t="s">
        <v>6098</v>
      </c>
      <c r="I3692">
        <v>4</v>
      </c>
      <c r="J3692">
        <v>83.8</v>
      </c>
      <c r="K3692" t="s">
        <v>6100</v>
      </c>
      <c r="L3692" t="s">
        <v>6100</v>
      </c>
      <c r="M3692" t="s">
        <v>6100</v>
      </c>
      <c r="O3692" t="s">
        <v>6101</v>
      </c>
      <c r="P3692" t="s">
        <v>6112</v>
      </c>
      <c r="Q3692">
        <v>6</v>
      </c>
      <c r="R3692">
        <v>2026</v>
      </c>
      <c r="S3692" t="s">
        <v>6100</v>
      </c>
      <c r="T3692">
        <v>0</v>
      </c>
      <c r="U3692" t="s">
        <v>6021</v>
      </c>
      <c r="V3692">
        <v>0</v>
      </c>
    </row>
    <row r="3693" spans="1:22" x14ac:dyDescent="0.3">
      <c r="A3693" t="s">
        <v>3708</v>
      </c>
      <c r="B3693" s="2">
        <v>46188.59375</v>
      </c>
      <c r="C3693" s="2">
        <v>46189.027083333334</v>
      </c>
      <c r="D3693" t="s">
        <v>6024</v>
      </c>
      <c r="E3693" t="s">
        <v>6029</v>
      </c>
      <c r="F3693" t="s">
        <v>6034</v>
      </c>
      <c r="G3693" t="s">
        <v>6036</v>
      </c>
      <c r="H3693" t="s">
        <v>6096</v>
      </c>
      <c r="I3693">
        <v>24</v>
      </c>
      <c r="J3693">
        <v>10.4</v>
      </c>
      <c r="K3693" t="s">
        <v>6099</v>
      </c>
      <c r="L3693" t="s">
        <v>6100</v>
      </c>
      <c r="M3693" t="s">
        <v>6100</v>
      </c>
      <c r="N3693">
        <v>5</v>
      </c>
      <c r="O3693" t="s">
        <v>6101</v>
      </c>
      <c r="P3693" t="s">
        <v>6112</v>
      </c>
      <c r="Q3693">
        <v>6</v>
      </c>
      <c r="R3693">
        <v>2026</v>
      </c>
      <c r="S3693" t="s">
        <v>6099</v>
      </c>
      <c r="T3693">
        <v>1</v>
      </c>
      <c r="U3693" t="s">
        <v>6021</v>
      </c>
      <c r="V3693">
        <v>1</v>
      </c>
    </row>
    <row r="3694" spans="1:22" x14ac:dyDescent="0.3">
      <c r="A3694" t="s">
        <v>3709</v>
      </c>
      <c r="B3694" s="2">
        <v>46188.606249999997</v>
      </c>
      <c r="C3694" s="2">
        <v>46188.839583333334</v>
      </c>
      <c r="D3694" t="s">
        <v>6022</v>
      </c>
      <c r="E3694" t="s">
        <v>6030</v>
      </c>
      <c r="F3694" t="s">
        <v>6034</v>
      </c>
      <c r="G3694" t="s">
        <v>6053</v>
      </c>
      <c r="H3694" t="s">
        <v>6097</v>
      </c>
      <c r="I3694">
        <v>24</v>
      </c>
      <c r="J3694">
        <v>5.6</v>
      </c>
      <c r="K3694" t="s">
        <v>6100</v>
      </c>
      <c r="L3694" t="s">
        <v>6100</v>
      </c>
      <c r="M3694" t="s">
        <v>6100</v>
      </c>
      <c r="O3694" t="s">
        <v>6101</v>
      </c>
      <c r="P3694" t="s">
        <v>6112</v>
      </c>
      <c r="Q3694">
        <v>6</v>
      </c>
      <c r="R3694">
        <v>2026</v>
      </c>
      <c r="S3694" t="s">
        <v>6099</v>
      </c>
      <c r="T3694">
        <v>1</v>
      </c>
      <c r="U3694" t="s">
        <v>6021</v>
      </c>
      <c r="V3694">
        <v>0</v>
      </c>
    </row>
    <row r="3695" spans="1:22" x14ac:dyDescent="0.3">
      <c r="A3695" t="s">
        <v>3710</v>
      </c>
      <c r="B3695" s="2">
        <v>46188.625694444447</v>
      </c>
      <c r="C3695" s="2">
        <v>46189.325694444444</v>
      </c>
      <c r="D3695" t="s">
        <v>6025</v>
      </c>
      <c r="E3695" t="s">
        <v>6029</v>
      </c>
      <c r="F3695" t="s">
        <v>6034</v>
      </c>
      <c r="G3695" t="s">
        <v>6078</v>
      </c>
      <c r="H3695" t="s">
        <v>6097</v>
      </c>
      <c r="I3695">
        <v>24</v>
      </c>
      <c r="J3695">
        <v>16.8</v>
      </c>
      <c r="K3695" t="s">
        <v>6099</v>
      </c>
      <c r="L3695" t="s">
        <v>6100</v>
      </c>
      <c r="M3695" t="s">
        <v>6099</v>
      </c>
      <c r="N3695">
        <v>4</v>
      </c>
      <c r="O3695" t="s">
        <v>6101</v>
      </c>
      <c r="P3695" t="s">
        <v>6112</v>
      </c>
      <c r="Q3695">
        <v>6</v>
      </c>
      <c r="R3695">
        <v>2026</v>
      </c>
      <c r="S3695" t="s">
        <v>6099</v>
      </c>
      <c r="T3695">
        <v>1</v>
      </c>
      <c r="U3695" t="s">
        <v>6018</v>
      </c>
      <c r="V3695">
        <v>1</v>
      </c>
    </row>
    <row r="3696" spans="1:22" x14ac:dyDescent="0.3">
      <c r="A3696" t="s">
        <v>3711</v>
      </c>
      <c r="B3696" s="2">
        <v>46188.638194444444</v>
      </c>
      <c r="C3696" s="2">
        <v>46188.825694444444</v>
      </c>
      <c r="D3696" t="s">
        <v>6023</v>
      </c>
      <c r="E3696" t="s">
        <v>6029</v>
      </c>
      <c r="F3696" t="s">
        <v>6035</v>
      </c>
      <c r="G3696" t="s">
        <v>6067</v>
      </c>
      <c r="H3696" t="s">
        <v>6098</v>
      </c>
      <c r="I3696">
        <v>4</v>
      </c>
      <c r="J3696">
        <v>4.5</v>
      </c>
      <c r="K3696" t="s">
        <v>6099</v>
      </c>
      <c r="L3696" t="s">
        <v>6100</v>
      </c>
      <c r="M3696" t="s">
        <v>6100</v>
      </c>
      <c r="N3696">
        <v>5</v>
      </c>
      <c r="O3696" t="s">
        <v>6101</v>
      </c>
      <c r="P3696" t="s">
        <v>6112</v>
      </c>
      <c r="Q3696">
        <v>6</v>
      </c>
      <c r="R3696">
        <v>2026</v>
      </c>
      <c r="S3696" t="s">
        <v>6100</v>
      </c>
      <c r="T3696">
        <v>0</v>
      </c>
      <c r="U3696" t="s">
        <v>6020</v>
      </c>
      <c r="V3696">
        <v>1</v>
      </c>
    </row>
    <row r="3697" spans="1:22" x14ac:dyDescent="0.3">
      <c r="A3697" t="s">
        <v>3712</v>
      </c>
      <c r="B3697" s="2">
        <v>46188.673611111109</v>
      </c>
      <c r="C3697" s="2">
        <v>46190.277777777781</v>
      </c>
      <c r="D3697" t="s">
        <v>6022</v>
      </c>
      <c r="E3697" t="s">
        <v>6032</v>
      </c>
      <c r="F3697" t="s">
        <v>6034</v>
      </c>
      <c r="G3697" t="s">
        <v>6053</v>
      </c>
      <c r="H3697" t="s">
        <v>6097</v>
      </c>
      <c r="I3697">
        <v>24</v>
      </c>
      <c r="J3697">
        <v>38.5</v>
      </c>
      <c r="K3697" t="s">
        <v>6099</v>
      </c>
      <c r="L3697" t="s">
        <v>6100</v>
      </c>
      <c r="M3697" t="s">
        <v>6100</v>
      </c>
      <c r="N3697">
        <v>4</v>
      </c>
      <c r="O3697" t="s">
        <v>6101</v>
      </c>
      <c r="P3697" t="s">
        <v>6112</v>
      </c>
      <c r="Q3697">
        <v>6</v>
      </c>
      <c r="R3697">
        <v>2026</v>
      </c>
      <c r="S3697" t="s">
        <v>6100</v>
      </c>
      <c r="T3697">
        <v>0</v>
      </c>
      <c r="U3697" t="s">
        <v>6019</v>
      </c>
      <c r="V3697">
        <v>1</v>
      </c>
    </row>
    <row r="3698" spans="1:22" x14ac:dyDescent="0.3">
      <c r="A3698" t="s">
        <v>3713</v>
      </c>
      <c r="B3698" s="2">
        <v>46188.685416666667</v>
      </c>
      <c r="C3698" s="2">
        <v>46189.127083333333</v>
      </c>
      <c r="D3698" t="s">
        <v>6023</v>
      </c>
      <c r="E3698" t="s">
        <v>6029</v>
      </c>
      <c r="F3698" t="s">
        <v>6034</v>
      </c>
      <c r="G3698" t="s">
        <v>6038</v>
      </c>
      <c r="H3698" t="s">
        <v>6096</v>
      </c>
      <c r="I3698">
        <v>24</v>
      </c>
      <c r="J3698">
        <v>10.6</v>
      </c>
      <c r="K3698" t="s">
        <v>6099</v>
      </c>
      <c r="L3698" t="s">
        <v>6100</v>
      </c>
      <c r="M3698" t="s">
        <v>6100</v>
      </c>
      <c r="N3698">
        <v>4</v>
      </c>
      <c r="O3698" t="s">
        <v>6101</v>
      </c>
      <c r="P3698" t="s">
        <v>6112</v>
      </c>
      <c r="Q3698">
        <v>6</v>
      </c>
      <c r="R3698">
        <v>2026</v>
      </c>
      <c r="S3698" t="s">
        <v>6099</v>
      </c>
      <c r="T3698">
        <v>1</v>
      </c>
      <c r="U3698" t="s">
        <v>6020</v>
      </c>
      <c r="V3698">
        <v>1</v>
      </c>
    </row>
    <row r="3699" spans="1:22" x14ac:dyDescent="0.3">
      <c r="A3699" t="s">
        <v>3714</v>
      </c>
      <c r="B3699" s="2">
        <v>46188.718055555553</v>
      </c>
      <c r="C3699" s="2">
        <v>46188.909722222219</v>
      </c>
      <c r="D3699" t="s">
        <v>6023</v>
      </c>
      <c r="E3699" t="s">
        <v>6029</v>
      </c>
      <c r="F3699" t="s">
        <v>6033</v>
      </c>
      <c r="G3699" t="s">
        <v>6073</v>
      </c>
      <c r="H3699" t="s">
        <v>6096</v>
      </c>
      <c r="I3699">
        <v>72</v>
      </c>
      <c r="J3699">
        <v>4.5999999999999996</v>
      </c>
      <c r="K3699" t="s">
        <v>6099</v>
      </c>
      <c r="L3699" t="s">
        <v>6100</v>
      </c>
      <c r="M3699" t="s">
        <v>6100</v>
      </c>
      <c r="N3699">
        <v>5</v>
      </c>
      <c r="O3699" t="s">
        <v>6101</v>
      </c>
      <c r="P3699" t="s">
        <v>6112</v>
      </c>
      <c r="Q3699">
        <v>6</v>
      </c>
      <c r="R3699">
        <v>2026</v>
      </c>
      <c r="S3699" t="s">
        <v>6099</v>
      </c>
      <c r="T3699">
        <v>1</v>
      </c>
      <c r="U3699" t="s">
        <v>6019</v>
      </c>
      <c r="V3699">
        <v>1</v>
      </c>
    </row>
    <row r="3700" spans="1:22" x14ac:dyDescent="0.3">
      <c r="A3700" t="s">
        <v>3715</v>
      </c>
      <c r="B3700" s="2">
        <v>46188.780555555553</v>
      </c>
      <c r="C3700" s="2">
        <v>46189.134722222225</v>
      </c>
      <c r="D3700" t="s">
        <v>6024</v>
      </c>
      <c r="E3700" t="s">
        <v>6030</v>
      </c>
      <c r="F3700" t="s">
        <v>6033</v>
      </c>
      <c r="G3700" t="s">
        <v>6070</v>
      </c>
      <c r="H3700" t="s">
        <v>6097</v>
      </c>
      <c r="I3700">
        <v>72</v>
      </c>
      <c r="J3700">
        <v>8.5</v>
      </c>
      <c r="K3700" t="s">
        <v>6099</v>
      </c>
      <c r="L3700" t="s">
        <v>6100</v>
      </c>
      <c r="M3700" t="s">
        <v>6100</v>
      </c>
      <c r="N3700">
        <v>4</v>
      </c>
      <c r="O3700" t="s">
        <v>6101</v>
      </c>
      <c r="P3700" t="s">
        <v>6112</v>
      </c>
      <c r="Q3700">
        <v>6</v>
      </c>
      <c r="R3700">
        <v>2026</v>
      </c>
      <c r="S3700" t="s">
        <v>6099</v>
      </c>
      <c r="T3700">
        <v>1</v>
      </c>
      <c r="U3700" t="s">
        <v>6020</v>
      </c>
      <c r="V3700">
        <v>1</v>
      </c>
    </row>
    <row r="3701" spans="1:22" x14ac:dyDescent="0.3">
      <c r="A3701" t="s">
        <v>3716</v>
      </c>
      <c r="B3701" s="2">
        <v>46188.79583333333</v>
      </c>
      <c r="C3701" s="2">
        <v>46189.07916666667</v>
      </c>
      <c r="D3701" t="s">
        <v>6027</v>
      </c>
      <c r="E3701" t="s">
        <v>6030</v>
      </c>
      <c r="F3701" t="s">
        <v>6035</v>
      </c>
      <c r="G3701" t="s">
        <v>6067</v>
      </c>
      <c r="H3701" t="s">
        <v>6098</v>
      </c>
      <c r="I3701">
        <v>4</v>
      </c>
      <c r="J3701">
        <v>6.8</v>
      </c>
      <c r="K3701" t="s">
        <v>6099</v>
      </c>
      <c r="L3701" t="s">
        <v>6100</v>
      </c>
      <c r="M3701" t="s">
        <v>6100</v>
      </c>
      <c r="N3701">
        <v>4</v>
      </c>
      <c r="O3701" t="s">
        <v>6101</v>
      </c>
      <c r="P3701" t="s">
        <v>6112</v>
      </c>
      <c r="Q3701">
        <v>6</v>
      </c>
      <c r="R3701">
        <v>2026</v>
      </c>
      <c r="S3701" t="s">
        <v>6100</v>
      </c>
      <c r="T3701">
        <v>0</v>
      </c>
      <c r="U3701" t="s">
        <v>6017</v>
      </c>
      <c r="V3701">
        <v>1</v>
      </c>
    </row>
    <row r="3702" spans="1:22" x14ac:dyDescent="0.3">
      <c r="A3702" t="s">
        <v>3717</v>
      </c>
      <c r="B3702" s="2">
        <v>46188.813888888886</v>
      </c>
      <c r="C3702" s="2">
        <v>46189.318055555559</v>
      </c>
      <c r="D3702" t="s">
        <v>6024</v>
      </c>
      <c r="E3702" t="s">
        <v>6029</v>
      </c>
      <c r="F3702" t="s">
        <v>6034</v>
      </c>
      <c r="G3702" t="s">
        <v>6079</v>
      </c>
      <c r="H3702" t="s">
        <v>6097</v>
      </c>
      <c r="I3702">
        <v>24</v>
      </c>
      <c r="J3702">
        <v>12.1</v>
      </c>
      <c r="K3702" t="s">
        <v>6099</v>
      </c>
      <c r="L3702" t="s">
        <v>6100</v>
      </c>
      <c r="M3702" t="s">
        <v>6100</v>
      </c>
      <c r="O3702" t="s">
        <v>6101</v>
      </c>
      <c r="P3702" t="s">
        <v>6112</v>
      </c>
      <c r="Q3702">
        <v>6</v>
      </c>
      <c r="R3702">
        <v>2026</v>
      </c>
      <c r="S3702" t="s">
        <v>6099</v>
      </c>
      <c r="T3702">
        <v>1</v>
      </c>
      <c r="U3702" t="s">
        <v>6020</v>
      </c>
      <c r="V3702">
        <v>1</v>
      </c>
    </row>
    <row r="3703" spans="1:22" x14ac:dyDescent="0.3">
      <c r="A3703" t="s">
        <v>3718</v>
      </c>
      <c r="B3703" s="2">
        <v>46188.826388888891</v>
      </c>
      <c r="C3703" s="2">
        <v>46189.155555555553</v>
      </c>
      <c r="D3703" t="s">
        <v>6025</v>
      </c>
      <c r="E3703" t="s">
        <v>6030</v>
      </c>
      <c r="F3703" t="s">
        <v>6034</v>
      </c>
      <c r="G3703" t="s">
        <v>6047</v>
      </c>
      <c r="H3703" t="s">
        <v>6098</v>
      </c>
      <c r="I3703">
        <v>24</v>
      </c>
      <c r="J3703">
        <v>7.9</v>
      </c>
      <c r="K3703" t="s">
        <v>6099</v>
      </c>
      <c r="L3703" t="s">
        <v>6100</v>
      </c>
      <c r="M3703" t="s">
        <v>6100</v>
      </c>
      <c r="N3703">
        <v>5</v>
      </c>
      <c r="O3703" t="s">
        <v>6101</v>
      </c>
      <c r="P3703" t="s">
        <v>6112</v>
      </c>
      <c r="Q3703">
        <v>6</v>
      </c>
      <c r="R3703">
        <v>2026</v>
      </c>
      <c r="S3703" t="s">
        <v>6099</v>
      </c>
      <c r="T3703">
        <v>1</v>
      </c>
      <c r="U3703" t="s">
        <v>6020</v>
      </c>
      <c r="V3703">
        <v>1</v>
      </c>
    </row>
    <row r="3704" spans="1:22" x14ac:dyDescent="0.3">
      <c r="A3704" t="s">
        <v>3719</v>
      </c>
      <c r="B3704" s="2">
        <v>46188.852083333331</v>
      </c>
      <c r="C3704" s="2">
        <v>46189.09375</v>
      </c>
      <c r="D3704" t="s">
        <v>6023</v>
      </c>
      <c r="E3704" t="s">
        <v>6029</v>
      </c>
      <c r="F3704" t="s">
        <v>6033</v>
      </c>
      <c r="G3704" t="s">
        <v>6090</v>
      </c>
      <c r="H3704" t="s">
        <v>6097</v>
      </c>
      <c r="I3704">
        <v>72</v>
      </c>
      <c r="J3704">
        <v>5.8</v>
      </c>
      <c r="K3704" t="s">
        <v>6099</v>
      </c>
      <c r="L3704" t="s">
        <v>6100</v>
      </c>
      <c r="M3704" t="s">
        <v>6100</v>
      </c>
      <c r="O3704" t="s">
        <v>6101</v>
      </c>
      <c r="P3704" t="s">
        <v>6112</v>
      </c>
      <c r="Q3704">
        <v>6</v>
      </c>
      <c r="R3704">
        <v>2026</v>
      </c>
      <c r="S3704" t="s">
        <v>6099</v>
      </c>
      <c r="T3704">
        <v>1</v>
      </c>
      <c r="U3704" t="s">
        <v>6021</v>
      </c>
      <c r="V3704">
        <v>1</v>
      </c>
    </row>
    <row r="3705" spans="1:22" x14ac:dyDescent="0.3">
      <c r="A3705" t="s">
        <v>3720</v>
      </c>
      <c r="B3705" s="2">
        <v>46188.86041666667</v>
      </c>
      <c r="C3705" s="2">
        <v>46189.747916666667</v>
      </c>
      <c r="D3705" t="s">
        <v>6028</v>
      </c>
      <c r="E3705" t="s">
        <v>6031</v>
      </c>
      <c r="F3705" t="s">
        <v>6035</v>
      </c>
      <c r="G3705" t="s">
        <v>6052</v>
      </c>
      <c r="H3705" t="s">
        <v>6098</v>
      </c>
      <c r="I3705">
        <v>4</v>
      </c>
      <c r="J3705">
        <v>21.3</v>
      </c>
      <c r="K3705" t="s">
        <v>6099</v>
      </c>
      <c r="L3705" t="s">
        <v>6100</v>
      </c>
      <c r="M3705" t="s">
        <v>6100</v>
      </c>
      <c r="N3705">
        <v>4</v>
      </c>
      <c r="O3705" t="s">
        <v>6101</v>
      </c>
      <c r="P3705" t="s">
        <v>6112</v>
      </c>
      <c r="Q3705">
        <v>6</v>
      </c>
      <c r="R3705">
        <v>2026</v>
      </c>
      <c r="S3705" t="s">
        <v>6100</v>
      </c>
      <c r="T3705">
        <v>0</v>
      </c>
      <c r="U3705" t="s">
        <v>6018</v>
      </c>
      <c r="V3705">
        <v>1</v>
      </c>
    </row>
    <row r="3706" spans="1:22" x14ac:dyDescent="0.3">
      <c r="A3706" t="s">
        <v>3721</v>
      </c>
      <c r="B3706" s="2">
        <v>46188.875</v>
      </c>
      <c r="C3706" s="2">
        <v>46189.3125</v>
      </c>
      <c r="D3706" t="s">
        <v>6022</v>
      </c>
      <c r="E3706" t="s">
        <v>6032</v>
      </c>
      <c r="F3706" t="s">
        <v>6034</v>
      </c>
      <c r="G3706" t="s">
        <v>6062</v>
      </c>
      <c r="H3706" t="s">
        <v>6096</v>
      </c>
      <c r="I3706">
        <v>24</v>
      </c>
      <c r="J3706">
        <v>10.5</v>
      </c>
      <c r="K3706" t="s">
        <v>6099</v>
      </c>
      <c r="L3706" t="s">
        <v>6100</v>
      </c>
      <c r="M3706" t="s">
        <v>6100</v>
      </c>
      <c r="N3706">
        <v>5</v>
      </c>
      <c r="O3706" t="s">
        <v>6101</v>
      </c>
      <c r="P3706" t="s">
        <v>6112</v>
      </c>
      <c r="Q3706">
        <v>6</v>
      </c>
      <c r="R3706">
        <v>2026</v>
      </c>
      <c r="S3706" t="s">
        <v>6099</v>
      </c>
      <c r="T3706">
        <v>1</v>
      </c>
      <c r="U3706" t="s">
        <v>6020</v>
      </c>
      <c r="V3706">
        <v>1</v>
      </c>
    </row>
    <row r="3707" spans="1:22" x14ac:dyDescent="0.3">
      <c r="A3707" t="s">
        <v>3722</v>
      </c>
      <c r="B3707" s="2">
        <v>46189.149305555555</v>
      </c>
      <c r="C3707" s="2">
        <v>46189.320138888892</v>
      </c>
      <c r="D3707" t="s">
        <v>6022</v>
      </c>
      <c r="E3707" t="s">
        <v>6029</v>
      </c>
      <c r="F3707" t="s">
        <v>6034</v>
      </c>
      <c r="G3707" t="s">
        <v>6060</v>
      </c>
      <c r="H3707" t="s">
        <v>6097</v>
      </c>
      <c r="I3707">
        <v>24</v>
      </c>
      <c r="J3707">
        <v>4.0999999999999996</v>
      </c>
      <c r="K3707" t="s">
        <v>6099</v>
      </c>
      <c r="L3707" t="s">
        <v>6100</v>
      </c>
      <c r="M3707" t="s">
        <v>6100</v>
      </c>
      <c r="N3707">
        <v>5</v>
      </c>
      <c r="O3707" t="s">
        <v>6101</v>
      </c>
      <c r="P3707" t="s">
        <v>6112</v>
      </c>
      <c r="Q3707">
        <v>6</v>
      </c>
      <c r="R3707">
        <v>2026</v>
      </c>
      <c r="S3707" t="s">
        <v>6099</v>
      </c>
      <c r="T3707">
        <v>1</v>
      </c>
      <c r="U3707" t="s">
        <v>6021</v>
      </c>
      <c r="V3707">
        <v>1</v>
      </c>
    </row>
    <row r="3708" spans="1:22" x14ac:dyDescent="0.3">
      <c r="A3708" t="s">
        <v>3723</v>
      </c>
      <c r="B3708" s="2">
        <v>46189.226388888892</v>
      </c>
      <c r="C3708" s="2">
        <v>46193.180555555555</v>
      </c>
      <c r="D3708" t="s">
        <v>6026</v>
      </c>
      <c r="E3708" t="s">
        <v>6032</v>
      </c>
      <c r="F3708" t="s">
        <v>6035</v>
      </c>
      <c r="G3708" t="s">
        <v>6082</v>
      </c>
      <c r="H3708" t="s">
        <v>6097</v>
      </c>
      <c r="I3708">
        <v>4</v>
      </c>
      <c r="J3708">
        <v>94.9</v>
      </c>
      <c r="K3708" t="s">
        <v>6099</v>
      </c>
      <c r="L3708" t="s">
        <v>6100</v>
      </c>
      <c r="M3708" t="s">
        <v>6100</v>
      </c>
      <c r="O3708" t="s">
        <v>6101</v>
      </c>
      <c r="P3708" t="s">
        <v>6112</v>
      </c>
      <c r="Q3708">
        <v>6</v>
      </c>
      <c r="R3708">
        <v>2026</v>
      </c>
      <c r="S3708" t="s">
        <v>6100</v>
      </c>
      <c r="T3708">
        <v>0</v>
      </c>
      <c r="U3708" t="s">
        <v>6019</v>
      </c>
      <c r="V3708">
        <v>1</v>
      </c>
    </row>
    <row r="3709" spans="1:22" x14ac:dyDescent="0.3">
      <c r="A3709" t="s">
        <v>3724</v>
      </c>
      <c r="B3709" s="2">
        <v>46189.333333333336</v>
      </c>
      <c r="C3709" s="2">
        <v>46190.416666666664</v>
      </c>
      <c r="D3709" t="s">
        <v>6024</v>
      </c>
      <c r="E3709" t="s">
        <v>6030</v>
      </c>
      <c r="F3709" t="s">
        <v>6035</v>
      </c>
      <c r="G3709" t="s">
        <v>6078</v>
      </c>
      <c r="H3709" t="s">
        <v>6097</v>
      </c>
      <c r="I3709">
        <v>4</v>
      </c>
      <c r="J3709">
        <v>26</v>
      </c>
      <c r="K3709" t="s">
        <v>6099</v>
      </c>
      <c r="L3709" t="s">
        <v>6100</v>
      </c>
      <c r="M3709" t="s">
        <v>6100</v>
      </c>
      <c r="N3709">
        <v>3</v>
      </c>
      <c r="O3709" t="s">
        <v>6101</v>
      </c>
      <c r="P3709" t="s">
        <v>6112</v>
      </c>
      <c r="Q3709">
        <v>6</v>
      </c>
      <c r="R3709">
        <v>2026</v>
      </c>
      <c r="S3709" t="s">
        <v>6100</v>
      </c>
      <c r="T3709">
        <v>0</v>
      </c>
      <c r="U3709" t="s">
        <v>6021</v>
      </c>
      <c r="V3709">
        <v>1</v>
      </c>
    </row>
    <row r="3710" spans="1:22" x14ac:dyDescent="0.3">
      <c r="A3710" t="s">
        <v>3725</v>
      </c>
      <c r="B3710" s="2">
        <v>46189.338194444441</v>
      </c>
      <c r="C3710" s="2">
        <v>46189.567361111112</v>
      </c>
      <c r="D3710" t="s">
        <v>6027</v>
      </c>
      <c r="E3710" t="s">
        <v>6032</v>
      </c>
      <c r="F3710" t="s">
        <v>6035</v>
      </c>
      <c r="G3710" t="s">
        <v>6087</v>
      </c>
      <c r="H3710" t="s">
        <v>6098</v>
      </c>
      <c r="I3710">
        <v>4</v>
      </c>
      <c r="J3710">
        <v>5.5</v>
      </c>
      <c r="K3710" t="s">
        <v>6099</v>
      </c>
      <c r="L3710" t="s">
        <v>6100</v>
      </c>
      <c r="M3710" t="s">
        <v>6100</v>
      </c>
      <c r="N3710">
        <v>4</v>
      </c>
      <c r="O3710" t="s">
        <v>6101</v>
      </c>
      <c r="P3710" t="s">
        <v>6112</v>
      </c>
      <c r="Q3710">
        <v>6</v>
      </c>
      <c r="R3710">
        <v>2026</v>
      </c>
      <c r="S3710" t="s">
        <v>6100</v>
      </c>
      <c r="T3710">
        <v>0</v>
      </c>
      <c r="U3710" t="s">
        <v>6021</v>
      </c>
      <c r="V3710">
        <v>1</v>
      </c>
    </row>
    <row r="3711" spans="1:22" x14ac:dyDescent="0.3">
      <c r="A3711" t="s">
        <v>3726</v>
      </c>
      <c r="B3711" s="2">
        <v>46189.353472222225</v>
      </c>
      <c r="C3711" s="2">
        <v>46190.02847222222</v>
      </c>
      <c r="D3711" t="s">
        <v>6022</v>
      </c>
      <c r="E3711" t="s">
        <v>6029</v>
      </c>
      <c r="F3711" t="s">
        <v>6033</v>
      </c>
      <c r="G3711" t="s">
        <v>6055</v>
      </c>
      <c r="H3711" t="s">
        <v>6096</v>
      </c>
      <c r="I3711">
        <v>72</v>
      </c>
      <c r="J3711">
        <v>16.2</v>
      </c>
      <c r="K3711" t="s">
        <v>6099</v>
      </c>
      <c r="L3711" t="s">
        <v>6100</v>
      </c>
      <c r="M3711" t="s">
        <v>6100</v>
      </c>
      <c r="O3711" t="s">
        <v>6101</v>
      </c>
      <c r="P3711" t="s">
        <v>6112</v>
      </c>
      <c r="Q3711">
        <v>6</v>
      </c>
      <c r="R3711">
        <v>2026</v>
      </c>
      <c r="S3711" t="s">
        <v>6099</v>
      </c>
      <c r="T3711">
        <v>1</v>
      </c>
      <c r="U3711" t="s">
        <v>6019</v>
      </c>
      <c r="V3711">
        <v>1</v>
      </c>
    </row>
    <row r="3712" spans="1:22" x14ac:dyDescent="0.3">
      <c r="A3712" t="s">
        <v>3727</v>
      </c>
      <c r="B3712" s="2">
        <v>46189.36041666667</v>
      </c>
      <c r="C3712" s="2">
        <v>46189.847916666666</v>
      </c>
      <c r="D3712" t="s">
        <v>6024</v>
      </c>
      <c r="E3712" t="s">
        <v>6029</v>
      </c>
      <c r="F3712" t="s">
        <v>6034</v>
      </c>
      <c r="G3712" t="s">
        <v>6058</v>
      </c>
      <c r="H3712" t="s">
        <v>6098</v>
      </c>
      <c r="I3712">
        <v>24</v>
      </c>
      <c r="J3712">
        <v>11.7</v>
      </c>
      <c r="K3712" t="s">
        <v>6099</v>
      </c>
      <c r="L3712" t="s">
        <v>6100</v>
      </c>
      <c r="M3712" t="s">
        <v>6100</v>
      </c>
      <c r="N3712">
        <v>5</v>
      </c>
      <c r="O3712" t="s">
        <v>6101</v>
      </c>
      <c r="P3712" t="s">
        <v>6112</v>
      </c>
      <c r="Q3712">
        <v>6</v>
      </c>
      <c r="R3712">
        <v>2026</v>
      </c>
      <c r="S3712" t="s">
        <v>6099</v>
      </c>
      <c r="T3712">
        <v>1</v>
      </c>
      <c r="U3712" t="s">
        <v>6019</v>
      </c>
      <c r="V3712">
        <v>1</v>
      </c>
    </row>
    <row r="3713" spans="1:22" x14ac:dyDescent="0.3">
      <c r="A3713" t="s">
        <v>3728</v>
      </c>
      <c r="B3713" s="2">
        <v>46189.425694444442</v>
      </c>
      <c r="C3713" s="2">
        <v>46189.767361111109</v>
      </c>
      <c r="D3713" t="s">
        <v>6024</v>
      </c>
      <c r="E3713" t="s">
        <v>6029</v>
      </c>
      <c r="F3713" t="s">
        <v>6035</v>
      </c>
      <c r="G3713" t="s">
        <v>6063</v>
      </c>
      <c r="H3713" t="s">
        <v>6097</v>
      </c>
      <c r="I3713">
        <v>4</v>
      </c>
      <c r="J3713">
        <v>8.1999999999999993</v>
      </c>
      <c r="K3713" t="s">
        <v>6099</v>
      </c>
      <c r="L3713" t="s">
        <v>6100</v>
      </c>
      <c r="M3713" t="s">
        <v>6100</v>
      </c>
      <c r="N3713">
        <v>4</v>
      </c>
      <c r="O3713" t="s">
        <v>6101</v>
      </c>
      <c r="P3713" t="s">
        <v>6112</v>
      </c>
      <c r="Q3713">
        <v>6</v>
      </c>
      <c r="R3713">
        <v>2026</v>
      </c>
      <c r="S3713" t="s">
        <v>6100</v>
      </c>
      <c r="T3713">
        <v>0</v>
      </c>
      <c r="U3713" t="s">
        <v>6019</v>
      </c>
      <c r="V3713">
        <v>1</v>
      </c>
    </row>
    <row r="3714" spans="1:22" x14ac:dyDescent="0.3">
      <c r="A3714" t="s">
        <v>3729</v>
      </c>
      <c r="B3714" s="2">
        <v>46189.53402777778</v>
      </c>
      <c r="C3714" s="2">
        <v>46189.667361111111</v>
      </c>
      <c r="D3714" t="s">
        <v>6023</v>
      </c>
      <c r="E3714" t="s">
        <v>6029</v>
      </c>
      <c r="F3714" t="s">
        <v>6034</v>
      </c>
      <c r="G3714" t="s">
        <v>6039</v>
      </c>
      <c r="H3714" t="s">
        <v>6097</v>
      </c>
      <c r="I3714">
        <v>24</v>
      </c>
      <c r="J3714">
        <v>3.2</v>
      </c>
      <c r="K3714" t="s">
        <v>6099</v>
      </c>
      <c r="L3714" t="s">
        <v>6100</v>
      </c>
      <c r="M3714" t="s">
        <v>6099</v>
      </c>
      <c r="N3714">
        <v>4</v>
      </c>
      <c r="O3714" t="s">
        <v>6101</v>
      </c>
      <c r="P3714" t="s">
        <v>6112</v>
      </c>
      <c r="Q3714">
        <v>6</v>
      </c>
      <c r="R3714">
        <v>2026</v>
      </c>
      <c r="S3714" t="s">
        <v>6099</v>
      </c>
      <c r="T3714">
        <v>1</v>
      </c>
      <c r="U3714" t="s">
        <v>6017</v>
      </c>
      <c r="V3714">
        <v>1</v>
      </c>
    </row>
    <row r="3715" spans="1:22" x14ac:dyDescent="0.3">
      <c r="A3715" t="s">
        <v>3730</v>
      </c>
      <c r="B3715" s="2">
        <v>46189.543749999997</v>
      </c>
      <c r="C3715" s="2">
        <v>46190.439583333333</v>
      </c>
      <c r="D3715" t="s">
        <v>6028</v>
      </c>
      <c r="E3715" t="s">
        <v>6031</v>
      </c>
      <c r="F3715" t="s">
        <v>6034</v>
      </c>
      <c r="G3715" t="s">
        <v>6085</v>
      </c>
      <c r="H3715" t="s">
        <v>6097</v>
      </c>
      <c r="I3715">
        <v>24</v>
      </c>
      <c r="J3715">
        <v>21.5</v>
      </c>
      <c r="K3715" t="s">
        <v>6099</v>
      </c>
      <c r="L3715" t="s">
        <v>6100</v>
      </c>
      <c r="M3715" t="s">
        <v>6100</v>
      </c>
      <c r="O3715" t="s">
        <v>6101</v>
      </c>
      <c r="P3715" t="s">
        <v>6112</v>
      </c>
      <c r="Q3715">
        <v>6</v>
      </c>
      <c r="R3715">
        <v>2026</v>
      </c>
      <c r="S3715" t="s">
        <v>6099</v>
      </c>
      <c r="T3715">
        <v>1</v>
      </c>
      <c r="U3715" t="s">
        <v>6021</v>
      </c>
      <c r="V3715">
        <v>1</v>
      </c>
    </row>
    <row r="3716" spans="1:22" x14ac:dyDescent="0.3">
      <c r="A3716" t="s">
        <v>3731</v>
      </c>
      <c r="B3716" s="2">
        <v>46189.569444444445</v>
      </c>
      <c r="C3716" s="2">
        <v>46190.131944444445</v>
      </c>
      <c r="D3716" t="s">
        <v>6025</v>
      </c>
      <c r="E3716" t="s">
        <v>6029</v>
      </c>
      <c r="F3716" t="s">
        <v>6033</v>
      </c>
      <c r="G3716" t="s">
        <v>6038</v>
      </c>
      <c r="H3716" t="s">
        <v>6096</v>
      </c>
      <c r="I3716">
        <v>72</v>
      </c>
      <c r="J3716">
        <v>13.5</v>
      </c>
      <c r="K3716" t="s">
        <v>6099</v>
      </c>
      <c r="L3716" t="s">
        <v>6100</v>
      </c>
      <c r="M3716" t="s">
        <v>6100</v>
      </c>
      <c r="N3716">
        <v>4</v>
      </c>
      <c r="O3716" t="s">
        <v>6101</v>
      </c>
      <c r="P3716" t="s">
        <v>6112</v>
      </c>
      <c r="Q3716">
        <v>6</v>
      </c>
      <c r="R3716">
        <v>2026</v>
      </c>
      <c r="S3716" t="s">
        <v>6099</v>
      </c>
      <c r="T3716">
        <v>1</v>
      </c>
      <c r="U3716" t="s">
        <v>6017</v>
      </c>
      <c r="V3716">
        <v>1</v>
      </c>
    </row>
    <row r="3717" spans="1:22" x14ac:dyDescent="0.3">
      <c r="A3717" t="s">
        <v>3732</v>
      </c>
      <c r="B3717" s="2">
        <v>46189.582638888889</v>
      </c>
      <c r="C3717" s="2">
        <v>46189.953472222223</v>
      </c>
      <c r="D3717" t="s">
        <v>6023</v>
      </c>
      <c r="E3717" t="s">
        <v>6032</v>
      </c>
      <c r="F3717" t="s">
        <v>6034</v>
      </c>
      <c r="G3717" t="s">
        <v>6089</v>
      </c>
      <c r="H3717" t="s">
        <v>6098</v>
      </c>
      <c r="I3717">
        <v>24</v>
      </c>
      <c r="J3717">
        <v>8.9</v>
      </c>
      <c r="K3717" t="s">
        <v>6099</v>
      </c>
      <c r="L3717" t="s">
        <v>6100</v>
      </c>
      <c r="M3717" t="s">
        <v>6100</v>
      </c>
      <c r="O3717" t="s">
        <v>6101</v>
      </c>
      <c r="P3717" t="s">
        <v>6112</v>
      </c>
      <c r="Q3717">
        <v>6</v>
      </c>
      <c r="R3717">
        <v>2026</v>
      </c>
      <c r="S3717" t="s">
        <v>6099</v>
      </c>
      <c r="T3717">
        <v>1</v>
      </c>
      <c r="U3717" t="s">
        <v>6017</v>
      </c>
      <c r="V3717">
        <v>1</v>
      </c>
    </row>
    <row r="3718" spans="1:22" x14ac:dyDescent="0.3">
      <c r="A3718" t="s">
        <v>3733</v>
      </c>
      <c r="B3718" s="2">
        <v>46189.593055555553</v>
      </c>
      <c r="C3718" s="2">
        <v>46190.472222222219</v>
      </c>
      <c r="D3718" t="s">
        <v>6024</v>
      </c>
      <c r="E3718" t="s">
        <v>6031</v>
      </c>
      <c r="F3718" t="s">
        <v>6034</v>
      </c>
      <c r="G3718" t="s">
        <v>6088</v>
      </c>
      <c r="H3718" t="s">
        <v>6097</v>
      </c>
      <c r="I3718">
        <v>24</v>
      </c>
      <c r="J3718">
        <v>21.1</v>
      </c>
      <c r="K3718" t="s">
        <v>6099</v>
      </c>
      <c r="L3718" t="s">
        <v>6100</v>
      </c>
      <c r="M3718" t="s">
        <v>6100</v>
      </c>
      <c r="N3718">
        <v>5</v>
      </c>
      <c r="O3718" t="s">
        <v>6101</v>
      </c>
      <c r="P3718" t="s">
        <v>6112</v>
      </c>
      <c r="Q3718">
        <v>6</v>
      </c>
      <c r="R3718">
        <v>2026</v>
      </c>
      <c r="S3718" t="s">
        <v>6099</v>
      </c>
      <c r="T3718">
        <v>1</v>
      </c>
      <c r="U3718" t="s">
        <v>6020</v>
      </c>
      <c r="V3718">
        <v>1</v>
      </c>
    </row>
    <row r="3719" spans="1:22" x14ac:dyDescent="0.3">
      <c r="A3719" t="s">
        <v>3734</v>
      </c>
      <c r="B3719" s="2">
        <v>46189.62222222222</v>
      </c>
      <c r="C3719" s="2">
        <v>46190.084722222222</v>
      </c>
      <c r="D3719" t="s">
        <v>6025</v>
      </c>
      <c r="E3719" t="s">
        <v>6029</v>
      </c>
      <c r="F3719" t="s">
        <v>6033</v>
      </c>
      <c r="G3719" t="s">
        <v>6068</v>
      </c>
      <c r="H3719" t="s">
        <v>6098</v>
      </c>
      <c r="I3719">
        <v>72</v>
      </c>
      <c r="J3719">
        <v>11.1</v>
      </c>
      <c r="K3719" t="s">
        <v>6099</v>
      </c>
      <c r="L3719" t="s">
        <v>6100</v>
      </c>
      <c r="M3719" t="s">
        <v>6100</v>
      </c>
      <c r="O3719" t="s">
        <v>6101</v>
      </c>
      <c r="P3719" t="s">
        <v>6112</v>
      </c>
      <c r="Q3719">
        <v>6</v>
      </c>
      <c r="R3719">
        <v>2026</v>
      </c>
      <c r="S3719" t="s">
        <v>6099</v>
      </c>
      <c r="T3719">
        <v>1</v>
      </c>
      <c r="U3719" t="s">
        <v>6019</v>
      </c>
      <c r="V3719">
        <v>1</v>
      </c>
    </row>
    <row r="3720" spans="1:22" x14ac:dyDescent="0.3">
      <c r="A3720" t="s">
        <v>3735</v>
      </c>
      <c r="B3720" s="2">
        <v>46189.634722222225</v>
      </c>
      <c r="C3720" s="2">
        <v>46189.888888888891</v>
      </c>
      <c r="D3720" t="s">
        <v>6023</v>
      </c>
      <c r="E3720" t="s">
        <v>6029</v>
      </c>
      <c r="F3720" t="s">
        <v>6034</v>
      </c>
      <c r="G3720" t="s">
        <v>6077</v>
      </c>
      <c r="H3720" t="s">
        <v>6098</v>
      </c>
      <c r="I3720">
        <v>24</v>
      </c>
      <c r="J3720">
        <v>6.1</v>
      </c>
      <c r="K3720" t="s">
        <v>6099</v>
      </c>
      <c r="L3720" t="s">
        <v>6100</v>
      </c>
      <c r="M3720" t="s">
        <v>6100</v>
      </c>
      <c r="N3720">
        <v>5</v>
      </c>
      <c r="O3720" t="s">
        <v>6101</v>
      </c>
      <c r="P3720" t="s">
        <v>6112</v>
      </c>
      <c r="Q3720">
        <v>6</v>
      </c>
      <c r="R3720">
        <v>2026</v>
      </c>
      <c r="S3720" t="s">
        <v>6099</v>
      </c>
      <c r="T3720">
        <v>1</v>
      </c>
      <c r="U3720" t="s">
        <v>6019</v>
      </c>
      <c r="V3720">
        <v>1</v>
      </c>
    </row>
    <row r="3721" spans="1:22" x14ac:dyDescent="0.3">
      <c r="A3721" t="s">
        <v>3736</v>
      </c>
      <c r="B3721" s="2">
        <v>46189.636111111111</v>
      </c>
      <c r="C3721" s="2">
        <v>46190.573611111111</v>
      </c>
      <c r="D3721" t="s">
        <v>6025</v>
      </c>
      <c r="E3721" t="s">
        <v>6031</v>
      </c>
      <c r="F3721" t="s">
        <v>6035</v>
      </c>
      <c r="G3721" t="s">
        <v>6086</v>
      </c>
      <c r="H3721" t="s">
        <v>6098</v>
      </c>
      <c r="I3721">
        <v>4</v>
      </c>
      <c r="J3721">
        <v>22.5</v>
      </c>
      <c r="K3721" t="s">
        <v>6099</v>
      </c>
      <c r="L3721" t="s">
        <v>6100</v>
      </c>
      <c r="M3721" t="s">
        <v>6100</v>
      </c>
      <c r="O3721" t="s">
        <v>6101</v>
      </c>
      <c r="P3721" t="s">
        <v>6112</v>
      </c>
      <c r="Q3721">
        <v>6</v>
      </c>
      <c r="R3721">
        <v>2026</v>
      </c>
      <c r="S3721" t="s">
        <v>6100</v>
      </c>
      <c r="T3721">
        <v>0</v>
      </c>
      <c r="U3721" t="s">
        <v>6018</v>
      </c>
      <c r="V3721">
        <v>1</v>
      </c>
    </row>
    <row r="3722" spans="1:22" x14ac:dyDescent="0.3">
      <c r="A3722" t="s">
        <v>3737</v>
      </c>
      <c r="B3722" s="2">
        <v>46189.654861111114</v>
      </c>
      <c r="C3722" s="2">
        <v>46189.742361111108</v>
      </c>
      <c r="D3722" t="s">
        <v>6027</v>
      </c>
      <c r="E3722" t="s">
        <v>6029</v>
      </c>
      <c r="F3722" t="s">
        <v>6033</v>
      </c>
      <c r="G3722" t="s">
        <v>6074</v>
      </c>
      <c r="H3722" t="s">
        <v>6098</v>
      </c>
      <c r="I3722">
        <v>72</v>
      </c>
      <c r="J3722">
        <v>2.1</v>
      </c>
      <c r="K3722" t="s">
        <v>6099</v>
      </c>
      <c r="L3722" t="s">
        <v>6100</v>
      </c>
      <c r="M3722" t="s">
        <v>6100</v>
      </c>
      <c r="O3722" t="s">
        <v>6101</v>
      </c>
      <c r="P3722" t="s">
        <v>6112</v>
      </c>
      <c r="Q3722">
        <v>6</v>
      </c>
      <c r="R3722">
        <v>2026</v>
      </c>
      <c r="S3722" t="s">
        <v>6099</v>
      </c>
      <c r="T3722">
        <v>1</v>
      </c>
      <c r="U3722" t="s">
        <v>6020</v>
      </c>
      <c r="V3722">
        <v>1</v>
      </c>
    </row>
    <row r="3723" spans="1:22" x14ac:dyDescent="0.3">
      <c r="A3723" t="s">
        <v>3738</v>
      </c>
      <c r="B3723" s="2">
        <v>46189.663888888892</v>
      </c>
      <c r="C3723" s="2">
        <v>46190.87222222222</v>
      </c>
      <c r="D3723" t="s">
        <v>6022</v>
      </c>
      <c r="E3723" t="s">
        <v>6031</v>
      </c>
      <c r="F3723" t="s">
        <v>6035</v>
      </c>
      <c r="G3723" t="s">
        <v>6052</v>
      </c>
      <c r="H3723" t="s">
        <v>6098</v>
      </c>
      <c r="I3723">
        <v>4</v>
      </c>
      <c r="J3723">
        <v>29</v>
      </c>
      <c r="K3723" t="s">
        <v>6099</v>
      </c>
      <c r="L3723" t="s">
        <v>6100</v>
      </c>
      <c r="M3723" t="s">
        <v>6100</v>
      </c>
      <c r="N3723">
        <v>4</v>
      </c>
      <c r="O3723" t="s">
        <v>6101</v>
      </c>
      <c r="P3723" t="s">
        <v>6112</v>
      </c>
      <c r="Q3723">
        <v>6</v>
      </c>
      <c r="R3723">
        <v>2026</v>
      </c>
      <c r="S3723" t="s">
        <v>6100</v>
      </c>
      <c r="T3723">
        <v>0</v>
      </c>
      <c r="U3723" t="s">
        <v>6018</v>
      </c>
      <c r="V3723">
        <v>1</v>
      </c>
    </row>
    <row r="3724" spans="1:22" x14ac:dyDescent="0.3">
      <c r="A3724" t="s">
        <v>3739</v>
      </c>
      <c r="B3724" s="2">
        <v>46189.680555555555</v>
      </c>
      <c r="C3724" s="2">
        <v>46189.976388888892</v>
      </c>
      <c r="D3724" t="s">
        <v>6028</v>
      </c>
      <c r="E3724" t="s">
        <v>6030</v>
      </c>
      <c r="F3724" t="s">
        <v>6035</v>
      </c>
      <c r="G3724" t="s">
        <v>6089</v>
      </c>
      <c r="H3724" t="s">
        <v>6098</v>
      </c>
      <c r="I3724">
        <v>4</v>
      </c>
      <c r="J3724">
        <v>7.1</v>
      </c>
      <c r="K3724" t="s">
        <v>6100</v>
      </c>
      <c r="L3724" t="s">
        <v>6099</v>
      </c>
      <c r="M3724" t="s">
        <v>6100</v>
      </c>
      <c r="N3724">
        <v>3</v>
      </c>
      <c r="O3724" t="s">
        <v>6101</v>
      </c>
      <c r="P3724" t="s">
        <v>6112</v>
      </c>
      <c r="Q3724">
        <v>6</v>
      </c>
      <c r="R3724">
        <v>2026</v>
      </c>
      <c r="S3724" t="s">
        <v>6100</v>
      </c>
      <c r="T3724">
        <v>0</v>
      </c>
      <c r="U3724" t="s">
        <v>6021</v>
      </c>
      <c r="V3724">
        <v>0</v>
      </c>
    </row>
    <row r="3725" spans="1:22" x14ac:dyDescent="0.3">
      <c r="A3725" t="s">
        <v>3740</v>
      </c>
      <c r="B3725" s="2">
        <v>46189.720833333333</v>
      </c>
      <c r="C3725" s="2">
        <v>46190.316666666666</v>
      </c>
      <c r="D3725" t="s">
        <v>6022</v>
      </c>
      <c r="E3725" t="s">
        <v>6029</v>
      </c>
      <c r="F3725" t="s">
        <v>6033</v>
      </c>
      <c r="G3725" t="s">
        <v>6095</v>
      </c>
      <c r="H3725" t="s">
        <v>6098</v>
      </c>
      <c r="I3725">
        <v>72</v>
      </c>
      <c r="J3725">
        <v>14.3</v>
      </c>
      <c r="K3725" t="s">
        <v>6100</v>
      </c>
      <c r="L3725" t="s">
        <v>6099</v>
      </c>
      <c r="M3725" t="s">
        <v>6099</v>
      </c>
      <c r="O3725" t="s">
        <v>6101</v>
      </c>
      <c r="P3725" t="s">
        <v>6112</v>
      </c>
      <c r="Q3725">
        <v>6</v>
      </c>
      <c r="R3725">
        <v>2026</v>
      </c>
      <c r="S3725" t="s">
        <v>6099</v>
      </c>
      <c r="T3725">
        <v>1</v>
      </c>
      <c r="U3725" t="s">
        <v>6018</v>
      </c>
      <c r="V3725">
        <v>0</v>
      </c>
    </row>
    <row r="3726" spans="1:22" x14ac:dyDescent="0.3">
      <c r="A3726" t="s">
        <v>3741</v>
      </c>
      <c r="B3726" s="2">
        <v>46189.722222222219</v>
      </c>
      <c r="C3726" s="2">
        <v>46190.909722222219</v>
      </c>
      <c r="D3726" t="s">
        <v>6023</v>
      </c>
      <c r="E3726" t="s">
        <v>6032</v>
      </c>
      <c r="F3726" t="s">
        <v>6033</v>
      </c>
      <c r="G3726" t="s">
        <v>6089</v>
      </c>
      <c r="H3726" t="s">
        <v>6098</v>
      </c>
      <c r="I3726">
        <v>72</v>
      </c>
      <c r="J3726">
        <v>28.5</v>
      </c>
      <c r="K3726" t="s">
        <v>6100</v>
      </c>
      <c r="L3726" t="s">
        <v>6100</v>
      </c>
      <c r="M3726" t="s">
        <v>6100</v>
      </c>
      <c r="N3726">
        <v>2</v>
      </c>
      <c r="O3726" t="s">
        <v>6101</v>
      </c>
      <c r="P3726" t="s">
        <v>6112</v>
      </c>
      <c r="Q3726">
        <v>6</v>
      </c>
      <c r="R3726">
        <v>2026</v>
      </c>
      <c r="S3726" t="s">
        <v>6099</v>
      </c>
      <c r="T3726">
        <v>1</v>
      </c>
      <c r="U3726" t="s">
        <v>6020</v>
      </c>
      <c r="V3726">
        <v>0</v>
      </c>
    </row>
    <row r="3727" spans="1:22" x14ac:dyDescent="0.3">
      <c r="A3727" t="s">
        <v>3742</v>
      </c>
      <c r="B3727" s="2">
        <v>46189.820833333331</v>
      </c>
      <c r="C3727" s="2">
        <v>46190.208333333336</v>
      </c>
      <c r="D3727" t="s">
        <v>6028</v>
      </c>
      <c r="E3727" t="s">
        <v>6029</v>
      </c>
      <c r="F3727" t="s">
        <v>6035</v>
      </c>
      <c r="G3727" t="s">
        <v>6073</v>
      </c>
      <c r="H3727" t="s">
        <v>6096</v>
      </c>
      <c r="I3727">
        <v>4</v>
      </c>
      <c r="J3727">
        <v>9.3000000000000007</v>
      </c>
      <c r="K3727" t="s">
        <v>6099</v>
      </c>
      <c r="L3727" t="s">
        <v>6100</v>
      </c>
      <c r="M3727" t="s">
        <v>6100</v>
      </c>
      <c r="O3727" t="s">
        <v>6101</v>
      </c>
      <c r="P3727" t="s">
        <v>6112</v>
      </c>
      <c r="Q3727">
        <v>6</v>
      </c>
      <c r="R3727">
        <v>2026</v>
      </c>
      <c r="S3727" t="s">
        <v>6100</v>
      </c>
      <c r="T3727">
        <v>0</v>
      </c>
      <c r="U3727" t="s">
        <v>6017</v>
      </c>
      <c r="V3727">
        <v>1</v>
      </c>
    </row>
    <row r="3728" spans="1:22" x14ac:dyDescent="0.3">
      <c r="A3728" t="s">
        <v>3743</v>
      </c>
      <c r="B3728" s="2">
        <v>46190.009722222225</v>
      </c>
      <c r="C3728" s="2">
        <v>46190.193055555559</v>
      </c>
      <c r="D3728" t="s">
        <v>6023</v>
      </c>
      <c r="E3728" t="s">
        <v>6029</v>
      </c>
      <c r="F3728" t="s">
        <v>6033</v>
      </c>
      <c r="G3728" t="s">
        <v>6080</v>
      </c>
      <c r="H3728" t="s">
        <v>6096</v>
      </c>
      <c r="I3728">
        <v>72</v>
      </c>
      <c r="J3728">
        <v>4.4000000000000004</v>
      </c>
      <c r="K3728" t="s">
        <v>6100</v>
      </c>
      <c r="L3728" t="s">
        <v>6099</v>
      </c>
      <c r="M3728" t="s">
        <v>6100</v>
      </c>
      <c r="N3728">
        <v>3</v>
      </c>
      <c r="O3728" t="s">
        <v>6101</v>
      </c>
      <c r="P3728" t="s">
        <v>6112</v>
      </c>
      <c r="Q3728">
        <v>6</v>
      </c>
      <c r="R3728">
        <v>2026</v>
      </c>
      <c r="S3728" t="s">
        <v>6099</v>
      </c>
      <c r="T3728">
        <v>1</v>
      </c>
      <c r="U3728" t="s">
        <v>6020</v>
      </c>
      <c r="V3728">
        <v>0</v>
      </c>
    </row>
    <row r="3729" spans="1:22" x14ac:dyDescent="0.3">
      <c r="A3729" t="s">
        <v>3744</v>
      </c>
      <c r="B3729" s="2">
        <v>46190.198611111111</v>
      </c>
      <c r="C3729" s="2">
        <v>46191.244444444441</v>
      </c>
      <c r="D3729" t="s">
        <v>6025</v>
      </c>
      <c r="E3729" t="s">
        <v>6031</v>
      </c>
      <c r="F3729" t="s">
        <v>6034</v>
      </c>
      <c r="G3729" t="s">
        <v>6064</v>
      </c>
      <c r="H3729" t="s">
        <v>6096</v>
      </c>
      <c r="I3729">
        <v>24</v>
      </c>
      <c r="J3729">
        <v>25.1</v>
      </c>
      <c r="K3729" t="s">
        <v>6099</v>
      </c>
      <c r="L3729" t="s">
        <v>6100</v>
      </c>
      <c r="M3729" t="s">
        <v>6099</v>
      </c>
      <c r="N3729">
        <v>5</v>
      </c>
      <c r="O3729" t="s">
        <v>6101</v>
      </c>
      <c r="P3729" t="s">
        <v>6112</v>
      </c>
      <c r="Q3729">
        <v>6</v>
      </c>
      <c r="R3729">
        <v>2026</v>
      </c>
      <c r="S3729" t="s">
        <v>6100</v>
      </c>
      <c r="T3729">
        <v>0</v>
      </c>
      <c r="U3729" t="s">
        <v>6018</v>
      </c>
      <c r="V3729">
        <v>1</v>
      </c>
    </row>
    <row r="3730" spans="1:22" x14ac:dyDescent="0.3">
      <c r="A3730" t="s">
        <v>3745</v>
      </c>
      <c r="B3730" s="2">
        <v>46190.384027777778</v>
      </c>
      <c r="C3730" s="2">
        <v>46190.84652777778</v>
      </c>
      <c r="D3730" t="s">
        <v>6027</v>
      </c>
      <c r="E3730" t="s">
        <v>6032</v>
      </c>
      <c r="F3730" t="s">
        <v>6034</v>
      </c>
      <c r="G3730" t="s">
        <v>6055</v>
      </c>
      <c r="H3730" t="s">
        <v>6096</v>
      </c>
      <c r="I3730">
        <v>24</v>
      </c>
      <c r="J3730">
        <v>11.1</v>
      </c>
      <c r="K3730" t="s">
        <v>6100</v>
      </c>
      <c r="L3730" t="s">
        <v>6099</v>
      </c>
      <c r="M3730" t="s">
        <v>6100</v>
      </c>
      <c r="N3730">
        <v>3</v>
      </c>
      <c r="O3730" t="s">
        <v>6101</v>
      </c>
      <c r="P3730" t="s">
        <v>6112</v>
      </c>
      <c r="Q3730">
        <v>6</v>
      </c>
      <c r="R3730">
        <v>2026</v>
      </c>
      <c r="S3730" t="s">
        <v>6099</v>
      </c>
      <c r="T3730">
        <v>1</v>
      </c>
      <c r="U3730" t="s">
        <v>6017</v>
      </c>
      <c r="V3730">
        <v>0</v>
      </c>
    </row>
    <row r="3731" spans="1:22" x14ac:dyDescent="0.3">
      <c r="A3731" t="s">
        <v>3746</v>
      </c>
      <c r="B3731" s="2">
        <v>46190.398611111108</v>
      </c>
      <c r="C3731" s="2">
        <v>46190.619444444441</v>
      </c>
      <c r="D3731" t="s">
        <v>6024</v>
      </c>
      <c r="E3731" t="s">
        <v>6030</v>
      </c>
      <c r="F3731" t="s">
        <v>6033</v>
      </c>
      <c r="G3731" t="s">
        <v>6094</v>
      </c>
      <c r="H3731" t="s">
        <v>6098</v>
      </c>
      <c r="I3731">
        <v>72</v>
      </c>
      <c r="J3731">
        <v>5.3</v>
      </c>
      <c r="K3731" t="s">
        <v>6099</v>
      </c>
      <c r="L3731" t="s">
        <v>6100</v>
      </c>
      <c r="M3731" t="s">
        <v>6100</v>
      </c>
      <c r="N3731">
        <v>4</v>
      </c>
      <c r="O3731" t="s">
        <v>6101</v>
      </c>
      <c r="P3731" t="s">
        <v>6112</v>
      </c>
      <c r="Q3731">
        <v>6</v>
      </c>
      <c r="R3731">
        <v>2026</v>
      </c>
      <c r="S3731" t="s">
        <v>6099</v>
      </c>
      <c r="T3731">
        <v>1</v>
      </c>
      <c r="U3731" t="s">
        <v>6019</v>
      </c>
      <c r="V3731">
        <v>1</v>
      </c>
    </row>
    <row r="3732" spans="1:22" x14ac:dyDescent="0.3">
      <c r="A3732" t="s">
        <v>3747</v>
      </c>
      <c r="B3732" s="2">
        <v>46190.398611111108</v>
      </c>
      <c r="C3732" s="2">
        <v>46192.436111111114</v>
      </c>
      <c r="D3732" t="s">
        <v>6026</v>
      </c>
      <c r="E3732" t="s">
        <v>6031</v>
      </c>
      <c r="F3732" t="s">
        <v>6033</v>
      </c>
      <c r="G3732" t="s">
        <v>6074</v>
      </c>
      <c r="H3732" t="s">
        <v>6098</v>
      </c>
      <c r="I3732">
        <v>72</v>
      </c>
      <c r="J3732">
        <v>48.9</v>
      </c>
      <c r="K3732" t="s">
        <v>6099</v>
      </c>
      <c r="L3732" t="s">
        <v>6100</v>
      </c>
      <c r="M3732" t="s">
        <v>6100</v>
      </c>
      <c r="N3732">
        <v>5</v>
      </c>
      <c r="O3732" t="s">
        <v>6101</v>
      </c>
      <c r="P3732" t="s">
        <v>6112</v>
      </c>
      <c r="Q3732">
        <v>6</v>
      </c>
      <c r="R3732">
        <v>2026</v>
      </c>
      <c r="S3732" t="s">
        <v>6099</v>
      </c>
      <c r="T3732">
        <v>1</v>
      </c>
      <c r="U3732" t="s">
        <v>6019</v>
      </c>
      <c r="V3732">
        <v>1</v>
      </c>
    </row>
    <row r="3733" spans="1:22" x14ac:dyDescent="0.3">
      <c r="A3733" t="s">
        <v>3748</v>
      </c>
      <c r="B3733" s="2">
        <v>46190.399305555555</v>
      </c>
      <c r="C3733" s="2">
        <v>46190.520138888889</v>
      </c>
      <c r="D3733" t="s">
        <v>6025</v>
      </c>
      <c r="E3733" t="s">
        <v>6030</v>
      </c>
      <c r="F3733" t="s">
        <v>6035</v>
      </c>
      <c r="G3733" t="s">
        <v>6049</v>
      </c>
      <c r="H3733" t="s">
        <v>6097</v>
      </c>
      <c r="I3733">
        <v>4</v>
      </c>
      <c r="J3733">
        <v>2.9</v>
      </c>
      <c r="K3733" t="s">
        <v>6099</v>
      </c>
      <c r="L3733" t="s">
        <v>6100</v>
      </c>
      <c r="M3733" t="s">
        <v>6100</v>
      </c>
      <c r="N3733">
        <v>4</v>
      </c>
      <c r="O3733" t="s">
        <v>6101</v>
      </c>
      <c r="P3733" t="s">
        <v>6112</v>
      </c>
      <c r="Q3733">
        <v>6</v>
      </c>
      <c r="R3733">
        <v>2026</v>
      </c>
      <c r="S3733" t="s">
        <v>6099</v>
      </c>
      <c r="T3733">
        <v>1</v>
      </c>
      <c r="U3733" t="s">
        <v>6020</v>
      </c>
      <c r="V3733">
        <v>1</v>
      </c>
    </row>
    <row r="3734" spans="1:22" x14ac:dyDescent="0.3">
      <c r="A3734" t="s">
        <v>3749</v>
      </c>
      <c r="B3734" s="2">
        <v>46190.411111111112</v>
      </c>
      <c r="C3734" s="2">
        <v>46190.919444444444</v>
      </c>
      <c r="D3734" t="s">
        <v>6022</v>
      </c>
      <c r="E3734" t="s">
        <v>6029</v>
      </c>
      <c r="F3734" t="s">
        <v>6033</v>
      </c>
      <c r="G3734" t="s">
        <v>6095</v>
      </c>
      <c r="H3734" t="s">
        <v>6098</v>
      </c>
      <c r="I3734">
        <v>72</v>
      </c>
      <c r="J3734">
        <v>12.2</v>
      </c>
      <c r="K3734" t="s">
        <v>6100</v>
      </c>
      <c r="L3734" t="s">
        <v>6100</v>
      </c>
      <c r="M3734" t="s">
        <v>6100</v>
      </c>
      <c r="N3734">
        <v>4</v>
      </c>
      <c r="O3734" t="s">
        <v>6101</v>
      </c>
      <c r="P3734" t="s">
        <v>6112</v>
      </c>
      <c r="Q3734">
        <v>6</v>
      </c>
      <c r="R3734">
        <v>2026</v>
      </c>
      <c r="S3734" t="s">
        <v>6099</v>
      </c>
      <c r="T3734">
        <v>1</v>
      </c>
      <c r="U3734" t="s">
        <v>6020</v>
      </c>
      <c r="V3734">
        <v>0</v>
      </c>
    </row>
    <row r="3735" spans="1:22" x14ac:dyDescent="0.3">
      <c r="A3735" t="s">
        <v>3750</v>
      </c>
      <c r="B3735" s="2">
        <v>46190.417361111111</v>
      </c>
      <c r="C3735" s="2">
        <v>46190.759027777778</v>
      </c>
      <c r="D3735" t="s">
        <v>6023</v>
      </c>
      <c r="E3735" t="s">
        <v>6029</v>
      </c>
      <c r="F3735" t="s">
        <v>6034</v>
      </c>
      <c r="G3735" t="s">
        <v>6074</v>
      </c>
      <c r="H3735" t="s">
        <v>6098</v>
      </c>
      <c r="I3735">
        <v>24</v>
      </c>
      <c r="J3735">
        <v>8.1999999999999993</v>
      </c>
      <c r="K3735" t="s">
        <v>6099</v>
      </c>
      <c r="L3735" t="s">
        <v>6100</v>
      </c>
      <c r="M3735" t="s">
        <v>6100</v>
      </c>
      <c r="O3735" t="s">
        <v>6101</v>
      </c>
      <c r="P3735" t="s">
        <v>6112</v>
      </c>
      <c r="Q3735">
        <v>6</v>
      </c>
      <c r="R3735">
        <v>2026</v>
      </c>
      <c r="S3735" t="s">
        <v>6099</v>
      </c>
      <c r="T3735">
        <v>1</v>
      </c>
      <c r="U3735" t="s">
        <v>6021</v>
      </c>
      <c r="V3735">
        <v>1</v>
      </c>
    </row>
    <row r="3736" spans="1:22" x14ac:dyDescent="0.3">
      <c r="A3736" t="s">
        <v>3751</v>
      </c>
      <c r="B3736" s="2">
        <v>46190.443055555559</v>
      </c>
      <c r="C3736" s="2">
        <v>46192.109722222223</v>
      </c>
      <c r="D3736" t="s">
        <v>6026</v>
      </c>
      <c r="E3736" t="s">
        <v>6031</v>
      </c>
      <c r="F3736" t="s">
        <v>6034</v>
      </c>
      <c r="G3736" t="s">
        <v>6036</v>
      </c>
      <c r="H3736" t="s">
        <v>6096</v>
      </c>
      <c r="I3736">
        <v>24</v>
      </c>
      <c r="J3736">
        <v>40</v>
      </c>
      <c r="K3736" t="s">
        <v>6100</v>
      </c>
      <c r="L3736" t="s">
        <v>6100</v>
      </c>
      <c r="M3736" t="s">
        <v>6100</v>
      </c>
      <c r="O3736" t="s">
        <v>6101</v>
      </c>
      <c r="P3736" t="s">
        <v>6112</v>
      </c>
      <c r="Q3736">
        <v>6</v>
      </c>
      <c r="R3736">
        <v>2026</v>
      </c>
      <c r="S3736" t="s">
        <v>6100</v>
      </c>
      <c r="T3736">
        <v>0</v>
      </c>
      <c r="U3736" t="s">
        <v>6020</v>
      </c>
      <c r="V3736">
        <v>0</v>
      </c>
    </row>
    <row r="3737" spans="1:22" x14ac:dyDescent="0.3">
      <c r="A3737" t="s">
        <v>3752</v>
      </c>
      <c r="B3737" s="2">
        <v>46190.472916666666</v>
      </c>
      <c r="C3737" s="2">
        <v>46190.956250000003</v>
      </c>
      <c r="D3737" t="s">
        <v>6028</v>
      </c>
      <c r="E3737" t="s">
        <v>6029</v>
      </c>
      <c r="F3737" t="s">
        <v>6035</v>
      </c>
      <c r="G3737" t="s">
        <v>6054</v>
      </c>
      <c r="H3737" t="s">
        <v>6096</v>
      </c>
      <c r="I3737">
        <v>4</v>
      </c>
      <c r="J3737">
        <v>11.6</v>
      </c>
      <c r="K3737" t="s">
        <v>6099</v>
      </c>
      <c r="L3737" t="s">
        <v>6100</v>
      </c>
      <c r="M3737" t="s">
        <v>6100</v>
      </c>
      <c r="O3737" t="s">
        <v>6101</v>
      </c>
      <c r="P3737" t="s">
        <v>6112</v>
      </c>
      <c r="Q3737">
        <v>6</v>
      </c>
      <c r="R3737">
        <v>2026</v>
      </c>
      <c r="S3737" t="s">
        <v>6100</v>
      </c>
      <c r="T3737">
        <v>0</v>
      </c>
      <c r="U3737" t="s">
        <v>6019</v>
      </c>
      <c r="V3737">
        <v>1</v>
      </c>
    </row>
    <row r="3738" spans="1:22" x14ac:dyDescent="0.3">
      <c r="A3738" t="s">
        <v>3753</v>
      </c>
      <c r="B3738" s="2">
        <v>46190.490972222222</v>
      </c>
      <c r="C3738" s="2">
        <v>46190.628472222219</v>
      </c>
      <c r="D3738" t="s">
        <v>6023</v>
      </c>
      <c r="E3738" t="s">
        <v>6029</v>
      </c>
      <c r="F3738" t="s">
        <v>6033</v>
      </c>
      <c r="G3738" t="s">
        <v>6069</v>
      </c>
      <c r="H3738" t="s">
        <v>6098</v>
      </c>
      <c r="I3738">
        <v>72</v>
      </c>
      <c r="J3738">
        <v>3.3</v>
      </c>
      <c r="K3738" t="s">
        <v>6100</v>
      </c>
      <c r="L3738" t="s">
        <v>6099</v>
      </c>
      <c r="M3738" t="s">
        <v>6099</v>
      </c>
      <c r="O3738" t="s">
        <v>6101</v>
      </c>
      <c r="P3738" t="s">
        <v>6112</v>
      </c>
      <c r="Q3738">
        <v>6</v>
      </c>
      <c r="R3738">
        <v>2026</v>
      </c>
      <c r="S3738" t="s">
        <v>6099</v>
      </c>
      <c r="T3738">
        <v>1</v>
      </c>
      <c r="U3738" t="s">
        <v>6017</v>
      </c>
      <c r="V3738">
        <v>0</v>
      </c>
    </row>
    <row r="3739" spans="1:22" x14ac:dyDescent="0.3">
      <c r="A3739" t="s">
        <v>3754</v>
      </c>
      <c r="B3739" s="2">
        <v>46190.534722222219</v>
      </c>
      <c r="C3739" s="2">
        <v>46190.780555555553</v>
      </c>
      <c r="D3739" t="s">
        <v>6024</v>
      </c>
      <c r="E3739" t="s">
        <v>6030</v>
      </c>
      <c r="F3739" t="s">
        <v>6034</v>
      </c>
      <c r="G3739" t="s">
        <v>6057</v>
      </c>
      <c r="H3739" t="s">
        <v>6097</v>
      </c>
      <c r="I3739">
        <v>24</v>
      </c>
      <c r="J3739">
        <v>5.9</v>
      </c>
      <c r="K3739" t="s">
        <v>6100</v>
      </c>
      <c r="L3739" t="s">
        <v>6099</v>
      </c>
      <c r="M3739" t="s">
        <v>6100</v>
      </c>
      <c r="N3739">
        <v>4</v>
      </c>
      <c r="O3739" t="s">
        <v>6101</v>
      </c>
      <c r="P3739" t="s">
        <v>6112</v>
      </c>
      <c r="Q3739">
        <v>6</v>
      </c>
      <c r="R3739">
        <v>2026</v>
      </c>
      <c r="S3739" t="s">
        <v>6099</v>
      </c>
      <c r="T3739">
        <v>1</v>
      </c>
      <c r="U3739" t="s">
        <v>6018</v>
      </c>
      <c r="V3739">
        <v>0</v>
      </c>
    </row>
    <row r="3740" spans="1:22" x14ac:dyDescent="0.3">
      <c r="A3740" t="s">
        <v>3755</v>
      </c>
      <c r="B3740" s="2">
        <v>46190.545138888891</v>
      </c>
      <c r="C3740" s="2">
        <v>46190.703472222223</v>
      </c>
      <c r="D3740" t="s">
        <v>6024</v>
      </c>
      <c r="E3740" t="s">
        <v>6030</v>
      </c>
      <c r="F3740" t="s">
        <v>6035</v>
      </c>
      <c r="G3740" t="s">
        <v>6090</v>
      </c>
      <c r="H3740" t="s">
        <v>6097</v>
      </c>
      <c r="I3740">
        <v>4</v>
      </c>
      <c r="J3740">
        <v>3.8</v>
      </c>
      <c r="K3740" t="s">
        <v>6099</v>
      </c>
      <c r="L3740" t="s">
        <v>6100</v>
      </c>
      <c r="M3740" t="s">
        <v>6099</v>
      </c>
      <c r="N3740">
        <v>4</v>
      </c>
      <c r="O3740" t="s">
        <v>6101</v>
      </c>
      <c r="P3740" t="s">
        <v>6112</v>
      </c>
      <c r="Q3740">
        <v>6</v>
      </c>
      <c r="R3740">
        <v>2026</v>
      </c>
      <c r="S3740" t="s">
        <v>6099</v>
      </c>
      <c r="T3740">
        <v>1</v>
      </c>
      <c r="U3740" t="s">
        <v>6021</v>
      </c>
      <c r="V3740">
        <v>1</v>
      </c>
    </row>
    <row r="3741" spans="1:22" x14ac:dyDescent="0.3">
      <c r="A3741" t="s">
        <v>3756</v>
      </c>
      <c r="B3741" s="2">
        <v>46190.603472222225</v>
      </c>
      <c r="C3741" s="2">
        <v>46191.857638888891</v>
      </c>
      <c r="D3741" t="s">
        <v>6025</v>
      </c>
      <c r="E3741" t="s">
        <v>6031</v>
      </c>
      <c r="F3741" t="s">
        <v>6035</v>
      </c>
      <c r="G3741" t="s">
        <v>6044</v>
      </c>
      <c r="H3741" t="s">
        <v>6097</v>
      </c>
      <c r="I3741">
        <v>4</v>
      </c>
      <c r="J3741">
        <v>30.1</v>
      </c>
      <c r="K3741" t="s">
        <v>6099</v>
      </c>
      <c r="L3741" t="s">
        <v>6100</v>
      </c>
      <c r="M3741" t="s">
        <v>6100</v>
      </c>
      <c r="O3741" t="s">
        <v>6101</v>
      </c>
      <c r="P3741" t="s">
        <v>6112</v>
      </c>
      <c r="Q3741">
        <v>6</v>
      </c>
      <c r="R3741">
        <v>2026</v>
      </c>
      <c r="S3741" t="s">
        <v>6100</v>
      </c>
      <c r="T3741">
        <v>0</v>
      </c>
      <c r="U3741" t="s">
        <v>6018</v>
      </c>
      <c r="V3741">
        <v>1</v>
      </c>
    </row>
    <row r="3742" spans="1:22" x14ac:dyDescent="0.3">
      <c r="A3742" t="s">
        <v>3757</v>
      </c>
      <c r="B3742" s="2">
        <v>46190.640277777777</v>
      </c>
      <c r="C3742" s="2">
        <v>46191.040277777778</v>
      </c>
      <c r="D3742" t="s">
        <v>6023</v>
      </c>
      <c r="E3742" t="s">
        <v>6032</v>
      </c>
      <c r="F3742" t="s">
        <v>6033</v>
      </c>
      <c r="G3742" t="s">
        <v>6065</v>
      </c>
      <c r="H3742" t="s">
        <v>6097</v>
      </c>
      <c r="I3742">
        <v>72</v>
      </c>
      <c r="J3742">
        <v>9.6</v>
      </c>
      <c r="K3742" t="s">
        <v>6100</v>
      </c>
      <c r="L3742" t="s">
        <v>6100</v>
      </c>
      <c r="M3742" t="s">
        <v>6100</v>
      </c>
      <c r="O3742" t="s">
        <v>6101</v>
      </c>
      <c r="P3742" t="s">
        <v>6112</v>
      </c>
      <c r="Q3742">
        <v>6</v>
      </c>
      <c r="R3742">
        <v>2026</v>
      </c>
      <c r="S3742" t="s">
        <v>6099</v>
      </c>
      <c r="T3742">
        <v>1</v>
      </c>
      <c r="U3742" t="s">
        <v>6017</v>
      </c>
      <c r="V3742">
        <v>0</v>
      </c>
    </row>
    <row r="3743" spans="1:22" x14ac:dyDescent="0.3">
      <c r="A3743" t="s">
        <v>3758</v>
      </c>
      <c r="B3743" s="2">
        <v>46190.759722222225</v>
      </c>
      <c r="C3743" s="2">
        <v>46193.572222222225</v>
      </c>
      <c r="D3743" t="s">
        <v>6026</v>
      </c>
      <c r="E3743" t="s">
        <v>6032</v>
      </c>
      <c r="F3743" t="s">
        <v>6034</v>
      </c>
      <c r="G3743" t="s">
        <v>6042</v>
      </c>
      <c r="H3743" t="s">
        <v>6098</v>
      </c>
      <c r="I3743">
        <v>24</v>
      </c>
      <c r="J3743">
        <v>67.5</v>
      </c>
      <c r="K3743" t="s">
        <v>6100</v>
      </c>
      <c r="L3743" t="s">
        <v>6100</v>
      </c>
      <c r="M3743" t="s">
        <v>6100</v>
      </c>
      <c r="O3743" t="s">
        <v>6101</v>
      </c>
      <c r="P3743" t="s">
        <v>6112</v>
      </c>
      <c r="Q3743">
        <v>6</v>
      </c>
      <c r="R3743">
        <v>2026</v>
      </c>
      <c r="S3743" t="s">
        <v>6100</v>
      </c>
      <c r="T3743">
        <v>0</v>
      </c>
      <c r="U3743" t="s">
        <v>6017</v>
      </c>
      <c r="V3743">
        <v>0</v>
      </c>
    </row>
    <row r="3744" spans="1:22" x14ac:dyDescent="0.3">
      <c r="A3744" t="s">
        <v>3759</v>
      </c>
      <c r="B3744" s="2">
        <v>46190.949305555558</v>
      </c>
      <c r="C3744" s="2">
        <v>46191.161805555559</v>
      </c>
      <c r="D3744" t="s">
        <v>6023</v>
      </c>
      <c r="E3744" t="s">
        <v>6030</v>
      </c>
      <c r="F3744" t="s">
        <v>6033</v>
      </c>
      <c r="G3744" t="s">
        <v>6071</v>
      </c>
      <c r="H3744" t="s">
        <v>6098</v>
      </c>
      <c r="I3744">
        <v>72</v>
      </c>
      <c r="J3744">
        <v>5.0999999999999996</v>
      </c>
      <c r="K3744" t="s">
        <v>6100</v>
      </c>
      <c r="L3744" t="s">
        <v>6099</v>
      </c>
      <c r="M3744" t="s">
        <v>6100</v>
      </c>
      <c r="N3744">
        <v>3</v>
      </c>
      <c r="O3744" t="s">
        <v>6101</v>
      </c>
      <c r="P3744" t="s">
        <v>6112</v>
      </c>
      <c r="Q3744">
        <v>6</v>
      </c>
      <c r="R3744">
        <v>2026</v>
      </c>
      <c r="S3744" t="s">
        <v>6099</v>
      </c>
      <c r="T3744">
        <v>1</v>
      </c>
      <c r="U3744" t="s">
        <v>6019</v>
      </c>
      <c r="V3744">
        <v>0</v>
      </c>
    </row>
    <row r="3745" spans="1:22" x14ac:dyDescent="0.3">
      <c r="A3745" t="s">
        <v>3760</v>
      </c>
      <c r="B3745" s="2">
        <v>46191.045138888891</v>
      </c>
      <c r="C3745" s="2">
        <v>46191.690972222219</v>
      </c>
      <c r="D3745" t="s">
        <v>6024</v>
      </c>
      <c r="E3745" t="s">
        <v>6032</v>
      </c>
      <c r="F3745" t="s">
        <v>6035</v>
      </c>
      <c r="G3745" t="s">
        <v>6076</v>
      </c>
      <c r="H3745" t="s">
        <v>6097</v>
      </c>
      <c r="I3745">
        <v>4</v>
      </c>
      <c r="J3745">
        <v>15.5</v>
      </c>
      <c r="K3745" t="s">
        <v>6099</v>
      </c>
      <c r="L3745" t="s">
        <v>6100</v>
      </c>
      <c r="M3745" t="s">
        <v>6100</v>
      </c>
      <c r="N3745">
        <v>4</v>
      </c>
      <c r="O3745" t="s">
        <v>6101</v>
      </c>
      <c r="P3745" t="s">
        <v>6112</v>
      </c>
      <c r="Q3745">
        <v>6</v>
      </c>
      <c r="R3745">
        <v>2026</v>
      </c>
      <c r="S3745" t="s">
        <v>6100</v>
      </c>
      <c r="T3745">
        <v>0</v>
      </c>
      <c r="U3745" t="s">
        <v>6020</v>
      </c>
      <c r="V3745">
        <v>1</v>
      </c>
    </row>
    <row r="3746" spans="1:22" x14ac:dyDescent="0.3">
      <c r="A3746" t="s">
        <v>3761</v>
      </c>
      <c r="B3746" s="2">
        <v>46191.234722222223</v>
      </c>
      <c r="C3746" s="2">
        <v>46191.751388888886</v>
      </c>
      <c r="D3746" t="s">
        <v>6028</v>
      </c>
      <c r="E3746" t="s">
        <v>6031</v>
      </c>
      <c r="F3746" t="s">
        <v>6035</v>
      </c>
      <c r="G3746" t="s">
        <v>6060</v>
      </c>
      <c r="H3746" t="s">
        <v>6097</v>
      </c>
      <c r="I3746">
        <v>4</v>
      </c>
      <c r="J3746">
        <v>12.4</v>
      </c>
      <c r="K3746" t="s">
        <v>6099</v>
      </c>
      <c r="L3746" t="s">
        <v>6100</v>
      </c>
      <c r="M3746" t="s">
        <v>6100</v>
      </c>
      <c r="O3746" t="s">
        <v>6101</v>
      </c>
      <c r="P3746" t="s">
        <v>6112</v>
      </c>
      <c r="Q3746">
        <v>6</v>
      </c>
      <c r="R3746">
        <v>2026</v>
      </c>
      <c r="S3746" t="s">
        <v>6100</v>
      </c>
      <c r="T3746">
        <v>0</v>
      </c>
      <c r="U3746" t="s">
        <v>6020</v>
      </c>
      <c r="V3746">
        <v>1</v>
      </c>
    </row>
    <row r="3747" spans="1:22" x14ac:dyDescent="0.3">
      <c r="A3747" t="s">
        <v>3762</v>
      </c>
      <c r="B3747" s="2">
        <v>46191.270833333336</v>
      </c>
      <c r="C3747" s="2">
        <v>46191.48333333333</v>
      </c>
      <c r="D3747" t="s">
        <v>6027</v>
      </c>
      <c r="E3747" t="s">
        <v>6029</v>
      </c>
      <c r="F3747" t="s">
        <v>6034</v>
      </c>
      <c r="G3747" t="s">
        <v>6083</v>
      </c>
      <c r="H3747" t="s">
        <v>6096</v>
      </c>
      <c r="I3747">
        <v>24</v>
      </c>
      <c r="J3747">
        <v>5.0999999999999996</v>
      </c>
      <c r="K3747" t="s">
        <v>6099</v>
      </c>
      <c r="L3747" t="s">
        <v>6100</v>
      </c>
      <c r="M3747" t="s">
        <v>6100</v>
      </c>
      <c r="O3747" t="s">
        <v>6101</v>
      </c>
      <c r="P3747" t="s">
        <v>6112</v>
      </c>
      <c r="Q3747">
        <v>6</v>
      </c>
      <c r="R3747">
        <v>2026</v>
      </c>
      <c r="S3747" t="s">
        <v>6099</v>
      </c>
      <c r="T3747">
        <v>1</v>
      </c>
      <c r="U3747" t="s">
        <v>6018</v>
      </c>
      <c r="V3747">
        <v>1</v>
      </c>
    </row>
    <row r="3748" spans="1:22" x14ac:dyDescent="0.3">
      <c r="A3748" t="s">
        <v>3763</v>
      </c>
      <c r="B3748" s="2">
        <v>46191.359722222223</v>
      </c>
      <c r="C3748" s="2">
        <v>46198.188888888886</v>
      </c>
      <c r="D3748" t="s">
        <v>6026</v>
      </c>
      <c r="E3748" t="s">
        <v>6031</v>
      </c>
      <c r="F3748" t="s">
        <v>6035</v>
      </c>
      <c r="G3748" t="s">
        <v>6044</v>
      </c>
      <c r="H3748" t="s">
        <v>6097</v>
      </c>
      <c r="I3748">
        <v>4</v>
      </c>
      <c r="J3748">
        <v>163.9</v>
      </c>
      <c r="K3748" t="s">
        <v>6099</v>
      </c>
      <c r="L3748" t="s">
        <v>6100</v>
      </c>
      <c r="M3748" t="s">
        <v>6100</v>
      </c>
      <c r="N3748">
        <v>5</v>
      </c>
      <c r="O3748" t="s">
        <v>6101</v>
      </c>
      <c r="P3748" t="s">
        <v>6112</v>
      </c>
      <c r="Q3748">
        <v>6</v>
      </c>
      <c r="R3748">
        <v>2026</v>
      </c>
      <c r="S3748" t="s">
        <v>6100</v>
      </c>
      <c r="T3748">
        <v>0</v>
      </c>
      <c r="U3748" t="s">
        <v>6020</v>
      </c>
      <c r="V3748">
        <v>1</v>
      </c>
    </row>
    <row r="3749" spans="1:22" x14ac:dyDescent="0.3">
      <c r="A3749" t="s">
        <v>3764</v>
      </c>
      <c r="B3749" s="2">
        <v>46191.397916666669</v>
      </c>
      <c r="C3749" s="2">
        <v>46191.78125</v>
      </c>
      <c r="D3749" t="s">
        <v>6028</v>
      </c>
      <c r="E3749" t="s">
        <v>6029</v>
      </c>
      <c r="F3749" t="s">
        <v>6033</v>
      </c>
      <c r="G3749" t="s">
        <v>6066</v>
      </c>
      <c r="H3749" t="s">
        <v>6096</v>
      </c>
      <c r="I3749">
        <v>72</v>
      </c>
      <c r="J3749">
        <v>9.1999999999999993</v>
      </c>
      <c r="K3749" t="s">
        <v>6099</v>
      </c>
      <c r="L3749" t="s">
        <v>6100</v>
      </c>
      <c r="M3749" t="s">
        <v>6100</v>
      </c>
      <c r="N3749">
        <v>5</v>
      </c>
      <c r="O3749" t="s">
        <v>6101</v>
      </c>
      <c r="P3749" t="s">
        <v>6112</v>
      </c>
      <c r="Q3749">
        <v>6</v>
      </c>
      <c r="R3749">
        <v>2026</v>
      </c>
      <c r="S3749" t="s">
        <v>6099</v>
      </c>
      <c r="T3749">
        <v>1</v>
      </c>
      <c r="U3749" t="s">
        <v>6020</v>
      </c>
      <c r="V3749">
        <v>1</v>
      </c>
    </row>
    <row r="3750" spans="1:22" x14ac:dyDescent="0.3">
      <c r="A3750" t="s">
        <v>3765</v>
      </c>
      <c r="B3750" s="2">
        <v>46191.402777777781</v>
      </c>
      <c r="C3750" s="2">
        <v>46193.261111111111</v>
      </c>
      <c r="D3750" t="s">
        <v>6022</v>
      </c>
      <c r="E3750" t="s">
        <v>6032</v>
      </c>
      <c r="F3750" t="s">
        <v>6034</v>
      </c>
      <c r="G3750" t="s">
        <v>6048</v>
      </c>
      <c r="H3750" t="s">
        <v>6096</v>
      </c>
      <c r="I3750">
        <v>24</v>
      </c>
      <c r="J3750">
        <v>44.6</v>
      </c>
      <c r="K3750" t="s">
        <v>6099</v>
      </c>
      <c r="L3750" t="s">
        <v>6100</v>
      </c>
      <c r="M3750" t="s">
        <v>6100</v>
      </c>
      <c r="O3750" t="s">
        <v>6101</v>
      </c>
      <c r="P3750" t="s">
        <v>6112</v>
      </c>
      <c r="Q3750">
        <v>6</v>
      </c>
      <c r="R3750">
        <v>2026</v>
      </c>
      <c r="S3750" t="s">
        <v>6100</v>
      </c>
      <c r="T3750">
        <v>0</v>
      </c>
      <c r="U3750" t="s">
        <v>6017</v>
      </c>
      <c r="V3750">
        <v>1</v>
      </c>
    </row>
    <row r="3751" spans="1:22" x14ac:dyDescent="0.3">
      <c r="A3751" t="s">
        <v>3766</v>
      </c>
      <c r="B3751" s="2">
        <v>46191.418749999997</v>
      </c>
      <c r="C3751" s="2">
        <v>46192.131249999999</v>
      </c>
      <c r="D3751" t="s">
        <v>6028</v>
      </c>
      <c r="E3751" t="s">
        <v>6031</v>
      </c>
      <c r="F3751" t="s">
        <v>6034</v>
      </c>
      <c r="G3751" t="s">
        <v>6047</v>
      </c>
      <c r="H3751" t="s">
        <v>6098</v>
      </c>
      <c r="I3751">
        <v>24</v>
      </c>
      <c r="J3751">
        <v>17.100000000000001</v>
      </c>
      <c r="K3751" t="s">
        <v>6099</v>
      </c>
      <c r="L3751" t="s">
        <v>6100</v>
      </c>
      <c r="M3751" t="s">
        <v>6100</v>
      </c>
      <c r="N3751">
        <v>5</v>
      </c>
      <c r="O3751" t="s">
        <v>6101</v>
      </c>
      <c r="P3751" t="s">
        <v>6112</v>
      </c>
      <c r="Q3751">
        <v>6</v>
      </c>
      <c r="R3751">
        <v>2026</v>
      </c>
      <c r="S3751" t="s">
        <v>6099</v>
      </c>
      <c r="T3751">
        <v>1</v>
      </c>
      <c r="U3751" t="s">
        <v>6021</v>
      </c>
      <c r="V3751">
        <v>1</v>
      </c>
    </row>
    <row r="3752" spans="1:22" x14ac:dyDescent="0.3">
      <c r="A3752" t="s">
        <v>3767</v>
      </c>
      <c r="B3752" s="2">
        <v>46191.4375</v>
      </c>
      <c r="C3752" s="2">
        <v>46192.408333333333</v>
      </c>
      <c r="D3752" t="s">
        <v>6028</v>
      </c>
      <c r="E3752" t="s">
        <v>6031</v>
      </c>
      <c r="F3752" t="s">
        <v>6033</v>
      </c>
      <c r="G3752" t="s">
        <v>6047</v>
      </c>
      <c r="H3752" t="s">
        <v>6098</v>
      </c>
      <c r="I3752">
        <v>72</v>
      </c>
      <c r="J3752">
        <v>23.3</v>
      </c>
      <c r="K3752" t="s">
        <v>6100</v>
      </c>
      <c r="L3752" t="s">
        <v>6099</v>
      </c>
      <c r="M3752" t="s">
        <v>6100</v>
      </c>
      <c r="N3752">
        <v>5</v>
      </c>
      <c r="O3752" t="s">
        <v>6101</v>
      </c>
      <c r="P3752" t="s">
        <v>6112</v>
      </c>
      <c r="Q3752">
        <v>6</v>
      </c>
      <c r="R3752">
        <v>2026</v>
      </c>
      <c r="S3752" t="s">
        <v>6099</v>
      </c>
      <c r="T3752">
        <v>1</v>
      </c>
      <c r="U3752" t="s">
        <v>6018</v>
      </c>
      <c r="V3752">
        <v>0</v>
      </c>
    </row>
    <row r="3753" spans="1:22" x14ac:dyDescent="0.3">
      <c r="A3753" t="s">
        <v>3768</v>
      </c>
      <c r="B3753" s="2">
        <v>46191.539583333331</v>
      </c>
      <c r="C3753" s="2">
        <v>46192.456250000003</v>
      </c>
      <c r="D3753" t="s">
        <v>6027</v>
      </c>
      <c r="E3753" t="s">
        <v>6031</v>
      </c>
      <c r="F3753" t="s">
        <v>6035</v>
      </c>
      <c r="G3753" t="s">
        <v>6057</v>
      </c>
      <c r="H3753" t="s">
        <v>6097</v>
      </c>
      <c r="I3753">
        <v>4</v>
      </c>
      <c r="J3753">
        <v>22</v>
      </c>
      <c r="K3753" t="s">
        <v>6099</v>
      </c>
      <c r="L3753" t="s">
        <v>6100</v>
      </c>
      <c r="M3753" t="s">
        <v>6099</v>
      </c>
      <c r="O3753" t="s">
        <v>6101</v>
      </c>
      <c r="P3753" t="s">
        <v>6112</v>
      </c>
      <c r="Q3753">
        <v>6</v>
      </c>
      <c r="R3753">
        <v>2026</v>
      </c>
      <c r="S3753" t="s">
        <v>6100</v>
      </c>
      <c r="T3753">
        <v>0</v>
      </c>
      <c r="U3753" t="s">
        <v>6017</v>
      </c>
      <c r="V3753">
        <v>1</v>
      </c>
    </row>
    <row r="3754" spans="1:22" x14ac:dyDescent="0.3">
      <c r="A3754" t="s">
        <v>3769</v>
      </c>
      <c r="B3754" s="2">
        <v>46191.544444444444</v>
      </c>
      <c r="C3754" s="2">
        <v>46191.915277777778</v>
      </c>
      <c r="D3754" t="s">
        <v>6022</v>
      </c>
      <c r="E3754" t="s">
        <v>6029</v>
      </c>
      <c r="F3754" t="s">
        <v>6034</v>
      </c>
      <c r="G3754" t="s">
        <v>6036</v>
      </c>
      <c r="H3754" t="s">
        <v>6096</v>
      </c>
      <c r="I3754">
        <v>24</v>
      </c>
      <c r="J3754">
        <v>8.9</v>
      </c>
      <c r="K3754" t="s">
        <v>6099</v>
      </c>
      <c r="L3754" t="s">
        <v>6100</v>
      </c>
      <c r="M3754" t="s">
        <v>6100</v>
      </c>
      <c r="N3754">
        <v>5</v>
      </c>
      <c r="O3754" t="s">
        <v>6101</v>
      </c>
      <c r="P3754" t="s">
        <v>6112</v>
      </c>
      <c r="Q3754">
        <v>6</v>
      </c>
      <c r="R3754">
        <v>2026</v>
      </c>
      <c r="S3754" t="s">
        <v>6099</v>
      </c>
      <c r="T3754">
        <v>1</v>
      </c>
      <c r="U3754" t="s">
        <v>6021</v>
      </c>
      <c r="V3754">
        <v>1</v>
      </c>
    </row>
    <row r="3755" spans="1:22" x14ac:dyDescent="0.3">
      <c r="A3755" t="s">
        <v>3770</v>
      </c>
      <c r="B3755" s="2">
        <v>46191.604861111111</v>
      </c>
      <c r="C3755" s="2">
        <v>46192.129861111112</v>
      </c>
      <c r="D3755" t="s">
        <v>6027</v>
      </c>
      <c r="E3755" t="s">
        <v>6032</v>
      </c>
      <c r="F3755" t="s">
        <v>6034</v>
      </c>
      <c r="G3755" t="s">
        <v>6047</v>
      </c>
      <c r="H3755" t="s">
        <v>6098</v>
      </c>
      <c r="I3755">
        <v>24</v>
      </c>
      <c r="J3755">
        <v>12.6</v>
      </c>
      <c r="K3755" t="s">
        <v>6099</v>
      </c>
      <c r="L3755" t="s">
        <v>6100</v>
      </c>
      <c r="M3755" t="s">
        <v>6100</v>
      </c>
      <c r="O3755" t="s">
        <v>6101</v>
      </c>
      <c r="P3755" t="s">
        <v>6112</v>
      </c>
      <c r="Q3755">
        <v>6</v>
      </c>
      <c r="R3755">
        <v>2026</v>
      </c>
      <c r="S3755" t="s">
        <v>6099</v>
      </c>
      <c r="T3755">
        <v>1</v>
      </c>
      <c r="U3755" t="s">
        <v>6018</v>
      </c>
      <c r="V3755">
        <v>1</v>
      </c>
    </row>
    <row r="3756" spans="1:22" x14ac:dyDescent="0.3">
      <c r="A3756" t="s">
        <v>3771</v>
      </c>
      <c r="B3756" s="2">
        <v>46191.722916666666</v>
      </c>
      <c r="C3756" s="2">
        <v>46192.36041666667</v>
      </c>
      <c r="D3756" t="s">
        <v>6025</v>
      </c>
      <c r="E3756" t="s">
        <v>6031</v>
      </c>
      <c r="F3756" t="s">
        <v>6033</v>
      </c>
      <c r="G3756" t="s">
        <v>6089</v>
      </c>
      <c r="H3756" t="s">
        <v>6098</v>
      </c>
      <c r="I3756">
        <v>72</v>
      </c>
      <c r="J3756">
        <v>15.3</v>
      </c>
      <c r="K3756" t="s">
        <v>6099</v>
      </c>
      <c r="L3756" t="s">
        <v>6100</v>
      </c>
      <c r="M3756" t="s">
        <v>6100</v>
      </c>
      <c r="O3756" t="s">
        <v>6101</v>
      </c>
      <c r="P3756" t="s">
        <v>6112</v>
      </c>
      <c r="Q3756">
        <v>6</v>
      </c>
      <c r="R3756">
        <v>2026</v>
      </c>
      <c r="S3756" t="s">
        <v>6099</v>
      </c>
      <c r="T3756">
        <v>1</v>
      </c>
      <c r="U3756" t="s">
        <v>6017</v>
      </c>
      <c r="V3756">
        <v>1</v>
      </c>
    </row>
    <row r="3757" spans="1:22" x14ac:dyDescent="0.3">
      <c r="A3757" t="s">
        <v>3772</v>
      </c>
      <c r="B3757" s="2">
        <v>46191.738194444442</v>
      </c>
      <c r="C3757" s="2">
        <v>46192.975694444445</v>
      </c>
      <c r="D3757" t="s">
        <v>6025</v>
      </c>
      <c r="E3757" t="s">
        <v>6032</v>
      </c>
      <c r="F3757" t="s">
        <v>6033</v>
      </c>
      <c r="G3757" t="s">
        <v>6060</v>
      </c>
      <c r="H3757" t="s">
        <v>6097</v>
      </c>
      <c r="I3757">
        <v>72</v>
      </c>
      <c r="J3757">
        <v>29.7</v>
      </c>
      <c r="K3757" t="s">
        <v>6100</v>
      </c>
      <c r="L3757" t="s">
        <v>6099</v>
      </c>
      <c r="M3757" t="s">
        <v>6099</v>
      </c>
      <c r="O3757" t="s">
        <v>6101</v>
      </c>
      <c r="P3757" t="s">
        <v>6112</v>
      </c>
      <c r="Q3757">
        <v>6</v>
      </c>
      <c r="R3757">
        <v>2026</v>
      </c>
      <c r="S3757" t="s">
        <v>6099</v>
      </c>
      <c r="T3757">
        <v>1</v>
      </c>
      <c r="U3757" t="s">
        <v>6021</v>
      </c>
      <c r="V3757">
        <v>0</v>
      </c>
    </row>
    <row r="3758" spans="1:22" x14ac:dyDescent="0.3">
      <c r="A3758" t="s">
        <v>3773</v>
      </c>
      <c r="B3758" s="2">
        <v>46191.773611111108</v>
      </c>
      <c r="C3758" s="2">
        <v>46191.890277777777</v>
      </c>
      <c r="D3758" t="s">
        <v>6023</v>
      </c>
      <c r="E3758" t="s">
        <v>6029</v>
      </c>
      <c r="F3758" t="s">
        <v>6033</v>
      </c>
      <c r="G3758" t="s">
        <v>6037</v>
      </c>
      <c r="H3758" t="s">
        <v>6096</v>
      </c>
      <c r="I3758">
        <v>72</v>
      </c>
      <c r="J3758">
        <v>2.8</v>
      </c>
      <c r="K3758" t="s">
        <v>6099</v>
      </c>
      <c r="L3758" t="s">
        <v>6100</v>
      </c>
      <c r="M3758" t="s">
        <v>6100</v>
      </c>
      <c r="O3758" t="s">
        <v>6101</v>
      </c>
      <c r="P3758" t="s">
        <v>6112</v>
      </c>
      <c r="Q3758">
        <v>6</v>
      </c>
      <c r="R3758">
        <v>2026</v>
      </c>
      <c r="S3758" t="s">
        <v>6099</v>
      </c>
      <c r="T3758">
        <v>1</v>
      </c>
      <c r="U3758" t="s">
        <v>6018</v>
      </c>
      <c r="V3758">
        <v>1</v>
      </c>
    </row>
    <row r="3759" spans="1:22" x14ac:dyDescent="0.3">
      <c r="A3759" t="s">
        <v>3774</v>
      </c>
      <c r="B3759" s="2">
        <v>46191.81527777778</v>
      </c>
      <c r="C3759" s="2">
        <v>46192.786111111112</v>
      </c>
      <c r="D3759" t="s">
        <v>6028</v>
      </c>
      <c r="E3759" t="s">
        <v>6029</v>
      </c>
      <c r="F3759" t="s">
        <v>6035</v>
      </c>
      <c r="G3759" t="s">
        <v>6038</v>
      </c>
      <c r="H3759" t="s">
        <v>6096</v>
      </c>
      <c r="I3759">
        <v>4</v>
      </c>
      <c r="J3759">
        <v>23.3</v>
      </c>
      <c r="K3759" t="s">
        <v>6099</v>
      </c>
      <c r="L3759" t="s">
        <v>6100</v>
      </c>
      <c r="M3759" t="s">
        <v>6100</v>
      </c>
      <c r="O3759" t="s">
        <v>6101</v>
      </c>
      <c r="P3759" t="s">
        <v>6112</v>
      </c>
      <c r="Q3759">
        <v>6</v>
      </c>
      <c r="R3759">
        <v>2026</v>
      </c>
      <c r="S3759" t="s">
        <v>6100</v>
      </c>
      <c r="T3759">
        <v>0</v>
      </c>
      <c r="U3759" t="s">
        <v>6020</v>
      </c>
      <c r="V3759">
        <v>1</v>
      </c>
    </row>
    <row r="3760" spans="1:22" x14ac:dyDescent="0.3">
      <c r="A3760" t="s">
        <v>3775</v>
      </c>
      <c r="B3760" s="2">
        <v>46191.975694444445</v>
      </c>
      <c r="C3760" s="2">
        <v>46192.563194444447</v>
      </c>
      <c r="D3760" t="s">
        <v>6022</v>
      </c>
      <c r="E3760" t="s">
        <v>6029</v>
      </c>
      <c r="F3760" t="s">
        <v>6034</v>
      </c>
      <c r="G3760" t="s">
        <v>6066</v>
      </c>
      <c r="H3760" t="s">
        <v>6096</v>
      </c>
      <c r="I3760">
        <v>24</v>
      </c>
      <c r="J3760">
        <v>14.1</v>
      </c>
      <c r="K3760" t="s">
        <v>6099</v>
      </c>
      <c r="L3760" t="s">
        <v>6100</v>
      </c>
      <c r="M3760" t="s">
        <v>6100</v>
      </c>
      <c r="N3760">
        <v>5</v>
      </c>
      <c r="O3760" t="s">
        <v>6101</v>
      </c>
      <c r="P3760" t="s">
        <v>6112</v>
      </c>
      <c r="Q3760">
        <v>6</v>
      </c>
      <c r="R3760">
        <v>2026</v>
      </c>
      <c r="S3760" t="s">
        <v>6099</v>
      </c>
      <c r="T3760">
        <v>1</v>
      </c>
      <c r="U3760" t="s">
        <v>6019</v>
      </c>
      <c r="V3760">
        <v>1</v>
      </c>
    </row>
    <row r="3761" spans="1:22" x14ac:dyDescent="0.3">
      <c r="A3761" t="s">
        <v>3776</v>
      </c>
      <c r="B3761" s="2">
        <v>46192.172222222223</v>
      </c>
      <c r="C3761" s="2">
        <v>46192.572222222225</v>
      </c>
      <c r="D3761" t="s">
        <v>6022</v>
      </c>
      <c r="E3761" t="s">
        <v>6029</v>
      </c>
      <c r="F3761" t="s">
        <v>6035</v>
      </c>
      <c r="G3761" t="s">
        <v>6038</v>
      </c>
      <c r="H3761" t="s">
        <v>6096</v>
      </c>
      <c r="I3761">
        <v>4</v>
      </c>
      <c r="J3761">
        <v>9.6</v>
      </c>
      <c r="K3761" t="s">
        <v>6099</v>
      </c>
      <c r="L3761" t="s">
        <v>6100</v>
      </c>
      <c r="M3761" t="s">
        <v>6099</v>
      </c>
      <c r="N3761">
        <v>5</v>
      </c>
      <c r="O3761" t="s">
        <v>6101</v>
      </c>
      <c r="P3761" t="s">
        <v>6112</v>
      </c>
      <c r="Q3761">
        <v>6</v>
      </c>
      <c r="R3761">
        <v>2026</v>
      </c>
      <c r="S3761" t="s">
        <v>6100</v>
      </c>
      <c r="T3761">
        <v>0</v>
      </c>
      <c r="U3761" t="s">
        <v>6018</v>
      </c>
      <c r="V3761">
        <v>1</v>
      </c>
    </row>
    <row r="3762" spans="1:22" x14ac:dyDescent="0.3">
      <c r="A3762" t="s">
        <v>3777</v>
      </c>
      <c r="B3762" s="2">
        <v>46192.263888888891</v>
      </c>
      <c r="C3762" s="2">
        <v>46192.388888888891</v>
      </c>
      <c r="D3762" t="s">
        <v>6023</v>
      </c>
      <c r="E3762" t="s">
        <v>6029</v>
      </c>
      <c r="F3762" t="s">
        <v>6033</v>
      </c>
      <c r="G3762" t="s">
        <v>6044</v>
      </c>
      <c r="H3762" t="s">
        <v>6097</v>
      </c>
      <c r="I3762">
        <v>72</v>
      </c>
      <c r="J3762">
        <v>3</v>
      </c>
      <c r="K3762" t="s">
        <v>6099</v>
      </c>
      <c r="L3762" t="s">
        <v>6100</v>
      </c>
      <c r="M3762" t="s">
        <v>6100</v>
      </c>
      <c r="N3762">
        <v>5</v>
      </c>
      <c r="O3762" t="s">
        <v>6101</v>
      </c>
      <c r="P3762" t="s">
        <v>6112</v>
      </c>
      <c r="Q3762">
        <v>6</v>
      </c>
      <c r="R3762">
        <v>2026</v>
      </c>
      <c r="S3762" t="s">
        <v>6099</v>
      </c>
      <c r="T3762">
        <v>1</v>
      </c>
      <c r="U3762" t="s">
        <v>6017</v>
      </c>
      <c r="V3762">
        <v>1</v>
      </c>
    </row>
    <row r="3763" spans="1:22" x14ac:dyDescent="0.3">
      <c r="A3763" t="s">
        <v>3778</v>
      </c>
      <c r="B3763" s="2">
        <v>46192.265972222223</v>
      </c>
      <c r="C3763" s="2">
        <v>46193.015972222223</v>
      </c>
      <c r="D3763" t="s">
        <v>6022</v>
      </c>
      <c r="E3763" t="s">
        <v>6029</v>
      </c>
      <c r="F3763" t="s">
        <v>6033</v>
      </c>
      <c r="G3763" t="s">
        <v>6047</v>
      </c>
      <c r="H3763" t="s">
        <v>6098</v>
      </c>
      <c r="I3763">
        <v>72</v>
      </c>
      <c r="J3763">
        <v>18</v>
      </c>
      <c r="K3763" t="s">
        <v>6099</v>
      </c>
      <c r="L3763" t="s">
        <v>6100</v>
      </c>
      <c r="M3763" t="s">
        <v>6100</v>
      </c>
      <c r="N3763">
        <v>4</v>
      </c>
      <c r="O3763" t="s">
        <v>6101</v>
      </c>
      <c r="P3763" t="s">
        <v>6112</v>
      </c>
      <c r="Q3763">
        <v>6</v>
      </c>
      <c r="R3763">
        <v>2026</v>
      </c>
      <c r="S3763" t="s">
        <v>6099</v>
      </c>
      <c r="T3763">
        <v>1</v>
      </c>
      <c r="U3763" t="s">
        <v>6017</v>
      </c>
      <c r="V3763">
        <v>1</v>
      </c>
    </row>
    <row r="3764" spans="1:22" x14ac:dyDescent="0.3">
      <c r="A3764" t="s">
        <v>3779</v>
      </c>
      <c r="B3764" s="2">
        <v>46192.353472222225</v>
      </c>
      <c r="C3764" s="2">
        <v>46195.665972222225</v>
      </c>
      <c r="D3764" t="s">
        <v>6026</v>
      </c>
      <c r="E3764" t="s">
        <v>6031</v>
      </c>
      <c r="F3764" t="s">
        <v>6034</v>
      </c>
      <c r="G3764" t="s">
        <v>6047</v>
      </c>
      <c r="H3764" t="s">
        <v>6098</v>
      </c>
      <c r="I3764">
        <v>24</v>
      </c>
      <c r="J3764">
        <v>79.5</v>
      </c>
      <c r="K3764" t="s">
        <v>6100</v>
      </c>
      <c r="L3764" t="s">
        <v>6100</v>
      </c>
      <c r="M3764" t="s">
        <v>6100</v>
      </c>
      <c r="O3764" t="s">
        <v>6101</v>
      </c>
      <c r="P3764" t="s">
        <v>6112</v>
      </c>
      <c r="Q3764">
        <v>6</v>
      </c>
      <c r="R3764">
        <v>2026</v>
      </c>
      <c r="S3764" t="s">
        <v>6100</v>
      </c>
      <c r="T3764">
        <v>0</v>
      </c>
      <c r="U3764" t="s">
        <v>6019</v>
      </c>
      <c r="V3764">
        <v>0</v>
      </c>
    </row>
    <row r="3765" spans="1:22" x14ac:dyDescent="0.3">
      <c r="A3765" t="s">
        <v>3780</v>
      </c>
      <c r="B3765" s="2">
        <v>46192.359027777777</v>
      </c>
      <c r="C3765" s="2">
        <v>46192.454861111109</v>
      </c>
      <c r="D3765" t="s">
        <v>6023</v>
      </c>
      <c r="E3765" t="s">
        <v>6029</v>
      </c>
      <c r="F3765" t="s">
        <v>6033</v>
      </c>
      <c r="G3765" t="s">
        <v>6065</v>
      </c>
      <c r="H3765" t="s">
        <v>6097</v>
      </c>
      <c r="I3765">
        <v>72</v>
      </c>
      <c r="J3765">
        <v>2.2999999999999998</v>
      </c>
      <c r="K3765" t="s">
        <v>6099</v>
      </c>
      <c r="L3765" t="s">
        <v>6100</v>
      </c>
      <c r="M3765" t="s">
        <v>6100</v>
      </c>
      <c r="N3765">
        <v>5</v>
      </c>
      <c r="O3765" t="s">
        <v>6101</v>
      </c>
      <c r="P3765" t="s">
        <v>6112</v>
      </c>
      <c r="Q3765">
        <v>6</v>
      </c>
      <c r="R3765">
        <v>2026</v>
      </c>
      <c r="S3765" t="s">
        <v>6099</v>
      </c>
      <c r="T3765">
        <v>1</v>
      </c>
      <c r="U3765" t="s">
        <v>6018</v>
      </c>
      <c r="V3765">
        <v>1</v>
      </c>
    </row>
    <row r="3766" spans="1:22" x14ac:dyDescent="0.3">
      <c r="A3766" t="s">
        <v>3781</v>
      </c>
      <c r="B3766" s="2">
        <v>46192.465277777781</v>
      </c>
      <c r="C3766" s="2">
        <v>46193.336111111108</v>
      </c>
      <c r="D3766" t="s">
        <v>6027</v>
      </c>
      <c r="E3766" t="s">
        <v>6031</v>
      </c>
      <c r="F3766" t="s">
        <v>6033</v>
      </c>
      <c r="G3766" t="s">
        <v>6057</v>
      </c>
      <c r="H3766" t="s">
        <v>6097</v>
      </c>
      <c r="I3766">
        <v>72</v>
      </c>
      <c r="J3766">
        <v>20.9</v>
      </c>
      <c r="K3766" t="s">
        <v>6099</v>
      </c>
      <c r="L3766" t="s">
        <v>6100</v>
      </c>
      <c r="M3766" t="s">
        <v>6100</v>
      </c>
      <c r="N3766">
        <v>4</v>
      </c>
      <c r="O3766" t="s">
        <v>6101</v>
      </c>
      <c r="P3766" t="s">
        <v>6112</v>
      </c>
      <c r="Q3766">
        <v>6</v>
      </c>
      <c r="R3766">
        <v>2026</v>
      </c>
      <c r="S3766" t="s">
        <v>6099</v>
      </c>
      <c r="T3766">
        <v>1</v>
      </c>
      <c r="U3766" t="s">
        <v>6018</v>
      </c>
      <c r="V3766">
        <v>1</v>
      </c>
    </row>
    <row r="3767" spans="1:22" x14ac:dyDescent="0.3">
      <c r="A3767" t="s">
        <v>3782</v>
      </c>
      <c r="B3767" s="2">
        <v>46192.470138888886</v>
      </c>
      <c r="C3767" s="2">
        <v>46194.482638888891</v>
      </c>
      <c r="D3767" t="s">
        <v>6022</v>
      </c>
      <c r="E3767" t="s">
        <v>6031</v>
      </c>
      <c r="F3767" t="s">
        <v>6034</v>
      </c>
      <c r="G3767" t="s">
        <v>6066</v>
      </c>
      <c r="H3767" t="s">
        <v>6096</v>
      </c>
      <c r="I3767">
        <v>24</v>
      </c>
      <c r="J3767">
        <v>48.3</v>
      </c>
      <c r="K3767" t="s">
        <v>6099</v>
      </c>
      <c r="L3767" t="s">
        <v>6100</v>
      </c>
      <c r="M3767" t="s">
        <v>6100</v>
      </c>
      <c r="N3767">
        <v>4</v>
      </c>
      <c r="O3767" t="s">
        <v>6101</v>
      </c>
      <c r="P3767" t="s">
        <v>6112</v>
      </c>
      <c r="Q3767">
        <v>6</v>
      </c>
      <c r="R3767">
        <v>2026</v>
      </c>
      <c r="S3767" t="s">
        <v>6100</v>
      </c>
      <c r="T3767">
        <v>0</v>
      </c>
      <c r="U3767" t="s">
        <v>6019</v>
      </c>
      <c r="V3767">
        <v>1</v>
      </c>
    </row>
    <row r="3768" spans="1:22" x14ac:dyDescent="0.3">
      <c r="A3768" t="s">
        <v>3783</v>
      </c>
      <c r="B3768" s="2">
        <v>46192.512499999997</v>
      </c>
      <c r="C3768" s="2">
        <v>46192.604166666664</v>
      </c>
      <c r="D3768" t="s">
        <v>6023</v>
      </c>
      <c r="E3768" t="s">
        <v>6029</v>
      </c>
      <c r="F3768" t="s">
        <v>6034</v>
      </c>
      <c r="G3768" t="s">
        <v>6069</v>
      </c>
      <c r="H3768" t="s">
        <v>6098</v>
      </c>
      <c r="I3768">
        <v>24</v>
      </c>
      <c r="J3768">
        <v>2.2000000000000002</v>
      </c>
      <c r="K3768" t="s">
        <v>6099</v>
      </c>
      <c r="L3768" t="s">
        <v>6100</v>
      </c>
      <c r="M3768" t="s">
        <v>6100</v>
      </c>
      <c r="O3768" t="s">
        <v>6101</v>
      </c>
      <c r="P3768" t="s">
        <v>6112</v>
      </c>
      <c r="Q3768">
        <v>6</v>
      </c>
      <c r="R3768">
        <v>2026</v>
      </c>
      <c r="S3768" t="s">
        <v>6099</v>
      </c>
      <c r="T3768">
        <v>1</v>
      </c>
      <c r="U3768" t="s">
        <v>6021</v>
      </c>
      <c r="V3768">
        <v>1</v>
      </c>
    </row>
    <row r="3769" spans="1:22" x14ac:dyDescent="0.3">
      <c r="A3769" t="s">
        <v>3784</v>
      </c>
      <c r="B3769" s="2">
        <v>46192.579861111109</v>
      </c>
      <c r="C3769" s="2">
        <v>46192.946527777778</v>
      </c>
      <c r="D3769" t="s">
        <v>6023</v>
      </c>
      <c r="E3769" t="s">
        <v>6030</v>
      </c>
      <c r="F3769" t="s">
        <v>6033</v>
      </c>
      <c r="G3769" t="s">
        <v>6073</v>
      </c>
      <c r="H3769" t="s">
        <v>6096</v>
      </c>
      <c r="I3769">
        <v>72</v>
      </c>
      <c r="J3769">
        <v>8.8000000000000007</v>
      </c>
      <c r="K3769" t="s">
        <v>6099</v>
      </c>
      <c r="L3769" t="s">
        <v>6100</v>
      </c>
      <c r="M3769" t="s">
        <v>6100</v>
      </c>
      <c r="O3769" t="s">
        <v>6101</v>
      </c>
      <c r="P3769" t="s">
        <v>6112</v>
      </c>
      <c r="Q3769">
        <v>6</v>
      </c>
      <c r="R3769">
        <v>2026</v>
      </c>
      <c r="S3769" t="s">
        <v>6099</v>
      </c>
      <c r="T3769">
        <v>1</v>
      </c>
      <c r="U3769" t="s">
        <v>6020</v>
      </c>
      <c r="V3769">
        <v>1</v>
      </c>
    </row>
    <row r="3770" spans="1:22" x14ac:dyDescent="0.3">
      <c r="A3770" t="s">
        <v>3785</v>
      </c>
      <c r="B3770" s="2">
        <v>46192.586805555555</v>
      </c>
      <c r="C3770" s="2">
        <v>46193.065972222219</v>
      </c>
      <c r="D3770" t="s">
        <v>6023</v>
      </c>
      <c r="E3770" t="s">
        <v>6029</v>
      </c>
      <c r="F3770" t="s">
        <v>6035</v>
      </c>
      <c r="G3770" t="s">
        <v>6094</v>
      </c>
      <c r="H3770" t="s">
        <v>6098</v>
      </c>
      <c r="I3770">
        <v>4</v>
      </c>
      <c r="J3770">
        <v>11.5</v>
      </c>
      <c r="K3770" t="s">
        <v>6099</v>
      </c>
      <c r="L3770" t="s">
        <v>6100</v>
      </c>
      <c r="M3770" t="s">
        <v>6100</v>
      </c>
      <c r="N3770">
        <v>3</v>
      </c>
      <c r="O3770" t="s">
        <v>6101</v>
      </c>
      <c r="P3770" t="s">
        <v>6112</v>
      </c>
      <c r="Q3770">
        <v>6</v>
      </c>
      <c r="R3770">
        <v>2026</v>
      </c>
      <c r="S3770" t="s">
        <v>6100</v>
      </c>
      <c r="T3770">
        <v>0</v>
      </c>
      <c r="U3770" t="s">
        <v>6019</v>
      </c>
      <c r="V3770">
        <v>1</v>
      </c>
    </row>
    <row r="3771" spans="1:22" x14ac:dyDescent="0.3">
      <c r="A3771" t="s">
        <v>3786</v>
      </c>
      <c r="B3771" s="2">
        <v>46192.604166666664</v>
      </c>
      <c r="C3771" s="2">
        <v>46192.883333333331</v>
      </c>
      <c r="D3771" t="s">
        <v>6022</v>
      </c>
      <c r="E3771" t="s">
        <v>6029</v>
      </c>
      <c r="F3771" t="s">
        <v>6033</v>
      </c>
      <c r="G3771" t="s">
        <v>6048</v>
      </c>
      <c r="H3771" t="s">
        <v>6096</v>
      </c>
      <c r="I3771">
        <v>72</v>
      </c>
      <c r="J3771">
        <v>6.7</v>
      </c>
      <c r="K3771" t="s">
        <v>6100</v>
      </c>
      <c r="L3771" t="s">
        <v>6100</v>
      </c>
      <c r="M3771" t="s">
        <v>6100</v>
      </c>
      <c r="N3771">
        <v>4</v>
      </c>
      <c r="O3771" t="s">
        <v>6101</v>
      </c>
      <c r="P3771" t="s">
        <v>6112</v>
      </c>
      <c r="Q3771">
        <v>6</v>
      </c>
      <c r="R3771">
        <v>2026</v>
      </c>
      <c r="S3771" t="s">
        <v>6099</v>
      </c>
      <c r="T3771">
        <v>1</v>
      </c>
      <c r="U3771" t="s">
        <v>6020</v>
      </c>
      <c r="V3771">
        <v>0</v>
      </c>
    </row>
    <row r="3772" spans="1:22" x14ac:dyDescent="0.3">
      <c r="A3772" t="s">
        <v>3787</v>
      </c>
      <c r="B3772" s="2">
        <v>46192.606249999997</v>
      </c>
      <c r="C3772" s="2">
        <v>46192.960416666669</v>
      </c>
      <c r="D3772" t="s">
        <v>6023</v>
      </c>
      <c r="E3772" t="s">
        <v>6029</v>
      </c>
      <c r="F3772" t="s">
        <v>6033</v>
      </c>
      <c r="G3772" t="s">
        <v>6045</v>
      </c>
      <c r="H3772" t="s">
        <v>6096</v>
      </c>
      <c r="I3772">
        <v>72</v>
      </c>
      <c r="J3772">
        <v>8.5</v>
      </c>
      <c r="K3772" t="s">
        <v>6099</v>
      </c>
      <c r="L3772" t="s">
        <v>6100</v>
      </c>
      <c r="M3772" t="s">
        <v>6100</v>
      </c>
      <c r="N3772">
        <v>5</v>
      </c>
      <c r="O3772" t="s">
        <v>6101</v>
      </c>
      <c r="P3772" t="s">
        <v>6112</v>
      </c>
      <c r="Q3772">
        <v>6</v>
      </c>
      <c r="R3772">
        <v>2026</v>
      </c>
      <c r="S3772" t="s">
        <v>6099</v>
      </c>
      <c r="T3772">
        <v>1</v>
      </c>
      <c r="U3772" t="s">
        <v>6019</v>
      </c>
      <c r="V3772">
        <v>1</v>
      </c>
    </row>
    <row r="3773" spans="1:22" x14ac:dyDescent="0.3">
      <c r="A3773" t="s">
        <v>3788</v>
      </c>
      <c r="B3773" s="2">
        <v>46192.61041666667</v>
      </c>
      <c r="C3773" s="2">
        <v>46197.068749999999</v>
      </c>
      <c r="D3773" t="s">
        <v>6025</v>
      </c>
      <c r="E3773" t="s">
        <v>6031</v>
      </c>
      <c r="F3773" t="s">
        <v>6033</v>
      </c>
      <c r="G3773" t="s">
        <v>6078</v>
      </c>
      <c r="H3773" t="s">
        <v>6097</v>
      </c>
      <c r="I3773">
        <v>72</v>
      </c>
      <c r="J3773">
        <v>107</v>
      </c>
      <c r="K3773" t="s">
        <v>6099</v>
      </c>
      <c r="L3773" t="s">
        <v>6100</v>
      </c>
      <c r="M3773" t="s">
        <v>6100</v>
      </c>
      <c r="N3773">
        <v>4</v>
      </c>
      <c r="O3773" t="s">
        <v>6101</v>
      </c>
      <c r="P3773" t="s">
        <v>6112</v>
      </c>
      <c r="Q3773">
        <v>6</v>
      </c>
      <c r="R3773">
        <v>2026</v>
      </c>
      <c r="S3773" t="s">
        <v>6100</v>
      </c>
      <c r="T3773">
        <v>0</v>
      </c>
      <c r="U3773" t="s">
        <v>6018</v>
      </c>
      <c r="V3773">
        <v>1</v>
      </c>
    </row>
    <row r="3774" spans="1:22" x14ac:dyDescent="0.3">
      <c r="A3774" t="s">
        <v>3789</v>
      </c>
      <c r="B3774" s="2">
        <v>46192.613194444442</v>
      </c>
      <c r="C3774" s="2">
        <v>46191.279861111114</v>
      </c>
      <c r="D3774" t="s">
        <v>6025</v>
      </c>
      <c r="E3774" t="s">
        <v>6032</v>
      </c>
      <c r="F3774" t="s">
        <v>6034</v>
      </c>
      <c r="G3774" t="s">
        <v>6064</v>
      </c>
      <c r="H3774" t="s">
        <v>6096</v>
      </c>
      <c r="I3774">
        <v>24</v>
      </c>
      <c r="J3774">
        <v>112.7</v>
      </c>
      <c r="K3774" t="s">
        <v>6100</v>
      </c>
      <c r="L3774" t="s">
        <v>6100</v>
      </c>
      <c r="M3774" t="s">
        <v>6100</v>
      </c>
      <c r="N3774">
        <v>4</v>
      </c>
      <c r="O3774" t="s">
        <v>6101</v>
      </c>
      <c r="P3774" t="s">
        <v>6112</v>
      </c>
      <c r="Q3774">
        <v>6</v>
      </c>
      <c r="R3774">
        <v>2026</v>
      </c>
      <c r="S3774" t="s">
        <v>6100</v>
      </c>
      <c r="T3774">
        <v>0</v>
      </c>
      <c r="U3774" t="s">
        <v>6019</v>
      </c>
      <c r="V3774">
        <v>0</v>
      </c>
    </row>
    <row r="3775" spans="1:22" x14ac:dyDescent="0.3">
      <c r="A3775" t="s">
        <v>3790</v>
      </c>
      <c r="B3775" s="2">
        <v>46192.613194444442</v>
      </c>
      <c r="C3775" s="2">
        <v>46193.28402777778</v>
      </c>
      <c r="D3775" t="s">
        <v>6022</v>
      </c>
      <c r="E3775" t="s">
        <v>6029</v>
      </c>
      <c r="F3775" t="s">
        <v>6034</v>
      </c>
      <c r="G3775" t="s">
        <v>6036</v>
      </c>
      <c r="H3775" t="s">
        <v>6096</v>
      </c>
      <c r="I3775">
        <v>24</v>
      </c>
      <c r="J3775">
        <v>16.100000000000001</v>
      </c>
      <c r="K3775" t="s">
        <v>6100</v>
      </c>
      <c r="L3775" t="s">
        <v>6100</v>
      </c>
      <c r="M3775" t="s">
        <v>6100</v>
      </c>
      <c r="N3775">
        <v>4</v>
      </c>
      <c r="O3775" t="s">
        <v>6101</v>
      </c>
      <c r="P3775" t="s">
        <v>6112</v>
      </c>
      <c r="Q3775">
        <v>6</v>
      </c>
      <c r="R3775">
        <v>2026</v>
      </c>
      <c r="S3775" t="s">
        <v>6099</v>
      </c>
      <c r="T3775">
        <v>1</v>
      </c>
      <c r="U3775" t="s">
        <v>6021</v>
      </c>
      <c r="V3775">
        <v>0</v>
      </c>
    </row>
    <row r="3776" spans="1:22" x14ac:dyDescent="0.3">
      <c r="A3776" t="s">
        <v>3791</v>
      </c>
      <c r="B3776" s="2">
        <v>46192.656944444447</v>
      </c>
      <c r="C3776" s="2">
        <v>46197.544444444444</v>
      </c>
      <c r="D3776" t="s">
        <v>6022</v>
      </c>
      <c r="E3776" t="s">
        <v>6031</v>
      </c>
      <c r="F3776" t="s">
        <v>6034</v>
      </c>
      <c r="G3776" t="s">
        <v>6066</v>
      </c>
      <c r="H3776" t="s">
        <v>6096</v>
      </c>
      <c r="I3776">
        <v>24</v>
      </c>
      <c r="J3776">
        <v>117.3</v>
      </c>
      <c r="K3776" t="s">
        <v>6100</v>
      </c>
      <c r="L3776" t="s">
        <v>6099</v>
      </c>
      <c r="M3776" t="s">
        <v>6100</v>
      </c>
      <c r="N3776">
        <v>2</v>
      </c>
      <c r="O3776" t="s">
        <v>6101</v>
      </c>
      <c r="P3776" t="s">
        <v>6112</v>
      </c>
      <c r="Q3776">
        <v>6</v>
      </c>
      <c r="R3776">
        <v>2026</v>
      </c>
      <c r="S3776" t="s">
        <v>6100</v>
      </c>
      <c r="T3776">
        <v>0</v>
      </c>
      <c r="U3776" t="s">
        <v>6018</v>
      </c>
      <c r="V3776">
        <v>0</v>
      </c>
    </row>
    <row r="3777" spans="1:22" x14ac:dyDescent="0.3">
      <c r="A3777" t="s">
        <v>3792</v>
      </c>
      <c r="B3777" s="2">
        <v>46192.665972222225</v>
      </c>
      <c r="C3777" s="2">
        <v>46193.449305555558</v>
      </c>
      <c r="D3777" t="s">
        <v>6022</v>
      </c>
      <c r="E3777" t="s">
        <v>6029</v>
      </c>
      <c r="F3777" t="s">
        <v>6035</v>
      </c>
      <c r="G3777" t="s">
        <v>6091</v>
      </c>
      <c r="H3777" t="s">
        <v>6097</v>
      </c>
      <c r="I3777">
        <v>4</v>
      </c>
      <c r="J3777">
        <v>18.8</v>
      </c>
      <c r="K3777" t="s">
        <v>6099</v>
      </c>
      <c r="L3777" t="s">
        <v>6100</v>
      </c>
      <c r="M3777" t="s">
        <v>6099</v>
      </c>
      <c r="N3777">
        <v>2</v>
      </c>
      <c r="O3777" t="s">
        <v>6101</v>
      </c>
      <c r="P3777" t="s">
        <v>6112</v>
      </c>
      <c r="Q3777">
        <v>6</v>
      </c>
      <c r="R3777">
        <v>2026</v>
      </c>
      <c r="S3777" t="s">
        <v>6100</v>
      </c>
      <c r="T3777">
        <v>0</v>
      </c>
      <c r="U3777" t="s">
        <v>6021</v>
      </c>
      <c r="V3777">
        <v>1</v>
      </c>
    </row>
    <row r="3778" spans="1:22" x14ac:dyDescent="0.3">
      <c r="A3778" t="s">
        <v>3793</v>
      </c>
      <c r="B3778" s="2">
        <v>46192.677777777775</v>
      </c>
      <c r="C3778" s="2">
        <v>46195.740277777775</v>
      </c>
      <c r="D3778" t="s">
        <v>6026</v>
      </c>
      <c r="E3778" t="s">
        <v>6031</v>
      </c>
      <c r="F3778" t="s">
        <v>6034</v>
      </c>
      <c r="G3778" t="s">
        <v>6043</v>
      </c>
      <c r="H3778" t="s">
        <v>6097</v>
      </c>
      <c r="I3778">
        <v>24</v>
      </c>
      <c r="J3778">
        <v>73.5</v>
      </c>
      <c r="K3778" t="s">
        <v>6100</v>
      </c>
      <c r="L3778" t="s">
        <v>6100</v>
      </c>
      <c r="M3778" t="s">
        <v>6100</v>
      </c>
      <c r="N3778">
        <v>3</v>
      </c>
      <c r="O3778" t="s">
        <v>6101</v>
      </c>
      <c r="P3778" t="s">
        <v>6112</v>
      </c>
      <c r="Q3778">
        <v>6</v>
      </c>
      <c r="R3778">
        <v>2026</v>
      </c>
      <c r="S3778" t="s">
        <v>6100</v>
      </c>
      <c r="T3778">
        <v>0</v>
      </c>
      <c r="U3778" t="s">
        <v>6019</v>
      </c>
      <c r="V3778">
        <v>0</v>
      </c>
    </row>
    <row r="3779" spans="1:22" x14ac:dyDescent="0.3">
      <c r="A3779" t="s">
        <v>3794</v>
      </c>
      <c r="B3779" s="2">
        <v>46192.679166666669</v>
      </c>
      <c r="C3779" s="2">
        <v>46193.879166666666</v>
      </c>
      <c r="D3779" t="s">
        <v>6024</v>
      </c>
      <c r="E3779" t="s">
        <v>6029</v>
      </c>
      <c r="F3779" t="s">
        <v>6034</v>
      </c>
      <c r="G3779" t="s">
        <v>6057</v>
      </c>
      <c r="H3779" t="s">
        <v>6097</v>
      </c>
      <c r="I3779">
        <v>24</v>
      </c>
      <c r="J3779">
        <v>28.8</v>
      </c>
      <c r="K3779" t="s">
        <v>6100</v>
      </c>
      <c r="L3779" t="s">
        <v>6100</v>
      </c>
      <c r="M3779" t="s">
        <v>6100</v>
      </c>
      <c r="O3779" t="s">
        <v>6101</v>
      </c>
      <c r="P3779" t="s">
        <v>6112</v>
      </c>
      <c r="Q3779">
        <v>6</v>
      </c>
      <c r="R3779">
        <v>2026</v>
      </c>
      <c r="S3779" t="s">
        <v>6100</v>
      </c>
      <c r="T3779">
        <v>0</v>
      </c>
      <c r="U3779" t="s">
        <v>6021</v>
      </c>
      <c r="V3779">
        <v>0</v>
      </c>
    </row>
    <row r="3780" spans="1:22" x14ac:dyDescent="0.3">
      <c r="A3780" t="s">
        <v>3795</v>
      </c>
      <c r="B3780" s="2">
        <v>46192.698611111111</v>
      </c>
      <c r="C3780" s="2">
        <v>46193.823611111111</v>
      </c>
      <c r="D3780" t="s">
        <v>6024</v>
      </c>
      <c r="E3780" t="s">
        <v>6031</v>
      </c>
      <c r="F3780" t="s">
        <v>6034</v>
      </c>
      <c r="G3780" t="s">
        <v>6046</v>
      </c>
      <c r="H3780" t="s">
        <v>6098</v>
      </c>
      <c r="I3780">
        <v>24</v>
      </c>
      <c r="J3780">
        <v>27</v>
      </c>
      <c r="K3780" t="s">
        <v>6100</v>
      </c>
      <c r="L3780" t="s">
        <v>6099</v>
      </c>
      <c r="M3780" t="s">
        <v>6100</v>
      </c>
      <c r="N3780">
        <v>2</v>
      </c>
      <c r="O3780" t="s">
        <v>6101</v>
      </c>
      <c r="P3780" t="s">
        <v>6112</v>
      </c>
      <c r="Q3780">
        <v>6</v>
      </c>
      <c r="R3780">
        <v>2026</v>
      </c>
      <c r="S3780" t="s">
        <v>6100</v>
      </c>
      <c r="T3780">
        <v>0</v>
      </c>
      <c r="U3780" t="s">
        <v>6019</v>
      </c>
      <c r="V3780">
        <v>0</v>
      </c>
    </row>
    <row r="3781" spans="1:22" x14ac:dyDescent="0.3">
      <c r="A3781" t="s">
        <v>3796</v>
      </c>
      <c r="B3781" s="2">
        <v>46192.746527777781</v>
      </c>
      <c r="C3781" s="2">
        <v>46193.738194444442</v>
      </c>
      <c r="D3781" t="s">
        <v>6026</v>
      </c>
      <c r="E3781" t="s">
        <v>6029</v>
      </c>
      <c r="F3781" t="s">
        <v>6034</v>
      </c>
      <c r="G3781" t="s">
        <v>6085</v>
      </c>
      <c r="H3781" t="s">
        <v>6097</v>
      </c>
      <c r="I3781">
        <v>24</v>
      </c>
      <c r="J3781">
        <v>23.8</v>
      </c>
      <c r="K3781" t="s">
        <v>6099</v>
      </c>
      <c r="L3781" t="s">
        <v>6100</v>
      </c>
      <c r="M3781" t="s">
        <v>6100</v>
      </c>
      <c r="N3781">
        <v>5</v>
      </c>
      <c r="O3781" t="s">
        <v>6101</v>
      </c>
      <c r="P3781" t="s">
        <v>6112</v>
      </c>
      <c r="Q3781">
        <v>6</v>
      </c>
      <c r="R3781">
        <v>2026</v>
      </c>
      <c r="S3781" t="s">
        <v>6099</v>
      </c>
      <c r="T3781">
        <v>1</v>
      </c>
      <c r="U3781" t="s">
        <v>6019</v>
      </c>
      <c r="V3781">
        <v>1</v>
      </c>
    </row>
    <row r="3782" spans="1:22" x14ac:dyDescent="0.3">
      <c r="A3782" t="s">
        <v>3797</v>
      </c>
      <c r="B3782" s="2">
        <v>46192.756944444445</v>
      </c>
      <c r="C3782" s="2">
        <v>46193.336111111108</v>
      </c>
      <c r="D3782" t="s">
        <v>6028</v>
      </c>
      <c r="E3782" t="s">
        <v>6030</v>
      </c>
      <c r="F3782" t="s">
        <v>6035</v>
      </c>
      <c r="G3782" t="s">
        <v>6036</v>
      </c>
      <c r="H3782" t="s">
        <v>6096</v>
      </c>
      <c r="I3782">
        <v>4</v>
      </c>
      <c r="J3782">
        <v>13.9</v>
      </c>
      <c r="K3782" t="s">
        <v>6099</v>
      </c>
      <c r="L3782" t="s">
        <v>6100</v>
      </c>
      <c r="M3782" t="s">
        <v>6100</v>
      </c>
      <c r="N3782">
        <v>5</v>
      </c>
      <c r="O3782" t="s">
        <v>6101</v>
      </c>
      <c r="P3782" t="s">
        <v>6112</v>
      </c>
      <c r="Q3782">
        <v>6</v>
      </c>
      <c r="R3782">
        <v>2026</v>
      </c>
      <c r="S3782" t="s">
        <v>6100</v>
      </c>
      <c r="T3782">
        <v>0</v>
      </c>
      <c r="U3782" t="s">
        <v>6021</v>
      </c>
      <c r="V3782">
        <v>1</v>
      </c>
    </row>
    <row r="3783" spans="1:22" x14ac:dyDescent="0.3">
      <c r="A3783" t="s">
        <v>3798</v>
      </c>
      <c r="B3783" s="2">
        <v>46192.797222222223</v>
      </c>
      <c r="C3783" s="2">
        <v>46192.930555555555</v>
      </c>
      <c r="D3783" t="s">
        <v>6028</v>
      </c>
      <c r="E3783" t="s">
        <v>6029</v>
      </c>
      <c r="F3783" t="s">
        <v>6035</v>
      </c>
      <c r="G3783" t="s">
        <v>6069</v>
      </c>
      <c r="H3783" t="s">
        <v>6098</v>
      </c>
      <c r="I3783">
        <v>4</v>
      </c>
      <c r="J3783">
        <v>3.2</v>
      </c>
      <c r="K3783" t="s">
        <v>6100</v>
      </c>
      <c r="L3783" t="s">
        <v>6100</v>
      </c>
      <c r="M3783" t="s">
        <v>6100</v>
      </c>
      <c r="O3783" t="s">
        <v>6101</v>
      </c>
      <c r="P3783" t="s">
        <v>6112</v>
      </c>
      <c r="Q3783">
        <v>6</v>
      </c>
      <c r="R3783">
        <v>2026</v>
      </c>
      <c r="S3783" t="s">
        <v>6099</v>
      </c>
      <c r="T3783">
        <v>1</v>
      </c>
      <c r="U3783" t="s">
        <v>6018</v>
      </c>
      <c r="V3783">
        <v>0</v>
      </c>
    </row>
    <row r="3784" spans="1:22" x14ac:dyDescent="0.3">
      <c r="A3784" t="s">
        <v>3799</v>
      </c>
      <c r="B3784" s="2">
        <v>46192.888194444444</v>
      </c>
      <c r="C3784" s="2">
        <v>46193.904861111114</v>
      </c>
      <c r="D3784" t="s">
        <v>6028</v>
      </c>
      <c r="E3784" t="s">
        <v>6029</v>
      </c>
      <c r="F3784" t="s">
        <v>6034</v>
      </c>
      <c r="G3784" t="s">
        <v>6053</v>
      </c>
      <c r="H3784" t="s">
        <v>6097</v>
      </c>
      <c r="I3784">
        <v>24</v>
      </c>
      <c r="J3784">
        <v>24.4</v>
      </c>
      <c r="K3784" t="s">
        <v>6099</v>
      </c>
      <c r="L3784" t="s">
        <v>6100</v>
      </c>
      <c r="M3784" t="s">
        <v>6100</v>
      </c>
      <c r="N3784">
        <v>4</v>
      </c>
      <c r="O3784" t="s">
        <v>6101</v>
      </c>
      <c r="P3784" t="s">
        <v>6112</v>
      </c>
      <c r="Q3784">
        <v>6</v>
      </c>
      <c r="R3784">
        <v>2026</v>
      </c>
      <c r="S3784" t="s">
        <v>6100</v>
      </c>
      <c r="T3784">
        <v>0</v>
      </c>
      <c r="U3784" t="s">
        <v>6019</v>
      </c>
      <c r="V3784">
        <v>1</v>
      </c>
    </row>
    <row r="3785" spans="1:22" x14ac:dyDescent="0.3">
      <c r="A3785" t="s">
        <v>3800</v>
      </c>
      <c r="B3785" s="2">
        <v>46192.909722222219</v>
      </c>
      <c r="C3785" s="2">
        <v>46193.388888888891</v>
      </c>
      <c r="D3785" t="s">
        <v>6027</v>
      </c>
      <c r="E3785" t="s">
        <v>6029</v>
      </c>
      <c r="F3785" t="s">
        <v>6034</v>
      </c>
      <c r="G3785" t="s">
        <v>6081</v>
      </c>
      <c r="H3785" t="s">
        <v>6098</v>
      </c>
      <c r="I3785">
        <v>24</v>
      </c>
      <c r="J3785">
        <v>11.5</v>
      </c>
      <c r="K3785" t="s">
        <v>6100</v>
      </c>
      <c r="L3785" t="s">
        <v>6099</v>
      </c>
      <c r="M3785" t="s">
        <v>6100</v>
      </c>
      <c r="N3785">
        <v>5</v>
      </c>
      <c r="O3785" t="s">
        <v>6101</v>
      </c>
      <c r="P3785" t="s">
        <v>6112</v>
      </c>
      <c r="Q3785">
        <v>6</v>
      </c>
      <c r="R3785">
        <v>2026</v>
      </c>
      <c r="S3785" t="s">
        <v>6099</v>
      </c>
      <c r="T3785">
        <v>1</v>
      </c>
      <c r="U3785" t="s">
        <v>6021</v>
      </c>
      <c r="V3785">
        <v>0</v>
      </c>
    </row>
    <row r="3786" spans="1:22" x14ac:dyDescent="0.3">
      <c r="A3786" t="s">
        <v>3801</v>
      </c>
      <c r="B3786" s="2">
        <v>46193.209027777775</v>
      </c>
      <c r="C3786" s="2">
        <v>46197.496527777781</v>
      </c>
      <c r="D3786" t="s">
        <v>6025</v>
      </c>
      <c r="E3786" t="s">
        <v>6031</v>
      </c>
      <c r="F3786" t="s">
        <v>6034</v>
      </c>
      <c r="G3786" t="s">
        <v>6058</v>
      </c>
      <c r="H3786" t="s">
        <v>6098</v>
      </c>
      <c r="I3786">
        <v>24</v>
      </c>
      <c r="J3786">
        <v>102.9</v>
      </c>
      <c r="K3786" t="s">
        <v>6100</v>
      </c>
      <c r="L3786" t="s">
        <v>6100</v>
      </c>
      <c r="M3786" t="s">
        <v>6100</v>
      </c>
      <c r="N3786">
        <v>3</v>
      </c>
      <c r="O3786" t="s">
        <v>6101</v>
      </c>
      <c r="P3786" t="s">
        <v>6112</v>
      </c>
      <c r="Q3786">
        <v>6</v>
      </c>
      <c r="R3786">
        <v>2026</v>
      </c>
      <c r="S3786" t="s">
        <v>6100</v>
      </c>
      <c r="T3786">
        <v>0</v>
      </c>
      <c r="U3786" t="s">
        <v>6021</v>
      </c>
      <c r="V3786">
        <v>0</v>
      </c>
    </row>
    <row r="3787" spans="1:22" x14ac:dyDescent="0.3">
      <c r="A3787" t="s">
        <v>3802</v>
      </c>
      <c r="B3787" s="2">
        <v>46193.294444444444</v>
      </c>
      <c r="C3787" s="2">
        <v>46193.977777777778</v>
      </c>
      <c r="D3787" t="s">
        <v>6023</v>
      </c>
      <c r="E3787" t="s">
        <v>6029</v>
      </c>
      <c r="F3787" t="s">
        <v>6034</v>
      </c>
      <c r="G3787" t="s">
        <v>6043</v>
      </c>
      <c r="H3787" t="s">
        <v>6097</v>
      </c>
      <c r="I3787">
        <v>24</v>
      </c>
      <c r="J3787">
        <v>16.399999999999999</v>
      </c>
      <c r="K3787" t="s">
        <v>6099</v>
      </c>
      <c r="L3787" t="s">
        <v>6100</v>
      </c>
      <c r="M3787" t="s">
        <v>6100</v>
      </c>
      <c r="N3787">
        <v>5</v>
      </c>
      <c r="O3787" t="s">
        <v>6101</v>
      </c>
      <c r="P3787" t="s">
        <v>6112</v>
      </c>
      <c r="Q3787">
        <v>6</v>
      </c>
      <c r="R3787">
        <v>2026</v>
      </c>
      <c r="S3787" t="s">
        <v>6099</v>
      </c>
      <c r="T3787">
        <v>1</v>
      </c>
      <c r="U3787" t="s">
        <v>6017</v>
      </c>
      <c r="V3787">
        <v>1</v>
      </c>
    </row>
    <row r="3788" spans="1:22" x14ac:dyDescent="0.3">
      <c r="A3788" t="s">
        <v>3803</v>
      </c>
      <c r="B3788" s="2">
        <v>46193.415277777778</v>
      </c>
      <c r="C3788" s="2">
        <v>46193.948611111111</v>
      </c>
      <c r="D3788" t="s">
        <v>6024</v>
      </c>
      <c r="E3788" t="s">
        <v>6032</v>
      </c>
      <c r="F3788" t="s">
        <v>6034</v>
      </c>
      <c r="G3788" t="s">
        <v>6077</v>
      </c>
      <c r="H3788" t="s">
        <v>6098</v>
      </c>
      <c r="I3788">
        <v>24</v>
      </c>
      <c r="J3788">
        <v>12.8</v>
      </c>
      <c r="K3788" t="s">
        <v>6099</v>
      </c>
      <c r="L3788" t="s">
        <v>6100</v>
      </c>
      <c r="M3788" t="s">
        <v>6100</v>
      </c>
      <c r="N3788">
        <v>4</v>
      </c>
      <c r="O3788" t="s">
        <v>6101</v>
      </c>
      <c r="P3788" t="s">
        <v>6112</v>
      </c>
      <c r="Q3788">
        <v>6</v>
      </c>
      <c r="R3788">
        <v>2026</v>
      </c>
      <c r="S3788" t="s">
        <v>6099</v>
      </c>
      <c r="T3788">
        <v>1</v>
      </c>
      <c r="U3788" t="s">
        <v>6020</v>
      </c>
      <c r="V3788">
        <v>1</v>
      </c>
    </row>
    <row r="3789" spans="1:22" x14ac:dyDescent="0.3">
      <c r="A3789" t="s">
        <v>3804</v>
      </c>
      <c r="B3789" s="2">
        <v>46193.415972222225</v>
      </c>
      <c r="C3789" s="2">
        <v>46193.695138888892</v>
      </c>
      <c r="D3789" t="s">
        <v>6027</v>
      </c>
      <c r="E3789" t="s">
        <v>6030</v>
      </c>
      <c r="F3789" t="s">
        <v>6034</v>
      </c>
      <c r="G3789" t="s">
        <v>6057</v>
      </c>
      <c r="H3789" t="s">
        <v>6097</v>
      </c>
      <c r="I3789">
        <v>24</v>
      </c>
      <c r="J3789">
        <v>6.7</v>
      </c>
      <c r="K3789" t="s">
        <v>6099</v>
      </c>
      <c r="L3789" t="s">
        <v>6100</v>
      </c>
      <c r="M3789" t="s">
        <v>6100</v>
      </c>
      <c r="N3789">
        <v>5</v>
      </c>
      <c r="O3789" t="s">
        <v>6101</v>
      </c>
      <c r="P3789" t="s">
        <v>6112</v>
      </c>
      <c r="Q3789">
        <v>6</v>
      </c>
      <c r="R3789">
        <v>2026</v>
      </c>
      <c r="S3789" t="s">
        <v>6099</v>
      </c>
      <c r="T3789">
        <v>1</v>
      </c>
      <c r="U3789" t="s">
        <v>6020</v>
      </c>
      <c r="V3789">
        <v>1</v>
      </c>
    </row>
    <row r="3790" spans="1:22" x14ac:dyDescent="0.3">
      <c r="A3790" t="s">
        <v>3805</v>
      </c>
      <c r="B3790" s="2">
        <v>46193.417361111111</v>
      </c>
      <c r="C3790" s="2">
        <v>46195.429861111108</v>
      </c>
      <c r="D3790" t="s">
        <v>6022</v>
      </c>
      <c r="E3790" t="s">
        <v>6031</v>
      </c>
      <c r="F3790" t="s">
        <v>6033</v>
      </c>
      <c r="G3790" t="s">
        <v>6061</v>
      </c>
      <c r="H3790" t="s">
        <v>6096</v>
      </c>
      <c r="I3790">
        <v>72</v>
      </c>
      <c r="J3790">
        <v>48.3</v>
      </c>
      <c r="K3790" t="s">
        <v>6099</v>
      </c>
      <c r="L3790" t="s">
        <v>6100</v>
      </c>
      <c r="M3790" t="s">
        <v>6099</v>
      </c>
      <c r="N3790">
        <v>5</v>
      </c>
      <c r="O3790" t="s">
        <v>6101</v>
      </c>
      <c r="P3790" t="s">
        <v>6112</v>
      </c>
      <c r="Q3790">
        <v>6</v>
      </c>
      <c r="R3790">
        <v>2026</v>
      </c>
      <c r="S3790" t="s">
        <v>6099</v>
      </c>
      <c r="T3790">
        <v>1</v>
      </c>
      <c r="U3790" t="s">
        <v>6021</v>
      </c>
      <c r="V3790">
        <v>1</v>
      </c>
    </row>
    <row r="3791" spans="1:22" x14ac:dyDescent="0.3">
      <c r="A3791" t="s">
        <v>3806</v>
      </c>
      <c r="B3791" s="2">
        <v>46193.464583333334</v>
      </c>
      <c r="C3791" s="2">
        <v>46193.806250000001</v>
      </c>
      <c r="D3791" t="s">
        <v>6023</v>
      </c>
      <c r="E3791" t="s">
        <v>6030</v>
      </c>
      <c r="F3791" t="s">
        <v>6033</v>
      </c>
      <c r="G3791" t="s">
        <v>6094</v>
      </c>
      <c r="H3791" t="s">
        <v>6098</v>
      </c>
      <c r="I3791">
        <v>72</v>
      </c>
      <c r="J3791">
        <v>8.1999999999999993</v>
      </c>
      <c r="K3791" t="s">
        <v>6099</v>
      </c>
      <c r="L3791" t="s">
        <v>6100</v>
      </c>
      <c r="M3791" t="s">
        <v>6100</v>
      </c>
      <c r="N3791">
        <v>5</v>
      </c>
      <c r="O3791" t="s">
        <v>6101</v>
      </c>
      <c r="P3791" t="s">
        <v>6112</v>
      </c>
      <c r="Q3791">
        <v>6</v>
      </c>
      <c r="R3791">
        <v>2026</v>
      </c>
      <c r="S3791" t="s">
        <v>6099</v>
      </c>
      <c r="T3791">
        <v>1</v>
      </c>
      <c r="U3791" t="s">
        <v>6021</v>
      </c>
      <c r="V3791">
        <v>1</v>
      </c>
    </row>
    <row r="3792" spans="1:22" x14ac:dyDescent="0.3">
      <c r="A3792" t="s">
        <v>3807</v>
      </c>
      <c r="B3792" s="2">
        <v>46193.548611111109</v>
      </c>
      <c r="C3792" s="2">
        <v>46194.598611111112</v>
      </c>
      <c r="D3792" t="s">
        <v>6024</v>
      </c>
      <c r="E3792" t="s">
        <v>6029</v>
      </c>
      <c r="F3792" t="s">
        <v>6033</v>
      </c>
      <c r="G3792" t="s">
        <v>6091</v>
      </c>
      <c r="H3792" t="s">
        <v>6097</v>
      </c>
      <c r="I3792">
        <v>72</v>
      </c>
      <c r="J3792">
        <v>25.2</v>
      </c>
      <c r="K3792" t="s">
        <v>6100</v>
      </c>
      <c r="L3792" t="s">
        <v>6099</v>
      </c>
      <c r="M3792" t="s">
        <v>6100</v>
      </c>
      <c r="N3792">
        <v>3</v>
      </c>
      <c r="O3792" t="s">
        <v>6101</v>
      </c>
      <c r="P3792" t="s">
        <v>6112</v>
      </c>
      <c r="Q3792">
        <v>6</v>
      </c>
      <c r="R3792">
        <v>2026</v>
      </c>
      <c r="S3792" t="s">
        <v>6099</v>
      </c>
      <c r="T3792">
        <v>1</v>
      </c>
      <c r="U3792" t="s">
        <v>6020</v>
      </c>
      <c r="V3792">
        <v>0</v>
      </c>
    </row>
    <row r="3793" spans="1:22" x14ac:dyDescent="0.3">
      <c r="A3793" t="s">
        <v>3808</v>
      </c>
      <c r="B3793" s="2">
        <v>46193.551388888889</v>
      </c>
      <c r="C3793" s="2">
        <v>46194.422222222223</v>
      </c>
      <c r="D3793" t="s">
        <v>6022</v>
      </c>
      <c r="E3793" t="s">
        <v>6032</v>
      </c>
      <c r="F3793" t="s">
        <v>6034</v>
      </c>
      <c r="G3793" t="s">
        <v>6077</v>
      </c>
      <c r="H3793" t="s">
        <v>6098</v>
      </c>
      <c r="I3793">
        <v>24</v>
      </c>
      <c r="J3793">
        <v>20.9</v>
      </c>
      <c r="K3793" t="s">
        <v>6099</v>
      </c>
      <c r="L3793" t="s">
        <v>6100</v>
      </c>
      <c r="M3793" t="s">
        <v>6099</v>
      </c>
      <c r="N3793">
        <v>3</v>
      </c>
      <c r="O3793" t="s">
        <v>6101</v>
      </c>
      <c r="P3793" t="s">
        <v>6112</v>
      </c>
      <c r="Q3793">
        <v>6</v>
      </c>
      <c r="R3793">
        <v>2026</v>
      </c>
      <c r="S3793" t="s">
        <v>6099</v>
      </c>
      <c r="T3793">
        <v>1</v>
      </c>
      <c r="U3793" t="s">
        <v>6019</v>
      </c>
      <c r="V3793">
        <v>1</v>
      </c>
    </row>
    <row r="3794" spans="1:22" x14ac:dyDescent="0.3">
      <c r="A3794" t="s">
        <v>3809</v>
      </c>
      <c r="B3794" s="2">
        <v>46193.559027777781</v>
      </c>
      <c r="C3794" s="2">
        <v>46204.321527777778</v>
      </c>
      <c r="D3794" t="s">
        <v>6022</v>
      </c>
      <c r="E3794" t="s">
        <v>6032</v>
      </c>
      <c r="F3794" t="s">
        <v>6033</v>
      </c>
      <c r="G3794" t="s">
        <v>6086</v>
      </c>
      <c r="H3794" t="s">
        <v>6098</v>
      </c>
      <c r="I3794">
        <v>72</v>
      </c>
      <c r="J3794">
        <v>258.3</v>
      </c>
      <c r="K3794" t="s">
        <v>6099</v>
      </c>
      <c r="L3794" t="s">
        <v>6100</v>
      </c>
      <c r="M3794" t="s">
        <v>6100</v>
      </c>
      <c r="N3794">
        <v>4</v>
      </c>
      <c r="O3794" t="s">
        <v>6101</v>
      </c>
      <c r="P3794" t="s">
        <v>6112</v>
      </c>
      <c r="Q3794">
        <v>6</v>
      </c>
      <c r="R3794">
        <v>2026</v>
      </c>
      <c r="S3794" t="s">
        <v>6100</v>
      </c>
      <c r="T3794">
        <v>0</v>
      </c>
      <c r="U3794" t="s">
        <v>6019</v>
      </c>
      <c r="V3794">
        <v>1</v>
      </c>
    </row>
    <row r="3795" spans="1:22" x14ac:dyDescent="0.3">
      <c r="A3795" t="s">
        <v>3810</v>
      </c>
      <c r="B3795" s="2">
        <v>46193.566666666666</v>
      </c>
      <c r="C3795" s="2">
        <v>46194.054166666669</v>
      </c>
      <c r="D3795" t="s">
        <v>6028</v>
      </c>
      <c r="E3795" t="s">
        <v>6029</v>
      </c>
      <c r="F3795" t="s">
        <v>6035</v>
      </c>
      <c r="G3795" t="s">
        <v>6045</v>
      </c>
      <c r="H3795" t="s">
        <v>6096</v>
      </c>
      <c r="I3795">
        <v>4</v>
      </c>
      <c r="J3795">
        <v>11.7</v>
      </c>
      <c r="K3795" t="s">
        <v>6099</v>
      </c>
      <c r="L3795" t="s">
        <v>6100</v>
      </c>
      <c r="M3795" t="s">
        <v>6100</v>
      </c>
      <c r="N3795">
        <v>4</v>
      </c>
      <c r="O3795" t="s">
        <v>6101</v>
      </c>
      <c r="P3795" t="s">
        <v>6112</v>
      </c>
      <c r="Q3795">
        <v>6</v>
      </c>
      <c r="R3795">
        <v>2026</v>
      </c>
      <c r="S3795" t="s">
        <v>6100</v>
      </c>
      <c r="T3795">
        <v>0</v>
      </c>
      <c r="U3795" t="s">
        <v>6017</v>
      </c>
      <c r="V3795">
        <v>1</v>
      </c>
    </row>
    <row r="3796" spans="1:22" x14ac:dyDescent="0.3">
      <c r="A3796" t="s">
        <v>3811</v>
      </c>
      <c r="B3796" s="2">
        <v>46193.572222222225</v>
      </c>
      <c r="C3796" s="2">
        <v>46194.209722222222</v>
      </c>
      <c r="D3796" t="s">
        <v>6024</v>
      </c>
      <c r="E3796" t="s">
        <v>6029</v>
      </c>
      <c r="F3796" t="s">
        <v>6035</v>
      </c>
      <c r="G3796" t="s">
        <v>6095</v>
      </c>
      <c r="H3796" t="s">
        <v>6098</v>
      </c>
      <c r="I3796">
        <v>4</v>
      </c>
      <c r="J3796">
        <v>15.3</v>
      </c>
      <c r="K3796" t="s">
        <v>6099</v>
      </c>
      <c r="L3796" t="s">
        <v>6100</v>
      </c>
      <c r="M3796" t="s">
        <v>6100</v>
      </c>
      <c r="N3796">
        <v>5</v>
      </c>
      <c r="O3796" t="s">
        <v>6101</v>
      </c>
      <c r="P3796" t="s">
        <v>6112</v>
      </c>
      <c r="Q3796">
        <v>6</v>
      </c>
      <c r="R3796">
        <v>2026</v>
      </c>
      <c r="S3796" t="s">
        <v>6100</v>
      </c>
      <c r="T3796">
        <v>0</v>
      </c>
      <c r="U3796" t="s">
        <v>6018</v>
      </c>
      <c r="V3796">
        <v>1</v>
      </c>
    </row>
    <row r="3797" spans="1:22" x14ac:dyDescent="0.3">
      <c r="A3797" t="s">
        <v>3812</v>
      </c>
      <c r="B3797" s="2">
        <v>46193.573611111111</v>
      </c>
      <c r="C3797" s="2">
        <v>46194.106944444444</v>
      </c>
      <c r="D3797" t="s">
        <v>6024</v>
      </c>
      <c r="E3797" t="s">
        <v>6029</v>
      </c>
      <c r="F3797" t="s">
        <v>6033</v>
      </c>
      <c r="G3797" t="s">
        <v>6051</v>
      </c>
      <c r="H3797" t="s">
        <v>6097</v>
      </c>
      <c r="I3797">
        <v>72</v>
      </c>
      <c r="J3797">
        <v>12.8</v>
      </c>
      <c r="K3797" t="s">
        <v>6099</v>
      </c>
      <c r="L3797" t="s">
        <v>6100</v>
      </c>
      <c r="M3797" t="s">
        <v>6100</v>
      </c>
      <c r="N3797">
        <v>4</v>
      </c>
      <c r="O3797" t="s">
        <v>6101</v>
      </c>
      <c r="P3797" t="s">
        <v>6112</v>
      </c>
      <c r="Q3797">
        <v>6</v>
      </c>
      <c r="R3797">
        <v>2026</v>
      </c>
      <c r="S3797" t="s">
        <v>6099</v>
      </c>
      <c r="T3797">
        <v>1</v>
      </c>
      <c r="U3797" t="s">
        <v>6017</v>
      </c>
      <c r="V3797">
        <v>1</v>
      </c>
    </row>
    <row r="3798" spans="1:22" x14ac:dyDescent="0.3">
      <c r="A3798" t="s">
        <v>3813</v>
      </c>
      <c r="B3798" s="2">
        <v>46193.624305555553</v>
      </c>
      <c r="C3798" s="2">
        <v>46195.374305555553</v>
      </c>
      <c r="D3798" t="s">
        <v>6022</v>
      </c>
      <c r="E3798" t="s">
        <v>6029</v>
      </c>
      <c r="F3798" t="s">
        <v>6034</v>
      </c>
      <c r="G3798" t="s">
        <v>6042</v>
      </c>
      <c r="H3798" t="s">
        <v>6098</v>
      </c>
      <c r="I3798">
        <v>24</v>
      </c>
      <c r="J3798">
        <v>42</v>
      </c>
      <c r="K3798" t="s">
        <v>6099</v>
      </c>
      <c r="L3798" t="s">
        <v>6100</v>
      </c>
      <c r="M3798" t="s">
        <v>6099</v>
      </c>
      <c r="O3798" t="s">
        <v>6101</v>
      </c>
      <c r="P3798" t="s">
        <v>6112</v>
      </c>
      <c r="Q3798">
        <v>6</v>
      </c>
      <c r="R3798">
        <v>2026</v>
      </c>
      <c r="S3798" t="s">
        <v>6100</v>
      </c>
      <c r="T3798">
        <v>0</v>
      </c>
      <c r="U3798" t="s">
        <v>6020</v>
      </c>
      <c r="V3798">
        <v>1</v>
      </c>
    </row>
    <row r="3799" spans="1:22" x14ac:dyDescent="0.3">
      <c r="A3799" t="s">
        <v>3814</v>
      </c>
      <c r="B3799" s="2">
        <v>46193.646527777775</v>
      </c>
      <c r="C3799" s="2">
        <v>46194.684027777781</v>
      </c>
      <c r="D3799" t="s">
        <v>6027</v>
      </c>
      <c r="E3799" t="s">
        <v>6029</v>
      </c>
      <c r="F3799" t="s">
        <v>6035</v>
      </c>
      <c r="G3799" t="s">
        <v>6064</v>
      </c>
      <c r="H3799" t="s">
        <v>6096</v>
      </c>
      <c r="I3799">
        <v>4</v>
      </c>
      <c r="J3799">
        <v>24.9</v>
      </c>
      <c r="K3799" t="s">
        <v>6099</v>
      </c>
      <c r="L3799" t="s">
        <v>6100</v>
      </c>
      <c r="M3799" t="s">
        <v>6100</v>
      </c>
      <c r="O3799" t="s">
        <v>6101</v>
      </c>
      <c r="P3799" t="s">
        <v>6112</v>
      </c>
      <c r="Q3799">
        <v>6</v>
      </c>
      <c r="R3799">
        <v>2026</v>
      </c>
      <c r="S3799" t="s">
        <v>6100</v>
      </c>
      <c r="T3799">
        <v>0</v>
      </c>
      <c r="U3799" t="s">
        <v>6017</v>
      </c>
      <c r="V3799">
        <v>1</v>
      </c>
    </row>
    <row r="3800" spans="1:22" x14ac:dyDescent="0.3">
      <c r="A3800" t="s">
        <v>3815</v>
      </c>
      <c r="B3800" s="2">
        <v>46193.674305555556</v>
      </c>
      <c r="C3800" s="2">
        <v>46200.690972222219</v>
      </c>
      <c r="D3800" t="s">
        <v>6026</v>
      </c>
      <c r="E3800" t="s">
        <v>6031</v>
      </c>
      <c r="F3800" t="s">
        <v>6034</v>
      </c>
      <c r="G3800" t="s">
        <v>6050</v>
      </c>
      <c r="H3800" t="s">
        <v>6098</v>
      </c>
      <c r="I3800">
        <v>24</v>
      </c>
      <c r="J3800">
        <v>168.4</v>
      </c>
      <c r="K3800" t="s">
        <v>6100</v>
      </c>
      <c r="L3800" t="s">
        <v>6100</v>
      </c>
      <c r="M3800" t="s">
        <v>6100</v>
      </c>
      <c r="O3800" t="s">
        <v>6101</v>
      </c>
      <c r="P3800" t="s">
        <v>6112</v>
      </c>
      <c r="Q3800">
        <v>6</v>
      </c>
      <c r="R3800">
        <v>2026</v>
      </c>
      <c r="S3800" t="s">
        <v>6100</v>
      </c>
      <c r="T3800">
        <v>0</v>
      </c>
      <c r="U3800" t="s">
        <v>6017</v>
      </c>
      <c r="V3800">
        <v>0</v>
      </c>
    </row>
    <row r="3801" spans="1:22" x14ac:dyDescent="0.3">
      <c r="A3801" t="s">
        <v>3816</v>
      </c>
      <c r="B3801" s="2">
        <v>46193.757638888892</v>
      </c>
      <c r="C3801" s="2">
        <v>46193.924305555556</v>
      </c>
      <c r="D3801" t="s">
        <v>6023</v>
      </c>
      <c r="E3801" t="s">
        <v>6029</v>
      </c>
      <c r="F3801" t="s">
        <v>6033</v>
      </c>
      <c r="G3801" t="s">
        <v>6043</v>
      </c>
      <c r="H3801" t="s">
        <v>6097</v>
      </c>
      <c r="I3801">
        <v>72</v>
      </c>
      <c r="J3801">
        <v>4</v>
      </c>
      <c r="K3801" t="s">
        <v>6099</v>
      </c>
      <c r="L3801" t="s">
        <v>6100</v>
      </c>
      <c r="M3801" t="s">
        <v>6100</v>
      </c>
      <c r="O3801" t="s">
        <v>6101</v>
      </c>
      <c r="P3801" t="s">
        <v>6112</v>
      </c>
      <c r="Q3801">
        <v>6</v>
      </c>
      <c r="R3801">
        <v>2026</v>
      </c>
      <c r="S3801" t="s">
        <v>6099</v>
      </c>
      <c r="T3801">
        <v>1</v>
      </c>
      <c r="U3801" t="s">
        <v>6019</v>
      </c>
      <c r="V3801">
        <v>1</v>
      </c>
    </row>
    <row r="3802" spans="1:22" x14ac:dyDescent="0.3">
      <c r="A3802" t="s">
        <v>3817</v>
      </c>
      <c r="B3802" s="2">
        <v>46193.885416666664</v>
      </c>
      <c r="C3802" s="2">
        <v>46197.964583333334</v>
      </c>
      <c r="D3802" t="s">
        <v>6025</v>
      </c>
      <c r="E3802" t="s">
        <v>6031</v>
      </c>
      <c r="F3802" t="s">
        <v>6035</v>
      </c>
      <c r="G3802" t="s">
        <v>6049</v>
      </c>
      <c r="H3802" t="s">
        <v>6097</v>
      </c>
      <c r="I3802">
        <v>4</v>
      </c>
      <c r="J3802">
        <v>97.9</v>
      </c>
      <c r="K3802" t="s">
        <v>6099</v>
      </c>
      <c r="L3802" t="s">
        <v>6100</v>
      </c>
      <c r="M3802" t="s">
        <v>6100</v>
      </c>
      <c r="N3802">
        <v>4</v>
      </c>
      <c r="O3802" t="s">
        <v>6101</v>
      </c>
      <c r="P3802" t="s">
        <v>6112</v>
      </c>
      <c r="Q3802">
        <v>6</v>
      </c>
      <c r="R3802">
        <v>2026</v>
      </c>
      <c r="S3802" t="s">
        <v>6100</v>
      </c>
      <c r="T3802">
        <v>0</v>
      </c>
      <c r="U3802" t="s">
        <v>6020</v>
      </c>
      <c r="V3802">
        <v>1</v>
      </c>
    </row>
    <row r="3803" spans="1:22" x14ac:dyDescent="0.3">
      <c r="A3803" t="s">
        <v>3818</v>
      </c>
      <c r="B3803" s="2">
        <v>46194.156944444447</v>
      </c>
      <c r="C3803" s="2">
        <v>46194.894444444442</v>
      </c>
      <c r="D3803" t="s">
        <v>6023</v>
      </c>
      <c r="E3803" t="s">
        <v>6032</v>
      </c>
      <c r="F3803" t="s">
        <v>6033</v>
      </c>
      <c r="G3803" t="s">
        <v>6083</v>
      </c>
      <c r="H3803" t="s">
        <v>6096</v>
      </c>
      <c r="I3803">
        <v>72</v>
      </c>
      <c r="J3803">
        <v>17.7</v>
      </c>
      <c r="K3803" t="s">
        <v>6099</v>
      </c>
      <c r="L3803" t="s">
        <v>6100</v>
      </c>
      <c r="M3803" t="s">
        <v>6100</v>
      </c>
      <c r="N3803">
        <v>3</v>
      </c>
      <c r="O3803" t="s">
        <v>6101</v>
      </c>
      <c r="P3803" t="s">
        <v>6112</v>
      </c>
      <c r="Q3803">
        <v>6</v>
      </c>
      <c r="R3803">
        <v>2026</v>
      </c>
      <c r="S3803" t="s">
        <v>6099</v>
      </c>
      <c r="T3803">
        <v>1</v>
      </c>
      <c r="U3803" t="s">
        <v>6017</v>
      </c>
      <c r="V3803">
        <v>1</v>
      </c>
    </row>
    <row r="3804" spans="1:22" x14ac:dyDescent="0.3">
      <c r="A3804" t="s">
        <v>3819</v>
      </c>
      <c r="B3804" s="2">
        <v>46194.284722222219</v>
      </c>
      <c r="C3804" s="2">
        <v>46194.672222222223</v>
      </c>
      <c r="D3804" t="s">
        <v>6024</v>
      </c>
      <c r="E3804" t="s">
        <v>6029</v>
      </c>
      <c r="F3804" t="s">
        <v>6033</v>
      </c>
      <c r="G3804" t="s">
        <v>6049</v>
      </c>
      <c r="H3804" t="s">
        <v>6097</v>
      </c>
      <c r="I3804">
        <v>72</v>
      </c>
      <c r="J3804">
        <v>9.3000000000000007</v>
      </c>
      <c r="K3804" t="s">
        <v>6099</v>
      </c>
      <c r="L3804" t="s">
        <v>6100</v>
      </c>
      <c r="M3804" t="s">
        <v>6100</v>
      </c>
      <c r="N3804">
        <v>5</v>
      </c>
      <c r="O3804" t="s">
        <v>6101</v>
      </c>
      <c r="P3804" t="s">
        <v>6112</v>
      </c>
      <c r="Q3804">
        <v>6</v>
      </c>
      <c r="R3804">
        <v>2026</v>
      </c>
      <c r="S3804" t="s">
        <v>6099</v>
      </c>
      <c r="T3804">
        <v>1</v>
      </c>
      <c r="U3804" t="s">
        <v>6021</v>
      </c>
      <c r="V3804">
        <v>1</v>
      </c>
    </row>
    <row r="3805" spans="1:22" x14ac:dyDescent="0.3">
      <c r="A3805" t="s">
        <v>3820</v>
      </c>
      <c r="B3805" s="2">
        <v>46194.32708333333</v>
      </c>
      <c r="C3805" s="2">
        <v>46194.685416666667</v>
      </c>
      <c r="D3805" t="s">
        <v>6023</v>
      </c>
      <c r="E3805" t="s">
        <v>6032</v>
      </c>
      <c r="F3805" t="s">
        <v>6033</v>
      </c>
      <c r="G3805" t="s">
        <v>6093</v>
      </c>
      <c r="H3805" t="s">
        <v>6097</v>
      </c>
      <c r="I3805">
        <v>72</v>
      </c>
      <c r="J3805">
        <v>8.6</v>
      </c>
      <c r="K3805" t="s">
        <v>6100</v>
      </c>
      <c r="L3805" t="s">
        <v>6100</v>
      </c>
      <c r="M3805" t="s">
        <v>6100</v>
      </c>
      <c r="N3805">
        <v>4</v>
      </c>
      <c r="O3805" t="s">
        <v>6101</v>
      </c>
      <c r="P3805" t="s">
        <v>6112</v>
      </c>
      <c r="Q3805">
        <v>6</v>
      </c>
      <c r="R3805">
        <v>2026</v>
      </c>
      <c r="S3805" t="s">
        <v>6099</v>
      </c>
      <c r="T3805">
        <v>1</v>
      </c>
      <c r="U3805" t="s">
        <v>6017</v>
      </c>
      <c r="V3805">
        <v>0</v>
      </c>
    </row>
    <row r="3806" spans="1:22" x14ac:dyDescent="0.3">
      <c r="A3806" t="s">
        <v>3821</v>
      </c>
      <c r="B3806" s="2">
        <v>46194.354861111111</v>
      </c>
      <c r="C3806" s="2">
        <v>46194.759027777778</v>
      </c>
      <c r="D3806" t="s">
        <v>6023</v>
      </c>
      <c r="E3806" t="s">
        <v>6029</v>
      </c>
      <c r="F3806" t="s">
        <v>6034</v>
      </c>
      <c r="G3806" t="s">
        <v>6054</v>
      </c>
      <c r="H3806" t="s">
        <v>6096</v>
      </c>
      <c r="I3806">
        <v>24</v>
      </c>
      <c r="J3806">
        <v>9.6999999999999993</v>
      </c>
      <c r="K3806" t="s">
        <v>6099</v>
      </c>
      <c r="L3806" t="s">
        <v>6100</v>
      </c>
      <c r="M3806" t="s">
        <v>6100</v>
      </c>
      <c r="O3806" t="s">
        <v>6101</v>
      </c>
      <c r="P3806" t="s">
        <v>6112</v>
      </c>
      <c r="Q3806">
        <v>6</v>
      </c>
      <c r="R3806">
        <v>2026</v>
      </c>
      <c r="S3806" t="s">
        <v>6099</v>
      </c>
      <c r="T3806">
        <v>1</v>
      </c>
      <c r="U3806" t="s">
        <v>6018</v>
      </c>
      <c r="V3806">
        <v>1</v>
      </c>
    </row>
    <row r="3807" spans="1:22" x14ac:dyDescent="0.3">
      <c r="A3807" t="s">
        <v>3822</v>
      </c>
      <c r="B3807" s="2">
        <v>46194.361111111109</v>
      </c>
      <c r="C3807" s="2">
        <v>46200.748611111114</v>
      </c>
      <c r="D3807" t="s">
        <v>6026</v>
      </c>
      <c r="E3807" t="s">
        <v>6030</v>
      </c>
      <c r="F3807" t="s">
        <v>6034</v>
      </c>
      <c r="G3807" t="s">
        <v>6038</v>
      </c>
      <c r="H3807" t="s">
        <v>6096</v>
      </c>
      <c r="I3807">
        <v>24</v>
      </c>
      <c r="J3807">
        <v>153.30000000000001</v>
      </c>
      <c r="K3807" t="s">
        <v>6100</v>
      </c>
      <c r="L3807" t="s">
        <v>6100</v>
      </c>
      <c r="M3807" t="s">
        <v>6100</v>
      </c>
      <c r="N3807">
        <v>2</v>
      </c>
      <c r="O3807" t="s">
        <v>6101</v>
      </c>
      <c r="P3807" t="s">
        <v>6112</v>
      </c>
      <c r="Q3807">
        <v>6</v>
      </c>
      <c r="R3807">
        <v>2026</v>
      </c>
      <c r="S3807" t="s">
        <v>6100</v>
      </c>
      <c r="T3807">
        <v>0</v>
      </c>
      <c r="U3807" t="s">
        <v>6019</v>
      </c>
      <c r="V3807">
        <v>0</v>
      </c>
    </row>
    <row r="3808" spans="1:22" x14ac:dyDescent="0.3">
      <c r="A3808" t="s">
        <v>3823</v>
      </c>
      <c r="B3808" s="2">
        <v>46194.384027777778</v>
      </c>
      <c r="C3808" s="2">
        <v>46195.884027777778</v>
      </c>
      <c r="D3808" t="s">
        <v>6028</v>
      </c>
      <c r="E3808" t="s">
        <v>6031</v>
      </c>
      <c r="F3808" t="s">
        <v>6035</v>
      </c>
      <c r="G3808" t="s">
        <v>6057</v>
      </c>
      <c r="H3808" t="s">
        <v>6097</v>
      </c>
      <c r="I3808">
        <v>4</v>
      </c>
      <c r="J3808">
        <v>36</v>
      </c>
      <c r="K3808" t="s">
        <v>6099</v>
      </c>
      <c r="L3808" t="s">
        <v>6100</v>
      </c>
      <c r="M3808" t="s">
        <v>6100</v>
      </c>
      <c r="N3808">
        <v>3</v>
      </c>
      <c r="O3808" t="s">
        <v>6101</v>
      </c>
      <c r="P3808" t="s">
        <v>6112</v>
      </c>
      <c r="Q3808">
        <v>6</v>
      </c>
      <c r="R3808">
        <v>2026</v>
      </c>
      <c r="S3808" t="s">
        <v>6100</v>
      </c>
      <c r="T3808">
        <v>0</v>
      </c>
      <c r="U3808" t="s">
        <v>6018</v>
      </c>
      <c r="V3808">
        <v>1</v>
      </c>
    </row>
    <row r="3809" spans="1:22" x14ac:dyDescent="0.3">
      <c r="A3809" t="s">
        <v>3824</v>
      </c>
      <c r="B3809" s="2">
        <v>46194.472916666666</v>
      </c>
      <c r="C3809" s="2">
        <v>46195.314583333333</v>
      </c>
      <c r="D3809" t="s">
        <v>6024</v>
      </c>
      <c r="E3809" t="s">
        <v>6030</v>
      </c>
      <c r="F3809" t="s">
        <v>6035</v>
      </c>
      <c r="G3809" t="s">
        <v>6075</v>
      </c>
      <c r="H3809" t="s">
        <v>6097</v>
      </c>
      <c r="I3809">
        <v>4</v>
      </c>
      <c r="J3809">
        <v>20.2</v>
      </c>
      <c r="K3809" t="s">
        <v>6100</v>
      </c>
      <c r="L3809" t="s">
        <v>6099</v>
      </c>
      <c r="M3809" t="s">
        <v>6099</v>
      </c>
      <c r="N3809">
        <v>4</v>
      </c>
      <c r="O3809" t="s">
        <v>6101</v>
      </c>
      <c r="P3809" t="s">
        <v>6112</v>
      </c>
      <c r="Q3809">
        <v>6</v>
      </c>
      <c r="R3809">
        <v>2026</v>
      </c>
      <c r="S3809" t="s">
        <v>6100</v>
      </c>
      <c r="T3809">
        <v>0</v>
      </c>
      <c r="U3809" t="s">
        <v>6017</v>
      </c>
      <c r="V3809">
        <v>0</v>
      </c>
    </row>
    <row r="3810" spans="1:22" x14ac:dyDescent="0.3">
      <c r="A3810" t="s">
        <v>3825</v>
      </c>
      <c r="B3810" s="2">
        <v>46194.481249999997</v>
      </c>
      <c r="C3810" s="2">
        <v>46195.38958333333</v>
      </c>
      <c r="D3810" t="s">
        <v>6027</v>
      </c>
      <c r="E3810" t="s">
        <v>6032</v>
      </c>
      <c r="F3810" t="s">
        <v>6035</v>
      </c>
      <c r="G3810" t="s">
        <v>6066</v>
      </c>
      <c r="H3810" t="s">
        <v>6096</v>
      </c>
      <c r="I3810">
        <v>4</v>
      </c>
      <c r="J3810">
        <v>21.8</v>
      </c>
      <c r="K3810" t="s">
        <v>6100</v>
      </c>
      <c r="L3810" t="s">
        <v>6100</v>
      </c>
      <c r="M3810" t="s">
        <v>6099</v>
      </c>
      <c r="O3810" t="s">
        <v>6101</v>
      </c>
      <c r="P3810" t="s">
        <v>6112</v>
      </c>
      <c r="Q3810">
        <v>6</v>
      </c>
      <c r="R3810">
        <v>2026</v>
      </c>
      <c r="S3810" t="s">
        <v>6100</v>
      </c>
      <c r="T3810">
        <v>0</v>
      </c>
      <c r="U3810" t="s">
        <v>6018</v>
      </c>
      <c r="V3810">
        <v>0</v>
      </c>
    </row>
    <row r="3811" spans="1:22" x14ac:dyDescent="0.3">
      <c r="A3811" t="s">
        <v>3826</v>
      </c>
      <c r="B3811" s="2">
        <v>46194.491666666669</v>
      </c>
      <c r="C3811" s="2">
        <v>46194.633333333331</v>
      </c>
      <c r="D3811" t="s">
        <v>6023</v>
      </c>
      <c r="E3811" t="s">
        <v>6030</v>
      </c>
      <c r="F3811" t="s">
        <v>6034</v>
      </c>
      <c r="G3811" t="s">
        <v>6045</v>
      </c>
      <c r="H3811" t="s">
        <v>6096</v>
      </c>
      <c r="I3811">
        <v>24</v>
      </c>
      <c r="J3811">
        <v>3.4</v>
      </c>
      <c r="K3811" t="s">
        <v>6099</v>
      </c>
      <c r="L3811" t="s">
        <v>6100</v>
      </c>
      <c r="M3811" t="s">
        <v>6100</v>
      </c>
      <c r="N3811">
        <v>4</v>
      </c>
      <c r="O3811" t="s">
        <v>6101</v>
      </c>
      <c r="P3811" t="s">
        <v>6112</v>
      </c>
      <c r="Q3811">
        <v>6</v>
      </c>
      <c r="R3811">
        <v>2026</v>
      </c>
      <c r="S3811" t="s">
        <v>6099</v>
      </c>
      <c r="T3811">
        <v>1</v>
      </c>
      <c r="U3811" t="s">
        <v>6020</v>
      </c>
      <c r="V3811">
        <v>1</v>
      </c>
    </row>
    <row r="3812" spans="1:22" x14ac:dyDescent="0.3">
      <c r="A3812" t="s">
        <v>3827</v>
      </c>
      <c r="B3812" s="2">
        <v>46194.509722222225</v>
      </c>
      <c r="C3812" s="2">
        <v>46194.718055555553</v>
      </c>
      <c r="D3812" t="s">
        <v>6028</v>
      </c>
      <c r="E3812" t="s">
        <v>6030</v>
      </c>
      <c r="F3812" t="s">
        <v>6034</v>
      </c>
      <c r="G3812" t="s">
        <v>6080</v>
      </c>
      <c r="H3812" t="s">
        <v>6096</v>
      </c>
      <c r="I3812">
        <v>24</v>
      </c>
      <c r="J3812">
        <v>5</v>
      </c>
      <c r="K3812" t="s">
        <v>6099</v>
      </c>
      <c r="L3812" t="s">
        <v>6100</v>
      </c>
      <c r="M3812" t="s">
        <v>6100</v>
      </c>
      <c r="N3812">
        <v>5</v>
      </c>
      <c r="O3812" t="s">
        <v>6101</v>
      </c>
      <c r="P3812" t="s">
        <v>6112</v>
      </c>
      <c r="Q3812">
        <v>6</v>
      </c>
      <c r="R3812">
        <v>2026</v>
      </c>
      <c r="S3812" t="s">
        <v>6099</v>
      </c>
      <c r="T3812">
        <v>1</v>
      </c>
      <c r="U3812" t="s">
        <v>6018</v>
      </c>
      <c r="V3812">
        <v>1</v>
      </c>
    </row>
    <row r="3813" spans="1:22" x14ac:dyDescent="0.3">
      <c r="A3813" t="s">
        <v>3828</v>
      </c>
      <c r="B3813" s="2">
        <v>46194.511805555558</v>
      </c>
      <c r="C3813" s="2">
        <v>46194.695138888892</v>
      </c>
      <c r="D3813" t="s">
        <v>6028</v>
      </c>
      <c r="E3813" t="s">
        <v>6029</v>
      </c>
      <c r="F3813" t="s">
        <v>6034</v>
      </c>
      <c r="G3813" t="s">
        <v>6093</v>
      </c>
      <c r="H3813" t="s">
        <v>6097</v>
      </c>
      <c r="I3813">
        <v>24</v>
      </c>
      <c r="J3813">
        <v>4.4000000000000004</v>
      </c>
      <c r="K3813" t="s">
        <v>6100</v>
      </c>
      <c r="L3813" t="s">
        <v>6099</v>
      </c>
      <c r="M3813" t="s">
        <v>6100</v>
      </c>
      <c r="N3813">
        <v>4</v>
      </c>
      <c r="O3813" t="s">
        <v>6101</v>
      </c>
      <c r="P3813" t="s">
        <v>6112</v>
      </c>
      <c r="Q3813">
        <v>6</v>
      </c>
      <c r="R3813">
        <v>2026</v>
      </c>
      <c r="S3813" t="s">
        <v>6099</v>
      </c>
      <c r="T3813">
        <v>1</v>
      </c>
      <c r="U3813" t="s">
        <v>6017</v>
      </c>
      <c r="V3813">
        <v>0</v>
      </c>
    </row>
    <row r="3814" spans="1:22" x14ac:dyDescent="0.3">
      <c r="A3814" t="s">
        <v>3829</v>
      </c>
      <c r="B3814" s="2">
        <v>46194.513888888891</v>
      </c>
      <c r="C3814" s="2">
        <v>46194.738888888889</v>
      </c>
      <c r="D3814" t="s">
        <v>6028</v>
      </c>
      <c r="E3814" t="s">
        <v>6030</v>
      </c>
      <c r="F3814" t="s">
        <v>6035</v>
      </c>
      <c r="G3814" t="s">
        <v>6074</v>
      </c>
      <c r="H3814" t="s">
        <v>6098</v>
      </c>
      <c r="I3814">
        <v>4</v>
      </c>
      <c r="J3814">
        <v>5.4</v>
      </c>
      <c r="K3814" t="s">
        <v>6100</v>
      </c>
      <c r="L3814" t="s">
        <v>6099</v>
      </c>
      <c r="M3814" t="s">
        <v>6100</v>
      </c>
      <c r="N3814">
        <v>2</v>
      </c>
      <c r="O3814" t="s">
        <v>6101</v>
      </c>
      <c r="P3814" t="s">
        <v>6112</v>
      </c>
      <c r="Q3814">
        <v>6</v>
      </c>
      <c r="R3814">
        <v>2026</v>
      </c>
      <c r="S3814" t="s">
        <v>6100</v>
      </c>
      <c r="T3814">
        <v>0</v>
      </c>
      <c r="U3814" t="s">
        <v>6021</v>
      </c>
      <c r="V3814">
        <v>0</v>
      </c>
    </row>
    <row r="3815" spans="1:22" x14ac:dyDescent="0.3">
      <c r="A3815" t="s">
        <v>3830</v>
      </c>
      <c r="B3815" s="2">
        <v>46194.513888888891</v>
      </c>
      <c r="C3815" s="2">
        <v>46194.743055555555</v>
      </c>
      <c r="D3815" t="s">
        <v>6027</v>
      </c>
      <c r="E3815" t="s">
        <v>6029</v>
      </c>
      <c r="F3815" t="s">
        <v>6033</v>
      </c>
      <c r="G3815" t="s">
        <v>6095</v>
      </c>
      <c r="H3815" t="s">
        <v>6098</v>
      </c>
      <c r="I3815">
        <v>72</v>
      </c>
      <c r="J3815">
        <v>5.5</v>
      </c>
      <c r="K3815" t="s">
        <v>6099</v>
      </c>
      <c r="L3815" t="s">
        <v>6100</v>
      </c>
      <c r="M3815" t="s">
        <v>6100</v>
      </c>
      <c r="O3815" t="s">
        <v>6101</v>
      </c>
      <c r="P3815" t="s">
        <v>6112</v>
      </c>
      <c r="Q3815">
        <v>6</v>
      </c>
      <c r="R3815">
        <v>2026</v>
      </c>
      <c r="S3815" t="s">
        <v>6099</v>
      </c>
      <c r="T3815">
        <v>1</v>
      </c>
      <c r="U3815" t="s">
        <v>6018</v>
      </c>
      <c r="V3815">
        <v>1</v>
      </c>
    </row>
    <row r="3816" spans="1:22" x14ac:dyDescent="0.3">
      <c r="A3816" t="s">
        <v>3831</v>
      </c>
      <c r="B3816" s="2">
        <v>46194.527777777781</v>
      </c>
      <c r="C3816" s="2">
        <v>46194.736111111109</v>
      </c>
      <c r="D3816" t="s">
        <v>6022</v>
      </c>
      <c r="E3816" t="s">
        <v>6029</v>
      </c>
      <c r="F3816" t="s">
        <v>6034</v>
      </c>
      <c r="G3816" t="s">
        <v>6053</v>
      </c>
      <c r="H3816" t="s">
        <v>6097</v>
      </c>
      <c r="I3816">
        <v>24</v>
      </c>
      <c r="J3816">
        <v>5</v>
      </c>
      <c r="K3816" t="s">
        <v>6099</v>
      </c>
      <c r="L3816" t="s">
        <v>6100</v>
      </c>
      <c r="M3816" t="s">
        <v>6099</v>
      </c>
      <c r="N3816">
        <v>4</v>
      </c>
      <c r="O3816" t="s">
        <v>6101</v>
      </c>
      <c r="P3816" t="s">
        <v>6112</v>
      </c>
      <c r="Q3816">
        <v>6</v>
      </c>
      <c r="R3816">
        <v>2026</v>
      </c>
      <c r="S3816" t="s">
        <v>6099</v>
      </c>
      <c r="T3816">
        <v>1</v>
      </c>
      <c r="U3816" t="s">
        <v>6019</v>
      </c>
      <c r="V3816">
        <v>1</v>
      </c>
    </row>
    <row r="3817" spans="1:22" x14ac:dyDescent="0.3">
      <c r="A3817" t="s">
        <v>3832</v>
      </c>
      <c r="B3817" s="2">
        <v>46194.535416666666</v>
      </c>
      <c r="C3817" s="2">
        <v>46194.71875</v>
      </c>
      <c r="D3817" t="s">
        <v>6024</v>
      </c>
      <c r="E3817" t="s">
        <v>6030</v>
      </c>
      <c r="F3817" t="s">
        <v>6034</v>
      </c>
      <c r="G3817" t="s">
        <v>6093</v>
      </c>
      <c r="H3817" t="s">
        <v>6097</v>
      </c>
      <c r="I3817">
        <v>24</v>
      </c>
      <c r="J3817">
        <v>4.4000000000000004</v>
      </c>
      <c r="K3817" t="s">
        <v>6100</v>
      </c>
      <c r="L3817" t="s">
        <v>6100</v>
      </c>
      <c r="M3817" t="s">
        <v>6100</v>
      </c>
      <c r="O3817" t="s">
        <v>6101</v>
      </c>
      <c r="P3817" t="s">
        <v>6112</v>
      </c>
      <c r="Q3817">
        <v>6</v>
      </c>
      <c r="R3817">
        <v>2026</v>
      </c>
      <c r="S3817" t="s">
        <v>6099</v>
      </c>
      <c r="T3817">
        <v>1</v>
      </c>
      <c r="U3817" t="s">
        <v>6018</v>
      </c>
      <c r="V3817">
        <v>0</v>
      </c>
    </row>
    <row r="3818" spans="1:22" x14ac:dyDescent="0.3">
      <c r="A3818" t="s">
        <v>3833</v>
      </c>
      <c r="B3818" s="2">
        <v>46194.540972222225</v>
      </c>
      <c r="C3818" s="2">
        <v>46198.149305555555</v>
      </c>
      <c r="D3818" t="s">
        <v>6028</v>
      </c>
      <c r="E3818" t="s">
        <v>6032</v>
      </c>
      <c r="F3818" t="s">
        <v>6034</v>
      </c>
      <c r="G3818" t="s">
        <v>6064</v>
      </c>
      <c r="H3818" t="s">
        <v>6096</v>
      </c>
      <c r="I3818">
        <v>24</v>
      </c>
      <c r="J3818">
        <v>86.6</v>
      </c>
      <c r="K3818" t="s">
        <v>6100</v>
      </c>
      <c r="L3818" t="s">
        <v>6099</v>
      </c>
      <c r="M3818" t="s">
        <v>6100</v>
      </c>
      <c r="N3818">
        <v>4</v>
      </c>
      <c r="O3818" t="s">
        <v>6101</v>
      </c>
      <c r="P3818" t="s">
        <v>6112</v>
      </c>
      <c r="Q3818">
        <v>6</v>
      </c>
      <c r="R3818">
        <v>2026</v>
      </c>
      <c r="S3818" t="s">
        <v>6100</v>
      </c>
      <c r="T3818">
        <v>0</v>
      </c>
      <c r="U3818" t="s">
        <v>6018</v>
      </c>
      <c r="V3818">
        <v>0</v>
      </c>
    </row>
    <row r="3819" spans="1:22" x14ac:dyDescent="0.3">
      <c r="A3819" t="s">
        <v>3834</v>
      </c>
      <c r="B3819" s="2">
        <v>46194.547222222223</v>
      </c>
      <c r="C3819" s="2">
        <v>46195.034722222219</v>
      </c>
      <c r="D3819" t="s">
        <v>6028</v>
      </c>
      <c r="E3819" t="s">
        <v>6031</v>
      </c>
      <c r="F3819" t="s">
        <v>6033</v>
      </c>
      <c r="G3819" t="s">
        <v>6058</v>
      </c>
      <c r="H3819" t="s">
        <v>6098</v>
      </c>
      <c r="I3819">
        <v>72</v>
      </c>
      <c r="J3819">
        <v>11.7</v>
      </c>
      <c r="K3819" t="s">
        <v>6100</v>
      </c>
      <c r="L3819" t="s">
        <v>6100</v>
      </c>
      <c r="M3819" t="s">
        <v>6100</v>
      </c>
      <c r="N3819">
        <v>5</v>
      </c>
      <c r="O3819" t="s">
        <v>6101</v>
      </c>
      <c r="P3819" t="s">
        <v>6112</v>
      </c>
      <c r="Q3819">
        <v>6</v>
      </c>
      <c r="R3819">
        <v>2026</v>
      </c>
      <c r="S3819" t="s">
        <v>6099</v>
      </c>
      <c r="T3819">
        <v>1</v>
      </c>
      <c r="U3819" t="s">
        <v>6017</v>
      </c>
      <c r="V3819">
        <v>0</v>
      </c>
    </row>
    <row r="3820" spans="1:22" x14ac:dyDescent="0.3">
      <c r="A3820" t="s">
        <v>3835</v>
      </c>
      <c r="B3820" s="2">
        <v>46194.556250000001</v>
      </c>
      <c r="C3820" s="2">
        <v>46195.54791666667</v>
      </c>
      <c r="D3820" t="s">
        <v>6028</v>
      </c>
      <c r="E3820" t="s">
        <v>6031</v>
      </c>
      <c r="F3820" t="s">
        <v>6035</v>
      </c>
      <c r="G3820" t="s">
        <v>6038</v>
      </c>
      <c r="H3820" t="s">
        <v>6096</v>
      </c>
      <c r="I3820">
        <v>4</v>
      </c>
      <c r="J3820">
        <v>23.8</v>
      </c>
      <c r="K3820" t="s">
        <v>6100</v>
      </c>
      <c r="L3820" t="s">
        <v>6099</v>
      </c>
      <c r="M3820" t="s">
        <v>6100</v>
      </c>
      <c r="N3820">
        <v>4</v>
      </c>
      <c r="O3820" t="s">
        <v>6101</v>
      </c>
      <c r="P3820" t="s">
        <v>6112</v>
      </c>
      <c r="Q3820">
        <v>6</v>
      </c>
      <c r="R3820">
        <v>2026</v>
      </c>
      <c r="S3820" t="s">
        <v>6100</v>
      </c>
      <c r="T3820">
        <v>0</v>
      </c>
      <c r="U3820" t="s">
        <v>6018</v>
      </c>
      <c r="V3820">
        <v>0</v>
      </c>
    </row>
    <row r="3821" spans="1:22" x14ac:dyDescent="0.3">
      <c r="A3821" t="s">
        <v>3836</v>
      </c>
      <c r="B3821" s="2">
        <v>46194.632638888892</v>
      </c>
      <c r="C3821" s="2">
        <v>46195.861805555556</v>
      </c>
      <c r="D3821" t="s">
        <v>6024</v>
      </c>
      <c r="E3821" t="s">
        <v>6032</v>
      </c>
      <c r="F3821" t="s">
        <v>6035</v>
      </c>
      <c r="G3821" t="s">
        <v>6063</v>
      </c>
      <c r="H3821" t="s">
        <v>6097</v>
      </c>
      <c r="I3821">
        <v>4</v>
      </c>
      <c r="J3821">
        <v>29.5</v>
      </c>
      <c r="K3821" t="s">
        <v>6099</v>
      </c>
      <c r="L3821" t="s">
        <v>6100</v>
      </c>
      <c r="M3821" t="s">
        <v>6100</v>
      </c>
      <c r="O3821" t="s">
        <v>6101</v>
      </c>
      <c r="P3821" t="s">
        <v>6112</v>
      </c>
      <c r="Q3821">
        <v>6</v>
      </c>
      <c r="R3821">
        <v>2026</v>
      </c>
      <c r="S3821" t="s">
        <v>6100</v>
      </c>
      <c r="T3821">
        <v>0</v>
      </c>
      <c r="U3821" t="s">
        <v>6017</v>
      </c>
      <c r="V3821">
        <v>1</v>
      </c>
    </row>
    <row r="3822" spans="1:22" x14ac:dyDescent="0.3">
      <c r="A3822" t="s">
        <v>3837</v>
      </c>
      <c r="B3822" s="2">
        <v>46194.65347222222</v>
      </c>
      <c r="C3822" s="2">
        <v>46194.861805555556</v>
      </c>
      <c r="D3822" t="s">
        <v>6028</v>
      </c>
      <c r="E3822" t="s">
        <v>6030</v>
      </c>
      <c r="F3822" t="s">
        <v>6035</v>
      </c>
      <c r="G3822" t="s">
        <v>6045</v>
      </c>
      <c r="H3822" t="s">
        <v>6096</v>
      </c>
      <c r="I3822">
        <v>4</v>
      </c>
      <c r="J3822">
        <v>5</v>
      </c>
      <c r="K3822" t="s">
        <v>6099</v>
      </c>
      <c r="L3822" t="s">
        <v>6100</v>
      </c>
      <c r="M3822" t="s">
        <v>6100</v>
      </c>
      <c r="N3822">
        <v>4</v>
      </c>
      <c r="O3822" t="s">
        <v>6101</v>
      </c>
      <c r="P3822" t="s">
        <v>6112</v>
      </c>
      <c r="Q3822">
        <v>6</v>
      </c>
      <c r="R3822">
        <v>2026</v>
      </c>
      <c r="S3822" t="s">
        <v>6100</v>
      </c>
      <c r="T3822">
        <v>0</v>
      </c>
      <c r="U3822" t="s">
        <v>6017</v>
      </c>
      <c r="V3822">
        <v>1</v>
      </c>
    </row>
    <row r="3823" spans="1:22" x14ac:dyDescent="0.3">
      <c r="A3823" t="s">
        <v>3838</v>
      </c>
      <c r="B3823" s="2">
        <v>46194.708333333336</v>
      </c>
      <c r="C3823" s="2">
        <v>46195.616666666669</v>
      </c>
      <c r="D3823" t="s">
        <v>6023</v>
      </c>
      <c r="E3823" t="s">
        <v>6029</v>
      </c>
      <c r="F3823" t="s">
        <v>6033</v>
      </c>
      <c r="G3823" t="s">
        <v>6082</v>
      </c>
      <c r="H3823" t="s">
        <v>6097</v>
      </c>
      <c r="I3823">
        <v>72</v>
      </c>
      <c r="J3823">
        <v>21.8</v>
      </c>
      <c r="K3823" t="s">
        <v>6099</v>
      </c>
      <c r="L3823" t="s">
        <v>6100</v>
      </c>
      <c r="M3823" t="s">
        <v>6100</v>
      </c>
      <c r="N3823">
        <v>5</v>
      </c>
      <c r="O3823" t="s">
        <v>6101</v>
      </c>
      <c r="P3823" t="s">
        <v>6112</v>
      </c>
      <c r="Q3823">
        <v>6</v>
      </c>
      <c r="R3823">
        <v>2026</v>
      </c>
      <c r="S3823" t="s">
        <v>6099</v>
      </c>
      <c r="T3823">
        <v>1</v>
      </c>
      <c r="U3823" t="s">
        <v>6021</v>
      </c>
      <c r="V3823">
        <v>1</v>
      </c>
    </row>
    <row r="3824" spans="1:22" x14ac:dyDescent="0.3">
      <c r="A3824" t="s">
        <v>3839</v>
      </c>
      <c r="B3824" s="2">
        <v>46194.722916666666</v>
      </c>
      <c r="C3824" s="2">
        <v>46195.102083333331</v>
      </c>
      <c r="D3824" t="s">
        <v>6023</v>
      </c>
      <c r="E3824" t="s">
        <v>6032</v>
      </c>
      <c r="F3824" t="s">
        <v>6034</v>
      </c>
      <c r="G3824" t="s">
        <v>6085</v>
      </c>
      <c r="H3824" t="s">
        <v>6097</v>
      </c>
      <c r="I3824">
        <v>24</v>
      </c>
      <c r="J3824">
        <v>9.1</v>
      </c>
      <c r="K3824" t="s">
        <v>6099</v>
      </c>
      <c r="L3824" t="s">
        <v>6100</v>
      </c>
      <c r="M3824" t="s">
        <v>6100</v>
      </c>
      <c r="N3824">
        <v>5</v>
      </c>
      <c r="O3824" t="s">
        <v>6101</v>
      </c>
      <c r="P3824" t="s">
        <v>6112</v>
      </c>
      <c r="Q3824">
        <v>6</v>
      </c>
      <c r="R3824">
        <v>2026</v>
      </c>
      <c r="S3824" t="s">
        <v>6099</v>
      </c>
      <c r="T3824">
        <v>1</v>
      </c>
      <c r="U3824" t="s">
        <v>6019</v>
      </c>
      <c r="V3824">
        <v>1</v>
      </c>
    </row>
    <row r="3825" spans="1:22" x14ac:dyDescent="0.3">
      <c r="A3825" t="s">
        <v>3840</v>
      </c>
      <c r="B3825" s="2">
        <v>46194.728472222225</v>
      </c>
      <c r="C3825" s="2">
        <v>46195.52847222222</v>
      </c>
      <c r="D3825" t="s">
        <v>6028</v>
      </c>
      <c r="E3825" t="s">
        <v>6031</v>
      </c>
      <c r="F3825" t="s">
        <v>6034</v>
      </c>
      <c r="G3825" t="s">
        <v>6088</v>
      </c>
      <c r="H3825" t="s">
        <v>6097</v>
      </c>
      <c r="I3825">
        <v>24</v>
      </c>
      <c r="J3825">
        <v>19.2</v>
      </c>
      <c r="K3825" t="s">
        <v>6099</v>
      </c>
      <c r="L3825" t="s">
        <v>6100</v>
      </c>
      <c r="M3825" t="s">
        <v>6099</v>
      </c>
      <c r="O3825" t="s">
        <v>6101</v>
      </c>
      <c r="P3825" t="s">
        <v>6112</v>
      </c>
      <c r="Q3825">
        <v>6</v>
      </c>
      <c r="R3825">
        <v>2026</v>
      </c>
      <c r="S3825" t="s">
        <v>6099</v>
      </c>
      <c r="T3825">
        <v>1</v>
      </c>
      <c r="U3825" t="s">
        <v>6020</v>
      </c>
      <c r="V3825">
        <v>1</v>
      </c>
    </row>
    <row r="3826" spans="1:22" x14ac:dyDescent="0.3">
      <c r="A3826" t="s">
        <v>3841</v>
      </c>
      <c r="B3826" s="2">
        <v>46194.758333333331</v>
      </c>
      <c r="C3826" s="2">
        <v>46195.258333333331</v>
      </c>
      <c r="D3826" t="s">
        <v>6023</v>
      </c>
      <c r="E3826" t="s">
        <v>6029</v>
      </c>
      <c r="F3826" t="s">
        <v>6034</v>
      </c>
      <c r="G3826" t="s">
        <v>6037</v>
      </c>
      <c r="H3826" t="s">
        <v>6096</v>
      </c>
      <c r="I3826">
        <v>24</v>
      </c>
      <c r="J3826">
        <v>12</v>
      </c>
      <c r="K3826" t="s">
        <v>6100</v>
      </c>
      <c r="L3826" t="s">
        <v>6100</v>
      </c>
      <c r="M3826" t="s">
        <v>6100</v>
      </c>
      <c r="N3826">
        <v>3</v>
      </c>
      <c r="O3826" t="s">
        <v>6101</v>
      </c>
      <c r="P3826" t="s">
        <v>6112</v>
      </c>
      <c r="Q3826">
        <v>6</v>
      </c>
      <c r="R3826">
        <v>2026</v>
      </c>
      <c r="S3826" t="s">
        <v>6099</v>
      </c>
      <c r="T3826">
        <v>1</v>
      </c>
      <c r="U3826" t="s">
        <v>6019</v>
      </c>
      <c r="V3826">
        <v>0</v>
      </c>
    </row>
    <row r="3827" spans="1:22" x14ac:dyDescent="0.3">
      <c r="A3827" t="s">
        <v>3842</v>
      </c>
      <c r="B3827" s="2">
        <v>46194.763888888891</v>
      </c>
      <c r="C3827" s="2">
        <v>46196.234722222223</v>
      </c>
      <c r="D3827" t="s">
        <v>6023</v>
      </c>
      <c r="E3827" t="s">
        <v>6032</v>
      </c>
      <c r="F3827" t="s">
        <v>6035</v>
      </c>
      <c r="G3827" t="s">
        <v>6048</v>
      </c>
      <c r="H3827" t="s">
        <v>6096</v>
      </c>
      <c r="I3827">
        <v>4</v>
      </c>
      <c r="J3827">
        <v>35.299999999999997</v>
      </c>
      <c r="K3827" t="s">
        <v>6099</v>
      </c>
      <c r="L3827" t="s">
        <v>6100</v>
      </c>
      <c r="M3827" t="s">
        <v>6100</v>
      </c>
      <c r="N3827">
        <v>4</v>
      </c>
      <c r="O3827" t="s">
        <v>6101</v>
      </c>
      <c r="P3827" t="s">
        <v>6112</v>
      </c>
      <c r="Q3827">
        <v>6</v>
      </c>
      <c r="R3827">
        <v>2026</v>
      </c>
      <c r="S3827" t="s">
        <v>6100</v>
      </c>
      <c r="T3827">
        <v>0</v>
      </c>
      <c r="U3827" t="s">
        <v>6020</v>
      </c>
      <c r="V3827">
        <v>1</v>
      </c>
    </row>
    <row r="3828" spans="1:22" x14ac:dyDescent="0.3">
      <c r="A3828" t="s">
        <v>3843</v>
      </c>
      <c r="B3828" s="2">
        <v>46194.874305555553</v>
      </c>
      <c r="C3828" s="2">
        <v>46200.365972222222</v>
      </c>
      <c r="D3828" t="s">
        <v>6025</v>
      </c>
      <c r="E3828" t="s">
        <v>6031</v>
      </c>
      <c r="F3828" t="s">
        <v>6034</v>
      </c>
      <c r="G3828" t="s">
        <v>6081</v>
      </c>
      <c r="H3828" t="s">
        <v>6098</v>
      </c>
      <c r="I3828">
        <v>24</v>
      </c>
      <c r="J3828">
        <v>131.80000000000001</v>
      </c>
      <c r="K3828" t="s">
        <v>6099</v>
      </c>
      <c r="L3828" t="s">
        <v>6100</v>
      </c>
      <c r="M3828" t="s">
        <v>6100</v>
      </c>
      <c r="N3828">
        <v>2</v>
      </c>
      <c r="O3828" t="s">
        <v>6101</v>
      </c>
      <c r="P3828" t="s">
        <v>6112</v>
      </c>
      <c r="Q3828">
        <v>6</v>
      </c>
      <c r="R3828">
        <v>2026</v>
      </c>
      <c r="S3828" t="s">
        <v>6100</v>
      </c>
      <c r="T3828">
        <v>0</v>
      </c>
      <c r="U3828" t="s">
        <v>6021</v>
      </c>
      <c r="V3828">
        <v>1</v>
      </c>
    </row>
    <row r="3829" spans="1:22" x14ac:dyDescent="0.3">
      <c r="A3829" t="s">
        <v>3844</v>
      </c>
      <c r="B3829" s="2">
        <v>46194.968055555553</v>
      </c>
      <c r="C3829" s="2">
        <v>46195.488888888889</v>
      </c>
      <c r="D3829" t="s">
        <v>6025</v>
      </c>
      <c r="E3829" t="s">
        <v>6029</v>
      </c>
      <c r="F3829" t="s">
        <v>6033</v>
      </c>
      <c r="G3829" t="s">
        <v>6085</v>
      </c>
      <c r="H3829" t="s">
        <v>6097</v>
      </c>
      <c r="I3829">
        <v>72</v>
      </c>
      <c r="J3829">
        <v>12.5</v>
      </c>
      <c r="K3829" t="s">
        <v>6099</v>
      </c>
      <c r="L3829" t="s">
        <v>6100</v>
      </c>
      <c r="M3829" t="s">
        <v>6100</v>
      </c>
      <c r="N3829">
        <v>4</v>
      </c>
      <c r="O3829" t="s">
        <v>6101</v>
      </c>
      <c r="P3829" t="s">
        <v>6112</v>
      </c>
      <c r="Q3829">
        <v>6</v>
      </c>
      <c r="R3829">
        <v>2026</v>
      </c>
      <c r="S3829" t="s">
        <v>6099</v>
      </c>
      <c r="T3829">
        <v>1</v>
      </c>
      <c r="U3829" t="s">
        <v>6020</v>
      </c>
      <c r="V3829">
        <v>1</v>
      </c>
    </row>
    <row r="3830" spans="1:22" x14ac:dyDescent="0.3">
      <c r="A3830" t="s">
        <v>3845</v>
      </c>
      <c r="B3830" s="2">
        <v>46194.99722222222</v>
      </c>
      <c r="C3830" s="2">
        <v>46195.418055555558</v>
      </c>
      <c r="D3830" t="s">
        <v>6023</v>
      </c>
      <c r="E3830" t="s">
        <v>6030</v>
      </c>
      <c r="F3830" t="s">
        <v>6033</v>
      </c>
      <c r="G3830" t="s">
        <v>6037</v>
      </c>
      <c r="H3830" t="s">
        <v>6096</v>
      </c>
      <c r="I3830">
        <v>72</v>
      </c>
      <c r="J3830">
        <v>10.1</v>
      </c>
      <c r="K3830" t="s">
        <v>6100</v>
      </c>
      <c r="L3830" t="s">
        <v>6099</v>
      </c>
      <c r="M3830" t="s">
        <v>6100</v>
      </c>
      <c r="N3830">
        <v>4</v>
      </c>
      <c r="O3830" t="s">
        <v>6101</v>
      </c>
      <c r="P3830" t="s">
        <v>6112</v>
      </c>
      <c r="Q3830">
        <v>6</v>
      </c>
      <c r="R3830">
        <v>2026</v>
      </c>
      <c r="S3830" t="s">
        <v>6099</v>
      </c>
      <c r="T3830">
        <v>1</v>
      </c>
      <c r="U3830" t="s">
        <v>6018</v>
      </c>
      <c r="V3830">
        <v>0</v>
      </c>
    </row>
    <row r="3831" spans="1:22" x14ac:dyDescent="0.3">
      <c r="A3831" t="s">
        <v>3846</v>
      </c>
      <c r="B3831" s="2">
        <v>46195.188194444447</v>
      </c>
      <c r="C3831" s="2">
        <v>46195.59652777778</v>
      </c>
      <c r="D3831" t="s">
        <v>6024</v>
      </c>
      <c r="E3831" t="s">
        <v>6030</v>
      </c>
      <c r="F3831" t="s">
        <v>6034</v>
      </c>
      <c r="G3831" t="s">
        <v>6041</v>
      </c>
      <c r="H3831" t="s">
        <v>6096</v>
      </c>
      <c r="I3831">
        <v>24</v>
      </c>
      <c r="J3831">
        <v>9.8000000000000007</v>
      </c>
      <c r="K3831" t="s">
        <v>6099</v>
      </c>
      <c r="L3831" t="s">
        <v>6100</v>
      </c>
      <c r="M3831" t="s">
        <v>6100</v>
      </c>
      <c r="N3831">
        <v>5</v>
      </c>
      <c r="O3831" t="s">
        <v>6101</v>
      </c>
      <c r="P3831" t="s">
        <v>6112</v>
      </c>
      <c r="Q3831">
        <v>6</v>
      </c>
      <c r="R3831">
        <v>2026</v>
      </c>
      <c r="S3831" t="s">
        <v>6099</v>
      </c>
      <c r="T3831">
        <v>1</v>
      </c>
      <c r="U3831" t="s">
        <v>6019</v>
      </c>
      <c r="V3831">
        <v>1</v>
      </c>
    </row>
    <row r="3832" spans="1:22" x14ac:dyDescent="0.3">
      <c r="A3832" t="s">
        <v>3847</v>
      </c>
      <c r="B3832" s="2">
        <v>46195.211111111108</v>
      </c>
      <c r="C3832" s="2">
        <v>46195.523611111108</v>
      </c>
      <c r="D3832" t="s">
        <v>6023</v>
      </c>
      <c r="E3832" t="s">
        <v>6032</v>
      </c>
      <c r="F3832" t="s">
        <v>6034</v>
      </c>
      <c r="G3832" t="s">
        <v>6039</v>
      </c>
      <c r="H3832" t="s">
        <v>6097</v>
      </c>
      <c r="I3832">
        <v>24</v>
      </c>
      <c r="J3832">
        <v>7.5</v>
      </c>
      <c r="K3832" t="s">
        <v>6099</v>
      </c>
      <c r="L3832" t="s">
        <v>6100</v>
      </c>
      <c r="M3832" t="s">
        <v>6100</v>
      </c>
      <c r="O3832" t="s">
        <v>6101</v>
      </c>
      <c r="P3832" t="s">
        <v>6112</v>
      </c>
      <c r="Q3832">
        <v>6</v>
      </c>
      <c r="R3832">
        <v>2026</v>
      </c>
      <c r="S3832" t="s">
        <v>6099</v>
      </c>
      <c r="T3832">
        <v>1</v>
      </c>
      <c r="U3832" t="s">
        <v>6021</v>
      </c>
      <c r="V3832">
        <v>1</v>
      </c>
    </row>
    <row r="3833" spans="1:22" x14ac:dyDescent="0.3">
      <c r="A3833" t="s">
        <v>3848</v>
      </c>
      <c r="B3833" s="2">
        <v>46195.256249999999</v>
      </c>
      <c r="C3833" s="2">
        <v>46195.397916666669</v>
      </c>
      <c r="D3833" t="s">
        <v>6027</v>
      </c>
      <c r="E3833" t="s">
        <v>6029</v>
      </c>
      <c r="F3833" t="s">
        <v>6033</v>
      </c>
      <c r="G3833" t="s">
        <v>6067</v>
      </c>
      <c r="H3833" t="s">
        <v>6098</v>
      </c>
      <c r="I3833">
        <v>72</v>
      </c>
      <c r="J3833">
        <v>3.4</v>
      </c>
      <c r="K3833" t="s">
        <v>6099</v>
      </c>
      <c r="L3833" t="s">
        <v>6100</v>
      </c>
      <c r="M3833" t="s">
        <v>6100</v>
      </c>
      <c r="N3833">
        <v>4</v>
      </c>
      <c r="O3833" t="s">
        <v>6101</v>
      </c>
      <c r="P3833" t="s">
        <v>6112</v>
      </c>
      <c r="Q3833">
        <v>6</v>
      </c>
      <c r="R3833">
        <v>2026</v>
      </c>
      <c r="S3833" t="s">
        <v>6099</v>
      </c>
      <c r="T3833">
        <v>1</v>
      </c>
      <c r="U3833" t="s">
        <v>6021</v>
      </c>
      <c r="V3833">
        <v>1</v>
      </c>
    </row>
    <row r="3834" spans="1:22" x14ac:dyDescent="0.3">
      <c r="A3834" t="s">
        <v>3849</v>
      </c>
      <c r="B3834" s="2">
        <v>46195.383333333331</v>
      </c>
      <c r="C3834" s="2">
        <v>46196.474999999999</v>
      </c>
      <c r="D3834" t="s">
        <v>6025</v>
      </c>
      <c r="E3834" t="s">
        <v>6032</v>
      </c>
      <c r="F3834" t="s">
        <v>6035</v>
      </c>
      <c r="G3834" t="s">
        <v>6060</v>
      </c>
      <c r="H3834" t="s">
        <v>6097</v>
      </c>
      <c r="I3834">
        <v>4</v>
      </c>
      <c r="J3834">
        <v>26.2</v>
      </c>
      <c r="K3834" t="s">
        <v>6099</v>
      </c>
      <c r="L3834" t="s">
        <v>6100</v>
      </c>
      <c r="M3834" t="s">
        <v>6099</v>
      </c>
      <c r="N3834">
        <v>5</v>
      </c>
      <c r="O3834" t="s">
        <v>6101</v>
      </c>
      <c r="P3834" t="s">
        <v>6112</v>
      </c>
      <c r="Q3834">
        <v>6</v>
      </c>
      <c r="R3834">
        <v>2026</v>
      </c>
      <c r="S3834" t="s">
        <v>6100</v>
      </c>
      <c r="T3834">
        <v>0</v>
      </c>
      <c r="U3834" t="s">
        <v>6019</v>
      </c>
      <c r="V3834">
        <v>1</v>
      </c>
    </row>
    <row r="3835" spans="1:22" x14ac:dyDescent="0.3">
      <c r="A3835" t="s">
        <v>3850</v>
      </c>
      <c r="B3835" s="2">
        <v>46195.412499999999</v>
      </c>
      <c r="C3835" s="2">
        <v>46197.366666666669</v>
      </c>
      <c r="D3835" t="s">
        <v>6028</v>
      </c>
      <c r="E3835" t="s">
        <v>6032</v>
      </c>
      <c r="F3835" t="s">
        <v>6035</v>
      </c>
      <c r="G3835" t="s">
        <v>6038</v>
      </c>
      <c r="H3835" t="s">
        <v>6096</v>
      </c>
      <c r="I3835">
        <v>4</v>
      </c>
      <c r="J3835">
        <v>46.9</v>
      </c>
      <c r="K3835" t="s">
        <v>6099</v>
      </c>
      <c r="L3835" t="s">
        <v>6100</v>
      </c>
      <c r="M3835" t="s">
        <v>6099</v>
      </c>
      <c r="N3835">
        <v>5</v>
      </c>
      <c r="O3835" t="s">
        <v>6101</v>
      </c>
      <c r="P3835" t="s">
        <v>6112</v>
      </c>
      <c r="Q3835">
        <v>6</v>
      </c>
      <c r="R3835">
        <v>2026</v>
      </c>
      <c r="S3835" t="s">
        <v>6100</v>
      </c>
      <c r="T3835">
        <v>0</v>
      </c>
      <c r="U3835" t="s">
        <v>6018</v>
      </c>
      <c r="V3835">
        <v>1</v>
      </c>
    </row>
    <row r="3836" spans="1:22" x14ac:dyDescent="0.3">
      <c r="A3836" t="s">
        <v>3851</v>
      </c>
      <c r="B3836" s="2">
        <v>46195.45416666667</v>
      </c>
      <c r="C3836" s="2">
        <v>46195.541666666664</v>
      </c>
      <c r="D3836" t="s">
        <v>6023</v>
      </c>
      <c r="E3836" t="s">
        <v>6029</v>
      </c>
      <c r="F3836" t="s">
        <v>6034</v>
      </c>
      <c r="G3836" t="s">
        <v>6089</v>
      </c>
      <c r="H3836" t="s">
        <v>6098</v>
      </c>
      <c r="I3836">
        <v>24</v>
      </c>
      <c r="J3836">
        <v>2.1</v>
      </c>
      <c r="K3836" t="s">
        <v>6099</v>
      </c>
      <c r="L3836" t="s">
        <v>6100</v>
      </c>
      <c r="M3836" t="s">
        <v>6100</v>
      </c>
      <c r="N3836">
        <v>4</v>
      </c>
      <c r="O3836" t="s">
        <v>6101</v>
      </c>
      <c r="P3836" t="s">
        <v>6112</v>
      </c>
      <c r="Q3836">
        <v>6</v>
      </c>
      <c r="R3836">
        <v>2026</v>
      </c>
      <c r="S3836" t="s">
        <v>6099</v>
      </c>
      <c r="T3836">
        <v>1</v>
      </c>
      <c r="U3836" t="s">
        <v>6019</v>
      </c>
      <c r="V3836">
        <v>1</v>
      </c>
    </row>
    <row r="3837" spans="1:22" x14ac:dyDescent="0.3">
      <c r="A3837" t="s">
        <v>3852</v>
      </c>
      <c r="B3837" s="2">
        <v>46195.481249999997</v>
      </c>
      <c r="C3837" s="2">
        <v>46196.63958333333</v>
      </c>
      <c r="D3837" t="s">
        <v>6025</v>
      </c>
      <c r="E3837" t="s">
        <v>6029</v>
      </c>
      <c r="F3837" t="s">
        <v>6033</v>
      </c>
      <c r="G3837" t="s">
        <v>6084</v>
      </c>
      <c r="H3837" t="s">
        <v>6098</v>
      </c>
      <c r="I3837">
        <v>72</v>
      </c>
      <c r="J3837">
        <v>27.8</v>
      </c>
      <c r="K3837" t="s">
        <v>6099</v>
      </c>
      <c r="L3837" t="s">
        <v>6100</v>
      </c>
      <c r="M3837" t="s">
        <v>6100</v>
      </c>
      <c r="N3837">
        <v>5</v>
      </c>
      <c r="O3837" t="s">
        <v>6101</v>
      </c>
      <c r="P3837" t="s">
        <v>6112</v>
      </c>
      <c r="Q3837">
        <v>6</v>
      </c>
      <c r="R3837">
        <v>2026</v>
      </c>
      <c r="S3837" t="s">
        <v>6099</v>
      </c>
      <c r="T3837">
        <v>1</v>
      </c>
      <c r="U3837" t="s">
        <v>6021</v>
      </c>
      <c r="V3837">
        <v>1</v>
      </c>
    </row>
    <row r="3838" spans="1:22" x14ac:dyDescent="0.3">
      <c r="A3838" t="s">
        <v>3853</v>
      </c>
      <c r="B3838" s="2">
        <v>46195.506249999999</v>
      </c>
      <c r="C3838" s="2">
        <v>46197.17291666667</v>
      </c>
      <c r="D3838" t="s">
        <v>6025</v>
      </c>
      <c r="E3838" t="s">
        <v>6029</v>
      </c>
      <c r="F3838" t="s">
        <v>6034</v>
      </c>
      <c r="G3838" t="s">
        <v>6061</v>
      </c>
      <c r="H3838" t="s">
        <v>6096</v>
      </c>
      <c r="I3838">
        <v>24</v>
      </c>
      <c r="J3838">
        <v>40</v>
      </c>
      <c r="K3838" t="s">
        <v>6099</v>
      </c>
      <c r="L3838" t="s">
        <v>6100</v>
      </c>
      <c r="M3838" t="s">
        <v>6100</v>
      </c>
      <c r="N3838">
        <v>4</v>
      </c>
      <c r="O3838" t="s">
        <v>6101</v>
      </c>
      <c r="P3838" t="s">
        <v>6112</v>
      </c>
      <c r="Q3838">
        <v>6</v>
      </c>
      <c r="R3838">
        <v>2026</v>
      </c>
      <c r="S3838" t="s">
        <v>6100</v>
      </c>
      <c r="T3838">
        <v>0</v>
      </c>
      <c r="U3838" t="s">
        <v>6021</v>
      </c>
      <c r="V3838">
        <v>1</v>
      </c>
    </row>
    <row r="3839" spans="1:22" x14ac:dyDescent="0.3">
      <c r="A3839" t="s">
        <v>3854</v>
      </c>
      <c r="B3839" s="2">
        <v>46195.568749999999</v>
      </c>
      <c r="C3839" s="2">
        <v>46206.65625</v>
      </c>
      <c r="D3839" t="s">
        <v>6026</v>
      </c>
      <c r="E3839" t="s">
        <v>6031</v>
      </c>
      <c r="F3839" t="s">
        <v>6034</v>
      </c>
      <c r="G3839" t="s">
        <v>6074</v>
      </c>
      <c r="H3839" t="s">
        <v>6098</v>
      </c>
      <c r="I3839">
        <v>24</v>
      </c>
      <c r="J3839">
        <v>266.10000000000002</v>
      </c>
      <c r="K3839" t="s">
        <v>6100</v>
      </c>
      <c r="L3839" t="s">
        <v>6099</v>
      </c>
      <c r="M3839" t="s">
        <v>6100</v>
      </c>
      <c r="N3839">
        <v>2</v>
      </c>
      <c r="O3839" t="s">
        <v>6101</v>
      </c>
      <c r="P3839" t="s">
        <v>6112</v>
      </c>
      <c r="Q3839">
        <v>6</v>
      </c>
      <c r="R3839">
        <v>2026</v>
      </c>
      <c r="S3839" t="s">
        <v>6100</v>
      </c>
      <c r="T3839">
        <v>0</v>
      </c>
      <c r="U3839" t="s">
        <v>6019</v>
      </c>
      <c r="V3839">
        <v>0</v>
      </c>
    </row>
    <row r="3840" spans="1:22" x14ac:dyDescent="0.3">
      <c r="A3840" t="s">
        <v>3855</v>
      </c>
      <c r="B3840" s="2">
        <v>46195.569444444445</v>
      </c>
      <c r="C3840" s="2">
        <v>46198.148611111108</v>
      </c>
      <c r="D3840" t="s">
        <v>6022</v>
      </c>
      <c r="E3840" t="s">
        <v>6029</v>
      </c>
      <c r="F3840" t="s">
        <v>6034</v>
      </c>
      <c r="G3840" t="s">
        <v>6080</v>
      </c>
      <c r="H3840" t="s">
        <v>6096</v>
      </c>
      <c r="I3840">
        <v>24</v>
      </c>
      <c r="J3840">
        <v>61.9</v>
      </c>
      <c r="K3840" t="s">
        <v>6100</v>
      </c>
      <c r="L3840" t="s">
        <v>6099</v>
      </c>
      <c r="M3840" t="s">
        <v>6100</v>
      </c>
      <c r="N3840">
        <v>3</v>
      </c>
      <c r="O3840" t="s">
        <v>6101</v>
      </c>
      <c r="P3840" t="s">
        <v>6112</v>
      </c>
      <c r="Q3840">
        <v>6</v>
      </c>
      <c r="R3840">
        <v>2026</v>
      </c>
      <c r="S3840" t="s">
        <v>6100</v>
      </c>
      <c r="T3840">
        <v>0</v>
      </c>
      <c r="U3840" t="s">
        <v>6019</v>
      </c>
      <c r="V3840">
        <v>0</v>
      </c>
    </row>
    <row r="3841" spans="1:22" x14ac:dyDescent="0.3">
      <c r="A3841" t="s">
        <v>3856</v>
      </c>
      <c r="B3841" s="2">
        <v>46195.640277777777</v>
      </c>
      <c r="C3841" s="2">
        <v>46196.227777777778</v>
      </c>
      <c r="D3841" t="s">
        <v>6024</v>
      </c>
      <c r="E3841" t="s">
        <v>6029</v>
      </c>
      <c r="F3841" t="s">
        <v>6034</v>
      </c>
      <c r="G3841" t="s">
        <v>6054</v>
      </c>
      <c r="H3841" t="s">
        <v>6096</v>
      </c>
      <c r="I3841">
        <v>24</v>
      </c>
      <c r="J3841">
        <v>14.1</v>
      </c>
      <c r="K3841" t="s">
        <v>6099</v>
      </c>
      <c r="L3841" t="s">
        <v>6100</v>
      </c>
      <c r="M3841" t="s">
        <v>6100</v>
      </c>
      <c r="O3841" t="s">
        <v>6101</v>
      </c>
      <c r="P3841" t="s">
        <v>6112</v>
      </c>
      <c r="Q3841">
        <v>6</v>
      </c>
      <c r="R3841">
        <v>2026</v>
      </c>
      <c r="S3841" t="s">
        <v>6099</v>
      </c>
      <c r="T3841">
        <v>1</v>
      </c>
      <c r="U3841" t="s">
        <v>6019</v>
      </c>
      <c r="V3841">
        <v>1</v>
      </c>
    </row>
    <row r="3842" spans="1:22" x14ac:dyDescent="0.3">
      <c r="A3842" t="s">
        <v>3857</v>
      </c>
      <c r="B3842" s="2">
        <v>46195.686805555553</v>
      </c>
      <c r="C3842" s="2">
        <v>46196.274305555555</v>
      </c>
      <c r="D3842" t="s">
        <v>6022</v>
      </c>
      <c r="E3842" t="s">
        <v>6029</v>
      </c>
      <c r="F3842" t="s">
        <v>6033</v>
      </c>
      <c r="G3842" t="s">
        <v>6052</v>
      </c>
      <c r="H3842" t="s">
        <v>6098</v>
      </c>
      <c r="I3842">
        <v>72</v>
      </c>
      <c r="J3842">
        <v>14.1</v>
      </c>
      <c r="K3842" t="s">
        <v>6099</v>
      </c>
      <c r="L3842" t="s">
        <v>6100</v>
      </c>
      <c r="M3842" t="s">
        <v>6099</v>
      </c>
      <c r="O3842" t="s">
        <v>6101</v>
      </c>
      <c r="P3842" t="s">
        <v>6112</v>
      </c>
      <c r="Q3842">
        <v>6</v>
      </c>
      <c r="R3842">
        <v>2026</v>
      </c>
      <c r="S3842" t="s">
        <v>6099</v>
      </c>
      <c r="T3842">
        <v>1</v>
      </c>
      <c r="U3842" t="s">
        <v>6020</v>
      </c>
      <c r="V3842">
        <v>1</v>
      </c>
    </row>
    <row r="3843" spans="1:22" x14ac:dyDescent="0.3">
      <c r="A3843" t="s">
        <v>3858</v>
      </c>
      <c r="B3843" s="2">
        <v>46195.727083333331</v>
      </c>
      <c r="C3843" s="2">
        <v>46195.885416666664</v>
      </c>
      <c r="D3843" t="s">
        <v>6027</v>
      </c>
      <c r="E3843" t="s">
        <v>6030</v>
      </c>
      <c r="F3843" t="s">
        <v>6034</v>
      </c>
      <c r="G3843" t="s">
        <v>6073</v>
      </c>
      <c r="H3843" t="s">
        <v>6096</v>
      </c>
      <c r="I3843">
        <v>24</v>
      </c>
      <c r="J3843">
        <v>3.8</v>
      </c>
      <c r="K3843" t="s">
        <v>6099</v>
      </c>
      <c r="L3843" t="s">
        <v>6100</v>
      </c>
      <c r="M3843" t="s">
        <v>6100</v>
      </c>
      <c r="O3843" t="s">
        <v>6101</v>
      </c>
      <c r="P3843" t="s">
        <v>6112</v>
      </c>
      <c r="Q3843">
        <v>6</v>
      </c>
      <c r="R3843">
        <v>2026</v>
      </c>
      <c r="S3843" t="s">
        <v>6099</v>
      </c>
      <c r="T3843">
        <v>1</v>
      </c>
      <c r="U3843" t="s">
        <v>6020</v>
      </c>
      <c r="V3843">
        <v>1</v>
      </c>
    </row>
    <row r="3844" spans="1:22" x14ac:dyDescent="0.3">
      <c r="A3844" t="s">
        <v>3859</v>
      </c>
      <c r="B3844" s="2">
        <v>46195.736805555556</v>
      </c>
      <c r="C3844" s="2">
        <v>46196.015972222223</v>
      </c>
      <c r="D3844" t="s">
        <v>6028</v>
      </c>
      <c r="E3844" t="s">
        <v>6029</v>
      </c>
      <c r="F3844" t="s">
        <v>6035</v>
      </c>
      <c r="G3844" t="s">
        <v>6051</v>
      </c>
      <c r="H3844" t="s">
        <v>6097</v>
      </c>
      <c r="I3844">
        <v>4</v>
      </c>
      <c r="J3844">
        <v>6.7</v>
      </c>
      <c r="K3844" t="s">
        <v>6099</v>
      </c>
      <c r="L3844" t="s">
        <v>6100</v>
      </c>
      <c r="M3844" t="s">
        <v>6099</v>
      </c>
      <c r="O3844" t="s">
        <v>6101</v>
      </c>
      <c r="P3844" t="s">
        <v>6112</v>
      </c>
      <c r="Q3844">
        <v>6</v>
      </c>
      <c r="R3844">
        <v>2026</v>
      </c>
      <c r="S3844" t="s">
        <v>6100</v>
      </c>
      <c r="T3844">
        <v>0</v>
      </c>
      <c r="U3844" t="s">
        <v>6021</v>
      </c>
      <c r="V3844">
        <v>1</v>
      </c>
    </row>
    <row r="3845" spans="1:22" x14ac:dyDescent="0.3">
      <c r="A3845" t="s">
        <v>3860</v>
      </c>
      <c r="B3845" s="2">
        <v>46195.959027777775</v>
      </c>
      <c r="C3845" s="2">
        <v>46196.071527777778</v>
      </c>
      <c r="D3845" t="s">
        <v>6023</v>
      </c>
      <c r="E3845" t="s">
        <v>6029</v>
      </c>
      <c r="F3845" t="s">
        <v>6033</v>
      </c>
      <c r="G3845" t="s">
        <v>6058</v>
      </c>
      <c r="H3845" t="s">
        <v>6098</v>
      </c>
      <c r="I3845">
        <v>72</v>
      </c>
      <c r="J3845">
        <v>2.7</v>
      </c>
      <c r="K3845" t="s">
        <v>6099</v>
      </c>
      <c r="L3845" t="s">
        <v>6100</v>
      </c>
      <c r="M3845" t="s">
        <v>6100</v>
      </c>
      <c r="N3845">
        <v>5</v>
      </c>
      <c r="O3845" t="s">
        <v>6101</v>
      </c>
      <c r="P3845" t="s">
        <v>6112</v>
      </c>
      <c r="Q3845">
        <v>6</v>
      </c>
      <c r="R3845">
        <v>2026</v>
      </c>
      <c r="S3845" t="s">
        <v>6099</v>
      </c>
      <c r="T3845">
        <v>1</v>
      </c>
      <c r="U3845" t="s">
        <v>6020</v>
      </c>
      <c r="V3845">
        <v>1</v>
      </c>
    </row>
    <row r="3846" spans="1:22" x14ac:dyDescent="0.3">
      <c r="A3846" t="s">
        <v>3861</v>
      </c>
      <c r="B3846" s="2">
        <v>46196.132638888892</v>
      </c>
      <c r="C3846" s="2">
        <v>46196.378472222219</v>
      </c>
      <c r="D3846" t="s">
        <v>6027</v>
      </c>
      <c r="E3846" t="s">
        <v>6030</v>
      </c>
      <c r="F3846" t="s">
        <v>6033</v>
      </c>
      <c r="G3846" t="s">
        <v>6083</v>
      </c>
      <c r="H3846" t="s">
        <v>6096</v>
      </c>
      <c r="I3846">
        <v>72</v>
      </c>
      <c r="J3846">
        <v>5.9</v>
      </c>
      <c r="K3846" t="s">
        <v>6099</v>
      </c>
      <c r="L3846" t="s">
        <v>6100</v>
      </c>
      <c r="M3846" t="s">
        <v>6100</v>
      </c>
      <c r="O3846" t="s">
        <v>6101</v>
      </c>
      <c r="P3846" t="s">
        <v>6112</v>
      </c>
      <c r="Q3846">
        <v>6</v>
      </c>
      <c r="R3846">
        <v>2026</v>
      </c>
      <c r="S3846" t="s">
        <v>6099</v>
      </c>
      <c r="T3846">
        <v>1</v>
      </c>
      <c r="U3846" t="s">
        <v>6020</v>
      </c>
      <c r="V3846">
        <v>1</v>
      </c>
    </row>
    <row r="3847" spans="1:22" x14ac:dyDescent="0.3">
      <c r="A3847" t="s">
        <v>3862</v>
      </c>
      <c r="B3847" s="2">
        <v>46196.220138888886</v>
      </c>
      <c r="C3847" s="2">
        <v>46196.599305555559</v>
      </c>
      <c r="D3847" t="s">
        <v>6028</v>
      </c>
      <c r="E3847" t="s">
        <v>6029</v>
      </c>
      <c r="F3847" t="s">
        <v>6035</v>
      </c>
      <c r="G3847" t="s">
        <v>6087</v>
      </c>
      <c r="H3847" t="s">
        <v>6098</v>
      </c>
      <c r="I3847">
        <v>4</v>
      </c>
      <c r="J3847">
        <v>9.1</v>
      </c>
      <c r="K3847" t="s">
        <v>6099</v>
      </c>
      <c r="L3847" t="s">
        <v>6100</v>
      </c>
      <c r="M3847" t="s">
        <v>6100</v>
      </c>
      <c r="O3847" t="s">
        <v>6101</v>
      </c>
      <c r="P3847" t="s">
        <v>6112</v>
      </c>
      <c r="Q3847">
        <v>6</v>
      </c>
      <c r="R3847">
        <v>2026</v>
      </c>
      <c r="S3847" t="s">
        <v>6100</v>
      </c>
      <c r="T3847">
        <v>0</v>
      </c>
      <c r="U3847" t="s">
        <v>6020</v>
      </c>
      <c r="V3847">
        <v>1</v>
      </c>
    </row>
    <row r="3848" spans="1:22" x14ac:dyDescent="0.3">
      <c r="A3848" t="s">
        <v>3863</v>
      </c>
      <c r="B3848" s="2">
        <v>46196.256944444445</v>
      </c>
      <c r="C3848" s="2">
        <v>46196.765277777777</v>
      </c>
      <c r="D3848" t="s">
        <v>6027</v>
      </c>
      <c r="E3848" t="s">
        <v>6030</v>
      </c>
      <c r="F3848" t="s">
        <v>6033</v>
      </c>
      <c r="G3848" t="s">
        <v>6076</v>
      </c>
      <c r="H3848" t="s">
        <v>6097</v>
      </c>
      <c r="I3848">
        <v>72</v>
      </c>
      <c r="J3848">
        <v>12.2</v>
      </c>
      <c r="K3848" t="s">
        <v>6099</v>
      </c>
      <c r="L3848" t="s">
        <v>6100</v>
      </c>
      <c r="M3848" t="s">
        <v>6100</v>
      </c>
      <c r="O3848" t="s">
        <v>6101</v>
      </c>
      <c r="P3848" t="s">
        <v>6112</v>
      </c>
      <c r="Q3848">
        <v>6</v>
      </c>
      <c r="R3848">
        <v>2026</v>
      </c>
      <c r="S3848" t="s">
        <v>6099</v>
      </c>
      <c r="T3848">
        <v>1</v>
      </c>
      <c r="U3848" t="s">
        <v>6021</v>
      </c>
      <c r="V3848">
        <v>1</v>
      </c>
    </row>
    <row r="3849" spans="1:22" x14ac:dyDescent="0.3">
      <c r="A3849" t="s">
        <v>3864</v>
      </c>
      <c r="B3849" s="2">
        <v>46196.265972222223</v>
      </c>
      <c r="C3849" s="2">
        <v>46196.386805555558</v>
      </c>
      <c r="D3849" t="s">
        <v>6027</v>
      </c>
      <c r="E3849" t="s">
        <v>6030</v>
      </c>
      <c r="F3849" t="s">
        <v>6035</v>
      </c>
      <c r="G3849" t="s">
        <v>6061</v>
      </c>
      <c r="H3849" t="s">
        <v>6096</v>
      </c>
      <c r="I3849">
        <v>4</v>
      </c>
      <c r="J3849">
        <v>2.9</v>
      </c>
      <c r="K3849" t="s">
        <v>6100</v>
      </c>
      <c r="L3849" t="s">
        <v>6099</v>
      </c>
      <c r="M3849" t="s">
        <v>6099</v>
      </c>
      <c r="N3849">
        <v>5</v>
      </c>
      <c r="O3849" t="s">
        <v>6101</v>
      </c>
      <c r="P3849" t="s">
        <v>6112</v>
      </c>
      <c r="Q3849">
        <v>6</v>
      </c>
      <c r="R3849">
        <v>2026</v>
      </c>
      <c r="S3849" t="s">
        <v>6099</v>
      </c>
      <c r="T3849">
        <v>1</v>
      </c>
      <c r="U3849" t="s">
        <v>6017</v>
      </c>
      <c r="V3849">
        <v>0</v>
      </c>
    </row>
    <row r="3850" spans="1:22" x14ac:dyDescent="0.3">
      <c r="A3850" t="s">
        <v>3865</v>
      </c>
      <c r="B3850" s="2">
        <v>46196.319444444445</v>
      </c>
      <c r="C3850" s="2">
        <v>46204.62777777778</v>
      </c>
      <c r="D3850" t="s">
        <v>6026</v>
      </c>
      <c r="E3850" t="s">
        <v>6031</v>
      </c>
      <c r="F3850" t="s">
        <v>6034</v>
      </c>
      <c r="G3850" t="s">
        <v>6037</v>
      </c>
      <c r="H3850" t="s">
        <v>6096</v>
      </c>
      <c r="I3850">
        <v>24</v>
      </c>
      <c r="J3850">
        <v>199.4</v>
      </c>
      <c r="K3850" t="s">
        <v>6099</v>
      </c>
      <c r="L3850" t="s">
        <v>6100</v>
      </c>
      <c r="M3850" t="s">
        <v>6100</v>
      </c>
      <c r="O3850" t="s">
        <v>6101</v>
      </c>
      <c r="P3850" t="s">
        <v>6112</v>
      </c>
      <c r="Q3850">
        <v>6</v>
      </c>
      <c r="R3850">
        <v>2026</v>
      </c>
      <c r="S3850" t="s">
        <v>6100</v>
      </c>
      <c r="T3850">
        <v>0</v>
      </c>
      <c r="U3850" t="s">
        <v>6021</v>
      </c>
      <c r="V3850">
        <v>1</v>
      </c>
    </row>
    <row r="3851" spans="1:22" x14ac:dyDescent="0.3">
      <c r="A3851" t="s">
        <v>3866</v>
      </c>
      <c r="B3851" s="2">
        <v>46196.363194444442</v>
      </c>
      <c r="C3851" s="2">
        <v>46197.117361111108</v>
      </c>
      <c r="D3851" t="s">
        <v>6028</v>
      </c>
      <c r="E3851" t="s">
        <v>6031</v>
      </c>
      <c r="F3851" t="s">
        <v>6034</v>
      </c>
      <c r="G3851" t="s">
        <v>6074</v>
      </c>
      <c r="H3851" t="s">
        <v>6098</v>
      </c>
      <c r="I3851">
        <v>24</v>
      </c>
      <c r="J3851">
        <v>18.100000000000001</v>
      </c>
      <c r="K3851" t="s">
        <v>6099</v>
      </c>
      <c r="L3851" t="s">
        <v>6100</v>
      </c>
      <c r="M3851" t="s">
        <v>6100</v>
      </c>
      <c r="O3851" t="s">
        <v>6101</v>
      </c>
      <c r="P3851" t="s">
        <v>6112</v>
      </c>
      <c r="Q3851">
        <v>6</v>
      </c>
      <c r="R3851">
        <v>2026</v>
      </c>
      <c r="S3851" t="s">
        <v>6099</v>
      </c>
      <c r="T3851">
        <v>1</v>
      </c>
      <c r="U3851" t="s">
        <v>6021</v>
      </c>
      <c r="V3851">
        <v>1</v>
      </c>
    </row>
    <row r="3852" spans="1:22" x14ac:dyDescent="0.3">
      <c r="A3852" t="s">
        <v>3867</v>
      </c>
      <c r="B3852" s="2">
        <v>46196.372916666667</v>
      </c>
      <c r="C3852" s="2">
        <v>46198.581250000003</v>
      </c>
      <c r="D3852" t="s">
        <v>6026</v>
      </c>
      <c r="E3852" t="s">
        <v>6032</v>
      </c>
      <c r="F3852" t="s">
        <v>6033</v>
      </c>
      <c r="G3852" t="s">
        <v>6036</v>
      </c>
      <c r="H3852" t="s">
        <v>6096</v>
      </c>
      <c r="I3852">
        <v>72</v>
      </c>
      <c r="J3852">
        <v>53</v>
      </c>
      <c r="K3852" t="s">
        <v>6100</v>
      </c>
      <c r="L3852" t="s">
        <v>6100</v>
      </c>
      <c r="M3852" t="s">
        <v>6099</v>
      </c>
      <c r="O3852" t="s">
        <v>6101</v>
      </c>
      <c r="P3852" t="s">
        <v>6112</v>
      </c>
      <c r="Q3852">
        <v>6</v>
      </c>
      <c r="R3852">
        <v>2026</v>
      </c>
      <c r="S3852" t="s">
        <v>6099</v>
      </c>
      <c r="T3852">
        <v>1</v>
      </c>
      <c r="U3852" t="s">
        <v>6021</v>
      </c>
      <c r="V3852">
        <v>0</v>
      </c>
    </row>
    <row r="3853" spans="1:22" x14ac:dyDescent="0.3">
      <c r="A3853" t="s">
        <v>3868</v>
      </c>
      <c r="B3853" s="2">
        <v>46196.388194444444</v>
      </c>
      <c r="C3853" s="2">
        <v>46197.334027777775</v>
      </c>
      <c r="D3853" t="s">
        <v>6027</v>
      </c>
      <c r="E3853" t="s">
        <v>6031</v>
      </c>
      <c r="F3853" t="s">
        <v>6034</v>
      </c>
      <c r="G3853" t="s">
        <v>6085</v>
      </c>
      <c r="H3853" t="s">
        <v>6097</v>
      </c>
      <c r="I3853">
        <v>24</v>
      </c>
      <c r="J3853">
        <v>22.7</v>
      </c>
      <c r="K3853" t="s">
        <v>6100</v>
      </c>
      <c r="L3853" t="s">
        <v>6099</v>
      </c>
      <c r="M3853" t="s">
        <v>6100</v>
      </c>
      <c r="O3853" t="s">
        <v>6101</v>
      </c>
      <c r="P3853" t="s">
        <v>6112</v>
      </c>
      <c r="Q3853">
        <v>6</v>
      </c>
      <c r="R3853">
        <v>2026</v>
      </c>
      <c r="S3853" t="s">
        <v>6099</v>
      </c>
      <c r="T3853">
        <v>1</v>
      </c>
      <c r="U3853" t="s">
        <v>6018</v>
      </c>
      <c r="V3853">
        <v>0</v>
      </c>
    </row>
    <row r="3854" spans="1:22" x14ac:dyDescent="0.3">
      <c r="A3854" t="s">
        <v>3869</v>
      </c>
      <c r="B3854" s="2">
        <v>46196.409722222219</v>
      </c>
      <c r="C3854" s="2">
        <v>46196.93472222222</v>
      </c>
      <c r="D3854" t="s">
        <v>6022</v>
      </c>
      <c r="E3854" t="s">
        <v>6029</v>
      </c>
      <c r="F3854" t="s">
        <v>6034</v>
      </c>
      <c r="G3854" t="s">
        <v>6055</v>
      </c>
      <c r="H3854" t="s">
        <v>6096</v>
      </c>
      <c r="I3854">
        <v>24</v>
      </c>
      <c r="J3854">
        <v>12.6</v>
      </c>
      <c r="K3854" t="s">
        <v>6099</v>
      </c>
      <c r="L3854" t="s">
        <v>6100</v>
      </c>
      <c r="M3854" t="s">
        <v>6100</v>
      </c>
      <c r="N3854">
        <v>5</v>
      </c>
      <c r="O3854" t="s">
        <v>6101</v>
      </c>
      <c r="P3854" t="s">
        <v>6112</v>
      </c>
      <c r="Q3854">
        <v>6</v>
      </c>
      <c r="R3854">
        <v>2026</v>
      </c>
      <c r="S3854" t="s">
        <v>6099</v>
      </c>
      <c r="T3854">
        <v>1</v>
      </c>
      <c r="U3854" t="s">
        <v>6019</v>
      </c>
      <c r="V3854">
        <v>1</v>
      </c>
    </row>
    <row r="3855" spans="1:22" x14ac:dyDescent="0.3">
      <c r="A3855" t="s">
        <v>3870</v>
      </c>
      <c r="B3855" s="2">
        <v>46196.42291666667</v>
      </c>
      <c r="C3855" s="2">
        <v>46196.572916666664</v>
      </c>
      <c r="D3855" t="s">
        <v>6023</v>
      </c>
      <c r="E3855" t="s">
        <v>6030</v>
      </c>
      <c r="F3855" t="s">
        <v>6033</v>
      </c>
      <c r="G3855" t="s">
        <v>6038</v>
      </c>
      <c r="H3855" t="s">
        <v>6096</v>
      </c>
      <c r="I3855">
        <v>72</v>
      </c>
      <c r="J3855">
        <v>3.6</v>
      </c>
      <c r="K3855" t="s">
        <v>6100</v>
      </c>
      <c r="L3855" t="s">
        <v>6099</v>
      </c>
      <c r="M3855" t="s">
        <v>6100</v>
      </c>
      <c r="N3855">
        <v>4</v>
      </c>
      <c r="O3855" t="s">
        <v>6101</v>
      </c>
      <c r="P3855" t="s">
        <v>6112</v>
      </c>
      <c r="Q3855">
        <v>6</v>
      </c>
      <c r="R3855">
        <v>2026</v>
      </c>
      <c r="S3855" t="s">
        <v>6099</v>
      </c>
      <c r="T3855">
        <v>1</v>
      </c>
      <c r="U3855" t="s">
        <v>6020</v>
      </c>
      <c r="V3855">
        <v>0</v>
      </c>
    </row>
    <row r="3856" spans="1:22" x14ac:dyDescent="0.3">
      <c r="A3856" t="s">
        <v>3871</v>
      </c>
      <c r="B3856" s="2">
        <v>46196.436805555553</v>
      </c>
      <c r="C3856" s="2">
        <v>46197.207638888889</v>
      </c>
      <c r="D3856" t="s">
        <v>6022</v>
      </c>
      <c r="E3856" t="s">
        <v>6031</v>
      </c>
      <c r="F3856" t="s">
        <v>6034</v>
      </c>
      <c r="G3856" t="s">
        <v>6089</v>
      </c>
      <c r="H3856" t="s">
        <v>6098</v>
      </c>
      <c r="I3856">
        <v>24</v>
      </c>
      <c r="J3856">
        <v>18.5</v>
      </c>
      <c r="K3856" t="s">
        <v>6100</v>
      </c>
      <c r="L3856" t="s">
        <v>6099</v>
      </c>
      <c r="M3856" t="s">
        <v>6100</v>
      </c>
      <c r="N3856">
        <v>4</v>
      </c>
      <c r="O3856" t="s">
        <v>6101</v>
      </c>
      <c r="P3856" t="s">
        <v>6112</v>
      </c>
      <c r="Q3856">
        <v>6</v>
      </c>
      <c r="R3856">
        <v>2026</v>
      </c>
      <c r="S3856" t="s">
        <v>6099</v>
      </c>
      <c r="T3856">
        <v>1</v>
      </c>
      <c r="U3856" t="s">
        <v>6018</v>
      </c>
      <c r="V3856">
        <v>0</v>
      </c>
    </row>
    <row r="3857" spans="1:22" x14ac:dyDescent="0.3">
      <c r="A3857" t="s">
        <v>3872</v>
      </c>
      <c r="B3857" s="2">
        <v>46196.503472222219</v>
      </c>
      <c r="C3857" s="2">
        <v>46197.053472222222</v>
      </c>
      <c r="D3857" t="s">
        <v>6025</v>
      </c>
      <c r="E3857" t="s">
        <v>6029</v>
      </c>
      <c r="F3857" t="s">
        <v>6035</v>
      </c>
      <c r="G3857" t="s">
        <v>6049</v>
      </c>
      <c r="H3857" t="s">
        <v>6097</v>
      </c>
      <c r="I3857">
        <v>4</v>
      </c>
      <c r="J3857">
        <v>13.2</v>
      </c>
      <c r="K3857" t="s">
        <v>6099</v>
      </c>
      <c r="L3857" t="s">
        <v>6100</v>
      </c>
      <c r="M3857" t="s">
        <v>6100</v>
      </c>
      <c r="N3857">
        <v>5</v>
      </c>
      <c r="O3857" t="s">
        <v>6101</v>
      </c>
      <c r="P3857" t="s">
        <v>6112</v>
      </c>
      <c r="Q3857">
        <v>6</v>
      </c>
      <c r="R3857">
        <v>2026</v>
      </c>
      <c r="S3857" t="s">
        <v>6100</v>
      </c>
      <c r="T3857">
        <v>0</v>
      </c>
      <c r="U3857" t="s">
        <v>6017</v>
      </c>
      <c r="V3857">
        <v>1</v>
      </c>
    </row>
    <row r="3858" spans="1:22" x14ac:dyDescent="0.3">
      <c r="A3858" t="s">
        <v>3873</v>
      </c>
      <c r="B3858" s="2">
        <v>46196.522222222222</v>
      </c>
      <c r="C3858" s="2">
        <v>46198.538888888892</v>
      </c>
      <c r="D3858" t="s">
        <v>6025</v>
      </c>
      <c r="E3858" t="s">
        <v>6031</v>
      </c>
      <c r="F3858" t="s">
        <v>6034</v>
      </c>
      <c r="G3858" t="s">
        <v>6092</v>
      </c>
      <c r="H3858" t="s">
        <v>6097</v>
      </c>
      <c r="I3858">
        <v>24</v>
      </c>
      <c r="J3858">
        <v>48.4</v>
      </c>
      <c r="K3858" t="s">
        <v>6099</v>
      </c>
      <c r="L3858" t="s">
        <v>6100</v>
      </c>
      <c r="M3858" t="s">
        <v>6100</v>
      </c>
      <c r="O3858" t="s">
        <v>6101</v>
      </c>
      <c r="P3858" t="s">
        <v>6112</v>
      </c>
      <c r="Q3858">
        <v>6</v>
      </c>
      <c r="R3858">
        <v>2026</v>
      </c>
      <c r="S3858" t="s">
        <v>6100</v>
      </c>
      <c r="T3858">
        <v>0</v>
      </c>
      <c r="U3858" t="s">
        <v>6019</v>
      </c>
      <c r="V3858">
        <v>1</v>
      </c>
    </row>
    <row r="3859" spans="1:22" x14ac:dyDescent="0.3">
      <c r="A3859" t="s">
        <v>3874</v>
      </c>
      <c r="B3859" s="2">
        <v>46196.53402777778</v>
      </c>
      <c r="C3859" s="2">
        <v>46198.84652777778</v>
      </c>
      <c r="D3859" t="s">
        <v>6025</v>
      </c>
      <c r="E3859" t="s">
        <v>6031</v>
      </c>
      <c r="F3859" t="s">
        <v>6035</v>
      </c>
      <c r="G3859" t="s">
        <v>6081</v>
      </c>
      <c r="H3859" t="s">
        <v>6098</v>
      </c>
      <c r="I3859">
        <v>4</v>
      </c>
      <c r="J3859">
        <v>55.5</v>
      </c>
      <c r="K3859" t="s">
        <v>6099</v>
      </c>
      <c r="L3859" t="s">
        <v>6100</v>
      </c>
      <c r="M3859" t="s">
        <v>6100</v>
      </c>
      <c r="N3859">
        <v>3</v>
      </c>
      <c r="O3859" t="s">
        <v>6101</v>
      </c>
      <c r="P3859" t="s">
        <v>6112</v>
      </c>
      <c r="Q3859">
        <v>6</v>
      </c>
      <c r="R3859">
        <v>2026</v>
      </c>
      <c r="S3859" t="s">
        <v>6100</v>
      </c>
      <c r="T3859">
        <v>0</v>
      </c>
      <c r="U3859" t="s">
        <v>6021</v>
      </c>
      <c r="V3859">
        <v>1</v>
      </c>
    </row>
    <row r="3860" spans="1:22" x14ac:dyDescent="0.3">
      <c r="A3860" t="s">
        <v>3875</v>
      </c>
      <c r="B3860" s="2">
        <v>46196.609027777777</v>
      </c>
      <c r="C3860" s="2">
        <v>46197.146527777775</v>
      </c>
      <c r="D3860" t="s">
        <v>6022</v>
      </c>
      <c r="E3860" t="s">
        <v>6030</v>
      </c>
      <c r="F3860" t="s">
        <v>6034</v>
      </c>
      <c r="G3860" t="s">
        <v>6040</v>
      </c>
      <c r="H3860" t="s">
        <v>6097</v>
      </c>
      <c r="I3860">
        <v>24</v>
      </c>
      <c r="J3860">
        <v>12.9</v>
      </c>
      <c r="K3860" t="s">
        <v>6100</v>
      </c>
      <c r="L3860" t="s">
        <v>6099</v>
      </c>
      <c r="M3860" t="s">
        <v>6100</v>
      </c>
      <c r="N3860">
        <v>2</v>
      </c>
      <c r="O3860" t="s">
        <v>6101</v>
      </c>
      <c r="P3860" t="s">
        <v>6112</v>
      </c>
      <c r="Q3860">
        <v>6</v>
      </c>
      <c r="R3860">
        <v>2026</v>
      </c>
      <c r="S3860" t="s">
        <v>6099</v>
      </c>
      <c r="T3860">
        <v>1</v>
      </c>
      <c r="U3860" t="s">
        <v>6021</v>
      </c>
      <c r="V3860">
        <v>0</v>
      </c>
    </row>
    <row r="3861" spans="1:22" x14ac:dyDescent="0.3">
      <c r="A3861" t="s">
        <v>3876</v>
      </c>
      <c r="B3861" s="2">
        <v>46196.609027777777</v>
      </c>
      <c r="C3861" s="2">
        <v>46197.175694444442</v>
      </c>
      <c r="D3861" t="s">
        <v>6028</v>
      </c>
      <c r="E3861" t="s">
        <v>6032</v>
      </c>
      <c r="F3861" t="s">
        <v>6033</v>
      </c>
      <c r="G3861" t="s">
        <v>6081</v>
      </c>
      <c r="H3861" t="s">
        <v>6098</v>
      </c>
      <c r="I3861">
        <v>72</v>
      </c>
      <c r="J3861">
        <v>13.6</v>
      </c>
      <c r="K3861" t="s">
        <v>6100</v>
      </c>
      <c r="L3861" t="s">
        <v>6099</v>
      </c>
      <c r="M3861" t="s">
        <v>6100</v>
      </c>
      <c r="N3861">
        <v>5</v>
      </c>
      <c r="O3861" t="s">
        <v>6101</v>
      </c>
      <c r="P3861" t="s">
        <v>6112</v>
      </c>
      <c r="Q3861">
        <v>6</v>
      </c>
      <c r="R3861">
        <v>2026</v>
      </c>
      <c r="S3861" t="s">
        <v>6099</v>
      </c>
      <c r="T3861">
        <v>1</v>
      </c>
      <c r="U3861" t="s">
        <v>6017</v>
      </c>
      <c r="V3861">
        <v>0</v>
      </c>
    </row>
    <row r="3862" spans="1:22" x14ac:dyDescent="0.3">
      <c r="A3862" t="s">
        <v>3877</v>
      </c>
      <c r="B3862" s="2">
        <v>46196.613888888889</v>
      </c>
      <c r="C3862" s="2">
        <v>46196.743055555555</v>
      </c>
      <c r="D3862" t="s">
        <v>6023</v>
      </c>
      <c r="E3862" t="s">
        <v>6030</v>
      </c>
      <c r="F3862" t="s">
        <v>6034</v>
      </c>
      <c r="G3862" t="s">
        <v>6071</v>
      </c>
      <c r="H3862" t="s">
        <v>6098</v>
      </c>
      <c r="I3862">
        <v>24</v>
      </c>
      <c r="J3862">
        <v>3.1</v>
      </c>
      <c r="K3862" t="s">
        <v>6099</v>
      </c>
      <c r="L3862" t="s">
        <v>6100</v>
      </c>
      <c r="M3862" t="s">
        <v>6100</v>
      </c>
      <c r="N3862">
        <v>4</v>
      </c>
      <c r="O3862" t="s">
        <v>6101</v>
      </c>
      <c r="P3862" t="s">
        <v>6112</v>
      </c>
      <c r="Q3862">
        <v>6</v>
      </c>
      <c r="R3862">
        <v>2026</v>
      </c>
      <c r="S3862" t="s">
        <v>6099</v>
      </c>
      <c r="T3862">
        <v>1</v>
      </c>
      <c r="U3862" t="s">
        <v>6020</v>
      </c>
      <c r="V3862">
        <v>1</v>
      </c>
    </row>
    <row r="3863" spans="1:22" x14ac:dyDescent="0.3">
      <c r="A3863" t="s">
        <v>3878</v>
      </c>
      <c r="B3863" s="2">
        <v>46196.621527777781</v>
      </c>
      <c r="C3863" s="2">
        <v>46197.150694444441</v>
      </c>
      <c r="D3863" t="s">
        <v>6022</v>
      </c>
      <c r="E3863" t="s">
        <v>6029</v>
      </c>
      <c r="F3863" t="s">
        <v>6034</v>
      </c>
      <c r="G3863" t="s">
        <v>6037</v>
      </c>
      <c r="H3863" t="s">
        <v>6096</v>
      </c>
      <c r="I3863">
        <v>24</v>
      </c>
      <c r="J3863">
        <v>12.7</v>
      </c>
      <c r="K3863" t="s">
        <v>6100</v>
      </c>
      <c r="L3863" t="s">
        <v>6100</v>
      </c>
      <c r="M3863" t="s">
        <v>6100</v>
      </c>
      <c r="N3863">
        <v>5</v>
      </c>
      <c r="O3863" t="s">
        <v>6101</v>
      </c>
      <c r="P3863" t="s">
        <v>6112</v>
      </c>
      <c r="Q3863">
        <v>6</v>
      </c>
      <c r="R3863">
        <v>2026</v>
      </c>
      <c r="S3863" t="s">
        <v>6099</v>
      </c>
      <c r="T3863">
        <v>1</v>
      </c>
      <c r="U3863" t="s">
        <v>6017</v>
      </c>
      <c r="V3863">
        <v>0</v>
      </c>
    </row>
    <row r="3864" spans="1:22" x14ac:dyDescent="0.3">
      <c r="A3864" t="s">
        <v>3879</v>
      </c>
      <c r="B3864" s="2">
        <v>46196.624305555553</v>
      </c>
      <c r="C3864" s="2">
        <v>46198.349305555559</v>
      </c>
      <c r="D3864" t="s">
        <v>6022</v>
      </c>
      <c r="E3864" t="s">
        <v>6029</v>
      </c>
      <c r="F3864" t="s">
        <v>6033</v>
      </c>
      <c r="G3864" t="s">
        <v>6045</v>
      </c>
      <c r="H3864" t="s">
        <v>6096</v>
      </c>
      <c r="I3864">
        <v>72</v>
      </c>
      <c r="J3864">
        <v>41.4</v>
      </c>
      <c r="K3864" t="s">
        <v>6100</v>
      </c>
      <c r="L3864" t="s">
        <v>6099</v>
      </c>
      <c r="M3864" t="s">
        <v>6100</v>
      </c>
      <c r="N3864">
        <v>5</v>
      </c>
      <c r="O3864" t="s">
        <v>6101</v>
      </c>
      <c r="P3864" t="s">
        <v>6112</v>
      </c>
      <c r="Q3864">
        <v>6</v>
      </c>
      <c r="R3864">
        <v>2026</v>
      </c>
      <c r="S3864" t="s">
        <v>6099</v>
      </c>
      <c r="T3864">
        <v>1</v>
      </c>
      <c r="U3864" t="s">
        <v>6020</v>
      </c>
      <c r="V3864">
        <v>0</v>
      </c>
    </row>
    <row r="3865" spans="1:22" x14ac:dyDescent="0.3">
      <c r="A3865" t="s">
        <v>3880</v>
      </c>
      <c r="B3865" s="2">
        <v>46196.65347222222</v>
      </c>
      <c r="C3865" s="2">
        <v>46196.861805555556</v>
      </c>
      <c r="D3865" t="s">
        <v>6024</v>
      </c>
      <c r="E3865" t="s">
        <v>6029</v>
      </c>
      <c r="F3865" t="s">
        <v>6034</v>
      </c>
      <c r="G3865" t="s">
        <v>6065</v>
      </c>
      <c r="H3865" t="s">
        <v>6097</v>
      </c>
      <c r="I3865">
        <v>24</v>
      </c>
      <c r="J3865">
        <v>5</v>
      </c>
      <c r="K3865" t="s">
        <v>6100</v>
      </c>
      <c r="L3865" t="s">
        <v>6099</v>
      </c>
      <c r="M3865" t="s">
        <v>6100</v>
      </c>
      <c r="N3865">
        <v>4</v>
      </c>
      <c r="O3865" t="s">
        <v>6101</v>
      </c>
      <c r="P3865" t="s">
        <v>6112</v>
      </c>
      <c r="Q3865">
        <v>6</v>
      </c>
      <c r="R3865">
        <v>2026</v>
      </c>
      <c r="S3865" t="s">
        <v>6099</v>
      </c>
      <c r="T3865">
        <v>1</v>
      </c>
      <c r="U3865" t="s">
        <v>6021</v>
      </c>
      <c r="V3865">
        <v>0</v>
      </c>
    </row>
    <row r="3866" spans="1:22" x14ac:dyDescent="0.3">
      <c r="A3866" t="s">
        <v>3881</v>
      </c>
      <c r="B3866" s="2">
        <v>46196.699305555558</v>
      </c>
      <c r="C3866" s="2">
        <v>46199.520138888889</v>
      </c>
      <c r="D3866" t="s">
        <v>6025</v>
      </c>
      <c r="E3866" t="s">
        <v>6031</v>
      </c>
      <c r="F3866" t="s">
        <v>6034</v>
      </c>
      <c r="G3866" t="s">
        <v>6092</v>
      </c>
      <c r="H3866" t="s">
        <v>6097</v>
      </c>
      <c r="I3866">
        <v>24</v>
      </c>
      <c r="J3866">
        <v>67.7</v>
      </c>
      <c r="K3866" t="s">
        <v>6100</v>
      </c>
      <c r="L3866" t="s">
        <v>6100</v>
      </c>
      <c r="M3866" t="s">
        <v>6100</v>
      </c>
      <c r="O3866" t="s">
        <v>6101</v>
      </c>
      <c r="P3866" t="s">
        <v>6112</v>
      </c>
      <c r="Q3866">
        <v>6</v>
      </c>
      <c r="R3866">
        <v>2026</v>
      </c>
      <c r="S3866" t="s">
        <v>6100</v>
      </c>
      <c r="T3866">
        <v>0</v>
      </c>
      <c r="U3866" t="s">
        <v>6018</v>
      </c>
      <c r="V3866">
        <v>0</v>
      </c>
    </row>
    <row r="3867" spans="1:22" x14ac:dyDescent="0.3">
      <c r="A3867" t="s">
        <v>3882</v>
      </c>
      <c r="B3867" s="2">
        <v>46196.706250000003</v>
      </c>
      <c r="C3867" s="2">
        <v>46197.914583333331</v>
      </c>
      <c r="D3867" t="s">
        <v>6024</v>
      </c>
      <c r="E3867" t="s">
        <v>6031</v>
      </c>
      <c r="F3867" t="s">
        <v>6034</v>
      </c>
      <c r="G3867" t="s">
        <v>6077</v>
      </c>
      <c r="H3867" t="s">
        <v>6098</v>
      </c>
      <c r="I3867">
        <v>24</v>
      </c>
      <c r="J3867">
        <v>29</v>
      </c>
      <c r="K3867" t="s">
        <v>6099</v>
      </c>
      <c r="L3867" t="s">
        <v>6100</v>
      </c>
      <c r="M3867" t="s">
        <v>6099</v>
      </c>
      <c r="O3867" t="s">
        <v>6101</v>
      </c>
      <c r="P3867" t="s">
        <v>6112</v>
      </c>
      <c r="Q3867">
        <v>6</v>
      </c>
      <c r="R3867">
        <v>2026</v>
      </c>
      <c r="S3867" t="s">
        <v>6100</v>
      </c>
      <c r="T3867">
        <v>0</v>
      </c>
      <c r="U3867" t="s">
        <v>6018</v>
      </c>
      <c r="V3867">
        <v>1</v>
      </c>
    </row>
    <row r="3868" spans="1:22" x14ac:dyDescent="0.3">
      <c r="A3868" t="s">
        <v>3883</v>
      </c>
      <c r="B3868" s="2">
        <v>46196.759722222225</v>
      </c>
      <c r="C3868" s="2">
        <v>46197.580555555556</v>
      </c>
      <c r="D3868" t="s">
        <v>6025</v>
      </c>
      <c r="E3868" t="s">
        <v>6031</v>
      </c>
      <c r="F3868" t="s">
        <v>6035</v>
      </c>
      <c r="G3868" t="s">
        <v>6051</v>
      </c>
      <c r="H3868" t="s">
        <v>6097</v>
      </c>
      <c r="I3868">
        <v>4</v>
      </c>
      <c r="J3868">
        <v>19.7</v>
      </c>
      <c r="K3868" t="s">
        <v>6099</v>
      </c>
      <c r="L3868" t="s">
        <v>6100</v>
      </c>
      <c r="M3868" t="s">
        <v>6100</v>
      </c>
      <c r="N3868">
        <v>4</v>
      </c>
      <c r="O3868" t="s">
        <v>6101</v>
      </c>
      <c r="P3868" t="s">
        <v>6112</v>
      </c>
      <c r="Q3868">
        <v>6</v>
      </c>
      <c r="R3868">
        <v>2026</v>
      </c>
      <c r="S3868" t="s">
        <v>6100</v>
      </c>
      <c r="T3868">
        <v>0</v>
      </c>
      <c r="U3868" t="s">
        <v>6021</v>
      </c>
      <c r="V3868">
        <v>1</v>
      </c>
    </row>
    <row r="3869" spans="1:22" x14ac:dyDescent="0.3">
      <c r="A3869" t="s">
        <v>3884</v>
      </c>
      <c r="B3869" s="2">
        <v>46196.777083333334</v>
      </c>
      <c r="C3869" s="2">
        <v>46197.714583333334</v>
      </c>
      <c r="D3869" t="s">
        <v>6025</v>
      </c>
      <c r="E3869" t="s">
        <v>6030</v>
      </c>
      <c r="F3869" t="s">
        <v>6035</v>
      </c>
      <c r="G3869" t="s">
        <v>6047</v>
      </c>
      <c r="H3869" t="s">
        <v>6098</v>
      </c>
      <c r="I3869">
        <v>4</v>
      </c>
      <c r="J3869">
        <v>22.5</v>
      </c>
      <c r="K3869" t="s">
        <v>6099</v>
      </c>
      <c r="L3869" t="s">
        <v>6100</v>
      </c>
      <c r="M3869" t="s">
        <v>6100</v>
      </c>
      <c r="N3869">
        <v>5</v>
      </c>
      <c r="O3869" t="s">
        <v>6101</v>
      </c>
      <c r="P3869" t="s">
        <v>6112</v>
      </c>
      <c r="Q3869">
        <v>6</v>
      </c>
      <c r="R3869">
        <v>2026</v>
      </c>
      <c r="S3869" t="s">
        <v>6100</v>
      </c>
      <c r="T3869">
        <v>0</v>
      </c>
      <c r="U3869" t="s">
        <v>6019</v>
      </c>
      <c r="V3869">
        <v>1</v>
      </c>
    </row>
    <row r="3870" spans="1:22" x14ac:dyDescent="0.3">
      <c r="A3870" t="s">
        <v>3885</v>
      </c>
      <c r="B3870" s="2">
        <v>46196.904166666667</v>
      </c>
      <c r="C3870" s="2">
        <v>46197.45</v>
      </c>
      <c r="D3870" t="s">
        <v>6024</v>
      </c>
      <c r="E3870" t="s">
        <v>6032</v>
      </c>
      <c r="F3870" t="s">
        <v>6035</v>
      </c>
      <c r="G3870" t="s">
        <v>6063</v>
      </c>
      <c r="H3870" t="s">
        <v>6097</v>
      </c>
      <c r="I3870">
        <v>4</v>
      </c>
      <c r="J3870">
        <v>13.1</v>
      </c>
      <c r="K3870" t="s">
        <v>6099</v>
      </c>
      <c r="L3870" t="s">
        <v>6100</v>
      </c>
      <c r="M3870" t="s">
        <v>6100</v>
      </c>
      <c r="N3870">
        <v>4</v>
      </c>
      <c r="O3870" t="s">
        <v>6101</v>
      </c>
      <c r="P3870" t="s">
        <v>6112</v>
      </c>
      <c r="Q3870">
        <v>6</v>
      </c>
      <c r="R3870">
        <v>2026</v>
      </c>
      <c r="S3870" t="s">
        <v>6100</v>
      </c>
      <c r="T3870">
        <v>0</v>
      </c>
      <c r="U3870" t="s">
        <v>6021</v>
      </c>
      <c r="V3870">
        <v>1</v>
      </c>
    </row>
    <row r="3871" spans="1:22" x14ac:dyDescent="0.3">
      <c r="A3871" t="s">
        <v>3886</v>
      </c>
      <c r="B3871" s="2">
        <v>46196.990972222222</v>
      </c>
      <c r="C3871" s="2">
        <v>46197.878472222219</v>
      </c>
      <c r="D3871" t="s">
        <v>6028</v>
      </c>
      <c r="E3871" t="s">
        <v>6031</v>
      </c>
      <c r="F3871" t="s">
        <v>6035</v>
      </c>
      <c r="G3871" t="s">
        <v>6092</v>
      </c>
      <c r="H3871" t="s">
        <v>6097</v>
      </c>
      <c r="I3871">
        <v>4</v>
      </c>
      <c r="J3871">
        <v>21.3</v>
      </c>
      <c r="K3871" t="s">
        <v>6099</v>
      </c>
      <c r="L3871" t="s">
        <v>6100</v>
      </c>
      <c r="M3871" t="s">
        <v>6100</v>
      </c>
      <c r="O3871" t="s">
        <v>6101</v>
      </c>
      <c r="P3871" t="s">
        <v>6112</v>
      </c>
      <c r="Q3871">
        <v>6</v>
      </c>
      <c r="R3871">
        <v>2026</v>
      </c>
      <c r="S3871" t="s">
        <v>6100</v>
      </c>
      <c r="T3871">
        <v>0</v>
      </c>
      <c r="U3871" t="s">
        <v>6020</v>
      </c>
      <c r="V3871">
        <v>1</v>
      </c>
    </row>
    <row r="3872" spans="1:22" x14ac:dyDescent="0.3">
      <c r="A3872" t="s">
        <v>3887</v>
      </c>
      <c r="B3872" s="2">
        <v>46197.331250000003</v>
      </c>
      <c r="C3872" s="2">
        <v>46197.631249999999</v>
      </c>
      <c r="D3872" t="s">
        <v>6028</v>
      </c>
      <c r="E3872" t="s">
        <v>6029</v>
      </c>
      <c r="F3872" t="s">
        <v>6034</v>
      </c>
      <c r="G3872" t="s">
        <v>6053</v>
      </c>
      <c r="H3872" t="s">
        <v>6097</v>
      </c>
      <c r="I3872">
        <v>24</v>
      </c>
      <c r="J3872">
        <v>7.2</v>
      </c>
      <c r="K3872" t="s">
        <v>6099</v>
      </c>
      <c r="L3872" t="s">
        <v>6100</v>
      </c>
      <c r="M3872" t="s">
        <v>6100</v>
      </c>
      <c r="N3872">
        <v>5</v>
      </c>
      <c r="O3872" t="s">
        <v>6101</v>
      </c>
      <c r="P3872" t="s">
        <v>6112</v>
      </c>
      <c r="Q3872">
        <v>6</v>
      </c>
      <c r="R3872">
        <v>2026</v>
      </c>
      <c r="S3872" t="s">
        <v>6099</v>
      </c>
      <c r="T3872">
        <v>1</v>
      </c>
      <c r="U3872" t="s">
        <v>6018</v>
      </c>
      <c r="V3872">
        <v>1</v>
      </c>
    </row>
    <row r="3873" spans="1:22" x14ac:dyDescent="0.3">
      <c r="A3873" t="s">
        <v>3888</v>
      </c>
      <c r="B3873" s="2">
        <v>46197.338888888888</v>
      </c>
      <c r="C3873" s="2">
        <v>46197.555555555555</v>
      </c>
      <c r="D3873" t="s">
        <v>6023</v>
      </c>
      <c r="E3873" t="s">
        <v>6032</v>
      </c>
      <c r="F3873" t="s">
        <v>6033</v>
      </c>
      <c r="G3873" t="s">
        <v>6047</v>
      </c>
      <c r="H3873" t="s">
        <v>6098</v>
      </c>
      <c r="I3873">
        <v>72</v>
      </c>
      <c r="J3873">
        <v>5.2</v>
      </c>
      <c r="K3873" t="s">
        <v>6099</v>
      </c>
      <c r="L3873" t="s">
        <v>6100</v>
      </c>
      <c r="M3873" t="s">
        <v>6100</v>
      </c>
      <c r="N3873">
        <v>3</v>
      </c>
      <c r="O3873" t="s">
        <v>6101</v>
      </c>
      <c r="P3873" t="s">
        <v>6112</v>
      </c>
      <c r="Q3873">
        <v>6</v>
      </c>
      <c r="R3873">
        <v>2026</v>
      </c>
      <c r="S3873" t="s">
        <v>6099</v>
      </c>
      <c r="T3873">
        <v>1</v>
      </c>
      <c r="U3873" t="s">
        <v>6021</v>
      </c>
      <c r="V3873">
        <v>1</v>
      </c>
    </row>
    <row r="3874" spans="1:22" x14ac:dyDescent="0.3">
      <c r="A3874" t="s">
        <v>3889</v>
      </c>
      <c r="B3874" s="2">
        <v>46197.34375</v>
      </c>
      <c r="C3874" s="2">
        <v>46197.489583333336</v>
      </c>
      <c r="D3874" t="s">
        <v>6027</v>
      </c>
      <c r="E3874" t="s">
        <v>6030</v>
      </c>
      <c r="F3874" t="s">
        <v>6033</v>
      </c>
      <c r="G3874" t="s">
        <v>6092</v>
      </c>
      <c r="H3874" t="s">
        <v>6097</v>
      </c>
      <c r="I3874">
        <v>72</v>
      </c>
      <c r="J3874">
        <v>3.5</v>
      </c>
      <c r="K3874" t="s">
        <v>6100</v>
      </c>
      <c r="L3874" t="s">
        <v>6100</v>
      </c>
      <c r="M3874" t="s">
        <v>6100</v>
      </c>
      <c r="N3874">
        <v>4</v>
      </c>
      <c r="O3874" t="s">
        <v>6101</v>
      </c>
      <c r="P3874" t="s">
        <v>6112</v>
      </c>
      <c r="Q3874">
        <v>6</v>
      </c>
      <c r="R3874">
        <v>2026</v>
      </c>
      <c r="S3874" t="s">
        <v>6099</v>
      </c>
      <c r="T3874">
        <v>1</v>
      </c>
      <c r="U3874" t="s">
        <v>6020</v>
      </c>
      <c r="V3874">
        <v>0</v>
      </c>
    </row>
    <row r="3875" spans="1:22" x14ac:dyDescent="0.3">
      <c r="A3875" t="s">
        <v>3890</v>
      </c>
      <c r="B3875" s="2">
        <v>46197.378472222219</v>
      </c>
      <c r="C3875" s="2">
        <v>46197.582638888889</v>
      </c>
      <c r="D3875" t="s">
        <v>6023</v>
      </c>
      <c r="E3875" t="s">
        <v>6030</v>
      </c>
      <c r="F3875" t="s">
        <v>6033</v>
      </c>
      <c r="G3875" t="s">
        <v>6091</v>
      </c>
      <c r="H3875" t="s">
        <v>6097</v>
      </c>
      <c r="I3875">
        <v>72</v>
      </c>
      <c r="J3875">
        <v>4.9000000000000004</v>
      </c>
      <c r="K3875" t="s">
        <v>6099</v>
      </c>
      <c r="L3875" t="s">
        <v>6100</v>
      </c>
      <c r="M3875" t="s">
        <v>6100</v>
      </c>
      <c r="N3875">
        <v>4</v>
      </c>
      <c r="O3875" t="s">
        <v>6101</v>
      </c>
      <c r="P3875" t="s">
        <v>6112</v>
      </c>
      <c r="Q3875">
        <v>6</v>
      </c>
      <c r="R3875">
        <v>2026</v>
      </c>
      <c r="S3875" t="s">
        <v>6099</v>
      </c>
      <c r="T3875">
        <v>1</v>
      </c>
      <c r="U3875" t="s">
        <v>6019</v>
      </c>
      <c r="V3875">
        <v>1</v>
      </c>
    </row>
    <row r="3876" spans="1:22" x14ac:dyDescent="0.3">
      <c r="A3876" t="s">
        <v>3891</v>
      </c>
      <c r="B3876" s="2">
        <v>46197.515277777777</v>
      </c>
      <c r="C3876" s="2">
        <v>46197.715277777781</v>
      </c>
      <c r="D3876" t="s">
        <v>6027</v>
      </c>
      <c r="E3876" t="s">
        <v>6029</v>
      </c>
      <c r="F3876" t="s">
        <v>6033</v>
      </c>
      <c r="G3876" t="s">
        <v>6069</v>
      </c>
      <c r="H3876" t="s">
        <v>6098</v>
      </c>
      <c r="I3876">
        <v>72</v>
      </c>
      <c r="J3876">
        <v>4.8</v>
      </c>
      <c r="K3876" t="s">
        <v>6099</v>
      </c>
      <c r="L3876" t="s">
        <v>6100</v>
      </c>
      <c r="M3876" t="s">
        <v>6100</v>
      </c>
      <c r="N3876">
        <v>4</v>
      </c>
      <c r="O3876" t="s">
        <v>6101</v>
      </c>
      <c r="P3876" t="s">
        <v>6112</v>
      </c>
      <c r="Q3876">
        <v>6</v>
      </c>
      <c r="R3876">
        <v>2026</v>
      </c>
      <c r="S3876" t="s">
        <v>6099</v>
      </c>
      <c r="T3876">
        <v>1</v>
      </c>
      <c r="U3876" t="s">
        <v>6020</v>
      </c>
      <c r="V3876">
        <v>1</v>
      </c>
    </row>
    <row r="3877" spans="1:22" x14ac:dyDescent="0.3">
      <c r="A3877" t="s">
        <v>3892</v>
      </c>
      <c r="B3877" s="2">
        <v>46197.553472222222</v>
      </c>
      <c r="C3877" s="2">
        <v>46197.749305555553</v>
      </c>
      <c r="D3877" t="s">
        <v>6027</v>
      </c>
      <c r="E3877" t="s">
        <v>6029</v>
      </c>
      <c r="F3877" t="s">
        <v>6034</v>
      </c>
      <c r="G3877" t="s">
        <v>6087</v>
      </c>
      <c r="H3877" t="s">
        <v>6098</v>
      </c>
      <c r="I3877">
        <v>24</v>
      </c>
      <c r="J3877">
        <v>4.7</v>
      </c>
      <c r="K3877" t="s">
        <v>6099</v>
      </c>
      <c r="L3877" t="s">
        <v>6100</v>
      </c>
      <c r="M3877" t="s">
        <v>6100</v>
      </c>
      <c r="N3877">
        <v>5</v>
      </c>
      <c r="O3877" t="s">
        <v>6101</v>
      </c>
      <c r="P3877" t="s">
        <v>6112</v>
      </c>
      <c r="Q3877">
        <v>6</v>
      </c>
      <c r="R3877">
        <v>2026</v>
      </c>
      <c r="S3877" t="s">
        <v>6099</v>
      </c>
      <c r="T3877">
        <v>1</v>
      </c>
      <c r="U3877" t="s">
        <v>6018</v>
      </c>
      <c r="V3877">
        <v>1</v>
      </c>
    </row>
    <row r="3878" spans="1:22" x14ac:dyDescent="0.3">
      <c r="A3878" t="s">
        <v>3893</v>
      </c>
      <c r="B3878" s="2">
        <v>46197.554861111108</v>
      </c>
      <c r="C3878" s="2">
        <v>46197.788194444445</v>
      </c>
      <c r="D3878" t="s">
        <v>6025</v>
      </c>
      <c r="E3878" t="s">
        <v>6030</v>
      </c>
      <c r="F3878" t="s">
        <v>6034</v>
      </c>
      <c r="G3878" t="s">
        <v>6066</v>
      </c>
      <c r="H3878" t="s">
        <v>6096</v>
      </c>
      <c r="I3878">
        <v>24</v>
      </c>
      <c r="J3878">
        <v>5.6</v>
      </c>
      <c r="K3878" t="s">
        <v>6100</v>
      </c>
      <c r="L3878" t="s">
        <v>6099</v>
      </c>
      <c r="M3878" t="s">
        <v>6100</v>
      </c>
      <c r="N3878">
        <v>3</v>
      </c>
      <c r="O3878" t="s">
        <v>6101</v>
      </c>
      <c r="P3878" t="s">
        <v>6112</v>
      </c>
      <c r="Q3878">
        <v>6</v>
      </c>
      <c r="R3878">
        <v>2026</v>
      </c>
      <c r="S3878" t="s">
        <v>6099</v>
      </c>
      <c r="T3878">
        <v>1</v>
      </c>
      <c r="U3878" t="s">
        <v>6020</v>
      </c>
      <c r="V3878">
        <v>0</v>
      </c>
    </row>
    <row r="3879" spans="1:22" x14ac:dyDescent="0.3">
      <c r="A3879" t="s">
        <v>3894</v>
      </c>
      <c r="B3879" s="2">
        <v>46197.575694444444</v>
      </c>
      <c r="C3879" s="2">
        <v>46198.246527777781</v>
      </c>
      <c r="D3879" t="s">
        <v>6024</v>
      </c>
      <c r="E3879" t="s">
        <v>6031</v>
      </c>
      <c r="F3879" t="s">
        <v>6035</v>
      </c>
      <c r="G3879" t="s">
        <v>6090</v>
      </c>
      <c r="H3879" t="s">
        <v>6097</v>
      </c>
      <c r="I3879">
        <v>4</v>
      </c>
      <c r="J3879">
        <v>16.100000000000001</v>
      </c>
      <c r="K3879" t="s">
        <v>6099</v>
      </c>
      <c r="L3879" t="s">
        <v>6100</v>
      </c>
      <c r="M3879" t="s">
        <v>6100</v>
      </c>
      <c r="N3879">
        <v>4</v>
      </c>
      <c r="O3879" t="s">
        <v>6101</v>
      </c>
      <c r="P3879" t="s">
        <v>6112</v>
      </c>
      <c r="Q3879">
        <v>6</v>
      </c>
      <c r="R3879">
        <v>2026</v>
      </c>
      <c r="S3879" t="s">
        <v>6100</v>
      </c>
      <c r="T3879">
        <v>0</v>
      </c>
      <c r="U3879" t="s">
        <v>6018</v>
      </c>
      <c r="V3879">
        <v>1</v>
      </c>
    </row>
    <row r="3880" spans="1:22" x14ac:dyDescent="0.3">
      <c r="A3880" t="s">
        <v>3895</v>
      </c>
      <c r="B3880" s="2">
        <v>46197.584027777775</v>
      </c>
      <c r="C3880" s="2">
        <v>46197.646527777775</v>
      </c>
      <c r="D3880" t="s">
        <v>6023</v>
      </c>
      <c r="E3880" t="s">
        <v>6029</v>
      </c>
      <c r="F3880" t="s">
        <v>6033</v>
      </c>
      <c r="G3880" t="s">
        <v>6075</v>
      </c>
      <c r="H3880" t="s">
        <v>6097</v>
      </c>
      <c r="I3880">
        <v>72</v>
      </c>
      <c r="J3880">
        <v>1.5</v>
      </c>
      <c r="K3880" t="s">
        <v>6099</v>
      </c>
      <c r="L3880" t="s">
        <v>6100</v>
      </c>
      <c r="M3880" t="s">
        <v>6100</v>
      </c>
      <c r="N3880">
        <v>5</v>
      </c>
      <c r="O3880" t="s">
        <v>6101</v>
      </c>
      <c r="P3880" t="s">
        <v>6112</v>
      </c>
      <c r="Q3880">
        <v>6</v>
      </c>
      <c r="R3880">
        <v>2026</v>
      </c>
      <c r="S3880" t="s">
        <v>6099</v>
      </c>
      <c r="T3880">
        <v>1</v>
      </c>
      <c r="U3880" t="s">
        <v>6020</v>
      </c>
      <c r="V3880">
        <v>1</v>
      </c>
    </row>
    <row r="3881" spans="1:22" x14ac:dyDescent="0.3">
      <c r="A3881" t="s">
        <v>3896</v>
      </c>
      <c r="B3881" s="2">
        <v>46197.660416666666</v>
      </c>
      <c r="C3881" s="2">
        <v>46198.193749999999</v>
      </c>
      <c r="D3881" t="s">
        <v>6024</v>
      </c>
      <c r="E3881" t="s">
        <v>6029</v>
      </c>
      <c r="F3881" t="s">
        <v>6034</v>
      </c>
      <c r="G3881" t="s">
        <v>6091</v>
      </c>
      <c r="H3881" t="s">
        <v>6097</v>
      </c>
      <c r="I3881">
        <v>24</v>
      </c>
      <c r="J3881">
        <v>12.8</v>
      </c>
      <c r="K3881" t="s">
        <v>6100</v>
      </c>
      <c r="L3881" t="s">
        <v>6099</v>
      </c>
      <c r="M3881" t="s">
        <v>6100</v>
      </c>
      <c r="N3881">
        <v>4</v>
      </c>
      <c r="O3881" t="s">
        <v>6101</v>
      </c>
      <c r="P3881" t="s">
        <v>6112</v>
      </c>
      <c r="Q3881">
        <v>6</v>
      </c>
      <c r="R3881">
        <v>2026</v>
      </c>
      <c r="S3881" t="s">
        <v>6099</v>
      </c>
      <c r="T3881">
        <v>1</v>
      </c>
      <c r="U3881" t="s">
        <v>6019</v>
      </c>
      <c r="V3881">
        <v>0</v>
      </c>
    </row>
    <row r="3882" spans="1:22" x14ac:dyDescent="0.3">
      <c r="A3882" t="s">
        <v>3897</v>
      </c>
      <c r="B3882" s="2">
        <v>46197.699305555558</v>
      </c>
      <c r="C3882" s="2">
        <v>46197.90347222222</v>
      </c>
      <c r="D3882" t="s">
        <v>6023</v>
      </c>
      <c r="E3882" t="s">
        <v>6029</v>
      </c>
      <c r="F3882" t="s">
        <v>6033</v>
      </c>
      <c r="G3882" t="s">
        <v>6094</v>
      </c>
      <c r="H3882" t="s">
        <v>6098</v>
      </c>
      <c r="I3882">
        <v>72</v>
      </c>
      <c r="J3882">
        <v>4.9000000000000004</v>
      </c>
      <c r="K3882" t="s">
        <v>6099</v>
      </c>
      <c r="L3882" t="s">
        <v>6100</v>
      </c>
      <c r="M3882" t="s">
        <v>6100</v>
      </c>
      <c r="O3882" t="s">
        <v>6101</v>
      </c>
      <c r="P3882" t="s">
        <v>6112</v>
      </c>
      <c r="Q3882">
        <v>6</v>
      </c>
      <c r="R3882">
        <v>2026</v>
      </c>
      <c r="S3882" t="s">
        <v>6099</v>
      </c>
      <c r="T3882">
        <v>1</v>
      </c>
      <c r="U3882" t="s">
        <v>6020</v>
      </c>
      <c r="V3882">
        <v>1</v>
      </c>
    </row>
    <row r="3883" spans="1:22" x14ac:dyDescent="0.3">
      <c r="A3883" t="s">
        <v>3898</v>
      </c>
      <c r="B3883" s="2">
        <v>46197.705555555556</v>
      </c>
      <c r="C3883" s="2">
        <v>46198.051388888889</v>
      </c>
      <c r="D3883" t="s">
        <v>6023</v>
      </c>
      <c r="E3883" t="s">
        <v>6029</v>
      </c>
      <c r="F3883" t="s">
        <v>6033</v>
      </c>
      <c r="G3883" t="s">
        <v>6053</v>
      </c>
      <c r="H3883" t="s">
        <v>6097</v>
      </c>
      <c r="I3883">
        <v>72</v>
      </c>
      <c r="J3883">
        <v>8.3000000000000007</v>
      </c>
      <c r="K3883" t="s">
        <v>6099</v>
      </c>
      <c r="L3883" t="s">
        <v>6100</v>
      </c>
      <c r="M3883" t="s">
        <v>6100</v>
      </c>
      <c r="N3883">
        <v>5</v>
      </c>
      <c r="O3883" t="s">
        <v>6101</v>
      </c>
      <c r="P3883" t="s">
        <v>6112</v>
      </c>
      <c r="Q3883">
        <v>6</v>
      </c>
      <c r="R3883">
        <v>2026</v>
      </c>
      <c r="S3883" t="s">
        <v>6099</v>
      </c>
      <c r="T3883">
        <v>1</v>
      </c>
      <c r="U3883" t="s">
        <v>6020</v>
      </c>
      <c r="V3883">
        <v>1</v>
      </c>
    </row>
    <row r="3884" spans="1:22" x14ac:dyDescent="0.3">
      <c r="A3884" t="s">
        <v>3899</v>
      </c>
      <c r="B3884" s="2">
        <v>46197.718055555553</v>
      </c>
      <c r="C3884" s="2">
        <v>46197.793055555558</v>
      </c>
      <c r="D3884" t="s">
        <v>6024</v>
      </c>
      <c r="E3884" t="s">
        <v>6029</v>
      </c>
      <c r="F3884" t="s">
        <v>6035</v>
      </c>
      <c r="G3884" t="s">
        <v>6090</v>
      </c>
      <c r="H3884" t="s">
        <v>6097</v>
      </c>
      <c r="I3884">
        <v>4</v>
      </c>
      <c r="J3884">
        <v>1.8</v>
      </c>
      <c r="K3884" t="s">
        <v>6099</v>
      </c>
      <c r="L3884" t="s">
        <v>6100</v>
      </c>
      <c r="M3884" t="s">
        <v>6100</v>
      </c>
      <c r="N3884">
        <v>3</v>
      </c>
      <c r="O3884" t="s">
        <v>6101</v>
      </c>
      <c r="P3884" t="s">
        <v>6112</v>
      </c>
      <c r="Q3884">
        <v>6</v>
      </c>
      <c r="R3884">
        <v>2026</v>
      </c>
      <c r="S3884" t="s">
        <v>6099</v>
      </c>
      <c r="T3884">
        <v>1</v>
      </c>
      <c r="U3884" t="s">
        <v>6019</v>
      </c>
      <c r="V3884">
        <v>1</v>
      </c>
    </row>
    <row r="3885" spans="1:22" x14ac:dyDescent="0.3">
      <c r="A3885" t="s">
        <v>3900</v>
      </c>
      <c r="B3885" s="2">
        <v>46197.724305555559</v>
      </c>
      <c r="C3885" s="2">
        <v>46204.395138888889</v>
      </c>
      <c r="D3885" t="s">
        <v>6026</v>
      </c>
      <c r="E3885" t="s">
        <v>6031</v>
      </c>
      <c r="F3885" t="s">
        <v>6034</v>
      </c>
      <c r="G3885" t="s">
        <v>6056</v>
      </c>
      <c r="H3885" t="s">
        <v>6098</v>
      </c>
      <c r="I3885">
        <v>24</v>
      </c>
      <c r="J3885">
        <v>160.1</v>
      </c>
      <c r="K3885" t="s">
        <v>6100</v>
      </c>
      <c r="L3885" t="s">
        <v>6100</v>
      </c>
      <c r="M3885" t="s">
        <v>6100</v>
      </c>
      <c r="O3885" t="s">
        <v>6101</v>
      </c>
      <c r="P3885" t="s">
        <v>6112</v>
      </c>
      <c r="Q3885">
        <v>6</v>
      </c>
      <c r="R3885">
        <v>2026</v>
      </c>
      <c r="S3885" t="s">
        <v>6100</v>
      </c>
      <c r="T3885">
        <v>0</v>
      </c>
      <c r="U3885" t="s">
        <v>6021</v>
      </c>
      <c r="V3885">
        <v>0</v>
      </c>
    </row>
    <row r="3886" spans="1:22" x14ac:dyDescent="0.3">
      <c r="A3886" t="s">
        <v>3901</v>
      </c>
      <c r="B3886" s="2">
        <v>46197.878472222219</v>
      </c>
      <c r="C3886" s="2">
        <v>46199.015972222223</v>
      </c>
      <c r="D3886" t="s">
        <v>6026</v>
      </c>
      <c r="E3886" t="s">
        <v>6031</v>
      </c>
      <c r="F3886" t="s">
        <v>6034</v>
      </c>
      <c r="G3886" t="s">
        <v>6053</v>
      </c>
      <c r="H3886" t="s">
        <v>6097</v>
      </c>
      <c r="I3886">
        <v>24</v>
      </c>
      <c r="J3886">
        <v>27.3</v>
      </c>
      <c r="K3886" t="s">
        <v>6099</v>
      </c>
      <c r="L3886" t="s">
        <v>6100</v>
      </c>
      <c r="M3886" t="s">
        <v>6100</v>
      </c>
      <c r="N3886">
        <v>2</v>
      </c>
      <c r="O3886" t="s">
        <v>6101</v>
      </c>
      <c r="P3886" t="s">
        <v>6112</v>
      </c>
      <c r="Q3886">
        <v>6</v>
      </c>
      <c r="R3886">
        <v>2026</v>
      </c>
      <c r="S3886" t="s">
        <v>6100</v>
      </c>
      <c r="T3886">
        <v>0</v>
      </c>
      <c r="U3886" t="s">
        <v>6018</v>
      </c>
      <c r="V3886">
        <v>1</v>
      </c>
    </row>
    <row r="3887" spans="1:22" x14ac:dyDescent="0.3">
      <c r="A3887" t="s">
        <v>3902</v>
      </c>
      <c r="B3887" s="2">
        <v>46197.930555555555</v>
      </c>
      <c r="C3887" s="2">
        <v>46198.926388888889</v>
      </c>
      <c r="D3887" t="s">
        <v>6027</v>
      </c>
      <c r="E3887" t="s">
        <v>6029</v>
      </c>
      <c r="F3887" t="s">
        <v>6035</v>
      </c>
      <c r="G3887" t="s">
        <v>6056</v>
      </c>
      <c r="H3887" t="s">
        <v>6098</v>
      </c>
      <c r="I3887">
        <v>4</v>
      </c>
      <c r="J3887">
        <v>23.9</v>
      </c>
      <c r="K3887" t="s">
        <v>6099</v>
      </c>
      <c r="L3887" t="s">
        <v>6100</v>
      </c>
      <c r="M3887" t="s">
        <v>6100</v>
      </c>
      <c r="O3887" t="s">
        <v>6101</v>
      </c>
      <c r="P3887" t="s">
        <v>6112</v>
      </c>
      <c r="Q3887">
        <v>6</v>
      </c>
      <c r="R3887">
        <v>2026</v>
      </c>
      <c r="S3887" t="s">
        <v>6100</v>
      </c>
      <c r="T3887">
        <v>0</v>
      </c>
      <c r="U3887" t="s">
        <v>6018</v>
      </c>
      <c r="V3887">
        <v>1</v>
      </c>
    </row>
    <row r="3888" spans="1:22" x14ac:dyDescent="0.3">
      <c r="A3888" t="s">
        <v>3903</v>
      </c>
      <c r="B3888" s="2">
        <v>46197.974305555559</v>
      </c>
      <c r="C3888" s="2">
        <v>46200.886805555558</v>
      </c>
      <c r="D3888" t="s">
        <v>6025</v>
      </c>
      <c r="E3888" t="s">
        <v>6031</v>
      </c>
      <c r="F3888" t="s">
        <v>6034</v>
      </c>
      <c r="G3888" t="s">
        <v>6047</v>
      </c>
      <c r="H3888" t="s">
        <v>6098</v>
      </c>
      <c r="I3888">
        <v>24</v>
      </c>
      <c r="J3888">
        <v>69.900000000000006</v>
      </c>
      <c r="K3888" t="s">
        <v>6100</v>
      </c>
      <c r="L3888" t="s">
        <v>6100</v>
      </c>
      <c r="M3888" t="s">
        <v>6100</v>
      </c>
      <c r="N3888">
        <v>4</v>
      </c>
      <c r="O3888" t="s">
        <v>6101</v>
      </c>
      <c r="P3888" t="s">
        <v>6112</v>
      </c>
      <c r="Q3888">
        <v>6</v>
      </c>
      <c r="R3888">
        <v>2026</v>
      </c>
      <c r="S3888" t="s">
        <v>6100</v>
      </c>
      <c r="T3888">
        <v>0</v>
      </c>
      <c r="U3888" t="s">
        <v>6019</v>
      </c>
      <c r="V3888">
        <v>0</v>
      </c>
    </row>
    <row r="3889" spans="1:22" x14ac:dyDescent="0.3">
      <c r="A3889" t="s">
        <v>3904</v>
      </c>
      <c r="B3889" s="2">
        <v>46198.138194444444</v>
      </c>
      <c r="C3889" s="2">
        <v>46198.446527777778</v>
      </c>
      <c r="D3889" t="s">
        <v>6022</v>
      </c>
      <c r="E3889" t="s">
        <v>6030</v>
      </c>
      <c r="F3889" t="s">
        <v>6033</v>
      </c>
      <c r="G3889" t="s">
        <v>6050</v>
      </c>
      <c r="H3889" t="s">
        <v>6098</v>
      </c>
      <c r="I3889">
        <v>72</v>
      </c>
      <c r="J3889">
        <v>7.4</v>
      </c>
      <c r="K3889" t="s">
        <v>6099</v>
      </c>
      <c r="L3889" t="s">
        <v>6100</v>
      </c>
      <c r="M3889" t="s">
        <v>6100</v>
      </c>
      <c r="N3889">
        <v>5</v>
      </c>
      <c r="O3889" t="s">
        <v>6101</v>
      </c>
      <c r="P3889" t="s">
        <v>6112</v>
      </c>
      <c r="Q3889">
        <v>6</v>
      </c>
      <c r="R3889">
        <v>2026</v>
      </c>
      <c r="S3889" t="s">
        <v>6099</v>
      </c>
      <c r="T3889">
        <v>1</v>
      </c>
      <c r="U3889" t="s">
        <v>6019</v>
      </c>
      <c r="V3889">
        <v>1</v>
      </c>
    </row>
    <row r="3890" spans="1:22" x14ac:dyDescent="0.3">
      <c r="A3890" t="s">
        <v>3905</v>
      </c>
      <c r="B3890" s="2">
        <v>46198.288194444445</v>
      </c>
      <c r="C3890" s="2">
        <v>46198.696527777778</v>
      </c>
      <c r="D3890" t="s">
        <v>6023</v>
      </c>
      <c r="E3890" t="s">
        <v>6032</v>
      </c>
      <c r="F3890" t="s">
        <v>6034</v>
      </c>
      <c r="G3890" t="s">
        <v>6077</v>
      </c>
      <c r="H3890" t="s">
        <v>6098</v>
      </c>
      <c r="I3890">
        <v>24</v>
      </c>
      <c r="J3890">
        <v>9.8000000000000007</v>
      </c>
      <c r="K3890" t="s">
        <v>6100</v>
      </c>
      <c r="L3890" t="s">
        <v>6100</v>
      </c>
      <c r="M3890" t="s">
        <v>6100</v>
      </c>
      <c r="O3890" t="s">
        <v>6101</v>
      </c>
      <c r="P3890" t="s">
        <v>6112</v>
      </c>
      <c r="Q3890">
        <v>6</v>
      </c>
      <c r="R3890">
        <v>2026</v>
      </c>
      <c r="S3890" t="s">
        <v>6099</v>
      </c>
      <c r="T3890">
        <v>1</v>
      </c>
      <c r="U3890" t="s">
        <v>6020</v>
      </c>
      <c r="V3890">
        <v>0</v>
      </c>
    </row>
    <row r="3891" spans="1:22" x14ac:dyDescent="0.3">
      <c r="A3891" t="s">
        <v>3906</v>
      </c>
      <c r="B3891" s="2">
        <v>46198.334722222222</v>
      </c>
      <c r="C3891" s="2">
        <v>46199.047222222223</v>
      </c>
      <c r="D3891" t="s">
        <v>6028</v>
      </c>
      <c r="E3891" t="s">
        <v>6031</v>
      </c>
      <c r="F3891" t="s">
        <v>6035</v>
      </c>
      <c r="G3891" t="s">
        <v>6076</v>
      </c>
      <c r="H3891" t="s">
        <v>6097</v>
      </c>
      <c r="I3891">
        <v>4</v>
      </c>
      <c r="J3891">
        <v>17.100000000000001</v>
      </c>
      <c r="K3891" t="s">
        <v>6099</v>
      </c>
      <c r="L3891" t="s">
        <v>6100</v>
      </c>
      <c r="M3891" t="s">
        <v>6100</v>
      </c>
      <c r="N3891">
        <v>4</v>
      </c>
      <c r="O3891" t="s">
        <v>6101</v>
      </c>
      <c r="P3891" t="s">
        <v>6112</v>
      </c>
      <c r="Q3891">
        <v>6</v>
      </c>
      <c r="R3891">
        <v>2026</v>
      </c>
      <c r="S3891" t="s">
        <v>6100</v>
      </c>
      <c r="T3891">
        <v>0</v>
      </c>
      <c r="U3891" t="s">
        <v>6019</v>
      </c>
      <c r="V3891">
        <v>1</v>
      </c>
    </row>
    <row r="3892" spans="1:22" x14ac:dyDescent="0.3">
      <c r="A3892" t="s">
        <v>3907</v>
      </c>
      <c r="B3892" s="2">
        <v>46198.399305555555</v>
      </c>
      <c r="C3892" s="2">
        <v>46198.861805555556</v>
      </c>
      <c r="D3892" t="s">
        <v>6028</v>
      </c>
      <c r="E3892" t="s">
        <v>6030</v>
      </c>
      <c r="F3892" t="s">
        <v>6034</v>
      </c>
      <c r="G3892" t="s">
        <v>6041</v>
      </c>
      <c r="H3892" t="s">
        <v>6096</v>
      </c>
      <c r="I3892">
        <v>24</v>
      </c>
      <c r="J3892">
        <v>11.1</v>
      </c>
      <c r="K3892" t="s">
        <v>6099</v>
      </c>
      <c r="L3892" t="s">
        <v>6100</v>
      </c>
      <c r="M3892" t="s">
        <v>6100</v>
      </c>
      <c r="O3892" t="s">
        <v>6101</v>
      </c>
      <c r="P3892" t="s">
        <v>6112</v>
      </c>
      <c r="Q3892">
        <v>6</v>
      </c>
      <c r="R3892">
        <v>2026</v>
      </c>
      <c r="S3892" t="s">
        <v>6099</v>
      </c>
      <c r="T3892">
        <v>1</v>
      </c>
      <c r="U3892" t="s">
        <v>6019</v>
      </c>
      <c r="V3892">
        <v>1</v>
      </c>
    </row>
    <row r="3893" spans="1:22" x14ac:dyDescent="0.3">
      <c r="A3893" t="s">
        <v>3908</v>
      </c>
      <c r="B3893" s="2">
        <v>46198.415277777778</v>
      </c>
      <c r="C3893" s="2">
        <v>46199.023611111108</v>
      </c>
      <c r="D3893" t="s">
        <v>6028</v>
      </c>
      <c r="E3893" t="s">
        <v>6031</v>
      </c>
      <c r="F3893" t="s">
        <v>6035</v>
      </c>
      <c r="G3893" t="s">
        <v>6077</v>
      </c>
      <c r="H3893" t="s">
        <v>6098</v>
      </c>
      <c r="I3893">
        <v>4</v>
      </c>
      <c r="J3893">
        <v>14.6</v>
      </c>
      <c r="K3893" t="s">
        <v>6100</v>
      </c>
      <c r="L3893" t="s">
        <v>6099</v>
      </c>
      <c r="M3893" t="s">
        <v>6100</v>
      </c>
      <c r="N3893">
        <v>4</v>
      </c>
      <c r="O3893" t="s">
        <v>6101</v>
      </c>
      <c r="P3893" t="s">
        <v>6112</v>
      </c>
      <c r="Q3893">
        <v>6</v>
      </c>
      <c r="R3893">
        <v>2026</v>
      </c>
      <c r="S3893" t="s">
        <v>6100</v>
      </c>
      <c r="T3893">
        <v>0</v>
      </c>
      <c r="U3893" t="s">
        <v>6019</v>
      </c>
      <c r="V3893">
        <v>0</v>
      </c>
    </row>
    <row r="3894" spans="1:22" x14ac:dyDescent="0.3">
      <c r="A3894" t="s">
        <v>3909</v>
      </c>
      <c r="B3894" s="2">
        <v>46198.431250000001</v>
      </c>
      <c r="C3894" s="2">
        <v>46198.63958333333</v>
      </c>
      <c r="D3894" t="s">
        <v>6023</v>
      </c>
      <c r="E3894" t="s">
        <v>6029</v>
      </c>
      <c r="F3894" t="s">
        <v>6034</v>
      </c>
      <c r="G3894" t="s">
        <v>6045</v>
      </c>
      <c r="H3894" t="s">
        <v>6096</v>
      </c>
      <c r="I3894">
        <v>24</v>
      </c>
      <c r="J3894">
        <v>5</v>
      </c>
      <c r="K3894" t="s">
        <v>6099</v>
      </c>
      <c r="L3894" t="s">
        <v>6100</v>
      </c>
      <c r="M3894" t="s">
        <v>6100</v>
      </c>
      <c r="N3894">
        <v>4</v>
      </c>
      <c r="O3894" t="s">
        <v>6101</v>
      </c>
      <c r="P3894" t="s">
        <v>6112</v>
      </c>
      <c r="Q3894">
        <v>6</v>
      </c>
      <c r="R3894">
        <v>2026</v>
      </c>
      <c r="S3894" t="s">
        <v>6099</v>
      </c>
      <c r="T3894">
        <v>1</v>
      </c>
      <c r="U3894" t="s">
        <v>6018</v>
      </c>
      <c r="V3894">
        <v>1</v>
      </c>
    </row>
    <row r="3895" spans="1:22" x14ac:dyDescent="0.3">
      <c r="A3895" t="s">
        <v>3910</v>
      </c>
      <c r="B3895" s="2">
        <v>46198.470138888886</v>
      </c>
      <c r="C3895" s="2">
        <v>46198.890972222223</v>
      </c>
      <c r="D3895" t="s">
        <v>6028</v>
      </c>
      <c r="E3895" t="s">
        <v>6029</v>
      </c>
      <c r="F3895" t="s">
        <v>6034</v>
      </c>
      <c r="G3895" t="s">
        <v>6045</v>
      </c>
      <c r="H3895" t="s">
        <v>6096</v>
      </c>
      <c r="I3895">
        <v>24</v>
      </c>
      <c r="J3895">
        <v>10.1</v>
      </c>
      <c r="K3895" t="s">
        <v>6100</v>
      </c>
      <c r="L3895" t="s">
        <v>6100</v>
      </c>
      <c r="M3895" t="s">
        <v>6100</v>
      </c>
      <c r="O3895" t="s">
        <v>6101</v>
      </c>
      <c r="P3895" t="s">
        <v>6112</v>
      </c>
      <c r="Q3895">
        <v>6</v>
      </c>
      <c r="R3895">
        <v>2026</v>
      </c>
      <c r="S3895" t="s">
        <v>6099</v>
      </c>
      <c r="T3895">
        <v>1</v>
      </c>
      <c r="U3895" t="s">
        <v>6018</v>
      </c>
      <c r="V3895">
        <v>0</v>
      </c>
    </row>
    <row r="3896" spans="1:22" x14ac:dyDescent="0.3">
      <c r="A3896" t="s">
        <v>3911</v>
      </c>
      <c r="B3896" s="2">
        <v>46198.504861111112</v>
      </c>
      <c r="C3896" s="2">
        <v>46198.817361111112</v>
      </c>
      <c r="D3896" t="s">
        <v>6027</v>
      </c>
      <c r="E3896" t="s">
        <v>6032</v>
      </c>
      <c r="F3896" t="s">
        <v>6033</v>
      </c>
      <c r="G3896" t="s">
        <v>6046</v>
      </c>
      <c r="H3896" t="s">
        <v>6098</v>
      </c>
      <c r="I3896">
        <v>72</v>
      </c>
      <c r="J3896">
        <v>7.5</v>
      </c>
      <c r="K3896" t="s">
        <v>6099</v>
      </c>
      <c r="L3896" t="s">
        <v>6100</v>
      </c>
      <c r="M3896" t="s">
        <v>6100</v>
      </c>
      <c r="O3896" t="s">
        <v>6101</v>
      </c>
      <c r="P3896" t="s">
        <v>6112</v>
      </c>
      <c r="Q3896">
        <v>6</v>
      </c>
      <c r="R3896">
        <v>2026</v>
      </c>
      <c r="S3896" t="s">
        <v>6099</v>
      </c>
      <c r="T3896">
        <v>1</v>
      </c>
      <c r="U3896" t="s">
        <v>6019</v>
      </c>
      <c r="V3896">
        <v>1</v>
      </c>
    </row>
    <row r="3897" spans="1:22" x14ac:dyDescent="0.3">
      <c r="A3897" t="s">
        <v>3912</v>
      </c>
      <c r="B3897" s="2">
        <v>46198.538194444445</v>
      </c>
      <c r="C3897" s="2">
        <v>46201.567361111112</v>
      </c>
      <c r="D3897" t="s">
        <v>6024</v>
      </c>
      <c r="E3897" t="s">
        <v>6032</v>
      </c>
      <c r="F3897" t="s">
        <v>6034</v>
      </c>
      <c r="G3897" t="s">
        <v>6073</v>
      </c>
      <c r="H3897" t="s">
        <v>6096</v>
      </c>
      <c r="I3897">
        <v>24</v>
      </c>
      <c r="J3897">
        <v>72.7</v>
      </c>
      <c r="K3897" t="s">
        <v>6099</v>
      </c>
      <c r="L3897" t="s">
        <v>6100</v>
      </c>
      <c r="M3897" t="s">
        <v>6099</v>
      </c>
      <c r="N3897">
        <v>4</v>
      </c>
      <c r="O3897" t="s">
        <v>6101</v>
      </c>
      <c r="P3897" t="s">
        <v>6112</v>
      </c>
      <c r="Q3897">
        <v>6</v>
      </c>
      <c r="R3897">
        <v>2026</v>
      </c>
      <c r="S3897" t="s">
        <v>6100</v>
      </c>
      <c r="T3897">
        <v>0</v>
      </c>
      <c r="U3897" t="s">
        <v>6021</v>
      </c>
      <c r="V3897">
        <v>1</v>
      </c>
    </row>
    <row r="3898" spans="1:22" x14ac:dyDescent="0.3">
      <c r="A3898" t="s">
        <v>3913</v>
      </c>
      <c r="B3898" s="2">
        <v>46198.559027777781</v>
      </c>
      <c r="C3898" s="2">
        <v>46199.65902777778</v>
      </c>
      <c r="D3898" t="s">
        <v>6028</v>
      </c>
      <c r="E3898" t="s">
        <v>6029</v>
      </c>
      <c r="F3898" t="s">
        <v>6034</v>
      </c>
      <c r="G3898" t="s">
        <v>6038</v>
      </c>
      <c r="H3898" t="s">
        <v>6096</v>
      </c>
      <c r="I3898">
        <v>24</v>
      </c>
      <c r="J3898">
        <v>26.4</v>
      </c>
      <c r="K3898" t="s">
        <v>6099</v>
      </c>
      <c r="L3898" t="s">
        <v>6100</v>
      </c>
      <c r="M3898" t="s">
        <v>6099</v>
      </c>
      <c r="O3898" t="s">
        <v>6101</v>
      </c>
      <c r="P3898" t="s">
        <v>6112</v>
      </c>
      <c r="Q3898">
        <v>6</v>
      </c>
      <c r="R3898">
        <v>2026</v>
      </c>
      <c r="S3898" t="s">
        <v>6100</v>
      </c>
      <c r="T3898">
        <v>0</v>
      </c>
      <c r="U3898" t="s">
        <v>6019</v>
      </c>
      <c r="V3898">
        <v>1</v>
      </c>
    </row>
    <row r="3899" spans="1:22" x14ac:dyDescent="0.3">
      <c r="A3899" t="s">
        <v>3914</v>
      </c>
      <c r="B3899" s="2">
        <v>46198.568055555559</v>
      </c>
      <c r="C3899" s="2">
        <v>46199.226388888892</v>
      </c>
      <c r="D3899" t="s">
        <v>6028</v>
      </c>
      <c r="E3899" t="s">
        <v>6032</v>
      </c>
      <c r="F3899" t="s">
        <v>6034</v>
      </c>
      <c r="G3899" t="s">
        <v>6044</v>
      </c>
      <c r="H3899" t="s">
        <v>6097</v>
      </c>
      <c r="I3899">
        <v>24</v>
      </c>
      <c r="J3899">
        <v>15.8</v>
      </c>
      <c r="K3899" t="s">
        <v>6099</v>
      </c>
      <c r="L3899" t="s">
        <v>6100</v>
      </c>
      <c r="M3899" t="s">
        <v>6100</v>
      </c>
      <c r="O3899" t="s">
        <v>6101</v>
      </c>
      <c r="P3899" t="s">
        <v>6112</v>
      </c>
      <c r="Q3899">
        <v>6</v>
      </c>
      <c r="R3899">
        <v>2026</v>
      </c>
      <c r="S3899" t="s">
        <v>6099</v>
      </c>
      <c r="T3899">
        <v>1</v>
      </c>
      <c r="U3899" t="s">
        <v>6021</v>
      </c>
      <c r="V3899">
        <v>1</v>
      </c>
    </row>
    <row r="3900" spans="1:22" x14ac:dyDescent="0.3">
      <c r="A3900" t="s">
        <v>3915</v>
      </c>
      <c r="B3900" s="2">
        <v>46198.573611111111</v>
      </c>
      <c r="C3900" s="2">
        <v>46199.023611111108</v>
      </c>
      <c r="D3900" t="s">
        <v>6028</v>
      </c>
      <c r="E3900" t="s">
        <v>6031</v>
      </c>
      <c r="F3900" t="s">
        <v>6034</v>
      </c>
      <c r="G3900" t="s">
        <v>6038</v>
      </c>
      <c r="H3900" t="s">
        <v>6096</v>
      </c>
      <c r="I3900">
        <v>24</v>
      </c>
      <c r="J3900">
        <v>10.8</v>
      </c>
      <c r="K3900" t="s">
        <v>6100</v>
      </c>
      <c r="L3900" t="s">
        <v>6100</v>
      </c>
      <c r="M3900" t="s">
        <v>6100</v>
      </c>
      <c r="N3900">
        <v>4</v>
      </c>
      <c r="O3900" t="s">
        <v>6101</v>
      </c>
      <c r="P3900" t="s">
        <v>6112</v>
      </c>
      <c r="Q3900">
        <v>6</v>
      </c>
      <c r="R3900">
        <v>2026</v>
      </c>
      <c r="S3900" t="s">
        <v>6099</v>
      </c>
      <c r="T3900">
        <v>1</v>
      </c>
      <c r="U3900" t="s">
        <v>6021</v>
      </c>
      <c r="V3900">
        <v>0</v>
      </c>
    </row>
    <row r="3901" spans="1:22" x14ac:dyDescent="0.3">
      <c r="A3901" t="s">
        <v>3916</v>
      </c>
      <c r="B3901" s="2">
        <v>46198.602777777778</v>
      </c>
      <c r="C3901" s="2">
        <v>46199.319444444445</v>
      </c>
      <c r="D3901" t="s">
        <v>6022</v>
      </c>
      <c r="E3901" t="s">
        <v>6031</v>
      </c>
      <c r="F3901" t="s">
        <v>6035</v>
      </c>
      <c r="G3901" t="s">
        <v>6052</v>
      </c>
      <c r="H3901" t="s">
        <v>6098</v>
      </c>
      <c r="I3901">
        <v>4</v>
      </c>
      <c r="J3901">
        <v>17.2</v>
      </c>
      <c r="K3901" t="s">
        <v>6099</v>
      </c>
      <c r="L3901" t="s">
        <v>6100</v>
      </c>
      <c r="M3901" t="s">
        <v>6100</v>
      </c>
      <c r="O3901" t="s">
        <v>6101</v>
      </c>
      <c r="P3901" t="s">
        <v>6112</v>
      </c>
      <c r="Q3901">
        <v>6</v>
      </c>
      <c r="R3901">
        <v>2026</v>
      </c>
      <c r="S3901" t="s">
        <v>6100</v>
      </c>
      <c r="T3901">
        <v>0</v>
      </c>
      <c r="U3901" t="s">
        <v>6018</v>
      </c>
      <c r="V3901">
        <v>1</v>
      </c>
    </row>
    <row r="3902" spans="1:22" x14ac:dyDescent="0.3">
      <c r="A3902" t="s">
        <v>3917</v>
      </c>
      <c r="B3902" s="2">
        <v>46198.612500000003</v>
      </c>
      <c r="C3902" s="2">
        <v>46199.05</v>
      </c>
      <c r="D3902" t="s">
        <v>6022</v>
      </c>
      <c r="E3902" t="s">
        <v>6029</v>
      </c>
      <c r="F3902" t="s">
        <v>6035</v>
      </c>
      <c r="G3902" t="s">
        <v>6074</v>
      </c>
      <c r="H3902" t="s">
        <v>6098</v>
      </c>
      <c r="I3902">
        <v>4</v>
      </c>
      <c r="J3902">
        <v>10.5</v>
      </c>
      <c r="K3902" t="s">
        <v>6099</v>
      </c>
      <c r="L3902" t="s">
        <v>6100</v>
      </c>
      <c r="M3902" t="s">
        <v>6100</v>
      </c>
      <c r="O3902" t="s">
        <v>6101</v>
      </c>
      <c r="P3902" t="s">
        <v>6112</v>
      </c>
      <c r="Q3902">
        <v>6</v>
      </c>
      <c r="R3902">
        <v>2026</v>
      </c>
      <c r="S3902" t="s">
        <v>6100</v>
      </c>
      <c r="T3902">
        <v>0</v>
      </c>
      <c r="U3902" t="s">
        <v>6018</v>
      </c>
      <c r="V3902">
        <v>1</v>
      </c>
    </row>
    <row r="3903" spans="1:22" x14ac:dyDescent="0.3">
      <c r="A3903" t="s">
        <v>3918</v>
      </c>
      <c r="B3903" s="2">
        <v>46198.628472222219</v>
      </c>
      <c r="C3903" s="2">
        <v>46198.753472222219</v>
      </c>
      <c r="D3903" t="s">
        <v>6023</v>
      </c>
      <c r="E3903" t="s">
        <v>6029</v>
      </c>
      <c r="F3903" t="s">
        <v>6033</v>
      </c>
      <c r="G3903" t="s">
        <v>6079</v>
      </c>
      <c r="H3903" t="s">
        <v>6097</v>
      </c>
      <c r="I3903">
        <v>72</v>
      </c>
      <c r="J3903">
        <v>3</v>
      </c>
      <c r="K3903" t="s">
        <v>6099</v>
      </c>
      <c r="L3903" t="s">
        <v>6100</v>
      </c>
      <c r="M3903" t="s">
        <v>6100</v>
      </c>
      <c r="O3903" t="s">
        <v>6101</v>
      </c>
      <c r="P3903" t="s">
        <v>6112</v>
      </c>
      <c r="Q3903">
        <v>6</v>
      </c>
      <c r="R3903">
        <v>2026</v>
      </c>
      <c r="S3903" t="s">
        <v>6099</v>
      </c>
      <c r="T3903">
        <v>1</v>
      </c>
      <c r="U3903" t="s">
        <v>6017</v>
      </c>
      <c r="V3903">
        <v>1</v>
      </c>
    </row>
    <row r="3904" spans="1:22" x14ac:dyDescent="0.3">
      <c r="A3904" t="s">
        <v>3919</v>
      </c>
      <c r="B3904" s="2">
        <v>46198.635416666664</v>
      </c>
      <c r="C3904" s="2">
        <v>46199.997916666667</v>
      </c>
      <c r="D3904" t="s">
        <v>6025</v>
      </c>
      <c r="E3904" t="s">
        <v>6030</v>
      </c>
      <c r="F3904" t="s">
        <v>6033</v>
      </c>
      <c r="G3904" t="s">
        <v>6038</v>
      </c>
      <c r="H3904" t="s">
        <v>6096</v>
      </c>
      <c r="I3904">
        <v>72</v>
      </c>
      <c r="J3904">
        <v>32.700000000000003</v>
      </c>
      <c r="K3904" t="s">
        <v>6099</v>
      </c>
      <c r="L3904" t="s">
        <v>6100</v>
      </c>
      <c r="M3904" t="s">
        <v>6100</v>
      </c>
      <c r="N3904">
        <v>4</v>
      </c>
      <c r="O3904" t="s">
        <v>6101</v>
      </c>
      <c r="P3904" t="s">
        <v>6112</v>
      </c>
      <c r="Q3904">
        <v>6</v>
      </c>
      <c r="R3904">
        <v>2026</v>
      </c>
      <c r="S3904" t="s">
        <v>6099</v>
      </c>
      <c r="T3904">
        <v>1</v>
      </c>
      <c r="U3904" t="s">
        <v>6019</v>
      </c>
      <c r="V3904">
        <v>1</v>
      </c>
    </row>
    <row r="3905" spans="1:22" x14ac:dyDescent="0.3">
      <c r="A3905" t="s">
        <v>3920</v>
      </c>
      <c r="B3905" s="2">
        <v>46198.680555555555</v>
      </c>
      <c r="C3905" s="2">
        <v>46200.463888888888</v>
      </c>
      <c r="D3905" t="s">
        <v>6025</v>
      </c>
      <c r="E3905" t="s">
        <v>6031</v>
      </c>
      <c r="F3905" t="s">
        <v>6034</v>
      </c>
      <c r="G3905" t="s">
        <v>6039</v>
      </c>
      <c r="H3905" t="s">
        <v>6097</v>
      </c>
      <c r="I3905">
        <v>24</v>
      </c>
      <c r="J3905">
        <v>42.8</v>
      </c>
      <c r="K3905" t="s">
        <v>6100</v>
      </c>
      <c r="L3905" t="s">
        <v>6099</v>
      </c>
      <c r="M3905" t="s">
        <v>6100</v>
      </c>
      <c r="O3905" t="s">
        <v>6101</v>
      </c>
      <c r="P3905" t="s">
        <v>6112</v>
      </c>
      <c r="Q3905">
        <v>6</v>
      </c>
      <c r="R3905">
        <v>2026</v>
      </c>
      <c r="S3905" t="s">
        <v>6100</v>
      </c>
      <c r="T3905">
        <v>0</v>
      </c>
      <c r="U3905" t="s">
        <v>6018</v>
      </c>
      <c r="V3905">
        <v>0</v>
      </c>
    </row>
    <row r="3906" spans="1:22" x14ac:dyDescent="0.3">
      <c r="A3906" t="s">
        <v>3921</v>
      </c>
      <c r="B3906" s="2">
        <v>46198.698611111111</v>
      </c>
      <c r="C3906" s="2">
        <v>46199.902777777781</v>
      </c>
      <c r="D3906" t="s">
        <v>6028</v>
      </c>
      <c r="E3906" t="s">
        <v>6031</v>
      </c>
      <c r="F3906" t="s">
        <v>6035</v>
      </c>
      <c r="G3906" t="s">
        <v>6083</v>
      </c>
      <c r="H3906" t="s">
        <v>6096</v>
      </c>
      <c r="I3906">
        <v>4</v>
      </c>
      <c r="J3906">
        <v>28.9</v>
      </c>
      <c r="K3906" t="s">
        <v>6100</v>
      </c>
      <c r="L3906" t="s">
        <v>6100</v>
      </c>
      <c r="M3906" t="s">
        <v>6100</v>
      </c>
      <c r="N3906">
        <v>4</v>
      </c>
      <c r="O3906" t="s">
        <v>6101</v>
      </c>
      <c r="P3906" t="s">
        <v>6112</v>
      </c>
      <c r="Q3906">
        <v>6</v>
      </c>
      <c r="R3906">
        <v>2026</v>
      </c>
      <c r="S3906" t="s">
        <v>6100</v>
      </c>
      <c r="T3906">
        <v>0</v>
      </c>
      <c r="U3906" t="s">
        <v>6021</v>
      </c>
      <c r="V3906">
        <v>0</v>
      </c>
    </row>
    <row r="3907" spans="1:22" x14ac:dyDescent="0.3">
      <c r="A3907" t="s">
        <v>3922</v>
      </c>
      <c r="B3907" s="2">
        <v>46198.740972222222</v>
      </c>
      <c r="C3907" s="2">
        <v>46199.174305555556</v>
      </c>
      <c r="D3907" t="s">
        <v>6024</v>
      </c>
      <c r="E3907" t="s">
        <v>6030</v>
      </c>
      <c r="F3907" t="s">
        <v>6034</v>
      </c>
      <c r="G3907" t="s">
        <v>6070</v>
      </c>
      <c r="H3907" t="s">
        <v>6097</v>
      </c>
      <c r="I3907">
        <v>24</v>
      </c>
      <c r="J3907">
        <v>10.4</v>
      </c>
      <c r="K3907" t="s">
        <v>6099</v>
      </c>
      <c r="L3907" t="s">
        <v>6100</v>
      </c>
      <c r="M3907" t="s">
        <v>6100</v>
      </c>
      <c r="O3907" t="s">
        <v>6101</v>
      </c>
      <c r="P3907" t="s">
        <v>6112</v>
      </c>
      <c r="Q3907">
        <v>6</v>
      </c>
      <c r="R3907">
        <v>2026</v>
      </c>
      <c r="S3907" t="s">
        <v>6099</v>
      </c>
      <c r="T3907">
        <v>1</v>
      </c>
      <c r="U3907" t="s">
        <v>6019</v>
      </c>
      <c r="V3907">
        <v>1</v>
      </c>
    </row>
    <row r="3908" spans="1:22" x14ac:dyDescent="0.3">
      <c r="A3908" t="s">
        <v>3923</v>
      </c>
      <c r="B3908" s="2">
        <v>46198.759027777778</v>
      </c>
      <c r="C3908" s="2">
        <v>46198.867361111108</v>
      </c>
      <c r="D3908" t="s">
        <v>6024</v>
      </c>
      <c r="E3908" t="s">
        <v>6030</v>
      </c>
      <c r="F3908" t="s">
        <v>6034</v>
      </c>
      <c r="G3908" t="s">
        <v>6069</v>
      </c>
      <c r="H3908" t="s">
        <v>6098</v>
      </c>
      <c r="I3908">
        <v>24</v>
      </c>
      <c r="J3908">
        <v>2.6</v>
      </c>
      <c r="K3908" t="s">
        <v>6099</v>
      </c>
      <c r="L3908" t="s">
        <v>6100</v>
      </c>
      <c r="M3908" t="s">
        <v>6100</v>
      </c>
      <c r="N3908">
        <v>5</v>
      </c>
      <c r="O3908" t="s">
        <v>6101</v>
      </c>
      <c r="P3908" t="s">
        <v>6112</v>
      </c>
      <c r="Q3908">
        <v>6</v>
      </c>
      <c r="R3908">
        <v>2026</v>
      </c>
      <c r="S3908" t="s">
        <v>6099</v>
      </c>
      <c r="T3908">
        <v>1</v>
      </c>
      <c r="U3908" t="s">
        <v>6017</v>
      </c>
      <c r="V3908">
        <v>1</v>
      </c>
    </row>
    <row r="3909" spans="1:22" x14ac:dyDescent="0.3">
      <c r="A3909" t="s">
        <v>3924</v>
      </c>
      <c r="B3909" s="2">
        <v>46198.76458333333</v>
      </c>
      <c r="C3909" s="2">
        <v>46199.122916666667</v>
      </c>
      <c r="D3909" t="s">
        <v>6023</v>
      </c>
      <c r="E3909" t="s">
        <v>6029</v>
      </c>
      <c r="F3909" t="s">
        <v>6033</v>
      </c>
      <c r="G3909" t="s">
        <v>6079</v>
      </c>
      <c r="H3909" t="s">
        <v>6097</v>
      </c>
      <c r="I3909">
        <v>72</v>
      </c>
      <c r="J3909">
        <v>8.6</v>
      </c>
      <c r="K3909" t="s">
        <v>6099</v>
      </c>
      <c r="L3909" t="s">
        <v>6100</v>
      </c>
      <c r="M3909" t="s">
        <v>6100</v>
      </c>
      <c r="O3909" t="s">
        <v>6101</v>
      </c>
      <c r="P3909" t="s">
        <v>6112</v>
      </c>
      <c r="Q3909">
        <v>6</v>
      </c>
      <c r="R3909">
        <v>2026</v>
      </c>
      <c r="S3909" t="s">
        <v>6099</v>
      </c>
      <c r="T3909">
        <v>1</v>
      </c>
      <c r="U3909" t="s">
        <v>6020</v>
      </c>
      <c r="V3909">
        <v>1</v>
      </c>
    </row>
    <row r="3910" spans="1:22" x14ac:dyDescent="0.3">
      <c r="A3910" t="s">
        <v>3925</v>
      </c>
      <c r="B3910" s="2">
        <v>46198.802083333336</v>
      </c>
      <c r="C3910" s="2">
        <v>46201.40625</v>
      </c>
      <c r="D3910" t="s">
        <v>6026</v>
      </c>
      <c r="E3910" t="s">
        <v>6031</v>
      </c>
      <c r="F3910" t="s">
        <v>6034</v>
      </c>
      <c r="G3910" t="s">
        <v>6058</v>
      </c>
      <c r="H3910" t="s">
        <v>6098</v>
      </c>
      <c r="I3910">
        <v>24</v>
      </c>
      <c r="J3910">
        <v>62.5</v>
      </c>
      <c r="K3910" t="s">
        <v>6099</v>
      </c>
      <c r="L3910" t="s">
        <v>6100</v>
      </c>
      <c r="M3910" t="s">
        <v>6100</v>
      </c>
      <c r="N3910">
        <v>5</v>
      </c>
      <c r="O3910" t="s">
        <v>6101</v>
      </c>
      <c r="P3910" t="s">
        <v>6112</v>
      </c>
      <c r="Q3910">
        <v>6</v>
      </c>
      <c r="R3910">
        <v>2026</v>
      </c>
      <c r="S3910" t="s">
        <v>6100</v>
      </c>
      <c r="T3910">
        <v>0</v>
      </c>
      <c r="U3910" t="s">
        <v>6019</v>
      </c>
      <c r="V3910">
        <v>1</v>
      </c>
    </row>
    <row r="3911" spans="1:22" x14ac:dyDescent="0.3">
      <c r="A3911" t="s">
        <v>3926</v>
      </c>
      <c r="B3911" s="2">
        <v>46198.852083333331</v>
      </c>
      <c r="C3911" s="2">
        <v>46199.214583333334</v>
      </c>
      <c r="D3911" t="s">
        <v>6024</v>
      </c>
      <c r="E3911" t="s">
        <v>6029</v>
      </c>
      <c r="F3911" t="s">
        <v>6034</v>
      </c>
      <c r="G3911" t="s">
        <v>6036</v>
      </c>
      <c r="H3911" t="s">
        <v>6096</v>
      </c>
      <c r="I3911">
        <v>24</v>
      </c>
      <c r="J3911">
        <v>8.6999999999999993</v>
      </c>
      <c r="K3911" t="s">
        <v>6100</v>
      </c>
      <c r="L3911" t="s">
        <v>6099</v>
      </c>
      <c r="M3911" t="s">
        <v>6100</v>
      </c>
      <c r="N3911">
        <v>3</v>
      </c>
      <c r="O3911" t="s">
        <v>6101</v>
      </c>
      <c r="P3911" t="s">
        <v>6112</v>
      </c>
      <c r="Q3911">
        <v>6</v>
      </c>
      <c r="R3911">
        <v>2026</v>
      </c>
      <c r="S3911" t="s">
        <v>6099</v>
      </c>
      <c r="T3911">
        <v>1</v>
      </c>
      <c r="U3911" t="s">
        <v>6019</v>
      </c>
      <c r="V3911">
        <v>0</v>
      </c>
    </row>
    <row r="3912" spans="1:22" x14ac:dyDescent="0.3">
      <c r="A3912" t="s">
        <v>3927</v>
      </c>
      <c r="B3912" s="2">
        <v>46199.12777777778</v>
      </c>
      <c r="C3912" s="2">
        <v>46200.106944444444</v>
      </c>
      <c r="D3912" t="s">
        <v>6025</v>
      </c>
      <c r="E3912" t="s">
        <v>6031</v>
      </c>
      <c r="F3912" t="s">
        <v>6034</v>
      </c>
      <c r="G3912" t="s">
        <v>6041</v>
      </c>
      <c r="H3912" t="s">
        <v>6096</v>
      </c>
      <c r="I3912">
        <v>24</v>
      </c>
      <c r="J3912">
        <v>23.5</v>
      </c>
      <c r="K3912" t="s">
        <v>6099</v>
      </c>
      <c r="L3912" t="s">
        <v>6100</v>
      </c>
      <c r="M3912" t="s">
        <v>6100</v>
      </c>
      <c r="N3912">
        <v>3</v>
      </c>
      <c r="O3912" t="s">
        <v>6101</v>
      </c>
      <c r="P3912" t="s">
        <v>6112</v>
      </c>
      <c r="Q3912">
        <v>6</v>
      </c>
      <c r="R3912">
        <v>2026</v>
      </c>
      <c r="S3912" t="s">
        <v>6099</v>
      </c>
      <c r="T3912">
        <v>1</v>
      </c>
      <c r="U3912" t="s">
        <v>6017</v>
      </c>
      <c r="V3912">
        <v>1</v>
      </c>
    </row>
    <row r="3913" spans="1:22" x14ac:dyDescent="0.3">
      <c r="A3913" t="s">
        <v>3928</v>
      </c>
      <c r="B3913" s="2">
        <v>46199.148611111108</v>
      </c>
      <c r="C3913" s="2">
        <v>46201.31527777778</v>
      </c>
      <c r="D3913" t="s">
        <v>6025</v>
      </c>
      <c r="E3913" t="s">
        <v>6030</v>
      </c>
      <c r="F3913" t="s">
        <v>6034</v>
      </c>
      <c r="G3913" t="s">
        <v>6047</v>
      </c>
      <c r="H3913" t="s">
        <v>6098</v>
      </c>
      <c r="I3913">
        <v>24</v>
      </c>
      <c r="J3913">
        <v>52</v>
      </c>
      <c r="K3913" t="s">
        <v>6099</v>
      </c>
      <c r="L3913" t="s">
        <v>6100</v>
      </c>
      <c r="M3913" t="s">
        <v>6099</v>
      </c>
      <c r="N3913">
        <v>4</v>
      </c>
      <c r="O3913" t="s">
        <v>6101</v>
      </c>
      <c r="P3913" t="s">
        <v>6112</v>
      </c>
      <c r="Q3913">
        <v>6</v>
      </c>
      <c r="R3913">
        <v>2026</v>
      </c>
      <c r="S3913" t="s">
        <v>6100</v>
      </c>
      <c r="T3913">
        <v>0</v>
      </c>
      <c r="U3913" t="s">
        <v>6019</v>
      </c>
      <c r="V3913">
        <v>1</v>
      </c>
    </row>
    <row r="3914" spans="1:22" x14ac:dyDescent="0.3">
      <c r="A3914" t="s">
        <v>3929</v>
      </c>
      <c r="B3914" s="2">
        <v>46199.231249999997</v>
      </c>
      <c r="C3914" s="2">
        <v>46203.664583333331</v>
      </c>
      <c r="D3914" t="s">
        <v>6026</v>
      </c>
      <c r="E3914" t="s">
        <v>6029</v>
      </c>
      <c r="F3914" t="s">
        <v>6033</v>
      </c>
      <c r="G3914" t="s">
        <v>6091</v>
      </c>
      <c r="H3914" t="s">
        <v>6097</v>
      </c>
      <c r="I3914">
        <v>72</v>
      </c>
      <c r="J3914">
        <v>106.4</v>
      </c>
      <c r="K3914" t="s">
        <v>6099</v>
      </c>
      <c r="L3914" t="s">
        <v>6100</v>
      </c>
      <c r="M3914" t="s">
        <v>6100</v>
      </c>
      <c r="N3914">
        <v>4</v>
      </c>
      <c r="O3914" t="s">
        <v>6101</v>
      </c>
      <c r="P3914" t="s">
        <v>6112</v>
      </c>
      <c r="Q3914">
        <v>6</v>
      </c>
      <c r="R3914">
        <v>2026</v>
      </c>
      <c r="S3914" t="s">
        <v>6100</v>
      </c>
      <c r="T3914">
        <v>0</v>
      </c>
      <c r="U3914" t="s">
        <v>6021</v>
      </c>
      <c r="V3914">
        <v>1</v>
      </c>
    </row>
    <row r="3915" spans="1:22" x14ac:dyDescent="0.3">
      <c r="A3915" t="s">
        <v>3930</v>
      </c>
      <c r="B3915" s="2">
        <v>46199.393750000003</v>
      </c>
      <c r="C3915" s="2">
        <v>46201.056250000001</v>
      </c>
      <c r="D3915" t="s">
        <v>6022</v>
      </c>
      <c r="E3915" t="s">
        <v>6029</v>
      </c>
      <c r="F3915" t="s">
        <v>6034</v>
      </c>
      <c r="G3915" t="s">
        <v>6040</v>
      </c>
      <c r="H3915" t="s">
        <v>6097</v>
      </c>
      <c r="I3915">
        <v>24</v>
      </c>
      <c r="J3915">
        <v>39.9</v>
      </c>
      <c r="K3915" t="s">
        <v>6099</v>
      </c>
      <c r="L3915" t="s">
        <v>6100</v>
      </c>
      <c r="M3915" t="s">
        <v>6100</v>
      </c>
      <c r="N3915">
        <v>4</v>
      </c>
      <c r="O3915" t="s">
        <v>6101</v>
      </c>
      <c r="P3915" t="s">
        <v>6112</v>
      </c>
      <c r="Q3915">
        <v>6</v>
      </c>
      <c r="R3915">
        <v>2026</v>
      </c>
      <c r="S3915" t="s">
        <v>6100</v>
      </c>
      <c r="T3915">
        <v>0</v>
      </c>
      <c r="U3915" t="s">
        <v>6019</v>
      </c>
      <c r="V3915">
        <v>1</v>
      </c>
    </row>
    <row r="3916" spans="1:22" x14ac:dyDescent="0.3">
      <c r="A3916" t="s">
        <v>3931</v>
      </c>
      <c r="B3916" s="2">
        <v>46199.59097222222</v>
      </c>
      <c r="C3916" s="2">
        <v>46204.790972222225</v>
      </c>
      <c r="D3916" t="s">
        <v>6026</v>
      </c>
      <c r="E3916" t="s">
        <v>6031</v>
      </c>
      <c r="F3916" t="s">
        <v>6034</v>
      </c>
      <c r="G3916" t="s">
        <v>6092</v>
      </c>
      <c r="H3916" t="s">
        <v>6097</v>
      </c>
      <c r="I3916">
        <v>24</v>
      </c>
      <c r="J3916">
        <v>124.8</v>
      </c>
      <c r="K3916" t="s">
        <v>6099</v>
      </c>
      <c r="L3916" t="s">
        <v>6100</v>
      </c>
      <c r="M3916" t="s">
        <v>6100</v>
      </c>
      <c r="O3916" t="s">
        <v>6101</v>
      </c>
      <c r="P3916" t="s">
        <v>6112</v>
      </c>
      <c r="Q3916">
        <v>6</v>
      </c>
      <c r="R3916">
        <v>2026</v>
      </c>
      <c r="S3916" t="s">
        <v>6100</v>
      </c>
      <c r="T3916">
        <v>0</v>
      </c>
      <c r="U3916" t="s">
        <v>6017</v>
      </c>
      <c r="V3916">
        <v>1</v>
      </c>
    </row>
    <row r="3917" spans="1:22" x14ac:dyDescent="0.3">
      <c r="A3917" t="s">
        <v>3932</v>
      </c>
      <c r="B3917" s="2">
        <v>46199.617361111108</v>
      </c>
      <c r="C3917" s="2">
        <v>46199.975694444445</v>
      </c>
      <c r="D3917" t="s">
        <v>6026</v>
      </c>
      <c r="E3917" t="s">
        <v>6030</v>
      </c>
      <c r="F3917" t="s">
        <v>6034</v>
      </c>
      <c r="G3917" t="s">
        <v>6048</v>
      </c>
      <c r="H3917" t="s">
        <v>6096</v>
      </c>
      <c r="I3917">
        <v>24</v>
      </c>
      <c r="J3917">
        <v>8.6</v>
      </c>
      <c r="K3917" t="s">
        <v>6099</v>
      </c>
      <c r="L3917" t="s">
        <v>6100</v>
      </c>
      <c r="M3917" t="s">
        <v>6100</v>
      </c>
      <c r="O3917" t="s">
        <v>6101</v>
      </c>
      <c r="P3917" t="s">
        <v>6112</v>
      </c>
      <c r="Q3917">
        <v>6</v>
      </c>
      <c r="R3917">
        <v>2026</v>
      </c>
      <c r="S3917" t="s">
        <v>6099</v>
      </c>
      <c r="T3917">
        <v>1</v>
      </c>
      <c r="U3917" t="s">
        <v>6020</v>
      </c>
      <c r="V3917">
        <v>1</v>
      </c>
    </row>
    <row r="3918" spans="1:22" x14ac:dyDescent="0.3">
      <c r="A3918" t="s">
        <v>3933</v>
      </c>
      <c r="B3918" s="2">
        <v>46199.669444444444</v>
      </c>
      <c r="C3918" s="2">
        <v>46199.836111111108</v>
      </c>
      <c r="D3918" t="s">
        <v>6023</v>
      </c>
      <c r="E3918" t="s">
        <v>6029</v>
      </c>
      <c r="F3918" t="s">
        <v>6033</v>
      </c>
      <c r="G3918" t="s">
        <v>6068</v>
      </c>
      <c r="H3918" t="s">
        <v>6098</v>
      </c>
      <c r="I3918">
        <v>72</v>
      </c>
      <c r="J3918">
        <v>4</v>
      </c>
      <c r="K3918" t="s">
        <v>6100</v>
      </c>
      <c r="L3918" t="s">
        <v>6100</v>
      </c>
      <c r="M3918" t="s">
        <v>6099</v>
      </c>
      <c r="O3918" t="s">
        <v>6101</v>
      </c>
      <c r="P3918" t="s">
        <v>6112</v>
      </c>
      <c r="Q3918">
        <v>6</v>
      </c>
      <c r="R3918">
        <v>2026</v>
      </c>
      <c r="S3918" t="s">
        <v>6099</v>
      </c>
      <c r="T3918">
        <v>1</v>
      </c>
      <c r="U3918" t="s">
        <v>6018</v>
      </c>
      <c r="V3918">
        <v>0</v>
      </c>
    </row>
    <row r="3919" spans="1:22" x14ac:dyDescent="0.3">
      <c r="A3919" t="s">
        <v>3934</v>
      </c>
      <c r="B3919" s="2">
        <v>46199.675000000003</v>
      </c>
      <c r="C3919" s="2">
        <v>46199.974999999999</v>
      </c>
      <c r="D3919" t="s">
        <v>6025</v>
      </c>
      <c r="E3919" t="s">
        <v>6030</v>
      </c>
      <c r="F3919" t="s">
        <v>6034</v>
      </c>
      <c r="G3919" t="s">
        <v>6085</v>
      </c>
      <c r="H3919" t="s">
        <v>6097</v>
      </c>
      <c r="I3919">
        <v>24</v>
      </c>
      <c r="J3919">
        <v>7.2</v>
      </c>
      <c r="K3919" t="s">
        <v>6100</v>
      </c>
      <c r="L3919" t="s">
        <v>6099</v>
      </c>
      <c r="M3919" t="s">
        <v>6100</v>
      </c>
      <c r="N3919">
        <v>2</v>
      </c>
      <c r="O3919" t="s">
        <v>6101</v>
      </c>
      <c r="P3919" t="s">
        <v>6112</v>
      </c>
      <c r="Q3919">
        <v>6</v>
      </c>
      <c r="R3919">
        <v>2026</v>
      </c>
      <c r="S3919" t="s">
        <v>6099</v>
      </c>
      <c r="T3919">
        <v>1</v>
      </c>
      <c r="U3919" t="s">
        <v>6021</v>
      </c>
      <c r="V3919">
        <v>0</v>
      </c>
    </row>
    <row r="3920" spans="1:22" x14ac:dyDescent="0.3">
      <c r="A3920" t="s">
        <v>3935</v>
      </c>
      <c r="B3920" s="2">
        <v>46199.69027777778</v>
      </c>
      <c r="C3920" s="2">
        <v>46200.12777777778</v>
      </c>
      <c r="D3920" t="s">
        <v>6027</v>
      </c>
      <c r="E3920" t="s">
        <v>6031</v>
      </c>
      <c r="F3920" t="s">
        <v>6034</v>
      </c>
      <c r="G3920" t="s">
        <v>6049</v>
      </c>
      <c r="H3920" t="s">
        <v>6097</v>
      </c>
      <c r="I3920">
        <v>24</v>
      </c>
      <c r="J3920">
        <v>10.5</v>
      </c>
      <c r="K3920" t="s">
        <v>6099</v>
      </c>
      <c r="L3920" t="s">
        <v>6100</v>
      </c>
      <c r="M3920" t="s">
        <v>6100</v>
      </c>
      <c r="N3920">
        <v>5</v>
      </c>
      <c r="O3920" t="s">
        <v>6101</v>
      </c>
      <c r="P3920" t="s">
        <v>6112</v>
      </c>
      <c r="Q3920">
        <v>6</v>
      </c>
      <c r="R3920">
        <v>2026</v>
      </c>
      <c r="S3920" t="s">
        <v>6099</v>
      </c>
      <c r="T3920">
        <v>1</v>
      </c>
      <c r="U3920" t="s">
        <v>6020</v>
      </c>
      <c r="V3920">
        <v>1</v>
      </c>
    </row>
    <row r="3921" spans="1:22" x14ac:dyDescent="0.3">
      <c r="A3921" t="s">
        <v>3936</v>
      </c>
      <c r="B3921" s="2">
        <v>46199.714583333334</v>
      </c>
      <c r="C3921" s="2">
        <v>46203.427083333336</v>
      </c>
      <c r="D3921" t="s">
        <v>6027</v>
      </c>
      <c r="E3921" t="s">
        <v>6031</v>
      </c>
      <c r="F3921" t="s">
        <v>6033</v>
      </c>
      <c r="G3921" t="s">
        <v>6065</v>
      </c>
      <c r="H3921" t="s">
        <v>6097</v>
      </c>
      <c r="I3921">
        <v>72</v>
      </c>
      <c r="J3921">
        <v>89.1</v>
      </c>
      <c r="K3921" t="s">
        <v>6099</v>
      </c>
      <c r="L3921" t="s">
        <v>6100</v>
      </c>
      <c r="M3921" t="s">
        <v>6100</v>
      </c>
      <c r="N3921">
        <v>5</v>
      </c>
      <c r="O3921" t="s">
        <v>6101</v>
      </c>
      <c r="P3921" t="s">
        <v>6112</v>
      </c>
      <c r="Q3921">
        <v>6</v>
      </c>
      <c r="R3921">
        <v>2026</v>
      </c>
      <c r="S3921" t="s">
        <v>6100</v>
      </c>
      <c r="T3921">
        <v>0</v>
      </c>
      <c r="U3921" t="s">
        <v>6018</v>
      </c>
      <c r="V3921">
        <v>1</v>
      </c>
    </row>
    <row r="3922" spans="1:22" x14ac:dyDescent="0.3">
      <c r="A3922" t="s">
        <v>3937</v>
      </c>
      <c r="B3922" s="2">
        <v>46199.949305555558</v>
      </c>
      <c r="C3922" s="2">
        <v>46200.132638888892</v>
      </c>
      <c r="D3922" t="s">
        <v>6023</v>
      </c>
      <c r="E3922" t="s">
        <v>6029</v>
      </c>
      <c r="F3922" t="s">
        <v>6034</v>
      </c>
      <c r="G3922" t="s">
        <v>6047</v>
      </c>
      <c r="H3922" t="s">
        <v>6098</v>
      </c>
      <c r="I3922">
        <v>24</v>
      </c>
      <c r="J3922">
        <v>4.4000000000000004</v>
      </c>
      <c r="K3922" t="s">
        <v>6099</v>
      </c>
      <c r="L3922" t="s">
        <v>6100</v>
      </c>
      <c r="M3922" t="s">
        <v>6100</v>
      </c>
      <c r="N3922">
        <v>5</v>
      </c>
      <c r="O3922" t="s">
        <v>6101</v>
      </c>
      <c r="P3922" t="s">
        <v>6112</v>
      </c>
      <c r="Q3922">
        <v>6</v>
      </c>
      <c r="R3922">
        <v>2026</v>
      </c>
      <c r="S3922" t="s">
        <v>6099</v>
      </c>
      <c r="T3922">
        <v>1</v>
      </c>
      <c r="U3922" t="s">
        <v>6021</v>
      </c>
      <c r="V3922">
        <v>1</v>
      </c>
    </row>
    <row r="3923" spans="1:22" x14ac:dyDescent="0.3">
      <c r="A3923" t="s">
        <v>3938</v>
      </c>
      <c r="B3923" s="2">
        <v>46199.951388888891</v>
      </c>
      <c r="C3923" s="2">
        <v>46209.013888888891</v>
      </c>
      <c r="D3923" t="s">
        <v>6026</v>
      </c>
      <c r="E3923" t="s">
        <v>6031</v>
      </c>
      <c r="F3923" t="s">
        <v>6034</v>
      </c>
      <c r="G3923" t="s">
        <v>6049</v>
      </c>
      <c r="H3923" t="s">
        <v>6097</v>
      </c>
      <c r="I3923">
        <v>24</v>
      </c>
      <c r="J3923">
        <v>217.5</v>
      </c>
      <c r="K3923" t="s">
        <v>6099</v>
      </c>
      <c r="L3923" t="s">
        <v>6100</v>
      </c>
      <c r="M3923" t="s">
        <v>6100</v>
      </c>
      <c r="O3923" t="s">
        <v>6101</v>
      </c>
      <c r="P3923" t="s">
        <v>6112</v>
      </c>
      <c r="Q3923">
        <v>6</v>
      </c>
      <c r="R3923">
        <v>2026</v>
      </c>
      <c r="S3923" t="s">
        <v>6100</v>
      </c>
      <c r="T3923">
        <v>0</v>
      </c>
      <c r="U3923" t="s">
        <v>6018</v>
      </c>
      <c r="V3923">
        <v>1</v>
      </c>
    </row>
    <row r="3924" spans="1:22" x14ac:dyDescent="0.3">
      <c r="A3924" t="s">
        <v>3939</v>
      </c>
      <c r="B3924" s="2">
        <v>46200.188888888886</v>
      </c>
      <c r="C3924" s="2">
        <v>46204.047222222223</v>
      </c>
      <c r="D3924" t="s">
        <v>6026</v>
      </c>
      <c r="E3924" t="s">
        <v>6031</v>
      </c>
      <c r="F3924" t="s">
        <v>6033</v>
      </c>
      <c r="G3924" t="s">
        <v>6065</v>
      </c>
      <c r="H3924" t="s">
        <v>6097</v>
      </c>
      <c r="I3924">
        <v>72</v>
      </c>
      <c r="J3924">
        <v>92.6</v>
      </c>
      <c r="K3924" t="s">
        <v>6099</v>
      </c>
      <c r="L3924" t="s">
        <v>6100</v>
      </c>
      <c r="M3924" t="s">
        <v>6100</v>
      </c>
      <c r="O3924" t="s">
        <v>6101</v>
      </c>
      <c r="P3924" t="s">
        <v>6112</v>
      </c>
      <c r="Q3924">
        <v>6</v>
      </c>
      <c r="R3924">
        <v>2026</v>
      </c>
      <c r="S3924" t="s">
        <v>6100</v>
      </c>
      <c r="T3924">
        <v>0</v>
      </c>
      <c r="U3924" t="s">
        <v>6021</v>
      </c>
      <c r="V3924">
        <v>1</v>
      </c>
    </row>
    <row r="3925" spans="1:22" x14ac:dyDescent="0.3">
      <c r="A3925" t="s">
        <v>3940</v>
      </c>
      <c r="B3925" s="2">
        <v>46200.231249999997</v>
      </c>
      <c r="C3925" s="2">
        <v>46200.814583333333</v>
      </c>
      <c r="D3925" t="s">
        <v>6028</v>
      </c>
      <c r="E3925" t="s">
        <v>6029</v>
      </c>
      <c r="F3925" t="s">
        <v>6034</v>
      </c>
      <c r="G3925" t="s">
        <v>6091</v>
      </c>
      <c r="H3925" t="s">
        <v>6097</v>
      </c>
      <c r="I3925">
        <v>24</v>
      </c>
      <c r="J3925">
        <v>14</v>
      </c>
      <c r="K3925" t="s">
        <v>6099</v>
      </c>
      <c r="L3925" t="s">
        <v>6100</v>
      </c>
      <c r="M3925" t="s">
        <v>6100</v>
      </c>
      <c r="N3925">
        <v>5</v>
      </c>
      <c r="O3925" t="s">
        <v>6101</v>
      </c>
      <c r="P3925" t="s">
        <v>6112</v>
      </c>
      <c r="Q3925">
        <v>6</v>
      </c>
      <c r="R3925">
        <v>2026</v>
      </c>
      <c r="S3925" t="s">
        <v>6099</v>
      </c>
      <c r="T3925">
        <v>1</v>
      </c>
      <c r="U3925" t="s">
        <v>6017</v>
      </c>
      <c r="V3925">
        <v>1</v>
      </c>
    </row>
    <row r="3926" spans="1:22" x14ac:dyDescent="0.3">
      <c r="A3926" t="s">
        <v>3941</v>
      </c>
      <c r="B3926" s="2">
        <v>46200.302083333336</v>
      </c>
      <c r="C3926" s="2">
        <v>46200.668749999997</v>
      </c>
      <c r="D3926" t="s">
        <v>6028</v>
      </c>
      <c r="E3926" t="s">
        <v>6029</v>
      </c>
      <c r="F3926" t="s">
        <v>6035</v>
      </c>
      <c r="G3926" t="s">
        <v>6037</v>
      </c>
      <c r="H3926" t="s">
        <v>6096</v>
      </c>
      <c r="I3926">
        <v>4</v>
      </c>
      <c r="J3926">
        <v>8.8000000000000007</v>
      </c>
      <c r="K3926" t="s">
        <v>6100</v>
      </c>
      <c r="L3926" t="s">
        <v>6100</v>
      </c>
      <c r="M3926" t="s">
        <v>6100</v>
      </c>
      <c r="N3926">
        <v>3</v>
      </c>
      <c r="O3926" t="s">
        <v>6101</v>
      </c>
      <c r="P3926" t="s">
        <v>6112</v>
      </c>
      <c r="Q3926">
        <v>6</v>
      </c>
      <c r="R3926">
        <v>2026</v>
      </c>
      <c r="S3926" t="s">
        <v>6100</v>
      </c>
      <c r="T3926">
        <v>0</v>
      </c>
      <c r="U3926" t="s">
        <v>6017</v>
      </c>
      <c r="V3926">
        <v>0</v>
      </c>
    </row>
    <row r="3927" spans="1:22" x14ac:dyDescent="0.3">
      <c r="A3927" t="s">
        <v>3942</v>
      </c>
      <c r="B3927" s="2">
        <v>46200.31527777778</v>
      </c>
      <c r="C3927" s="2">
        <v>46201.331944444442</v>
      </c>
      <c r="D3927" t="s">
        <v>6028</v>
      </c>
      <c r="E3927" t="s">
        <v>6031</v>
      </c>
      <c r="F3927" t="s">
        <v>6034</v>
      </c>
      <c r="G3927" t="s">
        <v>6095</v>
      </c>
      <c r="H3927" t="s">
        <v>6098</v>
      </c>
      <c r="I3927">
        <v>24</v>
      </c>
      <c r="J3927">
        <v>24.4</v>
      </c>
      <c r="K3927" t="s">
        <v>6100</v>
      </c>
      <c r="L3927" t="s">
        <v>6100</v>
      </c>
      <c r="M3927" t="s">
        <v>6100</v>
      </c>
      <c r="N3927">
        <v>3</v>
      </c>
      <c r="O3927" t="s">
        <v>6101</v>
      </c>
      <c r="P3927" t="s">
        <v>6112</v>
      </c>
      <c r="Q3927">
        <v>6</v>
      </c>
      <c r="R3927">
        <v>2026</v>
      </c>
      <c r="S3927" t="s">
        <v>6100</v>
      </c>
      <c r="T3927">
        <v>0</v>
      </c>
      <c r="U3927" t="s">
        <v>6020</v>
      </c>
      <c r="V3927">
        <v>0</v>
      </c>
    </row>
    <row r="3928" spans="1:22" x14ac:dyDescent="0.3">
      <c r="A3928" t="s">
        <v>3943</v>
      </c>
      <c r="B3928" s="2">
        <v>46200.37222222222</v>
      </c>
      <c r="C3928" s="2">
        <v>46201.963888888888</v>
      </c>
      <c r="D3928" t="s">
        <v>6024</v>
      </c>
      <c r="E3928" t="s">
        <v>6032</v>
      </c>
      <c r="F3928" t="s">
        <v>6035</v>
      </c>
      <c r="G3928" t="s">
        <v>6055</v>
      </c>
      <c r="H3928" t="s">
        <v>6096</v>
      </c>
      <c r="I3928">
        <v>4</v>
      </c>
      <c r="J3928">
        <v>38.200000000000003</v>
      </c>
      <c r="K3928" t="s">
        <v>6100</v>
      </c>
      <c r="L3928" t="s">
        <v>6099</v>
      </c>
      <c r="M3928" t="s">
        <v>6099</v>
      </c>
      <c r="O3928" t="s">
        <v>6101</v>
      </c>
      <c r="P3928" t="s">
        <v>6112</v>
      </c>
      <c r="Q3928">
        <v>6</v>
      </c>
      <c r="R3928">
        <v>2026</v>
      </c>
      <c r="S3928" t="s">
        <v>6100</v>
      </c>
      <c r="T3928">
        <v>0</v>
      </c>
      <c r="U3928" t="s">
        <v>6021</v>
      </c>
      <c r="V3928">
        <v>0</v>
      </c>
    </row>
    <row r="3929" spans="1:22" x14ac:dyDescent="0.3">
      <c r="A3929" t="s">
        <v>3944</v>
      </c>
      <c r="B3929" s="2">
        <v>46200.431250000001</v>
      </c>
      <c r="C3929" s="2">
        <v>46200.956250000003</v>
      </c>
      <c r="D3929" t="s">
        <v>6023</v>
      </c>
      <c r="E3929" t="s">
        <v>6030</v>
      </c>
      <c r="F3929" t="s">
        <v>6034</v>
      </c>
      <c r="G3929" t="s">
        <v>6093</v>
      </c>
      <c r="H3929" t="s">
        <v>6097</v>
      </c>
      <c r="I3929">
        <v>24</v>
      </c>
      <c r="J3929">
        <v>12.6</v>
      </c>
      <c r="K3929" t="s">
        <v>6099</v>
      </c>
      <c r="L3929" t="s">
        <v>6100</v>
      </c>
      <c r="M3929" t="s">
        <v>6100</v>
      </c>
      <c r="O3929" t="s">
        <v>6101</v>
      </c>
      <c r="P3929" t="s">
        <v>6112</v>
      </c>
      <c r="Q3929">
        <v>6</v>
      </c>
      <c r="R3929">
        <v>2026</v>
      </c>
      <c r="S3929" t="s">
        <v>6099</v>
      </c>
      <c r="T3929">
        <v>1</v>
      </c>
      <c r="U3929" t="s">
        <v>6020</v>
      </c>
      <c r="V3929">
        <v>1</v>
      </c>
    </row>
    <row r="3930" spans="1:22" x14ac:dyDescent="0.3">
      <c r="A3930" t="s">
        <v>3945</v>
      </c>
      <c r="B3930" s="2">
        <v>46200.45</v>
      </c>
      <c r="C3930" s="2">
        <v>46200.737500000003</v>
      </c>
      <c r="D3930" t="s">
        <v>6027</v>
      </c>
      <c r="E3930" t="s">
        <v>6029</v>
      </c>
      <c r="F3930" t="s">
        <v>6034</v>
      </c>
      <c r="G3930" t="s">
        <v>6076</v>
      </c>
      <c r="H3930" t="s">
        <v>6097</v>
      </c>
      <c r="I3930">
        <v>24</v>
      </c>
      <c r="J3930">
        <v>6.9</v>
      </c>
      <c r="K3930" t="s">
        <v>6099</v>
      </c>
      <c r="L3930" t="s">
        <v>6100</v>
      </c>
      <c r="M3930" t="s">
        <v>6100</v>
      </c>
      <c r="N3930">
        <v>5</v>
      </c>
      <c r="O3930" t="s">
        <v>6101</v>
      </c>
      <c r="P3930" t="s">
        <v>6112</v>
      </c>
      <c r="Q3930">
        <v>6</v>
      </c>
      <c r="R3930">
        <v>2026</v>
      </c>
      <c r="S3930" t="s">
        <v>6099</v>
      </c>
      <c r="T3930">
        <v>1</v>
      </c>
      <c r="U3930" t="s">
        <v>6018</v>
      </c>
      <c r="V3930">
        <v>1</v>
      </c>
    </row>
    <row r="3931" spans="1:22" x14ac:dyDescent="0.3">
      <c r="A3931" t="s">
        <v>3946</v>
      </c>
      <c r="B3931" s="2">
        <v>46200.456250000003</v>
      </c>
      <c r="C3931" s="2">
        <v>46200.585416666669</v>
      </c>
      <c r="D3931" t="s">
        <v>6022</v>
      </c>
      <c r="E3931" t="s">
        <v>6030</v>
      </c>
      <c r="F3931" t="s">
        <v>6035</v>
      </c>
      <c r="G3931" t="s">
        <v>6069</v>
      </c>
      <c r="H3931" t="s">
        <v>6098</v>
      </c>
      <c r="I3931">
        <v>4</v>
      </c>
      <c r="J3931">
        <v>3.1</v>
      </c>
      <c r="K3931" t="s">
        <v>6100</v>
      </c>
      <c r="L3931" t="s">
        <v>6100</v>
      </c>
      <c r="M3931" t="s">
        <v>6099</v>
      </c>
      <c r="N3931">
        <v>5</v>
      </c>
      <c r="O3931" t="s">
        <v>6101</v>
      </c>
      <c r="P3931" t="s">
        <v>6112</v>
      </c>
      <c r="Q3931">
        <v>6</v>
      </c>
      <c r="R3931">
        <v>2026</v>
      </c>
      <c r="S3931" t="s">
        <v>6099</v>
      </c>
      <c r="T3931">
        <v>1</v>
      </c>
      <c r="U3931" t="s">
        <v>6021</v>
      </c>
      <c r="V3931">
        <v>0</v>
      </c>
    </row>
    <row r="3932" spans="1:22" x14ac:dyDescent="0.3">
      <c r="A3932" t="s">
        <v>3947</v>
      </c>
      <c r="B3932" s="2">
        <v>46200.484722222223</v>
      </c>
      <c r="C3932" s="2">
        <v>46203.213888888888</v>
      </c>
      <c r="D3932" t="s">
        <v>6026</v>
      </c>
      <c r="E3932" t="s">
        <v>6031</v>
      </c>
      <c r="F3932" t="s">
        <v>6034</v>
      </c>
      <c r="G3932" t="s">
        <v>6046</v>
      </c>
      <c r="H3932" t="s">
        <v>6098</v>
      </c>
      <c r="I3932">
        <v>24</v>
      </c>
      <c r="J3932">
        <v>65.5</v>
      </c>
      <c r="K3932" t="s">
        <v>6100</v>
      </c>
      <c r="L3932" t="s">
        <v>6100</v>
      </c>
      <c r="M3932" t="s">
        <v>6100</v>
      </c>
      <c r="N3932">
        <v>4</v>
      </c>
      <c r="O3932" t="s">
        <v>6101</v>
      </c>
      <c r="P3932" t="s">
        <v>6112</v>
      </c>
      <c r="Q3932">
        <v>6</v>
      </c>
      <c r="R3932">
        <v>2026</v>
      </c>
      <c r="S3932" t="s">
        <v>6100</v>
      </c>
      <c r="T3932">
        <v>0</v>
      </c>
      <c r="U3932" t="s">
        <v>6018</v>
      </c>
      <c r="V3932">
        <v>0</v>
      </c>
    </row>
    <row r="3933" spans="1:22" x14ac:dyDescent="0.3">
      <c r="A3933" t="s">
        <v>3948</v>
      </c>
      <c r="B3933" s="2">
        <v>46200.533333333333</v>
      </c>
      <c r="C3933" s="2">
        <v>46201.383333333331</v>
      </c>
      <c r="D3933" t="s">
        <v>6022</v>
      </c>
      <c r="E3933" t="s">
        <v>6029</v>
      </c>
      <c r="F3933" t="s">
        <v>6034</v>
      </c>
      <c r="G3933" t="s">
        <v>6062</v>
      </c>
      <c r="H3933" t="s">
        <v>6096</v>
      </c>
      <c r="I3933">
        <v>24</v>
      </c>
      <c r="J3933">
        <v>20.399999999999999</v>
      </c>
      <c r="K3933" t="s">
        <v>6100</v>
      </c>
      <c r="L3933" t="s">
        <v>6100</v>
      </c>
      <c r="M3933" t="s">
        <v>6100</v>
      </c>
      <c r="N3933">
        <v>4</v>
      </c>
      <c r="O3933" t="s">
        <v>6101</v>
      </c>
      <c r="P3933" t="s">
        <v>6112</v>
      </c>
      <c r="Q3933">
        <v>6</v>
      </c>
      <c r="R3933">
        <v>2026</v>
      </c>
      <c r="S3933" t="s">
        <v>6099</v>
      </c>
      <c r="T3933">
        <v>1</v>
      </c>
      <c r="U3933" t="s">
        <v>6021</v>
      </c>
      <c r="V3933">
        <v>0</v>
      </c>
    </row>
    <row r="3934" spans="1:22" x14ac:dyDescent="0.3">
      <c r="A3934" t="s">
        <v>3949</v>
      </c>
      <c r="B3934" s="2">
        <v>46200.549305555556</v>
      </c>
      <c r="C3934" s="2">
        <v>46201.020138888889</v>
      </c>
      <c r="D3934" t="s">
        <v>6028</v>
      </c>
      <c r="E3934" t="s">
        <v>6031</v>
      </c>
      <c r="F3934" t="s">
        <v>6035</v>
      </c>
      <c r="G3934" t="s">
        <v>6050</v>
      </c>
      <c r="H3934" t="s">
        <v>6098</v>
      </c>
      <c r="I3934">
        <v>4</v>
      </c>
      <c r="J3934">
        <v>11.3</v>
      </c>
      <c r="K3934" t="s">
        <v>6100</v>
      </c>
      <c r="L3934" t="s">
        <v>6099</v>
      </c>
      <c r="M3934" t="s">
        <v>6100</v>
      </c>
      <c r="N3934">
        <v>2</v>
      </c>
      <c r="O3934" t="s">
        <v>6101</v>
      </c>
      <c r="P3934" t="s">
        <v>6112</v>
      </c>
      <c r="Q3934">
        <v>6</v>
      </c>
      <c r="R3934">
        <v>2026</v>
      </c>
      <c r="S3934" t="s">
        <v>6100</v>
      </c>
      <c r="T3934">
        <v>0</v>
      </c>
      <c r="U3934" t="s">
        <v>6018</v>
      </c>
      <c r="V3934">
        <v>0</v>
      </c>
    </row>
    <row r="3935" spans="1:22" x14ac:dyDescent="0.3">
      <c r="A3935" t="s">
        <v>3950</v>
      </c>
      <c r="B3935" s="2">
        <v>46200.557638888888</v>
      </c>
      <c r="C3935" s="2">
        <v>46201.070138888892</v>
      </c>
      <c r="D3935" t="s">
        <v>6022</v>
      </c>
      <c r="E3935" t="s">
        <v>6029</v>
      </c>
      <c r="F3935" t="s">
        <v>6033</v>
      </c>
      <c r="G3935" t="s">
        <v>6045</v>
      </c>
      <c r="H3935" t="s">
        <v>6096</v>
      </c>
      <c r="I3935">
        <v>72</v>
      </c>
      <c r="J3935">
        <v>12.3</v>
      </c>
      <c r="K3935" t="s">
        <v>6099</v>
      </c>
      <c r="L3935" t="s">
        <v>6100</v>
      </c>
      <c r="M3935" t="s">
        <v>6100</v>
      </c>
      <c r="N3935">
        <v>3</v>
      </c>
      <c r="O3935" t="s">
        <v>6101</v>
      </c>
      <c r="P3935" t="s">
        <v>6112</v>
      </c>
      <c r="Q3935">
        <v>6</v>
      </c>
      <c r="R3935">
        <v>2026</v>
      </c>
      <c r="S3935" t="s">
        <v>6099</v>
      </c>
      <c r="T3935">
        <v>1</v>
      </c>
      <c r="U3935" t="s">
        <v>6019</v>
      </c>
      <c r="V3935">
        <v>1</v>
      </c>
    </row>
    <row r="3936" spans="1:22" x14ac:dyDescent="0.3">
      <c r="A3936" t="s">
        <v>3951</v>
      </c>
      <c r="B3936" s="2">
        <v>46200.572222222225</v>
      </c>
      <c r="C3936" s="2">
        <v>46200.893055555556</v>
      </c>
      <c r="D3936" t="s">
        <v>6023</v>
      </c>
      <c r="E3936" t="s">
        <v>6029</v>
      </c>
      <c r="F3936" t="s">
        <v>6033</v>
      </c>
      <c r="G3936" t="s">
        <v>6070</v>
      </c>
      <c r="H3936" t="s">
        <v>6097</v>
      </c>
      <c r="I3936">
        <v>72</v>
      </c>
      <c r="J3936">
        <v>7.7</v>
      </c>
      <c r="K3936" t="s">
        <v>6099</v>
      </c>
      <c r="L3936" t="s">
        <v>6100</v>
      </c>
      <c r="M3936" t="s">
        <v>6100</v>
      </c>
      <c r="N3936">
        <v>5</v>
      </c>
      <c r="O3936" t="s">
        <v>6101</v>
      </c>
      <c r="P3936" t="s">
        <v>6112</v>
      </c>
      <c r="Q3936">
        <v>6</v>
      </c>
      <c r="R3936">
        <v>2026</v>
      </c>
      <c r="S3936" t="s">
        <v>6099</v>
      </c>
      <c r="T3936">
        <v>1</v>
      </c>
      <c r="U3936" t="s">
        <v>6020</v>
      </c>
      <c r="V3936">
        <v>1</v>
      </c>
    </row>
    <row r="3937" spans="1:22" x14ac:dyDescent="0.3">
      <c r="A3937" t="s">
        <v>3952</v>
      </c>
      <c r="B3937" s="2">
        <v>46200.577777777777</v>
      </c>
      <c r="C3937" s="2">
        <v>46201.944444444445</v>
      </c>
      <c r="D3937" t="s">
        <v>6024</v>
      </c>
      <c r="E3937" t="s">
        <v>6032</v>
      </c>
      <c r="F3937" t="s">
        <v>6033</v>
      </c>
      <c r="G3937" t="s">
        <v>6088</v>
      </c>
      <c r="H3937" t="s">
        <v>6097</v>
      </c>
      <c r="I3937">
        <v>72</v>
      </c>
      <c r="J3937">
        <v>32.799999999999997</v>
      </c>
      <c r="K3937" t="s">
        <v>6100</v>
      </c>
      <c r="L3937" t="s">
        <v>6099</v>
      </c>
      <c r="M3937" t="s">
        <v>6100</v>
      </c>
      <c r="N3937">
        <v>5</v>
      </c>
      <c r="O3937" t="s">
        <v>6101</v>
      </c>
      <c r="P3937" t="s">
        <v>6112</v>
      </c>
      <c r="Q3937">
        <v>6</v>
      </c>
      <c r="R3937">
        <v>2026</v>
      </c>
      <c r="S3937" t="s">
        <v>6099</v>
      </c>
      <c r="T3937">
        <v>1</v>
      </c>
      <c r="U3937" t="s">
        <v>6018</v>
      </c>
      <c r="V3937">
        <v>0</v>
      </c>
    </row>
    <row r="3938" spans="1:22" x14ac:dyDescent="0.3">
      <c r="A3938" t="s">
        <v>3953</v>
      </c>
      <c r="B3938" s="2">
        <v>46200.581944444442</v>
      </c>
      <c r="C3938" s="2">
        <v>46202.861111111109</v>
      </c>
      <c r="D3938" t="s">
        <v>6026</v>
      </c>
      <c r="E3938" t="s">
        <v>6032</v>
      </c>
      <c r="F3938" t="s">
        <v>6034</v>
      </c>
      <c r="G3938" t="s">
        <v>6081</v>
      </c>
      <c r="H3938" t="s">
        <v>6098</v>
      </c>
      <c r="I3938">
        <v>24</v>
      </c>
      <c r="J3938">
        <v>54.7</v>
      </c>
      <c r="K3938" t="s">
        <v>6100</v>
      </c>
      <c r="L3938" t="s">
        <v>6099</v>
      </c>
      <c r="M3938" t="s">
        <v>6100</v>
      </c>
      <c r="O3938" t="s">
        <v>6101</v>
      </c>
      <c r="P3938" t="s">
        <v>6112</v>
      </c>
      <c r="Q3938">
        <v>6</v>
      </c>
      <c r="R3938">
        <v>2026</v>
      </c>
      <c r="S3938" t="s">
        <v>6100</v>
      </c>
      <c r="T3938">
        <v>0</v>
      </c>
      <c r="U3938" t="s">
        <v>6018</v>
      </c>
      <c r="V3938">
        <v>0</v>
      </c>
    </row>
    <row r="3939" spans="1:22" x14ac:dyDescent="0.3">
      <c r="A3939" t="s">
        <v>3954</v>
      </c>
      <c r="B3939" s="2">
        <v>46200.661111111112</v>
      </c>
      <c r="C3939" s="2">
        <v>46201.861111111109</v>
      </c>
      <c r="D3939" t="s">
        <v>6022</v>
      </c>
      <c r="E3939" t="s">
        <v>6029</v>
      </c>
      <c r="F3939" t="s">
        <v>6033</v>
      </c>
      <c r="G3939" t="s">
        <v>6078</v>
      </c>
      <c r="H3939" t="s">
        <v>6097</v>
      </c>
      <c r="I3939">
        <v>72</v>
      </c>
      <c r="J3939">
        <v>28.8</v>
      </c>
      <c r="K3939" t="s">
        <v>6100</v>
      </c>
      <c r="L3939" t="s">
        <v>6099</v>
      </c>
      <c r="M3939" t="s">
        <v>6100</v>
      </c>
      <c r="O3939" t="s">
        <v>6101</v>
      </c>
      <c r="P3939" t="s">
        <v>6112</v>
      </c>
      <c r="Q3939">
        <v>6</v>
      </c>
      <c r="R3939">
        <v>2026</v>
      </c>
      <c r="S3939" t="s">
        <v>6099</v>
      </c>
      <c r="T3939">
        <v>1</v>
      </c>
      <c r="U3939" t="s">
        <v>6018</v>
      </c>
      <c r="V3939">
        <v>0</v>
      </c>
    </row>
    <row r="3940" spans="1:22" x14ac:dyDescent="0.3">
      <c r="A3940" t="s">
        <v>3955</v>
      </c>
      <c r="B3940" s="2">
        <v>46200.698611111111</v>
      </c>
      <c r="C3940" s="2">
        <v>46201.056944444441</v>
      </c>
      <c r="D3940" t="s">
        <v>6027</v>
      </c>
      <c r="E3940" t="s">
        <v>6030</v>
      </c>
      <c r="F3940" t="s">
        <v>6033</v>
      </c>
      <c r="G3940" t="s">
        <v>6093</v>
      </c>
      <c r="H3940" t="s">
        <v>6097</v>
      </c>
      <c r="I3940">
        <v>72</v>
      </c>
      <c r="J3940">
        <v>8.6</v>
      </c>
      <c r="K3940" t="s">
        <v>6099</v>
      </c>
      <c r="L3940" t="s">
        <v>6100</v>
      </c>
      <c r="M3940" t="s">
        <v>6100</v>
      </c>
      <c r="N3940">
        <v>4</v>
      </c>
      <c r="O3940" t="s">
        <v>6101</v>
      </c>
      <c r="P3940" t="s">
        <v>6112</v>
      </c>
      <c r="Q3940">
        <v>6</v>
      </c>
      <c r="R3940">
        <v>2026</v>
      </c>
      <c r="S3940" t="s">
        <v>6099</v>
      </c>
      <c r="T3940">
        <v>1</v>
      </c>
      <c r="U3940" t="s">
        <v>6020</v>
      </c>
      <c r="V3940">
        <v>1</v>
      </c>
    </row>
    <row r="3941" spans="1:22" x14ac:dyDescent="0.3">
      <c r="A3941" t="s">
        <v>3956</v>
      </c>
      <c r="B3941" s="2">
        <v>46200.708333333336</v>
      </c>
      <c r="C3941" s="2">
        <v>46202.145833333336</v>
      </c>
      <c r="D3941" t="s">
        <v>6026</v>
      </c>
      <c r="E3941" t="s">
        <v>6031</v>
      </c>
      <c r="F3941" t="s">
        <v>6033</v>
      </c>
      <c r="G3941" t="s">
        <v>6081</v>
      </c>
      <c r="H3941" t="s">
        <v>6098</v>
      </c>
      <c r="I3941">
        <v>72</v>
      </c>
      <c r="J3941">
        <v>34.5</v>
      </c>
      <c r="K3941" t="s">
        <v>6099</v>
      </c>
      <c r="L3941" t="s">
        <v>6100</v>
      </c>
      <c r="M3941" t="s">
        <v>6100</v>
      </c>
      <c r="N3941">
        <v>5</v>
      </c>
      <c r="O3941" t="s">
        <v>6101</v>
      </c>
      <c r="P3941" t="s">
        <v>6112</v>
      </c>
      <c r="Q3941">
        <v>6</v>
      </c>
      <c r="R3941">
        <v>2026</v>
      </c>
      <c r="S3941" t="s">
        <v>6099</v>
      </c>
      <c r="T3941">
        <v>1</v>
      </c>
      <c r="U3941" t="s">
        <v>6021</v>
      </c>
      <c r="V3941">
        <v>1</v>
      </c>
    </row>
    <row r="3942" spans="1:22" x14ac:dyDescent="0.3">
      <c r="A3942" t="s">
        <v>3957</v>
      </c>
      <c r="B3942" s="2">
        <v>46200.734722222223</v>
      </c>
      <c r="C3942" s="2">
        <v>46200.913888888892</v>
      </c>
      <c r="D3942" t="s">
        <v>6023</v>
      </c>
      <c r="E3942" t="s">
        <v>6030</v>
      </c>
      <c r="F3942" t="s">
        <v>6034</v>
      </c>
      <c r="G3942" t="s">
        <v>6095</v>
      </c>
      <c r="H3942" t="s">
        <v>6098</v>
      </c>
      <c r="I3942">
        <v>24</v>
      </c>
      <c r="J3942">
        <v>4.3</v>
      </c>
      <c r="K3942" t="s">
        <v>6099</v>
      </c>
      <c r="L3942" t="s">
        <v>6100</v>
      </c>
      <c r="M3942" t="s">
        <v>6099</v>
      </c>
      <c r="N3942">
        <v>3</v>
      </c>
      <c r="O3942" t="s">
        <v>6101</v>
      </c>
      <c r="P3942" t="s">
        <v>6112</v>
      </c>
      <c r="Q3942">
        <v>6</v>
      </c>
      <c r="R3942">
        <v>2026</v>
      </c>
      <c r="S3942" t="s">
        <v>6099</v>
      </c>
      <c r="T3942">
        <v>1</v>
      </c>
      <c r="U3942" t="s">
        <v>6020</v>
      </c>
      <c r="V3942">
        <v>1</v>
      </c>
    </row>
    <row r="3943" spans="1:22" x14ac:dyDescent="0.3">
      <c r="A3943" t="s">
        <v>3958</v>
      </c>
      <c r="B3943" s="2">
        <v>46201.282638888886</v>
      </c>
      <c r="C3943" s="2">
        <v>46202.011805555558</v>
      </c>
      <c r="D3943" t="s">
        <v>6028</v>
      </c>
      <c r="E3943" t="s">
        <v>6029</v>
      </c>
      <c r="F3943" t="s">
        <v>6034</v>
      </c>
      <c r="G3943" t="s">
        <v>6052</v>
      </c>
      <c r="H3943" t="s">
        <v>6098</v>
      </c>
      <c r="I3943">
        <v>24</v>
      </c>
      <c r="J3943">
        <v>17.5</v>
      </c>
      <c r="K3943" t="s">
        <v>6099</v>
      </c>
      <c r="L3943" t="s">
        <v>6100</v>
      </c>
      <c r="M3943" t="s">
        <v>6100</v>
      </c>
      <c r="N3943">
        <v>5</v>
      </c>
      <c r="O3943" t="s">
        <v>6101</v>
      </c>
      <c r="P3943" t="s">
        <v>6112</v>
      </c>
      <c r="Q3943">
        <v>6</v>
      </c>
      <c r="R3943">
        <v>2026</v>
      </c>
      <c r="S3943" t="s">
        <v>6099</v>
      </c>
      <c r="T3943">
        <v>1</v>
      </c>
      <c r="U3943" t="s">
        <v>6017</v>
      </c>
      <c r="V3943">
        <v>1</v>
      </c>
    </row>
    <row r="3944" spans="1:22" x14ac:dyDescent="0.3">
      <c r="A3944" t="s">
        <v>3959</v>
      </c>
      <c r="B3944" s="2">
        <v>46201.299305555556</v>
      </c>
      <c r="C3944" s="2">
        <v>46201.749305555553</v>
      </c>
      <c r="D3944" t="s">
        <v>6028</v>
      </c>
      <c r="E3944" t="s">
        <v>6030</v>
      </c>
      <c r="F3944" t="s">
        <v>6034</v>
      </c>
      <c r="G3944" t="s">
        <v>6062</v>
      </c>
      <c r="H3944" t="s">
        <v>6096</v>
      </c>
      <c r="I3944">
        <v>24</v>
      </c>
      <c r="J3944">
        <v>10.8</v>
      </c>
      <c r="K3944" t="s">
        <v>6100</v>
      </c>
      <c r="L3944" t="s">
        <v>6099</v>
      </c>
      <c r="M3944" t="s">
        <v>6100</v>
      </c>
      <c r="O3944" t="s">
        <v>6101</v>
      </c>
      <c r="P3944" t="s">
        <v>6112</v>
      </c>
      <c r="Q3944">
        <v>6</v>
      </c>
      <c r="R3944">
        <v>2026</v>
      </c>
      <c r="S3944" t="s">
        <v>6099</v>
      </c>
      <c r="T3944">
        <v>1</v>
      </c>
      <c r="U3944" t="s">
        <v>6020</v>
      </c>
      <c r="V3944">
        <v>0</v>
      </c>
    </row>
    <row r="3945" spans="1:22" x14ac:dyDescent="0.3">
      <c r="A3945" t="s">
        <v>3960</v>
      </c>
      <c r="B3945" s="2">
        <v>46201.42291666667</v>
      </c>
      <c r="C3945" s="2">
        <v>46201.614583333336</v>
      </c>
      <c r="D3945" t="s">
        <v>6024</v>
      </c>
      <c r="E3945" t="s">
        <v>6030</v>
      </c>
      <c r="F3945" t="s">
        <v>6033</v>
      </c>
      <c r="G3945" t="s">
        <v>6060</v>
      </c>
      <c r="H3945" t="s">
        <v>6097</v>
      </c>
      <c r="I3945">
        <v>72</v>
      </c>
      <c r="J3945">
        <v>4.5999999999999996</v>
      </c>
      <c r="K3945" t="s">
        <v>6099</v>
      </c>
      <c r="L3945" t="s">
        <v>6100</v>
      </c>
      <c r="M3945" t="s">
        <v>6100</v>
      </c>
      <c r="O3945" t="s">
        <v>6101</v>
      </c>
      <c r="P3945" t="s">
        <v>6112</v>
      </c>
      <c r="Q3945">
        <v>6</v>
      </c>
      <c r="R3945">
        <v>2026</v>
      </c>
      <c r="S3945" t="s">
        <v>6099</v>
      </c>
      <c r="T3945">
        <v>1</v>
      </c>
      <c r="U3945" t="s">
        <v>6020</v>
      </c>
      <c r="V3945">
        <v>1</v>
      </c>
    </row>
    <row r="3946" spans="1:22" x14ac:dyDescent="0.3">
      <c r="A3946" t="s">
        <v>3961</v>
      </c>
      <c r="B3946" s="2">
        <v>46201.425000000003</v>
      </c>
      <c r="C3946" s="2">
        <v>46201.741666666669</v>
      </c>
      <c r="D3946" t="s">
        <v>6023</v>
      </c>
      <c r="E3946" t="s">
        <v>6030</v>
      </c>
      <c r="F3946" t="s">
        <v>6034</v>
      </c>
      <c r="G3946" t="s">
        <v>6061</v>
      </c>
      <c r="H3946" t="s">
        <v>6096</v>
      </c>
      <c r="I3946">
        <v>24</v>
      </c>
      <c r="J3946">
        <v>7.6</v>
      </c>
      <c r="K3946" t="s">
        <v>6099</v>
      </c>
      <c r="L3946" t="s">
        <v>6100</v>
      </c>
      <c r="M3946" t="s">
        <v>6100</v>
      </c>
      <c r="O3946" t="s">
        <v>6101</v>
      </c>
      <c r="P3946" t="s">
        <v>6112</v>
      </c>
      <c r="Q3946">
        <v>6</v>
      </c>
      <c r="R3946">
        <v>2026</v>
      </c>
      <c r="S3946" t="s">
        <v>6099</v>
      </c>
      <c r="T3946">
        <v>1</v>
      </c>
      <c r="U3946" t="s">
        <v>6020</v>
      </c>
      <c r="V3946">
        <v>1</v>
      </c>
    </row>
    <row r="3947" spans="1:22" x14ac:dyDescent="0.3">
      <c r="A3947" t="s">
        <v>3962</v>
      </c>
      <c r="B3947" s="2">
        <v>46201.439583333333</v>
      </c>
      <c r="C3947" s="2">
        <v>46201.847916666666</v>
      </c>
      <c r="D3947" t="s">
        <v>6023</v>
      </c>
      <c r="E3947" t="s">
        <v>6029</v>
      </c>
      <c r="F3947" t="s">
        <v>6034</v>
      </c>
      <c r="G3947" t="s">
        <v>6087</v>
      </c>
      <c r="H3947" t="s">
        <v>6098</v>
      </c>
      <c r="I3947">
        <v>24</v>
      </c>
      <c r="J3947">
        <v>9.8000000000000007</v>
      </c>
      <c r="K3947" t="s">
        <v>6100</v>
      </c>
      <c r="L3947" t="s">
        <v>6099</v>
      </c>
      <c r="M3947" t="s">
        <v>6100</v>
      </c>
      <c r="O3947" t="s">
        <v>6101</v>
      </c>
      <c r="P3947" t="s">
        <v>6112</v>
      </c>
      <c r="Q3947">
        <v>6</v>
      </c>
      <c r="R3947">
        <v>2026</v>
      </c>
      <c r="S3947" t="s">
        <v>6099</v>
      </c>
      <c r="T3947">
        <v>1</v>
      </c>
      <c r="U3947" t="s">
        <v>6018</v>
      </c>
      <c r="V3947">
        <v>0</v>
      </c>
    </row>
    <row r="3948" spans="1:22" x14ac:dyDescent="0.3">
      <c r="A3948" t="s">
        <v>3963</v>
      </c>
      <c r="B3948" s="2">
        <v>46201.504861111112</v>
      </c>
      <c r="C3948" s="2">
        <v>46202.021527777775</v>
      </c>
      <c r="D3948" t="s">
        <v>6027</v>
      </c>
      <c r="E3948" t="s">
        <v>6029</v>
      </c>
      <c r="F3948" t="s">
        <v>6033</v>
      </c>
      <c r="G3948" t="s">
        <v>6074</v>
      </c>
      <c r="H3948" t="s">
        <v>6098</v>
      </c>
      <c r="I3948">
        <v>72</v>
      </c>
      <c r="J3948">
        <v>12.4</v>
      </c>
      <c r="K3948" t="s">
        <v>6099</v>
      </c>
      <c r="L3948" t="s">
        <v>6100</v>
      </c>
      <c r="M3948" t="s">
        <v>6100</v>
      </c>
      <c r="O3948" t="s">
        <v>6101</v>
      </c>
      <c r="P3948" t="s">
        <v>6112</v>
      </c>
      <c r="Q3948">
        <v>6</v>
      </c>
      <c r="R3948">
        <v>2026</v>
      </c>
      <c r="S3948" t="s">
        <v>6099</v>
      </c>
      <c r="T3948">
        <v>1</v>
      </c>
      <c r="U3948" t="s">
        <v>6020</v>
      </c>
      <c r="V3948">
        <v>1</v>
      </c>
    </row>
    <row r="3949" spans="1:22" x14ac:dyDescent="0.3">
      <c r="A3949" t="s">
        <v>3964</v>
      </c>
      <c r="B3949" s="2">
        <v>46201.538888888892</v>
      </c>
      <c r="C3949" s="2">
        <v>46201.893055555556</v>
      </c>
      <c r="D3949" t="s">
        <v>6027</v>
      </c>
      <c r="E3949" t="s">
        <v>6029</v>
      </c>
      <c r="F3949" t="s">
        <v>6033</v>
      </c>
      <c r="G3949" t="s">
        <v>6055</v>
      </c>
      <c r="H3949" t="s">
        <v>6096</v>
      </c>
      <c r="I3949">
        <v>72</v>
      </c>
      <c r="J3949">
        <v>8.5</v>
      </c>
      <c r="K3949" t="s">
        <v>6100</v>
      </c>
      <c r="L3949" t="s">
        <v>6099</v>
      </c>
      <c r="M3949" t="s">
        <v>6100</v>
      </c>
      <c r="O3949" t="s">
        <v>6101</v>
      </c>
      <c r="P3949" t="s">
        <v>6112</v>
      </c>
      <c r="Q3949">
        <v>6</v>
      </c>
      <c r="R3949">
        <v>2026</v>
      </c>
      <c r="S3949" t="s">
        <v>6099</v>
      </c>
      <c r="T3949">
        <v>1</v>
      </c>
      <c r="U3949" t="s">
        <v>6021</v>
      </c>
      <c r="V3949">
        <v>0</v>
      </c>
    </row>
    <row r="3950" spans="1:22" x14ac:dyDescent="0.3">
      <c r="A3950" t="s">
        <v>3965</v>
      </c>
      <c r="B3950" s="2">
        <v>46201.553472222222</v>
      </c>
      <c r="C3950" s="2">
        <v>46210.945138888892</v>
      </c>
      <c r="D3950" t="s">
        <v>6026</v>
      </c>
      <c r="E3950" t="s">
        <v>6031</v>
      </c>
      <c r="F3950" t="s">
        <v>6034</v>
      </c>
      <c r="G3950" t="s">
        <v>6052</v>
      </c>
      <c r="H3950" t="s">
        <v>6098</v>
      </c>
      <c r="I3950">
        <v>24</v>
      </c>
      <c r="J3950">
        <v>225.4</v>
      </c>
      <c r="K3950" t="s">
        <v>6100</v>
      </c>
      <c r="L3950" t="s">
        <v>6099</v>
      </c>
      <c r="M3950" t="s">
        <v>6099</v>
      </c>
      <c r="N3950">
        <v>1</v>
      </c>
      <c r="O3950" t="s">
        <v>6101</v>
      </c>
      <c r="P3950" t="s">
        <v>6112</v>
      </c>
      <c r="Q3950">
        <v>6</v>
      </c>
      <c r="R3950">
        <v>2026</v>
      </c>
      <c r="S3950" t="s">
        <v>6100</v>
      </c>
      <c r="T3950">
        <v>0</v>
      </c>
      <c r="U3950" t="s">
        <v>6021</v>
      </c>
      <c r="V3950">
        <v>0</v>
      </c>
    </row>
    <row r="3951" spans="1:22" x14ac:dyDescent="0.3">
      <c r="A3951" t="s">
        <v>3966</v>
      </c>
      <c r="B3951" s="2">
        <v>46201.613194444442</v>
      </c>
      <c r="C3951" s="2">
        <v>46201.867361111108</v>
      </c>
      <c r="D3951" t="s">
        <v>6025</v>
      </c>
      <c r="E3951" t="s">
        <v>6029</v>
      </c>
      <c r="F3951" t="s">
        <v>6033</v>
      </c>
      <c r="G3951" t="s">
        <v>6044</v>
      </c>
      <c r="H3951" t="s">
        <v>6097</v>
      </c>
      <c r="I3951">
        <v>72</v>
      </c>
      <c r="J3951">
        <v>6.1</v>
      </c>
      <c r="K3951" t="s">
        <v>6099</v>
      </c>
      <c r="L3951" t="s">
        <v>6100</v>
      </c>
      <c r="M3951" t="s">
        <v>6100</v>
      </c>
      <c r="N3951">
        <v>5</v>
      </c>
      <c r="O3951" t="s">
        <v>6101</v>
      </c>
      <c r="P3951" t="s">
        <v>6112</v>
      </c>
      <c r="Q3951">
        <v>6</v>
      </c>
      <c r="R3951">
        <v>2026</v>
      </c>
      <c r="S3951" t="s">
        <v>6099</v>
      </c>
      <c r="T3951">
        <v>1</v>
      </c>
      <c r="U3951" t="s">
        <v>6021</v>
      </c>
      <c r="V3951">
        <v>1</v>
      </c>
    </row>
    <row r="3952" spans="1:22" x14ac:dyDescent="0.3">
      <c r="A3952" t="s">
        <v>3967</v>
      </c>
      <c r="B3952" s="2">
        <v>46201.628472222219</v>
      </c>
      <c r="C3952" s="2">
        <v>46202.411805555559</v>
      </c>
      <c r="D3952" t="s">
        <v>6025</v>
      </c>
      <c r="E3952" t="s">
        <v>6029</v>
      </c>
      <c r="F3952" t="s">
        <v>6034</v>
      </c>
      <c r="G3952" t="s">
        <v>6071</v>
      </c>
      <c r="H3952" t="s">
        <v>6098</v>
      </c>
      <c r="I3952">
        <v>24</v>
      </c>
      <c r="J3952">
        <v>18.8</v>
      </c>
      <c r="K3952" t="s">
        <v>6099</v>
      </c>
      <c r="L3952" t="s">
        <v>6100</v>
      </c>
      <c r="M3952" t="s">
        <v>6100</v>
      </c>
      <c r="O3952" t="s">
        <v>6101</v>
      </c>
      <c r="P3952" t="s">
        <v>6112</v>
      </c>
      <c r="Q3952">
        <v>6</v>
      </c>
      <c r="R3952">
        <v>2026</v>
      </c>
      <c r="S3952" t="s">
        <v>6099</v>
      </c>
      <c r="T3952">
        <v>1</v>
      </c>
      <c r="U3952" t="s">
        <v>6018</v>
      </c>
      <c r="V3952">
        <v>1</v>
      </c>
    </row>
    <row r="3953" spans="1:22" x14ac:dyDescent="0.3">
      <c r="A3953" t="s">
        <v>3968</v>
      </c>
      <c r="B3953" s="2">
        <v>46201.643055555556</v>
      </c>
      <c r="C3953" s="2">
        <v>46205.380555555559</v>
      </c>
      <c r="D3953" t="s">
        <v>6026</v>
      </c>
      <c r="E3953" t="s">
        <v>6029</v>
      </c>
      <c r="F3953" t="s">
        <v>6033</v>
      </c>
      <c r="G3953" t="s">
        <v>6075</v>
      </c>
      <c r="H3953" t="s">
        <v>6097</v>
      </c>
      <c r="I3953">
        <v>72</v>
      </c>
      <c r="J3953">
        <v>89.7</v>
      </c>
      <c r="K3953" t="s">
        <v>6099</v>
      </c>
      <c r="L3953" t="s">
        <v>6100</v>
      </c>
      <c r="M3953" t="s">
        <v>6100</v>
      </c>
      <c r="O3953" t="s">
        <v>6101</v>
      </c>
      <c r="P3953" t="s">
        <v>6112</v>
      </c>
      <c r="Q3953">
        <v>6</v>
      </c>
      <c r="R3953">
        <v>2026</v>
      </c>
      <c r="S3953" t="s">
        <v>6100</v>
      </c>
      <c r="T3953">
        <v>0</v>
      </c>
      <c r="U3953" t="s">
        <v>6018</v>
      </c>
      <c r="V3953">
        <v>1</v>
      </c>
    </row>
    <row r="3954" spans="1:22" x14ac:dyDescent="0.3">
      <c r="A3954" t="s">
        <v>3969</v>
      </c>
      <c r="B3954" s="2">
        <v>46201.683333333334</v>
      </c>
      <c r="C3954" s="2">
        <v>46202.291666666664</v>
      </c>
      <c r="D3954" t="s">
        <v>6027</v>
      </c>
      <c r="E3954" t="s">
        <v>6031</v>
      </c>
      <c r="F3954" t="s">
        <v>6034</v>
      </c>
      <c r="G3954" t="s">
        <v>6046</v>
      </c>
      <c r="H3954" t="s">
        <v>6098</v>
      </c>
      <c r="I3954">
        <v>24</v>
      </c>
      <c r="J3954">
        <v>14.6</v>
      </c>
      <c r="K3954" t="s">
        <v>6100</v>
      </c>
      <c r="L3954" t="s">
        <v>6099</v>
      </c>
      <c r="M3954" t="s">
        <v>6100</v>
      </c>
      <c r="N3954">
        <v>2</v>
      </c>
      <c r="O3954" t="s">
        <v>6101</v>
      </c>
      <c r="P3954" t="s">
        <v>6112</v>
      </c>
      <c r="Q3954">
        <v>6</v>
      </c>
      <c r="R3954">
        <v>2026</v>
      </c>
      <c r="S3954" t="s">
        <v>6099</v>
      </c>
      <c r="T3954">
        <v>1</v>
      </c>
      <c r="U3954" t="s">
        <v>6021</v>
      </c>
      <c r="V3954">
        <v>0</v>
      </c>
    </row>
    <row r="3955" spans="1:22" x14ac:dyDescent="0.3">
      <c r="A3955" t="s">
        <v>3970</v>
      </c>
      <c r="B3955" s="2">
        <v>46201.709722222222</v>
      </c>
      <c r="C3955" s="2">
        <v>46206.084722222222</v>
      </c>
      <c r="D3955" t="s">
        <v>6026</v>
      </c>
      <c r="E3955" t="s">
        <v>6031</v>
      </c>
      <c r="F3955" t="s">
        <v>6035</v>
      </c>
      <c r="G3955" t="s">
        <v>6047</v>
      </c>
      <c r="H3955" t="s">
        <v>6098</v>
      </c>
      <c r="I3955">
        <v>4</v>
      </c>
      <c r="J3955">
        <v>105</v>
      </c>
      <c r="K3955" t="s">
        <v>6099</v>
      </c>
      <c r="L3955" t="s">
        <v>6100</v>
      </c>
      <c r="M3955" t="s">
        <v>6100</v>
      </c>
      <c r="O3955" t="s">
        <v>6101</v>
      </c>
      <c r="P3955" t="s">
        <v>6112</v>
      </c>
      <c r="Q3955">
        <v>6</v>
      </c>
      <c r="R3955">
        <v>2026</v>
      </c>
      <c r="S3955" t="s">
        <v>6100</v>
      </c>
      <c r="T3955">
        <v>0</v>
      </c>
      <c r="U3955" t="s">
        <v>6021</v>
      </c>
      <c r="V3955">
        <v>1</v>
      </c>
    </row>
    <row r="3956" spans="1:22" x14ac:dyDescent="0.3">
      <c r="A3956" t="s">
        <v>3971</v>
      </c>
      <c r="B3956" s="2">
        <v>46201.739583333336</v>
      </c>
      <c r="C3956" s="2">
        <v>46202.481249999997</v>
      </c>
      <c r="D3956" t="s">
        <v>6028</v>
      </c>
      <c r="E3956" t="s">
        <v>6029</v>
      </c>
      <c r="F3956" t="s">
        <v>6033</v>
      </c>
      <c r="G3956" t="s">
        <v>6055</v>
      </c>
      <c r="H3956" t="s">
        <v>6096</v>
      </c>
      <c r="I3956">
        <v>72</v>
      </c>
      <c r="J3956">
        <v>17.8</v>
      </c>
      <c r="K3956" t="s">
        <v>6100</v>
      </c>
      <c r="L3956" t="s">
        <v>6099</v>
      </c>
      <c r="M3956" t="s">
        <v>6099</v>
      </c>
      <c r="O3956" t="s">
        <v>6101</v>
      </c>
      <c r="P3956" t="s">
        <v>6112</v>
      </c>
      <c r="Q3956">
        <v>6</v>
      </c>
      <c r="R3956">
        <v>2026</v>
      </c>
      <c r="S3956" t="s">
        <v>6099</v>
      </c>
      <c r="T3956">
        <v>1</v>
      </c>
      <c r="U3956" t="s">
        <v>6021</v>
      </c>
      <c r="V3956">
        <v>0</v>
      </c>
    </row>
    <row r="3957" spans="1:22" x14ac:dyDescent="0.3">
      <c r="A3957" t="s">
        <v>3972</v>
      </c>
      <c r="B3957" s="2">
        <v>46201.788888888892</v>
      </c>
      <c r="C3957" s="2">
        <v>46202.163888888892</v>
      </c>
      <c r="D3957" t="s">
        <v>6022</v>
      </c>
      <c r="E3957" t="s">
        <v>6029</v>
      </c>
      <c r="F3957" t="s">
        <v>6034</v>
      </c>
      <c r="G3957" t="s">
        <v>6063</v>
      </c>
      <c r="H3957" t="s">
        <v>6097</v>
      </c>
      <c r="I3957">
        <v>24</v>
      </c>
      <c r="J3957">
        <v>9</v>
      </c>
      <c r="K3957" t="s">
        <v>6099</v>
      </c>
      <c r="L3957" t="s">
        <v>6100</v>
      </c>
      <c r="M3957" t="s">
        <v>6099</v>
      </c>
      <c r="N3957">
        <v>5</v>
      </c>
      <c r="O3957" t="s">
        <v>6101</v>
      </c>
      <c r="P3957" t="s">
        <v>6112</v>
      </c>
      <c r="Q3957">
        <v>6</v>
      </c>
      <c r="R3957">
        <v>2026</v>
      </c>
      <c r="S3957" t="s">
        <v>6099</v>
      </c>
      <c r="T3957">
        <v>1</v>
      </c>
      <c r="U3957" t="s">
        <v>6018</v>
      </c>
      <c r="V3957">
        <v>1</v>
      </c>
    </row>
    <row r="3958" spans="1:22" x14ac:dyDescent="0.3">
      <c r="A3958" t="s">
        <v>3973</v>
      </c>
      <c r="B3958" s="2">
        <v>46201.836111111108</v>
      </c>
      <c r="C3958" s="2">
        <v>46202.415277777778</v>
      </c>
      <c r="D3958" t="s">
        <v>6024</v>
      </c>
      <c r="E3958" t="s">
        <v>6030</v>
      </c>
      <c r="F3958" t="s">
        <v>6035</v>
      </c>
      <c r="G3958" t="s">
        <v>6054</v>
      </c>
      <c r="H3958" t="s">
        <v>6096</v>
      </c>
      <c r="I3958">
        <v>4</v>
      </c>
      <c r="J3958">
        <v>13.9</v>
      </c>
      <c r="K3958" t="s">
        <v>6100</v>
      </c>
      <c r="L3958" t="s">
        <v>6099</v>
      </c>
      <c r="M3958" t="s">
        <v>6100</v>
      </c>
      <c r="N3958">
        <v>2</v>
      </c>
      <c r="O3958" t="s">
        <v>6101</v>
      </c>
      <c r="P3958" t="s">
        <v>6112</v>
      </c>
      <c r="Q3958">
        <v>6</v>
      </c>
      <c r="R3958">
        <v>2026</v>
      </c>
      <c r="S3958" t="s">
        <v>6100</v>
      </c>
      <c r="T3958">
        <v>0</v>
      </c>
      <c r="U3958" t="s">
        <v>6018</v>
      </c>
      <c r="V3958">
        <v>0</v>
      </c>
    </row>
    <row r="3959" spans="1:22" x14ac:dyDescent="0.3">
      <c r="A3959" t="s">
        <v>3974</v>
      </c>
      <c r="B3959" s="2">
        <v>46202.10833333333</v>
      </c>
      <c r="C3959" s="2">
        <v>46202.995833333334</v>
      </c>
      <c r="D3959" t="s">
        <v>6028</v>
      </c>
      <c r="E3959" t="s">
        <v>6031</v>
      </c>
      <c r="F3959" t="s">
        <v>6034</v>
      </c>
      <c r="G3959" t="s">
        <v>6094</v>
      </c>
      <c r="H3959" t="s">
        <v>6098</v>
      </c>
      <c r="I3959">
        <v>24</v>
      </c>
      <c r="J3959">
        <v>21.3</v>
      </c>
      <c r="K3959" t="s">
        <v>6099</v>
      </c>
      <c r="L3959" t="s">
        <v>6100</v>
      </c>
      <c r="M3959" t="s">
        <v>6100</v>
      </c>
      <c r="O3959" t="s">
        <v>6101</v>
      </c>
      <c r="P3959" t="s">
        <v>6112</v>
      </c>
      <c r="Q3959">
        <v>6</v>
      </c>
      <c r="R3959">
        <v>2026</v>
      </c>
      <c r="S3959" t="s">
        <v>6099</v>
      </c>
      <c r="T3959">
        <v>1</v>
      </c>
      <c r="U3959" t="s">
        <v>6019</v>
      </c>
      <c r="V3959">
        <v>1</v>
      </c>
    </row>
    <row r="3960" spans="1:22" x14ac:dyDescent="0.3">
      <c r="A3960" t="s">
        <v>3975</v>
      </c>
      <c r="B3960" s="2">
        <v>46202.23333333333</v>
      </c>
      <c r="C3960" s="2">
        <v>46202.82916666667</v>
      </c>
      <c r="D3960" t="s">
        <v>6022</v>
      </c>
      <c r="E3960" t="s">
        <v>6029</v>
      </c>
      <c r="F3960" t="s">
        <v>6034</v>
      </c>
      <c r="G3960" t="s">
        <v>6057</v>
      </c>
      <c r="H3960" t="s">
        <v>6097</v>
      </c>
      <c r="I3960">
        <v>24</v>
      </c>
      <c r="J3960">
        <v>14.3</v>
      </c>
      <c r="K3960" t="s">
        <v>6100</v>
      </c>
      <c r="L3960" t="s">
        <v>6099</v>
      </c>
      <c r="M3960" t="s">
        <v>6100</v>
      </c>
      <c r="N3960">
        <v>3</v>
      </c>
      <c r="O3960" t="s">
        <v>6101</v>
      </c>
      <c r="P3960" t="s">
        <v>6112</v>
      </c>
      <c r="Q3960">
        <v>6</v>
      </c>
      <c r="R3960">
        <v>2026</v>
      </c>
      <c r="S3960" t="s">
        <v>6099</v>
      </c>
      <c r="T3960">
        <v>1</v>
      </c>
      <c r="U3960" t="s">
        <v>6019</v>
      </c>
      <c r="V3960">
        <v>0</v>
      </c>
    </row>
    <row r="3961" spans="1:22" x14ac:dyDescent="0.3">
      <c r="A3961" t="s">
        <v>3976</v>
      </c>
      <c r="B3961" s="2">
        <v>46202.413194444445</v>
      </c>
      <c r="C3961" s="2">
        <v>46202.546527777777</v>
      </c>
      <c r="D3961" t="s">
        <v>6028</v>
      </c>
      <c r="E3961" t="s">
        <v>6029</v>
      </c>
      <c r="F3961" t="s">
        <v>6035</v>
      </c>
      <c r="G3961" t="s">
        <v>6051</v>
      </c>
      <c r="H3961" t="s">
        <v>6097</v>
      </c>
      <c r="I3961">
        <v>4</v>
      </c>
      <c r="J3961">
        <v>3.2</v>
      </c>
      <c r="K3961" t="s">
        <v>6099</v>
      </c>
      <c r="L3961" t="s">
        <v>6100</v>
      </c>
      <c r="M3961" t="s">
        <v>6100</v>
      </c>
      <c r="O3961" t="s">
        <v>6101</v>
      </c>
      <c r="P3961" t="s">
        <v>6112</v>
      </c>
      <c r="Q3961">
        <v>6</v>
      </c>
      <c r="R3961">
        <v>2026</v>
      </c>
      <c r="S3961" t="s">
        <v>6099</v>
      </c>
      <c r="T3961">
        <v>1</v>
      </c>
      <c r="U3961" t="s">
        <v>6017</v>
      </c>
      <c r="V3961">
        <v>1</v>
      </c>
    </row>
    <row r="3962" spans="1:22" x14ac:dyDescent="0.3">
      <c r="A3962" t="s">
        <v>3977</v>
      </c>
      <c r="B3962" s="2">
        <v>46202.419444444444</v>
      </c>
      <c r="C3962" s="2">
        <v>46203.136111111111</v>
      </c>
      <c r="D3962" t="s">
        <v>6028</v>
      </c>
      <c r="E3962" t="s">
        <v>6031</v>
      </c>
      <c r="F3962" t="s">
        <v>6034</v>
      </c>
      <c r="G3962" t="s">
        <v>6082</v>
      </c>
      <c r="H3962" t="s">
        <v>6097</v>
      </c>
      <c r="I3962">
        <v>24</v>
      </c>
      <c r="K3962" t="s">
        <v>6099</v>
      </c>
      <c r="L3962" t="s">
        <v>6100</v>
      </c>
      <c r="M3962" t="s">
        <v>6100</v>
      </c>
      <c r="N3962">
        <v>3</v>
      </c>
      <c r="O3962" t="s">
        <v>6101</v>
      </c>
      <c r="P3962" t="s">
        <v>6112</v>
      </c>
      <c r="Q3962">
        <v>6</v>
      </c>
      <c r="R3962">
        <v>2026</v>
      </c>
      <c r="U3962" t="s">
        <v>6019</v>
      </c>
      <c r="V3962">
        <v>1</v>
      </c>
    </row>
    <row r="3963" spans="1:22" x14ac:dyDescent="0.3">
      <c r="A3963" t="s">
        <v>3978</v>
      </c>
      <c r="B3963" s="2">
        <v>46202.423611111109</v>
      </c>
      <c r="C3963" s="2">
        <v>46202.644444444442</v>
      </c>
      <c r="D3963" t="s">
        <v>6023</v>
      </c>
      <c r="E3963" t="s">
        <v>6029</v>
      </c>
      <c r="F3963" t="s">
        <v>6033</v>
      </c>
      <c r="G3963" t="s">
        <v>6064</v>
      </c>
      <c r="H3963" t="s">
        <v>6096</v>
      </c>
      <c r="I3963">
        <v>72</v>
      </c>
      <c r="J3963">
        <v>5.3</v>
      </c>
      <c r="K3963" t="s">
        <v>6100</v>
      </c>
      <c r="L3963" t="s">
        <v>6100</v>
      </c>
      <c r="M3963" t="s">
        <v>6100</v>
      </c>
      <c r="N3963">
        <v>5</v>
      </c>
      <c r="O3963" t="s">
        <v>6101</v>
      </c>
      <c r="P3963" t="s">
        <v>6112</v>
      </c>
      <c r="Q3963">
        <v>6</v>
      </c>
      <c r="R3963">
        <v>2026</v>
      </c>
      <c r="S3963" t="s">
        <v>6099</v>
      </c>
      <c r="T3963">
        <v>1</v>
      </c>
      <c r="U3963" t="s">
        <v>6021</v>
      </c>
      <c r="V3963">
        <v>0</v>
      </c>
    </row>
    <row r="3964" spans="1:22" x14ac:dyDescent="0.3">
      <c r="A3964" t="s">
        <v>3979</v>
      </c>
      <c r="B3964" s="2">
        <v>46202.45416666667</v>
      </c>
      <c r="C3964" s="2">
        <v>46202.629166666666</v>
      </c>
      <c r="D3964" t="s">
        <v>6023</v>
      </c>
      <c r="E3964" t="s">
        <v>6029</v>
      </c>
      <c r="F3964" t="s">
        <v>6034</v>
      </c>
      <c r="G3964" t="s">
        <v>6047</v>
      </c>
      <c r="H3964" t="s">
        <v>6098</v>
      </c>
      <c r="I3964">
        <v>24</v>
      </c>
      <c r="J3964">
        <v>4.2</v>
      </c>
      <c r="K3964" t="s">
        <v>6100</v>
      </c>
      <c r="L3964" t="s">
        <v>6099</v>
      </c>
      <c r="M3964" t="s">
        <v>6100</v>
      </c>
      <c r="N3964">
        <v>2</v>
      </c>
      <c r="O3964" t="s">
        <v>6101</v>
      </c>
      <c r="P3964" t="s">
        <v>6112</v>
      </c>
      <c r="Q3964">
        <v>6</v>
      </c>
      <c r="R3964">
        <v>2026</v>
      </c>
      <c r="S3964" t="s">
        <v>6099</v>
      </c>
      <c r="T3964">
        <v>1</v>
      </c>
      <c r="U3964" t="s">
        <v>6020</v>
      </c>
      <c r="V3964">
        <v>0</v>
      </c>
    </row>
    <row r="3965" spans="1:22" x14ac:dyDescent="0.3">
      <c r="A3965" t="s">
        <v>3980</v>
      </c>
      <c r="B3965" s="2">
        <v>46202.457638888889</v>
      </c>
      <c r="C3965" s="2">
        <v>46202.707638888889</v>
      </c>
      <c r="D3965" t="s">
        <v>6028</v>
      </c>
      <c r="E3965" t="s">
        <v>6029</v>
      </c>
      <c r="F3965" t="s">
        <v>6033</v>
      </c>
      <c r="G3965" t="s">
        <v>6038</v>
      </c>
      <c r="H3965" t="s">
        <v>6096</v>
      </c>
      <c r="I3965">
        <v>72</v>
      </c>
      <c r="J3965">
        <v>6</v>
      </c>
      <c r="K3965" t="s">
        <v>6100</v>
      </c>
      <c r="L3965" t="s">
        <v>6100</v>
      </c>
      <c r="M3965" t="s">
        <v>6100</v>
      </c>
      <c r="O3965" t="s">
        <v>6101</v>
      </c>
      <c r="P3965" t="s">
        <v>6112</v>
      </c>
      <c r="Q3965">
        <v>6</v>
      </c>
      <c r="R3965">
        <v>2026</v>
      </c>
      <c r="S3965" t="s">
        <v>6099</v>
      </c>
      <c r="T3965">
        <v>1</v>
      </c>
      <c r="U3965" t="s">
        <v>6021</v>
      </c>
      <c r="V3965">
        <v>0</v>
      </c>
    </row>
    <row r="3966" spans="1:22" x14ac:dyDescent="0.3">
      <c r="A3966" t="s">
        <v>3981</v>
      </c>
      <c r="B3966" s="2">
        <v>46202.459027777775</v>
      </c>
      <c r="C3966" s="2">
        <v>46203.242361111108</v>
      </c>
      <c r="D3966" t="s">
        <v>6022</v>
      </c>
      <c r="E3966" t="s">
        <v>6030</v>
      </c>
      <c r="F3966" t="s">
        <v>6033</v>
      </c>
      <c r="G3966" t="s">
        <v>6072</v>
      </c>
      <c r="H3966" t="s">
        <v>6097</v>
      </c>
      <c r="I3966">
        <v>72</v>
      </c>
      <c r="J3966">
        <v>18.8</v>
      </c>
      <c r="K3966" t="s">
        <v>6099</v>
      </c>
      <c r="L3966" t="s">
        <v>6100</v>
      </c>
      <c r="M3966" t="s">
        <v>6100</v>
      </c>
      <c r="N3966">
        <v>5</v>
      </c>
      <c r="O3966" t="s">
        <v>6101</v>
      </c>
      <c r="P3966" t="s">
        <v>6112</v>
      </c>
      <c r="Q3966">
        <v>6</v>
      </c>
      <c r="R3966">
        <v>2026</v>
      </c>
      <c r="S3966" t="s">
        <v>6099</v>
      </c>
      <c r="T3966">
        <v>1</v>
      </c>
      <c r="U3966" t="s">
        <v>6019</v>
      </c>
      <c r="V3966">
        <v>1</v>
      </c>
    </row>
    <row r="3967" spans="1:22" x14ac:dyDescent="0.3">
      <c r="A3967" t="s">
        <v>3982</v>
      </c>
      <c r="B3967" s="2">
        <v>46202.463888888888</v>
      </c>
      <c r="C3967" s="2">
        <v>46202.676388888889</v>
      </c>
      <c r="D3967" t="s">
        <v>6022</v>
      </c>
      <c r="E3967" t="s">
        <v>6029</v>
      </c>
      <c r="F3967" t="s">
        <v>6035</v>
      </c>
      <c r="G3967" t="s">
        <v>6068</v>
      </c>
      <c r="H3967" t="s">
        <v>6098</v>
      </c>
      <c r="I3967">
        <v>4</v>
      </c>
      <c r="J3967">
        <v>5.0999999999999996</v>
      </c>
      <c r="K3967" t="s">
        <v>6099</v>
      </c>
      <c r="L3967" t="s">
        <v>6100</v>
      </c>
      <c r="M3967" t="s">
        <v>6100</v>
      </c>
      <c r="N3967">
        <v>4</v>
      </c>
      <c r="O3967" t="s">
        <v>6101</v>
      </c>
      <c r="P3967" t="s">
        <v>6112</v>
      </c>
      <c r="Q3967">
        <v>6</v>
      </c>
      <c r="R3967">
        <v>2026</v>
      </c>
      <c r="S3967" t="s">
        <v>6100</v>
      </c>
      <c r="T3967">
        <v>0</v>
      </c>
      <c r="U3967" t="s">
        <v>6018</v>
      </c>
      <c r="V3967">
        <v>1</v>
      </c>
    </row>
    <row r="3968" spans="1:22" x14ac:dyDescent="0.3">
      <c r="A3968" t="s">
        <v>3983</v>
      </c>
      <c r="B3968" s="2">
        <v>46202.467361111114</v>
      </c>
      <c r="C3968" s="2">
        <v>46203.417361111111</v>
      </c>
      <c r="D3968" t="s">
        <v>6024</v>
      </c>
      <c r="E3968" t="s">
        <v>6029</v>
      </c>
      <c r="F3968" t="s">
        <v>6034</v>
      </c>
      <c r="G3968" t="s">
        <v>6055</v>
      </c>
      <c r="H3968" t="s">
        <v>6096</v>
      </c>
      <c r="I3968">
        <v>24</v>
      </c>
      <c r="J3968">
        <v>22.8</v>
      </c>
      <c r="K3968" t="s">
        <v>6100</v>
      </c>
      <c r="L3968" t="s">
        <v>6099</v>
      </c>
      <c r="M3968" t="s">
        <v>6100</v>
      </c>
      <c r="N3968">
        <v>5</v>
      </c>
      <c r="O3968" t="s">
        <v>6101</v>
      </c>
      <c r="P3968" t="s">
        <v>6112</v>
      </c>
      <c r="Q3968">
        <v>6</v>
      </c>
      <c r="R3968">
        <v>2026</v>
      </c>
      <c r="S3968" t="s">
        <v>6099</v>
      </c>
      <c r="T3968">
        <v>1</v>
      </c>
      <c r="U3968" t="s">
        <v>6019</v>
      </c>
      <c r="V3968">
        <v>0</v>
      </c>
    </row>
    <row r="3969" spans="1:22" x14ac:dyDescent="0.3">
      <c r="A3969" t="s">
        <v>3984</v>
      </c>
      <c r="B3969" s="2">
        <v>46202.484722222223</v>
      </c>
      <c r="C3969" s="2">
        <v>46202.68472222222</v>
      </c>
      <c r="D3969" t="s">
        <v>6022</v>
      </c>
      <c r="E3969" t="s">
        <v>6030</v>
      </c>
      <c r="F3969" t="s">
        <v>6034</v>
      </c>
      <c r="G3969" t="s">
        <v>6039</v>
      </c>
      <c r="H3969" t="s">
        <v>6097</v>
      </c>
      <c r="I3969">
        <v>24</v>
      </c>
      <c r="J3969">
        <v>4.8</v>
      </c>
      <c r="K3969" t="s">
        <v>6099</v>
      </c>
      <c r="L3969" t="s">
        <v>6100</v>
      </c>
      <c r="M3969" t="s">
        <v>6100</v>
      </c>
      <c r="O3969" t="s">
        <v>6101</v>
      </c>
      <c r="P3969" t="s">
        <v>6112</v>
      </c>
      <c r="Q3969">
        <v>6</v>
      </c>
      <c r="R3969">
        <v>2026</v>
      </c>
      <c r="S3969" t="s">
        <v>6099</v>
      </c>
      <c r="T3969">
        <v>1</v>
      </c>
      <c r="U3969" t="s">
        <v>6020</v>
      </c>
      <c r="V3969">
        <v>1</v>
      </c>
    </row>
    <row r="3970" spans="1:22" x14ac:dyDescent="0.3">
      <c r="A3970" t="s">
        <v>3985</v>
      </c>
      <c r="B3970" s="2">
        <v>46202.540972222225</v>
      </c>
      <c r="C3970" s="2">
        <v>46204.057638888888</v>
      </c>
      <c r="D3970" t="s">
        <v>6024</v>
      </c>
      <c r="E3970" t="s">
        <v>6031</v>
      </c>
      <c r="F3970" t="s">
        <v>6033</v>
      </c>
      <c r="G3970" t="s">
        <v>6048</v>
      </c>
      <c r="H3970" t="s">
        <v>6096</v>
      </c>
      <c r="I3970">
        <v>72</v>
      </c>
      <c r="J3970">
        <v>36.4</v>
      </c>
      <c r="K3970" t="s">
        <v>6100</v>
      </c>
      <c r="L3970" t="s">
        <v>6100</v>
      </c>
      <c r="M3970" t="s">
        <v>6100</v>
      </c>
      <c r="N3970">
        <v>4</v>
      </c>
      <c r="O3970" t="s">
        <v>6101</v>
      </c>
      <c r="P3970" t="s">
        <v>6112</v>
      </c>
      <c r="Q3970">
        <v>6</v>
      </c>
      <c r="R3970">
        <v>2026</v>
      </c>
      <c r="S3970" t="s">
        <v>6099</v>
      </c>
      <c r="T3970">
        <v>1</v>
      </c>
      <c r="U3970" t="s">
        <v>6018</v>
      </c>
      <c r="V3970">
        <v>0</v>
      </c>
    </row>
    <row r="3971" spans="1:22" x14ac:dyDescent="0.3">
      <c r="A3971" t="s">
        <v>3986</v>
      </c>
      <c r="B3971" s="2">
        <v>46202.543749999997</v>
      </c>
      <c r="C3971" s="2">
        <v>46203.397916666669</v>
      </c>
      <c r="D3971" t="s">
        <v>6025</v>
      </c>
      <c r="E3971" t="s">
        <v>6030</v>
      </c>
      <c r="F3971" t="s">
        <v>6033</v>
      </c>
      <c r="G3971" t="s">
        <v>6082</v>
      </c>
      <c r="H3971" t="s">
        <v>6097</v>
      </c>
      <c r="I3971">
        <v>72</v>
      </c>
      <c r="J3971">
        <v>20.5</v>
      </c>
      <c r="K3971" t="s">
        <v>6099</v>
      </c>
      <c r="L3971" t="s">
        <v>6100</v>
      </c>
      <c r="M3971" t="s">
        <v>6100</v>
      </c>
      <c r="N3971">
        <v>3</v>
      </c>
      <c r="O3971" t="s">
        <v>6101</v>
      </c>
      <c r="P3971" t="s">
        <v>6112</v>
      </c>
      <c r="Q3971">
        <v>6</v>
      </c>
      <c r="R3971">
        <v>2026</v>
      </c>
      <c r="S3971" t="s">
        <v>6099</v>
      </c>
      <c r="T3971">
        <v>1</v>
      </c>
      <c r="U3971" t="s">
        <v>6017</v>
      </c>
      <c r="V3971">
        <v>1</v>
      </c>
    </row>
    <row r="3972" spans="1:22" x14ac:dyDescent="0.3">
      <c r="A3972" t="s">
        <v>3987</v>
      </c>
      <c r="B3972" s="2">
        <v>46202.5625</v>
      </c>
      <c r="C3972" s="2">
        <v>46202.824999999997</v>
      </c>
      <c r="D3972" t="s">
        <v>6023</v>
      </c>
      <c r="E3972" t="s">
        <v>6029</v>
      </c>
      <c r="F3972" t="s">
        <v>6033</v>
      </c>
      <c r="G3972" t="s">
        <v>6091</v>
      </c>
      <c r="H3972" t="s">
        <v>6097</v>
      </c>
      <c r="I3972">
        <v>72</v>
      </c>
      <c r="J3972">
        <v>6.3</v>
      </c>
      <c r="K3972" t="s">
        <v>6099</v>
      </c>
      <c r="L3972" t="s">
        <v>6100</v>
      </c>
      <c r="M3972" t="s">
        <v>6100</v>
      </c>
      <c r="O3972" t="s">
        <v>6101</v>
      </c>
      <c r="P3972" t="s">
        <v>6112</v>
      </c>
      <c r="Q3972">
        <v>6</v>
      </c>
      <c r="R3972">
        <v>2026</v>
      </c>
      <c r="S3972" t="s">
        <v>6099</v>
      </c>
      <c r="T3972">
        <v>1</v>
      </c>
      <c r="U3972" t="s">
        <v>6019</v>
      </c>
      <c r="V3972">
        <v>1</v>
      </c>
    </row>
    <row r="3973" spans="1:22" x14ac:dyDescent="0.3">
      <c r="A3973" t="s">
        <v>3988</v>
      </c>
      <c r="B3973" s="2">
        <v>46202.576388888891</v>
      </c>
      <c r="C3973" s="2">
        <v>46204.543055555558</v>
      </c>
      <c r="D3973" t="s">
        <v>6026</v>
      </c>
      <c r="E3973" t="s">
        <v>6029</v>
      </c>
      <c r="F3973" t="s">
        <v>6034</v>
      </c>
      <c r="G3973" t="s">
        <v>6050</v>
      </c>
      <c r="H3973" t="s">
        <v>6098</v>
      </c>
      <c r="I3973">
        <v>24</v>
      </c>
      <c r="J3973">
        <v>47.2</v>
      </c>
      <c r="K3973" t="s">
        <v>6100</v>
      </c>
      <c r="L3973" t="s">
        <v>6099</v>
      </c>
      <c r="M3973" t="s">
        <v>6100</v>
      </c>
      <c r="O3973" t="s">
        <v>6101</v>
      </c>
      <c r="P3973" t="s">
        <v>6112</v>
      </c>
      <c r="Q3973">
        <v>6</v>
      </c>
      <c r="R3973">
        <v>2026</v>
      </c>
      <c r="S3973" t="s">
        <v>6100</v>
      </c>
      <c r="T3973">
        <v>0</v>
      </c>
      <c r="U3973" t="s">
        <v>6018</v>
      </c>
      <c r="V3973">
        <v>0</v>
      </c>
    </row>
    <row r="3974" spans="1:22" x14ac:dyDescent="0.3">
      <c r="A3974" t="s">
        <v>3989</v>
      </c>
      <c r="B3974" s="2">
        <v>46202.60833333333</v>
      </c>
      <c r="C3974" s="2">
        <v>46202.916666666664</v>
      </c>
      <c r="D3974" t="s">
        <v>6024</v>
      </c>
      <c r="E3974" t="s">
        <v>6029</v>
      </c>
      <c r="F3974" t="s">
        <v>6035</v>
      </c>
      <c r="G3974" t="s">
        <v>6042</v>
      </c>
      <c r="H3974" t="s">
        <v>6098</v>
      </c>
      <c r="I3974">
        <v>4</v>
      </c>
      <c r="J3974">
        <v>7.4</v>
      </c>
      <c r="K3974" t="s">
        <v>6099</v>
      </c>
      <c r="L3974" t="s">
        <v>6100</v>
      </c>
      <c r="M3974" t="s">
        <v>6099</v>
      </c>
      <c r="N3974">
        <v>3</v>
      </c>
      <c r="O3974" t="s">
        <v>6101</v>
      </c>
      <c r="P3974" t="s">
        <v>6112</v>
      </c>
      <c r="Q3974">
        <v>6</v>
      </c>
      <c r="R3974">
        <v>2026</v>
      </c>
      <c r="S3974" t="s">
        <v>6100</v>
      </c>
      <c r="T3974">
        <v>0</v>
      </c>
      <c r="U3974" t="s">
        <v>6021</v>
      </c>
      <c r="V3974">
        <v>1</v>
      </c>
    </row>
    <row r="3975" spans="1:22" x14ac:dyDescent="0.3">
      <c r="A3975" t="s">
        <v>3990</v>
      </c>
      <c r="B3975" s="2">
        <v>46202.625694444447</v>
      </c>
      <c r="C3975" s="2">
        <v>46202.792361111111</v>
      </c>
      <c r="D3975" t="s">
        <v>6027</v>
      </c>
      <c r="E3975" t="s">
        <v>6029</v>
      </c>
      <c r="F3975" t="s">
        <v>6034</v>
      </c>
      <c r="G3975" t="s">
        <v>6039</v>
      </c>
      <c r="H3975" t="s">
        <v>6097</v>
      </c>
      <c r="I3975">
        <v>24</v>
      </c>
      <c r="J3975">
        <v>4</v>
      </c>
      <c r="K3975" t="s">
        <v>6100</v>
      </c>
      <c r="L3975" t="s">
        <v>6099</v>
      </c>
      <c r="M3975" t="s">
        <v>6100</v>
      </c>
      <c r="O3975" t="s">
        <v>6101</v>
      </c>
      <c r="P3975" t="s">
        <v>6112</v>
      </c>
      <c r="Q3975">
        <v>6</v>
      </c>
      <c r="R3975">
        <v>2026</v>
      </c>
      <c r="S3975" t="s">
        <v>6099</v>
      </c>
      <c r="T3975">
        <v>1</v>
      </c>
      <c r="U3975" t="s">
        <v>6019</v>
      </c>
      <c r="V3975">
        <v>0</v>
      </c>
    </row>
    <row r="3976" spans="1:22" x14ac:dyDescent="0.3">
      <c r="A3976" t="s">
        <v>3991</v>
      </c>
      <c r="B3976" s="2">
        <v>46202.62777777778</v>
      </c>
      <c r="C3976" s="2">
        <v>46202.811111111114</v>
      </c>
      <c r="D3976" t="s">
        <v>6023</v>
      </c>
      <c r="E3976" t="s">
        <v>6032</v>
      </c>
      <c r="F3976" t="s">
        <v>6034</v>
      </c>
      <c r="G3976" t="s">
        <v>6048</v>
      </c>
      <c r="H3976" t="s">
        <v>6096</v>
      </c>
      <c r="I3976">
        <v>24</v>
      </c>
      <c r="J3976">
        <v>4.4000000000000004</v>
      </c>
      <c r="K3976" t="s">
        <v>6100</v>
      </c>
      <c r="L3976" t="s">
        <v>6099</v>
      </c>
      <c r="M3976" t="s">
        <v>6099</v>
      </c>
      <c r="N3976">
        <v>4</v>
      </c>
      <c r="O3976" t="s">
        <v>6101</v>
      </c>
      <c r="P3976" t="s">
        <v>6112</v>
      </c>
      <c r="Q3976">
        <v>6</v>
      </c>
      <c r="R3976">
        <v>2026</v>
      </c>
      <c r="S3976" t="s">
        <v>6099</v>
      </c>
      <c r="T3976">
        <v>1</v>
      </c>
      <c r="U3976" t="s">
        <v>6020</v>
      </c>
      <c r="V3976">
        <v>0</v>
      </c>
    </row>
    <row r="3977" spans="1:22" x14ac:dyDescent="0.3">
      <c r="A3977" t="s">
        <v>3992</v>
      </c>
      <c r="B3977" s="2">
        <v>46202.643055555556</v>
      </c>
      <c r="C3977" s="2">
        <v>46202.901388888888</v>
      </c>
      <c r="D3977" t="s">
        <v>6022</v>
      </c>
      <c r="E3977" t="s">
        <v>6030</v>
      </c>
      <c r="F3977" t="s">
        <v>6034</v>
      </c>
      <c r="G3977" t="s">
        <v>6089</v>
      </c>
      <c r="H3977" t="s">
        <v>6098</v>
      </c>
      <c r="I3977">
        <v>24</v>
      </c>
      <c r="J3977">
        <v>6.2</v>
      </c>
      <c r="K3977" t="s">
        <v>6099</v>
      </c>
      <c r="L3977" t="s">
        <v>6100</v>
      </c>
      <c r="M3977" t="s">
        <v>6100</v>
      </c>
      <c r="N3977">
        <v>5</v>
      </c>
      <c r="O3977" t="s">
        <v>6101</v>
      </c>
      <c r="P3977" t="s">
        <v>6112</v>
      </c>
      <c r="Q3977">
        <v>6</v>
      </c>
      <c r="R3977">
        <v>2026</v>
      </c>
      <c r="S3977" t="s">
        <v>6099</v>
      </c>
      <c r="T3977">
        <v>1</v>
      </c>
      <c r="U3977" t="s">
        <v>6019</v>
      </c>
      <c r="V3977">
        <v>1</v>
      </c>
    </row>
    <row r="3978" spans="1:22" x14ac:dyDescent="0.3">
      <c r="A3978" t="s">
        <v>3993</v>
      </c>
      <c r="B3978" s="2">
        <v>46202.649305555555</v>
      </c>
      <c r="C3978" s="2">
        <v>46203.270138888889</v>
      </c>
      <c r="D3978" t="s">
        <v>6022</v>
      </c>
      <c r="E3978" t="s">
        <v>6030</v>
      </c>
      <c r="F3978" t="s">
        <v>6033</v>
      </c>
      <c r="G3978" t="s">
        <v>6036</v>
      </c>
      <c r="H3978" t="s">
        <v>6096</v>
      </c>
      <c r="I3978">
        <v>72</v>
      </c>
      <c r="J3978">
        <v>14.9</v>
      </c>
      <c r="K3978" t="s">
        <v>6099</v>
      </c>
      <c r="L3978" t="s">
        <v>6100</v>
      </c>
      <c r="M3978" t="s">
        <v>6100</v>
      </c>
      <c r="N3978">
        <v>4</v>
      </c>
      <c r="O3978" t="s">
        <v>6101</v>
      </c>
      <c r="P3978" t="s">
        <v>6112</v>
      </c>
      <c r="Q3978">
        <v>6</v>
      </c>
      <c r="R3978">
        <v>2026</v>
      </c>
      <c r="S3978" t="s">
        <v>6099</v>
      </c>
      <c r="T3978">
        <v>1</v>
      </c>
      <c r="U3978" t="s">
        <v>6019</v>
      </c>
      <c r="V3978">
        <v>1</v>
      </c>
    </row>
    <row r="3979" spans="1:22" x14ac:dyDescent="0.3">
      <c r="A3979" t="s">
        <v>3994</v>
      </c>
      <c r="B3979" s="2">
        <v>46202.7</v>
      </c>
      <c r="C3979" s="2">
        <v>46203.216666666667</v>
      </c>
      <c r="D3979" t="s">
        <v>6025</v>
      </c>
      <c r="E3979" t="s">
        <v>6029</v>
      </c>
      <c r="F3979" t="s">
        <v>6034</v>
      </c>
      <c r="G3979" t="s">
        <v>6067</v>
      </c>
      <c r="H3979" t="s">
        <v>6098</v>
      </c>
      <c r="I3979">
        <v>24</v>
      </c>
      <c r="J3979">
        <v>12.4</v>
      </c>
      <c r="K3979" t="s">
        <v>6100</v>
      </c>
      <c r="L3979" t="s">
        <v>6100</v>
      </c>
      <c r="M3979" t="s">
        <v>6100</v>
      </c>
      <c r="N3979">
        <v>4</v>
      </c>
      <c r="O3979" t="s">
        <v>6101</v>
      </c>
      <c r="P3979" t="s">
        <v>6112</v>
      </c>
      <c r="Q3979">
        <v>6</v>
      </c>
      <c r="R3979">
        <v>2026</v>
      </c>
      <c r="S3979" t="s">
        <v>6099</v>
      </c>
      <c r="T3979">
        <v>1</v>
      </c>
      <c r="U3979" t="s">
        <v>6019</v>
      </c>
      <c r="V3979">
        <v>0</v>
      </c>
    </row>
    <row r="3980" spans="1:22" x14ac:dyDescent="0.3">
      <c r="A3980" t="s">
        <v>3995</v>
      </c>
      <c r="B3980" s="2">
        <v>46202.705555555556</v>
      </c>
      <c r="C3980" s="2">
        <v>46202.972222222219</v>
      </c>
      <c r="D3980" t="s">
        <v>6024</v>
      </c>
      <c r="E3980" t="s">
        <v>6030</v>
      </c>
      <c r="F3980" t="s">
        <v>6034</v>
      </c>
      <c r="G3980" t="s">
        <v>6056</v>
      </c>
      <c r="H3980" t="s">
        <v>6098</v>
      </c>
      <c r="I3980">
        <v>24</v>
      </c>
      <c r="J3980">
        <v>6.4</v>
      </c>
      <c r="K3980" t="s">
        <v>6100</v>
      </c>
      <c r="L3980" t="s">
        <v>6099</v>
      </c>
      <c r="M3980" t="s">
        <v>6100</v>
      </c>
      <c r="N3980">
        <v>3</v>
      </c>
      <c r="O3980" t="s">
        <v>6101</v>
      </c>
      <c r="P3980" t="s">
        <v>6112</v>
      </c>
      <c r="Q3980">
        <v>6</v>
      </c>
      <c r="R3980">
        <v>2026</v>
      </c>
      <c r="S3980" t="s">
        <v>6099</v>
      </c>
      <c r="T3980">
        <v>1</v>
      </c>
      <c r="U3980" t="s">
        <v>6017</v>
      </c>
      <c r="V3980">
        <v>0</v>
      </c>
    </row>
    <row r="3981" spans="1:22" x14ac:dyDescent="0.3">
      <c r="A3981" t="s">
        <v>3996</v>
      </c>
      <c r="B3981" s="2">
        <v>46202.713888888888</v>
      </c>
      <c r="C3981" s="2">
        <v>46203.130555555559</v>
      </c>
      <c r="D3981" t="s">
        <v>6024</v>
      </c>
      <c r="E3981" t="s">
        <v>6029</v>
      </c>
      <c r="F3981" t="s">
        <v>6033</v>
      </c>
      <c r="G3981" t="s">
        <v>6093</v>
      </c>
      <c r="H3981" t="s">
        <v>6097</v>
      </c>
      <c r="I3981">
        <v>72</v>
      </c>
      <c r="J3981">
        <v>10</v>
      </c>
      <c r="K3981" t="s">
        <v>6100</v>
      </c>
      <c r="L3981" t="s">
        <v>6100</v>
      </c>
      <c r="M3981" t="s">
        <v>6100</v>
      </c>
      <c r="N3981">
        <v>5</v>
      </c>
      <c r="O3981" t="s">
        <v>6101</v>
      </c>
      <c r="P3981" t="s">
        <v>6112</v>
      </c>
      <c r="Q3981">
        <v>6</v>
      </c>
      <c r="R3981">
        <v>2026</v>
      </c>
      <c r="S3981" t="s">
        <v>6099</v>
      </c>
      <c r="T3981">
        <v>1</v>
      </c>
      <c r="U3981" t="s">
        <v>6020</v>
      </c>
      <c r="V3981">
        <v>0</v>
      </c>
    </row>
    <row r="3982" spans="1:22" x14ac:dyDescent="0.3">
      <c r="A3982" t="s">
        <v>3997</v>
      </c>
      <c r="B3982" s="2">
        <v>46202.713888888888</v>
      </c>
      <c r="C3982" s="2">
        <v>46203.080555555556</v>
      </c>
      <c r="D3982" t="s">
        <v>6028</v>
      </c>
      <c r="E3982" t="s">
        <v>6029</v>
      </c>
      <c r="F3982" t="s">
        <v>6034</v>
      </c>
      <c r="G3982" t="s">
        <v>6076</v>
      </c>
      <c r="H3982" t="s">
        <v>6097</v>
      </c>
      <c r="I3982">
        <v>24</v>
      </c>
      <c r="J3982">
        <v>8.8000000000000007</v>
      </c>
      <c r="K3982" t="s">
        <v>6099</v>
      </c>
      <c r="L3982" t="s">
        <v>6100</v>
      </c>
      <c r="M3982" t="s">
        <v>6100</v>
      </c>
      <c r="N3982">
        <v>5</v>
      </c>
      <c r="O3982" t="s">
        <v>6101</v>
      </c>
      <c r="P3982" t="s">
        <v>6112</v>
      </c>
      <c r="Q3982">
        <v>6</v>
      </c>
      <c r="R3982">
        <v>2026</v>
      </c>
      <c r="S3982" t="s">
        <v>6099</v>
      </c>
      <c r="T3982">
        <v>1</v>
      </c>
      <c r="U3982" t="s">
        <v>6021</v>
      </c>
      <c r="V3982">
        <v>1</v>
      </c>
    </row>
    <row r="3983" spans="1:22" x14ac:dyDescent="0.3">
      <c r="A3983" t="s">
        <v>3998</v>
      </c>
      <c r="B3983" s="2">
        <v>46202.736111111109</v>
      </c>
      <c r="C3983" s="2">
        <v>46203.75277777778</v>
      </c>
      <c r="D3983" t="s">
        <v>6025</v>
      </c>
      <c r="E3983" t="s">
        <v>6030</v>
      </c>
      <c r="F3983" t="s">
        <v>6033</v>
      </c>
      <c r="G3983" t="s">
        <v>6080</v>
      </c>
      <c r="H3983" t="s">
        <v>6096</v>
      </c>
      <c r="I3983">
        <v>72</v>
      </c>
      <c r="J3983">
        <v>24.4</v>
      </c>
      <c r="K3983" t="s">
        <v>6100</v>
      </c>
      <c r="L3983" t="s">
        <v>6099</v>
      </c>
      <c r="M3983" t="s">
        <v>6100</v>
      </c>
      <c r="N3983">
        <v>4</v>
      </c>
      <c r="O3983" t="s">
        <v>6101</v>
      </c>
      <c r="P3983" t="s">
        <v>6112</v>
      </c>
      <c r="Q3983">
        <v>6</v>
      </c>
      <c r="R3983">
        <v>2026</v>
      </c>
      <c r="S3983" t="s">
        <v>6099</v>
      </c>
      <c r="T3983">
        <v>1</v>
      </c>
      <c r="U3983" t="s">
        <v>6020</v>
      </c>
      <c r="V3983">
        <v>0</v>
      </c>
    </row>
    <row r="3984" spans="1:22" x14ac:dyDescent="0.3">
      <c r="A3984" t="s">
        <v>3999</v>
      </c>
      <c r="B3984" s="2">
        <v>46202.775694444441</v>
      </c>
      <c r="C3984" s="2">
        <v>46203.700694444444</v>
      </c>
      <c r="D3984" t="s">
        <v>6028</v>
      </c>
      <c r="E3984" t="s">
        <v>6031</v>
      </c>
      <c r="F3984" t="s">
        <v>6034</v>
      </c>
      <c r="G3984" t="s">
        <v>6061</v>
      </c>
      <c r="H3984" t="s">
        <v>6096</v>
      </c>
      <c r="I3984">
        <v>24</v>
      </c>
      <c r="J3984">
        <v>22.2</v>
      </c>
      <c r="K3984" t="s">
        <v>6099</v>
      </c>
      <c r="L3984" t="s">
        <v>6100</v>
      </c>
      <c r="M3984" t="s">
        <v>6100</v>
      </c>
      <c r="N3984">
        <v>5</v>
      </c>
      <c r="O3984" t="s">
        <v>6101</v>
      </c>
      <c r="P3984" t="s">
        <v>6112</v>
      </c>
      <c r="Q3984">
        <v>6</v>
      </c>
      <c r="R3984">
        <v>2026</v>
      </c>
      <c r="S3984" t="s">
        <v>6099</v>
      </c>
      <c r="T3984">
        <v>1</v>
      </c>
      <c r="U3984" t="s">
        <v>6018</v>
      </c>
      <c r="V3984">
        <v>1</v>
      </c>
    </row>
    <row r="3985" spans="1:22" x14ac:dyDescent="0.3">
      <c r="A3985" t="s">
        <v>4000</v>
      </c>
      <c r="B3985" s="2">
        <v>46202.807638888888</v>
      </c>
      <c r="C3985" s="2">
        <v>46203.220138888886</v>
      </c>
      <c r="D3985" t="s">
        <v>6027</v>
      </c>
      <c r="E3985" t="s">
        <v>6032</v>
      </c>
      <c r="F3985" t="s">
        <v>6033</v>
      </c>
      <c r="G3985" t="s">
        <v>6090</v>
      </c>
      <c r="H3985" t="s">
        <v>6097</v>
      </c>
      <c r="I3985">
        <v>72</v>
      </c>
      <c r="J3985">
        <v>9.9</v>
      </c>
      <c r="K3985" t="s">
        <v>6099</v>
      </c>
      <c r="L3985" t="s">
        <v>6100</v>
      </c>
      <c r="M3985" t="s">
        <v>6100</v>
      </c>
      <c r="N3985">
        <v>5</v>
      </c>
      <c r="O3985" t="s">
        <v>6101</v>
      </c>
      <c r="P3985" t="s">
        <v>6112</v>
      </c>
      <c r="Q3985">
        <v>6</v>
      </c>
      <c r="R3985">
        <v>2026</v>
      </c>
      <c r="S3985" t="s">
        <v>6099</v>
      </c>
      <c r="T3985">
        <v>1</v>
      </c>
      <c r="U3985" t="s">
        <v>6021</v>
      </c>
      <c r="V3985">
        <v>1</v>
      </c>
    </row>
    <row r="3986" spans="1:22" x14ac:dyDescent="0.3">
      <c r="A3986" t="s">
        <v>4001</v>
      </c>
      <c r="B3986" s="2">
        <v>46202.831944444442</v>
      </c>
      <c r="C3986" s="2">
        <v>46203.294444444444</v>
      </c>
      <c r="D3986" t="s">
        <v>6024</v>
      </c>
      <c r="E3986" t="s">
        <v>6029</v>
      </c>
      <c r="F3986" t="s">
        <v>6034</v>
      </c>
      <c r="G3986" t="s">
        <v>6068</v>
      </c>
      <c r="H3986" t="s">
        <v>6098</v>
      </c>
      <c r="I3986">
        <v>24</v>
      </c>
      <c r="J3986">
        <v>11.1</v>
      </c>
      <c r="K3986" t="s">
        <v>6099</v>
      </c>
      <c r="L3986" t="s">
        <v>6100</v>
      </c>
      <c r="M3986" t="s">
        <v>6100</v>
      </c>
      <c r="N3986">
        <v>4</v>
      </c>
      <c r="O3986" t="s">
        <v>6101</v>
      </c>
      <c r="P3986" t="s">
        <v>6112</v>
      </c>
      <c r="Q3986">
        <v>6</v>
      </c>
      <c r="R3986">
        <v>2026</v>
      </c>
      <c r="S3986" t="s">
        <v>6099</v>
      </c>
      <c r="T3986">
        <v>1</v>
      </c>
      <c r="U3986" t="s">
        <v>6018</v>
      </c>
      <c r="V3986">
        <v>1</v>
      </c>
    </row>
    <row r="3987" spans="1:22" x14ac:dyDescent="0.3">
      <c r="A3987" t="s">
        <v>4002</v>
      </c>
      <c r="B3987" s="2">
        <v>46203.130555555559</v>
      </c>
      <c r="C3987" s="2">
        <v>46203.693055555559</v>
      </c>
      <c r="D3987" t="s">
        <v>6024</v>
      </c>
      <c r="E3987" t="s">
        <v>6032</v>
      </c>
      <c r="F3987" t="s">
        <v>6033</v>
      </c>
      <c r="G3987" t="s">
        <v>6071</v>
      </c>
      <c r="H3987" t="s">
        <v>6098</v>
      </c>
      <c r="I3987">
        <v>72</v>
      </c>
      <c r="J3987">
        <v>13.5</v>
      </c>
      <c r="K3987" t="s">
        <v>6099</v>
      </c>
      <c r="L3987" t="s">
        <v>6100</v>
      </c>
      <c r="M3987" t="s">
        <v>6100</v>
      </c>
      <c r="O3987" t="s">
        <v>6101</v>
      </c>
      <c r="P3987" t="s">
        <v>6112</v>
      </c>
      <c r="Q3987">
        <v>6</v>
      </c>
      <c r="R3987">
        <v>2026</v>
      </c>
      <c r="S3987" t="s">
        <v>6099</v>
      </c>
      <c r="T3987">
        <v>1</v>
      </c>
      <c r="U3987" t="s">
        <v>6018</v>
      </c>
      <c r="V3987">
        <v>1</v>
      </c>
    </row>
    <row r="3988" spans="1:22" x14ac:dyDescent="0.3">
      <c r="A3988" t="s">
        <v>4003</v>
      </c>
      <c r="B3988" s="2">
        <v>46203.247916666667</v>
      </c>
      <c r="C3988" s="2">
        <v>46203.510416666664</v>
      </c>
      <c r="D3988" t="s">
        <v>6028</v>
      </c>
      <c r="E3988" t="s">
        <v>6029</v>
      </c>
      <c r="F3988" t="s">
        <v>6035</v>
      </c>
      <c r="G3988" t="s">
        <v>6063</v>
      </c>
      <c r="H3988" t="s">
        <v>6097</v>
      </c>
      <c r="I3988">
        <v>4</v>
      </c>
      <c r="J3988">
        <v>6.3</v>
      </c>
      <c r="K3988" t="s">
        <v>6099</v>
      </c>
      <c r="L3988" t="s">
        <v>6100</v>
      </c>
      <c r="M3988" t="s">
        <v>6100</v>
      </c>
      <c r="N3988">
        <v>3</v>
      </c>
      <c r="O3988" t="s">
        <v>6101</v>
      </c>
      <c r="P3988" t="s">
        <v>6112</v>
      </c>
      <c r="Q3988">
        <v>6</v>
      </c>
      <c r="R3988">
        <v>2026</v>
      </c>
      <c r="S3988" t="s">
        <v>6100</v>
      </c>
      <c r="T3988">
        <v>0</v>
      </c>
      <c r="U3988" t="s">
        <v>6019</v>
      </c>
      <c r="V3988">
        <v>1</v>
      </c>
    </row>
    <row r="3989" spans="1:22" x14ac:dyDescent="0.3">
      <c r="A3989" t="s">
        <v>4004</v>
      </c>
      <c r="B3989" s="2">
        <v>46203.270833333336</v>
      </c>
      <c r="C3989" s="2">
        <v>46204.345833333333</v>
      </c>
      <c r="D3989" t="s">
        <v>6024</v>
      </c>
      <c r="E3989" t="s">
        <v>6029</v>
      </c>
      <c r="F3989" t="s">
        <v>6034</v>
      </c>
      <c r="G3989" t="s">
        <v>6062</v>
      </c>
      <c r="H3989" t="s">
        <v>6096</v>
      </c>
      <c r="I3989">
        <v>24</v>
      </c>
      <c r="J3989">
        <v>25.8</v>
      </c>
      <c r="K3989" t="s">
        <v>6099</v>
      </c>
      <c r="L3989" t="s">
        <v>6100</v>
      </c>
      <c r="M3989" t="s">
        <v>6100</v>
      </c>
      <c r="N3989">
        <v>5</v>
      </c>
      <c r="O3989" t="s">
        <v>6101</v>
      </c>
      <c r="P3989" t="s">
        <v>6112</v>
      </c>
      <c r="Q3989">
        <v>6</v>
      </c>
      <c r="R3989">
        <v>2026</v>
      </c>
      <c r="S3989" t="s">
        <v>6100</v>
      </c>
      <c r="T3989">
        <v>0</v>
      </c>
      <c r="U3989" t="s">
        <v>6019</v>
      </c>
      <c r="V3989">
        <v>1</v>
      </c>
    </row>
    <row r="3990" spans="1:22" x14ac:dyDescent="0.3">
      <c r="A3990" t="s">
        <v>4005</v>
      </c>
      <c r="B3990" s="2">
        <v>46203.4</v>
      </c>
      <c r="C3990" s="2">
        <v>46203.754166666666</v>
      </c>
      <c r="D3990" t="s">
        <v>6023</v>
      </c>
      <c r="E3990" t="s">
        <v>6029</v>
      </c>
      <c r="F3990" t="s">
        <v>6034</v>
      </c>
      <c r="G3990" t="s">
        <v>6082</v>
      </c>
      <c r="H3990" t="s">
        <v>6097</v>
      </c>
      <c r="I3990">
        <v>24</v>
      </c>
      <c r="J3990">
        <v>8.5</v>
      </c>
      <c r="K3990" t="s">
        <v>6100</v>
      </c>
      <c r="L3990" t="s">
        <v>6100</v>
      </c>
      <c r="M3990" t="s">
        <v>6100</v>
      </c>
      <c r="N3990">
        <v>4</v>
      </c>
      <c r="O3990" t="s">
        <v>6101</v>
      </c>
      <c r="P3990" t="s">
        <v>6112</v>
      </c>
      <c r="Q3990">
        <v>6</v>
      </c>
      <c r="R3990">
        <v>2026</v>
      </c>
      <c r="S3990" t="s">
        <v>6099</v>
      </c>
      <c r="T3990">
        <v>1</v>
      </c>
      <c r="U3990" t="s">
        <v>6017</v>
      </c>
      <c r="V3990">
        <v>0</v>
      </c>
    </row>
    <row r="3991" spans="1:22" x14ac:dyDescent="0.3">
      <c r="A3991" t="s">
        <v>4006</v>
      </c>
      <c r="B3991" s="2">
        <v>46203.423611111109</v>
      </c>
      <c r="C3991" s="2">
        <v>46203.556944444441</v>
      </c>
      <c r="D3991" t="s">
        <v>6023</v>
      </c>
      <c r="E3991" t="s">
        <v>6030</v>
      </c>
      <c r="F3991" t="s">
        <v>6034</v>
      </c>
      <c r="G3991" t="s">
        <v>6047</v>
      </c>
      <c r="H3991" t="s">
        <v>6098</v>
      </c>
      <c r="I3991">
        <v>24</v>
      </c>
      <c r="J3991">
        <v>3.2</v>
      </c>
      <c r="K3991" t="s">
        <v>6099</v>
      </c>
      <c r="L3991" t="s">
        <v>6100</v>
      </c>
      <c r="M3991" t="s">
        <v>6100</v>
      </c>
      <c r="O3991" t="s">
        <v>6101</v>
      </c>
      <c r="P3991" t="s">
        <v>6112</v>
      </c>
      <c r="Q3991">
        <v>6</v>
      </c>
      <c r="R3991">
        <v>2026</v>
      </c>
      <c r="S3991" t="s">
        <v>6099</v>
      </c>
      <c r="T3991">
        <v>1</v>
      </c>
      <c r="U3991" t="s">
        <v>6018</v>
      </c>
      <c r="V3991">
        <v>1</v>
      </c>
    </row>
    <row r="3992" spans="1:22" x14ac:dyDescent="0.3">
      <c r="A3992" t="s">
        <v>4007</v>
      </c>
      <c r="B3992" s="2">
        <v>46203.428472222222</v>
      </c>
      <c r="C3992" s="2">
        <v>46205.84097222222</v>
      </c>
      <c r="D3992" t="s">
        <v>6026</v>
      </c>
      <c r="E3992" t="s">
        <v>6031</v>
      </c>
      <c r="F3992" t="s">
        <v>6035</v>
      </c>
      <c r="G3992" t="s">
        <v>6092</v>
      </c>
      <c r="H3992" t="s">
        <v>6097</v>
      </c>
      <c r="I3992">
        <v>4</v>
      </c>
      <c r="J3992">
        <v>57.9</v>
      </c>
      <c r="K3992" t="s">
        <v>6099</v>
      </c>
      <c r="L3992" t="s">
        <v>6100</v>
      </c>
      <c r="M3992" t="s">
        <v>6099</v>
      </c>
      <c r="O3992" t="s">
        <v>6101</v>
      </c>
      <c r="P3992" t="s">
        <v>6112</v>
      </c>
      <c r="Q3992">
        <v>6</v>
      </c>
      <c r="R3992">
        <v>2026</v>
      </c>
      <c r="S3992" t="s">
        <v>6100</v>
      </c>
      <c r="T3992">
        <v>0</v>
      </c>
      <c r="U3992" t="s">
        <v>6017</v>
      </c>
      <c r="V3992">
        <v>1</v>
      </c>
    </row>
    <row r="3993" spans="1:22" x14ac:dyDescent="0.3">
      <c r="A3993" t="s">
        <v>4008</v>
      </c>
      <c r="B3993" s="2">
        <v>46203.453472222223</v>
      </c>
      <c r="C3993" s="2">
        <v>46204.003472222219</v>
      </c>
      <c r="D3993" t="s">
        <v>6023</v>
      </c>
      <c r="E3993" t="s">
        <v>6032</v>
      </c>
      <c r="F3993" t="s">
        <v>6033</v>
      </c>
      <c r="G3993" t="s">
        <v>6058</v>
      </c>
      <c r="H3993" t="s">
        <v>6098</v>
      </c>
      <c r="I3993">
        <v>72</v>
      </c>
      <c r="J3993">
        <v>13.2</v>
      </c>
      <c r="K3993" t="s">
        <v>6099</v>
      </c>
      <c r="L3993" t="s">
        <v>6100</v>
      </c>
      <c r="M3993" t="s">
        <v>6099</v>
      </c>
      <c r="N3993">
        <v>4</v>
      </c>
      <c r="O3993" t="s">
        <v>6101</v>
      </c>
      <c r="P3993" t="s">
        <v>6112</v>
      </c>
      <c r="Q3993">
        <v>6</v>
      </c>
      <c r="R3993">
        <v>2026</v>
      </c>
      <c r="S3993" t="s">
        <v>6099</v>
      </c>
      <c r="T3993">
        <v>1</v>
      </c>
      <c r="U3993" t="s">
        <v>6018</v>
      </c>
      <c r="V3993">
        <v>1</v>
      </c>
    </row>
    <row r="3994" spans="1:22" x14ac:dyDescent="0.3">
      <c r="A3994" t="s">
        <v>4009</v>
      </c>
      <c r="B3994" s="2">
        <v>46203.470833333333</v>
      </c>
      <c r="C3994" s="2">
        <v>46203.695833333331</v>
      </c>
      <c r="D3994" t="s">
        <v>6022</v>
      </c>
      <c r="E3994" t="s">
        <v>6029</v>
      </c>
      <c r="F3994" t="s">
        <v>6033</v>
      </c>
      <c r="G3994" t="s">
        <v>6049</v>
      </c>
      <c r="H3994" t="s">
        <v>6097</v>
      </c>
      <c r="I3994">
        <v>72</v>
      </c>
      <c r="K3994" t="s">
        <v>6099</v>
      </c>
      <c r="L3994" t="s">
        <v>6100</v>
      </c>
      <c r="M3994" t="s">
        <v>6100</v>
      </c>
      <c r="O3994" t="s">
        <v>6101</v>
      </c>
      <c r="P3994" t="s">
        <v>6112</v>
      </c>
      <c r="Q3994">
        <v>6</v>
      </c>
      <c r="R3994">
        <v>2026</v>
      </c>
      <c r="U3994" t="s">
        <v>6018</v>
      </c>
      <c r="V3994">
        <v>1</v>
      </c>
    </row>
    <row r="3995" spans="1:22" x14ac:dyDescent="0.3">
      <c r="A3995" t="s">
        <v>4010</v>
      </c>
      <c r="B3995" s="2">
        <v>46203.481249999997</v>
      </c>
      <c r="C3995" s="2">
        <v>46207.647916666669</v>
      </c>
      <c r="D3995" t="s">
        <v>6026</v>
      </c>
      <c r="E3995" t="s">
        <v>6031</v>
      </c>
      <c r="F3995" t="s">
        <v>6034</v>
      </c>
      <c r="G3995" t="s">
        <v>6042</v>
      </c>
      <c r="H3995" t="s">
        <v>6098</v>
      </c>
      <c r="I3995">
        <v>24</v>
      </c>
      <c r="J3995">
        <v>100</v>
      </c>
      <c r="K3995" t="s">
        <v>6099</v>
      </c>
      <c r="L3995" t="s">
        <v>6100</v>
      </c>
      <c r="M3995" t="s">
        <v>6100</v>
      </c>
      <c r="N3995">
        <v>4</v>
      </c>
      <c r="O3995" t="s">
        <v>6101</v>
      </c>
      <c r="P3995" t="s">
        <v>6112</v>
      </c>
      <c r="Q3995">
        <v>6</v>
      </c>
      <c r="R3995">
        <v>2026</v>
      </c>
      <c r="S3995" t="s">
        <v>6100</v>
      </c>
      <c r="T3995">
        <v>0</v>
      </c>
      <c r="U3995" t="s">
        <v>6020</v>
      </c>
      <c r="V3995">
        <v>1</v>
      </c>
    </row>
    <row r="3996" spans="1:22" x14ac:dyDescent="0.3">
      <c r="A3996" t="s">
        <v>4011</v>
      </c>
      <c r="B3996" s="2">
        <v>46203.48333333333</v>
      </c>
      <c r="C3996" s="2">
        <v>46204.104166666664</v>
      </c>
      <c r="D3996" t="s">
        <v>6024</v>
      </c>
      <c r="E3996" t="s">
        <v>6030</v>
      </c>
      <c r="F3996" t="s">
        <v>6033</v>
      </c>
      <c r="G3996" t="s">
        <v>6050</v>
      </c>
      <c r="H3996" t="s">
        <v>6098</v>
      </c>
      <c r="I3996">
        <v>72</v>
      </c>
      <c r="J3996">
        <v>14.9</v>
      </c>
      <c r="K3996" t="s">
        <v>6099</v>
      </c>
      <c r="L3996" t="s">
        <v>6100</v>
      </c>
      <c r="M3996" t="s">
        <v>6100</v>
      </c>
      <c r="O3996" t="s">
        <v>6101</v>
      </c>
      <c r="P3996" t="s">
        <v>6112</v>
      </c>
      <c r="Q3996">
        <v>6</v>
      </c>
      <c r="R3996">
        <v>2026</v>
      </c>
      <c r="S3996" t="s">
        <v>6099</v>
      </c>
      <c r="T3996">
        <v>1</v>
      </c>
      <c r="U3996" t="s">
        <v>6019</v>
      </c>
      <c r="V3996">
        <v>1</v>
      </c>
    </row>
    <row r="3997" spans="1:22" x14ac:dyDescent="0.3">
      <c r="A3997" t="s">
        <v>4012</v>
      </c>
      <c r="B3997" s="2">
        <v>46203.506249999999</v>
      </c>
      <c r="C3997" s="2">
        <v>46205.40625</v>
      </c>
      <c r="D3997" t="s">
        <v>6026</v>
      </c>
      <c r="E3997" t="s">
        <v>6029</v>
      </c>
      <c r="F3997" t="s">
        <v>6034</v>
      </c>
      <c r="G3997" t="s">
        <v>6062</v>
      </c>
      <c r="H3997" t="s">
        <v>6096</v>
      </c>
      <c r="I3997">
        <v>24</v>
      </c>
      <c r="J3997">
        <v>45.6</v>
      </c>
      <c r="K3997" t="s">
        <v>6099</v>
      </c>
      <c r="L3997" t="s">
        <v>6100</v>
      </c>
      <c r="M3997" t="s">
        <v>6100</v>
      </c>
      <c r="O3997" t="s">
        <v>6101</v>
      </c>
      <c r="P3997" t="s">
        <v>6112</v>
      </c>
      <c r="Q3997">
        <v>6</v>
      </c>
      <c r="R3997">
        <v>2026</v>
      </c>
      <c r="S3997" t="s">
        <v>6100</v>
      </c>
      <c r="T3997">
        <v>0</v>
      </c>
      <c r="U3997" t="s">
        <v>6018</v>
      </c>
      <c r="V3997">
        <v>1</v>
      </c>
    </row>
    <row r="3998" spans="1:22" x14ac:dyDescent="0.3">
      <c r="A3998" t="s">
        <v>4013</v>
      </c>
      <c r="B3998" s="2">
        <v>46203.512499999997</v>
      </c>
      <c r="C3998" s="2">
        <v>46203.929166666669</v>
      </c>
      <c r="D3998" t="s">
        <v>6024</v>
      </c>
      <c r="E3998" t="s">
        <v>6029</v>
      </c>
      <c r="F3998" t="s">
        <v>6034</v>
      </c>
      <c r="G3998" t="s">
        <v>6070</v>
      </c>
      <c r="H3998" t="s">
        <v>6097</v>
      </c>
      <c r="I3998">
        <v>24</v>
      </c>
      <c r="J3998">
        <v>10</v>
      </c>
      <c r="K3998" t="s">
        <v>6099</v>
      </c>
      <c r="L3998" t="s">
        <v>6100</v>
      </c>
      <c r="M3998" t="s">
        <v>6100</v>
      </c>
      <c r="O3998" t="s">
        <v>6101</v>
      </c>
      <c r="P3998" t="s">
        <v>6112</v>
      </c>
      <c r="Q3998">
        <v>6</v>
      </c>
      <c r="R3998">
        <v>2026</v>
      </c>
      <c r="S3998" t="s">
        <v>6099</v>
      </c>
      <c r="T3998">
        <v>1</v>
      </c>
      <c r="U3998" t="s">
        <v>6021</v>
      </c>
      <c r="V3998">
        <v>1</v>
      </c>
    </row>
    <row r="3999" spans="1:22" x14ac:dyDescent="0.3">
      <c r="A3999" t="s">
        <v>4014</v>
      </c>
      <c r="B3999" s="2">
        <v>46203.525694444441</v>
      </c>
      <c r="C3999" s="2">
        <v>46204.425694444442</v>
      </c>
      <c r="D3999" t="s">
        <v>6025</v>
      </c>
      <c r="E3999" t="s">
        <v>6030</v>
      </c>
      <c r="F3999" t="s">
        <v>6034</v>
      </c>
      <c r="G3999" t="s">
        <v>6087</v>
      </c>
      <c r="H3999" t="s">
        <v>6098</v>
      </c>
      <c r="I3999">
        <v>24</v>
      </c>
      <c r="J3999">
        <v>21.6</v>
      </c>
      <c r="K3999" t="s">
        <v>6100</v>
      </c>
      <c r="L3999" t="s">
        <v>6099</v>
      </c>
      <c r="M3999" t="s">
        <v>6100</v>
      </c>
      <c r="O3999" t="s">
        <v>6101</v>
      </c>
      <c r="P3999" t="s">
        <v>6112</v>
      </c>
      <c r="Q3999">
        <v>6</v>
      </c>
      <c r="R3999">
        <v>2026</v>
      </c>
      <c r="S3999" t="s">
        <v>6099</v>
      </c>
      <c r="T3999">
        <v>1</v>
      </c>
      <c r="U3999" t="s">
        <v>6021</v>
      </c>
      <c r="V3999">
        <v>0</v>
      </c>
    </row>
    <row r="4000" spans="1:22" x14ac:dyDescent="0.3">
      <c r="A4000" t="s">
        <v>4015</v>
      </c>
      <c r="B4000" s="2">
        <v>46203.543749999997</v>
      </c>
      <c r="C4000" s="2">
        <v>46203.822916666664</v>
      </c>
      <c r="D4000" t="s">
        <v>6025</v>
      </c>
      <c r="E4000" t="s">
        <v>6029</v>
      </c>
      <c r="F4000" t="s">
        <v>6034</v>
      </c>
      <c r="G4000" t="s">
        <v>6084</v>
      </c>
      <c r="H4000" t="s">
        <v>6098</v>
      </c>
      <c r="I4000">
        <v>24</v>
      </c>
      <c r="J4000">
        <v>6.7</v>
      </c>
      <c r="K4000" t="s">
        <v>6099</v>
      </c>
      <c r="L4000" t="s">
        <v>6100</v>
      </c>
      <c r="M4000" t="s">
        <v>6100</v>
      </c>
      <c r="O4000" t="s">
        <v>6101</v>
      </c>
      <c r="P4000" t="s">
        <v>6112</v>
      </c>
      <c r="Q4000">
        <v>6</v>
      </c>
      <c r="R4000">
        <v>2026</v>
      </c>
      <c r="S4000" t="s">
        <v>6099</v>
      </c>
      <c r="T4000">
        <v>1</v>
      </c>
      <c r="U4000" t="s">
        <v>6021</v>
      </c>
      <c r="V4000">
        <v>1</v>
      </c>
    </row>
    <row r="4001" spans="1:22" x14ac:dyDescent="0.3">
      <c r="A4001" t="s">
        <v>4016</v>
      </c>
      <c r="B4001" s="2">
        <v>46203.576388888891</v>
      </c>
      <c r="C4001" s="2">
        <v>46203.784722222219</v>
      </c>
      <c r="D4001" t="s">
        <v>6023</v>
      </c>
      <c r="E4001" t="s">
        <v>6032</v>
      </c>
      <c r="F4001" t="s">
        <v>6033</v>
      </c>
      <c r="G4001" t="s">
        <v>6059</v>
      </c>
      <c r="H4001" t="s">
        <v>6097</v>
      </c>
      <c r="I4001">
        <v>72</v>
      </c>
      <c r="J4001">
        <v>5</v>
      </c>
      <c r="K4001" t="s">
        <v>6099</v>
      </c>
      <c r="L4001" t="s">
        <v>6100</v>
      </c>
      <c r="M4001" t="s">
        <v>6100</v>
      </c>
      <c r="N4001">
        <v>5</v>
      </c>
      <c r="O4001" t="s">
        <v>6101</v>
      </c>
      <c r="P4001" t="s">
        <v>6112</v>
      </c>
      <c r="Q4001">
        <v>6</v>
      </c>
      <c r="R4001">
        <v>2026</v>
      </c>
      <c r="S4001" t="s">
        <v>6099</v>
      </c>
      <c r="T4001">
        <v>1</v>
      </c>
      <c r="U4001" t="s">
        <v>6021</v>
      </c>
      <c r="V4001">
        <v>1</v>
      </c>
    </row>
    <row r="4002" spans="1:22" x14ac:dyDescent="0.3">
      <c r="A4002" t="s">
        <v>4017</v>
      </c>
      <c r="B4002" s="2">
        <v>46203.581944444442</v>
      </c>
      <c r="C4002" s="2">
        <v>46206.319444444445</v>
      </c>
      <c r="D4002" t="s">
        <v>6024</v>
      </c>
      <c r="E4002" t="s">
        <v>6031</v>
      </c>
      <c r="F4002" t="s">
        <v>6033</v>
      </c>
      <c r="G4002" t="s">
        <v>6044</v>
      </c>
      <c r="H4002" t="s">
        <v>6097</v>
      </c>
      <c r="I4002">
        <v>72</v>
      </c>
      <c r="J4002">
        <v>65.7</v>
      </c>
      <c r="K4002" t="s">
        <v>6099</v>
      </c>
      <c r="L4002" t="s">
        <v>6100</v>
      </c>
      <c r="M4002" t="s">
        <v>6100</v>
      </c>
      <c r="N4002">
        <v>5</v>
      </c>
      <c r="O4002" t="s">
        <v>6101</v>
      </c>
      <c r="P4002" t="s">
        <v>6112</v>
      </c>
      <c r="Q4002">
        <v>6</v>
      </c>
      <c r="R4002">
        <v>2026</v>
      </c>
      <c r="S4002" t="s">
        <v>6099</v>
      </c>
      <c r="T4002">
        <v>1</v>
      </c>
      <c r="U4002" t="s">
        <v>6018</v>
      </c>
      <c r="V4002">
        <v>1</v>
      </c>
    </row>
    <row r="4003" spans="1:22" x14ac:dyDescent="0.3">
      <c r="A4003" t="s">
        <v>4018</v>
      </c>
      <c r="B4003" s="2">
        <v>46203.62222222222</v>
      </c>
      <c r="C4003" s="2">
        <v>46203.772222222222</v>
      </c>
      <c r="D4003" t="s">
        <v>6024</v>
      </c>
      <c r="E4003" t="s">
        <v>6029</v>
      </c>
      <c r="F4003" t="s">
        <v>6033</v>
      </c>
      <c r="G4003" t="s">
        <v>6042</v>
      </c>
      <c r="H4003" t="s">
        <v>6098</v>
      </c>
      <c r="I4003">
        <v>72</v>
      </c>
      <c r="J4003">
        <v>3.6</v>
      </c>
      <c r="K4003" t="s">
        <v>6099</v>
      </c>
      <c r="L4003" t="s">
        <v>6100</v>
      </c>
      <c r="M4003" t="s">
        <v>6100</v>
      </c>
      <c r="O4003" t="s">
        <v>6101</v>
      </c>
      <c r="P4003" t="s">
        <v>6112</v>
      </c>
      <c r="Q4003">
        <v>6</v>
      </c>
      <c r="R4003">
        <v>2026</v>
      </c>
      <c r="S4003" t="s">
        <v>6099</v>
      </c>
      <c r="T4003">
        <v>1</v>
      </c>
      <c r="U4003" t="s">
        <v>6020</v>
      </c>
      <c r="V4003">
        <v>1</v>
      </c>
    </row>
    <row r="4004" spans="1:22" x14ac:dyDescent="0.3">
      <c r="A4004" t="s">
        <v>4019</v>
      </c>
      <c r="B4004" s="2">
        <v>46203.668055555558</v>
      </c>
      <c r="C4004" s="2">
        <v>46204.597222222219</v>
      </c>
      <c r="D4004" t="s">
        <v>6022</v>
      </c>
      <c r="E4004" t="s">
        <v>6029</v>
      </c>
      <c r="F4004" t="s">
        <v>6034</v>
      </c>
      <c r="G4004" t="s">
        <v>6038</v>
      </c>
      <c r="H4004" t="s">
        <v>6096</v>
      </c>
      <c r="I4004">
        <v>24</v>
      </c>
      <c r="J4004">
        <v>22.3</v>
      </c>
      <c r="K4004" t="s">
        <v>6099</v>
      </c>
      <c r="L4004" t="s">
        <v>6100</v>
      </c>
      <c r="M4004" t="s">
        <v>6100</v>
      </c>
      <c r="O4004" t="s">
        <v>6101</v>
      </c>
      <c r="P4004" t="s">
        <v>6112</v>
      </c>
      <c r="Q4004">
        <v>6</v>
      </c>
      <c r="R4004">
        <v>2026</v>
      </c>
      <c r="S4004" t="s">
        <v>6099</v>
      </c>
      <c r="T4004">
        <v>1</v>
      </c>
      <c r="U4004" t="s">
        <v>6019</v>
      </c>
      <c r="V4004">
        <v>1</v>
      </c>
    </row>
    <row r="4005" spans="1:22" x14ac:dyDescent="0.3">
      <c r="A4005" t="s">
        <v>4020</v>
      </c>
      <c r="B4005" s="2">
        <v>46203.679861111108</v>
      </c>
      <c r="C4005" s="2">
        <v>46203.967361111114</v>
      </c>
      <c r="D4005" t="s">
        <v>6023</v>
      </c>
      <c r="E4005" t="s">
        <v>6032</v>
      </c>
      <c r="F4005" t="s">
        <v>6033</v>
      </c>
      <c r="G4005" t="s">
        <v>6074</v>
      </c>
      <c r="H4005" t="s">
        <v>6098</v>
      </c>
      <c r="I4005">
        <v>72</v>
      </c>
      <c r="J4005">
        <v>6.9</v>
      </c>
      <c r="K4005" t="s">
        <v>6099</v>
      </c>
      <c r="L4005" t="s">
        <v>6100</v>
      </c>
      <c r="M4005" t="s">
        <v>6100</v>
      </c>
      <c r="O4005" t="s">
        <v>6101</v>
      </c>
      <c r="P4005" t="s">
        <v>6112</v>
      </c>
      <c r="Q4005">
        <v>6</v>
      </c>
      <c r="R4005">
        <v>2026</v>
      </c>
      <c r="S4005" t="s">
        <v>6099</v>
      </c>
      <c r="T4005">
        <v>1</v>
      </c>
      <c r="U4005" t="s">
        <v>6020</v>
      </c>
      <c r="V4005">
        <v>1</v>
      </c>
    </row>
    <row r="4006" spans="1:22" x14ac:dyDescent="0.3">
      <c r="A4006" t="s">
        <v>4021</v>
      </c>
      <c r="B4006" s="2">
        <v>46203.688194444447</v>
      </c>
      <c r="C4006" s="2">
        <v>46204.267361111109</v>
      </c>
      <c r="D4006" t="s">
        <v>6028</v>
      </c>
      <c r="E4006" t="s">
        <v>6029</v>
      </c>
      <c r="F4006" t="s">
        <v>6034</v>
      </c>
      <c r="G4006" t="s">
        <v>6086</v>
      </c>
      <c r="H4006" t="s">
        <v>6098</v>
      </c>
      <c r="I4006">
        <v>24</v>
      </c>
      <c r="J4006">
        <v>13.9</v>
      </c>
      <c r="K4006" t="s">
        <v>6100</v>
      </c>
      <c r="L4006" t="s">
        <v>6099</v>
      </c>
      <c r="M4006" t="s">
        <v>6100</v>
      </c>
      <c r="O4006" t="s">
        <v>6101</v>
      </c>
      <c r="P4006" t="s">
        <v>6112</v>
      </c>
      <c r="Q4006">
        <v>6</v>
      </c>
      <c r="R4006">
        <v>2026</v>
      </c>
      <c r="S4006" t="s">
        <v>6099</v>
      </c>
      <c r="T4006">
        <v>1</v>
      </c>
      <c r="U4006" t="s">
        <v>6018</v>
      </c>
      <c r="V4006">
        <v>0</v>
      </c>
    </row>
    <row r="4007" spans="1:22" x14ac:dyDescent="0.3">
      <c r="A4007" t="s">
        <v>4022</v>
      </c>
      <c r="B4007" s="2">
        <v>46203.689583333333</v>
      </c>
      <c r="C4007" s="2">
        <v>46203.818749999999</v>
      </c>
      <c r="D4007" t="s">
        <v>6027</v>
      </c>
      <c r="E4007" t="s">
        <v>6030</v>
      </c>
      <c r="F4007" t="s">
        <v>6034</v>
      </c>
      <c r="G4007" t="s">
        <v>6060</v>
      </c>
      <c r="H4007" t="s">
        <v>6097</v>
      </c>
      <c r="I4007">
        <v>24</v>
      </c>
      <c r="J4007">
        <v>3.1</v>
      </c>
      <c r="K4007" t="s">
        <v>6099</v>
      </c>
      <c r="L4007" t="s">
        <v>6100</v>
      </c>
      <c r="M4007" t="s">
        <v>6100</v>
      </c>
      <c r="N4007">
        <v>3</v>
      </c>
      <c r="O4007" t="s">
        <v>6101</v>
      </c>
      <c r="P4007" t="s">
        <v>6112</v>
      </c>
      <c r="Q4007">
        <v>6</v>
      </c>
      <c r="R4007">
        <v>2026</v>
      </c>
      <c r="S4007" t="s">
        <v>6099</v>
      </c>
      <c r="T4007">
        <v>1</v>
      </c>
      <c r="U4007" t="s">
        <v>6020</v>
      </c>
      <c r="V4007">
        <v>1</v>
      </c>
    </row>
    <row r="4008" spans="1:22" x14ac:dyDescent="0.3">
      <c r="A4008" t="s">
        <v>4023</v>
      </c>
      <c r="B4008" s="2">
        <v>46203.693749999999</v>
      </c>
      <c r="C4008" s="2">
        <v>46203.872916666667</v>
      </c>
      <c r="D4008" t="s">
        <v>6023</v>
      </c>
      <c r="E4008" t="s">
        <v>6029</v>
      </c>
      <c r="F4008" t="s">
        <v>6033</v>
      </c>
      <c r="G4008" t="s">
        <v>6059</v>
      </c>
      <c r="H4008" t="s">
        <v>6097</v>
      </c>
      <c r="I4008">
        <v>72</v>
      </c>
      <c r="J4008">
        <v>4.3</v>
      </c>
      <c r="K4008" t="s">
        <v>6099</v>
      </c>
      <c r="L4008" t="s">
        <v>6100</v>
      </c>
      <c r="M4008" t="s">
        <v>6100</v>
      </c>
      <c r="O4008" t="s">
        <v>6101</v>
      </c>
      <c r="P4008" t="s">
        <v>6112</v>
      </c>
      <c r="Q4008">
        <v>6</v>
      </c>
      <c r="R4008">
        <v>2026</v>
      </c>
      <c r="S4008" t="s">
        <v>6099</v>
      </c>
      <c r="T4008">
        <v>1</v>
      </c>
      <c r="U4008" t="s">
        <v>6020</v>
      </c>
      <c r="V4008">
        <v>1</v>
      </c>
    </row>
    <row r="4009" spans="1:22" x14ac:dyDescent="0.3">
      <c r="A4009" t="s">
        <v>4024</v>
      </c>
      <c r="B4009" s="2">
        <v>46203.70208333333</v>
      </c>
      <c r="C4009" s="2">
        <v>46203.868750000001</v>
      </c>
      <c r="D4009" t="s">
        <v>6024</v>
      </c>
      <c r="E4009" t="s">
        <v>6030</v>
      </c>
      <c r="F4009" t="s">
        <v>6034</v>
      </c>
      <c r="G4009" t="s">
        <v>6060</v>
      </c>
      <c r="H4009" t="s">
        <v>6097</v>
      </c>
      <c r="I4009">
        <v>24</v>
      </c>
      <c r="J4009">
        <v>4</v>
      </c>
      <c r="K4009" t="s">
        <v>6099</v>
      </c>
      <c r="L4009" t="s">
        <v>6100</v>
      </c>
      <c r="M4009" t="s">
        <v>6100</v>
      </c>
      <c r="O4009" t="s">
        <v>6101</v>
      </c>
      <c r="P4009" t="s">
        <v>6112</v>
      </c>
      <c r="Q4009">
        <v>6</v>
      </c>
      <c r="R4009">
        <v>2026</v>
      </c>
      <c r="S4009" t="s">
        <v>6099</v>
      </c>
      <c r="T4009">
        <v>1</v>
      </c>
      <c r="U4009" t="s">
        <v>6021</v>
      </c>
      <c r="V4009">
        <v>1</v>
      </c>
    </row>
    <row r="4010" spans="1:22" x14ac:dyDescent="0.3">
      <c r="A4010" t="s">
        <v>4025</v>
      </c>
      <c r="B4010" s="2">
        <v>46203.736111111109</v>
      </c>
      <c r="C4010" s="2">
        <v>46205.548611111109</v>
      </c>
      <c r="D4010" t="s">
        <v>6026</v>
      </c>
      <c r="E4010" t="s">
        <v>6030</v>
      </c>
      <c r="F4010" t="s">
        <v>6033</v>
      </c>
      <c r="G4010" t="s">
        <v>6071</v>
      </c>
      <c r="H4010" t="s">
        <v>6098</v>
      </c>
      <c r="I4010">
        <v>72</v>
      </c>
      <c r="J4010">
        <v>43.5</v>
      </c>
      <c r="K4010" t="s">
        <v>6099</v>
      </c>
      <c r="L4010" t="s">
        <v>6100</v>
      </c>
      <c r="M4010" t="s">
        <v>6100</v>
      </c>
      <c r="O4010" t="s">
        <v>6101</v>
      </c>
      <c r="P4010" t="s">
        <v>6112</v>
      </c>
      <c r="Q4010">
        <v>6</v>
      </c>
      <c r="R4010">
        <v>2026</v>
      </c>
      <c r="S4010" t="s">
        <v>6099</v>
      </c>
      <c r="T4010">
        <v>1</v>
      </c>
      <c r="U4010" t="s">
        <v>6020</v>
      </c>
      <c r="V4010">
        <v>1</v>
      </c>
    </row>
    <row r="4011" spans="1:22" x14ac:dyDescent="0.3">
      <c r="A4011" t="s">
        <v>4026</v>
      </c>
      <c r="B4011" s="2">
        <v>46203.738888888889</v>
      </c>
      <c r="C4011" s="2">
        <v>46204.205555555556</v>
      </c>
      <c r="D4011" t="s">
        <v>6022</v>
      </c>
      <c r="E4011" t="s">
        <v>6029</v>
      </c>
      <c r="F4011" t="s">
        <v>6035</v>
      </c>
      <c r="G4011" t="s">
        <v>6090</v>
      </c>
      <c r="H4011" t="s">
        <v>6097</v>
      </c>
      <c r="I4011">
        <v>4</v>
      </c>
      <c r="J4011">
        <v>11.2</v>
      </c>
      <c r="K4011" t="s">
        <v>6099</v>
      </c>
      <c r="L4011" t="s">
        <v>6100</v>
      </c>
      <c r="M4011" t="s">
        <v>6100</v>
      </c>
      <c r="N4011">
        <v>3</v>
      </c>
      <c r="O4011" t="s">
        <v>6101</v>
      </c>
      <c r="P4011" t="s">
        <v>6112</v>
      </c>
      <c r="Q4011">
        <v>6</v>
      </c>
      <c r="R4011">
        <v>2026</v>
      </c>
      <c r="S4011" t="s">
        <v>6100</v>
      </c>
      <c r="T4011">
        <v>0</v>
      </c>
      <c r="U4011" t="s">
        <v>6020</v>
      </c>
      <c r="V4011">
        <v>1</v>
      </c>
    </row>
    <row r="4012" spans="1:22" x14ac:dyDescent="0.3">
      <c r="A4012" t="s">
        <v>4027</v>
      </c>
      <c r="B4012" s="2">
        <v>46203.755555555559</v>
      </c>
      <c r="C4012" s="2">
        <v>46204.74722222222</v>
      </c>
      <c r="D4012" t="s">
        <v>6025</v>
      </c>
      <c r="E4012" t="s">
        <v>6032</v>
      </c>
      <c r="F4012" t="s">
        <v>6033</v>
      </c>
      <c r="G4012" t="s">
        <v>6061</v>
      </c>
      <c r="H4012" t="s">
        <v>6096</v>
      </c>
      <c r="I4012">
        <v>72</v>
      </c>
      <c r="J4012">
        <v>23.8</v>
      </c>
      <c r="K4012" t="s">
        <v>6099</v>
      </c>
      <c r="L4012" t="s">
        <v>6100</v>
      </c>
      <c r="M4012" t="s">
        <v>6100</v>
      </c>
      <c r="O4012" t="s">
        <v>6101</v>
      </c>
      <c r="P4012" t="s">
        <v>6112</v>
      </c>
      <c r="Q4012">
        <v>6</v>
      </c>
      <c r="R4012">
        <v>2026</v>
      </c>
      <c r="S4012" t="s">
        <v>6099</v>
      </c>
      <c r="T4012">
        <v>1</v>
      </c>
      <c r="U4012" t="s">
        <v>6017</v>
      </c>
      <c r="V4012">
        <v>1</v>
      </c>
    </row>
    <row r="4013" spans="1:22" x14ac:dyDescent="0.3">
      <c r="A4013" t="s">
        <v>4028</v>
      </c>
      <c r="B4013" s="2">
        <v>46203.794444444444</v>
      </c>
      <c r="C4013" s="2">
        <v>46204.298611111109</v>
      </c>
      <c r="D4013" t="s">
        <v>6025</v>
      </c>
      <c r="E4013" t="s">
        <v>6030</v>
      </c>
      <c r="F4013" t="s">
        <v>6034</v>
      </c>
      <c r="G4013" t="s">
        <v>6046</v>
      </c>
      <c r="H4013" t="s">
        <v>6098</v>
      </c>
      <c r="I4013">
        <v>24</v>
      </c>
      <c r="J4013">
        <v>12.1</v>
      </c>
      <c r="K4013" t="s">
        <v>6099</v>
      </c>
      <c r="L4013" t="s">
        <v>6100</v>
      </c>
      <c r="M4013" t="s">
        <v>6100</v>
      </c>
      <c r="N4013">
        <v>5</v>
      </c>
      <c r="O4013" t="s">
        <v>6101</v>
      </c>
      <c r="P4013" t="s">
        <v>6112</v>
      </c>
      <c r="Q4013">
        <v>6</v>
      </c>
      <c r="R4013">
        <v>2026</v>
      </c>
      <c r="S4013" t="s">
        <v>6099</v>
      </c>
      <c r="T4013">
        <v>1</v>
      </c>
      <c r="U4013" t="s">
        <v>6020</v>
      </c>
      <c r="V4013">
        <v>1</v>
      </c>
    </row>
    <row r="4014" spans="1:22" x14ac:dyDescent="0.3">
      <c r="A4014" t="s">
        <v>4029</v>
      </c>
      <c r="B4014" s="2">
        <v>46203.865972222222</v>
      </c>
      <c r="C4014" s="2">
        <v>46206.732638888891</v>
      </c>
      <c r="D4014" t="s">
        <v>6022</v>
      </c>
      <c r="E4014" t="s">
        <v>6029</v>
      </c>
      <c r="F4014" t="s">
        <v>6034</v>
      </c>
      <c r="G4014" t="s">
        <v>6055</v>
      </c>
      <c r="H4014" t="s">
        <v>6096</v>
      </c>
      <c r="I4014">
        <v>24</v>
      </c>
      <c r="J4014">
        <v>68.8</v>
      </c>
      <c r="K4014" t="s">
        <v>6099</v>
      </c>
      <c r="L4014" t="s">
        <v>6100</v>
      </c>
      <c r="M4014" t="s">
        <v>6100</v>
      </c>
      <c r="O4014" t="s">
        <v>6101</v>
      </c>
      <c r="P4014" t="s">
        <v>6112</v>
      </c>
      <c r="Q4014">
        <v>6</v>
      </c>
      <c r="R4014">
        <v>2026</v>
      </c>
      <c r="S4014" t="s">
        <v>6100</v>
      </c>
      <c r="T4014">
        <v>0</v>
      </c>
      <c r="U4014" t="s">
        <v>6019</v>
      </c>
      <c r="V4014">
        <v>1</v>
      </c>
    </row>
    <row r="4015" spans="1:22" x14ac:dyDescent="0.3">
      <c r="A4015" t="s">
        <v>4030</v>
      </c>
      <c r="B4015" s="2">
        <v>46203.867361111108</v>
      </c>
      <c r="C4015" s="2">
        <v>46203.950694444444</v>
      </c>
      <c r="D4015" t="s">
        <v>6023</v>
      </c>
      <c r="E4015" t="s">
        <v>6029</v>
      </c>
      <c r="F4015" t="s">
        <v>6034</v>
      </c>
      <c r="G4015" t="s">
        <v>6050</v>
      </c>
      <c r="H4015" t="s">
        <v>6098</v>
      </c>
      <c r="I4015">
        <v>24</v>
      </c>
      <c r="J4015">
        <v>2</v>
      </c>
      <c r="K4015" t="s">
        <v>6100</v>
      </c>
      <c r="L4015" t="s">
        <v>6099</v>
      </c>
      <c r="M4015" t="s">
        <v>6100</v>
      </c>
      <c r="N4015">
        <v>4</v>
      </c>
      <c r="O4015" t="s">
        <v>6101</v>
      </c>
      <c r="P4015" t="s">
        <v>6112</v>
      </c>
      <c r="Q4015">
        <v>6</v>
      </c>
      <c r="R4015">
        <v>2026</v>
      </c>
      <c r="S4015" t="s">
        <v>6099</v>
      </c>
      <c r="T4015">
        <v>1</v>
      </c>
      <c r="U4015" t="s">
        <v>6020</v>
      </c>
      <c r="V4015">
        <v>0</v>
      </c>
    </row>
    <row r="4016" spans="1:22" x14ac:dyDescent="0.3">
      <c r="A4016" t="s">
        <v>4031</v>
      </c>
      <c r="B4016" s="2">
        <v>46204.133333333331</v>
      </c>
      <c r="C4016" s="2">
        <v>46204.366666666669</v>
      </c>
      <c r="D4016" t="s">
        <v>6023</v>
      </c>
      <c r="E4016" t="s">
        <v>6030</v>
      </c>
      <c r="F4016" t="s">
        <v>6034</v>
      </c>
      <c r="G4016" t="s">
        <v>6044</v>
      </c>
      <c r="H4016" t="s">
        <v>6097</v>
      </c>
      <c r="I4016">
        <v>24</v>
      </c>
      <c r="J4016">
        <v>5.6</v>
      </c>
      <c r="K4016" t="s">
        <v>6099</v>
      </c>
      <c r="L4016" t="s">
        <v>6100</v>
      </c>
      <c r="M4016" t="s">
        <v>6100</v>
      </c>
      <c r="N4016">
        <v>5</v>
      </c>
      <c r="O4016" t="s">
        <v>6101</v>
      </c>
      <c r="P4016" t="s">
        <v>6113</v>
      </c>
      <c r="Q4016">
        <v>7</v>
      </c>
      <c r="R4016">
        <v>2026</v>
      </c>
      <c r="S4016" t="s">
        <v>6099</v>
      </c>
      <c r="T4016">
        <v>1</v>
      </c>
      <c r="U4016" t="s">
        <v>6018</v>
      </c>
      <c r="V4016">
        <v>1</v>
      </c>
    </row>
    <row r="4017" spans="1:22" x14ac:dyDescent="0.3">
      <c r="A4017" t="s">
        <v>4032</v>
      </c>
      <c r="B4017" s="2">
        <v>46204.238194444442</v>
      </c>
      <c r="C4017" s="2">
        <v>46205.871527777781</v>
      </c>
      <c r="D4017" t="s">
        <v>6025</v>
      </c>
      <c r="E4017" t="s">
        <v>6031</v>
      </c>
      <c r="F4017" t="s">
        <v>6033</v>
      </c>
      <c r="G4017" t="s">
        <v>6065</v>
      </c>
      <c r="H4017" t="s">
        <v>6097</v>
      </c>
      <c r="I4017">
        <v>72</v>
      </c>
      <c r="J4017">
        <v>39.200000000000003</v>
      </c>
      <c r="K4017" t="s">
        <v>6099</v>
      </c>
      <c r="L4017" t="s">
        <v>6100</v>
      </c>
      <c r="M4017" t="s">
        <v>6100</v>
      </c>
      <c r="N4017">
        <v>5</v>
      </c>
      <c r="O4017" t="s">
        <v>6101</v>
      </c>
      <c r="P4017" t="s">
        <v>6113</v>
      </c>
      <c r="Q4017">
        <v>7</v>
      </c>
      <c r="R4017">
        <v>2026</v>
      </c>
      <c r="S4017" t="s">
        <v>6099</v>
      </c>
      <c r="T4017">
        <v>1</v>
      </c>
      <c r="U4017" t="s">
        <v>6020</v>
      </c>
      <c r="V4017">
        <v>1</v>
      </c>
    </row>
    <row r="4018" spans="1:22" x14ac:dyDescent="0.3">
      <c r="A4018" t="s">
        <v>4033</v>
      </c>
      <c r="B4018" s="2">
        <v>46204.294444444444</v>
      </c>
      <c r="C4018" s="2">
        <v>46204.631944444445</v>
      </c>
      <c r="D4018" t="s">
        <v>6023</v>
      </c>
      <c r="E4018" t="s">
        <v>6029</v>
      </c>
      <c r="F4018" t="s">
        <v>6033</v>
      </c>
      <c r="G4018" t="s">
        <v>6065</v>
      </c>
      <c r="H4018" t="s">
        <v>6097</v>
      </c>
      <c r="I4018">
        <v>72</v>
      </c>
      <c r="J4018">
        <v>8.1</v>
      </c>
      <c r="K4018" t="s">
        <v>6099</v>
      </c>
      <c r="L4018" t="s">
        <v>6100</v>
      </c>
      <c r="M4018" t="s">
        <v>6100</v>
      </c>
      <c r="N4018">
        <v>5</v>
      </c>
      <c r="O4018" t="s">
        <v>6101</v>
      </c>
      <c r="P4018" t="s">
        <v>6113</v>
      </c>
      <c r="Q4018">
        <v>7</v>
      </c>
      <c r="R4018">
        <v>2026</v>
      </c>
      <c r="S4018" t="s">
        <v>6099</v>
      </c>
      <c r="T4018">
        <v>1</v>
      </c>
      <c r="U4018" t="s">
        <v>6019</v>
      </c>
      <c r="V4018">
        <v>1</v>
      </c>
    </row>
    <row r="4019" spans="1:22" x14ac:dyDescent="0.3">
      <c r="A4019" t="s">
        <v>4034</v>
      </c>
      <c r="B4019" s="2">
        <v>46204.331944444442</v>
      </c>
      <c r="C4019" s="2">
        <v>46204.69027777778</v>
      </c>
      <c r="D4019" t="s">
        <v>6028</v>
      </c>
      <c r="E4019" t="s">
        <v>6032</v>
      </c>
      <c r="F4019" t="s">
        <v>6035</v>
      </c>
      <c r="G4019" t="s">
        <v>6064</v>
      </c>
      <c r="H4019" t="s">
        <v>6096</v>
      </c>
      <c r="I4019">
        <v>4</v>
      </c>
      <c r="J4019">
        <v>8.6</v>
      </c>
      <c r="K4019" t="s">
        <v>6100</v>
      </c>
      <c r="L4019" t="s">
        <v>6099</v>
      </c>
      <c r="M4019" t="s">
        <v>6099</v>
      </c>
      <c r="N4019">
        <v>2</v>
      </c>
      <c r="O4019" t="s">
        <v>6101</v>
      </c>
      <c r="P4019" t="s">
        <v>6113</v>
      </c>
      <c r="Q4019">
        <v>7</v>
      </c>
      <c r="R4019">
        <v>2026</v>
      </c>
      <c r="S4019" t="s">
        <v>6100</v>
      </c>
      <c r="T4019">
        <v>0</v>
      </c>
      <c r="U4019" t="s">
        <v>6020</v>
      </c>
      <c r="V4019">
        <v>0</v>
      </c>
    </row>
    <row r="4020" spans="1:22" x14ac:dyDescent="0.3">
      <c r="A4020" t="s">
        <v>4035</v>
      </c>
      <c r="B4020" s="2">
        <v>46204.380555555559</v>
      </c>
      <c r="C4020" s="2">
        <v>46204.551388888889</v>
      </c>
      <c r="D4020" t="s">
        <v>6028</v>
      </c>
      <c r="E4020" t="s">
        <v>6030</v>
      </c>
      <c r="F4020" t="s">
        <v>6035</v>
      </c>
      <c r="G4020" t="s">
        <v>6084</v>
      </c>
      <c r="H4020" t="s">
        <v>6098</v>
      </c>
      <c r="I4020">
        <v>4</v>
      </c>
      <c r="J4020">
        <v>4.0999999999999996</v>
      </c>
      <c r="K4020" t="s">
        <v>6099</v>
      </c>
      <c r="L4020" t="s">
        <v>6100</v>
      </c>
      <c r="M4020" t="s">
        <v>6100</v>
      </c>
      <c r="N4020">
        <v>3</v>
      </c>
      <c r="O4020" t="s">
        <v>6101</v>
      </c>
      <c r="P4020" t="s">
        <v>6113</v>
      </c>
      <c r="Q4020">
        <v>7</v>
      </c>
      <c r="R4020">
        <v>2026</v>
      </c>
      <c r="S4020" t="s">
        <v>6100</v>
      </c>
      <c r="T4020">
        <v>0</v>
      </c>
      <c r="U4020" t="s">
        <v>6018</v>
      </c>
      <c r="V4020">
        <v>1</v>
      </c>
    </row>
    <row r="4021" spans="1:22" x14ac:dyDescent="0.3">
      <c r="A4021" t="s">
        <v>4036</v>
      </c>
      <c r="B4021" s="2">
        <v>46204.415972222225</v>
      </c>
      <c r="C4021" s="2">
        <v>46205.303472222222</v>
      </c>
      <c r="D4021" t="s">
        <v>6025</v>
      </c>
      <c r="E4021" t="s">
        <v>6029</v>
      </c>
      <c r="F4021" t="s">
        <v>6034</v>
      </c>
      <c r="G4021" t="s">
        <v>6092</v>
      </c>
      <c r="H4021" t="s">
        <v>6097</v>
      </c>
      <c r="I4021">
        <v>24</v>
      </c>
      <c r="J4021">
        <v>21.3</v>
      </c>
      <c r="K4021" t="s">
        <v>6099</v>
      </c>
      <c r="L4021" t="s">
        <v>6100</v>
      </c>
      <c r="M4021" t="s">
        <v>6100</v>
      </c>
      <c r="N4021">
        <v>4</v>
      </c>
      <c r="O4021" t="s">
        <v>6101</v>
      </c>
      <c r="P4021" t="s">
        <v>6113</v>
      </c>
      <c r="Q4021">
        <v>7</v>
      </c>
      <c r="R4021">
        <v>2026</v>
      </c>
      <c r="S4021" t="s">
        <v>6099</v>
      </c>
      <c r="T4021">
        <v>1</v>
      </c>
      <c r="U4021" t="s">
        <v>6018</v>
      </c>
      <c r="V4021">
        <v>1</v>
      </c>
    </row>
    <row r="4022" spans="1:22" x14ac:dyDescent="0.3">
      <c r="A4022" t="s">
        <v>4037</v>
      </c>
      <c r="B4022" s="2">
        <v>46204.462500000001</v>
      </c>
      <c r="C4022" s="2">
        <v>46205.20416666667</v>
      </c>
      <c r="D4022" t="s">
        <v>6025</v>
      </c>
      <c r="E4022" t="s">
        <v>6029</v>
      </c>
      <c r="F4022" t="s">
        <v>6034</v>
      </c>
      <c r="G4022" t="s">
        <v>6058</v>
      </c>
      <c r="H4022" t="s">
        <v>6098</v>
      </c>
      <c r="I4022">
        <v>24</v>
      </c>
      <c r="J4022">
        <v>17.8</v>
      </c>
      <c r="K4022" t="s">
        <v>6099</v>
      </c>
      <c r="L4022" t="s">
        <v>6100</v>
      </c>
      <c r="M4022" t="s">
        <v>6100</v>
      </c>
      <c r="O4022" t="s">
        <v>6101</v>
      </c>
      <c r="P4022" t="s">
        <v>6113</v>
      </c>
      <c r="Q4022">
        <v>7</v>
      </c>
      <c r="R4022">
        <v>2026</v>
      </c>
      <c r="S4022" t="s">
        <v>6099</v>
      </c>
      <c r="T4022">
        <v>1</v>
      </c>
      <c r="U4022" t="s">
        <v>6019</v>
      </c>
      <c r="V4022">
        <v>1</v>
      </c>
    </row>
    <row r="4023" spans="1:22" x14ac:dyDescent="0.3">
      <c r="A4023" t="s">
        <v>4038</v>
      </c>
      <c r="B4023" s="2">
        <v>46204.496527777781</v>
      </c>
      <c r="C4023" s="2">
        <v>46205.717361111114</v>
      </c>
      <c r="D4023" t="s">
        <v>6026</v>
      </c>
      <c r="E4023" t="s">
        <v>6031</v>
      </c>
      <c r="F4023" t="s">
        <v>6034</v>
      </c>
      <c r="G4023" t="s">
        <v>6042</v>
      </c>
      <c r="H4023" t="s">
        <v>6098</v>
      </c>
      <c r="I4023">
        <v>24</v>
      </c>
      <c r="J4023">
        <v>29.3</v>
      </c>
      <c r="K4023" t="s">
        <v>6100</v>
      </c>
      <c r="L4023" t="s">
        <v>6100</v>
      </c>
      <c r="M4023" t="s">
        <v>6100</v>
      </c>
      <c r="N4023">
        <v>4</v>
      </c>
      <c r="O4023" t="s">
        <v>6101</v>
      </c>
      <c r="P4023" t="s">
        <v>6113</v>
      </c>
      <c r="Q4023">
        <v>7</v>
      </c>
      <c r="R4023">
        <v>2026</v>
      </c>
      <c r="S4023" t="s">
        <v>6100</v>
      </c>
      <c r="T4023">
        <v>0</v>
      </c>
      <c r="U4023" t="s">
        <v>6019</v>
      </c>
      <c r="V4023">
        <v>0</v>
      </c>
    </row>
    <row r="4024" spans="1:22" x14ac:dyDescent="0.3">
      <c r="A4024" t="s">
        <v>4039</v>
      </c>
      <c r="B4024" s="2">
        <v>46204.503472222219</v>
      </c>
      <c r="C4024" s="2">
        <v>46212.078472222223</v>
      </c>
      <c r="D4024" t="s">
        <v>6026</v>
      </c>
      <c r="E4024" t="s">
        <v>6031</v>
      </c>
      <c r="F4024" t="s">
        <v>6035</v>
      </c>
      <c r="G4024" t="s">
        <v>6037</v>
      </c>
      <c r="H4024" t="s">
        <v>6096</v>
      </c>
      <c r="I4024">
        <v>4</v>
      </c>
      <c r="J4024">
        <v>181.8</v>
      </c>
      <c r="K4024" t="s">
        <v>6099</v>
      </c>
      <c r="L4024" t="s">
        <v>6100</v>
      </c>
      <c r="M4024" t="s">
        <v>6100</v>
      </c>
      <c r="N4024">
        <v>3</v>
      </c>
      <c r="O4024" t="s">
        <v>6101</v>
      </c>
      <c r="P4024" t="s">
        <v>6113</v>
      </c>
      <c r="Q4024">
        <v>7</v>
      </c>
      <c r="R4024">
        <v>2026</v>
      </c>
      <c r="S4024" t="s">
        <v>6100</v>
      </c>
      <c r="T4024">
        <v>0</v>
      </c>
      <c r="U4024" t="s">
        <v>6021</v>
      </c>
      <c r="V4024">
        <v>1</v>
      </c>
    </row>
    <row r="4025" spans="1:22" x14ac:dyDescent="0.3">
      <c r="A4025" t="s">
        <v>4040</v>
      </c>
      <c r="B4025" s="2">
        <v>46204.602777777778</v>
      </c>
      <c r="C4025" s="2">
        <v>46207.081944444442</v>
      </c>
      <c r="D4025" t="s">
        <v>6025</v>
      </c>
      <c r="E4025" t="s">
        <v>6031</v>
      </c>
      <c r="F4025" t="s">
        <v>6035</v>
      </c>
      <c r="G4025" t="s">
        <v>6078</v>
      </c>
      <c r="H4025" t="s">
        <v>6097</v>
      </c>
      <c r="I4025">
        <v>4</v>
      </c>
      <c r="J4025">
        <v>59.5</v>
      </c>
      <c r="K4025" t="s">
        <v>6100</v>
      </c>
      <c r="L4025" t="s">
        <v>6099</v>
      </c>
      <c r="M4025" t="s">
        <v>6100</v>
      </c>
      <c r="N4025">
        <v>3</v>
      </c>
      <c r="O4025" t="s">
        <v>6101</v>
      </c>
      <c r="P4025" t="s">
        <v>6113</v>
      </c>
      <c r="Q4025">
        <v>7</v>
      </c>
      <c r="R4025">
        <v>2026</v>
      </c>
      <c r="S4025" t="s">
        <v>6100</v>
      </c>
      <c r="T4025">
        <v>0</v>
      </c>
      <c r="U4025" t="s">
        <v>6020</v>
      </c>
      <c r="V4025">
        <v>0</v>
      </c>
    </row>
    <row r="4026" spans="1:22" x14ac:dyDescent="0.3">
      <c r="A4026" t="s">
        <v>4041</v>
      </c>
      <c r="B4026" s="2">
        <v>46204.622916666667</v>
      </c>
      <c r="C4026" s="2">
        <v>46204.989583333336</v>
      </c>
      <c r="D4026" t="s">
        <v>6023</v>
      </c>
      <c r="E4026" t="s">
        <v>6029</v>
      </c>
      <c r="F4026" t="s">
        <v>6034</v>
      </c>
      <c r="G4026" t="s">
        <v>6073</v>
      </c>
      <c r="H4026" t="s">
        <v>6096</v>
      </c>
      <c r="I4026">
        <v>24</v>
      </c>
      <c r="J4026">
        <v>8.8000000000000007</v>
      </c>
      <c r="K4026" t="s">
        <v>6100</v>
      </c>
      <c r="L4026" t="s">
        <v>6100</v>
      </c>
      <c r="M4026" t="s">
        <v>6100</v>
      </c>
      <c r="N4026">
        <v>4</v>
      </c>
      <c r="O4026" t="s">
        <v>6101</v>
      </c>
      <c r="P4026" t="s">
        <v>6113</v>
      </c>
      <c r="Q4026">
        <v>7</v>
      </c>
      <c r="R4026">
        <v>2026</v>
      </c>
      <c r="S4026" t="s">
        <v>6099</v>
      </c>
      <c r="T4026">
        <v>1</v>
      </c>
      <c r="U4026" t="s">
        <v>6019</v>
      </c>
      <c r="V4026">
        <v>0</v>
      </c>
    </row>
    <row r="4027" spans="1:22" x14ac:dyDescent="0.3">
      <c r="A4027" t="s">
        <v>4042</v>
      </c>
      <c r="B4027" s="2">
        <v>46204.629166666666</v>
      </c>
      <c r="C4027" s="2">
        <v>46205.054166666669</v>
      </c>
      <c r="D4027" t="s">
        <v>6022</v>
      </c>
      <c r="E4027" t="s">
        <v>6029</v>
      </c>
      <c r="F4027" t="s">
        <v>6033</v>
      </c>
      <c r="G4027" t="s">
        <v>6070</v>
      </c>
      <c r="H4027" t="s">
        <v>6097</v>
      </c>
      <c r="I4027">
        <v>72</v>
      </c>
      <c r="J4027">
        <v>10.199999999999999</v>
      </c>
      <c r="K4027" t="s">
        <v>6100</v>
      </c>
      <c r="L4027" t="s">
        <v>6100</v>
      </c>
      <c r="M4027" t="s">
        <v>6100</v>
      </c>
      <c r="N4027">
        <v>4</v>
      </c>
      <c r="O4027" t="s">
        <v>6101</v>
      </c>
      <c r="P4027" t="s">
        <v>6113</v>
      </c>
      <c r="Q4027">
        <v>7</v>
      </c>
      <c r="R4027">
        <v>2026</v>
      </c>
      <c r="S4027" t="s">
        <v>6099</v>
      </c>
      <c r="T4027">
        <v>1</v>
      </c>
      <c r="U4027" t="s">
        <v>6017</v>
      </c>
      <c r="V4027">
        <v>0</v>
      </c>
    </row>
    <row r="4028" spans="1:22" x14ac:dyDescent="0.3">
      <c r="A4028" t="s">
        <v>4043</v>
      </c>
      <c r="B4028" s="2">
        <v>46204.636111111111</v>
      </c>
      <c r="C4028" s="2">
        <v>46204.969444444447</v>
      </c>
      <c r="D4028" t="s">
        <v>6023</v>
      </c>
      <c r="E4028" t="s">
        <v>6030</v>
      </c>
      <c r="F4028" t="s">
        <v>6033</v>
      </c>
      <c r="G4028" t="s">
        <v>6050</v>
      </c>
      <c r="H4028" t="s">
        <v>6098</v>
      </c>
      <c r="I4028">
        <v>72</v>
      </c>
      <c r="J4028">
        <v>8</v>
      </c>
      <c r="K4028" t="s">
        <v>6099</v>
      </c>
      <c r="L4028" t="s">
        <v>6100</v>
      </c>
      <c r="M4028" t="s">
        <v>6100</v>
      </c>
      <c r="N4028">
        <v>4</v>
      </c>
      <c r="O4028" t="s">
        <v>6101</v>
      </c>
      <c r="P4028" t="s">
        <v>6113</v>
      </c>
      <c r="Q4028">
        <v>7</v>
      </c>
      <c r="R4028">
        <v>2026</v>
      </c>
      <c r="S4028" t="s">
        <v>6099</v>
      </c>
      <c r="T4028">
        <v>1</v>
      </c>
      <c r="U4028" t="s">
        <v>6019</v>
      </c>
      <c r="V4028">
        <v>1</v>
      </c>
    </row>
    <row r="4029" spans="1:22" x14ac:dyDescent="0.3">
      <c r="A4029" t="s">
        <v>4044</v>
      </c>
      <c r="B4029" s="2">
        <v>46204.637499999997</v>
      </c>
      <c r="C4029" s="2">
        <v>46204.791666666664</v>
      </c>
      <c r="D4029" t="s">
        <v>6024</v>
      </c>
      <c r="E4029" t="s">
        <v>6030</v>
      </c>
      <c r="F4029" t="s">
        <v>6034</v>
      </c>
      <c r="G4029" t="s">
        <v>6093</v>
      </c>
      <c r="H4029" t="s">
        <v>6097</v>
      </c>
      <c r="I4029">
        <v>24</v>
      </c>
      <c r="J4029">
        <v>3.7</v>
      </c>
      <c r="K4029" t="s">
        <v>6099</v>
      </c>
      <c r="L4029" t="s">
        <v>6100</v>
      </c>
      <c r="M4029" t="s">
        <v>6100</v>
      </c>
      <c r="N4029">
        <v>5</v>
      </c>
      <c r="O4029" t="s">
        <v>6101</v>
      </c>
      <c r="P4029" t="s">
        <v>6113</v>
      </c>
      <c r="Q4029">
        <v>7</v>
      </c>
      <c r="R4029">
        <v>2026</v>
      </c>
      <c r="S4029" t="s">
        <v>6099</v>
      </c>
      <c r="T4029">
        <v>1</v>
      </c>
      <c r="U4029" t="s">
        <v>6021</v>
      </c>
      <c r="V4029">
        <v>1</v>
      </c>
    </row>
    <row r="4030" spans="1:22" x14ac:dyDescent="0.3">
      <c r="A4030" t="s">
        <v>4045</v>
      </c>
      <c r="B4030" s="2">
        <v>46204.654166666667</v>
      </c>
      <c r="C4030" s="2">
        <v>46206.79583333333</v>
      </c>
      <c r="D4030" t="s">
        <v>6026</v>
      </c>
      <c r="E4030" t="s">
        <v>6031</v>
      </c>
      <c r="F4030" t="s">
        <v>6034</v>
      </c>
      <c r="G4030" t="s">
        <v>6077</v>
      </c>
      <c r="H4030" t="s">
        <v>6098</v>
      </c>
      <c r="I4030">
        <v>24</v>
      </c>
      <c r="J4030">
        <v>51.4</v>
      </c>
      <c r="K4030" t="s">
        <v>6100</v>
      </c>
      <c r="L4030" t="s">
        <v>6099</v>
      </c>
      <c r="M4030" t="s">
        <v>6100</v>
      </c>
      <c r="O4030" t="s">
        <v>6101</v>
      </c>
      <c r="P4030" t="s">
        <v>6113</v>
      </c>
      <c r="Q4030">
        <v>7</v>
      </c>
      <c r="R4030">
        <v>2026</v>
      </c>
      <c r="S4030" t="s">
        <v>6100</v>
      </c>
      <c r="T4030">
        <v>0</v>
      </c>
      <c r="U4030" t="s">
        <v>6018</v>
      </c>
      <c r="V4030">
        <v>0</v>
      </c>
    </row>
    <row r="4031" spans="1:22" x14ac:dyDescent="0.3">
      <c r="A4031" t="s">
        <v>4046</v>
      </c>
      <c r="B4031" s="2">
        <v>46204.693749999999</v>
      </c>
      <c r="C4031" s="2">
        <v>46205.322916666664</v>
      </c>
      <c r="D4031" t="s">
        <v>6023</v>
      </c>
      <c r="E4031" t="s">
        <v>6032</v>
      </c>
      <c r="F4031" t="s">
        <v>6033</v>
      </c>
      <c r="G4031" t="s">
        <v>6058</v>
      </c>
      <c r="H4031" t="s">
        <v>6098</v>
      </c>
      <c r="I4031">
        <v>72</v>
      </c>
      <c r="J4031">
        <v>15.1</v>
      </c>
      <c r="K4031" t="s">
        <v>6099</v>
      </c>
      <c r="L4031" t="s">
        <v>6100</v>
      </c>
      <c r="M4031" t="s">
        <v>6099</v>
      </c>
      <c r="O4031" t="s">
        <v>6101</v>
      </c>
      <c r="P4031" t="s">
        <v>6113</v>
      </c>
      <c r="Q4031">
        <v>7</v>
      </c>
      <c r="R4031">
        <v>2026</v>
      </c>
      <c r="S4031" t="s">
        <v>6099</v>
      </c>
      <c r="T4031">
        <v>1</v>
      </c>
      <c r="U4031" t="s">
        <v>6017</v>
      </c>
      <c r="V4031">
        <v>1</v>
      </c>
    </row>
    <row r="4032" spans="1:22" x14ac:dyDescent="0.3">
      <c r="A4032" t="s">
        <v>4047</v>
      </c>
      <c r="B4032" s="2">
        <v>46204.709027777775</v>
      </c>
      <c r="C4032" s="2">
        <v>46205.754861111112</v>
      </c>
      <c r="D4032" t="s">
        <v>6028</v>
      </c>
      <c r="E4032" t="s">
        <v>6031</v>
      </c>
      <c r="F4032" t="s">
        <v>6034</v>
      </c>
      <c r="G4032" t="s">
        <v>6078</v>
      </c>
      <c r="H4032" t="s">
        <v>6097</v>
      </c>
      <c r="I4032">
        <v>24</v>
      </c>
      <c r="J4032">
        <v>25.1</v>
      </c>
      <c r="K4032" t="s">
        <v>6099</v>
      </c>
      <c r="L4032" t="s">
        <v>6100</v>
      </c>
      <c r="M4032" t="s">
        <v>6100</v>
      </c>
      <c r="O4032" t="s">
        <v>6101</v>
      </c>
      <c r="P4032" t="s">
        <v>6113</v>
      </c>
      <c r="Q4032">
        <v>7</v>
      </c>
      <c r="R4032">
        <v>2026</v>
      </c>
      <c r="S4032" t="s">
        <v>6100</v>
      </c>
      <c r="T4032">
        <v>0</v>
      </c>
      <c r="U4032" t="s">
        <v>6019</v>
      </c>
      <c r="V4032">
        <v>1</v>
      </c>
    </row>
    <row r="4033" spans="1:22" x14ac:dyDescent="0.3">
      <c r="A4033" t="s">
        <v>4048</v>
      </c>
      <c r="B4033" s="2">
        <v>46204.724305555559</v>
      </c>
      <c r="C4033" s="2">
        <v>46205.532638888886</v>
      </c>
      <c r="D4033" t="s">
        <v>6022</v>
      </c>
      <c r="E4033" t="s">
        <v>6032</v>
      </c>
      <c r="F4033" t="s">
        <v>6033</v>
      </c>
      <c r="G4033" t="s">
        <v>6045</v>
      </c>
      <c r="H4033" t="s">
        <v>6096</v>
      </c>
      <c r="I4033">
        <v>72</v>
      </c>
      <c r="J4033">
        <v>19.399999999999999</v>
      </c>
      <c r="K4033" t="s">
        <v>6099</v>
      </c>
      <c r="L4033" t="s">
        <v>6100</v>
      </c>
      <c r="M4033" t="s">
        <v>6099</v>
      </c>
      <c r="O4033" t="s">
        <v>6101</v>
      </c>
      <c r="P4033" t="s">
        <v>6113</v>
      </c>
      <c r="Q4033">
        <v>7</v>
      </c>
      <c r="R4033">
        <v>2026</v>
      </c>
      <c r="S4033" t="s">
        <v>6099</v>
      </c>
      <c r="T4033">
        <v>1</v>
      </c>
      <c r="U4033" t="s">
        <v>6020</v>
      </c>
      <c r="V4033">
        <v>1</v>
      </c>
    </row>
    <row r="4034" spans="1:22" x14ac:dyDescent="0.3">
      <c r="A4034" t="s">
        <v>4049</v>
      </c>
      <c r="B4034" s="2">
        <v>46204.739583333336</v>
      </c>
      <c r="C4034" s="2">
        <v>46205.564583333333</v>
      </c>
      <c r="D4034" t="s">
        <v>6028</v>
      </c>
      <c r="E4034" t="s">
        <v>6030</v>
      </c>
      <c r="F4034" t="s">
        <v>6035</v>
      </c>
      <c r="G4034" t="s">
        <v>6036</v>
      </c>
      <c r="H4034" t="s">
        <v>6096</v>
      </c>
      <c r="I4034">
        <v>4</v>
      </c>
      <c r="J4034">
        <v>19.8</v>
      </c>
      <c r="K4034" t="s">
        <v>6100</v>
      </c>
      <c r="L4034" t="s">
        <v>6100</v>
      </c>
      <c r="M4034" t="s">
        <v>6100</v>
      </c>
      <c r="O4034" t="s">
        <v>6101</v>
      </c>
      <c r="P4034" t="s">
        <v>6113</v>
      </c>
      <c r="Q4034">
        <v>7</v>
      </c>
      <c r="R4034">
        <v>2026</v>
      </c>
      <c r="S4034" t="s">
        <v>6100</v>
      </c>
      <c r="T4034">
        <v>0</v>
      </c>
      <c r="U4034" t="s">
        <v>6017</v>
      </c>
      <c r="V4034">
        <v>0</v>
      </c>
    </row>
    <row r="4035" spans="1:22" x14ac:dyDescent="0.3">
      <c r="A4035" t="s">
        <v>4050</v>
      </c>
      <c r="B4035" s="2">
        <v>46204.902777777781</v>
      </c>
      <c r="C4035" s="2">
        <v>46205.231944444444</v>
      </c>
      <c r="D4035" t="s">
        <v>6028</v>
      </c>
      <c r="E4035" t="s">
        <v>6030</v>
      </c>
      <c r="F4035" t="s">
        <v>6035</v>
      </c>
      <c r="G4035" t="s">
        <v>6060</v>
      </c>
      <c r="H4035" t="s">
        <v>6097</v>
      </c>
      <c r="I4035">
        <v>4</v>
      </c>
      <c r="J4035">
        <v>7.9</v>
      </c>
      <c r="K4035" t="s">
        <v>6099</v>
      </c>
      <c r="L4035" t="s">
        <v>6100</v>
      </c>
      <c r="M4035" t="s">
        <v>6099</v>
      </c>
      <c r="N4035">
        <v>3</v>
      </c>
      <c r="O4035" t="s">
        <v>6101</v>
      </c>
      <c r="P4035" t="s">
        <v>6113</v>
      </c>
      <c r="Q4035">
        <v>7</v>
      </c>
      <c r="R4035">
        <v>2026</v>
      </c>
      <c r="S4035" t="s">
        <v>6100</v>
      </c>
      <c r="T4035">
        <v>0</v>
      </c>
      <c r="U4035" t="s">
        <v>6018</v>
      </c>
      <c r="V4035">
        <v>1</v>
      </c>
    </row>
    <row r="4036" spans="1:22" x14ac:dyDescent="0.3">
      <c r="A4036" t="s">
        <v>4051</v>
      </c>
      <c r="B4036" s="2">
        <v>46205.027083333334</v>
      </c>
      <c r="C4036" s="2">
        <v>46205.414583333331</v>
      </c>
      <c r="D4036" t="s">
        <v>6022</v>
      </c>
      <c r="E4036" t="s">
        <v>6029</v>
      </c>
      <c r="F4036" t="s">
        <v>6034</v>
      </c>
      <c r="G4036" t="s">
        <v>6062</v>
      </c>
      <c r="H4036" t="s">
        <v>6096</v>
      </c>
      <c r="I4036">
        <v>24</v>
      </c>
      <c r="J4036">
        <v>9.3000000000000007</v>
      </c>
      <c r="K4036" t="s">
        <v>6099</v>
      </c>
      <c r="L4036" t="s">
        <v>6100</v>
      </c>
      <c r="M4036" t="s">
        <v>6100</v>
      </c>
      <c r="N4036">
        <v>5</v>
      </c>
      <c r="O4036" t="s">
        <v>6101</v>
      </c>
      <c r="P4036" t="s">
        <v>6113</v>
      </c>
      <c r="Q4036">
        <v>7</v>
      </c>
      <c r="R4036">
        <v>2026</v>
      </c>
      <c r="S4036" t="s">
        <v>6099</v>
      </c>
      <c r="T4036">
        <v>1</v>
      </c>
      <c r="U4036" t="s">
        <v>6018</v>
      </c>
      <c r="V4036">
        <v>1</v>
      </c>
    </row>
    <row r="4037" spans="1:22" x14ac:dyDescent="0.3">
      <c r="A4037" t="s">
        <v>4052</v>
      </c>
      <c r="B4037" s="2">
        <v>46205.25</v>
      </c>
      <c r="C4037" s="2">
        <v>46206.82916666667</v>
      </c>
      <c r="D4037" t="s">
        <v>6027</v>
      </c>
      <c r="E4037" t="s">
        <v>6031</v>
      </c>
      <c r="F4037" t="s">
        <v>6033</v>
      </c>
      <c r="G4037" t="s">
        <v>6055</v>
      </c>
      <c r="H4037" t="s">
        <v>6096</v>
      </c>
      <c r="I4037">
        <v>72</v>
      </c>
      <c r="J4037">
        <v>37.9</v>
      </c>
      <c r="K4037" t="s">
        <v>6099</v>
      </c>
      <c r="L4037" t="s">
        <v>6100</v>
      </c>
      <c r="M4037" t="s">
        <v>6100</v>
      </c>
      <c r="O4037" t="s">
        <v>6101</v>
      </c>
      <c r="P4037" t="s">
        <v>6113</v>
      </c>
      <c r="Q4037">
        <v>7</v>
      </c>
      <c r="R4037">
        <v>2026</v>
      </c>
      <c r="S4037" t="s">
        <v>6099</v>
      </c>
      <c r="T4037">
        <v>1</v>
      </c>
      <c r="U4037" t="s">
        <v>6017</v>
      </c>
      <c r="V4037">
        <v>1</v>
      </c>
    </row>
    <row r="4038" spans="1:22" x14ac:dyDescent="0.3">
      <c r="A4038" t="s">
        <v>4053</v>
      </c>
      <c r="B4038" s="2">
        <v>46205.381249999999</v>
      </c>
      <c r="C4038" s="2">
        <v>46206.197916666664</v>
      </c>
      <c r="D4038" t="s">
        <v>6025</v>
      </c>
      <c r="E4038" t="s">
        <v>6032</v>
      </c>
      <c r="F4038" t="s">
        <v>6034</v>
      </c>
      <c r="G4038" t="s">
        <v>6091</v>
      </c>
      <c r="H4038" t="s">
        <v>6097</v>
      </c>
      <c r="I4038">
        <v>24</v>
      </c>
      <c r="J4038">
        <v>19.600000000000001</v>
      </c>
      <c r="K4038" t="s">
        <v>6099</v>
      </c>
      <c r="L4038" t="s">
        <v>6100</v>
      </c>
      <c r="M4038" t="s">
        <v>6100</v>
      </c>
      <c r="N4038">
        <v>5</v>
      </c>
      <c r="O4038" t="s">
        <v>6101</v>
      </c>
      <c r="P4038" t="s">
        <v>6113</v>
      </c>
      <c r="Q4038">
        <v>7</v>
      </c>
      <c r="R4038">
        <v>2026</v>
      </c>
      <c r="S4038" t="s">
        <v>6099</v>
      </c>
      <c r="T4038">
        <v>1</v>
      </c>
      <c r="U4038" t="s">
        <v>6021</v>
      </c>
      <c r="V4038">
        <v>1</v>
      </c>
    </row>
    <row r="4039" spans="1:22" x14ac:dyDescent="0.3">
      <c r="A4039" t="s">
        <v>4054</v>
      </c>
      <c r="B4039" s="2">
        <v>46205.393750000003</v>
      </c>
      <c r="C4039" s="2">
        <v>46207.872916666667</v>
      </c>
      <c r="D4039" t="s">
        <v>6026</v>
      </c>
      <c r="E4039" t="s">
        <v>6031</v>
      </c>
      <c r="F4039" t="s">
        <v>6033</v>
      </c>
      <c r="G4039" t="s">
        <v>6063</v>
      </c>
      <c r="H4039" t="s">
        <v>6097</v>
      </c>
      <c r="I4039">
        <v>72</v>
      </c>
      <c r="J4039">
        <v>59.5</v>
      </c>
      <c r="K4039" t="s">
        <v>6100</v>
      </c>
      <c r="L4039" t="s">
        <v>6099</v>
      </c>
      <c r="M4039" t="s">
        <v>6100</v>
      </c>
      <c r="O4039" t="s">
        <v>6101</v>
      </c>
      <c r="P4039" t="s">
        <v>6113</v>
      </c>
      <c r="Q4039">
        <v>7</v>
      </c>
      <c r="R4039">
        <v>2026</v>
      </c>
      <c r="S4039" t="s">
        <v>6099</v>
      </c>
      <c r="T4039">
        <v>1</v>
      </c>
      <c r="U4039" t="s">
        <v>6017</v>
      </c>
      <c r="V4039">
        <v>0</v>
      </c>
    </row>
    <row r="4040" spans="1:22" x14ac:dyDescent="0.3">
      <c r="A4040" t="s">
        <v>4055</v>
      </c>
      <c r="B4040" s="2">
        <v>46205.443749999999</v>
      </c>
      <c r="C4040" s="2">
        <v>46205.71875</v>
      </c>
      <c r="D4040" t="s">
        <v>6023</v>
      </c>
      <c r="E4040" t="s">
        <v>6030</v>
      </c>
      <c r="F4040" t="s">
        <v>6033</v>
      </c>
      <c r="G4040" t="s">
        <v>6084</v>
      </c>
      <c r="H4040" t="s">
        <v>6098</v>
      </c>
      <c r="I4040">
        <v>72</v>
      </c>
      <c r="J4040">
        <v>6.6</v>
      </c>
      <c r="K4040" t="s">
        <v>6099</v>
      </c>
      <c r="L4040" t="s">
        <v>6100</v>
      </c>
      <c r="M4040" t="s">
        <v>6100</v>
      </c>
      <c r="N4040">
        <v>5</v>
      </c>
      <c r="O4040" t="s">
        <v>6101</v>
      </c>
      <c r="P4040" t="s">
        <v>6113</v>
      </c>
      <c r="Q4040">
        <v>7</v>
      </c>
      <c r="R4040">
        <v>2026</v>
      </c>
      <c r="S4040" t="s">
        <v>6099</v>
      </c>
      <c r="T4040">
        <v>1</v>
      </c>
      <c r="U4040" t="s">
        <v>6021</v>
      </c>
      <c r="V4040">
        <v>1</v>
      </c>
    </row>
    <row r="4041" spans="1:22" x14ac:dyDescent="0.3">
      <c r="A4041" t="s">
        <v>4056</v>
      </c>
      <c r="B4041" s="2">
        <v>46205.48333333333</v>
      </c>
      <c r="C4041" s="2">
        <v>46205.95</v>
      </c>
      <c r="D4041" t="s">
        <v>6022</v>
      </c>
      <c r="E4041" t="s">
        <v>6029</v>
      </c>
      <c r="F4041" t="s">
        <v>6034</v>
      </c>
      <c r="G4041" t="s">
        <v>6072</v>
      </c>
      <c r="H4041" t="s">
        <v>6097</v>
      </c>
      <c r="I4041">
        <v>24</v>
      </c>
      <c r="J4041">
        <v>11.2</v>
      </c>
      <c r="K4041" t="s">
        <v>6099</v>
      </c>
      <c r="L4041" t="s">
        <v>6100</v>
      </c>
      <c r="M4041" t="s">
        <v>6100</v>
      </c>
      <c r="N4041">
        <v>4</v>
      </c>
      <c r="O4041" t="s">
        <v>6101</v>
      </c>
      <c r="P4041" t="s">
        <v>6113</v>
      </c>
      <c r="Q4041">
        <v>7</v>
      </c>
      <c r="R4041">
        <v>2026</v>
      </c>
      <c r="S4041" t="s">
        <v>6099</v>
      </c>
      <c r="T4041">
        <v>1</v>
      </c>
      <c r="U4041" t="s">
        <v>6018</v>
      </c>
      <c r="V4041">
        <v>1</v>
      </c>
    </row>
    <row r="4042" spans="1:22" x14ac:dyDescent="0.3">
      <c r="A4042" t="s">
        <v>4057</v>
      </c>
      <c r="B4042" s="2">
        <v>46205.507638888892</v>
      </c>
      <c r="C4042" s="2">
        <v>46206.115972222222</v>
      </c>
      <c r="D4042" t="s">
        <v>6028</v>
      </c>
      <c r="E4042" t="s">
        <v>6031</v>
      </c>
      <c r="F4042" t="s">
        <v>6034</v>
      </c>
      <c r="G4042" t="s">
        <v>6052</v>
      </c>
      <c r="H4042" t="s">
        <v>6098</v>
      </c>
      <c r="I4042">
        <v>24</v>
      </c>
      <c r="J4042">
        <v>14.6</v>
      </c>
      <c r="K4042" t="s">
        <v>6099</v>
      </c>
      <c r="L4042" t="s">
        <v>6100</v>
      </c>
      <c r="M4042" t="s">
        <v>6100</v>
      </c>
      <c r="O4042" t="s">
        <v>6101</v>
      </c>
      <c r="P4042" t="s">
        <v>6113</v>
      </c>
      <c r="Q4042">
        <v>7</v>
      </c>
      <c r="R4042">
        <v>2026</v>
      </c>
      <c r="S4042" t="s">
        <v>6099</v>
      </c>
      <c r="T4042">
        <v>1</v>
      </c>
      <c r="U4042" t="s">
        <v>6018</v>
      </c>
      <c r="V4042">
        <v>1</v>
      </c>
    </row>
    <row r="4043" spans="1:22" x14ac:dyDescent="0.3">
      <c r="A4043" t="s">
        <v>4058</v>
      </c>
      <c r="B4043" s="2">
        <v>46205.509722222225</v>
      </c>
      <c r="C4043" s="2">
        <v>46205.68472222222</v>
      </c>
      <c r="D4043" t="s">
        <v>6023</v>
      </c>
      <c r="E4043" t="s">
        <v>6029</v>
      </c>
      <c r="F4043" t="s">
        <v>6034</v>
      </c>
      <c r="G4043" t="s">
        <v>6067</v>
      </c>
      <c r="H4043" t="s">
        <v>6098</v>
      </c>
      <c r="I4043">
        <v>24</v>
      </c>
      <c r="J4043">
        <v>4.2</v>
      </c>
      <c r="K4043" t="s">
        <v>6100</v>
      </c>
      <c r="L4043" t="s">
        <v>6099</v>
      </c>
      <c r="M4043" t="s">
        <v>6100</v>
      </c>
      <c r="O4043" t="s">
        <v>6101</v>
      </c>
      <c r="P4043" t="s">
        <v>6113</v>
      </c>
      <c r="Q4043">
        <v>7</v>
      </c>
      <c r="R4043">
        <v>2026</v>
      </c>
      <c r="S4043" t="s">
        <v>6099</v>
      </c>
      <c r="T4043">
        <v>1</v>
      </c>
      <c r="U4043" t="s">
        <v>6018</v>
      </c>
      <c r="V4043">
        <v>0</v>
      </c>
    </row>
    <row r="4044" spans="1:22" x14ac:dyDescent="0.3">
      <c r="A4044" t="s">
        <v>4059</v>
      </c>
      <c r="B4044" s="2">
        <v>46205.547222222223</v>
      </c>
      <c r="C4044" s="2">
        <v>46205.680555555555</v>
      </c>
      <c r="D4044" t="s">
        <v>6022</v>
      </c>
      <c r="E4044" t="s">
        <v>6029</v>
      </c>
      <c r="F4044" t="s">
        <v>6034</v>
      </c>
      <c r="G4044" t="s">
        <v>6051</v>
      </c>
      <c r="H4044" t="s">
        <v>6097</v>
      </c>
      <c r="I4044">
        <v>24</v>
      </c>
      <c r="J4044">
        <v>3.2</v>
      </c>
      <c r="K4044" t="s">
        <v>6099</v>
      </c>
      <c r="L4044" t="s">
        <v>6100</v>
      </c>
      <c r="M4044" t="s">
        <v>6100</v>
      </c>
      <c r="O4044" t="s">
        <v>6101</v>
      </c>
      <c r="P4044" t="s">
        <v>6113</v>
      </c>
      <c r="Q4044">
        <v>7</v>
      </c>
      <c r="R4044">
        <v>2026</v>
      </c>
      <c r="S4044" t="s">
        <v>6099</v>
      </c>
      <c r="T4044">
        <v>1</v>
      </c>
      <c r="U4044" t="s">
        <v>6018</v>
      </c>
      <c r="V4044">
        <v>1</v>
      </c>
    </row>
    <row r="4045" spans="1:22" x14ac:dyDescent="0.3">
      <c r="A4045" t="s">
        <v>4060</v>
      </c>
      <c r="B4045" s="2">
        <v>46205.581944444442</v>
      </c>
      <c r="C4045" s="2">
        <v>46207.340277777781</v>
      </c>
      <c r="D4045" t="s">
        <v>6026</v>
      </c>
      <c r="E4045" t="s">
        <v>6031</v>
      </c>
      <c r="F4045" t="s">
        <v>6034</v>
      </c>
      <c r="G4045" t="s">
        <v>6083</v>
      </c>
      <c r="H4045" t="s">
        <v>6096</v>
      </c>
      <c r="I4045">
        <v>24</v>
      </c>
      <c r="J4045">
        <v>42.2</v>
      </c>
      <c r="K4045" t="s">
        <v>6099</v>
      </c>
      <c r="L4045" t="s">
        <v>6100</v>
      </c>
      <c r="M4045" t="s">
        <v>6100</v>
      </c>
      <c r="O4045" t="s">
        <v>6101</v>
      </c>
      <c r="P4045" t="s">
        <v>6113</v>
      </c>
      <c r="Q4045">
        <v>7</v>
      </c>
      <c r="R4045">
        <v>2026</v>
      </c>
      <c r="S4045" t="s">
        <v>6100</v>
      </c>
      <c r="T4045">
        <v>0</v>
      </c>
      <c r="U4045" t="s">
        <v>6018</v>
      </c>
      <c r="V4045">
        <v>1</v>
      </c>
    </row>
    <row r="4046" spans="1:22" x14ac:dyDescent="0.3">
      <c r="A4046" t="s">
        <v>4061</v>
      </c>
      <c r="B4046" s="2">
        <v>46205.599999999999</v>
      </c>
      <c r="C4046" s="2">
        <v>46206.1875</v>
      </c>
      <c r="D4046" t="s">
        <v>6024</v>
      </c>
      <c r="E4046" t="s">
        <v>6032</v>
      </c>
      <c r="F4046" t="s">
        <v>6034</v>
      </c>
      <c r="G4046" t="s">
        <v>6084</v>
      </c>
      <c r="H4046" t="s">
        <v>6098</v>
      </c>
      <c r="I4046">
        <v>24</v>
      </c>
      <c r="J4046">
        <v>14.1</v>
      </c>
      <c r="K4046" t="s">
        <v>6099</v>
      </c>
      <c r="L4046" t="s">
        <v>6100</v>
      </c>
      <c r="M4046" t="s">
        <v>6100</v>
      </c>
      <c r="N4046">
        <v>4</v>
      </c>
      <c r="O4046" t="s">
        <v>6101</v>
      </c>
      <c r="P4046" t="s">
        <v>6113</v>
      </c>
      <c r="Q4046">
        <v>7</v>
      </c>
      <c r="R4046">
        <v>2026</v>
      </c>
      <c r="S4046" t="s">
        <v>6099</v>
      </c>
      <c r="T4046">
        <v>1</v>
      </c>
      <c r="U4046" t="s">
        <v>6021</v>
      </c>
      <c r="V4046">
        <v>1</v>
      </c>
    </row>
    <row r="4047" spans="1:22" x14ac:dyDescent="0.3">
      <c r="A4047" t="s">
        <v>4062</v>
      </c>
      <c r="B4047" s="2">
        <v>46205.631249999999</v>
      </c>
      <c r="C4047" s="2">
        <v>46212.21875</v>
      </c>
      <c r="D4047" t="s">
        <v>6025</v>
      </c>
      <c r="E4047" t="s">
        <v>6031</v>
      </c>
      <c r="F4047" t="s">
        <v>6033</v>
      </c>
      <c r="G4047" t="s">
        <v>6056</v>
      </c>
      <c r="H4047" t="s">
        <v>6098</v>
      </c>
      <c r="I4047">
        <v>72</v>
      </c>
      <c r="J4047">
        <v>158.1</v>
      </c>
      <c r="K4047" t="s">
        <v>6099</v>
      </c>
      <c r="L4047" t="s">
        <v>6100</v>
      </c>
      <c r="M4047" t="s">
        <v>6100</v>
      </c>
      <c r="O4047" t="s">
        <v>6101</v>
      </c>
      <c r="P4047" t="s">
        <v>6113</v>
      </c>
      <c r="Q4047">
        <v>7</v>
      </c>
      <c r="R4047">
        <v>2026</v>
      </c>
      <c r="S4047" t="s">
        <v>6100</v>
      </c>
      <c r="T4047">
        <v>0</v>
      </c>
      <c r="U4047" t="s">
        <v>6019</v>
      </c>
      <c r="V4047">
        <v>1</v>
      </c>
    </row>
    <row r="4048" spans="1:22" x14ac:dyDescent="0.3">
      <c r="A4048" t="s">
        <v>4063</v>
      </c>
      <c r="B4048" s="2">
        <v>46205.678472222222</v>
      </c>
      <c r="C4048" s="2">
        <v>46206.982638888891</v>
      </c>
      <c r="D4048" t="s">
        <v>6022</v>
      </c>
      <c r="E4048" t="s">
        <v>6029</v>
      </c>
      <c r="F4048" t="s">
        <v>6033</v>
      </c>
      <c r="G4048" t="s">
        <v>6084</v>
      </c>
      <c r="H4048" t="s">
        <v>6098</v>
      </c>
      <c r="I4048">
        <v>72</v>
      </c>
      <c r="J4048">
        <v>31.3</v>
      </c>
      <c r="K4048" t="s">
        <v>6099</v>
      </c>
      <c r="L4048" t="s">
        <v>6100</v>
      </c>
      <c r="M4048" t="s">
        <v>6100</v>
      </c>
      <c r="N4048">
        <v>4</v>
      </c>
      <c r="O4048" t="s">
        <v>6101</v>
      </c>
      <c r="P4048" t="s">
        <v>6113</v>
      </c>
      <c r="Q4048">
        <v>7</v>
      </c>
      <c r="R4048">
        <v>2026</v>
      </c>
      <c r="S4048" t="s">
        <v>6099</v>
      </c>
      <c r="T4048">
        <v>1</v>
      </c>
      <c r="U4048" t="s">
        <v>6020</v>
      </c>
      <c r="V4048">
        <v>1</v>
      </c>
    </row>
    <row r="4049" spans="1:22" x14ac:dyDescent="0.3">
      <c r="A4049" t="s">
        <v>4064</v>
      </c>
      <c r="B4049" s="2">
        <v>46205.952777777777</v>
      </c>
      <c r="C4049" s="2">
        <v>46206.244444444441</v>
      </c>
      <c r="D4049" t="s">
        <v>6022</v>
      </c>
      <c r="E4049" t="s">
        <v>6030</v>
      </c>
      <c r="F4049" t="s">
        <v>6034</v>
      </c>
      <c r="G4049" t="s">
        <v>6036</v>
      </c>
      <c r="H4049" t="s">
        <v>6096</v>
      </c>
      <c r="I4049">
        <v>24</v>
      </c>
      <c r="J4049">
        <v>7</v>
      </c>
      <c r="K4049" t="s">
        <v>6100</v>
      </c>
      <c r="L4049" t="s">
        <v>6100</v>
      </c>
      <c r="M4049" t="s">
        <v>6100</v>
      </c>
      <c r="N4049">
        <v>4</v>
      </c>
      <c r="O4049" t="s">
        <v>6101</v>
      </c>
      <c r="P4049" t="s">
        <v>6113</v>
      </c>
      <c r="Q4049">
        <v>7</v>
      </c>
      <c r="R4049">
        <v>2026</v>
      </c>
      <c r="S4049" t="s">
        <v>6099</v>
      </c>
      <c r="T4049">
        <v>1</v>
      </c>
      <c r="U4049" t="s">
        <v>6017</v>
      </c>
      <c r="V4049">
        <v>0</v>
      </c>
    </row>
    <row r="4050" spans="1:22" x14ac:dyDescent="0.3">
      <c r="A4050" t="s">
        <v>4065</v>
      </c>
      <c r="B4050" s="2">
        <v>46206.301388888889</v>
      </c>
      <c r="C4050" s="2">
        <v>46206.538888888892</v>
      </c>
      <c r="D4050" t="s">
        <v>6027</v>
      </c>
      <c r="E4050" t="s">
        <v>6029</v>
      </c>
      <c r="F4050" t="s">
        <v>6034</v>
      </c>
      <c r="G4050" t="s">
        <v>6078</v>
      </c>
      <c r="H4050" t="s">
        <v>6097</v>
      </c>
      <c r="I4050">
        <v>24</v>
      </c>
      <c r="J4050">
        <v>5.7</v>
      </c>
      <c r="K4050" t="s">
        <v>6099</v>
      </c>
      <c r="L4050" t="s">
        <v>6100</v>
      </c>
      <c r="M4050" t="s">
        <v>6099</v>
      </c>
      <c r="O4050" t="s">
        <v>6101</v>
      </c>
      <c r="P4050" t="s">
        <v>6113</v>
      </c>
      <c r="Q4050">
        <v>7</v>
      </c>
      <c r="R4050">
        <v>2026</v>
      </c>
      <c r="S4050" t="s">
        <v>6099</v>
      </c>
      <c r="T4050">
        <v>1</v>
      </c>
      <c r="U4050" t="s">
        <v>6021</v>
      </c>
      <c r="V4050">
        <v>1</v>
      </c>
    </row>
    <row r="4051" spans="1:22" x14ac:dyDescent="0.3">
      <c r="A4051" t="s">
        <v>4066</v>
      </c>
      <c r="B4051" s="2">
        <v>46206.345833333333</v>
      </c>
      <c r="C4051" s="2">
        <v>46214.054166666669</v>
      </c>
      <c r="D4051" t="s">
        <v>6026</v>
      </c>
      <c r="E4051" t="s">
        <v>6031</v>
      </c>
      <c r="F4051" t="s">
        <v>6034</v>
      </c>
      <c r="G4051" t="s">
        <v>6038</v>
      </c>
      <c r="H4051" t="s">
        <v>6096</v>
      </c>
      <c r="I4051">
        <v>24</v>
      </c>
      <c r="J4051">
        <v>185</v>
      </c>
      <c r="K4051" t="s">
        <v>6100</v>
      </c>
      <c r="L4051" t="s">
        <v>6099</v>
      </c>
      <c r="M4051" t="s">
        <v>6100</v>
      </c>
      <c r="O4051" t="s">
        <v>6101</v>
      </c>
      <c r="P4051" t="s">
        <v>6113</v>
      </c>
      <c r="Q4051">
        <v>7</v>
      </c>
      <c r="R4051">
        <v>2026</v>
      </c>
      <c r="S4051" t="s">
        <v>6100</v>
      </c>
      <c r="T4051">
        <v>0</v>
      </c>
      <c r="U4051" t="s">
        <v>6018</v>
      </c>
      <c r="V4051">
        <v>0</v>
      </c>
    </row>
    <row r="4052" spans="1:22" x14ac:dyDescent="0.3">
      <c r="A4052" t="s">
        <v>4067</v>
      </c>
      <c r="B4052" s="2">
        <v>46206.359722222223</v>
      </c>
      <c r="C4052" s="2">
        <v>46206.509722222225</v>
      </c>
      <c r="D4052" t="s">
        <v>6028</v>
      </c>
      <c r="E4052" t="s">
        <v>6030</v>
      </c>
      <c r="F4052" t="s">
        <v>6034</v>
      </c>
      <c r="G4052" t="s">
        <v>6037</v>
      </c>
      <c r="H4052" t="s">
        <v>6096</v>
      </c>
      <c r="I4052">
        <v>24</v>
      </c>
      <c r="J4052">
        <v>3.6</v>
      </c>
      <c r="K4052" t="s">
        <v>6099</v>
      </c>
      <c r="L4052" t="s">
        <v>6100</v>
      </c>
      <c r="M4052" t="s">
        <v>6100</v>
      </c>
      <c r="N4052">
        <v>5</v>
      </c>
      <c r="O4052" t="s">
        <v>6101</v>
      </c>
      <c r="P4052" t="s">
        <v>6113</v>
      </c>
      <c r="Q4052">
        <v>7</v>
      </c>
      <c r="R4052">
        <v>2026</v>
      </c>
      <c r="S4052" t="s">
        <v>6099</v>
      </c>
      <c r="T4052">
        <v>1</v>
      </c>
      <c r="U4052" t="s">
        <v>6020</v>
      </c>
      <c r="V4052">
        <v>1</v>
      </c>
    </row>
    <row r="4053" spans="1:22" x14ac:dyDescent="0.3">
      <c r="A4053" t="s">
        <v>4068</v>
      </c>
      <c r="B4053" s="2">
        <v>46206.38958333333</v>
      </c>
      <c r="C4053" s="2">
        <v>46207.32708333333</v>
      </c>
      <c r="D4053" t="s">
        <v>6028</v>
      </c>
      <c r="E4053" t="s">
        <v>6032</v>
      </c>
      <c r="F4053" t="s">
        <v>6035</v>
      </c>
      <c r="G4053" t="s">
        <v>6084</v>
      </c>
      <c r="H4053" t="s">
        <v>6098</v>
      </c>
      <c r="I4053">
        <v>4</v>
      </c>
      <c r="J4053">
        <v>22.5</v>
      </c>
      <c r="K4053" t="s">
        <v>6099</v>
      </c>
      <c r="L4053" t="s">
        <v>6100</v>
      </c>
      <c r="M4053" t="s">
        <v>6100</v>
      </c>
      <c r="N4053">
        <v>4</v>
      </c>
      <c r="O4053" t="s">
        <v>6101</v>
      </c>
      <c r="P4053" t="s">
        <v>6113</v>
      </c>
      <c r="Q4053">
        <v>7</v>
      </c>
      <c r="R4053">
        <v>2026</v>
      </c>
      <c r="S4053" t="s">
        <v>6100</v>
      </c>
      <c r="T4053">
        <v>0</v>
      </c>
      <c r="U4053" t="s">
        <v>6021</v>
      </c>
      <c r="V4053">
        <v>1</v>
      </c>
    </row>
    <row r="4054" spans="1:22" x14ac:dyDescent="0.3">
      <c r="A4054" t="s">
        <v>4069</v>
      </c>
      <c r="B4054" s="2">
        <v>46206.444444444445</v>
      </c>
      <c r="C4054" s="2">
        <v>46206.919444444444</v>
      </c>
      <c r="D4054" t="s">
        <v>6022</v>
      </c>
      <c r="E4054" t="s">
        <v>6030</v>
      </c>
      <c r="F4054" t="s">
        <v>6033</v>
      </c>
      <c r="G4054" t="s">
        <v>6041</v>
      </c>
      <c r="H4054" t="s">
        <v>6096</v>
      </c>
      <c r="I4054">
        <v>72</v>
      </c>
      <c r="J4054">
        <v>11.4</v>
      </c>
      <c r="K4054" t="s">
        <v>6100</v>
      </c>
      <c r="L4054" t="s">
        <v>6099</v>
      </c>
      <c r="M4054" t="s">
        <v>6100</v>
      </c>
      <c r="N4054">
        <v>4</v>
      </c>
      <c r="O4054" t="s">
        <v>6101</v>
      </c>
      <c r="P4054" t="s">
        <v>6113</v>
      </c>
      <c r="Q4054">
        <v>7</v>
      </c>
      <c r="R4054">
        <v>2026</v>
      </c>
      <c r="S4054" t="s">
        <v>6099</v>
      </c>
      <c r="T4054">
        <v>1</v>
      </c>
      <c r="U4054" t="s">
        <v>6018</v>
      </c>
      <c r="V4054">
        <v>0</v>
      </c>
    </row>
    <row r="4055" spans="1:22" x14ac:dyDescent="0.3">
      <c r="A4055" t="s">
        <v>4070</v>
      </c>
      <c r="B4055" s="2">
        <v>46206.445138888892</v>
      </c>
      <c r="C4055" s="2">
        <v>46209.857638888891</v>
      </c>
      <c r="D4055" t="s">
        <v>6026</v>
      </c>
      <c r="E4055" t="s">
        <v>6031</v>
      </c>
      <c r="F4055" t="s">
        <v>6035</v>
      </c>
      <c r="G4055" t="s">
        <v>6090</v>
      </c>
      <c r="H4055" t="s">
        <v>6097</v>
      </c>
      <c r="I4055">
        <v>4</v>
      </c>
      <c r="J4055">
        <v>81.900000000000006</v>
      </c>
      <c r="K4055" t="s">
        <v>6100</v>
      </c>
      <c r="L4055" t="s">
        <v>6100</v>
      </c>
      <c r="M4055" t="s">
        <v>6100</v>
      </c>
      <c r="N4055">
        <v>4</v>
      </c>
      <c r="O4055" t="s">
        <v>6101</v>
      </c>
      <c r="P4055" t="s">
        <v>6113</v>
      </c>
      <c r="Q4055">
        <v>7</v>
      </c>
      <c r="R4055">
        <v>2026</v>
      </c>
      <c r="S4055" t="s">
        <v>6100</v>
      </c>
      <c r="T4055">
        <v>0</v>
      </c>
      <c r="U4055" t="s">
        <v>6021</v>
      </c>
      <c r="V4055">
        <v>0</v>
      </c>
    </row>
    <row r="4056" spans="1:22" x14ac:dyDescent="0.3">
      <c r="A4056" t="s">
        <v>4071</v>
      </c>
      <c r="B4056" s="2">
        <v>46206.455555555556</v>
      </c>
      <c r="C4056" s="2">
        <v>46211.251388888886</v>
      </c>
      <c r="D4056" t="s">
        <v>6025</v>
      </c>
      <c r="E4056" t="s">
        <v>6031</v>
      </c>
      <c r="F4056" t="s">
        <v>6035</v>
      </c>
      <c r="G4056" t="s">
        <v>6041</v>
      </c>
      <c r="H4056" t="s">
        <v>6096</v>
      </c>
      <c r="I4056">
        <v>4</v>
      </c>
      <c r="J4056">
        <v>115.1</v>
      </c>
      <c r="K4056" t="s">
        <v>6100</v>
      </c>
      <c r="L4056" t="s">
        <v>6100</v>
      </c>
      <c r="M4056" t="s">
        <v>6099</v>
      </c>
      <c r="N4056">
        <v>2</v>
      </c>
      <c r="O4056" t="s">
        <v>6101</v>
      </c>
      <c r="P4056" t="s">
        <v>6113</v>
      </c>
      <c r="Q4056">
        <v>7</v>
      </c>
      <c r="R4056">
        <v>2026</v>
      </c>
      <c r="S4056" t="s">
        <v>6100</v>
      </c>
      <c r="T4056">
        <v>0</v>
      </c>
      <c r="U4056" t="s">
        <v>6019</v>
      </c>
      <c r="V4056">
        <v>0</v>
      </c>
    </row>
    <row r="4057" spans="1:22" x14ac:dyDescent="0.3">
      <c r="A4057" t="s">
        <v>4072</v>
      </c>
      <c r="B4057" s="2">
        <v>46206.492361111108</v>
      </c>
      <c r="C4057" s="2">
        <v>46206.650694444441</v>
      </c>
      <c r="D4057" t="s">
        <v>6028</v>
      </c>
      <c r="E4057" t="s">
        <v>6030</v>
      </c>
      <c r="F4057" t="s">
        <v>6035</v>
      </c>
      <c r="G4057" t="s">
        <v>6067</v>
      </c>
      <c r="H4057" t="s">
        <v>6098</v>
      </c>
      <c r="I4057">
        <v>4</v>
      </c>
      <c r="J4057">
        <v>3.8</v>
      </c>
      <c r="K4057" t="s">
        <v>6099</v>
      </c>
      <c r="L4057" t="s">
        <v>6100</v>
      </c>
      <c r="M4057" t="s">
        <v>6100</v>
      </c>
      <c r="O4057" t="s">
        <v>6101</v>
      </c>
      <c r="P4057" t="s">
        <v>6113</v>
      </c>
      <c r="Q4057">
        <v>7</v>
      </c>
      <c r="R4057">
        <v>2026</v>
      </c>
      <c r="S4057" t="s">
        <v>6099</v>
      </c>
      <c r="T4057">
        <v>1</v>
      </c>
      <c r="U4057" t="s">
        <v>6018</v>
      </c>
      <c r="V4057">
        <v>1</v>
      </c>
    </row>
    <row r="4058" spans="1:22" x14ac:dyDescent="0.3">
      <c r="A4058" t="s">
        <v>4073</v>
      </c>
      <c r="B4058" s="2">
        <v>46206.49722222222</v>
      </c>
      <c r="C4058" s="2">
        <v>46207.538888888892</v>
      </c>
      <c r="D4058" t="s">
        <v>6023</v>
      </c>
      <c r="E4058" t="s">
        <v>6032</v>
      </c>
      <c r="F4058" t="s">
        <v>6034</v>
      </c>
      <c r="G4058" t="s">
        <v>6086</v>
      </c>
      <c r="H4058" t="s">
        <v>6098</v>
      </c>
      <c r="I4058">
        <v>24</v>
      </c>
      <c r="J4058">
        <v>25</v>
      </c>
      <c r="K4058" t="s">
        <v>6099</v>
      </c>
      <c r="L4058" t="s">
        <v>6100</v>
      </c>
      <c r="M4058" t="s">
        <v>6100</v>
      </c>
      <c r="O4058" t="s">
        <v>6101</v>
      </c>
      <c r="P4058" t="s">
        <v>6113</v>
      </c>
      <c r="Q4058">
        <v>7</v>
      </c>
      <c r="R4058">
        <v>2026</v>
      </c>
      <c r="S4058" t="s">
        <v>6100</v>
      </c>
      <c r="T4058">
        <v>0</v>
      </c>
      <c r="U4058" t="s">
        <v>6017</v>
      </c>
      <c r="V4058">
        <v>1</v>
      </c>
    </row>
    <row r="4059" spans="1:22" x14ac:dyDescent="0.3">
      <c r="A4059" t="s">
        <v>4074</v>
      </c>
      <c r="B4059" s="2">
        <v>46206.584722222222</v>
      </c>
      <c r="C4059" s="2">
        <v>46206.897222222222</v>
      </c>
      <c r="D4059" t="s">
        <v>6023</v>
      </c>
      <c r="E4059" t="s">
        <v>6029</v>
      </c>
      <c r="F4059" t="s">
        <v>6034</v>
      </c>
      <c r="G4059" t="s">
        <v>6042</v>
      </c>
      <c r="H4059" t="s">
        <v>6098</v>
      </c>
      <c r="I4059">
        <v>24</v>
      </c>
      <c r="J4059">
        <v>7.5</v>
      </c>
      <c r="K4059" t="s">
        <v>6099</v>
      </c>
      <c r="L4059" t="s">
        <v>6100</v>
      </c>
      <c r="M4059" t="s">
        <v>6100</v>
      </c>
      <c r="N4059">
        <v>4</v>
      </c>
      <c r="O4059" t="s">
        <v>6101</v>
      </c>
      <c r="P4059" t="s">
        <v>6113</v>
      </c>
      <c r="Q4059">
        <v>7</v>
      </c>
      <c r="R4059">
        <v>2026</v>
      </c>
      <c r="S4059" t="s">
        <v>6099</v>
      </c>
      <c r="T4059">
        <v>1</v>
      </c>
      <c r="U4059" t="s">
        <v>6021</v>
      </c>
      <c r="V4059">
        <v>1</v>
      </c>
    </row>
    <row r="4060" spans="1:22" x14ac:dyDescent="0.3">
      <c r="A4060" t="s">
        <v>4075</v>
      </c>
      <c r="B4060" s="2">
        <v>46206.606944444444</v>
      </c>
      <c r="C4060" s="2">
        <v>46208.31527777778</v>
      </c>
      <c r="D4060" t="s">
        <v>6022</v>
      </c>
      <c r="E4060" t="s">
        <v>6031</v>
      </c>
      <c r="F4060" t="s">
        <v>6034</v>
      </c>
      <c r="G4060" t="s">
        <v>6074</v>
      </c>
      <c r="H4060" t="s">
        <v>6098</v>
      </c>
      <c r="I4060">
        <v>24</v>
      </c>
      <c r="J4060">
        <v>41</v>
      </c>
      <c r="K4060" t="s">
        <v>6100</v>
      </c>
      <c r="L4060" t="s">
        <v>6100</v>
      </c>
      <c r="M4060" t="s">
        <v>6099</v>
      </c>
      <c r="O4060" t="s">
        <v>6101</v>
      </c>
      <c r="P4060" t="s">
        <v>6113</v>
      </c>
      <c r="Q4060">
        <v>7</v>
      </c>
      <c r="R4060">
        <v>2026</v>
      </c>
      <c r="S4060" t="s">
        <v>6100</v>
      </c>
      <c r="T4060">
        <v>0</v>
      </c>
      <c r="U4060" t="s">
        <v>6020</v>
      </c>
      <c r="V4060">
        <v>0</v>
      </c>
    </row>
    <row r="4061" spans="1:22" x14ac:dyDescent="0.3">
      <c r="A4061" t="s">
        <v>4076</v>
      </c>
      <c r="B4061" s="2">
        <v>46206.681250000001</v>
      </c>
      <c r="C4061" s="2">
        <v>46208.210416666669</v>
      </c>
      <c r="D4061" t="s">
        <v>6025</v>
      </c>
      <c r="E4061" t="s">
        <v>6031</v>
      </c>
      <c r="F4061" t="s">
        <v>6033</v>
      </c>
      <c r="G4061" t="s">
        <v>6036</v>
      </c>
      <c r="H4061" t="s">
        <v>6096</v>
      </c>
      <c r="I4061">
        <v>72</v>
      </c>
      <c r="J4061">
        <v>36.700000000000003</v>
      </c>
      <c r="K4061" t="s">
        <v>6099</v>
      </c>
      <c r="L4061" t="s">
        <v>6100</v>
      </c>
      <c r="M4061" t="s">
        <v>6100</v>
      </c>
      <c r="O4061" t="s">
        <v>6101</v>
      </c>
      <c r="P4061" t="s">
        <v>6113</v>
      </c>
      <c r="Q4061">
        <v>7</v>
      </c>
      <c r="R4061">
        <v>2026</v>
      </c>
      <c r="S4061" t="s">
        <v>6099</v>
      </c>
      <c r="T4061">
        <v>1</v>
      </c>
      <c r="U4061" t="s">
        <v>6019</v>
      </c>
      <c r="V4061">
        <v>1</v>
      </c>
    </row>
    <row r="4062" spans="1:22" x14ac:dyDescent="0.3">
      <c r="A4062" t="s">
        <v>4077</v>
      </c>
      <c r="B4062" s="2">
        <v>46206.703472222223</v>
      </c>
      <c r="C4062" s="2">
        <v>46206.928472222222</v>
      </c>
      <c r="D4062" t="s">
        <v>6028</v>
      </c>
      <c r="E4062" t="s">
        <v>6029</v>
      </c>
      <c r="F4062" t="s">
        <v>6034</v>
      </c>
      <c r="G4062" t="s">
        <v>6089</v>
      </c>
      <c r="H4062" t="s">
        <v>6098</v>
      </c>
      <c r="I4062">
        <v>24</v>
      </c>
      <c r="J4062">
        <v>5.4</v>
      </c>
      <c r="K4062" t="s">
        <v>6100</v>
      </c>
      <c r="L4062" t="s">
        <v>6099</v>
      </c>
      <c r="M4062" t="s">
        <v>6100</v>
      </c>
      <c r="O4062" t="s">
        <v>6101</v>
      </c>
      <c r="P4062" t="s">
        <v>6113</v>
      </c>
      <c r="Q4062">
        <v>7</v>
      </c>
      <c r="R4062">
        <v>2026</v>
      </c>
      <c r="S4062" t="s">
        <v>6099</v>
      </c>
      <c r="T4062">
        <v>1</v>
      </c>
      <c r="U4062" t="s">
        <v>6018</v>
      </c>
      <c r="V4062">
        <v>0</v>
      </c>
    </row>
    <row r="4063" spans="1:22" x14ac:dyDescent="0.3">
      <c r="A4063" t="s">
        <v>4078</v>
      </c>
      <c r="B4063" s="2">
        <v>46206.707638888889</v>
      </c>
      <c r="C4063" s="2">
        <v>46207.145138888889</v>
      </c>
      <c r="D4063" t="s">
        <v>6022</v>
      </c>
      <c r="E4063" t="s">
        <v>6029</v>
      </c>
      <c r="F4063" t="s">
        <v>6033</v>
      </c>
      <c r="G4063" t="s">
        <v>6051</v>
      </c>
      <c r="H4063" t="s">
        <v>6097</v>
      </c>
      <c r="I4063">
        <v>72</v>
      </c>
      <c r="J4063">
        <v>10.5</v>
      </c>
      <c r="K4063" t="s">
        <v>6099</v>
      </c>
      <c r="L4063" t="s">
        <v>6100</v>
      </c>
      <c r="M4063" t="s">
        <v>6100</v>
      </c>
      <c r="N4063">
        <v>5</v>
      </c>
      <c r="O4063" t="s">
        <v>6101</v>
      </c>
      <c r="P4063" t="s">
        <v>6113</v>
      </c>
      <c r="Q4063">
        <v>7</v>
      </c>
      <c r="R4063">
        <v>2026</v>
      </c>
      <c r="S4063" t="s">
        <v>6099</v>
      </c>
      <c r="T4063">
        <v>1</v>
      </c>
      <c r="U4063" t="s">
        <v>6020</v>
      </c>
      <c r="V4063">
        <v>1</v>
      </c>
    </row>
    <row r="4064" spans="1:22" x14ac:dyDescent="0.3">
      <c r="A4064" t="s">
        <v>4079</v>
      </c>
      <c r="B4064" s="2">
        <v>46206.720833333333</v>
      </c>
      <c r="C4064" s="2">
        <v>46207.429166666669</v>
      </c>
      <c r="D4064" t="s">
        <v>6022</v>
      </c>
      <c r="E4064" t="s">
        <v>6031</v>
      </c>
      <c r="F4064" t="s">
        <v>6033</v>
      </c>
      <c r="G4064" t="s">
        <v>6056</v>
      </c>
      <c r="H4064" t="s">
        <v>6098</v>
      </c>
      <c r="I4064">
        <v>72</v>
      </c>
      <c r="J4064">
        <v>17</v>
      </c>
      <c r="K4064" t="s">
        <v>6100</v>
      </c>
      <c r="L4064" t="s">
        <v>6099</v>
      </c>
      <c r="M4064" t="s">
        <v>6100</v>
      </c>
      <c r="N4064">
        <v>5</v>
      </c>
      <c r="O4064" t="s">
        <v>6101</v>
      </c>
      <c r="P4064" t="s">
        <v>6113</v>
      </c>
      <c r="Q4064">
        <v>7</v>
      </c>
      <c r="R4064">
        <v>2026</v>
      </c>
      <c r="S4064" t="s">
        <v>6099</v>
      </c>
      <c r="T4064">
        <v>1</v>
      </c>
      <c r="U4064" t="s">
        <v>6020</v>
      </c>
      <c r="V4064">
        <v>0</v>
      </c>
    </row>
    <row r="4065" spans="1:22" x14ac:dyDescent="0.3">
      <c r="A4065" t="s">
        <v>4080</v>
      </c>
      <c r="B4065" s="2">
        <v>46206.914583333331</v>
      </c>
      <c r="C4065" s="2">
        <v>46208.352083333331</v>
      </c>
      <c r="D4065" t="s">
        <v>6026</v>
      </c>
      <c r="E4065" t="s">
        <v>6029</v>
      </c>
      <c r="F4065" t="s">
        <v>6034</v>
      </c>
      <c r="G4065" t="s">
        <v>6071</v>
      </c>
      <c r="H4065" t="s">
        <v>6098</v>
      </c>
      <c r="I4065">
        <v>24</v>
      </c>
      <c r="J4065">
        <v>34.5</v>
      </c>
      <c r="K4065" t="s">
        <v>6099</v>
      </c>
      <c r="L4065" t="s">
        <v>6100</v>
      </c>
      <c r="M4065" t="s">
        <v>6100</v>
      </c>
      <c r="N4065">
        <v>4</v>
      </c>
      <c r="O4065" t="s">
        <v>6101</v>
      </c>
      <c r="P4065" t="s">
        <v>6113</v>
      </c>
      <c r="Q4065">
        <v>7</v>
      </c>
      <c r="R4065">
        <v>2026</v>
      </c>
      <c r="S4065" t="s">
        <v>6100</v>
      </c>
      <c r="T4065">
        <v>0</v>
      </c>
      <c r="U4065" t="s">
        <v>6020</v>
      </c>
      <c r="V4065">
        <v>1</v>
      </c>
    </row>
    <row r="4066" spans="1:22" x14ac:dyDescent="0.3">
      <c r="A4066" t="s">
        <v>4081</v>
      </c>
      <c r="B4066" s="2">
        <v>46206.973611111112</v>
      </c>
      <c r="C4066" s="2">
        <v>46209.302777777775</v>
      </c>
      <c r="D4066" t="s">
        <v>6024</v>
      </c>
      <c r="E4066" t="s">
        <v>6031</v>
      </c>
      <c r="F4066" t="s">
        <v>6034</v>
      </c>
      <c r="G4066" t="s">
        <v>6054</v>
      </c>
      <c r="H4066" t="s">
        <v>6096</v>
      </c>
      <c r="I4066">
        <v>24</v>
      </c>
      <c r="J4066">
        <v>55.9</v>
      </c>
      <c r="K4066" t="s">
        <v>6099</v>
      </c>
      <c r="L4066" t="s">
        <v>6100</v>
      </c>
      <c r="M4066" t="s">
        <v>6100</v>
      </c>
      <c r="N4066">
        <v>4</v>
      </c>
      <c r="O4066" t="s">
        <v>6101</v>
      </c>
      <c r="P4066" t="s">
        <v>6113</v>
      </c>
      <c r="Q4066">
        <v>7</v>
      </c>
      <c r="R4066">
        <v>2026</v>
      </c>
      <c r="S4066" t="s">
        <v>6100</v>
      </c>
      <c r="T4066">
        <v>0</v>
      </c>
      <c r="U4066" t="s">
        <v>6017</v>
      </c>
      <c r="V4066">
        <v>1</v>
      </c>
    </row>
    <row r="4067" spans="1:22" x14ac:dyDescent="0.3">
      <c r="A4067" t="s">
        <v>4082</v>
      </c>
      <c r="B4067" s="2">
        <v>46207.316666666666</v>
      </c>
      <c r="C4067" s="2">
        <v>46207.662499999999</v>
      </c>
      <c r="D4067" t="s">
        <v>6028</v>
      </c>
      <c r="E4067" t="s">
        <v>6029</v>
      </c>
      <c r="F4067" t="s">
        <v>6035</v>
      </c>
      <c r="G4067" t="s">
        <v>6094</v>
      </c>
      <c r="H4067" t="s">
        <v>6098</v>
      </c>
      <c r="I4067">
        <v>4</v>
      </c>
      <c r="J4067">
        <v>8.3000000000000007</v>
      </c>
      <c r="K4067" t="s">
        <v>6100</v>
      </c>
      <c r="L4067" t="s">
        <v>6100</v>
      </c>
      <c r="M4067" t="s">
        <v>6099</v>
      </c>
      <c r="N4067">
        <v>3</v>
      </c>
      <c r="O4067" t="s">
        <v>6101</v>
      </c>
      <c r="P4067" t="s">
        <v>6113</v>
      </c>
      <c r="Q4067">
        <v>7</v>
      </c>
      <c r="R4067">
        <v>2026</v>
      </c>
      <c r="S4067" t="s">
        <v>6100</v>
      </c>
      <c r="T4067">
        <v>0</v>
      </c>
      <c r="U4067" t="s">
        <v>6019</v>
      </c>
      <c r="V4067">
        <v>0</v>
      </c>
    </row>
    <row r="4068" spans="1:22" x14ac:dyDescent="0.3">
      <c r="A4068" t="s">
        <v>4083</v>
      </c>
      <c r="B4068" s="2">
        <v>46207.328472222223</v>
      </c>
      <c r="C4068" s="2">
        <v>46208.499305555553</v>
      </c>
      <c r="D4068" t="s">
        <v>6022</v>
      </c>
      <c r="E4068" t="s">
        <v>6030</v>
      </c>
      <c r="F4068" t="s">
        <v>6033</v>
      </c>
      <c r="G4068" t="s">
        <v>6053</v>
      </c>
      <c r="H4068" t="s">
        <v>6097</v>
      </c>
      <c r="I4068">
        <v>72</v>
      </c>
      <c r="J4068">
        <v>28.1</v>
      </c>
      <c r="K4068" t="s">
        <v>6099</v>
      </c>
      <c r="L4068" t="s">
        <v>6100</v>
      </c>
      <c r="M4068" t="s">
        <v>6100</v>
      </c>
      <c r="O4068" t="s">
        <v>6101</v>
      </c>
      <c r="P4068" t="s">
        <v>6113</v>
      </c>
      <c r="Q4068">
        <v>7</v>
      </c>
      <c r="R4068">
        <v>2026</v>
      </c>
      <c r="S4068" t="s">
        <v>6099</v>
      </c>
      <c r="T4068">
        <v>1</v>
      </c>
      <c r="U4068" t="s">
        <v>6019</v>
      </c>
      <c r="V4068">
        <v>1</v>
      </c>
    </row>
    <row r="4069" spans="1:22" x14ac:dyDescent="0.3">
      <c r="A4069" t="s">
        <v>4084</v>
      </c>
      <c r="B4069" s="2">
        <v>46207.339583333334</v>
      </c>
      <c r="C4069" s="2">
        <v>46207.852083333331</v>
      </c>
      <c r="D4069" t="s">
        <v>6024</v>
      </c>
      <c r="E4069" t="s">
        <v>6032</v>
      </c>
      <c r="F4069" t="s">
        <v>6034</v>
      </c>
      <c r="G4069" t="s">
        <v>6077</v>
      </c>
      <c r="H4069" t="s">
        <v>6098</v>
      </c>
      <c r="I4069">
        <v>24</v>
      </c>
      <c r="J4069">
        <v>12.3</v>
      </c>
      <c r="K4069" t="s">
        <v>6099</v>
      </c>
      <c r="L4069" t="s">
        <v>6100</v>
      </c>
      <c r="M4069" t="s">
        <v>6100</v>
      </c>
      <c r="N4069">
        <v>5</v>
      </c>
      <c r="O4069" t="s">
        <v>6101</v>
      </c>
      <c r="P4069" t="s">
        <v>6113</v>
      </c>
      <c r="Q4069">
        <v>7</v>
      </c>
      <c r="R4069">
        <v>2026</v>
      </c>
      <c r="S4069" t="s">
        <v>6099</v>
      </c>
      <c r="T4069">
        <v>1</v>
      </c>
      <c r="U4069" t="s">
        <v>6021</v>
      </c>
      <c r="V4069">
        <v>1</v>
      </c>
    </row>
    <row r="4070" spans="1:22" x14ac:dyDescent="0.3">
      <c r="A4070" t="s">
        <v>4085</v>
      </c>
      <c r="B4070" s="2">
        <v>46207.347222222219</v>
      </c>
      <c r="C4070" s="2">
        <v>46208.097222222219</v>
      </c>
      <c r="D4070" t="s">
        <v>6028</v>
      </c>
      <c r="E4070" t="s">
        <v>6032</v>
      </c>
      <c r="F4070" t="s">
        <v>6035</v>
      </c>
      <c r="G4070" t="s">
        <v>6076</v>
      </c>
      <c r="H4070" t="s">
        <v>6097</v>
      </c>
      <c r="I4070">
        <v>4</v>
      </c>
      <c r="J4070">
        <v>18</v>
      </c>
      <c r="K4070" t="s">
        <v>6099</v>
      </c>
      <c r="L4070" t="s">
        <v>6100</v>
      </c>
      <c r="M4070" t="s">
        <v>6100</v>
      </c>
      <c r="O4070" t="s">
        <v>6101</v>
      </c>
      <c r="P4070" t="s">
        <v>6113</v>
      </c>
      <c r="Q4070">
        <v>7</v>
      </c>
      <c r="R4070">
        <v>2026</v>
      </c>
      <c r="S4070" t="s">
        <v>6100</v>
      </c>
      <c r="T4070">
        <v>0</v>
      </c>
      <c r="U4070" t="s">
        <v>6017</v>
      </c>
      <c r="V4070">
        <v>1</v>
      </c>
    </row>
    <row r="4071" spans="1:22" x14ac:dyDescent="0.3">
      <c r="A4071" t="s">
        <v>4086</v>
      </c>
      <c r="B4071" s="2">
        <v>46207.37222222222</v>
      </c>
      <c r="C4071" s="2">
        <v>46208.643055555556</v>
      </c>
      <c r="D4071" t="s">
        <v>6022</v>
      </c>
      <c r="E4071" t="s">
        <v>6031</v>
      </c>
      <c r="F4071" t="s">
        <v>6033</v>
      </c>
      <c r="G4071" t="s">
        <v>6094</v>
      </c>
      <c r="H4071" t="s">
        <v>6098</v>
      </c>
      <c r="I4071">
        <v>72</v>
      </c>
      <c r="J4071">
        <v>30.5</v>
      </c>
      <c r="K4071" t="s">
        <v>6099</v>
      </c>
      <c r="L4071" t="s">
        <v>6100</v>
      </c>
      <c r="M4071" t="s">
        <v>6100</v>
      </c>
      <c r="O4071" t="s">
        <v>6101</v>
      </c>
      <c r="P4071" t="s">
        <v>6113</v>
      </c>
      <c r="Q4071">
        <v>7</v>
      </c>
      <c r="R4071">
        <v>2026</v>
      </c>
      <c r="S4071" t="s">
        <v>6099</v>
      </c>
      <c r="T4071">
        <v>1</v>
      </c>
      <c r="U4071" t="s">
        <v>6020</v>
      </c>
      <c r="V4071">
        <v>1</v>
      </c>
    </row>
    <row r="4072" spans="1:22" x14ac:dyDescent="0.3">
      <c r="A4072" t="s">
        <v>4087</v>
      </c>
      <c r="B4072" s="2">
        <v>46207.385416666664</v>
      </c>
      <c r="C4072" s="2">
        <v>46209.372916666667</v>
      </c>
      <c r="D4072" t="s">
        <v>6027</v>
      </c>
      <c r="E4072" t="s">
        <v>6031</v>
      </c>
      <c r="F4072" t="s">
        <v>6033</v>
      </c>
      <c r="G4072" t="s">
        <v>6054</v>
      </c>
      <c r="H4072" t="s">
        <v>6096</v>
      </c>
      <c r="I4072">
        <v>72</v>
      </c>
      <c r="J4072">
        <v>47.7</v>
      </c>
      <c r="K4072" t="s">
        <v>6100</v>
      </c>
      <c r="L4072" t="s">
        <v>6099</v>
      </c>
      <c r="M4072" t="s">
        <v>6100</v>
      </c>
      <c r="N4072">
        <v>3</v>
      </c>
      <c r="O4072" t="s">
        <v>6101</v>
      </c>
      <c r="P4072" t="s">
        <v>6113</v>
      </c>
      <c r="Q4072">
        <v>7</v>
      </c>
      <c r="R4072">
        <v>2026</v>
      </c>
      <c r="S4072" t="s">
        <v>6099</v>
      </c>
      <c r="T4072">
        <v>1</v>
      </c>
      <c r="U4072" t="s">
        <v>6018</v>
      </c>
      <c r="V4072">
        <v>0</v>
      </c>
    </row>
    <row r="4073" spans="1:22" x14ac:dyDescent="0.3">
      <c r="A4073" t="s">
        <v>4088</v>
      </c>
      <c r="B4073" s="2">
        <v>46207.492361111108</v>
      </c>
      <c r="C4073" s="2">
        <v>46208.09652777778</v>
      </c>
      <c r="D4073" t="s">
        <v>6023</v>
      </c>
      <c r="E4073" t="s">
        <v>6029</v>
      </c>
      <c r="F4073" t="s">
        <v>6033</v>
      </c>
      <c r="G4073" t="s">
        <v>6088</v>
      </c>
      <c r="H4073" t="s">
        <v>6097</v>
      </c>
      <c r="I4073">
        <v>72</v>
      </c>
      <c r="J4073">
        <v>14.5</v>
      </c>
      <c r="K4073" t="s">
        <v>6099</v>
      </c>
      <c r="L4073" t="s">
        <v>6100</v>
      </c>
      <c r="M4073" t="s">
        <v>6100</v>
      </c>
      <c r="O4073" t="s">
        <v>6101</v>
      </c>
      <c r="P4073" t="s">
        <v>6113</v>
      </c>
      <c r="Q4073">
        <v>7</v>
      </c>
      <c r="R4073">
        <v>2026</v>
      </c>
      <c r="S4073" t="s">
        <v>6099</v>
      </c>
      <c r="T4073">
        <v>1</v>
      </c>
      <c r="U4073" t="s">
        <v>6020</v>
      </c>
      <c r="V4073">
        <v>1</v>
      </c>
    </row>
    <row r="4074" spans="1:22" x14ac:dyDescent="0.3">
      <c r="A4074" t="s">
        <v>4089</v>
      </c>
      <c r="B4074" s="2">
        <v>46207.53125</v>
      </c>
      <c r="C4074" s="2">
        <v>46207.78125</v>
      </c>
      <c r="D4074" t="s">
        <v>6022</v>
      </c>
      <c r="E4074" t="s">
        <v>6029</v>
      </c>
      <c r="F4074" t="s">
        <v>6034</v>
      </c>
      <c r="G4074" t="s">
        <v>6059</v>
      </c>
      <c r="H4074" t="s">
        <v>6097</v>
      </c>
      <c r="I4074">
        <v>24</v>
      </c>
      <c r="J4074">
        <v>6</v>
      </c>
      <c r="K4074" t="s">
        <v>6099</v>
      </c>
      <c r="L4074" t="s">
        <v>6100</v>
      </c>
      <c r="M4074" t="s">
        <v>6100</v>
      </c>
      <c r="N4074">
        <v>5</v>
      </c>
      <c r="O4074" t="s">
        <v>6101</v>
      </c>
      <c r="P4074" t="s">
        <v>6113</v>
      </c>
      <c r="Q4074">
        <v>7</v>
      </c>
      <c r="R4074">
        <v>2026</v>
      </c>
      <c r="S4074" t="s">
        <v>6099</v>
      </c>
      <c r="T4074">
        <v>1</v>
      </c>
      <c r="U4074" t="s">
        <v>6018</v>
      </c>
      <c r="V4074">
        <v>1</v>
      </c>
    </row>
    <row r="4075" spans="1:22" x14ac:dyDescent="0.3">
      <c r="A4075" t="s">
        <v>4090</v>
      </c>
      <c r="B4075" s="2">
        <v>46207.556944444441</v>
      </c>
      <c r="C4075" s="2">
        <v>46207.977777777778</v>
      </c>
      <c r="D4075" t="s">
        <v>6024</v>
      </c>
      <c r="E4075" t="s">
        <v>6030</v>
      </c>
      <c r="F4075" t="s">
        <v>6033</v>
      </c>
      <c r="G4075" t="s">
        <v>6084</v>
      </c>
      <c r="H4075" t="s">
        <v>6098</v>
      </c>
      <c r="I4075">
        <v>72</v>
      </c>
      <c r="J4075">
        <v>10.1</v>
      </c>
      <c r="K4075" t="s">
        <v>6100</v>
      </c>
      <c r="L4075" t="s">
        <v>6099</v>
      </c>
      <c r="M4075" t="s">
        <v>6100</v>
      </c>
      <c r="O4075" t="s">
        <v>6101</v>
      </c>
      <c r="P4075" t="s">
        <v>6113</v>
      </c>
      <c r="Q4075">
        <v>7</v>
      </c>
      <c r="R4075">
        <v>2026</v>
      </c>
      <c r="S4075" t="s">
        <v>6099</v>
      </c>
      <c r="T4075">
        <v>1</v>
      </c>
      <c r="U4075" t="s">
        <v>6018</v>
      </c>
      <c r="V4075">
        <v>0</v>
      </c>
    </row>
    <row r="4076" spans="1:22" x14ac:dyDescent="0.3">
      <c r="A4076" t="s">
        <v>4091</v>
      </c>
      <c r="B4076" s="2">
        <v>46207.561805555553</v>
      </c>
      <c r="C4076" s="2">
        <v>46207.820138888892</v>
      </c>
      <c r="D4076" t="s">
        <v>6023</v>
      </c>
      <c r="E4076" t="s">
        <v>6029</v>
      </c>
      <c r="F4076" t="s">
        <v>6034</v>
      </c>
      <c r="G4076" t="s">
        <v>6039</v>
      </c>
      <c r="H4076" t="s">
        <v>6097</v>
      </c>
      <c r="I4076">
        <v>24</v>
      </c>
      <c r="J4076">
        <v>6.2</v>
      </c>
      <c r="K4076" t="s">
        <v>6100</v>
      </c>
      <c r="L4076" t="s">
        <v>6100</v>
      </c>
      <c r="M4076" t="s">
        <v>6100</v>
      </c>
      <c r="O4076" t="s">
        <v>6101</v>
      </c>
      <c r="P4076" t="s">
        <v>6113</v>
      </c>
      <c r="Q4076">
        <v>7</v>
      </c>
      <c r="R4076">
        <v>2026</v>
      </c>
      <c r="S4076" t="s">
        <v>6099</v>
      </c>
      <c r="T4076">
        <v>1</v>
      </c>
      <c r="U4076" t="s">
        <v>6021</v>
      </c>
      <c r="V4076">
        <v>0</v>
      </c>
    </row>
    <row r="4077" spans="1:22" x14ac:dyDescent="0.3">
      <c r="A4077" t="s">
        <v>4092</v>
      </c>
      <c r="B4077" s="2">
        <v>46207.568749999999</v>
      </c>
      <c r="C4077" s="2">
        <v>46207.856249999997</v>
      </c>
      <c r="D4077" t="s">
        <v>6028</v>
      </c>
      <c r="E4077" t="s">
        <v>6029</v>
      </c>
      <c r="F4077" t="s">
        <v>6035</v>
      </c>
      <c r="G4077" t="s">
        <v>6057</v>
      </c>
      <c r="H4077" t="s">
        <v>6097</v>
      </c>
      <c r="I4077">
        <v>4</v>
      </c>
      <c r="J4077">
        <v>6.9</v>
      </c>
      <c r="K4077" t="s">
        <v>6099</v>
      </c>
      <c r="L4077" t="s">
        <v>6100</v>
      </c>
      <c r="M4077" t="s">
        <v>6100</v>
      </c>
      <c r="N4077">
        <v>5</v>
      </c>
      <c r="O4077" t="s">
        <v>6101</v>
      </c>
      <c r="P4077" t="s">
        <v>6113</v>
      </c>
      <c r="Q4077">
        <v>7</v>
      </c>
      <c r="R4077">
        <v>2026</v>
      </c>
      <c r="S4077" t="s">
        <v>6100</v>
      </c>
      <c r="T4077">
        <v>0</v>
      </c>
      <c r="U4077" t="s">
        <v>6018</v>
      </c>
      <c r="V4077">
        <v>1</v>
      </c>
    </row>
    <row r="4078" spans="1:22" x14ac:dyDescent="0.3">
      <c r="A4078" t="s">
        <v>4093</v>
      </c>
      <c r="B4078" s="2">
        <v>46207.636805555558</v>
      </c>
      <c r="C4078" s="2">
        <v>46208.315972222219</v>
      </c>
      <c r="D4078" t="s">
        <v>6024</v>
      </c>
      <c r="E4078" t="s">
        <v>6031</v>
      </c>
      <c r="F4078" t="s">
        <v>6034</v>
      </c>
      <c r="G4078" t="s">
        <v>6046</v>
      </c>
      <c r="H4078" t="s">
        <v>6098</v>
      </c>
      <c r="I4078">
        <v>24</v>
      </c>
      <c r="J4078">
        <v>16.3</v>
      </c>
      <c r="K4078" t="s">
        <v>6099</v>
      </c>
      <c r="L4078" t="s">
        <v>6100</v>
      </c>
      <c r="M4078" t="s">
        <v>6100</v>
      </c>
      <c r="N4078">
        <v>4</v>
      </c>
      <c r="O4078" t="s">
        <v>6101</v>
      </c>
      <c r="P4078" t="s">
        <v>6113</v>
      </c>
      <c r="Q4078">
        <v>7</v>
      </c>
      <c r="R4078">
        <v>2026</v>
      </c>
      <c r="S4078" t="s">
        <v>6099</v>
      </c>
      <c r="T4078">
        <v>1</v>
      </c>
      <c r="U4078" t="s">
        <v>6021</v>
      </c>
      <c r="V4078">
        <v>1</v>
      </c>
    </row>
    <row r="4079" spans="1:22" x14ac:dyDescent="0.3">
      <c r="A4079" t="s">
        <v>4094</v>
      </c>
      <c r="B4079" s="2">
        <v>46207.65625</v>
      </c>
      <c r="C4079" s="2">
        <v>46208.143750000003</v>
      </c>
      <c r="D4079" t="s">
        <v>6023</v>
      </c>
      <c r="E4079" t="s">
        <v>6030</v>
      </c>
      <c r="F4079" t="s">
        <v>6034</v>
      </c>
      <c r="G4079" t="s">
        <v>6041</v>
      </c>
      <c r="H4079" t="s">
        <v>6096</v>
      </c>
      <c r="I4079">
        <v>24</v>
      </c>
      <c r="J4079">
        <v>11.7</v>
      </c>
      <c r="K4079" t="s">
        <v>6099</v>
      </c>
      <c r="L4079" t="s">
        <v>6100</v>
      </c>
      <c r="M4079" t="s">
        <v>6100</v>
      </c>
      <c r="N4079">
        <v>4</v>
      </c>
      <c r="O4079" t="s">
        <v>6101</v>
      </c>
      <c r="P4079" t="s">
        <v>6113</v>
      </c>
      <c r="Q4079">
        <v>7</v>
      </c>
      <c r="R4079">
        <v>2026</v>
      </c>
      <c r="S4079" t="s">
        <v>6099</v>
      </c>
      <c r="T4079">
        <v>1</v>
      </c>
      <c r="U4079" t="s">
        <v>6018</v>
      </c>
      <c r="V4079">
        <v>1</v>
      </c>
    </row>
    <row r="4080" spans="1:22" x14ac:dyDescent="0.3">
      <c r="A4080" t="s">
        <v>4095</v>
      </c>
      <c r="B4080" s="2">
        <v>46207.656944444447</v>
      </c>
      <c r="C4080" s="2">
        <v>46211.544444444444</v>
      </c>
      <c r="D4080" t="s">
        <v>6024</v>
      </c>
      <c r="E4080" t="s">
        <v>6031</v>
      </c>
      <c r="F4080" t="s">
        <v>6033</v>
      </c>
      <c r="G4080" t="s">
        <v>6090</v>
      </c>
      <c r="H4080" t="s">
        <v>6097</v>
      </c>
      <c r="I4080">
        <v>72</v>
      </c>
      <c r="J4080">
        <v>93.3</v>
      </c>
      <c r="K4080" t="s">
        <v>6099</v>
      </c>
      <c r="L4080" t="s">
        <v>6100</v>
      </c>
      <c r="M4080" t="s">
        <v>6100</v>
      </c>
      <c r="N4080">
        <v>5</v>
      </c>
      <c r="O4080" t="s">
        <v>6101</v>
      </c>
      <c r="P4080" t="s">
        <v>6113</v>
      </c>
      <c r="Q4080">
        <v>7</v>
      </c>
      <c r="R4080">
        <v>2026</v>
      </c>
      <c r="S4080" t="s">
        <v>6100</v>
      </c>
      <c r="T4080">
        <v>0</v>
      </c>
      <c r="U4080" t="s">
        <v>6020</v>
      </c>
      <c r="V4080">
        <v>1</v>
      </c>
    </row>
    <row r="4081" spans="1:22" x14ac:dyDescent="0.3">
      <c r="A4081" t="s">
        <v>4096</v>
      </c>
      <c r="B4081" s="2">
        <v>46207.675000000003</v>
      </c>
      <c r="C4081" s="2">
        <v>46210.98333333333</v>
      </c>
      <c r="D4081" t="s">
        <v>6026</v>
      </c>
      <c r="E4081" t="s">
        <v>6031</v>
      </c>
      <c r="F4081" t="s">
        <v>6034</v>
      </c>
      <c r="G4081" t="s">
        <v>6054</v>
      </c>
      <c r="H4081" t="s">
        <v>6096</v>
      </c>
      <c r="I4081">
        <v>24</v>
      </c>
      <c r="J4081">
        <v>79.400000000000006</v>
      </c>
      <c r="K4081" t="s">
        <v>6100</v>
      </c>
      <c r="L4081" t="s">
        <v>6100</v>
      </c>
      <c r="M4081" t="s">
        <v>6100</v>
      </c>
      <c r="N4081">
        <v>2</v>
      </c>
      <c r="O4081" t="s">
        <v>6101</v>
      </c>
      <c r="P4081" t="s">
        <v>6113</v>
      </c>
      <c r="Q4081">
        <v>7</v>
      </c>
      <c r="R4081">
        <v>2026</v>
      </c>
      <c r="S4081" t="s">
        <v>6100</v>
      </c>
      <c r="T4081">
        <v>0</v>
      </c>
      <c r="U4081" t="s">
        <v>6018</v>
      </c>
      <c r="V4081">
        <v>0</v>
      </c>
    </row>
    <row r="4082" spans="1:22" x14ac:dyDescent="0.3">
      <c r="A4082" t="s">
        <v>4097</v>
      </c>
      <c r="B4082" s="2">
        <v>46207.707638888889</v>
      </c>
      <c r="C4082" s="2">
        <v>46212.607638888891</v>
      </c>
      <c r="D4082" t="s">
        <v>6026</v>
      </c>
      <c r="E4082" t="s">
        <v>6031</v>
      </c>
      <c r="F4082" t="s">
        <v>6033</v>
      </c>
      <c r="G4082" t="s">
        <v>6050</v>
      </c>
      <c r="H4082" t="s">
        <v>6098</v>
      </c>
      <c r="I4082">
        <v>72</v>
      </c>
      <c r="J4082">
        <v>117.6</v>
      </c>
      <c r="K4082" t="s">
        <v>6099</v>
      </c>
      <c r="L4082" t="s">
        <v>6100</v>
      </c>
      <c r="M4082" t="s">
        <v>6100</v>
      </c>
      <c r="N4082">
        <v>3</v>
      </c>
      <c r="O4082" t="s">
        <v>6101</v>
      </c>
      <c r="P4082" t="s">
        <v>6113</v>
      </c>
      <c r="Q4082">
        <v>7</v>
      </c>
      <c r="R4082">
        <v>2026</v>
      </c>
      <c r="S4082" t="s">
        <v>6100</v>
      </c>
      <c r="T4082">
        <v>0</v>
      </c>
      <c r="U4082" t="s">
        <v>6019</v>
      </c>
      <c r="V4082">
        <v>1</v>
      </c>
    </row>
    <row r="4083" spans="1:22" x14ac:dyDescent="0.3">
      <c r="A4083" t="s">
        <v>4098</v>
      </c>
      <c r="B4083" s="2">
        <v>46207.715277777781</v>
      </c>
      <c r="C4083" s="2">
        <v>46207.927777777775</v>
      </c>
      <c r="D4083" t="s">
        <v>6024</v>
      </c>
      <c r="E4083" t="s">
        <v>6029</v>
      </c>
      <c r="F4083" t="s">
        <v>6034</v>
      </c>
      <c r="G4083" t="s">
        <v>6054</v>
      </c>
      <c r="H4083" t="s">
        <v>6096</v>
      </c>
      <c r="I4083">
        <v>24</v>
      </c>
      <c r="J4083">
        <v>5.0999999999999996</v>
      </c>
      <c r="K4083" t="s">
        <v>6100</v>
      </c>
      <c r="L4083" t="s">
        <v>6099</v>
      </c>
      <c r="M4083" t="s">
        <v>6100</v>
      </c>
      <c r="N4083">
        <v>5</v>
      </c>
      <c r="O4083" t="s">
        <v>6101</v>
      </c>
      <c r="P4083" t="s">
        <v>6113</v>
      </c>
      <c r="Q4083">
        <v>7</v>
      </c>
      <c r="R4083">
        <v>2026</v>
      </c>
      <c r="S4083" t="s">
        <v>6099</v>
      </c>
      <c r="T4083">
        <v>1</v>
      </c>
      <c r="U4083" t="s">
        <v>6018</v>
      </c>
      <c r="V4083">
        <v>0</v>
      </c>
    </row>
    <row r="4084" spans="1:22" x14ac:dyDescent="0.3">
      <c r="A4084" t="s">
        <v>4099</v>
      </c>
      <c r="B4084" s="2">
        <v>46207.745138888888</v>
      </c>
      <c r="C4084" s="2">
        <v>46208.324305555558</v>
      </c>
      <c r="D4084" t="s">
        <v>6022</v>
      </c>
      <c r="E4084" t="s">
        <v>6029</v>
      </c>
      <c r="F4084" t="s">
        <v>6033</v>
      </c>
      <c r="G4084" t="s">
        <v>6040</v>
      </c>
      <c r="H4084" t="s">
        <v>6097</v>
      </c>
      <c r="I4084">
        <v>72</v>
      </c>
      <c r="J4084">
        <v>13.9</v>
      </c>
      <c r="K4084" t="s">
        <v>6099</v>
      </c>
      <c r="L4084" t="s">
        <v>6100</v>
      </c>
      <c r="M4084" t="s">
        <v>6100</v>
      </c>
      <c r="O4084" t="s">
        <v>6101</v>
      </c>
      <c r="P4084" t="s">
        <v>6113</v>
      </c>
      <c r="Q4084">
        <v>7</v>
      </c>
      <c r="R4084">
        <v>2026</v>
      </c>
      <c r="S4084" t="s">
        <v>6099</v>
      </c>
      <c r="T4084">
        <v>1</v>
      </c>
      <c r="U4084" t="s">
        <v>6021</v>
      </c>
      <c r="V4084">
        <v>1</v>
      </c>
    </row>
    <row r="4085" spans="1:22" x14ac:dyDescent="0.3">
      <c r="A4085" t="s">
        <v>4100</v>
      </c>
      <c r="B4085" s="2">
        <v>46207.765972222223</v>
      </c>
      <c r="C4085" s="2">
        <v>46208.370138888888</v>
      </c>
      <c r="D4085" t="s">
        <v>6022</v>
      </c>
      <c r="E4085" t="s">
        <v>6030</v>
      </c>
      <c r="F4085" t="s">
        <v>6033</v>
      </c>
      <c r="G4085" t="s">
        <v>6067</v>
      </c>
      <c r="H4085" t="s">
        <v>6098</v>
      </c>
      <c r="I4085">
        <v>72</v>
      </c>
      <c r="J4085">
        <v>14.5</v>
      </c>
      <c r="K4085" t="s">
        <v>6099</v>
      </c>
      <c r="L4085" t="s">
        <v>6100</v>
      </c>
      <c r="M4085" t="s">
        <v>6100</v>
      </c>
      <c r="N4085">
        <v>5</v>
      </c>
      <c r="O4085" t="s">
        <v>6101</v>
      </c>
      <c r="P4085" t="s">
        <v>6113</v>
      </c>
      <c r="Q4085">
        <v>7</v>
      </c>
      <c r="R4085">
        <v>2026</v>
      </c>
      <c r="S4085" t="s">
        <v>6099</v>
      </c>
      <c r="T4085">
        <v>1</v>
      </c>
      <c r="U4085" t="s">
        <v>6020</v>
      </c>
      <c r="V4085">
        <v>1</v>
      </c>
    </row>
    <row r="4086" spans="1:22" x14ac:dyDescent="0.3">
      <c r="A4086" t="s">
        <v>4101</v>
      </c>
      <c r="B4086" s="2">
        <v>46207.922222222223</v>
      </c>
      <c r="C4086" s="2">
        <v>46212.797222222223</v>
      </c>
      <c r="D4086" t="s">
        <v>6026</v>
      </c>
      <c r="E4086" t="s">
        <v>6031</v>
      </c>
      <c r="F4086" t="s">
        <v>6033</v>
      </c>
      <c r="G4086" t="s">
        <v>6076</v>
      </c>
      <c r="H4086" t="s">
        <v>6097</v>
      </c>
      <c r="I4086">
        <v>72</v>
      </c>
      <c r="J4086">
        <v>117</v>
      </c>
      <c r="K4086" t="s">
        <v>6099</v>
      </c>
      <c r="L4086" t="s">
        <v>6100</v>
      </c>
      <c r="M4086" t="s">
        <v>6100</v>
      </c>
      <c r="N4086">
        <v>5</v>
      </c>
      <c r="O4086" t="s">
        <v>6101</v>
      </c>
      <c r="P4086" t="s">
        <v>6113</v>
      </c>
      <c r="Q4086">
        <v>7</v>
      </c>
      <c r="R4086">
        <v>2026</v>
      </c>
      <c r="S4086" t="s">
        <v>6100</v>
      </c>
      <c r="T4086">
        <v>0</v>
      </c>
      <c r="U4086" t="s">
        <v>6018</v>
      </c>
      <c r="V4086">
        <v>1</v>
      </c>
    </row>
    <row r="4087" spans="1:22" x14ac:dyDescent="0.3">
      <c r="A4087" t="s">
        <v>4102</v>
      </c>
      <c r="B4087" s="2">
        <v>46207.933333333334</v>
      </c>
      <c r="C4087" s="2">
        <v>46208.120833333334</v>
      </c>
      <c r="D4087" t="s">
        <v>6022</v>
      </c>
      <c r="E4087" t="s">
        <v>6030</v>
      </c>
      <c r="F4087" t="s">
        <v>6034</v>
      </c>
      <c r="G4087" t="s">
        <v>6050</v>
      </c>
      <c r="H4087" t="s">
        <v>6098</v>
      </c>
      <c r="I4087">
        <v>24</v>
      </c>
      <c r="J4087">
        <v>4.5</v>
      </c>
      <c r="K4087" t="s">
        <v>6099</v>
      </c>
      <c r="L4087" t="s">
        <v>6100</v>
      </c>
      <c r="M4087" t="s">
        <v>6100</v>
      </c>
      <c r="N4087">
        <v>4</v>
      </c>
      <c r="O4087" t="s">
        <v>6101</v>
      </c>
      <c r="P4087" t="s">
        <v>6113</v>
      </c>
      <c r="Q4087">
        <v>7</v>
      </c>
      <c r="R4087">
        <v>2026</v>
      </c>
      <c r="S4087" t="s">
        <v>6099</v>
      </c>
      <c r="T4087">
        <v>1</v>
      </c>
      <c r="U4087" t="s">
        <v>6017</v>
      </c>
      <c r="V4087">
        <v>1</v>
      </c>
    </row>
    <row r="4088" spans="1:22" x14ac:dyDescent="0.3">
      <c r="A4088" t="s">
        <v>4103</v>
      </c>
      <c r="B4088" s="2">
        <v>46208.17083333333</v>
      </c>
      <c r="C4088" s="2">
        <v>46208.533333333333</v>
      </c>
      <c r="D4088" t="s">
        <v>6028</v>
      </c>
      <c r="E4088" t="s">
        <v>6029</v>
      </c>
      <c r="F4088" t="s">
        <v>6035</v>
      </c>
      <c r="G4088" t="s">
        <v>6054</v>
      </c>
      <c r="H4088" t="s">
        <v>6096</v>
      </c>
      <c r="I4088">
        <v>4</v>
      </c>
      <c r="J4088">
        <v>8.6999999999999993</v>
      </c>
      <c r="K4088" t="s">
        <v>6100</v>
      </c>
      <c r="L4088" t="s">
        <v>6099</v>
      </c>
      <c r="M4088" t="s">
        <v>6100</v>
      </c>
      <c r="N4088">
        <v>3</v>
      </c>
      <c r="O4088" t="s">
        <v>6101</v>
      </c>
      <c r="P4088" t="s">
        <v>6113</v>
      </c>
      <c r="Q4088">
        <v>7</v>
      </c>
      <c r="R4088">
        <v>2026</v>
      </c>
      <c r="S4088" t="s">
        <v>6100</v>
      </c>
      <c r="T4088">
        <v>0</v>
      </c>
      <c r="U4088" t="s">
        <v>6021</v>
      </c>
      <c r="V4088">
        <v>0</v>
      </c>
    </row>
    <row r="4089" spans="1:22" x14ac:dyDescent="0.3">
      <c r="A4089" t="s">
        <v>4104</v>
      </c>
      <c r="B4089" s="2">
        <v>46208.184027777781</v>
      </c>
      <c r="C4089" s="2">
        <v>46210.446527777778</v>
      </c>
      <c r="D4089" t="s">
        <v>6025</v>
      </c>
      <c r="E4089" t="s">
        <v>6029</v>
      </c>
      <c r="F4089" t="s">
        <v>6034</v>
      </c>
      <c r="G4089" t="s">
        <v>6048</v>
      </c>
      <c r="H4089" t="s">
        <v>6096</v>
      </c>
      <c r="I4089">
        <v>24</v>
      </c>
      <c r="J4089">
        <v>54.3</v>
      </c>
      <c r="K4089" t="s">
        <v>6100</v>
      </c>
      <c r="L4089" t="s">
        <v>6099</v>
      </c>
      <c r="M4089" t="s">
        <v>6100</v>
      </c>
      <c r="N4089">
        <v>4</v>
      </c>
      <c r="O4089" t="s">
        <v>6101</v>
      </c>
      <c r="P4089" t="s">
        <v>6113</v>
      </c>
      <c r="Q4089">
        <v>7</v>
      </c>
      <c r="R4089">
        <v>2026</v>
      </c>
      <c r="S4089" t="s">
        <v>6100</v>
      </c>
      <c r="T4089">
        <v>0</v>
      </c>
      <c r="U4089" t="s">
        <v>6021</v>
      </c>
      <c r="V4089">
        <v>0</v>
      </c>
    </row>
    <row r="4090" spans="1:22" x14ac:dyDescent="0.3">
      <c r="A4090" t="s">
        <v>4105</v>
      </c>
      <c r="B4090" s="2">
        <v>46208.220138888886</v>
      </c>
      <c r="C4090" s="2">
        <v>46209.982638888891</v>
      </c>
      <c r="D4090" t="s">
        <v>6025</v>
      </c>
      <c r="E4090" t="s">
        <v>6032</v>
      </c>
      <c r="F4090" t="s">
        <v>6034</v>
      </c>
      <c r="G4090" t="s">
        <v>6065</v>
      </c>
      <c r="H4090" t="s">
        <v>6097</v>
      </c>
      <c r="I4090">
        <v>24</v>
      </c>
      <c r="J4090">
        <v>42.3</v>
      </c>
      <c r="K4090" t="s">
        <v>6099</v>
      </c>
      <c r="L4090" t="s">
        <v>6100</v>
      </c>
      <c r="M4090" t="s">
        <v>6100</v>
      </c>
      <c r="N4090">
        <v>3</v>
      </c>
      <c r="O4090" t="s">
        <v>6101</v>
      </c>
      <c r="P4090" t="s">
        <v>6113</v>
      </c>
      <c r="Q4090">
        <v>7</v>
      </c>
      <c r="R4090">
        <v>2026</v>
      </c>
      <c r="S4090" t="s">
        <v>6100</v>
      </c>
      <c r="T4090">
        <v>0</v>
      </c>
      <c r="U4090" t="s">
        <v>6020</v>
      </c>
      <c r="V4090">
        <v>1</v>
      </c>
    </row>
    <row r="4091" spans="1:22" x14ac:dyDescent="0.3">
      <c r="A4091" t="s">
        <v>4106</v>
      </c>
      <c r="B4091" s="2">
        <v>46208.320833333331</v>
      </c>
      <c r="C4091" s="2">
        <v>46210.20416666667</v>
      </c>
      <c r="D4091" t="s">
        <v>6028</v>
      </c>
      <c r="E4091" t="s">
        <v>6031</v>
      </c>
      <c r="F4091" t="s">
        <v>6034</v>
      </c>
      <c r="G4091" t="s">
        <v>6094</v>
      </c>
      <c r="H4091" t="s">
        <v>6098</v>
      </c>
      <c r="I4091">
        <v>24</v>
      </c>
      <c r="J4091">
        <v>45.2</v>
      </c>
      <c r="K4091" t="s">
        <v>6100</v>
      </c>
      <c r="L4091" t="s">
        <v>6099</v>
      </c>
      <c r="M4091" t="s">
        <v>6100</v>
      </c>
      <c r="N4091">
        <v>3</v>
      </c>
      <c r="O4091" t="s">
        <v>6101</v>
      </c>
      <c r="P4091" t="s">
        <v>6113</v>
      </c>
      <c r="Q4091">
        <v>7</v>
      </c>
      <c r="R4091">
        <v>2026</v>
      </c>
      <c r="S4091" t="s">
        <v>6100</v>
      </c>
      <c r="T4091">
        <v>0</v>
      </c>
      <c r="U4091" t="s">
        <v>6020</v>
      </c>
      <c r="V4091">
        <v>0</v>
      </c>
    </row>
    <row r="4092" spans="1:22" x14ac:dyDescent="0.3">
      <c r="A4092" t="s">
        <v>4107</v>
      </c>
      <c r="B4092" s="2">
        <v>46208.345833333333</v>
      </c>
      <c r="C4092" s="2">
        <v>46209.64166666667</v>
      </c>
      <c r="D4092" t="s">
        <v>6024</v>
      </c>
      <c r="E4092" t="s">
        <v>6031</v>
      </c>
      <c r="F4092" t="s">
        <v>6035</v>
      </c>
      <c r="G4092" t="s">
        <v>6054</v>
      </c>
      <c r="H4092" t="s">
        <v>6096</v>
      </c>
      <c r="I4092">
        <v>4</v>
      </c>
      <c r="J4092">
        <v>31.1</v>
      </c>
      <c r="K4092" t="s">
        <v>6099</v>
      </c>
      <c r="L4092" t="s">
        <v>6100</v>
      </c>
      <c r="M4092" t="s">
        <v>6100</v>
      </c>
      <c r="O4092" t="s">
        <v>6101</v>
      </c>
      <c r="P4092" t="s">
        <v>6113</v>
      </c>
      <c r="Q4092">
        <v>7</v>
      </c>
      <c r="R4092">
        <v>2026</v>
      </c>
      <c r="S4092" t="s">
        <v>6100</v>
      </c>
      <c r="T4092">
        <v>0</v>
      </c>
      <c r="U4092" t="s">
        <v>6020</v>
      </c>
      <c r="V4092">
        <v>1</v>
      </c>
    </row>
    <row r="4093" spans="1:22" x14ac:dyDescent="0.3">
      <c r="A4093" t="s">
        <v>4108</v>
      </c>
      <c r="B4093" s="2">
        <v>46208.356249999997</v>
      </c>
      <c r="C4093" s="2">
        <v>46208.497916666667</v>
      </c>
      <c r="D4093" t="s">
        <v>6022</v>
      </c>
      <c r="E4093" t="s">
        <v>6030</v>
      </c>
      <c r="F4093" t="s">
        <v>6033</v>
      </c>
      <c r="G4093" t="s">
        <v>6048</v>
      </c>
      <c r="H4093" t="s">
        <v>6096</v>
      </c>
      <c r="I4093">
        <v>72</v>
      </c>
      <c r="J4093">
        <v>3.4</v>
      </c>
      <c r="K4093" t="s">
        <v>6099</v>
      </c>
      <c r="L4093" t="s">
        <v>6100</v>
      </c>
      <c r="M4093" t="s">
        <v>6100</v>
      </c>
      <c r="N4093">
        <v>5</v>
      </c>
      <c r="O4093" t="s">
        <v>6101</v>
      </c>
      <c r="P4093" t="s">
        <v>6113</v>
      </c>
      <c r="Q4093">
        <v>7</v>
      </c>
      <c r="R4093">
        <v>2026</v>
      </c>
      <c r="S4093" t="s">
        <v>6099</v>
      </c>
      <c r="T4093">
        <v>1</v>
      </c>
      <c r="U4093" t="s">
        <v>6021</v>
      </c>
      <c r="V4093">
        <v>1</v>
      </c>
    </row>
    <row r="4094" spans="1:22" x14ac:dyDescent="0.3">
      <c r="A4094" t="s">
        <v>4109</v>
      </c>
      <c r="B4094" s="2">
        <v>46208.375</v>
      </c>
      <c r="C4094" s="2">
        <v>46208.7</v>
      </c>
      <c r="D4094" t="s">
        <v>6023</v>
      </c>
      <c r="E4094" t="s">
        <v>6029</v>
      </c>
      <c r="F4094" t="s">
        <v>6033</v>
      </c>
      <c r="G4094" t="s">
        <v>6075</v>
      </c>
      <c r="H4094" t="s">
        <v>6097</v>
      </c>
      <c r="I4094">
        <v>72</v>
      </c>
      <c r="J4094">
        <v>7.8</v>
      </c>
      <c r="K4094" t="s">
        <v>6099</v>
      </c>
      <c r="L4094" t="s">
        <v>6100</v>
      </c>
      <c r="M4094" t="s">
        <v>6100</v>
      </c>
      <c r="N4094">
        <v>4</v>
      </c>
      <c r="O4094" t="s">
        <v>6101</v>
      </c>
      <c r="P4094" t="s">
        <v>6113</v>
      </c>
      <c r="Q4094">
        <v>7</v>
      </c>
      <c r="R4094">
        <v>2026</v>
      </c>
      <c r="S4094" t="s">
        <v>6099</v>
      </c>
      <c r="T4094">
        <v>1</v>
      </c>
      <c r="U4094" t="s">
        <v>6018</v>
      </c>
      <c r="V4094">
        <v>1</v>
      </c>
    </row>
    <row r="4095" spans="1:22" x14ac:dyDescent="0.3">
      <c r="A4095" t="s">
        <v>4110</v>
      </c>
      <c r="B4095" s="2">
        <v>46208.385416666664</v>
      </c>
      <c r="C4095" s="2">
        <v>46213.722916666666</v>
      </c>
      <c r="D4095" t="s">
        <v>6026</v>
      </c>
      <c r="E4095" t="s">
        <v>6031</v>
      </c>
      <c r="F4095" t="s">
        <v>6034</v>
      </c>
      <c r="G4095" t="s">
        <v>6056</v>
      </c>
      <c r="H4095" t="s">
        <v>6098</v>
      </c>
      <c r="I4095">
        <v>24</v>
      </c>
      <c r="J4095">
        <v>128.1</v>
      </c>
      <c r="K4095" t="s">
        <v>6100</v>
      </c>
      <c r="L4095" t="s">
        <v>6099</v>
      </c>
      <c r="M4095" t="s">
        <v>6099</v>
      </c>
      <c r="N4095">
        <v>2</v>
      </c>
      <c r="O4095" t="s">
        <v>6101</v>
      </c>
      <c r="P4095" t="s">
        <v>6113</v>
      </c>
      <c r="Q4095">
        <v>7</v>
      </c>
      <c r="R4095">
        <v>2026</v>
      </c>
      <c r="S4095" t="s">
        <v>6100</v>
      </c>
      <c r="T4095">
        <v>0</v>
      </c>
      <c r="U4095" t="s">
        <v>6017</v>
      </c>
      <c r="V4095">
        <v>0</v>
      </c>
    </row>
    <row r="4096" spans="1:22" x14ac:dyDescent="0.3">
      <c r="A4096" t="s">
        <v>4111</v>
      </c>
      <c r="B4096" s="2">
        <v>46208.421527777777</v>
      </c>
      <c r="C4096" s="2">
        <v>46213.075694444444</v>
      </c>
      <c r="D4096" t="s">
        <v>6025</v>
      </c>
      <c r="E4096" t="s">
        <v>6032</v>
      </c>
      <c r="F4096" t="s">
        <v>6033</v>
      </c>
      <c r="G4096" t="s">
        <v>6057</v>
      </c>
      <c r="H4096" t="s">
        <v>6097</v>
      </c>
      <c r="I4096">
        <v>72</v>
      </c>
      <c r="J4096">
        <v>111.7</v>
      </c>
      <c r="K4096" t="s">
        <v>6099</v>
      </c>
      <c r="L4096" t="s">
        <v>6100</v>
      </c>
      <c r="M4096" t="s">
        <v>6100</v>
      </c>
      <c r="N4096">
        <v>5</v>
      </c>
      <c r="O4096" t="s">
        <v>6101</v>
      </c>
      <c r="P4096" t="s">
        <v>6113</v>
      </c>
      <c r="Q4096">
        <v>7</v>
      </c>
      <c r="R4096">
        <v>2026</v>
      </c>
      <c r="S4096" t="s">
        <v>6100</v>
      </c>
      <c r="T4096">
        <v>0</v>
      </c>
      <c r="U4096" t="s">
        <v>6017</v>
      </c>
      <c r="V4096">
        <v>1</v>
      </c>
    </row>
    <row r="4097" spans="1:22" x14ac:dyDescent="0.3">
      <c r="A4097" t="s">
        <v>4112</v>
      </c>
      <c r="B4097" s="2">
        <v>46208.479861111111</v>
      </c>
      <c r="C4097" s="2">
        <v>46209.079861111109</v>
      </c>
      <c r="D4097" t="s">
        <v>6025</v>
      </c>
      <c r="E4097" t="s">
        <v>6030</v>
      </c>
      <c r="F4097" t="s">
        <v>6034</v>
      </c>
      <c r="G4097" t="s">
        <v>6077</v>
      </c>
      <c r="H4097" t="s">
        <v>6098</v>
      </c>
      <c r="I4097">
        <v>24</v>
      </c>
      <c r="J4097">
        <v>14.4</v>
      </c>
      <c r="K4097" t="s">
        <v>6099</v>
      </c>
      <c r="L4097" t="s">
        <v>6100</v>
      </c>
      <c r="M4097" t="s">
        <v>6100</v>
      </c>
      <c r="N4097">
        <v>5</v>
      </c>
      <c r="O4097" t="s">
        <v>6101</v>
      </c>
      <c r="P4097" t="s">
        <v>6113</v>
      </c>
      <c r="Q4097">
        <v>7</v>
      </c>
      <c r="R4097">
        <v>2026</v>
      </c>
      <c r="S4097" t="s">
        <v>6099</v>
      </c>
      <c r="T4097">
        <v>1</v>
      </c>
      <c r="U4097" t="s">
        <v>6020</v>
      </c>
      <c r="V4097">
        <v>1</v>
      </c>
    </row>
    <row r="4098" spans="1:22" x14ac:dyDescent="0.3">
      <c r="A4098" t="s">
        <v>4113</v>
      </c>
      <c r="B4098" s="2">
        <v>46208.48541666667</v>
      </c>
      <c r="C4098" s="2">
        <v>46208.881249999999</v>
      </c>
      <c r="D4098" t="s">
        <v>6022</v>
      </c>
      <c r="E4098" t="s">
        <v>6030</v>
      </c>
      <c r="F4098" t="s">
        <v>6033</v>
      </c>
      <c r="G4098" t="s">
        <v>6059</v>
      </c>
      <c r="H4098" t="s">
        <v>6097</v>
      </c>
      <c r="I4098">
        <v>72</v>
      </c>
      <c r="J4098">
        <v>9.5</v>
      </c>
      <c r="K4098" t="s">
        <v>6099</v>
      </c>
      <c r="L4098" t="s">
        <v>6100</v>
      </c>
      <c r="M4098" t="s">
        <v>6099</v>
      </c>
      <c r="N4098">
        <v>4</v>
      </c>
      <c r="O4098" t="s">
        <v>6101</v>
      </c>
      <c r="P4098" t="s">
        <v>6113</v>
      </c>
      <c r="Q4098">
        <v>7</v>
      </c>
      <c r="R4098">
        <v>2026</v>
      </c>
      <c r="S4098" t="s">
        <v>6099</v>
      </c>
      <c r="T4098">
        <v>1</v>
      </c>
      <c r="U4098" t="s">
        <v>6018</v>
      </c>
      <c r="V4098">
        <v>1</v>
      </c>
    </row>
    <row r="4099" spans="1:22" x14ac:dyDescent="0.3">
      <c r="A4099" t="s">
        <v>4114</v>
      </c>
      <c r="B4099" s="2">
        <v>46208.522222222222</v>
      </c>
      <c r="C4099" s="2">
        <v>46209.268055555556</v>
      </c>
      <c r="D4099" t="s">
        <v>6022</v>
      </c>
      <c r="E4099" t="s">
        <v>6029</v>
      </c>
      <c r="F4099" t="s">
        <v>6035</v>
      </c>
      <c r="G4099" t="s">
        <v>6036</v>
      </c>
      <c r="H4099" t="s">
        <v>6096</v>
      </c>
      <c r="I4099">
        <v>4</v>
      </c>
      <c r="J4099">
        <v>17.899999999999999</v>
      </c>
      <c r="K4099" t="s">
        <v>6100</v>
      </c>
      <c r="L4099" t="s">
        <v>6100</v>
      </c>
      <c r="M4099" t="s">
        <v>6100</v>
      </c>
      <c r="N4099">
        <v>3</v>
      </c>
      <c r="O4099" t="s">
        <v>6101</v>
      </c>
      <c r="P4099" t="s">
        <v>6113</v>
      </c>
      <c r="Q4099">
        <v>7</v>
      </c>
      <c r="R4099">
        <v>2026</v>
      </c>
      <c r="S4099" t="s">
        <v>6100</v>
      </c>
      <c r="T4099">
        <v>0</v>
      </c>
      <c r="U4099" t="s">
        <v>6019</v>
      </c>
      <c r="V4099">
        <v>0</v>
      </c>
    </row>
    <row r="4100" spans="1:22" x14ac:dyDescent="0.3">
      <c r="A4100" t="s">
        <v>4115</v>
      </c>
      <c r="B4100" s="2">
        <v>46208.525000000001</v>
      </c>
      <c r="C4100" s="2">
        <v>46209.862500000003</v>
      </c>
      <c r="D4100" t="s">
        <v>6022</v>
      </c>
      <c r="E4100" t="s">
        <v>6030</v>
      </c>
      <c r="F4100" t="s">
        <v>6033</v>
      </c>
      <c r="G4100" t="s">
        <v>6073</v>
      </c>
      <c r="H4100" t="s">
        <v>6096</v>
      </c>
      <c r="I4100">
        <v>72</v>
      </c>
      <c r="J4100">
        <v>32.1</v>
      </c>
      <c r="K4100" t="s">
        <v>6100</v>
      </c>
      <c r="L4100" t="s">
        <v>6100</v>
      </c>
      <c r="M4100" t="s">
        <v>6100</v>
      </c>
      <c r="N4100">
        <v>5</v>
      </c>
      <c r="O4100" t="s">
        <v>6101</v>
      </c>
      <c r="P4100" t="s">
        <v>6113</v>
      </c>
      <c r="Q4100">
        <v>7</v>
      </c>
      <c r="R4100">
        <v>2026</v>
      </c>
      <c r="S4100" t="s">
        <v>6099</v>
      </c>
      <c r="T4100">
        <v>1</v>
      </c>
      <c r="U4100" t="s">
        <v>6018</v>
      </c>
      <c r="V4100">
        <v>0</v>
      </c>
    </row>
    <row r="4101" spans="1:22" x14ac:dyDescent="0.3">
      <c r="A4101" t="s">
        <v>4116</v>
      </c>
      <c r="B4101" s="2">
        <v>46208.531944444447</v>
      </c>
      <c r="C4101" s="2">
        <v>46208.823611111111</v>
      </c>
      <c r="D4101" t="s">
        <v>6023</v>
      </c>
      <c r="E4101" t="s">
        <v>6032</v>
      </c>
      <c r="F4101" t="s">
        <v>6034</v>
      </c>
      <c r="G4101" t="s">
        <v>6056</v>
      </c>
      <c r="H4101" t="s">
        <v>6098</v>
      </c>
      <c r="I4101">
        <v>24</v>
      </c>
      <c r="J4101">
        <v>7</v>
      </c>
      <c r="K4101" t="s">
        <v>6099</v>
      </c>
      <c r="L4101" t="s">
        <v>6100</v>
      </c>
      <c r="M4101" t="s">
        <v>6100</v>
      </c>
      <c r="N4101">
        <v>5</v>
      </c>
      <c r="O4101" t="s">
        <v>6101</v>
      </c>
      <c r="P4101" t="s">
        <v>6113</v>
      </c>
      <c r="Q4101">
        <v>7</v>
      </c>
      <c r="R4101">
        <v>2026</v>
      </c>
      <c r="S4101" t="s">
        <v>6099</v>
      </c>
      <c r="T4101">
        <v>1</v>
      </c>
      <c r="U4101" t="s">
        <v>6018</v>
      </c>
      <c r="V4101">
        <v>1</v>
      </c>
    </row>
    <row r="4102" spans="1:22" x14ac:dyDescent="0.3">
      <c r="A4102" t="s">
        <v>4117</v>
      </c>
      <c r="B4102" s="2">
        <v>46208.538194444445</v>
      </c>
      <c r="C4102" s="2">
        <v>46208.871527777781</v>
      </c>
      <c r="D4102" t="s">
        <v>6024</v>
      </c>
      <c r="E4102" t="s">
        <v>6030</v>
      </c>
      <c r="F4102" t="s">
        <v>6034</v>
      </c>
      <c r="G4102" t="s">
        <v>6054</v>
      </c>
      <c r="H4102" t="s">
        <v>6096</v>
      </c>
      <c r="I4102">
        <v>24</v>
      </c>
      <c r="J4102">
        <v>8</v>
      </c>
      <c r="K4102" t="s">
        <v>6100</v>
      </c>
      <c r="L4102" t="s">
        <v>6100</v>
      </c>
      <c r="M4102" t="s">
        <v>6100</v>
      </c>
      <c r="O4102" t="s">
        <v>6101</v>
      </c>
      <c r="P4102" t="s">
        <v>6113</v>
      </c>
      <c r="Q4102">
        <v>7</v>
      </c>
      <c r="R4102">
        <v>2026</v>
      </c>
      <c r="S4102" t="s">
        <v>6099</v>
      </c>
      <c r="T4102">
        <v>1</v>
      </c>
      <c r="U4102" t="s">
        <v>6021</v>
      </c>
      <c r="V4102">
        <v>0</v>
      </c>
    </row>
    <row r="4103" spans="1:22" x14ac:dyDescent="0.3">
      <c r="A4103" t="s">
        <v>4118</v>
      </c>
      <c r="B4103" s="2">
        <v>46208.567361111112</v>
      </c>
      <c r="C4103" s="2">
        <v>46209.509027777778</v>
      </c>
      <c r="D4103" t="s">
        <v>6028</v>
      </c>
      <c r="E4103" t="s">
        <v>6031</v>
      </c>
      <c r="F4103" t="s">
        <v>6034</v>
      </c>
      <c r="G4103" t="s">
        <v>6070</v>
      </c>
      <c r="H4103" t="s">
        <v>6097</v>
      </c>
      <c r="I4103">
        <v>24</v>
      </c>
      <c r="J4103">
        <v>22.6</v>
      </c>
      <c r="K4103" t="s">
        <v>6099</v>
      </c>
      <c r="L4103" t="s">
        <v>6100</v>
      </c>
      <c r="M4103" t="s">
        <v>6100</v>
      </c>
      <c r="N4103">
        <v>4</v>
      </c>
      <c r="O4103" t="s">
        <v>6101</v>
      </c>
      <c r="P4103" t="s">
        <v>6113</v>
      </c>
      <c r="Q4103">
        <v>7</v>
      </c>
      <c r="R4103">
        <v>2026</v>
      </c>
      <c r="S4103" t="s">
        <v>6099</v>
      </c>
      <c r="T4103">
        <v>1</v>
      </c>
      <c r="U4103" t="s">
        <v>6018</v>
      </c>
      <c r="V4103">
        <v>1</v>
      </c>
    </row>
    <row r="4104" spans="1:22" x14ac:dyDescent="0.3">
      <c r="A4104" t="s">
        <v>4119</v>
      </c>
      <c r="B4104" s="2">
        <v>46208.581250000003</v>
      </c>
      <c r="C4104" s="2">
        <v>46208.927083333336</v>
      </c>
      <c r="D4104" t="s">
        <v>6022</v>
      </c>
      <c r="E4104" t="s">
        <v>6029</v>
      </c>
      <c r="F4104" t="s">
        <v>6033</v>
      </c>
      <c r="G4104" t="s">
        <v>6091</v>
      </c>
      <c r="H4104" t="s">
        <v>6097</v>
      </c>
      <c r="I4104">
        <v>72</v>
      </c>
      <c r="J4104">
        <v>8.3000000000000007</v>
      </c>
      <c r="K4104" t="s">
        <v>6099</v>
      </c>
      <c r="L4104" t="s">
        <v>6100</v>
      </c>
      <c r="M4104" t="s">
        <v>6100</v>
      </c>
      <c r="N4104">
        <v>3</v>
      </c>
      <c r="O4104" t="s">
        <v>6101</v>
      </c>
      <c r="P4104" t="s">
        <v>6113</v>
      </c>
      <c r="Q4104">
        <v>7</v>
      </c>
      <c r="R4104">
        <v>2026</v>
      </c>
      <c r="S4104" t="s">
        <v>6099</v>
      </c>
      <c r="T4104">
        <v>1</v>
      </c>
      <c r="U4104" t="s">
        <v>6021</v>
      </c>
      <c r="V4104">
        <v>1</v>
      </c>
    </row>
    <row r="4105" spans="1:22" x14ac:dyDescent="0.3">
      <c r="A4105" t="s">
        <v>4120</v>
      </c>
      <c r="B4105" s="2">
        <v>46208.590277777781</v>
      </c>
      <c r="C4105" s="2">
        <v>46210.415277777778</v>
      </c>
      <c r="D4105" t="s">
        <v>6024</v>
      </c>
      <c r="E4105" t="s">
        <v>6032</v>
      </c>
      <c r="F4105" t="s">
        <v>6033</v>
      </c>
      <c r="G4105" t="s">
        <v>6092</v>
      </c>
      <c r="H4105" t="s">
        <v>6097</v>
      </c>
      <c r="I4105">
        <v>72</v>
      </c>
      <c r="J4105">
        <v>43.8</v>
      </c>
      <c r="K4105" t="s">
        <v>6099</v>
      </c>
      <c r="L4105" t="s">
        <v>6100</v>
      </c>
      <c r="M4105" t="s">
        <v>6100</v>
      </c>
      <c r="N4105">
        <v>4</v>
      </c>
      <c r="O4105" t="s">
        <v>6101</v>
      </c>
      <c r="P4105" t="s">
        <v>6113</v>
      </c>
      <c r="Q4105">
        <v>7</v>
      </c>
      <c r="R4105">
        <v>2026</v>
      </c>
      <c r="S4105" t="s">
        <v>6099</v>
      </c>
      <c r="T4105">
        <v>1</v>
      </c>
      <c r="U4105" t="s">
        <v>6019</v>
      </c>
      <c r="V4105">
        <v>1</v>
      </c>
    </row>
    <row r="4106" spans="1:22" x14ac:dyDescent="0.3">
      <c r="A4106" t="s">
        <v>4121</v>
      </c>
      <c r="B4106" s="2">
        <v>46208.599305555559</v>
      </c>
      <c r="C4106" s="2">
        <v>46217.978472222225</v>
      </c>
      <c r="D4106" t="s">
        <v>6026</v>
      </c>
      <c r="E4106" t="s">
        <v>6031</v>
      </c>
      <c r="F4106" t="s">
        <v>6034</v>
      </c>
      <c r="G4106" t="s">
        <v>6069</v>
      </c>
      <c r="H4106" t="s">
        <v>6098</v>
      </c>
      <c r="I4106">
        <v>24</v>
      </c>
      <c r="J4106">
        <v>225.1</v>
      </c>
      <c r="K4106" t="s">
        <v>6099</v>
      </c>
      <c r="L4106" t="s">
        <v>6100</v>
      </c>
      <c r="M4106" t="s">
        <v>6100</v>
      </c>
      <c r="N4106">
        <v>4</v>
      </c>
      <c r="O4106" t="s">
        <v>6101</v>
      </c>
      <c r="P4106" t="s">
        <v>6113</v>
      </c>
      <c r="Q4106">
        <v>7</v>
      </c>
      <c r="R4106">
        <v>2026</v>
      </c>
      <c r="S4106" t="s">
        <v>6100</v>
      </c>
      <c r="T4106">
        <v>0</v>
      </c>
      <c r="U4106" t="s">
        <v>6018</v>
      </c>
      <c r="V4106">
        <v>1</v>
      </c>
    </row>
    <row r="4107" spans="1:22" x14ac:dyDescent="0.3">
      <c r="A4107" t="s">
        <v>4122</v>
      </c>
      <c r="B4107" s="2">
        <v>46208.604166666664</v>
      </c>
      <c r="C4107" s="2">
        <v>46209.466666666667</v>
      </c>
      <c r="D4107" t="s">
        <v>6028</v>
      </c>
      <c r="E4107" t="s">
        <v>6031</v>
      </c>
      <c r="F4107" t="s">
        <v>6034</v>
      </c>
      <c r="G4107" t="s">
        <v>6085</v>
      </c>
      <c r="H4107" t="s">
        <v>6097</v>
      </c>
      <c r="I4107">
        <v>24</v>
      </c>
      <c r="J4107">
        <v>20.7</v>
      </c>
      <c r="K4107" t="s">
        <v>6099</v>
      </c>
      <c r="L4107" t="s">
        <v>6100</v>
      </c>
      <c r="M4107" t="s">
        <v>6100</v>
      </c>
      <c r="N4107">
        <v>5</v>
      </c>
      <c r="O4107" t="s">
        <v>6101</v>
      </c>
      <c r="P4107" t="s">
        <v>6113</v>
      </c>
      <c r="Q4107">
        <v>7</v>
      </c>
      <c r="R4107">
        <v>2026</v>
      </c>
      <c r="S4107" t="s">
        <v>6099</v>
      </c>
      <c r="T4107">
        <v>1</v>
      </c>
      <c r="U4107" t="s">
        <v>6019</v>
      </c>
      <c r="V4107">
        <v>1</v>
      </c>
    </row>
    <row r="4108" spans="1:22" x14ac:dyDescent="0.3">
      <c r="A4108" t="s">
        <v>4123</v>
      </c>
      <c r="B4108" s="2">
        <v>46208.619444444441</v>
      </c>
      <c r="C4108" s="2">
        <v>46209.123611111114</v>
      </c>
      <c r="D4108" t="s">
        <v>6024</v>
      </c>
      <c r="E4108" t="s">
        <v>6029</v>
      </c>
      <c r="F4108" t="s">
        <v>6034</v>
      </c>
      <c r="G4108" t="s">
        <v>6069</v>
      </c>
      <c r="H4108" t="s">
        <v>6098</v>
      </c>
      <c r="I4108">
        <v>24</v>
      </c>
      <c r="J4108">
        <v>12.1</v>
      </c>
      <c r="K4108" t="s">
        <v>6099</v>
      </c>
      <c r="L4108" t="s">
        <v>6100</v>
      </c>
      <c r="M4108" t="s">
        <v>6100</v>
      </c>
      <c r="N4108">
        <v>3</v>
      </c>
      <c r="O4108" t="s">
        <v>6101</v>
      </c>
      <c r="P4108" t="s">
        <v>6113</v>
      </c>
      <c r="Q4108">
        <v>7</v>
      </c>
      <c r="R4108">
        <v>2026</v>
      </c>
      <c r="S4108" t="s">
        <v>6099</v>
      </c>
      <c r="T4108">
        <v>1</v>
      </c>
      <c r="U4108" t="s">
        <v>6017</v>
      </c>
      <c r="V4108">
        <v>1</v>
      </c>
    </row>
    <row r="4109" spans="1:22" x14ac:dyDescent="0.3">
      <c r="A4109" t="s">
        <v>4124</v>
      </c>
      <c r="B4109" s="2">
        <v>46208.648611111108</v>
      </c>
      <c r="C4109" s="2">
        <v>46210.761111111111</v>
      </c>
      <c r="D4109" t="s">
        <v>6026</v>
      </c>
      <c r="E4109" t="s">
        <v>6031</v>
      </c>
      <c r="F4109" t="s">
        <v>6034</v>
      </c>
      <c r="G4109" t="s">
        <v>6087</v>
      </c>
      <c r="H4109" t="s">
        <v>6098</v>
      </c>
      <c r="I4109">
        <v>24</v>
      </c>
      <c r="J4109">
        <v>50.7</v>
      </c>
      <c r="K4109" t="s">
        <v>6100</v>
      </c>
      <c r="L4109" t="s">
        <v>6100</v>
      </c>
      <c r="M4109" t="s">
        <v>6099</v>
      </c>
      <c r="O4109" t="s">
        <v>6101</v>
      </c>
      <c r="P4109" t="s">
        <v>6113</v>
      </c>
      <c r="Q4109">
        <v>7</v>
      </c>
      <c r="R4109">
        <v>2026</v>
      </c>
      <c r="S4109" t="s">
        <v>6100</v>
      </c>
      <c r="T4109">
        <v>0</v>
      </c>
      <c r="U4109" t="s">
        <v>6020</v>
      </c>
      <c r="V4109">
        <v>0</v>
      </c>
    </row>
    <row r="4110" spans="1:22" x14ac:dyDescent="0.3">
      <c r="A4110" t="s">
        <v>4125</v>
      </c>
      <c r="B4110" s="2">
        <v>46208.648611111108</v>
      </c>
      <c r="C4110" s="2">
        <v>46208.87777777778</v>
      </c>
      <c r="D4110" t="s">
        <v>6023</v>
      </c>
      <c r="E4110" t="s">
        <v>6029</v>
      </c>
      <c r="F4110" t="s">
        <v>6035</v>
      </c>
      <c r="G4110" t="s">
        <v>6069</v>
      </c>
      <c r="H4110" t="s">
        <v>6098</v>
      </c>
      <c r="I4110">
        <v>4</v>
      </c>
      <c r="J4110">
        <v>5.5</v>
      </c>
      <c r="K4110" t="s">
        <v>6099</v>
      </c>
      <c r="L4110" t="s">
        <v>6100</v>
      </c>
      <c r="M4110" t="s">
        <v>6100</v>
      </c>
      <c r="N4110">
        <v>4</v>
      </c>
      <c r="O4110" t="s">
        <v>6101</v>
      </c>
      <c r="P4110" t="s">
        <v>6113</v>
      </c>
      <c r="Q4110">
        <v>7</v>
      </c>
      <c r="R4110">
        <v>2026</v>
      </c>
      <c r="S4110" t="s">
        <v>6100</v>
      </c>
      <c r="T4110">
        <v>0</v>
      </c>
      <c r="U4110" t="s">
        <v>6021</v>
      </c>
      <c r="V4110">
        <v>1</v>
      </c>
    </row>
    <row r="4111" spans="1:22" x14ac:dyDescent="0.3">
      <c r="A4111" t="s">
        <v>4126</v>
      </c>
      <c r="B4111" s="2">
        <v>46208.700694444444</v>
      </c>
      <c r="C4111" s="2">
        <v>46209.321527777778</v>
      </c>
      <c r="D4111" t="s">
        <v>6024</v>
      </c>
      <c r="E4111" t="s">
        <v>6031</v>
      </c>
      <c r="F4111" t="s">
        <v>6034</v>
      </c>
      <c r="G4111" t="s">
        <v>6081</v>
      </c>
      <c r="H4111" t="s">
        <v>6098</v>
      </c>
      <c r="I4111">
        <v>24</v>
      </c>
      <c r="J4111">
        <v>14.9</v>
      </c>
      <c r="K4111" t="s">
        <v>6099</v>
      </c>
      <c r="L4111" t="s">
        <v>6100</v>
      </c>
      <c r="M4111" t="s">
        <v>6100</v>
      </c>
      <c r="N4111">
        <v>4</v>
      </c>
      <c r="O4111" t="s">
        <v>6101</v>
      </c>
      <c r="P4111" t="s">
        <v>6113</v>
      </c>
      <c r="Q4111">
        <v>7</v>
      </c>
      <c r="R4111">
        <v>2026</v>
      </c>
      <c r="S4111" t="s">
        <v>6099</v>
      </c>
      <c r="T4111">
        <v>1</v>
      </c>
      <c r="U4111" t="s">
        <v>6019</v>
      </c>
      <c r="V4111">
        <v>1</v>
      </c>
    </row>
    <row r="4112" spans="1:22" x14ac:dyDescent="0.3">
      <c r="A4112" t="s">
        <v>4127</v>
      </c>
      <c r="B4112" s="2">
        <v>46208.731249999997</v>
      </c>
      <c r="C4112" s="2">
        <v>46211.222916666666</v>
      </c>
      <c r="D4112" t="s">
        <v>6025</v>
      </c>
      <c r="E4112" t="s">
        <v>6029</v>
      </c>
      <c r="F4112" t="s">
        <v>6034</v>
      </c>
      <c r="G4112" t="s">
        <v>6048</v>
      </c>
      <c r="H4112" t="s">
        <v>6096</v>
      </c>
      <c r="I4112">
        <v>24</v>
      </c>
      <c r="J4112">
        <v>59.8</v>
      </c>
      <c r="K4112" t="s">
        <v>6100</v>
      </c>
      <c r="L4112" t="s">
        <v>6099</v>
      </c>
      <c r="M4112" t="s">
        <v>6099</v>
      </c>
      <c r="N4112">
        <v>2</v>
      </c>
      <c r="O4112" t="s">
        <v>6101</v>
      </c>
      <c r="P4112" t="s">
        <v>6113</v>
      </c>
      <c r="Q4112">
        <v>7</v>
      </c>
      <c r="R4112">
        <v>2026</v>
      </c>
      <c r="S4112" t="s">
        <v>6100</v>
      </c>
      <c r="T4112">
        <v>0</v>
      </c>
      <c r="U4112" t="s">
        <v>6020</v>
      </c>
      <c r="V4112">
        <v>0</v>
      </c>
    </row>
    <row r="4113" spans="1:22" x14ac:dyDescent="0.3">
      <c r="A4113" t="s">
        <v>4128</v>
      </c>
      <c r="B4113" s="2">
        <v>46208.777777777781</v>
      </c>
      <c r="C4113" s="2">
        <v>46209.227777777778</v>
      </c>
      <c r="D4113" t="s">
        <v>6023</v>
      </c>
      <c r="E4113" t="s">
        <v>6029</v>
      </c>
      <c r="F4113" t="s">
        <v>6034</v>
      </c>
      <c r="G4113" t="s">
        <v>6049</v>
      </c>
      <c r="H4113" t="s">
        <v>6097</v>
      </c>
      <c r="I4113">
        <v>24</v>
      </c>
      <c r="J4113">
        <v>10.8</v>
      </c>
      <c r="K4113" t="s">
        <v>6099</v>
      </c>
      <c r="L4113" t="s">
        <v>6100</v>
      </c>
      <c r="M4113" t="s">
        <v>6100</v>
      </c>
      <c r="N4113">
        <v>5</v>
      </c>
      <c r="O4113" t="s">
        <v>6101</v>
      </c>
      <c r="P4113" t="s">
        <v>6113</v>
      </c>
      <c r="Q4113">
        <v>7</v>
      </c>
      <c r="R4113">
        <v>2026</v>
      </c>
      <c r="S4113" t="s">
        <v>6099</v>
      </c>
      <c r="T4113">
        <v>1</v>
      </c>
      <c r="U4113" t="s">
        <v>6020</v>
      </c>
      <c r="V4113">
        <v>1</v>
      </c>
    </row>
    <row r="4114" spans="1:22" x14ac:dyDescent="0.3">
      <c r="A4114" t="s">
        <v>4129</v>
      </c>
      <c r="B4114" s="2">
        <v>46208.995833333334</v>
      </c>
      <c r="C4114" s="2">
        <v>46209.0625</v>
      </c>
      <c r="D4114" t="s">
        <v>6023</v>
      </c>
      <c r="E4114" t="s">
        <v>6030</v>
      </c>
      <c r="F4114" t="s">
        <v>6033</v>
      </c>
      <c r="G4114" t="s">
        <v>6063</v>
      </c>
      <c r="H4114" t="s">
        <v>6097</v>
      </c>
      <c r="I4114">
        <v>72</v>
      </c>
      <c r="J4114">
        <v>1.6</v>
      </c>
      <c r="K4114" t="s">
        <v>6099</v>
      </c>
      <c r="L4114" t="s">
        <v>6100</v>
      </c>
      <c r="M4114" t="s">
        <v>6100</v>
      </c>
      <c r="N4114">
        <v>5</v>
      </c>
      <c r="O4114" t="s">
        <v>6101</v>
      </c>
      <c r="P4114" t="s">
        <v>6113</v>
      </c>
      <c r="Q4114">
        <v>7</v>
      </c>
      <c r="R4114">
        <v>2026</v>
      </c>
      <c r="S4114" t="s">
        <v>6099</v>
      </c>
      <c r="T4114">
        <v>1</v>
      </c>
      <c r="U4114" t="s">
        <v>6020</v>
      </c>
      <c r="V4114">
        <v>1</v>
      </c>
    </row>
    <row r="4115" spans="1:22" x14ac:dyDescent="0.3">
      <c r="A4115" t="s">
        <v>4130</v>
      </c>
      <c r="B4115" s="2">
        <v>46209.238194444442</v>
      </c>
      <c r="C4115" s="2">
        <v>46209.579861111109</v>
      </c>
      <c r="D4115" t="s">
        <v>6022</v>
      </c>
      <c r="E4115" t="s">
        <v>6029</v>
      </c>
      <c r="F4115" t="s">
        <v>6034</v>
      </c>
      <c r="G4115" t="s">
        <v>6078</v>
      </c>
      <c r="H4115" t="s">
        <v>6097</v>
      </c>
      <c r="I4115">
        <v>24</v>
      </c>
      <c r="J4115">
        <v>8.1999999999999993</v>
      </c>
      <c r="K4115" t="s">
        <v>6099</v>
      </c>
      <c r="L4115" t="s">
        <v>6100</v>
      </c>
      <c r="M4115" t="s">
        <v>6100</v>
      </c>
      <c r="N4115">
        <v>5</v>
      </c>
      <c r="O4115" t="s">
        <v>6101</v>
      </c>
      <c r="P4115" t="s">
        <v>6113</v>
      </c>
      <c r="Q4115">
        <v>7</v>
      </c>
      <c r="R4115">
        <v>2026</v>
      </c>
      <c r="S4115" t="s">
        <v>6099</v>
      </c>
      <c r="T4115">
        <v>1</v>
      </c>
      <c r="U4115" t="s">
        <v>6021</v>
      </c>
      <c r="V4115">
        <v>1</v>
      </c>
    </row>
    <row r="4116" spans="1:22" x14ac:dyDescent="0.3">
      <c r="A4116" t="s">
        <v>4131</v>
      </c>
      <c r="B4116" s="2">
        <v>46209.262499999997</v>
      </c>
      <c r="C4116" s="2">
        <v>46209.566666666666</v>
      </c>
      <c r="D4116" t="s">
        <v>6027</v>
      </c>
      <c r="E4116" t="s">
        <v>6032</v>
      </c>
      <c r="F4116" t="s">
        <v>6033</v>
      </c>
      <c r="G4116" t="s">
        <v>6068</v>
      </c>
      <c r="H4116" t="s">
        <v>6098</v>
      </c>
      <c r="I4116">
        <v>72</v>
      </c>
      <c r="J4116">
        <v>7.3</v>
      </c>
      <c r="K4116" t="s">
        <v>6099</v>
      </c>
      <c r="L4116" t="s">
        <v>6100</v>
      </c>
      <c r="M4116" t="s">
        <v>6100</v>
      </c>
      <c r="N4116">
        <v>5</v>
      </c>
      <c r="O4116" t="s">
        <v>6101</v>
      </c>
      <c r="P4116" t="s">
        <v>6113</v>
      </c>
      <c r="Q4116">
        <v>7</v>
      </c>
      <c r="R4116">
        <v>2026</v>
      </c>
      <c r="S4116" t="s">
        <v>6099</v>
      </c>
      <c r="T4116">
        <v>1</v>
      </c>
      <c r="U4116" t="s">
        <v>6018</v>
      </c>
      <c r="V4116">
        <v>1</v>
      </c>
    </row>
    <row r="4117" spans="1:22" x14ac:dyDescent="0.3">
      <c r="A4117" t="s">
        <v>4132</v>
      </c>
      <c r="B4117" s="2">
        <v>46209.265972222223</v>
      </c>
      <c r="C4117" s="2">
        <v>46209.603472222225</v>
      </c>
      <c r="D4117" t="s">
        <v>6025</v>
      </c>
      <c r="E4117" t="s">
        <v>6030</v>
      </c>
      <c r="F4117" t="s">
        <v>6034</v>
      </c>
      <c r="G4117" t="s">
        <v>6090</v>
      </c>
      <c r="H4117" t="s">
        <v>6097</v>
      </c>
      <c r="I4117">
        <v>24</v>
      </c>
      <c r="J4117">
        <v>8.1</v>
      </c>
      <c r="K4117" t="s">
        <v>6099</v>
      </c>
      <c r="L4117" t="s">
        <v>6100</v>
      </c>
      <c r="M4117" t="s">
        <v>6099</v>
      </c>
      <c r="N4117">
        <v>4</v>
      </c>
      <c r="O4117" t="s">
        <v>6101</v>
      </c>
      <c r="P4117" t="s">
        <v>6113</v>
      </c>
      <c r="Q4117">
        <v>7</v>
      </c>
      <c r="R4117">
        <v>2026</v>
      </c>
      <c r="S4117" t="s">
        <v>6099</v>
      </c>
      <c r="T4117">
        <v>1</v>
      </c>
      <c r="U4117" t="s">
        <v>6019</v>
      </c>
      <c r="V4117">
        <v>1</v>
      </c>
    </row>
    <row r="4118" spans="1:22" x14ac:dyDescent="0.3">
      <c r="A4118" t="s">
        <v>4133</v>
      </c>
      <c r="B4118" s="2">
        <v>46209.276388888888</v>
      </c>
      <c r="C4118" s="2">
        <v>46209.99722222222</v>
      </c>
      <c r="D4118" t="s">
        <v>6022</v>
      </c>
      <c r="E4118" t="s">
        <v>6029</v>
      </c>
      <c r="F4118" t="s">
        <v>6033</v>
      </c>
      <c r="G4118" t="s">
        <v>6063</v>
      </c>
      <c r="H4118" t="s">
        <v>6097</v>
      </c>
      <c r="I4118">
        <v>72</v>
      </c>
      <c r="J4118">
        <v>17.3</v>
      </c>
      <c r="K4118" t="s">
        <v>6100</v>
      </c>
      <c r="L4118" t="s">
        <v>6099</v>
      </c>
      <c r="M4118" t="s">
        <v>6100</v>
      </c>
      <c r="O4118" t="s">
        <v>6101</v>
      </c>
      <c r="P4118" t="s">
        <v>6113</v>
      </c>
      <c r="Q4118">
        <v>7</v>
      </c>
      <c r="R4118">
        <v>2026</v>
      </c>
      <c r="S4118" t="s">
        <v>6099</v>
      </c>
      <c r="T4118">
        <v>1</v>
      </c>
      <c r="U4118" t="s">
        <v>6021</v>
      </c>
      <c r="V4118">
        <v>0</v>
      </c>
    </row>
    <row r="4119" spans="1:22" x14ac:dyDescent="0.3">
      <c r="A4119" t="s">
        <v>4134</v>
      </c>
      <c r="B4119" s="2">
        <v>46209.286111111112</v>
      </c>
      <c r="C4119" s="2">
        <v>46209.461111111108</v>
      </c>
      <c r="D4119" t="s">
        <v>6028</v>
      </c>
      <c r="E4119" t="s">
        <v>6029</v>
      </c>
      <c r="F4119" t="s">
        <v>6035</v>
      </c>
      <c r="G4119" t="s">
        <v>6039</v>
      </c>
      <c r="H4119" t="s">
        <v>6097</v>
      </c>
      <c r="I4119">
        <v>4</v>
      </c>
      <c r="J4119">
        <v>4.2</v>
      </c>
      <c r="K4119" t="s">
        <v>6100</v>
      </c>
      <c r="L4119" t="s">
        <v>6100</v>
      </c>
      <c r="M4119" t="s">
        <v>6100</v>
      </c>
      <c r="N4119">
        <v>4</v>
      </c>
      <c r="O4119" t="s">
        <v>6101</v>
      </c>
      <c r="P4119" t="s">
        <v>6113</v>
      </c>
      <c r="Q4119">
        <v>7</v>
      </c>
      <c r="R4119">
        <v>2026</v>
      </c>
      <c r="S4119" t="s">
        <v>6100</v>
      </c>
      <c r="T4119">
        <v>0</v>
      </c>
      <c r="U4119" t="s">
        <v>6021</v>
      </c>
      <c r="V4119">
        <v>0</v>
      </c>
    </row>
    <row r="4120" spans="1:22" x14ac:dyDescent="0.3">
      <c r="A4120" t="s">
        <v>4135</v>
      </c>
      <c r="B4120" s="2">
        <v>46209.311111111114</v>
      </c>
      <c r="C4120" s="2">
        <v>46209.415277777778</v>
      </c>
      <c r="D4120" t="s">
        <v>6023</v>
      </c>
      <c r="E4120" t="s">
        <v>6030</v>
      </c>
      <c r="F4120" t="s">
        <v>6033</v>
      </c>
      <c r="G4120" t="s">
        <v>6073</v>
      </c>
      <c r="H4120" t="s">
        <v>6096</v>
      </c>
      <c r="I4120">
        <v>72</v>
      </c>
      <c r="J4120">
        <v>2.5</v>
      </c>
      <c r="K4120" t="s">
        <v>6099</v>
      </c>
      <c r="L4120" t="s">
        <v>6100</v>
      </c>
      <c r="M4120" t="s">
        <v>6100</v>
      </c>
      <c r="N4120">
        <v>5</v>
      </c>
      <c r="O4120" t="s">
        <v>6101</v>
      </c>
      <c r="P4120" t="s">
        <v>6113</v>
      </c>
      <c r="Q4120">
        <v>7</v>
      </c>
      <c r="R4120">
        <v>2026</v>
      </c>
      <c r="S4120" t="s">
        <v>6099</v>
      </c>
      <c r="T4120">
        <v>1</v>
      </c>
      <c r="U4120" t="s">
        <v>6021</v>
      </c>
      <c r="V4120">
        <v>1</v>
      </c>
    </row>
    <row r="4121" spans="1:22" x14ac:dyDescent="0.3">
      <c r="A4121" t="s">
        <v>4136</v>
      </c>
      <c r="B4121" s="2">
        <v>46209.339583333334</v>
      </c>
      <c r="C4121" s="2">
        <v>46211.914583333331</v>
      </c>
      <c r="D4121" t="s">
        <v>6025</v>
      </c>
      <c r="E4121" t="s">
        <v>6031</v>
      </c>
      <c r="F4121" t="s">
        <v>6033</v>
      </c>
      <c r="G4121" t="s">
        <v>6077</v>
      </c>
      <c r="H4121" t="s">
        <v>6098</v>
      </c>
      <c r="I4121">
        <v>72</v>
      </c>
      <c r="J4121">
        <v>61.8</v>
      </c>
      <c r="K4121" t="s">
        <v>6099</v>
      </c>
      <c r="L4121" t="s">
        <v>6100</v>
      </c>
      <c r="M4121" t="s">
        <v>6100</v>
      </c>
      <c r="N4121">
        <v>4</v>
      </c>
      <c r="O4121" t="s">
        <v>6101</v>
      </c>
      <c r="P4121" t="s">
        <v>6113</v>
      </c>
      <c r="Q4121">
        <v>7</v>
      </c>
      <c r="R4121">
        <v>2026</v>
      </c>
      <c r="S4121" t="s">
        <v>6099</v>
      </c>
      <c r="T4121">
        <v>1</v>
      </c>
      <c r="U4121" t="s">
        <v>6018</v>
      </c>
      <c r="V4121">
        <v>1</v>
      </c>
    </row>
    <row r="4122" spans="1:22" x14ac:dyDescent="0.3">
      <c r="A4122" t="s">
        <v>4137</v>
      </c>
      <c r="B4122" s="2">
        <v>46209.36041666667</v>
      </c>
      <c r="C4122" s="2">
        <v>46209.597916666666</v>
      </c>
      <c r="D4122" t="s">
        <v>6027</v>
      </c>
      <c r="E4122" t="s">
        <v>6029</v>
      </c>
      <c r="F4122" t="s">
        <v>6034</v>
      </c>
      <c r="G4122" t="s">
        <v>6060</v>
      </c>
      <c r="H4122" t="s">
        <v>6097</v>
      </c>
      <c r="I4122">
        <v>24</v>
      </c>
      <c r="J4122">
        <v>5.7</v>
      </c>
      <c r="K4122" t="s">
        <v>6099</v>
      </c>
      <c r="L4122" t="s">
        <v>6100</v>
      </c>
      <c r="M4122" t="s">
        <v>6100</v>
      </c>
      <c r="N4122">
        <v>4</v>
      </c>
      <c r="O4122" t="s">
        <v>6101</v>
      </c>
      <c r="P4122" t="s">
        <v>6113</v>
      </c>
      <c r="Q4122">
        <v>7</v>
      </c>
      <c r="R4122">
        <v>2026</v>
      </c>
      <c r="S4122" t="s">
        <v>6099</v>
      </c>
      <c r="T4122">
        <v>1</v>
      </c>
      <c r="U4122" t="s">
        <v>6020</v>
      </c>
      <c r="V4122">
        <v>1</v>
      </c>
    </row>
    <row r="4123" spans="1:22" x14ac:dyDescent="0.3">
      <c r="A4123" t="s">
        <v>4138</v>
      </c>
      <c r="B4123" s="2">
        <v>46209.433333333334</v>
      </c>
      <c r="C4123" s="2">
        <v>46209.595833333333</v>
      </c>
      <c r="D4123" t="s">
        <v>6028</v>
      </c>
      <c r="E4123" t="s">
        <v>6029</v>
      </c>
      <c r="F4123" t="s">
        <v>6033</v>
      </c>
      <c r="G4123" t="s">
        <v>6044</v>
      </c>
      <c r="H4123" t="s">
        <v>6097</v>
      </c>
      <c r="I4123">
        <v>72</v>
      </c>
      <c r="J4123">
        <v>3.9</v>
      </c>
      <c r="K4123" t="s">
        <v>6099</v>
      </c>
      <c r="L4123" t="s">
        <v>6100</v>
      </c>
      <c r="M4123" t="s">
        <v>6099</v>
      </c>
      <c r="N4123">
        <v>4</v>
      </c>
      <c r="O4123" t="s">
        <v>6101</v>
      </c>
      <c r="P4123" t="s">
        <v>6113</v>
      </c>
      <c r="Q4123">
        <v>7</v>
      </c>
      <c r="R4123">
        <v>2026</v>
      </c>
      <c r="S4123" t="s">
        <v>6099</v>
      </c>
      <c r="T4123">
        <v>1</v>
      </c>
      <c r="U4123" t="s">
        <v>6020</v>
      </c>
      <c r="V4123">
        <v>1</v>
      </c>
    </row>
    <row r="4124" spans="1:22" x14ac:dyDescent="0.3">
      <c r="A4124" t="s">
        <v>4139</v>
      </c>
      <c r="B4124" s="2">
        <v>46209.472222222219</v>
      </c>
      <c r="C4124" s="2">
        <v>46210.009722222225</v>
      </c>
      <c r="D4124" t="s">
        <v>6027</v>
      </c>
      <c r="E4124" t="s">
        <v>6032</v>
      </c>
      <c r="F4124" t="s">
        <v>6033</v>
      </c>
      <c r="G4124" t="s">
        <v>6052</v>
      </c>
      <c r="H4124" t="s">
        <v>6098</v>
      </c>
      <c r="I4124">
        <v>72</v>
      </c>
      <c r="J4124">
        <v>12.9</v>
      </c>
      <c r="K4124" t="s">
        <v>6100</v>
      </c>
      <c r="L4124" t="s">
        <v>6100</v>
      </c>
      <c r="M4124" t="s">
        <v>6100</v>
      </c>
      <c r="O4124" t="s">
        <v>6101</v>
      </c>
      <c r="P4124" t="s">
        <v>6113</v>
      </c>
      <c r="Q4124">
        <v>7</v>
      </c>
      <c r="R4124">
        <v>2026</v>
      </c>
      <c r="S4124" t="s">
        <v>6099</v>
      </c>
      <c r="T4124">
        <v>1</v>
      </c>
      <c r="U4124" t="s">
        <v>6020</v>
      </c>
      <c r="V4124">
        <v>0</v>
      </c>
    </row>
    <row r="4125" spans="1:22" x14ac:dyDescent="0.3">
      <c r="A4125" t="s">
        <v>4140</v>
      </c>
      <c r="B4125" s="2">
        <v>46209.520833333336</v>
      </c>
      <c r="C4125" s="2">
        <v>46209.724999999999</v>
      </c>
      <c r="D4125" t="s">
        <v>6024</v>
      </c>
      <c r="E4125" t="s">
        <v>6030</v>
      </c>
      <c r="F4125" t="s">
        <v>6033</v>
      </c>
      <c r="G4125" t="s">
        <v>6040</v>
      </c>
      <c r="H4125" t="s">
        <v>6097</v>
      </c>
      <c r="I4125">
        <v>72</v>
      </c>
      <c r="J4125">
        <v>4.9000000000000004</v>
      </c>
      <c r="K4125" t="s">
        <v>6099</v>
      </c>
      <c r="L4125" t="s">
        <v>6100</v>
      </c>
      <c r="M4125" t="s">
        <v>6100</v>
      </c>
      <c r="N4125">
        <v>4</v>
      </c>
      <c r="O4125" t="s">
        <v>6101</v>
      </c>
      <c r="P4125" t="s">
        <v>6113</v>
      </c>
      <c r="Q4125">
        <v>7</v>
      </c>
      <c r="R4125">
        <v>2026</v>
      </c>
      <c r="S4125" t="s">
        <v>6099</v>
      </c>
      <c r="T4125">
        <v>1</v>
      </c>
      <c r="U4125" t="s">
        <v>6020</v>
      </c>
      <c r="V4125">
        <v>1</v>
      </c>
    </row>
    <row r="4126" spans="1:22" x14ac:dyDescent="0.3">
      <c r="A4126" t="s">
        <v>4141</v>
      </c>
      <c r="B4126" s="2">
        <v>46209.52847222222</v>
      </c>
      <c r="C4126" s="2">
        <v>46210.182638888888</v>
      </c>
      <c r="D4126" t="s">
        <v>6028</v>
      </c>
      <c r="E4126" t="s">
        <v>6031</v>
      </c>
      <c r="F4126" t="s">
        <v>6035</v>
      </c>
      <c r="G4126" t="s">
        <v>6067</v>
      </c>
      <c r="H4126" t="s">
        <v>6098</v>
      </c>
      <c r="I4126">
        <v>4</v>
      </c>
      <c r="J4126">
        <v>15.7</v>
      </c>
      <c r="K4126" t="s">
        <v>6099</v>
      </c>
      <c r="L4126" t="s">
        <v>6100</v>
      </c>
      <c r="M4126" t="s">
        <v>6099</v>
      </c>
      <c r="N4126">
        <v>3</v>
      </c>
      <c r="O4126" t="s">
        <v>6101</v>
      </c>
      <c r="P4126" t="s">
        <v>6113</v>
      </c>
      <c r="Q4126">
        <v>7</v>
      </c>
      <c r="R4126">
        <v>2026</v>
      </c>
      <c r="S4126" t="s">
        <v>6100</v>
      </c>
      <c r="T4126">
        <v>0</v>
      </c>
      <c r="U4126" t="s">
        <v>6020</v>
      </c>
      <c r="V4126">
        <v>1</v>
      </c>
    </row>
    <row r="4127" spans="1:22" x14ac:dyDescent="0.3">
      <c r="A4127" t="s">
        <v>4142</v>
      </c>
      <c r="B4127" s="2">
        <v>46209.537499999999</v>
      </c>
      <c r="C4127" s="2">
        <v>46210.32916666667</v>
      </c>
      <c r="D4127" t="s">
        <v>6022</v>
      </c>
      <c r="E4127" t="s">
        <v>6031</v>
      </c>
      <c r="F4127" t="s">
        <v>6034</v>
      </c>
      <c r="G4127" t="s">
        <v>6091</v>
      </c>
      <c r="H4127" t="s">
        <v>6097</v>
      </c>
      <c r="I4127">
        <v>24</v>
      </c>
      <c r="J4127">
        <v>19</v>
      </c>
      <c r="K4127" t="s">
        <v>6099</v>
      </c>
      <c r="L4127" t="s">
        <v>6100</v>
      </c>
      <c r="M4127" t="s">
        <v>6100</v>
      </c>
      <c r="N4127">
        <v>5</v>
      </c>
      <c r="O4127" t="s">
        <v>6101</v>
      </c>
      <c r="P4127" t="s">
        <v>6113</v>
      </c>
      <c r="Q4127">
        <v>7</v>
      </c>
      <c r="R4127">
        <v>2026</v>
      </c>
      <c r="S4127" t="s">
        <v>6099</v>
      </c>
      <c r="T4127">
        <v>1</v>
      </c>
      <c r="U4127" t="s">
        <v>6017</v>
      </c>
      <c r="V4127">
        <v>1</v>
      </c>
    </row>
    <row r="4128" spans="1:22" x14ac:dyDescent="0.3">
      <c r="A4128" t="s">
        <v>4143</v>
      </c>
      <c r="B4128" s="2">
        <v>46209.572222222225</v>
      </c>
      <c r="C4128" s="2">
        <v>46211.255555555559</v>
      </c>
      <c r="D4128" t="s">
        <v>6022</v>
      </c>
      <c r="E4128" t="s">
        <v>6029</v>
      </c>
      <c r="F4128" t="s">
        <v>6034</v>
      </c>
      <c r="G4128" t="s">
        <v>6061</v>
      </c>
      <c r="H4128" t="s">
        <v>6096</v>
      </c>
      <c r="I4128">
        <v>24</v>
      </c>
      <c r="J4128">
        <v>40.4</v>
      </c>
      <c r="K4128" t="s">
        <v>6099</v>
      </c>
      <c r="L4128" t="s">
        <v>6100</v>
      </c>
      <c r="M4128" t="s">
        <v>6100</v>
      </c>
      <c r="O4128" t="s">
        <v>6101</v>
      </c>
      <c r="P4128" t="s">
        <v>6113</v>
      </c>
      <c r="Q4128">
        <v>7</v>
      </c>
      <c r="R4128">
        <v>2026</v>
      </c>
      <c r="S4128" t="s">
        <v>6100</v>
      </c>
      <c r="T4128">
        <v>0</v>
      </c>
      <c r="U4128" t="s">
        <v>6019</v>
      </c>
      <c r="V4128">
        <v>1</v>
      </c>
    </row>
    <row r="4129" spans="1:22" x14ac:dyDescent="0.3">
      <c r="A4129" t="s">
        <v>4144</v>
      </c>
      <c r="B4129" s="2">
        <v>46209.602083333331</v>
      </c>
      <c r="C4129" s="2">
        <v>46210.052083333336</v>
      </c>
      <c r="D4129" t="s">
        <v>6025</v>
      </c>
      <c r="E4129" t="s">
        <v>6029</v>
      </c>
      <c r="F4129" t="s">
        <v>6034</v>
      </c>
      <c r="G4129" t="s">
        <v>6093</v>
      </c>
      <c r="H4129" t="s">
        <v>6097</v>
      </c>
      <c r="I4129">
        <v>24</v>
      </c>
      <c r="J4129">
        <v>10.8</v>
      </c>
      <c r="K4129" t="s">
        <v>6099</v>
      </c>
      <c r="L4129" t="s">
        <v>6100</v>
      </c>
      <c r="M4129" t="s">
        <v>6100</v>
      </c>
      <c r="N4129">
        <v>5</v>
      </c>
      <c r="O4129" t="s">
        <v>6101</v>
      </c>
      <c r="P4129" t="s">
        <v>6113</v>
      </c>
      <c r="Q4129">
        <v>7</v>
      </c>
      <c r="R4129">
        <v>2026</v>
      </c>
      <c r="S4129" t="s">
        <v>6099</v>
      </c>
      <c r="T4129">
        <v>1</v>
      </c>
      <c r="U4129" t="s">
        <v>6021</v>
      </c>
      <c r="V4129">
        <v>1</v>
      </c>
    </row>
    <row r="4130" spans="1:22" x14ac:dyDescent="0.3">
      <c r="A4130" t="s">
        <v>4145</v>
      </c>
      <c r="B4130" s="2">
        <v>46209.629166666666</v>
      </c>
      <c r="C4130" s="2">
        <v>46210.1</v>
      </c>
      <c r="D4130" t="s">
        <v>6023</v>
      </c>
      <c r="E4130" t="s">
        <v>6029</v>
      </c>
      <c r="F4130" t="s">
        <v>6034</v>
      </c>
      <c r="G4130" t="s">
        <v>6056</v>
      </c>
      <c r="H4130" t="s">
        <v>6098</v>
      </c>
      <c r="I4130">
        <v>24</v>
      </c>
      <c r="J4130">
        <v>11.3</v>
      </c>
      <c r="K4130" t="s">
        <v>6099</v>
      </c>
      <c r="L4130" t="s">
        <v>6100</v>
      </c>
      <c r="M4130" t="s">
        <v>6100</v>
      </c>
      <c r="O4130" t="s">
        <v>6101</v>
      </c>
      <c r="P4130" t="s">
        <v>6113</v>
      </c>
      <c r="Q4130">
        <v>7</v>
      </c>
      <c r="R4130">
        <v>2026</v>
      </c>
      <c r="S4130" t="s">
        <v>6099</v>
      </c>
      <c r="T4130">
        <v>1</v>
      </c>
      <c r="U4130" t="s">
        <v>6017</v>
      </c>
      <c r="V4130">
        <v>1</v>
      </c>
    </row>
    <row r="4131" spans="1:22" x14ac:dyDescent="0.3">
      <c r="A4131" t="s">
        <v>4146</v>
      </c>
      <c r="B4131" s="2">
        <v>46209.661805555559</v>
      </c>
      <c r="C4131" s="2">
        <v>46210.15347222222</v>
      </c>
      <c r="D4131" t="s">
        <v>6023</v>
      </c>
      <c r="E4131" t="s">
        <v>6029</v>
      </c>
      <c r="F4131" t="s">
        <v>6033</v>
      </c>
      <c r="G4131" t="s">
        <v>6080</v>
      </c>
      <c r="H4131" t="s">
        <v>6096</v>
      </c>
      <c r="I4131">
        <v>72</v>
      </c>
      <c r="J4131">
        <v>11.8</v>
      </c>
      <c r="K4131" t="s">
        <v>6099</v>
      </c>
      <c r="L4131" t="s">
        <v>6100</v>
      </c>
      <c r="M4131" t="s">
        <v>6100</v>
      </c>
      <c r="N4131">
        <v>5</v>
      </c>
      <c r="O4131" t="s">
        <v>6101</v>
      </c>
      <c r="P4131" t="s">
        <v>6113</v>
      </c>
      <c r="Q4131">
        <v>7</v>
      </c>
      <c r="R4131">
        <v>2026</v>
      </c>
      <c r="S4131" t="s">
        <v>6099</v>
      </c>
      <c r="T4131">
        <v>1</v>
      </c>
      <c r="U4131" t="s">
        <v>6021</v>
      </c>
      <c r="V4131">
        <v>1</v>
      </c>
    </row>
    <row r="4132" spans="1:22" x14ac:dyDescent="0.3">
      <c r="A4132" t="s">
        <v>4147</v>
      </c>
      <c r="B4132" s="2">
        <v>46209.665972222225</v>
      </c>
      <c r="C4132" s="2">
        <v>46209.890972222223</v>
      </c>
      <c r="D4132" t="s">
        <v>6028</v>
      </c>
      <c r="E4132" t="s">
        <v>6029</v>
      </c>
      <c r="F4132" t="s">
        <v>6035</v>
      </c>
      <c r="G4132" t="s">
        <v>6055</v>
      </c>
      <c r="H4132" t="s">
        <v>6096</v>
      </c>
      <c r="I4132">
        <v>4</v>
      </c>
      <c r="J4132">
        <v>5.4</v>
      </c>
      <c r="K4132" t="s">
        <v>6100</v>
      </c>
      <c r="L4132" t="s">
        <v>6100</v>
      </c>
      <c r="M4132" t="s">
        <v>6099</v>
      </c>
      <c r="O4132" t="s">
        <v>6101</v>
      </c>
      <c r="P4132" t="s">
        <v>6113</v>
      </c>
      <c r="Q4132">
        <v>7</v>
      </c>
      <c r="R4132">
        <v>2026</v>
      </c>
      <c r="S4132" t="s">
        <v>6100</v>
      </c>
      <c r="T4132">
        <v>0</v>
      </c>
      <c r="U4132" t="s">
        <v>6018</v>
      </c>
      <c r="V4132">
        <v>0</v>
      </c>
    </row>
    <row r="4133" spans="1:22" x14ac:dyDescent="0.3">
      <c r="A4133" t="s">
        <v>4148</v>
      </c>
      <c r="B4133" s="2">
        <v>46209.692361111112</v>
      </c>
      <c r="C4133" s="2">
        <v>46210.171527777777</v>
      </c>
      <c r="D4133" t="s">
        <v>6022</v>
      </c>
      <c r="E4133" t="s">
        <v>6030</v>
      </c>
      <c r="F4133" t="s">
        <v>6034</v>
      </c>
      <c r="G4133" t="s">
        <v>6052</v>
      </c>
      <c r="H4133" t="s">
        <v>6098</v>
      </c>
      <c r="I4133">
        <v>24</v>
      </c>
      <c r="J4133">
        <v>11.5</v>
      </c>
      <c r="K4133" t="s">
        <v>6099</v>
      </c>
      <c r="L4133" t="s">
        <v>6100</v>
      </c>
      <c r="M4133" t="s">
        <v>6100</v>
      </c>
      <c r="O4133" t="s">
        <v>6101</v>
      </c>
      <c r="P4133" t="s">
        <v>6113</v>
      </c>
      <c r="Q4133">
        <v>7</v>
      </c>
      <c r="R4133">
        <v>2026</v>
      </c>
      <c r="S4133" t="s">
        <v>6099</v>
      </c>
      <c r="T4133">
        <v>1</v>
      </c>
      <c r="U4133" t="s">
        <v>6021</v>
      </c>
      <c r="V4133">
        <v>1</v>
      </c>
    </row>
    <row r="4134" spans="1:22" x14ac:dyDescent="0.3">
      <c r="A4134" t="s">
        <v>4149</v>
      </c>
      <c r="B4134" s="2">
        <v>46209.807638888888</v>
      </c>
      <c r="C4134" s="2">
        <v>46210.27847222222</v>
      </c>
      <c r="D4134" t="s">
        <v>6022</v>
      </c>
      <c r="E4134" t="s">
        <v>6029</v>
      </c>
      <c r="F4134" t="s">
        <v>6034</v>
      </c>
      <c r="G4134" t="s">
        <v>6093</v>
      </c>
      <c r="H4134" t="s">
        <v>6097</v>
      </c>
      <c r="I4134">
        <v>24</v>
      </c>
      <c r="J4134">
        <v>11.3</v>
      </c>
      <c r="K4134" t="s">
        <v>6099</v>
      </c>
      <c r="L4134" t="s">
        <v>6100</v>
      </c>
      <c r="M4134" t="s">
        <v>6100</v>
      </c>
      <c r="N4134">
        <v>4</v>
      </c>
      <c r="O4134" t="s">
        <v>6101</v>
      </c>
      <c r="P4134" t="s">
        <v>6113</v>
      </c>
      <c r="Q4134">
        <v>7</v>
      </c>
      <c r="R4134">
        <v>2026</v>
      </c>
      <c r="S4134" t="s">
        <v>6099</v>
      </c>
      <c r="T4134">
        <v>1</v>
      </c>
      <c r="U4134" t="s">
        <v>6019</v>
      </c>
      <c r="V4134">
        <v>1</v>
      </c>
    </row>
    <row r="4135" spans="1:22" x14ac:dyDescent="0.3">
      <c r="A4135" t="s">
        <v>4150</v>
      </c>
      <c r="B4135" s="2">
        <v>46209.859027777777</v>
      </c>
      <c r="C4135" s="2">
        <v>46210.554861111108</v>
      </c>
      <c r="D4135" t="s">
        <v>6025</v>
      </c>
      <c r="E4135" t="s">
        <v>6029</v>
      </c>
      <c r="F4135" t="s">
        <v>6033</v>
      </c>
      <c r="G4135" t="s">
        <v>6038</v>
      </c>
      <c r="H4135" t="s">
        <v>6096</v>
      </c>
      <c r="I4135">
        <v>72</v>
      </c>
      <c r="J4135">
        <v>16.7</v>
      </c>
      <c r="K4135" t="s">
        <v>6100</v>
      </c>
      <c r="L4135" t="s">
        <v>6099</v>
      </c>
      <c r="M4135" t="s">
        <v>6100</v>
      </c>
      <c r="N4135">
        <v>3</v>
      </c>
      <c r="O4135" t="s">
        <v>6101</v>
      </c>
      <c r="P4135" t="s">
        <v>6113</v>
      </c>
      <c r="Q4135">
        <v>7</v>
      </c>
      <c r="R4135">
        <v>2026</v>
      </c>
      <c r="S4135" t="s">
        <v>6099</v>
      </c>
      <c r="T4135">
        <v>1</v>
      </c>
      <c r="U4135" t="s">
        <v>6018</v>
      </c>
      <c r="V4135">
        <v>0</v>
      </c>
    </row>
    <row r="4136" spans="1:22" x14ac:dyDescent="0.3">
      <c r="A4136" t="s">
        <v>4151</v>
      </c>
      <c r="B4136" s="2">
        <v>46209.916666666664</v>
      </c>
      <c r="C4136" s="2">
        <v>46210.212500000001</v>
      </c>
      <c r="D4136" t="s">
        <v>6022</v>
      </c>
      <c r="E4136" t="s">
        <v>6029</v>
      </c>
      <c r="F4136" t="s">
        <v>6034</v>
      </c>
      <c r="G4136" t="s">
        <v>6063</v>
      </c>
      <c r="H4136" t="s">
        <v>6097</v>
      </c>
      <c r="I4136">
        <v>24</v>
      </c>
      <c r="J4136">
        <v>7.1</v>
      </c>
      <c r="K4136" t="s">
        <v>6100</v>
      </c>
      <c r="L4136" t="s">
        <v>6099</v>
      </c>
      <c r="M4136" t="s">
        <v>6100</v>
      </c>
      <c r="N4136">
        <v>3</v>
      </c>
      <c r="O4136" t="s">
        <v>6101</v>
      </c>
      <c r="P4136" t="s">
        <v>6113</v>
      </c>
      <c r="Q4136">
        <v>7</v>
      </c>
      <c r="R4136">
        <v>2026</v>
      </c>
      <c r="S4136" t="s">
        <v>6099</v>
      </c>
      <c r="T4136">
        <v>1</v>
      </c>
      <c r="U4136" t="s">
        <v>6020</v>
      </c>
      <c r="V4136">
        <v>0</v>
      </c>
    </row>
    <row r="4137" spans="1:22" x14ac:dyDescent="0.3">
      <c r="A4137" t="s">
        <v>4152</v>
      </c>
      <c r="B4137" s="2">
        <v>46210.21875</v>
      </c>
      <c r="C4137" s="2">
        <v>46210.777083333334</v>
      </c>
      <c r="D4137" t="s">
        <v>6025</v>
      </c>
      <c r="E4137" t="s">
        <v>6030</v>
      </c>
      <c r="F4137" t="s">
        <v>6034</v>
      </c>
      <c r="G4137" t="s">
        <v>6085</v>
      </c>
      <c r="H4137" t="s">
        <v>6097</v>
      </c>
      <c r="I4137">
        <v>24</v>
      </c>
      <c r="J4137">
        <v>13.4</v>
      </c>
      <c r="K4137" t="s">
        <v>6099</v>
      </c>
      <c r="L4137" t="s">
        <v>6100</v>
      </c>
      <c r="M4137" t="s">
        <v>6100</v>
      </c>
      <c r="N4137">
        <v>5</v>
      </c>
      <c r="O4137" t="s">
        <v>6101</v>
      </c>
      <c r="P4137" t="s">
        <v>6113</v>
      </c>
      <c r="Q4137">
        <v>7</v>
      </c>
      <c r="R4137">
        <v>2026</v>
      </c>
      <c r="S4137" t="s">
        <v>6099</v>
      </c>
      <c r="T4137">
        <v>1</v>
      </c>
      <c r="U4137" t="s">
        <v>6018</v>
      </c>
      <c r="V4137">
        <v>1</v>
      </c>
    </row>
    <row r="4138" spans="1:22" x14ac:dyDescent="0.3">
      <c r="A4138" t="s">
        <v>4153</v>
      </c>
      <c r="B4138" s="2">
        <v>46210.254861111112</v>
      </c>
      <c r="C4138" s="2">
        <v>46210.704861111109</v>
      </c>
      <c r="D4138" t="s">
        <v>6022</v>
      </c>
      <c r="E4138" t="s">
        <v>6030</v>
      </c>
      <c r="F4138" t="s">
        <v>6034</v>
      </c>
      <c r="G4138" t="s">
        <v>6064</v>
      </c>
      <c r="H4138" t="s">
        <v>6096</v>
      </c>
      <c r="I4138">
        <v>24</v>
      </c>
      <c r="J4138">
        <v>10.8</v>
      </c>
      <c r="K4138" t="s">
        <v>6099</v>
      </c>
      <c r="L4138" t="s">
        <v>6100</v>
      </c>
      <c r="M4138" t="s">
        <v>6100</v>
      </c>
      <c r="N4138">
        <v>4</v>
      </c>
      <c r="O4138" t="s">
        <v>6101</v>
      </c>
      <c r="P4138" t="s">
        <v>6113</v>
      </c>
      <c r="Q4138">
        <v>7</v>
      </c>
      <c r="R4138">
        <v>2026</v>
      </c>
      <c r="S4138" t="s">
        <v>6099</v>
      </c>
      <c r="T4138">
        <v>1</v>
      </c>
      <c r="U4138" t="s">
        <v>6018</v>
      </c>
      <c r="V4138">
        <v>1</v>
      </c>
    </row>
    <row r="4139" spans="1:22" x14ac:dyDescent="0.3">
      <c r="A4139" t="s">
        <v>4154</v>
      </c>
      <c r="B4139" s="2">
        <v>46210.282638888886</v>
      </c>
      <c r="C4139" s="2">
        <v>46211.170138888891</v>
      </c>
      <c r="D4139" t="s">
        <v>6025</v>
      </c>
      <c r="E4139" t="s">
        <v>6029</v>
      </c>
      <c r="F4139" t="s">
        <v>6034</v>
      </c>
      <c r="G4139" t="s">
        <v>6047</v>
      </c>
      <c r="H4139" t="s">
        <v>6098</v>
      </c>
      <c r="I4139">
        <v>24</v>
      </c>
      <c r="J4139">
        <v>21.3</v>
      </c>
      <c r="K4139" t="s">
        <v>6100</v>
      </c>
      <c r="L4139" t="s">
        <v>6099</v>
      </c>
      <c r="M4139" t="s">
        <v>6099</v>
      </c>
      <c r="N4139">
        <v>4</v>
      </c>
      <c r="O4139" t="s">
        <v>6101</v>
      </c>
      <c r="P4139" t="s">
        <v>6113</v>
      </c>
      <c r="Q4139">
        <v>7</v>
      </c>
      <c r="R4139">
        <v>2026</v>
      </c>
      <c r="S4139" t="s">
        <v>6099</v>
      </c>
      <c r="T4139">
        <v>1</v>
      </c>
      <c r="U4139" t="s">
        <v>6020</v>
      </c>
      <c r="V4139">
        <v>0</v>
      </c>
    </row>
    <row r="4140" spans="1:22" x14ac:dyDescent="0.3">
      <c r="A4140" t="s">
        <v>4155</v>
      </c>
      <c r="B4140" s="2">
        <v>46210.297222222223</v>
      </c>
      <c r="C4140" s="2">
        <v>46211.176388888889</v>
      </c>
      <c r="D4140" t="s">
        <v>6025</v>
      </c>
      <c r="E4140" t="s">
        <v>6030</v>
      </c>
      <c r="F4140" t="s">
        <v>6034</v>
      </c>
      <c r="G4140" t="s">
        <v>6085</v>
      </c>
      <c r="H4140" t="s">
        <v>6097</v>
      </c>
      <c r="I4140">
        <v>24</v>
      </c>
      <c r="J4140">
        <v>21.1</v>
      </c>
      <c r="K4140" t="s">
        <v>6100</v>
      </c>
      <c r="L4140" t="s">
        <v>6099</v>
      </c>
      <c r="M4140" t="s">
        <v>6100</v>
      </c>
      <c r="N4140">
        <v>4</v>
      </c>
      <c r="O4140" t="s">
        <v>6101</v>
      </c>
      <c r="P4140" t="s">
        <v>6113</v>
      </c>
      <c r="Q4140">
        <v>7</v>
      </c>
      <c r="R4140">
        <v>2026</v>
      </c>
      <c r="S4140" t="s">
        <v>6099</v>
      </c>
      <c r="T4140">
        <v>1</v>
      </c>
      <c r="U4140" t="s">
        <v>6019</v>
      </c>
      <c r="V4140">
        <v>0</v>
      </c>
    </row>
    <row r="4141" spans="1:22" x14ac:dyDescent="0.3">
      <c r="A4141" t="s">
        <v>4156</v>
      </c>
      <c r="B4141" s="2">
        <v>46210.337500000001</v>
      </c>
      <c r="C4141" s="2">
        <v>46210.637499999997</v>
      </c>
      <c r="D4141" t="s">
        <v>6024</v>
      </c>
      <c r="E4141" t="s">
        <v>6030</v>
      </c>
      <c r="F4141" t="s">
        <v>6033</v>
      </c>
      <c r="G4141" t="s">
        <v>6092</v>
      </c>
      <c r="H4141" t="s">
        <v>6097</v>
      </c>
      <c r="I4141">
        <v>72</v>
      </c>
      <c r="J4141">
        <v>7.2</v>
      </c>
      <c r="K4141" t="s">
        <v>6100</v>
      </c>
      <c r="L4141" t="s">
        <v>6100</v>
      </c>
      <c r="M4141" t="s">
        <v>6100</v>
      </c>
      <c r="O4141" t="s">
        <v>6101</v>
      </c>
      <c r="P4141" t="s">
        <v>6113</v>
      </c>
      <c r="Q4141">
        <v>7</v>
      </c>
      <c r="R4141">
        <v>2026</v>
      </c>
      <c r="S4141" t="s">
        <v>6099</v>
      </c>
      <c r="T4141">
        <v>1</v>
      </c>
      <c r="U4141" t="s">
        <v>6021</v>
      </c>
      <c r="V4141">
        <v>0</v>
      </c>
    </row>
    <row r="4142" spans="1:22" x14ac:dyDescent="0.3">
      <c r="A4142" t="s">
        <v>4157</v>
      </c>
      <c r="B4142" s="2">
        <v>46210.352083333331</v>
      </c>
      <c r="C4142" s="2">
        <v>46210.447916666664</v>
      </c>
      <c r="D4142" t="s">
        <v>6028</v>
      </c>
      <c r="E4142" t="s">
        <v>6030</v>
      </c>
      <c r="F4142" t="s">
        <v>6035</v>
      </c>
      <c r="G4142" t="s">
        <v>6090</v>
      </c>
      <c r="H4142" t="s">
        <v>6097</v>
      </c>
      <c r="I4142">
        <v>4</v>
      </c>
      <c r="J4142">
        <v>2.2999999999999998</v>
      </c>
      <c r="K4142" t="s">
        <v>6099</v>
      </c>
      <c r="L4142" t="s">
        <v>6100</v>
      </c>
      <c r="M4142" t="s">
        <v>6100</v>
      </c>
      <c r="O4142" t="s">
        <v>6101</v>
      </c>
      <c r="P4142" t="s">
        <v>6113</v>
      </c>
      <c r="Q4142">
        <v>7</v>
      </c>
      <c r="R4142">
        <v>2026</v>
      </c>
      <c r="S4142" t="s">
        <v>6099</v>
      </c>
      <c r="T4142">
        <v>1</v>
      </c>
      <c r="U4142" t="s">
        <v>6019</v>
      </c>
      <c r="V4142">
        <v>1</v>
      </c>
    </row>
    <row r="4143" spans="1:22" x14ac:dyDescent="0.3">
      <c r="A4143" t="s">
        <v>4158</v>
      </c>
      <c r="B4143" s="2">
        <v>46210.367361111108</v>
      </c>
      <c r="C4143" s="2">
        <v>46211.304861111108</v>
      </c>
      <c r="D4143" t="s">
        <v>6025</v>
      </c>
      <c r="E4143" t="s">
        <v>6031</v>
      </c>
      <c r="F4143" t="s">
        <v>6034</v>
      </c>
      <c r="G4143" t="s">
        <v>6090</v>
      </c>
      <c r="H4143" t="s">
        <v>6097</v>
      </c>
      <c r="I4143">
        <v>24</v>
      </c>
      <c r="J4143">
        <v>22.5</v>
      </c>
      <c r="K4143" t="s">
        <v>6100</v>
      </c>
      <c r="L4143" t="s">
        <v>6099</v>
      </c>
      <c r="M4143" t="s">
        <v>6100</v>
      </c>
      <c r="N4143">
        <v>4</v>
      </c>
      <c r="O4143" t="s">
        <v>6101</v>
      </c>
      <c r="P4143" t="s">
        <v>6113</v>
      </c>
      <c r="Q4143">
        <v>7</v>
      </c>
      <c r="R4143">
        <v>2026</v>
      </c>
      <c r="S4143" t="s">
        <v>6099</v>
      </c>
      <c r="T4143">
        <v>1</v>
      </c>
      <c r="U4143" t="s">
        <v>6020</v>
      </c>
      <c r="V4143">
        <v>0</v>
      </c>
    </row>
    <row r="4144" spans="1:22" x14ac:dyDescent="0.3">
      <c r="A4144" t="s">
        <v>4159</v>
      </c>
      <c r="B4144" s="2">
        <v>46210.435416666667</v>
      </c>
      <c r="C4144" s="2">
        <v>46210.993750000001</v>
      </c>
      <c r="D4144" t="s">
        <v>6024</v>
      </c>
      <c r="E4144" t="s">
        <v>6032</v>
      </c>
      <c r="F4144" t="s">
        <v>6033</v>
      </c>
      <c r="G4144" t="s">
        <v>6080</v>
      </c>
      <c r="H4144" t="s">
        <v>6096</v>
      </c>
      <c r="I4144">
        <v>72</v>
      </c>
      <c r="J4144">
        <v>13.4</v>
      </c>
      <c r="K4144" t="s">
        <v>6099</v>
      </c>
      <c r="L4144" t="s">
        <v>6100</v>
      </c>
      <c r="M4144" t="s">
        <v>6100</v>
      </c>
      <c r="N4144">
        <v>4</v>
      </c>
      <c r="O4144" t="s">
        <v>6101</v>
      </c>
      <c r="P4144" t="s">
        <v>6113</v>
      </c>
      <c r="Q4144">
        <v>7</v>
      </c>
      <c r="R4144">
        <v>2026</v>
      </c>
      <c r="S4144" t="s">
        <v>6099</v>
      </c>
      <c r="T4144">
        <v>1</v>
      </c>
      <c r="U4144" t="s">
        <v>6021</v>
      </c>
      <c r="V4144">
        <v>1</v>
      </c>
    </row>
    <row r="4145" spans="1:22" x14ac:dyDescent="0.3">
      <c r="A4145" t="s">
        <v>4160</v>
      </c>
      <c r="B4145" s="2">
        <v>46210.496527777781</v>
      </c>
      <c r="C4145" s="2">
        <v>46211.275694444441</v>
      </c>
      <c r="D4145" t="s">
        <v>6027</v>
      </c>
      <c r="E4145" t="s">
        <v>6029</v>
      </c>
      <c r="F4145" t="s">
        <v>6033</v>
      </c>
      <c r="G4145" t="s">
        <v>6090</v>
      </c>
      <c r="H4145" t="s">
        <v>6097</v>
      </c>
      <c r="I4145">
        <v>72</v>
      </c>
      <c r="J4145">
        <v>18.7</v>
      </c>
      <c r="K4145" t="s">
        <v>6099</v>
      </c>
      <c r="L4145" t="s">
        <v>6100</v>
      </c>
      <c r="M4145" t="s">
        <v>6100</v>
      </c>
      <c r="O4145" t="s">
        <v>6101</v>
      </c>
      <c r="P4145" t="s">
        <v>6113</v>
      </c>
      <c r="Q4145">
        <v>7</v>
      </c>
      <c r="R4145">
        <v>2026</v>
      </c>
      <c r="S4145" t="s">
        <v>6099</v>
      </c>
      <c r="T4145">
        <v>1</v>
      </c>
      <c r="U4145" t="s">
        <v>6020</v>
      </c>
      <c r="V4145">
        <v>1</v>
      </c>
    </row>
    <row r="4146" spans="1:22" x14ac:dyDescent="0.3">
      <c r="A4146" t="s">
        <v>4161</v>
      </c>
      <c r="B4146" s="2">
        <v>46210.500694444447</v>
      </c>
      <c r="C4146" s="2">
        <v>46210.684027777781</v>
      </c>
      <c r="D4146" t="s">
        <v>6028</v>
      </c>
      <c r="E4146" t="s">
        <v>6029</v>
      </c>
      <c r="F4146" t="s">
        <v>6035</v>
      </c>
      <c r="G4146" t="s">
        <v>6039</v>
      </c>
      <c r="H4146" t="s">
        <v>6097</v>
      </c>
      <c r="I4146">
        <v>4</v>
      </c>
      <c r="J4146">
        <v>4.4000000000000004</v>
      </c>
      <c r="K4146" t="s">
        <v>6099</v>
      </c>
      <c r="L4146" t="s">
        <v>6100</v>
      </c>
      <c r="M4146" t="s">
        <v>6100</v>
      </c>
      <c r="O4146" t="s">
        <v>6101</v>
      </c>
      <c r="P4146" t="s">
        <v>6113</v>
      </c>
      <c r="Q4146">
        <v>7</v>
      </c>
      <c r="R4146">
        <v>2026</v>
      </c>
      <c r="S4146" t="s">
        <v>6100</v>
      </c>
      <c r="T4146">
        <v>0</v>
      </c>
      <c r="U4146" t="s">
        <v>6021</v>
      </c>
      <c r="V4146">
        <v>1</v>
      </c>
    </row>
    <row r="4147" spans="1:22" x14ac:dyDescent="0.3">
      <c r="A4147" t="s">
        <v>4162</v>
      </c>
      <c r="B4147" s="2">
        <v>46210.521527777775</v>
      </c>
      <c r="C4147" s="2">
        <v>46210.834027777775</v>
      </c>
      <c r="D4147" t="s">
        <v>6028</v>
      </c>
      <c r="E4147" t="s">
        <v>6030</v>
      </c>
      <c r="F4147" t="s">
        <v>6035</v>
      </c>
      <c r="G4147" t="s">
        <v>6095</v>
      </c>
      <c r="H4147" t="s">
        <v>6098</v>
      </c>
      <c r="I4147">
        <v>4</v>
      </c>
      <c r="J4147">
        <v>7.5</v>
      </c>
      <c r="K4147" t="s">
        <v>6099</v>
      </c>
      <c r="L4147" t="s">
        <v>6100</v>
      </c>
      <c r="M4147" t="s">
        <v>6100</v>
      </c>
      <c r="O4147" t="s">
        <v>6101</v>
      </c>
      <c r="P4147" t="s">
        <v>6113</v>
      </c>
      <c r="Q4147">
        <v>7</v>
      </c>
      <c r="R4147">
        <v>2026</v>
      </c>
      <c r="S4147" t="s">
        <v>6100</v>
      </c>
      <c r="T4147">
        <v>0</v>
      </c>
      <c r="U4147" t="s">
        <v>6018</v>
      </c>
      <c r="V4147">
        <v>1</v>
      </c>
    </row>
    <row r="4148" spans="1:22" x14ac:dyDescent="0.3">
      <c r="A4148" t="s">
        <v>4163</v>
      </c>
      <c r="B4148" s="2">
        <v>46210.540277777778</v>
      </c>
      <c r="C4148" s="2">
        <v>46210.794444444444</v>
      </c>
      <c r="D4148" t="s">
        <v>6027</v>
      </c>
      <c r="E4148" t="s">
        <v>6030</v>
      </c>
      <c r="F4148" t="s">
        <v>6034</v>
      </c>
      <c r="G4148" t="s">
        <v>6052</v>
      </c>
      <c r="H4148" t="s">
        <v>6098</v>
      </c>
      <c r="I4148">
        <v>24</v>
      </c>
      <c r="J4148">
        <v>6.1</v>
      </c>
      <c r="K4148" t="s">
        <v>6099</v>
      </c>
      <c r="L4148" t="s">
        <v>6100</v>
      </c>
      <c r="M4148" t="s">
        <v>6100</v>
      </c>
      <c r="N4148">
        <v>5</v>
      </c>
      <c r="O4148" t="s">
        <v>6101</v>
      </c>
      <c r="P4148" t="s">
        <v>6113</v>
      </c>
      <c r="Q4148">
        <v>7</v>
      </c>
      <c r="R4148">
        <v>2026</v>
      </c>
      <c r="S4148" t="s">
        <v>6099</v>
      </c>
      <c r="T4148">
        <v>1</v>
      </c>
      <c r="U4148" t="s">
        <v>6020</v>
      </c>
      <c r="V4148">
        <v>1</v>
      </c>
    </row>
    <row r="4149" spans="1:22" x14ac:dyDescent="0.3">
      <c r="A4149" t="s">
        <v>4164</v>
      </c>
      <c r="B4149" s="2">
        <v>46210.546527777777</v>
      </c>
      <c r="C4149" s="2">
        <v>46211.154861111114</v>
      </c>
      <c r="D4149" t="s">
        <v>6024</v>
      </c>
      <c r="E4149" t="s">
        <v>6029</v>
      </c>
      <c r="F4149" t="s">
        <v>6034</v>
      </c>
      <c r="G4149" t="s">
        <v>6054</v>
      </c>
      <c r="H4149" t="s">
        <v>6096</v>
      </c>
      <c r="I4149">
        <v>24</v>
      </c>
      <c r="J4149">
        <v>14.6</v>
      </c>
      <c r="K4149" t="s">
        <v>6099</v>
      </c>
      <c r="L4149" t="s">
        <v>6100</v>
      </c>
      <c r="M4149" t="s">
        <v>6100</v>
      </c>
      <c r="N4149">
        <v>4</v>
      </c>
      <c r="O4149" t="s">
        <v>6101</v>
      </c>
      <c r="P4149" t="s">
        <v>6113</v>
      </c>
      <c r="Q4149">
        <v>7</v>
      </c>
      <c r="R4149">
        <v>2026</v>
      </c>
      <c r="S4149" t="s">
        <v>6099</v>
      </c>
      <c r="T4149">
        <v>1</v>
      </c>
      <c r="U4149" t="s">
        <v>6021</v>
      </c>
      <c r="V4149">
        <v>1</v>
      </c>
    </row>
    <row r="4150" spans="1:22" x14ac:dyDescent="0.3">
      <c r="A4150" t="s">
        <v>4165</v>
      </c>
      <c r="B4150" s="2">
        <v>46210.547222222223</v>
      </c>
      <c r="C4150" s="2">
        <v>46210.768055555556</v>
      </c>
      <c r="D4150" t="s">
        <v>6023</v>
      </c>
      <c r="E4150" t="s">
        <v>6029</v>
      </c>
      <c r="F4150" t="s">
        <v>6035</v>
      </c>
      <c r="G4150" t="s">
        <v>6077</v>
      </c>
      <c r="H4150" t="s">
        <v>6098</v>
      </c>
      <c r="I4150">
        <v>4</v>
      </c>
      <c r="J4150">
        <v>5.3</v>
      </c>
      <c r="K4150" t="s">
        <v>6099</v>
      </c>
      <c r="L4150" t="s">
        <v>6100</v>
      </c>
      <c r="M4150" t="s">
        <v>6100</v>
      </c>
      <c r="N4150">
        <v>5</v>
      </c>
      <c r="O4150" t="s">
        <v>6101</v>
      </c>
      <c r="P4150" t="s">
        <v>6113</v>
      </c>
      <c r="Q4150">
        <v>7</v>
      </c>
      <c r="R4150">
        <v>2026</v>
      </c>
      <c r="S4150" t="s">
        <v>6100</v>
      </c>
      <c r="T4150">
        <v>0</v>
      </c>
      <c r="U4150" t="s">
        <v>6018</v>
      </c>
      <c r="V4150">
        <v>1</v>
      </c>
    </row>
    <row r="4151" spans="1:22" x14ac:dyDescent="0.3">
      <c r="A4151" t="s">
        <v>4166</v>
      </c>
      <c r="B4151" s="2">
        <v>46210.548611111109</v>
      </c>
      <c r="C4151" s="2">
        <v>46210.856944444444</v>
      </c>
      <c r="D4151" t="s">
        <v>6027</v>
      </c>
      <c r="E4151" t="s">
        <v>6029</v>
      </c>
      <c r="F4151" t="s">
        <v>6033</v>
      </c>
      <c r="G4151" t="s">
        <v>6079</v>
      </c>
      <c r="H4151" t="s">
        <v>6097</v>
      </c>
      <c r="I4151">
        <v>72</v>
      </c>
      <c r="J4151">
        <v>7.4</v>
      </c>
      <c r="K4151" t="s">
        <v>6100</v>
      </c>
      <c r="L4151" t="s">
        <v>6099</v>
      </c>
      <c r="M4151" t="s">
        <v>6100</v>
      </c>
      <c r="N4151">
        <v>2</v>
      </c>
      <c r="O4151" t="s">
        <v>6101</v>
      </c>
      <c r="P4151" t="s">
        <v>6113</v>
      </c>
      <c r="Q4151">
        <v>7</v>
      </c>
      <c r="R4151">
        <v>2026</v>
      </c>
      <c r="S4151" t="s">
        <v>6099</v>
      </c>
      <c r="T4151">
        <v>1</v>
      </c>
      <c r="U4151" t="s">
        <v>6019</v>
      </c>
      <c r="V4151">
        <v>0</v>
      </c>
    </row>
    <row r="4152" spans="1:22" x14ac:dyDescent="0.3">
      <c r="A4152" t="s">
        <v>4167</v>
      </c>
      <c r="B4152" s="2">
        <v>46210.618750000001</v>
      </c>
      <c r="C4152" s="2">
        <v>46211.21875</v>
      </c>
      <c r="D4152" t="s">
        <v>6027</v>
      </c>
      <c r="E4152" t="s">
        <v>6031</v>
      </c>
      <c r="F4152" t="s">
        <v>6034</v>
      </c>
      <c r="G4152" t="s">
        <v>6049</v>
      </c>
      <c r="H4152" t="s">
        <v>6097</v>
      </c>
      <c r="I4152">
        <v>24</v>
      </c>
      <c r="J4152">
        <v>14.4</v>
      </c>
      <c r="K4152" t="s">
        <v>6099</v>
      </c>
      <c r="L4152" t="s">
        <v>6100</v>
      </c>
      <c r="M4152" t="s">
        <v>6100</v>
      </c>
      <c r="N4152">
        <v>5</v>
      </c>
      <c r="O4152" t="s">
        <v>6101</v>
      </c>
      <c r="P4152" t="s">
        <v>6113</v>
      </c>
      <c r="Q4152">
        <v>7</v>
      </c>
      <c r="R4152">
        <v>2026</v>
      </c>
      <c r="S4152" t="s">
        <v>6099</v>
      </c>
      <c r="T4152">
        <v>1</v>
      </c>
      <c r="U4152" t="s">
        <v>6019</v>
      </c>
      <c r="V4152">
        <v>1</v>
      </c>
    </row>
    <row r="4153" spans="1:22" x14ac:dyDescent="0.3">
      <c r="A4153" t="s">
        <v>4168</v>
      </c>
      <c r="B4153" s="2">
        <v>46210.685416666667</v>
      </c>
      <c r="C4153" s="2">
        <v>46211.043749999997</v>
      </c>
      <c r="D4153" t="s">
        <v>6026</v>
      </c>
      <c r="E4153" t="s">
        <v>6029</v>
      </c>
      <c r="F4153" t="s">
        <v>6033</v>
      </c>
      <c r="G4153" t="s">
        <v>6064</v>
      </c>
      <c r="H4153" t="s">
        <v>6096</v>
      </c>
      <c r="I4153">
        <v>72</v>
      </c>
      <c r="J4153">
        <v>8.6</v>
      </c>
      <c r="K4153" t="s">
        <v>6099</v>
      </c>
      <c r="L4153" t="s">
        <v>6100</v>
      </c>
      <c r="M4153" t="s">
        <v>6100</v>
      </c>
      <c r="N4153">
        <v>5</v>
      </c>
      <c r="O4153" t="s">
        <v>6101</v>
      </c>
      <c r="P4153" t="s">
        <v>6113</v>
      </c>
      <c r="Q4153">
        <v>7</v>
      </c>
      <c r="R4153">
        <v>2026</v>
      </c>
      <c r="S4153" t="s">
        <v>6099</v>
      </c>
      <c r="T4153">
        <v>1</v>
      </c>
      <c r="U4153" t="s">
        <v>6018</v>
      </c>
      <c r="V4153">
        <v>1</v>
      </c>
    </row>
    <row r="4154" spans="1:22" x14ac:dyDescent="0.3">
      <c r="A4154" t="s">
        <v>4169</v>
      </c>
      <c r="B4154" s="2">
        <v>46210.686111111114</v>
      </c>
      <c r="C4154" s="2">
        <v>46211.236111111109</v>
      </c>
      <c r="D4154" t="s">
        <v>6024</v>
      </c>
      <c r="E4154" t="s">
        <v>6032</v>
      </c>
      <c r="F4154" t="s">
        <v>6034</v>
      </c>
      <c r="G4154" t="s">
        <v>6057</v>
      </c>
      <c r="H4154" t="s">
        <v>6097</v>
      </c>
      <c r="I4154">
        <v>24</v>
      </c>
      <c r="J4154">
        <v>13.2</v>
      </c>
      <c r="K4154" t="s">
        <v>6099</v>
      </c>
      <c r="L4154" t="s">
        <v>6100</v>
      </c>
      <c r="M4154" t="s">
        <v>6099</v>
      </c>
      <c r="O4154" t="s">
        <v>6101</v>
      </c>
      <c r="P4154" t="s">
        <v>6113</v>
      </c>
      <c r="Q4154">
        <v>7</v>
      </c>
      <c r="R4154">
        <v>2026</v>
      </c>
      <c r="S4154" t="s">
        <v>6099</v>
      </c>
      <c r="T4154">
        <v>1</v>
      </c>
      <c r="U4154" t="s">
        <v>6019</v>
      </c>
      <c r="V4154">
        <v>1</v>
      </c>
    </row>
    <row r="4155" spans="1:22" x14ac:dyDescent="0.3">
      <c r="A4155" t="s">
        <v>4170</v>
      </c>
      <c r="B4155" s="2">
        <v>46210.713888888888</v>
      </c>
      <c r="C4155" s="2">
        <v>46211.084722222222</v>
      </c>
      <c r="D4155" t="s">
        <v>6028</v>
      </c>
      <c r="E4155" t="s">
        <v>6031</v>
      </c>
      <c r="F4155" t="s">
        <v>6034</v>
      </c>
      <c r="G4155" t="s">
        <v>6080</v>
      </c>
      <c r="H4155" t="s">
        <v>6096</v>
      </c>
      <c r="I4155">
        <v>24</v>
      </c>
      <c r="J4155">
        <v>8.9</v>
      </c>
      <c r="K4155" t="s">
        <v>6100</v>
      </c>
      <c r="L4155" t="s">
        <v>6099</v>
      </c>
      <c r="M4155" t="s">
        <v>6099</v>
      </c>
      <c r="N4155">
        <v>2</v>
      </c>
      <c r="O4155" t="s">
        <v>6101</v>
      </c>
      <c r="P4155" t="s">
        <v>6113</v>
      </c>
      <c r="Q4155">
        <v>7</v>
      </c>
      <c r="R4155">
        <v>2026</v>
      </c>
      <c r="S4155" t="s">
        <v>6099</v>
      </c>
      <c r="T4155">
        <v>1</v>
      </c>
      <c r="U4155" t="s">
        <v>6018</v>
      </c>
      <c r="V4155">
        <v>0</v>
      </c>
    </row>
    <row r="4156" spans="1:22" x14ac:dyDescent="0.3">
      <c r="A4156" t="s">
        <v>4171</v>
      </c>
      <c r="B4156" s="2">
        <v>46210.734722222223</v>
      </c>
      <c r="C4156" s="2">
        <v>46211.005555555559</v>
      </c>
      <c r="D4156" t="s">
        <v>6023</v>
      </c>
      <c r="E4156" t="s">
        <v>6030</v>
      </c>
      <c r="F4156" t="s">
        <v>6034</v>
      </c>
      <c r="G4156" t="s">
        <v>6050</v>
      </c>
      <c r="H4156" t="s">
        <v>6098</v>
      </c>
      <c r="I4156">
        <v>24</v>
      </c>
      <c r="J4156">
        <v>6.5</v>
      </c>
      <c r="K4156" t="s">
        <v>6099</v>
      </c>
      <c r="L4156" t="s">
        <v>6100</v>
      </c>
      <c r="M4156" t="s">
        <v>6100</v>
      </c>
      <c r="N4156">
        <v>5</v>
      </c>
      <c r="O4156" t="s">
        <v>6101</v>
      </c>
      <c r="P4156" t="s">
        <v>6113</v>
      </c>
      <c r="Q4156">
        <v>7</v>
      </c>
      <c r="R4156">
        <v>2026</v>
      </c>
      <c r="S4156" t="s">
        <v>6099</v>
      </c>
      <c r="T4156">
        <v>1</v>
      </c>
      <c r="U4156" t="s">
        <v>6020</v>
      </c>
      <c r="V4156">
        <v>1</v>
      </c>
    </row>
    <row r="4157" spans="1:22" x14ac:dyDescent="0.3">
      <c r="A4157" t="s">
        <v>4172</v>
      </c>
      <c r="B4157" s="2">
        <v>46210.751388888886</v>
      </c>
      <c r="C4157" s="2">
        <v>46210.888888888891</v>
      </c>
      <c r="D4157" t="s">
        <v>6022</v>
      </c>
      <c r="E4157" t="s">
        <v>6030</v>
      </c>
      <c r="F4157" t="s">
        <v>6034</v>
      </c>
      <c r="G4157" t="s">
        <v>6093</v>
      </c>
      <c r="H4157" t="s">
        <v>6097</v>
      </c>
      <c r="I4157">
        <v>24</v>
      </c>
      <c r="J4157">
        <v>3.3</v>
      </c>
      <c r="K4157" t="s">
        <v>6099</v>
      </c>
      <c r="L4157" t="s">
        <v>6100</v>
      </c>
      <c r="M4157" t="s">
        <v>6100</v>
      </c>
      <c r="N4157">
        <v>3</v>
      </c>
      <c r="O4157" t="s">
        <v>6101</v>
      </c>
      <c r="P4157" t="s">
        <v>6113</v>
      </c>
      <c r="Q4157">
        <v>7</v>
      </c>
      <c r="R4157">
        <v>2026</v>
      </c>
      <c r="S4157" t="s">
        <v>6099</v>
      </c>
      <c r="T4157">
        <v>1</v>
      </c>
      <c r="U4157" t="s">
        <v>6020</v>
      </c>
      <c r="V4157">
        <v>1</v>
      </c>
    </row>
    <row r="4158" spans="1:22" x14ac:dyDescent="0.3">
      <c r="A4158" t="s">
        <v>4173</v>
      </c>
      <c r="B4158" s="2">
        <v>46210.78125</v>
      </c>
      <c r="C4158" s="2">
        <v>46210.98541666667</v>
      </c>
      <c r="D4158" t="s">
        <v>6028</v>
      </c>
      <c r="E4158" t="s">
        <v>6029</v>
      </c>
      <c r="F4158" t="s">
        <v>6035</v>
      </c>
      <c r="G4158" t="s">
        <v>6067</v>
      </c>
      <c r="H4158" t="s">
        <v>6098</v>
      </c>
      <c r="I4158">
        <v>4</v>
      </c>
      <c r="J4158">
        <v>4.9000000000000004</v>
      </c>
      <c r="K4158" t="s">
        <v>6100</v>
      </c>
      <c r="L4158" t="s">
        <v>6099</v>
      </c>
      <c r="M4158" t="s">
        <v>6100</v>
      </c>
      <c r="O4158" t="s">
        <v>6101</v>
      </c>
      <c r="P4158" t="s">
        <v>6113</v>
      </c>
      <c r="Q4158">
        <v>7</v>
      </c>
      <c r="R4158">
        <v>2026</v>
      </c>
      <c r="S4158" t="s">
        <v>6100</v>
      </c>
      <c r="T4158">
        <v>0</v>
      </c>
      <c r="U4158" t="s">
        <v>6020</v>
      </c>
      <c r="V4158">
        <v>0</v>
      </c>
    </row>
    <row r="4159" spans="1:22" x14ac:dyDescent="0.3">
      <c r="A4159" t="s">
        <v>4174</v>
      </c>
      <c r="B4159" s="2">
        <v>46211.059027777781</v>
      </c>
      <c r="C4159" s="2">
        <v>46211.788194444445</v>
      </c>
      <c r="D4159" t="s">
        <v>6025</v>
      </c>
      <c r="E4159" t="s">
        <v>6030</v>
      </c>
      <c r="F4159" t="s">
        <v>6033</v>
      </c>
      <c r="G4159" t="s">
        <v>6090</v>
      </c>
      <c r="H4159" t="s">
        <v>6097</v>
      </c>
      <c r="I4159">
        <v>72</v>
      </c>
      <c r="J4159">
        <v>17.5</v>
      </c>
      <c r="K4159" t="s">
        <v>6099</v>
      </c>
      <c r="L4159" t="s">
        <v>6100</v>
      </c>
      <c r="M4159" t="s">
        <v>6100</v>
      </c>
      <c r="N4159">
        <v>5</v>
      </c>
      <c r="O4159" t="s">
        <v>6101</v>
      </c>
      <c r="P4159" t="s">
        <v>6113</v>
      </c>
      <c r="Q4159">
        <v>7</v>
      </c>
      <c r="R4159">
        <v>2026</v>
      </c>
      <c r="S4159" t="s">
        <v>6099</v>
      </c>
      <c r="T4159">
        <v>1</v>
      </c>
      <c r="U4159" t="s">
        <v>6019</v>
      </c>
      <c r="V4159">
        <v>1</v>
      </c>
    </row>
    <row r="4160" spans="1:22" x14ac:dyDescent="0.3">
      <c r="A4160" t="s">
        <v>4175</v>
      </c>
      <c r="B4160" s="2">
        <v>46211.21597222222</v>
      </c>
      <c r="C4160" s="2">
        <v>46216.661805555559</v>
      </c>
      <c r="D4160" t="s">
        <v>6026</v>
      </c>
      <c r="E4160" t="s">
        <v>6031</v>
      </c>
      <c r="F4160" t="s">
        <v>6033</v>
      </c>
      <c r="G4160" t="s">
        <v>6095</v>
      </c>
      <c r="H4160" t="s">
        <v>6098</v>
      </c>
      <c r="I4160">
        <v>72</v>
      </c>
      <c r="J4160">
        <v>130.69999999999999</v>
      </c>
      <c r="K4160" t="s">
        <v>6100</v>
      </c>
      <c r="L4160" t="s">
        <v>6099</v>
      </c>
      <c r="M4160" t="s">
        <v>6100</v>
      </c>
      <c r="N4160">
        <v>3</v>
      </c>
      <c r="O4160" t="s">
        <v>6101</v>
      </c>
      <c r="P4160" t="s">
        <v>6113</v>
      </c>
      <c r="Q4160">
        <v>7</v>
      </c>
      <c r="R4160">
        <v>2026</v>
      </c>
      <c r="S4160" t="s">
        <v>6100</v>
      </c>
      <c r="T4160">
        <v>0</v>
      </c>
      <c r="U4160" t="s">
        <v>6021</v>
      </c>
      <c r="V4160">
        <v>0</v>
      </c>
    </row>
    <row r="4161" spans="1:22" x14ac:dyDescent="0.3">
      <c r="A4161" t="s">
        <v>4176</v>
      </c>
      <c r="B4161" s="2">
        <v>46211.26666666667</v>
      </c>
      <c r="C4161" s="2">
        <v>46212.208333333336</v>
      </c>
      <c r="D4161" t="s">
        <v>6024</v>
      </c>
      <c r="E4161" t="s">
        <v>6029</v>
      </c>
      <c r="F4161" t="s">
        <v>6034</v>
      </c>
      <c r="G4161" t="s">
        <v>6084</v>
      </c>
      <c r="H4161" t="s">
        <v>6098</v>
      </c>
      <c r="I4161">
        <v>24</v>
      </c>
      <c r="J4161">
        <v>22.6</v>
      </c>
      <c r="K4161" t="s">
        <v>6099</v>
      </c>
      <c r="L4161" t="s">
        <v>6100</v>
      </c>
      <c r="M4161" t="s">
        <v>6100</v>
      </c>
      <c r="N4161">
        <v>5</v>
      </c>
      <c r="O4161" t="s">
        <v>6101</v>
      </c>
      <c r="P4161" t="s">
        <v>6113</v>
      </c>
      <c r="Q4161">
        <v>7</v>
      </c>
      <c r="R4161">
        <v>2026</v>
      </c>
      <c r="S4161" t="s">
        <v>6099</v>
      </c>
      <c r="T4161">
        <v>1</v>
      </c>
      <c r="U4161" t="s">
        <v>6019</v>
      </c>
      <c r="V4161">
        <v>1</v>
      </c>
    </row>
    <row r="4162" spans="1:22" x14ac:dyDescent="0.3">
      <c r="A4162" t="s">
        <v>4177</v>
      </c>
      <c r="B4162" s="2">
        <v>46211.302777777775</v>
      </c>
      <c r="C4162" s="2">
        <v>46211.656944444447</v>
      </c>
      <c r="D4162" t="s">
        <v>6022</v>
      </c>
      <c r="E4162" t="s">
        <v>6032</v>
      </c>
      <c r="F4162" t="s">
        <v>6033</v>
      </c>
      <c r="G4162" t="s">
        <v>6071</v>
      </c>
      <c r="H4162" t="s">
        <v>6098</v>
      </c>
      <c r="I4162">
        <v>72</v>
      </c>
      <c r="J4162">
        <v>8.5</v>
      </c>
      <c r="K4162" t="s">
        <v>6100</v>
      </c>
      <c r="L4162" t="s">
        <v>6100</v>
      </c>
      <c r="M4162" t="s">
        <v>6100</v>
      </c>
      <c r="O4162" t="s">
        <v>6101</v>
      </c>
      <c r="P4162" t="s">
        <v>6113</v>
      </c>
      <c r="Q4162">
        <v>7</v>
      </c>
      <c r="R4162">
        <v>2026</v>
      </c>
      <c r="S4162" t="s">
        <v>6099</v>
      </c>
      <c r="T4162">
        <v>1</v>
      </c>
      <c r="U4162" t="s">
        <v>6020</v>
      </c>
      <c r="V4162">
        <v>0</v>
      </c>
    </row>
    <row r="4163" spans="1:22" x14ac:dyDescent="0.3">
      <c r="A4163" t="s">
        <v>4178</v>
      </c>
      <c r="B4163" s="2">
        <v>46211.421527777777</v>
      </c>
      <c r="C4163" s="2">
        <v>46212.90902777778</v>
      </c>
      <c r="D4163" t="s">
        <v>6024</v>
      </c>
      <c r="E4163" t="s">
        <v>6031</v>
      </c>
      <c r="F4163" t="s">
        <v>6033</v>
      </c>
      <c r="G4163" t="s">
        <v>6041</v>
      </c>
      <c r="H4163" t="s">
        <v>6096</v>
      </c>
      <c r="I4163">
        <v>72</v>
      </c>
      <c r="J4163">
        <v>35.700000000000003</v>
      </c>
      <c r="K4163" t="s">
        <v>6100</v>
      </c>
      <c r="L4163" t="s">
        <v>6100</v>
      </c>
      <c r="M4163" t="s">
        <v>6100</v>
      </c>
      <c r="O4163" t="s">
        <v>6101</v>
      </c>
      <c r="P4163" t="s">
        <v>6113</v>
      </c>
      <c r="Q4163">
        <v>7</v>
      </c>
      <c r="R4163">
        <v>2026</v>
      </c>
      <c r="S4163" t="s">
        <v>6099</v>
      </c>
      <c r="T4163">
        <v>1</v>
      </c>
      <c r="U4163" t="s">
        <v>6018</v>
      </c>
      <c r="V4163">
        <v>0</v>
      </c>
    </row>
    <row r="4164" spans="1:22" x14ac:dyDescent="0.3">
      <c r="A4164" t="s">
        <v>4179</v>
      </c>
      <c r="B4164" s="2">
        <v>46211.61041666667</v>
      </c>
      <c r="C4164" s="2">
        <v>46212.07708333333</v>
      </c>
      <c r="D4164" t="s">
        <v>6023</v>
      </c>
      <c r="E4164" t="s">
        <v>6029</v>
      </c>
      <c r="F4164" t="s">
        <v>6033</v>
      </c>
      <c r="G4164" t="s">
        <v>6063</v>
      </c>
      <c r="H4164" t="s">
        <v>6097</v>
      </c>
      <c r="I4164">
        <v>72</v>
      </c>
      <c r="J4164">
        <v>11.2</v>
      </c>
      <c r="K4164" t="s">
        <v>6099</v>
      </c>
      <c r="L4164" t="s">
        <v>6100</v>
      </c>
      <c r="M4164" t="s">
        <v>6100</v>
      </c>
      <c r="N4164">
        <v>5</v>
      </c>
      <c r="O4164" t="s">
        <v>6101</v>
      </c>
      <c r="P4164" t="s">
        <v>6113</v>
      </c>
      <c r="Q4164">
        <v>7</v>
      </c>
      <c r="R4164">
        <v>2026</v>
      </c>
      <c r="S4164" t="s">
        <v>6099</v>
      </c>
      <c r="T4164">
        <v>1</v>
      </c>
      <c r="U4164" t="s">
        <v>6019</v>
      </c>
      <c r="V4164">
        <v>1</v>
      </c>
    </row>
    <row r="4165" spans="1:22" x14ac:dyDescent="0.3">
      <c r="A4165" t="s">
        <v>4180</v>
      </c>
      <c r="B4165" s="2">
        <v>46211.629861111112</v>
      </c>
      <c r="C4165" s="2">
        <v>46212.292361111111</v>
      </c>
      <c r="D4165" t="s">
        <v>6025</v>
      </c>
      <c r="E4165" t="s">
        <v>6031</v>
      </c>
      <c r="F4165" t="s">
        <v>6033</v>
      </c>
      <c r="G4165" t="s">
        <v>6067</v>
      </c>
      <c r="H4165" t="s">
        <v>6098</v>
      </c>
      <c r="I4165">
        <v>72</v>
      </c>
      <c r="J4165">
        <v>15.9</v>
      </c>
      <c r="K4165" t="s">
        <v>6099</v>
      </c>
      <c r="L4165" t="s">
        <v>6100</v>
      </c>
      <c r="M4165" t="s">
        <v>6099</v>
      </c>
      <c r="N4165">
        <v>3</v>
      </c>
      <c r="O4165" t="s">
        <v>6101</v>
      </c>
      <c r="P4165" t="s">
        <v>6113</v>
      </c>
      <c r="Q4165">
        <v>7</v>
      </c>
      <c r="R4165">
        <v>2026</v>
      </c>
      <c r="S4165" t="s">
        <v>6099</v>
      </c>
      <c r="T4165">
        <v>1</v>
      </c>
      <c r="U4165" t="s">
        <v>6018</v>
      </c>
      <c r="V4165">
        <v>1</v>
      </c>
    </row>
    <row r="4166" spans="1:22" x14ac:dyDescent="0.3">
      <c r="A4166" t="s">
        <v>4181</v>
      </c>
      <c r="B4166" s="2">
        <v>46211.668749999997</v>
      </c>
      <c r="C4166" s="2">
        <v>46211.73541666667</v>
      </c>
      <c r="D4166" t="s">
        <v>6023</v>
      </c>
      <c r="E4166" t="s">
        <v>6030</v>
      </c>
      <c r="F4166" t="s">
        <v>6033</v>
      </c>
      <c r="G4166" t="s">
        <v>6089</v>
      </c>
      <c r="H4166" t="s">
        <v>6098</v>
      </c>
      <c r="I4166">
        <v>72</v>
      </c>
      <c r="J4166">
        <v>1.6</v>
      </c>
      <c r="K4166" t="s">
        <v>6100</v>
      </c>
      <c r="L4166" t="s">
        <v>6100</v>
      </c>
      <c r="M4166" t="s">
        <v>6100</v>
      </c>
      <c r="O4166" t="s">
        <v>6101</v>
      </c>
      <c r="P4166" t="s">
        <v>6113</v>
      </c>
      <c r="Q4166">
        <v>7</v>
      </c>
      <c r="R4166">
        <v>2026</v>
      </c>
      <c r="S4166" t="s">
        <v>6099</v>
      </c>
      <c r="T4166">
        <v>1</v>
      </c>
      <c r="U4166" t="s">
        <v>6021</v>
      </c>
      <c r="V4166">
        <v>0</v>
      </c>
    </row>
    <row r="4167" spans="1:22" x14ac:dyDescent="0.3">
      <c r="A4167" t="s">
        <v>4182</v>
      </c>
      <c r="B4167" s="2">
        <v>46211.740277777775</v>
      </c>
      <c r="C4167" s="2">
        <v>46211.956944444442</v>
      </c>
      <c r="D4167" t="s">
        <v>6028</v>
      </c>
      <c r="E4167" t="s">
        <v>6029</v>
      </c>
      <c r="F4167" t="s">
        <v>6034</v>
      </c>
      <c r="G4167" t="s">
        <v>6055</v>
      </c>
      <c r="H4167" t="s">
        <v>6096</v>
      </c>
      <c r="I4167">
        <v>24</v>
      </c>
      <c r="J4167">
        <v>5.2</v>
      </c>
      <c r="K4167" t="s">
        <v>6099</v>
      </c>
      <c r="L4167" t="s">
        <v>6100</v>
      </c>
      <c r="M4167" t="s">
        <v>6100</v>
      </c>
      <c r="O4167" t="s">
        <v>6101</v>
      </c>
      <c r="P4167" t="s">
        <v>6113</v>
      </c>
      <c r="Q4167">
        <v>7</v>
      </c>
      <c r="R4167">
        <v>2026</v>
      </c>
      <c r="S4167" t="s">
        <v>6099</v>
      </c>
      <c r="T4167">
        <v>1</v>
      </c>
      <c r="U4167" t="s">
        <v>6018</v>
      </c>
      <c r="V4167">
        <v>1</v>
      </c>
    </row>
    <row r="4168" spans="1:22" x14ac:dyDescent="0.3">
      <c r="A4168" t="s">
        <v>4183</v>
      </c>
      <c r="B4168" s="2">
        <v>46211.762499999997</v>
      </c>
      <c r="C4168" s="2">
        <v>46217.15</v>
      </c>
      <c r="D4168" t="s">
        <v>6022</v>
      </c>
      <c r="E4168" t="s">
        <v>6031</v>
      </c>
      <c r="F4168" t="s">
        <v>6034</v>
      </c>
      <c r="G4168" t="s">
        <v>6037</v>
      </c>
      <c r="H4168" t="s">
        <v>6096</v>
      </c>
      <c r="I4168">
        <v>24</v>
      </c>
      <c r="J4168">
        <v>129.30000000000001</v>
      </c>
      <c r="K4168" t="s">
        <v>6099</v>
      </c>
      <c r="L4168" t="s">
        <v>6100</v>
      </c>
      <c r="M4168" t="s">
        <v>6100</v>
      </c>
      <c r="O4168" t="s">
        <v>6101</v>
      </c>
      <c r="P4168" t="s">
        <v>6113</v>
      </c>
      <c r="Q4168">
        <v>7</v>
      </c>
      <c r="R4168">
        <v>2026</v>
      </c>
      <c r="S4168" t="s">
        <v>6100</v>
      </c>
      <c r="T4168">
        <v>0</v>
      </c>
      <c r="U4168" t="s">
        <v>6019</v>
      </c>
      <c r="V4168">
        <v>1</v>
      </c>
    </row>
    <row r="4169" spans="1:22" x14ac:dyDescent="0.3">
      <c r="A4169" t="s">
        <v>4184</v>
      </c>
      <c r="B4169" s="2">
        <v>46211.853472222225</v>
      </c>
      <c r="C4169" s="2">
        <v>46212.057638888888</v>
      </c>
      <c r="D4169" t="s">
        <v>6022</v>
      </c>
      <c r="E4169" t="s">
        <v>6029</v>
      </c>
      <c r="F4169" t="s">
        <v>6033</v>
      </c>
      <c r="G4169" t="s">
        <v>6090</v>
      </c>
      <c r="H4169" t="s">
        <v>6097</v>
      </c>
      <c r="I4169">
        <v>72</v>
      </c>
      <c r="J4169">
        <v>4.9000000000000004</v>
      </c>
      <c r="K4169" t="s">
        <v>6099</v>
      </c>
      <c r="L4169" t="s">
        <v>6100</v>
      </c>
      <c r="M4169" t="s">
        <v>6100</v>
      </c>
      <c r="O4169" t="s">
        <v>6101</v>
      </c>
      <c r="P4169" t="s">
        <v>6113</v>
      </c>
      <c r="Q4169">
        <v>7</v>
      </c>
      <c r="R4169">
        <v>2026</v>
      </c>
      <c r="S4169" t="s">
        <v>6099</v>
      </c>
      <c r="T4169">
        <v>1</v>
      </c>
      <c r="U4169" t="s">
        <v>6019</v>
      </c>
      <c r="V4169">
        <v>1</v>
      </c>
    </row>
    <row r="4170" spans="1:22" x14ac:dyDescent="0.3">
      <c r="A4170" t="s">
        <v>4185</v>
      </c>
      <c r="B4170" s="2">
        <v>46212.116666666669</v>
      </c>
      <c r="C4170" s="2">
        <v>46212.195833333331</v>
      </c>
      <c r="D4170" t="s">
        <v>6023</v>
      </c>
      <c r="E4170" t="s">
        <v>6029</v>
      </c>
      <c r="F4170" t="s">
        <v>6033</v>
      </c>
      <c r="G4170" t="s">
        <v>6069</v>
      </c>
      <c r="H4170" t="s">
        <v>6098</v>
      </c>
      <c r="I4170">
        <v>72</v>
      </c>
      <c r="J4170">
        <v>1.9</v>
      </c>
      <c r="K4170" t="s">
        <v>6100</v>
      </c>
      <c r="L4170" t="s">
        <v>6099</v>
      </c>
      <c r="M4170" t="s">
        <v>6099</v>
      </c>
      <c r="N4170">
        <v>5</v>
      </c>
      <c r="O4170" t="s">
        <v>6101</v>
      </c>
      <c r="P4170" t="s">
        <v>6113</v>
      </c>
      <c r="Q4170">
        <v>7</v>
      </c>
      <c r="R4170">
        <v>2026</v>
      </c>
      <c r="S4170" t="s">
        <v>6099</v>
      </c>
      <c r="T4170">
        <v>1</v>
      </c>
      <c r="U4170" t="s">
        <v>6018</v>
      </c>
      <c r="V4170">
        <v>0</v>
      </c>
    </row>
    <row r="4171" spans="1:22" x14ac:dyDescent="0.3">
      <c r="A4171" t="s">
        <v>4186</v>
      </c>
      <c r="B4171" s="2">
        <v>46212.195138888892</v>
      </c>
      <c r="C4171" s="2">
        <v>46212.390972222223</v>
      </c>
      <c r="D4171" t="s">
        <v>6023</v>
      </c>
      <c r="E4171" t="s">
        <v>6029</v>
      </c>
      <c r="F4171" t="s">
        <v>6034</v>
      </c>
      <c r="G4171" t="s">
        <v>6095</v>
      </c>
      <c r="H4171" t="s">
        <v>6098</v>
      </c>
      <c r="I4171">
        <v>24</v>
      </c>
      <c r="J4171">
        <v>4.7</v>
      </c>
      <c r="K4171" t="s">
        <v>6099</v>
      </c>
      <c r="L4171" t="s">
        <v>6100</v>
      </c>
      <c r="M4171" t="s">
        <v>6100</v>
      </c>
      <c r="N4171">
        <v>4</v>
      </c>
      <c r="O4171" t="s">
        <v>6101</v>
      </c>
      <c r="P4171" t="s">
        <v>6113</v>
      </c>
      <c r="Q4171">
        <v>7</v>
      </c>
      <c r="R4171">
        <v>2026</v>
      </c>
      <c r="S4171" t="s">
        <v>6099</v>
      </c>
      <c r="T4171">
        <v>1</v>
      </c>
      <c r="U4171" t="s">
        <v>6017</v>
      </c>
      <c r="V4171">
        <v>1</v>
      </c>
    </row>
    <row r="4172" spans="1:22" x14ac:dyDescent="0.3">
      <c r="A4172" t="s">
        <v>4187</v>
      </c>
      <c r="B4172" s="2">
        <v>46212.274305555555</v>
      </c>
      <c r="C4172" s="2">
        <v>46212.595138888886</v>
      </c>
      <c r="D4172" t="s">
        <v>6028</v>
      </c>
      <c r="E4172" t="s">
        <v>6029</v>
      </c>
      <c r="F4172" t="s">
        <v>6034</v>
      </c>
      <c r="G4172" t="s">
        <v>6072</v>
      </c>
      <c r="H4172" t="s">
        <v>6097</v>
      </c>
      <c r="I4172">
        <v>24</v>
      </c>
      <c r="J4172">
        <v>7.7</v>
      </c>
      <c r="K4172" t="s">
        <v>6100</v>
      </c>
      <c r="L4172" t="s">
        <v>6100</v>
      </c>
      <c r="M4172" t="s">
        <v>6100</v>
      </c>
      <c r="O4172" t="s">
        <v>6101</v>
      </c>
      <c r="P4172" t="s">
        <v>6113</v>
      </c>
      <c r="Q4172">
        <v>7</v>
      </c>
      <c r="R4172">
        <v>2026</v>
      </c>
      <c r="S4172" t="s">
        <v>6099</v>
      </c>
      <c r="T4172">
        <v>1</v>
      </c>
      <c r="U4172" t="s">
        <v>6020</v>
      </c>
      <c r="V4172">
        <v>0</v>
      </c>
    </row>
    <row r="4173" spans="1:22" x14ac:dyDescent="0.3">
      <c r="A4173" t="s">
        <v>4188</v>
      </c>
      <c r="B4173" s="2">
        <v>46212.300694444442</v>
      </c>
      <c r="C4173" s="2">
        <v>46212.696527777778</v>
      </c>
      <c r="D4173" t="s">
        <v>6028</v>
      </c>
      <c r="E4173" t="s">
        <v>6030</v>
      </c>
      <c r="F4173" t="s">
        <v>6034</v>
      </c>
      <c r="G4173" t="s">
        <v>6079</v>
      </c>
      <c r="H4173" t="s">
        <v>6097</v>
      </c>
      <c r="I4173">
        <v>24</v>
      </c>
      <c r="J4173">
        <v>9.5</v>
      </c>
      <c r="K4173" t="s">
        <v>6099</v>
      </c>
      <c r="L4173" t="s">
        <v>6100</v>
      </c>
      <c r="M4173" t="s">
        <v>6100</v>
      </c>
      <c r="N4173">
        <v>5</v>
      </c>
      <c r="O4173" t="s">
        <v>6101</v>
      </c>
      <c r="P4173" t="s">
        <v>6113</v>
      </c>
      <c r="Q4173">
        <v>7</v>
      </c>
      <c r="R4173">
        <v>2026</v>
      </c>
      <c r="S4173" t="s">
        <v>6099</v>
      </c>
      <c r="T4173">
        <v>1</v>
      </c>
      <c r="U4173" t="s">
        <v>6018</v>
      </c>
      <c r="V4173">
        <v>1</v>
      </c>
    </row>
    <row r="4174" spans="1:22" x14ac:dyDescent="0.3">
      <c r="A4174" t="s">
        <v>4189</v>
      </c>
      <c r="B4174" s="2">
        <v>46212.307638888888</v>
      </c>
      <c r="C4174" s="2">
        <v>46213.386805555558</v>
      </c>
      <c r="D4174" t="s">
        <v>6025</v>
      </c>
      <c r="E4174" t="s">
        <v>6031</v>
      </c>
      <c r="F4174" t="s">
        <v>6035</v>
      </c>
      <c r="G4174" t="s">
        <v>6055</v>
      </c>
      <c r="H4174" t="s">
        <v>6096</v>
      </c>
      <c r="I4174">
        <v>4</v>
      </c>
      <c r="J4174">
        <v>25.9</v>
      </c>
      <c r="K4174" t="s">
        <v>6100</v>
      </c>
      <c r="L4174" t="s">
        <v>6100</v>
      </c>
      <c r="M4174" t="s">
        <v>6100</v>
      </c>
      <c r="O4174" t="s">
        <v>6101</v>
      </c>
      <c r="P4174" t="s">
        <v>6113</v>
      </c>
      <c r="Q4174">
        <v>7</v>
      </c>
      <c r="R4174">
        <v>2026</v>
      </c>
      <c r="S4174" t="s">
        <v>6100</v>
      </c>
      <c r="T4174">
        <v>0</v>
      </c>
      <c r="U4174" t="s">
        <v>6017</v>
      </c>
      <c r="V4174">
        <v>0</v>
      </c>
    </row>
    <row r="4175" spans="1:22" x14ac:dyDescent="0.3">
      <c r="A4175" t="s">
        <v>4190</v>
      </c>
      <c r="B4175" s="2">
        <v>46212.345833333333</v>
      </c>
      <c r="C4175" s="2">
        <v>46212.824999999997</v>
      </c>
      <c r="D4175" t="s">
        <v>6025</v>
      </c>
      <c r="E4175" t="s">
        <v>6029</v>
      </c>
      <c r="F4175" t="s">
        <v>6033</v>
      </c>
      <c r="G4175" t="s">
        <v>6066</v>
      </c>
      <c r="H4175" t="s">
        <v>6096</v>
      </c>
      <c r="I4175">
        <v>72</v>
      </c>
      <c r="J4175">
        <v>11.5</v>
      </c>
      <c r="K4175" t="s">
        <v>6099</v>
      </c>
      <c r="L4175" t="s">
        <v>6100</v>
      </c>
      <c r="M4175" t="s">
        <v>6100</v>
      </c>
      <c r="O4175" t="s">
        <v>6101</v>
      </c>
      <c r="P4175" t="s">
        <v>6113</v>
      </c>
      <c r="Q4175">
        <v>7</v>
      </c>
      <c r="R4175">
        <v>2026</v>
      </c>
      <c r="S4175" t="s">
        <v>6099</v>
      </c>
      <c r="T4175">
        <v>1</v>
      </c>
      <c r="U4175" t="s">
        <v>6020</v>
      </c>
      <c r="V4175">
        <v>1</v>
      </c>
    </row>
    <row r="4176" spans="1:22" x14ac:dyDescent="0.3">
      <c r="A4176" t="s">
        <v>4191</v>
      </c>
      <c r="B4176" s="2">
        <v>46212.34652777778</v>
      </c>
      <c r="C4176" s="2">
        <v>46212.842361111114</v>
      </c>
      <c r="D4176" t="s">
        <v>6025</v>
      </c>
      <c r="E4176" t="s">
        <v>6030</v>
      </c>
      <c r="F4176" t="s">
        <v>6035</v>
      </c>
      <c r="G4176" t="s">
        <v>6047</v>
      </c>
      <c r="H4176" t="s">
        <v>6098</v>
      </c>
      <c r="I4176">
        <v>4</v>
      </c>
      <c r="J4176">
        <v>11.9</v>
      </c>
      <c r="K4176" t="s">
        <v>6099</v>
      </c>
      <c r="L4176" t="s">
        <v>6100</v>
      </c>
      <c r="M4176" t="s">
        <v>6099</v>
      </c>
      <c r="N4176">
        <v>4</v>
      </c>
      <c r="O4176" t="s">
        <v>6101</v>
      </c>
      <c r="P4176" t="s">
        <v>6113</v>
      </c>
      <c r="Q4176">
        <v>7</v>
      </c>
      <c r="R4176">
        <v>2026</v>
      </c>
      <c r="S4176" t="s">
        <v>6100</v>
      </c>
      <c r="T4176">
        <v>0</v>
      </c>
      <c r="U4176" t="s">
        <v>6017</v>
      </c>
      <c r="V4176">
        <v>1</v>
      </c>
    </row>
    <row r="4177" spans="1:22" x14ac:dyDescent="0.3">
      <c r="A4177" t="s">
        <v>4192</v>
      </c>
      <c r="B4177" s="2">
        <v>46212.42291666667</v>
      </c>
      <c r="C4177" s="2">
        <v>46216.539583333331</v>
      </c>
      <c r="D4177" t="s">
        <v>6026</v>
      </c>
      <c r="E4177" t="s">
        <v>6031</v>
      </c>
      <c r="F4177" t="s">
        <v>6034</v>
      </c>
      <c r="G4177" t="s">
        <v>6042</v>
      </c>
      <c r="H4177" t="s">
        <v>6098</v>
      </c>
      <c r="I4177">
        <v>24</v>
      </c>
      <c r="J4177">
        <v>98.8</v>
      </c>
      <c r="K4177" t="s">
        <v>6099</v>
      </c>
      <c r="L4177" t="s">
        <v>6100</v>
      </c>
      <c r="M4177" t="s">
        <v>6099</v>
      </c>
      <c r="N4177">
        <v>4</v>
      </c>
      <c r="O4177" t="s">
        <v>6101</v>
      </c>
      <c r="P4177" t="s">
        <v>6113</v>
      </c>
      <c r="Q4177">
        <v>7</v>
      </c>
      <c r="R4177">
        <v>2026</v>
      </c>
      <c r="S4177" t="s">
        <v>6100</v>
      </c>
      <c r="T4177">
        <v>0</v>
      </c>
      <c r="U4177" t="s">
        <v>6021</v>
      </c>
      <c r="V4177">
        <v>1</v>
      </c>
    </row>
    <row r="4178" spans="1:22" x14ac:dyDescent="0.3">
      <c r="A4178" t="s">
        <v>4193</v>
      </c>
      <c r="B4178" s="2">
        <v>46212.431250000001</v>
      </c>
      <c r="C4178" s="2">
        <v>46212.872916666667</v>
      </c>
      <c r="D4178" t="s">
        <v>6028</v>
      </c>
      <c r="E4178" t="s">
        <v>6031</v>
      </c>
      <c r="F4178" t="s">
        <v>6034</v>
      </c>
      <c r="G4178" t="s">
        <v>6040</v>
      </c>
      <c r="H4178" t="s">
        <v>6097</v>
      </c>
      <c r="I4178">
        <v>24</v>
      </c>
      <c r="J4178">
        <v>10.6</v>
      </c>
      <c r="K4178" t="s">
        <v>6099</v>
      </c>
      <c r="L4178" t="s">
        <v>6100</v>
      </c>
      <c r="M4178" t="s">
        <v>6100</v>
      </c>
      <c r="N4178">
        <v>5</v>
      </c>
      <c r="O4178" t="s">
        <v>6101</v>
      </c>
      <c r="P4178" t="s">
        <v>6113</v>
      </c>
      <c r="Q4178">
        <v>7</v>
      </c>
      <c r="R4178">
        <v>2026</v>
      </c>
      <c r="S4178" t="s">
        <v>6099</v>
      </c>
      <c r="T4178">
        <v>1</v>
      </c>
      <c r="U4178" t="s">
        <v>6017</v>
      </c>
      <c r="V4178">
        <v>1</v>
      </c>
    </row>
    <row r="4179" spans="1:22" x14ac:dyDescent="0.3">
      <c r="A4179" t="s">
        <v>4194</v>
      </c>
      <c r="B4179" s="2">
        <v>46212.438194444447</v>
      </c>
      <c r="C4179" s="2">
        <v>46213.192361111112</v>
      </c>
      <c r="D4179" t="s">
        <v>6024</v>
      </c>
      <c r="E4179" t="s">
        <v>6031</v>
      </c>
      <c r="F4179" t="s">
        <v>6035</v>
      </c>
      <c r="G4179" t="s">
        <v>6043</v>
      </c>
      <c r="H4179" t="s">
        <v>6097</v>
      </c>
      <c r="I4179">
        <v>4</v>
      </c>
      <c r="J4179">
        <v>18.100000000000001</v>
      </c>
      <c r="K4179" t="s">
        <v>6099</v>
      </c>
      <c r="L4179" t="s">
        <v>6100</v>
      </c>
      <c r="M4179" t="s">
        <v>6100</v>
      </c>
      <c r="N4179">
        <v>3</v>
      </c>
      <c r="O4179" t="s">
        <v>6101</v>
      </c>
      <c r="P4179" t="s">
        <v>6113</v>
      </c>
      <c r="Q4179">
        <v>7</v>
      </c>
      <c r="R4179">
        <v>2026</v>
      </c>
      <c r="S4179" t="s">
        <v>6100</v>
      </c>
      <c r="T4179">
        <v>0</v>
      </c>
      <c r="U4179" t="s">
        <v>6017</v>
      </c>
      <c r="V4179">
        <v>1</v>
      </c>
    </row>
    <row r="4180" spans="1:22" x14ac:dyDescent="0.3">
      <c r="A4180" t="s">
        <v>4195</v>
      </c>
      <c r="B4180" s="2">
        <v>46212.454861111109</v>
      </c>
      <c r="C4180" s="2">
        <v>46214.28402777778</v>
      </c>
      <c r="D4180" t="s">
        <v>6022</v>
      </c>
      <c r="E4180" t="s">
        <v>6031</v>
      </c>
      <c r="F4180" t="s">
        <v>6034</v>
      </c>
      <c r="G4180" t="s">
        <v>6051</v>
      </c>
      <c r="H4180" t="s">
        <v>6097</v>
      </c>
      <c r="I4180">
        <v>24</v>
      </c>
      <c r="J4180">
        <v>43.9</v>
      </c>
      <c r="K4180" t="s">
        <v>6099</v>
      </c>
      <c r="L4180" t="s">
        <v>6100</v>
      </c>
      <c r="M4180" t="s">
        <v>6100</v>
      </c>
      <c r="N4180">
        <v>5</v>
      </c>
      <c r="O4180" t="s">
        <v>6101</v>
      </c>
      <c r="P4180" t="s">
        <v>6113</v>
      </c>
      <c r="Q4180">
        <v>7</v>
      </c>
      <c r="R4180">
        <v>2026</v>
      </c>
      <c r="S4180" t="s">
        <v>6100</v>
      </c>
      <c r="T4180">
        <v>0</v>
      </c>
      <c r="U4180" t="s">
        <v>6020</v>
      </c>
      <c r="V4180">
        <v>1</v>
      </c>
    </row>
    <row r="4181" spans="1:22" x14ac:dyDescent="0.3">
      <c r="A4181" t="s">
        <v>4196</v>
      </c>
      <c r="B4181" s="2">
        <v>46212.459027777775</v>
      </c>
      <c r="C4181" s="2">
        <v>46212.884027777778</v>
      </c>
      <c r="D4181" t="s">
        <v>6027</v>
      </c>
      <c r="E4181" t="s">
        <v>6030</v>
      </c>
      <c r="F4181" t="s">
        <v>6033</v>
      </c>
      <c r="G4181" t="s">
        <v>6083</v>
      </c>
      <c r="H4181" t="s">
        <v>6096</v>
      </c>
      <c r="I4181">
        <v>72</v>
      </c>
      <c r="J4181">
        <v>10.199999999999999</v>
      </c>
      <c r="K4181" t="s">
        <v>6100</v>
      </c>
      <c r="L4181" t="s">
        <v>6099</v>
      </c>
      <c r="M4181" t="s">
        <v>6100</v>
      </c>
      <c r="N4181">
        <v>5</v>
      </c>
      <c r="O4181" t="s">
        <v>6101</v>
      </c>
      <c r="P4181" t="s">
        <v>6113</v>
      </c>
      <c r="Q4181">
        <v>7</v>
      </c>
      <c r="R4181">
        <v>2026</v>
      </c>
      <c r="S4181" t="s">
        <v>6099</v>
      </c>
      <c r="T4181">
        <v>1</v>
      </c>
      <c r="U4181" t="s">
        <v>6021</v>
      </c>
      <c r="V4181">
        <v>0</v>
      </c>
    </row>
    <row r="4182" spans="1:22" x14ac:dyDescent="0.3">
      <c r="A4182" t="s">
        <v>4197</v>
      </c>
      <c r="B4182" s="2">
        <v>46212.46597222222</v>
      </c>
      <c r="C4182" s="2">
        <v>46213.120138888888</v>
      </c>
      <c r="D4182" t="s">
        <v>6025</v>
      </c>
      <c r="E4182" t="s">
        <v>6030</v>
      </c>
      <c r="F4182" t="s">
        <v>6033</v>
      </c>
      <c r="G4182" t="s">
        <v>6092</v>
      </c>
      <c r="H4182" t="s">
        <v>6097</v>
      </c>
      <c r="I4182">
        <v>72</v>
      </c>
      <c r="J4182">
        <v>15.7</v>
      </c>
      <c r="K4182" t="s">
        <v>6099</v>
      </c>
      <c r="L4182" t="s">
        <v>6100</v>
      </c>
      <c r="M4182" t="s">
        <v>6100</v>
      </c>
      <c r="O4182" t="s">
        <v>6101</v>
      </c>
      <c r="P4182" t="s">
        <v>6113</v>
      </c>
      <c r="Q4182">
        <v>7</v>
      </c>
      <c r="R4182">
        <v>2026</v>
      </c>
      <c r="S4182" t="s">
        <v>6099</v>
      </c>
      <c r="T4182">
        <v>1</v>
      </c>
      <c r="U4182" t="s">
        <v>6019</v>
      </c>
      <c r="V4182">
        <v>1</v>
      </c>
    </row>
    <row r="4183" spans="1:22" x14ac:dyDescent="0.3">
      <c r="A4183" t="s">
        <v>4198</v>
      </c>
      <c r="B4183" s="2">
        <v>46212.47152777778</v>
      </c>
      <c r="C4183" s="2">
        <v>46213.467361111114</v>
      </c>
      <c r="D4183" t="s">
        <v>6023</v>
      </c>
      <c r="E4183" t="s">
        <v>6032</v>
      </c>
      <c r="F4183" t="s">
        <v>6033</v>
      </c>
      <c r="G4183" t="s">
        <v>6055</v>
      </c>
      <c r="H4183" t="s">
        <v>6096</v>
      </c>
      <c r="I4183">
        <v>72</v>
      </c>
      <c r="J4183">
        <v>23.9</v>
      </c>
      <c r="K4183" t="s">
        <v>6099</v>
      </c>
      <c r="L4183" t="s">
        <v>6100</v>
      </c>
      <c r="M4183" t="s">
        <v>6100</v>
      </c>
      <c r="O4183" t="s">
        <v>6101</v>
      </c>
      <c r="P4183" t="s">
        <v>6113</v>
      </c>
      <c r="Q4183">
        <v>7</v>
      </c>
      <c r="R4183">
        <v>2026</v>
      </c>
      <c r="S4183" t="s">
        <v>6099</v>
      </c>
      <c r="T4183">
        <v>1</v>
      </c>
      <c r="U4183" t="s">
        <v>6021</v>
      </c>
      <c r="V4183">
        <v>1</v>
      </c>
    </row>
    <row r="4184" spans="1:22" x14ac:dyDescent="0.3">
      <c r="A4184" t="s">
        <v>4199</v>
      </c>
      <c r="B4184" s="2">
        <v>46212.478472222225</v>
      </c>
      <c r="C4184" s="2">
        <v>46212.720138888886</v>
      </c>
      <c r="D4184" t="s">
        <v>6022</v>
      </c>
      <c r="E4184" t="s">
        <v>6029</v>
      </c>
      <c r="F4184" t="s">
        <v>6033</v>
      </c>
      <c r="G4184" t="s">
        <v>6067</v>
      </c>
      <c r="H4184" t="s">
        <v>6098</v>
      </c>
      <c r="I4184">
        <v>72</v>
      </c>
      <c r="J4184">
        <v>5.8</v>
      </c>
      <c r="K4184" t="s">
        <v>6099</v>
      </c>
      <c r="L4184" t="s">
        <v>6100</v>
      </c>
      <c r="M4184" t="s">
        <v>6100</v>
      </c>
      <c r="O4184" t="s">
        <v>6101</v>
      </c>
      <c r="P4184" t="s">
        <v>6113</v>
      </c>
      <c r="Q4184">
        <v>7</v>
      </c>
      <c r="R4184">
        <v>2026</v>
      </c>
      <c r="S4184" t="s">
        <v>6099</v>
      </c>
      <c r="T4184">
        <v>1</v>
      </c>
      <c r="U4184" t="s">
        <v>6020</v>
      </c>
      <c r="V4184">
        <v>1</v>
      </c>
    </row>
    <row r="4185" spans="1:22" x14ac:dyDescent="0.3">
      <c r="A4185" t="s">
        <v>4200</v>
      </c>
      <c r="B4185" s="2">
        <v>46212.522222222222</v>
      </c>
      <c r="C4185" s="2">
        <v>46212.743055555555</v>
      </c>
      <c r="D4185" t="s">
        <v>6025</v>
      </c>
      <c r="E4185" t="s">
        <v>6029</v>
      </c>
      <c r="F4185" t="s">
        <v>6033</v>
      </c>
      <c r="G4185" t="s">
        <v>6086</v>
      </c>
      <c r="H4185" t="s">
        <v>6098</v>
      </c>
      <c r="I4185">
        <v>72</v>
      </c>
      <c r="J4185">
        <v>5.3</v>
      </c>
      <c r="K4185" t="s">
        <v>6099</v>
      </c>
      <c r="L4185" t="s">
        <v>6100</v>
      </c>
      <c r="M4185" t="s">
        <v>6100</v>
      </c>
      <c r="N4185">
        <v>4</v>
      </c>
      <c r="O4185" t="s">
        <v>6101</v>
      </c>
      <c r="P4185" t="s">
        <v>6113</v>
      </c>
      <c r="Q4185">
        <v>7</v>
      </c>
      <c r="R4185">
        <v>2026</v>
      </c>
      <c r="S4185" t="s">
        <v>6099</v>
      </c>
      <c r="T4185">
        <v>1</v>
      </c>
      <c r="U4185" t="s">
        <v>6017</v>
      </c>
      <c r="V4185">
        <v>1</v>
      </c>
    </row>
    <row r="4186" spans="1:22" x14ac:dyDescent="0.3">
      <c r="A4186" t="s">
        <v>4201</v>
      </c>
      <c r="B4186" s="2">
        <v>46212.57708333333</v>
      </c>
      <c r="C4186" s="2">
        <v>46212.96875</v>
      </c>
      <c r="D4186" t="s">
        <v>6022</v>
      </c>
      <c r="E4186" t="s">
        <v>6029</v>
      </c>
      <c r="F4186" t="s">
        <v>6033</v>
      </c>
      <c r="G4186" t="s">
        <v>6064</v>
      </c>
      <c r="H4186" t="s">
        <v>6096</v>
      </c>
      <c r="I4186">
        <v>72</v>
      </c>
      <c r="J4186">
        <v>9.4</v>
      </c>
      <c r="K4186" t="s">
        <v>6100</v>
      </c>
      <c r="L4186" t="s">
        <v>6100</v>
      </c>
      <c r="M4186" t="s">
        <v>6100</v>
      </c>
      <c r="O4186" t="s">
        <v>6101</v>
      </c>
      <c r="P4186" t="s">
        <v>6113</v>
      </c>
      <c r="Q4186">
        <v>7</v>
      </c>
      <c r="R4186">
        <v>2026</v>
      </c>
      <c r="S4186" t="s">
        <v>6099</v>
      </c>
      <c r="T4186">
        <v>1</v>
      </c>
      <c r="U4186" t="s">
        <v>6018</v>
      </c>
      <c r="V4186">
        <v>0</v>
      </c>
    </row>
    <row r="4187" spans="1:22" x14ac:dyDescent="0.3">
      <c r="A4187" t="s">
        <v>4202</v>
      </c>
      <c r="B4187" s="2">
        <v>46212.587500000001</v>
      </c>
      <c r="C4187" s="2">
        <v>46212.666666666664</v>
      </c>
      <c r="D4187" t="s">
        <v>6023</v>
      </c>
      <c r="E4187" t="s">
        <v>6029</v>
      </c>
      <c r="F4187" t="s">
        <v>6034</v>
      </c>
      <c r="G4187" t="s">
        <v>6087</v>
      </c>
      <c r="H4187" t="s">
        <v>6098</v>
      </c>
      <c r="I4187">
        <v>24</v>
      </c>
      <c r="J4187">
        <v>1.9</v>
      </c>
      <c r="K4187" t="s">
        <v>6099</v>
      </c>
      <c r="L4187" t="s">
        <v>6100</v>
      </c>
      <c r="M4187" t="s">
        <v>6100</v>
      </c>
      <c r="O4187" t="s">
        <v>6101</v>
      </c>
      <c r="P4187" t="s">
        <v>6113</v>
      </c>
      <c r="Q4187">
        <v>7</v>
      </c>
      <c r="R4187">
        <v>2026</v>
      </c>
      <c r="S4187" t="s">
        <v>6099</v>
      </c>
      <c r="T4187">
        <v>1</v>
      </c>
      <c r="U4187" t="s">
        <v>6018</v>
      </c>
      <c r="V4187">
        <v>1</v>
      </c>
    </row>
    <row r="4188" spans="1:22" x14ac:dyDescent="0.3">
      <c r="A4188" t="s">
        <v>4203</v>
      </c>
      <c r="B4188" s="2">
        <v>46212.599305555559</v>
      </c>
      <c r="C4188" s="2">
        <v>46213.365972222222</v>
      </c>
      <c r="D4188" t="s">
        <v>6022</v>
      </c>
      <c r="E4188" t="s">
        <v>6029</v>
      </c>
      <c r="F4188" t="s">
        <v>6034</v>
      </c>
      <c r="G4188" t="s">
        <v>6075</v>
      </c>
      <c r="H4188" t="s">
        <v>6097</v>
      </c>
      <c r="I4188">
        <v>24</v>
      </c>
      <c r="J4188">
        <v>18.399999999999999</v>
      </c>
      <c r="K4188" t="s">
        <v>6100</v>
      </c>
      <c r="L4188" t="s">
        <v>6100</v>
      </c>
      <c r="M4188" t="s">
        <v>6100</v>
      </c>
      <c r="N4188">
        <v>4</v>
      </c>
      <c r="O4188" t="s">
        <v>6101</v>
      </c>
      <c r="P4188" t="s">
        <v>6113</v>
      </c>
      <c r="Q4188">
        <v>7</v>
      </c>
      <c r="R4188">
        <v>2026</v>
      </c>
      <c r="S4188" t="s">
        <v>6099</v>
      </c>
      <c r="T4188">
        <v>1</v>
      </c>
      <c r="U4188" t="s">
        <v>6021</v>
      </c>
      <c r="V4188">
        <v>0</v>
      </c>
    </row>
    <row r="4189" spans="1:22" x14ac:dyDescent="0.3">
      <c r="A4189" t="s">
        <v>4204</v>
      </c>
      <c r="B4189" s="2">
        <v>46212.728472222225</v>
      </c>
      <c r="C4189" s="2">
        <v>46212.861805555556</v>
      </c>
      <c r="D4189" t="s">
        <v>6028</v>
      </c>
      <c r="E4189" t="s">
        <v>6030</v>
      </c>
      <c r="F4189" t="s">
        <v>6035</v>
      </c>
      <c r="G4189" t="s">
        <v>6068</v>
      </c>
      <c r="H4189" t="s">
        <v>6098</v>
      </c>
      <c r="I4189">
        <v>4</v>
      </c>
      <c r="J4189">
        <v>3.2</v>
      </c>
      <c r="K4189" t="s">
        <v>6099</v>
      </c>
      <c r="L4189" t="s">
        <v>6100</v>
      </c>
      <c r="M4189" t="s">
        <v>6100</v>
      </c>
      <c r="N4189">
        <v>5</v>
      </c>
      <c r="O4189" t="s">
        <v>6101</v>
      </c>
      <c r="P4189" t="s">
        <v>6113</v>
      </c>
      <c r="Q4189">
        <v>7</v>
      </c>
      <c r="R4189">
        <v>2026</v>
      </c>
      <c r="S4189" t="s">
        <v>6099</v>
      </c>
      <c r="T4189">
        <v>1</v>
      </c>
      <c r="U4189" t="s">
        <v>6021</v>
      </c>
      <c r="V4189">
        <v>1</v>
      </c>
    </row>
    <row r="4190" spans="1:22" x14ac:dyDescent="0.3">
      <c r="A4190" t="s">
        <v>4205</v>
      </c>
      <c r="B4190" s="2">
        <v>46212.752083333333</v>
      </c>
      <c r="C4190" s="2">
        <v>46213.010416666664</v>
      </c>
      <c r="D4190" t="s">
        <v>6028</v>
      </c>
      <c r="E4190" t="s">
        <v>6029</v>
      </c>
      <c r="F4190" t="s">
        <v>6033</v>
      </c>
      <c r="G4190" t="s">
        <v>6083</v>
      </c>
      <c r="H4190" t="s">
        <v>6096</v>
      </c>
      <c r="I4190">
        <v>72</v>
      </c>
      <c r="J4190">
        <v>6.2</v>
      </c>
      <c r="K4190" t="s">
        <v>6100</v>
      </c>
      <c r="L4190" t="s">
        <v>6099</v>
      </c>
      <c r="M4190" t="s">
        <v>6100</v>
      </c>
      <c r="N4190">
        <v>2</v>
      </c>
      <c r="O4190" t="s">
        <v>6101</v>
      </c>
      <c r="P4190" t="s">
        <v>6113</v>
      </c>
      <c r="Q4190">
        <v>7</v>
      </c>
      <c r="R4190">
        <v>2026</v>
      </c>
      <c r="S4190" t="s">
        <v>6099</v>
      </c>
      <c r="T4190">
        <v>1</v>
      </c>
      <c r="U4190" t="s">
        <v>6018</v>
      </c>
      <c r="V4190">
        <v>0</v>
      </c>
    </row>
    <row r="4191" spans="1:22" x14ac:dyDescent="0.3">
      <c r="A4191" t="s">
        <v>4206</v>
      </c>
      <c r="B4191" s="2">
        <v>46212.769444444442</v>
      </c>
      <c r="C4191" s="2">
        <v>46212.923611111109</v>
      </c>
      <c r="D4191" t="s">
        <v>6027</v>
      </c>
      <c r="E4191" t="s">
        <v>6030</v>
      </c>
      <c r="F4191" t="s">
        <v>6034</v>
      </c>
      <c r="G4191" t="s">
        <v>6067</v>
      </c>
      <c r="H4191" t="s">
        <v>6098</v>
      </c>
      <c r="I4191">
        <v>24</v>
      </c>
      <c r="J4191">
        <v>3.7</v>
      </c>
      <c r="K4191" t="s">
        <v>6099</v>
      </c>
      <c r="L4191" t="s">
        <v>6100</v>
      </c>
      <c r="M4191" t="s">
        <v>6100</v>
      </c>
      <c r="N4191">
        <v>5</v>
      </c>
      <c r="O4191" t="s">
        <v>6101</v>
      </c>
      <c r="P4191" t="s">
        <v>6113</v>
      </c>
      <c r="Q4191">
        <v>7</v>
      </c>
      <c r="R4191">
        <v>2026</v>
      </c>
      <c r="S4191" t="s">
        <v>6099</v>
      </c>
      <c r="T4191">
        <v>1</v>
      </c>
      <c r="U4191" t="s">
        <v>6021</v>
      </c>
      <c r="V4191">
        <v>1</v>
      </c>
    </row>
    <row r="4192" spans="1:22" x14ac:dyDescent="0.3">
      <c r="A4192" t="s">
        <v>4207</v>
      </c>
      <c r="B4192" s="2">
        <v>46212.836111111108</v>
      </c>
      <c r="C4192" s="2">
        <v>46213.173611111109</v>
      </c>
      <c r="D4192" t="s">
        <v>6025</v>
      </c>
      <c r="E4192" t="s">
        <v>6030</v>
      </c>
      <c r="F4192" t="s">
        <v>6034</v>
      </c>
      <c r="G4192" t="s">
        <v>6068</v>
      </c>
      <c r="H4192" t="s">
        <v>6098</v>
      </c>
      <c r="I4192">
        <v>24</v>
      </c>
      <c r="J4192">
        <v>8.1</v>
      </c>
      <c r="K4192" t="s">
        <v>6099</v>
      </c>
      <c r="L4192" t="s">
        <v>6100</v>
      </c>
      <c r="M4192" t="s">
        <v>6100</v>
      </c>
      <c r="N4192">
        <v>5</v>
      </c>
      <c r="O4192" t="s">
        <v>6101</v>
      </c>
      <c r="P4192" t="s">
        <v>6113</v>
      </c>
      <c r="Q4192">
        <v>7</v>
      </c>
      <c r="R4192">
        <v>2026</v>
      </c>
      <c r="S4192" t="s">
        <v>6099</v>
      </c>
      <c r="T4192">
        <v>1</v>
      </c>
      <c r="U4192" t="s">
        <v>6020</v>
      </c>
      <c r="V4192">
        <v>1</v>
      </c>
    </row>
    <row r="4193" spans="1:22" x14ac:dyDescent="0.3">
      <c r="A4193" t="s">
        <v>4208</v>
      </c>
      <c r="B4193" s="2">
        <v>46212.838194444441</v>
      </c>
      <c r="C4193" s="2">
        <v>46212.950694444444</v>
      </c>
      <c r="D4193" t="s">
        <v>6028</v>
      </c>
      <c r="E4193" t="s">
        <v>6030</v>
      </c>
      <c r="F4193" t="s">
        <v>6033</v>
      </c>
      <c r="G4193" t="s">
        <v>6082</v>
      </c>
      <c r="H4193" t="s">
        <v>6097</v>
      </c>
      <c r="I4193">
        <v>72</v>
      </c>
      <c r="J4193">
        <v>2.7</v>
      </c>
      <c r="K4193" t="s">
        <v>6099</v>
      </c>
      <c r="L4193" t="s">
        <v>6100</v>
      </c>
      <c r="M4193" t="s">
        <v>6100</v>
      </c>
      <c r="N4193">
        <v>4</v>
      </c>
      <c r="O4193" t="s">
        <v>6101</v>
      </c>
      <c r="P4193" t="s">
        <v>6113</v>
      </c>
      <c r="Q4193">
        <v>7</v>
      </c>
      <c r="R4193">
        <v>2026</v>
      </c>
      <c r="S4193" t="s">
        <v>6099</v>
      </c>
      <c r="T4193">
        <v>1</v>
      </c>
      <c r="U4193" t="s">
        <v>6018</v>
      </c>
      <c r="V4193">
        <v>1</v>
      </c>
    </row>
    <row r="4194" spans="1:22" x14ac:dyDescent="0.3">
      <c r="A4194" t="s">
        <v>4209</v>
      </c>
      <c r="B4194" s="2">
        <v>46213.052777777775</v>
      </c>
      <c r="C4194" s="2">
        <v>46213.611111111109</v>
      </c>
      <c r="D4194" t="s">
        <v>6028</v>
      </c>
      <c r="E4194" t="s">
        <v>6029</v>
      </c>
      <c r="F4194" t="s">
        <v>6034</v>
      </c>
      <c r="G4194" t="s">
        <v>6048</v>
      </c>
      <c r="H4194" t="s">
        <v>6096</v>
      </c>
      <c r="I4194">
        <v>24</v>
      </c>
      <c r="J4194">
        <v>13.4</v>
      </c>
      <c r="K4194" t="s">
        <v>6099</v>
      </c>
      <c r="L4194" t="s">
        <v>6100</v>
      </c>
      <c r="M4194" t="s">
        <v>6099</v>
      </c>
      <c r="O4194" t="s">
        <v>6101</v>
      </c>
      <c r="P4194" t="s">
        <v>6113</v>
      </c>
      <c r="Q4194">
        <v>7</v>
      </c>
      <c r="R4194">
        <v>2026</v>
      </c>
      <c r="S4194" t="s">
        <v>6099</v>
      </c>
      <c r="T4194">
        <v>1</v>
      </c>
      <c r="U4194" t="s">
        <v>6018</v>
      </c>
      <c r="V4194">
        <v>1</v>
      </c>
    </row>
    <row r="4195" spans="1:22" x14ac:dyDescent="0.3">
      <c r="A4195" t="s">
        <v>4210</v>
      </c>
      <c r="B4195" s="2">
        <v>46213.300694444442</v>
      </c>
      <c r="C4195" s="2">
        <v>46219.225694444445</v>
      </c>
      <c r="D4195" t="s">
        <v>6024</v>
      </c>
      <c r="E4195" t="s">
        <v>6032</v>
      </c>
      <c r="F4195" t="s">
        <v>6034</v>
      </c>
      <c r="G4195" t="s">
        <v>6048</v>
      </c>
      <c r="H4195" t="s">
        <v>6096</v>
      </c>
      <c r="I4195">
        <v>24</v>
      </c>
      <c r="J4195">
        <v>142.19999999999999</v>
      </c>
      <c r="K4195" t="s">
        <v>6099</v>
      </c>
      <c r="L4195" t="s">
        <v>6100</v>
      </c>
      <c r="M4195" t="s">
        <v>6100</v>
      </c>
      <c r="O4195" t="s">
        <v>6101</v>
      </c>
      <c r="P4195" t="s">
        <v>6113</v>
      </c>
      <c r="Q4195">
        <v>7</v>
      </c>
      <c r="R4195">
        <v>2026</v>
      </c>
      <c r="S4195" t="s">
        <v>6100</v>
      </c>
      <c r="T4195">
        <v>0</v>
      </c>
      <c r="U4195" t="s">
        <v>6019</v>
      </c>
      <c r="V4195">
        <v>1</v>
      </c>
    </row>
    <row r="4196" spans="1:22" x14ac:dyDescent="0.3">
      <c r="A4196" t="s">
        <v>4211</v>
      </c>
      <c r="B4196" s="2">
        <v>46213.317361111112</v>
      </c>
      <c r="C4196" s="2">
        <v>46214.021527777775</v>
      </c>
      <c r="D4196" t="s">
        <v>6027</v>
      </c>
      <c r="E4196" t="s">
        <v>6029</v>
      </c>
      <c r="F4196" t="s">
        <v>6034</v>
      </c>
      <c r="G4196" t="s">
        <v>6041</v>
      </c>
      <c r="H4196" t="s">
        <v>6096</v>
      </c>
      <c r="I4196">
        <v>24</v>
      </c>
      <c r="J4196">
        <v>16.899999999999999</v>
      </c>
      <c r="K4196" t="s">
        <v>6099</v>
      </c>
      <c r="L4196" t="s">
        <v>6100</v>
      </c>
      <c r="M4196" t="s">
        <v>6100</v>
      </c>
      <c r="O4196" t="s">
        <v>6101</v>
      </c>
      <c r="P4196" t="s">
        <v>6113</v>
      </c>
      <c r="Q4196">
        <v>7</v>
      </c>
      <c r="R4196">
        <v>2026</v>
      </c>
      <c r="S4196" t="s">
        <v>6099</v>
      </c>
      <c r="T4196">
        <v>1</v>
      </c>
      <c r="U4196" t="s">
        <v>6017</v>
      </c>
      <c r="V4196">
        <v>1</v>
      </c>
    </row>
    <row r="4197" spans="1:22" x14ac:dyDescent="0.3">
      <c r="A4197" t="s">
        <v>4212</v>
      </c>
      <c r="B4197" s="2">
        <v>46213.322222222225</v>
      </c>
      <c r="C4197" s="2">
        <v>46213.543055555558</v>
      </c>
      <c r="D4197" t="s">
        <v>6023</v>
      </c>
      <c r="E4197" t="s">
        <v>6029</v>
      </c>
      <c r="F4197" t="s">
        <v>6034</v>
      </c>
      <c r="G4197" t="s">
        <v>6060</v>
      </c>
      <c r="H4197" t="s">
        <v>6097</v>
      </c>
      <c r="I4197">
        <v>24</v>
      </c>
      <c r="J4197">
        <v>5.3</v>
      </c>
      <c r="K4197" t="s">
        <v>6099</v>
      </c>
      <c r="L4197" t="s">
        <v>6100</v>
      </c>
      <c r="M4197" t="s">
        <v>6100</v>
      </c>
      <c r="N4197">
        <v>4</v>
      </c>
      <c r="O4197" t="s">
        <v>6101</v>
      </c>
      <c r="P4197" t="s">
        <v>6113</v>
      </c>
      <c r="Q4197">
        <v>7</v>
      </c>
      <c r="R4197">
        <v>2026</v>
      </c>
      <c r="S4197" t="s">
        <v>6099</v>
      </c>
      <c r="T4197">
        <v>1</v>
      </c>
      <c r="U4197" t="s">
        <v>6020</v>
      </c>
      <c r="V4197">
        <v>1</v>
      </c>
    </row>
    <row r="4198" spans="1:22" x14ac:dyDescent="0.3">
      <c r="A4198" t="s">
        <v>4213</v>
      </c>
      <c r="B4198" s="2">
        <v>46213.328472222223</v>
      </c>
      <c r="C4198" s="2">
        <v>46213.703472222223</v>
      </c>
      <c r="D4198" t="s">
        <v>6022</v>
      </c>
      <c r="E4198" t="s">
        <v>6029</v>
      </c>
      <c r="F4198" t="s">
        <v>6034</v>
      </c>
      <c r="G4198" t="s">
        <v>6063</v>
      </c>
      <c r="H4198" t="s">
        <v>6097</v>
      </c>
      <c r="I4198">
        <v>24</v>
      </c>
      <c r="J4198">
        <v>9</v>
      </c>
      <c r="K4198" t="s">
        <v>6099</v>
      </c>
      <c r="L4198" t="s">
        <v>6100</v>
      </c>
      <c r="M4198" t="s">
        <v>6100</v>
      </c>
      <c r="N4198">
        <v>5</v>
      </c>
      <c r="O4198" t="s">
        <v>6101</v>
      </c>
      <c r="P4198" t="s">
        <v>6113</v>
      </c>
      <c r="Q4198">
        <v>7</v>
      </c>
      <c r="R4198">
        <v>2026</v>
      </c>
      <c r="S4198" t="s">
        <v>6099</v>
      </c>
      <c r="T4198">
        <v>1</v>
      </c>
      <c r="U4198" t="s">
        <v>6020</v>
      </c>
      <c r="V4198">
        <v>1</v>
      </c>
    </row>
    <row r="4199" spans="1:22" x14ac:dyDescent="0.3">
      <c r="A4199" t="s">
        <v>4214</v>
      </c>
      <c r="B4199" s="2">
        <v>46213.34097222222</v>
      </c>
      <c r="C4199" s="2">
        <v>46213.607638888891</v>
      </c>
      <c r="D4199" t="s">
        <v>6028</v>
      </c>
      <c r="E4199" t="s">
        <v>6030</v>
      </c>
      <c r="F4199" t="s">
        <v>6035</v>
      </c>
      <c r="G4199" t="s">
        <v>6055</v>
      </c>
      <c r="H4199" t="s">
        <v>6096</v>
      </c>
      <c r="I4199">
        <v>4</v>
      </c>
      <c r="J4199">
        <v>6.4</v>
      </c>
      <c r="K4199" t="s">
        <v>6099</v>
      </c>
      <c r="L4199" t="s">
        <v>6100</v>
      </c>
      <c r="M4199" t="s">
        <v>6099</v>
      </c>
      <c r="O4199" t="s">
        <v>6101</v>
      </c>
      <c r="P4199" t="s">
        <v>6113</v>
      </c>
      <c r="Q4199">
        <v>7</v>
      </c>
      <c r="R4199">
        <v>2026</v>
      </c>
      <c r="S4199" t="s">
        <v>6100</v>
      </c>
      <c r="T4199">
        <v>0</v>
      </c>
      <c r="U4199" t="s">
        <v>6020</v>
      </c>
      <c r="V4199">
        <v>1</v>
      </c>
    </row>
    <row r="4200" spans="1:22" x14ac:dyDescent="0.3">
      <c r="A4200" t="s">
        <v>4215</v>
      </c>
      <c r="B4200" s="2">
        <v>46213.370833333334</v>
      </c>
      <c r="C4200" s="2">
        <v>46213.6875</v>
      </c>
      <c r="D4200" t="s">
        <v>6028</v>
      </c>
      <c r="E4200" t="s">
        <v>6030</v>
      </c>
      <c r="F4200" t="s">
        <v>6035</v>
      </c>
      <c r="G4200" t="s">
        <v>6058</v>
      </c>
      <c r="H4200" t="s">
        <v>6098</v>
      </c>
      <c r="I4200">
        <v>4</v>
      </c>
      <c r="J4200">
        <v>7.6</v>
      </c>
      <c r="K4200" t="s">
        <v>6099</v>
      </c>
      <c r="L4200" t="s">
        <v>6100</v>
      </c>
      <c r="M4200" t="s">
        <v>6100</v>
      </c>
      <c r="O4200" t="s">
        <v>6101</v>
      </c>
      <c r="P4200" t="s">
        <v>6113</v>
      </c>
      <c r="Q4200">
        <v>7</v>
      </c>
      <c r="R4200">
        <v>2026</v>
      </c>
      <c r="S4200" t="s">
        <v>6100</v>
      </c>
      <c r="T4200">
        <v>0</v>
      </c>
      <c r="U4200" t="s">
        <v>6021</v>
      </c>
      <c r="V4200">
        <v>1</v>
      </c>
    </row>
    <row r="4201" spans="1:22" x14ac:dyDescent="0.3">
      <c r="A4201" t="s">
        <v>4216</v>
      </c>
      <c r="B4201" s="2">
        <v>46213.394444444442</v>
      </c>
      <c r="C4201" s="2">
        <v>46213.702777777777</v>
      </c>
      <c r="D4201" t="s">
        <v>6023</v>
      </c>
      <c r="E4201" t="s">
        <v>6029</v>
      </c>
      <c r="F4201" t="s">
        <v>6034</v>
      </c>
      <c r="G4201" t="s">
        <v>6089</v>
      </c>
      <c r="H4201" t="s">
        <v>6098</v>
      </c>
      <c r="I4201">
        <v>24</v>
      </c>
      <c r="J4201">
        <v>7.4</v>
      </c>
      <c r="K4201" t="s">
        <v>6099</v>
      </c>
      <c r="L4201" t="s">
        <v>6100</v>
      </c>
      <c r="M4201" t="s">
        <v>6100</v>
      </c>
      <c r="N4201">
        <v>4</v>
      </c>
      <c r="O4201" t="s">
        <v>6101</v>
      </c>
      <c r="P4201" t="s">
        <v>6113</v>
      </c>
      <c r="Q4201">
        <v>7</v>
      </c>
      <c r="R4201">
        <v>2026</v>
      </c>
      <c r="S4201" t="s">
        <v>6099</v>
      </c>
      <c r="T4201">
        <v>1</v>
      </c>
      <c r="U4201" t="s">
        <v>6019</v>
      </c>
      <c r="V4201">
        <v>1</v>
      </c>
    </row>
    <row r="4202" spans="1:22" x14ac:dyDescent="0.3">
      <c r="A4202" t="s">
        <v>4217</v>
      </c>
      <c r="B4202" s="2">
        <v>46213.397222222222</v>
      </c>
      <c r="C4202" s="2">
        <v>46214.005555555559</v>
      </c>
      <c r="D4202" t="s">
        <v>6023</v>
      </c>
      <c r="E4202" t="s">
        <v>6032</v>
      </c>
      <c r="F4202" t="s">
        <v>6033</v>
      </c>
      <c r="G4202" t="s">
        <v>6053</v>
      </c>
      <c r="H4202" t="s">
        <v>6097</v>
      </c>
      <c r="I4202">
        <v>72</v>
      </c>
      <c r="J4202">
        <v>14.6</v>
      </c>
      <c r="K4202" t="s">
        <v>6099</v>
      </c>
      <c r="L4202" t="s">
        <v>6100</v>
      </c>
      <c r="M4202" t="s">
        <v>6100</v>
      </c>
      <c r="N4202">
        <v>5</v>
      </c>
      <c r="O4202" t="s">
        <v>6101</v>
      </c>
      <c r="P4202" t="s">
        <v>6113</v>
      </c>
      <c r="Q4202">
        <v>7</v>
      </c>
      <c r="R4202">
        <v>2026</v>
      </c>
      <c r="S4202" t="s">
        <v>6099</v>
      </c>
      <c r="T4202">
        <v>1</v>
      </c>
      <c r="U4202" t="s">
        <v>6019</v>
      </c>
      <c r="V4202">
        <v>1</v>
      </c>
    </row>
    <row r="4203" spans="1:22" x14ac:dyDescent="0.3">
      <c r="A4203" t="s">
        <v>4218</v>
      </c>
      <c r="B4203" s="2">
        <v>46213.4</v>
      </c>
      <c r="C4203" s="2">
        <v>46214.1</v>
      </c>
      <c r="D4203" t="s">
        <v>6024</v>
      </c>
      <c r="E4203" t="s">
        <v>6029</v>
      </c>
      <c r="F4203" t="s">
        <v>6033</v>
      </c>
      <c r="G4203" t="s">
        <v>6089</v>
      </c>
      <c r="H4203" t="s">
        <v>6098</v>
      </c>
      <c r="I4203">
        <v>72</v>
      </c>
      <c r="J4203">
        <v>16.8</v>
      </c>
      <c r="K4203" t="s">
        <v>6099</v>
      </c>
      <c r="L4203" t="s">
        <v>6100</v>
      </c>
      <c r="M4203" t="s">
        <v>6100</v>
      </c>
      <c r="O4203" t="s">
        <v>6101</v>
      </c>
      <c r="P4203" t="s">
        <v>6113</v>
      </c>
      <c r="Q4203">
        <v>7</v>
      </c>
      <c r="R4203">
        <v>2026</v>
      </c>
      <c r="S4203" t="s">
        <v>6099</v>
      </c>
      <c r="T4203">
        <v>1</v>
      </c>
      <c r="U4203" t="s">
        <v>6021</v>
      </c>
      <c r="V4203">
        <v>1</v>
      </c>
    </row>
    <row r="4204" spans="1:22" x14ac:dyDescent="0.3">
      <c r="A4204" t="s">
        <v>4219</v>
      </c>
      <c r="B4204" s="2">
        <v>46213.408333333333</v>
      </c>
      <c r="C4204" s="2">
        <v>46213.654166666667</v>
      </c>
      <c r="D4204" t="s">
        <v>6027</v>
      </c>
      <c r="E4204" t="s">
        <v>6030</v>
      </c>
      <c r="F4204" t="s">
        <v>6034</v>
      </c>
      <c r="G4204" t="s">
        <v>6036</v>
      </c>
      <c r="H4204" t="s">
        <v>6096</v>
      </c>
      <c r="I4204">
        <v>24</v>
      </c>
      <c r="J4204">
        <v>5.9</v>
      </c>
      <c r="K4204" t="s">
        <v>6099</v>
      </c>
      <c r="L4204" t="s">
        <v>6100</v>
      </c>
      <c r="M4204" t="s">
        <v>6100</v>
      </c>
      <c r="N4204">
        <v>5</v>
      </c>
      <c r="O4204" t="s">
        <v>6101</v>
      </c>
      <c r="P4204" t="s">
        <v>6113</v>
      </c>
      <c r="Q4204">
        <v>7</v>
      </c>
      <c r="R4204">
        <v>2026</v>
      </c>
      <c r="S4204" t="s">
        <v>6099</v>
      </c>
      <c r="T4204">
        <v>1</v>
      </c>
      <c r="U4204" t="s">
        <v>6017</v>
      </c>
      <c r="V4204">
        <v>1</v>
      </c>
    </row>
    <row r="4205" spans="1:22" x14ac:dyDescent="0.3">
      <c r="A4205" t="s">
        <v>4220</v>
      </c>
      <c r="B4205" s="2">
        <v>46213.408333333333</v>
      </c>
      <c r="C4205" s="2">
        <v>46213.645833333336</v>
      </c>
      <c r="D4205" t="s">
        <v>6024</v>
      </c>
      <c r="E4205" t="s">
        <v>6030</v>
      </c>
      <c r="F4205" t="s">
        <v>6033</v>
      </c>
      <c r="G4205" t="s">
        <v>6079</v>
      </c>
      <c r="H4205" t="s">
        <v>6097</v>
      </c>
      <c r="I4205">
        <v>72</v>
      </c>
      <c r="J4205">
        <v>5.7</v>
      </c>
      <c r="K4205" t="s">
        <v>6099</v>
      </c>
      <c r="L4205" t="s">
        <v>6100</v>
      </c>
      <c r="M4205" t="s">
        <v>6100</v>
      </c>
      <c r="N4205">
        <v>5</v>
      </c>
      <c r="O4205" t="s">
        <v>6101</v>
      </c>
      <c r="P4205" t="s">
        <v>6113</v>
      </c>
      <c r="Q4205">
        <v>7</v>
      </c>
      <c r="R4205">
        <v>2026</v>
      </c>
      <c r="S4205" t="s">
        <v>6099</v>
      </c>
      <c r="T4205">
        <v>1</v>
      </c>
      <c r="U4205" t="s">
        <v>6019</v>
      </c>
      <c r="V4205">
        <v>1</v>
      </c>
    </row>
    <row r="4206" spans="1:22" x14ac:dyDescent="0.3">
      <c r="A4206" t="s">
        <v>4221</v>
      </c>
      <c r="B4206" s="2">
        <v>46213.427083333336</v>
      </c>
      <c r="C4206" s="2">
        <v>46214.21875</v>
      </c>
      <c r="D4206" t="s">
        <v>6024</v>
      </c>
      <c r="E4206" t="s">
        <v>6031</v>
      </c>
      <c r="F4206" t="s">
        <v>6033</v>
      </c>
      <c r="G4206" t="s">
        <v>6071</v>
      </c>
      <c r="H4206" t="s">
        <v>6098</v>
      </c>
      <c r="I4206">
        <v>72</v>
      </c>
      <c r="J4206">
        <v>19</v>
      </c>
      <c r="K4206" t="s">
        <v>6100</v>
      </c>
      <c r="L4206" t="s">
        <v>6099</v>
      </c>
      <c r="M4206" t="s">
        <v>6100</v>
      </c>
      <c r="N4206">
        <v>3</v>
      </c>
      <c r="O4206" t="s">
        <v>6101</v>
      </c>
      <c r="P4206" t="s">
        <v>6113</v>
      </c>
      <c r="Q4206">
        <v>7</v>
      </c>
      <c r="R4206">
        <v>2026</v>
      </c>
      <c r="S4206" t="s">
        <v>6099</v>
      </c>
      <c r="T4206">
        <v>1</v>
      </c>
      <c r="U4206" t="s">
        <v>6018</v>
      </c>
      <c r="V4206">
        <v>0</v>
      </c>
    </row>
    <row r="4207" spans="1:22" x14ac:dyDescent="0.3">
      <c r="A4207" t="s">
        <v>4222</v>
      </c>
      <c r="B4207" s="2">
        <v>46213.441666666666</v>
      </c>
      <c r="C4207" s="2">
        <v>46214.933333333334</v>
      </c>
      <c r="D4207" t="s">
        <v>6022</v>
      </c>
      <c r="E4207" t="s">
        <v>6032</v>
      </c>
      <c r="F4207" t="s">
        <v>6033</v>
      </c>
      <c r="G4207" t="s">
        <v>6038</v>
      </c>
      <c r="H4207" t="s">
        <v>6096</v>
      </c>
      <c r="I4207">
        <v>72</v>
      </c>
      <c r="J4207">
        <v>35.799999999999997</v>
      </c>
      <c r="K4207" t="s">
        <v>6099</v>
      </c>
      <c r="L4207" t="s">
        <v>6100</v>
      </c>
      <c r="M4207" t="s">
        <v>6100</v>
      </c>
      <c r="N4207">
        <v>5</v>
      </c>
      <c r="O4207" t="s">
        <v>6101</v>
      </c>
      <c r="P4207" t="s">
        <v>6113</v>
      </c>
      <c r="Q4207">
        <v>7</v>
      </c>
      <c r="R4207">
        <v>2026</v>
      </c>
      <c r="S4207" t="s">
        <v>6099</v>
      </c>
      <c r="T4207">
        <v>1</v>
      </c>
      <c r="U4207" t="s">
        <v>6018</v>
      </c>
      <c r="V4207">
        <v>1</v>
      </c>
    </row>
    <row r="4208" spans="1:22" x14ac:dyDescent="0.3">
      <c r="A4208" t="s">
        <v>4223</v>
      </c>
      <c r="B4208" s="2">
        <v>46213.443055555559</v>
      </c>
      <c r="C4208" s="2">
        <v>46213.55972222222</v>
      </c>
      <c r="D4208" t="s">
        <v>6028</v>
      </c>
      <c r="E4208" t="s">
        <v>6030</v>
      </c>
      <c r="F4208" t="s">
        <v>6035</v>
      </c>
      <c r="G4208" t="s">
        <v>6043</v>
      </c>
      <c r="H4208" t="s">
        <v>6097</v>
      </c>
      <c r="I4208">
        <v>4</v>
      </c>
      <c r="J4208">
        <v>2.8</v>
      </c>
      <c r="K4208" t="s">
        <v>6100</v>
      </c>
      <c r="L4208" t="s">
        <v>6100</v>
      </c>
      <c r="M4208" t="s">
        <v>6100</v>
      </c>
      <c r="N4208">
        <v>5</v>
      </c>
      <c r="O4208" t="s">
        <v>6101</v>
      </c>
      <c r="P4208" t="s">
        <v>6113</v>
      </c>
      <c r="Q4208">
        <v>7</v>
      </c>
      <c r="R4208">
        <v>2026</v>
      </c>
      <c r="S4208" t="s">
        <v>6099</v>
      </c>
      <c r="T4208">
        <v>1</v>
      </c>
      <c r="U4208" t="s">
        <v>6020</v>
      </c>
      <c r="V4208">
        <v>0</v>
      </c>
    </row>
    <row r="4209" spans="1:22" x14ac:dyDescent="0.3">
      <c r="A4209" t="s">
        <v>4224</v>
      </c>
      <c r="B4209" s="2">
        <v>46213.445833333331</v>
      </c>
      <c r="C4209" s="2">
        <v>46215.083333333336</v>
      </c>
      <c r="D4209" t="s">
        <v>6024</v>
      </c>
      <c r="E4209" t="s">
        <v>6029</v>
      </c>
      <c r="F4209" t="s">
        <v>6035</v>
      </c>
      <c r="G4209" t="s">
        <v>6063</v>
      </c>
      <c r="H4209" t="s">
        <v>6097</v>
      </c>
      <c r="I4209">
        <v>4</v>
      </c>
      <c r="J4209">
        <v>39.299999999999997</v>
      </c>
      <c r="K4209" t="s">
        <v>6099</v>
      </c>
      <c r="L4209" t="s">
        <v>6100</v>
      </c>
      <c r="M4209" t="s">
        <v>6100</v>
      </c>
      <c r="N4209">
        <v>4</v>
      </c>
      <c r="O4209" t="s">
        <v>6101</v>
      </c>
      <c r="P4209" t="s">
        <v>6113</v>
      </c>
      <c r="Q4209">
        <v>7</v>
      </c>
      <c r="R4209">
        <v>2026</v>
      </c>
      <c r="S4209" t="s">
        <v>6100</v>
      </c>
      <c r="T4209">
        <v>0</v>
      </c>
      <c r="U4209" t="s">
        <v>6019</v>
      </c>
      <c r="V4209">
        <v>1</v>
      </c>
    </row>
    <row r="4210" spans="1:22" x14ac:dyDescent="0.3">
      <c r="A4210" t="s">
        <v>4225</v>
      </c>
      <c r="B4210" s="2">
        <v>46213.474999999999</v>
      </c>
      <c r="C4210" s="2">
        <v>46223.533333333333</v>
      </c>
      <c r="D4210" t="s">
        <v>6026</v>
      </c>
      <c r="E4210" t="s">
        <v>6031</v>
      </c>
      <c r="F4210" t="s">
        <v>6034</v>
      </c>
      <c r="G4210" t="s">
        <v>6086</v>
      </c>
      <c r="H4210" t="s">
        <v>6098</v>
      </c>
      <c r="I4210">
        <v>24</v>
      </c>
      <c r="J4210">
        <v>241.4</v>
      </c>
      <c r="K4210" t="s">
        <v>6100</v>
      </c>
      <c r="L4210" t="s">
        <v>6100</v>
      </c>
      <c r="M4210" t="s">
        <v>6100</v>
      </c>
      <c r="N4210">
        <v>5</v>
      </c>
      <c r="O4210" t="s">
        <v>6101</v>
      </c>
      <c r="P4210" t="s">
        <v>6113</v>
      </c>
      <c r="Q4210">
        <v>7</v>
      </c>
      <c r="R4210">
        <v>2026</v>
      </c>
      <c r="S4210" t="s">
        <v>6100</v>
      </c>
      <c r="T4210">
        <v>0</v>
      </c>
      <c r="U4210" t="s">
        <v>6017</v>
      </c>
      <c r="V4210">
        <v>0</v>
      </c>
    </row>
    <row r="4211" spans="1:22" x14ac:dyDescent="0.3">
      <c r="A4211" t="s">
        <v>4226</v>
      </c>
      <c r="B4211" s="2">
        <v>46213.481944444444</v>
      </c>
      <c r="C4211" s="2">
        <v>46214.394444444442</v>
      </c>
      <c r="D4211" t="s">
        <v>6025</v>
      </c>
      <c r="E4211" t="s">
        <v>6029</v>
      </c>
      <c r="F4211" t="s">
        <v>6033</v>
      </c>
      <c r="G4211" t="s">
        <v>6068</v>
      </c>
      <c r="H4211" t="s">
        <v>6098</v>
      </c>
      <c r="I4211">
        <v>72</v>
      </c>
      <c r="J4211">
        <v>21.9</v>
      </c>
      <c r="K4211" t="s">
        <v>6100</v>
      </c>
      <c r="L4211" t="s">
        <v>6100</v>
      </c>
      <c r="M4211" t="s">
        <v>6100</v>
      </c>
      <c r="O4211" t="s">
        <v>6101</v>
      </c>
      <c r="P4211" t="s">
        <v>6113</v>
      </c>
      <c r="Q4211">
        <v>7</v>
      </c>
      <c r="R4211">
        <v>2026</v>
      </c>
      <c r="S4211" t="s">
        <v>6099</v>
      </c>
      <c r="T4211">
        <v>1</v>
      </c>
      <c r="U4211" t="s">
        <v>6020</v>
      </c>
      <c r="V4211">
        <v>0</v>
      </c>
    </row>
    <row r="4212" spans="1:22" x14ac:dyDescent="0.3">
      <c r="A4212" t="s">
        <v>4227</v>
      </c>
      <c r="B4212" s="2">
        <v>46213.482638888891</v>
      </c>
      <c r="C4212" s="2">
        <v>46213.65347222222</v>
      </c>
      <c r="D4212" t="s">
        <v>6022</v>
      </c>
      <c r="E4212" t="s">
        <v>6030</v>
      </c>
      <c r="F4212" t="s">
        <v>6034</v>
      </c>
      <c r="G4212" t="s">
        <v>6044</v>
      </c>
      <c r="H4212" t="s">
        <v>6097</v>
      </c>
      <c r="I4212">
        <v>24</v>
      </c>
      <c r="J4212">
        <v>4.0999999999999996</v>
      </c>
      <c r="K4212" t="s">
        <v>6099</v>
      </c>
      <c r="L4212" t="s">
        <v>6100</v>
      </c>
      <c r="M4212" t="s">
        <v>6100</v>
      </c>
      <c r="N4212">
        <v>5</v>
      </c>
      <c r="O4212" t="s">
        <v>6101</v>
      </c>
      <c r="P4212" t="s">
        <v>6113</v>
      </c>
      <c r="Q4212">
        <v>7</v>
      </c>
      <c r="R4212">
        <v>2026</v>
      </c>
      <c r="S4212" t="s">
        <v>6099</v>
      </c>
      <c r="T4212">
        <v>1</v>
      </c>
      <c r="U4212" t="s">
        <v>6021</v>
      </c>
      <c r="V4212">
        <v>1</v>
      </c>
    </row>
    <row r="4213" spans="1:22" x14ac:dyDescent="0.3">
      <c r="A4213" t="s">
        <v>4228</v>
      </c>
      <c r="B4213" s="2">
        <v>46213.487500000003</v>
      </c>
      <c r="C4213" s="2">
        <v>46214.808333333334</v>
      </c>
      <c r="D4213" t="s">
        <v>6024</v>
      </c>
      <c r="E4213" t="s">
        <v>6032</v>
      </c>
      <c r="F4213" t="s">
        <v>6034</v>
      </c>
      <c r="G4213" t="s">
        <v>6042</v>
      </c>
      <c r="H4213" t="s">
        <v>6098</v>
      </c>
      <c r="I4213">
        <v>24</v>
      </c>
      <c r="J4213">
        <v>31.7</v>
      </c>
      <c r="K4213" t="s">
        <v>6100</v>
      </c>
      <c r="L4213" t="s">
        <v>6099</v>
      </c>
      <c r="M4213" t="s">
        <v>6099</v>
      </c>
      <c r="O4213" t="s">
        <v>6101</v>
      </c>
      <c r="P4213" t="s">
        <v>6113</v>
      </c>
      <c r="Q4213">
        <v>7</v>
      </c>
      <c r="R4213">
        <v>2026</v>
      </c>
      <c r="S4213" t="s">
        <v>6100</v>
      </c>
      <c r="T4213">
        <v>0</v>
      </c>
      <c r="U4213" t="s">
        <v>6021</v>
      </c>
      <c r="V4213">
        <v>0</v>
      </c>
    </row>
    <row r="4214" spans="1:22" x14ac:dyDescent="0.3">
      <c r="A4214" t="s">
        <v>4229</v>
      </c>
      <c r="B4214" s="2">
        <v>46213.513194444444</v>
      </c>
      <c r="C4214" s="2">
        <v>46213.742361111108</v>
      </c>
      <c r="D4214" t="s">
        <v>6024</v>
      </c>
      <c r="E4214" t="s">
        <v>6029</v>
      </c>
      <c r="F4214" t="s">
        <v>6034</v>
      </c>
      <c r="G4214" t="s">
        <v>6085</v>
      </c>
      <c r="H4214" t="s">
        <v>6097</v>
      </c>
      <c r="I4214">
        <v>24</v>
      </c>
      <c r="J4214">
        <v>5.5</v>
      </c>
      <c r="K4214" t="s">
        <v>6099</v>
      </c>
      <c r="L4214" t="s">
        <v>6100</v>
      </c>
      <c r="M4214" t="s">
        <v>6100</v>
      </c>
      <c r="N4214">
        <v>5</v>
      </c>
      <c r="O4214" t="s">
        <v>6101</v>
      </c>
      <c r="P4214" t="s">
        <v>6113</v>
      </c>
      <c r="Q4214">
        <v>7</v>
      </c>
      <c r="R4214">
        <v>2026</v>
      </c>
      <c r="S4214" t="s">
        <v>6099</v>
      </c>
      <c r="T4214">
        <v>1</v>
      </c>
      <c r="U4214" t="s">
        <v>6021</v>
      </c>
      <c r="V4214">
        <v>1</v>
      </c>
    </row>
    <row r="4215" spans="1:22" x14ac:dyDescent="0.3">
      <c r="A4215" t="s">
        <v>4230</v>
      </c>
      <c r="B4215" s="2">
        <v>46213.533333333333</v>
      </c>
      <c r="C4215" s="2">
        <v>46214.008333333331</v>
      </c>
      <c r="D4215" t="s">
        <v>6022</v>
      </c>
      <c r="E4215" t="s">
        <v>6032</v>
      </c>
      <c r="F4215" t="s">
        <v>6034</v>
      </c>
      <c r="G4215" t="s">
        <v>6094</v>
      </c>
      <c r="H4215" t="s">
        <v>6098</v>
      </c>
      <c r="I4215">
        <v>24</v>
      </c>
      <c r="J4215">
        <v>11.4</v>
      </c>
      <c r="K4215" t="s">
        <v>6100</v>
      </c>
      <c r="L4215" t="s">
        <v>6099</v>
      </c>
      <c r="M4215" t="s">
        <v>6100</v>
      </c>
      <c r="O4215" t="s">
        <v>6101</v>
      </c>
      <c r="P4215" t="s">
        <v>6113</v>
      </c>
      <c r="Q4215">
        <v>7</v>
      </c>
      <c r="R4215">
        <v>2026</v>
      </c>
      <c r="S4215" t="s">
        <v>6099</v>
      </c>
      <c r="T4215">
        <v>1</v>
      </c>
      <c r="U4215" t="s">
        <v>6021</v>
      </c>
      <c r="V4215">
        <v>0</v>
      </c>
    </row>
    <row r="4216" spans="1:22" x14ac:dyDescent="0.3">
      <c r="A4216" t="s">
        <v>4231</v>
      </c>
      <c r="B4216" s="2">
        <v>46213.613194444442</v>
      </c>
      <c r="C4216" s="2">
        <v>46213.78402777778</v>
      </c>
      <c r="D4216" t="s">
        <v>6023</v>
      </c>
      <c r="E4216" t="s">
        <v>6030</v>
      </c>
      <c r="F4216" t="s">
        <v>6033</v>
      </c>
      <c r="G4216" t="s">
        <v>6064</v>
      </c>
      <c r="H4216" t="s">
        <v>6096</v>
      </c>
      <c r="I4216">
        <v>72</v>
      </c>
      <c r="J4216">
        <v>4.0999999999999996</v>
      </c>
      <c r="K4216" t="s">
        <v>6099</v>
      </c>
      <c r="L4216" t="s">
        <v>6100</v>
      </c>
      <c r="M4216" t="s">
        <v>6100</v>
      </c>
      <c r="O4216" t="s">
        <v>6101</v>
      </c>
      <c r="P4216" t="s">
        <v>6113</v>
      </c>
      <c r="Q4216">
        <v>7</v>
      </c>
      <c r="R4216">
        <v>2026</v>
      </c>
      <c r="S4216" t="s">
        <v>6099</v>
      </c>
      <c r="T4216">
        <v>1</v>
      </c>
      <c r="U4216" t="s">
        <v>6018</v>
      </c>
      <c r="V4216">
        <v>1</v>
      </c>
    </row>
    <row r="4217" spans="1:22" x14ac:dyDescent="0.3">
      <c r="A4217" t="s">
        <v>4232</v>
      </c>
      <c r="B4217" s="2">
        <v>46213.62777777778</v>
      </c>
      <c r="C4217" s="2">
        <v>46213.731944444444</v>
      </c>
      <c r="D4217" t="s">
        <v>6027</v>
      </c>
      <c r="E4217" t="s">
        <v>6030</v>
      </c>
      <c r="F4217" t="s">
        <v>6034</v>
      </c>
      <c r="G4217" t="s">
        <v>6038</v>
      </c>
      <c r="H4217" t="s">
        <v>6096</v>
      </c>
      <c r="I4217">
        <v>24</v>
      </c>
      <c r="J4217">
        <v>2.5</v>
      </c>
      <c r="K4217" t="s">
        <v>6099</v>
      </c>
      <c r="L4217" t="s">
        <v>6100</v>
      </c>
      <c r="M4217" t="s">
        <v>6100</v>
      </c>
      <c r="N4217">
        <v>5</v>
      </c>
      <c r="O4217" t="s">
        <v>6101</v>
      </c>
      <c r="P4217" t="s">
        <v>6113</v>
      </c>
      <c r="Q4217">
        <v>7</v>
      </c>
      <c r="R4217">
        <v>2026</v>
      </c>
      <c r="S4217" t="s">
        <v>6099</v>
      </c>
      <c r="T4217">
        <v>1</v>
      </c>
      <c r="U4217" t="s">
        <v>6018</v>
      </c>
      <c r="V4217">
        <v>1</v>
      </c>
    </row>
    <row r="4218" spans="1:22" x14ac:dyDescent="0.3">
      <c r="A4218" t="s">
        <v>4233</v>
      </c>
      <c r="B4218" s="2">
        <v>46213.654861111114</v>
      </c>
      <c r="C4218" s="2">
        <v>46216.600694444445</v>
      </c>
      <c r="D4218" t="s">
        <v>6025</v>
      </c>
      <c r="E4218" t="s">
        <v>6032</v>
      </c>
      <c r="F4218" t="s">
        <v>6034</v>
      </c>
      <c r="G4218" t="s">
        <v>6040</v>
      </c>
      <c r="H4218" t="s">
        <v>6097</v>
      </c>
      <c r="I4218">
        <v>24</v>
      </c>
      <c r="J4218">
        <v>70.7</v>
      </c>
      <c r="K4218" t="s">
        <v>6099</v>
      </c>
      <c r="L4218" t="s">
        <v>6100</v>
      </c>
      <c r="M4218" t="s">
        <v>6100</v>
      </c>
      <c r="N4218">
        <v>5</v>
      </c>
      <c r="O4218" t="s">
        <v>6101</v>
      </c>
      <c r="P4218" t="s">
        <v>6113</v>
      </c>
      <c r="Q4218">
        <v>7</v>
      </c>
      <c r="R4218">
        <v>2026</v>
      </c>
      <c r="S4218" t="s">
        <v>6100</v>
      </c>
      <c r="T4218">
        <v>0</v>
      </c>
      <c r="U4218" t="s">
        <v>6020</v>
      </c>
      <c r="V4218">
        <v>1</v>
      </c>
    </row>
    <row r="4219" spans="1:22" x14ac:dyDescent="0.3">
      <c r="A4219" t="s">
        <v>4234</v>
      </c>
      <c r="B4219" s="2">
        <v>46213.683333333334</v>
      </c>
      <c r="C4219" s="2">
        <v>46214.387499999997</v>
      </c>
      <c r="D4219" t="s">
        <v>6022</v>
      </c>
      <c r="E4219" t="s">
        <v>6032</v>
      </c>
      <c r="F4219" t="s">
        <v>6035</v>
      </c>
      <c r="G4219" t="s">
        <v>6085</v>
      </c>
      <c r="H4219" t="s">
        <v>6097</v>
      </c>
      <c r="I4219">
        <v>4</v>
      </c>
      <c r="J4219">
        <v>16.899999999999999</v>
      </c>
      <c r="K4219" t="s">
        <v>6099</v>
      </c>
      <c r="L4219" t="s">
        <v>6100</v>
      </c>
      <c r="M4219" t="s">
        <v>6100</v>
      </c>
      <c r="N4219">
        <v>4</v>
      </c>
      <c r="O4219" t="s">
        <v>6101</v>
      </c>
      <c r="P4219" t="s">
        <v>6113</v>
      </c>
      <c r="Q4219">
        <v>7</v>
      </c>
      <c r="R4219">
        <v>2026</v>
      </c>
      <c r="S4219" t="s">
        <v>6100</v>
      </c>
      <c r="T4219">
        <v>0</v>
      </c>
      <c r="U4219" t="s">
        <v>6018</v>
      </c>
      <c r="V4219">
        <v>1</v>
      </c>
    </row>
    <row r="4220" spans="1:22" x14ac:dyDescent="0.3">
      <c r="A4220" t="s">
        <v>4235</v>
      </c>
      <c r="B4220" s="2">
        <v>46213.703472222223</v>
      </c>
      <c r="C4220" s="2">
        <v>46213.953472222223</v>
      </c>
      <c r="D4220" t="s">
        <v>6023</v>
      </c>
      <c r="E4220" t="s">
        <v>6029</v>
      </c>
      <c r="F4220" t="s">
        <v>6033</v>
      </c>
      <c r="G4220" t="s">
        <v>6080</v>
      </c>
      <c r="H4220" t="s">
        <v>6096</v>
      </c>
      <c r="I4220">
        <v>72</v>
      </c>
      <c r="J4220">
        <v>6</v>
      </c>
      <c r="K4220" t="s">
        <v>6100</v>
      </c>
      <c r="L4220" t="s">
        <v>6100</v>
      </c>
      <c r="M4220" t="s">
        <v>6100</v>
      </c>
      <c r="O4220" t="s">
        <v>6101</v>
      </c>
      <c r="P4220" t="s">
        <v>6113</v>
      </c>
      <c r="Q4220">
        <v>7</v>
      </c>
      <c r="R4220">
        <v>2026</v>
      </c>
      <c r="S4220" t="s">
        <v>6099</v>
      </c>
      <c r="T4220">
        <v>1</v>
      </c>
      <c r="U4220" t="s">
        <v>6020</v>
      </c>
      <c r="V4220">
        <v>0</v>
      </c>
    </row>
    <row r="4221" spans="1:22" x14ac:dyDescent="0.3">
      <c r="A4221" t="s">
        <v>4236</v>
      </c>
      <c r="B4221" s="2">
        <v>46213.70416666667</v>
      </c>
      <c r="C4221" s="2">
        <v>46214.087500000001</v>
      </c>
      <c r="D4221" t="s">
        <v>6027</v>
      </c>
      <c r="E4221" t="s">
        <v>6032</v>
      </c>
      <c r="F4221" t="s">
        <v>6034</v>
      </c>
      <c r="G4221" t="s">
        <v>6069</v>
      </c>
      <c r="H4221" t="s">
        <v>6098</v>
      </c>
      <c r="I4221">
        <v>24</v>
      </c>
      <c r="J4221">
        <v>9.1999999999999993</v>
      </c>
      <c r="K4221" t="s">
        <v>6099</v>
      </c>
      <c r="L4221" t="s">
        <v>6100</v>
      </c>
      <c r="M4221" t="s">
        <v>6100</v>
      </c>
      <c r="O4221" t="s">
        <v>6101</v>
      </c>
      <c r="P4221" t="s">
        <v>6113</v>
      </c>
      <c r="Q4221">
        <v>7</v>
      </c>
      <c r="R4221">
        <v>2026</v>
      </c>
      <c r="S4221" t="s">
        <v>6099</v>
      </c>
      <c r="T4221">
        <v>1</v>
      </c>
      <c r="U4221" t="s">
        <v>6018</v>
      </c>
      <c r="V4221">
        <v>1</v>
      </c>
    </row>
    <row r="4222" spans="1:22" x14ac:dyDescent="0.3">
      <c r="A4222" t="s">
        <v>4237</v>
      </c>
      <c r="B4222" s="2">
        <v>46213.789583333331</v>
      </c>
      <c r="C4222" s="2">
        <v>46214.027083333334</v>
      </c>
      <c r="D4222" t="s">
        <v>6023</v>
      </c>
      <c r="E4222" t="s">
        <v>6029</v>
      </c>
      <c r="F4222" t="s">
        <v>6033</v>
      </c>
      <c r="G4222" t="s">
        <v>6066</v>
      </c>
      <c r="H4222" t="s">
        <v>6096</v>
      </c>
      <c r="I4222">
        <v>72</v>
      </c>
      <c r="J4222">
        <v>5.7</v>
      </c>
      <c r="K4222" t="s">
        <v>6099</v>
      </c>
      <c r="L4222" t="s">
        <v>6100</v>
      </c>
      <c r="M4222" t="s">
        <v>6100</v>
      </c>
      <c r="N4222">
        <v>5</v>
      </c>
      <c r="O4222" t="s">
        <v>6101</v>
      </c>
      <c r="P4222" t="s">
        <v>6113</v>
      </c>
      <c r="Q4222">
        <v>7</v>
      </c>
      <c r="R4222">
        <v>2026</v>
      </c>
      <c r="S4222" t="s">
        <v>6099</v>
      </c>
      <c r="T4222">
        <v>1</v>
      </c>
      <c r="U4222" t="s">
        <v>6017</v>
      </c>
      <c r="V4222">
        <v>1</v>
      </c>
    </row>
    <row r="4223" spans="1:22" x14ac:dyDescent="0.3">
      <c r="A4223" t="s">
        <v>4238</v>
      </c>
      <c r="B4223" s="2">
        <v>46213.825694444444</v>
      </c>
      <c r="C4223" s="2">
        <v>46214.28402777778</v>
      </c>
      <c r="D4223" t="s">
        <v>6025</v>
      </c>
      <c r="E4223" t="s">
        <v>6030</v>
      </c>
      <c r="F4223" t="s">
        <v>6033</v>
      </c>
      <c r="G4223" t="s">
        <v>6069</v>
      </c>
      <c r="H4223" t="s">
        <v>6098</v>
      </c>
      <c r="I4223">
        <v>72</v>
      </c>
      <c r="J4223">
        <v>11</v>
      </c>
      <c r="K4223" t="s">
        <v>6099</v>
      </c>
      <c r="L4223" t="s">
        <v>6100</v>
      </c>
      <c r="M4223" t="s">
        <v>6100</v>
      </c>
      <c r="O4223" t="s">
        <v>6101</v>
      </c>
      <c r="P4223" t="s">
        <v>6113</v>
      </c>
      <c r="Q4223">
        <v>7</v>
      </c>
      <c r="R4223">
        <v>2026</v>
      </c>
      <c r="S4223" t="s">
        <v>6099</v>
      </c>
      <c r="T4223">
        <v>1</v>
      </c>
      <c r="U4223" t="s">
        <v>6021</v>
      </c>
      <c r="V4223">
        <v>1</v>
      </c>
    </row>
    <row r="4224" spans="1:22" x14ac:dyDescent="0.3">
      <c r="A4224" t="s">
        <v>4239</v>
      </c>
      <c r="B4224" s="2">
        <v>46214.222222222219</v>
      </c>
      <c r="C4224" s="2">
        <v>46216.726388888892</v>
      </c>
      <c r="D4224" t="s">
        <v>6025</v>
      </c>
      <c r="E4224" t="s">
        <v>6031</v>
      </c>
      <c r="F4224" t="s">
        <v>6034</v>
      </c>
      <c r="G4224" t="s">
        <v>6066</v>
      </c>
      <c r="H4224" t="s">
        <v>6096</v>
      </c>
      <c r="I4224">
        <v>24</v>
      </c>
      <c r="J4224">
        <v>60.1</v>
      </c>
      <c r="K4224" t="s">
        <v>6099</v>
      </c>
      <c r="L4224" t="s">
        <v>6100</v>
      </c>
      <c r="M4224" t="s">
        <v>6100</v>
      </c>
      <c r="N4224">
        <v>3</v>
      </c>
      <c r="O4224" t="s">
        <v>6101</v>
      </c>
      <c r="P4224" t="s">
        <v>6113</v>
      </c>
      <c r="Q4224">
        <v>7</v>
      </c>
      <c r="R4224">
        <v>2026</v>
      </c>
      <c r="S4224" t="s">
        <v>6100</v>
      </c>
      <c r="T4224">
        <v>0</v>
      </c>
      <c r="U4224" t="s">
        <v>6020</v>
      </c>
      <c r="V4224">
        <v>1</v>
      </c>
    </row>
    <row r="4225" spans="1:22" x14ac:dyDescent="0.3">
      <c r="A4225" t="s">
        <v>4240</v>
      </c>
      <c r="B4225" s="2">
        <v>46214.292361111111</v>
      </c>
      <c r="C4225" s="2">
        <v>46215.313194444447</v>
      </c>
      <c r="D4225" t="s">
        <v>6028</v>
      </c>
      <c r="E4225" t="s">
        <v>6031</v>
      </c>
      <c r="F4225" t="s">
        <v>6035</v>
      </c>
      <c r="G4225" t="s">
        <v>6037</v>
      </c>
      <c r="H4225" t="s">
        <v>6096</v>
      </c>
      <c r="I4225">
        <v>4</v>
      </c>
      <c r="J4225">
        <v>24.5</v>
      </c>
      <c r="K4225" t="s">
        <v>6100</v>
      </c>
      <c r="L4225" t="s">
        <v>6100</v>
      </c>
      <c r="M4225" t="s">
        <v>6100</v>
      </c>
      <c r="N4225">
        <v>3</v>
      </c>
      <c r="O4225" t="s">
        <v>6101</v>
      </c>
      <c r="P4225" t="s">
        <v>6113</v>
      </c>
      <c r="Q4225">
        <v>7</v>
      </c>
      <c r="R4225">
        <v>2026</v>
      </c>
      <c r="S4225" t="s">
        <v>6100</v>
      </c>
      <c r="T4225">
        <v>0</v>
      </c>
      <c r="U4225" t="s">
        <v>6020</v>
      </c>
      <c r="V4225">
        <v>0</v>
      </c>
    </row>
    <row r="4226" spans="1:22" x14ac:dyDescent="0.3">
      <c r="A4226" t="s">
        <v>4241</v>
      </c>
      <c r="B4226" s="2">
        <v>46214.299305555556</v>
      </c>
      <c r="C4226" s="2">
        <v>46214.661805555559</v>
      </c>
      <c r="D4226" t="s">
        <v>6023</v>
      </c>
      <c r="E4226" t="s">
        <v>6029</v>
      </c>
      <c r="F4226" t="s">
        <v>6033</v>
      </c>
      <c r="G4226" t="s">
        <v>6071</v>
      </c>
      <c r="H4226" t="s">
        <v>6098</v>
      </c>
      <c r="I4226">
        <v>72</v>
      </c>
      <c r="J4226">
        <v>8.6999999999999993</v>
      </c>
      <c r="K4226" t="s">
        <v>6099</v>
      </c>
      <c r="L4226" t="s">
        <v>6100</v>
      </c>
      <c r="M4226" t="s">
        <v>6100</v>
      </c>
      <c r="N4226">
        <v>4</v>
      </c>
      <c r="O4226" t="s">
        <v>6101</v>
      </c>
      <c r="P4226" t="s">
        <v>6113</v>
      </c>
      <c r="Q4226">
        <v>7</v>
      </c>
      <c r="R4226">
        <v>2026</v>
      </c>
      <c r="S4226" t="s">
        <v>6099</v>
      </c>
      <c r="T4226">
        <v>1</v>
      </c>
      <c r="U4226" t="s">
        <v>6019</v>
      </c>
      <c r="V4226">
        <v>1</v>
      </c>
    </row>
    <row r="4227" spans="1:22" x14ac:dyDescent="0.3">
      <c r="A4227" t="s">
        <v>4242</v>
      </c>
      <c r="B4227" s="2">
        <v>46214.413888888892</v>
      </c>
      <c r="C4227" s="2">
        <v>46218.468055555553</v>
      </c>
      <c r="D4227" t="s">
        <v>6027</v>
      </c>
      <c r="E4227" t="s">
        <v>6032</v>
      </c>
      <c r="F4227" t="s">
        <v>6034</v>
      </c>
      <c r="G4227" t="s">
        <v>6063</v>
      </c>
      <c r="H4227" t="s">
        <v>6097</v>
      </c>
      <c r="I4227">
        <v>24</v>
      </c>
      <c r="J4227">
        <v>97.3</v>
      </c>
      <c r="K4227" t="s">
        <v>6100</v>
      </c>
      <c r="L4227" t="s">
        <v>6099</v>
      </c>
      <c r="M4227" t="s">
        <v>6100</v>
      </c>
      <c r="N4227">
        <v>3</v>
      </c>
      <c r="O4227" t="s">
        <v>6101</v>
      </c>
      <c r="P4227" t="s">
        <v>6113</v>
      </c>
      <c r="Q4227">
        <v>7</v>
      </c>
      <c r="R4227">
        <v>2026</v>
      </c>
      <c r="S4227" t="s">
        <v>6100</v>
      </c>
      <c r="T4227">
        <v>0</v>
      </c>
      <c r="U4227" t="s">
        <v>6017</v>
      </c>
      <c r="V4227">
        <v>0</v>
      </c>
    </row>
    <row r="4228" spans="1:22" x14ac:dyDescent="0.3">
      <c r="A4228" t="s">
        <v>4243</v>
      </c>
      <c r="B4228" s="2">
        <v>46214.443749999999</v>
      </c>
      <c r="C4228" s="2">
        <v>46215.402083333334</v>
      </c>
      <c r="D4228" t="s">
        <v>6022</v>
      </c>
      <c r="E4228" t="s">
        <v>6030</v>
      </c>
      <c r="F4228" t="s">
        <v>6034</v>
      </c>
      <c r="G4228" t="s">
        <v>6084</v>
      </c>
      <c r="H4228" t="s">
        <v>6098</v>
      </c>
      <c r="I4228">
        <v>24</v>
      </c>
      <c r="J4228">
        <v>23</v>
      </c>
      <c r="K4228" t="s">
        <v>6099</v>
      </c>
      <c r="L4228" t="s">
        <v>6100</v>
      </c>
      <c r="M4228" t="s">
        <v>6100</v>
      </c>
      <c r="N4228">
        <v>5</v>
      </c>
      <c r="O4228" t="s">
        <v>6101</v>
      </c>
      <c r="P4228" t="s">
        <v>6113</v>
      </c>
      <c r="Q4228">
        <v>7</v>
      </c>
      <c r="R4228">
        <v>2026</v>
      </c>
      <c r="S4228" t="s">
        <v>6099</v>
      </c>
      <c r="T4228">
        <v>1</v>
      </c>
      <c r="U4228" t="s">
        <v>6020</v>
      </c>
      <c r="V4228">
        <v>1</v>
      </c>
    </row>
    <row r="4229" spans="1:22" x14ac:dyDescent="0.3">
      <c r="A4229" t="s">
        <v>4244</v>
      </c>
      <c r="B4229" s="2">
        <v>46214.525694444441</v>
      </c>
      <c r="C4229" s="2">
        <v>46214.838194444441</v>
      </c>
      <c r="D4229" t="s">
        <v>6028</v>
      </c>
      <c r="E4229" t="s">
        <v>6029</v>
      </c>
      <c r="F4229" t="s">
        <v>6034</v>
      </c>
      <c r="G4229" t="s">
        <v>6089</v>
      </c>
      <c r="H4229" t="s">
        <v>6098</v>
      </c>
      <c r="I4229">
        <v>24</v>
      </c>
      <c r="J4229">
        <v>7.5</v>
      </c>
      <c r="K4229" t="s">
        <v>6099</v>
      </c>
      <c r="L4229" t="s">
        <v>6100</v>
      </c>
      <c r="M4229" t="s">
        <v>6100</v>
      </c>
      <c r="N4229">
        <v>5</v>
      </c>
      <c r="O4229" t="s">
        <v>6101</v>
      </c>
      <c r="P4229" t="s">
        <v>6113</v>
      </c>
      <c r="Q4229">
        <v>7</v>
      </c>
      <c r="R4229">
        <v>2026</v>
      </c>
      <c r="S4229" t="s">
        <v>6099</v>
      </c>
      <c r="T4229">
        <v>1</v>
      </c>
      <c r="U4229" t="s">
        <v>6018</v>
      </c>
      <c r="V4229">
        <v>1</v>
      </c>
    </row>
    <row r="4230" spans="1:22" x14ac:dyDescent="0.3">
      <c r="A4230" t="s">
        <v>4245</v>
      </c>
      <c r="B4230" s="2">
        <v>46214.529166666667</v>
      </c>
      <c r="C4230" s="2">
        <v>46216.658333333333</v>
      </c>
      <c r="D4230" t="s">
        <v>6025</v>
      </c>
      <c r="E4230" t="s">
        <v>6029</v>
      </c>
      <c r="F4230" t="s">
        <v>6033</v>
      </c>
      <c r="G4230" t="s">
        <v>6082</v>
      </c>
      <c r="H4230" t="s">
        <v>6097</v>
      </c>
      <c r="I4230">
        <v>72</v>
      </c>
      <c r="J4230">
        <v>51.1</v>
      </c>
      <c r="K4230" t="s">
        <v>6099</v>
      </c>
      <c r="L4230" t="s">
        <v>6100</v>
      </c>
      <c r="M4230" t="s">
        <v>6100</v>
      </c>
      <c r="O4230" t="s">
        <v>6101</v>
      </c>
      <c r="P4230" t="s">
        <v>6113</v>
      </c>
      <c r="Q4230">
        <v>7</v>
      </c>
      <c r="R4230">
        <v>2026</v>
      </c>
      <c r="S4230" t="s">
        <v>6099</v>
      </c>
      <c r="T4230">
        <v>1</v>
      </c>
      <c r="U4230" t="s">
        <v>6021</v>
      </c>
      <c r="V4230">
        <v>1</v>
      </c>
    </row>
    <row r="4231" spans="1:22" x14ac:dyDescent="0.3">
      <c r="A4231" t="s">
        <v>4246</v>
      </c>
      <c r="B4231" s="2">
        <v>46214.552083333336</v>
      </c>
      <c r="C4231" s="2">
        <v>46214.806250000001</v>
      </c>
      <c r="D4231" t="s">
        <v>6022</v>
      </c>
      <c r="E4231" t="s">
        <v>6029</v>
      </c>
      <c r="F4231" t="s">
        <v>6034</v>
      </c>
      <c r="G4231" t="s">
        <v>6086</v>
      </c>
      <c r="H4231" t="s">
        <v>6098</v>
      </c>
      <c r="I4231">
        <v>24</v>
      </c>
      <c r="J4231">
        <v>6.1</v>
      </c>
      <c r="K4231" t="s">
        <v>6099</v>
      </c>
      <c r="L4231" t="s">
        <v>6100</v>
      </c>
      <c r="M4231" t="s">
        <v>6100</v>
      </c>
      <c r="N4231">
        <v>4</v>
      </c>
      <c r="O4231" t="s">
        <v>6101</v>
      </c>
      <c r="P4231" t="s">
        <v>6113</v>
      </c>
      <c r="Q4231">
        <v>7</v>
      </c>
      <c r="R4231">
        <v>2026</v>
      </c>
      <c r="S4231" t="s">
        <v>6099</v>
      </c>
      <c r="T4231">
        <v>1</v>
      </c>
      <c r="U4231" t="s">
        <v>6020</v>
      </c>
      <c r="V4231">
        <v>1</v>
      </c>
    </row>
    <row r="4232" spans="1:22" x14ac:dyDescent="0.3">
      <c r="A4232" t="s">
        <v>4247</v>
      </c>
      <c r="B4232" s="2">
        <v>46214.582638888889</v>
      </c>
      <c r="C4232" s="2">
        <v>46214.995138888888</v>
      </c>
      <c r="D4232" t="s">
        <v>6023</v>
      </c>
      <c r="E4232" t="s">
        <v>6032</v>
      </c>
      <c r="F4232" t="s">
        <v>6034</v>
      </c>
      <c r="G4232" t="s">
        <v>6094</v>
      </c>
      <c r="H4232" t="s">
        <v>6098</v>
      </c>
      <c r="I4232">
        <v>24</v>
      </c>
      <c r="J4232">
        <v>9.9</v>
      </c>
      <c r="K4232" t="s">
        <v>6100</v>
      </c>
      <c r="L4232" t="s">
        <v>6099</v>
      </c>
      <c r="M4232" t="s">
        <v>6100</v>
      </c>
      <c r="N4232">
        <v>5</v>
      </c>
      <c r="O4232" t="s">
        <v>6101</v>
      </c>
      <c r="P4232" t="s">
        <v>6113</v>
      </c>
      <c r="Q4232">
        <v>7</v>
      </c>
      <c r="R4232">
        <v>2026</v>
      </c>
      <c r="S4232" t="s">
        <v>6099</v>
      </c>
      <c r="T4232">
        <v>1</v>
      </c>
      <c r="U4232" t="s">
        <v>6017</v>
      </c>
      <c r="V4232">
        <v>0</v>
      </c>
    </row>
    <row r="4233" spans="1:22" x14ac:dyDescent="0.3">
      <c r="A4233" t="s">
        <v>4248</v>
      </c>
      <c r="B4233" s="2">
        <v>46214.600694444445</v>
      </c>
      <c r="C4233" s="2">
        <v>46215.129861111112</v>
      </c>
      <c r="D4233" t="s">
        <v>6025</v>
      </c>
      <c r="E4233" t="s">
        <v>6029</v>
      </c>
      <c r="F4233" t="s">
        <v>6034</v>
      </c>
      <c r="G4233" t="s">
        <v>6071</v>
      </c>
      <c r="H4233" t="s">
        <v>6098</v>
      </c>
      <c r="I4233">
        <v>24</v>
      </c>
      <c r="J4233">
        <v>12.7</v>
      </c>
      <c r="K4233" t="s">
        <v>6099</v>
      </c>
      <c r="L4233" t="s">
        <v>6100</v>
      </c>
      <c r="M4233" t="s">
        <v>6100</v>
      </c>
      <c r="N4233">
        <v>5</v>
      </c>
      <c r="O4233" t="s">
        <v>6101</v>
      </c>
      <c r="P4233" t="s">
        <v>6113</v>
      </c>
      <c r="Q4233">
        <v>7</v>
      </c>
      <c r="R4233">
        <v>2026</v>
      </c>
      <c r="S4233" t="s">
        <v>6099</v>
      </c>
      <c r="T4233">
        <v>1</v>
      </c>
      <c r="U4233" t="s">
        <v>6021</v>
      </c>
      <c r="V4233">
        <v>1</v>
      </c>
    </row>
    <row r="4234" spans="1:22" x14ac:dyDescent="0.3">
      <c r="A4234" t="s">
        <v>4249</v>
      </c>
      <c r="B4234" s="2">
        <v>46214.620833333334</v>
      </c>
      <c r="C4234" s="2">
        <v>46215.237500000003</v>
      </c>
      <c r="D4234" t="s">
        <v>6028</v>
      </c>
      <c r="E4234" t="s">
        <v>6031</v>
      </c>
      <c r="F4234" t="s">
        <v>6035</v>
      </c>
      <c r="G4234" t="s">
        <v>6090</v>
      </c>
      <c r="H4234" t="s">
        <v>6097</v>
      </c>
      <c r="I4234">
        <v>4</v>
      </c>
      <c r="J4234">
        <v>14.8</v>
      </c>
      <c r="K4234" t="s">
        <v>6099</v>
      </c>
      <c r="L4234" t="s">
        <v>6100</v>
      </c>
      <c r="M4234" t="s">
        <v>6100</v>
      </c>
      <c r="N4234">
        <v>4</v>
      </c>
      <c r="O4234" t="s">
        <v>6101</v>
      </c>
      <c r="P4234" t="s">
        <v>6113</v>
      </c>
      <c r="Q4234">
        <v>7</v>
      </c>
      <c r="R4234">
        <v>2026</v>
      </c>
      <c r="S4234" t="s">
        <v>6100</v>
      </c>
      <c r="T4234">
        <v>0</v>
      </c>
      <c r="U4234" t="s">
        <v>6020</v>
      </c>
      <c r="V4234">
        <v>1</v>
      </c>
    </row>
    <row r="4235" spans="1:22" x14ac:dyDescent="0.3">
      <c r="A4235" t="s">
        <v>4250</v>
      </c>
      <c r="B4235" s="2">
        <v>46214.624305555553</v>
      </c>
      <c r="C4235" s="2">
        <v>46214.874305555553</v>
      </c>
      <c r="D4235" t="s">
        <v>6022</v>
      </c>
      <c r="E4235" t="s">
        <v>6029</v>
      </c>
      <c r="F4235" t="s">
        <v>6033</v>
      </c>
      <c r="G4235" t="s">
        <v>6091</v>
      </c>
      <c r="H4235" t="s">
        <v>6097</v>
      </c>
      <c r="I4235">
        <v>72</v>
      </c>
      <c r="J4235">
        <v>6</v>
      </c>
      <c r="K4235" t="s">
        <v>6099</v>
      </c>
      <c r="L4235" t="s">
        <v>6100</v>
      </c>
      <c r="M4235" t="s">
        <v>6100</v>
      </c>
      <c r="O4235" t="s">
        <v>6101</v>
      </c>
      <c r="P4235" t="s">
        <v>6113</v>
      </c>
      <c r="Q4235">
        <v>7</v>
      </c>
      <c r="R4235">
        <v>2026</v>
      </c>
      <c r="S4235" t="s">
        <v>6099</v>
      </c>
      <c r="T4235">
        <v>1</v>
      </c>
      <c r="U4235" t="s">
        <v>6020</v>
      </c>
      <c r="V4235">
        <v>1</v>
      </c>
    </row>
    <row r="4236" spans="1:22" x14ac:dyDescent="0.3">
      <c r="A4236" t="s">
        <v>4251</v>
      </c>
      <c r="B4236" s="2">
        <v>46214.664583333331</v>
      </c>
      <c r="C4236" s="2">
        <v>46215.122916666667</v>
      </c>
      <c r="D4236" t="s">
        <v>6023</v>
      </c>
      <c r="E4236" t="s">
        <v>6029</v>
      </c>
      <c r="F4236" t="s">
        <v>6034</v>
      </c>
      <c r="G4236" t="s">
        <v>6038</v>
      </c>
      <c r="H4236" t="s">
        <v>6096</v>
      </c>
      <c r="I4236">
        <v>24</v>
      </c>
      <c r="J4236">
        <v>11</v>
      </c>
      <c r="K4236" t="s">
        <v>6100</v>
      </c>
      <c r="L4236" t="s">
        <v>6099</v>
      </c>
      <c r="M4236" t="s">
        <v>6100</v>
      </c>
      <c r="O4236" t="s">
        <v>6101</v>
      </c>
      <c r="P4236" t="s">
        <v>6113</v>
      </c>
      <c r="Q4236">
        <v>7</v>
      </c>
      <c r="R4236">
        <v>2026</v>
      </c>
      <c r="S4236" t="s">
        <v>6099</v>
      </c>
      <c r="T4236">
        <v>1</v>
      </c>
      <c r="U4236" t="s">
        <v>6020</v>
      </c>
      <c r="V4236">
        <v>0</v>
      </c>
    </row>
    <row r="4237" spans="1:22" x14ac:dyDescent="0.3">
      <c r="A4237" t="s">
        <v>4252</v>
      </c>
      <c r="B4237" s="2">
        <v>46214.671527777777</v>
      </c>
      <c r="C4237" s="2">
        <v>46215.150694444441</v>
      </c>
      <c r="D4237" t="s">
        <v>6023</v>
      </c>
      <c r="E4237" t="s">
        <v>6029</v>
      </c>
      <c r="F4237" t="s">
        <v>6034</v>
      </c>
      <c r="G4237" t="s">
        <v>6045</v>
      </c>
      <c r="H4237" t="s">
        <v>6096</v>
      </c>
      <c r="I4237">
        <v>24</v>
      </c>
      <c r="J4237">
        <v>11.5</v>
      </c>
      <c r="K4237" t="s">
        <v>6100</v>
      </c>
      <c r="L4237" t="s">
        <v>6100</v>
      </c>
      <c r="M4237" t="s">
        <v>6099</v>
      </c>
      <c r="N4237">
        <v>2</v>
      </c>
      <c r="O4237" t="s">
        <v>6101</v>
      </c>
      <c r="P4237" t="s">
        <v>6113</v>
      </c>
      <c r="Q4237">
        <v>7</v>
      </c>
      <c r="R4237">
        <v>2026</v>
      </c>
      <c r="S4237" t="s">
        <v>6099</v>
      </c>
      <c r="T4237">
        <v>1</v>
      </c>
      <c r="U4237" t="s">
        <v>6020</v>
      </c>
      <c r="V4237">
        <v>0</v>
      </c>
    </row>
    <row r="4238" spans="1:22" x14ac:dyDescent="0.3">
      <c r="A4238" t="s">
        <v>4253</v>
      </c>
      <c r="B4238" s="2">
        <v>46214.71597222222</v>
      </c>
      <c r="C4238" s="2">
        <v>46215.382638888892</v>
      </c>
      <c r="D4238" t="s">
        <v>6027</v>
      </c>
      <c r="E4238" t="s">
        <v>6029</v>
      </c>
      <c r="F4238" t="s">
        <v>6034</v>
      </c>
      <c r="G4238" t="s">
        <v>6086</v>
      </c>
      <c r="H4238" t="s">
        <v>6098</v>
      </c>
      <c r="I4238">
        <v>24</v>
      </c>
      <c r="J4238">
        <v>16</v>
      </c>
      <c r="K4238" t="s">
        <v>6099</v>
      </c>
      <c r="L4238" t="s">
        <v>6100</v>
      </c>
      <c r="M4238" t="s">
        <v>6100</v>
      </c>
      <c r="O4238" t="s">
        <v>6101</v>
      </c>
      <c r="P4238" t="s">
        <v>6113</v>
      </c>
      <c r="Q4238">
        <v>7</v>
      </c>
      <c r="R4238">
        <v>2026</v>
      </c>
      <c r="S4238" t="s">
        <v>6099</v>
      </c>
      <c r="T4238">
        <v>1</v>
      </c>
      <c r="U4238" t="s">
        <v>6018</v>
      </c>
      <c r="V4238">
        <v>1</v>
      </c>
    </row>
    <row r="4239" spans="1:22" x14ac:dyDescent="0.3">
      <c r="A4239" t="s">
        <v>4254</v>
      </c>
      <c r="B4239" s="2">
        <v>46214.718055555553</v>
      </c>
      <c r="C4239" s="2">
        <v>46215.984722222223</v>
      </c>
      <c r="D4239" t="s">
        <v>6028</v>
      </c>
      <c r="E4239" t="s">
        <v>6031</v>
      </c>
      <c r="F4239" t="s">
        <v>6035</v>
      </c>
      <c r="G4239" t="s">
        <v>6078</v>
      </c>
      <c r="H4239" t="s">
        <v>6097</v>
      </c>
      <c r="I4239">
        <v>4</v>
      </c>
      <c r="J4239">
        <v>30.4</v>
      </c>
      <c r="K4239" t="s">
        <v>6099</v>
      </c>
      <c r="L4239" t="s">
        <v>6100</v>
      </c>
      <c r="M4239" t="s">
        <v>6100</v>
      </c>
      <c r="N4239">
        <v>3</v>
      </c>
      <c r="O4239" t="s">
        <v>6101</v>
      </c>
      <c r="P4239" t="s">
        <v>6113</v>
      </c>
      <c r="Q4239">
        <v>7</v>
      </c>
      <c r="R4239">
        <v>2026</v>
      </c>
      <c r="S4239" t="s">
        <v>6100</v>
      </c>
      <c r="T4239">
        <v>0</v>
      </c>
      <c r="U4239" t="s">
        <v>6020</v>
      </c>
      <c r="V4239">
        <v>1</v>
      </c>
    </row>
    <row r="4240" spans="1:22" x14ac:dyDescent="0.3">
      <c r="A4240" t="s">
        <v>4255</v>
      </c>
      <c r="B4240" s="2">
        <v>46214.722916666666</v>
      </c>
      <c r="C4240" s="2">
        <v>46215.102083333331</v>
      </c>
      <c r="D4240" t="s">
        <v>6028</v>
      </c>
      <c r="E4240" t="s">
        <v>6029</v>
      </c>
      <c r="F4240" t="s">
        <v>6035</v>
      </c>
      <c r="G4240" t="s">
        <v>6071</v>
      </c>
      <c r="H4240" t="s">
        <v>6098</v>
      </c>
      <c r="I4240">
        <v>4</v>
      </c>
      <c r="J4240">
        <v>9.1</v>
      </c>
      <c r="K4240" t="s">
        <v>6099</v>
      </c>
      <c r="L4240" t="s">
        <v>6100</v>
      </c>
      <c r="M4240" t="s">
        <v>6099</v>
      </c>
      <c r="N4240">
        <v>3</v>
      </c>
      <c r="O4240" t="s">
        <v>6101</v>
      </c>
      <c r="P4240" t="s">
        <v>6113</v>
      </c>
      <c r="Q4240">
        <v>7</v>
      </c>
      <c r="R4240">
        <v>2026</v>
      </c>
      <c r="S4240" t="s">
        <v>6100</v>
      </c>
      <c r="T4240">
        <v>0</v>
      </c>
      <c r="U4240" t="s">
        <v>6018</v>
      </c>
      <c r="V4240">
        <v>1</v>
      </c>
    </row>
    <row r="4241" spans="1:22" x14ac:dyDescent="0.3">
      <c r="A4241" t="s">
        <v>4256</v>
      </c>
      <c r="B4241" s="2">
        <v>46214.754166666666</v>
      </c>
      <c r="C4241" s="2">
        <v>46215.05</v>
      </c>
      <c r="D4241" t="s">
        <v>6028</v>
      </c>
      <c r="E4241" t="s">
        <v>6029</v>
      </c>
      <c r="F4241" t="s">
        <v>6033</v>
      </c>
      <c r="G4241" t="s">
        <v>6093</v>
      </c>
      <c r="H4241" t="s">
        <v>6097</v>
      </c>
      <c r="I4241">
        <v>72</v>
      </c>
      <c r="J4241">
        <v>7.1</v>
      </c>
      <c r="K4241" t="s">
        <v>6099</v>
      </c>
      <c r="L4241" t="s">
        <v>6100</v>
      </c>
      <c r="M4241" t="s">
        <v>6100</v>
      </c>
      <c r="O4241" t="s">
        <v>6101</v>
      </c>
      <c r="P4241" t="s">
        <v>6113</v>
      </c>
      <c r="Q4241">
        <v>7</v>
      </c>
      <c r="R4241">
        <v>2026</v>
      </c>
      <c r="S4241" t="s">
        <v>6099</v>
      </c>
      <c r="T4241">
        <v>1</v>
      </c>
      <c r="U4241" t="s">
        <v>6020</v>
      </c>
      <c r="V4241">
        <v>1</v>
      </c>
    </row>
    <row r="4242" spans="1:22" x14ac:dyDescent="0.3">
      <c r="A4242" t="s">
        <v>4257</v>
      </c>
      <c r="B4242" s="2">
        <v>46214.824305555558</v>
      </c>
      <c r="C4242" s="2">
        <v>46215.261805555558</v>
      </c>
      <c r="D4242" t="s">
        <v>6023</v>
      </c>
      <c r="E4242" t="s">
        <v>6032</v>
      </c>
      <c r="F4242" t="s">
        <v>6034</v>
      </c>
      <c r="G4242" t="s">
        <v>6066</v>
      </c>
      <c r="H4242" t="s">
        <v>6096</v>
      </c>
      <c r="I4242">
        <v>24</v>
      </c>
      <c r="J4242">
        <v>10.5</v>
      </c>
      <c r="K4242" t="s">
        <v>6100</v>
      </c>
      <c r="L4242" t="s">
        <v>6100</v>
      </c>
      <c r="M4242" t="s">
        <v>6100</v>
      </c>
      <c r="N4242">
        <v>5</v>
      </c>
      <c r="O4242" t="s">
        <v>6101</v>
      </c>
      <c r="P4242" t="s">
        <v>6113</v>
      </c>
      <c r="Q4242">
        <v>7</v>
      </c>
      <c r="R4242">
        <v>2026</v>
      </c>
      <c r="S4242" t="s">
        <v>6099</v>
      </c>
      <c r="T4242">
        <v>1</v>
      </c>
      <c r="U4242" t="s">
        <v>6017</v>
      </c>
      <c r="V4242">
        <v>0</v>
      </c>
    </row>
    <row r="4243" spans="1:22" x14ac:dyDescent="0.3">
      <c r="A4243" t="s">
        <v>4258</v>
      </c>
      <c r="B4243" s="2">
        <v>46214.962500000001</v>
      </c>
      <c r="C4243" s="2">
        <v>46215.258333333331</v>
      </c>
      <c r="D4243" t="s">
        <v>6023</v>
      </c>
      <c r="E4243" t="s">
        <v>6032</v>
      </c>
      <c r="F4243" t="s">
        <v>6033</v>
      </c>
      <c r="G4243" t="s">
        <v>6085</v>
      </c>
      <c r="H4243" t="s">
        <v>6097</v>
      </c>
      <c r="I4243">
        <v>72</v>
      </c>
      <c r="J4243">
        <v>7.1</v>
      </c>
      <c r="K4243" t="s">
        <v>6099</v>
      </c>
      <c r="L4243" t="s">
        <v>6100</v>
      </c>
      <c r="M4243" t="s">
        <v>6100</v>
      </c>
      <c r="N4243">
        <v>5</v>
      </c>
      <c r="O4243" t="s">
        <v>6101</v>
      </c>
      <c r="P4243" t="s">
        <v>6113</v>
      </c>
      <c r="Q4243">
        <v>7</v>
      </c>
      <c r="R4243">
        <v>2026</v>
      </c>
      <c r="S4243" t="s">
        <v>6099</v>
      </c>
      <c r="T4243">
        <v>1</v>
      </c>
      <c r="U4243" t="s">
        <v>6020</v>
      </c>
      <c r="V4243">
        <v>1</v>
      </c>
    </row>
    <row r="4244" spans="1:22" x14ac:dyDescent="0.3">
      <c r="A4244" t="s">
        <v>4259</v>
      </c>
      <c r="B4244" s="2">
        <v>46215.166666666664</v>
      </c>
      <c r="C4244" s="2">
        <v>46215.279166666667</v>
      </c>
      <c r="D4244" t="s">
        <v>6023</v>
      </c>
      <c r="E4244" t="s">
        <v>6030</v>
      </c>
      <c r="F4244" t="s">
        <v>6033</v>
      </c>
      <c r="G4244" t="s">
        <v>6065</v>
      </c>
      <c r="H4244" t="s">
        <v>6097</v>
      </c>
      <c r="I4244">
        <v>72</v>
      </c>
      <c r="J4244">
        <v>2.7</v>
      </c>
      <c r="K4244" t="s">
        <v>6099</v>
      </c>
      <c r="L4244" t="s">
        <v>6100</v>
      </c>
      <c r="M4244" t="s">
        <v>6100</v>
      </c>
      <c r="N4244">
        <v>5</v>
      </c>
      <c r="O4244" t="s">
        <v>6101</v>
      </c>
      <c r="P4244" t="s">
        <v>6113</v>
      </c>
      <c r="Q4244">
        <v>7</v>
      </c>
      <c r="R4244">
        <v>2026</v>
      </c>
      <c r="S4244" t="s">
        <v>6099</v>
      </c>
      <c r="T4244">
        <v>1</v>
      </c>
      <c r="U4244" t="s">
        <v>6018</v>
      </c>
      <c r="V4244">
        <v>1</v>
      </c>
    </row>
    <row r="4245" spans="1:22" x14ac:dyDescent="0.3">
      <c r="A4245" t="s">
        <v>4260</v>
      </c>
      <c r="B4245" s="2">
        <v>46215.189583333333</v>
      </c>
      <c r="C4245" s="2">
        <v>46217.981249999997</v>
      </c>
      <c r="D4245" t="s">
        <v>6025</v>
      </c>
      <c r="E4245" t="s">
        <v>6032</v>
      </c>
      <c r="F4245" t="s">
        <v>6034</v>
      </c>
      <c r="G4245" t="s">
        <v>6073</v>
      </c>
      <c r="H4245" t="s">
        <v>6096</v>
      </c>
      <c r="I4245">
        <v>24</v>
      </c>
      <c r="J4245">
        <v>67</v>
      </c>
      <c r="K4245" t="s">
        <v>6099</v>
      </c>
      <c r="L4245" t="s">
        <v>6100</v>
      </c>
      <c r="M4245" t="s">
        <v>6100</v>
      </c>
      <c r="N4245">
        <v>5</v>
      </c>
      <c r="O4245" t="s">
        <v>6101</v>
      </c>
      <c r="P4245" t="s">
        <v>6113</v>
      </c>
      <c r="Q4245">
        <v>7</v>
      </c>
      <c r="R4245">
        <v>2026</v>
      </c>
      <c r="S4245" t="s">
        <v>6100</v>
      </c>
      <c r="T4245">
        <v>0</v>
      </c>
      <c r="U4245" t="s">
        <v>6019</v>
      </c>
      <c r="V4245">
        <v>1</v>
      </c>
    </row>
    <row r="4246" spans="1:22" x14ac:dyDescent="0.3">
      <c r="A4246" t="s">
        <v>4261</v>
      </c>
      <c r="B4246" s="2">
        <v>46215.27847222222</v>
      </c>
      <c r="C4246" s="2">
        <v>46215.495138888888</v>
      </c>
      <c r="D4246" t="s">
        <v>6023</v>
      </c>
      <c r="E4246" t="s">
        <v>6030</v>
      </c>
      <c r="F4246" t="s">
        <v>6033</v>
      </c>
      <c r="G4246" t="s">
        <v>6074</v>
      </c>
      <c r="H4246" t="s">
        <v>6098</v>
      </c>
      <c r="I4246">
        <v>72</v>
      </c>
      <c r="J4246">
        <v>5.2</v>
      </c>
      <c r="K4246" t="s">
        <v>6100</v>
      </c>
      <c r="L4246" t="s">
        <v>6099</v>
      </c>
      <c r="M4246" t="s">
        <v>6100</v>
      </c>
      <c r="O4246" t="s">
        <v>6101</v>
      </c>
      <c r="P4246" t="s">
        <v>6113</v>
      </c>
      <c r="Q4246">
        <v>7</v>
      </c>
      <c r="R4246">
        <v>2026</v>
      </c>
      <c r="S4246" t="s">
        <v>6099</v>
      </c>
      <c r="T4246">
        <v>1</v>
      </c>
      <c r="U4246" t="s">
        <v>6021</v>
      </c>
      <c r="V4246">
        <v>0</v>
      </c>
    </row>
    <row r="4247" spans="1:22" x14ac:dyDescent="0.3">
      <c r="A4247" t="s">
        <v>4262</v>
      </c>
      <c r="B4247" s="2">
        <v>46215.352777777778</v>
      </c>
      <c r="C4247" s="2">
        <v>46216.098611111112</v>
      </c>
      <c r="D4247" t="s">
        <v>6023</v>
      </c>
      <c r="E4247" t="s">
        <v>6032</v>
      </c>
      <c r="F4247" t="s">
        <v>6034</v>
      </c>
      <c r="G4247" t="s">
        <v>6042</v>
      </c>
      <c r="H4247" t="s">
        <v>6098</v>
      </c>
      <c r="I4247">
        <v>24</v>
      </c>
      <c r="J4247">
        <v>17.899999999999999</v>
      </c>
      <c r="K4247" t="s">
        <v>6100</v>
      </c>
      <c r="L4247" t="s">
        <v>6099</v>
      </c>
      <c r="M4247" t="s">
        <v>6100</v>
      </c>
      <c r="N4247">
        <v>4</v>
      </c>
      <c r="O4247" t="s">
        <v>6101</v>
      </c>
      <c r="P4247" t="s">
        <v>6113</v>
      </c>
      <c r="Q4247">
        <v>7</v>
      </c>
      <c r="R4247">
        <v>2026</v>
      </c>
      <c r="S4247" t="s">
        <v>6099</v>
      </c>
      <c r="T4247">
        <v>1</v>
      </c>
      <c r="U4247" t="s">
        <v>6020</v>
      </c>
      <c r="V4247">
        <v>0</v>
      </c>
    </row>
    <row r="4248" spans="1:22" x14ac:dyDescent="0.3">
      <c r="A4248" t="s">
        <v>4263</v>
      </c>
      <c r="B4248" s="2">
        <v>46215.35833333333</v>
      </c>
      <c r="C4248" s="2">
        <v>46215.587500000001</v>
      </c>
      <c r="D4248" t="s">
        <v>6028</v>
      </c>
      <c r="E4248" t="s">
        <v>6029</v>
      </c>
      <c r="F4248" t="s">
        <v>6034</v>
      </c>
      <c r="G4248" t="s">
        <v>6065</v>
      </c>
      <c r="H4248" t="s">
        <v>6097</v>
      </c>
      <c r="I4248">
        <v>24</v>
      </c>
      <c r="J4248">
        <v>5.5</v>
      </c>
      <c r="K4248" t="s">
        <v>6100</v>
      </c>
      <c r="L4248" t="s">
        <v>6099</v>
      </c>
      <c r="M4248" t="s">
        <v>6100</v>
      </c>
      <c r="N4248">
        <v>4</v>
      </c>
      <c r="O4248" t="s">
        <v>6101</v>
      </c>
      <c r="P4248" t="s">
        <v>6113</v>
      </c>
      <c r="Q4248">
        <v>7</v>
      </c>
      <c r="R4248">
        <v>2026</v>
      </c>
      <c r="S4248" t="s">
        <v>6099</v>
      </c>
      <c r="T4248">
        <v>1</v>
      </c>
      <c r="U4248" t="s">
        <v>6020</v>
      </c>
      <c r="V4248">
        <v>0</v>
      </c>
    </row>
    <row r="4249" spans="1:22" x14ac:dyDescent="0.3">
      <c r="A4249" t="s">
        <v>4264</v>
      </c>
      <c r="B4249" s="2">
        <v>46215.368750000001</v>
      </c>
      <c r="C4249" s="2">
        <v>46216.847916666666</v>
      </c>
      <c r="D4249" t="s">
        <v>6023</v>
      </c>
      <c r="E4249" t="s">
        <v>6032</v>
      </c>
      <c r="F4249" t="s">
        <v>6034</v>
      </c>
      <c r="G4249" t="s">
        <v>6066</v>
      </c>
      <c r="H4249" t="s">
        <v>6096</v>
      </c>
      <c r="I4249">
        <v>24</v>
      </c>
      <c r="J4249">
        <v>35.5</v>
      </c>
      <c r="K4249" t="s">
        <v>6099</v>
      </c>
      <c r="L4249" t="s">
        <v>6100</v>
      </c>
      <c r="M4249" t="s">
        <v>6100</v>
      </c>
      <c r="O4249" t="s">
        <v>6101</v>
      </c>
      <c r="P4249" t="s">
        <v>6113</v>
      </c>
      <c r="Q4249">
        <v>7</v>
      </c>
      <c r="R4249">
        <v>2026</v>
      </c>
      <c r="S4249" t="s">
        <v>6100</v>
      </c>
      <c r="T4249">
        <v>0</v>
      </c>
      <c r="U4249" t="s">
        <v>6020</v>
      </c>
      <c r="V4249">
        <v>1</v>
      </c>
    </row>
    <row r="4250" spans="1:22" x14ac:dyDescent="0.3">
      <c r="A4250" t="s">
        <v>4265</v>
      </c>
      <c r="B4250" s="2">
        <v>46215.39166666667</v>
      </c>
      <c r="C4250" s="2">
        <v>46215.833333333336</v>
      </c>
      <c r="D4250" t="s">
        <v>6025</v>
      </c>
      <c r="E4250" t="s">
        <v>6029</v>
      </c>
      <c r="F4250" t="s">
        <v>6033</v>
      </c>
      <c r="G4250" t="s">
        <v>6092</v>
      </c>
      <c r="H4250" t="s">
        <v>6097</v>
      </c>
      <c r="I4250">
        <v>72</v>
      </c>
      <c r="J4250">
        <v>10.6</v>
      </c>
      <c r="K4250" t="s">
        <v>6100</v>
      </c>
      <c r="L4250" t="s">
        <v>6100</v>
      </c>
      <c r="M4250" t="s">
        <v>6100</v>
      </c>
      <c r="N4250">
        <v>4</v>
      </c>
      <c r="O4250" t="s">
        <v>6101</v>
      </c>
      <c r="P4250" t="s">
        <v>6113</v>
      </c>
      <c r="Q4250">
        <v>7</v>
      </c>
      <c r="R4250">
        <v>2026</v>
      </c>
      <c r="S4250" t="s">
        <v>6099</v>
      </c>
      <c r="T4250">
        <v>1</v>
      </c>
      <c r="U4250" t="s">
        <v>6017</v>
      </c>
      <c r="V4250">
        <v>0</v>
      </c>
    </row>
    <row r="4251" spans="1:22" x14ac:dyDescent="0.3">
      <c r="A4251" t="s">
        <v>4266</v>
      </c>
      <c r="B4251" s="2">
        <v>46215.39166666667</v>
      </c>
      <c r="C4251" s="2">
        <v>46216.770833333336</v>
      </c>
      <c r="D4251" t="s">
        <v>6024</v>
      </c>
      <c r="E4251" t="s">
        <v>6032</v>
      </c>
      <c r="F4251" t="s">
        <v>6034</v>
      </c>
      <c r="G4251" t="s">
        <v>6052</v>
      </c>
      <c r="H4251" t="s">
        <v>6098</v>
      </c>
      <c r="I4251">
        <v>24</v>
      </c>
      <c r="J4251">
        <v>33.1</v>
      </c>
      <c r="K4251" t="s">
        <v>6100</v>
      </c>
      <c r="L4251" t="s">
        <v>6099</v>
      </c>
      <c r="M4251" t="s">
        <v>6100</v>
      </c>
      <c r="N4251">
        <v>3</v>
      </c>
      <c r="O4251" t="s">
        <v>6101</v>
      </c>
      <c r="P4251" t="s">
        <v>6113</v>
      </c>
      <c r="Q4251">
        <v>7</v>
      </c>
      <c r="R4251">
        <v>2026</v>
      </c>
      <c r="S4251" t="s">
        <v>6100</v>
      </c>
      <c r="T4251">
        <v>0</v>
      </c>
      <c r="U4251" t="s">
        <v>6021</v>
      </c>
      <c r="V4251">
        <v>0</v>
      </c>
    </row>
    <row r="4252" spans="1:22" x14ac:dyDescent="0.3">
      <c r="A4252" t="s">
        <v>4267</v>
      </c>
      <c r="B4252" s="2">
        <v>46215.40625</v>
      </c>
      <c r="C4252" s="2">
        <v>46215.793749999997</v>
      </c>
      <c r="D4252" t="s">
        <v>6024</v>
      </c>
      <c r="E4252" t="s">
        <v>6029</v>
      </c>
      <c r="F4252" t="s">
        <v>6034</v>
      </c>
      <c r="G4252" t="s">
        <v>6042</v>
      </c>
      <c r="H4252" t="s">
        <v>6098</v>
      </c>
      <c r="I4252">
        <v>24</v>
      </c>
      <c r="J4252">
        <v>9.3000000000000007</v>
      </c>
      <c r="K4252" t="s">
        <v>6099</v>
      </c>
      <c r="L4252" t="s">
        <v>6100</v>
      </c>
      <c r="M4252" t="s">
        <v>6100</v>
      </c>
      <c r="N4252">
        <v>5</v>
      </c>
      <c r="O4252" t="s">
        <v>6101</v>
      </c>
      <c r="P4252" t="s">
        <v>6113</v>
      </c>
      <c r="Q4252">
        <v>7</v>
      </c>
      <c r="R4252">
        <v>2026</v>
      </c>
      <c r="S4252" t="s">
        <v>6099</v>
      </c>
      <c r="T4252">
        <v>1</v>
      </c>
      <c r="U4252" t="s">
        <v>6020</v>
      </c>
      <c r="V4252">
        <v>1</v>
      </c>
    </row>
    <row r="4253" spans="1:22" x14ac:dyDescent="0.3">
      <c r="A4253" t="s">
        <v>4268</v>
      </c>
      <c r="B4253" s="2">
        <v>46215.435416666667</v>
      </c>
      <c r="C4253" s="2">
        <v>46215.793749999997</v>
      </c>
      <c r="D4253" t="s">
        <v>6027</v>
      </c>
      <c r="E4253" t="s">
        <v>6031</v>
      </c>
      <c r="F4253" t="s">
        <v>6034</v>
      </c>
      <c r="G4253" t="s">
        <v>6074</v>
      </c>
      <c r="H4253" t="s">
        <v>6098</v>
      </c>
      <c r="I4253">
        <v>24</v>
      </c>
      <c r="J4253">
        <v>8.6</v>
      </c>
      <c r="K4253" t="s">
        <v>6099</v>
      </c>
      <c r="L4253" t="s">
        <v>6100</v>
      </c>
      <c r="M4253" t="s">
        <v>6100</v>
      </c>
      <c r="O4253" t="s">
        <v>6101</v>
      </c>
      <c r="P4253" t="s">
        <v>6113</v>
      </c>
      <c r="Q4253">
        <v>7</v>
      </c>
      <c r="R4253">
        <v>2026</v>
      </c>
      <c r="S4253" t="s">
        <v>6099</v>
      </c>
      <c r="T4253">
        <v>1</v>
      </c>
      <c r="U4253" t="s">
        <v>6021</v>
      </c>
      <c r="V4253">
        <v>1</v>
      </c>
    </row>
    <row r="4254" spans="1:22" x14ac:dyDescent="0.3">
      <c r="A4254" t="s">
        <v>4269</v>
      </c>
      <c r="B4254" s="2">
        <v>46215.460416666669</v>
      </c>
      <c r="C4254" s="2">
        <v>46216.510416666664</v>
      </c>
      <c r="D4254" t="s">
        <v>6028</v>
      </c>
      <c r="E4254" t="s">
        <v>6032</v>
      </c>
      <c r="F4254" t="s">
        <v>6034</v>
      </c>
      <c r="G4254" t="s">
        <v>6078</v>
      </c>
      <c r="H4254" t="s">
        <v>6097</v>
      </c>
      <c r="I4254">
        <v>24</v>
      </c>
      <c r="J4254">
        <v>25.2</v>
      </c>
      <c r="K4254" t="s">
        <v>6099</v>
      </c>
      <c r="L4254" t="s">
        <v>6100</v>
      </c>
      <c r="M4254" t="s">
        <v>6100</v>
      </c>
      <c r="N4254">
        <v>3</v>
      </c>
      <c r="O4254" t="s">
        <v>6101</v>
      </c>
      <c r="P4254" t="s">
        <v>6113</v>
      </c>
      <c r="Q4254">
        <v>7</v>
      </c>
      <c r="R4254">
        <v>2026</v>
      </c>
      <c r="S4254" t="s">
        <v>6100</v>
      </c>
      <c r="T4254">
        <v>0</v>
      </c>
      <c r="U4254" t="s">
        <v>6021</v>
      </c>
      <c r="V4254">
        <v>1</v>
      </c>
    </row>
    <row r="4255" spans="1:22" x14ac:dyDescent="0.3">
      <c r="A4255" t="s">
        <v>4270</v>
      </c>
      <c r="B4255" s="2">
        <v>46215.46597222222</v>
      </c>
      <c r="C4255" s="2">
        <v>46215.832638888889</v>
      </c>
      <c r="D4255" t="s">
        <v>6023</v>
      </c>
      <c r="E4255" t="s">
        <v>6030</v>
      </c>
      <c r="F4255" t="s">
        <v>6034</v>
      </c>
      <c r="G4255" t="s">
        <v>6045</v>
      </c>
      <c r="H4255" t="s">
        <v>6096</v>
      </c>
      <c r="I4255">
        <v>24</v>
      </c>
      <c r="J4255">
        <v>8.8000000000000007</v>
      </c>
      <c r="K4255" t="s">
        <v>6099</v>
      </c>
      <c r="L4255" t="s">
        <v>6100</v>
      </c>
      <c r="M4255" t="s">
        <v>6100</v>
      </c>
      <c r="O4255" t="s">
        <v>6101</v>
      </c>
      <c r="P4255" t="s">
        <v>6113</v>
      </c>
      <c r="Q4255">
        <v>7</v>
      </c>
      <c r="R4255">
        <v>2026</v>
      </c>
      <c r="S4255" t="s">
        <v>6099</v>
      </c>
      <c r="T4255">
        <v>1</v>
      </c>
      <c r="U4255" t="s">
        <v>6017</v>
      </c>
      <c r="V4255">
        <v>1</v>
      </c>
    </row>
    <row r="4256" spans="1:22" x14ac:dyDescent="0.3">
      <c r="A4256" t="s">
        <v>4271</v>
      </c>
      <c r="B4256" s="2">
        <v>46215.502083333333</v>
      </c>
      <c r="C4256" s="2">
        <v>46215.697916666664</v>
      </c>
      <c r="D4256" t="s">
        <v>6022</v>
      </c>
      <c r="E4256" t="s">
        <v>6030</v>
      </c>
      <c r="F4256" t="s">
        <v>6033</v>
      </c>
      <c r="G4256" t="s">
        <v>6084</v>
      </c>
      <c r="H4256" t="s">
        <v>6098</v>
      </c>
      <c r="I4256">
        <v>72</v>
      </c>
      <c r="J4256">
        <v>4.7</v>
      </c>
      <c r="K4256" t="s">
        <v>6099</v>
      </c>
      <c r="L4256" t="s">
        <v>6100</v>
      </c>
      <c r="M4256" t="s">
        <v>6100</v>
      </c>
      <c r="O4256" t="s">
        <v>6101</v>
      </c>
      <c r="P4256" t="s">
        <v>6113</v>
      </c>
      <c r="Q4256">
        <v>7</v>
      </c>
      <c r="R4256">
        <v>2026</v>
      </c>
      <c r="S4256" t="s">
        <v>6099</v>
      </c>
      <c r="T4256">
        <v>1</v>
      </c>
      <c r="U4256" t="s">
        <v>6021</v>
      </c>
      <c r="V4256">
        <v>1</v>
      </c>
    </row>
    <row r="4257" spans="1:22" x14ac:dyDescent="0.3">
      <c r="A4257" t="s">
        <v>4272</v>
      </c>
      <c r="B4257" s="2">
        <v>46215.503472222219</v>
      </c>
      <c r="C4257" s="2">
        <v>46215.815972222219</v>
      </c>
      <c r="D4257" t="s">
        <v>6024</v>
      </c>
      <c r="E4257" t="s">
        <v>6030</v>
      </c>
      <c r="F4257" t="s">
        <v>6033</v>
      </c>
      <c r="G4257" t="s">
        <v>6082</v>
      </c>
      <c r="H4257" t="s">
        <v>6097</v>
      </c>
      <c r="I4257">
        <v>72</v>
      </c>
      <c r="J4257">
        <v>7.5</v>
      </c>
      <c r="K4257" t="s">
        <v>6099</v>
      </c>
      <c r="L4257" t="s">
        <v>6100</v>
      </c>
      <c r="M4257" t="s">
        <v>6100</v>
      </c>
      <c r="O4257" t="s">
        <v>6101</v>
      </c>
      <c r="P4257" t="s">
        <v>6113</v>
      </c>
      <c r="Q4257">
        <v>7</v>
      </c>
      <c r="R4257">
        <v>2026</v>
      </c>
      <c r="S4257" t="s">
        <v>6099</v>
      </c>
      <c r="T4257">
        <v>1</v>
      </c>
      <c r="U4257" t="s">
        <v>6021</v>
      </c>
      <c r="V4257">
        <v>1</v>
      </c>
    </row>
    <row r="4258" spans="1:22" x14ac:dyDescent="0.3">
      <c r="A4258" t="s">
        <v>4273</v>
      </c>
      <c r="B4258" s="2">
        <v>46215.506944444445</v>
      </c>
      <c r="C4258" s="2">
        <v>46215.956944444442</v>
      </c>
      <c r="D4258" t="s">
        <v>6023</v>
      </c>
      <c r="E4258" t="s">
        <v>6029</v>
      </c>
      <c r="F4258" t="s">
        <v>6033</v>
      </c>
      <c r="G4258" t="s">
        <v>6044</v>
      </c>
      <c r="H4258" t="s">
        <v>6097</v>
      </c>
      <c r="I4258">
        <v>72</v>
      </c>
      <c r="J4258">
        <v>10.8</v>
      </c>
      <c r="K4258" t="s">
        <v>6099</v>
      </c>
      <c r="L4258" t="s">
        <v>6100</v>
      </c>
      <c r="M4258" t="s">
        <v>6100</v>
      </c>
      <c r="N4258">
        <v>5</v>
      </c>
      <c r="O4258" t="s">
        <v>6101</v>
      </c>
      <c r="P4258" t="s">
        <v>6113</v>
      </c>
      <c r="Q4258">
        <v>7</v>
      </c>
      <c r="R4258">
        <v>2026</v>
      </c>
      <c r="S4258" t="s">
        <v>6099</v>
      </c>
      <c r="T4258">
        <v>1</v>
      </c>
      <c r="U4258" t="s">
        <v>6021</v>
      </c>
      <c r="V4258">
        <v>1</v>
      </c>
    </row>
    <row r="4259" spans="1:22" x14ac:dyDescent="0.3">
      <c r="A4259" t="s">
        <v>4274</v>
      </c>
      <c r="B4259" s="2">
        <v>46215.51458333333</v>
      </c>
      <c r="C4259" s="2">
        <v>46215.877083333333</v>
      </c>
      <c r="D4259" t="s">
        <v>6022</v>
      </c>
      <c r="E4259" t="s">
        <v>6030</v>
      </c>
      <c r="F4259" t="s">
        <v>6035</v>
      </c>
      <c r="G4259" t="s">
        <v>6077</v>
      </c>
      <c r="H4259" t="s">
        <v>6098</v>
      </c>
      <c r="I4259">
        <v>4</v>
      </c>
      <c r="J4259">
        <v>8.6999999999999993</v>
      </c>
      <c r="K4259" t="s">
        <v>6099</v>
      </c>
      <c r="L4259" t="s">
        <v>6100</v>
      </c>
      <c r="M4259" t="s">
        <v>6099</v>
      </c>
      <c r="N4259">
        <v>5</v>
      </c>
      <c r="O4259" t="s">
        <v>6101</v>
      </c>
      <c r="P4259" t="s">
        <v>6113</v>
      </c>
      <c r="Q4259">
        <v>7</v>
      </c>
      <c r="R4259">
        <v>2026</v>
      </c>
      <c r="S4259" t="s">
        <v>6100</v>
      </c>
      <c r="T4259">
        <v>0</v>
      </c>
      <c r="U4259" t="s">
        <v>6021</v>
      </c>
      <c r="V4259">
        <v>1</v>
      </c>
    </row>
    <row r="4260" spans="1:22" x14ac:dyDescent="0.3">
      <c r="A4260" t="s">
        <v>4275</v>
      </c>
      <c r="B4260" s="2">
        <v>46215.518055555556</v>
      </c>
      <c r="C4260" s="2">
        <v>46215.768055555556</v>
      </c>
      <c r="D4260" t="s">
        <v>6028</v>
      </c>
      <c r="E4260" t="s">
        <v>6029</v>
      </c>
      <c r="F4260" t="s">
        <v>6035</v>
      </c>
      <c r="G4260" t="s">
        <v>6094</v>
      </c>
      <c r="H4260" t="s">
        <v>6098</v>
      </c>
      <c r="I4260">
        <v>4</v>
      </c>
      <c r="J4260">
        <v>6</v>
      </c>
      <c r="K4260" t="s">
        <v>6099</v>
      </c>
      <c r="L4260" t="s">
        <v>6100</v>
      </c>
      <c r="M4260" t="s">
        <v>6099</v>
      </c>
      <c r="N4260">
        <v>4</v>
      </c>
      <c r="O4260" t="s">
        <v>6101</v>
      </c>
      <c r="P4260" t="s">
        <v>6113</v>
      </c>
      <c r="Q4260">
        <v>7</v>
      </c>
      <c r="R4260">
        <v>2026</v>
      </c>
      <c r="S4260" t="s">
        <v>6100</v>
      </c>
      <c r="T4260">
        <v>0</v>
      </c>
      <c r="U4260" t="s">
        <v>6020</v>
      </c>
      <c r="V4260">
        <v>1</v>
      </c>
    </row>
    <row r="4261" spans="1:22" x14ac:dyDescent="0.3">
      <c r="A4261" t="s">
        <v>4276</v>
      </c>
      <c r="B4261" s="2">
        <v>46215.571527777778</v>
      </c>
      <c r="C4261" s="2">
        <v>46216.450694444444</v>
      </c>
      <c r="D4261" t="s">
        <v>6028</v>
      </c>
      <c r="E4261" t="s">
        <v>6031</v>
      </c>
      <c r="F4261" t="s">
        <v>6035</v>
      </c>
      <c r="G4261" t="s">
        <v>6083</v>
      </c>
      <c r="H4261" t="s">
        <v>6096</v>
      </c>
      <c r="I4261">
        <v>4</v>
      </c>
      <c r="J4261">
        <v>21.1</v>
      </c>
      <c r="K4261" t="s">
        <v>6099</v>
      </c>
      <c r="L4261" t="s">
        <v>6100</v>
      </c>
      <c r="M4261" t="s">
        <v>6100</v>
      </c>
      <c r="O4261" t="s">
        <v>6101</v>
      </c>
      <c r="P4261" t="s">
        <v>6113</v>
      </c>
      <c r="Q4261">
        <v>7</v>
      </c>
      <c r="R4261">
        <v>2026</v>
      </c>
      <c r="S4261" t="s">
        <v>6100</v>
      </c>
      <c r="T4261">
        <v>0</v>
      </c>
      <c r="U4261" t="s">
        <v>6021</v>
      </c>
      <c r="V4261">
        <v>1</v>
      </c>
    </row>
    <row r="4262" spans="1:22" x14ac:dyDescent="0.3">
      <c r="A4262" t="s">
        <v>4277</v>
      </c>
      <c r="B4262" s="2">
        <v>46215.613888888889</v>
      </c>
      <c r="C4262" s="2">
        <v>46225.109722222223</v>
      </c>
      <c r="D4262" t="s">
        <v>6026</v>
      </c>
      <c r="E4262" t="s">
        <v>6032</v>
      </c>
      <c r="F4262" t="s">
        <v>6034</v>
      </c>
      <c r="G4262" t="s">
        <v>6065</v>
      </c>
      <c r="H4262" t="s">
        <v>6097</v>
      </c>
      <c r="I4262">
        <v>24</v>
      </c>
      <c r="J4262">
        <v>227.9</v>
      </c>
      <c r="K4262" t="s">
        <v>6099</v>
      </c>
      <c r="L4262" t="s">
        <v>6100</v>
      </c>
      <c r="M4262" t="s">
        <v>6100</v>
      </c>
      <c r="N4262">
        <v>5</v>
      </c>
      <c r="O4262" t="s">
        <v>6101</v>
      </c>
      <c r="P4262" t="s">
        <v>6113</v>
      </c>
      <c r="Q4262">
        <v>7</v>
      </c>
      <c r="R4262">
        <v>2026</v>
      </c>
      <c r="S4262" t="s">
        <v>6100</v>
      </c>
      <c r="T4262">
        <v>0</v>
      </c>
      <c r="U4262" t="s">
        <v>6017</v>
      </c>
      <c r="V4262">
        <v>1</v>
      </c>
    </row>
    <row r="4263" spans="1:22" x14ac:dyDescent="0.3">
      <c r="A4263" t="s">
        <v>4278</v>
      </c>
      <c r="B4263" s="2">
        <v>46215.640972222223</v>
      </c>
      <c r="C4263" s="2">
        <v>46216.186805555553</v>
      </c>
      <c r="D4263" t="s">
        <v>6023</v>
      </c>
      <c r="E4263" t="s">
        <v>6029</v>
      </c>
      <c r="F4263" t="s">
        <v>6034</v>
      </c>
      <c r="G4263" t="s">
        <v>6091</v>
      </c>
      <c r="H4263" t="s">
        <v>6097</v>
      </c>
      <c r="I4263">
        <v>24</v>
      </c>
      <c r="J4263">
        <v>13.1</v>
      </c>
      <c r="K4263" t="s">
        <v>6100</v>
      </c>
      <c r="L4263" t="s">
        <v>6099</v>
      </c>
      <c r="M4263" t="s">
        <v>6100</v>
      </c>
      <c r="N4263">
        <v>4</v>
      </c>
      <c r="O4263" t="s">
        <v>6101</v>
      </c>
      <c r="P4263" t="s">
        <v>6113</v>
      </c>
      <c r="Q4263">
        <v>7</v>
      </c>
      <c r="R4263">
        <v>2026</v>
      </c>
      <c r="S4263" t="s">
        <v>6099</v>
      </c>
      <c r="T4263">
        <v>1</v>
      </c>
      <c r="U4263" t="s">
        <v>6019</v>
      </c>
      <c r="V4263">
        <v>0</v>
      </c>
    </row>
    <row r="4264" spans="1:22" x14ac:dyDescent="0.3">
      <c r="A4264" t="s">
        <v>4279</v>
      </c>
      <c r="B4264" s="2">
        <v>46215.642361111109</v>
      </c>
      <c r="C4264" s="2">
        <v>46220.754861111112</v>
      </c>
      <c r="D4264" t="s">
        <v>6026</v>
      </c>
      <c r="E4264" t="s">
        <v>6031</v>
      </c>
      <c r="F4264" t="s">
        <v>6033</v>
      </c>
      <c r="G4264" t="s">
        <v>6045</v>
      </c>
      <c r="H4264" t="s">
        <v>6096</v>
      </c>
      <c r="I4264">
        <v>72</v>
      </c>
      <c r="J4264">
        <v>122.7</v>
      </c>
      <c r="K4264" t="s">
        <v>6099</v>
      </c>
      <c r="L4264" t="s">
        <v>6100</v>
      </c>
      <c r="M4264" t="s">
        <v>6100</v>
      </c>
      <c r="N4264">
        <v>4</v>
      </c>
      <c r="O4264" t="s">
        <v>6101</v>
      </c>
      <c r="P4264" t="s">
        <v>6113</v>
      </c>
      <c r="Q4264">
        <v>7</v>
      </c>
      <c r="R4264">
        <v>2026</v>
      </c>
      <c r="S4264" t="s">
        <v>6100</v>
      </c>
      <c r="T4264">
        <v>0</v>
      </c>
      <c r="U4264" t="s">
        <v>6021</v>
      </c>
      <c r="V4264">
        <v>1</v>
      </c>
    </row>
    <row r="4265" spans="1:22" x14ac:dyDescent="0.3">
      <c r="A4265" t="s">
        <v>4280</v>
      </c>
      <c r="B4265" s="2">
        <v>46215.648611111108</v>
      </c>
      <c r="C4265" s="2">
        <v>46215.811111111114</v>
      </c>
      <c r="D4265" t="s">
        <v>6024</v>
      </c>
      <c r="E4265" t="s">
        <v>6029</v>
      </c>
      <c r="F4265" t="s">
        <v>6034</v>
      </c>
      <c r="G4265" t="s">
        <v>6037</v>
      </c>
      <c r="H4265" t="s">
        <v>6096</v>
      </c>
      <c r="I4265">
        <v>24</v>
      </c>
      <c r="J4265">
        <v>3.9</v>
      </c>
      <c r="K4265" t="s">
        <v>6100</v>
      </c>
      <c r="L4265" t="s">
        <v>6100</v>
      </c>
      <c r="M4265" t="s">
        <v>6100</v>
      </c>
      <c r="N4265">
        <v>4</v>
      </c>
      <c r="O4265" t="s">
        <v>6101</v>
      </c>
      <c r="P4265" t="s">
        <v>6113</v>
      </c>
      <c r="Q4265">
        <v>7</v>
      </c>
      <c r="R4265">
        <v>2026</v>
      </c>
      <c r="S4265" t="s">
        <v>6099</v>
      </c>
      <c r="T4265">
        <v>1</v>
      </c>
      <c r="U4265" t="s">
        <v>6020</v>
      </c>
      <c r="V4265">
        <v>0</v>
      </c>
    </row>
    <row r="4266" spans="1:22" x14ac:dyDescent="0.3">
      <c r="A4266" t="s">
        <v>4281</v>
      </c>
      <c r="B4266" s="2">
        <v>46215.782638888886</v>
      </c>
      <c r="C4266" s="2">
        <v>46216.220138888886</v>
      </c>
      <c r="D4266" t="s">
        <v>6028</v>
      </c>
      <c r="E4266" t="s">
        <v>6031</v>
      </c>
      <c r="F4266" t="s">
        <v>6034</v>
      </c>
      <c r="G4266" t="s">
        <v>6090</v>
      </c>
      <c r="H4266" t="s">
        <v>6097</v>
      </c>
      <c r="I4266">
        <v>24</v>
      </c>
      <c r="J4266">
        <v>10.5</v>
      </c>
      <c r="K4266" t="s">
        <v>6099</v>
      </c>
      <c r="L4266" t="s">
        <v>6100</v>
      </c>
      <c r="M4266" t="s">
        <v>6100</v>
      </c>
      <c r="O4266" t="s">
        <v>6101</v>
      </c>
      <c r="P4266" t="s">
        <v>6113</v>
      </c>
      <c r="Q4266">
        <v>7</v>
      </c>
      <c r="R4266">
        <v>2026</v>
      </c>
      <c r="S4266" t="s">
        <v>6099</v>
      </c>
      <c r="T4266">
        <v>1</v>
      </c>
      <c r="U4266" t="s">
        <v>6018</v>
      </c>
      <c r="V4266">
        <v>1</v>
      </c>
    </row>
    <row r="4267" spans="1:22" x14ac:dyDescent="0.3">
      <c r="A4267" t="s">
        <v>4282</v>
      </c>
      <c r="B4267" s="2">
        <v>46215.804166666669</v>
      </c>
      <c r="C4267" s="2">
        <v>46215.95</v>
      </c>
      <c r="D4267" t="s">
        <v>6024</v>
      </c>
      <c r="E4267" t="s">
        <v>6030</v>
      </c>
      <c r="F4267" t="s">
        <v>6034</v>
      </c>
      <c r="G4267" t="s">
        <v>6060</v>
      </c>
      <c r="H4267" t="s">
        <v>6097</v>
      </c>
      <c r="I4267">
        <v>24</v>
      </c>
      <c r="J4267">
        <v>3.5</v>
      </c>
      <c r="K4267" t="s">
        <v>6099</v>
      </c>
      <c r="L4267" t="s">
        <v>6100</v>
      </c>
      <c r="M4267" t="s">
        <v>6100</v>
      </c>
      <c r="N4267">
        <v>4</v>
      </c>
      <c r="O4267" t="s">
        <v>6101</v>
      </c>
      <c r="P4267" t="s">
        <v>6113</v>
      </c>
      <c r="Q4267">
        <v>7</v>
      </c>
      <c r="R4267">
        <v>2026</v>
      </c>
      <c r="S4267" t="s">
        <v>6099</v>
      </c>
      <c r="T4267">
        <v>1</v>
      </c>
      <c r="U4267" t="s">
        <v>6019</v>
      </c>
      <c r="V4267">
        <v>1</v>
      </c>
    </row>
    <row r="4268" spans="1:22" x14ac:dyDescent="0.3">
      <c r="A4268" t="s">
        <v>4283</v>
      </c>
      <c r="B4268" s="2">
        <v>46215.831250000003</v>
      </c>
      <c r="C4268" s="2">
        <v>46216.21875</v>
      </c>
      <c r="D4268" t="s">
        <v>6023</v>
      </c>
      <c r="E4268" t="s">
        <v>6029</v>
      </c>
      <c r="F4268" t="s">
        <v>6034</v>
      </c>
      <c r="G4268" t="s">
        <v>6052</v>
      </c>
      <c r="H4268" t="s">
        <v>6098</v>
      </c>
      <c r="I4268">
        <v>24</v>
      </c>
      <c r="J4268">
        <v>9.3000000000000007</v>
      </c>
      <c r="K4268" t="s">
        <v>6099</v>
      </c>
      <c r="L4268" t="s">
        <v>6100</v>
      </c>
      <c r="M4268" t="s">
        <v>6100</v>
      </c>
      <c r="N4268">
        <v>5</v>
      </c>
      <c r="O4268" t="s">
        <v>6101</v>
      </c>
      <c r="P4268" t="s">
        <v>6113</v>
      </c>
      <c r="Q4268">
        <v>7</v>
      </c>
      <c r="R4268">
        <v>2026</v>
      </c>
      <c r="S4268" t="s">
        <v>6099</v>
      </c>
      <c r="T4268">
        <v>1</v>
      </c>
      <c r="U4268" t="s">
        <v>6018</v>
      </c>
      <c r="V4268">
        <v>1</v>
      </c>
    </row>
    <row r="4269" spans="1:22" x14ac:dyDescent="0.3">
      <c r="A4269" t="s">
        <v>4284</v>
      </c>
      <c r="B4269" s="2">
        <v>46216.21875</v>
      </c>
      <c r="C4269" s="2">
        <v>46217.414583333331</v>
      </c>
      <c r="D4269" t="s">
        <v>6025</v>
      </c>
      <c r="E4269" t="s">
        <v>6031</v>
      </c>
      <c r="F4269" t="s">
        <v>6034</v>
      </c>
      <c r="G4269" t="s">
        <v>6065</v>
      </c>
      <c r="H4269" t="s">
        <v>6097</v>
      </c>
      <c r="I4269">
        <v>24</v>
      </c>
      <c r="J4269">
        <v>28.7</v>
      </c>
      <c r="K4269" t="s">
        <v>6099</v>
      </c>
      <c r="L4269" t="s">
        <v>6100</v>
      </c>
      <c r="M4269" t="s">
        <v>6100</v>
      </c>
      <c r="O4269" t="s">
        <v>6101</v>
      </c>
      <c r="P4269" t="s">
        <v>6113</v>
      </c>
      <c r="Q4269">
        <v>7</v>
      </c>
      <c r="R4269">
        <v>2026</v>
      </c>
      <c r="S4269" t="s">
        <v>6100</v>
      </c>
      <c r="T4269">
        <v>0</v>
      </c>
      <c r="U4269" t="s">
        <v>6020</v>
      </c>
      <c r="V4269">
        <v>1</v>
      </c>
    </row>
    <row r="4270" spans="1:22" x14ac:dyDescent="0.3">
      <c r="A4270" t="s">
        <v>4285</v>
      </c>
      <c r="B4270" s="2">
        <v>46216.279861111114</v>
      </c>
      <c r="C4270" s="2">
        <v>46217.134027777778</v>
      </c>
      <c r="D4270" t="s">
        <v>6022</v>
      </c>
      <c r="E4270" t="s">
        <v>6029</v>
      </c>
      <c r="F4270" t="s">
        <v>6033</v>
      </c>
      <c r="G4270" t="s">
        <v>6039</v>
      </c>
      <c r="H4270" t="s">
        <v>6097</v>
      </c>
      <c r="I4270">
        <v>72</v>
      </c>
      <c r="J4270">
        <v>20.5</v>
      </c>
      <c r="K4270" t="s">
        <v>6099</v>
      </c>
      <c r="L4270" t="s">
        <v>6100</v>
      </c>
      <c r="M4270" t="s">
        <v>6099</v>
      </c>
      <c r="O4270" t="s">
        <v>6101</v>
      </c>
      <c r="P4270" t="s">
        <v>6113</v>
      </c>
      <c r="Q4270">
        <v>7</v>
      </c>
      <c r="R4270">
        <v>2026</v>
      </c>
      <c r="S4270" t="s">
        <v>6099</v>
      </c>
      <c r="T4270">
        <v>1</v>
      </c>
      <c r="U4270" t="s">
        <v>6018</v>
      </c>
      <c r="V4270">
        <v>1</v>
      </c>
    </row>
    <row r="4271" spans="1:22" x14ac:dyDescent="0.3">
      <c r="A4271" t="s">
        <v>4286</v>
      </c>
      <c r="B4271" s="2">
        <v>46216.400694444441</v>
      </c>
      <c r="C4271" s="2">
        <v>46216.609027777777</v>
      </c>
      <c r="D4271" t="s">
        <v>6023</v>
      </c>
      <c r="E4271" t="s">
        <v>6030</v>
      </c>
      <c r="F4271" t="s">
        <v>6034</v>
      </c>
      <c r="G4271" t="s">
        <v>6095</v>
      </c>
      <c r="H4271" t="s">
        <v>6098</v>
      </c>
      <c r="I4271">
        <v>24</v>
      </c>
      <c r="J4271">
        <v>5</v>
      </c>
      <c r="K4271" t="s">
        <v>6099</v>
      </c>
      <c r="L4271" t="s">
        <v>6100</v>
      </c>
      <c r="M4271" t="s">
        <v>6100</v>
      </c>
      <c r="N4271">
        <v>4</v>
      </c>
      <c r="O4271" t="s">
        <v>6101</v>
      </c>
      <c r="P4271" t="s">
        <v>6113</v>
      </c>
      <c r="Q4271">
        <v>7</v>
      </c>
      <c r="R4271">
        <v>2026</v>
      </c>
      <c r="S4271" t="s">
        <v>6099</v>
      </c>
      <c r="T4271">
        <v>1</v>
      </c>
      <c r="U4271" t="s">
        <v>6018</v>
      </c>
      <c r="V4271">
        <v>1</v>
      </c>
    </row>
    <row r="4272" spans="1:22" x14ac:dyDescent="0.3">
      <c r="A4272" t="s">
        <v>4287</v>
      </c>
      <c r="B4272" s="2">
        <v>46216.418055555558</v>
      </c>
      <c r="C4272" s="2">
        <v>46216.655555555553</v>
      </c>
      <c r="D4272" t="s">
        <v>6028</v>
      </c>
      <c r="E4272" t="s">
        <v>6030</v>
      </c>
      <c r="F4272" t="s">
        <v>6035</v>
      </c>
      <c r="G4272" t="s">
        <v>6083</v>
      </c>
      <c r="H4272" t="s">
        <v>6096</v>
      </c>
      <c r="I4272">
        <v>4</v>
      </c>
      <c r="J4272">
        <v>5.7</v>
      </c>
      <c r="K4272" t="s">
        <v>6099</v>
      </c>
      <c r="L4272" t="s">
        <v>6100</v>
      </c>
      <c r="M4272" t="s">
        <v>6100</v>
      </c>
      <c r="O4272" t="s">
        <v>6101</v>
      </c>
      <c r="P4272" t="s">
        <v>6113</v>
      </c>
      <c r="Q4272">
        <v>7</v>
      </c>
      <c r="R4272">
        <v>2026</v>
      </c>
      <c r="S4272" t="s">
        <v>6100</v>
      </c>
      <c r="T4272">
        <v>0</v>
      </c>
      <c r="U4272" t="s">
        <v>6018</v>
      </c>
      <c r="V4272">
        <v>1</v>
      </c>
    </row>
    <row r="4273" spans="1:22" x14ac:dyDescent="0.3">
      <c r="A4273" t="s">
        <v>4288</v>
      </c>
      <c r="B4273" s="2">
        <v>46216.451388888891</v>
      </c>
      <c r="C4273" s="2">
        <v>46218.963888888888</v>
      </c>
      <c r="D4273" t="s">
        <v>6025</v>
      </c>
      <c r="E4273" t="s">
        <v>6031</v>
      </c>
      <c r="F4273" t="s">
        <v>6034</v>
      </c>
      <c r="G4273" t="s">
        <v>6060</v>
      </c>
      <c r="H4273" t="s">
        <v>6097</v>
      </c>
      <c r="I4273">
        <v>24</v>
      </c>
      <c r="J4273">
        <v>60.3</v>
      </c>
      <c r="K4273" t="s">
        <v>6099</v>
      </c>
      <c r="L4273" t="s">
        <v>6100</v>
      </c>
      <c r="M4273" t="s">
        <v>6100</v>
      </c>
      <c r="O4273" t="s">
        <v>6101</v>
      </c>
      <c r="P4273" t="s">
        <v>6113</v>
      </c>
      <c r="Q4273">
        <v>7</v>
      </c>
      <c r="R4273">
        <v>2026</v>
      </c>
      <c r="S4273" t="s">
        <v>6100</v>
      </c>
      <c r="T4273">
        <v>0</v>
      </c>
      <c r="U4273" t="s">
        <v>6018</v>
      </c>
      <c r="V4273">
        <v>1</v>
      </c>
    </row>
    <row r="4274" spans="1:22" x14ac:dyDescent="0.3">
      <c r="A4274" t="s">
        <v>4289</v>
      </c>
      <c r="B4274" s="2">
        <v>46216.474305555559</v>
      </c>
      <c r="C4274" s="2">
        <v>46217.532638888886</v>
      </c>
      <c r="D4274" t="s">
        <v>6027</v>
      </c>
      <c r="E4274" t="s">
        <v>6032</v>
      </c>
      <c r="F4274" t="s">
        <v>6034</v>
      </c>
      <c r="G4274" t="s">
        <v>6039</v>
      </c>
      <c r="H4274" t="s">
        <v>6097</v>
      </c>
      <c r="I4274">
        <v>24</v>
      </c>
      <c r="J4274">
        <v>25.4</v>
      </c>
      <c r="K4274" t="s">
        <v>6099</v>
      </c>
      <c r="L4274" t="s">
        <v>6100</v>
      </c>
      <c r="M4274" t="s">
        <v>6100</v>
      </c>
      <c r="O4274" t="s">
        <v>6101</v>
      </c>
      <c r="P4274" t="s">
        <v>6113</v>
      </c>
      <c r="Q4274">
        <v>7</v>
      </c>
      <c r="R4274">
        <v>2026</v>
      </c>
      <c r="S4274" t="s">
        <v>6100</v>
      </c>
      <c r="T4274">
        <v>0</v>
      </c>
      <c r="U4274" t="s">
        <v>6017</v>
      </c>
      <c r="V4274">
        <v>1</v>
      </c>
    </row>
    <row r="4275" spans="1:22" x14ac:dyDescent="0.3">
      <c r="A4275" t="s">
        <v>4290</v>
      </c>
      <c r="B4275" s="2">
        <v>46216.480555555558</v>
      </c>
      <c r="C4275" s="2">
        <v>46216.538888888892</v>
      </c>
      <c r="D4275" t="s">
        <v>6023</v>
      </c>
      <c r="E4275" t="s">
        <v>6030</v>
      </c>
      <c r="F4275" t="s">
        <v>6033</v>
      </c>
      <c r="G4275" t="s">
        <v>6079</v>
      </c>
      <c r="H4275" t="s">
        <v>6097</v>
      </c>
      <c r="I4275">
        <v>72</v>
      </c>
      <c r="J4275">
        <v>1.4</v>
      </c>
      <c r="K4275" t="s">
        <v>6099</v>
      </c>
      <c r="L4275" t="s">
        <v>6100</v>
      </c>
      <c r="M4275" t="s">
        <v>6100</v>
      </c>
      <c r="O4275" t="s">
        <v>6101</v>
      </c>
      <c r="P4275" t="s">
        <v>6113</v>
      </c>
      <c r="Q4275">
        <v>7</v>
      </c>
      <c r="R4275">
        <v>2026</v>
      </c>
      <c r="S4275" t="s">
        <v>6099</v>
      </c>
      <c r="T4275">
        <v>1</v>
      </c>
      <c r="U4275" t="s">
        <v>6019</v>
      </c>
      <c r="V4275">
        <v>1</v>
      </c>
    </row>
    <row r="4276" spans="1:22" x14ac:dyDescent="0.3">
      <c r="A4276" t="s">
        <v>4291</v>
      </c>
      <c r="B4276" s="2">
        <v>46216.543055555558</v>
      </c>
      <c r="C4276" s="2">
        <v>46216.838888888888</v>
      </c>
      <c r="D4276" t="s">
        <v>6027</v>
      </c>
      <c r="E4276" t="s">
        <v>6029</v>
      </c>
      <c r="F4276" t="s">
        <v>6034</v>
      </c>
      <c r="G4276" t="s">
        <v>6039</v>
      </c>
      <c r="H4276" t="s">
        <v>6097</v>
      </c>
      <c r="I4276">
        <v>24</v>
      </c>
      <c r="J4276">
        <v>7.1</v>
      </c>
      <c r="K4276" t="s">
        <v>6099</v>
      </c>
      <c r="L4276" t="s">
        <v>6100</v>
      </c>
      <c r="M4276" t="s">
        <v>6100</v>
      </c>
      <c r="N4276">
        <v>3</v>
      </c>
      <c r="O4276" t="s">
        <v>6101</v>
      </c>
      <c r="P4276" t="s">
        <v>6113</v>
      </c>
      <c r="Q4276">
        <v>7</v>
      </c>
      <c r="R4276">
        <v>2026</v>
      </c>
      <c r="S4276" t="s">
        <v>6099</v>
      </c>
      <c r="T4276">
        <v>1</v>
      </c>
      <c r="U4276" t="s">
        <v>6021</v>
      </c>
      <c r="V4276">
        <v>1</v>
      </c>
    </row>
    <row r="4277" spans="1:22" x14ac:dyDescent="0.3">
      <c r="A4277" t="s">
        <v>4292</v>
      </c>
      <c r="B4277" s="2">
        <v>46216.552777777775</v>
      </c>
      <c r="C4277" s="2">
        <v>46217.469444444447</v>
      </c>
      <c r="D4277" t="s">
        <v>6028</v>
      </c>
      <c r="E4277" t="s">
        <v>6031</v>
      </c>
      <c r="F4277" t="s">
        <v>6034</v>
      </c>
      <c r="G4277" t="s">
        <v>6063</v>
      </c>
      <c r="H4277" t="s">
        <v>6097</v>
      </c>
      <c r="I4277">
        <v>24</v>
      </c>
      <c r="J4277">
        <v>22</v>
      </c>
      <c r="K4277" t="s">
        <v>6100</v>
      </c>
      <c r="L4277" t="s">
        <v>6099</v>
      </c>
      <c r="M4277" t="s">
        <v>6100</v>
      </c>
      <c r="N4277">
        <v>4</v>
      </c>
      <c r="O4277" t="s">
        <v>6101</v>
      </c>
      <c r="P4277" t="s">
        <v>6113</v>
      </c>
      <c r="Q4277">
        <v>7</v>
      </c>
      <c r="R4277">
        <v>2026</v>
      </c>
      <c r="S4277" t="s">
        <v>6099</v>
      </c>
      <c r="T4277">
        <v>1</v>
      </c>
      <c r="U4277" t="s">
        <v>6018</v>
      </c>
      <c r="V4277">
        <v>0</v>
      </c>
    </row>
    <row r="4278" spans="1:22" x14ac:dyDescent="0.3">
      <c r="A4278" t="s">
        <v>4293</v>
      </c>
      <c r="B4278" s="2">
        <v>46216.559027777781</v>
      </c>
      <c r="C4278" s="2">
        <v>46216.759027777778</v>
      </c>
      <c r="D4278" t="s">
        <v>6028</v>
      </c>
      <c r="E4278" t="s">
        <v>6030</v>
      </c>
      <c r="F4278" t="s">
        <v>6035</v>
      </c>
      <c r="G4278" t="s">
        <v>6089</v>
      </c>
      <c r="H4278" t="s">
        <v>6098</v>
      </c>
      <c r="I4278">
        <v>4</v>
      </c>
      <c r="J4278">
        <v>4.8</v>
      </c>
      <c r="K4278" t="s">
        <v>6099</v>
      </c>
      <c r="L4278" t="s">
        <v>6100</v>
      </c>
      <c r="M4278" t="s">
        <v>6100</v>
      </c>
      <c r="N4278">
        <v>5</v>
      </c>
      <c r="O4278" t="s">
        <v>6101</v>
      </c>
      <c r="P4278" t="s">
        <v>6113</v>
      </c>
      <c r="Q4278">
        <v>7</v>
      </c>
      <c r="R4278">
        <v>2026</v>
      </c>
      <c r="S4278" t="s">
        <v>6100</v>
      </c>
      <c r="T4278">
        <v>0</v>
      </c>
      <c r="U4278" t="s">
        <v>6019</v>
      </c>
      <c r="V4278">
        <v>1</v>
      </c>
    </row>
    <row r="4279" spans="1:22" x14ac:dyDescent="0.3">
      <c r="A4279" t="s">
        <v>4294</v>
      </c>
      <c r="B4279" s="2">
        <v>46216.604861111111</v>
      </c>
      <c r="C4279" s="2">
        <v>46217.28402777778</v>
      </c>
      <c r="D4279" t="s">
        <v>6024</v>
      </c>
      <c r="E4279" t="s">
        <v>6031</v>
      </c>
      <c r="F4279" t="s">
        <v>6034</v>
      </c>
      <c r="G4279" t="s">
        <v>6039</v>
      </c>
      <c r="H4279" t="s">
        <v>6097</v>
      </c>
      <c r="I4279">
        <v>24</v>
      </c>
      <c r="J4279">
        <v>16.3</v>
      </c>
      <c r="K4279" t="s">
        <v>6099</v>
      </c>
      <c r="L4279" t="s">
        <v>6100</v>
      </c>
      <c r="M4279" t="s">
        <v>6100</v>
      </c>
      <c r="N4279">
        <v>5</v>
      </c>
      <c r="O4279" t="s">
        <v>6101</v>
      </c>
      <c r="P4279" t="s">
        <v>6113</v>
      </c>
      <c r="Q4279">
        <v>7</v>
      </c>
      <c r="R4279">
        <v>2026</v>
      </c>
      <c r="S4279" t="s">
        <v>6099</v>
      </c>
      <c r="T4279">
        <v>1</v>
      </c>
      <c r="U4279" t="s">
        <v>6018</v>
      </c>
      <c r="V4279">
        <v>1</v>
      </c>
    </row>
    <row r="4280" spans="1:22" x14ac:dyDescent="0.3">
      <c r="A4280" t="s">
        <v>4295</v>
      </c>
      <c r="B4280" s="2">
        <v>46216.615972222222</v>
      </c>
      <c r="C4280" s="2">
        <v>46217.161805555559</v>
      </c>
      <c r="D4280" t="s">
        <v>6022</v>
      </c>
      <c r="E4280" t="s">
        <v>6029</v>
      </c>
      <c r="F4280" t="s">
        <v>6033</v>
      </c>
      <c r="G4280" t="s">
        <v>6048</v>
      </c>
      <c r="H4280" t="s">
        <v>6096</v>
      </c>
      <c r="I4280">
        <v>72</v>
      </c>
      <c r="J4280">
        <v>13.1</v>
      </c>
      <c r="K4280" t="s">
        <v>6099</v>
      </c>
      <c r="L4280" t="s">
        <v>6100</v>
      </c>
      <c r="M4280" t="s">
        <v>6100</v>
      </c>
      <c r="N4280">
        <v>5</v>
      </c>
      <c r="O4280" t="s">
        <v>6101</v>
      </c>
      <c r="P4280" t="s">
        <v>6113</v>
      </c>
      <c r="Q4280">
        <v>7</v>
      </c>
      <c r="R4280">
        <v>2026</v>
      </c>
      <c r="S4280" t="s">
        <v>6099</v>
      </c>
      <c r="T4280">
        <v>1</v>
      </c>
      <c r="U4280" t="s">
        <v>6019</v>
      </c>
      <c r="V4280">
        <v>1</v>
      </c>
    </row>
    <row r="4281" spans="1:22" x14ac:dyDescent="0.3">
      <c r="A4281" t="s">
        <v>4296</v>
      </c>
      <c r="B4281" s="2">
        <v>46216.63958333333</v>
      </c>
      <c r="C4281" s="2">
        <v>46217.089583333334</v>
      </c>
      <c r="D4281" t="s">
        <v>6028</v>
      </c>
      <c r="E4281" t="s">
        <v>6030</v>
      </c>
      <c r="F4281" t="s">
        <v>6035</v>
      </c>
      <c r="G4281" t="s">
        <v>6052</v>
      </c>
      <c r="H4281" t="s">
        <v>6098</v>
      </c>
      <c r="I4281">
        <v>4</v>
      </c>
      <c r="J4281">
        <v>10.8</v>
      </c>
      <c r="K4281" t="s">
        <v>6100</v>
      </c>
      <c r="L4281" t="s">
        <v>6099</v>
      </c>
      <c r="M4281" t="s">
        <v>6099</v>
      </c>
      <c r="O4281" t="s">
        <v>6101</v>
      </c>
      <c r="P4281" t="s">
        <v>6113</v>
      </c>
      <c r="Q4281">
        <v>7</v>
      </c>
      <c r="R4281">
        <v>2026</v>
      </c>
      <c r="S4281" t="s">
        <v>6100</v>
      </c>
      <c r="T4281">
        <v>0</v>
      </c>
      <c r="U4281" t="s">
        <v>6017</v>
      </c>
      <c r="V4281">
        <v>0</v>
      </c>
    </row>
    <row r="4282" spans="1:22" x14ac:dyDescent="0.3">
      <c r="A4282" t="s">
        <v>4297</v>
      </c>
      <c r="B4282" s="2">
        <v>46216.70416666667</v>
      </c>
      <c r="C4282" s="2">
        <v>46218.362500000003</v>
      </c>
      <c r="D4282" t="s">
        <v>6022</v>
      </c>
      <c r="E4282" t="s">
        <v>6032</v>
      </c>
      <c r="F4282" t="s">
        <v>6035</v>
      </c>
      <c r="G4282" t="s">
        <v>6077</v>
      </c>
      <c r="H4282" t="s">
        <v>6098</v>
      </c>
      <c r="I4282">
        <v>4</v>
      </c>
      <c r="J4282">
        <v>39.799999999999997</v>
      </c>
      <c r="K4282" t="s">
        <v>6100</v>
      </c>
      <c r="L4282" t="s">
        <v>6100</v>
      </c>
      <c r="M4282" t="s">
        <v>6099</v>
      </c>
      <c r="N4282">
        <v>3</v>
      </c>
      <c r="O4282" t="s">
        <v>6101</v>
      </c>
      <c r="P4282" t="s">
        <v>6113</v>
      </c>
      <c r="Q4282">
        <v>7</v>
      </c>
      <c r="R4282">
        <v>2026</v>
      </c>
      <c r="S4282" t="s">
        <v>6100</v>
      </c>
      <c r="T4282">
        <v>0</v>
      </c>
      <c r="U4282" t="s">
        <v>6021</v>
      </c>
      <c r="V4282">
        <v>0</v>
      </c>
    </row>
    <row r="4283" spans="1:22" x14ac:dyDescent="0.3">
      <c r="A4283" t="s">
        <v>4298</v>
      </c>
      <c r="B4283" s="2">
        <v>46216.729861111111</v>
      </c>
      <c r="C4283" s="2">
        <v>46216.896527777775</v>
      </c>
      <c r="D4283" t="s">
        <v>6023</v>
      </c>
      <c r="E4283" t="s">
        <v>6030</v>
      </c>
      <c r="F4283" t="s">
        <v>6033</v>
      </c>
      <c r="G4283" t="s">
        <v>6091</v>
      </c>
      <c r="H4283" t="s">
        <v>6097</v>
      </c>
      <c r="I4283">
        <v>72</v>
      </c>
      <c r="J4283">
        <v>4</v>
      </c>
      <c r="K4283" t="s">
        <v>6099</v>
      </c>
      <c r="L4283" t="s">
        <v>6100</v>
      </c>
      <c r="M4283" t="s">
        <v>6100</v>
      </c>
      <c r="O4283" t="s">
        <v>6101</v>
      </c>
      <c r="P4283" t="s">
        <v>6113</v>
      </c>
      <c r="Q4283">
        <v>7</v>
      </c>
      <c r="R4283">
        <v>2026</v>
      </c>
      <c r="S4283" t="s">
        <v>6099</v>
      </c>
      <c r="T4283">
        <v>1</v>
      </c>
      <c r="U4283" t="s">
        <v>6020</v>
      </c>
      <c r="V4283">
        <v>1</v>
      </c>
    </row>
    <row r="4284" spans="1:22" x14ac:dyDescent="0.3">
      <c r="A4284" t="s">
        <v>4299</v>
      </c>
      <c r="B4284" s="2">
        <v>46216.787499999999</v>
      </c>
      <c r="C4284" s="2">
        <v>46216.987500000003</v>
      </c>
      <c r="D4284" t="s">
        <v>6022</v>
      </c>
      <c r="E4284" t="s">
        <v>6029</v>
      </c>
      <c r="F4284" t="s">
        <v>6034</v>
      </c>
      <c r="G4284" t="s">
        <v>6060</v>
      </c>
      <c r="H4284" t="s">
        <v>6097</v>
      </c>
      <c r="I4284">
        <v>24</v>
      </c>
      <c r="J4284">
        <v>4.8</v>
      </c>
      <c r="K4284" t="s">
        <v>6099</v>
      </c>
      <c r="L4284" t="s">
        <v>6100</v>
      </c>
      <c r="M4284" t="s">
        <v>6100</v>
      </c>
      <c r="N4284">
        <v>5</v>
      </c>
      <c r="O4284" t="s">
        <v>6101</v>
      </c>
      <c r="P4284" t="s">
        <v>6113</v>
      </c>
      <c r="Q4284">
        <v>7</v>
      </c>
      <c r="R4284">
        <v>2026</v>
      </c>
      <c r="S4284" t="s">
        <v>6099</v>
      </c>
      <c r="T4284">
        <v>1</v>
      </c>
      <c r="U4284" t="s">
        <v>6018</v>
      </c>
      <c r="V4284">
        <v>1</v>
      </c>
    </row>
    <row r="4285" spans="1:22" x14ac:dyDescent="0.3">
      <c r="A4285" t="s">
        <v>4300</v>
      </c>
      <c r="B4285" s="2">
        <v>46216.793055555558</v>
      </c>
      <c r="C4285" s="2">
        <v>46217.493055555555</v>
      </c>
      <c r="D4285" t="s">
        <v>6022</v>
      </c>
      <c r="E4285" t="s">
        <v>6029</v>
      </c>
      <c r="F4285" t="s">
        <v>6034</v>
      </c>
      <c r="G4285" t="s">
        <v>6061</v>
      </c>
      <c r="H4285" t="s">
        <v>6096</v>
      </c>
      <c r="I4285">
        <v>24</v>
      </c>
      <c r="J4285">
        <v>16.8</v>
      </c>
      <c r="K4285" t="s">
        <v>6099</v>
      </c>
      <c r="L4285" t="s">
        <v>6100</v>
      </c>
      <c r="M4285" t="s">
        <v>6100</v>
      </c>
      <c r="N4285">
        <v>3</v>
      </c>
      <c r="O4285" t="s">
        <v>6101</v>
      </c>
      <c r="P4285" t="s">
        <v>6113</v>
      </c>
      <c r="Q4285">
        <v>7</v>
      </c>
      <c r="R4285">
        <v>2026</v>
      </c>
      <c r="S4285" t="s">
        <v>6099</v>
      </c>
      <c r="T4285">
        <v>1</v>
      </c>
      <c r="U4285" t="s">
        <v>6021</v>
      </c>
      <c r="V4285">
        <v>1</v>
      </c>
    </row>
    <row r="4286" spans="1:22" x14ac:dyDescent="0.3">
      <c r="A4286" t="s">
        <v>4301</v>
      </c>
      <c r="B4286" s="2">
        <v>46216.97152777778</v>
      </c>
      <c r="C4286" s="2">
        <v>46217.184027777781</v>
      </c>
      <c r="D4286" t="s">
        <v>6023</v>
      </c>
      <c r="E4286" t="s">
        <v>6029</v>
      </c>
      <c r="F4286" t="s">
        <v>6034</v>
      </c>
      <c r="G4286" t="s">
        <v>6038</v>
      </c>
      <c r="H4286" t="s">
        <v>6096</v>
      </c>
      <c r="I4286">
        <v>24</v>
      </c>
      <c r="J4286">
        <v>5.0999999999999996</v>
      </c>
      <c r="K4286" t="s">
        <v>6100</v>
      </c>
      <c r="L4286" t="s">
        <v>6100</v>
      </c>
      <c r="M4286" t="s">
        <v>6100</v>
      </c>
      <c r="O4286" t="s">
        <v>6101</v>
      </c>
      <c r="P4286" t="s">
        <v>6113</v>
      </c>
      <c r="Q4286">
        <v>7</v>
      </c>
      <c r="R4286">
        <v>2026</v>
      </c>
      <c r="S4286" t="s">
        <v>6099</v>
      </c>
      <c r="T4286">
        <v>1</v>
      </c>
      <c r="U4286" t="s">
        <v>6019</v>
      </c>
      <c r="V4286">
        <v>0</v>
      </c>
    </row>
    <row r="4287" spans="1:22" x14ac:dyDescent="0.3">
      <c r="A4287" t="s">
        <v>4302</v>
      </c>
      <c r="B4287" s="2">
        <v>46217.158333333333</v>
      </c>
      <c r="C4287" s="2">
        <v>46218.98333333333</v>
      </c>
      <c r="D4287" t="s">
        <v>6028</v>
      </c>
      <c r="E4287" t="s">
        <v>6031</v>
      </c>
      <c r="F4287" t="s">
        <v>6033</v>
      </c>
      <c r="G4287" t="s">
        <v>6080</v>
      </c>
      <c r="H4287" t="s">
        <v>6096</v>
      </c>
      <c r="I4287">
        <v>72</v>
      </c>
      <c r="J4287">
        <v>43.8</v>
      </c>
      <c r="K4287" t="s">
        <v>6100</v>
      </c>
      <c r="L4287" t="s">
        <v>6099</v>
      </c>
      <c r="M4287" t="s">
        <v>6100</v>
      </c>
      <c r="O4287" t="s">
        <v>6101</v>
      </c>
      <c r="P4287" t="s">
        <v>6113</v>
      </c>
      <c r="Q4287">
        <v>7</v>
      </c>
      <c r="R4287">
        <v>2026</v>
      </c>
      <c r="S4287" t="s">
        <v>6099</v>
      </c>
      <c r="T4287">
        <v>1</v>
      </c>
      <c r="U4287" t="s">
        <v>6018</v>
      </c>
      <c r="V4287">
        <v>0</v>
      </c>
    </row>
    <row r="4288" spans="1:22" x14ac:dyDescent="0.3">
      <c r="A4288" t="s">
        <v>4303</v>
      </c>
      <c r="B4288" s="2">
        <v>46217.168055555558</v>
      </c>
      <c r="C4288" s="2">
        <v>46217.388888888891</v>
      </c>
      <c r="D4288" t="s">
        <v>6027</v>
      </c>
      <c r="E4288" t="s">
        <v>6030</v>
      </c>
      <c r="F4288" t="s">
        <v>6033</v>
      </c>
      <c r="G4288" t="s">
        <v>6072</v>
      </c>
      <c r="H4288" t="s">
        <v>6097</v>
      </c>
      <c r="I4288">
        <v>72</v>
      </c>
      <c r="J4288">
        <v>5.3</v>
      </c>
      <c r="K4288" t="s">
        <v>6099</v>
      </c>
      <c r="L4288" t="s">
        <v>6100</v>
      </c>
      <c r="M4288" t="s">
        <v>6100</v>
      </c>
      <c r="N4288">
        <v>4</v>
      </c>
      <c r="O4288" t="s">
        <v>6101</v>
      </c>
      <c r="P4288" t="s">
        <v>6113</v>
      </c>
      <c r="Q4288">
        <v>7</v>
      </c>
      <c r="R4288">
        <v>2026</v>
      </c>
      <c r="S4288" t="s">
        <v>6099</v>
      </c>
      <c r="T4288">
        <v>1</v>
      </c>
      <c r="U4288" t="s">
        <v>6018</v>
      </c>
      <c r="V4288">
        <v>1</v>
      </c>
    </row>
    <row r="4289" spans="1:22" x14ac:dyDescent="0.3">
      <c r="A4289" t="s">
        <v>4304</v>
      </c>
      <c r="B4289" s="2">
        <v>46217.202777777777</v>
      </c>
      <c r="C4289" s="2">
        <v>46217.673611111109</v>
      </c>
      <c r="D4289" t="s">
        <v>6022</v>
      </c>
      <c r="E4289" t="s">
        <v>6032</v>
      </c>
      <c r="F4289" t="s">
        <v>6035</v>
      </c>
      <c r="G4289" t="s">
        <v>6093</v>
      </c>
      <c r="H4289" t="s">
        <v>6097</v>
      </c>
      <c r="I4289">
        <v>4</v>
      </c>
      <c r="J4289">
        <v>11.3</v>
      </c>
      <c r="K4289" t="s">
        <v>6100</v>
      </c>
      <c r="L4289" t="s">
        <v>6099</v>
      </c>
      <c r="M4289" t="s">
        <v>6099</v>
      </c>
      <c r="O4289" t="s">
        <v>6101</v>
      </c>
      <c r="P4289" t="s">
        <v>6113</v>
      </c>
      <c r="Q4289">
        <v>7</v>
      </c>
      <c r="R4289">
        <v>2026</v>
      </c>
      <c r="S4289" t="s">
        <v>6100</v>
      </c>
      <c r="T4289">
        <v>0</v>
      </c>
      <c r="U4289" t="s">
        <v>6020</v>
      </c>
      <c r="V4289">
        <v>0</v>
      </c>
    </row>
    <row r="4290" spans="1:22" x14ac:dyDescent="0.3">
      <c r="A4290" t="s">
        <v>4305</v>
      </c>
      <c r="B4290" s="2">
        <v>46217.214583333334</v>
      </c>
      <c r="C4290" s="2">
        <v>46222.447916666664</v>
      </c>
      <c r="D4290" t="s">
        <v>6026</v>
      </c>
      <c r="E4290" t="s">
        <v>6031</v>
      </c>
      <c r="F4290" t="s">
        <v>6033</v>
      </c>
      <c r="G4290" t="s">
        <v>6046</v>
      </c>
      <c r="H4290" t="s">
        <v>6098</v>
      </c>
      <c r="I4290">
        <v>72</v>
      </c>
      <c r="J4290">
        <v>125.6</v>
      </c>
      <c r="K4290" t="s">
        <v>6099</v>
      </c>
      <c r="L4290" t="s">
        <v>6100</v>
      </c>
      <c r="M4290" t="s">
        <v>6100</v>
      </c>
      <c r="O4290" t="s">
        <v>6101</v>
      </c>
      <c r="P4290" t="s">
        <v>6113</v>
      </c>
      <c r="Q4290">
        <v>7</v>
      </c>
      <c r="R4290">
        <v>2026</v>
      </c>
      <c r="S4290" t="s">
        <v>6100</v>
      </c>
      <c r="T4290">
        <v>0</v>
      </c>
      <c r="U4290" t="s">
        <v>6021</v>
      </c>
      <c r="V4290">
        <v>1</v>
      </c>
    </row>
    <row r="4291" spans="1:22" x14ac:dyDescent="0.3">
      <c r="A4291" t="s">
        <v>4306</v>
      </c>
      <c r="B4291" s="2">
        <v>46217.357638888891</v>
      </c>
      <c r="C4291" s="2">
        <v>46218.228472222225</v>
      </c>
      <c r="D4291" t="s">
        <v>6026</v>
      </c>
      <c r="E4291" t="s">
        <v>6030</v>
      </c>
      <c r="F4291" t="s">
        <v>6035</v>
      </c>
      <c r="G4291" t="s">
        <v>6060</v>
      </c>
      <c r="H4291" t="s">
        <v>6097</v>
      </c>
      <c r="I4291">
        <v>4</v>
      </c>
      <c r="J4291">
        <v>20.9</v>
      </c>
      <c r="K4291" t="s">
        <v>6100</v>
      </c>
      <c r="L4291" t="s">
        <v>6099</v>
      </c>
      <c r="M4291" t="s">
        <v>6100</v>
      </c>
      <c r="O4291" t="s">
        <v>6101</v>
      </c>
      <c r="P4291" t="s">
        <v>6113</v>
      </c>
      <c r="Q4291">
        <v>7</v>
      </c>
      <c r="R4291">
        <v>2026</v>
      </c>
      <c r="S4291" t="s">
        <v>6100</v>
      </c>
      <c r="T4291">
        <v>0</v>
      </c>
      <c r="U4291" t="s">
        <v>6018</v>
      </c>
      <c r="V4291">
        <v>0</v>
      </c>
    </row>
    <row r="4292" spans="1:22" x14ac:dyDescent="0.3">
      <c r="A4292" t="s">
        <v>4307</v>
      </c>
      <c r="B4292" s="2">
        <v>46217.425000000003</v>
      </c>
      <c r="C4292" s="2">
        <v>46224.425000000003</v>
      </c>
      <c r="D4292" t="s">
        <v>6026</v>
      </c>
      <c r="E4292" t="s">
        <v>6031</v>
      </c>
      <c r="F4292" t="s">
        <v>6033</v>
      </c>
      <c r="G4292" t="s">
        <v>6080</v>
      </c>
      <c r="H4292" t="s">
        <v>6096</v>
      </c>
      <c r="I4292">
        <v>72</v>
      </c>
      <c r="J4292">
        <v>168</v>
      </c>
      <c r="K4292" t="s">
        <v>6100</v>
      </c>
      <c r="L4292" t="s">
        <v>6100</v>
      </c>
      <c r="M4292" t="s">
        <v>6100</v>
      </c>
      <c r="N4292">
        <v>3</v>
      </c>
      <c r="O4292" t="s">
        <v>6101</v>
      </c>
      <c r="P4292" t="s">
        <v>6113</v>
      </c>
      <c r="Q4292">
        <v>7</v>
      </c>
      <c r="R4292">
        <v>2026</v>
      </c>
      <c r="S4292" t="s">
        <v>6100</v>
      </c>
      <c r="T4292">
        <v>0</v>
      </c>
      <c r="U4292" t="s">
        <v>6017</v>
      </c>
      <c r="V4292">
        <v>0</v>
      </c>
    </row>
    <row r="4293" spans="1:22" x14ac:dyDescent="0.3">
      <c r="A4293" t="s">
        <v>4308</v>
      </c>
      <c r="B4293" s="2">
        <v>46217.429166666669</v>
      </c>
      <c r="C4293" s="2">
        <v>46217.620833333334</v>
      </c>
      <c r="D4293" t="s">
        <v>6027</v>
      </c>
      <c r="E4293" t="s">
        <v>6030</v>
      </c>
      <c r="F4293" t="s">
        <v>6033</v>
      </c>
      <c r="G4293" t="s">
        <v>6084</v>
      </c>
      <c r="H4293" t="s">
        <v>6098</v>
      </c>
      <c r="I4293">
        <v>72</v>
      </c>
      <c r="J4293">
        <v>4.5999999999999996</v>
      </c>
      <c r="K4293" t="s">
        <v>6100</v>
      </c>
      <c r="L4293" t="s">
        <v>6099</v>
      </c>
      <c r="M4293" t="s">
        <v>6100</v>
      </c>
      <c r="O4293" t="s">
        <v>6101</v>
      </c>
      <c r="P4293" t="s">
        <v>6113</v>
      </c>
      <c r="Q4293">
        <v>7</v>
      </c>
      <c r="R4293">
        <v>2026</v>
      </c>
      <c r="S4293" t="s">
        <v>6099</v>
      </c>
      <c r="T4293">
        <v>1</v>
      </c>
      <c r="U4293" t="s">
        <v>6021</v>
      </c>
      <c r="V4293">
        <v>0</v>
      </c>
    </row>
    <row r="4294" spans="1:22" x14ac:dyDescent="0.3">
      <c r="A4294" t="s">
        <v>4309</v>
      </c>
      <c r="B4294" s="2">
        <v>46217.444444444445</v>
      </c>
      <c r="C4294" s="2">
        <v>46217.936111111114</v>
      </c>
      <c r="D4294" t="s">
        <v>6024</v>
      </c>
      <c r="E4294" t="s">
        <v>6029</v>
      </c>
      <c r="F4294" t="s">
        <v>6034</v>
      </c>
      <c r="G4294" t="s">
        <v>6067</v>
      </c>
      <c r="H4294" t="s">
        <v>6098</v>
      </c>
      <c r="I4294">
        <v>24</v>
      </c>
      <c r="J4294">
        <v>11.8</v>
      </c>
      <c r="K4294" t="s">
        <v>6099</v>
      </c>
      <c r="L4294" t="s">
        <v>6100</v>
      </c>
      <c r="M4294" t="s">
        <v>6099</v>
      </c>
      <c r="O4294" t="s">
        <v>6101</v>
      </c>
      <c r="P4294" t="s">
        <v>6113</v>
      </c>
      <c r="Q4294">
        <v>7</v>
      </c>
      <c r="R4294">
        <v>2026</v>
      </c>
      <c r="S4294" t="s">
        <v>6099</v>
      </c>
      <c r="T4294">
        <v>1</v>
      </c>
      <c r="U4294" t="s">
        <v>6020</v>
      </c>
      <c r="V4294">
        <v>1</v>
      </c>
    </row>
    <row r="4295" spans="1:22" x14ac:dyDescent="0.3">
      <c r="A4295" t="s">
        <v>4310</v>
      </c>
      <c r="B4295" s="2">
        <v>46217.454861111109</v>
      </c>
      <c r="C4295" s="2">
        <v>46217.934027777781</v>
      </c>
      <c r="D4295" t="s">
        <v>6022</v>
      </c>
      <c r="E4295" t="s">
        <v>6029</v>
      </c>
      <c r="F4295" t="s">
        <v>6033</v>
      </c>
      <c r="G4295" t="s">
        <v>6044</v>
      </c>
      <c r="H4295" t="s">
        <v>6097</v>
      </c>
      <c r="I4295">
        <v>72</v>
      </c>
      <c r="J4295">
        <v>11.5</v>
      </c>
      <c r="K4295" t="s">
        <v>6099</v>
      </c>
      <c r="L4295" t="s">
        <v>6100</v>
      </c>
      <c r="M4295" t="s">
        <v>6100</v>
      </c>
      <c r="O4295" t="s">
        <v>6101</v>
      </c>
      <c r="P4295" t="s">
        <v>6113</v>
      </c>
      <c r="Q4295">
        <v>7</v>
      </c>
      <c r="R4295">
        <v>2026</v>
      </c>
      <c r="S4295" t="s">
        <v>6099</v>
      </c>
      <c r="T4295">
        <v>1</v>
      </c>
      <c r="U4295" t="s">
        <v>6019</v>
      </c>
      <c r="V4295">
        <v>1</v>
      </c>
    </row>
    <row r="4296" spans="1:22" x14ac:dyDescent="0.3">
      <c r="A4296" t="s">
        <v>4311</v>
      </c>
      <c r="B4296" s="2">
        <v>46217.461111111108</v>
      </c>
      <c r="C4296" s="2">
        <v>46217.94027777778</v>
      </c>
      <c r="D4296" t="s">
        <v>6028</v>
      </c>
      <c r="E4296" t="s">
        <v>6031</v>
      </c>
      <c r="F4296" t="s">
        <v>6034</v>
      </c>
      <c r="G4296" t="s">
        <v>6072</v>
      </c>
      <c r="H4296" t="s">
        <v>6097</v>
      </c>
      <c r="I4296">
        <v>24</v>
      </c>
      <c r="J4296">
        <v>11.5</v>
      </c>
      <c r="K4296" t="s">
        <v>6100</v>
      </c>
      <c r="L4296" t="s">
        <v>6100</v>
      </c>
      <c r="M4296" t="s">
        <v>6100</v>
      </c>
      <c r="O4296" t="s">
        <v>6101</v>
      </c>
      <c r="P4296" t="s">
        <v>6113</v>
      </c>
      <c r="Q4296">
        <v>7</v>
      </c>
      <c r="R4296">
        <v>2026</v>
      </c>
      <c r="S4296" t="s">
        <v>6099</v>
      </c>
      <c r="T4296">
        <v>1</v>
      </c>
      <c r="U4296" t="s">
        <v>6017</v>
      </c>
      <c r="V4296">
        <v>0</v>
      </c>
    </row>
    <row r="4297" spans="1:22" x14ac:dyDescent="0.3">
      <c r="A4297" t="s">
        <v>4312</v>
      </c>
      <c r="B4297" s="2">
        <v>46217.46875</v>
      </c>
      <c r="C4297" s="2">
        <v>46218.543749999997</v>
      </c>
      <c r="D4297" t="s">
        <v>6024</v>
      </c>
      <c r="E4297" t="s">
        <v>6031</v>
      </c>
      <c r="F4297" t="s">
        <v>6034</v>
      </c>
      <c r="G4297" t="s">
        <v>6095</v>
      </c>
      <c r="H4297" t="s">
        <v>6098</v>
      </c>
      <c r="I4297">
        <v>24</v>
      </c>
      <c r="J4297">
        <v>25.8</v>
      </c>
      <c r="K4297" t="s">
        <v>6099</v>
      </c>
      <c r="L4297" t="s">
        <v>6100</v>
      </c>
      <c r="M4297" t="s">
        <v>6100</v>
      </c>
      <c r="N4297">
        <v>4</v>
      </c>
      <c r="O4297" t="s">
        <v>6101</v>
      </c>
      <c r="P4297" t="s">
        <v>6113</v>
      </c>
      <c r="Q4297">
        <v>7</v>
      </c>
      <c r="R4297">
        <v>2026</v>
      </c>
      <c r="S4297" t="s">
        <v>6100</v>
      </c>
      <c r="T4297">
        <v>0</v>
      </c>
      <c r="U4297" t="s">
        <v>6020</v>
      </c>
      <c r="V4297">
        <v>1</v>
      </c>
    </row>
    <row r="4298" spans="1:22" x14ac:dyDescent="0.3">
      <c r="A4298" t="s">
        <v>4313</v>
      </c>
      <c r="B4298" s="2">
        <v>46217.521527777775</v>
      </c>
      <c r="C4298" s="2">
        <v>46217.709027777775</v>
      </c>
      <c r="D4298" t="s">
        <v>6025</v>
      </c>
      <c r="E4298" t="s">
        <v>6030</v>
      </c>
      <c r="F4298" t="s">
        <v>6034</v>
      </c>
      <c r="G4298" t="s">
        <v>6080</v>
      </c>
      <c r="H4298" t="s">
        <v>6096</v>
      </c>
      <c r="I4298">
        <v>24</v>
      </c>
      <c r="J4298">
        <v>4.5</v>
      </c>
      <c r="K4298" t="s">
        <v>6100</v>
      </c>
      <c r="L4298" t="s">
        <v>6099</v>
      </c>
      <c r="M4298" t="s">
        <v>6100</v>
      </c>
      <c r="O4298" t="s">
        <v>6101</v>
      </c>
      <c r="P4298" t="s">
        <v>6113</v>
      </c>
      <c r="Q4298">
        <v>7</v>
      </c>
      <c r="R4298">
        <v>2026</v>
      </c>
      <c r="S4298" t="s">
        <v>6099</v>
      </c>
      <c r="T4298">
        <v>1</v>
      </c>
      <c r="U4298" t="s">
        <v>6018</v>
      </c>
      <c r="V4298">
        <v>0</v>
      </c>
    </row>
    <row r="4299" spans="1:22" x14ac:dyDescent="0.3">
      <c r="A4299" t="s">
        <v>4314</v>
      </c>
      <c r="B4299" s="2">
        <v>46217.549305555556</v>
      </c>
      <c r="C4299" s="2">
        <v>46218.453472222223</v>
      </c>
      <c r="D4299" t="s">
        <v>6022</v>
      </c>
      <c r="E4299" t="s">
        <v>6031</v>
      </c>
      <c r="F4299" t="s">
        <v>6034</v>
      </c>
      <c r="G4299" t="s">
        <v>6069</v>
      </c>
      <c r="H4299" t="s">
        <v>6098</v>
      </c>
      <c r="I4299">
        <v>24</v>
      </c>
      <c r="J4299">
        <v>21.7</v>
      </c>
      <c r="K4299" t="s">
        <v>6099</v>
      </c>
      <c r="L4299" t="s">
        <v>6100</v>
      </c>
      <c r="M4299" t="s">
        <v>6100</v>
      </c>
      <c r="O4299" t="s">
        <v>6101</v>
      </c>
      <c r="P4299" t="s">
        <v>6113</v>
      </c>
      <c r="Q4299">
        <v>7</v>
      </c>
      <c r="R4299">
        <v>2026</v>
      </c>
      <c r="S4299" t="s">
        <v>6099</v>
      </c>
      <c r="T4299">
        <v>1</v>
      </c>
      <c r="U4299" t="s">
        <v>6018</v>
      </c>
      <c r="V4299">
        <v>1</v>
      </c>
    </row>
    <row r="4300" spans="1:22" x14ac:dyDescent="0.3">
      <c r="A4300" t="s">
        <v>4315</v>
      </c>
      <c r="B4300" s="2">
        <v>46217.582638888889</v>
      </c>
      <c r="C4300" s="2">
        <v>46217.986805555556</v>
      </c>
      <c r="D4300" t="s">
        <v>6023</v>
      </c>
      <c r="E4300" t="s">
        <v>6029</v>
      </c>
      <c r="F4300" t="s">
        <v>6033</v>
      </c>
      <c r="G4300" t="s">
        <v>6089</v>
      </c>
      <c r="H4300" t="s">
        <v>6098</v>
      </c>
      <c r="I4300">
        <v>72</v>
      </c>
      <c r="J4300">
        <v>9.6999999999999993</v>
      </c>
      <c r="K4300" t="s">
        <v>6099</v>
      </c>
      <c r="L4300" t="s">
        <v>6100</v>
      </c>
      <c r="M4300" t="s">
        <v>6100</v>
      </c>
      <c r="N4300">
        <v>4</v>
      </c>
      <c r="O4300" t="s">
        <v>6101</v>
      </c>
      <c r="P4300" t="s">
        <v>6113</v>
      </c>
      <c r="Q4300">
        <v>7</v>
      </c>
      <c r="R4300">
        <v>2026</v>
      </c>
      <c r="S4300" t="s">
        <v>6099</v>
      </c>
      <c r="T4300">
        <v>1</v>
      </c>
      <c r="U4300" t="s">
        <v>6020</v>
      </c>
      <c r="V4300">
        <v>1</v>
      </c>
    </row>
    <row r="4301" spans="1:22" x14ac:dyDescent="0.3">
      <c r="A4301" t="s">
        <v>4316</v>
      </c>
      <c r="B4301" s="2">
        <v>46217.625</v>
      </c>
      <c r="C4301" s="2">
        <v>46217.958333333336</v>
      </c>
      <c r="D4301" t="s">
        <v>6023</v>
      </c>
      <c r="E4301" t="s">
        <v>6032</v>
      </c>
      <c r="F4301" t="s">
        <v>6033</v>
      </c>
      <c r="G4301" t="s">
        <v>6042</v>
      </c>
      <c r="H4301" t="s">
        <v>6098</v>
      </c>
      <c r="I4301">
        <v>72</v>
      </c>
      <c r="J4301">
        <v>8</v>
      </c>
      <c r="K4301" t="s">
        <v>6099</v>
      </c>
      <c r="L4301" t="s">
        <v>6100</v>
      </c>
      <c r="M4301" t="s">
        <v>6100</v>
      </c>
      <c r="N4301">
        <v>5</v>
      </c>
      <c r="O4301" t="s">
        <v>6101</v>
      </c>
      <c r="P4301" t="s">
        <v>6113</v>
      </c>
      <c r="Q4301">
        <v>7</v>
      </c>
      <c r="R4301">
        <v>2026</v>
      </c>
      <c r="S4301" t="s">
        <v>6099</v>
      </c>
      <c r="T4301">
        <v>1</v>
      </c>
      <c r="U4301" t="s">
        <v>6019</v>
      </c>
      <c r="V4301">
        <v>1</v>
      </c>
    </row>
    <row r="4302" spans="1:22" x14ac:dyDescent="0.3">
      <c r="A4302" t="s">
        <v>4317</v>
      </c>
      <c r="B4302" s="2">
        <v>46217.675694444442</v>
      </c>
      <c r="C4302" s="2">
        <v>46218.65902777778</v>
      </c>
      <c r="D4302" t="s">
        <v>6025</v>
      </c>
      <c r="E4302" t="s">
        <v>6032</v>
      </c>
      <c r="F4302" t="s">
        <v>6033</v>
      </c>
      <c r="G4302" t="s">
        <v>6060</v>
      </c>
      <c r="H4302" t="s">
        <v>6097</v>
      </c>
      <c r="I4302">
        <v>72</v>
      </c>
      <c r="J4302">
        <v>23.6</v>
      </c>
      <c r="K4302" t="s">
        <v>6099</v>
      </c>
      <c r="L4302" t="s">
        <v>6100</v>
      </c>
      <c r="M4302" t="s">
        <v>6100</v>
      </c>
      <c r="O4302" t="s">
        <v>6101</v>
      </c>
      <c r="P4302" t="s">
        <v>6113</v>
      </c>
      <c r="Q4302">
        <v>7</v>
      </c>
      <c r="R4302">
        <v>2026</v>
      </c>
      <c r="S4302" t="s">
        <v>6099</v>
      </c>
      <c r="T4302">
        <v>1</v>
      </c>
      <c r="U4302" t="s">
        <v>6018</v>
      </c>
      <c r="V4302">
        <v>1</v>
      </c>
    </row>
    <row r="4303" spans="1:22" x14ac:dyDescent="0.3">
      <c r="A4303" t="s">
        <v>4318</v>
      </c>
      <c r="B4303" s="2">
        <v>46217.683333333334</v>
      </c>
      <c r="C4303" s="2">
        <v>46218.116666666669</v>
      </c>
      <c r="D4303" t="s">
        <v>6025</v>
      </c>
      <c r="E4303" t="s">
        <v>6029</v>
      </c>
      <c r="F4303" t="s">
        <v>6034</v>
      </c>
      <c r="G4303" t="s">
        <v>6051</v>
      </c>
      <c r="H4303" t="s">
        <v>6097</v>
      </c>
      <c r="I4303">
        <v>24</v>
      </c>
      <c r="J4303">
        <v>10.4</v>
      </c>
      <c r="K4303" t="s">
        <v>6099</v>
      </c>
      <c r="L4303" t="s">
        <v>6100</v>
      </c>
      <c r="M4303" t="s">
        <v>6100</v>
      </c>
      <c r="N4303">
        <v>5</v>
      </c>
      <c r="O4303" t="s">
        <v>6101</v>
      </c>
      <c r="P4303" t="s">
        <v>6113</v>
      </c>
      <c r="Q4303">
        <v>7</v>
      </c>
      <c r="R4303">
        <v>2026</v>
      </c>
      <c r="S4303" t="s">
        <v>6099</v>
      </c>
      <c r="T4303">
        <v>1</v>
      </c>
      <c r="U4303" t="s">
        <v>6021</v>
      </c>
      <c r="V4303">
        <v>1</v>
      </c>
    </row>
    <row r="4304" spans="1:22" x14ac:dyDescent="0.3">
      <c r="A4304" t="s">
        <v>4319</v>
      </c>
      <c r="B4304" s="2">
        <v>46217.7</v>
      </c>
      <c r="C4304" s="2">
        <v>46218.004166666666</v>
      </c>
      <c r="D4304" t="s">
        <v>6024</v>
      </c>
      <c r="E4304" t="s">
        <v>6030</v>
      </c>
      <c r="F4304" t="s">
        <v>6033</v>
      </c>
      <c r="G4304" t="s">
        <v>6088</v>
      </c>
      <c r="H4304" t="s">
        <v>6097</v>
      </c>
      <c r="I4304">
        <v>72</v>
      </c>
      <c r="J4304">
        <v>7.3</v>
      </c>
      <c r="K4304" t="s">
        <v>6099</v>
      </c>
      <c r="L4304" t="s">
        <v>6100</v>
      </c>
      <c r="M4304" t="s">
        <v>6100</v>
      </c>
      <c r="N4304">
        <v>5</v>
      </c>
      <c r="O4304" t="s">
        <v>6101</v>
      </c>
      <c r="P4304" t="s">
        <v>6113</v>
      </c>
      <c r="Q4304">
        <v>7</v>
      </c>
      <c r="R4304">
        <v>2026</v>
      </c>
      <c r="S4304" t="s">
        <v>6099</v>
      </c>
      <c r="T4304">
        <v>1</v>
      </c>
      <c r="U4304" t="s">
        <v>6020</v>
      </c>
      <c r="V4304">
        <v>1</v>
      </c>
    </row>
    <row r="4305" spans="1:22" x14ac:dyDescent="0.3">
      <c r="A4305" t="s">
        <v>4320</v>
      </c>
      <c r="B4305" s="2">
        <v>46217.7</v>
      </c>
      <c r="C4305" s="2">
        <v>46217.870833333334</v>
      </c>
      <c r="D4305" t="s">
        <v>6028</v>
      </c>
      <c r="E4305" t="s">
        <v>6030</v>
      </c>
      <c r="F4305" t="s">
        <v>6035</v>
      </c>
      <c r="G4305" t="s">
        <v>6081</v>
      </c>
      <c r="H4305" t="s">
        <v>6098</v>
      </c>
      <c r="I4305">
        <v>4</v>
      </c>
      <c r="J4305">
        <v>4.0999999999999996</v>
      </c>
      <c r="K4305" t="s">
        <v>6100</v>
      </c>
      <c r="L4305" t="s">
        <v>6099</v>
      </c>
      <c r="M4305" t="s">
        <v>6100</v>
      </c>
      <c r="N4305">
        <v>2</v>
      </c>
      <c r="O4305" t="s">
        <v>6101</v>
      </c>
      <c r="P4305" t="s">
        <v>6113</v>
      </c>
      <c r="Q4305">
        <v>7</v>
      </c>
      <c r="R4305">
        <v>2026</v>
      </c>
      <c r="S4305" t="s">
        <v>6100</v>
      </c>
      <c r="T4305">
        <v>0</v>
      </c>
      <c r="U4305" t="s">
        <v>6019</v>
      </c>
      <c r="V4305">
        <v>0</v>
      </c>
    </row>
    <row r="4306" spans="1:22" x14ac:dyDescent="0.3">
      <c r="A4306" t="s">
        <v>4321</v>
      </c>
      <c r="B4306" s="2">
        <v>46217.738194444442</v>
      </c>
      <c r="C4306" s="2">
        <v>46218.600694444445</v>
      </c>
      <c r="D4306" t="s">
        <v>6028</v>
      </c>
      <c r="E4306" t="s">
        <v>6029</v>
      </c>
      <c r="F4306" t="s">
        <v>6034</v>
      </c>
      <c r="G4306" t="s">
        <v>6054</v>
      </c>
      <c r="H4306" t="s">
        <v>6096</v>
      </c>
      <c r="I4306">
        <v>24</v>
      </c>
      <c r="J4306">
        <v>20.7</v>
      </c>
      <c r="K4306" t="s">
        <v>6100</v>
      </c>
      <c r="L4306" t="s">
        <v>6099</v>
      </c>
      <c r="M4306" t="s">
        <v>6100</v>
      </c>
      <c r="O4306" t="s">
        <v>6101</v>
      </c>
      <c r="P4306" t="s">
        <v>6113</v>
      </c>
      <c r="Q4306">
        <v>7</v>
      </c>
      <c r="R4306">
        <v>2026</v>
      </c>
      <c r="S4306" t="s">
        <v>6099</v>
      </c>
      <c r="T4306">
        <v>1</v>
      </c>
      <c r="U4306" t="s">
        <v>6021</v>
      </c>
      <c r="V4306">
        <v>0</v>
      </c>
    </row>
    <row r="4307" spans="1:22" x14ac:dyDescent="0.3">
      <c r="A4307" t="s">
        <v>4322</v>
      </c>
      <c r="B4307" s="2">
        <v>46217.792361111111</v>
      </c>
      <c r="C4307" s="2">
        <v>46219.292361111111</v>
      </c>
      <c r="D4307" t="s">
        <v>6025</v>
      </c>
      <c r="E4307" t="s">
        <v>6032</v>
      </c>
      <c r="F4307" t="s">
        <v>6033</v>
      </c>
      <c r="G4307" t="s">
        <v>6063</v>
      </c>
      <c r="H4307" t="s">
        <v>6097</v>
      </c>
      <c r="I4307">
        <v>72</v>
      </c>
      <c r="J4307">
        <v>36</v>
      </c>
      <c r="K4307" t="s">
        <v>6100</v>
      </c>
      <c r="L4307" t="s">
        <v>6100</v>
      </c>
      <c r="M4307" t="s">
        <v>6100</v>
      </c>
      <c r="N4307">
        <v>5</v>
      </c>
      <c r="O4307" t="s">
        <v>6101</v>
      </c>
      <c r="P4307" t="s">
        <v>6113</v>
      </c>
      <c r="Q4307">
        <v>7</v>
      </c>
      <c r="R4307">
        <v>2026</v>
      </c>
      <c r="S4307" t="s">
        <v>6099</v>
      </c>
      <c r="T4307">
        <v>1</v>
      </c>
      <c r="U4307" t="s">
        <v>6018</v>
      </c>
      <c r="V4307">
        <v>0</v>
      </c>
    </row>
    <row r="4308" spans="1:22" x14ac:dyDescent="0.3">
      <c r="A4308" t="s">
        <v>4323</v>
      </c>
      <c r="B4308" s="2">
        <v>46217.820138888892</v>
      </c>
      <c r="C4308" s="2">
        <v>46217.932638888888</v>
      </c>
      <c r="D4308" t="s">
        <v>6022</v>
      </c>
      <c r="E4308" t="s">
        <v>6030</v>
      </c>
      <c r="F4308" t="s">
        <v>6033</v>
      </c>
      <c r="G4308" t="s">
        <v>6063</v>
      </c>
      <c r="H4308" t="s">
        <v>6097</v>
      </c>
      <c r="I4308">
        <v>72</v>
      </c>
      <c r="J4308">
        <v>2.7</v>
      </c>
      <c r="K4308" t="s">
        <v>6100</v>
      </c>
      <c r="L4308" t="s">
        <v>6100</v>
      </c>
      <c r="M4308" t="s">
        <v>6100</v>
      </c>
      <c r="N4308">
        <v>3</v>
      </c>
      <c r="O4308" t="s">
        <v>6101</v>
      </c>
      <c r="P4308" t="s">
        <v>6113</v>
      </c>
      <c r="Q4308">
        <v>7</v>
      </c>
      <c r="R4308">
        <v>2026</v>
      </c>
      <c r="S4308" t="s">
        <v>6099</v>
      </c>
      <c r="T4308">
        <v>1</v>
      </c>
      <c r="U4308" t="s">
        <v>6021</v>
      </c>
      <c r="V4308">
        <v>0</v>
      </c>
    </row>
    <row r="4309" spans="1:22" x14ac:dyDescent="0.3">
      <c r="A4309" t="s">
        <v>4324</v>
      </c>
      <c r="B4309" s="2">
        <v>46217.872916666667</v>
      </c>
      <c r="C4309" s="2">
        <v>46218.63958333333</v>
      </c>
      <c r="D4309" t="s">
        <v>6024</v>
      </c>
      <c r="E4309" t="s">
        <v>6030</v>
      </c>
      <c r="F4309" t="s">
        <v>6033</v>
      </c>
      <c r="G4309" t="s">
        <v>6083</v>
      </c>
      <c r="H4309" t="s">
        <v>6096</v>
      </c>
      <c r="I4309">
        <v>72</v>
      </c>
      <c r="J4309">
        <v>18.399999999999999</v>
      </c>
      <c r="K4309" t="s">
        <v>6099</v>
      </c>
      <c r="L4309" t="s">
        <v>6100</v>
      </c>
      <c r="M4309" t="s">
        <v>6100</v>
      </c>
      <c r="N4309">
        <v>5</v>
      </c>
      <c r="O4309" t="s">
        <v>6101</v>
      </c>
      <c r="P4309" t="s">
        <v>6113</v>
      </c>
      <c r="Q4309">
        <v>7</v>
      </c>
      <c r="R4309">
        <v>2026</v>
      </c>
      <c r="S4309" t="s">
        <v>6099</v>
      </c>
      <c r="T4309">
        <v>1</v>
      </c>
      <c r="U4309" t="s">
        <v>6020</v>
      </c>
      <c r="V4309">
        <v>1</v>
      </c>
    </row>
    <row r="4310" spans="1:22" x14ac:dyDescent="0.3">
      <c r="A4310" t="s">
        <v>4325</v>
      </c>
      <c r="B4310" s="2">
        <v>46217.982638888891</v>
      </c>
      <c r="C4310" s="2">
        <v>46218.482638888891</v>
      </c>
      <c r="D4310" t="s">
        <v>6026</v>
      </c>
      <c r="E4310" t="s">
        <v>6030</v>
      </c>
      <c r="F4310" t="s">
        <v>6034</v>
      </c>
      <c r="G4310" t="s">
        <v>6077</v>
      </c>
      <c r="H4310" t="s">
        <v>6098</v>
      </c>
      <c r="I4310">
        <v>24</v>
      </c>
      <c r="J4310">
        <v>12</v>
      </c>
      <c r="K4310" t="s">
        <v>6099</v>
      </c>
      <c r="L4310" t="s">
        <v>6100</v>
      </c>
      <c r="M4310" t="s">
        <v>6100</v>
      </c>
      <c r="N4310">
        <v>4</v>
      </c>
      <c r="O4310" t="s">
        <v>6101</v>
      </c>
      <c r="P4310" t="s">
        <v>6113</v>
      </c>
      <c r="Q4310">
        <v>7</v>
      </c>
      <c r="R4310">
        <v>2026</v>
      </c>
      <c r="S4310" t="s">
        <v>6099</v>
      </c>
      <c r="T4310">
        <v>1</v>
      </c>
      <c r="U4310" t="s">
        <v>6020</v>
      </c>
      <c r="V4310">
        <v>1</v>
      </c>
    </row>
    <row r="4311" spans="1:22" x14ac:dyDescent="0.3">
      <c r="A4311" t="s">
        <v>4326</v>
      </c>
      <c r="B4311" s="2">
        <v>46218.084722222222</v>
      </c>
      <c r="C4311" s="2">
        <v>46220.384722222225</v>
      </c>
      <c r="D4311" t="s">
        <v>6026</v>
      </c>
      <c r="E4311" t="s">
        <v>6031</v>
      </c>
      <c r="F4311" t="s">
        <v>6033</v>
      </c>
      <c r="G4311" t="s">
        <v>6092</v>
      </c>
      <c r="H4311" t="s">
        <v>6097</v>
      </c>
      <c r="I4311">
        <v>72</v>
      </c>
      <c r="J4311">
        <v>55.2</v>
      </c>
      <c r="K4311" t="s">
        <v>6100</v>
      </c>
      <c r="L4311" t="s">
        <v>6100</v>
      </c>
      <c r="M4311" t="s">
        <v>6100</v>
      </c>
      <c r="N4311">
        <v>5</v>
      </c>
      <c r="O4311" t="s">
        <v>6101</v>
      </c>
      <c r="P4311" t="s">
        <v>6113</v>
      </c>
      <c r="Q4311">
        <v>7</v>
      </c>
      <c r="R4311">
        <v>2026</v>
      </c>
      <c r="S4311" t="s">
        <v>6099</v>
      </c>
      <c r="T4311">
        <v>1</v>
      </c>
      <c r="U4311" t="s">
        <v>6021</v>
      </c>
      <c r="V4311">
        <v>0</v>
      </c>
    </row>
    <row r="4312" spans="1:22" x14ac:dyDescent="0.3">
      <c r="A4312" t="s">
        <v>4327</v>
      </c>
      <c r="B4312" s="2">
        <v>46218.135416666664</v>
      </c>
      <c r="C4312" s="2">
        <v>46219.285416666666</v>
      </c>
      <c r="D4312" t="s">
        <v>6025</v>
      </c>
      <c r="E4312" t="s">
        <v>6030</v>
      </c>
      <c r="F4312" t="s">
        <v>6034</v>
      </c>
      <c r="G4312" t="s">
        <v>6091</v>
      </c>
      <c r="H4312" t="s">
        <v>6097</v>
      </c>
      <c r="I4312">
        <v>24</v>
      </c>
      <c r="J4312">
        <v>27.6</v>
      </c>
      <c r="K4312" t="s">
        <v>6100</v>
      </c>
      <c r="L4312" t="s">
        <v>6099</v>
      </c>
      <c r="M4312" t="s">
        <v>6100</v>
      </c>
      <c r="O4312" t="s">
        <v>6101</v>
      </c>
      <c r="P4312" t="s">
        <v>6113</v>
      </c>
      <c r="Q4312">
        <v>7</v>
      </c>
      <c r="R4312">
        <v>2026</v>
      </c>
      <c r="S4312" t="s">
        <v>6100</v>
      </c>
      <c r="T4312">
        <v>0</v>
      </c>
      <c r="U4312" t="s">
        <v>6021</v>
      </c>
      <c r="V4312">
        <v>0</v>
      </c>
    </row>
    <row r="4313" spans="1:22" x14ac:dyDescent="0.3">
      <c r="A4313" t="s">
        <v>4328</v>
      </c>
      <c r="B4313" s="2">
        <v>46218.189583333333</v>
      </c>
      <c r="C4313" s="2">
        <v>46218.939583333333</v>
      </c>
      <c r="D4313" t="s">
        <v>6025</v>
      </c>
      <c r="E4313" t="s">
        <v>6030</v>
      </c>
      <c r="F4313" t="s">
        <v>6034</v>
      </c>
      <c r="G4313" t="s">
        <v>6083</v>
      </c>
      <c r="H4313" t="s">
        <v>6096</v>
      </c>
      <c r="I4313">
        <v>24</v>
      </c>
      <c r="J4313">
        <v>18</v>
      </c>
      <c r="K4313" t="s">
        <v>6100</v>
      </c>
      <c r="L4313" t="s">
        <v>6099</v>
      </c>
      <c r="M4313" t="s">
        <v>6100</v>
      </c>
      <c r="O4313" t="s">
        <v>6101</v>
      </c>
      <c r="P4313" t="s">
        <v>6113</v>
      </c>
      <c r="Q4313">
        <v>7</v>
      </c>
      <c r="R4313">
        <v>2026</v>
      </c>
      <c r="S4313" t="s">
        <v>6099</v>
      </c>
      <c r="T4313">
        <v>1</v>
      </c>
      <c r="U4313" t="s">
        <v>6020</v>
      </c>
      <c r="V4313">
        <v>0</v>
      </c>
    </row>
    <row r="4314" spans="1:22" x14ac:dyDescent="0.3">
      <c r="A4314" t="s">
        <v>4329</v>
      </c>
      <c r="B4314" s="2">
        <v>46218.236111111109</v>
      </c>
      <c r="C4314" s="2">
        <v>46218.515277777777</v>
      </c>
      <c r="D4314" t="s">
        <v>6022</v>
      </c>
      <c r="E4314" t="s">
        <v>6032</v>
      </c>
      <c r="F4314" t="s">
        <v>6033</v>
      </c>
      <c r="G4314" t="s">
        <v>6053</v>
      </c>
      <c r="H4314" t="s">
        <v>6097</v>
      </c>
      <c r="I4314">
        <v>72</v>
      </c>
      <c r="J4314">
        <v>6.7</v>
      </c>
      <c r="K4314" t="s">
        <v>6099</v>
      </c>
      <c r="L4314" t="s">
        <v>6100</v>
      </c>
      <c r="M4314" t="s">
        <v>6100</v>
      </c>
      <c r="O4314" t="s">
        <v>6101</v>
      </c>
      <c r="P4314" t="s">
        <v>6113</v>
      </c>
      <c r="Q4314">
        <v>7</v>
      </c>
      <c r="R4314">
        <v>2026</v>
      </c>
      <c r="S4314" t="s">
        <v>6099</v>
      </c>
      <c r="T4314">
        <v>1</v>
      </c>
      <c r="U4314" t="s">
        <v>6017</v>
      </c>
      <c r="V4314">
        <v>1</v>
      </c>
    </row>
    <row r="4315" spans="1:22" x14ac:dyDescent="0.3">
      <c r="A4315" t="s">
        <v>4330</v>
      </c>
      <c r="B4315" s="2">
        <v>46218.286805555559</v>
      </c>
      <c r="C4315" s="2">
        <v>46218.586805555555</v>
      </c>
      <c r="D4315" t="s">
        <v>6028</v>
      </c>
      <c r="E4315" t="s">
        <v>6029</v>
      </c>
      <c r="F4315" t="s">
        <v>6035</v>
      </c>
      <c r="G4315" t="s">
        <v>6088</v>
      </c>
      <c r="H4315" t="s">
        <v>6097</v>
      </c>
      <c r="I4315">
        <v>4</v>
      </c>
      <c r="J4315">
        <v>7.2</v>
      </c>
      <c r="K4315" t="s">
        <v>6099</v>
      </c>
      <c r="L4315" t="s">
        <v>6100</v>
      </c>
      <c r="M4315" t="s">
        <v>6099</v>
      </c>
      <c r="O4315" t="s">
        <v>6101</v>
      </c>
      <c r="P4315" t="s">
        <v>6113</v>
      </c>
      <c r="Q4315">
        <v>7</v>
      </c>
      <c r="R4315">
        <v>2026</v>
      </c>
      <c r="S4315" t="s">
        <v>6100</v>
      </c>
      <c r="T4315">
        <v>0</v>
      </c>
      <c r="U4315" t="s">
        <v>6021</v>
      </c>
      <c r="V4315">
        <v>1</v>
      </c>
    </row>
    <row r="4316" spans="1:22" x14ac:dyDescent="0.3">
      <c r="A4316" t="s">
        <v>4331</v>
      </c>
      <c r="B4316" s="2">
        <v>46218.3</v>
      </c>
      <c r="C4316" s="2">
        <v>46219.104166666664</v>
      </c>
      <c r="D4316" t="s">
        <v>6028</v>
      </c>
      <c r="E4316" t="s">
        <v>6032</v>
      </c>
      <c r="F4316" t="s">
        <v>6035</v>
      </c>
      <c r="G4316" t="s">
        <v>6083</v>
      </c>
      <c r="H4316" t="s">
        <v>6096</v>
      </c>
      <c r="I4316">
        <v>4</v>
      </c>
      <c r="J4316">
        <v>19.3</v>
      </c>
      <c r="K4316" t="s">
        <v>6099</v>
      </c>
      <c r="L4316" t="s">
        <v>6100</v>
      </c>
      <c r="M4316" t="s">
        <v>6100</v>
      </c>
      <c r="O4316" t="s">
        <v>6101</v>
      </c>
      <c r="P4316" t="s">
        <v>6113</v>
      </c>
      <c r="Q4316">
        <v>7</v>
      </c>
      <c r="R4316">
        <v>2026</v>
      </c>
      <c r="S4316" t="s">
        <v>6100</v>
      </c>
      <c r="T4316">
        <v>0</v>
      </c>
      <c r="U4316" t="s">
        <v>6021</v>
      </c>
      <c r="V4316">
        <v>1</v>
      </c>
    </row>
    <row r="4317" spans="1:22" x14ac:dyDescent="0.3">
      <c r="A4317" t="s">
        <v>4332</v>
      </c>
      <c r="B4317" s="2">
        <v>46218.334027777775</v>
      </c>
      <c r="C4317" s="2">
        <v>46220.03402777778</v>
      </c>
      <c r="D4317" t="s">
        <v>6025</v>
      </c>
      <c r="E4317" t="s">
        <v>6031</v>
      </c>
      <c r="F4317" t="s">
        <v>6033</v>
      </c>
      <c r="G4317" t="s">
        <v>6042</v>
      </c>
      <c r="H4317" t="s">
        <v>6098</v>
      </c>
      <c r="I4317">
        <v>72</v>
      </c>
      <c r="J4317">
        <v>40.799999999999997</v>
      </c>
      <c r="K4317" t="s">
        <v>6099</v>
      </c>
      <c r="L4317" t="s">
        <v>6100</v>
      </c>
      <c r="M4317" t="s">
        <v>6100</v>
      </c>
      <c r="N4317">
        <v>5</v>
      </c>
      <c r="O4317" t="s">
        <v>6101</v>
      </c>
      <c r="P4317" t="s">
        <v>6113</v>
      </c>
      <c r="Q4317">
        <v>7</v>
      </c>
      <c r="R4317">
        <v>2026</v>
      </c>
      <c r="S4317" t="s">
        <v>6099</v>
      </c>
      <c r="T4317">
        <v>1</v>
      </c>
      <c r="U4317" t="s">
        <v>6021</v>
      </c>
      <c r="V4317">
        <v>1</v>
      </c>
    </row>
    <row r="4318" spans="1:22" x14ac:dyDescent="0.3">
      <c r="A4318" t="s">
        <v>4333</v>
      </c>
      <c r="B4318" s="2">
        <v>46218.478472222225</v>
      </c>
      <c r="C4318" s="2">
        <v>46219.615972222222</v>
      </c>
      <c r="D4318" t="s">
        <v>6024</v>
      </c>
      <c r="E4318" t="s">
        <v>6029</v>
      </c>
      <c r="F4318" t="s">
        <v>6034</v>
      </c>
      <c r="G4318" t="s">
        <v>6064</v>
      </c>
      <c r="H4318" t="s">
        <v>6096</v>
      </c>
      <c r="I4318">
        <v>24</v>
      </c>
      <c r="J4318">
        <v>27.3</v>
      </c>
      <c r="K4318" t="s">
        <v>6099</v>
      </c>
      <c r="L4318" t="s">
        <v>6100</v>
      </c>
      <c r="M4318" t="s">
        <v>6100</v>
      </c>
      <c r="N4318">
        <v>4</v>
      </c>
      <c r="O4318" t="s">
        <v>6101</v>
      </c>
      <c r="P4318" t="s">
        <v>6113</v>
      </c>
      <c r="Q4318">
        <v>7</v>
      </c>
      <c r="R4318">
        <v>2026</v>
      </c>
      <c r="S4318" t="s">
        <v>6100</v>
      </c>
      <c r="T4318">
        <v>0</v>
      </c>
      <c r="U4318" t="s">
        <v>6021</v>
      </c>
      <c r="V4318">
        <v>1</v>
      </c>
    </row>
    <row r="4319" spans="1:22" x14ac:dyDescent="0.3">
      <c r="A4319" t="s">
        <v>4334</v>
      </c>
      <c r="B4319" s="2">
        <v>46218.490972222222</v>
      </c>
      <c r="C4319" s="2">
        <v>46218.657638888886</v>
      </c>
      <c r="D4319" t="s">
        <v>6023</v>
      </c>
      <c r="E4319" t="s">
        <v>6029</v>
      </c>
      <c r="F4319" t="s">
        <v>6033</v>
      </c>
      <c r="G4319" t="s">
        <v>6059</v>
      </c>
      <c r="H4319" t="s">
        <v>6097</v>
      </c>
      <c r="I4319">
        <v>72</v>
      </c>
      <c r="J4319">
        <v>4</v>
      </c>
      <c r="K4319" t="s">
        <v>6099</v>
      </c>
      <c r="L4319" t="s">
        <v>6100</v>
      </c>
      <c r="M4319" t="s">
        <v>6100</v>
      </c>
      <c r="N4319">
        <v>5</v>
      </c>
      <c r="O4319" t="s">
        <v>6101</v>
      </c>
      <c r="P4319" t="s">
        <v>6113</v>
      </c>
      <c r="Q4319">
        <v>7</v>
      </c>
      <c r="R4319">
        <v>2026</v>
      </c>
      <c r="S4319" t="s">
        <v>6099</v>
      </c>
      <c r="T4319">
        <v>1</v>
      </c>
      <c r="U4319" t="s">
        <v>6020</v>
      </c>
      <c r="V4319">
        <v>1</v>
      </c>
    </row>
    <row r="4320" spans="1:22" x14ac:dyDescent="0.3">
      <c r="A4320" t="s">
        <v>4335</v>
      </c>
      <c r="B4320" s="2">
        <v>46218.509722222225</v>
      </c>
      <c r="C4320" s="2">
        <v>46219.455555555556</v>
      </c>
      <c r="D4320" t="s">
        <v>6028</v>
      </c>
      <c r="E4320" t="s">
        <v>6031</v>
      </c>
      <c r="F4320" t="s">
        <v>6034</v>
      </c>
      <c r="G4320" t="s">
        <v>6059</v>
      </c>
      <c r="H4320" t="s">
        <v>6097</v>
      </c>
      <c r="I4320">
        <v>24</v>
      </c>
      <c r="J4320">
        <v>22.7</v>
      </c>
      <c r="K4320" t="s">
        <v>6099</v>
      </c>
      <c r="L4320" t="s">
        <v>6100</v>
      </c>
      <c r="M4320" t="s">
        <v>6100</v>
      </c>
      <c r="O4320" t="s">
        <v>6101</v>
      </c>
      <c r="P4320" t="s">
        <v>6113</v>
      </c>
      <c r="Q4320">
        <v>7</v>
      </c>
      <c r="R4320">
        <v>2026</v>
      </c>
      <c r="S4320" t="s">
        <v>6099</v>
      </c>
      <c r="T4320">
        <v>1</v>
      </c>
      <c r="U4320" t="s">
        <v>6020</v>
      </c>
      <c r="V4320">
        <v>1</v>
      </c>
    </row>
    <row r="4321" spans="1:22" x14ac:dyDescent="0.3">
      <c r="A4321" t="s">
        <v>4336</v>
      </c>
      <c r="B4321" s="2">
        <v>46218.536805555559</v>
      </c>
      <c r="C4321" s="2">
        <v>46219.111805555556</v>
      </c>
      <c r="D4321" t="s">
        <v>6024</v>
      </c>
      <c r="E4321" t="s">
        <v>6029</v>
      </c>
      <c r="F4321" t="s">
        <v>6033</v>
      </c>
      <c r="G4321" t="s">
        <v>6094</v>
      </c>
      <c r="H4321" t="s">
        <v>6098</v>
      </c>
      <c r="I4321">
        <v>72</v>
      </c>
      <c r="J4321">
        <v>13.8</v>
      </c>
      <c r="K4321" t="s">
        <v>6099</v>
      </c>
      <c r="L4321" t="s">
        <v>6100</v>
      </c>
      <c r="M4321" t="s">
        <v>6100</v>
      </c>
      <c r="O4321" t="s">
        <v>6101</v>
      </c>
      <c r="P4321" t="s">
        <v>6113</v>
      </c>
      <c r="Q4321">
        <v>7</v>
      </c>
      <c r="R4321">
        <v>2026</v>
      </c>
      <c r="S4321" t="s">
        <v>6099</v>
      </c>
      <c r="T4321">
        <v>1</v>
      </c>
      <c r="U4321" t="s">
        <v>6021</v>
      </c>
      <c r="V4321">
        <v>1</v>
      </c>
    </row>
    <row r="4322" spans="1:22" x14ac:dyDescent="0.3">
      <c r="A4322" t="s">
        <v>4337</v>
      </c>
      <c r="B4322" s="2">
        <v>46218.569444444445</v>
      </c>
      <c r="C4322" s="2">
        <v>46220.31527777778</v>
      </c>
      <c r="D4322" t="s">
        <v>6028</v>
      </c>
      <c r="E4322" t="s">
        <v>6032</v>
      </c>
      <c r="F4322" t="s">
        <v>6034</v>
      </c>
      <c r="G4322" t="s">
        <v>6070</v>
      </c>
      <c r="H4322" t="s">
        <v>6097</v>
      </c>
      <c r="I4322">
        <v>24</v>
      </c>
      <c r="J4322">
        <v>41.9</v>
      </c>
      <c r="K4322" t="s">
        <v>6099</v>
      </c>
      <c r="L4322" t="s">
        <v>6100</v>
      </c>
      <c r="M4322" t="s">
        <v>6100</v>
      </c>
      <c r="N4322">
        <v>4</v>
      </c>
      <c r="O4322" t="s">
        <v>6101</v>
      </c>
      <c r="P4322" t="s">
        <v>6113</v>
      </c>
      <c r="Q4322">
        <v>7</v>
      </c>
      <c r="R4322">
        <v>2026</v>
      </c>
      <c r="S4322" t="s">
        <v>6100</v>
      </c>
      <c r="T4322">
        <v>0</v>
      </c>
      <c r="U4322" t="s">
        <v>6019</v>
      </c>
      <c r="V4322">
        <v>1</v>
      </c>
    </row>
    <row r="4323" spans="1:22" x14ac:dyDescent="0.3">
      <c r="A4323" t="s">
        <v>4338</v>
      </c>
      <c r="B4323" s="2">
        <v>46218.584027777775</v>
      </c>
      <c r="C4323" s="2">
        <v>46219.579861111109</v>
      </c>
      <c r="D4323" t="s">
        <v>6028</v>
      </c>
      <c r="E4323" t="s">
        <v>6031</v>
      </c>
      <c r="F4323" t="s">
        <v>6034</v>
      </c>
      <c r="G4323" t="s">
        <v>6073</v>
      </c>
      <c r="H4323" t="s">
        <v>6096</v>
      </c>
      <c r="I4323">
        <v>24</v>
      </c>
      <c r="J4323">
        <v>23.9</v>
      </c>
      <c r="K4323" t="s">
        <v>6099</v>
      </c>
      <c r="L4323" t="s">
        <v>6100</v>
      </c>
      <c r="M4323" t="s">
        <v>6100</v>
      </c>
      <c r="N4323">
        <v>5</v>
      </c>
      <c r="O4323" t="s">
        <v>6101</v>
      </c>
      <c r="P4323" t="s">
        <v>6113</v>
      </c>
      <c r="Q4323">
        <v>7</v>
      </c>
      <c r="R4323">
        <v>2026</v>
      </c>
      <c r="S4323" t="s">
        <v>6099</v>
      </c>
      <c r="T4323">
        <v>1</v>
      </c>
      <c r="U4323" t="s">
        <v>6018</v>
      </c>
      <c r="V4323">
        <v>1</v>
      </c>
    </row>
    <row r="4324" spans="1:22" x14ac:dyDescent="0.3">
      <c r="A4324" t="s">
        <v>4339</v>
      </c>
      <c r="B4324" s="2">
        <v>46218.593055555553</v>
      </c>
      <c r="C4324" s="2">
        <v>46219.293055555558</v>
      </c>
      <c r="D4324" t="s">
        <v>6028</v>
      </c>
      <c r="E4324" t="s">
        <v>6031</v>
      </c>
      <c r="F4324" t="s">
        <v>6035</v>
      </c>
      <c r="G4324" t="s">
        <v>6040</v>
      </c>
      <c r="H4324" t="s">
        <v>6097</v>
      </c>
      <c r="I4324">
        <v>4</v>
      </c>
      <c r="J4324">
        <v>16.8</v>
      </c>
      <c r="K4324" t="s">
        <v>6099</v>
      </c>
      <c r="L4324" t="s">
        <v>6100</v>
      </c>
      <c r="M4324" t="s">
        <v>6100</v>
      </c>
      <c r="N4324">
        <v>5</v>
      </c>
      <c r="O4324" t="s">
        <v>6101</v>
      </c>
      <c r="P4324" t="s">
        <v>6113</v>
      </c>
      <c r="Q4324">
        <v>7</v>
      </c>
      <c r="R4324">
        <v>2026</v>
      </c>
      <c r="S4324" t="s">
        <v>6100</v>
      </c>
      <c r="T4324">
        <v>0</v>
      </c>
      <c r="U4324" t="s">
        <v>6020</v>
      </c>
      <c r="V4324">
        <v>1</v>
      </c>
    </row>
    <row r="4325" spans="1:22" x14ac:dyDescent="0.3">
      <c r="A4325" t="s">
        <v>4340</v>
      </c>
      <c r="B4325" s="2">
        <v>46218.613194444442</v>
      </c>
      <c r="C4325" s="2">
        <v>46218.884027777778</v>
      </c>
      <c r="D4325" t="s">
        <v>6023</v>
      </c>
      <c r="E4325" t="s">
        <v>6029</v>
      </c>
      <c r="F4325" t="s">
        <v>6033</v>
      </c>
      <c r="G4325" t="s">
        <v>6088</v>
      </c>
      <c r="H4325" t="s">
        <v>6097</v>
      </c>
      <c r="I4325">
        <v>72</v>
      </c>
      <c r="J4325">
        <v>6.5</v>
      </c>
      <c r="K4325" t="s">
        <v>6099</v>
      </c>
      <c r="L4325" t="s">
        <v>6100</v>
      </c>
      <c r="M4325" t="s">
        <v>6100</v>
      </c>
      <c r="N4325">
        <v>5</v>
      </c>
      <c r="O4325" t="s">
        <v>6101</v>
      </c>
      <c r="P4325" t="s">
        <v>6113</v>
      </c>
      <c r="Q4325">
        <v>7</v>
      </c>
      <c r="R4325">
        <v>2026</v>
      </c>
      <c r="S4325" t="s">
        <v>6099</v>
      </c>
      <c r="T4325">
        <v>1</v>
      </c>
      <c r="U4325" t="s">
        <v>6021</v>
      </c>
      <c r="V4325">
        <v>1</v>
      </c>
    </row>
    <row r="4326" spans="1:22" x14ac:dyDescent="0.3">
      <c r="A4326" t="s">
        <v>4341</v>
      </c>
      <c r="B4326" s="2">
        <v>46218.633333333331</v>
      </c>
      <c r="C4326" s="2">
        <v>46218.804166666669</v>
      </c>
      <c r="D4326" t="s">
        <v>6027</v>
      </c>
      <c r="E4326" t="s">
        <v>6029</v>
      </c>
      <c r="F4326" t="s">
        <v>6035</v>
      </c>
      <c r="G4326" t="s">
        <v>6038</v>
      </c>
      <c r="H4326" t="s">
        <v>6096</v>
      </c>
      <c r="I4326">
        <v>4</v>
      </c>
      <c r="J4326">
        <v>4.0999999999999996</v>
      </c>
      <c r="K4326" t="s">
        <v>6100</v>
      </c>
      <c r="L4326" t="s">
        <v>6099</v>
      </c>
      <c r="M4326" t="s">
        <v>6099</v>
      </c>
      <c r="N4326">
        <v>4</v>
      </c>
      <c r="O4326" t="s">
        <v>6101</v>
      </c>
      <c r="P4326" t="s">
        <v>6113</v>
      </c>
      <c r="Q4326">
        <v>7</v>
      </c>
      <c r="R4326">
        <v>2026</v>
      </c>
      <c r="S4326" t="s">
        <v>6100</v>
      </c>
      <c r="T4326">
        <v>0</v>
      </c>
      <c r="U4326" t="s">
        <v>6021</v>
      </c>
      <c r="V4326">
        <v>0</v>
      </c>
    </row>
    <row r="4327" spans="1:22" x14ac:dyDescent="0.3">
      <c r="A4327" t="s">
        <v>4342</v>
      </c>
      <c r="B4327" s="2">
        <v>46218.663194444445</v>
      </c>
      <c r="C4327" s="2">
        <v>46223.234027777777</v>
      </c>
      <c r="D4327" t="s">
        <v>6026</v>
      </c>
      <c r="E4327" t="s">
        <v>6031</v>
      </c>
      <c r="F4327" t="s">
        <v>6035</v>
      </c>
      <c r="G4327" t="s">
        <v>6038</v>
      </c>
      <c r="H4327" t="s">
        <v>6096</v>
      </c>
      <c r="I4327">
        <v>4</v>
      </c>
      <c r="J4327">
        <v>109.7</v>
      </c>
      <c r="K4327" t="s">
        <v>6100</v>
      </c>
      <c r="L4327" t="s">
        <v>6100</v>
      </c>
      <c r="M4327" t="s">
        <v>6100</v>
      </c>
      <c r="N4327">
        <v>5</v>
      </c>
      <c r="O4327" t="s">
        <v>6101</v>
      </c>
      <c r="P4327" t="s">
        <v>6113</v>
      </c>
      <c r="Q4327">
        <v>7</v>
      </c>
      <c r="R4327">
        <v>2026</v>
      </c>
      <c r="S4327" t="s">
        <v>6100</v>
      </c>
      <c r="T4327">
        <v>0</v>
      </c>
      <c r="U4327" t="s">
        <v>6020</v>
      </c>
      <c r="V4327">
        <v>0</v>
      </c>
    </row>
    <row r="4328" spans="1:22" x14ac:dyDescent="0.3">
      <c r="A4328" t="s">
        <v>4343</v>
      </c>
      <c r="B4328" s="2">
        <v>46218.664583333331</v>
      </c>
      <c r="C4328" s="2">
        <v>46219.397916666669</v>
      </c>
      <c r="D4328" t="s">
        <v>6025</v>
      </c>
      <c r="E4328" t="s">
        <v>6029</v>
      </c>
      <c r="F4328" t="s">
        <v>6033</v>
      </c>
      <c r="G4328" t="s">
        <v>6071</v>
      </c>
      <c r="H4328" t="s">
        <v>6098</v>
      </c>
      <c r="I4328">
        <v>72</v>
      </c>
      <c r="J4328">
        <v>17.600000000000001</v>
      </c>
      <c r="K4328" t="s">
        <v>6099</v>
      </c>
      <c r="L4328" t="s">
        <v>6100</v>
      </c>
      <c r="M4328" t="s">
        <v>6100</v>
      </c>
      <c r="N4328">
        <v>5</v>
      </c>
      <c r="O4328" t="s">
        <v>6101</v>
      </c>
      <c r="P4328" t="s">
        <v>6113</v>
      </c>
      <c r="Q4328">
        <v>7</v>
      </c>
      <c r="R4328">
        <v>2026</v>
      </c>
      <c r="S4328" t="s">
        <v>6099</v>
      </c>
      <c r="T4328">
        <v>1</v>
      </c>
      <c r="U4328" t="s">
        <v>6019</v>
      </c>
      <c r="V4328">
        <v>1</v>
      </c>
    </row>
    <row r="4329" spans="1:22" x14ac:dyDescent="0.3">
      <c r="A4329" t="s">
        <v>4344</v>
      </c>
      <c r="B4329" s="2">
        <v>46218.779166666667</v>
      </c>
      <c r="C4329" s="2">
        <v>46219.945833333331</v>
      </c>
      <c r="D4329" t="s">
        <v>6022</v>
      </c>
      <c r="E4329" t="s">
        <v>6031</v>
      </c>
      <c r="F4329" t="s">
        <v>6034</v>
      </c>
      <c r="G4329" t="s">
        <v>6090</v>
      </c>
      <c r="H4329" t="s">
        <v>6097</v>
      </c>
      <c r="I4329">
        <v>24</v>
      </c>
      <c r="J4329">
        <v>28</v>
      </c>
      <c r="K4329" t="s">
        <v>6099</v>
      </c>
      <c r="L4329" t="s">
        <v>6100</v>
      </c>
      <c r="M4329" t="s">
        <v>6100</v>
      </c>
      <c r="N4329">
        <v>3</v>
      </c>
      <c r="O4329" t="s">
        <v>6101</v>
      </c>
      <c r="P4329" t="s">
        <v>6113</v>
      </c>
      <c r="Q4329">
        <v>7</v>
      </c>
      <c r="R4329">
        <v>2026</v>
      </c>
      <c r="S4329" t="s">
        <v>6100</v>
      </c>
      <c r="T4329">
        <v>0</v>
      </c>
      <c r="U4329" t="s">
        <v>6017</v>
      </c>
      <c r="V4329">
        <v>1</v>
      </c>
    </row>
    <row r="4330" spans="1:22" x14ac:dyDescent="0.3">
      <c r="A4330" t="s">
        <v>4345</v>
      </c>
      <c r="B4330" s="2">
        <v>46218.881249999999</v>
      </c>
      <c r="C4330" s="2">
        <v>46219.481249999997</v>
      </c>
      <c r="D4330" t="s">
        <v>6023</v>
      </c>
      <c r="E4330" t="s">
        <v>6032</v>
      </c>
      <c r="F4330" t="s">
        <v>6034</v>
      </c>
      <c r="G4330" t="s">
        <v>6052</v>
      </c>
      <c r="H4330" t="s">
        <v>6098</v>
      </c>
      <c r="I4330">
        <v>24</v>
      </c>
      <c r="J4330">
        <v>14.4</v>
      </c>
      <c r="K4330" t="s">
        <v>6100</v>
      </c>
      <c r="L4330" t="s">
        <v>6100</v>
      </c>
      <c r="M4330" t="s">
        <v>6100</v>
      </c>
      <c r="N4330">
        <v>4</v>
      </c>
      <c r="O4330" t="s">
        <v>6101</v>
      </c>
      <c r="P4330" t="s">
        <v>6113</v>
      </c>
      <c r="Q4330">
        <v>7</v>
      </c>
      <c r="R4330">
        <v>2026</v>
      </c>
      <c r="S4330" t="s">
        <v>6099</v>
      </c>
      <c r="T4330">
        <v>1</v>
      </c>
      <c r="U4330" t="s">
        <v>6021</v>
      </c>
      <c r="V4330">
        <v>0</v>
      </c>
    </row>
    <row r="4331" spans="1:22" x14ac:dyDescent="0.3">
      <c r="A4331" t="s">
        <v>4346</v>
      </c>
      <c r="B4331" s="2">
        <v>46219.111111111109</v>
      </c>
      <c r="C4331" s="2">
        <v>46222.831944444442</v>
      </c>
      <c r="D4331" t="s">
        <v>6026</v>
      </c>
      <c r="E4331" t="s">
        <v>6031</v>
      </c>
      <c r="F4331" t="s">
        <v>6034</v>
      </c>
      <c r="G4331" t="s">
        <v>6058</v>
      </c>
      <c r="H4331" t="s">
        <v>6098</v>
      </c>
      <c r="I4331">
        <v>24</v>
      </c>
      <c r="J4331">
        <v>89.3</v>
      </c>
      <c r="K4331" t="s">
        <v>6100</v>
      </c>
      <c r="L4331" t="s">
        <v>6099</v>
      </c>
      <c r="M4331" t="s">
        <v>6100</v>
      </c>
      <c r="N4331">
        <v>1</v>
      </c>
      <c r="O4331" t="s">
        <v>6101</v>
      </c>
      <c r="P4331" t="s">
        <v>6113</v>
      </c>
      <c r="Q4331">
        <v>7</v>
      </c>
      <c r="R4331">
        <v>2026</v>
      </c>
      <c r="S4331" t="s">
        <v>6100</v>
      </c>
      <c r="T4331">
        <v>0</v>
      </c>
      <c r="U4331" t="s">
        <v>6021</v>
      </c>
      <c r="V4331">
        <v>0</v>
      </c>
    </row>
    <row r="4332" spans="1:22" x14ac:dyDescent="0.3">
      <c r="A4332" t="s">
        <v>4347</v>
      </c>
      <c r="B4332" s="2">
        <v>46219.222916666666</v>
      </c>
      <c r="C4332" s="2">
        <v>46220.885416666664</v>
      </c>
      <c r="D4332" t="s">
        <v>6028</v>
      </c>
      <c r="E4332" t="s">
        <v>6031</v>
      </c>
      <c r="F4332" t="s">
        <v>6035</v>
      </c>
      <c r="G4332" t="s">
        <v>6078</v>
      </c>
      <c r="H4332" t="s">
        <v>6097</v>
      </c>
      <c r="I4332">
        <v>4</v>
      </c>
      <c r="J4332">
        <v>39.9</v>
      </c>
      <c r="K4332" t="s">
        <v>6099</v>
      </c>
      <c r="L4332" t="s">
        <v>6100</v>
      </c>
      <c r="M4332" t="s">
        <v>6100</v>
      </c>
      <c r="N4332">
        <v>3</v>
      </c>
      <c r="O4332" t="s">
        <v>6101</v>
      </c>
      <c r="P4332" t="s">
        <v>6113</v>
      </c>
      <c r="Q4332">
        <v>7</v>
      </c>
      <c r="R4332">
        <v>2026</v>
      </c>
      <c r="S4332" t="s">
        <v>6100</v>
      </c>
      <c r="T4332">
        <v>0</v>
      </c>
      <c r="U4332" t="s">
        <v>6019</v>
      </c>
      <c r="V4332">
        <v>1</v>
      </c>
    </row>
    <row r="4333" spans="1:22" x14ac:dyDescent="0.3">
      <c r="A4333" t="s">
        <v>4348</v>
      </c>
      <c r="B4333" s="2">
        <v>46219.352777777778</v>
      </c>
      <c r="C4333" s="2">
        <v>46219.427777777775</v>
      </c>
      <c r="D4333" t="s">
        <v>6022</v>
      </c>
      <c r="E4333" t="s">
        <v>6030</v>
      </c>
      <c r="F4333" t="s">
        <v>6033</v>
      </c>
      <c r="G4333" t="s">
        <v>6067</v>
      </c>
      <c r="H4333" t="s">
        <v>6098</v>
      </c>
      <c r="I4333">
        <v>72</v>
      </c>
      <c r="J4333">
        <v>1.8</v>
      </c>
      <c r="K4333" t="s">
        <v>6099</v>
      </c>
      <c r="L4333" t="s">
        <v>6100</v>
      </c>
      <c r="M4333" t="s">
        <v>6100</v>
      </c>
      <c r="N4333">
        <v>5</v>
      </c>
      <c r="O4333" t="s">
        <v>6101</v>
      </c>
      <c r="P4333" t="s">
        <v>6113</v>
      </c>
      <c r="Q4333">
        <v>7</v>
      </c>
      <c r="R4333">
        <v>2026</v>
      </c>
      <c r="S4333" t="s">
        <v>6099</v>
      </c>
      <c r="T4333">
        <v>1</v>
      </c>
      <c r="U4333" t="s">
        <v>6018</v>
      </c>
      <c r="V4333">
        <v>1</v>
      </c>
    </row>
    <row r="4334" spans="1:22" x14ac:dyDescent="0.3">
      <c r="A4334" t="s">
        <v>4349</v>
      </c>
      <c r="B4334" s="2">
        <v>46219.367361111108</v>
      </c>
      <c r="C4334" s="2">
        <v>46219.563194444447</v>
      </c>
      <c r="D4334" t="s">
        <v>6023</v>
      </c>
      <c r="E4334" t="s">
        <v>6029</v>
      </c>
      <c r="F4334" t="s">
        <v>6034</v>
      </c>
      <c r="G4334" t="s">
        <v>6057</v>
      </c>
      <c r="H4334" t="s">
        <v>6097</v>
      </c>
      <c r="I4334">
        <v>24</v>
      </c>
      <c r="J4334">
        <v>4.7</v>
      </c>
      <c r="K4334" t="s">
        <v>6099</v>
      </c>
      <c r="L4334" t="s">
        <v>6100</v>
      </c>
      <c r="M4334" t="s">
        <v>6100</v>
      </c>
      <c r="O4334" t="s">
        <v>6101</v>
      </c>
      <c r="P4334" t="s">
        <v>6113</v>
      </c>
      <c r="Q4334">
        <v>7</v>
      </c>
      <c r="R4334">
        <v>2026</v>
      </c>
      <c r="S4334" t="s">
        <v>6099</v>
      </c>
      <c r="T4334">
        <v>1</v>
      </c>
      <c r="U4334" t="s">
        <v>6019</v>
      </c>
      <c r="V4334">
        <v>1</v>
      </c>
    </row>
    <row r="4335" spans="1:22" x14ac:dyDescent="0.3">
      <c r="A4335" t="s">
        <v>4350</v>
      </c>
      <c r="B4335" s="2">
        <v>46219.412499999999</v>
      </c>
      <c r="C4335" s="2">
        <v>46219.566666666666</v>
      </c>
      <c r="D4335" t="s">
        <v>6022</v>
      </c>
      <c r="E4335" t="s">
        <v>6030</v>
      </c>
      <c r="F4335" t="s">
        <v>6033</v>
      </c>
      <c r="G4335" t="s">
        <v>6076</v>
      </c>
      <c r="H4335" t="s">
        <v>6097</v>
      </c>
      <c r="I4335">
        <v>72</v>
      </c>
      <c r="J4335">
        <v>3.7</v>
      </c>
      <c r="K4335" t="s">
        <v>6100</v>
      </c>
      <c r="L4335" t="s">
        <v>6099</v>
      </c>
      <c r="M4335" t="s">
        <v>6100</v>
      </c>
      <c r="N4335">
        <v>3</v>
      </c>
      <c r="O4335" t="s">
        <v>6101</v>
      </c>
      <c r="P4335" t="s">
        <v>6113</v>
      </c>
      <c r="Q4335">
        <v>7</v>
      </c>
      <c r="R4335">
        <v>2026</v>
      </c>
      <c r="S4335" t="s">
        <v>6099</v>
      </c>
      <c r="T4335">
        <v>1</v>
      </c>
      <c r="U4335" t="s">
        <v>6018</v>
      </c>
      <c r="V4335">
        <v>0</v>
      </c>
    </row>
    <row r="4336" spans="1:22" x14ac:dyDescent="0.3">
      <c r="A4336" t="s">
        <v>4351</v>
      </c>
      <c r="B4336" s="2">
        <v>46219.412499999999</v>
      </c>
      <c r="C4336" s="2">
        <v>46220.970833333333</v>
      </c>
      <c r="D4336" t="s">
        <v>6026</v>
      </c>
      <c r="E4336" t="s">
        <v>6031</v>
      </c>
      <c r="F4336" t="s">
        <v>6034</v>
      </c>
      <c r="G4336" t="s">
        <v>6058</v>
      </c>
      <c r="H4336" t="s">
        <v>6098</v>
      </c>
      <c r="I4336">
        <v>24</v>
      </c>
      <c r="J4336">
        <v>37.4</v>
      </c>
      <c r="K4336" t="s">
        <v>6099</v>
      </c>
      <c r="L4336" t="s">
        <v>6100</v>
      </c>
      <c r="M4336" t="s">
        <v>6100</v>
      </c>
      <c r="O4336" t="s">
        <v>6101</v>
      </c>
      <c r="P4336" t="s">
        <v>6113</v>
      </c>
      <c r="Q4336">
        <v>7</v>
      </c>
      <c r="R4336">
        <v>2026</v>
      </c>
      <c r="S4336" t="s">
        <v>6100</v>
      </c>
      <c r="T4336">
        <v>0</v>
      </c>
      <c r="U4336" t="s">
        <v>6020</v>
      </c>
      <c r="V4336">
        <v>1</v>
      </c>
    </row>
    <row r="4337" spans="1:22" x14ac:dyDescent="0.3">
      <c r="A4337" t="s">
        <v>4352</v>
      </c>
      <c r="B4337" s="2">
        <v>46219.479861111111</v>
      </c>
      <c r="C4337" s="2">
        <v>46220.475694444445</v>
      </c>
      <c r="D4337" t="s">
        <v>6024</v>
      </c>
      <c r="E4337" t="s">
        <v>6031</v>
      </c>
      <c r="F4337" t="s">
        <v>6034</v>
      </c>
      <c r="G4337" t="s">
        <v>6040</v>
      </c>
      <c r="H4337" t="s">
        <v>6097</v>
      </c>
      <c r="I4337">
        <v>24</v>
      </c>
      <c r="J4337">
        <v>23.9</v>
      </c>
      <c r="K4337" t="s">
        <v>6100</v>
      </c>
      <c r="L4337" t="s">
        <v>6100</v>
      </c>
      <c r="M4337" t="s">
        <v>6100</v>
      </c>
      <c r="N4337">
        <v>3</v>
      </c>
      <c r="O4337" t="s">
        <v>6101</v>
      </c>
      <c r="P4337" t="s">
        <v>6113</v>
      </c>
      <c r="Q4337">
        <v>7</v>
      </c>
      <c r="R4337">
        <v>2026</v>
      </c>
      <c r="S4337" t="s">
        <v>6099</v>
      </c>
      <c r="T4337">
        <v>1</v>
      </c>
      <c r="U4337" t="s">
        <v>6017</v>
      </c>
      <c r="V4337">
        <v>0</v>
      </c>
    </row>
    <row r="4338" spans="1:22" x14ac:dyDescent="0.3">
      <c r="A4338" t="s">
        <v>4353</v>
      </c>
      <c r="B4338" s="2">
        <v>46219.487500000003</v>
      </c>
      <c r="C4338" s="2">
        <v>46219.929166666669</v>
      </c>
      <c r="D4338" t="s">
        <v>6023</v>
      </c>
      <c r="E4338" t="s">
        <v>6030</v>
      </c>
      <c r="F4338" t="s">
        <v>6034</v>
      </c>
      <c r="G4338" t="s">
        <v>6060</v>
      </c>
      <c r="H4338" t="s">
        <v>6097</v>
      </c>
      <c r="I4338">
        <v>24</v>
      </c>
      <c r="J4338">
        <v>10.6</v>
      </c>
      <c r="K4338" t="s">
        <v>6099</v>
      </c>
      <c r="L4338" t="s">
        <v>6100</v>
      </c>
      <c r="M4338" t="s">
        <v>6100</v>
      </c>
      <c r="N4338">
        <v>4</v>
      </c>
      <c r="O4338" t="s">
        <v>6101</v>
      </c>
      <c r="P4338" t="s">
        <v>6113</v>
      </c>
      <c r="Q4338">
        <v>7</v>
      </c>
      <c r="R4338">
        <v>2026</v>
      </c>
      <c r="S4338" t="s">
        <v>6099</v>
      </c>
      <c r="T4338">
        <v>1</v>
      </c>
      <c r="U4338" t="s">
        <v>6020</v>
      </c>
      <c r="V4338">
        <v>1</v>
      </c>
    </row>
    <row r="4339" spans="1:22" x14ac:dyDescent="0.3">
      <c r="A4339" t="s">
        <v>4354</v>
      </c>
      <c r="B4339" s="2">
        <v>46219.559027777781</v>
      </c>
      <c r="C4339" s="2">
        <v>46219.788194444445</v>
      </c>
      <c r="D4339" t="s">
        <v>6027</v>
      </c>
      <c r="E4339" t="s">
        <v>6029</v>
      </c>
      <c r="F4339" t="s">
        <v>6033</v>
      </c>
      <c r="G4339" t="s">
        <v>6065</v>
      </c>
      <c r="H4339" t="s">
        <v>6097</v>
      </c>
      <c r="I4339">
        <v>72</v>
      </c>
      <c r="J4339">
        <v>5.5</v>
      </c>
      <c r="K4339" t="s">
        <v>6099</v>
      </c>
      <c r="L4339" t="s">
        <v>6100</v>
      </c>
      <c r="M4339" t="s">
        <v>6099</v>
      </c>
      <c r="O4339" t="s">
        <v>6101</v>
      </c>
      <c r="P4339" t="s">
        <v>6113</v>
      </c>
      <c r="Q4339">
        <v>7</v>
      </c>
      <c r="R4339">
        <v>2026</v>
      </c>
      <c r="S4339" t="s">
        <v>6099</v>
      </c>
      <c r="T4339">
        <v>1</v>
      </c>
      <c r="U4339" t="s">
        <v>6019</v>
      </c>
      <c r="V4339">
        <v>1</v>
      </c>
    </row>
    <row r="4340" spans="1:22" x14ac:dyDescent="0.3">
      <c r="A4340" t="s">
        <v>4355</v>
      </c>
      <c r="B4340" s="2">
        <v>46219.570138888892</v>
      </c>
      <c r="C4340" s="2">
        <v>46219.820138888892</v>
      </c>
      <c r="D4340" t="s">
        <v>6023</v>
      </c>
      <c r="E4340" t="s">
        <v>6030</v>
      </c>
      <c r="F4340" t="s">
        <v>6033</v>
      </c>
      <c r="G4340" t="s">
        <v>6071</v>
      </c>
      <c r="H4340" t="s">
        <v>6098</v>
      </c>
      <c r="I4340">
        <v>72</v>
      </c>
      <c r="J4340">
        <v>6</v>
      </c>
      <c r="K4340" t="s">
        <v>6099</v>
      </c>
      <c r="L4340" t="s">
        <v>6100</v>
      </c>
      <c r="M4340" t="s">
        <v>6099</v>
      </c>
      <c r="O4340" t="s">
        <v>6101</v>
      </c>
      <c r="P4340" t="s">
        <v>6113</v>
      </c>
      <c r="Q4340">
        <v>7</v>
      </c>
      <c r="R4340">
        <v>2026</v>
      </c>
      <c r="S4340" t="s">
        <v>6099</v>
      </c>
      <c r="T4340">
        <v>1</v>
      </c>
      <c r="U4340" t="s">
        <v>6020</v>
      </c>
      <c r="V4340">
        <v>1</v>
      </c>
    </row>
    <row r="4341" spans="1:22" x14ac:dyDescent="0.3">
      <c r="A4341" t="s">
        <v>4356</v>
      </c>
      <c r="B4341" s="2">
        <v>46219.583333333336</v>
      </c>
      <c r="C4341" s="2">
        <v>46220.05</v>
      </c>
      <c r="D4341" t="s">
        <v>6027</v>
      </c>
      <c r="E4341" t="s">
        <v>6031</v>
      </c>
      <c r="F4341" t="s">
        <v>6033</v>
      </c>
      <c r="G4341" t="s">
        <v>6077</v>
      </c>
      <c r="H4341" t="s">
        <v>6098</v>
      </c>
      <c r="I4341">
        <v>72</v>
      </c>
      <c r="J4341">
        <v>11.2</v>
      </c>
      <c r="K4341" t="s">
        <v>6099</v>
      </c>
      <c r="L4341" t="s">
        <v>6100</v>
      </c>
      <c r="M4341" t="s">
        <v>6100</v>
      </c>
      <c r="O4341" t="s">
        <v>6101</v>
      </c>
      <c r="P4341" t="s">
        <v>6113</v>
      </c>
      <c r="Q4341">
        <v>7</v>
      </c>
      <c r="R4341">
        <v>2026</v>
      </c>
      <c r="S4341" t="s">
        <v>6099</v>
      </c>
      <c r="T4341">
        <v>1</v>
      </c>
      <c r="U4341" t="s">
        <v>6019</v>
      </c>
      <c r="V4341">
        <v>1</v>
      </c>
    </row>
    <row r="4342" spans="1:22" x14ac:dyDescent="0.3">
      <c r="A4342" t="s">
        <v>4357</v>
      </c>
      <c r="B4342" s="2">
        <v>46219.586111111108</v>
      </c>
      <c r="C4342" s="2">
        <v>46219.765277777777</v>
      </c>
      <c r="D4342" t="s">
        <v>6024</v>
      </c>
      <c r="E4342" t="s">
        <v>6030</v>
      </c>
      <c r="F4342" t="s">
        <v>6035</v>
      </c>
      <c r="G4342" t="s">
        <v>6045</v>
      </c>
      <c r="H4342" t="s">
        <v>6096</v>
      </c>
      <c r="I4342">
        <v>4</v>
      </c>
      <c r="J4342">
        <v>4.3</v>
      </c>
      <c r="K4342" t="s">
        <v>6099</v>
      </c>
      <c r="L4342" t="s">
        <v>6100</v>
      </c>
      <c r="M4342" t="s">
        <v>6100</v>
      </c>
      <c r="N4342">
        <v>4</v>
      </c>
      <c r="O4342" t="s">
        <v>6101</v>
      </c>
      <c r="P4342" t="s">
        <v>6113</v>
      </c>
      <c r="Q4342">
        <v>7</v>
      </c>
      <c r="R4342">
        <v>2026</v>
      </c>
      <c r="S4342" t="s">
        <v>6100</v>
      </c>
      <c r="T4342">
        <v>0</v>
      </c>
      <c r="U4342" t="s">
        <v>6021</v>
      </c>
      <c r="V4342">
        <v>1</v>
      </c>
    </row>
    <row r="4343" spans="1:22" x14ac:dyDescent="0.3">
      <c r="A4343" t="s">
        <v>4358</v>
      </c>
      <c r="B4343" s="2">
        <v>46219.590277777781</v>
      </c>
      <c r="C4343" s="2">
        <v>46219.852777777778</v>
      </c>
      <c r="D4343" t="s">
        <v>6022</v>
      </c>
      <c r="E4343" t="s">
        <v>6029</v>
      </c>
      <c r="F4343" t="s">
        <v>6035</v>
      </c>
      <c r="G4343" t="s">
        <v>6059</v>
      </c>
      <c r="H4343" t="s">
        <v>6097</v>
      </c>
      <c r="I4343">
        <v>4</v>
      </c>
      <c r="J4343">
        <v>6.3</v>
      </c>
      <c r="K4343" t="s">
        <v>6099</v>
      </c>
      <c r="L4343" t="s">
        <v>6100</v>
      </c>
      <c r="M4343" t="s">
        <v>6100</v>
      </c>
      <c r="N4343">
        <v>3</v>
      </c>
      <c r="O4343" t="s">
        <v>6101</v>
      </c>
      <c r="P4343" t="s">
        <v>6113</v>
      </c>
      <c r="Q4343">
        <v>7</v>
      </c>
      <c r="R4343">
        <v>2026</v>
      </c>
      <c r="S4343" t="s">
        <v>6100</v>
      </c>
      <c r="T4343">
        <v>0</v>
      </c>
      <c r="U4343" t="s">
        <v>6018</v>
      </c>
      <c r="V4343">
        <v>1</v>
      </c>
    </row>
    <row r="4344" spans="1:22" x14ac:dyDescent="0.3">
      <c r="A4344" t="s">
        <v>4359</v>
      </c>
      <c r="B4344" s="2">
        <v>46219.598611111112</v>
      </c>
      <c r="C4344" s="2">
        <v>46220.148611111108</v>
      </c>
      <c r="D4344" t="s">
        <v>6024</v>
      </c>
      <c r="E4344" t="s">
        <v>6029</v>
      </c>
      <c r="F4344" t="s">
        <v>6034</v>
      </c>
      <c r="G4344" t="s">
        <v>6049</v>
      </c>
      <c r="H4344" t="s">
        <v>6097</v>
      </c>
      <c r="I4344">
        <v>24</v>
      </c>
      <c r="J4344">
        <v>13.2</v>
      </c>
      <c r="K4344" t="s">
        <v>6099</v>
      </c>
      <c r="L4344" t="s">
        <v>6100</v>
      </c>
      <c r="M4344" t="s">
        <v>6100</v>
      </c>
      <c r="O4344" t="s">
        <v>6101</v>
      </c>
      <c r="P4344" t="s">
        <v>6113</v>
      </c>
      <c r="Q4344">
        <v>7</v>
      </c>
      <c r="R4344">
        <v>2026</v>
      </c>
      <c r="S4344" t="s">
        <v>6099</v>
      </c>
      <c r="T4344">
        <v>1</v>
      </c>
      <c r="U4344" t="s">
        <v>6019</v>
      </c>
      <c r="V4344">
        <v>1</v>
      </c>
    </row>
    <row r="4345" spans="1:22" x14ac:dyDescent="0.3">
      <c r="A4345" t="s">
        <v>4360</v>
      </c>
      <c r="B4345" s="2">
        <v>46219.600694444445</v>
      </c>
      <c r="C4345" s="2">
        <v>46222.071527777778</v>
      </c>
      <c r="D4345" t="s">
        <v>6026</v>
      </c>
      <c r="E4345" t="s">
        <v>6031</v>
      </c>
      <c r="F4345" t="s">
        <v>6035</v>
      </c>
      <c r="G4345" t="s">
        <v>6059</v>
      </c>
      <c r="H4345" t="s">
        <v>6097</v>
      </c>
      <c r="I4345">
        <v>4</v>
      </c>
      <c r="J4345">
        <v>59.3</v>
      </c>
      <c r="K4345" t="s">
        <v>6100</v>
      </c>
      <c r="L4345" t="s">
        <v>6099</v>
      </c>
      <c r="M4345" t="s">
        <v>6099</v>
      </c>
      <c r="N4345">
        <v>3</v>
      </c>
      <c r="O4345" t="s">
        <v>6101</v>
      </c>
      <c r="P4345" t="s">
        <v>6113</v>
      </c>
      <c r="Q4345">
        <v>7</v>
      </c>
      <c r="R4345">
        <v>2026</v>
      </c>
      <c r="S4345" t="s">
        <v>6100</v>
      </c>
      <c r="T4345">
        <v>0</v>
      </c>
      <c r="U4345" t="s">
        <v>6017</v>
      </c>
      <c r="V4345">
        <v>0</v>
      </c>
    </row>
    <row r="4346" spans="1:22" x14ac:dyDescent="0.3">
      <c r="A4346" t="s">
        <v>4361</v>
      </c>
      <c r="B4346" s="2">
        <v>46219.602777777778</v>
      </c>
      <c r="C4346" s="2">
        <v>46220.319444444445</v>
      </c>
      <c r="D4346" t="s">
        <v>6022</v>
      </c>
      <c r="E4346" t="s">
        <v>6032</v>
      </c>
      <c r="F4346" t="s">
        <v>6034</v>
      </c>
      <c r="G4346" t="s">
        <v>6053</v>
      </c>
      <c r="H4346" t="s">
        <v>6097</v>
      </c>
      <c r="I4346">
        <v>24</v>
      </c>
      <c r="J4346">
        <v>17.2</v>
      </c>
      <c r="K4346" t="s">
        <v>6100</v>
      </c>
      <c r="L4346" t="s">
        <v>6099</v>
      </c>
      <c r="M4346" t="s">
        <v>6100</v>
      </c>
      <c r="O4346" t="s">
        <v>6101</v>
      </c>
      <c r="P4346" t="s">
        <v>6113</v>
      </c>
      <c r="Q4346">
        <v>7</v>
      </c>
      <c r="R4346">
        <v>2026</v>
      </c>
      <c r="S4346" t="s">
        <v>6099</v>
      </c>
      <c r="T4346">
        <v>1</v>
      </c>
      <c r="U4346" t="s">
        <v>6017</v>
      </c>
      <c r="V4346">
        <v>0</v>
      </c>
    </row>
    <row r="4347" spans="1:22" x14ac:dyDescent="0.3">
      <c r="A4347" t="s">
        <v>4362</v>
      </c>
      <c r="B4347" s="2">
        <v>46219.624305555553</v>
      </c>
      <c r="C4347" s="2">
        <v>46220.620138888888</v>
      </c>
      <c r="D4347" t="s">
        <v>6022</v>
      </c>
      <c r="E4347" t="s">
        <v>6032</v>
      </c>
      <c r="F4347" t="s">
        <v>6035</v>
      </c>
      <c r="G4347" t="s">
        <v>6049</v>
      </c>
      <c r="H4347" t="s">
        <v>6097</v>
      </c>
      <c r="I4347">
        <v>4</v>
      </c>
      <c r="J4347">
        <v>23.9</v>
      </c>
      <c r="K4347" t="s">
        <v>6099</v>
      </c>
      <c r="L4347" t="s">
        <v>6100</v>
      </c>
      <c r="M4347" t="s">
        <v>6100</v>
      </c>
      <c r="N4347">
        <v>3</v>
      </c>
      <c r="O4347" t="s">
        <v>6101</v>
      </c>
      <c r="P4347" t="s">
        <v>6113</v>
      </c>
      <c r="Q4347">
        <v>7</v>
      </c>
      <c r="R4347">
        <v>2026</v>
      </c>
      <c r="S4347" t="s">
        <v>6100</v>
      </c>
      <c r="T4347">
        <v>0</v>
      </c>
      <c r="U4347" t="s">
        <v>6018</v>
      </c>
      <c r="V4347">
        <v>1</v>
      </c>
    </row>
    <row r="4348" spans="1:22" x14ac:dyDescent="0.3">
      <c r="A4348" t="s">
        <v>4363</v>
      </c>
      <c r="B4348" s="2">
        <v>46219.62777777778</v>
      </c>
      <c r="C4348" s="2">
        <v>46219.777777777781</v>
      </c>
      <c r="D4348" t="s">
        <v>6022</v>
      </c>
      <c r="E4348" t="s">
        <v>6030</v>
      </c>
      <c r="F4348" t="s">
        <v>6034</v>
      </c>
      <c r="G4348" t="s">
        <v>6061</v>
      </c>
      <c r="H4348" t="s">
        <v>6096</v>
      </c>
      <c r="I4348">
        <v>24</v>
      </c>
      <c r="J4348">
        <v>3.6</v>
      </c>
      <c r="K4348" t="s">
        <v>6100</v>
      </c>
      <c r="L4348" t="s">
        <v>6100</v>
      </c>
      <c r="M4348" t="s">
        <v>6100</v>
      </c>
      <c r="O4348" t="s">
        <v>6101</v>
      </c>
      <c r="P4348" t="s">
        <v>6113</v>
      </c>
      <c r="Q4348">
        <v>7</v>
      </c>
      <c r="R4348">
        <v>2026</v>
      </c>
      <c r="S4348" t="s">
        <v>6099</v>
      </c>
      <c r="T4348">
        <v>1</v>
      </c>
      <c r="U4348" t="s">
        <v>6020</v>
      </c>
      <c r="V4348">
        <v>0</v>
      </c>
    </row>
    <row r="4349" spans="1:22" x14ac:dyDescent="0.3">
      <c r="A4349" t="s">
        <v>4364</v>
      </c>
      <c r="B4349" s="2">
        <v>46219.644444444442</v>
      </c>
      <c r="C4349" s="2">
        <v>46220.240277777775</v>
      </c>
      <c r="D4349" t="s">
        <v>6025</v>
      </c>
      <c r="E4349" t="s">
        <v>6029</v>
      </c>
      <c r="F4349" t="s">
        <v>6035</v>
      </c>
      <c r="G4349" t="s">
        <v>6087</v>
      </c>
      <c r="H4349" t="s">
        <v>6098</v>
      </c>
      <c r="I4349">
        <v>4</v>
      </c>
      <c r="J4349">
        <v>14.3</v>
      </c>
      <c r="K4349" t="s">
        <v>6099</v>
      </c>
      <c r="L4349" t="s">
        <v>6100</v>
      </c>
      <c r="M4349" t="s">
        <v>6100</v>
      </c>
      <c r="O4349" t="s">
        <v>6101</v>
      </c>
      <c r="P4349" t="s">
        <v>6113</v>
      </c>
      <c r="Q4349">
        <v>7</v>
      </c>
      <c r="R4349">
        <v>2026</v>
      </c>
      <c r="S4349" t="s">
        <v>6100</v>
      </c>
      <c r="T4349">
        <v>0</v>
      </c>
      <c r="U4349" t="s">
        <v>6021</v>
      </c>
      <c r="V4349">
        <v>1</v>
      </c>
    </row>
    <row r="4350" spans="1:22" x14ac:dyDescent="0.3">
      <c r="A4350" t="s">
        <v>4365</v>
      </c>
      <c r="B4350" s="2">
        <v>46219.678472222222</v>
      </c>
      <c r="C4350" s="2">
        <v>46221.224305555559</v>
      </c>
      <c r="D4350" t="s">
        <v>6025</v>
      </c>
      <c r="E4350" t="s">
        <v>6029</v>
      </c>
      <c r="F4350" t="s">
        <v>6034</v>
      </c>
      <c r="G4350" t="s">
        <v>6072</v>
      </c>
      <c r="H4350" t="s">
        <v>6097</v>
      </c>
      <c r="I4350">
        <v>24</v>
      </c>
      <c r="J4350">
        <v>37.1</v>
      </c>
      <c r="K4350" t="s">
        <v>6099</v>
      </c>
      <c r="L4350" t="s">
        <v>6100</v>
      </c>
      <c r="M4350" t="s">
        <v>6100</v>
      </c>
      <c r="N4350">
        <v>5</v>
      </c>
      <c r="O4350" t="s">
        <v>6101</v>
      </c>
      <c r="P4350" t="s">
        <v>6113</v>
      </c>
      <c r="Q4350">
        <v>7</v>
      </c>
      <c r="R4350">
        <v>2026</v>
      </c>
      <c r="S4350" t="s">
        <v>6100</v>
      </c>
      <c r="T4350">
        <v>0</v>
      </c>
      <c r="U4350" t="s">
        <v>6017</v>
      </c>
      <c r="V4350">
        <v>1</v>
      </c>
    </row>
    <row r="4351" spans="1:22" x14ac:dyDescent="0.3">
      <c r="A4351" t="s">
        <v>4366</v>
      </c>
      <c r="B4351" s="2">
        <v>46219.688194444447</v>
      </c>
      <c r="C4351" s="2">
        <v>46220.088194444441</v>
      </c>
      <c r="D4351" t="s">
        <v>6025</v>
      </c>
      <c r="E4351" t="s">
        <v>6030</v>
      </c>
      <c r="F4351" t="s">
        <v>6034</v>
      </c>
      <c r="G4351" t="s">
        <v>6090</v>
      </c>
      <c r="H4351" t="s">
        <v>6097</v>
      </c>
      <c r="I4351">
        <v>24</v>
      </c>
      <c r="J4351">
        <v>9.6</v>
      </c>
      <c r="K4351" t="s">
        <v>6099</v>
      </c>
      <c r="L4351" t="s">
        <v>6100</v>
      </c>
      <c r="M4351" t="s">
        <v>6100</v>
      </c>
      <c r="N4351">
        <v>5</v>
      </c>
      <c r="O4351" t="s">
        <v>6101</v>
      </c>
      <c r="P4351" t="s">
        <v>6113</v>
      </c>
      <c r="Q4351">
        <v>7</v>
      </c>
      <c r="R4351">
        <v>2026</v>
      </c>
      <c r="S4351" t="s">
        <v>6099</v>
      </c>
      <c r="T4351">
        <v>1</v>
      </c>
      <c r="U4351" t="s">
        <v>6020</v>
      </c>
      <c r="V4351">
        <v>1</v>
      </c>
    </row>
    <row r="4352" spans="1:22" x14ac:dyDescent="0.3">
      <c r="A4352" t="s">
        <v>4367</v>
      </c>
      <c r="B4352" s="2">
        <v>46219.699305555558</v>
      </c>
      <c r="C4352" s="2">
        <v>46227.161805555559</v>
      </c>
      <c r="D4352" t="s">
        <v>6025</v>
      </c>
      <c r="E4352" t="s">
        <v>6031</v>
      </c>
      <c r="F4352" t="s">
        <v>6034</v>
      </c>
      <c r="G4352" t="s">
        <v>6051</v>
      </c>
      <c r="H4352" t="s">
        <v>6097</v>
      </c>
      <c r="I4352">
        <v>24</v>
      </c>
      <c r="J4352">
        <v>179.1</v>
      </c>
      <c r="K4352" t="s">
        <v>6099</v>
      </c>
      <c r="L4352" t="s">
        <v>6100</v>
      </c>
      <c r="M4352" t="s">
        <v>6100</v>
      </c>
      <c r="N4352">
        <v>4</v>
      </c>
      <c r="O4352" t="s">
        <v>6101</v>
      </c>
      <c r="P4352" t="s">
        <v>6113</v>
      </c>
      <c r="Q4352">
        <v>7</v>
      </c>
      <c r="R4352">
        <v>2026</v>
      </c>
      <c r="S4352" t="s">
        <v>6100</v>
      </c>
      <c r="T4352">
        <v>0</v>
      </c>
      <c r="U4352" t="s">
        <v>6019</v>
      </c>
      <c r="V4352">
        <v>1</v>
      </c>
    </row>
    <row r="4353" spans="1:22" x14ac:dyDescent="0.3">
      <c r="A4353" t="s">
        <v>4368</v>
      </c>
      <c r="B4353" s="2">
        <v>46219.717361111114</v>
      </c>
      <c r="C4353" s="2">
        <v>46219.988194444442</v>
      </c>
      <c r="D4353" t="s">
        <v>6024</v>
      </c>
      <c r="E4353" t="s">
        <v>6029</v>
      </c>
      <c r="F4353" t="s">
        <v>6034</v>
      </c>
      <c r="G4353" t="s">
        <v>6068</v>
      </c>
      <c r="H4353" t="s">
        <v>6098</v>
      </c>
      <c r="I4353">
        <v>24</v>
      </c>
      <c r="J4353">
        <v>6.5</v>
      </c>
      <c r="K4353" t="s">
        <v>6099</v>
      </c>
      <c r="L4353" t="s">
        <v>6100</v>
      </c>
      <c r="M4353" t="s">
        <v>6100</v>
      </c>
      <c r="N4353">
        <v>4</v>
      </c>
      <c r="O4353" t="s">
        <v>6101</v>
      </c>
      <c r="P4353" t="s">
        <v>6113</v>
      </c>
      <c r="Q4353">
        <v>7</v>
      </c>
      <c r="R4353">
        <v>2026</v>
      </c>
      <c r="S4353" t="s">
        <v>6099</v>
      </c>
      <c r="T4353">
        <v>1</v>
      </c>
      <c r="U4353" t="s">
        <v>6019</v>
      </c>
      <c r="V4353">
        <v>1</v>
      </c>
    </row>
    <row r="4354" spans="1:22" x14ac:dyDescent="0.3">
      <c r="A4354" t="s">
        <v>4369</v>
      </c>
      <c r="B4354" s="2">
        <v>46219.732638888891</v>
      </c>
      <c r="C4354" s="2">
        <v>46220.111805555556</v>
      </c>
      <c r="D4354" t="s">
        <v>6022</v>
      </c>
      <c r="E4354" t="s">
        <v>6030</v>
      </c>
      <c r="F4354" t="s">
        <v>6034</v>
      </c>
      <c r="G4354" t="s">
        <v>6092</v>
      </c>
      <c r="H4354" t="s">
        <v>6097</v>
      </c>
      <c r="I4354">
        <v>24</v>
      </c>
      <c r="J4354">
        <v>9.1</v>
      </c>
      <c r="K4354" t="s">
        <v>6099</v>
      </c>
      <c r="L4354" t="s">
        <v>6100</v>
      </c>
      <c r="M4354" t="s">
        <v>6100</v>
      </c>
      <c r="O4354" t="s">
        <v>6101</v>
      </c>
      <c r="P4354" t="s">
        <v>6113</v>
      </c>
      <c r="Q4354">
        <v>7</v>
      </c>
      <c r="R4354">
        <v>2026</v>
      </c>
      <c r="S4354" t="s">
        <v>6099</v>
      </c>
      <c r="T4354">
        <v>1</v>
      </c>
      <c r="U4354" t="s">
        <v>6021</v>
      </c>
      <c r="V4354">
        <v>1</v>
      </c>
    </row>
    <row r="4355" spans="1:22" x14ac:dyDescent="0.3">
      <c r="A4355" t="s">
        <v>4370</v>
      </c>
      <c r="B4355" s="2">
        <v>46219.739583333336</v>
      </c>
      <c r="C4355" s="2">
        <v>46225.877083333333</v>
      </c>
      <c r="D4355" t="s">
        <v>6025</v>
      </c>
      <c r="E4355" t="s">
        <v>6031</v>
      </c>
      <c r="F4355" t="s">
        <v>6034</v>
      </c>
      <c r="G4355" t="s">
        <v>6042</v>
      </c>
      <c r="H4355" t="s">
        <v>6098</v>
      </c>
      <c r="I4355">
        <v>24</v>
      </c>
      <c r="J4355">
        <v>147.30000000000001</v>
      </c>
      <c r="K4355" t="s">
        <v>6099</v>
      </c>
      <c r="L4355" t="s">
        <v>6100</v>
      </c>
      <c r="M4355" t="s">
        <v>6100</v>
      </c>
      <c r="N4355">
        <v>3</v>
      </c>
      <c r="O4355" t="s">
        <v>6101</v>
      </c>
      <c r="P4355" t="s">
        <v>6113</v>
      </c>
      <c r="Q4355">
        <v>7</v>
      </c>
      <c r="R4355">
        <v>2026</v>
      </c>
      <c r="S4355" t="s">
        <v>6100</v>
      </c>
      <c r="T4355">
        <v>0</v>
      </c>
      <c r="U4355" t="s">
        <v>6018</v>
      </c>
      <c r="V4355">
        <v>1</v>
      </c>
    </row>
    <row r="4356" spans="1:22" x14ac:dyDescent="0.3">
      <c r="A4356" t="s">
        <v>4371</v>
      </c>
      <c r="B4356" s="2">
        <v>46219.749305555553</v>
      </c>
      <c r="C4356" s="2">
        <v>46219.907638888886</v>
      </c>
      <c r="D4356" t="s">
        <v>6028</v>
      </c>
      <c r="E4356" t="s">
        <v>6030</v>
      </c>
      <c r="F4356" t="s">
        <v>6034</v>
      </c>
      <c r="G4356" t="s">
        <v>6085</v>
      </c>
      <c r="H4356" t="s">
        <v>6097</v>
      </c>
      <c r="I4356">
        <v>24</v>
      </c>
      <c r="J4356">
        <v>3.8</v>
      </c>
      <c r="K4356" t="s">
        <v>6100</v>
      </c>
      <c r="L4356" t="s">
        <v>6099</v>
      </c>
      <c r="M4356" t="s">
        <v>6100</v>
      </c>
      <c r="N4356">
        <v>4</v>
      </c>
      <c r="O4356" t="s">
        <v>6101</v>
      </c>
      <c r="P4356" t="s">
        <v>6113</v>
      </c>
      <c r="Q4356">
        <v>7</v>
      </c>
      <c r="R4356">
        <v>2026</v>
      </c>
      <c r="S4356" t="s">
        <v>6099</v>
      </c>
      <c r="T4356">
        <v>1</v>
      </c>
      <c r="U4356" t="s">
        <v>6021</v>
      </c>
      <c r="V4356">
        <v>0</v>
      </c>
    </row>
    <row r="4357" spans="1:22" x14ac:dyDescent="0.3">
      <c r="A4357" t="s">
        <v>4372</v>
      </c>
      <c r="B4357" s="2">
        <v>46219.793055555558</v>
      </c>
      <c r="C4357" s="2">
        <v>46220.063888888886</v>
      </c>
      <c r="D4357" t="s">
        <v>6022</v>
      </c>
      <c r="E4357" t="s">
        <v>6029</v>
      </c>
      <c r="F4357" t="s">
        <v>6033</v>
      </c>
      <c r="G4357" t="s">
        <v>6085</v>
      </c>
      <c r="H4357" t="s">
        <v>6097</v>
      </c>
      <c r="I4357">
        <v>72</v>
      </c>
      <c r="J4357">
        <v>6.5</v>
      </c>
      <c r="K4357" t="s">
        <v>6099</v>
      </c>
      <c r="L4357" t="s">
        <v>6100</v>
      </c>
      <c r="M4357" t="s">
        <v>6100</v>
      </c>
      <c r="O4357" t="s">
        <v>6101</v>
      </c>
      <c r="P4357" t="s">
        <v>6113</v>
      </c>
      <c r="Q4357">
        <v>7</v>
      </c>
      <c r="R4357">
        <v>2026</v>
      </c>
      <c r="S4357" t="s">
        <v>6099</v>
      </c>
      <c r="T4357">
        <v>1</v>
      </c>
      <c r="U4357" t="s">
        <v>6018</v>
      </c>
      <c r="V4357">
        <v>1</v>
      </c>
    </row>
    <row r="4358" spans="1:22" x14ac:dyDescent="0.3">
      <c r="A4358" t="s">
        <v>4373</v>
      </c>
      <c r="B4358" s="2">
        <v>46219.847916666666</v>
      </c>
      <c r="C4358" s="2">
        <v>46220.222916666666</v>
      </c>
      <c r="D4358" t="s">
        <v>6025</v>
      </c>
      <c r="E4358" t="s">
        <v>6030</v>
      </c>
      <c r="F4358" t="s">
        <v>6033</v>
      </c>
      <c r="G4358" t="s">
        <v>6083</v>
      </c>
      <c r="H4358" t="s">
        <v>6096</v>
      </c>
      <c r="I4358">
        <v>72</v>
      </c>
      <c r="J4358">
        <v>9</v>
      </c>
      <c r="K4358" t="s">
        <v>6099</v>
      </c>
      <c r="L4358" t="s">
        <v>6100</v>
      </c>
      <c r="M4358" t="s">
        <v>6100</v>
      </c>
      <c r="N4358">
        <v>5</v>
      </c>
      <c r="O4358" t="s">
        <v>6101</v>
      </c>
      <c r="P4358" t="s">
        <v>6113</v>
      </c>
      <c r="Q4358">
        <v>7</v>
      </c>
      <c r="R4358">
        <v>2026</v>
      </c>
      <c r="S4358" t="s">
        <v>6099</v>
      </c>
      <c r="T4358">
        <v>1</v>
      </c>
      <c r="U4358" t="s">
        <v>6019</v>
      </c>
      <c r="V4358">
        <v>1</v>
      </c>
    </row>
    <row r="4359" spans="1:22" x14ac:dyDescent="0.3">
      <c r="A4359" t="s">
        <v>4374</v>
      </c>
      <c r="B4359" s="2">
        <v>46220.220138888886</v>
      </c>
      <c r="C4359" s="2">
        <v>46221.078472222223</v>
      </c>
      <c r="D4359" t="s">
        <v>6028</v>
      </c>
      <c r="E4359" t="s">
        <v>6031</v>
      </c>
      <c r="F4359" t="s">
        <v>6035</v>
      </c>
      <c r="G4359" t="s">
        <v>6044</v>
      </c>
      <c r="H4359" t="s">
        <v>6097</v>
      </c>
      <c r="I4359">
        <v>4</v>
      </c>
      <c r="J4359">
        <v>20.6</v>
      </c>
      <c r="K4359" t="s">
        <v>6100</v>
      </c>
      <c r="L4359" t="s">
        <v>6100</v>
      </c>
      <c r="M4359" t="s">
        <v>6100</v>
      </c>
      <c r="N4359">
        <v>3</v>
      </c>
      <c r="O4359" t="s">
        <v>6101</v>
      </c>
      <c r="P4359" t="s">
        <v>6113</v>
      </c>
      <c r="Q4359">
        <v>7</v>
      </c>
      <c r="R4359">
        <v>2026</v>
      </c>
      <c r="S4359" t="s">
        <v>6100</v>
      </c>
      <c r="T4359">
        <v>0</v>
      </c>
      <c r="U4359" t="s">
        <v>6021</v>
      </c>
      <c r="V4359">
        <v>0</v>
      </c>
    </row>
    <row r="4360" spans="1:22" x14ac:dyDescent="0.3">
      <c r="A4360" t="s">
        <v>4375</v>
      </c>
      <c r="B4360" s="2">
        <v>46220.25</v>
      </c>
      <c r="C4360" s="2">
        <v>46220.98333333333</v>
      </c>
      <c r="D4360" t="s">
        <v>6028</v>
      </c>
      <c r="E4360" t="s">
        <v>6029</v>
      </c>
      <c r="F4360" t="s">
        <v>6034</v>
      </c>
      <c r="G4360" t="s">
        <v>6058</v>
      </c>
      <c r="H4360" t="s">
        <v>6098</v>
      </c>
      <c r="I4360">
        <v>24</v>
      </c>
      <c r="J4360">
        <v>17.600000000000001</v>
      </c>
      <c r="K4360" t="s">
        <v>6099</v>
      </c>
      <c r="L4360" t="s">
        <v>6100</v>
      </c>
      <c r="M4360" t="s">
        <v>6100</v>
      </c>
      <c r="N4360">
        <v>5</v>
      </c>
      <c r="O4360" t="s">
        <v>6101</v>
      </c>
      <c r="P4360" t="s">
        <v>6113</v>
      </c>
      <c r="Q4360">
        <v>7</v>
      </c>
      <c r="R4360">
        <v>2026</v>
      </c>
      <c r="S4360" t="s">
        <v>6099</v>
      </c>
      <c r="T4360">
        <v>1</v>
      </c>
      <c r="U4360" t="s">
        <v>6019</v>
      </c>
      <c r="V4360">
        <v>1</v>
      </c>
    </row>
    <row r="4361" spans="1:22" x14ac:dyDescent="0.3">
      <c r="A4361" t="s">
        <v>4376</v>
      </c>
      <c r="B4361" s="2">
        <v>46220.25277777778</v>
      </c>
      <c r="C4361" s="2">
        <v>46221.156944444447</v>
      </c>
      <c r="D4361" t="s">
        <v>6025</v>
      </c>
      <c r="E4361" t="s">
        <v>6029</v>
      </c>
      <c r="F4361" t="s">
        <v>6034</v>
      </c>
      <c r="G4361" t="s">
        <v>6077</v>
      </c>
      <c r="H4361" t="s">
        <v>6098</v>
      </c>
      <c r="I4361">
        <v>24</v>
      </c>
      <c r="J4361">
        <v>21.7</v>
      </c>
      <c r="K4361" t="s">
        <v>6099</v>
      </c>
      <c r="L4361" t="s">
        <v>6100</v>
      </c>
      <c r="M4361" t="s">
        <v>6100</v>
      </c>
      <c r="N4361">
        <v>4</v>
      </c>
      <c r="O4361" t="s">
        <v>6101</v>
      </c>
      <c r="P4361" t="s">
        <v>6113</v>
      </c>
      <c r="Q4361">
        <v>7</v>
      </c>
      <c r="R4361">
        <v>2026</v>
      </c>
      <c r="S4361" t="s">
        <v>6099</v>
      </c>
      <c r="T4361">
        <v>1</v>
      </c>
      <c r="U4361" t="s">
        <v>6019</v>
      </c>
      <c r="V4361">
        <v>1</v>
      </c>
    </row>
    <row r="4362" spans="1:22" x14ac:dyDescent="0.3">
      <c r="A4362" t="s">
        <v>4377</v>
      </c>
      <c r="B4362" s="2">
        <v>46220.277777777781</v>
      </c>
      <c r="C4362" s="2">
        <v>46221.731944444444</v>
      </c>
      <c r="D4362" t="s">
        <v>6025</v>
      </c>
      <c r="E4362" t="s">
        <v>6031</v>
      </c>
      <c r="F4362" t="s">
        <v>6034</v>
      </c>
      <c r="G4362" t="s">
        <v>6081</v>
      </c>
      <c r="H4362" t="s">
        <v>6098</v>
      </c>
      <c r="I4362">
        <v>24</v>
      </c>
      <c r="J4362">
        <v>34.9</v>
      </c>
      <c r="K4362" t="s">
        <v>6099</v>
      </c>
      <c r="L4362" t="s">
        <v>6100</v>
      </c>
      <c r="M4362" t="s">
        <v>6100</v>
      </c>
      <c r="N4362">
        <v>4</v>
      </c>
      <c r="O4362" t="s">
        <v>6101</v>
      </c>
      <c r="P4362" t="s">
        <v>6113</v>
      </c>
      <c r="Q4362">
        <v>7</v>
      </c>
      <c r="R4362">
        <v>2026</v>
      </c>
      <c r="S4362" t="s">
        <v>6100</v>
      </c>
      <c r="T4362">
        <v>0</v>
      </c>
      <c r="U4362" t="s">
        <v>6018</v>
      </c>
      <c r="V4362">
        <v>1</v>
      </c>
    </row>
    <row r="4363" spans="1:22" x14ac:dyDescent="0.3">
      <c r="A4363" t="s">
        <v>4378</v>
      </c>
      <c r="B4363" s="2">
        <v>46220.364583333336</v>
      </c>
      <c r="C4363" s="2">
        <v>46221.810416666667</v>
      </c>
      <c r="D4363" t="s">
        <v>6022</v>
      </c>
      <c r="E4363" t="s">
        <v>6032</v>
      </c>
      <c r="F4363" t="s">
        <v>6034</v>
      </c>
      <c r="G4363" t="s">
        <v>6055</v>
      </c>
      <c r="H4363" t="s">
        <v>6096</v>
      </c>
      <c r="I4363">
        <v>24</v>
      </c>
      <c r="J4363">
        <v>34.700000000000003</v>
      </c>
      <c r="K4363" t="s">
        <v>6100</v>
      </c>
      <c r="L4363" t="s">
        <v>6100</v>
      </c>
      <c r="M4363" t="s">
        <v>6099</v>
      </c>
      <c r="N4363">
        <v>4</v>
      </c>
      <c r="O4363" t="s">
        <v>6101</v>
      </c>
      <c r="P4363" t="s">
        <v>6113</v>
      </c>
      <c r="Q4363">
        <v>7</v>
      </c>
      <c r="R4363">
        <v>2026</v>
      </c>
      <c r="S4363" t="s">
        <v>6100</v>
      </c>
      <c r="T4363">
        <v>0</v>
      </c>
      <c r="U4363" t="s">
        <v>6018</v>
      </c>
      <c r="V4363">
        <v>0</v>
      </c>
    </row>
    <row r="4364" spans="1:22" x14ac:dyDescent="0.3">
      <c r="A4364" t="s">
        <v>4379</v>
      </c>
      <c r="B4364" s="2">
        <v>46220.384722222225</v>
      </c>
      <c r="C4364" s="2">
        <v>46220.518055555556</v>
      </c>
      <c r="D4364" t="s">
        <v>6025</v>
      </c>
      <c r="E4364" t="s">
        <v>6030</v>
      </c>
      <c r="F4364" t="s">
        <v>6033</v>
      </c>
      <c r="G4364" t="s">
        <v>6039</v>
      </c>
      <c r="H4364" t="s">
        <v>6097</v>
      </c>
      <c r="I4364">
        <v>72</v>
      </c>
      <c r="J4364">
        <v>3.2</v>
      </c>
      <c r="K4364" t="s">
        <v>6100</v>
      </c>
      <c r="L4364" t="s">
        <v>6099</v>
      </c>
      <c r="M4364" t="s">
        <v>6100</v>
      </c>
      <c r="N4364">
        <v>3</v>
      </c>
      <c r="O4364" t="s">
        <v>6101</v>
      </c>
      <c r="P4364" t="s">
        <v>6113</v>
      </c>
      <c r="Q4364">
        <v>7</v>
      </c>
      <c r="R4364">
        <v>2026</v>
      </c>
      <c r="S4364" t="s">
        <v>6099</v>
      </c>
      <c r="T4364">
        <v>1</v>
      </c>
      <c r="U4364" t="s">
        <v>6018</v>
      </c>
      <c r="V4364">
        <v>0</v>
      </c>
    </row>
    <row r="4365" spans="1:22" x14ac:dyDescent="0.3">
      <c r="A4365" t="s">
        <v>4380</v>
      </c>
      <c r="B4365" s="2">
        <v>46220.416666666664</v>
      </c>
      <c r="C4365" s="2">
        <v>46221.029166666667</v>
      </c>
      <c r="D4365" t="s">
        <v>6025</v>
      </c>
      <c r="E4365" t="s">
        <v>6031</v>
      </c>
      <c r="F4365" t="s">
        <v>6035</v>
      </c>
      <c r="G4365" t="s">
        <v>6086</v>
      </c>
      <c r="H4365" t="s">
        <v>6098</v>
      </c>
      <c r="I4365">
        <v>4</v>
      </c>
      <c r="J4365">
        <v>14.7</v>
      </c>
      <c r="K4365" t="s">
        <v>6099</v>
      </c>
      <c r="L4365" t="s">
        <v>6100</v>
      </c>
      <c r="M4365" t="s">
        <v>6100</v>
      </c>
      <c r="O4365" t="s">
        <v>6101</v>
      </c>
      <c r="P4365" t="s">
        <v>6113</v>
      </c>
      <c r="Q4365">
        <v>7</v>
      </c>
      <c r="R4365">
        <v>2026</v>
      </c>
      <c r="S4365" t="s">
        <v>6100</v>
      </c>
      <c r="T4365">
        <v>0</v>
      </c>
      <c r="U4365" t="s">
        <v>6020</v>
      </c>
      <c r="V4365">
        <v>1</v>
      </c>
    </row>
    <row r="4366" spans="1:22" x14ac:dyDescent="0.3">
      <c r="A4366" t="s">
        <v>4381</v>
      </c>
      <c r="B4366" s="2">
        <v>46220.459722222222</v>
      </c>
      <c r="C4366" s="2">
        <v>46220.826388888891</v>
      </c>
      <c r="D4366" t="s">
        <v>6028</v>
      </c>
      <c r="E4366" t="s">
        <v>6029</v>
      </c>
      <c r="F4366" t="s">
        <v>6035</v>
      </c>
      <c r="G4366" t="s">
        <v>6094</v>
      </c>
      <c r="H4366" t="s">
        <v>6098</v>
      </c>
      <c r="I4366">
        <v>4</v>
      </c>
      <c r="J4366">
        <v>8.8000000000000007</v>
      </c>
      <c r="K4366" t="s">
        <v>6100</v>
      </c>
      <c r="L4366" t="s">
        <v>6099</v>
      </c>
      <c r="M4366" t="s">
        <v>6099</v>
      </c>
      <c r="O4366" t="s">
        <v>6101</v>
      </c>
      <c r="P4366" t="s">
        <v>6113</v>
      </c>
      <c r="Q4366">
        <v>7</v>
      </c>
      <c r="R4366">
        <v>2026</v>
      </c>
      <c r="S4366" t="s">
        <v>6100</v>
      </c>
      <c r="T4366">
        <v>0</v>
      </c>
      <c r="U4366" t="s">
        <v>6021</v>
      </c>
      <c r="V4366">
        <v>0</v>
      </c>
    </row>
    <row r="4367" spans="1:22" x14ac:dyDescent="0.3">
      <c r="A4367" t="s">
        <v>4382</v>
      </c>
      <c r="B4367" s="2">
        <v>46220.526388888888</v>
      </c>
      <c r="C4367" s="2">
        <v>46221.24722222222</v>
      </c>
      <c r="D4367" t="s">
        <v>6023</v>
      </c>
      <c r="E4367" t="s">
        <v>6032</v>
      </c>
      <c r="F4367" t="s">
        <v>6033</v>
      </c>
      <c r="G4367" t="s">
        <v>6095</v>
      </c>
      <c r="H4367" t="s">
        <v>6098</v>
      </c>
      <c r="I4367">
        <v>72</v>
      </c>
      <c r="J4367">
        <v>17.3</v>
      </c>
      <c r="K4367" t="s">
        <v>6099</v>
      </c>
      <c r="L4367" t="s">
        <v>6100</v>
      </c>
      <c r="M4367" t="s">
        <v>6100</v>
      </c>
      <c r="N4367">
        <v>5</v>
      </c>
      <c r="O4367" t="s">
        <v>6101</v>
      </c>
      <c r="P4367" t="s">
        <v>6113</v>
      </c>
      <c r="Q4367">
        <v>7</v>
      </c>
      <c r="R4367">
        <v>2026</v>
      </c>
      <c r="S4367" t="s">
        <v>6099</v>
      </c>
      <c r="T4367">
        <v>1</v>
      </c>
      <c r="U4367" t="s">
        <v>6020</v>
      </c>
      <c r="V4367">
        <v>1</v>
      </c>
    </row>
    <row r="4368" spans="1:22" x14ac:dyDescent="0.3">
      <c r="A4368" t="s">
        <v>4383</v>
      </c>
      <c r="B4368" s="2">
        <v>46220.542361111111</v>
      </c>
      <c r="C4368" s="2">
        <v>46220.904861111114</v>
      </c>
      <c r="D4368" t="s">
        <v>6022</v>
      </c>
      <c r="E4368" t="s">
        <v>6030</v>
      </c>
      <c r="F4368" t="s">
        <v>6035</v>
      </c>
      <c r="G4368" t="s">
        <v>6042</v>
      </c>
      <c r="H4368" t="s">
        <v>6098</v>
      </c>
      <c r="I4368">
        <v>4</v>
      </c>
      <c r="J4368">
        <v>8.6999999999999993</v>
      </c>
      <c r="K4368" t="s">
        <v>6099</v>
      </c>
      <c r="L4368" t="s">
        <v>6100</v>
      </c>
      <c r="M4368" t="s">
        <v>6100</v>
      </c>
      <c r="N4368">
        <v>1</v>
      </c>
      <c r="O4368" t="s">
        <v>6101</v>
      </c>
      <c r="P4368" t="s">
        <v>6113</v>
      </c>
      <c r="Q4368">
        <v>7</v>
      </c>
      <c r="R4368">
        <v>2026</v>
      </c>
      <c r="S4368" t="s">
        <v>6100</v>
      </c>
      <c r="T4368">
        <v>0</v>
      </c>
      <c r="U4368" t="s">
        <v>6018</v>
      </c>
      <c r="V4368">
        <v>1</v>
      </c>
    </row>
    <row r="4369" spans="1:22" x14ac:dyDescent="0.3">
      <c r="A4369" t="s">
        <v>4384</v>
      </c>
      <c r="B4369" s="2">
        <v>46220.572916666664</v>
      </c>
      <c r="C4369" s="2">
        <v>46221.006249999999</v>
      </c>
      <c r="D4369" t="s">
        <v>6022</v>
      </c>
      <c r="E4369" t="s">
        <v>6029</v>
      </c>
      <c r="F4369" t="s">
        <v>6034</v>
      </c>
      <c r="G4369" t="s">
        <v>6081</v>
      </c>
      <c r="H4369" t="s">
        <v>6098</v>
      </c>
      <c r="I4369">
        <v>24</v>
      </c>
      <c r="J4369">
        <v>10.4</v>
      </c>
      <c r="K4369" t="s">
        <v>6099</v>
      </c>
      <c r="L4369" t="s">
        <v>6100</v>
      </c>
      <c r="M4369" t="s">
        <v>6100</v>
      </c>
      <c r="N4369">
        <v>3</v>
      </c>
      <c r="O4369" t="s">
        <v>6101</v>
      </c>
      <c r="P4369" t="s">
        <v>6113</v>
      </c>
      <c r="Q4369">
        <v>7</v>
      </c>
      <c r="R4369">
        <v>2026</v>
      </c>
      <c r="S4369" t="s">
        <v>6099</v>
      </c>
      <c r="T4369">
        <v>1</v>
      </c>
      <c r="U4369" t="s">
        <v>6021</v>
      </c>
      <c r="V4369">
        <v>1</v>
      </c>
    </row>
    <row r="4370" spans="1:22" x14ac:dyDescent="0.3">
      <c r="A4370" t="s">
        <v>4385</v>
      </c>
      <c r="B4370" s="2">
        <v>46220.602777777778</v>
      </c>
      <c r="C4370" s="2">
        <v>46221.177777777775</v>
      </c>
      <c r="D4370" t="s">
        <v>6023</v>
      </c>
      <c r="E4370" t="s">
        <v>6029</v>
      </c>
      <c r="F4370" t="s">
        <v>6034</v>
      </c>
      <c r="G4370" t="s">
        <v>6071</v>
      </c>
      <c r="H4370" t="s">
        <v>6098</v>
      </c>
      <c r="I4370">
        <v>24</v>
      </c>
      <c r="J4370">
        <v>13.8</v>
      </c>
      <c r="K4370" t="s">
        <v>6099</v>
      </c>
      <c r="L4370" t="s">
        <v>6100</v>
      </c>
      <c r="M4370" t="s">
        <v>6100</v>
      </c>
      <c r="O4370" t="s">
        <v>6101</v>
      </c>
      <c r="P4370" t="s">
        <v>6113</v>
      </c>
      <c r="Q4370">
        <v>7</v>
      </c>
      <c r="R4370">
        <v>2026</v>
      </c>
      <c r="S4370" t="s">
        <v>6099</v>
      </c>
      <c r="T4370">
        <v>1</v>
      </c>
      <c r="U4370" t="s">
        <v>6021</v>
      </c>
      <c r="V4370">
        <v>1</v>
      </c>
    </row>
    <row r="4371" spans="1:22" x14ac:dyDescent="0.3">
      <c r="A4371" t="s">
        <v>4386</v>
      </c>
      <c r="B4371" s="2">
        <v>46220.618055555555</v>
      </c>
      <c r="C4371" s="2">
        <v>46221.284722222219</v>
      </c>
      <c r="D4371" t="s">
        <v>6028</v>
      </c>
      <c r="E4371" t="s">
        <v>6031</v>
      </c>
      <c r="F4371" t="s">
        <v>6034</v>
      </c>
      <c r="G4371" t="s">
        <v>6036</v>
      </c>
      <c r="H4371" t="s">
        <v>6096</v>
      </c>
      <c r="I4371">
        <v>24</v>
      </c>
      <c r="J4371">
        <v>16</v>
      </c>
      <c r="K4371" t="s">
        <v>6100</v>
      </c>
      <c r="L4371" t="s">
        <v>6099</v>
      </c>
      <c r="M4371" t="s">
        <v>6100</v>
      </c>
      <c r="O4371" t="s">
        <v>6101</v>
      </c>
      <c r="P4371" t="s">
        <v>6113</v>
      </c>
      <c r="Q4371">
        <v>7</v>
      </c>
      <c r="R4371">
        <v>2026</v>
      </c>
      <c r="S4371" t="s">
        <v>6099</v>
      </c>
      <c r="T4371">
        <v>1</v>
      </c>
      <c r="U4371" t="s">
        <v>6021</v>
      </c>
      <c r="V4371">
        <v>0</v>
      </c>
    </row>
    <row r="4372" spans="1:22" x14ac:dyDescent="0.3">
      <c r="A4372" t="s">
        <v>4387</v>
      </c>
      <c r="B4372" s="2">
        <v>46220.762499999997</v>
      </c>
      <c r="C4372" s="2">
        <v>46220.958333333336</v>
      </c>
      <c r="D4372" t="s">
        <v>6025</v>
      </c>
      <c r="E4372" t="s">
        <v>6030</v>
      </c>
      <c r="F4372" t="s">
        <v>6035</v>
      </c>
      <c r="G4372" t="s">
        <v>6062</v>
      </c>
      <c r="H4372" t="s">
        <v>6096</v>
      </c>
      <c r="I4372">
        <v>4</v>
      </c>
      <c r="J4372">
        <v>4.7</v>
      </c>
      <c r="K4372" t="s">
        <v>6100</v>
      </c>
      <c r="L4372" t="s">
        <v>6099</v>
      </c>
      <c r="M4372" t="s">
        <v>6100</v>
      </c>
      <c r="N4372">
        <v>2</v>
      </c>
      <c r="O4372" t="s">
        <v>6101</v>
      </c>
      <c r="P4372" t="s">
        <v>6113</v>
      </c>
      <c r="Q4372">
        <v>7</v>
      </c>
      <c r="R4372">
        <v>2026</v>
      </c>
      <c r="S4372" t="s">
        <v>6100</v>
      </c>
      <c r="T4372">
        <v>0</v>
      </c>
      <c r="U4372" t="s">
        <v>6021</v>
      </c>
      <c r="V4372">
        <v>0</v>
      </c>
    </row>
    <row r="4373" spans="1:22" x14ac:dyDescent="0.3">
      <c r="A4373" t="s">
        <v>4388</v>
      </c>
      <c r="B4373" s="2">
        <v>46220.871527777781</v>
      </c>
      <c r="C4373" s="2">
        <v>46221.22152777778</v>
      </c>
      <c r="D4373" t="s">
        <v>6028</v>
      </c>
      <c r="E4373" t="s">
        <v>6029</v>
      </c>
      <c r="F4373" t="s">
        <v>6035</v>
      </c>
      <c r="G4373" t="s">
        <v>6060</v>
      </c>
      <c r="H4373" t="s">
        <v>6097</v>
      </c>
      <c r="I4373">
        <v>4</v>
      </c>
      <c r="J4373">
        <v>8.4</v>
      </c>
      <c r="K4373" t="s">
        <v>6099</v>
      </c>
      <c r="L4373" t="s">
        <v>6100</v>
      </c>
      <c r="M4373" t="s">
        <v>6100</v>
      </c>
      <c r="N4373">
        <v>4</v>
      </c>
      <c r="O4373" t="s">
        <v>6101</v>
      </c>
      <c r="P4373" t="s">
        <v>6113</v>
      </c>
      <c r="Q4373">
        <v>7</v>
      </c>
      <c r="R4373">
        <v>2026</v>
      </c>
      <c r="S4373" t="s">
        <v>6100</v>
      </c>
      <c r="T4373">
        <v>0</v>
      </c>
      <c r="U4373" t="s">
        <v>6021</v>
      </c>
      <c r="V4373">
        <v>1</v>
      </c>
    </row>
    <row r="4374" spans="1:22" x14ac:dyDescent="0.3">
      <c r="A4374" t="s">
        <v>4389</v>
      </c>
      <c r="B4374" s="2">
        <v>46221.254861111112</v>
      </c>
      <c r="C4374" s="2">
        <v>46221.675694444442</v>
      </c>
      <c r="D4374" t="s">
        <v>6027</v>
      </c>
      <c r="E4374" t="s">
        <v>6032</v>
      </c>
      <c r="F4374" t="s">
        <v>6034</v>
      </c>
      <c r="G4374" t="s">
        <v>6082</v>
      </c>
      <c r="H4374" t="s">
        <v>6097</v>
      </c>
      <c r="I4374">
        <v>24</v>
      </c>
      <c r="J4374">
        <v>10.1</v>
      </c>
      <c r="K4374" t="s">
        <v>6100</v>
      </c>
      <c r="L4374" t="s">
        <v>6099</v>
      </c>
      <c r="M4374" t="s">
        <v>6100</v>
      </c>
      <c r="N4374">
        <v>4</v>
      </c>
      <c r="O4374" t="s">
        <v>6101</v>
      </c>
      <c r="P4374" t="s">
        <v>6113</v>
      </c>
      <c r="Q4374">
        <v>7</v>
      </c>
      <c r="R4374">
        <v>2026</v>
      </c>
      <c r="S4374" t="s">
        <v>6099</v>
      </c>
      <c r="T4374">
        <v>1</v>
      </c>
      <c r="U4374" t="s">
        <v>6021</v>
      </c>
      <c r="V4374">
        <v>0</v>
      </c>
    </row>
    <row r="4375" spans="1:22" x14ac:dyDescent="0.3">
      <c r="A4375" t="s">
        <v>4390</v>
      </c>
      <c r="B4375" s="2">
        <v>46221.365972222222</v>
      </c>
      <c r="C4375" s="2">
        <v>46224.749305555553</v>
      </c>
      <c r="D4375" t="s">
        <v>6026</v>
      </c>
      <c r="E4375" t="s">
        <v>6031</v>
      </c>
      <c r="F4375" t="s">
        <v>6034</v>
      </c>
      <c r="G4375" t="s">
        <v>6058</v>
      </c>
      <c r="H4375" t="s">
        <v>6098</v>
      </c>
      <c r="I4375">
        <v>24</v>
      </c>
      <c r="J4375">
        <v>81.2</v>
      </c>
      <c r="K4375" t="s">
        <v>6100</v>
      </c>
      <c r="L4375" t="s">
        <v>6100</v>
      </c>
      <c r="M4375" t="s">
        <v>6100</v>
      </c>
      <c r="O4375" t="s">
        <v>6101</v>
      </c>
      <c r="P4375" t="s">
        <v>6113</v>
      </c>
      <c r="Q4375">
        <v>7</v>
      </c>
      <c r="R4375">
        <v>2026</v>
      </c>
      <c r="S4375" t="s">
        <v>6100</v>
      </c>
      <c r="T4375">
        <v>0</v>
      </c>
      <c r="U4375" t="s">
        <v>6020</v>
      </c>
      <c r="V4375">
        <v>0</v>
      </c>
    </row>
    <row r="4376" spans="1:22" x14ac:dyDescent="0.3">
      <c r="A4376" t="s">
        <v>4391</v>
      </c>
      <c r="B4376" s="2">
        <v>46221.384027777778</v>
      </c>
      <c r="C4376" s="2">
        <v>46221.825694444444</v>
      </c>
      <c r="D4376" t="s">
        <v>6025</v>
      </c>
      <c r="E4376" t="s">
        <v>6030</v>
      </c>
      <c r="F4376" t="s">
        <v>6034</v>
      </c>
      <c r="G4376" t="s">
        <v>6042</v>
      </c>
      <c r="H4376" t="s">
        <v>6098</v>
      </c>
      <c r="I4376">
        <v>24</v>
      </c>
      <c r="J4376">
        <v>10.6</v>
      </c>
      <c r="K4376" t="s">
        <v>6099</v>
      </c>
      <c r="L4376" t="s">
        <v>6100</v>
      </c>
      <c r="M4376" t="s">
        <v>6100</v>
      </c>
      <c r="O4376" t="s">
        <v>6101</v>
      </c>
      <c r="P4376" t="s">
        <v>6113</v>
      </c>
      <c r="Q4376">
        <v>7</v>
      </c>
      <c r="R4376">
        <v>2026</v>
      </c>
      <c r="S4376" t="s">
        <v>6099</v>
      </c>
      <c r="T4376">
        <v>1</v>
      </c>
      <c r="U4376" t="s">
        <v>6017</v>
      </c>
      <c r="V4376">
        <v>1</v>
      </c>
    </row>
    <row r="4377" spans="1:22" x14ac:dyDescent="0.3">
      <c r="A4377" t="s">
        <v>4392</v>
      </c>
      <c r="B4377" s="2">
        <v>46221.433333333334</v>
      </c>
      <c r="C4377" s="2">
        <v>46221.76666666667</v>
      </c>
      <c r="D4377" t="s">
        <v>6025</v>
      </c>
      <c r="E4377" t="s">
        <v>6029</v>
      </c>
      <c r="F4377" t="s">
        <v>6034</v>
      </c>
      <c r="G4377" t="s">
        <v>6059</v>
      </c>
      <c r="H4377" t="s">
        <v>6097</v>
      </c>
      <c r="I4377">
        <v>24</v>
      </c>
      <c r="J4377">
        <v>8</v>
      </c>
      <c r="K4377" t="s">
        <v>6099</v>
      </c>
      <c r="L4377" t="s">
        <v>6100</v>
      </c>
      <c r="M4377" t="s">
        <v>6100</v>
      </c>
      <c r="N4377">
        <v>5</v>
      </c>
      <c r="O4377" t="s">
        <v>6101</v>
      </c>
      <c r="P4377" t="s">
        <v>6113</v>
      </c>
      <c r="Q4377">
        <v>7</v>
      </c>
      <c r="R4377">
        <v>2026</v>
      </c>
      <c r="S4377" t="s">
        <v>6099</v>
      </c>
      <c r="T4377">
        <v>1</v>
      </c>
      <c r="U4377" t="s">
        <v>6020</v>
      </c>
      <c r="V4377">
        <v>1</v>
      </c>
    </row>
    <row r="4378" spans="1:22" x14ac:dyDescent="0.3">
      <c r="A4378" t="s">
        <v>4393</v>
      </c>
      <c r="B4378" s="2">
        <v>46221.436805555553</v>
      </c>
      <c r="C4378" s="2">
        <v>46221.882638888892</v>
      </c>
      <c r="D4378" t="s">
        <v>6028</v>
      </c>
      <c r="E4378" t="s">
        <v>6029</v>
      </c>
      <c r="F4378" t="s">
        <v>6035</v>
      </c>
      <c r="G4378" t="s">
        <v>6056</v>
      </c>
      <c r="H4378" t="s">
        <v>6098</v>
      </c>
      <c r="I4378">
        <v>4</v>
      </c>
      <c r="J4378">
        <v>10.7</v>
      </c>
      <c r="K4378" t="s">
        <v>6099</v>
      </c>
      <c r="L4378" t="s">
        <v>6100</v>
      </c>
      <c r="M4378" t="s">
        <v>6099</v>
      </c>
      <c r="N4378">
        <v>4</v>
      </c>
      <c r="O4378" t="s">
        <v>6101</v>
      </c>
      <c r="P4378" t="s">
        <v>6113</v>
      </c>
      <c r="Q4378">
        <v>7</v>
      </c>
      <c r="R4378">
        <v>2026</v>
      </c>
      <c r="S4378" t="s">
        <v>6100</v>
      </c>
      <c r="T4378">
        <v>0</v>
      </c>
      <c r="U4378" t="s">
        <v>6020</v>
      </c>
      <c r="V4378">
        <v>1</v>
      </c>
    </row>
    <row r="4379" spans="1:22" x14ac:dyDescent="0.3">
      <c r="A4379" t="s">
        <v>4394</v>
      </c>
      <c r="B4379" s="2">
        <v>46221.451388888891</v>
      </c>
      <c r="C4379" s="2">
        <v>46232.893055555556</v>
      </c>
      <c r="D4379" t="s">
        <v>6026</v>
      </c>
      <c r="E4379" t="s">
        <v>6031</v>
      </c>
      <c r="F4379" t="s">
        <v>6033</v>
      </c>
      <c r="G4379" t="s">
        <v>6057</v>
      </c>
      <c r="H4379" t="s">
        <v>6097</v>
      </c>
      <c r="I4379">
        <v>72</v>
      </c>
      <c r="J4379">
        <v>274.60000000000002</v>
      </c>
      <c r="K4379" t="s">
        <v>6100</v>
      </c>
      <c r="L4379" t="s">
        <v>6099</v>
      </c>
      <c r="M4379" t="s">
        <v>6100</v>
      </c>
      <c r="N4379">
        <v>5</v>
      </c>
      <c r="O4379" t="s">
        <v>6101</v>
      </c>
      <c r="P4379" t="s">
        <v>6113</v>
      </c>
      <c r="Q4379">
        <v>7</v>
      </c>
      <c r="R4379">
        <v>2026</v>
      </c>
      <c r="S4379" t="s">
        <v>6100</v>
      </c>
      <c r="T4379">
        <v>0</v>
      </c>
      <c r="U4379" t="s">
        <v>6020</v>
      </c>
      <c r="V4379">
        <v>0</v>
      </c>
    </row>
    <row r="4380" spans="1:22" x14ac:dyDescent="0.3">
      <c r="A4380" t="s">
        <v>4395</v>
      </c>
      <c r="B4380" s="2">
        <v>46221.48333333333</v>
      </c>
      <c r="C4380" s="2">
        <v>46221.8</v>
      </c>
      <c r="D4380" t="s">
        <v>6023</v>
      </c>
      <c r="E4380" t="s">
        <v>6029</v>
      </c>
      <c r="F4380" t="s">
        <v>6033</v>
      </c>
      <c r="G4380" t="s">
        <v>6075</v>
      </c>
      <c r="H4380" t="s">
        <v>6097</v>
      </c>
      <c r="I4380">
        <v>72</v>
      </c>
      <c r="J4380">
        <v>7.6</v>
      </c>
      <c r="K4380" t="s">
        <v>6099</v>
      </c>
      <c r="L4380" t="s">
        <v>6100</v>
      </c>
      <c r="M4380" t="s">
        <v>6100</v>
      </c>
      <c r="N4380">
        <v>5</v>
      </c>
      <c r="O4380" t="s">
        <v>6101</v>
      </c>
      <c r="P4380" t="s">
        <v>6113</v>
      </c>
      <c r="Q4380">
        <v>7</v>
      </c>
      <c r="R4380">
        <v>2026</v>
      </c>
      <c r="S4380" t="s">
        <v>6099</v>
      </c>
      <c r="T4380">
        <v>1</v>
      </c>
      <c r="U4380" t="s">
        <v>6019</v>
      </c>
      <c r="V4380">
        <v>1</v>
      </c>
    </row>
    <row r="4381" spans="1:22" x14ac:dyDescent="0.3">
      <c r="A4381" t="s">
        <v>4396</v>
      </c>
      <c r="B4381" s="2">
        <v>46221.506944444445</v>
      </c>
      <c r="C4381" s="2">
        <v>46221.765277777777</v>
      </c>
      <c r="D4381" t="s">
        <v>6022</v>
      </c>
      <c r="E4381" t="s">
        <v>6030</v>
      </c>
      <c r="F4381" t="s">
        <v>6033</v>
      </c>
      <c r="G4381" t="s">
        <v>6075</v>
      </c>
      <c r="H4381" t="s">
        <v>6097</v>
      </c>
      <c r="I4381">
        <v>72</v>
      </c>
      <c r="J4381">
        <v>6.2</v>
      </c>
      <c r="K4381" t="s">
        <v>6099</v>
      </c>
      <c r="L4381" t="s">
        <v>6100</v>
      </c>
      <c r="M4381" t="s">
        <v>6100</v>
      </c>
      <c r="N4381">
        <v>5</v>
      </c>
      <c r="O4381" t="s">
        <v>6101</v>
      </c>
      <c r="P4381" t="s">
        <v>6113</v>
      </c>
      <c r="Q4381">
        <v>7</v>
      </c>
      <c r="R4381">
        <v>2026</v>
      </c>
      <c r="S4381" t="s">
        <v>6099</v>
      </c>
      <c r="T4381">
        <v>1</v>
      </c>
      <c r="U4381" t="s">
        <v>6020</v>
      </c>
      <c r="V4381">
        <v>1</v>
      </c>
    </row>
    <row r="4382" spans="1:22" x14ac:dyDescent="0.3">
      <c r="A4382" t="s">
        <v>4397</v>
      </c>
      <c r="B4382" s="2">
        <v>46221.511805555558</v>
      </c>
      <c r="C4382" s="2">
        <v>46222.832638888889</v>
      </c>
      <c r="D4382" t="s">
        <v>6027</v>
      </c>
      <c r="E4382" t="s">
        <v>6032</v>
      </c>
      <c r="F4382" t="s">
        <v>6035</v>
      </c>
      <c r="G4382" t="s">
        <v>6043</v>
      </c>
      <c r="H4382" t="s">
        <v>6097</v>
      </c>
      <c r="I4382">
        <v>4</v>
      </c>
      <c r="J4382">
        <v>31.7</v>
      </c>
      <c r="K4382" t="s">
        <v>6099</v>
      </c>
      <c r="L4382" t="s">
        <v>6100</v>
      </c>
      <c r="M4382" t="s">
        <v>6100</v>
      </c>
      <c r="N4382">
        <v>4</v>
      </c>
      <c r="O4382" t="s">
        <v>6101</v>
      </c>
      <c r="P4382" t="s">
        <v>6113</v>
      </c>
      <c r="Q4382">
        <v>7</v>
      </c>
      <c r="R4382">
        <v>2026</v>
      </c>
      <c r="S4382" t="s">
        <v>6100</v>
      </c>
      <c r="T4382">
        <v>0</v>
      </c>
      <c r="U4382" t="s">
        <v>6020</v>
      </c>
      <c r="V4382">
        <v>1</v>
      </c>
    </row>
    <row r="4383" spans="1:22" x14ac:dyDescent="0.3">
      <c r="A4383" t="s">
        <v>4398</v>
      </c>
      <c r="B4383" s="2">
        <v>46221.556250000001</v>
      </c>
      <c r="C4383" s="2">
        <v>46221.981249999997</v>
      </c>
      <c r="D4383" t="s">
        <v>6028</v>
      </c>
      <c r="E4383" t="s">
        <v>6029</v>
      </c>
      <c r="F4383" t="s">
        <v>6034</v>
      </c>
      <c r="G4383" t="s">
        <v>6095</v>
      </c>
      <c r="H4383" t="s">
        <v>6098</v>
      </c>
      <c r="I4383">
        <v>24</v>
      </c>
      <c r="J4383">
        <v>10.199999999999999</v>
      </c>
      <c r="K4383" t="s">
        <v>6100</v>
      </c>
      <c r="L4383" t="s">
        <v>6099</v>
      </c>
      <c r="M4383" t="s">
        <v>6100</v>
      </c>
      <c r="O4383" t="s">
        <v>6101</v>
      </c>
      <c r="P4383" t="s">
        <v>6113</v>
      </c>
      <c r="Q4383">
        <v>7</v>
      </c>
      <c r="R4383">
        <v>2026</v>
      </c>
      <c r="S4383" t="s">
        <v>6099</v>
      </c>
      <c r="T4383">
        <v>1</v>
      </c>
      <c r="U4383" t="s">
        <v>6019</v>
      </c>
      <c r="V4383">
        <v>0</v>
      </c>
    </row>
    <row r="4384" spans="1:22" x14ac:dyDescent="0.3">
      <c r="A4384" t="s">
        <v>4399</v>
      </c>
      <c r="B4384" s="2">
        <v>46221.561805555553</v>
      </c>
      <c r="C4384" s="2">
        <v>46222.124305555553</v>
      </c>
      <c r="D4384" t="s">
        <v>6027</v>
      </c>
      <c r="E4384" t="s">
        <v>6032</v>
      </c>
      <c r="F4384" t="s">
        <v>6034</v>
      </c>
      <c r="G4384" t="s">
        <v>6087</v>
      </c>
      <c r="H4384" t="s">
        <v>6098</v>
      </c>
      <c r="I4384">
        <v>24</v>
      </c>
      <c r="J4384">
        <v>13.5</v>
      </c>
      <c r="K4384" t="s">
        <v>6099</v>
      </c>
      <c r="L4384" t="s">
        <v>6100</v>
      </c>
      <c r="M4384" t="s">
        <v>6099</v>
      </c>
      <c r="N4384">
        <v>5</v>
      </c>
      <c r="O4384" t="s">
        <v>6101</v>
      </c>
      <c r="P4384" t="s">
        <v>6113</v>
      </c>
      <c r="Q4384">
        <v>7</v>
      </c>
      <c r="R4384">
        <v>2026</v>
      </c>
      <c r="S4384" t="s">
        <v>6099</v>
      </c>
      <c r="T4384">
        <v>1</v>
      </c>
      <c r="U4384" t="s">
        <v>6020</v>
      </c>
      <c r="V4384">
        <v>1</v>
      </c>
    </row>
    <row r="4385" spans="1:22" x14ac:dyDescent="0.3">
      <c r="A4385" t="s">
        <v>4400</v>
      </c>
      <c r="B4385" s="2">
        <v>46221.589583333334</v>
      </c>
      <c r="C4385" s="2">
        <v>46222.322916666664</v>
      </c>
      <c r="D4385" t="s">
        <v>6025</v>
      </c>
      <c r="E4385" t="s">
        <v>6030</v>
      </c>
      <c r="F4385" t="s">
        <v>6034</v>
      </c>
      <c r="G4385" t="s">
        <v>6044</v>
      </c>
      <c r="H4385" t="s">
        <v>6097</v>
      </c>
      <c r="I4385">
        <v>24</v>
      </c>
      <c r="J4385">
        <v>17.600000000000001</v>
      </c>
      <c r="K4385" t="s">
        <v>6099</v>
      </c>
      <c r="L4385" t="s">
        <v>6100</v>
      </c>
      <c r="M4385" t="s">
        <v>6100</v>
      </c>
      <c r="N4385">
        <v>4</v>
      </c>
      <c r="O4385" t="s">
        <v>6101</v>
      </c>
      <c r="P4385" t="s">
        <v>6113</v>
      </c>
      <c r="Q4385">
        <v>7</v>
      </c>
      <c r="R4385">
        <v>2026</v>
      </c>
      <c r="S4385" t="s">
        <v>6099</v>
      </c>
      <c r="T4385">
        <v>1</v>
      </c>
      <c r="U4385" t="s">
        <v>6021</v>
      </c>
      <c r="V4385">
        <v>1</v>
      </c>
    </row>
    <row r="4386" spans="1:22" x14ac:dyDescent="0.3">
      <c r="A4386" t="s">
        <v>4401</v>
      </c>
      <c r="B4386" s="2">
        <v>46221.593055555553</v>
      </c>
      <c r="C4386" s="2">
        <v>46221.830555555556</v>
      </c>
      <c r="D4386" t="s">
        <v>6028</v>
      </c>
      <c r="E4386" t="s">
        <v>6029</v>
      </c>
      <c r="F4386" t="s">
        <v>6034</v>
      </c>
      <c r="G4386" t="s">
        <v>6072</v>
      </c>
      <c r="H4386" t="s">
        <v>6097</v>
      </c>
      <c r="I4386">
        <v>24</v>
      </c>
      <c r="J4386">
        <v>5.7</v>
      </c>
      <c r="K4386" t="s">
        <v>6099</v>
      </c>
      <c r="L4386" t="s">
        <v>6100</v>
      </c>
      <c r="M4386" t="s">
        <v>6099</v>
      </c>
      <c r="O4386" t="s">
        <v>6101</v>
      </c>
      <c r="P4386" t="s">
        <v>6113</v>
      </c>
      <c r="Q4386">
        <v>7</v>
      </c>
      <c r="R4386">
        <v>2026</v>
      </c>
      <c r="S4386" t="s">
        <v>6099</v>
      </c>
      <c r="T4386">
        <v>1</v>
      </c>
      <c r="U4386" t="s">
        <v>6021</v>
      </c>
      <c r="V4386">
        <v>1</v>
      </c>
    </row>
    <row r="4387" spans="1:22" x14ac:dyDescent="0.3">
      <c r="A4387" t="s">
        <v>4402</v>
      </c>
      <c r="B4387" s="2">
        <v>46221.599305555559</v>
      </c>
      <c r="C4387" s="2">
        <v>46222.040972222225</v>
      </c>
      <c r="D4387" t="s">
        <v>6027</v>
      </c>
      <c r="E4387" t="s">
        <v>6031</v>
      </c>
      <c r="F4387" t="s">
        <v>6035</v>
      </c>
      <c r="G4387" t="s">
        <v>6061</v>
      </c>
      <c r="H4387" t="s">
        <v>6096</v>
      </c>
      <c r="I4387">
        <v>4</v>
      </c>
      <c r="J4387">
        <v>10.6</v>
      </c>
      <c r="K4387" t="s">
        <v>6099</v>
      </c>
      <c r="L4387" t="s">
        <v>6100</v>
      </c>
      <c r="M4387" t="s">
        <v>6100</v>
      </c>
      <c r="N4387">
        <v>4</v>
      </c>
      <c r="O4387" t="s">
        <v>6101</v>
      </c>
      <c r="P4387" t="s">
        <v>6113</v>
      </c>
      <c r="Q4387">
        <v>7</v>
      </c>
      <c r="R4387">
        <v>2026</v>
      </c>
      <c r="S4387" t="s">
        <v>6100</v>
      </c>
      <c r="T4387">
        <v>0</v>
      </c>
      <c r="U4387" t="s">
        <v>6019</v>
      </c>
      <c r="V4387">
        <v>1</v>
      </c>
    </row>
    <row r="4388" spans="1:22" x14ac:dyDescent="0.3">
      <c r="A4388" t="s">
        <v>4403</v>
      </c>
      <c r="B4388" s="2">
        <v>46221.599305555559</v>
      </c>
      <c r="C4388" s="2">
        <v>46222.503472222219</v>
      </c>
      <c r="D4388" t="s">
        <v>6022</v>
      </c>
      <c r="E4388" t="s">
        <v>6029</v>
      </c>
      <c r="F4388" t="s">
        <v>6033</v>
      </c>
      <c r="G4388" t="s">
        <v>6041</v>
      </c>
      <c r="H4388" t="s">
        <v>6096</v>
      </c>
      <c r="I4388">
        <v>72</v>
      </c>
      <c r="J4388">
        <v>21.7</v>
      </c>
      <c r="K4388" t="s">
        <v>6099</v>
      </c>
      <c r="L4388" t="s">
        <v>6100</v>
      </c>
      <c r="M4388" t="s">
        <v>6100</v>
      </c>
      <c r="O4388" t="s">
        <v>6101</v>
      </c>
      <c r="P4388" t="s">
        <v>6113</v>
      </c>
      <c r="Q4388">
        <v>7</v>
      </c>
      <c r="R4388">
        <v>2026</v>
      </c>
      <c r="S4388" t="s">
        <v>6099</v>
      </c>
      <c r="T4388">
        <v>1</v>
      </c>
      <c r="U4388" t="s">
        <v>6021</v>
      </c>
      <c r="V4388">
        <v>1</v>
      </c>
    </row>
    <row r="4389" spans="1:22" x14ac:dyDescent="0.3">
      <c r="A4389" t="s">
        <v>4404</v>
      </c>
      <c r="B4389" s="2">
        <v>46221.617361111108</v>
      </c>
      <c r="C4389" s="2">
        <v>46222.046527777777</v>
      </c>
      <c r="D4389" t="s">
        <v>6023</v>
      </c>
      <c r="E4389" t="s">
        <v>6029</v>
      </c>
      <c r="F4389" t="s">
        <v>6033</v>
      </c>
      <c r="G4389" t="s">
        <v>6073</v>
      </c>
      <c r="H4389" t="s">
        <v>6096</v>
      </c>
      <c r="I4389">
        <v>72</v>
      </c>
      <c r="J4389">
        <v>10.3</v>
      </c>
      <c r="K4389" t="s">
        <v>6100</v>
      </c>
      <c r="L4389" t="s">
        <v>6099</v>
      </c>
      <c r="M4389" t="s">
        <v>6100</v>
      </c>
      <c r="N4389">
        <v>4</v>
      </c>
      <c r="O4389" t="s">
        <v>6101</v>
      </c>
      <c r="P4389" t="s">
        <v>6113</v>
      </c>
      <c r="Q4389">
        <v>7</v>
      </c>
      <c r="R4389">
        <v>2026</v>
      </c>
      <c r="S4389" t="s">
        <v>6099</v>
      </c>
      <c r="T4389">
        <v>1</v>
      </c>
      <c r="U4389" t="s">
        <v>6021</v>
      </c>
      <c r="V4389">
        <v>0</v>
      </c>
    </row>
    <row r="4390" spans="1:22" x14ac:dyDescent="0.3">
      <c r="A4390" t="s">
        <v>4405</v>
      </c>
      <c r="B4390" s="2">
        <v>46221.645138888889</v>
      </c>
      <c r="C4390" s="2">
        <v>46222.203472222223</v>
      </c>
      <c r="D4390" t="s">
        <v>6028</v>
      </c>
      <c r="E4390" t="s">
        <v>6031</v>
      </c>
      <c r="F4390" t="s">
        <v>6034</v>
      </c>
      <c r="G4390" t="s">
        <v>6057</v>
      </c>
      <c r="H4390" t="s">
        <v>6097</v>
      </c>
      <c r="I4390">
        <v>24</v>
      </c>
      <c r="J4390">
        <v>13.4</v>
      </c>
      <c r="K4390" t="s">
        <v>6100</v>
      </c>
      <c r="L4390" t="s">
        <v>6099</v>
      </c>
      <c r="M4390" t="s">
        <v>6100</v>
      </c>
      <c r="N4390">
        <v>4</v>
      </c>
      <c r="O4390" t="s">
        <v>6101</v>
      </c>
      <c r="P4390" t="s">
        <v>6113</v>
      </c>
      <c r="Q4390">
        <v>7</v>
      </c>
      <c r="R4390">
        <v>2026</v>
      </c>
      <c r="S4390" t="s">
        <v>6099</v>
      </c>
      <c r="T4390">
        <v>1</v>
      </c>
      <c r="U4390" t="s">
        <v>6020</v>
      </c>
      <c r="V4390">
        <v>0</v>
      </c>
    </row>
    <row r="4391" spans="1:22" x14ac:dyDescent="0.3">
      <c r="A4391" t="s">
        <v>4406</v>
      </c>
      <c r="B4391" s="2">
        <v>46221.668749999997</v>
      </c>
      <c r="C4391" s="2">
        <v>46222.17291666667</v>
      </c>
      <c r="D4391" t="s">
        <v>6023</v>
      </c>
      <c r="E4391" t="s">
        <v>6029</v>
      </c>
      <c r="F4391" t="s">
        <v>6034</v>
      </c>
      <c r="G4391" t="s">
        <v>6078</v>
      </c>
      <c r="H4391" t="s">
        <v>6097</v>
      </c>
      <c r="I4391">
        <v>24</v>
      </c>
      <c r="J4391">
        <v>12.1</v>
      </c>
      <c r="K4391" t="s">
        <v>6099</v>
      </c>
      <c r="L4391" t="s">
        <v>6100</v>
      </c>
      <c r="M4391" t="s">
        <v>6100</v>
      </c>
      <c r="N4391">
        <v>5</v>
      </c>
      <c r="O4391" t="s">
        <v>6101</v>
      </c>
      <c r="P4391" t="s">
        <v>6113</v>
      </c>
      <c r="Q4391">
        <v>7</v>
      </c>
      <c r="R4391">
        <v>2026</v>
      </c>
      <c r="S4391" t="s">
        <v>6099</v>
      </c>
      <c r="T4391">
        <v>1</v>
      </c>
      <c r="U4391" t="s">
        <v>6021</v>
      </c>
      <c r="V4391">
        <v>1</v>
      </c>
    </row>
    <row r="4392" spans="1:22" x14ac:dyDescent="0.3">
      <c r="A4392" t="s">
        <v>4407</v>
      </c>
      <c r="B4392" s="2">
        <v>46221.685416666667</v>
      </c>
      <c r="C4392" s="2">
        <v>46222.472916666666</v>
      </c>
      <c r="D4392" t="s">
        <v>6027</v>
      </c>
      <c r="E4392" t="s">
        <v>6031</v>
      </c>
      <c r="F4392" t="s">
        <v>6035</v>
      </c>
      <c r="G4392" t="s">
        <v>6083</v>
      </c>
      <c r="H4392" t="s">
        <v>6096</v>
      </c>
      <c r="I4392">
        <v>4</v>
      </c>
      <c r="J4392">
        <v>18.899999999999999</v>
      </c>
      <c r="K4392" t="s">
        <v>6099</v>
      </c>
      <c r="L4392" t="s">
        <v>6100</v>
      </c>
      <c r="M4392" t="s">
        <v>6100</v>
      </c>
      <c r="N4392">
        <v>5</v>
      </c>
      <c r="O4392" t="s">
        <v>6101</v>
      </c>
      <c r="P4392" t="s">
        <v>6113</v>
      </c>
      <c r="Q4392">
        <v>7</v>
      </c>
      <c r="R4392">
        <v>2026</v>
      </c>
      <c r="S4392" t="s">
        <v>6100</v>
      </c>
      <c r="T4392">
        <v>0</v>
      </c>
      <c r="U4392" t="s">
        <v>6019</v>
      </c>
      <c r="V4392">
        <v>1</v>
      </c>
    </row>
    <row r="4393" spans="1:22" x14ac:dyDescent="0.3">
      <c r="A4393" t="s">
        <v>4408</v>
      </c>
      <c r="B4393" s="2">
        <v>46221.696527777778</v>
      </c>
      <c r="C4393" s="2">
        <v>46221.917361111111</v>
      </c>
      <c r="D4393" t="s">
        <v>6027</v>
      </c>
      <c r="E4393" t="s">
        <v>6029</v>
      </c>
      <c r="F4393" t="s">
        <v>6033</v>
      </c>
      <c r="G4393" t="s">
        <v>6071</v>
      </c>
      <c r="H4393" t="s">
        <v>6098</v>
      </c>
      <c r="I4393">
        <v>72</v>
      </c>
      <c r="J4393">
        <v>5.3</v>
      </c>
      <c r="K4393" t="s">
        <v>6099</v>
      </c>
      <c r="L4393" t="s">
        <v>6100</v>
      </c>
      <c r="M4393" t="s">
        <v>6100</v>
      </c>
      <c r="N4393">
        <v>3</v>
      </c>
      <c r="O4393" t="s">
        <v>6101</v>
      </c>
      <c r="P4393" t="s">
        <v>6113</v>
      </c>
      <c r="Q4393">
        <v>7</v>
      </c>
      <c r="R4393">
        <v>2026</v>
      </c>
      <c r="S4393" t="s">
        <v>6099</v>
      </c>
      <c r="T4393">
        <v>1</v>
      </c>
      <c r="U4393" t="s">
        <v>6019</v>
      </c>
      <c r="V4393">
        <v>1</v>
      </c>
    </row>
    <row r="4394" spans="1:22" x14ac:dyDescent="0.3">
      <c r="A4394" t="s">
        <v>4409</v>
      </c>
      <c r="B4394" s="2">
        <v>46221.78402777778</v>
      </c>
      <c r="C4394" s="2">
        <v>46222.434027777781</v>
      </c>
      <c r="D4394" t="s">
        <v>6022</v>
      </c>
      <c r="E4394" t="s">
        <v>6030</v>
      </c>
      <c r="F4394" t="s">
        <v>6035</v>
      </c>
      <c r="G4394" t="s">
        <v>6037</v>
      </c>
      <c r="H4394" t="s">
        <v>6096</v>
      </c>
      <c r="I4394">
        <v>4</v>
      </c>
      <c r="J4394">
        <v>15.6</v>
      </c>
      <c r="K4394" t="s">
        <v>6100</v>
      </c>
      <c r="L4394" t="s">
        <v>6100</v>
      </c>
      <c r="M4394" t="s">
        <v>6100</v>
      </c>
      <c r="O4394" t="s">
        <v>6101</v>
      </c>
      <c r="P4394" t="s">
        <v>6113</v>
      </c>
      <c r="Q4394">
        <v>7</v>
      </c>
      <c r="R4394">
        <v>2026</v>
      </c>
      <c r="S4394" t="s">
        <v>6100</v>
      </c>
      <c r="T4394">
        <v>0</v>
      </c>
      <c r="U4394" t="s">
        <v>6019</v>
      </c>
      <c r="V4394">
        <v>0</v>
      </c>
    </row>
    <row r="4395" spans="1:22" x14ac:dyDescent="0.3">
      <c r="A4395" t="s">
        <v>4410</v>
      </c>
      <c r="B4395" s="2">
        <v>46221.859027777777</v>
      </c>
      <c r="C4395" s="2">
        <v>46222.113194444442</v>
      </c>
      <c r="D4395" t="s">
        <v>6027</v>
      </c>
      <c r="E4395" t="s">
        <v>6029</v>
      </c>
      <c r="F4395" t="s">
        <v>6034</v>
      </c>
      <c r="G4395" t="s">
        <v>6051</v>
      </c>
      <c r="H4395" t="s">
        <v>6097</v>
      </c>
      <c r="I4395">
        <v>24</v>
      </c>
      <c r="J4395">
        <v>6.1</v>
      </c>
      <c r="K4395" t="s">
        <v>6099</v>
      </c>
      <c r="L4395" t="s">
        <v>6100</v>
      </c>
      <c r="M4395" t="s">
        <v>6100</v>
      </c>
      <c r="O4395" t="s">
        <v>6101</v>
      </c>
      <c r="P4395" t="s">
        <v>6113</v>
      </c>
      <c r="Q4395">
        <v>7</v>
      </c>
      <c r="R4395">
        <v>2026</v>
      </c>
      <c r="S4395" t="s">
        <v>6099</v>
      </c>
      <c r="T4395">
        <v>1</v>
      </c>
      <c r="U4395" t="s">
        <v>6019</v>
      </c>
      <c r="V4395">
        <v>1</v>
      </c>
    </row>
    <row r="4396" spans="1:22" x14ac:dyDescent="0.3">
      <c r="A4396" t="s">
        <v>4411</v>
      </c>
      <c r="B4396" s="2">
        <v>46222.265972222223</v>
      </c>
      <c r="C4396" s="2">
        <v>46222.378472222219</v>
      </c>
      <c r="D4396" t="s">
        <v>6023</v>
      </c>
      <c r="E4396" t="s">
        <v>6030</v>
      </c>
      <c r="F4396" t="s">
        <v>6034</v>
      </c>
      <c r="G4396" t="s">
        <v>6057</v>
      </c>
      <c r="H4396" t="s">
        <v>6097</v>
      </c>
      <c r="I4396">
        <v>24</v>
      </c>
      <c r="J4396">
        <v>2.7</v>
      </c>
      <c r="K4396" t="s">
        <v>6099</v>
      </c>
      <c r="L4396" t="s">
        <v>6100</v>
      </c>
      <c r="M4396" t="s">
        <v>6100</v>
      </c>
      <c r="N4396">
        <v>4</v>
      </c>
      <c r="O4396" t="s">
        <v>6101</v>
      </c>
      <c r="P4396" t="s">
        <v>6113</v>
      </c>
      <c r="Q4396">
        <v>7</v>
      </c>
      <c r="R4396">
        <v>2026</v>
      </c>
      <c r="S4396" t="s">
        <v>6099</v>
      </c>
      <c r="T4396">
        <v>1</v>
      </c>
      <c r="U4396" t="s">
        <v>6021</v>
      </c>
      <c r="V4396">
        <v>1</v>
      </c>
    </row>
    <row r="4397" spans="1:22" x14ac:dyDescent="0.3">
      <c r="A4397" t="s">
        <v>4412</v>
      </c>
      <c r="B4397" s="2">
        <v>46222.361111111109</v>
      </c>
      <c r="C4397" s="2">
        <v>46224.302777777775</v>
      </c>
      <c r="D4397" t="s">
        <v>6028</v>
      </c>
      <c r="E4397" t="s">
        <v>6032</v>
      </c>
      <c r="F4397" t="s">
        <v>6034</v>
      </c>
      <c r="G4397" t="s">
        <v>6041</v>
      </c>
      <c r="H4397" t="s">
        <v>6096</v>
      </c>
      <c r="I4397">
        <v>24</v>
      </c>
      <c r="J4397">
        <v>46.6</v>
      </c>
      <c r="K4397" t="s">
        <v>6099</v>
      </c>
      <c r="L4397" t="s">
        <v>6100</v>
      </c>
      <c r="M4397" t="s">
        <v>6100</v>
      </c>
      <c r="N4397">
        <v>2</v>
      </c>
      <c r="O4397" t="s">
        <v>6101</v>
      </c>
      <c r="P4397" t="s">
        <v>6113</v>
      </c>
      <c r="Q4397">
        <v>7</v>
      </c>
      <c r="R4397">
        <v>2026</v>
      </c>
      <c r="S4397" t="s">
        <v>6100</v>
      </c>
      <c r="T4397">
        <v>0</v>
      </c>
      <c r="U4397" t="s">
        <v>6020</v>
      </c>
      <c r="V4397">
        <v>1</v>
      </c>
    </row>
    <row r="4398" spans="1:22" x14ac:dyDescent="0.3">
      <c r="A4398" t="s">
        <v>4413</v>
      </c>
      <c r="B4398" s="2">
        <v>46222.374305555553</v>
      </c>
      <c r="C4398" s="2">
        <v>46224.386805555558</v>
      </c>
      <c r="D4398" t="s">
        <v>6022</v>
      </c>
      <c r="E4398" t="s">
        <v>6031</v>
      </c>
      <c r="F4398" t="s">
        <v>6033</v>
      </c>
      <c r="G4398" t="s">
        <v>6077</v>
      </c>
      <c r="H4398" t="s">
        <v>6098</v>
      </c>
      <c r="I4398">
        <v>72</v>
      </c>
      <c r="J4398">
        <v>48.3</v>
      </c>
      <c r="K4398" t="s">
        <v>6099</v>
      </c>
      <c r="L4398" t="s">
        <v>6100</v>
      </c>
      <c r="M4398" t="s">
        <v>6100</v>
      </c>
      <c r="N4398">
        <v>5</v>
      </c>
      <c r="O4398" t="s">
        <v>6101</v>
      </c>
      <c r="P4398" t="s">
        <v>6113</v>
      </c>
      <c r="Q4398">
        <v>7</v>
      </c>
      <c r="R4398">
        <v>2026</v>
      </c>
      <c r="S4398" t="s">
        <v>6099</v>
      </c>
      <c r="T4398">
        <v>1</v>
      </c>
      <c r="U4398" t="s">
        <v>6021</v>
      </c>
      <c r="V4398">
        <v>1</v>
      </c>
    </row>
    <row r="4399" spans="1:22" x14ac:dyDescent="0.3">
      <c r="A4399" t="s">
        <v>4414</v>
      </c>
      <c r="B4399" s="2">
        <v>46222.381249999999</v>
      </c>
      <c r="C4399" s="2">
        <v>46222.79791666667</v>
      </c>
      <c r="D4399" t="s">
        <v>6025</v>
      </c>
      <c r="E4399" t="s">
        <v>6030</v>
      </c>
      <c r="F4399" t="s">
        <v>6034</v>
      </c>
      <c r="G4399" t="s">
        <v>6086</v>
      </c>
      <c r="H4399" t="s">
        <v>6098</v>
      </c>
      <c r="I4399">
        <v>24</v>
      </c>
      <c r="J4399">
        <v>10</v>
      </c>
      <c r="K4399" t="s">
        <v>6099</v>
      </c>
      <c r="L4399" t="s">
        <v>6100</v>
      </c>
      <c r="M4399" t="s">
        <v>6100</v>
      </c>
      <c r="N4399">
        <v>5</v>
      </c>
      <c r="O4399" t="s">
        <v>6101</v>
      </c>
      <c r="P4399" t="s">
        <v>6113</v>
      </c>
      <c r="Q4399">
        <v>7</v>
      </c>
      <c r="R4399">
        <v>2026</v>
      </c>
      <c r="S4399" t="s">
        <v>6099</v>
      </c>
      <c r="T4399">
        <v>1</v>
      </c>
      <c r="U4399" t="s">
        <v>6017</v>
      </c>
      <c r="V4399">
        <v>1</v>
      </c>
    </row>
    <row r="4400" spans="1:22" x14ac:dyDescent="0.3">
      <c r="A4400" t="s">
        <v>4415</v>
      </c>
      <c r="B4400" s="2">
        <v>46222.397222222222</v>
      </c>
      <c r="C4400" s="2">
        <v>46222.518055555556</v>
      </c>
      <c r="D4400" t="s">
        <v>6023</v>
      </c>
      <c r="E4400" t="s">
        <v>6030</v>
      </c>
      <c r="F4400" t="s">
        <v>6035</v>
      </c>
      <c r="G4400" t="s">
        <v>6089</v>
      </c>
      <c r="H4400" t="s">
        <v>6098</v>
      </c>
      <c r="I4400">
        <v>4</v>
      </c>
      <c r="J4400">
        <v>2.9</v>
      </c>
      <c r="K4400" t="s">
        <v>6099</v>
      </c>
      <c r="L4400" t="s">
        <v>6100</v>
      </c>
      <c r="M4400" t="s">
        <v>6100</v>
      </c>
      <c r="N4400">
        <v>5</v>
      </c>
      <c r="O4400" t="s">
        <v>6101</v>
      </c>
      <c r="P4400" t="s">
        <v>6113</v>
      </c>
      <c r="Q4400">
        <v>7</v>
      </c>
      <c r="R4400">
        <v>2026</v>
      </c>
      <c r="S4400" t="s">
        <v>6099</v>
      </c>
      <c r="T4400">
        <v>1</v>
      </c>
      <c r="U4400" t="s">
        <v>6021</v>
      </c>
      <c r="V4400">
        <v>1</v>
      </c>
    </row>
    <row r="4401" spans="1:22" x14ac:dyDescent="0.3">
      <c r="A4401" t="s">
        <v>4416</v>
      </c>
      <c r="B4401" s="2">
        <v>46222.466666666667</v>
      </c>
      <c r="C4401" s="2">
        <v>46223.724999999999</v>
      </c>
      <c r="D4401" t="s">
        <v>6025</v>
      </c>
      <c r="E4401" t="s">
        <v>6029</v>
      </c>
      <c r="F4401" t="s">
        <v>6034</v>
      </c>
      <c r="G4401" t="s">
        <v>6036</v>
      </c>
      <c r="H4401" t="s">
        <v>6096</v>
      </c>
      <c r="I4401">
        <v>24</v>
      </c>
      <c r="J4401">
        <v>30.2</v>
      </c>
      <c r="K4401" t="s">
        <v>6099</v>
      </c>
      <c r="L4401" t="s">
        <v>6100</v>
      </c>
      <c r="M4401" t="s">
        <v>6100</v>
      </c>
      <c r="O4401" t="s">
        <v>6101</v>
      </c>
      <c r="P4401" t="s">
        <v>6113</v>
      </c>
      <c r="Q4401">
        <v>7</v>
      </c>
      <c r="R4401">
        <v>2026</v>
      </c>
      <c r="S4401" t="s">
        <v>6100</v>
      </c>
      <c r="T4401">
        <v>0</v>
      </c>
      <c r="U4401" t="s">
        <v>6021</v>
      </c>
      <c r="V4401">
        <v>1</v>
      </c>
    </row>
    <row r="4402" spans="1:22" x14ac:dyDescent="0.3">
      <c r="A4402" t="s">
        <v>4417</v>
      </c>
      <c r="B4402" s="2">
        <v>46222.474305555559</v>
      </c>
      <c r="C4402" s="2">
        <v>46223.928472222222</v>
      </c>
      <c r="D4402" t="s">
        <v>6025</v>
      </c>
      <c r="E4402" t="s">
        <v>6029</v>
      </c>
      <c r="F4402" t="s">
        <v>6034</v>
      </c>
      <c r="G4402" t="s">
        <v>6092</v>
      </c>
      <c r="H4402" t="s">
        <v>6097</v>
      </c>
      <c r="I4402">
        <v>24</v>
      </c>
      <c r="J4402">
        <v>34.9</v>
      </c>
      <c r="K4402" t="s">
        <v>6099</v>
      </c>
      <c r="L4402" t="s">
        <v>6100</v>
      </c>
      <c r="M4402" t="s">
        <v>6100</v>
      </c>
      <c r="N4402">
        <v>5</v>
      </c>
      <c r="O4402" t="s">
        <v>6101</v>
      </c>
      <c r="P4402" t="s">
        <v>6113</v>
      </c>
      <c r="Q4402">
        <v>7</v>
      </c>
      <c r="R4402">
        <v>2026</v>
      </c>
      <c r="S4402" t="s">
        <v>6100</v>
      </c>
      <c r="T4402">
        <v>0</v>
      </c>
      <c r="U4402" t="s">
        <v>6017</v>
      </c>
      <c r="V4402">
        <v>1</v>
      </c>
    </row>
    <row r="4403" spans="1:22" x14ac:dyDescent="0.3">
      <c r="A4403" t="s">
        <v>4418</v>
      </c>
      <c r="B4403" s="2">
        <v>46222.520833333336</v>
      </c>
      <c r="C4403" s="2">
        <v>46223.537499999999</v>
      </c>
      <c r="D4403" t="s">
        <v>6022</v>
      </c>
      <c r="E4403" t="s">
        <v>6032</v>
      </c>
      <c r="F4403" t="s">
        <v>6033</v>
      </c>
      <c r="G4403" t="s">
        <v>6069</v>
      </c>
      <c r="H4403" t="s">
        <v>6098</v>
      </c>
      <c r="I4403">
        <v>72</v>
      </c>
      <c r="J4403">
        <v>24.4</v>
      </c>
      <c r="K4403" t="s">
        <v>6100</v>
      </c>
      <c r="L4403" t="s">
        <v>6100</v>
      </c>
      <c r="M4403" t="s">
        <v>6100</v>
      </c>
      <c r="N4403">
        <v>2</v>
      </c>
      <c r="O4403" t="s">
        <v>6101</v>
      </c>
      <c r="P4403" t="s">
        <v>6113</v>
      </c>
      <c r="Q4403">
        <v>7</v>
      </c>
      <c r="R4403">
        <v>2026</v>
      </c>
      <c r="S4403" t="s">
        <v>6099</v>
      </c>
      <c r="T4403">
        <v>1</v>
      </c>
      <c r="U4403" t="s">
        <v>6019</v>
      </c>
      <c r="V4403">
        <v>0</v>
      </c>
    </row>
    <row r="4404" spans="1:22" x14ac:dyDescent="0.3">
      <c r="A4404" t="s">
        <v>4419</v>
      </c>
      <c r="B4404" s="2">
        <v>46222.529861111114</v>
      </c>
      <c r="C4404" s="2">
        <v>46222.667361111111</v>
      </c>
      <c r="D4404" t="s">
        <v>6024</v>
      </c>
      <c r="E4404" t="s">
        <v>6029</v>
      </c>
      <c r="F4404" t="s">
        <v>6034</v>
      </c>
      <c r="G4404" t="s">
        <v>6050</v>
      </c>
      <c r="H4404" t="s">
        <v>6098</v>
      </c>
      <c r="I4404">
        <v>24</v>
      </c>
      <c r="J4404">
        <v>3.3</v>
      </c>
      <c r="K4404" t="s">
        <v>6099</v>
      </c>
      <c r="L4404" t="s">
        <v>6100</v>
      </c>
      <c r="M4404" t="s">
        <v>6100</v>
      </c>
      <c r="O4404" t="s">
        <v>6101</v>
      </c>
      <c r="P4404" t="s">
        <v>6113</v>
      </c>
      <c r="Q4404">
        <v>7</v>
      </c>
      <c r="R4404">
        <v>2026</v>
      </c>
      <c r="S4404" t="s">
        <v>6099</v>
      </c>
      <c r="T4404">
        <v>1</v>
      </c>
      <c r="U4404" t="s">
        <v>6018</v>
      </c>
      <c r="V4404">
        <v>1</v>
      </c>
    </row>
    <row r="4405" spans="1:22" x14ac:dyDescent="0.3">
      <c r="A4405" t="s">
        <v>4420</v>
      </c>
      <c r="B4405" s="2">
        <v>46222.535416666666</v>
      </c>
      <c r="C4405" s="2">
        <v>46222.652083333334</v>
      </c>
      <c r="D4405" t="s">
        <v>6027</v>
      </c>
      <c r="E4405" t="s">
        <v>6030</v>
      </c>
      <c r="F4405" t="s">
        <v>6034</v>
      </c>
      <c r="G4405" t="s">
        <v>6079</v>
      </c>
      <c r="H4405" t="s">
        <v>6097</v>
      </c>
      <c r="I4405">
        <v>24</v>
      </c>
      <c r="J4405">
        <v>2.8</v>
      </c>
      <c r="K4405" t="s">
        <v>6099</v>
      </c>
      <c r="L4405" t="s">
        <v>6100</v>
      </c>
      <c r="M4405" t="s">
        <v>6100</v>
      </c>
      <c r="N4405">
        <v>4</v>
      </c>
      <c r="O4405" t="s">
        <v>6101</v>
      </c>
      <c r="P4405" t="s">
        <v>6113</v>
      </c>
      <c r="Q4405">
        <v>7</v>
      </c>
      <c r="R4405">
        <v>2026</v>
      </c>
      <c r="S4405" t="s">
        <v>6099</v>
      </c>
      <c r="T4405">
        <v>1</v>
      </c>
      <c r="U4405" t="s">
        <v>6020</v>
      </c>
      <c r="V4405">
        <v>1</v>
      </c>
    </row>
    <row r="4406" spans="1:22" x14ac:dyDescent="0.3">
      <c r="A4406" t="s">
        <v>4421</v>
      </c>
      <c r="B4406" s="2">
        <v>46222.567361111112</v>
      </c>
      <c r="C4406" s="2">
        <v>46227.125694444447</v>
      </c>
      <c r="D4406" t="s">
        <v>6026</v>
      </c>
      <c r="E4406" t="s">
        <v>6032</v>
      </c>
      <c r="F4406" t="s">
        <v>6033</v>
      </c>
      <c r="G4406" t="s">
        <v>6040</v>
      </c>
      <c r="H4406" t="s">
        <v>6097</v>
      </c>
      <c r="I4406">
        <v>72</v>
      </c>
      <c r="J4406">
        <v>109.4</v>
      </c>
      <c r="K4406" t="s">
        <v>6100</v>
      </c>
      <c r="L4406" t="s">
        <v>6100</v>
      </c>
      <c r="M4406" t="s">
        <v>6100</v>
      </c>
      <c r="N4406">
        <v>3</v>
      </c>
      <c r="O4406" t="s">
        <v>6101</v>
      </c>
      <c r="P4406" t="s">
        <v>6113</v>
      </c>
      <c r="Q4406">
        <v>7</v>
      </c>
      <c r="R4406">
        <v>2026</v>
      </c>
      <c r="S4406" t="s">
        <v>6100</v>
      </c>
      <c r="T4406">
        <v>0</v>
      </c>
      <c r="U4406" t="s">
        <v>6021</v>
      </c>
      <c r="V4406">
        <v>0</v>
      </c>
    </row>
    <row r="4407" spans="1:22" x14ac:dyDescent="0.3">
      <c r="A4407" t="s">
        <v>4422</v>
      </c>
      <c r="B4407" s="2">
        <v>46222.591666666667</v>
      </c>
      <c r="C4407" s="2">
        <v>46222.845833333333</v>
      </c>
      <c r="D4407" t="s">
        <v>6028</v>
      </c>
      <c r="E4407" t="s">
        <v>6029</v>
      </c>
      <c r="F4407" t="s">
        <v>6035</v>
      </c>
      <c r="G4407" t="s">
        <v>6085</v>
      </c>
      <c r="H4407" t="s">
        <v>6097</v>
      </c>
      <c r="I4407">
        <v>4</v>
      </c>
      <c r="J4407">
        <v>6.1</v>
      </c>
      <c r="K4407" t="s">
        <v>6100</v>
      </c>
      <c r="L4407" t="s">
        <v>6100</v>
      </c>
      <c r="M4407" t="s">
        <v>6100</v>
      </c>
      <c r="N4407">
        <v>5</v>
      </c>
      <c r="O4407" t="s">
        <v>6101</v>
      </c>
      <c r="P4407" t="s">
        <v>6113</v>
      </c>
      <c r="Q4407">
        <v>7</v>
      </c>
      <c r="R4407">
        <v>2026</v>
      </c>
      <c r="S4407" t="s">
        <v>6100</v>
      </c>
      <c r="T4407">
        <v>0</v>
      </c>
      <c r="U4407" t="s">
        <v>6019</v>
      </c>
      <c r="V4407">
        <v>0</v>
      </c>
    </row>
    <row r="4408" spans="1:22" x14ac:dyDescent="0.3">
      <c r="A4408" t="s">
        <v>4423</v>
      </c>
      <c r="B4408" s="2">
        <v>46222.638888888891</v>
      </c>
      <c r="C4408" s="2">
        <v>46223.788888888892</v>
      </c>
      <c r="D4408" t="s">
        <v>6022</v>
      </c>
      <c r="E4408" t="s">
        <v>6032</v>
      </c>
      <c r="F4408" t="s">
        <v>6035</v>
      </c>
      <c r="G4408" t="s">
        <v>6049</v>
      </c>
      <c r="H4408" t="s">
        <v>6097</v>
      </c>
      <c r="I4408">
        <v>4</v>
      </c>
      <c r="J4408">
        <v>27.6</v>
      </c>
      <c r="K4408" t="s">
        <v>6099</v>
      </c>
      <c r="L4408" t="s">
        <v>6100</v>
      </c>
      <c r="M4408" t="s">
        <v>6100</v>
      </c>
      <c r="O4408" t="s">
        <v>6101</v>
      </c>
      <c r="P4408" t="s">
        <v>6113</v>
      </c>
      <c r="Q4408">
        <v>7</v>
      </c>
      <c r="R4408">
        <v>2026</v>
      </c>
      <c r="S4408" t="s">
        <v>6100</v>
      </c>
      <c r="T4408">
        <v>0</v>
      </c>
      <c r="U4408" t="s">
        <v>6018</v>
      </c>
      <c r="V4408">
        <v>1</v>
      </c>
    </row>
    <row r="4409" spans="1:22" x14ac:dyDescent="0.3">
      <c r="A4409" t="s">
        <v>4424</v>
      </c>
      <c r="B4409" s="2">
        <v>46222.643750000003</v>
      </c>
      <c r="C4409" s="2">
        <v>46223.085416666669</v>
      </c>
      <c r="D4409" t="s">
        <v>6022</v>
      </c>
      <c r="E4409" t="s">
        <v>6029</v>
      </c>
      <c r="F4409" t="s">
        <v>6033</v>
      </c>
      <c r="G4409" t="s">
        <v>6055</v>
      </c>
      <c r="H4409" t="s">
        <v>6096</v>
      </c>
      <c r="I4409">
        <v>72</v>
      </c>
      <c r="J4409">
        <v>10.6</v>
      </c>
      <c r="K4409" t="s">
        <v>6099</v>
      </c>
      <c r="L4409" t="s">
        <v>6100</v>
      </c>
      <c r="M4409" t="s">
        <v>6100</v>
      </c>
      <c r="N4409">
        <v>5</v>
      </c>
      <c r="O4409" t="s">
        <v>6101</v>
      </c>
      <c r="P4409" t="s">
        <v>6113</v>
      </c>
      <c r="Q4409">
        <v>7</v>
      </c>
      <c r="R4409">
        <v>2026</v>
      </c>
      <c r="S4409" t="s">
        <v>6099</v>
      </c>
      <c r="T4409">
        <v>1</v>
      </c>
      <c r="U4409" t="s">
        <v>6018</v>
      </c>
      <c r="V4409">
        <v>1</v>
      </c>
    </row>
    <row r="4410" spans="1:22" x14ac:dyDescent="0.3">
      <c r="A4410" t="s">
        <v>4425</v>
      </c>
      <c r="B4410" s="2">
        <v>46222.6875</v>
      </c>
      <c r="C4410" s="2">
        <v>46223.10833333333</v>
      </c>
      <c r="D4410" t="s">
        <v>6028</v>
      </c>
      <c r="E4410" t="s">
        <v>6029</v>
      </c>
      <c r="F4410" t="s">
        <v>6035</v>
      </c>
      <c r="G4410" t="s">
        <v>6095</v>
      </c>
      <c r="H4410" t="s">
        <v>6098</v>
      </c>
      <c r="I4410">
        <v>4</v>
      </c>
      <c r="J4410">
        <v>10.1</v>
      </c>
      <c r="K4410" t="s">
        <v>6099</v>
      </c>
      <c r="L4410" t="s">
        <v>6100</v>
      </c>
      <c r="M4410" t="s">
        <v>6100</v>
      </c>
      <c r="N4410">
        <v>4</v>
      </c>
      <c r="O4410" t="s">
        <v>6101</v>
      </c>
      <c r="P4410" t="s">
        <v>6113</v>
      </c>
      <c r="Q4410">
        <v>7</v>
      </c>
      <c r="R4410">
        <v>2026</v>
      </c>
      <c r="S4410" t="s">
        <v>6100</v>
      </c>
      <c r="T4410">
        <v>0</v>
      </c>
      <c r="U4410" t="s">
        <v>6021</v>
      </c>
      <c r="V4410">
        <v>1</v>
      </c>
    </row>
    <row r="4411" spans="1:22" x14ac:dyDescent="0.3">
      <c r="A4411" t="s">
        <v>4426</v>
      </c>
      <c r="B4411" s="2">
        <v>46222.692361111112</v>
      </c>
      <c r="C4411" s="2">
        <v>46222.817361111112</v>
      </c>
      <c r="D4411" t="s">
        <v>6028</v>
      </c>
      <c r="E4411" t="s">
        <v>6030</v>
      </c>
      <c r="F4411" t="s">
        <v>6034</v>
      </c>
      <c r="G4411" t="s">
        <v>6090</v>
      </c>
      <c r="H4411" t="s">
        <v>6097</v>
      </c>
      <c r="I4411">
        <v>24</v>
      </c>
      <c r="J4411">
        <v>3</v>
      </c>
      <c r="K4411" t="s">
        <v>6099</v>
      </c>
      <c r="L4411" t="s">
        <v>6100</v>
      </c>
      <c r="M4411" t="s">
        <v>6100</v>
      </c>
      <c r="N4411">
        <v>5</v>
      </c>
      <c r="O4411" t="s">
        <v>6101</v>
      </c>
      <c r="P4411" t="s">
        <v>6113</v>
      </c>
      <c r="Q4411">
        <v>7</v>
      </c>
      <c r="R4411">
        <v>2026</v>
      </c>
      <c r="S4411" t="s">
        <v>6099</v>
      </c>
      <c r="T4411">
        <v>1</v>
      </c>
      <c r="U4411" t="s">
        <v>6021</v>
      </c>
      <c r="V4411">
        <v>1</v>
      </c>
    </row>
    <row r="4412" spans="1:22" x14ac:dyDescent="0.3">
      <c r="A4412" t="s">
        <v>4427</v>
      </c>
      <c r="B4412" s="2">
        <v>46222.700694444444</v>
      </c>
      <c r="C4412" s="2">
        <v>46222.888194444444</v>
      </c>
      <c r="D4412" t="s">
        <v>6023</v>
      </c>
      <c r="E4412" t="s">
        <v>6030</v>
      </c>
      <c r="F4412" t="s">
        <v>6033</v>
      </c>
      <c r="G4412" t="s">
        <v>6056</v>
      </c>
      <c r="H4412" t="s">
        <v>6098</v>
      </c>
      <c r="I4412">
        <v>72</v>
      </c>
      <c r="J4412">
        <v>4.5</v>
      </c>
      <c r="K4412" t="s">
        <v>6100</v>
      </c>
      <c r="L4412" t="s">
        <v>6100</v>
      </c>
      <c r="M4412" t="s">
        <v>6100</v>
      </c>
      <c r="O4412" t="s">
        <v>6101</v>
      </c>
      <c r="P4412" t="s">
        <v>6113</v>
      </c>
      <c r="Q4412">
        <v>7</v>
      </c>
      <c r="R4412">
        <v>2026</v>
      </c>
      <c r="S4412" t="s">
        <v>6099</v>
      </c>
      <c r="T4412">
        <v>1</v>
      </c>
      <c r="U4412" t="s">
        <v>6018</v>
      </c>
      <c r="V4412">
        <v>0</v>
      </c>
    </row>
    <row r="4413" spans="1:22" x14ac:dyDescent="0.3">
      <c r="A4413" t="s">
        <v>4428</v>
      </c>
      <c r="B4413" s="2">
        <v>46222.738888888889</v>
      </c>
      <c r="C4413" s="2">
        <v>46223.884722222225</v>
      </c>
      <c r="D4413" t="s">
        <v>6025</v>
      </c>
      <c r="E4413" t="s">
        <v>6031</v>
      </c>
      <c r="F4413" t="s">
        <v>6034</v>
      </c>
      <c r="G4413" t="s">
        <v>6045</v>
      </c>
      <c r="H4413" t="s">
        <v>6096</v>
      </c>
      <c r="I4413">
        <v>24</v>
      </c>
      <c r="J4413">
        <v>27.5</v>
      </c>
      <c r="K4413" t="s">
        <v>6099</v>
      </c>
      <c r="L4413" t="s">
        <v>6100</v>
      </c>
      <c r="M4413" t="s">
        <v>6100</v>
      </c>
      <c r="O4413" t="s">
        <v>6101</v>
      </c>
      <c r="P4413" t="s">
        <v>6113</v>
      </c>
      <c r="Q4413">
        <v>7</v>
      </c>
      <c r="R4413">
        <v>2026</v>
      </c>
      <c r="S4413" t="s">
        <v>6100</v>
      </c>
      <c r="T4413">
        <v>0</v>
      </c>
      <c r="U4413" t="s">
        <v>6021</v>
      </c>
      <c r="V4413">
        <v>1</v>
      </c>
    </row>
    <row r="4414" spans="1:22" x14ac:dyDescent="0.3">
      <c r="A4414" t="s">
        <v>4429</v>
      </c>
      <c r="B4414" s="2">
        <v>46222.774305555555</v>
      </c>
      <c r="C4414" s="2">
        <v>46223.865972222222</v>
      </c>
      <c r="D4414" t="s">
        <v>6022</v>
      </c>
      <c r="E4414" t="s">
        <v>6030</v>
      </c>
      <c r="F4414" t="s">
        <v>6034</v>
      </c>
      <c r="G4414" t="s">
        <v>6069</v>
      </c>
      <c r="H4414" t="s">
        <v>6098</v>
      </c>
      <c r="I4414">
        <v>24</v>
      </c>
      <c r="J4414">
        <v>26.2</v>
      </c>
      <c r="K4414" t="s">
        <v>6099</v>
      </c>
      <c r="L4414" t="s">
        <v>6100</v>
      </c>
      <c r="M4414" t="s">
        <v>6100</v>
      </c>
      <c r="N4414">
        <v>5</v>
      </c>
      <c r="O4414" t="s">
        <v>6101</v>
      </c>
      <c r="P4414" t="s">
        <v>6113</v>
      </c>
      <c r="Q4414">
        <v>7</v>
      </c>
      <c r="R4414">
        <v>2026</v>
      </c>
      <c r="S4414" t="s">
        <v>6100</v>
      </c>
      <c r="T4414">
        <v>0</v>
      </c>
      <c r="U4414" t="s">
        <v>6019</v>
      </c>
      <c r="V4414">
        <v>1</v>
      </c>
    </row>
    <row r="4415" spans="1:22" x14ac:dyDescent="0.3">
      <c r="A4415" t="s">
        <v>4430</v>
      </c>
      <c r="B4415" s="2">
        <v>46222.851388888892</v>
      </c>
      <c r="C4415" s="2">
        <v>46223.080555555556</v>
      </c>
      <c r="D4415" t="s">
        <v>6023</v>
      </c>
      <c r="E4415" t="s">
        <v>6030</v>
      </c>
      <c r="F4415" t="s">
        <v>6034</v>
      </c>
      <c r="G4415" t="s">
        <v>6043</v>
      </c>
      <c r="H4415" t="s">
        <v>6097</v>
      </c>
      <c r="I4415">
        <v>24</v>
      </c>
      <c r="J4415">
        <v>5.5</v>
      </c>
      <c r="K4415" t="s">
        <v>6099</v>
      </c>
      <c r="L4415" t="s">
        <v>6100</v>
      </c>
      <c r="M4415" t="s">
        <v>6100</v>
      </c>
      <c r="N4415">
        <v>5</v>
      </c>
      <c r="O4415" t="s">
        <v>6101</v>
      </c>
      <c r="P4415" t="s">
        <v>6113</v>
      </c>
      <c r="Q4415">
        <v>7</v>
      </c>
      <c r="R4415">
        <v>2026</v>
      </c>
      <c r="S4415" t="s">
        <v>6099</v>
      </c>
      <c r="T4415">
        <v>1</v>
      </c>
      <c r="U4415" t="s">
        <v>6020</v>
      </c>
      <c r="V4415">
        <v>1</v>
      </c>
    </row>
    <row r="4416" spans="1:22" x14ac:dyDescent="0.3">
      <c r="A4416" t="s">
        <v>4431</v>
      </c>
      <c r="B4416" s="2">
        <v>46223.263888888891</v>
      </c>
      <c r="C4416" s="2">
        <v>46223.584722222222</v>
      </c>
      <c r="D4416" t="s">
        <v>6024</v>
      </c>
      <c r="E4416" t="s">
        <v>6032</v>
      </c>
      <c r="F4416" t="s">
        <v>6035</v>
      </c>
      <c r="G4416" t="s">
        <v>6089</v>
      </c>
      <c r="H4416" t="s">
        <v>6098</v>
      </c>
      <c r="I4416">
        <v>4</v>
      </c>
      <c r="J4416">
        <v>7.7</v>
      </c>
      <c r="K4416" t="s">
        <v>6099</v>
      </c>
      <c r="L4416" t="s">
        <v>6100</v>
      </c>
      <c r="M4416" t="s">
        <v>6099</v>
      </c>
      <c r="N4416">
        <v>3</v>
      </c>
      <c r="O4416" t="s">
        <v>6101</v>
      </c>
      <c r="P4416" t="s">
        <v>6113</v>
      </c>
      <c r="Q4416">
        <v>7</v>
      </c>
      <c r="R4416">
        <v>2026</v>
      </c>
      <c r="S4416" t="s">
        <v>6100</v>
      </c>
      <c r="T4416">
        <v>0</v>
      </c>
      <c r="U4416" t="s">
        <v>6020</v>
      </c>
      <c r="V4416">
        <v>1</v>
      </c>
    </row>
    <row r="4417" spans="1:22" x14ac:dyDescent="0.3">
      <c r="A4417" t="s">
        <v>4432</v>
      </c>
      <c r="B4417" s="2">
        <v>46223.275000000001</v>
      </c>
      <c r="C4417" s="2">
        <v>46223.5625</v>
      </c>
      <c r="D4417" t="s">
        <v>6023</v>
      </c>
      <c r="E4417" t="s">
        <v>6032</v>
      </c>
      <c r="F4417" t="s">
        <v>6034</v>
      </c>
      <c r="G4417" t="s">
        <v>6060</v>
      </c>
      <c r="H4417" t="s">
        <v>6097</v>
      </c>
      <c r="I4417">
        <v>24</v>
      </c>
      <c r="J4417">
        <v>6.9</v>
      </c>
      <c r="K4417" t="s">
        <v>6099</v>
      </c>
      <c r="L4417" t="s">
        <v>6100</v>
      </c>
      <c r="M4417" t="s">
        <v>6100</v>
      </c>
      <c r="O4417" t="s">
        <v>6101</v>
      </c>
      <c r="P4417" t="s">
        <v>6113</v>
      </c>
      <c r="Q4417">
        <v>7</v>
      </c>
      <c r="R4417">
        <v>2026</v>
      </c>
      <c r="S4417" t="s">
        <v>6099</v>
      </c>
      <c r="T4417">
        <v>1</v>
      </c>
      <c r="U4417" t="s">
        <v>6018</v>
      </c>
      <c r="V4417">
        <v>1</v>
      </c>
    </row>
    <row r="4418" spans="1:22" x14ac:dyDescent="0.3">
      <c r="A4418" t="s">
        <v>4433</v>
      </c>
      <c r="B4418" s="2">
        <v>46223.302083333336</v>
      </c>
      <c r="C4418" s="2">
        <v>46223.568749999999</v>
      </c>
      <c r="D4418" t="s">
        <v>6023</v>
      </c>
      <c r="E4418" t="s">
        <v>6032</v>
      </c>
      <c r="F4418" t="s">
        <v>6033</v>
      </c>
      <c r="G4418" t="s">
        <v>6078</v>
      </c>
      <c r="H4418" t="s">
        <v>6097</v>
      </c>
      <c r="I4418">
        <v>72</v>
      </c>
      <c r="J4418">
        <v>6.4</v>
      </c>
      <c r="K4418" t="s">
        <v>6099</v>
      </c>
      <c r="L4418" t="s">
        <v>6100</v>
      </c>
      <c r="M4418" t="s">
        <v>6100</v>
      </c>
      <c r="O4418" t="s">
        <v>6101</v>
      </c>
      <c r="P4418" t="s">
        <v>6113</v>
      </c>
      <c r="Q4418">
        <v>7</v>
      </c>
      <c r="R4418">
        <v>2026</v>
      </c>
      <c r="S4418" t="s">
        <v>6099</v>
      </c>
      <c r="T4418">
        <v>1</v>
      </c>
      <c r="U4418" t="s">
        <v>6018</v>
      </c>
      <c r="V4418">
        <v>1</v>
      </c>
    </row>
    <row r="4419" spans="1:22" x14ac:dyDescent="0.3">
      <c r="A4419" t="s">
        <v>4434</v>
      </c>
      <c r="B4419" s="2">
        <v>46223.305555555555</v>
      </c>
      <c r="C4419" s="2">
        <v>46223.630555555559</v>
      </c>
      <c r="D4419" t="s">
        <v>6022</v>
      </c>
      <c r="E4419" t="s">
        <v>6029</v>
      </c>
      <c r="F4419" t="s">
        <v>6034</v>
      </c>
      <c r="G4419" t="s">
        <v>6090</v>
      </c>
      <c r="H4419" t="s">
        <v>6097</v>
      </c>
      <c r="I4419">
        <v>24</v>
      </c>
      <c r="J4419">
        <v>7.8</v>
      </c>
      <c r="K4419" t="s">
        <v>6100</v>
      </c>
      <c r="L4419" t="s">
        <v>6099</v>
      </c>
      <c r="M4419" t="s">
        <v>6100</v>
      </c>
      <c r="N4419">
        <v>3</v>
      </c>
      <c r="O4419" t="s">
        <v>6101</v>
      </c>
      <c r="P4419" t="s">
        <v>6113</v>
      </c>
      <c r="Q4419">
        <v>7</v>
      </c>
      <c r="R4419">
        <v>2026</v>
      </c>
      <c r="S4419" t="s">
        <v>6099</v>
      </c>
      <c r="T4419">
        <v>1</v>
      </c>
      <c r="U4419" t="s">
        <v>6021</v>
      </c>
      <c r="V4419">
        <v>0</v>
      </c>
    </row>
    <row r="4420" spans="1:22" x14ac:dyDescent="0.3">
      <c r="A4420" t="s">
        <v>4435</v>
      </c>
      <c r="B4420" s="2">
        <v>46223.35833333333</v>
      </c>
      <c r="C4420" s="2">
        <v>46224.04583333333</v>
      </c>
      <c r="D4420" t="s">
        <v>6025</v>
      </c>
      <c r="E4420" t="s">
        <v>6029</v>
      </c>
      <c r="F4420" t="s">
        <v>6033</v>
      </c>
      <c r="G4420" t="s">
        <v>6048</v>
      </c>
      <c r="H4420" t="s">
        <v>6096</v>
      </c>
      <c r="I4420">
        <v>72</v>
      </c>
      <c r="J4420">
        <v>16.5</v>
      </c>
      <c r="K4420" t="s">
        <v>6099</v>
      </c>
      <c r="L4420" t="s">
        <v>6100</v>
      </c>
      <c r="M4420" t="s">
        <v>6100</v>
      </c>
      <c r="O4420" t="s">
        <v>6101</v>
      </c>
      <c r="P4420" t="s">
        <v>6113</v>
      </c>
      <c r="Q4420">
        <v>7</v>
      </c>
      <c r="R4420">
        <v>2026</v>
      </c>
      <c r="S4420" t="s">
        <v>6099</v>
      </c>
      <c r="T4420">
        <v>1</v>
      </c>
      <c r="U4420" t="s">
        <v>6017</v>
      </c>
      <c r="V4420">
        <v>1</v>
      </c>
    </row>
    <row r="4421" spans="1:22" x14ac:dyDescent="0.3">
      <c r="A4421" t="s">
        <v>4436</v>
      </c>
      <c r="B4421" s="2">
        <v>46223.376388888886</v>
      </c>
      <c r="C4421" s="2">
        <v>46224.118055555555</v>
      </c>
      <c r="D4421" t="s">
        <v>6025</v>
      </c>
      <c r="E4421" t="s">
        <v>6031</v>
      </c>
      <c r="F4421" t="s">
        <v>6034</v>
      </c>
      <c r="G4421" t="s">
        <v>6042</v>
      </c>
      <c r="H4421" t="s">
        <v>6098</v>
      </c>
      <c r="I4421">
        <v>24</v>
      </c>
      <c r="J4421">
        <v>17.8</v>
      </c>
      <c r="K4421" t="s">
        <v>6100</v>
      </c>
      <c r="L4421" t="s">
        <v>6099</v>
      </c>
      <c r="M4421" t="s">
        <v>6100</v>
      </c>
      <c r="N4421">
        <v>4</v>
      </c>
      <c r="O4421" t="s">
        <v>6101</v>
      </c>
      <c r="P4421" t="s">
        <v>6113</v>
      </c>
      <c r="Q4421">
        <v>7</v>
      </c>
      <c r="R4421">
        <v>2026</v>
      </c>
      <c r="S4421" t="s">
        <v>6099</v>
      </c>
      <c r="T4421">
        <v>1</v>
      </c>
      <c r="U4421" t="s">
        <v>6017</v>
      </c>
      <c r="V4421">
        <v>0</v>
      </c>
    </row>
    <row r="4422" spans="1:22" x14ac:dyDescent="0.3">
      <c r="A4422" t="s">
        <v>4437</v>
      </c>
      <c r="B4422" s="2">
        <v>46223.37777777778</v>
      </c>
      <c r="C4422" s="2">
        <v>46223.498611111114</v>
      </c>
      <c r="D4422" t="s">
        <v>6023</v>
      </c>
      <c r="E4422" t="s">
        <v>6029</v>
      </c>
      <c r="F4422" t="s">
        <v>6033</v>
      </c>
      <c r="G4422" t="s">
        <v>6053</v>
      </c>
      <c r="H4422" t="s">
        <v>6097</v>
      </c>
      <c r="I4422">
        <v>72</v>
      </c>
      <c r="J4422">
        <v>2.9</v>
      </c>
      <c r="K4422" t="s">
        <v>6099</v>
      </c>
      <c r="L4422" t="s">
        <v>6100</v>
      </c>
      <c r="M4422" t="s">
        <v>6100</v>
      </c>
      <c r="N4422">
        <v>4</v>
      </c>
      <c r="O4422" t="s">
        <v>6101</v>
      </c>
      <c r="P4422" t="s">
        <v>6113</v>
      </c>
      <c r="Q4422">
        <v>7</v>
      </c>
      <c r="R4422">
        <v>2026</v>
      </c>
      <c r="S4422" t="s">
        <v>6099</v>
      </c>
      <c r="T4422">
        <v>1</v>
      </c>
      <c r="U4422" t="s">
        <v>6020</v>
      </c>
      <c r="V4422">
        <v>1</v>
      </c>
    </row>
    <row r="4423" spans="1:22" x14ac:dyDescent="0.3">
      <c r="A4423" t="s">
        <v>4438</v>
      </c>
      <c r="B4423" s="2">
        <v>46223.420138888891</v>
      </c>
      <c r="C4423" s="2">
        <v>46224.011805555558</v>
      </c>
      <c r="D4423" t="s">
        <v>6028</v>
      </c>
      <c r="E4423" t="s">
        <v>6029</v>
      </c>
      <c r="F4423" t="s">
        <v>6033</v>
      </c>
      <c r="G4423" t="s">
        <v>6073</v>
      </c>
      <c r="H4423" t="s">
        <v>6096</v>
      </c>
      <c r="I4423">
        <v>72</v>
      </c>
      <c r="J4423">
        <v>14.2</v>
      </c>
      <c r="K4423" t="s">
        <v>6099</v>
      </c>
      <c r="L4423" t="s">
        <v>6100</v>
      </c>
      <c r="M4423" t="s">
        <v>6100</v>
      </c>
      <c r="O4423" t="s">
        <v>6101</v>
      </c>
      <c r="P4423" t="s">
        <v>6113</v>
      </c>
      <c r="Q4423">
        <v>7</v>
      </c>
      <c r="R4423">
        <v>2026</v>
      </c>
      <c r="S4423" t="s">
        <v>6099</v>
      </c>
      <c r="T4423">
        <v>1</v>
      </c>
      <c r="U4423" t="s">
        <v>6021</v>
      </c>
      <c r="V4423">
        <v>1</v>
      </c>
    </row>
    <row r="4424" spans="1:22" x14ac:dyDescent="0.3">
      <c r="A4424" t="s">
        <v>4439</v>
      </c>
      <c r="B4424" s="2">
        <v>46223.428472222222</v>
      </c>
      <c r="C4424" s="2">
        <v>46224.328472222223</v>
      </c>
      <c r="D4424" t="s">
        <v>6023</v>
      </c>
      <c r="E4424" t="s">
        <v>6032</v>
      </c>
      <c r="F4424" t="s">
        <v>6034</v>
      </c>
      <c r="G4424" t="s">
        <v>6066</v>
      </c>
      <c r="H4424" t="s">
        <v>6096</v>
      </c>
      <c r="I4424">
        <v>24</v>
      </c>
      <c r="J4424">
        <v>21.6</v>
      </c>
      <c r="K4424" t="s">
        <v>6100</v>
      </c>
      <c r="L4424" t="s">
        <v>6100</v>
      </c>
      <c r="M4424" t="s">
        <v>6100</v>
      </c>
      <c r="N4424">
        <v>5</v>
      </c>
      <c r="O4424" t="s">
        <v>6101</v>
      </c>
      <c r="P4424" t="s">
        <v>6113</v>
      </c>
      <c r="Q4424">
        <v>7</v>
      </c>
      <c r="R4424">
        <v>2026</v>
      </c>
      <c r="S4424" t="s">
        <v>6099</v>
      </c>
      <c r="T4424">
        <v>1</v>
      </c>
      <c r="U4424" t="s">
        <v>6019</v>
      </c>
      <c r="V4424">
        <v>0</v>
      </c>
    </row>
    <row r="4425" spans="1:22" x14ac:dyDescent="0.3">
      <c r="A4425" t="s">
        <v>4440</v>
      </c>
      <c r="B4425" s="2">
        <v>46223.477083333331</v>
      </c>
      <c r="C4425" s="2">
        <v>46223.722916666666</v>
      </c>
      <c r="D4425" t="s">
        <v>6025</v>
      </c>
      <c r="E4425" t="s">
        <v>6032</v>
      </c>
      <c r="F4425" t="s">
        <v>6035</v>
      </c>
      <c r="G4425" t="s">
        <v>6058</v>
      </c>
      <c r="H4425" t="s">
        <v>6098</v>
      </c>
      <c r="I4425">
        <v>4</v>
      </c>
      <c r="J4425">
        <v>5.9</v>
      </c>
      <c r="K4425" t="s">
        <v>6100</v>
      </c>
      <c r="L4425" t="s">
        <v>6099</v>
      </c>
      <c r="M4425" t="s">
        <v>6100</v>
      </c>
      <c r="N4425">
        <v>3</v>
      </c>
      <c r="O4425" t="s">
        <v>6101</v>
      </c>
      <c r="P4425" t="s">
        <v>6113</v>
      </c>
      <c r="Q4425">
        <v>7</v>
      </c>
      <c r="R4425">
        <v>2026</v>
      </c>
      <c r="S4425" t="s">
        <v>6100</v>
      </c>
      <c r="T4425">
        <v>0</v>
      </c>
      <c r="U4425" t="s">
        <v>6020</v>
      </c>
      <c r="V4425">
        <v>0</v>
      </c>
    </row>
    <row r="4426" spans="1:22" x14ac:dyDescent="0.3">
      <c r="A4426" t="s">
        <v>4441</v>
      </c>
      <c r="B4426" s="2">
        <v>46223.490972222222</v>
      </c>
      <c r="C4426" s="2">
        <v>46233.661805555559</v>
      </c>
      <c r="D4426" t="s">
        <v>6026</v>
      </c>
      <c r="E4426" t="s">
        <v>6031</v>
      </c>
      <c r="F4426" t="s">
        <v>6034</v>
      </c>
      <c r="G4426" t="s">
        <v>6056</v>
      </c>
      <c r="H4426" t="s">
        <v>6098</v>
      </c>
      <c r="I4426">
        <v>24</v>
      </c>
      <c r="J4426">
        <v>244.1</v>
      </c>
      <c r="K4426" t="s">
        <v>6099</v>
      </c>
      <c r="L4426" t="s">
        <v>6100</v>
      </c>
      <c r="M4426" t="s">
        <v>6100</v>
      </c>
      <c r="O4426" t="s">
        <v>6101</v>
      </c>
      <c r="P4426" t="s">
        <v>6113</v>
      </c>
      <c r="Q4426">
        <v>7</v>
      </c>
      <c r="R4426">
        <v>2026</v>
      </c>
      <c r="S4426" t="s">
        <v>6100</v>
      </c>
      <c r="T4426">
        <v>0</v>
      </c>
      <c r="U4426" t="s">
        <v>6019</v>
      </c>
      <c r="V4426">
        <v>1</v>
      </c>
    </row>
    <row r="4427" spans="1:22" x14ac:dyDescent="0.3">
      <c r="A4427" t="s">
        <v>4442</v>
      </c>
      <c r="B4427" s="2">
        <v>46223.503472222219</v>
      </c>
      <c r="C4427" s="2">
        <v>46223.886805555558</v>
      </c>
      <c r="D4427" t="s">
        <v>6024</v>
      </c>
      <c r="E4427" t="s">
        <v>6030</v>
      </c>
      <c r="F4427" t="s">
        <v>6035</v>
      </c>
      <c r="G4427" t="s">
        <v>6039</v>
      </c>
      <c r="H4427" t="s">
        <v>6097</v>
      </c>
      <c r="I4427">
        <v>4</v>
      </c>
      <c r="J4427">
        <v>9.1999999999999993</v>
      </c>
      <c r="K4427" t="s">
        <v>6099</v>
      </c>
      <c r="L4427" t="s">
        <v>6100</v>
      </c>
      <c r="M4427" t="s">
        <v>6099</v>
      </c>
      <c r="O4427" t="s">
        <v>6101</v>
      </c>
      <c r="P4427" t="s">
        <v>6113</v>
      </c>
      <c r="Q4427">
        <v>7</v>
      </c>
      <c r="R4427">
        <v>2026</v>
      </c>
      <c r="S4427" t="s">
        <v>6100</v>
      </c>
      <c r="T4427">
        <v>0</v>
      </c>
      <c r="U4427" t="s">
        <v>6021</v>
      </c>
      <c r="V4427">
        <v>1</v>
      </c>
    </row>
    <row r="4428" spans="1:22" x14ac:dyDescent="0.3">
      <c r="A4428" t="s">
        <v>4443</v>
      </c>
      <c r="B4428" s="2">
        <v>46223.522916666669</v>
      </c>
      <c r="C4428" s="2">
        <v>46223.606249999997</v>
      </c>
      <c r="D4428" t="s">
        <v>6027</v>
      </c>
      <c r="E4428" t="s">
        <v>6030</v>
      </c>
      <c r="F4428" t="s">
        <v>6034</v>
      </c>
      <c r="G4428" t="s">
        <v>6084</v>
      </c>
      <c r="H4428" t="s">
        <v>6098</v>
      </c>
      <c r="I4428">
        <v>24</v>
      </c>
      <c r="J4428">
        <v>2</v>
      </c>
      <c r="K4428" t="s">
        <v>6099</v>
      </c>
      <c r="L4428" t="s">
        <v>6100</v>
      </c>
      <c r="M4428" t="s">
        <v>6100</v>
      </c>
      <c r="N4428">
        <v>4</v>
      </c>
      <c r="O4428" t="s">
        <v>6101</v>
      </c>
      <c r="P4428" t="s">
        <v>6113</v>
      </c>
      <c r="Q4428">
        <v>7</v>
      </c>
      <c r="R4428">
        <v>2026</v>
      </c>
      <c r="S4428" t="s">
        <v>6099</v>
      </c>
      <c r="T4428">
        <v>1</v>
      </c>
      <c r="U4428" t="s">
        <v>6021</v>
      </c>
      <c r="V4428">
        <v>1</v>
      </c>
    </row>
    <row r="4429" spans="1:22" x14ac:dyDescent="0.3">
      <c r="A4429" t="s">
        <v>4444</v>
      </c>
      <c r="B4429" s="2">
        <v>46223.523611111108</v>
      </c>
      <c r="C4429" s="2">
        <v>46224.898611111108</v>
      </c>
      <c r="D4429" t="s">
        <v>6027</v>
      </c>
      <c r="E4429" t="s">
        <v>6031</v>
      </c>
      <c r="F4429" t="s">
        <v>6033</v>
      </c>
      <c r="G4429" t="s">
        <v>6069</v>
      </c>
      <c r="H4429" t="s">
        <v>6098</v>
      </c>
      <c r="I4429">
        <v>72</v>
      </c>
      <c r="J4429">
        <v>33</v>
      </c>
      <c r="K4429" t="s">
        <v>6100</v>
      </c>
      <c r="L4429" t="s">
        <v>6099</v>
      </c>
      <c r="M4429" t="s">
        <v>6100</v>
      </c>
      <c r="N4429">
        <v>4</v>
      </c>
      <c r="O4429" t="s">
        <v>6101</v>
      </c>
      <c r="P4429" t="s">
        <v>6113</v>
      </c>
      <c r="Q4429">
        <v>7</v>
      </c>
      <c r="R4429">
        <v>2026</v>
      </c>
      <c r="S4429" t="s">
        <v>6099</v>
      </c>
      <c r="T4429">
        <v>1</v>
      </c>
      <c r="U4429" t="s">
        <v>6018</v>
      </c>
      <c r="V4429">
        <v>0</v>
      </c>
    </row>
    <row r="4430" spans="1:22" x14ac:dyDescent="0.3">
      <c r="A4430" t="s">
        <v>4445</v>
      </c>
      <c r="B4430" s="2">
        <v>46223.534722222219</v>
      </c>
      <c r="C4430" s="2">
        <v>46224.272222222222</v>
      </c>
      <c r="D4430" t="s">
        <v>6028</v>
      </c>
      <c r="E4430" t="s">
        <v>6032</v>
      </c>
      <c r="F4430" t="s">
        <v>6035</v>
      </c>
      <c r="G4430" t="s">
        <v>6090</v>
      </c>
      <c r="H4430" t="s">
        <v>6097</v>
      </c>
      <c r="I4430">
        <v>4</v>
      </c>
      <c r="J4430">
        <v>17.7</v>
      </c>
      <c r="K4430" t="s">
        <v>6099</v>
      </c>
      <c r="L4430" t="s">
        <v>6100</v>
      </c>
      <c r="M4430" t="s">
        <v>6099</v>
      </c>
      <c r="N4430">
        <v>3</v>
      </c>
      <c r="O4430" t="s">
        <v>6101</v>
      </c>
      <c r="P4430" t="s">
        <v>6113</v>
      </c>
      <c r="Q4430">
        <v>7</v>
      </c>
      <c r="R4430">
        <v>2026</v>
      </c>
      <c r="S4430" t="s">
        <v>6100</v>
      </c>
      <c r="T4430">
        <v>0</v>
      </c>
      <c r="U4430" t="s">
        <v>6017</v>
      </c>
      <c r="V4430">
        <v>1</v>
      </c>
    </row>
    <row r="4431" spans="1:22" x14ac:dyDescent="0.3">
      <c r="A4431" t="s">
        <v>4446</v>
      </c>
      <c r="B4431" s="2">
        <v>46223.546527777777</v>
      </c>
      <c r="C4431" s="2">
        <v>46224.209027777775</v>
      </c>
      <c r="D4431" t="s">
        <v>6024</v>
      </c>
      <c r="E4431" t="s">
        <v>6030</v>
      </c>
      <c r="F4431" t="s">
        <v>6034</v>
      </c>
      <c r="G4431" t="s">
        <v>6054</v>
      </c>
      <c r="H4431" t="s">
        <v>6096</v>
      </c>
      <c r="I4431">
        <v>24</v>
      </c>
      <c r="J4431">
        <v>15.9</v>
      </c>
      <c r="K4431" t="s">
        <v>6099</v>
      </c>
      <c r="L4431" t="s">
        <v>6100</v>
      </c>
      <c r="M4431" t="s">
        <v>6100</v>
      </c>
      <c r="O4431" t="s">
        <v>6101</v>
      </c>
      <c r="P4431" t="s">
        <v>6113</v>
      </c>
      <c r="Q4431">
        <v>7</v>
      </c>
      <c r="R4431">
        <v>2026</v>
      </c>
      <c r="S4431" t="s">
        <v>6099</v>
      </c>
      <c r="T4431">
        <v>1</v>
      </c>
      <c r="U4431" t="s">
        <v>6018</v>
      </c>
      <c r="V4431">
        <v>1</v>
      </c>
    </row>
    <row r="4432" spans="1:22" x14ac:dyDescent="0.3">
      <c r="A4432" t="s">
        <v>4447</v>
      </c>
      <c r="B4432" s="2">
        <v>46223.548611111109</v>
      </c>
      <c r="C4432" s="2">
        <v>46224.373611111114</v>
      </c>
      <c r="D4432" t="s">
        <v>6027</v>
      </c>
      <c r="E4432" t="s">
        <v>6032</v>
      </c>
      <c r="F4432" t="s">
        <v>6034</v>
      </c>
      <c r="G4432" t="s">
        <v>6048</v>
      </c>
      <c r="H4432" t="s">
        <v>6096</v>
      </c>
      <c r="I4432">
        <v>24</v>
      </c>
      <c r="J4432">
        <v>19.8</v>
      </c>
      <c r="K4432" t="s">
        <v>6099</v>
      </c>
      <c r="L4432" t="s">
        <v>6100</v>
      </c>
      <c r="M4432" t="s">
        <v>6100</v>
      </c>
      <c r="N4432">
        <v>3</v>
      </c>
      <c r="O4432" t="s">
        <v>6101</v>
      </c>
      <c r="P4432" t="s">
        <v>6113</v>
      </c>
      <c r="Q4432">
        <v>7</v>
      </c>
      <c r="R4432">
        <v>2026</v>
      </c>
      <c r="S4432" t="s">
        <v>6099</v>
      </c>
      <c r="T4432">
        <v>1</v>
      </c>
      <c r="U4432" t="s">
        <v>6021</v>
      </c>
      <c r="V4432">
        <v>1</v>
      </c>
    </row>
    <row r="4433" spans="1:22" x14ac:dyDescent="0.3">
      <c r="A4433" t="s">
        <v>4448</v>
      </c>
      <c r="B4433" s="2">
        <v>46223.552083333336</v>
      </c>
      <c r="C4433" s="2">
        <v>46224.043749999997</v>
      </c>
      <c r="D4433" t="s">
        <v>6022</v>
      </c>
      <c r="E4433" t="s">
        <v>6029</v>
      </c>
      <c r="F4433" t="s">
        <v>6034</v>
      </c>
      <c r="G4433" t="s">
        <v>6080</v>
      </c>
      <c r="H4433" t="s">
        <v>6096</v>
      </c>
      <c r="I4433">
        <v>24</v>
      </c>
      <c r="J4433">
        <v>11.8</v>
      </c>
      <c r="K4433" t="s">
        <v>6100</v>
      </c>
      <c r="L4433" t="s">
        <v>6100</v>
      </c>
      <c r="M4433" t="s">
        <v>6100</v>
      </c>
      <c r="N4433">
        <v>5</v>
      </c>
      <c r="O4433" t="s">
        <v>6101</v>
      </c>
      <c r="P4433" t="s">
        <v>6113</v>
      </c>
      <c r="Q4433">
        <v>7</v>
      </c>
      <c r="R4433">
        <v>2026</v>
      </c>
      <c r="S4433" t="s">
        <v>6099</v>
      </c>
      <c r="T4433">
        <v>1</v>
      </c>
      <c r="U4433" t="s">
        <v>6017</v>
      </c>
      <c r="V4433">
        <v>0</v>
      </c>
    </row>
    <row r="4434" spans="1:22" x14ac:dyDescent="0.3">
      <c r="A4434" t="s">
        <v>4449</v>
      </c>
      <c r="B4434" s="2">
        <v>46223.559027777781</v>
      </c>
      <c r="C4434" s="2">
        <v>46223.78402777778</v>
      </c>
      <c r="D4434" t="s">
        <v>6023</v>
      </c>
      <c r="E4434" t="s">
        <v>6029</v>
      </c>
      <c r="F4434" t="s">
        <v>6034</v>
      </c>
      <c r="G4434" t="s">
        <v>6058</v>
      </c>
      <c r="H4434" t="s">
        <v>6098</v>
      </c>
      <c r="I4434">
        <v>24</v>
      </c>
      <c r="J4434">
        <v>5.4</v>
      </c>
      <c r="K4434" t="s">
        <v>6099</v>
      </c>
      <c r="L4434" t="s">
        <v>6100</v>
      </c>
      <c r="M4434" t="s">
        <v>6100</v>
      </c>
      <c r="N4434">
        <v>5</v>
      </c>
      <c r="O4434" t="s">
        <v>6101</v>
      </c>
      <c r="P4434" t="s">
        <v>6113</v>
      </c>
      <c r="Q4434">
        <v>7</v>
      </c>
      <c r="R4434">
        <v>2026</v>
      </c>
      <c r="S4434" t="s">
        <v>6099</v>
      </c>
      <c r="T4434">
        <v>1</v>
      </c>
      <c r="U4434" t="s">
        <v>6020</v>
      </c>
      <c r="V4434">
        <v>1</v>
      </c>
    </row>
    <row r="4435" spans="1:22" x14ac:dyDescent="0.3">
      <c r="A4435" t="s">
        <v>4450</v>
      </c>
      <c r="B4435" s="2">
        <v>46223.564583333333</v>
      </c>
      <c r="C4435" s="2">
        <v>46223.697916666664</v>
      </c>
      <c r="D4435" t="s">
        <v>6022</v>
      </c>
      <c r="E4435" t="s">
        <v>6030</v>
      </c>
      <c r="F4435" t="s">
        <v>6035</v>
      </c>
      <c r="G4435" t="s">
        <v>6083</v>
      </c>
      <c r="H4435" t="s">
        <v>6096</v>
      </c>
      <c r="I4435">
        <v>4</v>
      </c>
      <c r="J4435">
        <v>3.2</v>
      </c>
      <c r="K4435" t="s">
        <v>6100</v>
      </c>
      <c r="L4435" t="s">
        <v>6099</v>
      </c>
      <c r="M4435" t="s">
        <v>6100</v>
      </c>
      <c r="N4435">
        <v>3</v>
      </c>
      <c r="O4435" t="s">
        <v>6101</v>
      </c>
      <c r="P4435" t="s">
        <v>6113</v>
      </c>
      <c r="Q4435">
        <v>7</v>
      </c>
      <c r="R4435">
        <v>2026</v>
      </c>
      <c r="S4435" t="s">
        <v>6099</v>
      </c>
      <c r="T4435">
        <v>1</v>
      </c>
      <c r="U4435" t="s">
        <v>6019</v>
      </c>
      <c r="V4435">
        <v>0</v>
      </c>
    </row>
    <row r="4436" spans="1:22" x14ac:dyDescent="0.3">
      <c r="A4436" t="s">
        <v>4451</v>
      </c>
      <c r="B4436" s="2">
        <v>46223.586805555555</v>
      </c>
      <c r="C4436" s="2">
        <v>46224.003472222219</v>
      </c>
      <c r="D4436" t="s">
        <v>6028</v>
      </c>
      <c r="E4436" t="s">
        <v>6031</v>
      </c>
      <c r="F4436" t="s">
        <v>6035</v>
      </c>
      <c r="G4436" t="s">
        <v>6076</v>
      </c>
      <c r="H4436" t="s">
        <v>6097</v>
      </c>
      <c r="I4436">
        <v>4</v>
      </c>
      <c r="J4436">
        <v>10</v>
      </c>
      <c r="K4436" t="s">
        <v>6099</v>
      </c>
      <c r="L4436" t="s">
        <v>6100</v>
      </c>
      <c r="M4436" t="s">
        <v>6100</v>
      </c>
      <c r="N4436">
        <v>5</v>
      </c>
      <c r="O4436" t="s">
        <v>6101</v>
      </c>
      <c r="P4436" t="s">
        <v>6113</v>
      </c>
      <c r="Q4436">
        <v>7</v>
      </c>
      <c r="R4436">
        <v>2026</v>
      </c>
      <c r="S4436" t="s">
        <v>6100</v>
      </c>
      <c r="T4436">
        <v>0</v>
      </c>
      <c r="U4436" t="s">
        <v>6018</v>
      </c>
      <c r="V4436">
        <v>1</v>
      </c>
    </row>
    <row r="4437" spans="1:22" x14ac:dyDescent="0.3">
      <c r="A4437" t="s">
        <v>4452</v>
      </c>
      <c r="B4437" s="2">
        <v>46223.604166666664</v>
      </c>
      <c r="C4437" s="2">
        <v>46223.9375</v>
      </c>
      <c r="D4437" t="s">
        <v>6022</v>
      </c>
      <c r="E4437" t="s">
        <v>6030</v>
      </c>
      <c r="F4437" t="s">
        <v>6034</v>
      </c>
      <c r="G4437" t="s">
        <v>6055</v>
      </c>
      <c r="H4437" t="s">
        <v>6096</v>
      </c>
      <c r="I4437">
        <v>24</v>
      </c>
      <c r="J4437">
        <v>8</v>
      </c>
      <c r="K4437" t="s">
        <v>6099</v>
      </c>
      <c r="L4437" t="s">
        <v>6100</v>
      </c>
      <c r="M4437" t="s">
        <v>6100</v>
      </c>
      <c r="N4437">
        <v>5</v>
      </c>
      <c r="O4437" t="s">
        <v>6101</v>
      </c>
      <c r="P4437" t="s">
        <v>6113</v>
      </c>
      <c r="Q4437">
        <v>7</v>
      </c>
      <c r="R4437">
        <v>2026</v>
      </c>
      <c r="S4437" t="s">
        <v>6099</v>
      </c>
      <c r="T4437">
        <v>1</v>
      </c>
      <c r="U4437" t="s">
        <v>6018</v>
      </c>
      <c r="V4437">
        <v>1</v>
      </c>
    </row>
    <row r="4438" spans="1:22" x14ac:dyDescent="0.3">
      <c r="A4438" t="s">
        <v>4453</v>
      </c>
      <c r="B4438" s="2">
        <v>46223.615277777775</v>
      </c>
      <c r="C4438" s="2">
        <v>46225.427777777775</v>
      </c>
      <c r="D4438" t="s">
        <v>6028</v>
      </c>
      <c r="E4438" t="s">
        <v>6031</v>
      </c>
      <c r="F4438" t="s">
        <v>6034</v>
      </c>
      <c r="G4438" t="s">
        <v>6046</v>
      </c>
      <c r="H4438" t="s">
        <v>6098</v>
      </c>
      <c r="I4438">
        <v>24</v>
      </c>
      <c r="J4438">
        <v>43.5</v>
      </c>
      <c r="K4438" t="s">
        <v>6099</v>
      </c>
      <c r="L4438" t="s">
        <v>6100</v>
      </c>
      <c r="M4438" t="s">
        <v>6100</v>
      </c>
      <c r="N4438">
        <v>4</v>
      </c>
      <c r="O4438" t="s">
        <v>6101</v>
      </c>
      <c r="P4438" t="s">
        <v>6113</v>
      </c>
      <c r="Q4438">
        <v>7</v>
      </c>
      <c r="R4438">
        <v>2026</v>
      </c>
      <c r="S4438" t="s">
        <v>6100</v>
      </c>
      <c r="T4438">
        <v>0</v>
      </c>
      <c r="U4438" t="s">
        <v>6019</v>
      </c>
      <c r="V4438">
        <v>1</v>
      </c>
    </row>
    <row r="4439" spans="1:22" x14ac:dyDescent="0.3">
      <c r="A4439" t="s">
        <v>4454</v>
      </c>
      <c r="B4439" s="2">
        <v>46223.62222222222</v>
      </c>
      <c r="C4439" s="2">
        <v>46223.834722222222</v>
      </c>
      <c r="D4439" t="s">
        <v>6023</v>
      </c>
      <c r="E4439" t="s">
        <v>6029</v>
      </c>
      <c r="F4439" t="s">
        <v>6033</v>
      </c>
      <c r="G4439" t="s">
        <v>6068</v>
      </c>
      <c r="H4439" t="s">
        <v>6098</v>
      </c>
      <c r="I4439">
        <v>72</v>
      </c>
      <c r="J4439">
        <v>5.0999999999999996</v>
      </c>
      <c r="K4439" t="s">
        <v>6100</v>
      </c>
      <c r="L4439" t="s">
        <v>6099</v>
      </c>
      <c r="M4439" t="s">
        <v>6100</v>
      </c>
      <c r="N4439">
        <v>4</v>
      </c>
      <c r="O4439" t="s">
        <v>6101</v>
      </c>
      <c r="P4439" t="s">
        <v>6113</v>
      </c>
      <c r="Q4439">
        <v>7</v>
      </c>
      <c r="R4439">
        <v>2026</v>
      </c>
      <c r="S4439" t="s">
        <v>6099</v>
      </c>
      <c r="T4439">
        <v>1</v>
      </c>
      <c r="U4439" t="s">
        <v>6020</v>
      </c>
      <c r="V4439">
        <v>0</v>
      </c>
    </row>
    <row r="4440" spans="1:22" x14ac:dyDescent="0.3">
      <c r="A4440" t="s">
        <v>4455</v>
      </c>
      <c r="B4440" s="2">
        <v>46223.637499999997</v>
      </c>
      <c r="C4440" s="2">
        <v>46223.712500000001</v>
      </c>
      <c r="D4440" t="s">
        <v>6023</v>
      </c>
      <c r="E4440" t="s">
        <v>6030</v>
      </c>
      <c r="F4440" t="s">
        <v>6034</v>
      </c>
      <c r="G4440" t="s">
        <v>6089</v>
      </c>
      <c r="H4440" t="s">
        <v>6098</v>
      </c>
      <c r="I4440">
        <v>24</v>
      </c>
      <c r="J4440">
        <v>1.8</v>
      </c>
      <c r="K4440" t="s">
        <v>6100</v>
      </c>
      <c r="L4440" t="s">
        <v>6100</v>
      </c>
      <c r="M4440" t="s">
        <v>6100</v>
      </c>
      <c r="O4440" t="s">
        <v>6101</v>
      </c>
      <c r="P4440" t="s">
        <v>6113</v>
      </c>
      <c r="Q4440">
        <v>7</v>
      </c>
      <c r="R4440">
        <v>2026</v>
      </c>
      <c r="S4440" t="s">
        <v>6099</v>
      </c>
      <c r="T4440">
        <v>1</v>
      </c>
      <c r="U4440" t="s">
        <v>6019</v>
      </c>
      <c r="V4440">
        <v>0</v>
      </c>
    </row>
    <row r="4441" spans="1:22" x14ac:dyDescent="0.3">
      <c r="A4441" t="s">
        <v>4456</v>
      </c>
      <c r="B4441" s="2">
        <v>46223.640277777777</v>
      </c>
      <c r="C4441" s="2">
        <v>46227.715277777781</v>
      </c>
      <c r="D4441" t="s">
        <v>6026</v>
      </c>
      <c r="E4441" t="s">
        <v>6031</v>
      </c>
      <c r="F4441" t="s">
        <v>6033</v>
      </c>
      <c r="G4441" t="s">
        <v>6044</v>
      </c>
      <c r="H4441" t="s">
        <v>6097</v>
      </c>
      <c r="I4441">
        <v>72</v>
      </c>
      <c r="J4441">
        <v>97.8</v>
      </c>
      <c r="K4441" t="s">
        <v>6099</v>
      </c>
      <c r="L4441" t="s">
        <v>6100</v>
      </c>
      <c r="M4441" t="s">
        <v>6100</v>
      </c>
      <c r="N4441">
        <v>4</v>
      </c>
      <c r="O4441" t="s">
        <v>6101</v>
      </c>
      <c r="P4441" t="s">
        <v>6113</v>
      </c>
      <c r="Q4441">
        <v>7</v>
      </c>
      <c r="R4441">
        <v>2026</v>
      </c>
      <c r="S4441" t="s">
        <v>6100</v>
      </c>
      <c r="T4441">
        <v>0</v>
      </c>
      <c r="U4441" t="s">
        <v>6019</v>
      </c>
      <c r="V4441">
        <v>1</v>
      </c>
    </row>
    <row r="4442" spans="1:22" x14ac:dyDescent="0.3">
      <c r="A4442" t="s">
        <v>4457</v>
      </c>
      <c r="B4442" s="2">
        <v>46223.642361111109</v>
      </c>
      <c r="C4442" s="2">
        <v>46224.767361111109</v>
      </c>
      <c r="D4442" t="s">
        <v>6022</v>
      </c>
      <c r="E4442" t="s">
        <v>6031</v>
      </c>
      <c r="F4442" t="s">
        <v>6033</v>
      </c>
      <c r="G4442" t="s">
        <v>6086</v>
      </c>
      <c r="H4442" t="s">
        <v>6098</v>
      </c>
      <c r="I4442">
        <v>72</v>
      </c>
      <c r="J4442">
        <v>27</v>
      </c>
      <c r="K4442" t="s">
        <v>6099</v>
      </c>
      <c r="L4442" t="s">
        <v>6100</v>
      </c>
      <c r="M4442" t="s">
        <v>6100</v>
      </c>
      <c r="N4442">
        <v>3</v>
      </c>
      <c r="O4442" t="s">
        <v>6101</v>
      </c>
      <c r="P4442" t="s">
        <v>6113</v>
      </c>
      <c r="Q4442">
        <v>7</v>
      </c>
      <c r="R4442">
        <v>2026</v>
      </c>
      <c r="S4442" t="s">
        <v>6099</v>
      </c>
      <c r="T4442">
        <v>1</v>
      </c>
      <c r="U4442" t="s">
        <v>6017</v>
      </c>
      <c r="V4442">
        <v>1</v>
      </c>
    </row>
    <row r="4443" spans="1:22" x14ac:dyDescent="0.3">
      <c r="A4443" t="s">
        <v>4458</v>
      </c>
      <c r="B4443" s="2">
        <v>46223.683333333334</v>
      </c>
      <c r="C4443" s="2">
        <v>46223.8</v>
      </c>
      <c r="D4443" t="s">
        <v>6028</v>
      </c>
      <c r="E4443" t="s">
        <v>6029</v>
      </c>
      <c r="F4443" t="s">
        <v>6035</v>
      </c>
      <c r="G4443" t="s">
        <v>6068</v>
      </c>
      <c r="H4443" t="s">
        <v>6098</v>
      </c>
      <c r="I4443">
        <v>4</v>
      </c>
      <c r="J4443">
        <v>2.8</v>
      </c>
      <c r="K4443" t="s">
        <v>6099</v>
      </c>
      <c r="L4443" t="s">
        <v>6100</v>
      </c>
      <c r="M4443" t="s">
        <v>6100</v>
      </c>
      <c r="N4443">
        <v>4</v>
      </c>
      <c r="O4443" t="s">
        <v>6101</v>
      </c>
      <c r="P4443" t="s">
        <v>6113</v>
      </c>
      <c r="Q4443">
        <v>7</v>
      </c>
      <c r="R4443">
        <v>2026</v>
      </c>
      <c r="S4443" t="s">
        <v>6099</v>
      </c>
      <c r="T4443">
        <v>1</v>
      </c>
      <c r="U4443" t="s">
        <v>6017</v>
      </c>
      <c r="V4443">
        <v>1</v>
      </c>
    </row>
    <row r="4444" spans="1:22" x14ac:dyDescent="0.3">
      <c r="A4444" t="s">
        <v>4459</v>
      </c>
      <c r="B4444" s="2">
        <v>46223.772916666669</v>
      </c>
      <c r="C4444" s="2">
        <v>46223.95208333333</v>
      </c>
      <c r="D4444" t="s">
        <v>6027</v>
      </c>
      <c r="E4444" t="s">
        <v>6029</v>
      </c>
      <c r="F4444" t="s">
        <v>6033</v>
      </c>
      <c r="G4444" t="s">
        <v>6047</v>
      </c>
      <c r="H4444" t="s">
        <v>6098</v>
      </c>
      <c r="I4444">
        <v>72</v>
      </c>
      <c r="J4444">
        <v>4.3</v>
      </c>
      <c r="K4444" t="s">
        <v>6099</v>
      </c>
      <c r="L4444" t="s">
        <v>6100</v>
      </c>
      <c r="M4444" t="s">
        <v>6100</v>
      </c>
      <c r="O4444" t="s">
        <v>6101</v>
      </c>
      <c r="P4444" t="s">
        <v>6113</v>
      </c>
      <c r="Q4444">
        <v>7</v>
      </c>
      <c r="R4444">
        <v>2026</v>
      </c>
      <c r="S4444" t="s">
        <v>6099</v>
      </c>
      <c r="T4444">
        <v>1</v>
      </c>
      <c r="U4444" t="s">
        <v>6020</v>
      </c>
      <c r="V4444">
        <v>1</v>
      </c>
    </row>
    <row r="4445" spans="1:22" x14ac:dyDescent="0.3">
      <c r="A4445" t="s">
        <v>4460</v>
      </c>
      <c r="B4445" s="2">
        <v>46223.8125</v>
      </c>
      <c r="C4445" s="2">
        <v>46223.995833333334</v>
      </c>
      <c r="D4445" t="s">
        <v>6028</v>
      </c>
      <c r="E4445" t="s">
        <v>6029</v>
      </c>
      <c r="F4445" t="s">
        <v>6035</v>
      </c>
      <c r="G4445" t="s">
        <v>6037</v>
      </c>
      <c r="H4445" t="s">
        <v>6096</v>
      </c>
      <c r="I4445">
        <v>4</v>
      </c>
      <c r="J4445">
        <v>4.4000000000000004</v>
      </c>
      <c r="K4445" t="s">
        <v>6099</v>
      </c>
      <c r="L4445" t="s">
        <v>6100</v>
      </c>
      <c r="M4445" t="s">
        <v>6100</v>
      </c>
      <c r="N4445">
        <v>3</v>
      </c>
      <c r="O4445" t="s">
        <v>6101</v>
      </c>
      <c r="P4445" t="s">
        <v>6113</v>
      </c>
      <c r="Q4445">
        <v>7</v>
      </c>
      <c r="R4445">
        <v>2026</v>
      </c>
      <c r="S4445" t="s">
        <v>6100</v>
      </c>
      <c r="T4445">
        <v>0</v>
      </c>
      <c r="U4445" t="s">
        <v>6018</v>
      </c>
      <c r="V4445">
        <v>1</v>
      </c>
    </row>
    <row r="4446" spans="1:22" x14ac:dyDescent="0.3">
      <c r="A4446" t="s">
        <v>4461</v>
      </c>
      <c r="B4446" s="2">
        <v>46223.951388888891</v>
      </c>
      <c r="C4446" s="2">
        <v>46225.551388888889</v>
      </c>
      <c r="D4446" t="s">
        <v>6024</v>
      </c>
      <c r="E4446" t="s">
        <v>6031</v>
      </c>
      <c r="F4446" t="s">
        <v>6034</v>
      </c>
      <c r="G4446" t="s">
        <v>6062</v>
      </c>
      <c r="H4446" t="s">
        <v>6096</v>
      </c>
      <c r="I4446">
        <v>24</v>
      </c>
      <c r="J4446">
        <v>38.4</v>
      </c>
      <c r="K4446" t="s">
        <v>6099</v>
      </c>
      <c r="L4446" t="s">
        <v>6100</v>
      </c>
      <c r="M4446" t="s">
        <v>6099</v>
      </c>
      <c r="N4446">
        <v>2</v>
      </c>
      <c r="O4446" t="s">
        <v>6101</v>
      </c>
      <c r="P4446" t="s">
        <v>6113</v>
      </c>
      <c r="Q4446">
        <v>7</v>
      </c>
      <c r="R4446">
        <v>2026</v>
      </c>
      <c r="S4446" t="s">
        <v>6100</v>
      </c>
      <c r="T4446">
        <v>0</v>
      </c>
      <c r="U4446" t="s">
        <v>6018</v>
      </c>
      <c r="V4446">
        <v>1</v>
      </c>
    </row>
    <row r="4447" spans="1:22" x14ac:dyDescent="0.3">
      <c r="A4447" t="s">
        <v>4462</v>
      </c>
      <c r="B4447" s="2">
        <v>46224.305555555555</v>
      </c>
      <c r="C4447" s="2">
        <v>46224.480555555558</v>
      </c>
      <c r="D4447" t="s">
        <v>6028</v>
      </c>
      <c r="E4447" t="s">
        <v>6029</v>
      </c>
      <c r="F4447" t="s">
        <v>6035</v>
      </c>
      <c r="G4447" t="s">
        <v>6085</v>
      </c>
      <c r="H4447" t="s">
        <v>6097</v>
      </c>
      <c r="I4447">
        <v>4</v>
      </c>
      <c r="J4447">
        <v>4.2</v>
      </c>
      <c r="K4447" t="s">
        <v>6099</v>
      </c>
      <c r="L4447" t="s">
        <v>6100</v>
      </c>
      <c r="M4447" t="s">
        <v>6100</v>
      </c>
      <c r="N4447">
        <v>4</v>
      </c>
      <c r="O4447" t="s">
        <v>6101</v>
      </c>
      <c r="P4447" t="s">
        <v>6113</v>
      </c>
      <c r="Q4447">
        <v>7</v>
      </c>
      <c r="R4447">
        <v>2026</v>
      </c>
      <c r="S4447" t="s">
        <v>6100</v>
      </c>
      <c r="T4447">
        <v>0</v>
      </c>
      <c r="U4447" t="s">
        <v>6019</v>
      </c>
      <c r="V4447">
        <v>1</v>
      </c>
    </row>
    <row r="4448" spans="1:22" x14ac:dyDescent="0.3">
      <c r="A4448" t="s">
        <v>4463</v>
      </c>
      <c r="B4448" s="2">
        <v>46224.315972222219</v>
      </c>
      <c r="C4448" s="2">
        <v>46224.920138888891</v>
      </c>
      <c r="D4448" t="s">
        <v>6027</v>
      </c>
      <c r="E4448" t="s">
        <v>6031</v>
      </c>
      <c r="F4448" t="s">
        <v>6033</v>
      </c>
      <c r="G4448" t="s">
        <v>6044</v>
      </c>
      <c r="H4448" t="s">
        <v>6097</v>
      </c>
      <c r="I4448">
        <v>72</v>
      </c>
      <c r="J4448">
        <v>14.5</v>
      </c>
      <c r="K4448" t="s">
        <v>6099</v>
      </c>
      <c r="L4448" t="s">
        <v>6100</v>
      </c>
      <c r="M4448" t="s">
        <v>6100</v>
      </c>
      <c r="N4448">
        <v>5</v>
      </c>
      <c r="O4448" t="s">
        <v>6101</v>
      </c>
      <c r="P4448" t="s">
        <v>6113</v>
      </c>
      <c r="Q4448">
        <v>7</v>
      </c>
      <c r="R4448">
        <v>2026</v>
      </c>
      <c r="S4448" t="s">
        <v>6099</v>
      </c>
      <c r="T4448">
        <v>1</v>
      </c>
      <c r="U4448" t="s">
        <v>6018</v>
      </c>
      <c r="V4448">
        <v>1</v>
      </c>
    </row>
    <row r="4449" spans="1:22" x14ac:dyDescent="0.3">
      <c r="A4449" t="s">
        <v>4464</v>
      </c>
      <c r="B4449" s="2">
        <v>46224.366666666669</v>
      </c>
      <c r="C4449" s="2">
        <v>46224.787499999999</v>
      </c>
      <c r="D4449" t="s">
        <v>6028</v>
      </c>
      <c r="E4449" t="s">
        <v>6029</v>
      </c>
      <c r="F4449" t="s">
        <v>6035</v>
      </c>
      <c r="G4449" t="s">
        <v>6065</v>
      </c>
      <c r="H4449" t="s">
        <v>6097</v>
      </c>
      <c r="I4449">
        <v>4</v>
      </c>
      <c r="J4449">
        <v>10.1</v>
      </c>
      <c r="K4449" t="s">
        <v>6099</v>
      </c>
      <c r="L4449" t="s">
        <v>6100</v>
      </c>
      <c r="M4449" t="s">
        <v>6100</v>
      </c>
      <c r="O4449" t="s">
        <v>6101</v>
      </c>
      <c r="P4449" t="s">
        <v>6113</v>
      </c>
      <c r="Q4449">
        <v>7</v>
      </c>
      <c r="R4449">
        <v>2026</v>
      </c>
      <c r="S4449" t="s">
        <v>6100</v>
      </c>
      <c r="T4449">
        <v>0</v>
      </c>
      <c r="U4449" t="s">
        <v>6020</v>
      </c>
      <c r="V4449">
        <v>1</v>
      </c>
    </row>
    <row r="4450" spans="1:22" x14ac:dyDescent="0.3">
      <c r="A4450" t="s">
        <v>4465</v>
      </c>
      <c r="B4450" s="2">
        <v>46224.418055555558</v>
      </c>
      <c r="C4450" s="2">
        <v>46224.805555555555</v>
      </c>
      <c r="D4450" t="s">
        <v>6028</v>
      </c>
      <c r="E4450" t="s">
        <v>6030</v>
      </c>
      <c r="F4450" t="s">
        <v>6034</v>
      </c>
      <c r="G4450" t="s">
        <v>6094</v>
      </c>
      <c r="H4450" t="s">
        <v>6098</v>
      </c>
      <c r="I4450">
        <v>24</v>
      </c>
      <c r="J4450">
        <v>9.3000000000000007</v>
      </c>
      <c r="K4450" t="s">
        <v>6100</v>
      </c>
      <c r="L4450" t="s">
        <v>6099</v>
      </c>
      <c r="M4450" t="s">
        <v>6100</v>
      </c>
      <c r="N4450">
        <v>4</v>
      </c>
      <c r="O4450" t="s">
        <v>6101</v>
      </c>
      <c r="P4450" t="s">
        <v>6113</v>
      </c>
      <c r="Q4450">
        <v>7</v>
      </c>
      <c r="R4450">
        <v>2026</v>
      </c>
      <c r="S4450" t="s">
        <v>6099</v>
      </c>
      <c r="T4450">
        <v>1</v>
      </c>
      <c r="U4450" t="s">
        <v>6019</v>
      </c>
      <c r="V4450">
        <v>0</v>
      </c>
    </row>
    <row r="4451" spans="1:22" x14ac:dyDescent="0.3">
      <c r="A4451" t="s">
        <v>4466</v>
      </c>
      <c r="B4451" s="2">
        <v>46224.444444444445</v>
      </c>
      <c r="C4451" s="2">
        <v>46224.769444444442</v>
      </c>
      <c r="D4451" t="s">
        <v>6025</v>
      </c>
      <c r="E4451" t="s">
        <v>6030</v>
      </c>
      <c r="F4451" t="s">
        <v>6034</v>
      </c>
      <c r="G4451" t="s">
        <v>6059</v>
      </c>
      <c r="H4451" t="s">
        <v>6097</v>
      </c>
      <c r="I4451">
        <v>24</v>
      </c>
      <c r="J4451">
        <v>7.8</v>
      </c>
      <c r="K4451" t="s">
        <v>6099</v>
      </c>
      <c r="L4451" t="s">
        <v>6100</v>
      </c>
      <c r="M4451" t="s">
        <v>6100</v>
      </c>
      <c r="O4451" t="s">
        <v>6101</v>
      </c>
      <c r="P4451" t="s">
        <v>6113</v>
      </c>
      <c r="Q4451">
        <v>7</v>
      </c>
      <c r="R4451">
        <v>2026</v>
      </c>
      <c r="S4451" t="s">
        <v>6099</v>
      </c>
      <c r="T4451">
        <v>1</v>
      </c>
      <c r="U4451" t="s">
        <v>6021</v>
      </c>
      <c r="V4451">
        <v>1</v>
      </c>
    </row>
    <row r="4452" spans="1:22" x14ac:dyDescent="0.3">
      <c r="A4452" t="s">
        <v>4467</v>
      </c>
      <c r="B4452" s="2">
        <v>46224.462500000001</v>
      </c>
      <c r="C4452" s="2">
        <v>46224.966666666667</v>
      </c>
      <c r="D4452" t="s">
        <v>6028</v>
      </c>
      <c r="E4452" t="s">
        <v>6029</v>
      </c>
      <c r="F4452" t="s">
        <v>6033</v>
      </c>
      <c r="G4452" t="s">
        <v>6050</v>
      </c>
      <c r="H4452" t="s">
        <v>6098</v>
      </c>
      <c r="I4452">
        <v>72</v>
      </c>
      <c r="J4452">
        <v>12.1</v>
      </c>
      <c r="K4452" t="s">
        <v>6100</v>
      </c>
      <c r="L4452" t="s">
        <v>6099</v>
      </c>
      <c r="M4452" t="s">
        <v>6100</v>
      </c>
      <c r="O4452" t="s">
        <v>6101</v>
      </c>
      <c r="P4452" t="s">
        <v>6113</v>
      </c>
      <c r="Q4452">
        <v>7</v>
      </c>
      <c r="R4452">
        <v>2026</v>
      </c>
      <c r="S4452" t="s">
        <v>6099</v>
      </c>
      <c r="T4452">
        <v>1</v>
      </c>
      <c r="U4452" t="s">
        <v>6019</v>
      </c>
      <c r="V4452">
        <v>0</v>
      </c>
    </row>
    <row r="4453" spans="1:22" x14ac:dyDescent="0.3">
      <c r="A4453" t="s">
        <v>4468</v>
      </c>
      <c r="B4453" s="2">
        <v>46224.466666666667</v>
      </c>
      <c r="C4453" s="2">
        <v>46226.058333333334</v>
      </c>
      <c r="D4453" t="s">
        <v>6025</v>
      </c>
      <c r="E4453" t="s">
        <v>6031</v>
      </c>
      <c r="F4453" t="s">
        <v>6034</v>
      </c>
      <c r="G4453" t="s">
        <v>6094</v>
      </c>
      <c r="H4453" t="s">
        <v>6098</v>
      </c>
      <c r="I4453">
        <v>24</v>
      </c>
      <c r="J4453">
        <v>38.200000000000003</v>
      </c>
      <c r="K4453" t="s">
        <v>6099</v>
      </c>
      <c r="L4453" t="s">
        <v>6100</v>
      </c>
      <c r="M4453" t="s">
        <v>6100</v>
      </c>
      <c r="O4453" t="s">
        <v>6101</v>
      </c>
      <c r="P4453" t="s">
        <v>6113</v>
      </c>
      <c r="Q4453">
        <v>7</v>
      </c>
      <c r="R4453">
        <v>2026</v>
      </c>
      <c r="S4453" t="s">
        <v>6100</v>
      </c>
      <c r="T4453">
        <v>0</v>
      </c>
      <c r="U4453" t="s">
        <v>6020</v>
      </c>
      <c r="V4453">
        <v>1</v>
      </c>
    </row>
    <row r="4454" spans="1:22" x14ac:dyDescent="0.3">
      <c r="A4454" t="s">
        <v>4469</v>
      </c>
      <c r="B4454" s="2">
        <v>46224.527777777781</v>
      </c>
      <c r="C4454" s="2">
        <v>46225.006944444445</v>
      </c>
      <c r="D4454" t="s">
        <v>6028</v>
      </c>
      <c r="E4454" t="s">
        <v>6031</v>
      </c>
      <c r="F4454" t="s">
        <v>6034</v>
      </c>
      <c r="G4454" t="s">
        <v>6084</v>
      </c>
      <c r="H4454" t="s">
        <v>6098</v>
      </c>
      <c r="I4454">
        <v>24</v>
      </c>
      <c r="J4454">
        <v>11.5</v>
      </c>
      <c r="K4454" t="s">
        <v>6099</v>
      </c>
      <c r="L4454" t="s">
        <v>6100</v>
      </c>
      <c r="M4454" t="s">
        <v>6100</v>
      </c>
      <c r="N4454">
        <v>4</v>
      </c>
      <c r="O4454" t="s">
        <v>6101</v>
      </c>
      <c r="P4454" t="s">
        <v>6113</v>
      </c>
      <c r="Q4454">
        <v>7</v>
      </c>
      <c r="R4454">
        <v>2026</v>
      </c>
      <c r="S4454" t="s">
        <v>6099</v>
      </c>
      <c r="T4454">
        <v>1</v>
      </c>
      <c r="U4454" t="s">
        <v>6021</v>
      </c>
      <c r="V4454">
        <v>1</v>
      </c>
    </row>
    <row r="4455" spans="1:22" x14ac:dyDescent="0.3">
      <c r="A4455" t="s">
        <v>4470</v>
      </c>
      <c r="B4455" s="2">
        <v>46224.535416666666</v>
      </c>
      <c r="C4455" s="2">
        <v>46224.660416666666</v>
      </c>
      <c r="D4455" t="s">
        <v>6023</v>
      </c>
      <c r="E4455" t="s">
        <v>6029</v>
      </c>
      <c r="F4455" t="s">
        <v>6034</v>
      </c>
      <c r="G4455" t="s">
        <v>6067</v>
      </c>
      <c r="H4455" t="s">
        <v>6098</v>
      </c>
      <c r="I4455">
        <v>24</v>
      </c>
      <c r="J4455">
        <v>3</v>
      </c>
      <c r="K4455" t="s">
        <v>6099</v>
      </c>
      <c r="L4455" t="s">
        <v>6100</v>
      </c>
      <c r="M4455" t="s">
        <v>6100</v>
      </c>
      <c r="N4455">
        <v>4</v>
      </c>
      <c r="O4455" t="s">
        <v>6101</v>
      </c>
      <c r="P4455" t="s">
        <v>6113</v>
      </c>
      <c r="Q4455">
        <v>7</v>
      </c>
      <c r="R4455">
        <v>2026</v>
      </c>
      <c r="S4455" t="s">
        <v>6099</v>
      </c>
      <c r="T4455">
        <v>1</v>
      </c>
      <c r="U4455" t="s">
        <v>6021</v>
      </c>
      <c r="V4455">
        <v>1</v>
      </c>
    </row>
    <row r="4456" spans="1:22" x14ac:dyDescent="0.3">
      <c r="A4456" t="s">
        <v>4471</v>
      </c>
      <c r="B4456" s="2">
        <v>46224.54583333333</v>
      </c>
      <c r="C4456" s="2">
        <v>46224.712500000001</v>
      </c>
      <c r="D4456" t="s">
        <v>6023</v>
      </c>
      <c r="E4456" t="s">
        <v>6030</v>
      </c>
      <c r="F4456" t="s">
        <v>6034</v>
      </c>
      <c r="G4456" t="s">
        <v>6091</v>
      </c>
      <c r="H4456" t="s">
        <v>6097</v>
      </c>
      <c r="I4456">
        <v>24</v>
      </c>
      <c r="J4456">
        <v>4</v>
      </c>
      <c r="K4456" t="s">
        <v>6099</v>
      </c>
      <c r="L4456" t="s">
        <v>6100</v>
      </c>
      <c r="M4456" t="s">
        <v>6100</v>
      </c>
      <c r="N4456">
        <v>5</v>
      </c>
      <c r="O4456" t="s">
        <v>6101</v>
      </c>
      <c r="P4456" t="s">
        <v>6113</v>
      </c>
      <c r="Q4456">
        <v>7</v>
      </c>
      <c r="R4456">
        <v>2026</v>
      </c>
      <c r="S4456" t="s">
        <v>6099</v>
      </c>
      <c r="T4456">
        <v>1</v>
      </c>
      <c r="U4456" t="s">
        <v>6020</v>
      </c>
      <c r="V4456">
        <v>1</v>
      </c>
    </row>
    <row r="4457" spans="1:22" x14ac:dyDescent="0.3">
      <c r="A4457" t="s">
        <v>4472</v>
      </c>
      <c r="B4457" s="2">
        <v>46224.571527777778</v>
      </c>
      <c r="C4457" s="2">
        <v>46224.792361111111</v>
      </c>
      <c r="D4457" t="s">
        <v>6028</v>
      </c>
      <c r="E4457" t="s">
        <v>6029</v>
      </c>
      <c r="F4457" t="s">
        <v>6034</v>
      </c>
      <c r="G4457" t="s">
        <v>6083</v>
      </c>
      <c r="H4457" t="s">
        <v>6096</v>
      </c>
      <c r="I4457">
        <v>24</v>
      </c>
      <c r="J4457">
        <v>5.3</v>
      </c>
      <c r="K4457" t="s">
        <v>6100</v>
      </c>
      <c r="L4457" t="s">
        <v>6100</v>
      </c>
      <c r="M4457" t="s">
        <v>6100</v>
      </c>
      <c r="N4457">
        <v>5</v>
      </c>
      <c r="O4457" t="s">
        <v>6101</v>
      </c>
      <c r="P4457" t="s">
        <v>6113</v>
      </c>
      <c r="Q4457">
        <v>7</v>
      </c>
      <c r="R4457">
        <v>2026</v>
      </c>
      <c r="S4457" t="s">
        <v>6099</v>
      </c>
      <c r="T4457">
        <v>1</v>
      </c>
      <c r="U4457" t="s">
        <v>6017</v>
      </c>
      <c r="V4457">
        <v>0</v>
      </c>
    </row>
    <row r="4458" spans="1:22" x14ac:dyDescent="0.3">
      <c r="A4458" t="s">
        <v>4473</v>
      </c>
      <c r="B4458" s="2">
        <v>46224.625</v>
      </c>
      <c r="C4458" s="2">
        <v>46224.824999999997</v>
      </c>
      <c r="D4458" t="s">
        <v>6023</v>
      </c>
      <c r="E4458" t="s">
        <v>6030</v>
      </c>
      <c r="F4458" t="s">
        <v>6034</v>
      </c>
      <c r="G4458" t="s">
        <v>6078</v>
      </c>
      <c r="H4458" t="s">
        <v>6097</v>
      </c>
      <c r="I4458">
        <v>24</v>
      </c>
      <c r="J4458">
        <v>4.8</v>
      </c>
      <c r="K4458" t="s">
        <v>6099</v>
      </c>
      <c r="L4458" t="s">
        <v>6100</v>
      </c>
      <c r="M4458" t="s">
        <v>6100</v>
      </c>
      <c r="N4458">
        <v>4</v>
      </c>
      <c r="O4458" t="s">
        <v>6101</v>
      </c>
      <c r="P4458" t="s">
        <v>6113</v>
      </c>
      <c r="Q4458">
        <v>7</v>
      </c>
      <c r="R4458">
        <v>2026</v>
      </c>
      <c r="S4458" t="s">
        <v>6099</v>
      </c>
      <c r="T4458">
        <v>1</v>
      </c>
      <c r="U4458" t="s">
        <v>6017</v>
      </c>
      <c r="V4458">
        <v>1</v>
      </c>
    </row>
    <row r="4459" spans="1:22" x14ac:dyDescent="0.3">
      <c r="A4459" t="s">
        <v>4474</v>
      </c>
      <c r="B4459" s="2">
        <v>46224.667361111111</v>
      </c>
      <c r="C4459" s="2">
        <v>46225.03402777778</v>
      </c>
      <c r="D4459" t="s">
        <v>6024</v>
      </c>
      <c r="E4459" t="s">
        <v>6030</v>
      </c>
      <c r="F4459" t="s">
        <v>6034</v>
      </c>
      <c r="G4459" t="s">
        <v>6083</v>
      </c>
      <c r="H4459" t="s">
        <v>6096</v>
      </c>
      <c r="I4459">
        <v>24</v>
      </c>
      <c r="J4459">
        <v>8.8000000000000007</v>
      </c>
      <c r="K4459" t="s">
        <v>6099</v>
      </c>
      <c r="L4459" t="s">
        <v>6100</v>
      </c>
      <c r="M4459" t="s">
        <v>6100</v>
      </c>
      <c r="N4459">
        <v>5</v>
      </c>
      <c r="O4459" t="s">
        <v>6101</v>
      </c>
      <c r="P4459" t="s">
        <v>6113</v>
      </c>
      <c r="Q4459">
        <v>7</v>
      </c>
      <c r="R4459">
        <v>2026</v>
      </c>
      <c r="S4459" t="s">
        <v>6099</v>
      </c>
      <c r="T4459">
        <v>1</v>
      </c>
      <c r="U4459" t="s">
        <v>6017</v>
      </c>
      <c r="V4459">
        <v>1</v>
      </c>
    </row>
    <row r="4460" spans="1:22" x14ac:dyDescent="0.3">
      <c r="A4460" t="s">
        <v>4475</v>
      </c>
      <c r="B4460" s="2">
        <v>46224.740972222222</v>
      </c>
      <c r="C4460" s="2">
        <v>46224.882638888892</v>
      </c>
      <c r="D4460" t="s">
        <v>6023</v>
      </c>
      <c r="E4460" t="s">
        <v>6030</v>
      </c>
      <c r="F4460" t="s">
        <v>6033</v>
      </c>
      <c r="G4460" t="s">
        <v>6070</v>
      </c>
      <c r="H4460" t="s">
        <v>6097</v>
      </c>
      <c r="I4460">
        <v>72</v>
      </c>
      <c r="J4460">
        <v>3.4</v>
      </c>
      <c r="K4460" t="s">
        <v>6100</v>
      </c>
      <c r="L4460" t="s">
        <v>6099</v>
      </c>
      <c r="M4460" t="s">
        <v>6100</v>
      </c>
      <c r="N4460">
        <v>4</v>
      </c>
      <c r="O4460" t="s">
        <v>6101</v>
      </c>
      <c r="P4460" t="s">
        <v>6113</v>
      </c>
      <c r="Q4460">
        <v>7</v>
      </c>
      <c r="R4460">
        <v>2026</v>
      </c>
      <c r="S4460" t="s">
        <v>6099</v>
      </c>
      <c r="T4460">
        <v>1</v>
      </c>
      <c r="U4460" t="s">
        <v>6020</v>
      </c>
      <c r="V4460">
        <v>0</v>
      </c>
    </row>
    <row r="4461" spans="1:22" x14ac:dyDescent="0.3">
      <c r="A4461" t="s">
        <v>4476</v>
      </c>
      <c r="B4461" s="2">
        <v>46224.908333333333</v>
      </c>
      <c r="C4461" s="2">
        <v>46225.1</v>
      </c>
      <c r="D4461" t="s">
        <v>6022</v>
      </c>
      <c r="E4461" t="s">
        <v>6029</v>
      </c>
      <c r="F4461" t="s">
        <v>6035</v>
      </c>
      <c r="G4461" t="s">
        <v>6058</v>
      </c>
      <c r="H4461" t="s">
        <v>6098</v>
      </c>
      <c r="I4461">
        <v>4</v>
      </c>
      <c r="J4461">
        <v>4.5999999999999996</v>
      </c>
      <c r="K4461" t="s">
        <v>6099</v>
      </c>
      <c r="L4461" t="s">
        <v>6100</v>
      </c>
      <c r="M4461" t="s">
        <v>6100</v>
      </c>
      <c r="O4461" t="s">
        <v>6101</v>
      </c>
      <c r="P4461" t="s">
        <v>6113</v>
      </c>
      <c r="Q4461">
        <v>7</v>
      </c>
      <c r="R4461">
        <v>2026</v>
      </c>
      <c r="S4461" t="s">
        <v>6100</v>
      </c>
      <c r="T4461">
        <v>0</v>
      </c>
      <c r="U4461" t="s">
        <v>6017</v>
      </c>
      <c r="V4461">
        <v>1</v>
      </c>
    </row>
    <row r="4462" spans="1:22" x14ac:dyDescent="0.3">
      <c r="A4462" t="s">
        <v>4477</v>
      </c>
      <c r="B4462" s="2">
        <v>46224.938194444447</v>
      </c>
      <c r="C4462" s="2">
        <v>46225.084027777775</v>
      </c>
      <c r="D4462" t="s">
        <v>6023</v>
      </c>
      <c r="E4462" t="s">
        <v>6030</v>
      </c>
      <c r="F4462" t="s">
        <v>6034</v>
      </c>
      <c r="G4462" t="s">
        <v>6082</v>
      </c>
      <c r="H4462" t="s">
        <v>6097</v>
      </c>
      <c r="I4462">
        <v>24</v>
      </c>
      <c r="J4462">
        <v>3.5</v>
      </c>
      <c r="K4462" t="s">
        <v>6099</v>
      </c>
      <c r="L4462" t="s">
        <v>6100</v>
      </c>
      <c r="M4462" t="s">
        <v>6100</v>
      </c>
      <c r="N4462">
        <v>5</v>
      </c>
      <c r="O4462" t="s">
        <v>6101</v>
      </c>
      <c r="P4462" t="s">
        <v>6113</v>
      </c>
      <c r="Q4462">
        <v>7</v>
      </c>
      <c r="R4462">
        <v>2026</v>
      </c>
      <c r="S4462" t="s">
        <v>6099</v>
      </c>
      <c r="T4462">
        <v>1</v>
      </c>
      <c r="U4462" t="s">
        <v>6020</v>
      </c>
      <c r="V4462">
        <v>1</v>
      </c>
    </row>
    <row r="4463" spans="1:22" x14ac:dyDescent="0.3">
      <c r="A4463" t="s">
        <v>4478</v>
      </c>
      <c r="B4463" s="2">
        <v>46225.222916666666</v>
      </c>
      <c r="C4463" s="2">
        <v>46225.67291666667</v>
      </c>
      <c r="D4463" t="s">
        <v>6024</v>
      </c>
      <c r="E4463" t="s">
        <v>6030</v>
      </c>
      <c r="F4463" t="s">
        <v>6035</v>
      </c>
      <c r="G4463" t="s">
        <v>6047</v>
      </c>
      <c r="H4463" t="s">
        <v>6098</v>
      </c>
      <c r="I4463">
        <v>4</v>
      </c>
      <c r="J4463">
        <v>10.8</v>
      </c>
      <c r="K4463" t="s">
        <v>6100</v>
      </c>
      <c r="L4463" t="s">
        <v>6100</v>
      </c>
      <c r="M4463" t="s">
        <v>6100</v>
      </c>
      <c r="N4463">
        <v>3</v>
      </c>
      <c r="O4463" t="s">
        <v>6101</v>
      </c>
      <c r="P4463" t="s">
        <v>6113</v>
      </c>
      <c r="Q4463">
        <v>7</v>
      </c>
      <c r="R4463">
        <v>2026</v>
      </c>
      <c r="S4463" t="s">
        <v>6100</v>
      </c>
      <c r="T4463">
        <v>0</v>
      </c>
      <c r="U4463" t="s">
        <v>6018</v>
      </c>
      <c r="V4463">
        <v>0</v>
      </c>
    </row>
    <row r="4464" spans="1:22" x14ac:dyDescent="0.3">
      <c r="A4464" t="s">
        <v>4479</v>
      </c>
      <c r="B4464" s="2">
        <v>46225.240277777775</v>
      </c>
      <c r="C4464" s="2">
        <v>46224.781944444447</v>
      </c>
      <c r="D4464" t="s">
        <v>6023</v>
      </c>
      <c r="E4464" t="s">
        <v>6029</v>
      </c>
      <c r="F4464" t="s">
        <v>6034</v>
      </c>
      <c r="G4464" t="s">
        <v>6063</v>
      </c>
      <c r="H4464" t="s">
        <v>6097</v>
      </c>
      <c r="I4464">
        <v>24</v>
      </c>
      <c r="J4464">
        <v>7.3</v>
      </c>
      <c r="K4464" t="s">
        <v>6099</v>
      </c>
      <c r="L4464" t="s">
        <v>6100</v>
      </c>
      <c r="M4464" t="s">
        <v>6100</v>
      </c>
      <c r="N4464">
        <v>5</v>
      </c>
      <c r="O4464" t="s">
        <v>6101</v>
      </c>
      <c r="P4464" t="s">
        <v>6113</v>
      </c>
      <c r="Q4464">
        <v>7</v>
      </c>
      <c r="R4464">
        <v>2026</v>
      </c>
      <c r="S4464" t="s">
        <v>6099</v>
      </c>
      <c r="T4464">
        <v>1</v>
      </c>
      <c r="U4464" t="s">
        <v>6019</v>
      </c>
      <c r="V4464">
        <v>1</v>
      </c>
    </row>
    <row r="4465" spans="1:22" x14ac:dyDescent="0.3">
      <c r="A4465" t="s">
        <v>4480</v>
      </c>
      <c r="B4465" s="2">
        <v>46225.381249999999</v>
      </c>
      <c r="C4465" s="2">
        <v>46226.072916666664</v>
      </c>
      <c r="D4465" t="s">
        <v>6025</v>
      </c>
      <c r="E4465" t="s">
        <v>6029</v>
      </c>
      <c r="F4465" t="s">
        <v>6033</v>
      </c>
      <c r="G4465" t="s">
        <v>6080</v>
      </c>
      <c r="H4465" t="s">
        <v>6096</v>
      </c>
      <c r="I4465">
        <v>72</v>
      </c>
      <c r="J4465">
        <v>16.600000000000001</v>
      </c>
      <c r="K4465" t="s">
        <v>6099</v>
      </c>
      <c r="L4465" t="s">
        <v>6100</v>
      </c>
      <c r="M4465" t="s">
        <v>6100</v>
      </c>
      <c r="N4465">
        <v>5</v>
      </c>
      <c r="O4465" t="s">
        <v>6101</v>
      </c>
      <c r="P4465" t="s">
        <v>6113</v>
      </c>
      <c r="Q4465">
        <v>7</v>
      </c>
      <c r="R4465">
        <v>2026</v>
      </c>
      <c r="S4465" t="s">
        <v>6099</v>
      </c>
      <c r="T4465">
        <v>1</v>
      </c>
      <c r="U4465" t="s">
        <v>6019</v>
      </c>
      <c r="V4465">
        <v>1</v>
      </c>
    </row>
    <row r="4466" spans="1:22" x14ac:dyDescent="0.3">
      <c r="A4466" t="s">
        <v>4481</v>
      </c>
      <c r="B4466" s="2">
        <v>46225.45208333333</v>
      </c>
      <c r="C4466" s="2">
        <v>46226.027083333334</v>
      </c>
      <c r="D4466" t="s">
        <v>6022</v>
      </c>
      <c r="E4466" t="s">
        <v>6029</v>
      </c>
      <c r="F4466" t="s">
        <v>6033</v>
      </c>
      <c r="G4466" t="s">
        <v>6086</v>
      </c>
      <c r="H4466" t="s">
        <v>6098</v>
      </c>
      <c r="I4466">
        <v>72</v>
      </c>
      <c r="J4466">
        <v>13.8</v>
      </c>
      <c r="K4466" t="s">
        <v>6099</v>
      </c>
      <c r="L4466" t="s">
        <v>6100</v>
      </c>
      <c r="M4466" t="s">
        <v>6100</v>
      </c>
      <c r="O4466" t="s">
        <v>6101</v>
      </c>
      <c r="P4466" t="s">
        <v>6113</v>
      </c>
      <c r="Q4466">
        <v>7</v>
      </c>
      <c r="R4466">
        <v>2026</v>
      </c>
      <c r="S4466" t="s">
        <v>6099</v>
      </c>
      <c r="T4466">
        <v>1</v>
      </c>
      <c r="U4466" t="s">
        <v>6018</v>
      </c>
      <c r="V4466">
        <v>1</v>
      </c>
    </row>
    <row r="4467" spans="1:22" x14ac:dyDescent="0.3">
      <c r="A4467" t="s">
        <v>4482</v>
      </c>
      <c r="B4467" s="2">
        <v>46225.472916666666</v>
      </c>
      <c r="C4467" s="2">
        <v>46225.82708333333</v>
      </c>
      <c r="D4467" t="s">
        <v>6023</v>
      </c>
      <c r="E4467" t="s">
        <v>6029</v>
      </c>
      <c r="F4467" t="s">
        <v>6033</v>
      </c>
      <c r="G4467" t="s">
        <v>6072</v>
      </c>
      <c r="H4467" t="s">
        <v>6097</v>
      </c>
      <c r="I4467">
        <v>72</v>
      </c>
      <c r="J4467">
        <v>8.5</v>
      </c>
      <c r="K4467" t="s">
        <v>6099</v>
      </c>
      <c r="L4467" t="s">
        <v>6100</v>
      </c>
      <c r="M4467" t="s">
        <v>6100</v>
      </c>
      <c r="N4467">
        <v>5</v>
      </c>
      <c r="O4467" t="s">
        <v>6101</v>
      </c>
      <c r="P4467" t="s">
        <v>6113</v>
      </c>
      <c r="Q4467">
        <v>7</v>
      </c>
      <c r="R4467">
        <v>2026</v>
      </c>
      <c r="S4467" t="s">
        <v>6099</v>
      </c>
      <c r="T4467">
        <v>1</v>
      </c>
      <c r="U4467" t="s">
        <v>6020</v>
      </c>
      <c r="V4467">
        <v>1</v>
      </c>
    </row>
    <row r="4468" spans="1:22" x14ac:dyDescent="0.3">
      <c r="A4468" t="s">
        <v>4483</v>
      </c>
      <c r="B4468" s="2">
        <v>46225.499305555553</v>
      </c>
      <c r="C4468" s="2">
        <v>46227.011805555558</v>
      </c>
      <c r="D4468" t="s">
        <v>6028</v>
      </c>
      <c r="E4468" t="s">
        <v>6031</v>
      </c>
      <c r="F4468" t="s">
        <v>6034</v>
      </c>
      <c r="G4468" t="s">
        <v>6061</v>
      </c>
      <c r="H4468" t="s">
        <v>6096</v>
      </c>
      <c r="I4468">
        <v>24</v>
      </c>
      <c r="J4468">
        <v>36.299999999999997</v>
      </c>
      <c r="K4468" t="s">
        <v>6099</v>
      </c>
      <c r="L4468" t="s">
        <v>6100</v>
      </c>
      <c r="M4468" t="s">
        <v>6100</v>
      </c>
      <c r="N4468">
        <v>5</v>
      </c>
      <c r="O4468" t="s">
        <v>6101</v>
      </c>
      <c r="P4468" t="s">
        <v>6113</v>
      </c>
      <c r="Q4468">
        <v>7</v>
      </c>
      <c r="R4468">
        <v>2026</v>
      </c>
      <c r="S4468" t="s">
        <v>6100</v>
      </c>
      <c r="T4468">
        <v>0</v>
      </c>
      <c r="U4468" t="s">
        <v>6020</v>
      </c>
      <c r="V4468">
        <v>1</v>
      </c>
    </row>
    <row r="4469" spans="1:22" x14ac:dyDescent="0.3">
      <c r="A4469" t="s">
        <v>4484</v>
      </c>
      <c r="B4469" s="2">
        <v>46225.513194444444</v>
      </c>
      <c r="C4469" s="2">
        <v>46225.604861111111</v>
      </c>
      <c r="D4469" t="s">
        <v>6024</v>
      </c>
      <c r="E4469" t="s">
        <v>6030</v>
      </c>
      <c r="F4469" t="s">
        <v>6034</v>
      </c>
      <c r="G4469" t="s">
        <v>6050</v>
      </c>
      <c r="H4469" t="s">
        <v>6098</v>
      </c>
      <c r="I4469">
        <v>24</v>
      </c>
      <c r="J4469">
        <v>2.2000000000000002</v>
      </c>
      <c r="K4469" t="s">
        <v>6100</v>
      </c>
      <c r="L4469" t="s">
        <v>6100</v>
      </c>
      <c r="M4469" t="s">
        <v>6100</v>
      </c>
      <c r="N4469">
        <v>4</v>
      </c>
      <c r="O4469" t="s">
        <v>6101</v>
      </c>
      <c r="P4469" t="s">
        <v>6113</v>
      </c>
      <c r="Q4469">
        <v>7</v>
      </c>
      <c r="R4469">
        <v>2026</v>
      </c>
      <c r="S4469" t="s">
        <v>6099</v>
      </c>
      <c r="T4469">
        <v>1</v>
      </c>
      <c r="U4469" t="s">
        <v>6019</v>
      </c>
      <c r="V4469">
        <v>0</v>
      </c>
    </row>
    <row r="4470" spans="1:22" x14ac:dyDescent="0.3">
      <c r="A4470" t="s">
        <v>4485</v>
      </c>
      <c r="B4470" s="2">
        <v>46225.513888888891</v>
      </c>
      <c r="C4470" s="2">
        <v>46225.87222222222</v>
      </c>
      <c r="D4470" t="s">
        <v>6028</v>
      </c>
      <c r="E4470" t="s">
        <v>6031</v>
      </c>
      <c r="F4470" t="s">
        <v>6035</v>
      </c>
      <c r="G4470" t="s">
        <v>6053</v>
      </c>
      <c r="H4470" t="s">
        <v>6097</v>
      </c>
      <c r="I4470">
        <v>4</v>
      </c>
      <c r="J4470">
        <v>8.6</v>
      </c>
      <c r="K4470" t="s">
        <v>6100</v>
      </c>
      <c r="L4470" t="s">
        <v>6099</v>
      </c>
      <c r="M4470" t="s">
        <v>6100</v>
      </c>
      <c r="N4470">
        <v>3</v>
      </c>
      <c r="O4470" t="s">
        <v>6101</v>
      </c>
      <c r="P4470" t="s">
        <v>6113</v>
      </c>
      <c r="Q4470">
        <v>7</v>
      </c>
      <c r="R4470">
        <v>2026</v>
      </c>
      <c r="S4470" t="s">
        <v>6100</v>
      </c>
      <c r="T4470">
        <v>0</v>
      </c>
      <c r="U4470" t="s">
        <v>6019</v>
      </c>
      <c r="V4470">
        <v>0</v>
      </c>
    </row>
    <row r="4471" spans="1:22" x14ac:dyDescent="0.3">
      <c r="A4471" t="s">
        <v>4486</v>
      </c>
      <c r="B4471" s="2">
        <v>46225.536111111112</v>
      </c>
      <c r="C4471" s="2">
        <v>46228.873611111114</v>
      </c>
      <c r="D4471" t="s">
        <v>6025</v>
      </c>
      <c r="E4471" t="s">
        <v>6031</v>
      </c>
      <c r="F4471" t="s">
        <v>6033</v>
      </c>
      <c r="G4471" t="s">
        <v>6080</v>
      </c>
      <c r="H4471" t="s">
        <v>6096</v>
      </c>
      <c r="I4471">
        <v>72</v>
      </c>
      <c r="J4471">
        <v>80.099999999999994</v>
      </c>
      <c r="K4471" t="s">
        <v>6100</v>
      </c>
      <c r="L4471" t="s">
        <v>6100</v>
      </c>
      <c r="M4471" t="s">
        <v>6100</v>
      </c>
      <c r="O4471" t="s">
        <v>6101</v>
      </c>
      <c r="P4471" t="s">
        <v>6113</v>
      </c>
      <c r="Q4471">
        <v>7</v>
      </c>
      <c r="R4471">
        <v>2026</v>
      </c>
      <c r="S4471" t="s">
        <v>6100</v>
      </c>
      <c r="T4471">
        <v>0</v>
      </c>
      <c r="U4471" t="s">
        <v>6021</v>
      </c>
      <c r="V4471">
        <v>0</v>
      </c>
    </row>
    <row r="4472" spans="1:22" x14ac:dyDescent="0.3">
      <c r="A4472" t="s">
        <v>4487</v>
      </c>
      <c r="B4472" s="2">
        <v>46225.563194444447</v>
      </c>
      <c r="C4472" s="2">
        <v>46225.813194444447</v>
      </c>
      <c r="D4472" t="s">
        <v>6028</v>
      </c>
      <c r="E4472" t="s">
        <v>6029</v>
      </c>
      <c r="F4472" t="s">
        <v>6035</v>
      </c>
      <c r="G4472" t="s">
        <v>6060</v>
      </c>
      <c r="H4472" t="s">
        <v>6097</v>
      </c>
      <c r="I4472">
        <v>4</v>
      </c>
      <c r="J4472">
        <v>6</v>
      </c>
      <c r="K4472" t="s">
        <v>6099</v>
      </c>
      <c r="L4472" t="s">
        <v>6100</v>
      </c>
      <c r="M4472" t="s">
        <v>6100</v>
      </c>
      <c r="N4472">
        <v>3</v>
      </c>
      <c r="O4472" t="s">
        <v>6101</v>
      </c>
      <c r="P4472" t="s">
        <v>6113</v>
      </c>
      <c r="Q4472">
        <v>7</v>
      </c>
      <c r="R4472">
        <v>2026</v>
      </c>
      <c r="S4472" t="s">
        <v>6100</v>
      </c>
      <c r="T4472">
        <v>0</v>
      </c>
      <c r="U4472" t="s">
        <v>6019</v>
      </c>
      <c r="V4472">
        <v>1</v>
      </c>
    </row>
    <row r="4473" spans="1:22" x14ac:dyDescent="0.3">
      <c r="A4473" t="s">
        <v>4488</v>
      </c>
      <c r="B4473" s="2">
        <v>46225.564583333333</v>
      </c>
      <c r="C4473" s="2">
        <v>46225.710416666669</v>
      </c>
      <c r="D4473" t="s">
        <v>6025</v>
      </c>
      <c r="E4473" t="s">
        <v>6029</v>
      </c>
      <c r="F4473" t="s">
        <v>6033</v>
      </c>
      <c r="G4473" t="s">
        <v>6081</v>
      </c>
      <c r="H4473" t="s">
        <v>6098</v>
      </c>
      <c r="I4473">
        <v>72</v>
      </c>
      <c r="J4473">
        <v>3.5</v>
      </c>
      <c r="K4473" t="s">
        <v>6099</v>
      </c>
      <c r="L4473" t="s">
        <v>6100</v>
      </c>
      <c r="M4473" t="s">
        <v>6100</v>
      </c>
      <c r="O4473" t="s">
        <v>6101</v>
      </c>
      <c r="P4473" t="s">
        <v>6113</v>
      </c>
      <c r="Q4473">
        <v>7</v>
      </c>
      <c r="R4473">
        <v>2026</v>
      </c>
      <c r="S4473" t="s">
        <v>6099</v>
      </c>
      <c r="T4473">
        <v>1</v>
      </c>
      <c r="U4473" t="s">
        <v>6017</v>
      </c>
      <c r="V4473">
        <v>1</v>
      </c>
    </row>
    <row r="4474" spans="1:22" x14ac:dyDescent="0.3">
      <c r="A4474" t="s">
        <v>4489</v>
      </c>
      <c r="B4474" s="2">
        <v>46225.567361111112</v>
      </c>
      <c r="C4474" s="2">
        <v>46225.625694444447</v>
      </c>
      <c r="D4474" t="s">
        <v>6028</v>
      </c>
      <c r="E4474" t="s">
        <v>6030</v>
      </c>
      <c r="F4474" t="s">
        <v>6035</v>
      </c>
      <c r="G4474" t="s">
        <v>6039</v>
      </c>
      <c r="H4474" t="s">
        <v>6097</v>
      </c>
      <c r="I4474">
        <v>4</v>
      </c>
      <c r="J4474">
        <v>1.4</v>
      </c>
      <c r="K4474" t="s">
        <v>6099</v>
      </c>
      <c r="L4474" t="s">
        <v>6100</v>
      </c>
      <c r="M4474" t="s">
        <v>6099</v>
      </c>
      <c r="N4474">
        <v>4</v>
      </c>
      <c r="O4474" t="s">
        <v>6101</v>
      </c>
      <c r="P4474" t="s">
        <v>6113</v>
      </c>
      <c r="Q4474">
        <v>7</v>
      </c>
      <c r="R4474">
        <v>2026</v>
      </c>
      <c r="S4474" t="s">
        <v>6099</v>
      </c>
      <c r="T4474">
        <v>1</v>
      </c>
      <c r="U4474" t="s">
        <v>6021</v>
      </c>
      <c r="V4474">
        <v>1</v>
      </c>
    </row>
    <row r="4475" spans="1:22" x14ac:dyDescent="0.3">
      <c r="A4475" t="s">
        <v>4490</v>
      </c>
      <c r="B4475" s="2">
        <v>46225.595833333333</v>
      </c>
      <c r="C4475" s="2">
        <v>46225.783333333333</v>
      </c>
      <c r="D4475" t="s">
        <v>6023</v>
      </c>
      <c r="E4475" t="s">
        <v>6029</v>
      </c>
      <c r="F4475" t="s">
        <v>6035</v>
      </c>
      <c r="G4475" t="s">
        <v>6045</v>
      </c>
      <c r="H4475" t="s">
        <v>6096</v>
      </c>
      <c r="I4475">
        <v>4</v>
      </c>
      <c r="J4475">
        <v>4.5</v>
      </c>
      <c r="K4475" t="s">
        <v>6099</v>
      </c>
      <c r="L4475" t="s">
        <v>6100</v>
      </c>
      <c r="M4475" t="s">
        <v>6099</v>
      </c>
      <c r="O4475" t="s">
        <v>6101</v>
      </c>
      <c r="P4475" t="s">
        <v>6113</v>
      </c>
      <c r="Q4475">
        <v>7</v>
      </c>
      <c r="R4475">
        <v>2026</v>
      </c>
      <c r="S4475" t="s">
        <v>6100</v>
      </c>
      <c r="T4475">
        <v>0</v>
      </c>
      <c r="U4475" t="s">
        <v>6018</v>
      </c>
      <c r="V4475">
        <v>1</v>
      </c>
    </row>
    <row r="4476" spans="1:22" x14ac:dyDescent="0.3">
      <c r="A4476" t="s">
        <v>4491</v>
      </c>
      <c r="B4476" s="2">
        <v>46225.693055555559</v>
      </c>
      <c r="C4476" s="2">
        <v>46226.530555555553</v>
      </c>
      <c r="D4476" t="s">
        <v>6028</v>
      </c>
      <c r="E4476" t="s">
        <v>6029</v>
      </c>
      <c r="F4476" t="s">
        <v>6033</v>
      </c>
      <c r="G4476" t="s">
        <v>6084</v>
      </c>
      <c r="H4476" t="s">
        <v>6098</v>
      </c>
      <c r="I4476">
        <v>72</v>
      </c>
      <c r="J4476">
        <v>20.100000000000001</v>
      </c>
      <c r="K4476" t="s">
        <v>6100</v>
      </c>
      <c r="L4476" t="s">
        <v>6099</v>
      </c>
      <c r="M4476" t="s">
        <v>6100</v>
      </c>
      <c r="N4476">
        <v>4</v>
      </c>
      <c r="O4476" t="s">
        <v>6101</v>
      </c>
      <c r="P4476" t="s">
        <v>6113</v>
      </c>
      <c r="Q4476">
        <v>7</v>
      </c>
      <c r="R4476">
        <v>2026</v>
      </c>
      <c r="S4476" t="s">
        <v>6099</v>
      </c>
      <c r="T4476">
        <v>1</v>
      </c>
      <c r="U4476" t="s">
        <v>6018</v>
      </c>
      <c r="V4476">
        <v>0</v>
      </c>
    </row>
    <row r="4477" spans="1:22" x14ac:dyDescent="0.3">
      <c r="A4477" t="s">
        <v>4492</v>
      </c>
      <c r="B4477" s="2">
        <v>46225.693055555559</v>
      </c>
      <c r="C4477" s="2">
        <v>46226.222222222219</v>
      </c>
      <c r="D4477" t="s">
        <v>6028</v>
      </c>
      <c r="E4477" t="s">
        <v>6031</v>
      </c>
      <c r="F4477" t="s">
        <v>6035</v>
      </c>
      <c r="G4477" t="s">
        <v>6052</v>
      </c>
      <c r="H4477" t="s">
        <v>6098</v>
      </c>
      <c r="I4477">
        <v>4</v>
      </c>
      <c r="J4477">
        <v>12.7</v>
      </c>
      <c r="K4477" t="s">
        <v>6099</v>
      </c>
      <c r="L4477" t="s">
        <v>6100</v>
      </c>
      <c r="M4477" t="s">
        <v>6099</v>
      </c>
      <c r="N4477">
        <v>4</v>
      </c>
      <c r="O4477" t="s">
        <v>6101</v>
      </c>
      <c r="P4477" t="s">
        <v>6113</v>
      </c>
      <c r="Q4477">
        <v>7</v>
      </c>
      <c r="R4477">
        <v>2026</v>
      </c>
      <c r="S4477" t="s">
        <v>6100</v>
      </c>
      <c r="T4477">
        <v>0</v>
      </c>
      <c r="U4477" t="s">
        <v>6021</v>
      </c>
      <c r="V4477">
        <v>1</v>
      </c>
    </row>
    <row r="4478" spans="1:22" x14ac:dyDescent="0.3">
      <c r="A4478" t="s">
        <v>4493</v>
      </c>
      <c r="B4478" s="2">
        <v>46225.705555555556</v>
      </c>
      <c r="C4478" s="2">
        <v>46227.343055555553</v>
      </c>
      <c r="D4478" t="s">
        <v>6027</v>
      </c>
      <c r="E4478" t="s">
        <v>6031</v>
      </c>
      <c r="F4478" t="s">
        <v>6034</v>
      </c>
      <c r="G4478" t="s">
        <v>6038</v>
      </c>
      <c r="H4478" t="s">
        <v>6096</v>
      </c>
      <c r="I4478">
        <v>24</v>
      </c>
      <c r="J4478">
        <v>39.299999999999997</v>
      </c>
      <c r="K4478" t="s">
        <v>6099</v>
      </c>
      <c r="L4478" t="s">
        <v>6100</v>
      </c>
      <c r="M4478" t="s">
        <v>6100</v>
      </c>
      <c r="N4478">
        <v>4</v>
      </c>
      <c r="O4478" t="s">
        <v>6101</v>
      </c>
      <c r="P4478" t="s">
        <v>6113</v>
      </c>
      <c r="Q4478">
        <v>7</v>
      </c>
      <c r="R4478">
        <v>2026</v>
      </c>
      <c r="S4478" t="s">
        <v>6100</v>
      </c>
      <c r="T4478">
        <v>0</v>
      </c>
      <c r="U4478" t="s">
        <v>6020</v>
      </c>
      <c r="V4478">
        <v>1</v>
      </c>
    </row>
    <row r="4479" spans="1:22" x14ac:dyDescent="0.3">
      <c r="A4479" t="s">
        <v>4494</v>
      </c>
      <c r="B4479" s="2">
        <v>46225.715277777781</v>
      </c>
      <c r="C4479" s="2">
        <v>46225.873611111114</v>
      </c>
      <c r="D4479" t="s">
        <v>6028</v>
      </c>
      <c r="E4479" t="s">
        <v>6029</v>
      </c>
      <c r="F4479" t="s">
        <v>6033</v>
      </c>
      <c r="G4479" t="s">
        <v>6051</v>
      </c>
      <c r="H4479" t="s">
        <v>6097</v>
      </c>
      <c r="I4479">
        <v>72</v>
      </c>
      <c r="J4479">
        <v>3.8</v>
      </c>
      <c r="K4479" t="s">
        <v>6099</v>
      </c>
      <c r="L4479" t="s">
        <v>6100</v>
      </c>
      <c r="M4479" t="s">
        <v>6100</v>
      </c>
      <c r="N4479">
        <v>3</v>
      </c>
      <c r="O4479" t="s">
        <v>6101</v>
      </c>
      <c r="P4479" t="s">
        <v>6113</v>
      </c>
      <c r="Q4479">
        <v>7</v>
      </c>
      <c r="R4479">
        <v>2026</v>
      </c>
      <c r="S4479" t="s">
        <v>6099</v>
      </c>
      <c r="T4479">
        <v>1</v>
      </c>
      <c r="U4479" t="s">
        <v>6018</v>
      </c>
      <c r="V4479">
        <v>1</v>
      </c>
    </row>
    <row r="4480" spans="1:22" x14ac:dyDescent="0.3">
      <c r="A4480" t="s">
        <v>4495</v>
      </c>
      <c r="B4480" s="2">
        <v>46225.719444444447</v>
      </c>
      <c r="C4480" s="2">
        <v>46225.777777777781</v>
      </c>
      <c r="D4480" t="s">
        <v>6028</v>
      </c>
      <c r="E4480" t="s">
        <v>6029</v>
      </c>
      <c r="F4480" t="s">
        <v>6035</v>
      </c>
      <c r="G4480" t="s">
        <v>6043</v>
      </c>
      <c r="H4480" t="s">
        <v>6097</v>
      </c>
      <c r="I4480">
        <v>4</v>
      </c>
      <c r="J4480">
        <v>1.4</v>
      </c>
      <c r="K4480" t="s">
        <v>6099</v>
      </c>
      <c r="L4480" t="s">
        <v>6100</v>
      </c>
      <c r="M4480" t="s">
        <v>6100</v>
      </c>
      <c r="N4480">
        <v>5</v>
      </c>
      <c r="O4480" t="s">
        <v>6101</v>
      </c>
      <c r="P4480" t="s">
        <v>6113</v>
      </c>
      <c r="Q4480">
        <v>7</v>
      </c>
      <c r="R4480">
        <v>2026</v>
      </c>
      <c r="S4480" t="s">
        <v>6099</v>
      </c>
      <c r="T4480">
        <v>1</v>
      </c>
      <c r="U4480" t="s">
        <v>6020</v>
      </c>
      <c r="V4480">
        <v>1</v>
      </c>
    </row>
    <row r="4481" spans="1:22" x14ac:dyDescent="0.3">
      <c r="A4481" t="s">
        <v>4496</v>
      </c>
      <c r="B4481" s="2">
        <v>46225.734027777777</v>
      </c>
      <c r="C4481" s="2">
        <v>46226.03402777778</v>
      </c>
      <c r="D4481" t="s">
        <v>6023</v>
      </c>
      <c r="E4481" t="s">
        <v>6032</v>
      </c>
      <c r="F4481" t="s">
        <v>6034</v>
      </c>
      <c r="G4481" t="s">
        <v>6083</v>
      </c>
      <c r="H4481" t="s">
        <v>6096</v>
      </c>
      <c r="I4481">
        <v>24</v>
      </c>
      <c r="J4481">
        <v>7.2</v>
      </c>
      <c r="K4481" t="s">
        <v>6099</v>
      </c>
      <c r="L4481" t="s">
        <v>6100</v>
      </c>
      <c r="M4481" t="s">
        <v>6100</v>
      </c>
      <c r="N4481">
        <v>5</v>
      </c>
      <c r="O4481" t="s">
        <v>6101</v>
      </c>
      <c r="P4481" t="s">
        <v>6113</v>
      </c>
      <c r="Q4481">
        <v>7</v>
      </c>
      <c r="R4481">
        <v>2026</v>
      </c>
      <c r="S4481" t="s">
        <v>6099</v>
      </c>
      <c r="T4481">
        <v>1</v>
      </c>
      <c r="U4481" t="s">
        <v>6018</v>
      </c>
      <c r="V4481">
        <v>1</v>
      </c>
    </row>
    <row r="4482" spans="1:22" x14ac:dyDescent="0.3">
      <c r="A4482" t="s">
        <v>4497</v>
      </c>
      <c r="B4482" s="2">
        <v>46225.82708333333</v>
      </c>
      <c r="C4482" s="2">
        <v>46225.92291666667</v>
      </c>
      <c r="D4482" t="s">
        <v>6027</v>
      </c>
      <c r="E4482" t="s">
        <v>6030</v>
      </c>
      <c r="F4482" t="s">
        <v>6033</v>
      </c>
      <c r="G4482" t="s">
        <v>6079</v>
      </c>
      <c r="H4482" t="s">
        <v>6097</v>
      </c>
      <c r="I4482">
        <v>72</v>
      </c>
      <c r="J4482">
        <v>2.2999999999999998</v>
      </c>
      <c r="K4482" t="s">
        <v>6099</v>
      </c>
      <c r="L4482" t="s">
        <v>6100</v>
      </c>
      <c r="M4482" t="s">
        <v>6100</v>
      </c>
      <c r="N4482">
        <v>5</v>
      </c>
      <c r="O4482" t="s">
        <v>6101</v>
      </c>
      <c r="P4482" t="s">
        <v>6113</v>
      </c>
      <c r="Q4482">
        <v>7</v>
      </c>
      <c r="R4482">
        <v>2026</v>
      </c>
      <c r="S4482" t="s">
        <v>6099</v>
      </c>
      <c r="T4482">
        <v>1</v>
      </c>
      <c r="U4482" t="s">
        <v>6021</v>
      </c>
      <c r="V4482">
        <v>1</v>
      </c>
    </row>
    <row r="4483" spans="1:22" x14ac:dyDescent="0.3">
      <c r="A4483" t="s">
        <v>4498</v>
      </c>
      <c r="B4483" s="2">
        <v>46225.868750000001</v>
      </c>
      <c r="C4483" s="2">
        <v>46226.206250000003</v>
      </c>
      <c r="D4483" t="s">
        <v>6023</v>
      </c>
      <c r="E4483" t="s">
        <v>6029</v>
      </c>
      <c r="F4483" t="s">
        <v>6033</v>
      </c>
      <c r="G4483" t="s">
        <v>6056</v>
      </c>
      <c r="H4483" t="s">
        <v>6098</v>
      </c>
      <c r="I4483">
        <v>72</v>
      </c>
      <c r="J4483">
        <v>8.1</v>
      </c>
      <c r="K4483" t="s">
        <v>6100</v>
      </c>
      <c r="L4483" t="s">
        <v>6100</v>
      </c>
      <c r="M4483" t="s">
        <v>6100</v>
      </c>
      <c r="N4483">
        <v>5</v>
      </c>
      <c r="O4483" t="s">
        <v>6101</v>
      </c>
      <c r="P4483" t="s">
        <v>6113</v>
      </c>
      <c r="Q4483">
        <v>7</v>
      </c>
      <c r="R4483">
        <v>2026</v>
      </c>
      <c r="S4483" t="s">
        <v>6099</v>
      </c>
      <c r="T4483">
        <v>1</v>
      </c>
      <c r="U4483" t="s">
        <v>6017</v>
      </c>
      <c r="V4483">
        <v>0</v>
      </c>
    </row>
    <row r="4484" spans="1:22" x14ac:dyDescent="0.3">
      <c r="A4484" t="s">
        <v>4499</v>
      </c>
      <c r="B4484" s="2">
        <v>46225.907638888886</v>
      </c>
      <c r="C4484" s="2">
        <v>46226.099305555559</v>
      </c>
      <c r="D4484" t="s">
        <v>6028</v>
      </c>
      <c r="E4484" t="s">
        <v>6029</v>
      </c>
      <c r="F4484" t="s">
        <v>6035</v>
      </c>
      <c r="G4484" t="s">
        <v>6081</v>
      </c>
      <c r="H4484" t="s">
        <v>6098</v>
      </c>
      <c r="I4484">
        <v>4</v>
      </c>
      <c r="J4484">
        <v>4.5999999999999996</v>
      </c>
      <c r="K4484" t="s">
        <v>6099</v>
      </c>
      <c r="L4484" t="s">
        <v>6100</v>
      </c>
      <c r="M4484" t="s">
        <v>6100</v>
      </c>
      <c r="N4484">
        <v>4</v>
      </c>
      <c r="O4484" t="s">
        <v>6101</v>
      </c>
      <c r="P4484" t="s">
        <v>6113</v>
      </c>
      <c r="Q4484">
        <v>7</v>
      </c>
      <c r="R4484">
        <v>2026</v>
      </c>
      <c r="S4484" t="s">
        <v>6100</v>
      </c>
      <c r="T4484">
        <v>0</v>
      </c>
      <c r="U4484" t="s">
        <v>6017</v>
      </c>
      <c r="V4484">
        <v>1</v>
      </c>
    </row>
    <row r="4485" spans="1:22" x14ac:dyDescent="0.3">
      <c r="A4485" t="s">
        <v>4500</v>
      </c>
      <c r="B4485" s="2">
        <v>46225.92083333333</v>
      </c>
      <c r="C4485" s="2">
        <v>46226.287499999999</v>
      </c>
      <c r="D4485" t="s">
        <v>6022</v>
      </c>
      <c r="E4485" t="s">
        <v>6030</v>
      </c>
      <c r="F4485" t="s">
        <v>6034</v>
      </c>
      <c r="G4485" t="s">
        <v>6055</v>
      </c>
      <c r="H4485" t="s">
        <v>6096</v>
      </c>
      <c r="I4485">
        <v>24</v>
      </c>
      <c r="J4485">
        <v>8.8000000000000007</v>
      </c>
      <c r="K4485" t="s">
        <v>6100</v>
      </c>
      <c r="L4485" t="s">
        <v>6100</v>
      </c>
      <c r="M4485" t="s">
        <v>6100</v>
      </c>
      <c r="N4485">
        <v>5</v>
      </c>
      <c r="O4485" t="s">
        <v>6101</v>
      </c>
      <c r="P4485" t="s">
        <v>6113</v>
      </c>
      <c r="Q4485">
        <v>7</v>
      </c>
      <c r="R4485">
        <v>2026</v>
      </c>
      <c r="S4485" t="s">
        <v>6099</v>
      </c>
      <c r="T4485">
        <v>1</v>
      </c>
      <c r="U4485" t="s">
        <v>6020</v>
      </c>
      <c r="V4485">
        <v>0</v>
      </c>
    </row>
    <row r="4486" spans="1:22" x14ac:dyDescent="0.3">
      <c r="A4486" t="s">
        <v>4501</v>
      </c>
      <c r="B4486" s="2">
        <v>46226.217361111114</v>
      </c>
      <c r="C4486" s="2">
        <v>46227.184027777781</v>
      </c>
      <c r="D4486" t="s">
        <v>6027</v>
      </c>
      <c r="E4486" t="s">
        <v>6032</v>
      </c>
      <c r="F4486" t="s">
        <v>6034</v>
      </c>
      <c r="G4486" t="s">
        <v>6078</v>
      </c>
      <c r="H4486" t="s">
        <v>6097</v>
      </c>
      <c r="I4486">
        <v>24</v>
      </c>
      <c r="J4486">
        <v>23.2</v>
      </c>
      <c r="K4486" t="s">
        <v>6099</v>
      </c>
      <c r="L4486" t="s">
        <v>6100</v>
      </c>
      <c r="M4486" t="s">
        <v>6099</v>
      </c>
      <c r="N4486">
        <v>5</v>
      </c>
      <c r="O4486" t="s">
        <v>6101</v>
      </c>
      <c r="P4486" t="s">
        <v>6113</v>
      </c>
      <c r="Q4486">
        <v>7</v>
      </c>
      <c r="R4486">
        <v>2026</v>
      </c>
      <c r="S4486" t="s">
        <v>6099</v>
      </c>
      <c r="T4486">
        <v>1</v>
      </c>
      <c r="U4486" t="s">
        <v>6021</v>
      </c>
      <c r="V4486">
        <v>1</v>
      </c>
    </row>
    <row r="4487" spans="1:22" x14ac:dyDescent="0.3">
      <c r="A4487" t="s">
        <v>4502</v>
      </c>
      <c r="B4487" s="2">
        <v>46226.224305555559</v>
      </c>
      <c r="C4487" s="2">
        <v>46229.199305555558</v>
      </c>
      <c r="D4487" t="s">
        <v>6026</v>
      </c>
      <c r="E4487" t="s">
        <v>6031</v>
      </c>
      <c r="F4487" t="s">
        <v>6034</v>
      </c>
      <c r="G4487" t="s">
        <v>6062</v>
      </c>
      <c r="H4487" t="s">
        <v>6096</v>
      </c>
      <c r="I4487">
        <v>24</v>
      </c>
      <c r="J4487">
        <v>71.400000000000006</v>
      </c>
      <c r="K4487" t="s">
        <v>6099</v>
      </c>
      <c r="L4487" t="s">
        <v>6100</v>
      </c>
      <c r="M4487" t="s">
        <v>6100</v>
      </c>
      <c r="N4487">
        <v>5</v>
      </c>
      <c r="O4487" t="s">
        <v>6101</v>
      </c>
      <c r="P4487" t="s">
        <v>6113</v>
      </c>
      <c r="Q4487">
        <v>7</v>
      </c>
      <c r="R4487">
        <v>2026</v>
      </c>
      <c r="S4487" t="s">
        <v>6100</v>
      </c>
      <c r="T4487">
        <v>0</v>
      </c>
      <c r="U4487" t="s">
        <v>6019</v>
      </c>
      <c r="V4487">
        <v>1</v>
      </c>
    </row>
    <row r="4488" spans="1:22" x14ac:dyDescent="0.3">
      <c r="A4488" t="s">
        <v>4503</v>
      </c>
      <c r="B4488" s="2">
        <v>46226.303472222222</v>
      </c>
      <c r="C4488" s="2">
        <v>46229.378472222219</v>
      </c>
      <c r="D4488" t="s">
        <v>6026</v>
      </c>
      <c r="E4488" t="s">
        <v>6031</v>
      </c>
      <c r="F4488" t="s">
        <v>6034</v>
      </c>
      <c r="G4488" t="s">
        <v>6092</v>
      </c>
      <c r="H4488" t="s">
        <v>6097</v>
      </c>
      <c r="I4488">
        <v>24</v>
      </c>
      <c r="J4488">
        <v>73.8</v>
      </c>
      <c r="K4488" t="s">
        <v>6100</v>
      </c>
      <c r="L4488" t="s">
        <v>6100</v>
      </c>
      <c r="M4488" t="s">
        <v>6100</v>
      </c>
      <c r="O4488" t="s">
        <v>6101</v>
      </c>
      <c r="P4488" t="s">
        <v>6113</v>
      </c>
      <c r="Q4488">
        <v>7</v>
      </c>
      <c r="R4488">
        <v>2026</v>
      </c>
      <c r="S4488" t="s">
        <v>6100</v>
      </c>
      <c r="T4488">
        <v>0</v>
      </c>
      <c r="U4488" t="s">
        <v>6019</v>
      </c>
      <c r="V4488">
        <v>0</v>
      </c>
    </row>
    <row r="4489" spans="1:22" x14ac:dyDescent="0.3">
      <c r="A4489" t="s">
        <v>4504</v>
      </c>
      <c r="B4489" s="2">
        <v>46226.305555555555</v>
      </c>
      <c r="C4489" s="2">
        <v>46228.49722222222</v>
      </c>
      <c r="D4489" t="s">
        <v>6026</v>
      </c>
      <c r="E4489" t="s">
        <v>6029</v>
      </c>
      <c r="F4489" t="s">
        <v>6035</v>
      </c>
      <c r="G4489" t="s">
        <v>6037</v>
      </c>
      <c r="H4489" t="s">
        <v>6096</v>
      </c>
      <c r="I4489">
        <v>4</v>
      </c>
      <c r="J4489">
        <v>52.6</v>
      </c>
      <c r="K4489" t="s">
        <v>6100</v>
      </c>
      <c r="L4489" t="s">
        <v>6099</v>
      </c>
      <c r="M4489" t="s">
        <v>6100</v>
      </c>
      <c r="N4489">
        <v>3</v>
      </c>
      <c r="O4489" t="s">
        <v>6101</v>
      </c>
      <c r="P4489" t="s">
        <v>6113</v>
      </c>
      <c r="Q4489">
        <v>7</v>
      </c>
      <c r="R4489">
        <v>2026</v>
      </c>
      <c r="S4489" t="s">
        <v>6100</v>
      </c>
      <c r="T4489">
        <v>0</v>
      </c>
      <c r="U4489" t="s">
        <v>6020</v>
      </c>
      <c r="V4489">
        <v>0</v>
      </c>
    </row>
    <row r="4490" spans="1:22" x14ac:dyDescent="0.3">
      <c r="A4490" t="s">
        <v>4505</v>
      </c>
      <c r="B4490" s="2">
        <v>46226.313194444447</v>
      </c>
      <c r="C4490" s="2">
        <v>46226.525694444441</v>
      </c>
      <c r="D4490" t="s">
        <v>6024</v>
      </c>
      <c r="E4490" t="s">
        <v>6030</v>
      </c>
      <c r="F4490" t="s">
        <v>6034</v>
      </c>
      <c r="G4490" t="s">
        <v>6091</v>
      </c>
      <c r="H4490" t="s">
        <v>6097</v>
      </c>
      <c r="I4490">
        <v>24</v>
      </c>
      <c r="J4490">
        <v>5.0999999999999996</v>
      </c>
      <c r="K4490" t="s">
        <v>6100</v>
      </c>
      <c r="L4490" t="s">
        <v>6100</v>
      </c>
      <c r="M4490" t="s">
        <v>6100</v>
      </c>
      <c r="N4490">
        <v>3</v>
      </c>
      <c r="O4490" t="s">
        <v>6101</v>
      </c>
      <c r="P4490" t="s">
        <v>6113</v>
      </c>
      <c r="Q4490">
        <v>7</v>
      </c>
      <c r="R4490">
        <v>2026</v>
      </c>
      <c r="S4490" t="s">
        <v>6099</v>
      </c>
      <c r="T4490">
        <v>1</v>
      </c>
      <c r="U4490" t="s">
        <v>6021</v>
      </c>
      <c r="V4490">
        <v>0</v>
      </c>
    </row>
    <row r="4491" spans="1:22" x14ac:dyDescent="0.3">
      <c r="A4491" t="s">
        <v>4506</v>
      </c>
      <c r="B4491" s="2">
        <v>46226.331944444442</v>
      </c>
      <c r="C4491" s="2">
        <v>46227.202777777777</v>
      </c>
      <c r="D4491" t="s">
        <v>6025</v>
      </c>
      <c r="E4491" t="s">
        <v>6029</v>
      </c>
      <c r="F4491" t="s">
        <v>6033</v>
      </c>
      <c r="G4491" t="s">
        <v>6039</v>
      </c>
      <c r="H4491" t="s">
        <v>6097</v>
      </c>
      <c r="I4491">
        <v>72</v>
      </c>
      <c r="J4491">
        <v>20.9</v>
      </c>
      <c r="K4491" t="s">
        <v>6099</v>
      </c>
      <c r="L4491" t="s">
        <v>6100</v>
      </c>
      <c r="M4491" t="s">
        <v>6100</v>
      </c>
      <c r="N4491">
        <v>5</v>
      </c>
      <c r="O4491" t="s">
        <v>6101</v>
      </c>
      <c r="P4491" t="s">
        <v>6113</v>
      </c>
      <c r="Q4491">
        <v>7</v>
      </c>
      <c r="R4491">
        <v>2026</v>
      </c>
      <c r="S4491" t="s">
        <v>6099</v>
      </c>
      <c r="T4491">
        <v>1</v>
      </c>
      <c r="U4491" t="s">
        <v>6019</v>
      </c>
      <c r="V4491">
        <v>1</v>
      </c>
    </row>
    <row r="4492" spans="1:22" x14ac:dyDescent="0.3">
      <c r="A4492" t="s">
        <v>4507</v>
      </c>
      <c r="B4492" s="2">
        <v>46226.369444444441</v>
      </c>
      <c r="C4492" s="2">
        <v>46226.936111111114</v>
      </c>
      <c r="D4492" t="s">
        <v>6024</v>
      </c>
      <c r="E4492" t="s">
        <v>6029</v>
      </c>
      <c r="F4492" t="s">
        <v>6034</v>
      </c>
      <c r="G4492" t="s">
        <v>6036</v>
      </c>
      <c r="H4492" t="s">
        <v>6096</v>
      </c>
      <c r="I4492">
        <v>24</v>
      </c>
      <c r="J4492">
        <v>13.6</v>
      </c>
      <c r="K4492" t="s">
        <v>6099</v>
      </c>
      <c r="L4492" t="s">
        <v>6100</v>
      </c>
      <c r="M4492" t="s">
        <v>6100</v>
      </c>
      <c r="N4492">
        <v>4</v>
      </c>
      <c r="O4492" t="s">
        <v>6101</v>
      </c>
      <c r="P4492" t="s">
        <v>6113</v>
      </c>
      <c r="Q4492">
        <v>7</v>
      </c>
      <c r="R4492">
        <v>2026</v>
      </c>
      <c r="S4492" t="s">
        <v>6099</v>
      </c>
      <c r="T4492">
        <v>1</v>
      </c>
      <c r="U4492" t="s">
        <v>6020</v>
      </c>
      <c r="V4492">
        <v>1</v>
      </c>
    </row>
    <row r="4493" spans="1:22" x14ac:dyDescent="0.3">
      <c r="A4493" t="s">
        <v>4508</v>
      </c>
      <c r="B4493" s="2">
        <v>46226.401388888888</v>
      </c>
      <c r="C4493" s="2">
        <v>46226.555555555555</v>
      </c>
      <c r="D4493" t="s">
        <v>6028</v>
      </c>
      <c r="E4493" t="s">
        <v>6029</v>
      </c>
      <c r="F4493" t="s">
        <v>6035</v>
      </c>
      <c r="G4493" t="s">
        <v>6046</v>
      </c>
      <c r="H4493" t="s">
        <v>6098</v>
      </c>
      <c r="I4493">
        <v>4</v>
      </c>
      <c r="J4493">
        <v>3.7</v>
      </c>
      <c r="K4493" t="s">
        <v>6099</v>
      </c>
      <c r="L4493" t="s">
        <v>6100</v>
      </c>
      <c r="M4493" t="s">
        <v>6100</v>
      </c>
      <c r="N4493">
        <v>5</v>
      </c>
      <c r="O4493" t="s">
        <v>6101</v>
      </c>
      <c r="P4493" t="s">
        <v>6113</v>
      </c>
      <c r="Q4493">
        <v>7</v>
      </c>
      <c r="R4493">
        <v>2026</v>
      </c>
      <c r="S4493" t="s">
        <v>6099</v>
      </c>
      <c r="T4493">
        <v>1</v>
      </c>
      <c r="U4493" t="s">
        <v>6020</v>
      </c>
      <c r="V4493">
        <v>1</v>
      </c>
    </row>
    <row r="4494" spans="1:22" x14ac:dyDescent="0.3">
      <c r="A4494" t="s">
        <v>4509</v>
      </c>
      <c r="B4494" s="2">
        <v>46226.435416666667</v>
      </c>
      <c r="C4494" s="2">
        <v>46227.07708333333</v>
      </c>
      <c r="D4494" t="s">
        <v>6026</v>
      </c>
      <c r="E4494" t="s">
        <v>6030</v>
      </c>
      <c r="F4494" t="s">
        <v>6033</v>
      </c>
      <c r="G4494" t="s">
        <v>6048</v>
      </c>
      <c r="H4494" t="s">
        <v>6096</v>
      </c>
      <c r="I4494">
        <v>72</v>
      </c>
      <c r="J4494">
        <v>15.4</v>
      </c>
      <c r="K4494" t="s">
        <v>6099</v>
      </c>
      <c r="L4494" t="s">
        <v>6100</v>
      </c>
      <c r="M4494" t="s">
        <v>6100</v>
      </c>
      <c r="O4494" t="s">
        <v>6101</v>
      </c>
      <c r="P4494" t="s">
        <v>6113</v>
      </c>
      <c r="Q4494">
        <v>7</v>
      </c>
      <c r="R4494">
        <v>2026</v>
      </c>
      <c r="S4494" t="s">
        <v>6099</v>
      </c>
      <c r="T4494">
        <v>1</v>
      </c>
      <c r="U4494" t="s">
        <v>6019</v>
      </c>
      <c r="V4494">
        <v>1</v>
      </c>
    </row>
    <row r="4495" spans="1:22" x14ac:dyDescent="0.3">
      <c r="A4495" t="s">
        <v>4510</v>
      </c>
      <c r="B4495" s="2">
        <v>46226.449305555558</v>
      </c>
      <c r="C4495" s="2">
        <v>46226.774305555555</v>
      </c>
      <c r="D4495" t="s">
        <v>6028</v>
      </c>
      <c r="E4495" t="s">
        <v>6031</v>
      </c>
      <c r="F4495" t="s">
        <v>6035</v>
      </c>
      <c r="G4495" t="s">
        <v>6094</v>
      </c>
      <c r="H4495" t="s">
        <v>6098</v>
      </c>
      <c r="I4495">
        <v>4</v>
      </c>
      <c r="J4495">
        <v>7.8</v>
      </c>
      <c r="K4495" t="s">
        <v>6099</v>
      </c>
      <c r="L4495" t="s">
        <v>6100</v>
      </c>
      <c r="M4495" t="s">
        <v>6100</v>
      </c>
      <c r="N4495">
        <v>5</v>
      </c>
      <c r="O4495" t="s">
        <v>6101</v>
      </c>
      <c r="P4495" t="s">
        <v>6113</v>
      </c>
      <c r="Q4495">
        <v>7</v>
      </c>
      <c r="R4495">
        <v>2026</v>
      </c>
      <c r="S4495" t="s">
        <v>6100</v>
      </c>
      <c r="T4495">
        <v>0</v>
      </c>
      <c r="U4495" t="s">
        <v>6020</v>
      </c>
      <c r="V4495">
        <v>1</v>
      </c>
    </row>
    <row r="4496" spans="1:22" x14ac:dyDescent="0.3">
      <c r="A4496" t="s">
        <v>4511</v>
      </c>
      <c r="B4496" s="2">
        <v>46226.45</v>
      </c>
      <c r="C4496" s="2">
        <v>46227.916666666664</v>
      </c>
      <c r="D4496" t="s">
        <v>6022</v>
      </c>
      <c r="E4496" t="s">
        <v>6031</v>
      </c>
      <c r="F4496" t="s">
        <v>6035</v>
      </c>
      <c r="G4496" t="s">
        <v>6043</v>
      </c>
      <c r="H4496" t="s">
        <v>6097</v>
      </c>
      <c r="I4496">
        <v>4</v>
      </c>
      <c r="J4496">
        <v>35.200000000000003</v>
      </c>
      <c r="K4496" t="s">
        <v>6099</v>
      </c>
      <c r="L4496" t="s">
        <v>6100</v>
      </c>
      <c r="M4496" t="s">
        <v>6100</v>
      </c>
      <c r="N4496">
        <v>3</v>
      </c>
      <c r="O4496" t="s">
        <v>6101</v>
      </c>
      <c r="P4496" t="s">
        <v>6113</v>
      </c>
      <c r="Q4496">
        <v>7</v>
      </c>
      <c r="R4496">
        <v>2026</v>
      </c>
      <c r="S4496" t="s">
        <v>6100</v>
      </c>
      <c r="T4496">
        <v>0</v>
      </c>
      <c r="U4496" t="s">
        <v>6019</v>
      </c>
      <c r="V4496">
        <v>1</v>
      </c>
    </row>
    <row r="4497" spans="1:22" x14ac:dyDescent="0.3">
      <c r="A4497" t="s">
        <v>4512</v>
      </c>
      <c r="B4497" s="2">
        <v>46226.457638888889</v>
      </c>
      <c r="C4497" s="2">
        <v>46230.21597222222</v>
      </c>
      <c r="D4497" t="s">
        <v>6025</v>
      </c>
      <c r="E4497" t="s">
        <v>6031</v>
      </c>
      <c r="F4497" t="s">
        <v>6033</v>
      </c>
      <c r="G4497" t="s">
        <v>6079</v>
      </c>
      <c r="H4497" t="s">
        <v>6097</v>
      </c>
      <c r="I4497">
        <v>72</v>
      </c>
      <c r="J4497">
        <v>90.2</v>
      </c>
      <c r="K4497" t="s">
        <v>6099</v>
      </c>
      <c r="L4497" t="s">
        <v>6100</v>
      </c>
      <c r="M4497" t="s">
        <v>6100</v>
      </c>
      <c r="N4497">
        <v>5</v>
      </c>
      <c r="O4497" t="s">
        <v>6101</v>
      </c>
      <c r="P4497" t="s">
        <v>6113</v>
      </c>
      <c r="Q4497">
        <v>7</v>
      </c>
      <c r="R4497">
        <v>2026</v>
      </c>
      <c r="S4497" t="s">
        <v>6100</v>
      </c>
      <c r="T4497">
        <v>0</v>
      </c>
      <c r="U4497" t="s">
        <v>6017</v>
      </c>
      <c r="V4497">
        <v>1</v>
      </c>
    </row>
    <row r="4498" spans="1:22" x14ac:dyDescent="0.3">
      <c r="A4498" t="s">
        <v>4513</v>
      </c>
      <c r="B4498" s="2">
        <v>46226.473611111112</v>
      </c>
      <c r="C4498" s="2">
        <v>46227.573611111111</v>
      </c>
      <c r="D4498" t="s">
        <v>6024</v>
      </c>
      <c r="E4498" t="s">
        <v>6031</v>
      </c>
      <c r="F4498" t="s">
        <v>6033</v>
      </c>
      <c r="G4498" t="s">
        <v>6075</v>
      </c>
      <c r="H4498" t="s">
        <v>6097</v>
      </c>
      <c r="I4498">
        <v>72</v>
      </c>
      <c r="J4498">
        <v>26.4</v>
      </c>
      <c r="K4498" t="s">
        <v>6099</v>
      </c>
      <c r="L4498" t="s">
        <v>6100</v>
      </c>
      <c r="M4498" t="s">
        <v>6100</v>
      </c>
      <c r="N4498">
        <v>4</v>
      </c>
      <c r="O4498" t="s">
        <v>6101</v>
      </c>
      <c r="P4498" t="s">
        <v>6113</v>
      </c>
      <c r="Q4498">
        <v>7</v>
      </c>
      <c r="R4498">
        <v>2026</v>
      </c>
      <c r="S4498" t="s">
        <v>6099</v>
      </c>
      <c r="T4498">
        <v>1</v>
      </c>
      <c r="U4498" t="s">
        <v>6017</v>
      </c>
      <c r="V4498">
        <v>1</v>
      </c>
    </row>
    <row r="4499" spans="1:22" x14ac:dyDescent="0.3">
      <c r="A4499" t="s">
        <v>4514</v>
      </c>
      <c r="B4499" s="2">
        <v>46226.518055555556</v>
      </c>
      <c r="C4499" s="2">
        <v>46226.743055555555</v>
      </c>
      <c r="D4499" t="s">
        <v>6022</v>
      </c>
      <c r="E4499" t="s">
        <v>6030</v>
      </c>
      <c r="F4499" t="s">
        <v>6034</v>
      </c>
      <c r="G4499" t="s">
        <v>6047</v>
      </c>
      <c r="H4499" t="s">
        <v>6098</v>
      </c>
      <c r="I4499">
        <v>24</v>
      </c>
      <c r="J4499">
        <v>5.4</v>
      </c>
      <c r="K4499" t="s">
        <v>6100</v>
      </c>
      <c r="L4499" t="s">
        <v>6100</v>
      </c>
      <c r="M4499" t="s">
        <v>6100</v>
      </c>
      <c r="N4499">
        <v>4</v>
      </c>
      <c r="O4499" t="s">
        <v>6101</v>
      </c>
      <c r="P4499" t="s">
        <v>6113</v>
      </c>
      <c r="Q4499">
        <v>7</v>
      </c>
      <c r="R4499">
        <v>2026</v>
      </c>
      <c r="S4499" t="s">
        <v>6099</v>
      </c>
      <c r="T4499">
        <v>1</v>
      </c>
      <c r="U4499" t="s">
        <v>6020</v>
      </c>
      <c r="V4499">
        <v>0</v>
      </c>
    </row>
    <row r="4500" spans="1:22" x14ac:dyDescent="0.3">
      <c r="A4500" t="s">
        <v>4515</v>
      </c>
      <c r="B4500" s="2">
        <v>46226.526388888888</v>
      </c>
      <c r="C4500" s="2">
        <v>46226.74722222222</v>
      </c>
      <c r="D4500" t="s">
        <v>6022</v>
      </c>
      <c r="E4500" t="s">
        <v>6030</v>
      </c>
      <c r="F4500" t="s">
        <v>6033</v>
      </c>
      <c r="G4500" t="s">
        <v>6054</v>
      </c>
      <c r="H4500" t="s">
        <v>6096</v>
      </c>
      <c r="I4500">
        <v>72</v>
      </c>
      <c r="J4500">
        <v>5.3</v>
      </c>
      <c r="K4500" t="s">
        <v>6099</v>
      </c>
      <c r="L4500" t="s">
        <v>6100</v>
      </c>
      <c r="M4500" t="s">
        <v>6100</v>
      </c>
      <c r="N4500">
        <v>4</v>
      </c>
      <c r="O4500" t="s">
        <v>6101</v>
      </c>
      <c r="P4500" t="s">
        <v>6113</v>
      </c>
      <c r="Q4500">
        <v>7</v>
      </c>
      <c r="R4500">
        <v>2026</v>
      </c>
      <c r="S4500" t="s">
        <v>6099</v>
      </c>
      <c r="T4500">
        <v>1</v>
      </c>
      <c r="U4500" t="s">
        <v>6019</v>
      </c>
      <c r="V4500">
        <v>1</v>
      </c>
    </row>
    <row r="4501" spans="1:22" x14ac:dyDescent="0.3">
      <c r="A4501" t="s">
        <v>4516</v>
      </c>
      <c r="B4501" s="2">
        <v>46226.579861111109</v>
      </c>
      <c r="C4501" s="2">
        <v>46226.813194444447</v>
      </c>
      <c r="D4501" t="s">
        <v>6022</v>
      </c>
      <c r="E4501" t="s">
        <v>6030</v>
      </c>
      <c r="F4501" t="s">
        <v>6034</v>
      </c>
      <c r="G4501" t="s">
        <v>6077</v>
      </c>
      <c r="H4501" t="s">
        <v>6098</v>
      </c>
      <c r="I4501">
        <v>24</v>
      </c>
      <c r="J4501">
        <v>5.6</v>
      </c>
      <c r="K4501" t="s">
        <v>6100</v>
      </c>
      <c r="L4501" t="s">
        <v>6099</v>
      </c>
      <c r="M4501" t="s">
        <v>6100</v>
      </c>
      <c r="O4501" t="s">
        <v>6101</v>
      </c>
      <c r="P4501" t="s">
        <v>6113</v>
      </c>
      <c r="Q4501">
        <v>7</v>
      </c>
      <c r="R4501">
        <v>2026</v>
      </c>
      <c r="S4501" t="s">
        <v>6099</v>
      </c>
      <c r="T4501">
        <v>1</v>
      </c>
      <c r="U4501" t="s">
        <v>6020</v>
      </c>
      <c r="V4501">
        <v>0</v>
      </c>
    </row>
    <row r="4502" spans="1:22" x14ac:dyDescent="0.3">
      <c r="A4502" t="s">
        <v>4517</v>
      </c>
      <c r="B4502" s="2">
        <v>46226.629166666666</v>
      </c>
      <c r="C4502" s="2">
        <v>46227.0625</v>
      </c>
      <c r="D4502" t="s">
        <v>6027</v>
      </c>
      <c r="E4502" t="s">
        <v>6030</v>
      </c>
      <c r="F4502" t="s">
        <v>6035</v>
      </c>
      <c r="G4502" t="s">
        <v>6072</v>
      </c>
      <c r="H4502" t="s">
        <v>6097</v>
      </c>
      <c r="I4502">
        <v>4</v>
      </c>
      <c r="J4502">
        <v>10.4</v>
      </c>
      <c r="K4502" t="s">
        <v>6099</v>
      </c>
      <c r="L4502" t="s">
        <v>6100</v>
      </c>
      <c r="M4502" t="s">
        <v>6100</v>
      </c>
      <c r="N4502">
        <v>4</v>
      </c>
      <c r="O4502" t="s">
        <v>6101</v>
      </c>
      <c r="P4502" t="s">
        <v>6113</v>
      </c>
      <c r="Q4502">
        <v>7</v>
      </c>
      <c r="R4502">
        <v>2026</v>
      </c>
      <c r="S4502" t="s">
        <v>6100</v>
      </c>
      <c r="T4502">
        <v>0</v>
      </c>
      <c r="U4502" t="s">
        <v>6021</v>
      </c>
      <c r="V4502">
        <v>1</v>
      </c>
    </row>
    <row r="4503" spans="1:22" x14ac:dyDescent="0.3">
      <c r="A4503" t="s">
        <v>4518</v>
      </c>
      <c r="B4503" s="2">
        <v>46226.637499999997</v>
      </c>
      <c r="C4503" s="2">
        <v>46227.208333333336</v>
      </c>
      <c r="D4503" t="s">
        <v>6025</v>
      </c>
      <c r="E4503" t="s">
        <v>6029</v>
      </c>
      <c r="F4503" t="s">
        <v>6034</v>
      </c>
      <c r="G4503" t="s">
        <v>6057</v>
      </c>
      <c r="H4503" t="s">
        <v>6097</v>
      </c>
      <c r="I4503">
        <v>24</v>
      </c>
      <c r="J4503">
        <v>13.7</v>
      </c>
      <c r="K4503" t="s">
        <v>6099</v>
      </c>
      <c r="L4503" t="s">
        <v>6100</v>
      </c>
      <c r="M4503" t="s">
        <v>6099</v>
      </c>
      <c r="O4503" t="s">
        <v>6101</v>
      </c>
      <c r="P4503" t="s">
        <v>6113</v>
      </c>
      <c r="Q4503">
        <v>7</v>
      </c>
      <c r="R4503">
        <v>2026</v>
      </c>
      <c r="S4503" t="s">
        <v>6099</v>
      </c>
      <c r="T4503">
        <v>1</v>
      </c>
      <c r="U4503" t="s">
        <v>6018</v>
      </c>
      <c r="V4503">
        <v>1</v>
      </c>
    </row>
    <row r="4504" spans="1:22" x14ac:dyDescent="0.3">
      <c r="A4504" t="s">
        <v>4519</v>
      </c>
      <c r="B4504" s="2">
        <v>46226.643055555556</v>
      </c>
      <c r="C4504" s="2">
        <v>46226.730555555558</v>
      </c>
      <c r="D4504" t="s">
        <v>6023</v>
      </c>
      <c r="E4504" t="s">
        <v>6030</v>
      </c>
      <c r="F4504" t="s">
        <v>6033</v>
      </c>
      <c r="G4504" t="s">
        <v>6051</v>
      </c>
      <c r="H4504" t="s">
        <v>6097</v>
      </c>
      <c r="I4504">
        <v>72</v>
      </c>
      <c r="J4504">
        <v>2.1</v>
      </c>
      <c r="K4504" t="s">
        <v>6099</v>
      </c>
      <c r="L4504" t="s">
        <v>6100</v>
      </c>
      <c r="M4504" t="s">
        <v>6100</v>
      </c>
      <c r="N4504">
        <v>4</v>
      </c>
      <c r="O4504" t="s">
        <v>6101</v>
      </c>
      <c r="P4504" t="s">
        <v>6113</v>
      </c>
      <c r="Q4504">
        <v>7</v>
      </c>
      <c r="R4504">
        <v>2026</v>
      </c>
      <c r="S4504" t="s">
        <v>6099</v>
      </c>
      <c r="T4504">
        <v>1</v>
      </c>
      <c r="U4504" t="s">
        <v>6017</v>
      </c>
      <c r="V4504">
        <v>1</v>
      </c>
    </row>
    <row r="4505" spans="1:22" x14ac:dyDescent="0.3">
      <c r="A4505" t="s">
        <v>4520</v>
      </c>
      <c r="B4505" s="2">
        <v>46226.645833333336</v>
      </c>
      <c r="C4505" s="2">
        <v>46226.974999999999</v>
      </c>
      <c r="D4505" t="s">
        <v>6025</v>
      </c>
      <c r="E4505" t="s">
        <v>6030</v>
      </c>
      <c r="F4505" t="s">
        <v>6034</v>
      </c>
      <c r="G4505" t="s">
        <v>6046</v>
      </c>
      <c r="H4505" t="s">
        <v>6098</v>
      </c>
      <c r="I4505">
        <v>24</v>
      </c>
      <c r="J4505">
        <v>7.9</v>
      </c>
      <c r="K4505" t="s">
        <v>6099</v>
      </c>
      <c r="L4505" t="s">
        <v>6100</v>
      </c>
      <c r="M4505" t="s">
        <v>6100</v>
      </c>
      <c r="O4505" t="s">
        <v>6101</v>
      </c>
      <c r="P4505" t="s">
        <v>6113</v>
      </c>
      <c r="Q4505">
        <v>7</v>
      </c>
      <c r="R4505">
        <v>2026</v>
      </c>
      <c r="S4505" t="s">
        <v>6099</v>
      </c>
      <c r="T4505">
        <v>1</v>
      </c>
      <c r="U4505" t="s">
        <v>6019</v>
      </c>
      <c r="V4505">
        <v>1</v>
      </c>
    </row>
    <row r="4506" spans="1:22" x14ac:dyDescent="0.3">
      <c r="A4506" t="s">
        <v>4521</v>
      </c>
      <c r="B4506" s="2">
        <v>46226.665277777778</v>
      </c>
      <c r="C4506" s="2">
        <v>46227.319444444445</v>
      </c>
      <c r="D4506" t="s">
        <v>6027</v>
      </c>
      <c r="E4506" t="s">
        <v>6032</v>
      </c>
      <c r="F4506" t="s">
        <v>6033</v>
      </c>
      <c r="G4506" t="s">
        <v>6047</v>
      </c>
      <c r="H4506" t="s">
        <v>6098</v>
      </c>
      <c r="I4506">
        <v>72</v>
      </c>
      <c r="J4506">
        <v>15.7</v>
      </c>
      <c r="K4506" t="s">
        <v>6099</v>
      </c>
      <c r="L4506" t="s">
        <v>6100</v>
      </c>
      <c r="M4506" t="s">
        <v>6100</v>
      </c>
      <c r="N4506">
        <v>5</v>
      </c>
      <c r="O4506" t="s">
        <v>6101</v>
      </c>
      <c r="P4506" t="s">
        <v>6113</v>
      </c>
      <c r="Q4506">
        <v>7</v>
      </c>
      <c r="R4506">
        <v>2026</v>
      </c>
      <c r="S4506" t="s">
        <v>6099</v>
      </c>
      <c r="T4506">
        <v>1</v>
      </c>
      <c r="U4506" t="s">
        <v>6018</v>
      </c>
      <c r="V4506">
        <v>1</v>
      </c>
    </row>
    <row r="4507" spans="1:22" x14ac:dyDescent="0.3">
      <c r="A4507" t="s">
        <v>4522</v>
      </c>
      <c r="B4507" s="2">
        <v>46226.68472222222</v>
      </c>
      <c r="C4507" s="2">
        <v>46227.12222222222</v>
      </c>
      <c r="D4507" t="s">
        <v>6028</v>
      </c>
      <c r="E4507" t="s">
        <v>6032</v>
      </c>
      <c r="F4507" t="s">
        <v>6035</v>
      </c>
      <c r="G4507" t="s">
        <v>6047</v>
      </c>
      <c r="H4507" t="s">
        <v>6098</v>
      </c>
      <c r="I4507">
        <v>4</v>
      </c>
      <c r="J4507">
        <v>10.5</v>
      </c>
      <c r="K4507" t="s">
        <v>6099</v>
      </c>
      <c r="L4507" t="s">
        <v>6100</v>
      </c>
      <c r="M4507" t="s">
        <v>6100</v>
      </c>
      <c r="O4507" t="s">
        <v>6101</v>
      </c>
      <c r="P4507" t="s">
        <v>6113</v>
      </c>
      <c r="Q4507">
        <v>7</v>
      </c>
      <c r="R4507">
        <v>2026</v>
      </c>
      <c r="S4507" t="s">
        <v>6100</v>
      </c>
      <c r="T4507">
        <v>0</v>
      </c>
      <c r="U4507" t="s">
        <v>6018</v>
      </c>
      <c r="V4507">
        <v>1</v>
      </c>
    </row>
    <row r="4508" spans="1:22" x14ac:dyDescent="0.3">
      <c r="A4508" t="s">
        <v>4523</v>
      </c>
      <c r="B4508" s="2">
        <v>46226.729861111111</v>
      </c>
      <c r="C4508" s="2">
        <v>46231.917361111111</v>
      </c>
      <c r="D4508" t="s">
        <v>6025</v>
      </c>
      <c r="E4508" t="s">
        <v>6031</v>
      </c>
      <c r="F4508" t="s">
        <v>6033</v>
      </c>
      <c r="G4508" t="s">
        <v>6064</v>
      </c>
      <c r="H4508" t="s">
        <v>6096</v>
      </c>
      <c r="I4508">
        <v>72</v>
      </c>
      <c r="J4508">
        <v>124.5</v>
      </c>
      <c r="K4508" t="s">
        <v>6099</v>
      </c>
      <c r="L4508" t="s">
        <v>6100</v>
      </c>
      <c r="M4508" t="s">
        <v>6100</v>
      </c>
      <c r="N4508">
        <v>4</v>
      </c>
      <c r="O4508" t="s">
        <v>6101</v>
      </c>
      <c r="P4508" t="s">
        <v>6113</v>
      </c>
      <c r="Q4508">
        <v>7</v>
      </c>
      <c r="R4508">
        <v>2026</v>
      </c>
      <c r="S4508" t="s">
        <v>6100</v>
      </c>
      <c r="T4508">
        <v>0</v>
      </c>
      <c r="U4508" t="s">
        <v>6019</v>
      </c>
      <c r="V4508">
        <v>1</v>
      </c>
    </row>
    <row r="4509" spans="1:22" x14ac:dyDescent="0.3">
      <c r="A4509" t="s">
        <v>4524</v>
      </c>
      <c r="B4509" s="2">
        <v>46226.743055555555</v>
      </c>
      <c r="C4509" s="2">
        <v>46227.255555555559</v>
      </c>
      <c r="D4509" t="s">
        <v>6028</v>
      </c>
      <c r="E4509" t="s">
        <v>6029</v>
      </c>
      <c r="F4509" t="s">
        <v>6034</v>
      </c>
      <c r="G4509" t="s">
        <v>6043</v>
      </c>
      <c r="H4509" t="s">
        <v>6097</v>
      </c>
      <c r="I4509">
        <v>24</v>
      </c>
      <c r="J4509">
        <v>12.3</v>
      </c>
      <c r="K4509" t="s">
        <v>6099</v>
      </c>
      <c r="L4509" t="s">
        <v>6100</v>
      </c>
      <c r="M4509" t="s">
        <v>6100</v>
      </c>
      <c r="N4509">
        <v>5</v>
      </c>
      <c r="O4509" t="s">
        <v>6101</v>
      </c>
      <c r="P4509" t="s">
        <v>6113</v>
      </c>
      <c r="Q4509">
        <v>7</v>
      </c>
      <c r="R4509">
        <v>2026</v>
      </c>
      <c r="S4509" t="s">
        <v>6099</v>
      </c>
      <c r="T4509">
        <v>1</v>
      </c>
      <c r="U4509" t="s">
        <v>6017</v>
      </c>
      <c r="V4509">
        <v>1</v>
      </c>
    </row>
    <row r="4510" spans="1:22" x14ac:dyDescent="0.3">
      <c r="A4510" t="s">
        <v>4525</v>
      </c>
      <c r="B4510" s="2">
        <v>46226.775694444441</v>
      </c>
      <c r="C4510" s="2">
        <v>46227.050694444442</v>
      </c>
      <c r="D4510" t="s">
        <v>6022</v>
      </c>
      <c r="E4510" t="s">
        <v>6030</v>
      </c>
      <c r="F4510" t="s">
        <v>6034</v>
      </c>
      <c r="G4510" t="s">
        <v>6094</v>
      </c>
      <c r="H4510" t="s">
        <v>6098</v>
      </c>
      <c r="I4510">
        <v>24</v>
      </c>
      <c r="J4510">
        <v>6.6</v>
      </c>
      <c r="K4510" t="s">
        <v>6099</v>
      </c>
      <c r="L4510" t="s">
        <v>6100</v>
      </c>
      <c r="M4510" t="s">
        <v>6100</v>
      </c>
      <c r="O4510" t="s">
        <v>6101</v>
      </c>
      <c r="P4510" t="s">
        <v>6113</v>
      </c>
      <c r="Q4510">
        <v>7</v>
      </c>
      <c r="R4510">
        <v>2026</v>
      </c>
      <c r="S4510" t="s">
        <v>6099</v>
      </c>
      <c r="T4510">
        <v>1</v>
      </c>
      <c r="U4510" t="s">
        <v>6018</v>
      </c>
      <c r="V4510">
        <v>1</v>
      </c>
    </row>
    <row r="4511" spans="1:22" x14ac:dyDescent="0.3">
      <c r="A4511" t="s">
        <v>4526</v>
      </c>
      <c r="B4511" s="2">
        <v>46226.802777777775</v>
      </c>
      <c r="C4511" s="2">
        <v>46227.161111111112</v>
      </c>
      <c r="D4511" t="s">
        <v>6022</v>
      </c>
      <c r="E4511" t="s">
        <v>6029</v>
      </c>
      <c r="F4511" t="s">
        <v>6033</v>
      </c>
      <c r="G4511" t="s">
        <v>6045</v>
      </c>
      <c r="H4511" t="s">
        <v>6096</v>
      </c>
      <c r="I4511">
        <v>72</v>
      </c>
      <c r="J4511">
        <v>8.6</v>
      </c>
      <c r="K4511" t="s">
        <v>6099</v>
      </c>
      <c r="L4511" t="s">
        <v>6100</v>
      </c>
      <c r="M4511" t="s">
        <v>6100</v>
      </c>
      <c r="N4511">
        <v>5</v>
      </c>
      <c r="O4511" t="s">
        <v>6101</v>
      </c>
      <c r="P4511" t="s">
        <v>6113</v>
      </c>
      <c r="Q4511">
        <v>7</v>
      </c>
      <c r="R4511">
        <v>2026</v>
      </c>
      <c r="S4511" t="s">
        <v>6099</v>
      </c>
      <c r="T4511">
        <v>1</v>
      </c>
      <c r="U4511" t="s">
        <v>6019</v>
      </c>
      <c r="V4511">
        <v>1</v>
      </c>
    </row>
    <row r="4512" spans="1:22" x14ac:dyDescent="0.3">
      <c r="A4512" t="s">
        <v>4527</v>
      </c>
      <c r="B4512" s="2">
        <v>46227.174305555556</v>
      </c>
      <c r="C4512" s="2">
        <v>46227.240972222222</v>
      </c>
      <c r="D4512" t="s">
        <v>6023</v>
      </c>
      <c r="E4512" t="s">
        <v>6030</v>
      </c>
      <c r="F4512" t="s">
        <v>6033</v>
      </c>
      <c r="G4512" t="s">
        <v>6040</v>
      </c>
      <c r="H4512" t="s">
        <v>6097</v>
      </c>
      <c r="I4512">
        <v>72</v>
      </c>
      <c r="J4512">
        <v>1.6</v>
      </c>
      <c r="K4512" t="s">
        <v>6099</v>
      </c>
      <c r="L4512" t="s">
        <v>6100</v>
      </c>
      <c r="M4512" t="s">
        <v>6100</v>
      </c>
      <c r="N4512">
        <v>5</v>
      </c>
      <c r="O4512" t="s">
        <v>6101</v>
      </c>
      <c r="P4512" t="s">
        <v>6113</v>
      </c>
      <c r="Q4512">
        <v>7</v>
      </c>
      <c r="R4512">
        <v>2026</v>
      </c>
      <c r="S4512" t="s">
        <v>6099</v>
      </c>
      <c r="T4512">
        <v>1</v>
      </c>
      <c r="U4512" t="s">
        <v>6021</v>
      </c>
      <c r="V4512">
        <v>1</v>
      </c>
    </row>
    <row r="4513" spans="1:22" x14ac:dyDescent="0.3">
      <c r="A4513" t="s">
        <v>4528</v>
      </c>
      <c r="B4513" s="2">
        <v>46227.3</v>
      </c>
      <c r="C4513" s="2">
        <v>46227.64166666667</v>
      </c>
      <c r="D4513" t="s">
        <v>6022</v>
      </c>
      <c r="E4513" t="s">
        <v>6030</v>
      </c>
      <c r="F4513" t="s">
        <v>6035</v>
      </c>
      <c r="G4513" t="s">
        <v>6072</v>
      </c>
      <c r="H4513" t="s">
        <v>6097</v>
      </c>
      <c r="I4513">
        <v>4</v>
      </c>
      <c r="J4513">
        <v>8.1999999999999993</v>
      </c>
      <c r="K4513" t="s">
        <v>6099</v>
      </c>
      <c r="L4513" t="s">
        <v>6100</v>
      </c>
      <c r="M4513" t="s">
        <v>6100</v>
      </c>
      <c r="N4513">
        <v>5</v>
      </c>
      <c r="O4513" t="s">
        <v>6101</v>
      </c>
      <c r="P4513" t="s">
        <v>6113</v>
      </c>
      <c r="Q4513">
        <v>7</v>
      </c>
      <c r="R4513">
        <v>2026</v>
      </c>
      <c r="S4513" t="s">
        <v>6100</v>
      </c>
      <c r="T4513">
        <v>0</v>
      </c>
      <c r="U4513" t="s">
        <v>6020</v>
      </c>
      <c r="V4513">
        <v>1</v>
      </c>
    </row>
    <row r="4514" spans="1:22" x14ac:dyDescent="0.3">
      <c r="A4514" t="s">
        <v>4529</v>
      </c>
      <c r="B4514" s="2">
        <v>46227.35833333333</v>
      </c>
      <c r="C4514" s="2">
        <v>46227.508333333331</v>
      </c>
      <c r="D4514" t="s">
        <v>6028</v>
      </c>
      <c r="E4514" t="s">
        <v>6030</v>
      </c>
      <c r="F4514" t="s">
        <v>6034</v>
      </c>
      <c r="G4514" t="s">
        <v>6089</v>
      </c>
      <c r="H4514" t="s">
        <v>6098</v>
      </c>
      <c r="I4514">
        <v>24</v>
      </c>
      <c r="J4514">
        <v>3.6</v>
      </c>
      <c r="K4514" t="s">
        <v>6099</v>
      </c>
      <c r="L4514" t="s">
        <v>6100</v>
      </c>
      <c r="M4514" t="s">
        <v>6100</v>
      </c>
      <c r="N4514">
        <v>4</v>
      </c>
      <c r="O4514" t="s">
        <v>6101</v>
      </c>
      <c r="P4514" t="s">
        <v>6113</v>
      </c>
      <c r="Q4514">
        <v>7</v>
      </c>
      <c r="R4514">
        <v>2026</v>
      </c>
      <c r="S4514" t="s">
        <v>6099</v>
      </c>
      <c r="T4514">
        <v>1</v>
      </c>
      <c r="U4514" t="s">
        <v>6018</v>
      </c>
      <c r="V4514">
        <v>1</v>
      </c>
    </row>
    <row r="4515" spans="1:22" x14ac:dyDescent="0.3">
      <c r="A4515" t="s">
        <v>4530</v>
      </c>
      <c r="B4515" s="2">
        <v>46227.399305555555</v>
      </c>
      <c r="C4515" s="2">
        <v>46228.799305555556</v>
      </c>
      <c r="D4515" t="s">
        <v>6024</v>
      </c>
      <c r="E4515" t="s">
        <v>6032</v>
      </c>
      <c r="F4515" t="s">
        <v>6035</v>
      </c>
      <c r="G4515" t="s">
        <v>6041</v>
      </c>
      <c r="H4515" t="s">
        <v>6096</v>
      </c>
      <c r="I4515">
        <v>4</v>
      </c>
      <c r="J4515">
        <v>33.6</v>
      </c>
      <c r="K4515" t="s">
        <v>6100</v>
      </c>
      <c r="L4515" t="s">
        <v>6100</v>
      </c>
      <c r="M4515" t="s">
        <v>6100</v>
      </c>
      <c r="N4515">
        <v>4</v>
      </c>
      <c r="O4515" t="s">
        <v>6101</v>
      </c>
      <c r="P4515" t="s">
        <v>6113</v>
      </c>
      <c r="Q4515">
        <v>7</v>
      </c>
      <c r="R4515">
        <v>2026</v>
      </c>
      <c r="S4515" t="s">
        <v>6100</v>
      </c>
      <c r="T4515">
        <v>0</v>
      </c>
      <c r="U4515" t="s">
        <v>6021</v>
      </c>
      <c r="V4515">
        <v>0</v>
      </c>
    </row>
    <row r="4516" spans="1:22" x14ac:dyDescent="0.3">
      <c r="A4516" t="s">
        <v>4531</v>
      </c>
      <c r="B4516" s="2">
        <v>46227.412499999999</v>
      </c>
      <c r="C4516" s="2">
        <v>46227.887499999997</v>
      </c>
      <c r="D4516" t="s">
        <v>6023</v>
      </c>
      <c r="E4516" t="s">
        <v>6029</v>
      </c>
      <c r="F4516" t="s">
        <v>6033</v>
      </c>
      <c r="G4516" t="s">
        <v>6090</v>
      </c>
      <c r="H4516" t="s">
        <v>6097</v>
      </c>
      <c r="I4516">
        <v>72</v>
      </c>
      <c r="J4516">
        <v>11.4</v>
      </c>
      <c r="K4516" t="s">
        <v>6099</v>
      </c>
      <c r="L4516" t="s">
        <v>6100</v>
      </c>
      <c r="M4516" t="s">
        <v>6100</v>
      </c>
      <c r="N4516">
        <v>5</v>
      </c>
      <c r="O4516" t="s">
        <v>6101</v>
      </c>
      <c r="P4516" t="s">
        <v>6113</v>
      </c>
      <c r="Q4516">
        <v>7</v>
      </c>
      <c r="R4516">
        <v>2026</v>
      </c>
      <c r="S4516" t="s">
        <v>6099</v>
      </c>
      <c r="T4516">
        <v>1</v>
      </c>
      <c r="U4516" t="s">
        <v>6021</v>
      </c>
      <c r="V4516">
        <v>1</v>
      </c>
    </row>
    <row r="4517" spans="1:22" x14ac:dyDescent="0.3">
      <c r="A4517" t="s">
        <v>4532</v>
      </c>
      <c r="B4517" s="2">
        <v>46227.424305555556</v>
      </c>
      <c r="C4517" s="2">
        <v>46227.565972222219</v>
      </c>
      <c r="D4517" t="s">
        <v>6024</v>
      </c>
      <c r="E4517" t="s">
        <v>6030</v>
      </c>
      <c r="F4517" t="s">
        <v>6033</v>
      </c>
      <c r="G4517" t="s">
        <v>6070</v>
      </c>
      <c r="H4517" t="s">
        <v>6097</v>
      </c>
      <c r="I4517">
        <v>72</v>
      </c>
      <c r="J4517">
        <v>3.4</v>
      </c>
      <c r="K4517" t="s">
        <v>6099</v>
      </c>
      <c r="L4517" t="s">
        <v>6100</v>
      </c>
      <c r="M4517" t="s">
        <v>6100</v>
      </c>
      <c r="O4517" t="s">
        <v>6101</v>
      </c>
      <c r="P4517" t="s">
        <v>6113</v>
      </c>
      <c r="Q4517">
        <v>7</v>
      </c>
      <c r="R4517">
        <v>2026</v>
      </c>
      <c r="S4517" t="s">
        <v>6099</v>
      </c>
      <c r="T4517">
        <v>1</v>
      </c>
      <c r="U4517" t="s">
        <v>6017</v>
      </c>
      <c r="V4517">
        <v>1</v>
      </c>
    </row>
    <row r="4518" spans="1:22" x14ac:dyDescent="0.3">
      <c r="A4518" t="s">
        <v>4533</v>
      </c>
      <c r="B4518" s="2">
        <v>46227.462500000001</v>
      </c>
      <c r="C4518" s="2">
        <v>46227.974999999999</v>
      </c>
      <c r="D4518" t="s">
        <v>6025</v>
      </c>
      <c r="E4518" t="s">
        <v>6030</v>
      </c>
      <c r="F4518" t="s">
        <v>6034</v>
      </c>
      <c r="G4518" t="s">
        <v>6057</v>
      </c>
      <c r="H4518" t="s">
        <v>6097</v>
      </c>
      <c r="I4518">
        <v>24</v>
      </c>
      <c r="J4518">
        <v>12.3</v>
      </c>
      <c r="K4518" t="s">
        <v>6100</v>
      </c>
      <c r="L4518" t="s">
        <v>6099</v>
      </c>
      <c r="M4518" t="s">
        <v>6100</v>
      </c>
      <c r="N4518">
        <v>2</v>
      </c>
      <c r="O4518" t="s">
        <v>6101</v>
      </c>
      <c r="P4518" t="s">
        <v>6113</v>
      </c>
      <c r="Q4518">
        <v>7</v>
      </c>
      <c r="R4518">
        <v>2026</v>
      </c>
      <c r="S4518" t="s">
        <v>6099</v>
      </c>
      <c r="T4518">
        <v>1</v>
      </c>
      <c r="U4518" t="s">
        <v>6020</v>
      </c>
      <c r="V4518">
        <v>0</v>
      </c>
    </row>
    <row r="4519" spans="1:22" x14ac:dyDescent="0.3">
      <c r="A4519" t="s">
        <v>4534</v>
      </c>
      <c r="B4519" s="2">
        <v>46227.477083333331</v>
      </c>
      <c r="C4519" s="2">
        <v>46227.785416666666</v>
      </c>
      <c r="D4519" t="s">
        <v>6024</v>
      </c>
      <c r="E4519" t="s">
        <v>6029</v>
      </c>
      <c r="F4519" t="s">
        <v>6034</v>
      </c>
      <c r="G4519" t="s">
        <v>6084</v>
      </c>
      <c r="H4519" t="s">
        <v>6098</v>
      </c>
      <c r="I4519">
        <v>24</v>
      </c>
      <c r="J4519">
        <v>7.4</v>
      </c>
      <c r="K4519" t="s">
        <v>6099</v>
      </c>
      <c r="L4519" t="s">
        <v>6100</v>
      </c>
      <c r="M4519" t="s">
        <v>6100</v>
      </c>
      <c r="N4519">
        <v>5</v>
      </c>
      <c r="O4519" t="s">
        <v>6101</v>
      </c>
      <c r="P4519" t="s">
        <v>6113</v>
      </c>
      <c r="Q4519">
        <v>7</v>
      </c>
      <c r="R4519">
        <v>2026</v>
      </c>
      <c r="S4519" t="s">
        <v>6099</v>
      </c>
      <c r="T4519">
        <v>1</v>
      </c>
      <c r="U4519" t="s">
        <v>6020</v>
      </c>
      <c r="V4519">
        <v>1</v>
      </c>
    </row>
    <row r="4520" spans="1:22" x14ac:dyDescent="0.3">
      <c r="A4520" t="s">
        <v>4535</v>
      </c>
      <c r="B4520" s="2">
        <v>46227.484027777777</v>
      </c>
      <c r="C4520" s="2">
        <v>46227.53402777778</v>
      </c>
      <c r="D4520" t="s">
        <v>6023</v>
      </c>
      <c r="E4520" t="s">
        <v>6030</v>
      </c>
      <c r="F4520" t="s">
        <v>6034</v>
      </c>
      <c r="G4520" t="s">
        <v>6082</v>
      </c>
      <c r="H4520" t="s">
        <v>6097</v>
      </c>
      <c r="I4520">
        <v>24</v>
      </c>
      <c r="J4520">
        <v>1.2</v>
      </c>
      <c r="K4520" t="s">
        <v>6099</v>
      </c>
      <c r="L4520" t="s">
        <v>6100</v>
      </c>
      <c r="M4520" t="s">
        <v>6099</v>
      </c>
      <c r="N4520">
        <v>3</v>
      </c>
      <c r="O4520" t="s">
        <v>6101</v>
      </c>
      <c r="P4520" t="s">
        <v>6113</v>
      </c>
      <c r="Q4520">
        <v>7</v>
      </c>
      <c r="R4520">
        <v>2026</v>
      </c>
      <c r="S4520" t="s">
        <v>6099</v>
      </c>
      <c r="T4520">
        <v>1</v>
      </c>
      <c r="U4520" t="s">
        <v>6020</v>
      </c>
      <c r="V4520">
        <v>1</v>
      </c>
    </row>
    <row r="4521" spans="1:22" x14ac:dyDescent="0.3">
      <c r="A4521" t="s">
        <v>4536</v>
      </c>
      <c r="B4521" s="2">
        <v>46227.484722222223</v>
      </c>
      <c r="C4521" s="2">
        <v>46227.968055555553</v>
      </c>
      <c r="D4521" t="s">
        <v>6024</v>
      </c>
      <c r="E4521" t="s">
        <v>6030</v>
      </c>
      <c r="F4521" t="s">
        <v>6034</v>
      </c>
      <c r="G4521" t="s">
        <v>6062</v>
      </c>
      <c r="H4521" t="s">
        <v>6096</v>
      </c>
      <c r="I4521">
        <v>24</v>
      </c>
      <c r="J4521">
        <v>11.6</v>
      </c>
      <c r="K4521" t="s">
        <v>6099</v>
      </c>
      <c r="L4521" t="s">
        <v>6100</v>
      </c>
      <c r="M4521" t="s">
        <v>6100</v>
      </c>
      <c r="N4521">
        <v>5</v>
      </c>
      <c r="O4521" t="s">
        <v>6101</v>
      </c>
      <c r="P4521" t="s">
        <v>6113</v>
      </c>
      <c r="Q4521">
        <v>7</v>
      </c>
      <c r="R4521">
        <v>2026</v>
      </c>
      <c r="S4521" t="s">
        <v>6099</v>
      </c>
      <c r="T4521">
        <v>1</v>
      </c>
      <c r="U4521" t="s">
        <v>6018</v>
      </c>
      <c r="V4521">
        <v>1</v>
      </c>
    </row>
    <row r="4522" spans="1:22" x14ac:dyDescent="0.3">
      <c r="A4522" t="s">
        <v>4537</v>
      </c>
      <c r="B4522" s="2">
        <v>46227.490972222222</v>
      </c>
      <c r="C4522" s="2">
        <v>46227.632638888892</v>
      </c>
      <c r="D4522" t="s">
        <v>6028</v>
      </c>
      <c r="E4522" t="s">
        <v>6030</v>
      </c>
      <c r="F4522" t="s">
        <v>6033</v>
      </c>
      <c r="G4522" t="s">
        <v>6036</v>
      </c>
      <c r="H4522" t="s">
        <v>6096</v>
      </c>
      <c r="I4522">
        <v>72</v>
      </c>
      <c r="J4522">
        <v>3.4</v>
      </c>
      <c r="K4522" t="s">
        <v>6099</v>
      </c>
      <c r="L4522" t="s">
        <v>6100</v>
      </c>
      <c r="M4522" t="s">
        <v>6100</v>
      </c>
      <c r="N4522">
        <v>4</v>
      </c>
      <c r="O4522" t="s">
        <v>6101</v>
      </c>
      <c r="P4522" t="s">
        <v>6113</v>
      </c>
      <c r="Q4522">
        <v>7</v>
      </c>
      <c r="R4522">
        <v>2026</v>
      </c>
      <c r="S4522" t="s">
        <v>6099</v>
      </c>
      <c r="T4522">
        <v>1</v>
      </c>
      <c r="U4522" t="s">
        <v>6017</v>
      </c>
      <c r="V4522">
        <v>1</v>
      </c>
    </row>
    <row r="4523" spans="1:22" x14ac:dyDescent="0.3">
      <c r="A4523" t="s">
        <v>4538</v>
      </c>
      <c r="B4523" s="2">
        <v>46227.493750000001</v>
      </c>
      <c r="C4523" s="2">
        <v>46227.752083333333</v>
      </c>
      <c r="D4523" t="s">
        <v>6022</v>
      </c>
      <c r="E4523" t="s">
        <v>6029</v>
      </c>
      <c r="F4523" t="s">
        <v>6033</v>
      </c>
      <c r="G4523" t="s">
        <v>6070</v>
      </c>
      <c r="H4523" t="s">
        <v>6097</v>
      </c>
      <c r="I4523">
        <v>72</v>
      </c>
      <c r="J4523">
        <v>6.2</v>
      </c>
      <c r="K4523" t="s">
        <v>6099</v>
      </c>
      <c r="L4523" t="s">
        <v>6100</v>
      </c>
      <c r="M4523" t="s">
        <v>6100</v>
      </c>
      <c r="N4523">
        <v>3</v>
      </c>
      <c r="O4523" t="s">
        <v>6101</v>
      </c>
      <c r="P4523" t="s">
        <v>6113</v>
      </c>
      <c r="Q4523">
        <v>7</v>
      </c>
      <c r="R4523">
        <v>2026</v>
      </c>
      <c r="S4523" t="s">
        <v>6099</v>
      </c>
      <c r="T4523">
        <v>1</v>
      </c>
      <c r="U4523" t="s">
        <v>6020</v>
      </c>
      <c r="V4523">
        <v>1</v>
      </c>
    </row>
    <row r="4524" spans="1:22" x14ac:dyDescent="0.3">
      <c r="A4524" t="s">
        <v>4539</v>
      </c>
      <c r="B4524" s="2">
        <v>46227.49722222222</v>
      </c>
      <c r="C4524" s="2">
        <v>46232.451388888891</v>
      </c>
      <c r="D4524" t="s">
        <v>6026</v>
      </c>
      <c r="E4524" t="s">
        <v>6031</v>
      </c>
      <c r="F4524" t="s">
        <v>6035</v>
      </c>
      <c r="G4524" t="s">
        <v>6039</v>
      </c>
      <c r="H4524" t="s">
        <v>6097</v>
      </c>
      <c r="I4524">
        <v>4</v>
      </c>
      <c r="J4524">
        <v>118.9</v>
      </c>
      <c r="K4524" t="s">
        <v>6100</v>
      </c>
      <c r="L4524" t="s">
        <v>6100</v>
      </c>
      <c r="M4524" t="s">
        <v>6100</v>
      </c>
      <c r="N4524">
        <v>4</v>
      </c>
      <c r="O4524" t="s">
        <v>6101</v>
      </c>
      <c r="P4524" t="s">
        <v>6113</v>
      </c>
      <c r="Q4524">
        <v>7</v>
      </c>
      <c r="R4524">
        <v>2026</v>
      </c>
      <c r="S4524" t="s">
        <v>6100</v>
      </c>
      <c r="T4524">
        <v>0</v>
      </c>
      <c r="U4524" t="s">
        <v>6021</v>
      </c>
      <c r="V4524">
        <v>0</v>
      </c>
    </row>
    <row r="4525" spans="1:22" x14ac:dyDescent="0.3">
      <c r="A4525" t="s">
        <v>4540</v>
      </c>
      <c r="B4525" s="2">
        <v>46227.536111111112</v>
      </c>
      <c r="C4525" s="2">
        <v>46228.569444444445</v>
      </c>
      <c r="D4525" t="s">
        <v>6022</v>
      </c>
      <c r="E4525" t="s">
        <v>6032</v>
      </c>
      <c r="F4525" t="s">
        <v>6033</v>
      </c>
      <c r="G4525" t="s">
        <v>6074</v>
      </c>
      <c r="H4525" t="s">
        <v>6098</v>
      </c>
      <c r="I4525">
        <v>72</v>
      </c>
      <c r="J4525">
        <v>24.8</v>
      </c>
      <c r="K4525" t="s">
        <v>6099</v>
      </c>
      <c r="L4525" t="s">
        <v>6100</v>
      </c>
      <c r="M4525" t="s">
        <v>6100</v>
      </c>
      <c r="O4525" t="s">
        <v>6101</v>
      </c>
      <c r="P4525" t="s">
        <v>6113</v>
      </c>
      <c r="Q4525">
        <v>7</v>
      </c>
      <c r="R4525">
        <v>2026</v>
      </c>
      <c r="S4525" t="s">
        <v>6099</v>
      </c>
      <c r="T4525">
        <v>1</v>
      </c>
      <c r="U4525" t="s">
        <v>6021</v>
      </c>
      <c r="V4525">
        <v>1</v>
      </c>
    </row>
    <row r="4526" spans="1:22" x14ac:dyDescent="0.3">
      <c r="A4526" t="s">
        <v>4541</v>
      </c>
      <c r="B4526" s="2">
        <v>46227.556944444441</v>
      </c>
      <c r="C4526" s="2">
        <v>46228.340277777781</v>
      </c>
      <c r="D4526" t="s">
        <v>6025</v>
      </c>
      <c r="E4526" t="s">
        <v>6029</v>
      </c>
      <c r="F4526" t="s">
        <v>6034</v>
      </c>
      <c r="G4526" t="s">
        <v>6038</v>
      </c>
      <c r="H4526" t="s">
        <v>6096</v>
      </c>
      <c r="I4526">
        <v>24</v>
      </c>
      <c r="J4526">
        <v>18.8</v>
      </c>
      <c r="K4526" t="s">
        <v>6099</v>
      </c>
      <c r="L4526" t="s">
        <v>6100</v>
      </c>
      <c r="M4526" t="s">
        <v>6100</v>
      </c>
      <c r="N4526">
        <v>5</v>
      </c>
      <c r="O4526" t="s">
        <v>6101</v>
      </c>
      <c r="P4526" t="s">
        <v>6113</v>
      </c>
      <c r="Q4526">
        <v>7</v>
      </c>
      <c r="R4526">
        <v>2026</v>
      </c>
      <c r="S4526" t="s">
        <v>6099</v>
      </c>
      <c r="T4526">
        <v>1</v>
      </c>
      <c r="U4526" t="s">
        <v>6021</v>
      </c>
      <c r="V4526">
        <v>1</v>
      </c>
    </row>
    <row r="4527" spans="1:22" x14ac:dyDescent="0.3">
      <c r="A4527" t="s">
        <v>4542</v>
      </c>
      <c r="B4527" s="2">
        <v>46227.584722222222</v>
      </c>
      <c r="C4527" s="2">
        <v>46228.768055555556</v>
      </c>
      <c r="D4527" t="s">
        <v>6024</v>
      </c>
      <c r="E4527" t="s">
        <v>6031</v>
      </c>
      <c r="F4527" t="s">
        <v>6034</v>
      </c>
      <c r="G4527" t="s">
        <v>6089</v>
      </c>
      <c r="H4527" t="s">
        <v>6098</v>
      </c>
      <c r="I4527">
        <v>24</v>
      </c>
      <c r="J4527">
        <v>28.4</v>
      </c>
      <c r="K4527" t="s">
        <v>6099</v>
      </c>
      <c r="L4527" t="s">
        <v>6100</v>
      </c>
      <c r="M4527" t="s">
        <v>6100</v>
      </c>
      <c r="O4527" t="s">
        <v>6101</v>
      </c>
      <c r="P4527" t="s">
        <v>6113</v>
      </c>
      <c r="Q4527">
        <v>7</v>
      </c>
      <c r="R4527">
        <v>2026</v>
      </c>
      <c r="S4527" t="s">
        <v>6100</v>
      </c>
      <c r="T4527">
        <v>0</v>
      </c>
      <c r="U4527" t="s">
        <v>6019</v>
      </c>
      <c r="V4527">
        <v>1</v>
      </c>
    </row>
    <row r="4528" spans="1:22" x14ac:dyDescent="0.3">
      <c r="A4528" t="s">
        <v>4543</v>
      </c>
      <c r="B4528" s="2">
        <v>46227.623611111114</v>
      </c>
      <c r="C4528" s="2">
        <v>46234.731944444444</v>
      </c>
      <c r="D4528" t="s">
        <v>6026</v>
      </c>
      <c r="E4528" t="s">
        <v>6031</v>
      </c>
      <c r="F4528" t="s">
        <v>6034</v>
      </c>
      <c r="G4528" t="s">
        <v>6036</v>
      </c>
      <c r="H4528" t="s">
        <v>6096</v>
      </c>
      <c r="I4528">
        <v>24</v>
      </c>
      <c r="J4528">
        <v>170.6</v>
      </c>
      <c r="K4528" t="s">
        <v>6099</v>
      </c>
      <c r="L4528" t="s">
        <v>6100</v>
      </c>
      <c r="M4528" t="s">
        <v>6100</v>
      </c>
      <c r="N4528">
        <v>4</v>
      </c>
      <c r="O4528" t="s">
        <v>6101</v>
      </c>
      <c r="P4528" t="s">
        <v>6113</v>
      </c>
      <c r="Q4528">
        <v>7</v>
      </c>
      <c r="R4528">
        <v>2026</v>
      </c>
      <c r="S4528" t="s">
        <v>6100</v>
      </c>
      <c r="T4528">
        <v>0</v>
      </c>
      <c r="U4528" t="s">
        <v>6019</v>
      </c>
      <c r="V4528">
        <v>1</v>
      </c>
    </row>
    <row r="4529" spans="1:22" x14ac:dyDescent="0.3">
      <c r="A4529" t="s">
        <v>4544</v>
      </c>
      <c r="B4529" s="2">
        <v>46227.640972222223</v>
      </c>
      <c r="C4529" s="2">
        <v>46227.953472222223</v>
      </c>
      <c r="D4529" t="s">
        <v>6025</v>
      </c>
      <c r="E4529" t="s">
        <v>6030</v>
      </c>
      <c r="F4529" t="s">
        <v>6034</v>
      </c>
      <c r="G4529" t="s">
        <v>6046</v>
      </c>
      <c r="H4529" t="s">
        <v>6098</v>
      </c>
      <c r="I4529">
        <v>24</v>
      </c>
      <c r="J4529">
        <v>7.5</v>
      </c>
      <c r="K4529" t="s">
        <v>6099</v>
      </c>
      <c r="L4529" t="s">
        <v>6100</v>
      </c>
      <c r="M4529" t="s">
        <v>6100</v>
      </c>
      <c r="N4529">
        <v>4</v>
      </c>
      <c r="O4529" t="s">
        <v>6101</v>
      </c>
      <c r="P4529" t="s">
        <v>6113</v>
      </c>
      <c r="Q4529">
        <v>7</v>
      </c>
      <c r="R4529">
        <v>2026</v>
      </c>
      <c r="S4529" t="s">
        <v>6099</v>
      </c>
      <c r="T4529">
        <v>1</v>
      </c>
      <c r="U4529" t="s">
        <v>6017</v>
      </c>
      <c r="V4529">
        <v>1</v>
      </c>
    </row>
    <row r="4530" spans="1:22" x14ac:dyDescent="0.3">
      <c r="A4530" t="s">
        <v>4545</v>
      </c>
      <c r="B4530" s="2">
        <v>46227.649305555555</v>
      </c>
      <c r="C4530" s="2">
        <v>46236.299305555556</v>
      </c>
      <c r="D4530" t="s">
        <v>6026</v>
      </c>
      <c r="E4530" t="s">
        <v>6031</v>
      </c>
      <c r="F4530" t="s">
        <v>6033</v>
      </c>
      <c r="G4530" t="s">
        <v>6079</v>
      </c>
      <c r="H4530" t="s">
        <v>6097</v>
      </c>
      <c r="I4530">
        <v>72</v>
      </c>
      <c r="J4530">
        <v>207.6</v>
      </c>
      <c r="K4530" t="s">
        <v>6099</v>
      </c>
      <c r="L4530" t="s">
        <v>6100</v>
      </c>
      <c r="M4530" t="s">
        <v>6100</v>
      </c>
      <c r="N4530">
        <v>4</v>
      </c>
      <c r="O4530" t="s">
        <v>6101</v>
      </c>
      <c r="P4530" t="s">
        <v>6113</v>
      </c>
      <c r="Q4530">
        <v>7</v>
      </c>
      <c r="R4530">
        <v>2026</v>
      </c>
      <c r="S4530" t="s">
        <v>6100</v>
      </c>
      <c r="T4530">
        <v>0</v>
      </c>
      <c r="U4530" t="s">
        <v>6021</v>
      </c>
      <c r="V4530">
        <v>1</v>
      </c>
    </row>
    <row r="4531" spans="1:22" x14ac:dyDescent="0.3">
      <c r="A4531" t="s">
        <v>4546</v>
      </c>
      <c r="B4531" s="2">
        <v>46227.652083333334</v>
      </c>
      <c r="C4531" s="2">
        <v>46228.40625</v>
      </c>
      <c r="D4531" t="s">
        <v>6023</v>
      </c>
      <c r="E4531" t="s">
        <v>6029</v>
      </c>
      <c r="F4531" t="s">
        <v>6033</v>
      </c>
      <c r="G4531" t="s">
        <v>6071</v>
      </c>
      <c r="H4531" t="s">
        <v>6098</v>
      </c>
      <c r="I4531">
        <v>72</v>
      </c>
      <c r="J4531">
        <v>18.100000000000001</v>
      </c>
      <c r="K4531" t="s">
        <v>6099</v>
      </c>
      <c r="L4531" t="s">
        <v>6100</v>
      </c>
      <c r="M4531" t="s">
        <v>6100</v>
      </c>
      <c r="N4531">
        <v>5</v>
      </c>
      <c r="O4531" t="s">
        <v>6101</v>
      </c>
      <c r="P4531" t="s">
        <v>6113</v>
      </c>
      <c r="Q4531">
        <v>7</v>
      </c>
      <c r="R4531">
        <v>2026</v>
      </c>
      <c r="S4531" t="s">
        <v>6099</v>
      </c>
      <c r="T4531">
        <v>1</v>
      </c>
      <c r="U4531" t="s">
        <v>6019</v>
      </c>
      <c r="V4531">
        <v>1</v>
      </c>
    </row>
    <row r="4532" spans="1:22" x14ac:dyDescent="0.3">
      <c r="A4532" t="s">
        <v>4547</v>
      </c>
      <c r="B4532" s="2">
        <v>46227.656944444447</v>
      </c>
      <c r="C4532" s="2">
        <v>46228.069444444445</v>
      </c>
      <c r="D4532" t="s">
        <v>6025</v>
      </c>
      <c r="E4532" t="s">
        <v>6030</v>
      </c>
      <c r="F4532" t="s">
        <v>6034</v>
      </c>
      <c r="G4532" t="s">
        <v>6066</v>
      </c>
      <c r="H4532" t="s">
        <v>6096</v>
      </c>
      <c r="I4532">
        <v>24</v>
      </c>
      <c r="J4532">
        <v>9.9</v>
      </c>
      <c r="K4532" t="s">
        <v>6100</v>
      </c>
      <c r="L4532" t="s">
        <v>6100</v>
      </c>
      <c r="M4532" t="s">
        <v>6100</v>
      </c>
      <c r="N4532">
        <v>5</v>
      </c>
      <c r="O4532" t="s">
        <v>6101</v>
      </c>
      <c r="P4532" t="s">
        <v>6113</v>
      </c>
      <c r="Q4532">
        <v>7</v>
      </c>
      <c r="R4532">
        <v>2026</v>
      </c>
      <c r="S4532" t="s">
        <v>6099</v>
      </c>
      <c r="T4532">
        <v>1</v>
      </c>
      <c r="U4532" t="s">
        <v>6020</v>
      </c>
      <c r="V4532">
        <v>0</v>
      </c>
    </row>
    <row r="4533" spans="1:22" x14ac:dyDescent="0.3">
      <c r="A4533" t="s">
        <v>4548</v>
      </c>
      <c r="B4533" s="2">
        <v>46227.667361111111</v>
      </c>
      <c r="C4533" s="2">
        <v>46229.121527777781</v>
      </c>
      <c r="D4533" t="s">
        <v>6025</v>
      </c>
      <c r="E4533" t="s">
        <v>6032</v>
      </c>
      <c r="F4533" t="s">
        <v>6034</v>
      </c>
      <c r="G4533" t="s">
        <v>6074</v>
      </c>
      <c r="H4533" t="s">
        <v>6098</v>
      </c>
      <c r="I4533">
        <v>24</v>
      </c>
      <c r="J4533">
        <v>34.9</v>
      </c>
      <c r="K4533" t="s">
        <v>6099</v>
      </c>
      <c r="L4533" t="s">
        <v>6100</v>
      </c>
      <c r="M4533" t="s">
        <v>6100</v>
      </c>
      <c r="O4533" t="s">
        <v>6101</v>
      </c>
      <c r="P4533" t="s">
        <v>6113</v>
      </c>
      <c r="Q4533">
        <v>7</v>
      </c>
      <c r="R4533">
        <v>2026</v>
      </c>
      <c r="S4533" t="s">
        <v>6100</v>
      </c>
      <c r="T4533">
        <v>0</v>
      </c>
      <c r="U4533" t="s">
        <v>6021</v>
      </c>
      <c r="V4533">
        <v>1</v>
      </c>
    </row>
    <row r="4534" spans="1:22" x14ac:dyDescent="0.3">
      <c r="A4534" t="s">
        <v>4549</v>
      </c>
      <c r="B4534" s="2">
        <v>46227.795138888891</v>
      </c>
      <c r="C4534" s="2">
        <v>46228.057638888888</v>
      </c>
      <c r="D4534" t="s">
        <v>6024</v>
      </c>
      <c r="E4534" t="s">
        <v>6031</v>
      </c>
      <c r="F4534" t="s">
        <v>6033</v>
      </c>
      <c r="G4534" t="s">
        <v>6074</v>
      </c>
      <c r="H4534" t="s">
        <v>6098</v>
      </c>
      <c r="I4534">
        <v>72</v>
      </c>
      <c r="J4534">
        <v>6.3</v>
      </c>
      <c r="K4534" t="s">
        <v>6099</v>
      </c>
      <c r="L4534" t="s">
        <v>6100</v>
      </c>
      <c r="M4534" t="s">
        <v>6100</v>
      </c>
      <c r="O4534" t="s">
        <v>6101</v>
      </c>
      <c r="P4534" t="s">
        <v>6113</v>
      </c>
      <c r="Q4534">
        <v>7</v>
      </c>
      <c r="R4534">
        <v>2026</v>
      </c>
      <c r="S4534" t="s">
        <v>6099</v>
      </c>
      <c r="T4534">
        <v>1</v>
      </c>
      <c r="U4534" t="s">
        <v>6019</v>
      </c>
      <c r="V4534">
        <v>1</v>
      </c>
    </row>
    <row r="4535" spans="1:22" x14ac:dyDescent="0.3">
      <c r="A4535" t="s">
        <v>4550</v>
      </c>
      <c r="B4535" s="2">
        <v>46227.803472222222</v>
      </c>
      <c r="C4535" s="2">
        <v>46227.915972222225</v>
      </c>
      <c r="D4535" t="s">
        <v>6028</v>
      </c>
      <c r="E4535" t="s">
        <v>6029</v>
      </c>
      <c r="F4535" t="s">
        <v>6034</v>
      </c>
      <c r="G4535" t="s">
        <v>6040</v>
      </c>
      <c r="H4535" t="s">
        <v>6097</v>
      </c>
      <c r="I4535">
        <v>24</v>
      </c>
      <c r="J4535">
        <v>2.7</v>
      </c>
      <c r="K4535" t="s">
        <v>6099</v>
      </c>
      <c r="L4535" t="s">
        <v>6100</v>
      </c>
      <c r="M4535" t="s">
        <v>6100</v>
      </c>
      <c r="N4535">
        <v>4</v>
      </c>
      <c r="O4535" t="s">
        <v>6101</v>
      </c>
      <c r="P4535" t="s">
        <v>6113</v>
      </c>
      <c r="Q4535">
        <v>7</v>
      </c>
      <c r="R4535">
        <v>2026</v>
      </c>
      <c r="S4535" t="s">
        <v>6099</v>
      </c>
      <c r="T4535">
        <v>1</v>
      </c>
      <c r="U4535" t="s">
        <v>6018</v>
      </c>
      <c r="V4535">
        <v>1</v>
      </c>
    </row>
    <row r="4536" spans="1:22" x14ac:dyDescent="0.3">
      <c r="A4536" t="s">
        <v>4551</v>
      </c>
      <c r="B4536" s="2">
        <v>46227.845138888886</v>
      </c>
      <c r="C4536" s="2">
        <v>46228.378472222219</v>
      </c>
      <c r="D4536" t="s">
        <v>6027</v>
      </c>
      <c r="E4536" t="s">
        <v>6032</v>
      </c>
      <c r="F4536" t="s">
        <v>6034</v>
      </c>
      <c r="G4536" t="s">
        <v>6078</v>
      </c>
      <c r="H4536" t="s">
        <v>6097</v>
      </c>
      <c r="I4536">
        <v>24</v>
      </c>
      <c r="J4536">
        <v>12.8</v>
      </c>
      <c r="K4536" t="s">
        <v>6099</v>
      </c>
      <c r="L4536" t="s">
        <v>6100</v>
      </c>
      <c r="M4536" t="s">
        <v>6100</v>
      </c>
      <c r="O4536" t="s">
        <v>6101</v>
      </c>
      <c r="P4536" t="s">
        <v>6113</v>
      </c>
      <c r="Q4536">
        <v>7</v>
      </c>
      <c r="R4536">
        <v>2026</v>
      </c>
      <c r="S4536" t="s">
        <v>6099</v>
      </c>
      <c r="T4536">
        <v>1</v>
      </c>
      <c r="U4536" t="s">
        <v>6018</v>
      </c>
      <c r="V4536">
        <v>1</v>
      </c>
    </row>
    <row r="4537" spans="1:22" x14ac:dyDescent="0.3">
      <c r="A4537" t="s">
        <v>4552</v>
      </c>
      <c r="B4537" s="2">
        <v>46227.986111111109</v>
      </c>
      <c r="C4537" s="2">
        <v>46229.165277777778</v>
      </c>
      <c r="D4537" t="s">
        <v>6028</v>
      </c>
      <c r="E4537" t="s">
        <v>6031</v>
      </c>
      <c r="F4537" t="s">
        <v>6034</v>
      </c>
      <c r="G4537" t="s">
        <v>6038</v>
      </c>
      <c r="H4537" t="s">
        <v>6096</v>
      </c>
      <c r="I4537">
        <v>24</v>
      </c>
      <c r="J4537">
        <v>28.3</v>
      </c>
      <c r="K4537" t="s">
        <v>6100</v>
      </c>
      <c r="L4537" t="s">
        <v>6100</v>
      </c>
      <c r="M4537" t="s">
        <v>6100</v>
      </c>
      <c r="N4537">
        <v>4</v>
      </c>
      <c r="O4537" t="s">
        <v>6101</v>
      </c>
      <c r="P4537" t="s">
        <v>6113</v>
      </c>
      <c r="Q4537">
        <v>7</v>
      </c>
      <c r="R4537">
        <v>2026</v>
      </c>
      <c r="S4537" t="s">
        <v>6100</v>
      </c>
      <c r="T4537">
        <v>0</v>
      </c>
      <c r="U4537" t="s">
        <v>6018</v>
      </c>
      <c r="V4537">
        <v>0</v>
      </c>
    </row>
    <row r="4538" spans="1:22" x14ac:dyDescent="0.3">
      <c r="A4538" t="s">
        <v>4553</v>
      </c>
      <c r="B4538" s="2">
        <v>46228</v>
      </c>
      <c r="C4538" s="2">
        <v>46229.158333333333</v>
      </c>
      <c r="D4538" t="s">
        <v>6022</v>
      </c>
      <c r="E4538" t="s">
        <v>6029</v>
      </c>
      <c r="F4538" t="s">
        <v>6034</v>
      </c>
      <c r="G4538" t="s">
        <v>6083</v>
      </c>
      <c r="H4538" t="s">
        <v>6096</v>
      </c>
      <c r="I4538">
        <v>24</v>
      </c>
      <c r="J4538">
        <v>27.8</v>
      </c>
      <c r="K4538" t="s">
        <v>6100</v>
      </c>
      <c r="L4538" t="s">
        <v>6100</v>
      </c>
      <c r="M4538" t="s">
        <v>6100</v>
      </c>
      <c r="N4538">
        <v>3</v>
      </c>
      <c r="O4538" t="s">
        <v>6101</v>
      </c>
      <c r="P4538" t="s">
        <v>6113</v>
      </c>
      <c r="Q4538">
        <v>7</v>
      </c>
      <c r="R4538">
        <v>2026</v>
      </c>
      <c r="S4538" t="s">
        <v>6100</v>
      </c>
      <c r="T4538">
        <v>0</v>
      </c>
      <c r="U4538" t="s">
        <v>6021</v>
      </c>
      <c r="V4538">
        <v>0</v>
      </c>
    </row>
    <row r="4539" spans="1:22" x14ac:dyDescent="0.3">
      <c r="A4539" t="s">
        <v>4554</v>
      </c>
      <c r="B4539" s="2">
        <v>46228.17083333333</v>
      </c>
      <c r="C4539" s="2">
        <v>46232.70416666667</v>
      </c>
      <c r="D4539" t="s">
        <v>6026</v>
      </c>
      <c r="E4539" t="s">
        <v>6031</v>
      </c>
      <c r="F4539" t="s">
        <v>6033</v>
      </c>
      <c r="G4539" t="s">
        <v>6043</v>
      </c>
      <c r="H4539" t="s">
        <v>6097</v>
      </c>
      <c r="I4539">
        <v>72</v>
      </c>
      <c r="J4539">
        <v>108.8</v>
      </c>
      <c r="K4539" t="s">
        <v>6099</v>
      </c>
      <c r="L4539" t="s">
        <v>6100</v>
      </c>
      <c r="M4539" t="s">
        <v>6100</v>
      </c>
      <c r="O4539" t="s">
        <v>6101</v>
      </c>
      <c r="P4539" t="s">
        <v>6113</v>
      </c>
      <c r="Q4539">
        <v>7</v>
      </c>
      <c r="R4539">
        <v>2026</v>
      </c>
      <c r="S4539" t="s">
        <v>6100</v>
      </c>
      <c r="T4539">
        <v>0</v>
      </c>
      <c r="U4539" t="s">
        <v>6020</v>
      </c>
      <c r="V4539">
        <v>1</v>
      </c>
    </row>
    <row r="4540" spans="1:22" x14ac:dyDescent="0.3">
      <c r="A4540" t="s">
        <v>4555</v>
      </c>
      <c r="B4540" s="2">
        <v>46228.256944444445</v>
      </c>
      <c r="C4540" s="2">
        <v>46228.640277777777</v>
      </c>
      <c r="D4540" t="s">
        <v>6024</v>
      </c>
      <c r="E4540" t="s">
        <v>6030</v>
      </c>
      <c r="F4540" t="s">
        <v>6034</v>
      </c>
      <c r="G4540" t="s">
        <v>6048</v>
      </c>
      <c r="H4540" t="s">
        <v>6096</v>
      </c>
      <c r="I4540">
        <v>24</v>
      </c>
      <c r="J4540">
        <v>9.1999999999999993</v>
      </c>
      <c r="K4540" t="s">
        <v>6099</v>
      </c>
      <c r="L4540" t="s">
        <v>6100</v>
      </c>
      <c r="M4540" t="s">
        <v>6100</v>
      </c>
      <c r="N4540">
        <v>2</v>
      </c>
      <c r="O4540" t="s">
        <v>6101</v>
      </c>
      <c r="P4540" t="s">
        <v>6113</v>
      </c>
      <c r="Q4540">
        <v>7</v>
      </c>
      <c r="R4540">
        <v>2026</v>
      </c>
      <c r="S4540" t="s">
        <v>6099</v>
      </c>
      <c r="T4540">
        <v>1</v>
      </c>
      <c r="U4540" t="s">
        <v>6020</v>
      </c>
      <c r="V4540">
        <v>1</v>
      </c>
    </row>
    <row r="4541" spans="1:22" x14ac:dyDescent="0.3">
      <c r="A4541" t="s">
        <v>4556</v>
      </c>
      <c r="B4541" s="2">
        <v>46228.272916666669</v>
      </c>
      <c r="C4541" s="2">
        <v>46231.193749999999</v>
      </c>
      <c r="D4541" t="s">
        <v>6024</v>
      </c>
      <c r="E4541" t="s">
        <v>6031</v>
      </c>
      <c r="F4541" t="s">
        <v>6033</v>
      </c>
      <c r="G4541" t="s">
        <v>6062</v>
      </c>
      <c r="H4541" t="s">
        <v>6096</v>
      </c>
      <c r="I4541">
        <v>72</v>
      </c>
      <c r="J4541">
        <v>70.099999999999994</v>
      </c>
      <c r="K4541" t="s">
        <v>6099</v>
      </c>
      <c r="L4541" t="s">
        <v>6100</v>
      </c>
      <c r="M4541" t="s">
        <v>6100</v>
      </c>
      <c r="N4541">
        <v>5</v>
      </c>
      <c r="O4541" t="s">
        <v>6101</v>
      </c>
      <c r="P4541" t="s">
        <v>6113</v>
      </c>
      <c r="Q4541">
        <v>7</v>
      </c>
      <c r="R4541">
        <v>2026</v>
      </c>
      <c r="S4541" t="s">
        <v>6099</v>
      </c>
      <c r="T4541">
        <v>1</v>
      </c>
      <c r="U4541" t="s">
        <v>6018</v>
      </c>
      <c r="V4541">
        <v>1</v>
      </c>
    </row>
    <row r="4542" spans="1:22" x14ac:dyDescent="0.3">
      <c r="A4542" t="s">
        <v>4557</v>
      </c>
      <c r="B4542" s="2">
        <v>46228.323611111111</v>
      </c>
      <c r="C4542" s="2">
        <v>46229.740277777775</v>
      </c>
      <c r="D4542" t="s">
        <v>6025</v>
      </c>
      <c r="E4542" t="s">
        <v>6029</v>
      </c>
      <c r="F4542" t="s">
        <v>6034</v>
      </c>
      <c r="G4542" t="s">
        <v>6040</v>
      </c>
      <c r="H4542" t="s">
        <v>6097</v>
      </c>
      <c r="I4542">
        <v>24</v>
      </c>
      <c r="J4542">
        <v>34</v>
      </c>
      <c r="K4542" t="s">
        <v>6100</v>
      </c>
      <c r="L4542" t="s">
        <v>6100</v>
      </c>
      <c r="M4542" t="s">
        <v>6100</v>
      </c>
      <c r="O4542" t="s">
        <v>6101</v>
      </c>
      <c r="P4542" t="s">
        <v>6113</v>
      </c>
      <c r="Q4542">
        <v>7</v>
      </c>
      <c r="R4542">
        <v>2026</v>
      </c>
      <c r="S4542" t="s">
        <v>6100</v>
      </c>
      <c r="T4542">
        <v>0</v>
      </c>
      <c r="U4542" t="s">
        <v>6018</v>
      </c>
      <c r="V4542">
        <v>0</v>
      </c>
    </row>
    <row r="4543" spans="1:22" x14ac:dyDescent="0.3">
      <c r="A4543" t="s">
        <v>4558</v>
      </c>
      <c r="B4543" s="2">
        <v>46228.328472222223</v>
      </c>
      <c r="C4543" s="2">
        <v>46228.728472222225</v>
      </c>
      <c r="D4543" t="s">
        <v>6023</v>
      </c>
      <c r="E4543" t="s">
        <v>6032</v>
      </c>
      <c r="F4543" t="s">
        <v>6034</v>
      </c>
      <c r="G4543" t="s">
        <v>6038</v>
      </c>
      <c r="H4543" t="s">
        <v>6096</v>
      </c>
      <c r="I4543">
        <v>24</v>
      </c>
      <c r="J4543">
        <v>9.6</v>
      </c>
      <c r="K4543" t="s">
        <v>6100</v>
      </c>
      <c r="L4543" t="s">
        <v>6099</v>
      </c>
      <c r="M4543" t="s">
        <v>6100</v>
      </c>
      <c r="N4543">
        <v>3</v>
      </c>
      <c r="O4543" t="s">
        <v>6101</v>
      </c>
      <c r="P4543" t="s">
        <v>6113</v>
      </c>
      <c r="Q4543">
        <v>7</v>
      </c>
      <c r="R4543">
        <v>2026</v>
      </c>
      <c r="S4543" t="s">
        <v>6099</v>
      </c>
      <c r="T4543">
        <v>1</v>
      </c>
      <c r="U4543" t="s">
        <v>6018</v>
      </c>
      <c r="V4543">
        <v>0</v>
      </c>
    </row>
    <row r="4544" spans="1:22" x14ac:dyDescent="0.3">
      <c r="A4544" t="s">
        <v>4559</v>
      </c>
      <c r="B4544" s="2">
        <v>46228.354861111111</v>
      </c>
      <c r="C4544" s="2">
        <v>46229.004861111112</v>
      </c>
      <c r="D4544" t="s">
        <v>6023</v>
      </c>
      <c r="E4544" t="s">
        <v>6032</v>
      </c>
      <c r="F4544" t="s">
        <v>6033</v>
      </c>
      <c r="G4544" t="s">
        <v>6063</v>
      </c>
      <c r="H4544" t="s">
        <v>6097</v>
      </c>
      <c r="I4544">
        <v>72</v>
      </c>
      <c r="J4544">
        <v>15.6</v>
      </c>
      <c r="K4544" t="s">
        <v>6099</v>
      </c>
      <c r="L4544" t="s">
        <v>6100</v>
      </c>
      <c r="M4544" t="s">
        <v>6100</v>
      </c>
      <c r="N4544">
        <v>3</v>
      </c>
      <c r="O4544" t="s">
        <v>6101</v>
      </c>
      <c r="P4544" t="s">
        <v>6113</v>
      </c>
      <c r="Q4544">
        <v>7</v>
      </c>
      <c r="R4544">
        <v>2026</v>
      </c>
      <c r="S4544" t="s">
        <v>6099</v>
      </c>
      <c r="T4544">
        <v>1</v>
      </c>
      <c r="U4544" t="s">
        <v>6018</v>
      </c>
      <c r="V4544">
        <v>1</v>
      </c>
    </row>
    <row r="4545" spans="1:22" x14ac:dyDescent="0.3">
      <c r="A4545" t="s">
        <v>4560</v>
      </c>
      <c r="B4545" s="2">
        <v>46228.356944444444</v>
      </c>
      <c r="C4545" s="2">
        <v>46229.081944444442</v>
      </c>
      <c r="D4545" t="s">
        <v>6028</v>
      </c>
      <c r="E4545" t="s">
        <v>6032</v>
      </c>
      <c r="F4545" t="s">
        <v>6035</v>
      </c>
      <c r="G4545" t="s">
        <v>6037</v>
      </c>
      <c r="H4545" t="s">
        <v>6096</v>
      </c>
      <c r="I4545">
        <v>4</v>
      </c>
      <c r="J4545">
        <v>17.399999999999999</v>
      </c>
      <c r="K4545" t="s">
        <v>6100</v>
      </c>
      <c r="L4545" t="s">
        <v>6100</v>
      </c>
      <c r="M4545" t="s">
        <v>6100</v>
      </c>
      <c r="N4545">
        <v>5</v>
      </c>
      <c r="O4545" t="s">
        <v>6101</v>
      </c>
      <c r="P4545" t="s">
        <v>6113</v>
      </c>
      <c r="Q4545">
        <v>7</v>
      </c>
      <c r="R4545">
        <v>2026</v>
      </c>
      <c r="S4545" t="s">
        <v>6100</v>
      </c>
      <c r="T4545">
        <v>0</v>
      </c>
      <c r="U4545" t="s">
        <v>6018</v>
      </c>
      <c r="V4545">
        <v>0</v>
      </c>
    </row>
    <row r="4546" spans="1:22" x14ac:dyDescent="0.3">
      <c r="A4546" t="s">
        <v>4561</v>
      </c>
      <c r="B4546" s="2">
        <v>46228.381249999999</v>
      </c>
      <c r="C4546" s="2">
        <v>46229.510416666664</v>
      </c>
      <c r="D4546" t="s">
        <v>6027</v>
      </c>
      <c r="E4546" t="s">
        <v>6029</v>
      </c>
      <c r="F4546" t="s">
        <v>6034</v>
      </c>
      <c r="G4546" t="s">
        <v>6046</v>
      </c>
      <c r="H4546" t="s">
        <v>6098</v>
      </c>
      <c r="I4546">
        <v>24</v>
      </c>
      <c r="J4546">
        <v>27.1</v>
      </c>
      <c r="K4546" t="s">
        <v>6099</v>
      </c>
      <c r="L4546" t="s">
        <v>6100</v>
      </c>
      <c r="M4546" t="s">
        <v>6100</v>
      </c>
      <c r="N4546">
        <v>4</v>
      </c>
      <c r="O4546" t="s">
        <v>6101</v>
      </c>
      <c r="P4546" t="s">
        <v>6113</v>
      </c>
      <c r="Q4546">
        <v>7</v>
      </c>
      <c r="R4546">
        <v>2026</v>
      </c>
      <c r="S4546" t="s">
        <v>6100</v>
      </c>
      <c r="T4546">
        <v>0</v>
      </c>
      <c r="U4546" t="s">
        <v>6018</v>
      </c>
      <c r="V4546">
        <v>1</v>
      </c>
    </row>
    <row r="4547" spans="1:22" x14ac:dyDescent="0.3">
      <c r="A4547" t="s">
        <v>4562</v>
      </c>
      <c r="B4547" s="2">
        <v>46228.435416666667</v>
      </c>
      <c r="C4547" s="2">
        <v>46232.377083333333</v>
      </c>
      <c r="D4547" t="s">
        <v>6025</v>
      </c>
      <c r="E4547" t="s">
        <v>6031</v>
      </c>
      <c r="F4547" t="s">
        <v>6034</v>
      </c>
      <c r="G4547" t="s">
        <v>6052</v>
      </c>
      <c r="H4547" t="s">
        <v>6098</v>
      </c>
      <c r="I4547">
        <v>24</v>
      </c>
      <c r="J4547">
        <v>94.6</v>
      </c>
      <c r="K4547" t="s">
        <v>6100</v>
      </c>
      <c r="L4547" t="s">
        <v>6099</v>
      </c>
      <c r="M4547" t="s">
        <v>6100</v>
      </c>
      <c r="O4547" t="s">
        <v>6101</v>
      </c>
      <c r="P4547" t="s">
        <v>6113</v>
      </c>
      <c r="Q4547">
        <v>7</v>
      </c>
      <c r="R4547">
        <v>2026</v>
      </c>
      <c r="S4547" t="s">
        <v>6100</v>
      </c>
      <c r="T4547">
        <v>0</v>
      </c>
      <c r="U4547" t="s">
        <v>6020</v>
      </c>
      <c r="V4547">
        <v>0</v>
      </c>
    </row>
    <row r="4548" spans="1:22" x14ac:dyDescent="0.3">
      <c r="A4548" t="s">
        <v>4563</v>
      </c>
      <c r="B4548" s="2">
        <v>46228.45</v>
      </c>
      <c r="C4548" s="2">
        <v>46228.558333333334</v>
      </c>
      <c r="D4548" t="s">
        <v>6023</v>
      </c>
      <c r="E4548" t="s">
        <v>6029</v>
      </c>
      <c r="F4548" t="s">
        <v>6034</v>
      </c>
      <c r="G4548" t="s">
        <v>6090</v>
      </c>
      <c r="H4548" t="s">
        <v>6097</v>
      </c>
      <c r="I4548">
        <v>24</v>
      </c>
      <c r="J4548">
        <v>2.6</v>
      </c>
      <c r="K4548" t="s">
        <v>6099</v>
      </c>
      <c r="L4548" t="s">
        <v>6100</v>
      </c>
      <c r="M4548" t="s">
        <v>6100</v>
      </c>
      <c r="N4548">
        <v>5</v>
      </c>
      <c r="O4548" t="s">
        <v>6101</v>
      </c>
      <c r="P4548" t="s">
        <v>6113</v>
      </c>
      <c r="Q4548">
        <v>7</v>
      </c>
      <c r="R4548">
        <v>2026</v>
      </c>
      <c r="S4548" t="s">
        <v>6099</v>
      </c>
      <c r="T4548">
        <v>1</v>
      </c>
      <c r="U4548" t="s">
        <v>6021</v>
      </c>
      <c r="V4548">
        <v>1</v>
      </c>
    </row>
    <row r="4549" spans="1:22" x14ac:dyDescent="0.3">
      <c r="A4549" t="s">
        <v>4564</v>
      </c>
      <c r="B4549" s="2">
        <v>46228.464583333334</v>
      </c>
      <c r="C4549" s="2">
        <v>46228.802083333336</v>
      </c>
      <c r="D4549" t="s">
        <v>6022</v>
      </c>
      <c r="E4549" t="s">
        <v>6029</v>
      </c>
      <c r="F4549" t="s">
        <v>6033</v>
      </c>
      <c r="G4549" t="s">
        <v>6042</v>
      </c>
      <c r="H4549" t="s">
        <v>6098</v>
      </c>
      <c r="I4549">
        <v>72</v>
      </c>
      <c r="J4549">
        <v>8.1</v>
      </c>
      <c r="K4549" t="s">
        <v>6099</v>
      </c>
      <c r="L4549" t="s">
        <v>6100</v>
      </c>
      <c r="M4549" t="s">
        <v>6100</v>
      </c>
      <c r="N4549">
        <v>5</v>
      </c>
      <c r="O4549" t="s">
        <v>6101</v>
      </c>
      <c r="P4549" t="s">
        <v>6113</v>
      </c>
      <c r="Q4549">
        <v>7</v>
      </c>
      <c r="R4549">
        <v>2026</v>
      </c>
      <c r="S4549" t="s">
        <v>6099</v>
      </c>
      <c r="T4549">
        <v>1</v>
      </c>
      <c r="U4549" t="s">
        <v>6018</v>
      </c>
      <c r="V4549">
        <v>1</v>
      </c>
    </row>
    <row r="4550" spans="1:22" x14ac:dyDescent="0.3">
      <c r="A4550" t="s">
        <v>4565</v>
      </c>
      <c r="B4550" s="2">
        <v>46228.470833333333</v>
      </c>
      <c r="C4550" s="2">
        <v>46229.4375</v>
      </c>
      <c r="D4550" t="s">
        <v>6024</v>
      </c>
      <c r="E4550" t="s">
        <v>6031</v>
      </c>
      <c r="F4550" t="s">
        <v>6035</v>
      </c>
      <c r="G4550" t="s">
        <v>6071</v>
      </c>
      <c r="H4550" t="s">
        <v>6098</v>
      </c>
      <c r="I4550">
        <v>4</v>
      </c>
      <c r="J4550">
        <v>23.2</v>
      </c>
      <c r="K4550" t="s">
        <v>6100</v>
      </c>
      <c r="L4550" t="s">
        <v>6099</v>
      </c>
      <c r="M4550" t="s">
        <v>6099</v>
      </c>
      <c r="O4550" t="s">
        <v>6101</v>
      </c>
      <c r="P4550" t="s">
        <v>6113</v>
      </c>
      <c r="Q4550">
        <v>7</v>
      </c>
      <c r="R4550">
        <v>2026</v>
      </c>
      <c r="S4550" t="s">
        <v>6100</v>
      </c>
      <c r="T4550">
        <v>0</v>
      </c>
      <c r="U4550" t="s">
        <v>6018</v>
      </c>
      <c r="V4550">
        <v>0</v>
      </c>
    </row>
    <row r="4551" spans="1:22" x14ac:dyDescent="0.3">
      <c r="A4551" t="s">
        <v>4566</v>
      </c>
      <c r="B4551" s="2">
        <v>46228.511805555558</v>
      </c>
      <c r="C4551" s="2">
        <v>46228.815972222219</v>
      </c>
      <c r="D4551" t="s">
        <v>6023</v>
      </c>
      <c r="E4551" t="s">
        <v>6029</v>
      </c>
      <c r="F4551" t="s">
        <v>6033</v>
      </c>
      <c r="G4551" t="s">
        <v>6039</v>
      </c>
      <c r="H4551" t="s">
        <v>6097</v>
      </c>
      <c r="I4551">
        <v>72</v>
      </c>
      <c r="J4551">
        <v>7.3</v>
      </c>
      <c r="K4551" t="s">
        <v>6099</v>
      </c>
      <c r="L4551" t="s">
        <v>6100</v>
      </c>
      <c r="M4551" t="s">
        <v>6100</v>
      </c>
      <c r="N4551">
        <v>5</v>
      </c>
      <c r="O4551" t="s">
        <v>6101</v>
      </c>
      <c r="P4551" t="s">
        <v>6113</v>
      </c>
      <c r="Q4551">
        <v>7</v>
      </c>
      <c r="R4551">
        <v>2026</v>
      </c>
      <c r="S4551" t="s">
        <v>6099</v>
      </c>
      <c r="T4551">
        <v>1</v>
      </c>
      <c r="U4551" t="s">
        <v>6020</v>
      </c>
      <c r="V4551">
        <v>1</v>
      </c>
    </row>
    <row r="4552" spans="1:22" x14ac:dyDescent="0.3">
      <c r="A4552" t="s">
        <v>4567</v>
      </c>
      <c r="B4552" s="2">
        <v>46228.512499999997</v>
      </c>
      <c r="C4552" s="2">
        <v>46228.620833333334</v>
      </c>
      <c r="D4552" t="s">
        <v>6028</v>
      </c>
      <c r="E4552" t="s">
        <v>6030</v>
      </c>
      <c r="F4552" t="s">
        <v>6035</v>
      </c>
      <c r="G4552" t="s">
        <v>6091</v>
      </c>
      <c r="H4552" t="s">
        <v>6097</v>
      </c>
      <c r="I4552">
        <v>4</v>
      </c>
      <c r="J4552">
        <v>2.6</v>
      </c>
      <c r="K4552" t="s">
        <v>6100</v>
      </c>
      <c r="L4552" t="s">
        <v>6099</v>
      </c>
      <c r="M4552" t="s">
        <v>6100</v>
      </c>
      <c r="O4552" t="s">
        <v>6101</v>
      </c>
      <c r="P4552" t="s">
        <v>6113</v>
      </c>
      <c r="Q4552">
        <v>7</v>
      </c>
      <c r="R4552">
        <v>2026</v>
      </c>
      <c r="S4552" t="s">
        <v>6099</v>
      </c>
      <c r="T4552">
        <v>1</v>
      </c>
      <c r="U4552" t="s">
        <v>6017</v>
      </c>
      <c r="V4552">
        <v>0</v>
      </c>
    </row>
    <row r="4553" spans="1:22" x14ac:dyDescent="0.3">
      <c r="A4553" t="s">
        <v>4568</v>
      </c>
      <c r="B4553" s="2">
        <v>46228.526388888888</v>
      </c>
      <c r="C4553" s="2">
        <v>46230.493055555555</v>
      </c>
      <c r="D4553" t="s">
        <v>6027</v>
      </c>
      <c r="E4553" t="s">
        <v>6031</v>
      </c>
      <c r="F4553" t="s">
        <v>6034</v>
      </c>
      <c r="G4553" t="s">
        <v>6038</v>
      </c>
      <c r="H4553" t="s">
        <v>6096</v>
      </c>
      <c r="I4553">
        <v>24</v>
      </c>
      <c r="J4553">
        <v>47.2</v>
      </c>
      <c r="K4553" t="s">
        <v>6099</v>
      </c>
      <c r="L4553" t="s">
        <v>6100</v>
      </c>
      <c r="M4553" t="s">
        <v>6100</v>
      </c>
      <c r="N4553">
        <v>5</v>
      </c>
      <c r="O4553" t="s">
        <v>6101</v>
      </c>
      <c r="P4553" t="s">
        <v>6113</v>
      </c>
      <c r="Q4553">
        <v>7</v>
      </c>
      <c r="R4553">
        <v>2026</v>
      </c>
      <c r="S4553" t="s">
        <v>6100</v>
      </c>
      <c r="T4553">
        <v>0</v>
      </c>
      <c r="U4553" t="s">
        <v>6021</v>
      </c>
      <c r="V4553">
        <v>1</v>
      </c>
    </row>
    <row r="4554" spans="1:22" x14ac:dyDescent="0.3">
      <c r="A4554" t="s">
        <v>4569</v>
      </c>
      <c r="B4554" s="2">
        <v>46228.527083333334</v>
      </c>
      <c r="C4554" s="2">
        <v>46229.060416666667</v>
      </c>
      <c r="D4554" t="s">
        <v>6024</v>
      </c>
      <c r="E4554" t="s">
        <v>6029</v>
      </c>
      <c r="F4554" t="s">
        <v>6035</v>
      </c>
      <c r="G4554" t="s">
        <v>6056</v>
      </c>
      <c r="H4554" t="s">
        <v>6098</v>
      </c>
      <c r="I4554">
        <v>4</v>
      </c>
      <c r="J4554">
        <v>12.8</v>
      </c>
      <c r="K4554" t="s">
        <v>6100</v>
      </c>
      <c r="L4554" t="s">
        <v>6099</v>
      </c>
      <c r="M4554" t="s">
        <v>6100</v>
      </c>
      <c r="N4554">
        <v>2</v>
      </c>
      <c r="O4554" t="s">
        <v>6101</v>
      </c>
      <c r="P4554" t="s">
        <v>6113</v>
      </c>
      <c r="Q4554">
        <v>7</v>
      </c>
      <c r="R4554">
        <v>2026</v>
      </c>
      <c r="S4554" t="s">
        <v>6100</v>
      </c>
      <c r="T4554">
        <v>0</v>
      </c>
      <c r="U4554" t="s">
        <v>6017</v>
      </c>
      <c r="V4554">
        <v>0</v>
      </c>
    </row>
    <row r="4555" spans="1:22" x14ac:dyDescent="0.3">
      <c r="A4555" t="s">
        <v>4570</v>
      </c>
      <c r="B4555" s="2">
        <v>46228.533333333333</v>
      </c>
      <c r="C4555" s="2">
        <v>46228.991666666669</v>
      </c>
      <c r="D4555" t="s">
        <v>6022</v>
      </c>
      <c r="E4555" t="s">
        <v>6029</v>
      </c>
      <c r="F4555" t="s">
        <v>6034</v>
      </c>
      <c r="G4555" t="s">
        <v>6079</v>
      </c>
      <c r="H4555" t="s">
        <v>6097</v>
      </c>
      <c r="I4555">
        <v>24</v>
      </c>
      <c r="J4555">
        <v>11</v>
      </c>
      <c r="K4555" t="s">
        <v>6100</v>
      </c>
      <c r="L4555" t="s">
        <v>6099</v>
      </c>
      <c r="M4555" t="s">
        <v>6100</v>
      </c>
      <c r="N4555">
        <v>3</v>
      </c>
      <c r="O4555" t="s">
        <v>6101</v>
      </c>
      <c r="P4555" t="s">
        <v>6113</v>
      </c>
      <c r="Q4555">
        <v>7</v>
      </c>
      <c r="R4555">
        <v>2026</v>
      </c>
      <c r="S4555" t="s">
        <v>6099</v>
      </c>
      <c r="T4555">
        <v>1</v>
      </c>
      <c r="U4555" t="s">
        <v>6017</v>
      </c>
      <c r="V4555">
        <v>0</v>
      </c>
    </row>
    <row r="4556" spans="1:22" x14ac:dyDescent="0.3">
      <c r="A4556" t="s">
        <v>4571</v>
      </c>
      <c r="B4556" s="2">
        <v>46228.543055555558</v>
      </c>
      <c r="C4556" s="2">
        <v>46228.893055555556</v>
      </c>
      <c r="D4556" t="s">
        <v>6027</v>
      </c>
      <c r="E4556" t="s">
        <v>6030</v>
      </c>
      <c r="F4556" t="s">
        <v>6034</v>
      </c>
      <c r="G4556" t="s">
        <v>6079</v>
      </c>
      <c r="H4556" t="s">
        <v>6097</v>
      </c>
      <c r="I4556">
        <v>24</v>
      </c>
      <c r="J4556">
        <v>8.4</v>
      </c>
      <c r="K4556" t="s">
        <v>6099</v>
      </c>
      <c r="L4556" t="s">
        <v>6100</v>
      </c>
      <c r="M4556" t="s">
        <v>6100</v>
      </c>
      <c r="O4556" t="s">
        <v>6101</v>
      </c>
      <c r="P4556" t="s">
        <v>6113</v>
      </c>
      <c r="Q4556">
        <v>7</v>
      </c>
      <c r="R4556">
        <v>2026</v>
      </c>
      <c r="S4556" t="s">
        <v>6099</v>
      </c>
      <c r="T4556">
        <v>1</v>
      </c>
      <c r="U4556" t="s">
        <v>6020</v>
      </c>
      <c r="V4556">
        <v>1</v>
      </c>
    </row>
    <row r="4557" spans="1:22" x14ac:dyDescent="0.3">
      <c r="A4557" t="s">
        <v>4572</v>
      </c>
      <c r="B4557" s="2">
        <v>46228.617361111108</v>
      </c>
      <c r="C4557" s="2">
        <v>46232.288194444445</v>
      </c>
      <c r="D4557" t="s">
        <v>6026</v>
      </c>
      <c r="E4557" t="s">
        <v>6031</v>
      </c>
      <c r="F4557" t="s">
        <v>6034</v>
      </c>
      <c r="G4557" t="s">
        <v>6079</v>
      </c>
      <c r="H4557" t="s">
        <v>6097</v>
      </c>
      <c r="I4557">
        <v>24</v>
      </c>
      <c r="J4557">
        <v>88.1</v>
      </c>
      <c r="K4557" t="s">
        <v>6099</v>
      </c>
      <c r="L4557" t="s">
        <v>6100</v>
      </c>
      <c r="M4557" t="s">
        <v>6100</v>
      </c>
      <c r="N4557">
        <v>4</v>
      </c>
      <c r="O4557" t="s">
        <v>6101</v>
      </c>
      <c r="P4557" t="s">
        <v>6113</v>
      </c>
      <c r="Q4557">
        <v>7</v>
      </c>
      <c r="R4557">
        <v>2026</v>
      </c>
      <c r="S4557" t="s">
        <v>6100</v>
      </c>
      <c r="T4557">
        <v>0</v>
      </c>
      <c r="U4557" t="s">
        <v>6017</v>
      </c>
      <c r="V4557">
        <v>1</v>
      </c>
    </row>
    <row r="4558" spans="1:22" x14ac:dyDescent="0.3">
      <c r="A4558" t="s">
        <v>4573</v>
      </c>
      <c r="B4558" s="2">
        <v>46228.648611111108</v>
      </c>
      <c r="C4558" s="2">
        <v>46228.769444444442</v>
      </c>
      <c r="D4558" t="s">
        <v>6028</v>
      </c>
      <c r="E4558" t="s">
        <v>6029</v>
      </c>
      <c r="F4558" t="s">
        <v>6034</v>
      </c>
      <c r="G4558" t="s">
        <v>6081</v>
      </c>
      <c r="H4558" t="s">
        <v>6098</v>
      </c>
      <c r="I4558">
        <v>24</v>
      </c>
      <c r="J4558">
        <v>2.9</v>
      </c>
      <c r="K4558" t="s">
        <v>6099</v>
      </c>
      <c r="L4558" t="s">
        <v>6100</v>
      </c>
      <c r="M4558" t="s">
        <v>6099</v>
      </c>
      <c r="N4558">
        <v>4</v>
      </c>
      <c r="O4558" t="s">
        <v>6101</v>
      </c>
      <c r="P4558" t="s">
        <v>6113</v>
      </c>
      <c r="Q4558">
        <v>7</v>
      </c>
      <c r="R4558">
        <v>2026</v>
      </c>
      <c r="S4558" t="s">
        <v>6099</v>
      </c>
      <c r="T4558">
        <v>1</v>
      </c>
      <c r="U4558" t="s">
        <v>6019</v>
      </c>
      <c r="V4558">
        <v>1</v>
      </c>
    </row>
    <row r="4559" spans="1:22" x14ac:dyDescent="0.3">
      <c r="A4559" t="s">
        <v>4574</v>
      </c>
      <c r="B4559" s="2">
        <v>46228.655555555553</v>
      </c>
      <c r="C4559" s="2">
        <v>46229.143055555556</v>
      </c>
      <c r="D4559" t="s">
        <v>6025</v>
      </c>
      <c r="E4559" t="s">
        <v>6030</v>
      </c>
      <c r="F4559" t="s">
        <v>6034</v>
      </c>
      <c r="G4559" t="s">
        <v>6095</v>
      </c>
      <c r="H4559" t="s">
        <v>6098</v>
      </c>
      <c r="I4559">
        <v>24</v>
      </c>
      <c r="J4559">
        <v>11.7</v>
      </c>
      <c r="K4559" t="s">
        <v>6099</v>
      </c>
      <c r="L4559" t="s">
        <v>6100</v>
      </c>
      <c r="M4559" t="s">
        <v>6100</v>
      </c>
      <c r="N4559">
        <v>4</v>
      </c>
      <c r="O4559" t="s">
        <v>6101</v>
      </c>
      <c r="P4559" t="s">
        <v>6113</v>
      </c>
      <c r="Q4559">
        <v>7</v>
      </c>
      <c r="R4559">
        <v>2026</v>
      </c>
      <c r="S4559" t="s">
        <v>6099</v>
      </c>
      <c r="T4559">
        <v>1</v>
      </c>
      <c r="U4559" t="s">
        <v>6017</v>
      </c>
      <c r="V4559">
        <v>1</v>
      </c>
    </row>
    <row r="4560" spans="1:22" x14ac:dyDescent="0.3">
      <c r="A4560" t="s">
        <v>4575</v>
      </c>
      <c r="B4560" s="2">
        <v>46228.681944444441</v>
      </c>
      <c r="C4560" s="2">
        <v>46229.165277777778</v>
      </c>
      <c r="D4560" t="s">
        <v>6023</v>
      </c>
      <c r="E4560" t="s">
        <v>6029</v>
      </c>
      <c r="F4560" t="s">
        <v>6035</v>
      </c>
      <c r="G4560" t="s">
        <v>6075</v>
      </c>
      <c r="H4560" t="s">
        <v>6097</v>
      </c>
      <c r="I4560">
        <v>4</v>
      </c>
      <c r="J4560">
        <v>11.6</v>
      </c>
      <c r="K4560" t="s">
        <v>6099</v>
      </c>
      <c r="L4560" t="s">
        <v>6100</v>
      </c>
      <c r="M4560" t="s">
        <v>6100</v>
      </c>
      <c r="O4560" t="s">
        <v>6101</v>
      </c>
      <c r="P4560" t="s">
        <v>6113</v>
      </c>
      <c r="Q4560">
        <v>7</v>
      </c>
      <c r="R4560">
        <v>2026</v>
      </c>
      <c r="S4560" t="s">
        <v>6100</v>
      </c>
      <c r="T4560">
        <v>0</v>
      </c>
      <c r="U4560" t="s">
        <v>6019</v>
      </c>
      <c r="V4560">
        <v>1</v>
      </c>
    </row>
    <row r="4561" spans="1:22" x14ac:dyDescent="0.3">
      <c r="A4561" t="s">
        <v>4576</v>
      </c>
      <c r="B4561" s="2">
        <v>46228.875</v>
      </c>
      <c r="C4561" s="2">
        <v>46231.004166666666</v>
      </c>
      <c r="D4561" t="s">
        <v>6022</v>
      </c>
      <c r="E4561" t="s">
        <v>6032</v>
      </c>
      <c r="F4561" t="s">
        <v>6035</v>
      </c>
      <c r="G4561" t="s">
        <v>6080</v>
      </c>
      <c r="H4561" t="s">
        <v>6096</v>
      </c>
      <c r="I4561">
        <v>4</v>
      </c>
      <c r="J4561">
        <v>51.1</v>
      </c>
      <c r="K4561" t="s">
        <v>6100</v>
      </c>
      <c r="L4561" t="s">
        <v>6099</v>
      </c>
      <c r="M4561" t="s">
        <v>6099</v>
      </c>
      <c r="N4561">
        <v>4</v>
      </c>
      <c r="O4561" t="s">
        <v>6101</v>
      </c>
      <c r="P4561" t="s">
        <v>6113</v>
      </c>
      <c r="Q4561">
        <v>7</v>
      </c>
      <c r="R4561">
        <v>2026</v>
      </c>
      <c r="S4561" t="s">
        <v>6100</v>
      </c>
      <c r="T4561">
        <v>0</v>
      </c>
      <c r="U4561" t="s">
        <v>6019</v>
      </c>
      <c r="V4561">
        <v>0</v>
      </c>
    </row>
    <row r="4562" spans="1:22" x14ac:dyDescent="0.3">
      <c r="A4562" t="s">
        <v>4577</v>
      </c>
      <c r="B4562" s="2">
        <v>46229.097222222219</v>
      </c>
      <c r="C4562" s="2">
        <v>46229.301388888889</v>
      </c>
      <c r="D4562" t="s">
        <v>6028</v>
      </c>
      <c r="E4562" t="s">
        <v>6030</v>
      </c>
      <c r="F4562" t="s">
        <v>6035</v>
      </c>
      <c r="G4562" t="s">
        <v>6040</v>
      </c>
      <c r="H4562" t="s">
        <v>6097</v>
      </c>
      <c r="I4562">
        <v>4</v>
      </c>
      <c r="J4562">
        <v>4.9000000000000004</v>
      </c>
      <c r="K4562" t="s">
        <v>6099</v>
      </c>
      <c r="L4562" t="s">
        <v>6100</v>
      </c>
      <c r="M4562" t="s">
        <v>6100</v>
      </c>
      <c r="N4562">
        <v>2</v>
      </c>
      <c r="O4562" t="s">
        <v>6101</v>
      </c>
      <c r="P4562" t="s">
        <v>6113</v>
      </c>
      <c r="Q4562">
        <v>7</v>
      </c>
      <c r="R4562">
        <v>2026</v>
      </c>
      <c r="S4562" t="s">
        <v>6100</v>
      </c>
      <c r="T4562">
        <v>0</v>
      </c>
      <c r="U4562" t="s">
        <v>6021</v>
      </c>
      <c r="V4562">
        <v>1</v>
      </c>
    </row>
    <row r="4563" spans="1:22" x14ac:dyDescent="0.3">
      <c r="A4563" t="s">
        <v>4578</v>
      </c>
      <c r="B4563" s="2">
        <v>46229.104861111111</v>
      </c>
      <c r="C4563" s="2">
        <v>46230.117361111108</v>
      </c>
      <c r="D4563" t="s">
        <v>6022</v>
      </c>
      <c r="E4563" t="s">
        <v>6029</v>
      </c>
      <c r="F4563" t="s">
        <v>6033</v>
      </c>
      <c r="G4563" t="s">
        <v>6072</v>
      </c>
      <c r="H4563" t="s">
        <v>6097</v>
      </c>
      <c r="I4563">
        <v>72</v>
      </c>
      <c r="J4563">
        <v>24.3</v>
      </c>
      <c r="K4563" t="s">
        <v>6099</v>
      </c>
      <c r="L4563" t="s">
        <v>6100</v>
      </c>
      <c r="M4563" t="s">
        <v>6100</v>
      </c>
      <c r="N4563">
        <v>5</v>
      </c>
      <c r="O4563" t="s">
        <v>6101</v>
      </c>
      <c r="P4563" t="s">
        <v>6113</v>
      </c>
      <c r="Q4563">
        <v>7</v>
      </c>
      <c r="R4563">
        <v>2026</v>
      </c>
      <c r="S4563" t="s">
        <v>6099</v>
      </c>
      <c r="T4563">
        <v>1</v>
      </c>
      <c r="U4563" t="s">
        <v>6021</v>
      </c>
      <c r="V4563">
        <v>1</v>
      </c>
    </row>
    <row r="4564" spans="1:22" x14ac:dyDescent="0.3">
      <c r="A4564" t="s">
        <v>4579</v>
      </c>
      <c r="B4564" s="2">
        <v>46229.143750000003</v>
      </c>
      <c r="C4564" s="2">
        <v>46229.714583333334</v>
      </c>
      <c r="D4564" t="s">
        <v>6025</v>
      </c>
      <c r="E4564" t="s">
        <v>6030</v>
      </c>
      <c r="F4564" t="s">
        <v>6034</v>
      </c>
      <c r="G4564" t="s">
        <v>6046</v>
      </c>
      <c r="H4564" t="s">
        <v>6098</v>
      </c>
      <c r="I4564">
        <v>24</v>
      </c>
      <c r="J4564">
        <v>13.7</v>
      </c>
      <c r="K4564" t="s">
        <v>6100</v>
      </c>
      <c r="L4564" t="s">
        <v>6099</v>
      </c>
      <c r="M4564" t="s">
        <v>6099</v>
      </c>
      <c r="N4564">
        <v>2</v>
      </c>
      <c r="O4564" t="s">
        <v>6101</v>
      </c>
      <c r="P4564" t="s">
        <v>6113</v>
      </c>
      <c r="Q4564">
        <v>7</v>
      </c>
      <c r="R4564">
        <v>2026</v>
      </c>
      <c r="S4564" t="s">
        <v>6099</v>
      </c>
      <c r="T4564">
        <v>1</v>
      </c>
      <c r="U4564" t="s">
        <v>6020</v>
      </c>
      <c r="V4564">
        <v>0</v>
      </c>
    </row>
    <row r="4565" spans="1:22" x14ac:dyDescent="0.3">
      <c r="A4565" t="s">
        <v>4580</v>
      </c>
      <c r="B4565" s="2">
        <v>46229.226388888892</v>
      </c>
      <c r="C4565" s="2">
        <v>46229.743055555555</v>
      </c>
      <c r="D4565" t="s">
        <v>6028</v>
      </c>
      <c r="E4565" t="s">
        <v>6031</v>
      </c>
      <c r="F4565" t="s">
        <v>6035</v>
      </c>
      <c r="G4565" t="s">
        <v>6084</v>
      </c>
      <c r="H4565" t="s">
        <v>6098</v>
      </c>
      <c r="I4565">
        <v>4</v>
      </c>
      <c r="J4565">
        <v>12.4</v>
      </c>
      <c r="K4565" t="s">
        <v>6099</v>
      </c>
      <c r="L4565" t="s">
        <v>6100</v>
      </c>
      <c r="M4565" t="s">
        <v>6100</v>
      </c>
      <c r="N4565">
        <v>3</v>
      </c>
      <c r="O4565" t="s">
        <v>6101</v>
      </c>
      <c r="P4565" t="s">
        <v>6113</v>
      </c>
      <c r="Q4565">
        <v>7</v>
      </c>
      <c r="R4565">
        <v>2026</v>
      </c>
      <c r="S4565" t="s">
        <v>6100</v>
      </c>
      <c r="T4565">
        <v>0</v>
      </c>
      <c r="U4565" t="s">
        <v>6017</v>
      </c>
      <c r="V4565">
        <v>1</v>
      </c>
    </row>
    <row r="4566" spans="1:22" x14ac:dyDescent="0.3">
      <c r="A4566" t="s">
        <v>4581</v>
      </c>
      <c r="B4566" s="2">
        <v>46229.254166666666</v>
      </c>
      <c r="C4566" s="2">
        <v>46229.7</v>
      </c>
      <c r="D4566" t="s">
        <v>6023</v>
      </c>
      <c r="E4566" t="s">
        <v>6032</v>
      </c>
      <c r="F4566" t="s">
        <v>6033</v>
      </c>
      <c r="G4566" t="s">
        <v>6067</v>
      </c>
      <c r="H4566" t="s">
        <v>6098</v>
      </c>
      <c r="I4566">
        <v>72</v>
      </c>
      <c r="J4566">
        <v>10.7</v>
      </c>
      <c r="K4566" t="s">
        <v>6100</v>
      </c>
      <c r="L4566" t="s">
        <v>6100</v>
      </c>
      <c r="M4566" t="s">
        <v>6100</v>
      </c>
      <c r="N4566">
        <v>3</v>
      </c>
      <c r="O4566" t="s">
        <v>6101</v>
      </c>
      <c r="P4566" t="s">
        <v>6113</v>
      </c>
      <c r="Q4566">
        <v>7</v>
      </c>
      <c r="R4566">
        <v>2026</v>
      </c>
      <c r="S4566" t="s">
        <v>6099</v>
      </c>
      <c r="T4566">
        <v>1</v>
      </c>
      <c r="U4566" t="s">
        <v>6021</v>
      </c>
      <c r="V4566">
        <v>0</v>
      </c>
    </row>
    <row r="4567" spans="1:22" x14ac:dyDescent="0.3">
      <c r="A4567" t="s">
        <v>4582</v>
      </c>
      <c r="B4567" s="2">
        <v>46229.269444444442</v>
      </c>
      <c r="C4567" s="2">
        <v>46230.598611111112</v>
      </c>
      <c r="D4567" t="s">
        <v>6024</v>
      </c>
      <c r="E4567" t="s">
        <v>6032</v>
      </c>
      <c r="F4567" t="s">
        <v>6035</v>
      </c>
      <c r="G4567" t="s">
        <v>6067</v>
      </c>
      <c r="H4567" t="s">
        <v>6098</v>
      </c>
      <c r="I4567">
        <v>4</v>
      </c>
      <c r="J4567">
        <v>31.9</v>
      </c>
      <c r="K4567" t="s">
        <v>6100</v>
      </c>
      <c r="L4567" t="s">
        <v>6100</v>
      </c>
      <c r="M4567" t="s">
        <v>6100</v>
      </c>
      <c r="N4567">
        <v>3</v>
      </c>
      <c r="O4567" t="s">
        <v>6101</v>
      </c>
      <c r="P4567" t="s">
        <v>6113</v>
      </c>
      <c r="Q4567">
        <v>7</v>
      </c>
      <c r="R4567">
        <v>2026</v>
      </c>
      <c r="S4567" t="s">
        <v>6100</v>
      </c>
      <c r="T4567">
        <v>0</v>
      </c>
      <c r="U4567" t="s">
        <v>6021</v>
      </c>
      <c r="V4567">
        <v>0</v>
      </c>
    </row>
    <row r="4568" spans="1:22" x14ac:dyDescent="0.3">
      <c r="A4568" t="s">
        <v>4583</v>
      </c>
      <c r="B4568" s="2">
        <v>46229.282638888886</v>
      </c>
      <c r="C4568" s="2">
        <v>46229.703472222223</v>
      </c>
      <c r="D4568" t="s">
        <v>6022</v>
      </c>
      <c r="E4568" t="s">
        <v>6030</v>
      </c>
      <c r="F4568" t="s">
        <v>6034</v>
      </c>
      <c r="G4568" t="s">
        <v>6036</v>
      </c>
      <c r="H4568" t="s">
        <v>6096</v>
      </c>
      <c r="I4568">
        <v>24</v>
      </c>
      <c r="J4568">
        <v>10.1</v>
      </c>
      <c r="K4568" t="s">
        <v>6100</v>
      </c>
      <c r="L4568" t="s">
        <v>6099</v>
      </c>
      <c r="M4568" t="s">
        <v>6099</v>
      </c>
      <c r="N4568">
        <v>5</v>
      </c>
      <c r="O4568" t="s">
        <v>6101</v>
      </c>
      <c r="P4568" t="s">
        <v>6113</v>
      </c>
      <c r="Q4568">
        <v>7</v>
      </c>
      <c r="R4568">
        <v>2026</v>
      </c>
      <c r="S4568" t="s">
        <v>6099</v>
      </c>
      <c r="T4568">
        <v>1</v>
      </c>
      <c r="U4568" t="s">
        <v>6019</v>
      </c>
      <c r="V4568">
        <v>0</v>
      </c>
    </row>
    <row r="4569" spans="1:22" x14ac:dyDescent="0.3">
      <c r="A4569" t="s">
        <v>4584</v>
      </c>
      <c r="B4569" s="2">
        <v>46229.313194444447</v>
      </c>
      <c r="C4569" s="2">
        <v>46229.642361111109</v>
      </c>
      <c r="D4569" t="s">
        <v>6027</v>
      </c>
      <c r="E4569" t="s">
        <v>6029</v>
      </c>
      <c r="F4569" t="s">
        <v>6033</v>
      </c>
      <c r="G4569" t="s">
        <v>6080</v>
      </c>
      <c r="H4569" t="s">
        <v>6096</v>
      </c>
      <c r="I4569">
        <v>72</v>
      </c>
      <c r="J4569">
        <v>7.9</v>
      </c>
      <c r="K4569" t="s">
        <v>6099</v>
      </c>
      <c r="L4569" t="s">
        <v>6100</v>
      </c>
      <c r="M4569" t="s">
        <v>6100</v>
      </c>
      <c r="N4569">
        <v>5</v>
      </c>
      <c r="O4569" t="s">
        <v>6101</v>
      </c>
      <c r="P4569" t="s">
        <v>6113</v>
      </c>
      <c r="Q4569">
        <v>7</v>
      </c>
      <c r="R4569">
        <v>2026</v>
      </c>
      <c r="S4569" t="s">
        <v>6099</v>
      </c>
      <c r="T4569">
        <v>1</v>
      </c>
      <c r="U4569" t="s">
        <v>6021</v>
      </c>
      <c r="V4569">
        <v>1</v>
      </c>
    </row>
    <row r="4570" spans="1:22" x14ac:dyDescent="0.3">
      <c r="A4570" t="s">
        <v>4585</v>
      </c>
      <c r="B4570" s="2">
        <v>46229.330555555556</v>
      </c>
      <c r="C4570" s="2">
        <v>46230.384722222225</v>
      </c>
      <c r="D4570" t="s">
        <v>6022</v>
      </c>
      <c r="E4570" t="s">
        <v>6029</v>
      </c>
      <c r="F4570" t="s">
        <v>6034</v>
      </c>
      <c r="G4570" t="s">
        <v>6073</v>
      </c>
      <c r="H4570" t="s">
        <v>6096</v>
      </c>
      <c r="I4570">
        <v>24</v>
      </c>
      <c r="J4570">
        <v>25.3</v>
      </c>
      <c r="K4570" t="s">
        <v>6099</v>
      </c>
      <c r="L4570" t="s">
        <v>6100</v>
      </c>
      <c r="M4570" t="s">
        <v>6100</v>
      </c>
      <c r="O4570" t="s">
        <v>6101</v>
      </c>
      <c r="P4570" t="s">
        <v>6113</v>
      </c>
      <c r="Q4570">
        <v>7</v>
      </c>
      <c r="R4570">
        <v>2026</v>
      </c>
      <c r="S4570" t="s">
        <v>6100</v>
      </c>
      <c r="T4570">
        <v>0</v>
      </c>
      <c r="U4570" t="s">
        <v>6017</v>
      </c>
      <c r="V4570">
        <v>1</v>
      </c>
    </row>
    <row r="4571" spans="1:22" x14ac:dyDescent="0.3">
      <c r="A4571" t="s">
        <v>4586</v>
      </c>
      <c r="B4571" s="2">
        <v>46229.390277777777</v>
      </c>
      <c r="C4571" s="2">
        <v>46235.719444444447</v>
      </c>
      <c r="D4571" t="s">
        <v>6026</v>
      </c>
      <c r="E4571" t="s">
        <v>6031</v>
      </c>
      <c r="F4571" t="s">
        <v>6034</v>
      </c>
      <c r="G4571" t="s">
        <v>6060</v>
      </c>
      <c r="H4571" t="s">
        <v>6097</v>
      </c>
      <c r="I4571">
        <v>24</v>
      </c>
      <c r="J4571">
        <v>151.9</v>
      </c>
      <c r="K4571" t="s">
        <v>6100</v>
      </c>
      <c r="L4571" t="s">
        <v>6100</v>
      </c>
      <c r="M4571" t="s">
        <v>6100</v>
      </c>
      <c r="N4571">
        <v>3</v>
      </c>
      <c r="O4571" t="s">
        <v>6101</v>
      </c>
      <c r="P4571" t="s">
        <v>6113</v>
      </c>
      <c r="Q4571">
        <v>7</v>
      </c>
      <c r="R4571">
        <v>2026</v>
      </c>
      <c r="S4571" t="s">
        <v>6100</v>
      </c>
      <c r="T4571">
        <v>0</v>
      </c>
      <c r="U4571" t="s">
        <v>6018</v>
      </c>
      <c r="V4571">
        <v>0</v>
      </c>
    </row>
    <row r="4572" spans="1:22" x14ac:dyDescent="0.3">
      <c r="A4572" t="s">
        <v>4587</v>
      </c>
      <c r="B4572" s="2">
        <v>46229.428472222222</v>
      </c>
      <c r="C4572" s="2">
        <v>46230.71597222222</v>
      </c>
      <c r="D4572" t="s">
        <v>6025</v>
      </c>
      <c r="E4572" t="s">
        <v>6030</v>
      </c>
      <c r="F4572" t="s">
        <v>6034</v>
      </c>
      <c r="G4572" t="s">
        <v>6050</v>
      </c>
      <c r="H4572" t="s">
        <v>6098</v>
      </c>
      <c r="I4572">
        <v>24</v>
      </c>
      <c r="J4572">
        <v>30.9</v>
      </c>
      <c r="K4572" t="s">
        <v>6099</v>
      </c>
      <c r="L4572" t="s">
        <v>6100</v>
      </c>
      <c r="M4572" t="s">
        <v>6100</v>
      </c>
      <c r="N4572">
        <v>3</v>
      </c>
      <c r="O4572" t="s">
        <v>6101</v>
      </c>
      <c r="P4572" t="s">
        <v>6113</v>
      </c>
      <c r="Q4572">
        <v>7</v>
      </c>
      <c r="R4572">
        <v>2026</v>
      </c>
      <c r="S4572" t="s">
        <v>6100</v>
      </c>
      <c r="T4572">
        <v>0</v>
      </c>
      <c r="U4572" t="s">
        <v>6021</v>
      </c>
      <c r="V4572">
        <v>1</v>
      </c>
    </row>
    <row r="4573" spans="1:22" x14ac:dyDescent="0.3">
      <c r="A4573" t="s">
        <v>4588</v>
      </c>
      <c r="B4573" s="2">
        <v>46229.459722222222</v>
      </c>
      <c r="C4573" s="2">
        <v>46230.818055555559</v>
      </c>
      <c r="D4573" t="s">
        <v>6025</v>
      </c>
      <c r="E4573" t="s">
        <v>6029</v>
      </c>
      <c r="F4573" t="s">
        <v>6033</v>
      </c>
      <c r="G4573" t="s">
        <v>6045</v>
      </c>
      <c r="H4573" t="s">
        <v>6096</v>
      </c>
      <c r="I4573">
        <v>72</v>
      </c>
      <c r="J4573">
        <v>32.6</v>
      </c>
      <c r="K4573" t="s">
        <v>6099</v>
      </c>
      <c r="L4573" t="s">
        <v>6100</v>
      </c>
      <c r="M4573" t="s">
        <v>6100</v>
      </c>
      <c r="O4573" t="s">
        <v>6101</v>
      </c>
      <c r="P4573" t="s">
        <v>6113</v>
      </c>
      <c r="Q4573">
        <v>7</v>
      </c>
      <c r="R4573">
        <v>2026</v>
      </c>
      <c r="S4573" t="s">
        <v>6099</v>
      </c>
      <c r="T4573">
        <v>1</v>
      </c>
      <c r="U4573" t="s">
        <v>6018</v>
      </c>
      <c r="V4573">
        <v>1</v>
      </c>
    </row>
    <row r="4574" spans="1:22" x14ac:dyDescent="0.3">
      <c r="A4574" t="s">
        <v>4589</v>
      </c>
      <c r="B4574" s="2">
        <v>46229.464583333334</v>
      </c>
      <c r="C4574" s="2">
        <v>46231.777083333334</v>
      </c>
      <c r="D4574" t="s">
        <v>6024</v>
      </c>
      <c r="E4574" t="s">
        <v>6029</v>
      </c>
      <c r="F4574" t="s">
        <v>6034</v>
      </c>
      <c r="G4574" t="s">
        <v>6079</v>
      </c>
      <c r="H4574" t="s">
        <v>6097</v>
      </c>
      <c r="I4574">
        <v>24</v>
      </c>
      <c r="J4574">
        <v>55.5</v>
      </c>
      <c r="K4574" t="s">
        <v>6099</v>
      </c>
      <c r="L4574" t="s">
        <v>6100</v>
      </c>
      <c r="M4574" t="s">
        <v>6100</v>
      </c>
      <c r="O4574" t="s">
        <v>6101</v>
      </c>
      <c r="P4574" t="s">
        <v>6113</v>
      </c>
      <c r="Q4574">
        <v>7</v>
      </c>
      <c r="R4574">
        <v>2026</v>
      </c>
      <c r="S4574" t="s">
        <v>6100</v>
      </c>
      <c r="T4574">
        <v>0</v>
      </c>
      <c r="U4574" t="s">
        <v>6021</v>
      </c>
      <c r="V4574">
        <v>1</v>
      </c>
    </row>
    <row r="4575" spans="1:22" x14ac:dyDescent="0.3">
      <c r="A4575" t="s">
        <v>4590</v>
      </c>
      <c r="B4575" s="2">
        <v>46229.474305555559</v>
      </c>
      <c r="C4575" s="2">
        <v>46230.657638888886</v>
      </c>
      <c r="D4575" t="s">
        <v>6024</v>
      </c>
      <c r="E4575" t="s">
        <v>6030</v>
      </c>
      <c r="F4575" t="s">
        <v>6035</v>
      </c>
      <c r="G4575" t="s">
        <v>6076</v>
      </c>
      <c r="H4575" t="s">
        <v>6097</v>
      </c>
      <c r="I4575">
        <v>4</v>
      </c>
      <c r="K4575" t="s">
        <v>6100</v>
      </c>
      <c r="L4575" t="s">
        <v>6099</v>
      </c>
      <c r="M4575" t="s">
        <v>6100</v>
      </c>
      <c r="N4575">
        <v>3</v>
      </c>
      <c r="O4575" t="s">
        <v>6101</v>
      </c>
      <c r="P4575" t="s">
        <v>6113</v>
      </c>
      <c r="Q4575">
        <v>7</v>
      </c>
      <c r="R4575">
        <v>2026</v>
      </c>
      <c r="U4575" t="s">
        <v>6021</v>
      </c>
      <c r="V4575">
        <v>0</v>
      </c>
    </row>
    <row r="4576" spans="1:22" x14ac:dyDescent="0.3">
      <c r="A4576" t="s">
        <v>4591</v>
      </c>
      <c r="B4576" s="2">
        <v>46229.496527777781</v>
      </c>
      <c r="C4576" s="2">
        <v>46229.729861111111</v>
      </c>
      <c r="D4576" t="s">
        <v>6028</v>
      </c>
      <c r="E4576" t="s">
        <v>6029</v>
      </c>
      <c r="F4576" t="s">
        <v>6035</v>
      </c>
      <c r="G4576" t="s">
        <v>6036</v>
      </c>
      <c r="H4576" t="s">
        <v>6096</v>
      </c>
      <c r="I4576">
        <v>4</v>
      </c>
      <c r="J4576">
        <v>5.6</v>
      </c>
      <c r="K4576" t="s">
        <v>6100</v>
      </c>
      <c r="L4576" t="s">
        <v>6100</v>
      </c>
      <c r="M4576" t="s">
        <v>6100</v>
      </c>
      <c r="N4576">
        <v>3</v>
      </c>
      <c r="O4576" t="s">
        <v>6101</v>
      </c>
      <c r="P4576" t="s">
        <v>6113</v>
      </c>
      <c r="Q4576">
        <v>7</v>
      </c>
      <c r="R4576">
        <v>2026</v>
      </c>
      <c r="S4576" t="s">
        <v>6100</v>
      </c>
      <c r="T4576">
        <v>0</v>
      </c>
      <c r="U4576" t="s">
        <v>6020</v>
      </c>
      <c r="V4576">
        <v>0</v>
      </c>
    </row>
    <row r="4577" spans="1:22" x14ac:dyDescent="0.3">
      <c r="A4577" t="s">
        <v>4592</v>
      </c>
      <c r="B4577" s="2">
        <v>46229.544444444444</v>
      </c>
      <c r="C4577" s="2">
        <v>46230.806944444441</v>
      </c>
      <c r="D4577" t="s">
        <v>6028</v>
      </c>
      <c r="E4577" t="s">
        <v>6029</v>
      </c>
      <c r="F4577" t="s">
        <v>6035</v>
      </c>
      <c r="G4577" t="s">
        <v>6073</v>
      </c>
      <c r="H4577" t="s">
        <v>6096</v>
      </c>
      <c r="I4577">
        <v>4</v>
      </c>
      <c r="J4577">
        <v>30.3</v>
      </c>
      <c r="K4577" t="s">
        <v>6100</v>
      </c>
      <c r="L4577" t="s">
        <v>6099</v>
      </c>
      <c r="M4577" t="s">
        <v>6099</v>
      </c>
      <c r="N4577">
        <v>2</v>
      </c>
      <c r="O4577" t="s">
        <v>6101</v>
      </c>
      <c r="P4577" t="s">
        <v>6113</v>
      </c>
      <c r="Q4577">
        <v>7</v>
      </c>
      <c r="R4577">
        <v>2026</v>
      </c>
      <c r="S4577" t="s">
        <v>6100</v>
      </c>
      <c r="T4577">
        <v>0</v>
      </c>
      <c r="U4577" t="s">
        <v>6019</v>
      </c>
      <c r="V4577">
        <v>0</v>
      </c>
    </row>
    <row r="4578" spans="1:22" x14ac:dyDescent="0.3">
      <c r="A4578" t="s">
        <v>4593</v>
      </c>
      <c r="B4578" s="2">
        <v>46229.56527777778</v>
      </c>
      <c r="C4578" s="2">
        <v>46232.965277777781</v>
      </c>
      <c r="D4578" t="s">
        <v>6024</v>
      </c>
      <c r="E4578" t="s">
        <v>6032</v>
      </c>
      <c r="F4578" t="s">
        <v>6033</v>
      </c>
      <c r="G4578" t="s">
        <v>6055</v>
      </c>
      <c r="H4578" t="s">
        <v>6096</v>
      </c>
      <c r="I4578">
        <v>72</v>
      </c>
      <c r="J4578">
        <v>81.599999999999994</v>
      </c>
      <c r="K4578" t="s">
        <v>6099</v>
      </c>
      <c r="L4578" t="s">
        <v>6100</v>
      </c>
      <c r="M4578" t="s">
        <v>6100</v>
      </c>
      <c r="O4578" t="s">
        <v>6101</v>
      </c>
      <c r="P4578" t="s">
        <v>6113</v>
      </c>
      <c r="Q4578">
        <v>7</v>
      </c>
      <c r="R4578">
        <v>2026</v>
      </c>
      <c r="S4578" t="s">
        <v>6100</v>
      </c>
      <c r="T4578">
        <v>0</v>
      </c>
      <c r="U4578" t="s">
        <v>6017</v>
      </c>
      <c r="V4578">
        <v>1</v>
      </c>
    </row>
    <row r="4579" spans="1:22" x14ac:dyDescent="0.3">
      <c r="A4579" t="s">
        <v>4594</v>
      </c>
      <c r="B4579" s="2">
        <v>46229.59375</v>
      </c>
      <c r="C4579" s="2">
        <v>46230.847916666666</v>
      </c>
      <c r="D4579" t="s">
        <v>6025</v>
      </c>
      <c r="E4579" t="s">
        <v>6029</v>
      </c>
      <c r="F4579" t="s">
        <v>6034</v>
      </c>
      <c r="G4579" t="s">
        <v>6041</v>
      </c>
      <c r="H4579" t="s">
        <v>6096</v>
      </c>
      <c r="I4579">
        <v>24</v>
      </c>
      <c r="J4579">
        <v>30.1</v>
      </c>
      <c r="K4579" t="s">
        <v>6099</v>
      </c>
      <c r="L4579" t="s">
        <v>6100</v>
      </c>
      <c r="M4579" t="s">
        <v>6100</v>
      </c>
      <c r="O4579" t="s">
        <v>6101</v>
      </c>
      <c r="P4579" t="s">
        <v>6113</v>
      </c>
      <c r="Q4579">
        <v>7</v>
      </c>
      <c r="R4579">
        <v>2026</v>
      </c>
      <c r="S4579" t="s">
        <v>6100</v>
      </c>
      <c r="T4579">
        <v>0</v>
      </c>
      <c r="U4579" t="s">
        <v>6017</v>
      </c>
      <c r="V4579">
        <v>1</v>
      </c>
    </row>
    <row r="4580" spans="1:22" x14ac:dyDescent="0.3">
      <c r="A4580" t="s">
        <v>4595</v>
      </c>
      <c r="B4580" s="2">
        <v>46229.606944444444</v>
      </c>
      <c r="C4580" s="2">
        <v>46231.415277777778</v>
      </c>
      <c r="D4580" t="s">
        <v>6024</v>
      </c>
      <c r="E4580" t="s">
        <v>6032</v>
      </c>
      <c r="F4580" t="s">
        <v>6034</v>
      </c>
      <c r="G4580" t="s">
        <v>6078</v>
      </c>
      <c r="H4580" t="s">
        <v>6097</v>
      </c>
      <c r="I4580">
        <v>24</v>
      </c>
      <c r="J4580">
        <v>43.4</v>
      </c>
      <c r="K4580" t="s">
        <v>6099</v>
      </c>
      <c r="L4580" t="s">
        <v>6100</v>
      </c>
      <c r="M4580" t="s">
        <v>6100</v>
      </c>
      <c r="N4580">
        <v>3</v>
      </c>
      <c r="O4580" t="s">
        <v>6101</v>
      </c>
      <c r="P4580" t="s">
        <v>6113</v>
      </c>
      <c r="Q4580">
        <v>7</v>
      </c>
      <c r="R4580">
        <v>2026</v>
      </c>
      <c r="S4580" t="s">
        <v>6100</v>
      </c>
      <c r="T4580">
        <v>0</v>
      </c>
      <c r="U4580" t="s">
        <v>6019</v>
      </c>
      <c r="V4580">
        <v>1</v>
      </c>
    </row>
    <row r="4581" spans="1:22" x14ac:dyDescent="0.3">
      <c r="A4581" t="s">
        <v>4596</v>
      </c>
      <c r="B4581" s="2">
        <v>46229.619444444441</v>
      </c>
      <c r="C4581" s="2">
        <v>46230.115277777775</v>
      </c>
      <c r="D4581" t="s">
        <v>6022</v>
      </c>
      <c r="E4581" t="s">
        <v>6030</v>
      </c>
      <c r="F4581" t="s">
        <v>6034</v>
      </c>
      <c r="G4581" t="s">
        <v>6071</v>
      </c>
      <c r="H4581" t="s">
        <v>6098</v>
      </c>
      <c r="I4581">
        <v>24</v>
      </c>
      <c r="J4581">
        <v>11.9</v>
      </c>
      <c r="K4581" t="s">
        <v>6100</v>
      </c>
      <c r="L4581" t="s">
        <v>6099</v>
      </c>
      <c r="M4581" t="s">
        <v>6100</v>
      </c>
      <c r="N4581">
        <v>5</v>
      </c>
      <c r="O4581" t="s">
        <v>6101</v>
      </c>
      <c r="P4581" t="s">
        <v>6113</v>
      </c>
      <c r="Q4581">
        <v>7</v>
      </c>
      <c r="R4581">
        <v>2026</v>
      </c>
      <c r="S4581" t="s">
        <v>6099</v>
      </c>
      <c r="T4581">
        <v>1</v>
      </c>
      <c r="U4581" t="s">
        <v>6018</v>
      </c>
      <c r="V4581">
        <v>0</v>
      </c>
    </row>
    <row r="4582" spans="1:22" x14ac:dyDescent="0.3">
      <c r="A4582" t="s">
        <v>4597</v>
      </c>
      <c r="B4582" s="2">
        <v>46229.674305555556</v>
      </c>
      <c r="C4582" s="2">
        <v>46230.21597222222</v>
      </c>
      <c r="D4582" t="s">
        <v>6025</v>
      </c>
      <c r="E4582" t="s">
        <v>6030</v>
      </c>
      <c r="F4582" t="s">
        <v>6035</v>
      </c>
      <c r="G4582" t="s">
        <v>6053</v>
      </c>
      <c r="H4582" t="s">
        <v>6097</v>
      </c>
      <c r="I4582">
        <v>4</v>
      </c>
      <c r="J4582">
        <v>13</v>
      </c>
      <c r="K4582" t="s">
        <v>6099</v>
      </c>
      <c r="L4582" t="s">
        <v>6100</v>
      </c>
      <c r="M4582" t="s">
        <v>6100</v>
      </c>
      <c r="N4582">
        <v>3</v>
      </c>
      <c r="O4582" t="s">
        <v>6101</v>
      </c>
      <c r="P4582" t="s">
        <v>6113</v>
      </c>
      <c r="Q4582">
        <v>7</v>
      </c>
      <c r="R4582">
        <v>2026</v>
      </c>
      <c r="S4582" t="s">
        <v>6100</v>
      </c>
      <c r="T4582">
        <v>0</v>
      </c>
      <c r="U4582" t="s">
        <v>6020</v>
      </c>
      <c r="V4582">
        <v>1</v>
      </c>
    </row>
    <row r="4583" spans="1:22" x14ac:dyDescent="0.3">
      <c r="A4583" t="s">
        <v>4598</v>
      </c>
      <c r="B4583" s="2">
        <v>46229.756944444445</v>
      </c>
      <c r="C4583" s="2">
        <v>46230.281944444447</v>
      </c>
      <c r="D4583" t="s">
        <v>6028</v>
      </c>
      <c r="E4583" t="s">
        <v>6031</v>
      </c>
      <c r="F4583" t="s">
        <v>6035</v>
      </c>
      <c r="G4583" t="s">
        <v>6053</v>
      </c>
      <c r="H4583" t="s">
        <v>6097</v>
      </c>
      <c r="I4583">
        <v>4</v>
      </c>
      <c r="J4583">
        <v>12.6</v>
      </c>
      <c r="K4583" t="s">
        <v>6099</v>
      </c>
      <c r="L4583" t="s">
        <v>6100</v>
      </c>
      <c r="M4583" t="s">
        <v>6100</v>
      </c>
      <c r="N4583">
        <v>3</v>
      </c>
      <c r="O4583" t="s">
        <v>6101</v>
      </c>
      <c r="P4583" t="s">
        <v>6113</v>
      </c>
      <c r="Q4583">
        <v>7</v>
      </c>
      <c r="R4583">
        <v>2026</v>
      </c>
      <c r="S4583" t="s">
        <v>6100</v>
      </c>
      <c r="T4583">
        <v>0</v>
      </c>
      <c r="U4583" t="s">
        <v>6021</v>
      </c>
      <c r="V4583">
        <v>1</v>
      </c>
    </row>
    <row r="4584" spans="1:22" x14ac:dyDescent="0.3">
      <c r="A4584" t="s">
        <v>4599</v>
      </c>
      <c r="B4584" s="2">
        <v>46229.869444444441</v>
      </c>
      <c r="C4584" s="2">
        <v>46230.098611111112</v>
      </c>
      <c r="D4584" t="s">
        <v>6027</v>
      </c>
      <c r="E4584" t="s">
        <v>6030</v>
      </c>
      <c r="F4584" t="s">
        <v>6034</v>
      </c>
      <c r="G4584" t="s">
        <v>6071</v>
      </c>
      <c r="H4584" t="s">
        <v>6098</v>
      </c>
      <c r="I4584">
        <v>24</v>
      </c>
      <c r="J4584">
        <v>5.5</v>
      </c>
      <c r="K4584" t="s">
        <v>6099</v>
      </c>
      <c r="L4584" t="s">
        <v>6100</v>
      </c>
      <c r="M4584" t="s">
        <v>6100</v>
      </c>
      <c r="N4584">
        <v>5</v>
      </c>
      <c r="O4584" t="s">
        <v>6101</v>
      </c>
      <c r="P4584" t="s">
        <v>6113</v>
      </c>
      <c r="Q4584">
        <v>7</v>
      </c>
      <c r="R4584">
        <v>2026</v>
      </c>
      <c r="S4584" t="s">
        <v>6099</v>
      </c>
      <c r="T4584">
        <v>1</v>
      </c>
      <c r="U4584" t="s">
        <v>6018</v>
      </c>
      <c r="V4584">
        <v>1</v>
      </c>
    </row>
    <row r="4585" spans="1:22" x14ac:dyDescent="0.3">
      <c r="A4585" t="s">
        <v>4600</v>
      </c>
      <c r="B4585" s="2">
        <v>46229.90902777778</v>
      </c>
      <c r="C4585" s="2">
        <v>46232.546527777777</v>
      </c>
      <c r="D4585" t="s">
        <v>6026</v>
      </c>
      <c r="E4585" t="s">
        <v>6031</v>
      </c>
      <c r="F4585" t="s">
        <v>6033</v>
      </c>
      <c r="G4585" t="s">
        <v>6050</v>
      </c>
      <c r="H4585" t="s">
        <v>6098</v>
      </c>
      <c r="I4585">
        <v>72</v>
      </c>
      <c r="J4585">
        <v>63.3</v>
      </c>
      <c r="K4585" t="s">
        <v>6099</v>
      </c>
      <c r="L4585" t="s">
        <v>6100</v>
      </c>
      <c r="M4585" t="s">
        <v>6099</v>
      </c>
      <c r="N4585">
        <v>5</v>
      </c>
      <c r="O4585" t="s">
        <v>6101</v>
      </c>
      <c r="P4585" t="s">
        <v>6113</v>
      </c>
      <c r="Q4585">
        <v>7</v>
      </c>
      <c r="R4585">
        <v>2026</v>
      </c>
      <c r="S4585" t="s">
        <v>6099</v>
      </c>
      <c r="T4585">
        <v>1</v>
      </c>
      <c r="U4585" t="s">
        <v>6021</v>
      </c>
      <c r="V4585">
        <v>1</v>
      </c>
    </row>
    <row r="4586" spans="1:22" x14ac:dyDescent="0.3">
      <c r="A4586" t="s">
        <v>4601</v>
      </c>
      <c r="B4586" s="2">
        <v>46229.909722222219</v>
      </c>
      <c r="C4586" s="2">
        <v>46230.522222222222</v>
      </c>
      <c r="D4586" t="s">
        <v>6028</v>
      </c>
      <c r="E4586" t="s">
        <v>6031</v>
      </c>
      <c r="F4586" t="s">
        <v>6034</v>
      </c>
      <c r="G4586" t="s">
        <v>6054</v>
      </c>
      <c r="H4586" t="s">
        <v>6096</v>
      </c>
      <c r="I4586">
        <v>24</v>
      </c>
      <c r="J4586">
        <v>14.7</v>
      </c>
      <c r="K4586" t="s">
        <v>6099</v>
      </c>
      <c r="L4586" t="s">
        <v>6100</v>
      </c>
      <c r="M4586" t="s">
        <v>6100</v>
      </c>
      <c r="N4586">
        <v>5</v>
      </c>
      <c r="O4586" t="s">
        <v>6101</v>
      </c>
      <c r="P4586" t="s">
        <v>6113</v>
      </c>
      <c r="Q4586">
        <v>7</v>
      </c>
      <c r="R4586">
        <v>2026</v>
      </c>
      <c r="S4586" t="s">
        <v>6099</v>
      </c>
      <c r="T4586">
        <v>1</v>
      </c>
      <c r="U4586" t="s">
        <v>6019</v>
      </c>
      <c r="V4586">
        <v>1</v>
      </c>
    </row>
    <row r="4587" spans="1:22" x14ac:dyDescent="0.3">
      <c r="A4587" t="s">
        <v>4602</v>
      </c>
      <c r="B4587" s="2">
        <v>46229.909722222219</v>
      </c>
      <c r="C4587" s="2">
        <v>46231.330555555556</v>
      </c>
      <c r="D4587" t="s">
        <v>6025</v>
      </c>
      <c r="E4587" t="s">
        <v>6029</v>
      </c>
      <c r="F4587" t="s">
        <v>6035</v>
      </c>
      <c r="G4587" t="s">
        <v>6037</v>
      </c>
      <c r="H4587" t="s">
        <v>6096</v>
      </c>
      <c r="I4587">
        <v>4</v>
      </c>
      <c r="J4587">
        <v>34.1</v>
      </c>
      <c r="K4587" t="s">
        <v>6099</v>
      </c>
      <c r="L4587" t="s">
        <v>6100</v>
      </c>
      <c r="M4587" t="s">
        <v>6100</v>
      </c>
      <c r="O4587" t="s">
        <v>6101</v>
      </c>
      <c r="P4587" t="s">
        <v>6113</v>
      </c>
      <c r="Q4587">
        <v>7</v>
      </c>
      <c r="R4587">
        <v>2026</v>
      </c>
      <c r="S4587" t="s">
        <v>6100</v>
      </c>
      <c r="T4587">
        <v>0</v>
      </c>
      <c r="U4587" t="s">
        <v>6018</v>
      </c>
      <c r="V4587">
        <v>1</v>
      </c>
    </row>
    <row r="4588" spans="1:22" x14ac:dyDescent="0.3">
      <c r="A4588" t="s">
        <v>4603</v>
      </c>
      <c r="B4588" s="2">
        <v>46230.12777777778</v>
      </c>
      <c r="C4588" s="2">
        <v>46230.590277777781</v>
      </c>
      <c r="D4588" t="s">
        <v>6028</v>
      </c>
      <c r="E4588" t="s">
        <v>6031</v>
      </c>
      <c r="F4588" t="s">
        <v>6034</v>
      </c>
      <c r="G4588" t="s">
        <v>6081</v>
      </c>
      <c r="H4588" t="s">
        <v>6098</v>
      </c>
      <c r="I4588">
        <v>24</v>
      </c>
      <c r="J4588">
        <v>11.1</v>
      </c>
      <c r="K4588" t="s">
        <v>6099</v>
      </c>
      <c r="L4588" t="s">
        <v>6100</v>
      </c>
      <c r="M4588" t="s">
        <v>6100</v>
      </c>
      <c r="N4588">
        <v>5</v>
      </c>
      <c r="O4588" t="s">
        <v>6101</v>
      </c>
      <c r="P4588" t="s">
        <v>6113</v>
      </c>
      <c r="Q4588">
        <v>7</v>
      </c>
      <c r="R4588">
        <v>2026</v>
      </c>
      <c r="S4588" t="s">
        <v>6099</v>
      </c>
      <c r="T4588">
        <v>1</v>
      </c>
      <c r="U4588" t="s">
        <v>6017</v>
      </c>
      <c r="V4588">
        <v>1</v>
      </c>
    </row>
    <row r="4589" spans="1:22" x14ac:dyDescent="0.3">
      <c r="A4589" t="s">
        <v>4604</v>
      </c>
      <c r="B4589" s="2">
        <v>46230.259722222225</v>
      </c>
      <c r="C4589" s="2">
        <v>46231.74722222222</v>
      </c>
      <c r="D4589" t="s">
        <v>6028</v>
      </c>
      <c r="E4589" t="s">
        <v>6031</v>
      </c>
      <c r="F4589" t="s">
        <v>6035</v>
      </c>
      <c r="G4589" t="s">
        <v>6079</v>
      </c>
      <c r="H4589" t="s">
        <v>6097</v>
      </c>
      <c r="I4589">
        <v>4</v>
      </c>
      <c r="J4589">
        <v>35.700000000000003</v>
      </c>
      <c r="K4589" t="s">
        <v>6099</v>
      </c>
      <c r="L4589" t="s">
        <v>6100</v>
      </c>
      <c r="M4589" t="s">
        <v>6100</v>
      </c>
      <c r="N4589">
        <v>4</v>
      </c>
      <c r="O4589" t="s">
        <v>6101</v>
      </c>
      <c r="P4589" t="s">
        <v>6113</v>
      </c>
      <c r="Q4589">
        <v>7</v>
      </c>
      <c r="R4589">
        <v>2026</v>
      </c>
      <c r="S4589" t="s">
        <v>6100</v>
      </c>
      <c r="T4589">
        <v>0</v>
      </c>
      <c r="U4589" t="s">
        <v>6018</v>
      </c>
      <c r="V4589">
        <v>1</v>
      </c>
    </row>
    <row r="4590" spans="1:22" x14ac:dyDescent="0.3">
      <c r="A4590" t="s">
        <v>4605</v>
      </c>
      <c r="B4590" s="2">
        <v>46230.397916666669</v>
      </c>
      <c r="C4590" s="2">
        <v>46231.539583333331</v>
      </c>
      <c r="D4590" t="s">
        <v>6028</v>
      </c>
      <c r="E4590" t="s">
        <v>6031</v>
      </c>
      <c r="F4590" t="s">
        <v>6035</v>
      </c>
      <c r="G4590" t="s">
        <v>6081</v>
      </c>
      <c r="H4590" t="s">
        <v>6098</v>
      </c>
      <c r="I4590">
        <v>4</v>
      </c>
      <c r="J4590">
        <v>27.4</v>
      </c>
      <c r="K4590" t="s">
        <v>6099</v>
      </c>
      <c r="L4590" t="s">
        <v>6100</v>
      </c>
      <c r="M4590" t="s">
        <v>6100</v>
      </c>
      <c r="O4590" t="s">
        <v>6101</v>
      </c>
      <c r="P4590" t="s">
        <v>6113</v>
      </c>
      <c r="Q4590">
        <v>7</v>
      </c>
      <c r="R4590">
        <v>2026</v>
      </c>
      <c r="S4590" t="s">
        <v>6100</v>
      </c>
      <c r="T4590">
        <v>0</v>
      </c>
      <c r="U4590" t="s">
        <v>6017</v>
      </c>
      <c r="V4590">
        <v>1</v>
      </c>
    </row>
    <row r="4591" spans="1:22" x14ac:dyDescent="0.3">
      <c r="A4591" t="s">
        <v>4606</v>
      </c>
      <c r="B4591" s="2">
        <v>46230.400694444441</v>
      </c>
      <c r="C4591" s="2">
        <v>46230.554861111108</v>
      </c>
      <c r="D4591" t="s">
        <v>6022</v>
      </c>
      <c r="E4591" t="s">
        <v>6030</v>
      </c>
      <c r="F4591" t="s">
        <v>6033</v>
      </c>
      <c r="G4591" t="s">
        <v>6047</v>
      </c>
      <c r="H4591" t="s">
        <v>6098</v>
      </c>
      <c r="I4591">
        <v>72</v>
      </c>
      <c r="J4591">
        <v>3.7</v>
      </c>
      <c r="K4591" t="s">
        <v>6099</v>
      </c>
      <c r="L4591" t="s">
        <v>6100</v>
      </c>
      <c r="M4591" t="s">
        <v>6100</v>
      </c>
      <c r="O4591" t="s">
        <v>6101</v>
      </c>
      <c r="P4591" t="s">
        <v>6113</v>
      </c>
      <c r="Q4591">
        <v>7</v>
      </c>
      <c r="R4591">
        <v>2026</v>
      </c>
      <c r="S4591" t="s">
        <v>6099</v>
      </c>
      <c r="T4591">
        <v>1</v>
      </c>
      <c r="U4591" t="s">
        <v>6019</v>
      </c>
      <c r="V4591">
        <v>1</v>
      </c>
    </row>
    <row r="4592" spans="1:22" x14ac:dyDescent="0.3">
      <c r="A4592" t="s">
        <v>4607</v>
      </c>
      <c r="B4592" s="2">
        <v>46230.429861111108</v>
      </c>
      <c r="C4592" s="2">
        <v>46231.396527777775</v>
      </c>
      <c r="D4592" t="s">
        <v>6023</v>
      </c>
      <c r="E4592" t="s">
        <v>6029</v>
      </c>
      <c r="F4592" t="s">
        <v>6033</v>
      </c>
      <c r="G4592" t="s">
        <v>6036</v>
      </c>
      <c r="H4592" t="s">
        <v>6096</v>
      </c>
      <c r="I4592">
        <v>72</v>
      </c>
      <c r="J4592">
        <v>23.2</v>
      </c>
      <c r="K4592" t="s">
        <v>6099</v>
      </c>
      <c r="L4592" t="s">
        <v>6100</v>
      </c>
      <c r="M4592" t="s">
        <v>6100</v>
      </c>
      <c r="O4592" t="s">
        <v>6101</v>
      </c>
      <c r="P4592" t="s">
        <v>6113</v>
      </c>
      <c r="Q4592">
        <v>7</v>
      </c>
      <c r="R4592">
        <v>2026</v>
      </c>
      <c r="S4592" t="s">
        <v>6099</v>
      </c>
      <c r="T4592">
        <v>1</v>
      </c>
      <c r="U4592" t="s">
        <v>6019</v>
      </c>
      <c r="V4592">
        <v>1</v>
      </c>
    </row>
    <row r="4593" spans="1:22" x14ac:dyDescent="0.3">
      <c r="A4593" t="s">
        <v>4608</v>
      </c>
      <c r="B4593" s="2">
        <v>46230.444444444445</v>
      </c>
      <c r="C4593" s="2">
        <v>46230.694444444445</v>
      </c>
      <c r="D4593" t="s">
        <v>6023</v>
      </c>
      <c r="E4593" t="s">
        <v>6030</v>
      </c>
      <c r="F4593" t="s">
        <v>6034</v>
      </c>
      <c r="G4593" t="s">
        <v>6090</v>
      </c>
      <c r="H4593" t="s">
        <v>6097</v>
      </c>
      <c r="I4593">
        <v>24</v>
      </c>
      <c r="J4593">
        <v>6</v>
      </c>
      <c r="K4593" t="s">
        <v>6099</v>
      </c>
      <c r="L4593" t="s">
        <v>6100</v>
      </c>
      <c r="M4593" t="s">
        <v>6100</v>
      </c>
      <c r="N4593">
        <v>4</v>
      </c>
      <c r="O4593" t="s">
        <v>6101</v>
      </c>
      <c r="P4593" t="s">
        <v>6113</v>
      </c>
      <c r="Q4593">
        <v>7</v>
      </c>
      <c r="R4593">
        <v>2026</v>
      </c>
      <c r="S4593" t="s">
        <v>6099</v>
      </c>
      <c r="T4593">
        <v>1</v>
      </c>
      <c r="U4593" t="s">
        <v>6019</v>
      </c>
      <c r="V4593">
        <v>1</v>
      </c>
    </row>
    <row r="4594" spans="1:22" x14ac:dyDescent="0.3">
      <c r="A4594" t="s">
        <v>4609</v>
      </c>
      <c r="B4594" s="2">
        <v>46230.444444444445</v>
      </c>
      <c r="C4594" s="2">
        <v>46230.886111111111</v>
      </c>
      <c r="D4594" t="s">
        <v>6022</v>
      </c>
      <c r="E4594" t="s">
        <v>6029</v>
      </c>
      <c r="F4594" t="s">
        <v>6034</v>
      </c>
      <c r="G4594" t="s">
        <v>6089</v>
      </c>
      <c r="H4594" t="s">
        <v>6098</v>
      </c>
      <c r="I4594">
        <v>24</v>
      </c>
      <c r="J4594">
        <v>10.6</v>
      </c>
      <c r="K4594" t="s">
        <v>6100</v>
      </c>
      <c r="L4594" t="s">
        <v>6100</v>
      </c>
      <c r="M4594" t="s">
        <v>6100</v>
      </c>
      <c r="O4594" t="s">
        <v>6101</v>
      </c>
      <c r="P4594" t="s">
        <v>6113</v>
      </c>
      <c r="Q4594">
        <v>7</v>
      </c>
      <c r="R4594">
        <v>2026</v>
      </c>
      <c r="S4594" t="s">
        <v>6099</v>
      </c>
      <c r="T4594">
        <v>1</v>
      </c>
      <c r="U4594" t="s">
        <v>6019</v>
      </c>
      <c r="V4594">
        <v>0</v>
      </c>
    </row>
    <row r="4595" spans="1:22" x14ac:dyDescent="0.3">
      <c r="A4595" t="s">
        <v>4610</v>
      </c>
      <c r="B4595" s="2">
        <v>46230.45</v>
      </c>
      <c r="C4595" s="2">
        <v>46230.9</v>
      </c>
      <c r="D4595" t="s">
        <v>6028</v>
      </c>
      <c r="E4595" t="s">
        <v>6029</v>
      </c>
      <c r="F4595" t="s">
        <v>6035</v>
      </c>
      <c r="G4595" t="s">
        <v>6052</v>
      </c>
      <c r="H4595" t="s">
        <v>6098</v>
      </c>
      <c r="I4595">
        <v>4</v>
      </c>
      <c r="J4595">
        <v>10.8</v>
      </c>
      <c r="K4595" t="s">
        <v>6100</v>
      </c>
      <c r="L4595" t="s">
        <v>6099</v>
      </c>
      <c r="M4595" t="s">
        <v>6100</v>
      </c>
      <c r="N4595">
        <v>4</v>
      </c>
      <c r="O4595" t="s">
        <v>6101</v>
      </c>
      <c r="P4595" t="s">
        <v>6113</v>
      </c>
      <c r="Q4595">
        <v>7</v>
      </c>
      <c r="R4595">
        <v>2026</v>
      </c>
      <c r="S4595" t="s">
        <v>6100</v>
      </c>
      <c r="T4595">
        <v>0</v>
      </c>
      <c r="U4595" t="s">
        <v>6018</v>
      </c>
      <c r="V4595">
        <v>0</v>
      </c>
    </row>
    <row r="4596" spans="1:22" x14ac:dyDescent="0.3">
      <c r="A4596" t="s">
        <v>4611</v>
      </c>
      <c r="B4596" s="2">
        <v>46230.465277777781</v>
      </c>
      <c r="C4596" s="2">
        <v>46230.881944444445</v>
      </c>
      <c r="D4596" t="s">
        <v>6022</v>
      </c>
      <c r="E4596" t="s">
        <v>6029</v>
      </c>
      <c r="F4596" t="s">
        <v>6034</v>
      </c>
      <c r="G4596" t="s">
        <v>6071</v>
      </c>
      <c r="H4596" t="s">
        <v>6098</v>
      </c>
      <c r="I4596">
        <v>24</v>
      </c>
      <c r="J4596">
        <v>10</v>
      </c>
      <c r="K4596" t="s">
        <v>6099</v>
      </c>
      <c r="L4596" t="s">
        <v>6100</v>
      </c>
      <c r="M4596" t="s">
        <v>6100</v>
      </c>
      <c r="O4596" t="s">
        <v>6101</v>
      </c>
      <c r="P4596" t="s">
        <v>6113</v>
      </c>
      <c r="Q4596">
        <v>7</v>
      </c>
      <c r="R4596">
        <v>2026</v>
      </c>
      <c r="S4596" t="s">
        <v>6099</v>
      </c>
      <c r="T4596">
        <v>1</v>
      </c>
      <c r="U4596" t="s">
        <v>6020</v>
      </c>
      <c r="V4596">
        <v>1</v>
      </c>
    </row>
    <row r="4597" spans="1:22" x14ac:dyDescent="0.3">
      <c r="A4597" t="s">
        <v>4612</v>
      </c>
      <c r="B4597" s="2">
        <v>46230.468055555553</v>
      </c>
      <c r="C4597" s="2">
        <v>46231.522222222222</v>
      </c>
      <c r="D4597" t="s">
        <v>6026</v>
      </c>
      <c r="E4597" t="s">
        <v>6031</v>
      </c>
      <c r="F4597" t="s">
        <v>6034</v>
      </c>
      <c r="G4597" t="s">
        <v>6047</v>
      </c>
      <c r="H4597" t="s">
        <v>6098</v>
      </c>
      <c r="I4597">
        <v>24</v>
      </c>
      <c r="J4597">
        <v>25.3</v>
      </c>
      <c r="K4597" t="s">
        <v>6100</v>
      </c>
      <c r="L4597" t="s">
        <v>6100</v>
      </c>
      <c r="M4597" t="s">
        <v>6100</v>
      </c>
      <c r="N4597">
        <v>3</v>
      </c>
      <c r="O4597" t="s">
        <v>6101</v>
      </c>
      <c r="P4597" t="s">
        <v>6113</v>
      </c>
      <c r="Q4597">
        <v>7</v>
      </c>
      <c r="R4597">
        <v>2026</v>
      </c>
      <c r="S4597" t="s">
        <v>6100</v>
      </c>
      <c r="T4597">
        <v>0</v>
      </c>
      <c r="U4597" t="s">
        <v>6021</v>
      </c>
      <c r="V4597">
        <v>0</v>
      </c>
    </row>
    <row r="4598" spans="1:22" x14ac:dyDescent="0.3">
      <c r="A4598" t="s">
        <v>4613</v>
      </c>
      <c r="B4598" s="2">
        <v>46230.495138888888</v>
      </c>
      <c r="C4598" s="2">
        <v>46230.640972222223</v>
      </c>
      <c r="D4598" t="s">
        <v>6024</v>
      </c>
      <c r="E4598" t="s">
        <v>6030</v>
      </c>
      <c r="F4598" t="s">
        <v>6033</v>
      </c>
      <c r="G4598" t="s">
        <v>6053</v>
      </c>
      <c r="H4598" t="s">
        <v>6097</v>
      </c>
      <c r="I4598">
        <v>72</v>
      </c>
      <c r="J4598">
        <v>3.5</v>
      </c>
      <c r="K4598" t="s">
        <v>6099</v>
      </c>
      <c r="L4598" t="s">
        <v>6100</v>
      </c>
      <c r="M4598" t="s">
        <v>6100</v>
      </c>
      <c r="N4598">
        <v>5</v>
      </c>
      <c r="O4598" t="s">
        <v>6101</v>
      </c>
      <c r="P4598" t="s">
        <v>6113</v>
      </c>
      <c r="Q4598">
        <v>7</v>
      </c>
      <c r="R4598">
        <v>2026</v>
      </c>
      <c r="S4598" t="s">
        <v>6099</v>
      </c>
      <c r="T4598">
        <v>1</v>
      </c>
      <c r="U4598" t="s">
        <v>6018</v>
      </c>
      <c r="V4598">
        <v>1</v>
      </c>
    </row>
    <row r="4599" spans="1:22" x14ac:dyDescent="0.3">
      <c r="A4599" t="s">
        <v>4614</v>
      </c>
      <c r="B4599" s="2">
        <v>46230.497916666667</v>
      </c>
      <c r="C4599" s="2">
        <v>46231.210416666669</v>
      </c>
      <c r="D4599" t="s">
        <v>6024</v>
      </c>
      <c r="E4599" t="s">
        <v>6029</v>
      </c>
      <c r="F4599" t="s">
        <v>6035</v>
      </c>
      <c r="G4599" t="s">
        <v>6079</v>
      </c>
      <c r="H4599" t="s">
        <v>6097</v>
      </c>
      <c r="I4599">
        <v>4</v>
      </c>
      <c r="J4599">
        <v>17.100000000000001</v>
      </c>
      <c r="K4599" t="s">
        <v>6099</v>
      </c>
      <c r="L4599" t="s">
        <v>6100</v>
      </c>
      <c r="M4599" t="s">
        <v>6099</v>
      </c>
      <c r="N4599">
        <v>3</v>
      </c>
      <c r="O4599" t="s">
        <v>6101</v>
      </c>
      <c r="P4599" t="s">
        <v>6113</v>
      </c>
      <c r="Q4599">
        <v>7</v>
      </c>
      <c r="R4599">
        <v>2026</v>
      </c>
      <c r="S4599" t="s">
        <v>6100</v>
      </c>
      <c r="T4599">
        <v>0</v>
      </c>
      <c r="U4599" t="s">
        <v>6017</v>
      </c>
      <c r="V4599">
        <v>1</v>
      </c>
    </row>
    <row r="4600" spans="1:22" x14ac:dyDescent="0.3">
      <c r="A4600" t="s">
        <v>4615</v>
      </c>
      <c r="B4600" s="2">
        <v>46230.497916666667</v>
      </c>
      <c r="C4600" s="2">
        <v>46230.714583333334</v>
      </c>
      <c r="D4600" t="s">
        <v>6027</v>
      </c>
      <c r="E4600" t="s">
        <v>6030</v>
      </c>
      <c r="F4600" t="s">
        <v>6034</v>
      </c>
      <c r="G4600" t="s">
        <v>6059</v>
      </c>
      <c r="H4600" t="s">
        <v>6097</v>
      </c>
      <c r="I4600">
        <v>24</v>
      </c>
      <c r="J4600">
        <v>5.2</v>
      </c>
      <c r="K4600" t="s">
        <v>6099</v>
      </c>
      <c r="L4600" t="s">
        <v>6100</v>
      </c>
      <c r="M4600" t="s">
        <v>6100</v>
      </c>
      <c r="N4600">
        <v>5</v>
      </c>
      <c r="O4600" t="s">
        <v>6101</v>
      </c>
      <c r="P4600" t="s">
        <v>6113</v>
      </c>
      <c r="Q4600">
        <v>7</v>
      </c>
      <c r="R4600">
        <v>2026</v>
      </c>
      <c r="S4600" t="s">
        <v>6099</v>
      </c>
      <c r="T4600">
        <v>1</v>
      </c>
      <c r="U4600" t="s">
        <v>6020</v>
      </c>
      <c r="V4600">
        <v>1</v>
      </c>
    </row>
    <row r="4601" spans="1:22" x14ac:dyDescent="0.3">
      <c r="A4601" t="s">
        <v>4616</v>
      </c>
      <c r="B4601" s="2">
        <v>46230.5</v>
      </c>
      <c r="C4601" s="2">
        <v>46230.65</v>
      </c>
      <c r="D4601" t="s">
        <v>6023</v>
      </c>
      <c r="E4601" t="s">
        <v>6029</v>
      </c>
      <c r="F4601" t="s">
        <v>6033</v>
      </c>
      <c r="G4601" t="s">
        <v>6043</v>
      </c>
      <c r="H4601" t="s">
        <v>6097</v>
      </c>
      <c r="I4601">
        <v>72</v>
      </c>
      <c r="J4601">
        <v>3.6</v>
      </c>
      <c r="K4601" t="s">
        <v>6099</v>
      </c>
      <c r="L4601" t="s">
        <v>6100</v>
      </c>
      <c r="M4601" t="s">
        <v>6100</v>
      </c>
      <c r="N4601">
        <v>4</v>
      </c>
      <c r="O4601" t="s">
        <v>6101</v>
      </c>
      <c r="P4601" t="s">
        <v>6113</v>
      </c>
      <c r="Q4601">
        <v>7</v>
      </c>
      <c r="R4601">
        <v>2026</v>
      </c>
      <c r="S4601" t="s">
        <v>6099</v>
      </c>
      <c r="T4601">
        <v>1</v>
      </c>
      <c r="U4601" t="s">
        <v>6019</v>
      </c>
      <c r="V4601">
        <v>1</v>
      </c>
    </row>
    <row r="4602" spans="1:22" x14ac:dyDescent="0.3">
      <c r="A4602" t="s">
        <v>4617</v>
      </c>
      <c r="B4602" s="2">
        <v>46230.50277777778</v>
      </c>
      <c r="C4602" s="2">
        <v>46230.840277777781</v>
      </c>
      <c r="D4602" t="s">
        <v>6027</v>
      </c>
      <c r="E4602" t="s">
        <v>6030</v>
      </c>
      <c r="F4602" t="s">
        <v>6033</v>
      </c>
      <c r="G4602" t="s">
        <v>6044</v>
      </c>
      <c r="H4602" t="s">
        <v>6097</v>
      </c>
      <c r="I4602">
        <v>72</v>
      </c>
      <c r="J4602">
        <v>8.1</v>
      </c>
      <c r="K4602" t="s">
        <v>6099</v>
      </c>
      <c r="L4602" t="s">
        <v>6100</v>
      </c>
      <c r="M4602" t="s">
        <v>6100</v>
      </c>
      <c r="O4602" t="s">
        <v>6101</v>
      </c>
      <c r="P4602" t="s">
        <v>6113</v>
      </c>
      <c r="Q4602">
        <v>7</v>
      </c>
      <c r="R4602">
        <v>2026</v>
      </c>
      <c r="S4602" t="s">
        <v>6099</v>
      </c>
      <c r="T4602">
        <v>1</v>
      </c>
      <c r="U4602" t="s">
        <v>6018</v>
      </c>
      <c r="V4602">
        <v>1</v>
      </c>
    </row>
    <row r="4603" spans="1:22" x14ac:dyDescent="0.3">
      <c r="A4603" t="s">
        <v>4618</v>
      </c>
      <c r="B4603" s="2">
        <v>46230.506249999999</v>
      </c>
      <c r="C4603" s="2">
        <v>46230.693749999999</v>
      </c>
      <c r="D4603" t="s">
        <v>6024</v>
      </c>
      <c r="E4603" t="s">
        <v>6029</v>
      </c>
      <c r="F4603" t="s">
        <v>6034</v>
      </c>
      <c r="G4603" t="s">
        <v>6072</v>
      </c>
      <c r="H4603" t="s">
        <v>6097</v>
      </c>
      <c r="I4603">
        <v>24</v>
      </c>
      <c r="J4603">
        <v>4.5</v>
      </c>
      <c r="K4603" t="s">
        <v>6099</v>
      </c>
      <c r="L4603" t="s">
        <v>6100</v>
      </c>
      <c r="M4603" t="s">
        <v>6100</v>
      </c>
      <c r="N4603">
        <v>5</v>
      </c>
      <c r="O4603" t="s">
        <v>6101</v>
      </c>
      <c r="P4603" t="s">
        <v>6113</v>
      </c>
      <c r="Q4603">
        <v>7</v>
      </c>
      <c r="R4603">
        <v>2026</v>
      </c>
      <c r="S4603" t="s">
        <v>6099</v>
      </c>
      <c r="T4603">
        <v>1</v>
      </c>
      <c r="U4603" t="s">
        <v>6019</v>
      </c>
      <c r="V4603">
        <v>1</v>
      </c>
    </row>
    <row r="4604" spans="1:22" x14ac:dyDescent="0.3">
      <c r="A4604" t="s">
        <v>4619</v>
      </c>
      <c r="B4604" s="2">
        <v>46230.506944444445</v>
      </c>
      <c r="C4604" s="2">
        <v>46231.44027777778</v>
      </c>
      <c r="D4604" t="s">
        <v>6025</v>
      </c>
      <c r="E4604" t="s">
        <v>6032</v>
      </c>
      <c r="F4604" t="s">
        <v>6034</v>
      </c>
      <c r="G4604" t="s">
        <v>6093</v>
      </c>
      <c r="H4604" t="s">
        <v>6097</v>
      </c>
      <c r="I4604">
        <v>24</v>
      </c>
      <c r="J4604">
        <v>22.4</v>
      </c>
      <c r="K4604" t="s">
        <v>6099</v>
      </c>
      <c r="L4604" t="s">
        <v>6100</v>
      </c>
      <c r="M4604" t="s">
        <v>6100</v>
      </c>
      <c r="O4604" t="s">
        <v>6101</v>
      </c>
      <c r="P4604" t="s">
        <v>6113</v>
      </c>
      <c r="Q4604">
        <v>7</v>
      </c>
      <c r="R4604">
        <v>2026</v>
      </c>
      <c r="S4604" t="s">
        <v>6099</v>
      </c>
      <c r="T4604">
        <v>1</v>
      </c>
      <c r="U4604" t="s">
        <v>6019</v>
      </c>
      <c r="V4604">
        <v>1</v>
      </c>
    </row>
    <row r="4605" spans="1:22" x14ac:dyDescent="0.3">
      <c r="A4605" t="s">
        <v>4620</v>
      </c>
      <c r="B4605" s="2">
        <v>46230.525000000001</v>
      </c>
      <c r="C4605" s="2">
        <v>46230.691666666666</v>
      </c>
      <c r="D4605" t="s">
        <v>6023</v>
      </c>
      <c r="E4605" t="s">
        <v>6029</v>
      </c>
      <c r="F4605" t="s">
        <v>6033</v>
      </c>
      <c r="G4605" t="s">
        <v>6053</v>
      </c>
      <c r="H4605" t="s">
        <v>6097</v>
      </c>
      <c r="I4605">
        <v>72</v>
      </c>
      <c r="J4605">
        <v>4</v>
      </c>
      <c r="K4605" t="s">
        <v>6099</v>
      </c>
      <c r="L4605" t="s">
        <v>6100</v>
      </c>
      <c r="M4605" t="s">
        <v>6100</v>
      </c>
      <c r="O4605" t="s">
        <v>6101</v>
      </c>
      <c r="P4605" t="s">
        <v>6113</v>
      </c>
      <c r="Q4605">
        <v>7</v>
      </c>
      <c r="R4605">
        <v>2026</v>
      </c>
      <c r="S4605" t="s">
        <v>6099</v>
      </c>
      <c r="T4605">
        <v>1</v>
      </c>
      <c r="U4605" t="s">
        <v>6020</v>
      </c>
      <c r="V4605">
        <v>1</v>
      </c>
    </row>
    <row r="4606" spans="1:22" x14ac:dyDescent="0.3">
      <c r="A4606" t="s">
        <v>4621</v>
      </c>
      <c r="B4606" s="2">
        <v>46230.543749999997</v>
      </c>
      <c r="C4606" s="2">
        <v>46230.760416666664</v>
      </c>
      <c r="D4606" t="s">
        <v>6023</v>
      </c>
      <c r="E4606" t="s">
        <v>6032</v>
      </c>
      <c r="F4606" t="s">
        <v>6033</v>
      </c>
      <c r="G4606" t="s">
        <v>6053</v>
      </c>
      <c r="H4606" t="s">
        <v>6097</v>
      </c>
      <c r="I4606">
        <v>72</v>
      </c>
      <c r="J4606">
        <v>5.2</v>
      </c>
      <c r="K4606" t="s">
        <v>6099</v>
      </c>
      <c r="L4606" t="s">
        <v>6100</v>
      </c>
      <c r="M4606" t="s">
        <v>6100</v>
      </c>
      <c r="N4606">
        <v>5</v>
      </c>
      <c r="O4606" t="s">
        <v>6101</v>
      </c>
      <c r="P4606" t="s">
        <v>6113</v>
      </c>
      <c r="Q4606">
        <v>7</v>
      </c>
      <c r="R4606">
        <v>2026</v>
      </c>
      <c r="S4606" t="s">
        <v>6099</v>
      </c>
      <c r="T4606">
        <v>1</v>
      </c>
      <c r="U4606" t="s">
        <v>6021</v>
      </c>
      <c r="V4606">
        <v>1</v>
      </c>
    </row>
    <row r="4607" spans="1:22" x14ac:dyDescent="0.3">
      <c r="A4607" t="s">
        <v>4622</v>
      </c>
      <c r="B4607" s="2">
        <v>46230.549305555556</v>
      </c>
      <c r="C4607" s="2">
        <v>46232.503472222219</v>
      </c>
      <c r="D4607" t="s">
        <v>6022</v>
      </c>
      <c r="E4607" t="s">
        <v>6032</v>
      </c>
      <c r="F4607" t="s">
        <v>6033</v>
      </c>
      <c r="G4607" t="s">
        <v>6094</v>
      </c>
      <c r="H4607" t="s">
        <v>6098</v>
      </c>
      <c r="I4607">
        <v>72</v>
      </c>
      <c r="J4607">
        <v>46.9</v>
      </c>
      <c r="K4607" t="s">
        <v>6100</v>
      </c>
      <c r="L4607" t="s">
        <v>6100</v>
      </c>
      <c r="M4607" t="s">
        <v>6099</v>
      </c>
      <c r="N4607">
        <v>4</v>
      </c>
      <c r="O4607" t="s">
        <v>6101</v>
      </c>
      <c r="P4607" t="s">
        <v>6113</v>
      </c>
      <c r="Q4607">
        <v>7</v>
      </c>
      <c r="R4607">
        <v>2026</v>
      </c>
      <c r="S4607" t="s">
        <v>6099</v>
      </c>
      <c r="T4607">
        <v>1</v>
      </c>
      <c r="U4607" t="s">
        <v>6018</v>
      </c>
      <c r="V4607">
        <v>0</v>
      </c>
    </row>
    <row r="4608" spans="1:22" x14ac:dyDescent="0.3">
      <c r="A4608" t="s">
        <v>4623</v>
      </c>
      <c r="B4608" s="2">
        <v>46230.57916666667</v>
      </c>
      <c r="C4608" s="2">
        <v>46230.89166666667</v>
      </c>
      <c r="D4608" t="s">
        <v>6024</v>
      </c>
      <c r="E4608" t="s">
        <v>6029</v>
      </c>
      <c r="F4608" t="s">
        <v>6033</v>
      </c>
      <c r="G4608" t="s">
        <v>6071</v>
      </c>
      <c r="H4608" t="s">
        <v>6098</v>
      </c>
      <c r="I4608">
        <v>72</v>
      </c>
      <c r="J4608">
        <v>7.5</v>
      </c>
      <c r="K4608" t="s">
        <v>6099</v>
      </c>
      <c r="L4608" t="s">
        <v>6100</v>
      </c>
      <c r="M4608" t="s">
        <v>6100</v>
      </c>
      <c r="O4608" t="s">
        <v>6101</v>
      </c>
      <c r="P4608" t="s">
        <v>6113</v>
      </c>
      <c r="Q4608">
        <v>7</v>
      </c>
      <c r="R4608">
        <v>2026</v>
      </c>
      <c r="S4608" t="s">
        <v>6099</v>
      </c>
      <c r="T4608">
        <v>1</v>
      </c>
      <c r="U4608" t="s">
        <v>6021</v>
      </c>
      <c r="V4608">
        <v>1</v>
      </c>
    </row>
    <row r="4609" spans="1:22" x14ac:dyDescent="0.3">
      <c r="A4609" t="s">
        <v>4624</v>
      </c>
      <c r="B4609" s="2">
        <v>46230.595833333333</v>
      </c>
      <c r="C4609" s="2">
        <v>46230.89166666667</v>
      </c>
      <c r="D4609" t="s">
        <v>6028</v>
      </c>
      <c r="E4609" t="s">
        <v>6029</v>
      </c>
      <c r="F4609" t="s">
        <v>6035</v>
      </c>
      <c r="G4609" t="s">
        <v>6038</v>
      </c>
      <c r="H4609" t="s">
        <v>6096</v>
      </c>
      <c r="I4609">
        <v>4</v>
      </c>
      <c r="J4609">
        <v>7.1</v>
      </c>
      <c r="K4609" t="s">
        <v>6100</v>
      </c>
      <c r="L4609" t="s">
        <v>6099</v>
      </c>
      <c r="M4609" t="s">
        <v>6100</v>
      </c>
      <c r="N4609">
        <v>3</v>
      </c>
      <c r="O4609" t="s">
        <v>6101</v>
      </c>
      <c r="P4609" t="s">
        <v>6113</v>
      </c>
      <c r="Q4609">
        <v>7</v>
      </c>
      <c r="R4609">
        <v>2026</v>
      </c>
      <c r="S4609" t="s">
        <v>6100</v>
      </c>
      <c r="T4609">
        <v>0</v>
      </c>
      <c r="U4609" t="s">
        <v>6018</v>
      </c>
      <c r="V4609">
        <v>0</v>
      </c>
    </row>
    <row r="4610" spans="1:22" x14ac:dyDescent="0.3">
      <c r="A4610" t="s">
        <v>4625</v>
      </c>
      <c r="B4610" s="2">
        <v>46230.688194444447</v>
      </c>
      <c r="C4610" s="2">
        <v>46231.384027777778</v>
      </c>
      <c r="D4610" t="s">
        <v>6028</v>
      </c>
      <c r="E4610" t="s">
        <v>6031</v>
      </c>
      <c r="F4610" t="s">
        <v>6035</v>
      </c>
      <c r="G4610" t="s">
        <v>6087</v>
      </c>
      <c r="H4610" t="s">
        <v>6098</v>
      </c>
      <c r="I4610">
        <v>4</v>
      </c>
      <c r="J4610">
        <v>16.7</v>
      </c>
      <c r="K4610" t="s">
        <v>6099</v>
      </c>
      <c r="L4610" t="s">
        <v>6100</v>
      </c>
      <c r="M4610" t="s">
        <v>6100</v>
      </c>
      <c r="N4610">
        <v>4</v>
      </c>
      <c r="O4610" t="s">
        <v>6101</v>
      </c>
      <c r="P4610" t="s">
        <v>6113</v>
      </c>
      <c r="Q4610">
        <v>7</v>
      </c>
      <c r="R4610">
        <v>2026</v>
      </c>
      <c r="S4610" t="s">
        <v>6100</v>
      </c>
      <c r="T4610">
        <v>0</v>
      </c>
      <c r="U4610" t="s">
        <v>6021</v>
      </c>
      <c r="V4610">
        <v>1</v>
      </c>
    </row>
    <row r="4611" spans="1:22" x14ac:dyDescent="0.3">
      <c r="A4611" t="s">
        <v>4626</v>
      </c>
      <c r="B4611" s="2">
        <v>46230.726388888892</v>
      </c>
      <c r="C4611" s="2">
        <v>46230.913888888892</v>
      </c>
      <c r="D4611" t="s">
        <v>6022</v>
      </c>
      <c r="E4611" t="s">
        <v>6030</v>
      </c>
      <c r="F4611" t="s">
        <v>6033</v>
      </c>
      <c r="G4611" t="s">
        <v>6063</v>
      </c>
      <c r="H4611" t="s">
        <v>6097</v>
      </c>
      <c r="I4611">
        <v>72</v>
      </c>
      <c r="J4611">
        <v>4.5</v>
      </c>
      <c r="K4611" t="s">
        <v>6099</v>
      </c>
      <c r="L4611" t="s">
        <v>6100</v>
      </c>
      <c r="M4611" t="s">
        <v>6100</v>
      </c>
      <c r="N4611">
        <v>5</v>
      </c>
      <c r="O4611" t="s">
        <v>6101</v>
      </c>
      <c r="P4611" t="s">
        <v>6113</v>
      </c>
      <c r="Q4611">
        <v>7</v>
      </c>
      <c r="R4611">
        <v>2026</v>
      </c>
      <c r="S4611" t="s">
        <v>6099</v>
      </c>
      <c r="T4611">
        <v>1</v>
      </c>
      <c r="U4611" t="s">
        <v>6017</v>
      </c>
      <c r="V4611">
        <v>1</v>
      </c>
    </row>
    <row r="4612" spans="1:22" x14ac:dyDescent="0.3">
      <c r="A4612" t="s">
        <v>4627</v>
      </c>
      <c r="B4612" s="2">
        <v>46230.754166666666</v>
      </c>
      <c r="C4612" s="2">
        <v>46232.308333333334</v>
      </c>
      <c r="D4612" t="s">
        <v>6022</v>
      </c>
      <c r="E4612" t="s">
        <v>6031</v>
      </c>
      <c r="F4612" t="s">
        <v>6035</v>
      </c>
      <c r="G4612" t="s">
        <v>6036</v>
      </c>
      <c r="H4612" t="s">
        <v>6096</v>
      </c>
      <c r="I4612">
        <v>4</v>
      </c>
      <c r="J4612">
        <v>37.299999999999997</v>
      </c>
      <c r="K4612" t="s">
        <v>6099</v>
      </c>
      <c r="L4612" t="s">
        <v>6100</v>
      </c>
      <c r="M4612" t="s">
        <v>6100</v>
      </c>
      <c r="O4612" t="s">
        <v>6101</v>
      </c>
      <c r="P4612" t="s">
        <v>6113</v>
      </c>
      <c r="Q4612">
        <v>7</v>
      </c>
      <c r="R4612">
        <v>2026</v>
      </c>
      <c r="S4612" t="s">
        <v>6100</v>
      </c>
      <c r="T4612">
        <v>0</v>
      </c>
      <c r="U4612" t="s">
        <v>6020</v>
      </c>
      <c r="V4612">
        <v>1</v>
      </c>
    </row>
    <row r="4613" spans="1:22" x14ac:dyDescent="0.3">
      <c r="A4613" t="s">
        <v>4628</v>
      </c>
      <c r="B4613" s="2">
        <v>46230.787499999999</v>
      </c>
      <c r="C4613" s="2">
        <v>46231.283333333333</v>
      </c>
      <c r="D4613" t="s">
        <v>6023</v>
      </c>
      <c r="E4613" t="s">
        <v>6032</v>
      </c>
      <c r="F4613" t="s">
        <v>6034</v>
      </c>
      <c r="G4613" t="s">
        <v>6083</v>
      </c>
      <c r="H4613" t="s">
        <v>6096</v>
      </c>
      <c r="I4613">
        <v>24</v>
      </c>
      <c r="J4613">
        <v>11.9</v>
      </c>
      <c r="K4613" t="s">
        <v>6099</v>
      </c>
      <c r="L4613" t="s">
        <v>6100</v>
      </c>
      <c r="M4613" t="s">
        <v>6100</v>
      </c>
      <c r="O4613" t="s">
        <v>6101</v>
      </c>
      <c r="P4613" t="s">
        <v>6113</v>
      </c>
      <c r="Q4613">
        <v>7</v>
      </c>
      <c r="R4613">
        <v>2026</v>
      </c>
      <c r="S4613" t="s">
        <v>6099</v>
      </c>
      <c r="T4613">
        <v>1</v>
      </c>
      <c r="U4613" t="s">
        <v>6019</v>
      </c>
      <c r="V4613">
        <v>1</v>
      </c>
    </row>
    <row r="4614" spans="1:22" x14ac:dyDescent="0.3">
      <c r="A4614" t="s">
        <v>4629</v>
      </c>
      <c r="B4614" s="2">
        <v>46230.795138888891</v>
      </c>
      <c r="C4614" s="2">
        <v>46230.970138888886</v>
      </c>
      <c r="D4614" t="s">
        <v>6023</v>
      </c>
      <c r="E4614" t="s">
        <v>6029</v>
      </c>
      <c r="F4614" t="s">
        <v>6033</v>
      </c>
      <c r="G4614" t="s">
        <v>6041</v>
      </c>
      <c r="H4614" t="s">
        <v>6096</v>
      </c>
      <c r="I4614">
        <v>72</v>
      </c>
      <c r="J4614">
        <v>4.2</v>
      </c>
      <c r="K4614" t="s">
        <v>6099</v>
      </c>
      <c r="L4614" t="s">
        <v>6100</v>
      </c>
      <c r="M4614" t="s">
        <v>6099</v>
      </c>
      <c r="N4614">
        <v>3</v>
      </c>
      <c r="O4614" t="s">
        <v>6101</v>
      </c>
      <c r="P4614" t="s">
        <v>6113</v>
      </c>
      <c r="Q4614">
        <v>7</v>
      </c>
      <c r="R4614">
        <v>2026</v>
      </c>
      <c r="S4614" t="s">
        <v>6099</v>
      </c>
      <c r="T4614">
        <v>1</v>
      </c>
      <c r="U4614" t="s">
        <v>6018</v>
      </c>
      <c r="V4614">
        <v>1</v>
      </c>
    </row>
    <row r="4615" spans="1:22" x14ac:dyDescent="0.3">
      <c r="A4615" t="s">
        <v>4630</v>
      </c>
      <c r="B4615" s="2">
        <v>46230.79583333333</v>
      </c>
      <c r="C4615" s="2">
        <v>46231.012499999997</v>
      </c>
      <c r="D4615" t="s">
        <v>6023</v>
      </c>
      <c r="E4615" t="s">
        <v>6029</v>
      </c>
      <c r="F4615" t="s">
        <v>6033</v>
      </c>
      <c r="G4615" t="s">
        <v>6048</v>
      </c>
      <c r="H4615" t="s">
        <v>6096</v>
      </c>
      <c r="I4615">
        <v>72</v>
      </c>
      <c r="J4615">
        <v>5.2</v>
      </c>
      <c r="K4615" t="s">
        <v>6099</v>
      </c>
      <c r="L4615" t="s">
        <v>6100</v>
      </c>
      <c r="M4615" t="s">
        <v>6100</v>
      </c>
      <c r="O4615" t="s">
        <v>6101</v>
      </c>
      <c r="P4615" t="s">
        <v>6113</v>
      </c>
      <c r="Q4615">
        <v>7</v>
      </c>
      <c r="R4615">
        <v>2026</v>
      </c>
      <c r="S4615" t="s">
        <v>6099</v>
      </c>
      <c r="T4615">
        <v>1</v>
      </c>
      <c r="U4615" t="s">
        <v>6018</v>
      </c>
      <c r="V4615">
        <v>1</v>
      </c>
    </row>
    <row r="4616" spans="1:22" x14ac:dyDescent="0.3">
      <c r="A4616" t="s">
        <v>4631</v>
      </c>
      <c r="B4616" s="2">
        <v>46231.078472222223</v>
      </c>
      <c r="C4616" s="2">
        <v>46231.932638888888</v>
      </c>
      <c r="D4616" t="s">
        <v>6028</v>
      </c>
      <c r="E4616" t="s">
        <v>6031</v>
      </c>
      <c r="F4616" t="s">
        <v>6035</v>
      </c>
      <c r="G4616" t="s">
        <v>6092</v>
      </c>
      <c r="H4616" t="s">
        <v>6097</v>
      </c>
      <c r="I4616">
        <v>4</v>
      </c>
      <c r="J4616">
        <v>20.5</v>
      </c>
      <c r="K4616" t="s">
        <v>6100</v>
      </c>
      <c r="L4616" t="s">
        <v>6100</v>
      </c>
      <c r="M4616" t="s">
        <v>6100</v>
      </c>
      <c r="N4616">
        <v>5</v>
      </c>
      <c r="O4616" t="s">
        <v>6101</v>
      </c>
      <c r="P4616" t="s">
        <v>6113</v>
      </c>
      <c r="Q4616">
        <v>7</v>
      </c>
      <c r="R4616">
        <v>2026</v>
      </c>
      <c r="S4616" t="s">
        <v>6100</v>
      </c>
      <c r="T4616">
        <v>0</v>
      </c>
      <c r="U4616" t="s">
        <v>6019</v>
      </c>
      <c r="V4616">
        <v>0</v>
      </c>
    </row>
    <row r="4617" spans="1:22" x14ac:dyDescent="0.3">
      <c r="A4617" t="s">
        <v>4632</v>
      </c>
      <c r="B4617" s="2">
        <v>46231.236805555556</v>
      </c>
      <c r="C4617" s="2">
        <v>46232.128472222219</v>
      </c>
      <c r="D4617" t="s">
        <v>6026</v>
      </c>
      <c r="E4617" t="s">
        <v>6031</v>
      </c>
      <c r="F4617" t="s">
        <v>6034</v>
      </c>
      <c r="G4617" t="s">
        <v>6058</v>
      </c>
      <c r="H4617" t="s">
        <v>6098</v>
      </c>
      <c r="I4617">
        <v>24</v>
      </c>
      <c r="J4617">
        <v>21.4</v>
      </c>
      <c r="K4617" t="s">
        <v>6099</v>
      </c>
      <c r="L4617" t="s">
        <v>6100</v>
      </c>
      <c r="M4617" t="s">
        <v>6100</v>
      </c>
      <c r="N4617">
        <v>5</v>
      </c>
      <c r="O4617" t="s">
        <v>6101</v>
      </c>
      <c r="P4617" t="s">
        <v>6113</v>
      </c>
      <c r="Q4617">
        <v>7</v>
      </c>
      <c r="R4617">
        <v>2026</v>
      </c>
      <c r="S4617" t="s">
        <v>6099</v>
      </c>
      <c r="T4617">
        <v>1</v>
      </c>
      <c r="U4617" t="s">
        <v>6018</v>
      </c>
      <c r="V4617">
        <v>1</v>
      </c>
    </row>
    <row r="4618" spans="1:22" x14ac:dyDescent="0.3">
      <c r="A4618" t="s">
        <v>4633</v>
      </c>
      <c r="B4618" s="2">
        <v>46231.341666666667</v>
      </c>
      <c r="C4618" s="2">
        <v>46232.770833333336</v>
      </c>
      <c r="D4618" t="s">
        <v>6024</v>
      </c>
      <c r="E4618" t="s">
        <v>6031</v>
      </c>
      <c r="F4618" t="s">
        <v>6033</v>
      </c>
      <c r="G4618" t="s">
        <v>6041</v>
      </c>
      <c r="H4618" t="s">
        <v>6096</v>
      </c>
      <c r="I4618">
        <v>72</v>
      </c>
      <c r="J4618">
        <v>34.299999999999997</v>
      </c>
      <c r="K4618" t="s">
        <v>6100</v>
      </c>
      <c r="L4618" t="s">
        <v>6099</v>
      </c>
      <c r="M4618" t="s">
        <v>6100</v>
      </c>
      <c r="O4618" t="s">
        <v>6101</v>
      </c>
      <c r="P4618" t="s">
        <v>6113</v>
      </c>
      <c r="Q4618">
        <v>7</v>
      </c>
      <c r="R4618">
        <v>2026</v>
      </c>
      <c r="S4618" t="s">
        <v>6099</v>
      </c>
      <c r="T4618">
        <v>1</v>
      </c>
      <c r="U4618" t="s">
        <v>6017</v>
      </c>
      <c r="V4618">
        <v>0</v>
      </c>
    </row>
    <row r="4619" spans="1:22" x14ac:dyDescent="0.3">
      <c r="A4619" t="s">
        <v>4634</v>
      </c>
      <c r="B4619" s="2">
        <v>46231.351388888892</v>
      </c>
      <c r="C4619" s="2">
        <v>46231.609722222223</v>
      </c>
      <c r="D4619" t="s">
        <v>6023</v>
      </c>
      <c r="E4619" t="s">
        <v>6030</v>
      </c>
      <c r="F4619" t="s">
        <v>6033</v>
      </c>
      <c r="G4619" t="s">
        <v>6060</v>
      </c>
      <c r="H4619" t="s">
        <v>6097</v>
      </c>
      <c r="I4619">
        <v>72</v>
      </c>
      <c r="J4619">
        <v>6.2</v>
      </c>
      <c r="K4619" t="s">
        <v>6099</v>
      </c>
      <c r="L4619" t="s">
        <v>6100</v>
      </c>
      <c r="M4619" t="s">
        <v>6100</v>
      </c>
      <c r="N4619">
        <v>5</v>
      </c>
      <c r="O4619" t="s">
        <v>6101</v>
      </c>
      <c r="P4619" t="s">
        <v>6113</v>
      </c>
      <c r="Q4619">
        <v>7</v>
      </c>
      <c r="R4619">
        <v>2026</v>
      </c>
      <c r="S4619" t="s">
        <v>6099</v>
      </c>
      <c r="T4619">
        <v>1</v>
      </c>
      <c r="U4619" t="s">
        <v>6019</v>
      </c>
      <c r="V4619">
        <v>1</v>
      </c>
    </row>
    <row r="4620" spans="1:22" x14ac:dyDescent="0.3">
      <c r="A4620" t="s">
        <v>4635</v>
      </c>
      <c r="B4620" s="2">
        <v>46231.378472222219</v>
      </c>
      <c r="C4620" s="2">
        <v>46232.549305555556</v>
      </c>
      <c r="D4620" t="s">
        <v>6026</v>
      </c>
      <c r="E4620" t="s">
        <v>6030</v>
      </c>
      <c r="F4620" t="s">
        <v>6034</v>
      </c>
      <c r="G4620" t="s">
        <v>6039</v>
      </c>
      <c r="H4620" t="s">
        <v>6097</v>
      </c>
      <c r="I4620">
        <v>24</v>
      </c>
      <c r="J4620">
        <v>28.1</v>
      </c>
      <c r="K4620" t="s">
        <v>6099</v>
      </c>
      <c r="L4620" t="s">
        <v>6100</v>
      </c>
      <c r="M4620" t="s">
        <v>6100</v>
      </c>
      <c r="N4620">
        <v>3</v>
      </c>
      <c r="O4620" t="s">
        <v>6101</v>
      </c>
      <c r="P4620" t="s">
        <v>6113</v>
      </c>
      <c r="Q4620">
        <v>7</v>
      </c>
      <c r="R4620">
        <v>2026</v>
      </c>
      <c r="S4620" t="s">
        <v>6100</v>
      </c>
      <c r="T4620">
        <v>0</v>
      </c>
      <c r="U4620" t="s">
        <v>6019</v>
      </c>
      <c r="V4620">
        <v>1</v>
      </c>
    </row>
    <row r="4621" spans="1:22" x14ac:dyDescent="0.3">
      <c r="A4621" t="s">
        <v>4636</v>
      </c>
      <c r="B4621" s="2">
        <v>46231.381249999999</v>
      </c>
      <c r="C4621" s="2">
        <v>46231.689583333333</v>
      </c>
      <c r="D4621" t="s">
        <v>6023</v>
      </c>
      <c r="E4621" t="s">
        <v>6030</v>
      </c>
      <c r="F4621" t="s">
        <v>6033</v>
      </c>
      <c r="G4621" t="s">
        <v>6081</v>
      </c>
      <c r="H4621" t="s">
        <v>6098</v>
      </c>
      <c r="I4621">
        <v>72</v>
      </c>
      <c r="J4621">
        <v>7.4</v>
      </c>
      <c r="K4621" t="s">
        <v>6099</v>
      </c>
      <c r="L4621" t="s">
        <v>6100</v>
      </c>
      <c r="M4621" t="s">
        <v>6100</v>
      </c>
      <c r="N4621">
        <v>5</v>
      </c>
      <c r="O4621" t="s">
        <v>6101</v>
      </c>
      <c r="P4621" t="s">
        <v>6113</v>
      </c>
      <c r="Q4621">
        <v>7</v>
      </c>
      <c r="R4621">
        <v>2026</v>
      </c>
      <c r="S4621" t="s">
        <v>6099</v>
      </c>
      <c r="T4621">
        <v>1</v>
      </c>
      <c r="U4621" t="s">
        <v>6020</v>
      </c>
      <c r="V4621">
        <v>1</v>
      </c>
    </row>
    <row r="4622" spans="1:22" x14ac:dyDescent="0.3">
      <c r="A4622" t="s">
        <v>4637</v>
      </c>
      <c r="B4622" s="2">
        <v>46231.381944444445</v>
      </c>
      <c r="C4622" s="2">
        <v>46231.598611111112</v>
      </c>
      <c r="D4622" t="s">
        <v>6024</v>
      </c>
      <c r="E4622" t="s">
        <v>6030</v>
      </c>
      <c r="F4622" t="s">
        <v>6034</v>
      </c>
      <c r="G4622" t="s">
        <v>6056</v>
      </c>
      <c r="H4622" t="s">
        <v>6098</v>
      </c>
      <c r="I4622">
        <v>24</v>
      </c>
      <c r="J4622">
        <v>5.2</v>
      </c>
      <c r="K4622" t="s">
        <v>6099</v>
      </c>
      <c r="L4622" t="s">
        <v>6100</v>
      </c>
      <c r="M4622" t="s">
        <v>6100</v>
      </c>
      <c r="N4622">
        <v>4</v>
      </c>
      <c r="O4622" t="s">
        <v>6101</v>
      </c>
      <c r="P4622" t="s">
        <v>6113</v>
      </c>
      <c r="Q4622">
        <v>7</v>
      </c>
      <c r="R4622">
        <v>2026</v>
      </c>
      <c r="S4622" t="s">
        <v>6099</v>
      </c>
      <c r="T4622">
        <v>1</v>
      </c>
      <c r="U4622" t="s">
        <v>6021</v>
      </c>
      <c r="V4622">
        <v>1</v>
      </c>
    </row>
    <row r="4623" spans="1:22" x14ac:dyDescent="0.3">
      <c r="A4623" t="s">
        <v>4638</v>
      </c>
      <c r="B4623" s="2">
        <v>46231.401388888888</v>
      </c>
      <c r="C4623" s="2">
        <v>46231.522222222222</v>
      </c>
      <c r="D4623" t="s">
        <v>6023</v>
      </c>
      <c r="E4623" t="s">
        <v>6029</v>
      </c>
      <c r="F4623" t="s">
        <v>6034</v>
      </c>
      <c r="G4623" t="s">
        <v>6094</v>
      </c>
      <c r="H4623" t="s">
        <v>6098</v>
      </c>
      <c r="I4623">
        <v>24</v>
      </c>
      <c r="J4623">
        <v>2.9</v>
      </c>
      <c r="K4623" t="s">
        <v>6100</v>
      </c>
      <c r="L4623" t="s">
        <v>6100</v>
      </c>
      <c r="M4623" t="s">
        <v>6100</v>
      </c>
      <c r="N4623">
        <v>4</v>
      </c>
      <c r="O4623" t="s">
        <v>6101</v>
      </c>
      <c r="P4623" t="s">
        <v>6113</v>
      </c>
      <c r="Q4623">
        <v>7</v>
      </c>
      <c r="R4623">
        <v>2026</v>
      </c>
      <c r="S4623" t="s">
        <v>6099</v>
      </c>
      <c r="T4623">
        <v>1</v>
      </c>
      <c r="U4623" t="s">
        <v>6017</v>
      </c>
      <c r="V4623">
        <v>0</v>
      </c>
    </row>
    <row r="4624" spans="1:22" x14ac:dyDescent="0.3">
      <c r="A4624" t="s">
        <v>4639</v>
      </c>
      <c r="B4624" s="2">
        <v>46231.401388888888</v>
      </c>
      <c r="C4624" s="2">
        <v>46233.330555555556</v>
      </c>
      <c r="D4624" t="s">
        <v>6024</v>
      </c>
      <c r="E4624" t="s">
        <v>6031</v>
      </c>
      <c r="F4624" t="s">
        <v>6035</v>
      </c>
      <c r="G4624" t="s">
        <v>6078</v>
      </c>
      <c r="H4624" t="s">
        <v>6097</v>
      </c>
      <c r="I4624">
        <v>4</v>
      </c>
      <c r="J4624">
        <v>46.3</v>
      </c>
      <c r="K4624" t="s">
        <v>6099</v>
      </c>
      <c r="L4624" t="s">
        <v>6100</v>
      </c>
      <c r="M4624" t="s">
        <v>6100</v>
      </c>
      <c r="N4624">
        <v>3</v>
      </c>
      <c r="O4624" t="s">
        <v>6101</v>
      </c>
      <c r="P4624" t="s">
        <v>6113</v>
      </c>
      <c r="Q4624">
        <v>7</v>
      </c>
      <c r="R4624">
        <v>2026</v>
      </c>
      <c r="S4624" t="s">
        <v>6100</v>
      </c>
      <c r="T4624">
        <v>0</v>
      </c>
      <c r="U4624" t="s">
        <v>6021</v>
      </c>
      <c r="V4624">
        <v>1</v>
      </c>
    </row>
    <row r="4625" spans="1:22" x14ac:dyDescent="0.3">
      <c r="A4625" t="s">
        <v>4640</v>
      </c>
      <c r="B4625" s="2">
        <v>46231.418749999997</v>
      </c>
      <c r="C4625" s="2">
        <v>46231.710416666669</v>
      </c>
      <c r="D4625" t="s">
        <v>6028</v>
      </c>
      <c r="E4625" t="s">
        <v>6029</v>
      </c>
      <c r="F4625" t="s">
        <v>6035</v>
      </c>
      <c r="G4625" t="s">
        <v>6093</v>
      </c>
      <c r="H4625" t="s">
        <v>6097</v>
      </c>
      <c r="I4625">
        <v>4</v>
      </c>
      <c r="J4625">
        <v>7</v>
      </c>
      <c r="K4625" t="s">
        <v>6099</v>
      </c>
      <c r="L4625" t="s">
        <v>6100</v>
      </c>
      <c r="M4625" t="s">
        <v>6100</v>
      </c>
      <c r="N4625">
        <v>5</v>
      </c>
      <c r="O4625" t="s">
        <v>6101</v>
      </c>
      <c r="P4625" t="s">
        <v>6113</v>
      </c>
      <c r="Q4625">
        <v>7</v>
      </c>
      <c r="R4625">
        <v>2026</v>
      </c>
      <c r="S4625" t="s">
        <v>6100</v>
      </c>
      <c r="T4625">
        <v>0</v>
      </c>
      <c r="U4625" t="s">
        <v>6018</v>
      </c>
      <c r="V4625">
        <v>1</v>
      </c>
    </row>
    <row r="4626" spans="1:22" x14ac:dyDescent="0.3">
      <c r="A4626" t="s">
        <v>4641</v>
      </c>
      <c r="B4626" s="2">
        <v>46231.426388888889</v>
      </c>
      <c r="C4626" s="2">
        <v>46231.963888888888</v>
      </c>
      <c r="D4626" t="s">
        <v>6028</v>
      </c>
      <c r="E4626" t="s">
        <v>6029</v>
      </c>
      <c r="F4626" t="s">
        <v>6035</v>
      </c>
      <c r="G4626" t="s">
        <v>6056</v>
      </c>
      <c r="H4626" t="s">
        <v>6098</v>
      </c>
      <c r="I4626">
        <v>4</v>
      </c>
      <c r="J4626">
        <v>12.9</v>
      </c>
      <c r="K4626" t="s">
        <v>6100</v>
      </c>
      <c r="L4626" t="s">
        <v>6100</v>
      </c>
      <c r="M4626" t="s">
        <v>6099</v>
      </c>
      <c r="N4626">
        <v>5</v>
      </c>
      <c r="O4626" t="s">
        <v>6101</v>
      </c>
      <c r="P4626" t="s">
        <v>6113</v>
      </c>
      <c r="Q4626">
        <v>7</v>
      </c>
      <c r="R4626">
        <v>2026</v>
      </c>
      <c r="S4626" t="s">
        <v>6100</v>
      </c>
      <c r="T4626">
        <v>0</v>
      </c>
      <c r="U4626" t="s">
        <v>6021</v>
      </c>
      <c r="V4626">
        <v>0</v>
      </c>
    </row>
    <row r="4627" spans="1:22" x14ac:dyDescent="0.3">
      <c r="A4627" t="s">
        <v>4642</v>
      </c>
      <c r="B4627" s="2">
        <v>46231.431250000001</v>
      </c>
      <c r="C4627" s="2">
        <v>46232.972916666666</v>
      </c>
      <c r="D4627" t="s">
        <v>6022</v>
      </c>
      <c r="E4627" t="s">
        <v>6031</v>
      </c>
      <c r="F4627" t="s">
        <v>6034</v>
      </c>
      <c r="G4627" t="s">
        <v>6059</v>
      </c>
      <c r="H4627" t="s">
        <v>6097</v>
      </c>
      <c r="I4627">
        <v>24</v>
      </c>
      <c r="J4627">
        <v>37</v>
      </c>
      <c r="K4627" t="s">
        <v>6100</v>
      </c>
      <c r="L4627" t="s">
        <v>6099</v>
      </c>
      <c r="M4627" t="s">
        <v>6100</v>
      </c>
      <c r="O4627" t="s">
        <v>6101</v>
      </c>
      <c r="P4627" t="s">
        <v>6113</v>
      </c>
      <c r="Q4627">
        <v>7</v>
      </c>
      <c r="R4627">
        <v>2026</v>
      </c>
      <c r="S4627" t="s">
        <v>6100</v>
      </c>
      <c r="T4627">
        <v>0</v>
      </c>
      <c r="U4627" t="s">
        <v>6018</v>
      </c>
      <c r="V4627">
        <v>0</v>
      </c>
    </row>
    <row r="4628" spans="1:22" x14ac:dyDescent="0.3">
      <c r="A4628" t="s">
        <v>4643</v>
      </c>
      <c r="B4628" s="2">
        <v>46231.438194444447</v>
      </c>
      <c r="C4628" s="2">
        <v>46231.600694444445</v>
      </c>
      <c r="D4628" t="s">
        <v>6028</v>
      </c>
      <c r="E4628" t="s">
        <v>6029</v>
      </c>
      <c r="F4628" t="s">
        <v>6035</v>
      </c>
      <c r="G4628" t="s">
        <v>6037</v>
      </c>
      <c r="H4628" t="s">
        <v>6096</v>
      </c>
      <c r="I4628">
        <v>4</v>
      </c>
      <c r="J4628">
        <v>3.9</v>
      </c>
      <c r="K4628" t="s">
        <v>6099</v>
      </c>
      <c r="L4628" t="s">
        <v>6100</v>
      </c>
      <c r="M4628" t="s">
        <v>6099</v>
      </c>
      <c r="N4628">
        <v>4</v>
      </c>
      <c r="O4628" t="s">
        <v>6101</v>
      </c>
      <c r="P4628" t="s">
        <v>6113</v>
      </c>
      <c r="Q4628">
        <v>7</v>
      </c>
      <c r="R4628">
        <v>2026</v>
      </c>
      <c r="S4628" t="s">
        <v>6099</v>
      </c>
      <c r="T4628">
        <v>1</v>
      </c>
      <c r="U4628" t="s">
        <v>6019</v>
      </c>
      <c r="V4628">
        <v>1</v>
      </c>
    </row>
    <row r="4629" spans="1:22" x14ac:dyDescent="0.3">
      <c r="A4629" t="s">
        <v>4644</v>
      </c>
      <c r="B4629" s="2">
        <v>46231.447222222225</v>
      </c>
      <c r="C4629" s="2">
        <v>46232.263888888891</v>
      </c>
      <c r="D4629" t="s">
        <v>6025</v>
      </c>
      <c r="E4629" t="s">
        <v>6029</v>
      </c>
      <c r="F4629" t="s">
        <v>6034</v>
      </c>
      <c r="G4629" t="s">
        <v>6060</v>
      </c>
      <c r="H4629" t="s">
        <v>6097</v>
      </c>
      <c r="I4629">
        <v>24</v>
      </c>
      <c r="J4629">
        <v>19.600000000000001</v>
      </c>
      <c r="K4629" t="s">
        <v>6100</v>
      </c>
      <c r="L4629" t="s">
        <v>6100</v>
      </c>
      <c r="M4629" t="s">
        <v>6100</v>
      </c>
      <c r="N4629">
        <v>5</v>
      </c>
      <c r="O4629" t="s">
        <v>6101</v>
      </c>
      <c r="P4629" t="s">
        <v>6113</v>
      </c>
      <c r="Q4629">
        <v>7</v>
      </c>
      <c r="R4629">
        <v>2026</v>
      </c>
      <c r="S4629" t="s">
        <v>6099</v>
      </c>
      <c r="T4629">
        <v>1</v>
      </c>
      <c r="U4629" t="s">
        <v>6021</v>
      </c>
      <c r="V4629">
        <v>0</v>
      </c>
    </row>
    <row r="4630" spans="1:22" x14ac:dyDescent="0.3">
      <c r="A4630" t="s">
        <v>4645</v>
      </c>
      <c r="B4630" s="2">
        <v>46231.474305555559</v>
      </c>
      <c r="C4630" s="2">
        <v>46232.720138888886</v>
      </c>
      <c r="D4630" t="s">
        <v>6025</v>
      </c>
      <c r="E4630" t="s">
        <v>6031</v>
      </c>
      <c r="F4630" t="s">
        <v>6033</v>
      </c>
      <c r="G4630" t="s">
        <v>6037</v>
      </c>
      <c r="H4630" t="s">
        <v>6096</v>
      </c>
      <c r="I4630">
        <v>72</v>
      </c>
      <c r="J4630">
        <v>29.9</v>
      </c>
      <c r="K4630" t="s">
        <v>6099</v>
      </c>
      <c r="L4630" t="s">
        <v>6100</v>
      </c>
      <c r="M4630" t="s">
        <v>6100</v>
      </c>
      <c r="N4630">
        <v>4</v>
      </c>
      <c r="O4630" t="s">
        <v>6101</v>
      </c>
      <c r="P4630" t="s">
        <v>6113</v>
      </c>
      <c r="Q4630">
        <v>7</v>
      </c>
      <c r="R4630">
        <v>2026</v>
      </c>
      <c r="S4630" t="s">
        <v>6099</v>
      </c>
      <c r="T4630">
        <v>1</v>
      </c>
      <c r="U4630" t="s">
        <v>6017</v>
      </c>
      <c r="V4630">
        <v>1</v>
      </c>
    </row>
    <row r="4631" spans="1:22" x14ac:dyDescent="0.3">
      <c r="A4631" t="s">
        <v>4646</v>
      </c>
      <c r="B4631" s="2">
        <v>46231.5</v>
      </c>
      <c r="C4631" s="2">
        <v>46231.604166666664</v>
      </c>
      <c r="D4631" t="s">
        <v>6023</v>
      </c>
      <c r="E4631" t="s">
        <v>6029</v>
      </c>
      <c r="F4631" t="s">
        <v>6033</v>
      </c>
      <c r="G4631" t="s">
        <v>6037</v>
      </c>
      <c r="H4631" t="s">
        <v>6096</v>
      </c>
      <c r="I4631">
        <v>72</v>
      </c>
      <c r="J4631">
        <v>2.5</v>
      </c>
      <c r="K4631" t="s">
        <v>6099</v>
      </c>
      <c r="L4631" t="s">
        <v>6100</v>
      </c>
      <c r="M4631" t="s">
        <v>6100</v>
      </c>
      <c r="N4631">
        <v>5</v>
      </c>
      <c r="O4631" t="s">
        <v>6101</v>
      </c>
      <c r="P4631" t="s">
        <v>6113</v>
      </c>
      <c r="Q4631">
        <v>7</v>
      </c>
      <c r="R4631">
        <v>2026</v>
      </c>
      <c r="S4631" t="s">
        <v>6099</v>
      </c>
      <c r="T4631">
        <v>1</v>
      </c>
      <c r="U4631" t="s">
        <v>6021</v>
      </c>
      <c r="V4631">
        <v>1</v>
      </c>
    </row>
    <row r="4632" spans="1:22" x14ac:dyDescent="0.3">
      <c r="A4632" t="s">
        <v>4647</v>
      </c>
      <c r="B4632" s="2">
        <v>46231.5</v>
      </c>
      <c r="C4632" s="2">
        <v>46231.637499999997</v>
      </c>
      <c r="D4632" t="s">
        <v>6023</v>
      </c>
      <c r="E4632" t="s">
        <v>6030</v>
      </c>
      <c r="F4632" t="s">
        <v>6034</v>
      </c>
      <c r="G4632" t="s">
        <v>6058</v>
      </c>
      <c r="H4632" t="s">
        <v>6098</v>
      </c>
      <c r="I4632">
        <v>24</v>
      </c>
      <c r="J4632">
        <v>3.3</v>
      </c>
      <c r="K4632" t="s">
        <v>6099</v>
      </c>
      <c r="L4632" t="s">
        <v>6100</v>
      </c>
      <c r="M4632" t="s">
        <v>6100</v>
      </c>
      <c r="N4632">
        <v>5</v>
      </c>
      <c r="O4632" t="s">
        <v>6101</v>
      </c>
      <c r="P4632" t="s">
        <v>6113</v>
      </c>
      <c r="Q4632">
        <v>7</v>
      </c>
      <c r="R4632">
        <v>2026</v>
      </c>
      <c r="S4632" t="s">
        <v>6099</v>
      </c>
      <c r="T4632">
        <v>1</v>
      </c>
      <c r="U4632" t="s">
        <v>6019</v>
      </c>
      <c r="V4632">
        <v>1</v>
      </c>
    </row>
    <row r="4633" spans="1:22" x14ac:dyDescent="0.3">
      <c r="A4633" t="s">
        <v>4648</v>
      </c>
      <c r="B4633" s="2">
        <v>46231.541666666664</v>
      </c>
      <c r="C4633" s="2">
        <v>46232.895833333336</v>
      </c>
      <c r="D4633" t="s">
        <v>6026</v>
      </c>
      <c r="E4633" t="s">
        <v>6029</v>
      </c>
      <c r="F4633" t="s">
        <v>6033</v>
      </c>
      <c r="G4633" t="s">
        <v>6082</v>
      </c>
      <c r="H4633" t="s">
        <v>6097</v>
      </c>
      <c r="I4633">
        <v>72</v>
      </c>
      <c r="J4633">
        <v>32.5</v>
      </c>
      <c r="K4633" t="s">
        <v>6099</v>
      </c>
      <c r="L4633" t="s">
        <v>6100</v>
      </c>
      <c r="M4633" t="s">
        <v>6100</v>
      </c>
      <c r="N4633">
        <v>5</v>
      </c>
      <c r="O4633" t="s">
        <v>6101</v>
      </c>
      <c r="P4633" t="s">
        <v>6113</v>
      </c>
      <c r="Q4633">
        <v>7</v>
      </c>
      <c r="R4633">
        <v>2026</v>
      </c>
      <c r="S4633" t="s">
        <v>6099</v>
      </c>
      <c r="T4633">
        <v>1</v>
      </c>
      <c r="U4633" t="s">
        <v>6019</v>
      </c>
      <c r="V4633">
        <v>1</v>
      </c>
    </row>
    <row r="4634" spans="1:22" x14ac:dyDescent="0.3">
      <c r="A4634" t="s">
        <v>4649</v>
      </c>
      <c r="B4634" s="2">
        <v>46231.541666666664</v>
      </c>
      <c r="C4634" s="2">
        <v>46235.741666666669</v>
      </c>
      <c r="D4634" t="s">
        <v>6026</v>
      </c>
      <c r="E4634" t="s">
        <v>6032</v>
      </c>
      <c r="F4634" t="s">
        <v>6034</v>
      </c>
      <c r="G4634" t="s">
        <v>6045</v>
      </c>
      <c r="H4634" t="s">
        <v>6096</v>
      </c>
      <c r="I4634">
        <v>24</v>
      </c>
      <c r="J4634">
        <v>100.8</v>
      </c>
      <c r="K4634" t="s">
        <v>6100</v>
      </c>
      <c r="L4634" t="s">
        <v>6099</v>
      </c>
      <c r="M4634" t="s">
        <v>6100</v>
      </c>
      <c r="N4634">
        <v>4</v>
      </c>
      <c r="O4634" t="s">
        <v>6101</v>
      </c>
      <c r="P4634" t="s">
        <v>6113</v>
      </c>
      <c r="Q4634">
        <v>7</v>
      </c>
      <c r="R4634">
        <v>2026</v>
      </c>
      <c r="S4634" t="s">
        <v>6100</v>
      </c>
      <c r="T4634">
        <v>0</v>
      </c>
      <c r="U4634" t="s">
        <v>6020</v>
      </c>
      <c r="V4634">
        <v>0</v>
      </c>
    </row>
    <row r="4635" spans="1:22" x14ac:dyDescent="0.3">
      <c r="A4635" t="s">
        <v>4650</v>
      </c>
      <c r="B4635" s="2">
        <v>46231.555555555555</v>
      </c>
      <c r="C4635" s="2">
        <v>46232.159722222219</v>
      </c>
      <c r="D4635" t="s">
        <v>6022</v>
      </c>
      <c r="E4635" t="s">
        <v>6029</v>
      </c>
      <c r="F4635" t="s">
        <v>6033</v>
      </c>
      <c r="G4635" t="s">
        <v>6066</v>
      </c>
      <c r="H4635" t="s">
        <v>6096</v>
      </c>
      <c r="I4635">
        <v>72</v>
      </c>
      <c r="J4635">
        <v>14.5</v>
      </c>
      <c r="K4635" t="s">
        <v>6100</v>
      </c>
      <c r="L4635" t="s">
        <v>6100</v>
      </c>
      <c r="M4635" t="s">
        <v>6099</v>
      </c>
      <c r="N4635">
        <v>4</v>
      </c>
      <c r="O4635" t="s">
        <v>6101</v>
      </c>
      <c r="P4635" t="s">
        <v>6113</v>
      </c>
      <c r="Q4635">
        <v>7</v>
      </c>
      <c r="R4635">
        <v>2026</v>
      </c>
      <c r="S4635" t="s">
        <v>6099</v>
      </c>
      <c r="T4635">
        <v>1</v>
      </c>
      <c r="U4635" t="s">
        <v>6019</v>
      </c>
      <c r="V4635">
        <v>0</v>
      </c>
    </row>
    <row r="4636" spans="1:22" x14ac:dyDescent="0.3">
      <c r="A4636" t="s">
        <v>4651</v>
      </c>
      <c r="B4636" s="2">
        <v>46231.559027777781</v>
      </c>
      <c r="C4636" s="2">
        <v>46231.717361111114</v>
      </c>
      <c r="D4636" t="s">
        <v>6023</v>
      </c>
      <c r="E4636" t="s">
        <v>6030</v>
      </c>
      <c r="F4636" t="s">
        <v>6034</v>
      </c>
      <c r="G4636" t="s">
        <v>6038</v>
      </c>
      <c r="H4636" t="s">
        <v>6096</v>
      </c>
      <c r="I4636">
        <v>24</v>
      </c>
      <c r="J4636">
        <v>3.8</v>
      </c>
      <c r="K4636" t="s">
        <v>6099</v>
      </c>
      <c r="L4636" t="s">
        <v>6100</v>
      </c>
      <c r="M4636" t="s">
        <v>6100</v>
      </c>
      <c r="O4636" t="s">
        <v>6101</v>
      </c>
      <c r="P4636" t="s">
        <v>6113</v>
      </c>
      <c r="Q4636">
        <v>7</v>
      </c>
      <c r="R4636">
        <v>2026</v>
      </c>
      <c r="S4636" t="s">
        <v>6099</v>
      </c>
      <c r="T4636">
        <v>1</v>
      </c>
      <c r="U4636" t="s">
        <v>6019</v>
      </c>
      <c r="V4636">
        <v>1</v>
      </c>
    </row>
    <row r="4637" spans="1:22" x14ac:dyDescent="0.3">
      <c r="A4637" t="s">
        <v>4652</v>
      </c>
      <c r="B4637" s="2">
        <v>46231.567361111112</v>
      </c>
      <c r="C4637" s="2">
        <v>46231.750694444447</v>
      </c>
      <c r="D4637" t="s">
        <v>6028</v>
      </c>
      <c r="E4637" t="s">
        <v>6029</v>
      </c>
      <c r="F4637" t="s">
        <v>6034</v>
      </c>
      <c r="G4637" t="s">
        <v>6067</v>
      </c>
      <c r="H4637" t="s">
        <v>6098</v>
      </c>
      <c r="I4637">
        <v>24</v>
      </c>
      <c r="J4637">
        <v>4.4000000000000004</v>
      </c>
      <c r="K4637" t="s">
        <v>6100</v>
      </c>
      <c r="L4637" t="s">
        <v>6099</v>
      </c>
      <c r="M4637" t="s">
        <v>6100</v>
      </c>
      <c r="N4637">
        <v>4</v>
      </c>
      <c r="O4637" t="s">
        <v>6101</v>
      </c>
      <c r="P4637" t="s">
        <v>6113</v>
      </c>
      <c r="Q4637">
        <v>7</v>
      </c>
      <c r="R4637">
        <v>2026</v>
      </c>
      <c r="S4637" t="s">
        <v>6099</v>
      </c>
      <c r="T4637">
        <v>1</v>
      </c>
      <c r="U4637" t="s">
        <v>6021</v>
      </c>
      <c r="V4637">
        <v>0</v>
      </c>
    </row>
    <row r="4638" spans="1:22" x14ac:dyDescent="0.3">
      <c r="A4638" t="s">
        <v>4653</v>
      </c>
      <c r="B4638" s="2">
        <v>46231.585416666669</v>
      </c>
      <c r="C4638" s="2">
        <v>46231.835416666669</v>
      </c>
      <c r="D4638" t="s">
        <v>6027</v>
      </c>
      <c r="E4638" t="s">
        <v>6029</v>
      </c>
      <c r="F4638" t="s">
        <v>6034</v>
      </c>
      <c r="G4638" t="s">
        <v>6037</v>
      </c>
      <c r="H4638" t="s">
        <v>6096</v>
      </c>
      <c r="I4638">
        <v>24</v>
      </c>
      <c r="J4638">
        <v>6</v>
      </c>
      <c r="K4638" t="s">
        <v>6100</v>
      </c>
      <c r="L4638" t="s">
        <v>6100</v>
      </c>
      <c r="M4638" t="s">
        <v>6100</v>
      </c>
      <c r="O4638" t="s">
        <v>6101</v>
      </c>
      <c r="P4638" t="s">
        <v>6113</v>
      </c>
      <c r="Q4638">
        <v>7</v>
      </c>
      <c r="R4638">
        <v>2026</v>
      </c>
      <c r="S4638" t="s">
        <v>6099</v>
      </c>
      <c r="T4638">
        <v>1</v>
      </c>
      <c r="U4638" t="s">
        <v>6019</v>
      </c>
      <c r="V4638">
        <v>0</v>
      </c>
    </row>
    <row r="4639" spans="1:22" x14ac:dyDescent="0.3">
      <c r="A4639" t="s">
        <v>4654</v>
      </c>
      <c r="B4639" s="2">
        <v>46231.617361111108</v>
      </c>
      <c r="C4639" s="2">
        <v>46231.838194444441</v>
      </c>
      <c r="D4639" t="s">
        <v>6024</v>
      </c>
      <c r="E4639" t="s">
        <v>6030</v>
      </c>
      <c r="F4639" t="s">
        <v>6034</v>
      </c>
      <c r="G4639" t="s">
        <v>6044</v>
      </c>
      <c r="H4639" t="s">
        <v>6097</v>
      </c>
      <c r="I4639">
        <v>24</v>
      </c>
      <c r="J4639">
        <v>5.3</v>
      </c>
      <c r="K4639" t="s">
        <v>6099</v>
      </c>
      <c r="L4639" t="s">
        <v>6100</v>
      </c>
      <c r="M4639" t="s">
        <v>6100</v>
      </c>
      <c r="N4639">
        <v>5</v>
      </c>
      <c r="O4639" t="s">
        <v>6101</v>
      </c>
      <c r="P4639" t="s">
        <v>6113</v>
      </c>
      <c r="Q4639">
        <v>7</v>
      </c>
      <c r="R4639">
        <v>2026</v>
      </c>
      <c r="S4639" t="s">
        <v>6099</v>
      </c>
      <c r="T4639">
        <v>1</v>
      </c>
      <c r="U4639" t="s">
        <v>6021</v>
      </c>
      <c r="V4639">
        <v>1</v>
      </c>
    </row>
    <row r="4640" spans="1:22" x14ac:dyDescent="0.3">
      <c r="A4640" t="s">
        <v>4655</v>
      </c>
      <c r="B4640" s="2">
        <v>46231.620833333334</v>
      </c>
      <c r="C4640" s="2">
        <v>46232.291666666664</v>
      </c>
      <c r="D4640" t="s">
        <v>6025</v>
      </c>
      <c r="E4640" t="s">
        <v>6031</v>
      </c>
      <c r="F4640" t="s">
        <v>6034</v>
      </c>
      <c r="G4640" t="s">
        <v>6051</v>
      </c>
      <c r="H4640" t="s">
        <v>6097</v>
      </c>
      <c r="I4640">
        <v>24</v>
      </c>
      <c r="J4640">
        <v>16.100000000000001</v>
      </c>
      <c r="K4640" t="s">
        <v>6099</v>
      </c>
      <c r="L4640" t="s">
        <v>6100</v>
      </c>
      <c r="M4640" t="s">
        <v>6100</v>
      </c>
      <c r="N4640">
        <v>5</v>
      </c>
      <c r="O4640" t="s">
        <v>6101</v>
      </c>
      <c r="P4640" t="s">
        <v>6113</v>
      </c>
      <c r="Q4640">
        <v>7</v>
      </c>
      <c r="R4640">
        <v>2026</v>
      </c>
      <c r="S4640" t="s">
        <v>6099</v>
      </c>
      <c r="T4640">
        <v>1</v>
      </c>
      <c r="U4640" t="s">
        <v>6017</v>
      </c>
      <c r="V4640">
        <v>1</v>
      </c>
    </row>
    <row r="4641" spans="1:22" x14ac:dyDescent="0.3">
      <c r="A4641" t="s">
        <v>4656</v>
      </c>
      <c r="B4641" s="2">
        <v>46231.665277777778</v>
      </c>
      <c r="C4641" s="2">
        <v>46232.461111111108</v>
      </c>
      <c r="D4641" t="s">
        <v>6025</v>
      </c>
      <c r="E4641" t="s">
        <v>6031</v>
      </c>
      <c r="F4641" t="s">
        <v>6035</v>
      </c>
      <c r="G4641" t="s">
        <v>6036</v>
      </c>
      <c r="H4641" t="s">
        <v>6096</v>
      </c>
      <c r="I4641">
        <v>4</v>
      </c>
      <c r="J4641">
        <v>19.100000000000001</v>
      </c>
      <c r="K4641" t="s">
        <v>6099</v>
      </c>
      <c r="L4641" t="s">
        <v>6100</v>
      </c>
      <c r="M4641" t="s">
        <v>6100</v>
      </c>
      <c r="N4641">
        <v>5</v>
      </c>
      <c r="O4641" t="s">
        <v>6101</v>
      </c>
      <c r="P4641" t="s">
        <v>6113</v>
      </c>
      <c r="Q4641">
        <v>7</v>
      </c>
      <c r="R4641">
        <v>2026</v>
      </c>
      <c r="S4641" t="s">
        <v>6100</v>
      </c>
      <c r="T4641">
        <v>0</v>
      </c>
      <c r="U4641" t="s">
        <v>6021</v>
      </c>
      <c r="V4641">
        <v>1</v>
      </c>
    </row>
    <row r="4642" spans="1:22" x14ac:dyDescent="0.3">
      <c r="A4642" t="s">
        <v>4657</v>
      </c>
      <c r="B4642" s="2">
        <v>46231.681944444441</v>
      </c>
      <c r="C4642" s="2">
        <v>46232.37777777778</v>
      </c>
      <c r="D4642" t="s">
        <v>6026</v>
      </c>
      <c r="E4642" t="s">
        <v>6029</v>
      </c>
      <c r="F4642" t="s">
        <v>6034</v>
      </c>
      <c r="G4642" t="s">
        <v>6065</v>
      </c>
      <c r="H4642" t="s">
        <v>6097</v>
      </c>
      <c r="I4642">
        <v>24</v>
      </c>
      <c r="J4642">
        <v>16.7</v>
      </c>
      <c r="K4642" t="s">
        <v>6099</v>
      </c>
      <c r="L4642" t="s">
        <v>6100</v>
      </c>
      <c r="M4642" t="s">
        <v>6100</v>
      </c>
      <c r="O4642" t="s">
        <v>6101</v>
      </c>
      <c r="P4642" t="s">
        <v>6113</v>
      </c>
      <c r="Q4642">
        <v>7</v>
      </c>
      <c r="R4642">
        <v>2026</v>
      </c>
      <c r="S4642" t="s">
        <v>6099</v>
      </c>
      <c r="T4642">
        <v>1</v>
      </c>
      <c r="U4642" t="s">
        <v>6020</v>
      </c>
      <c r="V4642">
        <v>1</v>
      </c>
    </row>
    <row r="4643" spans="1:22" x14ac:dyDescent="0.3">
      <c r="A4643" t="s">
        <v>4658</v>
      </c>
      <c r="B4643" s="2">
        <v>46231.75277777778</v>
      </c>
      <c r="C4643" s="2">
        <v>46232.911111111112</v>
      </c>
      <c r="D4643" t="s">
        <v>6022</v>
      </c>
      <c r="E4643" t="s">
        <v>6031</v>
      </c>
      <c r="F4643" t="s">
        <v>6033</v>
      </c>
      <c r="G4643" t="s">
        <v>6089</v>
      </c>
      <c r="H4643" t="s">
        <v>6098</v>
      </c>
      <c r="I4643">
        <v>72</v>
      </c>
      <c r="J4643">
        <v>27.8</v>
      </c>
      <c r="K4643" t="s">
        <v>6099</v>
      </c>
      <c r="L4643" t="s">
        <v>6100</v>
      </c>
      <c r="M4643" t="s">
        <v>6100</v>
      </c>
      <c r="N4643">
        <v>5</v>
      </c>
      <c r="O4643" t="s">
        <v>6101</v>
      </c>
      <c r="P4643" t="s">
        <v>6113</v>
      </c>
      <c r="Q4643">
        <v>7</v>
      </c>
      <c r="R4643">
        <v>2026</v>
      </c>
      <c r="S4643" t="s">
        <v>6099</v>
      </c>
      <c r="T4643">
        <v>1</v>
      </c>
      <c r="U4643" t="s">
        <v>6020</v>
      </c>
      <c r="V4643">
        <v>1</v>
      </c>
    </row>
    <row r="4644" spans="1:22" x14ac:dyDescent="0.3">
      <c r="A4644" t="s">
        <v>4659</v>
      </c>
      <c r="B4644" s="2">
        <v>46231.829861111109</v>
      </c>
      <c r="C4644" s="2">
        <v>46232.184027777781</v>
      </c>
      <c r="D4644" t="s">
        <v>6024</v>
      </c>
      <c r="E4644" t="s">
        <v>6029</v>
      </c>
      <c r="F4644" t="s">
        <v>6035</v>
      </c>
      <c r="G4644" t="s">
        <v>6055</v>
      </c>
      <c r="H4644" t="s">
        <v>6096</v>
      </c>
      <c r="I4644">
        <v>4</v>
      </c>
      <c r="J4644">
        <v>8.5</v>
      </c>
      <c r="K4644" t="s">
        <v>6099</v>
      </c>
      <c r="L4644" t="s">
        <v>6100</v>
      </c>
      <c r="M4644" t="s">
        <v>6100</v>
      </c>
      <c r="O4644" t="s">
        <v>6101</v>
      </c>
      <c r="P4644" t="s">
        <v>6113</v>
      </c>
      <c r="Q4644">
        <v>7</v>
      </c>
      <c r="R4644">
        <v>2026</v>
      </c>
      <c r="S4644" t="s">
        <v>6100</v>
      </c>
      <c r="T4644">
        <v>0</v>
      </c>
      <c r="U4644" t="s">
        <v>6019</v>
      </c>
      <c r="V4644">
        <v>1</v>
      </c>
    </row>
    <row r="4645" spans="1:22" x14ac:dyDescent="0.3">
      <c r="A4645" t="s">
        <v>4660</v>
      </c>
      <c r="B4645" s="2">
        <v>46232.337500000001</v>
      </c>
      <c r="C4645" s="2">
        <v>46232.487500000003</v>
      </c>
      <c r="D4645" t="s">
        <v>6028</v>
      </c>
      <c r="E4645" t="s">
        <v>6030</v>
      </c>
      <c r="F4645" t="s">
        <v>6035</v>
      </c>
      <c r="G4645" t="s">
        <v>6079</v>
      </c>
      <c r="H4645" t="s">
        <v>6097</v>
      </c>
      <c r="I4645">
        <v>4</v>
      </c>
      <c r="J4645">
        <v>3.6</v>
      </c>
      <c r="K4645" t="s">
        <v>6099</v>
      </c>
      <c r="L4645" t="s">
        <v>6100</v>
      </c>
      <c r="M4645" t="s">
        <v>6100</v>
      </c>
      <c r="N4645">
        <v>4</v>
      </c>
      <c r="O4645" t="s">
        <v>6101</v>
      </c>
      <c r="P4645" t="s">
        <v>6113</v>
      </c>
      <c r="Q4645">
        <v>7</v>
      </c>
      <c r="R4645">
        <v>2026</v>
      </c>
      <c r="S4645" t="s">
        <v>6099</v>
      </c>
      <c r="T4645">
        <v>1</v>
      </c>
      <c r="U4645" t="s">
        <v>6019</v>
      </c>
      <c r="V4645">
        <v>1</v>
      </c>
    </row>
    <row r="4646" spans="1:22" x14ac:dyDescent="0.3">
      <c r="A4646" t="s">
        <v>4661</v>
      </c>
      <c r="B4646" s="2">
        <v>46232.370138888888</v>
      </c>
      <c r="C4646" s="2">
        <v>46234.045138888891</v>
      </c>
      <c r="D4646" t="s">
        <v>6024</v>
      </c>
      <c r="E4646" t="s">
        <v>6031</v>
      </c>
      <c r="F4646" t="s">
        <v>6035</v>
      </c>
      <c r="G4646" t="s">
        <v>6089</v>
      </c>
      <c r="H4646" t="s">
        <v>6098</v>
      </c>
      <c r="I4646">
        <v>4</v>
      </c>
      <c r="J4646">
        <v>40.200000000000003</v>
      </c>
      <c r="K4646" t="s">
        <v>6099</v>
      </c>
      <c r="L4646" t="s">
        <v>6100</v>
      </c>
      <c r="M4646" t="s">
        <v>6099</v>
      </c>
      <c r="O4646" t="s">
        <v>6101</v>
      </c>
      <c r="P4646" t="s">
        <v>6113</v>
      </c>
      <c r="Q4646">
        <v>7</v>
      </c>
      <c r="R4646">
        <v>2026</v>
      </c>
      <c r="S4646" t="s">
        <v>6100</v>
      </c>
      <c r="T4646">
        <v>0</v>
      </c>
      <c r="U4646" t="s">
        <v>6019</v>
      </c>
      <c r="V4646">
        <v>1</v>
      </c>
    </row>
    <row r="4647" spans="1:22" x14ac:dyDescent="0.3">
      <c r="A4647" t="s">
        <v>4662</v>
      </c>
      <c r="B4647" s="2">
        <v>46232.377083333333</v>
      </c>
      <c r="C4647" s="2">
        <v>46232.472916666666</v>
      </c>
      <c r="D4647" t="s">
        <v>6023</v>
      </c>
      <c r="E4647" t="s">
        <v>6030</v>
      </c>
      <c r="F4647" t="s">
        <v>6034</v>
      </c>
      <c r="G4647" t="s">
        <v>6069</v>
      </c>
      <c r="H4647" t="s">
        <v>6098</v>
      </c>
      <c r="I4647">
        <v>24</v>
      </c>
      <c r="J4647">
        <v>2.2999999999999998</v>
      </c>
      <c r="K4647" t="s">
        <v>6099</v>
      </c>
      <c r="L4647" t="s">
        <v>6100</v>
      </c>
      <c r="M4647" t="s">
        <v>6100</v>
      </c>
      <c r="N4647">
        <v>4</v>
      </c>
      <c r="O4647" t="s">
        <v>6101</v>
      </c>
      <c r="P4647" t="s">
        <v>6113</v>
      </c>
      <c r="Q4647">
        <v>7</v>
      </c>
      <c r="R4647">
        <v>2026</v>
      </c>
      <c r="S4647" t="s">
        <v>6099</v>
      </c>
      <c r="T4647">
        <v>1</v>
      </c>
      <c r="U4647" t="s">
        <v>6021</v>
      </c>
      <c r="V4647">
        <v>1</v>
      </c>
    </row>
    <row r="4648" spans="1:22" x14ac:dyDescent="0.3">
      <c r="A4648" t="s">
        <v>4663</v>
      </c>
      <c r="B4648" s="2">
        <v>46232.38958333333</v>
      </c>
      <c r="C4648" s="2">
        <v>46232.660416666666</v>
      </c>
      <c r="D4648" t="s">
        <v>6027</v>
      </c>
      <c r="E4648" t="s">
        <v>6029</v>
      </c>
      <c r="F4648" t="s">
        <v>6035</v>
      </c>
      <c r="G4648" t="s">
        <v>6057</v>
      </c>
      <c r="H4648" t="s">
        <v>6097</v>
      </c>
      <c r="I4648">
        <v>4</v>
      </c>
      <c r="J4648">
        <v>6.5</v>
      </c>
      <c r="K4648" t="s">
        <v>6099</v>
      </c>
      <c r="L4648" t="s">
        <v>6100</v>
      </c>
      <c r="M4648" t="s">
        <v>6100</v>
      </c>
      <c r="N4648">
        <v>5</v>
      </c>
      <c r="O4648" t="s">
        <v>6101</v>
      </c>
      <c r="P4648" t="s">
        <v>6113</v>
      </c>
      <c r="Q4648">
        <v>7</v>
      </c>
      <c r="R4648">
        <v>2026</v>
      </c>
      <c r="S4648" t="s">
        <v>6100</v>
      </c>
      <c r="T4648">
        <v>0</v>
      </c>
      <c r="U4648" t="s">
        <v>6018</v>
      </c>
      <c r="V4648">
        <v>1</v>
      </c>
    </row>
    <row r="4649" spans="1:22" x14ac:dyDescent="0.3">
      <c r="A4649" t="s">
        <v>4664</v>
      </c>
      <c r="B4649" s="2">
        <v>46232.438194444447</v>
      </c>
      <c r="C4649" s="2">
        <v>46232.809027777781</v>
      </c>
      <c r="D4649" t="s">
        <v>6024</v>
      </c>
      <c r="E4649" t="s">
        <v>6029</v>
      </c>
      <c r="F4649" t="s">
        <v>6033</v>
      </c>
      <c r="G4649" t="s">
        <v>6081</v>
      </c>
      <c r="H4649" t="s">
        <v>6098</v>
      </c>
      <c r="I4649">
        <v>72</v>
      </c>
      <c r="J4649">
        <v>8.9</v>
      </c>
      <c r="K4649" t="s">
        <v>6099</v>
      </c>
      <c r="L4649" t="s">
        <v>6100</v>
      </c>
      <c r="M4649" t="s">
        <v>6100</v>
      </c>
      <c r="O4649" t="s">
        <v>6101</v>
      </c>
      <c r="P4649" t="s">
        <v>6113</v>
      </c>
      <c r="Q4649">
        <v>7</v>
      </c>
      <c r="R4649">
        <v>2026</v>
      </c>
      <c r="S4649" t="s">
        <v>6099</v>
      </c>
      <c r="T4649">
        <v>1</v>
      </c>
      <c r="U4649" t="s">
        <v>6018</v>
      </c>
      <c r="V4649">
        <v>1</v>
      </c>
    </row>
    <row r="4650" spans="1:22" x14ac:dyDescent="0.3">
      <c r="A4650" t="s">
        <v>4665</v>
      </c>
      <c r="B4650" s="2">
        <v>46232.461805555555</v>
      </c>
      <c r="C4650" s="2">
        <v>46232.765972222223</v>
      </c>
      <c r="D4650" t="s">
        <v>6023</v>
      </c>
      <c r="E4650" t="s">
        <v>6032</v>
      </c>
      <c r="F4650" t="s">
        <v>6033</v>
      </c>
      <c r="G4650" t="s">
        <v>6062</v>
      </c>
      <c r="H4650" t="s">
        <v>6096</v>
      </c>
      <c r="I4650">
        <v>72</v>
      </c>
      <c r="J4650">
        <v>7.3</v>
      </c>
      <c r="K4650" t="s">
        <v>6099</v>
      </c>
      <c r="L4650" t="s">
        <v>6100</v>
      </c>
      <c r="M4650" t="s">
        <v>6100</v>
      </c>
      <c r="O4650" t="s">
        <v>6101</v>
      </c>
      <c r="P4650" t="s">
        <v>6113</v>
      </c>
      <c r="Q4650">
        <v>7</v>
      </c>
      <c r="R4650">
        <v>2026</v>
      </c>
      <c r="S4650" t="s">
        <v>6099</v>
      </c>
      <c r="T4650">
        <v>1</v>
      </c>
      <c r="U4650" t="s">
        <v>6020</v>
      </c>
      <c r="V4650">
        <v>1</v>
      </c>
    </row>
    <row r="4651" spans="1:22" x14ac:dyDescent="0.3">
      <c r="A4651" t="s">
        <v>4666</v>
      </c>
      <c r="B4651" s="2">
        <v>46232.509027777778</v>
      </c>
      <c r="C4651" s="2">
        <v>46232.90902777778</v>
      </c>
      <c r="D4651" t="s">
        <v>6025</v>
      </c>
      <c r="E4651" t="s">
        <v>6029</v>
      </c>
      <c r="F4651" t="s">
        <v>6033</v>
      </c>
      <c r="G4651" t="s">
        <v>6052</v>
      </c>
      <c r="H4651" t="s">
        <v>6098</v>
      </c>
      <c r="I4651">
        <v>72</v>
      </c>
      <c r="J4651">
        <v>9.6</v>
      </c>
      <c r="K4651" t="s">
        <v>6099</v>
      </c>
      <c r="L4651" t="s">
        <v>6100</v>
      </c>
      <c r="M4651" t="s">
        <v>6100</v>
      </c>
      <c r="N4651">
        <v>5</v>
      </c>
      <c r="O4651" t="s">
        <v>6101</v>
      </c>
      <c r="P4651" t="s">
        <v>6113</v>
      </c>
      <c r="Q4651">
        <v>7</v>
      </c>
      <c r="R4651">
        <v>2026</v>
      </c>
      <c r="S4651" t="s">
        <v>6099</v>
      </c>
      <c r="T4651">
        <v>1</v>
      </c>
      <c r="U4651" t="s">
        <v>6021</v>
      </c>
      <c r="V4651">
        <v>1</v>
      </c>
    </row>
    <row r="4652" spans="1:22" x14ac:dyDescent="0.3">
      <c r="A4652" t="s">
        <v>4667</v>
      </c>
      <c r="B4652" s="2">
        <v>46232.510416666664</v>
      </c>
      <c r="C4652" s="2">
        <v>46236.477083333331</v>
      </c>
      <c r="D4652" t="s">
        <v>6022</v>
      </c>
      <c r="E4652" t="s">
        <v>6031</v>
      </c>
      <c r="F4652" t="s">
        <v>6033</v>
      </c>
      <c r="G4652" t="s">
        <v>6041</v>
      </c>
      <c r="H4652" t="s">
        <v>6096</v>
      </c>
      <c r="I4652">
        <v>72</v>
      </c>
      <c r="J4652">
        <v>95.2</v>
      </c>
      <c r="K4652" t="s">
        <v>6099</v>
      </c>
      <c r="L4652" t="s">
        <v>6100</v>
      </c>
      <c r="M4652" t="s">
        <v>6100</v>
      </c>
      <c r="N4652">
        <v>5</v>
      </c>
      <c r="O4652" t="s">
        <v>6101</v>
      </c>
      <c r="P4652" t="s">
        <v>6113</v>
      </c>
      <c r="Q4652">
        <v>7</v>
      </c>
      <c r="R4652">
        <v>2026</v>
      </c>
      <c r="S4652" t="s">
        <v>6100</v>
      </c>
      <c r="T4652">
        <v>0</v>
      </c>
      <c r="U4652" t="s">
        <v>6021</v>
      </c>
      <c r="V4652">
        <v>1</v>
      </c>
    </row>
    <row r="4653" spans="1:22" x14ac:dyDescent="0.3">
      <c r="A4653" t="s">
        <v>4668</v>
      </c>
      <c r="B4653" s="2">
        <v>46232.520138888889</v>
      </c>
      <c r="C4653" s="2">
        <v>46232.786805555559</v>
      </c>
      <c r="D4653" t="s">
        <v>6027</v>
      </c>
      <c r="E4653" t="s">
        <v>6029</v>
      </c>
      <c r="F4653" t="s">
        <v>6033</v>
      </c>
      <c r="G4653" t="s">
        <v>6056</v>
      </c>
      <c r="H4653" t="s">
        <v>6098</v>
      </c>
      <c r="I4653">
        <v>72</v>
      </c>
      <c r="J4653">
        <v>6.4</v>
      </c>
      <c r="K4653" t="s">
        <v>6099</v>
      </c>
      <c r="L4653" t="s">
        <v>6100</v>
      </c>
      <c r="M4653" t="s">
        <v>6099</v>
      </c>
      <c r="O4653" t="s">
        <v>6101</v>
      </c>
      <c r="P4653" t="s">
        <v>6113</v>
      </c>
      <c r="Q4653">
        <v>7</v>
      </c>
      <c r="R4653">
        <v>2026</v>
      </c>
      <c r="S4653" t="s">
        <v>6099</v>
      </c>
      <c r="T4653">
        <v>1</v>
      </c>
      <c r="U4653" t="s">
        <v>6017</v>
      </c>
      <c r="V4653">
        <v>1</v>
      </c>
    </row>
    <row r="4654" spans="1:22" x14ac:dyDescent="0.3">
      <c r="A4654" t="s">
        <v>4669</v>
      </c>
      <c r="B4654" s="2">
        <v>46232.522916666669</v>
      </c>
      <c r="C4654" s="2">
        <v>46233.04791666667</v>
      </c>
      <c r="D4654" t="s">
        <v>6025</v>
      </c>
      <c r="E4654" t="s">
        <v>6029</v>
      </c>
      <c r="F4654" t="s">
        <v>6034</v>
      </c>
      <c r="G4654" t="s">
        <v>6077</v>
      </c>
      <c r="H4654" t="s">
        <v>6098</v>
      </c>
      <c r="I4654">
        <v>24</v>
      </c>
      <c r="J4654">
        <v>12.6</v>
      </c>
      <c r="K4654" t="s">
        <v>6100</v>
      </c>
      <c r="L4654" t="s">
        <v>6100</v>
      </c>
      <c r="M4654" t="s">
        <v>6100</v>
      </c>
      <c r="N4654">
        <v>3</v>
      </c>
      <c r="O4654" t="s">
        <v>6101</v>
      </c>
      <c r="P4654" t="s">
        <v>6113</v>
      </c>
      <c r="Q4654">
        <v>7</v>
      </c>
      <c r="R4654">
        <v>2026</v>
      </c>
      <c r="S4654" t="s">
        <v>6099</v>
      </c>
      <c r="T4654">
        <v>1</v>
      </c>
      <c r="U4654" t="s">
        <v>6021</v>
      </c>
      <c r="V4654">
        <v>0</v>
      </c>
    </row>
    <row r="4655" spans="1:22" x14ac:dyDescent="0.3">
      <c r="A4655" t="s">
        <v>4670</v>
      </c>
      <c r="B4655" s="2">
        <v>46232.545138888891</v>
      </c>
      <c r="C4655" s="2">
        <v>46235.832638888889</v>
      </c>
      <c r="D4655" t="s">
        <v>6027</v>
      </c>
      <c r="E4655" t="s">
        <v>6031</v>
      </c>
      <c r="F4655" t="s">
        <v>6034</v>
      </c>
      <c r="G4655" t="s">
        <v>6041</v>
      </c>
      <c r="H4655" t="s">
        <v>6096</v>
      </c>
      <c r="I4655">
        <v>24</v>
      </c>
      <c r="J4655">
        <v>78.900000000000006</v>
      </c>
      <c r="K4655" t="s">
        <v>6099</v>
      </c>
      <c r="L4655" t="s">
        <v>6100</v>
      </c>
      <c r="M4655" t="s">
        <v>6100</v>
      </c>
      <c r="N4655">
        <v>5</v>
      </c>
      <c r="O4655" t="s">
        <v>6101</v>
      </c>
      <c r="P4655" t="s">
        <v>6113</v>
      </c>
      <c r="Q4655">
        <v>7</v>
      </c>
      <c r="R4655">
        <v>2026</v>
      </c>
      <c r="S4655" t="s">
        <v>6100</v>
      </c>
      <c r="T4655">
        <v>0</v>
      </c>
      <c r="U4655" t="s">
        <v>6019</v>
      </c>
      <c r="V4655">
        <v>1</v>
      </c>
    </row>
    <row r="4656" spans="1:22" x14ac:dyDescent="0.3">
      <c r="A4656" t="s">
        <v>4671</v>
      </c>
      <c r="B4656" s="2">
        <v>46232.545138888891</v>
      </c>
      <c r="C4656" s="2">
        <v>46232.690972222219</v>
      </c>
      <c r="D4656" t="s">
        <v>6027</v>
      </c>
      <c r="E4656" t="s">
        <v>6030</v>
      </c>
      <c r="F4656" t="s">
        <v>6034</v>
      </c>
      <c r="G4656" t="s">
        <v>6077</v>
      </c>
      <c r="H4656" t="s">
        <v>6098</v>
      </c>
      <c r="I4656">
        <v>24</v>
      </c>
      <c r="J4656">
        <v>3.5</v>
      </c>
      <c r="K4656" t="s">
        <v>6100</v>
      </c>
      <c r="L4656" t="s">
        <v>6100</v>
      </c>
      <c r="M4656" t="s">
        <v>6100</v>
      </c>
      <c r="O4656" t="s">
        <v>6101</v>
      </c>
      <c r="P4656" t="s">
        <v>6113</v>
      </c>
      <c r="Q4656">
        <v>7</v>
      </c>
      <c r="R4656">
        <v>2026</v>
      </c>
      <c r="S4656" t="s">
        <v>6099</v>
      </c>
      <c r="T4656">
        <v>1</v>
      </c>
      <c r="U4656" t="s">
        <v>6018</v>
      </c>
      <c r="V4656">
        <v>0</v>
      </c>
    </row>
    <row r="4657" spans="1:22" x14ac:dyDescent="0.3">
      <c r="A4657" t="s">
        <v>4672</v>
      </c>
      <c r="B4657" s="2">
        <v>46232.566666666666</v>
      </c>
      <c r="C4657" s="2">
        <v>46232.60833333333</v>
      </c>
      <c r="D4657" t="s">
        <v>6023</v>
      </c>
      <c r="E4657" t="s">
        <v>6030</v>
      </c>
      <c r="F4657" t="s">
        <v>6033</v>
      </c>
      <c r="G4657" t="s">
        <v>6042</v>
      </c>
      <c r="H4657" t="s">
        <v>6098</v>
      </c>
      <c r="I4657">
        <v>72</v>
      </c>
      <c r="J4657">
        <v>1</v>
      </c>
      <c r="K4657" t="s">
        <v>6099</v>
      </c>
      <c r="L4657" t="s">
        <v>6100</v>
      </c>
      <c r="M4657" t="s">
        <v>6100</v>
      </c>
      <c r="N4657">
        <v>4</v>
      </c>
      <c r="O4657" t="s">
        <v>6101</v>
      </c>
      <c r="P4657" t="s">
        <v>6113</v>
      </c>
      <c r="Q4657">
        <v>7</v>
      </c>
      <c r="R4657">
        <v>2026</v>
      </c>
      <c r="S4657" t="s">
        <v>6099</v>
      </c>
      <c r="T4657">
        <v>1</v>
      </c>
      <c r="U4657" t="s">
        <v>6020</v>
      </c>
      <c r="V4657">
        <v>1</v>
      </c>
    </row>
    <row r="4658" spans="1:22" x14ac:dyDescent="0.3">
      <c r="A4658" t="s">
        <v>4673</v>
      </c>
      <c r="B4658" s="2">
        <v>46232.57708333333</v>
      </c>
      <c r="C4658" s="2">
        <v>46233.056250000001</v>
      </c>
      <c r="D4658" t="s">
        <v>6027</v>
      </c>
      <c r="E4658" t="s">
        <v>6030</v>
      </c>
      <c r="F4658" t="s">
        <v>6034</v>
      </c>
      <c r="G4658" t="s">
        <v>6062</v>
      </c>
      <c r="H4658" t="s">
        <v>6096</v>
      </c>
      <c r="I4658">
        <v>24</v>
      </c>
      <c r="J4658">
        <v>11.5</v>
      </c>
      <c r="K4658" t="s">
        <v>6099</v>
      </c>
      <c r="L4658" t="s">
        <v>6100</v>
      </c>
      <c r="M4658" t="s">
        <v>6100</v>
      </c>
      <c r="O4658" t="s">
        <v>6101</v>
      </c>
      <c r="P4658" t="s">
        <v>6113</v>
      </c>
      <c r="Q4658">
        <v>7</v>
      </c>
      <c r="R4658">
        <v>2026</v>
      </c>
      <c r="S4658" t="s">
        <v>6099</v>
      </c>
      <c r="T4658">
        <v>1</v>
      </c>
      <c r="U4658" t="s">
        <v>6021</v>
      </c>
      <c r="V4658">
        <v>1</v>
      </c>
    </row>
    <row r="4659" spans="1:22" x14ac:dyDescent="0.3">
      <c r="A4659" t="s">
        <v>4674</v>
      </c>
      <c r="B4659" s="2">
        <v>46232.577777777777</v>
      </c>
      <c r="C4659" s="2">
        <v>46233.156944444447</v>
      </c>
      <c r="D4659" t="s">
        <v>6024</v>
      </c>
      <c r="E4659" t="s">
        <v>6031</v>
      </c>
      <c r="F4659" t="s">
        <v>6034</v>
      </c>
      <c r="G4659" t="s">
        <v>6068</v>
      </c>
      <c r="H4659" t="s">
        <v>6098</v>
      </c>
      <c r="I4659">
        <v>24</v>
      </c>
      <c r="J4659">
        <v>13.9</v>
      </c>
      <c r="K4659" t="s">
        <v>6100</v>
      </c>
      <c r="L4659" t="s">
        <v>6099</v>
      </c>
      <c r="M4659" t="s">
        <v>6100</v>
      </c>
      <c r="N4659">
        <v>3</v>
      </c>
      <c r="O4659" t="s">
        <v>6101</v>
      </c>
      <c r="P4659" t="s">
        <v>6113</v>
      </c>
      <c r="Q4659">
        <v>7</v>
      </c>
      <c r="R4659">
        <v>2026</v>
      </c>
      <c r="S4659" t="s">
        <v>6099</v>
      </c>
      <c r="T4659">
        <v>1</v>
      </c>
      <c r="U4659" t="s">
        <v>6019</v>
      </c>
      <c r="V4659">
        <v>0</v>
      </c>
    </row>
    <row r="4660" spans="1:22" x14ac:dyDescent="0.3">
      <c r="A4660" t="s">
        <v>4675</v>
      </c>
      <c r="B4660" s="2">
        <v>46232.624305555553</v>
      </c>
      <c r="C4660" s="2">
        <v>46232.845138888886</v>
      </c>
      <c r="D4660" t="s">
        <v>6027</v>
      </c>
      <c r="E4660" t="s">
        <v>6029</v>
      </c>
      <c r="F4660" t="s">
        <v>6033</v>
      </c>
      <c r="G4660" t="s">
        <v>6050</v>
      </c>
      <c r="H4660" t="s">
        <v>6098</v>
      </c>
      <c r="I4660">
        <v>72</v>
      </c>
      <c r="J4660">
        <v>5.3</v>
      </c>
      <c r="K4660" t="s">
        <v>6099</v>
      </c>
      <c r="L4660" t="s">
        <v>6100</v>
      </c>
      <c r="M4660" t="s">
        <v>6100</v>
      </c>
      <c r="O4660" t="s">
        <v>6101</v>
      </c>
      <c r="P4660" t="s">
        <v>6113</v>
      </c>
      <c r="Q4660">
        <v>7</v>
      </c>
      <c r="R4660">
        <v>2026</v>
      </c>
      <c r="S4660" t="s">
        <v>6099</v>
      </c>
      <c r="T4660">
        <v>1</v>
      </c>
      <c r="U4660" t="s">
        <v>6020</v>
      </c>
      <c r="V4660">
        <v>1</v>
      </c>
    </row>
    <row r="4661" spans="1:22" x14ac:dyDescent="0.3">
      <c r="A4661" t="s">
        <v>4676</v>
      </c>
      <c r="B4661" s="2">
        <v>46232.631249999999</v>
      </c>
      <c r="C4661" s="2">
        <v>46233.347916666666</v>
      </c>
      <c r="D4661" t="s">
        <v>6022</v>
      </c>
      <c r="E4661" t="s">
        <v>6032</v>
      </c>
      <c r="F4661" t="s">
        <v>6033</v>
      </c>
      <c r="G4661" t="s">
        <v>6063</v>
      </c>
      <c r="H4661" t="s">
        <v>6097</v>
      </c>
      <c r="I4661">
        <v>72</v>
      </c>
      <c r="J4661">
        <v>17.2</v>
      </c>
      <c r="K4661" t="s">
        <v>6099</v>
      </c>
      <c r="L4661" t="s">
        <v>6100</v>
      </c>
      <c r="M4661" t="s">
        <v>6100</v>
      </c>
      <c r="N4661">
        <v>4</v>
      </c>
      <c r="O4661" t="s">
        <v>6101</v>
      </c>
      <c r="P4661" t="s">
        <v>6113</v>
      </c>
      <c r="Q4661">
        <v>7</v>
      </c>
      <c r="R4661">
        <v>2026</v>
      </c>
      <c r="S4661" t="s">
        <v>6099</v>
      </c>
      <c r="T4661">
        <v>1</v>
      </c>
      <c r="U4661" t="s">
        <v>6018</v>
      </c>
      <c r="V4661">
        <v>1</v>
      </c>
    </row>
    <row r="4662" spans="1:22" x14ac:dyDescent="0.3">
      <c r="A4662" t="s">
        <v>4677</v>
      </c>
      <c r="B4662" s="2">
        <v>46232.649305555555</v>
      </c>
      <c r="C4662" s="2">
        <v>46233.682638888888</v>
      </c>
      <c r="D4662" t="s">
        <v>6027</v>
      </c>
      <c r="E4662" t="s">
        <v>6031</v>
      </c>
      <c r="F4662" t="s">
        <v>6035</v>
      </c>
      <c r="G4662" t="s">
        <v>6095</v>
      </c>
      <c r="H4662" t="s">
        <v>6098</v>
      </c>
      <c r="I4662">
        <v>4</v>
      </c>
      <c r="J4662">
        <v>24.8</v>
      </c>
      <c r="K4662" t="s">
        <v>6099</v>
      </c>
      <c r="L4662" t="s">
        <v>6100</v>
      </c>
      <c r="M4662" t="s">
        <v>6100</v>
      </c>
      <c r="N4662">
        <v>5</v>
      </c>
      <c r="O4662" t="s">
        <v>6101</v>
      </c>
      <c r="P4662" t="s">
        <v>6113</v>
      </c>
      <c r="Q4662">
        <v>7</v>
      </c>
      <c r="R4662">
        <v>2026</v>
      </c>
      <c r="S4662" t="s">
        <v>6100</v>
      </c>
      <c r="T4662">
        <v>0</v>
      </c>
      <c r="U4662" t="s">
        <v>6017</v>
      </c>
      <c r="V4662">
        <v>1</v>
      </c>
    </row>
    <row r="4663" spans="1:22" x14ac:dyDescent="0.3">
      <c r="A4663" t="s">
        <v>4678</v>
      </c>
      <c r="B4663" s="2">
        <v>46232.6875</v>
      </c>
      <c r="C4663" s="2">
        <v>46233.54583333333</v>
      </c>
      <c r="D4663" t="s">
        <v>6022</v>
      </c>
      <c r="E4663" t="s">
        <v>6032</v>
      </c>
      <c r="F4663" t="s">
        <v>6033</v>
      </c>
      <c r="G4663" t="s">
        <v>6054</v>
      </c>
      <c r="H4663" t="s">
        <v>6096</v>
      </c>
      <c r="I4663">
        <v>72</v>
      </c>
      <c r="J4663">
        <v>20.6</v>
      </c>
      <c r="K4663" t="s">
        <v>6100</v>
      </c>
      <c r="L4663" t="s">
        <v>6100</v>
      </c>
      <c r="M4663" t="s">
        <v>6100</v>
      </c>
      <c r="O4663" t="s">
        <v>6101</v>
      </c>
      <c r="P4663" t="s">
        <v>6113</v>
      </c>
      <c r="Q4663">
        <v>7</v>
      </c>
      <c r="R4663">
        <v>2026</v>
      </c>
      <c r="S4663" t="s">
        <v>6099</v>
      </c>
      <c r="T4663">
        <v>1</v>
      </c>
      <c r="U4663" t="s">
        <v>6021</v>
      </c>
      <c r="V4663">
        <v>0</v>
      </c>
    </row>
    <row r="4664" spans="1:22" x14ac:dyDescent="0.3">
      <c r="A4664" t="s">
        <v>4679</v>
      </c>
      <c r="B4664" s="2">
        <v>46232.717361111114</v>
      </c>
      <c r="C4664" s="2">
        <v>46233.371527777781</v>
      </c>
      <c r="D4664" t="s">
        <v>6027</v>
      </c>
      <c r="E4664" t="s">
        <v>6030</v>
      </c>
      <c r="F4664" t="s">
        <v>6035</v>
      </c>
      <c r="G4664" t="s">
        <v>6083</v>
      </c>
      <c r="H4664" t="s">
        <v>6096</v>
      </c>
      <c r="I4664">
        <v>4</v>
      </c>
      <c r="J4664">
        <v>15.7</v>
      </c>
      <c r="K4664" t="s">
        <v>6099</v>
      </c>
      <c r="L4664" t="s">
        <v>6100</v>
      </c>
      <c r="M4664" t="s">
        <v>6100</v>
      </c>
      <c r="N4664">
        <v>4</v>
      </c>
      <c r="O4664" t="s">
        <v>6101</v>
      </c>
      <c r="P4664" t="s">
        <v>6113</v>
      </c>
      <c r="Q4664">
        <v>7</v>
      </c>
      <c r="R4664">
        <v>2026</v>
      </c>
      <c r="S4664" t="s">
        <v>6100</v>
      </c>
      <c r="T4664">
        <v>0</v>
      </c>
      <c r="U4664" t="s">
        <v>6019</v>
      </c>
      <c r="V4664">
        <v>1</v>
      </c>
    </row>
    <row r="4665" spans="1:22" x14ac:dyDescent="0.3">
      <c r="A4665" t="s">
        <v>4680</v>
      </c>
      <c r="B4665" s="2">
        <v>46232.727777777778</v>
      </c>
      <c r="C4665" s="2">
        <v>46234.236111111109</v>
      </c>
      <c r="D4665" t="s">
        <v>6025</v>
      </c>
      <c r="E4665" t="s">
        <v>6031</v>
      </c>
      <c r="F4665" t="s">
        <v>6033</v>
      </c>
      <c r="G4665" t="s">
        <v>6073</v>
      </c>
      <c r="H4665" t="s">
        <v>6096</v>
      </c>
      <c r="I4665">
        <v>72</v>
      </c>
      <c r="J4665">
        <v>36.200000000000003</v>
      </c>
      <c r="K4665" t="s">
        <v>6100</v>
      </c>
      <c r="L4665" t="s">
        <v>6100</v>
      </c>
      <c r="M4665" t="s">
        <v>6100</v>
      </c>
      <c r="O4665" t="s">
        <v>6101</v>
      </c>
      <c r="P4665" t="s">
        <v>6113</v>
      </c>
      <c r="Q4665">
        <v>7</v>
      </c>
      <c r="R4665">
        <v>2026</v>
      </c>
      <c r="S4665" t="s">
        <v>6099</v>
      </c>
      <c r="T4665">
        <v>1</v>
      </c>
      <c r="U4665" t="s">
        <v>6021</v>
      </c>
      <c r="V4665">
        <v>0</v>
      </c>
    </row>
    <row r="4666" spans="1:22" x14ac:dyDescent="0.3">
      <c r="A4666" t="s">
        <v>4681</v>
      </c>
      <c r="B4666" s="2">
        <v>46232.741666666669</v>
      </c>
      <c r="C4666" s="2">
        <v>46233.004166666666</v>
      </c>
      <c r="D4666" t="s">
        <v>6027</v>
      </c>
      <c r="E4666" t="s">
        <v>6030</v>
      </c>
      <c r="F4666" t="s">
        <v>6034</v>
      </c>
      <c r="G4666" t="s">
        <v>6040</v>
      </c>
      <c r="H4666" t="s">
        <v>6097</v>
      </c>
      <c r="I4666">
        <v>24</v>
      </c>
      <c r="J4666">
        <v>6.3</v>
      </c>
      <c r="K4666" t="s">
        <v>6099</v>
      </c>
      <c r="L4666" t="s">
        <v>6100</v>
      </c>
      <c r="M4666" t="s">
        <v>6100</v>
      </c>
      <c r="N4666">
        <v>5</v>
      </c>
      <c r="O4666" t="s">
        <v>6101</v>
      </c>
      <c r="P4666" t="s">
        <v>6113</v>
      </c>
      <c r="Q4666">
        <v>7</v>
      </c>
      <c r="R4666">
        <v>2026</v>
      </c>
      <c r="S4666" t="s">
        <v>6099</v>
      </c>
      <c r="T4666">
        <v>1</v>
      </c>
      <c r="U4666" t="s">
        <v>6017</v>
      </c>
      <c r="V4666">
        <v>1</v>
      </c>
    </row>
    <row r="4667" spans="1:22" x14ac:dyDescent="0.3">
      <c r="A4667" t="s">
        <v>4682</v>
      </c>
      <c r="B4667" s="2">
        <v>46232.813194444447</v>
      </c>
      <c r="C4667" s="2">
        <v>46233.196527777778</v>
      </c>
      <c r="D4667" t="s">
        <v>6022</v>
      </c>
      <c r="E4667" t="s">
        <v>6029</v>
      </c>
      <c r="F4667" t="s">
        <v>6035</v>
      </c>
      <c r="G4667" t="s">
        <v>6090</v>
      </c>
      <c r="H4667" t="s">
        <v>6097</v>
      </c>
      <c r="I4667">
        <v>4</v>
      </c>
      <c r="J4667">
        <v>9.1999999999999993</v>
      </c>
      <c r="K4667" t="s">
        <v>6099</v>
      </c>
      <c r="L4667" t="s">
        <v>6100</v>
      </c>
      <c r="M4667" t="s">
        <v>6100</v>
      </c>
      <c r="O4667" t="s">
        <v>6101</v>
      </c>
      <c r="P4667" t="s">
        <v>6113</v>
      </c>
      <c r="Q4667">
        <v>7</v>
      </c>
      <c r="R4667">
        <v>2026</v>
      </c>
      <c r="S4667" t="s">
        <v>6100</v>
      </c>
      <c r="T4667">
        <v>0</v>
      </c>
      <c r="U4667" t="s">
        <v>6018</v>
      </c>
      <c r="V4667">
        <v>1</v>
      </c>
    </row>
    <row r="4668" spans="1:22" x14ac:dyDescent="0.3">
      <c r="A4668" t="s">
        <v>4683</v>
      </c>
      <c r="B4668" s="2">
        <v>46233.253472222219</v>
      </c>
      <c r="C4668" s="2">
        <v>46234.536805555559</v>
      </c>
      <c r="D4668" t="s">
        <v>6026</v>
      </c>
      <c r="E4668" t="s">
        <v>6029</v>
      </c>
      <c r="F4668" t="s">
        <v>6034</v>
      </c>
      <c r="G4668" t="s">
        <v>6043</v>
      </c>
      <c r="H4668" t="s">
        <v>6097</v>
      </c>
      <c r="I4668">
        <v>24</v>
      </c>
      <c r="J4668">
        <v>30.8</v>
      </c>
      <c r="K4668" t="s">
        <v>6099</v>
      </c>
      <c r="L4668" t="s">
        <v>6100</v>
      </c>
      <c r="M4668" t="s">
        <v>6100</v>
      </c>
      <c r="O4668" t="s">
        <v>6101</v>
      </c>
      <c r="P4668" t="s">
        <v>6113</v>
      </c>
      <c r="Q4668">
        <v>7</v>
      </c>
      <c r="R4668">
        <v>2026</v>
      </c>
      <c r="S4668" t="s">
        <v>6100</v>
      </c>
      <c r="T4668">
        <v>0</v>
      </c>
      <c r="U4668" t="s">
        <v>6020</v>
      </c>
      <c r="V4668">
        <v>1</v>
      </c>
    </row>
    <row r="4669" spans="1:22" x14ac:dyDescent="0.3">
      <c r="A4669" t="s">
        <v>4684</v>
      </c>
      <c r="B4669" s="2">
        <v>46233.293055555558</v>
      </c>
      <c r="C4669" s="2">
        <v>46233.459722222222</v>
      </c>
      <c r="D4669" t="s">
        <v>6022</v>
      </c>
      <c r="E4669" t="s">
        <v>6029</v>
      </c>
      <c r="F4669" t="s">
        <v>6033</v>
      </c>
      <c r="G4669" t="s">
        <v>6069</v>
      </c>
      <c r="H4669" t="s">
        <v>6098</v>
      </c>
      <c r="I4669">
        <v>72</v>
      </c>
      <c r="J4669">
        <v>4</v>
      </c>
      <c r="K4669" t="s">
        <v>6099</v>
      </c>
      <c r="L4669" t="s">
        <v>6100</v>
      </c>
      <c r="M4669" t="s">
        <v>6100</v>
      </c>
      <c r="N4669">
        <v>5</v>
      </c>
      <c r="O4669" t="s">
        <v>6101</v>
      </c>
      <c r="P4669" t="s">
        <v>6113</v>
      </c>
      <c r="Q4669">
        <v>7</v>
      </c>
      <c r="R4669">
        <v>2026</v>
      </c>
      <c r="S4669" t="s">
        <v>6099</v>
      </c>
      <c r="T4669">
        <v>1</v>
      </c>
      <c r="U4669" t="s">
        <v>6020</v>
      </c>
      <c r="V4669">
        <v>1</v>
      </c>
    </row>
    <row r="4670" spans="1:22" x14ac:dyDescent="0.3">
      <c r="A4670" t="s">
        <v>4685</v>
      </c>
      <c r="B4670" s="2">
        <v>46233.338888888888</v>
      </c>
      <c r="C4670" s="2">
        <v>46235.738888888889</v>
      </c>
      <c r="D4670" t="s">
        <v>6028</v>
      </c>
      <c r="E4670" t="s">
        <v>6031</v>
      </c>
      <c r="F4670" t="s">
        <v>6034</v>
      </c>
      <c r="G4670" t="s">
        <v>6044</v>
      </c>
      <c r="H4670" t="s">
        <v>6097</v>
      </c>
      <c r="I4670">
        <v>24</v>
      </c>
      <c r="J4670">
        <v>57.6</v>
      </c>
      <c r="K4670" t="s">
        <v>6099</v>
      </c>
      <c r="L4670" t="s">
        <v>6100</v>
      </c>
      <c r="M4670" t="s">
        <v>6100</v>
      </c>
      <c r="N4670">
        <v>4</v>
      </c>
      <c r="O4670" t="s">
        <v>6101</v>
      </c>
      <c r="P4670" t="s">
        <v>6113</v>
      </c>
      <c r="Q4670">
        <v>7</v>
      </c>
      <c r="R4670">
        <v>2026</v>
      </c>
      <c r="S4670" t="s">
        <v>6100</v>
      </c>
      <c r="T4670">
        <v>0</v>
      </c>
      <c r="U4670" t="s">
        <v>6019</v>
      </c>
      <c r="V4670">
        <v>1</v>
      </c>
    </row>
    <row r="4671" spans="1:22" x14ac:dyDescent="0.3">
      <c r="A4671" t="s">
        <v>4686</v>
      </c>
      <c r="B4671" s="2">
        <v>46233.424305555556</v>
      </c>
      <c r="C4671" s="2">
        <v>46235.507638888892</v>
      </c>
      <c r="D4671" t="s">
        <v>6028</v>
      </c>
      <c r="E4671" t="s">
        <v>6031</v>
      </c>
      <c r="F4671" t="s">
        <v>6035</v>
      </c>
      <c r="G4671" t="s">
        <v>6045</v>
      </c>
      <c r="H4671" t="s">
        <v>6096</v>
      </c>
      <c r="I4671">
        <v>4</v>
      </c>
      <c r="J4671">
        <v>50</v>
      </c>
      <c r="K4671" t="s">
        <v>6099</v>
      </c>
      <c r="L4671" t="s">
        <v>6100</v>
      </c>
      <c r="M4671" t="s">
        <v>6100</v>
      </c>
      <c r="N4671">
        <v>5</v>
      </c>
      <c r="O4671" t="s">
        <v>6101</v>
      </c>
      <c r="P4671" t="s">
        <v>6113</v>
      </c>
      <c r="Q4671">
        <v>7</v>
      </c>
      <c r="R4671">
        <v>2026</v>
      </c>
      <c r="S4671" t="s">
        <v>6100</v>
      </c>
      <c r="T4671">
        <v>0</v>
      </c>
      <c r="U4671" t="s">
        <v>6019</v>
      </c>
      <c r="V4671">
        <v>1</v>
      </c>
    </row>
    <row r="4672" spans="1:22" x14ac:dyDescent="0.3">
      <c r="A4672" t="s">
        <v>4687</v>
      </c>
      <c r="B4672" s="2">
        <v>46233.453472222223</v>
      </c>
      <c r="C4672" s="2">
        <v>46233.640972222223</v>
      </c>
      <c r="D4672" t="s">
        <v>6028</v>
      </c>
      <c r="E4672" t="s">
        <v>6030</v>
      </c>
      <c r="F4672" t="s">
        <v>6035</v>
      </c>
      <c r="G4672" t="s">
        <v>6054</v>
      </c>
      <c r="H4672" t="s">
        <v>6096</v>
      </c>
      <c r="I4672">
        <v>4</v>
      </c>
      <c r="J4672">
        <v>4.5</v>
      </c>
      <c r="K4672" t="s">
        <v>6100</v>
      </c>
      <c r="L4672" t="s">
        <v>6100</v>
      </c>
      <c r="M4672" t="s">
        <v>6100</v>
      </c>
      <c r="N4672">
        <v>3</v>
      </c>
      <c r="O4672" t="s">
        <v>6101</v>
      </c>
      <c r="P4672" t="s">
        <v>6113</v>
      </c>
      <c r="Q4672">
        <v>7</v>
      </c>
      <c r="R4672">
        <v>2026</v>
      </c>
      <c r="S4672" t="s">
        <v>6100</v>
      </c>
      <c r="T4672">
        <v>0</v>
      </c>
      <c r="U4672" t="s">
        <v>6019</v>
      </c>
      <c r="V4672">
        <v>0</v>
      </c>
    </row>
    <row r="4673" spans="1:22" x14ac:dyDescent="0.3">
      <c r="A4673" t="s">
        <v>4688</v>
      </c>
      <c r="B4673" s="2">
        <v>46233.518750000003</v>
      </c>
      <c r="C4673" s="2">
        <v>46234.760416666664</v>
      </c>
      <c r="D4673" t="s">
        <v>6025</v>
      </c>
      <c r="E4673" t="s">
        <v>6031</v>
      </c>
      <c r="F4673" t="s">
        <v>6034</v>
      </c>
      <c r="G4673" t="s">
        <v>6059</v>
      </c>
      <c r="H4673" t="s">
        <v>6097</v>
      </c>
      <c r="I4673">
        <v>24</v>
      </c>
      <c r="J4673">
        <v>29.8</v>
      </c>
      <c r="K4673" t="s">
        <v>6100</v>
      </c>
      <c r="L4673" t="s">
        <v>6099</v>
      </c>
      <c r="M4673" t="s">
        <v>6100</v>
      </c>
      <c r="N4673">
        <v>3</v>
      </c>
      <c r="O4673" t="s">
        <v>6101</v>
      </c>
      <c r="P4673" t="s">
        <v>6113</v>
      </c>
      <c r="Q4673">
        <v>7</v>
      </c>
      <c r="R4673">
        <v>2026</v>
      </c>
      <c r="S4673" t="s">
        <v>6100</v>
      </c>
      <c r="T4673">
        <v>0</v>
      </c>
      <c r="U4673" t="s">
        <v>6021</v>
      </c>
      <c r="V4673">
        <v>0</v>
      </c>
    </row>
    <row r="4674" spans="1:22" x14ac:dyDescent="0.3">
      <c r="A4674" t="s">
        <v>4689</v>
      </c>
      <c r="B4674" s="2">
        <v>46233.55972222222</v>
      </c>
      <c r="C4674" s="2">
        <v>46238.197222222225</v>
      </c>
      <c r="D4674" t="s">
        <v>6022</v>
      </c>
      <c r="E4674" t="s">
        <v>6031</v>
      </c>
      <c r="F4674" t="s">
        <v>6034</v>
      </c>
      <c r="G4674" t="s">
        <v>6036</v>
      </c>
      <c r="H4674" t="s">
        <v>6096</v>
      </c>
      <c r="I4674">
        <v>24</v>
      </c>
      <c r="J4674">
        <v>111.3</v>
      </c>
      <c r="K4674" t="s">
        <v>6100</v>
      </c>
      <c r="L4674" t="s">
        <v>6099</v>
      </c>
      <c r="M4674" t="s">
        <v>6100</v>
      </c>
      <c r="O4674" t="s">
        <v>6101</v>
      </c>
      <c r="P4674" t="s">
        <v>6113</v>
      </c>
      <c r="Q4674">
        <v>7</v>
      </c>
      <c r="R4674">
        <v>2026</v>
      </c>
      <c r="S4674" t="s">
        <v>6100</v>
      </c>
      <c r="T4674">
        <v>0</v>
      </c>
      <c r="U4674" t="s">
        <v>6021</v>
      </c>
      <c r="V4674">
        <v>0</v>
      </c>
    </row>
    <row r="4675" spans="1:22" x14ac:dyDescent="0.3">
      <c r="A4675" t="s">
        <v>4690</v>
      </c>
      <c r="B4675" s="2">
        <v>46233.584722222222</v>
      </c>
      <c r="C4675" s="2">
        <v>46234.001388888886</v>
      </c>
      <c r="D4675" t="s">
        <v>6023</v>
      </c>
      <c r="E4675" t="s">
        <v>6029</v>
      </c>
      <c r="F4675" t="s">
        <v>6034</v>
      </c>
      <c r="G4675" t="s">
        <v>6057</v>
      </c>
      <c r="H4675" t="s">
        <v>6097</v>
      </c>
      <c r="I4675">
        <v>24</v>
      </c>
      <c r="J4675">
        <v>10</v>
      </c>
      <c r="K4675" t="s">
        <v>6099</v>
      </c>
      <c r="L4675" t="s">
        <v>6100</v>
      </c>
      <c r="M4675" t="s">
        <v>6100</v>
      </c>
      <c r="N4675">
        <v>5</v>
      </c>
      <c r="O4675" t="s">
        <v>6101</v>
      </c>
      <c r="P4675" t="s">
        <v>6113</v>
      </c>
      <c r="Q4675">
        <v>7</v>
      </c>
      <c r="R4675">
        <v>2026</v>
      </c>
      <c r="S4675" t="s">
        <v>6099</v>
      </c>
      <c r="T4675">
        <v>1</v>
      </c>
      <c r="U4675" t="s">
        <v>6021</v>
      </c>
      <c r="V4675">
        <v>1</v>
      </c>
    </row>
    <row r="4676" spans="1:22" x14ac:dyDescent="0.3">
      <c r="A4676" t="s">
        <v>4691</v>
      </c>
      <c r="B4676" s="2">
        <v>46233.609027777777</v>
      </c>
      <c r="C4676" s="2">
        <v>46234.425694444442</v>
      </c>
      <c r="D4676" t="s">
        <v>6024</v>
      </c>
      <c r="E4676" t="s">
        <v>6030</v>
      </c>
      <c r="F4676" t="s">
        <v>6034</v>
      </c>
      <c r="G4676" t="s">
        <v>6083</v>
      </c>
      <c r="H4676" t="s">
        <v>6096</v>
      </c>
      <c r="I4676">
        <v>24</v>
      </c>
      <c r="J4676">
        <v>19.600000000000001</v>
      </c>
      <c r="K4676" t="s">
        <v>6100</v>
      </c>
      <c r="L4676" t="s">
        <v>6099</v>
      </c>
      <c r="M4676" t="s">
        <v>6100</v>
      </c>
      <c r="O4676" t="s">
        <v>6101</v>
      </c>
      <c r="P4676" t="s">
        <v>6113</v>
      </c>
      <c r="Q4676">
        <v>7</v>
      </c>
      <c r="R4676">
        <v>2026</v>
      </c>
      <c r="S4676" t="s">
        <v>6099</v>
      </c>
      <c r="T4676">
        <v>1</v>
      </c>
      <c r="U4676" t="s">
        <v>6021</v>
      </c>
      <c r="V4676">
        <v>0</v>
      </c>
    </row>
    <row r="4677" spans="1:22" x14ac:dyDescent="0.3">
      <c r="A4677" t="s">
        <v>4692</v>
      </c>
      <c r="B4677" s="2">
        <v>46233.620138888888</v>
      </c>
      <c r="C4677" s="2">
        <v>46234.34097222222</v>
      </c>
      <c r="D4677" t="s">
        <v>6022</v>
      </c>
      <c r="E4677" t="s">
        <v>6031</v>
      </c>
      <c r="F4677" t="s">
        <v>6033</v>
      </c>
      <c r="G4677" t="s">
        <v>6087</v>
      </c>
      <c r="H4677" t="s">
        <v>6098</v>
      </c>
      <c r="I4677">
        <v>72</v>
      </c>
      <c r="J4677">
        <v>17.3</v>
      </c>
      <c r="K4677" t="s">
        <v>6099</v>
      </c>
      <c r="L4677" t="s">
        <v>6100</v>
      </c>
      <c r="M4677" t="s">
        <v>6100</v>
      </c>
      <c r="N4677">
        <v>5</v>
      </c>
      <c r="O4677" t="s">
        <v>6101</v>
      </c>
      <c r="P4677" t="s">
        <v>6113</v>
      </c>
      <c r="Q4677">
        <v>7</v>
      </c>
      <c r="R4677">
        <v>2026</v>
      </c>
      <c r="S4677" t="s">
        <v>6099</v>
      </c>
      <c r="T4677">
        <v>1</v>
      </c>
      <c r="U4677" t="s">
        <v>6021</v>
      </c>
      <c r="V4677">
        <v>1</v>
      </c>
    </row>
    <row r="4678" spans="1:22" x14ac:dyDescent="0.3">
      <c r="A4678" t="s">
        <v>4693</v>
      </c>
      <c r="B4678" s="2">
        <v>46233.62222222222</v>
      </c>
      <c r="C4678" s="2">
        <v>46234.305555555555</v>
      </c>
      <c r="D4678" t="s">
        <v>6025</v>
      </c>
      <c r="E4678" t="s">
        <v>6029</v>
      </c>
      <c r="F4678" t="s">
        <v>6034</v>
      </c>
      <c r="G4678" t="s">
        <v>6085</v>
      </c>
      <c r="H4678" t="s">
        <v>6097</v>
      </c>
      <c r="I4678">
        <v>24</v>
      </c>
      <c r="J4678">
        <v>16.399999999999999</v>
      </c>
      <c r="K4678" t="s">
        <v>6099</v>
      </c>
      <c r="L4678" t="s">
        <v>6100</v>
      </c>
      <c r="M4678" t="s">
        <v>6100</v>
      </c>
      <c r="O4678" t="s">
        <v>6101</v>
      </c>
      <c r="P4678" t="s">
        <v>6113</v>
      </c>
      <c r="Q4678">
        <v>7</v>
      </c>
      <c r="R4678">
        <v>2026</v>
      </c>
      <c r="S4678" t="s">
        <v>6099</v>
      </c>
      <c r="T4678">
        <v>1</v>
      </c>
      <c r="U4678" t="s">
        <v>6021</v>
      </c>
      <c r="V4678">
        <v>1</v>
      </c>
    </row>
    <row r="4679" spans="1:22" x14ac:dyDescent="0.3">
      <c r="A4679" t="s">
        <v>4694</v>
      </c>
      <c r="B4679" s="2">
        <v>46233.634722222225</v>
      </c>
      <c r="C4679" s="2">
        <v>46237.147222222222</v>
      </c>
      <c r="D4679" t="s">
        <v>6026</v>
      </c>
      <c r="E4679" t="s">
        <v>6031</v>
      </c>
      <c r="F4679" t="s">
        <v>6035</v>
      </c>
      <c r="G4679" t="s">
        <v>6056</v>
      </c>
      <c r="H4679" t="s">
        <v>6098</v>
      </c>
      <c r="I4679">
        <v>4</v>
      </c>
      <c r="J4679">
        <v>84.3</v>
      </c>
      <c r="K4679" t="s">
        <v>6100</v>
      </c>
      <c r="L4679" t="s">
        <v>6100</v>
      </c>
      <c r="M4679" t="s">
        <v>6100</v>
      </c>
      <c r="N4679">
        <v>3</v>
      </c>
      <c r="O4679" t="s">
        <v>6101</v>
      </c>
      <c r="P4679" t="s">
        <v>6113</v>
      </c>
      <c r="Q4679">
        <v>7</v>
      </c>
      <c r="R4679">
        <v>2026</v>
      </c>
      <c r="S4679" t="s">
        <v>6100</v>
      </c>
      <c r="T4679">
        <v>0</v>
      </c>
      <c r="U4679" t="s">
        <v>6021</v>
      </c>
      <c r="V4679">
        <v>0</v>
      </c>
    </row>
    <row r="4680" spans="1:22" x14ac:dyDescent="0.3">
      <c r="A4680" t="s">
        <v>4695</v>
      </c>
      <c r="B4680" s="2">
        <v>46233.640277777777</v>
      </c>
      <c r="C4680" s="2">
        <v>46234.115277777775</v>
      </c>
      <c r="D4680" t="s">
        <v>6022</v>
      </c>
      <c r="E4680" t="s">
        <v>6029</v>
      </c>
      <c r="F4680" t="s">
        <v>6035</v>
      </c>
      <c r="G4680" t="s">
        <v>6085</v>
      </c>
      <c r="H4680" t="s">
        <v>6097</v>
      </c>
      <c r="I4680">
        <v>4</v>
      </c>
      <c r="J4680">
        <v>11.4</v>
      </c>
      <c r="K4680" t="s">
        <v>6099</v>
      </c>
      <c r="L4680" t="s">
        <v>6100</v>
      </c>
      <c r="M4680" t="s">
        <v>6100</v>
      </c>
      <c r="N4680">
        <v>3</v>
      </c>
      <c r="O4680" t="s">
        <v>6101</v>
      </c>
      <c r="P4680" t="s">
        <v>6113</v>
      </c>
      <c r="Q4680">
        <v>7</v>
      </c>
      <c r="R4680">
        <v>2026</v>
      </c>
      <c r="S4680" t="s">
        <v>6100</v>
      </c>
      <c r="T4680">
        <v>0</v>
      </c>
      <c r="U4680" t="s">
        <v>6020</v>
      </c>
      <c r="V4680">
        <v>1</v>
      </c>
    </row>
    <row r="4681" spans="1:22" x14ac:dyDescent="0.3">
      <c r="A4681" t="s">
        <v>4696</v>
      </c>
      <c r="B4681" s="2">
        <v>46233.681250000001</v>
      </c>
      <c r="C4681" s="2">
        <v>46233.78125</v>
      </c>
      <c r="D4681" t="s">
        <v>6022</v>
      </c>
      <c r="E4681" t="s">
        <v>6030</v>
      </c>
      <c r="F4681" t="s">
        <v>6033</v>
      </c>
      <c r="G4681" t="s">
        <v>6086</v>
      </c>
      <c r="H4681" t="s">
        <v>6098</v>
      </c>
      <c r="I4681">
        <v>72</v>
      </c>
      <c r="J4681">
        <v>2.4</v>
      </c>
      <c r="K4681" t="s">
        <v>6100</v>
      </c>
      <c r="L4681" t="s">
        <v>6100</v>
      </c>
      <c r="M4681" t="s">
        <v>6100</v>
      </c>
      <c r="N4681">
        <v>4</v>
      </c>
      <c r="O4681" t="s">
        <v>6101</v>
      </c>
      <c r="P4681" t="s">
        <v>6113</v>
      </c>
      <c r="Q4681">
        <v>7</v>
      </c>
      <c r="R4681">
        <v>2026</v>
      </c>
      <c r="S4681" t="s">
        <v>6099</v>
      </c>
      <c r="T4681">
        <v>1</v>
      </c>
      <c r="U4681" t="s">
        <v>6018</v>
      </c>
      <c r="V4681">
        <v>0</v>
      </c>
    </row>
    <row r="4682" spans="1:22" x14ac:dyDescent="0.3">
      <c r="A4682" t="s">
        <v>4697</v>
      </c>
      <c r="B4682" s="2">
        <v>46233.693055555559</v>
      </c>
      <c r="C4682" s="2">
        <v>46235.413888888892</v>
      </c>
      <c r="D4682" t="s">
        <v>6025</v>
      </c>
      <c r="E4682" t="s">
        <v>6031</v>
      </c>
      <c r="F4682" t="s">
        <v>6034</v>
      </c>
      <c r="G4682" t="s">
        <v>6090</v>
      </c>
      <c r="H4682" t="s">
        <v>6097</v>
      </c>
      <c r="I4682">
        <v>24</v>
      </c>
      <c r="J4682">
        <v>41.3</v>
      </c>
      <c r="K4682" t="s">
        <v>6099</v>
      </c>
      <c r="L4682" t="s">
        <v>6100</v>
      </c>
      <c r="M4682" t="s">
        <v>6100</v>
      </c>
      <c r="O4682" t="s">
        <v>6101</v>
      </c>
      <c r="P4682" t="s">
        <v>6113</v>
      </c>
      <c r="Q4682">
        <v>7</v>
      </c>
      <c r="R4682">
        <v>2026</v>
      </c>
      <c r="S4682" t="s">
        <v>6100</v>
      </c>
      <c r="T4682">
        <v>0</v>
      </c>
      <c r="U4682" t="s">
        <v>6021</v>
      </c>
      <c r="V4682">
        <v>1</v>
      </c>
    </row>
    <row r="4683" spans="1:22" x14ac:dyDescent="0.3">
      <c r="A4683" t="s">
        <v>4698</v>
      </c>
      <c r="B4683" s="2">
        <v>46233.72152777778</v>
      </c>
      <c r="C4683" s="2">
        <v>46234.354861111111</v>
      </c>
      <c r="D4683" t="s">
        <v>6022</v>
      </c>
      <c r="E4683" t="s">
        <v>6032</v>
      </c>
      <c r="F4683" t="s">
        <v>6035</v>
      </c>
      <c r="G4683" t="s">
        <v>6040</v>
      </c>
      <c r="H4683" t="s">
        <v>6097</v>
      </c>
      <c r="I4683">
        <v>4</v>
      </c>
      <c r="J4683">
        <v>15.2</v>
      </c>
      <c r="K4683" t="s">
        <v>6099</v>
      </c>
      <c r="L4683" t="s">
        <v>6100</v>
      </c>
      <c r="M4683" t="s">
        <v>6100</v>
      </c>
      <c r="N4683">
        <v>4</v>
      </c>
      <c r="O4683" t="s">
        <v>6101</v>
      </c>
      <c r="P4683" t="s">
        <v>6113</v>
      </c>
      <c r="Q4683">
        <v>7</v>
      </c>
      <c r="R4683">
        <v>2026</v>
      </c>
      <c r="S4683" t="s">
        <v>6100</v>
      </c>
      <c r="T4683">
        <v>0</v>
      </c>
      <c r="U4683" t="s">
        <v>6018</v>
      </c>
      <c r="V4683">
        <v>1</v>
      </c>
    </row>
    <row r="4684" spans="1:22" x14ac:dyDescent="0.3">
      <c r="A4684" t="s">
        <v>4699</v>
      </c>
      <c r="B4684" s="2">
        <v>46233.741666666669</v>
      </c>
      <c r="C4684" s="2">
        <v>46234.287499999999</v>
      </c>
      <c r="D4684" t="s">
        <v>6024</v>
      </c>
      <c r="E4684" t="s">
        <v>6029</v>
      </c>
      <c r="F4684" t="s">
        <v>6034</v>
      </c>
      <c r="G4684" t="s">
        <v>6045</v>
      </c>
      <c r="H4684" t="s">
        <v>6096</v>
      </c>
      <c r="I4684">
        <v>24</v>
      </c>
      <c r="J4684">
        <v>13.1</v>
      </c>
      <c r="K4684" t="s">
        <v>6099</v>
      </c>
      <c r="L4684" t="s">
        <v>6100</v>
      </c>
      <c r="M4684" t="s">
        <v>6100</v>
      </c>
      <c r="O4684" t="s">
        <v>6101</v>
      </c>
      <c r="P4684" t="s">
        <v>6113</v>
      </c>
      <c r="Q4684">
        <v>7</v>
      </c>
      <c r="R4684">
        <v>2026</v>
      </c>
      <c r="S4684" t="s">
        <v>6099</v>
      </c>
      <c r="T4684">
        <v>1</v>
      </c>
      <c r="U4684" t="s">
        <v>6019</v>
      </c>
      <c r="V4684">
        <v>1</v>
      </c>
    </row>
    <row r="4685" spans="1:22" x14ac:dyDescent="0.3">
      <c r="A4685" t="s">
        <v>4700</v>
      </c>
      <c r="B4685" s="2">
        <v>46233.797222222223</v>
      </c>
      <c r="C4685" s="2">
        <v>46235.009722222225</v>
      </c>
      <c r="D4685" t="s">
        <v>6022</v>
      </c>
      <c r="E4685" t="s">
        <v>6029</v>
      </c>
      <c r="F4685" t="s">
        <v>6034</v>
      </c>
      <c r="G4685" t="s">
        <v>6077</v>
      </c>
      <c r="H4685" t="s">
        <v>6098</v>
      </c>
      <c r="I4685">
        <v>24</v>
      </c>
      <c r="J4685">
        <v>29.1</v>
      </c>
      <c r="K4685" t="s">
        <v>6100</v>
      </c>
      <c r="L4685" t="s">
        <v>6099</v>
      </c>
      <c r="M4685" t="s">
        <v>6100</v>
      </c>
      <c r="N4685">
        <v>4</v>
      </c>
      <c r="O4685" t="s">
        <v>6101</v>
      </c>
      <c r="P4685" t="s">
        <v>6113</v>
      </c>
      <c r="Q4685">
        <v>7</v>
      </c>
      <c r="R4685">
        <v>2026</v>
      </c>
      <c r="S4685" t="s">
        <v>6100</v>
      </c>
      <c r="T4685">
        <v>0</v>
      </c>
      <c r="U4685" t="s">
        <v>6020</v>
      </c>
      <c r="V4685">
        <v>0</v>
      </c>
    </row>
    <row r="4686" spans="1:22" x14ac:dyDescent="0.3">
      <c r="A4686" t="s">
        <v>4701</v>
      </c>
      <c r="B4686" s="2">
        <v>46233.819444444445</v>
      </c>
      <c r="C4686" s="2">
        <v>46234.81527777778</v>
      </c>
      <c r="D4686" t="s">
        <v>6026</v>
      </c>
      <c r="E4686" t="s">
        <v>6030</v>
      </c>
      <c r="F4686" t="s">
        <v>6033</v>
      </c>
      <c r="G4686" t="s">
        <v>6039</v>
      </c>
      <c r="H4686" t="s">
        <v>6097</v>
      </c>
      <c r="I4686">
        <v>72</v>
      </c>
      <c r="J4686">
        <v>23.9</v>
      </c>
      <c r="K4686" t="s">
        <v>6099</v>
      </c>
      <c r="L4686" t="s">
        <v>6100</v>
      </c>
      <c r="M4686" t="s">
        <v>6100</v>
      </c>
      <c r="N4686">
        <v>5</v>
      </c>
      <c r="O4686" t="s">
        <v>6101</v>
      </c>
      <c r="P4686" t="s">
        <v>6113</v>
      </c>
      <c r="Q4686">
        <v>7</v>
      </c>
      <c r="R4686">
        <v>2026</v>
      </c>
      <c r="S4686" t="s">
        <v>6099</v>
      </c>
      <c r="T4686">
        <v>1</v>
      </c>
      <c r="U4686" t="s">
        <v>6020</v>
      </c>
      <c r="V4686">
        <v>1</v>
      </c>
    </row>
    <row r="4687" spans="1:22" x14ac:dyDescent="0.3">
      <c r="A4687" t="s">
        <v>4702</v>
      </c>
      <c r="B4687" s="2">
        <v>46234.188888888886</v>
      </c>
      <c r="C4687" s="2">
        <v>46234.355555555558</v>
      </c>
      <c r="D4687" t="s">
        <v>6028</v>
      </c>
      <c r="E4687" t="s">
        <v>6029</v>
      </c>
      <c r="F4687" t="s">
        <v>6035</v>
      </c>
      <c r="G4687" t="s">
        <v>6056</v>
      </c>
      <c r="H4687" t="s">
        <v>6098</v>
      </c>
      <c r="I4687">
        <v>4</v>
      </c>
      <c r="J4687">
        <v>4</v>
      </c>
      <c r="K4687" t="s">
        <v>6100</v>
      </c>
      <c r="L4687" t="s">
        <v>6100</v>
      </c>
      <c r="M4687" t="s">
        <v>6100</v>
      </c>
      <c r="O4687" t="s">
        <v>6101</v>
      </c>
      <c r="P4687" t="s">
        <v>6113</v>
      </c>
      <c r="Q4687">
        <v>7</v>
      </c>
      <c r="R4687">
        <v>2026</v>
      </c>
      <c r="S4687" t="s">
        <v>6099</v>
      </c>
      <c r="T4687">
        <v>1</v>
      </c>
      <c r="U4687" t="s">
        <v>6018</v>
      </c>
      <c r="V4687">
        <v>0</v>
      </c>
    </row>
    <row r="4688" spans="1:22" x14ac:dyDescent="0.3">
      <c r="A4688" t="s">
        <v>4703</v>
      </c>
      <c r="B4688" s="2">
        <v>46234.188888888886</v>
      </c>
      <c r="C4688" s="2">
        <v>46236.047222222223</v>
      </c>
      <c r="D4688" t="s">
        <v>6028</v>
      </c>
      <c r="E4688" t="s">
        <v>6031</v>
      </c>
      <c r="F4688" t="s">
        <v>6035</v>
      </c>
      <c r="G4688" t="s">
        <v>6067</v>
      </c>
      <c r="H4688" t="s">
        <v>6098</v>
      </c>
      <c r="I4688">
        <v>4</v>
      </c>
      <c r="J4688">
        <v>44.6</v>
      </c>
      <c r="K4688" t="s">
        <v>6100</v>
      </c>
      <c r="L4688" t="s">
        <v>6100</v>
      </c>
      <c r="M4688" t="s">
        <v>6100</v>
      </c>
      <c r="O4688" t="s">
        <v>6101</v>
      </c>
      <c r="P4688" t="s">
        <v>6113</v>
      </c>
      <c r="Q4688">
        <v>7</v>
      </c>
      <c r="R4688">
        <v>2026</v>
      </c>
      <c r="S4688" t="s">
        <v>6100</v>
      </c>
      <c r="T4688">
        <v>0</v>
      </c>
      <c r="U4688" t="s">
        <v>6020</v>
      </c>
      <c r="V4688">
        <v>0</v>
      </c>
    </row>
    <row r="4689" spans="1:22" x14ac:dyDescent="0.3">
      <c r="A4689" t="s">
        <v>4704</v>
      </c>
      <c r="B4689" s="2">
        <v>46234.214583333334</v>
      </c>
      <c r="C4689" s="2">
        <v>46235.989583333336</v>
      </c>
      <c r="D4689" t="s">
        <v>6026</v>
      </c>
      <c r="E4689" t="s">
        <v>6029</v>
      </c>
      <c r="F4689" t="s">
        <v>6035</v>
      </c>
      <c r="G4689" t="s">
        <v>6066</v>
      </c>
      <c r="H4689" t="s">
        <v>6096</v>
      </c>
      <c r="I4689">
        <v>4</v>
      </c>
      <c r="J4689">
        <v>42.6</v>
      </c>
      <c r="K4689" t="s">
        <v>6100</v>
      </c>
      <c r="L4689" t="s">
        <v>6099</v>
      </c>
      <c r="M4689" t="s">
        <v>6100</v>
      </c>
      <c r="N4689">
        <v>2</v>
      </c>
      <c r="O4689" t="s">
        <v>6101</v>
      </c>
      <c r="P4689" t="s">
        <v>6113</v>
      </c>
      <c r="Q4689">
        <v>7</v>
      </c>
      <c r="R4689">
        <v>2026</v>
      </c>
      <c r="S4689" t="s">
        <v>6100</v>
      </c>
      <c r="T4689">
        <v>0</v>
      </c>
      <c r="U4689" t="s">
        <v>6018</v>
      </c>
      <c r="V4689">
        <v>0</v>
      </c>
    </row>
    <row r="4690" spans="1:22" x14ac:dyDescent="0.3">
      <c r="A4690" t="s">
        <v>4705</v>
      </c>
      <c r="B4690" s="2">
        <v>46234.329861111109</v>
      </c>
      <c r="C4690" s="2">
        <v>46234.767361111109</v>
      </c>
      <c r="D4690" t="s">
        <v>6023</v>
      </c>
      <c r="E4690" t="s">
        <v>6030</v>
      </c>
      <c r="F4690" t="s">
        <v>6034</v>
      </c>
      <c r="G4690" t="s">
        <v>6071</v>
      </c>
      <c r="H4690" t="s">
        <v>6098</v>
      </c>
      <c r="I4690">
        <v>24</v>
      </c>
      <c r="J4690">
        <v>10.5</v>
      </c>
      <c r="K4690" t="s">
        <v>6099</v>
      </c>
      <c r="L4690" t="s">
        <v>6100</v>
      </c>
      <c r="M4690" t="s">
        <v>6100</v>
      </c>
      <c r="N4690">
        <v>5</v>
      </c>
      <c r="O4690" t="s">
        <v>6101</v>
      </c>
      <c r="P4690" t="s">
        <v>6113</v>
      </c>
      <c r="Q4690">
        <v>7</v>
      </c>
      <c r="R4690">
        <v>2026</v>
      </c>
      <c r="S4690" t="s">
        <v>6099</v>
      </c>
      <c r="T4690">
        <v>1</v>
      </c>
      <c r="U4690" t="s">
        <v>6019</v>
      </c>
      <c r="V4690">
        <v>1</v>
      </c>
    </row>
    <row r="4691" spans="1:22" x14ac:dyDescent="0.3">
      <c r="A4691" t="s">
        <v>4706</v>
      </c>
      <c r="B4691" s="2">
        <v>46234.424305555556</v>
      </c>
      <c r="C4691" s="2">
        <v>46234.649305555555</v>
      </c>
      <c r="D4691" t="s">
        <v>6024</v>
      </c>
      <c r="E4691" t="s">
        <v>6030</v>
      </c>
      <c r="F4691" t="s">
        <v>6033</v>
      </c>
      <c r="G4691" t="s">
        <v>6048</v>
      </c>
      <c r="H4691" t="s">
        <v>6096</v>
      </c>
      <c r="I4691">
        <v>72</v>
      </c>
      <c r="J4691">
        <v>5.4</v>
      </c>
      <c r="K4691" t="s">
        <v>6100</v>
      </c>
      <c r="L4691" t="s">
        <v>6100</v>
      </c>
      <c r="M4691" t="s">
        <v>6100</v>
      </c>
      <c r="O4691" t="s">
        <v>6101</v>
      </c>
      <c r="P4691" t="s">
        <v>6113</v>
      </c>
      <c r="Q4691">
        <v>7</v>
      </c>
      <c r="R4691">
        <v>2026</v>
      </c>
      <c r="S4691" t="s">
        <v>6099</v>
      </c>
      <c r="T4691">
        <v>1</v>
      </c>
      <c r="U4691" t="s">
        <v>6021</v>
      </c>
      <c r="V4691">
        <v>0</v>
      </c>
    </row>
    <row r="4692" spans="1:22" x14ac:dyDescent="0.3">
      <c r="A4692" t="s">
        <v>4707</v>
      </c>
      <c r="B4692" s="2">
        <v>46234.426388888889</v>
      </c>
      <c r="C4692" s="2">
        <v>46236.068055555559</v>
      </c>
      <c r="D4692" t="s">
        <v>6024</v>
      </c>
      <c r="E4692" t="s">
        <v>6031</v>
      </c>
      <c r="F4692" t="s">
        <v>6034</v>
      </c>
      <c r="G4692" t="s">
        <v>6064</v>
      </c>
      <c r="H4692" t="s">
        <v>6096</v>
      </c>
      <c r="I4692">
        <v>24</v>
      </c>
      <c r="J4692">
        <v>39.4</v>
      </c>
      <c r="K4692" t="s">
        <v>6099</v>
      </c>
      <c r="L4692" t="s">
        <v>6100</v>
      </c>
      <c r="M4692" t="s">
        <v>6100</v>
      </c>
      <c r="N4692">
        <v>4</v>
      </c>
      <c r="O4692" t="s">
        <v>6101</v>
      </c>
      <c r="P4692" t="s">
        <v>6113</v>
      </c>
      <c r="Q4692">
        <v>7</v>
      </c>
      <c r="R4692">
        <v>2026</v>
      </c>
      <c r="S4692" t="s">
        <v>6100</v>
      </c>
      <c r="T4692">
        <v>0</v>
      </c>
      <c r="U4692" t="s">
        <v>6021</v>
      </c>
      <c r="V4692">
        <v>1</v>
      </c>
    </row>
    <row r="4693" spans="1:22" x14ac:dyDescent="0.3">
      <c r="A4693" t="s">
        <v>4708</v>
      </c>
      <c r="B4693" s="2">
        <v>46234.443749999999</v>
      </c>
      <c r="C4693" s="2">
        <v>46239.29791666667</v>
      </c>
      <c r="D4693" t="s">
        <v>6026</v>
      </c>
      <c r="E4693" t="s">
        <v>6031</v>
      </c>
      <c r="F4693" t="s">
        <v>6034</v>
      </c>
      <c r="G4693" t="s">
        <v>6051</v>
      </c>
      <c r="H4693" t="s">
        <v>6097</v>
      </c>
      <c r="I4693">
        <v>24</v>
      </c>
      <c r="J4693">
        <v>116.5</v>
      </c>
      <c r="K4693" t="s">
        <v>6099</v>
      </c>
      <c r="L4693" t="s">
        <v>6100</v>
      </c>
      <c r="M4693" t="s">
        <v>6100</v>
      </c>
      <c r="O4693" t="s">
        <v>6101</v>
      </c>
      <c r="P4693" t="s">
        <v>6113</v>
      </c>
      <c r="Q4693">
        <v>7</v>
      </c>
      <c r="R4693">
        <v>2026</v>
      </c>
      <c r="S4693" t="s">
        <v>6100</v>
      </c>
      <c r="T4693">
        <v>0</v>
      </c>
      <c r="U4693" t="s">
        <v>6020</v>
      </c>
      <c r="V4693">
        <v>1</v>
      </c>
    </row>
    <row r="4694" spans="1:22" x14ac:dyDescent="0.3">
      <c r="A4694" t="s">
        <v>4709</v>
      </c>
      <c r="B4694" s="2">
        <v>46234.484722222223</v>
      </c>
      <c r="C4694" s="2">
        <v>46234.672222222223</v>
      </c>
      <c r="D4694" t="s">
        <v>6028</v>
      </c>
      <c r="E4694" t="s">
        <v>6030</v>
      </c>
      <c r="F4694" t="s">
        <v>6034</v>
      </c>
      <c r="G4694" t="s">
        <v>6061</v>
      </c>
      <c r="H4694" t="s">
        <v>6096</v>
      </c>
      <c r="I4694">
        <v>24</v>
      </c>
      <c r="J4694">
        <v>4.5</v>
      </c>
      <c r="K4694" t="s">
        <v>6099</v>
      </c>
      <c r="L4694" t="s">
        <v>6100</v>
      </c>
      <c r="M4694" t="s">
        <v>6100</v>
      </c>
      <c r="O4694" t="s">
        <v>6101</v>
      </c>
      <c r="P4694" t="s">
        <v>6113</v>
      </c>
      <c r="Q4694">
        <v>7</v>
      </c>
      <c r="R4694">
        <v>2026</v>
      </c>
      <c r="S4694" t="s">
        <v>6099</v>
      </c>
      <c r="T4694">
        <v>1</v>
      </c>
      <c r="U4694" t="s">
        <v>6018</v>
      </c>
      <c r="V4694">
        <v>1</v>
      </c>
    </row>
    <row r="4695" spans="1:22" x14ac:dyDescent="0.3">
      <c r="A4695" t="s">
        <v>4710</v>
      </c>
      <c r="B4695" s="2">
        <v>46234.496527777781</v>
      </c>
      <c r="C4695" s="2">
        <v>46234.671527777777</v>
      </c>
      <c r="D4695" t="s">
        <v>6024</v>
      </c>
      <c r="E4695" t="s">
        <v>6030</v>
      </c>
      <c r="F4695" t="s">
        <v>6033</v>
      </c>
      <c r="G4695" t="s">
        <v>6046</v>
      </c>
      <c r="H4695" t="s">
        <v>6098</v>
      </c>
      <c r="I4695">
        <v>72</v>
      </c>
      <c r="J4695">
        <v>4.2</v>
      </c>
      <c r="K4695" t="s">
        <v>6099</v>
      </c>
      <c r="L4695" t="s">
        <v>6100</v>
      </c>
      <c r="M4695" t="s">
        <v>6100</v>
      </c>
      <c r="N4695">
        <v>4</v>
      </c>
      <c r="O4695" t="s">
        <v>6101</v>
      </c>
      <c r="P4695" t="s">
        <v>6113</v>
      </c>
      <c r="Q4695">
        <v>7</v>
      </c>
      <c r="R4695">
        <v>2026</v>
      </c>
      <c r="S4695" t="s">
        <v>6099</v>
      </c>
      <c r="T4695">
        <v>1</v>
      </c>
      <c r="U4695" t="s">
        <v>6020</v>
      </c>
      <c r="V4695">
        <v>1</v>
      </c>
    </row>
    <row r="4696" spans="1:22" x14ac:dyDescent="0.3">
      <c r="A4696" t="s">
        <v>4711</v>
      </c>
      <c r="B4696" s="2">
        <v>46234.515972222223</v>
      </c>
      <c r="C4696" s="2">
        <v>46235.415972222225</v>
      </c>
      <c r="D4696" t="s">
        <v>6024</v>
      </c>
      <c r="E4696" t="s">
        <v>6031</v>
      </c>
      <c r="F4696" t="s">
        <v>6033</v>
      </c>
      <c r="G4696" t="s">
        <v>6064</v>
      </c>
      <c r="H4696" t="s">
        <v>6096</v>
      </c>
      <c r="I4696">
        <v>72</v>
      </c>
      <c r="J4696">
        <v>21.6</v>
      </c>
      <c r="K4696" t="s">
        <v>6099</v>
      </c>
      <c r="L4696" t="s">
        <v>6100</v>
      </c>
      <c r="M4696" t="s">
        <v>6100</v>
      </c>
      <c r="N4696">
        <v>4</v>
      </c>
      <c r="O4696" t="s">
        <v>6101</v>
      </c>
      <c r="P4696" t="s">
        <v>6113</v>
      </c>
      <c r="Q4696">
        <v>7</v>
      </c>
      <c r="R4696">
        <v>2026</v>
      </c>
      <c r="S4696" t="s">
        <v>6099</v>
      </c>
      <c r="T4696">
        <v>1</v>
      </c>
      <c r="U4696" t="s">
        <v>6020</v>
      </c>
      <c r="V4696">
        <v>1</v>
      </c>
    </row>
    <row r="4697" spans="1:22" x14ac:dyDescent="0.3">
      <c r="A4697" t="s">
        <v>4712</v>
      </c>
      <c r="B4697" s="2">
        <v>46234.532638888886</v>
      </c>
      <c r="C4697" s="2">
        <v>46246.836805555555</v>
      </c>
      <c r="D4697" t="s">
        <v>6026</v>
      </c>
      <c r="E4697" t="s">
        <v>6032</v>
      </c>
      <c r="F4697" t="s">
        <v>6034</v>
      </c>
      <c r="G4697" t="s">
        <v>6045</v>
      </c>
      <c r="H4697" t="s">
        <v>6096</v>
      </c>
      <c r="I4697">
        <v>24</v>
      </c>
      <c r="J4697">
        <v>295.3</v>
      </c>
      <c r="K4697" t="s">
        <v>6099</v>
      </c>
      <c r="L4697" t="s">
        <v>6100</v>
      </c>
      <c r="M4697" t="s">
        <v>6100</v>
      </c>
      <c r="O4697" t="s">
        <v>6101</v>
      </c>
      <c r="P4697" t="s">
        <v>6113</v>
      </c>
      <c r="Q4697">
        <v>7</v>
      </c>
      <c r="R4697">
        <v>2026</v>
      </c>
      <c r="S4697" t="s">
        <v>6100</v>
      </c>
      <c r="T4697">
        <v>0</v>
      </c>
      <c r="U4697" t="s">
        <v>6019</v>
      </c>
      <c r="V4697">
        <v>1</v>
      </c>
    </row>
    <row r="4698" spans="1:22" x14ac:dyDescent="0.3">
      <c r="A4698" t="s">
        <v>4713</v>
      </c>
      <c r="B4698" s="2">
        <v>46234.567361111112</v>
      </c>
      <c r="C4698" s="2">
        <v>46234.675694444442</v>
      </c>
      <c r="D4698" t="s">
        <v>6028</v>
      </c>
      <c r="E4698" t="s">
        <v>6030</v>
      </c>
      <c r="F4698" t="s">
        <v>6035</v>
      </c>
      <c r="G4698" t="s">
        <v>6058</v>
      </c>
      <c r="H4698" t="s">
        <v>6098</v>
      </c>
      <c r="I4698">
        <v>4</v>
      </c>
      <c r="J4698">
        <v>2.6</v>
      </c>
      <c r="K4698" t="s">
        <v>6100</v>
      </c>
      <c r="L4698" t="s">
        <v>6099</v>
      </c>
      <c r="M4698" t="s">
        <v>6100</v>
      </c>
      <c r="O4698" t="s">
        <v>6101</v>
      </c>
      <c r="P4698" t="s">
        <v>6113</v>
      </c>
      <c r="Q4698">
        <v>7</v>
      </c>
      <c r="R4698">
        <v>2026</v>
      </c>
      <c r="S4698" t="s">
        <v>6099</v>
      </c>
      <c r="T4698">
        <v>1</v>
      </c>
      <c r="U4698" t="s">
        <v>6019</v>
      </c>
      <c r="V4698">
        <v>0</v>
      </c>
    </row>
    <row r="4699" spans="1:22" x14ac:dyDescent="0.3">
      <c r="A4699" t="s">
        <v>4714</v>
      </c>
      <c r="B4699" s="2">
        <v>46234.571527777778</v>
      </c>
      <c r="C4699" s="2">
        <v>46235.967361111114</v>
      </c>
      <c r="D4699" t="s">
        <v>6024</v>
      </c>
      <c r="E4699" t="s">
        <v>6031</v>
      </c>
      <c r="F4699" t="s">
        <v>6034</v>
      </c>
      <c r="G4699" t="s">
        <v>6059</v>
      </c>
      <c r="H4699" t="s">
        <v>6097</v>
      </c>
      <c r="I4699">
        <v>24</v>
      </c>
      <c r="J4699">
        <v>33.5</v>
      </c>
      <c r="K4699" t="s">
        <v>6099</v>
      </c>
      <c r="L4699" t="s">
        <v>6100</v>
      </c>
      <c r="M4699" t="s">
        <v>6100</v>
      </c>
      <c r="N4699">
        <v>5</v>
      </c>
      <c r="O4699" t="s">
        <v>6101</v>
      </c>
      <c r="P4699" t="s">
        <v>6113</v>
      </c>
      <c r="Q4699">
        <v>7</v>
      </c>
      <c r="R4699">
        <v>2026</v>
      </c>
      <c r="S4699" t="s">
        <v>6100</v>
      </c>
      <c r="T4699">
        <v>0</v>
      </c>
      <c r="U4699" t="s">
        <v>6019</v>
      </c>
      <c r="V4699">
        <v>1</v>
      </c>
    </row>
    <row r="4700" spans="1:22" x14ac:dyDescent="0.3">
      <c r="A4700" t="s">
        <v>4715</v>
      </c>
      <c r="B4700" s="2">
        <v>46234.609722222223</v>
      </c>
      <c r="C4700" s="2">
        <v>46237.843055555553</v>
      </c>
      <c r="D4700" t="s">
        <v>6026</v>
      </c>
      <c r="E4700" t="s">
        <v>6031</v>
      </c>
      <c r="F4700" t="s">
        <v>6034</v>
      </c>
      <c r="G4700" t="s">
        <v>6044</v>
      </c>
      <c r="H4700" t="s">
        <v>6097</v>
      </c>
      <c r="I4700">
        <v>24</v>
      </c>
      <c r="J4700">
        <v>77.599999999999994</v>
      </c>
      <c r="K4700" t="s">
        <v>6100</v>
      </c>
      <c r="L4700" t="s">
        <v>6099</v>
      </c>
      <c r="M4700" t="s">
        <v>6100</v>
      </c>
      <c r="N4700">
        <v>2</v>
      </c>
      <c r="O4700" t="s">
        <v>6101</v>
      </c>
      <c r="P4700" t="s">
        <v>6113</v>
      </c>
      <c r="Q4700">
        <v>7</v>
      </c>
      <c r="R4700">
        <v>2026</v>
      </c>
      <c r="S4700" t="s">
        <v>6100</v>
      </c>
      <c r="T4700">
        <v>0</v>
      </c>
      <c r="U4700" t="s">
        <v>6020</v>
      </c>
      <c r="V4700">
        <v>0</v>
      </c>
    </row>
    <row r="4701" spans="1:22" x14ac:dyDescent="0.3">
      <c r="A4701" t="s">
        <v>4716</v>
      </c>
      <c r="B4701" s="2">
        <v>46234.632638888892</v>
      </c>
      <c r="C4701" s="2">
        <v>46235.52847222222</v>
      </c>
      <c r="D4701" t="s">
        <v>6025</v>
      </c>
      <c r="E4701" t="s">
        <v>6031</v>
      </c>
      <c r="F4701" t="s">
        <v>6034</v>
      </c>
      <c r="G4701" t="s">
        <v>6072</v>
      </c>
      <c r="H4701" t="s">
        <v>6097</v>
      </c>
      <c r="I4701">
        <v>24</v>
      </c>
      <c r="J4701">
        <v>21.5</v>
      </c>
      <c r="K4701" t="s">
        <v>6099</v>
      </c>
      <c r="L4701" t="s">
        <v>6100</v>
      </c>
      <c r="M4701" t="s">
        <v>6100</v>
      </c>
      <c r="O4701" t="s">
        <v>6101</v>
      </c>
      <c r="P4701" t="s">
        <v>6113</v>
      </c>
      <c r="Q4701">
        <v>7</v>
      </c>
      <c r="R4701">
        <v>2026</v>
      </c>
      <c r="S4701" t="s">
        <v>6099</v>
      </c>
      <c r="T4701">
        <v>1</v>
      </c>
      <c r="U4701" t="s">
        <v>6021</v>
      </c>
      <c r="V4701">
        <v>1</v>
      </c>
    </row>
    <row r="4702" spans="1:22" x14ac:dyDescent="0.3">
      <c r="A4702" t="s">
        <v>4717</v>
      </c>
      <c r="B4702" s="2">
        <v>46234.646527777775</v>
      </c>
      <c r="C4702" s="2">
        <v>46235.054861111108</v>
      </c>
      <c r="D4702" t="s">
        <v>6023</v>
      </c>
      <c r="E4702" t="s">
        <v>6029</v>
      </c>
      <c r="F4702" t="s">
        <v>6035</v>
      </c>
      <c r="G4702" t="s">
        <v>6063</v>
      </c>
      <c r="H4702" t="s">
        <v>6097</v>
      </c>
      <c r="I4702">
        <v>4</v>
      </c>
      <c r="J4702">
        <v>9.8000000000000007</v>
      </c>
      <c r="K4702" t="s">
        <v>6099</v>
      </c>
      <c r="L4702" t="s">
        <v>6100</v>
      </c>
      <c r="M4702" t="s">
        <v>6100</v>
      </c>
      <c r="O4702" t="s">
        <v>6101</v>
      </c>
      <c r="P4702" t="s">
        <v>6113</v>
      </c>
      <c r="Q4702">
        <v>7</v>
      </c>
      <c r="R4702">
        <v>2026</v>
      </c>
      <c r="S4702" t="s">
        <v>6100</v>
      </c>
      <c r="T4702">
        <v>0</v>
      </c>
      <c r="U4702" t="s">
        <v>6020</v>
      </c>
      <c r="V4702">
        <v>1</v>
      </c>
    </row>
    <row r="4703" spans="1:22" x14ac:dyDescent="0.3">
      <c r="A4703" t="s">
        <v>4718</v>
      </c>
      <c r="B4703" s="2">
        <v>46234.677777777775</v>
      </c>
      <c r="C4703" s="2">
        <v>46234.798611111109</v>
      </c>
      <c r="D4703" t="s">
        <v>6028</v>
      </c>
      <c r="E4703" t="s">
        <v>6030</v>
      </c>
      <c r="F4703" t="s">
        <v>6035</v>
      </c>
      <c r="G4703" t="s">
        <v>6039</v>
      </c>
      <c r="H4703" t="s">
        <v>6097</v>
      </c>
      <c r="I4703">
        <v>4</v>
      </c>
      <c r="J4703">
        <v>2.9</v>
      </c>
      <c r="K4703" t="s">
        <v>6099</v>
      </c>
      <c r="L4703" t="s">
        <v>6100</v>
      </c>
      <c r="M4703" t="s">
        <v>6100</v>
      </c>
      <c r="N4703">
        <v>5</v>
      </c>
      <c r="O4703" t="s">
        <v>6101</v>
      </c>
      <c r="P4703" t="s">
        <v>6113</v>
      </c>
      <c r="Q4703">
        <v>7</v>
      </c>
      <c r="R4703">
        <v>2026</v>
      </c>
      <c r="S4703" t="s">
        <v>6099</v>
      </c>
      <c r="T4703">
        <v>1</v>
      </c>
      <c r="U4703" t="s">
        <v>6019</v>
      </c>
      <c r="V4703">
        <v>1</v>
      </c>
    </row>
    <row r="4704" spans="1:22" x14ac:dyDescent="0.3">
      <c r="A4704" t="s">
        <v>4719</v>
      </c>
      <c r="B4704" s="2">
        <v>46234.724305555559</v>
      </c>
      <c r="C4704" s="2">
        <v>46235.595138888886</v>
      </c>
      <c r="D4704" t="s">
        <v>6025</v>
      </c>
      <c r="E4704" t="s">
        <v>6031</v>
      </c>
      <c r="F4704" t="s">
        <v>6034</v>
      </c>
      <c r="G4704" t="s">
        <v>6048</v>
      </c>
      <c r="H4704" t="s">
        <v>6096</v>
      </c>
      <c r="I4704">
        <v>24</v>
      </c>
      <c r="J4704">
        <v>20.9</v>
      </c>
      <c r="K4704" t="s">
        <v>6100</v>
      </c>
      <c r="L4704" t="s">
        <v>6099</v>
      </c>
      <c r="M4704" t="s">
        <v>6100</v>
      </c>
      <c r="O4704" t="s">
        <v>6101</v>
      </c>
      <c r="P4704" t="s">
        <v>6113</v>
      </c>
      <c r="Q4704">
        <v>7</v>
      </c>
      <c r="R4704">
        <v>2026</v>
      </c>
      <c r="S4704" t="s">
        <v>6099</v>
      </c>
      <c r="T4704">
        <v>1</v>
      </c>
      <c r="U4704" t="s">
        <v>6021</v>
      </c>
      <c r="V4704">
        <v>0</v>
      </c>
    </row>
    <row r="4705" spans="1:22" x14ac:dyDescent="0.3">
      <c r="A4705" t="s">
        <v>4720</v>
      </c>
      <c r="B4705" s="2">
        <v>46234.765972222223</v>
      </c>
      <c r="C4705" s="2">
        <v>46236.953472222223</v>
      </c>
      <c r="D4705" t="s">
        <v>6025</v>
      </c>
      <c r="E4705" t="s">
        <v>6031</v>
      </c>
      <c r="F4705" t="s">
        <v>6034</v>
      </c>
      <c r="G4705" t="s">
        <v>6094</v>
      </c>
      <c r="H4705" t="s">
        <v>6098</v>
      </c>
      <c r="I4705">
        <v>24</v>
      </c>
      <c r="J4705">
        <v>52.5</v>
      </c>
      <c r="K4705" t="s">
        <v>6100</v>
      </c>
      <c r="L4705" t="s">
        <v>6099</v>
      </c>
      <c r="M4705" t="s">
        <v>6100</v>
      </c>
      <c r="N4705">
        <v>4</v>
      </c>
      <c r="O4705" t="s">
        <v>6101</v>
      </c>
      <c r="P4705" t="s">
        <v>6113</v>
      </c>
      <c r="Q4705">
        <v>7</v>
      </c>
      <c r="R4705">
        <v>2026</v>
      </c>
      <c r="S4705" t="s">
        <v>6100</v>
      </c>
      <c r="T4705">
        <v>0</v>
      </c>
      <c r="U4705" t="s">
        <v>6019</v>
      </c>
      <c r="V4705">
        <v>0</v>
      </c>
    </row>
    <row r="4706" spans="1:22" x14ac:dyDescent="0.3">
      <c r="A4706" t="s">
        <v>4721</v>
      </c>
      <c r="B4706" s="2">
        <v>46234.772916666669</v>
      </c>
      <c r="C4706" s="2">
        <v>46235.293749999997</v>
      </c>
      <c r="D4706" t="s">
        <v>6027</v>
      </c>
      <c r="E4706" t="s">
        <v>6029</v>
      </c>
      <c r="F4706" t="s">
        <v>6033</v>
      </c>
      <c r="G4706" t="s">
        <v>6095</v>
      </c>
      <c r="H4706" t="s">
        <v>6098</v>
      </c>
      <c r="I4706">
        <v>72</v>
      </c>
      <c r="J4706">
        <v>12.5</v>
      </c>
      <c r="K4706" t="s">
        <v>6099</v>
      </c>
      <c r="L4706" t="s">
        <v>6100</v>
      </c>
      <c r="M4706" t="s">
        <v>6100</v>
      </c>
      <c r="O4706" t="s">
        <v>6101</v>
      </c>
      <c r="P4706" t="s">
        <v>6113</v>
      </c>
      <c r="Q4706">
        <v>7</v>
      </c>
      <c r="R4706">
        <v>2026</v>
      </c>
      <c r="S4706" t="s">
        <v>6099</v>
      </c>
      <c r="T4706">
        <v>1</v>
      </c>
      <c r="U4706" t="s">
        <v>6021</v>
      </c>
      <c r="V4706">
        <v>1</v>
      </c>
    </row>
    <row r="4707" spans="1:22" x14ac:dyDescent="0.3">
      <c r="A4707" t="s">
        <v>4722</v>
      </c>
      <c r="B4707" s="2">
        <v>46234.807638888888</v>
      </c>
      <c r="C4707" s="2">
        <v>46235.099305555559</v>
      </c>
      <c r="D4707" t="s">
        <v>6022</v>
      </c>
      <c r="E4707" t="s">
        <v>6030</v>
      </c>
      <c r="F4707" t="s">
        <v>6035</v>
      </c>
      <c r="G4707" t="s">
        <v>6078</v>
      </c>
      <c r="H4707" t="s">
        <v>6097</v>
      </c>
      <c r="I4707">
        <v>4</v>
      </c>
      <c r="J4707">
        <v>7</v>
      </c>
      <c r="K4707" t="s">
        <v>6099</v>
      </c>
      <c r="L4707" t="s">
        <v>6100</v>
      </c>
      <c r="M4707" t="s">
        <v>6099</v>
      </c>
      <c r="O4707" t="s">
        <v>6101</v>
      </c>
      <c r="P4707" t="s">
        <v>6113</v>
      </c>
      <c r="Q4707">
        <v>7</v>
      </c>
      <c r="R4707">
        <v>2026</v>
      </c>
      <c r="S4707" t="s">
        <v>6100</v>
      </c>
      <c r="T4707">
        <v>0</v>
      </c>
      <c r="U4707" t="s">
        <v>6021</v>
      </c>
      <c r="V4707">
        <v>1</v>
      </c>
    </row>
    <row r="4708" spans="1:22" x14ac:dyDescent="0.3">
      <c r="A4708" t="s">
        <v>4723</v>
      </c>
      <c r="B4708" s="2">
        <v>46235.258333333331</v>
      </c>
      <c r="C4708" s="2">
        <v>46237.429166666669</v>
      </c>
      <c r="D4708" t="s">
        <v>6027</v>
      </c>
      <c r="E4708" t="s">
        <v>6032</v>
      </c>
      <c r="F4708" t="s">
        <v>6034</v>
      </c>
      <c r="G4708" t="s">
        <v>6083</v>
      </c>
      <c r="H4708" t="s">
        <v>6096</v>
      </c>
      <c r="I4708">
        <v>24</v>
      </c>
      <c r="J4708">
        <v>52.1</v>
      </c>
      <c r="K4708" t="s">
        <v>6099</v>
      </c>
      <c r="L4708" t="s">
        <v>6100</v>
      </c>
      <c r="M4708" t="s">
        <v>6100</v>
      </c>
      <c r="N4708">
        <v>2</v>
      </c>
      <c r="O4708" t="s">
        <v>6101</v>
      </c>
      <c r="P4708" t="s">
        <v>6114</v>
      </c>
      <c r="Q4708">
        <v>8</v>
      </c>
      <c r="R4708">
        <v>2026</v>
      </c>
      <c r="S4708" t="s">
        <v>6100</v>
      </c>
      <c r="T4708">
        <v>0</v>
      </c>
      <c r="U4708" t="s">
        <v>6019</v>
      </c>
      <c r="V4708">
        <v>1</v>
      </c>
    </row>
    <row r="4709" spans="1:22" x14ac:dyDescent="0.3">
      <c r="A4709" t="s">
        <v>4724</v>
      </c>
      <c r="B4709" s="2">
        <v>46235.34375</v>
      </c>
      <c r="C4709" s="2">
        <v>46235.714583333334</v>
      </c>
      <c r="D4709" t="s">
        <v>6027</v>
      </c>
      <c r="E4709" t="s">
        <v>6029</v>
      </c>
      <c r="F4709" t="s">
        <v>6034</v>
      </c>
      <c r="G4709" t="s">
        <v>6046</v>
      </c>
      <c r="H4709" t="s">
        <v>6098</v>
      </c>
      <c r="I4709">
        <v>24</v>
      </c>
      <c r="J4709">
        <v>8.9</v>
      </c>
      <c r="K4709" t="s">
        <v>6099</v>
      </c>
      <c r="L4709" t="s">
        <v>6100</v>
      </c>
      <c r="M4709" t="s">
        <v>6100</v>
      </c>
      <c r="N4709">
        <v>4</v>
      </c>
      <c r="O4709" t="s">
        <v>6101</v>
      </c>
      <c r="P4709" t="s">
        <v>6114</v>
      </c>
      <c r="Q4709">
        <v>8</v>
      </c>
      <c r="R4709">
        <v>2026</v>
      </c>
      <c r="S4709" t="s">
        <v>6099</v>
      </c>
      <c r="T4709">
        <v>1</v>
      </c>
      <c r="U4709" t="s">
        <v>6018</v>
      </c>
      <c r="V4709">
        <v>1</v>
      </c>
    </row>
    <row r="4710" spans="1:22" x14ac:dyDescent="0.3">
      <c r="A4710" t="s">
        <v>4725</v>
      </c>
      <c r="B4710" s="2">
        <v>46235.39166666667</v>
      </c>
      <c r="C4710" s="2">
        <v>46235.616666666669</v>
      </c>
      <c r="D4710" t="s">
        <v>6022</v>
      </c>
      <c r="E4710" t="s">
        <v>6029</v>
      </c>
      <c r="F4710" t="s">
        <v>6034</v>
      </c>
      <c r="G4710" t="s">
        <v>6075</v>
      </c>
      <c r="H4710" t="s">
        <v>6097</v>
      </c>
      <c r="I4710">
        <v>24</v>
      </c>
      <c r="J4710">
        <v>5.4</v>
      </c>
      <c r="K4710" t="s">
        <v>6099</v>
      </c>
      <c r="L4710" t="s">
        <v>6100</v>
      </c>
      <c r="M4710" t="s">
        <v>6100</v>
      </c>
      <c r="N4710">
        <v>3</v>
      </c>
      <c r="O4710" t="s">
        <v>6101</v>
      </c>
      <c r="P4710" t="s">
        <v>6114</v>
      </c>
      <c r="Q4710">
        <v>8</v>
      </c>
      <c r="R4710">
        <v>2026</v>
      </c>
      <c r="S4710" t="s">
        <v>6099</v>
      </c>
      <c r="T4710">
        <v>1</v>
      </c>
      <c r="U4710" t="s">
        <v>6018</v>
      </c>
      <c r="V4710">
        <v>1</v>
      </c>
    </row>
    <row r="4711" spans="1:22" x14ac:dyDescent="0.3">
      <c r="A4711" t="s">
        <v>4726</v>
      </c>
      <c r="B4711" s="2">
        <v>46235.419444444444</v>
      </c>
      <c r="C4711" s="2">
        <v>46239.81527777778</v>
      </c>
      <c r="D4711" t="s">
        <v>6026</v>
      </c>
      <c r="E4711" t="s">
        <v>6031</v>
      </c>
      <c r="F4711" t="s">
        <v>6034</v>
      </c>
      <c r="G4711" t="s">
        <v>6064</v>
      </c>
      <c r="H4711" t="s">
        <v>6096</v>
      </c>
      <c r="I4711">
        <v>24</v>
      </c>
      <c r="J4711">
        <v>105.5</v>
      </c>
      <c r="K4711" t="s">
        <v>6099</v>
      </c>
      <c r="L4711" t="s">
        <v>6100</v>
      </c>
      <c r="M4711" t="s">
        <v>6100</v>
      </c>
      <c r="O4711" t="s">
        <v>6101</v>
      </c>
      <c r="P4711" t="s">
        <v>6114</v>
      </c>
      <c r="Q4711">
        <v>8</v>
      </c>
      <c r="R4711">
        <v>2026</v>
      </c>
      <c r="S4711" t="s">
        <v>6100</v>
      </c>
      <c r="T4711">
        <v>0</v>
      </c>
      <c r="U4711" t="s">
        <v>6018</v>
      </c>
      <c r="V4711">
        <v>1</v>
      </c>
    </row>
    <row r="4712" spans="1:22" x14ac:dyDescent="0.3">
      <c r="A4712" t="s">
        <v>4727</v>
      </c>
      <c r="B4712" s="2">
        <v>46235.503472222219</v>
      </c>
      <c r="C4712" s="2">
        <v>46235.853472222225</v>
      </c>
      <c r="D4712" t="s">
        <v>6023</v>
      </c>
      <c r="E4712" t="s">
        <v>6030</v>
      </c>
      <c r="F4712" t="s">
        <v>6033</v>
      </c>
      <c r="G4712" t="s">
        <v>6055</v>
      </c>
      <c r="H4712" t="s">
        <v>6096</v>
      </c>
      <c r="I4712">
        <v>72</v>
      </c>
      <c r="J4712">
        <v>8.4</v>
      </c>
      <c r="K4712" t="s">
        <v>6099</v>
      </c>
      <c r="L4712" t="s">
        <v>6100</v>
      </c>
      <c r="M4712" t="s">
        <v>6100</v>
      </c>
      <c r="O4712" t="s">
        <v>6101</v>
      </c>
      <c r="P4712" t="s">
        <v>6114</v>
      </c>
      <c r="Q4712">
        <v>8</v>
      </c>
      <c r="R4712">
        <v>2026</v>
      </c>
      <c r="S4712" t="s">
        <v>6099</v>
      </c>
      <c r="T4712">
        <v>1</v>
      </c>
      <c r="U4712" t="s">
        <v>6020</v>
      </c>
      <c r="V4712">
        <v>1</v>
      </c>
    </row>
    <row r="4713" spans="1:22" x14ac:dyDescent="0.3">
      <c r="A4713" t="s">
        <v>4728</v>
      </c>
      <c r="B4713" s="2">
        <v>46235.504166666666</v>
      </c>
      <c r="C4713" s="2">
        <v>46235.73333333333</v>
      </c>
      <c r="D4713" t="s">
        <v>6023</v>
      </c>
      <c r="E4713" t="s">
        <v>6029</v>
      </c>
      <c r="F4713" t="s">
        <v>6034</v>
      </c>
      <c r="G4713" t="s">
        <v>6080</v>
      </c>
      <c r="H4713" t="s">
        <v>6096</v>
      </c>
      <c r="I4713">
        <v>24</v>
      </c>
      <c r="J4713">
        <v>5.5</v>
      </c>
      <c r="K4713" t="s">
        <v>6099</v>
      </c>
      <c r="L4713" t="s">
        <v>6100</v>
      </c>
      <c r="M4713" t="s">
        <v>6100</v>
      </c>
      <c r="O4713" t="s">
        <v>6101</v>
      </c>
      <c r="P4713" t="s">
        <v>6114</v>
      </c>
      <c r="Q4713">
        <v>8</v>
      </c>
      <c r="R4713">
        <v>2026</v>
      </c>
      <c r="S4713" t="s">
        <v>6099</v>
      </c>
      <c r="T4713">
        <v>1</v>
      </c>
      <c r="U4713" t="s">
        <v>6018</v>
      </c>
      <c r="V4713">
        <v>1</v>
      </c>
    </row>
    <row r="4714" spans="1:22" x14ac:dyDescent="0.3">
      <c r="A4714" t="s">
        <v>4729</v>
      </c>
      <c r="B4714" s="2">
        <v>46235.53125</v>
      </c>
      <c r="C4714" s="2">
        <v>46235.747916666667</v>
      </c>
      <c r="D4714" t="s">
        <v>6023</v>
      </c>
      <c r="E4714" t="s">
        <v>6029</v>
      </c>
      <c r="F4714" t="s">
        <v>6033</v>
      </c>
      <c r="G4714" t="s">
        <v>6070</v>
      </c>
      <c r="H4714" t="s">
        <v>6097</v>
      </c>
      <c r="I4714">
        <v>72</v>
      </c>
      <c r="J4714">
        <v>5.2</v>
      </c>
      <c r="K4714" t="s">
        <v>6099</v>
      </c>
      <c r="L4714" t="s">
        <v>6100</v>
      </c>
      <c r="M4714" t="s">
        <v>6100</v>
      </c>
      <c r="N4714">
        <v>5</v>
      </c>
      <c r="O4714" t="s">
        <v>6101</v>
      </c>
      <c r="P4714" t="s">
        <v>6114</v>
      </c>
      <c r="Q4714">
        <v>8</v>
      </c>
      <c r="R4714">
        <v>2026</v>
      </c>
      <c r="S4714" t="s">
        <v>6099</v>
      </c>
      <c r="T4714">
        <v>1</v>
      </c>
      <c r="U4714" t="s">
        <v>6018</v>
      </c>
      <c r="V4714">
        <v>1</v>
      </c>
    </row>
    <row r="4715" spans="1:22" x14ac:dyDescent="0.3">
      <c r="A4715" t="s">
        <v>4730</v>
      </c>
      <c r="B4715" s="2">
        <v>46235.541666666664</v>
      </c>
      <c r="C4715" s="2">
        <v>46235.79583333333</v>
      </c>
      <c r="D4715" t="s">
        <v>6028</v>
      </c>
      <c r="E4715" t="s">
        <v>6029</v>
      </c>
      <c r="F4715" t="s">
        <v>6034</v>
      </c>
      <c r="G4715" t="s">
        <v>6062</v>
      </c>
      <c r="H4715" t="s">
        <v>6096</v>
      </c>
      <c r="I4715">
        <v>24</v>
      </c>
      <c r="J4715">
        <v>6.1</v>
      </c>
      <c r="K4715" t="s">
        <v>6100</v>
      </c>
      <c r="L4715" t="s">
        <v>6099</v>
      </c>
      <c r="M4715" t="s">
        <v>6099</v>
      </c>
      <c r="N4715">
        <v>4</v>
      </c>
      <c r="O4715" t="s">
        <v>6101</v>
      </c>
      <c r="P4715" t="s">
        <v>6114</v>
      </c>
      <c r="Q4715">
        <v>8</v>
      </c>
      <c r="R4715">
        <v>2026</v>
      </c>
      <c r="S4715" t="s">
        <v>6099</v>
      </c>
      <c r="T4715">
        <v>1</v>
      </c>
      <c r="U4715" t="s">
        <v>6018</v>
      </c>
      <c r="V4715">
        <v>0</v>
      </c>
    </row>
    <row r="4716" spans="1:22" x14ac:dyDescent="0.3">
      <c r="A4716" t="s">
        <v>4731</v>
      </c>
      <c r="B4716" s="2">
        <v>46235.556250000001</v>
      </c>
      <c r="C4716" s="2">
        <v>46235.831250000003</v>
      </c>
      <c r="D4716" t="s">
        <v>6023</v>
      </c>
      <c r="E4716" t="s">
        <v>6029</v>
      </c>
      <c r="F4716" t="s">
        <v>6034</v>
      </c>
      <c r="G4716" t="s">
        <v>6076</v>
      </c>
      <c r="H4716" t="s">
        <v>6097</v>
      </c>
      <c r="I4716">
        <v>24</v>
      </c>
      <c r="J4716">
        <v>6.6</v>
      </c>
      <c r="K4716" t="s">
        <v>6100</v>
      </c>
      <c r="L4716" t="s">
        <v>6099</v>
      </c>
      <c r="M4716" t="s">
        <v>6100</v>
      </c>
      <c r="O4716" t="s">
        <v>6101</v>
      </c>
      <c r="P4716" t="s">
        <v>6114</v>
      </c>
      <c r="Q4716">
        <v>8</v>
      </c>
      <c r="R4716">
        <v>2026</v>
      </c>
      <c r="S4716" t="s">
        <v>6099</v>
      </c>
      <c r="T4716">
        <v>1</v>
      </c>
      <c r="U4716" t="s">
        <v>6018</v>
      </c>
      <c r="V4716">
        <v>0</v>
      </c>
    </row>
    <row r="4717" spans="1:22" x14ac:dyDescent="0.3">
      <c r="A4717" t="s">
        <v>4732</v>
      </c>
      <c r="B4717" s="2">
        <v>46235.55972222222</v>
      </c>
      <c r="C4717" s="2">
        <v>46236.926388888889</v>
      </c>
      <c r="D4717" t="s">
        <v>6022</v>
      </c>
      <c r="E4717" t="s">
        <v>6029</v>
      </c>
      <c r="F4717" t="s">
        <v>6034</v>
      </c>
      <c r="G4717" t="s">
        <v>6047</v>
      </c>
      <c r="H4717" t="s">
        <v>6098</v>
      </c>
      <c r="I4717">
        <v>24</v>
      </c>
      <c r="J4717">
        <v>32.799999999999997</v>
      </c>
      <c r="K4717" t="s">
        <v>6099</v>
      </c>
      <c r="L4717" t="s">
        <v>6100</v>
      </c>
      <c r="M4717" t="s">
        <v>6100</v>
      </c>
      <c r="N4717">
        <v>3</v>
      </c>
      <c r="O4717" t="s">
        <v>6101</v>
      </c>
      <c r="P4717" t="s">
        <v>6114</v>
      </c>
      <c r="Q4717">
        <v>8</v>
      </c>
      <c r="R4717">
        <v>2026</v>
      </c>
      <c r="S4717" t="s">
        <v>6100</v>
      </c>
      <c r="T4717">
        <v>0</v>
      </c>
      <c r="U4717" t="s">
        <v>6021</v>
      </c>
      <c r="V4717">
        <v>1</v>
      </c>
    </row>
    <row r="4718" spans="1:22" x14ac:dyDescent="0.3">
      <c r="A4718" t="s">
        <v>4733</v>
      </c>
      <c r="B4718" s="2">
        <v>46235.57708333333</v>
      </c>
      <c r="C4718" s="2">
        <v>46236.627083333333</v>
      </c>
      <c r="D4718" t="s">
        <v>6022</v>
      </c>
      <c r="E4718" t="s">
        <v>6030</v>
      </c>
      <c r="F4718" t="s">
        <v>6035</v>
      </c>
      <c r="G4718" t="s">
        <v>6068</v>
      </c>
      <c r="H4718" t="s">
        <v>6098</v>
      </c>
      <c r="I4718">
        <v>4</v>
      </c>
      <c r="J4718">
        <v>25.2</v>
      </c>
      <c r="K4718" t="s">
        <v>6100</v>
      </c>
      <c r="L4718" t="s">
        <v>6100</v>
      </c>
      <c r="M4718" t="s">
        <v>6100</v>
      </c>
      <c r="N4718">
        <v>4</v>
      </c>
      <c r="O4718" t="s">
        <v>6101</v>
      </c>
      <c r="P4718" t="s">
        <v>6114</v>
      </c>
      <c r="Q4718">
        <v>8</v>
      </c>
      <c r="R4718">
        <v>2026</v>
      </c>
      <c r="S4718" t="s">
        <v>6100</v>
      </c>
      <c r="T4718">
        <v>0</v>
      </c>
      <c r="U4718" t="s">
        <v>6017</v>
      </c>
      <c r="V4718">
        <v>0</v>
      </c>
    </row>
    <row r="4719" spans="1:22" x14ac:dyDescent="0.3">
      <c r="A4719" t="s">
        <v>4734</v>
      </c>
      <c r="B4719" s="2">
        <v>46235.648611111108</v>
      </c>
      <c r="C4719" s="2">
        <v>46235.727777777778</v>
      </c>
      <c r="D4719" t="s">
        <v>6027</v>
      </c>
      <c r="E4719" t="s">
        <v>6029</v>
      </c>
      <c r="F4719" t="s">
        <v>6033</v>
      </c>
      <c r="G4719" t="s">
        <v>6073</v>
      </c>
      <c r="H4719" t="s">
        <v>6096</v>
      </c>
      <c r="I4719">
        <v>72</v>
      </c>
      <c r="J4719">
        <v>1.9</v>
      </c>
      <c r="K4719" t="s">
        <v>6099</v>
      </c>
      <c r="L4719" t="s">
        <v>6100</v>
      </c>
      <c r="M4719" t="s">
        <v>6100</v>
      </c>
      <c r="O4719" t="s">
        <v>6101</v>
      </c>
      <c r="P4719" t="s">
        <v>6114</v>
      </c>
      <c r="Q4719">
        <v>8</v>
      </c>
      <c r="R4719">
        <v>2026</v>
      </c>
      <c r="S4719" t="s">
        <v>6099</v>
      </c>
      <c r="T4719">
        <v>1</v>
      </c>
      <c r="U4719" t="s">
        <v>6018</v>
      </c>
      <c r="V4719">
        <v>1</v>
      </c>
    </row>
    <row r="4720" spans="1:22" x14ac:dyDescent="0.3">
      <c r="A4720" t="s">
        <v>4735</v>
      </c>
      <c r="B4720" s="2">
        <v>46235.677083333336</v>
      </c>
      <c r="C4720" s="2">
        <v>46236.743750000001</v>
      </c>
      <c r="D4720" t="s">
        <v>6028</v>
      </c>
      <c r="E4720" t="s">
        <v>6031</v>
      </c>
      <c r="F4720" t="s">
        <v>6035</v>
      </c>
      <c r="G4720" t="s">
        <v>6065</v>
      </c>
      <c r="H4720" t="s">
        <v>6097</v>
      </c>
      <c r="I4720">
        <v>4</v>
      </c>
      <c r="J4720">
        <v>25.6</v>
      </c>
      <c r="K4720" t="s">
        <v>6100</v>
      </c>
      <c r="L4720" t="s">
        <v>6100</v>
      </c>
      <c r="M4720" t="s">
        <v>6100</v>
      </c>
      <c r="O4720" t="s">
        <v>6101</v>
      </c>
      <c r="P4720" t="s">
        <v>6114</v>
      </c>
      <c r="Q4720">
        <v>8</v>
      </c>
      <c r="R4720">
        <v>2026</v>
      </c>
      <c r="S4720" t="s">
        <v>6100</v>
      </c>
      <c r="T4720">
        <v>0</v>
      </c>
      <c r="U4720" t="s">
        <v>6018</v>
      </c>
      <c r="V4720">
        <v>0</v>
      </c>
    </row>
    <row r="4721" spans="1:22" x14ac:dyDescent="0.3">
      <c r="A4721" t="s">
        <v>4736</v>
      </c>
      <c r="B4721" s="2">
        <v>46235.725694444445</v>
      </c>
      <c r="C4721" s="2">
        <v>46236.771527777775</v>
      </c>
      <c r="D4721" t="s">
        <v>6024</v>
      </c>
      <c r="E4721" t="s">
        <v>6032</v>
      </c>
      <c r="F4721" t="s">
        <v>6033</v>
      </c>
      <c r="G4721" t="s">
        <v>6067</v>
      </c>
      <c r="H4721" t="s">
        <v>6098</v>
      </c>
      <c r="I4721">
        <v>72</v>
      </c>
      <c r="J4721">
        <v>25.1</v>
      </c>
      <c r="K4721" t="s">
        <v>6100</v>
      </c>
      <c r="L4721" t="s">
        <v>6100</v>
      </c>
      <c r="M4721" t="s">
        <v>6100</v>
      </c>
      <c r="N4721">
        <v>3</v>
      </c>
      <c r="O4721" t="s">
        <v>6101</v>
      </c>
      <c r="P4721" t="s">
        <v>6114</v>
      </c>
      <c r="Q4721">
        <v>8</v>
      </c>
      <c r="R4721">
        <v>2026</v>
      </c>
      <c r="S4721" t="s">
        <v>6099</v>
      </c>
      <c r="T4721">
        <v>1</v>
      </c>
      <c r="U4721" t="s">
        <v>6018</v>
      </c>
      <c r="V4721">
        <v>0</v>
      </c>
    </row>
    <row r="4722" spans="1:22" x14ac:dyDescent="0.3">
      <c r="A4722" t="s">
        <v>4737</v>
      </c>
      <c r="B4722" s="2">
        <v>46235.861111111109</v>
      </c>
      <c r="C4722" s="2">
        <v>46236.261111111111</v>
      </c>
      <c r="D4722" t="s">
        <v>6027</v>
      </c>
      <c r="E4722" t="s">
        <v>6029</v>
      </c>
      <c r="F4722" t="s">
        <v>6033</v>
      </c>
      <c r="G4722" t="s">
        <v>6063</v>
      </c>
      <c r="H4722" t="s">
        <v>6097</v>
      </c>
      <c r="I4722">
        <v>72</v>
      </c>
      <c r="J4722">
        <v>9.6</v>
      </c>
      <c r="K4722" t="s">
        <v>6099</v>
      </c>
      <c r="L4722" t="s">
        <v>6100</v>
      </c>
      <c r="M4722" t="s">
        <v>6100</v>
      </c>
      <c r="O4722" t="s">
        <v>6101</v>
      </c>
      <c r="P4722" t="s">
        <v>6114</v>
      </c>
      <c r="Q4722">
        <v>8</v>
      </c>
      <c r="R4722">
        <v>2026</v>
      </c>
      <c r="S4722" t="s">
        <v>6099</v>
      </c>
      <c r="T4722">
        <v>1</v>
      </c>
      <c r="U4722" t="s">
        <v>6018</v>
      </c>
      <c r="V4722">
        <v>1</v>
      </c>
    </row>
    <row r="4723" spans="1:22" x14ac:dyDescent="0.3">
      <c r="A4723" t="s">
        <v>4738</v>
      </c>
      <c r="B4723" s="2">
        <v>46235.95</v>
      </c>
      <c r="C4723" s="2">
        <v>46236.362500000003</v>
      </c>
      <c r="D4723" t="s">
        <v>6023</v>
      </c>
      <c r="E4723" t="s">
        <v>6029</v>
      </c>
      <c r="F4723" t="s">
        <v>6034</v>
      </c>
      <c r="G4723" t="s">
        <v>6044</v>
      </c>
      <c r="H4723" t="s">
        <v>6097</v>
      </c>
      <c r="I4723">
        <v>24</v>
      </c>
      <c r="J4723">
        <v>9.9</v>
      </c>
      <c r="K4723" t="s">
        <v>6099</v>
      </c>
      <c r="L4723" t="s">
        <v>6100</v>
      </c>
      <c r="M4723" t="s">
        <v>6100</v>
      </c>
      <c r="O4723" t="s">
        <v>6101</v>
      </c>
      <c r="P4723" t="s">
        <v>6114</v>
      </c>
      <c r="Q4723">
        <v>8</v>
      </c>
      <c r="R4723">
        <v>2026</v>
      </c>
      <c r="S4723" t="s">
        <v>6099</v>
      </c>
      <c r="T4723">
        <v>1</v>
      </c>
      <c r="U4723" t="s">
        <v>6020</v>
      </c>
      <c r="V4723">
        <v>1</v>
      </c>
    </row>
    <row r="4724" spans="1:22" x14ac:dyDescent="0.3">
      <c r="A4724" t="s">
        <v>4739</v>
      </c>
      <c r="B4724" s="2">
        <v>46236.186111111114</v>
      </c>
      <c r="C4724" s="2">
        <v>46236.523611111108</v>
      </c>
      <c r="D4724" t="s">
        <v>6028</v>
      </c>
      <c r="E4724" t="s">
        <v>6029</v>
      </c>
      <c r="F4724" t="s">
        <v>6034</v>
      </c>
      <c r="G4724" t="s">
        <v>6059</v>
      </c>
      <c r="H4724" t="s">
        <v>6097</v>
      </c>
      <c r="I4724">
        <v>24</v>
      </c>
      <c r="J4724">
        <v>8.1</v>
      </c>
      <c r="K4724" t="s">
        <v>6099</v>
      </c>
      <c r="L4724" t="s">
        <v>6100</v>
      </c>
      <c r="M4724" t="s">
        <v>6100</v>
      </c>
      <c r="N4724">
        <v>5</v>
      </c>
      <c r="O4724" t="s">
        <v>6101</v>
      </c>
      <c r="P4724" t="s">
        <v>6114</v>
      </c>
      <c r="Q4724">
        <v>8</v>
      </c>
      <c r="R4724">
        <v>2026</v>
      </c>
      <c r="S4724" t="s">
        <v>6099</v>
      </c>
      <c r="T4724">
        <v>1</v>
      </c>
      <c r="U4724" t="s">
        <v>6021</v>
      </c>
      <c r="V4724">
        <v>1</v>
      </c>
    </row>
    <row r="4725" spans="1:22" x14ac:dyDescent="0.3">
      <c r="A4725" t="s">
        <v>4740</v>
      </c>
      <c r="B4725" s="2">
        <v>46236.236805555556</v>
      </c>
      <c r="C4725" s="2">
        <v>46236.565972222219</v>
      </c>
      <c r="D4725" t="s">
        <v>6028</v>
      </c>
      <c r="E4725" t="s">
        <v>6030</v>
      </c>
      <c r="F4725" t="s">
        <v>6035</v>
      </c>
      <c r="G4725" t="s">
        <v>6093</v>
      </c>
      <c r="H4725" t="s">
        <v>6097</v>
      </c>
      <c r="I4725">
        <v>4</v>
      </c>
      <c r="J4725">
        <v>7.9</v>
      </c>
      <c r="K4725" t="s">
        <v>6099</v>
      </c>
      <c r="L4725" t="s">
        <v>6100</v>
      </c>
      <c r="M4725" t="s">
        <v>6100</v>
      </c>
      <c r="N4725">
        <v>3</v>
      </c>
      <c r="O4725" t="s">
        <v>6101</v>
      </c>
      <c r="P4725" t="s">
        <v>6114</v>
      </c>
      <c r="Q4725">
        <v>8</v>
      </c>
      <c r="R4725">
        <v>2026</v>
      </c>
      <c r="S4725" t="s">
        <v>6100</v>
      </c>
      <c r="T4725">
        <v>0</v>
      </c>
      <c r="U4725" t="s">
        <v>6021</v>
      </c>
      <c r="V4725">
        <v>1</v>
      </c>
    </row>
    <row r="4726" spans="1:22" x14ac:dyDescent="0.3">
      <c r="A4726" t="s">
        <v>4741</v>
      </c>
      <c r="B4726" s="2">
        <v>46236.34375</v>
      </c>
      <c r="C4726" s="2">
        <v>46239.78125</v>
      </c>
      <c r="D4726" t="s">
        <v>6025</v>
      </c>
      <c r="E4726" t="s">
        <v>6029</v>
      </c>
      <c r="F4726" t="s">
        <v>6034</v>
      </c>
      <c r="G4726" t="s">
        <v>6061</v>
      </c>
      <c r="H4726" t="s">
        <v>6096</v>
      </c>
      <c r="I4726">
        <v>24</v>
      </c>
      <c r="J4726">
        <v>82.5</v>
      </c>
      <c r="K4726" t="s">
        <v>6100</v>
      </c>
      <c r="L4726" t="s">
        <v>6100</v>
      </c>
      <c r="M4726" t="s">
        <v>6100</v>
      </c>
      <c r="N4726">
        <v>4</v>
      </c>
      <c r="O4726" t="s">
        <v>6101</v>
      </c>
      <c r="P4726" t="s">
        <v>6114</v>
      </c>
      <c r="Q4726">
        <v>8</v>
      </c>
      <c r="R4726">
        <v>2026</v>
      </c>
      <c r="S4726" t="s">
        <v>6100</v>
      </c>
      <c r="T4726">
        <v>0</v>
      </c>
      <c r="U4726" t="s">
        <v>6017</v>
      </c>
      <c r="V4726">
        <v>0</v>
      </c>
    </row>
    <row r="4727" spans="1:22" x14ac:dyDescent="0.3">
      <c r="A4727" t="s">
        <v>4742</v>
      </c>
      <c r="B4727" s="2">
        <v>46236.367361111108</v>
      </c>
      <c r="C4727" s="2">
        <v>46238.767361111109</v>
      </c>
      <c r="D4727" t="s">
        <v>6028</v>
      </c>
      <c r="E4727" t="s">
        <v>6031</v>
      </c>
      <c r="F4727" t="s">
        <v>6034</v>
      </c>
      <c r="G4727" t="s">
        <v>6073</v>
      </c>
      <c r="H4727" t="s">
        <v>6096</v>
      </c>
      <c r="I4727">
        <v>24</v>
      </c>
      <c r="J4727">
        <v>57.6</v>
      </c>
      <c r="K4727" t="s">
        <v>6099</v>
      </c>
      <c r="L4727" t="s">
        <v>6100</v>
      </c>
      <c r="M4727" t="s">
        <v>6100</v>
      </c>
      <c r="N4727">
        <v>4</v>
      </c>
      <c r="O4727" t="s">
        <v>6101</v>
      </c>
      <c r="P4727" t="s">
        <v>6114</v>
      </c>
      <c r="Q4727">
        <v>8</v>
      </c>
      <c r="R4727">
        <v>2026</v>
      </c>
      <c r="S4727" t="s">
        <v>6100</v>
      </c>
      <c r="T4727">
        <v>0</v>
      </c>
      <c r="U4727" t="s">
        <v>6020</v>
      </c>
      <c r="V4727">
        <v>1</v>
      </c>
    </row>
    <row r="4728" spans="1:22" x14ac:dyDescent="0.3">
      <c r="A4728" t="s">
        <v>4743</v>
      </c>
      <c r="B4728" s="2">
        <v>46236.380555555559</v>
      </c>
      <c r="C4728" s="2">
        <v>46236.676388888889</v>
      </c>
      <c r="D4728" t="s">
        <v>6023</v>
      </c>
      <c r="E4728" t="s">
        <v>6029</v>
      </c>
      <c r="F4728" t="s">
        <v>6034</v>
      </c>
      <c r="G4728" t="s">
        <v>6070</v>
      </c>
      <c r="H4728" t="s">
        <v>6097</v>
      </c>
      <c r="I4728">
        <v>24</v>
      </c>
      <c r="J4728">
        <v>7.1</v>
      </c>
      <c r="K4728" t="s">
        <v>6099</v>
      </c>
      <c r="L4728" t="s">
        <v>6100</v>
      </c>
      <c r="M4728" t="s">
        <v>6100</v>
      </c>
      <c r="N4728">
        <v>5</v>
      </c>
      <c r="O4728" t="s">
        <v>6101</v>
      </c>
      <c r="P4728" t="s">
        <v>6114</v>
      </c>
      <c r="Q4728">
        <v>8</v>
      </c>
      <c r="R4728">
        <v>2026</v>
      </c>
      <c r="S4728" t="s">
        <v>6099</v>
      </c>
      <c r="T4728">
        <v>1</v>
      </c>
      <c r="U4728" t="s">
        <v>6018</v>
      </c>
      <c r="V4728">
        <v>1</v>
      </c>
    </row>
    <row r="4729" spans="1:22" x14ac:dyDescent="0.3">
      <c r="A4729" t="s">
        <v>4744</v>
      </c>
      <c r="B4729" s="2">
        <v>46236.38958333333</v>
      </c>
      <c r="C4729" s="2">
        <v>46236.447916666664</v>
      </c>
      <c r="D4729" t="s">
        <v>6023</v>
      </c>
      <c r="E4729" t="s">
        <v>6030</v>
      </c>
      <c r="F4729" t="s">
        <v>6034</v>
      </c>
      <c r="G4729" t="s">
        <v>6090</v>
      </c>
      <c r="H4729" t="s">
        <v>6097</v>
      </c>
      <c r="I4729">
        <v>24</v>
      </c>
      <c r="J4729">
        <v>1.4</v>
      </c>
      <c r="K4729" t="s">
        <v>6099</v>
      </c>
      <c r="L4729" t="s">
        <v>6100</v>
      </c>
      <c r="M4729" t="s">
        <v>6100</v>
      </c>
      <c r="O4729" t="s">
        <v>6101</v>
      </c>
      <c r="P4729" t="s">
        <v>6114</v>
      </c>
      <c r="Q4729">
        <v>8</v>
      </c>
      <c r="R4729">
        <v>2026</v>
      </c>
      <c r="S4729" t="s">
        <v>6099</v>
      </c>
      <c r="T4729">
        <v>1</v>
      </c>
      <c r="U4729" t="s">
        <v>6020</v>
      </c>
      <c r="V4729">
        <v>1</v>
      </c>
    </row>
    <row r="4730" spans="1:22" x14ac:dyDescent="0.3">
      <c r="A4730" t="s">
        <v>4745</v>
      </c>
      <c r="B4730" s="2">
        <v>46236.478472222225</v>
      </c>
      <c r="C4730" s="2">
        <v>46237.120138888888</v>
      </c>
      <c r="D4730" t="s">
        <v>6027</v>
      </c>
      <c r="E4730" t="s">
        <v>6031</v>
      </c>
      <c r="F4730" t="s">
        <v>6035</v>
      </c>
      <c r="G4730" t="s">
        <v>6048</v>
      </c>
      <c r="H4730" t="s">
        <v>6096</v>
      </c>
      <c r="I4730">
        <v>4</v>
      </c>
      <c r="J4730">
        <v>15.4</v>
      </c>
      <c r="K4730" t="s">
        <v>6100</v>
      </c>
      <c r="L4730" t="s">
        <v>6100</v>
      </c>
      <c r="M4730" t="s">
        <v>6100</v>
      </c>
      <c r="N4730">
        <v>2</v>
      </c>
      <c r="O4730" t="s">
        <v>6101</v>
      </c>
      <c r="P4730" t="s">
        <v>6114</v>
      </c>
      <c r="Q4730">
        <v>8</v>
      </c>
      <c r="R4730">
        <v>2026</v>
      </c>
      <c r="S4730" t="s">
        <v>6100</v>
      </c>
      <c r="T4730">
        <v>0</v>
      </c>
      <c r="U4730" t="s">
        <v>6020</v>
      </c>
      <c r="V4730">
        <v>0</v>
      </c>
    </row>
    <row r="4731" spans="1:22" x14ac:dyDescent="0.3">
      <c r="A4731" t="s">
        <v>4746</v>
      </c>
      <c r="B4731" s="2">
        <v>46236.481944444444</v>
      </c>
      <c r="C4731" s="2">
        <v>46238.677777777775</v>
      </c>
      <c r="D4731" t="s">
        <v>6022</v>
      </c>
      <c r="E4731" t="s">
        <v>6031</v>
      </c>
      <c r="F4731" t="s">
        <v>6033</v>
      </c>
      <c r="G4731" t="s">
        <v>6041</v>
      </c>
      <c r="H4731" t="s">
        <v>6096</v>
      </c>
      <c r="I4731">
        <v>72</v>
      </c>
      <c r="J4731">
        <v>52.7</v>
      </c>
      <c r="K4731" t="s">
        <v>6100</v>
      </c>
      <c r="L4731" t="s">
        <v>6099</v>
      </c>
      <c r="M4731" t="s">
        <v>6100</v>
      </c>
      <c r="N4731">
        <v>4</v>
      </c>
      <c r="O4731" t="s">
        <v>6101</v>
      </c>
      <c r="P4731" t="s">
        <v>6114</v>
      </c>
      <c r="Q4731">
        <v>8</v>
      </c>
      <c r="R4731">
        <v>2026</v>
      </c>
      <c r="S4731" t="s">
        <v>6099</v>
      </c>
      <c r="T4731">
        <v>1</v>
      </c>
      <c r="U4731" t="s">
        <v>6021</v>
      </c>
      <c r="V4731">
        <v>0</v>
      </c>
    </row>
    <row r="4732" spans="1:22" x14ac:dyDescent="0.3">
      <c r="A4732" t="s">
        <v>4747</v>
      </c>
      <c r="B4732" s="2">
        <v>46236.48541666667</v>
      </c>
      <c r="C4732" s="2">
        <v>46237.927083333336</v>
      </c>
      <c r="D4732" t="s">
        <v>6023</v>
      </c>
      <c r="E4732" t="s">
        <v>6029</v>
      </c>
      <c r="F4732" t="s">
        <v>6034</v>
      </c>
      <c r="G4732" t="s">
        <v>6045</v>
      </c>
      <c r="H4732" t="s">
        <v>6096</v>
      </c>
      <c r="I4732">
        <v>24</v>
      </c>
      <c r="J4732">
        <v>34.6</v>
      </c>
      <c r="K4732" t="s">
        <v>6100</v>
      </c>
      <c r="L4732" t="s">
        <v>6100</v>
      </c>
      <c r="M4732" t="s">
        <v>6100</v>
      </c>
      <c r="N4732">
        <v>3</v>
      </c>
      <c r="O4732" t="s">
        <v>6101</v>
      </c>
      <c r="P4732" t="s">
        <v>6114</v>
      </c>
      <c r="Q4732">
        <v>8</v>
      </c>
      <c r="R4732">
        <v>2026</v>
      </c>
      <c r="S4732" t="s">
        <v>6100</v>
      </c>
      <c r="T4732">
        <v>0</v>
      </c>
      <c r="U4732" t="s">
        <v>6021</v>
      </c>
      <c r="V4732">
        <v>0</v>
      </c>
    </row>
    <row r="4733" spans="1:22" x14ac:dyDescent="0.3">
      <c r="A4733" t="s">
        <v>4748</v>
      </c>
      <c r="B4733" s="2">
        <v>46236.488888888889</v>
      </c>
      <c r="C4733" s="2">
        <v>46236.655555555553</v>
      </c>
      <c r="D4733" t="s">
        <v>6023</v>
      </c>
      <c r="E4733" t="s">
        <v>6030</v>
      </c>
      <c r="F4733" t="s">
        <v>6033</v>
      </c>
      <c r="G4733" t="s">
        <v>6084</v>
      </c>
      <c r="H4733" t="s">
        <v>6098</v>
      </c>
      <c r="I4733">
        <v>72</v>
      </c>
      <c r="J4733">
        <v>4</v>
      </c>
      <c r="K4733" t="s">
        <v>6100</v>
      </c>
      <c r="L4733" t="s">
        <v>6099</v>
      </c>
      <c r="M4733" t="s">
        <v>6100</v>
      </c>
      <c r="O4733" t="s">
        <v>6101</v>
      </c>
      <c r="P4733" t="s">
        <v>6114</v>
      </c>
      <c r="Q4733">
        <v>8</v>
      </c>
      <c r="R4733">
        <v>2026</v>
      </c>
      <c r="S4733" t="s">
        <v>6099</v>
      </c>
      <c r="T4733">
        <v>1</v>
      </c>
      <c r="U4733" t="s">
        <v>6020</v>
      </c>
      <c r="V4733">
        <v>0</v>
      </c>
    </row>
    <row r="4734" spans="1:22" x14ac:dyDescent="0.3">
      <c r="A4734" t="s">
        <v>4749</v>
      </c>
      <c r="B4734" s="2">
        <v>46236.502083333333</v>
      </c>
      <c r="C4734" s="2">
        <v>46237.42291666667</v>
      </c>
      <c r="D4734" t="s">
        <v>6023</v>
      </c>
      <c r="E4734" t="s">
        <v>6032</v>
      </c>
      <c r="F4734" t="s">
        <v>6034</v>
      </c>
      <c r="G4734" t="s">
        <v>6041</v>
      </c>
      <c r="H4734" t="s">
        <v>6096</v>
      </c>
      <c r="I4734">
        <v>24</v>
      </c>
      <c r="J4734">
        <v>22.1</v>
      </c>
      <c r="K4734" t="s">
        <v>6099</v>
      </c>
      <c r="L4734" t="s">
        <v>6100</v>
      </c>
      <c r="M4734" t="s">
        <v>6100</v>
      </c>
      <c r="O4734" t="s">
        <v>6101</v>
      </c>
      <c r="P4734" t="s">
        <v>6114</v>
      </c>
      <c r="Q4734">
        <v>8</v>
      </c>
      <c r="R4734">
        <v>2026</v>
      </c>
      <c r="S4734" t="s">
        <v>6099</v>
      </c>
      <c r="T4734">
        <v>1</v>
      </c>
      <c r="U4734" t="s">
        <v>6019</v>
      </c>
      <c r="V4734">
        <v>1</v>
      </c>
    </row>
    <row r="4735" spans="1:22" x14ac:dyDescent="0.3">
      <c r="A4735" t="s">
        <v>4750</v>
      </c>
      <c r="B4735" s="2">
        <v>46236.531944444447</v>
      </c>
      <c r="C4735" s="2">
        <v>46245.590277777781</v>
      </c>
      <c r="D4735" t="s">
        <v>6026</v>
      </c>
      <c r="E4735" t="s">
        <v>6032</v>
      </c>
      <c r="F4735" t="s">
        <v>6033</v>
      </c>
      <c r="G4735" t="s">
        <v>6073</v>
      </c>
      <c r="H4735" t="s">
        <v>6096</v>
      </c>
      <c r="I4735">
        <v>72</v>
      </c>
      <c r="J4735">
        <v>217.4</v>
      </c>
      <c r="K4735" t="s">
        <v>6100</v>
      </c>
      <c r="L4735" t="s">
        <v>6100</v>
      </c>
      <c r="M4735" t="s">
        <v>6099</v>
      </c>
      <c r="N4735">
        <v>3</v>
      </c>
      <c r="O4735" t="s">
        <v>6101</v>
      </c>
      <c r="P4735" t="s">
        <v>6114</v>
      </c>
      <c r="Q4735">
        <v>8</v>
      </c>
      <c r="R4735">
        <v>2026</v>
      </c>
      <c r="S4735" t="s">
        <v>6100</v>
      </c>
      <c r="T4735">
        <v>0</v>
      </c>
      <c r="U4735" t="s">
        <v>6020</v>
      </c>
      <c r="V4735">
        <v>0</v>
      </c>
    </row>
    <row r="4736" spans="1:22" x14ac:dyDescent="0.3">
      <c r="A4736" t="s">
        <v>4751</v>
      </c>
      <c r="B4736" s="2">
        <v>46236.584027777775</v>
      </c>
      <c r="C4736" s="2">
        <v>46236.942361111112</v>
      </c>
      <c r="D4736" t="s">
        <v>6024</v>
      </c>
      <c r="E4736" t="s">
        <v>6029</v>
      </c>
      <c r="F4736" t="s">
        <v>6034</v>
      </c>
      <c r="G4736" t="s">
        <v>6065</v>
      </c>
      <c r="H4736" t="s">
        <v>6097</v>
      </c>
      <c r="I4736">
        <v>24</v>
      </c>
      <c r="J4736">
        <v>8.6</v>
      </c>
      <c r="K4736" t="s">
        <v>6099</v>
      </c>
      <c r="L4736" t="s">
        <v>6100</v>
      </c>
      <c r="M4736" t="s">
        <v>6100</v>
      </c>
      <c r="N4736">
        <v>4</v>
      </c>
      <c r="O4736" t="s">
        <v>6101</v>
      </c>
      <c r="P4736" t="s">
        <v>6114</v>
      </c>
      <c r="Q4736">
        <v>8</v>
      </c>
      <c r="R4736">
        <v>2026</v>
      </c>
      <c r="S4736" t="s">
        <v>6099</v>
      </c>
      <c r="T4736">
        <v>1</v>
      </c>
      <c r="U4736" t="s">
        <v>6021</v>
      </c>
      <c r="V4736">
        <v>1</v>
      </c>
    </row>
    <row r="4737" spans="1:22" x14ac:dyDescent="0.3">
      <c r="A4737" t="s">
        <v>4752</v>
      </c>
      <c r="B4737" s="2">
        <v>46236.606249999997</v>
      </c>
      <c r="C4737" s="2">
        <v>46237.106249999997</v>
      </c>
      <c r="D4737" t="s">
        <v>6024</v>
      </c>
      <c r="E4737" t="s">
        <v>6030</v>
      </c>
      <c r="F4737" t="s">
        <v>6034</v>
      </c>
      <c r="G4737" t="s">
        <v>6042</v>
      </c>
      <c r="H4737" t="s">
        <v>6098</v>
      </c>
      <c r="I4737">
        <v>24</v>
      </c>
      <c r="J4737">
        <v>12</v>
      </c>
      <c r="K4737" t="s">
        <v>6099</v>
      </c>
      <c r="L4737" t="s">
        <v>6100</v>
      </c>
      <c r="M4737" t="s">
        <v>6100</v>
      </c>
      <c r="N4737">
        <v>4</v>
      </c>
      <c r="O4737" t="s">
        <v>6101</v>
      </c>
      <c r="P4737" t="s">
        <v>6114</v>
      </c>
      <c r="Q4737">
        <v>8</v>
      </c>
      <c r="R4737">
        <v>2026</v>
      </c>
      <c r="S4737" t="s">
        <v>6099</v>
      </c>
      <c r="T4737">
        <v>1</v>
      </c>
      <c r="U4737" t="s">
        <v>6017</v>
      </c>
      <c r="V4737">
        <v>1</v>
      </c>
    </row>
    <row r="4738" spans="1:22" x14ac:dyDescent="0.3">
      <c r="A4738" t="s">
        <v>4753</v>
      </c>
      <c r="B4738" s="2">
        <v>46236.63958333333</v>
      </c>
      <c r="C4738" s="2">
        <v>46236.810416666667</v>
      </c>
      <c r="D4738" t="s">
        <v>6024</v>
      </c>
      <c r="E4738" t="s">
        <v>6029</v>
      </c>
      <c r="F4738" t="s">
        <v>6035</v>
      </c>
      <c r="G4738" t="s">
        <v>6087</v>
      </c>
      <c r="H4738" t="s">
        <v>6098</v>
      </c>
      <c r="I4738">
        <v>4</v>
      </c>
      <c r="J4738">
        <v>4.0999999999999996</v>
      </c>
      <c r="K4738" t="s">
        <v>6100</v>
      </c>
      <c r="L4738" t="s">
        <v>6099</v>
      </c>
      <c r="M4738" t="s">
        <v>6100</v>
      </c>
      <c r="N4738">
        <v>3</v>
      </c>
      <c r="O4738" t="s">
        <v>6101</v>
      </c>
      <c r="P4738" t="s">
        <v>6114</v>
      </c>
      <c r="Q4738">
        <v>8</v>
      </c>
      <c r="R4738">
        <v>2026</v>
      </c>
      <c r="S4738" t="s">
        <v>6100</v>
      </c>
      <c r="T4738">
        <v>0</v>
      </c>
      <c r="U4738" t="s">
        <v>6020</v>
      </c>
      <c r="V4738">
        <v>0</v>
      </c>
    </row>
    <row r="4739" spans="1:22" x14ac:dyDescent="0.3">
      <c r="A4739" t="s">
        <v>4754</v>
      </c>
      <c r="B4739" s="2">
        <v>46236.65347222222</v>
      </c>
      <c r="C4739" s="2">
        <v>46239.674305555556</v>
      </c>
      <c r="D4739" t="s">
        <v>6022</v>
      </c>
      <c r="E4739" t="s">
        <v>6031</v>
      </c>
      <c r="F4739" t="s">
        <v>6033</v>
      </c>
      <c r="G4739" t="s">
        <v>6041</v>
      </c>
      <c r="H4739" t="s">
        <v>6096</v>
      </c>
      <c r="I4739">
        <v>72</v>
      </c>
      <c r="J4739">
        <v>72.5</v>
      </c>
      <c r="K4739" t="s">
        <v>6099</v>
      </c>
      <c r="L4739" t="s">
        <v>6100</v>
      </c>
      <c r="M4739" t="s">
        <v>6099</v>
      </c>
      <c r="O4739" t="s">
        <v>6101</v>
      </c>
      <c r="P4739" t="s">
        <v>6114</v>
      </c>
      <c r="Q4739">
        <v>8</v>
      </c>
      <c r="R4739">
        <v>2026</v>
      </c>
      <c r="S4739" t="s">
        <v>6100</v>
      </c>
      <c r="T4739">
        <v>0</v>
      </c>
      <c r="U4739" t="s">
        <v>6021</v>
      </c>
      <c r="V4739">
        <v>1</v>
      </c>
    </row>
    <row r="4740" spans="1:22" x14ac:dyDescent="0.3">
      <c r="A4740" t="s">
        <v>4755</v>
      </c>
      <c r="B4740" s="2">
        <v>46236.675694444442</v>
      </c>
      <c r="C4740" s="2">
        <v>46237.004861111112</v>
      </c>
      <c r="D4740" t="s">
        <v>6028</v>
      </c>
      <c r="E4740" t="s">
        <v>6029</v>
      </c>
      <c r="F4740" t="s">
        <v>6034</v>
      </c>
      <c r="G4740" t="s">
        <v>6076</v>
      </c>
      <c r="H4740" t="s">
        <v>6097</v>
      </c>
      <c r="I4740">
        <v>24</v>
      </c>
      <c r="J4740">
        <v>7.9</v>
      </c>
      <c r="K4740" t="s">
        <v>6099</v>
      </c>
      <c r="L4740" t="s">
        <v>6100</v>
      </c>
      <c r="M4740" t="s">
        <v>6100</v>
      </c>
      <c r="N4740">
        <v>5</v>
      </c>
      <c r="O4740" t="s">
        <v>6101</v>
      </c>
      <c r="P4740" t="s">
        <v>6114</v>
      </c>
      <c r="Q4740">
        <v>8</v>
      </c>
      <c r="R4740">
        <v>2026</v>
      </c>
      <c r="S4740" t="s">
        <v>6099</v>
      </c>
      <c r="T4740">
        <v>1</v>
      </c>
      <c r="U4740" t="s">
        <v>6019</v>
      </c>
      <c r="V4740">
        <v>1</v>
      </c>
    </row>
    <row r="4741" spans="1:22" x14ac:dyDescent="0.3">
      <c r="A4741" t="s">
        <v>4756</v>
      </c>
      <c r="B4741" s="2">
        <v>46236.681250000001</v>
      </c>
      <c r="C4741" s="2">
        <v>46238.364583333336</v>
      </c>
      <c r="D4741" t="s">
        <v>6025</v>
      </c>
      <c r="E4741" t="s">
        <v>6031</v>
      </c>
      <c r="F4741" t="s">
        <v>6034</v>
      </c>
      <c r="G4741" t="s">
        <v>6049</v>
      </c>
      <c r="H4741" t="s">
        <v>6097</v>
      </c>
      <c r="I4741">
        <v>24</v>
      </c>
      <c r="J4741">
        <v>40.4</v>
      </c>
      <c r="K4741" t="s">
        <v>6099</v>
      </c>
      <c r="L4741" t="s">
        <v>6100</v>
      </c>
      <c r="M4741" t="s">
        <v>6100</v>
      </c>
      <c r="O4741" t="s">
        <v>6101</v>
      </c>
      <c r="P4741" t="s">
        <v>6114</v>
      </c>
      <c r="Q4741">
        <v>8</v>
      </c>
      <c r="R4741">
        <v>2026</v>
      </c>
      <c r="S4741" t="s">
        <v>6100</v>
      </c>
      <c r="T4741">
        <v>0</v>
      </c>
      <c r="U4741" t="s">
        <v>6021</v>
      </c>
      <c r="V4741">
        <v>1</v>
      </c>
    </row>
    <row r="4742" spans="1:22" x14ac:dyDescent="0.3">
      <c r="A4742" t="s">
        <v>4757</v>
      </c>
      <c r="B4742" s="2">
        <v>46236.745833333334</v>
      </c>
      <c r="C4742" s="2">
        <v>46236.95</v>
      </c>
      <c r="D4742" t="s">
        <v>6022</v>
      </c>
      <c r="E4742" t="s">
        <v>6029</v>
      </c>
      <c r="F4742" t="s">
        <v>6034</v>
      </c>
      <c r="G4742" t="s">
        <v>6082</v>
      </c>
      <c r="H4742" t="s">
        <v>6097</v>
      </c>
      <c r="I4742">
        <v>24</v>
      </c>
      <c r="J4742">
        <v>4.9000000000000004</v>
      </c>
      <c r="K4742" t="s">
        <v>6100</v>
      </c>
      <c r="L4742" t="s">
        <v>6099</v>
      </c>
      <c r="M4742" t="s">
        <v>6100</v>
      </c>
      <c r="N4742">
        <v>5</v>
      </c>
      <c r="O4742" t="s">
        <v>6101</v>
      </c>
      <c r="P4742" t="s">
        <v>6114</v>
      </c>
      <c r="Q4742">
        <v>8</v>
      </c>
      <c r="R4742">
        <v>2026</v>
      </c>
      <c r="S4742" t="s">
        <v>6099</v>
      </c>
      <c r="T4742">
        <v>1</v>
      </c>
      <c r="U4742" t="s">
        <v>6021</v>
      </c>
      <c r="V4742">
        <v>0</v>
      </c>
    </row>
    <row r="4743" spans="1:22" x14ac:dyDescent="0.3">
      <c r="A4743" t="s">
        <v>4758</v>
      </c>
      <c r="B4743" s="2">
        <v>46236.768055555556</v>
      </c>
      <c r="C4743" s="2">
        <v>46237.380555555559</v>
      </c>
      <c r="D4743" t="s">
        <v>6027</v>
      </c>
      <c r="E4743" t="s">
        <v>6032</v>
      </c>
      <c r="F4743" t="s">
        <v>6034</v>
      </c>
      <c r="G4743" t="s">
        <v>6089</v>
      </c>
      <c r="H4743" t="s">
        <v>6098</v>
      </c>
      <c r="I4743">
        <v>24</v>
      </c>
      <c r="J4743">
        <v>14.7</v>
      </c>
      <c r="K4743" t="s">
        <v>6100</v>
      </c>
      <c r="L4743" t="s">
        <v>6099</v>
      </c>
      <c r="M4743" t="s">
        <v>6100</v>
      </c>
      <c r="O4743" t="s">
        <v>6101</v>
      </c>
      <c r="P4743" t="s">
        <v>6114</v>
      </c>
      <c r="Q4743">
        <v>8</v>
      </c>
      <c r="R4743">
        <v>2026</v>
      </c>
      <c r="S4743" t="s">
        <v>6099</v>
      </c>
      <c r="T4743">
        <v>1</v>
      </c>
      <c r="U4743" t="s">
        <v>6021</v>
      </c>
      <c r="V4743">
        <v>0</v>
      </c>
    </row>
    <row r="4744" spans="1:22" x14ac:dyDescent="0.3">
      <c r="A4744" t="s">
        <v>4759</v>
      </c>
      <c r="B4744" s="2">
        <v>46237.36041666667</v>
      </c>
      <c r="C4744" s="2">
        <v>46241.106249999997</v>
      </c>
      <c r="D4744" t="s">
        <v>6026</v>
      </c>
      <c r="E4744" t="s">
        <v>6031</v>
      </c>
      <c r="F4744" t="s">
        <v>6034</v>
      </c>
      <c r="G4744" t="s">
        <v>6047</v>
      </c>
      <c r="H4744" t="s">
        <v>6098</v>
      </c>
      <c r="I4744">
        <v>24</v>
      </c>
      <c r="J4744">
        <v>89.9</v>
      </c>
      <c r="K4744" t="s">
        <v>6099</v>
      </c>
      <c r="L4744" t="s">
        <v>6100</v>
      </c>
      <c r="M4744" t="s">
        <v>6100</v>
      </c>
      <c r="N4744">
        <v>3</v>
      </c>
      <c r="O4744" t="s">
        <v>6101</v>
      </c>
      <c r="P4744" t="s">
        <v>6114</v>
      </c>
      <c r="Q4744">
        <v>8</v>
      </c>
      <c r="R4744">
        <v>2026</v>
      </c>
      <c r="S4744" t="s">
        <v>6100</v>
      </c>
      <c r="T4744">
        <v>0</v>
      </c>
      <c r="U4744" t="s">
        <v>6018</v>
      </c>
      <c r="V4744">
        <v>1</v>
      </c>
    </row>
    <row r="4745" spans="1:22" x14ac:dyDescent="0.3">
      <c r="A4745" t="s">
        <v>4760</v>
      </c>
      <c r="B4745" s="2">
        <v>46237.368750000001</v>
      </c>
      <c r="C4745" s="2">
        <v>46243.71875</v>
      </c>
      <c r="D4745" t="s">
        <v>6026</v>
      </c>
      <c r="E4745" t="s">
        <v>6031</v>
      </c>
      <c r="F4745" t="s">
        <v>6034</v>
      </c>
      <c r="G4745" t="s">
        <v>6067</v>
      </c>
      <c r="H4745" t="s">
        <v>6098</v>
      </c>
      <c r="I4745">
        <v>24</v>
      </c>
      <c r="J4745">
        <v>152.4</v>
      </c>
      <c r="K4745" t="s">
        <v>6100</v>
      </c>
      <c r="L4745" t="s">
        <v>6099</v>
      </c>
      <c r="M4745" t="s">
        <v>6100</v>
      </c>
      <c r="O4745" t="s">
        <v>6101</v>
      </c>
      <c r="P4745" t="s">
        <v>6114</v>
      </c>
      <c r="Q4745">
        <v>8</v>
      </c>
      <c r="R4745">
        <v>2026</v>
      </c>
      <c r="S4745" t="s">
        <v>6100</v>
      </c>
      <c r="T4745">
        <v>0</v>
      </c>
      <c r="U4745" t="s">
        <v>6019</v>
      </c>
      <c r="V4745">
        <v>0</v>
      </c>
    </row>
    <row r="4746" spans="1:22" x14ac:dyDescent="0.3">
      <c r="A4746" t="s">
        <v>4761</v>
      </c>
      <c r="B4746" s="2">
        <v>46237.412499999999</v>
      </c>
      <c r="C4746" s="2">
        <v>46237.79583333333</v>
      </c>
      <c r="D4746" t="s">
        <v>6023</v>
      </c>
      <c r="E4746" t="s">
        <v>6030</v>
      </c>
      <c r="F4746" t="s">
        <v>6034</v>
      </c>
      <c r="G4746" t="s">
        <v>6038</v>
      </c>
      <c r="H4746" t="s">
        <v>6096</v>
      </c>
      <c r="I4746">
        <v>24</v>
      </c>
      <c r="J4746">
        <v>9.1999999999999993</v>
      </c>
      <c r="K4746" t="s">
        <v>6099</v>
      </c>
      <c r="L4746" t="s">
        <v>6100</v>
      </c>
      <c r="M4746" t="s">
        <v>6100</v>
      </c>
      <c r="O4746" t="s">
        <v>6101</v>
      </c>
      <c r="P4746" t="s">
        <v>6114</v>
      </c>
      <c r="Q4746">
        <v>8</v>
      </c>
      <c r="R4746">
        <v>2026</v>
      </c>
      <c r="S4746" t="s">
        <v>6099</v>
      </c>
      <c r="T4746">
        <v>1</v>
      </c>
      <c r="U4746" t="s">
        <v>6017</v>
      </c>
      <c r="V4746">
        <v>1</v>
      </c>
    </row>
    <row r="4747" spans="1:22" x14ac:dyDescent="0.3">
      <c r="A4747" t="s">
        <v>4762</v>
      </c>
      <c r="B4747" s="2">
        <v>46237.447916666664</v>
      </c>
      <c r="C4747" s="2">
        <v>46239.543749999997</v>
      </c>
      <c r="D4747" t="s">
        <v>6025</v>
      </c>
      <c r="E4747" t="s">
        <v>6032</v>
      </c>
      <c r="F4747" t="s">
        <v>6034</v>
      </c>
      <c r="G4747" t="s">
        <v>6041</v>
      </c>
      <c r="H4747" t="s">
        <v>6096</v>
      </c>
      <c r="I4747">
        <v>24</v>
      </c>
      <c r="J4747">
        <v>50.3</v>
      </c>
      <c r="K4747" t="s">
        <v>6100</v>
      </c>
      <c r="L4747" t="s">
        <v>6099</v>
      </c>
      <c r="M4747" t="s">
        <v>6100</v>
      </c>
      <c r="O4747" t="s">
        <v>6101</v>
      </c>
      <c r="P4747" t="s">
        <v>6114</v>
      </c>
      <c r="Q4747">
        <v>8</v>
      </c>
      <c r="R4747">
        <v>2026</v>
      </c>
      <c r="S4747" t="s">
        <v>6100</v>
      </c>
      <c r="T4747">
        <v>0</v>
      </c>
      <c r="U4747" t="s">
        <v>6017</v>
      </c>
      <c r="V4747">
        <v>0</v>
      </c>
    </row>
    <row r="4748" spans="1:22" x14ac:dyDescent="0.3">
      <c r="A4748" t="s">
        <v>4763</v>
      </c>
      <c r="B4748" s="2">
        <v>46237.512499999997</v>
      </c>
      <c r="C4748" s="2">
        <v>46237.908333333333</v>
      </c>
      <c r="D4748" t="s">
        <v>6023</v>
      </c>
      <c r="E4748" t="s">
        <v>6029</v>
      </c>
      <c r="F4748" t="s">
        <v>6034</v>
      </c>
      <c r="G4748" t="s">
        <v>6067</v>
      </c>
      <c r="H4748" t="s">
        <v>6098</v>
      </c>
      <c r="I4748">
        <v>24</v>
      </c>
      <c r="J4748">
        <v>9.5</v>
      </c>
      <c r="K4748" t="s">
        <v>6099</v>
      </c>
      <c r="L4748" t="s">
        <v>6100</v>
      </c>
      <c r="M4748" t="s">
        <v>6100</v>
      </c>
      <c r="O4748" t="s">
        <v>6101</v>
      </c>
      <c r="P4748" t="s">
        <v>6114</v>
      </c>
      <c r="Q4748">
        <v>8</v>
      </c>
      <c r="R4748">
        <v>2026</v>
      </c>
      <c r="S4748" t="s">
        <v>6099</v>
      </c>
      <c r="T4748">
        <v>1</v>
      </c>
      <c r="U4748" t="s">
        <v>6020</v>
      </c>
      <c r="V4748">
        <v>1</v>
      </c>
    </row>
    <row r="4749" spans="1:22" x14ac:dyDescent="0.3">
      <c r="A4749" t="s">
        <v>4764</v>
      </c>
      <c r="B4749" s="2">
        <v>46237.540277777778</v>
      </c>
      <c r="C4749" s="2">
        <v>46238.131944444445</v>
      </c>
      <c r="D4749" t="s">
        <v>6024</v>
      </c>
      <c r="E4749" t="s">
        <v>6029</v>
      </c>
      <c r="F4749" t="s">
        <v>6034</v>
      </c>
      <c r="G4749" t="s">
        <v>6036</v>
      </c>
      <c r="H4749" t="s">
        <v>6096</v>
      </c>
      <c r="I4749">
        <v>24</v>
      </c>
      <c r="J4749">
        <v>14.2</v>
      </c>
      <c r="K4749" t="s">
        <v>6100</v>
      </c>
      <c r="L4749" t="s">
        <v>6100</v>
      </c>
      <c r="M4749" t="s">
        <v>6100</v>
      </c>
      <c r="N4749">
        <v>4</v>
      </c>
      <c r="O4749" t="s">
        <v>6101</v>
      </c>
      <c r="P4749" t="s">
        <v>6114</v>
      </c>
      <c r="Q4749">
        <v>8</v>
      </c>
      <c r="R4749">
        <v>2026</v>
      </c>
      <c r="S4749" t="s">
        <v>6099</v>
      </c>
      <c r="T4749">
        <v>1</v>
      </c>
      <c r="U4749" t="s">
        <v>6018</v>
      </c>
      <c r="V4749">
        <v>0</v>
      </c>
    </row>
    <row r="4750" spans="1:22" x14ac:dyDescent="0.3">
      <c r="A4750" t="s">
        <v>4765</v>
      </c>
      <c r="B4750" s="2">
        <v>46237.582638888889</v>
      </c>
      <c r="C4750" s="2">
        <v>46237.911805555559</v>
      </c>
      <c r="D4750" t="s">
        <v>6025</v>
      </c>
      <c r="E4750" t="s">
        <v>6030</v>
      </c>
      <c r="F4750" t="s">
        <v>6033</v>
      </c>
      <c r="G4750" t="s">
        <v>6049</v>
      </c>
      <c r="H4750" t="s">
        <v>6097</v>
      </c>
      <c r="I4750">
        <v>72</v>
      </c>
      <c r="J4750">
        <v>7.9</v>
      </c>
      <c r="K4750" t="s">
        <v>6100</v>
      </c>
      <c r="L4750" t="s">
        <v>6099</v>
      </c>
      <c r="M4750" t="s">
        <v>6100</v>
      </c>
      <c r="N4750">
        <v>5</v>
      </c>
      <c r="O4750" t="s">
        <v>6101</v>
      </c>
      <c r="P4750" t="s">
        <v>6114</v>
      </c>
      <c r="Q4750">
        <v>8</v>
      </c>
      <c r="R4750">
        <v>2026</v>
      </c>
      <c r="S4750" t="s">
        <v>6099</v>
      </c>
      <c r="T4750">
        <v>1</v>
      </c>
      <c r="U4750" t="s">
        <v>6020</v>
      </c>
      <c r="V4750">
        <v>0</v>
      </c>
    </row>
    <row r="4751" spans="1:22" x14ac:dyDescent="0.3">
      <c r="A4751" t="s">
        <v>4766</v>
      </c>
      <c r="B4751" s="2">
        <v>46237.59652777778</v>
      </c>
      <c r="C4751" s="2">
        <v>46238.696527777778</v>
      </c>
      <c r="D4751" t="s">
        <v>6028</v>
      </c>
      <c r="E4751" t="s">
        <v>6029</v>
      </c>
      <c r="F4751" t="s">
        <v>6034</v>
      </c>
      <c r="G4751" t="s">
        <v>6072</v>
      </c>
      <c r="H4751" t="s">
        <v>6097</v>
      </c>
      <c r="I4751">
        <v>24</v>
      </c>
      <c r="J4751">
        <v>26.4</v>
      </c>
      <c r="K4751" t="s">
        <v>6099</v>
      </c>
      <c r="L4751" t="s">
        <v>6100</v>
      </c>
      <c r="M4751" t="s">
        <v>6100</v>
      </c>
      <c r="N4751">
        <v>3</v>
      </c>
      <c r="O4751" t="s">
        <v>6101</v>
      </c>
      <c r="P4751" t="s">
        <v>6114</v>
      </c>
      <c r="Q4751">
        <v>8</v>
      </c>
      <c r="R4751">
        <v>2026</v>
      </c>
      <c r="S4751" t="s">
        <v>6100</v>
      </c>
      <c r="T4751">
        <v>0</v>
      </c>
      <c r="U4751" t="s">
        <v>6020</v>
      </c>
      <c r="V4751">
        <v>1</v>
      </c>
    </row>
    <row r="4752" spans="1:22" x14ac:dyDescent="0.3">
      <c r="A4752" t="s">
        <v>4767</v>
      </c>
      <c r="B4752" s="2">
        <v>46237.606249999997</v>
      </c>
      <c r="C4752" s="2">
        <v>46237.960416666669</v>
      </c>
      <c r="D4752" t="s">
        <v>6022</v>
      </c>
      <c r="E4752" t="s">
        <v>6030</v>
      </c>
      <c r="F4752" t="s">
        <v>6034</v>
      </c>
      <c r="G4752" t="s">
        <v>6092</v>
      </c>
      <c r="H4752" t="s">
        <v>6097</v>
      </c>
      <c r="I4752">
        <v>24</v>
      </c>
      <c r="J4752">
        <v>8.5</v>
      </c>
      <c r="K4752" t="s">
        <v>6099</v>
      </c>
      <c r="L4752" t="s">
        <v>6100</v>
      </c>
      <c r="M4752" t="s">
        <v>6100</v>
      </c>
      <c r="N4752">
        <v>5</v>
      </c>
      <c r="O4752" t="s">
        <v>6101</v>
      </c>
      <c r="P4752" t="s">
        <v>6114</v>
      </c>
      <c r="Q4752">
        <v>8</v>
      </c>
      <c r="R4752">
        <v>2026</v>
      </c>
      <c r="S4752" t="s">
        <v>6099</v>
      </c>
      <c r="T4752">
        <v>1</v>
      </c>
      <c r="U4752" t="s">
        <v>6017</v>
      </c>
      <c r="V4752">
        <v>1</v>
      </c>
    </row>
    <row r="4753" spans="1:22" x14ac:dyDescent="0.3">
      <c r="A4753" t="s">
        <v>4768</v>
      </c>
      <c r="B4753" s="2">
        <v>46237.60833333333</v>
      </c>
      <c r="C4753" s="2">
        <v>46237.970833333333</v>
      </c>
      <c r="D4753" t="s">
        <v>6023</v>
      </c>
      <c r="E4753" t="s">
        <v>6029</v>
      </c>
      <c r="F4753" t="s">
        <v>6033</v>
      </c>
      <c r="G4753" t="s">
        <v>6081</v>
      </c>
      <c r="H4753" t="s">
        <v>6098</v>
      </c>
      <c r="I4753">
        <v>72</v>
      </c>
      <c r="J4753">
        <v>8.6999999999999993</v>
      </c>
      <c r="K4753" t="s">
        <v>6099</v>
      </c>
      <c r="L4753" t="s">
        <v>6100</v>
      </c>
      <c r="M4753" t="s">
        <v>6100</v>
      </c>
      <c r="N4753">
        <v>5</v>
      </c>
      <c r="O4753" t="s">
        <v>6101</v>
      </c>
      <c r="P4753" t="s">
        <v>6114</v>
      </c>
      <c r="Q4753">
        <v>8</v>
      </c>
      <c r="R4753">
        <v>2026</v>
      </c>
      <c r="S4753" t="s">
        <v>6099</v>
      </c>
      <c r="T4753">
        <v>1</v>
      </c>
      <c r="U4753" t="s">
        <v>6020</v>
      </c>
      <c r="V4753">
        <v>1</v>
      </c>
    </row>
    <row r="4754" spans="1:22" x14ac:dyDescent="0.3">
      <c r="A4754" t="s">
        <v>4769</v>
      </c>
      <c r="B4754" s="2">
        <v>46237.613888888889</v>
      </c>
      <c r="C4754" s="2">
        <v>46238.897222222222</v>
      </c>
      <c r="D4754" t="s">
        <v>6025</v>
      </c>
      <c r="E4754" t="s">
        <v>6032</v>
      </c>
      <c r="F4754" t="s">
        <v>6034</v>
      </c>
      <c r="G4754" t="s">
        <v>6095</v>
      </c>
      <c r="H4754" t="s">
        <v>6098</v>
      </c>
      <c r="I4754">
        <v>24</v>
      </c>
      <c r="J4754">
        <v>30.8</v>
      </c>
      <c r="K4754" t="s">
        <v>6099</v>
      </c>
      <c r="L4754" t="s">
        <v>6100</v>
      </c>
      <c r="M4754" t="s">
        <v>6099</v>
      </c>
      <c r="O4754" t="s">
        <v>6101</v>
      </c>
      <c r="P4754" t="s">
        <v>6114</v>
      </c>
      <c r="Q4754">
        <v>8</v>
      </c>
      <c r="R4754">
        <v>2026</v>
      </c>
      <c r="S4754" t="s">
        <v>6100</v>
      </c>
      <c r="T4754">
        <v>0</v>
      </c>
      <c r="U4754" t="s">
        <v>6020</v>
      </c>
      <c r="V4754">
        <v>1</v>
      </c>
    </row>
    <row r="4755" spans="1:22" x14ac:dyDescent="0.3">
      <c r="A4755" t="s">
        <v>4770</v>
      </c>
      <c r="B4755" s="2">
        <v>46237.712500000001</v>
      </c>
      <c r="C4755" s="2">
        <v>46238.254166666666</v>
      </c>
      <c r="D4755" t="s">
        <v>6022</v>
      </c>
      <c r="E4755" t="s">
        <v>6029</v>
      </c>
      <c r="F4755" t="s">
        <v>6033</v>
      </c>
      <c r="G4755" t="s">
        <v>6087</v>
      </c>
      <c r="H4755" t="s">
        <v>6098</v>
      </c>
      <c r="I4755">
        <v>72</v>
      </c>
      <c r="J4755">
        <v>13</v>
      </c>
      <c r="K4755" t="s">
        <v>6099</v>
      </c>
      <c r="L4755" t="s">
        <v>6100</v>
      </c>
      <c r="M4755" t="s">
        <v>6100</v>
      </c>
      <c r="O4755" t="s">
        <v>6101</v>
      </c>
      <c r="P4755" t="s">
        <v>6114</v>
      </c>
      <c r="Q4755">
        <v>8</v>
      </c>
      <c r="R4755">
        <v>2026</v>
      </c>
      <c r="S4755" t="s">
        <v>6099</v>
      </c>
      <c r="T4755">
        <v>1</v>
      </c>
      <c r="U4755" t="s">
        <v>6019</v>
      </c>
      <c r="V4755">
        <v>1</v>
      </c>
    </row>
    <row r="4756" spans="1:22" x14ac:dyDescent="0.3">
      <c r="A4756" t="s">
        <v>4771</v>
      </c>
      <c r="B4756" s="2">
        <v>46237.781944444447</v>
      </c>
      <c r="C4756" s="2">
        <v>46238.548611111109</v>
      </c>
      <c r="D4756" t="s">
        <v>6022</v>
      </c>
      <c r="E4756" t="s">
        <v>6029</v>
      </c>
      <c r="F4756" t="s">
        <v>6034</v>
      </c>
      <c r="G4756" t="s">
        <v>6082</v>
      </c>
      <c r="H4756" t="s">
        <v>6097</v>
      </c>
      <c r="I4756">
        <v>24</v>
      </c>
      <c r="J4756">
        <v>18.399999999999999</v>
      </c>
      <c r="K4756" t="s">
        <v>6099</v>
      </c>
      <c r="L4756" t="s">
        <v>6100</v>
      </c>
      <c r="M4756" t="s">
        <v>6100</v>
      </c>
      <c r="N4756">
        <v>5</v>
      </c>
      <c r="O4756" t="s">
        <v>6101</v>
      </c>
      <c r="P4756" t="s">
        <v>6114</v>
      </c>
      <c r="Q4756">
        <v>8</v>
      </c>
      <c r="R4756">
        <v>2026</v>
      </c>
      <c r="S4756" t="s">
        <v>6099</v>
      </c>
      <c r="T4756">
        <v>1</v>
      </c>
      <c r="U4756" t="s">
        <v>6019</v>
      </c>
      <c r="V4756">
        <v>1</v>
      </c>
    </row>
    <row r="4757" spans="1:22" x14ac:dyDescent="0.3">
      <c r="A4757" t="s">
        <v>4772</v>
      </c>
      <c r="B4757" s="2">
        <v>46237.786805555559</v>
      </c>
      <c r="C4757" s="2">
        <v>46237.907638888886</v>
      </c>
      <c r="D4757" t="s">
        <v>6023</v>
      </c>
      <c r="E4757" t="s">
        <v>6030</v>
      </c>
      <c r="F4757" t="s">
        <v>6033</v>
      </c>
      <c r="G4757" t="s">
        <v>6093</v>
      </c>
      <c r="H4757" t="s">
        <v>6097</v>
      </c>
      <c r="I4757">
        <v>72</v>
      </c>
      <c r="J4757">
        <v>2.9</v>
      </c>
      <c r="K4757" t="s">
        <v>6099</v>
      </c>
      <c r="L4757" t="s">
        <v>6100</v>
      </c>
      <c r="M4757" t="s">
        <v>6100</v>
      </c>
      <c r="N4757">
        <v>4</v>
      </c>
      <c r="O4757" t="s">
        <v>6101</v>
      </c>
      <c r="P4757" t="s">
        <v>6114</v>
      </c>
      <c r="Q4757">
        <v>8</v>
      </c>
      <c r="R4757">
        <v>2026</v>
      </c>
      <c r="S4757" t="s">
        <v>6099</v>
      </c>
      <c r="T4757">
        <v>1</v>
      </c>
      <c r="U4757" t="s">
        <v>6017</v>
      </c>
      <c r="V4757">
        <v>1</v>
      </c>
    </row>
    <row r="4758" spans="1:22" x14ac:dyDescent="0.3">
      <c r="A4758" t="s">
        <v>4773</v>
      </c>
      <c r="B4758" s="2">
        <v>46238.26666666667</v>
      </c>
      <c r="C4758" s="2">
        <v>46239.666666666664</v>
      </c>
      <c r="D4758" t="s">
        <v>6028</v>
      </c>
      <c r="E4758" t="s">
        <v>6031</v>
      </c>
      <c r="F4758" t="s">
        <v>6035</v>
      </c>
      <c r="G4758" t="s">
        <v>6045</v>
      </c>
      <c r="H4758" t="s">
        <v>6096</v>
      </c>
      <c r="I4758">
        <v>4</v>
      </c>
      <c r="J4758">
        <v>33.6</v>
      </c>
      <c r="K4758" t="s">
        <v>6100</v>
      </c>
      <c r="L4758" t="s">
        <v>6099</v>
      </c>
      <c r="M4758" t="s">
        <v>6100</v>
      </c>
      <c r="N4758">
        <v>2</v>
      </c>
      <c r="O4758" t="s">
        <v>6101</v>
      </c>
      <c r="P4758" t="s">
        <v>6114</v>
      </c>
      <c r="Q4758">
        <v>8</v>
      </c>
      <c r="R4758">
        <v>2026</v>
      </c>
      <c r="S4758" t="s">
        <v>6100</v>
      </c>
      <c r="T4758">
        <v>0</v>
      </c>
      <c r="U4758" t="s">
        <v>6020</v>
      </c>
      <c r="V4758">
        <v>0</v>
      </c>
    </row>
    <row r="4759" spans="1:22" x14ac:dyDescent="0.3">
      <c r="A4759" t="s">
        <v>4774</v>
      </c>
      <c r="B4759" s="2">
        <v>46238.385416666664</v>
      </c>
      <c r="C4759" s="2">
        <v>46238.685416666667</v>
      </c>
      <c r="D4759" t="s">
        <v>6028</v>
      </c>
      <c r="E4759" t="s">
        <v>6030</v>
      </c>
      <c r="F4759" t="s">
        <v>6035</v>
      </c>
      <c r="G4759" t="s">
        <v>6068</v>
      </c>
      <c r="H4759" t="s">
        <v>6098</v>
      </c>
      <c r="I4759">
        <v>4</v>
      </c>
      <c r="J4759">
        <v>7.2</v>
      </c>
      <c r="K4759" t="s">
        <v>6099</v>
      </c>
      <c r="L4759" t="s">
        <v>6100</v>
      </c>
      <c r="M4759" t="s">
        <v>6100</v>
      </c>
      <c r="N4759">
        <v>5</v>
      </c>
      <c r="O4759" t="s">
        <v>6101</v>
      </c>
      <c r="P4759" t="s">
        <v>6114</v>
      </c>
      <c r="Q4759">
        <v>8</v>
      </c>
      <c r="R4759">
        <v>2026</v>
      </c>
      <c r="S4759" t="s">
        <v>6100</v>
      </c>
      <c r="T4759">
        <v>0</v>
      </c>
      <c r="U4759" t="s">
        <v>6019</v>
      </c>
      <c r="V4759">
        <v>1</v>
      </c>
    </row>
    <row r="4760" spans="1:22" x14ac:dyDescent="0.3">
      <c r="A4760" t="s">
        <v>4775</v>
      </c>
      <c r="B4760" s="2">
        <v>46238.413888888892</v>
      </c>
      <c r="C4760" s="2">
        <v>46239.18472222222</v>
      </c>
      <c r="D4760" t="s">
        <v>6027</v>
      </c>
      <c r="E4760" t="s">
        <v>6032</v>
      </c>
      <c r="F4760" t="s">
        <v>6034</v>
      </c>
      <c r="G4760" t="s">
        <v>6037</v>
      </c>
      <c r="H4760" t="s">
        <v>6096</v>
      </c>
      <c r="I4760">
        <v>24</v>
      </c>
      <c r="J4760">
        <v>18.5</v>
      </c>
      <c r="K4760" t="s">
        <v>6099</v>
      </c>
      <c r="L4760" t="s">
        <v>6100</v>
      </c>
      <c r="M4760" t="s">
        <v>6100</v>
      </c>
      <c r="N4760">
        <v>5</v>
      </c>
      <c r="O4760" t="s">
        <v>6101</v>
      </c>
      <c r="P4760" t="s">
        <v>6114</v>
      </c>
      <c r="Q4760">
        <v>8</v>
      </c>
      <c r="R4760">
        <v>2026</v>
      </c>
      <c r="S4760" t="s">
        <v>6099</v>
      </c>
      <c r="T4760">
        <v>1</v>
      </c>
      <c r="U4760" t="s">
        <v>6017</v>
      </c>
      <c r="V4760">
        <v>1</v>
      </c>
    </row>
    <row r="4761" spans="1:22" x14ac:dyDescent="0.3">
      <c r="A4761" t="s">
        <v>4776</v>
      </c>
      <c r="B4761" s="2">
        <v>46238.431944444441</v>
      </c>
      <c r="C4761" s="2">
        <v>46238.790277777778</v>
      </c>
      <c r="D4761" t="s">
        <v>6022</v>
      </c>
      <c r="E4761" t="s">
        <v>6030</v>
      </c>
      <c r="F4761" t="s">
        <v>6034</v>
      </c>
      <c r="G4761" t="s">
        <v>6090</v>
      </c>
      <c r="H4761" t="s">
        <v>6097</v>
      </c>
      <c r="I4761">
        <v>24</v>
      </c>
      <c r="J4761">
        <v>8.6</v>
      </c>
      <c r="K4761" t="s">
        <v>6100</v>
      </c>
      <c r="L4761" t="s">
        <v>6099</v>
      </c>
      <c r="M4761" t="s">
        <v>6100</v>
      </c>
      <c r="N4761">
        <v>3</v>
      </c>
      <c r="O4761" t="s">
        <v>6101</v>
      </c>
      <c r="P4761" t="s">
        <v>6114</v>
      </c>
      <c r="Q4761">
        <v>8</v>
      </c>
      <c r="R4761">
        <v>2026</v>
      </c>
      <c r="S4761" t="s">
        <v>6099</v>
      </c>
      <c r="T4761">
        <v>1</v>
      </c>
      <c r="U4761" t="s">
        <v>6018</v>
      </c>
      <c r="V4761">
        <v>0</v>
      </c>
    </row>
    <row r="4762" spans="1:22" x14ac:dyDescent="0.3">
      <c r="A4762" t="s">
        <v>4777</v>
      </c>
      <c r="B4762" s="2">
        <v>46238.470833333333</v>
      </c>
      <c r="C4762" s="2">
        <v>46240.404166666667</v>
      </c>
      <c r="D4762" t="s">
        <v>6026</v>
      </c>
      <c r="E4762" t="s">
        <v>6029</v>
      </c>
      <c r="F4762" t="s">
        <v>6034</v>
      </c>
      <c r="G4762" t="s">
        <v>6089</v>
      </c>
      <c r="H4762" t="s">
        <v>6098</v>
      </c>
      <c r="I4762">
        <v>24</v>
      </c>
      <c r="J4762">
        <v>46.4</v>
      </c>
      <c r="K4762" t="s">
        <v>6099</v>
      </c>
      <c r="L4762" t="s">
        <v>6100</v>
      </c>
      <c r="M4762" t="s">
        <v>6100</v>
      </c>
      <c r="O4762" t="s">
        <v>6101</v>
      </c>
      <c r="P4762" t="s">
        <v>6114</v>
      </c>
      <c r="Q4762">
        <v>8</v>
      </c>
      <c r="R4762">
        <v>2026</v>
      </c>
      <c r="S4762" t="s">
        <v>6100</v>
      </c>
      <c r="T4762">
        <v>0</v>
      </c>
      <c r="U4762" t="s">
        <v>6019</v>
      </c>
      <c r="V4762">
        <v>1</v>
      </c>
    </row>
    <row r="4763" spans="1:22" x14ac:dyDescent="0.3">
      <c r="A4763" t="s">
        <v>4778</v>
      </c>
      <c r="B4763" s="2">
        <v>46238.48541666667</v>
      </c>
      <c r="C4763" s="2">
        <v>46238.747916666667</v>
      </c>
      <c r="D4763" t="s">
        <v>6022</v>
      </c>
      <c r="E4763" t="s">
        <v>6029</v>
      </c>
      <c r="F4763" t="s">
        <v>6033</v>
      </c>
      <c r="G4763" t="s">
        <v>6053</v>
      </c>
      <c r="H4763" t="s">
        <v>6097</v>
      </c>
      <c r="I4763">
        <v>72</v>
      </c>
      <c r="J4763">
        <v>6.3</v>
      </c>
      <c r="K4763" t="s">
        <v>6099</v>
      </c>
      <c r="L4763" t="s">
        <v>6100</v>
      </c>
      <c r="M4763" t="s">
        <v>6099</v>
      </c>
      <c r="N4763">
        <v>5</v>
      </c>
      <c r="O4763" t="s">
        <v>6101</v>
      </c>
      <c r="P4763" t="s">
        <v>6114</v>
      </c>
      <c r="Q4763">
        <v>8</v>
      </c>
      <c r="R4763">
        <v>2026</v>
      </c>
      <c r="S4763" t="s">
        <v>6099</v>
      </c>
      <c r="T4763">
        <v>1</v>
      </c>
      <c r="U4763" t="s">
        <v>6018</v>
      </c>
      <c r="V4763">
        <v>1</v>
      </c>
    </row>
    <row r="4764" spans="1:22" x14ac:dyDescent="0.3">
      <c r="A4764" t="s">
        <v>4779</v>
      </c>
      <c r="B4764" s="2">
        <v>46238.533333333333</v>
      </c>
      <c r="C4764" s="2">
        <v>46241.487500000003</v>
      </c>
      <c r="D4764" t="s">
        <v>6026</v>
      </c>
      <c r="E4764" t="s">
        <v>6031</v>
      </c>
      <c r="F4764" t="s">
        <v>6034</v>
      </c>
      <c r="G4764" t="s">
        <v>6071</v>
      </c>
      <c r="H4764" t="s">
        <v>6098</v>
      </c>
      <c r="I4764">
        <v>24</v>
      </c>
      <c r="J4764">
        <v>70.900000000000006</v>
      </c>
      <c r="K4764" t="s">
        <v>6099</v>
      </c>
      <c r="L4764" t="s">
        <v>6100</v>
      </c>
      <c r="M4764" t="s">
        <v>6100</v>
      </c>
      <c r="N4764">
        <v>5</v>
      </c>
      <c r="O4764" t="s">
        <v>6101</v>
      </c>
      <c r="P4764" t="s">
        <v>6114</v>
      </c>
      <c r="Q4764">
        <v>8</v>
      </c>
      <c r="R4764">
        <v>2026</v>
      </c>
      <c r="S4764" t="s">
        <v>6100</v>
      </c>
      <c r="T4764">
        <v>0</v>
      </c>
      <c r="U4764" t="s">
        <v>6021</v>
      </c>
      <c r="V4764">
        <v>1</v>
      </c>
    </row>
    <row r="4765" spans="1:22" x14ac:dyDescent="0.3">
      <c r="A4765" t="s">
        <v>4780</v>
      </c>
      <c r="B4765" s="2">
        <v>46238.556944444441</v>
      </c>
      <c r="C4765" s="2">
        <v>46240.223611111112</v>
      </c>
      <c r="D4765" t="s">
        <v>6028</v>
      </c>
      <c r="E4765" t="s">
        <v>6031</v>
      </c>
      <c r="F4765" t="s">
        <v>6035</v>
      </c>
      <c r="G4765" t="s">
        <v>6095</v>
      </c>
      <c r="H4765" t="s">
        <v>6098</v>
      </c>
      <c r="I4765">
        <v>4</v>
      </c>
      <c r="J4765">
        <v>40</v>
      </c>
      <c r="K4765" t="s">
        <v>6099</v>
      </c>
      <c r="L4765" t="s">
        <v>6100</v>
      </c>
      <c r="M4765" t="s">
        <v>6099</v>
      </c>
      <c r="O4765" t="s">
        <v>6101</v>
      </c>
      <c r="P4765" t="s">
        <v>6114</v>
      </c>
      <c r="Q4765">
        <v>8</v>
      </c>
      <c r="R4765">
        <v>2026</v>
      </c>
      <c r="S4765" t="s">
        <v>6100</v>
      </c>
      <c r="T4765">
        <v>0</v>
      </c>
      <c r="U4765" t="s">
        <v>6021</v>
      </c>
      <c r="V4765">
        <v>1</v>
      </c>
    </row>
    <row r="4766" spans="1:22" x14ac:dyDescent="0.3">
      <c r="A4766" t="s">
        <v>4781</v>
      </c>
      <c r="B4766" s="2">
        <v>46238.580555555556</v>
      </c>
      <c r="C4766" s="2">
        <v>46239.351388888892</v>
      </c>
      <c r="D4766" t="s">
        <v>6027</v>
      </c>
      <c r="E4766" t="s">
        <v>6029</v>
      </c>
      <c r="F4766" t="s">
        <v>6033</v>
      </c>
      <c r="G4766" t="s">
        <v>6045</v>
      </c>
      <c r="H4766" t="s">
        <v>6096</v>
      </c>
      <c r="I4766">
        <v>72</v>
      </c>
      <c r="J4766">
        <v>18.5</v>
      </c>
      <c r="K4766" t="s">
        <v>6099</v>
      </c>
      <c r="L4766" t="s">
        <v>6100</v>
      </c>
      <c r="M4766" t="s">
        <v>6100</v>
      </c>
      <c r="O4766" t="s">
        <v>6101</v>
      </c>
      <c r="P4766" t="s">
        <v>6114</v>
      </c>
      <c r="Q4766">
        <v>8</v>
      </c>
      <c r="R4766">
        <v>2026</v>
      </c>
      <c r="S4766" t="s">
        <v>6099</v>
      </c>
      <c r="T4766">
        <v>1</v>
      </c>
      <c r="U4766" t="s">
        <v>6019</v>
      </c>
      <c r="V4766">
        <v>1</v>
      </c>
    </row>
    <row r="4767" spans="1:22" x14ac:dyDescent="0.3">
      <c r="A4767" t="s">
        <v>4782</v>
      </c>
      <c r="B4767" s="2">
        <v>46238.582638888889</v>
      </c>
      <c r="C4767" s="2">
        <v>46240.357638888891</v>
      </c>
      <c r="D4767" t="s">
        <v>6026</v>
      </c>
      <c r="E4767" t="s">
        <v>6031</v>
      </c>
      <c r="F4767" t="s">
        <v>6034</v>
      </c>
      <c r="G4767" t="s">
        <v>6060</v>
      </c>
      <c r="H4767" t="s">
        <v>6097</v>
      </c>
      <c r="I4767">
        <v>24</v>
      </c>
      <c r="J4767">
        <v>42.6</v>
      </c>
      <c r="K4767" t="s">
        <v>6100</v>
      </c>
      <c r="L4767" t="s">
        <v>6100</v>
      </c>
      <c r="M4767" t="s">
        <v>6100</v>
      </c>
      <c r="N4767">
        <v>3</v>
      </c>
      <c r="O4767" t="s">
        <v>6101</v>
      </c>
      <c r="P4767" t="s">
        <v>6114</v>
      </c>
      <c r="Q4767">
        <v>8</v>
      </c>
      <c r="R4767">
        <v>2026</v>
      </c>
      <c r="S4767" t="s">
        <v>6100</v>
      </c>
      <c r="T4767">
        <v>0</v>
      </c>
      <c r="U4767" t="s">
        <v>6018</v>
      </c>
      <c r="V4767">
        <v>0</v>
      </c>
    </row>
    <row r="4768" spans="1:22" x14ac:dyDescent="0.3">
      <c r="A4768" t="s">
        <v>4783</v>
      </c>
      <c r="B4768" s="2">
        <v>46238.602777777778</v>
      </c>
      <c r="C4768" s="2">
        <v>46239.356944444444</v>
      </c>
      <c r="D4768" t="s">
        <v>6023</v>
      </c>
      <c r="E4768" t="s">
        <v>6032</v>
      </c>
      <c r="F4768" t="s">
        <v>6034</v>
      </c>
      <c r="G4768" t="s">
        <v>6065</v>
      </c>
      <c r="H4768" t="s">
        <v>6097</v>
      </c>
      <c r="I4768">
        <v>24</v>
      </c>
      <c r="J4768">
        <v>18.100000000000001</v>
      </c>
      <c r="K4768" t="s">
        <v>6099</v>
      </c>
      <c r="L4768" t="s">
        <v>6100</v>
      </c>
      <c r="M4768" t="s">
        <v>6100</v>
      </c>
      <c r="O4768" t="s">
        <v>6101</v>
      </c>
      <c r="P4768" t="s">
        <v>6114</v>
      </c>
      <c r="Q4768">
        <v>8</v>
      </c>
      <c r="R4768">
        <v>2026</v>
      </c>
      <c r="S4768" t="s">
        <v>6099</v>
      </c>
      <c r="T4768">
        <v>1</v>
      </c>
      <c r="U4768" t="s">
        <v>6021</v>
      </c>
      <c r="V4768">
        <v>1</v>
      </c>
    </row>
    <row r="4769" spans="1:22" x14ac:dyDescent="0.3">
      <c r="A4769" t="s">
        <v>4784</v>
      </c>
      <c r="B4769" s="2">
        <v>46238.620138888888</v>
      </c>
      <c r="C4769" s="2">
        <v>46247.724305555559</v>
      </c>
      <c r="D4769" t="s">
        <v>6026</v>
      </c>
      <c r="E4769" t="s">
        <v>6031</v>
      </c>
      <c r="F4769" t="s">
        <v>6035</v>
      </c>
      <c r="G4769" t="s">
        <v>6076</v>
      </c>
      <c r="H4769" t="s">
        <v>6097</v>
      </c>
      <c r="I4769">
        <v>4</v>
      </c>
      <c r="J4769">
        <v>218.5</v>
      </c>
      <c r="K4769" t="s">
        <v>6099</v>
      </c>
      <c r="L4769" t="s">
        <v>6100</v>
      </c>
      <c r="M4769" t="s">
        <v>6100</v>
      </c>
      <c r="O4769" t="s">
        <v>6101</v>
      </c>
      <c r="P4769" t="s">
        <v>6114</v>
      </c>
      <c r="Q4769">
        <v>8</v>
      </c>
      <c r="R4769">
        <v>2026</v>
      </c>
      <c r="S4769" t="s">
        <v>6100</v>
      </c>
      <c r="T4769">
        <v>0</v>
      </c>
      <c r="U4769" t="s">
        <v>6020</v>
      </c>
      <c r="V4769">
        <v>1</v>
      </c>
    </row>
    <row r="4770" spans="1:22" x14ac:dyDescent="0.3">
      <c r="A4770" t="s">
        <v>4785</v>
      </c>
      <c r="B4770" s="2">
        <v>46238.637499999997</v>
      </c>
      <c r="C4770" s="2">
        <v>46238.85833333333</v>
      </c>
      <c r="D4770" t="s">
        <v>6023</v>
      </c>
      <c r="E4770" t="s">
        <v>6029</v>
      </c>
      <c r="F4770" t="s">
        <v>6034</v>
      </c>
      <c r="G4770" t="s">
        <v>6043</v>
      </c>
      <c r="H4770" t="s">
        <v>6097</v>
      </c>
      <c r="I4770">
        <v>24</v>
      </c>
      <c r="J4770">
        <v>5.3</v>
      </c>
      <c r="K4770" t="s">
        <v>6099</v>
      </c>
      <c r="L4770" t="s">
        <v>6100</v>
      </c>
      <c r="M4770" t="s">
        <v>6100</v>
      </c>
      <c r="N4770">
        <v>5</v>
      </c>
      <c r="O4770" t="s">
        <v>6101</v>
      </c>
      <c r="P4770" t="s">
        <v>6114</v>
      </c>
      <c r="Q4770">
        <v>8</v>
      </c>
      <c r="R4770">
        <v>2026</v>
      </c>
      <c r="S4770" t="s">
        <v>6099</v>
      </c>
      <c r="T4770">
        <v>1</v>
      </c>
      <c r="U4770" t="s">
        <v>6018</v>
      </c>
      <c r="V4770">
        <v>1</v>
      </c>
    </row>
    <row r="4771" spans="1:22" x14ac:dyDescent="0.3">
      <c r="A4771" t="s">
        <v>4786</v>
      </c>
      <c r="B4771" s="2">
        <v>46238.697222222225</v>
      </c>
      <c r="C4771" s="2">
        <v>46239.509722222225</v>
      </c>
      <c r="D4771" t="s">
        <v>6028</v>
      </c>
      <c r="E4771" t="s">
        <v>6029</v>
      </c>
      <c r="F4771" t="s">
        <v>6035</v>
      </c>
      <c r="G4771" t="s">
        <v>6059</v>
      </c>
      <c r="H4771" t="s">
        <v>6097</v>
      </c>
      <c r="I4771">
        <v>4</v>
      </c>
      <c r="J4771">
        <v>19.5</v>
      </c>
      <c r="K4771" t="s">
        <v>6099</v>
      </c>
      <c r="L4771" t="s">
        <v>6100</v>
      </c>
      <c r="M4771" t="s">
        <v>6100</v>
      </c>
      <c r="N4771">
        <v>3</v>
      </c>
      <c r="O4771" t="s">
        <v>6101</v>
      </c>
      <c r="P4771" t="s">
        <v>6114</v>
      </c>
      <c r="Q4771">
        <v>8</v>
      </c>
      <c r="R4771">
        <v>2026</v>
      </c>
      <c r="S4771" t="s">
        <v>6100</v>
      </c>
      <c r="T4771">
        <v>0</v>
      </c>
      <c r="U4771" t="s">
        <v>6021</v>
      </c>
      <c r="V4771">
        <v>1</v>
      </c>
    </row>
    <row r="4772" spans="1:22" x14ac:dyDescent="0.3">
      <c r="A4772" t="s">
        <v>4787</v>
      </c>
      <c r="B4772" s="2">
        <v>46238.718055555553</v>
      </c>
      <c r="C4772" s="2">
        <v>46238.972222222219</v>
      </c>
      <c r="D4772" t="s">
        <v>6028</v>
      </c>
      <c r="E4772" t="s">
        <v>6029</v>
      </c>
      <c r="F4772" t="s">
        <v>6034</v>
      </c>
      <c r="G4772" t="s">
        <v>6038</v>
      </c>
      <c r="H4772" t="s">
        <v>6096</v>
      </c>
      <c r="I4772">
        <v>24</v>
      </c>
      <c r="J4772">
        <v>6.1</v>
      </c>
      <c r="K4772" t="s">
        <v>6099</v>
      </c>
      <c r="L4772" t="s">
        <v>6100</v>
      </c>
      <c r="M4772" t="s">
        <v>6100</v>
      </c>
      <c r="N4772">
        <v>5</v>
      </c>
      <c r="O4772" t="s">
        <v>6101</v>
      </c>
      <c r="P4772" t="s">
        <v>6114</v>
      </c>
      <c r="Q4772">
        <v>8</v>
      </c>
      <c r="R4772">
        <v>2026</v>
      </c>
      <c r="S4772" t="s">
        <v>6099</v>
      </c>
      <c r="T4772">
        <v>1</v>
      </c>
      <c r="U4772" t="s">
        <v>6021</v>
      </c>
      <c r="V4772">
        <v>1</v>
      </c>
    </row>
    <row r="4773" spans="1:22" x14ac:dyDescent="0.3">
      <c r="A4773" t="s">
        <v>4788</v>
      </c>
      <c r="B4773" s="2">
        <v>46238.745138888888</v>
      </c>
      <c r="C4773" s="2">
        <v>46239.453472222223</v>
      </c>
      <c r="D4773" t="s">
        <v>6027</v>
      </c>
      <c r="E4773" t="s">
        <v>6031</v>
      </c>
      <c r="F4773" t="s">
        <v>6034</v>
      </c>
      <c r="G4773" t="s">
        <v>6072</v>
      </c>
      <c r="H4773" t="s">
        <v>6097</v>
      </c>
      <c r="I4773">
        <v>24</v>
      </c>
      <c r="J4773">
        <v>17</v>
      </c>
      <c r="K4773" t="s">
        <v>6099</v>
      </c>
      <c r="L4773" t="s">
        <v>6100</v>
      </c>
      <c r="M4773" t="s">
        <v>6100</v>
      </c>
      <c r="O4773" t="s">
        <v>6101</v>
      </c>
      <c r="P4773" t="s">
        <v>6114</v>
      </c>
      <c r="Q4773">
        <v>8</v>
      </c>
      <c r="R4773">
        <v>2026</v>
      </c>
      <c r="S4773" t="s">
        <v>6099</v>
      </c>
      <c r="T4773">
        <v>1</v>
      </c>
      <c r="U4773" t="s">
        <v>6020</v>
      </c>
      <c r="V4773">
        <v>1</v>
      </c>
    </row>
    <row r="4774" spans="1:22" x14ac:dyDescent="0.3">
      <c r="A4774" t="s">
        <v>4789</v>
      </c>
      <c r="B4774" s="2">
        <v>46238.765277777777</v>
      </c>
      <c r="C4774" s="2">
        <v>46238.998611111114</v>
      </c>
      <c r="D4774" t="s">
        <v>6028</v>
      </c>
      <c r="E4774" t="s">
        <v>6029</v>
      </c>
      <c r="F4774" t="s">
        <v>6035</v>
      </c>
      <c r="G4774" t="s">
        <v>6057</v>
      </c>
      <c r="H4774" t="s">
        <v>6097</v>
      </c>
      <c r="I4774">
        <v>4</v>
      </c>
      <c r="J4774">
        <v>5.6</v>
      </c>
      <c r="K4774" t="s">
        <v>6099</v>
      </c>
      <c r="L4774" t="s">
        <v>6100</v>
      </c>
      <c r="M4774" t="s">
        <v>6100</v>
      </c>
      <c r="O4774" t="s">
        <v>6101</v>
      </c>
      <c r="P4774" t="s">
        <v>6114</v>
      </c>
      <c r="Q4774">
        <v>8</v>
      </c>
      <c r="R4774">
        <v>2026</v>
      </c>
      <c r="S4774" t="s">
        <v>6100</v>
      </c>
      <c r="T4774">
        <v>0</v>
      </c>
      <c r="U4774" t="s">
        <v>6020</v>
      </c>
      <c r="V4774">
        <v>1</v>
      </c>
    </row>
    <row r="4775" spans="1:22" x14ac:dyDescent="0.3">
      <c r="A4775" t="s">
        <v>4790</v>
      </c>
      <c r="B4775" s="2">
        <v>46238.814583333333</v>
      </c>
      <c r="C4775" s="2">
        <v>46239.322916666664</v>
      </c>
      <c r="D4775" t="s">
        <v>6027</v>
      </c>
      <c r="E4775" t="s">
        <v>6030</v>
      </c>
      <c r="F4775" t="s">
        <v>6034</v>
      </c>
      <c r="G4775" t="s">
        <v>6053</v>
      </c>
      <c r="H4775" t="s">
        <v>6097</v>
      </c>
      <c r="I4775">
        <v>24</v>
      </c>
      <c r="J4775">
        <v>12.2</v>
      </c>
      <c r="K4775" t="s">
        <v>6099</v>
      </c>
      <c r="L4775" t="s">
        <v>6100</v>
      </c>
      <c r="M4775" t="s">
        <v>6100</v>
      </c>
      <c r="O4775" t="s">
        <v>6101</v>
      </c>
      <c r="P4775" t="s">
        <v>6114</v>
      </c>
      <c r="Q4775">
        <v>8</v>
      </c>
      <c r="R4775">
        <v>2026</v>
      </c>
      <c r="S4775" t="s">
        <v>6099</v>
      </c>
      <c r="T4775">
        <v>1</v>
      </c>
      <c r="U4775" t="s">
        <v>6021</v>
      </c>
      <c r="V4775">
        <v>1</v>
      </c>
    </row>
    <row r="4776" spans="1:22" x14ac:dyDescent="0.3">
      <c r="A4776" t="s">
        <v>4791</v>
      </c>
      <c r="B4776" s="2">
        <v>46238.820138888892</v>
      </c>
      <c r="C4776" s="2">
        <v>46238.940972222219</v>
      </c>
      <c r="D4776" t="s">
        <v>6024</v>
      </c>
      <c r="E4776" t="s">
        <v>6030</v>
      </c>
      <c r="F4776" t="s">
        <v>6033</v>
      </c>
      <c r="G4776" t="s">
        <v>6063</v>
      </c>
      <c r="H4776" t="s">
        <v>6097</v>
      </c>
      <c r="I4776">
        <v>72</v>
      </c>
      <c r="J4776">
        <v>2.9</v>
      </c>
      <c r="K4776" t="s">
        <v>6099</v>
      </c>
      <c r="L4776" t="s">
        <v>6100</v>
      </c>
      <c r="M4776" t="s">
        <v>6100</v>
      </c>
      <c r="O4776" t="s">
        <v>6101</v>
      </c>
      <c r="P4776" t="s">
        <v>6114</v>
      </c>
      <c r="Q4776">
        <v>8</v>
      </c>
      <c r="R4776">
        <v>2026</v>
      </c>
      <c r="S4776" t="s">
        <v>6099</v>
      </c>
      <c r="T4776">
        <v>1</v>
      </c>
      <c r="U4776" t="s">
        <v>6017</v>
      </c>
      <c r="V4776">
        <v>1</v>
      </c>
    </row>
    <row r="4777" spans="1:22" x14ac:dyDescent="0.3">
      <c r="A4777" t="s">
        <v>4792</v>
      </c>
      <c r="B4777" s="2">
        <v>46238.842361111114</v>
      </c>
      <c r="C4777" s="2">
        <v>46239.900694444441</v>
      </c>
      <c r="D4777" t="s">
        <v>6026</v>
      </c>
      <c r="E4777" t="s">
        <v>6029</v>
      </c>
      <c r="F4777" t="s">
        <v>6033</v>
      </c>
      <c r="G4777" t="s">
        <v>6070</v>
      </c>
      <c r="H4777" t="s">
        <v>6097</v>
      </c>
      <c r="I4777">
        <v>72</v>
      </c>
      <c r="J4777">
        <v>25.4</v>
      </c>
      <c r="K4777" t="s">
        <v>6100</v>
      </c>
      <c r="L4777" t="s">
        <v>6099</v>
      </c>
      <c r="M4777" t="s">
        <v>6100</v>
      </c>
      <c r="N4777">
        <v>3</v>
      </c>
      <c r="O4777" t="s">
        <v>6101</v>
      </c>
      <c r="P4777" t="s">
        <v>6114</v>
      </c>
      <c r="Q4777">
        <v>8</v>
      </c>
      <c r="R4777">
        <v>2026</v>
      </c>
      <c r="S4777" t="s">
        <v>6099</v>
      </c>
      <c r="T4777">
        <v>1</v>
      </c>
      <c r="U4777" t="s">
        <v>6017</v>
      </c>
      <c r="V4777">
        <v>0</v>
      </c>
    </row>
    <row r="4778" spans="1:22" x14ac:dyDescent="0.3">
      <c r="A4778" t="s">
        <v>4793</v>
      </c>
      <c r="B4778" s="2">
        <v>46238.87777777778</v>
      </c>
      <c r="C4778" s="2">
        <v>46239.406944444447</v>
      </c>
      <c r="D4778" t="s">
        <v>6025</v>
      </c>
      <c r="E4778" t="s">
        <v>6032</v>
      </c>
      <c r="F4778" t="s">
        <v>6034</v>
      </c>
      <c r="G4778" t="s">
        <v>6082</v>
      </c>
      <c r="H4778" t="s">
        <v>6097</v>
      </c>
      <c r="I4778">
        <v>24</v>
      </c>
      <c r="J4778">
        <v>12.7</v>
      </c>
      <c r="K4778" t="s">
        <v>6099</v>
      </c>
      <c r="L4778" t="s">
        <v>6100</v>
      </c>
      <c r="M4778" t="s">
        <v>6100</v>
      </c>
      <c r="N4778">
        <v>5</v>
      </c>
      <c r="O4778" t="s">
        <v>6101</v>
      </c>
      <c r="P4778" t="s">
        <v>6114</v>
      </c>
      <c r="Q4778">
        <v>8</v>
      </c>
      <c r="R4778">
        <v>2026</v>
      </c>
      <c r="S4778" t="s">
        <v>6099</v>
      </c>
      <c r="T4778">
        <v>1</v>
      </c>
      <c r="U4778" t="s">
        <v>6021</v>
      </c>
      <c r="V4778">
        <v>1</v>
      </c>
    </row>
    <row r="4779" spans="1:22" x14ac:dyDescent="0.3">
      <c r="A4779" t="s">
        <v>4794</v>
      </c>
      <c r="B4779" s="2">
        <v>46239.218055555553</v>
      </c>
      <c r="C4779" s="2">
        <v>46239.49722222222</v>
      </c>
      <c r="D4779" t="s">
        <v>6023</v>
      </c>
      <c r="E4779" t="s">
        <v>6030</v>
      </c>
      <c r="F4779" t="s">
        <v>6033</v>
      </c>
      <c r="G4779" t="s">
        <v>6053</v>
      </c>
      <c r="H4779" t="s">
        <v>6097</v>
      </c>
      <c r="I4779">
        <v>72</v>
      </c>
      <c r="J4779">
        <v>6.7</v>
      </c>
      <c r="K4779" t="s">
        <v>6099</v>
      </c>
      <c r="L4779" t="s">
        <v>6100</v>
      </c>
      <c r="M4779" t="s">
        <v>6100</v>
      </c>
      <c r="O4779" t="s">
        <v>6101</v>
      </c>
      <c r="P4779" t="s">
        <v>6114</v>
      </c>
      <c r="Q4779">
        <v>8</v>
      </c>
      <c r="R4779">
        <v>2026</v>
      </c>
      <c r="S4779" t="s">
        <v>6099</v>
      </c>
      <c r="T4779">
        <v>1</v>
      </c>
      <c r="U4779" t="s">
        <v>6019</v>
      </c>
      <c r="V4779">
        <v>1</v>
      </c>
    </row>
    <row r="4780" spans="1:22" x14ac:dyDescent="0.3">
      <c r="A4780" t="s">
        <v>4795</v>
      </c>
      <c r="B4780" s="2">
        <v>46239.280555555553</v>
      </c>
      <c r="C4780" s="2">
        <v>46240.026388888888</v>
      </c>
      <c r="D4780" t="s">
        <v>6026</v>
      </c>
      <c r="E4780" t="s">
        <v>6029</v>
      </c>
      <c r="F4780" t="s">
        <v>6034</v>
      </c>
      <c r="G4780" t="s">
        <v>6087</v>
      </c>
      <c r="H4780" t="s">
        <v>6098</v>
      </c>
      <c r="I4780">
        <v>24</v>
      </c>
      <c r="J4780">
        <v>17.899999999999999</v>
      </c>
      <c r="K4780" t="s">
        <v>6099</v>
      </c>
      <c r="L4780" t="s">
        <v>6100</v>
      </c>
      <c r="M4780" t="s">
        <v>6099</v>
      </c>
      <c r="N4780">
        <v>4</v>
      </c>
      <c r="O4780" t="s">
        <v>6101</v>
      </c>
      <c r="P4780" t="s">
        <v>6114</v>
      </c>
      <c r="Q4780">
        <v>8</v>
      </c>
      <c r="R4780">
        <v>2026</v>
      </c>
      <c r="S4780" t="s">
        <v>6099</v>
      </c>
      <c r="T4780">
        <v>1</v>
      </c>
      <c r="U4780" t="s">
        <v>6017</v>
      </c>
      <c r="V4780">
        <v>1</v>
      </c>
    </row>
    <row r="4781" spans="1:22" x14ac:dyDescent="0.3">
      <c r="A4781" t="s">
        <v>4796</v>
      </c>
      <c r="B4781" s="2">
        <v>46239.320833333331</v>
      </c>
      <c r="C4781" s="2">
        <v>46239.42083333333</v>
      </c>
      <c r="D4781" t="s">
        <v>6022</v>
      </c>
      <c r="E4781" t="s">
        <v>6030</v>
      </c>
      <c r="F4781" t="s">
        <v>6034</v>
      </c>
      <c r="G4781" t="s">
        <v>6058</v>
      </c>
      <c r="H4781" t="s">
        <v>6098</v>
      </c>
      <c r="I4781">
        <v>24</v>
      </c>
      <c r="J4781">
        <v>2.4</v>
      </c>
      <c r="K4781" t="s">
        <v>6099</v>
      </c>
      <c r="L4781" t="s">
        <v>6100</v>
      </c>
      <c r="M4781" t="s">
        <v>6100</v>
      </c>
      <c r="N4781">
        <v>5</v>
      </c>
      <c r="O4781" t="s">
        <v>6101</v>
      </c>
      <c r="P4781" t="s">
        <v>6114</v>
      </c>
      <c r="Q4781">
        <v>8</v>
      </c>
      <c r="R4781">
        <v>2026</v>
      </c>
      <c r="S4781" t="s">
        <v>6099</v>
      </c>
      <c r="T4781">
        <v>1</v>
      </c>
      <c r="U4781" t="s">
        <v>6021</v>
      </c>
      <c r="V4781">
        <v>1</v>
      </c>
    </row>
    <row r="4782" spans="1:22" x14ac:dyDescent="0.3">
      <c r="A4782" t="s">
        <v>4797</v>
      </c>
      <c r="B4782" s="2">
        <v>46239.34652777778</v>
      </c>
      <c r="C4782" s="2">
        <v>46239.446527777778</v>
      </c>
      <c r="D4782" t="s">
        <v>6024</v>
      </c>
      <c r="E4782" t="s">
        <v>6030</v>
      </c>
      <c r="F4782" t="s">
        <v>6035</v>
      </c>
      <c r="G4782" t="s">
        <v>6049</v>
      </c>
      <c r="H4782" t="s">
        <v>6097</v>
      </c>
      <c r="I4782">
        <v>4</v>
      </c>
      <c r="J4782">
        <v>2.4</v>
      </c>
      <c r="K4782" t="s">
        <v>6099</v>
      </c>
      <c r="L4782" t="s">
        <v>6100</v>
      </c>
      <c r="M4782" t="s">
        <v>6100</v>
      </c>
      <c r="O4782" t="s">
        <v>6101</v>
      </c>
      <c r="P4782" t="s">
        <v>6114</v>
      </c>
      <c r="Q4782">
        <v>8</v>
      </c>
      <c r="R4782">
        <v>2026</v>
      </c>
      <c r="S4782" t="s">
        <v>6099</v>
      </c>
      <c r="T4782">
        <v>1</v>
      </c>
      <c r="U4782" t="s">
        <v>6021</v>
      </c>
      <c r="V4782">
        <v>1</v>
      </c>
    </row>
    <row r="4783" spans="1:22" x14ac:dyDescent="0.3">
      <c r="A4783" t="s">
        <v>4798</v>
      </c>
      <c r="B4783" s="2">
        <v>46239.365972222222</v>
      </c>
      <c r="C4783" s="2">
        <v>46239.574305555558</v>
      </c>
      <c r="D4783" t="s">
        <v>6023</v>
      </c>
      <c r="E4783" t="s">
        <v>6030</v>
      </c>
      <c r="F4783" t="s">
        <v>6033</v>
      </c>
      <c r="G4783" t="s">
        <v>6051</v>
      </c>
      <c r="H4783" t="s">
        <v>6097</v>
      </c>
      <c r="I4783">
        <v>72</v>
      </c>
      <c r="J4783">
        <v>5</v>
      </c>
      <c r="K4783" t="s">
        <v>6099</v>
      </c>
      <c r="L4783" t="s">
        <v>6100</v>
      </c>
      <c r="M4783" t="s">
        <v>6100</v>
      </c>
      <c r="N4783">
        <v>4</v>
      </c>
      <c r="O4783" t="s">
        <v>6101</v>
      </c>
      <c r="P4783" t="s">
        <v>6114</v>
      </c>
      <c r="Q4783">
        <v>8</v>
      </c>
      <c r="R4783">
        <v>2026</v>
      </c>
      <c r="S4783" t="s">
        <v>6099</v>
      </c>
      <c r="T4783">
        <v>1</v>
      </c>
      <c r="U4783" t="s">
        <v>6018</v>
      </c>
      <c r="V4783">
        <v>1</v>
      </c>
    </row>
    <row r="4784" spans="1:22" x14ac:dyDescent="0.3">
      <c r="A4784" t="s">
        <v>4799</v>
      </c>
      <c r="B4784" s="2">
        <v>46239.366666666669</v>
      </c>
      <c r="C4784" s="2">
        <v>46239.533333333333</v>
      </c>
      <c r="D4784" t="s">
        <v>6028</v>
      </c>
      <c r="E4784" t="s">
        <v>6030</v>
      </c>
      <c r="F4784" t="s">
        <v>6035</v>
      </c>
      <c r="G4784" t="s">
        <v>6047</v>
      </c>
      <c r="H4784" t="s">
        <v>6098</v>
      </c>
      <c r="I4784">
        <v>4</v>
      </c>
      <c r="J4784">
        <v>4</v>
      </c>
      <c r="K4784" t="s">
        <v>6099</v>
      </c>
      <c r="L4784" t="s">
        <v>6100</v>
      </c>
      <c r="M4784" t="s">
        <v>6100</v>
      </c>
      <c r="O4784" t="s">
        <v>6101</v>
      </c>
      <c r="P4784" t="s">
        <v>6114</v>
      </c>
      <c r="Q4784">
        <v>8</v>
      </c>
      <c r="R4784">
        <v>2026</v>
      </c>
      <c r="S4784" t="s">
        <v>6099</v>
      </c>
      <c r="T4784">
        <v>1</v>
      </c>
      <c r="U4784" t="s">
        <v>6021</v>
      </c>
      <c r="V4784">
        <v>1</v>
      </c>
    </row>
    <row r="4785" spans="1:22" x14ac:dyDescent="0.3">
      <c r="A4785" t="s">
        <v>4800</v>
      </c>
      <c r="B4785" s="2">
        <v>46239.390972222223</v>
      </c>
      <c r="C4785" s="2">
        <v>46241.149305555555</v>
      </c>
      <c r="D4785" t="s">
        <v>6025</v>
      </c>
      <c r="E4785" t="s">
        <v>6031</v>
      </c>
      <c r="F4785" t="s">
        <v>6033</v>
      </c>
      <c r="G4785" t="s">
        <v>6074</v>
      </c>
      <c r="H4785" t="s">
        <v>6098</v>
      </c>
      <c r="I4785">
        <v>72</v>
      </c>
      <c r="J4785">
        <v>42.2</v>
      </c>
      <c r="K4785" t="s">
        <v>6099</v>
      </c>
      <c r="L4785" t="s">
        <v>6100</v>
      </c>
      <c r="M4785" t="s">
        <v>6100</v>
      </c>
      <c r="N4785">
        <v>5</v>
      </c>
      <c r="O4785" t="s">
        <v>6101</v>
      </c>
      <c r="P4785" t="s">
        <v>6114</v>
      </c>
      <c r="Q4785">
        <v>8</v>
      </c>
      <c r="R4785">
        <v>2026</v>
      </c>
      <c r="S4785" t="s">
        <v>6099</v>
      </c>
      <c r="T4785">
        <v>1</v>
      </c>
      <c r="U4785" t="s">
        <v>6018</v>
      </c>
      <c r="V4785">
        <v>1</v>
      </c>
    </row>
    <row r="4786" spans="1:22" x14ac:dyDescent="0.3">
      <c r="A4786" t="s">
        <v>4801</v>
      </c>
      <c r="B4786" s="2">
        <v>46239.42083333333</v>
      </c>
      <c r="C4786" s="2">
        <v>46240.07916666667</v>
      </c>
      <c r="D4786" t="s">
        <v>6025</v>
      </c>
      <c r="E4786" t="s">
        <v>6029</v>
      </c>
      <c r="F4786" t="s">
        <v>6034</v>
      </c>
      <c r="G4786" t="s">
        <v>6083</v>
      </c>
      <c r="H4786" t="s">
        <v>6096</v>
      </c>
      <c r="I4786">
        <v>24</v>
      </c>
      <c r="J4786">
        <v>15.8</v>
      </c>
      <c r="K4786" t="s">
        <v>6100</v>
      </c>
      <c r="L4786" t="s">
        <v>6099</v>
      </c>
      <c r="M4786" t="s">
        <v>6100</v>
      </c>
      <c r="N4786">
        <v>5</v>
      </c>
      <c r="O4786" t="s">
        <v>6101</v>
      </c>
      <c r="P4786" t="s">
        <v>6114</v>
      </c>
      <c r="Q4786">
        <v>8</v>
      </c>
      <c r="R4786">
        <v>2026</v>
      </c>
      <c r="S4786" t="s">
        <v>6099</v>
      </c>
      <c r="T4786">
        <v>1</v>
      </c>
      <c r="U4786" t="s">
        <v>6020</v>
      </c>
      <c r="V4786">
        <v>0</v>
      </c>
    </row>
    <row r="4787" spans="1:22" x14ac:dyDescent="0.3">
      <c r="A4787" t="s">
        <v>4802</v>
      </c>
      <c r="B4787" s="2">
        <v>46239.42291666667</v>
      </c>
      <c r="C4787" s="2">
        <v>46239.660416666666</v>
      </c>
      <c r="D4787" t="s">
        <v>6023</v>
      </c>
      <c r="E4787" t="s">
        <v>6029</v>
      </c>
      <c r="F4787" t="s">
        <v>6034</v>
      </c>
      <c r="G4787" t="s">
        <v>6048</v>
      </c>
      <c r="H4787" t="s">
        <v>6096</v>
      </c>
      <c r="I4787">
        <v>24</v>
      </c>
      <c r="J4787">
        <v>5.7</v>
      </c>
      <c r="K4787" t="s">
        <v>6099</v>
      </c>
      <c r="L4787" t="s">
        <v>6100</v>
      </c>
      <c r="M4787" t="s">
        <v>6100</v>
      </c>
      <c r="O4787" t="s">
        <v>6101</v>
      </c>
      <c r="P4787" t="s">
        <v>6114</v>
      </c>
      <c r="Q4787">
        <v>8</v>
      </c>
      <c r="R4787">
        <v>2026</v>
      </c>
      <c r="S4787" t="s">
        <v>6099</v>
      </c>
      <c r="T4787">
        <v>1</v>
      </c>
      <c r="U4787" t="s">
        <v>6019</v>
      </c>
      <c r="V4787">
        <v>1</v>
      </c>
    </row>
    <row r="4788" spans="1:22" x14ac:dyDescent="0.3">
      <c r="A4788" t="s">
        <v>4803</v>
      </c>
      <c r="B4788" s="2">
        <v>46239.445138888892</v>
      </c>
      <c r="C4788" s="2">
        <v>46239.824305555558</v>
      </c>
      <c r="D4788" t="s">
        <v>6022</v>
      </c>
      <c r="E4788" t="s">
        <v>6030</v>
      </c>
      <c r="F4788" t="s">
        <v>6034</v>
      </c>
      <c r="G4788" t="s">
        <v>6043</v>
      </c>
      <c r="H4788" t="s">
        <v>6097</v>
      </c>
      <c r="I4788">
        <v>24</v>
      </c>
      <c r="J4788">
        <v>9.1</v>
      </c>
      <c r="K4788" t="s">
        <v>6099</v>
      </c>
      <c r="L4788" t="s">
        <v>6100</v>
      </c>
      <c r="M4788" t="s">
        <v>6100</v>
      </c>
      <c r="N4788">
        <v>5</v>
      </c>
      <c r="O4788" t="s">
        <v>6101</v>
      </c>
      <c r="P4788" t="s">
        <v>6114</v>
      </c>
      <c r="Q4788">
        <v>8</v>
      </c>
      <c r="R4788">
        <v>2026</v>
      </c>
      <c r="S4788" t="s">
        <v>6099</v>
      </c>
      <c r="T4788">
        <v>1</v>
      </c>
      <c r="U4788" t="s">
        <v>6021</v>
      </c>
      <c r="V4788">
        <v>1</v>
      </c>
    </row>
    <row r="4789" spans="1:22" x14ac:dyDescent="0.3">
      <c r="A4789" t="s">
        <v>4804</v>
      </c>
      <c r="B4789" s="2">
        <v>46239.459027777775</v>
      </c>
      <c r="C4789" s="2">
        <v>46239.888194444444</v>
      </c>
      <c r="D4789" t="s">
        <v>6023</v>
      </c>
      <c r="E4789" t="s">
        <v>6029</v>
      </c>
      <c r="F4789" t="s">
        <v>6033</v>
      </c>
      <c r="G4789" t="s">
        <v>6085</v>
      </c>
      <c r="H4789" t="s">
        <v>6097</v>
      </c>
      <c r="I4789">
        <v>72</v>
      </c>
      <c r="J4789">
        <v>10.3</v>
      </c>
      <c r="K4789" t="s">
        <v>6099</v>
      </c>
      <c r="L4789" t="s">
        <v>6100</v>
      </c>
      <c r="M4789" t="s">
        <v>6100</v>
      </c>
      <c r="N4789">
        <v>5</v>
      </c>
      <c r="O4789" t="s">
        <v>6101</v>
      </c>
      <c r="P4789" t="s">
        <v>6114</v>
      </c>
      <c r="Q4789">
        <v>8</v>
      </c>
      <c r="R4789">
        <v>2026</v>
      </c>
      <c r="S4789" t="s">
        <v>6099</v>
      </c>
      <c r="T4789">
        <v>1</v>
      </c>
      <c r="U4789" t="s">
        <v>6021</v>
      </c>
      <c r="V4789">
        <v>1</v>
      </c>
    </row>
    <row r="4790" spans="1:22" x14ac:dyDescent="0.3">
      <c r="A4790" t="s">
        <v>4805</v>
      </c>
      <c r="B4790" s="2">
        <v>46239.459722222222</v>
      </c>
      <c r="C4790" s="2">
        <v>46240.988888888889</v>
      </c>
      <c r="D4790" t="s">
        <v>6028</v>
      </c>
      <c r="E4790" t="s">
        <v>6031</v>
      </c>
      <c r="F4790" t="s">
        <v>6035</v>
      </c>
      <c r="G4790" t="s">
        <v>6046</v>
      </c>
      <c r="H4790" t="s">
        <v>6098</v>
      </c>
      <c r="I4790">
        <v>4</v>
      </c>
      <c r="J4790">
        <v>36.700000000000003</v>
      </c>
      <c r="K4790" t="s">
        <v>6099</v>
      </c>
      <c r="L4790" t="s">
        <v>6100</v>
      </c>
      <c r="M4790" t="s">
        <v>6100</v>
      </c>
      <c r="O4790" t="s">
        <v>6101</v>
      </c>
      <c r="P4790" t="s">
        <v>6114</v>
      </c>
      <c r="Q4790">
        <v>8</v>
      </c>
      <c r="R4790">
        <v>2026</v>
      </c>
      <c r="S4790" t="s">
        <v>6100</v>
      </c>
      <c r="T4790">
        <v>0</v>
      </c>
      <c r="U4790" t="s">
        <v>6020</v>
      </c>
      <c r="V4790">
        <v>1</v>
      </c>
    </row>
    <row r="4791" spans="1:22" x14ac:dyDescent="0.3">
      <c r="A4791" t="s">
        <v>4806</v>
      </c>
      <c r="B4791" s="2">
        <v>46239.46875</v>
      </c>
      <c r="C4791" s="2">
        <v>46240.064583333333</v>
      </c>
      <c r="D4791" t="s">
        <v>6027</v>
      </c>
      <c r="E4791" t="s">
        <v>6029</v>
      </c>
      <c r="F4791" t="s">
        <v>6033</v>
      </c>
      <c r="G4791" t="s">
        <v>6048</v>
      </c>
      <c r="H4791" t="s">
        <v>6096</v>
      </c>
      <c r="I4791">
        <v>72</v>
      </c>
      <c r="J4791">
        <v>14.3</v>
      </c>
      <c r="K4791" t="s">
        <v>6099</v>
      </c>
      <c r="L4791" t="s">
        <v>6100</v>
      </c>
      <c r="M4791" t="s">
        <v>6100</v>
      </c>
      <c r="N4791">
        <v>3</v>
      </c>
      <c r="O4791" t="s">
        <v>6101</v>
      </c>
      <c r="P4791" t="s">
        <v>6114</v>
      </c>
      <c r="Q4791">
        <v>8</v>
      </c>
      <c r="R4791">
        <v>2026</v>
      </c>
      <c r="S4791" t="s">
        <v>6099</v>
      </c>
      <c r="T4791">
        <v>1</v>
      </c>
      <c r="U4791" t="s">
        <v>6020</v>
      </c>
      <c r="V4791">
        <v>1</v>
      </c>
    </row>
    <row r="4792" spans="1:22" x14ac:dyDescent="0.3">
      <c r="A4792" t="s">
        <v>4807</v>
      </c>
      <c r="B4792" s="2">
        <v>46239.486805555556</v>
      </c>
      <c r="C4792" s="2">
        <v>46240.165972222225</v>
      </c>
      <c r="D4792" t="s">
        <v>6028</v>
      </c>
      <c r="E4792" t="s">
        <v>6029</v>
      </c>
      <c r="F4792" t="s">
        <v>6034</v>
      </c>
      <c r="G4792" t="s">
        <v>6061</v>
      </c>
      <c r="H4792" t="s">
        <v>6096</v>
      </c>
      <c r="I4792">
        <v>24</v>
      </c>
      <c r="J4792">
        <v>16.3</v>
      </c>
      <c r="K4792" t="s">
        <v>6100</v>
      </c>
      <c r="L4792" t="s">
        <v>6099</v>
      </c>
      <c r="M4792" t="s">
        <v>6100</v>
      </c>
      <c r="N4792">
        <v>4</v>
      </c>
      <c r="O4792" t="s">
        <v>6101</v>
      </c>
      <c r="P4792" t="s">
        <v>6114</v>
      </c>
      <c r="Q4792">
        <v>8</v>
      </c>
      <c r="R4792">
        <v>2026</v>
      </c>
      <c r="S4792" t="s">
        <v>6099</v>
      </c>
      <c r="T4792">
        <v>1</v>
      </c>
      <c r="U4792" t="s">
        <v>6020</v>
      </c>
      <c r="V4792">
        <v>0</v>
      </c>
    </row>
    <row r="4793" spans="1:22" x14ac:dyDescent="0.3">
      <c r="A4793" t="s">
        <v>4808</v>
      </c>
      <c r="B4793" s="2">
        <v>46239.544444444444</v>
      </c>
      <c r="C4793" s="2">
        <v>46240.027777777781</v>
      </c>
      <c r="D4793" t="s">
        <v>6025</v>
      </c>
      <c r="E4793" t="s">
        <v>6030</v>
      </c>
      <c r="F4793" t="s">
        <v>6033</v>
      </c>
      <c r="G4793" t="s">
        <v>6040</v>
      </c>
      <c r="H4793" t="s">
        <v>6097</v>
      </c>
      <c r="I4793">
        <v>72</v>
      </c>
      <c r="J4793">
        <v>11.6</v>
      </c>
      <c r="K4793" t="s">
        <v>6099</v>
      </c>
      <c r="L4793" t="s">
        <v>6100</v>
      </c>
      <c r="M4793" t="s">
        <v>6100</v>
      </c>
      <c r="N4793">
        <v>5</v>
      </c>
      <c r="O4793" t="s">
        <v>6101</v>
      </c>
      <c r="P4793" t="s">
        <v>6114</v>
      </c>
      <c r="Q4793">
        <v>8</v>
      </c>
      <c r="R4793">
        <v>2026</v>
      </c>
      <c r="S4793" t="s">
        <v>6099</v>
      </c>
      <c r="T4793">
        <v>1</v>
      </c>
      <c r="U4793" t="s">
        <v>6019</v>
      </c>
      <c r="V4793">
        <v>1</v>
      </c>
    </row>
    <row r="4794" spans="1:22" x14ac:dyDescent="0.3">
      <c r="A4794" t="s">
        <v>4809</v>
      </c>
      <c r="B4794" s="2">
        <v>46239.563194444447</v>
      </c>
      <c r="C4794" s="2">
        <v>46239.634027777778</v>
      </c>
      <c r="D4794" t="s">
        <v>6022</v>
      </c>
      <c r="E4794" t="s">
        <v>6029</v>
      </c>
      <c r="F4794" t="s">
        <v>6033</v>
      </c>
      <c r="G4794" t="s">
        <v>6037</v>
      </c>
      <c r="H4794" t="s">
        <v>6096</v>
      </c>
      <c r="I4794">
        <v>72</v>
      </c>
      <c r="J4794">
        <v>1.7</v>
      </c>
      <c r="K4794" t="s">
        <v>6099</v>
      </c>
      <c r="L4794" t="s">
        <v>6100</v>
      </c>
      <c r="M4794" t="s">
        <v>6100</v>
      </c>
      <c r="O4794" t="s">
        <v>6101</v>
      </c>
      <c r="P4794" t="s">
        <v>6114</v>
      </c>
      <c r="Q4794">
        <v>8</v>
      </c>
      <c r="R4794">
        <v>2026</v>
      </c>
      <c r="S4794" t="s">
        <v>6099</v>
      </c>
      <c r="T4794">
        <v>1</v>
      </c>
      <c r="U4794" t="s">
        <v>6021</v>
      </c>
      <c r="V4794">
        <v>1</v>
      </c>
    </row>
    <row r="4795" spans="1:22" x14ac:dyDescent="0.3">
      <c r="A4795" t="s">
        <v>4810</v>
      </c>
      <c r="B4795" s="2">
        <v>46239.59652777778</v>
      </c>
      <c r="C4795" s="2">
        <v>46240.521527777775</v>
      </c>
      <c r="D4795" t="s">
        <v>6025</v>
      </c>
      <c r="E4795" t="s">
        <v>6029</v>
      </c>
      <c r="F4795" t="s">
        <v>6034</v>
      </c>
      <c r="G4795" t="s">
        <v>6048</v>
      </c>
      <c r="H4795" t="s">
        <v>6096</v>
      </c>
      <c r="I4795">
        <v>24</v>
      </c>
      <c r="J4795">
        <v>22.2</v>
      </c>
      <c r="K4795" t="s">
        <v>6099</v>
      </c>
      <c r="L4795" t="s">
        <v>6100</v>
      </c>
      <c r="M4795" t="s">
        <v>6100</v>
      </c>
      <c r="N4795">
        <v>5</v>
      </c>
      <c r="O4795" t="s">
        <v>6101</v>
      </c>
      <c r="P4795" t="s">
        <v>6114</v>
      </c>
      <c r="Q4795">
        <v>8</v>
      </c>
      <c r="R4795">
        <v>2026</v>
      </c>
      <c r="S4795" t="s">
        <v>6099</v>
      </c>
      <c r="T4795">
        <v>1</v>
      </c>
      <c r="U4795" t="s">
        <v>6017</v>
      </c>
      <c r="V4795">
        <v>1</v>
      </c>
    </row>
    <row r="4796" spans="1:22" x14ac:dyDescent="0.3">
      <c r="A4796" t="s">
        <v>4811</v>
      </c>
      <c r="B4796" s="2">
        <v>46239.65625</v>
      </c>
      <c r="C4796" s="2">
        <v>46239.910416666666</v>
      </c>
      <c r="D4796" t="s">
        <v>6027</v>
      </c>
      <c r="E4796" t="s">
        <v>6030</v>
      </c>
      <c r="F4796" t="s">
        <v>6033</v>
      </c>
      <c r="G4796" t="s">
        <v>6060</v>
      </c>
      <c r="H4796" t="s">
        <v>6097</v>
      </c>
      <c r="I4796">
        <v>72</v>
      </c>
      <c r="J4796">
        <v>6.1</v>
      </c>
      <c r="K4796" t="s">
        <v>6099</v>
      </c>
      <c r="L4796" t="s">
        <v>6100</v>
      </c>
      <c r="M4796" t="s">
        <v>6100</v>
      </c>
      <c r="O4796" t="s">
        <v>6101</v>
      </c>
      <c r="P4796" t="s">
        <v>6114</v>
      </c>
      <c r="Q4796">
        <v>8</v>
      </c>
      <c r="R4796">
        <v>2026</v>
      </c>
      <c r="S4796" t="s">
        <v>6099</v>
      </c>
      <c r="T4796">
        <v>1</v>
      </c>
      <c r="U4796" t="s">
        <v>6018</v>
      </c>
      <c r="V4796">
        <v>1</v>
      </c>
    </row>
    <row r="4797" spans="1:22" x14ac:dyDescent="0.3">
      <c r="A4797" t="s">
        <v>4812</v>
      </c>
      <c r="B4797" s="2">
        <v>46239.676388888889</v>
      </c>
      <c r="C4797" s="2">
        <v>46239.826388888891</v>
      </c>
      <c r="D4797" t="s">
        <v>6028</v>
      </c>
      <c r="E4797" t="s">
        <v>6029</v>
      </c>
      <c r="F4797" t="s">
        <v>6035</v>
      </c>
      <c r="G4797" t="s">
        <v>6082</v>
      </c>
      <c r="H4797" t="s">
        <v>6097</v>
      </c>
      <c r="I4797">
        <v>4</v>
      </c>
      <c r="J4797">
        <v>3.6</v>
      </c>
      <c r="K4797" t="s">
        <v>6099</v>
      </c>
      <c r="L4797" t="s">
        <v>6100</v>
      </c>
      <c r="M4797" t="s">
        <v>6099</v>
      </c>
      <c r="N4797">
        <v>5</v>
      </c>
      <c r="O4797" t="s">
        <v>6101</v>
      </c>
      <c r="P4797" t="s">
        <v>6114</v>
      </c>
      <c r="Q4797">
        <v>8</v>
      </c>
      <c r="R4797">
        <v>2026</v>
      </c>
      <c r="S4797" t="s">
        <v>6099</v>
      </c>
      <c r="T4797">
        <v>1</v>
      </c>
      <c r="U4797" t="s">
        <v>6017</v>
      </c>
      <c r="V4797">
        <v>1</v>
      </c>
    </row>
    <row r="4798" spans="1:22" x14ac:dyDescent="0.3">
      <c r="A4798" t="s">
        <v>4813</v>
      </c>
      <c r="B4798" s="2">
        <v>46239.685416666667</v>
      </c>
      <c r="C4798" s="2">
        <v>46239.88958333333</v>
      </c>
      <c r="D4798" t="s">
        <v>6023</v>
      </c>
      <c r="E4798" t="s">
        <v>6029</v>
      </c>
      <c r="F4798" t="s">
        <v>6034</v>
      </c>
      <c r="G4798" t="s">
        <v>6067</v>
      </c>
      <c r="H4798" t="s">
        <v>6098</v>
      </c>
      <c r="I4798">
        <v>24</v>
      </c>
      <c r="J4798">
        <v>4.9000000000000004</v>
      </c>
      <c r="K4798" t="s">
        <v>6099</v>
      </c>
      <c r="L4798" t="s">
        <v>6100</v>
      </c>
      <c r="M4798" t="s">
        <v>6100</v>
      </c>
      <c r="O4798" t="s">
        <v>6101</v>
      </c>
      <c r="P4798" t="s">
        <v>6114</v>
      </c>
      <c r="Q4798">
        <v>8</v>
      </c>
      <c r="R4798">
        <v>2026</v>
      </c>
      <c r="S4798" t="s">
        <v>6099</v>
      </c>
      <c r="T4798">
        <v>1</v>
      </c>
      <c r="U4798" t="s">
        <v>6021</v>
      </c>
      <c r="V4798">
        <v>1</v>
      </c>
    </row>
    <row r="4799" spans="1:22" x14ac:dyDescent="0.3">
      <c r="A4799" t="s">
        <v>4814</v>
      </c>
      <c r="B4799" s="2">
        <v>46239.728472222225</v>
      </c>
      <c r="C4799" s="2">
        <v>46239.907638888886</v>
      </c>
      <c r="D4799" t="s">
        <v>6024</v>
      </c>
      <c r="E4799" t="s">
        <v>6029</v>
      </c>
      <c r="F4799" t="s">
        <v>6035</v>
      </c>
      <c r="G4799" t="s">
        <v>6076</v>
      </c>
      <c r="H4799" t="s">
        <v>6097</v>
      </c>
      <c r="I4799">
        <v>4</v>
      </c>
      <c r="J4799">
        <v>4.3</v>
      </c>
      <c r="K4799" t="s">
        <v>6099</v>
      </c>
      <c r="L4799" t="s">
        <v>6100</v>
      </c>
      <c r="M4799" t="s">
        <v>6100</v>
      </c>
      <c r="N4799">
        <v>5</v>
      </c>
      <c r="O4799" t="s">
        <v>6101</v>
      </c>
      <c r="P4799" t="s">
        <v>6114</v>
      </c>
      <c r="Q4799">
        <v>8</v>
      </c>
      <c r="R4799">
        <v>2026</v>
      </c>
      <c r="S4799" t="s">
        <v>6100</v>
      </c>
      <c r="T4799">
        <v>0</v>
      </c>
      <c r="U4799" t="s">
        <v>6020</v>
      </c>
      <c r="V4799">
        <v>1</v>
      </c>
    </row>
    <row r="4800" spans="1:22" x14ac:dyDescent="0.3">
      <c r="A4800" t="s">
        <v>4815</v>
      </c>
      <c r="B4800" s="2">
        <v>46239.743750000001</v>
      </c>
      <c r="C4800" s="2">
        <v>46239.972916666666</v>
      </c>
      <c r="D4800" t="s">
        <v>6022</v>
      </c>
      <c r="E4800" t="s">
        <v>6029</v>
      </c>
      <c r="F4800" t="s">
        <v>6033</v>
      </c>
      <c r="G4800" t="s">
        <v>6042</v>
      </c>
      <c r="H4800" t="s">
        <v>6098</v>
      </c>
      <c r="I4800">
        <v>72</v>
      </c>
      <c r="J4800">
        <v>5.5</v>
      </c>
      <c r="K4800" t="s">
        <v>6099</v>
      </c>
      <c r="L4800" t="s">
        <v>6100</v>
      </c>
      <c r="M4800" t="s">
        <v>6100</v>
      </c>
      <c r="O4800" t="s">
        <v>6101</v>
      </c>
      <c r="P4800" t="s">
        <v>6114</v>
      </c>
      <c r="Q4800">
        <v>8</v>
      </c>
      <c r="R4800">
        <v>2026</v>
      </c>
      <c r="S4800" t="s">
        <v>6099</v>
      </c>
      <c r="T4800">
        <v>1</v>
      </c>
      <c r="U4800" t="s">
        <v>6018</v>
      </c>
      <c r="V4800">
        <v>1</v>
      </c>
    </row>
    <row r="4801" spans="1:22" x14ac:dyDescent="0.3">
      <c r="A4801" t="s">
        <v>4816</v>
      </c>
      <c r="B4801" s="2">
        <v>46239.799305555556</v>
      </c>
      <c r="C4801" s="2">
        <v>46245.457638888889</v>
      </c>
      <c r="D4801" t="s">
        <v>6026</v>
      </c>
      <c r="E4801" t="s">
        <v>6031</v>
      </c>
      <c r="F4801" t="s">
        <v>6033</v>
      </c>
      <c r="G4801" t="s">
        <v>6091</v>
      </c>
      <c r="H4801" t="s">
        <v>6097</v>
      </c>
      <c r="I4801">
        <v>72</v>
      </c>
      <c r="J4801">
        <v>135.80000000000001</v>
      </c>
      <c r="K4801" t="s">
        <v>6099</v>
      </c>
      <c r="L4801" t="s">
        <v>6100</v>
      </c>
      <c r="M4801" t="s">
        <v>6100</v>
      </c>
      <c r="O4801" t="s">
        <v>6101</v>
      </c>
      <c r="P4801" t="s">
        <v>6114</v>
      </c>
      <c r="Q4801">
        <v>8</v>
      </c>
      <c r="R4801">
        <v>2026</v>
      </c>
      <c r="S4801" t="s">
        <v>6100</v>
      </c>
      <c r="T4801">
        <v>0</v>
      </c>
      <c r="U4801" t="s">
        <v>6017</v>
      </c>
      <c r="V4801">
        <v>1</v>
      </c>
    </row>
    <row r="4802" spans="1:22" x14ac:dyDescent="0.3">
      <c r="A4802" t="s">
        <v>4817</v>
      </c>
      <c r="B4802" s="2">
        <v>46239.89166666667</v>
      </c>
      <c r="C4802" s="2">
        <v>46240.212500000001</v>
      </c>
      <c r="D4802" t="s">
        <v>6022</v>
      </c>
      <c r="E4802" t="s">
        <v>6031</v>
      </c>
      <c r="F4802" t="s">
        <v>6034</v>
      </c>
      <c r="G4802" t="s">
        <v>6040</v>
      </c>
      <c r="H4802" t="s">
        <v>6097</v>
      </c>
      <c r="I4802">
        <v>24</v>
      </c>
      <c r="J4802">
        <v>7.7</v>
      </c>
      <c r="K4802" t="s">
        <v>6099</v>
      </c>
      <c r="L4802" t="s">
        <v>6100</v>
      </c>
      <c r="M4802" t="s">
        <v>6100</v>
      </c>
      <c r="O4802" t="s">
        <v>6101</v>
      </c>
      <c r="P4802" t="s">
        <v>6114</v>
      </c>
      <c r="Q4802">
        <v>8</v>
      </c>
      <c r="R4802">
        <v>2026</v>
      </c>
      <c r="S4802" t="s">
        <v>6099</v>
      </c>
      <c r="T4802">
        <v>1</v>
      </c>
      <c r="U4802" t="s">
        <v>6017</v>
      </c>
      <c r="V4802">
        <v>1</v>
      </c>
    </row>
    <row r="4803" spans="1:22" x14ac:dyDescent="0.3">
      <c r="A4803" t="s">
        <v>4818</v>
      </c>
      <c r="B4803" s="2">
        <v>46239.892361111109</v>
      </c>
      <c r="C4803" s="2">
        <v>46240.125694444447</v>
      </c>
      <c r="D4803" t="s">
        <v>6023</v>
      </c>
      <c r="E4803" t="s">
        <v>6030</v>
      </c>
      <c r="F4803" t="s">
        <v>6033</v>
      </c>
      <c r="G4803" t="s">
        <v>6060</v>
      </c>
      <c r="H4803" t="s">
        <v>6097</v>
      </c>
      <c r="I4803">
        <v>72</v>
      </c>
      <c r="J4803">
        <v>5.6</v>
      </c>
      <c r="K4803" t="s">
        <v>6100</v>
      </c>
      <c r="L4803" t="s">
        <v>6099</v>
      </c>
      <c r="M4803" t="s">
        <v>6100</v>
      </c>
      <c r="N4803">
        <v>4</v>
      </c>
      <c r="O4803" t="s">
        <v>6101</v>
      </c>
      <c r="P4803" t="s">
        <v>6114</v>
      </c>
      <c r="Q4803">
        <v>8</v>
      </c>
      <c r="R4803">
        <v>2026</v>
      </c>
      <c r="S4803" t="s">
        <v>6099</v>
      </c>
      <c r="T4803">
        <v>1</v>
      </c>
      <c r="U4803" t="s">
        <v>6020</v>
      </c>
      <c r="V4803">
        <v>0</v>
      </c>
    </row>
    <row r="4804" spans="1:22" x14ac:dyDescent="0.3">
      <c r="A4804" t="s">
        <v>4819</v>
      </c>
      <c r="B4804" s="2">
        <v>46239.945138888892</v>
      </c>
      <c r="C4804" s="2">
        <v>46240.024305555555</v>
      </c>
      <c r="D4804" t="s">
        <v>6023</v>
      </c>
      <c r="E4804" t="s">
        <v>6030</v>
      </c>
      <c r="F4804" t="s">
        <v>6033</v>
      </c>
      <c r="G4804" t="s">
        <v>6063</v>
      </c>
      <c r="H4804" t="s">
        <v>6097</v>
      </c>
      <c r="I4804">
        <v>72</v>
      </c>
      <c r="J4804">
        <v>1.9</v>
      </c>
      <c r="K4804" t="s">
        <v>6099</v>
      </c>
      <c r="L4804" t="s">
        <v>6100</v>
      </c>
      <c r="M4804" t="s">
        <v>6100</v>
      </c>
      <c r="N4804">
        <v>3</v>
      </c>
      <c r="O4804" t="s">
        <v>6101</v>
      </c>
      <c r="P4804" t="s">
        <v>6114</v>
      </c>
      <c r="Q4804">
        <v>8</v>
      </c>
      <c r="R4804">
        <v>2026</v>
      </c>
      <c r="S4804" t="s">
        <v>6099</v>
      </c>
      <c r="T4804">
        <v>1</v>
      </c>
      <c r="U4804" t="s">
        <v>6019</v>
      </c>
      <c r="V4804">
        <v>1</v>
      </c>
    </row>
    <row r="4805" spans="1:22" x14ac:dyDescent="0.3">
      <c r="A4805" t="s">
        <v>4820</v>
      </c>
      <c r="B4805" s="2">
        <v>46240.152083333334</v>
      </c>
      <c r="C4805" s="2">
        <v>46240.527083333334</v>
      </c>
      <c r="D4805" t="s">
        <v>6027</v>
      </c>
      <c r="E4805" t="s">
        <v>6029</v>
      </c>
      <c r="F4805" t="s">
        <v>6035</v>
      </c>
      <c r="G4805" t="s">
        <v>6062</v>
      </c>
      <c r="H4805" t="s">
        <v>6096</v>
      </c>
      <c r="I4805">
        <v>4</v>
      </c>
      <c r="J4805">
        <v>9</v>
      </c>
      <c r="K4805" t="s">
        <v>6100</v>
      </c>
      <c r="L4805" t="s">
        <v>6100</v>
      </c>
      <c r="M4805" t="s">
        <v>6100</v>
      </c>
      <c r="N4805">
        <v>4</v>
      </c>
      <c r="O4805" t="s">
        <v>6101</v>
      </c>
      <c r="P4805" t="s">
        <v>6114</v>
      </c>
      <c r="Q4805">
        <v>8</v>
      </c>
      <c r="R4805">
        <v>2026</v>
      </c>
      <c r="S4805" t="s">
        <v>6100</v>
      </c>
      <c r="T4805">
        <v>0</v>
      </c>
      <c r="U4805" t="s">
        <v>6021</v>
      </c>
      <c r="V4805">
        <v>0</v>
      </c>
    </row>
    <row r="4806" spans="1:22" x14ac:dyDescent="0.3">
      <c r="A4806" t="s">
        <v>4821</v>
      </c>
      <c r="B4806" s="2">
        <v>46240.231944444444</v>
      </c>
      <c r="C4806" s="2">
        <v>46240.386111111111</v>
      </c>
      <c r="D4806" t="s">
        <v>6025</v>
      </c>
      <c r="E4806" t="s">
        <v>6030</v>
      </c>
      <c r="F4806" t="s">
        <v>6035</v>
      </c>
      <c r="G4806" t="s">
        <v>6078</v>
      </c>
      <c r="H4806" t="s">
        <v>6097</v>
      </c>
      <c r="I4806">
        <v>4</v>
      </c>
      <c r="J4806">
        <v>3.7</v>
      </c>
      <c r="K4806" t="s">
        <v>6099</v>
      </c>
      <c r="L4806" t="s">
        <v>6100</v>
      </c>
      <c r="M4806" t="s">
        <v>6100</v>
      </c>
      <c r="N4806">
        <v>5</v>
      </c>
      <c r="O4806" t="s">
        <v>6101</v>
      </c>
      <c r="P4806" t="s">
        <v>6114</v>
      </c>
      <c r="Q4806">
        <v>8</v>
      </c>
      <c r="R4806">
        <v>2026</v>
      </c>
      <c r="S4806" t="s">
        <v>6099</v>
      </c>
      <c r="T4806">
        <v>1</v>
      </c>
      <c r="U4806" t="s">
        <v>6019</v>
      </c>
      <c r="V4806">
        <v>1</v>
      </c>
    </row>
    <row r="4807" spans="1:22" x14ac:dyDescent="0.3">
      <c r="A4807" t="s">
        <v>4822</v>
      </c>
      <c r="B4807" s="2">
        <v>46240.248611111114</v>
      </c>
      <c r="C4807" s="2">
        <v>46240.598611111112</v>
      </c>
      <c r="D4807" t="s">
        <v>6022</v>
      </c>
      <c r="E4807" t="s">
        <v>6031</v>
      </c>
      <c r="F4807" t="s">
        <v>6033</v>
      </c>
      <c r="G4807" t="s">
        <v>6085</v>
      </c>
      <c r="H4807" t="s">
        <v>6097</v>
      </c>
      <c r="I4807">
        <v>72</v>
      </c>
      <c r="J4807">
        <v>8.4</v>
      </c>
      <c r="K4807" t="s">
        <v>6099</v>
      </c>
      <c r="L4807" t="s">
        <v>6100</v>
      </c>
      <c r="M4807" t="s">
        <v>6100</v>
      </c>
      <c r="N4807">
        <v>5</v>
      </c>
      <c r="O4807" t="s">
        <v>6101</v>
      </c>
      <c r="P4807" t="s">
        <v>6114</v>
      </c>
      <c r="Q4807">
        <v>8</v>
      </c>
      <c r="R4807">
        <v>2026</v>
      </c>
      <c r="S4807" t="s">
        <v>6099</v>
      </c>
      <c r="T4807">
        <v>1</v>
      </c>
      <c r="U4807" t="s">
        <v>6021</v>
      </c>
      <c r="V4807">
        <v>1</v>
      </c>
    </row>
    <row r="4808" spans="1:22" x14ac:dyDescent="0.3">
      <c r="A4808" t="s">
        <v>4823</v>
      </c>
      <c r="B4808" s="2">
        <v>46240.259027777778</v>
      </c>
      <c r="C4808" s="2">
        <v>46240.459027777775</v>
      </c>
      <c r="D4808" t="s">
        <v>6024</v>
      </c>
      <c r="E4808" t="s">
        <v>6030</v>
      </c>
      <c r="F4808" t="s">
        <v>6034</v>
      </c>
      <c r="G4808" t="s">
        <v>6091</v>
      </c>
      <c r="H4808" t="s">
        <v>6097</v>
      </c>
      <c r="I4808">
        <v>24</v>
      </c>
      <c r="J4808">
        <v>4.8</v>
      </c>
      <c r="K4808" t="s">
        <v>6099</v>
      </c>
      <c r="L4808" t="s">
        <v>6100</v>
      </c>
      <c r="M4808" t="s">
        <v>6100</v>
      </c>
      <c r="N4808">
        <v>4</v>
      </c>
      <c r="O4808" t="s">
        <v>6101</v>
      </c>
      <c r="P4808" t="s">
        <v>6114</v>
      </c>
      <c r="Q4808">
        <v>8</v>
      </c>
      <c r="R4808">
        <v>2026</v>
      </c>
      <c r="S4808" t="s">
        <v>6099</v>
      </c>
      <c r="T4808">
        <v>1</v>
      </c>
      <c r="U4808" t="s">
        <v>6017</v>
      </c>
      <c r="V4808">
        <v>1</v>
      </c>
    </row>
    <row r="4809" spans="1:22" x14ac:dyDescent="0.3">
      <c r="A4809" t="s">
        <v>4824</v>
      </c>
      <c r="B4809" s="2">
        <v>46240.268750000003</v>
      </c>
      <c r="C4809" s="2">
        <v>46240.427083333336</v>
      </c>
      <c r="D4809" t="s">
        <v>6024</v>
      </c>
      <c r="E4809" t="s">
        <v>6030</v>
      </c>
      <c r="F4809" t="s">
        <v>6035</v>
      </c>
      <c r="G4809" t="s">
        <v>6039</v>
      </c>
      <c r="H4809" t="s">
        <v>6097</v>
      </c>
      <c r="I4809">
        <v>4</v>
      </c>
      <c r="J4809">
        <v>3.8</v>
      </c>
      <c r="K4809" t="s">
        <v>6099</v>
      </c>
      <c r="L4809" t="s">
        <v>6100</v>
      </c>
      <c r="M4809" t="s">
        <v>6100</v>
      </c>
      <c r="N4809">
        <v>4</v>
      </c>
      <c r="O4809" t="s">
        <v>6101</v>
      </c>
      <c r="P4809" t="s">
        <v>6114</v>
      </c>
      <c r="Q4809">
        <v>8</v>
      </c>
      <c r="R4809">
        <v>2026</v>
      </c>
      <c r="S4809" t="s">
        <v>6099</v>
      </c>
      <c r="T4809">
        <v>1</v>
      </c>
      <c r="U4809" t="s">
        <v>6019</v>
      </c>
      <c r="V4809">
        <v>1</v>
      </c>
    </row>
    <row r="4810" spans="1:22" x14ac:dyDescent="0.3">
      <c r="A4810" t="s">
        <v>4825</v>
      </c>
      <c r="B4810" s="2">
        <v>46240.274305555555</v>
      </c>
      <c r="C4810" s="2">
        <v>46240.482638888891</v>
      </c>
      <c r="D4810" t="s">
        <v>6023</v>
      </c>
      <c r="E4810" t="s">
        <v>6030</v>
      </c>
      <c r="F4810" t="s">
        <v>6034</v>
      </c>
      <c r="G4810" t="s">
        <v>6058</v>
      </c>
      <c r="H4810" t="s">
        <v>6098</v>
      </c>
      <c r="I4810">
        <v>24</v>
      </c>
      <c r="J4810">
        <v>5</v>
      </c>
      <c r="K4810" t="s">
        <v>6099</v>
      </c>
      <c r="L4810" t="s">
        <v>6100</v>
      </c>
      <c r="M4810" t="s">
        <v>6100</v>
      </c>
      <c r="O4810" t="s">
        <v>6101</v>
      </c>
      <c r="P4810" t="s">
        <v>6114</v>
      </c>
      <c r="Q4810">
        <v>8</v>
      </c>
      <c r="R4810">
        <v>2026</v>
      </c>
      <c r="S4810" t="s">
        <v>6099</v>
      </c>
      <c r="T4810">
        <v>1</v>
      </c>
      <c r="U4810" t="s">
        <v>6021</v>
      </c>
      <c r="V4810">
        <v>1</v>
      </c>
    </row>
    <row r="4811" spans="1:22" x14ac:dyDescent="0.3">
      <c r="A4811" t="s">
        <v>4826</v>
      </c>
      <c r="B4811" s="2">
        <v>46240.292361111111</v>
      </c>
      <c r="C4811" s="2">
        <v>46241.354861111111</v>
      </c>
      <c r="D4811" t="s">
        <v>6025</v>
      </c>
      <c r="E4811" t="s">
        <v>6030</v>
      </c>
      <c r="F4811" t="s">
        <v>6033</v>
      </c>
      <c r="G4811" t="s">
        <v>6039</v>
      </c>
      <c r="H4811" t="s">
        <v>6097</v>
      </c>
      <c r="I4811">
        <v>72</v>
      </c>
      <c r="J4811">
        <v>25.5</v>
      </c>
      <c r="K4811" t="s">
        <v>6099</v>
      </c>
      <c r="L4811" t="s">
        <v>6100</v>
      </c>
      <c r="M4811" t="s">
        <v>6100</v>
      </c>
      <c r="N4811">
        <v>5</v>
      </c>
      <c r="O4811" t="s">
        <v>6101</v>
      </c>
      <c r="P4811" t="s">
        <v>6114</v>
      </c>
      <c r="Q4811">
        <v>8</v>
      </c>
      <c r="R4811">
        <v>2026</v>
      </c>
      <c r="S4811" t="s">
        <v>6099</v>
      </c>
      <c r="T4811">
        <v>1</v>
      </c>
      <c r="U4811" t="s">
        <v>6021</v>
      </c>
      <c r="V4811">
        <v>1</v>
      </c>
    </row>
    <row r="4812" spans="1:22" x14ac:dyDescent="0.3">
      <c r="A4812" t="s">
        <v>4827</v>
      </c>
      <c r="B4812" s="2">
        <v>46240.339583333334</v>
      </c>
      <c r="C4812" s="2">
        <v>46240.631249999999</v>
      </c>
      <c r="D4812" t="s">
        <v>6027</v>
      </c>
      <c r="E4812" t="s">
        <v>6030</v>
      </c>
      <c r="F4812" t="s">
        <v>6034</v>
      </c>
      <c r="G4812" t="s">
        <v>6047</v>
      </c>
      <c r="H4812" t="s">
        <v>6098</v>
      </c>
      <c r="I4812">
        <v>24</v>
      </c>
      <c r="J4812">
        <v>7</v>
      </c>
      <c r="K4812" t="s">
        <v>6099</v>
      </c>
      <c r="L4812" t="s">
        <v>6100</v>
      </c>
      <c r="M4812" t="s">
        <v>6100</v>
      </c>
      <c r="O4812" t="s">
        <v>6101</v>
      </c>
      <c r="P4812" t="s">
        <v>6114</v>
      </c>
      <c r="Q4812">
        <v>8</v>
      </c>
      <c r="R4812">
        <v>2026</v>
      </c>
      <c r="S4812" t="s">
        <v>6099</v>
      </c>
      <c r="T4812">
        <v>1</v>
      </c>
      <c r="U4812" t="s">
        <v>6019</v>
      </c>
      <c r="V4812">
        <v>1</v>
      </c>
    </row>
    <row r="4813" spans="1:22" x14ac:dyDescent="0.3">
      <c r="A4813" t="s">
        <v>4828</v>
      </c>
      <c r="B4813" s="2">
        <v>46240.384722222225</v>
      </c>
      <c r="C4813" s="2">
        <v>46240.568055555559</v>
      </c>
      <c r="D4813" t="s">
        <v>6023</v>
      </c>
      <c r="E4813" t="s">
        <v>6030</v>
      </c>
      <c r="F4813" t="s">
        <v>6033</v>
      </c>
      <c r="G4813" t="s">
        <v>6061</v>
      </c>
      <c r="H4813" t="s">
        <v>6096</v>
      </c>
      <c r="I4813">
        <v>72</v>
      </c>
      <c r="J4813">
        <v>4.4000000000000004</v>
      </c>
      <c r="K4813" t="s">
        <v>6100</v>
      </c>
      <c r="L4813" t="s">
        <v>6100</v>
      </c>
      <c r="M4813" t="s">
        <v>6100</v>
      </c>
      <c r="O4813" t="s">
        <v>6101</v>
      </c>
      <c r="P4813" t="s">
        <v>6114</v>
      </c>
      <c r="Q4813">
        <v>8</v>
      </c>
      <c r="R4813">
        <v>2026</v>
      </c>
      <c r="S4813" t="s">
        <v>6099</v>
      </c>
      <c r="T4813">
        <v>1</v>
      </c>
      <c r="U4813" t="s">
        <v>6019</v>
      </c>
      <c r="V4813">
        <v>0</v>
      </c>
    </row>
    <row r="4814" spans="1:22" x14ac:dyDescent="0.3">
      <c r="A4814" t="s">
        <v>4829</v>
      </c>
      <c r="B4814" s="2">
        <v>46240.44027777778</v>
      </c>
      <c r="C4814" s="2">
        <v>46240.698611111111</v>
      </c>
      <c r="D4814" t="s">
        <v>6027</v>
      </c>
      <c r="E4814" t="s">
        <v>6029</v>
      </c>
      <c r="F4814" t="s">
        <v>6033</v>
      </c>
      <c r="G4814" t="s">
        <v>6040</v>
      </c>
      <c r="H4814" t="s">
        <v>6097</v>
      </c>
      <c r="I4814">
        <v>72</v>
      </c>
      <c r="J4814">
        <v>6.2</v>
      </c>
      <c r="K4814" t="s">
        <v>6099</v>
      </c>
      <c r="L4814" t="s">
        <v>6100</v>
      </c>
      <c r="M4814" t="s">
        <v>6100</v>
      </c>
      <c r="N4814">
        <v>4</v>
      </c>
      <c r="O4814" t="s">
        <v>6101</v>
      </c>
      <c r="P4814" t="s">
        <v>6114</v>
      </c>
      <c r="Q4814">
        <v>8</v>
      </c>
      <c r="R4814">
        <v>2026</v>
      </c>
      <c r="S4814" t="s">
        <v>6099</v>
      </c>
      <c r="T4814">
        <v>1</v>
      </c>
      <c r="U4814" t="s">
        <v>6021</v>
      </c>
      <c r="V4814">
        <v>1</v>
      </c>
    </row>
    <row r="4815" spans="1:22" x14ac:dyDescent="0.3">
      <c r="A4815" t="s">
        <v>4830</v>
      </c>
      <c r="B4815" s="2">
        <v>46240.490277777775</v>
      </c>
      <c r="C4815" s="2">
        <v>46240.577777777777</v>
      </c>
      <c r="D4815" t="s">
        <v>6023</v>
      </c>
      <c r="E4815" t="s">
        <v>6030</v>
      </c>
      <c r="F4815" t="s">
        <v>6033</v>
      </c>
      <c r="G4815" t="s">
        <v>6080</v>
      </c>
      <c r="H4815" t="s">
        <v>6096</v>
      </c>
      <c r="I4815">
        <v>72</v>
      </c>
      <c r="J4815">
        <v>2.1</v>
      </c>
      <c r="K4815" t="s">
        <v>6099</v>
      </c>
      <c r="L4815" t="s">
        <v>6100</v>
      </c>
      <c r="M4815" t="s">
        <v>6100</v>
      </c>
      <c r="N4815">
        <v>3</v>
      </c>
      <c r="O4815" t="s">
        <v>6101</v>
      </c>
      <c r="P4815" t="s">
        <v>6114</v>
      </c>
      <c r="Q4815">
        <v>8</v>
      </c>
      <c r="R4815">
        <v>2026</v>
      </c>
      <c r="S4815" t="s">
        <v>6099</v>
      </c>
      <c r="T4815">
        <v>1</v>
      </c>
      <c r="U4815" t="s">
        <v>6018</v>
      </c>
      <c r="V4815">
        <v>1</v>
      </c>
    </row>
    <row r="4816" spans="1:22" x14ac:dyDescent="0.3">
      <c r="A4816" t="s">
        <v>4831</v>
      </c>
      <c r="B4816" s="2">
        <v>46240.500694444447</v>
      </c>
      <c r="C4816" s="2">
        <v>46241.425694444442</v>
      </c>
      <c r="D4816" t="s">
        <v>6025</v>
      </c>
      <c r="E4816" t="s">
        <v>6029</v>
      </c>
      <c r="F4816" t="s">
        <v>6035</v>
      </c>
      <c r="G4816" t="s">
        <v>6059</v>
      </c>
      <c r="H4816" t="s">
        <v>6097</v>
      </c>
      <c r="I4816">
        <v>4</v>
      </c>
      <c r="J4816">
        <v>22.2</v>
      </c>
      <c r="K4816" t="s">
        <v>6099</v>
      </c>
      <c r="L4816" t="s">
        <v>6100</v>
      </c>
      <c r="M4816" t="s">
        <v>6099</v>
      </c>
      <c r="N4816">
        <v>5</v>
      </c>
      <c r="O4816" t="s">
        <v>6101</v>
      </c>
      <c r="P4816" t="s">
        <v>6114</v>
      </c>
      <c r="Q4816">
        <v>8</v>
      </c>
      <c r="R4816">
        <v>2026</v>
      </c>
      <c r="S4816" t="s">
        <v>6100</v>
      </c>
      <c r="T4816">
        <v>0</v>
      </c>
      <c r="U4816" t="s">
        <v>6020</v>
      </c>
      <c r="V4816">
        <v>1</v>
      </c>
    </row>
    <row r="4817" spans="1:22" x14ac:dyDescent="0.3">
      <c r="A4817" t="s">
        <v>4832</v>
      </c>
      <c r="B4817" s="2">
        <v>46240.566666666666</v>
      </c>
      <c r="C4817" s="2">
        <v>46249.887499999997</v>
      </c>
      <c r="D4817" t="s">
        <v>6026</v>
      </c>
      <c r="E4817" t="s">
        <v>6031</v>
      </c>
      <c r="F4817" t="s">
        <v>6033</v>
      </c>
      <c r="G4817" t="s">
        <v>6048</v>
      </c>
      <c r="H4817" t="s">
        <v>6096</v>
      </c>
      <c r="I4817">
        <v>72</v>
      </c>
      <c r="J4817">
        <v>223.7</v>
      </c>
      <c r="K4817" t="s">
        <v>6099</v>
      </c>
      <c r="L4817" t="s">
        <v>6100</v>
      </c>
      <c r="M4817" t="s">
        <v>6100</v>
      </c>
      <c r="N4817">
        <v>4</v>
      </c>
      <c r="O4817" t="s">
        <v>6101</v>
      </c>
      <c r="P4817" t="s">
        <v>6114</v>
      </c>
      <c r="Q4817">
        <v>8</v>
      </c>
      <c r="R4817">
        <v>2026</v>
      </c>
      <c r="S4817" t="s">
        <v>6100</v>
      </c>
      <c r="T4817">
        <v>0</v>
      </c>
      <c r="U4817" t="s">
        <v>6019</v>
      </c>
      <c r="V4817">
        <v>1</v>
      </c>
    </row>
    <row r="4818" spans="1:22" x14ac:dyDescent="0.3">
      <c r="A4818" t="s">
        <v>4833</v>
      </c>
      <c r="B4818" s="2">
        <v>46240.588194444441</v>
      </c>
      <c r="C4818" s="2">
        <v>46241.309027777781</v>
      </c>
      <c r="D4818" t="s">
        <v>6022</v>
      </c>
      <c r="E4818" t="s">
        <v>6031</v>
      </c>
      <c r="F4818" t="s">
        <v>6034</v>
      </c>
      <c r="G4818" t="s">
        <v>6093</v>
      </c>
      <c r="H4818" t="s">
        <v>6097</v>
      </c>
      <c r="I4818">
        <v>24</v>
      </c>
      <c r="J4818">
        <v>17.3</v>
      </c>
      <c r="K4818" t="s">
        <v>6099</v>
      </c>
      <c r="L4818" t="s">
        <v>6100</v>
      </c>
      <c r="M4818" t="s">
        <v>6100</v>
      </c>
      <c r="N4818">
        <v>4</v>
      </c>
      <c r="O4818" t="s">
        <v>6101</v>
      </c>
      <c r="P4818" t="s">
        <v>6114</v>
      </c>
      <c r="Q4818">
        <v>8</v>
      </c>
      <c r="R4818">
        <v>2026</v>
      </c>
      <c r="S4818" t="s">
        <v>6099</v>
      </c>
      <c r="T4818">
        <v>1</v>
      </c>
      <c r="U4818" t="s">
        <v>6021</v>
      </c>
      <c r="V4818">
        <v>1</v>
      </c>
    </row>
    <row r="4819" spans="1:22" x14ac:dyDescent="0.3">
      <c r="A4819" t="s">
        <v>4834</v>
      </c>
      <c r="B4819" s="2">
        <v>46240.602777777778</v>
      </c>
      <c r="C4819" s="2">
        <v>46240.798611111109</v>
      </c>
      <c r="D4819" t="s">
        <v>6023</v>
      </c>
      <c r="E4819" t="s">
        <v>6029</v>
      </c>
      <c r="F4819" t="s">
        <v>6034</v>
      </c>
      <c r="G4819" t="s">
        <v>6090</v>
      </c>
      <c r="H4819" t="s">
        <v>6097</v>
      </c>
      <c r="I4819">
        <v>24</v>
      </c>
      <c r="J4819">
        <v>4.7</v>
      </c>
      <c r="K4819" t="s">
        <v>6100</v>
      </c>
      <c r="L4819" t="s">
        <v>6099</v>
      </c>
      <c r="M4819" t="s">
        <v>6100</v>
      </c>
      <c r="N4819">
        <v>3</v>
      </c>
      <c r="O4819" t="s">
        <v>6101</v>
      </c>
      <c r="P4819" t="s">
        <v>6114</v>
      </c>
      <c r="Q4819">
        <v>8</v>
      </c>
      <c r="R4819">
        <v>2026</v>
      </c>
      <c r="S4819" t="s">
        <v>6099</v>
      </c>
      <c r="T4819">
        <v>1</v>
      </c>
      <c r="U4819" t="s">
        <v>6019</v>
      </c>
      <c r="V4819">
        <v>0</v>
      </c>
    </row>
    <row r="4820" spans="1:22" x14ac:dyDescent="0.3">
      <c r="A4820" t="s">
        <v>4835</v>
      </c>
      <c r="B4820" s="2">
        <v>46240.615972222222</v>
      </c>
      <c r="C4820" s="2">
        <v>46241.361805555556</v>
      </c>
      <c r="D4820" t="s">
        <v>6028</v>
      </c>
      <c r="E4820" t="s">
        <v>6031</v>
      </c>
      <c r="F4820" t="s">
        <v>6035</v>
      </c>
      <c r="G4820" t="s">
        <v>6054</v>
      </c>
      <c r="H4820" t="s">
        <v>6096</v>
      </c>
      <c r="I4820">
        <v>4</v>
      </c>
      <c r="J4820">
        <v>17.899999999999999</v>
      </c>
      <c r="K4820" t="s">
        <v>6099</v>
      </c>
      <c r="L4820" t="s">
        <v>6100</v>
      </c>
      <c r="M4820" t="s">
        <v>6099</v>
      </c>
      <c r="O4820" t="s">
        <v>6101</v>
      </c>
      <c r="P4820" t="s">
        <v>6114</v>
      </c>
      <c r="Q4820">
        <v>8</v>
      </c>
      <c r="R4820">
        <v>2026</v>
      </c>
      <c r="S4820" t="s">
        <v>6100</v>
      </c>
      <c r="T4820">
        <v>0</v>
      </c>
      <c r="U4820" t="s">
        <v>6018</v>
      </c>
      <c r="V4820">
        <v>1</v>
      </c>
    </row>
    <row r="4821" spans="1:22" x14ac:dyDescent="0.3">
      <c r="A4821" t="s">
        <v>4836</v>
      </c>
      <c r="B4821" s="2">
        <v>46240.706250000003</v>
      </c>
      <c r="C4821" s="2">
        <v>46241.310416666667</v>
      </c>
      <c r="D4821" t="s">
        <v>6023</v>
      </c>
      <c r="E4821" t="s">
        <v>6029</v>
      </c>
      <c r="F4821" t="s">
        <v>6034</v>
      </c>
      <c r="G4821" t="s">
        <v>6040</v>
      </c>
      <c r="H4821" t="s">
        <v>6097</v>
      </c>
      <c r="I4821">
        <v>24</v>
      </c>
      <c r="J4821">
        <v>14.5</v>
      </c>
      <c r="K4821" t="s">
        <v>6099</v>
      </c>
      <c r="L4821" t="s">
        <v>6100</v>
      </c>
      <c r="M4821" t="s">
        <v>6100</v>
      </c>
      <c r="N4821">
        <v>3</v>
      </c>
      <c r="O4821" t="s">
        <v>6101</v>
      </c>
      <c r="P4821" t="s">
        <v>6114</v>
      </c>
      <c r="Q4821">
        <v>8</v>
      </c>
      <c r="R4821">
        <v>2026</v>
      </c>
      <c r="S4821" t="s">
        <v>6099</v>
      </c>
      <c r="T4821">
        <v>1</v>
      </c>
      <c r="U4821" t="s">
        <v>6020</v>
      </c>
      <c r="V4821">
        <v>1</v>
      </c>
    </row>
    <row r="4822" spans="1:22" x14ac:dyDescent="0.3">
      <c r="A4822" t="s">
        <v>4837</v>
      </c>
      <c r="B4822" s="2">
        <v>46240.716666666667</v>
      </c>
      <c r="C4822" s="2">
        <v>46240.808333333334</v>
      </c>
      <c r="D4822" t="s">
        <v>6023</v>
      </c>
      <c r="E4822" t="s">
        <v>6030</v>
      </c>
      <c r="F4822" t="s">
        <v>6033</v>
      </c>
      <c r="G4822" t="s">
        <v>6048</v>
      </c>
      <c r="H4822" t="s">
        <v>6096</v>
      </c>
      <c r="I4822">
        <v>72</v>
      </c>
      <c r="J4822">
        <v>2.2000000000000002</v>
      </c>
      <c r="K4822" t="s">
        <v>6100</v>
      </c>
      <c r="L4822" t="s">
        <v>6100</v>
      </c>
      <c r="M4822" t="s">
        <v>6100</v>
      </c>
      <c r="N4822">
        <v>5</v>
      </c>
      <c r="O4822" t="s">
        <v>6101</v>
      </c>
      <c r="P4822" t="s">
        <v>6114</v>
      </c>
      <c r="Q4822">
        <v>8</v>
      </c>
      <c r="R4822">
        <v>2026</v>
      </c>
      <c r="S4822" t="s">
        <v>6099</v>
      </c>
      <c r="T4822">
        <v>1</v>
      </c>
      <c r="U4822" t="s">
        <v>6017</v>
      </c>
      <c r="V4822">
        <v>0</v>
      </c>
    </row>
    <row r="4823" spans="1:22" x14ac:dyDescent="0.3">
      <c r="A4823" t="s">
        <v>4838</v>
      </c>
      <c r="B4823" s="2">
        <v>46240.762499999997</v>
      </c>
      <c r="C4823" s="2">
        <v>46242.320833333331</v>
      </c>
      <c r="D4823" t="s">
        <v>6028</v>
      </c>
      <c r="E4823" t="s">
        <v>6031</v>
      </c>
      <c r="F4823" t="s">
        <v>6035</v>
      </c>
      <c r="G4823" t="s">
        <v>6061</v>
      </c>
      <c r="H4823" t="s">
        <v>6096</v>
      </c>
      <c r="I4823">
        <v>4</v>
      </c>
      <c r="J4823">
        <v>37.4</v>
      </c>
      <c r="K4823" t="s">
        <v>6099</v>
      </c>
      <c r="L4823" t="s">
        <v>6100</v>
      </c>
      <c r="M4823" t="s">
        <v>6100</v>
      </c>
      <c r="N4823">
        <v>5</v>
      </c>
      <c r="O4823" t="s">
        <v>6101</v>
      </c>
      <c r="P4823" t="s">
        <v>6114</v>
      </c>
      <c r="Q4823">
        <v>8</v>
      </c>
      <c r="R4823">
        <v>2026</v>
      </c>
      <c r="S4823" t="s">
        <v>6100</v>
      </c>
      <c r="T4823">
        <v>0</v>
      </c>
      <c r="U4823" t="s">
        <v>6021</v>
      </c>
      <c r="V4823">
        <v>1</v>
      </c>
    </row>
    <row r="4824" spans="1:22" x14ac:dyDescent="0.3">
      <c r="A4824" t="s">
        <v>4839</v>
      </c>
      <c r="B4824" s="2">
        <v>46240.768750000003</v>
      </c>
      <c r="C4824" s="2">
        <v>46240.935416666667</v>
      </c>
      <c r="D4824" t="s">
        <v>6023</v>
      </c>
      <c r="E4824" t="s">
        <v>6030</v>
      </c>
      <c r="F4824" t="s">
        <v>6035</v>
      </c>
      <c r="G4824" t="s">
        <v>6067</v>
      </c>
      <c r="H4824" t="s">
        <v>6098</v>
      </c>
      <c r="I4824">
        <v>4</v>
      </c>
      <c r="J4824">
        <v>4</v>
      </c>
      <c r="K4824" t="s">
        <v>6100</v>
      </c>
      <c r="L4824" t="s">
        <v>6100</v>
      </c>
      <c r="M4824" t="s">
        <v>6100</v>
      </c>
      <c r="N4824">
        <v>4</v>
      </c>
      <c r="O4824" t="s">
        <v>6101</v>
      </c>
      <c r="P4824" t="s">
        <v>6114</v>
      </c>
      <c r="Q4824">
        <v>8</v>
      </c>
      <c r="R4824">
        <v>2026</v>
      </c>
      <c r="S4824" t="s">
        <v>6099</v>
      </c>
      <c r="T4824">
        <v>1</v>
      </c>
      <c r="U4824" t="s">
        <v>6018</v>
      </c>
      <c r="V4824">
        <v>0</v>
      </c>
    </row>
    <row r="4825" spans="1:22" x14ac:dyDescent="0.3">
      <c r="A4825" t="s">
        <v>4840</v>
      </c>
      <c r="B4825" s="2">
        <v>46240.811805555553</v>
      </c>
      <c r="C4825" s="2">
        <v>46243.582638888889</v>
      </c>
      <c r="D4825" t="s">
        <v>6026</v>
      </c>
      <c r="E4825" t="s">
        <v>6031</v>
      </c>
      <c r="F4825" t="s">
        <v>6034</v>
      </c>
      <c r="G4825" t="s">
        <v>6038</v>
      </c>
      <c r="H4825" t="s">
        <v>6096</v>
      </c>
      <c r="I4825">
        <v>24</v>
      </c>
      <c r="J4825">
        <v>66.5</v>
      </c>
      <c r="K4825" t="s">
        <v>6100</v>
      </c>
      <c r="L4825" t="s">
        <v>6099</v>
      </c>
      <c r="M4825" t="s">
        <v>6100</v>
      </c>
      <c r="N4825">
        <v>3</v>
      </c>
      <c r="O4825" t="s">
        <v>6101</v>
      </c>
      <c r="P4825" t="s">
        <v>6114</v>
      </c>
      <c r="Q4825">
        <v>8</v>
      </c>
      <c r="R4825">
        <v>2026</v>
      </c>
      <c r="S4825" t="s">
        <v>6100</v>
      </c>
      <c r="T4825">
        <v>0</v>
      </c>
      <c r="U4825" t="s">
        <v>6019</v>
      </c>
      <c r="V4825">
        <v>0</v>
      </c>
    </row>
    <row r="4826" spans="1:22" x14ac:dyDescent="0.3">
      <c r="A4826" t="s">
        <v>4841</v>
      </c>
      <c r="B4826" s="2">
        <v>46240.81527777778</v>
      </c>
      <c r="C4826" s="2">
        <v>46241.31527777778</v>
      </c>
      <c r="D4826" t="s">
        <v>6028</v>
      </c>
      <c r="E4826" t="s">
        <v>6031</v>
      </c>
      <c r="F4826" t="s">
        <v>6035</v>
      </c>
      <c r="G4826" t="s">
        <v>6063</v>
      </c>
      <c r="H4826" t="s">
        <v>6097</v>
      </c>
      <c r="I4826">
        <v>4</v>
      </c>
      <c r="J4826">
        <v>12</v>
      </c>
      <c r="K4826" t="s">
        <v>6099</v>
      </c>
      <c r="L4826" t="s">
        <v>6100</v>
      </c>
      <c r="M4826" t="s">
        <v>6099</v>
      </c>
      <c r="N4826">
        <v>3</v>
      </c>
      <c r="O4826" t="s">
        <v>6101</v>
      </c>
      <c r="P4826" t="s">
        <v>6114</v>
      </c>
      <c r="Q4826">
        <v>8</v>
      </c>
      <c r="R4826">
        <v>2026</v>
      </c>
      <c r="S4826" t="s">
        <v>6100</v>
      </c>
      <c r="T4826">
        <v>0</v>
      </c>
      <c r="U4826" t="s">
        <v>6019</v>
      </c>
      <c r="V4826">
        <v>1</v>
      </c>
    </row>
    <row r="4827" spans="1:22" x14ac:dyDescent="0.3">
      <c r="A4827" t="s">
        <v>4842</v>
      </c>
      <c r="B4827" s="2">
        <v>46240.836805555555</v>
      </c>
      <c r="C4827" s="2">
        <v>46241.374305555553</v>
      </c>
      <c r="D4827" t="s">
        <v>6025</v>
      </c>
      <c r="E4827" t="s">
        <v>6030</v>
      </c>
      <c r="F4827" t="s">
        <v>6035</v>
      </c>
      <c r="G4827" t="s">
        <v>6040</v>
      </c>
      <c r="H4827" t="s">
        <v>6097</v>
      </c>
      <c r="I4827">
        <v>4</v>
      </c>
      <c r="J4827">
        <v>12.9</v>
      </c>
      <c r="K4827" t="s">
        <v>6099</v>
      </c>
      <c r="L4827" t="s">
        <v>6100</v>
      </c>
      <c r="M4827" t="s">
        <v>6100</v>
      </c>
      <c r="N4827">
        <v>3</v>
      </c>
      <c r="O4827" t="s">
        <v>6101</v>
      </c>
      <c r="P4827" t="s">
        <v>6114</v>
      </c>
      <c r="Q4827">
        <v>8</v>
      </c>
      <c r="R4827">
        <v>2026</v>
      </c>
      <c r="S4827" t="s">
        <v>6100</v>
      </c>
      <c r="T4827">
        <v>0</v>
      </c>
      <c r="U4827" t="s">
        <v>6019</v>
      </c>
      <c r="V4827">
        <v>1</v>
      </c>
    </row>
    <row r="4828" spans="1:22" x14ac:dyDescent="0.3">
      <c r="A4828" t="s">
        <v>4843</v>
      </c>
      <c r="B4828" s="2">
        <v>46240.871527777781</v>
      </c>
      <c r="C4828" s="2">
        <v>46241.113194444442</v>
      </c>
      <c r="D4828" t="s">
        <v>6024</v>
      </c>
      <c r="E4828" t="s">
        <v>6029</v>
      </c>
      <c r="F4828" t="s">
        <v>6034</v>
      </c>
      <c r="G4828" t="s">
        <v>6065</v>
      </c>
      <c r="H4828" t="s">
        <v>6097</v>
      </c>
      <c r="I4828">
        <v>24</v>
      </c>
      <c r="J4828">
        <v>5.8</v>
      </c>
      <c r="K4828" t="s">
        <v>6100</v>
      </c>
      <c r="L4828" t="s">
        <v>6100</v>
      </c>
      <c r="M4828" t="s">
        <v>6100</v>
      </c>
      <c r="N4828">
        <v>5</v>
      </c>
      <c r="O4828" t="s">
        <v>6101</v>
      </c>
      <c r="P4828" t="s">
        <v>6114</v>
      </c>
      <c r="Q4828">
        <v>8</v>
      </c>
      <c r="R4828">
        <v>2026</v>
      </c>
      <c r="S4828" t="s">
        <v>6099</v>
      </c>
      <c r="T4828">
        <v>1</v>
      </c>
      <c r="U4828" t="s">
        <v>6017</v>
      </c>
      <c r="V4828">
        <v>0</v>
      </c>
    </row>
    <row r="4829" spans="1:22" x14ac:dyDescent="0.3">
      <c r="A4829" t="s">
        <v>4844</v>
      </c>
      <c r="B4829" s="2">
        <v>46240.955555555556</v>
      </c>
      <c r="C4829" s="2">
        <v>46241.322222222225</v>
      </c>
      <c r="D4829" t="s">
        <v>6022</v>
      </c>
      <c r="E4829" t="s">
        <v>6030</v>
      </c>
      <c r="F4829" t="s">
        <v>6033</v>
      </c>
      <c r="G4829" t="s">
        <v>6043</v>
      </c>
      <c r="H4829" t="s">
        <v>6097</v>
      </c>
      <c r="I4829">
        <v>72</v>
      </c>
      <c r="J4829">
        <v>8.8000000000000007</v>
      </c>
      <c r="K4829" t="s">
        <v>6099</v>
      </c>
      <c r="L4829" t="s">
        <v>6100</v>
      </c>
      <c r="M4829" t="s">
        <v>6100</v>
      </c>
      <c r="N4829">
        <v>5</v>
      </c>
      <c r="O4829" t="s">
        <v>6101</v>
      </c>
      <c r="P4829" t="s">
        <v>6114</v>
      </c>
      <c r="Q4829">
        <v>8</v>
      </c>
      <c r="R4829">
        <v>2026</v>
      </c>
      <c r="S4829" t="s">
        <v>6099</v>
      </c>
      <c r="T4829">
        <v>1</v>
      </c>
      <c r="U4829" t="s">
        <v>6017</v>
      </c>
      <c r="V4829">
        <v>1</v>
      </c>
    </row>
    <row r="4830" spans="1:22" x14ac:dyDescent="0.3">
      <c r="A4830" t="s">
        <v>4845</v>
      </c>
      <c r="B4830" s="2">
        <v>46241.293055555558</v>
      </c>
      <c r="C4830" s="2">
        <v>46242.222222222219</v>
      </c>
      <c r="D4830" t="s">
        <v>6028</v>
      </c>
      <c r="E4830" t="s">
        <v>6031</v>
      </c>
      <c r="F4830" t="s">
        <v>6035</v>
      </c>
      <c r="G4830" t="s">
        <v>6084</v>
      </c>
      <c r="H4830" t="s">
        <v>6098</v>
      </c>
      <c r="I4830">
        <v>4</v>
      </c>
      <c r="J4830">
        <v>22.3</v>
      </c>
      <c r="K4830" t="s">
        <v>6100</v>
      </c>
      <c r="L4830" t="s">
        <v>6099</v>
      </c>
      <c r="M4830" t="s">
        <v>6100</v>
      </c>
      <c r="O4830" t="s">
        <v>6101</v>
      </c>
      <c r="P4830" t="s">
        <v>6114</v>
      </c>
      <c r="Q4830">
        <v>8</v>
      </c>
      <c r="R4830">
        <v>2026</v>
      </c>
      <c r="S4830" t="s">
        <v>6100</v>
      </c>
      <c r="T4830">
        <v>0</v>
      </c>
      <c r="U4830" t="s">
        <v>6019</v>
      </c>
      <c r="V4830">
        <v>0</v>
      </c>
    </row>
    <row r="4831" spans="1:22" x14ac:dyDescent="0.3">
      <c r="A4831" t="s">
        <v>4846</v>
      </c>
      <c r="B4831" s="2">
        <v>46241.351388888892</v>
      </c>
      <c r="C4831" s="2">
        <v>46241.388888888891</v>
      </c>
      <c r="D4831" t="s">
        <v>6023</v>
      </c>
      <c r="E4831" t="s">
        <v>6030</v>
      </c>
      <c r="F4831" t="s">
        <v>6033</v>
      </c>
      <c r="G4831" t="s">
        <v>6039</v>
      </c>
      <c r="H4831" t="s">
        <v>6097</v>
      </c>
      <c r="I4831">
        <v>72</v>
      </c>
      <c r="J4831">
        <v>0.9</v>
      </c>
      <c r="K4831" t="s">
        <v>6099</v>
      </c>
      <c r="L4831" t="s">
        <v>6100</v>
      </c>
      <c r="M4831" t="s">
        <v>6100</v>
      </c>
      <c r="O4831" t="s">
        <v>6101</v>
      </c>
      <c r="P4831" t="s">
        <v>6114</v>
      </c>
      <c r="Q4831">
        <v>8</v>
      </c>
      <c r="R4831">
        <v>2026</v>
      </c>
      <c r="S4831" t="s">
        <v>6099</v>
      </c>
      <c r="T4831">
        <v>1</v>
      </c>
      <c r="U4831" t="s">
        <v>6021</v>
      </c>
      <c r="V4831">
        <v>1</v>
      </c>
    </row>
    <row r="4832" spans="1:22" x14ac:dyDescent="0.3">
      <c r="A4832" t="s">
        <v>4847</v>
      </c>
      <c r="B4832" s="2">
        <v>46241.388888888891</v>
      </c>
      <c r="C4832" s="2">
        <v>46242.634722222225</v>
      </c>
      <c r="D4832" t="s">
        <v>6022</v>
      </c>
      <c r="E4832" t="s">
        <v>6031</v>
      </c>
      <c r="F4832" t="s">
        <v>6034</v>
      </c>
      <c r="G4832" t="s">
        <v>6094</v>
      </c>
      <c r="H4832" t="s">
        <v>6098</v>
      </c>
      <c r="I4832">
        <v>24</v>
      </c>
      <c r="J4832">
        <v>29.9</v>
      </c>
      <c r="K4832" t="s">
        <v>6099</v>
      </c>
      <c r="L4832" t="s">
        <v>6100</v>
      </c>
      <c r="M4832" t="s">
        <v>6100</v>
      </c>
      <c r="N4832">
        <v>5</v>
      </c>
      <c r="O4832" t="s">
        <v>6101</v>
      </c>
      <c r="P4832" t="s">
        <v>6114</v>
      </c>
      <c r="Q4832">
        <v>8</v>
      </c>
      <c r="R4832">
        <v>2026</v>
      </c>
      <c r="S4832" t="s">
        <v>6100</v>
      </c>
      <c r="T4832">
        <v>0</v>
      </c>
      <c r="U4832" t="s">
        <v>6020</v>
      </c>
      <c r="V4832">
        <v>1</v>
      </c>
    </row>
    <row r="4833" spans="1:22" x14ac:dyDescent="0.3">
      <c r="A4833" t="s">
        <v>4848</v>
      </c>
      <c r="B4833" s="2">
        <v>46241.398611111108</v>
      </c>
      <c r="C4833" s="2">
        <v>46241.519444444442</v>
      </c>
      <c r="D4833" t="s">
        <v>6028</v>
      </c>
      <c r="E4833" t="s">
        <v>6030</v>
      </c>
      <c r="F4833" t="s">
        <v>6034</v>
      </c>
      <c r="G4833" t="s">
        <v>6078</v>
      </c>
      <c r="H4833" t="s">
        <v>6097</v>
      </c>
      <c r="I4833">
        <v>24</v>
      </c>
      <c r="J4833">
        <v>2.9</v>
      </c>
      <c r="K4833" t="s">
        <v>6100</v>
      </c>
      <c r="L4833" t="s">
        <v>6100</v>
      </c>
      <c r="M4833" t="s">
        <v>6100</v>
      </c>
      <c r="N4833">
        <v>3</v>
      </c>
      <c r="O4833" t="s">
        <v>6101</v>
      </c>
      <c r="P4833" t="s">
        <v>6114</v>
      </c>
      <c r="Q4833">
        <v>8</v>
      </c>
      <c r="R4833">
        <v>2026</v>
      </c>
      <c r="S4833" t="s">
        <v>6099</v>
      </c>
      <c r="T4833">
        <v>1</v>
      </c>
      <c r="U4833" t="s">
        <v>6020</v>
      </c>
      <c r="V4833">
        <v>0</v>
      </c>
    </row>
    <row r="4834" spans="1:22" x14ac:dyDescent="0.3">
      <c r="A4834" t="s">
        <v>4849</v>
      </c>
      <c r="B4834" s="2">
        <v>46241.402083333334</v>
      </c>
      <c r="C4834" s="2">
        <v>46246.747916666667</v>
      </c>
      <c r="D4834" t="s">
        <v>6026</v>
      </c>
      <c r="E4834" t="s">
        <v>6031</v>
      </c>
      <c r="F4834" t="s">
        <v>6034</v>
      </c>
      <c r="G4834" t="s">
        <v>6080</v>
      </c>
      <c r="H4834" t="s">
        <v>6096</v>
      </c>
      <c r="I4834">
        <v>24</v>
      </c>
      <c r="J4834">
        <v>128.30000000000001</v>
      </c>
      <c r="K4834" t="s">
        <v>6099</v>
      </c>
      <c r="L4834" t="s">
        <v>6100</v>
      </c>
      <c r="M4834" t="s">
        <v>6100</v>
      </c>
      <c r="N4834">
        <v>4</v>
      </c>
      <c r="O4834" t="s">
        <v>6101</v>
      </c>
      <c r="P4834" t="s">
        <v>6114</v>
      </c>
      <c r="Q4834">
        <v>8</v>
      </c>
      <c r="R4834">
        <v>2026</v>
      </c>
      <c r="S4834" t="s">
        <v>6100</v>
      </c>
      <c r="T4834">
        <v>0</v>
      </c>
      <c r="U4834" t="s">
        <v>6018</v>
      </c>
      <c r="V4834">
        <v>1</v>
      </c>
    </row>
    <row r="4835" spans="1:22" x14ac:dyDescent="0.3">
      <c r="A4835" t="s">
        <v>4850</v>
      </c>
      <c r="B4835" s="2">
        <v>46241.415972222225</v>
      </c>
      <c r="C4835" s="2">
        <v>46241.661805555559</v>
      </c>
      <c r="D4835" t="s">
        <v>6024</v>
      </c>
      <c r="E4835" t="s">
        <v>6032</v>
      </c>
      <c r="F4835" t="s">
        <v>6033</v>
      </c>
      <c r="G4835" t="s">
        <v>6094</v>
      </c>
      <c r="H4835" t="s">
        <v>6098</v>
      </c>
      <c r="I4835">
        <v>72</v>
      </c>
      <c r="J4835">
        <v>5.9</v>
      </c>
      <c r="K4835" t="s">
        <v>6100</v>
      </c>
      <c r="L4835" t="s">
        <v>6100</v>
      </c>
      <c r="M4835" t="s">
        <v>6100</v>
      </c>
      <c r="O4835" t="s">
        <v>6101</v>
      </c>
      <c r="P4835" t="s">
        <v>6114</v>
      </c>
      <c r="Q4835">
        <v>8</v>
      </c>
      <c r="R4835">
        <v>2026</v>
      </c>
      <c r="S4835" t="s">
        <v>6099</v>
      </c>
      <c r="T4835">
        <v>1</v>
      </c>
      <c r="U4835" t="s">
        <v>6020</v>
      </c>
      <c r="V4835">
        <v>0</v>
      </c>
    </row>
    <row r="4836" spans="1:22" x14ac:dyDescent="0.3">
      <c r="A4836" t="s">
        <v>4851</v>
      </c>
      <c r="B4836" s="2">
        <v>46241.474999999999</v>
      </c>
      <c r="C4836" s="2">
        <v>46241.625</v>
      </c>
      <c r="D4836" t="s">
        <v>6023</v>
      </c>
      <c r="E4836" t="s">
        <v>6030</v>
      </c>
      <c r="F4836" t="s">
        <v>6034</v>
      </c>
      <c r="G4836" t="s">
        <v>6047</v>
      </c>
      <c r="H4836" t="s">
        <v>6098</v>
      </c>
      <c r="I4836">
        <v>24</v>
      </c>
      <c r="J4836">
        <v>3.6</v>
      </c>
      <c r="K4836" t="s">
        <v>6099</v>
      </c>
      <c r="L4836" t="s">
        <v>6100</v>
      </c>
      <c r="M4836" t="s">
        <v>6100</v>
      </c>
      <c r="N4836">
        <v>5</v>
      </c>
      <c r="O4836" t="s">
        <v>6101</v>
      </c>
      <c r="P4836" t="s">
        <v>6114</v>
      </c>
      <c r="Q4836">
        <v>8</v>
      </c>
      <c r="R4836">
        <v>2026</v>
      </c>
      <c r="S4836" t="s">
        <v>6099</v>
      </c>
      <c r="T4836">
        <v>1</v>
      </c>
      <c r="U4836" t="s">
        <v>6019</v>
      </c>
      <c r="V4836">
        <v>1</v>
      </c>
    </row>
    <row r="4837" spans="1:22" x14ac:dyDescent="0.3">
      <c r="A4837" t="s">
        <v>4852</v>
      </c>
      <c r="B4837" s="2">
        <v>46241.496527777781</v>
      </c>
      <c r="C4837" s="2">
        <v>46242.488194444442</v>
      </c>
      <c r="D4837" t="s">
        <v>6022</v>
      </c>
      <c r="E4837" t="s">
        <v>6029</v>
      </c>
      <c r="F4837" t="s">
        <v>6034</v>
      </c>
      <c r="G4837" t="s">
        <v>6070</v>
      </c>
      <c r="H4837" t="s">
        <v>6097</v>
      </c>
      <c r="I4837">
        <v>24</v>
      </c>
      <c r="J4837">
        <v>23.8</v>
      </c>
      <c r="K4837" t="s">
        <v>6099</v>
      </c>
      <c r="L4837" t="s">
        <v>6100</v>
      </c>
      <c r="M4837" t="s">
        <v>6100</v>
      </c>
      <c r="O4837" t="s">
        <v>6101</v>
      </c>
      <c r="P4837" t="s">
        <v>6114</v>
      </c>
      <c r="Q4837">
        <v>8</v>
      </c>
      <c r="R4837">
        <v>2026</v>
      </c>
      <c r="S4837" t="s">
        <v>6099</v>
      </c>
      <c r="T4837">
        <v>1</v>
      </c>
      <c r="U4837" t="s">
        <v>6020</v>
      </c>
      <c r="V4837">
        <v>1</v>
      </c>
    </row>
    <row r="4838" spans="1:22" x14ac:dyDescent="0.3">
      <c r="A4838" t="s">
        <v>4853</v>
      </c>
      <c r="B4838" s="2">
        <v>46241.511111111111</v>
      </c>
      <c r="C4838" s="2">
        <v>46241.665277777778</v>
      </c>
      <c r="D4838" t="s">
        <v>6024</v>
      </c>
      <c r="E4838" t="s">
        <v>6030</v>
      </c>
      <c r="F4838" t="s">
        <v>6034</v>
      </c>
      <c r="G4838" t="s">
        <v>6077</v>
      </c>
      <c r="H4838" t="s">
        <v>6098</v>
      </c>
      <c r="I4838">
        <v>24</v>
      </c>
      <c r="J4838">
        <v>3.7</v>
      </c>
      <c r="K4838" t="s">
        <v>6099</v>
      </c>
      <c r="L4838" t="s">
        <v>6100</v>
      </c>
      <c r="M4838" t="s">
        <v>6100</v>
      </c>
      <c r="N4838">
        <v>5</v>
      </c>
      <c r="O4838" t="s">
        <v>6101</v>
      </c>
      <c r="P4838" t="s">
        <v>6114</v>
      </c>
      <c r="Q4838">
        <v>8</v>
      </c>
      <c r="R4838">
        <v>2026</v>
      </c>
      <c r="S4838" t="s">
        <v>6099</v>
      </c>
      <c r="T4838">
        <v>1</v>
      </c>
      <c r="U4838" t="s">
        <v>6020</v>
      </c>
      <c r="V4838">
        <v>1</v>
      </c>
    </row>
    <row r="4839" spans="1:22" x14ac:dyDescent="0.3">
      <c r="A4839" t="s">
        <v>4854</v>
      </c>
      <c r="B4839" s="2">
        <v>46241.577777777777</v>
      </c>
      <c r="C4839" s="2">
        <v>46242.169444444444</v>
      </c>
      <c r="D4839" t="s">
        <v>6023</v>
      </c>
      <c r="E4839" t="s">
        <v>6032</v>
      </c>
      <c r="F4839" t="s">
        <v>6033</v>
      </c>
      <c r="G4839" t="s">
        <v>6072</v>
      </c>
      <c r="H4839" t="s">
        <v>6097</v>
      </c>
      <c r="I4839">
        <v>72</v>
      </c>
      <c r="J4839">
        <v>14.2</v>
      </c>
      <c r="K4839" t="s">
        <v>6099</v>
      </c>
      <c r="L4839" t="s">
        <v>6100</v>
      </c>
      <c r="M4839" t="s">
        <v>6100</v>
      </c>
      <c r="N4839">
        <v>4</v>
      </c>
      <c r="O4839" t="s">
        <v>6101</v>
      </c>
      <c r="P4839" t="s">
        <v>6114</v>
      </c>
      <c r="Q4839">
        <v>8</v>
      </c>
      <c r="R4839">
        <v>2026</v>
      </c>
      <c r="S4839" t="s">
        <v>6099</v>
      </c>
      <c r="T4839">
        <v>1</v>
      </c>
      <c r="U4839" t="s">
        <v>6019</v>
      </c>
      <c r="V4839">
        <v>1</v>
      </c>
    </row>
    <row r="4840" spans="1:22" x14ac:dyDescent="0.3">
      <c r="A4840" t="s">
        <v>4855</v>
      </c>
      <c r="B4840" s="2">
        <v>46241.594444444447</v>
      </c>
      <c r="C4840" s="2">
        <v>46242.215277777781</v>
      </c>
      <c r="D4840" t="s">
        <v>6025</v>
      </c>
      <c r="E4840" t="s">
        <v>6031</v>
      </c>
      <c r="F4840" t="s">
        <v>6033</v>
      </c>
      <c r="G4840" t="s">
        <v>6074</v>
      </c>
      <c r="H4840" t="s">
        <v>6098</v>
      </c>
      <c r="I4840">
        <v>72</v>
      </c>
      <c r="J4840">
        <v>14.9</v>
      </c>
      <c r="K4840" t="s">
        <v>6099</v>
      </c>
      <c r="L4840" t="s">
        <v>6100</v>
      </c>
      <c r="M4840" t="s">
        <v>6100</v>
      </c>
      <c r="O4840" t="s">
        <v>6101</v>
      </c>
      <c r="P4840" t="s">
        <v>6114</v>
      </c>
      <c r="Q4840">
        <v>8</v>
      </c>
      <c r="R4840">
        <v>2026</v>
      </c>
      <c r="S4840" t="s">
        <v>6099</v>
      </c>
      <c r="T4840">
        <v>1</v>
      </c>
      <c r="U4840" t="s">
        <v>6020</v>
      </c>
      <c r="V4840">
        <v>1</v>
      </c>
    </row>
    <row r="4841" spans="1:22" x14ac:dyDescent="0.3">
      <c r="A4841" t="s">
        <v>4856</v>
      </c>
      <c r="B4841" s="2">
        <v>46241.609027777777</v>
      </c>
      <c r="C4841" s="2">
        <v>46242.396527777775</v>
      </c>
      <c r="D4841" t="s">
        <v>6027</v>
      </c>
      <c r="E4841" t="s">
        <v>6029</v>
      </c>
      <c r="F4841" t="s">
        <v>6034</v>
      </c>
      <c r="G4841" t="s">
        <v>6078</v>
      </c>
      <c r="H4841" t="s">
        <v>6097</v>
      </c>
      <c r="I4841">
        <v>24</v>
      </c>
      <c r="J4841">
        <v>18.899999999999999</v>
      </c>
      <c r="K4841" t="s">
        <v>6099</v>
      </c>
      <c r="L4841" t="s">
        <v>6100</v>
      </c>
      <c r="M4841" t="s">
        <v>6100</v>
      </c>
      <c r="N4841">
        <v>4</v>
      </c>
      <c r="O4841" t="s">
        <v>6101</v>
      </c>
      <c r="P4841" t="s">
        <v>6114</v>
      </c>
      <c r="Q4841">
        <v>8</v>
      </c>
      <c r="R4841">
        <v>2026</v>
      </c>
      <c r="S4841" t="s">
        <v>6099</v>
      </c>
      <c r="T4841">
        <v>1</v>
      </c>
      <c r="U4841" t="s">
        <v>6019</v>
      </c>
      <c r="V4841">
        <v>1</v>
      </c>
    </row>
    <row r="4842" spans="1:22" x14ac:dyDescent="0.3">
      <c r="A4842" t="s">
        <v>4857</v>
      </c>
      <c r="B4842" s="2">
        <v>46241.621527777781</v>
      </c>
      <c r="C4842" s="2">
        <v>46242.704861111109</v>
      </c>
      <c r="D4842" t="s">
        <v>6022</v>
      </c>
      <c r="E4842" t="s">
        <v>6029</v>
      </c>
      <c r="F4842" t="s">
        <v>6034</v>
      </c>
      <c r="G4842" t="s">
        <v>6047</v>
      </c>
      <c r="H4842" t="s">
        <v>6098</v>
      </c>
      <c r="I4842">
        <v>24</v>
      </c>
      <c r="J4842">
        <v>26</v>
      </c>
      <c r="K4842" t="s">
        <v>6100</v>
      </c>
      <c r="L4842" t="s">
        <v>6099</v>
      </c>
      <c r="M4842" t="s">
        <v>6100</v>
      </c>
      <c r="O4842" t="s">
        <v>6101</v>
      </c>
      <c r="P4842" t="s">
        <v>6114</v>
      </c>
      <c r="Q4842">
        <v>8</v>
      </c>
      <c r="R4842">
        <v>2026</v>
      </c>
      <c r="S4842" t="s">
        <v>6100</v>
      </c>
      <c r="T4842">
        <v>0</v>
      </c>
      <c r="U4842" t="s">
        <v>6017</v>
      </c>
      <c r="V4842">
        <v>0</v>
      </c>
    </row>
    <row r="4843" spans="1:22" x14ac:dyDescent="0.3">
      <c r="A4843" t="s">
        <v>4858</v>
      </c>
      <c r="B4843" s="2">
        <v>46241.654861111114</v>
      </c>
      <c r="C4843" s="2">
        <v>46251.375694444447</v>
      </c>
      <c r="D4843" t="s">
        <v>6026</v>
      </c>
      <c r="E4843" t="s">
        <v>6031</v>
      </c>
      <c r="F4843" t="s">
        <v>6033</v>
      </c>
      <c r="G4843" t="s">
        <v>6091</v>
      </c>
      <c r="H4843" t="s">
        <v>6097</v>
      </c>
      <c r="I4843">
        <v>72</v>
      </c>
      <c r="J4843">
        <v>233.3</v>
      </c>
      <c r="K4843" t="s">
        <v>6099</v>
      </c>
      <c r="L4843" t="s">
        <v>6100</v>
      </c>
      <c r="M4843" t="s">
        <v>6100</v>
      </c>
      <c r="O4843" t="s">
        <v>6101</v>
      </c>
      <c r="P4843" t="s">
        <v>6114</v>
      </c>
      <c r="Q4843">
        <v>8</v>
      </c>
      <c r="R4843">
        <v>2026</v>
      </c>
      <c r="S4843" t="s">
        <v>6100</v>
      </c>
      <c r="T4843">
        <v>0</v>
      </c>
      <c r="U4843" t="s">
        <v>6021</v>
      </c>
      <c r="V4843">
        <v>1</v>
      </c>
    </row>
    <row r="4844" spans="1:22" x14ac:dyDescent="0.3">
      <c r="A4844" t="s">
        <v>4859</v>
      </c>
      <c r="B4844" s="2">
        <v>46241.703472222223</v>
      </c>
      <c r="C4844" s="2">
        <v>46242.315972222219</v>
      </c>
      <c r="D4844" t="s">
        <v>6023</v>
      </c>
      <c r="E4844" t="s">
        <v>6032</v>
      </c>
      <c r="F4844" t="s">
        <v>6033</v>
      </c>
      <c r="G4844" t="s">
        <v>6083</v>
      </c>
      <c r="H4844" t="s">
        <v>6096</v>
      </c>
      <c r="I4844">
        <v>72</v>
      </c>
      <c r="J4844">
        <v>14.7</v>
      </c>
      <c r="K4844" t="s">
        <v>6099</v>
      </c>
      <c r="L4844" t="s">
        <v>6100</v>
      </c>
      <c r="M4844" t="s">
        <v>6100</v>
      </c>
      <c r="O4844" t="s">
        <v>6101</v>
      </c>
      <c r="P4844" t="s">
        <v>6114</v>
      </c>
      <c r="Q4844">
        <v>8</v>
      </c>
      <c r="R4844">
        <v>2026</v>
      </c>
      <c r="S4844" t="s">
        <v>6099</v>
      </c>
      <c r="T4844">
        <v>1</v>
      </c>
      <c r="U4844" t="s">
        <v>6020</v>
      </c>
      <c r="V4844">
        <v>1</v>
      </c>
    </row>
    <row r="4845" spans="1:22" x14ac:dyDescent="0.3">
      <c r="A4845" t="s">
        <v>4860</v>
      </c>
      <c r="B4845" s="2">
        <v>46241.771527777775</v>
      </c>
      <c r="C4845" s="2">
        <v>46242.071527777778</v>
      </c>
      <c r="D4845" t="s">
        <v>6028</v>
      </c>
      <c r="E4845" t="s">
        <v>6029</v>
      </c>
      <c r="F4845" t="s">
        <v>6033</v>
      </c>
      <c r="G4845" t="s">
        <v>6055</v>
      </c>
      <c r="H4845" t="s">
        <v>6096</v>
      </c>
      <c r="I4845">
        <v>72</v>
      </c>
      <c r="J4845">
        <v>7.2</v>
      </c>
      <c r="K4845" t="s">
        <v>6099</v>
      </c>
      <c r="L4845" t="s">
        <v>6100</v>
      </c>
      <c r="M4845" t="s">
        <v>6099</v>
      </c>
      <c r="N4845">
        <v>5</v>
      </c>
      <c r="O4845" t="s">
        <v>6101</v>
      </c>
      <c r="P4845" t="s">
        <v>6114</v>
      </c>
      <c r="Q4845">
        <v>8</v>
      </c>
      <c r="R4845">
        <v>2026</v>
      </c>
      <c r="S4845" t="s">
        <v>6099</v>
      </c>
      <c r="T4845">
        <v>1</v>
      </c>
      <c r="U4845" t="s">
        <v>6018</v>
      </c>
      <c r="V4845">
        <v>1</v>
      </c>
    </row>
    <row r="4846" spans="1:22" x14ac:dyDescent="0.3">
      <c r="A4846" t="s">
        <v>4861</v>
      </c>
      <c r="B4846" s="2">
        <v>46241.981249999997</v>
      </c>
      <c r="C4846" s="2">
        <v>46242.256249999999</v>
      </c>
      <c r="D4846" t="s">
        <v>6027</v>
      </c>
      <c r="E4846" t="s">
        <v>6030</v>
      </c>
      <c r="F4846" t="s">
        <v>6034</v>
      </c>
      <c r="G4846" t="s">
        <v>6054</v>
      </c>
      <c r="H4846" t="s">
        <v>6096</v>
      </c>
      <c r="I4846">
        <v>24</v>
      </c>
      <c r="J4846">
        <v>6.6</v>
      </c>
      <c r="K4846" t="s">
        <v>6100</v>
      </c>
      <c r="L4846" t="s">
        <v>6099</v>
      </c>
      <c r="M4846" t="s">
        <v>6100</v>
      </c>
      <c r="O4846" t="s">
        <v>6101</v>
      </c>
      <c r="P4846" t="s">
        <v>6114</v>
      </c>
      <c r="Q4846">
        <v>8</v>
      </c>
      <c r="R4846">
        <v>2026</v>
      </c>
      <c r="S4846" t="s">
        <v>6099</v>
      </c>
      <c r="T4846">
        <v>1</v>
      </c>
      <c r="U4846" t="s">
        <v>6019</v>
      </c>
      <c r="V4846">
        <v>0</v>
      </c>
    </row>
    <row r="4847" spans="1:22" x14ac:dyDescent="0.3">
      <c r="A4847" t="s">
        <v>4862</v>
      </c>
      <c r="B4847" s="2">
        <v>46242.190972222219</v>
      </c>
      <c r="C4847" s="2">
        <v>46242.924305555556</v>
      </c>
      <c r="D4847" t="s">
        <v>6027</v>
      </c>
      <c r="E4847" t="s">
        <v>6029</v>
      </c>
      <c r="F4847" t="s">
        <v>6035</v>
      </c>
      <c r="G4847" t="s">
        <v>6042</v>
      </c>
      <c r="H4847" t="s">
        <v>6098</v>
      </c>
      <c r="I4847">
        <v>4</v>
      </c>
      <c r="J4847">
        <v>17.600000000000001</v>
      </c>
      <c r="K4847" t="s">
        <v>6099</v>
      </c>
      <c r="L4847" t="s">
        <v>6100</v>
      </c>
      <c r="M4847" t="s">
        <v>6100</v>
      </c>
      <c r="N4847">
        <v>5</v>
      </c>
      <c r="O4847" t="s">
        <v>6101</v>
      </c>
      <c r="P4847" t="s">
        <v>6114</v>
      </c>
      <c r="Q4847">
        <v>8</v>
      </c>
      <c r="R4847">
        <v>2026</v>
      </c>
      <c r="S4847" t="s">
        <v>6100</v>
      </c>
      <c r="T4847">
        <v>0</v>
      </c>
      <c r="U4847" t="s">
        <v>6017</v>
      </c>
      <c r="V4847">
        <v>1</v>
      </c>
    </row>
    <row r="4848" spans="1:22" x14ac:dyDescent="0.3">
      <c r="A4848" t="s">
        <v>4863</v>
      </c>
      <c r="B4848" s="2">
        <v>46242.231249999997</v>
      </c>
      <c r="C4848" s="2">
        <v>46243.914583333331</v>
      </c>
      <c r="D4848" t="s">
        <v>6027</v>
      </c>
      <c r="E4848" t="s">
        <v>6032</v>
      </c>
      <c r="F4848" t="s">
        <v>6033</v>
      </c>
      <c r="G4848" t="s">
        <v>6049</v>
      </c>
      <c r="H4848" t="s">
        <v>6097</v>
      </c>
      <c r="I4848">
        <v>72</v>
      </c>
      <c r="J4848">
        <v>40.4</v>
      </c>
      <c r="K4848" t="s">
        <v>6099</v>
      </c>
      <c r="L4848" t="s">
        <v>6100</v>
      </c>
      <c r="M4848" t="s">
        <v>6100</v>
      </c>
      <c r="N4848">
        <v>3</v>
      </c>
      <c r="O4848" t="s">
        <v>6101</v>
      </c>
      <c r="P4848" t="s">
        <v>6114</v>
      </c>
      <c r="Q4848">
        <v>8</v>
      </c>
      <c r="R4848">
        <v>2026</v>
      </c>
      <c r="S4848" t="s">
        <v>6099</v>
      </c>
      <c r="T4848">
        <v>1</v>
      </c>
      <c r="U4848" t="s">
        <v>6018</v>
      </c>
      <c r="V4848">
        <v>1</v>
      </c>
    </row>
    <row r="4849" spans="1:22" x14ac:dyDescent="0.3">
      <c r="A4849" t="s">
        <v>4864</v>
      </c>
      <c r="B4849" s="2">
        <v>46242.237500000003</v>
      </c>
      <c r="C4849" s="2">
        <v>46244.57916666667</v>
      </c>
      <c r="D4849" t="s">
        <v>6022</v>
      </c>
      <c r="E4849" t="s">
        <v>6032</v>
      </c>
      <c r="F4849" t="s">
        <v>6034</v>
      </c>
      <c r="G4849" t="s">
        <v>6088</v>
      </c>
      <c r="H4849" t="s">
        <v>6097</v>
      </c>
      <c r="I4849">
        <v>24</v>
      </c>
      <c r="J4849">
        <v>56.2</v>
      </c>
      <c r="K4849" t="s">
        <v>6099</v>
      </c>
      <c r="L4849" t="s">
        <v>6100</v>
      </c>
      <c r="M4849" t="s">
        <v>6100</v>
      </c>
      <c r="O4849" t="s">
        <v>6101</v>
      </c>
      <c r="P4849" t="s">
        <v>6114</v>
      </c>
      <c r="Q4849">
        <v>8</v>
      </c>
      <c r="R4849">
        <v>2026</v>
      </c>
      <c r="S4849" t="s">
        <v>6100</v>
      </c>
      <c r="T4849">
        <v>0</v>
      </c>
      <c r="U4849" t="s">
        <v>6018</v>
      </c>
      <c r="V4849">
        <v>1</v>
      </c>
    </row>
    <row r="4850" spans="1:22" x14ac:dyDescent="0.3">
      <c r="A4850" t="s">
        <v>4865</v>
      </c>
      <c r="B4850" s="2">
        <v>46242.261805555558</v>
      </c>
      <c r="C4850" s="2">
        <v>46242.907638888886</v>
      </c>
      <c r="D4850" t="s">
        <v>6027</v>
      </c>
      <c r="E4850" t="s">
        <v>6030</v>
      </c>
      <c r="F4850" t="s">
        <v>6033</v>
      </c>
      <c r="G4850" t="s">
        <v>6056</v>
      </c>
      <c r="H4850" t="s">
        <v>6098</v>
      </c>
      <c r="I4850">
        <v>72</v>
      </c>
      <c r="J4850">
        <v>15.5</v>
      </c>
      <c r="K4850" t="s">
        <v>6100</v>
      </c>
      <c r="L4850" t="s">
        <v>6099</v>
      </c>
      <c r="M4850" t="s">
        <v>6100</v>
      </c>
      <c r="N4850">
        <v>4</v>
      </c>
      <c r="O4850" t="s">
        <v>6101</v>
      </c>
      <c r="P4850" t="s">
        <v>6114</v>
      </c>
      <c r="Q4850">
        <v>8</v>
      </c>
      <c r="R4850">
        <v>2026</v>
      </c>
      <c r="S4850" t="s">
        <v>6099</v>
      </c>
      <c r="T4850">
        <v>1</v>
      </c>
      <c r="U4850" t="s">
        <v>6019</v>
      </c>
      <c r="V4850">
        <v>0</v>
      </c>
    </row>
    <row r="4851" spans="1:22" x14ac:dyDescent="0.3">
      <c r="A4851" t="s">
        <v>4866</v>
      </c>
      <c r="B4851" s="2">
        <v>46242.263194444444</v>
      </c>
      <c r="C4851" s="2">
        <v>46242.567361111112</v>
      </c>
      <c r="D4851" t="s">
        <v>6028</v>
      </c>
      <c r="E4851" t="s">
        <v>6029</v>
      </c>
      <c r="F4851" t="s">
        <v>6034</v>
      </c>
      <c r="G4851" t="s">
        <v>6040</v>
      </c>
      <c r="H4851" t="s">
        <v>6097</v>
      </c>
      <c r="I4851">
        <v>24</v>
      </c>
      <c r="J4851">
        <v>7.3</v>
      </c>
      <c r="K4851" t="s">
        <v>6099</v>
      </c>
      <c r="L4851" t="s">
        <v>6100</v>
      </c>
      <c r="M4851" t="s">
        <v>6100</v>
      </c>
      <c r="N4851">
        <v>4</v>
      </c>
      <c r="O4851" t="s">
        <v>6101</v>
      </c>
      <c r="P4851" t="s">
        <v>6114</v>
      </c>
      <c r="Q4851">
        <v>8</v>
      </c>
      <c r="R4851">
        <v>2026</v>
      </c>
      <c r="S4851" t="s">
        <v>6099</v>
      </c>
      <c r="T4851">
        <v>1</v>
      </c>
      <c r="U4851" t="s">
        <v>6018</v>
      </c>
      <c r="V4851">
        <v>1</v>
      </c>
    </row>
    <row r="4852" spans="1:22" x14ac:dyDescent="0.3">
      <c r="A4852" t="s">
        <v>4867</v>
      </c>
      <c r="B4852" s="2">
        <v>46242.317361111112</v>
      </c>
      <c r="C4852" s="2">
        <v>46243.050694444442</v>
      </c>
      <c r="D4852" t="s">
        <v>6026</v>
      </c>
      <c r="E4852" t="s">
        <v>6030</v>
      </c>
      <c r="F4852" t="s">
        <v>6035</v>
      </c>
      <c r="G4852" t="s">
        <v>6090</v>
      </c>
      <c r="H4852" t="s">
        <v>6097</v>
      </c>
      <c r="I4852">
        <v>4</v>
      </c>
      <c r="J4852">
        <v>17.600000000000001</v>
      </c>
      <c r="K4852" t="s">
        <v>6099</v>
      </c>
      <c r="L4852" t="s">
        <v>6100</v>
      </c>
      <c r="M4852" t="s">
        <v>6100</v>
      </c>
      <c r="N4852">
        <v>4</v>
      </c>
      <c r="O4852" t="s">
        <v>6101</v>
      </c>
      <c r="P4852" t="s">
        <v>6114</v>
      </c>
      <c r="Q4852">
        <v>8</v>
      </c>
      <c r="R4852">
        <v>2026</v>
      </c>
      <c r="S4852" t="s">
        <v>6100</v>
      </c>
      <c r="T4852">
        <v>0</v>
      </c>
      <c r="U4852" t="s">
        <v>6020</v>
      </c>
      <c r="V4852">
        <v>1</v>
      </c>
    </row>
    <row r="4853" spans="1:22" x14ac:dyDescent="0.3">
      <c r="A4853" t="s">
        <v>4868</v>
      </c>
      <c r="B4853" s="2">
        <v>46242.378472222219</v>
      </c>
      <c r="C4853" s="2">
        <v>46245.920138888891</v>
      </c>
      <c r="D4853" t="s">
        <v>6022</v>
      </c>
      <c r="E4853" t="s">
        <v>6031</v>
      </c>
      <c r="F4853" t="s">
        <v>6035</v>
      </c>
      <c r="G4853" t="s">
        <v>6051</v>
      </c>
      <c r="H4853" t="s">
        <v>6097</v>
      </c>
      <c r="I4853">
        <v>4</v>
      </c>
      <c r="J4853">
        <v>85</v>
      </c>
      <c r="K4853" t="s">
        <v>6099</v>
      </c>
      <c r="L4853" t="s">
        <v>6100</v>
      </c>
      <c r="M4853" t="s">
        <v>6100</v>
      </c>
      <c r="N4853">
        <v>5</v>
      </c>
      <c r="O4853" t="s">
        <v>6101</v>
      </c>
      <c r="P4853" t="s">
        <v>6114</v>
      </c>
      <c r="Q4853">
        <v>8</v>
      </c>
      <c r="R4853">
        <v>2026</v>
      </c>
      <c r="S4853" t="s">
        <v>6100</v>
      </c>
      <c r="T4853">
        <v>0</v>
      </c>
      <c r="U4853" t="s">
        <v>6018</v>
      </c>
      <c r="V4853">
        <v>1</v>
      </c>
    </row>
    <row r="4854" spans="1:22" x14ac:dyDescent="0.3">
      <c r="A4854" t="s">
        <v>4869</v>
      </c>
      <c r="B4854" s="2">
        <v>46242.385416666664</v>
      </c>
      <c r="C4854" s="2">
        <v>46242.568749999999</v>
      </c>
      <c r="D4854" t="s">
        <v>6027</v>
      </c>
      <c r="E4854" t="s">
        <v>6029</v>
      </c>
      <c r="F4854" t="s">
        <v>6034</v>
      </c>
      <c r="G4854" t="s">
        <v>6036</v>
      </c>
      <c r="H4854" t="s">
        <v>6096</v>
      </c>
      <c r="I4854">
        <v>24</v>
      </c>
      <c r="J4854">
        <v>4.4000000000000004</v>
      </c>
      <c r="K4854" t="s">
        <v>6099</v>
      </c>
      <c r="L4854" t="s">
        <v>6100</v>
      </c>
      <c r="M4854" t="s">
        <v>6100</v>
      </c>
      <c r="N4854">
        <v>5</v>
      </c>
      <c r="O4854" t="s">
        <v>6101</v>
      </c>
      <c r="P4854" t="s">
        <v>6114</v>
      </c>
      <c r="Q4854">
        <v>8</v>
      </c>
      <c r="R4854">
        <v>2026</v>
      </c>
      <c r="S4854" t="s">
        <v>6099</v>
      </c>
      <c r="T4854">
        <v>1</v>
      </c>
      <c r="U4854" t="s">
        <v>6020</v>
      </c>
      <c r="V4854">
        <v>1</v>
      </c>
    </row>
    <row r="4855" spans="1:22" x14ac:dyDescent="0.3">
      <c r="A4855" t="s">
        <v>4870</v>
      </c>
      <c r="B4855" s="2">
        <v>46242.402777777781</v>
      </c>
      <c r="C4855" s="2">
        <v>46243.369444444441</v>
      </c>
      <c r="D4855" t="s">
        <v>6028</v>
      </c>
      <c r="E4855" t="s">
        <v>6031</v>
      </c>
      <c r="F4855" t="s">
        <v>6035</v>
      </c>
      <c r="G4855" t="s">
        <v>6042</v>
      </c>
      <c r="H4855" t="s">
        <v>6098</v>
      </c>
      <c r="I4855">
        <v>4</v>
      </c>
      <c r="J4855">
        <v>23.2</v>
      </c>
      <c r="K4855" t="s">
        <v>6099</v>
      </c>
      <c r="L4855" t="s">
        <v>6100</v>
      </c>
      <c r="M4855" t="s">
        <v>6100</v>
      </c>
      <c r="N4855">
        <v>2</v>
      </c>
      <c r="O4855" t="s">
        <v>6101</v>
      </c>
      <c r="P4855" t="s">
        <v>6114</v>
      </c>
      <c r="Q4855">
        <v>8</v>
      </c>
      <c r="R4855">
        <v>2026</v>
      </c>
      <c r="S4855" t="s">
        <v>6100</v>
      </c>
      <c r="T4855">
        <v>0</v>
      </c>
      <c r="U4855" t="s">
        <v>6019</v>
      </c>
      <c r="V4855">
        <v>1</v>
      </c>
    </row>
    <row r="4856" spans="1:22" x14ac:dyDescent="0.3">
      <c r="A4856" t="s">
        <v>4871</v>
      </c>
      <c r="B4856" s="2">
        <v>46242.420138888891</v>
      </c>
      <c r="C4856" s="2">
        <v>46246.707638888889</v>
      </c>
      <c r="D4856" t="s">
        <v>6025</v>
      </c>
      <c r="E4856" t="s">
        <v>6031</v>
      </c>
      <c r="F4856" t="s">
        <v>6035</v>
      </c>
      <c r="G4856" t="s">
        <v>6083</v>
      </c>
      <c r="H4856" t="s">
        <v>6096</v>
      </c>
      <c r="I4856">
        <v>4</v>
      </c>
      <c r="J4856">
        <v>102.9</v>
      </c>
      <c r="K4856" t="s">
        <v>6099</v>
      </c>
      <c r="L4856" t="s">
        <v>6100</v>
      </c>
      <c r="M4856" t="s">
        <v>6100</v>
      </c>
      <c r="N4856">
        <v>5</v>
      </c>
      <c r="O4856" t="s">
        <v>6101</v>
      </c>
      <c r="P4856" t="s">
        <v>6114</v>
      </c>
      <c r="Q4856">
        <v>8</v>
      </c>
      <c r="R4856">
        <v>2026</v>
      </c>
      <c r="S4856" t="s">
        <v>6100</v>
      </c>
      <c r="T4856">
        <v>0</v>
      </c>
      <c r="U4856" t="s">
        <v>6020</v>
      </c>
      <c r="V4856">
        <v>1</v>
      </c>
    </row>
    <row r="4857" spans="1:22" x14ac:dyDescent="0.3">
      <c r="A4857" t="s">
        <v>4872</v>
      </c>
      <c r="B4857" s="2">
        <v>46242.432638888888</v>
      </c>
      <c r="C4857" s="2">
        <v>46243.195138888892</v>
      </c>
      <c r="D4857" t="s">
        <v>6028</v>
      </c>
      <c r="E4857" t="s">
        <v>6031</v>
      </c>
      <c r="F4857" t="s">
        <v>6035</v>
      </c>
      <c r="G4857" t="s">
        <v>6059</v>
      </c>
      <c r="H4857" t="s">
        <v>6097</v>
      </c>
      <c r="I4857">
        <v>4</v>
      </c>
      <c r="J4857">
        <v>18.3</v>
      </c>
      <c r="K4857" t="s">
        <v>6100</v>
      </c>
      <c r="L4857" t="s">
        <v>6100</v>
      </c>
      <c r="M4857" t="s">
        <v>6100</v>
      </c>
      <c r="O4857" t="s">
        <v>6101</v>
      </c>
      <c r="P4857" t="s">
        <v>6114</v>
      </c>
      <c r="Q4857">
        <v>8</v>
      </c>
      <c r="R4857">
        <v>2026</v>
      </c>
      <c r="S4857" t="s">
        <v>6100</v>
      </c>
      <c r="T4857">
        <v>0</v>
      </c>
      <c r="U4857" t="s">
        <v>6021</v>
      </c>
      <c r="V4857">
        <v>0</v>
      </c>
    </row>
    <row r="4858" spans="1:22" x14ac:dyDescent="0.3">
      <c r="A4858" t="s">
        <v>4873</v>
      </c>
      <c r="B4858" s="2">
        <v>46242.469444444447</v>
      </c>
      <c r="C4858" s="2">
        <v>46243.027777777781</v>
      </c>
      <c r="D4858" t="s">
        <v>6022</v>
      </c>
      <c r="E4858" t="s">
        <v>6029</v>
      </c>
      <c r="F4858" t="s">
        <v>6034</v>
      </c>
      <c r="G4858" t="s">
        <v>6047</v>
      </c>
      <c r="H4858" t="s">
        <v>6098</v>
      </c>
      <c r="I4858">
        <v>24</v>
      </c>
      <c r="J4858">
        <v>13.4</v>
      </c>
      <c r="K4858" t="s">
        <v>6100</v>
      </c>
      <c r="L4858" t="s">
        <v>6099</v>
      </c>
      <c r="M4858" t="s">
        <v>6100</v>
      </c>
      <c r="N4858">
        <v>4</v>
      </c>
      <c r="O4858" t="s">
        <v>6101</v>
      </c>
      <c r="P4858" t="s">
        <v>6114</v>
      </c>
      <c r="Q4858">
        <v>8</v>
      </c>
      <c r="R4858">
        <v>2026</v>
      </c>
      <c r="S4858" t="s">
        <v>6099</v>
      </c>
      <c r="T4858">
        <v>1</v>
      </c>
      <c r="U4858" t="s">
        <v>6020</v>
      </c>
      <c r="V4858">
        <v>0</v>
      </c>
    </row>
    <row r="4859" spans="1:22" x14ac:dyDescent="0.3">
      <c r="A4859" t="s">
        <v>4874</v>
      </c>
      <c r="B4859" s="2">
        <v>46242.473611111112</v>
      </c>
      <c r="C4859" s="2">
        <v>46243.098611111112</v>
      </c>
      <c r="D4859" t="s">
        <v>6022</v>
      </c>
      <c r="E4859" t="s">
        <v>6030</v>
      </c>
      <c r="F4859" t="s">
        <v>6034</v>
      </c>
      <c r="G4859" t="s">
        <v>6046</v>
      </c>
      <c r="H4859" t="s">
        <v>6098</v>
      </c>
      <c r="I4859">
        <v>24</v>
      </c>
      <c r="J4859">
        <v>15</v>
      </c>
      <c r="K4859" t="s">
        <v>6099</v>
      </c>
      <c r="L4859" t="s">
        <v>6100</v>
      </c>
      <c r="M4859" t="s">
        <v>6100</v>
      </c>
      <c r="N4859">
        <v>5</v>
      </c>
      <c r="O4859" t="s">
        <v>6101</v>
      </c>
      <c r="P4859" t="s">
        <v>6114</v>
      </c>
      <c r="Q4859">
        <v>8</v>
      </c>
      <c r="R4859">
        <v>2026</v>
      </c>
      <c r="S4859" t="s">
        <v>6099</v>
      </c>
      <c r="T4859">
        <v>1</v>
      </c>
      <c r="U4859" t="s">
        <v>6021</v>
      </c>
      <c r="V4859">
        <v>1</v>
      </c>
    </row>
    <row r="4860" spans="1:22" x14ac:dyDescent="0.3">
      <c r="A4860" t="s">
        <v>4875</v>
      </c>
      <c r="B4860" s="2">
        <v>46242.490972222222</v>
      </c>
      <c r="C4860" s="2">
        <v>46243.02847222222</v>
      </c>
      <c r="D4860" t="s">
        <v>6024</v>
      </c>
      <c r="E4860" t="s">
        <v>6029</v>
      </c>
      <c r="F4860" t="s">
        <v>6034</v>
      </c>
      <c r="G4860" t="s">
        <v>6091</v>
      </c>
      <c r="H4860" t="s">
        <v>6097</v>
      </c>
      <c r="I4860">
        <v>24</v>
      </c>
      <c r="J4860">
        <v>12.9</v>
      </c>
      <c r="K4860" t="s">
        <v>6099</v>
      </c>
      <c r="L4860" t="s">
        <v>6100</v>
      </c>
      <c r="M4860" t="s">
        <v>6100</v>
      </c>
      <c r="N4860">
        <v>4</v>
      </c>
      <c r="O4860" t="s">
        <v>6101</v>
      </c>
      <c r="P4860" t="s">
        <v>6114</v>
      </c>
      <c r="Q4860">
        <v>8</v>
      </c>
      <c r="R4860">
        <v>2026</v>
      </c>
      <c r="S4860" t="s">
        <v>6099</v>
      </c>
      <c r="T4860">
        <v>1</v>
      </c>
      <c r="U4860" t="s">
        <v>6020</v>
      </c>
      <c r="V4860">
        <v>1</v>
      </c>
    </row>
    <row r="4861" spans="1:22" x14ac:dyDescent="0.3">
      <c r="A4861" t="s">
        <v>4876</v>
      </c>
      <c r="B4861" s="2">
        <v>46242.521527777775</v>
      </c>
      <c r="C4861" s="2">
        <v>46242.796527777777</v>
      </c>
      <c r="D4861" t="s">
        <v>6024</v>
      </c>
      <c r="E4861" t="s">
        <v>6030</v>
      </c>
      <c r="F4861" t="s">
        <v>6033</v>
      </c>
      <c r="G4861" t="s">
        <v>6075</v>
      </c>
      <c r="H4861" t="s">
        <v>6097</v>
      </c>
      <c r="I4861">
        <v>72</v>
      </c>
      <c r="J4861">
        <v>6.6</v>
      </c>
      <c r="K4861" t="s">
        <v>6100</v>
      </c>
      <c r="L4861" t="s">
        <v>6099</v>
      </c>
      <c r="M4861" t="s">
        <v>6100</v>
      </c>
      <c r="N4861">
        <v>3</v>
      </c>
      <c r="O4861" t="s">
        <v>6101</v>
      </c>
      <c r="P4861" t="s">
        <v>6114</v>
      </c>
      <c r="Q4861">
        <v>8</v>
      </c>
      <c r="R4861">
        <v>2026</v>
      </c>
      <c r="S4861" t="s">
        <v>6099</v>
      </c>
      <c r="T4861">
        <v>1</v>
      </c>
      <c r="U4861" t="s">
        <v>6019</v>
      </c>
      <c r="V4861">
        <v>0</v>
      </c>
    </row>
    <row r="4862" spans="1:22" x14ac:dyDescent="0.3">
      <c r="A4862" t="s">
        <v>4877</v>
      </c>
      <c r="B4862" s="2">
        <v>46242.551388888889</v>
      </c>
      <c r="C4862" s="2">
        <v>46242.709722222222</v>
      </c>
      <c r="D4862" t="s">
        <v>6027</v>
      </c>
      <c r="E4862" t="s">
        <v>6030</v>
      </c>
      <c r="F4862" t="s">
        <v>6034</v>
      </c>
      <c r="G4862" t="s">
        <v>6090</v>
      </c>
      <c r="H4862" t="s">
        <v>6097</v>
      </c>
      <c r="I4862">
        <v>24</v>
      </c>
      <c r="K4862" t="s">
        <v>6099</v>
      </c>
      <c r="L4862" t="s">
        <v>6100</v>
      </c>
      <c r="M4862" t="s">
        <v>6100</v>
      </c>
      <c r="O4862" t="s">
        <v>6101</v>
      </c>
      <c r="P4862" t="s">
        <v>6114</v>
      </c>
      <c r="Q4862">
        <v>8</v>
      </c>
      <c r="R4862">
        <v>2026</v>
      </c>
      <c r="U4862" t="s">
        <v>6021</v>
      </c>
      <c r="V4862">
        <v>1</v>
      </c>
    </row>
    <row r="4863" spans="1:22" x14ac:dyDescent="0.3">
      <c r="A4863" t="s">
        <v>4878</v>
      </c>
      <c r="B4863" s="2">
        <v>46242.583333333336</v>
      </c>
      <c r="C4863" s="2">
        <v>46242.895833333336</v>
      </c>
      <c r="D4863" t="s">
        <v>6023</v>
      </c>
      <c r="E4863" t="s">
        <v>6030</v>
      </c>
      <c r="F4863" t="s">
        <v>6033</v>
      </c>
      <c r="G4863" t="s">
        <v>6069</v>
      </c>
      <c r="H4863" t="s">
        <v>6098</v>
      </c>
      <c r="I4863">
        <v>72</v>
      </c>
      <c r="J4863">
        <v>7.5</v>
      </c>
      <c r="K4863" t="s">
        <v>6099</v>
      </c>
      <c r="L4863" t="s">
        <v>6100</v>
      </c>
      <c r="M4863" t="s">
        <v>6100</v>
      </c>
      <c r="N4863">
        <v>5</v>
      </c>
      <c r="O4863" t="s">
        <v>6101</v>
      </c>
      <c r="P4863" t="s">
        <v>6114</v>
      </c>
      <c r="Q4863">
        <v>8</v>
      </c>
      <c r="R4863">
        <v>2026</v>
      </c>
      <c r="S4863" t="s">
        <v>6099</v>
      </c>
      <c r="T4863">
        <v>1</v>
      </c>
      <c r="U4863" t="s">
        <v>6017</v>
      </c>
      <c r="V4863">
        <v>1</v>
      </c>
    </row>
    <row r="4864" spans="1:22" x14ac:dyDescent="0.3">
      <c r="A4864" t="s">
        <v>4879</v>
      </c>
      <c r="B4864" s="2">
        <v>46242.588194444441</v>
      </c>
      <c r="C4864" s="2">
        <v>46243.388194444444</v>
      </c>
      <c r="D4864" t="s">
        <v>6028</v>
      </c>
      <c r="E4864" t="s">
        <v>6031</v>
      </c>
      <c r="F4864" t="s">
        <v>6034</v>
      </c>
      <c r="G4864" t="s">
        <v>6058</v>
      </c>
      <c r="H4864" t="s">
        <v>6098</v>
      </c>
      <c r="I4864">
        <v>24</v>
      </c>
      <c r="J4864">
        <v>19.2</v>
      </c>
      <c r="K4864" t="s">
        <v>6099</v>
      </c>
      <c r="L4864" t="s">
        <v>6100</v>
      </c>
      <c r="M4864" t="s">
        <v>6100</v>
      </c>
      <c r="N4864">
        <v>5</v>
      </c>
      <c r="O4864" t="s">
        <v>6101</v>
      </c>
      <c r="P4864" t="s">
        <v>6114</v>
      </c>
      <c r="Q4864">
        <v>8</v>
      </c>
      <c r="R4864">
        <v>2026</v>
      </c>
      <c r="S4864" t="s">
        <v>6099</v>
      </c>
      <c r="T4864">
        <v>1</v>
      </c>
      <c r="U4864" t="s">
        <v>6019</v>
      </c>
      <c r="V4864">
        <v>1</v>
      </c>
    </row>
    <row r="4865" spans="1:22" x14ac:dyDescent="0.3">
      <c r="A4865" t="s">
        <v>4880</v>
      </c>
      <c r="B4865" s="2">
        <v>46242.634722222225</v>
      </c>
      <c r="C4865" s="2">
        <v>46244.926388888889</v>
      </c>
      <c r="D4865" t="s">
        <v>6027</v>
      </c>
      <c r="E4865" t="s">
        <v>6031</v>
      </c>
      <c r="F4865" t="s">
        <v>6035</v>
      </c>
      <c r="G4865" t="s">
        <v>6084</v>
      </c>
      <c r="H4865" t="s">
        <v>6098</v>
      </c>
      <c r="I4865">
        <v>4</v>
      </c>
      <c r="J4865">
        <v>55</v>
      </c>
      <c r="K4865" t="s">
        <v>6099</v>
      </c>
      <c r="L4865" t="s">
        <v>6100</v>
      </c>
      <c r="M4865" t="s">
        <v>6100</v>
      </c>
      <c r="N4865">
        <v>3</v>
      </c>
      <c r="O4865" t="s">
        <v>6101</v>
      </c>
      <c r="P4865" t="s">
        <v>6114</v>
      </c>
      <c r="Q4865">
        <v>8</v>
      </c>
      <c r="R4865">
        <v>2026</v>
      </c>
      <c r="S4865" t="s">
        <v>6100</v>
      </c>
      <c r="T4865">
        <v>0</v>
      </c>
      <c r="U4865" t="s">
        <v>6018</v>
      </c>
      <c r="V4865">
        <v>1</v>
      </c>
    </row>
    <row r="4866" spans="1:22" x14ac:dyDescent="0.3">
      <c r="A4866" t="s">
        <v>4881</v>
      </c>
      <c r="B4866" s="2">
        <v>46242.667361111111</v>
      </c>
      <c r="C4866" s="2">
        <v>46244.584027777775</v>
      </c>
      <c r="D4866" t="s">
        <v>6024</v>
      </c>
      <c r="E4866" t="s">
        <v>6031</v>
      </c>
      <c r="F4866" t="s">
        <v>6033</v>
      </c>
      <c r="G4866" t="s">
        <v>6081</v>
      </c>
      <c r="H4866" t="s">
        <v>6098</v>
      </c>
      <c r="I4866">
        <v>72</v>
      </c>
      <c r="J4866">
        <v>46</v>
      </c>
      <c r="K4866" t="s">
        <v>6099</v>
      </c>
      <c r="L4866" t="s">
        <v>6100</v>
      </c>
      <c r="M4866" t="s">
        <v>6100</v>
      </c>
      <c r="O4866" t="s">
        <v>6101</v>
      </c>
      <c r="P4866" t="s">
        <v>6114</v>
      </c>
      <c r="Q4866">
        <v>8</v>
      </c>
      <c r="R4866">
        <v>2026</v>
      </c>
      <c r="S4866" t="s">
        <v>6099</v>
      </c>
      <c r="T4866">
        <v>1</v>
      </c>
      <c r="U4866" t="s">
        <v>6021</v>
      </c>
      <c r="V4866">
        <v>1</v>
      </c>
    </row>
    <row r="4867" spans="1:22" x14ac:dyDescent="0.3">
      <c r="A4867" t="s">
        <v>4882</v>
      </c>
      <c r="B4867" s="2">
        <v>46242.674305555556</v>
      </c>
      <c r="C4867" s="2">
        <v>46249.082638888889</v>
      </c>
      <c r="D4867" t="s">
        <v>6027</v>
      </c>
      <c r="E4867" t="s">
        <v>6031</v>
      </c>
      <c r="F4867" t="s">
        <v>6033</v>
      </c>
      <c r="G4867" t="s">
        <v>6064</v>
      </c>
      <c r="H4867" t="s">
        <v>6096</v>
      </c>
      <c r="I4867">
        <v>72</v>
      </c>
      <c r="J4867">
        <v>153.80000000000001</v>
      </c>
      <c r="K4867" t="s">
        <v>6099</v>
      </c>
      <c r="L4867" t="s">
        <v>6100</v>
      </c>
      <c r="M4867" t="s">
        <v>6100</v>
      </c>
      <c r="O4867" t="s">
        <v>6101</v>
      </c>
      <c r="P4867" t="s">
        <v>6114</v>
      </c>
      <c r="Q4867">
        <v>8</v>
      </c>
      <c r="R4867">
        <v>2026</v>
      </c>
      <c r="S4867" t="s">
        <v>6100</v>
      </c>
      <c r="T4867">
        <v>0</v>
      </c>
      <c r="U4867" t="s">
        <v>6021</v>
      </c>
      <c r="V4867">
        <v>1</v>
      </c>
    </row>
    <row r="4868" spans="1:22" x14ac:dyDescent="0.3">
      <c r="A4868" t="s">
        <v>4883</v>
      </c>
      <c r="B4868" s="2">
        <v>46242.750694444447</v>
      </c>
      <c r="C4868" s="2">
        <v>46243.763194444444</v>
      </c>
      <c r="D4868" t="s">
        <v>6024</v>
      </c>
      <c r="E4868" t="s">
        <v>6029</v>
      </c>
      <c r="F4868" t="s">
        <v>6034</v>
      </c>
      <c r="G4868" t="s">
        <v>6070</v>
      </c>
      <c r="H4868" t="s">
        <v>6097</v>
      </c>
      <c r="I4868">
        <v>24</v>
      </c>
      <c r="J4868">
        <v>24.3</v>
      </c>
      <c r="K4868" t="s">
        <v>6099</v>
      </c>
      <c r="L4868" t="s">
        <v>6100</v>
      </c>
      <c r="M4868" t="s">
        <v>6100</v>
      </c>
      <c r="O4868" t="s">
        <v>6101</v>
      </c>
      <c r="P4868" t="s">
        <v>6114</v>
      </c>
      <c r="Q4868">
        <v>8</v>
      </c>
      <c r="R4868">
        <v>2026</v>
      </c>
      <c r="S4868" t="s">
        <v>6100</v>
      </c>
      <c r="T4868">
        <v>0</v>
      </c>
      <c r="U4868" t="s">
        <v>6020</v>
      </c>
      <c r="V4868">
        <v>1</v>
      </c>
    </row>
    <row r="4869" spans="1:22" x14ac:dyDescent="0.3">
      <c r="A4869" t="s">
        <v>4884</v>
      </c>
      <c r="B4869" s="2">
        <v>46242.769444444442</v>
      </c>
      <c r="C4869" s="2">
        <v>46243.136111111111</v>
      </c>
      <c r="D4869" t="s">
        <v>6025</v>
      </c>
      <c r="E4869" t="s">
        <v>6030</v>
      </c>
      <c r="F4869" t="s">
        <v>6033</v>
      </c>
      <c r="G4869" t="s">
        <v>6058</v>
      </c>
      <c r="H4869" t="s">
        <v>6098</v>
      </c>
      <c r="I4869">
        <v>72</v>
      </c>
      <c r="J4869">
        <v>8.8000000000000007</v>
      </c>
      <c r="K4869" t="s">
        <v>6099</v>
      </c>
      <c r="L4869" t="s">
        <v>6100</v>
      </c>
      <c r="M4869" t="s">
        <v>6100</v>
      </c>
      <c r="N4869">
        <v>4</v>
      </c>
      <c r="O4869" t="s">
        <v>6101</v>
      </c>
      <c r="P4869" t="s">
        <v>6114</v>
      </c>
      <c r="Q4869">
        <v>8</v>
      </c>
      <c r="R4869">
        <v>2026</v>
      </c>
      <c r="S4869" t="s">
        <v>6099</v>
      </c>
      <c r="T4869">
        <v>1</v>
      </c>
      <c r="U4869" t="s">
        <v>6020</v>
      </c>
      <c r="V4869">
        <v>1</v>
      </c>
    </row>
    <row r="4870" spans="1:22" x14ac:dyDescent="0.3">
      <c r="A4870" t="s">
        <v>4885</v>
      </c>
      <c r="B4870" s="2">
        <v>46242.849305555559</v>
      </c>
      <c r="C4870" s="2">
        <v>46245.886805555558</v>
      </c>
      <c r="D4870" t="s">
        <v>6024</v>
      </c>
      <c r="E4870" t="s">
        <v>6031</v>
      </c>
      <c r="F4870" t="s">
        <v>6034</v>
      </c>
      <c r="G4870" t="s">
        <v>6069</v>
      </c>
      <c r="H4870" t="s">
        <v>6098</v>
      </c>
      <c r="I4870">
        <v>24</v>
      </c>
      <c r="J4870">
        <v>72.900000000000006</v>
      </c>
      <c r="K4870" t="s">
        <v>6100</v>
      </c>
      <c r="L4870" t="s">
        <v>6100</v>
      </c>
      <c r="M4870" t="s">
        <v>6100</v>
      </c>
      <c r="N4870">
        <v>4</v>
      </c>
      <c r="O4870" t="s">
        <v>6101</v>
      </c>
      <c r="P4870" t="s">
        <v>6114</v>
      </c>
      <c r="Q4870">
        <v>8</v>
      </c>
      <c r="R4870">
        <v>2026</v>
      </c>
      <c r="S4870" t="s">
        <v>6100</v>
      </c>
      <c r="T4870">
        <v>0</v>
      </c>
      <c r="U4870" t="s">
        <v>6019</v>
      </c>
      <c r="V4870">
        <v>0</v>
      </c>
    </row>
    <row r="4871" spans="1:22" x14ac:dyDescent="0.3">
      <c r="A4871" t="s">
        <v>4886</v>
      </c>
      <c r="B4871" s="2">
        <v>46242.859027777777</v>
      </c>
      <c r="C4871" s="2">
        <v>46245.213194444441</v>
      </c>
      <c r="D4871" t="s">
        <v>6025</v>
      </c>
      <c r="E4871" t="s">
        <v>6031</v>
      </c>
      <c r="F4871" t="s">
        <v>6035</v>
      </c>
      <c r="G4871" t="s">
        <v>6062</v>
      </c>
      <c r="H4871" t="s">
        <v>6096</v>
      </c>
      <c r="I4871">
        <v>4</v>
      </c>
      <c r="J4871">
        <v>56.5</v>
      </c>
      <c r="K4871" t="s">
        <v>6099</v>
      </c>
      <c r="L4871" t="s">
        <v>6100</v>
      </c>
      <c r="M4871" t="s">
        <v>6100</v>
      </c>
      <c r="N4871">
        <v>3</v>
      </c>
      <c r="O4871" t="s">
        <v>6101</v>
      </c>
      <c r="P4871" t="s">
        <v>6114</v>
      </c>
      <c r="Q4871">
        <v>8</v>
      </c>
      <c r="R4871">
        <v>2026</v>
      </c>
      <c r="S4871" t="s">
        <v>6100</v>
      </c>
      <c r="T4871">
        <v>0</v>
      </c>
      <c r="U4871" t="s">
        <v>6017</v>
      </c>
      <c r="V4871">
        <v>1</v>
      </c>
    </row>
    <row r="4872" spans="1:22" x14ac:dyDescent="0.3">
      <c r="A4872" t="s">
        <v>4887</v>
      </c>
      <c r="B4872" s="2">
        <v>46242.904861111114</v>
      </c>
      <c r="C4872" s="2">
        <v>46243.84652777778</v>
      </c>
      <c r="D4872" t="s">
        <v>6028</v>
      </c>
      <c r="E4872" t="s">
        <v>6029</v>
      </c>
      <c r="F4872" t="s">
        <v>6035</v>
      </c>
      <c r="G4872" t="s">
        <v>6070</v>
      </c>
      <c r="H4872" t="s">
        <v>6097</v>
      </c>
      <c r="I4872">
        <v>4</v>
      </c>
      <c r="J4872">
        <v>22.6</v>
      </c>
      <c r="K4872" t="s">
        <v>6100</v>
      </c>
      <c r="L4872" t="s">
        <v>6100</v>
      </c>
      <c r="M4872" t="s">
        <v>6100</v>
      </c>
      <c r="O4872" t="s">
        <v>6101</v>
      </c>
      <c r="P4872" t="s">
        <v>6114</v>
      </c>
      <c r="Q4872">
        <v>8</v>
      </c>
      <c r="R4872">
        <v>2026</v>
      </c>
      <c r="S4872" t="s">
        <v>6100</v>
      </c>
      <c r="T4872">
        <v>0</v>
      </c>
      <c r="U4872" t="s">
        <v>6019</v>
      </c>
      <c r="V4872">
        <v>0</v>
      </c>
    </row>
    <row r="4873" spans="1:22" x14ac:dyDescent="0.3">
      <c r="A4873" t="s">
        <v>4888</v>
      </c>
      <c r="B4873" s="2">
        <v>46243.15</v>
      </c>
      <c r="C4873" s="2">
        <v>46247.479166666664</v>
      </c>
      <c r="D4873" t="s">
        <v>6028</v>
      </c>
      <c r="E4873" t="s">
        <v>6031</v>
      </c>
      <c r="F4873" t="s">
        <v>6033</v>
      </c>
      <c r="G4873" t="s">
        <v>6064</v>
      </c>
      <c r="H4873" t="s">
        <v>6096</v>
      </c>
      <c r="I4873">
        <v>72</v>
      </c>
      <c r="J4873">
        <v>103.9</v>
      </c>
      <c r="K4873" t="s">
        <v>6099</v>
      </c>
      <c r="L4873" t="s">
        <v>6100</v>
      </c>
      <c r="M4873" t="s">
        <v>6100</v>
      </c>
      <c r="O4873" t="s">
        <v>6101</v>
      </c>
      <c r="P4873" t="s">
        <v>6114</v>
      </c>
      <c r="Q4873">
        <v>8</v>
      </c>
      <c r="R4873">
        <v>2026</v>
      </c>
      <c r="S4873" t="s">
        <v>6100</v>
      </c>
      <c r="T4873">
        <v>0</v>
      </c>
      <c r="U4873" t="s">
        <v>6017</v>
      </c>
      <c r="V4873">
        <v>1</v>
      </c>
    </row>
    <row r="4874" spans="1:22" x14ac:dyDescent="0.3">
      <c r="A4874" t="s">
        <v>4889</v>
      </c>
      <c r="B4874" s="2">
        <v>46243.217361111114</v>
      </c>
      <c r="C4874" s="2">
        <v>46243.492361111108</v>
      </c>
      <c r="D4874" t="s">
        <v>6028</v>
      </c>
      <c r="E4874" t="s">
        <v>6030</v>
      </c>
      <c r="F4874" t="s">
        <v>6034</v>
      </c>
      <c r="G4874" t="s">
        <v>6049</v>
      </c>
      <c r="H4874" t="s">
        <v>6097</v>
      </c>
      <c r="I4874">
        <v>24</v>
      </c>
      <c r="J4874">
        <v>6.6</v>
      </c>
      <c r="K4874" t="s">
        <v>6099</v>
      </c>
      <c r="L4874" t="s">
        <v>6100</v>
      </c>
      <c r="M4874" t="s">
        <v>6100</v>
      </c>
      <c r="N4874">
        <v>5</v>
      </c>
      <c r="O4874" t="s">
        <v>6101</v>
      </c>
      <c r="P4874" t="s">
        <v>6114</v>
      </c>
      <c r="Q4874">
        <v>8</v>
      </c>
      <c r="R4874">
        <v>2026</v>
      </c>
      <c r="S4874" t="s">
        <v>6099</v>
      </c>
      <c r="T4874">
        <v>1</v>
      </c>
      <c r="U4874" t="s">
        <v>6020</v>
      </c>
      <c r="V4874">
        <v>1</v>
      </c>
    </row>
    <row r="4875" spans="1:22" x14ac:dyDescent="0.3">
      <c r="A4875" t="s">
        <v>4890</v>
      </c>
      <c r="B4875" s="2">
        <v>46243.366666666669</v>
      </c>
      <c r="C4875" s="2">
        <v>46243.620833333334</v>
      </c>
      <c r="D4875" t="s">
        <v>6027</v>
      </c>
      <c r="E4875" t="s">
        <v>6029</v>
      </c>
      <c r="F4875" t="s">
        <v>6034</v>
      </c>
      <c r="G4875" t="s">
        <v>6040</v>
      </c>
      <c r="H4875" t="s">
        <v>6097</v>
      </c>
      <c r="I4875">
        <v>24</v>
      </c>
      <c r="J4875">
        <v>6.1</v>
      </c>
      <c r="K4875" t="s">
        <v>6100</v>
      </c>
      <c r="L4875" t="s">
        <v>6099</v>
      </c>
      <c r="M4875" t="s">
        <v>6099</v>
      </c>
      <c r="N4875">
        <v>4</v>
      </c>
      <c r="O4875" t="s">
        <v>6101</v>
      </c>
      <c r="P4875" t="s">
        <v>6114</v>
      </c>
      <c r="Q4875">
        <v>8</v>
      </c>
      <c r="R4875">
        <v>2026</v>
      </c>
      <c r="S4875" t="s">
        <v>6099</v>
      </c>
      <c r="T4875">
        <v>1</v>
      </c>
      <c r="U4875" t="s">
        <v>6020</v>
      </c>
      <c r="V4875">
        <v>0</v>
      </c>
    </row>
    <row r="4876" spans="1:22" x14ac:dyDescent="0.3">
      <c r="A4876" t="s">
        <v>4891</v>
      </c>
      <c r="B4876" s="2">
        <v>46243.431250000001</v>
      </c>
      <c r="C4876" s="2">
        <v>46244.147916666669</v>
      </c>
      <c r="D4876" t="s">
        <v>6022</v>
      </c>
      <c r="E4876" t="s">
        <v>6029</v>
      </c>
      <c r="F4876" t="s">
        <v>6034</v>
      </c>
      <c r="G4876" t="s">
        <v>6064</v>
      </c>
      <c r="H4876" t="s">
        <v>6096</v>
      </c>
      <c r="I4876">
        <v>24</v>
      </c>
      <c r="J4876">
        <v>17.2</v>
      </c>
      <c r="K4876" t="s">
        <v>6099</v>
      </c>
      <c r="L4876" t="s">
        <v>6100</v>
      </c>
      <c r="M4876" t="s">
        <v>6099</v>
      </c>
      <c r="N4876">
        <v>4</v>
      </c>
      <c r="O4876" t="s">
        <v>6101</v>
      </c>
      <c r="P4876" t="s">
        <v>6114</v>
      </c>
      <c r="Q4876">
        <v>8</v>
      </c>
      <c r="R4876">
        <v>2026</v>
      </c>
      <c r="S4876" t="s">
        <v>6099</v>
      </c>
      <c r="T4876">
        <v>1</v>
      </c>
      <c r="U4876" t="s">
        <v>6018</v>
      </c>
      <c r="V4876">
        <v>1</v>
      </c>
    </row>
    <row r="4877" spans="1:22" x14ac:dyDescent="0.3">
      <c r="A4877" t="s">
        <v>4892</v>
      </c>
      <c r="B4877" s="2">
        <v>46243.444444444445</v>
      </c>
      <c r="C4877" s="2">
        <v>46244.031944444447</v>
      </c>
      <c r="D4877" t="s">
        <v>6025</v>
      </c>
      <c r="E4877" t="s">
        <v>6029</v>
      </c>
      <c r="F4877" t="s">
        <v>6033</v>
      </c>
      <c r="G4877" t="s">
        <v>6084</v>
      </c>
      <c r="H4877" t="s">
        <v>6098</v>
      </c>
      <c r="I4877">
        <v>72</v>
      </c>
      <c r="J4877">
        <v>14.1</v>
      </c>
      <c r="K4877" t="s">
        <v>6100</v>
      </c>
      <c r="L4877" t="s">
        <v>6100</v>
      </c>
      <c r="M4877" t="s">
        <v>6100</v>
      </c>
      <c r="O4877" t="s">
        <v>6101</v>
      </c>
      <c r="P4877" t="s">
        <v>6114</v>
      </c>
      <c r="Q4877">
        <v>8</v>
      </c>
      <c r="R4877">
        <v>2026</v>
      </c>
      <c r="S4877" t="s">
        <v>6099</v>
      </c>
      <c r="T4877">
        <v>1</v>
      </c>
      <c r="U4877" t="s">
        <v>6018</v>
      </c>
      <c r="V4877">
        <v>0</v>
      </c>
    </row>
    <row r="4878" spans="1:22" x14ac:dyDescent="0.3">
      <c r="A4878" t="s">
        <v>4893</v>
      </c>
      <c r="B4878" s="2">
        <v>46243.468055555553</v>
      </c>
      <c r="C4878" s="2">
        <v>46245.788888888892</v>
      </c>
      <c r="D4878" t="s">
        <v>6022</v>
      </c>
      <c r="E4878" t="s">
        <v>6032</v>
      </c>
      <c r="F4878" t="s">
        <v>6033</v>
      </c>
      <c r="G4878" t="s">
        <v>6047</v>
      </c>
      <c r="H4878" t="s">
        <v>6098</v>
      </c>
      <c r="I4878">
        <v>72</v>
      </c>
      <c r="J4878">
        <v>55.7</v>
      </c>
      <c r="K4878" t="s">
        <v>6099</v>
      </c>
      <c r="L4878" t="s">
        <v>6100</v>
      </c>
      <c r="M4878" t="s">
        <v>6100</v>
      </c>
      <c r="O4878" t="s">
        <v>6101</v>
      </c>
      <c r="P4878" t="s">
        <v>6114</v>
      </c>
      <c r="Q4878">
        <v>8</v>
      </c>
      <c r="R4878">
        <v>2026</v>
      </c>
      <c r="S4878" t="s">
        <v>6099</v>
      </c>
      <c r="T4878">
        <v>1</v>
      </c>
      <c r="U4878" t="s">
        <v>6019</v>
      </c>
      <c r="V4878">
        <v>1</v>
      </c>
    </row>
    <row r="4879" spans="1:22" x14ac:dyDescent="0.3">
      <c r="A4879" t="s">
        <v>4894</v>
      </c>
      <c r="B4879" s="2">
        <v>46243.474305555559</v>
      </c>
      <c r="C4879" s="2">
        <v>46243.807638888888</v>
      </c>
      <c r="D4879" t="s">
        <v>6023</v>
      </c>
      <c r="E4879" t="s">
        <v>6029</v>
      </c>
      <c r="F4879" t="s">
        <v>6033</v>
      </c>
      <c r="G4879" t="s">
        <v>6062</v>
      </c>
      <c r="H4879" t="s">
        <v>6096</v>
      </c>
      <c r="I4879">
        <v>72</v>
      </c>
      <c r="J4879">
        <v>8</v>
      </c>
      <c r="K4879" t="s">
        <v>6099</v>
      </c>
      <c r="L4879" t="s">
        <v>6100</v>
      </c>
      <c r="M4879" t="s">
        <v>6100</v>
      </c>
      <c r="N4879">
        <v>5</v>
      </c>
      <c r="O4879" t="s">
        <v>6101</v>
      </c>
      <c r="P4879" t="s">
        <v>6114</v>
      </c>
      <c r="Q4879">
        <v>8</v>
      </c>
      <c r="R4879">
        <v>2026</v>
      </c>
      <c r="S4879" t="s">
        <v>6099</v>
      </c>
      <c r="T4879">
        <v>1</v>
      </c>
      <c r="U4879" t="s">
        <v>6018</v>
      </c>
      <c r="V4879">
        <v>1</v>
      </c>
    </row>
    <row r="4880" spans="1:22" x14ac:dyDescent="0.3">
      <c r="A4880" t="s">
        <v>4895</v>
      </c>
      <c r="B4880" s="2">
        <v>46243.5</v>
      </c>
      <c r="C4880" s="2">
        <v>46243.7</v>
      </c>
      <c r="D4880" t="s">
        <v>6023</v>
      </c>
      <c r="E4880" t="s">
        <v>6029</v>
      </c>
      <c r="F4880" t="s">
        <v>6033</v>
      </c>
      <c r="G4880" t="s">
        <v>6059</v>
      </c>
      <c r="H4880" t="s">
        <v>6097</v>
      </c>
      <c r="I4880">
        <v>72</v>
      </c>
      <c r="J4880">
        <v>4.8</v>
      </c>
      <c r="K4880" t="s">
        <v>6099</v>
      </c>
      <c r="L4880" t="s">
        <v>6100</v>
      </c>
      <c r="M4880" t="s">
        <v>6100</v>
      </c>
      <c r="O4880" t="s">
        <v>6101</v>
      </c>
      <c r="P4880" t="s">
        <v>6114</v>
      </c>
      <c r="Q4880">
        <v>8</v>
      </c>
      <c r="R4880">
        <v>2026</v>
      </c>
      <c r="S4880" t="s">
        <v>6099</v>
      </c>
      <c r="T4880">
        <v>1</v>
      </c>
      <c r="U4880" t="s">
        <v>6020</v>
      </c>
      <c r="V4880">
        <v>1</v>
      </c>
    </row>
    <row r="4881" spans="1:22" x14ac:dyDescent="0.3">
      <c r="A4881" t="s">
        <v>4896</v>
      </c>
      <c r="B4881" s="2">
        <v>46243.503472222219</v>
      </c>
      <c r="C4881" s="2">
        <v>46244.757638888892</v>
      </c>
      <c r="D4881" t="s">
        <v>6022</v>
      </c>
      <c r="E4881" t="s">
        <v>6029</v>
      </c>
      <c r="F4881" t="s">
        <v>6034</v>
      </c>
      <c r="G4881" t="s">
        <v>6039</v>
      </c>
      <c r="H4881" t="s">
        <v>6097</v>
      </c>
      <c r="I4881">
        <v>24</v>
      </c>
      <c r="J4881">
        <v>30.1</v>
      </c>
      <c r="K4881" t="s">
        <v>6099</v>
      </c>
      <c r="L4881" t="s">
        <v>6100</v>
      </c>
      <c r="M4881" t="s">
        <v>6100</v>
      </c>
      <c r="N4881">
        <v>5</v>
      </c>
      <c r="O4881" t="s">
        <v>6101</v>
      </c>
      <c r="P4881" t="s">
        <v>6114</v>
      </c>
      <c r="Q4881">
        <v>8</v>
      </c>
      <c r="R4881">
        <v>2026</v>
      </c>
      <c r="S4881" t="s">
        <v>6100</v>
      </c>
      <c r="T4881">
        <v>0</v>
      </c>
      <c r="U4881" t="s">
        <v>6021</v>
      </c>
      <c r="V4881">
        <v>1</v>
      </c>
    </row>
    <row r="4882" spans="1:22" x14ac:dyDescent="0.3">
      <c r="A4882" t="s">
        <v>4897</v>
      </c>
      <c r="B4882" s="2">
        <v>46243.507638888892</v>
      </c>
      <c r="C4882" s="2">
        <v>46248.320138888892</v>
      </c>
      <c r="D4882" t="s">
        <v>6026</v>
      </c>
      <c r="E4882" t="s">
        <v>6031</v>
      </c>
      <c r="F4882" t="s">
        <v>6035</v>
      </c>
      <c r="G4882" t="s">
        <v>6053</v>
      </c>
      <c r="H4882" t="s">
        <v>6097</v>
      </c>
      <c r="I4882">
        <v>4</v>
      </c>
      <c r="J4882">
        <v>115.5</v>
      </c>
      <c r="K4882" t="s">
        <v>6099</v>
      </c>
      <c r="L4882" t="s">
        <v>6100</v>
      </c>
      <c r="M4882" t="s">
        <v>6100</v>
      </c>
      <c r="N4882">
        <v>5</v>
      </c>
      <c r="O4882" t="s">
        <v>6101</v>
      </c>
      <c r="P4882" t="s">
        <v>6114</v>
      </c>
      <c r="Q4882">
        <v>8</v>
      </c>
      <c r="R4882">
        <v>2026</v>
      </c>
      <c r="S4882" t="s">
        <v>6100</v>
      </c>
      <c r="T4882">
        <v>0</v>
      </c>
      <c r="U4882" t="s">
        <v>6021</v>
      </c>
      <c r="V4882">
        <v>1</v>
      </c>
    </row>
    <row r="4883" spans="1:22" x14ac:dyDescent="0.3">
      <c r="A4883" t="s">
        <v>4898</v>
      </c>
      <c r="B4883" s="2">
        <v>46243.512499999997</v>
      </c>
      <c r="C4883" s="2">
        <v>46244.066666666666</v>
      </c>
      <c r="D4883" t="s">
        <v>6022</v>
      </c>
      <c r="E4883" t="s">
        <v>6029</v>
      </c>
      <c r="F4883" t="s">
        <v>6034</v>
      </c>
      <c r="G4883" t="s">
        <v>6085</v>
      </c>
      <c r="H4883" t="s">
        <v>6097</v>
      </c>
      <c r="I4883">
        <v>24</v>
      </c>
      <c r="J4883">
        <v>13.3</v>
      </c>
      <c r="K4883" t="s">
        <v>6100</v>
      </c>
      <c r="L4883" t="s">
        <v>6099</v>
      </c>
      <c r="M4883" t="s">
        <v>6100</v>
      </c>
      <c r="O4883" t="s">
        <v>6101</v>
      </c>
      <c r="P4883" t="s">
        <v>6114</v>
      </c>
      <c r="Q4883">
        <v>8</v>
      </c>
      <c r="R4883">
        <v>2026</v>
      </c>
      <c r="S4883" t="s">
        <v>6099</v>
      </c>
      <c r="T4883">
        <v>1</v>
      </c>
      <c r="U4883" t="s">
        <v>6021</v>
      </c>
      <c r="V4883">
        <v>0</v>
      </c>
    </row>
    <row r="4884" spans="1:22" x14ac:dyDescent="0.3">
      <c r="A4884" t="s">
        <v>4899</v>
      </c>
      <c r="B4884" s="2">
        <v>46243.525694444441</v>
      </c>
      <c r="C4884" s="2">
        <v>46244.967361111114</v>
      </c>
      <c r="D4884" t="s">
        <v>6024</v>
      </c>
      <c r="E4884" t="s">
        <v>6032</v>
      </c>
      <c r="F4884" t="s">
        <v>6034</v>
      </c>
      <c r="G4884" t="s">
        <v>6069</v>
      </c>
      <c r="H4884" t="s">
        <v>6098</v>
      </c>
      <c r="I4884">
        <v>24</v>
      </c>
      <c r="J4884">
        <v>34.6</v>
      </c>
      <c r="K4884" t="s">
        <v>6100</v>
      </c>
      <c r="L4884" t="s">
        <v>6099</v>
      </c>
      <c r="M4884" t="s">
        <v>6100</v>
      </c>
      <c r="N4884">
        <v>4</v>
      </c>
      <c r="O4884" t="s">
        <v>6101</v>
      </c>
      <c r="P4884" t="s">
        <v>6114</v>
      </c>
      <c r="Q4884">
        <v>8</v>
      </c>
      <c r="R4884">
        <v>2026</v>
      </c>
      <c r="S4884" t="s">
        <v>6100</v>
      </c>
      <c r="T4884">
        <v>0</v>
      </c>
      <c r="U4884" t="s">
        <v>6019</v>
      </c>
      <c r="V4884">
        <v>0</v>
      </c>
    </row>
    <row r="4885" spans="1:22" x14ac:dyDescent="0.3">
      <c r="A4885" t="s">
        <v>4900</v>
      </c>
      <c r="B4885" s="2">
        <v>46243.544444444444</v>
      </c>
      <c r="C4885" s="2">
        <v>46245.115277777775</v>
      </c>
      <c r="D4885" t="s">
        <v>6026</v>
      </c>
      <c r="E4885" t="s">
        <v>6029</v>
      </c>
      <c r="F4885" t="s">
        <v>6034</v>
      </c>
      <c r="G4885" t="s">
        <v>6067</v>
      </c>
      <c r="H4885" t="s">
        <v>6098</v>
      </c>
      <c r="I4885">
        <v>24</v>
      </c>
      <c r="J4885">
        <v>37.700000000000003</v>
      </c>
      <c r="K4885" t="s">
        <v>6099</v>
      </c>
      <c r="L4885" t="s">
        <v>6100</v>
      </c>
      <c r="M4885" t="s">
        <v>6100</v>
      </c>
      <c r="N4885">
        <v>5</v>
      </c>
      <c r="O4885" t="s">
        <v>6101</v>
      </c>
      <c r="P4885" t="s">
        <v>6114</v>
      </c>
      <c r="Q4885">
        <v>8</v>
      </c>
      <c r="R4885">
        <v>2026</v>
      </c>
      <c r="S4885" t="s">
        <v>6100</v>
      </c>
      <c r="T4885">
        <v>0</v>
      </c>
      <c r="U4885" t="s">
        <v>6018</v>
      </c>
      <c r="V4885">
        <v>1</v>
      </c>
    </row>
    <row r="4886" spans="1:22" x14ac:dyDescent="0.3">
      <c r="A4886" t="s">
        <v>4901</v>
      </c>
      <c r="B4886" s="2">
        <v>46243.54583333333</v>
      </c>
      <c r="C4886" s="2">
        <v>46243.695833333331</v>
      </c>
      <c r="D4886" t="s">
        <v>6023</v>
      </c>
      <c r="E4886" t="s">
        <v>6029</v>
      </c>
      <c r="F4886" t="s">
        <v>6033</v>
      </c>
      <c r="G4886" t="s">
        <v>6052</v>
      </c>
      <c r="H4886" t="s">
        <v>6098</v>
      </c>
      <c r="I4886">
        <v>72</v>
      </c>
      <c r="J4886">
        <v>3.6</v>
      </c>
      <c r="K4886" t="s">
        <v>6099</v>
      </c>
      <c r="L4886" t="s">
        <v>6100</v>
      </c>
      <c r="M4886" t="s">
        <v>6100</v>
      </c>
      <c r="O4886" t="s">
        <v>6101</v>
      </c>
      <c r="P4886" t="s">
        <v>6114</v>
      </c>
      <c r="Q4886">
        <v>8</v>
      </c>
      <c r="R4886">
        <v>2026</v>
      </c>
      <c r="S4886" t="s">
        <v>6099</v>
      </c>
      <c r="T4886">
        <v>1</v>
      </c>
      <c r="U4886" t="s">
        <v>6017</v>
      </c>
      <c r="V4886">
        <v>1</v>
      </c>
    </row>
    <row r="4887" spans="1:22" x14ac:dyDescent="0.3">
      <c r="A4887" t="s">
        <v>4902</v>
      </c>
      <c r="B4887" s="2">
        <v>46243.57708333333</v>
      </c>
      <c r="C4887" s="2">
        <v>46244.21875</v>
      </c>
      <c r="D4887" t="s">
        <v>6028</v>
      </c>
      <c r="E4887" t="s">
        <v>6031</v>
      </c>
      <c r="F4887" t="s">
        <v>6034</v>
      </c>
      <c r="G4887" t="s">
        <v>6090</v>
      </c>
      <c r="H4887" t="s">
        <v>6097</v>
      </c>
      <c r="I4887">
        <v>24</v>
      </c>
      <c r="J4887">
        <v>15.4</v>
      </c>
      <c r="K4887" t="s">
        <v>6099</v>
      </c>
      <c r="L4887" t="s">
        <v>6100</v>
      </c>
      <c r="M4887" t="s">
        <v>6100</v>
      </c>
      <c r="N4887">
        <v>5</v>
      </c>
      <c r="O4887" t="s">
        <v>6101</v>
      </c>
      <c r="P4887" t="s">
        <v>6114</v>
      </c>
      <c r="Q4887">
        <v>8</v>
      </c>
      <c r="R4887">
        <v>2026</v>
      </c>
      <c r="S4887" t="s">
        <v>6099</v>
      </c>
      <c r="T4887">
        <v>1</v>
      </c>
      <c r="U4887" t="s">
        <v>6018</v>
      </c>
      <c r="V4887">
        <v>1</v>
      </c>
    </row>
    <row r="4888" spans="1:22" x14ac:dyDescent="0.3">
      <c r="A4888" t="s">
        <v>4903</v>
      </c>
      <c r="B4888" s="2">
        <v>46243.588888888888</v>
      </c>
      <c r="C4888" s="2">
        <v>46244.072222222225</v>
      </c>
      <c r="D4888" t="s">
        <v>6023</v>
      </c>
      <c r="E4888" t="s">
        <v>6029</v>
      </c>
      <c r="F4888" t="s">
        <v>6033</v>
      </c>
      <c r="G4888" t="s">
        <v>6075</v>
      </c>
      <c r="H4888" t="s">
        <v>6097</v>
      </c>
      <c r="I4888">
        <v>72</v>
      </c>
      <c r="J4888">
        <v>11.6</v>
      </c>
      <c r="K4888" t="s">
        <v>6099</v>
      </c>
      <c r="L4888" t="s">
        <v>6100</v>
      </c>
      <c r="M4888" t="s">
        <v>6100</v>
      </c>
      <c r="N4888">
        <v>5</v>
      </c>
      <c r="O4888" t="s">
        <v>6101</v>
      </c>
      <c r="P4888" t="s">
        <v>6114</v>
      </c>
      <c r="Q4888">
        <v>8</v>
      </c>
      <c r="R4888">
        <v>2026</v>
      </c>
      <c r="S4888" t="s">
        <v>6099</v>
      </c>
      <c r="T4888">
        <v>1</v>
      </c>
      <c r="U4888" t="s">
        <v>6017</v>
      </c>
      <c r="V4888">
        <v>1</v>
      </c>
    </row>
    <row r="4889" spans="1:22" x14ac:dyDescent="0.3">
      <c r="A4889" t="s">
        <v>4904</v>
      </c>
      <c r="B4889" s="2">
        <v>46243.628472222219</v>
      </c>
      <c r="C4889" s="2">
        <v>46244.145138888889</v>
      </c>
      <c r="D4889" t="s">
        <v>6023</v>
      </c>
      <c r="E4889" t="s">
        <v>6030</v>
      </c>
      <c r="F4889" t="s">
        <v>6033</v>
      </c>
      <c r="G4889" t="s">
        <v>6074</v>
      </c>
      <c r="H4889" t="s">
        <v>6098</v>
      </c>
      <c r="I4889">
        <v>72</v>
      </c>
      <c r="J4889">
        <v>12.4</v>
      </c>
      <c r="K4889" t="s">
        <v>6099</v>
      </c>
      <c r="L4889" t="s">
        <v>6100</v>
      </c>
      <c r="M4889" t="s">
        <v>6100</v>
      </c>
      <c r="N4889">
        <v>5</v>
      </c>
      <c r="O4889" t="s">
        <v>6101</v>
      </c>
      <c r="P4889" t="s">
        <v>6114</v>
      </c>
      <c r="Q4889">
        <v>8</v>
      </c>
      <c r="R4889">
        <v>2026</v>
      </c>
      <c r="S4889" t="s">
        <v>6099</v>
      </c>
      <c r="T4889">
        <v>1</v>
      </c>
      <c r="U4889" t="s">
        <v>6019</v>
      </c>
      <c r="V4889">
        <v>1</v>
      </c>
    </row>
    <row r="4890" spans="1:22" x14ac:dyDescent="0.3">
      <c r="A4890" t="s">
        <v>4905</v>
      </c>
      <c r="B4890" s="2">
        <v>46243.656944444447</v>
      </c>
      <c r="C4890" s="2">
        <v>46244.231944444444</v>
      </c>
      <c r="D4890" t="s">
        <v>6027</v>
      </c>
      <c r="E4890" t="s">
        <v>6032</v>
      </c>
      <c r="F4890" t="s">
        <v>6033</v>
      </c>
      <c r="G4890" t="s">
        <v>6055</v>
      </c>
      <c r="H4890" t="s">
        <v>6096</v>
      </c>
      <c r="I4890">
        <v>72</v>
      </c>
      <c r="J4890">
        <v>13.8</v>
      </c>
      <c r="K4890" t="s">
        <v>6099</v>
      </c>
      <c r="L4890" t="s">
        <v>6100</v>
      </c>
      <c r="M4890" t="s">
        <v>6100</v>
      </c>
      <c r="N4890">
        <v>5</v>
      </c>
      <c r="O4890" t="s">
        <v>6101</v>
      </c>
      <c r="P4890" t="s">
        <v>6114</v>
      </c>
      <c r="Q4890">
        <v>8</v>
      </c>
      <c r="R4890">
        <v>2026</v>
      </c>
      <c r="S4890" t="s">
        <v>6099</v>
      </c>
      <c r="T4890">
        <v>1</v>
      </c>
      <c r="U4890" t="s">
        <v>6017</v>
      </c>
      <c r="V4890">
        <v>1</v>
      </c>
    </row>
    <row r="4891" spans="1:22" x14ac:dyDescent="0.3">
      <c r="A4891" t="s">
        <v>4906</v>
      </c>
      <c r="B4891" s="2">
        <v>46243.674305555556</v>
      </c>
      <c r="C4891" s="2">
        <v>46243.811805555553</v>
      </c>
      <c r="D4891" t="s">
        <v>6023</v>
      </c>
      <c r="E4891" t="s">
        <v>6030</v>
      </c>
      <c r="F4891" t="s">
        <v>6033</v>
      </c>
      <c r="G4891" t="s">
        <v>6060</v>
      </c>
      <c r="H4891" t="s">
        <v>6097</v>
      </c>
      <c r="I4891">
        <v>72</v>
      </c>
      <c r="J4891">
        <v>3.3</v>
      </c>
      <c r="K4891" t="s">
        <v>6099</v>
      </c>
      <c r="L4891" t="s">
        <v>6100</v>
      </c>
      <c r="M4891" t="s">
        <v>6100</v>
      </c>
      <c r="N4891">
        <v>5</v>
      </c>
      <c r="O4891" t="s">
        <v>6101</v>
      </c>
      <c r="P4891" t="s">
        <v>6114</v>
      </c>
      <c r="Q4891">
        <v>8</v>
      </c>
      <c r="R4891">
        <v>2026</v>
      </c>
      <c r="S4891" t="s">
        <v>6099</v>
      </c>
      <c r="T4891">
        <v>1</v>
      </c>
      <c r="U4891" t="s">
        <v>6017</v>
      </c>
      <c r="V4891">
        <v>1</v>
      </c>
    </row>
    <row r="4892" spans="1:22" x14ac:dyDescent="0.3">
      <c r="A4892" t="s">
        <v>4907</v>
      </c>
      <c r="B4892" s="2">
        <v>46243.700694444444</v>
      </c>
      <c r="C4892" s="2">
        <v>46243.967361111114</v>
      </c>
      <c r="D4892" t="s">
        <v>6022</v>
      </c>
      <c r="E4892" t="s">
        <v>6029</v>
      </c>
      <c r="F4892" t="s">
        <v>6034</v>
      </c>
      <c r="G4892" t="s">
        <v>6084</v>
      </c>
      <c r="H4892" t="s">
        <v>6098</v>
      </c>
      <c r="I4892">
        <v>24</v>
      </c>
      <c r="J4892">
        <v>6.4</v>
      </c>
      <c r="K4892" t="s">
        <v>6099</v>
      </c>
      <c r="L4892" t="s">
        <v>6100</v>
      </c>
      <c r="M4892" t="s">
        <v>6100</v>
      </c>
      <c r="N4892">
        <v>5</v>
      </c>
      <c r="O4892" t="s">
        <v>6101</v>
      </c>
      <c r="P4892" t="s">
        <v>6114</v>
      </c>
      <c r="Q4892">
        <v>8</v>
      </c>
      <c r="R4892">
        <v>2026</v>
      </c>
      <c r="S4892" t="s">
        <v>6099</v>
      </c>
      <c r="T4892">
        <v>1</v>
      </c>
      <c r="U4892" t="s">
        <v>6021</v>
      </c>
      <c r="V4892">
        <v>1</v>
      </c>
    </row>
    <row r="4893" spans="1:22" x14ac:dyDescent="0.3">
      <c r="A4893" t="s">
        <v>4908</v>
      </c>
      <c r="B4893" s="2">
        <v>46243.726388888892</v>
      </c>
      <c r="C4893" s="2">
        <v>46265.884722222225</v>
      </c>
      <c r="D4893" t="s">
        <v>6026</v>
      </c>
      <c r="E4893" t="s">
        <v>6031</v>
      </c>
      <c r="F4893" t="s">
        <v>6033</v>
      </c>
      <c r="G4893" t="s">
        <v>6050</v>
      </c>
      <c r="H4893" t="s">
        <v>6098</v>
      </c>
      <c r="I4893">
        <v>72</v>
      </c>
      <c r="J4893">
        <v>531.79999999999995</v>
      </c>
      <c r="K4893" t="s">
        <v>6100</v>
      </c>
      <c r="L4893" t="s">
        <v>6099</v>
      </c>
      <c r="M4893" t="s">
        <v>6100</v>
      </c>
      <c r="N4893">
        <v>2</v>
      </c>
      <c r="O4893" t="s">
        <v>6101</v>
      </c>
      <c r="P4893" t="s">
        <v>6114</v>
      </c>
      <c r="Q4893">
        <v>8</v>
      </c>
      <c r="R4893">
        <v>2026</v>
      </c>
      <c r="S4893" t="s">
        <v>6100</v>
      </c>
      <c r="T4893">
        <v>0</v>
      </c>
      <c r="U4893" t="s">
        <v>6019</v>
      </c>
      <c r="V4893">
        <v>0</v>
      </c>
    </row>
    <row r="4894" spans="1:22" x14ac:dyDescent="0.3">
      <c r="A4894" t="s">
        <v>4909</v>
      </c>
      <c r="B4894" s="2">
        <v>46244.224305555559</v>
      </c>
      <c r="C4894" s="2">
        <v>46245.274305555555</v>
      </c>
      <c r="D4894" t="s">
        <v>6028</v>
      </c>
      <c r="E4894" t="s">
        <v>6031</v>
      </c>
      <c r="F4894" t="s">
        <v>6033</v>
      </c>
      <c r="G4894" t="s">
        <v>6089</v>
      </c>
      <c r="H4894" t="s">
        <v>6098</v>
      </c>
      <c r="I4894">
        <v>72</v>
      </c>
      <c r="J4894">
        <v>25.2</v>
      </c>
      <c r="K4894" t="s">
        <v>6100</v>
      </c>
      <c r="L4894" t="s">
        <v>6100</v>
      </c>
      <c r="M4894" t="s">
        <v>6100</v>
      </c>
      <c r="N4894">
        <v>5</v>
      </c>
      <c r="O4894" t="s">
        <v>6101</v>
      </c>
      <c r="P4894" t="s">
        <v>6114</v>
      </c>
      <c r="Q4894">
        <v>8</v>
      </c>
      <c r="R4894">
        <v>2026</v>
      </c>
      <c r="S4894" t="s">
        <v>6099</v>
      </c>
      <c r="T4894">
        <v>1</v>
      </c>
      <c r="U4894" t="s">
        <v>6019</v>
      </c>
      <c r="V4894">
        <v>0</v>
      </c>
    </row>
    <row r="4895" spans="1:22" x14ac:dyDescent="0.3">
      <c r="A4895" t="s">
        <v>4910</v>
      </c>
      <c r="B4895" s="2">
        <v>46244.31527777778</v>
      </c>
      <c r="C4895" s="2">
        <v>46244.515277777777</v>
      </c>
      <c r="D4895" t="s">
        <v>6023</v>
      </c>
      <c r="E4895" t="s">
        <v>6029</v>
      </c>
      <c r="F4895" t="s">
        <v>6034</v>
      </c>
      <c r="G4895" t="s">
        <v>6081</v>
      </c>
      <c r="H4895" t="s">
        <v>6098</v>
      </c>
      <c r="I4895">
        <v>24</v>
      </c>
      <c r="J4895">
        <v>4.8</v>
      </c>
      <c r="K4895" t="s">
        <v>6099</v>
      </c>
      <c r="L4895" t="s">
        <v>6100</v>
      </c>
      <c r="M4895" t="s">
        <v>6100</v>
      </c>
      <c r="O4895" t="s">
        <v>6101</v>
      </c>
      <c r="P4895" t="s">
        <v>6114</v>
      </c>
      <c r="Q4895">
        <v>8</v>
      </c>
      <c r="R4895">
        <v>2026</v>
      </c>
      <c r="S4895" t="s">
        <v>6099</v>
      </c>
      <c r="T4895">
        <v>1</v>
      </c>
      <c r="U4895" t="s">
        <v>6019</v>
      </c>
      <c r="V4895">
        <v>1</v>
      </c>
    </row>
    <row r="4896" spans="1:22" x14ac:dyDescent="0.3">
      <c r="A4896" t="s">
        <v>4911</v>
      </c>
      <c r="B4896" s="2">
        <v>46244.361111111109</v>
      </c>
      <c r="C4896" s="2">
        <v>46244.794444444444</v>
      </c>
      <c r="D4896" t="s">
        <v>6028</v>
      </c>
      <c r="E4896" t="s">
        <v>6030</v>
      </c>
      <c r="F4896" t="s">
        <v>6035</v>
      </c>
      <c r="G4896" t="s">
        <v>6060</v>
      </c>
      <c r="H4896" t="s">
        <v>6097</v>
      </c>
      <c r="I4896">
        <v>4</v>
      </c>
      <c r="J4896">
        <v>10.4</v>
      </c>
      <c r="K4896" t="s">
        <v>6099</v>
      </c>
      <c r="L4896" t="s">
        <v>6100</v>
      </c>
      <c r="M4896" t="s">
        <v>6100</v>
      </c>
      <c r="N4896">
        <v>3</v>
      </c>
      <c r="O4896" t="s">
        <v>6101</v>
      </c>
      <c r="P4896" t="s">
        <v>6114</v>
      </c>
      <c r="Q4896">
        <v>8</v>
      </c>
      <c r="R4896">
        <v>2026</v>
      </c>
      <c r="S4896" t="s">
        <v>6100</v>
      </c>
      <c r="T4896">
        <v>0</v>
      </c>
      <c r="U4896" t="s">
        <v>6020</v>
      </c>
      <c r="V4896">
        <v>1</v>
      </c>
    </row>
    <row r="4897" spans="1:22" x14ac:dyDescent="0.3">
      <c r="A4897" t="s">
        <v>4912</v>
      </c>
      <c r="B4897" s="2">
        <v>46244.414583333331</v>
      </c>
      <c r="C4897" s="2">
        <v>46245.71875</v>
      </c>
      <c r="D4897" t="s">
        <v>6026</v>
      </c>
      <c r="E4897" t="s">
        <v>6031</v>
      </c>
      <c r="F4897" t="s">
        <v>6033</v>
      </c>
      <c r="G4897" t="s">
        <v>6063</v>
      </c>
      <c r="H4897" t="s">
        <v>6097</v>
      </c>
      <c r="I4897">
        <v>72</v>
      </c>
      <c r="J4897">
        <v>31.3</v>
      </c>
      <c r="K4897" t="s">
        <v>6099</v>
      </c>
      <c r="L4897" t="s">
        <v>6100</v>
      </c>
      <c r="M4897" t="s">
        <v>6100</v>
      </c>
      <c r="O4897" t="s">
        <v>6101</v>
      </c>
      <c r="P4897" t="s">
        <v>6114</v>
      </c>
      <c r="Q4897">
        <v>8</v>
      </c>
      <c r="R4897">
        <v>2026</v>
      </c>
      <c r="S4897" t="s">
        <v>6099</v>
      </c>
      <c r="T4897">
        <v>1</v>
      </c>
      <c r="U4897" t="s">
        <v>6018</v>
      </c>
      <c r="V4897">
        <v>1</v>
      </c>
    </row>
    <row r="4898" spans="1:22" x14ac:dyDescent="0.3">
      <c r="A4898" t="s">
        <v>4913</v>
      </c>
      <c r="B4898" s="2">
        <v>46244.481944444444</v>
      </c>
      <c r="C4898" s="2">
        <v>46244.69027777778</v>
      </c>
      <c r="D4898" t="s">
        <v>6023</v>
      </c>
      <c r="E4898" t="s">
        <v>6029</v>
      </c>
      <c r="F4898" t="s">
        <v>6033</v>
      </c>
      <c r="G4898" t="s">
        <v>6044</v>
      </c>
      <c r="H4898" t="s">
        <v>6097</v>
      </c>
      <c r="I4898">
        <v>72</v>
      </c>
      <c r="J4898">
        <v>5</v>
      </c>
      <c r="K4898" t="s">
        <v>6099</v>
      </c>
      <c r="L4898" t="s">
        <v>6100</v>
      </c>
      <c r="M4898" t="s">
        <v>6100</v>
      </c>
      <c r="O4898" t="s">
        <v>6101</v>
      </c>
      <c r="P4898" t="s">
        <v>6114</v>
      </c>
      <c r="Q4898">
        <v>8</v>
      </c>
      <c r="R4898">
        <v>2026</v>
      </c>
      <c r="S4898" t="s">
        <v>6099</v>
      </c>
      <c r="T4898">
        <v>1</v>
      </c>
      <c r="U4898" t="s">
        <v>6021</v>
      </c>
      <c r="V4898">
        <v>1</v>
      </c>
    </row>
    <row r="4899" spans="1:22" x14ac:dyDescent="0.3">
      <c r="A4899" t="s">
        <v>4914</v>
      </c>
      <c r="B4899" s="2">
        <v>46244.495138888888</v>
      </c>
      <c r="C4899" s="2">
        <v>46245.111805555556</v>
      </c>
      <c r="D4899" t="s">
        <v>6027</v>
      </c>
      <c r="E4899" t="s">
        <v>6031</v>
      </c>
      <c r="F4899" t="s">
        <v>6035</v>
      </c>
      <c r="G4899" t="s">
        <v>6069</v>
      </c>
      <c r="H4899" t="s">
        <v>6098</v>
      </c>
      <c r="I4899">
        <v>4</v>
      </c>
      <c r="J4899">
        <v>14.8</v>
      </c>
      <c r="K4899" t="s">
        <v>6099</v>
      </c>
      <c r="L4899" t="s">
        <v>6100</v>
      </c>
      <c r="M4899" t="s">
        <v>6100</v>
      </c>
      <c r="O4899" t="s">
        <v>6101</v>
      </c>
      <c r="P4899" t="s">
        <v>6114</v>
      </c>
      <c r="Q4899">
        <v>8</v>
      </c>
      <c r="R4899">
        <v>2026</v>
      </c>
      <c r="S4899" t="s">
        <v>6100</v>
      </c>
      <c r="T4899">
        <v>0</v>
      </c>
      <c r="U4899" t="s">
        <v>6021</v>
      </c>
      <c r="V4899">
        <v>1</v>
      </c>
    </row>
    <row r="4900" spans="1:22" x14ac:dyDescent="0.3">
      <c r="A4900" t="s">
        <v>4915</v>
      </c>
      <c r="B4900" s="2">
        <v>46244.522222222222</v>
      </c>
      <c r="C4900" s="2">
        <v>46246.905555555553</v>
      </c>
      <c r="D4900" t="s">
        <v>6022</v>
      </c>
      <c r="E4900" t="s">
        <v>6031</v>
      </c>
      <c r="F4900" t="s">
        <v>6034</v>
      </c>
      <c r="G4900" t="s">
        <v>6078</v>
      </c>
      <c r="H4900" t="s">
        <v>6097</v>
      </c>
      <c r="I4900">
        <v>24</v>
      </c>
      <c r="J4900">
        <v>57.2</v>
      </c>
      <c r="K4900" t="s">
        <v>6099</v>
      </c>
      <c r="L4900" t="s">
        <v>6100</v>
      </c>
      <c r="M4900" t="s">
        <v>6100</v>
      </c>
      <c r="O4900" t="s">
        <v>6101</v>
      </c>
      <c r="P4900" t="s">
        <v>6114</v>
      </c>
      <c r="Q4900">
        <v>8</v>
      </c>
      <c r="R4900">
        <v>2026</v>
      </c>
      <c r="S4900" t="s">
        <v>6100</v>
      </c>
      <c r="T4900">
        <v>0</v>
      </c>
      <c r="U4900" t="s">
        <v>6021</v>
      </c>
      <c r="V4900">
        <v>1</v>
      </c>
    </row>
    <row r="4901" spans="1:22" x14ac:dyDescent="0.3">
      <c r="A4901" t="s">
        <v>4916</v>
      </c>
      <c r="B4901" s="2">
        <v>46244.53125</v>
      </c>
      <c r="C4901" s="2">
        <v>46247.82708333333</v>
      </c>
      <c r="D4901" t="s">
        <v>6025</v>
      </c>
      <c r="E4901" t="s">
        <v>6031</v>
      </c>
      <c r="F4901" t="s">
        <v>6034</v>
      </c>
      <c r="G4901" t="s">
        <v>6087</v>
      </c>
      <c r="H4901" t="s">
        <v>6098</v>
      </c>
      <c r="I4901">
        <v>24</v>
      </c>
      <c r="J4901">
        <v>79.099999999999994</v>
      </c>
      <c r="K4901" t="s">
        <v>6100</v>
      </c>
      <c r="L4901" t="s">
        <v>6099</v>
      </c>
      <c r="M4901" t="s">
        <v>6100</v>
      </c>
      <c r="O4901" t="s">
        <v>6101</v>
      </c>
      <c r="P4901" t="s">
        <v>6114</v>
      </c>
      <c r="Q4901">
        <v>8</v>
      </c>
      <c r="R4901">
        <v>2026</v>
      </c>
      <c r="S4901" t="s">
        <v>6100</v>
      </c>
      <c r="T4901">
        <v>0</v>
      </c>
      <c r="U4901" t="s">
        <v>6019</v>
      </c>
      <c r="V4901">
        <v>0</v>
      </c>
    </row>
    <row r="4902" spans="1:22" x14ac:dyDescent="0.3">
      <c r="A4902" t="s">
        <v>4917</v>
      </c>
      <c r="B4902" s="2">
        <v>46244.556250000001</v>
      </c>
      <c r="C4902" s="2">
        <v>46244.893750000003</v>
      </c>
      <c r="D4902" t="s">
        <v>6025</v>
      </c>
      <c r="E4902" t="s">
        <v>6029</v>
      </c>
      <c r="F4902" t="s">
        <v>6035</v>
      </c>
      <c r="G4902" t="s">
        <v>6050</v>
      </c>
      <c r="H4902" t="s">
        <v>6098</v>
      </c>
      <c r="I4902">
        <v>4</v>
      </c>
      <c r="J4902">
        <v>8.1</v>
      </c>
      <c r="K4902" t="s">
        <v>6099</v>
      </c>
      <c r="L4902" t="s">
        <v>6100</v>
      </c>
      <c r="M4902" t="s">
        <v>6099</v>
      </c>
      <c r="N4902">
        <v>5</v>
      </c>
      <c r="O4902" t="s">
        <v>6101</v>
      </c>
      <c r="P4902" t="s">
        <v>6114</v>
      </c>
      <c r="Q4902">
        <v>8</v>
      </c>
      <c r="R4902">
        <v>2026</v>
      </c>
      <c r="S4902" t="s">
        <v>6100</v>
      </c>
      <c r="T4902">
        <v>0</v>
      </c>
      <c r="U4902" t="s">
        <v>6019</v>
      </c>
      <c r="V4902">
        <v>1</v>
      </c>
    </row>
    <row r="4903" spans="1:22" x14ac:dyDescent="0.3">
      <c r="A4903" t="s">
        <v>4918</v>
      </c>
      <c r="B4903" s="2">
        <v>46244.557638888888</v>
      </c>
      <c r="C4903" s="2">
        <v>46244.832638888889</v>
      </c>
      <c r="D4903" t="s">
        <v>6027</v>
      </c>
      <c r="E4903" t="s">
        <v>6029</v>
      </c>
      <c r="F4903" t="s">
        <v>6034</v>
      </c>
      <c r="G4903" t="s">
        <v>6039</v>
      </c>
      <c r="H4903" t="s">
        <v>6097</v>
      </c>
      <c r="I4903">
        <v>24</v>
      </c>
      <c r="J4903">
        <v>6.6</v>
      </c>
      <c r="K4903" t="s">
        <v>6099</v>
      </c>
      <c r="L4903" t="s">
        <v>6100</v>
      </c>
      <c r="M4903" t="s">
        <v>6100</v>
      </c>
      <c r="N4903">
        <v>4</v>
      </c>
      <c r="O4903" t="s">
        <v>6101</v>
      </c>
      <c r="P4903" t="s">
        <v>6114</v>
      </c>
      <c r="Q4903">
        <v>8</v>
      </c>
      <c r="R4903">
        <v>2026</v>
      </c>
      <c r="S4903" t="s">
        <v>6099</v>
      </c>
      <c r="T4903">
        <v>1</v>
      </c>
      <c r="U4903" t="s">
        <v>6017</v>
      </c>
      <c r="V4903">
        <v>1</v>
      </c>
    </row>
    <row r="4904" spans="1:22" x14ac:dyDescent="0.3">
      <c r="A4904" t="s">
        <v>4919</v>
      </c>
      <c r="B4904" s="2">
        <v>46244.563888888886</v>
      </c>
      <c r="C4904" s="2">
        <v>46245.488888888889</v>
      </c>
      <c r="D4904" t="s">
        <v>6026</v>
      </c>
      <c r="E4904" t="s">
        <v>6029</v>
      </c>
      <c r="F4904" t="s">
        <v>6033</v>
      </c>
      <c r="G4904" t="s">
        <v>6073</v>
      </c>
      <c r="H4904" t="s">
        <v>6096</v>
      </c>
      <c r="I4904">
        <v>72</v>
      </c>
      <c r="J4904">
        <v>22.2</v>
      </c>
      <c r="K4904" t="s">
        <v>6100</v>
      </c>
      <c r="L4904" t="s">
        <v>6100</v>
      </c>
      <c r="M4904" t="s">
        <v>6100</v>
      </c>
      <c r="O4904" t="s">
        <v>6101</v>
      </c>
      <c r="P4904" t="s">
        <v>6114</v>
      </c>
      <c r="Q4904">
        <v>8</v>
      </c>
      <c r="R4904">
        <v>2026</v>
      </c>
      <c r="S4904" t="s">
        <v>6099</v>
      </c>
      <c r="T4904">
        <v>1</v>
      </c>
      <c r="U4904" t="s">
        <v>6018</v>
      </c>
      <c r="V4904">
        <v>0</v>
      </c>
    </row>
    <row r="4905" spans="1:22" x14ac:dyDescent="0.3">
      <c r="A4905" t="s">
        <v>4920</v>
      </c>
      <c r="B4905" s="2">
        <v>46244.589583333334</v>
      </c>
      <c r="C4905" s="2">
        <v>46246.206250000003</v>
      </c>
      <c r="D4905" t="s">
        <v>6025</v>
      </c>
      <c r="E4905" t="s">
        <v>6031</v>
      </c>
      <c r="F4905" t="s">
        <v>6034</v>
      </c>
      <c r="G4905" t="s">
        <v>6074</v>
      </c>
      <c r="H4905" t="s">
        <v>6098</v>
      </c>
      <c r="I4905">
        <v>24</v>
      </c>
      <c r="J4905">
        <v>38.799999999999997</v>
      </c>
      <c r="K4905" t="s">
        <v>6100</v>
      </c>
      <c r="L4905" t="s">
        <v>6100</v>
      </c>
      <c r="M4905" t="s">
        <v>6100</v>
      </c>
      <c r="N4905">
        <v>5</v>
      </c>
      <c r="O4905" t="s">
        <v>6101</v>
      </c>
      <c r="P4905" t="s">
        <v>6114</v>
      </c>
      <c r="Q4905">
        <v>8</v>
      </c>
      <c r="R4905">
        <v>2026</v>
      </c>
      <c r="S4905" t="s">
        <v>6100</v>
      </c>
      <c r="T4905">
        <v>0</v>
      </c>
      <c r="U4905" t="s">
        <v>6018</v>
      </c>
      <c r="V4905">
        <v>0</v>
      </c>
    </row>
    <row r="4906" spans="1:22" x14ac:dyDescent="0.3">
      <c r="A4906" t="s">
        <v>4921</v>
      </c>
      <c r="B4906" s="2">
        <v>46244.59375</v>
      </c>
      <c r="C4906" s="2">
        <v>46245.46875</v>
      </c>
      <c r="D4906" t="s">
        <v>6025</v>
      </c>
      <c r="E4906" t="s">
        <v>6032</v>
      </c>
      <c r="F4906" t="s">
        <v>6034</v>
      </c>
      <c r="G4906" t="s">
        <v>6078</v>
      </c>
      <c r="H4906" t="s">
        <v>6097</v>
      </c>
      <c r="I4906">
        <v>24</v>
      </c>
      <c r="J4906">
        <v>21</v>
      </c>
      <c r="K4906" t="s">
        <v>6099</v>
      </c>
      <c r="L4906" t="s">
        <v>6100</v>
      </c>
      <c r="M4906" t="s">
        <v>6100</v>
      </c>
      <c r="O4906" t="s">
        <v>6101</v>
      </c>
      <c r="P4906" t="s">
        <v>6114</v>
      </c>
      <c r="Q4906">
        <v>8</v>
      </c>
      <c r="R4906">
        <v>2026</v>
      </c>
      <c r="S4906" t="s">
        <v>6099</v>
      </c>
      <c r="T4906">
        <v>1</v>
      </c>
      <c r="U4906" t="s">
        <v>6021</v>
      </c>
      <c r="V4906">
        <v>1</v>
      </c>
    </row>
    <row r="4907" spans="1:22" x14ac:dyDescent="0.3">
      <c r="A4907" t="s">
        <v>4922</v>
      </c>
      <c r="B4907" s="2">
        <v>46244.684027777781</v>
      </c>
      <c r="C4907" s="2">
        <v>46244.804861111108</v>
      </c>
      <c r="D4907" t="s">
        <v>6022</v>
      </c>
      <c r="E4907" t="s">
        <v>6030</v>
      </c>
      <c r="F4907" t="s">
        <v>6034</v>
      </c>
      <c r="G4907" t="s">
        <v>6042</v>
      </c>
      <c r="H4907" t="s">
        <v>6098</v>
      </c>
      <c r="I4907">
        <v>24</v>
      </c>
      <c r="J4907">
        <v>2.9</v>
      </c>
      <c r="K4907" t="s">
        <v>6099</v>
      </c>
      <c r="L4907" t="s">
        <v>6100</v>
      </c>
      <c r="M4907" t="s">
        <v>6100</v>
      </c>
      <c r="N4907">
        <v>4</v>
      </c>
      <c r="O4907" t="s">
        <v>6101</v>
      </c>
      <c r="P4907" t="s">
        <v>6114</v>
      </c>
      <c r="Q4907">
        <v>8</v>
      </c>
      <c r="R4907">
        <v>2026</v>
      </c>
      <c r="S4907" t="s">
        <v>6099</v>
      </c>
      <c r="T4907">
        <v>1</v>
      </c>
      <c r="U4907" t="s">
        <v>6019</v>
      </c>
      <c r="V4907">
        <v>1</v>
      </c>
    </row>
    <row r="4908" spans="1:22" x14ac:dyDescent="0.3">
      <c r="A4908" t="s">
        <v>4923</v>
      </c>
      <c r="B4908" s="2">
        <v>46244.763888888891</v>
      </c>
      <c r="C4908" s="2">
        <v>46244.968055555553</v>
      </c>
      <c r="D4908" t="s">
        <v>6022</v>
      </c>
      <c r="E4908" t="s">
        <v>6030</v>
      </c>
      <c r="F4908" t="s">
        <v>6034</v>
      </c>
      <c r="G4908" t="s">
        <v>6039</v>
      </c>
      <c r="H4908" t="s">
        <v>6097</v>
      </c>
      <c r="I4908">
        <v>24</v>
      </c>
      <c r="J4908">
        <v>4.9000000000000004</v>
      </c>
      <c r="K4908" t="s">
        <v>6099</v>
      </c>
      <c r="L4908" t="s">
        <v>6100</v>
      </c>
      <c r="M4908" t="s">
        <v>6100</v>
      </c>
      <c r="N4908">
        <v>5</v>
      </c>
      <c r="O4908" t="s">
        <v>6101</v>
      </c>
      <c r="P4908" t="s">
        <v>6114</v>
      </c>
      <c r="Q4908">
        <v>8</v>
      </c>
      <c r="R4908">
        <v>2026</v>
      </c>
      <c r="S4908" t="s">
        <v>6099</v>
      </c>
      <c r="T4908">
        <v>1</v>
      </c>
      <c r="U4908" t="s">
        <v>6021</v>
      </c>
      <c r="V4908">
        <v>1</v>
      </c>
    </row>
    <row r="4909" spans="1:22" x14ac:dyDescent="0.3">
      <c r="A4909" t="s">
        <v>4924</v>
      </c>
      <c r="B4909" s="2">
        <v>46244.802083333336</v>
      </c>
      <c r="C4909" s="2">
        <v>46246.189583333333</v>
      </c>
      <c r="D4909" t="s">
        <v>6023</v>
      </c>
      <c r="E4909" t="s">
        <v>6032</v>
      </c>
      <c r="F4909" t="s">
        <v>6033</v>
      </c>
      <c r="G4909" t="s">
        <v>6043</v>
      </c>
      <c r="H4909" t="s">
        <v>6097</v>
      </c>
      <c r="I4909">
        <v>72</v>
      </c>
      <c r="J4909">
        <v>33.299999999999997</v>
      </c>
      <c r="K4909" t="s">
        <v>6099</v>
      </c>
      <c r="L4909" t="s">
        <v>6100</v>
      </c>
      <c r="M4909" t="s">
        <v>6100</v>
      </c>
      <c r="O4909" t="s">
        <v>6101</v>
      </c>
      <c r="P4909" t="s">
        <v>6114</v>
      </c>
      <c r="Q4909">
        <v>8</v>
      </c>
      <c r="R4909">
        <v>2026</v>
      </c>
      <c r="S4909" t="s">
        <v>6099</v>
      </c>
      <c r="T4909">
        <v>1</v>
      </c>
      <c r="U4909" t="s">
        <v>6018</v>
      </c>
      <c r="V4909">
        <v>1</v>
      </c>
    </row>
    <row r="4910" spans="1:22" x14ac:dyDescent="0.3">
      <c r="A4910" t="s">
        <v>4925</v>
      </c>
      <c r="B4910" s="2">
        <v>46244.965277777781</v>
      </c>
      <c r="C4910" s="2">
        <v>46245.37777777778</v>
      </c>
      <c r="D4910" t="s">
        <v>6028</v>
      </c>
      <c r="E4910" t="s">
        <v>6029</v>
      </c>
      <c r="F4910" t="s">
        <v>6034</v>
      </c>
      <c r="G4910" t="s">
        <v>6036</v>
      </c>
      <c r="H4910" t="s">
        <v>6096</v>
      </c>
      <c r="I4910">
        <v>24</v>
      </c>
      <c r="J4910">
        <v>9.9</v>
      </c>
      <c r="K4910" t="s">
        <v>6100</v>
      </c>
      <c r="L4910" t="s">
        <v>6099</v>
      </c>
      <c r="M4910" t="s">
        <v>6100</v>
      </c>
      <c r="N4910">
        <v>4</v>
      </c>
      <c r="O4910" t="s">
        <v>6101</v>
      </c>
      <c r="P4910" t="s">
        <v>6114</v>
      </c>
      <c r="Q4910">
        <v>8</v>
      </c>
      <c r="R4910">
        <v>2026</v>
      </c>
      <c r="S4910" t="s">
        <v>6099</v>
      </c>
      <c r="T4910">
        <v>1</v>
      </c>
      <c r="U4910" t="s">
        <v>6019</v>
      </c>
      <c r="V4910">
        <v>0</v>
      </c>
    </row>
    <row r="4911" spans="1:22" x14ac:dyDescent="0.3">
      <c r="A4911" t="s">
        <v>4926</v>
      </c>
      <c r="B4911" s="2">
        <v>46245.261805555558</v>
      </c>
      <c r="C4911" s="2">
        <v>46245.549305555556</v>
      </c>
      <c r="D4911" t="s">
        <v>6028</v>
      </c>
      <c r="E4911" t="s">
        <v>6031</v>
      </c>
      <c r="F4911" t="s">
        <v>6035</v>
      </c>
      <c r="G4911" t="s">
        <v>6044</v>
      </c>
      <c r="H4911" t="s">
        <v>6097</v>
      </c>
      <c r="I4911">
        <v>4</v>
      </c>
      <c r="J4911">
        <v>6.9</v>
      </c>
      <c r="K4911" t="s">
        <v>6099</v>
      </c>
      <c r="L4911" t="s">
        <v>6100</v>
      </c>
      <c r="M4911" t="s">
        <v>6100</v>
      </c>
      <c r="O4911" t="s">
        <v>6101</v>
      </c>
      <c r="P4911" t="s">
        <v>6114</v>
      </c>
      <c r="Q4911">
        <v>8</v>
      </c>
      <c r="R4911">
        <v>2026</v>
      </c>
      <c r="S4911" t="s">
        <v>6100</v>
      </c>
      <c r="T4911">
        <v>0</v>
      </c>
      <c r="U4911" t="s">
        <v>6017</v>
      </c>
      <c r="V4911">
        <v>1</v>
      </c>
    </row>
    <row r="4912" spans="1:22" x14ac:dyDescent="0.3">
      <c r="A4912" t="s">
        <v>4927</v>
      </c>
      <c r="B4912" s="2">
        <v>46245.280555555553</v>
      </c>
      <c r="C4912" s="2">
        <v>46245.697222222225</v>
      </c>
      <c r="D4912" t="s">
        <v>6028</v>
      </c>
      <c r="E4912" t="s">
        <v>6031</v>
      </c>
      <c r="F4912" t="s">
        <v>6035</v>
      </c>
      <c r="G4912" t="s">
        <v>6088</v>
      </c>
      <c r="H4912" t="s">
        <v>6097</v>
      </c>
      <c r="I4912">
        <v>4</v>
      </c>
      <c r="J4912">
        <v>10</v>
      </c>
      <c r="K4912" t="s">
        <v>6099</v>
      </c>
      <c r="L4912" t="s">
        <v>6100</v>
      </c>
      <c r="M4912" t="s">
        <v>6100</v>
      </c>
      <c r="N4912">
        <v>5</v>
      </c>
      <c r="O4912" t="s">
        <v>6101</v>
      </c>
      <c r="P4912" t="s">
        <v>6114</v>
      </c>
      <c r="Q4912">
        <v>8</v>
      </c>
      <c r="R4912">
        <v>2026</v>
      </c>
      <c r="S4912" t="s">
        <v>6100</v>
      </c>
      <c r="T4912">
        <v>0</v>
      </c>
      <c r="U4912" t="s">
        <v>6019</v>
      </c>
      <c r="V4912">
        <v>1</v>
      </c>
    </row>
    <row r="4913" spans="1:22" x14ac:dyDescent="0.3">
      <c r="A4913" t="s">
        <v>4928</v>
      </c>
      <c r="B4913" s="2">
        <v>46245.341666666667</v>
      </c>
      <c r="C4913" s="2">
        <v>46245.479166666664</v>
      </c>
      <c r="D4913" t="s">
        <v>6023</v>
      </c>
      <c r="E4913" t="s">
        <v>6029</v>
      </c>
      <c r="F4913" t="s">
        <v>6033</v>
      </c>
      <c r="G4913" t="s">
        <v>6054</v>
      </c>
      <c r="H4913" t="s">
        <v>6096</v>
      </c>
      <c r="I4913">
        <v>72</v>
      </c>
      <c r="J4913">
        <v>3.3</v>
      </c>
      <c r="K4913" t="s">
        <v>6100</v>
      </c>
      <c r="L4913" t="s">
        <v>6100</v>
      </c>
      <c r="M4913" t="s">
        <v>6100</v>
      </c>
      <c r="N4913">
        <v>3</v>
      </c>
      <c r="O4913" t="s">
        <v>6101</v>
      </c>
      <c r="P4913" t="s">
        <v>6114</v>
      </c>
      <c r="Q4913">
        <v>8</v>
      </c>
      <c r="R4913">
        <v>2026</v>
      </c>
      <c r="S4913" t="s">
        <v>6099</v>
      </c>
      <c r="T4913">
        <v>1</v>
      </c>
      <c r="U4913" t="s">
        <v>6021</v>
      </c>
      <c r="V4913">
        <v>0</v>
      </c>
    </row>
    <row r="4914" spans="1:22" x14ac:dyDescent="0.3">
      <c r="A4914" t="s">
        <v>4929</v>
      </c>
      <c r="B4914" s="2">
        <v>46245.342361111114</v>
      </c>
      <c r="C4914" s="2">
        <v>46247.879861111112</v>
      </c>
      <c r="D4914" t="s">
        <v>6022</v>
      </c>
      <c r="E4914" t="s">
        <v>6029</v>
      </c>
      <c r="F4914" t="s">
        <v>6033</v>
      </c>
      <c r="G4914" t="s">
        <v>6045</v>
      </c>
      <c r="H4914" t="s">
        <v>6096</v>
      </c>
      <c r="I4914">
        <v>72</v>
      </c>
      <c r="J4914">
        <v>60.9</v>
      </c>
      <c r="K4914" t="s">
        <v>6100</v>
      </c>
      <c r="L4914" t="s">
        <v>6099</v>
      </c>
      <c r="M4914" t="s">
        <v>6099</v>
      </c>
      <c r="N4914">
        <v>4</v>
      </c>
      <c r="O4914" t="s">
        <v>6101</v>
      </c>
      <c r="P4914" t="s">
        <v>6114</v>
      </c>
      <c r="Q4914">
        <v>8</v>
      </c>
      <c r="R4914">
        <v>2026</v>
      </c>
      <c r="S4914" t="s">
        <v>6099</v>
      </c>
      <c r="T4914">
        <v>1</v>
      </c>
      <c r="U4914" t="s">
        <v>6020</v>
      </c>
      <c r="V4914">
        <v>0</v>
      </c>
    </row>
    <row r="4915" spans="1:22" x14ac:dyDescent="0.3">
      <c r="A4915" t="s">
        <v>4930</v>
      </c>
      <c r="B4915" s="2">
        <v>46245.37222222222</v>
      </c>
      <c r="C4915" s="2">
        <v>46246.084722222222</v>
      </c>
      <c r="D4915" t="s">
        <v>6028</v>
      </c>
      <c r="E4915" t="s">
        <v>6031</v>
      </c>
      <c r="F4915" t="s">
        <v>6035</v>
      </c>
      <c r="G4915" t="s">
        <v>6066</v>
      </c>
      <c r="H4915" t="s">
        <v>6096</v>
      </c>
      <c r="I4915">
        <v>4</v>
      </c>
      <c r="J4915">
        <v>17.100000000000001</v>
      </c>
      <c r="K4915" t="s">
        <v>6099</v>
      </c>
      <c r="L4915" t="s">
        <v>6100</v>
      </c>
      <c r="M4915" t="s">
        <v>6100</v>
      </c>
      <c r="N4915">
        <v>5</v>
      </c>
      <c r="O4915" t="s">
        <v>6101</v>
      </c>
      <c r="P4915" t="s">
        <v>6114</v>
      </c>
      <c r="Q4915">
        <v>8</v>
      </c>
      <c r="R4915">
        <v>2026</v>
      </c>
      <c r="S4915" t="s">
        <v>6100</v>
      </c>
      <c r="T4915">
        <v>0</v>
      </c>
      <c r="U4915" t="s">
        <v>6019</v>
      </c>
      <c r="V4915">
        <v>1</v>
      </c>
    </row>
    <row r="4916" spans="1:22" x14ac:dyDescent="0.3">
      <c r="A4916" t="s">
        <v>4931</v>
      </c>
      <c r="B4916" s="2">
        <v>46245.406944444447</v>
      </c>
      <c r="C4916" s="2">
        <v>46246.111111111109</v>
      </c>
      <c r="D4916" t="s">
        <v>6023</v>
      </c>
      <c r="E4916" t="s">
        <v>6032</v>
      </c>
      <c r="F4916" t="s">
        <v>6034</v>
      </c>
      <c r="G4916" t="s">
        <v>6091</v>
      </c>
      <c r="H4916" t="s">
        <v>6097</v>
      </c>
      <c r="I4916">
        <v>24</v>
      </c>
      <c r="J4916">
        <v>16.899999999999999</v>
      </c>
      <c r="K4916" t="s">
        <v>6099</v>
      </c>
      <c r="L4916" t="s">
        <v>6100</v>
      </c>
      <c r="M4916" t="s">
        <v>6100</v>
      </c>
      <c r="N4916">
        <v>4</v>
      </c>
      <c r="O4916" t="s">
        <v>6101</v>
      </c>
      <c r="P4916" t="s">
        <v>6114</v>
      </c>
      <c r="Q4916">
        <v>8</v>
      </c>
      <c r="R4916">
        <v>2026</v>
      </c>
      <c r="S4916" t="s">
        <v>6099</v>
      </c>
      <c r="T4916">
        <v>1</v>
      </c>
      <c r="U4916" t="s">
        <v>6017</v>
      </c>
      <c r="V4916">
        <v>1</v>
      </c>
    </row>
    <row r="4917" spans="1:22" x14ac:dyDescent="0.3">
      <c r="A4917" t="s">
        <v>4932</v>
      </c>
      <c r="B4917" s="2">
        <v>46245.432638888888</v>
      </c>
      <c r="C4917" s="2">
        <v>46246.161805555559</v>
      </c>
      <c r="D4917" t="s">
        <v>6024</v>
      </c>
      <c r="E4917" t="s">
        <v>6031</v>
      </c>
      <c r="F4917" t="s">
        <v>6033</v>
      </c>
      <c r="G4917" t="s">
        <v>6037</v>
      </c>
      <c r="H4917" t="s">
        <v>6096</v>
      </c>
      <c r="I4917">
        <v>72</v>
      </c>
      <c r="J4917">
        <v>17.5</v>
      </c>
      <c r="K4917" t="s">
        <v>6100</v>
      </c>
      <c r="L4917" t="s">
        <v>6100</v>
      </c>
      <c r="M4917" t="s">
        <v>6100</v>
      </c>
      <c r="N4917">
        <v>5</v>
      </c>
      <c r="O4917" t="s">
        <v>6101</v>
      </c>
      <c r="P4917" t="s">
        <v>6114</v>
      </c>
      <c r="Q4917">
        <v>8</v>
      </c>
      <c r="R4917">
        <v>2026</v>
      </c>
      <c r="S4917" t="s">
        <v>6099</v>
      </c>
      <c r="T4917">
        <v>1</v>
      </c>
      <c r="U4917" t="s">
        <v>6021</v>
      </c>
      <c r="V4917">
        <v>0</v>
      </c>
    </row>
    <row r="4918" spans="1:22" x14ac:dyDescent="0.3">
      <c r="A4918" t="s">
        <v>4933</v>
      </c>
      <c r="B4918" s="2">
        <v>46245.476388888892</v>
      </c>
      <c r="C4918" s="2">
        <v>46246.284722222219</v>
      </c>
      <c r="D4918" t="s">
        <v>6028</v>
      </c>
      <c r="E4918" t="s">
        <v>6031</v>
      </c>
      <c r="F4918" t="s">
        <v>6034</v>
      </c>
      <c r="G4918" t="s">
        <v>6059</v>
      </c>
      <c r="H4918" t="s">
        <v>6097</v>
      </c>
      <c r="I4918">
        <v>24</v>
      </c>
      <c r="J4918">
        <v>19.399999999999999</v>
      </c>
      <c r="K4918" t="s">
        <v>6099</v>
      </c>
      <c r="L4918" t="s">
        <v>6100</v>
      </c>
      <c r="M4918" t="s">
        <v>6100</v>
      </c>
      <c r="N4918">
        <v>3</v>
      </c>
      <c r="O4918" t="s">
        <v>6101</v>
      </c>
      <c r="P4918" t="s">
        <v>6114</v>
      </c>
      <c r="Q4918">
        <v>8</v>
      </c>
      <c r="R4918">
        <v>2026</v>
      </c>
      <c r="S4918" t="s">
        <v>6099</v>
      </c>
      <c r="T4918">
        <v>1</v>
      </c>
      <c r="U4918" t="s">
        <v>6018</v>
      </c>
      <c r="V4918">
        <v>1</v>
      </c>
    </row>
    <row r="4919" spans="1:22" x14ac:dyDescent="0.3">
      <c r="A4919" t="s">
        <v>4934</v>
      </c>
      <c r="B4919" s="2">
        <v>46245.526388888888</v>
      </c>
      <c r="C4919" s="2">
        <v>46246.063888888886</v>
      </c>
      <c r="D4919" t="s">
        <v>6025</v>
      </c>
      <c r="E4919" t="s">
        <v>6029</v>
      </c>
      <c r="F4919" t="s">
        <v>6033</v>
      </c>
      <c r="G4919" t="s">
        <v>6039</v>
      </c>
      <c r="H4919" t="s">
        <v>6097</v>
      </c>
      <c r="I4919">
        <v>72</v>
      </c>
      <c r="J4919">
        <v>12.9</v>
      </c>
      <c r="K4919" t="s">
        <v>6099</v>
      </c>
      <c r="L4919" t="s">
        <v>6100</v>
      </c>
      <c r="M4919" t="s">
        <v>6100</v>
      </c>
      <c r="N4919">
        <v>5</v>
      </c>
      <c r="O4919" t="s">
        <v>6101</v>
      </c>
      <c r="P4919" t="s">
        <v>6114</v>
      </c>
      <c r="Q4919">
        <v>8</v>
      </c>
      <c r="R4919">
        <v>2026</v>
      </c>
      <c r="S4919" t="s">
        <v>6099</v>
      </c>
      <c r="T4919">
        <v>1</v>
      </c>
      <c r="U4919" t="s">
        <v>6019</v>
      </c>
      <c r="V4919">
        <v>1</v>
      </c>
    </row>
    <row r="4920" spans="1:22" x14ac:dyDescent="0.3">
      <c r="A4920" t="s">
        <v>4935</v>
      </c>
      <c r="B4920" s="2">
        <v>46245.57916666667</v>
      </c>
      <c r="C4920" s="2">
        <v>46252.287499999999</v>
      </c>
      <c r="D4920" t="s">
        <v>6026</v>
      </c>
      <c r="E4920" t="s">
        <v>6031</v>
      </c>
      <c r="F4920" t="s">
        <v>6034</v>
      </c>
      <c r="G4920" t="s">
        <v>6052</v>
      </c>
      <c r="H4920" t="s">
        <v>6098</v>
      </c>
      <c r="I4920">
        <v>24</v>
      </c>
      <c r="J4920">
        <v>161</v>
      </c>
      <c r="K4920" t="s">
        <v>6100</v>
      </c>
      <c r="L4920" t="s">
        <v>6099</v>
      </c>
      <c r="M4920" t="s">
        <v>6100</v>
      </c>
      <c r="N4920">
        <v>3</v>
      </c>
      <c r="O4920" t="s">
        <v>6101</v>
      </c>
      <c r="P4920" t="s">
        <v>6114</v>
      </c>
      <c r="Q4920">
        <v>8</v>
      </c>
      <c r="R4920">
        <v>2026</v>
      </c>
      <c r="S4920" t="s">
        <v>6100</v>
      </c>
      <c r="T4920">
        <v>0</v>
      </c>
      <c r="U4920" t="s">
        <v>6019</v>
      </c>
      <c r="V4920">
        <v>0</v>
      </c>
    </row>
    <row r="4921" spans="1:22" x14ac:dyDescent="0.3">
      <c r="A4921" t="s">
        <v>4936</v>
      </c>
      <c r="B4921" s="2">
        <v>46245.592361111114</v>
      </c>
      <c r="C4921" s="2">
        <v>46245.771527777775</v>
      </c>
      <c r="D4921" t="s">
        <v>6027</v>
      </c>
      <c r="E4921" t="s">
        <v>6029</v>
      </c>
      <c r="F4921" t="s">
        <v>6033</v>
      </c>
      <c r="G4921" t="s">
        <v>6065</v>
      </c>
      <c r="H4921" t="s">
        <v>6097</v>
      </c>
      <c r="I4921">
        <v>72</v>
      </c>
      <c r="J4921">
        <v>4.3</v>
      </c>
      <c r="K4921" t="s">
        <v>6099</v>
      </c>
      <c r="L4921" t="s">
        <v>6100</v>
      </c>
      <c r="M4921" t="s">
        <v>6100</v>
      </c>
      <c r="N4921">
        <v>4</v>
      </c>
      <c r="O4921" t="s">
        <v>6101</v>
      </c>
      <c r="P4921" t="s">
        <v>6114</v>
      </c>
      <c r="Q4921">
        <v>8</v>
      </c>
      <c r="R4921">
        <v>2026</v>
      </c>
      <c r="S4921" t="s">
        <v>6099</v>
      </c>
      <c r="T4921">
        <v>1</v>
      </c>
      <c r="U4921" t="s">
        <v>6021</v>
      </c>
      <c r="V4921">
        <v>1</v>
      </c>
    </row>
    <row r="4922" spans="1:22" x14ac:dyDescent="0.3">
      <c r="A4922" t="s">
        <v>4937</v>
      </c>
      <c r="B4922" s="2">
        <v>46245.615277777775</v>
      </c>
      <c r="C4922" s="2">
        <v>46245.756944444445</v>
      </c>
      <c r="D4922" t="s">
        <v>6028</v>
      </c>
      <c r="E4922" t="s">
        <v>6030</v>
      </c>
      <c r="F4922" t="s">
        <v>6033</v>
      </c>
      <c r="G4922" t="s">
        <v>6048</v>
      </c>
      <c r="H4922" t="s">
        <v>6096</v>
      </c>
      <c r="I4922">
        <v>72</v>
      </c>
      <c r="J4922">
        <v>3.4</v>
      </c>
      <c r="K4922" t="s">
        <v>6099</v>
      </c>
      <c r="L4922" t="s">
        <v>6100</v>
      </c>
      <c r="M4922" t="s">
        <v>6100</v>
      </c>
      <c r="O4922" t="s">
        <v>6101</v>
      </c>
      <c r="P4922" t="s">
        <v>6114</v>
      </c>
      <c r="Q4922">
        <v>8</v>
      </c>
      <c r="R4922">
        <v>2026</v>
      </c>
      <c r="S4922" t="s">
        <v>6099</v>
      </c>
      <c r="T4922">
        <v>1</v>
      </c>
      <c r="U4922" t="s">
        <v>6020</v>
      </c>
      <c r="V4922">
        <v>1</v>
      </c>
    </row>
    <row r="4923" spans="1:22" x14ac:dyDescent="0.3">
      <c r="A4923" t="s">
        <v>4938</v>
      </c>
      <c r="B4923" s="2">
        <v>46245.62222222222</v>
      </c>
      <c r="C4923" s="2">
        <v>46246.334722222222</v>
      </c>
      <c r="D4923" t="s">
        <v>6022</v>
      </c>
      <c r="E4923" t="s">
        <v>6031</v>
      </c>
      <c r="F4923" t="s">
        <v>6033</v>
      </c>
      <c r="G4923" t="s">
        <v>6082</v>
      </c>
      <c r="H4923" t="s">
        <v>6097</v>
      </c>
      <c r="I4923">
        <v>72</v>
      </c>
      <c r="J4923">
        <v>17.100000000000001</v>
      </c>
      <c r="K4923" t="s">
        <v>6099</v>
      </c>
      <c r="L4923" t="s">
        <v>6100</v>
      </c>
      <c r="M4923" t="s">
        <v>6100</v>
      </c>
      <c r="N4923">
        <v>5</v>
      </c>
      <c r="O4923" t="s">
        <v>6101</v>
      </c>
      <c r="P4923" t="s">
        <v>6114</v>
      </c>
      <c r="Q4923">
        <v>8</v>
      </c>
      <c r="R4923">
        <v>2026</v>
      </c>
      <c r="S4923" t="s">
        <v>6099</v>
      </c>
      <c r="T4923">
        <v>1</v>
      </c>
      <c r="U4923" t="s">
        <v>6021</v>
      </c>
      <c r="V4923">
        <v>1</v>
      </c>
    </row>
    <row r="4924" spans="1:22" x14ac:dyDescent="0.3">
      <c r="A4924" t="s">
        <v>4939</v>
      </c>
      <c r="B4924" s="2">
        <v>46245.652083333334</v>
      </c>
      <c r="C4924" s="2">
        <v>46245.82708333333</v>
      </c>
      <c r="D4924" t="s">
        <v>6028</v>
      </c>
      <c r="E4924" t="s">
        <v>6029</v>
      </c>
      <c r="F4924" t="s">
        <v>6035</v>
      </c>
      <c r="G4924" t="s">
        <v>6036</v>
      </c>
      <c r="H4924" t="s">
        <v>6096</v>
      </c>
      <c r="I4924">
        <v>4</v>
      </c>
      <c r="J4924">
        <v>4.2</v>
      </c>
      <c r="K4924" t="s">
        <v>6099</v>
      </c>
      <c r="L4924" t="s">
        <v>6100</v>
      </c>
      <c r="M4924" t="s">
        <v>6100</v>
      </c>
      <c r="N4924">
        <v>4</v>
      </c>
      <c r="O4924" t="s">
        <v>6101</v>
      </c>
      <c r="P4924" t="s">
        <v>6114</v>
      </c>
      <c r="Q4924">
        <v>8</v>
      </c>
      <c r="R4924">
        <v>2026</v>
      </c>
      <c r="S4924" t="s">
        <v>6100</v>
      </c>
      <c r="T4924">
        <v>0</v>
      </c>
      <c r="U4924" t="s">
        <v>6019</v>
      </c>
      <c r="V4924">
        <v>1</v>
      </c>
    </row>
    <row r="4925" spans="1:22" x14ac:dyDescent="0.3">
      <c r="A4925" t="s">
        <v>4940</v>
      </c>
      <c r="B4925" s="2">
        <v>46245.652777777781</v>
      </c>
      <c r="C4925" s="2">
        <v>46245.944444444445</v>
      </c>
      <c r="D4925" t="s">
        <v>6027</v>
      </c>
      <c r="E4925" t="s">
        <v>6029</v>
      </c>
      <c r="F4925" t="s">
        <v>6033</v>
      </c>
      <c r="G4925" t="s">
        <v>6036</v>
      </c>
      <c r="H4925" t="s">
        <v>6096</v>
      </c>
      <c r="I4925">
        <v>72</v>
      </c>
      <c r="J4925">
        <v>7</v>
      </c>
      <c r="K4925" t="s">
        <v>6099</v>
      </c>
      <c r="L4925" t="s">
        <v>6100</v>
      </c>
      <c r="M4925" t="s">
        <v>6100</v>
      </c>
      <c r="N4925">
        <v>5</v>
      </c>
      <c r="O4925" t="s">
        <v>6101</v>
      </c>
      <c r="P4925" t="s">
        <v>6114</v>
      </c>
      <c r="Q4925">
        <v>8</v>
      </c>
      <c r="R4925">
        <v>2026</v>
      </c>
      <c r="S4925" t="s">
        <v>6099</v>
      </c>
      <c r="T4925">
        <v>1</v>
      </c>
      <c r="U4925" t="s">
        <v>6021</v>
      </c>
      <c r="V4925">
        <v>1</v>
      </c>
    </row>
    <row r="4926" spans="1:22" x14ac:dyDescent="0.3">
      <c r="A4926" t="s">
        <v>4941</v>
      </c>
      <c r="B4926" s="2">
        <v>46245.654861111114</v>
      </c>
      <c r="C4926" s="2">
        <v>46246.063194444447</v>
      </c>
      <c r="D4926" t="s">
        <v>6023</v>
      </c>
      <c r="E4926" t="s">
        <v>6029</v>
      </c>
      <c r="F4926" t="s">
        <v>6033</v>
      </c>
      <c r="G4926" t="s">
        <v>6077</v>
      </c>
      <c r="H4926" t="s">
        <v>6098</v>
      </c>
      <c r="I4926">
        <v>72</v>
      </c>
      <c r="J4926">
        <v>9.8000000000000007</v>
      </c>
      <c r="K4926" t="s">
        <v>6099</v>
      </c>
      <c r="L4926" t="s">
        <v>6100</v>
      </c>
      <c r="M4926" t="s">
        <v>6100</v>
      </c>
      <c r="N4926">
        <v>5</v>
      </c>
      <c r="O4926" t="s">
        <v>6101</v>
      </c>
      <c r="P4926" t="s">
        <v>6114</v>
      </c>
      <c r="Q4926">
        <v>8</v>
      </c>
      <c r="R4926">
        <v>2026</v>
      </c>
      <c r="S4926" t="s">
        <v>6099</v>
      </c>
      <c r="T4926">
        <v>1</v>
      </c>
      <c r="U4926" t="s">
        <v>6017</v>
      </c>
      <c r="V4926">
        <v>1</v>
      </c>
    </row>
    <row r="4927" spans="1:22" x14ac:dyDescent="0.3">
      <c r="A4927" t="s">
        <v>4942</v>
      </c>
      <c r="B4927" s="2">
        <v>46245.657638888886</v>
      </c>
      <c r="C4927" s="2">
        <v>46245.799305555556</v>
      </c>
      <c r="D4927" t="s">
        <v>6024</v>
      </c>
      <c r="E4927" t="s">
        <v>6030</v>
      </c>
      <c r="F4927" t="s">
        <v>6035</v>
      </c>
      <c r="G4927" t="s">
        <v>6054</v>
      </c>
      <c r="H4927" t="s">
        <v>6096</v>
      </c>
      <c r="I4927">
        <v>4</v>
      </c>
      <c r="J4927">
        <v>3.4</v>
      </c>
      <c r="K4927" t="s">
        <v>6100</v>
      </c>
      <c r="L4927" t="s">
        <v>6099</v>
      </c>
      <c r="M4927" t="s">
        <v>6100</v>
      </c>
      <c r="N4927">
        <v>2</v>
      </c>
      <c r="O4927" t="s">
        <v>6101</v>
      </c>
      <c r="P4927" t="s">
        <v>6114</v>
      </c>
      <c r="Q4927">
        <v>8</v>
      </c>
      <c r="R4927">
        <v>2026</v>
      </c>
      <c r="S4927" t="s">
        <v>6099</v>
      </c>
      <c r="T4927">
        <v>1</v>
      </c>
      <c r="U4927" t="s">
        <v>6018</v>
      </c>
      <c r="V4927">
        <v>0</v>
      </c>
    </row>
    <row r="4928" spans="1:22" x14ac:dyDescent="0.3">
      <c r="A4928" t="s">
        <v>4943</v>
      </c>
      <c r="B4928" s="2">
        <v>46245.708333333336</v>
      </c>
      <c r="C4928" s="2">
        <v>46247.808333333334</v>
      </c>
      <c r="D4928" t="s">
        <v>6025</v>
      </c>
      <c r="E4928" t="s">
        <v>6031</v>
      </c>
      <c r="F4928" t="s">
        <v>6034</v>
      </c>
      <c r="G4928" t="s">
        <v>6067</v>
      </c>
      <c r="H4928" t="s">
        <v>6098</v>
      </c>
      <c r="I4928">
        <v>24</v>
      </c>
      <c r="J4928">
        <v>50.4</v>
      </c>
      <c r="K4928" t="s">
        <v>6099</v>
      </c>
      <c r="L4928" t="s">
        <v>6100</v>
      </c>
      <c r="M4928" t="s">
        <v>6100</v>
      </c>
      <c r="O4928" t="s">
        <v>6101</v>
      </c>
      <c r="P4928" t="s">
        <v>6114</v>
      </c>
      <c r="Q4928">
        <v>8</v>
      </c>
      <c r="R4928">
        <v>2026</v>
      </c>
      <c r="S4928" t="s">
        <v>6100</v>
      </c>
      <c r="T4928">
        <v>0</v>
      </c>
      <c r="U4928" t="s">
        <v>6021</v>
      </c>
      <c r="V4928">
        <v>1</v>
      </c>
    </row>
    <row r="4929" spans="1:22" x14ac:dyDescent="0.3">
      <c r="A4929" t="s">
        <v>4944</v>
      </c>
      <c r="B4929" s="2">
        <v>46245.727083333331</v>
      </c>
      <c r="C4929" s="2">
        <v>46246.822916666664</v>
      </c>
      <c r="D4929" t="s">
        <v>6022</v>
      </c>
      <c r="E4929" t="s">
        <v>6031</v>
      </c>
      <c r="F4929" t="s">
        <v>6034</v>
      </c>
      <c r="G4929" t="s">
        <v>6042</v>
      </c>
      <c r="H4929" t="s">
        <v>6098</v>
      </c>
      <c r="I4929">
        <v>24</v>
      </c>
      <c r="J4929">
        <v>26.3</v>
      </c>
      <c r="K4929" t="s">
        <v>6100</v>
      </c>
      <c r="L4929" t="s">
        <v>6100</v>
      </c>
      <c r="M4929" t="s">
        <v>6100</v>
      </c>
      <c r="N4929">
        <v>4</v>
      </c>
      <c r="O4929" t="s">
        <v>6101</v>
      </c>
      <c r="P4929" t="s">
        <v>6114</v>
      </c>
      <c r="Q4929">
        <v>8</v>
      </c>
      <c r="R4929">
        <v>2026</v>
      </c>
      <c r="S4929" t="s">
        <v>6100</v>
      </c>
      <c r="T4929">
        <v>0</v>
      </c>
      <c r="U4929" t="s">
        <v>6020</v>
      </c>
      <c r="V4929">
        <v>0</v>
      </c>
    </row>
    <row r="4930" spans="1:22" x14ac:dyDescent="0.3">
      <c r="A4930" t="s">
        <v>4945</v>
      </c>
      <c r="B4930" s="2">
        <v>46245.748611111114</v>
      </c>
      <c r="C4930" s="2">
        <v>46245.948611111111</v>
      </c>
      <c r="D4930" t="s">
        <v>6023</v>
      </c>
      <c r="E4930" t="s">
        <v>6032</v>
      </c>
      <c r="F4930" t="s">
        <v>6033</v>
      </c>
      <c r="G4930" t="s">
        <v>6057</v>
      </c>
      <c r="H4930" t="s">
        <v>6097</v>
      </c>
      <c r="I4930">
        <v>72</v>
      </c>
      <c r="J4930">
        <v>4.8</v>
      </c>
      <c r="K4930" t="s">
        <v>6099</v>
      </c>
      <c r="L4930" t="s">
        <v>6100</v>
      </c>
      <c r="M4930" t="s">
        <v>6100</v>
      </c>
      <c r="O4930" t="s">
        <v>6101</v>
      </c>
      <c r="P4930" t="s">
        <v>6114</v>
      </c>
      <c r="Q4930">
        <v>8</v>
      </c>
      <c r="R4930">
        <v>2026</v>
      </c>
      <c r="S4930" t="s">
        <v>6099</v>
      </c>
      <c r="T4930">
        <v>1</v>
      </c>
      <c r="U4930" t="s">
        <v>6019</v>
      </c>
      <c r="V4930">
        <v>1</v>
      </c>
    </row>
    <row r="4931" spans="1:22" x14ac:dyDescent="0.3">
      <c r="A4931" t="s">
        <v>4946</v>
      </c>
      <c r="B4931" s="2">
        <v>46245.963194444441</v>
      </c>
      <c r="C4931" s="2">
        <v>46246.396527777775</v>
      </c>
      <c r="D4931" t="s">
        <v>6027</v>
      </c>
      <c r="E4931" t="s">
        <v>6031</v>
      </c>
      <c r="F4931" t="s">
        <v>6034</v>
      </c>
      <c r="G4931" t="s">
        <v>6083</v>
      </c>
      <c r="H4931" t="s">
        <v>6096</v>
      </c>
      <c r="I4931">
        <v>24</v>
      </c>
      <c r="J4931">
        <v>10.4</v>
      </c>
      <c r="K4931" t="s">
        <v>6100</v>
      </c>
      <c r="L4931" t="s">
        <v>6100</v>
      </c>
      <c r="M4931" t="s">
        <v>6100</v>
      </c>
      <c r="O4931" t="s">
        <v>6101</v>
      </c>
      <c r="P4931" t="s">
        <v>6114</v>
      </c>
      <c r="Q4931">
        <v>8</v>
      </c>
      <c r="R4931">
        <v>2026</v>
      </c>
      <c r="S4931" t="s">
        <v>6099</v>
      </c>
      <c r="T4931">
        <v>1</v>
      </c>
      <c r="U4931" t="s">
        <v>6021</v>
      </c>
      <c r="V4931">
        <v>0</v>
      </c>
    </row>
    <row r="4932" spans="1:22" x14ac:dyDescent="0.3">
      <c r="A4932" t="s">
        <v>4947</v>
      </c>
      <c r="B4932" s="2">
        <v>46245.977777777778</v>
      </c>
      <c r="C4932" s="2">
        <v>46246.444444444445</v>
      </c>
      <c r="D4932" t="s">
        <v>6027</v>
      </c>
      <c r="E4932" t="s">
        <v>6030</v>
      </c>
      <c r="F4932" t="s">
        <v>6033</v>
      </c>
      <c r="G4932" t="s">
        <v>6065</v>
      </c>
      <c r="H4932" t="s">
        <v>6097</v>
      </c>
      <c r="I4932">
        <v>72</v>
      </c>
      <c r="J4932">
        <v>11.2</v>
      </c>
      <c r="K4932" t="s">
        <v>6099</v>
      </c>
      <c r="L4932" t="s">
        <v>6100</v>
      </c>
      <c r="M4932" t="s">
        <v>6100</v>
      </c>
      <c r="N4932">
        <v>4</v>
      </c>
      <c r="O4932" t="s">
        <v>6101</v>
      </c>
      <c r="P4932" t="s">
        <v>6114</v>
      </c>
      <c r="Q4932">
        <v>8</v>
      </c>
      <c r="R4932">
        <v>2026</v>
      </c>
      <c r="S4932" t="s">
        <v>6099</v>
      </c>
      <c r="T4932">
        <v>1</v>
      </c>
      <c r="U4932" t="s">
        <v>6017</v>
      </c>
      <c r="V4932">
        <v>1</v>
      </c>
    </row>
    <row r="4933" spans="1:22" x14ac:dyDescent="0.3">
      <c r="A4933" t="s">
        <v>4948</v>
      </c>
      <c r="B4933" s="2">
        <v>46246.091666666667</v>
      </c>
      <c r="C4933" s="2">
        <v>46246.8</v>
      </c>
      <c r="D4933" t="s">
        <v>6022</v>
      </c>
      <c r="E4933" t="s">
        <v>6029</v>
      </c>
      <c r="F4933" t="s">
        <v>6034</v>
      </c>
      <c r="G4933" t="s">
        <v>6059</v>
      </c>
      <c r="H4933" t="s">
        <v>6097</v>
      </c>
      <c r="I4933">
        <v>24</v>
      </c>
      <c r="J4933">
        <v>17</v>
      </c>
      <c r="K4933" t="s">
        <v>6099</v>
      </c>
      <c r="L4933" t="s">
        <v>6100</v>
      </c>
      <c r="M4933" t="s">
        <v>6100</v>
      </c>
      <c r="N4933">
        <v>5</v>
      </c>
      <c r="O4933" t="s">
        <v>6101</v>
      </c>
      <c r="P4933" t="s">
        <v>6114</v>
      </c>
      <c r="Q4933">
        <v>8</v>
      </c>
      <c r="R4933">
        <v>2026</v>
      </c>
      <c r="S4933" t="s">
        <v>6099</v>
      </c>
      <c r="T4933">
        <v>1</v>
      </c>
      <c r="U4933" t="s">
        <v>6017</v>
      </c>
      <c r="V4933">
        <v>1</v>
      </c>
    </row>
    <row r="4934" spans="1:22" x14ac:dyDescent="0.3">
      <c r="A4934" t="s">
        <v>4949</v>
      </c>
      <c r="B4934" s="2">
        <v>46246.392361111109</v>
      </c>
      <c r="C4934" s="2">
        <v>46248.713194444441</v>
      </c>
      <c r="D4934" t="s">
        <v>6022</v>
      </c>
      <c r="E4934" t="s">
        <v>6032</v>
      </c>
      <c r="F4934" t="s">
        <v>6033</v>
      </c>
      <c r="G4934" t="s">
        <v>6050</v>
      </c>
      <c r="H4934" t="s">
        <v>6098</v>
      </c>
      <c r="I4934">
        <v>72</v>
      </c>
      <c r="J4934">
        <v>55.7</v>
      </c>
      <c r="K4934" t="s">
        <v>6099</v>
      </c>
      <c r="L4934" t="s">
        <v>6100</v>
      </c>
      <c r="M4934" t="s">
        <v>6100</v>
      </c>
      <c r="O4934" t="s">
        <v>6101</v>
      </c>
      <c r="P4934" t="s">
        <v>6114</v>
      </c>
      <c r="Q4934">
        <v>8</v>
      </c>
      <c r="R4934">
        <v>2026</v>
      </c>
      <c r="S4934" t="s">
        <v>6099</v>
      </c>
      <c r="T4934">
        <v>1</v>
      </c>
      <c r="U4934" t="s">
        <v>6018</v>
      </c>
      <c r="V4934">
        <v>1</v>
      </c>
    </row>
    <row r="4935" spans="1:22" x14ac:dyDescent="0.3">
      <c r="A4935" t="s">
        <v>4950</v>
      </c>
      <c r="B4935" s="2">
        <v>46246.446527777778</v>
      </c>
      <c r="C4935" s="2">
        <v>46246.767361111109</v>
      </c>
      <c r="D4935" t="s">
        <v>6027</v>
      </c>
      <c r="E4935" t="s">
        <v>6029</v>
      </c>
      <c r="F4935" t="s">
        <v>6033</v>
      </c>
      <c r="G4935" t="s">
        <v>6042</v>
      </c>
      <c r="H4935" t="s">
        <v>6098</v>
      </c>
      <c r="I4935">
        <v>72</v>
      </c>
      <c r="J4935">
        <v>7.7</v>
      </c>
      <c r="K4935" t="s">
        <v>6099</v>
      </c>
      <c r="L4935" t="s">
        <v>6100</v>
      </c>
      <c r="M4935" t="s">
        <v>6100</v>
      </c>
      <c r="O4935" t="s">
        <v>6101</v>
      </c>
      <c r="P4935" t="s">
        <v>6114</v>
      </c>
      <c r="Q4935">
        <v>8</v>
      </c>
      <c r="R4935">
        <v>2026</v>
      </c>
      <c r="S4935" t="s">
        <v>6099</v>
      </c>
      <c r="T4935">
        <v>1</v>
      </c>
      <c r="U4935" t="s">
        <v>6020</v>
      </c>
      <c r="V4935">
        <v>1</v>
      </c>
    </row>
    <row r="4936" spans="1:22" x14ac:dyDescent="0.3">
      <c r="A4936" t="s">
        <v>4951</v>
      </c>
      <c r="B4936" s="2">
        <v>46246.481944444444</v>
      </c>
      <c r="C4936" s="2">
        <v>46246.62777777778</v>
      </c>
      <c r="D4936" t="s">
        <v>6022</v>
      </c>
      <c r="E4936" t="s">
        <v>6029</v>
      </c>
      <c r="F4936" t="s">
        <v>6035</v>
      </c>
      <c r="G4936" t="s">
        <v>6070</v>
      </c>
      <c r="H4936" t="s">
        <v>6097</v>
      </c>
      <c r="I4936">
        <v>4</v>
      </c>
      <c r="J4936">
        <v>3.5</v>
      </c>
      <c r="K4936" t="s">
        <v>6099</v>
      </c>
      <c r="L4936" t="s">
        <v>6100</v>
      </c>
      <c r="M4936" t="s">
        <v>6100</v>
      </c>
      <c r="N4936">
        <v>5</v>
      </c>
      <c r="O4936" t="s">
        <v>6101</v>
      </c>
      <c r="P4936" t="s">
        <v>6114</v>
      </c>
      <c r="Q4936">
        <v>8</v>
      </c>
      <c r="R4936">
        <v>2026</v>
      </c>
      <c r="S4936" t="s">
        <v>6099</v>
      </c>
      <c r="T4936">
        <v>1</v>
      </c>
      <c r="U4936" t="s">
        <v>6020</v>
      </c>
      <c r="V4936">
        <v>1</v>
      </c>
    </row>
    <row r="4937" spans="1:22" x14ac:dyDescent="0.3">
      <c r="A4937" t="s">
        <v>4952</v>
      </c>
      <c r="B4937" s="2">
        <v>46246.510416666664</v>
      </c>
      <c r="C4937" s="2">
        <v>46247.09375</v>
      </c>
      <c r="D4937" t="s">
        <v>6024</v>
      </c>
      <c r="E4937" t="s">
        <v>6029</v>
      </c>
      <c r="F4937" t="s">
        <v>6035</v>
      </c>
      <c r="G4937" t="s">
        <v>6052</v>
      </c>
      <c r="H4937" t="s">
        <v>6098</v>
      </c>
      <c r="I4937">
        <v>4</v>
      </c>
      <c r="J4937">
        <v>14</v>
      </c>
      <c r="K4937" t="s">
        <v>6099</v>
      </c>
      <c r="L4937" t="s">
        <v>6100</v>
      </c>
      <c r="M4937" t="s">
        <v>6099</v>
      </c>
      <c r="N4937">
        <v>3</v>
      </c>
      <c r="O4937" t="s">
        <v>6101</v>
      </c>
      <c r="P4937" t="s">
        <v>6114</v>
      </c>
      <c r="Q4937">
        <v>8</v>
      </c>
      <c r="R4937">
        <v>2026</v>
      </c>
      <c r="S4937" t="s">
        <v>6100</v>
      </c>
      <c r="T4937">
        <v>0</v>
      </c>
      <c r="U4937" t="s">
        <v>6019</v>
      </c>
      <c r="V4937">
        <v>1</v>
      </c>
    </row>
    <row r="4938" spans="1:22" x14ac:dyDescent="0.3">
      <c r="A4938" t="s">
        <v>4953</v>
      </c>
      <c r="B4938" s="2">
        <v>46246.53125</v>
      </c>
      <c r="C4938" s="2">
        <v>46247.20208333333</v>
      </c>
      <c r="D4938" t="s">
        <v>6023</v>
      </c>
      <c r="E4938" t="s">
        <v>6032</v>
      </c>
      <c r="F4938" t="s">
        <v>6033</v>
      </c>
      <c r="G4938" t="s">
        <v>6036</v>
      </c>
      <c r="H4938" t="s">
        <v>6096</v>
      </c>
      <c r="I4938">
        <v>72</v>
      </c>
      <c r="J4938">
        <v>16.100000000000001</v>
      </c>
      <c r="K4938" t="s">
        <v>6100</v>
      </c>
      <c r="L4938" t="s">
        <v>6099</v>
      </c>
      <c r="M4938" t="s">
        <v>6100</v>
      </c>
      <c r="N4938">
        <v>4</v>
      </c>
      <c r="O4938" t="s">
        <v>6101</v>
      </c>
      <c r="P4938" t="s">
        <v>6114</v>
      </c>
      <c r="Q4938">
        <v>8</v>
      </c>
      <c r="R4938">
        <v>2026</v>
      </c>
      <c r="S4938" t="s">
        <v>6099</v>
      </c>
      <c r="T4938">
        <v>1</v>
      </c>
      <c r="U4938" t="s">
        <v>6017</v>
      </c>
      <c r="V4938">
        <v>0</v>
      </c>
    </row>
    <row r="4939" spans="1:22" x14ac:dyDescent="0.3">
      <c r="A4939" t="s">
        <v>4954</v>
      </c>
      <c r="B4939" s="2">
        <v>46246.566666666666</v>
      </c>
      <c r="C4939" s="2">
        <v>46246.770833333336</v>
      </c>
      <c r="D4939" t="s">
        <v>6028</v>
      </c>
      <c r="E4939" t="s">
        <v>6029</v>
      </c>
      <c r="F4939" t="s">
        <v>6034</v>
      </c>
      <c r="G4939" t="s">
        <v>6081</v>
      </c>
      <c r="H4939" t="s">
        <v>6098</v>
      </c>
      <c r="I4939">
        <v>24</v>
      </c>
      <c r="J4939">
        <v>4.9000000000000004</v>
      </c>
      <c r="K4939" t="s">
        <v>6100</v>
      </c>
      <c r="L4939" t="s">
        <v>6099</v>
      </c>
      <c r="M4939" t="s">
        <v>6100</v>
      </c>
      <c r="N4939">
        <v>4</v>
      </c>
      <c r="O4939" t="s">
        <v>6101</v>
      </c>
      <c r="P4939" t="s">
        <v>6114</v>
      </c>
      <c r="Q4939">
        <v>8</v>
      </c>
      <c r="R4939">
        <v>2026</v>
      </c>
      <c r="S4939" t="s">
        <v>6099</v>
      </c>
      <c r="T4939">
        <v>1</v>
      </c>
      <c r="U4939" t="s">
        <v>6020</v>
      </c>
      <c r="V4939">
        <v>0</v>
      </c>
    </row>
    <row r="4940" spans="1:22" x14ac:dyDescent="0.3">
      <c r="A4940" t="s">
        <v>4955</v>
      </c>
      <c r="B4940" s="2">
        <v>46246.568749999999</v>
      </c>
      <c r="C4940" s="2">
        <v>46246.714583333334</v>
      </c>
      <c r="D4940" t="s">
        <v>6023</v>
      </c>
      <c r="E4940" t="s">
        <v>6029</v>
      </c>
      <c r="F4940" t="s">
        <v>6033</v>
      </c>
      <c r="G4940" t="s">
        <v>6058</v>
      </c>
      <c r="H4940" t="s">
        <v>6098</v>
      </c>
      <c r="I4940">
        <v>72</v>
      </c>
      <c r="J4940">
        <v>3.5</v>
      </c>
      <c r="K4940" t="s">
        <v>6100</v>
      </c>
      <c r="L4940" t="s">
        <v>6100</v>
      </c>
      <c r="M4940" t="s">
        <v>6100</v>
      </c>
      <c r="N4940">
        <v>4</v>
      </c>
      <c r="O4940" t="s">
        <v>6101</v>
      </c>
      <c r="P4940" t="s">
        <v>6114</v>
      </c>
      <c r="Q4940">
        <v>8</v>
      </c>
      <c r="R4940">
        <v>2026</v>
      </c>
      <c r="S4940" t="s">
        <v>6099</v>
      </c>
      <c r="T4940">
        <v>1</v>
      </c>
      <c r="U4940" t="s">
        <v>6019</v>
      </c>
      <c r="V4940">
        <v>0</v>
      </c>
    </row>
    <row r="4941" spans="1:22" x14ac:dyDescent="0.3">
      <c r="A4941" t="s">
        <v>4956</v>
      </c>
      <c r="B4941" s="2">
        <v>46246.573611111111</v>
      </c>
      <c r="C4941" s="2">
        <v>46246.761111111111</v>
      </c>
      <c r="D4941" t="s">
        <v>6027</v>
      </c>
      <c r="E4941" t="s">
        <v>6030</v>
      </c>
      <c r="F4941" t="s">
        <v>6033</v>
      </c>
      <c r="G4941" t="s">
        <v>6076</v>
      </c>
      <c r="H4941" t="s">
        <v>6097</v>
      </c>
      <c r="I4941">
        <v>72</v>
      </c>
      <c r="J4941">
        <v>4.5</v>
      </c>
      <c r="K4941" t="s">
        <v>6099</v>
      </c>
      <c r="L4941" t="s">
        <v>6100</v>
      </c>
      <c r="M4941" t="s">
        <v>6100</v>
      </c>
      <c r="N4941">
        <v>5</v>
      </c>
      <c r="O4941" t="s">
        <v>6101</v>
      </c>
      <c r="P4941" t="s">
        <v>6114</v>
      </c>
      <c r="Q4941">
        <v>8</v>
      </c>
      <c r="R4941">
        <v>2026</v>
      </c>
      <c r="S4941" t="s">
        <v>6099</v>
      </c>
      <c r="T4941">
        <v>1</v>
      </c>
      <c r="U4941" t="s">
        <v>6019</v>
      </c>
      <c r="V4941">
        <v>1</v>
      </c>
    </row>
    <row r="4942" spans="1:22" x14ac:dyDescent="0.3">
      <c r="A4942" t="s">
        <v>4957</v>
      </c>
      <c r="B4942" s="2">
        <v>46246.585416666669</v>
      </c>
      <c r="C4942" s="2">
        <v>46247.243750000001</v>
      </c>
      <c r="D4942" t="s">
        <v>6024</v>
      </c>
      <c r="E4942" t="s">
        <v>6030</v>
      </c>
      <c r="F4942" t="s">
        <v>6034</v>
      </c>
      <c r="G4942" t="s">
        <v>6089</v>
      </c>
      <c r="H4942" t="s">
        <v>6098</v>
      </c>
      <c r="I4942">
        <v>24</v>
      </c>
      <c r="J4942">
        <v>15.8</v>
      </c>
      <c r="K4942" t="s">
        <v>6099</v>
      </c>
      <c r="L4942" t="s">
        <v>6100</v>
      </c>
      <c r="M4942" t="s">
        <v>6100</v>
      </c>
      <c r="N4942">
        <v>5</v>
      </c>
      <c r="O4942" t="s">
        <v>6101</v>
      </c>
      <c r="P4942" t="s">
        <v>6114</v>
      </c>
      <c r="Q4942">
        <v>8</v>
      </c>
      <c r="R4942">
        <v>2026</v>
      </c>
      <c r="S4942" t="s">
        <v>6099</v>
      </c>
      <c r="T4942">
        <v>1</v>
      </c>
      <c r="U4942" t="s">
        <v>6019</v>
      </c>
      <c r="V4942">
        <v>1</v>
      </c>
    </row>
    <row r="4943" spans="1:22" x14ac:dyDescent="0.3">
      <c r="A4943" t="s">
        <v>4958</v>
      </c>
      <c r="B4943" s="2">
        <v>46246.628472222219</v>
      </c>
      <c r="C4943" s="2">
        <v>46247.095138888886</v>
      </c>
      <c r="D4943" t="s">
        <v>6022</v>
      </c>
      <c r="E4943" t="s">
        <v>6030</v>
      </c>
      <c r="F4943" t="s">
        <v>6033</v>
      </c>
      <c r="G4943" t="s">
        <v>6062</v>
      </c>
      <c r="H4943" t="s">
        <v>6096</v>
      </c>
      <c r="I4943">
        <v>72</v>
      </c>
      <c r="J4943">
        <v>11.2</v>
      </c>
      <c r="K4943" t="s">
        <v>6099</v>
      </c>
      <c r="L4943" t="s">
        <v>6100</v>
      </c>
      <c r="M4943" t="s">
        <v>6100</v>
      </c>
      <c r="N4943">
        <v>5</v>
      </c>
      <c r="O4943" t="s">
        <v>6101</v>
      </c>
      <c r="P4943" t="s">
        <v>6114</v>
      </c>
      <c r="Q4943">
        <v>8</v>
      </c>
      <c r="R4943">
        <v>2026</v>
      </c>
      <c r="S4943" t="s">
        <v>6099</v>
      </c>
      <c r="T4943">
        <v>1</v>
      </c>
      <c r="U4943" t="s">
        <v>6021</v>
      </c>
      <c r="V4943">
        <v>1</v>
      </c>
    </row>
    <row r="4944" spans="1:22" x14ac:dyDescent="0.3">
      <c r="A4944" t="s">
        <v>4959</v>
      </c>
      <c r="B4944" s="2">
        <v>46246.64166666667</v>
      </c>
      <c r="C4944" s="2">
        <v>46246.991666666669</v>
      </c>
      <c r="D4944" t="s">
        <v>6025</v>
      </c>
      <c r="E4944" t="s">
        <v>6029</v>
      </c>
      <c r="F4944" t="s">
        <v>6034</v>
      </c>
      <c r="G4944" t="s">
        <v>6040</v>
      </c>
      <c r="H4944" t="s">
        <v>6097</v>
      </c>
      <c r="I4944">
        <v>24</v>
      </c>
      <c r="J4944">
        <v>8.4</v>
      </c>
      <c r="K4944" t="s">
        <v>6099</v>
      </c>
      <c r="L4944" t="s">
        <v>6100</v>
      </c>
      <c r="M4944" t="s">
        <v>6100</v>
      </c>
      <c r="N4944">
        <v>4</v>
      </c>
      <c r="O4944" t="s">
        <v>6101</v>
      </c>
      <c r="P4944" t="s">
        <v>6114</v>
      </c>
      <c r="Q4944">
        <v>8</v>
      </c>
      <c r="R4944">
        <v>2026</v>
      </c>
      <c r="S4944" t="s">
        <v>6099</v>
      </c>
      <c r="T4944">
        <v>1</v>
      </c>
      <c r="U4944" t="s">
        <v>6019</v>
      </c>
      <c r="V4944">
        <v>1</v>
      </c>
    </row>
    <row r="4945" spans="1:22" x14ac:dyDescent="0.3">
      <c r="A4945" t="s">
        <v>4960</v>
      </c>
      <c r="B4945" s="2">
        <v>46246.65625</v>
      </c>
      <c r="C4945" s="2">
        <v>46246.972916666666</v>
      </c>
      <c r="D4945" t="s">
        <v>6024</v>
      </c>
      <c r="E4945" t="s">
        <v>6029</v>
      </c>
      <c r="F4945" t="s">
        <v>6034</v>
      </c>
      <c r="G4945" t="s">
        <v>6039</v>
      </c>
      <c r="H4945" t="s">
        <v>6097</v>
      </c>
      <c r="I4945">
        <v>24</v>
      </c>
      <c r="J4945">
        <v>7.6</v>
      </c>
      <c r="K4945" t="s">
        <v>6099</v>
      </c>
      <c r="L4945" t="s">
        <v>6100</v>
      </c>
      <c r="M4945" t="s">
        <v>6100</v>
      </c>
      <c r="O4945" t="s">
        <v>6101</v>
      </c>
      <c r="P4945" t="s">
        <v>6114</v>
      </c>
      <c r="Q4945">
        <v>8</v>
      </c>
      <c r="R4945">
        <v>2026</v>
      </c>
      <c r="S4945" t="s">
        <v>6099</v>
      </c>
      <c r="T4945">
        <v>1</v>
      </c>
      <c r="U4945" t="s">
        <v>6021</v>
      </c>
      <c r="V4945">
        <v>1</v>
      </c>
    </row>
    <row r="4946" spans="1:22" x14ac:dyDescent="0.3">
      <c r="A4946" t="s">
        <v>4961</v>
      </c>
      <c r="B4946" s="2">
        <v>46246.691666666666</v>
      </c>
      <c r="C4946" s="2">
        <v>46247.14166666667</v>
      </c>
      <c r="D4946" t="s">
        <v>6024</v>
      </c>
      <c r="E4946" t="s">
        <v>6029</v>
      </c>
      <c r="F4946" t="s">
        <v>6034</v>
      </c>
      <c r="G4946" t="s">
        <v>6074</v>
      </c>
      <c r="H4946" t="s">
        <v>6098</v>
      </c>
      <c r="I4946">
        <v>24</v>
      </c>
      <c r="J4946">
        <v>10.8</v>
      </c>
      <c r="K4946" t="s">
        <v>6100</v>
      </c>
      <c r="L4946" t="s">
        <v>6100</v>
      </c>
      <c r="M4946" t="s">
        <v>6100</v>
      </c>
      <c r="N4946">
        <v>2</v>
      </c>
      <c r="O4946" t="s">
        <v>6101</v>
      </c>
      <c r="P4946" t="s">
        <v>6114</v>
      </c>
      <c r="Q4946">
        <v>8</v>
      </c>
      <c r="R4946">
        <v>2026</v>
      </c>
      <c r="S4946" t="s">
        <v>6099</v>
      </c>
      <c r="T4946">
        <v>1</v>
      </c>
      <c r="U4946" t="s">
        <v>6017</v>
      </c>
      <c r="V4946">
        <v>0</v>
      </c>
    </row>
    <row r="4947" spans="1:22" x14ac:dyDescent="0.3">
      <c r="A4947" t="s">
        <v>4962</v>
      </c>
      <c r="B4947" s="2">
        <v>46246.711805555555</v>
      </c>
      <c r="C4947" s="2">
        <v>46247.286805555559</v>
      </c>
      <c r="D4947" t="s">
        <v>6027</v>
      </c>
      <c r="E4947" t="s">
        <v>6032</v>
      </c>
      <c r="F4947" t="s">
        <v>6034</v>
      </c>
      <c r="G4947" t="s">
        <v>6087</v>
      </c>
      <c r="H4947" t="s">
        <v>6098</v>
      </c>
      <c r="I4947">
        <v>24</v>
      </c>
      <c r="J4947">
        <v>13.8</v>
      </c>
      <c r="K4947" t="s">
        <v>6099</v>
      </c>
      <c r="L4947" t="s">
        <v>6100</v>
      </c>
      <c r="M4947" t="s">
        <v>6100</v>
      </c>
      <c r="N4947">
        <v>5</v>
      </c>
      <c r="O4947" t="s">
        <v>6101</v>
      </c>
      <c r="P4947" t="s">
        <v>6114</v>
      </c>
      <c r="Q4947">
        <v>8</v>
      </c>
      <c r="R4947">
        <v>2026</v>
      </c>
      <c r="S4947" t="s">
        <v>6099</v>
      </c>
      <c r="T4947">
        <v>1</v>
      </c>
      <c r="U4947" t="s">
        <v>6017</v>
      </c>
      <c r="V4947">
        <v>1</v>
      </c>
    </row>
    <row r="4948" spans="1:22" x14ac:dyDescent="0.3">
      <c r="A4948" t="s">
        <v>4963</v>
      </c>
      <c r="B4948" s="2">
        <v>46246.754166666666</v>
      </c>
      <c r="C4948" s="2">
        <v>46247.433333333334</v>
      </c>
      <c r="D4948" t="s">
        <v>6028</v>
      </c>
      <c r="E4948" t="s">
        <v>6029</v>
      </c>
      <c r="F4948" t="s">
        <v>6035</v>
      </c>
      <c r="G4948" t="s">
        <v>6046</v>
      </c>
      <c r="H4948" t="s">
        <v>6098</v>
      </c>
      <c r="I4948">
        <v>4</v>
      </c>
      <c r="J4948">
        <v>16.3</v>
      </c>
      <c r="K4948" t="s">
        <v>6100</v>
      </c>
      <c r="L4948" t="s">
        <v>6099</v>
      </c>
      <c r="M4948" t="s">
        <v>6099</v>
      </c>
      <c r="N4948">
        <v>2</v>
      </c>
      <c r="O4948" t="s">
        <v>6101</v>
      </c>
      <c r="P4948" t="s">
        <v>6114</v>
      </c>
      <c r="Q4948">
        <v>8</v>
      </c>
      <c r="R4948">
        <v>2026</v>
      </c>
      <c r="S4948" t="s">
        <v>6100</v>
      </c>
      <c r="T4948">
        <v>0</v>
      </c>
      <c r="U4948" t="s">
        <v>6021</v>
      </c>
      <c r="V4948">
        <v>0</v>
      </c>
    </row>
    <row r="4949" spans="1:22" x14ac:dyDescent="0.3">
      <c r="A4949" t="s">
        <v>4964</v>
      </c>
      <c r="B4949" s="2">
        <v>46246.817361111112</v>
      </c>
      <c r="C4949" s="2">
        <v>46247.375694444447</v>
      </c>
      <c r="D4949" t="s">
        <v>6024</v>
      </c>
      <c r="E4949" t="s">
        <v>6032</v>
      </c>
      <c r="F4949" t="s">
        <v>6035</v>
      </c>
      <c r="G4949" t="s">
        <v>6067</v>
      </c>
      <c r="H4949" t="s">
        <v>6098</v>
      </c>
      <c r="I4949">
        <v>4</v>
      </c>
      <c r="J4949">
        <v>13.4</v>
      </c>
      <c r="K4949" t="s">
        <v>6099</v>
      </c>
      <c r="L4949" t="s">
        <v>6100</v>
      </c>
      <c r="M4949" t="s">
        <v>6100</v>
      </c>
      <c r="N4949">
        <v>4</v>
      </c>
      <c r="O4949" t="s">
        <v>6101</v>
      </c>
      <c r="P4949" t="s">
        <v>6114</v>
      </c>
      <c r="Q4949">
        <v>8</v>
      </c>
      <c r="R4949">
        <v>2026</v>
      </c>
      <c r="S4949" t="s">
        <v>6100</v>
      </c>
      <c r="T4949">
        <v>0</v>
      </c>
      <c r="U4949" t="s">
        <v>6018</v>
      </c>
      <c r="V4949">
        <v>1</v>
      </c>
    </row>
    <row r="4950" spans="1:22" x14ac:dyDescent="0.3">
      <c r="A4950" t="s">
        <v>4965</v>
      </c>
      <c r="B4950" s="2">
        <v>46246.871527777781</v>
      </c>
      <c r="C4950" s="2">
        <v>46249.154861111114</v>
      </c>
      <c r="D4950" t="s">
        <v>6026</v>
      </c>
      <c r="E4950" t="s">
        <v>6031</v>
      </c>
      <c r="F4950" t="s">
        <v>6034</v>
      </c>
      <c r="G4950" t="s">
        <v>6037</v>
      </c>
      <c r="H4950" t="s">
        <v>6096</v>
      </c>
      <c r="I4950">
        <v>24</v>
      </c>
      <c r="J4950">
        <v>54.8</v>
      </c>
      <c r="K4950" t="s">
        <v>6099</v>
      </c>
      <c r="L4950" t="s">
        <v>6100</v>
      </c>
      <c r="M4950" t="s">
        <v>6100</v>
      </c>
      <c r="O4950" t="s">
        <v>6101</v>
      </c>
      <c r="P4950" t="s">
        <v>6114</v>
      </c>
      <c r="Q4950">
        <v>8</v>
      </c>
      <c r="R4950">
        <v>2026</v>
      </c>
      <c r="S4950" t="s">
        <v>6100</v>
      </c>
      <c r="T4950">
        <v>0</v>
      </c>
      <c r="U4950" t="s">
        <v>6020</v>
      </c>
      <c r="V4950">
        <v>1</v>
      </c>
    </row>
    <row r="4951" spans="1:22" x14ac:dyDescent="0.3">
      <c r="A4951" t="s">
        <v>4966</v>
      </c>
      <c r="B4951" s="2">
        <v>46247.163888888892</v>
      </c>
      <c r="C4951" s="2">
        <v>46247.305555555555</v>
      </c>
      <c r="D4951" t="s">
        <v>6023</v>
      </c>
      <c r="E4951" t="s">
        <v>6029</v>
      </c>
      <c r="F4951" t="s">
        <v>6034</v>
      </c>
      <c r="G4951" t="s">
        <v>6073</v>
      </c>
      <c r="H4951" t="s">
        <v>6096</v>
      </c>
      <c r="I4951">
        <v>24</v>
      </c>
      <c r="J4951">
        <v>3.4</v>
      </c>
      <c r="K4951" t="s">
        <v>6099</v>
      </c>
      <c r="L4951" t="s">
        <v>6100</v>
      </c>
      <c r="M4951" t="s">
        <v>6100</v>
      </c>
      <c r="N4951">
        <v>4</v>
      </c>
      <c r="O4951" t="s">
        <v>6101</v>
      </c>
      <c r="P4951" t="s">
        <v>6114</v>
      </c>
      <c r="Q4951">
        <v>8</v>
      </c>
      <c r="R4951">
        <v>2026</v>
      </c>
      <c r="S4951" t="s">
        <v>6099</v>
      </c>
      <c r="T4951">
        <v>1</v>
      </c>
      <c r="U4951" t="s">
        <v>6020</v>
      </c>
      <c r="V4951">
        <v>1</v>
      </c>
    </row>
    <row r="4952" spans="1:22" x14ac:dyDescent="0.3">
      <c r="A4952" t="s">
        <v>4967</v>
      </c>
      <c r="B4952" s="2">
        <v>46247.234722222223</v>
      </c>
      <c r="C4952" s="2">
        <v>46247.393055555556</v>
      </c>
      <c r="D4952" t="s">
        <v>6022</v>
      </c>
      <c r="E4952" t="s">
        <v>6029</v>
      </c>
      <c r="F4952" t="s">
        <v>6034</v>
      </c>
      <c r="G4952" t="s">
        <v>6077</v>
      </c>
      <c r="H4952" t="s">
        <v>6098</v>
      </c>
      <c r="I4952">
        <v>24</v>
      </c>
      <c r="J4952">
        <v>3.8</v>
      </c>
      <c r="K4952" t="s">
        <v>6099</v>
      </c>
      <c r="L4952" t="s">
        <v>6100</v>
      </c>
      <c r="M4952" t="s">
        <v>6100</v>
      </c>
      <c r="N4952">
        <v>4</v>
      </c>
      <c r="O4952" t="s">
        <v>6101</v>
      </c>
      <c r="P4952" t="s">
        <v>6114</v>
      </c>
      <c r="Q4952">
        <v>8</v>
      </c>
      <c r="R4952">
        <v>2026</v>
      </c>
      <c r="S4952" t="s">
        <v>6099</v>
      </c>
      <c r="T4952">
        <v>1</v>
      </c>
      <c r="U4952" t="s">
        <v>6020</v>
      </c>
      <c r="V4952">
        <v>1</v>
      </c>
    </row>
    <row r="4953" spans="1:22" x14ac:dyDescent="0.3">
      <c r="A4953" t="s">
        <v>4968</v>
      </c>
      <c r="B4953" s="2">
        <v>46247.336111111108</v>
      </c>
      <c r="C4953" s="2">
        <v>46248.290277777778</v>
      </c>
      <c r="D4953" t="s">
        <v>6025</v>
      </c>
      <c r="E4953" t="s">
        <v>6029</v>
      </c>
      <c r="F4953" t="s">
        <v>6034</v>
      </c>
      <c r="G4953" t="s">
        <v>6062</v>
      </c>
      <c r="H4953" t="s">
        <v>6096</v>
      </c>
      <c r="I4953">
        <v>24</v>
      </c>
      <c r="J4953">
        <v>22.9</v>
      </c>
      <c r="K4953" t="s">
        <v>6100</v>
      </c>
      <c r="L4953" t="s">
        <v>6100</v>
      </c>
      <c r="M4953" t="s">
        <v>6100</v>
      </c>
      <c r="N4953">
        <v>5</v>
      </c>
      <c r="O4953" t="s">
        <v>6101</v>
      </c>
      <c r="P4953" t="s">
        <v>6114</v>
      </c>
      <c r="Q4953">
        <v>8</v>
      </c>
      <c r="R4953">
        <v>2026</v>
      </c>
      <c r="S4953" t="s">
        <v>6099</v>
      </c>
      <c r="T4953">
        <v>1</v>
      </c>
      <c r="U4953" t="s">
        <v>6021</v>
      </c>
      <c r="V4953">
        <v>0</v>
      </c>
    </row>
    <row r="4954" spans="1:22" x14ac:dyDescent="0.3">
      <c r="A4954" t="s">
        <v>4969</v>
      </c>
      <c r="B4954" s="2">
        <v>46247.35833333333</v>
      </c>
      <c r="C4954" s="2">
        <v>46247.445833333331</v>
      </c>
      <c r="D4954" t="s">
        <v>6028</v>
      </c>
      <c r="E4954" t="s">
        <v>6030</v>
      </c>
      <c r="F4954" t="s">
        <v>6034</v>
      </c>
      <c r="G4954" t="s">
        <v>6082</v>
      </c>
      <c r="H4954" t="s">
        <v>6097</v>
      </c>
      <c r="I4954">
        <v>24</v>
      </c>
      <c r="J4954">
        <v>2.1</v>
      </c>
      <c r="K4954" t="s">
        <v>6099</v>
      </c>
      <c r="L4954" t="s">
        <v>6100</v>
      </c>
      <c r="M4954" t="s">
        <v>6100</v>
      </c>
      <c r="N4954">
        <v>5</v>
      </c>
      <c r="O4954" t="s">
        <v>6101</v>
      </c>
      <c r="P4954" t="s">
        <v>6114</v>
      </c>
      <c r="Q4954">
        <v>8</v>
      </c>
      <c r="R4954">
        <v>2026</v>
      </c>
      <c r="S4954" t="s">
        <v>6099</v>
      </c>
      <c r="T4954">
        <v>1</v>
      </c>
      <c r="U4954" t="s">
        <v>6017</v>
      </c>
      <c r="V4954">
        <v>1</v>
      </c>
    </row>
    <row r="4955" spans="1:22" x14ac:dyDescent="0.3">
      <c r="A4955" t="s">
        <v>4970</v>
      </c>
      <c r="B4955" s="2">
        <v>46247.359027777777</v>
      </c>
      <c r="C4955" s="2">
        <v>46247.834027777775</v>
      </c>
      <c r="D4955" t="s">
        <v>6022</v>
      </c>
      <c r="E4955" t="s">
        <v>6029</v>
      </c>
      <c r="F4955" t="s">
        <v>6034</v>
      </c>
      <c r="G4955" t="s">
        <v>6091</v>
      </c>
      <c r="H4955" t="s">
        <v>6097</v>
      </c>
      <c r="I4955">
        <v>24</v>
      </c>
      <c r="J4955">
        <v>11.4</v>
      </c>
      <c r="K4955" t="s">
        <v>6099</v>
      </c>
      <c r="L4955" t="s">
        <v>6100</v>
      </c>
      <c r="M4955" t="s">
        <v>6100</v>
      </c>
      <c r="N4955">
        <v>5</v>
      </c>
      <c r="O4955" t="s">
        <v>6101</v>
      </c>
      <c r="P4955" t="s">
        <v>6114</v>
      </c>
      <c r="Q4955">
        <v>8</v>
      </c>
      <c r="R4955">
        <v>2026</v>
      </c>
      <c r="S4955" t="s">
        <v>6099</v>
      </c>
      <c r="T4955">
        <v>1</v>
      </c>
      <c r="U4955" t="s">
        <v>6017</v>
      </c>
      <c r="V4955">
        <v>1</v>
      </c>
    </row>
    <row r="4956" spans="1:22" x14ac:dyDescent="0.3">
      <c r="A4956" t="s">
        <v>4971</v>
      </c>
      <c r="B4956" s="2">
        <v>46247.429861111108</v>
      </c>
      <c r="C4956" s="2">
        <v>46247.563194444447</v>
      </c>
      <c r="D4956" t="s">
        <v>6025</v>
      </c>
      <c r="E4956" t="s">
        <v>6030</v>
      </c>
      <c r="F4956" t="s">
        <v>6033</v>
      </c>
      <c r="G4956" t="s">
        <v>6043</v>
      </c>
      <c r="H4956" t="s">
        <v>6097</v>
      </c>
      <c r="I4956">
        <v>72</v>
      </c>
      <c r="J4956">
        <v>3.2</v>
      </c>
      <c r="K4956" t="s">
        <v>6099</v>
      </c>
      <c r="L4956" t="s">
        <v>6100</v>
      </c>
      <c r="M4956" t="s">
        <v>6100</v>
      </c>
      <c r="N4956">
        <v>4</v>
      </c>
      <c r="O4956" t="s">
        <v>6101</v>
      </c>
      <c r="P4956" t="s">
        <v>6114</v>
      </c>
      <c r="Q4956">
        <v>8</v>
      </c>
      <c r="R4956">
        <v>2026</v>
      </c>
      <c r="S4956" t="s">
        <v>6099</v>
      </c>
      <c r="T4956">
        <v>1</v>
      </c>
      <c r="U4956" t="s">
        <v>6018</v>
      </c>
      <c r="V4956">
        <v>1</v>
      </c>
    </row>
    <row r="4957" spans="1:22" x14ac:dyDescent="0.3">
      <c r="A4957" t="s">
        <v>4972</v>
      </c>
      <c r="B4957" s="2">
        <v>46247.442361111112</v>
      </c>
      <c r="C4957" s="2">
        <v>46250.900694444441</v>
      </c>
      <c r="D4957" t="s">
        <v>6026</v>
      </c>
      <c r="E4957" t="s">
        <v>6031</v>
      </c>
      <c r="F4957" t="s">
        <v>6035</v>
      </c>
      <c r="G4957" t="s">
        <v>6061</v>
      </c>
      <c r="H4957" t="s">
        <v>6096</v>
      </c>
      <c r="I4957">
        <v>4</v>
      </c>
      <c r="J4957">
        <v>83</v>
      </c>
      <c r="K4957" t="s">
        <v>6100</v>
      </c>
      <c r="L4957" t="s">
        <v>6100</v>
      </c>
      <c r="M4957" t="s">
        <v>6100</v>
      </c>
      <c r="O4957" t="s">
        <v>6101</v>
      </c>
      <c r="P4957" t="s">
        <v>6114</v>
      </c>
      <c r="Q4957">
        <v>8</v>
      </c>
      <c r="R4957">
        <v>2026</v>
      </c>
      <c r="S4957" t="s">
        <v>6100</v>
      </c>
      <c r="T4957">
        <v>0</v>
      </c>
      <c r="U4957" t="s">
        <v>6018</v>
      </c>
      <c r="V4957">
        <v>0</v>
      </c>
    </row>
    <row r="4958" spans="1:22" x14ac:dyDescent="0.3">
      <c r="A4958" t="s">
        <v>4973</v>
      </c>
      <c r="B4958" s="2">
        <v>46247.469444444447</v>
      </c>
      <c r="C4958" s="2">
        <v>46248.219444444447</v>
      </c>
      <c r="D4958" t="s">
        <v>6024</v>
      </c>
      <c r="E4958" t="s">
        <v>6029</v>
      </c>
      <c r="F4958" t="s">
        <v>6035</v>
      </c>
      <c r="G4958" t="s">
        <v>6045</v>
      </c>
      <c r="H4958" t="s">
        <v>6096</v>
      </c>
      <c r="I4958">
        <v>4</v>
      </c>
      <c r="J4958">
        <v>18</v>
      </c>
      <c r="K4958" t="s">
        <v>6100</v>
      </c>
      <c r="L4958" t="s">
        <v>6099</v>
      </c>
      <c r="M4958" t="s">
        <v>6100</v>
      </c>
      <c r="N4958">
        <v>1</v>
      </c>
      <c r="O4958" t="s">
        <v>6101</v>
      </c>
      <c r="P4958" t="s">
        <v>6114</v>
      </c>
      <c r="Q4958">
        <v>8</v>
      </c>
      <c r="R4958">
        <v>2026</v>
      </c>
      <c r="S4958" t="s">
        <v>6100</v>
      </c>
      <c r="T4958">
        <v>0</v>
      </c>
      <c r="U4958" t="s">
        <v>6017</v>
      </c>
      <c r="V4958">
        <v>0</v>
      </c>
    </row>
    <row r="4959" spans="1:22" x14ac:dyDescent="0.3">
      <c r="A4959" t="s">
        <v>4974</v>
      </c>
      <c r="B4959" s="2">
        <v>46247.498611111114</v>
      </c>
      <c r="C4959" s="2">
        <v>46247.719444444447</v>
      </c>
      <c r="D4959" t="s">
        <v>6023</v>
      </c>
      <c r="E4959" t="s">
        <v>6029</v>
      </c>
      <c r="F4959" t="s">
        <v>6034</v>
      </c>
      <c r="G4959" t="s">
        <v>6040</v>
      </c>
      <c r="H4959" t="s">
        <v>6097</v>
      </c>
      <c r="I4959">
        <v>24</v>
      </c>
      <c r="J4959">
        <v>5.3</v>
      </c>
      <c r="K4959" t="s">
        <v>6099</v>
      </c>
      <c r="L4959" t="s">
        <v>6100</v>
      </c>
      <c r="M4959" t="s">
        <v>6100</v>
      </c>
      <c r="N4959">
        <v>5</v>
      </c>
      <c r="O4959" t="s">
        <v>6101</v>
      </c>
      <c r="P4959" t="s">
        <v>6114</v>
      </c>
      <c r="Q4959">
        <v>8</v>
      </c>
      <c r="R4959">
        <v>2026</v>
      </c>
      <c r="S4959" t="s">
        <v>6099</v>
      </c>
      <c r="T4959">
        <v>1</v>
      </c>
      <c r="U4959" t="s">
        <v>6020</v>
      </c>
      <c r="V4959">
        <v>1</v>
      </c>
    </row>
    <row r="4960" spans="1:22" x14ac:dyDescent="0.3">
      <c r="A4960" t="s">
        <v>4975</v>
      </c>
      <c r="B4960" s="2">
        <v>46247.523611111108</v>
      </c>
      <c r="C4960" s="2">
        <v>46248.077777777777</v>
      </c>
      <c r="D4960" t="s">
        <v>6024</v>
      </c>
      <c r="E4960" t="s">
        <v>6029</v>
      </c>
      <c r="F4960" t="s">
        <v>6035</v>
      </c>
      <c r="G4960" t="s">
        <v>6083</v>
      </c>
      <c r="H4960" t="s">
        <v>6096</v>
      </c>
      <c r="I4960">
        <v>4</v>
      </c>
      <c r="J4960">
        <v>13.3</v>
      </c>
      <c r="K4960" t="s">
        <v>6099</v>
      </c>
      <c r="L4960" t="s">
        <v>6100</v>
      </c>
      <c r="M4960" t="s">
        <v>6100</v>
      </c>
      <c r="N4960">
        <v>3</v>
      </c>
      <c r="O4960" t="s">
        <v>6101</v>
      </c>
      <c r="P4960" t="s">
        <v>6114</v>
      </c>
      <c r="Q4960">
        <v>8</v>
      </c>
      <c r="R4960">
        <v>2026</v>
      </c>
      <c r="S4960" t="s">
        <v>6100</v>
      </c>
      <c r="T4960">
        <v>0</v>
      </c>
      <c r="U4960" t="s">
        <v>6021</v>
      </c>
      <c r="V4960">
        <v>1</v>
      </c>
    </row>
    <row r="4961" spans="1:22" x14ac:dyDescent="0.3">
      <c r="A4961" t="s">
        <v>4976</v>
      </c>
      <c r="B4961" s="2">
        <v>46247.52847222222</v>
      </c>
      <c r="C4961" s="2">
        <v>46248.211805555555</v>
      </c>
      <c r="D4961" t="s">
        <v>6025</v>
      </c>
      <c r="E4961" t="s">
        <v>6029</v>
      </c>
      <c r="F4961" t="s">
        <v>6034</v>
      </c>
      <c r="G4961" t="s">
        <v>6060</v>
      </c>
      <c r="H4961" t="s">
        <v>6097</v>
      </c>
      <c r="I4961">
        <v>24</v>
      </c>
      <c r="J4961">
        <v>16.399999999999999</v>
      </c>
      <c r="K4961" t="s">
        <v>6100</v>
      </c>
      <c r="L4961" t="s">
        <v>6100</v>
      </c>
      <c r="M4961" t="s">
        <v>6100</v>
      </c>
      <c r="N4961">
        <v>4</v>
      </c>
      <c r="O4961" t="s">
        <v>6101</v>
      </c>
      <c r="P4961" t="s">
        <v>6114</v>
      </c>
      <c r="Q4961">
        <v>8</v>
      </c>
      <c r="R4961">
        <v>2026</v>
      </c>
      <c r="S4961" t="s">
        <v>6099</v>
      </c>
      <c r="T4961">
        <v>1</v>
      </c>
      <c r="U4961" t="s">
        <v>6021</v>
      </c>
      <c r="V4961">
        <v>0</v>
      </c>
    </row>
    <row r="4962" spans="1:22" x14ac:dyDescent="0.3">
      <c r="A4962" t="s">
        <v>4977</v>
      </c>
      <c r="B4962" s="2">
        <v>46247.540277777778</v>
      </c>
      <c r="C4962" s="2">
        <v>46249.198611111111</v>
      </c>
      <c r="D4962" t="s">
        <v>6026</v>
      </c>
      <c r="E4962" t="s">
        <v>6029</v>
      </c>
      <c r="F4962" t="s">
        <v>6034</v>
      </c>
      <c r="G4962" t="s">
        <v>6068</v>
      </c>
      <c r="H4962" t="s">
        <v>6098</v>
      </c>
      <c r="I4962">
        <v>24</v>
      </c>
      <c r="J4962">
        <v>39.799999999999997</v>
      </c>
      <c r="K4962" t="s">
        <v>6099</v>
      </c>
      <c r="L4962" t="s">
        <v>6100</v>
      </c>
      <c r="M4962" t="s">
        <v>6100</v>
      </c>
      <c r="N4962">
        <v>5</v>
      </c>
      <c r="O4962" t="s">
        <v>6101</v>
      </c>
      <c r="P4962" t="s">
        <v>6114</v>
      </c>
      <c r="Q4962">
        <v>8</v>
      </c>
      <c r="R4962">
        <v>2026</v>
      </c>
      <c r="S4962" t="s">
        <v>6100</v>
      </c>
      <c r="T4962">
        <v>0</v>
      </c>
      <c r="U4962" t="s">
        <v>6019</v>
      </c>
      <c r="V4962">
        <v>1</v>
      </c>
    </row>
    <row r="4963" spans="1:22" x14ac:dyDescent="0.3">
      <c r="A4963" t="s">
        <v>4978</v>
      </c>
      <c r="B4963" s="2">
        <v>46247.544444444444</v>
      </c>
      <c r="C4963" s="2">
        <v>46250.352777777778</v>
      </c>
      <c r="D4963" t="s">
        <v>6022</v>
      </c>
      <c r="E4963" t="s">
        <v>6032</v>
      </c>
      <c r="F4963" t="s">
        <v>6035</v>
      </c>
      <c r="G4963" t="s">
        <v>6081</v>
      </c>
      <c r="H4963" t="s">
        <v>6098</v>
      </c>
      <c r="I4963">
        <v>4</v>
      </c>
      <c r="J4963">
        <v>67.400000000000006</v>
      </c>
      <c r="K4963" t="s">
        <v>6100</v>
      </c>
      <c r="L4963" t="s">
        <v>6100</v>
      </c>
      <c r="M4963" t="s">
        <v>6099</v>
      </c>
      <c r="N4963">
        <v>4</v>
      </c>
      <c r="O4963" t="s">
        <v>6101</v>
      </c>
      <c r="P4963" t="s">
        <v>6114</v>
      </c>
      <c r="Q4963">
        <v>8</v>
      </c>
      <c r="R4963">
        <v>2026</v>
      </c>
      <c r="S4963" t="s">
        <v>6100</v>
      </c>
      <c r="T4963">
        <v>0</v>
      </c>
      <c r="U4963" t="s">
        <v>6019</v>
      </c>
      <c r="V4963">
        <v>0</v>
      </c>
    </row>
    <row r="4964" spans="1:22" x14ac:dyDescent="0.3">
      <c r="A4964" t="s">
        <v>4979</v>
      </c>
      <c r="B4964" s="2">
        <v>46247.568749999999</v>
      </c>
      <c r="C4964" s="2">
        <v>46248.668749999997</v>
      </c>
      <c r="D4964" t="s">
        <v>6025</v>
      </c>
      <c r="E4964" t="s">
        <v>6031</v>
      </c>
      <c r="F4964" t="s">
        <v>6034</v>
      </c>
      <c r="G4964" t="s">
        <v>6058</v>
      </c>
      <c r="H4964" t="s">
        <v>6098</v>
      </c>
      <c r="I4964">
        <v>24</v>
      </c>
      <c r="J4964">
        <v>26.4</v>
      </c>
      <c r="K4964" t="s">
        <v>6099</v>
      </c>
      <c r="L4964" t="s">
        <v>6100</v>
      </c>
      <c r="M4964" t="s">
        <v>6100</v>
      </c>
      <c r="N4964">
        <v>4</v>
      </c>
      <c r="O4964" t="s">
        <v>6101</v>
      </c>
      <c r="P4964" t="s">
        <v>6114</v>
      </c>
      <c r="Q4964">
        <v>8</v>
      </c>
      <c r="R4964">
        <v>2026</v>
      </c>
      <c r="S4964" t="s">
        <v>6100</v>
      </c>
      <c r="T4964">
        <v>0</v>
      </c>
      <c r="U4964" t="s">
        <v>6017</v>
      </c>
      <c r="V4964">
        <v>1</v>
      </c>
    </row>
    <row r="4965" spans="1:22" x14ac:dyDescent="0.3">
      <c r="A4965" t="s">
        <v>4980</v>
      </c>
      <c r="B4965" s="2">
        <v>46247.569444444445</v>
      </c>
      <c r="C4965" s="2">
        <v>46247.856944444444</v>
      </c>
      <c r="D4965" t="s">
        <v>6023</v>
      </c>
      <c r="E4965" t="s">
        <v>6032</v>
      </c>
      <c r="F4965" t="s">
        <v>6034</v>
      </c>
      <c r="G4965" t="s">
        <v>6058</v>
      </c>
      <c r="H4965" t="s">
        <v>6098</v>
      </c>
      <c r="I4965">
        <v>24</v>
      </c>
      <c r="J4965">
        <v>6.9</v>
      </c>
      <c r="K4965" t="s">
        <v>6099</v>
      </c>
      <c r="L4965" t="s">
        <v>6100</v>
      </c>
      <c r="M4965" t="s">
        <v>6099</v>
      </c>
      <c r="N4965">
        <v>4</v>
      </c>
      <c r="O4965" t="s">
        <v>6101</v>
      </c>
      <c r="P4965" t="s">
        <v>6114</v>
      </c>
      <c r="Q4965">
        <v>8</v>
      </c>
      <c r="R4965">
        <v>2026</v>
      </c>
      <c r="S4965" t="s">
        <v>6099</v>
      </c>
      <c r="T4965">
        <v>1</v>
      </c>
      <c r="U4965" t="s">
        <v>6017</v>
      </c>
      <c r="V4965">
        <v>1</v>
      </c>
    </row>
    <row r="4966" spans="1:22" x14ac:dyDescent="0.3">
      <c r="A4966" t="s">
        <v>4981</v>
      </c>
      <c r="B4966" s="2">
        <v>46247.581250000003</v>
      </c>
      <c r="C4966" s="2">
        <v>46256.493750000001</v>
      </c>
      <c r="D4966" t="s">
        <v>6026</v>
      </c>
      <c r="E4966" t="s">
        <v>6031</v>
      </c>
      <c r="F4966" t="s">
        <v>6034</v>
      </c>
      <c r="G4966" t="s">
        <v>6069</v>
      </c>
      <c r="H4966" t="s">
        <v>6098</v>
      </c>
      <c r="I4966">
        <v>24</v>
      </c>
      <c r="J4966">
        <v>213.9</v>
      </c>
      <c r="K4966" t="s">
        <v>6099</v>
      </c>
      <c r="L4966" t="s">
        <v>6100</v>
      </c>
      <c r="M4966" t="s">
        <v>6100</v>
      </c>
      <c r="N4966">
        <v>4</v>
      </c>
      <c r="O4966" t="s">
        <v>6101</v>
      </c>
      <c r="P4966" t="s">
        <v>6114</v>
      </c>
      <c r="Q4966">
        <v>8</v>
      </c>
      <c r="R4966">
        <v>2026</v>
      </c>
      <c r="S4966" t="s">
        <v>6100</v>
      </c>
      <c r="T4966">
        <v>0</v>
      </c>
      <c r="U4966" t="s">
        <v>6021</v>
      </c>
      <c r="V4966">
        <v>1</v>
      </c>
    </row>
    <row r="4967" spans="1:22" x14ac:dyDescent="0.3">
      <c r="A4967" t="s">
        <v>4982</v>
      </c>
      <c r="B4967" s="2">
        <v>46247.613194444442</v>
      </c>
      <c r="C4967" s="2">
        <v>46249.459027777775</v>
      </c>
      <c r="D4967" t="s">
        <v>6022</v>
      </c>
      <c r="E4967" t="s">
        <v>6032</v>
      </c>
      <c r="F4967" t="s">
        <v>6034</v>
      </c>
      <c r="G4967" t="s">
        <v>6037</v>
      </c>
      <c r="H4967" t="s">
        <v>6096</v>
      </c>
      <c r="I4967">
        <v>24</v>
      </c>
      <c r="J4967">
        <v>44.3</v>
      </c>
      <c r="K4967" t="s">
        <v>6100</v>
      </c>
      <c r="L4967" t="s">
        <v>6100</v>
      </c>
      <c r="M4967" t="s">
        <v>6100</v>
      </c>
      <c r="O4967" t="s">
        <v>6101</v>
      </c>
      <c r="P4967" t="s">
        <v>6114</v>
      </c>
      <c r="Q4967">
        <v>8</v>
      </c>
      <c r="R4967">
        <v>2026</v>
      </c>
      <c r="S4967" t="s">
        <v>6100</v>
      </c>
      <c r="T4967">
        <v>0</v>
      </c>
      <c r="U4967" t="s">
        <v>6020</v>
      </c>
      <c r="V4967">
        <v>0</v>
      </c>
    </row>
    <row r="4968" spans="1:22" x14ac:dyDescent="0.3">
      <c r="A4968" t="s">
        <v>4983</v>
      </c>
      <c r="B4968" s="2">
        <v>46247.649305555555</v>
      </c>
      <c r="C4968" s="2">
        <v>46247.849305555559</v>
      </c>
      <c r="D4968" t="s">
        <v>6027</v>
      </c>
      <c r="E4968" t="s">
        <v>6030</v>
      </c>
      <c r="F4968" t="s">
        <v>6034</v>
      </c>
      <c r="G4968" t="s">
        <v>6036</v>
      </c>
      <c r="H4968" t="s">
        <v>6096</v>
      </c>
      <c r="I4968">
        <v>24</v>
      </c>
      <c r="J4968">
        <v>4.8</v>
      </c>
      <c r="K4968" t="s">
        <v>6100</v>
      </c>
      <c r="L4968" t="s">
        <v>6099</v>
      </c>
      <c r="M4968" t="s">
        <v>6100</v>
      </c>
      <c r="O4968" t="s">
        <v>6101</v>
      </c>
      <c r="P4968" t="s">
        <v>6114</v>
      </c>
      <c r="Q4968">
        <v>8</v>
      </c>
      <c r="R4968">
        <v>2026</v>
      </c>
      <c r="S4968" t="s">
        <v>6099</v>
      </c>
      <c r="T4968">
        <v>1</v>
      </c>
      <c r="U4968" t="s">
        <v>6019</v>
      </c>
      <c r="V4968">
        <v>0</v>
      </c>
    </row>
    <row r="4969" spans="1:22" x14ac:dyDescent="0.3">
      <c r="A4969" t="s">
        <v>4984</v>
      </c>
      <c r="B4969" s="2">
        <v>46247.65347222222</v>
      </c>
      <c r="C4969" s="2">
        <v>46248.095138888886</v>
      </c>
      <c r="D4969" t="s">
        <v>6025</v>
      </c>
      <c r="E4969" t="s">
        <v>6029</v>
      </c>
      <c r="F4969" t="s">
        <v>6033</v>
      </c>
      <c r="G4969" t="s">
        <v>6050</v>
      </c>
      <c r="H4969" t="s">
        <v>6098</v>
      </c>
      <c r="I4969">
        <v>72</v>
      </c>
      <c r="J4969">
        <v>10.6</v>
      </c>
      <c r="K4969" t="s">
        <v>6099</v>
      </c>
      <c r="L4969" t="s">
        <v>6100</v>
      </c>
      <c r="M4969" t="s">
        <v>6100</v>
      </c>
      <c r="O4969" t="s">
        <v>6101</v>
      </c>
      <c r="P4969" t="s">
        <v>6114</v>
      </c>
      <c r="Q4969">
        <v>8</v>
      </c>
      <c r="R4969">
        <v>2026</v>
      </c>
      <c r="S4969" t="s">
        <v>6099</v>
      </c>
      <c r="T4969">
        <v>1</v>
      </c>
      <c r="U4969" t="s">
        <v>6020</v>
      </c>
      <c r="V4969">
        <v>1</v>
      </c>
    </row>
    <row r="4970" spans="1:22" x14ac:dyDescent="0.3">
      <c r="A4970" t="s">
        <v>4985</v>
      </c>
      <c r="B4970" s="2">
        <v>46247.697222222225</v>
      </c>
      <c r="C4970" s="2">
        <v>46247.943055555559</v>
      </c>
      <c r="D4970" t="s">
        <v>6027</v>
      </c>
      <c r="E4970" t="s">
        <v>6032</v>
      </c>
      <c r="F4970" t="s">
        <v>6034</v>
      </c>
      <c r="G4970" t="s">
        <v>6066</v>
      </c>
      <c r="H4970" t="s">
        <v>6096</v>
      </c>
      <c r="I4970">
        <v>24</v>
      </c>
      <c r="J4970">
        <v>5.9</v>
      </c>
      <c r="K4970" t="s">
        <v>6099</v>
      </c>
      <c r="L4970" t="s">
        <v>6100</v>
      </c>
      <c r="M4970" t="s">
        <v>6100</v>
      </c>
      <c r="N4970">
        <v>5</v>
      </c>
      <c r="O4970" t="s">
        <v>6101</v>
      </c>
      <c r="P4970" t="s">
        <v>6114</v>
      </c>
      <c r="Q4970">
        <v>8</v>
      </c>
      <c r="R4970">
        <v>2026</v>
      </c>
      <c r="S4970" t="s">
        <v>6099</v>
      </c>
      <c r="T4970">
        <v>1</v>
      </c>
      <c r="U4970" t="s">
        <v>6018</v>
      </c>
      <c r="V4970">
        <v>1</v>
      </c>
    </row>
    <row r="4971" spans="1:22" x14ac:dyDescent="0.3">
      <c r="A4971" t="s">
        <v>4986</v>
      </c>
      <c r="B4971" s="2">
        <v>46247.704861111109</v>
      </c>
      <c r="C4971" s="2">
        <v>46248.338194444441</v>
      </c>
      <c r="D4971" t="s">
        <v>6022</v>
      </c>
      <c r="E4971" t="s">
        <v>6030</v>
      </c>
      <c r="F4971" t="s">
        <v>6035</v>
      </c>
      <c r="G4971" t="s">
        <v>6083</v>
      </c>
      <c r="H4971" t="s">
        <v>6096</v>
      </c>
      <c r="I4971">
        <v>4</v>
      </c>
      <c r="J4971">
        <v>15.2</v>
      </c>
      <c r="K4971" t="s">
        <v>6100</v>
      </c>
      <c r="L4971" t="s">
        <v>6099</v>
      </c>
      <c r="M4971" t="s">
        <v>6100</v>
      </c>
      <c r="N4971">
        <v>3</v>
      </c>
      <c r="O4971" t="s">
        <v>6101</v>
      </c>
      <c r="P4971" t="s">
        <v>6114</v>
      </c>
      <c r="Q4971">
        <v>8</v>
      </c>
      <c r="R4971">
        <v>2026</v>
      </c>
      <c r="S4971" t="s">
        <v>6100</v>
      </c>
      <c r="T4971">
        <v>0</v>
      </c>
      <c r="U4971" t="s">
        <v>6019</v>
      </c>
      <c r="V4971">
        <v>0</v>
      </c>
    </row>
    <row r="4972" spans="1:22" x14ac:dyDescent="0.3">
      <c r="A4972" t="s">
        <v>4987</v>
      </c>
      <c r="B4972" s="2">
        <v>46247.738194444442</v>
      </c>
      <c r="C4972" s="2">
        <v>46247.942361111112</v>
      </c>
      <c r="D4972" t="s">
        <v>6022</v>
      </c>
      <c r="E4972" t="s">
        <v>6030</v>
      </c>
      <c r="F4972" t="s">
        <v>6033</v>
      </c>
      <c r="G4972" t="s">
        <v>6046</v>
      </c>
      <c r="H4972" t="s">
        <v>6098</v>
      </c>
      <c r="I4972">
        <v>72</v>
      </c>
      <c r="J4972">
        <v>4.9000000000000004</v>
      </c>
      <c r="K4972" t="s">
        <v>6099</v>
      </c>
      <c r="L4972" t="s">
        <v>6100</v>
      </c>
      <c r="M4972" t="s">
        <v>6100</v>
      </c>
      <c r="N4972">
        <v>5</v>
      </c>
      <c r="O4972" t="s">
        <v>6101</v>
      </c>
      <c r="P4972" t="s">
        <v>6114</v>
      </c>
      <c r="Q4972">
        <v>8</v>
      </c>
      <c r="R4972">
        <v>2026</v>
      </c>
      <c r="S4972" t="s">
        <v>6099</v>
      </c>
      <c r="T4972">
        <v>1</v>
      </c>
      <c r="U4972" t="s">
        <v>6021</v>
      </c>
      <c r="V4972">
        <v>1</v>
      </c>
    </row>
    <row r="4973" spans="1:22" x14ac:dyDescent="0.3">
      <c r="A4973" t="s">
        <v>4988</v>
      </c>
      <c r="B4973" s="2">
        <v>46247.747916666667</v>
      </c>
      <c r="C4973" s="2">
        <v>46247.96875</v>
      </c>
      <c r="D4973" t="s">
        <v>6022</v>
      </c>
      <c r="E4973" t="s">
        <v>6029</v>
      </c>
      <c r="F4973" t="s">
        <v>6035</v>
      </c>
      <c r="G4973" t="s">
        <v>6047</v>
      </c>
      <c r="H4973" t="s">
        <v>6098</v>
      </c>
      <c r="I4973">
        <v>4</v>
      </c>
      <c r="J4973">
        <v>5.3</v>
      </c>
      <c r="K4973" t="s">
        <v>6100</v>
      </c>
      <c r="L4973" t="s">
        <v>6099</v>
      </c>
      <c r="M4973" t="s">
        <v>6100</v>
      </c>
      <c r="N4973">
        <v>2</v>
      </c>
      <c r="O4973" t="s">
        <v>6101</v>
      </c>
      <c r="P4973" t="s">
        <v>6114</v>
      </c>
      <c r="Q4973">
        <v>8</v>
      </c>
      <c r="R4973">
        <v>2026</v>
      </c>
      <c r="S4973" t="s">
        <v>6100</v>
      </c>
      <c r="T4973">
        <v>0</v>
      </c>
      <c r="U4973" t="s">
        <v>6018</v>
      </c>
      <c r="V4973">
        <v>0</v>
      </c>
    </row>
    <row r="4974" spans="1:22" x14ac:dyDescent="0.3">
      <c r="A4974" t="s">
        <v>4989</v>
      </c>
      <c r="B4974" s="2">
        <v>46247.785416666666</v>
      </c>
      <c r="C4974" s="2">
        <v>46248.402083333334</v>
      </c>
      <c r="D4974" t="s">
        <v>6025</v>
      </c>
      <c r="E4974" t="s">
        <v>6029</v>
      </c>
      <c r="F4974" t="s">
        <v>6034</v>
      </c>
      <c r="G4974" t="s">
        <v>6089</v>
      </c>
      <c r="H4974" t="s">
        <v>6098</v>
      </c>
      <c r="I4974">
        <v>24</v>
      </c>
      <c r="J4974">
        <v>14.8</v>
      </c>
      <c r="K4974" t="s">
        <v>6100</v>
      </c>
      <c r="L4974" t="s">
        <v>6100</v>
      </c>
      <c r="M4974" t="s">
        <v>6100</v>
      </c>
      <c r="N4974">
        <v>5</v>
      </c>
      <c r="O4974" t="s">
        <v>6101</v>
      </c>
      <c r="P4974" t="s">
        <v>6114</v>
      </c>
      <c r="Q4974">
        <v>8</v>
      </c>
      <c r="R4974">
        <v>2026</v>
      </c>
      <c r="S4974" t="s">
        <v>6099</v>
      </c>
      <c r="T4974">
        <v>1</v>
      </c>
      <c r="U4974" t="s">
        <v>6019</v>
      </c>
      <c r="V4974">
        <v>0</v>
      </c>
    </row>
    <row r="4975" spans="1:22" x14ac:dyDescent="0.3">
      <c r="A4975" t="s">
        <v>4990</v>
      </c>
      <c r="B4975" s="2">
        <v>46247.850694444445</v>
      </c>
      <c r="C4975" s="2">
        <v>46249.579861111109</v>
      </c>
      <c r="D4975" t="s">
        <v>6026</v>
      </c>
      <c r="E4975" t="s">
        <v>6031</v>
      </c>
      <c r="F4975" t="s">
        <v>6035</v>
      </c>
      <c r="G4975" t="s">
        <v>6075</v>
      </c>
      <c r="H4975" t="s">
        <v>6097</v>
      </c>
      <c r="I4975">
        <v>4</v>
      </c>
      <c r="J4975">
        <v>41.5</v>
      </c>
      <c r="K4975" t="s">
        <v>6099</v>
      </c>
      <c r="L4975" t="s">
        <v>6100</v>
      </c>
      <c r="M4975" t="s">
        <v>6099</v>
      </c>
      <c r="N4975">
        <v>3</v>
      </c>
      <c r="O4975" t="s">
        <v>6101</v>
      </c>
      <c r="P4975" t="s">
        <v>6114</v>
      </c>
      <c r="Q4975">
        <v>8</v>
      </c>
      <c r="R4975">
        <v>2026</v>
      </c>
      <c r="S4975" t="s">
        <v>6100</v>
      </c>
      <c r="T4975">
        <v>0</v>
      </c>
      <c r="U4975" t="s">
        <v>6021</v>
      </c>
      <c r="V4975">
        <v>1</v>
      </c>
    </row>
    <row r="4976" spans="1:22" x14ac:dyDescent="0.3">
      <c r="A4976" t="s">
        <v>4991</v>
      </c>
      <c r="B4976" s="2">
        <v>46248.140972222223</v>
      </c>
      <c r="C4976" s="2">
        <v>46248.440972222219</v>
      </c>
      <c r="D4976" t="s">
        <v>6023</v>
      </c>
      <c r="E4976" t="s">
        <v>6030</v>
      </c>
      <c r="F4976" t="s">
        <v>6033</v>
      </c>
      <c r="G4976" t="s">
        <v>6062</v>
      </c>
      <c r="H4976" t="s">
        <v>6096</v>
      </c>
      <c r="I4976">
        <v>72</v>
      </c>
      <c r="J4976">
        <v>7.2</v>
      </c>
      <c r="K4976" t="s">
        <v>6100</v>
      </c>
      <c r="L4976" t="s">
        <v>6100</v>
      </c>
      <c r="M4976" t="s">
        <v>6100</v>
      </c>
      <c r="N4976">
        <v>4</v>
      </c>
      <c r="O4976" t="s">
        <v>6101</v>
      </c>
      <c r="P4976" t="s">
        <v>6114</v>
      </c>
      <c r="Q4976">
        <v>8</v>
      </c>
      <c r="R4976">
        <v>2026</v>
      </c>
      <c r="S4976" t="s">
        <v>6099</v>
      </c>
      <c r="T4976">
        <v>1</v>
      </c>
      <c r="U4976" t="s">
        <v>6018</v>
      </c>
      <c r="V4976">
        <v>0</v>
      </c>
    </row>
    <row r="4977" spans="1:22" x14ac:dyDescent="0.3">
      <c r="A4977" t="s">
        <v>4992</v>
      </c>
      <c r="B4977" s="2">
        <v>46248.272916666669</v>
      </c>
      <c r="C4977" s="2">
        <v>46248.747916666667</v>
      </c>
      <c r="D4977" t="s">
        <v>6028</v>
      </c>
      <c r="E4977" t="s">
        <v>6029</v>
      </c>
      <c r="F4977" t="s">
        <v>6035</v>
      </c>
      <c r="G4977" t="s">
        <v>6049</v>
      </c>
      <c r="H4977" t="s">
        <v>6097</v>
      </c>
      <c r="I4977">
        <v>4</v>
      </c>
      <c r="J4977">
        <v>11.4</v>
      </c>
      <c r="K4977" t="s">
        <v>6099</v>
      </c>
      <c r="L4977" t="s">
        <v>6100</v>
      </c>
      <c r="M4977" t="s">
        <v>6099</v>
      </c>
      <c r="N4977">
        <v>4</v>
      </c>
      <c r="O4977" t="s">
        <v>6101</v>
      </c>
      <c r="P4977" t="s">
        <v>6114</v>
      </c>
      <c r="Q4977">
        <v>8</v>
      </c>
      <c r="R4977">
        <v>2026</v>
      </c>
      <c r="S4977" t="s">
        <v>6100</v>
      </c>
      <c r="T4977">
        <v>0</v>
      </c>
      <c r="U4977" t="s">
        <v>6020</v>
      </c>
      <c r="V4977">
        <v>1</v>
      </c>
    </row>
    <row r="4978" spans="1:22" x14ac:dyDescent="0.3">
      <c r="A4978" t="s">
        <v>4993</v>
      </c>
      <c r="B4978" s="2">
        <v>46248.477083333331</v>
      </c>
      <c r="C4978" s="2">
        <v>46249.543749999997</v>
      </c>
      <c r="D4978" t="s">
        <v>6025</v>
      </c>
      <c r="E4978" t="s">
        <v>6029</v>
      </c>
      <c r="F4978" t="s">
        <v>6033</v>
      </c>
      <c r="G4978" t="s">
        <v>6090</v>
      </c>
      <c r="H4978" t="s">
        <v>6097</v>
      </c>
      <c r="I4978">
        <v>72</v>
      </c>
      <c r="J4978">
        <v>25.6</v>
      </c>
      <c r="K4978" t="s">
        <v>6099</v>
      </c>
      <c r="L4978" t="s">
        <v>6100</v>
      </c>
      <c r="M4978" t="s">
        <v>6100</v>
      </c>
      <c r="O4978" t="s">
        <v>6101</v>
      </c>
      <c r="P4978" t="s">
        <v>6114</v>
      </c>
      <c r="Q4978">
        <v>8</v>
      </c>
      <c r="R4978">
        <v>2026</v>
      </c>
      <c r="S4978" t="s">
        <v>6099</v>
      </c>
      <c r="T4978">
        <v>1</v>
      </c>
      <c r="U4978" t="s">
        <v>6018</v>
      </c>
      <c r="V4978">
        <v>1</v>
      </c>
    </row>
    <row r="4979" spans="1:22" x14ac:dyDescent="0.3">
      <c r="A4979" t="s">
        <v>4994</v>
      </c>
      <c r="B4979" s="2">
        <v>46248.497916666667</v>
      </c>
      <c r="C4979" s="2">
        <v>46248.731249999997</v>
      </c>
      <c r="D4979" t="s">
        <v>6024</v>
      </c>
      <c r="E4979" t="s">
        <v>6030</v>
      </c>
      <c r="F4979" t="s">
        <v>6034</v>
      </c>
      <c r="G4979" t="s">
        <v>6069</v>
      </c>
      <c r="H4979" t="s">
        <v>6098</v>
      </c>
      <c r="I4979">
        <v>24</v>
      </c>
      <c r="J4979">
        <v>5.6</v>
      </c>
      <c r="K4979" t="s">
        <v>6099</v>
      </c>
      <c r="L4979" t="s">
        <v>6100</v>
      </c>
      <c r="M4979" t="s">
        <v>6100</v>
      </c>
      <c r="O4979" t="s">
        <v>6101</v>
      </c>
      <c r="P4979" t="s">
        <v>6114</v>
      </c>
      <c r="Q4979">
        <v>8</v>
      </c>
      <c r="R4979">
        <v>2026</v>
      </c>
      <c r="S4979" t="s">
        <v>6099</v>
      </c>
      <c r="T4979">
        <v>1</v>
      </c>
      <c r="U4979" t="s">
        <v>6021</v>
      </c>
      <c r="V4979">
        <v>1</v>
      </c>
    </row>
    <row r="4980" spans="1:22" x14ac:dyDescent="0.3">
      <c r="A4980" t="s">
        <v>4995</v>
      </c>
      <c r="B4980" s="2">
        <v>46248.509722222225</v>
      </c>
      <c r="C4980" s="2">
        <v>46248.697222222225</v>
      </c>
      <c r="D4980" t="s">
        <v>6023</v>
      </c>
      <c r="E4980" t="s">
        <v>6032</v>
      </c>
      <c r="F4980" t="s">
        <v>6034</v>
      </c>
      <c r="G4980" t="s">
        <v>6082</v>
      </c>
      <c r="H4980" t="s">
        <v>6097</v>
      </c>
      <c r="I4980">
        <v>24</v>
      </c>
      <c r="J4980">
        <v>4.5</v>
      </c>
      <c r="K4980" t="s">
        <v>6099</v>
      </c>
      <c r="L4980" t="s">
        <v>6100</v>
      </c>
      <c r="M4980" t="s">
        <v>6100</v>
      </c>
      <c r="N4980">
        <v>5</v>
      </c>
      <c r="O4980" t="s">
        <v>6101</v>
      </c>
      <c r="P4980" t="s">
        <v>6114</v>
      </c>
      <c r="Q4980">
        <v>8</v>
      </c>
      <c r="R4980">
        <v>2026</v>
      </c>
      <c r="S4980" t="s">
        <v>6099</v>
      </c>
      <c r="T4980">
        <v>1</v>
      </c>
      <c r="U4980" t="s">
        <v>6021</v>
      </c>
      <c r="V4980">
        <v>1</v>
      </c>
    </row>
    <row r="4981" spans="1:22" x14ac:dyDescent="0.3">
      <c r="A4981" t="s">
        <v>4996</v>
      </c>
      <c r="B4981" s="2">
        <v>46248.543055555558</v>
      </c>
      <c r="C4981" s="2">
        <v>46250.001388888886</v>
      </c>
      <c r="D4981" t="s">
        <v>6025</v>
      </c>
      <c r="E4981" t="s">
        <v>6031</v>
      </c>
      <c r="F4981" t="s">
        <v>6033</v>
      </c>
      <c r="G4981" t="s">
        <v>6041</v>
      </c>
      <c r="H4981" t="s">
        <v>6096</v>
      </c>
      <c r="I4981">
        <v>72</v>
      </c>
      <c r="J4981">
        <v>35</v>
      </c>
      <c r="K4981" t="s">
        <v>6100</v>
      </c>
      <c r="L4981" t="s">
        <v>6100</v>
      </c>
      <c r="M4981" t="s">
        <v>6100</v>
      </c>
      <c r="N4981">
        <v>4</v>
      </c>
      <c r="O4981" t="s">
        <v>6101</v>
      </c>
      <c r="P4981" t="s">
        <v>6114</v>
      </c>
      <c r="Q4981">
        <v>8</v>
      </c>
      <c r="R4981">
        <v>2026</v>
      </c>
      <c r="S4981" t="s">
        <v>6099</v>
      </c>
      <c r="T4981">
        <v>1</v>
      </c>
      <c r="U4981" t="s">
        <v>6021</v>
      </c>
      <c r="V4981">
        <v>0</v>
      </c>
    </row>
    <row r="4982" spans="1:22" x14ac:dyDescent="0.3">
      <c r="A4982" t="s">
        <v>4997</v>
      </c>
      <c r="B4982" s="2">
        <v>46248.543055555558</v>
      </c>
      <c r="C4982" s="2">
        <v>46249.838888888888</v>
      </c>
      <c r="D4982" t="s">
        <v>6028</v>
      </c>
      <c r="E4982" t="s">
        <v>6031</v>
      </c>
      <c r="F4982" t="s">
        <v>6035</v>
      </c>
      <c r="G4982" t="s">
        <v>6046</v>
      </c>
      <c r="H4982" t="s">
        <v>6098</v>
      </c>
      <c r="I4982">
        <v>4</v>
      </c>
      <c r="J4982">
        <v>31.1</v>
      </c>
      <c r="K4982" t="s">
        <v>6099</v>
      </c>
      <c r="L4982" t="s">
        <v>6100</v>
      </c>
      <c r="M4982" t="s">
        <v>6100</v>
      </c>
      <c r="O4982" t="s">
        <v>6101</v>
      </c>
      <c r="P4982" t="s">
        <v>6114</v>
      </c>
      <c r="Q4982">
        <v>8</v>
      </c>
      <c r="R4982">
        <v>2026</v>
      </c>
      <c r="S4982" t="s">
        <v>6100</v>
      </c>
      <c r="T4982">
        <v>0</v>
      </c>
      <c r="U4982" t="s">
        <v>6018</v>
      </c>
      <c r="V4982">
        <v>1</v>
      </c>
    </row>
    <row r="4983" spans="1:22" x14ac:dyDescent="0.3">
      <c r="A4983" t="s">
        <v>4998</v>
      </c>
      <c r="B4983" s="2">
        <v>46248.572916666664</v>
      </c>
      <c r="C4983" s="2">
        <v>46250.197916666664</v>
      </c>
      <c r="D4983" t="s">
        <v>6028</v>
      </c>
      <c r="E4983" t="s">
        <v>6031</v>
      </c>
      <c r="F4983" t="s">
        <v>6035</v>
      </c>
      <c r="G4983" t="s">
        <v>6038</v>
      </c>
      <c r="H4983" t="s">
        <v>6096</v>
      </c>
      <c r="I4983">
        <v>4</v>
      </c>
      <c r="J4983">
        <v>39</v>
      </c>
      <c r="K4983" t="s">
        <v>6100</v>
      </c>
      <c r="L4983" t="s">
        <v>6099</v>
      </c>
      <c r="M4983" t="s">
        <v>6099</v>
      </c>
      <c r="N4983">
        <v>4</v>
      </c>
      <c r="O4983" t="s">
        <v>6101</v>
      </c>
      <c r="P4983" t="s">
        <v>6114</v>
      </c>
      <c r="Q4983">
        <v>8</v>
      </c>
      <c r="R4983">
        <v>2026</v>
      </c>
      <c r="S4983" t="s">
        <v>6100</v>
      </c>
      <c r="T4983">
        <v>0</v>
      </c>
      <c r="U4983" t="s">
        <v>6019</v>
      </c>
      <c r="V4983">
        <v>0</v>
      </c>
    </row>
    <row r="4984" spans="1:22" x14ac:dyDescent="0.3">
      <c r="A4984" t="s">
        <v>4999</v>
      </c>
      <c r="B4984" s="2">
        <v>46248.61041666667</v>
      </c>
      <c r="C4984" s="2">
        <v>46248.70208333333</v>
      </c>
      <c r="D4984" t="s">
        <v>6028</v>
      </c>
      <c r="E4984" t="s">
        <v>6029</v>
      </c>
      <c r="F4984" t="s">
        <v>6034</v>
      </c>
      <c r="G4984" t="s">
        <v>6044</v>
      </c>
      <c r="H4984" t="s">
        <v>6097</v>
      </c>
      <c r="I4984">
        <v>24</v>
      </c>
      <c r="J4984">
        <v>2.2000000000000002</v>
      </c>
      <c r="K4984" t="s">
        <v>6099</v>
      </c>
      <c r="L4984" t="s">
        <v>6100</v>
      </c>
      <c r="M4984" t="s">
        <v>6099</v>
      </c>
      <c r="O4984" t="s">
        <v>6101</v>
      </c>
      <c r="P4984" t="s">
        <v>6114</v>
      </c>
      <c r="Q4984">
        <v>8</v>
      </c>
      <c r="R4984">
        <v>2026</v>
      </c>
      <c r="S4984" t="s">
        <v>6099</v>
      </c>
      <c r="T4984">
        <v>1</v>
      </c>
      <c r="U4984" t="s">
        <v>6017</v>
      </c>
      <c r="V4984">
        <v>1</v>
      </c>
    </row>
    <row r="4985" spans="1:22" x14ac:dyDescent="0.3">
      <c r="A4985" t="s">
        <v>5000</v>
      </c>
      <c r="B4985" s="2">
        <v>46248.628472222219</v>
      </c>
      <c r="C4985" s="2">
        <v>46256.874305555553</v>
      </c>
      <c r="D4985" t="s">
        <v>6026</v>
      </c>
      <c r="E4985" t="s">
        <v>6031</v>
      </c>
      <c r="F4985" t="s">
        <v>6034</v>
      </c>
      <c r="G4985" t="s">
        <v>6093</v>
      </c>
      <c r="H4985" t="s">
        <v>6097</v>
      </c>
      <c r="I4985">
        <v>24</v>
      </c>
      <c r="J4985">
        <v>197.9</v>
      </c>
      <c r="K4985" t="s">
        <v>6099</v>
      </c>
      <c r="L4985" t="s">
        <v>6100</v>
      </c>
      <c r="M4985" t="s">
        <v>6100</v>
      </c>
      <c r="O4985" t="s">
        <v>6101</v>
      </c>
      <c r="P4985" t="s">
        <v>6114</v>
      </c>
      <c r="Q4985">
        <v>8</v>
      </c>
      <c r="R4985">
        <v>2026</v>
      </c>
      <c r="S4985" t="s">
        <v>6100</v>
      </c>
      <c r="T4985">
        <v>0</v>
      </c>
      <c r="U4985" t="s">
        <v>6017</v>
      </c>
      <c r="V4985">
        <v>1</v>
      </c>
    </row>
    <row r="4986" spans="1:22" x14ac:dyDescent="0.3">
      <c r="A4986" t="s">
        <v>5001</v>
      </c>
      <c r="B4986" s="2">
        <v>46248.634027777778</v>
      </c>
      <c r="C4986" s="2">
        <v>46251.038194444445</v>
      </c>
      <c r="D4986" t="s">
        <v>6026</v>
      </c>
      <c r="E4986" t="s">
        <v>6030</v>
      </c>
      <c r="F4986" t="s">
        <v>6035</v>
      </c>
      <c r="G4986" t="s">
        <v>6078</v>
      </c>
      <c r="H4986" t="s">
        <v>6097</v>
      </c>
      <c r="I4986">
        <v>4</v>
      </c>
      <c r="J4986">
        <v>57.7</v>
      </c>
      <c r="K4986" t="s">
        <v>6099</v>
      </c>
      <c r="L4986" t="s">
        <v>6100</v>
      </c>
      <c r="M4986" t="s">
        <v>6099</v>
      </c>
      <c r="O4986" t="s">
        <v>6101</v>
      </c>
      <c r="P4986" t="s">
        <v>6114</v>
      </c>
      <c r="Q4986">
        <v>8</v>
      </c>
      <c r="R4986">
        <v>2026</v>
      </c>
      <c r="S4986" t="s">
        <v>6100</v>
      </c>
      <c r="T4986">
        <v>0</v>
      </c>
      <c r="U4986" t="s">
        <v>6019</v>
      </c>
      <c r="V4986">
        <v>1</v>
      </c>
    </row>
    <row r="4987" spans="1:22" x14ac:dyDescent="0.3">
      <c r="A4987" t="s">
        <v>5002</v>
      </c>
      <c r="B4987" s="2">
        <v>46248.64166666667</v>
      </c>
      <c r="C4987" s="2">
        <v>46249.270833333336</v>
      </c>
      <c r="D4987" t="s">
        <v>6027</v>
      </c>
      <c r="E4987" t="s">
        <v>6032</v>
      </c>
      <c r="F4987" t="s">
        <v>6035</v>
      </c>
      <c r="G4987" t="s">
        <v>6072</v>
      </c>
      <c r="H4987" t="s">
        <v>6097</v>
      </c>
      <c r="I4987">
        <v>4</v>
      </c>
      <c r="J4987">
        <v>15.1</v>
      </c>
      <c r="K4987" t="s">
        <v>6099</v>
      </c>
      <c r="L4987" t="s">
        <v>6100</v>
      </c>
      <c r="M4987" t="s">
        <v>6099</v>
      </c>
      <c r="N4987">
        <v>3</v>
      </c>
      <c r="O4987" t="s">
        <v>6101</v>
      </c>
      <c r="P4987" t="s">
        <v>6114</v>
      </c>
      <c r="Q4987">
        <v>8</v>
      </c>
      <c r="R4987">
        <v>2026</v>
      </c>
      <c r="S4987" t="s">
        <v>6100</v>
      </c>
      <c r="T4987">
        <v>0</v>
      </c>
      <c r="U4987" t="s">
        <v>6019</v>
      </c>
      <c r="V4987">
        <v>1</v>
      </c>
    </row>
    <row r="4988" spans="1:22" x14ac:dyDescent="0.3">
      <c r="A4988" t="s">
        <v>5003</v>
      </c>
      <c r="B4988" s="2">
        <v>46248.645833333336</v>
      </c>
      <c r="C4988" s="2">
        <v>46249.133333333331</v>
      </c>
      <c r="D4988" t="s">
        <v>6024</v>
      </c>
      <c r="E4988" t="s">
        <v>6032</v>
      </c>
      <c r="F4988" t="s">
        <v>6033</v>
      </c>
      <c r="G4988" t="s">
        <v>6086</v>
      </c>
      <c r="H4988" t="s">
        <v>6098</v>
      </c>
      <c r="I4988">
        <v>72</v>
      </c>
      <c r="J4988">
        <v>11.7</v>
      </c>
      <c r="K4988" t="s">
        <v>6099</v>
      </c>
      <c r="L4988" t="s">
        <v>6100</v>
      </c>
      <c r="M4988" t="s">
        <v>6100</v>
      </c>
      <c r="O4988" t="s">
        <v>6101</v>
      </c>
      <c r="P4988" t="s">
        <v>6114</v>
      </c>
      <c r="Q4988">
        <v>8</v>
      </c>
      <c r="R4988">
        <v>2026</v>
      </c>
      <c r="S4988" t="s">
        <v>6099</v>
      </c>
      <c r="T4988">
        <v>1</v>
      </c>
      <c r="U4988" t="s">
        <v>6020</v>
      </c>
      <c r="V4988">
        <v>1</v>
      </c>
    </row>
    <row r="4989" spans="1:22" x14ac:dyDescent="0.3">
      <c r="A4989" t="s">
        <v>5004</v>
      </c>
      <c r="B4989" s="2">
        <v>46248.661805555559</v>
      </c>
      <c r="C4989" s="2">
        <v>46248.895138888889</v>
      </c>
      <c r="D4989" t="s">
        <v>6023</v>
      </c>
      <c r="E4989" t="s">
        <v>6030</v>
      </c>
      <c r="F4989" t="s">
        <v>6034</v>
      </c>
      <c r="G4989" t="s">
        <v>6087</v>
      </c>
      <c r="H4989" t="s">
        <v>6098</v>
      </c>
      <c r="I4989">
        <v>24</v>
      </c>
      <c r="J4989">
        <v>5.6</v>
      </c>
      <c r="K4989" t="s">
        <v>6099</v>
      </c>
      <c r="L4989" t="s">
        <v>6100</v>
      </c>
      <c r="M4989" t="s">
        <v>6100</v>
      </c>
      <c r="N4989">
        <v>5</v>
      </c>
      <c r="O4989" t="s">
        <v>6101</v>
      </c>
      <c r="P4989" t="s">
        <v>6114</v>
      </c>
      <c r="Q4989">
        <v>8</v>
      </c>
      <c r="R4989">
        <v>2026</v>
      </c>
      <c r="S4989" t="s">
        <v>6099</v>
      </c>
      <c r="T4989">
        <v>1</v>
      </c>
      <c r="U4989" t="s">
        <v>6020</v>
      </c>
      <c r="V4989">
        <v>1</v>
      </c>
    </row>
    <row r="4990" spans="1:22" x14ac:dyDescent="0.3">
      <c r="A4990" t="s">
        <v>5005</v>
      </c>
      <c r="B4990" s="2">
        <v>46248.681250000001</v>
      </c>
      <c r="C4990" s="2">
        <v>46248.885416666664</v>
      </c>
      <c r="D4990" t="s">
        <v>6022</v>
      </c>
      <c r="E4990" t="s">
        <v>6029</v>
      </c>
      <c r="F4990" t="s">
        <v>6034</v>
      </c>
      <c r="G4990" t="s">
        <v>6043</v>
      </c>
      <c r="H4990" t="s">
        <v>6097</v>
      </c>
      <c r="I4990">
        <v>24</v>
      </c>
      <c r="J4990">
        <v>4.9000000000000004</v>
      </c>
      <c r="K4990" t="s">
        <v>6099</v>
      </c>
      <c r="L4990" t="s">
        <v>6100</v>
      </c>
      <c r="M4990" t="s">
        <v>6100</v>
      </c>
      <c r="O4990" t="s">
        <v>6101</v>
      </c>
      <c r="P4990" t="s">
        <v>6114</v>
      </c>
      <c r="Q4990">
        <v>8</v>
      </c>
      <c r="R4990">
        <v>2026</v>
      </c>
      <c r="S4990" t="s">
        <v>6099</v>
      </c>
      <c r="T4990">
        <v>1</v>
      </c>
      <c r="U4990" t="s">
        <v>6018</v>
      </c>
      <c r="V4990">
        <v>1</v>
      </c>
    </row>
    <row r="4991" spans="1:22" x14ac:dyDescent="0.3">
      <c r="A4991" t="s">
        <v>5006</v>
      </c>
      <c r="B4991" s="2">
        <v>46248.743750000001</v>
      </c>
      <c r="C4991" s="2">
        <v>46249.79791666667</v>
      </c>
      <c r="D4991" t="s">
        <v>6022</v>
      </c>
      <c r="E4991" t="s">
        <v>6031</v>
      </c>
      <c r="F4991" t="s">
        <v>6033</v>
      </c>
      <c r="G4991" t="s">
        <v>6043</v>
      </c>
      <c r="H4991" t="s">
        <v>6097</v>
      </c>
      <c r="I4991">
        <v>72</v>
      </c>
      <c r="J4991">
        <v>25.3</v>
      </c>
      <c r="K4991" t="s">
        <v>6100</v>
      </c>
      <c r="L4991" t="s">
        <v>6099</v>
      </c>
      <c r="M4991" t="s">
        <v>6100</v>
      </c>
      <c r="N4991">
        <v>4</v>
      </c>
      <c r="O4991" t="s">
        <v>6101</v>
      </c>
      <c r="P4991" t="s">
        <v>6114</v>
      </c>
      <c r="Q4991">
        <v>8</v>
      </c>
      <c r="R4991">
        <v>2026</v>
      </c>
      <c r="S4991" t="s">
        <v>6099</v>
      </c>
      <c r="T4991">
        <v>1</v>
      </c>
      <c r="U4991" t="s">
        <v>6018</v>
      </c>
      <c r="V4991">
        <v>0</v>
      </c>
    </row>
    <row r="4992" spans="1:22" x14ac:dyDescent="0.3">
      <c r="A4992" t="s">
        <v>5007</v>
      </c>
      <c r="B4992" s="2">
        <v>46248.756944444445</v>
      </c>
      <c r="C4992" s="2">
        <v>46248.819444444445</v>
      </c>
      <c r="D4992" t="s">
        <v>6023</v>
      </c>
      <c r="E4992" t="s">
        <v>6030</v>
      </c>
      <c r="F4992" t="s">
        <v>6034</v>
      </c>
      <c r="G4992" t="s">
        <v>6076</v>
      </c>
      <c r="H4992" t="s">
        <v>6097</v>
      </c>
      <c r="I4992">
        <v>24</v>
      </c>
      <c r="J4992">
        <v>1.5</v>
      </c>
      <c r="K4992" t="s">
        <v>6099</v>
      </c>
      <c r="L4992" t="s">
        <v>6100</v>
      </c>
      <c r="M4992" t="s">
        <v>6100</v>
      </c>
      <c r="O4992" t="s">
        <v>6101</v>
      </c>
      <c r="P4992" t="s">
        <v>6114</v>
      </c>
      <c r="Q4992">
        <v>8</v>
      </c>
      <c r="R4992">
        <v>2026</v>
      </c>
      <c r="S4992" t="s">
        <v>6099</v>
      </c>
      <c r="T4992">
        <v>1</v>
      </c>
      <c r="U4992" t="s">
        <v>6019</v>
      </c>
      <c r="V4992">
        <v>1</v>
      </c>
    </row>
    <row r="4993" spans="1:22" x14ac:dyDescent="0.3">
      <c r="A4993" t="s">
        <v>5008</v>
      </c>
      <c r="B4993" s="2">
        <v>46248.759722222225</v>
      </c>
      <c r="C4993" s="2">
        <v>46249.138888888891</v>
      </c>
      <c r="D4993" t="s">
        <v>6028</v>
      </c>
      <c r="E4993" t="s">
        <v>6031</v>
      </c>
      <c r="F4993" t="s">
        <v>6034</v>
      </c>
      <c r="G4993" t="s">
        <v>6039</v>
      </c>
      <c r="H4993" t="s">
        <v>6097</v>
      </c>
      <c r="I4993">
        <v>24</v>
      </c>
      <c r="J4993">
        <v>9.1</v>
      </c>
      <c r="K4993" t="s">
        <v>6099</v>
      </c>
      <c r="L4993" t="s">
        <v>6100</v>
      </c>
      <c r="M4993" t="s">
        <v>6100</v>
      </c>
      <c r="O4993" t="s">
        <v>6101</v>
      </c>
      <c r="P4993" t="s">
        <v>6114</v>
      </c>
      <c r="Q4993">
        <v>8</v>
      </c>
      <c r="R4993">
        <v>2026</v>
      </c>
      <c r="S4993" t="s">
        <v>6099</v>
      </c>
      <c r="T4993">
        <v>1</v>
      </c>
      <c r="U4993" t="s">
        <v>6017</v>
      </c>
      <c r="V4993">
        <v>1</v>
      </c>
    </row>
    <row r="4994" spans="1:22" x14ac:dyDescent="0.3">
      <c r="A4994" t="s">
        <v>5009</v>
      </c>
      <c r="B4994" s="2">
        <v>46248.811805555553</v>
      </c>
      <c r="C4994" s="2">
        <v>46248.870138888888</v>
      </c>
      <c r="D4994" t="s">
        <v>6023</v>
      </c>
      <c r="E4994" t="s">
        <v>6029</v>
      </c>
      <c r="F4994" t="s">
        <v>6034</v>
      </c>
      <c r="G4994" t="s">
        <v>6071</v>
      </c>
      <c r="H4994" t="s">
        <v>6098</v>
      </c>
      <c r="I4994">
        <v>24</v>
      </c>
      <c r="J4994">
        <v>1.4</v>
      </c>
      <c r="K4994" t="s">
        <v>6099</v>
      </c>
      <c r="L4994" t="s">
        <v>6100</v>
      </c>
      <c r="M4994" t="s">
        <v>6100</v>
      </c>
      <c r="O4994" t="s">
        <v>6101</v>
      </c>
      <c r="P4994" t="s">
        <v>6114</v>
      </c>
      <c r="Q4994">
        <v>8</v>
      </c>
      <c r="R4994">
        <v>2026</v>
      </c>
      <c r="S4994" t="s">
        <v>6099</v>
      </c>
      <c r="T4994">
        <v>1</v>
      </c>
      <c r="U4994" t="s">
        <v>6021</v>
      </c>
      <c r="V4994">
        <v>1</v>
      </c>
    </row>
    <row r="4995" spans="1:22" x14ac:dyDescent="0.3">
      <c r="A4995" t="s">
        <v>5010</v>
      </c>
      <c r="B4995" s="2">
        <v>46248.850694444445</v>
      </c>
      <c r="C4995" s="2">
        <v>46251.625694444447</v>
      </c>
      <c r="D4995" t="s">
        <v>6027</v>
      </c>
      <c r="E4995" t="s">
        <v>6031</v>
      </c>
      <c r="F4995" t="s">
        <v>6033</v>
      </c>
      <c r="G4995" t="s">
        <v>6083</v>
      </c>
      <c r="H4995" t="s">
        <v>6096</v>
      </c>
      <c r="I4995">
        <v>72</v>
      </c>
      <c r="J4995">
        <v>66.599999999999994</v>
      </c>
      <c r="K4995" t="s">
        <v>6099</v>
      </c>
      <c r="L4995" t="s">
        <v>6100</v>
      </c>
      <c r="M4995" t="s">
        <v>6100</v>
      </c>
      <c r="O4995" t="s">
        <v>6101</v>
      </c>
      <c r="P4995" t="s">
        <v>6114</v>
      </c>
      <c r="Q4995">
        <v>8</v>
      </c>
      <c r="R4995">
        <v>2026</v>
      </c>
      <c r="S4995" t="s">
        <v>6099</v>
      </c>
      <c r="T4995">
        <v>1</v>
      </c>
      <c r="U4995" t="s">
        <v>6021</v>
      </c>
      <c r="V4995">
        <v>1</v>
      </c>
    </row>
    <row r="4996" spans="1:22" x14ac:dyDescent="0.3">
      <c r="A4996" t="s">
        <v>5011</v>
      </c>
      <c r="B4996" s="2">
        <v>46248.933333333334</v>
      </c>
      <c r="C4996" s="2">
        <v>46249.125</v>
      </c>
      <c r="D4996" t="s">
        <v>6023</v>
      </c>
      <c r="E4996" t="s">
        <v>6029</v>
      </c>
      <c r="F4996" t="s">
        <v>6034</v>
      </c>
      <c r="G4996" t="s">
        <v>6066</v>
      </c>
      <c r="H4996" t="s">
        <v>6096</v>
      </c>
      <c r="I4996">
        <v>24</v>
      </c>
      <c r="J4996">
        <v>4.5999999999999996</v>
      </c>
      <c r="K4996" t="s">
        <v>6100</v>
      </c>
      <c r="L4996" t="s">
        <v>6099</v>
      </c>
      <c r="M4996" t="s">
        <v>6100</v>
      </c>
      <c r="O4996" t="s">
        <v>6101</v>
      </c>
      <c r="P4996" t="s">
        <v>6114</v>
      </c>
      <c r="Q4996">
        <v>8</v>
      </c>
      <c r="R4996">
        <v>2026</v>
      </c>
      <c r="S4996" t="s">
        <v>6099</v>
      </c>
      <c r="T4996">
        <v>1</v>
      </c>
      <c r="U4996" t="s">
        <v>6021</v>
      </c>
      <c r="V4996">
        <v>0</v>
      </c>
    </row>
    <row r="4997" spans="1:22" x14ac:dyDescent="0.3">
      <c r="A4997" t="s">
        <v>5012</v>
      </c>
      <c r="B4997" s="2">
        <v>46249.030555555553</v>
      </c>
      <c r="C4997" s="2">
        <v>46250.093055555553</v>
      </c>
      <c r="D4997" t="s">
        <v>6028</v>
      </c>
      <c r="E4997" t="s">
        <v>6031</v>
      </c>
      <c r="F4997" t="s">
        <v>6033</v>
      </c>
      <c r="G4997" t="s">
        <v>6083</v>
      </c>
      <c r="H4997" t="s">
        <v>6096</v>
      </c>
      <c r="I4997">
        <v>72</v>
      </c>
      <c r="J4997">
        <v>25.5</v>
      </c>
      <c r="K4997" t="s">
        <v>6099</v>
      </c>
      <c r="L4997" t="s">
        <v>6100</v>
      </c>
      <c r="M4997" t="s">
        <v>6100</v>
      </c>
      <c r="N4997">
        <v>5</v>
      </c>
      <c r="O4997" t="s">
        <v>6101</v>
      </c>
      <c r="P4997" t="s">
        <v>6114</v>
      </c>
      <c r="Q4997">
        <v>8</v>
      </c>
      <c r="R4997">
        <v>2026</v>
      </c>
      <c r="S4997" t="s">
        <v>6099</v>
      </c>
      <c r="T4997">
        <v>1</v>
      </c>
      <c r="U4997" t="s">
        <v>6018</v>
      </c>
      <c r="V4997">
        <v>1</v>
      </c>
    </row>
    <row r="4998" spans="1:22" x14ac:dyDescent="0.3">
      <c r="A4998" t="s">
        <v>5013</v>
      </c>
      <c r="B4998" s="2">
        <v>46249.257638888892</v>
      </c>
      <c r="C4998" s="2">
        <v>46250.77847222222</v>
      </c>
      <c r="D4998" t="s">
        <v>6022</v>
      </c>
      <c r="E4998" t="s">
        <v>6029</v>
      </c>
      <c r="F4998" t="s">
        <v>6033</v>
      </c>
      <c r="G4998" t="s">
        <v>6083</v>
      </c>
      <c r="H4998" t="s">
        <v>6096</v>
      </c>
      <c r="I4998">
        <v>72</v>
      </c>
      <c r="J4998">
        <v>36.5</v>
      </c>
      <c r="K4998" t="s">
        <v>6100</v>
      </c>
      <c r="L4998" t="s">
        <v>6100</v>
      </c>
      <c r="M4998" t="s">
        <v>6100</v>
      </c>
      <c r="N4998">
        <v>5</v>
      </c>
      <c r="O4998" t="s">
        <v>6101</v>
      </c>
      <c r="P4998" t="s">
        <v>6114</v>
      </c>
      <c r="Q4998">
        <v>8</v>
      </c>
      <c r="R4998">
        <v>2026</v>
      </c>
      <c r="S4998" t="s">
        <v>6099</v>
      </c>
      <c r="T4998">
        <v>1</v>
      </c>
      <c r="U4998" t="s">
        <v>6018</v>
      </c>
      <c r="V4998">
        <v>0</v>
      </c>
    </row>
    <row r="4999" spans="1:22" x14ac:dyDescent="0.3">
      <c r="A4999" t="s">
        <v>5014</v>
      </c>
      <c r="B4999" s="2">
        <v>46249.259027777778</v>
      </c>
      <c r="C4999" s="2">
        <v>46250.638194444444</v>
      </c>
      <c r="D4999" t="s">
        <v>6022</v>
      </c>
      <c r="E4999" t="s">
        <v>6029</v>
      </c>
      <c r="F4999" t="s">
        <v>6034</v>
      </c>
      <c r="G4999" t="s">
        <v>6047</v>
      </c>
      <c r="H4999" t="s">
        <v>6098</v>
      </c>
      <c r="I4999">
        <v>24</v>
      </c>
      <c r="J4999">
        <v>33.1</v>
      </c>
      <c r="K4999" t="s">
        <v>6099</v>
      </c>
      <c r="L4999" t="s">
        <v>6100</v>
      </c>
      <c r="M4999" t="s">
        <v>6100</v>
      </c>
      <c r="N4999">
        <v>5</v>
      </c>
      <c r="O4999" t="s">
        <v>6101</v>
      </c>
      <c r="P4999" t="s">
        <v>6114</v>
      </c>
      <c r="Q4999">
        <v>8</v>
      </c>
      <c r="R4999">
        <v>2026</v>
      </c>
      <c r="S4999" t="s">
        <v>6100</v>
      </c>
      <c r="T4999">
        <v>0</v>
      </c>
      <c r="U4999" t="s">
        <v>6020</v>
      </c>
      <c r="V4999">
        <v>1</v>
      </c>
    </row>
    <row r="5000" spans="1:22" x14ac:dyDescent="0.3">
      <c r="A5000" t="s">
        <v>5015</v>
      </c>
      <c r="B5000" s="2">
        <v>46249.28125</v>
      </c>
      <c r="C5000" s="2">
        <v>46250.102083333331</v>
      </c>
      <c r="D5000" t="s">
        <v>6022</v>
      </c>
      <c r="E5000" t="s">
        <v>6030</v>
      </c>
      <c r="F5000" t="s">
        <v>6035</v>
      </c>
      <c r="G5000" t="s">
        <v>6084</v>
      </c>
      <c r="H5000" t="s">
        <v>6098</v>
      </c>
      <c r="I5000">
        <v>4</v>
      </c>
      <c r="J5000">
        <v>19.7</v>
      </c>
      <c r="K5000" t="s">
        <v>6099</v>
      </c>
      <c r="L5000" t="s">
        <v>6100</v>
      </c>
      <c r="M5000" t="s">
        <v>6100</v>
      </c>
      <c r="N5000">
        <v>4</v>
      </c>
      <c r="O5000" t="s">
        <v>6101</v>
      </c>
      <c r="P5000" t="s">
        <v>6114</v>
      </c>
      <c r="Q5000">
        <v>8</v>
      </c>
      <c r="R5000">
        <v>2026</v>
      </c>
      <c r="S5000" t="s">
        <v>6100</v>
      </c>
      <c r="T5000">
        <v>0</v>
      </c>
      <c r="U5000" t="s">
        <v>6021</v>
      </c>
      <c r="V5000">
        <v>1</v>
      </c>
    </row>
    <row r="5001" spans="1:22" x14ac:dyDescent="0.3">
      <c r="A5001" t="s">
        <v>5016</v>
      </c>
      <c r="B5001" s="2">
        <v>46249.338888888888</v>
      </c>
      <c r="C5001" s="2">
        <v>46250.363888888889</v>
      </c>
      <c r="D5001" t="s">
        <v>6027</v>
      </c>
      <c r="E5001" t="s">
        <v>6031</v>
      </c>
      <c r="F5001" t="s">
        <v>6033</v>
      </c>
      <c r="G5001" t="s">
        <v>6079</v>
      </c>
      <c r="H5001" t="s">
        <v>6097</v>
      </c>
      <c r="I5001">
        <v>72</v>
      </c>
      <c r="J5001">
        <v>24.6</v>
      </c>
      <c r="K5001" t="s">
        <v>6099</v>
      </c>
      <c r="L5001" t="s">
        <v>6100</v>
      </c>
      <c r="M5001" t="s">
        <v>6100</v>
      </c>
      <c r="N5001">
        <v>5</v>
      </c>
      <c r="O5001" t="s">
        <v>6101</v>
      </c>
      <c r="P5001" t="s">
        <v>6114</v>
      </c>
      <c r="Q5001">
        <v>8</v>
      </c>
      <c r="R5001">
        <v>2026</v>
      </c>
      <c r="S5001" t="s">
        <v>6099</v>
      </c>
      <c r="T5001">
        <v>1</v>
      </c>
      <c r="U5001" t="s">
        <v>6018</v>
      </c>
      <c r="V5001">
        <v>1</v>
      </c>
    </row>
    <row r="5002" spans="1:22" x14ac:dyDescent="0.3">
      <c r="A5002" t="s">
        <v>5017</v>
      </c>
      <c r="B5002" s="2">
        <v>46249.351388888892</v>
      </c>
      <c r="C5002" s="2">
        <v>46249.601388888892</v>
      </c>
      <c r="D5002" t="s">
        <v>6022</v>
      </c>
      <c r="E5002" t="s">
        <v>6029</v>
      </c>
      <c r="F5002" t="s">
        <v>6033</v>
      </c>
      <c r="G5002" t="s">
        <v>6056</v>
      </c>
      <c r="H5002" t="s">
        <v>6098</v>
      </c>
      <c r="I5002">
        <v>72</v>
      </c>
      <c r="J5002">
        <v>6</v>
      </c>
      <c r="K5002" t="s">
        <v>6099</v>
      </c>
      <c r="L5002" t="s">
        <v>6100</v>
      </c>
      <c r="M5002" t="s">
        <v>6100</v>
      </c>
      <c r="N5002">
        <v>4</v>
      </c>
      <c r="O5002" t="s">
        <v>6101</v>
      </c>
      <c r="P5002" t="s">
        <v>6114</v>
      </c>
      <c r="Q5002">
        <v>8</v>
      </c>
      <c r="R5002">
        <v>2026</v>
      </c>
      <c r="S5002" t="s">
        <v>6099</v>
      </c>
      <c r="T5002">
        <v>1</v>
      </c>
      <c r="U5002" t="s">
        <v>6018</v>
      </c>
      <c r="V5002">
        <v>1</v>
      </c>
    </row>
    <row r="5003" spans="1:22" x14ac:dyDescent="0.3">
      <c r="A5003" t="s">
        <v>5018</v>
      </c>
      <c r="B5003" s="2">
        <v>46249.395138888889</v>
      </c>
      <c r="C5003" s="2">
        <v>46250.195138888892</v>
      </c>
      <c r="D5003" t="s">
        <v>6023</v>
      </c>
      <c r="E5003" t="s">
        <v>6029</v>
      </c>
      <c r="F5003" t="s">
        <v>6034</v>
      </c>
      <c r="G5003" t="s">
        <v>6089</v>
      </c>
      <c r="H5003" t="s">
        <v>6098</v>
      </c>
      <c r="I5003">
        <v>24</v>
      </c>
      <c r="J5003">
        <v>19.2</v>
      </c>
      <c r="K5003" t="s">
        <v>6099</v>
      </c>
      <c r="L5003" t="s">
        <v>6100</v>
      </c>
      <c r="M5003" t="s">
        <v>6100</v>
      </c>
      <c r="N5003">
        <v>4</v>
      </c>
      <c r="O5003" t="s">
        <v>6101</v>
      </c>
      <c r="P5003" t="s">
        <v>6114</v>
      </c>
      <c r="Q5003">
        <v>8</v>
      </c>
      <c r="R5003">
        <v>2026</v>
      </c>
      <c r="S5003" t="s">
        <v>6099</v>
      </c>
      <c r="T5003">
        <v>1</v>
      </c>
      <c r="U5003" t="s">
        <v>6019</v>
      </c>
      <c r="V5003">
        <v>1</v>
      </c>
    </row>
    <row r="5004" spans="1:22" x14ac:dyDescent="0.3">
      <c r="A5004" t="s">
        <v>5019</v>
      </c>
      <c r="B5004" s="2">
        <v>46249.419444444444</v>
      </c>
      <c r="C5004" s="2">
        <v>46250.844444444447</v>
      </c>
      <c r="D5004" t="s">
        <v>6023</v>
      </c>
      <c r="E5004" t="s">
        <v>6032</v>
      </c>
      <c r="F5004" t="s">
        <v>6034</v>
      </c>
      <c r="G5004" t="s">
        <v>6092</v>
      </c>
      <c r="H5004" t="s">
        <v>6097</v>
      </c>
      <c r="I5004">
        <v>24</v>
      </c>
      <c r="J5004">
        <v>34.200000000000003</v>
      </c>
      <c r="K5004" t="s">
        <v>6100</v>
      </c>
      <c r="L5004" t="s">
        <v>6100</v>
      </c>
      <c r="M5004" t="s">
        <v>6100</v>
      </c>
      <c r="N5004">
        <v>4</v>
      </c>
      <c r="O5004" t="s">
        <v>6101</v>
      </c>
      <c r="P5004" t="s">
        <v>6114</v>
      </c>
      <c r="Q5004">
        <v>8</v>
      </c>
      <c r="R5004">
        <v>2026</v>
      </c>
      <c r="S5004" t="s">
        <v>6100</v>
      </c>
      <c r="T5004">
        <v>0</v>
      </c>
      <c r="U5004" t="s">
        <v>6019</v>
      </c>
      <c r="V5004">
        <v>0</v>
      </c>
    </row>
    <row r="5005" spans="1:22" x14ac:dyDescent="0.3">
      <c r="A5005" t="s">
        <v>5020</v>
      </c>
      <c r="B5005" s="2">
        <v>46249.442361111112</v>
      </c>
      <c r="C5005" s="2">
        <v>46249.600694444445</v>
      </c>
      <c r="D5005" t="s">
        <v>6027</v>
      </c>
      <c r="E5005" t="s">
        <v>6029</v>
      </c>
      <c r="F5005" t="s">
        <v>6034</v>
      </c>
      <c r="G5005" t="s">
        <v>6039</v>
      </c>
      <c r="H5005" t="s">
        <v>6097</v>
      </c>
      <c r="I5005">
        <v>24</v>
      </c>
      <c r="J5005">
        <v>3.8</v>
      </c>
      <c r="K5005" t="s">
        <v>6099</v>
      </c>
      <c r="L5005" t="s">
        <v>6100</v>
      </c>
      <c r="M5005" t="s">
        <v>6100</v>
      </c>
      <c r="N5005">
        <v>5</v>
      </c>
      <c r="O5005" t="s">
        <v>6101</v>
      </c>
      <c r="P5005" t="s">
        <v>6114</v>
      </c>
      <c r="Q5005">
        <v>8</v>
      </c>
      <c r="R5005">
        <v>2026</v>
      </c>
      <c r="S5005" t="s">
        <v>6099</v>
      </c>
      <c r="T5005">
        <v>1</v>
      </c>
      <c r="U5005" t="s">
        <v>6020</v>
      </c>
      <c r="V5005">
        <v>1</v>
      </c>
    </row>
    <row r="5006" spans="1:22" x14ac:dyDescent="0.3">
      <c r="A5006" t="s">
        <v>5021</v>
      </c>
      <c r="B5006" s="2">
        <v>46249.511805555558</v>
      </c>
      <c r="C5006" s="2">
        <v>46256.657638888886</v>
      </c>
      <c r="D5006" t="s">
        <v>6028</v>
      </c>
      <c r="E5006" t="s">
        <v>6031</v>
      </c>
      <c r="F5006" t="s">
        <v>6035</v>
      </c>
      <c r="G5006" t="s">
        <v>6089</v>
      </c>
      <c r="H5006" t="s">
        <v>6098</v>
      </c>
      <c r="I5006">
        <v>4</v>
      </c>
      <c r="J5006">
        <v>171.5</v>
      </c>
      <c r="K5006" t="s">
        <v>6099</v>
      </c>
      <c r="L5006" t="s">
        <v>6100</v>
      </c>
      <c r="M5006" t="s">
        <v>6100</v>
      </c>
      <c r="N5006">
        <v>4</v>
      </c>
      <c r="O5006" t="s">
        <v>6101</v>
      </c>
      <c r="P5006" t="s">
        <v>6114</v>
      </c>
      <c r="Q5006">
        <v>8</v>
      </c>
      <c r="R5006">
        <v>2026</v>
      </c>
      <c r="S5006" t="s">
        <v>6100</v>
      </c>
      <c r="T5006">
        <v>0</v>
      </c>
      <c r="U5006" t="s">
        <v>6019</v>
      </c>
      <c r="V5006">
        <v>1</v>
      </c>
    </row>
    <row r="5007" spans="1:22" x14ac:dyDescent="0.3">
      <c r="A5007" t="s">
        <v>5022</v>
      </c>
      <c r="B5007" s="2">
        <v>46249.511805555558</v>
      </c>
      <c r="C5007" s="2">
        <v>46253.711805555555</v>
      </c>
      <c r="D5007" t="s">
        <v>6026</v>
      </c>
      <c r="E5007" t="s">
        <v>6032</v>
      </c>
      <c r="F5007" t="s">
        <v>6033</v>
      </c>
      <c r="G5007" t="s">
        <v>6070</v>
      </c>
      <c r="H5007" t="s">
        <v>6097</v>
      </c>
      <c r="I5007">
        <v>72</v>
      </c>
      <c r="J5007">
        <v>100.8</v>
      </c>
      <c r="K5007" t="s">
        <v>6100</v>
      </c>
      <c r="L5007" t="s">
        <v>6099</v>
      </c>
      <c r="M5007" t="s">
        <v>6100</v>
      </c>
      <c r="O5007" t="s">
        <v>6101</v>
      </c>
      <c r="P5007" t="s">
        <v>6114</v>
      </c>
      <c r="Q5007">
        <v>8</v>
      </c>
      <c r="R5007">
        <v>2026</v>
      </c>
      <c r="S5007" t="s">
        <v>6100</v>
      </c>
      <c r="T5007">
        <v>0</v>
      </c>
      <c r="U5007" t="s">
        <v>6018</v>
      </c>
      <c r="V5007">
        <v>0</v>
      </c>
    </row>
    <row r="5008" spans="1:22" x14ac:dyDescent="0.3">
      <c r="A5008" t="s">
        <v>5023</v>
      </c>
      <c r="B5008" s="2">
        <v>46249.513888888891</v>
      </c>
      <c r="C5008" s="2">
        <v>46252.626388888886</v>
      </c>
      <c r="D5008" t="s">
        <v>6022</v>
      </c>
      <c r="E5008" t="s">
        <v>6031</v>
      </c>
      <c r="F5008" t="s">
        <v>6034</v>
      </c>
      <c r="G5008" t="s">
        <v>6090</v>
      </c>
      <c r="H5008" t="s">
        <v>6097</v>
      </c>
      <c r="I5008">
        <v>24</v>
      </c>
      <c r="J5008">
        <v>74.7</v>
      </c>
      <c r="K5008" t="s">
        <v>6099</v>
      </c>
      <c r="L5008" t="s">
        <v>6100</v>
      </c>
      <c r="M5008" t="s">
        <v>6100</v>
      </c>
      <c r="N5008">
        <v>5</v>
      </c>
      <c r="O5008" t="s">
        <v>6101</v>
      </c>
      <c r="P5008" t="s">
        <v>6114</v>
      </c>
      <c r="Q5008">
        <v>8</v>
      </c>
      <c r="R5008">
        <v>2026</v>
      </c>
      <c r="S5008" t="s">
        <v>6100</v>
      </c>
      <c r="T5008">
        <v>0</v>
      </c>
      <c r="U5008" t="s">
        <v>6020</v>
      </c>
      <c r="V5008">
        <v>1</v>
      </c>
    </row>
    <row r="5009" spans="1:22" x14ac:dyDescent="0.3">
      <c r="A5009" t="s">
        <v>5024</v>
      </c>
      <c r="B5009" s="2">
        <v>46249.599999999999</v>
      </c>
      <c r="C5009" s="2">
        <v>46250.275000000001</v>
      </c>
      <c r="D5009" t="s">
        <v>6027</v>
      </c>
      <c r="E5009" t="s">
        <v>6029</v>
      </c>
      <c r="F5009" t="s">
        <v>6034</v>
      </c>
      <c r="G5009" t="s">
        <v>6067</v>
      </c>
      <c r="H5009" t="s">
        <v>6098</v>
      </c>
      <c r="I5009">
        <v>24</v>
      </c>
      <c r="J5009">
        <v>16.2</v>
      </c>
      <c r="K5009" t="s">
        <v>6099</v>
      </c>
      <c r="L5009" t="s">
        <v>6100</v>
      </c>
      <c r="M5009" t="s">
        <v>6100</v>
      </c>
      <c r="N5009">
        <v>5</v>
      </c>
      <c r="O5009" t="s">
        <v>6101</v>
      </c>
      <c r="P5009" t="s">
        <v>6114</v>
      </c>
      <c r="Q5009">
        <v>8</v>
      </c>
      <c r="R5009">
        <v>2026</v>
      </c>
      <c r="S5009" t="s">
        <v>6099</v>
      </c>
      <c r="T5009">
        <v>1</v>
      </c>
      <c r="U5009" t="s">
        <v>6017</v>
      </c>
      <c r="V5009">
        <v>1</v>
      </c>
    </row>
    <row r="5010" spans="1:22" x14ac:dyDescent="0.3">
      <c r="A5010" t="s">
        <v>5025</v>
      </c>
      <c r="B5010" s="2">
        <v>46249.61041666667</v>
      </c>
      <c r="C5010" s="2">
        <v>46250.897916666669</v>
      </c>
      <c r="D5010" t="s">
        <v>6022</v>
      </c>
      <c r="E5010" t="s">
        <v>6029</v>
      </c>
      <c r="F5010" t="s">
        <v>6034</v>
      </c>
      <c r="G5010" t="s">
        <v>6083</v>
      </c>
      <c r="H5010" t="s">
        <v>6096</v>
      </c>
      <c r="I5010">
        <v>24</v>
      </c>
      <c r="J5010">
        <v>30.9</v>
      </c>
      <c r="K5010" t="s">
        <v>6099</v>
      </c>
      <c r="L5010" t="s">
        <v>6100</v>
      </c>
      <c r="M5010" t="s">
        <v>6100</v>
      </c>
      <c r="O5010" t="s">
        <v>6101</v>
      </c>
      <c r="P5010" t="s">
        <v>6114</v>
      </c>
      <c r="Q5010">
        <v>8</v>
      </c>
      <c r="R5010">
        <v>2026</v>
      </c>
      <c r="S5010" t="s">
        <v>6100</v>
      </c>
      <c r="T5010">
        <v>0</v>
      </c>
      <c r="U5010" t="s">
        <v>6020</v>
      </c>
      <c r="V5010">
        <v>1</v>
      </c>
    </row>
    <row r="5011" spans="1:22" x14ac:dyDescent="0.3">
      <c r="A5011" t="s">
        <v>5026</v>
      </c>
      <c r="B5011" s="2">
        <v>46249.615277777775</v>
      </c>
      <c r="C5011" s="2">
        <v>46250.00277777778</v>
      </c>
      <c r="D5011" t="s">
        <v>6022</v>
      </c>
      <c r="E5011" t="s">
        <v>6030</v>
      </c>
      <c r="F5011" t="s">
        <v>6034</v>
      </c>
      <c r="G5011" t="s">
        <v>6077</v>
      </c>
      <c r="H5011" t="s">
        <v>6098</v>
      </c>
      <c r="I5011">
        <v>24</v>
      </c>
      <c r="J5011">
        <v>9.3000000000000007</v>
      </c>
      <c r="K5011" t="s">
        <v>6100</v>
      </c>
      <c r="L5011" t="s">
        <v>6099</v>
      </c>
      <c r="M5011" t="s">
        <v>6100</v>
      </c>
      <c r="O5011" t="s">
        <v>6101</v>
      </c>
      <c r="P5011" t="s">
        <v>6114</v>
      </c>
      <c r="Q5011">
        <v>8</v>
      </c>
      <c r="R5011">
        <v>2026</v>
      </c>
      <c r="S5011" t="s">
        <v>6099</v>
      </c>
      <c r="T5011">
        <v>1</v>
      </c>
      <c r="U5011" t="s">
        <v>6021</v>
      </c>
      <c r="V5011">
        <v>0</v>
      </c>
    </row>
    <row r="5012" spans="1:22" x14ac:dyDescent="0.3">
      <c r="A5012" t="s">
        <v>5027</v>
      </c>
      <c r="B5012" s="2">
        <v>46249.63958333333</v>
      </c>
      <c r="C5012" s="2">
        <v>46250.002083333333</v>
      </c>
      <c r="D5012" t="s">
        <v>6022</v>
      </c>
      <c r="E5012" t="s">
        <v>6030</v>
      </c>
      <c r="F5012" t="s">
        <v>6033</v>
      </c>
      <c r="G5012" t="s">
        <v>6076</v>
      </c>
      <c r="H5012" t="s">
        <v>6097</v>
      </c>
      <c r="I5012">
        <v>72</v>
      </c>
      <c r="J5012">
        <v>8.6999999999999993</v>
      </c>
      <c r="K5012" t="s">
        <v>6100</v>
      </c>
      <c r="L5012" t="s">
        <v>6100</v>
      </c>
      <c r="M5012" t="s">
        <v>6100</v>
      </c>
      <c r="N5012">
        <v>5</v>
      </c>
      <c r="O5012" t="s">
        <v>6101</v>
      </c>
      <c r="P5012" t="s">
        <v>6114</v>
      </c>
      <c r="Q5012">
        <v>8</v>
      </c>
      <c r="R5012">
        <v>2026</v>
      </c>
      <c r="S5012" t="s">
        <v>6099</v>
      </c>
      <c r="T5012">
        <v>1</v>
      </c>
      <c r="U5012" t="s">
        <v>6019</v>
      </c>
      <c r="V5012">
        <v>0</v>
      </c>
    </row>
    <row r="5013" spans="1:22" x14ac:dyDescent="0.3">
      <c r="A5013" t="s">
        <v>5028</v>
      </c>
      <c r="B5013" s="2">
        <v>46249.648611111108</v>
      </c>
      <c r="C5013" s="2">
        <v>46250.365277777775</v>
      </c>
      <c r="D5013" t="s">
        <v>6022</v>
      </c>
      <c r="E5013" t="s">
        <v>6032</v>
      </c>
      <c r="F5013" t="s">
        <v>6034</v>
      </c>
      <c r="G5013" t="s">
        <v>6081</v>
      </c>
      <c r="H5013" t="s">
        <v>6098</v>
      </c>
      <c r="I5013">
        <v>24</v>
      </c>
      <c r="J5013">
        <v>17.2</v>
      </c>
      <c r="K5013" t="s">
        <v>6100</v>
      </c>
      <c r="L5013" t="s">
        <v>6100</v>
      </c>
      <c r="M5013" t="s">
        <v>6100</v>
      </c>
      <c r="O5013" t="s">
        <v>6101</v>
      </c>
      <c r="P5013" t="s">
        <v>6114</v>
      </c>
      <c r="Q5013">
        <v>8</v>
      </c>
      <c r="R5013">
        <v>2026</v>
      </c>
      <c r="S5013" t="s">
        <v>6099</v>
      </c>
      <c r="T5013">
        <v>1</v>
      </c>
      <c r="U5013" t="s">
        <v>6018</v>
      </c>
      <c r="V5013">
        <v>0</v>
      </c>
    </row>
    <row r="5014" spans="1:22" x14ac:dyDescent="0.3">
      <c r="A5014" t="s">
        <v>5029</v>
      </c>
      <c r="B5014" s="2">
        <v>46249.655555555553</v>
      </c>
      <c r="C5014" s="2">
        <v>46250.43472222222</v>
      </c>
      <c r="D5014" t="s">
        <v>6022</v>
      </c>
      <c r="E5014" t="s">
        <v>6030</v>
      </c>
      <c r="F5014" t="s">
        <v>6034</v>
      </c>
      <c r="G5014" t="s">
        <v>6037</v>
      </c>
      <c r="H5014" t="s">
        <v>6096</v>
      </c>
      <c r="I5014">
        <v>24</v>
      </c>
      <c r="J5014">
        <v>18.7</v>
      </c>
      <c r="K5014" t="s">
        <v>6099</v>
      </c>
      <c r="L5014" t="s">
        <v>6100</v>
      </c>
      <c r="M5014" t="s">
        <v>6100</v>
      </c>
      <c r="O5014" t="s">
        <v>6101</v>
      </c>
      <c r="P5014" t="s">
        <v>6114</v>
      </c>
      <c r="Q5014">
        <v>8</v>
      </c>
      <c r="R5014">
        <v>2026</v>
      </c>
      <c r="S5014" t="s">
        <v>6099</v>
      </c>
      <c r="T5014">
        <v>1</v>
      </c>
      <c r="U5014" t="s">
        <v>6020</v>
      </c>
      <c r="V5014">
        <v>1</v>
      </c>
    </row>
    <row r="5015" spans="1:22" x14ac:dyDescent="0.3">
      <c r="A5015" t="s">
        <v>5030</v>
      </c>
      <c r="B5015" s="2">
        <v>46249.666666666664</v>
      </c>
      <c r="C5015" s="2">
        <v>46250.433333333334</v>
      </c>
      <c r="D5015" t="s">
        <v>6025</v>
      </c>
      <c r="E5015" t="s">
        <v>6029</v>
      </c>
      <c r="F5015" t="s">
        <v>6033</v>
      </c>
      <c r="G5015" t="s">
        <v>6073</v>
      </c>
      <c r="H5015" t="s">
        <v>6096</v>
      </c>
      <c r="I5015">
        <v>72</v>
      </c>
      <c r="J5015">
        <v>18.399999999999999</v>
      </c>
      <c r="K5015" t="s">
        <v>6100</v>
      </c>
      <c r="L5015" t="s">
        <v>6099</v>
      </c>
      <c r="M5015" t="s">
        <v>6100</v>
      </c>
      <c r="O5015" t="s">
        <v>6101</v>
      </c>
      <c r="P5015" t="s">
        <v>6114</v>
      </c>
      <c r="Q5015">
        <v>8</v>
      </c>
      <c r="R5015">
        <v>2026</v>
      </c>
      <c r="S5015" t="s">
        <v>6099</v>
      </c>
      <c r="T5015">
        <v>1</v>
      </c>
      <c r="U5015" t="s">
        <v>6018</v>
      </c>
      <c r="V5015">
        <v>0</v>
      </c>
    </row>
    <row r="5016" spans="1:22" x14ac:dyDescent="0.3">
      <c r="A5016" t="s">
        <v>5031</v>
      </c>
      <c r="B5016" s="2">
        <v>46249.668055555558</v>
      </c>
      <c r="C5016" s="2">
        <v>46249.884722222225</v>
      </c>
      <c r="D5016" t="s">
        <v>6023</v>
      </c>
      <c r="E5016" t="s">
        <v>6029</v>
      </c>
      <c r="F5016" t="s">
        <v>6034</v>
      </c>
      <c r="G5016" t="s">
        <v>6091</v>
      </c>
      <c r="H5016" t="s">
        <v>6097</v>
      </c>
      <c r="I5016">
        <v>24</v>
      </c>
      <c r="J5016">
        <v>5.2</v>
      </c>
      <c r="K5016" t="s">
        <v>6099</v>
      </c>
      <c r="L5016" t="s">
        <v>6100</v>
      </c>
      <c r="M5016" t="s">
        <v>6099</v>
      </c>
      <c r="O5016" t="s">
        <v>6101</v>
      </c>
      <c r="P5016" t="s">
        <v>6114</v>
      </c>
      <c r="Q5016">
        <v>8</v>
      </c>
      <c r="R5016">
        <v>2026</v>
      </c>
      <c r="S5016" t="s">
        <v>6099</v>
      </c>
      <c r="T5016">
        <v>1</v>
      </c>
      <c r="U5016" t="s">
        <v>6021</v>
      </c>
      <c r="V5016">
        <v>1</v>
      </c>
    </row>
    <row r="5017" spans="1:22" x14ac:dyDescent="0.3">
      <c r="A5017" t="s">
        <v>5032</v>
      </c>
      <c r="B5017" s="2">
        <v>46249.712500000001</v>
      </c>
      <c r="C5017" s="2">
        <v>46252.229166666664</v>
      </c>
      <c r="D5017" t="s">
        <v>6025</v>
      </c>
      <c r="E5017" t="s">
        <v>6031</v>
      </c>
      <c r="F5017" t="s">
        <v>6034</v>
      </c>
      <c r="G5017" t="s">
        <v>6089</v>
      </c>
      <c r="H5017" t="s">
        <v>6098</v>
      </c>
      <c r="I5017">
        <v>24</v>
      </c>
      <c r="J5017">
        <v>60.4</v>
      </c>
      <c r="K5017" t="s">
        <v>6099</v>
      </c>
      <c r="L5017" t="s">
        <v>6100</v>
      </c>
      <c r="M5017" t="s">
        <v>6099</v>
      </c>
      <c r="O5017" t="s">
        <v>6101</v>
      </c>
      <c r="P5017" t="s">
        <v>6114</v>
      </c>
      <c r="Q5017">
        <v>8</v>
      </c>
      <c r="R5017">
        <v>2026</v>
      </c>
      <c r="S5017" t="s">
        <v>6100</v>
      </c>
      <c r="T5017">
        <v>0</v>
      </c>
      <c r="U5017" t="s">
        <v>6020</v>
      </c>
      <c r="V5017">
        <v>1</v>
      </c>
    </row>
    <row r="5018" spans="1:22" x14ac:dyDescent="0.3">
      <c r="A5018" t="s">
        <v>5033</v>
      </c>
      <c r="B5018" s="2">
        <v>46249.804861111108</v>
      </c>
      <c r="C5018" s="2">
        <v>46250.121527777781</v>
      </c>
      <c r="D5018" t="s">
        <v>6024</v>
      </c>
      <c r="E5018" t="s">
        <v>6029</v>
      </c>
      <c r="F5018" t="s">
        <v>6034</v>
      </c>
      <c r="G5018" t="s">
        <v>6041</v>
      </c>
      <c r="H5018" t="s">
        <v>6096</v>
      </c>
      <c r="I5018">
        <v>24</v>
      </c>
      <c r="J5018">
        <v>7.6</v>
      </c>
      <c r="K5018" t="s">
        <v>6099</v>
      </c>
      <c r="L5018" t="s">
        <v>6100</v>
      </c>
      <c r="M5018" t="s">
        <v>6100</v>
      </c>
      <c r="O5018" t="s">
        <v>6101</v>
      </c>
      <c r="P5018" t="s">
        <v>6114</v>
      </c>
      <c r="Q5018">
        <v>8</v>
      </c>
      <c r="R5018">
        <v>2026</v>
      </c>
      <c r="S5018" t="s">
        <v>6099</v>
      </c>
      <c r="T5018">
        <v>1</v>
      </c>
      <c r="U5018" t="s">
        <v>6021</v>
      </c>
      <c r="V5018">
        <v>1</v>
      </c>
    </row>
    <row r="5019" spans="1:22" x14ac:dyDescent="0.3">
      <c r="A5019" t="s">
        <v>5034</v>
      </c>
      <c r="B5019" s="2">
        <v>46249.806250000001</v>
      </c>
      <c r="C5019" s="2">
        <v>46249.914583333331</v>
      </c>
      <c r="D5019" t="s">
        <v>6023</v>
      </c>
      <c r="E5019" t="s">
        <v>6030</v>
      </c>
      <c r="F5019" t="s">
        <v>6034</v>
      </c>
      <c r="G5019" t="s">
        <v>6052</v>
      </c>
      <c r="H5019" t="s">
        <v>6098</v>
      </c>
      <c r="I5019">
        <v>24</v>
      </c>
      <c r="J5019">
        <v>2.6</v>
      </c>
      <c r="K5019" t="s">
        <v>6100</v>
      </c>
      <c r="L5019" t="s">
        <v>6099</v>
      </c>
      <c r="M5019" t="s">
        <v>6100</v>
      </c>
      <c r="O5019" t="s">
        <v>6101</v>
      </c>
      <c r="P5019" t="s">
        <v>6114</v>
      </c>
      <c r="Q5019">
        <v>8</v>
      </c>
      <c r="R5019">
        <v>2026</v>
      </c>
      <c r="S5019" t="s">
        <v>6099</v>
      </c>
      <c r="T5019">
        <v>1</v>
      </c>
      <c r="U5019" t="s">
        <v>6019</v>
      </c>
      <c r="V5019">
        <v>0</v>
      </c>
    </row>
    <row r="5020" spans="1:22" x14ac:dyDescent="0.3">
      <c r="A5020" t="s">
        <v>5035</v>
      </c>
      <c r="B5020" s="2">
        <v>46249.85833333333</v>
      </c>
      <c r="C5020" s="2">
        <v>46251.487500000003</v>
      </c>
      <c r="D5020" t="s">
        <v>6027</v>
      </c>
      <c r="E5020" t="s">
        <v>6031</v>
      </c>
      <c r="F5020" t="s">
        <v>6034</v>
      </c>
      <c r="G5020" t="s">
        <v>6061</v>
      </c>
      <c r="H5020" t="s">
        <v>6096</v>
      </c>
      <c r="I5020">
        <v>24</v>
      </c>
      <c r="J5020">
        <v>39.1</v>
      </c>
      <c r="K5020" t="s">
        <v>6099</v>
      </c>
      <c r="L5020" t="s">
        <v>6100</v>
      </c>
      <c r="M5020" t="s">
        <v>6100</v>
      </c>
      <c r="N5020">
        <v>3</v>
      </c>
      <c r="O5020" t="s">
        <v>6101</v>
      </c>
      <c r="P5020" t="s">
        <v>6114</v>
      </c>
      <c r="Q5020">
        <v>8</v>
      </c>
      <c r="R5020">
        <v>2026</v>
      </c>
      <c r="S5020" t="s">
        <v>6100</v>
      </c>
      <c r="T5020">
        <v>0</v>
      </c>
      <c r="U5020" t="s">
        <v>6021</v>
      </c>
      <c r="V5020">
        <v>1</v>
      </c>
    </row>
    <row r="5021" spans="1:22" x14ac:dyDescent="0.3">
      <c r="A5021" t="s">
        <v>5036</v>
      </c>
      <c r="B5021" s="2">
        <v>46249.947916666664</v>
      </c>
      <c r="C5021" s="2">
        <v>46250.881249999999</v>
      </c>
      <c r="D5021" t="s">
        <v>6024</v>
      </c>
      <c r="E5021" t="s">
        <v>6032</v>
      </c>
      <c r="F5021" t="s">
        <v>6033</v>
      </c>
      <c r="G5021" t="s">
        <v>6041</v>
      </c>
      <c r="H5021" t="s">
        <v>6096</v>
      </c>
      <c r="I5021">
        <v>72</v>
      </c>
      <c r="J5021">
        <v>22.4</v>
      </c>
      <c r="K5021" t="s">
        <v>6100</v>
      </c>
      <c r="L5021" t="s">
        <v>6099</v>
      </c>
      <c r="M5021" t="s">
        <v>6100</v>
      </c>
      <c r="N5021">
        <v>2</v>
      </c>
      <c r="O5021" t="s">
        <v>6101</v>
      </c>
      <c r="P5021" t="s">
        <v>6114</v>
      </c>
      <c r="Q5021">
        <v>8</v>
      </c>
      <c r="R5021">
        <v>2026</v>
      </c>
      <c r="S5021" t="s">
        <v>6099</v>
      </c>
      <c r="T5021">
        <v>1</v>
      </c>
      <c r="U5021" t="s">
        <v>6021</v>
      </c>
      <c r="V5021">
        <v>0</v>
      </c>
    </row>
    <row r="5022" spans="1:22" x14ac:dyDescent="0.3">
      <c r="A5022" t="s">
        <v>5037</v>
      </c>
      <c r="B5022" s="2">
        <v>46249.990277777775</v>
      </c>
      <c r="C5022" s="2">
        <v>46250.273611111108</v>
      </c>
      <c r="D5022" t="s">
        <v>6023</v>
      </c>
      <c r="E5022" t="s">
        <v>6029</v>
      </c>
      <c r="F5022" t="s">
        <v>6034</v>
      </c>
      <c r="G5022" t="s">
        <v>6080</v>
      </c>
      <c r="H5022" t="s">
        <v>6096</v>
      </c>
      <c r="I5022">
        <v>24</v>
      </c>
      <c r="J5022">
        <v>6.8</v>
      </c>
      <c r="K5022" t="s">
        <v>6099</v>
      </c>
      <c r="L5022" t="s">
        <v>6100</v>
      </c>
      <c r="M5022" t="s">
        <v>6100</v>
      </c>
      <c r="O5022" t="s">
        <v>6101</v>
      </c>
      <c r="P5022" t="s">
        <v>6114</v>
      </c>
      <c r="Q5022">
        <v>8</v>
      </c>
      <c r="R5022">
        <v>2026</v>
      </c>
      <c r="S5022" t="s">
        <v>6099</v>
      </c>
      <c r="T5022">
        <v>1</v>
      </c>
      <c r="U5022" t="s">
        <v>6020</v>
      </c>
      <c r="V5022">
        <v>1</v>
      </c>
    </row>
    <row r="5023" spans="1:22" x14ac:dyDescent="0.3">
      <c r="A5023" t="s">
        <v>5038</v>
      </c>
      <c r="B5023" s="2">
        <v>46250.220138888886</v>
      </c>
      <c r="C5023" s="2">
        <v>46251.245138888888</v>
      </c>
      <c r="D5023" t="s">
        <v>6023</v>
      </c>
      <c r="E5023" t="s">
        <v>6029</v>
      </c>
      <c r="F5023" t="s">
        <v>6033</v>
      </c>
      <c r="G5023" t="s">
        <v>6085</v>
      </c>
      <c r="H5023" t="s">
        <v>6097</v>
      </c>
      <c r="I5023">
        <v>72</v>
      </c>
      <c r="J5023">
        <v>24.6</v>
      </c>
      <c r="K5023" t="s">
        <v>6100</v>
      </c>
      <c r="L5023" t="s">
        <v>6100</v>
      </c>
      <c r="M5023" t="s">
        <v>6100</v>
      </c>
      <c r="N5023">
        <v>4</v>
      </c>
      <c r="O5023" t="s">
        <v>6101</v>
      </c>
      <c r="P5023" t="s">
        <v>6114</v>
      </c>
      <c r="Q5023">
        <v>8</v>
      </c>
      <c r="R5023">
        <v>2026</v>
      </c>
      <c r="S5023" t="s">
        <v>6099</v>
      </c>
      <c r="T5023">
        <v>1</v>
      </c>
      <c r="U5023" t="s">
        <v>6021</v>
      </c>
      <c r="V5023">
        <v>0</v>
      </c>
    </row>
    <row r="5024" spans="1:22" x14ac:dyDescent="0.3">
      <c r="A5024" t="s">
        <v>5039</v>
      </c>
      <c r="B5024" s="2">
        <v>46250.24722222222</v>
      </c>
      <c r="C5024" s="2">
        <v>46250.393055555556</v>
      </c>
      <c r="D5024" t="s">
        <v>6023</v>
      </c>
      <c r="E5024" t="s">
        <v>6030</v>
      </c>
      <c r="F5024" t="s">
        <v>6033</v>
      </c>
      <c r="G5024" t="s">
        <v>6081</v>
      </c>
      <c r="H5024" t="s">
        <v>6098</v>
      </c>
      <c r="I5024">
        <v>72</v>
      </c>
      <c r="J5024">
        <v>3.5</v>
      </c>
      <c r="K5024" t="s">
        <v>6100</v>
      </c>
      <c r="L5024" t="s">
        <v>6099</v>
      </c>
      <c r="M5024" t="s">
        <v>6100</v>
      </c>
      <c r="N5024">
        <v>2</v>
      </c>
      <c r="O5024" t="s">
        <v>6101</v>
      </c>
      <c r="P5024" t="s">
        <v>6114</v>
      </c>
      <c r="Q5024">
        <v>8</v>
      </c>
      <c r="R5024">
        <v>2026</v>
      </c>
      <c r="S5024" t="s">
        <v>6099</v>
      </c>
      <c r="T5024">
        <v>1</v>
      </c>
      <c r="U5024" t="s">
        <v>6017</v>
      </c>
      <c r="V5024">
        <v>0</v>
      </c>
    </row>
    <row r="5025" spans="1:22" x14ac:dyDescent="0.3">
      <c r="A5025" t="s">
        <v>5040</v>
      </c>
      <c r="B5025" s="2">
        <v>46250.256249999999</v>
      </c>
      <c r="C5025" s="2">
        <v>46254.631249999999</v>
      </c>
      <c r="D5025" t="s">
        <v>6025</v>
      </c>
      <c r="E5025" t="s">
        <v>6031</v>
      </c>
      <c r="F5025" t="s">
        <v>6034</v>
      </c>
      <c r="G5025" t="s">
        <v>6050</v>
      </c>
      <c r="H5025" t="s">
        <v>6098</v>
      </c>
      <c r="I5025">
        <v>24</v>
      </c>
      <c r="J5025">
        <v>105</v>
      </c>
      <c r="K5025" t="s">
        <v>6100</v>
      </c>
      <c r="L5025" t="s">
        <v>6100</v>
      </c>
      <c r="M5025" t="s">
        <v>6100</v>
      </c>
      <c r="O5025" t="s">
        <v>6101</v>
      </c>
      <c r="P5025" t="s">
        <v>6114</v>
      </c>
      <c r="Q5025">
        <v>8</v>
      </c>
      <c r="R5025">
        <v>2026</v>
      </c>
      <c r="S5025" t="s">
        <v>6100</v>
      </c>
      <c r="T5025">
        <v>0</v>
      </c>
      <c r="U5025" t="s">
        <v>6020</v>
      </c>
      <c r="V5025">
        <v>0</v>
      </c>
    </row>
    <row r="5026" spans="1:22" x14ac:dyDescent="0.3">
      <c r="A5026" t="s">
        <v>5041</v>
      </c>
      <c r="B5026" s="2">
        <v>46250.318749999999</v>
      </c>
      <c r="C5026" s="2">
        <v>46251.222916666666</v>
      </c>
      <c r="D5026" t="s">
        <v>6023</v>
      </c>
      <c r="E5026" t="s">
        <v>6032</v>
      </c>
      <c r="F5026" t="s">
        <v>6034</v>
      </c>
      <c r="G5026" t="s">
        <v>6067</v>
      </c>
      <c r="H5026" t="s">
        <v>6098</v>
      </c>
      <c r="I5026">
        <v>24</v>
      </c>
      <c r="J5026">
        <v>21.7</v>
      </c>
      <c r="K5026" t="s">
        <v>6100</v>
      </c>
      <c r="L5026" t="s">
        <v>6100</v>
      </c>
      <c r="M5026" t="s">
        <v>6099</v>
      </c>
      <c r="N5026">
        <v>4</v>
      </c>
      <c r="O5026" t="s">
        <v>6101</v>
      </c>
      <c r="P5026" t="s">
        <v>6114</v>
      </c>
      <c r="Q5026">
        <v>8</v>
      </c>
      <c r="R5026">
        <v>2026</v>
      </c>
      <c r="S5026" t="s">
        <v>6099</v>
      </c>
      <c r="T5026">
        <v>1</v>
      </c>
      <c r="U5026" t="s">
        <v>6020</v>
      </c>
      <c r="V5026">
        <v>0</v>
      </c>
    </row>
    <row r="5027" spans="1:22" x14ac:dyDescent="0.3">
      <c r="A5027" t="s">
        <v>5042</v>
      </c>
      <c r="B5027" s="2">
        <v>46250.321527777778</v>
      </c>
      <c r="C5027" s="2">
        <v>46250.663194444445</v>
      </c>
      <c r="D5027" t="s">
        <v>6028</v>
      </c>
      <c r="E5027" t="s">
        <v>6030</v>
      </c>
      <c r="F5027" t="s">
        <v>6035</v>
      </c>
      <c r="G5027" t="s">
        <v>6045</v>
      </c>
      <c r="H5027" t="s">
        <v>6096</v>
      </c>
      <c r="I5027">
        <v>4</v>
      </c>
      <c r="J5027">
        <v>8.1999999999999993</v>
      </c>
      <c r="K5027" t="s">
        <v>6099</v>
      </c>
      <c r="L5027" t="s">
        <v>6100</v>
      </c>
      <c r="M5027" t="s">
        <v>6099</v>
      </c>
      <c r="N5027">
        <v>4</v>
      </c>
      <c r="O5027" t="s">
        <v>6101</v>
      </c>
      <c r="P5027" t="s">
        <v>6114</v>
      </c>
      <c r="Q5027">
        <v>8</v>
      </c>
      <c r="R5027">
        <v>2026</v>
      </c>
      <c r="S5027" t="s">
        <v>6100</v>
      </c>
      <c r="T5027">
        <v>0</v>
      </c>
      <c r="U5027" t="s">
        <v>6019</v>
      </c>
      <c r="V5027">
        <v>1</v>
      </c>
    </row>
    <row r="5028" spans="1:22" x14ac:dyDescent="0.3">
      <c r="A5028" t="s">
        <v>5043</v>
      </c>
      <c r="B5028" s="2">
        <v>46250.323611111111</v>
      </c>
      <c r="C5028" s="2">
        <v>46252.465277777781</v>
      </c>
      <c r="D5028" t="s">
        <v>6025</v>
      </c>
      <c r="E5028" t="s">
        <v>6029</v>
      </c>
      <c r="F5028" t="s">
        <v>6034</v>
      </c>
      <c r="G5028" t="s">
        <v>6055</v>
      </c>
      <c r="H5028" t="s">
        <v>6096</v>
      </c>
      <c r="I5028">
        <v>24</v>
      </c>
      <c r="J5028">
        <v>51.4</v>
      </c>
      <c r="K5028" t="s">
        <v>6100</v>
      </c>
      <c r="L5028" t="s">
        <v>6099</v>
      </c>
      <c r="M5028" t="s">
        <v>6100</v>
      </c>
      <c r="N5028">
        <v>4</v>
      </c>
      <c r="O5028" t="s">
        <v>6101</v>
      </c>
      <c r="P5028" t="s">
        <v>6114</v>
      </c>
      <c r="Q5028">
        <v>8</v>
      </c>
      <c r="R5028">
        <v>2026</v>
      </c>
      <c r="S5028" t="s">
        <v>6100</v>
      </c>
      <c r="T5028">
        <v>0</v>
      </c>
      <c r="U5028" t="s">
        <v>6018</v>
      </c>
      <c r="V5028">
        <v>0</v>
      </c>
    </row>
    <row r="5029" spans="1:22" x14ac:dyDescent="0.3">
      <c r="A5029" t="s">
        <v>5044</v>
      </c>
      <c r="B5029" s="2">
        <v>46250.393055555556</v>
      </c>
      <c r="C5029" s="2">
        <v>46250.780555555553</v>
      </c>
      <c r="D5029" t="s">
        <v>6024</v>
      </c>
      <c r="E5029" t="s">
        <v>6030</v>
      </c>
      <c r="F5029" t="s">
        <v>6034</v>
      </c>
      <c r="G5029" t="s">
        <v>6043</v>
      </c>
      <c r="H5029" t="s">
        <v>6097</v>
      </c>
      <c r="I5029">
        <v>24</v>
      </c>
      <c r="J5029">
        <v>9.3000000000000007</v>
      </c>
      <c r="K5029" t="s">
        <v>6099</v>
      </c>
      <c r="L5029" t="s">
        <v>6100</v>
      </c>
      <c r="M5029" t="s">
        <v>6100</v>
      </c>
      <c r="N5029">
        <v>4</v>
      </c>
      <c r="O5029" t="s">
        <v>6101</v>
      </c>
      <c r="P5029" t="s">
        <v>6114</v>
      </c>
      <c r="Q5029">
        <v>8</v>
      </c>
      <c r="R5029">
        <v>2026</v>
      </c>
      <c r="S5029" t="s">
        <v>6099</v>
      </c>
      <c r="T5029">
        <v>1</v>
      </c>
      <c r="U5029" t="s">
        <v>6018</v>
      </c>
      <c r="V5029">
        <v>1</v>
      </c>
    </row>
    <row r="5030" spans="1:22" x14ac:dyDescent="0.3">
      <c r="A5030" t="s">
        <v>5045</v>
      </c>
      <c r="B5030" s="2">
        <v>46250.404166666667</v>
      </c>
      <c r="C5030" s="2">
        <v>46250.958333333336</v>
      </c>
      <c r="D5030" t="s">
        <v>6022</v>
      </c>
      <c r="E5030" t="s">
        <v>6029</v>
      </c>
      <c r="F5030" t="s">
        <v>6033</v>
      </c>
      <c r="G5030" t="s">
        <v>6050</v>
      </c>
      <c r="H5030" t="s">
        <v>6098</v>
      </c>
      <c r="I5030">
        <v>72</v>
      </c>
      <c r="J5030">
        <v>13.3</v>
      </c>
      <c r="K5030" t="s">
        <v>6100</v>
      </c>
      <c r="L5030" t="s">
        <v>6099</v>
      </c>
      <c r="M5030" t="s">
        <v>6100</v>
      </c>
      <c r="N5030">
        <v>2</v>
      </c>
      <c r="O5030" t="s">
        <v>6101</v>
      </c>
      <c r="P5030" t="s">
        <v>6114</v>
      </c>
      <c r="Q5030">
        <v>8</v>
      </c>
      <c r="R5030">
        <v>2026</v>
      </c>
      <c r="S5030" t="s">
        <v>6099</v>
      </c>
      <c r="T5030">
        <v>1</v>
      </c>
      <c r="U5030" t="s">
        <v>6017</v>
      </c>
      <c r="V5030">
        <v>0</v>
      </c>
    </row>
    <row r="5031" spans="1:22" x14ac:dyDescent="0.3">
      <c r="A5031" t="s">
        <v>5046</v>
      </c>
      <c r="B5031" s="2">
        <v>46250.475694444445</v>
      </c>
      <c r="C5031" s="2">
        <v>46251.929861111108</v>
      </c>
      <c r="D5031" t="s">
        <v>6024</v>
      </c>
      <c r="E5031" t="s">
        <v>6031</v>
      </c>
      <c r="F5031" t="s">
        <v>6033</v>
      </c>
      <c r="G5031" t="s">
        <v>6072</v>
      </c>
      <c r="H5031" t="s">
        <v>6097</v>
      </c>
      <c r="I5031">
        <v>72</v>
      </c>
      <c r="J5031">
        <v>34.9</v>
      </c>
      <c r="K5031" t="s">
        <v>6099</v>
      </c>
      <c r="L5031" t="s">
        <v>6100</v>
      </c>
      <c r="M5031" t="s">
        <v>6100</v>
      </c>
      <c r="N5031">
        <v>4</v>
      </c>
      <c r="O5031" t="s">
        <v>6101</v>
      </c>
      <c r="P5031" t="s">
        <v>6114</v>
      </c>
      <c r="Q5031">
        <v>8</v>
      </c>
      <c r="R5031">
        <v>2026</v>
      </c>
      <c r="S5031" t="s">
        <v>6099</v>
      </c>
      <c r="T5031">
        <v>1</v>
      </c>
      <c r="U5031" t="s">
        <v>6020</v>
      </c>
      <c r="V5031">
        <v>1</v>
      </c>
    </row>
    <row r="5032" spans="1:22" x14ac:dyDescent="0.3">
      <c r="A5032" t="s">
        <v>5047</v>
      </c>
      <c r="B5032" s="2">
        <v>46250.486111111109</v>
      </c>
      <c r="C5032" s="2">
        <v>46253.711111111108</v>
      </c>
      <c r="D5032" t="s">
        <v>6025</v>
      </c>
      <c r="E5032" t="s">
        <v>6031</v>
      </c>
      <c r="F5032" t="s">
        <v>6034</v>
      </c>
      <c r="G5032" t="s">
        <v>6090</v>
      </c>
      <c r="H5032" t="s">
        <v>6097</v>
      </c>
      <c r="I5032">
        <v>24</v>
      </c>
      <c r="J5032">
        <v>77.400000000000006</v>
      </c>
      <c r="K5032" t="s">
        <v>6100</v>
      </c>
      <c r="L5032" t="s">
        <v>6099</v>
      </c>
      <c r="M5032" t="s">
        <v>6100</v>
      </c>
      <c r="N5032">
        <v>4</v>
      </c>
      <c r="O5032" t="s">
        <v>6101</v>
      </c>
      <c r="P5032" t="s">
        <v>6114</v>
      </c>
      <c r="Q5032">
        <v>8</v>
      </c>
      <c r="R5032">
        <v>2026</v>
      </c>
      <c r="S5032" t="s">
        <v>6100</v>
      </c>
      <c r="T5032">
        <v>0</v>
      </c>
      <c r="U5032" t="s">
        <v>6019</v>
      </c>
      <c r="V5032">
        <v>0</v>
      </c>
    </row>
    <row r="5033" spans="1:22" x14ac:dyDescent="0.3">
      <c r="A5033" t="s">
        <v>5048</v>
      </c>
      <c r="B5033" s="2">
        <v>46250.486111111109</v>
      </c>
      <c r="C5033" s="2">
        <v>46250.727777777778</v>
      </c>
      <c r="D5033" t="s">
        <v>6023</v>
      </c>
      <c r="E5033" t="s">
        <v>6030</v>
      </c>
      <c r="F5033" t="s">
        <v>6035</v>
      </c>
      <c r="G5033" t="s">
        <v>6090</v>
      </c>
      <c r="H5033" t="s">
        <v>6097</v>
      </c>
      <c r="I5033">
        <v>4</v>
      </c>
      <c r="J5033">
        <v>5.8</v>
      </c>
      <c r="K5033" t="s">
        <v>6099</v>
      </c>
      <c r="L5033" t="s">
        <v>6100</v>
      </c>
      <c r="M5033" t="s">
        <v>6100</v>
      </c>
      <c r="N5033">
        <v>5</v>
      </c>
      <c r="O5033" t="s">
        <v>6101</v>
      </c>
      <c r="P5033" t="s">
        <v>6114</v>
      </c>
      <c r="Q5033">
        <v>8</v>
      </c>
      <c r="R5033">
        <v>2026</v>
      </c>
      <c r="S5033" t="s">
        <v>6100</v>
      </c>
      <c r="T5033">
        <v>0</v>
      </c>
      <c r="U5033" t="s">
        <v>6020</v>
      </c>
      <c r="V5033">
        <v>1</v>
      </c>
    </row>
    <row r="5034" spans="1:22" x14ac:dyDescent="0.3">
      <c r="A5034" t="s">
        <v>5049</v>
      </c>
      <c r="B5034" s="2">
        <v>46250.490277777775</v>
      </c>
      <c r="C5034" s="2">
        <v>46251.611111111109</v>
      </c>
      <c r="D5034" t="s">
        <v>6027</v>
      </c>
      <c r="E5034" t="s">
        <v>6032</v>
      </c>
      <c r="F5034" t="s">
        <v>6034</v>
      </c>
      <c r="G5034" t="s">
        <v>6089</v>
      </c>
      <c r="H5034" t="s">
        <v>6098</v>
      </c>
      <c r="I5034">
        <v>24</v>
      </c>
      <c r="J5034">
        <v>26.9</v>
      </c>
      <c r="K5034" t="s">
        <v>6099</v>
      </c>
      <c r="L5034" t="s">
        <v>6100</v>
      </c>
      <c r="M5034" t="s">
        <v>6100</v>
      </c>
      <c r="N5034">
        <v>3</v>
      </c>
      <c r="O5034" t="s">
        <v>6101</v>
      </c>
      <c r="P5034" t="s">
        <v>6114</v>
      </c>
      <c r="Q5034">
        <v>8</v>
      </c>
      <c r="R5034">
        <v>2026</v>
      </c>
      <c r="S5034" t="s">
        <v>6100</v>
      </c>
      <c r="T5034">
        <v>0</v>
      </c>
      <c r="U5034" t="s">
        <v>6019</v>
      </c>
      <c r="V5034">
        <v>1</v>
      </c>
    </row>
    <row r="5035" spans="1:22" x14ac:dyDescent="0.3">
      <c r="A5035" t="s">
        <v>5050</v>
      </c>
      <c r="B5035" s="2">
        <v>46250.536805555559</v>
      </c>
      <c r="C5035" s="2">
        <v>46252.02847222222</v>
      </c>
      <c r="D5035" t="s">
        <v>6024</v>
      </c>
      <c r="E5035" t="s">
        <v>6029</v>
      </c>
      <c r="F5035" t="s">
        <v>6033</v>
      </c>
      <c r="G5035" t="s">
        <v>6070</v>
      </c>
      <c r="H5035" t="s">
        <v>6097</v>
      </c>
      <c r="I5035">
        <v>72</v>
      </c>
      <c r="J5035">
        <v>35.799999999999997</v>
      </c>
      <c r="K5035" t="s">
        <v>6100</v>
      </c>
      <c r="L5035" t="s">
        <v>6100</v>
      </c>
      <c r="M5035" t="s">
        <v>6100</v>
      </c>
      <c r="N5035">
        <v>3</v>
      </c>
      <c r="O5035" t="s">
        <v>6101</v>
      </c>
      <c r="P5035" t="s">
        <v>6114</v>
      </c>
      <c r="Q5035">
        <v>8</v>
      </c>
      <c r="R5035">
        <v>2026</v>
      </c>
      <c r="S5035" t="s">
        <v>6099</v>
      </c>
      <c r="T5035">
        <v>1</v>
      </c>
      <c r="U5035" t="s">
        <v>6021</v>
      </c>
      <c r="V5035">
        <v>0</v>
      </c>
    </row>
    <row r="5036" spans="1:22" x14ac:dyDescent="0.3">
      <c r="A5036" t="s">
        <v>5051</v>
      </c>
      <c r="B5036" s="2">
        <v>46250.543749999997</v>
      </c>
      <c r="C5036" s="2">
        <v>46251.635416666664</v>
      </c>
      <c r="D5036" t="s">
        <v>6027</v>
      </c>
      <c r="E5036" t="s">
        <v>6032</v>
      </c>
      <c r="F5036" t="s">
        <v>6035</v>
      </c>
      <c r="G5036" t="s">
        <v>6049</v>
      </c>
      <c r="H5036" t="s">
        <v>6097</v>
      </c>
      <c r="I5036">
        <v>4</v>
      </c>
      <c r="J5036">
        <v>26.2</v>
      </c>
      <c r="K5036" t="s">
        <v>6100</v>
      </c>
      <c r="L5036" t="s">
        <v>6100</v>
      </c>
      <c r="M5036" t="s">
        <v>6099</v>
      </c>
      <c r="N5036">
        <v>3</v>
      </c>
      <c r="O5036" t="s">
        <v>6101</v>
      </c>
      <c r="P5036" t="s">
        <v>6114</v>
      </c>
      <c r="Q5036">
        <v>8</v>
      </c>
      <c r="R5036">
        <v>2026</v>
      </c>
      <c r="S5036" t="s">
        <v>6100</v>
      </c>
      <c r="T5036">
        <v>0</v>
      </c>
      <c r="U5036" t="s">
        <v>6020</v>
      </c>
      <c r="V5036">
        <v>0</v>
      </c>
    </row>
    <row r="5037" spans="1:22" x14ac:dyDescent="0.3">
      <c r="A5037" t="s">
        <v>5052</v>
      </c>
      <c r="B5037" s="2">
        <v>46250.545138888891</v>
      </c>
      <c r="C5037" s="2">
        <v>46252.324305555558</v>
      </c>
      <c r="D5037" t="s">
        <v>6026</v>
      </c>
      <c r="E5037" t="s">
        <v>6029</v>
      </c>
      <c r="F5037" t="s">
        <v>6034</v>
      </c>
      <c r="G5037" t="s">
        <v>6075</v>
      </c>
      <c r="H5037" t="s">
        <v>6097</v>
      </c>
      <c r="I5037">
        <v>24</v>
      </c>
      <c r="J5037">
        <v>42.7</v>
      </c>
      <c r="K5037" t="s">
        <v>6099</v>
      </c>
      <c r="L5037" t="s">
        <v>6100</v>
      </c>
      <c r="M5037" t="s">
        <v>6100</v>
      </c>
      <c r="O5037" t="s">
        <v>6101</v>
      </c>
      <c r="P5037" t="s">
        <v>6114</v>
      </c>
      <c r="Q5037">
        <v>8</v>
      </c>
      <c r="R5037">
        <v>2026</v>
      </c>
      <c r="S5037" t="s">
        <v>6100</v>
      </c>
      <c r="T5037">
        <v>0</v>
      </c>
      <c r="U5037" t="s">
        <v>6018</v>
      </c>
      <c r="V5037">
        <v>1</v>
      </c>
    </row>
    <row r="5038" spans="1:22" x14ac:dyDescent="0.3">
      <c r="A5038" t="s">
        <v>5053</v>
      </c>
      <c r="B5038" s="2">
        <v>46250.549305555556</v>
      </c>
      <c r="C5038" s="2">
        <v>46251.257638888892</v>
      </c>
      <c r="D5038" t="s">
        <v>6028</v>
      </c>
      <c r="E5038" t="s">
        <v>6032</v>
      </c>
      <c r="F5038" t="s">
        <v>6035</v>
      </c>
      <c r="G5038" t="s">
        <v>6047</v>
      </c>
      <c r="H5038" t="s">
        <v>6098</v>
      </c>
      <c r="I5038">
        <v>4</v>
      </c>
      <c r="J5038">
        <v>17</v>
      </c>
      <c r="K5038" t="s">
        <v>6100</v>
      </c>
      <c r="L5038" t="s">
        <v>6099</v>
      </c>
      <c r="M5038" t="s">
        <v>6100</v>
      </c>
      <c r="N5038">
        <v>2</v>
      </c>
      <c r="O5038" t="s">
        <v>6101</v>
      </c>
      <c r="P5038" t="s">
        <v>6114</v>
      </c>
      <c r="Q5038">
        <v>8</v>
      </c>
      <c r="R5038">
        <v>2026</v>
      </c>
      <c r="S5038" t="s">
        <v>6100</v>
      </c>
      <c r="T5038">
        <v>0</v>
      </c>
      <c r="U5038" t="s">
        <v>6019</v>
      </c>
      <c r="V5038">
        <v>0</v>
      </c>
    </row>
    <row r="5039" spans="1:22" x14ac:dyDescent="0.3">
      <c r="A5039" t="s">
        <v>5054</v>
      </c>
      <c r="B5039" s="2">
        <v>46250.600694444445</v>
      </c>
      <c r="C5039" s="2">
        <v>46253.071527777778</v>
      </c>
      <c r="D5039" t="s">
        <v>6025</v>
      </c>
      <c r="E5039" t="s">
        <v>6032</v>
      </c>
      <c r="F5039" t="s">
        <v>6033</v>
      </c>
      <c r="G5039" t="s">
        <v>6068</v>
      </c>
      <c r="H5039" t="s">
        <v>6098</v>
      </c>
      <c r="I5039">
        <v>72</v>
      </c>
      <c r="J5039">
        <v>59.3</v>
      </c>
      <c r="K5039" t="s">
        <v>6099</v>
      </c>
      <c r="L5039" t="s">
        <v>6100</v>
      </c>
      <c r="M5039" t="s">
        <v>6100</v>
      </c>
      <c r="O5039" t="s">
        <v>6101</v>
      </c>
      <c r="P5039" t="s">
        <v>6114</v>
      </c>
      <c r="Q5039">
        <v>8</v>
      </c>
      <c r="R5039">
        <v>2026</v>
      </c>
      <c r="S5039" t="s">
        <v>6099</v>
      </c>
      <c r="T5039">
        <v>1</v>
      </c>
      <c r="U5039" t="s">
        <v>6018</v>
      </c>
      <c r="V5039">
        <v>1</v>
      </c>
    </row>
    <row r="5040" spans="1:22" x14ac:dyDescent="0.3">
      <c r="A5040" t="s">
        <v>5055</v>
      </c>
      <c r="B5040" s="2">
        <v>46250.606944444444</v>
      </c>
      <c r="C5040" s="2">
        <v>46251.144444444442</v>
      </c>
      <c r="D5040" t="s">
        <v>6023</v>
      </c>
      <c r="E5040" t="s">
        <v>6029</v>
      </c>
      <c r="F5040" t="s">
        <v>6033</v>
      </c>
      <c r="G5040" t="s">
        <v>6062</v>
      </c>
      <c r="H5040" t="s">
        <v>6096</v>
      </c>
      <c r="I5040">
        <v>72</v>
      </c>
      <c r="J5040">
        <v>12.9</v>
      </c>
      <c r="K5040" t="s">
        <v>6099</v>
      </c>
      <c r="L5040" t="s">
        <v>6100</v>
      </c>
      <c r="M5040" t="s">
        <v>6100</v>
      </c>
      <c r="O5040" t="s">
        <v>6101</v>
      </c>
      <c r="P5040" t="s">
        <v>6114</v>
      </c>
      <c r="Q5040">
        <v>8</v>
      </c>
      <c r="R5040">
        <v>2026</v>
      </c>
      <c r="S5040" t="s">
        <v>6099</v>
      </c>
      <c r="T5040">
        <v>1</v>
      </c>
      <c r="U5040" t="s">
        <v>6019</v>
      </c>
      <c r="V5040">
        <v>1</v>
      </c>
    </row>
    <row r="5041" spans="1:22" x14ac:dyDescent="0.3">
      <c r="A5041" t="s">
        <v>5056</v>
      </c>
      <c r="B5041" s="2">
        <v>46250.630555555559</v>
      </c>
      <c r="C5041" s="2">
        <v>46251.238888888889</v>
      </c>
      <c r="D5041" t="s">
        <v>6028</v>
      </c>
      <c r="E5041" t="s">
        <v>6032</v>
      </c>
      <c r="F5041" t="s">
        <v>6034</v>
      </c>
      <c r="G5041" t="s">
        <v>6069</v>
      </c>
      <c r="H5041" t="s">
        <v>6098</v>
      </c>
      <c r="I5041">
        <v>24</v>
      </c>
      <c r="J5041">
        <v>14.6</v>
      </c>
      <c r="K5041" t="s">
        <v>6100</v>
      </c>
      <c r="L5041" t="s">
        <v>6100</v>
      </c>
      <c r="M5041" t="s">
        <v>6100</v>
      </c>
      <c r="N5041">
        <v>3</v>
      </c>
      <c r="O5041" t="s">
        <v>6101</v>
      </c>
      <c r="P5041" t="s">
        <v>6114</v>
      </c>
      <c r="Q5041">
        <v>8</v>
      </c>
      <c r="R5041">
        <v>2026</v>
      </c>
      <c r="S5041" t="s">
        <v>6099</v>
      </c>
      <c r="T5041">
        <v>1</v>
      </c>
      <c r="U5041" t="s">
        <v>6018</v>
      </c>
      <c r="V5041">
        <v>0</v>
      </c>
    </row>
    <row r="5042" spans="1:22" x14ac:dyDescent="0.3">
      <c r="A5042" t="s">
        <v>5057</v>
      </c>
      <c r="B5042" s="2">
        <v>46250.638194444444</v>
      </c>
      <c r="C5042" s="2">
        <v>46255.913194444445</v>
      </c>
      <c r="D5042" t="s">
        <v>6026</v>
      </c>
      <c r="E5042" t="s">
        <v>6031</v>
      </c>
      <c r="F5042" t="s">
        <v>6034</v>
      </c>
      <c r="G5042" t="s">
        <v>6040</v>
      </c>
      <c r="H5042" t="s">
        <v>6097</v>
      </c>
      <c r="I5042">
        <v>24</v>
      </c>
      <c r="J5042">
        <v>126.6</v>
      </c>
      <c r="K5042" t="s">
        <v>6099</v>
      </c>
      <c r="L5042" t="s">
        <v>6100</v>
      </c>
      <c r="M5042" t="s">
        <v>6100</v>
      </c>
      <c r="N5042">
        <v>4</v>
      </c>
      <c r="O5042" t="s">
        <v>6101</v>
      </c>
      <c r="P5042" t="s">
        <v>6114</v>
      </c>
      <c r="Q5042">
        <v>8</v>
      </c>
      <c r="R5042">
        <v>2026</v>
      </c>
      <c r="S5042" t="s">
        <v>6100</v>
      </c>
      <c r="T5042">
        <v>0</v>
      </c>
      <c r="U5042" t="s">
        <v>6018</v>
      </c>
      <c r="V5042">
        <v>1</v>
      </c>
    </row>
    <row r="5043" spans="1:22" x14ac:dyDescent="0.3">
      <c r="A5043" t="s">
        <v>5058</v>
      </c>
      <c r="B5043" s="2">
        <v>46250.63958333333</v>
      </c>
      <c r="C5043" s="2">
        <v>46250.927083333336</v>
      </c>
      <c r="D5043" t="s">
        <v>6027</v>
      </c>
      <c r="E5043" t="s">
        <v>6029</v>
      </c>
      <c r="F5043" t="s">
        <v>6035</v>
      </c>
      <c r="G5043" t="s">
        <v>6047</v>
      </c>
      <c r="H5043" t="s">
        <v>6098</v>
      </c>
      <c r="I5043">
        <v>4</v>
      </c>
      <c r="J5043">
        <v>6.9</v>
      </c>
      <c r="K5043" t="s">
        <v>6099</v>
      </c>
      <c r="L5043" t="s">
        <v>6100</v>
      </c>
      <c r="M5043" t="s">
        <v>6099</v>
      </c>
      <c r="N5043">
        <v>4</v>
      </c>
      <c r="O5043" t="s">
        <v>6101</v>
      </c>
      <c r="P5043" t="s">
        <v>6114</v>
      </c>
      <c r="Q5043">
        <v>8</v>
      </c>
      <c r="R5043">
        <v>2026</v>
      </c>
      <c r="S5043" t="s">
        <v>6100</v>
      </c>
      <c r="T5043">
        <v>0</v>
      </c>
      <c r="U5043" t="s">
        <v>6018</v>
      </c>
      <c r="V5043">
        <v>1</v>
      </c>
    </row>
    <row r="5044" spans="1:22" x14ac:dyDescent="0.3">
      <c r="A5044" t="s">
        <v>5059</v>
      </c>
      <c r="B5044" s="2">
        <v>46250.689583333333</v>
      </c>
      <c r="C5044" s="2">
        <v>46251.268750000003</v>
      </c>
      <c r="D5044" t="s">
        <v>6023</v>
      </c>
      <c r="E5044" t="s">
        <v>6032</v>
      </c>
      <c r="F5044" t="s">
        <v>6033</v>
      </c>
      <c r="G5044" t="s">
        <v>6080</v>
      </c>
      <c r="H5044" t="s">
        <v>6096</v>
      </c>
      <c r="I5044">
        <v>72</v>
      </c>
      <c r="J5044">
        <v>13.9</v>
      </c>
      <c r="K5044" t="s">
        <v>6100</v>
      </c>
      <c r="L5044" t="s">
        <v>6099</v>
      </c>
      <c r="M5044" t="s">
        <v>6100</v>
      </c>
      <c r="N5044">
        <v>4</v>
      </c>
      <c r="O5044" t="s">
        <v>6101</v>
      </c>
      <c r="P5044" t="s">
        <v>6114</v>
      </c>
      <c r="Q5044">
        <v>8</v>
      </c>
      <c r="R5044">
        <v>2026</v>
      </c>
      <c r="S5044" t="s">
        <v>6099</v>
      </c>
      <c r="T5044">
        <v>1</v>
      </c>
      <c r="U5044" t="s">
        <v>6018</v>
      </c>
      <c r="V5044">
        <v>0</v>
      </c>
    </row>
    <row r="5045" spans="1:22" x14ac:dyDescent="0.3">
      <c r="A5045" t="s">
        <v>5060</v>
      </c>
      <c r="B5045" s="2">
        <v>46250.714583333334</v>
      </c>
      <c r="C5045" s="2">
        <v>46251.581250000003</v>
      </c>
      <c r="D5045" t="s">
        <v>6023</v>
      </c>
      <c r="E5045" t="s">
        <v>6032</v>
      </c>
      <c r="F5045" t="s">
        <v>6033</v>
      </c>
      <c r="G5045" t="s">
        <v>6039</v>
      </c>
      <c r="H5045" t="s">
        <v>6097</v>
      </c>
      <c r="I5045">
        <v>72</v>
      </c>
      <c r="J5045">
        <v>20.8</v>
      </c>
      <c r="K5045" t="s">
        <v>6099</v>
      </c>
      <c r="L5045" t="s">
        <v>6100</v>
      </c>
      <c r="M5045" t="s">
        <v>6100</v>
      </c>
      <c r="N5045">
        <v>3</v>
      </c>
      <c r="O5045" t="s">
        <v>6101</v>
      </c>
      <c r="P5045" t="s">
        <v>6114</v>
      </c>
      <c r="Q5045">
        <v>8</v>
      </c>
      <c r="R5045">
        <v>2026</v>
      </c>
      <c r="S5045" t="s">
        <v>6099</v>
      </c>
      <c r="T5045">
        <v>1</v>
      </c>
      <c r="U5045" t="s">
        <v>6017</v>
      </c>
      <c r="V5045">
        <v>1</v>
      </c>
    </row>
    <row r="5046" spans="1:22" x14ac:dyDescent="0.3">
      <c r="A5046" t="s">
        <v>5061</v>
      </c>
      <c r="B5046" s="2">
        <v>46250.744444444441</v>
      </c>
      <c r="C5046" s="2">
        <v>46251.81527777778</v>
      </c>
      <c r="D5046" t="s">
        <v>6022</v>
      </c>
      <c r="E5046" t="s">
        <v>6029</v>
      </c>
      <c r="F5046" t="s">
        <v>6033</v>
      </c>
      <c r="G5046" t="s">
        <v>6095</v>
      </c>
      <c r="H5046" t="s">
        <v>6098</v>
      </c>
      <c r="I5046">
        <v>72</v>
      </c>
      <c r="J5046">
        <v>25.7</v>
      </c>
      <c r="K5046" t="s">
        <v>6100</v>
      </c>
      <c r="L5046" t="s">
        <v>6100</v>
      </c>
      <c r="M5046" t="s">
        <v>6100</v>
      </c>
      <c r="O5046" t="s">
        <v>6101</v>
      </c>
      <c r="P5046" t="s">
        <v>6114</v>
      </c>
      <c r="Q5046">
        <v>8</v>
      </c>
      <c r="R5046">
        <v>2026</v>
      </c>
      <c r="S5046" t="s">
        <v>6099</v>
      </c>
      <c r="T5046">
        <v>1</v>
      </c>
      <c r="U5046" t="s">
        <v>6020</v>
      </c>
      <c r="V5046">
        <v>0</v>
      </c>
    </row>
    <row r="5047" spans="1:22" x14ac:dyDescent="0.3">
      <c r="A5047" t="s">
        <v>5062</v>
      </c>
      <c r="B5047" s="2">
        <v>46250.74722222222</v>
      </c>
      <c r="C5047" s="2">
        <v>46252.409722222219</v>
      </c>
      <c r="D5047" t="s">
        <v>6022</v>
      </c>
      <c r="E5047" t="s">
        <v>6032</v>
      </c>
      <c r="F5047" t="s">
        <v>6033</v>
      </c>
      <c r="G5047" t="s">
        <v>6095</v>
      </c>
      <c r="H5047" t="s">
        <v>6098</v>
      </c>
      <c r="I5047">
        <v>72</v>
      </c>
      <c r="J5047">
        <v>39.9</v>
      </c>
      <c r="K5047" t="s">
        <v>6099</v>
      </c>
      <c r="L5047" t="s">
        <v>6100</v>
      </c>
      <c r="M5047" t="s">
        <v>6100</v>
      </c>
      <c r="N5047">
        <v>5</v>
      </c>
      <c r="O5047" t="s">
        <v>6101</v>
      </c>
      <c r="P5047" t="s">
        <v>6114</v>
      </c>
      <c r="Q5047">
        <v>8</v>
      </c>
      <c r="R5047">
        <v>2026</v>
      </c>
      <c r="S5047" t="s">
        <v>6099</v>
      </c>
      <c r="T5047">
        <v>1</v>
      </c>
      <c r="U5047" t="s">
        <v>6020</v>
      </c>
      <c r="V5047">
        <v>1</v>
      </c>
    </row>
    <row r="5048" spans="1:22" x14ac:dyDescent="0.3">
      <c r="A5048" t="s">
        <v>5063</v>
      </c>
      <c r="B5048" s="2">
        <v>46250.75277777778</v>
      </c>
      <c r="C5048" s="2">
        <v>46250.794444444444</v>
      </c>
      <c r="D5048" t="s">
        <v>6023</v>
      </c>
      <c r="E5048" t="s">
        <v>6030</v>
      </c>
      <c r="F5048" t="s">
        <v>6033</v>
      </c>
      <c r="G5048" t="s">
        <v>6075</v>
      </c>
      <c r="H5048" t="s">
        <v>6097</v>
      </c>
      <c r="I5048">
        <v>72</v>
      </c>
      <c r="J5048">
        <v>1</v>
      </c>
      <c r="K5048" t="s">
        <v>6099</v>
      </c>
      <c r="L5048" t="s">
        <v>6100</v>
      </c>
      <c r="M5048" t="s">
        <v>6100</v>
      </c>
      <c r="N5048">
        <v>3</v>
      </c>
      <c r="O5048" t="s">
        <v>6101</v>
      </c>
      <c r="P5048" t="s">
        <v>6114</v>
      </c>
      <c r="Q5048">
        <v>8</v>
      </c>
      <c r="R5048">
        <v>2026</v>
      </c>
      <c r="S5048" t="s">
        <v>6099</v>
      </c>
      <c r="T5048">
        <v>1</v>
      </c>
      <c r="U5048" t="s">
        <v>6020</v>
      </c>
      <c r="V5048">
        <v>1</v>
      </c>
    </row>
    <row r="5049" spans="1:22" x14ac:dyDescent="0.3">
      <c r="A5049" t="s">
        <v>5064</v>
      </c>
      <c r="B5049" s="2">
        <v>46250.777777777781</v>
      </c>
      <c r="C5049" s="2">
        <v>46251.111111111109</v>
      </c>
      <c r="D5049" t="s">
        <v>6023</v>
      </c>
      <c r="E5049" t="s">
        <v>6030</v>
      </c>
      <c r="F5049" t="s">
        <v>6033</v>
      </c>
      <c r="G5049" t="s">
        <v>6065</v>
      </c>
      <c r="H5049" t="s">
        <v>6097</v>
      </c>
      <c r="I5049">
        <v>72</v>
      </c>
      <c r="J5049">
        <v>8</v>
      </c>
      <c r="K5049" t="s">
        <v>6099</v>
      </c>
      <c r="L5049" t="s">
        <v>6100</v>
      </c>
      <c r="M5049" t="s">
        <v>6100</v>
      </c>
      <c r="O5049" t="s">
        <v>6101</v>
      </c>
      <c r="P5049" t="s">
        <v>6114</v>
      </c>
      <c r="Q5049">
        <v>8</v>
      </c>
      <c r="R5049">
        <v>2026</v>
      </c>
      <c r="S5049" t="s">
        <v>6099</v>
      </c>
      <c r="T5049">
        <v>1</v>
      </c>
      <c r="U5049" t="s">
        <v>6019</v>
      </c>
      <c r="V5049">
        <v>1</v>
      </c>
    </row>
    <row r="5050" spans="1:22" x14ac:dyDescent="0.3">
      <c r="A5050" t="s">
        <v>5065</v>
      </c>
      <c r="B5050" s="2">
        <v>46250.856944444444</v>
      </c>
      <c r="C5050" s="2">
        <v>46251.452777777777</v>
      </c>
      <c r="D5050" t="s">
        <v>6024</v>
      </c>
      <c r="E5050" t="s">
        <v>6029</v>
      </c>
      <c r="F5050" t="s">
        <v>6033</v>
      </c>
      <c r="G5050" t="s">
        <v>6049</v>
      </c>
      <c r="H5050" t="s">
        <v>6097</v>
      </c>
      <c r="I5050">
        <v>72</v>
      </c>
      <c r="J5050">
        <v>14.3</v>
      </c>
      <c r="K5050" t="s">
        <v>6099</v>
      </c>
      <c r="L5050" t="s">
        <v>6100</v>
      </c>
      <c r="M5050" t="s">
        <v>6100</v>
      </c>
      <c r="O5050" t="s">
        <v>6101</v>
      </c>
      <c r="P5050" t="s">
        <v>6114</v>
      </c>
      <c r="Q5050">
        <v>8</v>
      </c>
      <c r="R5050">
        <v>2026</v>
      </c>
      <c r="S5050" t="s">
        <v>6099</v>
      </c>
      <c r="T5050">
        <v>1</v>
      </c>
      <c r="U5050" t="s">
        <v>6019</v>
      </c>
      <c r="V5050">
        <v>1</v>
      </c>
    </row>
    <row r="5051" spans="1:22" x14ac:dyDescent="0.3">
      <c r="A5051" t="s">
        <v>5066</v>
      </c>
      <c r="B5051" s="2">
        <v>46250.882638888892</v>
      </c>
      <c r="C5051" s="2">
        <v>46252.765972222223</v>
      </c>
      <c r="D5051" t="s">
        <v>6027</v>
      </c>
      <c r="E5051" t="s">
        <v>6032</v>
      </c>
      <c r="F5051" t="s">
        <v>6035</v>
      </c>
      <c r="G5051" t="s">
        <v>6084</v>
      </c>
      <c r="H5051" t="s">
        <v>6098</v>
      </c>
      <c r="I5051">
        <v>4</v>
      </c>
      <c r="J5051">
        <v>45.2</v>
      </c>
      <c r="K5051" t="s">
        <v>6100</v>
      </c>
      <c r="L5051" t="s">
        <v>6100</v>
      </c>
      <c r="M5051" t="s">
        <v>6100</v>
      </c>
      <c r="N5051">
        <v>4</v>
      </c>
      <c r="O5051" t="s">
        <v>6101</v>
      </c>
      <c r="P5051" t="s">
        <v>6114</v>
      </c>
      <c r="Q5051">
        <v>8</v>
      </c>
      <c r="R5051">
        <v>2026</v>
      </c>
      <c r="S5051" t="s">
        <v>6100</v>
      </c>
      <c r="T5051">
        <v>0</v>
      </c>
      <c r="U5051" t="s">
        <v>6018</v>
      </c>
      <c r="V5051">
        <v>0</v>
      </c>
    </row>
    <row r="5052" spans="1:22" x14ac:dyDescent="0.3">
      <c r="A5052" t="s">
        <v>5067</v>
      </c>
      <c r="B5052" s="2">
        <v>46250.919444444444</v>
      </c>
      <c r="C5052" s="2">
        <v>46251.306944444441</v>
      </c>
      <c r="D5052" t="s">
        <v>6022</v>
      </c>
      <c r="E5052" t="s">
        <v>6029</v>
      </c>
      <c r="F5052" t="s">
        <v>6033</v>
      </c>
      <c r="G5052" t="s">
        <v>6063</v>
      </c>
      <c r="H5052" t="s">
        <v>6097</v>
      </c>
      <c r="I5052">
        <v>72</v>
      </c>
      <c r="J5052">
        <v>9.3000000000000007</v>
      </c>
      <c r="K5052" t="s">
        <v>6099</v>
      </c>
      <c r="L5052" t="s">
        <v>6100</v>
      </c>
      <c r="M5052" t="s">
        <v>6100</v>
      </c>
      <c r="O5052" t="s">
        <v>6101</v>
      </c>
      <c r="P5052" t="s">
        <v>6114</v>
      </c>
      <c r="Q5052">
        <v>8</v>
      </c>
      <c r="R5052">
        <v>2026</v>
      </c>
      <c r="S5052" t="s">
        <v>6099</v>
      </c>
      <c r="T5052">
        <v>1</v>
      </c>
      <c r="U5052" t="s">
        <v>6017</v>
      </c>
      <c r="V5052">
        <v>1</v>
      </c>
    </row>
    <row r="5053" spans="1:22" x14ac:dyDescent="0.3">
      <c r="A5053" t="s">
        <v>5068</v>
      </c>
      <c r="B5053" s="2">
        <v>46251.440972222219</v>
      </c>
      <c r="C5053" s="2">
        <v>46252.007638888892</v>
      </c>
      <c r="D5053" t="s">
        <v>6025</v>
      </c>
      <c r="E5053" t="s">
        <v>6029</v>
      </c>
      <c r="F5053" t="s">
        <v>6033</v>
      </c>
      <c r="G5053" t="s">
        <v>6071</v>
      </c>
      <c r="H5053" t="s">
        <v>6098</v>
      </c>
      <c r="I5053">
        <v>72</v>
      </c>
      <c r="J5053">
        <v>13.6</v>
      </c>
      <c r="K5053" t="s">
        <v>6099</v>
      </c>
      <c r="L5053" t="s">
        <v>6100</v>
      </c>
      <c r="M5053" t="s">
        <v>6100</v>
      </c>
      <c r="N5053">
        <v>4</v>
      </c>
      <c r="O5053" t="s">
        <v>6101</v>
      </c>
      <c r="P5053" t="s">
        <v>6114</v>
      </c>
      <c r="Q5053">
        <v>8</v>
      </c>
      <c r="R5053">
        <v>2026</v>
      </c>
      <c r="S5053" t="s">
        <v>6099</v>
      </c>
      <c r="T5053">
        <v>1</v>
      </c>
      <c r="U5053" t="s">
        <v>6020</v>
      </c>
      <c r="V5053">
        <v>1</v>
      </c>
    </row>
    <row r="5054" spans="1:22" x14ac:dyDescent="0.3">
      <c r="A5054" t="s">
        <v>5069</v>
      </c>
      <c r="B5054" s="2">
        <v>46251.453472222223</v>
      </c>
      <c r="C5054" s="2">
        <v>46252.232638888891</v>
      </c>
      <c r="D5054" t="s">
        <v>6023</v>
      </c>
      <c r="E5054" t="s">
        <v>6032</v>
      </c>
      <c r="F5054" t="s">
        <v>6035</v>
      </c>
      <c r="G5054" t="s">
        <v>6094</v>
      </c>
      <c r="H5054" t="s">
        <v>6098</v>
      </c>
      <c r="I5054">
        <v>4</v>
      </c>
      <c r="J5054">
        <v>18.7</v>
      </c>
      <c r="K5054" t="s">
        <v>6099</v>
      </c>
      <c r="L5054" t="s">
        <v>6100</v>
      </c>
      <c r="M5054" t="s">
        <v>6099</v>
      </c>
      <c r="N5054">
        <v>4</v>
      </c>
      <c r="O5054" t="s">
        <v>6101</v>
      </c>
      <c r="P5054" t="s">
        <v>6114</v>
      </c>
      <c r="Q5054">
        <v>8</v>
      </c>
      <c r="R5054">
        <v>2026</v>
      </c>
      <c r="S5054" t="s">
        <v>6100</v>
      </c>
      <c r="T5054">
        <v>0</v>
      </c>
      <c r="U5054" t="s">
        <v>6020</v>
      </c>
      <c r="V5054">
        <v>1</v>
      </c>
    </row>
    <row r="5055" spans="1:22" x14ac:dyDescent="0.3">
      <c r="A5055" t="s">
        <v>5070</v>
      </c>
      <c r="B5055" s="2">
        <v>46251.453472222223</v>
      </c>
      <c r="C5055" s="2">
        <v>46251.828472222223</v>
      </c>
      <c r="D5055" t="s">
        <v>6023</v>
      </c>
      <c r="E5055" t="s">
        <v>6032</v>
      </c>
      <c r="F5055" t="s">
        <v>6033</v>
      </c>
      <c r="G5055" t="s">
        <v>6058</v>
      </c>
      <c r="H5055" t="s">
        <v>6098</v>
      </c>
      <c r="I5055">
        <v>72</v>
      </c>
      <c r="J5055">
        <v>9</v>
      </c>
      <c r="K5055" t="s">
        <v>6099</v>
      </c>
      <c r="L5055" t="s">
        <v>6100</v>
      </c>
      <c r="M5055" t="s">
        <v>6100</v>
      </c>
      <c r="N5055">
        <v>5</v>
      </c>
      <c r="O5055" t="s">
        <v>6101</v>
      </c>
      <c r="P5055" t="s">
        <v>6114</v>
      </c>
      <c r="Q5055">
        <v>8</v>
      </c>
      <c r="R5055">
        <v>2026</v>
      </c>
      <c r="S5055" t="s">
        <v>6099</v>
      </c>
      <c r="T5055">
        <v>1</v>
      </c>
      <c r="U5055" t="s">
        <v>6021</v>
      </c>
      <c r="V5055">
        <v>1</v>
      </c>
    </row>
    <row r="5056" spans="1:22" x14ac:dyDescent="0.3">
      <c r="A5056" t="s">
        <v>5071</v>
      </c>
      <c r="B5056" s="2">
        <v>46251.506249999999</v>
      </c>
      <c r="C5056" s="2">
        <v>46252.339583333334</v>
      </c>
      <c r="D5056" t="s">
        <v>6027</v>
      </c>
      <c r="E5056" t="s">
        <v>6029</v>
      </c>
      <c r="F5056" t="s">
        <v>6033</v>
      </c>
      <c r="G5056" t="s">
        <v>6077</v>
      </c>
      <c r="H5056" t="s">
        <v>6098</v>
      </c>
      <c r="I5056">
        <v>72</v>
      </c>
      <c r="J5056">
        <v>20</v>
      </c>
      <c r="K5056" t="s">
        <v>6099</v>
      </c>
      <c r="L5056" t="s">
        <v>6100</v>
      </c>
      <c r="M5056" t="s">
        <v>6100</v>
      </c>
      <c r="N5056">
        <v>5</v>
      </c>
      <c r="O5056" t="s">
        <v>6101</v>
      </c>
      <c r="P5056" t="s">
        <v>6114</v>
      </c>
      <c r="Q5056">
        <v>8</v>
      </c>
      <c r="R5056">
        <v>2026</v>
      </c>
      <c r="S5056" t="s">
        <v>6099</v>
      </c>
      <c r="T5056">
        <v>1</v>
      </c>
      <c r="U5056" t="s">
        <v>6020</v>
      </c>
      <c r="V5056">
        <v>1</v>
      </c>
    </row>
    <row r="5057" spans="1:22" x14ac:dyDescent="0.3">
      <c r="A5057" t="s">
        <v>5072</v>
      </c>
      <c r="B5057" s="2">
        <v>46251.532638888886</v>
      </c>
      <c r="C5057" s="2">
        <v>46252.257638888892</v>
      </c>
      <c r="D5057" t="s">
        <v>6027</v>
      </c>
      <c r="E5057" t="s">
        <v>6031</v>
      </c>
      <c r="F5057" t="s">
        <v>6033</v>
      </c>
      <c r="G5057" t="s">
        <v>6064</v>
      </c>
      <c r="H5057" t="s">
        <v>6096</v>
      </c>
      <c r="I5057">
        <v>72</v>
      </c>
      <c r="J5057">
        <v>17.399999999999999</v>
      </c>
      <c r="K5057" t="s">
        <v>6099</v>
      </c>
      <c r="L5057" t="s">
        <v>6100</v>
      </c>
      <c r="M5057" t="s">
        <v>6100</v>
      </c>
      <c r="N5057">
        <v>5</v>
      </c>
      <c r="O5057" t="s">
        <v>6101</v>
      </c>
      <c r="P5057" t="s">
        <v>6114</v>
      </c>
      <c r="Q5057">
        <v>8</v>
      </c>
      <c r="R5057">
        <v>2026</v>
      </c>
      <c r="S5057" t="s">
        <v>6099</v>
      </c>
      <c r="T5057">
        <v>1</v>
      </c>
      <c r="U5057" t="s">
        <v>6018</v>
      </c>
      <c r="V5057">
        <v>1</v>
      </c>
    </row>
    <row r="5058" spans="1:22" x14ac:dyDescent="0.3">
      <c r="A5058" t="s">
        <v>5073</v>
      </c>
      <c r="B5058" s="2">
        <v>46251.533333333333</v>
      </c>
      <c r="C5058" s="2">
        <v>46251.762499999997</v>
      </c>
      <c r="D5058" t="s">
        <v>6027</v>
      </c>
      <c r="E5058" t="s">
        <v>6030</v>
      </c>
      <c r="F5058" t="s">
        <v>6033</v>
      </c>
      <c r="G5058" t="s">
        <v>6089</v>
      </c>
      <c r="H5058" t="s">
        <v>6098</v>
      </c>
      <c r="I5058">
        <v>72</v>
      </c>
      <c r="J5058">
        <v>5.5</v>
      </c>
      <c r="K5058" t="s">
        <v>6100</v>
      </c>
      <c r="L5058" t="s">
        <v>6099</v>
      </c>
      <c r="M5058" t="s">
        <v>6100</v>
      </c>
      <c r="O5058" t="s">
        <v>6101</v>
      </c>
      <c r="P5058" t="s">
        <v>6114</v>
      </c>
      <c r="Q5058">
        <v>8</v>
      </c>
      <c r="R5058">
        <v>2026</v>
      </c>
      <c r="S5058" t="s">
        <v>6099</v>
      </c>
      <c r="T5058">
        <v>1</v>
      </c>
      <c r="U5058" t="s">
        <v>6018</v>
      </c>
      <c r="V5058">
        <v>0</v>
      </c>
    </row>
    <row r="5059" spans="1:22" x14ac:dyDescent="0.3">
      <c r="A5059" t="s">
        <v>5074</v>
      </c>
      <c r="B5059" s="2">
        <v>46251.55972222222</v>
      </c>
      <c r="C5059" s="2">
        <v>46251.851388888892</v>
      </c>
      <c r="D5059" t="s">
        <v>6028</v>
      </c>
      <c r="E5059" t="s">
        <v>6031</v>
      </c>
      <c r="F5059" t="s">
        <v>6034</v>
      </c>
      <c r="G5059" t="s">
        <v>6040</v>
      </c>
      <c r="H5059" t="s">
        <v>6097</v>
      </c>
      <c r="I5059">
        <v>24</v>
      </c>
      <c r="J5059">
        <v>7</v>
      </c>
      <c r="K5059" t="s">
        <v>6099</v>
      </c>
      <c r="L5059" t="s">
        <v>6100</v>
      </c>
      <c r="M5059" t="s">
        <v>6100</v>
      </c>
      <c r="N5059">
        <v>5</v>
      </c>
      <c r="O5059" t="s">
        <v>6101</v>
      </c>
      <c r="P5059" t="s">
        <v>6114</v>
      </c>
      <c r="Q5059">
        <v>8</v>
      </c>
      <c r="R5059">
        <v>2026</v>
      </c>
      <c r="S5059" t="s">
        <v>6099</v>
      </c>
      <c r="T5059">
        <v>1</v>
      </c>
      <c r="U5059" t="s">
        <v>6017</v>
      </c>
      <c r="V5059">
        <v>1</v>
      </c>
    </row>
    <row r="5060" spans="1:22" x14ac:dyDescent="0.3">
      <c r="A5060" t="s">
        <v>5075</v>
      </c>
      <c r="B5060" s="2">
        <v>46251.581944444442</v>
      </c>
      <c r="C5060" s="2">
        <v>46251.969444444447</v>
      </c>
      <c r="D5060" t="s">
        <v>6027</v>
      </c>
      <c r="E5060" t="s">
        <v>6030</v>
      </c>
      <c r="F5060" t="s">
        <v>6035</v>
      </c>
      <c r="G5060" t="s">
        <v>6045</v>
      </c>
      <c r="H5060" t="s">
        <v>6096</v>
      </c>
      <c r="I5060">
        <v>4</v>
      </c>
      <c r="J5060">
        <v>9.3000000000000007</v>
      </c>
      <c r="K5060" t="s">
        <v>6100</v>
      </c>
      <c r="L5060" t="s">
        <v>6100</v>
      </c>
      <c r="M5060" t="s">
        <v>6099</v>
      </c>
      <c r="N5060">
        <v>5</v>
      </c>
      <c r="O5060" t="s">
        <v>6101</v>
      </c>
      <c r="P5060" t="s">
        <v>6114</v>
      </c>
      <c r="Q5060">
        <v>8</v>
      </c>
      <c r="R5060">
        <v>2026</v>
      </c>
      <c r="S5060" t="s">
        <v>6100</v>
      </c>
      <c r="T5060">
        <v>0</v>
      </c>
      <c r="U5060" t="s">
        <v>6021</v>
      </c>
      <c r="V5060">
        <v>0</v>
      </c>
    </row>
    <row r="5061" spans="1:22" x14ac:dyDescent="0.3">
      <c r="A5061" t="s">
        <v>5076</v>
      </c>
      <c r="B5061" s="2">
        <v>46251.613194444442</v>
      </c>
      <c r="C5061" s="2">
        <v>46252.088194444441</v>
      </c>
      <c r="D5061" t="s">
        <v>6022</v>
      </c>
      <c r="E5061" t="s">
        <v>6030</v>
      </c>
      <c r="F5061" t="s">
        <v>6035</v>
      </c>
      <c r="G5061" t="s">
        <v>6090</v>
      </c>
      <c r="H5061" t="s">
        <v>6097</v>
      </c>
      <c r="I5061">
        <v>4</v>
      </c>
      <c r="J5061">
        <v>11.4</v>
      </c>
      <c r="K5061" t="s">
        <v>6099</v>
      </c>
      <c r="L5061" t="s">
        <v>6100</v>
      </c>
      <c r="M5061" t="s">
        <v>6100</v>
      </c>
      <c r="N5061">
        <v>5</v>
      </c>
      <c r="O5061" t="s">
        <v>6101</v>
      </c>
      <c r="P5061" t="s">
        <v>6114</v>
      </c>
      <c r="Q5061">
        <v>8</v>
      </c>
      <c r="R5061">
        <v>2026</v>
      </c>
      <c r="S5061" t="s">
        <v>6100</v>
      </c>
      <c r="T5061">
        <v>0</v>
      </c>
      <c r="U5061" t="s">
        <v>6021</v>
      </c>
      <c r="V5061">
        <v>1</v>
      </c>
    </row>
    <row r="5062" spans="1:22" x14ac:dyDescent="0.3">
      <c r="A5062" t="s">
        <v>5077</v>
      </c>
      <c r="B5062" s="2">
        <v>46251.682638888888</v>
      </c>
      <c r="C5062" s="2">
        <v>46252.470138888886</v>
      </c>
      <c r="D5062" t="s">
        <v>6024</v>
      </c>
      <c r="E5062" t="s">
        <v>6029</v>
      </c>
      <c r="F5062" t="s">
        <v>6034</v>
      </c>
      <c r="G5062" t="s">
        <v>6091</v>
      </c>
      <c r="H5062" t="s">
        <v>6097</v>
      </c>
      <c r="I5062">
        <v>24</v>
      </c>
      <c r="J5062">
        <v>18.899999999999999</v>
      </c>
      <c r="K5062" t="s">
        <v>6099</v>
      </c>
      <c r="L5062" t="s">
        <v>6100</v>
      </c>
      <c r="M5062" t="s">
        <v>6100</v>
      </c>
      <c r="N5062">
        <v>3</v>
      </c>
      <c r="O5062" t="s">
        <v>6101</v>
      </c>
      <c r="P5062" t="s">
        <v>6114</v>
      </c>
      <c r="Q5062">
        <v>8</v>
      </c>
      <c r="R5062">
        <v>2026</v>
      </c>
      <c r="S5062" t="s">
        <v>6099</v>
      </c>
      <c r="T5062">
        <v>1</v>
      </c>
      <c r="U5062" t="s">
        <v>6017</v>
      </c>
      <c r="V5062">
        <v>1</v>
      </c>
    </row>
    <row r="5063" spans="1:22" x14ac:dyDescent="0.3">
      <c r="A5063" t="s">
        <v>5078</v>
      </c>
      <c r="B5063" s="2">
        <v>46251.722916666666</v>
      </c>
      <c r="C5063" s="2">
        <v>46252.881249999999</v>
      </c>
      <c r="D5063" t="s">
        <v>6024</v>
      </c>
      <c r="E5063" t="s">
        <v>6029</v>
      </c>
      <c r="F5063" t="s">
        <v>6034</v>
      </c>
      <c r="G5063" t="s">
        <v>6085</v>
      </c>
      <c r="H5063" t="s">
        <v>6097</v>
      </c>
      <c r="I5063">
        <v>24</v>
      </c>
      <c r="J5063">
        <v>27.8</v>
      </c>
      <c r="K5063" t="s">
        <v>6099</v>
      </c>
      <c r="L5063" t="s">
        <v>6100</v>
      </c>
      <c r="M5063" t="s">
        <v>6100</v>
      </c>
      <c r="N5063">
        <v>4</v>
      </c>
      <c r="O5063" t="s">
        <v>6101</v>
      </c>
      <c r="P5063" t="s">
        <v>6114</v>
      </c>
      <c r="Q5063">
        <v>8</v>
      </c>
      <c r="R5063">
        <v>2026</v>
      </c>
      <c r="S5063" t="s">
        <v>6100</v>
      </c>
      <c r="T5063">
        <v>0</v>
      </c>
      <c r="U5063" t="s">
        <v>6017</v>
      </c>
      <c r="V5063">
        <v>1</v>
      </c>
    </row>
    <row r="5064" spans="1:22" x14ac:dyDescent="0.3">
      <c r="A5064" t="s">
        <v>5079</v>
      </c>
      <c r="B5064" s="2">
        <v>46251.723611111112</v>
      </c>
      <c r="C5064" s="2">
        <v>46253.198611111111</v>
      </c>
      <c r="D5064" t="s">
        <v>6028</v>
      </c>
      <c r="E5064" t="s">
        <v>6029</v>
      </c>
      <c r="F5064" t="s">
        <v>6034</v>
      </c>
      <c r="G5064" t="s">
        <v>6054</v>
      </c>
      <c r="H5064" t="s">
        <v>6096</v>
      </c>
      <c r="I5064">
        <v>24</v>
      </c>
      <c r="J5064">
        <v>35.4</v>
      </c>
      <c r="K5064" t="s">
        <v>6099</v>
      </c>
      <c r="L5064" t="s">
        <v>6100</v>
      </c>
      <c r="M5064" t="s">
        <v>6100</v>
      </c>
      <c r="O5064" t="s">
        <v>6101</v>
      </c>
      <c r="P5064" t="s">
        <v>6114</v>
      </c>
      <c r="Q5064">
        <v>8</v>
      </c>
      <c r="R5064">
        <v>2026</v>
      </c>
      <c r="S5064" t="s">
        <v>6100</v>
      </c>
      <c r="T5064">
        <v>0</v>
      </c>
      <c r="U5064" t="s">
        <v>6021</v>
      </c>
      <c r="V5064">
        <v>1</v>
      </c>
    </row>
    <row r="5065" spans="1:22" x14ac:dyDescent="0.3">
      <c r="A5065" t="s">
        <v>5080</v>
      </c>
      <c r="B5065" s="2">
        <v>46252.282638888886</v>
      </c>
      <c r="C5065" s="2">
        <v>46253.040972222225</v>
      </c>
      <c r="D5065" t="s">
        <v>6025</v>
      </c>
      <c r="E5065" t="s">
        <v>6029</v>
      </c>
      <c r="F5065" t="s">
        <v>6034</v>
      </c>
      <c r="G5065" t="s">
        <v>6057</v>
      </c>
      <c r="H5065" t="s">
        <v>6097</v>
      </c>
      <c r="I5065">
        <v>24</v>
      </c>
      <c r="J5065">
        <v>18.2</v>
      </c>
      <c r="K5065" t="s">
        <v>6099</v>
      </c>
      <c r="L5065" t="s">
        <v>6100</v>
      </c>
      <c r="M5065" t="s">
        <v>6100</v>
      </c>
      <c r="N5065">
        <v>4</v>
      </c>
      <c r="O5065" t="s">
        <v>6101</v>
      </c>
      <c r="P5065" t="s">
        <v>6114</v>
      </c>
      <c r="Q5065">
        <v>8</v>
      </c>
      <c r="R5065">
        <v>2026</v>
      </c>
      <c r="S5065" t="s">
        <v>6099</v>
      </c>
      <c r="T5065">
        <v>1</v>
      </c>
      <c r="U5065" t="s">
        <v>6019</v>
      </c>
      <c r="V5065">
        <v>1</v>
      </c>
    </row>
    <row r="5066" spans="1:22" x14ac:dyDescent="0.3">
      <c r="A5066" t="s">
        <v>5081</v>
      </c>
      <c r="B5066" s="2">
        <v>46252.283333333333</v>
      </c>
      <c r="C5066" s="2">
        <v>46253.054166666669</v>
      </c>
      <c r="D5066" t="s">
        <v>6025</v>
      </c>
      <c r="E5066" t="s">
        <v>6029</v>
      </c>
      <c r="F5066" t="s">
        <v>6033</v>
      </c>
      <c r="G5066" t="s">
        <v>6057</v>
      </c>
      <c r="H5066" t="s">
        <v>6097</v>
      </c>
      <c r="I5066">
        <v>72</v>
      </c>
      <c r="J5066">
        <v>18.5</v>
      </c>
      <c r="K5066" t="s">
        <v>6099</v>
      </c>
      <c r="L5066" t="s">
        <v>6100</v>
      </c>
      <c r="M5066" t="s">
        <v>6100</v>
      </c>
      <c r="N5066">
        <v>5</v>
      </c>
      <c r="O5066" t="s">
        <v>6101</v>
      </c>
      <c r="P5066" t="s">
        <v>6114</v>
      </c>
      <c r="Q5066">
        <v>8</v>
      </c>
      <c r="R5066">
        <v>2026</v>
      </c>
      <c r="S5066" t="s">
        <v>6099</v>
      </c>
      <c r="T5066">
        <v>1</v>
      </c>
      <c r="U5066" t="s">
        <v>6021</v>
      </c>
      <c r="V5066">
        <v>1</v>
      </c>
    </row>
    <row r="5067" spans="1:22" x14ac:dyDescent="0.3">
      <c r="A5067" t="s">
        <v>5082</v>
      </c>
      <c r="B5067" s="2">
        <v>46252.338888888888</v>
      </c>
      <c r="C5067" s="2">
        <v>46252.68472222222</v>
      </c>
      <c r="D5067" t="s">
        <v>6022</v>
      </c>
      <c r="E5067" t="s">
        <v>6029</v>
      </c>
      <c r="F5067" t="s">
        <v>6033</v>
      </c>
      <c r="G5067" t="s">
        <v>6085</v>
      </c>
      <c r="H5067" t="s">
        <v>6097</v>
      </c>
      <c r="I5067">
        <v>72</v>
      </c>
      <c r="J5067">
        <v>8.3000000000000007</v>
      </c>
      <c r="K5067" t="s">
        <v>6099</v>
      </c>
      <c r="L5067" t="s">
        <v>6100</v>
      </c>
      <c r="M5067" t="s">
        <v>6100</v>
      </c>
      <c r="O5067" t="s">
        <v>6101</v>
      </c>
      <c r="P5067" t="s">
        <v>6114</v>
      </c>
      <c r="Q5067">
        <v>8</v>
      </c>
      <c r="R5067">
        <v>2026</v>
      </c>
      <c r="S5067" t="s">
        <v>6099</v>
      </c>
      <c r="T5067">
        <v>1</v>
      </c>
      <c r="U5067" t="s">
        <v>6020</v>
      </c>
      <c r="V5067">
        <v>1</v>
      </c>
    </row>
    <row r="5068" spans="1:22" x14ac:dyDescent="0.3">
      <c r="A5068" t="s">
        <v>5083</v>
      </c>
      <c r="B5068" s="2">
        <v>46252.460416666669</v>
      </c>
      <c r="C5068" s="2">
        <v>46260.181250000001</v>
      </c>
      <c r="D5068" t="s">
        <v>6026</v>
      </c>
      <c r="E5068" t="s">
        <v>6031</v>
      </c>
      <c r="F5068" t="s">
        <v>6035</v>
      </c>
      <c r="G5068" t="s">
        <v>6045</v>
      </c>
      <c r="H5068" t="s">
        <v>6096</v>
      </c>
      <c r="I5068">
        <v>4</v>
      </c>
      <c r="J5068">
        <v>185.3</v>
      </c>
      <c r="K5068" t="s">
        <v>6099</v>
      </c>
      <c r="L5068" t="s">
        <v>6100</v>
      </c>
      <c r="M5068" t="s">
        <v>6099</v>
      </c>
      <c r="N5068">
        <v>5</v>
      </c>
      <c r="O5068" t="s">
        <v>6101</v>
      </c>
      <c r="P5068" t="s">
        <v>6114</v>
      </c>
      <c r="Q5068">
        <v>8</v>
      </c>
      <c r="R5068">
        <v>2026</v>
      </c>
      <c r="S5068" t="s">
        <v>6100</v>
      </c>
      <c r="T5068">
        <v>0</v>
      </c>
      <c r="U5068" t="s">
        <v>6021</v>
      </c>
      <c r="V5068">
        <v>1</v>
      </c>
    </row>
    <row r="5069" spans="1:22" x14ac:dyDescent="0.3">
      <c r="A5069" t="s">
        <v>5084</v>
      </c>
      <c r="B5069" s="2">
        <v>46252.460416666669</v>
      </c>
      <c r="C5069" s="2">
        <v>46253.743750000001</v>
      </c>
      <c r="D5069" t="s">
        <v>6025</v>
      </c>
      <c r="E5069" t="s">
        <v>6029</v>
      </c>
      <c r="F5069" t="s">
        <v>6034</v>
      </c>
      <c r="G5069" t="s">
        <v>6057</v>
      </c>
      <c r="H5069" t="s">
        <v>6097</v>
      </c>
      <c r="I5069">
        <v>24</v>
      </c>
      <c r="J5069">
        <v>30.8</v>
      </c>
      <c r="K5069" t="s">
        <v>6099</v>
      </c>
      <c r="L5069" t="s">
        <v>6100</v>
      </c>
      <c r="M5069" t="s">
        <v>6100</v>
      </c>
      <c r="N5069">
        <v>4</v>
      </c>
      <c r="O5069" t="s">
        <v>6101</v>
      </c>
      <c r="P5069" t="s">
        <v>6114</v>
      </c>
      <c r="Q5069">
        <v>8</v>
      </c>
      <c r="R5069">
        <v>2026</v>
      </c>
      <c r="S5069" t="s">
        <v>6100</v>
      </c>
      <c r="T5069">
        <v>0</v>
      </c>
      <c r="U5069" t="s">
        <v>6021</v>
      </c>
      <c r="V5069">
        <v>1</v>
      </c>
    </row>
    <row r="5070" spans="1:22" x14ac:dyDescent="0.3">
      <c r="A5070" t="s">
        <v>5085</v>
      </c>
      <c r="B5070" s="2">
        <v>46252.481944444444</v>
      </c>
      <c r="C5070" s="2">
        <v>46253.206944444442</v>
      </c>
      <c r="D5070" t="s">
        <v>6022</v>
      </c>
      <c r="E5070" t="s">
        <v>6029</v>
      </c>
      <c r="F5070" t="s">
        <v>6034</v>
      </c>
      <c r="G5070" t="s">
        <v>6053</v>
      </c>
      <c r="H5070" t="s">
        <v>6097</v>
      </c>
      <c r="I5070">
        <v>24</v>
      </c>
      <c r="J5070">
        <v>17.399999999999999</v>
      </c>
      <c r="K5070" t="s">
        <v>6100</v>
      </c>
      <c r="L5070" t="s">
        <v>6099</v>
      </c>
      <c r="M5070" t="s">
        <v>6100</v>
      </c>
      <c r="O5070" t="s">
        <v>6101</v>
      </c>
      <c r="P5070" t="s">
        <v>6114</v>
      </c>
      <c r="Q5070">
        <v>8</v>
      </c>
      <c r="R5070">
        <v>2026</v>
      </c>
      <c r="S5070" t="s">
        <v>6099</v>
      </c>
      <c r="T5070">
        <v>1</v>
      </c>
      <c r="U5070" t="s">
        <v>6021</v>
      </c>
      <c r="V5070">
        <v>0</v>
      </c>
    </row>
    <row r="5071" spans="1:22" x14ac:dyDescent="0.3">
      <c r="A5071" t="s">
        <v>5086</v>
      </c>
      <c r="B5071" s="2">
        <v>46252.486805555556</v>
      </c>
      <c r="C5071" s="2">
        <v>46252.678472222222</v>
      </c>
      <c r="D5071" t="s">
        <v>6024</v>
      </c>
      <c r="E5071" t="s">
        <v>6030</v>
      </c>
      <c r="F5071" t="s">
        <v>6035</v>
      </c>
      <c r="G5071" t="s">
        <v>6075</v>
      </c>
      <c r="H5071" t="s">
        <v>6097</v>
      </c>
      <c r="I5071">
        <v>4</v>
      </c>
      <c r="J5071">
        <v>4.5999999999999996</v>
      </c>
      <c r="K5071" t="s">
        <v>6099</v>
      </c>
      <c r="L5071" t="s">
        <v>6100</v>
      </c>
      <c r="M5071" t="s">
        <v>6099</v>
      </c>
      <c r="O5071" t="s">
        <v>6101</v>
      </c>
      <c r="P5071" t="s">
        <v>6114</v>
      </c>
      <c r="Q5071">
        <v>8</v>
      </c>
      <c r="R5071">
        <v>2026</v>
      </c>
      <c r="S5071" t="s">
        <v>6100</v>
      </c>
      <c r="T5071">
        <v>0</v>
      </c>
      <c r="U5071" t="s">
        <v>6019</v>
      </c>
      <c r="V5071">
        <v>1</v>
      </c>
    </row>
    <row r="5072" spans="1:22" x14ac:dyDescent="0.3">
      <c r="A5072" t="s">
        <v>5087</v>
      </c>
      <c r="B5072" s="2">
        <v>46252.506249999999</v>
      </c>
      <c r="C5072" s="2">
        <v>46253.731249999997</v>
      </c>
      <c r="D5072" t="s">
        <v>6028</v>
      </c>
      <c r="E5072" t="s">
        <v>6031</v>
      </c>
      <c r="F5072" t="s">
        <v>6035</v>
      </c>
      <c r="G5072" t="s">
        <v>6073</v>
      </c>
      <c r="H5072" t="s">
        <v>6096</v>
      </c>
      <c r="I5072">
        <v>4</v>
      </c>
      <c r="J5072">
        <v>29.4</v>
      </c>
      <c r="K5072" t="s">
        <v>6099</v>
      </c>
      <c r="L5072" t="s">
        <v>6100</v>
      </c>
      <c r="M5072" t="s">
        <v>6100</v>
      </c>
      <c r="N5072">
        <v>3</v>
      </c>
      <c r="O5072" t="s">
        <v>6101</v>
      </c>
      <c r="P5072" t="s">
        <v>6114</v>
      </c>
      <c r="Q5072">
        <v>8</v>
      </c>
      <c r="R5072">
        <v>2026</v>
      </c>
      <c r="S5072" t="s">
        <v>6100</v>
      </c>
      <c r="T5072">
        <v>0</v>
      </c>
      <c r="U5072" t="s">
        <v>6020</v>
      </c>
      <c r="V5072">
        <v>1</v>
      </c>
    </row>
    <row r="5073" spans="1:22" x14ac:dyDescent="0.3">
      <c r="A5073" t="s">
        <v>5088</v>
      </c>
      <c r="B5073" s="2">
        <v>46252.509722222225</v>
      </c>
      <c r="C5073" s="2">
        <v>46252.668055555558</v>
      </c>
      <c r="D5073" t="s">
        <v>6023</v>
      </c>
      <c r="E5073" t="s">
        <v>6029</v>
      </c>
      <c r="F5073" t="s">
        <v>6033</v>
      </c>
      <c r="G5073" t="s">
        <v>6042</v>
      </c>
      <c r="H5073" t="s">
        <v>6098</v>
      </c>
      <c r="I5073">
        <v>72</v>
      </c>
      <c r="J5073">
        <v>3.8</v>
      </c>
      <c r="K5073" t="s">
        <v>6099</v>
      </c>
      <c r="L5073" t="s">
        <v>6100</v>
      </c>
      <c r="M5073" t="s">
        <v>6100</v>
      </c>
      <c r="O5073" t="s">
        <v>6101</v>
      </c>
      <c r="P5073" t="s">
        <v>6114</v>
      </c>
      <c r="Q5073">
        <v>8</v>
      </c>
      <c r="R5073">
        <v>2026</v>
      </c>
      <c r="S5073" t="s">
        <v>6099</v>
      </c>
      <c r="T5073">
        <v>1</v>
      </c>
      <c r="U5073" t="s">
        <v>6021</v>
      </c>
      <c r="V5073">
        <v>1</v>
      </c>
    </row>
    <row r="5074" spans="1:22" x14ac:dyDescent="0.3">
      <c r="A5074" t="s">
        <v>5089</v>
      </c>
      <c r="B5074" s="2">
        <v>46252.537499999999</v>
      </c>
      <c r="C5074" s="2">
        <v>46252.98333333333</v>
      </c>
      <c r="D5074" t="s">
        <v>6023</v>
      </c>
      <c r="E5074" t="s">
        <v>6032</v>
      </c>
      <c r="F5074" t="s">
        <v>6033</v>
      </c>
      <c r="G5074" t="s">
        <v>6065</v>
      </c>
      <c r="H5074" t="s">
        <v>6097</v>
      </c>
      <c r="I5074">
        <v>72</v>
      </c>
      <c r="J5074">
        <v>10.7</v>
      </c>
      <c r="K5074" t="s">
        <v>6099</v>
      </c>
      <c r="L5074" t="s">
        <v>6100</v>
      </c>
      <c r="M5074" t="s">
        <v>6100</v>
      </c>
      <c r="N5074">
        <v>4</v>
      </c>
      <c r="O5074" t="s">
        <v>6101</v>
      </c>
      <c r="P5074" t="s">
        <v>6114</v>
      </c>
      <c r="Q5074">
        <v>8</v>
      </c>
      <c r="R5074">
        <v>2026</v>
      </c>
      <c r="S5074" t="s">
        <v>6099</v>
      </c>
      <c r="T5074">
        <v>1</v>
      </c>
      <c r="U5074" t="s">
        <v>6019</v>
      </c>
      <c r="V5074">
        <v>1</v>
      </c>
    </row>
    <row r="5075" spans="1:22" x14ac:dyDescent="0.3">
      <c r="A5075" t="s">
        <v>5090</v>
      </c>
      <c r="B5075" s="2">
        <v>46252.54583333333</v>
      </c>
      <c r="C5075" s="2">
        <v>46252.724999999999</v>
      </c>
      <c r="D5075" t="s">
        <v>6028</v>
      </c>
      <c r="E5075" t="s">
        <v>6029</v>
      </c>
      <c r="F5075" t="s">
        <v>6034</v>
      </c>
      <c r="G5075" t="s">
        <v>6046</v>
      </c>
      <c r="H5075" t="s">
        <v>6098</v>
      </c>
      <c r="I5075">
        <v>24</v>
      </c>
      <c r="J5075">
        <v>4.3</v>
      </c>
      <c r="K5075" t="s">
        <v>6099</v>
      </c>
      <c r="L5075" t="s">
        <v>6100</v>
      </c>
      <c r="M5075" t="s">
        <v>6100</v>
      </c>
      <c r="N5075">
        <v>5</v>
      </c>
      <c r="O5075" t="s">
        <v>6101</v>
      </c>
      <c r="P5075" t="s">
        <v>6114</v>
      </c>
      <c r="Q5075">
        <v>8</v>
      </c>
      <c r="R5075">
        <v>2026</v>
      </c>
      <c r="S5075" t="s">
        <v>6099</v>
      </c>
      <c r="T5075">
        <v>1</v>
      </c>
      <c r="U5075" t="s">
        <v>6020</v>
      </c>
      <c r="V5075">
        <v>1</v>
      </c>
    </row>
    <row r="5076" spans="1:22" x14ac:dyDescent="0.3">
      <c r="A5076" t="s">
        <v>5091</v>
      </c>
      <c r="B5076" s="2">
        <v>46252.551388888889</v>
      </c>
      <c r="C5076" s="2">
        <v>46252.772222222222</v>
      </c>
      <c r="D5076" t="s">
        <v>6023</v>
      </c>
      <c r="E5076" t="s">
        <v>6029</v>
      </c>
      <c r="F5076" t="s">
        <v>6034</v>
      </c>
      <c r="G5076" t="s">
        <v>6068</v>
      </c>
      <c r="H5076" t="s">
        <v>6098</v>
      </c>
      <c r="I5076">
        <v>24</v>
      </c>
      <c r="J5076">
        <v>5.3</v>
      </c>
      <c r="K5076" t="s">
        <v>6099</v>
      </c>
      <c r="L5076" t="s">
        <v>6100</v>
      </c>
      <c r="M5076" t="s">
        <v>6100</v>
      </c>
      <c r="O5076" t="s">
        <v>6101</v>
      </c>
      <c r="P5076" t="s">
        <v>6114</v>
      </c>
      <c r="Q5076">
        <v>8</v>
      </c>
      <c r="R5076">
        <v>2026</v>
      </c>
      <c r="S5076" t="s">
        <v>6099</v>
      </c>
      <c r="T5076">
        <v>1</v>
      </c>
      <c r="U5076" t="s">
        <v>6017</v>
      </c>
      <c r="V5076">
        <v>1</v>
      </c>
    </row>
    <row r="5077" spans="1:22" x14ac:dyDescent="0.3">
      <c r="A5077" t="s">
        <v>5092</v>
      </c>
      <c r="B5077" s="2">
        <v>46252.57916666667</v>
      </c>
      <c r="C5077" s="2">
        <v>46252.695833333331</v>
      </c>
      <c r="D5077" t="s">
        <v>6027</v>
      </c>
      <c r="E5077" t="s">
        <v>6030</v>
      </c>
      <c r="F5077" t="s">
        <v>6034</v>
      </c>
      <c r="G5077" t="s">
        <v>6094</v>
      </c>
      <c r="H5077" t="s">
        <v>6098</v>
      </c>
      <c r="I5077">
        <v>24</v>
      </c>
      <c r="J5077">
        <v>2.8</v>
      </c>
      <c r="K5077" t="s">
        <v>6100</v>
      </c>
      <c r="L5077" t="s">
        <v>6099</v>
      </c>
      <c r="M5077" t="s">
        <v>6100</v>
      </c>
      <c r="N5077">
        <v>5</v>
      </c>
      <c r="O5077" t="s">
        <v>6101</v>
      </c>
      <c r="P5077" t="s">
        <v>6114</v>
      </c>
      <c r="Q5077">
        <v>8</v>
      </c>
      <c r="R5077">
        <v>2026</v>
      </c>
      <c r="S5077" t="s">
        <v>6099</v>
      </c>
      <c r="T5077">
        <v>1</v>
      </c>
      <c r="U5077" t="s">
        <v>6020</v>
      </c>
      <c r="V5077">
        <v>0</v>
      </c>
    </row>
    <row r="5078" spans="1:22" x14ac:dyDescent="0.3">
      <c r="A5078" t="s">
        <v>5093</v>
      </c>
      <c r="B5078" s="2">
        <v>46252.580555555556</v>
      </c>
      <c r="C5078" s="2">
        <v>46252.876388888886</v>
      </c>
      <c r="D5078" t="s">
        <v>6023</v>
      </c>
      <c r="E5078" t="s">
        <v>6032</v>
      </c>
      <c r="F5078" t="s">
        <v>6033</v>
      </c>
      <c r="G5078" t="s">
        <v>6058</v>
      </c>
      <c r="H5078" t="s">
        <v>6098</v>
      </c>
      <c r="I5078">
        <v>72</v>
      </c>
      <c r="J5078">
        <v>7.1</v>
      </c>
      <c r="K5078" t="s">
        <v>6099</v>
      </c>
      <c r="L5078" t="s">
        <v>6100</v>
      </c>
      <c r="M5078" t="s">
        <v>6100</v>
      </c>
      <c r="N5078">
        <v>5</v>
      </c>
      <c r="O5078" t="s">
        <v>6101</v>
      </c>
      <c r="P5078" t="s">
        <v>6114</v>
      </c>
      <c r="Q5078">
        <v>8</v>
      </c>
      <c r="R5078">
        <v>2026</v>
      </c>
      <c r="S5078" t="s">
        <v>6099</v>
      </c>
      <c r="T5078">
        <v>1</v>
      </c>
      <c r="U5078" t="s">
        <v>6018</v>
      </c>
      <c r="V5078">
        <v>1</v>
      </c>
    </row>
    <row r="5079" spans="1:22" x14ac:dyDescent="0.3">
      <c r="A5079" t="s">
        <v>5094</v>
      </c>
      <c r="B5079" s="2">
        <v>46252.584722222222</v>
      </c>
      <c r="C5079" s="2">
        <v>46253.280555555553</v>
      </c>
      <c r="D5079" t="s">
        <v>6022</v>
      </c>
      <c r="E5079" t="s">
        <v>6029</v>
      </c>
      <c r="F5079" t="s">
        <v>6033</v>
      </c>
      <c r="G5079" t="s">
        <v>6078</v>
      </c>
      <c r="H5079" t="s">
        <v>6097</v>
      </c>
      <c r="I5079">
        <v>72</v>
      </c>
      <c r="J5079">
        <v>16.7</v>
      </c>
      <c r="K5079" t="s">
        <v>6099</v>
      </c>
      <c r="L5079" t="s">
        <v>6100</v>
      </c>
      <c r="M5079" t="s">
        <v>6100</v>
      </c>
      <c r="N5079">
        <v>5</v>
      </c>
      <c r="O5079" t="s">
        <v>6101</v>
      </c>
      <c r="P5079" t="s">
        <v>6114</v>
      </c>
      <c r="Q5079">
        <v>8</v>
      </c>
      <c r="R5079">
        <v>2026</v>
      </c>
      <c r="S5079" t="s">
        <v>6099</v>
      </c>
      <c r="T5079">
        <v>1</v>
      </c>
      <c r="U5079" t="s">
        <v>6020</v>
      </c>
      <c r="V5079">
        <v>1</v>
      </c>
    </row>
    <row r="5080" spans="1:22" x14ac:dyDescent="0.3">
      <c r="A5080" t="s">
        <v>5095</v>
      </c>
      <c r="B5080" s="2">
        <v>46252.615277777775</v>
      </c>
      <c r="C5080" s="2">
        <v>46253.56527777778</v>
      </c>
      <c r="D5080" t="s">
        <v>6026</v>
      </c>
      <c r="E5080" t="s">
        <v>6029</v>
      </c>
      <c r="F5080" t="s">
        <v>6034</v>
      </c>
      <c r="G5080" t="s">
        <v>6044</v>
      </c>
      <c r="H5080" t="s">
        <v>6097</v>
      </c>
      <c r="I5080">
        <v>24</v>
      </c>
      <c r="J5080">
        <v>22.8</v>
      </c>
      <c r="K5080" t="s">
        <v>6099</v>
      </c>
      <c r="L5080" t="s">
        <v>6100</v>
      </c>
      <c r="M5080" t="s">
        <v>6100</v>
      </c>
      <c r="N5080">
        <v>4</v>
      </c>
      <c r="O5080" t="s">
        <v>6101</v>
      </c>
      <c r="P5080" t="s">
        <v>6114</v>
      </c>
      <c r="Q5080">
        <v>8</v>
      </c>
      <c r="R5080">
        <v>2026</v>
      </c>
      <c r="S5080" t="s">
        <v>6099</v>
      </c>
      <c r="T5080">
        <v>1</v>
      </c>
      <c r="U5080" t="s">
        <v>6021</v>
      </c>
      <c r="V5080">
        <v>1</v>
      </c>
    </row>
    <row r="5081" spans="1:22" x14ac:dyDescent="0.3">
      <c r="A5081" t="s">
        <v>5096</v>
      </c>
      <c r="B5081" s="2">
        <v>46252.658333333333</v>
      </c>
      <c r="C5081" s="2">
        <v>46252.820833333331</v>
      </c>
      <c r="D5081" t="s">
        <v>6028</v>
      </c>
      <c r="E5081" t="s">
        <v>6030</v>
      </c>
      <c r="F5081" t="s">
        <v>6035</v>
      </c>
      <c r="G5081" t="s">
        <v>6064</v>
      </c>
      <c r="H5081" t="s">
        <v>6096</v>
      </c>
      <c r="I5081">
        <v>4</v>
      </c>
      <c r="J5081">
        <v>3.9</v>
      </c>
      <c r="K5081" t="s">
        <v>6100</v>
      </c>
      <c r="L5081" t="s">
        <v>6100</v>
      </c>
      <c r="M5081" t="s">
        <v>6099</v>
      </c>
      <c r="O5081" t="s">
        <v>6101</v>
      </c>
      <c r="P5081" t="s">
        <v>6114</v>
      </c>
      <c r="Q5081">
        <v>8</v>
      </c>
      <c r="R5081">
        <v>2026</v>
      </c>
      <c r="S5081" t="s">
        <v>6099</v>
      </c>
      <c r="T5081">
        <v>1</v>
      </c>
      <c r="U5081" t="s">
        <v>6021</v>
      </c>
      <c r="V5081">
        <v>0</v>
      </c>
    </row>
    <row r="5082" spans="1:22" x14ac:dyDescent="0.3">
      <c r="A5082" t="s">
        <v>5097</v>
      </c>
      <c r="B5082" s="2">
        <v>46252.677083333336</v>
      </c>
      <c r="C5082" s="2">
        <v>46252.993750000001</v>
      </c>
      <c r="D5082" t="s">
        <v>6022</v>
      </c>
      <c r="E5082" t="s">
        <v>6030</v>
      </c>
      <c r="F5082" t="s">
        <v>6033</v>
      </c>
      <c r="G5082" t="s">
        <v>6049</v>
      </c>
      <c r="H5082" t="s">
        <v>6097</v>
      </c>
      <c r="I5082">
        <v>72</v>
      </c>
      <c r="J5082">
        <v>7.6</v>
      </c>
      <c r="K5082" t="s">
        <v>6099</v>
      </c>
      <c r="L5082" t="s">
        <v>6100</v>
      </c>
      <c r="M5082" t="s">
        <v>6099</v>
      </c>
      <c r="N5082">
        <v>4</v>
      </c>
      <c r="O5082" t="s">
        <v>6101</v>
      </c>
      <c r="P5082" t="s">
        <v>6114</v>
      </c>
      <c r="Q5082">
        <v>8</v>
      </c>
      <c r="R5082">
        <v>2026</v>
      </c>
      <c r="S5082" t="s">
        <v>6099</v>
      </c>
      <c r="T5082">
        <v>1</v>
      </c>
      <c r="U5082" t="s">
        <v>6019</v>
      </c>
      <c r="V5082">
        <v>1</v>
      </c>
    </row>
    <row r="5083" spans="1:22" x14ac:dyDescent="0.3">
      <c r="A5083" t="s">
        <v>5098</v>
      </c>
      <c r="B5083" s="2">
        <v>46252.693055555559</v>
      </c>
      <c r="C5083" s="2">
        <v>46252.755555555559</v>
      </c>
      <c r="D5083" t="s">
        <v>6028</v>
      </c>
      <c r="E5083" t="s">
        <v>6030</v>
      </c>
      <c r="F5083" t="s">
        <v>6035</v>
      </c>
      <c r="G5083" t="s">
        <v>6038</v>
      </c>
      <c r="H5083" t="s">
        <v>6096</v>
      </c>
      <c r="I5083">
        <v>4</v>
      </c>
      <c r="J5083">
        <v>1.5</v>
      </c>
      <c r="K5083" t="s">
        <v>6100</v>
      </c>
      <c r="L5083" t="s">
        <v>6099</v>
      </c>
      <c r="M5083" t="s">
        <v>6100</v>
      </c>
      <c r="O5083" t="s">
        <v>6101</v>
      </c>
      <c r="P5083" t="s">
        <v>6114</v>
      </c>
      <c r="Q5083">
        <v>8</v>
      </c>
      <c r="R5083">
        <v>2026</v>
      </c>
      <c r="S5083" t="s">
        <v>6099</v>
      </c>
      <c r="T5083">
        <v>1</v>
      </c>
      <c r="U5083" t="s">
        <v>6018</v>
      </c>
      <c r="V5083">
        <v>0</v>
      </c>
    </row>
    <row r="5084" spans="1:22" x14ac:dyDescent="0.3">
      <c r="A5084" t="s">
        <v>5099</v>
      </c>
      <c r="B5084" s="2">
        <v>46252.705555555556</v>
      </c>
      <c r="C5084" s="2">
        <v>46253.034722222219</v>
      </c>
      <c r="D5084" t="s">
        <v>6022</v>
      </c>
      <c r="E5084" t="s">
        <v>6030</v>
      </c>
      <c r="F5084" t="s">
        <v>6033</v>
      </c>
      <c r="G5084" t="s">
        <v>6072</v>
      </c>
      <c r="H5084" t="s">
        <v>6097</v>
      </c>
      <c r="I5084">
        <v>72</v>
      </c>
      <c r="J5084">
        <v>7.9</v>
      </c>
      <c r="K5084" t="s">
        <v>6099</v>
      </c>
      <c r="L5084" t="s">
        <v>6100</v>
      </c>
      <c r="M5084" t="s">
        <v>6100</v>
      </c>
      <c r="O5084" t="s">
        <v>6101</v>
      </c>
      <c r="P5084" t="s">
        <v>6114</v>
      </c>
      <c r="Q5084">
        <v>8</v>
      </c>
      <c r="R5084">
        <v>2026</v>
      </c>
      <c r="S5084" t="s">
        <v>6099</v>
      </c>
      <c r="T5084">
        <v>1</v>
      </c>
      <c r="U5084" t="s">
        <v>6021</v>
      </c>
      <c r="V5084">
        <v>1</v>
      </c>
    </row>
    <row r="5085" spans="1:22" x14ac:dyDescent="0.3">
      <c r="A5085" t="s">
        <v>5100</v>
      </c>
      <c r="B5085" s="2">
        <v>46252.729861111111</v>
      </c>
      <c r="C5085" s="2">
        <v>46252.867361111108</v>
      </c>
      <c r="D5085" t="s">
        <v>6027</v>
      </c>
      <c r="E5085" t="s">
        <v>6030</v>
      </c>
      <c r="F5085" t="s">
        <v>6034</v>
      </c>
      <c r="G5085" t="s">
        <v>6089</v>
      </c>
      <c r="H5085" t="s">
        <v>6098</v>
      </c>
      <c r="I5085">
        <v>24</v>
      </c>
      <c r="J5085">
        <v>3.3</v>
      </c>
      <c r="K5085" t="s">
        <v>6099</v>
      </c>
      <c r="L5085" t="s">
        <v>6100</v>
      </c>
      <c r="M5085" t="s">
        <v>6100</v>
      </c>
      <c r="O5085" t="s">
        <v>6101</v>
      </c>
      <c r="P5085" t="s">
        <v>6114</v>
      </c>
      <c r="Q5085">
        <v>8</v>
      </c>
      <c r="R5085">
        <v>2026</v>
      </c>
      <c r="S5085" t="s">
        <v>6099</v>
      </c>
      <c r="T5085">
        <v>1</v>
      </c>
      <c r="U5085" t="s">
        <v>6018</v>
      </c>
      <c r="V5085">
        <v>1</v>
      </c>
    </row>
    <row r="5086" spans="1:22" x14ac:dyDescent="0.3">
      <c r="A5086" t="s">
        <v>5101</v>
      </c>
      <c r="B5086" s="2">
        <v>46252.758333333331</v>
      </c>
      <c r="C5086" s="2">
        <v>46254.824999999997</v>
      </c>
      <c r="D5086" t="s">
        <v>6026</v>
      </c>
      <c r="E5086" t="s">
        <v>6031</v>
      </c>
      <c r="F5086" t="s">
        <v>6033</v>
      </c>
      <c r="G5086" t="s">
        <v>6079</v>
      </c>
      <c r="H5086" t="s">
        <v>6097</v>
      </c>
      <c r="I5086">
        <v>72</v>
      </c>
      <c r="J5086">
        <v>49.6</v>
      </c>
      <c r="K5086" t="s">
        <v>6100</v>
      </c>
      <c r="L5086" t="s">
        <v>6100</v>
      </c>
      <c r="M5086" t="s">
        <v>6100</v>
      </c>
      <c r="N5086">
        <v>5</v>
      </c>
      <c r="O5086" t="s">
        <v>6101</v>
      </c>
      <c r="P5086" t="s">
        <v>6114</v>
      </c>
      <c r="Q5086">
        <v>8</v>
      </c>
      <c r="R5086">
        <v>2026</v>
      </c>
      <c r="S5086" t="s">
        <v>6099</v>
      </c>
      <c r="T5086">
        <v>1</v>
      </c>
      <c r="U5086" t="s">
        <v>6021</v>
      </c>
      <c r="V5086">
        <v>0</v>
      </c>
    </row>
    <row r="5087" spans="1:22" x14ac:dyDescent="0.3">
      <c r="A5087" t="s">
        <v>5102</v>
      </c>
      <c r="B5087" s="2">
        <v>46252.759722222225</v>
      </c>
      <c r="C5087" s="2">
        <v>46252.993055555555</v>
      </c>
      <c r="D5087" t="s">
        <v>6024</v>
      </c>
      <c r="E5087" t="s">
        <v>6030</v>
      </c>
      <c r="F5087" t="s">
        <v>6033</v>
      </c>
      <c r="G5087" t="s">
        <v>6074</v>
      </c>
      <c r="H5087" t="s">
        <v>6098</v>
      </c>
      <c r="I5087">
        <v>72</v>
      </c>
      <c r="J5087">
        <v>5.6</v>
      </c>
      <c r="K5087" t="s">
        <v>6100</v>
      </c>
      <c r="L5087" t="s">
        <v>6099</v>
      </c>
      <c r="M5087" t="s">
        <v>6100</v>
      </c>
      <c r="N5087">
        <v>5</v>
      </c>
      <c r="O5087" t="s">
        <v>6101</v>
      </c>
      <c r="P5087" t="s">
        <v>6114</v>
      </c>
      <c r="Q5087">
        <v>8</v>
      </c>
      <c r="R5087">
        <v>2026</v>
      </c>
      <c r="S5087" t="s">
        <v>6099</v>
      </c>
      <c r="T5087">
        <v>1</v>
      </c>
      <c r="U5087" t="s">
        <v>6017</v>
      </c>
      <c r="V5087">
        <v>0</v>
      </c>
    </row>
    <row r="5088" spans="1:22" x14ac:dyDescent="0.3">
      <c r="A5088" t="s">
        <v>5103</v>
      </c>
      <c r="B5088" s="2">
        <v>46252.862500000003</v>
      </c>
      <c r="C5088" s="2">
        <v>46254.883333333331</v>
      </c>
      <c r="D5088" t="s">
        <v>6022</v>
      </c>
      <c r="E5088" t="s">
        <v>6029</v>
      </c>
      <c r="F5088" t="s">
        <v>6033</v>
      </c>
      <c r="G5088" t="s">
        <v>6054</v>
      </c>
      <c r="H5088" t="s">
        <v>6096</v>
      </c>
      <c r="I5088">
        <v>72</v>
      </c>
      <c r="J5088">
        <v>48.5</v>
      </c>
      <c r="K5088" t="s">
        <v>6099</v>
      </c>
      <c r="L5088" t="s">
        <v>6100</v>
      </c>
      <c r="M5088" t="s">
        <v>6100</v>
      </c>
      <c r="N5088">
        <v>4</v>
      </c>
      <c r="O5088" t="s">
        <v>6101</v>
      </c>
      <c r="P5088" t="s">
        <v>6114</v>
      </c>
      <c r="Q5088">
        <v>8</v>
      </c>
      <c r="R5088">
        <v>2026</v>
      </c>
      <c r="S5088" t="s">
        <v>6099</v>
      </c>
      <c r="T5088">
        <v>1</v>
      </c>
      <c r="U5088" t="s">
        <v>6019</v>
      </c>
      <c r="V5088">
        <v>1</v>
      </c>
    </row>
    <row r="5089" spans="1:22" x14ac:dyDescent="0.3">
      <c r="A5089" t="s">
        <v>5104</v>
      </c>
      <c r="B5089" s="2">
        <v>46252.902777777781</v>
      </c>
      <c r="C5089" s="2">
        <v>46253.198611111111</v>
      </c>
      <c r="D5089" t="s">
        <v>6023</v>
      </c>
      <c r="E5089" t="s">
        <v>6030</v>
      </c>
      <c r="F5089" t="s">
        <v>6034</v>
      </c>
      <c r="G5089" t="s">
        <v>6054</v>
      </c>
      <c r="H5089" t="s">
        <v>6096</v>
      </c>
      <c r="I5089">
        <v>24</v>
      </c>
      <c r="J5089">
        <v>7.1</v>
      </c>
      <c r="K5089" t="s">
        <v>6099</v>
      </c>
      <c r="L5089" t="s">
        <v>6100</v>
      </c>
      <c r="M5089" t="s">
        <v>6100</v>
      </c>
      <c r="N5089">
        <v>4</v>
      </c>
      <c r="O5089" t="s">
        <v>6101</v>
      </c>
      <c r="P5089" t="s">
        <v>6114</v>
      </c>
      <c r="Q5089">
        <v>8</v>
      </c>
      <c r="R5089">
        <v>2026</v>
      </c>
      <c r="S5089" t="s">
        <v>6099</v>
      </c>
      <c r="T5089">
        <v>1</v>
      </c>
      <c r="U5089" t="s">
        <v>6018</v>
      </c>
      <c r="V5089">
        <v>1</v>
      </c>
    </row>
    <row r="5090" spans="1:22" x14ac:dyDescent="0.3">
      <c r="A5090" t="s">
        <v>5105</v>
      </c>
      <c r="B5090" s="2">
        <v>46253.200694444444</v>
      </c>
      <c r="C5090" s="2">
        <v>46253.713194444441</v>
      </c>
      <c r="D5090" t="s">
        <v>6022</v>
      </c>
      <c r="E5090" t="s">
        <v>6032</v>
      </c>
      <c r="F5090" t="s">
        <v>6034</v>
      </c>
      <c r="G5090" t="s">
        <v>6049</v>
      </c>
      <c r="H5090" t="s">
        <v>6097</v>
      </c>
      <c r="I5090">
        <v>24</v>
      </c>
      <c r="J5090">
        <v>12.3</v>
      </c>
      <c r="K5090" t="s">
        <v>6099</v>
      </c>
      <c r="L5090" t="s">
        <v>6100</v>
      </c>
      <c r="M5090" t="s">
        <v>6100</v>
      </c>
      <c r="O5090" t="s">
        <v>6101</v>
      </c>
      <c r="P5090" t="s">
        <v>6114</v>
      </c>
      <c r="Q5090">
        <v>8</v>
      </c>
      <c r="R5090">
        <v>2026</v>
      </c>
      <c r="S5090" t="s">
        <v>6099</v>
      </c>
      <c r="T5090">
        <v>1</v>
      </c>
      <c r="U5090" t="s">
        <v>6020</v>
      </c>
      <c r="V5090">
        <v>1</v>
      </c>
    </row>
    <row r="5091" spans="1:22" x14ac:dyDescent="0.3">
      <c r="A5091" t="s">
        <v>5106</v>
      </c>
      <c r="B5091" s="2">
        <v>46253.288888888892</v>
      </c>
      <c r="C5091" s="2">
        <v>46253.580555555556</v>
      </c>
      <c r="D5091" t="s">
        <v>6027</v>
      </c>
      <c r="E5091" t="s">
        <v>6029</v>
      </c>
      <c r="F5091" t="s">
        <v>6033</v>
      </c>
      <c r="G5091" t="s">
        <v>6061</v>
      </c>
      <c r="H5091" t="s">
        <v>6096</v>
      </c>
      <c r="I5091">
        <v>72</v>
      </c>
      <c r="J5091">
        <v>7</v>
      </c>
      <c r="K5091" t="s">
        <v>6099</v>
      </c>
      <c r="L5091" t="s">
        <v>6100</v>
      </c>
      <c r="M5091" t="s">
        <v>6100</v>
      </c>
      <c r="N5091">
        <v>5</v>
      </c>
      <c r="O5091" t="s">
        <v>6101</v>
      </c>
      <c r="P5091" t="s">
        <v>6114</v>
      </c>
      <c r="Q5091">
        <v>8</v>
      </c>
      <c r="R5091">
        <v>2026</v>
      </c>
      <c r="S5091" t="s">
        <v>6099</v>
      </c>
      <c r="T5091">
        <v>1</v>
      </c>
      <c r="U5091" t="s">
        <v>6019</v>
      </c>
      <c r="V5091">
        <v>1</v>
      </c>
    </row>
    <row r="5092" spans="1:22" x14ac:dyDescent="0.3">
      <c r="A5092" t="s">
        <v>5107</v>
      </c>
      <c r="B5092" s="2">
        <v>46253.313888888886</v>
      </c>
      <c r="C5092" s="2">
        <v>46253.993055555555</v>
      </c>
      <c r="D5092" t="s">
        <v>6023</v>
      </c>
      <c r="E5092" t="s">
        <v>6032</v>
      </c>
      <c r="F5092" t="s">
        <v>6033</v>
      </c>
      <c r="G5092" t="s">
        <v>6048</v>
      </c>
      <c r="H5092" t="s">
        <v>6096</v>
      </c>
      <c r="I5092">
        <v>72</v>
      </c>
      <c r="J5092">
        <v>16.3</v>
      </c>
      <c r="K5092" t="s">
        <v>6099</v>
      </c>
      <c r="L5092" t="s">
        <v>6100</v>
      </c>
      <c r="M5092" t="s">
        <v>6099</v>
      </c>
      <c r="O5092" t="s">
        <v>6101</v>
      </c>
      <c r="P5092" t="s">
        <v>6114</v>
      </c>
      <c r="Q5092">
        <v>8</v>
      </c>
      <c r="R5092">
        <v>2026</v>
      </c>
      <c r="S5092" t="s">
        <v>6099</v>
      </c>
      <c r="T5092">
        <v>1</v>
      </c>
      <c r="U5092" t="s">
        <v>6019</v>
      </c>
      <c r="V5092">
        <v>1</v>
      </c>
    </row>
    <row r="5093" spans="1:22" x14ac:dyDescent="0.3">
      <c r="A5093" t="s">
        <v>5108</v>
      </c>
      <c r="B5093" s="2">
        <v>46253.317361111112</v>
      </c>
      <c r="C5093" s="2">
        <v>46254.025694444441</v>
      </c>
      <c r="D5093" t="s">
        <v>6025</v>
      </c>
      <c r="E5093" t="s">
        <v>6029</v>
      </c>
      <c r="F5093" t="s">
        <v>6035</v>
      </c>
      <c r="G5093" t="s">
        <v>6083</v>
      </c>
      <c r="H5093" t="s">
        <v>6096</v>
      </c>
      <c r="I5093">
        <v>4</v>
      </c>
      <c r="J5093">
        <v>17</v>
      </c>
      <c r="K5093" t="s">
        <v>6099</v>
      </c>
      <c r="L5093" t="s">
        <v>6100</v>
      </c>
      <c r="M5093" t="s">
        <v>6100</v>
      </c>
      <c r="N5093">
        <v>4</v>
      </c>
      <c r="O5093" t="s">
        <v>6101</v>
      </c>
      <c r="P5093" t="s">
        <v>6114</v>
      </c>
      <c r="Q5093">
        <v>8</v>
      </c>
      <c r="R5093">
        <v>2026</v>
      </c>
      <c r="S5093" t="s">
        <v>6100</v>
      </c>
      <c r="T5093">
        <v>0</v>
      </c>
      <c r="U5093" t="s">
        <v>6017</v>
      </c>
      <c r="V5093">
        <v>1</v>
      </c>
    </row>
    <row r="5094" spans="1:22" x14ac:dyDescent="0.3">
      <c r="A5094" t="s">
        <v>5109</v>
      </c>
      <c r="B5094" s="2">
        <v>46253.338194444441</v>
      </c>
      <c r="C5094" s="2">
        <v>46253.600694444445</v>
      </c>
      <c r="D5094" t="s">
        <v>6023</v>
      </c>
      <c r="E5094" t="s">
        <v>6029</v>
      </c>
      <c r="F5094" t="s">
        <v>6033</v>
      </c>
      <c r="G5094" t="s">
        <v>6073</v>
      </c>
      <c r="H5094" t="s">
        <v>6096</v>
      </c>
      <c r="I5094">
        <v>72</v>
      </c>
      <c r="J5094">
        <v>6.3</v>
      </c>
      <c r="K5094" t="s">
        <v>6099</v>
      </c>
      <c r="L5094" t="s">
        <v>6100</v>
      </c>
      <c r="M5094" t="s">
        <v>6100</v>
      </c>
      <c r="N5094">
        <v>3</v>
      </c>
      <c r="O5094" t="s">
        <v>6101</v>
      </c>
      <c r="P5094" t="s">
        <v>6114</v>
      </c>
      <c r="Q5094">
        <v>8</v>
      </c>
      <c r="R5094">
        <v>2026</v>
      </c>
      <c r="S5094" t="s">
        <v>6099</v>
      </c>
      <c r="T5094">
        <v>1</v>
      </c>
      <c r="U5094" t="s">
        <v>6020</v>
      </c>
      <c r="V5094">
        <v>1</v>
      </c>
    </row>
    <row r="5095" spans="1:22" x14ac:dyDescent="0.3">
      <c r="A5095" t="s">
        <v>5110</v>
      </c>
      <c r="B5095" s="2">
        <v>46253.341666666667</v>
      </c>
      <c r="C5095" s="2">
        <v>46253.554166666669</v>
      </c>
      <c r="D5095" t="s">
        <v>6022</v>
      </c>
      <c r="E5095" t="s">
        <v>6029</v>
      </c>
      <c r="F5095" t="s">
        <v>6035</v>
      </c>
      <c r="G5095" t="s">
        <v>6060</v>
      </c>
      <c r="H5095" t="s">
        <v>6097</v>
      </c>
      <c r="I5095">
        <v>4</v>
      </c>
      <c r="J5095">
        <v>5.0999999999999996</v>
      </c>
      <c r="K5095" t="s">
        <v>6099</v>
      </c>
      <c r="L5095" t="s">
        <v>6100</v>
      </c>
      <c r="M5095" t="s">
        <v>6099</v>
      </c>
      <c r="N5095">
        <v>3</v>
      </c>
      <c r="O5095" t="s">
        <v>6101</v>
      </c>
      <c r="P5095" t="s">
        <v>6114</v>
      </c>
      <c r="Q5095">
        <v>8</v>
      </c>
      <c r="R5095">
        <v>2026</v>
      </c>
      <c r="S5095" t="s">
        <v>6100</v>
      </c>
      <c r="T5095">
        <v>0</v>
      </c>
      <c r="U5095" t="s">
        <v>6021</v>
      </c>
      <c r="V5095">
        <v>1</v>
      </c>
    </row>
    <row r="5096" spans="1:22" x14ac:dyDescent="0.3">
      <c r="A5096" t="s">
        <v>5111</v>
      </c>
      <c r="B5096" s="2">
        <v>46253.345138888886</v>
      </c>
      <c r="C5096" s="2">
        <v>46255.378472222219</v>
      </c>
      <c r="D5096" t="s">
        <v>6025</v>
      </c>
      <c r="E5096" t="s">
        <v>6029</v>
      </c>
      <c r="F5096" t="s">
        <v>6034</v>
      </c>
      <c r="G5096" t="s">
        <v>6081</v>
      </c>
      <c r="H5096" t="s">
        <v>6098</v>
      </c>
      <c r="I5096">
        <v>24</v>
      </c>
      <c r="J5096">
        <v>48.8</v>
      </c>
      <c r="K5096" t="s">
        <v>6099</v>
      </c>
      <c r="L5096" t="s">
        <v>6100</v>
      </c>
      <c r="M5096" t="s">
        <v>6100</v>
      </c>
      <c r="O5096" t="s">
        <v>6101</v>
      </c>
      <c r="P5096" t="s">
        <v>6114</v>
      </c>
      <c r="Q5096">
        <v>8</v>
      </c>
      <c r="R5096">
        <v>2026</v>
      </c>
      <c r="S5096" t="s">
        <v>6100</v>
      </c>
      <c r="T5096">
        <v>0</v>
      </c>
      <c r="U5096" t="s">
        <v>6021</v>
      </c>
      <c r="V5096">
        <v>1</v>
      </c>
    </row>
    <row r="5097" spans="1:22" x14ac:dyDescent="0.3">
      <c r="A5097" t="s">
        <v>5112</v>
      </c>
      <c r="B5097" s="2">
        <v>46253.347916666666</v>
      </c>
      <c r="C5097" s="2">
        <v>46253.631249999999</v>
      </c>
      <c r="D5097" t="s">
        <v>6023</v>
      </c>
      <c r="E5097" t="s">
        <v>6029</v>
      </c>
      <c r="F5097" t="s">
        <v>6034</v>
      </c>
      <c r="G5097" t="s">
        <v>6072</v>
      </c>
      <c r="H5097" t="s">
        <v>6097</v>
      </c>
      <c r="I5097">
        <v>24</v>
      </c>
      <c r="J5097">
        <v>6.8</v>
      </c>
      <c r="K5097" t="s">
        <v>6099</v>
      </c>
      <c r="L5097" t="s">
        <v>6100</v>
      </c>
      <c r="M5097" t="s">
        <v>6100</v>
      </c>
      <c r="N5097">
        <v>5</v>
      </c>
      <c r="O5097" t="s">
        <v>6101</v>
      </c>
      <c r="P5097" t="s">
        <v>6114</v>
      </c>
      <c r="Q5097">
        <v>8</v>
      </c>
      <c r="R5097">
        <v>2026</v>
      </c>
      <c r="S5097" t="s">
        <v>6099</v>
      </c>
      <c r="T5097">
        <v>1</v>
      </c>
      <c r="U5097" t="s">
        <v>6021</v>
      </c>
      <c r="V5097">
        <v>1</v>
      </c>
    </row>
    <row r="5098" spans="1:22" x14ac:dyDescent="0.3">
      <c r="A5098" t="s">
        <v>5113</v>
      </c>
      <c r="B5098" s="2">
        <v>46253.374305555553</v>
      </c>
      <c r="C5098" s="2">
        <v>46254.120138888888</v>
      </c>
      <c r="D5098" t="s">
        <v>6024</v>
      </c>
      <c r="E5098" t="s">
        <v>6032</v>
      </c>
      <c r="F5098" t="s">
        <v>6034</v>
      </c>
      <c r="G5098" t="s">
        <v>6043</v>
      </c>
      <c r="H5098" t="s">
        <v>6097</v>
      </c>
      <c r="I5098">
        <v>24</v>
      </c>
      <c r="J5098">
        <v>17.899999999999999</v>
      </c>
      <c r="K5098" t="s">
        <v>6099</v>
      </c>
      <c r="L5098" t="s">
        <v>6100</v>
      </c>
      <c r="M5098" t="s">
        <v>6100</v>
      </c>
      <c r="N5098">
        <v>5</v>
      </c>
      <c r="O5098" t="s">
        <v>6101</v>
      </c>
      <c r="P5098" t="s">
        <v>6114</v>
      </c>
      <c r="Q5098">
        <v>8</v>
      </c>
      <c r="R5098">
        <v>2026</v>
      </c>
      <c r="S5098" t="s">
        <v>6099</v>
      </c>
      <c r="T5098">
        <v>1</v>
      </c>
      <c r="U5098" t="s">
        <v>6019</v>
      </c>
      <c r="V5098">
        <v>1</v>
      </c>
    </row>
    <row r="5099" spans="1:22" x14ac:dyDescent="0.3">
      <c r="A5099" t="s">
        <v>5114</v>
      </c>
      <c r="B5099" s="2">
        <v>46253.406944444447</v>
      </c>
      <c r="C5099" s="2">
        <v>46253.694444444445</v>
      </c>
      <c r="D5099" t="s">
        <v>6025</v>
      </c>
      <c r="E5099" t="s">
        <v>6029</v>
      </c>
      <c r="F5099" t="s">
        <v>6034</v>
      </c>
      <c r="G5099" t="s">
        <v>6093</v>
      </c>
      <c r="H5099" t="s">
        <v>6097</v>
      </c>
      <c r="I5099">
        <v>24</v>
      </c>
      <c r="J5099">
        <v>6.9</v>
      </c>
      <c r="K5099" t="s">
        <v>6099</v>
      </c>
      <c r="L5099" t="s">
        <v>6100</v>
      </c>
      <c r="M5099" t="s">
        <v>6100</v>
      </c>
      <c r="N5099">
        <v>5</v>
      </c>
      <c r="O5099" t="s">
        <v>6101</v>
      </c>
      <c r="P5099" t="s">
        <v>6114</v>
      </c>
      <c r="Q5099">
        <v>8</v>
      </c>
      <c r="R5099">
        <v>2026</v>
      </c>
      <c r="S5099" t="s">
        <v>6099</v>
      </c>
      <c r="T5099">
        <v>1</v>
      </c>
      <c r="U5099" t="s">
        <v>6021</v>
      </c>
      <c r="V5099">
        <v>1</v>
      </c>
    </row>
    <row r="5100" spans="1:22" x14ac:dyDescent="0.3">
      <c r="A5100" t="s">
        <v>5115</v>
      </c>
      <c r="B5100" s="2">
        <v>46253.444444444445</v>
      </c>
      <c r="C5100" s="2">
        <v>46257.623611111114</v>
      </c>
      <c r="D5100" t="s">
        <v>6025</v>
      </c>
      <c r="E5100" t="s">
        <v>6031</v>
      </c>
      <c r="F5100" t="s">
        <v>6033</v>
      </c>
      <c r="G5100" t="s">
        <v>6046</v>
      </c>
      <c r="H5100" t="s">
        <v>6098</v>
      </c>
      <c r="I5100">
        <v>72</v>
      </c>
      <c r="J5100">
        <v>100.3</v>
      </c>
      <c r="K5100" t="s">
        <v>6099</v>
      </c>
      <c r="L5100" t="s">
        <v>6100</v>
      </c>
      <c r="M5100" t="s">
        <v>6100</v>
      </c>
      <c r="N5100">
        <v>2</v>
      </c>
      <c r="O5100" t="s">
        <v>6101</v>
      </c>
      <c r="P5100" t="s">
        <v>6114</v>
      </c>
      <c r="Q5100">
        <v>8</v>
      </c>
      <c r="R5100">
        <v>2026</v>
      </c>
      <c r="S5100" t="s">
        <v>6100</v>
      </c>
      <c r="T5100">
        <v>0</v>
      </c>
      <c r="U5100" t="s">
        <v>6018</v>
      </c>
      <c r="V5100">
        <v>1</v>
      </c>
    </row>
    <row r="5101" spans="1:22" x14ac:dyDescent="0.3">
      <c r="A5101" t="s">
        <v>5116</v>
      </c>
      <c r="B5101" s="2">
        <v>46253.445138888892</v>
      </c>
      <c r="C5101" s="2">
        <v>46254.211805555555</v>
      </c>
      <c r="D5101" t="s">
        <v>6027</v>
      </c>
      <c r="E5101" t="s">
        <v>6032</v>
      </c>
      <c r="F5101" t="s">
        <v>6034</v>
      </c>
      <c r="G5101" t="s">
        <v>6036</v>
      </c>
      <c r="H5101" t="s">
        <v>6096</v>
      </c>
      <c r="I5101">
        <v>24</v>
      </c>
      <c r="J5101">
        <v>18.399999999999999</v>
      </c>
      <c r="K5101" t="s">
        <v>6099</v>
      </c>
      <c r="L5101" t="s">
        <v>6100</v>
      </c>
      <c r="M5101" t="s">
        <v>6100</v>
      </c>
      <c r="N5101">
        <v>5</v>
      </c>
      <c r="O5101" t="s">
        <v>6101</v>
      </c>
      <c r="P5101" t="s">
        <v>6114</v>
      </c>
      <c r="Q5101">
        <v>8</v>
      </c>
      <c r="R5101">
        <v>2026</v>
      </c>
      <c r="S5101" t="s">
        <v>6099</v>
      </c>
      <c r="T5101">
        <v>1</v>
      </c>
      <c r="U5101" t="s">
        <v>6021</v>
      </c>
      <c r="V5101">
        <v>1</v>
      </c>
    </row>
    <row r="5102" spans="1:22" x14ac:dyDescent="0.3">
      <c r="A5102" t="s">
        <v>5117</v>
      </c>
      <c r="B5102" s="2">
        <v>46253.446527777778</v>
      </c>
      <c r="C5102" s="2">
        <v>46253.850694444445</v>
      </c>
      <c r="D5102" t="s">
        <v>6022</v>
      </c>
      <c r="E5102" t="s">
        <v>6029</v>
      </c>
      <c r="F5102" t="s">
        <v>6033</v>
      </c>
      <c r="G5102" t="s">
        <v>6062</v>
      </c>
      <c r="H5102" t="s">
        <v>6096</v>
      </c>
      <c r="I5102">
        <v>72</v>
      </c>
      <c r="J5102">
        <v>9.6999999999999993</v>
      </c>
      <c r="K5102" t="s">
        <v>6099</v>
      </c>
      <c r="L5102" t="s">
        <v>6100</v>
      </c>
      <c r="M5102" t="s">
        <v>6100</v>
      </c>
      <c r="O5102" t="s">
        <v>6101</v>
      </c>
      <c r="P5102" t="s">
        <v>6114</v>
      </c>
      <c r="Q5102">
        <v>8</v>
      </c>
      <c r="R5102">
        <v>2026</v>
      </c>
      <c r="S5102" t="s">
        <v>6099</v>
      </c>
      <c r="T5102">
        <v>1</v>
      </c>
      <c r="U5102" t="s">
        <v>6021</v>
      </c>
      <c r="V5102">
        <v>1</v>
      </c>
    </row>
    <row r="5103" spans="1:22" x14ac:dyDescent="0.3">
      <c r="A5103" t="s">
        <v>5118</v>
      </c>
      <c r="B5103" s="2">
        <v>46253.47152777778</v>
      </c>
      <c r="C5103" s="2">
        <v>46254.167361111111</v>
      </c>
      <c r="D5103" t="s">
        <v>6025</v>
      </c>
      <c r="E5103" t="s">
        <v>6030</v>
      </c>
      <c r="F5103" t="s">
        <v>6035</v>
      </c>
      <c r="G5103" t="s">
        <v>6040</v>
      </c>
      <c r="H5103" t="s">
        <v>6097</v>
      </c>
      <c r="I5103">
        <v>4</v>
      </c>
      <c r="J5103">
        <v>16.7</v>
      </c>
      <c r="K5103" t="s">
        <v>6099</v>
      </c>
      <c r="L5103" t="s">
        <v>6100</v>
      </c>
      <c r="M5103" t="s">
        <v>6099</v>
      </c>
      <c r="N5103">
        <v>4</v>
      </c>
      <c r="O5103" t="s">
        <v>6101</v>
      </c>
      <c r="P5103" t="s">
        <v>6114</v>
      </c>
      <c r="Q5103">
        <v>8</v>
      </c>
      <c r="R5103">
        <v>2026</v>
      </c>
      <c r="S5103" t="s">
        <v>6100</v>
      </c>
      <c r="T5103">
        <v>0</v>
      </c>
      <c r="U5103" t="s">
        <v>6017</v>
      </c>
      <c r="V5103">
        <v>1</v>
      </c>
    </row>
    <row r="5104" spans="1:22" x14ac:dyDescent="0.3">
      <c r="A5104" t="s">
        <v>5119</v>
      </c>
      <c r="B5104" s="2">
        <v>46253.479861111111</v>
      </c>
      <c r="C5104" s="2">
        <v>46254.542361111111</v>
      </c>
      <c r="D5104" t="s">
        <v>6026</v>
      </c>
      <c r="E5104" t="s">
        <v>6029</v>
      </c>
      <c r="F5104" t="s">
        <v>6033</v>
      </c>
      <c r="G5104" t="s">
        <v>6043</v>
      </c>
      <c r="H5104" t="s">
        <v>6097</v>
      </c>
      <c r="I5104">
        <v>72</v>
      </c>
      <c r="J5104">
        <v>25.5</v>
      </c>
      <c r="K5104" t="s">
        <v>6099</v>
      </c>
      <c r="L5104" t="s">
        <v>6100</v>
      </c>
      <c r="M5104" t="s">
        <v>6099</v>
      </c>
      <c r="O5104" t="s">
        <v>6101</v>
      </c>
      <c r="P5104" t="s">
        <v>6114</v>
      </c>
      <c r="Q5104">
        <v>8</v>
      </c>
      <c r="R5104">
        <v>2026</v>
      </c>
      <c r="S5104" t="s">
        <v>6099</v>
      </c>
      <c r="T5104">
        <v>1</v>
      </c>
      <c r="U5104" t="s">
        <v>6021</v>
      </c>
      <c r="V5104">
        <v>1</v>
      </c>
    </row>
    <row r="5105" spans="1:22" x14ac:dyDescent="0.3">
      <c r="A5105" t="s">
        <v>5120</v>
      </c>
      <c r="B5105" s="2">
        <v>46253.558333333334</v>
      </c>
      <c r="C5105" s="2">
        <v>46253.987500000003</v>
      </c>
      <c r="D5105" t="s">
        <v>6023</v>
      </c>
      <c r="E5105" t="s">
        <v>6030</v>
      </c>
      <c r="F5105" t="s">
        <v>6035</v>
      </c>
      <c r="G5105" t="s">
        <v>6056</v>
      </c>
      <c r="H5105" t="s">
        <v>6098</v>
      </c>
      <c r="I5105">
        <v>4</v>
      </c>
      <c r="J5105">
        <v>10.3</v>
      </c>
      <c r="K5105" t="s">
        <v>6099</v>
      </c>
      <c r="L5105" t="s">
        <v>6100</v>
      </c>
      <c r="M5105" t="s">
        <v>6100</v>
      </c>
      <c r="N5105">
        <v>3</v>
      </c>
      <c r="O5105" t="s">
        <v>6101</v>
      </c>
      <c r="P5105" t="s">
        <v>6114</v>
      </c>
      <c r="Q5105">
        <v>8</v>
      </c>
      <c r="R5105">
        <v>2026</v>
      </c>
      <c r="S5105" t="s">
        <v>6100</v>
      </c>
      <c r="T5105">
        <v>0</v>
      </c>
      <c r="U5105" t="s">
        <v>6020</v>
      </c>
      <c r="V5105">
        <v>1</v>
      </c>
    </row>
    <row r="5106" spans="1:22" x14ac:dyDescent="0.3">
      <c r="A5106" t="s">
        <v>5121</v>
      </c>
      <c r="B5106" s="2">
        <v>46253.588194444441</v>
      </c>
      <c r="C5106" s="2">
        <v>46254.204861111109</v>
      </c>
      <c r="D5106" t="s">
        <v>6028</v>
      </c>
      <c r="E5106" t="s">
        <v>6030</v>
      </c>
      <c r="F5106" t="s">
        <v>6035</v>
      </c>
      <c r="G5106" t="s">
        <v>6057</v>
      </c>
      <c r="H5106" t="s">
        <v>6097</v>
      </c>
      <c r="I5106">
        <v>4</v>
      </c>
      <c r="J5106">
        <v>14.8</v>
      </c>
      <c r="K5106" t="s">
        <v>6099</v>
      </c>
      <c r="L5106" t="s">
        <v>6100</v>
      </c>
      <c r="M5106" t="s">
        <v>6099</v>
      </c>
      <c r="O5106" t="s">
        <v>6101</v>
      </c>
      <c r="P5106" t="s">
        <v>6114</v>
      </c>
      <c r="Q5106">
        <v>8</v>
      </c>
      <c r="R5106">
        <v>2026</v>
      </c>
      <c r="S5106" t="s">
        <v>6100</v>
      </c>
      <c r="T5106">
        <v>0</v>
      </c>
      <c r="U5106" t="s">
        <v>6018</v>
      </c>
      <c r="V5106">
        <v>1</v>
      </c>
    </row>
    <row r="5107" spans="1:22" x14ac:dyDescent="0.3">
      <c r="A5107" t="s">
        <v>5122</v>
      </c>
      <c r="B5107" s="2">
        <v>46253.59652777778</v>
      </c>
      <c r="C5107" s="2">
        <v>46254.479861111111</v>
      </c>
      <c r="D5107" t="s">
        <v>6025</v>
      </c>
      <c r="E5107" t="s">
        <v>6029</v>
      </c>
      <c r="F5107" t="s">
        <v>6033</v>
      </c>
      <c r="G5107" t="s">
        <v>6083</v>
      </c>
      <c r="H5107" t="s">
        <v>6096</v>
      </c>
      <c r="I5107">
        <v>72</v>
      </c>
      <c r="J5107">
        <v>21.2</v>
      </c>
      <c r="K5107" t="s">
        <v>6100</v>
      </c>
      <c r="L5107" t="s">
        <v>6100</v>
      </c>
      <c r="M5107" t="s">
        <v>6100</v>
      </c>
      <c r="N5107">
        <v>4</v>
      </c>
      <c r="O5107" t="s">
        <v>6101</v>
      </c>
      <c r="P5107" t="s">
        <v>6114</v>
      </c>
      <c r="Q5107">
        <v>8</v>
      </c>
      <c r="R5107">
        <v>2026</v>
      </c>
      <c r="S5107" t="s">
        <v>6099</v>
      </c>
      <c r="T5107">
        <v>1</v>
      </c>
      <c r="U5107" t="s">
        <v>6017</v>
      </c>
      <c r="V5107">
        <v>0</v>
      </c>
    </row>
    <row r="5108" spans="1:22" x14ac:dyDescent="0.3">
      <c r="A5108" t="s">
        <v>5123</v>
      </c>
      <c r="B5108" s="2">
        <v>46253.597222222219</v>
      </c>
      <c r="C5108" s="2">
        <v>46253.734722222223</v>
      </c>
      <c r="D5108" t="s">
        <v>6023</v>
      </c>
      <c r="E5108" t="s">
        <v>6030</v>
      </c>
      <c r="F5108" t="s">
        <v>6034</v>
      </c>
      <c r="G5108" t="s">
        <v>6082</v>
      </c>
      <c r="H5108" t="s">
        <v>6097</v>
      </c>
      <c r="I5108">
        <v>24</v>
      </c>
      <c r="J5108">
        <v>3.3</v>
      </c>
      <c r="K5108" t="s">
        <v>6099</v>
      </c>
      <c r="L5108" t="s">
        <v>6100</v>
      </c>
      <c r="M5108" t="s">
        <v>6100</v>
      </c>
      <c r="O5108" t="s">
        <v>6101</v>
      </c>
      <c r="P5108" t="s">
        <v>6114</v>
      </c>
      <c r="Q5108">
        <v>8</v>
      </c>
      <c r="R5108">
        <v>2026</v>
      </c>
      <c r="S5108" t="s">
        <v>6099</v>
      </c>
      <c r="T5108">
        <v>1</v>
      </c>
      <c r="U5108" t="s">
        <v>6017</v>
      </c>
      <c r="V5108">
        <v>1</v>
      </c>
    </row>
    <row r="5109" spans="1:22" x14ac:dyDescent="0.3">
      <c r="A5109" t="s">
        <v>5124</v>
      </c>
      <c r="B5109" s="2">
        <v>46253.607638888891</v>
      </c>
      <c r="C5109" s="2">
        <v>46253.90347222222</v>
      </c>
      <c r="D5109" t="s">
        <v>6028</v>
      </c>
      <c r="E5109" t="s">
        <v>6030</v>
      </c>
      <c r="F5109" t="s">
        <v>6035</v>
      </c>
      <c r="G5109" t="s">
        <v>6092</v>
      </c>
      <c r="H5109" t="s">
        <v>6097</v>
      </c>
      <c r="I5109">
        <v>4</v>
      </c>
      <c r="J5109">
        <v>7.1</v>
      </c>
      <c r="K5109" t="s">
        <v>6099</v>
      </c>
      <c r="L5109" t="s">
        <v>6100</v>
      </c>
      <c r="M5109" t="s">
        <v>6100</v>
      </c>
      <c r="O5109" t="s">
        <v>6101</v>
      </c>
      <c r="P5109" t="s">
        <v>6114</v>
      </c>
      <c r="Q5109">
        <v>8</v>
      </c>
      <c r="R5109">
        <v>2026</v>
      </c>
      <c r="S5109" t="s">
        <v>6100</v>
      </c>
      <c r="T5109">
        <v>0</v>
      </c>
      <c r="U5109" t="s">
        <v>6020</v>
      </c>
      <c r="V5109">
        <v>1</v>
      </c>
    </row>
    <row r="5110" spans="1:22" x14ac:dyDescent="0.3">
      <c r="A5110" t="s">
        <v>5125</v>
      </c>
      <c r="B5110" s="2">
        <v>46253.60833333333</v>
      </c>
      <c r="C5110" s="2">
        <v>46253.75</v>
      </c>
      <c r="D5110" t="s">
        <v>6023</v>
      </c>
      <c r="E5110" t="s">
        <v>6029</v>
      </c>
      <c r="F5110" t="s">
        <v>6033</v>
      </c>
      <c r="G5110" t="s">
        <v>6076</v>
      </c>
      <c r="H5110" t="s">
        <v>6097</v>
      </c>
      <c r="I5110">
        <v>72</v>
      </c>
      <c r="J5110">
        <v>3.4</v>
      </c>
      <c r="K5110" t="s">
        <v>6099</v>
      </c>
      <c r="L5110" t="s">
        <v>6100</v>
      </c>
      <c r="M5110" t="s">
        <v>6100</v>
      </c>
      <c r="O5110" t="s">
        <v>6101</v>
      </c>
      <c r="P5110" t="s">
        <v>6114</v>
      </c>
      <c r="Q5110">
        <v>8</v>
      </c>
      <c r="R5110">
        <v>2026</v>
      </c>
      <c r="S5110" t="s">
        <v>6099</v>
      </c>
      <c r="T5110">
        <v>1</v>
      </c>
      <c r="U5110" t="s">
        <v>6021</v>
      </c>
      <c r="V5110">
        <v>1</v>
      </c>
    </row>
    <row r="5111" spans="1:22" x14ac:dyDescent="0.3">
      <c r="A5111" t="s">
        <v>5126</v>
      </c>
      <c r="B5111" s="2">
        <v>46253.614583333336</v>
      </c>
      <c r="C5111" s="2">
        <v>46253.96875</v>
      </c>
      <c r="D5111" t="s">
        <v>6023</v>
      </c>
      <c r="E5111" t="s">
        <v>6029</v>
      </c>
      <c r="F5111" t="s">
        <v>6033</v>
      </c>
      <c r="G5111" t="s">
        <v>6038</v>
      </c>
      <c r="H5111" t="s">
        <v>6096</v>
      </c>
      <c r="I5111">
        <v>72</v>
      </c>
      <c r="J5111">
        <v>8.5</v>
      </c>
      <c r="K5111" t="s">
        <v>6100</v>
      </c>
      <c r="L5111" t="s">
        <v>6099</v>
      </c>
      <c r="M5111" t="s">
        <v>6100</v>
      </c>
      <c r="N5111">
        <v>4</v>
      </c>
      <c r="O5111" t="s">
        <v>6101</v>
      </c>
      <c r="P5111" t="s">
        <v>6114</v>
      </c>
      <c r="Q5111">
        <v>8</v>
      </c>
      <c r="R5111">
        <v>2026</v>
      </c>
      <c r="S5111" t="s">
        <v>6099</v>
      </c>
      <c r="T5111">
        <v>1</v>
      </c>
      <c r="U5111" t="s">
        <v>6018</v>
      </c>
      <c r="V5111">
        <v>0</v>
      </c>
    </row>
    <row r="5112" spans="1:22" x14ac:dyDescent="0.3">
      <c r="A5112" t="s">
        <v>5127</v>
      </c>
      <c r="B5112" s="2">
        <v>46253.632638888892</v>
      </c>
      <c r="C5112" s="2">
        <v>46253.782638888886</v>
      </c>
      <c r="D5112" t="s">
        <v>6028</v>
      </c>
      <c r="E5112" t="s">
        <v>6030</v>
      </c>
      <c r="F5112" t="s">
        <v>6035</v>
      </c>
      <c r="G5112" t="s">
        <v>6057</v>
      </c>
      <c r="H5112" t="s">
        <v>6097</v>
      </c>
      <c r="I5112">
        <v>4</v>
      </c>
      <c r="J5112">
        <v>3.6</v>
      </c>
      <c r="K5112" t="s">
        <v>6100</v>
      </c>
      <c r="L5112" t="s">
        <v>6099</v>
      </c>
      <c r="M5112" t="s">
        <v>6100</v>
      </c>
      <c r="N5112">
        <v>5</v>
      </c>
      <c r="O5112" t="s">
        <v>6101</v>
      </c>
      <c r="P5112" t="s">
        <v>6114</v>
      </c>
      <c r="Q5112">
        <v>8</v>
      </c>
      <c r="R5112">
        <v>2026</v>
      </c>
      <c r="S5112" t="s">
        <v>6099</v>
      </c>
      <c r="T5112">
        <v>1</v>
      </c>
      <c r="U5112" t="s">
        <v>6019</v>
      </c>
      <c r="V5112">
        <v>0</v>
      </c>
    </row>
    <row r="5113" spans="1:22" x14ac:dyDescent="0.3">
      <c r="A5113" t="s">
        <v>5128</v>
      </c>
      <c r="B5113" s="2">
        <v>46253.676388888889</v>
      </c>
      <c r="C5113" s="2">
        <v>46260.301388888889</v>
      </c>
      <c r="D5113" t="s">
        <v>6026</v>
      </c>
      <c r="E5113" t="s">
        <v>6031</v>
      </c>
      <c r="F5113" t="s">
        <v>6033</v>
      </c>
      <c r="G5113" t="s">
        <v>6068</v>
      </c>
      <c r="H5113" t="s">
        <v>6098</v>
      </c>
      <c r="I5113">
        <v>72</v>
      </c>
      <c r="J5113">
        <v>159</v>
      </c>
      <c r="K5113" t="s">
        <v>6100</v>
      </c>
      <c r="L5113" t="s">
        <v>6100</v>
      </c>
      <c r="M5113" t="s">
        <v>6100</v>
      </c>
      <c r="N5113">
        <v>5</v>
      </c>
      <c r="O5113" t="s">
        <v>6101</v>
      </c>
      <c r="P5113" t="s">
        <v>6114</v>
      </c>
      <c r="Q5113">
        <v>8</v>
      </c>
      <c r="R5113">
        <v>2026</v>
      </c>
      <c r="S5113" t="s">
        <v>6100</v>
      </c>
      <c r="T5113">
        <v>0</v>
      </c>
      <c r="U5113" t="s">
        <v>6019</v>
      </c>
      <c r="V5113">
        <v>0</v>
      </c>
    </row>
    <row r="5114" spans="1:22" x14ac:dyDescent="0.3">
      <c r="A5114" t="s">
        <v>5129</v>
      </c>
      <c r="B5114" s="2">
        <v>46253.697916666664</v>
      </c>
      <c r="C5114" s="2">
        <v>46255.722916666666</v>
      </c>
      <c r="D5114" t="s">
        <v>6022</v>
      </c>
      <c r="E5114" t="s">
        <v>6032</v>
      </c>
      <c r="F5114" t="s">
        <v>6033</v>
      </c>
      <c r="G5114" t="s">
        <v>6094</v>
      </c>
      <c r="H5114" t="s">
        <v>6098</v>
      </c>
      <c r="I5114">
        <v>72</v>
      </c>
      <c r="J5114">
        <v>48.6</v>
      </c>
      <c r="K5114" t="s">
        <v>6099</v>
      </c>
      <c r="L5114" t="s">
        <v>6100</v>
      </c>
      <c r="M5114" t="s">
        <v>6100</v>
      </c>
      <c r="O5114" t="s">
        <v>6101</v>
      </c>
      <c r="P5114" t="s">
        <v>6114</v>
      </c>
      <c r="Q5114">
        <v>8</v>
      </c>
      <c r="R5114">
        <v>2026</v>
      </c>
      <c r="S5114" t="s">
        <v>6099</v>
      </c>
      <c r="T5114">
        <v>1</v>
      </c>
      <c r="U5114" t="s">
        <v>6020</v>
      </c>
      <c r="V5114">
        <v>1</v>
      </c>
    </row>
    <row r="5115" spans="1:22" x14ac:dyDescent="0.3">
      <c r="A5115" t="s">
        <v>5130</v>
      </c>
      <c r="B5115" s="2">
        <v>46253.706250000003</v>
      </c>
      <c r="C5115" s="2">
        <v>46255.38958333333</v>
      </c>
      <c r="D5115" t="s">
        <v>6024</v>
      </c>
      <c r="E5115" t="s">
        <v>6029</v>
      </c>
      <c r="F5115" t="s">
        <v>6033</v>
      </c>
      <c r="G5115" t="s">
        <v>6087</v>
      </c>
      <c r="H5115" t="s">
        <v>6098</v>
      </c>
      <c r="I5115">
        <v>72</v>
      </c>
      <c r="J5115">
        <v>40.4</v>
      </c>
      <c r="K5115" t="s">
        <v>6099</v>
      </c>
      <c r="L5115" t="s">
        <v>6100</v>
      </c>
      <c r="M5115" t="s">
        <v>6100</v>
      </c>
      <c r="N5115">
        <v>3</v>
      </c>
      <c r="O5115" t="s">
        <v>6101</v>
      </c>
      <c r="P5115" t="s">
        <v>6114</v>
      </c>
      <c r="Q5115">
        <v>8</v>
      </c>
      <c r="R5115">
        <v>2026</v>
      </c>
      <c r="S5115" t="s">
        <v>6099</v>
      </c>
      <c r="T5115">
        <v>1</v>
      </c>
      <c r="U5115" t="s">
        <v>6019</v>
      </c>
      <c r="V5115">
        <v>1</v>
      </c>
    </row>
    <row r="5116" spans="1:22" x14ac:dyDescent="0.3">
      <c r="A5116" t="s">
        <v>5131</v>
      </c>
      <c r="B5116" s="2">
        <v>46253.722222222219</v>
      </c>
      <c r="C5116" s="2">
        <v>46254.280555555553</v>
      </c>
      <c r="D5116" t="s">
        <v>6024</v>
      </c>
      <c r="E5116" t="s">
        <v>6032</v>
      </c>
      <c r="F5116" t="s">
        <v>6035</v>
      </c>
      <c r="G5116" t="s">
        <v>6050</v>
      </c>
      <c r="H5116" t="s">
        <v>6098</v>
      </c>
      <c r="I5116">
        <v>4</v>
      </c>
      <c r="J5116">
        <v>13.4</v>
      </c>
      <c r="K5116" t="s">
        <v>6099</v>
      </c>
      <c r="L5116" t="s">
        <v>6100</v>
      </c>
      <c r="M5116" t="s">
        <v>6100</v>
      </c>
      <c r="N5116">
        <v>5</v>
      </c>
      <c r="O5116" t="s">
        <v>6101</v>
      </c>
      <c r="P5116" t="s">
        <v>6114</v>
      </c>
      <c r="Q5116">
        <v>8</v>
      </c>
      <c r="R5116">
        <v>2026</v>
      </c>
      <c r="S5116" t="s">
        <v>6100</v>
      </c>
      <c r="T5116">
        <v>0</v>
      </c>
      <c r="U5116" t="s">
        <v>6018</v>
      </c>
      <c r="V5116">
        <v>1</v>
      </c>
    </row>
    <row r="5117" spans="1:22" x14ac:dyDescent="0.3">
      <c r="A5117" t="s">
        <v>5132</v>
      </c>
      <c r="B5117" s="2">
        <v>46253.739583333336</v>
      </c>
      <c r="C5117" s="2">
        <v>46254.45208333333</v>
      </c>
      <c r="D5117" t="s">
        <v>6022</v>
      </c>
      <c r="E5117" t="s">
        <v>6030</v>
      </c>
      <c r="F5117" t="s">
        <v>6034</v>
      </c>
      <c r="G5117" t="s">
        <v>6054</v>
      </c>
      <c r="H5117" t="s">
        <v>6096</v>
      </c>
      <c r="I5117">
        <v>24</v>
      </c>
      <c r="J5117">
        <v>17.100000000000001</v>
      </c>
      <c r="K5117" t="s">
        <v>6099</v>
      </c>
      <c r="L5117" t="s">
        <v>6100</v>
      </c>
      <c r="M5117" t="s">
        <v>6100</v>
      </c>
      <c r="N5117">
        <v>5</v>
      </c>
      <c r="O5117" t="s">
        <v>6101</v>
      </c>
      <c r="P5117" t="s">
        <v>6114</v>
      </c>
      <c r="Q5117">
        <v>8</v>
      </c>
      <c r="R5117">
        <v>2026</v>
      </c>
      <c r="S5117" t="s">
        <v>6099</v>
      </c>
      <c r="T5117">
        <v>1</v>
      </c>
      <c r="U5117" t="s">
        <v>6019</v>
      </c>
      <c r="V5117">
        <v>1</v>
      </c>
    </row>
    <row r="5118" spans="1:22" x14ac:dyDescent="0.3">
      <c r="A5118" t="s">
        <v>5133</v>
      </c>
      <c r="B5118" s="2">
        <v>46253.742361111108</v>
      </c>
      <c r="C5118" s="2">
        <v>46255.009027777778</v>
      </c>
      <c r="D5118" t="s">
        <v>6025</v>
      </c>
      <c r="E5118" t="s">
        <v>6029</v>
      </c>
      <c r="F5118" t="s">
        <v>6035</v>
      </c>
      <c r="G5118" t="s">
        <v>6036</v>
      </c>
      <c r="H5118" t="s">
        <v>6096</v>
      </c>
      <c r="I5118">
        <v>4</v>
      </c>
      <c r="J5118">
        <v>30.4</v>
      </c>
      <c r="K5118" t="s">
        <v>6100</v>
      </c>
      <c r="L5118" t="s">
        <v>6100</v>
      </c>
      <c r="M5118" t="s">
        <v>6100</v>
      </c>
      <c r="N5118">
        <v>3</v>
      </c>
      <c r="O5118" t="s">
        <v>6101</v>
      </c>
      <c r="P5118" t="s">
        <v>6114</v>
      </c>
      <c r="Q5118">
        <v>8</v>
      </c>
      <c r="R5118">
        <v>2026</v>
      </c>
      <c r="S5118" t="s">
        <v>6100</v>
      </c>
      <c r="T5118">
        <v>0</v>
      </c>
      <c r="U5118" t="s">
        <v>6021</v>
      </c>
      <c r="V5118">
        <v>0</v>
      </c>
    </row>
    <row r="5119" spans="1:22" x14ac:dyDescent="0.3">
      <c r="A5119" t="s">
        <v>5134</v>
      </c>
      <c r="B5119" s="2">
        <v>46253.754861111112</v>
      </c>
      <c r="C5119" s="2">
        <v>46253.834027777775</v>
      </c>
      <c r="D5119" t="s">
        <v>6028</v>
      </c>
      <c r="E5119" t="s">
        <v>6029</v>
      </c>
      <c r="F5119" t="s">
        <v>6034</v>
      </c>
      <c r="G5119" t="s">
        <v>6095</v>
      </c>
      <c r="H5119" t="s">
        <v>6098</v>
      </c>
      <c r="I5119">
        <v>24</v>
      </c>
      <c r="J5119">
        <v>1.9</v>
      </c>
      <c r="K5119" t="s">
        <v>6100</v>
      </c>
      <c r="L5119" t="s">
        <v>6100</v>
      </c>
      <c r="M5119" t="s">
        <v>6100</v>
      </c>
      <c r="N5119">
        <v>3</v>
      </c>
      <c r="O5119" t="s">
        <v>6101</v>
      </c>
      <c r="P5119" t="s">
        <v>6114</v>
      </c>
      <c r="Q5119">
        <v>8</v>
      </c>
      <c r="R5119">
        <v>2026</v>
      </c>
      <c r="S5119" t="s">
        <v>6099</v>
      </c>
      <c r="T5119">
        <v>1</v>
      </c>
      <c r="U5119" t="s">
        <v>6021</v>
      </c>
      <c r="V5119">
        <v>0</v>
      </c>
    </row>
    <row r="5120" spans="1:22" x14ac:dyDescent="0.3">
      <c r="A5120" t="s">
        <v>5135</v>
      </c>
      <c r="B5120" s="2">
        <v>46253.79583333333</v>
      </c>
      <c r="C5120" s="2">
        <v>46255.987500000003</v>
      </c>
      <c r="D5120" t="s">
        <v>6026</v>
      </c>
      <c r="E5120" t="s">
        <v>6031</v>
      </c>
      <c r="F5120" t="s">
        <v>6034</v>
      </c>
      <c r="G5120" t="s">
        <v>6088</v>
      </c>
      <c r="H5120" t="s">
        <v>6097</v>
      </c>
      <c r="I5120">
        <v>24</v>
      </c>
      <c r="J5120">
        <v>52.6</v>
      </c>
      <c r="K5120" t="s">
        <v>6099</v>
      </c>
      <c r="L5120" t="s">
        <v>6100</v>
      </c>
      <c r="M5120" t="s">
        <v>6100</v>
      </c>
      <c r="N5120">
        <v>3</v>
      </c>
      <c r="O5120" t="s">
        <v>6101</v>
      </c>
      <c r="P5120" t="s">
        <v>6114</v>
      </c>
      <c r="Q5120">
        <v>8</v>
      </c>
      <c r="R5120">
        <v>2026</v>
      </c>
      <c r="S5120" t="s">
        <v>6100</v>
      </c>
      <c r="T5120">
        <v>0</v>
      </c>
      <c r="U5120" t="s">
        <v>6017</v>
      </c>
      <c r="V5120">
        <v>1</v>
      </c>
    </row>
    <row r="5121" spans="1:22" x14ac:dyDescent="0.3">
      <c r="A5121" t="s">
        <v>5136</v>
      </c>
      <c r="B5121" s="2">
        <v>46254.248611111114</v>
      </c>
      <c r="C5121" s="2">
        <v>46254.081944444442</v>
      </c>
      <c r="D5121" t="s">
        <v>6025</v>
      </c>
      <c r="E5121" t="s">
        <v>6031</v>
      </c>
      <c r="F5121" t="s">
        <v>6034</v>
      </c>
      <c r="G5121" t="s">
        <v>6066</v>
      </c>
      <c r="H5121" t="s">
        <v>6096</v>
      </c>
      <c r="I5121">
        <v>24</v>
      </c>
      <c r="J5121">
        <v>95.4</v>
      </c>
      <c r="K5121" t="s">
        <v>6100</v>
      </c>
      <c r="L5121" t="s">
        <v>6099</v>
      </c>
      <c r="M5121" t="s">
        <v>6099</v>
      </c>
      <c r="N5121">
        <v>4</v>
      </c>
      <c r="O5121" t="s">
        <v>6101</v>
      </c>
      <c r="P5121" t="s">
        <v>6114</v>
      </c>
      <c r="Q5121">
        <v>8</v>
      </c>
      <c r="R5121">
        <v>2026</v>
      </c>
      <c r="S5121" t="s">
        <v>6100</v>
      </c>
      <c r="T5121">
        <v>0</v>
      </c>
      <c r="U5121" t="s">
        <v>6019</v>
      </c>
      <c r="V5121">
        <v>0</v>
      </c>
    </row>
    <row r="5122" spans="1:22" x14ac:dyDescent="0.3">
      <c r="A5122" t="s">
        <v>5137</v>
      </c>
      <c r="B5122" s="2">
        <v>46254.349305555559</v>
      </c>
      <c r="C5122" s="2">
        <v>46254.90347222222</v>
      </c>
      <c r="D5122" t="s">
        <v>6022</v>
      </c>
      <c r="E5122" t="s">
        <v>6029</v>
      </c>
      <c r="F5122" t="s">
        <v>6033</v>
      </c>
      <c r="G5122" t="s">
        <v>6072</v>
      </c>
      <c r="H5122" t="s">
        <v>6097</v>
      </c>
      <c r="I5122">
        <v>72</v>
      </c>
      <c r="J5122">
        <v>13.3</v>
      </c>
      <c r="K5122" t="s">
        <v>6099</v>
      </c>
      <c r="L5122" t="s">
        <v>6100</v>
      </c>
      <c r="M5122" t="s">
        <v>6100</v>
      </c>
      <c r="O5122" t="s">
        <v>6101</v>
      </c>
      <c r="P5122" t="s">
        <v>6114</v>
      </c>
      <c r="Q5122">
        <v>8</v>
      </c>
      <c r="R5122">
        <v>2026</v>
      </c>
      <c r="S5122" t="s">
        <v>6099</v>
      </c>
      <c r="T5122">
        <v>1</v>
      </c>
      <c r="U5122" t="s">
        <v>6017</v>
      </c>
      <c r="V5122">
        <v>1</v>
      </c>
    </row>
    <row r="5123" spans="1:22" x14ac:dyDescent="0.3">
      <c r="A5123" t="s">
        <v>5138</v>
      </c>
      <c r="B5123" s="2">
        <v>46254.352083333331</v>
      </c>
      <c r="C5123" s="2">
        <v>46255.53125</v>
      </c>
      <c r="D5123" t="s">
        <v>6025</v>
      </c>
      <c r="E5123" t="s">
        <v>6032</v>
      </c>
      <c r="F5123" t="s">
        <v>6033</v>
      </c>
      <c r="G5123" t="s">
        <v>6070</v>
      </c>
      <c r="H5123" t="s">
        <v>6097</v>
      </c>
      <c r="I5123">
        <v>72</v>
      </c>
      <c r="J5123">
        <v>28.3</v>
      </c>
      <c r="K5123" t="s">
        <v>6099</v>
      </c>
      <c r="L5123" t="s">
        <v>6100</v>
      </c>
      <c r="M5123" t="s">
        <v>6100</v>
      </c>
      <c r="N5123">
        <v>5</v>
      </c>
      <c r="O5123" t="s">
        <v>6101</v>
      </c>
      <c r="P5123" t="s">
        <v>6114</v>
      </c>
      <c r="Q5123">
        <v>8</v>
      </c>
      <c r="R5123">
        <v>2026</v>
      </c>
      <c r="S5123" t="s">
        <v>6099</v>
      </c>
      <c r="T5123">
        <v>1</v>
      </c>
      <c r="U5123" t="s">
        <v>6019</v>
      </c>
      <c r="V5123">
        <v>1</v>
      </c>
    </row>
    <row r="5124" spans="1:22" x14ac:dyDescent="0.3">
      <c r="A5124" t="s">
        <v>5139</v>
      </c>
      <c r="B5124" s="2">
        <v>46254.416666666664</v>
      </c>
      <c r="C5124" s="2">
        <v>46256.237500000003</v>
      </c>
      <c r="D5124" t="s">
        <v>6027</v>
      </c>
      <c r="E5124" t="s">
        <v>6032</v>
      </c>
      <c r="F5124" t="s">
        <v>6034</v>
      </c>
      <c r="G5124" t="s">
        <v>6052</v>
      </c>
      <c r="H5124" t="s">
        <v>6098</v>
      </c>
      <c r="I5124">
        <v>24</v>
      </c>
      <c r="J5124">
        <v>43.7</v>
      </c>
      <c r="K5124" t="s">
        <v>6100</v>
      </c>
      <c r="L5124" t="s">
        <v>6100</v>
      </c>
      <c r="M5124" t="s">
        <v>6099</v>
      </c>
      <c r="N5124">
        <v>3</v>
      </c>
      <c r="O5124" t="s">
        <v>6101</v>
      </c>
      <c r="P5124" t="s">
        <v>6114</v>
      </c>
      <c r="Q5124">
        <v>8</v>
      </c>
      <c r="R5124">
        <v>2026</v>
      </c>
      <c r="S5124" t="s">
        <v>6100</v>
      </c>
      <c r="T5124">
        <v>0</v>
      </c>
      <c r="U5124" t="s">
        <v>6019</v>
      </c>
      <c r="V5124">
        <v>0</v>
      </c>
    </row>
    <row r="5125" spans="1:22" x14ac:dyDescent="0.3">
      <c r="A5125" t="s">
        <v>5140</v>
      </c>
      <c r="B5125" s="2">
        <v>46254.443749999999</v>
      </c>
      <c r="C5125" s="2">
        <v>46254.918749999997</v>
      </c>
      <c r="D5125" t="s">
        <v>6028</v>
      </c>
      <c r="E5125" t="s">
        <v>6029</v>
      </c>
      <c r="F5125" t="s">
        <v>6034</v>
      </c>
      <c r="G5125" t="s">
        <v>6081</v>
      </c>
      <c r="H5125" t="s">
        <v>6098</v>
      </c>
      <c r="I5125">
        <v>24</v>
      </c>
      <c r="J5125">
        <v>11.4</v>
      </c>
      <c r="K5125" t="s">
        <v>6100</v>
      </c>
      <c r="L5125" t="s">
        <v>6099</v>
      </c>
      <c r="M5125" t="s">
        <v>6100</v>
      </c>
      <c r="O5125" t="s">
        <v>6101</v>
      </c>
      <c r="P5125" t="s">
        <v>6114</v>
      </c>
      <c r="Q5125">
        <v>8</v>
      </c>
      <c r="R5125">
        <v>2026</v>
      </c>
      <c r="S5125" t="s">
        <v>6099</v>
      </c>
      <c r="T5125">
        <v>1</v>
      </c>
      <c r="U5125" t="s">
        <v>6017</v>
      </c>
      <c r="V5125">
        <v>0</v>
      </c>
    </row>
    <row r="5126" spans="1:22" x14ac:dyDescent="0.3">
      <c r="A5126" t="s">
        <v>5141</v>
      </c>
      <c r="B5126" s="2">
        <v>46254.456944444442</v>
      </c>
      <c r="C5126" s="2">
        <v>46257.473611111112</v>
      </c>
      <c r="D5126" t="s">
        <v>6026</v>
      </c>
      <c r="E5126" t="s">
        <v>6031</v>
      </c>
      <c r="F5126" t="s">
        <v>6035</v>
      </c>
      <c r="G5126" t="s">
        <v>6074</v>
      </c>
      <c r="H5126" t="s">
        <v>6098</v>
      </c>
      <c r="I5126">
        <v>4</v>
      </c>
      <c r="J5126">
        <v>72.400000000000006</v>
      </c>
      <c r="K5126" t="s">
        <v>6099</v>
      </c>
      <c r="L5126" t="s">
        <v>6100</v>
      </c>
      <c r="M5126" t="s">
        <v>6099</v>
      </c>
      <c r="N5126">
        <v>3</v>
      </c>
      <c r="O5126" t="s">
        <v>6101</v>
      </c>
      <c r="P5126" t="s">
        <v>6114</v>
      </c>
      <c r="Q5126">
        <v>8</v>
      </c>
      <c r="R5126">
        <v>2026</v>
      </c>
      <c r="S5126" t="s">
        <v>6100</v>
      </c>
      <c r="T5126">
        <v>0</v>
      </c>
      <c r="U5126" t="s">
        <v>6019</v>
      </c>
      <c r="V5126">
        <v>1</v>
      </c>
    </row>
    <row r="5127" spans="1:22" x14ac:dyDescent="0.3">
      <c r="A5127" t="s">
        <v>5142</v>
      </c>
      <c r="B5127" s="2">
        <v>46254.477083333331</v>
      </c>
      <c r="C5127" s="2">
        <v>46254.739583333336</v>
      </c>
      <c r="D5127" t="s">
        <v>6023</v>
      </c>
      <c r="E5127" t="s">
        <v>6029</v>
      </c>
      <c r="F5127" t="s">
        <v>6034</v>
      </c>
      <c r="G5127" t="s">
        <v>6082</v>
      </c>
      <c r="H5127" t="s">
        <v>6097</v>
      </c>
      <c r="I5127">
        <v>24</v>
      </c>
      <c r="J5127">
        <v>6.3</v>
      </c>
      <c r="K5127" t="s">
        <v>6099</v>
      </c>
      <c r="L5127" t="s">
        <v>6100</v>
      </c>
      <c r="M5127" t="s">
        <v>6100</v>
      </c>
      <c r="N5127">
        <v>5</v>
      </c>
      <c r="O5127" t="s">
        <v>6101</v>
      </c>
      <c r="P5127" t="s">
        <v>6114</v>
      </c>
      <c r="Q5127">
        <v>8</v>
      </c>
      <c r="R5127">
        <v>2026</v>
      </c>
      <c r="S5127" t="s">
        <v>6099</v>
      </c>
      <c r="T5127">
        <v>1</v>
      </c>
      <c r="U5127" t="s">
        <v>6021</v>
      </c>
      <c r="V5127">
        <v>1</v>
      </c>
    </row>
    <row r="5128" spans="1:22" x14ac:dyDescent="0.3">
      <c r="A5128" t="s">
        <v>5143</v>
      </c>
      <c r="B5128" s="2">
        <v>46254.495138888888</v>
      </c>
      <c r="C5128" s="2">
        <v>46255.032638888886</v>
      </c>
      <c r="D5128" t="s">
        <v>6022</v>
      </c>
      <c r="E5128" t="s">
        <v>6029</v>
      </c>
      <c r="F5128" t="s">
        <v>6034</v>
      </c>
      <c r="G5128" t="s">
        <v>6074</v>
      </c>
      <c r="H5128" t="s">
        <v>6098</v>
      </c>
      <c r="I5128">
        <v>24</v>
      </c>
      <c r="J5128">
        <v>12.9</v>
      </c>
      <c r="K5128" t="s">
        <v>6100</v>
      </c>
      <c r="L5128" t="s">
        <v>6100</v>
      </c>
      <c r="M5128" t="s">
        <v>6100</v>
      </c>
      <c r="O5128" t="s">
        <v>6101</v>
      </c>
      <c r="P5128" t="s">
        <v>6114</v>
      </c>
      <c r="Q5128">
        <v>8</v>
      </c>
      <c r="R5128">
        <v>2026</v>
      </c>
      <c r="S5128" t="s">
        <v>6099</v>
      </c>
      <c r="T5128">
        <v>1</v>
      </c>
      <c r="U5128" t="s">
        <v>6019</v>
      </c>
      <c r="V5128">
        <v>0</v>
      </c>
    </row>
    <row r="5129" spans="1:22" x14ac:dyDescent="0.3">
      <c r="A5129" t="s">
        <v>5144</v>
      </c>
      <c r="B5129" s="2">
        <v>46254.520833333336</v>
      </c>
      <c r="C5129" s="2">
        <v>46254.73333333333</v>
      </c>
      <c r="D5129" t="s">
        <v>6023</v>
      </c>
      <c r="E5129" t="s">
        <v>6029</v>
      </c>
      <c r="F5129" t="s">
        <v>6034</v>
      </c>
      <c r="G5129" t="s">
        <v>6052</v>
      </c>
      <c r="H5129" t="s">
        <v>6098</v>
      </c>
      <c r="I5129">
        <v>24</v>
      </c>
      <c r="J5129">
        <v>5.0999999999999996</v>
      </c>
      <c r="K5129" t="s">
        <v>6099</v>
      </c>
      <c r="L5129" t="s">
        <v>6100</v>
      </c>
      <c r="M5129" t="s">
        <v>6100</v>
      </c>
      <c r="N5129">
        <v>5</v>
      </c>
      <c r="O5129" t="s">
        <v>6101</v>
      </c>
      <c r="P5129" t="s">
        <v>6114</v>
      </c>
      <c r="Q5129">
        <v>8</v>
      </c>
      <c r="R5129">
        <v>2026</v>
      </c>
      <c r="S5129" t="s">
        <v>6099</v>
      </c>
      <c r="T5129">
        <v>1</v>
      </c>
      <c r="U5129" t="s">
        <v>6021</v>
      </c>
      <c r="V5129">
        <v>1</v>
      </c>
    </row>
    <row r="5130" spans="1:22" x14ac:dyDescent="0.3">
      <c r="A5130" t="s">
        <v>5145</v>
      </c>
      <c r="B5130" s="2">
        <v>46254.552083333336</v>
      </c>
      <c r="C5130" s="2">
        <v>46254.681250000001</v>
      </c>
      <c r="D5130" t="s">
        <v>6023</v>
      </c>
      <c r="E5130" t="s">
        <v>6029</v>
      </c>
      <c r="F5130" t="s">
        <v>6034</v>
      </c>
      <c r="G5130" t="s">
        <v>6064</v>
      </c>
      <c r="H5130" t="s">
        <v>6096</v>
      </c>
      <c r="I5130">
        <v>24</v>
      </c>
      <c r="J5130">
        <v>3.1</v>
      </c>
      <c r="K5130" t="s">
        <v>6100</v>
      </c>
      <c r="L5130" t="s">
        <v>6100</v>
      </c>
      <c r="M5130" t="s">
        <v>6100</v>
      </c>
      <c r="O5130" t="s">
        <v>6101</v>
      </c>
      <c r="P5130" t="s">
        <v>6114</v>
      </c>
      <c r="Q5130">
        <v>8</v>
      </c>
      <c r="R5130">
        <v>2026</v>
      </c>
      <c r="S5130" t="s">
        <v>6099</v>
      </c>
      <c r="T5130">
        <v>1</v>
      </c>
      <c r="U5130" t="s">
        <v>6020</v>
      </c>
      <c r="V5130">
        <v>0</v>
      </c>
    </row>
    <row r="5131" spans="1:22" x14ac:dyDescent="0.3">
      <c r="A5131" t="s">
        <v>5146</v>
      </c>
      <c r="B5131" s="2">
        <v>46254.552777777775</v>
      </c>
      <c r="C5131" s="2">
        <v>46254.723611111112</v>
      </c>
      <c r="D5131" t="s">
        <v>6022</v>
      </c>
      <c r="E5131" t="s">
        <v>6030</v>
      </c>
      <c r="F5131" t="s">
        <v>6033</v>
      </c>
      <c r="G5131" t="s">
        <v>6043</v>
      </c>
      <c r="H5131" t="s">
        <v>6097</v>
      </c>
      <c r="I5131">
        <v>72</v>
      </c>
      <c r="J5131">
        <v>4.0999999999999996</v>
      </c>
      <c r="K5131" t="s">
        <v>6100</v>
      </c>
      <c r="L5131" t="s">
        <v>6100</v>
      </c>
      <c r="M5131" t="s">
        <v>6100</v>
      </c>
      <c r="N5131">
        <v>5</v>
      </c>
      <c r="O5131" t="s">
        <v>6101</v>
      </c>
      <c r="P5131" t="s">
        <v>6114</v>
      </c>
      <c r="Q5131">
        <v>8</v>
      </c>
      <c r="R5131">
        <v>2026</v>
      </c>
      <c r="S5131" t="s">
        <v>6099</v>
      </c>
      <c r="T5131">
        <v>1</v>
      </c>
      <c r="U5131" t="s">
        <v>6017</v>
      </c>
      <c r="V5131">
        <v>0</v>
      </c>
    </row>
    <row r="5132" spans="1:22" x14ac:dyDescent="0.3">
      <c r="A5132" t="s">
        <v>5147</v>
      </c>
      <c r="B5132" s="2">
        <v>46254.57708333333</v>
      </c>
      <c r="C5132" s="2">
        <v>46257.847916666666</v>
      </c>
      <c r="D5132" t="s">
        <v>6022</v>
      </c>
      <c r="E5132" t="s">
        <v>6031</v>
      </c>
      <c r="F5132" t="s">
        <v>6035</v>
      </c>
      <c r="G5132" t="s">
        <v>6086</v>
      </c>
      <c r="H5132" t="s">
        <v>6098</v>
      </c>
      <c r="I5132">
        <v>4</v>
      </c>
      <c r="J5132">
        <v>78.5</v>
      </c>
      <c r="K5132" t="s">
        <v>6099</v>
      </c>
      <c r="L5132" t="s">
        <v>6100</v>
      </c>
      <c r="M5132" t="s">
        <v>6100</v>
      </c>
      <c r="N5132">
        <v>5</v>
      </c>
      <c r="O5132" t="s">
        <v>6101</v>
      </c>
      <c r="P5132" t="s">
        <v>6114</v>
      </c>
      <c r="Q5132">
        <v>8</v>
      </c>
      <c r="R5132">
        <v>2026</v>
      </c>
      <c r="S5132" t="s">
        <v>6100</v>
      </c>
      <c r="T5132">
        <v>0</v>
      </c>
      <c r="U5132" t="s">
        <v>6020</v>
      </c>
      <c r="V5132">
        <v>1</v>
      </c>
    </row>
    <row r="5133" spans="1:22" x14ac:dyDescent="0.3">
      <c r="A5133" t="s">
        <v>5148</v>
      </c>
      <c r="B5133" s="2">
        <v>46254.601388888892</v>
      </c>
      <c r="C5133" s="2">
        <v>46255.672222222223</v>
      </c>
      <c r="D5133" t="s">
        <v>6028</v>
      </c>
      <c r="E5133" t="s">
        <v>6031</v>
      </c>
      <c r="F5133" t="s">
        <v>6034</v>
      </c>
      <c r="G5133" t="s">
        <v>6077</v>
      </c>
      <c r="H5133" t="s">
        <v>6098</v>
      </c>
      <c r="I5133">
        <v>24</v>
      </c>
      <c r="J5133">
        <v>25.7</v>
      </c>
      <c r="K5133" t="s">
        <v>6099</v>
      </c>
      <c r="L5133" t="s">
        <v>6100</v>
      </c>
      <c r="M5133" t="s">
        <v>6100</v>
      </c>
      <c r="N5133">
        <v>3</v>
      </c>
      <c r="O5133" t="s">
        <v>6101</v>
      </c>
      <c r="P5133" t="s">
        <v>6114</v>
      </c>
      <c r="Q5133">
        <v>8</v>
      </c>
      <c r="R5133">
        <v>2026</v>
      </c>
      <c r="S5133" t="s">
        <v>6100</v>
      </c>
      <c r="T5133">
        <v>0</v>
      </c>
      <c r="U5133" t="s">
        <v>6020</v>
      </c>
      <c r="V5133">
        <v>1</v>
      </c>
    </row>
    <row r="5134" spans="1:22" x14ac:dyDescent="0.3">
      <c r="A5134" t="s">
        <v>5149</v>
      </c>
      <c r="B5134" s="2">
        <v>46254.630555555559</v>
      </c>
      <c r="C5134" s="2">
        <v>46257.822222222225</v>
      </c>
      <c r="D5134" t="s">
        <v>6025</v>
      </c>
      <c r="E5134" t="s">
        <v>6031</v>
      </c>
      <c r="F5134" t="s">
        <v>6034</v>
      </c>
      <c r="G5134" t="s">
        <v>6044</v>
      </c>
      <c r="H5134" t="s">
        <v>6097</v>
      </c>
      <c r="I5134">
        <v>24</v>
      </c>
      <c r="J5134">
        <v>76.599999999999994</v>
      </c>
      <c r="K5134" t="s">
        <v>6099</v>
      </c>
      <c r="L5134" t="s">
        <v>6100</v>
      </c>
      <c r="M5134" t="s">
        <v>6100</v>
      </c>
      <c r="N5134">
        <v>5</v>
      </c>
      <c r="O5134" t="s">
        <v>6101</v>
      </c>
      <c r="P5134" t="s">
        <v>6114</v>
      </c>
      <c r="Q5134">
        <v>8</v>
      </c>
      <c r="R5134">
        <v>2026</v>
      </c>
      <c r="S5134" t="s">
        <v>6100</v>
      </c>
      <c r="T5134">
        <v>0</v>
      </c>
      <c r="U5134" t="s">
        <v>6017</v>
      </c>
      <c r="V5134">
        <v>1</v>
      </c>
    </row>
    <row r="5135" spans="1:22" x14ac:dyDescent="0.3">
      <c r="A5135" t="s">
        <v>5150</v>
      </c>
      <c r="B5135" s="2">
        <v>46254.674305555556</v>
      </c>
      <c r="C5135" s="2">
        <v>46259.845138888886</v>
      </c>
      <c r="D5135" t="s">
        <v>6026</v>
      </c>
      <c r="E5135" t="s">
        <v>6031</v>
      </c>
      <c r="F5135" t="s">
        <v>6033</v>
      </c>
      <c r="G5135" t="s">
        <v>6092</v>
      </c>
      <c r="H5135" t="s">
        <v>6097</v>
      </c>
      <c r="I5135">
        <v>72</v>
      </c>
      <c r="J5135">
        <v>124.1</v>
      </c>
      <c r="K5135" t="s">
        <v>6099</v>
      </c>
      <c r="L5135" t="s">
        <v>6100</v>
      </c>
      <c r="M5135" t="s">
        <v>6100</v>
      </c>
      <c r="N5135">
        <v>3</v>
      </c>
      <c r="O5135" t="s">
        <v>6101</v>
      </c>
      <c r="P5135" t="s">
        <v>6114</v>
      </c>
      <c r="Q5135">
        <v>8</v>
      </c>
      <c r="R5135">
        <v>2026</v>
      </c>
      <c r="S5135" t="s">
        <v>6100</v>
      </c>
      <c r="T5135">
        <v>0</v>
      </c>
      <c r="U5135" t="s">
        <v>6020</v>
      </c>
      <c r="V5135">
        <v>1</v>
      </c>
    </row>
    <row r="5136" spans="1:22" x14ac:dyDescent="0.3">
      <c r="A5136" t="s">
        <v>5151</v>
      </c>
      <c r="B5136" s="2">
        <v>46254.6875</v>
      </c>
      <c r="C5136" s="2">
        <v>46254.729166666664</v>
      </c>
      <c r="D5136" t="s">
        <v>6023</v>
      </c>
      <c r="E5136" t="s">
        <v>6029</v>
      </c>
      <c r="F5136" t="s">
        <v>6034</v>
      </c>
      <c r="G5136" t="s">
        <v>6075</v>
      </c>
      <c r="H5136" t="s">
        <v>6097</v>
      </c>
      <c r="I5136">
        <v>24</v>
      </c>
      <c r="J5136">
        <v>1</v>
      </c>
      <c r="K5136" t="s">
        <v>6099</v>
      </c>
      <c r="L5136" t="s">
        <v>6100</v>
      </c>
      <c r="M5136" t="s">
        <v>6100</v>
      </c>
      <c r="O5136" t="s">
        <v>6101</v>
      </c>
      <c r="P5136" t="s">
        <v>6114</v>
      </c>
      <c r="Q5136">
        <v>8</v>
      </c>
      <c r="R5136">
        <v>2026</v>
      </c>
      <c r="S5136" t="s">
        <v>6099</v>
      </c>
      <c r="T5136">
        <v>1</v>
      </c>
      <c r="U5136" t="s">
        <v>6020</v>
      </c>
      <c r="V5136">
        <v>1</v>
      </c>
    </row>
    <row r="5137" spans="1:22" x14ac:dyDescent="0.3">
      <c r="A5137" t="s">
        <v>5152</v>
      </c>
      <c r="B5137" s="2">
        <v>46254.69027777778</v>
      </c>
      <c r="C5137" s="2">
        <v>46254.869444444441</v>
      </c>
      <c r="D5137" t="s">
        <v>6024</v>
      </c>
      <c r="E5137" t="s">
        <v>6029</v>
      </c>
      <c r="F5137" t="s">
        <v>6034</v>
      </c>
      <c r="G5137" t="s">
        <v>6078</v>
      </c>
      <c r="H5137" t="s">
        <v>6097</v>
      </c>
      <c r="I5137">
        <v>24</v>
      </c>
      <c r="J5137">
        <v>4.3</v>
      </c>
      <c r="K5137" t="s">
        <v>6099</v>
      </c>
      <c r="L5137" t="s">
        <v>6100</v>
      </c>
      <c r="M5137" t="s">
        <v>6100</v>
      </c>
      <c r="O5137" t="s">
        <v>6101</v>
      </c>
      <c r="P5137" t="s">
        <v>6114</v>
      </c>
      <c r="Q5137">
        <v>8</v>
      </c>
      <c r="R5137">
        <v>2026</v>
      </c>
      <c r="S5137" t="s">
        <v>6099</v>
      </c>
      <c r="T5137">
        <v>1</v>
      </c>
      <c r="U5137" t="s">
        <v>6019</v>
      </c>
      <c r="V5137">
        <v>1</v>
      </c>
    </row>
    <row r="5138" spans="1:22" x14ac:dyDescent="0.3">
      <c r="A5138" t="s">
        <v>5153</v>
      </c>
      <c r="B5138" s="2">
        <v>46254.701388888891</v>
      </c>
      <c r="C5138" s="2">
        <v>46255.034722222219</v>
      </c>
      <c r="D5138" t="s">
        <v>6025</v>
      </c>
      <c r="E5138" t="s">
        <v>6029</v>
      </c>
      <c r="F5138" t="s">
        <v>6034</v>
      </c>
      <c r="G5138" t="s">
        <v>6067</v>
      </c>
      <c r="H5138" t="s">
        <v>6098</v>
      </c>
      <c r="I5138">
        <v>24</v>
      </c>
      <c r="J5138">
        <v>8</v>
      </c>
      <c r="K5138" t="s">
        <v>6100</v>
      </c>
      <c r="L5138" t="s">
        <v>6099</v>
      </c>
      <c r="M5138" t="s">
        <v>6100</v>
      </c>
      <c r="O5138" t="s">
        <v>6101</v>
      </c>
      <c r="P5138" t="s">
        <v>6114</v>
      </c>
      <c r="Q5138">
        <v>8</v>
      </c>
      <c r="R5138">
        <v>2026</v>
      </c>
      <c r="S5138" t="s">
        <v>6099</v>
      </c>
      <c r="T5138">
        <v>1</v>
      </c>
      <c r="U5138" t="s">
        <v>6021</v>
      </c>
      <c r="V5138">
        <v>0</v>
      </c>
    </row>
    <row r="5139" spans="1:22" x14ac:dyDescent="0.3">
      <c r="A5139" t="s">
        <v>5154</v>
      </c>
      <c r="B5139" s="2">
        <v>46254.73541666667</v>
      </c>
      <c r="C5139" s="2">
        <v>46255.193749999999</v>
      </c>
      <c r="D5139" t="s">
        <v>6024</v>
      </c>
      <c r="E5139" t="s">
        <v>6029</v>
      </c>
      <c r="F5139" t="s">
        <v>6034</v>
      </c>
      <c r="G5139" t="s">
        <v>6067</v>
      </c>
      <c r="H5139" t="s">
        <v>6098</v>
      </c>
      <c r="I5139">
        <v>24</v>
      </c>
      <c r="J5139">
        <v>11</v>
      </c>
      <c r="K5139" t="s">
        <v>6099</v>
      </c>
      <c r="L5139" t="s">
        <v>6100</v>
      </c>
      <c r="M5139" t="s">
        <v>6100</v>
      </c>
      <c r="N5139">
        <v>5</v>
      </c>
      <c r="O5139" t="s">
        <v>6101</v>
      </c>
      <c r="P5139" t="s">
        <v>6114</v>
      </c>
      <c r="Q5139">
        <v>8</v>
      </c>
      <c r="R5139">
        <v>2026</v>
      </c>
      <c r="S5139" t="s">
        <v>6099</v>
      </c>
      <c r="T5139">
        <v>1</v>
      </c>
      <c r="U5139" t="s">
        <v>6018</v>
      </c>
      <c r="V5139">
        <v>1</v>
      </c>
    </row>
    <row r="5140" spans="1:22" x14ac:dyDescent="0.3">
      <c r="A5140" t="s">
        <v>5155</v>
      </c>
      <c r="B5140" s="2">
        <v>46254.867361111108</v>
      </c>
      <c r="C5140" s="2">
        <v>46255.438194444447</v>
      </c>
      <c r="D5140" t="s">
        <v>6027</v>
      </c>
      <c r="E5140" t="s">
        <v>6029</v>
      </c>
      <c r="F5140" t="s">
        <v>6034</v>
      </c>
      <c r="G5140" t="s">
        <v>6064</v>
      </c>
      <c r="H5140" t="s">
        <v>6096</v>
      </c>
      <c r="I5140">
        <v>24</v>
      </c>
      <c r="J5140">
        <v>13.7</v>
      </c>
      <c r="K5140" t="s">
        <v>6100</v>
      </c>
      <c r="L5140" t="s">
        <v>6100</v>
      </c>
      <c r="M5140" t="s">
        <v>6100</v>
      </c>
      <c r="O5140" t="s">
        <v>6101</v>
      </c>
      <c r="P5140" t="s">
        <v>6114</v>
      </c>
      <c r="Q5140">
        <v>8</v>
      </c>
      <c r="R5140">
        <v>2026</v>
      </c>
      <c r="S5140" t="s">
        <v>6099</v>
      </c>
      <c r="T5140">
        <v>1</v>
      </c>
      <c r="U5140" t="s">
        <v>6021</v>
      </c>
      <c r="V5140">
        <v>0</v>
      </c>
    </row>
    <row r="5141" spans="1:22" x14ac:dyDescent="0.3">
      <c r="A5141" t="s">
        <v>5156</v>
      </c>
      <c r="B5141" s="2">
        <v>46255.294444444444</v>
      </c>
      <c r="C5141" s="2">
        <v>46255.744444444441</v>
      </c>
      <c r="D5141" t="s">
        <v>6023</v>
      </c>
      <c r="E5141" t="s">
        <v>6029</v>
      </c>
      <c r="F5141" t="s">
        <v>6033</v>
      </c>
      <c r="G5141" t="s">
        <v>6041</v>
      </c>
      <c r="H5141" t="s">
        <v>6096</v>
      </c>
      <c r="I5141">
        <v>72</v>
      </c>
      <c r="J5141">
        <v>10.8</v>
      </c>
      <c r="K5141" t="s">
        <v>6100</v>
      </c>
      <c r="L5141" t="s">
        <v>6099</v>
      </c>
      <c r="M5141" t="s">
        <v>6100</v>
      </c>
      <c r="N5141">
        <v>3</v>
      </c>
      <c r="O5141" t="s">
        <v>6101</v>
      </c>
      <c r="P5141" t="s">
        <v>6114</v>
      </c>
      <c r="Q5141">
        <v>8</v>
      </c>
      <c r="R5141">
        <v>2026</v>
      </c>
      <c r="S5141" t="s">
        <v>6099</v>
      </c>
      <c r="T5141">
        <v>1</v>
      </c>
      <c r="U5141" t="s">
        <v>6019</v>
      </c>
      <c r="V5141">
        <v>0</v>
      </c>
    </row>
    <row r="5142" spans="1:22" x14ac:dyDescent="0.3">
      <c r="A5142" t="s">
        <v>5157</v>
      </c>
      <c r="B5142" s="2">
        <v>46255.318055555559</v>
      </c>
      <c r="C5142" s="2">
        <v>46255.618055555555</v>
      </c>
      <c r="D5142" t="s">
        <v>6027</v>
      </c>
      <c r="E5142" t="s">
        <v>6030</v>
      </c>
      <c r="F5142" t="s">
        <v>6034</v>
      </c>
      <c r="G5142" t="s">
        <v>6045</v>
      </c>
      <c r="H5142" t="s">
        <v>6096</v>
      </c>
      <c r="I5142">
        <v>24</v>
      </c>
      <c r="J5142">
        <v>7.2</v>
      </c>
      <c r="K5142" t="s">
        <v>6099</v>
      </c>
      <c r="L5142" t="s">
        <v>6100</v>
      </c>
      <c r="M5142" t="s">
        <v>6100</v>
      </c>
      <c r="O5142" t="s">
        <v>6101</v>
      </c>
      <c r="P5142" t="s">
        <v>6114</v>
      </c>
      <c r="Q5142">
        <v>8</v>
      </c>
      <c r="R5142">
        <v>2026</v>
      </c>
      <c r="S5142" t="s">
        <v>6099</v>
      </c>
      <c r="T5142">
        <v>1</v>
      </c>
      <c r="U5142" t="s">
        <v>6017</v>
      </c>
      <c r="V5142">
        <v>1</v>
      </c>
    </row>
    <row r="5143" spans="1:22" x14ac:dyDescent="0.3">
      <c r="A5143" t="s">
        <v>5158</v>
      </c>
      <c r="B5143" s="2">
        <v>46255.417361111111</v>
      </c>
      <c r="C5143" s="2">
        <v>46257.242361111108</v>
      </c>
      <c r="D5143" t="s">
        <v>6026</v>
      </c>
      <c r="E5143" t="s">
        <v>6032</v>
      </c>
      <c r="F5143" t="s">
        <v>6035</v>
      </c>
      <c r="G5143" t="s">
        <v>6086</v>
      </c>
      <c r="H5143" t="s">
        <v>6098</v>
      </c>
      <c r="I5143">
        <v>4</v>
      </c>
      <c r="J5143">
        <v>43.8</v>
      </c>
      <c r="K5143" t="s">
        <v>6099</v>
      </c>
      <c r="L5143" t="s">
        <v>6100</v>
      </c>
      <c r="M5143" t="s">
        <v>6100</v>
      </c>
      <c r="O5143" t="s">
        <v>6101</v>
      </c>
      <c r="P5143" t="s">
        <v>6114</v>
      </c>
      <c r="Q5143">
        <v>8</v>
      </c>
      <c r="R5143">
        <v>2026</v>
      </c>
      <c r="S5143" t="s">
        <v>6100</v>
      </c>
      <c r="T5143">
        <v>0</v>
      </c>
      <c r="U5143" t="s">
        <v>6018</v>
      </c>
      <c r="V5143">
        <v>1</v>
      </c>
    </row>
    <row r="5144" spans="1:22" x14ac:dyDescent="0.3">
      <c r="A5144" t="s">
        <v>5159</v>
      </c>
      <c r="B5144" s="2">
        <v>46255.441666666666</v>
      </c>
      <c r="C5144" s="2">
        <v>46255.729166666664</v>
      </c>
      <c r="D5144" t="s">
        <v>6025</v>
      </c>
      <c r="E5144" t="s">
        <v>6029</v>
      </c>
      <c r="F5144" t="s">
        <v>6033</v>
      </c>
      <c r="G5144" t="s">
        <v>6062</v>
      </c>
      <c r="H5144" t="s">
        <v>6096</v>
      </c>
      <c r="I5144">
        <v>72</v>
      </c>
      <c r="J5144">
        <v>6.9</v>
      </c>
      <c r="K5144" t="s">
        <v>6099</v>
      </c>
      <c r="L5144" t="s">
        <v>6100</v>
      </c>
      <c r="M5144" t="s">
        <v>6100</v>
      </c>
      <c r="O5144" t="s">
        <v>6101</v>
      </c>
      <c r="P5144" t="s">
        <v>6114</v>
      </c>
      <c r="Q5144">
        <v>8</v>
      </c>
      <c r="R5144">
        <v>2026</v>
      </c>
      <c r="S5144" t="s">
        <v>6099</v>
      </c>
      <c r="T5144">
        <v>1</v>
      </c>
      <c r="U5144" t="s">
        <v>6018</v>
      </c>
      <c r="V5144">
        <v>1</v>
      </c>
    </row>
    <row r="5145" spans="1:22" x14ac:dyDescent="0.3">
      <c r="A5145" t="s">
        <v>5160</v>
      </c>
      <c r="B5145" s="2">
        <v>46255.468055555553</v>
      </c>
      <c r="C5145" s="2">
        <v>46256.334722222222</v>
      </c>
      <c r="D5145" t="s">
        <v>6028</v>
      </c>
      <c r="E5145" t="s">
        <v>6031</v>
      </c>
      <c r="F5145" t="s">
        <v>6034</v>
      </c>
      <c r="G5145" t="s">
        <v>6070</v>
      </c>
      <c r="H5145" t="s">
        <v>6097</v>
      </c>
      <c r="I5145">
        <v>24</v>
      </c>
      <c r="J5145">
        <v>20.8</v>
      </c>
      <c r="K5145" t="s">
        <v>6099</v>
      </c>
      <c r="L5145" t="s">
        <v>6100</v>
      </c>
      <c r="M5145" t="s">
        <v>6100</v>
      </c>
      <c r="N5145">
        <v>5</v>
      </c>
      <c r="O5145" t="s">
        <v>6101</v>
      </c>
      <c r="P5145" t="s">
        <v>6114</v>
      </c>
      <c r="Q5145">
        <v>8</v>
      </c>
      <c r="R5145">
        <v>2026</v>
      </c>
      <c r="S5145" t="s">
        <v>6099</v>
      </c>
      <c r="T5145">
        <v>1</v>
      </c>
      <c r="U5145" t="s">
        <v>6021</v>
      </c>
      <c r="V5145">
        <v>1</v>
      </c>
    </row>
    <row r="5146" spans="1:22" x14ac:dyDescent="0.3">
      <c r="A5146" t="s">
        <v>5161</v>
      </c>
      <c r="B5146" s="2">
        <v>46255.475694444445</v>
      </c>
      <c r="C5146" s="2">
        <v>46255.704861111109</v>
      </c>
      <c r="D5146" t="s">
        <v>6023</v>
      </c>
      <c r="E5146" t="s">
        <v>6029</v>
      </c>
      <c r="F5146" t="s">
        <v>6033</v>
      </c>
      <c r="G5146" t="s">
        <v>6086</v>
      </c>
      <c r="H5146" t="s">
        <v>6098</v>
      </c>
      <c r="I5146">
        <v>72</v>
      </c>
      <c r="J5146">
        <v>5.5</v>
      </c>
      <c r="K5146" t="s">
        <v>6100</v>
      </c>
      <c r="L5146" t="s">
        <v>6099</v>
      </c>
      <c r="M5146" t="s">
        <v>6100</v>
      </c>
      <c r="O5146" t="s">
        <v>6101</v>
      </c>
      <c r="P5146" t="s">
        <v>6114</v>
      </c>
      <c r="Q5146">
        <v>8</v>
      </c>
      <c r="R5146">
        <v>2026</v>
      </c>
      <c r="S5146" t="s">
        <v>6099</v>
      </c>
      <c r="T5146">
        <v>1</v>
      </c>
      <c r="U5146" t="s">
        <v>6020</v>
      </c>
      <c r="V5146">
        <v>0</v>
      </c>
    </row>
    <row r="5147" spans="1:22" x14ac:dyDescent="0.3">
      <c r="A5147" t="s">
        <v>5162</v>
      </c>
      <c r="B5147" s="2">
        <v>46255.556944444441</v>
      </c>
      <c r="C5147" s="2">
        <v>46255.902777777781</v>
      </c>
      <c r="D5147" t="s">
        <v>6027</v>
      </c>
      <c r="E5147" t="s">
        <v>6029</v>
      </c>
      <c r="F5147" t="s">
        <v>6035</v>
      </c>
      <c r="G5147" t="s">
        <v>6043</v>
      </c>
      <c r="H5147" t="s">
        <v>6097</v>
      </c>
      <c r="I5147">
        <v>4</v>
      </c>
      <c r="J5147">
        <v>8.3000000000000007</v>
      </c>
      <c r="K5147" t="s">
        <v>6099</v>
      </c>
      <c r="L5147" t="s">
        <v>6100</v>
      </c>
      <c r="M5147" t="s">
        <v>6099</v>
      </c>
      <c r="N5147">
        <v>3</v>
      </c>
      <c r="O5147" t="s">
        <v>6101</v>
      </c>
      <c r="P5147" t="s">
        <v>6114</v>
      </c>
      <c r="Q5147">
        <v>8</v>
      </c>
      <c r="R5147">
        <v>2026</v>
      </c>
      <c r="S5147" t="s">
        <v>6100</v>
      </c>
      <c r="T5147">
        <v>0</v>
      </c>
      <c r="U5147" t="s">
        <v>6021</v>
      </c>
      <c r="V5147">
        <v>1</v>
      </c>
    </row>
    <row r="5148" spans="1:22" x14ac:dyDescent="0.3">
      <c r="A5148" t="s">
        <v>5163</v>
      </c>
      <c r="B5148" s="2">
        <v>46255.560416666667</v>
      </c>
      <c r="C5148" s="2">
        <v>46255.785416666666</v>
      </c>
      <c r="D5148" t="s">
        <v>6024</v>
      </c>
      <c r="E5148" t="s">
        <v>6029</v>
      </c>
      <c r="F5148" t="s">
        <v>6033</v>
      </c>
      <c r="G5148" t="s">
        <v>6072</v>
      </c>
      <c r="H5148" t="s">
        <v>6097</v>
      </c>
      <c r="I5148">
        <v>72</v>
      </c>
      <c r="J5148">
        <v>5.4</v>
      </c>
      <c r="K5148" t="s">
        <v>6099</v>
      </c>
      <c r="L5148" t="s">
        <v>6100</v>
      </c>
      <c r="M5148" t="s">
        <v>6100</v>
      </c>
      <c r="N5148">
        <v>5</v>
      </c>
      <c r="O5148" t="s">
        <v>6101</v>
      </c>
      <c r="P5148" t="s">
        <v>6114</v>
      </c>
      <c r="Q5148">
        <v>8</v>
      </c>
      <c r="R5148">
        <v>2026</v>
      </c>
      <c r="S5148" t="s">
        <v>6099</v>
      </c>
      <c r="T5148">
        <v>1</v>
      </c>
      <c r="U5148" t="s">
        <v>6019</v>
      </c>
      <c r="V5148">
        <v>1</v>
      </c>
    </row>
    <row r="5149" spans="1:22" x14ac:dyDescent="0.3">
      <c r="A5149" t="s">
        <v>5164</v>
      </c>
      <c r="B5149" s="2">
        <v>46255.563194444447</v>
      </c>
      <c r="C5149" s="2">
        <v>46256.592361111114</v>
      </c>
      <c r="D5149" t="s">
        <v>6022</v>
      </c>
      <c r="E5149" t="s">
        <v>6029</v>
      </c>
      <c r="F5149" t="s">
        <v>6035</v>
      </c>
      <c r="G5149" t="s">
        <v>6066</v>
      </c>
      <c r="H5149" t="s">
        <v>6096</v>
      </c>
      <c r="I5149">
        <v>4</v>
      </c>
      <c r="J5149">
        <v>24.7</v>
      </c>
      <c r="K5149" t="s">
        <v>6099</v>
      </c>
      <c r="L5149" t="s">
        <v>6100</v>
      </c>
      <c r="M5149" t="s">
        <v>6099</v>
      </c>
      <c r="O5149" t="s">
        <v>6101</v>
      </c>
      <c r="P5149" t="s">
        <v>6114</v>
      </c>
      <c r="Q5149">
        <v>8</v>
      </c>
      <c r="R5149">
        <v>2026</v>
      </c>
      <c r="S5149" t="s">
        <v>6100</v>
      </c>
      <c r="T5149">
        <v>0</v>
      </c>
      <c r="U5149" t="s">
        <v>6018</v>
      </c>
      <c r="V5149">
        <v>1</v>
      </c>
    </row>
    <row r="5150" spans="1:22" x14ac:dyDescent="0.3">
      <c r="A5150" t="s">
        <v>5165</v>
      </c>
      <c r="B5150" s="2">
        <v>46255.573611111111</v>
      </c>
      <c r="C5150" s="2">
        <v>46256.12777777778</v>
      </c>
      <c r="D5150" t="s">
        <v>6022</v>
      </c>
      <c r="E5150" t="s">
        <v>6029</v>
      </c>
      <c r="F5150" t="s">
        <v>6034</v>
      </c>
      <c r="G5150" t="s">
        <v>6078</v>
      </c>
      <c r="H5150" t="s">
        <v>6097</v>
      </c>
      <c r="I5150">
        <v>24</v>
      </c>
      <c r="J5150">
        <v>13.3</v>
      </c>
      <c r="K5150" t="s">
        <v>6099</v>
      </c>
      <c r="L5150" t="s">
        <v>6100</v>
      </c>
      <c r="M5150" t="s">
        <v>6100</v>
      </c>
      <c r="N5150">
        <v>5</v>
      </c>
      <c r="O5150" t="s">
        <v>6101</v>
      </c>
      <c r="P5150" t="s">
        <v>6114</v>
      </c>
      <c r="Q5150">
        <v>8</v>
      </c>
      <c r="R5150">
        <v>2026</v>
      </c>
      <c r="S5150" t="s">
        <v>6099</v>
      </c>
      <c r="T5150">
        <v>1</v>
      </c>
      <c r="U5150" t="s">
        <v>6019</v>
      </c>
      <c r="V5150">
        <v>1</v>
      </c>
    </row>
    <row r="5151" spans="1:22" x14ac:dyDescent="0.3">
      <c r="A5151" t="s">
        <v>5166</v>
      </c>
      <c r="B5151" s="2">
        <v>46255.581250000003</v>
      </c>
      <c r="C5151" s="2">
        <v>46255.681250000001</v>
      </c>
      <c r="D5151" t="s">
        <v>6028</v>
      </c>
      <c r="E5151" t="s">
        <v>6030</v>
      </c>
      <c r="F5151" t="s">
        <v>6035</v>
      </c>
      <c r="G5151" t="s">
        <v>6067</v>
      </c>
      <c r="H5151" t="s">
        <v>6098</v>
      </c>
      <c r="I5151">
        <v>4</v>
      </c>
      <c r="J5151">
        <v>2.4</v>
      </c>
      <c r="K5151" t="s">
        <v>6100</v>
      </c>
      <c r="L5151" t="s">
        <v>6100</v>
      </c>
      <c r="M5151" t="s">
        <v>6100</v>
      </c>
      <c r="N5151">
        <v>3</v>
      </c>
      <c r="O5151" t="s">
        <v>6101</v>
      </c>
      <c r="P5151" t="s">
        <v>6114</v>
      </c>
      <c r="Q5151">
        <v>8</v>
      </c>
      <c r="R5151">
        <v>2026</v>
      </c>
      <c r="S5151" t="s">
        <v>6099</v>
      </c>
      <c r="T5151">
        <v>1</v>
      </c>
      <c r="U5151" t="s">
        <v>6020</v>
      </c>
      <c r="V5151">
        <v>0</v>
      </c>
    </row>
    <row r="5152" spans="1:22" x14ac:dyDescent="0.3">
      <c r="A5152" t="s">
        <v>5167</v>
      </c>
      <c r="B5152" s="2">
        <v>46255.597916666666</v>
      </c>
      <c r="C5152" s="2">
        <v>46257.01458333333</v>
      </c>
      <c r="D5152" t="s">
        <v>6028</v>
      </c>
      <c r="E5152" t="s">
        <v>6031</v>
      </c>
      <c r="F5152" t="s">
        <v>6035</v>
      </c>
      <c r="G5152" t="s">
        <v>6092</v>
      </c>
      <c r="H5152" t="s">
        <v>6097</v>
      </c>
      <c r="I5152">
        <v>4</v>
      </c>
      <c r="J5152">
        <v>34</v>
      </c>
      <c r="K5152" t="s">
        <v>6099</v>
      </c>
      <c r="L5152" t="s">
        <v>6100</v>
      </c>
      <c r="M5152" t="s">
        <v>6099</v>
      </c>
      <c r="N5152">
        <v>4</v>
      </c>
      <c r="O5152" t="s">
        <v>6101</v>
      </c>
      <c r="P5152" t="s">
        <v>6114</v>
      </c>
      <c r="Q5152">
        <v>8</v>
      </c>
      <c r="R5152">
        <v>2026</v>
      </c>
      <c r="S5152" t="s">
        <v>6100</v>
      </c>
      <c r="T5152">
        <v>0</v>
      </c>
      <c r="U5152" t="s">
        <v>6018</v>
      </c>
      <c r="V5152">
        <v>1</v>
      </c>
    </row>
    <row r="5153" spans="1:22" x14ac:dyDescent="0.3">
      <c r="A5153" t="s">
        <v>5168</v>
      </c>
      <c r="B5153" s="2">
        <v>46255.597916666666</v>
      </c>
      <c r="C5153" s="2">
        <v>46256.07708333333</v>
      </c>
      <c r="D5153" t="s">
        <v>6024</v>
      </c>
      <c r="E5153" t="s">
        <v>6029</v>
      </c>
      <c r="F5153" t="s">
        <v>6034</v>
      </c>
      <c r="G5153" t="s">
        <v>6069</v>
      </c>
      <c r="H5153" t="s">
        <v>6098</v>
      </c>
      <c r="I5153">
        <v>24</v>
      </c>
      <c r="J5153">
        <v>11.5</v>
      </c>
      <c r="K5153" t="s">
        <v>6100</v>
      </c>
      <c r="L5153" t="s">
        <v>6099</v>
      </c>
      <c r="M5153" t="s">
        <v>6100</v>
      </c>
      <c r="N5153">
        <v>4</v>
      </c>
      <c r="O5153" t="s">
        <v>6101</v>
      </c>
      <c r="P5153" t="s">
        <v>6114</v>
      </c>
      <c r="Q5153">
        <v>8</v>
      </c>
      <c r="R5153">
        <v>2026</v>
      </c>
      <c r="S5153" t="s">
        <v>6099</v>
      </c>
      <c r="T5153">
        <v>1</v>
      </c>
      <c r="U5153" t="s">
        <v>6018</v>
      </c>
      <c r="V5153">
        <v>0</v>
      </c>
    </row>
    <row r="5154" spans="1:22" x14ac:dyDescent="0.3">
      <c r="A5154" t="s">
        <v>5169</v>
      </c>
      <c r="B5154" s="2">
        <v>46255.601388888892</v>
      </c>
      <c r="C5154" s="2">
        <v>46256.105555555558</v>
      </c>
      <c r="D5154" t="s">
        <v>6024</v>
      </c>
      <c r="E5154" t="s">
        <v>6031</v>
      </c>
      <c r="F5154" t="s">
        <v>6034</v>
      </c>
      <c r="G5154" t="s">
        <v>6037</v>
      </c>
      <c r="H5154" t="s">
        <v>6096</v>
      </c>
      <c r="I5154">
        <v>24</v>
      </c>
      <c r="J5154">
        <v>12.1</v>
      </c>
      <c r="K5154" t="s">
        <v>6099</v>
      </c>
      <c r="L5154" t="s">
        <v>6100</v>
      </c>
      <c r="M5154" t="s">
        <v>6100</v>
      </c>
      <c r="N5154">
        <v>5</v>
      </c>
      <c r="O5154" t="s">
        <v>6101</v>
      </c>
      <c r="P5154" t="s">
        <v>6114</v>
      </c>
      <c r="Q5154">
        <v>8</v>
      </c>
      <c r="R5154">
        <v>2026</v>
      </c>
      <c r="S5154" t="s">
        <v>6099</v>
      </c>
      <c r="T5154">
        <v>1</v>
      </c>
      <c r="U5154" t="s">
        <v>6019</v>
      </c>
      <c r="V5154">
        <v>1</v>
      </c>
    </row>
    <row r="5155" spans="1:22" x14ac:dyDescent="0.3">
      <c r="A5155" t="s">
        <v>5170</v>
      </c>
      <c r="B5155" s="2">
        <v>46255.61041666667</v>
      </c>
      <c r="C5155" s="2">
        <v>46255.847916666666</v>
      </c>
      <c r="D5155" t="s">
        <v>6023</v>
      </c>
      <c r="E5155" t="s">
        <v>6030</v>
      </c>
      <c r="F5155" t="s">
        <v>6034</v>
      </c>
      <c r="G5155" t="s">
        <v>6073</v>
      </c>
      <c r="H5155" t="s">
        <v>6096</v>
      </c>
      <c r="I5155">
        <v>24</v>
      </c>
      <c r="J5155">
        <v>5.7</v>
      </c>
      <c r="K5155" t="s">
        <v>6099</v>
      </c>
      <c r="L5155" t="s">
        <v>6100</v>
      </c>
      <c r="M5155" t="s">
        <v>6100</v>
      </c>
      <c r="O5155" t="s">
        <v>6101</v>
      </c>
      <c r="P5155" t="s">
        <v>6114</v>
      </c>
      <c r="Q5155">
        <v>8</v>
      </c>
      <c r="R5155">
        <v>2026</v>
      </c>
      <c r="S5155" t="s">
        <v>6099</v>
      </c>
      <c r="T5155">
        <v>1</v>
      </c>
      <c r="U5155" t="s">
        <v>6019</v>
      </c>
      <c r="V5155">
        <v>1</v>
      </c>
    </row>
    <row r="5156" spans="1:22" x14ac:dyDescent="0.3">
      <c r="A5156" t="s">
        <v>5171</v>
      </c>
      <c r="B5156" s="2">
        <v>46255.615277777775</v>
      </c>
      <c r="C5156" s="2">
        <v>46255.786111111112</v>
      </c>
      <c r="D5156" t="s">
        <v>6022</v>
      </c>
      <c r="E5156" t="s">
        <v>6030</v>
      </c>
      <c r="F5156" t="s">
        <v>6033</v>
      </c>
      <c r="G5156" t="s">
        <v>6061</v>
      </c>
      <c r="H5156" t="s">
        <v>6096</v>
      </c>
      <c r="I5156">
        <v>72</v>
      </c>
      <c r="J5156">
        <v>4.0999999999999996</v>
      </c>
      <c r="K5156" t="s">
        <v>6099</v>
      </c>
      <c r="L5156" t="s">
        <v>6100</v>
      </c>
      <c r="M5156" t="s">
        <v>6100</v>
      </c>
      <c r="O5156" t="s">
        <v>6101</v>
      </c>
      <c r="P5156" t="s">
        <v>6114</v>
      </c>
      <c r="Q5156">
        <v>8</v>
      </c>
      <c r="R5156">
        <v>2026</v>
      </c>
      <c r="S5156" t="s">
        <v>6099</v>
      </c>
      <c r="T5156">
        <v>1</v>
      </c>
      <c r="U5156" t="s">
        <v>6020</v>
      </c>
      <c r="V5156">
        <v>1</v>
      </c>
    </row>
    <row r="5157" spans="1:22" x14ac:dyDescent="0.3">
      <c r="A5157" t="s">
        <v>5172</v>
      </c>
      <c r="B5157" s="2">
        <v>46255.615277777775</v>
      </c>
      <c r="C5157" s="2">
        <v>46256.390277777777</v>
      </c>
      <c r="D5157" t="s">
        <v>6022</v>
      </c>
      <c r="E5157" t="s">
        <v>6031</v>
      </c>
      <c r="F5157" t="s">
        <v>6034</v>
      </c>
      <c r="G5157" t="s">
        <v>6059</v>
      </c>
      <c r="H5157" t="s">
        <v>6097</v>
      </c>
      <c r="I5157">
        <v>24</v>
      </c>
      <c r="J5157">
        <v>18.600000000000001</v>
      </c>
      <c r="K5157" t="s">
        <v>6100</v>
      </c>
      <c r="L5157" t="s">
        <v>6099</v>
      </c>
      <c r="M5157" t="s">
        <v>6100</v>
      </c>
      <c r="O5157" t="s">
        <v>6101</v>
      </c>
      <c r="P5157" t="s">
        <v>6114</v>
      </c>
      <c r="Q5157">
        <v>8</v>
      </c>
      <c r="R5157">
        <v>2026</v>
      </c>
      <c r="S5157" t="s">
        <v>6099</v>
      </c>
      <c r="T5157">
        <v>1</v>
      </c>
      <c r="U5157" t="s">
        <v>6020</v>
      </c>
      <c r="V5157">
        <v>0</v>
      </c>
    </row>
    <row r="5158" spans="1:22" x14ac:dyDescent="0.3">
      <c r="A5158" t="s">
        <v>5173</v>
      </c>
      <c r="B5158" s="2">
        <v>46255.663888888892</v>
      </c>
      <c r="C5158" s="2">
        <v>46260.368055555555</v>
      </c>
      <c r="D5158" t="s">
        <v>6026</v>
      </c>
      <c r="E5158" t="s">
        <v>6031</v>
      </c>
      <c r="F5158" t="s">
        <v>6034</v>
      </c>
      <c r="G5158" t="s">
        <v>6089</v>
      </c>
      <c r="H5158" t="s">
        <v>6098</v>
      </c>
      <c r="I5158">
        <v>24</v>
      </c>
      <c r="J5158">
        <v>112.9</v>
      </c>
      <c r="K5158" t="s">
        <v>6099</v>
      </c>
      <c r="L5158" t="s">
        <v>6100</v>
      </c>
      <c r="M5158" t="s">
        <v>6100</v>
      </c>
      <c r="N5158">
        <v>4</v>
      </c>
      <c r="O5158" t="s">
        <v>6101</v>
      </c>
      <c r="P5158" t="s">
        <v>6114</v>
      </c>
      <c r="Q5158">
        <v>8</v>
      </c>
      <c r="R5158">
        <v>2026</v>
      </c>
      <c r="S5158" t="s">
        <v>6100</v>
      </c>
      <c r="T5158">
        <v>0</v>
      </c>
      <c r="U5158" t="s">
        <v>6018</v>
      </c>
      <c r="V5158">
        <v>1</v>
      </c>
    </row>
    <row r="5159" spans="1:22" x14ac:dyDescent="0.3">
      <c r="A5159" t="s">
        <v>5174</v>
      </c>
      <c r="B5159" s="2">
        <v>46255.67083333333</v>
      </c>
      <c r="C5159" s="2">
        <v>46255.979166666664</v>
      </c>
      <c r="D5159" t="s">
        <v>6024</v>
      </c>
      <c r="E5159" t="s">
        <v>6030</v>
      </c>
      <c r="F5159" t="s">
        <v>6033</v>
      </c>
      <c r="G5159" t="s">
        <v>6051</v>
      </c>
      <c r="H5159" t="s">
        <v>6097</v>
      </c>
      <c r="I5159">
        <v>72</v>
      </c>
      <c r="J5159">
        <v>7.4</v>
      </c>
      <c r="K5159" t="s">
        <v>6099</v>
      </c>
      <c r="L5159" t="s">
        <v>6100</v>
      </c>
      <c r="M5159" t="s">
        <v>6100</v>
      </c>
      <c r="N5159">
        <v>5</v>
      </c>
      <c r="O5159" t="s">
        <v>6101</v>
      </c>
      <c r="P5159" t="s">
        <v>6114</v>
      </c>
      <c r="Q5159">
        <v>8</v>
      </c>
      <c r="R5159">
        <v>2026</v>
      </c>
      <c r="S5159" t="s">
        <v>6099</v>
      </c>
      <c r="T5159">
        <v>1</v>
      </c>
      <c r="U5159" t="s">
        <v>6021</v>
      </c>
      <c r="V5159">
        <v>1</v>
      </c>
    </row>
    <row r="5160" spans="1:22" x14ac:dyDescent="0.3">
      <c r="A5160" t="s">
        <v>5175</v>
      </c>
      <c r="B5160" s="2">
        <v>46255.714583333334</v>
      </c>
      <c r="C5160" s="2">
        <v>46255.997916666667</v>
      </c>
      <c r="D5160" t="s">
        <v>6028</v>
      </c>
      <c r="E5160" t="s">
        <v>6029</v>
      </c>
      <c r="F5160" t="s">
        <v>6033</v>
      </c>
      <c r="G5160" t="s">
        <v>6043</v>
      </c>
      <c r="H5160" t="s">
        <v>6097</v>
      </c>
      <c r="I5160">
        <v>72</v>
      </c>
      <c r="J5160">
        <v>6.8</v>
      </c>
      <c r="K5160" t="s">
        <v>6099</v>
      </c>
      <c r="L5160" t="s">
        <v>6100</v>
      </c>
      <c r="M5160" t="s">
        <v>6100</v>
      </c>
      <c r="N5160">
        <v>4</v>
      </c>
      <c r="O5160" t="s">
        <v>6101</v>
      </c>
      <c r="P5160" t="s">
        <v>6114</v>
      </c>
      <c r="Q5160">
        <v>8</v>
      </c>
      <c r="R5160">
        <v>2026</v>
      </c>
      <c r="S5160" t="s">
        <v>6099</v>
      </c>
      <c r="T5160">
        <v>1</v>
      </c>
      <c r="U5160" t="s">
        <v>6018</v>
      </c>
      <c r="V5160">
        <v>1</v>
      </c>
    </row>
    <row r="5161" spans="1:22" x14ac:dyDescent="0.3">
      <c r="A5161" t="s">
        <v>5176</v>
      </c>
      <c r="B5161" s="2">
        <v>46255.742361111108</v>
      </c>
      <c r="C5161" s="2">
        <v>46256.029861111114</v>
      </c>
      <c r="D5161" t="s">
        <v>6028</v>
      </c>
      <c r="E5161" t="s">
        <v>6029</v>
      </c>
      <c r="F5161" t="s">
        <v>6035</v>
      </c>
      <c r="G5161" t="s">
        <v>6081</v>
      </c>
      <c r="H5161" t="s">
        <v>6098</v>
      </c>
      <c r="I5161">
        <v>4</v>
      </c>
      <c r="J5161">
        <v>6.9</v>
      </c>
      <c r="K5161" t="s">
        <v>6099</v>
      </c>
      <c r="L5161" t="s">
        <v>6100</v>
      </c>
      <c r="M5161" t="s">
        <v>6100</v>
      </c>
      <c r="O5161" t="s">
        <v>6101</v>
      </c>
      <c r="P5161" t="s">
        <v>6114</v>
      </c>
      <c r="Q5161">
        <v>8</v>
      </c>
      <c r="R5161">
        <v>2026</v>
      </c>
      <c r="S5161" t="s">
        <v>6100</v>
      </c>
      <c r="T5161">
        <v>0</v>
      </c>
      <c r="U5161" t="s">
        <v>6017</v>
      </c>
      <c r="V5161">
        <v>1</v>
      </c>
    </row>
    <row r="5162" spans="1:22" x14ac:dyDescent="0.3">
      <c r="A5162" t="s">
        <v>5177</v>
      </c>
      <c r="B5162" s="2">
        <v>46255.836805555555</v>
      </c>
      <c r="C5162" s="2">
        <v>46266.270138888889</v>
      </c>
      <c r="D5162" t="s">
        <v>6026</v>
      </c>
      <c r="E5162" t="s">
        <v>6031</v>
      </c>
      <c r="F5162" t="s">
        <v>6035</v>
      </c>
      <c r="G5162" t="s">
        <v>6057</v>
      </c>
      <c r="H5162" t="s">
        <v>6097</v>
      </c>
      <c r="I5162">
        <v>4</v>
      </c>
      <c r="J5162">
        <v>250.4</v>
      </c>
      <c r="K5162" t="s">
        <v>6099</v>
      </c>
      <c r="L5162" t="s">
        <v>6100</v>
      </c>
      <c r="M5162" t="s">
        <v>6100</v>
      </c>
      <c r="N5162">
        <v>5</v>
      </c>
      <c r="O5162" t="s">
        <v>6101</v>
      </c>
      <c r="P5162" t="s">
        <v>6114</v>
      </c>
      <c r="Q5162">
        <v>8</v>
      </c>
      <c r="R5162">
        <v>2026</v>
      </c>
      <c r="S5162" t="s">
        <v>6100</v>
      </c>
      <c r="T5162">
        <v>0</v>
      </c>
      <c r="U5162" t="s">
        <v>6019</v>
      </c>
      <c r="V5162">
        <v>1</v>
      </c>
    </row>
    <row r="5163" spans="1:22" x14ac:dyDescent="0.3">
      <c r="A5163" t="s">
        <v>5178</v>
      </c>
      <c r="B5163" s="2">
        <v>46255.854861111111</v>
      </c>
      <c r="C5163" s="2">
        <v>46256.146527777775</v>
      </c>
      <c r="D5163" t="s">
        <v>6028</v>
      </c>
      <c r="E5163" t="s">
        <v>6030</v>
      </c>
      <c r="F5163" t="s">
        <v>6035</v>
      </c>
      <c r="G5163" t="s">
        <v>6036</v>
      </c>
      <c r="H5163" t="s">
        <v>6096</v>
      </c>
      <c r="I5163">
        <v>4</v>
      </c>
      <c r="J5163">
        <v>7</v>
      </c>
      <c r="K5163" t="s">
        <v>6100</v>
      </c>
      <c r="L5163" t="s">
        <v>6099</v>
      </c>
      <c r="M5163" t="s">
        <v>6100</v>
      </c>
      <c r="N5163">
        <v>5</v>
      </c>
      <c r="O5163" t="s">
        <v>6101</v>
      </c>
      <c r="P5163" t="s">
        <v>6114</v>
      </c>
      <c r="Q5163">
        <v>8</v>
      </c>
      <c r="R5163">
        <v>2026</v>
      </c>
      <c r="S5163" t="s">
        <v>6100</v>
      </c>
      <c r="T5163">
        <v>0</v>
      </c>
      <c r="U5163" t="s">
        <v>6017</v>
      </c>
      <c r="V5163">
        <v>0</v>
      </c>
    </row>
    <row r="5164" spans="1:22" x14ac:dyDescent="0.3">
      <c r="A5164" t="s">
        <v>5179</v>
      </c>
      <c r="B5164" s="2">
        <v>46255.897222222222</v>
      </c>
      <c r="C5164" s="2">
        <v>46260.134722222225</v>
      </c>
      <c r="D5164" t="s">
        <v>6025</v>
      </c>
      <c r="E5164" t="s">
        <v>6031</v>
      </c>
      <c r="F5164" t="s">
        <v>6033</v>
      </c>
      <c r="G5164" t="s">
        <v>6076</v>
      </c>
      <c r="H5164" t="s">
        <v>6097</v>
      </c>
      <c r="I5164">
        <v>72</v>
      </c>
      <c r="J5164">
        <v>101.7</v>
      </c>
      <c r="K5164" t="s">
        <v>6099</v>
      </c>
      <c r="L5164" t="s">
        <v>6100</v>
      </c>
      <c r="M5164" t="s">
        <v>6099</v>
      </c>
      <c r="O5164" t="s">
        <v>6101</v>
      </c>
      <c r="P5164" t="s">
        <v>6114</v>
      </c>
      <c r="Q5164">
        <v>8</v>
      </c>
      <c r="R5164">
        <v>2026</v>
      </c>
      <c r="S5164" t="s">
        <v>6100</v>
      </c>
      <c r="T5164">
        <v>0</v>
      </c>
      <c r="U5164" t="s">
        <v>6021</v>
      </c>
      <c r="V5164">
        <v>1</v>
      </c>
    </row>
    <row r="5165" spans="1:22" x14ac:dyDescent="0.3">
      <c r="A5165" t="s">
        <v>5180</v>
      </c>
      <c r="B5165" s="2">
        <v>46255.980555555558</v>
      </c>
      <c r="C5165" s="2">
        <v>46257.176388888889</v>
      </c>
      <c r="D5165" t="s">
        <v>6022</v>
      </c>
      <c r="E5165" t="s">
        <v>6031</v>
      </c>
      <c r="F5165" t="s">
        <v>6034</v>
      </c>
      <c r="G5165" t="s">
        <v>6080</v>
      </c>
      <c r="H5165" t="s">
        <v>6096</v>
      </c>
      <c r="I5165">
        <v>24</v>
      </c>
      <c r="J5165">
        <v>28.7</v>
      </c>
      <c r="K5165" t="s">
        <v>6099</v>
      </c>
      <c r="L5165" t="s">
        <v>6100</v>
      </c>
      <c r="M5165" t="s">
        <v>6100</v>
      </c>
      <c r="N5165">
        <v>5</v>
      </c>
      <c r="O5165" t="s">
        <v>6101</v>
      </c>
      <c r="P5165" t="s">
        <v>6114</v>
      </c>
      <c r="Q5165">
        <v>8</v>
      </c>
      <c r="R5165">
        <v>2026</v>
      </c>
      <c r="S5165" t="s">
        <v>6100</v>
      </c>
      <c r="T5165">
        <v>0</v>
      </c>
      <c r="U5165" t="s">
        <v>6018</v>
      </c>
      <c r="V5165">
        <v>1</v>
      </c>
    </row>
    <row r="5166" spans="1:22" x14ac:dyDescent="0.3">
      <c r="A5166" t="s">
        <v>5181</v>
      </c>
      <c r="B5166" s="2">
        <v>46256.193055555559</v>
      </c>
      <c r="C5166" s="2">
        <v>46257.830555555556</v>
      </c>
      <c r="D5166" t="s">
        <v>6025</v>
      </c>
      <c r="E5166" t="s">
        <v>6032</v>
      </c>
      <c r="F5166" t="s">
        <v>6034</v>
      </c>
      <c r="G5166" t="s">
        <v>6037</v>
      </c>
      <c r="H5166" t="s">
        <v>6096</v>
      </c>
      <c r="I5166">
        <v>24</v>
      </c>
      <c r="J5166">
        <v>39.299999999999997</v>
      </c>
      <c r="K5166" t="s">
        <v>6099</v>
      </c>
      <c r="L5166" t="s">
        <v>6100</v>
      </c>
      <c r="M5166" t="s">
        <v>6100</v>
      </c>
      <c r="N5166">
        <v>4</v>
      </c>
      <c r="O5166" t="s">
        <v>6101</v>
      </c>
      <c r="P5166" t="s">
        <v>6114</v>
      </c>
      <c r="Q5166">
        <v>8</v>
      </c>
      <c r="R5166">
        <v>2026</v>
      </c>
      <c r="S5166" t="s">
        <v>6100</v>
      </c>
      <c r="T5166">
        <v>0</v>
      </c>
      <c r="U5166" t="s">
        <v>6021</v>
      </c>
      <c r="V5166">
        <v>1</v>
      </c>
    </row>
    <row r="5167" spans="1:22" x14ac:dyDescent="0.3">
      <c r="A5167" t="s">
        <v>5182</v>
      </c>
      <c r="B5167" s="2">
        <v>46256.245138888888</v>
      </c>
      <c r="C5167" s="2">
        <v>46256.524305555555</v>
      </c>
      <c r="D5167" t="s">
        <v>6023</v>
      </c>
      <c r="E5167" t="s">
        <v>6029</v>
      </c>
      <c r="F5167" t="s">
        <v>6034</v>
      </c>
      <c r="G5167" t="s">
        <v>6064</v>
      </c>
      <c r="H5167" t="s">
        <v>6096</v>
      </c>
      <c r="I5167">
        <v>24</v>
      </c>
      <c r="J5167">
        <v>6.7</v>
      </c>
      <c r="K5167" t="s">
        <v>6099</v>
      </c>
      <c r="L5167" t="s">
        <v>6100</v>
      </c>
      <c r="M5167" t="s">
        <v>6100</v>
      </c>
      <c r="N5167">
        <v>5</v>
      </c>
      <c r="O5167" t="s">
        <v>6101</v>
      </c>
      <c r="P5167" t="s">
        <v>6114</v>
      </c>
      <c r="Q5167">
        <v>8</v>
      </c>
      <c r="R5167">
        <v>2026</v>
      </c>
      <c r="S5167" t="s">
        <v>6099</v>
      </c>
      <c r="T5167">
        <v>1</v>
      </c>
      <c r="U5167" t="s">
        <v>6018</v>
      </c>
      <c r="V5167">
        <v>1</v>
      </c>
    </row>
    <row r="5168" spans="1:22" x14ac:dyDescent="0.3">
      <c r="A5168" t="s">
        <v>5183</v>
      </c>
      <c r="B5168" s="2">
        <v>46256.320138888892</v>
      </c>
      <c r="C5168" s="2">
        <v>46256.524305555555</v>
      </c>
      <c r="D5168" t="s">
        <v>6023</v>
      </c>
      <c r="E5168" t="s">
        <v>6030</v>
      </c>
      <c r="F5168" t="s">
        <v>6033</v>
      </c>
      <c r="G5168" t="s">
        <v>6060</v>
      </c>
      <c r="H5168" t="s">
        <v>6097</v>
      </c>
      <c r="I5168">
        <v>72</v>
      </c>
      <c r="J5168">
        <v>4.9000000000000004</v>
      </c>
      <c r="K5168" t="s">
        <v>6099</v>
      </c>
      <c r="L5168" t="s">
        <v>6100</v>
      </c>
      <c r="M5168" t="s">
        <v>6100</v>
      </c>
      <c r="N5168">
        <v>5</v>
      </c>
      <c r="O5168" t="s">
        <v>6101</v>
      </c>
      <c r="P5168" t="s">
        <v>6114</v>
      </c>
      <c r="Q5168">
        <v>8</v>
      </c>
      <c r="R5168">
        <v>2026</v>
      </c>
      <c r="S5168" t="s">
        <v>6099</v>
      </c>
      <c r="T5168">
        <v>1</v>
      </c>
      <c r="U5168" t="s">
        <v>6017</v>
      </c>
      <c r="V5168">
        <v>1</v>
      </c>
    </row>
    <row r="5169" spans="1:22" x14ac:dyDescent="0.3">
      <c r="A5169" t="s">
        <v>5184</v>
      </c>
      <c r="B5169" s="2">
        <v>46256.373611111114</v>
      </c>
      <c r="C5169" s="2">
        <v>46257.152777777781</v>
      </c>
      <c r="D5169" t="s">
        <v>6022</v>
      </c>
      <c r="E5169" t="s">
        <v>6031</v>
      </c>
      <c r="F5169" t="s">
        <v>6033</v>
      </c>
      <c r="G5169" t="s">
        <v>6063</v>
      </c>
      <c r="H5169" t="s">
        <v>6097</v>
      </c>
      <c r="I5169">
        <v>72</v>
      </c>
      <c r="J5169">
        <v>18.7</v>
      </c>
      <c r="K5169" t="s">
        <v>6099</v>
      </c>
      <c r="L5169" t="s">
        <v>6100</v>
      </c>
      <c r="M5169" t="s">
        <v>6100</v>
      </c>
      <c r="O5169" t="s">
        <v>6101</v>
      </c>
      <c r="P5169" t="s">
        <v>6114</v>
      </c>
      <c r="Q5169">
        <v>8</v>
      </c>
      <c r="R5169">
        <v>2026</v>
      </c>
      <c r="S5169" t="s">
        <v>6099</v>
      </c>
      <c r="T5169">
        <v>1</v>
      </c>
      <c r="U5169" t="s">
        <v>6017</v>
      </c>
      <c r="V5169">
        <v>1</v>
      </c>
    </row>
    <row r="5170" spans="1:22" x14ac:dyDescent="0.3">
      <c r="A5170" t="s">
        <v>5185</v>
      </c>
      <c r="B5170" s="2">
        <v>46256.482638888891</v>
      </c>
      <c r="C5170" s="2">
        <v>46256.59097222222</v>
      </c>
      <c r="D5170" t="s">
        <v>6028</v>
      </c>
      <c r="E5170" t="s">
        <v>6030</v>
      </c>
      <c r="F5170" t="s">
        <v>6035</v>
      </c>
      <c r="G5170" t="s">
        <v>6075</v>
      </c>
      <c r="H5170" t="s">
        <v>6097</v>
      </c>
      <c r="I5170">
        <v>4</v>
      </c>
      <c r="J5170">
        <v>2.6</v>
      </c>
      <c r="K5170" t="s">
        <v>6099</v>
      </c>
      <c r="L5170" t="s">
        <v>6100</v>
      </c>
      <c r="M5170" t="s">
        <v>6100</v>
      </c>
      <c r="O5170" t="s">
        <v>6101</v>
      </c>
      <c r="P5170" t="s">
        <v>6114</v>
      </c>
      <c r="Q5170">
        <v>8</v>
      </c>
      <c r="R5170">
        <v>2026</v>
      </c>
      <c r="S5170" t="s">
        <v>6099</v>
      </c>
      <c r="T5170">
        <v>1</v>
      </c>
      <c r="U5170" t="s">
        <v>6017</v>
      </c>
      <c r="V5170">
        <v>1</v>
      </c>
    </row>
    <row r="5171" spans="1:22" x14ac:dyDescent="0.3">
      <c r="A5171" t="s">
        <v>5186</v>
      </c>
      <c r="B5171" s="2">
        <v>46256.497916666667</v>
      </c>
      <c r="C5171" s="2">
        <v>46256.743750000001</v>
      </c>
      <c r="D5171" t="s">
        <v>6028</v>
      </c>
      <c r="E5171" t="s">
        <v>6031</v>
      </c>
      <c r="F5171" t="s">
        <v>6035</v>
      </c>
      <c r="G5171" t="s">
        <v>6040</v>
      </c>
      <c r="H5171" t="s">
        <v>6097</v>
      </c>
      <c r="I5171">
        <v>4</v>
      </c>
      <c r="J5171">
        <v>5.9</v>
      </c>
      <c r="K5171" t="s">
        <v>6099</v>
      </c>
      <c r="L5171" t="s">
        <v>6100</v>
      </c>
      <c r="M5171" t="s">
        <v>6100</v>
      </c>
      <c r="N5171">
        <v>5</v>
      </c>
      <c r="O5171" t="s">
        <v>6101</v>
      </c>
      <c r="P5171" t="s">
        <v>6114</v>
      </c>
      <c r="Q5171">
        <v>8</v>
      </c>
      <c r="R5171">
        <v>2026</v>
      </c>
      <c r="S5171" t="s">
        <v>6100</v>
      </c>
      <c r="T5171">
        <v>0</v>
      </c>
      <c r="U5171" t="s">
        <v>6018</v>
      </c>
      <c r="V5171">
        <v>1</v>
      </c>
    </row>
    <row r="5172" spans="1:22" x14ac:dyDescent="0.3">
      <c r="A5172" t="s">
        <v>5187</v>
      </c>
      <c r="B5172" s="2">
        <v>46256.524305555555</v>
      </c>
      <c r="C5172" s="2">
        <v>46256.890972222223</v>
      </c>
      <c r="D5172" t="s">
        <v>6028</v>
      </c>
      <c r="E5172" t="s">
        <v>6031</v>
      </c>
      <c r="F5172" t="s">
        <v>6035</v>
      </c>
      <c r="G5172" t="s">
        <v>6076</v>
      </c>
      <c r="H5172" t="s">
        <v>6097</v>
      </c>
      <c r="I5172">
        <v>4</v>
      </c>
      <c r="J5172">
        <v>8.8000000000000007</v>
      </c>
      <c r="K5172" t="s">
        <v>6099</v>
      </c>
      <c r="L5172" t="s">
        <v>6100</v>
      </c>
      <c r="M5172" t="s">
        <v>6100</v>
      </c>
      <c r="N5172">
        <v>5</v>
      </c>
      <c r="O5172" t="s">
        <v>6101</v>
      </c>
      <c r="P5172" t="s">
        <v>6114</v>
      </c>
      <c r="Q5172">
        <v>8</v>
      </c>
      <c r="R5172">
        <v>2026</v>
      </c>
      <c r="S5172" t="s">
        <v>6100</v>
      </c>
      <c r="T5172">
        <v>0</v>
      </c>
      <c r="U5172" t="s">
        <v>6020</v>
      </c>
      <c r="V5172">
        <v>1</v>
      </c>
    </row>
    <row r="5173" spans="1:22" x14ac:dyDescent="0.3">
      <c r="A5173" t="s">
        <v>5188</v>
      </c>
      <c r="B5173" s="2">
        <v>46256.550694444442</v>
      </c>
      <c r="C5173" s="2">
        <v>46256.809027777781</v>
      </c>
      <c r="D5173" t="s">
        <v>6027</v>
      </c>
      <c r="E5173" t="s">
        <v>6029</v>
      </c>
      <c r="F5173" t="s">
        <v>6033</v>
      </c>
      <c r="G5173" t="s">
        <v>6041</v>
      </c>
      <c r="H5173" t="s">
        <v>6096</v>
      </c>
      <c r="I5173">
        <v>72</v>
      </c>
      <c r="J5173">
        <v>6.2</v>
      </c>
      <c r="K5173" t="s">
        <v>6100</v>
      </c>
      <c r="L5173" t="s">
        <v>6099</v>
      </c>
      <c r="M5173" t="s">
        <v>6100</v>
      </c>
      <c r="O5173" t="s">
        <v>6101</v>
      </c>
      <c r="P5173" t="s">
        <v>6114</v>
      </c>
      <c r="Q5173">
        <v>8</v>
      </c>
      <c r="R5173">
        <v>2026</v>
      </c>
      <c r="S5173" t="s">
        <v>6099</v>
      </c>
      <c r="T5173">
        <v>1</v>
      </c>
      <c r="U5173" t="s">
        <v>6018</v>
      </c>
      <c r="V5173">
        <v>0</v>
      </c>
    </row>
    <row r="5174" spans="1:22" x14ac:dyDescent="0.3">
      <c r="A5174" t="s">
        <v>5189</v>
      </c>
      <c r="B5174" s="2">
        <v>46256.56527777778</v>
      </c>
      <c r="C5174" s="2">
        <v>46257.923611111109</v>
      </c>
      <c r="D5174" t="s">
        <v>6024</v>
      </c>
      <c r="E5174" t="s">
        <v>6032</v>
      </c>
      <c r="F5174" t="s">
        <v>6034</v>
      </c>
      <c r="G5174" t="s">
        <v>6064</v>
      </c>
      <c r="H5174" t="s">
        <v>6096</v>
      </c>
      <c r="I5174">
        <v>24</v>
      </c>
      <c r="J5174">
        <v>32.6</v>
      </c>
      <c r="K5174" t="s">
        <v>6099</v>
      </c>
      <c r="L5174" t="s">
        <v>6100</v>
      </c>
      <c r="M5174" t="s">
        <v>6100</v>
      </c>
      <c r="N5174">
        <v>5</v>
      </c>
      <c r="O5174" t="s">
        <v>6101</v>
      </c>
      <c r="P5174" t="s">
        <v>6114</v>
      </c>
      <c r="Q5174">
        <v>8</v>
      </c>
      <c r="R5174">
        <v>2026</v>
      </c>
      <c r="S5174" t="s">
        <v>6100</v>
      </c>
      <c r="T5174">
        <v>0</v>
      </c>
      <c r="U5174" t="s">
        <v>6018</v>
      </c>
      <c r="V5174">
        <v>1</v>
      </c>
    </row>
    <row r="5175" spans="1:22" x14ac:dyDescent="0.3">
      <c r="A5175" t="s">
        <v>5190</v>
      </c>
      <c r="B5175" s="2">
        <v>46256.59375</v>
      </c>
      <c r="C5175" s="2">
        <v>46257.168749999997</v>
      </c>
      <c r="D5175" t="s">
        <v>6023</v>
      </c>
      <c r="E5175" t="s">
        <v>6029</v>
      </c>
      <c r="F5175" t="s">
        <v>6034</v>
      </c>
      <c r="G5175" t="s">
        <v>6041</v>
      </c>
      <c r="H5175" t="s">
        <v>6096</v>
      </c>
      <c r="I5175">
        <v>24</v>
      </c>
      <c r="J5175">
        <v>13.8</v>
      </c>
      <c r="K5175" t="s">
        <v>6100</v>
      </c>
      <c r="L5175" t="s">
        <v>6100</v>
      </c>
      <c r="M5175" t="s">
        <v>6099</v>
      </c>
      <c r="N5175">
        <v>3</v>
      </c>
      <c r="O5175" t="s">
        <v>6101</v>
      </c>
      <c r="P5175" t="s">
        <v>6114</v>
      </c>
      <c r="Q5175">
        <v>8</v>
      </c>
      <c r="R5175">
        <v>2026</v>
      </c>
      <c r="S5175" t="s">
        <v>6099</v>
      </c>
      <c r="T5175">
        <v>1</v>
      </c>
      <c r="U5175" t="s">
        <v>6021</v>
      </c>
      <c r="V5175">
        <v>0</v>
      </c>
    </row>
    <row r="5176" spans="1:22" x14ac:dyDescent="0.3">
      <c r="A5176" t="s">
        <v>5191</v>
      </c>
      <c r="B5176" s="2">
        <v>46256.652777777781</v>
      </c>
      <c r="C5176" s="2">
        <v>46256.827777777777</v>
      </c>
      <c r="D5176" t="s">
        <v>6023</v>
      </c>
      <c r="E5176" t="s">
        <v>6029</v>
      </c>
      <c r="F5176" t="s">
        <v>6033</v>
      </c>
      <c r="G5176" t="s">
        <v>6085</v>
      </c>
      <c r="H5176" t="s">
        <v>6097</v>
      </c>
      <c r="I5176">
        <v>72</v>
      </c>
      <c r="J5176">
        <v>4.2</v>
      </c>
      <c r="K5176" t="s">
        <v>6099</v>
      </c>
      <c r="L5176" t="s">
        <v>6100</v>
      </c>
      <c r="M5176" t="s">
        <v>6100</v>
      </c>
      <c r="N5176">
        <v>4</v>
      </c>
      <c r="O5176" t="s">
        <v>6101</v>
      </c>
      <c r="P5176" t="s">
        <v>6114</v>
      </c>
      <c r="Q5176">
        <v>8</v>
      </c>
      <c r="R5176">
        <v>2026</v>
      </c>
      <c r="S5176" t="s">
        <v>6099</v>
      </c>
      <c r="T5176">
        <v>1</v>
      </c>
      <c r="U5176" t="s">
        <v>6021</v>
      </c>
      <c r="V5176">
        <v>1</v>
      </c>
    </row>
    <row r="5177" spans="1:22" x14ac:dyDescent="0.3">
      <c r="A5177" t="s">
        <v>5192</v>
      </c>
      <c r="B5177" s="2">
        <v>46256.692361111112</v>
      </c>
      <c r="C5177" s="2">
        <v>46258.492361111108</v>
      </c>
      <c r="D5177" t="s">
        <v>6026</v>
      </c>
      <c r="E5177" t="s">
        <v>6029</v>
      </c>
      <c r="F5177" t="s">
        <v>6034</v>
      </c>
      <c r="G5177" t="s">
        <v>6038</v>
      </c>
      <c r="H5177" t="s">
        <v>6096</v>
      </c>
      <c r="I5177">
        <v>24</v>
      </c>
      <c r="J5177">
        <v>43.2</v>
      </c>
      <c r="K5177" t="s">
        <v>6100</v>
      </c>
      <c r="L5177" t="s">
        <v>6100</v>
      </c>
      <c r="M5177" t="s">
        <v>6100</v>
      </c>
      <c r="N5177">
        <v>3</v>
      </c>
      <c r="O5177" t="s">
        <v>6101</v>
      </c>
      <c r="P5177" t="s">
        <v>6114</v>
      </c>
      <c r="Q5177">
        <v>8</v>
      </c>
      <c r="R5177">
        <v>2026</v>
      </c>
      <c r="S5177" t="s">
        <v>6100</v>
      </c>
      <c r="T5177">
        <v>0</v>
      </c>
      <c r="U5177" t="s">
        <v>6019</v>
      </c>
      <c r="V5177">
        <v>0</v>
      </c>
    </row>
    <row r="5178" spans="1:22" x14ac:dyDescent="0.3">
      <c r="A5178" t="s">
        <v>5193</v>
      </c>
      <c r="B5178" s="2">
        <v>46256.697222222225</v>
      </c>
      <c r="C5178" s="2">
        <v>46257.830555555556</v>
      </c>
      <c r="D5178" t="s">
        <v>6025</v>
      </c>
      <c r="E5178" t="s">
        <v>6030</v>
      </c>
      <c r="F5178" t="s">
        <v>6033</v>
      </c>
      <c r="G5178" t="s">
        <v>6078</v>
      </c>
      <c r="H5178" t="s">
        <v>6097</v>
      </c>
      <c r="I5178">
        <v>72</v>
      </c>
      <c r="J5178">
        <v>27.2</v>
      </c>
      <c r="K5178" t="s">
        <v>6099</v>
      </c>
      <c r="L5178" t="s">
        <v>6100</v>
      </c>
      <c r="M5178" t="s">
        <v>6100</v>
      </c>
      <c r="N5178">
        <v>5</v>
      </c>
      <c r="O5178" t="s">
        <v>6101</v>
      </c>
      <c r="P5178" t="s">
        <v>6114</v>
      </c>
      <c r="Q5178">
        <v>8</v>
      </c>
      <c r="R5178">
        <v>2026</v>
      </c>
      <c r="S5178" t="s">
        <v>6099</v>
      </c>
      <c r="T5178">
        <v>1</v>
      </c>
      <c r="U5178" t="s">
        <v>6020</v>
      </c>
      <c r="V5178">
        <v>1</v>
      </c>
    </row>
    <row r="5179" spans="1:22" x14ac:dyDescent="0.3">
      <c r="A5179" t="s">
        <v>5194</v>
      </c>
      <c r="B5179" s="2">
        <v>46256.720833333333</v>
      </c>
      <c r="C5179" s="2">
        <v>46256.862500000003</v>
      </c>
      <c r="D5179" t="s">
        <v>6027</v>
      </c>
      <c r="E5179" t="s">
        <v>6029</v>
      </c>
      <c r="F5179" t="s">
        <v>6034</v>
      </c>
      <c r="G5179" t="s">
        <v>6056</v>
      </c>
      <c r="H5179" t="s">
        <v>6098</v>
      </c>
      <c r="I5179">
        <v>24</v>
      </c>
      <c r="J5179">
        <v>3.4</v>
      </c>
      <c r="K5179" t="s">
        <v>6100</v>
      </c>
      <c r="L5179" t="s">
        <v>6100</v>
      </c>
      <c r="M5179" t="s">
        <v>6100</v>
      </c>
      <c r="N5179">
        <v>5</v>
      </c>
      <c r="O5179" t="s">
        <v>6101</v>
      </c>
      <c r="P5179" t="s">
        <v>6114</v>
      </c>
      <c r="Q5179">
        <v>8</v>
      </c>
      <c r="R5179">
        <v>2026</v>
      </c>
      <c r="S5179" t="s">
        <v>6099</v>
      </c>
      <c r="T5179">
        <v>1</v>
      </c>
      <c r="U5179" t="s">
        <v>6021</v>
      </c>
      <c r="V5179">
        <v>0</v>
      </c>
    </row>
    <row r="5180" spans="1:22" x14ac:dyDescent="0.3">
      <c r="A5180" t="s">
        <v>5195</v>
      </c>
      <c r="B5180" s="2">
        <v>46256.775694444441</v>
      </c>
      <c r="C5180" s="2">
        <v>46257.171527777777</v>
      </c>
      <c r="D5180" t="s">
        <v>6022</v>
      </c>
      <c r="E5180" t="s">
        <v>6029</v>
      </c>
      <c r="F5180" t="s">
        <v>6035</v>
      </c>
      <c r="G5180" t="s">
        <v>6081</v>
      </c>
      <c r="H5180" t="s">
        <v>6098</v>
      </c>
      <c r="I5180">
        <v>4</v>
      </c>
      <c r="J5180">
        <v>9.5</v>
      </c>
      <c r="K5180" t="s">
        <v>6099</v>
      </c>
      <c r="L5180" t="s">
        <v>6100</v>
      </c>
      <c r="M5180" t="s">
        <v>6099</v>
      </c>
      <c r="N5180">
        <v>5</v>
      </c>
      <c r="O5180" t="s">
        <v>6101</v>
      </c>
      <c r="P5180" t="s">
        <v>6114</v>
      </c>
      <c r="Q5180">
        <v>8</v>
      </c>
      <c r="R5180">
        <v>2026</v>
      </c>
      <c r="S5180" t="s">
        <v>6100</v>
      </c>
      <c r="T5180">
        <v>0</v>
      </c>
      <c r="U5180" t="s">
        <v>6017</v>
      </c>
      <c r="V5180">
        <v>1</v>
      </c>
    </row>
    <row r="5181" spans="1:22" x14ac:dyDescent="0.3">
      <c r="A5181" t="s">
        <v>5196</v>
      </c>
      <c r="B5181" s="2">
        <v>46256.791666666664</v>
      </c>
      <c r="C5181" s="2">
        <v>46257.004166666666</v>
      </c>
      <c r="D5181" t="s">
        <v>6028</v>
      </c>
      <c r="E5181" t="s">
        <v>6029</v>
      </c>
      <c r="F5181" t="s">
        <v>6033</v>
      </c>
      <c r="G5181" t="s">
        <v>6053</v>
      </c>
      <c r="H5181" t="s">
        <v>6097</v>
      </c>
      <c r="I5181">
        <v>72</v>
      </c>
      <c r="J5181">
        <v>5.0999999999999996</v>
      </c>
      <c r="K5181" t="s">
        <v>6100</v>
      </c>
      <c r="L5181" t="s">
        <v>6100</v>
      </c>
      <c r="M5181" t="s">
        <v>6100</v>
      </c>
      <c r="N5181">
        <v>5</v>
      </c>
      <c r="O5181" t="s">
        <v>6101</v>
      </c>
      <c r="P5181" t="s">
        <v>6114</v>
      </c>
      <c r="Q5181">
        <v>8</v>
      </c>
      <c r="R5181">
        <v>2026</v>
      </c>
      <c r="S5181" t="s">
        <v>6099</v>
      </c>
      <c r="T5181">
        <v>1</v>
      </c>
      <c r="U5181" t="s">
        <v>6017</v>
      </c>
      <c r="V5181">
        <v>0</v>
      </c>
    </row>
    <row r="5182" spans="1:22" x14ac:dyDescent="0.3">
      <c r="A5182" t="s">
        <v>5197</v>
      </c>
      <c r="B5182" s="2">
        <v>46256.84375</v>
      </c>
      <c r="C5182" s="2">
        <v>46257.072916666664</v>
      </c>
      <c r="D5182" t="s">
        <v>6028</v>
      </c>
      <c r="E5182" t="s">
        <v>6030</v>
      </c>
      <c r="F5182" t="s">
        <v>6035</v>
      </c>
      <c r="G5182" t="s">
        <v>6053</v>
      </c>
      <c r="H5182" t="s">
        <v>6097</v>
      </c>
      <c r="I5182">
        <v>4</v>
      </c>
      <c r="J5182">
        <v>5.5</v>
      </c>
      <c r="K5182" t="s">
        <v>6099</v>
      </c>
      <c r="L5182" t="s">
        <v>6100</v>
      </c>
      <c r="M5182" t="s">
        <v>6100</v>
      </c>
      <c r="N5182">
        <v>5</v>
      </c>
      <c r="O5182" t="s">
        <v>6101</v>
      </c>
      <c r="P5182" t="s">
        <v>6114</v>
      </c>
      <c r="Q5182">
        <v>8</v>
      </c>
      <c r="R5182">
        <v>2026</v>
      </c>
      <c r="S5182" t="s">
        <v>6100</v>
      </c>
      <c r="T5182">
        <v>0</v>
      </c>
      <c r="U5182" t="s">
        <v>6017</v>
      </c>
      <c r="V5182">
        <v>1</v>
      </c>
    </row>
    <row r="5183" spans="1:22" x14ac:dyDescent="0.3">
      <c r="A5183" t="s">
        <v>5198</v>
      </c>
      <c r="B5183" s="2">
        <v>46256.916666666664</v>
      </c>
      <c r="C5183" s="2">
        <v>46258.458333333336</v>
      </c>
      <c r="D5183" t="s">
        <v>6025</v>
      </c>
      <c r="E5183" t="s">
        <v>6029</v>
      </c>
      <c r="F5183" t="s">
        <v>6034</v>
      </c>
      <c r="G5183" t="s">
        <v>6047</v>
      </c>
      <c r="H5183" t="s">
        <v>6098</v>
      </c>
      <c r="I5183">
        <v>24</v>
      </c>
      <c r="J5183">
        <v>37</v>
      </c>
      <c r="K5183" t="s">
        <v>6099</v>
      </c>
      <c r="L5183" t="s">
        <v>6100</v>
      </c>
      <c r="M5183" t="s">
        <v>6100</v>
      </c>
      <c r="O5183" t="s">
        <v>6101</v>
      </c>
      <c r="P5183" t="s">
        <v>6114</v>
      </c>
      <c r="Q5183">
        <v>8</v>
      </c>
      <c r="R5183">
        <v>2026</v>
      </c>
      <c r="S5183" t="s">
        <v>6100</v>
      </c>
      <c r="T5183">
        <v>0</v>
      </c>
      <c r="U5183" t="s">
        <v>6020</v>
      </c>
      <c r="V5183">
        <v>1</v>
      </c>
    </row>
    <row r="5184" spans="1:22" x14ac:dyDescent="0.3">
      <c r="A5184" t="s">
        <v>5199</v>
      </c>
      <c r="B5184" s="2">
        <v>46257.118055555555</v>
      </c>
      <c r="C5184" s="2">
        <v>46257.993055555555</v>
      </c>
      <c r="D5184" t="s">
        <v>6022</v>
      </c>
      <c r="E5184" t="s">
        <v>6030</v>
      </c>
      <c r="F5184" t="s">
        <v>6034</v>
      </c>
      <c r="G5184" t="s">
        <v>6062</v>
      </c>
      <c r="H5184" t="s">
        <v>6096</v>
      </c>
      <c r="I5184">
        <v>24</v>
      </c>
      <c r="J5184">
        <v>21</v>
      </c>
      <c r="K5184" t="s">
        <v>6099</v>
      </c>
      <c r="L5184" t="s">
        <v>6100</v>
      </c>
      <c r="M5184" t="s">
        <v>6100</v>
      </c>
      <c r="N5184">
        <v>4</v>
      </c>
      <c r="O5184" t="s">
        <v>6101</v>
      </c>
      <c r="P5184" t="s">
        <v>6114</v>
      </c>
      <c r="Q5184">
        <v>8</v>
      </c>
      <c r="R5184">
        <v>2026</v>
      </c>
      <c r="S5184" t="s">
        <v>6099</v>
      </c>
      <c r="T5184">
        <v>1</v>
      </c>
      <c r="U5184" t="s">
        <v>6021</v>
      </c>
      <c r="V5184">
        <v>1</v>
      </c>
    </row>
    <row r="5185" spans="1:22" x14ac:dyDescent="0.3">
      <c r="A5185" t="s">
        <v>5200</v>
      </c>
      <c r="B5185" s="2">
        <v>46257.210416666669</v>
      </c>
      <c r="C5185" s="2">
        <v>46257.477083333331</v>
      </c>
      <c r="D5185" t="s">
        <v>6023</v>
      </c>
      <c r="E5185" t="s">
        <v>6029</v>
      </c>
      <c r="F5185" t="s">
        <v>6034</v>
      </c>
      <c r="G5185" t="s">
        <v>6038</v>
      </c>
      <c r="H5185" t="s">
        <v>6096</v>
      </c>
      <c r="I5185">
        <v>24</v>
      </c>
      <c r="J5185">
        <v>6.4</v>
      </c>
      <c r="K5185" t="s">
        <v>6100</v>
      </c>
      <c r="L5185" t="s">
        <v>6099</v>
      </c>
      <c r="M5185" t="s">
        <v>6100</v>
      </c>
      <c r="N5185">
        <v>3</v>
      </c>
      <c r="O5185" t="s">
        <v>6101</v>
      </c>
      <c r="P5185" t="s">
        <v>6114</v>
      </c>
      <c r="Q5185">
        <v>8</v>
      </c>
      <c r="R5185">
        <v>2026</v>
      </c>
      <c r="S5185" t="s">
        <v>6099</v>
      </c>
      <c r="T5185">
        <v>1</v>
      </c>
      <c r="U5185" t="s">
        <v>6020</v>
      </c>
      <c r="V5185">
        <v>0</v>
      </c>
    </row>
    <row r="5186" spans="1:22" x14ac:dyDescent="0.3">
      <c r="A5186" t="s">
        <v>5201</v>
      </c>
      <c r="B5186" s="2">
        <v>46257.219444444447</v>
      </c>
      <c r="C5186" s="2">
        <v>46258.156944444447</v>
      </c>
      <c r="D5186" t="s">
        <v>6024</v>
      </c>
      <c r="E5186" t="s">
        <v>6030</v>
      </c>
      <c r="F5186" t="s">
        <v>6034</v>
      </c>
      <c r="G5186" t="s">
        <v>6071</v>
      </c>
      <c r="H5186" t="s">
        <v>6098</v>
      </c>
      <c r="I5186">
        <v>24</v>
      </c>
      <c r="J5186">
        <v>22.5</v>
      </c>
      <c r="K5186" t="s">
        <v>6100</v>
      </c>
      <c r="L5186" t="s">
        <v>6099</v>
      </c>
      <c r="M5186" t="s">
        <v>6100</v>
      </c>
      <c r="N5186">
        <v>3</v>
      </c>
      <c r="O5186" t="s">
        <v>6101</v>
      </c>
      <c r="P5186" t="s">
        <v>6114</v>
      </c>
      <c r="Q5186">
        <v>8</v>
      </c>
      <c r="R5186">
        <v>2026</v>
      </c>
      <c r="S5186" t="s">
        <v>6099</v>
      </c>
      <c r="T5186">
        <v>1</v>
      </c>
      <c r="U5186" t="s">
        <v>6018</v>
      </c>
      <c r="V5186">
        <v>0</v>
      </c>
    </row>
    <row r="5187" spans="1:22" x14ac:dyDescent="0.3">
      <c r="A5187" t="s">
        <v>5202</v>
      </c>
      <c r="B5187" s="2">
        <v>46257.257638888892</v>
      </c>
      <c r="C5187" s="2">
        <v>46257.982638888891</v>
      </c>
      <c r="D5187" t="s">
        <v>6022</v>
      </c>
      <c r="E5187" t="s">
        <v>6029</v>
      </c>
      <c r="F5187" t="s">
        <v>6034</v>
      </c>
      <c r="G5187" t="s">
        <v>6090</v>
      </c>
      <c r="H5187" t="s">
        <v>6097</v>
      </c>
      <c r="I5187">
        <v>24</v>
      </c>
      <c r="J5187">
        <v>17.399999999999999</v>
      </c>
      <c r="K5187" t="s">
        <v>6099</v>
      </c>
      <c r="L5187" t="s">
        <v>6100</v>
      </c>
      <c r="M5187" t="s">
        <v>6100</v>
      </c>
      <c r="N5187">
        <v>5</v>
      </c>
      <c r="O5187" t="s">
        <v>6101</v>
      </c>
      <c r="P5187" t="s">
        <v>6114</v>
      </c>
      <c r="Q5187">
        <v>8</v>
      </c>
      <c r="R5187">
        <v>2026</v>
      </c>
      <c r="S5187" t="s">
        <v>6099</v>
      </c>
      <c r="T5187">
        <v>1</v>
      </c>
      <c r="U5187" t="s">
        <v>6021</v>
      </c>
      <c r="V5187">
        <v>1</v>
      </c>
    </row>
    <row r="5188" spans="1:22" x14ac:dyDescent="0.3">
      <c r="A5188" t="s">
        <v>5203</v>
      </c>
      <c r="B5188" s="2">
        <v>46257.26458333333</v>
      </c>
      <c r="C5188" s="2">
        <v>46260.28125</v>
      </c>
      <c r="D5188" t="s">
        <v>6026</v>
      </c>
      <c r="E5188" t="s">
        <v>6030</v>
      </c>
      <c r="F5188" t="s">
        <v>6034</v>
      </c>
      <c r="G5188" t="s">
        <v>6050</v>
      </c>
      <c r="H5188" t="s">
        <v>6098</v>
      </c>
      <c r="I5188">
        <v>24</v>
      </c>
      <c r="J5188">
        <v>72.400000000000006</v>
      </c>
      <c r="K5188" t="s">
        <v>6099</v>
      </c>
      <c r="L5188" t="s">
        <v>6100</v>
      </c>
      <c r="M5188" t="s">
        <v>6100</v>
      </c>
      <c r="N5188">
        <v>5</v>
      </c>
      <c r="O5188" t="s">
        <v>6101</v>
      </c>
      <c r="P5188" t="s">
        <v>6114</v>
      </c>
      <c r="Q5188">
        <v>8</v>
      </c>
      <c r="R5188">
        <v>2026</v>
      </c>
      <c r="S5188" t="s">
        <v>6100</v>
      </c>
      <c r="T5188">
        <v>0</v>
      </c>
      <c r="U5188" t="s">
        <v>6017</v>
      </c>
      <c r="V5188">
        <v>1</v>
      </c>
    </row>
    <row r="5189" spans="1:22" x14ac:dyDescent="0.3">
      <c r="A5189" t="s">
        <v>5204</v>
      </c>
      <c r="B5189" s="2">
        <v>46257.361111111109</v>
      </c>
      <c r="C5189" s="2">
        <v>46258.198611111111</v>
      </c>
      <c r="D5189" t="s">
        <v>6028</v>
      </c>
      <c r="E5189" t="s">
        <v>6031</v>
      </c>
      <c r="F5189" t="s">
        <v>6035</v>
      </c>
      <c r="G5189" t="s">
        <v>6087</v>
      </c>
      <c r="H5189" t="s">
        <v>6098</v>
      </c>
      <c r="I5189">
        <v>4</v>
      </c>
      <c r="J5189">
        <v>20.100000000000001</v>
      </c>
      <c r="K5189" t="s">
        <v>6099</v>
      </c>
      <c r="L5189" t="s">
        <v>6100</v>
      </c>
      <c r="M5189" t="s">
        <v>6100</v>
      </c>
      <c r="N5189">
        <v>4</v>
      </c>
      <c r="O5189" t="s">
        <v>6101</v>
      </c>
      <c r="P5189" t="s">
        <v>6114</v>
      </c>
      <c r="Q5189">
        <v>8</v>
      </c>
      <c r="R5189">
        <v>2026</v>
      </c>
      <c r="S5189" t="s">
        <v>6100</v>
      </c>
      <c r="T5189">
        <v>0</v>
      </c>
      <c r="U5189" t="s">
        <v>6018</v>
      </c>
      <c r="V5189">
        <v>1</v>
      </c>
    </row>
    <row r="5190" spans="1:22" x14ac:dyDescent="0.3">
      <c r="A5190" t="s">
        <v>5205</v>
      </c>
      <c r="B5190" s="2">
        <v>46257.367361111108</v>
      </c>
      <c r="C5190" s="2">
        <v>46258.146527777775</v>
      </c>
      <c r="D5190" t="s">
        <v>6025</v>
      </c>
      <c r="E5190" t="s">
        <v>6029</v>
      </c>
      <c r="F5190" t="s">
        <v>6034</v>
      </c>
      <c r="G5190" t="s">
        <v>6073</v>
      </c>
      <c r="H5190" t="s">
        <v>6096</v>
      </c>
      <c r="I5190">
        <v>24</v>
      </c>
      <c r="J5190">
        <v>18.7</v>
      </c>
      <c r="K5190" t="s">
        <v>6100</v>
      </c>
      <c r="L5190" t="s">
        <v>6099</v>
      </c>
      <c r="M5190" t="s">
        <v>6100</v>
      </c>
      <c r="N5190">
        <v>5</v>
      </c>
      <c r="O5190" t="s">
        <v>6101</v>
      </c>
      <c r="P5190" t="s">
        <v>6114</v>
      </c>
      <c r="Q5190">
        <v>8</v>
      </c>
      <c r="R5190">
        <v>2026</v>
      </c>
      <c r="S5190" t="s">
        <v>6099</v>
      </c>
      <c r="T5190">
        <v>1</v>
      </c>
      <c r="U5190" t="s">
        <v>6020</v>
      </c>
      <c r="V5190">
        <v>0</v>
      </c>
    </row>
    <row r="5191" spans="1:22" x14ac:dyDescent="0.3">
      <c r="A5191" t="s">
        <v>5206</v>
      </c>
      <c r="B5191" s="2">
        <v>46257.379861111112</v>
      </c>
      <c r="C5191" s="2">
        <v>46257.529861111114</v>
      </c>
      <c r="D5191" t="s">
        <v>6023</v>
      </c>
      <c r="E5191" t="s">
        <v>6030</v>
      </c>
      <c r="F5191" t="s">
        <v>6034</v>
      </c>
      <c r="G5191" t="s">
        <v>6086</v>
      </c>
      <c r="H5191" t="s">
        <v>6098</v>
      </c>
      <c r="I5191">
        <v>24</v>
      </c>
      <c r="J5191">
        <v>3.6</v>
      </c>
      <c r="K5191" t="s">
        <v>6099</v>
      </c>
      <c r="L5191" t="s">
        <v>6100</v>
      </c>
      <c r="M5191" t="s">
        <v>6100</v>
      </c>
      <c r="N5191">
        <v>5</v>
      </c>
      <c r="O5191" t="s">
        <v>6101</v>
      </c>
      <c r="P5191" t="s">
        <v>6114</v>
      </c>
      <c r="Q5191">
        <v>8</v>
      </c>
      <c r="R5191">
        <v>2026</v>
      </c>
      <c r="S5191" t="s">
        <v>6099</v>
      </c>
      <c r="T5191">
        <v>1</v>
      </c>
      <c r="U5191" t="s">
        <v>6018</v>
      </c>
      <c r="V5191">
        <v>1</v>
      </c>
    </row>
    <row r="5192" spans="1:22" x14ac:dyDescent="0.3">
      <c r="A5192" t="s">
        <v>5207</v>
      </c>
      <c r="B5192" s="2">
        <v>46257.409722222219</v>
      </c>
      <c r="C5192" s="2">
        <v>46258.12222222222</v>
      </c>
      <c r="D5192" t="s">
        <v>6022</v>
      </c>
      <c r="E5192" t="s">
        <v>6032</v>
      </c>
      <c r="F5192" t="s">
        <v>6033</v>
      </c>
      <c r="G5192" t="s">
        <v>6079</v>
      </c>
      <c r="H5192" t="s">
        <v>6097</v>
      </c>
      <c r="I5192">
        <v>72</v>
      </c>
      <c r="J5192">
        <v>17.100000000000001</v>
      </c>
      <c r="K5192" t="s">
        <v>6099</v>
      </c>
      <c r="L5192" t="s">
        <v>6100</v>
      </c>
      <c r="M5192" t="s">
        <v>6100</v>
      </c>
      <c r="O5192" t="s">
        <v>6101</v>
      </c>
      <c r="P5192" t="s">
        <v>6114</v>
      </c>
      <c r="Q5192">
        <v>8</v>
      </c>
      <c r="R5192">
        <v>2026</v>
      </c>
      <c r="S5192" t="s">
        <v>6099</v>
      </c>
      <c r="T5192">
        <v>1</v>
      </c>
      <c r="U5192" t="s">
        <v>6020</v>
      </c>
      <c r="V5192">
        <v>1</v>
      </c>
    </row>
    <row r="5193" spans="1:22" x14ac:dyDescent="0.3">
      <c r="A5193" t="s">
        <v>5208</v>
      </c>
      <c r="B5193" s="2">
        <v>46257.413888888892</v>
      </c>
      <c r="C5193" s="2">
        <v>46257.709722222222</v>
      </c>
      <c r="D5193" t="s">
        <v>6023</v>
      </c>
      <c r="E5193" t="s">
        <v>6032</v>
      </c>
      <c r="F5193" t="s">
        <v>6033</v>
      </c>
      <c r="G5193" t="s">
        <v>6054</v>
      </c>
      <c r="H5193" t="s">
        <v>6096</v>
      </c>
      <c r="I5193">
        <v>72</v>
      </c>
      <c r="J5193">
        <v>7.1</v>
      </c>
      <c r="K5193" t="s">
        <v>6100</v>
      </c>
      <c r="L5193" t="s">
        <v>6100</v>
      </c>
      <c r="M5193" t="s">
        <v>6100</v>
      </c>
      <c r="O5193" t="s">
        <v>6101</v>
      </c>
      <c r="P5193" t="s">
        <v>6114</v>
      </c>
      <c r="Q5193">
        <v>8</v>
      </c>
      <c r="R5193">
        <v>2026</v>
      </c>
      <c r="S5193" t="s">
        <v>6099</v>
      </c>
      <c r="T5193">
        <v>1</v>
      </c>
      <c r="U5193" t="s">
        <v>6020</v>
      </c>
      <c r="V5193">
        <v>0</v>
      </c>
    </row>
    <row r="5194" spans="1:22" x14ac:dyDescent="0.3">
      <c r="A5194" t="s">
        <v>5209</v>
      </c>
      <c r="B5194" s="2">
        <v>46257.434027777781</v>
      </c>
      <c r="C5194" s="2">
        <v>46257.992361111108</v>
      </c>
      <c r="D5194" t="s">
        <v>6022</v>
      </c>
      <c r="E5194" t="s">
        <v>6030</v>
      </c>
      <c r="F5194" t="s">
        <v>6034</v>
      </c>
      <c r="G5194" t="s">
        <v>6045</v>
      </c>
      <c r="H5194" t="s">
        <v>6096</v>
      </c>
      <c r="I5194">
        <v>24</v>
      </c>
      <c r="J5194">
        <v>13.4</v>
      </c>
      <c r="K5194" t="s">
        <v>6099</v>
      </c>
      <c r="L5194" t="s">
        <v>6100</v>
      </c>
      <c r="M5194" t="s">
        <v>6100</v>
      </c>
      <c r="O5194" t="s">
        <v>6101</v>
      </c>
      <c r="P5194" t="s">
        <v>6114</v>
      </c>
      <c r="Q5194">
        <v>8</v>
      </c>
      <c r="R5194">
        <v>2026</v>
      </c>
      <c r="S5194" t="s">
        <v>6099</v>
      </c>
      <c r="T5194">
        <v>1</v>
      </c>
      <c r="U5194" t="s">
        <v>6020</v>
      </c>
      <c r="V5194">
        <v>1</v>
      </c>
    </row>
    <row r="5195" spans="1:22" x14ac:dyDescent="0.3">
      <c r="A5195" t="s">
        <v>5210</v>
      </c>
      <c r="B5195" s="2">
        <v>46257.4375</v>
      </c>
      <c r="C5195" s="2">
        <v>46257.89166666667</v>
      </c>
      <c r="D5195" t="s">
        <v>6022</v>
      </c>
      <c r="E5195" t="s">
        <v>6030</v>
      </c>
      <c r="F5195" t="s">
        <v>6033</v>
      </c>
      <c r="G5195" t="s">
        <v>6042</v>
      </c>
      <c r="H5195" t="s">
        <v>6098</v>
      </c>
      <c r="I5195">
        <v>72</v>
      </c>
      <c r="J5195">
        <v>10.9</v>
      </c>
      <c r="K5195" t="s">
        <v>6099</v>
      </c>
      <c r="L5195" t="s">
        <v>6100</v>
      </c>
      <c r="M5195" t="s">
        <v>6100</v>
      </c>
      <c r="N5195">
        <v>5</v>
      </c>
      <c r="O5195" t="s">
        <v>6101</v>
      </c>
      <c r="P5195" t="s">
        <v>6114</v>
      </c>
      <c r="Q5195">
        <v>8</v>
      </c>
      <c r="R5195">
        <v>2026</v>
      </c>
      <c r="S5195" t="s">
        <v>6099</v>
      </c>
      <c r="T5195">
        <v>1</v>
      </c>
      <c r="U5195" t="s">
        <v>6021</v>
      </c>
      <c r="V5195">
        <v>1</v>
      </c>
    </row>
    <row r="5196" spans="1:22" x14ac:dyDescent="0.3">
      <c r="A5196" t="s">
        <v>5211</v>
      </c>
      <c r="B5196" s="2">
        <v>46257.447916666664</v>
      </c>
      <c r="C5196" s="2">
        <v>46258.852083333331</v>
      </c>
      <c r="D5196" t="s">
        <v>6025</v>
      </c>
      <c r="E5196" t="s">
        <v>6031</v>
      </c>
      <c r="F5196" t="s">
        <v>6033</v>
      </c>
      <c r="G5196" t="s">
        <v>6041</v>
      </c>
      <c r="H5196" t="s">
        <v>6096</v>
      </c>
      <c r="I5196">
        <v>72</v>
      </c>
      <c r="J5196">
        <v>33.700000000000003</v>
      </c>
      <c r="K5196" t="s">
        <v>6100</v>
      </c>
      <c r="L5196" t="s">
        <v>6100</v>
      </c>
      <c r="M5196" t="s">
        <v>6100</v>
      </c>
      <c r="N5196">
        <v>5</v>
      </c>
      <c r="O5196" t="s">
        <v>6101</v>
      </c>
      <c r="P5196" t="s">
        <v>6114</v>
      </c>
      <c r="Q5196">
        <v>8</v>
      </c>
      <c r="R5196">
        <v>2026</v>
      </c>
      <c r="S5196" t="s">
        <v>6099</v>
      </c>
      <c r="T5196">
        <v>1</v>
      </c>
      <c r="U5196" t="s">
        <v>6017</v>
      </c>
      <c r="V5196">
        <v>0</v>
      </c>
    </row>
    <row r="5197" spans="1:22" x14ac:dyDescent="0.3">
      <c r="A5197" t="s">
        <v>5212</v>
      </c>
      <c r="B5197" s="2">
        <v>46257.455555555556</v>
      </c>
      <c r="C5197" s="2">
        <v>46261.051388888889</v>
      </c>
      <c r="D5197" t="s">
        <v>6026</v>
      </c>
      <c r="E5197" t="s">
        <v>6031</v>
      </c>
      <c r="F5197" t="s">
        <v>6034</v>
      </c>
      <c r="G5197" t="s">
        <v>6057</v>
      </c>
      <c r="H5197" t="s">
        <v>6097</v>
      </c>
      <c r="I5197">
        <v>24</v>
      </c>
      <c r="J5197">
        <v>86.3</v>
      </c>
      <c r="K5197" t="s">
        <v>6099</v>
      </c>
      <c r="L5197" t="s">
        <v>6100</v>
      </c>
      <c r="M5197" t="s">
        <v>6100</v>
      </c>
      <c r="O5197" t="s">
        <v>6101</v>
      </c>
      <c r="P5197" t="s">
        <v>6114</v>
      </c>
      <c r="Q5197">
        <v>8</v>
      </c>
      <c r="R5197">
        <v>2026</v>
      </c>
      <c r="S5197" t="s">
        <v>6100</v>
      </c>
      <c r="T5197">
        <v>0</v>
      </c>
      <c r="U5197" t="s">
        <v>6019</v>
      </c>
      <c r="V5197">
        <v>1</v>
      </c>
    </row>
    <row r="5198" spans="1:22" x14ac:dyDescent="0.3">
      <c r="A5198" t="s">
        <v>5213</v>
      </c>
      <c r="B5198" s="2">
        <v>46257.51458333333</v>
      </c>
      <c r="C5198" s="2">
        <v>46258.206250000003</v>
      </c>
      <c r="D5198" t="s">
        <v>6025</v>
      </c>
      <c r="E5198" t="s">
        <v>6029</v>
      </c>
      <c r="F5198" t="s">
        <v>6033</v>
      </c>
      <c r="G5198" t="s">
        <v>6047</v>
      </c>
      <c r="H5198" t="s">
        <v>6098</v>
      </c>
      <c r="I5198">
        <v>72</v>
      </c>
      <c r="J5198">
        <v>16.600000000000001</v>
      </c>
      <c r="K5198" t="s">
        <v>6099</v>
      </c>
      <c r="L5198" t="s">
        <v>6100</v>
      </c>
      <c r="M5198" t="s">
        <v>6100</v>
      </c>
      <c r="N5198">
        <v>5</v>
      </c>
      <c r="O5198" t="s">
        <v>6101</v>
      </c>
      <c r="P5198" t="s">
        <v>6114</v>
      </c>
      <c r="Q5198">
        <v>8</v>
      </c>
      <c r="R5198">
        <v>2026</v>
      </c>
      <c r="S5198" t="s">
        <v>6099</v>
      </c>
      <c r="T5198">
        <v>1</v>
      </c>
      <c r="U5198" t="s">
        <v>6018</v>
      </c>
      <c r="V5198">
        <v>1</v>
      </c>
    </row>
    <row r="5199" spans="1:22" x14ac:dyDescent="0.3">
      <c r="A5199" t="s">
        <v>5214</v>
      </c>
      <c r="B5199" s="2">
        <v>46257.552777777775</v>
      </c>
      <c r="C5199" s="2">
        <v>46260.548611111109</v>
      </c>
      <c r="D5199" t="s">
        <v>6022</v>
      </c>
      <c r="E5199" t="s">
        <v>6032</v>
      </c>
      <c r="F5199" t="s">
        <v>6034</v>
      </c>
      <c r="G5199" t="s">
        <v>6036</v>
      </c>
      <c r="H5199" t="s">
        <v>6096</v>
      </c>
      <c r="I5199">
        <v>24</v>
      </c>
      <c r="J5199">
        <v>71.900000000000006</v>
      </c>
      <c r="K5199" t="s">
        <v>6099</v>
      </c>
      <c r="L5199" t="s">
        <v>6100</v>
      </c>
      <c r="M5199" t="s">
        <v>6100</v>
      </c>
      <c r="N5199">
        <v>5</v>
      </c>
      <c r="O5199" t="s">
        <v>6101</v>
      </c>
      <c r="P5199" t="s">
        <v>6114</v>
      </c>
      <c r="Q5199">
        <v>8</v>
      </c>
      <c r="R5199">
        <v>2026</v>
      </c>
      <c r="S5199" t="s">
        <v>6100</v>
      </c>
      <c r="T5199">
        <v>0</v>
      </c>
      <c r="U5199" t="s">
        <v>6020</v>
      </c>
      <c r="V5199">
        <v>1</v>
      </c>
    </row>
    <row r="5200" spans="1:22" x14ac:dyDescent="0.3">
      <c r="A5200" t="s">
        <v>5215</v>
      </c>
      <c r="B5200" s="2">
        <v>46257.614583333336</v>
      </c>
      <c r="C5200" s="2">
        <v>46258.118750000001</v>
      </c>
      <c r="D5200" t="s">
        <v>6028</v>
      </c>
      <c r="E5200" t="s">
        <v>6029</v>
      </c>
      <c r="F5200" t="s">
        <v>6035</v>
      </c>
      <c r="G5200" t="s">
        <v>6059</v>
      </c>
      <c r="H5200" t="s">
        <v>6097</v>
      </c>
      <c r="I5200">
        <v>4</v>
      </c>
      <c r="J5200">
        <v>12.1</v>
      </c>
      <c r="K5200" t="s">
        <v>6099</v>
      </c>
      <c r="L5200" t="s">
        <v>6100</v>
      </c>
      <c r="M5200" t="s">
        <v>6100</v>
      </c>
      <c r="N5200">
        <v>4</v>
      </c>
      <c r="O5200" t="s">
        <v>6101</v>
      </c>
      <c r="P5200" t="s">
        <v>6114</v>
      </c>
      <c r="Q5200">
        <v>8</v>
      </c>
      <c r="R5200">
        <v>2026</v>
      </c>
      <c r="S5200" t="s">
        <v>6100</v>
      </c>
      <c r="T5200">
        <v>0</v>
      </c>
      <c r="U5200" t="s">
        <v>6021</v>
      </c>
      <c r="V5200">
        <v>1</v>
      </c>
    </row>
    <row r="5201" spans="1:22" x14ac:dyDescent="0.3">
      <c r="A5201" t="s">
        <v>5216</v>
      </c>
      <c r="B5201" s="2">
        <v>46257.615277777775</v>
      </c>
      <c r="C5201" s="2">
        <v>46259.62777777778</v>
      </c>
      <c r="D5201" t="s">
        <v>6025</v>
      </c>
      <c r="E5201" t="s">
        <v>6031</v>
      </c>
      <c r="F5201" t="s">
        <v>6034</v>
      </c>
      <c r="G5201" t="s">
        <v>6090</v>
      </c>
      <c r="H5201" t="s">
        <v>6097</v>
      </c>
      <c r="I5201">
        <v>24</v>
      </c>
      <c r="J5201">
        <v>48.3</v>
      </c>
      <c r="K5201" t="s">
        <v>6100</v>
      </c>
      <c r="L5201" t="s">
        <v>6099</v>
      </c>
      <c r="M5201" t="s">
        <v>6100</v>
      </c>
      <c r="N5201">
        <v>3</v>
      </c>
      <c r="O5201" t="s">
        <v>6101</v>
      </c>
      <c r="P5201" t="s">
        <v>6114</v>
      </c>
      <c r="Q5201">
        <v>8</v>
      </c>
      <c r="R5201">
        <v>2026</v>
      </c>
      <c r="S5201" t="s">
        <v>6100</v>
      </c>
      <c r="T5201">
        <v>0</v>
      </c>
      <c r="U5201" t="s">
        <v>6019</v>
      </c>
      <c r="V5201">
        <v>0</v>
      </c>
    </row>
    <row r="5202" spans="1:22" x14ac:dyDescent="0.3">
      <c r="A5202" t="s">
        <v>5217</v>
      </c>
      <c r="B5202" s="2">
        <v>46257.645833333336</v>
      </c>
      <c r="C5202" s="2">
        <v>46258.17083333333</v>
      </c>
      <c r="D5202" t="s">
        <v>6028</v>
      </c>
      <c r="E5202" t="s">
        <v>6029</v>
      </c>
      <c r="F5202" t="s">
        <v>6034</v>
      </c>
      <c r="G5202" t="s">
        <v>6049</v>
      </c>
      <c r="H5202" t="s">
        <v>6097</v>
      </c>
      <c r="I5202">
        <v>24</v>
      </c>
      <c r="J5202">
        <v>12.6</v>
      </c>
      <c r="K5202" t="s">
        <v>6100</v>
      </c>
      <c r="L5202" t="s">
        <v>6099</v>
      </c>
      <c r="M5202" t="s">
        <v>6100</v>
      </c>
      <c r="N5202">
        <v>3</v>
      </c>
      <c r="O5202" t="s">
        <v>6101</v>
      </c>
      <c r="P5202" t="s">
        <v>6114</v>
      </c>
      <c r="Q5202">
        <v>8</v>
      </c>
      <c r="R5202">
        <v>2026</v>
      </c>
      <c r="S5202" t="s">
        <v>6099</v>
      </c>
      <c r="T5202">
        <v>1</v>
      </c>
      <c r="U5202" t="s">
        <v>6020</v>
      </c>
      <c r="V5202">
        <v>0</v>
      </c>
    </row>
    <row r="5203" spans="1:22" x14ac:dyDescent="0.3">
      <c r="A5203" t="s">
        <v>5218</v>
      </c>
      <c r="B5203" s="2">
        <v>46257.662499999999</v>
      </c>
      <c r="C5203" s="2">
        <v>46258.020833333336</v>
      </c>
      <c r="D5203" t="s">
        <v>6028</v>
      </c>
      <c r="E5203" t="s">
        <v>6029</v>
      </c>
      <c r="F5203" t="s">
        <v>6035</v>
      </c>
      <c r="G5203" t="s">
        <v>6084</v>
      </c>
      <c r="H5203" t="s">
        <v>6098</v>
      </c>
      <c r="I5203">
        <v>4</v>
      </c>
      <c r="J5203">
        <v>8.6</v>
      </c>
      <c r="K5203" t="s">
        <v>6099</v>
      </c>
      <c r="L5203" t="s">
        <v>6100</v>
      </c>
      <c r="M5203" t="s">
        <v>6100</v>
      </c>
      <c r="O5203" t="s">
        <v>6101</v>
      </c>
      <c r="P5203" t="s">
        <v>6114</v>
      </c>
      <c r="Q5203">
        <v>8</v>
      </c>
      <c r="R5203">
        <v>2026</v>
      </c>
      <c r="S5203" t="s">
        <v>6100</v>
      </c>
      <c r="T5203">
        <v>0</v>
      </c>
      <c r="U5203" t="s">
        <v>6018</v>
      </c>
      <c r="V5203">
        <v>1</v>
      </c>
    </row>
    <row r="5204" spans="1:22" x14ac:dyDescent="0.3">
      <c r="A5204" t="s">
        <v>5219</v>
      </c>
      <c r="B5204" s="2">
        <v>46257.667361111111</v>
      </c>
      <c r="C5204" s="2">
        <v>46257.775694444441</v>
      </c>
      <c r="D5204" t="s">
        <v>6028</v>
      </c>
      <c r="E5204" t="s">
        <v>6029</v>
      </c>
      <c r="F5204" t="s">
        <v>6034</v>
      </c>
      <c r="G5204" t="s">
        <v>6077</v>
      </c>
      <c r="H5204" t="s">
        <v>6098</v>
      </c>
      <c r="I5204">
        <v>24</v>
      </c>
      <c r="J5204">
        <v>2.6</v>
      </c>
      <c r="K5204" t="s">
        <v>6099</v>
      </c>
      <c r="L5204" t="s">
        <v>6100</v>
      </c>
      <c r="M5204" t="s">
        <v>6100</v>
      </c>
      <c r="O5204" t="s">
        <v>6101</v>
      </c>
      <c r="P5204" t="s">
        <v>6114</v>
      </c>
      <c r="Q5204">
        <v>8</v>
      </c>
      <c r="R5204">
        <v>2026</v>
      </c>
      <c r="S5204" t="s">
        <v>6099</v>
      </c>
      <c r="T5204">
        <v>1</v>
      </c>
      <c r="U5204" t="s">
        <v>6017</v>
      </c>
      <c r="V5204">
        <v>1</v>
      </c>
    </row>
    <row r="5205" spans="1:22" x14ac:dyDescent="0.3">
      <c r="A5205" t="s">
        <v>5220</v>
      </c>
      <c r="B5205" s="2">
        <v>46257.675694444442</v>
      </c>
      <c r="C5205" s="2">
        <v>46262.575694444444</v>
      </c>
      <c r="D5205" t="s">
        <v>6026</v>
      </c>
      <c r="E5205" t="s">
        <v>6031</v>
      </c>
      <c r="F5205" t="s">
        <v>6033</v>
      </c>
      <c r="G5205" t="s">
        <v>6066</v>
      </c>
      <c r="H5205" t="s">
        <v>6096</v>
      </c>
      <c r="I5205">
        <v>72</v>
      </c>
      <c r="J5205">
        <v>117.6</v>
      </c>
      <c r="K5205" t="s">
        <v>6099</v>
      </c>
      <c r="L5205" t="s">
        <v>6100</v>
      </c>
      <c r="M5205" t="s">
        <v>6100</v>
      </c>
      <c r="N5205">
        <v>4</v>
      </c>
      <c r="O5205" t="s">
        <v>6101</v>
      </c>
      <c r="P5205" t="s">
        <v>6114</v>
      </c>
      <c r="Q5205">
        <v>8</v>
      </c>
      <c r="R5205">
        <v>2026</v>
      </c>
      <c r="S5205" t="s">
        <v>6100</v>
      </c>
      <c r="T5205">
        <v>0</v>
      </c>
      <c r="U5205" t="s">
        <v>6021</v>
      </c>
      <c r="V5205">
        <v>1</v>
      </c>
    </row>
    <row r="5206" spans="1:22" x14ac:dyDescent="0.3">
      <c r="A5206" t="s">
        <v>5221</v>
      </c>
      <c r="B5206" s="2">
        <v>46257.693055555559</v>
      </c>
      <c r="C5206" s="2">
        <v>46257.968055555553</v>
      </c>
      <c r="D5206" t="s">
        <v>6028</v>
      </c>
      <c r="E5206" t="s">
        <v>6030</v>
      </c>
      <c r="F5206" t="s">
        <v>6035</v>
      </c>
      <c r="G5206" t="s">
        <v>6056</v>
      </c>
      <c r="H5206" t="s">
        <v>6098</v>
      </c>
      <c r="I5206">
        <v>4</v>
      </c>
      <c r="J5206">
        <v>6.6</v>
      </c>
      <c r="K5206" t="s">
        <v>6099</v>
      </c>
      <c r="L5206" t="s">
        <v>6100</v>
      </c>
      <c r="M5206" t="s">
        <v>6099</v>
      </c>
      <c r="N5206">
        <v>3</v>
      </c>
      <c r="O5206" t="s">
        <v>6101</v>
      </c>
      <c r="P5206" t="s">
        <v>6114</v>
      </c>
      <c r="Q5206">
        <v>8</v>
      </c>
      <c r="R5206">
        <v>2026</v>
      </c>
      <c r="S5206" t="s">
        <v>6100</v>
      </c>
      <c r="T5206">
        <v>0</v>
      </c>
      <c r="U5206" t="s">
        <v>6021</v>
      </c>
      <c r="V5206">
        <v>1</v>
      </c>
    </row>
    <row r="5207" spans="1:22" x14ac:dyDescent="0.3">
      <c r="A5207" t="s">
        <v>5222</v>
      </c>
      <c r="B5207" s="2">
        <v>46257.746527777781</v>
      </c>
      <c r="C5207" s="2">
        <v>46260.429861111108</v>
      </c>
      <c r="D5207" t="s">
        <v>6022</v>
      </c>
      <c r="E5207" t="s">
        <v>6032</v>
      </c>
      <c r="F5207" t="s">
        <v>6033</v>
      </c>
      <c r="G5207" t="s">
        <v>6079</v>
      </c>
      <c r="H5207" t="s">
        <v>6097</v>
      </c>
      <c r="I5207">
        <v>72</v>
      </c>
      <c r="J5207">
        <v>64.400000000000006</v>
      </c>
      <c r="K5207" t="s">
        <v>6099</v>
      </c>
      <c r="L5207" t="s">
        <v>6100</v>
      </c>
      <c r="M5207" t="s">
        <v>6100</v>
      </c>
      <c r="O5207" t="s">
        <v>6101</v>
      </c>
      <c r="P5207" t="s">
        <v>6114</v>
      </c>
      <c r="Q5207">
        <v>8</v>
      </c>
      <c r="R5207">
        <v>2026</v>
      </c>
      <c r="S5207" t="s">
        <v>6099</v>
      </c>
      <c r="T5207">
        <v>1</v>
      </c>
      <c r="U5207" t="s">
        <v>6021</v>
      </c>
      <c r="V5207">
        <v>1</v>
      </c>
    </row>
    <row r="5208" spans="1:22" x14ac:dyDescent="0.3">
      <c r="A5208" t="s">
        <v>5223</v>
      </c>
      <c r="B5208" s="2">
        <v>46257.79583333333</v>
      </c>
      <c r="C5208" s="2">
        <v>46261.133333333331</v>
      </c>
      <c r="D5208" t="s">
        <v>6025</v>
      </c>
      <c r="E5208" t="s">
        <v>6032</v>
      </c>
      <c r="F5208" t="s">
        <v>6034</v>
      </c>
      <c r="G5208" t="s">
        <v>6095</v>
      </c>
      <c r="H5208" t="s">
        <v>6098</v>
      </c>
      <c r="I5208">
        <v>24</v>
      </c>
      <c r="J5208">
        <v>80.099999999999994</v>
      </c>
      <c r="K5208" t="s">
        <v>6099</v>
      </c>
      <c r="L5208" t="s">
        <v>6100</v>
      </c>
      <c r="M5208" t="s">
        <v>6100</v>
      </c>
      <c r="N5208">
        <v>4</v>
      </c>
      <c r="O5208" t="s">
        <v>6101</v>
      </c>
      <c r="P5208" t="s">
        <v>6114</v>
      </c>
      <c r="Q5208">
        <v>8</v>
      </c>
      <c r="R5208">
        <v>2026</v>
      </c>
      <c r="S5208" t="s">
        <v>6100</v>
      </c>
      <c r="T5208">
        <v>0</v>
      </c>
      <c r="U5208" t="s">
        <v>6019</v>
      </c>
      <c r="V5208">
        <v>1</v>
      </c>
    </row>
    <row r="5209" spans="1:22" x14ac:dyDescent="0.3">
      <c r="A5209" t="s">
        <v>5224</v>
      </c>
      <c r="B5209" s="2">
        <v>46257.909722222219</v>
      </c>
      <c r="C5209" s="2">
        <v>46260.643055555556</v>
      </c>
      <c r="D5209" t="s">
        <v>6026</v>
      </c>
      <c r="E5209" t="s">
        <v>6031</v>
      </c>
      <c r="F5209" t="s">
        <v>6034</v>
      </c>
      <c r="G5209" t="s">
        <v>6072</v>
      </c>
      <c r="H5209" t="s">
        <v>6097</v>
      </c>
      <c r="I5209">
        <v>24</v>
      </c>
      <c r="J5209">
        <v>65.599999999999994</v>
      </c>
      <c r="K5209" t="s">
        <v>6099</v>
      </c>
      <c r="L5209" t="s">
        <v>6100</v>
      </c>
      <c r="M5209" t="s">
        <v>6100</v>
      </c>
      <c r="O5209" t="s">
        <v>6101</v>
      </c>
      <c r="P5209" t="s">
        <v>6114</v>
      </c>
      <c r="Q5209">
        <v>8</v>
      </c>
      <c r="R5209">
        <v>2026</v>
      </c>
      <c r="S5209" t="s">
        <v>6100</v>
      </c>
      <c r="T5209">
        <v>0</v>
      </c>
      <c r="U5209" t="s">
        <v>6018</v>
      </c>
      <c r="V5209">
        <v>1</v>
      </c>
    </row>
    <row r="5210" spans="1:22" x14ac:dyDescent="0.3">
      <c r="A5210" t="s">
        <v>5225</v>
      </c>
      <c r="B5210" s="2">
        <v>46257.961111111108</v>
      </c>
      <c r="C5210" s="2">
        <v>46264.936111111114</v>
      </c>
      <c r="D5210" t="s">
        <v>6026</v>
      </c>
      <c r="E5210" t="s">
        <v>6031</v>
      </c>
      <c r="F5210" t="s">
        <v>6033</v>
      </c>
      <c r="G5210" t="s">
        <v>6092</v>
      </c>
      <c r="H5210" t="s">
        <v>6097</v>
      </c>
      <c r="I5210">
        <v>72</v>
      </c>
      <c r="J5210">
        <v>167.4</v>
      </c>
      <c r="K5210" t="s">
        <v>6099</v>
      </c>
      <c r="L5210" t="s">
        <v>6100</v>
      </c>
      <c r="M5210" t="s">
        <v>6100</v>
      </c>
      <c r="O5210" t="s">
        <v>6101</v>
      </c>
      <c r="P5210" t="s">
        <v>6114</v>
      </c>
      <c r="Q5210">
        <v>8</v>
      </c>
      <c r="R5210">
        <v>2026</v>
      </c>
      <c r="S5210" t="s">
        <v>6100</v>
      </c>
      <c r="T5210">
        <v>0</v>
      </c>
      <c r="U5210" t="s">
        <v>6017</v>
      </c>
      <c r="V5210">
        <v>1</v>
      </c>
    </row>
    <row r="5211" spans="1:22" x14ac:dyDescent="0.3">
      <c r="A5211" t="s">
        <v>5226</v>
      </c>
      <c r="B5211" s="2">
        <v>46258.241666666669</v>
      </c>
      <c r="C5211" s="2">
        <v>46259.304166666669</v>
      </c>
      <c r="D5211" t="s">
        <v>6022</v>
      </c>
      <c r="E5211" t="s">
        <v>6032</v>
      </c>
      <c r="F5211" t="s">
        <v>6035</v>
      </c>
      <c r="G5211" t="s">
        <v>6041</v>
      </c>
      <c r="H5211" t="s">
        <v>6096</v>
      </c>
      <c r="I5211">
        <v>4</v>
      </c>
      <c r="J5211">
        <v>25.5</v>
      </c>
      <c r="K5211" t="s">
        <v>6099</v>
      </c>
      <c r="L5211" t="s">
        <v>6100</v>
      </c>
      <c r="M5211" t="s">
        <v>6099</v>
      </c>
      <c r="N5211">
        <v>4</v>
      </c>
      <c r="O5211" t="s">
        <v>6101</v>
      </c>
      <c r="P5211" t="s">
        <v>6114</v>
      </c>
      <c r="Q5211">
        <v>8</v>
      </c>
      <c r="R5211">
        <v>2026</v>
      </c>
      <c r="S5211" t="s">
        <v>6100</v>
      </c>
      <c r="T5211">
        <v>0</v>
      </c>
      <c r="U5211" t="s">
        <v>6021</v>
      </c>
      <c r="V5211">
        <v>1</v>
      </c>
    </row>
    <row r="5212" spans="1:22" x14ac:dyDescent="0.3">
      <c r="A5212" t="s">
        <v>5227</v>
      </c>
      <c r="B5212" s="2">
        <v>46258.261805555558</v>
      </c>
      <c r="C5212" s="2">
        <v>46258.620138888888</v>
      </c>
      <c r="D5212" t="s">
        <v>6022</v>
      </c>
      <c r="E5212" t="s">
        <v>6029</v>
      </c>
      <c r="F5212" t="s">
        <v>6033</v>
      </c>
      <c r="G5212" t="s">
        <v>6078</v>
      </c>
      <c r="H5212" t="s">
        <v>6097</v>
      </c>
      <c r="I5212">
        <v>72</v>
      </c>
      <c r="J5212">
        <v>8.6</v>
      </c>
      <c r="K5212" t="s">
        <v>6099</v>
      </c>
      <c r="L5212" t="s">
        <v>6100</v>
      </c>
      <c r="M5212" t="s">
        <v>6100</v>
      </c>
      <c r="O5212" t="s">
        <v>6101</v>
      </c>
      <c r="P5212" t="s">
        <v>6114</v>
      </c>
      <c r="Q5212">
        <v>8</v>
      </c>
      <c r="R5212">
        <v>2026</v>
      </c>
      <c r="S5212" t="s">
        <v>6099</v>
      </c>
      <c r="T5212">
        <v>1</v>
      </c>
      <c r="U5212" t="s">
        <v>6020</v>
      </c>
      <c r="V5212">
        <v>1</v>
      </c>
    </row>
    <row r="5213" spans="1:22" x14ac:dyDescent="0.3">
      <c r="A5213" t="s">
        <v>5228</v>
      </c>
      <c r="B5213" s="2">
        <v>46258.284722222219</v>
      </c>
      <c r="C5213" s="2">
        <v>46259.868055555555</v>
      </c>
      <c r="D5213" t="s">
        <v>6022</v>
      </c>
      <c r="E5213" t="s">
        <v>6032</v>
      </c>
      <c r="F5213" t="s">
        <v>6033</v>
      </c>
      <c r="G5213" t="s">
        <v>6037</v>
      </c>
      <c r="H5213" t="s">
        <v>6096</v>
      </c>
      <c r="I5213">
        <v>72</v>
      </c>
      <c r="J5213">
        <v>38</v>
      </c>
      <c r="K5213" t="s">
        <v>6100</v>
      </c>
      <c r="L5213" t="s">
        <v>6099</v>
      </c>
      <c r="M5213" t="s">
        <v>6100</v>
      </c>
      <c r="O5213" t="s">
        <v>6101</v>
      </c>
      <c r="P5213" t="s">
        <v>6114</v>
      </c>
      <c r="Q5213">
        <v>8</v>
      </c>
      <c r="R5213">
        <v>2026</v>
      </c>
      <c r="S5213" t="s">
        <v>6099</v>
      </c>
      <c r="T5213">
        <v>1</v>
      </c>
      <c r="U5213" t="s">
        <v>6021</v>
      </c>
      <c r="V5213">
        <v>0</v>
      </c>
    </row>
    <row r="5214" spans="1:22" x14ac:dyDescent="0.3">
      <c r="A5214" t="s">
        <v>5229</v>
      </c>
      <c r="B5214" s="2">
        <v>46258.334027777775</v>
      </c>
      <c r="C5214" s="2">
        <v>46258.492361111108</v>
      </c>
      <c r="D5214" t="s">
        <v>6023</v>
      </c>
      <c r="E5214" t="s">
        <v>6029</v>
      </c>
      <c r="F5214" t="s">
        <v>6033</v>
      </c>
      <c r="G5214" t="s">
        <v>6093</v>
      </c>
      <c r="H5214" t="s">
        <v>6097</v>
      </c>
      <c r="I5214">
        <v>72</v>
      </c>
      <c r="J5214">
        <v>3.8</v>
      </c>
      <c r="K5214" t="s">
        <v>6100</v>
      </c>
      <c r="L5214" t="s">
        <v>6099</v>
      </c>
      <c r="M5214" t="s">
        <v>6100</v>
      </c>
      <c r="N5214">
        <v>4</v>
      </c>
      <c r="O5214" t="s">
        <v>6101</v>
      </c>
      <c r="P5214" t="s">
        <v>6114</v>
      </c>
      <c r="Q5214">
        <v>8</v>
      </c>
      <c r="R5214">
        <v>2026</v>
      </c>
      <c r="S5214" t="s">
        <v>6099</v>
      </c>
      <c r="T5214">
        <v>1</v>
      </c>
      <c r="U5214" t="s">
        <v>6017</v>
      </c>
      <c r="V5214">
        <v>0</v>
      </c>
    </row>
    <row r="5215" spans="1:22" x14ac:dyDescent="0.3">
      <c r="A5215" t="s">
        <v>5230</v>
      </c>
      <c r="B5215" s="2">
        <v>46258.464583333334</v>
      </c>
      <c r="C5215" s="2">
        <v>46258.63958333333</v>
      </c>
      <c r="D5215" t="s">
        <v>6024</v>
      </c>
      <c r="E5215" t="s">
        <v>6030</v>
      </c>
      <c r="F5215" t="s">
        <v>6034</v>
      </c>
      <c r="G5215" t="s">
        <v>6071</v>
      </c>
      <c r="H5215" t="s">
        <v>6098</v>
      </c>
      <c r="I5215">
        <v>24</v>
      </c>
      <c r="J5215">
        <v>4.2</v>
      </c>
      <c r="K5215" t="s">
        <v>6100</v>
      </c>
      <c r="L5215" t="s">
        <v>6100</v>
      </c>
      <c r="M5215" t="s">
        <v>6100</v>
      </c>
      <c r="O5215" t="s">
        <v>6101</v>
      </c>
      <c r="P5215" t="s">
        <v>6114</v>
      </c>
      <c r="Q5215">
        <v>8</v>
      </c>
      <c r="R5215">
        <v>2026</v>
      </c>
      <c r="S5215" t="s">
        <v>6099</v>
      </c>
      <c r="T5215">
        <v>1</v>
      </c>
      <c r="U5215" t="s">
        <v>6019</v>
      </c>
      <c r="V5215">
        <v>0</v>
      </c>
    </row>
    <row r="5216" spans="1:22" x14ac:dyDescent="0.3">
      <c r="A5216" t="s">
        <v>5231</v>
      </c>
      <c r="B5216" s="2">
        <v>46258.46597222222</v>
      </c>
      <c r="C5216" s="2">
        <v>46259.645138888889</v>
      </c>
      <c r="D5216" t="s">
        <v>6022</v>
      </c>
      <c r="E5216" t="s">
        <v>6031</v>
      </c>
      <c r="F5216" t="s">
        <v>6034</v>
      </c>
      <c r="G5216" t="s">
        <v>6064</v>
      </c>
      <c r="H5216" t="s">
        <v>6096</v>
      </c>
      <c r="I5216">
        <v>24</v>
      </c>
      <c r="J5216">
        <v>28.3</v>
      </c>
      <c r="K5216" t="s">
        <v>6099</v>
      </c>
      <c r="L5216" t="s">
        <v>6100</v>
      </c>
      <c r="M5216" t="s">
        <v>6099</v>
      </c>
      <c r="N5216">
        <v>5</v>
      </c>
      <c r="O5216" t="s">
        <v>6101</v>
      </c>
      <c r="P5216" t="s">
        <v>6114</v>
      </c>
      <c r="Q5216">
        <v>8</v>
      </c>
      <c r="R5216">
        <v>2026</v>
      </c>
      <c r="S5216" t="s">
        <v>6100</v>
      </c>
      <c r="T5216">
        <v>0</v>
      </c>
      <c r="U5216" t="s">
        <v>6020</v>
      </c>
      <c r="V5216">
        <v>1</v>
      </c>
    </row>
    <row r="5217" spans="1:22" x14ac:dyDescent="0.3">
      <c r="A5217" t="s">
        <v>5232</v>
      </c>
      <c r="B5217" s="2">
        <v>46258.510416666664</v>
      </c>
      <c r="C5217" s="2">
        <v>46259.160416666666</v>
      </c>
      <c r="D5217" t="s">
        <v>6027</v>
      </c>
      <c r="E5217" t="s">
        <v>6031</v>
      </c>
      <c r="F5217" t="s">
        <v>6034</v>
      </c>
      <c r="G5217" t="s">
        <v>6084</v>
      </c>
      <c r="H5217" t="s">
        <v>6098</v>
      </c>
      <c r="I5217">
        <v>24</v>
      </c>
      <c r="J5217">
        <v>15.6</v>
      </c>
      <c r="K5217" t="s">
        <v>6099</v>
      </c>
      <c r="L5217" t="s">
        <v>6100</v>
      </c>
      <c r="M5217" t="s">
        <v>6100</v>
      </c>
      <c r="N5217">
        <v>4</v>
      </c>
      <c r="O5217" t="s">
        <v>6101</v>
      </c>
      <c r="P5217" t="s">
        <v>6114</v>
      </c>
      <c r="Q5217">
        <v>8</v>
      </c>
      <c r="R5217">
        <v>2026</v>
      </c>
      <c r="S5217" t="s">
        <v>6099</v>
      </c>
      <c r="T5217">
        <v>1</v>
      </c>
      <c r="U5217" t="s">
        <v>6021</v>
      </c>
      <c r="V5217">
        <v>1</v>
      </c>
    </row>
    <row r="5218" spans="1:22" x14ac:dyDescent="0.3">
      <c r="A5218" t="s">
        <v>5233</v>
      </c>
      <c r="B5218" s="2">
        <v>46258.521527777775</v>
      </c>
      <c r="C5218" s="2">
        <v>46258.78402777778</v>
      </c>
      <c r="D5218" t="s">
        <v>6023</v>
      </c>
      <c r="E5218" t="s">
        <v>6029</v>
      </c>
      <c r="F5218" t="s">
        <v>6033</v>
      </c>
      <c r="G5218" t="s">
        <v>6089</v>
      </c>
      <c r="H5218" t="s">
        <v>6098</v>
      </c>
      <c r="I5218">
        <v>72</v>
      </c>
      <c r="J5218">
        <v>6.3</v>
      </c>
      <c r="K5218" t="s">
        <v>6099</v>
      </c>
      <c r="L5218" t="s">
        <v>6100</v>
      </c>
      <c r="M5218" t="s">
        <v>6100</v>
      </c>
      <c r="O5218" t="s">
        <v>6101</v>
      </c>
      <c r="P5218" t="s">
        <v>6114</v>
      </c>
      <c r="Q5218">
        <v>8</v>
      </c>
      <c r="R5218">
        <v>2026</v>
      </c>
      <c r="S5218" t="s">
        <v>6099</v>
      </c>
      <c r="T5218">
        <v>1</v>
      </c>
      <c r="U5218" t="s">
        <v>6019</v>
      </c>
      <c r="V5218">
        <v>1</v>
      </c>
    </row>
    <row r="5219" spans="1:22" x14ac:dyDescent="0.3">
      <c r="A5219" t="s">
        <v>5234</v>
      </c>
      <c r="B5219" s="2">
        <v>46258.527777777781</v>
      </c>
      <c r="C5219" s="2">
        <v>46258.594444444447</v>
      </c>
      <c r="D5219" t="s">
        <v>6028</v>
      </c>
      <c r="E5219" t="s">
        <v>6029</v>
      </c>
      <c r="F5219" t="s">
        <v>6034</v>
      </c>
      <c r="G5219" t="s">
        <v>6044</v>
      </c>
      <c r="H5219" t="s">
        <v>6097</v>
      </c>
      <c r="I5219">
        <v>24</v>
      </c>
      <c r="J5219">
        <v>1.6</v>
      </c>
      <c r="K5219" t="s">
        <v>6099</v>
      </c>
      <c r="L5219" t="s">
        <v>6100</v>
      </c>
      <c r="M5219" t="s">
        <v>6100</v>
      </c>
      <c r="N5219">
        <v>5</v>
      </c>
      <c r="O5219" t="s">
        <v>6101</v>
      </c>
      <c r="P5219" t="s">
        <v>6114</v>
      </c>
      <c r="Q5219">
        <v>8</v>
      </c>
      <c r="R5219">
        <v>2026</v>
      </c>
      <c r="S5219" t="s">
        <v>6099</v>
      </c>
      <c r="T5219">
        <v>1</v>
      </c>
      <c r="U5219" t="s">
        <v>6018</v>
      </c>
      <c r="V5219">
        <v>1</v>
      </c>
    </row>
    <row r="5220" spans="1:22" x14ac:dyDescent="0.3">
      <c r="A5220" t="s">
        <v>5235</v>
      </c>
      <c r="B5220" s="2">
        <v>46258.547222222223</v>
      </c>
      <c r="C5220" s="2">
        <v>46271.218055555553</v>
      </c>
      <c r="D5220" t="s">
        <v>6026</v>
      </c>
      <c r="E5220" t="s">
        <v>6031</v>
      </c>
      <c r="F5220" t="s">
        <v>6034</v>
      </c>
      <c r="G5220" t="s">
        <v>6036</v>
      </c>
      <c r="H5220" t="s">
        <v>6096</v>
      </c>
      <c r="I5220">
        <v>24</v>
      </c>
      <c r="J5220">
        <v>304.10000000000002</v>
      </c>
      <c r="K5220" t="s">
        <v>6099</v>
      </c>
      <c r="L5220" t="s">
        <v>6100</v>
      </c>
      <c r="M5220" t="s">
        <v>6100</v>
      </c>
      <c r="N5220">
        <v>4</v>
      </c>
      <c r="O5220" t="s">
        <v>6101</v>
      </c>
      <c r="P5220" t="s">
        <v>6114</v>
      </c>
      <c r="Q5220">
        <v>8</v>
      </c>
      <c r="R5220">
        <v>2026</v>
      </c>
      <c r="S5220" t="s">
        <v>6100</v>
      </c>
      <c r="T5220">
        <v>0</v>
      </c>
      <c r="U5220" t="s">
        <v>6018</v>
      </c>
      <c r="V5220">
        <v>1</v>
      </c>
    </row>
    <row r="5221" spans="1:22" x14ac:dyDescent="0.3">
      <c r="A5221" t="s">
        <v>5236</v>
      </c>
      <c r="B5221" s="2">
        <v>46258.566666666666</v>
      </c>
      <c r="C5221" s="2">
        <v>46258.683333333334</v>
      </c>
      <c r="D5221" t="s">
        <v>6028</v>
      </c>
      <c r="E5221" t="s">
        <v>6029</v>
      </c>
      <c r="F5221" t="s">
        <v>6035</v>
      </c>
      <c r="G5221" t="s">
        <v>6050</v>
      </c>
      <c r="H5221" t="s">
        <v>6098</v>
      </c>
      <c r="I5221">
        <v>4</v>
      </c>
      <c r="J5221">
        <v>2.8</v>
      </c>
      <c r="K5221" t="s">
        <v>6100</v>
      </c>
      <c r="L5221" t="s">
        <v>6099</v>
      </c>
      <c r="M5221" t="s">
        <v>6099</v>
      </c>
      <c r="N5221">
        <v>2</v>
      </c>
      <c r="O5221" t="s">
        <v>6101</v>
      </c>
      <c r="P5221" t="s">
        <v>6114</v>
      </c>
      <c r="Q5221">
        <v>8</v>
      </c>
      <c r="R5221">
        <v>2026</v>
      </c>
      <c r="S5221" t="s">
        <v>6099</v>
      </c>
      <c r="T5221">
        <v>1</v>
      </c>
      <c r="U5221" t="s">
        <v>6019</v>
      </c>
      <c r="V5221">
        <v>0</v>
      </c>
    </row>
    <row r="5222" spans="1:22" x14ac:dyDescent="0.3">
      <c r="A5222" t="s">
        <v>5237</v>
      </c>
      <c r="B5222" s="2">
        <v>46258.634722222225</v>
      </c>
      <c r="C5222" s="2">
        <v>46260.118055555555</v>
      </c>
      <c r="D5222" t="s">
        <v>6026</v>
      </c>
      <c r="E5222" t="s">
        <v>6029</v>
      </c>
      <c r="F5222" t="s">
        <v>6034</v>
      </c>
      <c r="G5222" t="s">
        <v>6076</v>
      </c>
      <c r="H5222" t="s">
        <v>6097</v>
      </c>
      <c r="I5222">
        <v>24</v>
      </c>
      <c r="J5222">
        <v>35.6</v>
      </c>
      <c r="K5222" t="s">
        <v>6100</v>
      </c>
      <c r="L5222" t="s">
        <v>6099</v>
      </c>
      <c r="M5222" t="s">
        <v>6100</v>
      </c>
      <c r="N5222">
        <v>3</v>
      </c>
      <c r="O5222" t="s">
        <v>6101</v>
      </c>
      <c r="P5222" t="s">
        <v>6114</v>
      </c>
      <c r="Q5222">
        <v>8</v>
      </c>
      <c r="R5222">
        <v>2026</v>
      </c>
      <c r="S5222" t="s">
        <v>6100</v>
      </c>
      <c r="T5222">
        <v>0</v>
      </c>
      <c r="U5222" t="s">
        <v>6019</v>
      </c>
      <c r="V5222">
        <v>0</v>
      </c>
    </row>
    <row r="5223" spans="1:22" x14ac:dyDescent="0.3">
      <c r="A5223" t="s">
        <v>5238</v>
      </c>
      <c r="B5223" s="2">
        <v>46258.65</v>
      </c>
      <c r="C5223" s="2">
        <v>46259.212500000001</v>
      </c>
      <c r="D5223" t="s">
        <v>6027</v>
      </c>
      <c r="E5223" t="s">
        <v>6029</v>
      </c>
      <c r="F5223" t="s">
        <v>6034</v>
      </c>
      <c r="G5223" t="s">
        <v>6072</v>
      </c>
      <c r="H5223" t="s">
        <v>6097</v>
      </c>
      <c r="I5223">
        <v>24</v>
      </c>
      <c r="J5223">
        <v>13.5</v>
      </c>
      <c r="K5223" t="s">
        <v>6100</v>
      </c>
      <c r="L5223" t="s">
        <v>6099</v>
      </c>
      <c r="M5223" t="s">
        <v>6100</v>
      </c>
      <c r="N5223">
        <v>4</v>
      </c>
      <c r="O5223" t="s">
        <v>6101</v>
      </c>
      <c r="P5223" t="s">
        <v>6114</v>
      </c>
      <c r="Q5223">
        <v>8</v>
      </c>
      <c r="R5223">
        <v>2026</v>
      </c>
      <c r="S5223" t="s">
        <v>6099</v>
      </c>
      <c r="T5223">
        <v>1</v>
      </c>
      <c r="U5223" t="s">
        <v>6019</v>
      </c>
      <c r="V5223">
        <v>0</v>
      </c>
    </row>
    <row r="5224" spans="1:22" x14ac:dyDescent="0.3">
      <c r="A5224" t="s">
        <v>5239</v>
      </c>
      <c r="B5224" s="2">
        <v>46258.695833333331</v>
      </c>
      <c r="C5224" s="2">
        <v>46261.970833333333</v>
      </c>
      <c r="D5224" t="s">
        <v>6025</v>
      </c>
      <c r="E5224" t="s">
        <v>6031</v>
      </c>
      <c r="F5224" t="s">
        <v>6035</v>
      </c>
      <c r="G5224" t="s">
        <v>6095</v>
      </c>
      <c r="H5224" t="s">
        <v>6098</v>
      </c>
      <c r="I5224">
        <v>4</v>
      </c>
      <c r="J5224">
        <v>78.599999999999994</v>
      </c>
      <c r="K5224" t="s">
        <v>6100</v>
      </c>
      <c r="L5224" t="s">
        <v>6099</v>
      </c>
      <c r="M5224" t="s">
        <v>6099</v>
      </c>
      <c r="O5224" t="s">
        <v>6101</v>
      </c>
      <c r="P5224" t="s">
        <v>6114</v>
      </c>
      <c r="Q5224">
        <v>8</v>
      </c>
      <c r="R5224">
        <v>2026</v>
      </c>
      <c r="S5224" t="s">
        <v>6100</v>
      </c>
      <c r="T5224">
        <v>0</v>
      </c>
      <c r="U5224" t="s">
        <v>6021</v>
      </c>
      <c r="V5224">
        <v>0</v>
      </c>
    </row>
    <row r="5225" spans="1:22" x14ac:dyDescent="0.3">
      <c r="A5225" t="s">
        <v>5240</v>
      </c>
      <c r="B5225" s="2">
        <v>46258.719444444447</v>
      </c>
      <c r="C5225" s="2">
        <v>46259.036111111112</v>
      </c>
      <c r="D5225" t="s">
        <v>6028</v>
      </c>
      <c r="E5225" t="s">
        <v>6030</v>
      </c>
      <c r="F5225" t="s">
        <v>6034</v>
      </c>
      <c r="G5225" t="s">
        <v>6054</v>
      </c>
      <c r="H5225" t="s">
        <v>6096</v>
      </c>
      <c r="I5225">
        <v>24</v>
      </c>
      <c r="J5225">
        <v>7.6</v>
      </c>
      <c r="K5225" t="s">
        <v>6099</v>
      </c>
      <c r="L5225" t="s">
        <v>6100</v>
      </c>
      <c r="M5225" t="s">
        <v>6100</v>
      </c>
      <c r="N5225">
        <v>5</v>
      </c>
      <c r="O5225" t="s">
        <v>6101</v>
      </c>
      <c r="P5225" t="s">
        <v>6114</v>
      </c>
      <c r="Q5225">
        <v>8</v>
      </c>
      <c r="R5225">
        <v>2026</v>
      </c>
      <c r="S5225" t="s">
        <v>6099</v>
      </c>
      <c r="T5225">
        <v>1</v>
      </c>
      <c r="U5225" t="s">
        <v>6021</v>
      </c>
      <c r="V5225">
        <v>1</v>
      </c>
    </row>
    <row r="5226" spans="1:22" x14ac:dyDescent="0.3">
      <c r="A5226" t="s">
        <v>5241</v>
      </c>
      <c r="B5226" s="2">
        <v>46258.751388888886</v>
      </c>
      <c r="C5226" s="2">
        <v>46258.80972222222</v>
      </c>
      <c r="D5226" t="s">
        <v>6023</v>
      </c>
      <c r="E5226" t="s">
        <v>6030</v>
      </c>
      <c r="F5226" t="s">
        <v>6034</v>
      </c>
      <c r="G5226" t="s">
        <v>6085</v>
      </c>
      <c r="H5226" t="s">
        <v>6097</v>
      </c>
      <c r="I5226">
        <v>24</v>
      </c>
      <c r="J5226">
        <v>1.4</v>
      </c>
      <c r="K5226" t="s">
        <v>6099</v>
      </c>
      <c r="L5226" t="s">
        <v>6100</v>
      </c>
      <c r="M5226" t="s">
        <v>6100</v>
      </c>
      <c r="N5226">
        <v>3</v>
      </c>
      <c r="O5226" t="s">
        <v>6101</v>
      </c>
      <c r="P5226" t="s">
        <v>6114</v>
      </c>
      <c r="Q5226">
        <v>8</v>
      </c>
      <c r="R5226">
        <v>2026</v>
      </c>
      <c r="S5226" t="s">
        <v>6099</v>
      </c>
      <c r="T5226">
        <v>1</v>
      </c>
      <c r="U5226" t="s">
        <v>6021</v>
      </c>
      <c r="V5226">
        <v>1</v>
      </c>
    </row>
    <row r="5227" spans="1:22" x14ac:dyDescent="0.3">
      <c r="A5227" t="s">
        <v>5242</v>
      </c>
      <c r="B5227" s="2">
        <v>46258.772916666669</v>
      </c>
      <c r="C5227" s="2">
        <v>46259.368750000001</v>
      </c>
      <c r="D5227" t="s">
        <v>6027</v>
      </c>
      <c r="E5227" t="s">
        <v>6031</v>
      </c>
      <c r="F5227" t="s">
        <v>6033</v>
      </c>
      <c r="G5227" t="s">
        <v>6090</v>
      </c>
      <c r="H5227" t="s">
        <v>6097</v>
      </c>
      <c r="I5227">
        <v>72</v>
      </c>
      <c r="J5227">
        <v>14.3</v>
      </c>
      <c r="K5227" t="s">
        <v>6099</v>
      </c>
      <c r="L5227" t="s">
        <v>6100</v>
      </c>
      <c r="M5227" t="s">
        <v>6100</v>
      </c>
      <c r="N5227">
        <v>3</v>
      </c>
      <c r="O5227" t="s">
        <v>6101</v>
      </c>
      <c r="P5227" t="s">
        <v>6114</v>
      </c>
      <c r="Q5227">
        <v>8</v>
      </c>
      <c r="R5227">
        <v>2026</v>
      </c>
      <c r="S5227" t="s">
        <v>6099</v>
      </c>
      <c r="T5227">
        <v>1</v>
      </c>
      <c r="U5227" t="s">
        <v>6019</v>
      </c>
      <c r="V5227">
        <v>1</v>
      </c>
    </row>
    <row r="5228" spans="1:22" x14ac:dyDescent="0.3">
      <c r="A5228" t="s">
        <v>5243</v>
      </c>
      <c r="B5228" s="2">
        <v>46258.946527777778</v>
      </c>
      <c r="C5228" s="2">
        <v>46259.100694444445</v>
      </c>
      <c r="D5228" t="s">
        <v>6023</v>
      </c>
      <c r="E5228" t="s">
        <v>6029</v>
      </c>
      <c r="F5228" t="s">
        <v>6033</v>
      </c>
      <c r="G5228" t="s">
        <v>6047</v>
      </c>
      <c r="H5228" t="s">
        <v>6098</v>
      </c>
      <c r="I5228">
        <v>72</v>
      </c>
      <c r="J5228">
        <v>3.7</v>
      </c>
      <c r="K5228" t="s">
        <v>6099</v>
      </c>
      <c r="L5228" t="s">
        <v>6100</v>
      </c>
      <c r="M5228" t="s">
        <v>6100</v>
      </c>
      <c r="N5228">
        <v>4</v>
      </c>
      <c r="O5228" t="s">
        <v>6101</v>
      </c>
      <c r="P5228" t="s">
        <v>6114</v>
      </c>
      <c r="Q5228">
        <v>8</v>
      </c>
      <c r="R5228">
        <v>2026</v>
      </c>
      <c r="S5228" t="s">
        <v>6099</v>
      </c>
      <c r="T5228">
        <v>1</v>
      </c>
      <c r="U5228" t="s">
        <v>6018</v>
      </c>
      <c r="V5228">
        <v>1</v>
      </c>
    </row>
    <row r="5229" spans="1:22" x14ac:dyDescent="0.3">
      <c r="A5229" t="s">
        <v>5244</v>
      </c>
      <c r="B5229" s="2">
        <v>46259.165972222225</v>
      </c>
      <c r="C5229" s="2">
        <v>46259.40347222222</v>
      </c>
      <c r="D5229" t="s">
        <v>6023</v>
      </c>
      <c r="E5229" t="s">
        <v>6029</v>
      </c>
      <c r="F5229" t="s">
        <v>6034</v>
      </c>
      <c r="G5229" t="s">
        <v>6043</v>
      </c>
      <c r="H5229" t="s">
        <v>6097</v>
      </c>
      <c r="I5229">
        <v>24</v>
      </c>
      <c r="J5229">
        <v>5.7</v>
      </c>
      <c r="K5229" t="s">
        <v>6099</v>
      </c>
      <c r="L5229" t="s">
        <v>6100</v>
      </c>
      <c r="M5229" t="s">
        <v>6100</v>
      </c>
      <c r="N5229">
        <v>5</v>
      </c>
      <c r="O5229" t="s">
        <v>6101</v>
      </c>
      <c r="P5229" t="s">
        <v>6114</v>
      </c>
      <c r="Q5229">
        <v>8</v>
      </c>
      <c r="R5229">
        <v>2026</v>
      </c>
      <c r="S5229" t="s">
        <v>6099</v>
      </c>
      <c r="T5229">
        <v>1</v>
      </c>
      <c r="U5229" t="s">
        <v>6019</v>
      </c>
      <c r="V5229">
        <v>1</v>
      </c>
    </row>
    <row r="5230" spans="1:22" x14ac:dyDescent="0.3">
      <c r="A5230" t="s">
        <v>5245</v>
      </c>
      <c r="B5230" s="2">
        <v>46259.282638888886</v>
      </c>
      <c r="C5230" s="2">
        <v>46268.674305555556</v>
      </c>
      <c r="D5230" t="s">
        <v>6026</v>
      </c>
      <c r="E5230" t="s">
        <v>6031</v>
      </c>
      <c r="F5230" t="s">
        <v>6034</v>
      </c>
      <c r="G5230" t="s">
        <v>6055</v>
      </c>
      <c r="H5230" t="s">
        <v>6096</v>
      </c>
      <c r="I5230">
        <v>24</v>
      </c>
      <c r="J5230">
        <v>225.4</v>
      </c>
      <c r="K5230" t="s">
        <v>6100</v>
      </c>
      <c r="L5230" t="s">
        <v>6099</v>
      </c>
      <c r="M5230" t="s">
        <v>6100</v>
      </c>
      <c r="O5230" t="s">
        <v>6101</v>
      </c>
      <c r="P5230" t="s">
        <v>6114</v>
      </c>
      <c r="Q5230">
        <v>8</v>
      </c>
      <c r="R5230">
        <v>2026</v>
      </c>
      <c r="S5230" t="s">
        <v>6100</v>
      </c>
      <c r="T5230">
        <v>0</v>
      </c>
      <c r="U5230" t="s">
        <v>6018</v>
      </c>
      <c r="V5230">
        <v>0</v>
      </c>
    </row>
    <row r="5231" spans="1:22" x14ac:dyDescent="0.3">
      <c r="A5231" t="s">
        <v>5246</v>
      </c>
      <c r="B5231" s="2">
        <v>46259.303472222222</v>
      </c>
      <c r="C5231" s="2">
        <v>46260.024305555555</v>
      </c>
      <c r="D5231" t="s">
        <v>6027</v>
      </c>
      <c r="E5231" t="s">
        <v>6029</v>
      </c>
      <c r="F5231" t="s">
        <v>6034</v>
      </c>
      <c r="G5231" t="s">
        <v>6082</v>
      </c>
      <c r="H5231" t="s">
        <v>6097</v>
      </c>
      <c r="I5231">
        <v>24</v>
      </c>
      <c r="J5231">
        <v>17.3</v>
      </c>
      <c r="K5231" t="s">
        <v>6099</v>
      </c>
      <c r="L5231" t="s">
        <v>6100</v>
      </c>
      <c r="M5231" t="s">
        <v>6099</v>
      </c>
      <c r="N5231">
        <v>4</v>
      </c>
      <c r="O5231" t="s">
        <v>6101</v>
      </c>
      <c r="P5231" t="s">
        <v>6114</v>
      </c>
      <c r="Q5231">
        <v>8</v>
      </c>
      <c r="R5231">
        <v>2026</v>
      </c>
      <c r="S5231" t="s">
        <v>6099</v>
      </c>
      <c r="T5231">
        <v>1</v>
      </c>
      <c r="U5231" t="s">
        <v>6021</v>
      </c>
      <c r="V5231">
        <v>1</v>
      </c>
    </row>
    <row r="5232" spans="1:22" x14ac:dyDescent="0.3">
      <c r="A5232" t="s">
        <v>5247</v>
      </c>
      <c r="B5232" s="2">
        <v>46259.308333333334</v>
      </c>
      <c r="C5232" s="2">
        <v>46259.65</v>
      </c>
      <c r="D5232" t="s">
        <v>6023</v>
      </c>
      <c r="E5232" t="s">
        <v>6030</v>
      </c>
      <c r="F5232" t="s">
        <v>6034</v>
      </c>
      <c r="G5232" t="s">
        <v>6088</v>
      </c>
      <c r="H5232" t="s">
        <v>6097</v>
      </c>
      <c r="I5232">
        <v>24</v>
      </c>
      <c r="J5232">
        <v>8.1999999999999993</v>
      </c>
      <c r="K5232" t="s">
        <v>6100</v>
      </c>
      <c r="L5232" t="s">
        <v>6099</v>
      </c>
      <c r="M5232" t="s">
        <v>6100</v>
      </c>
      <c r="O5232" t="s">
        <v>6101</v>
      </c>
      <c r="P5232" t="s">
        <v>6114</v>
      </c>
      <c r="Q5232">
        <v>8</v>
      </c>
      <c r="R5232">
        <v>2026</v>
      </c>
      <c r="S5232" t="s">
        <v>6099</v>
      </c>
      <c r="T5232">
        <v>1</v>
      </c>
      <c r="U5232" t="s">
        <v>6021</v>
      </c>
      <c r="V5232">
        <v>0</v>
      </c>
    </row>
    <row r="5233" spans="1:22" x14ac:dyDescent="0.3">
      <c r="A5233" t="s">
        <v>5248</v>
      </c>
      <c r="B5233" s="2">
        <v>46259.324305555558</v>
      </c>
      <c r="C5233" s="2">
        <v>46260.178472222222</v>
      </c>
      <c r="D5233" t="s">
        <v>6028</v>
      </c>
      <c r="E5233" t="s">
        <v>6031</v>
      </c>
      <c r="F5233" t="s">
        <v>6034</v>
      </c>
      <c r="G5233" t="s">
        <v>6054</v>
      </c>
      <c r="H5233" t="s">
        <v>6096</v>
      </c>
      <c r="I5233">
        <v>24</v>
      </c>
      <c r="J5233">
        <v>20.5</v>
      </c>
      <c r="K5233" t="s">
        <v>6099</v>
      </c>
      <c r="L5233" t="s">
        <v>6100</v>
      </c>
      <c r="M5233" t="s">
        <v>6100</v>
      </c>
      <c r="O5233" t="s">
        <v>6101</v>
      </c>
      <c r="P5233" t="s">
        <v>6114</v>
      </c>
      <c r="Q5233">
        <v>8</v>
      </c>
      <c r="R5233">
        <v>2026</v>
      </c>
      <c r="S5233" t="s">
        <v>6099</v>
      </c>
      <c r="T5233">
        <v>1</v>
      </c>
      <c r="U5233" t="s">
        <v>6021</v>
      </c>
      <c r="V5233">
        <v>1</v>
      </c>
    </row>
    <row r="5234" spans="1:22" x14ac:dyDescent="0.3">
      <c r="A5234" t="s">
        <v>5249</v>
      </c>
      <c r="B5234" s="2">
        <v>46259.39166666667</v>
      </c>
      <c r="C5234" s="2">
        <v>46260.55</v>
      </c>
      <c r="D5234" t="s">
        <v>6027</v>
      </c>
      <c r="E5234" t="s">
        <v>6031</v>
      </c>
      <c r="F5234" t="s">
        <v>6034</v>
      </c>
      <c r="G5234" t="s">
        <v>6051</v>
      </c>
      <c r="H5234" t="s">
        <v>6097</v>
      </c>
      <c r="I5234">
        <v>24</v>
      </c>
      <c r="J5234">
        <v>27.8</v>
      </c>
      <c r="K5234" t="s">
        <v>6100</v>
      </c>
      <c r="L5234" t="s">
        <v>6099</v>
      </c>
      <c r="M5234" t="s">
        <v>6100</v>
      </c>
      <c r="N5234">
        <v>4</v>
      </c>
      <c r="O5234" t="s">
        <v>6101</v>
      </c>
      <c r="P5234" t="s">
        <v>6114</v>
      </c>
      <c r="Q5234">
        <v>8</v>
      </c>
      <c r="R5234">
        <v>2026</v>
      </c>
      <c r="S5234" t="s">
        <v>6100</v>
      </c>
      <c r="T5234">
        <v>0</v>
      </c>
      <c r="U5234" t="s">
        <v>6017</v>
      </c>
      <c r="V5234">
        <v>0</v>
      </c>
    </row>
    <row r="5235" spans="1:22" x14ac:dyDescent="0.3">
      <c r="A5235" t="s">
        <v>5250</v>
      </c>
      <c r="B5235" s="2">
        <v>46259.433333333334</v>
      </c>
      <c r="C5235" s="2">
        <v>46259.612500000003</v>
      </c>
      <c r="D5235" t="s">
        <v>6023</v>
      </c>
      <c r="E5235" t="s">
        <v>6030</v>
      </c>
      <c r="F5235" t="s">
        <v>6033</v>
      </c>
      <c r="G5235" t="s">
        <v>6075</v>
      </c>
      <c r="H5235" t="s">
        <v>6097</v>
      </c>
      <c r="I5235">
        <v>72</v>
      </c>
      <c r="J5235">
        <v>4.3</v>
      </c>
      <c r="K5235" t="s">
        <v>6099</v>
      </c>
      <c r="L5235" t="s">
        <v>6100</v>
      </c>
      <c r="M5235" t="s">
        <v>6100</v>
      </c>
      <c r="N5235">
        <v>4</v>
      </c>
      <c r="O5235" t="s">
        <v>6101</v>
      </c>
      <c r="P5235" t="s">
        <v>6114</v>
      </c>
      <c r="Q5235">
        <v>8</v>
      </c>
      <c r="R5235">
        <v>2026</v>
      </c>
      <c r="S5235" t="s">
        <v>6099</v>
      </c>
      <c r="T5235">
        <v>1</v>
      </c>
      <c r="U5235" t="s">
        <v>6018</v>
      </c>
      <c r="V5235">
        <v>1</v>
      </c>
    </row>
    <row r="5236" spans="1:22" x14ac:dyDescent="0.3">
      <c r="A5236" t="s">
        <v>5251</v>
      </c>
      <c r="B5236" s="2">
        <v>46259.44027777778</v>
      </c>
      <c r="C5236" s="2">
        <v>46260.736111111109</v>
      </c>
      <c r="D5236" t="s">
        <v>6026</v>
      </c>
      <c r="E5236" t="s">
        <v>6029</v>
      </c>
      <c r="F5236" t="s">
        <v>6033</v>
      </c>
      <c r="G5236" t="s">
        <v>6052</v>
      </c>
      <c r="H5236" t="s">
        <v>6098</v>
      </c>
      <c r="I5236">
        <v>72</v>
      </c>
      <c r="J5236">
        <v>31.1</v>
      </c>
      <c r="K5236" t="s">
        <v>6099</v>
      </c>
      <c r="L5236" t="s">
        <v>6100</v>
      </c>
      <c r="M5236" t="s">
        <v>6100</v>
      </c>
      <c r="N5236">
        <v>5</v>
      </c>
      <c r="O5236" t="s">
        <v>6101</v>
      </c>
      <c r="P5236" t="s">
        <v>6114</v>
      </c>
      <c r="Q5236">
        <v>8</v>
      </c>
      <c r="R5236">
        <v>2026</v>
      </c>
      <c r="S5236" t="s">
        <v>6099</v>
      </c>
      <c r="T5236">
        <v>1</v>
      </c>
      <c r="U5236" t="s">
        <v>6021</v>
      </c>
      <c r="V5236">
        <v>1</v>
      </c>
    </row>
    <row r="5237" spans="1:22" x14ac:dyDescent="0.3">
      <c r="A5237" t="s">
        <v>5252</v>
      </c>
      <c r="B5237" s="2">
        <v>46259.447916666664</v>
      </c>
      <c r="C5237" s="2">
        <v>46260.36041666667</v>
      </c>
      <c r="D5237" t="s">
        <v>6027</v>
      </c>
      <c r="E5237" t="s">
        <v>6032</v>
      </c>
      <c r="F5237" t="s">
        <v>6033</v>
      </c>
      <c r="G5237" t="s">
        <v>6060</v>
      </c>
      <c r="H5237" t="s">
        <v>6097</v>
      </c>
      <c r="I5237">
        <v>72</v>
      </c>
      <c r="J5237">
        <v>21.9</v>
      </c>
      <c r="K5237" t="s">
        <v>6099</v>
      </c>
      <c r="L5237" t="s">
        <v>6100</v>
      </c>
      <c r="M5237" t="s">
        <v>6100</v>
      </c>
      <c r="O5237" t="s">
        <v>6101</v>
      </c>
      <c r="P5237" t="s">
        <v>6114</v>
      </c>
      <c r="Q5237">
        <v>8</v>
      </c>
      <c r="R5237">
        <v>2026</v>
      </c>
      <c r="S5237" t="s">
        <v>6099</v>
      </c>
      <c r="T5237">
        <v>1</v>
      </c>
      <c r="U5237" t="s">
        <v>6018</v>
      </c>
      <c r="V5237">
        <v>1</v>
      </c>
    </row>
    <row r="5238" spans="1:22" x14ac:dyDescent="0.3">
      <c r="A5238" t="s">
        <v>5253</v>
      </c>
      <c r="B5238" s="2">
        <v>46259.493055555555</v>
      </c>
      <c r="C5238" s="2">
        <v>46259.818055555559</v>
      </c>
      <c r="D5238" t="s">
        <v>6022</v>
      </c>
      <c r="E5238" t="s">
        <v>6029</v>
      </c>
      <c r="F5238" t="s">
        <v>6035</v>
      </c>
      <c r="G5238" t="s">
        <v>6059</v>
      </c>
      <c r="H5238" t="s">
        <v>6097</v>
      </c>
      <c r="I5238">
        <v>4</v>
      </c>
      <c r="J5238">
        <v>7.8</v>
      </c>
      <c r="K5238" t="s">
        <v>6099</v>
      </c>
      <c r="L5238" t="s">
        <v>6100</v>
      </c>
      <c r="M5238" t="s">
        <v>6099</v>
      </c>
      <c r="N5238">
        <v>3</v>
      </c>
      <c r="O5238" t="s">
        <v>6101</v>
      </c>
      <c r="P5238" t="s">
        <v>6114</v>
      </c>
      <c r="Q5238">
        <v>8</v>
      </c>
      <c r="R5238">
        <v>2026</v>
      </c>
      <c r="S5238" t="s">
        <v>6100</v>
      </c>
      <c r="T5238">
        <v>0</v>
      </c>
      <c r="U5238" t="s">
        <v>6020</v>
      </c>
      <c r="V5238">
        <v>1</v>
      </c>
    </row>
    <row r="5239" spans="1:22" x14ac:dyDescent="0.3">
      <c r="A5239" t="s">
        <v>5254</v>
      </c>
      <c r="B5239" s="2">
        <v>46259.494444444441</v>
      </c>
      <c r="C5239" s="2">
        <v>46259.798611111109</v>
      </c>
      <c r="D5239" t="s">
        <v>6023</v>
      </c>
      <c r="E5239" t="s">
        <v>6029</v>
      </c>
      <c r="F5239" t="s">
        <v>6034</v>
      </c>
      <c r="G5239" t="s">
        <v>6047</v>
      </c>
      <c r="H5239" t="s">
        <v>6098</v>
      </c>
      <c r="I5239">
        <v>24</v>
      </c>
      <c r="J5239">
        <v>7.3</v>
      </c>
      <c r="K5239" t="s">
        <v>6099</v>
      </c>
      <c r="L5239" t="s">
        <v>6100</v>
      </c>
      <c r="M5239" t="s">
        <v>6100</v>
      </c>
      <c r="N5239">
        <v>5</v>
      </c>
      <c r="O5239" t="s">
        <v>6101</v>
      </c>
      <c r="P5239" t="s">
        <v>6114</v>
      </c>
      <c r="Q5239">
        <v>8</v>
      </c>
      <c r="R5239">
        <v>2026</v>
      </c>
      <c r="S5239" t="s">
        <v>6099</v>
      </c>
      <c r="T5239">
        <v>1</v>
      </c>
      <c r="U5239" t="s">
        <v>6020</v>
      </c>
      <c r="V5239">
        <v>1</v>
      </c>
    </row>
    <row r="5240" spans="1:22" x14ac:dyDescent="0.3">
      <c r="A5240" t="s">
        <v>5255</v>
      </c>
      <c r="B5240" s="2">
        <v>46259.526388888888</v>
      </c>
      <c r="C5240" s="2">
        <v>46259.822222222225</v>
      </c>
      <c r="D5240" t="s">
        <v>6022</v>
      </c>
      <c r="E5240" t="s">
        <v>6029</v>
      </c>
      <c r="F5240" t="s">
        <v>6035</v>
      </c>
      <c r="G5240" t="s">
        <v>6094</v>
      </c>
      <c r="H5240" t="s">
        <v>6098</v>
      </c>
      <c r="I5240">
        <v>4</v>
      </c>
      <c r="J5240">
        <v>7.1</v>
      </c>
      <c r="K5240" t="s">
        <v>6099</v>
      </c>
      <c r="L5240" t="s">
        <v>6100</v>
      </c>
      <c r="M5240" t="s">
        <v>6099</v>
      </c>
      <c r="N5240">
        <v>4</v>
      </c>
      <c r="O5240" t="s">
        <v>6101</v>
      </c>
      <c r="P5240" t="s">
        <v>6114</v>
      </c>
      <c r="Q5240">
        <v>8</v>
      </c>
      <c r="R5240">
        <v>2026</v>
      </c>
      <c r="S5240" t="s">
        <v>6100</v>
      </c>
      <c r="T5240">
        <v>0</v>
      </c>
      <c r="U5240" t="s">
        <v>6018</v>
      </c>
      <c r="V5240">
        <v>1</v>
      </c>
    </row>
    <row r="5241" spans="1:22" x14ac:dyDescent="0.3">
      <c r="A5241" t="s">
        <v>5256</v>
      </c>
      <c r="B5241" s="2">
        <v>46259.537499999999</v>
      </c>
      <c r="C5241" s="2">
        <v>46259.85833333333</v>
      </c>
      <c r="D5241" t="s">
        <v>6023</v>
      </c>
      <c r="E5241" t="s">
        <v>6029</v>
      </c>
      <c r="F5241" t="s">
        <v>6033</v>
      </c>
      <c r="G5241" t="s">
        <v>6070</v>
      </c>
      <c r="H5241" t="s">
        <v>6097</v>
      </c>
      <c r="I5241">
        <v>72</v>
      </c>
      <c r="J5241">
        <v>7.7</v>
      </c>
      <c r="K5241" t="s">
        <v>6099</v>
      </c>
      <c r="L5241" t="s">
        <v>6100</v>
      </c>
      <c r="M5241" t="s">
        <v>6100</v>
      </c>
      <c r="N5241">
        <v>5</v>
      </c>
      <c r="O5241" t="s">
        <v>6101</v>
      </c>
      <c r="P5241" t="s">
        <v>6114</v>
      </c>
      <c r="Q5241">
        <v>8</v>
      </c>
      <c r="R5241">
        <v>2026</v>
      </c>
      <c r="S5241" t="s">
        <v>6099</v>
      </c>
      <c r="T5241">
        <v>1</v>
      </c>
      <c r="U5241" t="s">
        <v>6017</v>
      </c>
      <c r="V5241">
        <v>1</v>
      </c>
    </row>
    <row r="5242" spans="1:22" x14ac:dyDescent="0.3">
      <c r="A5242" t="s">
        <v>5257</v>
      </c>
      <c r="B5242" s="2">
        <v>46259.543749999997</v>
      </c>
      <c r="C5242" s="2">
        <v>46259.606249999997</v>
      </c>
      <c r="D5242" t="s">
        <v>6023</v>
      </c>
      <c r="E5242" t="s">
        <v>6029</v>
      </c>
      <c r="F5242" t="s">
        <v>6033</v>
      </c>
      <c r="G5242" t="s">
        <v>6074</v>
      </c>
      <c r="H5242" t="s">
        <v>6098</v>
      </c>
      <c r="I5242">
        <v>72</v>
      </c>
      <c r="J5242">
        <v>1.5</v>
      </c>
      <c r="K5242" t="s">
        <v>6100</v>
      </c>
      <c r="L5242" t="s">
        <v>6099</v>
      </c>
      <c r="M5242" t="s">
        <v>6100</v>
      </c>
      <c r="N5242">
        <v>3</v>
      </c>
      <c r="O5242" t="s">
        <v>6101</v>
      </c>
      <c r="P5242" t="s">
        <v>6114</v>
      </c>
      <c r="Q5242">
        <v>8</v>
      </c>
      <c r="R5242">
        <v>2026</v>
      </c>
      <c r="S5242" t="s">
        <v>6099</v>
      </c>
      <c r="T5242">
        <v>1</v>
      </c>
      <c r="U5242" t="s">
        <v>6021</v>
      </c>
      <c r="V5242">
        <v>0</v>
      </c>
    </row>
    <row r="5243" spans="1:22" x14ac:dyDescent="0.3">
      <c r="A5243" t="s">
        <v>5258</v>
      </c>
      <c r="B5243" s="2">
        <v>46259.560416666667</v>
      </c>
      <c r="C5243" s="2">
        <v>46259.981249999997</v>
      </c>
      <c r="D5243" t="s">
        <v>6024</v>
      </c>
      <c r="E5243" t="s">
        <v>6029</v>
      </c>
      <c r="F5243" t="s">
        <v>6033</v>
      </c>
      <c r="G5243" t="s">
        <v>6050</v>
      </c>
      <c r="H5243" t="s">
        <v>6098</v>
      </c>
      <c r="I5243">
        <v>72</v>
      </c>
      <c r="J5243">
        <v>10.1</v>
      </c>
      <c r="K5243" t="s">
        <v>6100</v>
      </c>
      <c r="L5243" t="s">
        <v>6099</v>
      </c>
      <c r="M5243" t="s">
        <v>6100</v>
      </c>
      <c r="N5243">
        <v>3</v>
      </c>
      <c r="O5243" t="s">
        <v>6101</v>
      </c>
      <c r="P5243" t="s">
        <v>6114</v>
      </c>
      <c r="Q5243">
        <v>8</v>
      </c>
      <c r="R5243">
        <v>2026</v>
      </c>
      <c r="S5243" t="s">
        <v>6099</v>
      </c>
      <c r="T5243">
        <v>1</v>
      </c>
      <c r="U5243" t="s">
        <v>6019</v>
      </c>
      <c r="V5243">
        <v>0</v>
      </c>
    </row>
    <row r="5244" spans="1:22" x14ac:dyDescent="0.3">
      <c r="A5244" t="s">
        <v>5259</v>
      </c>
      <c r="B5244" s="2">
        <v>46259.56527777778</v>
      </c>
      <c r="C5244" s="2">
        <v>46261.331944444442</v>
      </c>
      <c r="D5244" t="s">
        <v>6026</v>
      </c>
      <c r="E5244" t="s">
        <v>6031</v>
      </c>
      <c r="F5244" t="s">
        <v>6035</v>
      </c>
      <c r="G5244" t="s">
        <v>6045</v>
      </c>
      <c r="H5244" t="s">
        <v>6096</v>
      </c>
      <c r="I5244">
        <v>4</v>
      </c>
      <c r="J5244">
        <v>42.4</v>
      </c>
      <c r="K5244" t="s">
        <v>6100</v>
      </c>
      <c r="L5244" t="s">
        <v>6099</v>
      </c>
      <c r="M5244" t="s">
        <v>6100</v>
      </c>
      <c r="N5244">
        <v>4</v>
      </c>
      <c r="O5244" t="s">
        <v>6101</v>
      </c>
      <c r="P5244" t="s">
        <v>6114</v>
      </c>
      <c r="Q5244">
        <v>8</v>
      </c>
      <c r="R5244">
        <v>2026</v>
      </c>
      <c r="S5244" t="s">
        <v>6100</v>
      </c>
      <c r="T5244">
        <v>0</v>
      </c>
      <c r="U5244" t="s">
        <v>6017</v>
      </c>
      <c r="V5244">
        <v>0</v>
      </c>
    </row>
    <row r="5245" spans="1:22" x14ac:dyDescent="0.3">
      <c r="A5245" t="s">
        <v>5260</v>
      </c>
      <c r="B5245" s="2">
        <v>46259.597222222219</v>
      </c>
      <c r="C5245" s="2">
        <v>46259.709722222222</v>
      </c>
      <c r="D5245" t="s">
        <v>6023</v>
      </c>
      <c r="E5245" t="s">
        <v>6030</v>
      </c>
      <c r="F5245" t="s">
        <v>6033</v>
      </c>
      <c r="G5245" t="s">
        <v>6052</v>
      </c>
      <c r="H5245" t="s">
        <v>6098</v>
      </c>
      <c r="I5245">
        <v>72</v>
      </c>
      <c r="J5245">
        <v>2.7</v>
      </c>
      <c r="K5245" t="s">
        <v>6099</v>
      </c>
      <c r="L5245" t="s">
        <v>6100</v>
      </c>
      <c r="M5245" t="s">
        <v>6100</v>
      </c>
      <c r="O5245" t="s">
        <v>6101</v>
      </c>
      <c r="P5245" t="s">
        <v>6114</v>
      </c>
      <c r="Q5245">
        <v>8</v>
      </c>
      <c r="R5245">
        <v>2026</v>
      </c>
      <c r="S5245" t="s">
        <v>6099</v>
      </c>
      <c r="T5245">
        <v>1</v>
      </c>
      <c r="U5245" t="s">
        <v>6018</v>
      </c>
      <c r="V5245">
        <v>1</v>
      </c>
    </row>
    <row r="5246" spans="1:22" x14ac:dyDescent="0.3">
      <c r="A5246" t="s">
        <v>5261</v>
      </c>
      <c r="B5246" s="2">
        <v>46259.633333333331</v>
      </c>
      <c r="C5246" s="2">
        <v>46259.76666666667</v>
      </c>
      <c r="D5246" t="s">
        <v>6028</v>
      </c>
      <c r="E5246" t="s">
        <v>6030</v>
      </c>
      <c r="F5246" t="s">
        <v>6035</v>
      </c>
      <c r="G5246" t="s">
        <v>6050</v>
      </c>
      <c r="H5246" t="s">
        <v>6098</v>
      </c>
      <c r="I5246">
        <v>4</v>
      </c>
      <c r="J5246">
        <v>3.2</v>
      </c>
      <c r="K5246" t="s">
        <v>6100</v>
      </c>
      <c r="L5246" t="s">
        <v>6100</v>
      </c>
      <c r="M5246" t="s">
        <v>6100</v>
      </c>
      <c r="N5246">
        <v>5</v>
      </c>
      <c r="O5246" t="s">
        <v>6101</v>
      </c>
      <c r="P5246" t="s">
        <v>6114</v>
      </c>
      <c r="Q5246">
        <v>8</v>
      </c>
      <c r="R5246">
        <v>2026</v>
      </c>
      <c r="S5246" t="s">
        <v>6099</v>
      </c>
      <c r="T5246">
        <v>1</v>
      </c>
      <c r="U5246" t="s">
        <v>6017</v>
      </c>
      <c r="V5246">
        <v>0</v>
      </c>
    </row>
    <row r="5247" spans="1:22" x14ac:dyDescent="0.3">
      <c r="A5247" t="s">
        <v>5262</v>
      </c>
      <c r="B5247" s="2">
        <v>46259.636111111111</v>
      </c>
      <c r="C5247" s="2">
        <v>46260.06527777778</v>
      </c>
      <c r="D5247" t="s">
        <v>6024</v>
      </c>
      <c r="E5247" t="s">
        <v>6030</v>
      </c>
      <c r="F5247" t="s">
        <v>6034</v>
      </c>
      <c r="G5247" t="s">
        <v>6085</v>
      </c>
      <c r="H5247" t="s">
        <v>6097</v>
      </c>
      <c r="I5247">
        <v>24</v>
      </c>
      <c r="J5247">
        <v>10.3</v>
      </c>
      <c r="K5247" t="s">
        <v>6099</v>
      </c>
      <c r="L5247" t="s">
        <v>6100</v>
      </c>
      <c r="M5247" t="s">
        <v>6100</v>
      </c>
      <c r="N5247">
        <v>5</v>
      </c>
      <c r="O5247" t="s">
        <v>6101</v>
      </c>
      <c r="P5247" t="s">
        <v>6114</v>
      </c>
      <c r="Q5247">
        <v>8</v>
      </c>
      <c r="R5247">
        <v>2026</v>
      </c>
      <c r="S5247" t="s">
        <v>6099</v>
      </c>
      <c r="T5247">
        <v>1</v>
      </c>
      <c r="U5247" t="s">
        <v>6020</v>
      </c>
      <c r="V5247">
        <v>1</v>
      </c>
    </row>
    <row r="5248" spans="1:22" x14ac:dyDescent="0.3">
      <c r="A5248" t="s">
        <v>5263</v>
      </c>
      <c r="B5248" s="2">
        <v>46259.696527777778</v>
      </c>
      <c r="C5248" s="2">
        <v>46265.171527777777</v>
      </c>
      <c r="D5248" t="s">
        <v>6026</v>
      </c>
      <c r="E5248" t="s">
        <v>6031</v>
      </c>
      <c r="F5248" t="s">
        <v>6033</v>
      </c>
      <c r="G5248" t="s">
        <v>6073</v>
      </c>
      <c r="H5248" t="s">
        <v>6096</v>
      </c>
      <c r="I5248">
        <v>72</v>
      </c>
      <c r="J5248">
        <v>131.4</v>
      </c>
      <c r="K5248" t="s">
        <v>6100</v>
      </c>
      <c r="L5248" t="s">
        <v>6099</v>
      </c>
      <c r="M5248" t="s">
        <v>6100</v>
      </c>
      <c r="N5248">
        <v>5</v>
      </c>
      <c r="O5248" t="s">
        <v>6101</v>
      </c>
      <c r="P5248" t="s">
        <v>6114</v>
      </c>
      <c r="Q5248">
        <v>8</v>
      </c>
      <c r="R5248">
        <v>2026</v>
      </c>
      <c r="S5248" t="s">
        <v>6100</v>
      </c>
      <c r="T5248">
        <v>0</v>
      </c>
      <c r="U5248" t="s">
        <v>6021</v>
      </c>
      <c r="V5248">
        <v>0</v>
      </c>
    </row>
    <row r="5249" spans="1:22" x14ac:dyDescent="0.3">
      <c r="A5249" t="s">
        <v>5264</v>
      </c>
      <c r="B5249" s="2">
        <v>46259.713888888888</v>
      </c>
      <c r="C5249" s="2">
        <v>46259.759722222225</v>
      </c>
      <c r="D5249" t="s">
        <v>6023</v>
      </c>
      <c r="E5249" t="s">
        <v>6030</v>
      </c>
      <c r="F5249" t="s">
        <v>6035</v>
      </c>
      <c r="G5249" t="s">
        <v>6068</v>
      </c>
      <c r="H5249" t="s">
        <v>6098</v>
      </c>
      <c r="I5249">
        <v>4</v>
      </c>
      <c r="J5249">
        <v>1.1000000000000001</v>
      </c>
      <c r="K5249" t="s">
        <v>6099</v>
      </c>
      <c r="L5249" t="s">
        <v>6100</v>
      </c>
      <c r="M5249" t="s">
        <v>6100</v>
      </c>
      <c r="O5249" t="s">
        <v>6101</v>
      </c>
      <c r="P5249" t="s">
        <v>6114</v>
      </c>
      <c r="Q5249">
        <v>8</v>
      </c>
      <c r="R5249">
        <v>2026</v>
      </c>
      <c r="S5249" t="s">
        <v>6099</v>
      </c>
      <c r="T5249">
        <v>1</v>
      </c>
      <c r="U5249" t="s">
        <v>6020</v>
      </c>
      <c r="V5249">
        <v>1</v>
      </c>
    </row>
    <row r="5250" spans="1:22" x14ac:dyDescent="0.3">
      <c r="A5250" t="s">
        <v>5265</v>
      </c>
      <c r="B5250" s="2">
        <v>46259.722916666666</v>
      </c>
      <c r="C5250" s="2">
        <v>46260.497916666667</v>
      </c>
      <c r="D5250" t="s">
        <v>6022</v>
      </c>
      <c r="E5250" t="s">
        <v>6031</v>
      </c>
      <c r="F5250" t="s">
        <v>6034</v>
      </c>
      <c r="G5250" t="s">
        <v>6071</v>
      </c>
      <c r="H5250" t="s">
        <v>6098</v>
      </c>
      <c r="I5250">
        <v>24</v>
      </c>
      <c r="J5250">
        <v>18.600000000000001</v>
      </c>
      <c r="K5250" t="s">
        <v>6099</v>
      </c>
      <c r="L5250" t="s">
        <v>6100</v>
      </c>
      <c r="M5250" t="s">
        <v>6100</v>
      </c>
      <c r="N5250">
        <v>4</v>
      </c>
      <c r="O5250" t="s">
        <v>6101</v>
      </c>
      <c r="P5250" t="s">
        <v>6114</v>
      </c>
      <c r="Q5250">
        <v>8</v>
      </c>
      <c r="R5250">
        <v>2026</v>
      </c>
      <c r="S5250" t="s">
        <v>6099</v>
      </c>
      <c r="T5250">
        <v>1</v>
      </c>
      <c r="U5250" t="s">
        <v>6017</v>
      </c>
      <c r="V5250">
        <v>1</v>
      </c>
    </row>
    <row r="5251" spans="1:22" x14ac:dyDescent="0.3">
      <c r="A5251" t="s">
        <v>5266</v>
      </c>
      <c r="B5251" s="2">
        <v>46259.789583333331</v>
      </c>
      <c r="C5251" s="2">
        <v>46262.13958333333</v>
      </c>
      <c r="D5251" t="s">
        <v>6026</v>
      </c>
      <c r="E5251" t="s">
        <v>6031</v>
      </c>
      <c r="F5251" t="s">
        <v>6033</v>
      </c>
      <c r="G5251" t="s">
        <v>6068</v>
      </c>
      <c r="H5251" t="s">
        <v>6098</v>
      </c>
      <c r="I5251">
        <v>72</v>
      </c>
      <c r="J5251">
        <v>56.4</v>
      </c>
      <c r="K5251" t="s">
        <v>6099</v>
      </c>
      <c r="L5251" t="s">
        <v>6100</v>
      </c>
      <c r="M5251" t="s">
        <v>6100</v>
      </c>
      <c r="O5251" t="s">
        <v>6101</v>
      </c>
      <c r="P5251" t="s">
        <v>6114</v>
      </c>
      <c r="Q5251">
        <v>8</v>
      </c>
      <c r="R5251">
        <v>2026</v>
      </c>
      <c r="S5251" t="s">
        <v>6099</v>
      </c>
      <c r="T5251">
        <v>1</v>
      </c>
      <c r="U5251" t="s">
        <v>6018</v>
      </c>
      <c r="V5251">
        <v>1</v>
      </c>
    </row>
    <row r="5252" spans="1:22" x14ac:dyDescent="0.3">
      <c r="A5252" t="s">
        <v>5267</v>
      </c>
      <c r="B5252" s="2">
        <v>46259.861805555556</v>
      </c>
      <c r="C5252" s="2">
        <v>46261.34097222222</v>
      </c>
      <c r="D5252" t="s">
        <v>6022</v>
      </c>
      <c r="E5252" t="s">
        <v>6031</v>
      </c>
      <c r="F5252" t="s">
        <v>6033</v>
      </c>
      <c r="G5252" t="s">
        <v>6055</v>
      </c>
      <c r="H5252" t="s">
        <v>6096</v>
      </c>
      <c r="I5252">
        <v>72</v>
      </c>
      <c r="J5252">
        <v>35.5</v>
      </c>
      <c r="K5252" t="s">
        <v>6100</v>
      </c>
      <c r="L5252" t="s">
        <v>6100</v>
      </c>
      <c r="M5252" t="s">
        <v>6100</v>
      </c>
      <c r="O5252" t="s">
        <v>6101</v>
      </c>
      <c r="P5252" t="s">
        <v>6114</v>
      </c>
      <c r="Q5252">
        <v>8</v>
      </c>
      <c r="R5252">
        <v>2026</v>
      </c>
      <c r="S5252" t="s">
        <v>6099</v>
      </c>
      <c r="T5252">
        <v>1</v>
      </c>
      <c r="U5252" t="s">
        <v>6020</v>
      </c>
      <c r="V5252">
        <v>0</v>
      </c>
    </row>
    <row r="5253" spans="1:22" x14ac:dyDescent="0.3">
      <c r="A5253" t="s">
        <v>5268</v>
      </c>
      <c r="B5253" s="2">
        <v>46259.907638888886</v>
      </c>
      <c r="C5253" s="2">
        <v>46260.124305555553</v>
      </c>
      <c r="D5253" t="s">
        <v>6024</v>
      </c>
      <c r="E5253" t="s">
        <v>6029</v>
      </c>
      <c r="F5253" t="s">
        <v>6034</v>
      </c>
      <c r="G5253" t="s">
        <v>6086</v>
      </c>
      <c r="H5253" t="s">
        <v>6098</v>
      </c>
      <c r="I5253">
        <v>24</v>
      </c>
      <c r="J5253">
        <v>5.2</v>
      </c>
      <c r="K5253" t="s">
        <v>6100</v>
      </c>
      <c r="L5253" t="s">
        <v>6100</v>
      </c>
      <c r="M5253" t="s">
        <v>6100</v>
      </c>
      <c r="N5253">
        <v>4</v>
      </c>
      <c r="O5253" t="s">
        <v>6101</v>
      </c>
      <c r="P5253" t="s">
        <v>6114</v>
      </c>
      <c r="Q5253">
        <v>8</v>
      </c>
      <c r="R5253">
        <v>2026</v>
      </c>
      <c r="S5253" t="s">
        <v>6099</v>
      </c>
      <c r="T5253">
        <v>1</v>
      </c>
      <c r="U5253" t="s">
        <v>6019</v>
      </c>
      <c r="V5253">
        <v>0</v>
      </c>
    </row>
    <row r="5254" spans="1:22" x14ac:dyDescent="0.3">
      <c r="A5254" t="s">
        <v>5269</v>
      </c>
      <c r="B5254" s="2">
        <v>46260.089583333334</v>
      </c>
      <c r="C5254" s="2">
        <v>46260.539583333331</v>
      </c>
      <c r="D5254" t="s">
        <v>6025</v>
      </c>
      <c r="E5254" t="s">
        <v>6029</v>
      </c>
      <c r="F5254" t="s">
        <v>6034</v>
      </c>
      <c r="G5254" t="s">
        <v>6061</v>
      </c>
      <c r="H5254" t="s">
        <v>6096</v>
      </c>
      <c r="I5254">
        <v>24</v>
      </c>
      <c r="J5254">
        <v>10.8</v>
      </c>
      <c r="K5254" t="s">
        <v>6099</v>
      </c>
      <c r="L5254" t="s">
        <v>6100</v>
      </c>
      <c r="M5254" t="s">
        <v>6100</v>
      </c>
      <c r="N5254">
        <v>4</v>
      </c>
      <c r="O5254" t="s">
        <v>6101</v>
      </c>
      <c r="P5254" t="s">
        <v>6114</v>
      </c>
      <c r="Q5254">
        <v>8</v>
      </c>
      <c r="R5254">
        <v>2026</v>
      </c>
      <c r="S5254" t="s">
        <v>6099</v>
      </c>
      <c r="T5254">
        <v>1</v>
      </c>
      <c r="U5254" t="s">
        <v>6019</v>
      </c>
      <c r="V5254">
        <v>1</v>
      </c>
    </row>
    <row r="5255" spans="1:22" x14ac:dyDescent="0.3">
      <c r="A5255" t="s">
        <v>5270</v>
      </c>
      <c r="B5255" s="2">
        <v>46260.11041666667</v>
      </c>
      <c r="C5255" s="2">
        <v>46260.86041666667</v>
      </c>
      <c r="D5255" t="s">
        <v>6025</v>
      </c>
      <c r="E5255" t="s">
        <v>6030</v>
      </c>
      <c r="F5255" t="s">
        <v>6033</v>
      </c>
      <c r="G5255" t="s">
        <v>6086</v>
      </c>
      <c r="H5255" t="s">
        <v>6098</v>
      </c>
      <c r="I5255">
        <v>72</v>
      </c>
      <c r="J5255">
        <v>18</v>
      </c>
      <c r="K5255" t="s">
        <v>6099</v>
      </c>
      <c r="L5255" t="s">
        <v>6100</v>
      </c>
      <c r="M5255" t="s">
        <v>6100</v>
      </c>
      <c r="O5255" t="s">
        <v>6101</v>
      </c>
      <c r="P5255" t="s">
        <v>6114</v>
      </c>
      <c r="Q5255">
        <v>8</v>
      </c>
      <c r="R5255">
        <v>2026</v>
      </c>
      <c r="S5255" t="s">
        <v>6099</v>
      </c>
      <c r="T5255">
        <v>1</v>
      </c>
      <c r="U5255" t="s">
        <v>6018</v>
      </c>
      <c r="V5255">
        <v>1</v>
      </c>
    </row>
    <row r="5256" spans="1:22" x14ac:dyDescent="0.3">
      <c r="A5256" t="s">
        <v>5271</v>
      </c>
      <c r="B5256" s="2">
        <v>46260.243055555555</v>
      </c>
      <c r="C5256" s="2">
        <v>46260.647222222222</v>
      </c>
      <c r="D5256" t="s">
        <v>6024</v>
      </c>
      <c r="E5256" t="s">
        <v>6032</v>
      </c>
      <c r="F5256" t="s">
        <v>6034</v>
      </c>
      <c r="G5256" t="s">
        <v>6078</v>
      </c>
      <c r="H5256" t="s">
        <v>6097</v>
      </c>
      <c r="I5256">
        <v>24</v>
      </c>
      <c r="J5256">
        <v>9.6999999999999993</v>
      </c>
      <c r="K5256" t="s">
        <v>6099</v>
      </c>
      <c r="L5256" t="s">
        <v>6100</v>
      </c>
      <c r="M5256" t="s">
        <v>6100</v>
      </c>
      <c r="N5256">
        <v>5</v>
      </c>
      <c r="O5256" t="s">
        <v>6101</v>
      </c>
      <c r="P5256" t="s">
        <v>6114</v>
      </c>
      <c r="Q5256">
        <v>8</v>
      </c>
      <c r="R5256">
        <v>2026</v>
      </c>
      <c r="S5256" t="s">
        <v>6099</v>
      </c>
      <c r="T5256">
        <v>1</v>
      </c>
      <c r="U5256" t="s">
        <v>6019</v>
      </c>
      <c r="V5256">
        <v>1</v>
      </c>
    </row>
    <row r="5257" spans="1:22" x14ac:dyDescent="0.3">
      <c r="A5257" t="s">
        <v>5272</v>
      </c>
      <c r="B5257" s="2">
        <v>46260.334722222222</v>
      </c>
      <c r="C5257" s="2">
        <v>46260.722222222219</v>
      </c>
      <c r="D5257" t="s">
        <v>6024</v>
      </c>
      <c r="E5257" t="s">
        <v>6029</v>
      </c>
      <c r="F5257" t="s">
        <v>6034</v>
      </c>
      <c r="G5257" t="s">
        <v>6079</v>
      </c>
      <c r="H5257" t="s">
        <v>6097</v>
      </c>
      <c r="I5257">
        <v>24</v>
      </c>
      <c r="J5257">
        <v>9.3000000000000007</v>
      </c>
      <c r="K5257" t="s">
        <v>6099</v>
      </c>
      <c r="L5257" t="s">
        <v>6100</v>
      </c>
      <c r="M5257" t="s">
        <v>6100</v>
      </c>
      <c r="O5257" t="s">
        <v>6101</v>
      </c>
      <c r="P5257" t="s">
        <v>6114</v>
      </c>
      <c r="Q5257">
        <v>8</v>
      </c>
      <c r="R5257">
        <v>2026</v>
      </c>
      <c r="S5257" t="s">
        <v>6099</v>
      </c>
      <c r="T5257">
        <v>1</v>
      </c>
      <c r="U5257" t="s">
        <v>6019</v>
      </c>
      <c r="V5257">
        <v>1</v>
      </c>
    </row>
    <row r="5258" spans="1:22" x14ac:dyDescent="0.3">
      <c r="A5258" t="s">
        <v>5273</v>
      </c>
      <c r="B5258" s="2">
        <v>46260.334722222222</v>
      </c>
      <c r="C5258" s="2">
        <v>46260.643055555556</v>
      </c>
      <c r="D5258" t="s">
        <v>6027</v>
      </c>
      <c r="E5258" t="s">
        <v>6030</v>
      </c>
      <c r="F5258" t="s">
        <v>6035</v>
      </c>
      <c r="G5258" t="s">
        <v>6058</v>
      </c>
      <c r="H5258" t="s">
        <v>6098</v>
      </c>
      <c r="I5258">
        <v>4</v>
      </c>
      <c r="J5258">
        <v>7.4</v>
      </c>
      <c r="K5258" t="s">
        <v>6099</v>
      </c>
      <c r="L5258" t="s">
        <v>6100</v>
      </c>
      <c r="M5258" t="s">
        <v>6100</v>
      </c>
      <c r="N5258">
        <v>3</v>
      </c>
      <c r="O5258" t="s">
        <v>6101</v>
      </c>
      <c r="P5258" t="s">
        <v>6114</v>
      </c>
      <c r="Q5258">
        <v>8</v>
      </c>
      <c r="R5258">
        <v>2026</v>
      </c>
      <c r="S5258" t="s">
        <v>6100</v>
      </c>
      <c r="T5258">
        <v>0</v>
      </c>
      <c r="U5258" t="s">
        <v>6020</v>
      </c>
      <c r="V5258">
        <v>1</v>
      </c>
    </row>
    <row r="5259" spans="1:22" x14ac:dyDescent="0.3">
      <c r="A5259" t="s">
        <v>5274</v>
      </c>
      <c r="B5259" s="2">
        <v>46260.381944444445</v>
      </c>
      <c r="C5259" s="2">
        <v>46261.094444444447</v>
      </c>
      <c r="D5259" t="s">
        <v>6028</v>
      </c>
      <c r="E5259" t="s">
        <v>6031</v>
      </c>
      <c r="F5259" t="s">
        <v>6034</v>
      </c>
      <c r="G5259" t="s">
        <v>6074</v>
      </c>
      <c r="H5259" t="s">
        <v>6098</v>
      </c>
      <c r="I5259">
        <v>24</v>
      </c>
      <c r="J5259">
        <v>17.100000000000001</v>
      </c>
      <c r="K5259" t="s">
        <v>6099</v>
      </c>
      <c r="L5259" t="s">
        <v>6100</v>
      </c>
      <c r="M5259" t="s">
        <v>6100</v>
      </c>
      <c r="N5259">
        <v>5</v>
      </c>
      <c r="O5259" t="s">
        <v>6101</v>
      </c>
      <c r="P5259" t="s">
        <v>6114</v>
      </c>
      <c r="Q5259">
        <v>8</v>
      </c>
      <c r="R5259">
        <v>2026</v>
      </c>
      <c r="S5259" t="s">
        <v>6099</v>
      </c>
      <c r="T5259">
        <v>1</v>
      </c>
      <c r="U5259" t="s">
        <v>6017</v>
      </c>
      <c r="V5259">
        <v>1</v>
      </c>
    </row>
    <row r="5260" spans="1:22" x14ac:dyDescent="0.3">
      <c r="A5260" t="s">
        <v>5275</v>
      </c>
      <c r="B5260" s="2">
        <v>46260.38958333333</v>
      </c>
      <c r="C5260" s="2">
        <v>46262.239583333336</v>
      </c>
      <c r="D5260" t="s">
        <v>6027</v>
      </c>
      <c r="E5260" t="s">
        <v>6031</v>
      </c>
      <c r="F5260" t="s">
        <v>6034</v>
      </c>
      <c r="G5260" t="s">
        <v>6080</v>
      </c>
      <c r="H5260" t="s">
        <v>6096</v>
      </c>
      <c r="I5260">
        <v>24</v>
      </c>
      <c r="J5260">
        <v>44.4</v>
      </c>
      <c r="K5260" t="s">
        <v>6100</v>
      </c>
      <c r="L5260" t="s">
        <v>6099</v>
      </c>
      <c r="M5260" t="s">
        <v>6100</v>
      </c>
      <c r="N5260">
        <v>3</v>
      </c>
      <c r="O5260" t="s">
        <v>6101</v>
      </c>
      <c r="P5260" t="s">
        <v>6114</v>
      </c>
      <c r="Q5260">
        <v>8</v>
      </c>
      <c r="R5260">
        <v>2026</v>
      </c>
      <c r="S5260" t="s">
        <v>6100</v>
      </c>
      <c r="T5260">
        <v>0</v>
      </c>
      <c r="U5260" t="s">
        <v>6021</v>
      </c>
      <c r="V5260">
        <v>0</v>
      </c>
    </row>
    <row r="5261" spans="1:22" x14ac:dyDescent="0.3">
      <c r="A5261" t="s">
        <v>5276</v>
      </c>
      <c r="B5261" s="2">
        <v>46260.436111111114</v>
      </c>
      <c r="C5261" s="2">
        <v>46262.423611111109</v>
      </c>
      <c r="D5261" t="s">
        <v>6028</v>
      </c>
      <c r="E5261" t="s">
        <v>6031</v>
      </c>
      <c r="F5261" t="s">
        <v>6034</v>
      </c>
      <c r="G5261" t="s">
        <v>6036</v>
      </c>
      <c r="H5261" t="s">
        <v>6096</v>
      </c>
      <c r="I5261">
        <v>24</v>
      </c>
      <c r="J5261">
        <v>47.7</v>
      </c>
      <c r="K5261" t="s">
        <v>6099</v>
      </c>
      <c r="L5261" t="s">
        <v>6100</v>
      </c>
      <c r="M5261" t="s">
        <v>6100</v>
      </c>
      <c r="N5261">
        <v>3</v>
      </c>
      <c r="O5261" t="s">
        <v>6101</v>
      </c>
      <c r="P5261" t="s">
        <v>6114</v>
      </c>
      <c r="Q5261">
        <v>8</v>
      </c>
      <c r="R5261">
        <v>2026</v>
      </c>
      <c r="S5261" t="s">
        <v>6100</v>
      </c>
      <c r="T5261">
        <v>0</v>
      </c>
      <c r="U5261" t="s">
        <v>6019</v>
      </c>
      <c r="V5261">
        <v>1</v>
      </c>
    </row>
    <row r="5262" spans="1:22" x14ac:dyDescent="0.3">
      <c r="A5262" t="s">
        <v>5277</v>
      </c>
      <c r="B5262" s="2">
        <v>46260.479166666664</v>
      </c>
      <c r="C5262" s="2">
        <v>46260.770833333336</v>
      </c>
      <c r="D5262" t="s">
        <v>6024</v>
      </c>
      <c r="E5262" t="s">
        <v>6030</v>
      </c>
      <c r="F5262" t="s">
        <v>6034</v>
      </c>
      <c r="G5262" t="s">
        <v>6047</v>
      </c>
      <c r="H5262" t="s">
        <v>6098</v>
      </c>
      <c r="I5262">
        <v>24</v>
      </c>
      <c r="J5262">
        <v>7</v>
      </c>
      <c r="K5262" t="s">
        <v>6099</v>
      </c>
      <c r="L5262" t="s">
        <v>6100</v>
      </c>
      <c r="M5262" t="s">
        <v>6100</v>
      </c>
      <c r="N5262">
        <v>4</v>
      </c>
      <c r="O5262" t="s">
        <v>6101</v>
      </c>
      <c r="P5262" t="s">
        <v>6114</v>
      </c>
      <c r="Q5262">
        <v>8</v>
      </c>
      <c r="R5262">
        <v>2026</v>
      </c>
      <c r="S5262" t="s">
        <v>6099</v>
      </c>
      <c r="T5262">
        <v>1</v>
      </c>
      <c r="U5262" t="s">
        <v>6017</v>
      </c>
      <c r="V5262">
        <v>1</v>
      </c>
    </row>
    <row r="5263" spans="1:22" x14ac:dyDescent="0.3">
      <c r="A5263" t="s">
        <v>5278</v>
      </c>
      <c r="B5263" s="2">
        <v>46260.481249999997</v>
      </c>
      <c r="C5263" s="2">
        <v>46260.627083333333</v>
      </c>
      <c r="D5263" t="s">
        <v>6024</v>
      </c>
      <c r="E5263" t="s">
        <v>6030</v>
      </c>
      <c r="F5263" t="s">
        <v>6034</v>
      </c>
      <c r="G5263" t="s">
        <v>6058</v>
      </c>
      <c r="H5263" t="s">
        <v>6098</v>
      </c>
      <c r="I5263">
        <v>24</v>
      </c>
      <c r="J5263">
        <v>3.5</v>
      </c>
      <c r="K5263" t="s">
        <v>6099</v>
      </c>
      <c r="L5263" t="s">
        <v>6100</v>
      </c>
      <c r="M5263" t="s">
        <v>6100</v>
      </c>
      <c r="N5263">
        <v>3</v>
      </c>
      <c r="O5263" t="s">
        <v>6101</v>
      </c>
      <c r="P5263" t="s">
        <v>6114</v>
      </c>
      <c r="Q5263">
        <v>8</v>
      </c>
      <c r="R5263">
        <v>2026</v>
      </c>
      <c r="S5263" t="s">
        <v>6099</v>
      </c>
      <c r="T5263">
        <v>1</v>
      </c>
      <c r="U5263" t="s">
        <v>6021</v>
      </c>
      <c r="V5263">
        <v>1</v>
      </c>
    </row>
    <row r="5264" spans="1:22" x14ac:dyDescent="0.3">
      <c r="A5264" t="s">
        <v>5279</v>
      </c>
      <c r="B5264" s="2">
        <v>46260.540972222225</v>
      </c>
      <c r="C5264" s="2">
        <v>46261.324305555558</v>
      </c>
      <c r="D5264" t="s">
        <v>6025</v>
      </c>
      <c r="E5264" t="s">
        <v>6031</v>
      </c>
      <c r="F5264" t="s">
        <v>6033</v>
      </c>
      <c r="G5264" t="s">
        <v>6061</v>
      </c>
      <c r="H5264" t="s">
        <v>6096</v>
      </c>
      <c r="I5264">
        <v>72</v>
      </c>
      <c r="J5264">
        <v>18.8</v>
      </c>
      <c r="K5264" t="s">
        <v>6100</v>
      </c>
      <c r="L5264" t="s">
        <v>6099</v>
      </c>
      <c r="M5264" t="s">
        <v>6100</v>
      </c>
      <c r="O5264" t="s">
        <v>6101</v>
      </c>
      <c r="P5264" t="s">
        <v>6114</v>
      </c>
      <c r="Q5264">
        <v>8</v>
      </c>
      <c r="R5264">
        <v>2026</v>
      </c>
      <c r="S5264" t="s">
        <v>6099</v>
      </c>
      <c r="T5264">
        <v>1</v>
      </c>
      <c r="U5264" t="s">
        <v>6018</v>
      </c>
      <c r="V5264">
        <v>0</v>
      </c>
    </row>
    <row r="5265" spans="1:22" x14ac:dyDescent="0.3">
      <c r="A5265" t="s">
        <v>5280</v>
      </c>
      <c r="B5265" s="2">
        <v>46260.623611111114</v>
      </c>
      <c r="C5265" s="2">
        <v>46260.890277777777</v>
      </c>
      <c r="D5265" t="s">
        <v>6023</v>
      </c>
      <c r="E5265" t="s">
        <v>6030</v>
      </c>
      <c r="F5265" t="s">
        <v>6034</v>
      </c>
      <c r="G5265" t="s">
        <v>6091</v>
      </c>
      <c r="H5265" t="s">
        <v>6097</v>
      </c>
      <c r="I5265">
        <v>24</v>
      </c>
      <c r="J5265">
        <v>6.4</v>
      </c>
      <c r="K5265" t="s">
        <v>6099</v>
      </c>
      <c r="L5265" t="s">
        <v>6100</v>
      </c>
      <c r="M5265" t="s">
        <v>6100</v>
      </c>
      <c r="N5265">
        <v>4</v>
      </c>
      <c r="O5265" t="s">
        <v>6101</v>
      </c>
      <c r="P5265" t="s">
        <v>6114</v>
      </c>
      <c r="Q5265">
        <v>8</v>
      </c>
      <c r="R5265">
        <v>2026</v>
      </c>
      <c r="S5265" t="s">
        <v>6099</v>
      </c>
      <c r="T5265">
        <v>1</v>
      </c>
      <c r="U5265" t="s">
        <v>6019</v>
      </c>
      <c r="V5265">
        <v>1</v>
      </c>
    </row>
    <row r="5266" spans="1:22" x14ac:dyDescent="0.3">
      <c r="A5266" t="s">
        <v>5281</v>
      </c>
      <c r="B5266" s="2">
        <v>46260.633333333331</v>
      </c>
      <c r="C5266" s="2">
        <v>46260.675000000003</v>
      </c>
      <c r="D5266" t="s">
        <v>6027</v>
      </c>
      <c r="E5266" t="s">
        <v>6030</v>
      </c>
      <c r="F5266" t="s">
        <v>6033</v>
      </c>
      <c r="G5266" t="s">
        <v>6051</v>
      </c>
      <c r="H5266" t="s">
        <v>6097</v>
      </c>
      <c r="I5266">
        <v>72</v>
      </c>
      <c r="J5266">
        <v>1</v>
      </c>
      <c r="K5266" t="s">
        <v>6100</v>
      </c>
      <c r="L5266" t="s">
        <v>6099</v>
      </c>
      <c r="M5266" t="s">
        <v>6100</v>
      </c>
      <c r="N5266">
        <v>4</v>
      </c>
      <c r="O5266" t="s">
        <v>6101</v>
      </c>
      <c r="P5266" t="s">
        <v>6114</v>
      </c>
      <c r="Q5266">
        <v>8</v>
      </c>
      <c r="R5266">
        <v>2026</v>
      </c>
      <c r="S5266" t="s">
        <v>6099</v>
      </c>
      <c r="T5266">
        <v>1</v>
      </c>
      <c r="U5266" t="s">
        <v>6020</v>
      </c>
      <c r="V5266">
        <v>0</v>
      </c>
    </row>
    <row r="5267" spans="1:22" x14ac:dyDescent="0.3">
      <c r="A5267" t="s">
        <v>5282</v>
      </c>
      <c r="B5267" s="2">
        <v>46260.643750000003</v>
      </c>
      <c r="C5267" s="2">
        <v>46261.07708333333</v>
      </c>
      <c r="D5267" t="s">
        <v>6022</v>
      </c>
      <c r="E5267" t="s">
        <v>6032</v>
      </c>
      <c r="F5267" t="s">
        <v>6033</v>
      </c>
      <c r="G5267" t="s">
        <v>6075</v>
      </c>
      <c r="H5267" t="s">
        <v>6097</v>
      </c>
      <c r="I5267">
        <v>72</v>
      </c>
      <c r="J5267">
        <v>10.4</v>
      </c>
      <c r="K5267" t="s">
        <v>6099</v>
      </c>
      <c r="L5267" t="s">
        <v>6100</v>
      </c>
      <c r="M5267" t="s">
        <v>6100</v>
      </c>
      <c r="N5267">
        <v>5</v>
      </c>
      <c r="O5267" t="s">
        <v>6101</v>
      </c>
      <c r="P5267" t="s">
        <v>6114</v>
      </c>
      <c r="Q5267">
        <v>8</v>
      </c>
      <c r="R5267">
        <v>2026</v>
      </c>
      <c r="S5267" t="s">
        <v>6099</v>
      </c>
      <c r="T5267">
        <v>1</v>
      </c>
      <c r="U5267" t="s">
        <v>6021</v>
      </c>
      <c r="V5267">
        <v>1</v>
      </c>
    </row>
    <row r="5268" spans="1:22" x14ac:dyDescent="0.3">
      <c r="A5268" t="s">
        <v>5283</v>
      </c>
      <c r="B5268" s="2">
        <v>46260.745833333334</v>
      </c>
      <c r="C5268" s="2">
        <v>46261.15</v>
      </c>
      <c r="D5268" t="s">
        <v>6022</v>
      </c>
      <c r="E5268" t="s">
        <v>6030</v>
      </c>
      <c r="F5268" t="s">
        <v>6033</v>
      </c>
      <c r="G5268" t="s">
        <v>6068</v>
      </c>
      <c r="H5268" t="s">
        <v>6098</v>
      </c>
      <c r="I5268">
        <v>72</v>
      </c>
      <c r="J5268">
        <v>9.6999999999999993</v>
      </c>
      <c r="K5268" t="s">
        <v>6099</v>
      </c>
      <c r="L5268" t="s">
        <v>6100</v>
      </c>
      <c r="M5268" t="s">
        <v>6100</v>
      </c>
      <c r="N5268">
        <v>4</v>
      </c>
      <c r="O5268" t="s">
        <v>6101</v>
      </c>
      <c r="P5268" t="s">
        <v>6114</v>
      </c>
      <c r="Q5268">
        <v>8</v>
      </c>
      <c r="R5268">
        <v>2026</v>
      </c>
      <c r="S5268" t="s">
        <v>6099</v>
      </c>
      <c r="T5268">
        <v>1</v>
      </c>
      <c r="U5268" t="s">
        <v>6019</v>
      </c>
      <c r="V5268">
        <v>1</v>
      </c>
    </row>
    <row r="5269" spans="1:22" x14ac:dyDescent="0.3">
      <c r="A5269" t="s">
        <v>5284</v>
      </c>
      <c r="B5269" s="2">
        <v>46260.93472222222</v>
      </c>
      <c r="C5269" s="2">
        <v>46261.272222222222</v>
      </c>
      <c r="D5269" t="s">
        <v>6023</v>
      </c>
      <c r="E5269" t="s">
        <v>6029</v>
      </c>
      <c r="F5269" t="s">
        <v>6034</v>
      </c>
      <c r="G5269" t="s">
        <v>6090</v>
      </c>
      <c r="H5269" t="s">
        <v>6097</v>
      </c>
      <c r="I5269">
        <v>24</v>
      </c>
      <c r="J5269">
        <v>8.1</v>
      </c>
      <c r="K5269" t="s">
        <v>6099</v>
      </c>
      <c r="L5269" t="s">
        <v>6100</v>
      </c>
      <c r="M5269" t="s">
        <v>6100</v>
      </c>
      <c r="N5269">
        <v>5</v>
      </c>
      <c r="O5269" t="s">
        <v>6101</v>
      </c>
      <c r="P5269" t="s">
        <v>6114</v>
      </c>
      <c r="Q5269">
        <v>8</v>
      </c>
      <c r="R5269">
        <v>2026</v>
      </c>
      <c r="S5269" t="s">
        <v>6099</v>
      </c>
      <c r="T5269">
        <v>1</v>
      </c>
      <c r="U5269" t="s">
        <v>6017</v>
      </c>
      <c r="V5269">
        <v>1</v>
      </c>
    </row>
    <row r="5270" spans="1:22" x14ac:dyDescent="0.3">
      <c r="A5270" t="s">
        <v>5285</v>
      </c>
      <c r="B5270" s="2">
        <v>46261.125</v>
      </c>
      <c r="C5270" s="2">
        <v>46261.3</v>
      </c>
      <c r="D5270" t="s">
        <v>6023</v>
      </c>
      <c r="E5270" t="s">
        <v>6030</v>
      </c>
      <c r="F5270" t="s">
        <v>6034</v>
      </c>
      <c r="G5270" t="s">
        <v>6048</v>
      </c>
      <c r="H5270" t="s">
        <v>6096</v>
      </c>
      <c r="I5270">
        <v>24</v>
      </c>
      <c r="J5270">
        <v>4.2</v>
      </c>
      <c r="K5270" t="s">
        <v>6099</v>
      </c>
      <c r="L5270" t="s">
        <v>6100</v>
      </c>
      <c r="M5270" t="s">
        <v>6100</v>
      </c>
      <c r="O5270" t="s">
        <v>6101</v>
      </c>
      <c r="P5270" t="s">
        <v>6114</v>
      </c>
      <c r="Q5270">
        <v>8</v>
      </c>
      <c r="R5270">
        <v>2026</v>
      </c>
      <c r="S5270" t="s">
        <v>6099</v>
      </c>
      <c r="T5270">
        <v>1</v>
      </c>
      <c r="U5270" t="s">
        <v>6020</v>
      </c>
      <c r="V5270">
        <v>1</v>
      </c>
    </row>
    <row r="5271" spans="1:22" x14ac:dyDescent="0.3">
      <c r="A5271" t="s">
        <v>5286</v>
      </c>
      <c r="B5271" s="2">
        <v>46261.263194444444</v>
      </c>
      <c r="C5271" s="2">
        <v>46261.842361111114</v>
      </c>
      <c r="D5271" t="s">
        <v>6022</v>
      </c>
      <c r="E5271" t="s">
        <v>6029</v>
      </c>
      <c r="F5271" t="s">
        <v>6034</v>
      </c>
      <c r="G5271" t="s">
        <v>6046</v>
      </c>
      <c r="H5271" t="s">
        <v>6098</v>
      </c>
      <c r="I5271">
        <v>24</v>
      </c>
      <c r="J5271">
        <v>13.9</v>
      </c>
      <c r="K5271" t="s">
        <v>6099</v>
      </c>
      <c r="L5271" t="s">
        <v>6100</v>
      </c>
      <c r="M5271" t="s">
        <v>6100</v>
      </c>
      <c r="O5271" t="s">
        <v>6101</v>
      </c>
      <c r="P5271" t="s">
        <v>6114</v>
      </c>
      <c r="Q5271">
        <v>8</v>
      </c>
      <c r="R5271">
        <v>2026</v>
      </c>
      <c r="S5271" t="s">
        <v>6099</v>
      </c>
      <c r="T5271">
        <v>1</v>
      </c>
      <c r="U5271" t="s">
        <v>6021</v>
      </c>
      <c r="V5271">
        <v>1</v>
      </c>
    </row>
    <row r="5272" spans="1:22" x14ac:dyDescent="0.3">
      <c r="A5272" t="s">
        <v>5287</v>
      </c>
      <c r="B5272" s="2">
        <v>46261.295138888891</v>
      </c>
      <c r="C5272" s="2">
        <v>46261.603472222225</v>
      </c>
      <c r="D5272" t="s">
        <v>6028</v>
      </c>
      <c r="E5272" t="s">
        <v>6029</v>
      </c>
      <c r="F5272" t="s">
        <v>6033</v>
      </c>
      <c r="G5272" t="s">
        <v>6039</v>
      </c>
      <c r="H5272" t="s">
        <v>6097</v>
      </c>
      <c r="I5272">
        <v>72</v>
      </c>
      <c r="J5272">
        <v>7.4</v>
      </c>
      <c r="K5272" t="s">
        <v>6099</v>
      </c>
      <c r="L5272" t="s">
        <v>6100</v>
      </c>
      <c r="M5272" t="s">
        <v>6100</v>
      </c>
      <c r="O5272" t="s">
        <v>6101</v>
      </c>
      <c r="P5272" t="s">
        <v>6114</v>
      </c>
      <c r="Q5272">
        <v>8</v>
      </c>
      <c r="R5272">
        <v>2026</v>
      </c>
      <c r="S5272" t="s">
        <v>6099</v>
      </c>
      <c r="T5272">
        <v>1</v>
      </c>
      <c r="U5272" t="s">
        <v>6017</v>
      </c>
      <c r="V5272">
        <v>1</v>
      </c>
    </row>
    <row r="5273" spans="1:22" x14ac:dyDescent="0.3">
      <c r="A5273" t="s">
        <v>5288</v>
      </c>
      <c r="B5273" s="2">
        <v>46261.379166666666</v>
      </c>
      <c r="C5273" s="2">
        <v>46261.724999999999</v>
      </c>
      <c r="D5273" t="s">
        <v>6025</v>
      </c>
      <c r="E5273" t="s">
        <v>6029</v>
      </c>
      <c r="F5273" t="s">
        <v>6034</v>
      </c>
      <c r="G5273" t="s">
        <v>6038</v>
      </c>
      <c r="H5273" t="s">
        <v>6096</v>
      </c>
      <c r="I5273">
        <v>24</v>
      </c>
      <c r="J5273">
        <v>8.3000000000000007</v>
      </c>
      <c r="K5273" t="s">
        <v>6099</v>
      </c>
      <c r="L5273" t="s">
        <v>6100</v>
      </c>
      <c r="M5273" t="s">
        <v>6100</v>
      </c>
      <c r="O5273" t="s">
        <v>6101</v>
      </c>
      <c r="P5273" t="s">
        <v>6114</v>
      </c>
      <c r="Q5273">
        <v>8</v>
      </c>
      <c r="R5273">
        <v>2026</v>
      </c>
      <c r="S5273" t="s">
        <v>6099</v>
      </c>
      <c r="T5273">
        <v>1</v>
      </c>
      <c r="U5273" t="s">
        <v>6020</v>
      </c>
      <c r="V5273">
        <v>1</v>
      </c>
    </row>
    <row r="5274" spans="1:22" x14ac:dyDescent="0.3">
      <c r="A5274" t="s">
        <v>5289</v>
      </c>
      <c r="B5274" s="2">
        <v>46261.383333333331</v>
      </c>
      <c r="C5274" s="2">
        <v>46262.445833333331</v>
      </c>
      <c r="D5274" t="s">
        <v>6028</v>
      </c>
      <c r="E5274" t="s">
        <v>6031</v>
      </c>
      <c r="F5274" t="s">
        <v>6035</v>
      </c>
      <c r="G5274" t="s">
        <v>6064</v>
      </c>
      <c r="H5274" t="s">
        <v>6096</v>
      </c>
      <c r="I5274">
        <v>4</v>
      </c>
      <c r="J5274">
        <v>25.5</v>
      </c>
      <c r="K5274" t="s">
        <v>6099</v>
      </c>
      <c r="L5274" t="s">
        <v>6100</v>
      </c>
      <c r="M5274" t="s">
        <v>6099</v>
      </c>
      <c r="N5274">
        <v>4</v>
      </c>
      <c r="O5274" t="s">
        <v>6101</v>
      </c>
      <c r="P5274" t="s">
        <v>6114</v>
      </c>
      <c r="Q5274">
        <v>8</v>
      </c>
      <c r="R5274">
        <v>2026</v>
      </c>
      <c r="S5274" t="s">
        <v>6100</v>
      </c>
      <c r="T5274">
        <v>0</v>
      </c>
      <c r="U5274" t="s">
        <v>6018</v>
      </c>
      <c r="V5274">
        <v>1</v>
      </c>
    </row>
    <row r="5275" spans="1:22" x14ac:dyDescent="0.3">
      <c r="A5275" t="s">
        <v>5290</v>
      </c>
      <c r="B5275" s="2">
        <v>46261.426388888889</v>
      </c>
      <c r="C5275" s="2">
        <v>46261.893055555556</v>
      </c>
      <c r="D5275" t="s">
        <v>6023</v>
      </c>
      <c r="E5275" t="s">
        <v>6029</v>
      </c>
      <c r="F5275" t="s">
        <v>6033</v>
      </c>
      <c r="G5275" t="s">
        <v>6066</v>
      </c>
      <c r="H5275" t="s">
        <v>6096</v>
      </c>
      <c r="I5275">
        <v>72</v>
      </c>
      <c r="J5275">
        <v>11.2</v>
      </c>
      <c r="K5275" t="s">
        <v>6100</v>
      </c>
      <c r="L5275" t="s">
        <v>6100</v>
      </c>
      <c r="M5275" t="s">
        <v>6100</v>
      </c>
      <c r="O5275" t="s">
        <v>6101</v>
      </c>
      <c r="P5275" t="s">
        <v>6114</v>
      </c>
      <c r="Q5275">
        <v>8</v>
      </c>
      <c r="R5275">
        <v>2026</v>
      </c>
      <c r="S5275" t="s">
        <v>6099</v>
      </c>
      <c r="T5275">
        <v>1</v>
      </c>
      <c r="U5275" t="s">
        <v>6020</v>
      </c>
      <c r="V5275">
        <v>0</v>
      </c>
    </row>
    <row r="5276" spans="1:22" x14ac:dyDescent="0.3">
      <c r="A5276" t="s">
        <v>5291</v>
      </c>
      <c r="B5276" s="2">
        <v>46261.447222222225</v>
      </c>
      <c r="C5276" s="2">
        <v>46262.518055555556</v>
      </c>
      <c r="D5276" t="s">
        <v>6028</v>
      </c>
      <c r="E5276" t="s">
        <v>6031</v>
      </c>
      <c r="F5276" t="s">
        <v>6035</v>
      </c>
      <c r="G5276" t="s">
        <v>6076</v>
      </c>
      <c r="H5276" t="s">
        <v>6097</v>
      </c>
      <c r="I5276">
        <v>4</v>
      </c>
      <c r="J5276">
        <v>25.7</v>
      </c>
      <c r="K5276" t="s">
        <v>6099</v>
      </c>
      <c r="L5276" t="s">
        <v>6100</v>
      </c>
      <c r="M5276" t="s">
        <v>6100</v>
      </c>
      <c r="N5276">
        <v>2</v>
      </c>
      <c r="O5276" t="s">
        <v>6101</v>
      </c>
      <c r="P5276" t="s">
        <v>6114</v>
      </c>
      <c r="Q5276">
        <v>8</v>
      </c>
      <c r="R5276">
        <v>2026</v>
      </c>
      <c r="S5276" t="s">
        <v>6100</v>
      </c>
      <c r="T5276">
        <v>0</v>
      </c>
      <c r="U5276" t="s">
        <v>6019</v>
      </c>
      <c r="V5276">
        <v>1</v>
      </c>
    </row>
    <row r="5277" spans="1:22" x14ac:dyDescent="0.3">
      <c r="A5277" t="s">
        <v>5292</v>
      </c>
      <c r="B5277" s="2">
        <v>46261.49722222222</v>
      </c>
      <c r="C5277" s="2">
        <v>46261.697222222225</v>
      </c>
      <c r="D5277" t="s">
        <v>6023</v>
      </c>
      <c r="E5277" t="s">
        <v>6029</v>
      </c>
      <c r="F5277" t="s">
        <v>6035</v>
      </c>
      <c r="G5277" t="s">
        <v>6081</v>
      </c>
      <c r="H5277" t="s">
        <v>6098</v>
      </c>
      <c r="I5277">
        <v>4</v>
      </c>
      <c r="J5277">
        <v>4.8</v>
      </c>
      <c r="K5277" t="s">
        <v>6100</v>
      </c>
      <c r="L5277" t="s">
        <v>6099</v>
      </c>
      <c r="M5277" t="s">
        <v>6100</v>
      </c>
      <c r="O5277" t="s">
        <v>6101</v>
      </c>
      <c r="P5277" t="s">
        <v>6114</v>
      </c>
      <c r="Q5277">
        <v>8</v>
      </c>
      <c r="R5277">
        <v>2026</v>
      </c>
      <c r="S5277" t="s">
        <v>6100</v>
      </c>
      <c r="T5277">
        <v>0</v>
      </c>
      <c r="U5277" t="s">
        <v>6019</v>
      </c>
      <c r="V5277">
        <v>0</v>
      </c>
    </row>
    <row r="5278" spans="1:22" x14ac:dyDescent="0.3">
      <c r="A5278" t="s">
        <v>5293</v>
      </c>
      <c r="B5278" s="2">
        <v>46261.499305555553</v>
      </c>
      <c r="C5278" s="2">
        <v>46262.186805555553</v>
      </c>
      <c r="D5278" t="s">
        <v>6026</v>
      </c>
      <c r="E5278" t="s">
        <v>6029</v>
      </c>
      <c r="F5278" t="s">
        <v>6035</v>
      </c>
      <c r="G5278" t="s">
        <v>6053</v>
      </c>
      <c r="H5278" t="s">
        <v>6097</v>
      </c>
      <c r="I5278">
        <v>4</v>
      </c>
      <c r="J5278">
        <v>16.5</v>
      </c>
      <c r="K5278" t="s">
        <v>6099</v>
      </c>
      <c r="L5278" t="s">
        <v>6100</v>
      </c>
      <c r="M5278" t="s">
        <v>6100</v>
      </c>
      <c r="N5278">
        <v>4</v>
      </c>
      <c r="O5278" t="s">
        <v>6101</v>
      </c>
      <c r="P5278" t="s">
        <v>6114</v>
      </c>
      <c r="Q5278">
        <v>8</v>
      </c>
      <c r="R5278">
        <v>2026</v>
      </c>
      <c r="S5278" t="s">
        <v>6100</v>
      </c>
      <c r="T5278">
        <v>0</v>
      </c>
      <c r="U5278" t="s">
        <v>6020</v>
      </c>
      <c r="V5278">
        <v>1</v>
      </c>
    </row>
    <row r="5279" spans="1:22" x14ac:dyDescent="0.3">
      <c r="A5279" t="s">
        <v>5294</v>
      </c>
      <c r="B5279" s="2">
        <v>46261.500694444447</v>
      </c>
      <c r="C5279" s="2">
        <v>46261.804861111108</v>
      </c>
      <c r="D5279" t="s">
        <v>6024</v>
      </c>
      <c r="E5279" t="s">
        <v>6029</v>
      </c>
      <c r="F5279" t="s">
        <v>6035</v>
      </c>
      <c r="G5279" t="s">
        <v>6050</v>
      </c>
      <c r="H5279" t="s">
        <v>6098</v>
      </c>
      <c r="I5279">
        <v>4</v>
      </c>
      <c r="J5279">
        <v>7.3</v>
      </c>
      <c r="K5279" t="s">
        <v>6100</v>
      </c>
      <c r="L5279" t="s">
        <v>6099</v>
      </c>
      <c r="M5279" t="s">
        <v>6100</v>
      </c>
      <c r="O5279" t="s">
        <v>6101</v>
      </c>
      <c r="P5279" t="s">
        <v>6114</v>
      </c>
      <c r="Q5279">
        <v>8</v>
      </c>
      <c r="R5279">
        <v>2026</v>
      </c>
      <c r="S5279" t="s">
        <v>6100</v>
      </c>
      <c r="T5279">
        <v>0</v>
      </c>
      <c r="U5279" t="s">
        <v>6021</v>
      </c>
      <c r="V5279">
        <v>0</v>
      </c>
    </row>
    <row r="5280" spans="1:22" x14ac:dyDescent="0.3">
      <c r="A5280" t="s">
        <v>5295</v>
      </c>
      <c r="B5280" s="2">
        <v>46261.527777777781</v>
      </c>
      <c r="C5280" s="2">
        <v>46261.865277777775</v>
      </c>
      <c r="D5280" t="s">
        <v>6023</v>
      </c>
      <c r="E5280" t="s">
        <v>6029</v>
      </c>
      <c r="F5280" t="s">
        <v>6034</v>
      </c>
      <c r="G5280" t="s">
        <v>6037</v>
      </c>
      <c r="H5280" t="s">
        <v>6096</v>
      </c>
      <c r="I5280">
        <v>24</v>
      </c>
      <c r="J5280">
        <v>8.1</v>
      </c>
      <c r="K5280" t="s">
        <v>6100</v>
      </c>
      <c r="L5280" t="s">
        <v>6100</v>
      </c>
      <c r="M5280" t="s">
        <v>6100</v>
      </c>
      <c r="N5280">
        <v>4</v>
      </c>
      <c r="O5280" t="s">
        <v>6101</v>
      </c>
      <c r="P5280" t="s">
        <v>6114</v>
      </c>
      <c r="Q5280">
        <v>8</v>
      </c>
      <c r="R5280">
        <v>2026</v>
      </c>
      <c r="S5280" t="s">
        <v>6099</v>
      </c>
      <c r="T5280">
        <v>1</v>
      </c>
      <c r="U5280" t="s">
        <v>6019</v>
      </c>
      <c r="V5280">
        <v>0</v>
      </c>
    </row>
    <row r="5281" spans="1:22" x14ac:dyDescent="0.3">
      <c r="A5281" t="s">
        <v>5296</v>
      </c>
      <c r="B5281" s="2">
        <v>46261.546527777777</v>
      </c>
      <c r="C5281" s="2">
        <v>46261.679861111108</v>
      </c>
      <c r="D5281" t="s">
        <v>6023</v>
      </c>
      <c r="E5281" t="s">
        <v>6029</v>
      </c>
      <c r="F5281" t="s">
        <v>6033</v>
      </c>
      <c r="G5281" t="s">
        <v>6063</v>
      </c>
      <c r="H5281" t="s">
        <v>6097</v>
      </c>
      <c r="I5281">
        <v>72</v>
      </c>
      <c r="K5281" t="s">
        <v>6099</v>
      </c>
      <c r="L5281" t="s">
        <v>6100</v>
      </c>
      <c r="M5281" t="s">
        <v>6100</v>
      </c>
      <c r="N5281">
        <v>4</v>
      </c>
      <c r="O5281" t="s">
        <v>6101</v>
      </c>
      <c r="P5281" t="s">
        <v>6114</v>
      </c>
      <c r="Q5281">
        <v>8</v>
      </c>
      <c r="R5281">
        <v>2026</v>
      </c>
      <c r="U5281" t="s">
        <v>6021</v>
      </c>
      <c r="V5281">
        <v>1</v>
      </c>
    </row>
    <row r="5282" spans="1:22" x14ac:dyDescent="0.3">
      <c r="A5282" t="s">
        <v>5297</v>
      </c>
      <c r="B5282" s="2">
        <v>46261.571527777778</v>
      </c>
      <c r="C5282" s="2">
        <v>46262.484027777777</v>
      </c>
      <c r="D5282" t="s">
        <v>6022</v>
      </c>
      <c r="E5282" t="s">
        <v>6032</v>
      </c>
      <c r="F5282" t="s">
        <v>6035</v>
      </c>
      <c r="G5282" t="s">
        <v>6066</v>
      </c>
      <c r="H5282" t="s">
        <v>6096</v>
      </c>
      <c r="I5282">
        <v>4</v>
      </c>
      <c r="J5282">
        <v>21.9</v>
      </c>
      <c r="K5282" t="s">
        <v>6099</v>
      </c>
      <c r="L5282" t="s">
        <v>6100</v>
      </c>
      <c r="M5282" t="s">
        <v>6100</v>
      </c>
      <c r="N5282">
        <v>5</v>
      </c>
      <c r="O5282" t="s">
        <v>6101</v>
      </c>
      <c r="P5282" t="s">
        <v>6114</v>
      </c>
      <c r="Q5282">
        <v>8</v>
      </c>
      <c r="R5282">
        <v>2026</v>
      </c>
      <c r="S5282" t="s">
        <v>6100</v>
      </c>
      <c r="T5282">
        <v>0</v>
      </c>
      <c r="U5282" t="s">
        <v>6018</v>
      </c>
      <c r="V5282">
        <v>1</v>
      </c>
    </row>
    <row r="5283" spans="1:22" x14ac:dyDescent="0.3">
      <c r="A5283" t="s">
        <v>5298</v>
      </c>
      <c r="B5283" s="2">
        <v>46261.62222222222</v>
      </c>
      <c r="C5283" s="2">
        <v>46261.776388888888</v>
      </c>
      <c r="D5283" t="s">
        <v>6023</v>
      </c>
      <c r="E5283" t="s">
        <v>6029</v>
      </c>
      <c r="F5283" t="s">
        <v>6033</v>
      </c>
      <c r="G5283" t="s">
        <v>6089</v>
      </c>
      <c r="H5283" t="s">
        <v>6098</v>
      </c>
      <c r="I5283">
        <v>72</v>
      </c>
      <c r="J5283">
        <v>3.7</v>
      </c>
      <c r="K5283" t="s">
        <v>6099</v>
      </c>
      <c r="L5283" t="s">
        <v>6100</v>
      </c>
      <c r="M5283" t="s">
        <v>6100</v>
      </c>
      <c r="N5283">
        <v>5</v>
      </c>
      <c r="O5283" t="s">
        <v>6101</v>
      </c>
      <c r="P5283" t="s">
        <v>6114</v>
      </c>
      <c r="Q5283">
        <v>8</v>
      </c>
      <c r="R5283">
        <v>2026</v>
      </c>
      <c r="S5283" t="s">
        <v>6099</v>
      </c>
      <c r="T5283">
        <v>1</v>
      </c>
      <c r="U5283" t="s">
        <v>6018</v>
      </c>
      <c r="V5283">
        <v>1</v>
      </c>
    </row>
    <row r="5284" spans="1:22" x14ac:dyDescent="0.3">
      <c r="A5284" t="s">
        <v>5299</v>
      </c>
      <c r="B5284" s="2">
        <v>46261.625</v>
      </c>
      <c r="C5284" s="2">
        <v>46262.037499999999</v>
      </c>
      <c r="D5284" t="s">
        <v>6027</v>
      </c>
      <c r="E5284" t="s">
        <v>6030</v>
      </c>
      <c r="F5284" t="s">
        <v>6035</v>
      </c>
      <c r="G5284" t="s">
        <v>6036</v>
      </c>
      <c r="H5284" t="s">
        <v>6096</v>
      </c>
      <c r="I5284">
        <v>4</v>
      </c>
      <c r="J5284">
        <v>9.9</v>
      </c>
      <c r="K5284" t="s">
        <v>6099</v>
      </c>
      <c r="L5284" t="s">
        <v>6100</v>
      </c>
      <c r="M5284" t="s">
        <v>6100</v>
      </c>
      <c r="N5284">
        <v>4</v>
      </c>
      <c r="O5284" t="s">
        <v>6101</v>
      </c>
      <c r="P5284" t="s">
        <v>6114</v>
      </c>
      <c r="Q5284">
        <v>8</v>
      </c>
      <c r="R5284">
        <v>2026</v>
      </c>
      <c r="S5284" t="s">
        <v>6100</v>
      </c>
      <c r="T5284">
        <v>0</v>
      </c>
      <c r="U5284" t="s">
        <v>6017</v>
      </c>
      <c r="V5284">
        <v>1</v>
      </c>
    </row>
    <row r="5285" spans="1:22" x14ac:dyDescent="0.3">
      <c r="A5285" t="s">
        <v>5300</v>
      </c>
      <c r="B5285" s="2">
        <v>46261.634722222225</v>
      </c>
      <c r="C5285" s="2">
        <v>46265.93472222222</v>
      </c>
      <c r="D5285" t="s">
        <v>6025</v>
      </c>
      <c r="E5285" t="s">
        <v>6031</v>
      </c>
      <c r="F5285" t="s">
        <v>6034</v>
      </c>
      <c r="G5285" t="s">
        <v>6059</v>
      </c>
      <c r="H5285" t="s">
        <v>6097</v>
      </c>
      <c r="I5285">
        <v>24</v>
      </c>
      <c r="J5285">
        <v>103.2</v>
      </c>
      <c r="K5285" t="s">
        <v>6099</v>
      </c>
      <c r="L5285" t="s">
        <v>6100</v>
      </c>
      <c r="M5285" t="s">
        <v>6100</v>
      </c>
      <c r="N5285">
        <v>4</v>
      </c>
      <c r="O5285" t="s">
        <v>6101</v>
      </c>
      <c r="P5285" t="s">
        <v>6114</v>
      </c>
      <c r="Q5285">
        <v>8</v>
      </c>
      <c r="R5285">
        <v>2026</v>
      </c>
      <c r="S5285" t="s">
        <v>6100</v>
      </c>
      <c r="T5285">
        <v>0</v>
      </c>
      <c r="U5285" t="s">
        <v>6018</v>
      </c>
      <c r="V5285">
        <v>1</v>
      </c>
    </row>
    <row r="5286" spans="1:22" x14ac:dyDescent="0.3">
      <c r="A5286" t="s">
        <v>5301</v>
      </c>
      <c r="B5286" s="2">
        <v>46261.643750000003</v>
      </c>
      <c r="C5286" s="2">
        <v>46261.789583333331</v>
      </c>
      <c r="D5286" t="s">
        <v>6023</v>
      </c>
      <c r="E5286" t="s">
        <v>6029</v>
      </c>
      <c r="F5286" t="s">
        <v>6033</v>
      </c>
      <c r="G5286" t="s">
        <v>6045</v>
      </c>
      <c r="H5286" t="s">
        <v>6096</v>
      </c>
      <c r="I5286">
        <v>72</v>
      </c>
      <c r="J5286">
        <v>3.5</v>
      </c>
      <c r="K5286" t="s">
        <v>6099</v>
      </c>
      <c r="L5286" t="s">
        <v>6100</v>
      </c>
      <c r="M5286" t="s">
        <v>6100</v>
      </c>
      <c r="N5286">
        <v>4</v>
      </c>
      <c r="O5286" t="s">
        <v>6101</v>
      </c>
      <c r="P5286" t="s">
        <v>6114</v>
      </c>
      <c r="Q5286">
        <v>8</v>
      </c>
      <c r="R5286">
        <v>2026</v>
      </c>
      <c r="S5286" t="s">
        <v>6099</v>
      </c>
      <c r="T5286">
        <v>1</v>
      </c>
      <c r="U5286" t="s">
        <v>6021</v>
      </c>
      <c r="V5286">
        <v>1</v>
      </c>
    </row>
    <row r="5287" spans="1:22" x14ac:dyDescent="0.3">
      <c r="A5287" t="s">
        <v>5302</v>
      </c>
      <c r="B5287" s="2">
        <v>46261.656944444447</v>
      </c>
      <c r="C5287" s="2">
        <v>46261.881944444445</v>
      </c>
      <c r="D5287" t="s">
        <v>6024</v>
      </c>
      <c r="E5287" t="s">
        <v>6029</v>
      </c>
      <c r="F5287" t="s">
        <v>6033</v>
      </c>
      <c r="G5287" t="s">
        <v>6038</v>
      </c>
      <c r="H5287" t="s">
        <v>6096</v>
      </c>
      <c r="I5287">
        <v>72</v>
      </c>
      <c r="J5287">
        <v>5.4</v>
      </c>
      <c r="K5287" t="s">
        <v>6099</v>
      </c>
      <c r="L5287" t="s">
        <v>6100</v>
      </c>
      <c r="M5287" t="s">
        <v>6100</v>
      </c>
      <c r="N5287">
        <v>5</v>
      </c>
      <c r="O5287" t="s">
        <v>6101</v>
      </c>
      <c r="P5287" t="s">
        <v>6114</v>
      </c>
      <c r="Q5287">
        <v>8</v>
      </c>
      <c r="R5287">
        <v>2026</v>
      </c>
      <c r="S5287" t="s">
        <v>6099</v>
      </c>
      <c r="T5287">
        <v>1</v>
      </c>
      <c r="U5287" t="s">
        <v>6019</v>
      </c>
      <c r="V5287">
        <v>1</v>
      </c>
    </row>
    <row r="5288" spans="1:22" x14ac:dyDescent="0.3">
      <c r="A5288" t="s">
        <v>5303</v>
      </c>
      <c r="B5288" s="2">
        <v>46261.67291666667</v>
      </c>
      <c r="C5288" s="2">
        <v>46261.931250000001</v>
      </c>
      <c r="D5288" t="s">
        <v>6023</v>
      </c>
      <c r="E5288" t="s">
        <v>6029</v>
      </c>
      <c r="F5288" t="s">
        <v>6033</v>
      </c>
      <c r="G5288" t="s">
        <v>6040</v>
      </c>
      <c r="H5288" t="s">
        <v>6097</v>
      </c>
      <c r="I5288">
        <v>72</v>
      </c>
      <c r="J5288">
        <v>6.2</v>
      </c>
      <c r="K5288" t="s">
        <v>6099</v>
      </c>
      <c r="L5288" t="s">
        <v>6100</v>
      </c>
      <c r="M5288" t="s">
        <v>6100</v>
      </c>
      <c r="O5288" t="s">
        <v>6101</v>
      </c>
      <c r="P5288" t="s">
        <v>6114</v>
      </c>
      <c r="Q5288">
        <v>8</v>
      </c>
      <c r="R5288">
        <v>2026</v>
      </c>
      <c r="S5288" t="s">
        <v>6099</v>
      </c>
      <c r="T5288">
        <v>1</v>
      </c>
      <c r="U5288" t="s">
        <v>6017</v>
      </c>
      <c r="V5288">
        <v>1</v>
      </c>
    </row>
    <row r="5289" spans="1:22" x14ac:dyDescent="0.3">
      <c r="A5289" t="s">
        <v>5304</v>
      </c>
      <c r="B5289" s="2">
        <v>46261.741666666669</v>
      </c>
      <c r="C5289" s="2">
        <v>46262.2</v>
      </c>
      <c r="D5289" t="s">
        <v>6024</v>
      </c>
      <c r="E5289" t="s">
        <v>6029</v>
      </c>
      <c r="F5289" t="s">
        <v>6033</v>
      </c>
      <c r="G5289" t="s">
        <v>6068</v>
      </c>
      <c r="H5289" t="s">
        <v>6098</v>
      </c>
      <c r="I5289">
        <v>72</v>
      </c>
      <c r="J5289">
        <v>11</v>
      </c>
      <c r="K5289" t="s">
        <v>6099</v>
      </c>
      <c r="L5289" t="s">
        <v>6100</v>
      </c>
      <c r="M5289" t="s">
        <v>6100</v>
      </c>
      <c r="O5289" t="s">
        <v>6101</v>
      </c>
      <c r="P5289" t="s">
        <v>6114</v>
      </c>
      <c r="Q5289">
        <v>8</v>
      </c>
      <c r="R5289">
        <v>2026</v>
      </c>
      <c r="S5289" t="s">
        <v>6099</v>
      </c>
      <c r="T5289">
        <v>1</v>
      </c>
      <c r="U5289" t="s">
        <v>6021</v>
      </c>
      <c r="V5289">
        <v>1</v>
      </c>
    </row>
    <row r="5290" spans="1:22" x14ac:dyDescent="0.3">
      <c r="A5290" t="s">
        <v>5305</v>
      </c>
      <c r="B5290" s="2">
        <v>46261.754166666666</v>
      </c>
      <c r="C5290" s="2">
        <v>46263.85</v>
      </c>
      <c r="D5290" t="s">
        <v>6026</v>
      </c>
      <c r="E5290" t="s">
        <v>6031</v>
      </c>
      <c r="F5290" t="s">
        <v>6034</v>
      </c>
      <c r="G5290" t="s">
        <v>6073</v>
      </c>
      <c r="H5290" t="s">
        <v>6096</v>
      </c>
      <c r="I5290">
        <v>24</v>
      </c>
      <c r="J5290">
        <v>50.3</v>
      </c>
      <c r="K5290" t="s">
        <v>6100</v>
      </c>
      <c r="L5290" t="s">
        <v>6099</v>
      </c>
      <c r="M5290" t="s">
        <v>6100</v>
      </c>
      <c r="O5290" t="s">
        <v>6101</v>
      </c>
      <c r="P5290" t="s">
        <v>6114</v>
      </c>
      <c r="Q5290">
        <v>8</v>
      </c>
      <c r="R5290">
        <v>2026</v>
      </c>
      <c r="S5290" t="s">
        <v>6100</v>
      </c>
      <c r="T5290">
        <v>0</v>
      </c>
      <c r="U5290" t="s">
        <v>6018</v>
      </c>
      <c r="V5290">
        <v>0</v>
      </c>
    </row>
    <row r="5291" spans="1:22" x14ac:dyDescent="0.3">
      <c r="A5291" t="s">
        <v>5306</v>
      </c>
      <c r="B5291" s="2">
        <v>46261.777777777781</v>
      </c>
      <c r="C5291" s="2">
        <v>46262.577777777777</v>
      </c>
      <c r="D5291" t="s">
        <v>6022</v>
      </c>
      <c r="E5291" t="s">
        <v>6029</v>
      </c>
      <c r="F5291" t="s">
        <v>6034</v>
      </c>
      <c r="G5291" t="s">
        <v>6062</v>
      </c>
      <c r="H5291" t="s">
        <v>6096</v>
      </c>
      <c r="I5291">
        <v>24</v>
      </c>
      <c r="J5291">
        <v>19.2</v>
      </c>
      <c r="K5291" t="s">
        <v>6100</v>
      </c>
      <c r="L5291" t="s">
        <v>6099</v>
      </c>
      <c r="M5291" t="s">
        <v>6100</v>
      </c>
      <c r="O5291" t="s">
        <v>6101</v>
      </c>
      <c r="P5291" t="s">
        <v>6114</v>
      </c>
      <c r="Q5291">
        <v>8</v>
      </c>
      <c r="R5291">
        <v>2026</v>
      </c>
      <c r="S5291" t="s">
        <v>6099</v>
      </c>
      <c r="T5291">
        <v>1</v>
      </c>
      <c r="U5291" t="s">
        <v>6020</v>
      </c>
      <c r="V5291">
        <v>0</v>
      </c>
    </row>
    <row r="5292" spans="1:22" x14ac:dyDescent="0.3">
      <c r="A5292" t="s">
        <v>5307</v>
      </c>
      <c r="B5292" s="2">
        <v>46261.822916666664</v>
      </c>
      <c r="C5292" s="2">
        <v>46262.910416666666</v>
      </c>
      <c r="D5292" t="s">
        <v>6026</v>
      </c>
      <c r="E5292" t="s">
        <v>6029</v>
      </c>
      <c r="F5292" t="s">
        <v>6033</v>
      </c>
      <c r="G5292" t="s">
        <v>6074</v>
      </c>
      <c r="H5292" t="s">
        <v>6098</v>
      </c>
      <c r="I5292">
        <v>72</v>
      </c>
      <c r="J5292">
        <v>26.1</v>
      </c>
      <c r="K5292" t="s">
        <v>6099</v>
      </c>
      <c r="L5292" t="s">
        <v>6100</v>
      </c>
      <c r="M5292" t="s">
        <v>6100</v>
      </c>
      <c r="N5292">
        <v>5</v>
      </c>
      <c r="O5292" t="s">
        <v>6101</v>
      </c>
      <c r="P5292" t="s">
        <v>6114</v>
      </c>
      <c r="Q5292">
        <v>8</v>
      </c>
      <c r="R5292">
        <v>2026</v>
      </c>
      <c r="S5292" t="s">
        <v>6099</v>
      </c>
      <c r="T5292">
        <v>1</v>
      </c>
      <c r="U5292" t="s">
        <v>6021</v>
      </c>
      <c r="V5292">
        <v>1</v>
      </c>
    </row>
    <row r="5293" spans="1:22" x14ac:dyDescent="0.3">
      <c r="A5293" t="s">
        <v>5308</v>
      </c>
      <c r="B5293" s="2">
        <v>46262.143055555556</v>
      </c>
      <c r="C5293" s="2">
        <v>46263.068055555559</v>
      </c>
      <c r="D5293" t="s">
        <v>6024</v>
      </c>
      <c r="E5293" t="s">
        <v>6029</v>
      </c>
      <c r="F5293" t="s">
        <v>6034</v>
      </c>
      <c r="G5293" t="s">
        <v>6080</v>
      </c>
      <c r="H5293" t="s">
        <v>6096</v>
      </c>
      <c r="I5293">
        <v>24</v>
      </c>
      <c r="J5293">
        <v>22.2</v>
      </c>
      <c r="K5293" t="s">
        <v>6100</v>
      </c>
      <c r="L5293" t="s">
        <v>6100</v>
      </c>
      <c r="M5293" t="s">
        <v>6100</v>
      </c>
      <c r="N5293">
        <v>5</v>
      </c>
      <c r="O5293" t="s">
        <v>6101</v>
      </c>
      <c r="P5293" t="s">
        <v>6114</v>
      </c>
      <c r="Q5293">
        <v>8</v>
      </c>
      <c r="R5293">
        <v>2026</v>
      </c>
      <c r="S5293" t="s">
        <v>6099</v>
      </c>
      <c r="T5293">
        <v>1</v>
      </c>
      <c r="U5293" t="s">
        <v>6019</v>
      </c>
      <c r="V5293">
        <v>0</v>
      </c>
    </row>
    <row r="5294" spans="1:22" x14ac:dyDescent="0.3">
      <c r="A5294" t="s">
        <v>5309</v>
      </c>
      <c r="B5294" s="2">
        <v>46262.260416666664</v>
      </c>
      <c r="C5294" s="2">
        <v>46262.631249999999</v>
      </c>
      <c r="D5294" t="s">
        <v>6024</v>
      </c>
      <c r="E5294" t="s">
        <v>6029</v>
      </c>
      <c r="F5294" t="s">
        <v>6033</v>
      </c>
      <c r="G5294" t="s">
        <v>6044</v>
      </c>
      <c r="H5294" t="s">
        <v>6097</v>
      </c>
      <c r="I5294">
        <v>72</v>
      </c>
      <c r="J5294">
        <v>8.9</v>
      </c>
      <c r="K5294" t="s">
        <v>6099</v>
      </c>
      <c r="L5294" t="s">
        <v>6100</v>
      </c>
      <c r="M5294" t="s">
        <v>6100</v>
      </c>
      <c r="O5294" t="s">
        <v>6101</v>
      </c>
      <c r="P5294" t="s">
        <v>6114</v>
      </c>
      <c r="Q5294">
        <v>8</v>
      </c>
      <c r="R5294">
        <v>2026</v>
      </c>
      <c r="S5294" t="s">
        <v>6099</v>
      </c>
      <c r="T5294">
        <v>1</v>
      </c>
      <c r="U5294" t="s">
        <v>6021</v>
      </c>
      <c r="V5294">
        <v>1</v>
      </c>
    </row>
    <row r="5295" spans="1:22" x14ac:dyDescent="0.3">
      <c r="A5295" t="s">
        <v>5310</v>
      </c>
      <c r="B5295" s="2">
        <v>46262.38958333333</v>
      </c>
      <c r="C5295" s="2">
        <v>46262.806250000001</v>
      </c>
      <c r="D5295" t="s">
        <v>6024</v>
      </c>
      <c r="E5295" t="s">
        <v>6029</v>
      </c>
      <c r="F5295" t="s">
        <v>6034</v>
      </c>
      <c r="G5295" t="s">
        <v>6054</v>
      </c>
      <c r="H5295" t="s">
        <v>6096</v>
      </c>
      <c r="I5295">
        <v>24</v>
      </c>
      <c r="J5295">
        <v>10</v>
      </c>
      <c r="K5295" t="s">
        <v>6099</v>
      </c>
      <c r="L5295" t="s">
        <v>6100</v>
      </c>
      <c r="M5295" t="s">
        <v>6100</v>
      </c>
      <c r="N5295">
        <v>3</v>
      </c>
      <c r="O5295" t="s">
        <v>6101</v>
      </c>
      <c r="P5295" t="s">
        <v>6114</v>
      </c>
      <c r="Q5295">
        <v>8</v>
      </c>
      <c r="R5295">
        <v>2026</v>
      </c>
      <c r="S5295" t="s">
        <v>6099</v>
      </c>
      <c r="T5295">
        <v>1</v>
      </c>
      <c r="U5295" t="s">
        <v>6020</v>
      </c>
      <c r="V5295">
        <v>1</v>
      </c>
    </row>
    <row r="5296" spans="1:22" x14ac:dyDescent="0.3">
      <c r="A5296" t="s">
        <v>5311</v>
      </c>
      <c r="B5296" s="2">
        <v>46262.431250000001</v>
      </c>
      <c r="C5296" s="2">
        <v>46262.756249999999</v>
      </c>
      <c r="D5296" t="s">
        <v>6024</v>
      </c>
      <c r="E5296" t="s">
        <v>6030</v>
      </c>
      <c r="F5296" t="s">
        <v>6033</v>
      </c>
      <c r="G5296" t="s">
        <v>6037</v>
      </c>
      <c r="H5296" t="s">
        <v>6096</v>
      </c>
      <c r="I5296">
        <v>72</v>
      </c>
      <c r="J5296">
        <v>7.8</v>
      </c>
      <c r="K5296" t="s">
        <v>6099</v>
      </c>
      <c r="L5296" t="s">
        <v>6100</v>
      </c>
      <c r="M5296" t="s">
        <v>6100</v>
      </c>
      <c r="N5296">
        <v>5</v>
      </c>
      <c r="O5296" t="s">
        <v>6101</v>
      </c>
      <c r="P5296" t="s">
        <v>6114</v>
      </c>
      <c r="Q5296">
        <v>8</v>
      </c>
      <c r="R5296">
        <v>2026</v>
      </c>
      <c r="S5296" t="s">
        <v>6099</v>
      </c>
      <c r="T5296">
        <v>1</v>
      </c>
      <c r="U5296" t="s">
        <v>6020</v>
      </c>
      <c r="V5296">
        <v>1</v>
      </c>
    </row>
    <row r="5297" spans="1:22" x14ac:dyDescent="0.3">
      <c r="A5297" t="s">
        <v>5312</v>
      </c>
      <c r="B5297" s="2">
        <v>46262.468055555553</v>
      </c>
      <c r="C5297" s="2">
        <v>46265.293055555558</v>
      </c>
      <c r="D5297" t="s">
        <v>6026</v>
      </c>
      <c r="E5297" t="s">
        <v>6032</v>
      </c>
      <c r="F5297" t="s">
        <v>6034</v>
      </c>
      <c r="G5297" t="s">
        <v>6054</v>
      </c>
      <c r="H5297" t="s">
        <v>6096</v>
      </c>
      <c r="I5297">
        <v>24</v>
      </c>
      <c r="J5297">
        <v>67.8</v>
      </c>
      <c r="K5297" t="s">
        <v>6099</v>
      </c>
      <c r="L5297" t="s">
        <v>6100</v>
      </c>
      <c r="M5297" t="s">
        <v>6100</v>
      </c>
      <c r="N5297">
        <v>5</v>
      </c>
      <c r="O5297" t="s">
        <v>6101</v>
      </c>
      <c r="P5297" t="s">
        <v>6114</v>
      </c>
      <c r="Q5297">
        <v>8</v>
      </c>
      <c r="R5297">
        <v>2026</v>
      </c>
      <c r="S5297" t="s">
        <v>6100</v>
      </c>
      <c r="T5297">
        <v>0</v>
      </c>
      <c r="U5297" t="s">
        <v>6021</v>
      </c>
      <c r="V5297">
        <v>1</v>
      </c>
    </row>
    <row r="5298" spans="1:22" x14ac:dyDescent="0.3">
      <c r="A5298" t="s">
        <v>5313</v>
      </c>
      <c r="B5298" s="2">
        <v>46262.479861111111</v>
      </c>
      <c r="C5298" s="2">
        <v>46263.267361111109</v>
      </c>
      <c r="D5298" t="s">
        <v>6028</v>
      </c>
      <c r="E5298" t="s">
        <v>6029</v>
      </c>
      <c r="F5298" t="s">
        <v>6034</v>
      </c>
      <c r="G5298" t="s">
        <v>6047</v>
      </c>
      <c r="H5298" t="s">
        <v>6098</v>
      </c>
      <c r="I5298">
        <v>24</v>
      </c>
      <c r="J5298">
        <v>18.899999999999999</v>
      </c>
      <c r="K5298" t="s">
        <v>6099</v>
      </c>
      <c r="L5298" t="s">
        <v>6100</v>
      </c>
      <c r="M5298" t="s">
        <v>6100</v>
      </c>
      <c r="N5298">
        <v>5</v>
      </c>
      <c r="O5298" t="s">
        <v>6101</v>
      </c>
      <c r="P5298" t="s">
        <v>6114</v>
      </c>
      <c r="Q5298">
        <v>8</v>
      </c>
      <c r="R5298">
        <v>2026</v>
      </c>
      <c r="S5298" t="s">
        <v>6099</v>
      </c>
      <c r="T5298">
        <v>1</v>
      </c>
      <c r="U5298" t="s">
        <v>6020</v>
      </c>
      <c r="V5298">
        <v>1</v>
      </c>
    </row>
    <row r="5299" spans="1:22" x14ac:dyDescent="0.3">
      <c r="A5299" t="s">
        <v>5314</v>
      </c>
      <c r="B5299" s="2">
        <v>46262.488194444442</v>
      </c>
      <c r="C5299" s="2">
        <v>46263.029861111114</v>
      </c>
      <c r="D5299" t="s">
        <v>6024</v>
      </c>
      <c r="E5299" t="s">
        <v>6031</v>
      </c>
      <c r="F5299" t="s">
        <v>6034</v>
      </c>
      <c r="G5299" t="s">
        <v>6051</v>
      </c>
      <c r="H5299" t="s">
        <v>6097</v>
      </c>
      <c r="I5299">
        <v>24</v>
      </c>
      <c r="J5299">
        <v>13</v>
      </c>
      <c r="K5299" t="s">
        <v>6099</v>
      </c>
      <c r="L5299" t="s">
        <v>6100</v>
      </c>
      <c r="M5299" t="s">
        <v>6100</v>
      </c>
      <c r="N5299">
        <v>5</v>
      </c>
      <c r="O5299" t="s">
        <v>6101</v>
      </c>
      <c r="P5299" t="s">
        <v>6114</v>
      </c>
      <c r="Q5299">
        <v>8</v>
      </c>
      <c r="R5299">
        <v>2026</v>
      </c>
      <c r="S5299" t="s">
        <v>6099</v>
      </c>
      <c r="T5299">
        <v>1</v>
      </c>
      <c r="U5299" t="s">
        <v>6020</v>
      </c>
      <c r="V5299">
        <v>1</v>
      </c>
    </row>
    <row r="5300" spans="1:22" x14ac:dyDescent="0.3">
      <c r="A5300" t="s">
        <v>5315</v>
      </c>
      <c r="B5300" s="2">
        <v>46262.502083333333</v>
      </c>
      <c r="C5300" s="2">
        <v>46262.677083333336</v>
      </c>
      <c r="D5300" t="s">
        <v>6023</v>
      </c>
      <c r="E5300" t="s">
        <v>6030</v>
      </c>
      <c r="F5300" t="s">
        <v>6034</v>
      </c>
      <c r="G5300" t="s">
        <v>6058</v>
      </c>
      <c r="H5300" t="s">
        <v>6098</v>
      </c>
      <c r="I5300">
        <v>24</v>
      </c>
      <c r="J5300">
        <v>4.2</v>
      </c>
      <c r="K5300" t="s">
        <v>6099</v>
      </c>
      <c r="L5300" t="s">
        <v>6100</v>
      </c>
      <c r="M5300" t="s">
        <v>6100</v>
      </c>
      <c r="O5300" t="s">
        <v>6101</v>
      </c>
      <c r="P5300" t="s">
        <v>6114</v>
      </c>
      <c r="Q5300">
        <v>8</v>
      </c>
      <c r="R5300">
        <v>2026</v>
      </c>
      <c r="S5300" t="s">
        <v>6099</v>
      </c>
      <c r="T5300">
        <v>1</v>
      </c>
      <c r="U5300" t="s">
        <v>6017</v>
      </c>
      <c r="V5300">
        <v>1</v>
      </c>
    </row>
    <row r="5301" spans="1:22" x14ac:dyDescent="0.3">
      <c r="A5301" t="s">
        <v>5316</v>
      </c>
      <c r="B5301" s="2">
        <v>46262.505555555559</v>
      </c>
      <c r="C5301" s="2">
        <v>46262.680555555555</v>
      </c>
      <c r="D5301" t="s">
        <v>6023</v>
      </c>
      <c r="E5301" t="s">
        <v>6030</v>
      </c>
      <c r="F5301" t="s">
        <v>6034</v>
      </c>
      <c r="G5301" t="s">
        <v>6049</v>
      </c>
      <c r="H5301" t="s">
        <v>6097</v>
      </c>
      <c r="I5301">
        <v>24</v>
      </c>
      <c r="J5301">
        <v>4.2</v>
      </c>
      <c r="K5301" t="s">
        <v>6099</v>
      </c>
      <c r="L5301" t="s">
        <v>6100</v>
      </c>
      <c r="M5301" t="s">
        <v>6100</v>
      </c>
      <c r="O5301" t="s">
        <v>6101</v>
      </c>
      <c r="P5301" t="s">
        <v>6114</v>
      </c>
      <c r="Q5301">
        <v>8</v>
      </c>
      <c r="R5301">
        <v>2026</v>
      </c>
      <c r="S5301" t="s">
        <v>6099</v>
      </c>
      <c r="T5301">
        <v>1</v>
      </c>
      <c r="U5301" t="s">
        <v>6020</v>
      </c>
      <c r="V5301">
        <v>1</v>
      </c>
    </row>
    <row r="5302" spans="1:22" x14ac:dyDescent="0.3">
      <c r="A5302" t="s">
        <v>5317</v>
      </c>
      <c r="B5302" s="2">
        <v>46262.527083333334</v>
      </c>
      <c r="C5302" s="2">
        <v>46264.268750000003</v>
      </c>
      <c r="D5302" t="s">
        <v>6025</v>
      </c>
      <c r="E5302" t="s">
        <v>6031</v>
      </c>
      <c r="F5302" t="s">
        <v>6034</v>
      </c>
      <c r="G5302" t="s">
        <v>6054</v>
      </c>
      <c r="H5302" t="s">
        <v>6096</v>
      </c>
      <c r="I5302">
        <v>24</v>
      </c>
      <c r="J5302">
        <v>41.8</v>
      </c>
      <c r="K5302" t="s">
        <v>6100</v>
      </c>
      <c r="L5302" t="s">
        <v>6099</v>
      </c>
      <c r="M5302" t="s">
        <v>6099</v>
      </c>
      <c r="O5302" t="s">
        <v>6101</v>
      </c>
      <c r="P5302" t="s">
        <v>6114</v>
      </c>
      <c r="Q5302">
        <v>8</v>
      </c>
      <c r="R5302">
        <v>2026</v>
      </c>
      <c r="S5302" t="s">
        <v>6100</v>
      </c>
      <c r="T5302">
        <v>0</v>
      </c>
      <c r="U5302" t="s">
        <v>6017</v>
      </c>
      <c r="V5302">
        <v>0</v>
      </c>
    </row>
    <row r="5303" spans="1:22" x14ac:dyDescent="0.3">
      <c r="A5303" t="s">
        <v>5318</v>
      </c>
      <c r="B5303" s="2">
        <v>46262.575694444444</v>
      </c>
      <c r="C5303" s="2">
        <v>46262.859027777777</v>
      </c>
      <c r="D5303" t="s">
        <v>6027</v>
      </c>
      <c r="E5303" t="s">
        <v>6030</v>
      </c>
      <c r="F5303" t="s">
        <v>6034</v>
      </c>
      <c r="G5303" t="s">
        <v>6070</v>
      </c>
      <c r="H5303" t="s">
        <v>6097</v>
      </c>
      <c r="I5303">
        <v>24</v>
      </c>
      <c r="J5303">
        <v>6.8</v>
      </c>
      <c r="K5303" t="s">
        <v>6099</v>
      </c>
      <c r="L5303" t="s">
        <v>6100</v>
      </c>
      <c r="M5303" t="s">
        <v>6100</v>
      </c>
      <c r="O5303" t="s">
        <v>6101</v>
      </c>
      <c r="P5303" t="s">
        <v>6114</v>
      </c>
      <c r="Q5303">
        <v>8</v>
      </c>
      <c r="R5303">
        <v>2026</v>
      </c>
      <c r="S5303" t="s">
        <v>6099</v>
      </c>
      <c r="T5303">
        <v>1</v>
      </c>
      <c r="U5303" t="s">
        <v>6018</v>
      </c>
      <c r="V5303">
        <v>1</v>
      </c>
    </row>
    <row r="5304" spans="1:22" x14ac:dyDescent="0.3">
      <c r="A5304" t="s">
        <v>5319</v>
      </c>
      <c r="B5304" s="2">
        <v>46262.597916666666</v>
      </c>
      <c r="C5304" s="2">
        <v>46264.589583333334</v>
      </c>
      <c r="D5304" t="s">
        <v>6028</v>
      </c>
      <c r="E5304" t="s">
        <v>6031</v>
      </c>
      <c r="F5304" t="s">
        <v>6034</v>
      </c>
      <c r="G5304" t="s">
        <v>6090</v>
      </c>
      <c r="H5304" t="s">
        <v>6097</v>
      </c>
      <c r="I5304">
        <v>24</v>
      </c>
      <c r="J5304">
        <v>47.8</v>
      </c>
      <c r="K5304" t="s">
        <v>6099</v>
      </c>
      <c r="L5304" t="s">
        <v>6100</v>
      </c>
      <c r="M5304" t="s">
        <v>6100</v>
      </c>
      <c r="N5304">
        <v>4</v>
      </c>
      <c r="O5304" t="s">
        <v>6101</v>
      </c>
      <c r="P5304" t="s">
        <v>6114</v>
      </c>
      <c r="Q5304">
        <v>8</v>
      </c>
      <c r="R5304">
        <v>2026</v>
      </c>
      <c r="S5304" t="s">
        <v>6100</v>
      </c>
      <c r="T5304">
        <v>0</v>
      </c>
      <c r="U5304" t="s">
        <v>6019</v>
      </c>
      <c r="V5304">
        <v>1</v>
      </c>
    </row>
    <row r="5305" spans="1:22" x14ac:dyDescent="0.3">
      <c r="A5305" t="s">
        <v>5320</v>
      </c>
      <c r="B5305" s="2">
        <v>46262.620138888888</v>
      </c>
      <c r="C5305" s="2">
        <v>46263.878472222219</v>
      </c>
      <c r="D5305" t="s">
        <v>6022</v>
      </c>
      <c r="E5305" t="s">
        <v>6029</v>
      </c>
      <c r="F5305" t="s">
        <v>6033</v>
      </c>
      <c r="G5305" t="s">
        <v>6073</v>
      </c>
      <c r="H5305" t="s">
        <v>6096</v>
      </c>
      <c r="I5305">
        <v>72</v>
      </c>
      <c r="J5305">
        <v>30.2</v>
      </c>
      <c r="K5305" t="s">
        <v>6099</v>
      </c>
      <c r="L5305" t="s">
        <v>6100</v>
      </c>
      <c r="M5305" t="s">
        <v>6100</v>
      </c>
      <c r="N5305">
        <v>4</v>
      </c>
      <c r="O5305" t="s">
        <v>6101</v>
      </c>
      <c r="P5305" t="s">
        <v>6114</v>
      </c>
      <c r="Q5305">
        <v>8</v>
      </c>
      <c r="R5305">
        <v>2026</v>
      </c>
      <c r="S5305" t="s">
        <v>6099</v>
      </c>
      <c r="T5305">
        <v>1</v>
      </c>
      <c r="U5305" t="s">
        <v>6021</v>
      </c>
      <c r="V5305">
        <v>1</v>
      </c>
    </row>
    <row r="5306" spans="1:22" x14ac:dyDescent="0.3">
      <c r="A5306" t="s">
        <v>5321</v>
      </c>
      <c r="B5306" s="2">
        <v>46262.62222222222</v>
      </c>
      <c r="C5306" s="2">
        <v>46263.572222222225</v>
      </c>
      <c r="D5306" t="s">
        <v>6026</v>
      </c>
      <c r="E5306" t="s">
        <v>6029</v>
      </c>
      <c r="F5306" t="s">
        <v>6035</v>
      </c>
      <c r="G5306" t="s">
        <v>6077</v>
      </c>
      <c r="H5306" t="s">
        <v>6098</v>
      </c>
      <c r="I5306">
        <v>4</v>
      </c>
      <c r="J5306">
        <v>22.8</v>
      </c>
      <c r="K5306" t="s">
        <v>6099</v>
      </c>
      <c r="L5306" t="s">
        <v>6100</v>
      </c>
      <c r="M5306" t="s">
        <v>6099</v>
      </c>
      <c r="O5306" t="s">
        <v>6101</v>
      </c>
      <c r="P5306" t="s">
        <v>6114</v>
      </c>
      <c r="Q5306">
        <v>8</v>
      </c>
      <c r="R5306">
        <v>2026</v>
      </c>
      <c r="S5306" t="s">
        <v>6100</v>
      </c>
      <c r="T5306">
        <v>0</v>
      </c>
      <c r="U5306" t="s">
        <v>6017</v>
      </c>
      <c r="V5306">
        <v>1</v>
      </c>
    </row>
    <row r="5307" spans="1:22" x14ac:dyDescent="0.3">
      <c r="A5307" t="s">
        <v>5322</v>
      </c>
      <c r="B5307" s="2">
        <v>46262.625694444447</v>
      </c>
      <c r="C5307" s="2">
        <v>46262.709027777775</v>
      </c>
      <c r="D5307" t="s">
        <v>6023</v>
      </c>
      <c r="E5307" t="s">
        <v>6029</v>
      </c>
      <c r="F5307" t="s">
        <v>6033</v>
      </c>
      <c r="G5307" t="s">
        <v>6049</v>
      </c>
      <c r="H5307" t="s">
        <v>6097</v>
      </c>
      <c r="I5307">
        <v>72</v>
      </c>
      <c r="J5307">
        <v>2</v>
      </c>
      <c r="K5307" t="s">
        <v>6099</v>
      </c>
      <c r="L5307" t="s">
        <v>6100</v>
      </c>
      <c r="M5307" t="s">
        <v>6100</v>
      </c>
      <c r="O5307" t="s">
        <v>6101</v>
      </c>
      <c r="P5307" t="s">
        <v>6114</v>
      </c>
      <c r="Q5307">
        <v>8</v>
      </c>
      <c r="R5307">
        <v>2026</v>
      </c>
      <c r="S5307" t="s">
        <v>6099</v>
      </c>
      <c r="T5307">
        <v>1</v>
      </c>
      <c r="U5307" t="s">
        <v>6017</v>
      </c>
      <c r="V5307">
        <v>1</v>
      </c>
    </row>
    <row r="5308" spans="1:22" x14ac:dyDescent="0.3">
      <c r="A5308" t="s">
        <v>5323</v>
      </c>
      <c r="B5308" s="2">
        <v>46262.632638888892</v>
      </c>
      <c r="C5308" s="2">
        <v>46262.703472222223</v>
      </c>
      <c r="D5308" t="s">
        <v>6023</v>
      </c>
      <c r="E5308" t="s">
        <v>6029</v>
      </c>
      <c r="F5308" t="s">
        <v>6034</v>
      </c>
      <c r="G5308" t="s">
        <v>6085</v>
      </c>
      <c r="H5308" t="s">
        <v>6097</v>
      </c>
      <c r="I5308">
        <v>24</v>
      </c>
      <c r="J5308">
        <v>1.7</v>
      </c>
      <c r="K5308" t="s">
        <v>6099</v>
      </c>
      <c r="L5308" t="s">
        <v>6100</v>
      </c>
      <c r="M5308" t="s">
        <v>6100</v>
      </c>
      <c r="O5308" t="s">
        <v>6101</v>
      </c>
      <c r="P5308" t="s">
        <v>6114</v>
      </c>
      <c r="Q5308">
        <v>8</v>
      </c>
      <c r="R5308">
        <v>2026</v>
      </c>
      <c r="S5308" t="s">
        <v>6099</v>
      </c>
      <c r="T5308">
        <v>1</v>
      </c>
      <c r="U5308" t="s">
        <v>6018</v>
      </c>
      <c r="V5308">
        <v>1</v>
      </c>
    </row>
    <row r="5309" spans="1:22" x14ac:dyDescent="0.3">
      <c r="A5309" t="s">
        <v>5324</v>
      </c>
      <c r="B5309" s="2">
        <v>46262.679166666669</v>
      </c>
      <c r="C5309" s="2">
        <v>46263.083333333336</v>
      </c>
      <c r="D5309" t="s">
        <v>6028</v>
      </c>
      <c r="E5309" t="s">
        <v>6029</v>
      </c>
      <c r="F5309" t="s">
        <v>6035</v>
      </c>
      <c r="G5309" t="s">
        <v>6080</v>
      </c>
      <c r="H5309" t="s">
        <v>6096</v>
      </c>
      <c r="I5309">
        <v>4</v>
      </c>
      <c r="J5309">
        <v>9.6999999999999993</v>
      </c>
      <c r="K5309" t="s">
        <v>6099</v>
      </c>
      <c r="L5309" t="s">
        <v>6100</v>
      </c>
      <c r="M5309" t="s">
        <v>6099</v>
      </c>
      <c r="N5309">
        <v>3</v>
      </c>
      <c r="O5309" t="s">
        <v>6101</v>
      </c>
      <c r="P5309" t="s">
        <v>6114</v>
      </c>
      <c r="Q5309">
        <v>8</v>
      </c>
      <c r="R5309">
        <v>2026</v>
      </c>
      <c r="S5309" t="s">
        <v>6100</v>
      </c>
      <c r="T5309">
        <v>0</v>
      </c>
      <c r="U5309" t="s">
        <v>6018</v>
      </c>
      <c r="V5309">
        <v>1</v>
      </c>
    </row>
    <row r="5310" spans="1:22" x14ac:dyDescent="0.3">
      <c r="A5310" t="s">
        <v>5325</v>
      </c>
      <c r="B5310" s="2">
        <v>46262.695138888892</v>
      </c>
      <c r="C5310" s="2">
        <v>46263.736805555556</v>
      </c>
      <c r="D5310" t="s">
        <v>6024</v>
      </c>
      <c r="E5310" t="s">
        <v>6031</v>
      </c>
      <c r="F5310" t="s">
        <v>6034</v>
      </c>
      <c r="G5310" t="s">
        <v>6071</v>
      </c>
      <c r="H5310" t="s">
        <v>6098</v>
      </c>
      <c r="I5310">
        <v>24</v>
      </c>
      <c r="J5310">
        <v>25</v>
      </c>
      <c r="K5310" t="s">
        <v>6099</v>
      </c>
      <c r="L5310" t="s">
        <v>6100</v>
      </c>
      <c r="M5310" t="s">
        <v>6100</v>
      </c>
      <c r="N5310">
        <v>4</v>
      </c>
      <c r="O5310" t="s">
        <v>6101</v>
      </c>
      <c r="P5310" t="s">
        <v>6114</v>
      </c>
      <c r="Q5310">
        <v>8</v>
      </c>
      <c r="R5310">
        <v>2026</v>
      </c>
      <c r="S5310" t="s">
        <v>6100</v>
      </c>
      <c r="T5310">
        <v>0</v>
      </c>
      <c r="U5310" t="s">
        <v>6018</v>
      </c>
      <c r="V5310">
        <v>1</v>
      </c>
    </row>
    <row r="5311" spans="1:22" x14ac:dyDescent="0.3">
      <c r="A5311" t="s">
        <v>5326</v>
      </c>
      <c r="B5311" s="2">
        <v>46262.696527777778</v>
      </c>
      <c r="C5311" s="2">
        <v>46263.292361111111</v>
      </c>
      <c r="D5311" t="s">
        <v>6028</v>
      </c>
      <c r="E5311" t="s">
        <v>6031</v>
      </c>
      <c r="F5311" t="s">
        <v>6033</v>
      </c>
      <c r="G5311" t="s">
        <v>6087</v>
      </c>
      <c r="H5311" t="s">
        <v>6098</v>
      </c>
      <c r="I5311">
        <v>72</v>
      </c>
      <c r="J5311">
        <v>14.3</v>
      </c>
      <c r="K5311" t="s">
        <v>6100</v>
      </c>
      <c r="L5311" t="s">
        <v>6099</v>
      </c>
      <c r="M5311" t="s">
        <v>6100</v>
      </c>
      <c r="O5311" t="s">
        <v>6101</v>
      </c>
      <c r="P5311" t="s">
        <v>6114</v>
      </c>
      <c r="Q5311">
        <v>8</v>
      </c>
      <c r="R5311">
        <v>2026</v>
      </c>
      <c r="S5311" t="s">
        <v>6099</v>
      </c>
      <c r="T5311">
        <v>1</v>
      </c>
      <c r="U5311" t="s">
        <v>6021</v>
      </c>
      <c r="V5311">
        <v>0</v>
      </c>
    </row>
    <row r="5312" spans="1:22" x14ac:dyDescent="0.3">
      <c r="A5312" t="s">
        <v>5327</v>
      </c>
      <c r="B5312" s="2">
        <v>46262.696527777778</v>
      </c>
      <c r="C5312" s="2">
        <v>46262.963194444441</v>
      </c>
      <c r="D5312" t="s">
        <v>6023</v>
      </c>
      <c r="E5312" t="s">
        <v>6029</v>
      </c>
      <c r="F5312" t="s">
        <v>6033</v>
      </c>
      <c r="G5312" t="s">
        <v>6062</v>
      </c>
      <c r="H5312" t="s">
        <v>6096</v>
      </c>
      <c r="I5312">
        <v>72</v>
      </c>
      <c r="J5312">
        <v>6.4</v>
      </c>
      <c r="K5312" t="s">
        <v>6100</v>
      </c>
      <c r="L5312" t="s">
        <v>6100</v>
      </c>
      <c r="M5312" t="s">
        <v>6100</v>
      </c>
      <c r="O5312" t="s">
        <v>6101</v>
      </c>
      <c r="P5312" t="s">
        <v>6114</v>
      </c>
      <c r="Q5312">
        <v>8</v>
      </c>
      <c r="R5312">
        <v>2026</v>
      </c>
      <c r="S5312" t="s">
        <v>6099</v>
      </c>
      <c r="T5312">
        <v>1</v>
      </c>
      <c r="U5312" t="s">
        <v>6020</v>
      </c>
      <c r="V5312">
        <v>0</v>
      </c>
    </row>
    <row r="5313" spans="1:22" x14ac:dyDescent="0.3">
      <c r="A5313" t="s">
        <v>5328</v>
      </c>
      <c r="B5313" s="2">
        <v>46262.703472222223</v>
      </c>
      <c r="C5313" s="2">
        <v>46264.59097222222</v>
      </c>
      <c r="D5313" t="s">
        <v>6026</v>
      </c>
      <c r="E5313" t="s">
        <v>6029</v>
      </c>
      <c r="F5313" t="s">
        <v>6034</v>
      </c>
      <c r="G5313" t="s">
        <v>6075</v>
      </c>
      <c r="H5313" t="s">
        <v>6097</v>
      </c>
      <c r="I5313">
        <v>24</v>
      </c>
      <c r="J5313">
        <v>45.3</v>
      </c>
      <c r="K5313" t="s">
        <v>6099</v>
      </c>
      <c r="L5313" t="s">
        <v>6100</v>
      </c>
      <c r="M5313" t="s">
        <v>6100</v>
      </c>
      <c r="N5313">
        <v>3</v>
      </c>
      <c r="O5313" t="s">
        <v>6101</v>
      </c>
      <c r="P5313" t="s">
        <v>6114</v>
      </c>
      <c r="Q5313">
        <v>8</v>
      </c>
      <c r="R5313">
        <v>2026</v>
      </c>
      <c r="S5313" t="s">
        <v>6100</v>
      </c>
      <c r="T5313">
        <v>0</v>
      </c>
      <c r="U5313" t="s">
        <v>6017</v>
      </c>
      <c r="V5313">
        <v>1</v>
      </c>
    </row>
    <row r="5314" spans="1:22" x14ac:dyDescent="0.3">
      <c r="A5314" t="s">
        <v>5329</v>
      </c>
      <c r="B5314" s="2">
        <v>46262.745138888888</v>
      </c>
      <c r="C5314" s="2">
        <v>46262.907638888886</v>
      </c>
      <c r="D5314" t="s">
        <v>6027</v>
      </c>
      <c r="E5314" t="s">
        <v>6030</v>
      </c>
      <c r="F5314" t="s">
        <v>6034</v>
      </c>
      <c r="G5314" t="s">
        <v>6066</v>
      </c>
      <c r="H5314" t="s">
        <v>6096</v>
      </c>
      <c r="I5314">
        <v>24</v>
      </c>
      <c r="J5314">
        <v>3.9</v>
      </c>
      <c r="K5314" t="s">
        <v>6100</v>
      </c>
      <c r="L5314" t="s">
        <v>6099</v>
      </c>
      <c r="M5314" t="s">
        <v>6100</v>
      </c>
      <c r="O5314" t="s">
        <v>6101</v>
      </c>
      <c r="P5314" t="s">
        <v>6114</v>
      </c>
      <c r="Q5314">
        <v>8</v>
      </c>
      <c r="R5314">
        <v>2026</v>
      </c>
      <c r="S5314" t="s">
        <v>6099</v>
      </c>
      <c r="T5314">
        <v>1</v>
      </c>
      <c r="U5314" t="s">
        <v>6018</v>
      </c>
      <c r="V5314">
        <v>0</v>
      </c>
    </row>
    <row r="5315" spans="1:22" x14ac:dyDescent="0.3">
      <c r="A5315" t="s">
        <v>5330</v>
      </c>
      <c r="B5315" s="2">
        <v>46263.214583333334</v>
      </c>
      <c r="C5315" s="2">
        <v>46264.239583333336</v>
      </c>
      <c r="D5315" t="s">
        <v>6028</v>
      </c>
      <c r="E5315" t="s">
        <v>6031</v>
      </c>
      <c r="F5315" t="s">
        <v>6035</v>
      </c>
      <c r="G5315" t="s">
        <v>6041</v>
      </c>
      <c r="H5315" t="s">
        <v>6096</v>
      </c>
      <c r="I5315">
        <v>4</v>
      </c>
      <c r="J5315">
        <v>24.6</v>
      </c>
      <c r="K5315" t="s">
        <v>6100</v>
      </c>
      <c r="L5315" t="s">
        <v>6100</v>
      </c>
      <c r="M5315" t="s">
        <v>6100</v>
      </c>
      <c r="O5315" t="s">
        <v>6101</v>
      </c>
      <c r="P5315" t="s">
        <v>6114</v>
      </c>
      <c r="Q5315">
        <v>8</v>
      </c>
      <c r="R5315">
        <v>2026</v>
      </c>
      <c r="S5315" t="s">
        <v>6100</v>
      </c>
      <c r="T5315">
        <v>0</v>
      </c>
      <c r="U5315" t="s">
        <v>6020</v>
      </c>
      <c r="V5315">
        <v>0</v>
      </c>
    </row>
    <row r="5316" spans="1:22" x14ac:dyDescent="0.3">
      <c r="A5316" t="s">
        <v>5331</v>
      </c>
      <c r="B5316" s="2">
        <v>46263.26666666667</v>
      </c>
      <c r="C5316" s="2">
        <v>46263.712500000001</v>
      </c>
      <c r="D5316" t="s">
        <v>6025</v>
      </c>
      <c r="E5316" t="s">
        <v>6029</v>
      </c>
      <c r="F5316" t="s">
        <v>6033</v>
      </c>
      <c r="G5316" t="s">
        <v>6078</v>
      </c>
      <c r="H5316" t="s">
        <v>6097</v>
      </c>
      <c r="I5316">
        <v>72</v>
      </c>
      <c r="J5316">
        <v>10.7</v>
      </c>
      <c r="K5316" t="s">
        <v>6099</v>
      </c>
      <c r="L5316" t="s">
        <v>6100</v>
      </c>
      <c r="M5316" t="s">
        <v>6100</v>
      </c>
      <c r="N5316">
        <v>5</v>
      </c>
      <c r="O5316" t="s">
        <v>6101</v>
      </c>
      <c r="P5316" t="s">
        <v>6114</v>
      </c>
      <c r="Q5316">
        <v>8</v>
      </c>
      <c r="R5316">
        <v>2026</v>
      </c>
      <c r="S5316" t="s">
        <v>6099</v>
      </c>
      <c r="T5316">
        <v>1</v>
      </c>
      <c r="U5316" t="s">
        <v>6018</v>
      </c>
      <c r="V5316">
        <v>1</v>
      </c>
    </row>
    <row r="5317" spans="1:22" x14ac:dyDescent="0.3">
      <c r="A5317" t="s">
        <v>5332</v>
      </c>
      <c r="B5317" s="2">
        <v>46263.344444444447</v>
      </c>
      <c r="C5317" s="2">
        <v>46268.052777777775</v>
      </c>
      <c r="D5317" t="s">
        <v>6028</v>
      </c>
      <c r="E5317" t="s">
        <v>6031</v>
      </c>
      <c r="F5317" t="s">
        <v>6035</v>
      </c>
      <c r="G5317" t="s">
        <v>6039</v>
      </c>
      <c r="H5317" t="s">
        <v>6097</v>
      </c>
      <c r="I5317">
        <v>4</v>
      </c>
      <c r="J5317">
        <v>113</v>
      </c>
      <c r="K5317" t="s">
        <v>6099</v>
      </c>
      <c r="L5317" t="s">
        <v>6100</v>
      </c>
      <c r="M5317" t="s">
        <v>6100</v>
      </c>
      <c r="N5317">
        <v>3</v>
      </c>
      <c r="O5317" t="s">
        <v>6101</v>
      </c>
      <c r="P5317" t="s">
        <v>6114</v>
      </c>
      <c r="Q5317">
        <v>8</v>
      </c>
      <c r="R5317">
        <v>2026</v>
      </c>
      <c r="S5317" t="s">
        <v>6100</v>
      </c>
      <c r="T5317">
        <v>0</v>
      </c>
      <c r="U5317" t="s">
        <v>6020</v>
      </c>
      <c r="V5317">
        <v>1</v>
      </c>
    </row>
    <row r="5318" spans="1:22" x14ac:dyDescent="0.3">
      <c r="A5318" t="s">
        <v>5333</v>
      </c>
      <c r="B5318" s="2">
        <v>46263.352083333331</v>
      </c>
      <c r="C5318" s="2">
        <v>46264.677083333336</v>
      </c>
      <c r="D5318" t="s">
        <v>6026</v>
      </c>
      <c r="E5318" t="s">
        <v>6031</v>
      </c>
      <c r="F5318" t="s">
        <v>6033</v>
      </c>
      <c r="G5318" t="s">
        <v>6071</v>
      </c>
      <c r="H5318" t="s">
        <v>6098</v>
      </c>
      <c r="I5318">
        <v>72</v>
      </c>
      <c r="J5318">
        <v>31.8</v>
      </c>
      <c r="K5318" t="s">
        <v>6100</v>
      </c>
      <c r="L5318" t="s">
        <v>6100</v>
      </c>
      <c r="M5318" t="s">
        <v>6100</v>
      </c>
      <c r="N5318">
        <v>5</v>
      </c>
      <c r="O5318" t="s">
        <v>6101</v>
      </c>
      <c r="P5318" t="s">
        <v>6114</v>
      </c>
      <c r="Q5318">
        <v>8</v>
      </c>
      <c r="R5318">
        <v>2026</v>
      </c>
      <c r="S5318" t="s">
        <v>6099</v>
      </c>
      <c r="T5318">
        <v>1</v>
      </c>
      <c r="U5318" t="s">
        <v>6021</v>
      </c>
      <c r="V5318">
        <v>0</v>
      </c>
    </row>
    <row r="5319" spans="1:22" x14ac:dyDescent="0.3">
      <c r="A5319" t="s">
        <v>5334</v>
      </c>
      <c r="B5319" s="2">
        <v>46263.352083333331</v>
      </c>
      <c r="C5319" s="2">
        <v>46266.914583333331</v>
      </c>
      <c r="D5319" t="s">
        <v>6026</v>
      </c>
      <c r="E5319" t="s">
        <v>6031</v>
      </c>
      <c r="F5319" t="s">
        <v>6033</v>
      </c>
      <c r="G5319" t="s">
        <v>6041</v>
      </c>
      <c r="H5319" t="s">
        <v>6096</v>
      </c>
      <c r="I5319">
        <v>72</v>
      </c>
      <c r="J5319">
        <v>85.5</v>
      </c>
      <c r="K5319" t="s">
        <v>6100</v>
      </c>
      <c r="L5319" t="s">
        <v>6100</v>
      </c>
      <c r="M5319" t="s">
        <v>6100</v>
      </c>
      <c r="N5319">
        <v>2</v>
      </c>
      <c r="O5319" t="s">
        <v>6101</v>
      </c>
      <c r="P5319" t="s">
        <v>6114</v>
      </c>
      <c r="Q5319">
        <v>8</v>
      </c>
      <c r="R5319">
        <v>2026</v>
      </c>
      <c r="S5319" t="s">
        <v>6100</v>
      </c>
      <c r="T5319">
        <v>0</v>
      </c>
      <c r="U5319" t="s">
        <v>6017</v>
      </c>
      <c r="V5319">
        <v>0</v>
      </c>
    </row>
    <row r="5320" spans="1:22" x14ac:dyDescent="0.3">
      <c r="A5320" t="s">
        <v>5335</v>
      </c>
      <c r="B5320" s="2">
        <v>46263.375</v>
      </c>
      <c r="C5320" s="2">
        <v>46264.23333333333</v>
      </c>
      <c r="D5320" t="s">
        <v>6028</v>
      </c>
      <c r="E5320" t="s">
        <v>6031</v>
      </c>
      <c r="F5320" t="s">
        <v>6033</v>
      </c>
      <c r="G5320" t="s">
        <v>6082</v>
      </c>
      <c r="H5320" t="s">
        <v>6097</v>
      </c>
      <c r="I5320">
        <v>72</v>
      </c>
      <c r="J5320">
        <v>20.6</v>
      </c>
      <c r="K5320" t="s">
        <v>6100</v>
      </c>
      <c r="L5320" t="s">
        <v>6099</v>
      </c>
      <c r="M5320" t="s">
        <v>6099</v>
      </c>
      <c r="N5320">
        <v>4</v>
      </c>
      <c r="O5320" t="s">
        <v>6101</v>
      </c>
      <c r="P5320" t="s">
        <v>6114</v>
      </c>
      <c r="Q5320">
        <v>8</v>
      </c>
      <c r="R5320">
        <v>2026</v>
      </c>
      <c r="S5320" t="s">
        <v>6099</v>
      </c>
      <c r="T5320">
        <v>1</v>
      </c>
      <c r="U5320" t="s">
        <v>6018</v>
      </c>
      <c r="V5320">
        <v>0</v>
      </c>
    </row>
    <row r="5321" spans="1:22" x14ac:dyDescent="0.3">
      <c r="A5321" t="s">
        <v>5336</v>
      </c>
      <c r="B5321" s="2">
        <v>46263.416666666664</v>
      </c>
      <c r="C5321" s="2">
        <v>46265.854166666664</v>
      </c>
      <c r="D5321" t="s">
        <v>6026</v>
      </c>
      <c r="E5321" t="s">
        <v>6031</v>
      </c>
      <c r="F5321" t="s">
        <v>6035</v>
      </c>
      <c r="G5321" t="s">
        <v>6050</v>
      </c>
      <c r="H5321" t="s">
        <v>6098</v>
      </c>
      <c r="I5321">
        <v>4</v>
      </c>
      <c r="J5321">
        <v>58.5</v>
      </c>
      <c r="K5321" t="s">
        <v>6099</v>
      </c>
      <c r="L5321" t="s">
        <v>6100</v>
      </c>
      <c r="M5321" t="s">
        <v>6100</v>
      </c>
      <c r="O5321" t="s">
        <v>6101</v>
      </c>
      <c r="P5321" t="s">
        <v>6114</v>
      </c>
      <c r="Q5321">
        <v>8</v>
      </c>
      <c r="R5321">
        <v>2026</v>
      </c>
      <c r="S5321" t="s">
        <v>6100</v>
      </c>
      <c r="T5321">
        <v>0</v>
      </c>
      <c r="U5321" t="s">
        <v>6018</v>
      </c>
      <c r="V5321">
        <v>1</v>
      </c>
    </row>
    <row r="5322" spans="1:22" x14ac:dyDescent="0.3">
      <c r="A5322" t="s">
        <v>5337</v>
      </c>
      <c r="B5322" s="2">
        <v>46263.418055555558</v>
      </c>
      <c r="C5322" s="2">
        <v>46263.668055555558</v>
      </c>
      <c r="D5322" t="s">
        <v>6028</v>
      </c>
      <c r="E5322" t="s">
        <v>6030</v>
      </c>
      <c r="F5322" t="s">
        <v>6034</v>
      </c>
      <c r="G5322" t="s">
        <v>6086</v>
      </c>
      <c r="H5322" t="s">
        <v>6098</v>
      </c>
      <c r="I5322">
        <v>24</v>
      </c>
      <c r="J5322">
        <v>6</v>
      </c>
      <c r="K5322" t="s">
        <v>6099</v>
      </c>
      <c r="L5322" t="s">
        <v>6100</v>
      </c>
      <c r="M5322" t="s">
        <v>6100</v>
      </c>
      <c r="N5322">
        <v>5</v>
      </c>
      <c r="O5322" t="s">
        <v>6101</v>
      </c>
      <c r="P5322" t="s">
        <v>6114</v>
      </c>
      <c r="Q5322">
        <v>8</v>
      </c>
      <c r="R5322">
        <v>2026</v>
      </c>
      <c r="S5322" t="s">
        <v>6099</v>
      </c>
      <c r="T5322">
        <v>1</v>
      </c>
      <c r="U5322" t="s">
        <v>6019</v>
      </c>
      <c r="V5322">
        <v>1</v>
      </c>
    </row>
    <row r="5323" spans="1:22" x14ac:dyDescent="0.3">
      <c r="A5323" t="s">
        <v>5338</v>
      </c>
      <c r="B5323" s="2">
        <v>46263.477083333331</v>
      </c>
      <c r="C5323" s="2">
        <v>46264.335416666669</v>
      </c>
      <c r="D5323" t="s">
        <v>6028</v>
      </c>
      <c r="E5323" t="s">
        <v>6029</v>
      </c>
      <c r="F5323" t="s">
        <v>6033</v>
      </c>
      <c r="G5323" t="s">
        <v>6057</v>
      </c>
      <c r="H5323" t="s">
        <v>6097</v>
      </c>
      <c r="I5323">
        <v>72</v>
      </c>
      <c r="J5323">
        <v>20.6</v>
      </c>
      <c r="K5323" t="s">
        <v>6099</v>
      </c>
      <c r="L5323" t="s">
        <v>6100</v>
      </c>
      <c r="M5323" t="s">
        <v>6100</v>
      </c>
      <c r="N5323">
        <v>4</v>
      </c>
      <c r="O5323" t="s">
        <v>6101</v>
      </c>
      <c r="P5323" t="s">
        <v>6114</v>
      </c>
      <c r="Q5323">
        <v>8</v>
      </c>
      <c r="R5323">
        <v>2026</v>
      </c>
      <c r="S5323" t="s">
        <v>6099</v>
      </c>
      <c r="T5323">
        <v>1</v>
      </c>
      <c r="U5323" t="s">
        <v>6019</v>
      </c>
      <c r="V5323">
        <v>1</v>
      </c>
    </row>
    <row r="5324" spans="1:22" x14ac:dyDescent="0.3">
      <c r="A5324" t="s">
        <v>5339</v>
      </c>
      <c r="B5324" s="2">
        <v>46263.501388888886</v>
      </c>
      <c r="C5324" s="2">
        <v>46264.455555555556</v>
      </c>
      <c r="D5324" t="s">
        <v>6023</v>
      </c>
      <c r="E5324" t="s">
        <v>6032</v>
      </c>
      <c r="F5324" t="s">
        <v>6033</v>
      </c>
      <c r="G5324" t="s">
        <v>6061</v>
      </c>
      <c r="H5324" t="s">
        <v>6096</v>
      </c>
      <c r="I5324">
        <v>72</v>
      </c>
      <c r="J5324">
        <v>22.9</v>
      </c>
      <c r="K5324" t="s">
        <v>6100</v>
      </c>
      <c r="L5324" t="s">
        <v>6100</v>
      </c>
      <c r="M5324" t="s">
        <v>6100</v>
      </c>
      <c r="N5324">
        <v>5</v>
      </c>
      <c r="O5324" t="s">
        <v>6101</v>
      </c>
      <c r="P5324" t="s">
        <v>6114</v>
      </c>
      <c r="Q5324">
        <v>8</v>
      </c>
      <c r="R5324">
        <v>2026</v>
      </c>
      <c r="S5324" t="s">
        <v>6099</v>
      </c>
      <c r="T5324">
        <v>1</v>
      </c>
      <c r="U5324" t="s">
        <v>6018</v>
      </c>
      <c r="V5324">
        <v>0</v>
      </c>
    </row>
    <row r="5325" spans="1:22" x14ac:dyDescent="0.3">
      <c r="A5325" t="s">
        <v>5340</v>
      </c>
      <c r="B5325" s="2">
        <v>46263.504861111112</v>
      </c>
      <c r="C5325" s="2">
        <v>46265.396527777775</v>
      </c>
      <c r="D5325" t="s">
        <v>6023</v>
      </c>
      <c r="E5325" t="s">
        <v>6032</v>
      </c>
      <c r="F5325" t="s">
        <v>6033</v>
      </c>
      <c r="G5325" t="s">
        <v>6083</v>
      </c>
      <c r="H5325" t="s">
        <v>6096</v>
      </c>
      <c r="I5325">
        <v>72</v>
      </c>
      <c r="J5325">
        <v>45.4</v>
      </c>
      <c r="K5325" t="s">
        <v>6099</v>
      </c>
      <c r="L5325" t="s">
        <v>6100</v>
      </c>
      <c r="M5325" t="s">
        <v>6100</v>
      </c>
      <c r="O5325" t="s">
        <v>6101</v>
      </c>
      <c r="P5325" t="s">
        <v>6114</v>
      </c>
      <c r="Q5325">
        <v>8</v>
      </c>
      <c r="R5325">
        <v>2026</v>
      </c>
      <c r="S5325" t="s">
        <v>6099</v>
      </c>
      <c r="T5325">
        <v>1</v>
      </c>
      <c r="U5325" t="s">
        <v>6019</v>
      </c>
      <c r="V5325">
        <v>1</v>
      </c>
    </row>
    <row r="5326" spans="1:22" x14ac:dyDescent="0.3">
      <c r="A5326" t="s">
        <v>5341</v>
      </c>
      <c r="B5326" s="2">
        <v>46263.513194444444</v>
      </c>
      <c r="C5326" s="2">
        <v>46264.354861111111</v>
      </c>
      <c r="D5326" t="s">
        <v>6022</v>
      </c>
      <c r="E5326" t="s">
        <v>6029</v>
      </c>
      <c r="F5326" t="s">
        <v>6034</v>
      </c>
      <c r="G5326" t="s">
        <v>6056</v>
      </c>
      <c r="H5326" t="s">
        <v>6098</v>
      </c>
      <c r="I5326">
        <v>24</v>
      </c>
      <c r="J5326">
        <v>20.2</v>
      </c>
      <c r="K5326" t="s">
        <v>6100</v>
      </c>
      <c r="L5326" t="s">
        <v>6100</v>
      </c>
      <c r="M5326" t="s">
        <v>6099</v>
      </c>
      <c r="N5326">
        <v>3</v>
      </c>
      <c r="O5326" t="s">
        <v>6101</v>
      </c>
      <c r="P5326" t="s">
        <v>6114</v>
      </c>
      <c r="Q5326">
        <v>8</v>
      </c>
      <c r="R5326">
        <v>2026</v>
      </c>
      <c r="S5326" t="s">
        <v>6099</v>
      </c>
      <c r="T5326">
        <v>1</v>
      </c>
      <c r="U5326" t="s">
        <v>6017</v>
      </c>
      <c r="V5326">
        <v>0</v>
      </c>
    </row>
    <row r="5327" spans="1:22" x14ac:dyDescent="0.3">
      <c r="A5327" t="s">
        <v>5342</v>
      </c>
      <c r="B5327" s="2">
        <v>46263.518055555556</v>
      </c>
      <c r="C5327" s="2">
        <v>46266.063888888886</v>
      </c>
      <c r="D5327" t="s">
        <v>6026</v>
      </c>
      <c r="E5327" t="s">
        <v>6032</v>
      </c>
      <c r="F5327" t="s">
        <v>6033</v>
      </c>
      <c r="G5327" t="s">
        <v>6056</v>
      </c>
      <c r="H5327" t="s">
        <v>6098</v>
      </c>
      <c r="I5327">
        <v>72</v>
      </c>
      <c r="J5327">
        <v>61.1</v>
      </c>
      <c r="K5327" t="s">
        <v>6099</v>
      </c>
      <c r="L5327" t="s">
        <v>6100</v>
      </c>
      <c r="M5327" t="s">
        <v>6100</v>
      </c>
      <c r="O5327" t="s">
        <v>6101</v>
      </c>
      <c r="P5327" t="s">
        <v>6114</v>
      </c>
      <c r="Q5327">
        <v>8</v>
      </c>
      <c r="R5327">
        <v>2026</v>
      </c>
      <c r="S5327" t="s">
        <v>6099</v>
      </c>
      <c r="T5327">
        <v>1</v>
      </c>
      <c r="U5327" t="s">
        <v>6019</v>
      </c>
      <c r="V5327">
        <v>1</v>
      </c>
    </row>
    <row r="5328" spans="1:22" x14ac:dyDescent="0.3">
      <c r="A5328" t="s">
        <v>5343</v>
      </c>
      <c r="B5328" s="2">
        <v>46263.544444444444</v>
      </c>
      <c r="C5328" s="2">
        <v>46268.306944444441</v>
      </c>
      <c r="D5328" t="s">
        <v>6026</v>
      </c>
      <c r="E5328" t="s">
        <v>6031</v>
      </c>
      <c r="F5328" t="s">
        <v>6033</v>
      </c>
      <c r="G5328" t="s">
        <v>6078</v>
      </c>
      <c r="H5328" t="s">
        <v>6097</v>
      </c>
      <c r="I5328">
        <v>72</v>
      </c>
      <c r="J5328">
        <v>114.3</v>
      </c>
      <c r="K5328" t="s">
        <v>6099</v>
      </c>
      <c r="L5328" t="s">
        <v>6100</v>
      </c>
      <c r="M5328" t="s">
        <v>6100</v>
      </c>
      <c r="N5328">
        <v>5</v>
      </c>
      <c r="O5328" t="s">
        <v>6101</v>
      </c>
      <c r="P5328" t="s">
        <v>6114</v>
      </c>
      <c r="Q5328">
        <v>8</v>
      </c>
      <c r="R5328">
        <v>2026</v>
      </c>
      <c r="S5328" t="s">
        <v>6100</v>
      </c>
      <c r="T5328">
        <v>0</v>
      </c>
      <c r="U5328" t="s">
        <v>6021</v>
      </c>
      <c r="V5328">
        <v>1</v>
      </c>
    </row>
    <row r="5329" spans="1:22" x14ac:dyDescent="0.3">
      <c r="A5329" t="s">
        <v>5344</v>
      </c>
      <c r="B5329" s="2">
        <v>46263.551388888889</v>
      </c>
      <c r="C5329" s="2">
        <v>46266.763888888891</v>
      </c>
      <c r="D5329" t="s">
        <v>6026</v>
      </c>
      <c r="E5329" t="s">
        <v>6031</v>
      </c>
      <c r="F5329" t="s">
        <v>6033</v>
      </c>
      <c r="G5329" t="s">
        <v>6069</v>
      </c>
      <c r="H5329" t="s">
        <v>6098</v>
      </c>
      <c r="I5329">
        <v>72</v>
      </c>
      <c r="J5329">
        <v>77.099999999999994</v>
      </c>
      <c r="K5329" t="s">
        <v>6100</v>
      </c>
      <c r="L5329" t="s">
        <v>6099</v>
      </c>
      <c r="M5329" t="s">
        <v>6100</v>
      </c>
      <c r="N5329">
        <v>3</v>
      </c>
      <c r="O5329" t="s">
        <v>6101</v>
      </c>
      <c r="P5329" t="s">
        <v>6114</v>
      </c>
      <c r="Q5329">
        <v>8</v>
      </c>
      <c r="R5329">
        <v>2026</v>
      </c>
      <c r="S5329" t="s">
        <v>6100</v>
      </c>
      <c r="T5329">
        <v>0</v>
      </c>
      <c r="U5329" t="s">
        <v>6021</v>
      </c>
      <c r="V5329">
        <v>0</v>
      </c>
    </row>
    <row r="5330" spans="1:22" x14ac:dyDescent="0.3">
      <c r="A5330" t="s">
        <v>5345</v>
      </c>
      <c r="B5330" s="2">
        <v>46263.557638888888</v>
      </c>
      <c r="C5330" s="2">
        <v>46263.815972222219</v>
      </c>
      <c r="D5330" t="s">
        <v>6022</v>
      </c>
      <c r="E5330" t="s">
        <v>6030</v>
      </c>
      <c r="F5330" t="s">
        <v>6034</v>
      </c>
      <c r="G5330" t="s">
        <v>6078</v>
      </c>
      <c r="H5330" t="s">
        <v>6097</v>
      </c>
      <c r="I5330">
        <v>24</v>
      </c>
      <c r="J5330">
        <v>6.2</v>
      </c>
      <c r="K5330" t="s">
        <v>6099</v>
      </c>
      <c r="L5330" t="s">
        <v>6100</v>
      </c>
      <c r="M5330" t="s">
        <v>6100</v>
      </c>
      <c r="N5330">
        <v>5</v>
      </c>
      <c r="O5330" t="s">
        <v>6101</v>
      </c>
      <c r="P5330" t="s">
        <v>6114</v>
      </c>
      <c r="Q5330">
        <v>8</v>
      </c>
      <c r="R5330">
        <v>2026</v>
      </c>
      <c r="S5330" t="s">
        <v>6099</v>
      </c>
      <c r="T5330">
        <v>1</v>
      </c>
      <c r="U5330" t="s">
        <v>6021</v>
      </c>
      <c r="V5330">
        <v>1</v>
      </c>
    </row>
    <row r="5331" spans="1:22" x14ac:dyDescent="0.3">
      <c r="A5331" t="s">
        <v>5346</v>
      </c>
      <c r="B5331" s="2">
        <v>46263.557638888888</v>
      </c>
      <c r="C5331" s="2">
        <v>46264.690972222219</v>
      </c>
      <c r="D5331" t="s">
        <v>6022</v>
      </c>
      <c r="E5331" t="s">
        <v>6029</v>
      </c>
      <c r="F5331" t="s">
        <v>6033</v>
      </c>
      <c r="G5331" t="s">
        <v>6061</v>
      </c>
      <c r="H5331" t="s">
        <v>6096</v>
      </c>
      <c r="I5331">
        <v>72</v>
      </c>
      <c r="J5331">
        <v>27.2</v>
      </c>
      <c r="K5331" t="s">
        <v>6100</v>
      </c>
      <c r="L5331" t="s">
        <v>6099</v>
      </c>
      <c r="M5331" t="s">
        <v>6100</v>
      </c>
      <c r="N5331">
        <v>3</v>
      </c>
      <c r="O5331" t="s">
        <v>6101</v>
      </c>
      <c r="P5331" t="s">
        <v>6114</v>
      </c>
      <c r="Q5331">
        <v>8</v>
      </c>
      <c r="R5331">
        <v>2026</v>
      </c>
      <c r="S5331" t="s">
        <v>6099</v>
      </c>
      <c r="T5331">
        <v>1</v>
      </c>
      <c r="U5331" t="s">
        <v>6018</v>
      </c>
      <c r="V5331">
        <v>0</v>
      </c>
    </row>
    <row r="5332" spans="1:22" x14ac:dyDescent="0.3">
      <c r="A5332" t="s">
        <v>5347</v>
      </c>
      <c r="B5332" s="2">
        <v>46263.561805555553</v>
      </c>
      <c r="C5332" s="2">
        <v>46265.761805555558</v>
      </c>
      <c r="D5332" t="s">
        <v>6026</v>
      </c>
      <c r="E5332" t="s">
        <v>6031</v>
      </c>
      <c r="F5332" t="s">
        <v>6033</v>
      </c>
      <c r="G5332" t="s">
        <v>6046</v>
      </c>
      <c r="H5332" t="s">
        <v>6098</v>
      </c>
      <c r="I5332">
        <v>72</v>
      </c>
      <c r="J5332">
        <v>52.8</v>
      </c>
      <c r="K5332" t="s">
        <v>6099</v>
      </c>
      <c r="L5332" t="s">
        <v>6100</v>
      </c>
      <c r="M5332" t="s">
        <v>6100</v>
      </c>
      <c r="N5332">
        <v>5</v>
      </c>
      <c r="O5332" t="s">
        <v>6101</v>
      </c>
      <c r="P5332" t="s">
        <v>6114</v>
      </c>
      <c r="Q5332">
        <v>8</v>
      </c>
      <c r="R5332">
        <v>2026</v>
      </c>
      <c r="S5332" t="s">
        <v>6099</v>
      </c>
      <c r="T5332">
        <v>1</v>
      </c>
      <c r="U5332" t="s">
        <v>6020</v>
      </c>
      <c r="V5332">
        <v>1</v>
      </c>
    </row>
    <row r="5333" spans="1:22" x14ac:dyDescent="0.3">
      <c r="A5333" t="s">
        <v>5348</v>
      </c>
      <c r="B5333" s="2">
        <v>46263.563888888886</v>
      </c>
      <c r="C5333" s="2">
        <v>46264.226388888892</v>
      </c>
      <c r="D5333" t="s">
        <v>6022</v>
      </c>
      <c r="E5333" t="s">
        <v>6029</v>
      </c>
      <c r="F5333" t="s">
        <v>6035</v>
      </c>
      <c r="G5333" t="s">
        <v>6088</v>
      </c>
      <c r="H5333" t="s">
        <v>6097</v>
      </c>
      <c r="I5333">
        <v>4</v>
      </c>
      <c r="J5333">
        <v>15.9</v>
      </c>
      <c r="K5333" t="s">
        <v>6100</v>
      </c>
      <c r="L5333" t="s">
        <v>6100</v>
      </c>
      <c r="M5333" t="s">
        <v>6100</v>
      </c>
      <c r="O5333" t="s">
        <v>6101</v>
      </c>
      <c r="P5333" t="s">
        <v>6114</v>
      </c>
      <c r="Q5333">
        <v>8</v>
      </c>
      <c r="R5333">
        <v>2026</v>
      </c>
      <c r="S5333" t="s">
        <v>6100</v>
      </c>
      <c r="T5333">
        <v>0</v>
      </c>
      <c r="U5333" t="s">
        <v>6020</v>
      </c>
      <c r="V5333">
        <v>0</v>
      </c>
    </row>
    <row r="5334" spans="1:22" x14ac:dyDescent="0.3">
      <c r="A5334" t="s">
        <v>5349</v>
      </c>
      <c r="B5334" s="2">
        <v>46263.595833333333</v>
      </c>
      <c r="C5334" s="2">
        <v>46263.691666666666</v>
      </c>
      <c r="D5334" t="s">
        <v>6023</v>
      </c>
      <c r="E5334" t="s">
        <v>6029</v>
      </c>
      <c r="F5334" t="s">
        <v>6033</v>
      </c>
      <c r="G5334" t="s">
        <v>6060</v>
      </c>
      <c r="H5334" t="s">
        <v>6097</v>
      </c>
      <c r="I5334">
        <v>72</v>
      </c>
      <c r="J5334">
        <v>2.2999999999999998</v>
      </c>
      <c r="K5334" t="s">
        <v>6099</v>
      </c>
      <c r="L5334" t="s">
        <v>6100</v>
      </c>
      <c r="M5334" t="s">
        <v>6100</v>
      </c>
      <c r="N5334">
        <v>4</v>
      </c>
      <c r="O5334" t="s">
        <v>6101</v>
      </c>
      <c r="P5334" t="s">
        <v>6114</v>
      </c>
      <c r="Q5334">
        <v>8</v>
      </c>
      <c r="R5334">
        <v>2026</v>
      </c>
      <c r="S5334" t="s">
        <v>6099</v>
      </c>
      <c r="T5334">
        <v>1</v>
      </c>
      <c r="U5334" t="s">
        <v>6018</v>
      </c>
      <c r="V5334">
        <v>1</v>
      </c>
    </row>
    <row r="5335" spans="1:22" x14ac:dyDescent="0.3">
      <c r="A5335" t="s">
        <v>5350</v>
      </c>
      <c r="B5335" s="2">
        <v>46263.617361111108</v>
      </c>
      <c r="C5335" s="2">
        <v>46263.829861111109</v>
      </c>
      <c r="D5335" t="s">
        <v>6028</v>
      </c>
      <c r="E5335" t="s">
        <v>6029</v>
      </c>
      <c r="F5335" t="s">
        <v>6033</v>
      </c>
      <c r="G5335" t="s">
        <v>6073</v>
      </c>
      <c r="H5335" t="s">
        <v>6096</v>
      </c>
      <c r="I5335">
        <v>72</v>
      </c>
      <c r="J5335">
        <v>5.0999999999999996</v>
      </c>
      <c r="K5335" t="s">
        <v>6099</v>
      </c>
      <c r="L5335" t="s">
        <v>6100</v>
      </c>
      <c r="M5335" t="s">
        <v>6100</v>
      </c>
      <c r="N5335">
        <v>5</v>
      </c>
      <c r="O5335" t="s">
        <v>6101</v>
      </c>
      <c r="P5335" t="s">
        <v>6114</v>
      </c>
      <c r="Q5335">
        <v>8</v>
      </c>
      <c r="R5335">
        <v>2026</v>
      </c>
      <c r="S5335" t="s">
        <v>6099</v>
      </c>
      <c r="T5335">
        <v>1</v>
      </c>
      <c r="U5335" t="s">
        <v>6018</v>
      </c>
      <c r="V5335">
        <v>1</v>
      </c>
    </row>
    <row r="5336" spans="1:22" x14ac:dyDescent="0.3">
      <c r="A5336" t="s">
        <v>5351</v>
      </c>
      <c r="B5336" s="2">
        <v>46263.64166666667</v>
      </c>
      <c r="C5336" s="2">
        <v>46264.291666666664</v>
      </c>
      <c r="D5336" t="s">
        <v>6022</v>
      </c>
      <c r="E5336" t="s">
        <v>6030</v>
      </c>
      <c r="F5336" t="s">
        <v>6033</v>
      </c>
      <c r="G5336" t="s">
        <v>6058</v>
      </c>
      <c r="H5336" t="s">
        <v>6098</v>
      </c>
      <c r="I5336">
        <v>72</v>
      </c>
      <c r="J5336">
        <v>15.6</v>
      </c>
      <c r="K5336" t="s">
        <v>6099</v>
      </c>
      <c r="L5336" t="s">
        <v>6100</v>
      </c>
      <c r="M5336" t="s">
        <v>6100</v>
      </c>
      <c r="N5336">
        <v>5</v>
      </c>
      <c r="O5336" t="s">
        <v>6101</v>
      </c>
      <c r="P5336" t="s">
        <v>6114</v>
      </c>
      <c r="Q5336">
        <v>8</v>
      </c>
      <c r="R5336">
        <v>2026</v>
      </c>
      <c r="S5336" t="s">
        <v>6099</v>
      </c>
      <c r="T5336">
        <v>1</v>
      </c>
      <c r="U5336" t="s">
        <v>6017</v>
      </c>
      <c r="V5336">
        <v>1</v>
      </c>
    </row>
    <row r="5337" spans="1:22" x14ac:dyDescent="0.3">
      <c r="A5337" t="s">
        <v>5352</v>
      </c>
      <c r="B5337" s="2">
        <v>46263.665277777778</v>
      </c>
      <c r="C5337" s="2">
        <v>46264.352777777778</v>
      </c>
      <c r="D5337" t="s">
        <v>6025</v>
      </c>
      <c r="E5337" t="s">
        <v>6030</v>
      </c>
      <c r="F5337" t="s">
        <v>6035</v>
      </c>
      <c r="G5337" t="s">
        <v>6042</v>
      </c>
      <c r="H5337" t="s">
        <v>6098</v>
      </c>
      <c r="I5337">
        <v>4</v>
      </c>
      <c r="J5337">
        <v>16.5</v>
      </c>
      <c r="K5337" t="s">
        <v>6100</v>
      </c>
      <c r="L5337" t="s">
        <v>6099</v>
      </c>
      <c r="M5337" t="s">
        <v>6100</v>
      </c>
      <c r="N5337">
        <v>3</v>
      </c>
      <c r="O5337" t="s">
        <v>6101</v>
      </c>
      <c r="P5337" t="s">
        <v>6114</v>
      </c>
      <c r="Q5337">
        <v>8</v>
      </c>
      <c r="R5337">
        <v>2026</v>
      </c>
      <c r="S5337" t="s">
        <v>6100</v>
      </c>
      <c r="T5337">
        <v>0</v>
      </c>
      <c r="U5337" t="s">
        <v>6017</v>
      </c>
      <c r="V5337">
        <v>0</v>
      </c>
    </row>
    <row r="5338" spans="1:22" x14ac:dyDescent="0.3">
      <c r="A5338" t="s">
        <v>5353</v>
      </c>
      <c r="B5338" s="2">
        <v>46263.707638888889</v>
      </c>
      <c r="C5338" s="2">
        <v>46263.857638888891</v>
      </c>
      <c r="D5338" t="s">
        <v>6028</v>
      </c>
      <c r="E5338" t="s">
        <v>6029</v>
      </c>
      <c r="F5338" t="s">
        <v>6034</v>
      </c>
      <c r="G5338" t="s">
        <v>6084</v>
      </c>
      <c r="H5338" t="s">
        <v>6098</v>
      </c>
      <c r="I5338">
        <v>24</v>
      </c>
      <c r="J5338">
        <v>3.6</v>
      </c>
      <c r="K5338" t="s">
        <v>6099</v>
      </c>
      <c r="L5338" t="s">
        <v>6100</v>
      </c>
      <c r="M5338" t="s">
        <v>6100</v>
      </c>
      <c r="N5338">
        <v>5</v>
      </c>
      <c r="O5338" t="s">
        <v>6101</v>
      </c>
      <c r="P5338" t="s">
        <v>6114</v>
      </c>
      <c r="Q5338">
        <v>8</v>
      </c>
      <c r="R5338">
        <v>2026</v>
      </c>
      <c r="S5338" t="s">
        <v>6099</v>
      </c>
      <c r="T5338">
        <v>1</v>
      </c>
      <c r="U5338" t="s">
        <v>6018</v>
      </c>
      <c r="V5338">
        <v>1</v>
      </c>
    </row>
    <row r="5339" spans="1:22" x14ac:dyDescent="0.3">
      <c r="A5339" t="s">
        <v>5354</v>
      </c>
      <c r="B5339" s="2">
        <v>46263.751388888886</v>
      </c>
      <c r="C5339" s="2">
        <v>46264.538888888892</v>
      </c>
      <c r="D5339" t="s">
        <v>6023</v>
      </c>
      <c r="E5339" t="s">
        <v>6029</v>
      </c>
      <c r="F5339" t="s">
        <v>6033</v>
      </c>
      <c r="G5339" t="s">
        <v>6075</v>
      </c>
      <c r="H5339" t="s">
        <v>6097</v>
      </c>
      <c r="I5339">
        <v>72</v>
      </c>
      <c r="J5339">
        <v>18.899999999999999</v>
      </c>
      <c r="K5339" t="s">
        <v>6099</v>
      </c>
      <c r="L5339" t="s">
        <v>6100</v>
      </c>
      <c r="M5339" t="s">
        <v>6099</v>
      </c>
      <c r="N5339">
        <v>5</v>
      </c>
      <c r="O5339" t="s">
        <v>6101</v>
      </c>
      <c r="P5339" t="s">
        <v>6114</v>
      </c>
      <c r="Q5339">
        <v>8</v>
      </c>
      <c r="R5339">
        <v>2026</v>
      </c>
      <c r="S5339" t="s">
        <v>6099</v>
      </c>
      <c r="T5339">
        <v>1</v>
      </c>
      <c r="U5339" t="s">
        <v>6019</v>
      </c>
      <c r="V5339">
        <v>1</v>
      </c>
    </row>
    <row r="5340" spans="1:22" x14ac:dyDescent="0.3">
      <c r="A5340" t="s">
        <v>5355</v>
      </c>
      <c r="B5340" s="2">
        <v>46263.78125</v>
      </c>
      <c r="C5340" s="2">
        <v>46264.23541666667</v>
      </c>
      <c r="D5340" t="s">
        <v>6022</v>
      </c>
      <c r="E5340" t="s">
        <v>6030</v>
      </c>
      <c r="F5340" t="s">
        <v>6034</v>
      </c>
      <c r="G5340" t="s">
        <v>6086</v>
      </c>
      <c r="H5340" t="s">
        <v>6098</v>
      </c>
      <c r="I5340">
        <v>24</v>
      </c>
      <c r="J5340">
        <v>10.9</v>
      </c>
      <c r="K5340" t="s">
        <v>6099</v>
      </c>
      <c r="L5340" t="s">
        <v>6100</v>
      </c>
      <c r="M5340" t="s">
        <v>6100</v>
      </c>
      <c r="N5340">
        <v>5</v>
      </c>
      <c r="O5340" t="s">
        <v>6101</v>
      </c>
      <c r="P5340" t="s">
        <v>6114</v>
      </c>
      <c r="Q5340">
        <v>8</v>
      </c>
      <c r="R5340">
        <v>2026</v>
      </c>
      <c r="S5340" t="s">
        <v>6099</v>
      </c>
      <c r="T5340">
        <v>1</v>
      </c>
      <c r="U5340" t="s">
        <v>6017</v>
      </c>
      <c r="V5340">
        <v>1</v>
      </c>
    </row>
    <row r="5341" spans="1:22" x14ac:dyDescent="0.3">
      <c r="A5341" t="s">
        <v>5356</v>
      </c>
      <c r="B5341" s="2">
        <v>46263.908333333333</v>
      </c>
      <c r="C5341" s="2">
        <v>46266.45416666667</v>
      </c>
      <c r="D5341" t="s">
        <v>6025</v>
      </c>
      <c r="E5341" t="s">
        <v>6031</v>
      </c>
      <c r="F5341" t="s">
        <v>6034</v>
      </c>
      <c r="G5341" t="s">
        <v>6069</v>
      </c>
      <c r="H5341" t="s">
        <v>6098</v>
      </c>
      <c r="I5341">
        <v>24</v>
      </c>
      <c r="J5341">
        <v>61.1</v>
      </c>
      <c r="K5341" t="s">
        <v>6100</v>
      </c>
      <c r="L5341" t="s">
        <v>6099</v>
      </c>
      <c r="M5341" t="s">
        <v>6100</v>
      </c>
      <c r="O5341" t="s">
        <v>6101</v>
      </c>
      <c r="P5341" t="s">
        <v>6114</v>
      </c>
      <c r="Q5341">
        <v>8</v>
      </c>
      <c r="R5341">
        <v>2026</v>
      </c>
      <c r="S5341" t="s">
        <v>6100</v>
      </c>
      <c r="T5341">
        <v>0</v>
      </c>
      <c r="U5341" t="s">
        <v>6018</v>
      </c>
      <c r="V5341">
        <v>0</v>
      </c>
    </row>
    <row r="5342" spans="1:22" x14ac:dyDescent="0.3">
      <c r="A5342" t="s">
        <v>5357</v>
      </c>
      <c r="B5342" s="2">
        <v>46263.911805555559</v>
      </c>
      <c r="C5342" s="2">
        <v>46264.086805555555</v>
      </c>
      <c r="D5342" t="s">
        <v>6023</v>
      </c>
      <c r="E5342" t="s">
        <v>6029</v>
      </c>
      <c r="F5342" t="s">
        <v>6033</v>
      </c>
      <c r="G5342" t="s">
        <v>6075</v>
      </c>
      <c r="H5342" t="s">
        <v>6097</v>
      </c>
      <c r="I5342">
        <v>72</v>
      </c>
      <c r="J5342">
        <v>4.2</v>
      </c>
      <c r="K5342" t="s">
        <v>6099</v>
      </c>
      <c r="L5342" t="s">
        <v>6100</v>
      </c>
      <c r="M5342" t="s">
        <v>6100</v>
      </c>
      <c r="N5342">
        <v>5</v>
      </c>
      <c r="O5342" t="s">
        <v>6101</v>
      </c>
      <c r="P5342" t="s">
        <v>6114</v>
      </c>
      <c r="Q5342">
        <v>8</v>
      </c>
      <c r="R5342">
        <v>2026</v>
      </c>
      <c r="S5342" t="s">
        <v>6099</v>
      </c>
      <c r="T5342">
        <v>1</v>
      </c>
      <c r="U5342" t="s">
        <v>6018</v>
      </c>
      <c r="V5342">
        <v>1</v>
      </c>
    </row>
    <row r="5343" spans="1:22" x14ac:dyDescent="0.3">
      <c r="A5343" t="s">
        <v>5358</v>
      </c>
      <c r="B5343" s="2">
        <v>46263.94027777778</v>
      </c>
      <c r="C5343" s="2">
        <v>46264.261111111111</v>
      </c>
      <c r="D5343" t="s">
        <v>6023</v>
      </c>
      <c r="E5343" t="s">
        <v>6029</v>
      </c>
      <c r="F5343" t="s">
        <v>6033</v>
      </c>
      <c r="G5343" t="s">
        <v>6093</v>
      </c>
      <c r="H5343" t="s">
        <v>6097</v>
      </c>
      <c r="I5343">
        <v>72</v>
      </c>
      <c r="J5343">
        <v>7.7</v>
      </c>
      <c r="K5343" t="s">
        <v>6099</v>
      </c>
      <c r="L5343" t="s">
        <v>6100</v>
      </c>
      <c r="M5343" t="s">
        <v>6100</v>
      </c>
      <c r="N5343">
        <v>5</v>
      </c>
      <c r="O5343" t="s">
        <v>6101</v>
      </c>
      <c r="P5343" t="s">
        <v>6114</v>
      </c>
      <c r="Q5343">
        <v>8</v>
      </c>
      <c r="R5343">
        <v>2026</v>
      </c>
      <c r="S5343" t="s">
        <v>6099</v>
      </c>
      <c r="T5343">
        <v>1</v>
      </c>
      <c r="U5343" t="s">
        <v>6021</v>
      </c>
      <c r="V5343">
        <v>1</v>
      </c>
    </row>
    <row r="5344" spans="1:22" x14ac:dyDescent="0.3">
      <c r="A5344" t="s">
        <v>5359</v>
      </c>
      <c r="B5344" s="2">
        <v>46264.113194444442</v>
      </c>
      <c r="C5344" s="2">
        <v>46265.517361111109</v>
      </c>
      <c r="D5344" t="s">
        <v>6024</v>
      </c>
      <c r="E5344" t="s">
        <v>6030</v>
      </c>
      <c r="F5344" t="s">
        <v>6035</v>
      </c>
      <c r="G5344" t="s">
        <v>6037</v>
      </c>
      <c r="H5344" t="s">
        <v>6096</v>
      </c>
      <c r="I5344">
        <v>4</v>
      </c>
      <c r="J5344">
        <v>33.700000000000003</v>
      </c>
      <c r="K5344" t="s">
        <v>6099</v>
      </c>
      <c r="L5344" t="s">
        <v>6100</v>
      </c>
      <c r="M5344" t="s">
        <v>6100</v>
      </c>
      <c r="N5344">
        <v>4</v>
      </c>
      <c r="O5344" t="s">
        <v>6101</v>
      </c>
      <c r="P5344" t="s">
        <v>6114</v>
      </c>
      <c r="Q5344">
        <v>8</v>
      </c>
      <c r="R5344">
        <v>2026</v>
      </c>
      <c r="S5344" t="s">
        <v>6100</v>
      </c>
      <c r="T5344">
        <v>0</v>
      </c>
      <c r="U5344" t="s">
        <v>6021</v>
      </c>
      <c r="V5344">
        <v>1</v>
      </c>
    </row>
    <row r="5345" spans="1:22" x14ac:dyDescent="0.3">
      <c r="A5345" t="s">
        <v>5360</v>
      </c>
      <c r="B5345" s="2">
        <v>46264.229166666664</v>
      </c>
      <c r="C5345" s="2">
        <v>46264.512499999997</v>
      </c>
      <c r="D5345" t="s">
        <v>6028</v>
      </c>
      <c r="E5345" t="s">
        <v>6029</v>
      </c>
      <c r="F5345" t="s">
        <v>6034</v>
      </c>
      <c r="G5345" t="s">
        <v>6081</v>
      </c>
      <c r="H5345" t="s">
        <v>6098</v>
      </c>
      <c r="I5345">
        <v>24</v>
      </c>
      <c r="J5345">
        <v>6.8</v>
      </c>
      <c r="K5345" t="s">
        <v>6099</v>
      </c>
      <c r="L5345" t="s">
        <v>6100</v>
      </c>
      <c r="M5345" t="s">
        <v>6099</v>
      </c>
      <c r="N5345">
        <v>4</v>
      </c>
      <c r="O5345" t="s">
        <v>6101</v>
      </c>
      <c r="P5345" t="s">
        <v>6114</v>
      </c>
      <c r="Q5345">
        <v>8</v>
      </c>
      <c r="R5345">
        <v>2026</v>
      </c>
      <c r="S5345" t="s">
        <v>6099</v>
      </c>
      <c r="T5345">
        <v>1</v>
      </c>
      <c r="U5345" t="s">
        <v>6021</v>
      </c>
      <c r="V5345">
        <v>1</v>
      </c>
    </row>
    <row r="5346" spans="1:22" x14ac:dyDescent="0.3">
      <c r="A5346" t="s">
        <v>5361</v>
      </c>
      <c r="B5346" s="2">
        <v>46264.308333333334</v>
      </c>
      <c r="C5346" s="2">
        <v>46266.179166666669</v>
      </c>
      <c r="D5346" t="s">
        <v>6022</v>
      </c>
      <c r="E5346" t="s">
        <v>6031</v>
      </c>
      <c r="F5346" t="s">
        <v>6034</v>
      </c>
      <c r="G5346" t="s">
        <v>6081</v>
      </c>
      <c r="H5346" t="s">
        <v>6098</v>
      </c>
      <c r="I5346">
        <v>24</v>
      </c>
      <c r="J5346">
        <v>44.9</v>
      </c>
      <c r="K5346" t="s">
        <v>6099</v>
      </c>
      <c r="L5346" t="s">
        <v>6100</v>
      </c>
      <c r="M5346" t="s">
        <v>6100</v>
      </c>
      <c r="O5346" t="s">
        <v>6101</v>
      </c>
      <c r="P5346" t="s">
        <v>6114</v>
      </c>
      <c r="Q5346">
        <v>8</v>
      </c>
      <c r="R5346">
        <v>2026</v>
      </c>
      <c r="S5346" t="s">
        <v>6100</v>
      </c>
      <c r="T5346">
        <v>0</v>
      </c>
      <c r="U5346" t="s">
        <v>6018</v>
      </c>
      <c r="V5346">
        <v>1</v>
      </c>
    </row>
    <row r="5347" spans="1:22" x14ac:dyDescent="0.3">
      <c r="A5347" t="s">
        <v>5362</v>
      </c>
      <c r="B5347" s="2">
        <v>46264.347222222219</v>
      </c>
      <c r="C5347" s="2">
        <v>46266.234722222223</v>
      </c>
      <c r="D5347" t="s">
        <v>6025</v>
      </c>
      <c r="E5347" t="s">
        <v>6031</v>
      </c>
      <c r="F5347" t="s">
        <v>6033</v>
      </c>
      <c r="G5347" t="s">
        <v>6038</v>
      </c>
      <c r="H5347" t="s">
        <v>6096</v>
      </c>
      <c r="I5347">
        <v>72</v>
      </c>
      <c r="J5347">
        <v>45.3</v>
      </c>
      <c r="K5347" t="s">
        <v>6099</v>
      </c>
      <c r="L5347" t="s">
        <v>6100</v>
      </c>
      <c r="M5347" t="s">
        <v>6100</v>
      </c>
      <c r="O5347" t="s">
        <v>6101</v>
      </c>
      <c r="P5347" t="s">
        <v>6114</v>
      </c>
      <c r="Q5347">
        <v>8</v>
      </c>
      <c r="R5347">
        <v>2026</v>
      </c>
      <c r="S5347" t="s">
        <v>6099</v>
      </c>
      <c r="T5347">
        <v>1</v>
      </c>
      <c r="U5347" t="s">
        <v>6020</v>
      </c>
      <c r="V5347">
        <v>1</v>
      </c>
    </row>
    <row r="5348" spans="1:22" x14ac:dyDescent="0.3">
      <c r="A5348" t="s">
        <v>5363</v>
      </c>
      <c r="B5348" s="2">
        <v>46264.404166666667</v>
      </c>
      <c r="C5348" s="2">
        <v>46265.07916666667</v>
      </c>
      <c r="D5348" t="s">
        <v>6024</v>
      </c>
      <c r="E5348" t="s">
        <v>6030</v>
      </c>
      <c r="F5348" t="s">
        <v>6034</v>
      </c>
      <c r="G5348" t="s">
        <v>6081</v>
      </c>
      <c r="H5348" t="s">
        <v>6098</v>
      </c>
      <c r="I5348">
        <v>24</v>
      </c>
      <c r="J5348">
        <v>16.2</v>
      </c>
      <c r="K5348" t="s">
        <v>6099</v>
      </c>
      <c r="L5348" t="s">
        <v>6100</v>
      </c>
      <c r="M5348" t="s">
        <v>6100</v>
      </c>
      <c r="N5348">
        <v>5</v>
      </c>
      <c r="O5348" t="s">
        <v>6101</v>
      </c>
      <c r="P5348" t="s">
        <v>6114</v>
      </c>
      <c r="Q5348">
        <v>8</v>
      </c>
      <c r="R5348">
        <v>2026</v>
      </c>
      <c r="S5348" t="s">
        <v>6099</v>
      </c>
      <c r="T5348">
        <v>1</v>
      </c>
      <c r="U5348" t="s">
        <v>6021</v>
      </c>
      <c r="V5348">
        <v>1</v>
      </c>
    </row>
    <row r="5349" spans="1:22" x14ac:dyDescent="0.3">
      <c r="A5349" t="s">
        <v>5364</v>
      </c>
      <c r="B5349" s="2">
        <v>46264.416666666664</v>
      </c>
      <c r="C5349" s="2">
        <v>46266.604166666664</v>
      </c>
      <c r="D5349" t="s">
        <v>6025</v>
      </c>
      <c r="E5349" t="s">
        <v>6031</v>
      </c>
      <c r="F5349" t="s">
        <v>6033</v>
      </c>
      <c r="G5349" t="s">
        <v>6057</v>
      </c>
      <c r="H5349" t="s">
        <v>6097</v>
      </c>
      <c r="I5349">
        <v>72</v>
      </c>
      <c r="J5349">
        <v>52.5</v>
      </c>
      <c r="K5349" t="s">
        <v>6099</v>
      </c>
      <c r="L5349" t="s">
        <v>6100</v>
      </c>
      <c r="M5349" t="s">
        <v>6100</v>
      </c>
      <c r="N5349">
        <v>4</v>
      </c>
      <c r="O5349" t="s">
        <v>6101</v>
      </c>
      <c r="P5349" t="s">
        <v>6114</v>
      </c>
      <c r="Q5349">
        <v>8</v>
      </c>
      <c r="R5349">
        <v>2026</v>
      </c>
      <c r="S5349" t="s">
        <v>6099</v>
      </c>
      <c r="T5349">
        <v>1</v>
      </c>
      <c r="U5349" t="s">
        <v>6018</v>
      </c>
      <c r="V5349">
        <v>1</v>
      </c>
    </row>
    <row r="5350" spans="1:22" x14ac:dyDescent="0.3">
      <c r="A5350" t="s">
        <v>5365</v>
      </c>
      <c r="B5350" s="2">
        <v>46264.429861111108</v>
      </c>
      <c r="C5350" s="2">
        <v>46265.796527777777</v>
      </c>
      <c r="D5350" t="s">
        <v>6028</v>
      </c>
      <c r="E5350" t="s">
        <v>6031</v>
      </c>
      <c r="F5350" t="s">
        <v>6035</v>
      </c>
      <c r="G5350" t="s">
        <v>6045</v>
      </c>
      <c r="H5350" t="s">
        <v>6096</v>
      </c>
      <c r="I5350">
        <v>4</v>
      </c>
      <c r="J5350">
        <v>32.799999999999997</v>
      </c>
      <c r="K5350" t="s">
        <v>6099</v>
      </c>
      <c r="L5350" t="s">
        <v>6100</v>
      </c>
      <c r="M5350" t="s">
        <v>6099</v>
      </c>
      <c r="N5350">
        <v>2</v>
      </c>
      <c r="O5350" t="s">
        <v>6101</v>
      </c>
      <c r="P5350" t="s">
        <v>6114</v>
      </c>
      <c r="Q5350">
        <v>8</v>
      </c>
      <c r="R5350">
        <v>2026</v>
      </c>
      <c r="S5350" t="s">
        <v>6100</v>
      </c>
      <c r="T5350">
        <v>0</v>
      </c>
      <c r="U5350" t="s">
        <v>6020</v>
      </c>
      <c r="V5350">
        <v>1</v>
      </c>
    </row>
    <row r="5351" spans="1:22" x14ac:dyDescent="0.3">
      <c r="A5351" t="s">
        <v>5366</v>
      </c>
      <c r="B5351" s="2">
        <v>46264.431944444441</v>
      </c>
      <c r="C5351" s="2">
        <v>46264.852777777778</v>
      </c>
      <c r="D5351" t="s">
        <v>6027</v>
      </c>
      <c r="E5351" t="s">
        <v>6029</v>
      </c>
      <c r="F5351" t="s">
        <v>6034</v>
      </c>
      <c r="G5351" t="s">
        <v>6044</v>
      </c>
      <c r="H5351" t="s">
        <v>6097</v>
      </c>
      <c r="I5351">
        <v>24</v>
      </c>
      <c r="J5351">
        <v>10.1</v>
      </c>
      <c r="K5351" t="s">
        <v>6099</v>
      </c>
      <c r="L5351" t="s">
        <v>6100</v>
      </c>
      <c r="M5351" t="s">
        <v>6100</v>
      </c>
      <c r="O5351" t="s">
        <v>6101</v>
      </c>
      <c r="P5351" t="s">
        <v>6114</v>
      </c>
      <c r="Q5351">
        <v>8</v>
      </c>
      <c r="R5351">
        <v>2026</v>
      </c>
      <c r="S5351" t="s">
        <v>6099</v>
      </c>
      <c r="T5351">
        <v>1</v>
      </c>
      <c r="U5351" t="s">
        <v>6018</v>
      </c>
      <c r="V5351">
        <v>1</v>
      </c>
    </row>
    <row r="5352" spans="1:22" x14ac:dyDescent="0.3">
      <c r="A5352" t="s">
        <v>5367</v>
      </c>
      <c r="B5352" s="2">
        <v>46264.477083333331</v>
      </c>
      <c r="C5352" s="2">
        <v>46264.752083333333</v>
      </c>
      <c r="D5352" t="s">
        <v>6023</v>
      </c>
      <c r="E5352" t="s">
        <v>6029</v>
      </c>
      <c r="F5352" t="s">
        <v>6033</v>
      </c>
      <c r="G5352" t="s">
        <v>6066</v>
      </c>
      <c r="H5352" t="s">
        <v>6096</v>
      </c>
      <c r="I5352">
        <v>72</v>
      </c>
      <c r="J5352">
        <v>6.6</v>
      </c>
      <c r="K5352" t="s">
        <v>6100</v>
      </c>
      <c r="L5352" t="s">
        <v>6099</v>
      </c>
      <c r="M5352" t="s">
        <v>6100</v>
      </c>
      <c r="O5352" t="s">
        <v>6101</v>
      </c>
      <c r="P5352" t="s">
        <v>6114</v>
      </c>
      <c r="Q5352">
        <v>8</v>
      </c>
      <c r="R5352">
        <v>2026</v>
      </c>
      <c r="S5352" t="s">
        <v>6099</v>
      </c>
      <c r="T5352">
        <v>1</v>
      </c>
      <c r="U5352" t="s">
        <v>6017</v>
      </c>
      <c r="V5352">
        <v>0</v>
      </c>
    </row>
    <row r="5353" spans="1:22" x14ac:dyDescent="0.3">
      <c r="A5353" t="s">
        <v>5368</v>
      </c>
      <c r="B5353" s="2">
        <v>46264.491666666669</v>
      </c>
      <c r="C5353" s="2">
        <v>46265.212500000001</v>
      </c>
      <c r="D5353" t="s">
        <v>6028</v>
      </c>
      <c r="E5353" t="s">
        <v>6030</v>
      </c>
      <c r="F5353" t="s">
        <v>6034</v>
      </c>
      <c r="G5353" t="s">
        <v>6079</v>
      </c>
      <c r="H5353" t="s">
        <v>6097</v>
      </c>
      <c r="I5353">
        <v>24</v>
      </c>
      <c r="J5353">
        <v>17.3</v>
      </c>
      <c r="K5353" t="s">
        <v>6100</v>
      </c>
      <c r="L5353" t="s">
        <v>6100</v>
      </c>
      <c r="M5353" t="s">
        <v>6100</v>
      </c>
      <c r="O5353" t="s">
        <v>6101</v>
      </c>
      <c r="P5353" t="s">
        <v>6114</v>
      </c>
      <c r="Q5353">
        <v>8</v>
      </c>
      <c r="R5353">
        <v>2026</v>
      </c>
      <c r="S5353" t="s">
        <v>6099</v>
      </c>
      <c r="T5353">
        <v>1</v>
      </c>
      <c r="U5353" t="s">
        <v>6019</v>
      </c>
      <c r="V5353">
        <v>0</v>
      </c>
    </row>
    <row r="5354" spans="1:22" x14ac:dyDescent="0.3">
      <c r="A5354" t="s">
        <v>5369</v>
      </c>
      <c r="B5354" s="2">
        <v>46264.503472222219</v>
      </c>
      <c r="C5354" s="2">
        <v>46264.920138888891</v>
      </c>
      <c r="D5354" t="s">
        <v>6027</v>
      </c>
      <c r="E5354" t="s">
        <v>6030</v>
      </c>
      <c r="F5354" t="s">
        <v>6034</v>
      </c>
      <c r="G5354" t="s">
        <v>6065</v>
      </c>
      <c r="H5354" t="s">
        <v>6097</v>
      </c>
      <c r="I5354">
        <v>24</v>
      </c>
      <c r="J5354">
        <v>10</v>
      </c>
      <c r="K5354" t="s">
        <v>6099</v>
      </c>
      <c r="L5354" t="s">
        <v>6100</v>
      </c>
      <c r="M5354" t="s">
        <v>6100</v>
      </c>
      <c r="O5354" t="s">
        <v>6101</v>
      </c>
      <c r="P5354" t="s">
        <v>6114</v>
      </c>
      <c r="Q5354">
        <v>8</v>
      </c>
      <c r="R5354">
        <v>2026</v>
      </c>
      <c r="S5354" t="s">
        <v>6099</v>
      </c>
      <c r="T5354">
        <v>1</v>
      </c>
      <c r="U5354" t="s">
        <v>6020</v>
      </c>
      <c r="V5354">
        <v>1</v>
      </c>
    </row>
    <row r="5355" spans="1:22" x14ac:dyDescent="0.3">
      <c r="A5355" t="s">
        <v>5370</v>
      </c>
      <c r="B5355" s="2">
        <v>46264.503472222219</v>
      </c>
      <c r="C5355" s="2">
        <v>46264.828472222223</v>
      </c>
      <c r="D5355" t="s">
        <v>6024</v>
      </c>
      <c r="E5355" t="s">
        <v>6030</v>
      </c>
      <c r="F5355" t="s">
        <v>6034</v>
      </c>
      <c r="G5355" t="s">
        <v>6080</v>
      </c>
      <c r="H5355" t="s">
        <v>6096</v>
      </c>
      <c r="I5355">
        <v>24</v>
      </c>
      <c r="J5355">
        <v>7.8</v>
      </c>
      <c r="K5355" t="s">
        <v>6099</v>
      </c>
      <c r="L5355" t="s">
        <v>6100</v>
      </c>
      <c r="M5355" t="s">
        <v>6100</v>
      </c>
      <c r="O5355" t="s">
        <v>6101</v>
      </c>
      <c r="P5355" t="s">
        <v>6114</v>
      </c>
      <c r="Q5355">
        <v>8</v>
      </c>
      <c r="R5355">
        <v>2026</v>
      </c>
      <c r="S5355" t="s">
        <v>6099</v>
      </c>
      <c r="T5355">
        <v>1</v>
      </c>
      <c r="U5355" t="s">
        <v>6018</v>
      </c>
      <c r="V5355">
        <v>1</v>
      </c>
    </row>
    <row r="5356" spans="1:22" x14ac:dyDescent="0.3">
      <c r="A5356" t="s">
        <v>5371</v>
      </c>
      <c r="B5356" s="2">
        <v>46264.525000000001</v>
      </c>
      <c r="C5356" s="2">
        <v>46267.67083333333</v>
      </c>
      <c r="D5356" t="s">
        <v>6027</v>
      </c>
      <c r="E5356" t="s">
        <v>6031</v>
      </c>
      <c r="F5356" t="s">
        <v>6034</v>
      </c>
      <c r="G5356" t="s">
        <v>6048</v>
      </c>
      <c r="H5356" t="s">
        <v>6096</v>
      </c>
      <c r="I5356">
        <v>24</v>
      </c>
      <c r="J5356">
        <v>75.5</v>
      </c>
      <c r="K5356" t="s">
        <v>6099</v>
      </c>
      <c r="L5356" t="s">
        <v>6100</v>
      </c>
      <c r="M5356" t="s">
        <v>6100</v>
      </c>
      <c r="N5356">
        <v>4</v>
      </c>
      <c r="O5356" t="s">
        <v>6101</v>
      </c>
      <c r="P5356" t="s">
        <v>6114</v>
      </c>
      <c r="Q5356">
        <v>8</v>
      </c>
      <c r="R5356">
        <v>2026</v>
      </c>
      <c r="S5356" t="s">
        <v>6100</v>
      </c>
      <c r="T5356">
        <v>0</v>
      </c>
      <c r="U5356" t="s">
        <v>6018</v>
      </c>
      <c r="V5356">
        <v>1</v>
      </c>
    </row>
    <row r="5357" spans="1:22" x14ac:dyDescent="0.3">
      <c r="A5357" t="s">
        <v>5372</v>
      </c>
      <c r="B5357" s="2">
        <v>46264.53402777778</v>
      </c>
      <c r="C5357" s="2">
        <v>46265.092361111114</v>
      </c>
      <c r="D5357" t="s">
        <v>6023</v>
      </c>
      <c r="E5357" t="s">
        <v>6030</v>
      </c>
      <c r="F5357" t="s">
        <v>6034</v>
      </c>
      <c r="G5357" t="s">
        <v>6054</v>
      </c>
      <c r="H5357" t="s">
        <v>6096</v>
      </c>
      <c r="I5357">
        <v>24</v>
      </c>
      <c r="J5357">
        <v>13.4</v>
      </c>
      <c r="K5357" t="s">
        <v>6099</v>
      </c>
      <c r="L5357" t="s">
        <v>6100</v>
      </c>
      <c r="M5357" t="s">
        <v>6100</v>
      </c>
      <c r="N5357">
        <v>5</v>
      </c>
      <c r="O5357" t="s">
        <v>6101</v>
      </c>
      <c r="P5357" t="s">
        <v>6114</v>
      </c>
      <c r="Q5357">
        <v>8</v>
      </c>
      <c r="R5357">
        <v>2026</v>
      </c>
      <c r="S5357" t="s">
        <v>6099</v>
      </c>
      <c r="T5357">
        <v>1</v>
      </c>
      <c r="U5357" t="s">
        <v>6021</v>
      </c>
      <c r="V5357">
        <v>1</v>
      </c>
    </row>
    <row r="5358" spans="1:22" x14ac:dyDescent="0.3">
      <c r="A5358" t="s">
        <v>5373</v>
      </c>
      <c r="B5358" s="2">
        <v>46264.544444444444</v>
      </c>
      <c r="C5358" s="2">
        <v>46265.806944444441</v>
      </c>
      <c r="D5358" t="s">
        <v>6022</v>
      </c>
      <c r="E5358" t="s">
        <v>6032</v>
      </c>
      <c r="F5358" t="s">
        <v>6033</v>
      </c>
      <c r="G5358" t="s">
        <v>6057</v>
      </c>
      <c r="H5358" t="s">
        <v>6097</v>
      </c>
      <c r="I5358">
        <v>72</v>
      </c>
      <c r="J5358">
        <v>30.3</v>
      </c>
      <c r="K5358" t="s">
        <v>6100</v>
      </c>
      <c r="L5358" t="s">
        <v>6099</v>
      </c>
      <c r="M5358" t="s">
        <v>6100</v>
      </c>
      <c r="O5358" t="s">
        <v>6101</v>
      </c>
      <c r="P5358" t="s">
        <v>6114</v>
      </c>
      <c r="Q5358">
        <v>8</v>
      </c>
      <c r="R5358">
        <v>2026</v>
      </c>
      <c r="S5358" t="s">
        <v>6099</v>
      </c>
      <c r="T5358">
        <v>1</v>
      </c>
      <c r="U5358" t="s">
        <v>6019</v>
      </c>
      <c r="V5358">
        <v>0</v>
      </c>
    </row>
    <row r="5359" spans="1:22" x14ac:dyDescent="0.3">
      <c r="A5359" t="s">
        <v>5374</v>
      </c>
      <c r="B5359" s="2">
        <v>46264.547222222223</v>
      </c>
      <c r="C5359" s="2">
        <v>46266.05972222222</v>
      </c>
      <c r="D5359" t="s">
        <v>6024</v>
      </c>
      <c r="E5359" t="s">
        <v>6031</v>
      </c>
      <c r="F5359" t="s">
        <v>6034</v>
      </c>
      <c r="G5359" t="s">
        <v>6092</v>
      </c>
      <c r="H5359" t="s">
        <v>6097</v>
      </c>
      <c r="I5359">
        <v>24</v>
      </c>
      <c r="J5359">
        <v>36.299999999999997</v>
      </c>
      <c r="K5359" t="s">
        <v>6099</v>
      </c>
      <c r="L5359" t="s">
        <v>6100</v>
      </c>
      <c r="M5359" t="s">
        <v>6099</v>
      </c>
      <c r="N5359">
        <v>4</v>
      </c>
      <c r="O5359" t="s">
        <v>6101</v>
      </c>
      <c r="P5359" t="s">
        <v>6114</v>
      </c>
      <c r="Q5359">
        <v>8</v>
      </c>
      <c r="R5359">
        <v>2026</v>
      </c>
      <c r="S5359" t="s">
        <v>6100</v>
      </c>
      <c r="T5359">
        <v>0</v>
      </c>
      <c r="U5359" t="s">
        <v>6020</v>
      </c>
      <c r="V5359">
        <v>1</v>
      </c>
    </row>
    <row r="5360" spans="1:22" x14ac:dyDescent="0.3">
      <c r="A5360" t="s">
        <v>5375</v>
      </c>
      <c r="B5360" s="2">
        <v>46264.548611111109</v>
      </c>
      <c r="C5360" s="2">
        <v>46264.715277777781</v>
      </c>
      <c r="D5360" t="s">
        <v>6023</v>
      </c>
      <c r="E5360" t="s">
        <v>6030</v>
      </c>
      <c r="F5360" t="s">
        <v>6034</v>
      </c>
      <c r="G5360" t="s">
        <v>6074</v>
      </c>
      <c r="H5360" t="s">
        <v>6098</v>
      </c>
      <c r="I5360">
        <v>24</v>
      </c>
      <c r="J5360">
        <v>4</v>
      </c>
      <c r="K5360" t="s">
        <v>6100</v>
      </c>
      <c r="L5360" t="s">
        <v>6099</v>
      </c>
      <c r="M5360" t="s">
        <v>6100</v>
      </c>
      <c r="N5360">
        <v>4</v>
      </c>
      <c r="O5360" t="s">
        <v>6101</v>
      </c>
      <c r="P5360" t="s">
        <v>6114</v>
      </c>
      <c r="Q5360">
        <v>8</v>
      </c>
      <c r="R5360">
        <v>2026</v>
      </c>
      <c r="S5360" t="s">
        <v>6099</v>
      </c>
      <c r="T5360">
        <v>1</v>
      </c>
      <c r="U5360" t="s">
        <v>6021</v>
      </c>
      <c r="V5360">
        <v>0</v>
      </c>
    </row>
    <row r="5361" spans="1:22" x14ac:dyDescent="0.3">
      <c r="A5361" t="s">
        <v>5376</v>
      </c>
      <c r="B5361" s="2">
        <v>46264.5625</v>
      </c>
      <c r="C5361" s="2">
        <v>46264.658333333333</v>
      </c>
      <c r="D5361" t="s">
        <v>6022</v>
      </c>
      <c r="E5361" t="s">
        <v>6030</v>
      </c>
      <c r="F5361" t="s">
        <v>6033</v>
      </c>
      <c r="G5361" t="s">
        <v>6094</v>
      </c>
      <c r="H5361" t="s">
        <v>6098</v>
      </c>
      <c r="I5361">
        <v>72</v>
      </c>
      <c r="J5361">
        <v>2.2999999999999998</v>
      </c>
      <c r="K5361" t="s">
        <v>6099</v>
      </c>
      <c r="L5361" t="s">
        <v>6100</v>
      </c>
      <c r="M5361" t="s">
        <v>6100</v>
      </c>
      <c r="O5361" t="s">
        <v>6101</v>
      </c>
      <c r="P5361" t="s">
        <v>6114</v>
      </c>
      <c r="Q5361">
        <v>8</v>
      </c>
      <c r="R5361">
        <v>2026</v>
      </c>
      <c r="S5361" t="s">
        <v>6099</v>
      </c>
      <c r="T5361">
        <v>1</v>
      </c>
      <c r="U5361" t="s">
        <v>6017</v>
      </c>
      <c r="V5361">
        <v>1</v>
      </c>
    </row>
    <row r="5362" spans="1:22" x14ac:dyDescent="0.3">
      <c r="A5362" t="s">
        <v>5377</v>
      </c>
      <c r="B5362" s="2">
        <v>46264.606944444444</v>
      </c>
      <c r="C5362" s="2">
        <v>46265.465277777781</v>
      </c>
      <c r="D5362" t="s">
        <v>6025</v>
      </c>
      <c r="E5362" t="s">
        <v>6029</v>
      </c>
      <c r="F5362" t="s">
        <v>6034</v>
      </c>
      <c r="G5362" t="s">
        <v>6068</v>
      </c>
      <c r="H5362" t="s">
        <v>6098</v>
      </c>
      <c r="I5362">
        <v>24</v>
      </c>
      <c r="J5362">
        <v>20.6</v>
      </c>
      <c r="K5362" t="s">
        <v>6100</v>
      </c>
      <c r="L5362" t="s">
        <v>6099</v>
      </c>
      <c r="M5362" t="s">
        <v>6100</v>
      </c>
      <c r="N5362">
        <v>5</v>
      </c>
      <c r="O5362" t="s">
        <v>6101</v>
      </c>
      <c r="P5362" t="s">
        <v>6114</v>
      </c>
      <c r="Q5362">
        <v>8</v>
      </c>
      <c r="R5362">
        <v>2026</v>
      </c>
      <c r="S5362" t="s">
        <v>6099</v>
      </c>
      <c r="T5362">
        <v>1</v>
      </c>
      <c r="U5362" t="s">
        <v>6021</v>
      </c>
      <c r="V5362">
        <v>0</v>
      </c>
    </row>
    <row r="5363" spans="1:22" x14ac:dyDescent="0.3">
      <c r="A5363" t="s">
        <v>5378</v>
      </c>
      <c r="B5363" s="2">
        <v>46264.61041666667</v>
      </c>
      <c r="C5363" s="2">
        <v>46264.960416666669</v>
      </c>
      <c r="D5363" t="s">
        <v>6022</v>
      </c>
      <c r="E5363" t="s">
        <v>6030</v>
      </c>
      <c r="F5363" t="s">
        <v>6033</v>
      </c>
      <c r="G5363" t="s">
        <v>6061</v>
      </c>
      <c r="H5363" t="s">
        <v>6096</v>
      </c>
      <c r="I5363">
        <v>72</v>
      </c>
      <c r="J5363">
        <v>8.4</v>
      </c>
      <c r="K5363" t="s">
        <v>6099</v>
      </c>
      <c r="L5363" t="s">
        <v>6100</v>
      </c>
      <c r="M5363" t="s">
        <v>6100</v>
      </c>
      <c r="N5363">
        <v>5</v>
      </c>
      <c r="O5363" t="s">
        <v>6101</v>
      </c>
      <c r="P5363" t="s">
        <v>6114</v>
      </c>
      <c r="Q5363">
        <v>8</v>
      </c>
      <c r="R5363">
        <v>2026</v>
      </c>
      <c r="S5363" t="s">
        <v>6099</v>
      </c>
      <c r="T5363">
        <v>1</v>
      </c>
      <c r="U5363" t="s">
        <v>6017</v>
      </c>
      <c r="V5363">
        <v>1</v>
      </c>
    </row>
    <row r="5364" spans="1:22" x14ac:dyDescent="0.3">
      <c r="A5364" t="s">
        <v>5379</v>
      </c>
      <c r="B5364" s="2">
        <v>46264.613888888889</v>
      </c>
      <c r="C5364" s="2">
        <v>46264.980555555558</v>
      </c>
      <c r="D5364" t="s">
        <v>6022</v>
      </c>
      <c r="E5364" t="s">
        <v>6029</v>
      </c>
      <c r="F5364" t="s">
        <v>6035</v>
      </c>
      <c r="G5364" t="s">
        <v>6081</v>
      </c>
      <c r="H5364" t="s">
        <v>6098</v>
      </c>
      <c r="I5364">
        <v>4</v>
      </c>
      <c r="J5364">
        <v>8.8000000000000007</v>
      </c>
      <c r="K5364" t="s">
        <v>6100</v>
      </c>
      <c r="L5364" t="s">
        <v>6099</v>
      </c>
      <c r="M5364" t="s">
        <v>6100</v>
      </c>
      <c r="N5364">
        <v>2</v>
      </c>
      <c r="O5364" t="s">
        <v>6101</v>
      </c>
      <c r="P5364" t="s">
        <v>6114</v>
      </c>
      <c r="Q5364">
        <v>8</v>
      </c>
      <c r="R5364">
        <v>2026</v>
      </c>
      <c r="S5364" t="s">
        <v>6100</v>
      </c>
      <c r="T5364">
        <v>0</v>
      </c>
      <c r="U5364" t="s">
        <v>6020</v>
      </c>
      <c r="V5364">
        <v>0</v>
      </c>
    </row>
    <row r="5365" spans="1:22" x14ac:dyDescent="0.3">
      <c r="A5365" t="s">
        <v>5380</v>
      </c>
      <c r="B5365" s="2">
        <v>46264.617361111108</v>
      </c>
      <c r="C5365" s="2">
        <v>46264.821527777778</v>
      </c>
      <c r="D5365" t="s">
        <v>6023</v>
      </c>
      <c r="E5365" t="s">
        <v>6029</v>
      </c>
      <c r="F5365" t="s">
        <v>6034</v>
      </c>
      <c r="G5365" t="s">
        <v>6076</v>
      </c>
      <c r="H5365" t="s">
        <v>6097</v>
      </c>
      <c r="I5365">
        <v>24</v>
      </c>
      <c r="J5365">
        <v>4.9000000000000004</v>
      </c>
      <c r="K5365" t="s">
        <v>6099</v>
      </c>
      <c r="L5365" t="s">
        <v>6100</v>
      </c>
      <c r="M5365" t="s">
        <v>6099</v>
      </c>
      <c r="N5365">
        <v>5</v>
      </c>
      <c r="O5365" t="s">
        <v>6101</v>
      </c>
      <c r="P5365" t="s">
        <v>6114</v>
      </c>
      <c r="Q5365">
        <v>8</v>
      </c>
      <c r="R5365">
        <v>2026</v>
      </c>
      <c r="S5365" t="s">
        <v>6099</v>
      </c>
      <c r="T5365">
        <v>1</v>
      </c>
      <c r="U5365" t="s">
        <v>6019</v>
      </c>
      <c r="V5365">
        <v>1</v>
      </c>
    </row>
    <row r="5366" spans="1:22" x14ac:dyDescent="0.3">
      <c r="A5366" t="s">
        <v>5381</v>
      </c>
      <c r="B5366" s="2">
        <v>46264.633333333331</v>
      </c>
      <c r="C5366" s="2">
        <v>46265.6875</v>
      </c>
      <c r="D5366" t="s">
        <v>6025</v>
      </c>
      <c r="E5366" t="s">
        <v>6031</v>
      </c>
      <c r="F5366" t="s">
        <v>6035</v>
      </c>
      <c r="G5366" t="s">
        <v>6067</v>
      </c>
      <c r="H5366" t="s">
        <v>6098</v>
      </c>
      <c r="I5366">
        <v>4</v>
      </c>
      <c r="J5366">
        <v>25.3</v>
      </c>
      <c r="K5366" t="s">
        <v>6099</v>
      </c>
      <c r="L5366" t="s">
        <v>6100</v>
      </c>
      <c r="M5366" t="s">
        <v>6099</v>
      </c>
      <c r="N5366">
        <v>4</v>
      </c>
      <c r="O5366" t="s">
        <v>6101</v>
      </c>
      <c r="P5366" t="s">
        <v>6114</v>
      </c>
      <c r="Q5366">
        <v>8</v>
      </c>
      <c r="R5366">
        <v>2026</v>
      </c>
      <c r="S5366" t="s">
        <v>6100</v>
      </c>
      <c r="T5366">
        <v>0</v>
      </c>
      <c r="U5366" t="s">
        <v>6020</v>
      </c>
      <c r="V5366">
        <v>1</v>
      </c>
    </row>
    <row r="5367" spans="1:22" x14ac:dyDescent="0.3">
      <c r="A5367" t="s">
        <v>5382</v>
      </c>
      <c r="B5367" s="2">
        <v>46264.67083333333</v>
      </c>
      <c r="C5367" s="2">
        <v>46265.5</v>
      </c>
      <c r="D5367" t="s">
        <v>6028</v>
      </c>
      <c r="E5367" t="s">
        <v>6032</v>
      </c>
      <c r="F5367" t="s">
        <v>6035</v>
      </c>
      <c r="G5367" t="s">
        <v>6080</v>
      </c>
      <c r="H5367" t="s">
        <v>6096</v>
      </c>
      <c r="I5367">
        <v>4</v>
      </c>
      <c r="J5367">
        <v>19.899999999999999</v>
      </c>
      <c r="K5367" t="s">
        <v>6099</v>
      </c>
      <c r="L5367" t="s">
        <v>6100</v>
      </c>
      <c r="M5367" t="s">
        <v>6100</v>
      </c>
      <c r="N5367">
        <v>5</v>
      </c>
      <c r="O5367" t="s">
        <v>6101</v>
      </c>
      <c r="P5367" t="s">
        <v>6114</v>
      </c>
      <c r="Q5367">
        <v>8</v>
      </c>
      <c r="R5367">
        <v>2026</v>
      </c>
      <c r="S5367" t="s">
        <v>6100</v>
      </c>
      <c r="T5367">
        <v>0</v>
      </c>
      <c r="U5367" t="s">
        <v>6018</v>
      </c>
      <c r="V5367">
        <v>1</v>
      </c>
    </row>
    <row r="5368" spans="1:22" x14ac:dyDescent="0.3">
      <c r="A5368" t="s">
        <v>5383</v>
      </c>
      <c r="B5368" s="2">
        <v>46264.748611111114</v>
      </c>
      <c r="C5368" s="2">
        <v>46265.098611111112</v>
      </c>
      <c r="D5368" t="s">
        <v>6028</v>
      </c>
      <c r="E5368" t="s">
        <v>6029</v>
      </c>
      <c r="F5368" t="s">
        <v>6035</v>
      </c>
      <c r="G5368" t="s">
        <v>6088</v>
      </c>
      <c r="H5368" t="s">
        <v>6097</v>
      </c>
      <c r="I5368">
        <v>4</v>
      </c>
      <c r="J5368">
        <v>8.4</v>
      </c>
      <c r="K5368" t="s">
        <v>6099</v>
      </c>
      <c r="L5368" t="s">
        <v>6100</v>
      </c>
      <c r="M5368" t="s">
        <v>6100</v>
      </c>
      <c r="O5368" t="s">
        <v>6101</v>
      </c>
      <c r="P5368" t="s">
        <v>6114</v>
      </c>
      <c r="Q5368">
        <v>8</v>
      </c>
      <c r="R5368">
        <v>2026</v>
      </c>
      <c r="S5368" t="s">
        <v>6100</v>
      </c>
      <c r="T5368">
        <v>0</v>
      </c>
      <c r="U5368" t="s">
        <v>6019</v>
      </c>
      <c r="V5368">
        <v>1</v>
      </c>
    </row>
    <row r="5369" spans="1:22" x14ac:dyDescent="0.3">
      <c r="A5369" t="s">
        <v>5384</v>
      </c>
      <c r="B5369" s="2">
        <v>46264.753472222219</v>
      </c>
      <c r="C5369" s="2">
        <v>46265.186805555553</v>
      </c>
      <c r="D5369" t="s">
        <v>6028</v>
      </c>
      <c r="E5369" t="s">
        <v>6029</v>
      </c>
      <c r="F5369" t="s">
        <v>6034</v>
      </c>
      <c r="G5369" t="s">
        <v>6050</v>
      </c>
      <c r="H5369" t="s">
        <v>6098</v>
      </c>
      <c r="I5369">
        <v>24</v>
      </c>
      <c r="J5369">
        <v>10.4</v>
      </c>
      <c r="K5369" t="s">
        <v>6100</v>
      </c>
      <c r="L5369" t="s">
        <v>6099</v>
      </c>
      <c r="M5369" t="s">
        <v>6099</v>
      </c>
      <c r="N5369">
        <v>4</v>
      </c>
      <c r="O5369" t="s">
        <v>6101</v>
      </c>
      <c r="P5369" t="s">
        <v>6114</v>
      </c>
      <c r="Q5369">
        <v>8</v>
      </c>
      <c r="R5369">
        <v>2026</v>
      </c>
      <c r="S5369" t="s">
        <v>6099</v>
      </c>
      <c r="T5369">
        <v>1</v>
      </c>
      <c r="U5369" t="s">
        <v>6018</v>
      </c>
      <c r="V5369">
        <v>0</v>
      </c>
    </row>
    <row r="5370" spans="1:22" x14ac:dyDescent="0.3">
      <c r="A5370" t="s">
        <v>5385</v>
      </c>
      <c r="B5370" s="2">
        <v>46264.881249999999</v>
      </c>
      <c r="C5370" s="2">
        <v>46265.464583333334</v>
      </c>
      <c r="D5370" t="s">
        <v>6027</v>
      </c>
      <c r="E5370" t="s">
        <v>6029</v>
      </c>
      <c r="F5370" t="s">
        <v>6033</v>
      </c>
      <c r="G5370" t="s">
        <v>6038</v>
      </c>
      <c r="H5370" t="s">
        <v>6096</v>
      </c>
      <c r="I5370">
        <v>72</v>
      </c>
      <c r="J5370">
        <v>14</v>
      </c>
      <c r="K5370" t="s">
        <v>6099</v>
      </c>
      <c r="L5370" t="s">
        <v>6100</v>
      </c>
      <c r="M5370" t="s">
        <v>6100</v>
      </c>
      <c r="O5370" t="s">
        <v>6101</v>
      </c>
      <c r="P5370" t="s">
        <v>6114</v>
      </c>
      <c r="Q5370">
        <v>8</v>
      </c>
      <c r="R5370">
        <v>2026</v>
      </c>
      <c r="S5370" t="s">
        <v>6099</v>
      </c>
      <c r="T5370">
        <v>1</v>
      </c>
      <c r="U5370" t="s">
        <v>6019</v>
      </c>
      <c r="V5370">
        <v>1</v>
      </c>
    </row>
    <row r="5371" spans="1:22" x14ac:dyDescent="0.3">
      <c r="A5371" t="s">
        <v>5386</v>
      </c>
      <c r="B5371" s="2">
        <v>46265.1</v>
      </c>
      <c r="C5371" s="2">
        <v>46265.366666666669</v>
      </c>
      <c r="D5371" t="s">
        <v>6024</v>
      </c>
      <c r="E5371" t="s">
        <v>6029</v>
      </c>
      <c r="F5371" t="s">
        <v>6034</v>
      </c>
      <c r="G5371" t="s">
        <v>6061</v>
      </c>
      <c r="H5371" t="s">
        <v>6096</v>
      </c>
      <c r="I5371">
        <v>24</v>
      </c>
      <c r="J5371">
        <v>6.4</v>
      </c>
      <c r="K5371" t="s">
        <v>6099</v>
      </c>
      <c r="L5371" t="s">
        <v>6100</v>
      </c>
      <c r="M5371" t="s">
        <v>6100</v>
      </c>
      <c r="O5371" t="s">
        <v>6101</v>
      </c>
      <c r="P5371" t="s">
        <v>6114</v>
      </c>
      <c r="Q5371">
        <v>8</v>
      </c>
      <c r="R5371">
        <v>2026</v>
      </c>
      <c r="S5371" t="s">
        <v>6099</v>
      </c>
      <c r="T5371">
        <v>1</v>
      </c>
      <c r="U5371" t="s">
        <v>6020</v>
      </c>
      <c r="V5371">
        <v>1</v>
      </c>
    </row>
    <row r="5372" spans="1:22" x14ac:dyDescent="0.3">
      <c r="A5372" t="s">
        <v>5387</v>
      </c>
      <c r="B5372" s="2">
        <v>46265.336111111108</v>
      </c>
      <c r="C5372" s="2">
        <v>46266.023611111108</v>
      </c>
      <c r="D5372" t="s">
        <v>6028</v>
      </c>
      <c r="E5372" t="s">
        <v>6031</v>
      </c>
      <c r="F5372" t="s">
        <v>6035</v>
      </c>
      <c r="G5372" t="s">
        <v>6095</v>
      </c>
      <c r="H5372" t="s">
        <v>6098</v>
      </c>
      <c r="I5372">
        <v>4</v>
      </c>
      <c r="J5372">
        <v>16.5</v>
      </c>
      <c r="K5372" t="s">
        <v>6099</v>
      </c>
      <c r="L5372" t="s">
        <v>6100</v>
      </c>
      <c r="M5372" t="s">
        <v>6100</v>
      </c>
      <c r="N5372">
        <v>5</v>
      </c>
      <c r="O5372" t="s">
        <v>6101</v>
      </c>
      <c r="P5372" t="s">
        <v>6114</v>
      </c>
      <c r="Q5372">
        <v>8</v>
      </c>
      <c r="R5372">
        <v>2026</v>
      </c>
      <c r="S5372" t="s">
        <v>6100</v>
      </c>
      <c r="T5372">
        <v>0</v>
      </c>
      <c r="U5372" t="s">
        <v>6021</v>
      </c>
      <c r="V5372">
        <v>1</v>
      </c>
    </row>
    <row r="5373" spans="1:22" x14ac:dyDescent="0.3">
      <c r="A5373" t="s">
        <v>5388</v>
      </c>
      <c r="B5373" s="2">
        <v>46265.348611111112</v>
      </c>
      <c r="C5373" s="2">
        <v>46265.75277777778</v>
      </c>
      <c r="D5373" t="s">
        <v>6022</v>
      </c>
      <c r="E5373" t="s">
        <v>6029</v>
      </c>
      <c r="F5373" t="s">
        <v>6034</v>
      </c>
      <c r="G5373" t="s">
        <v>6064</v>
      </c>
      <c r="H5373" t="s">
        <v>6096</v>
      </c>
      <c r="I5373">
        <v>24</v>
      </c>
      <c r="J5373">
        <v>9.6999999999999993</v>
      </c>
      <c r="K5373" t="s">
        <v>6099</v>
      </c>
      <c r="L5373" t="s">
        <v>6100</v>
      </c>
      <c r="M5373" t="s">
        <v>6100</v>
      </c>
      <c r="O5373" t="s">
        <v>6101</v>
      </c>
      <c r="P5373" t="s">
        <v>6114</v>
      </c>
      <c r="Q5373">
        <v>8</v>
      </c>
      <c r="R5373">
        <v>2026</v>
      </c>
      <c r="S5373" t="s">
        <v>6099</v>
      </c>
      <c r="T5373">
        <v>1</v>
      </c>
      <c r="U5373" t="s">
        <v>6021</v>
      </c>
      <c r="V5373">
        <v>1</v>
      </c>
    </row>
    <row r="5374" spans="1:22" x14ac:dyDescent="0.3">
      <c r="A5374" t="s">
        <v>5389</v>
      </c>
      <c r="B5374" s="2">
        <v>46265.383333333331</v>
      </c>
      <c r="C5374" s="2">
        <v>46266.291666666664</v>
      </c>
      <c r="D5374" t="s">
        <v>6024</v>
      </c>
      <c r="E5374" t="s">
        <v>6031</v>
      </c>
      <c r="F5374" t="s">
        <v>6034</v>
      </c>
      <c r="G5374" t="s">
        <v>6047</v>
      </c>
      <c r="H5374" t="s">
        <v>6098</v>
      </c>
      <c r="I5374">
        <v>24</v>
      </c>
      <c r="J5374">
        <v>21.8</v>
      </c>
      <c r="K5374" t="s">
        <v>6099</v>
      </c>
      <c r="L5374" t="s">
        <v>6100</v>
      </c>
      <c r="M5374" t="s">
        <v>6100</v>
      </c>
      <c r="O5374" t="s">
        <v>6101</v>
      </c>
      <c r="P5374" t="s">
        <v>6114</v>
      </c>
      <c r="Q5374">
        <v>8</v>
      </c>
      <c r="R5374">
        <v>2026</v>
      </c>
      <c r="S5374" t="s">
        <v>6099</v>
      </c>
      <c r="T5374">
        <v>1</v>
      </c>
      <c r="U5374" t="s">
        <v>6019</v>
      </c>
      <c r="V5374">
        <v>1</v>
      </c>
    </row>
    <row r="5375" spans="1:22" x14ac:dyDescent="0.3">
      <c r="A5375" t="s">
        <v>5390</v>
      </c>
      <c r="B5375" s="2">
        <v>46265.458333333336</v>
      </c>
      <c r="C5375" s="2">
        <v>46265.675000000003</v>
      </c>
      <c r="D5375" t="s">
        <v>6022</v>
      </c>
      <c r="E5375" t="s">
        <v>6030</v>
      </c>
      <c r="F5375" t="s">
        <v>6033</v>
      </c>
      <c r="G5375" t="s">
        <v>6061</v>
      </c>
      <c r="H5375" t="s">
        <v>6096</v>
      </c>
      <c r="I5375">
        <v>72</v>
      </c>
      <c r="J5375">
        <v>5.2</v>
      </c>
      <c r="K5375" t="s">
        <v>6099</v>
      </c>
      <c r="L5375" t="s">
        <v>6100</v>
      </c>
      <c r="M5375" t="s">
        <v>6100</v>
      </c>
      <c r="N5375">
        <v>5</v>
      </c>
      <c r="O5375" t="s">
        <v>6101</v>
      </c>
      <c r="P5375" t="s">
        <v>6114</v>
      </c>
      <c r="Q5375">
        <v>8</v>
      </c>
      <c r="R5375">
        <v>2026</v>
      </c>
      <c r="S5375" t="s">
        <v>6099</v>
      </c>
      <c r="T5375">
        <v>1</v>
      </c>
      <c r="U5375" t="s">
        <v>6021</v>
      </c>
      <c r="V5375">
        <v>1</v>
      </c>
    </row>
    <row r="5376" spans="1:22" x14ac:dyDescent="0.3">
      <c r="A5376" t="s">
        <v>5391</v>
      </c>
      <c r="B5376" s="2">
        <v>46265.479861111111</v>
      </c>
      <c r="C5376" s="2">
        <v>46266.271527777775</v>
      </c>
      <c r="D5376" t="s">
        <v>6024</v>
      </c>
      <c r="E5376" t="s">
        <v>6031</v>
      </c>
      <c r="F5376" t="s">
        <v>6033</v>
      </c>
      <c r="G5376" t="s">
        <v>6076</v>
      </c>
      <c r="H5376" t="s">
        <v>6097</v>
      </c>
      <c r="I5376">
        <v>72</v>
      </c>
      <c r="J5376">
        <v>19</v>
      </c>
      <c r="K5376" t="s">
        <v>6099</v>
      </c>
      <c r="L5376" t="s">
        <v>6100</v>
      </c>
      <c r="M5376" t="s">
        <v>6100</v>
      </c>
      <c r="O5376" t="s">
        <v>6101</v>
      </c>
      <c r="P5376" t="s">
        <v>6114</v>
      </c>
      <c r="Q5376">
        <v>8</v>
      </c>
      <c r="R5376">
        <v>2026</v>
      </c>
      <c r="S5376" t="s">
        <v>6099</v>
      </c>
      <c r="T5376">
        <v>1</v>
      </c>
      <c r="U5376" t="s">
        <v>6018</v>
      </c>
      <c r="V5376">
        <v>1</v>
      </c>
    </row>
    <row r="5377" spans="1:22" x14ac:dyDescent="0.3">
      <c r="A5377" t="s">
        <v>5392</v>
      </c>
      <c r="B5377" s="2">
        <v>46265.482638888891</v>
      </c>
      <c r="C5377" s="2">
        <v>46265.757638888892</v>
      </c>
      <c r="D5377" t="s">
        <v>6027</v>
      </c>
      <c r="E5377" t="s">
        <v>6030</v>
      </c>
      <c r="F5377" t="s">
        <v>6034</v>
      </c>
      <c r="G5377" t="s">
        <v>6051</v>
      </c>
      <c r="H5377" t="s">
        <v>6097</v>
      </c>
      <c r="I5377">
        <v>24</v>
      </c>
      <c r="J5377">
        <v>6.6</v>
      </c>
      <c r="K5377" t="s">
        <v>6099</v>
      </c>
      <c r="L5377" t="s">
        <v>6100</v>
      </c>
      <c r="M5377" t="s">
        <v>6100</v>
      </c>
      <c r="N5377">
        <v>5</v>
      </c>
      <c r="O5377" t="s">
        <v>6101</v>
      </c>
      <c r="P5377" t="s">
        <v>6114</v>
      </c>
      <c r="Q5377">
        <v>8</v>
      </c>
      <c r="R5377">
        <v>2026</v>
      </c>
      <c r="S5377" t="s">
        <v>6099</v>
      </c>
      <c r="T5377">
        <v>1</v>
      </c>
      <c r="U5377" t="s">
        <v>6017</v>
      </c>
      <c r="V5377">
        <v>1</v>
      </c>
    </row>
    <row r="5378" spans="1:22" x14ac:dyDescent="0.3">
      <c r="A5378" t="s">
        <v>5393</v>
      </c>
      <c r="B5378" s="2">
        <v>46265.489583333336</v>
      </c>
      <c r="C5378" s="2">
        <v>46266.23541666667</v>
      </c>
      <c r="D5378" t="s">
        <v>6025</v>
      </c>
      <c r="E5378" t="s">
        <v>6031</v>
      </c>
      <c r="F5378" t="s">
        <v>6035</v>
      </c>
      <c r="G5378" t="s">
        <v>6082</v>
      </c>
      <c r="H5378" t="s">
        <v>6097</v>
      </c>
      <c r="I5378">
        <v>4</v>
      </c>
      <c r="J5378">
        <v>17.899999999999999</v>
      </c>
      <c r="K5378" t="s">
        <v>6099</v>
      </c>
      <c r="L5378" t="s">
        <v>6100</v>
      </c>
      <c r="M5378" t="s">
        <v>6100</v>
      </c>
      <c r="O5378" t="s">
        <v>6101</v>
      </c>
      <c r="P5378" t="s">
        <v>6114</v>
      </c>
      <c r="Q5378">
        <v>8</v>
      </c>
      <c r="R5378">
        <v>2026</v>
      </c>
      <c r="S5378" t="s">
        <v>6100</v>
      </c>
      <c r="T5378">
        <v>0</v>
      </c>
      <c r="U5378" t="s">
        <v>6019</v>
      </c>
      <c r="V5378">
        <v>1</v>
      </c>
    </row>
    <row r="5379" spans="1:22" x14ac:dyDescent="0.3">
      <c r="A5379" t="s">
        <v>5394</v>
      </c>
      <c r="B5379" s="2">
        <v>46265.49722222222</v>
      </c>
      <c r="C5379" s="2">
        <v>46266.147222222222</v>
      </c>
      <c r="D5379" t="s">
        <v>6028</v>
      </c>
      <c r="E5379" t="s">
        <v>6031</v>
      </c>
      <c r="F5379" t="s">
        <v>6034</v>
      </c>
      <c r="G5379" t="s">
        <v>6063</v>
      </c>
      <c r="H5379" t="s">
        <v>6097</v>
      </c>
      <c r="I5379">
        <v>24</v>
      </c>
      <c r="J5379">
        <v>15.6</v>
      </c>
      <c r="K5379" t="s">
        <v>6099</v>
      </c>
      <c r="L5379" t="s">
        <v>6100</v>
      </c>
      <c r="M5379" t="s">
        <v>6100</v>
      </c>
      <c r="O5379" t="s">
        <v>6101</v>
      </c>
      <c r="P5379" t="s">
        <v>6114</v>
      </c>
      <c r="Q5379">
        <v>8</v>
      </c>
      <c r="R5379">
        <v>2026</v>
      </c>
      <c r="S5379" t="s">
        <v>6099</v>
      </c>
      <c r="T5379">
        <v>1</v>
      </c>
      <c r="U5379" t="s">
        <v>6017</v>
      </c>
      <c r="V5379">
        <v>1</v>
      </c>
    </row>
    <row r="5380" spans="1:22" x14ac:dyDescent="0.3">
      <c r="A5380" t="s">
        <v>5395</v>
      </c>
      <c r="B5380" s="2">
        <v>46265.515972222223</v>
      </c>
      <c r="C5380" s="2">
        <v>46265.724305555559</v>
      </c>
      <c r="D5380" t="s">
        <v>6024</v>
      </c>
      <c r="E5380" t="s">
        <v>6030</v>
      </c>
      <c r="F5380" t="s">
        <v>6034</v>
      </c>
      <c r="G5380" t="s">
        <v>6088</v>
      </c>
      <c r="H5380" t="s">
        <v>6097</v>
      </c>
      <c r="I5380">
        <v>24</v>
      </c>
      <c r="J5380">
        <v>5</v>
      </c>
      <c r="K5380" t="s">
        <v>6099</v>
      </c>
      <c r="L5380" t="s">
        <v>6100</v>
      </c>
      <c r="M5380" t="s">
        <v>6100</v>
      </c>
      <c r="N5380">
        <v>4</v>
      </c>
      <c r="O5380" t="s">
        <v>6101</v>
      </c>
      <c r="P5380" t="s">
        <v>6114</v>
      </c>
      <c r="Q5380">
        <v>8</v>
      </c>
      <c r="R5380">
        <v>2026</v>
      </c>
      <c r="S5380" t="s">
        <v>6099</v>
      </c>
      <c r="T5380">
        <v>1</v>
      </c>
      <c r="U5380" t="s">
        <v>6018</v>
      </c>
      <c r="V5380">
        <v>1</v>
      </c>
    </row>
    <row r="5381" spans="1:22" x14ac:dyDescent="0.3">
      <c r="A5381" t="s">
        <v>5396</v>
      </c>
      <c r="B5381" s="2">
        <v>46265.539583333331</v>
      </c>
      <c r="C5381" s="2">
        <v>46265.927083333336</v>
      </c>
      <c r="D5381" t="s">
        <v>6024</v>
      </c>
      <c r="E5381" t="s">
        <v>6029</v>
      </c>
      <c r="F5381" t="s">
        <v>6033</v>
      </c>
      <c r="G5381" t="s">
        <v>6064</v>
      </c>
      <c r="H5381" t="s">
        <v>6096</v>
      </c>
      <c r="I5381">
        <v>72</v>
      </c>
      <c r="J5381">
        <v>9.3000000000000007</v>
      </c>
      <c r="K5381" t="s">
        <v>6100</v>
      </c>
      <c r="L5381" t="s">
        <v>6100</v>
      </c>
      <c r="M5381" t="s">
        <v>6100</v>
      </c>
      <c r="N5381">
        <v>5</v>
      </c>
      <c r="O5381" t="s">
        <v>6101</v>
      </c>
      <c r="P5381" t="s">
        <v>6114</v>
      </c>
      <c r="Q5381">
        <v>8</v>
      </c>
      <c r="R5381">
        <v>2026</v>
      </c>
      <c r="S5381" t="s">
        <v>6099</v>
      </c>
      <c r="T5381">
        <v>1</v>
      </c>
      <c r="U5381" t="s">
        <v>6021</v>
      </c>
      <c r="V5381">
        <v>0</v>
      </c>
    </row>
    <row r="5382" spans="1:22" x14ac:dyDescent="0.3">
      <c r="A5382" t="s">
        <v>5397</v>
      </c>
      <c r="B5382" s="2">
        <v>46265.570833333331</v>
      </c>
      <c r="C5382" s="2">
        <v>46266.366666666669</v>
      </c>
      <c r="D5382" t="s">
        <v>6024</v>
      </c>
      <c r="E5382" t="s">
        <v>6030</v>
      </c>
      <c r="F5382" t="s">
        <v>6033</v>
      </c>
      <c r="G5382" t="s">
        <v>6085</v>
      </c>
      <c r="H5382" t="s">
        <v>6097</v>
      </c>
      <c r="I5382">
        <v>72</v>
      </c>
      <c r="J5382">
        <v>19.100000000000001</v>
      </c>
      <c r="K5382" t="s">
        <v>6100</v>
      </c>
      <c r="L5382" t="s">
        <v>6099</v>
      </c>
      <c r="M5382" t="s">
        <v>6100</v>
      </c>
      <c r="O5382" t="s">
        <v>6101</v>
      </c>
      <c r="P5382" t="s">
        <v>6114</v>
      </c>
      <c r="Q5382">
        <v>8</v>
      </c>
      <c r="R5382">
        <v>2026</v>
      </c>
      <c r="S5382" t="s">
        <v>6099</v>
      </c>
      <c r="T5382">
        <v>1</v>
      </c>
      <c r="U5382" t="s">
        <v>6017</v>
      </c>
      <c r="V5382">
        <v>0</v>
      </c>
    </row>
    <row r="5383" spans="1:22" x14ac:dyDescent="0.3">
      <c r="A5383" t="s">
        <v>5398</v>
      </c>
      <c r="B5383" s="2">
        <v>46265.575694444444</v>
      </c>
      <c r="C5383" s="2">
        <v>46265.642361111109</v>
      </c>
      <c r="D5383" t="s">
        <v>6023</v>
      </c>
      <c r="E5383" t="s">
        <v>6029</v>
      </c>
      <c r="F5383" t="s">
        <v>6034</v>
      </c>
      <c r="G5383" t="s">
        <v>6052</v>
      </c>
      <c r="H5383" t="s">
        <v>6098</v>
      </c>
      <c r="I5383">
        <v>24</v>
      </c>
      <c r="J5383">
        <v>1.6</v>
      </c>
      <c r="K5383" t="s">
        <v>6099</v>
      </c>
      <c r="L5383" t="s">
        <v>6100</v>
      </c>
      <c r="M5383" t="s">
        <v>6100</v>
      </c>
      <c r="N5383">
        <v>4</v>
      </c>
      <c r="O5383" t="s">
        <v>6101</v>
      </c>
      <c r="P5383" t="s">
        <v>6114</v>
      </c>
      <c r="Q5383">
        <v>8</v>
      </c>
      <c r="R5383">
        <v>2026</v>
      </c>
      <c r="S5383" t="s">
        <v>6099</v>
      </c>
      <c r="T5383">
        <v>1</v>
      </c>
      <c r="U5383" t="s">
        <v>6018</v>
      </c>
      <c r="V5383">
        <v>1</v>
      </c>
    </row>
    <row r="5384" spans="1:22" x14ac:dyDescent="0.3">
      <c r="A5384" t="s">
        <v>5399</v>
      </c>
      <c r="B5384" s="2">
        <v>46265.575694444444</v>
      </c>
      <c r="C5384" s="2">
        <v>46267.992361111108</v>
      </c>
      <c r="D5384" t="s">
        <v>6026</v>
      </c>
      <c r="E5384" t="s">
        <v>6031</v>
      </c>
      <c r="F5384" t="s">
        <v>6033</v>
      </c>
      <c r="G5384" t="s">
        <v>6039</v>
      </c>
      <c r="H5384" t="s">
        <v>6097</v>
      </c>
      <c r="I5384">
        <v>72</v>
      </c>
      <c r="J5384">
        <v>58</v>
      </c>
      <c r="K5384" t="s">
        <v>6099</v>
      </c>
      <c r="L5384" t="s">
        <v>6100</v>
      </c>
      <c r="M5384" t="s">
        <v>6100</v>
      </c>
      <c r="N5384">
        <v>5</v>
      </c>
      <c r="O5384" t="s">
        <v>6101</v>
      </c>
      <c r="P5384" t="s">
        <v>6114</v>
      </c>
      <c r="Q5384">
        <v>8</v>
      </c>
      <c r="R5384">
        <v>2026</v>
      </c>
      <c r="S5384" t="s">
        <v>6099</v>
      </c>
      <c r="T5384">
        <v>1</v>
      </c>
      <c r="U5384" t="s">
        <v>6017</v>
      </c>
      <c r="V5384">
        <v>1</v>
      </c>
    </row>
    <row r="5385" spans="1:22" x14ac:dyDescent="0.3">
      <c r="A5385" t="s">
        <v>5400</v>
      </c>
      <c r="B5385" s="2">
        <v>46265.607638888891</v>
      </c>
      <c r="C5385" s="2">
        <v>46265.936805555553</v>
      </c>
      <c r="D5385" t="s">
        <v>6022</v>
      </c>
      <c r="E5385" t="s">
        <v>6029</v>
      </c>
      <c r="F5385" t="s">
        <v>6035</v>
      </c>
      <c r="G5385" t="s">
        <v>6081</v>
      </c>
      <c r="H5385" t="s">
        <v>6098</v>
      </c>
      <c r="I5385">
        <v>4</v>
      </c>
      <c r="J5385">
        <v>7.9</v>
      </c>
      <c r="K5385" t="s">
        <v>6100</v>
      </c>
      <c r="L5385" t="s">
        <v>6099</v>
      </c>
      <c r="M5385" t="s">
        <v>6100</v>
      </c>
      <c r="N5385">
        <v>3</v>
      </c>
      <c r="O5385" t="s">
        <v>6101</v>
      </c>
      <c r="P5385" t="s">
        <v>6114</v>
      </c>
      <c r="Q5385">
        <v>8</v>
      </c>
      <c r="R5385">
        <v>2026</v>
      </c>
      <c r="S5385" t="s">
        <v>6100</v>
      </c>
      <c r="T5385">
        <v>0</v>
      </c>
      <c r="U5385" t="s">
        <v>6018</v>
      </c>
      <c r="V5385">
        <v>0</v>
      </c>
    </row>
    <row r="5386" spans="1:22" x14ac:dyDescent="0.3">
      <c r="A5386" t="s">
        <v>5401</v>
      </c>
      <c r="B5386" s="2">
        <v>46265.68472222222</v>
      </c>
      <c r="C5386" s="2">
        <v>46270.147222222222</v>
      </c>
      <c r="D5386" t="s">
        <v>6026</v>
      </c>
      <c r="E5386" t="s">
        <v>6031</v>
      </c>
      <c r="F5386" t="s">
        <v>6033</v>
      </c>
      <c r="G5386" t="s">
        <v>6079</v>
      </c>
      <c r="H5386" t="s">
        <v>6097</v>
      </c>
      <c r="I5386">
        <v>72</v>
      </c>
      <c r="J5386">
        <v>107.1</v>
      </c>
      <c r="K5386" t="s">
        <v>6099</v>
      </c>
      <c r="L5386" t="s">
        <v>6100</v>
      </c>
      <c r="M5386" t="s">
        <v>6100</v>
      </c>
      <c r="O5386" t="s">
        <v>6101</v>
      </c>
      <c r="P5386" t="s">
        <v>6114</v>
      </c>
      <c r="Q5386">
        <v>8</v>
      </c>
      <c r="R5386">
        <v>2026</v>
      </c>
      <c r="S5386" t="s">
        <v>6100</v>
      </c>
      <c r="T5386">
        <v>0</v>
      </c>
      <c r="U5386" t="s">
        <v>6021</v>
      </c>
      <c r="V5386">
        <v>1</v>
      </c>
    </row>
    <row r="5387" spans="1:22" x14ac:dyDescent="0.3">
      <c r="A5387" t="s">
        <v>5402</v>
      </c>
      <c r="B5387" s="2">
        <v>46265.694444444445</v>
      </c>
      <c r="C5387" s="2">
        <v>46266.281944444447</v>
      </c>
      <c r="D5387" t="s">
        <v>6027</v>
      </c>
      <c r="E5387" t="s">
        <v>6032</v>
      </c>
      <c r="F5387" t="s">
        <v>6035</v>
      </c>
      <c r="G5387" t="s">
        <v>6065</v>
      </c>
      <c r="H5387" t="s">
        <v>6097</v>
      </c>
      <c r="I5387">
        <v>4</v>
      </c>
      <c r="J5387">
        <v>14.1</v>
      </c>
      <c r="K5387" t="s">
        <v>6099</v>
      </c>
      <c r="L5387" t="s">
        <v>6100</v>
      </c>
      <c r="M5387" t="s">
        <v>6100</v>
      </c>
      <c r="N5387">
        <v>4</v>
      </c>
      <c r="O5387" t="s">
        <v>6101</v>
      </c>
      <c r="P5387" t="s">
        <v>6114</v>
      </c>
      <c r="Q5387">
        <v>8</v>
      </c>
      <c r="R5387">
        <v>2026</v>
      </c>
      <c r="S5387" t="s">
        <v>6100</v>
      </c>
      <c r="T5387">
        <v>0</v>
      </c>
      <c r="U5387" t="s">
        <v>6018</v>
      </c>
      <c r="V5387">
        <v>1</v>
      </c>
    </row>
    <row r="5388" spans="1:22" x14ac:dyDescent="0.3">
      <c r="A5388" t="s">
        <v>5403</v>
      </c>
      <c r="B5388" s="2">
        <v>46265.723611111112</v>
      </c>
      <c r="C5388" s="2">
        <v>46265.998611111114</v>
      </c>
      <c r="D5388" t="s">
        <v>6028</v>
      </c>
      <c r="E5388" t="s">
        <v>6030</v>
      </c>
      <c r="F5388" t="s">
        <v>6035</v>
      </c>
      <c r="G5388" t="s">
        <v>6076</v>
      </c>
      <c r="H5388" t="s">
        <v>6097</v>
      </c>
      <c r="I5388">
        <v>4</v>
      </c>
      <c r="J5388">
        <v>6.6</v>
      </c>
      <c r="K5388" t="s">
        <v>6100</v>
      </c>
      <c r="L5388" t="s">
        <v>6099</v>
      </c>
      <c r="M5388" t="s">
        <v>6100</v>
      </c>
      <c r="N5388">
        <v>2</v>
      </c>
      <c r="O5388" t="s">
        <v>6101</v>
      </c>
      <c r="P5388" t="s">
        <v>6114</v>
      </c>
      <c r="Q5388">
        <v>8</v>
      </c>
      <c r="R5388">
        <v>2026</v>
      </c>
      <c r="S5388" t="s">
        <v>6100</v>
      </c>
      <c r="T5388">
        <v>0</v>
      </c>
      <c r="U5388" t="s">
        <v>6019</v>
      </c>
      <c r="V5388">
        <v>0</v>
      </c>
    </row>
    <row r="5389" spans="1:22" x14ac:dyDescent="0.3">
      <c r="A5389" t="s">
        <v>5404</v>
      </c>
      <c r="B5389" s="2">
        <v>46265.765277777777</v>
      </c>
      <c r="C5389" s="2">
        <v>46266.061111111114</v>
      </c>
      <c r="D5389" t="s">
        <v>6022</v>
      </c>
      <c r="E5389" t="s">
        <v>6030</v>
      </c>
      <c r="F5389" t="s">
        <v>6033</v>
      </c>
      <c r="G5389" t="s">
        <v>6064</v>
      </c>
      <c r="H5389" t="s">
        <v>6096</v>
      </c>
      <c r="I5389">
        <v>72</v>
      </c>
      <c r="J5389">
        <v>7.1</v>
      </c>
      <c r="K5389" t="s">
        <v>6100</v>
      </c>
      <c r="L5389" t="s">
        <v>6100</v>
      </c>
      <c r="M5389" t="s">
        <v>6100</v>
      </c>
      <c r="O5389" t="s">
        <v>6101</v>
      </c>
      <c r="P5389" t="s">
        <v>6114</v>
      </c>
      <c r="Q5389">
        <v>8</v>
      </c>
      <c r="R5389">
        <v>2026</v>
      </c>
      <c r="S5389" t="s">
        <v>6099</v>
      </c>
      <c r="T5389">
        <v>1</v>
      </c>
      <c r="U5389" t="s">
        <v>6019</v>
      </c>
      <c r="V5389">
        <v>0</v>
      </c>
    </row>
    <row r="5390" spans="1:22" x14ac:dyDescent="0.3">
      <c r="A5390" t="s">
        <v>5405</v>
      </c>
      <c r="B5390" s="2">
        <v>46265.817361111112</v>
      </c>
      <c r="C5390" s="2">
        <v>46266.213194444441</v>
      </c>
      <c r="D5390" t="s">
        <v>6024</v>
      </c>
      <c r="E5390" t="s">
        <v>6030</v>
      </c>
      <c r="F5390" t="s">
        <v>6034</v>
      </c>
      <c r="G5390" t="s">
        <v>6055</v>
      </c>
      <c r="H5390" t="s">
        <v>6096</v>
      </c>
      <c r="I5390">
        <v>24</v>
      </c>
      <c r="J5390">
        <v>9.5</v>
      </c>
      <c r="K5390" t="s">
        <v>6100</v>
      </c>
      <c r="L5390" t="s">
        <v>6100</v>
      </c>
      <c r="M5390" t="s">
        <v>6100</v>
      </c>
      <c r="N5390">
        <v>3</v>
      </c>
      <c r="O5390" t="s">
        <v>6101</v>
      </c>
      <c r="P5390" t="s">
        <v>6114</v>
      </c>
      <c r="Q5390">
        <v>8</v>
      </c>
      <c r="R5390">
        <v>2026</v>
      </c>
      <c r="S5390" t="s">
        <v>6099</v>
      </c>
      <c r="T5390">
        <v>1</v>
      </c>
      <c r="U5390" t="s">
        <v>6021</v>
      </c>
      <c r="V5390">
        <v>0</v>
      </c>
    </row>
    <row r="5391" spans="1:22" x14ac:dyDescent="0.3">
      <c r="A5391" t="s">
        <v>5406</v>
      </c>
      <c r="B5391" s="2">
        <v>46266.149305555555</v>
      </c>
      <c r="C5391" s="2">
        <v>46266.574305555558</v>
      </c>
      <c r="D5391" t="s">
        <v>6028</v>
      </c>
      <c r="E5391" t="s">
        <v>6031</v>
      </c>
      <c r="F5391" t="s">
        <v>6034</v>
      </c>
      <c r="G5391" t="s">
        <v>6091</v>
      </c>
      <c r="H5391" t="s">
        <v>6097</v>
      </c>
      <c r="I5391">
        <v>24</v>
      </c>
      <c r="J5391">
        <v>10.199999999999999</v>
      </c>
      <c r="K5391" t="s">
        <v>6100</v>
      </c>
      <c r="L5391" t="s">
        <v>6100</v>
      </c>
      <c r="M5391" t="s">
        <v>6100</v>
      </c>
      <c r="N5391">
        <v>5</v>
      </c>
      <c r="O5391" t="s">
        <v>6101</v>
      </c>
      <c r="P5391" t="s">
        <v>6115</v>
      </c>
      <c r="Q5391">
        <v>9</v>
      </c>
      <c r="R5391">
        <v>2026</v>
      </c>
      <c r="S5391" t="s">
        <v>6099</v>
      </c>
      <c r="T5391">
        <v>1</v>
      </c>
      <c r="U5391" t="s">
        <v>6018</v>
      </c>
      <c r="V5391">
        <v>0</v>
      </c>
    </row>
    <row r="5392" spans="1:22" x14ac:dyDescent="0.3">
      <c r="A5392" t="s">
        <v>5407</v>
      </c>
      <c r="B5392" s="2">
        <v>46266.171527777777</v>
      </c>
      <c r="C5392" s="2">
        <v>46266.850694444445</v>
      </c>
      <c r="D5392" t="s">
        <v>6028</v>
      </c>
      <c r="E5392" t="s">
        <v>6031</v>
      </c>
      <c r="F5392" t="s">
        <v>6034</v>
      </c>
      <c r="G5392" t="s">
        <v>6058</v>
      </c>
      <c r="H5392" t="s">
        <v>6098</v>
      </c>
      <c r="I5392">
        <v>24</v>
      </c>
      <c r="J5392">
        <v>16.3</v>
      </c>
      <c r="K5392" t="s">
        <v>6100</v>
      </c>
      <c r="L5392" t="s">
        <v>6100</v>
      </c>
      <c r="M5392" t="s">
        <v>6100</v>
      </c>
      <c r="N5392">
        <v>5</v>
      </c>
      <c r="O5392" t="s">
        <v>6101</v>
      </c>
      <c r="P5392" t="s">
        <v>6115</v>
      </c>
      <c r="Q5392">
        <v>9</v>
      </c>
      <c r="R5392">
        <v>2026</v>
      </c>
      <c r="S5392" t="s">
        <v>6099</v>
      </c>
      <c r="T5392">
        <v>1</v>
      </c>
      <c r="U5392" t="s">
        <v>6018</v>
      </c>
      <c r="V5392">
        <v>0</v>
      </c>
    </row>
    <row r="5393" spans="1:22" x14ac:dyDescent="0.3">
      <c r="A5393" t="s">
        <v>5408</v>
      </c>
      <c r="B5393" s="2">
        <v>46266.171527777777</v>
      </c>
      <c r="C5393" s="2">
        <v>46267.913194444445</v>
      </c>
      <c r="D5393" t="s">
        <v>6025</v>
      </c>
      <c r="E5393" t="s">
        <v>6031</v>
      </c>
      <c r="F5393" t="s">
        <v>6033</v>
      </c>
      <c r="G5393" t="s">
        <v>6090</v>
      </c>
      <c r="H5393" t="s">
        <v>6097</v>
      </c>
      <c r="I5393">
        <v>72</v>
      </c>
      <c r="J5393">
        <v>41.8</v>
      </c>
      <c r="K5393" t="s">
        <v>6099</v>
      </c>
      <c r="L5393" t="s">
        <v>6100</v>
      </c>
      <c r="M5393" t="s">
        <v>6100</v>
      </c>
      <c r="O5393" t="s">
        <v>6101</v>
      </c>
      <c r="P5393" t="s">
        <v>6115</v>
      </c>
      <c r="Q5393">
        <v>9</v>
      </c>
      <c r="R5393">
        <v>2026</v>
      </c>
      <c r="S5393" t="s">
        <v>6099</v>
      </c>
      <c r="T5393">
        <v>1</v>
      </c>
      <c r="U5393" t="s">
        <v>6020</v>
      </c>
      <c r="V5393">
        <v>1</v>
      </c>
    </row>
    <row r="5394" spans="1:22" x14ac:dyDescent="0.3">
      <c r="A5394" t="s">
        <v>5409</v>
      </c>
      <c r="B5394" s="2">
        <v>46266.287499999999</v>
      </c>
      <c r="C5394" s="2">
        <v>46267.237500000003</v>
      </c>
      <c r="D5394" t="s">
        <v>6023</v>
      </c>
      <c r="E5394" t="s">
        <v>6032</v>
      </c>
      <c r="F5394" t="s">
        <v>6033</v>
      </c>
      <c r="G5394" t="s">
        <v>6058</v>
      </c>
      <c r="H5394" t="s">
        <v>6098</v>
      </c>
      <c r="I5394">
        <v>72</v>
      </c>
      <c r="J5394">
        <v>22.8</v>
      </c>
      <c r="K5394" t="s">
        <v>6099</v>
      </c>
      <c r="L5394" t="s">
        <v>6100</v>
      </c>
      <c r="M5394" t="s">
        <v>6100</v>
      </c>
      <c r="N5394">
        <v>5</v>
      </c>
      <c r="O5394" t="s">
        <v>6101</v>
      </c>
      <c r="P5394" t="s">
        <v>6115</v>
      </c>
      <c r="Q5394">
        <v>9</v>
      </c>
      <c r="R5394">
        <v>2026</v>
      </c>
      <c r="S5394" t="s">
        <v>6099</v>
      </c>
      <c r="T5394">
        <v>1</v>
      </c>
      <c r="U5394" t="s">
        <v>6019</v>
      </c>
      <c r="V5394">
        <v>1</v>
      </c>
    </row>
    <row r="5395" spans="1:22" x14ac:dyDescent="0.3">
      <c r="A5395" t="s">
        <v>5410</v>
      </c>
      <c r="B5395" s="2">
        <v>46266.330555555556</v>
      </c>
      <c r="C5395" s="2">
        <v>46267.413888888892</v>
      </c>
      <c r="D5395" t="s">
        <v>6025</v>
      </c>
      <c r="E5395" t="s">
        <v>6031</v>
      </c>
      <c r="F5395" t="s">
        <v>6033</v>
      </c>
      <c r="G5395" t="s">
        <v>6077</v>
      </c>
      <c r="H5395" t="s">
        <v>6098</v>
      </c>
      <c r="I5395">
        <v>72</v>
      </c>
      <c r="J5395">
        <v>26</v>
      </c>
      <c r="K5395" t="s">
        <v>6099</v>
      </c>
      <c r="L5395" t="s">
        <v>6100</v>
      </c>
      <c r="M5395" t="s">
        <v>6100</v>
      </c>
      <c r="N5395">
        <v>5</v>
      </c>
      <c r="O5395" t="s">
        <v>6101</v>
      </c>
      <c r="P5395" t="s">
        <v>6115</v>
      </c>
      <c r="Q5395">
        <v>9</v>
      </c>
      <c r="R5395">
        <v>2026</v>
      </c>
      <c r="S5395" t="s">
        <v>6099</v>
      </c>
      <c r="T5395">
        <v>1</v>
      </c>
      <c r="U5395" t="s">
        <v>6017</v>
      </c>
      <c r="V5395">
        <v>1</v>
      </c>
    </row>
    <row r="5396" spans="1:22" x14ac:dyDescent="0.3">
      <c r="A5396" t="s">
        <v>5411</v>
      </c>
      <c r="B5396" s="2">
        <v>46266.40347222222</v>
      </c>
      <c r="C5396" s="2">
        <v>46266.720138888886</v>
      </c>
      <c r="D5396" t="s">
        <v>6028</v>
      </c>
      <c r="E5396" t="s">
        <v>6029</v>
      </c>
      <c r="F5396" t="s">
        <v>6033</v>
      </c>
      <c r="G5396" t="s">
        <v>6072</v>
      </c>
      <c r="H5396" t="s">
        <v>6097</v>
      </c>
      <c r="I5396">
        <v>72</v>
      </c>
      <c r="J5396">
        <v>7.6</v>
      </c>
      <c r="K5396" t="s">
        <v>6099</v>
      </c>
      <c r="L5396" t="s">
        <v>6100</v>
      </c>
      <c r="M5396" t="s">
        <v>6100</v>
      </c>
      <c r="N5396">
        <v>5</v>
      </c>
      <c r="O5396" t="s">
        <v>6101</v>
      </c>
      <c r="P5396" t="s">
        <v>6115</v>
      </c>
      <c r="Q5396">
        <v>9</v>
      </c>
      <c r="R5396">
        <v>2026</v>
      </c>
      <c r="S5396" t="s">
        <v>6099</v>
      </c>
      <c r="T5396">
        <v>1</v>
      </c>
      <c r="U5396" t="s">
        <v>6018</v>
      </c>
      <c r="V5396">
        <v>1</v>
      </c>
    </row>
    <row r="5397" spans="1:22" x14ac:dyDescent="0.3">
      <c r="A5397" t="s">
        <v>5412</v>
      </c>
      <c r="B5397" s="2">
        <v>46266.429861111108</v>
      </c>
      <c r="C5397" s="2">
        <v>46268.825694444444</v>
      </c>
      <c r="D5397" t="s">
        <v>6022</v>
      </c>
      <c r="E5397" t="s">
        <v>6032</v>
      </c>
      <c r="F5397" t="s">
        <v>6034</v>
      </c>
      <c r="G5397" t="s">
        <v>6042</v>
      </c>
      <c r="H5397" t="s">
        <v>6098</v>
      </c>
      <c r="I5397">
        <v>24</v>
      </c>
      <c r="J5397">
        <v>57.5</v>
      </c>
      <c r="K5397" t="s">
        <v>6099</v>
      </c>
      <c r="L5397" t="s">
        <v>6100</v>
      </c>
      <c r="M5397" t="s">
        <v>6099</v>
      </c>
      <c r="N5397">
        <v>4</v>
      </c>
      <c r="O5397" t="s">
        <v>6101</v>
      </c>
      <c r="P5397" t="s">
        <v>6115</v>
      </c>
      <c r="Q5397">
        <v>9</v>
      </c>
      <c r="R5397">
        <v>2026</v>
      </c>
      <c r="S5397" t="s">
        <v>6100</v>
      </c>
      <c r="T5397">
        <v>0</v>
      </c>
      <c r="U5397" t="s">
        <v>6017</v>
      </c>
      <c r="V5397">
        <v>1</v>
      </c>
    </row>
    <row r="5398" spans="1:22" x14ac:dyDescent="0.3">
      <c r="A5398" t="s">
        <v>5413</v>
      </c>
      <c r="B5398" s="2">
        <v>46266.479861111111</v>
      </c>
      <c r="C5398" s="2">
        <v>46270.017361111109</v>
      </c>
      <c r="D5398" t="s">
        <v>6025</v>
      </c>
      <c r="E5398" t="s">
        <v>6031</v>
      </c>
      <c r="F5398" t="s">
        <v>6033</v>
      </c>
      <c r="G5398" t="s">
        <v>6036</v>
      </c>
      <c r="H5398" t="s">
        <v>6096</v>
      </c>
      <c r="I5398">
        <v>72</v>
      </c>
      <c r="J5398">
        <v>84.9</v>
      </c>
      <c r="K5398" t="s">
        <v>6099</v>
      </c>
      <c r="L5398" t="s">
        <v>6100</v>
      </c>
      <c r="M5398" t="s">
        <v>6100</v>
      </c>
      <c r="O5398" t="s">
        <v>6101</v>
      </c>
      <c r="P5398" t="s">
        <v>6115</v>
      </c>
      <c r="Q5398">
        <v>9</v>
      </c>
      <c r="R5398">
        <v>2026</v>
      </c>
      <c r="S5398" t="s">
        <v>6100</v>
      </c>
      <c r="T5398">
        <v>0</v>
      </c>
      <c r="U5398" t="s">
        <v>6017</v>
      </c>
      <c r="V5398">
        <v>1</v>
      </c>
    </row>
    <row r="5399" spans="1:22" x14ac:dyDescent="0.3">
      <c r="A5399" t="s">
        <v>5414</v>
      </c>
      <c r="B5399" s="2">
        <v>46266.540277777778</v>
      </c>
      <c r="C5399" s="2">
        <v>46266.965277777781</v>
      </c>
      <c r="D5399" t="s">
        <v>6028</v>
      </c>
      <c r="E5399" t="s">
        <v>6031</v>
      </c>
      <c r="F5399" t="s">
        <v>6035</v>
      </c>
      <c r="G5399" t="s">
        <v>6091</v>
      </c>
      <c r="H5399" t="s">
        <v>6097</v>
      </c>
      <c r="I5399">
        <v>4</v>
      </c>
      <c r="J5399">
        <v>10.199999999999999</v>
      </c>
      <c r="K5399" t="s">
        <v>6099</v>
      </c>
      <c r="L5399" t="s">
        <v>6100</v>
      </c>
      <c r="M5399" t="s">
        <v>6099</v>
      </c>
      <c r="O5399" t="s">
        <v>6101</v>
      </c>
      <c r="P5399" t="s">
        <v>6115</v>
      </c>
      <c r="Q5399">
        <v>9</v>
      </c>
      <c r="R5399">
        <v>2026</v>
      </c>
      <c r="S5399" t="s">
        <v>6100</v>
      </c>
      <c r="T5399">
        <v>0</v>
      </c>
      <c r="U5399" t="s">
        <v>6018</v>
      </c>
      <c r="V5399">
        <v>1</v>
      </c>
    </row>
    <row r="5400" spans="1:22" x14ac:dyDescent="0.3">
      <c r="A5400" t="s">
        <v>5415</v>
      </c>
      <c r="B5400" s="2">
        <v>46266.581250000003</v>
      </c>
      <c r="C5400" s="2">
        <v>46266.802083333336</v>
      </c>
      <c r="D5400" t="s">
        <v>6028</v>
      </c>
      <c r="E5400" t="s">
        <v>6029</v>
      </c>
      <c r="F5400" t="s">
        <v>6034</v>
      </c>
      <c r="G5400" t="s">
        <v>6080</v>
      </c>
      <c r="H5400" t="s">
        <v>6096</v>
      </c>
      <c r="I5400">
        <v>24</v>
      </c>
      <c r="J5400">
        <v>5.3</v>
      </c>
      <c r="K5400" t="s">
        <v>6099</v>
      </c>
      <c r="L5400" t="s">
        <v>6100</v>
      </c>
      <c r="M5400" t="s">
        <v>6100</v>
      </c>
      <c r="N5400">
        <v>4</v>
      </c>
      <c r="O5400" t="s">
        <v>6101</v>
      </c>
      <c r="P5400" t="s">
        <v>6115</v>
      </c>
      <c r="Q5400">
        <v>9</v>
      </c>
      <c r="R5400">
        <v>2026</v>
      </c>
      <c r="S5400" t="s">
        <v>6099</v>
      </c>
      <c r="T5400">
        <v>1</v>
      </c>
      <c r="U5400" t="s">
        <v>6020</v>
      </c>
      <c r="V5400">
        <v>1</v>
      </c>
    </row>
    <row r="5401" spans="1:22" x14ac:dyDescent="0.3">
      <c r="A5401" t="s">
        <v>5416</v>
      </c>
      <c r="B5401" s="2">
        <v>46266.62222222222</v>
      </c>
      <c r="C5401" s="2">
        <v>46267.626388888886</v>
      </c>
      <c r="D5401" t="s">
        <v>6022</v>
      </c>
      <c r="E5401" t="s">
        <v>6032</v>
      </c>
      <c r="F5401" t="s">
        <v>6034</v>
      </c>
      <c r="G5401" t="s">
        <v>6061</v>
      </c>
      <c r="H5401" t="s">
        <v>6096</v>
      </c>
      <c r="I5401">
        <v>24</v>
      </c>
      <c r="J5401">
        <v>24.1</v>
      </c>
      <c r="K5401" t="s">
        <v>6099</v>
      </c>
      <c r="L5401" t="s">
        <v>6100</v>
      </c>
      <c r="M5401" t="s">
        <v>6100</v>
      </c>
      <c r="O5401" t="s">
        <v>6101</v>
      </c>
      <c r="P5401" t="s">
        <v>6115</v>
      </c>
      <c r="Q5401">
        <v>9</v>
      </c>
      <c r="R5401">
        <v>2026</v>
      </c>
      <c r="S5401" t="s">
        <v>6100</v>
      </c>
      <c r="T5401">
        <v>0</v>
      </c>
      <c r="U5401" t="s">
        <v>6020</v>
      </c>
      <c r="V5401">
        <v>1</v>
      </c>
    </row>
    <row r="5402" spans="1:22" x14ac:dyDescent="0.3">
      <c r="A5402" t="s">
        <v>5417</v>
      </c>
      <c r="B5402" s="2">
        <v>46266.626388888886</v>
      </c>
      <c r="C5402" s="2">
        <v>46268.263888888891</v>
      </c>
      <c r="D5402" t="s">
        <v>6024</v>
      </c>
      <c r="E5402" t="s">
        <v>6032</v>
      </c>
      <c r="F5402" t="s">
        <v>6034</v>
      </c>
      <c r="G5402" t="s">
        <v>6044</v>
      </c>
      <c r="H5402" t="s">
        <v>6097</v>
      </c>
      <c r="I5402">
        <v>24</v>
      </c>
      <c r="J5402">
        <v>39.299999999999997</v>
      </c>
      <c r="K5402" t="s">
        <v>6099</v>
      </c>
      <c r="L5402" t="s">
        <v>6100</v>
      </c>
      <c r="M5402" t="s">
        <v>6100</v>
      </c>
      <c r="N5402">
        <v>4</v>
      </c>
      <c r="O5402" t="s">
        <v>6101</v>
      </c>
      <c r="P5402" t="s">
        <v>6115</v>
      </c>
      <c r="Q5402">
        <v>9</v>
      </c>
      <c r="R5402">
        <v>2026</v>
      </c>
      <c r="S5402" t="s">
        <v>6100</v>
      </c>
      <c r="T5402">
        <v>0</v>
      </c>
      <c r="U5402" t="s">
        <v>6020</v>
      </c>
      <c r="V5402">
        <v>1</v>
      </c>
    </row>
    <row r="5403" spans="1:22" x14ac:dyDescent="0.3">
      <c r="A5403" t="s">
        <v>5418</v>
      </c>
      <c r="B5403" s="2">
        <v>46266.647222222222</v>
      </c>
      <c r="C5403" s="2">
        <v>46267.634722222225</v>
      </c>
      <c r="D5403" t="s">
        <v>6022</v>
      </c>
      <c r="E5403" t="s">
        <v>6029</v>
      </c>
      <c r="F5403" t="s">
        <v>6035</v>
      </c>
      <c r="G5403" t="s">
        <v>6089</v>
      </c>
      <c r="H5403" t="s">
        <v>6098</v>
      </c>
      <c r="I5403">
        <v>4</v>
      </c>
      <c r="J5403">
        <v>23.7</v>
      </c>
      <c r="K5403" t="s">
        <v>6099</v>
      </c>
      <c r="L5403" t="s">
        <v>6100</v>
      </c>
      <c r="M5403" t="s">
        <v>6100</v>
      </c>
      <c r="N5403">
        <v>5</v>
      </c>
      <c r="O5403" t="s">
        <v>6101</v>
      </c>
      <c r="P5403" t="s">
        <v>6115</v>
      </c>
      <c r="Q5403">
        <v>9</v>
      </c>
      <c r="R5403">
        <v>2026</v>
      </c>
      <c r="S5403" t="s">
        <v>6100</v>
      </c>
      <c r="T5403">
        <v>0</v>
      </c>
      <c r="U5403" t="s">
        <v>6017</v>
      </c>
      <c r="V5403">
        <v>1</v>
      </c>
    </row>
    <row r="5404" spans="1:22" x14ac:dyDescent="0.3">
      <c r="A5404" t="s">
        <v>5419</v>
      </c>
      <c r="B5404" s="2">
        <v>46266.648611111108</v>
      </c>
      <c r="C5404" s="2">
        <v>46266.798611111109</v>
      </c>
      <c r="D5404" t="s">
        <v>6023</v>
      </c>
      <c r="E5404" t="s">
        <v>6029</v>
      </c>
      <c r="F5404" t="s">
        <v>6033</v>
      </c>
      <c r="G5404" t="s">
        <v>6073</v>
      </c>
      <c r="H5404" t="s">
        <v>6096</v>
      </c>
      <c r="I5404">
        <v>72</v>
      </c>
      <c r="J5404">
        <v>3.6</v>
      </c>
      <c r="K5404" t="s">
        <v>6099</v>
      </c>
      <c r="L5404" t="s">
        <v>6100</v>
      </c>
      <c r="M5404" t="s">
        <v>6100</v>
      </c>
      <c r="N5404">
        <v>4</v>
      </c>
      <c r="O5404" t="s">
        <v>6101</v>
      </c>
      <c r="P5404" t="s">
        <v>6115</v>
      </c>
      <c r="Q5404">
        <v>9</v>
      </c>
      <c r="R5404">
        <v>2026</v>
      </c>
      <c r="S5404" t="s">
        <v>6099</v>
      </c>
      <c r="T5404">
        <v>1</v>
      </c>
      <c r="U5404" t="s">
        <v>6021</v>
      </c>
      <c r="V5404">
        <v>1</v>
      </c>
    </row>
    <row r="5405" spans="1:22" x14ac:dyDescent="0.3">
      <c r="A5405" t="s">
        <v>5420</v>
      </c>
      <c r="B5405" s="2">
        <v>46266.662499999999</v>
      </c>
      <c r="C5405" s="2">
        <v>46267.583333333336</v>
      </c>
      <c r="D5405" t="s">
        <v>6023</v>
      </c>
      <c r="E5405" t="s">
        <v>6029</v>
      </c>
      <c r="F5405" t="s">
        <v>6034</v>
      </c>
      <c r="G5405" t="s">
        <v>6046</v>
      </c>
      <c r="H5405" t="s">
        <v>6098</v>
      </c>
      <c r="I5405">
        <v>24</v>
      </c>
      <c r="J5405">
        <v>22.1</v>
      </c>
      <c r="K5405" t="s">
        <v>6099</v>
      </c>
      <c r="L5405" t="s">
        <v>6100</v>
      </c>
      <c r="M5405" t="s">
        <v>6100</v>
      </c>
      <c r="N5405">
        <v>4</v>
      </c>
      <c r="O5405" t="s">
        <v>6101</v>
      </c>
      <c r="P5405" t="s">
        <v>6115</v>
      </c>
      <c r="Q5405">
        <v>9</v>
      </c>
      <c r="R5405">
        <v>2026</v>
      </c>
      <c r="S5405" t="s">
        <v>6099</v>
      </c>
      <c r="T5405">
        <v>1</v>
      </c>
      <c r="U5405" t="s">
        <v>6017</v>
      </c>
      <c r="V5405">
        <v>1</v>
      </c>
    </row>
    <row r="5406" spans="1:22" x14ac:dyDescent="0.3">
      <c r="A5406" t="s">
        <v>5421</v>
      </c>
      <c r="B5406" s="2">
        <v>46266.68472222222</v>
      </c>
      <c r="C5406" s="2">
        <v>46268.868055555555</v>
      </c>
      <c r="D5406" t="s">
        <v>6025</v>
      </c>
      <c r="E5406" t="s">
        <v>6029</v>
      </c>
      <c r="F5406" t="s">
        <v>6034</v>
      </c>
      <c r="G5406" t="s">
        <v>6089</v>
      </c>
      <c r="H5406" t="s">
        <v>6098</v>
      </c>
      <c r="I5406">
        <v>24</v>
      </c>
      <c r="J5406">
        <v>52.4</v>
      </c>
      <c r="K5406" t="s">
        <v>6099</v>
      </c>
      <c r="L5406" t="s">
        <v>6100</v>
      </c>
      <c r="M5406" t="s">
        <v>6100</v>
      </c>
      <c r="N5406">
        <v>3</v>
      </c>
      <c r="O5406" t="s">
        <v>6101</v>
      </c>
      <c r="P5406" t="s">
        <v>6115</v>
      </c>
      <c r="Q5406">
        <v>9</v>
      </c>
      <c r="R5406">
        <v>2026</v>
      </c>
      <c r="S5406" t="s">
        <v>6100</v>
      </c>
      <c r="T5406">
        <v>0</v>
      </c>
      <c r="U5406" t="s">
        <v>6018</v>
      </c>
      <c r="V5406">
        <v>1</v>
      </c>
    </row>
    <row r="5407" spans="1:22" x14ac:dyDescent="0.3">
      <c r="A5407" t="s">
        <v>5422</v>
      </c>
      <c r="B5407" s="2">
        <v>46266.694444444445</v>
      </c>
      <c r="C5407" s="2">
        <v>46268.81527777778</v>
      </c>
      <c r="D5407" t="s">
        <v>6025</v>
      </c>
      <c r="E5407" t="s">
        <v>6031</v>
      </c>
      <c r="F5407" t="s">
        <v>6033</v>
      </c>
      <c r="G5407" t="s">
        <v>6072</v>
      </c>
      <c r="H5407" t="s">
        <v>6097</v>
      </c>
      <c r="I5407">
        <v>72</v>
      </c>
      <c r="J5407">
        <v>50.9</v>
      </c>
      <c r="K5407" t="s">
        <v>6100</v>
      </c>
      <c r="L5407" t="s">
        <v>6100</v>
      </c>
      <c r="M5407" t="s">
        <v>6100</v>
      </c>
      <c r="N5407">
        <v>2</v>
      </c>
      <c r="O5407" t="s">
        <v>6101</v>
      </c>
      <c r="P5407" t="s">
        <v>6115</v>
      </c>
      <c r="Q5407">
        <v>9</v>
      </c>
      <c r="R5407">
        <v>2026</v>
      </c>
      <c r="S5407" t="s">
        <v>6099</v>
      </c>
      <c r="T5407">
        <v>1</v>
      </c>
      <c r="U5407" t="s">
        <v>6021</v>
      </c>
      <c r="V5407">
        <v>0</v>
      </c>
    </row>
    <row r="5408" spans="1:22" x14ac:dyDescent="0.3">
      <c r="A5408" t="s">
        <v>5423</v>
      </c>
      <c r="B5408" s="2">
        <v>46266.712500000001</v>
      </c>
      <c r="C5408" s="2">
        <v>46267.083333333336</v>
      </c>
      <c r="D5408" t="s">
        <v>6022</v>
      </c>
      <c r="E5408" t="s">
        <v>6032</v>
      </c>
      <c r="F5408" t="s">
        <v>6034</v>
      </c>
      <c r="G5408" t="s">
        <v>6053</v>
      </c>
      <c r="H5408" t="s">
        <v>6097</v>
      </c>
      <c r="I5408">
        <v>24</v>
      </c>
      <c r="J5408">
        <v>8.9</v>
      </c>
      <c r="K5408" t="s">
        <v>6099</v>
      </c>
      <c r="L5408" t="s">
        <v>6100</v>
      </c>
      <c r="M5408" t="s">
        <v>6100</v>
      </c>
      <c r="N5408">
        <v>5</v>
      </c>
      <c r="O5408" t="s">
        <v>6101</v>
      </c>
      <c r="P5408" t="s">
        <v>6115</v>
      </c>
      <c r="Q5408">
        <v>9</v>
      </c>
      <c r="R5408">
        <v>2026</v>
      </c>
      <c r="S5408" t="s">
        <v>6099</v>
      </c>
      <c r="T5408">
        <v>1</v>
      </c>
      <c r="U5408" t="s">
        <v>6018</v>
      </c>
      <c r="V5408">
        <v>1</v>
      </c>
    </row>
    <row r="5409" spans="1:22" x14ac:dyDescent="0.3">
      <c r="A5409" t="s">
        <v>5424</v>
      </c>
      <c r="B5409" s="2">
        <v>46266.78125</v>
      </c>
      <c r="C5409" s="2">
        <v>46269.068749999999</v>
      </c>
      <c r="D5409" t="s">
        <v>6026</v>
      </c>
      <c r="E5409" t="s">
        <v>6029</v>
      </c>
      <c r="F5409" t="s">
        <v>6035</v>
      </c>
      <c r="G5409" t="s">
        <v>6064</v>
      </c>
      <c r="H5409" t="s">
        <v>6096</v>
      </c>
      <c r="I5409">
        <v>4</v>
      </c>
      <c r="J5409">
        <v>54.9</v>
      </c>
      <c r="K5409" t="s">
        <v>6099</v>
      </c>
      <c r="L5409" t="s">
        <v>6100</v>
      </c>
      <c r="M5409" t="s">
        <v>6100</v>
      </c>
      <c r="N5409">
        <v>3</v>
      </c>
      <c r="O5409" t="s">
        <v>6101</v>
      </c>
      <c r="P5409" t="s">
        <v>6115</v>
      </c>
      <c r="Q5409">
        <v>9</v>
      </c>
      <c r="R5409">
        <v>2026</v>
      </c>
      <c r="S5409" t="s">
        <v>6100</v>
      </c>
      <c r="T5409">
        <v>0</v>
      </c>
      <c r="U5409" t="s">
        <v>6021</v>
      </c>
      <c r="V5409">
        <v>1</v>
      </c>
    </row>
    <row r="5410" spans="1:22" x14ac:dyDescent="0.3">
      <c r="A5410" t="s">
        <v>5425</v>
      </c>
      <c r="B5410" s="2">
        <v>46266.82708333333</v>
      </c>
      <c r="C5410" s="2">
        <v>46267.106249999997</v>
      </c>
      <c r="D5410" t="s">
        <v>6028</v>
      </c>
      <c r="E5410" t="s">
        <v>6029</v>
      </c>
      <c r="F5410" t="s">
        <v>6035</v>
      </c>
      <c r="G5410" t="s">
        <v>6039</v>
      </c>
      <c r="H5410" t="s">
        <v>6097</v>
      </c>
      <c r="I5410">
        <v>4</v>
      </c>
      <c r="J5410">
        <v>6.7</v>
      </c>
      <c r="K5410" t="s">
        <v>6099</v>
      </c>
      <c r="L5410" t="s">
        <v>6100</v>
      </c>
      <c r="M5410" t="s">
        <v>6100</v>
      </c>
      <c r="N5410">
        <v>5</v>
      </c>
      <c r="O5410" t="s">
        <v>6101</v>
      </c>
      <c r="P5410" t="s">
        <v>6115</v>
      </c>
      <c r="Q5410">
        <v>9</v>
      </c>
      <c r="R5410">
        <v>2026</v>
      </c>
      <c r="S5410" t="s">
        <v>6100</v>
      </c>
      <c r="T5410">
        <v>0</v>
      </c>
      <c r="U5410" t="s">
        <v>6021</v>
      </c>
      <c r="V5410">
        <v>1</v>
      </c>
    </row>
    <row r="5411" spans="1:22" x14ac:dyDescent="0.3">
      <c r="A5411" t="s">
        <v>5426</v>
      </c>
      <c r="B5411" s="2">
        <v>46266.84375</v>
      </c>
      <c r="C5411" s="2">
        <v>46267.643750000003</v>
      </c>
      <c r="D5411" t="s">
        <v>6028</v>
      </c>
      <c r="E5411" t="s">
        <v>6031</v>
      </c>
      <c r="F5411" t="s">
        <v>6035</v>
      </c>
      <c r="G5411" t="s">
        <v>6072</v>
      </c>
      <c r="H5411" t="s">
        <v>6097</v>
      </c>
      <c r="I5411">
        <v>4</v>
      </c>
      <c r="J5411">
        <v>19.2</v>
      </c>
      <c r="K5411" t="s">
        <v>6099</v>
      </c>
      <c r="L5411" t="s">
        <v>6100</v>
      </c>
      <c r="M5411" t="s">
        <v>6099</v>
      </c>
      <c r="N5411">
        <v>5</v>
      </c>
      <c r="O5411" t="s">
        <v>6101</v>
      </c>
      <c r="P5411" t="s">
        <v>6115</v>
      </c>
      <c r="Q5411">
        <v>9</v>
      </c>
      <c r="R5411">
        <v>2026</v>
      </c>
      <c r="S5411" t="s">
        <v>6100</v>
      </c>
      <c r="T5411">
        <v>0</v>
      </c>
      <c r="U5411" t="s">
        <v>6018</v>
      </c>
      <c r="V5411">
        <v>1</v>
      </c>
    </row>
    <row r="5412" spans="1:22" x14ac:dyDescent="0.3">
      <c r="A5412" t="s">
        <v>5427</v>
      </c>
      <c r="B5412" s="2">
        <v>46266.852777777778</v>
      </c>
      <c r="C5412" s="2">
        <v>46266.915277777778</v>
      </c>
      <c r="D5412" t="s">
        <v>6027</v>
      </c>
      <c r="E5412" t="s">
        <v>6030</v>
      </c>
      <c r="F5412" t="s">
        <v>6033</v>
      </c>
      <c r="G5412" t="s">
        <v>6054</v>
      </c>
      <c r="H5412" t="s">
        <v>6096</v>
      </c>
      <c r="I5412">
        <v>72</v>
      </c>
      <c r="J5412">
        <v>1.5</v>
      </c>
      <c r="K5412" t="s">
        <v>6099</v>
      </c>
      <c r="L5412" t="s">
        <v>6100</v>
      </c>
      <c r="M5412" t="s">
        <v>6100</v>
      </c>
      <c r="N5412">
        <v>4</v>
      </c>
      <c r="O5412" t="s">
        <v>6101</v>
      </c>
      <c r="P5412" t="s">
        <v>6115</v>
      </c>
      <c r="Q5412">
        <v>9</v>
      </c>
      <c r="R5412">
        <v>2026</v>
      </c>
      <c r="S5412" t="s">
        <v>6099</v>
      </c>
      <c r="T5412">
        <v>1</v>
      </c>
      <c r="U5412" t="s">
        <v>6021</v>
      </c>
      <c r="V5412">
        <v>1</v>
      </c>
    </row>
    <row r="5413" spans="1:22" x14ac:dyDescent="0.3">
      <c r="A5413" t="s">
        <v>5428</v>
      </c>
      <c r="B5413" s="2">
        <v>46266.943055555559</v>
      </c>
      <c r="C5413" s="2">
        <v>46267.338888888888</v>
      </c>
      <c r="D5413" t="s">
        <v>6028</v>
      </c>
      <c r="E5413" t="s">
        <v>6029</v>
      </c>
      <c r="F5413" t="s">
        <v>6033</v>
      </c>
      <c r="G5413" t="s">
        <v>6079</v>
      </c>
      <c r="H5413" t="s">
        <v>6097</v>
      </c>
      <c r="I5413">
        <v>72</v>
      </c>
      <c r="J5413">
        <v>9.5</v>
      </c>
      <c r="K5413" t="s">
        <v>6099</v>
      </c>
      <c r="L5413" t="s">
        <v>6100</v>
      </c>
      <c r="M5413" t="s">
        <v>6100</v>
      </c>
      <c r="N5413">
        <v>5</v>
      </c>
      <c r="O5413" t="s">
        <v>6101</v>
      </c>
      <c r="P5413" t="s">
        <v>6115</v>
      </c>
      <c r="Q5413">
        <v>9</v>
      </c>
      <c r="R5413">
        <v>2026</v>
      </c>
      <c r="S5413" t="s">
        <v>6099</v>
      </c>
      <c r="T5413">
        <v>1</v>
      </c>
      <c r="U5413" t="s">
        <v>6017</v>
      </c>
      <c r="V5413">
        <v>1</v>
      </c>
    </row>
    <row r="5414" spans="1:22" x14ac:dyDescent="0.3">
      <c r="A5414" t="s">
        <v>5429</v>
      </c>
      <c r="B5414" s="2">
        <v>46267.007638888892</v>
      </c>
      <c r="C5414" s="2">
        <v>46267.157638888886</v>
      </c>
      <c r="D5414" t="s">
        <v>6024</v>
      </c>
      <c r="E5414" t="s">
        <v>6030</v>
      </c>
      <c r="F5414" t="s">
        <v>6034</v>
      </c>
      <c r="G5414" t="s">
        <v>6037</v>
      </c>
      <c r="H5414" t="s">
        <v>6096</v>
      </c>
      <c r="I5414">
        <v>24</v>
      </c>
      <c r="J5414">
        <v>3.6</v>
      </c>
      <c r="K5414" t="s">
        <v>6099</v>
      </c>
      <c r="L5414" t="s">
        <v>6100</v>
      </c>
      <c r="M5414" t="s">
        <v>6100</v>
      </c>
      <c r="N5414">
        <v>5</v>
      </c>
      <c r="O5414" t="s">
        <v>6101</v>
      </c>
      <c r="P5414" t="s">
        <v>6115</v>
      </c>
      <c r="Q5414">
        <v>9</v>
      </c>
      <c r="R5414">
        <v>2026</v>
      </c>
      <c r="S5414" t="s">
        <v>6099</v>
      </c>
      <c r="T5414">
        <v>1</v>
      </c>
      <c r="U5414" t="s">
        <v>6020</v>
      </c>
      <c r="V5414">
        <v>1</v>
      </c>
    </row>
    <row r="5415" spans="1:22" x14ac:dyDescent="0.3">
      <c r="A5415" t="s">
        <v>5430</v>
      </c>
      <c r="B5415" s="2">
        <v>46267.236805555556</v>
      </c>
      <c r="C5415" s="2">
        <v>46267.536805555559</v>
      </c>
      <c r="D5415" t="s">
        <v>6023</v>
      </c>
      <c r="E5415" t="s">
        <v>6029</v>
      </c>
      <c r="F5415" t="s">
        <v>6033</v>
      </c>
      <c r="G5415" t="s">
        <v>6078</v>
      </c>
      <c r="H5415" t="s">
        <v>6097</v>
      </c>
      <c r="I5415">
        <v>72</v>
      </c>
      <c r="J5415">
        <v>7.2</v>
      </c>
      <c r="K5415" t="s">
        <v>6099</v>
      </c>
      <c r="L5415" t="s">
        <v>6100</v>
      </c>
      <c r="M5415" t="s">
        <v>6100</v>
      </c>
      <c r="O5415" t="s">
        <v>6101</v>
      </c>
      <c r="P5415" t="s">
        <v>6115</v>
      </c>
      <c r="Q5415">
        <v>9</v>
      </c>
      <c r="R5415">
        <v>2026</v>
      </c>
      <c r="S5415" t="s">
        <v>6099</v>
      </c>
      <c r="T5415">
        <v>1</v>
      </c>
      <c r="U5415" t="s">
        <v>6021</v>
      </c>
      <c r="V5415">
        <v>1</v>
      </c>
    </row>
    <row r="5416" spans="1:22" x14ac:dyDescent="0.3">
      <c r="A5416" t="s">
        <v>5431</v>
      </c>
      <c r="B5416" s="2">
        <v>46267.273611111108</v>
      </c>
      <c r="C5416" s="2">
        <v>46267.415277777778</v>
      </c>
      <c r="D5416" t="s">
        <v>6027</v>
      </c>
      <c r="E5416" t="s">
        <v>6029</v>
      </c>
      <c r="F5416" t="s">
        <v>6034</v>
      </c>
      <c r="G5416" t="s">
        <v>6051</v>
      </c>
      <c r="H5416" t="s">
        <v>6097</v>
      </c>
      <c r="I5416">
        <v>24</v>
      </c>
      <c r="J5416">
        <v>3.4</v>
      </c>
      <c r="K5416" t="s">
        <v>6099</v>
      </c>
      <c r="L5416" t="s">
        <v>6100</v>
      </c>
      <c r="M5416" t="s">
        <v>6099</v>
      </c>
      <c r="O5416" t="s">
        <v>6101</v>
      </c>
      <c r="P5416" t="s">
        <v>6115</v>
      </c>
      <c r="Q5416">
        <v>9</v>
      </c>
      <c r="R5416">
        <v>2026</v>
      </c>
      <c r="S5416" t="s">
        <v>6099</v>
      </c>
      <c r="T5416">
        <v>1</v>
      </c>
      <c r="U5416" t="s">
        <v>6020</v>
      </c>
      <c r="V5416">
        <v>1</v>
      </c>
    </row>
    <row r="5417" spans="1:22" x14ac:dyDescent="0.3">
      <c r="A5417" t="s">
        <v>5432</v>
      </c>
      <c r="B5417" s="2">
        <v>46267.27847222222</v>
      </c>
      <c r="C5417" s="2">
        <v>46267.707638888889</v>
      </c>
      <c r="D5417" t="s">
        <v>6028</v>
      </c>
      <c r="E5417" t="s">
        <v>6029</v>
      </c>
      <c r="F5417" t="s">
        <v>6034</v>
      </c>
      <c r="G5417" t="s">
        <v>6050</v>
      </c>
      <c r="H5417" t="s">
        <v>6098</v>
      </c>
      <c r="I5417">
        <v>24</v>
      </c>
      <c r="J5417">
        <v>10.3</v>
      </c>
      <c r="K5417" t="s">
        <v>6099</v>
      </c>
      <c r="L5417" t="s">
        <v>6100</v>
      </c>
      <c r="M5417" t="s">
        <v>6100</v>
      </c>
      <c r="O5417" t="s">
        <v>6101</v>
      </c>
      <c r="P5417" t="s">
        <v>6115</v>
      </c>
      <c r="Q5417">
        <v>9</v>
      </c>
      <c r="R5417">
        <v>2026</v>
      </c>
      <c r="S5417" t="s">
        <v>6099</v>
      </c>
      <c r="T5417">
        <v>1</v>
      </c>
      <c r="U5417" t="s">
        <v>6020</v>
      </c>
      <c r="V5417">
        <v>1</v>
      </c>
    </row>
    <row r="5418" spans="1:22" x14ac:dyDescent="0.3">
      <c r="A5418" t="s">
        <v>5433</v>
      </c>
      <c r="B5418" s="2">
        <v>46267.363888888889</v>
      </c>
      <c r="C5418" s="2">
        <v>46269.109722222223</v>
      </c>
      <c r="D5418" t="s">
        <v>6025</v>
      </c>
      <c r="E5418" t="s">
        <v>6029</v>
      </c>
      <c r="F5418" t="s">
        <v>6035</v>
      </c>
      <c r="G5418" t="s">
        <v>6037</v>
      </c>
      <c r="H5418" t="s">
        <v>6096</v>
      </c>
      <c r="I5418">
        <v>4</v>
      </c>
      <c r="J5418">
        <v>41.9</v>
      </c>
      <c r="K5418" t="s">
        <v>6100</v>
      </c>
      <c r="L5418" t="s">
        <v>6100</v>
      </c>
      <c r="M5418" t="s">
        <v>6100</v>
      </c>
      <c r="O5418" t="s">
        <v>6101</v>
      </c>
      <c r="P5418" t="s">
        <v>6115</v>
      </c>
      <c r="Q5418">
        <v>9</v>
      </c>
      <c r="R5418">
        <v>2026</v>
      </c>
      <c r="S5418" t="s">
        <v>6100</v>
      </c>
      <c r="T5418">
        <v>0</v>
      </c>
      <c r="U5418" t="s">
        <v>6017</v>
      </c>
      <c r="V5418">
        <v>0</v>
      </c>
    </row>
    <row r="5419" spans="1:22" x14ac:dyDescent="0.3">
      <c r="A5419" t="s">
        <v>5434</v>
      </c>
      <c r="B5419" s="2">
        <v>46267.399305555555</v>
      </c>
      <c r="C5419" s="2">
        <v>46267.982638888891</v>
      </c>
      <c r="D5419" t="s">
        <v>6024</v>
      </c>
      <c r="E5419" t="s">
        <v>6032</v>
      </c>
      <c r="F5419" t="s">
        <v>6034</v>
      </c>
      <c r="G5419" t="s">
        <v>6092</v>
      </c>
      <c r="H5419" t="s">
        <v>6097</v>
      </c>
      <c r="I5419">
        <v>24</v>
      </c>
      <c r="J5419">
        <v>14</v>
      </c>
      <c r="K5419" t="s">
        <v>6099</v>
      </c>
      <c r="L5419" t="s">
        <v>6100</v>
      </c>
      <c r="M5419" t="s">
        <v>6100</v>
      </c>
      <c r="O5419" t="s">
        <v>6101</v>
      </c>
      <c r="P5419" t="s">
        <v>6115</v>
      </c>
      <c r="Q5419">
        <v>9</v>
      </c>
      <c r="R5419">
        <v>2026</v>
      </c>
      <c r="S5419" t="s">
        <v>6099</v>
      </c>
      <c r="T5419">
        <v>1</v>
      </c>
      <c r="U5419" t="s">
        <v>6018</v>
      </c>
      <c r="V5419">
        <v>1</v>
      </c>
    </row>
    <row r="5420" spans="1:22" x14ac:dyDescent="0.3">
      <c r="A5420" t="s">
        <v>5435</v>
      </c>
      <c r="B5420" s="2">
        <v>46267.409722222219</v>
      </c>
      <c r="C5420" s="2">
        <v>46267.609722222223</v>
      </c>
      <c r="D5420" t="s">
        <v>6023</v>
      </c>
      <c r="E5420" t="s">
        <v>6029</v>
      </c>
      <c r="F5420" t="s">
        <v>6034</v>
      </c>
      <c r="G5420" t="s">
        <v>6067</v>
      </c>
      <c r="H5420" t="s">
        <v>6098</v>
      </c>
      <c r="I5420">
        <v>24</v>
      </c>
      <c r="J5420">
        <v>4.8</v>
      </c>
      <c r="K5420" t="s">
        <v>6100</v>
      </c>
      <c r="L5420" t="s">
        <v>6099</v>
      </c>
      <c r="M5420" t="s">
        <v>6100</v>
      </c>
      <c r="N5420">
        <v>4</v>
      </c>
      <c r="O5420" t="s">
        <v>6101</v>
      </c>
      <c r="P5420" t="s">
        <v>6115</v>
      </c>
      <c r="Q5420">
        <v>9</v>
      </c>
      <c r="R5420">
        <v>2026</v>
      </c>
      <c r="S5420" t="s">
        <v>6099</v>
      </c>
      <c r="T5420">
        <v>1</v>
      </c>
      <c r="U5420" t="s">
        <v>6019</v>
      </c>
      <c r="V5420">
        <v>0</v>
      </c>
    </row>
    <row r="5421" spans="1:22" x14ac:dyDescent="0.3">
      <c r="A5421" t="s">
        <v>5436</v>
      </c>
      <c r="B5421" s="2">
        <v>46267.427777777775</v>
      </c>
      <c r="C5421" s="2">
        <v>46269.327777777777</v>
      </c>
      <c r="D5421" t="s">
        <v>6026</v>
      </c>
      <c r="E5421" t="s">
        <v>6032</v>
      </c>
      <c r="F5421" t="s">
        <v>6033</v>
      </c>
      <c r="G5421" t="s">
        <v>6081</v>
      </c>
      <c r="H5421" t="s">
        <v>6098</v>
      </c>
      <c r="I5421">
        <v>72</v>
      </c>
      <c r="J5421">
        <v>45.6</v>
      </c>
      <c r="K5421" t="s">
        <v>6100</v>
      </c>
      <c r="L5421" t="s">
        <v>6099</v>
      </c>
      <c r="M5421" t="s">
        <v>6100</v>
      </c>
      <c r="O5421" t="s">
        <v>6101</v>
      </c>
      <c r="P5421" t="s">
        <v>6115</v>
      </c>
      <c r="Q5421">
        <v>9</v>
      </c>
      <c r="R5421">
        <v>2026</v>
      </c>
      <c r="S5421" t="s">
        <v>6099</v>
      </c>
      <c r="T5421">
        <v>1</v>
      </c>
      <c r="U5421" t="s">
        <v>6018</v>
      </c>
      <c r="V5421">
        <v>0</v>
      </c>
    </row>
    <row r="5422" spans="1:22" x14ac:dyDescent="0.3">
      <c r="A5422" t="s">
        <v>5437</v>
      </c>
      <c r="B5422" s="2">
        <v>46267.434027777781</v>
      </c>
      <c r="C5422" s="2">
        <v>46268.379861111112</v>
      </c>
      <c r="D5422" t="s">
        <v>6028</v>
      </c>
      <c r="E5422" t="s">
        <v>6031</v>
      </c>
      <c r="F5422" t="s">
        <v>6033</v>
      </c>
      <c r="G5422" t="s">
        <v>6062</v>
      </c>
      <c r="H5422" t="s">
        <v>6096</v>
      </c>
      <c r="I5422">
        <v>72</v>
      </c>
      <c r="J5422">
        <v>22.7</v>
      </c>
      <c r="K5422" t="s">
        <v>6100</v>
      </c>
      <c r="L5422" t="s">
        <v>6099</v>
      </c>
      <c r="M5422" t="s">
        <v>6100</v>
      </c>
      <c r="N5422">
        <v>5</v>
      </c>
      <c r="O5422" t="s">
        <v>6101</v>
      </c>
      <c r="P5422" t="s">
        <v>6115</v>
      </c>
      <c r="Q5422">
        <v>9</v>
      </c>
      <c r="R5422">
        <v>2026</v>
      </c>
      <c r="S5422" t="s">
        <v>6099</v>
      </c>
      <c r="T5422">
        <v>1</v>
      </c>
      <c r="U5422" t="s">
        <v>6021</v>
      </c>
      <c r="V5422">
        <v>0</v>
      </c>
    </row>
    <row r="5423" spans="1:22" x14ac:dyDescent="0.3">
      <c r="A5423" t="s">
        <v>5438</v>
      </c>
      <c r="B5423" s="2">
        <v>46267.442361111112</v>
      </c>
      <c r="C5423" s="2">
        <v>46267.90902777778</v>
      </c>
      <c r="D5423" t="s">
        <v>6024</v>
      </c>
      <c r="E5423" t="s">
        <v>6029</v>
      </c>
      <c r="F5423" t="s">
        <v>6034</v>
      </c>
      <c r="G5423" t="s">
        <v>6094</v>
      </c>
      <c r="H5423" t="s">
        <v>6098</v>
      </c>
      <c r="I5423">
        <v>24</v>
      </c>
      <c r="J5423">
        <v>11.2</v>
      </c>
      <c r="K5423" t="s">
        <v>6099</v>
      </c>
      <c r="L5423" t="s">
        <v>6100</v>
      </c>
      <c r="M5423" t="s">
        <v>6100</v>
      </c>
      <c r="O5423" t="s">
        <v>6101</v>
      </c>
      <c r="P5423" t="s">
        <v>6115</v>
      </c>
      <c r="Q5423">
        <v>9</v>
      </c>
      <c r="R5423">
        <v>2026</v>
      </c>
      <c r="S5423" t="s">
        <v>6099</v>
      </c>
      <c r="T5423">
        <v>1</v>
      </c>
      <c r="U5423" t="s">
        <v>6019</v>
      </c>
      <c r="V5423">
        <v>1</v>
      </c>
    </row>
    <row r="5424" spans="1:22" x14ac:dyDescent="0.3">
      <c r="A5424" t="s">
        <v>5439</v>
      </c>
      <c r="B5424" s="2">
        <v>46267.548611111109</v>
      </c>
      <c r="C5424" s="2">
        <v>46267.994444444441</v>
      </c>
      <c r="D5424" t="s">
        <v>6022</v>
      </c>
      <c r="E5424" t="s">
        <v>6031</v>
      </c>
      <c r="F5424" t="s">
        <v>6033</v>
      </c>
      <c r="G5424" t="s">
        <v>6075</v>
      </c>
      <c r="H5424" t="s">
        <v>6097</v>
      </c>
      <c r="I5424">
        <v>72</v>
      </c>
      <c r="J5424">
        <v>10.7</v>
      </c>
      <c r="K5424" t="s">
        <v>6099</v>
      </c>
      <c r="L5424" t="s">
        <v>6100</v>
      </c>
      <c r="M5424" t="s">
        <v>6100</v>
      </c>
      <c r="N5424">
        <v>3</v>
      </c>
      <c r="O5424" t="s">
        <v>6101</v>
      </c>
      <c r="P5424" t="s">
        <v>6115</v>
      </c>
      <c r="Q5424">
        <v>9</v>
      </c>
      <c r="R5424">
        <v>2026</v>
      </c>
      <c r="S5424" t="s">
        <v>6099</v>
      </c>
      <c r="T5424">
        <v>1</v>
      </c>
      <c r="U5424" t="s">
        <v>6019</v>
      </c>
      <c r="V5424">
        <v>1</v>
      </c>
    </row>
    <row r="5425" spans="1:22" x14ac:dyDescent="0.3">
      <c r="A5425" t="s">
        <v>5440</v>
      </c>
      <c r="B5425" s="2">
        <v>46267.551388888889</v>
      </c>
      <c r="C5425" s="2">
        <v>46268.080555555556</v>
      </c>
      <c r="D5425" t="s">
        <v>6022</v>
      </c>
      <c r="E5425" t="s">
        <v>6029</v>
      </c>
      <c r="F5425" t="s">
        <v>6035</v>
      </c>
      <c r="G5425" t="s">
        <v>6060</v>
      </c>
      <c r="H5425" t="s">
        <v>6097</v>
      </c>
      <c r="I5425">
        <v>4</v>
      </c>
      <c r="J5425">
        <v>12.7</v>
      </c>
      <c r="K5425" t="s">
        <v>6100</v>
      </c>
      <c r="L5425" t="s">
        <v>6100</v>
      </c>
      <c r="M5425" t="s">
        <v>6100</v>
      </c>
      <c r="N5425">
        <v>2</v>
      </c>
      <c r="O5425" t="s">
        <v>6101</v>
      </c>
      <c r="P5425" t="s">
        <v>6115</v>
      </c>
      <c r="Q5425">
        <v>9</v>
      </c>
      <c r="R5425">
        <v>2026</v>
      </c>
      <c r="S5425" t="s">
        <v>6100</v>
      </c>
      <c r="T5425">
        <v>0</v>
      </c>
      <c r="U5425" t="s">
        <v>6021</v>
      </c>
      <c r="V5425">
        <v>0</v>
      </c>
    </row>
    <row r="5426" spans="1:22" x14ac:dyDescent="0.3">
      <c r="A5426" t="s">
        <v>5441</v>
      </c>
      <c r="B5426" s="2">
        <v>46267.57708333333</v>
      </c>
      <c r="C5426" s="2">
        <v>46267.731249999997</v>
      </c>
      <c r="D5426" t="s">
        <v>6024</v>
      </c>
      <c r="E5426" t="s">
        <v>6030</v>
      </c>
      <c r="F5426" t="s">
        <v>6034</v>
      </c>
      <c r="G5426" t="s">
        <v>6044</v>
      </c>
      <c r="H5426" t="s">
        <v>6097</v>
      </c>
      <c r="I5426">
        <v>24</v>
      </c>
      <c r="J5426">
        <v>3.7</v>
      </c>
      <c r="K5426" t="s">
        <v>6099</v>
      </c>
      <c r="L5426" t="s">
        <v>6100</v>
      </c>
      <c r="M5426" t="s">
        <v>6100</v>
      </c>
      <c r="O5426" t="s">
        <v>6101</v>
      </c>
      <c r="P5426" t="s">
        <v>6115</v>
      </c>
      <c r="Q5426">
        <v>9</v>
      </c>
      <c r="R5426">
        <v>2026</v>
      </c>
      <c r="S5426" t="s">
        <v>6099</v>
      </c>
      <c r="T5426">
        <v>1</v>
      </c>
      <c r="U5426" t="s">
        <v>6019</v>
      </c>
      <c r="V5426">
        <v>1</v>
      </c>
    </row>
    <row r="5427" spans="1:22" x14ac:dyDescent="0.3">
      <c r="A5427" t="s">
        <v>5442</v>
      </c>
      <c r="B5427" s="2">
        <v>46267.603472222225</v>
      </c>
      <c r="C5427" s="2">
        <v>46267.711805555555</v>
      </c>
      <c r="D5427" t="s">
        <v>6023</v>
      </c>
      <c r="E5427" t="s">
        <v>6029</v>
      </c>
      <c r="F5427" t="s">
        <v>6034</v>
      </c>
      <c r="G5427" t="s">
        <v>6087</v>
      </c>
      <c r="H5427" t="s">
        <v>6098</v>
      </c>
      <c r="I5427">
        <v>24</v>
      </c>
      <c r="J5427">
        <v>2.6</v>
      </c>
      <c r="K5427" t="s">
        <v>6100</v>
      </c>
      <c r="L5427" t="s">
        <v>6100</v>
      </c>
      <c r="M5427" t="s">
        <v>6100</v>
      </c>
      <c r="N5427">
        <v>4</v>
      </c>
      <c r="O5427" t="s">
        <v>6101</v>
      </c>
      <c r="P5427" t="s">
        <v>6115</v>
      </c>
      <c r="Q5427">
        <v>9</v>
      </c>
      <c r="R5427">
        <v>2026</v>
      </c>
      <c r="S5427" t="s">
        <v>6099</v>
      </c>
      <c r="T5427">
        <v>1</v>
      </c>
      <c r="U5427" t="s">
        <v>6020</v>
      </c>
      <c r="V5427">
        <v>0</v>
      </c>
    </row>
    <row r="5428" spans="1:22" x14ac:dyDescent="0.3">
      <c r="A5428" t="s">
        <v>5443</v>
      </c>
      <c r="B5428" s="2">
        <v>46267.618750000001</v>
      </c>
      <c r="C5428" s="2">
        <v>46268.152083333334</v>
      </c>
      <c r="D5428" t="s">
        <v>6027</v>
      </c>
      <c r="E5428" t="s">
        <v>6031</v>
      </c>
      <c r="F5428" t="s">
        <v>6034</v>
      </c>
      <c r="G5428" t="s">
        <v>6040</v>
      </c>
      <c r="H5428" t="s">
        <v>6097</v>
      </c>
      <c r="I5428">
        <v>24</v>
      </c>
      <c r="J5428">
        <v>12.8</v>
      </c>
      <c r="K5428" t="s">
        <v>6100</v>
      </c>
      <c r="L5428" t="s">
        <v>6099</v>
      </c>
      <c r="M5428" t="s">
        <v>6099</v>
      </c>
      <c r="N5428">
        <v>3</v>
      </c>
      <c r="O5428" t="s">
        <v>6101</v>
      </c>
      <c r="P5428" t="s">
        <v>6115</v>
      </c>
      <c r="Q5428">
        <v>9</v>
      </c>
      <c r="R5428">
        <v>2026</v>
      </c>
      <c r="S5428" t="s">
        <v>6099</v>
      </c>
      <c r="T5428">
        <v>1</v>
      </c>
      <c r="U5428" t="s">
        <v>6019</v>
      </c>
      <c r="V5428">
        <v>0</v>
      </c>
    </row>
    <row r="5429" spans="1:22" x14ac:dyDescent="0.3">
      <c r="A5429" t="s">
        <v>5444</v>
      </c>
      <c r="B5429" s="2">
        <v>46267.649305555555</v>
      </c>
      <c r="C5429" s="2">
        <v>46267.736805555556</v>
      </c>
      <c r="D5429" t="s">
        <v>6023</v>
      </c>
      <c r="E5429" t="s">
        <v>6030</v>
      </c>
      <c r="F5429" t="s">
        <v>6033</v>
      </c>
      <c r="G5429" t="s">
        <v>6074</v>
      </c>
      <c r="H5429" t="s">
        <v>6098</v>
      </c>
      <c r="I5429">
        <v>72</v>
      </c>
      <c r="J5429">
        <v>2.1</v>
      </c>
      <c r="K5429" t="s">
        <v>6100</v>
      </c>
      <c r="L5429" t="s">
        <v>6100</v>
      </c>
      <c r="M5429" t="s">
        <v>6100</v>
      </c>
      <c r="N5429">
        <v>3</v>
      </c>
      <c r="O5429" t="s">
        <v>6101</v>
      </c>
      <c r="P5429" t="s">
        <v>6115</v>
      </c>
      <c r="Q5429">
        <v>9</v>
      </c>
      <c r="R5429">
        <v>2026</v>
      </c>
      <c r="S5429" t="s">
        <v>6099</v>
      </c>
      <c r="T5429">
        <v>1</v>
      </c>
      <c r="U5429" t="s">
        <v>6021</v>
      </c>
      <c r="V5429">
        <v>0</v>
      </c>
    </row>
    <row r="5430" spans="1:22" x14ac:dyDescent="0.3">
      <c r="A5430" t="s">
        <v>5445</v>
      </c>
      <c r="B5430" s="2">
        <v>46267.736111111109</v>
      </c>
      <c r="C5430" s="2">
        <v>46268.036111111112</v>
      </c>
      <c r="D5430" t="s">
        <v>6027</v>
      </c>
      <c r="E5430" t="s">
        <v>6029</v>
      </c>
      <c r="F5430" t="s">
        <v>6033</v>
      </c>
      <c r="G5430" t="s">
        <v>6040</v>
      </c>
      <c r="H5430" t="s">
        <v>6097</v>
      </c>
      <c r="I5430">
        <v>72</v>
      </c>
      <c r="J5430">
        <v>7.2</v>
      </c>
      <c r="K5430" t="s">
        <v>6099</v>
      </c>
      <c r="L5430" t="s">
        <v>6100</v>
      </c>
      <c r="M5430" t="s">
        <v>6100</v>
      </c>
      <c r="N5430">
        <v>4</v>
      </c>
      <c r="O5430" t="s">
        <v>6101</v>
      </c>
      <c r="P5430" t="s">
        <v>6115</v>
      </c>
      <c r="Q5430">
        <v>9</v>
      </c>
      <c r="R5430">
        <v>2026</v>
      </c>
      <c r="S5430" t="s">
        <v>6099</v>
      </c>
      <c r="T5430">
        <v>1</v>
      </c>
      <c r="U5430" t="s">
        <v>6019</v>
      </c>
      <c r="V5430">
        <v>1</v>
      </c>
    </row>
    <row r="5431" spans="1:22" x14ac:dyDescent="0.3">
      <c r="A5431" t="s">
        <v>5446</v>
      </c>
      <c r="B5431" s="2">
        <v>46267.760416666664</v>
      </c>
      <c r="C5431" s="2">
        <v>46268.810416666667</v>
      </c>
      <c r="D5431" t="s">
        <v>6022</v>
      </c>
      <c r="E5431" t="s">
        <v>6031</v>
      </c>
      <c r="F5431" t="s">
        <v>6033</v>
      </c>
      <c r="G5431" t="s">
        <v>6060</v>
      </c>
      <c r="H5431" t="s">
        <v>6097</v>
      </c>
      <c r="I5431">
        <v>72</v>
      </c>
      <c r="J5431">
        <v>25.2</v>
      </c>
      <c r="K5431" t="s">
        <v>6099</v>
      </c>
      <c r="L5431" t="s">
        <v>6100</v>
      </c>
      <c r="M5431" t="s">
        <v>6100</v>
      </c>
      <c r="N5431">
        <v>4</v>
      </c>
      <c r="O5431" t="s">
        <v>6101</v>
      </c>
      <c r="P5431" t="s">
        <v>6115</v>
      </c>
      <c r="Q5431">
        <v>9</v>
      </c>
      <c r="R5431">
        <v>2026</v>
      </c>
      <c r="S5431" t="s">
        <v>6099</v>
      </c>
      <c r="T5431">
        <v>1</v>
      </c>
      <c r="U5431" t="s">
        <v>6017</v>
      </c>
      <c r="V5431">
        <v>1</v>
      </c>
    </row>
    <row r="5432" spans="1:22" x14ac:dyDescent="0.3">
      <c r="A5432" t="s">
        <v>5447</v>
      </c>
      <c r="B5432" s="2">
        <v>46267.793749999997</v>
      </c>
      <c r="C5432" s="2">
        <v>46269.90625</v>
      </c>
      <c r="D5432" t="s">
        <v>6025</v>
      </c>
      <c r="E5432" t="s">
        <v>6031</v>
      </c>
      <c r="F5432" t="s">
        <v>6033</v>
      </c>
      <c r="G5432" t="s">
        <v>6078</v>
      </c>
      <c r="H5432" t="s">
        <v>6097</v>
      </c>
      <c r="I5432">
        <v>72</v>
      </c>
      <c r="J5432">
        <v>50.7</v>
      </c>
      <c r="K5432" t="s">
        <v>6099</v>
      </c>
      <c r="L5432" t="s">
        <v>6100</v>
      </c>
      <c r="M5432" t="s">
        <v>6100</v>
      </c>
      <c r="O5432" t="s">
        <v>6101</v>
      </c>
      <c r="P5432" t="s">
        <v>6115</v>
      </c>
      <c r="Q5432">
        <v>9</v>
      </c>
      <c r="R5432">
        <v>2026</v>
      </c>
      <c r="S5432" t="s">
        <v>6099</v>
      </c>
      <c r="T5432">
        <v>1</v>
      </c>
      <c r="U5432" t="s">
        <v>6017</v>
      </c>
      <c r="V5432">
        <v>1</v>
      </c>
    </row>
    <row r="5433" spans="1:22" x14ac:dyDescent="0.3">
      <c r="A5433" t="s">
        <v>5448</v>
      </c>
      <c r="B5433" s="2">
        <v>46267.829861111109</v>
      </c>
      <c r="C5433" s="2">
        <v>46268.225694444445</v>
      </c>
      <c r="D5433" t="s">
        <v>6024</v>
      </c>
      <c r="E5433" t="s">
        <v>6030</v>
      </c>
      <c r="F5433" t="s">
        <v>6033</v>
      </c>
      <c r="G5433" t="s">
        <v>6039</v>
      </c>
      <c r="H5433" t="s">
        <v>6097</v>
      </c>
      <c r="I5433">
        <v>72</v>
      </c>
      <c r="J5433">
        <v>9.5</v>
      </c>
      <c r="K5433" t="s">
        <v>6099</v>
      </c>
      <c r="L5433" t="s">
        <v>6100</v>
      </c>
      <c r="M5433" t="s">
        <v>6100</v>
      </c>
      <c r="O5433" t="s">
        <v>6101</v>
      </c>
      <c r="P5433" t="s">
        <v>6115</v>
      </c>
      <c r="Q5433">
        <v>9</v>
      </c>
      <c r="R5433">
        <v>2026</v>
      </c>
      <c r="S5433" t="s">
        <v>6099</v>
      </c>
      <c r="T5433">
        <v>1</v>
      </c>
      <c r="U5433" t="s">
        <v>6021</v>
      </c>
      <c r="V5433">
        <v>1</v>
      </c>
    </row>
    <row r="5434" spans="1:22" x14ac:dyDescent="0.3">
      <c r="A5434" t="s">
        <v>5449</v>
      </c>
      <c r="B5434" s="2">
        <v>46267.857638888891</v>
      </c>
      <c r="C5434" s="2">
        <v>46269.932638888888</v>
      </c>
      <c r="D5434" t="s">
        <v>6022</v>
      </c>
      <c r="E5434" t="s">
        <v>6031</v>
      </c>
      <c r="F5434" t="s">
        <v>6034</v>
      </c>
      <c r="G5434" t="s">
        <v>6063</v>
      </c>
      <c r="H5434" t="s">
        <v>6097</v>
      </c>
      <c r="I5434">
        <v>24</v>
      </c>
      <c r="J5434">
        <v>49.8</v>
      </c>
      <c r="K5434" t="s">
        <v>6099</v>
      </c>
      <c r="L5434" t="s">
        <v>6100</v>
      </c>
      <c r="M5434" t="s">
        <v>6100</v>
      </c>
      <c r="N5434">
        <v>5</v>
      </c>
      <c r="O5434" t="s">
        <v>6101</v>
      </c>
      <c r="P5434" t="s">
        <v>6115</v>
      </c>
      <c r="Q5434">
        <v>9</v>
      </c>
      <c r="R5434">
        <v>2026</v>
      </c>
      <c r="S5434" t="s">
        <v>6100</v>
      </c>
      <c r="T5434">
        <v>0</v>
      </c>
      <c r="U5434" t="s">
        <v>6019</v>
      </c>
      <c r="V5434">
        <v>1</v>
      </c>
    </row>
    <row r="5435" spans="1:22" x14ac:dyDescent="0.3">
      <c r="A5435" t="s">
        <v>5450</v>
      </c>
      <c r="B5435" s="2">
        <v>46268.092361111114</v>
      </c>
      <c r="C5435" s="2">
        <v>46271.375694444447</v>
      </c>
      <c r="D5435" t="s">
        <v>6025</v>
      </c>
      <c r="E5435" t="s">
        <v>6031</v>
      </c>
      <c r="F5435" t="s">
        <v>6034</v>
      </c>
      <c r="G5435" t="s">
        <v>6051</v>
      </c>
      <c r="H5435" t="s">
        <v>6097</v>
      </c>
      <c r="I5435">
        <v>24</v>
      </c>
      <c r="J5435">
        <v>78.8</v>
      </c>
      <c r="K5435" t="s">
        <v>6099</v>
      </c>
      <c r="L5435" t="s">
        <v>6100</v>
      </c>
      <c r="M5435" t="s">
        <v>6100</v>
      </c>
      <c r="O5435" t="s">
        <v>6101</v>
      </c>
      <c r="P5435" t="s">
        <v>6115</v>
      </c>
      <c r="Q5435">
        <v>9</v>
      </c>
      <c r="R5435">
        <v>2026</v>
      </c>
      <c r="S5435" t="s">
        <v>6100</v>
      </c>
      <c r="T5435">
        <v>0</v>
      </c>
      <c r="U5435" t="s">
        <v>6020</v>
      </c>
      <c r="V5435">
        <v>1</v>
      </c>
    </row>
    <row r="5436" spans="1:22" x14ac:dyDescent="0.3">
      <c r="A5436" t="s">
        <v>5451</v>
      </c>
      <c r="B5436" s="2">
        <v>46268.228472222225</v>
      </c>
      <c r="C5436" s="2">
        <v>46268.495138888888</v>
      </c>
      <c r="D5436" t="s">
        <v>6025</v>
      </c>
      <c r="E5436" t="s">
        <v>6030</v>
      </c>
      <c r="F5436" t="s">
        <v>6035</v>
      </c>
      <c r="G5436" t="s">
        <v>6077</v>
      </c>
      <c r="H5436" t="s">
        <v>6098</v>
      </c>
      <c r="I5436">
        <v>4</v>
      </c>
      <c r="J5436">
        <v>6.4</v>
      </c>
      <c r="K5436" t="s">
        <v>6100</v>
      </c>
      <c r="L5436" t="s">
        <v>6099</v>
      </c>
      <c r="M5436" t="s">
        <v>6100</v>
      </c>
      <c r="N5436">
        <v>3</v>
      </c>
      <c r="O5436" t="s">
        <v>6101</v>
      </c>
      <c r="P5436" t="s">
        <v>6115</v>
      </c>
      <c r="Q5436">
        <v>9</v>
      </c>
      <c r="R5436">
        <v>2026</v>
      </c>
      <c r="S5436" t="s">
        <v>6100</v>
      </c>
      <c r="T5436">
        <v>0</v>
      </c>
      <c r="U5436" t="s">
        <v>6018</v>
      </c>
      <c r="V5436">
        <v>0</v>
      </c>
    </row>
    <row r="5437" spans="1:22" x14ac:dyDescent="0.3">
      <c r="A5437" t="s">
        <v>5452</v>
      </c>
      <c r="B5437" s="2">
        <v>46268.243750000001</v>
      </c>
      <c r="C5437" s="2">
        <v>46268.393750000003</v>
      </c>
      <c r="D5437" t="s">
        <v>6028</v>
      </c>
      <c r="E5437" t="s">
        <v>6030</v>
      </c>
      <c r="F5437" t="s">
        <v>6035</v>
      </c>
      <c r="G5437" t="s">
        <v>6060</v>
      </c>
      <c r="H5437" t="s">
        <v>6097</v>
      </c>
      <c r="I5437">
        <v>4</v>
      </c>
      <c r="J5437">
        <v>3.6</v>
      </c>
      <c r="K5437" t="s">
        <v>6099</v>
      </c>
      <c r="L5437" t="s">
        <v>6100</v>
      </c>
      <c r="M5437" t="s">
        <v>6100</v>
      </c>
      <c r="N5437">
        <v>5</v>
      </c>
      <c r="O5437" t="s">
        <v>6101</v>
      </c>
      <c r="P5437" t="s">
        <v>6115</v>
      </c>
      <c r="Q5437">
        <v>9</v>
      </c>
      <c r="R5437">
        <v>2026</v>
      </c>
      <c r="S5437" t="s">
        <v>6099</v>
      </c>
      <c r="T5437">
        <v>1</v>
      </c>
      <c r="U5437" t="s">
        <v>6017</v>
      </c>
      <c r="V5437">
        <v>1</v>
      </c>
    </row>
    <row r="5438" spans="1:22" x14ac:dyDescent="0.3">
      <c r="A5438" t="s">
        <v>5453</v>
      </c>
      <c r="B5438" s="2">
        <v>46268.260416666664</v>
      </c>
      <c r="C5438" s="2">
        <v>46268.368750000001</v>
      </c>
      <c r="D5438" t="s">
        <v>6028</v>
      </c>
      <c r="E5438" t="s">
        <v>6029</v>
      </c>
      <c r="F5438" t="s">
        <v>6033</v>
      </c>
      <c r="G5438" t="s">
        <v>6073</v>
      </c>
      <c r="H5438" t="s">
        <v>6096</v>
      </c>
      <c r="I5438">
        <v>72</v>
      </c>
      <c r="J5438">
        <v>2.6</v>
      </c>
      <c r="K5438" t="s">
        <v>6100</v>
      </c>
      <c r="L5438" t="s">
        <v>6100</v>
      </c>
      <c r="M5438" t="s">
        <v>6100</v>
      </c>
      <c r="N5438">
        <v>5</v>
      </c>
      <c r="O5438" t="s">
        <v>6101</v>
      </c>
      <c r="P5438" t="s">
        <v>6115</v>
      </c>
      <c r="Q5438">
        <v>9</v>
      </c>
      <c r="R5438">
        <v>2026</v>
      </c>
      <c r="S5438" t="s">
        <v>6099</v>
      </c>
      <c r="T5438">
        <v>1</v>
      </c>
      <c r="U5438" t="s">
        <v>6020</v>
      </c>
      <c r="V5438">
        <v>0</v>
      </c>
    </row>
    <row r="5439" spans="1:22" x14ac:dyDescent="0.3">
      <c r="A5439" t="s">
        <v>5454</v>
      </c>
      <c r="B5439" s="2">
        <v>46268.299305555556</v>
      </c>
      <c r="C5439" s="2">
        <v>46268.711805555555</v>
      </c>
      <c r="D5439" t="s">
        <v>6025</v>
      </c>
      <c r="E5439" t="s">
        <v>6030</v>
      </c>
      <c r="F5439" t="s">
        <v>6035</v>
      </c>
      <c r="G5439" t="s">
        <v>6076</v>
      </c>
      <c r="H5439" t="s">
        <v>6097</v>
      </c>
      <c r="I5439">
        <v>4</v>
      </c>
      <c r="J5439">
        <v>9.9</v>
      </c>
      <c r="K5439" t="s">
        <v>6099</v>
      </c>
      <c r="L5439" t="s">
        <v>6100</v>
      </c>
      <c r="M5439" t="s">
        <v>6100</v>
      </c>
      <c r="N5439">
        <v>4</v>
      </c>
      <c r="O5439" t="s">
        <v>6101</v>
      </c>
      <c r="P5439" t="s">
        <v>6115</v>
      </c>
      <c r="Q5439">
        <v>9</v>
      </c>
      <c r="R5439">
        <v>2026</v>
      </c>
      <c r="S5439" t="s">
        <v>6100</v>
      </c>
      <c r="T5439">
        <v>0</v>
      </c>
      <c r="U5439" t="s">
        <v>6018</v>
      </c>
      <c r="V5439">
        <v>1</v>
      </c>
    </row>
    <row r="5440" spans="1:22" x14ac:dyDescent="0.3">
      <c r="A5440" t="s">
        <v>5455</v>
      </c>
      <c r="B5440" s="2">
        <v>46268.315972222219</v>
      </c>
      <c r="C5440" s="2">
        <v>46270.90347222222</v>
      </c>
      <c r="D5440" t="s">
        <v>6025</v>
      </c>
      <c r="E5440" t="s">
        <v>6031</v>
      </c>
      <c r="F5440" t="s">
        <v>6033</v>
      </c>
      <c r="G5440" t="s">
        <v>6090</v>
      </c>
      <c r="H5440" t="s">
        <v>6097</v>
      </c>
      <c r="I5440">
        <v>72</v>
      </c>
      <c r="J5440">
        <v>62.1</v>
      </c>
      <c r="K5440" t="s">
        <v>6099</v>
      </c>
      <c r="L5440" t="s">
        <v>6100</v>
      </c>
      <c r="M5440" t="s">
        <v>6100</v>
      </c>
      <c r="N5440">
        <v>4</v>
      </c>
      <c r="O5440" t="s">
        <v>6101</v>
      </c>
      <c r="P5440" t="s">
        <v>6115</v>
      </c>
      <c r="Q5440">
        <v>9</v>
      </c>
      <c r="R5440">
        <v>2026</v>
      </c>
      <c r="S5440" t="s">
        <v>6099</v>
      </c>
      <c r="T5440">
        <v>1</v>
      </c>
      <c r="U5440" t="s">
        <v>6018</v>
      </c>
      <c r="V5440">
        <v>1</v>
      </c>
    </row>
    <row r="5441" spans="1:22" x14ac:dyDescent="0.3">
      <c r="A5441" t="s">
        <v>5456</v>
      </c>
      <c r="B5441" s="2">
        <v>46268.348611111112</v>
      </c>
      <c r="C5441" s="2">
        <v>46269.986111111109</v>
      </c>
      <c r="D5441" t="s">
        <v>6025</v>
      </c>
      <c r="E5441" t="s">
        <v>6031</v>
      </c>
      <c r="F5441" t="s">
        <v>6033</v>
      </c>
      <c r="G5441" t="s">
        <v>6044</v>
      </c>
      <c r="H5441" t="s">
        <v>6097</v>
      </c>
      <c r="I5441">
        <v>72</v>
      </c>
      <c r="J5441">
        <v>39.299999999999997</v>
      </c>
      <c r="K5441" t="s">
        <v>6099</v>
      </c>
      <c r="L5441" t="s">
        <v>6100</v>
      </c>
      <c r="M5441" t="s">
        <v>6100</v>
      </c>
      <c r="O5441" t="s">
        <v>6101</v>
      </c>
      <c r="P5441" t="s">
        <v>6115</v>
      </c>
      <c r="Q5441">
        <v>9</v>
      </c>
      <c r="R5441">
        <v>2026</v>
      </c>
      <c r="S5441" t="s">
        <v>6099</v>
      </c>
      <c r="T5441">
        <v>1</v>
      </c>
      <c r="U5441" t="s">
        <v>6021</v>
      </c>
      <c r="V5441">
        <v>1</v>
      </c>
    </row>
    <row r="5442" spans="1:22" x14ac:dyDescent="0.3">
      <c r="A5442" t="s">
        <v>5457</v>
      </c>
      <c r="B5442" s="2">
        <v>46268.363888888889</v>
      </c>
      <c r="C5442" s="2">
        <v>46268.651388888888</v>
      </c>
      <c r="D5442" t="s">
        <v>6024</v>
      </c>
      <c r="E5442" t="s">
        <v>6030</v>
      </c>
      <c r="F5442" t="s">
        <v>6035</v>
      </c>
      <c r="G5442" t="s">
        <v>6054</v>
      </c>
      <c r="H5442" t="s">
        <v>6096</v>
      </c>
      <c r="I5442">
        <v>4</v>
      </c>
      <c r="J5442">
        <v>6.9</v>
      </c>
      <c r="K5442" t="s">
        <v>6099</v>
      </c>
      <c r="L5442" t="s">
        <v>6100</v>
      </c>
      <c r="M5442" t="s">
        <v>6100</v>
      </c>
      <c r="N5442">
        <v>4</v>
      </c>
      <c r="O5442" t="s">
        <v>6101</v>
      </c>
      <c r="P5442" t="s">
        <v>6115</v>
      </c>
      <c r="Q5442">
        <v>9</v>
      </c>
      <c r="R5442">
        <v>2026</v>
      </c>
      <c r="S5442" t="s">
        <v>6100</v>
      </c>
      <c r="T5442">
        <v>0</v>
      </c>
      <c r="U5442" t="s">
        <v>6020</v>
      </c>
      <c r="V5442">
        <v>1</v>
      </c>
    </row>
    <row r="5443" spans="1:22" x14ac:dyDescent="0.3">
      <c r="A5443" t="s">
        <v>5458</v>
      </c>
      <c r="B5443" s="2">
        <v>46268.395833333336</v>
      </c>
      <c r="C5443" s="2">
        <v>46268.6</v>
      </c>
      <c r="D5443" t="s">
        <v>6023</v>
      </c>
      <c r="E5443" t="s">
        <v>6029</v>
      </c>
      <c r="F5443" t="s">
        <v>6033</v>
      </c>
      <c r="G5443" t="s">
        <v>6095</v>
      </c>
      <c r="H5443" t="s">
        <v>6098</v>
      </c>
      <c r="I5443">
        <v>72</v>
      </c>
      <c r="J5443">
        <v>4.9000000000000004</v>
      </c>
      <c r="K5443" t="s">
        <v>6099</v>
      </c>
      <c r="L5443" t="s">
        <v>6100</v>
      </c>
      <c r="M5443" t="s">
        <v>6100</v>
      </c>
      <c r="O5443" t="s">
        <v>6101</v>
      </c>
      <c r="P5443" t="s">
        <v>6115</v>
      </c>
      <c r="Q5443">
        <v>9</v>
      </c>
      <c r="R5443">
        <v>2026</v>
      </c>
      <c r="S5443" t="s">
        <v>6099</v>
      </c>
      <c r="T5443">
        <v>1</v>
      </c>
      <c r="U5443" t="s">
        <v>6017</v>
      </c>
      <c r="V5443">
        <v>1</v>
      </c>
    </row>
    <row r="5444" spans="1:22" x14ac:dyDescent="0.3">
      <c r="A5444" t="s">
        <v>5459</v>
      </c>
      <c r="B5444" s="2">
        <v>46268.4</v>
      </c>
      <c r="C5444" s="2">
        <v>46268.741666666669</v>
      </c>
      <c r="D5444" t="s">
        <v>6023</v>
      </c>
      <c r="E5444" t="s">
        <v>6029</v>
      </c>
      <c r="F5444" t="s">
        <v>6034</v>
      </c>
      <c r="G5444" t="s">
        <v>6094</v>
      </c>
      <c r="H5444" t="s">
        <v>6098</v>
      </c>
      <c r="I5444">
        <v>24</v>
      </c>
      <c r="J5444">
        <v>8.1999999999999993</v>
      </c>
      <c r="K5444" t="s">
        <v>6099</v>
      </c>
      <c r="L5444" t="s">
        <v>6100</v>
      </c>
      <c r="M5444" t="s">
        <v>6100</v>
      </c>
      <c r="N5444">
        <v>4</v>
      </c>
      <c r="O5444" t="s">
        <v>6101</v>
      </c>
      <c r="P5444" t="s">
        <v>6115</v>
      </c>
      <c r="Q5444">
        <v>9</v>
      </c>
      <c r="R5444">
        <v>2026</v>
      </c>
      <c r="S5444" t="s">
        <v>6099</v>
      </c>
      <c r="T5444">
        <v>1</v>
      </c>
      <c r="U5444" t="s">
        <v>6018</v>
      </c>
      <c r="V5444">
        <v>1</v>
      </c>
    </row>
    <row r="5445" spans="1:22" x14ac:dyDescent="0.3">
      <c r="A5445" t="s">
        <v>5460</v>
      </c>
      <c r="B5445" s="2">
        <v>46268.432638888888</v>
      </c>
      <c r="C5445" s="2">
        <v>46268.874305555553</v>
      </c>
      <c r="D5445" t="s">
        <v>6024</v>
      </c>
      <c r="E5445" t="s">
        <v>6030</v>
      </c>
      <c r="F5445" t="s">
        <v>6033</v>
      </c>
      <c r="G5445" t="s">
        <v>6066</v>
      </c>
      <c r="H5445" t="s">
        <v>6096</v>
      </c>
      <c r="I5445">
        <v>72</v>
      </c>
      <c r="J5445">
        <v>10.6</v>
      </c>
      <c r="K5445" t="s">
        <v>6099</v>
      </c>
      <c r="L5445" t="s">
        <v>6100</v>
      </c>
      <c r="M5445" t="s">
        <v>6100</v>
      </c>
      <c r="O5445" t="s">
        <v>6101</v>
      </c>
      <c r="P5445" t="s">
        <v>6115</v>
      </c>
      <c r="Q5445">
        <v>9</v>
      </c>
      <c r="R5445">
        <v>2026</v>
      </c>
      <c r="S5445" t="s">
        <v>6099</v>
      </c>
      <c r="T5445">
        <v>1</v>
      </c>
      <c r="U5445" t="s">
        <v>6021</v>
      </c>
      <c r="V5445">
        <v>1</v>
      </c>
    </row>
    <row r="5446" spans="1:22" x14ac:dyDescent="0.3">
      <c r="A5446" t="s">
        <v>5461</v>
      </c>
      <c r="B5446" s="2">
        <v>46268.438888888886</v>
      </c>
      <c r="C5446" s="2">
        <v>46268.634722222225</v>
      </c>
      <c r="D5446" t="s">
        <v>6028</v>
      </c>
      <c r="E5446" t="s">
        <v>6030</v>
      </c>
      <c r="F5446" t="s">
        <v>6033</v>
      </c>
      <c r="G5446" t="s">
        <v>6046</v>
      </c>
      <c r="H5446" t="s">
        <v>6098</v>
      </c>
      <c r="I5446">
        <v>72</v>
      </c>
      <c r="J5446">
        <v>4.7</v>
      </c>
      <c r="K5446" t="s">
        <v>6100</v>
      </c>
      <c r="L5446" t="s">
        <v>6099</v>
      </c>
      <c r="M5446" t="s">
        <v>6100</v>
      </c>
      <c r="O5446" t="s">
        <v>6101</v>
      </c>
      <c r="P5446" t="s">
        <v>6115</v>
      </c>
      <c r="Q5446">
        <v>9</v>
      </c>
      <c r="R5446">
        <v>2026</v>
      </c>
      <c r="S5446" t="s">
        <v>6099</v>
      </c>
      <c r="T5446">
        <v>1</v>
      </c>
      <c r="U5446" t="s">
        <v>6021</v>
      </c>
      <c r="V5446">
        <v>0</v>
      </c>
    </row>
    <row r="5447" spans="1:22" x14ac:dyDescent="0.3">
      <c r="A5447" t="s">
        <v>5462</v>
      </c>
      <c r="B5447" s="2">
        <v>46268.456250000003</v>
      </c>
      <c r="C5447" s="2">
        <v>46268.722916666666</v>
      </c>
      <c r="D5447" t="s">
        <v>6023</v>
      </c>
      <c r="E5447" t="s">
        <v>6029</v>
      </c>
      <c r="F5447" t="s">
        <v>6033</v>
      </c>
      <c r="G5447" t="s">
        <v>6036</v>
      </c>
      <c r="H5447" t="s">
        <v>6096</v>
      </c>
      <c r="I5447">
        <v>72</v>
      </c>
      <c r="J5447">
        <v>6.4</v>
      </c>
      <c r="K5447" t="s">
        <v>6100</v>
      </c>
      <c r="L5447" t="s">
        <v>6100</v>
      </c>
      <c r="M5447" t="s">
        <v>6100</v>
      </c>
      <c r="O5447" t="s">
        <v>6101</v>
      </c>
      <c r="P5447" t="s">
        <v>6115</v>
      </c>
      <c r="Q5447">
        <v>9</v>
      </c>
      <c r="R5447">
        <v>2026</v>
      </c>
      <c r="S5447" t="s">
        <v>6099</v>
      </c>
      <c r="T5447">
        <v>1</v>
      </c>
      <c r="U5447" t="s">
        <v>6021</v>
      </c>
      <c r="V5447">
        <v>0</v>
      </c>
    </row>
    <row r="5448" spans="1:22" x14ac:dyDescent="0.3">
      <c r="A5448" t="s">
        <v>5463</v>
      </c>
      <c r="B5448" s="2">
        <v>46268.534722222219</v>
      </c>
      <c r="C5448" s="2">
        <v>46269.284722222219</v>
      </c>
      <c r="D5448" t="s">
        <v>6024</v>
      </c>
      <c r="E5448" t="s">
        <v>6032</v>
      </c>
      <c r="F5448" t="s">
        <v>6033</v>
      </c>
      <c r="G5448" t="s">
        <v>6072</v>
      </c>
      <c r="H5448" t="s">
        <v>6097</v>
      </c>
      <c r="I5448">
        <v>72</v>
      </c>
      <c r="J5448">
        <v>18</v>
      </c>
      <c r="K5448" t="s">
        <v>6100</v>
      </c>
      <c r="L5448" t="s">
        <v>6099</v>
      </c>
      <c r="M5448" t="s">
        <v>6100</v>
      </c>
      <c r="N5448">
        <v>3</v>
      </c>
      <c r="O5448" t="s">
        <v>6101</v>
      </c>
      <c r="P5448" t="s">
        <v>6115</v>
      </c>
      <c r="Q5448">
        <v>9</v>
      </c>
      <c r="R5448">
        <v>2026</v>
      </c>
      <c r="S5448" t="s">
        <v>6099</v>
      </c>
      <c r="T5448">
        <v>1</v>
      </c>
      <c r="U5448" t="s">
        <v>6018</v>
      </c>
      <c r="V5448">
        <v>0</v>
      </c>
    </row>
    <row r="5449" spans="1:22" x14ac:dyDescent="0.3">
      <c r="A5449" t="s">
        <v>5464</v>
      </c>
      <c r="B5449" s="2">
        <v>46268.552777777775</v>
      </c>
      <c r="C5449" s="2">
        <v>46268.936111111114</v>
      </c>
      <c r="D5449" t="s">
        <v>6022</v>
      </c>
      <c r="E5449" t="s">
        <v>6029</v>
      </c>
      <c r="F5449" t="s">
        <v>6035</v>
      </c>
      <c r="G5449" t="s">
        <v>6058</v>
      </c>
      <c r="H5449" t="s">
        <v>6098</v>
      </c>
      <c r="I5449">
        <v>4</v>
      </c>
      <c r="J5449">
        <v>9.1999999999999993</v>
      </c>
      <c r="K5449" t="s">
        <v>6099</v>
      </c>
      <c r="L5449" t="s">
        <v>6100</v>
      </c>
      <c r="M5449" t="s">
        <v>6100</v>
      </c>
      <c r="N5449">
        <v>5</v>
      </c>
      <c r="O5449" t="s">
        <v>6101</v>
      </c>
      <c r="P5449" t="s">
        <v>6115</v>
      </c>
      <c r="Q5449">
        <v>9</v>
      </c>
      <c r="R5449">
        <v>2026</v>
      </c>
      <c r="S5449" t="s">
        <v>6100</v>
      </c>
      <c r="T5449">
        <v>0</v>
      </c>
      <c r="U5449" t="s">
        <v>6018</v>
      </c>
      <c r="V5449">
        <v>1</v>
      </c>
    </row>
    <row r="5450" spans="1:22" x14ac:dyDescent="0.3">
      <c r="A5450" t="s">
        <v>5465</v>
      </c>
      <c r="B5450" s="2">
        <v>46268.568749999999</v>
      </c>
      <c r="C5450" s="2">
        <v>46269.056250000001</v>
      </c>
      <c r="D5450" t="s">
        <v>6028</v>
      </c>
      <c r="E5450" t="s">
        <v>6031</v>
      </c>
      <c r="F5450" t="s">
        <v>6034</v>
      </c>
      <c r="G5450" t="s">
        <v>6040</v>
      </c>
      <c r="H5450" t="s">
        <v>6097</v>
      </c>
      <c r="I5450">
        <v>24</v>
      </c>
      <c r="J5450">
        <v>11.7</v>
      </c>
      <c r="K5450" t="s">
        <v>6100</v>
      </c>
      <c r="L5450" t="s">
        <v>6099</v>
      </c>
      <c r="M5450" t="s">
        <v>6100</v>
      </c>
      <c r="O5450" t="s">
        <v>6101</v>
      </c>
      <c r="P5450" t="s">
        <v>6115</v>
      </c>
      <c r="Q5450">
        <v>9</v>
      </c>
      <c r="R5450">
        <v>2026</v>
      </c>
      <c r="S5450" t="s">
        <v>6099</v>
      </c>
      <c r="T5450">
        <v>1</v>
      </c>
      <c r="U5450" t="s">
        <v>6018</v>
      </c>
      <c r="V5450">
        <v>0</v>
      </c>
    </row>
    <row r="5451" spans="1:22" x14ac:dyDescent="0.3">
      <c r="A5451" t="s">
        <v>5466</v>
      </c>
      <c r="B5451" s="2">
        <v>46268.59375</v>
      </c>
      <c r="C5451" s="2">
        <v>46268.956250000003</v>
      </c>
      <c r="D5451" t="s">
        <v>6023</v>
      </c>
      <c r="E5451" t="s">
        <v>6030</v>
      </c>
      <c r="F5451" t="s">
        <v>6033</v>
      </c>
      <c r="G5451" t="s">
        <v>6059</v>
      </c>
      <c r="H5451" t="s">
        <v>6097</v>
      </c>
      <c r="I5451">
        <v>72</v>
      </c>
      <c r="J5451">
        <v>8.6999999999999993</v>
      </c>
      <c r="K5451" t="s">
        <v>6099</v>
      </c>
      <c r="L5451" t="s">
        <v>6100</v>
      </c>
      <c r="M5451" t="s">
        <v>6100</v>
      </c>
      <c r="N5451">
        <v>5</v>
      </c>
      <c r="O5451" t="s">
        <v>6101</v>
      </c>
      <c r="P5451" t="s">
        <v>6115</v>
      </c>
      <c r="Q5451">
        <v>9</v>
      </c>
      <c r="R5451">
        <v>2026</v>
      </c>
      <c r="S5451" t="s">
        <v>6099</v>
      </c>
      <c r="T5451">
        <v>1</v>
      </c>
      <c r="U5451" t="s">
        <v>6021</v>
      </c>
      <c r="V5451">
        <v>1</v>
      </c>
    </row>
    <row r="5452" spans="1:22" x14ac:dyDescent="0.3">
      <c r="A5452" t="s">
        <v>5467</v>
      </c>
      <c r="B5452" s="2">
        <v>46268.619444444441</v>
      </c>
      <c r="C5452" s="2">
        <v>46268.786111111112</v>
      </c>
      <c r="D5452" t="s">
        <v>6022</v>
      </c>
      <c r="E5452" t="s">
        <v>6030</v>
      </c>
      <c r="F5452" t="s">
        <v>6034</v>
      </c>
      <c r="G5452" t="s">
        <v>6041</v>
      </c>
      <c r="H5452" t="s">
        <v>6096</v>
      </c>
      <c r="I5452">
        <v>24</v>
      </c>
      <c r="J5452">
        <v>4</v>
      </c>
      <c r="K5452" t="s">
        <v>6099</v>
      </c>
      <c r="L5452" t="s">
        <v>6100</v>
      </c>
      <c r="M5452" t="s">
        <v>6100</v>
      </c>
      <c r="N5452">
        <v>4</v>
      </c>
      <c r="O5452" t="s">
        <v>6101</v>
      </c>
      <c r="P5452" t="s">
        <v>6115</v>
      </c>
      <c r="Q5452">
        <v>9</v>
      </c>
      <c r="R5452">
        <v>2026</v>
      </c>
      <c r="S5452" t="s">
        <v>6099</v>
      </c>
      <c r="T5452">
        <v>1</v>
      </c>
      <c r="U5452" t="s">
        <v>6019</v>
      </c>
      <c r="V5452">
        <v>1</v>
      </c>
    </row>
    <row r="5453" spans="1:22" x14ac:dyDescent="0.3">
      <c r="A5453" t="s">
        <v>5468</v>
      </c>
      <c r="B5453" s="2">
        <v>46268.629166666666</v>
      </c>
      <c r="C5453" s="2">
        <v>46270.620833333334</v>
      </c>
      <c r="D5453" t="s">
        <v>6026</v>
      </c>
      <c r="E5453" t="s">
        <v>6029</v>
      </c>
      <c r="F5453" t="s">
        <v>6034</v>
      </c>
      <c r="G5453" t="s">
        <v>6041</v>
      </c>
      <c r="H5453" t="s">
        <v>6096</v>
      </c>
      <c r="I5453">
        <v>24</v>
      </c>
      <c r="J5453">
        <v>47.8</v>
      </c>
      <c r="K5453" t="s">
        <v>6099</v>
      </c>
      <c r="L5453" t="s">
        <v>6100</v>
      </c>
      <c r="M5453" t="s">
        <v>6100</v>
      </c>
      <c r="N5453">
        <v>5</v>
      </c>
      <c r="O5453" t="s">
        <v>6101</v>
      </c>
      <c r="P5453" t="s">
        <v>6115</v>
      </c>
      <c r="Q5453">
        <v>9</v>
      </c>
      <c r="R5453">
        <v>2026</v>
      </c>
      <c r="S5453" t="s">
        <v>6100</v>
      </c>
      <c r="T5453">
        <v>0</v>
      </c>
      <c r="U5453" t="s">
        <v>6018</v>
      </c>
      <c r="V5453">
        <v>1</v>
      </c>
    </row>
    <row r="5454" spans="1:22" x14ac:dyDescent="0.3">
      <c r="A5454" t="s">
        <v>5469</v>
      </c>
      <c r="B5454" s="2">
        <v>46268.650694444441</v>
      </c>
      <c r="C5454" s="2">
        <v>46268.879861111112</v>
      </c>
      <c r="D5454" t="s">
        <v>6023</v>
      </c>
      <c r="E5454" t="s">
        <v>6030</v>
      </c>
      <c r="F5454" t="s">
        <v>6033</v>
      </c>
      <c r="G5454" t="s">
        <v>6080</v>
      </c>
      <c r="H5454" t="s">
        <v>6096</v>
      </c>
      <c r="I5454">
        <v>72</v>
      </c>
      <c r="J5454">
        <v>5.5</v>
      </c>
      <c r="K5454" t="s">
        <v>6099</v>
      </c>
      <c r="L5454" t="s">
        <v>6100</v>
      </c>
      <c r="M5454" t="s">
        <v>6100</v>
      </c>
      <c r="N5454">
        <v>5</v>
      </c>
      <c r="O5454" t="s">
        <v>6101</v>
      </c>
      <c r="P5454" t="s">
        <v>6115</v>
      </c>
      <c r="Q5454">
        <v>9</v>
      </c>
      <c r="R5454">
        <v>2026</v>
      </c>
      <c r="S5454" t="s">
        <v>6099</v>
      </c>
      <c r="T5454">
        <v>1</v>
      </c>
      <c r="U5454" t="s">
        <v>6017</v>
      </c>
      <c r="V5454">
        <v>1</v>
      </c>
    </row>
    <row r="5455" spans="1:22" x14ac:dyDescent="0.3">
      <c r="A5455" t="s">
        <v>5470</v>
      </c>
      <c r="B5455" s="2">
        <v>46268.652083333334</v>
      </c>
      <c r="C5455" s="2">
        <v>46271.78125</v>
      </c>
      <c r="D5455" t="s">
        <v>6026</v>
      </c>
      <c r="E5455" t="s">
        <v>6031</v>
      </c>
      <c r="F5455" t="s">
        <v>6034</v>
      </c>
      <c r="G5455" t="s">
        <v>6055</v>
      </c>
      <c r="H5455" t="s">
        <v>6096</v>
      </c>
      <c r="I5455">
        <v>24</v>
      </c>
      <c r="J5455">
        <v>75.099999999999994</v>
      </c>
      <c r="K5455" t="s">
        <v>6100</v>
      </c>
      <c r="L5455" t="s">
        <v>6100</v>
      </c>
      <c r="M5455" t="s">
        <v>6100</v>
      </c>
      <c r="N5455">
        <v>5</v>
      </c>
      <c r="O5455" t="s">
        <v>6101</v>
      </c>
      <c r="P5455" t="s">
        <v>6115</v>
      </c>
      <c r="Q5455">
        <v>9</v>
      </c>
      <c r="R5455">
        <v>2026</v>
      </c>
      <c r="S5455" t="s">
        <v>6100</v>
      </c>
      <c r="T5455">
        <v>0</v>
      </c>
      <c r="U5455" t="s">
        <v>6018</v>
      </c>
      <c r="V5455">
        <v>0</v>
      </c>
    </row>
    <row r="5456" spans="1:22" x14ac:dyDescent="0.3">
      <c r="A5456" t="s">
        <v>5471</v>
      </c>
      <c r="B5456" s="2">
        <v>46268.734027777777</v>
      </c>
      <c r="C5456" s="2">
        <v>46268.992361111108</v>
      </c>
      <c r="D5456" t="s">
        <v>6025</v>
      </c>
      <c r="E5456" t="s">
        <v>6030</v>
      </c>
      <c r="F5456" t="s">
        <v>6035</v>
      </c>
      <c r="G5456" t="s">
        <v>6058</v>
      </c>
      <c r="H5456" t="s">
        <v>6098</v>
      </c>
      <c r="I5456">
        <v>4</v>
      </c>
      <c r="J5456">
        <v>6.2</v>
      </c>
      <c r="K5456" t="s">
        <v>6099</v>
      </c>
      <c r="L5456" t="s">
        <v>6100</v>
      </c>
      <c r="M5456" t="s">
        <v>6100</v>
      </c>
      <c r="O5456" t="s">
        <v>6101</v>
      </c>
      <c r="P5456" t="s">
        <v>6115</v>
      </c>
      <c r="Q5456">
        <v>9</v>
      </c>
      <c r="R5456">
        <v>2026</v>
      </c>
      <c r="S5456" t="s">
        <v>6100</v>
      </c>
      <c r="T5456">
        <v>0</v>
      </c>
      <c r="U5456" t="s">
        <v>6020</v>
      </c>
      <c r="V5456">
        <v>1</v>
      </c>
    </row>
    <row r="5457" spans="1:22" x14ac:dyDescent="0.3">
      <c r="A5457" t="s">
        <v>5472</v>
      </c>
      <c r="B5457" s="2">
        <v>46268.770833333336</v>
      </c>
      <c r="C5457" s="2">
        <v>46271.445833333331</v>
      </c>
      <c r="D5457" t="s">
        <v>6025</v>
      </c>
      <c r="E5457" t="s">
        <v>6029</v>
      </c>
      <c r="F5457" t="s">
        <v>6034</v>
      </c>
      <c r="G5457" t="s">
        <v>6062</v>
      </c>
      <c r="H5457" t="s">
        <v>6096</v>
      </c>
      <c r="I5457">
        <v>24</v>
      </c>
      <c r="J5457">
        <v>64.2</v>
      </c>
      <c r="K5457" t="s">
        <v>6100</v>
      </c>
      <c r="L5457" t="s">
        <v>6100</v>
      </c>
      <c r="M5457" t="s">
        <v>6100</v>
      </c>
      <c r="N5457">
        <v>2</v>
      </c>
      <c r="O5457" t="s">
        <v>6101</v>
      </c>
      <c r="P5457" t="s">
        <v>6115</v>
      </c>
      <c r="Q5457">
        <v>9</v>
      </c>
      <c r="R5457">
        <v>2026</v>
      </c>
      <c r="S5457" t="s">
        <v>6100</v>
      </c>
      <c r="T5457">
        <v>0</v>
      </c>
      <c r="U5457" t="s">
        <v>6019</v>
      </c>
      <c r="V5457">
        <v>0</v>
      </c>
    </row>
    <row r="5458" spans="1:22" x14ac:dyDescent="0.3">
      <c r="A5458" t="s">
        <v>5473</v>
      </c>
      <c r="B5458" s="2">
        <v>46268.794444444444</v>
      </c>
      <c r="C5458" s="2">
        <v>46269.473611111112</v>
      </c>
      <c r="D5458" t="s">
        <v>6022</v>
      </c>
      <c r="E5458" t="s">
        <v>6029</v>
      </c>
      <c r="F5458" t="s">
        <v>6034</v>
      </c>
      <c r="G5458" t="s">
        <v>6058</v>
      </c>
      <c r="H5458" t="s">
        <v>6098</v>
      </c>
      <c r="I5458">
        <v>24</v>
      </c>
      <c r="J5458">
        <v>16.3</v>
      </c>
      <c r="K5458" t="s">
        <v>6099</v>
      </c>
      <c r="L5458" t="s">
        <v>6100</v>
      </c>
      <c r="M5458" t="s">
        <v>6100</v>
      </c>
      <c r="N5458">
        <v>4</v>
      </c>
      <c r="O5458" t="s">
        <v>6101</v>
      </c>
      <c r="P5458" t="s">
        <v>6115</v>
      </c>
      <c r="Q5458">
        <v>9</v>
      </c>
      <c r="R5458">
        <v>2026</v>
      </c>
      <c r="S5458" t="s">
        <v>6099</v>
      </c>
      <c r="T5458">
        <v>1</v>
      </c>
      <c r="U5458" t="s">
        <v>6018</v>
      </c>
      <c r="V5458">
        <v>1</v>
      </c>
    </row>
    <row r="5459" spans="1:22" x14ac:dyDescent="0.3">
      <c r="A5459" t="s">
        <v>5474</v>
      </c>
      <c r="B5459" s="2">
        <v>46269.292361111111</v>
      </c>
      <c r="C5459" s="2">
        <v>46281.796527777777</v>
      </c>
      <c r="D5459" t="s">
        <v>6026</v>
      </c>
      <c r="E5459" t="s">
        <v>6031</v>
      </c>
      <c r="F5459" t="s">
        <v>6034</v>
      </c>
      <c r="G5459" t="s">
        <v>6057</v>
      </c>
      <c r="H5459" t="s">
        <v>6097</v>
      </c>
      <c r="I5459">
        <v>24</v>
      </c>
      <c r="J5459">
        <v>300.10000000000002</v>
      </c>
      <c r="K5459" t="s">
        <v>6100</v>
      </c>
      <c r="L5459" t="s">
        <v>6099</v>
      </c>
      <c r="M5459" t="s">
        <v>6100</v>
      </c>
      <c r="N5459">
        <v>3</v>
      </c>
      <c r="O5459" t="s">
        <v>6101</v>
      </c>
      <c r="P5459" t="s">
        <v>6115</v>
      </c>
      <c r="Q5459">
        <v>9</v>
      </c>
      <c r="R5459">
        <v>2026</v>
      </c>
      <c r="S5459" t="s">
        <v>6100</v>
      </c>
      <c r="T5459">
        <v>0</v>
      </c>
      <c r="U5459" t="s">
        <v>6020</v>
      </c>
      <c r="V5459">
        <v>0</v>
      </c>
    </row>
    <row r="5460" spans="1:22" x14ac:dyDescent="0.3">
      <c r="A5460" t="s">
        <v>5475</v>
      </c>
      <c r="B5460" s="2">
        <v>46269.344444444447</v>
      </c>
      <c r="C5460" s="2">
        <v>46269.727777777778</v>
      </c>
      <c r="D5460" t="s">
        <v>6024</v>
      </c>
      <c r="E5460" t="s">
        <v>6030</v>
      </c>
      <c r="F5460" t="s">
        <v>6033</v>
      </c>
      <c r="G5460" t="s">
        <v>6043</v>
      </c>
      <c r="H5460" t="s">
        <v>6097</v>
      </c>
      <c r="I5460">
        <v>72</v>
      </c>
      <c r="J5460">
        <v>9.1999999999999993</v>
      </c>
      <c r="K5460" t="s">
        <v>6099</v>
      </c>
      <c r="L5460" t="s">
        <v>6100</v>
      </c>
      <c r="M5460" t="s">
        <v>6100</v>
      </c>
      <c r="N5460">
        <v>4</v>
      </c>
      <c r="O5460" t="s">
        <v>6101</v>
      </c>
      <c r="P5460" t="s">
        <v>6115</v>
      </c>
      <c r="Q5460">
        <v>9</v>
      </c>
      <c r="R5460">
        <v>2026</v>
      </c>
      <c r="S5460" t="s">
        <v>6099</v>
      </c>
      <c r="T5460">
        <v>1</v>
      </c>
      <c r="U5460" t="s">
        <v>6020</v>
      </c>
      <c r="V5460">
        <v>1</v>
      </c>
    </row>
    <row r="5461" spans="1:22" x14ac:dyDescent="0.3">
      <c r="A5461" t="s">
        <v>5476</v>
      </c>
      <c r="B5461" s="2">
        <v>46269.353472222225</v>
      </c>
      <c r="C5461" s="2">
        <v>46269.474305555559</v>
      </c>
      <c r="D5461" t="s">
        <v>6023</v>
      </c>
      <c r="E5461" t="s">
        <v>6030</v>
      </c>
      <c r="F5461" t="s">
        <v>6033</v>
      </c>
      <c r="G5461" t="s">
        <v>6059</v>
      </c>
      <c r="H5461" t="s">
        <v>6097</v>
      </c>
      <c r="I5461">
        <v>72</v>
      </c>
      <c r="J5461">
        <v>2.9</v>
      </c>
      <c r="K5461" t="s">
        <v>6100</v>
      </c>
      <c r="L5461" t="s">
        <v>6099</v>
      </c>
      <c r="M5461" t="s">
        <v>6100</v>
      </c>
      <c r="N5461">
        <v>4</v>
      </c>
      <c r="O5461" t="s">
        <v>6101</v>
      </c>
      <c r="P5461" t="s">
        <v>6115</v>
      </c>
      <c r="Q5461">
        <v>9</v>
      </c>
      <c r="R5461">
        <v>2026</v>
      </c>
      <c r="S5461" t="s">
        <v>6099</v>
      </c>
      <c r="T5461">
        <v>1</v>
      </c>
      <c r="U5461" t="s">
        <v>6021</v>
      </c>
      <c r="V5461">
        <v>0</v>
      </c>
    </row>
    <row r="5462" spans="1:22" x14ac:dyDescent="0.3">
      <c r="A5462" t="s">
        <v>5477</v>
      </c>
      <c r="B5462" s="2">
        <v>46269.381249999999</v>
      </c>
      <c r="C5462" s="2">
        <v>46270.322916666664</v>
      </c>
      <c r="D5462" t="s">
        <v>6027</v>
      </c>
      <c r="E5462" t="s">
        <v>6031</v>
      </c>
      <c r="F5462" t="s">
        <v>6034</v>
      </c>
      <c r="G5462" t="s">
        <v>6080</v>
      </c>
      <c r="H5462" t="s">
        <v>6096</v>
      </c>
      <c r="I5462">
        <v>24</v>
      </c>
      <c r="J5462">
        <v>22.6</v>
      </c>
      <c r="K5462" t="s">
        <v>6099</v>
      </c>
      <c r="L5462" t="s">
        <v>6100</v>
      </c>
      <c r="M5462" t="s">
        <v>6100</v>
      </c>
      <c r="N5462">
        <v>5</v>
      </c>
      <c r="O5462" t="s">
        <v>6101</v>
      </c>
      <c r="P5462" t="s">
        <v>6115</v>
      </c>
      <c r="Q5462">
        <v>9</v>
      </c>
      <c r="R5462">
        <v>2026</v>
      </c>
      <c r="S5462" t="s">
        <v>6099</v>
      </c>
      <c r="T5462">
        <v>1</v>
      </c>
      <c r="U5462" t="s">
        <v>6021</v>
      </c>
      <c r="V5462">
        <v>1</v>
      </c>
    </row>
    <row r="5463" spans="1:22" x14ac:dyDescent="0.3">
      <c r="A5463" t="s">
        <v>5478</v>
      </c>
      <c r="B5463" s="2">
        <v>46269.402777777781</v>
      </c>
      <c r="C5463" s="2">
        <v>46269.836111111108</v>
      </c>
      <c r="D5463" t="s">
        <v>6023</v>
      </c>
      <c r="E5463" t="s">
        <v>6032</v>
      </c>
      <c r="F5463" t="s">
        <v>6033</v>
      </c>
      <c r="G5463" t="s">
        <v>6065</v>
      </c>
      <c r="H5463" t="s">
        <v>6097</v>
      </c>
      <c r="I5463">
        <v>72</v>
      </c>
      <c r="J5463">
        <v>10.4</v>
      </c>
      <c r="K5463" t="s">
        <v>6099</v>
      </c>
      <c r="L5463" t="s">
        <v>6100</v>
      </c>
      <c r="M5463" t="s">
        <v>6099</v>
      </c>
      <c r="N5463">
        <v>4</v>
      </c>
      <c r="O5463" t="s">
        <v>6101</v>
      </c>
      <c r="P5463" t="s">
        <v>6115</v>
      </c>
      <c r="Q5463">
        <v>9</v>
      </c>
      <c r="R5463">
        <v>2026</v>
      </c>
      <c r="S5463" t="s">
        <v>6099</v>
      </c>
      <c r="T5463">
        <v>1</v>
      </c>
      <c r="U5463" t="s">
        <v>6018</v>
      </c>
      <c r="V5463">
        <v>1</v>
      </c>
    </row>
    <row r="5464" spans="1:22" x14ac:dyDescent="0.3">
      <c r="A5464" t="s">
        <v>5479</v>
      </c>
      <c r="B5464" s="2">
        <v>46269.447222222225</v>
      </c>
      <c r="C5464" s="2">
        <v>46269.68472222222</v>
      </c>
      <c r="D5464" t="s">
        <v>6023</v>
      </c>
      <c r="E5464" t="s">
        <v>6030</v>
      </c>
      <c r="F5464" t="s">
        <v>6033</v>
      </c>
      <c r="G5464" t="s">
        <v>6046</v>
      </c>
      <c r="H5464" t="s">
        <v>6098</v>
      </c>
      <c r="I5464">
        <v>72</v>
      </c>
      <c r="J5464">
        <v>5.7</v>
      </c>
      <c r="K5464" t="s">
        <v>6100</v>
      </c>
      <c r="L5464" t="s">
        <v>6100</v>
      </c>
      <c r="M5464" t="s">
        <v>6100</v>
      </c>
      <c r="N5464">
        <v>3</v>
      </c>
      <c r="O5464" t="s">
        <v>6101</v>
      </c>
      <c r="P5464" t="s">
        <v>6115</v>
      </c>
      <c r="Q5464">
        <v>9</v>
      </c>
      <c r="R5464">
        <v>2026</v>
      </c>
      <c r="S5464" t="s">
        <v>6099</v>
      </c>
      <c r="T5464">
        <v>1</v>
      </c>
      <c r="U5464" t="s">
        <v>6020</v>
      </c>
      <c r="V5464">
        <v>0</v>
      </c>
    </row>
    <row r="5465" spans="1:22" x14ac:dyDescent="0.3">
      <c r="A5465" t="s">
        <v>5480</v>
      </c>
      <c r="B5465" s="2">
        <v>46269.462500000001</v>
      </c>
      <c r="C5465" s="2">
        <v>46271.07916666667</v>
      </c>
      <c r="D5465" t="s">
        <v>6026</v>
      </c>
      <c r="E5465" t="s">
        <v>6031</v>
      </c>
      <c r="F5465" t="s">
        <v>6033</v>
      </c>
      <c r="G5465" t="s">
        <v>6069</v>
      </c>
      <c r="H5465" t="s">
        <v>6098</v>
      </c>
      <c r="I5465">
        <v>72</v>
      </c>
      <c r="J5465">
        <v>38.799999999999997</v>
      </c>
      <c r="K5465" t="s">
        <v>6100</v>
      </c>
      <c r="L5465" t="s">
        <v>6100</v>
      </c>
      <c r="M5465" t="s">
        <v>6100</v>
      </c>
      <c r="N5465">
        <v>4</v>
      </c>
      <c r="O5465" t="s">
        <v>6101</v>
      </c>
      <c r="P5465" t="s">
        <v>6115</v>
      </c>
      <c r="Q5465">
        <v>9</v>
      </c>
      <c r="R5465">
        <v>2026</v>
      </c>
      <c r="S5465" t="s">
        <v>6099</v>
      </c>
      <c r="T5465">
        <v>1</v>
      </c>
      <c r="U5465" t="s">
        <v>6020</v>
      </c>
      <c r="V5465">
        <v>0</v>
      </c>
    </row>
    <row r="5466" spans="1:22" x14ac:dyDescent="0.3">
      <c r="A5466" t="s">
        <v>5481</v>
      </c>
      <c r="B5466" s="2">
        <v>46269.607638888891</v>
      </c>
      <c r="C5466" s="2">
        <v>46270.036805555559</v>
      </c>
      <c r="D5466" t="s">
        <v>6024</v>
      </c>
      <c r="E5466" t="s">
        <v>6029</v>
      </c>
      <c r="F5466" t="s">
        <v>6034</v>
      </c>
      <c r="G5466" t="s">
        <v>6040</v>
      </c>
      <c r="H5466" t="s">
        <v>6097</v>
      </c>
      <c r="I5466">
        <v>24</v>
      </c>
      <c r="J5466">
        <v>10.3</v>
      </c>
      <c r="K5466" t="s">
        <v>6099</v>
      </c>
      <c r="L5466" t="s">
        <v>6100</v>
      </c>
      <c r="M5466" t="s">
        <v>6100</v>
      </c>
      <c r="O5466" t="s">
        <v>6101</v>
      </c>
      <c r="P5466" t="s">
        <v>6115</v>
      </c>
      <c r="Q5466">
        <v>9</v>
      </c>
      <c r="R5466">
        <v>2026</v>
      </c>
      <c r="S5466" t="s">
        <v>6099</v>
      </c>
      <c r="T5466">
        <v>1</v>
      </c>
      <c r="U5466" t="s">
        <v>6018</v>
      </c>
      <c r="V5466">
        <v>1</v>
      </c>
    </row>
    <row r="5467" spans="1:22" x14ac:dyDescent="0.3">
      <c r="A5467" t="s">
        <v>5482</v>
      </c>
      <c r="B5467" s="2">
        <v>46269.61041666667</v>
      </c>
      <c r="C5467" s="2">
        <v>46271.560416666667</v>
      </c>
      <c r="D5467" t="s">
        <v>6025</v>
      </c>
      <c r="E5467" t="s">
        <v>6032</v>
      </c>
      <c r="F5467" t="s">
        <v>6033</v>
      </c>
      <c r="G5467" t="s">
        <v>6039</v>
      </c>
      <c r="H5467" t="s">
        <v>6097</v>
      </c>
      <c r="I5467">
        <v>72</v>
      </c>
      <c r="J5467">
        <v>46.8</v>
      </c>
      <c r="K5467" t="s">
        <v>6099</v>
      </c>
      <c r="L5467" t="s">
        <v>6100</v>
      </c>
      <c r="M5467" t="s">
        <v>6100</v>
      </c>
      <c r="N5467">
        <v>4</v>
      </c>
      <c r="O5467" t="s">
        <v>6101</v>
      </c>
      <c r="P5467" t="s">
        <v>6115</v>
      </c>
      <c r="Q5467">
        <v>9</v>
      </c>
      <c r="R5467">
        <v>2026</v>
      </c>
      <c r="S5467" t="s">
        <v>6099</v>
      </c>
      <c r="T5467">
        <v>1</v>
      </c>
      <c r="U5467" t="s">
        <v>6018</v>
      </c>
      <c r="V5467">
        <v>1</v>
      </c>
    </row>
    <row r="5468" spans="1:22" x14ac:dyDescent="0.3">
      <c r="A5468" t="s">
        <v>5483</v>
      </c>
      <c r="B5468" s="2">
        <v>46269.618055555555</v>
      </c>
      <c r="C5468" s="2">
        <v>46269.959722222222</v>
      </c>
      <c r="D5468" t="s">
        <v>6024</v>
      </c>
      <c r="E5468" t="s">
        <v>6030</v>
      </c>
      <c r="F5468" t="s">
        <v>6033</v>
      </c>
      <c r="G5468" t="s">
        <v>6070</v>
      </c>
      <c r="H5468" t="s">
        <v>6097</v>
      </c>
      <c r="I5468">
        <v>72</v>
      </c>
      <c r="J5468">
        <v>8.1999999999999993</v>
      </c>
      <c r="K5468" t="s">
        <v>6100</v>
      </c>
      <c r="L5468" t="s">
        <v>6100</v>
      </c>
      <c r="M5468" t="s">
        <v>6100</v>
      </c>
      <c r="N5468">
        <v>5</v>
      </c>
      <c r="O5468" t="s">
        <v>6101</v>
      </c>
      <c r="P5468" t="s">
        <v>6115</v>
      </c>
      <c r="Q5468">
        <v>9</v>
      </c>
      <c r="R5468">
        <v>2026</v>
      </c>
      <c r="S5468" t="s">
        <v>6099</v>
      </c>
      <c r="T5468">
        <v>1</v>
      </c>
      <c r="U5468" t="s">
        <v>6019</v>
      </c>
      <c r="V5468">
        <v>0</v>
      </c>
    </row>
    <row r="5469" spans="1:22" x14ac:dyDescent="0.3">
      <c r="A5469" t="s">
        <v>5484</v>
      </c>
      <c r="B5469" s="2">
        <v>46269.621527777781</v>
      </c>
      <c r="C5469" s="2">
        <v>46269.950694444444</v>
      </c>
      <c r="D5469" t="s">
        <v>6027</v>
      </c>
      <c r="E5469" t="s">
        <v>6030</v>
      </c>
      <c r="F5469" t="s">
        <v>6034</v>
      </c>
      <c r="G5469" t="s">
        <v>6055</v>
      </c>
      <c r="H5469" t="s">
        <v>6096</v>
      </c>
      <c r="I5469">
        <v>24</v>
      </c>
      <c r="J5469">
        <v>7.9</v>
      </c>
      <c r="K5469" t="s">
        <v>6099</v>
      </c>
      <c r="L5469" t="s">
        <v>6100</v>
      </c>
      <c r="M5469" t="s">
        <v>6100</v>
      </c>
      <c r="N5469">
        <v>5</v>
      </c>
      <c r="O5469" t="s">
        <v>6101</v>
      </c>
      <c r="P5469" t="s">
        <v>6115</v>
      </c>
      <c r="Q5469">
        <v>9</v>
      </c>
      <c r="R5469">
        <v>2026</v>
      </c>
      <c r="S5469" t="s">
        <v>6099</v>
      </c>
      <c r="T5469">
        <v>1</v>
      </c>
      <c r="U5469" t="s">
        <v>6018</v>
      </c>
      <c r="V5469">
        <v>1</v>
      </c>
    </row>
    <row r="5470" spans="1:22" x14ac:dyDescent="0.3">
      <c r="A5470" t="s">
        <v>5485</v>
      </c>
      <c r="B5470" s="2">
        <v>46269.62777777778</v>
      </c>
      <c r="C5470" s="2">
        <v>46270.790277777778</v>
      </c>
      <c r="D5470" t="s">
        <v>6026</v>
      </c>
      <c r="E5470" t="s">
        <v>6030</v>
      </c>
      <c r="F5470" t="s">
        <v>6034</v>
      </c>
      <c r="G5470" t="s">
        <v>6055</v>
      </c>
      <c r="H5470" t="s">
        <v>6096</v>
      </c>
      <c r="I5470">
        <v>24</v>
      </c>
      <c r="J5470">
        <v>27.9</v>
      </c>
      <c r="K5470" t="s">
        <v>6099</v>
      </c>
      <c r="L5470" t="s">
        <v>6100</v>
      </c>
      <c r="M5470" t="s">
        <v>6100</v>
      </c>
      <c r="O5470" t="s">
        <v>6101</v>
      </c>
      <c r="P5470" t="s">
        <v>6115</v>
      </c>
      <c r="Q5470">
        <v>9</v>
      </c>
      <c r="R5470">
        <v>2026</v>
      </c>
      <c r="S5470" t="s">
        <v>6100</v>
      </c>
      <c r="T5470">
        <v>0</v>
      </c>
      <c r="U5470" t="s">
        <v>6018</v>
      </c>
      <c r="V5470">
        <v>1</v>
      </c>
    </row>
    <row r="5471" spans="1:22" x14ac:dyDescent="0.3">
      <c r="A5471" t="s">
        <v>5486</v>
      </c>
      <c r="B5471" s="2">
        <v>46269.62777777778</v>
      </c>
      <c r="C5471" s="2">
        <v>46270.340277777781</v>
      </c>
      <c r="D5471" t="s">
        <v>6022</v>
      </c>
      <c r="E5471" t="s">
        <v>6030</v>
      </c>
      <c r="F5471" t="s">
        <v>6033</v>
      </c>
      <c r="G5471" t="s">
        <v>6051</v>
      </c>
      <c r="H5471" t="s">
        <v>6097</v>
      </c>
      <c r="I5471">
        <v>72</v>
      </c>
      <c r="J5471">
        <v>17.100000000000001</v>
      </c>
      <c r="K5471" t="s">
        <v>6099</v>
      </c>
      <c r="L5471" t="s">
        <v>6100</v>
      </c>
      <c r="M5471" t="s">
        <v>6100</v>
      </c>
      <c r="N5471">
        <v>5</v>
      </c>
      <c r="O5471" t="s">
        <v>6101</v>
      </c>
      <c r="P5471" t="s">
        <v>6115</v>
      </c>
      <c r="Q5471">
        <v>9</v>
      </c>
      <c r="R5471">
        <v>2026</v>
      </c>
      <c r="S5471" t="s">
        <v>6099</v>
      </c>
      <c r="T5471">
        <v>1</v>
      </c>
      <c r="U5471" t="s">
        <v>6017</v>
      </c>
      <c r="V5471">
        <v>1</v>
      </c>
    </row>
    <row r="5472" spans="1:22" x14ac:dyDescent="0.3">
      <c r="A5472" t="s">
        <v>5487</v>
      </c>
      <c r="B5472" s="2">
        <v>46269.649305555555</v>
      </c>
      <c r="C5472" s="2">
        <v>46269.828472222223</v>
      </c>
      <c r="D5472" t="s">
        <v>6028</v>
      </c>
      <c r="E5472" t="s">
        <v>6029</v>
      </c>
      <c r="F5472" t="s">
        <v>6035</v>
      </c>
      <c r="G5472" t="s">
        <v>6076</v>
      </c>
      <c r="H5472" t="s">
        <v>6097</v>
      </c>
      <c r="I5472">
        <v>4</v>
      </c>
      <c r="J5472">
        <v>4.3</v>
      </c>
      <c r="K5472" t="s">
        <v>6099</v>
      </c>
      <c r="L5472" t="s">
        <v>6100</v>
      </c>
      <c r="M5472" t="s">
        <v>6099</v>
      </c>
      <c r="O5472" t="s">
        <v>6101</v>
      </c>
      <c r="P5472" t="s">
        <v>6115</v>
      </c>
      <c r="Q5472">
        <v>9</v>
      </c>
      <c r="R5472">
        <v>2026</v>
      </c>
      <c r="S5472" t="s">
        <v>6100</v>
      </c>
      <c r="T5472">
        <v>0</v>
      </c>
      <c r="U5472" t="s">
        <v>6017</v>
      </c>
      <c r="V5472">
        <v>1</v>
      </c>
    </row>
    <row r="5473" spans="1:22" x14ac:dyDescent="0.3">
      <c r="A5473" t="s">
        <v>5488</v>
      </c>
      <c r="B5473" s="2">
        <v>46269.710416666669</v>
      </c>
      <c r="C5473" s="2">
        <v>46270.34375</v>
      </c>
      <c r="D5473" t="s">
        <v>6028</v>
      </c>
      <c r="E5473" t="s">
        <v>6030</v>
      </c>
      <c r="F5473" t="s">
        <v>6035</v>
      </c>
      <c r="G5473" t="s">
        <v>6057</v>
      </c>
      <c r="H5473" t="s">
        <v>6097</v>
      </c>
      <c r="I5473">
        <v>4</v>
      </c>
      <c r="J5473">
        <v>15.2</v>
      </c>
      <c r="K5473" t="s">
        <v>6099</v>
      </c>
      <c r="L5473" t="s">
        <v>6100</v>
      </c>
      <c r="M5473" t="s">
        <v>6100</v>
      </c>
      <c r="O5473" t="s">
        <v>6101</v>
      </c>
      <c r="P5473" t="s">
        <v>6115</v>
      </c>
      <c r="Q5473">
        <v>9</v>
      </c>
      <c r="R5473">
        <v>2026</v>
      </c>
      <c r="S5473" t="s">
        <v>6100</v>
      </c>
      <c r="T5473">
        <v>0</v>
      </c>
      <c r="U5473" t="s">
        <v>6020</v>
      </c>
      <c r="V5473">
        <v>1</v>
      </c>
    </row>
    <row r="5474" spans="1:22" x14ac:dyDescent="0.3">
      <c r="A5474" t="s">
        <v>5489</v>
      </c>
      <c r="B5474" s="2">
        <v>46269.836805555555</v>
      </c>
      <c r="C5474" s="2">
        <v>46274.303472222222</v>
      </c>
      <c r="D5474" t="s">
        <v>6026</v>
      </c>
      <c r="E5474" t="s">
        <v>6031</v>
      </c>
      <c r="F5474" t="s">
        <v>6034</v>
      </c>
      <c r="G5474" t="s">
        <v>6059</v>
      </c>
      <c r="H5474" t="s">
        <v>6097</v>
      </c>
      <c r="I5474">
        <v>24</v>
      </c>
      <c r="J5474">
        <v>107.2</v>
      </c>
      <c r="K5474" t="s">
        <v>6100</v>
      </c>
      <c r="L5474" t="s">
        <v>6099</v>
      </c>
      <c r="M5474" t="s">
        <v>6100</v>
      </c>
      <c r="N5474">
        <v>3</v>
      </c>
      <c r="O5474" t="s">
        <v>6101</v>
      </c>
      <c r="P5474" t="s">
        <v>6115</v>
      </c>
      <c r="Q5474">
        <v>9</v>
      </c>
      <c r="R5474">
        <v>2026</v>
      </c>
      <c r="S5474" t="s">
        <v>6100</v>
      </c>
      <c r="T5474">
        <v>0</v>
      </c>
      <c r="U5474" t="s">
        <v>6021</v>
      </c>
      <c r="V5474">
        <v>0</v>
      </c>
    </row>
    <row r="5475" spans="1:22" x14ac:dyDescent="0.3">
      <c r="A5475" t="s">
        <v>5490</v>
      </c>
      <c r="B5475" s="2">
        <v>46269.899305555555</v>
      </c>
      <c r="C5475" s="2">
        <v>46270.445138888892</v>
      </c>
      <c r="D5475" t="s">
        <v>6027</v>
      </c>
      <c r="E5475" t="s">
        <v>6029</v>
      </c>
      <c r="F5475" t="s">
        <v>6033</v>
      </c>
      <c r="G5475" t="s">
        <v>6092</v>
      </c>
      <c r="H5475" t="s">
        <v>6097</v>
      </c>
      <c r="I5475">
        <v>72</v>
      </c>
      <c r="J5475">
        <v>13.1</v>
      </c>
      <c r="K5475" t="s">
        <v>6099</v>
      </c>
      <c r="L5475" t="s">
        <v>6100</v>
      </c>
      <c r="M5475" t="s">
        <v>6100</v>
      </c>
      <c r="N5475">
        <v>5</v>
      </c>
      <c r="O5475" t="s">
        <v>6101</v>
      </c>
      <c r="P5475" t="s">
        <v>6115</v>
      </c>
      <c r="Q5475">
        <v>9</v>
      </c>
      <c r="R5475">
        <v>2026</v>
      </c>
      <c r="S5475" t="s">
        <v>6099</v>
      </c>
      <c r="T5475">
        <v>1</v>
      </c>
      <c r="U5475" t="s">
        <v>6021</v>
      </c>
      <c r="V5475">
        <v>1</v>
      </c>
    </row>
    <row r="5476" spans="1:22" x14ac:dyDescent="0.3">
      <c r="A5476" t="s">
        <v>5491</v>
      </c>
      <c r="B5476" s="2">
        <v>46270.318055555559</v>
      </c>
      <c r="C5476" s="2">
        <v>46270.568055555559</v>
      </c>
      <c r="D5476" t="s">
        <v>6028</v>
      </c>
      <c r="E5476" t="s">
        <v>6029</v>
      </c>
      <c r="F5476" t="s">
        <v>6035</v>
      </c>
      <c r="G5476" t="s">
        <v>6059</v>
      </c>
      <c r="H5476" t="s">
        <v>6097</v>
      </c>
      <c r="I5476">
        <v>4</v>
      </c>
      <c r="J5476">
        <v>6</v>
      </c>
      <c r="K5476" t="s">
        <v>6099</v>
      </c>
      <c r="L5476" t="s">
        <v>6100</v>
      </c>
      <c r="M5476" t="s">
        <v>6100</v>
      </c>
      <c r="O5476" t="s">
        <v>6101</v>
      </c>
      <c r="P5476" t="s">
        <v>6115</v>
      </c>
      <c r="Q5476">
        <v>9</v>
      </c>
      <c r="R5476">
        <v>2026</v>
      </c>
      <c r="S5476" t="s">
        <v>6100</v>
      </c>
      <c r="T5476">
        <v>0</v>
      </c>
      <c r="U5476" t="s">
        <v>6021</v>
      </c>
      <c r="V5476">
        <v>1</v>
      </c>
    </row>
    <row r="5477" spans="1:22" x14ac:dyDescent="0.3">
      <c r="A5477" t="s">
        <v>5492</v>
      </c>
      <c r="B5477" s="2">
        <v>46270.374305555553</v>
      </c>
      <c r="C5477" s="2">
        <v>46270.961805555555</v>
      </c>
      <c r="D5477" t="s">
        <v>6022</v>
      </c>
      <c r="E5477" t="s">
        <v>6029</v>
      </c>
      <c r="F5477" t="s">
        <v>6034</v>
      </c>
      <c r="G5477" t="s">
        <v>6095</v>
      </c>
      <c r="H5477" t="s">
        <v>6098</v>
      </c>
      <c r="I5477">
        <v>24</v>
      </c>
      <c r="J5477">
        <v>14.1</v>
      </c>
      <c r="K5477" t="s">
        <v>6100</v>
      </c>
      <c r="L5477" t="s">
        <v>6100</v>
      </c>
      <c r="M5477" t="s">
        <v>6100</v>
      </c>
      <c r="N5477">
        <v>5</v>
      </c>
      <c r="O5477" t="s">
        <v>6101</v>
      </c>
      <c r="P5477" t="s">
        <v>6115</v>
      </c>
      <c r="Q5477">
        <v>9</v>
      </c>
      <c r="R5477">
        <v>2026</v>
      </c>
      <c r="S5477" t="s">
        <v>6099</v>
      </c>
      <c r="T5477">
        <v>1</v>
      </c>
      <c r="U5477" t="s">
        <v>6018</v>
      </c>
      <c r="V5477">
        <v>0</v>
      </c>
    </row>
    <row r="5478" spans="1:22" x14ac:dyDescent="0.3">
      <c r="A5478" t="s">
        <v>5493</v>
      </c>
      <c r="B5478" s="2">
        <v>46270.411111111112</v>
      </c>
      <c r="C5478" s="2">
        <v>46270.75277777778</v>
      </c>
      <c r="D5478" t="s">
        <v>6023</v>
      </c>
      <c r="E5478" t="s">
        <v>6029</v>
      </c>
      <c r="F5478" t="s">
        <v>6034</v>
      </c>
      <c r="G5478" t="s">
        <v>6055</v>
      </c>
      <c r="H5478" t="s">
        <v>6096</v>
      </c>
      <c r="I5478">
        <v>24</v>
      </c>
      <c r="J5478">
        <v>8.1999999999999993</v>
      </c>
      <c r="K5478" t="s">
        <v>6100</v>
      </c>
      <c r="L5478" t="s">
        <v>6099</v>
      </c>
      <c r="M5478" t="s">
        <v>6100</v>
      </c>
      <c r="O5478" t="s">
        <v>6101</v>
      </c>
      <c r="P5478" t="s">
        <v>6115</v>
      </c>
      <c r="Q5478">
        <v>9</v>
      </c>
      <c r="R5478">
        <v>2026</v>
      </c>
      <c r="S5478" t="s">
        <v>6099</v>
      </c>
      <c r="T5478">
        <v>1</v>
      </c>
      <c r="U5478" t="s">
        <v>6021</v>
      </c>
      <c r="V5478">
        <v>0</v>
      </c>
    </row>
    <row r="5479" spans="1:22" x14ac:dyDescent="0.3">
      <c r="A5479" t="s">
        <v>5494</v>
      </c>
      <c r="B5479" s="2">
        <v>46270.460416666669</v>
      </c>
      <c r="C5479" s="2">
        <v>46272.239583333336</v>
      </c>
      <c r="D5479" t="s">
        <v>6028</v>
      </c>
      <c r="E5479" t="s">
        <v>6032</v>
      </c>
      <c r="F5479" t="s">
        <v>6034</v>
      </c>
      <c r="G5479" t="s">
        <v>6057</v>
      </c>
      <c r="H5479" t="s">
        <v>6097</v>
      </c>
      <c r="I5479">
        <v>24</v>
      </c>
      <c r="J5479">
        <v>42.7</v>
      </c>
      <c r="K5479" t="s">
        <v>6099</v>
      </c>
      <c r="L5479" t="s">
        <v>6100</v>
      </c>
      <c r="M5479" t="s">
        <v>6100</v>
      </c>
      <c r="N5479">
        <v>2</v>
      </c>
      <c r="O5479" t="s">
        <v>6101</v>
      </c>
      <c r="P5479" t="s">
        <v>6115</v>
      </c>
      <c r="Q5479">
        <v>9</v>
      </c>
      <c r="R5479">
        <v>2026</v>
      </c>
      <c r="S5479" t="s">
        <v>6100</v>
      </c>
      <c r="T5479">
        <v>0</v>
      </c>
      <c r="U5479" t="s">
        <v>6019</v>
      </c>
      <c r="V5479">
        <v>1</v>
      </c>
    </row>
    <row r="5480" spans="1:22" x14ac:dyDescent="0.3">
      <c r="A5480" t="s">
        <v>5495</v>
      </c>
      <c r="B5480" s="2">
        <v>46270.468055555553</v>
      </c>
      <c r="C5480" s="2">
        <v>46270.62222222222</v>
      </c>
      <c r="D5480" t="s">
        <v>6028</v>
      </c>
      <c r="E5480" t="s">
        <v>6029</v>
      </c>
      <c r="F5480" t="s">
        <v>6033</v>
      </c>
      <c r="G5480" t="s">
        <v>6059</v>
      </c>
      <c r="H5480" t="s">
        <v>6097</v>
      </c>
      <c r="I5480">
        <v>72</v>
      </c>
      <c r="J5480">
        <v>3.7</v>
      </c>
      <c r="K5480" t="s">
        <v>6099</v>
      </c>
      <c r="L5480" t="s">
        <v>6100</v>
      </c>
      <c r="M5480" t="s">
        <v>6100</v>
      </c>
      <c r="N5480">
        <v>5</v>
      </c>
      <c r="O5480" t="s">
        <v>6101</v>
      </c>
      <c r="P5480" t="s">
        <v>6115</v>
      </c>
      <c r="Q5480">
        <v>9</v>
      </c>
      <c r="R5480">
        <v>2026</v>
      </c>
      <c r="S5480" t="s">
        <v>6099</v>
      </c>
      <c r="T5480">
        <v>1</v>
      </c>
      <c r="U5480" t="s">
        <v>6017</v>
      </c>
      <c r="V5480">
        <v>1</v>
      </c>
    </row>
    <row r="5481" spans="1:22" x14ac:dyDescent="0.3">
      <c r="A5481" t="s">
        <v>5496</v>
      </c>
      <c r="B5481" s="2">
        <v>46270.481944444444</v>
      </c>
      <c r="C5481" s="2">
        <v>46270.823611111111</v>
      </c>
      <c r="D5481" t="s">
        <v>6025</v>
      </c>
      <c r="E5481" t="s">
        <v>6030</v>
      </c>
      <c r="F5481" t="s">
        <v>6033</v>
      </c>
      <c r="G5481" t="s">
        <v>6047</v>
      </c>
      <c r="H5481" t="s">
        <v>6098</v>
      </c>
      <c r="I5481">
        <v>72</v>
      </c>
      <c r="J5481">
        <v>8.1999999999999993</v>
      </c>
      <c r="K5481" t="s">
        <v>6100</v>
      </c>
      <c r="L5481" t="s">
        <v>6100</v>
      </c>
      <c r="M5481" t="s">
        <v>6100</v>
      </c>
      <c r="O5481" t="s">
        <v>6101</v>
      </c>
      <c r="P5481" t="s">
        <v>6115</v>
      </c>
      <c r="Q5481">
        <v>9</v>
      </c>
      <c r="R5481">
        <v>2026</v>
      </c>
      <c r="S5481" t="s">
        <v>6099</v>
      </c>
      <c r="T5481">
        <v>1</v>
      </c>
      <c r="U5481" t="s">
        <v>6019</v>
      </c>
      <c r="V5481">
        <v>0</v>
      </c>
    </row>
    <row r="5482" spans="1:22" x14ac:dyDescent="0.3">
      <c r="A5482" t="s">
        <v>5497</v>
      </c>
      <c r="B5482" s="2">
        <v>46270.486111111109</v>
      </c>
      <c r="C5482" s="2">
        <v>46271.106944444444</v>
      </c>
      <c r="D5482" t="s">
        <v>6028</v>
      </c>
      <c r="E5482" t="s">
        <v>6030</v>
      </c>
      <c r="F5482" t="s">
        <v>6035</v>
      </c>
      <c r="G5482" t="s">
        <v>6041</v>
      </c>
      <c r="H5482" t="s">
        <v>6096</v>
      </c>
      <c r="I5482">
        <v>4</v>
      </c>
      <c r="J5482">
        <v>14.9</v>
      </c>
      <c r="K5482" t="s">
        <v>6100</v>
      </c>
      <c r="L5482" t="s">
        <v>6099</v>
      </c>
      <c r="M5482" t="s">
        <v>6100</v>
      </c>
      <c r="O5482" t="s">
        <v>6101</v>
      </c>
      <c r="P5482" t="s">
        <v>6115</v>
      </c>
      <c r="Q5482">
        <v>9</v>
      </c>
      <c r="R5482">
        <v>2026</v>
      </c>
      <c r="S5482" t="s">
        <v>6100</v>
      </c>
      <c r="T5482">
        <v>0</v>
      </c>
      <c r="U5482" t="s">
        <v>6021</v>
      </c>
      <c r="V5482">
        <v>0</v>
      </c>
    </row>
    <row r="5483" spans="1:22" x14ac:dyDescent="0.3">
      <c r="A5483" t="s">
        <v>5498</v>
      </c>
      <c r="B5483" s="2">
        <v>46270.54791666667</v>
      </c>
      <c r="C5483" s="2">
        <v>46271.522916666669</v>
      </c>
      <c r="D5483" t="s">
        <v>6024</v>
      </c>
      <c r="E5483" t="s">
        <v>6029</v>
      </c>
      <c r="F5483" t="s">
        <v>6034</v>
      </c>
      <c r="G5483" t="s">
        <v>6076</v>
      </c>
      <c r="H5483" t="s">
        <v>6097</v>
      </c>
      <c r="I5483">
        <v>24</v>
      </c>
      <c r="J5483">
        <v>23.4</v>
      </c>
      <c r="K5483" t="s">
        <v>6099</v>
      </c>
      <c r="L5483" t="s">
        <v>6100</v>
      </c>
      <c r="M5483" t="s">
        <v>6100</v>
      </c>
      <c r="N5483">
        <v>5</v>
      </c>
      <c r="O5483" t="s">
        <v>6101</v>
      </c>
      <c r="P5483" t="s">
        <v>6115</v>
      </c>
      <c r="Q5483">
        <v>9</v>
      </c>
      <c r="R5483">
        <v>2026</v>
      </c>
      <c r="S5483" t="s">
        <v>6099</v>
      </c>
      <c r="T5483">
        <v>1</v>
      </c>
      <c r="U5483" t="s">
        <v>6020</v>
      </c>
      <c r="V5483">
        <v>1</v>
      </c>
    </row>
    <row r="5484" spans="1:22" x14ac:dyDescent="0.3">
      <c r="A5484" t="s">
        <v>5499</v>
      </c>
      <c r="B5484" s="2">
        <v>46270.629166666666</v>
      </c>
      <c r="C5484" s="2">
        <v>46272.162499999999</v>
      </c>
      <c r="D5484" t="s">
        <v>6025</v>
      </c>
      <c r="E5484" t="s">
        <v>6031</v>
      </c>
      <c r="F5484" t="s">
        <v>6034</v>
      </c>
      <c r="G5484" t="s">
        <v>6079</v>
      </c>
      <c r="H5484" t="s">
        <v>6097</v>
      </c>
      <c r="I5484">
        <v>24</v>
      </c>
      <c r="J5484">
        <v>36.799999999999997</v>
      </c>
      <c r="K5484" t="s">
        <v>6099</v>
      </c>
      <c r="L5484" t="s">
        <v>6100</v>
      </c>
      <c r="M5484" t="s">
        <v>6100</v>
      </c>
      <c r="N5484">
        <v>5</v>
      </c>
      <c r="O5484" t="s">
        <v>6101</v>
      </c>
      <c r="P5484" t="s">
        <v>6115</v>
      </c>
      <c r="Q5484">
        <v>9</v>
      </c>
      <c r="R5484">
        <v>2026</v>
      </c>
      <c r="S5484" t="s">
        <v>6100</v>
      </c>
      <c r="T5484">
        <v>0</v>
      </c>
      <c r="U5484" t="s">
        <v>6019</v>
      </c>
      <c r="V5484">
        <v>1</v>
      </c>
    </row>
    <row r="5485" spans="1:22" x14ac:dyDescent="0.3">
      <c r="A5485" t="s">
        <v>5500</v>
      </c>
      <c r="B5485" s="2">
        <v>46270.654861111114</v>
      </c>
      <c r="C5485" s="2">
        <v>46271.067361111112</v>
      </c>
      <c r="D5485" t="s">
        <v>6028</v>
      </c>
      <c r="E5485" t="s">
        <v>6031</v>
      </c>
      <c r="F5485" t="s">
        <v>6035</v>
      </c>
      <c r="G5485" t="s">
        <v>6043</v>
      </c>
      <c r="H5485" t="s">
        <v>6097</v>
      </c>
      <c r="I5485">
        <v>4</v>
      </c>
      <c r="J5485">
        <v>9.9</v>
      </c>
      <c r="K5485" t="s">
        <v>6099</v>
      </c>
      <c r="L5485" t="s">
        <v>6100</v>
      </c>
      <c r="M5485" t="s">
        <v>6100</v>
      </c>
      <c r="N5485">
        <v>3</v>
      </c>
      <c r="O5485" t="s">
        <v>6101</v>
      </c>
      <c r="P5485" t="s">
        <v>6115</v>
      </c>
      <c r="Q5485">
        <v>9</v>
      </c>
      <c r="R5485">
        <v>2026</v>
      </c>
      <c r="S5485" t="s">
        <v>6100</v>
      </c>
      <c r="T5485">
        <v>0</v>
      </c>
      <c r="U5485" t="s">
        <v>6021</v>
      </c>
      <c r="V5485">
        <v>1</v>
      </c>
    </row>
    <row r="5486" spans="1:22" x14ac:dyDescent="0.3">
      <c r="A5486" t="s">
        <v>5501</v>
      </c>
      <c r="B5486" s="2">
        <v>46270.655555555553</v>
      </c>
      <c r="C5486" s="2">
        <v>46271.230555555558</v>
      </c>
      <c r="D5486" t="s">
        <v>6023</v>
      </c>
      <c r="E5486" t="s">
        <v>6030</v>
      </c>
      <c r="F5486" t="s">
        <v>6034</v>
      </c>
      <c r="G5486" t="s">
        <v>6038</v>
      </c>
      <c r="H5486" t="s">
        <v>6096</v>
      </c>
      <c r="I5486">
        <v>24</v>
      </c>
      <c r="J5486">
        <v>13.8</v>
      </c>
      <c r="K5486" t="s">
        <v>6100</v>
      </c>
      <c r="L5486" t="s">
        <v>6099</v>
      </c>
      <c r="M5486" t="s">
        <v>6100</v>
      </c>
      <c r="N5486">
        <v>3</v>
      </c>
      <c r="O5486" t="s">
        <v>6101</v>
      </c>
      <c r="P5486" t="s">
        <v>6115</v>
      </c>
      <c r="Q5486">
        <v>9</v>
      </c>
      <c r="R5486">
        <v>2026</v>
      </c>
      <c r="S5486" t="s">
        <v>6099</v>
      </c>
      <c r="T5486">
        <v>1</v>
      </c>
      <c r="U5486" t="s">
        <v>6019</v>
      </c>
      <c r="V5486">
        <v>0</v>
      </c>
    </row>
    <row r="5487" spans="1:22" x14ac:dyDescent="0.3">
      <c r="A5487" t="s">
        <v>5502</v>
      </c>
      <c r="B5487" s="2">
        <v>46270.694444444445</v>
      </c>
      <c r="C5487" s="2">
        <v>46271.506944444445</v>
      </c>
      <c r="D5487" t="s">
        <v>6022</v>
      </c>
      <c r="E5487" t="s">
        <v>6029</v>
      </c>
      <c r="F5487" t="s">
        <v>6034</v>
      </c>
      <c r="G5487" t="s">
        <v>6043</v>
      </c>
      <c r="H5487" t="s">
        <v>6097</v>
      </c>
      <c r="I5487">
        <v>24</v>
      </c>
      <c r="J5487">
        <v>19.5</v>
      </c>
      <c r="K5487" t="s">
        <v>6099</v>
      </c>
      <c r="L5487" t="s">
        <v>6100</v>
      </c>
      <c r="M5487" t="s">
        <v>6100</v>
      </c>
      <c r="O5487" t="s">
        <v>6101</v>
      </c>
      <c r="P5487" t="s">
        <v>6115</v>
      </c>
      <c r="Q5487">
        <v>9</v>
      </c>
      <c r="R5487">
        <v>2026</v>
      </c>
      <c r="S5487" t="s">
        <v>6099</v>
      </c>
      <c r="T5487">
        <v>1</v>
      </c>
      <c r="U5487" t="s">
        <v>6019</v>
      </c>
      <c r="V5487">
        <v>1</v>
      </c>
    </row>
    <row r="5488" spans="1:22" x14ac:dyDescent="0.3">
      <c r="A5488" t="s">
        <v>5503</v>
      </c>
      <c r="B5488" s="2">
        <v>46270.706944444442</v>
      </c>
      <c r="C5488" s="2">
        <v>46271.427777777775</v>
      </c>
      <c r="D5488" t="s">
        <v>6028</v>
      </c>
      <c r="E5488" t="s">
        <v>6029</v>
      </c>
      <c r="F5488" t="s">
        <v>6034</v>
      </c>
      <c r="G5488" t="s">
        <v>6094</v>
      </c>
      <c r="H5488" t="s">
        <v>6098</v>
      </c>
      <c r="I5488">
        <v>24</v>
      </c>
      <c r="J5488">
        <v>17.3</v>
      </c>
      <c r="K5488" t="s">
        <v>6099</v>
      </c>
      <c r="L5488" t="s">
        <v>6100</v>
      </c>
      <c r="M5488" t="s">
        <v>6100</v>
      </c>
      <c r="O5488" t="s">
        <v>6101</v>
      </c>
      <c r="P5488" t="s">
        <v>6115</v>
      </c>
      <c r="Q5488">
        <v>9</v>
      </c>
      <c r="R5488">
        <v>2026</v>
      </c>
      <c r="S5488" t="s">
        <v>6099</v>
      </c>
      <c r="T5488">
        <v>1</v>
      </c>
      <c r="U5488" t="s">
        <v>6019</v>
      </c>
      <c r="V5488">
        <v>1</v>
      </c>
    </row>
    <row r="5489" spans="1:22" x14ac:dyDescent="0.3">
      <c r="A5489" t="s">
        <v>5504</v>
      </c>
      <c r="B5489" s="2">
        <v>46270.765972222223</v>
      </c>
      <c r="C5489" s="2">
        <v>46271.620138888888</v>
      </c>
      <c r="D5489" t="s">
        <v>6024</v>
      </c>
      <c r="E5489" t="s">
        <v>6029</v>
      </c>
      <c r="F5489" t="s">
        <v>6034</v>
      </c>
      <c r="G5489" t="s">
        <v>6057</v>
      </c>
      <c r="H5489" t="s">
        <v>6097</v>
      </c>
      <c r="I5489">
        <v>24</v>
      </c>
      <c r="J5489">
        <v>20.5</v>
      </c>
      <c r="K5489" t="s">
        <v>6100</v>
      </c>
      <c r="L5489" t="s">
        <v>6099</v>
      </c>
      <c r="M5489" t="s">
        <v>6100</v>
      </c>
      <c r="N5489">
        <v>4</v>
      </c>
      <c r="O5489" t="s">
        <v>6101</v>
      </c>
      <c r="P5489" t="s">
        <v>6115</v>
      </c>
      <c r="Q5489">
        <v>9</v>
      </c>
      <c r="R5489">
        <v>2026</v>
      </c>
      <c r="S5489" t="s">
        <v>6099</v>
      </c>
      <c r="T5489">
        <v>1</v>
      </c>
      <c r="U5489" t="s">
        <v>6017</v>
      </c>
      <c r="V5489">
        <v>0</v>
      </c>
    </row>
    <row r="5490" spans="1:22" x14ac:dyDescent="0.3">
      <c r="A5490" t="s">
        <v>5505</v>
      </c>
      <c r="B5490" s="2">
        <v>46270.884027777778</v>
      </c>
      <c r="C5490" s="2">
        <v>46271.479861111111</v>
      </c>
      <c r="D5490" t="s">
        <v>6024</v>
      </c>
      <c r="E5490" t="s">
        <v>6031</v>
      </c>
      <c r="F5490" t="s">
        <v>6035</v>
      </c>
      <c r="G5490" t="s">
        <v>6074</v>
      </c>
      <c r="H5490" t="s">
        <v>6098</v>
      </c>
      <c r="I5490">
        <v>4</v>
      </c>
      <c r="J5490">
        <v>14.3</v>
      </c>
      <c r="K5490" t="s">
        <v>6100</v>
      </c>
      <c r="L5490" t="s">
        <v>6099</v>
      </c>
      <c r="M5490" t="s">
        <v>6100</v>
      </c>
      <c r="N5490">
        <v>3</v>
      </c>
      <c r="O5490" t="s">
        <v>6101</v>
      </c>
      <c r="P5490" t="s">
        <v>6115</v>
      </c>
      <c r="Q5490">
        <v>9</v>
      </c>
      <c r="R5490">
        <v>2026</v>
      </c>
      <c r="S5490" t="s">
        <v>6100</v>
      </c>
      <c r="T5490">
        <v>0</v>
      </c>
      <c r="U5490" t="s">
        <v>6017</v>
      </c>
      <c r="V5490">
        <v>0</v>
      </c>
    </row>
    <row r="5491" spans="1:22" x14ac:dyDescent="0.3">
      <c r="A5491" t="s">
        <v>5506</v>
      </c>
      <c r="B5491" s="2">
        <v>46270.925694444442</v>
      </c>
      <c r="C5491" s="2">
        <v>46271.088194444441</v>
      </c>
      <c r="D5491" t="s">
        <v>6027</v>
      </c>
      <c r="E5491" t="s">
        <v>6030</v>
      </c>
      <c r="F5491" t="s">
        <v>6033</v>
      </c>
      <c r="G5491" t="s">
        <v>6067</v>
      </c>
      <c r="H5491" t="s">
        <v>6098</v>
      </c>
      <c r="I5491">
        <v>72</v>
      </c>
      <c r="J5491">
        <v>3.9</v>
      </c>
      <c r="K5491" t="s">
        <v>6099</v>
      </c>
      <c r="L5491" t="s">
        <v>6100</v>
      </c>
      <c r="M5491" t="s">
        <v>6099</v>
      </c>
      <c r="N5491">
        <v>4</v>
      </c>
      <c r="O5491" t="s">
        <v>6101</v>
      </c>
      <c r="P5491" t="s">
        <v>6115</v>
      </c>
      <c r="Q5491">
        <v>9</v>
      </c>
      <c r="R5491">
        <v>2026</v>
      </c>
      <c r="S5491" t="s">
        <v>6099</v>
      </c>
      <c r="T5491">
        <v>1</v>
      </c>
      <c r="U5491" t="s">
        <v>6021</v>
      </c>
      <c r="V5491">
        <v>1</v>
      </c>
    </row>
    <row r="5492" spans="1:22" x14ac:dyDescent="0.3">
      <c r="A5492" t="s">
        <v>5507</v>
      </c>
      <c r="B5492" s="2">
        <v>46271.311111111114</v>
      </c>
      <c r="C5492" s="2">
        <v>46271.819444444445</v>
      </c>
      <c r="D5492" t="s">
        <v>6023</v>
      </c>
      <c r="E5492" t="s">
        <v>6029</v>
      </c>
      <c r="F5492" t="s">
        <v>6033</v>
      </c>
      <c r="G5492" t="s">
        <v>6041</v>
      </c>
      <c r="H5492" t="s">
        <v>6096</v>
      </c>
      <c r="I5492">
        <v>72</v>
      </c>
      <c r="J5492">
        <v>12.2</v>
      </c>
      <c r="K5492" t="s">
        <v>6099</v>
      </c>
      <c r="L5492" t="s">
        <v>6100</v>
      </c>
      <c r="M5492" t="s">
        <v>6100</v>
      </c>
      <c r="N5492">
        <v>5</v>
      </c>
      <c r="O5492" t="s">
        <v>6101</v>
      </c>
      <c r="P5492" t="s">
        <v>6115</v>
      </c>
      <c r="Q5492">
        <v>9</v>
      </c>
      <c r="R5492">
        <v>2026</v>
      </c>
      <c r="S5492" t="s">
        <v>6099</v>
      </c>
      <c r="T5492">
        <v>1</v>
      </c>
      <c r="U5492" t="s">
        <v>6018</v>
      </c>
      <c r="V5492">
        <v>1</v>
      </c>
    </row>
    <row r="5493" spans="1:22" x14ac:dyDescent="0.3">
      <c r="A5493" t="s">
        <v>5508</v>
      </c>
      <c r="B5493" s="2">
        <v>46271.388194444444</v>
      </c>
      <c r="C5493" s="2">
        <v>46271.525694444441</v>
      </c>
      <c r="D5493" t="s">
        <v>6023</v>
      </c>
      <c r="E5493" t="s">
        <v>6029</v>
      </c>
      <c r="F5493" t="s">
        <v>6034</v>
      </c>
      <c r="G5493" t="s">
        <v>6091</v>
      </c>
      <c r="H5493" t="s">
        <v>6097</v>
      </c>
      <c r="I5493">
        <v>24</v>
      </c>
      <c r="J5493">
        <v>3.3</v>
      </c>
      <c r="K5493" t="s">
        <v>6099</v>
      </c>
      <c r="L5493" t="s">
        <v>6100</v>
      </c>
      <c r="M5493" t="s">
        <v>6100</v>
      </c>
      <c r="N5493">
        <v>5</v>
      </c>
      <c r="O5493" t="s">
        <v>6101</v>
      </c>
      <c r="P5493" t="s">
        <v>6115</v>
      </c>
      <c r="Q5493">
        <v>9</v>
      </c>
      <c r="R5493">
        <v>2026</v>
      </c>
      <c r="S5493" t="s">
        <v>6099</v>
      </c>
      <c r="T5493">
        <v>1</v>
      </c>
      <c r="U5493" t="s">
        <v>6019</v>
      </c>
      <c r="V5493">
        <v>1</v>
      </c>
    </row>
    <row r="5494" spans="1:22" x14ac:dyDescent="0.3">
      <c r="A5494" t="s">
        <v>5509</v>
      </c>
      <c r="B5494" s="2">
        <v>46271.398611111108</v>
      </c>
      <c r="C5494" s="2">
        <v>46273.461111111108</v>
      </c>
      <c r="D5494" t="s">
        <v>6025</v>
      </c>
      <c r="E5494" t="s">
        <v>6032</v>
      </c>
      <c r="F5494" t="s">
        <v>6033</v>
      </c>
      <c r="G5494" t="s">
        <v>6057</v>
      </c>
      <c r="H5494" t="s">
        <v>6097</v>
      </c>
      <c r="I5494">
        <v>72</v>
      </c>
      <c r="J5494">
        <v>49.5</v>
      </c>
      <c r="K5494" t="s">
        <v>6099</v>
      </c>
      <c r="L5494" t="s">
        <v>6100</v>
      </c>
      <c r="M5494" t="s">
        <v>6100</v>
      </c>
      <c r="O5494" t="s">
        <v>6101</v>
      </c>
      <c r="P5494" t="s">
        <v>6115</v>
      </c>
      <c r="Q5494">
        <v>9</v>
      </c>
      <c r="R5494">
        <v>2026</v>
      </c>
      <c r="S5494" t="s">
        <v>6099</v>
      </c>
      <c r="T5494">
        <v>1</v>
      </c>
      <c r="U5494" t="s">
        <v>6021</v>
      </c>
      <c r="V5494">
        <v>1</v>
      </c>
    </row>
    <row r="5495" spans="1:22" x14ac:dyDescent="0.3">
      <c r="A5495" t="s">
        <v>5510</v>
      </c>
      <c r="B5495" s="2">
        <v>46271.508333333331</v>
      </c>
      <c r="C5495" s="2">
        <v>46278.195833333331</v>
      </c>
      <c r="D5495" t="s">
        <v>6026</v>
      </c>
      <c r="E5495" t="s">
        <v>6029</v>
      </c>
      <c r="F5495" t="s">
        <v>6034</v>
      </c>
      <c r="G5495" t="s">
        <v>6058</v>
      </c>
      <c r="H5495" t="s">
        <v>6098</v>
      </c>
      <c r="I5495">
        <v>24</v>
      </c>
      <c r="J5495">
        <v>160.5</v>
      </c>
      <c r="K5495" t="s">
        <v>6100</v>
      </c>
      <c r="L5495" t="s">
        <v>6100</v>
      </c>
      <c r="M5495" t="s">
        <v>6099</v>
      </c>
      <c r="O5495" t="s">
        <v>6101</v>
      </c>
      <c r="P5495" t="s">
        <v>6115</v>
      </c>
      <c r="Q5495">
        <v>9</v>
      </c>
      <c r="R5495">
        <v>2026</v>
      </c>
      <c r="S5495" t="s">
        <v>6100</v>
      </c>
      <c r="T5495">
        <v>0</v>
      </c>
      <c r="U5495" t="s">
        <v>6020</v>
      </c>
      <c r="V5495">
        <v>0</v>
      </c>
    </row>
    <row r="5496" spans="1:22" x14ac:dyDescent="0.3">
      <c r="A5496" t="s">
        <v>5511</v>
      </c>
      <c r="B5496" s="2">
        <v>46271.529861111114</v>
      </c>
      <c r="C5496" s="2">
        <v>46271.796527777777</v>
      </c>
      <c r="D5496" t="s">
        <v>6028</v>
      </c>
      <c r="E5496" t="s">
        <v>6030</v>
      </c>
      <c r="F5496" t="s">
        <v>6034</v>
      </c>
      <c r="G5496" t="s">
        <v>6084</v>
      </c>
      <c r="H5496" t="s">
        <v>6098</v>
      </c>
      <c r="I5496">
        <v>24</v>
      </c>
      <c r="J5496">
        <v>6.4</v>
      </c>
      <c r="K5496" t="s">
        <v>6100</v>
      </c>
      <c r="L5496" t="s">
        <v>6099</v>
      </c>
      <c r="M5496" t="s">
        <v>6100</v>
      </c>
      <c r="N5496">
        <v>5</v>
      </c>
      <c r="O5496" t="s">
        <v>6101</v>
      </c>
      <c r="P5496" t="s">
        <v>6115</v>
      </c>
      <c r="Q5496">
        <v>9</v>
      </c>
      <c r="R5496">
        <v>2026</v>
      </c>
      <c r="S5496" t="s">
        <v>6099</v>
      </c>
      <c r="T5496">
        <v>1</v>
      </c>
      <c r="U5496" t="s">
        <v>6017</v>
      </c>
      <c r="V5496">
        <v>0</v>
      </c>
    </row>
    <row r="5497" spans="1:22" x14ac:dyDescent="0.3">
      <c r="A5497" t="s">
        <v>5512</v>
      </c>
      <c r="B5497" s="2">
        <v>46271.568749999999</v>
      </c>
      <c r="C5497" s="2">
        <v>46271.802083333336</v>
      </c>
      <c r="D5497" t="s">
        <v>6023</v>
      </c>
      <c r="E5497" t="s">
        <v>6029</v>
      </c>
      <c r="F5497" t="s">
        <v>6033</v>
      </c>
      <c r="G5497" t="s">
        <v>6063</v>
      </c>
      <c r="H5497" t="s">
        <v>6097</v>
      </c>
      <c r="I5497">
        <v>72</v>
      </c>
      <c r="J5497">
        <v>5.6</v>
      </c>
      <c r="K5497" t="s">
        <v>6100</v>
      </c>
      <c r="L5497" t="s">
        <v>6099</v>
      </c>
      <c r="M5497" t="s">
        <v>6100</v>
      </c>
      <c r="O5497" t="s">
        <v>6101</v>
      </c>
      <c r="P5497" t="s">
        <v>6115</v>
      </c>
      <c r="Q5497">
        <v>9</v>
      </c>
      <c r="R5497">
        <v>2026</v>
      </c>
      <c r="S5497" t="s">
        <v>6099</v>
      </c>
      <c r="T5497">
        <v>1</v>
      </c>
      <c r="U5497" t="s">
        <v>6021</v>
      </c>
      <c r="V5497">
        <v>0</v>
      </c>
    </row>
    <row r="5498" spans="1:22" x14ac:dyDescent="0.3">
      <c r="A5498" t="s">
        <v>5513</v>
      </c>
      <c r="B5498" s="2">
        <v>46271.592361111114</v>
      </c>
      <c r="C5498" s="2">
        <v>46271.709027777775</v>
      </c>
      <c r="D5498" t="s">
        <v>6023</v>
      </c>
      <c r="E5498" t="s">
        <v>6029</v>
      </c>
      <c r="F5498" t="s">
        <v>6033</v>
      </c>
      <c r="G5498" t="s">
        <v>6060</v>
      </c>
      <c r="H5498" t="s">
        <v>6097</v>
      </c>
      <c r="I5498">
        <v>72</v>
      </c>
      <c r="K5498" t="s">
        <v>6100</v>
      </c>
      <c r="L5498" t="s">
        <v>6100</v>
      </c>
      <c r="M5498" t="s">
        <v>6100</v>
      </c>
      <c r="O5498" t="s">
        <v>6101</v>
      </c>
      <c r="P5498" t="s">
        <v>6115</v>
      </c>
      <c r="Q5498">
        <v>9</v>
      </c>
      <c r="R5498">
        <v>2026</v>
      </c>
      <c r="U5498" t="s">
        <v>6018</v>
      </c>
      <c r="V5498">
        <v>0</v>
      </c>
    </row>
    <row r="5499" spans="1:22" x14ac:dyDescent="0.3">
      <c r="A5499" t="s">
        <v>5514</v>
      </c>
      <c r="B5499" s="2">
        <v>46271.643055555556</v>
      </c>
      <c r="C5499" s="2">
        <v>46271.868055555555</v>
      </c>
      <c r="D5499" t="s">
        <v>6023</v>
      </c>
      <c r="E5499" t="s">
        <v>6029</v>
      </c>
      <c r="F5499" t="s">
        <v>6034</v>
      </c>
      <c r="G5499" t="s">
        <v>6059</v>
      </c>
      <c r="H5499" t="s">
        <v>6097</v>
      </c>
      <c r="I5499">
        <v>24</v>
      </c>
      <c r="J5499">
        <v>5.4</v>
      </c>
      <c r="K5499" t="s">
        <v>6099</v>
      </c>
      <c r="L5499" t="s">
        <v>6100</v>
      </c>
      <c r="M5499" t="s">
        <v>6100</v>
      </c>
      <c r="N5499">
        <v>4</v>
      </c>
      <c r="O5499" t="s">
        <v>6101</v>
      </c>
      <c r="P5499" t="s">
        <v>6115</v>
      </c>
      <c r="Q5499">
        <v>9</v>
      </c>
      <c r="R5499">
        <v>2026</v>
      </c>
      <c r="S5499" t="s">
        <v>6099</v>
      </c>
      <c r="T5499">
        <v>1</v>
      </c>
      <c r="U5499" t="s">
        <v>6018</v>
      </c>
      <c r="V5499">
        <v>1</v>
      </c>
    </row>
    <row r="5500" spans="1:22" x14ac:dyDescent="0.3">
      <c r="A5500" t="s">
        <v>5515</v>
      </c>
      <c r="B5500" s="2">
        <v>46271.707638888889</v>
      </c>
      <c r="C5500" s="2">
        <v>46273.995138888888</v>
      </c>
      <c r="D5500" t="s">
        <v>6025</v>
      </c>
      <c r="E5500" t="s">
        <v>6031</v>
      </c>
      <c r="F5500" t="s">
        <v>6034</v>
      </c>
      <c r="G5500" t="s">
        <v>6089</v>
      </c>
      <c r="H5500" t="s">
        <v>6098</v>
      </c>
      <c r="I5500">
        <v>24</v>
      </c>
      <c r="J5500">
        <v>54.9</v>
      </c>
      <c r="K5500" t="s">
        <v>6100</v>
      </c>
      <c r="L5500" t="s">
        <v>6099</v>
      </c>
      <c r="M5500" t="s">
        <v>6100</v>
      </c>
      <c r="N5500">
        <v>3</v>
      </c>
      <c r="O5500" t="s">
        <v>6101</v>
      </c>
      <c r="P5500" t="s">
        <v>6115</v>
      </c>
      <c r="Q5500">
        <v>9</v>
      </c>
      <c r="R5500">
        <v>2026</v>
      </c>
      <c r="S5500" t="s">
        <v>6100</v>
      </c>
      <c r="T5500">
        <v>0</v>
      </c>
      <c r="U5500" t="s">
        <v>6020</v>
      </c>
      <c r="V5500">
        <v>0</v>
      </c>
    </row>
    <row r="5501" spans="1:22" x14ac:dyDescent="0.3">
      <c r="A5501" t="s">
        <v>5516</v>
      </c>
      <c r="B5501" s="2">
        <v>46271.708333333336</v>
      </c>
      <c r="C5501" s="2">
        <v>46273.133333333331</v>
      </c>
      <c r="D5501" t="s">
        <v>6022</v>
      </c>
      <c r="E5501" t="s">
        <v>6030</v>
      </c>
      <c r="F5501" t="s">
        <v>6034</v>
      </c>
      <c r="G5501" t="s">
        <v>6084</v>
      </c>
      <c r="H5501" t="s">
        <v>6098</v>
      </c>
      <c r="I5501">
        <v>24</v>
      </c>
      <c r="J5501">
        <v>34.200000000000003</v>
      </c>
      <c r="K5501" t="s">
        <v>6099</v>
      </c>
      <c r="L5501" t="s">
        <v>6100</v>
      </c>
      <c r="M5501" t="s">
        <v>6100</v>
      </c>
      <c r="N5501">
        <v>5</v>
      </c>
      <c r="O5501" t="s">
        <v>6101</v>
      </c>
      <c r="P5501" t="s">
        <v>6115</v>
      </c>
      <c r="Q5501">
        <v>9</v>
      </c>
      <c r="R5501">
        <v>2026</v>
      </c>
      <c r="S5501" t="s">
        <v>6100</v>
      </c>
      <c r="T5501">
        <v>0</v>
      </c>
      <c r="U5501" t="s">
        <v>6019</v>
      </c>
      <c r="V5501">
        <v>1</v>
      </c>
    </row>
    <row r="5502" spans="1:22" x14ac:dyDescent="0.3">
      <c r="A5502" t="s">
        <v>5517</v>
      </c>
      <c r="B5502" s="2">
        <v>46271.740972222222</v>
      </c>
      <c r="C5502" s="2">
        <v>46272.057638888888</v>
      </c>
      <c r="D5502" t="s">
        <v>6023</v>
      </c>
      <c r="E5502" t="s">
        <v>6030</v>
      </c>
      <c r="F5502" t="s">
        <v>6034</v>
      </c>
      <c r="G5502" t="s">
        <v>6053</v>
      </c>
      <c r="H5502" t="s">
        <v>6097</v>
      </c>
      <c r="I5502">
        <v>24</v>
      </c>
      <c r="J5502">
        <v>7.6</v>
      </c>
      <c r="K5502" t="s">
        <v>6099</v>
      </c>
      <c r="L5502" t="s">
        <v>6100</v>
      </c>
      <c r="M5502" t="s">
        <v>6100</v>
      </c>
      <c r="N5502">
        <v>4</v>
      </c>
      <c r="O5502" t="s">
        <v>6101</v>
      </c>
      <c r="P5502" t="s">
        <v>6115</v>
      </c>
      <c r="Q5502">
        <v>9</v>
      </c>
      <c r="R5502">
        <v>2026</v>
      </c>
      <c r="S5502" t="s">
        <v>6099</v>
      </c>
      <c r="T5502">
        <v>1</v>
      </c>
      <c r="U5502" t="s">
        <v>6018</v>
      </c>
      <c r="V5502">
        <v>1</v>
      </c>
    </row>
    <row r="5503" spans="1:22" x14ac:dyDescent="0.3">
      <c r="A5503" t="s">
        <v>5518</v>
      </c>
      <c r="B5503" s="2">
        <v>46271.80972222222</v>
      </c>
      <c r="C5503" s="2">
        <v>46273.797222222223</v>
      </c>
      <c r="D5503" t="s">
        <v>6023</v>
      </c>
      <c r="E5503" t="s">
        <v>6029</v>
      </c>
      <c r="F5503" t="s">
        <v>6033</v>
      </c>
      <c r="G5503" t="s">
        <v>6073</v>
      </c>
      <c r="H5503" t="s">
        <v>6096</v>
      </c>
      <c r="I5503">
        <v>72</v>
      </c>
      <c r="J5503">
        <v>47.7</v>
      </c>
      <c r="K5503" t="s">
        <v>6099</v>
      </c>
      <c r="L5503" t="s">
        <v>6100</v>
      </c>
      <c r="M5503" t="s">
        <v>6100</v>
      </c>
      <c r="O5503" t="s">
        <v>6101</v>
      </c>
      <c r="P5503" t="s">
        <v>6115</v>
      </c>
      <c r="Q5503">
        <v>9</v>
      </c>
      <c r="R5503">
        <v>2026</v>
      </c>
      <c r="S5503" t="s">
        <v>6099</v>
      </c>
      <c r="T5503">
        <v>1</v>
      </c>
      <c r="U5503" t="s">
        <v>6019</v>
      </c>
      <c r="V5503">
        <v>1</v>
      </c>
    </row>
    <row r="5504" spans="1:22" x14ac:dyDescent="0.3">
      <c r="A5504" t="s">
        <v>5519</v>
      </c>
      <c r="B5504" s="2">
        <v>46271.825694444444</v>
      </c>
      <c r="C5504" s="2">
        <v>46272.479861111111</v>
      </c>
      <c r="D5504" t="s">
        <v>6023</v>
      </c>
      <c r="E5504" t="s">
        <v>6032</v>
      </c>
      <c r="F5504" t="s">
        <v>6035</v>
      </c>
      <c r="G5504" t="s">
        <v>6090</v>
      </c>
      <c r="H5504" t="s">
        <v>6097</v>
      </c>
      <c r="I5504">
        <v>4</v>
      </c>
      <c r="J5504">
        <v>15.7</v>
      </c>
      <c r="K5504" t="s">
        <v>6099</v>
      </c>
      <c r="L5504" t="s">
        <v>6100</v>
      </c>
      <c r="M5504" t="s">
        <v>6100</v>
      </c>
      <c r="N5504">
        <v>5</v>
      </c>
      <c r="O5504" t="s">
        <v>6101</v>
      </c>
      <c r="P5504" t="s">
        <v>6115</v>
      </c>
      <c r="Q5504">
        <v>9</v>
      </c>
      <c r="R5504">
        <v>2026</v>
      </c>
      <c r="S5504" t="s">
        <v>6100</v>
      </c>
      <c r="T5504">
        <v>0</v>
      </c>
      <c r="U5504" t="s">
        <v>6019</v>
      </c>
      <c r="V5504">
        <v>1</v>
      </c>
    </row>
    <row r="5505" spans="1:22" x14ac:dyDescent="0.3">
      <c r="A5505" t="s">
        <v>5520</v>
      </c>
      <c r="B5505" s="2">
        <v>46271.862500000003</v>
      </c>
      <c r="C5505" s="2">
        <v>46273.395833333336</v>
      </c>
      <c r="D5505" t="s">
        <v>6026</v>
      </c>
      <c r="E5505" t="s">
        <v>6030</v>
      </c>
      <c r="F5505" t="s">
        <v>6034</v>
      </c>
      <c r="G5505" t="s">
        <v>6084</v>
      </c>
      <c r="H5505" t="s">
        <v>6098</v>
      </c>
      <c r="I5505">
        <v>24</v>
      </c>
      <c r="J5505">
        <v>36.799999999999997</v>
      </c>
      <c r="K5505" t="s">
        <v>6099</v>
      </c>
      <c r="L5505" t="s">
        <v>6100</v>
      </c>
      <c r="M5505" t="s">
        <v>6100</v>
      </c>
      <c r="N5505">
        <v>5</v>
      </c>
      <c r="O5505" t="s">
        <v>6101</v>
      </c>
      <c r="P5505" t="s">
        <v>6115</v>
      </c>
      <c r="Q5505">
        <v>9</v>
      </c>
      <c r="R5505">
        <v>2026</v>
      </c>
      <c r="S5505" t="s">
        <v>6100</v>
      </c>
      <c r="T5505">
        <v>0</v>
      </c>
      <c r="U5505" t="s">
        <v>6020</v>
      </c>
      <c r="V5505">
        <v>1</v>
      </c>
    </row>
    <row r="5506" spans="1:22" x14ac:dyDescent="0.3">
      <c r="A5506" t="s">
        <v>5521</v>
      </c>
      <c r="B5506" s="2">
        <v>46272.161805555559</v>
      </c>
      <c r="C5506" s="2">
        <v>46272.336805555555</v>
      </c>
      <c r="D5506" t="s">
        <v>6027</v>
      </c>
      <c r="E5506" t="s">
        <v>6030</v>
      </c>
      <c r="F5506" t="s">
        <v>6033</v>
      </c>
      <c r="G5506" t="s">
        <v>6041</v>
      </c>
      <c r="H5506" t="s">
        <v>6096</v>
      </c>
      <c r="I5506">
        <v>72</v>
      </c>
      <c r="J5506">
        <v>4.2</v>
      </c>
      <c r="K5506" t="s">
        <v>6100</v>
      </c>
      <c r="L5506" t="s">
        <v>6099</v>
      </c>
      <c r="M5506" t="s">
        <v>6100</v>
      </c>
      <c r="O5506" t="s">
        <v>6101</v>
      </c>
      <c r="P5506" t="s">
        <v>6115</v>
      </c>
      <c r="Q5506">
        <v>9</v>
      </c>
      <c r="R5506">
        <v>2026</v>
      </c>
      <c r="S5506" t="s">
        <v>6099</v>
      </c>
      <c r="T5506">
        <v>1</v>
      </c>
      <c r="U5506" t="s">
        <v>6019</v>
      </c>
      <c r="V5506">
        <v>0</v>
      </c>
    </row>
    <row r="5507" spans="1:22" x14ac:dyDescent="0.3">
      <c r="A5507" t="s">
        <v>5522</v>
      </c>
      <c r="B5507" s="2">
        <v>46272.234027777777</v>
      </c>
      <c r="C5507" s="2">
        <v>46272.509027777778</v>
      </c>
      <c r="D5507" t="s">
        <v>6024</v>
      </c>
      <c r="E5507" t="s">
        <v>6030</v>
      </c>
      <c r="F5507" t="s">
        <v>6035</v>
      </c>
      <c r="G5507" t="s">
        <v>6064</v>
      </c>
      <c r="H5507" t="s">
        <v>6096</v>
      </c>
      <c r="I5507">
        <v>4</v>
      </c>
      <c r="J5507">
        <v>6.6</v>
      </c>
      <c r="K5507" t="s">
        <v>6100</v>
      </c>
      <c r="L5507" t="s">
        <v>6100</v>
      </c>
      <c r="M5507" t="s">
        <v>6100</v>
      </c>
      <c r="O5507" t="s">
        <v>6101</v>
      </c>
      <c r="P5507" t="s">
        <v>6115</v>
      </c>
      <c r="Q5507">
        <v>9</v>
      </c>
      <c r="R5507">
        <v>2026</v>
      </c>
      <c r="S5507" t="s">
        <v>6100</v>
      </c>
      <c r="T5507">
        <v>0</v>
      </c>
      <c r="U5507" t="s">
        <v>6021</v>
      </c>
      <c r="V5507">
        <v>0</v>
      </c>
    </row>
    <row r="5508" spans="1:22" x14ac:dyDescent="0.3">
      <c r="A5508" t="s">
        <v>5523</v>
      </c>
      <c r="B5508" s="2">
        <v>46272.257638888892</v>
      </c>
      <c r="C5508" s="2">
        <v>46272.420138888891</v>
      </c>
      <c r="D5508" t="s">
        <v>6027</v>
      </c>
      <c r="E5508" t="s">
        <v>6030</v>
      </c>
      <c r="F5508" t="s">
        <v>6033</v>
      </c>
      <c r="G5508" t="s">
        <v>6092</v>
      </c>
      <c r="H5508" t="s">
        <v>6097</v>
      </c>
      <c r="I5508">
        <v>72</v>
      </c>
      <c r="J5508">
        <v>3.9</v>
      </c>
      <c r="K5508" t="s">
        <v>6100</v>
      </c>
      <c r="L5508" t="s">
        <v>6100</v>
      </c>
      <c r="M5508" t="s">
        <v>6100</v>
      </c>
      <c r="O5508" t="s">
        <v>6101</v>
      </c>
      <c r="P5508" t="s">
        <v>6115</v>
      </c>
      <c r="Q5508">
        <v>9</v>
      </c>
      <c r="R5508">
        <v>2026</v>
      </c>
      <c r="S5508" t="s">
        <v>6099</v>
      </c>
      <c r="T5508">
        <v>1</v>
      </c>
      <c r="U5508" t="s">
        <v>6018</v>
      </c>
      <c r="V5508">
        <v>0</v>
      </c>
    </row>
    <row r="5509" spans="1:22" x14ac:dyDescent="0.3">
      <c r="A5509" t="s">
        <v>5524</v>
      </c>
      <c r="B5509" s="2">
        <v>46272.279166666667</v>
      </c>
      <c r="C5509" s="2">
        <v>46272.695833333331</v>
      </c>
      <c r="D5509" t="s">
        <v>6025</v>
      </c>
      <c r="E5509" t="s">
        <v>6029</v>
      </c>
      <c r="F5509" t="s">
        <v>6034</v>
      </c>
      <c r="G5509" t="s">
        <v>6084</v>
      </c>
      <c r="H5509" t="s">
        <v>6098</v>
      </c>
      <c r="I5509">
        <v>24</v>
      </c>
      <c r="J5509">
        <v>10</v>
      </c>
      <c r="K5509" t="s">
        <v>6099</v>
      </c>
      <c r="L5509" t="s">
        <v>6100</v>
      </c>
      <c r="M5509" t="s">
        <v>6100</v>
      </c>
      <c r="O5509" t="s">
        <v>6101</v>
      </c>
      <c r="P5509" t="s">
        <v>6115</v>
      </c>
      <c r="Q5509">
        <v>9</v>
      </c>
      <c r="R5509">
        <v>2026</v>
      </c>
      <c r="S5509" t="s">
        <v>6099</v>
      </c>
      <c r="T5509">
        <v>1</v>
      </c>
      <c r="U5509" t="s">
        <v>6019</v>
      </c>
      <c r="V5509">
        <v>1</v>
      </c>
    </row>
    <row r="5510" spans="1:22" x14ac:dyDescent="0.3">
      <c r="A5510" t="s">
        <v>5525</v>
      </c>
      <c r="B5510" s="2">
        <v>46272.328472222223</v>
      </c>
      <c r="C5510" s="2">
        <v>46272.728472222225</v>
      </c>
      <c r="D5510" t="s">
        <v>6023</v>
      </c>
      <c r="E5510" t="s">
        <v>6029</v>
      </c>
      <c r="F5510" t="s">
        <v>6034</v>
      </c>
      <c r="G5510" t="s">
        <v>6041</v>
      </c>
      <c r="H5510" t="s">
        <v>6096</v>
      </c>
      <c r="I5510">
        <v>24</v>
      </c>
      <c r="J5510">
        <v>9.6</v>
      </c>
      <c r="K5510" t="s">
        <v>6099</v>
      </c>
      <c r="L5510" t="s">
        <v>6100</v>
      </c>
      <c r="M5510" t="s">
        <v>6100</v>
      </c>
      <c r="N5510">
        <v>5</v>
      </c>
      <c r="O5510" t="s">
        <v>6101</v>
      </c>
      <c r="P5510" t="s">
        <v>6115</v>
      </c>
      <c r="Q5510">
        <v>9</v>
      </c>
      <c r="R5510">
        <v>2026</v>
      </c>
      <c r="S5510" t="s">
        <v>6099</v>
      </c>
      <c r="T5510">
        <v>1</v>
      </c>
      <c r="U5510" t="s">
        <v>6020</v>
      </c>
      <c r="V5510">
        <v>1</v>
      </c>
    </row>
    <row r="5511" spans="1:22" x14ac:dyDescent="0.3">
      <c r="A5511" t="s">
        <v>5526</v>
      </c>
      <c r="B5511" s="2">
        <v>46272.333333333336</v>
      </c>
      <c r="C5511" s="2">
        <v>46272.479166666664</v>
      </c>
      <c r="D5511" t="s">
        <v>6028</v>
      </c>
      <c r="E5511" t="s">
        <v>6030</v>
      </c>
      <c r="F5511" t="s">
        <v>6035</v>
      </c>
      <c r="G5511" t="s">
        <v>6075</v>
      </c>
      <c r="H5511" t="s">
        <v>6097</v>
      </c>
      <c r="I5511">
        <v>4</v>
      </c>
      <c r="J5511">
        <v>3.5</v>
      </c>
      <c r="K5511" t="s">
        <v>6099</v>
      </c>
      <c r="L5511" t="s">
        <v>6100</v>
      </c>
      <c r="M5511" t="s">
        <v>6099</v>
      </c>
      <c r="O5511" t="s">
        <v>6101</v>
      </c>
      <c r="P5511" t="s">
        <v>6115</v>
      </c>
      <c r="Q5511">
        <v>9</v>
      </c>
      <c r="R5511">
        <v>2026</v>
      </c>
      <c r="S5511" t="s">
        <v>6099</v>
      </c>
      <c r="T5511">
        <v>1</v>
      </c>
      <c r="U5511" t="s">
        <v>6021</v>
      </c>
      <c r="V5511">
        <v>1</v>
      </c>
    </row>
    <row r="5512" spans="1:22" x14ac:dyDescent="0.3">
      <c r="A5512" t="s">
        <v>5527</v>
      </c>
      <c r="B5512" s="2">
        <v>46272.337500000001</v>
      </c>
      <c r="C5512" s="2">
        <v>46272.570833333331</v>
      </c>
      <c r="D5512" t="s">
        <v>6024</v>
      </c>
      <c r="E5512" t="s">
        <v>6029</v>
      </c>
      <c r="F5512" t="s">
        <v>6034</v>
      </c>
      <c r="G5512" t="s">
        <v>6076</v>
      </c>
      <c r="H5512" t="s">
        <v>6097</v>
      </c>
      <c r="I5512">
        <v>24</v>
      </c>
      <c r="J5512">
        <v>5.6</v>
      </c>
      <c r="K5512" t="s">
        <v>6099</v>
      </c>
      <c r="L5512" t="s">
        <v>6100</v>
      </c>
      <c r="M5512" t="s">
        <v>6100</v>
      </c>
      <c r="N5512">
        <v>5</v>
      </c>
      <c r="O5512" t="s">
        <v>6101</v>
      </c>
      <c r="P5512" t="s">
        <v>6115</v>
      </c>
      <c r="Q5512">
        <v>9</v>
      </c>
      <c r="R5512">
        <v>2026</v>
      </c>
      <c r="S5512" t="s">
        <v>6099</v>
      </c>
      <c r="T5512">
        <v>1</v>
      </c>
      <c r="U5512" t="s">
        <v>6021</v>
      </c>
      <c r="V5512">
        <v>1</v>
      </c>
    </row>
    <row r="5513" spans="1:22" x14ac:dyDescent="0.3">
      <c r="A5513" t="s">
        <v>5528</v>
      </c>
      <c r="B5513" s="2">
        <v>46272.34375</v>
      </c>
      <c r="C5513" s="2">
        <v>46272.939583333333</v>
      </c>
      <c r="D5513" t="s">
        <v>6027</v>
      </c>
      <c r="E5513" t="s">
        <v>6029</v>
      </c>
      <c r="F5513" t="s">
        <v>6035</v>
      </c>
      <c r="G5513" t="s">
        <v>6039</v>
      </c>
      <c r="H5513" t="s">
        <v>6097</v>
      </c>
      <c r="I5513">
        <v>4</v>
      </c>
      <c r="J5513">
        <v>14.3</v>
      </c>
      <c r="K5513" t="s">
        <v>6099</v>
      </c>
      <c r="L5513" t="s">
        <v>6100</v>
      </c>
      <c r="M5513" t="s">
        <v>6100</v>
      </c>
      <c r="N5513">
        <v>4</v>
      </c>
      <c r="O5513" t="s">
        <v>6101</v>
      </c>
      <c r="P5513" t="s">
        <v>6115</v>
      </c>
      <c r="Q5513">
        <v>9</v>
      </c>
      <c r="R5513">
        <v>2026</v>
      </c>
      <c r="S5513" t="s">
        <v>6100</v>
      </c>
      <c r="T5513">
        <v>0</v>
      </c>
      <c r="U5513" t="s">
        <v>6021</v>
      </c>
      <c r="V5513">
        <v>1</v>
      </c>
    </row>
    <row r="5514" spans="1:22" x14ac:dyDescent="0.3">
      <c r="A5514" t="s">
        <v>5529</v>
      </c>
      <c r="B5514" s="2">
        <v>46272.369444444441</v>
      </c>
      <c r="C5514" s="2">
        <v>46273.365277777775</v>
      </c>
      <c r="D5514" t="s">
        <v>6025</v>
      </c>
      <c r="E5514" t="s">
        <v>6029</v>
      </c>
      <c r="F5514" t="s">
        <v>6033</v>
      </c>
      <c r="G5514" t="s">
        <v>6049</v>
      </c>
      <c r="H5514" t="s">
        <v>6097</v>
      </c>
      <c r="I5514">
        <v>72</v>
      </c>
      <c r="J5514">
        <v>23.9</v>
      </c>
      <c r="K5514" t="s">
        <v>6099</v>
      </c>
      <c r="L5514" t="s">
        <v>6100</v>
      </c>
      <c r="M5514" t="s">
        <v>6100</v>
      </c>
      <c r="N5514">
        <v>4</v>
      </c>
      <c r="O5514" t="s">
        <v>6101</v>
      </c>
      <c r="P5514" t="s">
        <v>6115</v>
      </c>
      <c r="Q5514">
        <v>9</v>
      </c>
      <c r="R5514">
        <v>2026</v>
      </c>
      <c r="S5514" t="s">
        <v>6099</v>
      </c>
      <c r="T5514">
        <v>1</v>
      </c>
      <c r="U5514" t="s">
        <v>6019</v>
      </c>
      <c r="V5514">
        <v>1</v>
      </c>
    </row>
    <row r="5515" spans="1:22" x14ac:dyDescent="0.3">
      <c r="A5515" t="s">
        <v>5530</v>
      </c>
      <c r="B5515" s="2">
        <v>46272.381944444445</v>
      </c>
      <c r="C5515" s="2">
        <v>46272.62777777778</v>
      </c>
      <c r="D5515" t="s">
        <v>6025</v>
      </c>
      <c r="E5515" t="s">
        <v>6030</v>
      </c>
      <c r="F5515" t="s">
        <v>6033</v>
      </c>
      <c r="G5515" t="s">
        <v>6085</v>
      </c>
      <c r="H5515" t="s">
        <v>6097</v>
      </c>
      <c r="I5515">
        <v>72</v>
      </c>
      <c r="J5515">
        <v>5.9</v>
      </c>
      <c r="K5515" t="s">
        <v>6099</v>
      </c>
      <c r="L5515" t="s">
        <v>6100</v>
      </c>
      <c r="M5515" t="s">
        <v>6100</v>
      </c>
      <c r="O5515" t="s">
        <v>6101</v>
      </c>
      <c r="P5515" t="s">
        <v>6115</v>
      </c>
      <c r="Q5515">
        <v>9</v>
      </c>
      <c r="R5515">
        <v>2026</v>
      </c>
      <c r="S5515" t="s">
        <v>6099</v>
      </c>
      <c r="T5515">
        <v>1</v>
      </c>
      <c r="U5515" t="s">
        <v>6018</v>
      </c>
      <c r="V5515">
        <v>1</v>
      </c>
    </row>
    <row r="5516" spans="1:22" x14ac:dyDescent="0.3">
      <c r="A5516" t="s">
        <v>5531</v>
      </c>
      <c r="B5516" s="2">
        <v>46272.386111111111</v>
      </c>
      <c r="C5516" s="2">
        <v>46272.444444444445</v>
      </c>
      <c r="D5516" t="s">
        <v>6023</v>
      </c>
      <c r="E5516" t="s">
        <v>6030</v>
      </c>
      <c r="F5516" t="s">
        <v>6033</v>
      </c>
      <c r="G5516" t="s">
        <v>6089</v>
      </c>
      <c r="H5516" t="s">
        <v>6098</v>
      </c>
      <c r="I5516">
        <v>72</v>
      </c>
      <c r="J5516">
        <v>1.4</v>
      </c>
      <c r="K5516" t="s">
        <v>6099</v>
      </c>
      <c r="L5516" t="s">
        <v>6100</v>
      </c>
      <c r="M5516" t="s">
        <v>6100</v>
      </c>
      <c r="O5516" t="s">
        <v>6101</v>
      </c>
      <c r="P5516" t="s">
        <v>6115</v>
      </c>
      <c r="Q5516">
        <v>9</v>
      </c>
      <c r="R5516">
        <v>2026</v>
      </c>
      <c r="S5516" t="s">
        <v>6099</v>
      </c>
      <c r="T5516">
        <v>1</v>
      </c>
      <c r="U5516" t="s">
        <v>6021</v>
      </c>
      <c r="V5516">
        <v>1</v>
      </c>
    </row>
    <row r="5517" spans="1:22" x14ac:dyDescent="0.3">
      <c r="A5517" t="s">
        <v>5532</v>
      </c>
      <c r="B5517" s="2">
        <v>46272.39166666667</v>
      </c>
      <c r="C5517" s="2">
        <v>46272.92083333333</v>
      </c>
      <c r="D5517" t="s">
        <v>6024</v>
      </c>
      <c r="E5517" t="s">
        <v>6029</v>
      </c>
      <c r="F5517" t="s">
        <v>6033</v>
      </c>
      <c r="G5517" t="s">
        <v>6054</v>
      </c>
      <c r="H5517" t="s">
        <v>6096</v>
      </c>
      <c r="I5517">
        <v>72</v>
      </c>
      <c r="J5517">
        <v>12.7</v>
      </c>
      <c r="K5517" t="s">
        <v>6100</v>
      </c>
      <c r="L5517" t="s">
        <v>6100</v>
      </c>
      <c r="M5517" t="s">
        <v>6100</v>
      </c>
      <c r="N5517">
        <v>5</v>
      </c>
      <c r="O5517" t="s">
        <v>6101</v>
      </c>
      <c r="P5517" t="s">
        <v>6115</v>
      </c>
      <c r="Q5517">
        <v>9</v>
      </c>
      <c r="R5517">
        <v>2026</v>
      </c>
      <c r="S5517" t="s">
        <v>6099</v>
      </c>
      <c r="T5517">
        <v>1</v>
      </c>
      <c r="U5517" t="s">
        <v>6018</v>
      </c>
      <c r="V5517">
        <v>0</v>
      </c>
    </row>
    <row r="5518" spans="1:22" x14ac:dyDescent="0.3">
      <c r="A5518" t="s">
        <v>5533</v>
      </c>
      <c r="B5518" s="2">
        <v>46272.438194444447</v>
      </c>
      <c r="C5518" s="2">
        <v>46272.696527777778</v>
      </c>
      <c r="D5518" t="s">
        <v>6027</v>
      </c>
      <c r="E5518" t="s">
        <v>6029</v>
      </c>
      <c r="F5518" t="s">
        <v>6033</v>
      </c>
      <c r="G5518" t="s">
        <v>6050</v>
      </c>
      <c r="H5518" t="s">
        <v>6098</v>
      </c>
      <c r="I5518">
        <v>72</v>
      </c>
      <c r="J5518">
        <v>6.2</v>
      </c>
      <c r="K5518" t="s">
        <v>6099</v>
      </c>
      <c r="L5518" t="s">
        <v>6100</v>
      </c>
      <c r="M5518" t="s">
        <v>6100</v>
      </c>
      <c r="O5518" t="s">
        <v>6101</v>
      </c>
      <c r="P5518" t="s">
        <v>6115</v>
      </c>
      <c r="Q5518">
        <v>9</v>
      </c>
      <c r="R5518">
        <v>2026</v>
      </c>
      <c r="S5518" t="s">
        <v>6099</v>
      </c>
      <c r="T5518">
        <v>1</v>
      </c>
      <c r="U5518" t="s">
        <v>6018</v>
      </c>
      <c r="V5518">
        <v>1</v>
      </c>
    </row>
    <row r="5519" spans="1:22" x14ac:dyDescent="0.3">
      <c r="A5519" t="s">
        <v>5534</v>
      </c>
      <c r="B5519" s="2">
        <v>46272.445833333331</v>
      </c>
      <c r="C5519" s="2">
        <v>46275.083333333336</v>
      </c>
      <c r="D5519" t="s">
        <v>6026</v>
      </c>
      <c r="E5519" t="s">
        <v>6031</v>
      </c>
      <c r="F5519" t="s">
        <v>6033</v>
      </c>
      <c r="G5519" t="s">
        <v>6067</v>
      </c>
      <c r="H5519" t="s">
        <v>6098</v>
      </c>
      <c r="I5519">
        <v>72</v>
      </c>
      <c r="J5519">
        <v>63.3</v>
      </c>
      <c r="K5519" t="s">
        <v>6099</v>
      </c>
      <c r="L5519" t="s">
        <v>6100</v>
      </c>
      <c r="M5519" t="s">
        <v>6100</v>
      </c>
      <c r="O5519" t="s">
        <v>6101</v>
      </c>
      <c r="P5519" t="s">
        <v>6115</v>
      </c>
      <c r="Q5519">
        <v>9</v>
      </c>
      <c r="R5519">
        <v>2026</v>
      </c>
      <c r="S5519" t="s">
        <v>6099</v>
      </c>
      <c r="T5519">
        <v>1</v>
      </c>
      <c r="U5519" t="s">
        <v>6019</v>
      </c>
      <c r="V5519">
        <v>1</v>
      </c>
    </row>
    <row r="5520" spans="1:22" x14ac:dyDescent="0.3">
      <c r="A5520" t="s">
        <v>5535</v>
      </c>
      <c r="B5520" s="2">
        <v>46272.467361111114</v>
      </c>
      <c r="C5520" s="2">
        <v>46272.84652777778</v>
      </c>
      <c r="D5520" t="s">
        <v>6027</v>
      </c>
      <c r="E5520" t="s">
        <v>6029</v>
      </c>
      <c r="F5520" t="s">
        <v>6034</v>
      </c>
      <c r="G5520" t="s">
        <v>6038</v>
      </c>
      <c r="H5520" t="s">
        <v>6096</v>
      </c>
      <c r="I5520">
        <v>24</v>
      </c>
      <c r="J5520">
        <v>9.1</v>
      </c>
      <c r="K5520" t="s">
        <v>6099</v>
      </c>
      <c r="L5520" t="s">
        <v>6100</v>
      </c>
      <c r="M5520" t="s">
        <v>6100</v>
      </c>
      <c r="O5520" t="s">
        <v>6101</v>
      </c>
      <c r="P5520" t="s">
        <v>6115</v>
      </c>
      <c r="Q5520">
        <v>9</v>
      </c>
      <c r="R5520">
        <v>2026</v>
      </c>
      <c r="S5520" t="s">
        <v>6099</v>
      </c>
      <c r="T5520">
        <v>1</v>
      </c>
      <c r="U5520" t="s">
        <v>6021</v>
      </c>
      <c r="V5520">
        <v>1</v>
      </c>
    </row>
    <row r="5521" spans="1:22" x14ac:dyDescent="0.3">
      <c r="A5521" t="s">
        <v>5536</v>
      </c>
      <c r="B5521" s="2">
        <v>46272.490972222222</v>
      </c>
      <c r="C5521" s="2">
        <v>46272.799305555556</v>
      </c>
      <c r="D5521" t="s">
        <v>6028</v>
      </c>
      <c r="E5521" t="s">
        <v>6029</v>
      </c>
      <c r="F5521" t="s">
        <v>6034</v>
      </c>
      <c r="G5521" t="s">
        <v>6054</v>
      </c>
      <c r="H5521" t="s">
        <v>6096</v>
      </c>
      <c r="I5521">
        <v>24</v>
      </c>
      <c r="J5521">
        <v>7.4</v>
      </c>
      <c r="K5521" t="s">
        <v>6100</v>
      </c>
      <c r="L5521" t="s">
        <v>6099</v>
      </c>
      <c r="M5521" t="s">
        <v>6100</v>
      </c>
      <c r="N5521">
        <v>5</v>
      </c>
      <c r="O5521" t="s">
        <v>6101</v>
      </c>
      <c r="P5521" t="s">
        <v>6115</v>
      </c>
      <c r="Q5521">
        <v>9</v>
      </c>
      <c r="R5521">
        <v>2026</v>
      </c>
      <c r="S5521" t="s">
        <v>6099</v>
      </c>
      <c r="T5521">
        <v>1</v>
      </c>
      <c r="U5521" t="s">
        <v>6020</v>
      </c>
      <c r="V5521">
        <v>0</v>
      </c>
    </row>
    <row r="5522" spans="1:22" x14ac:dyDescent="0.3">
      <c r="A5522" t="s">
        <v>5537</v>
      </c>
      <c r="B5522" s="2">
        <v>46272.533333333333</v>
      </c>
      <c r="C5522" s="2">
        <v>46272.770833333336</v>
      </c>
      <c r="D5522" t="s">
        <v>6023</v>
      </c>
      <c r="E5522" t="s">
        <v>6029</v>
      </c>
      <c r="F5522" t="s">
        <v>6033</v>
      </c>
      <c r="G5522" t="s">
        <v>6055</v>
      </c>
      <c r="H5522" t="s">
        <v>6096</v>
      </c>
      <c r="I5522">
        <v>72</v>
      </c>
      <c r="J5522">
        <v>5.7</v>
      </c>
      <c r="K5522" t="s">
        <v>6099</v>
      </c>
      <c r="L5522" t="s">
        <v>6100</v>
      </c>
      <c r="M5522" t="s">
        <v>6100</v>
      </c>
      <c r="N5522">
        <v>4</v>
      </c>
      <c r="O5522" t="s">
        <v>6101</v>
      </c>
      <c r="P5522" t="s">
        <v>6115</v>
      </c>
      <c r="Q5522">
        <v>9</v>
      </c>
      <c r="R5522">
        <v>2026</v>
      </c>
      <c r="S5522" t="s">
        <v>6099</v>
      </c>
      <c r="T5522">
        <v>1</v>
      </c>
      <c r="U5522" t="s">
        <v>6019</v>
      </c>
      <c r="V5522">
        <v>1</v>
      </c>
    </row>
    <row r="5523" spans="1:22" x14ac:dyDescent="0.3">
      <c r="A5523" t="s">
        <v>5538</v>
      </c>
      <c r="B5523" s="2">
        <v>46272.536111111112</v>
      </c>
      <c r="C5523" s="2">
        <v>46272.702777777777</v>
      </c>
      <c r="D5523" t="s">
        <v>6023</v>
      </c>
      <c r="E5523" t="s">
        <v>6029</v>
      </c>
      <c r="F5523" t="s">
        <v>6033</v>
      </c>
      <c r="G5523" t="s">
        <v>6095</v>
      </c>
      <c r="H5523" t="s">
        <v>6098</v>
      </c>
      <c r="I5523">
        <v>72</v>
      </c>
      <c r="J5523">
        <v>4</v>
      </c>
      <c r="K5523" t="s">
        <v>6099</v>
      </c>
      <c r="L5523" t="s">
        <v>6100</v>
      </c>
      <c r="M5523" t="s">
        <v>6100</v>
      </c>
      <c r="N5523">
        <v>5</v>
      </c>
      <c r="O5523" t="s">
        <v>6101</v>
      </c>
      <c r="P5523" t="s">
        <v>6115</v>
      </c>
      <c r="Q5523">
        <v>9</v>
      </c>
      <c r="R5523">
        <v>2026</v>
      </c>
      <c r="S5523" t="s">
        <v>6099</v>
      </c>
      <c r="T5523">
        <v>1</v>
      </c>
      <c r="U5523" t="s">
        <v>6019</v>
      </c>
      <c r="V5523">
        <v>1</v>
      </c>
    </row>
    <row r="5524" spans="1:22" x14ac:dyDescent="0.3">
      <c r="A5524" t="s">
        <v>5539</v>
      </c>
      <c r="B5524" s="2">
        <v>46272.564583333333</v>
      </c>
      <c r="C5524" s="2">
        <v>46276.48541666667</v>
      </c>
      <c r="D5524" t="s">
        <v>6026</v>
      </c>
      <c r="E5524" t="s">
        <v>6031</v>
      </c>
      <c r="F5524" t="s">
        <v>6035</v>
      </c>
      <c r="G5524" t="s">
        <v>6091</v>
      </c>
      <c r="H5524" t="s">
        <v>6097</v>
      </c>
      <c r="I5524">
        <v>4</v>
      </c>
      <c r="J5524">
        <v>94.1</v>
      </c>
      <c r="K5524" t="s">
        <v>6099</v>
      </c>
      <c r="L5524" t="s">
        <v>6100</v>
      </c>
      <c r="M5524" t="s">
        <v>6100</v>
      </c>
      <c r="N5524">
        <v>3</v>
      </c>
      <c r="O5524" t="s">
        <v>6101</v>
      </c>
      <c r="P5524" t="s">
        <v>6115</v>
      </c>
      <c r="Q5524">
        <v>9</v>
      </c>
      <c r="R5524">
        <v>2026</v>
      </c>
      <c r="S5524" t="s">
        <v>6100</v>
      </c>
      <c r="T5524">
        <v>0</v>
      </c>
      <c r="U5524" t="s">
        <v>6018</v>
      </c>
      <c r="V5524">
        <v>1</v>
      </c>
    </row>
    <row r="5525" spans="1:22" x14ac:dyDescent="0.3">
      <c r="A5525" t="s">
        <v>5540</v>
      </c>
      <c r="B5525" s="2">
        <v>46272.580555555556</v>
      </c>
      <c r="C5525" s="2">
        <v>46272.99722222222</v>
      </c>
      <c r="D5525" t="s">
        <v>6025</v>
      </c>
      <c r="E5525" t="s">
        <v>6029</v>
      </c>
      <c r="F5525" t="s">
        <v>6033</v>
      </c>
      <c r="G5525" t="s">
        <v>6082</v>
      </c>
      <c r="H5525" t="s">
        <v>6097</v>
      </c>
      <c r="I5525">
        <v>72</v>
      </c>
      <c r="J5525">
        <v>10</v>
      </c>
      <c r="K5525" t="s">
        <v>6099</v>
      </c>
      <c r="L5525" t="s">
        <v>6100</v>
      </c>
      <c r="M5525" t="s">
        <v>6100</v>
      </c>
      <c r="O5525" t="s">
        <v>6101</v>
      </c>
      <c r="P5525" t="s">
        <v>6115</v>
      </c>
      <c r="Q5525">
        <v>9</v>
      </c>
      <c r="R5525">
        <v>2026</v>
      </c>
      <c r="S5525" t="s">
        <v>6099</v>
      </c>
      <c r="T5525">
        <v>1</v>
      </c>
      <c r="U5525" t="s">
        <v>6020</v>
      </c>
      <c r="V5525">
        <v>1</v>
      </c>
    </row>
    <row r="5526" spans="1:22" x14ac:dyDescent="0.3">
      <c r="A5526" t="s">
        <v>5541</v>
      </c>
      <c r="B5526" s="2">
        <v>46272.636805555558</v>
      </c>
      <c r="C5526" s="2">
        <v>46275.186805555553</v>
      </c>
      <c r="D5526" t="s">
        <v>6026</v>
      </c>
      <c r="E5526" t="s">
        <v>6029</v>
      </c>
      <c r="F5526" t="s">
        <v>6034</v>
      </c>
      <c r="G5526" t="s">
        <v>6058</v>
      </c>
      <c r="H5526" t="s">
        <v>6098</v>
      </c>
      <c r="I5526">
        <v>24</v>
      </c>
      <c r="J5526">
        <v>61.2</v>
      </c>
      <c r="K5526" t="s">
        <v>6099</v>
      </c>
      <c r="L5526" t="s">
        <v>6100</v>
      </c>
      <c r="M5526" t="s">
        <v>6100</v>
      </c>
      <c r="N5526">
        <v>4</v>
      </c>
      <c r="O5526" t="s">
        <v>6101</v>
      </c>
      <c r="P5526" t="s">
        <v>6115</v>
      </c>
      <c r="Q5526">
        <v>9</v>
      </c>
      <c r="R5526">
        <v>2026</v>
      </c>
      <c r="S5526" t="s">
        <v>6100</v>
      </c>
      <c r="T5526">
        <v>0</v>
      </c>
      <c r="U5526" t="s">
        <v>6020</v>
      </c>
      <c r="V5526">
        <v>1</v>
      </c>
    </row>
    <row r="5527" spans="1:22" x14ac:dyDescent="0.3">
      <c r="A5527" t="s">
        <v>5542</v>
      </c>
      <c r="B5527" s="2">
        <v>46272.666666666664</v>
      </c>
      <c r="C5527" s="2">
        <v>46272.945833333331</v>
      </c>
      <c r="D5527" t="s">
        <v>6023</v>
      </c>
      <c r="E5527" t="s">
        <v>6032</v>
      </c>
      <c r="F5527" t="s">
        <v>6033</v>
      </c>
      <c r="G5527" t="s">
        <v>6069</v>
      </c>
      <c r="H5527" t="s">
        <v>6098</v>
      </c>
      <c r="I5527">
        <v>72</v>
      </c>
      <c r="J5527">
        <v>6.7</v>
      </c>
      <c r="K5527" t="s">
        <v>6099</v>
      </c>
      <c r="L5527" t="s">
        <v>6100</v>
      </c>
      <c r="M5527" t="s">
        <v>6100</v>
      </c>
      <c r="N5527">
        <v>5</v>
      </c>
      <c r="O5527" t="s">
        <v>6101</v>
      </c>
      <c r="P5527" t="s">
        <v>6115</v>
      </c>
      <c r="Q5527">
        <v>9</v>
      </c>
      <c r="R5527">
        <v>2026</v>
      </c>
      <c r="S5527" t="s">
        <v>6099</v>
      </c>
      <c r="T5527">
        <v>1</v>
      </c>
      <c r="U5527" t="s">
        <v>6020</v>
      </c>
      <c r="V5527">
        <v>1</v>
      </c>
    </row>
    <row r="5528" spans="1:22" x14ac:dyDescent="0.3">
      <c r="A5528" t="s">
        <v>5543</v>
      </c>
      <c r="B5528" s="2">
        <v>46272.673611111109</v>
      </c>
      <c r="C5528" s="2">
        <v>46276.927777777775</v>
      </c>
      <c r="D5528" t="s">
        <v>6025</v>
      </c>
      <c r="E5528" t="s">
        <v>6032</v>
      </c>
      <c r="F5528" t="s">
        <v>6034</v>
      </c>
      <c r="G5528" t="s">
        <v>6080</v>
      </c>
      <c r="H5528" t="s">
        <v>6096</v>
      </c>
      <c r="I5528">
        <v>24</v>
      </c>
      <c r="J5528">
        <v>102.1</v>
      </c>
      <c r="K5528" t="s">
        <v>6100</v>
      </c>
      <c r="L5528" t="s">
        <v>6100</v>
      </c>
      <c r="M5528" t="s">
        <v>6100</v>
      </c>
      <c r="O5528" t="s">
        <v>6101</v>
      </c>
      <c r="P5528" t="s">
        <v>6115</v>
      </c>
      <c r="Q5528">
        <v>9</v>
      </c>
      <c r="R5528">
        <v>2026</v>
      </c>
      <c r="S5528" t="s">
        <v>6100</v>
      </c>
      <c r="T5528">
        <v>0</v>
      </c>
      <c r="U5528" t="s">
        <v>6020</v>
      </c>
      <c r="V5528">
        <v>0</v>
      </c>
    </row>
    <row r="5529" spans="1:22" x14ac:dyDescent="0.3">
      <c r="A5529" t="s">
        <v>5544</v>
      </c>
      <c r="B5529" s="2">
        <v>46272.688888888886</v>
      </c>
      <c r="C5529" s="2">
        <v>46272.776388888888</v>
      </c>
      <c r="D5529" t="s">
        <v>6024</v>
      </c>
      <c r="E5529" t="s">
        <v>6030</v>
      </c>
      <c r="F5529" t="s">
        <v>6034</v>
      </c>
      <c r="G5529" t="s">
        <v>6085</v>
      </c>
      <c r="H5529" t="s">
        <v>6097</v>
      </c>
      <c r="I5529">
        <v>24</v>
      </c>
      <c r="J5529">
        <v>2.1</v>
      </c>
      <c r="K5529" t="s">
        <v>6099</v>
      </c>
      <c r="L5529" t="s">
        <v>6100</v>
      </c>
      <c r="M5529" t="s">
        <v>6100</v>
      </c>
      <c r="N5529">
        <v>5</v>
      </c>
      <c r="O5529" t="s">
        <v>6101</v>
      </c>
      <c r="P5529" t="s">
        <v>6115</v>
      </c>
      <c r="Q5529">
        <v>9</v>
      </c>
      <c r="R5529">
        <v>2026</v>
      </c>
      <c r="S5529" t="s">
        <v>6099</v>
      </c>
      <c r="T5529">
        <v>1</v>
      </c>
      <c r="U5529" t="s">
        <v>6018</v>
      </c>
      <c r="V5529">
        <v>1</v>
      </c>
    </row>
    <row r="5530" spans="1:22" x14ac:dyDescent="0.3">
      <c r="A5530" t="s">
        <v>5545</v>
      </c>
      <c r="B5530" s="2">
        <v>46272.76666666667</v>
      </c>
      <c r="C5530" s="2">
        <v>46276.158333333333</v>
      </c>
      <c r="D5530" t="s">
        <v>6026</v>
      </c>
      <c r="E5530" t="s">
        <v>6031</v>
      </c>
      <c r="F5530" t="s">
        <v>6034</v>
      </c>
      <c r="G5530" t="s">
        <v>6082</v>
      </c>
      <c r="H5530" t="s">
        <v>6097</v>
      </c>
      <c r="I5530">
        <v>24</v>
      </c>
      <c r="J5530">
        <v>81.400000000000006</v>
      </c>
      <c r="K5530" t="s">
        <v>6099</v>
      </c>
      <c r="L5530" t="s">
        <v>6100</v>
      </c>
      <c r="M5530" t="s">
        <v>6100</v>
      </c>
      <c r="N5530">
        <v>5</v>
      </c>
      <c r="O5530" t="s">
        <v>6101</v>
      </c>
      <c r="P5530" t="s">
        <v>6115</v>
      </c>
      <c r="Q5530">
        <v>9</v>
      </c>
      <c r="R5530">
        <v>2026</v>
      </c>
      <c r="S5530" t="s">
        <v>6100</v>
      </c>
      <c r="T5530">
        <v>0</v>
      </c>
      <c r="U5530" t="s">
        <v>6020</v>
      </c>
      <c r="V5530">
        <v>1</v>
      </c>
    </row>
    <row r="5531" spans="1:22" x14ac:dyDescent="0.3">
      <c r="A5531" t="s">
        <v>5546</v>
      </c>
      <c r="B5531" s="2">
        <v>46272.869444444441</v>
      </c>
      <c r="C5531" s="2">
        <v>46272.990277777775</v>
      </c>
      <c r="D5531" t="s">
        <v>6028</v>
      </c>
      <c r="E5531" t="s">
        <v>6030</v>
      </c>
      <c r="F5531" t="s">
        <v>6035</v>
      </c>
      <c r="G5531" t="s">
        <v>6088</v>
      </c>
      <c r="H5531" t="s">
        <v>6097</v>
      </c>
      <c r="I5531">
        <v>4</v>
      </c>
      <c r="J5531">
        <v>2.9</v>
      </c>
      <c r="K5531" t="s">
        <v>6099</v>
      </c>
      <c r="L5531" t="s">
        <v>6100</v>
      </c>
      <c r="M5531" t="s">
        <v>6100</v>
      </c>
      <c r="N5531">
        <v>5</v>
      </c>
      <c r="O5531" t="s">
        <v>6101</v>
      </c>
      <c r="P5531" t="s">
        <v>6115</v>
      </c>
      <c r="Q5531">
        <v>9</v>
      </c>
      <c r="R5531">
        <v>2026</v>
      </c>
      <c r="S5531" t="s">
        <v>6099</v>
      </c>
      <c r="T5531">
        <v>1</v>
      </c>
      <c r="U5531" t="s">
        <v>6017</v>
      </c>
      <c r="V5531">
        <v>1</v>
      </c>
    </row>
    <row r="5532" spans="1:22" x14ac:dyDescent="0.3">
      <c r="A5532" t="s">
        <v>5547</v>
      </c>
      <c r="B5532" s="2">
        <v>46272.968055555553</v>
      </c>
      <c r="C5532" s="2">
        <v>46274.405555555553</v>
      </c>
      <c r="D5532" t="s">
        <v>6024</v>
      </c>
      <c r="E5532" t="s">
        <v>6031</v>
      </c>
      <c r="F5532" t="s">
        <v>6034</v>
      </c>
      <c r="G5532" t="s">
        <v>6064</v>
      </c>
      <c r="H5532" t="s">
        <v>6096</v>
      </c>
      <c r="I5532">
        <v>24</v>
      </c>
      <c r="J5532">
        <v>34.5</v>
      </c>
      <c r="K5532" t="s">
        <v>6100</v>
      </c>
      <c r="L5532" t="s">
        <v>6099</v>
      </c>
      <c r="M5532" t="s">
        <v>6100</v>
      </c>
      <c r="N5532">
        <v>4</v>
      </c>
      <c r="O5532" t="s">
        <v>6101</v>
      </c>
      <c r="P5532" t="s">
        <v>6115</v>
      </c>
      <c r="Q5532">
        <v>9</v>
      </c>
      <c r="R5532">
        <v>2026</v>
      </c>
      <c r="S5532" t="s">
        <v>6100</v>
      </c>
      <c r="T5532">
        <v>0</v>
      </c>
      <c r="U5532" t="s">
        <v>6021</v>
      </c>
      <c r="V5532">
        <v>0</v>
      </c>
    </row>
    <row r="5533" spans="1:22" x14ac:dyDescent="0.3">
      <c r="A5533" t="s">
        <v>5548</v>
      </c>
      <c r="B5533" s="2">
        <v>46273.162499999999</v>
      </c>
      <c r="C5533" s="2">
        <v>46273.65</v>
      </c>
      <c r="D5533" t="s">
        <v>6023</v>
      </c>
      <c r="E5533" t="s">
        <v>6029</v>
      </c>
      <c r="F5533" t="s">
        <v>6034</v>
      </c>
      <c r="G5533" t="s">
        <v>6041</v>
      </c>
      <c r="H5533" t="s">
        <v>6096</v>
      </c>
      <c r="I5533">
        <v>24</v>
      </c>
      <c r="J5533">
        <v>11.7</v>
      </c>
      <c r="K5533" t="s">
        <v>6099</v>
      </c>
      <c r="L5533" t="s">
        <v>6100</v>
      </c>
      <c r="M5533" t="s">
        <v>6100</v>
      </c>
      <c r="N5533">
        <v>4</v>
      </c>
      <c r="O5533" t="s">
        <v>6101</v>
      </c>
      <c r="P5533" t="s">
        <v>6115</v>
      </c>
      <c r="Q5533">
        <v>9</v>
      </c>
      <c r="R5533">
        <v>2026</v>
      </c>
      <c r="S5533" t="s">
        <v>6099</v>
      </c>
      <c r="T5533">
        <v>1</v>
      </c>
      <c r="U5533" t="s">
        <v>6020</v>
      </c>
      <c r="V5533">
        <v>1</v>
      </c>
    </row>
    <row r="5534" spans="1:22" x14ac:dyDescent="0.3">
      <c r="A5534" t="s">
        <v>5549</v>
      </c>
      <c r="B5534" s="2">
        <v>46273.294444444444</v>
      </c>
      <c r="C5534" s="2">
        <v>46273.686111111114</v>
      </c>
      <c r="D5534" t="s">
        <v>6024</v>
      </c>
      <c r="E5534" t="s">
        <v>6029</v>
      </c>
      <c r="F5534" t="s">
        <v>6033</v>
      </c>
      <c r="G5534" t="s">
        <v>6077</v>
      </c>
      <c r="H5534" t="s">
        <v>6098</v>
      </c>
      <c r="I5534">
        <v>72</v>
      </c>
      <c r="J5534">
        <v>9.4</v>
      </c>
      <c r="K5534" t="s">
        <v>6100</v>
      </c>
      <c r="L5534" t="s">
        <v>6099</v>
      </c>
      <c r="M5534" t="s">
        <v>6100</v>
      </c>
      <c r="N5534">
        <v>5</v>
      </c>
      <c r="O5534" t="s">
        <v>6101</v>
      </c>
      <c r="P5534" t="s">
        <v>6115</v>
      </c>
      <c r="Q5534">
        <v>9</v>
      </c>
      <c r="R5534">
        <v>2026</v>
      </c>
      <c r="S5534" t="s">
        <v>6099</v>
      </c>
      <c r="T5534">
        <v>1</v>
      </c>
      <c r="U5534" t="s">
        <v>6017</v>
      </c>
      <c r="V5534">
        <v>0</v>
      </c>
    </row>
    <row r="5535" spans="1:22" x14ac:dyDescent="0.3">
      <c r="A5535" t="s">
        <v>5550</v>
      </c>
      <c r="B5535" s="2">
        <v>46273.303472222222</v>
      </c>
      <c r="C5535" s="2">
        <v>46273.411805555559</v>
      </c>
      <c r="D5535" t="s">
        <v>6023</v>
      </c>
      <c r="E5535" t="s">
        <v>6030</v>
      </c>
      <c r="F5535" t="s">
        <v>6033</v>
      </c>
      <c r="G5535" t="s">
        <v>6086</v>
      </c>
      <c r="H5535" t="s">
        <v>6098</v>
      </c>
      <c r="I5535">
        <v>72</v>
      </c>
      <c r="J5535">
        <v>2.6</v>
      </c>
      <c r="K5535" t="s">
        <v>6100</v>
      </c>
      <c r="L5535" t="s">
        <v>6099</v>
      </c>
      <c r="M5535" t="s">
        <v>6100</v>
      </c>
      <c r="N5535">
        <v>3</v>
      </c>
      <c r="O5535" t="s">
        <v>6101</v>
      </c>
      <c r="P5535" t="s">
        <v>6115</v>
      </c>
      <c r="Q5535">
        <v>9</v>
      </c>
      <c r="R5535">
        <v>2026</v>
      </c>
      <c r="S5535" t="s">
        <v>6099</v>
      </c>
      <c r="T5535">
        <v>1</v>
      </c>
      <c r="U5535" t="s">
        <v>6020</v>
      </c>
      <c r="V5535">
        <v>0</v>
      </c>
    </row>
    <row r="5536" spans="1:22" x14ac:dyDescent="0.3">
      <c r="A5536" t="s">
        <v>5551</v>
      </c>
      <c r="B5536" s="2">
        <v>46273.388888888891</v>
      </c>
      <c r="C5536" s="2">
        <v>46273.530555555553</v>
      </c>
      <c r="D5536" t="s">
        <v>6028</v>
      </c>
      <c r="E5536" t="s">
        <v>6030</v>
      </c>
      <c r="F5536" t="s">
        <v>6034</v>
      </c>
      <c r="G5536" t="s">
        <v>6077</v>
      </c>
      <c r="H5536" t="s">
        <v>6098</v>
      </c>
      <c r="I5536">
        <v>24</v>
      </c>
      <c r="J5536">
        <v>3.4</v>
      </c>
      <c r="K5536" t="s">
        <v>6099</v>
      </c>
      <c r="L5536" t="s">
        <v>6100</v>
      </c>
      <c r="M5536" t="s">
        <v>6100</v>
      </c>
      <c r="O5536" t="s">
        <v>6101</v>
      </c>
      <c r="P5536" t="s">
        <v>6115</v>
      </c>
      <c r="Q5536">
        <v>9</v>
      </c>
      <c r="R5536">
        <v>2026</v>
      </c>
      <c r="S5536" t="s">
        <v>6099</v>
      </c>
      <c r="T5536">
        <v>1</v>
      </c>
      <c r="U5536" t="s">
        <v>6021</v>
      </c>
      <c r="V5536">
        <v>1</v>
      </c>
    </row>
    <row r="5537" spans="1:22" x14ac:dyDescent="0.3">
      <c r="A5537" t="s">
        <v>5552</v>
      </c>
      <c r="B5537" s="2">
        <v>46273.452777777777</v>
      </c>
      <c r="C5537" s="2">
        <v>46273.998611111114</v>
      </c>
      <c r="D5537" t="s">
        <v>6023</v>
      </c>
      <c r="E5537" t="s">
        <v>6029</v>
      </c>
      <c r="F5537" t="s">
        <v>6033</v>
      </c>
      <c r="G5537" t="s">
        <v>6068</v>
      </c>
      <c r="H5537" t="s">
        <v>6098</v>
      </c>
      <c r="I5537">
        <v>72</v>
      </c>
      <c r="J5537">
        <v>13.1</v>
      </c>
      <c r="K5537" t="s">
        <v>6099</v>
      </c>
      <c r="L5537" t="s">
        <v>6100</v>
      </c>
      <c r="M5537" t="s">
        <v>6100</v>
      </c>
      <c r="N5537">
        <v>3</v>
      </c>
      <c r="O5537" t="s">
        <v>6101</v>
      </c>
      <c r="P5537" t="s">
        <v>6115</v>
      </c>
      <c r="Q5537">
        <v>9</v>
      </c>
      <c r="R5537">
        <v>2026</v>
      </c>
      <c r="S5537" t="s">
        <v>6099</v>
      </c>
      <c r="T5537">
        <v>1</v>
      </c>
      <c r="U5537" t="s">
        <v>6021</v>
      </c>
      <c r="V5537">
        <v>1</v>
      </c>
    </row>
    <row r="5538" spans="1:22" x14ac:dyDescent="0.3">
      <c r="A5538" t="s">
        <v>5553</v>
      </c>
      <c r="B5538" s="2">
        <v>46273.501388888886</v>
      </c>
      <c r="C5538" s="2">
        <v>46275.338888888888</v>
      </c>
      <c r="D5538" t="s">
        <v>6025</v>
      </c>
      <c r="E5538" t="s">
        <v>6031</v>
      </c>
      <c r="F5538" t="s">
        <v>6034</v>
      </c>
      <c r="G5538" t="s">
        <v>6085</v>
      </c>
      <c r="H5538" t="s">
        <v>6097</v>
      </c>
      <c r="I5538">
        <v>24</v>
      </c>
      <c r="J5538">
        <v>44.1</v>
      </c>
      <c r="K5538" t="s">
        <v>6099</v>
      </c>
      <c r="L5538" t="s">
        <v>6100</v>
      </c>
      <c r="M5538" t="s">
        <v>6100</v>
      </c>
      <c r="N5538">
        <v>3</v>
      </c>
      <c r="O5538" t="s">
        <v>6101</v>
      </c>
      <c r="P5538" t="s">
        <v>6115</v>
      </c>
      <c r="Q5538">
        <v>9</v>
      </c>
      <c r="R5538">
        <v>2026</v>
      </c>
      <c r="S5538" t="s">
        <v>6100</v>
      </c>
      <c r="T5538">
        <v>0</v>
      </c>
      <c r="U5538" t="s">
        <v>6018</v>
      </c>
      <c r="V5538">
        <v>1</v>
      </c>
    </row>
    <row r="5539" spans="1:22" x14ac:dyDescent="0.3">
      <c r="A5539" t="s">
        <v>5554</v>
      </c>
      <c r="B5539" s="2">
        <v>46273.505555555559</v>
      </c>
      <c r="C5539" s="2">
        <v>46274.218055555553</v>
      </c>
      <c r="D5539" t="s">
        <v>6023</v>
      </c>
      <c r="E5539" t="s">
        <v>6029</v>
      </c>
      <c r="F5539" t="s">
        <v>6034</v>
      </c>
      <c r="G5539" t="s">
        <v>6064</v>
      </c>
      <c r="H5539" t="s">
        <v>6096</v>
      </c>
      <c r="I5539">
        <v>24</v>
      </c>
      <c r="J5539">
        <v>17.100000000000001</v>
      </c>
      <c r="K5539" t="s">
        <v>6099</v>
      </c>
      <c r="L5539" t="s">
        <v>6100</v>
      </c>
      <c r="M5539" t="s">
        <v>6099</v>
      </c>
      <c r="N5539">
        <v>4</v>
      </c>
      <c r="O5539" t="s">
        <v>6101</v>
      </c>
      <c r="P5539" t="s">
        <v>6115</v>
      </c>
      <c r="Q5539">
        <v>9</v>
      </c>
      <c r="R5539">
        <v>2026</v>
      </c>
      <c r="S5539" t="s">
        <v>6099</v>
      </c>
      <c r="T5539">
        <v>1</v>
      </c>
      <c r="U5539" t="s">
        <v>6020</v>
      </c>
      <c r="V5539">
        <v>1</v>
      </c>
    </row>
    <row r="5540" spans="1:22" x14ac:dyDescent="0.3">
      <c r="A5540" t="s">
        <v>5555</v>
      </c>
      <c r="B5540" s="2">
        <v>46273.543749999997</v>
      </c>
      <c r="C5540" s="2">
        <v>46273.818749999999</v>
      </c>
      <c r="D5540" t="s">
        <v>6023</v>
      </c>
      <c r="E5540" t="s">
        <v>6029</v>
      </c>
      <c r="F5540" t="s">
        <v>6033</v>
      </c>
      <c r="G5540" t="s">
        <v>6081</v>
      </c>
      <c r="H5540" t="s">
        <v>6098</v>
      </c>
      <c r="I5540">
        <v>72</v>
      </c>
      <c r="J5540">
        <v>6.6</v>
      </c>
      <c r="K5540" t="s">
        <v>6099</v>
      </c>
      <c r="L5540" t="s">
        <v>6100</v>
      </c>
      <c r="M5540" t="s">
        <v>6100</v>
      </c>
      <c r="N5540">
        <v>5</v>
      </c>
      <c r="O5540" t="s">
        <v>6101</v>
      </c>
      <c r="P5540" t="s">
        <v>6115</v>
      </c>
      <c r="Q5540">
        <v>9</v>
      </c>
      <c r="R5540">
        <v>2026</v>
      </c>
      <c r="S5540" t="s">
        <v>6099</v>
      </c>
      <c r="T5540">
        <v>1</v>
      </c>
      <c r="U5540" t="s">
        <v>6021</v>
      </c>
      <c r="V5540">
        <v>1</v>
      </c>
    </row>
    <row r="5541" spans="1:22" x14ac:dyDescent="0.3">
      <c r="A5541" t="s">
        <v>5556</v>
      </c>
      <c r="B5541" s="2">
        <v>46273.561111111114</v>
      </c>
      <c r="C5541" s="2">
        <v>46273.919444444444</v>
      </c>
      <c r="D5541" t="s">
        <v>6024</v>
      </c>
      <c r="E5541" t="s">
        <v>6029</v>
      </c>
      <c r="F5541" t="s">
        <v>6034</v>
      </c>
      <c r="G5541" t="s">
        <v>6080</v>
      </c>
      <c r="H5541" t="s">
        <v>6096</v>
      </c>
      <c r="I5541">
        <v>24</v>
      </c>
      <c r="J5541">
        <v>8.6</v>
      </c>
      <c r="K5541" t="s">
        <v>6100</v>
      </c>
      <c r="L5541" t="s">
        <v>6099</v>
      </c>
      <c r="M5541" t="s">
        <v>6100</v>
      </c>
      <c r="O5541" t="s">
        <v>6101</v>
      </c>
      <c r="P5541" t="s">
        <v>6115</v>
      </c>
      <c r="Q5541">
        <v>9</v>
      </c>
      <c r="R5541">
        <v>2026</v>
      </c>
      <c r="S5541" t="s">
        <v>6099</v>
      </c>
      <c r="T5541">
        <v>1</v>
      </c>
      <c r="U5541" t="s">
        <v>6018</v>
      </c>
      <c r="V5541">
        <v>0</v>
      </c>
    </row>
    <row r="5542" spans="1:22" x14ac:dyDescent="0.3">
      <c r="A5542" t="s">
        <v>5557</v>
      </c>
      <c r="B5542" s="2">
        <v>46273.577777777777</v>
      </c>
      <c r="C5542" s="2">
        <v>46274.731944444444</v>
      </c>
      <c r="D5542" t="s">
        <v>6024</v>
      </c>
      <c r="E5542" t="s">
        <v>6031</v>
      </c>
      <c r="F5542" t="s">
        <v>6033</v>
      </c>
      <c r="G5542" t="s">
        <v>6079</v>
      </c>
      <c r="H5542" t="s">
        <v>6097</v>
      </c>
      <c r="I5542">
        <v>72</v>
      </c>
      <c r="J5542">
        <v>27.7</v>
      </c>
      <c r="K5542" t="s">
        <v>6100</v>
      </c>
      <c r="L5542" t="s">
        <v>6099</v>
      </c>
      <c r="M5542" t="s">
        <v>6100</v>
      </c>
      <c r="N5542">
        <v>5</v>
      </c>
      <c r="O5542" t="s">
        <v>6101</v>
      </c>
      <c r="P5542" t="s">
        <v>6115</v>
      </c>
      <c r="Q5542">
        <v>9</v>
      </c>
      <c r="R5542">
        <v>2026</v>
      </c>
      <c r="S5542" t="s">
        <v>6099</v>
      </c>
      <c r="T5542">
        <v>1</v>
      </c>
      <c r="U5542" t="s">
        <v>6018</v>
      </c>
      <c r="V5542">
        <v>0</v>
      </c>
    </row>
    <row r="5543" spans="1:22" x14ac:dyDescent="0.3">
      <c r="A5543" t="s">
        <v>5558</v>
      </c>
      <c r="B5543" s="2">
        <v>46273.584722222222</v>
      </c>
      <c r="C5543" s="2">
        <v>46273.826388888891</v>
      </c>
      <c r="D5543" t="s">
        <v>6027</v>
      </c>
      <c r="E5543" t="s">
        <v>6029</v>
      </c>
      <c r="F5543" t="s">
        <v>6033</v>
      </c>
      <c r="G5543" t="s">
        <v>6084</v>
      </c>
      <c r="H5543" t="s">
        <v>6098</v>
      </c>
      <c r="I5543">
        <v>72</v>
      </c>
      <c r="J5543">
        <v>5.8</v>
      </c>
      <c r="K5543" t="s">
        <v>6099</v>
      </c>
      <c r="L5543" t="s">
        <v>6100</v>
      </c>
      <c r="M5543" t="s">
        <v>6100</v>
      </c>
      <c r="O5543" t="s">
        <v>6101</v>
      </c>
      <c r="P5543" t="s">
        <v>6115</v>
      </c>
      <c r="Q5543">
        <v>9</v>
      </c>
      <c r="R5543">
        <v>2026</v>
      </c>
      <c r="S5543" t="s">
        <v>6099</v>
      </c>
      <c r="T5543">
        <v>1</v>
      </c>
      <c r="U5543" t="s">
        <v>6018</v>
      </c>
      <c r="V5543">
        <v>1</v>
      </c>
    </row>
    <row r="5544" spans="1:22" x14ac:dyDescent="0.3">
      <c r="A5544" t="s">
        <v>5559</v>
      </c>
      <c r="B5544" s="2">
        <v>46273.634027777778</v>
      </c>
      <c r="C5544" s="2">
        <v>46273.796527777777</v>
      </c>
      <c r="D5544" t="s">
        <v>6024</v>
      </c>
      <c r="E5544" t="s">
        <v>6029</v>
      </c>
      <c r="F5544" t="s">
        <v>6034</v>
      </c>
      <c r="G5544" t="s">
        <v>6073</v>
      </c>
      <c r="H5544" t="s">
        <v>6096</v>
      </c>
      <c r="I5544">
        <v>24</v>
      </c>
      <c r="J5544">
        <v>3.9</v>
      </c>
      <c r="K5544" t="s">
        <v>6100</v>
      </c>
      <c r="L5544" t="s">
        <v>6100</v>
      </c>
      <c r="M5544" t="s">
        <v>6100</v>
      </c>
      <c r="O5544" t="s">
        <v>6101</v>
      </c>
      <c r="P5544" t="s">
        <v>6115</v>
      </c>
      <c r="Q5544">
        <v>9</v>
      </c>
      <c r="R5544">
        <v>2026</v>
      </c>
      <c r="S5544" t="s">
        <v>6099</v>
      </c>
      <c r="T5544">
        <v>1</v>
      </c>
      <c r="U5544" t="s">
        <v>6020</v>
      </c>
      <c r="V5544">
        <v>0</v>
      </c>
    </row>
    <row r="5545" spans="1:22" x14ac:dyDescent="0.3">
      <c r="A5545" t="s">
        <v>5560</v>
      </c>
      <c r="B5545" s="2">
        <v>46273.652083333334</v>
      </c>
      <c r="C5545" s="2">
        <v>46274.118750000001</v>
      </c>
      <c r="D5545" t="s">
        <v>6026</v>
      </c>
      <c r="E5545" t="s">
        <v>6030</v>
      </c>
      <c r="F5545" t="s">
        <v>6034</v>
      </c>
      <c r="G5545" t="s">
        <v>6059</v>
      </c>
      <c r="H5545" t="s">
        <v>6097</v>
      </c>
      <c r="I5545">
        <v>24</v>
      </c>
      <c r="J5545">
        <v>11.2</v>
      </c>
      <c r="K5545" t="s">
        <v>6100</v>
      </c>
      <c r="L5545" t="s">
        <v>6099</v>
      </c>
      <c r="M5545" t="s">
        <v>6100</v>
      </c>
      <c r="N5545">
        <v>2</v>
      </c>
      <c r="O5545" t="s">
        <v>6101</v>
      </c>
      <c r="P5545" t="s">
        <v>6115</v>
      </c>
      <c r="Q5545">
        <v>9</v>
      </c>
      <c r="R5545">
        <v>2026</v>
      </c>
      <c r="S5545" t="s">
        <v>6099</v>
      </c>
      <c r="T5545">
        <v>1</v>
      </c>
      <c r="U5545" t="s">
        <v>6021</v>
      </c>
      <c r="V5545">
        <v>0</v>
      </c>
    </row>
    <row r="5546" spans="1:22" x14ac:dyDescent="0.3">
      <c r="A5546" t="s">
        <v>5561</v>
      </c>
      <c r="B5546" s="2">
        <v>46273.672222222223</v>
      </c>
      <c r="C5546" s="2">
        <v>46273.984722222223</v>
      </c>
      <c r="D5546" t="s">
        <v>6028</v>
      </c>
      <c r="E5546" t="s">
        <v>6029</v>
      </c>
      <c r="F5546" t="s">
        <v>6034</v>
      </c>
      <c r="G5546" t="s">
        <v>6090</v>
      </c>
      <c r="H5546" t="s">
        <v>6097</v>
      </c>
      <c r="I5546">
        <v>24</v>
      </c>
      <c r="J5546">
        <v>7.5</v>
      </c>
      <c r="K5546" t="s">
        <v>6100</v>
      </c>
      <c r="L5546" t="s">
        <v>6099</v>
      </c>
      <c r="M5546" t="s">
        <v>6100</v>
      </c>
      <c r="O5546" t="s">
        <v>6101</v>
      </c>
      <c r="P5546" t="s">
        <v>6115</v>
      </c>
      <c r="Q5546">
        <v>9</v>
      </c>
      <c r="R5546">
        <v>2026</v>
      </c>
      <c r="S5546" t="s">
        <v>6099</v>
      </c>
      <c r="T5546">
        <v>1</v>
      </c>
      <c r="U5546" t="s">
        <v>6018</v>
      </c>
      <c r="V5546">
        <v>0</v>
      </c>
    </row>
    <row r="5547" spans="1:22" x14ac:dyDescent="0.3">
      <c r="A5547" t="s">
        <v>5562</v>
      </c>
      <c r="B5547" s="2">
        <v>46273.681944444441</v>
      </c>
      <c r="C5547" s="2">
        <v>46274.140277777777</v>
      </c>
      <c r="D5547" t="s">
        <v>6024</v>
      </c>
      <c r="E5547" t="s">
        <v>6030</v>
      </c>
      <c r="F5547" t="s">
        <v>6034</v>
      </c>
      <c r="G5547" t="s">
        <v>6088</v>
      </c>
      <c r="H5547" t="s">
        <v>6097</v>
      </c>
      <c r="I5547">
        <v>24</v>
      </c>
      <c r="J5547">
        <v>11</v>
      </c>
      <c r="K5547" t="s">
        <v>6099</v>
      </c>
      <c r="L5547" t="s">
        <v>6100</v>
      </c>
      <c r="M5547" t="s">
        <v>6100</v>
      </c>
      <c r="O5547" t="s">
        <v>6101</v>
      </c>
      <c r="P5547" t="s">
        <v>6115</v>
      </c>
      <c r="Q5547">
        <v>9</v>
      </c>
      <c r="R5547">
        <v>2026</v>
      </c>
      <c r="S5547" t="s">
        <v>6099</v>
      </c>
      <c r="T5547">
        <v>1</v>
      </c>
      <c r="U5547" t="s">
        <v>6019</v>
      </c>
      <c r="V5547">
        <v>1</v>
      </c>
    </row>
    <row r="5548" spans="1:22" x14ac:dyDescent="0.3">
      <c r="A5548" t="s">
        <v>5563</v>
      </c>
      <c r="B5548" s="2">
        <v>46273.819444444445</v>
      </c>
      <c r="C5548" s="2">
        <v>46274.669444444444</v>
      </c>
      <c r="D5548" t="s">
        <v>6028</v>
      </c>
      <c r="E5548" t="s">
        <v>6029</v>
      </c>
      <c r="F5548" t="s">
        <v>6035</v>
      </c>
      <c r="G5548" t="s">
        <v>6046</v>
      </c>
      <c r="H5548" t="s">
        <v>6098</v>
      </c>
      <c r="I5548">
        <v>4</v>
      </c>
      <c r="J5548">
        <v>20.399999999999999</v>
      </c>
      <c r="K5548" t="s">
        <v>6099</v>
      </c>
      <c r="L5548" t="s">
        <v>6100</v>
      </c>
      <c r="M5548" t="s">
        <v>6099</v>
      </c>
      <c r="O5548" t="s">
        <v>6101</v>
      </c>
      <c r="P5548" t="s">
        <v>6115</v>
      </c>
      <c r="Q5548">
        <v>9</v>
      </c>
      <c r="R5548">
        <v>2026</v>
      </c>
      <c r="S5548" t="s">
        <v>6100</v>
      </c>
      <c r="T5548">
        <v>0</v>
      </c>
      <c r="U5548" t="s">
        <v>6018</v>
      </c>
      <c r="V5548">
        <v>1</v>
      </c>
    </row>
    <row r="5549" spans="1:22" x14ac:dyDescent="0.3">
      <c r="A5549" t="s">
        <v>5564</v>
      </c>
      <c r="B5549" s="2">
        <v>46273.829861111109</v>
      </c>
      <c r="C5549" s="2">
        <v>46275.592361111114</v>
      </c>
      <c r="D5549" t="s">
        <v>6025</v>
      </c>
      <c r="E5549" t="s">
        <v>6031</v>
      </c>
      <c r="F5549" t="s">
        <v>6033</v>
      </c>
      <c r="G5549" t="s">
        <v>6039</v>
      </c>
      <c r="H5549" t="s">
        <v>6097</v>
      </c>
      <c r="I5549">
        <v>72</v>
      </c>
      <c r="J5549">
        <v>42.3</v>
      </c>
      <c r="K5549" t="s">
        <v>6099</v>
      </c>
      <c r="L5549" t="s">
        <v>6100</v>
      </c>
      <c r="M5549" t="s">
        <v>6100</v>
      </c>
      <c r="O5549" t="s">
        <v>6101</v>
      </c>
      <c r="P5549" t="s">
        <v>6115</v>
      </c>
      <c r="Q5549">
        <v>9</v>
      </c>
      <c r="R5549">
        <v>2026</v>
      </c>
      <c r="S5549" t="s">
        <v>6099</v>
      </c>
      <c r="T5549">
        <v>1</v>
      </c>
      <c r="U5549" t="s">
        <v>6020</v>
      </c>
      <c r="V5549">
        <v>1</v>
      </c>
    </row>
    <row r="5550" spans="1:22" x14ac:dyDescent="0.3">
      <c r="A5550" t="s">
        <v>5565</v>
      </c>
      <c r="B5550" s="2">
        <v>46273.896527777775</v>
      </c>
      <c r="C5550" s="2">
        <v>46274.454861111109</v>
      </c>
      <c r="D5550" t="s">
        <v>6022</v>
      </c>
      <c r="E5550" t="s">
        <v>6029</v>
      </c>
      <c r="F5550" t="s">
        <v>6033</v>
      </c>
      <c r="G5550" t="s">
        <v>6065</v>
      </c>
      <c r="H5550" t="s">
        <v>6097</v>
      </c>
      <c r="I5550">
        <v>72</v>
      </c>
      <c r="J5550">
        <v>13.4</v>
      </c>
      <c r="K5550" t="s">
        <v>6099</v>
      </c>
      <c r="L5550" t="s">
        <v>6100</v>
      </c>
      <c r="M5550" t="s">
        <v>6100</v>
      </c>
      <c r="N5550">
        <v>4</v>
      </c>
      <c r="O5550" t="s">
        <v>6101</v>
      </c>
      <c r="P5550" t="s">
        <v>6115</v>
      </c>
      <c r="Q5550">
        <v>9</v>
      </c>
      <c r="R5550">
        <v>2026</v>
      </c>
      <c r="S5550" t="s">
        <v>6099</v>
      </c>
      <c r="T5550">
        <v>1</v>
      </c>
      <c r="U5550" t="s">
        <v>6019</v>
      </c>
      <c r="V5550">
        <v>1</v>
      </c>
    </row>
    <row r="5551" spans="1:22" x14ac:dyDescent="0.3">
      <c r="A5551" t="s">
        <v>5566</v>
      </c>
      <c r="B5551" s="2">
        <v>46274.080555555556</v>
      </c>
      <c r="C5551" s="2">
        <v>46275.793055555558</v>
      </c>
      <c r="D5551" t="s">
        <v>6022</v>
      </c>
      <c r="E5551" t="s">
        <v>6031</v>
      </c>
      <c r="F5551" t="s">
        <v>6034</v>
      </c>
      <c r="G5551" t="s">
        <v>6091</v>
      </c>
      <c r="H5551" t="s">
        <v>6097</v>
      </c>
      <c r="I5551">
        <v>24</v>
      </c>
      <c r="J5551">
        <v>41.1</v>
      </c>
      <c r="K5551" t="s">
        <v>6099</v>
      </c>
      <c r="L5551" t="s">
        <v>6100</v>
      </c>
      <c r="M5551" t="s">
        <v>6100</v>
      </c>
      <c r="N5551">
        <v>5</v>
      </c>
      <c r="O5551" t="s">
        <v>6101</v>
      </c>
      <c r="P5551" t="s">
        <v>6115</v>
      </c>
      <c r="Q5551">
        <v>9</v>
      </c>
      <c r="R5551">
        <v>2026</v>
      </c>
      <c r="S5551" t="s">
        <v>6100</v>
      </c>
      <c r="T5551">
        <v>0</v>
      </c>
      <c r="U5551" t="s">
        <v>6019</v>
      </c>
      <c r="V5551">
        <v>1</v>
      </c>
    </row>
    <row r="5552" spans="1:22" x14ac:dyDescent="0.3">
      <c r="A5552" t="s">
        <v>5567</v>
      </c>
      <c r="B5552" s="2">
        <v>46274.120833333334</v>
      </c>
      <c r="C5552" s="2">
        <v>46274.495833333334</v>
      </c>
      <c r="D5552" t="s">
        <v>6022</v>
      </c>
      <c r="E5552" t="s">
        <v>6029</v>
      </c>
      <c r="F5552" t="s">
        <v>6034</v>
      </c>
      <c r="G5552" t="s">
        <v>6081</v>
      </c>
      <c r="H5552" t="s">
        <v>6098</v>
      </c>
      <c r="I5552">
        <v>24</v>
      </c>
      <c r="J5552">
        <v>9</v>
      </c>
      <c r="K5552" t="s">
        <v>6100</v>
      </c>
      <c r="L5552" t="s">
        <v>6100</v>
      </c>
      <c r="M5552" t="s">
        <v>6100</v>
      </c>
      <c r="O5552" t="s">
        <v>6101</v>
      </c>
      <c r="P5552" t="s">
        <v>6115</v>
      </c>
      <c r="Q5552">
        <v>9</v>
      </c>
      <c r="R5552">
        <v>2026</v>
      </c>
      <c r="S5552" t="s">
        <v>6099</v>
      </c>
      <c r="T5552">
        <v>1</v>
      </c>
      <c r="U5552" t="s">
        <v>6021</v>
      </c>
      <c r="V5552">
        <v>0</v>
      </c>
    </row>
    <row r="5553" spans="1:22" x14ac:dyDescent="0.3">
      <c r="A5553" t="s">
        <v>5568</v>
      </c>
      <c r="B5553" s="2">
        <v>46274.184027777781</v>
      </c>
      <c r="C5553" s="2">
        <v>46278.684027777781</v>
      </c>
      <c r="D5553" t="s">
        <v>6022</v>
      </c>
      <c r="E5553" t="s">
        <v>6031</v>
      </c>
      <c r="F5553" t="s">
        <v>6034</v>
      </c>
      <c r="G5553" t="s">
        <v>6036</v>
      </c>
      <c r="H5553" t="s">
        <v>6096</v>
      </c>
      <c r="I5553">
        <v>24</v>
      </c>
      <c r="J5553">
        <v>108</v>
      </c>
      <c r="K5553" t="s">
        <v>6100</v>
      </c>
      <c r="L5553" t="s">
        <v>6099</v>
      </c>
      <c r="M5553" t="s">
        <v>6100</v>
      </c>
      <c r="N5553">
        <v>2</v>
      </c>
      <c r="O5553" t="s">
        <v>6101</v>
      </c>
      <c r="P5553" t="s">
        <v>6115</v>
      </c>
      <c r="Q5553">
        <v>9</v>
      </c>
      <c r="R5553">
        <v>2026</v>
      </c>
      <c r="S5553" t="s">
        <v>6100</v>
      </c>
      <c r="T5553">
        <v>0</v>
      </c>
      <c r="U5553" t="s">
        <v>6018</v>
      </c>
      <c r="V5553">
        <v>0</v>
      </c>
    </row>
    <row r="5554" spans="1:22" x14ac:dyDescent="0.3">
      <c r="A5554" t="s">
        <v>5569</v>
      </c>
      <c r="B5554" s="2">
        <v>46274.265972222223</v>
      </c>
      <c r="C5554" s="2">
        <v>46275.282638888886</v>
      </c>
      <c r="D5554" t="s">
        <v>6027</v>
      </c>
      <c r="E5554" t="s">
        <v>6032</v>
      </c>
      <c r="F5554" t="s">
        <v>6034</v>
      </c>
      <c r="G5554" t="s">
        <v>6087</v>
      </c>
      <c r="H5554" t="s">
        <v>6098</v>
      </c>
      <c r="I5554">
        <v>24</v>
      </c>
      <c r="J5554">
        <v>24.4</v>
      </c>
      <c r="K5554" t="s">
        <v>6100</v>
      </c>
      <c r="L5554" t="s">
        <v>6100</v>
      </c>
      <c r="M5554" t="s">
        <v>6100</v>
      </c>
      <c r="N5554">
        <v>2</v>
      </c>
      <c r="O5554" t="s">
        <v>6101</v>
      </c>
      <c r="P5554" t="s">
        <v>6115</v>
      </c>
      <c r="Q5554">
        <v>9</v>
      </c>
      <c r="R5554">
        <v>2026</v>
      </c>
      <c r="S5554" t="s">
        <v>6100</v>
      </c>
      <c r="T5554">
        <v>0</v>
      </c>
      <c r="U5554" t="s">
        <v>6020</v>
      </c>
      <c r="V5554">
        <v>0</v>
      </c>
    </row>
    <row r="5555" spans="1:22" x14ac:dyDescent="0.3">
      <c r="A5555" t="s">
        <v>5570</v>
      </c>
      <c r="B5555" s="2">
        <v>46274.371527777781</v>
      </c>
      <c r="C5555" s="2">
        <v>46276.084027777775</v>
      </c>
      <c r="D5555" t="s">
        <v>6026</v>
      </c>
      <c r="E5555" t="s">
        <v>6029</v>
      </c>
      <c r="F5555" t="s">
        <v>6033</v>
      </c>
      <c r="G5555" t="s">
        <v>6043</v>
      </c>
      <c r="H5555" t="s">
        <v>6097</v>
      </c>
      <c r="I5555">
        <v>72</v>
      </c>
      <c r="J5555">
        <v>41.1</v>
      </c>
      <c r="K5555" t="s">
        <v>6100</v>
      </c>
      <c r="L5555" t="s">
        <v>6100</v>
      </c>
      <c r="M5555" t="s">
        <v>6100</v>
      </c>
      <c r="O5555" t="s">
        <v>6101</v>
      </c>
      <c r="P5555" t="s">
        <v>6115</v>
      </c>
      <c r="Q5555">
        <v>9</v>
      </c>
      <c r="R5555">
        <v>2026</v>
      </c>
      <c r="S5555" t="s">
        <v>6099</v>
      </c>
      <c r="T5555">
        <v>1</v>
      </c>
      <c r="U5555" t="s">
        <v>6019</v>
      </c>
      <c r="V5555">
        <v>0</v>
      </c>
    </row>
    <row r="5556" spans="1:22" x14ac:dyDescent="0.3">
      <c r="A5556" t="s">
        <v>5571</v>
      </c>
      <c r="B5556" s="2">
        <v>46274.373611111114</v>
      </c>
      <c r="C5556" s="2">
        <v>46276.740277777775</v>
      </c>
      <c r="D5556" t="s">
        <v>6022</v>
      </c>
      <c r="E5556" t="s">
        <v>6032</v>
      </c>
      <c r="F5556" t="s">
        <v>6035</v>
      </c>
      <c r="G5556" t="s">
        <v>6065</v>
      </c>
      <c r="H5556" t="s">
        <v>6097</v>
      </c>
      <c r="I5556">
        <v>4</v>
      </c>
      <c r="J5556">
        <v>56.8</v>
      </c>
      <c r="K5556" t="s">
        <v>6099</v>
      </c>
      <c r="L5556" t="s">
        <v>6100</v>
      </c>
      <c r="M5556" t="s">
        <v>6100</v>
      </c>
      <c r="N5556">
        <v>4</v>
      </c>
      <c r="O5556" t="s">
        <v>6101</v>
      </c>
      <c r="P5556" t="s">
        <v>6115</v>
      </c>
      <c r="Q5556">
        <v>9</v>
      </c>
      <c r="R5556">
        <v>2026</v>
      </c>
      <c r="S5556" t="s">
        <v>6100</v>
      </c>
      <c r="T5556">
        <v>0</v>
      </c>
      <c r="U5556" t="s">
        <v>6018</v>
      </c>
      <c r="V5556">
        <v>1</v>
      </c>
    </row>
    <row r="5557" spans="1:22" x14ac:dyDescent="0.3">
      <c r="A5557" t="s">
        <v>5572</v>
      </c>
      <c r="B5557" s="2">
        <v>46274.397222222222</v>
      </c>
      <c r="C5557" s="2">
        <v>46274.563888888886</v>
      </c>
      <c r="D5557" t="s">
        <v>6027</v>
      </c>
      <c r="E5557" t="s">
        <v>6030</v>
      </c>
      <c r="F5557" t="s">
        <v>6034</v>
      </c>
      <c r="G5557" t="s">
        <v>6040</v>
      </c>
      <c r="H5557" t="s">
        <v>6097</v>
      </c>
      <c r="I5557">
        <v>24</v>
      </c>
      <c r="J5557">
        <v>4</v>
      </c>
      <c r="K5557" t="s">
        <v>6100</v>
      </c>
      <c r="L5557" t="s">
        <v>6100</v>
      </c>
      <c r="M5557" t="s">
        <v>6100</v>
      </c>
      <c r="N5557">
        <v>3</v>
      </c>
      <c r="O5557" t="s">
        <v>6101</v>
      </c>
      <c r="P5557" t="s">
        <v>6115</v>
      </c>
      <c r="Q5557">
        <v>9</v>
      </c>
      <c r="R5557">
        <v>2026</v>
      </c>
      <c r="S5557" t="s">
        <v>6099</v>
      </c>
      <c r="T5557">
        <v>1</v>
      </c>
      <c r="U5557" t="s">
        <v>6021</v>
      </c>
      <c r="V5557">
        <v>0</v>
      </c>
    </row>
    <row r="5558" spans="1:22" x14ac:dyDescent="0.3">
      <c r="A5558" t="s">
        <v>5573</v>
      </c>
      <c r="B5558" s="2">
        <v>46274.397222222222</v>
      </c>
      <c r="C5558" s="2">
        <v>46274.984722222223</v>
      </c>
      <c r="D5558" t="s">
        <v>6022</v>
      </c>
      <c r="E5558" t="s">
        <v>6031</v>
      </c>
      <c r="F5558" t="s">
        <v>6034</v>
      </c>
      <c r="G5558" t="s">
        <v>6080</v>
      </c>
      <c r="H5558" t="s">
        <v>6096</v>
      </c>
      <c r="I5558">
        <v>24</v>
      </c>
      <c r="J5558">
        <v>14.1</v>
      </c>
      <c r="K5558" t="s">
        <v>6100</v>
      </c>
      <c r="L5558" t="s">
        <v>6100</v>
      </c>
      <c r="M5558" t="s">
        <v>6100</v>
      </c>
      <c r="N5558">
        <v>5</v>
      </c>
      <c r="O5558" t="s">
        <v>6101</v>
      </c>
      <c r="P5558" t="s">
        <v>6115</v>
      </c>
      <c r="Q5558">
        <v>9</v>
      </c>
      <c r="R5558">
        <v>2026</v>
      </c>
      <c r="S5558" t="s">
        <v>6099</v>
      </c>
      <c r="T5558">
        <v>1</v>
      </c>
      <c r="U5558" t="s">
        <v>6017</v>
      </c>
      <c r="V5558">
        <v>0</v>
      </c>
    </row>
    <row r="5559" spans="1:22" x14ac:dyDescent="0.3">
      <c r="A5559" t="s">
        <v>5574</v>
      </c>
      <c r="B5559" s="2">
        <v>46274.405555555553</v>
      </c>
      <c r="C5559" s="2">
        <v>46274.713888888888</v>
      </c>
      <c r="D5559" t="s">
        <v>6025</v>
      </c>
      <c r="E5559" t="s">
        <v>6029</v>
      </c>
      <c r="F5559" t="s">
        <v>6034</v>
      </c>
      <c r="G5559" t="s">
        <v>6069</v>
      </c>
      <c r="H5559" t="s">
        <v>6098</v>
      </c>
      <c r="I5559">
        <v>24</v>
      </c>
      <c r="J5559">
        <v>7.4</v>
      </c>
      <c r="K5559" t="s">
        <v>6100</v>
      </c>
      <c r="L5559" t="s">
        <v>6099</v>
      </c>
      <c r="M5559" t="s">
        <v>6100</v>
      </c>
      <c r="O5559" t="s">
        <v>6101</v>
      </c>
      <c r="P5559" t="s">
        <v>6115</v>
      </c>
      <c r="Q5559">
        <v>9</v>
      </c>
      <c r="R5559">
        <v>2026</v>
      </c>
      <c r="S5559" t="s">
        <v>6099</v>
      </c>
      <c r="T5559">
        <v>1</v>
      </c>
      <c r="U5559" t="s">
        <v>6017</v>
      </c>
      <c r="V5559">
        <v>0</v>
      </c>
    </row>
    <row r="5560" spans="1:22" x14ac:dyDescent="0.3">
      <c r="A5560" t="s">
        <v>5575</v>
      </c>
      <c r="B5560" s="2">
        <v>46274.462500000001</v>
      </c>
      <c r="C5560" s="2">
        <v>46274.745833333334</v>
      </c>
      <c r="D5560" t="s">
        <v>6027</v>
      </c>
      <c r="E5560" t="s">
        <v>6029</v>
      </c>
      <c r="F5560" t="s">
        <v>6034</v>
      </c>
      <c r="G5560" t="s">
        <v>6059</v>
      </c>
      <c r="H5560" t="s">
        <v>6097</v>
      </c>
      <c r="I5560">
        <v>24</v>
      </c>
      <c r="J5560">
        <v>6.8</v>
      </c>
      <c r="K5560" t="s">
        <v>6100</v>
      </c>
      <c r="L5560" t="s">
        <v>6099</v>
      </c>
      <c r="M5560" t="s">
        <v>6100</v>
      </c>
      <c r="O5560" t="s">
        <v>6101</v>
      </c>
      <c r="P5560" t="s">
        <v>6115</v>
      </c>
      <c r="Q5560">
        <v>9</v>
      </c>
      <c r="R5560">
        <v>2026</v>
      </c>
      <c r="S5560" t="s">
        <v>6099</v>
      </c>
      <c r="T5560">
        <v>1</v>
      </c>
      <c r="U5560" t="s">
        <v>6021</v>
      </c>
      <c r="V5560">
        <v>0</v>
      </c>
    </row>
    <row r="5561" spans="1:22" x14ac:dyDescent="0.3">
      <c r="A5561" t="s">
        <v>5576</v>
      </c>
      <c r="B5561" s="2">
        <v>46274.515972222223</v>
      </c>
      <c r="C5561" s="2">
        <v>46274.986805555556</v>
      </c>
      <c r="D5561" t="s">
        <v>6028</v>
      </c>
      <c r="E5561" t="s">
        <v>6029</v>
      </c>
      <c r="F5561" t="s">
        <v>6035</v>
      </c>
      <c r="G5561" t="s">
        <v>6078</v>
      </c>
      <c r="H5561" t="s">
        <v>6097</v>
      </c>
      <c r="I5561">
        <v>4</v>
      </c>
      <c r="J5561">
        <v>11.3</v>
      </c>
      <c r="K5561" t="s">
        <v>6100</v>
      </c>
      <c r="L5561" t="s">
        <v>6100</v>
      </c>
      <c r="M5561" t="s">
        <v>6100</v>
      </c>
      <c r="O5561" t="s">
        <v>6101</v>
      </c>
      <c r="P5561" t="s">
        <v>6115</v>
      </c>
      <c r="Q5561">
        <v>9</v>
      </c>
      <c r="R5561">
        <v>2026</v>
      </c>
      <c r="S5561" t="s">
        <v>6100</v>
      </c>
      <c r="T5561">
        <v>0</v>
      </c>
      <c r="U5561" t="s">
        <v>6020</v>
      </c>
      <c r="V5561">
        <v>0</v>
      </c>
    </row>
    <row r="5562" spans="1:22" x14ac:dyDescent="0.3">
      <c r="A5562" t="s">
        <v>5577</v>
      </c>
      <c r="B5562" s="2">
        <v>46274.525000000001</v>
      </c>
      <c r="C5562" s="2">
        <v>46274.908333333333</v>
      </c>
      <c r="D5562" t="s">
        <v>6025</v>
      </c>
      <c r="E5562" t="s">
        <v>6030</v>
      </c>
      <c r="F5562" t="s">
        <v>6034</v>
      </c>
      <c r="G5562" t="s">
        <v>6079</v>
      </c>
      <c r="H5562" t="s">
        <v>6097</v>
      </c>
      <c r="I5562">
        <v>24</v>
      </c>
      <c r="J5562">
        <v>9.1999999999999993</v>
      </c>
      <c r="K5562" t="s">
        <v>6099</v>
      </c>
      <c r="L5562" t="s">
        <v>6100</v>
      </c>
      <c r="M5562" t="s">
        <v>6100</v>
      </c>
      <c r="O5562" t="s">
        <v>6101</v>
      </c>
      <c r="P5562" t="s">
        <v>6115</v>
      </c>
      <c r="Q5562">
        <v>9</v>
      </c>
      <c r="R5562">
        <v>2026</v>
      </c>
      <c r="S5562" t="s">
        <v>6099</v>
      </c>
      <c r="T5562">
        <v>1</v>
      </c>
      <c r="U5562" t="s">
        <v>6018</v>
      </c>
      <c r="V5562">
        <v>1</v>
      </c>
    </row>
    <row r="5563" spans="1:22" x14ac:dyDescent="0.3">
      <c r="A5563" t="s">
        <v>5578</v>
      </c>
      <c r="B5563" s="2">
        <v>46274.541666666664</v>
      </c>
      <c r="C5563" s="2">
        <v>46275.337500000001</v>
      </c>
      <c r="D5563" t="s">
        <v>6027</v>
      </c>
      <c r="E5563" t="s">
        <v>6032</v>
      </c>
      <c r="F5563" t="s">
        <v>6034</v>
      </c>
      <c r="G5563" t="s">
        <v>6059</v>
      </c>
      <c r="H5563" t="s">
        <v>6097</v>
      </c>
      <c r="I5563">
        <v>24</v>
      </c>
      <c r="J5563">
        <v>19.100000000000001</v>
      </c>
      <c r="K5563" t="s">
        <v>6099</v>
      </c>
      <c r="L5563" t="s">
        <v>6100</v>
      </c>
      <c r="M5563" t="s">
        <v>6100</v>
      </c>
      <c r="N5563">
        <v>3</v>
      </c>
      <c r="O5563" t="s">
        <v>6101</v>
      </c>
      <c r="P5563" t="s">
        <v>6115</v>
      </c>
      <c r="Q5563">
        <v>9</v>
      </c>
      <c r="R5563">
        <v>2026</v>
      </c>
      <c r="S5563" t="s">
        <v>6099</v>
      </c>
      <c r="T5563">
        <v>1</v>
      </c>
      <c r="U5563" t="s">
        <v>6020</v>
      </c>
      <c r="V5563">
        <v>1</v>
      </c>
    </row>
    <row r="5564" spans="1:22" x14ac:dyDescent="0.3">
      <c r="A5564" t="s">
        <v>5579</v>
      </c>
      <c r="B5564" s="2">
        <v>46274.543055555558</v>
      </c>
      <c r="C5564" s="2">
        <v>46274.768055555556</v>
      </c>
      <c r="D5564" t="s">
        <v>6022</v>
      </c>
      <c r="E5564" t="s">
        <v>6030</v>
      </c>
      <c r="F5564" t="s">
        <v>6033</v>
      </c>
      <c r="G5564" t="s">
        <v>6036</v>
      </c>
      <c r="H5564" t="s">
        <v>6096</v>
      </c>
      <c r="I5564">
        <v>72</v>
      </c>
      <c r="J5564">
        <v>5.4</v>
      </c>
      <c r="K5564" t="s">
        <v>6099</v>
      </c>
      <c r="L5564" t="s">
        <v>6100</v>
      </c>
      <c r="M5564" t="s">
        <v>6100</v>
      </c>
      <c r="N5564">
        <v>5</v>
      </c>
      <c r="O5564" t="s">
        <v>6101</v>
      </c>
      <c r="P5564" t="s">
        <v>6115</v>
      </c>
      <c r="Q5564">
        <v>9</v>
      </c>
      <c r="R5564">
        <v>2026</v>
      </c>
      <c r="S5564" t="s">
        <v>6099</v>
      </c>
      <c r="T5564">
        <v>1</v>
      </c>
      <c r="U5564" t="s">
        <v>6018</v>
      </c>
      <c r="V5564">
        <v>1</v>
      </c>
    </row>
    <row r="5565" spans="1:22" x14ac:dyDescent="0.3">
      <c r="A5565" t="s">
        <v>5580</v>
      </c>
      <c r="B5565" s="2">
        <v>46274.557638888888</v>
      </c>
      <c r="C5565" s="2">
        <v>46276.911805555559</v>
      </c>
      <c r="D5565" t="s">
        <v>6025</v>
      </c>
      <c r="E5565" t="s">
        <v>6031</v>
      </c>
      <c r="F5565" t="s">
        <v>6034</v>
      </c>
      <c r="G5565" t="s">
        <v>6083</v>
      </c>
      <c r="H5565" t="s">
        <v>6096</v>
      </c>
      <c r="I5565">
        <v>24</v>
      </c>
      <c r="J5565">
        <v>56.5</v>
      </c>
      <c r="K5565" t="s">
        <v>6100</v>
      </c>
      <c r="L5565" t="s">
        <v>6100</v>
      </c>
      <c r="M5565" t="s">
        <v>6099</v>
      </c>
      <c r="N5565">
        <v>3</v>
      </c>
      <c r="O5565" t="s">
        <v>6101</v>
      </c>
      <c r="P5565" t="s">
        <v>6115</v>
      </c>
      <c r="Q5565">
        <v>9</v>
      </c>
      <c r="R5565">
        <v>2026</v>
      </c>
      <c r="S5565" t="s">
        <v>6100</v>
      </c>
      <c r="T5565">
        <v>0</v>
      </c>
      <c r="U5565" t="s">
        <v>6020</v>
      </c>
      <c r="V5565">
        <v>0</v>
      </c>
    </row>
    <row r="5566" spans="1:22" x14ac:dyDescent="0.3">
      <c r="A5566" t="s">
        <v>5581</v>
      </c>
      <c r="B5566" s="2">
        <v>46274.572222222225</v>
      </c>
      <c r="C5566" s="2">
        <v>46275.772222222222</v>
      </c>
      <c r="D5566" t="s">
        <v>6024</v>
      </c>
      <c r="E5566" t="s">
        <v>6031</v>
      </c>
      <c r="F5566" t="s">
        <v>6034</v>
      </c>
      <c r="G5566" t="s">
        <v>6041</v>
      </c>
      <c r="H5566" t="s">
        <v>6096</v>
      </c>
      <c r="I5566">
        <v>24</v>
      </c>
      <c r="J5566">
        <v>28.8</v>
      </c>
      <c r="K5566" t="s">
        <v>6099</v>
      </c>
      <c r="L5566" t="s">
        <v>6100</v>
      </c>
      <c r="M5566" t="s">
        <v>6099</v>
      </c>
      <c r="N5566">
        <v>3</v>
      </c>
      <c r="O5566" t="s">
        <v>6101</v>
      </c>
      <c r="P5566" t="s">
        <v>6115</v>
      </c>
      <c r="Q5566">
        <v>9</v>
      </c>
      <c r="R5566">
        <v>2026</v>
      </c>
      <c r="S5566" t="s">
        <v>6100</v>
      </c>
      <c r="T5566">
        <v>0</v>
      </c>
      <c r="U5566" t="s">
        <v>6020</v>
      </c>
      <c r="V5566">
        <v>1</v>
      </c>
    </row>
    <row r="5567" spans="1:22" x14ac:dyDescent="0.3">
      <c r="A5567" t="s">
        <v>5582</v>
      </c>
      <c r="B5567" s="2">
        <v>46274.578472222223</v>
      </c>
      <c r="C5567" s="2">
        <v>46275.020138888889</v>
      </c>
      <c r="D5567" t="s">
        <v>6022</v>
      </c>
      <c r="E5567" t="s">
        <v>6030</v>
      </c>
      <c r="F5567" t="s">
        <v>6033</v>
      </c>
      <c r="G5567" t="s">
        <v>6065</v>
      </c>
      <c r="H5567" t="s">
        <v>6097</v>
      </c>
      <c r="I5567">
        <v>72</v>
      </c>
      <c r="J5567">
        <v>10.6</v>
      </c>
      <c r="K5567" t="s">
        <v>6099</v>
      </c>
      <c r="L5567" t="s">
        <v>6100</v>
      </c>
      <c r="M5567" t="s">
        <v>6100</v>
      </c>
      <c r="O5567" t="s">
        <v>6101</v>
      </c>
      <c r="P5567" t="s">
        <v>6115</v>
      </c>
      <c r="Q5567">
        <v>9</v>
      </c>
      <c r="R5567">
        <v>2026</v>
      </c>
      <c r="S5567" t="s">
        <v>6099</v>
      </c>
      <c r="T5567">
        <v>1</v>
      </c>
      <c r="U5567" t="s">
        <v>6021</v>
      </c>
      <c r="V5567">
        <v>1</v>
      </c>
    </row>
    <row r="5568" spans="1:22" x14ac:dyDescent="0.3">
      <c r="A5568" t="s">
        <v>5583</v>
      </c>
      <c r="B5568" s="2">
        <v>46274.619444444441</v>
      </c>
      <c r="C5568" s="2">
        <v>46275.015277777777</v>
      </c>
      <c r="D5568" t="s">
        <v>6022</v>
      </c>
      <c r="E5568" t="s">
        <v>6029</v>
      </c>
      <c r="F5568" t="s">
        <v>6033</v>
      </c>
      <c r="G5568" t="s">
        <v>6059</v>
      </c>
      <c r="H5568" t="s">
        <v>6097</v>
      </c>
      <c r="I5568">
        <v>72</v>
      </c>
      <c r="J5568">
        <v>9.5</v>
      </c>
      <c r="K5568" t="s">
        <v>6099</v>
      </c>
      <c r="L5568" t="s">
        <v>6100</v>
      </c>
      <c r="M5568" t="s">
        <v>6100</v>
      </c>
      <c r="N5568">
        <v>5</v>
      </c>
      <c r="O5568" t="s">
        <v>6101</v>
      </c>
      <c r="P5568" t="s">
        <v>6115</v>
      </c>
      <c r="Q5568">
        <v>9</v>
      </c>
      <c r="R5568">
        <v>2026</v>
      </c>
      <c r="S5568" t="s">
        <v>6099</v>
      </c>
      <c r="T5568">
        <v>1</v>
      </c>
      <c r="U5568" t="s">
        <v>6019</v>
      </c>
      <c r="V5568">
        <v>1</v>
      </c>
    </row>
    <row r="5569" spans="1:22" x14ac:dyDescent="0.3">
      <c r="A5569" t="s">
        <v>5584</v>
      </c>
      <c r="B5569" s="2">
        <v>46274.651388888888</v>
      </c>
      <c r="C5569" s="2">
        <v>46275.088888888888</v>
      </c>
      <c r="D5569" t="s">
        <v>6024</v>
      </c>
      <c r="E5569" t="s">
        <v>6032</v>
      </c>
      <c r="F5569" t="s">
        <v>6034</v>
      </c>
      <c r="G5569" t="s">
        <v>6079</v>
      </c>
      <c r="H5569" t="s">
        <v>6097</v>
      </c>
      <c r="I5569">
        <v>24</v>
      </c>
      <c r="J5569">
        <v>10.5</v>
      </c>
      <c r="K5569" t="s">
        <v>6099</v>
      </c>
      <c r="L5569" t="s">
        <v>6100</v>
      </c>
      <c r="M5569" t="s">
        <v>6100</v>
      </c>
      <c r="N5569">
        <v>5</v>
      </c>
      <c r="O5569" t="s">
        <v>6101</v>
      </c>
      <c r="P5569" t="s">
        <v>6115</v>
      </c>
      <c r="Q5569">
        <v>9</v>
      </c>
      <c r="R5569">
        <v>2026</v>
      </c>
      <c r="S5569" t="s">
        <v>6099</v>
      </c>
      <c r="T5569">
        <v>1</v>
      </c>
      <c r="U5569" t="s">
        <v>6017</v>
      </c>
      <c r="V5569">
        <v>1</v>
      </c>
    </row>
    <row r="5570" spans="1:22" x14ac:dyDescent="0.3">
      <c r="A5570" t="s">
        <v>5585</v>
      </c>
      <c r="B5570" s="2">
        <v>46274.697222222225</v>
      </c>
      <c r="C5570" s="2">
        <v>46274.776388888888</v>
      </c>
      <c r="D5570" t="s">
        <v>6022</v>
      </c>
      <c r="E5570" t="s">
        <v>6030</v>
      </c>
      <c r="F5570" t="s">
        <v>6033</v>
      </c>
      <c r="G5570" t="s">
        <v>6068</v>
      </c>
      <c r="H5570" t="s">
        <v>6098</v>
      </c>
      <c r="I5570">
        <v>72</v>
      </c>
      <c r="J5570">
        <v>1.9</v>
      </c>
      <c r="K5570" t="s">
        <v>6100</v>
      </c>
      <c r="L5570" t="s">
        <v>6100</v>
      </c>
      <c r="M5570" t="s">
        <v>6100</v>
      </c>
      <c r="N5570">
        <v>4</v>
      </c>
      <c r="O5570" t="s">
        <v>6101</v>
      </c>
      <c r="P5570" t="s">
        <v>6115</v>
      </c>
      <c r="Q5570">
        <v>9</v>
      </c>
      <c r="R5570">
        <v>2026</v>
      </c>
      <c r="S5570" t="s">
        <v>6099</v>
      </c>
      <c r="T5570">
        <v>1</v>
      </c>
      <c r="U5570" t="s">
        <v>6019</v>
      </c>
      <c r="V5570">
        <v>0</v>
      </c>
    </row>
    <row r="5571" spans="1:22" x14ac:dyDescent="0.3">
      <c r="A5571" t="s">
        <v>5586</v>
      </c>
      <c r="B5571" s="2">
        <v>46274.698611111111</v>
      </c>
      <c r="C5571" s="2">
        <v>46275.394444444442</v>
      </c>
      <c r="D5571" t="s">
        <v>6025</v>
      </c>
      <c r="E5571" t="s">
        <v>6031</v>
      </c>
      <c r="F5571" t="s">
        <v>6033</v>
      </c>
      <c r="G5571" t="s">
        <v>6039</v>
      </c>
      <c r="H5571" t="s">
        <v>6097</v>
      </c>
      <c r="I5571">
        <v>72</v>
      </c>
      <c r="J5571">
        <v>16.7</v>
      </c>
      <c r="K5571" t="s">
        <v>6099</v>
      </c>
      <c r="L5571" t="s">
        <v>6100</v>
      </c>
      <c r="M5571" t="s">
        <v>6100</v>
      </c>
      <c r="O5571" t="s">
        <v>6101</v>
      </c>
      <c r="P5571" t="s">
        <v>6115</v>
      </c>
      <c r="Q5571">
        <v>9</v>
      </c>
      <c r="R5571">
        <v>2026</v>
      </c>
      <c r="S5571" t="s">
        <v>6099</v>
      </c>
      <c r="T5571">
        <v>1</v>
      </c>
      <c r="U5571" t="s">
        <v>6018</v>
      </c>
      <c r="V5571">
        <v>1</v>
      </c>
    </row>
    <row r="5572" spans="1:22" x14ac:dyDescent="0.3">
      <c r="A5572" t="s">
        <v>5587</v>
      </c>
      <c r="B5572" s="2">
        <v>46274.710416666669</v>
      </c>
      <c r="C5572" s="2">
        <v>46274.92291666667</v>
      </c>
      <c r="D5572" t="s">
        <v>6023</v>
      </c>
      <c r="E5572" t="s">
        <v>6029</v>
      </c>
      <c r="F5572" t="s">
        <v>6035</v>
      </c>
      <c r="G5572" t="s">
        <v>6064</v>
      </c>
      <c r="H5572" t="s">
        <v>6096</v>
      </c>
      <c r="I5572">
        <v>4</v>
      </c>
      <c r="J5572">
        <v>5.0999999999999996</v>
      </c>
      <c r="K5572" t="s">
        <v>6099</v>
      </c>
      <c r="L5572" t="s">
        <v>6100</v>
      </c>
      <c r="M5572" t="s">
        <v>6100</v>
      </c>
      <c r="N5572">
        <v>4</v>
      </c>
      <c r="O5572" t="s">
        <v>6101</v>
      </c>
      <c r="P5572" t="s">
        <v>6115</v>
      </c>
      <c r="Q5572">
        <v>9</v>
      </c>
      <c r="R5572">
        <v>2026</v>
      </c>
      <c r="S5572" t="s">
        <v>6100</v>
      </c>
      <c r="T5572">
        <v>0</v>
      </c>
      <c r="U5572" t="s">
        <v>6018</v>
      </c>
      <c r="V5572">
        <v>1</v>
      </c>
    </row>
    <row r="5573" spans="1:22" x14ac:dyDescent="0.3">
      <c r="A5573" t="s">
        <v>5588</v>
      </c>
      <c r="B5573" s="2">
        <v>46274.763194444444</v>
      </c>
      <c r="C5573" s="2">
        <v>46289.921527777777</v>
      </c>
      <c r="D5573" t="s">
        <v>6026</v>
      </c>
      <c r="E5573" t="s">
        <v>6031</v>
      </c>
      <c r="F5573" t="s">
        <v>6033</v>
      </c>
      <c r="G5573" t="s">
        <v>6037</v>
      </c>
      <c r="H5573" t="s">
        <v>6096</v>
      </c>
      <c r="I5573">
        <v>72</v>
      </c>
      <c r="J5573">
        <v>363.8</v>
      </c>
      <c r="K5573" t="s">
        <v>6099</v>
      </c>
      <c r="L5573" t="s">
        <v>6100</v>
      </c>
      <c r="M5573" t="s">
        <v>6100</v>
      </c>
      <c r="N5573">
        <v>4</v>
      </c>
      <c r="O5573" t="s">
        <v>6101</v>
      </c>
      <c r="P5573" t="s">
        <v>6115</v>
      </c>
      <c r="Q5573">
        <v>9</v>
      </c>
      <c r="R5573">
        <v>2026</v>
      </c>
      <c r="S5573" t="s">
        <v>6100</v>
      </c>
      <c r="T5573">
        <v>0</v>
      </c>
      <c r="U5573" t="s">
        <v>6021</v>
      </c>
      <c r="V5573">
        <v>1</v>
      </c>
    </row>
    <row r="5574" spans="1:22" x14ac:dyDescent="0.3">
      <c r="A5574" t="s">
        <v>5589</v>
      </c>
      <c r="B5574" s="2">
        <v>46274.772222222222</v>
      </c>
      <c r="C5574" s="2">
        <v>46275.743055555555</v>
      </c>
      <c r="D5574" t="s">
        <v>6024</v>
      </c>
      <c r="E5574" t="s">
        <v>6031</v>
      </c>
      <c r="F5574" t="s">
        <v>6033</v>
      </c>
      <c r="G5574" t="s">
        <v>6091</v>
      </c>
      <c r="H5574" t="s">
        <v>6097</v>
      </c>
      <c r="I5574">
        <v>72</v>
      </c>
      <c r="J5574">
        <v>23.3</v>
      </c>
      <c r="K5574" t="s">
        <v>6099</v>
      </c>
      <c r="L5574" t="s">
        <v>6100</v>
      </c>
      <c r="M5574" t="s">
        <v>6100</v>
      </c>
      <c r="N5574">
        <v>4</v>
      </c>
      <c r="O5574" t="s">
        <v>6101</v>
      </c>
      <c r="P5574" t="s">
        <v>6115</v>
      </c>
      <c r="Q5574">
        <v>9</v>
      </c>
      <c r="R5574">
        <v>2026</v>
      </c>
      <c r="S5574" t="s">
        <v>6099</v>
      </c>
      <c r="T5574">
        <v>1</v>
      </c>
      <c r="U5574" t="s">
        <v>6020</v>
      </c>
      <c r="V5574">
        <v>1</v>
      </c>
    </row>
    <row r="5575" spans="1:22" x14ac:dyDescent="0.3">
      <c r="A5575" t="s">
        <v>5590</v>
      </c>
      <c r="B5575" s="2">
        <v>46275.17083333333</v>
      </c>
      <c r="C5575" s="2">
        <v>46275.933333333334</v>
      </c>
      <c r="D5575" t="s">
        <v>6024</v>
      </c>
      <c r="E5575" t="s">
        <v>6032</v>
      </c>
      <c r="F5575" t="s">
        <v>6034</v>
      </c>
      <c r="G5575" t="s">
        <v>6077</v>
      </c>
      <c r="H5575" t="s">
        <v>6098</v>
      </c>
      <c r="I5575">
        <v>24</v>
      </c>
      <c r="J5575">
        <v>18.3</v>
      </c>
      <c r="K5575" t="s">
        <v>6100</v>
      </c>
      <c r="L5575" t="s">
        <v>6099</v>
      </c>
      <c r="M5575" t="s">
        <v>6100</v>
      </c>
      <c r="O5575" t="s">
        <v>6101</v>
      </c>
      <c r="P5575" t="s">
        <v>6115</v>
      </c>
      <c r="Q5575">
        <v>9</v>
      </c>
      <c r="R5575">
        <v>2026</v>
      </c>
      <c r="S5575" t="s">
        <v>6099</v>
      </c>
      <c r="T5575">
        <v>1</v>
      </c>
      <c r="U5575" t="s">
        <v>6018</v>
      </c>
      <c r="V5575">
        <v>0</v>
      </c>
    </row>
    <row r="5576" spans="1:22" x14ac:dyDescent="0.3">
      <c r="A5576" t="s">
        <v>5591</v>
      </c>
      <c r="B5576" s="2">
        <v>46275.210416666669</v>
      </c>
      <c r="C5576" s="2">
        <v>46275.768750000003</v>
      </c>
      <c r="D5576" t="s">
        <v>6027</v>
      </c>
      <c r="E5576" t="s">
        <v>6032</v>
      </c>
      <c r="F5576" t="s">
        <v>6034</v>
      </c>
      <c r="G5576" t="s">
        <v>6085</v>
      </c>
      <c r="H5576" t="s">
        <v>6097</v>
      </c>
      <c r="I5576">
        <v>24</v>
      </c>
      <c r="J5576">
        <v>13.4</v>
      </c>
      <c r="K5576" t="s">
        <v>6100</v>
      </c>
      <c r="L5576" t="s">
        <v>6100</v>
      </c>
      <c r="M5576" t="s">
        <v>6100</v>
      </c>
      <c r="N5576">
        <v>3</v>
      </c>
      <c r="O5576" t="s">
        <v>6101</v>
      </c>
      <c r="P5576" t="s">
        <v>6115</v>
      </c>
      <c r="Q5576">
        <v>9</v>
      </c>
      <c r="R5576">
        <v>2026</v>
      </c>
      <c r="S5576" t="s">
        <v>6099</v>
      </c>
      <c r="T5576">
        <v>1</v>
      </c>
      <c r="U5576" t="s">
        <v>6018</v>
      </c>
      <c r="V5576">
        <v>0</v>
      </c>
    </row>
    <row r="5577" spans="1:22" x14ac:dyDescent="0.3">
      <c r="A5577" t="s">
        <v>5592</v>
      </c>
      <c r="B5577" s="2">
        <v>46275.257638888892</v>
      </c>
      <c r="C5577" s="2">
        <v>46275.853472222225</v>
      </c>
      <c r="D5577" t="s">
        <v>6022</v>
      </c>
      <c r="E5577" t="s">
        <v>6030</v>
      </c>
      <c r="F5577" t="s">
        <v>6033</v>
      </c>
      <c r="G5577" t="s">
        <v>6080</v>
      </c>
      <c r="H5577" t="s">
        <v>6096</v>
      </c>
      <c r="I5577">
        <v>72</v>
      </c>
      <c r="J5577">
        <v>14.3</v>
      </c>
      <c r="K5577" t="s">
        <v>6100</v>
      </c>
      <c r="L5577" t="s">
        <v>6100</v>
      </c>
      <c r="M5577" t="s">
        <v>6100</v>
      </c>
      <c r="O5577" t="s">
        <v>6101</v>
      </c>
      <c r="P5577" t="s">
        <v>6115</v>
      </c>
      <c r="Q5577">
        <v>9</v>
      </c>
      <c r="R5577">
        <v>2026</v>
      </c>
      <c r="S5577" t="s">
        <v>6099</v>
      </c>
      <c r="T5577">
        <v>1</v>
      </c>
      <c r="U5577" t="s">
        <v>6018</v>
      </c>
      <c r="V5577">
        <v>0</v>
      </c>
    </row>
    <row r="5578" spans="1:22" x14ac:dyDescent="0.3">
      <c r="A5578" t="s">
        <v>5593</v>
      </c>
      <c r="B5578" s="2">
        <v>46275.268055555556</v>
      </c>
      <c r="C5578" s="2">
        <v>46279.218055555553</v>
      </c>
      <c r="D5578" t="s">
        <v>6025</v>
      </c>
      <c r="E5578" t="s">
        <v>6031</v>
      </c>
      <c r="F5578" t="s">
        <v>6033</v>
      </c>
      <c r="G5578" t="s">
        <v>6051</v>
      </c>
      <c r="H5578" t="s">
        <v>6097</v>
      </c>
      <c r="I5578">
        <v>72</v>
      </c>
      <c r="J5578">
        <v>94.8</v>
      </c>
      <c r="K5578" t="s">
        <v>6099</v>
      </c>
      <c r="L5578" t="s">
        <v>6100</v>
      </c>
      <c r="M5578" t="s">
        <v>6100</v>
      </c>
      <c r="O5578" t="s">
        <v>6101</v>
      </c>
      <c r="P5578" t="s">
        <v>6115</v>
      </c>
      <c r="Q5578">
        <v>9</v>
      </c>
      <c r="R5578">
        <v>2026</v>
      </c>
      <c r="S5578" t="s">
        <v>6100</v>
      </c>
      <c r="T5578">
        <v>0</v>
      </c>
      <c r="U5578" t="s">
        <v>6018</v>
      </c>
      <c r="V5578">
        <v>1</v>
      </c>
    </row>
    <row r="5579" spans="1:22" x14ac:dyDescent="0.3">
      <c r="A5579" t="s">
        <v>5594</v>
      </c>
      <c r="B5579" s="2">
        <v>46275.375</v>
      </c>
      <c r="C5579" s="2">
        <v>46275.479166666664</v>
      </c>
      <c r="D5579" t="s">
        <v>6028</v>
      </c>
      <c r="E5579" t="s">
        <v>6029</v>
      </c>
      <c r="F5579" t="s">
        <v>6034</v>
      </c>
      <c r="G5579" t="s">
        <v>6057</v>
      </c>
      <c r="H5579" t="s">
        <v>6097</v>
      </c>
      <c r="I5579">
        <v>24</v>
      </c>
      <c r="J5579">
        <v>2.5</v>
      </c>
      <c r="K5579" t="s">
        <v>6099</v>
      </c>
      <c r="L5579" t="s">
        <v>6100</v>
      </c>
      <c r="M5579" t="s">
        <v>6100</v>
      </c>
      <c r="N5579">
        <v>3</v>
      </c>
      <c r="O5579" t="s">
        <v>6101</v>
      </c>
      <c r="P5579" t="s">
        <v>6115</v>
      </c>
      <c r="Q5579">
        <v>9</v>
      </c>
      <c r="R5579">
        <v>2026</v>
      </c>
      <c r="S5579" t="s">
        <v>6099</v>
      </c>
      <c r="T5579">
        <v>1</v>
      </c>
      <c r="U5579" t="s">
        <v>6021</v>
      </c>
      <c r="V5579">
        <v>1</v>
      </c>
    </row>
    <row r="5580" spans="1:22" x14ac:dyDescent="0.3">
      <c r="A5580" t="s">
        <v>5595</v>
      </c>
      <c r="B5580" s="2">
        <v>46275.375</v>
      </c>
      <c r="C5580" s="2">
        <v>46275.82916666667</v>
      </c>
      <c r="D5580" t="s">
        <v>6023</v>
      </c>
      <c r="E5580" t="s">
        <v>6030</v>
      </c>
      <c r="F5580" t="s">
        <v>6033</v>
      </c>
      <c r="G5580" t="s">
        <v>6076</v>
      </c>
      <c r="H5580" t="s">
        <v>6097</v>
      </c>
      <c r="I5580">
        <v>72</v>
      </c>
      <c r="J5580">
        <v>10.9</v>
      </c>
      <c r="K5580" t="s">
        <v>6099</v>
      </c>
      <c r="L5580" t="s">
        <v>6100</v>
      </c>
      <c r="M5580" t="s">
        <v>6100</v>
      </c>
      <c r="N5580">
        <v>5</v>
      </c>
      <c r="O5580" t="s">
        <v>6101</v>
      </c>
      <c r="P5580" t="s">
        <v>6115</v>
      </c>
      <c r="Q5580">
        <v>9</v>
      </c>
      <c r="R5580">
        <v>2026</v>
      </c>
      <c r="S5580" t="s">
        <v>6099</v>
      </c>
      <c r="T5580">
        <v>1</v>
      </c>
      <c r="U5580" t="s">
        <v>6019</v>
      </c>
      <c r="V5580">
        <v>1</v>
      </c>
    </row>
    <row r="5581" spans="1:22" x14ac:dyDescent="0.3">
      <c r="A5581" t="s">
        <v>5596</v>
      </c>
      <c r="B5581" s="2">
        <v>46275.375694444447</v>
      </c>
      <c r="C5581" s="2">
        <v>46275.825694444444</v>
      </c>
      <c r="D5581" t="s">
        <v>6027</v>
      </c>
      <c r="E5581" t="s">
        <v>6029</v>
      </c>
      <c r="F5581" t="s">
        <v>6034</v>
      </c>
      <c r="G5581" t="s">
        <v>6043</v>
      </c>
      <c r="H5581" t="s">
        <v>6097</v>
      </c>
      <c r="I5581">
        <v>24</v>
      </c>
      <c r="J5581">
        <v>10.8</v>
      </c>
      <c r="K5581" t="s">
        <v>6099</v>
      </c>
      <c r="L5581" t="s">
        <v>6100</v>
      </c>
      <c r="M5581" t="s">
        <v>6100</v>
      </c>
      <c r="N5581">
        <v>5</v>
      </c>
      <c r="O5581" t="s">
        <v>6101</v>
      </c>
      <c r="P5581" t="s">
        <v>6115</v>
      </c>
      <c r="Q5581">
        <v>9</v>
      </c>
      <c r="R5581">
        <v>2026</v>
      </c>
      <c r="S5581" t="s">
        <v>6099</v>
      </c>
      <c r="T5581">
        <v>1</v>
      </c>
      <c r="U5581" t="s">
        <v>6017</v>
      </c>
      <c r="V5581">
        <v>1</v>
      </c>
    </row>
    <row r="5582" spans="1:22" x14ac:dyDescent="0.3">
      <c r="A5582" t="s">
        <v>5597</v>
      </c>
      <c r="B5582" s="2">
        <v>46275.392361111109</v>
      </c>
      <c r="C5582" s="2">
        <v>46276.363194444442</v>
      </c>
      <c r="D5582" t="s">
        <v>6024</v>
      </c>
      <c r="E5582" t="s">
        <v>6029</v>
      </c>
      <c r="F5582" t="s">
        <v>6035</v>
      </c>
      <c r="G5582" t="s">
        <v>6063</v>
      </c>
      <c r="H5582" t="s">
        <v>6097</v>
      </c>
      <c r="I5582">
        <v>4</v>
      </c>
      <c r="J5582">
        <v>23.3</v>
      </c>
      <c r="K5582" t="s">
        <v>6099</v>
      </c>
      <c r="L5582" t="s">
        <v>6100</v>
      </c>
      <c r="M5582" t="s">
        <v>6100</v>
      </c>
      <c r="N5582">
        <v>4</v>
      </c>
      <c r="O5582" t="s">
        <v>6101</v>
      </c>
      <c r="P5582" t="s">
        <v>6115</v>
      </c>
      <c r="Q5582">
        <v>9</v>
      </c>
      <c r="R5582">
        <v>2026</v>
      </c>
      <c r="S5582" t="s">
        <v>6100</v>
      </c>
      <c r="T5582">
        <v>0</v>
      </c>
      <c r="U5582" t="s">
        <v>6020</v>
      </c>
      <c r="V5582">
        <v>1</v>
      </c>
    </row>
    <row r="5583" spans="1:22" x14ac:dyDescent="0.3">
      <c r="A5583" t="s">
        <v>5598</v>
      </c>
      <c r="B5583" s="2">
        <v>46275.425000000003</v>
      </c>
      <c r="C5583" s="2">
        <v>46275.745833333334</v>
      </c>
      <c r="D5583" t="s">
        <v>6023</v>
      </c>
      <c r="E5583" t="s">
        <v>6029</v>
      </c>
      <c r="F5583" t="s">
        <v>6034</v>
      </c>
      <c r="G5583" t="s">
        <v>6050</v>
      </c>
      <c r="H5583" t="s">
        <v>6098</v>
      </c>
      <c r="I5583">
        <v>24</v>
      </c>
      <c r="J5583">
        <v>7.7</v>
      </c>
      <c r="K5583" t="s">
        <v>6099</v>
      </c>
      <c r="L5583" t="s">
        <v>6100</v>
      </c>
      <c r="M5583" t="s">
        <v>6100</v>
      </c>
      <c r="O5583" t="s">
        <v>6101</v>
      </c>
      <c r="P5583" t="s">
        <v>6115</v>
      </c>
      <c r="Q5583">
        <v>9</v>
      </c>
      <c r="R5583">
        <v>2026</v>
      </c>
      <c r="S5583" t="s">
        <v>6099</v>
      </c>
      <c r="T5583">
        <v>1</v>
      </c>
      <c r="U5583" t="s">
        <v>6017</v>
      </c>
      <c r="V5583">
        <v>1</v>
      </c>
    </row>
    <row r="5584" spans="1:22" x14ac:dyDescent="0.3">
      <c r="A5584" t="s">
        <v>5599</v>
      </c>
      <c r="B5584" s="2">
        <v>46275.435416666667</v>
      </c>
      <c r="C5584" s="2">
        <v>46284.214583333334</v>
      </c>
      <c r="D5584" t="s">
        <v>6026</v>
      </c>
      <c r="E5584" t="s">
        <v>6031</v>
      </c>
      <c r="F5584" t="s">
        <v>6035</v>
      </c>
      <c r="G5584" t="s">
        <v>6088</v>
      </c>
      <c r="H5584" t="s">
        <v>6097</v>
      </c>
      <c r="I5584">
        <v>4</v>
      </c>
      <c r="J5584">
        <v>210.7</v>
      </c>
      <c r="K5584" t="s">
        <v>6099</v>
      </c>
      <c r="L5584" t="s">
        <v>6100</v>
      </c>
      <c r="M5584" t="s">
        <v>6099</v>
      </c>
      <c r="N5584">
        <v>5</v>
      </c>
      <c r="O5584" t="s">
        <v>6101</v>
      </c>
      <c r="P5584" t="s">
        <v>6115</v>
      </c>
      <c r="Q5584">
        <v>9</v>
      </c>
      <c r="R5584">
        <v>2026</v>
      </c>
      <c r="S5584" t="s">
        <v>6100</v>
      </c>
      <c r="T5584">
        <v>0</v>
      </c>
      <c r="U5584" t="s">
        <v>6020</v>
      </c>
      <c r="V5584">
        <v>1</v>
      </c>
    </row>
    <row r="5585" spans="1:22" x14ac:dyDescent="0.3">
      <c r="A5585" t="s">
        <v>5600</v>
      </c>
      <c r="B5585" s="2">
        <v>46275.454861111109</v>
      </c>
      <c r="C5585" s="2">
        <v>46276.154861111114</v>
      </c>
      <c r="D5585" t="s">
        <v>6028</v>
      </c>
      <c r="E5585" t="s">
        <v>6031</v>
      </c>
      <c r="F5585" t="s">
        <v>6035</v>
      </c>
      <c r="G5585" t="s">
        <v>6075</v>
      </c>
      <c r="H5585" t="s">
        <v>6097</v>
      </c>
      <c r="I5585">
        <v>4</v>
      </c>
      <c r="J5585">
        <v>16.8</v>
      </c>
      <c r="K5585" t="s">
        <v>6099</v>
      </c>
      <c r="L5585" t="s">
        <v>6100</v>
      </c>
      <c r="M5585" t="s">
        <v>6100</v>
      </c>
      <c r="N5585">
        <v>5</v>
      </c>
      <c r="O5585" t="s">
        <v>6101</v>
      </c>
      <c r="P5585" t="s">
        <v>6115</v>
      </c>
      <c r="Q5585">
        <v>9</v>
      </c>
      <c r="R5585">
        <v>2026</v>
      </c>
      <c r="S5585" t="s">
        <v>6100</v>
      </c>
      <c r="T5585">
        <v>0</v>
      </c>
      <c r="U5585" t="s">
        <v>6021</v>
      </c>
      <c r="V5585">
        <v>1</v>
      </c>
    </row>
    <row r="5586" spans="1:22" x14ac:dyDescent="0.3">
      <c r="A5586" t="s">
        <v>5601</v>
      </c>
      <c r="B5586" s="2">
        <v>46275.461805555555</v>
      </c>
      <c r="C5586" s="2">
        <v>46279.361805555556</v>
      </c>
      <c r="D5586" t="s">
        <v>6025</v>
      </c>
      <c r="E5586" t="s">
        <v>6031</v>
      </c>
      <c r="F5586" t="s">
        <v>6033</v>
      </c>
      <c r="G5586" t="s">
        <v>6065</v>
      </c>
      <c r="H5586" t="s">
        <v>6097</v>
      </c>
      <c r="I5586">
        <v>72</v>
      </c>
      <c r="J5586">
        <v>93.6</v>
      </c>
      <c r="K5586" t="s">
        <v>6099</v>
      </c>
      <c r="L5586" t="s">
        <v>6100</v>
      </c>
      <c r="M5586" t="s">
        <v>6100</v>
      </c>
      <c r="O5586" t="s">
        <v>6101</v>
      </c>
      <c r="P5586" t="s">
        <v>6115</v>
      </c>
      <c r="Q5586">
        <v>9</v>
      </c>
      <c r="R5586">
        <v>2026</v>
      </c>
      <c r="S5586" t="s">
        <v>6100</v>
      </c>
      <c r="T5586">
        <v>0</v>
      </c>
      <c r="U5586" t="s">
        <v>6020</v>
      </c>
      <c r="V5586">
        <v>1</v>
      </c>
    </row>
    <row r="5587" spans="1:22" x14ac:dyDescent="0.3">
      <c r="A5587" t="s">
        <v>5602</v>
      </c>
      <c r="B5587" s="2">
        <v>46275.530555555553</v>
      </c>
      <c r="C5587" s="2">
        <v>46276.826388888891</v>
      </c>
      <c r="D5587" t="s">
        <v>6024</v>
      </c>
      <c r="E5587" t="s">
        <v>6031</v>
      </c>
      <c r="F5587" t="s">
        <v>6035</v>
      </c>
      <c r="G5587" t="s">
        <v>6095</v>
      </c>
      <c r="H5587" t="s">
        <v>6098</v>
      </c>
      <c r="I5587">
        <v>4</v>
      </c>
      <c r="J5587">
        <v>31.1</v>
      </c>
      <c r="K5587" t="s">
        <v>6100</v>
      </c>
      <c r="L5587" t="s">
        <v>6099</v>
      </c>
      <c r="M5587" t="s">
        <v>6100</v>
      </c>
      <c r="N5587">
        <v>3</v>
      </c>
      <c r="O5587" t="s">
        <v>6101</v>
      </c>
      <c r="P5587" t="s">
        <v>6115</v>
      </c>
      <c r="Q5587">
        <v>9</v>
      </c>
      <c r="R5587">
        <v>2026</v>
      </c>
      <c r="S5587" t="s">
        <v>6100</v>
      </c>
      <c r="T5587">
        <v>0</v>
      </c>
      <c r="U5587" t="s">
        <v>6021</v>
      </c>
      <c r="V5587">
        <v>0</v>
      </c>
    </row>
    <row r="5588" spans="1:22" x14ac:dyDescent="0.3">
      <c r="A5588" t="s">
        <v>5603</v>
      </c>
      <c r="B5588" s="2">
        <v>46275.531944444447</v>
      </c>
      <c r="C5588" s="2">
        <v>46276.702777777777</v>
      </c>
      <c r="D5588" t="s">
        <v>6027</v>
      </c>
      <c r="E5588" t="s">
        <v>6030</v>
      </c>
      <c r="F5588" t="s">
        <v>6033</v>
      </c>
      <c r="G5588" t="s">
        <v>6045</v>
      </c>
      <c r="H5588" t="s">
        <v>6096</v>
      </c>
      <c r="I5588">
        <v>72</v>
      </c>
      <c r="J5588">
        <v>28.1</v>
      </c>
      <c r="K5588" t="s">
        <v>6100</v>
      </c>
      <c r="L5588" t="s">
        <v>6100</v>
      </c>
      <c r="M5588" t="s">
        <v>6100</v>
      </c>
      <c r="N5588">
        <v>4</v>
      </c>
      <c r="O5588" t="s">
        <v>6101</v>
      </c>
      <c r="P5588" t="s">
        <v>6115</v>
      </c>
      <c r="Q5588">
        <v>9</v>
      </c>
      <c r="R5588">
        <v>2026</v>
      </c>
      <c r="S5588" t="s">
        <v>6099</v>
      </c>
      <c r="T5588">
        <v>1</v>
      </c>
      <c r="U5588" t="s">
        <v>6019</v>
      </c>
      <c r="V5588">
        <v>0</v>
      </c>
    </row>
    <row r="5589" spans="1:22" x14ac:dyDescent="0.3">
      <c r="A5589" t="s">
        <v>5604</v>
      </c>
      <c r="B5589" s="2">
        <v>46275.568749999999</v>
      </c>
      <c r="C5589" s="2">
        <v>46276.76458333333</v>
      </c>
      <c r="D5589" t="s">
        <v>6028</v>
      </c>
      <c r="E5589" t="s">
        <v>6031</v>
      </c>
      <c r="F5589" t="s">
        <v>6034</v>
      </c>
      <c r="G5589" t="s">
        <v>6088</v>
      </c>
      <c r="H5589" t="s">
        <v>6097</v>
      </c>
      <c r="I5589">
        <v>24</v>
      </c>
      <c r="J5589">
        <v>28.7</v>
      </c>
      <c r="K5589" t="s">
        <v>6099</v>
      </c>
      <c r="L5589" t="s">
        <v>6100</v>
      </c>
      <c r="M5589" t="s">
        <v>6100</v>
      </c>
      <c r="N5589">
        <v>4</v>
      </c>
      <c r="O5589" t="s">
        <v>6101</v>
      </c>
      <c r="P5589" t="s">
        <v>6115</v>
      </c>
      <c r="Q5589">
        <v>9</v>
      </c>
      <c r="R5589">
        <v>2026</v>
      </c>
      <c r="S5589" t="s">
        <v>6100</v>
      </c>
      <c r="T5589">
        <v>0</v>
      </c>
      <c r="U5589" t="s">
        <v>6020</v>
      </c>
      <c r="V5589">
        <v>1</v>
      </c>
    </row>
    <row r="5590" spans="1:22" x14ac:dyDescent="0.3">
      <c r="A5590" t="s">
        <v>5605</v>
      </c>
      <c r="B5590" s="2">
        <v>46275.581944444442</v>
      </c>
      <c r="C5590" s="2">
        <v>46276.119444444441</v>
      </c>
      <c r="D5590" t="s">
        <v>6023</v>
      </c>
      <c r="E5590" t="s">
        <v>6029</v>
      </c>
      <c r="F5590" t="s">
        <v>6034</v>
      </c>
      <c r="G5590" t="s">
        <v>6094</v>
      </c>
      <c r="H5590" t="s">
        <v>6098</v>
      </c>
      <c r="I5590">
        <v>24</v>
      </c>
      <c r="J5590">
        <v>12.9</v>
      </c>
      <c r="K5590" t="s">
        <v>6099</v>
      </c>
      <c r="L5590" t="s">
        <v>6100</v>
      </c>
      <c r="M5590" t="s">
        <v>6100</v>
      </c>
      <c r="N5590">
        <v>5</v>
      </c>
      <c r="O5590" t="s">
        <v>6101</v>
      </c>
      <c r="P5590" t="s">
        <v>6115</v>
      </c>
      <c r="Q5590">
        <v>9</v>
      </c>
      <c r="R5590">
        <v>2026</v>
      </c>
      <c r="S5590" t="s">
        <v>6099</v>
      </c>
      <c r="T5590">
        <v>1</v>
      </c>
      <c r="U5590" t="s">
        <v>6017</v>
      </c>
      <c r="V5590">
        <v>1</v>
      </c>
    </row>
    <row r="5591" spans="1:22" x14ac:dyDescent="0.3">
      <c r="A5591" t="s">
        <v>5606</v>
      </c>
      <c r="B5591" s="2">
        <v>46275.638888888891</v>
      </c>
      <c r="C5591" s="2">
        <v>46275.743055555555</v>
      </c>
      <c r="D5591" t="s">
        <v>6027</v>
      </c>
      <c r="E5591" t="s">
        <v>6030</v>
      </c>
      <c r="F5591" t="s">
        <v>6034</v>
      </c>
      <c r="G5591" t="s">
        <v>6090</v>
      </c>
      <c r="H5591" t="s">
        <v>6097</v>
      </c>
      <c r="I5591">
        <v>24</v>
      </c>
      <c r="J5591">
        <v>2.5</v>
      </c>
      <c r="K5591" t="s">
        <v>6099</v>
      </c>
      <c r="L5591" t="s">
        <v>6100</v>
      </c>
      <c r="M5591" t="s">
        <v>6100</v>
      </c>
      <c r="N5591">
        <v>5</v>
      </c>
      <c r="O5591" t="s">
        <v>6101</v>
      </c>
      <c r="P5591" t="s">
        <v>6115</v>
      </c>
      <c r="Q5591">
        <v>9</v>
      </c>
      <c r="R5591">
        <v>2026</v>
      </c>
      <c r="S5591" t="s">
        <v>6099</v>
      </c>
      <c r="T5591">
        <v>1</v>
      </c>
      <c r="U5591" t="s">
        <v>6020</v>
      </c>
      <c r="V5591">
        <v>1</v>
      </c>
    </row>
    <row r="5592" spans="1:22" x14ac:dyDescent="0.3">
      <c r="A5592" t="s">
        <v>5607</v>
      </c>
      <c r="B5592" s="2">
        <v>46275.78402777778</v>
      </c>
      <c r="C5592" s="2">
        <v>46275.859027777777</v>
      </c>
      <c r="D5592" t="s">
        <v>6023</v>
      </c>
      <c r="E5592" t="s">
        <v>6030</v>
      </c>
      <c r="F5592" t="s">
        <v>6033</v>
      </c>
      <c r="G5592" t="s">
        <v>6039</v>
      </c>
      <c r="H5592" t="s">
        <v>6097</v>
      </c>
      <c r="I5592">
        <v>72</v>
      </c>
      <c r="J5592">
        <v>1.8</v>
      </c>
      <c r="K5592" t="s">
        <v>6100</v>
      </c>
      <c r="L5592" t="s">
        <v>6100</v>
      </c>
      <c r="M5592" t="s">
        <v>6100</v>
      </c>
      <c r="O5592" t="s">
        <v>6101</v>
      </c>
      <c r="P5592" t="s">
        <v>6115</v>
      </c>
      <c r="Q5592">
        <v>9</v>
      </c>
      <c r="R5592">
        <v>2026</v>
      </c>
      <c r="S5592" t="s">
        <v>6099</v>
      </c>
      <c r="T5592">
        <v>1</v>
      </c>
      <c r="U5592" t="s">
        <v>6018</v>
      </c>
      <c r="V5592">
        <v>0</v>
      </c>
    </row>
    <row r="5593" spans="1:22" x14ac:dyDescent="0.3">
      <c r="A5593" t="s">
        <v>5608</v>
      </c>
      <c r="B5593" s="2">
        <v>46276.270833333336</v>
      </c>
      <c r="C5593" s="2">
        <v>46277.270833333336</v>
      </c>
      <c r="D5593" t="s">
        <v>6027</v>
      </c>
      <c r="E5593" t="s">
        <v>6032</v>
      </c>
      <c r="F5593" t="s">
        <v>6033</v>
      </c>
      <c r="G5593" t="s">
        <v>6087</v>
      </c>
      <c r="H5593" t="s">
        <v>6098</v>
      </c>
      <c r="I5593">
        <v>72</v>
      </c>
      <c r="J5593">
        <v>24</v>
      </c>
      <c r="K5593" t="s">
        <v>6099</v>
      </c>
      <c r="L5593" t="s">
        <v>6100</v>
      </c>
      <c r="M5593" t="s">
        <v>6100</v>
      </c>
      <c r="O5593" t="s">
        <v>6101</v>
      </c>
      <c r="P5593" t="s">
        <v>6115</v>
      </c>
      <c r="Q5593">
        <v>9</v>
      </c>
      <c r="R5593">
        <v>2026</v>
      </c>
      <c r="S5593" t="s">
        <v>6099</v>
      </c>
      <c r="T5593">
        <v>1</v>
      </c>
      <c r="U5593" t="s">
        <v>6018</v>
      </c>
      <c r="V5593">
        <v>1</v>
      </c>
    </row>
    <row r="5594" spans="1:22" x14ac:dyDescent="0.3">
      <c r="A5594" t="s">
        <v>5609</v>
      </c>
      <c r="B5594" s="2">
        <v>46276.31527777778</v>
      </c>
      <c r="C5594" s="2">
        <v>46276.873611111114</v>
      </c>
      <c r="D5594" t="s">
        <v>6028</v>
      </c>
      <c r="E5594" t="s">
        <v>6029</v>
      </c>
      <c r="F5594" t="s">
        <v>6035</v>
      </c>
      <c r="G5594" t="s">
        <v>6071</v>
      </c>
      <c r="H5594" t="s">
        <v>6098</v>
      </c>
      <c r="I5594">
        <v>4</v>
      </c>
      <c r="J5594">
        <v>13.4</v>
      </c>
      <c r="K5594" t="s">
        <v>6099</v>
      </c>
      <c r="L5594" t="s">
        <v>6100</v>
      </c>
      <c r="M5594" t="s">
        <v>6100</v>
      </c>
      <c r="N5594">
        <v>4</v>
      </c>
      <c r="O5594" t="s">
        <v>6101</v>
      </c>
      <c r="P5594" t="s">
        <v>6115</v>
      </c>
      <c r="Q5594">
        <v>9</v>
      </c>
      <c r="R5594">
        <v>2026</v>
      </c>
      <c r="S5594" t="s">
        <v>6100</v>
      </c>
      <c r="T5594">
        <v>0</v>
      </c>
      <c r="U5594" t="s">
        <v>6018</v>
      </c>
      <c r="V5594">
        <v>1</v>
      </c>
    </row>
    <row r="5595" spans="1:22" x14ac:dyDescent="0.3">
      <c r="A5595" t="s">
        <v>5610</v>
      </c>
      <c r="B5595" s="2">
        <v>46276.371527777781</v>
      </c>
      <c r="C5595" s="2">
        <v>46276.804861111108</v>
      </c>
      <c r="D5595" t="s">
        <v>6028</v>
      </c>
      <c r="E5595" t="s">
        <v>6029</v>
      </c>
      <c r="F5595" t="s">
        <v>6035</v>
      </c>
      <c r="G5595" t="s">
        <v>6078</v>
      </c>
      <c r="H5595" t="s">
        <v>6097</v>
      </c>
      <c r="I5595">
        <v>4</v>
      </c>
      <c r="J5595">
        <v>10.4</v>
      </c>
      <c r="K5595" t="s">
        <v>6099</v>
      </c>
      <c r="L5595" t="s">
        <v>6100</v>
      </c>
      <c r="M5595" t="s">
        <v>6100</v>
      </c>
      <c r="N5595">
        <v>5</v>
      </c>
      <c r="O5595" t="s">
        <v>6101</v>
      </c>
      <c r="P5595" t="s">
        <v>6115</v>
      </c>
      <c r="Q5595">
        <v>9</v>
      </c>
      <c r="R5595">
        <v>2026</v>
      </c>
      <c r="S5595" t="s">
        <v>6100</v>
      </c>
      <c r="T5595">
        <v>0</v>
      </c>
      <c r="U5595" t="s">
        <v>6017</v>
      </c>
      <c r="V5595">
        <v>1</v>
      </c>
    </row>
    <row r="5596" spans="1:22" x14ac:dyDescent="0.3">
      <c r="A5596" t="s">
        <v>5611</v>
      </c>
      <c r="B5596" s="2">
        <v>46276.373611111114</v>
      </c>
      <c r="C5596" s="2">
        <v>46276.827777777777</v>
      </c>
      <c r="D5596" t="s">
        <v>6025</v>
      </c>
      <c r="E5596" t="s">
        <v>6031</v>
      </c>
      <c r="F5596" t="s">
        <v>6035</v>
      </c>
      <c r="G5596" t="s">
        <v>6075</v>
      </c>
      <c r="H5596" t="s">
        <v>6097</v>
      </c>
      <c r="I5596">
        <v>4</v>
      </c>
      <c r="J5596">
        <v>10.9</v>
      </c>
      <c r="K5596" t="s">
        <v>6099</v>
      </c>
      <c r="L5596" t="s">
        <v>6100</v>
      </c>
      <c r="M5596" t="s">
        <v>6100</v>
      </c>
      <c r="N5596">
        <v>4</v>
      </c>
      <c r="O5596" t="s">
        <v>6101</v>
      </c>
      <c r="P5596" t="s">
        <v>6115</v>
      </c>
      <c r="Q5596">
        <v>9</v>
      </c>
      <c r="R5596">
        <v>2026</v>
      </c>
      <c r="S5596" t="s">
        <v>6100</v>
      </c>
      <c r="T5596">
        <v>0</v>
      </c>
      <c r="U5596" t="s">
        <v>6021</v>
      </c>
      <c r="V5596">
        <v>1</v>
      </c>
    </row>
    <row r="5597" spans="1:22" x14ac:dyDescent="0.3">
      <c r="A5597" t="s">
        <v>5612</v>
      </c>
      <c r="B5597" s="2">
        <v>46276.395138888889</v>
      </c>
      <c r="C5597" s="2">
        <v>46276.615972222222</v>
      </c>
      <c r="D5597" t="s">
        <v>6025</v>
      </c>
      <c r="E5597" t="s">
        <v>6030</v>
      </c>
      <c r="F5597" t="s">
        <v>6035</v>
      </c>
      <c r="G5597" t="s">
        <v>6078</v>
      </c>
      <c r="H5597" t="s">
        <v>6097</v>
      </c>
      <c r="I5597">
        <v>4</v>
      </c>
      <c r="J5597">
        <v>5.3</v>
      </c>
      <c r="K5597" t="s">
        <v>6099</v>
      </c>
      <c r="L5597" t="s">
        <v>6100</v>
      </c>
      <c r="M5597" t="s">
        <v>6100</v>
      </c>
      <c r="N5597">
        <v>4</v>
      </c>
      <c r="O5597" t="s">
        <v>6101</v>
      </c>
      <c r="P5597" t="s">
        <v>6115</v>
      </c>
      <c r="Q5597">
        <v>9</v>
      </c>
      <c r="R5597">
        <v>2026</v>
      </c>
      <c r="S5597" t="s">
        <v>6100</v>
      </c>
      <c r="T5597">
        <v>0</v>
      </c>
      <c r="U5597" t="s">
        <v>6021</v>
      </c>
      <c r="V5597">
        <v>1</v>
      </c>
    </row>
    <row r="5598" spans="1:22" x14ac:dyDescent="0.3">
      <c r="A5598" t="s">
        <v>5613</v>
      </c>
      <c r="B5598" s="2">
        <v>46276.433333333334</v>
      </c>
      <c r="C5598" s="2">
        <v>46284.60833333333</v>
      </c>
      <c r="D5598" t="s">
        <v>6026</v>
      </c>
      <c r="E5598" t="s">
        <v>6031</v>
      </c>
      <c r="F5598" t="s">
        <v>6033</v>
      </c>
      <c r="G5598" t="s">
        <v>6073</v>
      </c>
      <c r="H5598" t="s">
        <v>6096</v>
      </c>
      <c r="I5598">
        <v>72</v>
      </c>
      <c r="J5598">
        <v>196.2</v>
      </c>
      <c r="K5598" t="s">
        <v>6100</v>
      </c>
      <c r="L5598" t="s">
        <v>6099</v>
      </c>
      <c r="M5598" t="s">
        <v>6100</v>
      </c>
      <c r="N5598">
        <v>3</v>
      </c>
      <c r="O5598" t="s">
        <v>6101</v>
      </c>
      <c r="P5598" t="s">
        <v>6115</v>
      </c>
      <c r="Q5598">
        <v>9</v>
      </c>
      <c r="R5598">
        <v>2026</v>
      </c>
      <c r="S5598" t="s">
        <v>6100</v>
      </c>
      <c r="T5598">
        <v>0</v>
      </c>
      <c r="U5598" t="s">
        <v>6018</v>
      </c>
      <c r="V5598">
        <v>0</v>
      </c>
    </row>
    <row r="5599" spans="1:22" x14ac:dyDescent="0.3">
      <c r="A5599" t="s">
        <v>5614</v>
      </c>
      <c r="B5599" s="2">
        <v>46276.45</v>
      </c>
      <c r="C5599" s="2">
        <v>46276.691666666666</v>
      </c>
      <c r="D5599" t="s">
        <v>6022</v>
      </c>
      <c r="E5599" t="s">
        <v>6030</v>
      </c>
      <c r="F5599" t="s">
        <v>6034</v>
      </c>
      <c r="G5599" t="s">
        <v>6068</v>
      </c>
      <c r="H5599" t="s">
        <v>6098</v>
      </c>
      <c r="I5599">
        <v>24</v>
      </c>
      <c r="J5599">
        <v>5.8</v>
      </c>
      <c r="K5599" t="s">
        <v>6099</v>
      </c>
      <c r="L5599" t="s">
        <v>6100</v>
      </c>
      <c r="M5599" t="s">
        <v>6100</v>
      </c>
      <c r="N5599">
        <v>5</v>
      </c>
      <c r="O5599" t="s">
        <v>6101</v>
      </c>
      <c r="P5599" t="s">
        <v>6115</v>
      </c>
      <c r="Q5599">
        <v>9</v>
      </c>
      <c r="R5599">
        <v>2026</v>
      </c>
      <c r="S5599" t="s">
        <v>6099</v>
      </c>
      <c r="T5599">
        <v>1</v>
      </c>
      <c r="U5599" t="s">
        <v>6017</v>
      </c>
      <c r="V5599">
        <v>1</v>
      </c>
    </row>
    <row r="5600" spans="1:22" x14ac:dyDescent="0.3">
      <c r="A5600" t="s">
        <v>5615</v>
      </c>
      <c r="B5600" s="2">
        <v>46276.495833333334</v>
      </c>
      <c r="C5600" s="2">
        <v>46276.7</v>
      </c>
      <c r="D5600" t="s">
        <v>6023</v>
      </c>
      <c r="E5600" t="s">
        <v>6030</v>
      </c>
      <c r="F5600" t="s">
        <v>6033</v>
      </c>
      <c r="G5600" t="s">
        <v>6059</v>
      </c>
      <c r="H5600" t="s">
        <v>6097</v>
      </c>
      <c r="I5600">
        <v>72</v>
      </c>
      <c r="J5600">
        <v>4.9000000000000004</v>
      </c>
      <c r="K5600" t="s">
        <v>6099</v>
      </c>
      <c r="L5600" t="s">
        <v>6100</v>
      </c>
      <c r="M5600" t="s">
        <v>6100</v>
      </c>
      <c r="N5600">
        <v>5</v>
      </c>
      <c r="O5600" t="s">
        <v>6101</v>
      </c>
      <c r="P5600" t="s">
        <v>6115</v>
      </c>
      <c r="Q5600">
        <v>9</v>
      </c>
      <c r="R5600">
        <v>2026</v>
      </c>
      <c r="S5600" t="s">
        <v>6099</v>
      </c>
      <c r="T5600">
        <v>1</v>
      </c>
      <c r="U5600" t="s">
        <v>6017</v>
      </c>
      <c r="V5600">
        <v>1</v>
      </c>
    </row>
    <row r="5601" spans="1:22" x14ac:dyDescent="0.3">
      <c r="A5601" t="s">
        <v>5616</v>
      </c>
      <c r="B5601" s="2">
        <v>46276.54791666667</v>
      </c>
      <c r="C5601" s="2">
        <v>46277.439583333333</v>
      </c>
      <c r="D5601" t="s">
        <v>6022</v>
      </c>
      <c r="E5601" t="s">
        <v>6030</v>
      </c>
      <c r="F5601" t="s">
        <v>6034</v>
      </c>
      <c r="G5601" t="s">
        <v>6036</v>
      </c>
      <c r="H5601" t="s">
        <v>6096</v>
      </c>
      <c r="I5601">
        <v>24</v>
      </c>
      <c r="J5601">
        <v>21.4</v>
      </c>
      <c r="K5601" t="s">
        <v>6099</v>
      </c>
      <c r="L5601" t="s">
        <v>6100</v>
      </c>
      <c r="M5601" t="s">
        <v>6100</v>
      </c>
      <c r="N5601">
        <v>5</v>
      </c>
      <c r="O5601" t="s">
        <v>6101</v>
      </c>
      <c r="P5601" t="s">
        <v>6115</v>
      </c>
      <c r="Q5601">
        <v>9</v>
      </c>
      <c r="R5601">
        <v>2026</v>
      </c>
      <c r="S5601" t="s">
        <v>6099</v>
      </c>
      <c r="T5601">
        <v>1</v>
      </c>
      <c r="U5601" t="s">
        <v>6020</v>
      </c>
      <c r="V5601">
        <v>1</v>
      </c>
    </row>
    <row r="5602" spans="1:22" x14ac:dyDescent="0.3">
      <c r="A5602" t="s">
        <v>5617</v>
      </c>
      <c r="B5602" s="2">
        <v>46276.566666666666</v>
      </c>
      <c r="C5602" s="2">
        <v>46277.133333333331</v>
      </c>
      <c r="D5602" t="s">
        <v>6022</v>
      </c>
      <c r="E5602" t="s">
        <v>6029</v>
      </c>
      <c r="F5602" t="s">
        <v>6034</v>
      </c>
      <c r="G5602" t="s">
        <v>6048</v>
      </c>
      <c r="H5602" t="s">
        <v>6096</v>
      </c>
      <c r="I5602">
        <v>24</v>
      </c>
      <c r="J5602">
        <v>13.6</v>
      </c>
      <c r="K5602" t="s">
        <v>6099</v>
      </c>
      <c r="L5602" t="s">
        <v>6100</v>
      </c>
      <c r="M5602" t="s">
        <v>6100</v>
      </c>
      <c r="N5602">
        <v>5</v>
      </c>
      <c r="O5602" t="s">
        <v>6101</v>
      </c>
      <c r="P5602" t="s">
        <v>6115</v>
      </c>
      <c r="Q5602">
        <v>9</v>
      </c>
      <c r="R5602">
        <v>2026</v>
      </c>
      <c r="S5602" t="s">
        <v>6099</v>
      </c>
      <c r="T5602">
        <v>1</v>
      </c>
      <c r="U5602" t="s">
        <v>6018</v>
      </c>
      <c r="V5602">
        <v>1</v>
      </c>
    </row>
    <row r="5603" spans="1:22" x14ac:dyDescent="0.3">
      <c r="A5603" t="s">
        <v>5618</v>
      </c>
      <c r="B5603" s="2">
        <v>46276.622916666667</v>
      </c>
      <c r="C5603" s="2">
        <v>46277.29791666667</v>
      </c>
      <c r="D5603" t="s">
        <v>6027</v>
      </c>
      <c r="E5603" t="s">
        <v>6032</v>
      </c>
      <c r="F5603" t="s">
        <v>6034</v>
      </c>
      <c r="G5603" t="s">
        <v>6056</v>
      </c>
      <c r="H5603" t="s">
        <v>6098</v>
      </c>
      <c r="I5603">
        <v>24</v>
      </c>
      <c r="J5603">
        <v>16.2</v>
      </c>
      <c r="K5603" t="s">
        <v>6099</v>
      </c>
      <c r="L5603" t="s">
        <v>6100</v>
      </c>
      <c r="M5603" t="s">
        <v>6100</v>
      </c>
      <c r="O5603" t="s">
        <v>6101</v>
      </c>
      <c r="P5603" t="s">
        <v>6115</v>
      </c>
      <c r="Q5603">
        <v>9</v>
      </c>
      <c r="R5603">
        <v>2026</v>
      </c>
      <c r="S5603" t="s">
        <v>6099</v>
      </c>
      <c r="T5603">
        <v>1</v>
      </c>
      <c r="U5603" t="s">
        <v>6018</v>
      </c>
      <c r="V5603">
        <v>1</v>
      </c>
    </row>
    <row r="5604" spans="1:22" x14ac:dyDescent="0.3">
      <c r="A5604" t="s">
        <v>5619</v>
      </c>
      <c r="B5604" s="2">
        <v>46276.629861111112</v>
      </c>
      <c r="C5604" s="2">
        <v>46280.088194444441</v>
      </c>
      <c r="D5604" t="s">
        <v>6026</v>
      </c>
      <c r="E5604" t="s">
        <v>6031</v>
      </c>
      <c r="F5604" t="s">
        <v>6034</v>
      </c>
      <c r="G5604" t="s">
        <v>6076</v>
      </c>
      <c r="H5604" t="s">
        <v>6097</v>
      </c>
      <c r="I5604">
        <v>24</v>
      </c>
      <c r="J5604">
        <v>83</v>
      </c>
      <c r="K5604" t="s">
        <v>6099</v>
      </c>
      <c r="L5604" t="s">
        <v>6100</v>
      </c>
      <c r="M5604" t="s">
        <v>6100</v>
      </c>
      <c r="N5604">
        <v>4</v>
      </c>
      <c r="O5604" t="s">
        <v>6101</v>
      </c>
      <c r="P5604" t="s">
        <v>6115</v>
      </c>
      <c r="Q5604">
        <v>9</v>
      </c>
      <c r="R5604">
        <v>2026</v>
      </c>
      <c r="S5604" t="s">
        <v>6100</v>
      </c>
      <c r="T5604">
        <v>0</v>
      </c>
      <c r="U5604" t="s">
        <v>6017</v>
      </c>
      <c r="V5604">
        <v>1</v>
      </c>
    </row>
    <row r="5605" spans="1:22" x14ac:dyDescent="0.3">
      <c r="A5605" t="s">
        <v>5620</v>
      </c>
      <c r="B5605" s="2">
        <v>46276.63958333333</v>
      </c>
      <c r="C5605" s="2">
        <v>46276.885416666664</v>
      </c>
      <c r="D5605" t="s">
        <v>6023</v>
      </c>
      <c r="E5605" t="s">
        <v>6029</v>
      </c>
      <c r="F5605" t="s">
        <v>6033</v>
      </c>
      <c r="G5605" t="s">
        <v>6065</v>
      </c>
      <c r="H5605" t="s">
        <v>6097</v>
      </c>
      <c r="I5605">
        <v>72</v>
      </c>
      <c r="J5605">
        <v>5.9</v>
      </c>
      <c r="K5605" t="s">
        <v>6099</v>
      </c>
      <c r="L5605" t="s">
        <v>6100</v>
      </c>
      <c r="M5605" t="s">
        <v>6100</v>
      </c>
      <c r="O5605" t="s">
        <v>6101</v>
      </c>
      <c r="P5605" t="s">
        <v>6115</v>
      </c>
      <c r="Q5605">
        <v>9</v>
      </c>
      <c r="R5605">
        <v>2026</v>
      </c>
      <c r="S5605" t="s">
        <v>6099</v>
      </c>
      <c r="T5605">
        <v>1</v>
      </c>
      <c r="U5605" t="s">
        <v>6019</v>
      </c>
      <c r="V5605">
        <v>1</v>
      </c>
    </row>
    <row r="5606" spans="1:22" x14ac:dyDescent="0.3">
      <c r="A5606" t="s">
        <v>5621</v>
      </c>
      <c r="B5606" s="2">
        <v>46276.640972222223</v>
      </c>
      <c r="C5606" s="2">
        <v>46276.711805555555</v>
      </c>
      <c r="D5606" t="s">
        <v>6023</v>
      </c>
      <c r="E5606" t="s">
        <v>6030</v>
      </c>
      <c r="F5606" t="s">
        <v>6034</v>
      </c>
      <c r="G5606" t="s">
        <v>6069</v>
      </c>
      <c r="H5606" t="s">
        <v>6098</v>
      </c>
      <c r="I5606">
        <v>24</v>
      </c>
      <c r="J5606">
        <v>1.7</v>
      </c>
      <c r="K5606" t="s">
        <v>6099</v>
      </c>
      <c r="L5606" t="s">
        <v>6100</v>
      </c>
      <c r="M5606" t="s">
        <v>6099</v>
      </c>
      <c r="O5606" t="s">
        <v>6101</v>
      </c>
      <c r="P5606" t="s">
        <v>6115</v>
      </c>
      <c r="Q5606">
        <v>9</v>
      </c>
      <c r="R5606">
        <v>2026</v>
      </c>
      <c r="S5606" t="s">
        <v>6099</v>
      </c>
      <c r="T5606">
        <v>1</v>
      </c>
      <c r="U5606" t="s">
        <v>6018</v>
      </c>
      <c r="V5606">
        <v>1</v>
      </c>
    </row>
    <row r="5607" spans="1:22" x14ac:dyDescent="0.3">
      <c r="A5607" t="s">
        <v>5622</v>
      </c>
      <c r="B5607" s="2">
        <v>46276.677083333336</v>
      </c>
      <c r="C5607" s="2">
        <v>46277.006249999999</v>
      </c>
      <c r="D5607" t="s">
        <v>6025</v>
      </c>
      <c r="E5607" t="s">
        <v>6029</v>
      </c>
      <c r="F5607" t="s">
        <v>6034</v>
      </c>
      <c r="G5607" t="s">
        <v>6090</v>
      </c>
      <c r="H5607" t="s">
        <v>6097</v>
      </c>
      <c r="I5607">
        <v>24</v>
      </c>
      <c r="J5607">
        <v>7.9</v>
      </c>
      <c r="K5607" t="s">
        <v>6099</v>
      </c>
      <c r="L5607" t="s">
        <v>6100</v>
      </c>
      <c r="M5607" t="s">
        <v>6100</v>
      </c>
      <c r="N5607">
        <v>5</v>
      </c>
      <c r="O5607" t="s">
        <v>6101</v>
      </c>
      <c r="P5607" t="s">
        <v>6115</v>
      </c>
      <c r="Q5607">
        <v>9</v>
      </c>
      <c r="R5607">
        <v>2026</v>
      </c>
      <c r="S5607" t="s">
        <v>6099</v>
      </c>
      <c r="T5607">
        <v>1</v>
      </c>
      <c r="U5607" t="s">
        <v>6021</v>
      </c>
      <c r="V5607">
        <v>1</v>
      </c>
    </row>
    <row r="5608" spans="1:22" x14ac:dyDescent="0.3">
      <c r="A5608" t="s">
        <v>5623</v>
      </c>
      <c r="B5608" s="2">
        <v>46276.683333333334</v>
      </c>
      <c r="C5608" s="2">
        <v>46277.133333333331</v>
      </c>
      <c r="D5608" t="s">
        <v>6028</v>
      </c>
      <c r="E5608" t="s">
        <v>6029</v>
      </c>
      <c r="F5608" t="s">
        <v>6034</v>
      </c>
      <c r="G5608" t="s">
        <v>6066</v>
      </c>
      <c r="H5608" t="s">
        <v>6096</v>
      </c>
      <c r="I5608">
        <v>24</v>
      </c>
      <c r="J5608">
        <v>10.8</v>
      </c>
      <c r="K5608" t="s">
        <v>6099</v>
      </c>
      <c r="L5608" t="s">
        <v>6100</v>
      </c>
      <c r="M5608" t="s">
        <v>6100</v>
      </c>
      <c r="N5608">
        <v>4</v>
      </c>
      <c r="O5608" t="s">
        <v>6101</v>
      </c>
      <c r="P5608" t="s">
        <v>6115</v>
      </c>
      <c r="Q5608">
        <v>9</v>
      </c>
      <c r="R5608">
        <v>2026</v>
      </c>
      <c r="S5608" t="s">
        <v>6099</v>
      </c>
      <c r="T5608">
        <v>1</v>
      </c>
      <c r="U5608" t="s">
        <v>6018</v>
      </c>
      <c r="V5608">
        <v>1</v>
      </c>
    </row>
    <row r="5609" spans="1:22" x14ac:dyDescent="0.3">
      <c r="A5609" t="s">
        <v>5624</v>
      </c>
      <c r="B5609" s="2">
        <v>46276.684027777781</v>
      </c>
      <c r="C5609" s="2">
        <v>46276.821527777778</v>
      </c>
      <c r="D5609" t="s">
        <v>6024</v>
      </c>
      <c r="E5609" t="s">
        <v>6030</v>
      </c>
      <c r="F5609" t="s">
        <v>6034</v>
      </c>
      <c r="G5609" t="s">
        <v>6057</v>
      </c>
      <c r="H5609" t="s">
        <v>6097</v>
      </c>
      <c r="I5609">
        <v>24</v>
      </c>
      <c r="J5609">
        <v>3.3</v>
      </c>
      <c r="K5609" t="s">
        <v>6099</v>
      </c>
      <c r="L5609" t="s">
        <v>6100</v>
      </c>
      <c r="M5609" t="s">
        <v>6100</v>
      </c>
      <c r="N5609">
        <v>5</v>
      </c>
      <c r="O5609" t="s">
        <v>6101</v>
      </c>
      <c r="P5609" t="s">
        <v>6115</v>
      </c>
      <c r="Q5609">
        <v>9</v>
      </c>
      <c r="R5609">
        <v>2026</v>
      </c>
      <c r="S5609" t="s">
        <v>6099</v>
      </c>
      <c r="T5609">
        <v>1</v>
      </c>
      <c r="U5609" t="s">
        <v>6017</v>
      </c>
      <c r="V5609">
        <v>1</v>
      </c>
    </row>
    <row r="5610" spans="1:22" x14ac:dyDescent="0.3">
      <c r="A5610" t="s">
        <v>5625</v>
      </c>
      <c r="B5610" s="2">
        <v>46276.772916666669</v>
      </c>
      <c r="C5610" s="2">
        <v>46276.872916666667</v>
      </c>
      <c r="D5610" t="s">
        <v>6027</v>
      </c>
      <c r="E5610" t="s">
        <v>6030</v>
      </c>
      <c r="F5610" t="s">
        <v>6034</v>
      </c>
      <c r="G5610" t="s">
        <v>6082</v>
      </c>
      <c r="H5610" t="s">
        <v>6097</v>
      </c>
      <c r="I5610">
        <v>24</v>
      </c>
      <c r="J5610">
        <v>2.4</v>
      </c>
      <c r="K5610" t="s">
        <v>6099</v>
      </c>
      <c r="L5610" t="s">
        <v>6100</v>
      </c>
      <c r="M5610" t="s">
        <v>6100</v>
      </c>
      <c r="O5610" t="s">
        <v>6101</v>
      </c>
      <c r="P5610" t="s">
        <v>6115</v>
      </c>
      <c r="Q5610">
        <v>9</v>
      </c>
      <c r="R5610">
        <v>2026</v>
      </c>
      <c r="S5610" t="s">
        <v>6099</v>
      </c>
      <c r="T5610">
        <v>1</v>
      </c>
      <c r="U5610" t="s">
        <v>6021</v>
      </c>
      <c r="V5610">
        <v>1</v>
      </c>
    </row>
    <row r="5611" spans="1:22" x14ac:dyDescent="0.3">
      <c r="A5611" t="s">
        <v>5626</v>
      </c>
      <c r="B5611" s="2">
        <v>46276.811111111114</v>
      </c>
      <c r="C5611" s="2">
        <v>46277.273611111108</v>
      </c>
      <c r="D5611" t="s">
        <v>6023</v>
      </c>
      <c r="E5611" t="s">
        <v>6032</v>
      </c>
      <c r="F5611" t="s">
        <v>6034</v>
      </c>
      <c r="G5611" t="s">
        <v>6091</v>
      </c>
      <c r="H5611" t="s">
        <v>6097</v>
      </c>
      <c r="I5611">
        <v>24</v>
      </c>
      <c r="J5611">
        <v>11.1</v>
      </c>
      <c r="K5611" t="s">
        <v>6099</v>
      </c>
      <c r="L5611" t="s">
        <v>6100</v>
      </c>
      <c r="M5611" t="s">
        <v>6099</v>
      </c>
      <c r="N5611">
        <v>4</v>
      </c>
      <c r="O5611" t="s">
        <v>6101</v>
      </c>
      <c r="P5611" t="s">
        <v>6115</v>
      </c>
      <c r="Q5611">
        <v>9</v>
      </c>
      <c r="R5611">
        <v>2026</v>
      </c>
      <c r="S5611" t="s">
        <v>6099</v>
      </c>
      <c r="T5611">
        <v>1</v>
      </c>
      <c r="U5611" t="s">
        <v>6017</v>
      </c>
      <c r="V5611">
        <v>1</v>
      </c>
    </row>
    <row r="5612" spans="1:22" x14ac:dyDescent="0.3">
      <c r="A5612" t="s">
        <v>5627</v>
      </c>
      <c r="B5612" s="2">
        <v>46276.840277777781</v>
      </c>
      <c r="C5612" s="2">
        <v>46277.165277777778</v>
      </c>
      <c r="D5612" t="s">
        <v>6023</v>
      </c>
      <c r="E5612" t="s">
        <v>6029</v>
      </c>
      <c r="F5612" t="s">
        <v>6033</v>
      </c>
      <c r="G5612" t="s">
        <v>6089</v>
      </c>
      <c r="H5612" t="s">
        <v>6098</v>
      </c>
      <c r="I5612">
        <v>72</v>
      </c>
      <c r="J5612">
        <v>7.8</v>
      </c>
      <c r="K5612" t="s">
        <v>6100</v>
      </c>
      <c r="L5612" t="s">
        <v>6100</v>
      </c>
      <c r="M5612" t="s">
        <v>6100</v>
      </c>
      <c r="N5612">
        <v>5</v>
      </c>
      <c r="O5612" t="s">
        <v>6101</v>
      </c>
      <c r="P5612" t="s">
        <v>6115</v>
      </c>
      <c r="Q5612">
        <v>9</v>
      </c>
      <c r="R5612">
        <v>2026</v>
      </c>
      <c r="S5612" t="s">
        <v>6099</v>
      </c>
      <c r="T5612">
        <v>1</v>
      </c>
      <c r="U5612" t="s">
        <v>6021</v>
      </c>
      <c r="V5612">
        <v>0</v>
      </c>
    </row>
    <row r="5613" spans="1:22" x14ac:dyDescent="0.3">
      <c r="A5613" t="s">
        <v>5628</v>
      </c>
      <c r="B5613" s="2">
        <v>46276.87222222222</v>
      </c>
      <c r="C5613" s="2">
        <v>46277.218055555553</v>
      </c>
      <c r="D5613" t="s">
        <v>6027</v>
      </c>
      <c r="E5613" t="s">
        <v>6030</v>
      </c>
      <c r="F5613" t="s">
        <v>6035</v>
      </c>
      <c r="G5613" t="s">
        <v>6063</v>
      </c>
      <c r="H5613" t="s">
        <v>6097</v>
      </c>
      <c r="I5613">
        <v>4</v>
      </c>
      <c r="J5613">
        <v>8.3000000000000007</v>
      </c>
      <c r="K5613" t="s">
        <v>6099</v>
      </c>
      <c r="L5613" t="s">
        <v>6100</v>
      </c>
      <c r="M5613" t="s">
        <v>6100</v>
      </c>
      <c r="O5613" t="s">
        <v>6101</v>
      </c>
      <c r="P5613" t="s">
        <v>6115</v>
      </c>
      <c r="Q5613">
        <v>9</v>
      </c>
      <c r="R5613">
        <v>2026</v>
      </c>
      <c r="S5613" t="s">
        <v>6100</v>
      </c>
      <c r="T5613">
        <v>0</v>
      </c>
      <c r="U5613" t="s">
        <v>6020</v>
      </c>
      <c r="V5613">
        <v>1</v>
      </c>
    </row>
    <row r="5614" spans="1:22" x14ac:dyDescent="0.3">
      <c r="A5614" t="s">
        <v>5629</v>
      </c>
      <c r="B5614" s="2">
        <v>46277.306944444441</v>
      </c>
      <c r="C5614" s="2">
        <v>46277.75277777778</v>
      </c>
      <c r="D5614" t="s">
        <v>6023</v>
      </c>
      <c r="E5614" t="s">
        <v>6029</v>
      </c>
      <c r="F5614" t="s">
        <v>6033</v>
      </c>
      <c r="G5614" t="s">
        <v>6067</v>
      </c>
      <c r="H5614" t="s">
        <v>6098</v>
      </c>
      <c r="I5614">
        <v>72</v>
      </c>
      <c r="J5614">
        <v>10.7</v>
      </c>
      <c r="K5614" t="s">
        <v>6100</v>
      </c>
      <c r="L5614" t="s">
        <v>6100</v>
      </c>
      <c r="M5614" t="s">
        <v>6100</v>
      </c>
      <c r="N5614">
        <v>3</v>
      </c>
      <c r="O5614" t="s">
        <v>6101</v>
      </c>
      <c r="P5614" t="s">
        <v>6115</v>
      </c>
      <c r="Q5614">
        <v>9</v>
      </c>
      <c r="R5614">
        <v>2026</v>
      </c>
      <c r="S5614" t="s">
        <v>6099</v>
      </c>
      <c r="T5614">
        <v>1</v>
      </c>
      <c r="U5614" t="s">
        <v>6019</v>
      </c>
      <c r="V5614">
        <v>0</v>
      </c>
    </row>
    <row r="5615" spans="1:22" x14ac:dyDescent="0.3">
      <c r="A5615" t="s">
        <v>5630</v>
      </c>
      <c r="B5615" s="2">
        <v>46277.32916666667</v>
      </c>
      <c r="C5615" s="2">
        <v>46277.65</v>
      </c>
      <c r="D5615" t="s">
        <v>6028</v>
      </c>
      <c r="E5615" t="s">
        <v>6030</v>
      </c>
      <c r="F5615" t="s">
        <v>6035</v>
      </c>
      <c r="G5615" t="s">
        <v>6037</v>
      </c>
      <c r="H5615" t="s">
        <v>6096</v>
      </c>
      <c r="I5615">
        <v>4</v>
      </c>
      <c r="J5615">
        <v>7.7</v>
      </c>
      <c r="K5615" t="s">
        <v>6100</v>
      </c>
      <c r="L5615" t="s">
        <v>6100</v>
      </c>
      <c r="M5615" t="s">
        <v>6100</v>
      </c>
      <c r="O5615" t="s">
        <v>6101</v>
      </c>
      <c r="P5615" t="s">
        <v>6115</v>
      </c>
      <c r="Q5615">
        <v>9</v>
      </c>
      <c r="R5615">
        <v>2026</v>
      </c>
      <c r="S5615" t="s">
        <v>6100</v>
      </c>
      <c r="T5615">
        <v>0</v>
      </c>
      <c r="U5615" t="s">
        <v>6020</v>
      </c>
      <c r="V5615">
        <v>0</v>
      </c>
    </row>
    <row r="5616" spans="1:22" x14ac:dyDescent="0.3">
      <c r="A5616" t="s">
        <v>5631</v>
      </c>
      <c r="B5616" s="2">
        <v>46277.345138888886</v>
      </c>
      <c r="C5616" s="2">
        <v>46277.445138888892</v>
      </c>
      <c r="D5616" t="s">
        <v>6023</v>
      </c>
      <c r="E5616" t="s">
        <v>6030</v>
      </c>
      <c r="F5616" t="s">
        <v>6033</v>
      </c>
      <c r="G5616" t="s">
        <v>6067</v>
      </c>
      <c r="H5616" t="s">
        <v>6098</v>
      </c>
      <c r="I5616">
        <v>72</v>
      </c>
      <c r="J5616">
        <v>2.4</v>
      </c>
      <c r="K5616" t="s">
        <v>6099</v>
      </c>
      <c r="L5616" t="s">
        <v>6100</v>
      </c>
      <c r="M5616" t="s">
        <v>6100</v>
      </c>
      <c r="N5616">
        <v>5</v>
      </c>
      <c r="O5616" t="s">
        <v>6101</v>
      </c>
      <c r="P5616" t="s">
        <v>6115</v>
      </c>
      <c r="Q5616">
        <v>9</v>
      </c>
      <c r="R5616">
        <v>2026</v>
      </c>
      <c r="S5616" t="s">
        <v>6099</v>
      </c>
      <c r="T5616">
        <v>1</v>
      </c>
      <c r="U5616" t="s">
        <v>6021</v>
      </c>
      <c r="V5616">
        <v>1</v>
      </c>
    </row>
    <row r="5617" spans="1:22" x14ac:dyDescent="0.3">
      <c r="A5617" t="s">
        <v>5632</v>
      </c>
      <c r="B5617" s="2">
        <v>46277.36041666667</v>
      </c>
      <c r="C5617" s="2">
        <v>46279.397916666669</v>
      </c>
      <c r="D5617" t="s">
        <v>6023</v>
      </c>
      <c r="E5617" t="s">
        <v>6032</v>
      </c>
      <c r="F5617" t="s">
        <v>6033</v>
      </c>
      <c r="G5617" t="s">
        <v>6050</v>
      </c>
      <c r="H5617" t="s">
        <v>6098</v>
      </c>
      <c r="I5617">
        <v>72</v>
      </c>
      <c r="J5617">
        <v>48.9</v>
      </c>
      <c r="K5617" t="s">
        <v>6099</v>
      </c>
      <c r="L5617" t="s">
        <v>6100</v>
      </c>
      <c r="M5617" t="s">
        <v>6100</v>
      </c>
      <c r="N5617">
        <v>5</v>
      </c>
      <c r="O5617" t="s">
        <v>6101</v>
      </c>
      <c r="P5617" t="s">
        <v>6115</v>
      </c>
      <c r="Q5617">
        <v>9</v>
      </c>
      <c r="R5617">
        <v>2026</v>
      </c>
      <c r="S5617" t="s">
        <v>6099</v>
      </c>
      <c r="T5617">
        <v>1</v>
      </c>
      <c r="U5617" t="s">
        <v>6021</v>
      </c>
      <c r="V5617">
        <v>1</v>
      </c>
    </row>
    <row r="5618" spans="1:22" x14ac:dyDescent="0.3">
      <c r="A5618" t="s">
        <v>5633</v>
      </c>
      <c r="B5618" s="2">
        <v>46277.371527777781</v>
      </c>
      <c r="C5618" s="2">
        <v>46277.863194444442</v>
      </c>
      <c r="D5618" t="s">
        <v>6028</v>
      </c>
      <c r="E5618" t="s">
        <v>6029</v>
      </c>
      <c r="F5618" t="s">
        <v>6035</v>
      </c>
      <c r="G5618" t="s">
        <v>6059</v>
      </c>
      <c r="H5618" t="s">
        <v>6097</v>
      </c>
      <c r="I5618">
        <v>4</v>
      </c>
      <c r="J5618">
        <v>11.8</v>
      </c>
      <c r="K5618" t="s">
        <v>6099</v>
      </c>
      <c r="L5618" t="s">
        <v>6100</v>
      </c>
      <c r="M5618" t="s">
        <v>6099</v>
      </c>
      <c r="N5618">
        <v>5</v>
      </c>
      <c r="O5618" t="s">
        <v>6101</v>
      </c>
      <c r="P5618" t="s">
        <v>6115</v>
      </c>
      <c r="Q5618">
        <v>9</v>
      </c>
      <c r="R5618">
        <v>2026</v>
      </c>
      <c r="S5618" t="s">
        <v>6100</v>
      </c>
      <c r="T5618">
        <v>0</v>
      </c>
      <c r="U5618" t="s">
        <v>6020</v>
      </c>
      <c r="V5618">
        <v>1</v>
      </c>
    </row>
    <row r="5619" spans="1:22" x14ac:dyDescent="0.3">
      <c r="A5619" t="s">
        <v>5634</v>
      </c>
      <c r="B5619" s="2">
        <v>46277.54791666667</v>
      </c>
      <c r="C5619" s="2">
        <v>46278.585416666669</v>
      </c>
      <c r="D5619" t="s">
        <v>6027</v>
      </c>
      <c r="E5619" t="s">
        <v>6031</v>
      </c>
      <c r="F5619" t="s">
        <v>6034</v>
      </c>
      <c r="G5619" t="s">
        <v>6064</v>
      </c>
      <c r="H5619" t="s">
        <v>6096</v>
      </c>
      <c r="I5619">
        <v>24</v>
      </c>
      <c r="J5619">
        <v>24.9</v>
      </c>
      <c r="K5619" t="s">
        <v>6099</v>
      </c>
      <c r="L5619" t="s">
        <v>6100</v>
      </c>
      <c r="M5619" t="s">
        <v>6100</v>
      </c>
      <c r="N5619">
        <v>5</v>
      </c>
      <c r="O5619" t="s">
        <v>6101</v>
      </c>
      <c r="P5619" t="s">
        <v>6115</v>
      </c>
      <c r="Q5619">
        <v>9</v>
      </c>
      <c r="R5619">
        <v>2026</v>
      </c>
      <c r="S5619" t="s">
        <v>6100</v>
      </c>
      <c r="T5619">
        <v>0</v>
      </c>
      <c r="U5619" t="s">
        <v>6019</v>
      </c>
      <c r="V5619">
        <v>1</v>
      </c>
    </row>
    <row r="5620" spans="1:22" x14ac:dyDescent="0.3">
      <c r="A5620" t="s">
        <v>5635</v>
      </c>
      <c r="B5620" s="2">
        <v>46277.55972222222</v>
      </c>
      <c r="C5620" s="2">
        <v>46277.755555555559</v>
      </c>
      <c r="D5620" t="s">
        <v>6023</v>
      </c>
      <c r="E5620" t="s">
        <v>6029</v>
      </c>
      <c r="F5620" t="s">
        <v>6034</v>
      </c>
      <c r="G5620" t="s">
        <v>6072</v>
      </c>
      <c r="H5620" t="s">
        <v>6097</v>
      </c>
      <c r="I5620">
        <v>24</v>
      </c>
      <c r="J5620">
        <v>4.7</v>
      </c>
      <c r="K5620" t="s">
        <v>6099</v>
      </c>
      <c r="L5620" t="s">
        <v>6100</v>
      </c>
      <c r="M5620" t="s">
        <v>6100</v>
      </c>
      <c r="N5620">
        <v>4</v>
      </c>
      <c r="O5620" t="s">
        <v>6101</v>
      </c>
      <c r="P5620" t="s">
        <v>6115</v>
      </c>
      <c r="Q5620">
        <v>9</v>
      </c>
      <c r="R5620">
        <v>2026</v>
      </c>
      <c r="S5620" t="s">
        <v>6099</v>
      </c>
      <c r="T5620">
        <v>1</v>
      </c>
      <c r="U5620" t="s">
        <v>6018</v>
      </c>
      <c r="V5620">
        <v>1</v>
      </c>
    </row>
    <row r="5621" spans="1:22" x14ac:dyDescent="0.3">
      <c r="A5621" t="s">
        <v>5636</v>
      </c>
      <c r="B5621" s="2">
        <v>46277.576388888891</v>
      </c>
      <c r="C5621" s="2">
        <v>46277.705555555556</v>
      </c>
      <c r="D5621" t="s">
        <v>6023</v>
      </c>
      <c r="E5621" t="s">
        <v>6030</v>
      </c>
      <c r="F5621" t="s">
        <v>6034</v>
      </c>
      <c r="G5621" t="s">
        <v>6079</v>
      </c>
      <c r="H5621" t="s">
        <v>6097</v>
      </c>
      <c r="I5621">
        <v>24</v>
      </c>
      <c r="J5621">
        <v>3.1</v>
      </c>
      <c r="K5621" t="s">
        <v>6099</v>
      </c>
      <c r="L5621" t="s">
        <v>6100</v>
      </c>
      <c r="M5621" t="s">
        <v>6100</v>
      </c>
      <c r="N5621">
        <v>4</v>
      </c>
      <c r="O5621" t="s">
        <v>6101</v>
      </c>
      <c r="P5621" t="s">
        <v>6115</v>
      </c>
      <c r="Q5621">
        <v>9</v>
      </c>
      <c r="R5621">
        <v>2026</v>
      </c>
      <c r="S5621" t="s">
        <v>6099</v>
      </c>
      <c r="T5621">
        <v>1</v>
      </c>
      <c r="U5621" t="s">
        <v>6019</v>
      </c>
      <c r="V5621">
        <v>1</v>
      </c>
    </row>
    <row r="5622" spans="1:22" x14ac:dyDescent="0.3">
      <c r="A5622" t="s">
        <v>5637</v>
      </c>
      <c r="B5622" s="2">
        <v>46277.663194444445</v>
      </c>
      <c r="C5622" s="2">
        <v>46278.134027777778</v>
      </c>
      <c r="D5622" t="s">
        <v>6028</v>
      </c>
      <c r="E5622" t="s">
        <v>6030</v>
      </c>
      <c r="F5622" t="s">
        <v>6033</v>
      </c>
      <c r="G5622" t="s">
        <v>6038</v>
      </c>
      <c r="H5622" t="s">
        <v>6096</v>
      </c>
      <c r="I5622">
        <v>72</v>
      </c>
      <c r="J5622">
        <v>11.3</v>
      </c>
      <c r="K5622" t="s">
        <v>6100</v>
      </c>
      <c r="L5622" t="s">
        <v>6099</v>
      </c>
      <c r="M5622" t="s">
        <v>6100</v>
      </c>
      <c r="N5622">
        <v>5</v>
      </c>
      <c r="O5622" t="s">
        <v>6101</v>
      </c>
      <c r="P5622" t="s">
        <v>6115</v>
      </c>
      <c r="Q5622">
        <v>9</v>
      </c>
      <c r="R5622">
        <v>2026</v>
      </c>
      <c r="S5622" t="s">
        <v>6099</v>
      </c>
      <c r="T5622">
        <v>1</v>
      </c>
      <c r="U5622" t="s">
        <v>6017</v>
      </c>
      <c r="V5622">
        <v>0</v>
      </c>
    </row>
    <row r="5623" spans="1:22" x14ac:dyDescent="0.3">
      <c r="A5623" t="s">
        <v>5638</v>
      </c>
      <c r="B5623" s="2">
        <v>46277.681250000001</v>
      </c>
      <c r="C5623" s="2">
        <v>46279.097916666666</v>
      </c>
      <c r="D5623" t="s">
        <v>6022</v>
      </c>
      <c r="E5623" t="s">
        <v>6029</v>
      </c>
      <c r="F5623" t="s">
        <v>6033</v>
      </c>
      <c r="G5623" t="s">
        <v>6084</v>
      </c>
      <c r="H5623" t="s">
        <v>6098</v>
      </c>
      <c r="I5623">
        <v>72</v>
      </c>
      <c r="J5623">
        <v>34</v>
      </c>
      <c r="K5623" t="s">
        <v>6099</v>
      </c>
      <c r="L5623" t="s">
        <v>6100</v>
      </c>
      <c r="M5623" t="s">
        <v>6100</v>
      </c>
      <c r="N5623">
        <v>5</v>
      </c>
      <c r="O5623" t="s">
        <v>6101</v>
      </c>
      <c r="P5623" t="s">
        <v>6115</v>
      </c>
      <c r="Q5623">
        <v>9</v>
      </c>
      <c r="R5623">
        <v>2026</v>
      </c>
      <c r="S5623" t="s">
        <v>6099</v>
      </c>
      <c r="T5623">
        <v>1</v>
      </c>
      <c r="U5623" t="s">
        <v>6019</v>
      </c>
      <c r="V5623">
        <v>1</v>
      </c>
    </row>
    <row r="5624" spans="1:22" x14ac:dyDescent="0.3">
      <c r="A5624" t="s">
        <v>5639</v>
      </c>
      <c r="B5624" s="2">
        <v>46277.694444444445</v>
      </c>
      <c r="C5624" s="2">
        <v>46278.256944444445</v>
      </c>
      <c r="D5624" t="s">
        <v>6025</v>
      </c>
      <c r="E5624" t="s">
        <v>6030</v>
      </c>
      <c r="F5624" t="s">
        <v>6034</v>
      </c>
      <c r="G5624" t="s">
        <v>6058</v>
      </c>
      <c r="H5624" t="s">
        <v>6098</v>
      </c>
      <c r="I5624">
        <v>24</v>
      </c>
      <c r="J5624">
        <v>13.5</v>
      </c>
      <c r="K5624" t="s">
        <v>6099</v>
      </c>
      <c r="L5624" t="s">
        <v>6100</v>
      </c>
      <c r="M5624" t="s">
        <v>6100</v>
      </c>
      <c r="N5624">
        <v>5</v>
      </c>
      <c r="O5624" t="s">
        <v>6101</v>
      </c>
      <c r="P5624" t="s">
        <v>6115</v>
      </c>
      <c r="Q5624">
        <v>9</v>
      </c>
      <c r="R5624">
        <v>2026</v>
      </c>
      <c r="S5624" t="s">
        <v>6099</v>
      </c>
      <c r="T5624">
        <v>1</v>
      </c>
      <c r="U5624" t="s">
        <v>6021</v>
      </c>
      <c r="V5624">
        <v>1</v>
      </c>
    </row>
    <row r="5625" spans="1:22" x14ac:dyDescent="0.3">
      <c r="A5625" t="s">
        <v>5640</v>
      </c>
      <c r="B5625" s="2">
        <v>46277.73333333333</v>
      </c>
      <c r="C5625" s="2">
        <v>46278.01666666667</v>
      </c>
      <c r="D5625" t="s">
        <v>6022</v>
      </c>
      <c r="E5625" t="s">
        <v>6029</v>
      </c>
      <c r="F5625" t="s">
        <v>6033</v>
      </c>
      <c r="G5625" t="s">
        <v>6042</v>
      </c>
      <c r="H5625" t="s">
        <v>6098</v>
      </c>
      <c r="I5625">
        <v>72</v>
      </c>
      <c r="J5625">
        <v>6.8</v>
      </c>
      <c r="K5625" t="s">
        <v>6099</v>
      </c>
      <c r="L5625" t="s">
        <v>6100</v>
      </c>
      <c r="M5625" t="s">
        <v>6100</v>
      </c>
      <c r="O5625" t="s">
        <v>6101</v>
      </c>
      <c r="P5625" t="s">
        <v>6115</v>
      </c>
      <c r="Q5625">
        <v>9</v>
      </c>
      <c r="R5625">
        <v>2026</v>
      </c>
      <c r="S5625" t="s">
        <v>6099</v>
      </c>
      <c r="T5625">
        <v>1</v>
      </c>
      <c r="U5625" t="s">
        <v>6020</v>
      </c>
      <c r="V5625">
        <v>1</v>
      </c>
    </row>
    <row r="5626" spans="1:22" x14ac:dyDescent="0.3">
      <c r="A5626" t="s">
        <v>5641</v>
      </c>
      <c r="B5626" s="2">
        <v>46277.816666666666</v>
      </c>
      <c r="C5626" s="2">
        <v>46279.070833333331</v>
      </c>
      <c r="D5626" t="s">
        <v>6024</v>
      </c>
      <c r="E5626" t="s">
        <v>6029</v>
      </c>
      <c r="F5626" t="s">
        <v>6034</v>
      </c>
      <c r="G5626" t="s">
        <v>6064</v>
      </c>
      <c r="H5626" t="s">
        <v>6096</v>
      </c>
      <c r="I5626">
        <v>24</v>
      </c>
      <c r="J5626">
        <v>30.1</v>
      </c>
      <c r="K5626" t="s">
        <v>6100</v>
      </c>
      <c r="L5626" t="s">
        <v>6100</v>
      </c>
      <c r="M5626" t="s">
        <v>6100</v>
      </c>
      <c r="O5626" t="s">
        <v>6101</v>
      </c>
      <c r="P5626" t="s">
        <v>6115</v>
      </c>
      <c r="Q5626">
        <v>9</v>
      </c>
      <c r="R5626">
        <v>2026</v>
      </c>
      <c r="S5626" t="s">
        <v>6100</v>
      </c>
      <c r="T5626">
        <v>0</v>
      </c>
      <c r="U5626" t="s">
        <v>6019</v>
      </c>
      <c r="V5626">
        <v>0</v>
      </c>
    </row>
    <row r="5627" spans="1:22" x14ac:dyDescent="0.3">
      <c r="A5627" t="s">
        <v>5642</v>
      </c>
      <c r="B5627" s="2">
        <v>46277.850694444445</v>
      </c>
      <c r="C5627" s="2">
        <v>46278.250694444447</v>
      </c>
      <c r="D5627" t="s">
        <v>6022</v>
      </c>
      <c r="E5627" t="s">
        <v>6030</v>
      </c>
      <c r="F5627" t="s">
        <v>6033</v>
      </c>
      <c r="G5627" t="s">
        <v>6072</v>
      </c>
      <c r="H5627" t="s">
        <v>6097</v>
      </c>
      <c r="I5627">
        <v>72</v>
      </c>
      <c r="J5627">
        <v>9.6</v>
      </c>
      <c r="K5627" t="s">
        <v>6099</v>
      </c>
      <c r="L5627" t="s">
        <v>6100</v>
      </c>
      <c r="M5627" t="s">
        <v>6100</v>
      </c>
      <c r="N5627">
        <v>5</v>
      </c>
      <c r="O5627" t="s">
        <v>6101</v>
      </c>
      <c r="P5627" t="s">
        <v>6115</v>
      </c>
      <c r="Q5627">
        <v>9</v>
      </c>
      <c r="R5627">
        <v>2026</v>
      </c>
      <c r="S5627" t="s">
        <v>6099</v>
      </c>
      <c r="T5627">
        <v>1</v>
      </c>
      <c r="U5627" t="s">
        <v>6017</v>
      </c>
      <c r="V5627">
        <v>1</v>
      </c>
    </row>
    <row r="5628" spans="1:22" x14ac:dyDescent="0.3">
      <c r="A5628" t="s">
        <v>5643</v>
      </c>
      <c r="B5628" s="2">
        <v>46277.92291666667</v>
      </c>
      <c r="C5628" s="2">
        <v>46279.489583333336</v>
      </c>
      <c r="D5628" t="s">
        <v>6028</v>
      </c>
      <c r="E5628" t="s">
        <v>6031</v>
      </c>
      <c r="F5628" t="s">
        <v>6035</v>
      </c>
      <c r="G5628" t="s">
        <v>6092</v>
      </c>
      <c r="H5628" t="s">
        <v>6097</v>
      </c>
      <c r="I5628">
        <v>4</v>
      </c>
      <c r="J5628">
        <v>37.6</v>
      </c>
      <c r="K5628" t="s">
        <v>6100</v>
      </c>
      <c r="L5628" t="s">
        <v>6100</v>
      </c>
      <c r="M5628" t="s">
        <v>6099</v>
      </c>
      <c r="N5628">
        <v>3</v>
      </c>
      <c r="O5628" t="s">
        <v>6101</v>
      </c>
      <c r="P5628" t="s">
        <v>6115</v>
      </c>
      <c r="Q5628">
        <v>9</v>
      </c>
      <c r="R5628">
        <v>2026</v>
      </c>
      <c r="S5628" t="s">
        <v>6100</v>
      </c>
      <c r="T5628">
        <v>0</v>
      </c>
      <c r="U5628" t="s">
        <v>6021</v>
      </c>
      <c r="V5628">
        <v>0</v>
      </c>
    </row>
    <row r="5629" spans="1:22" x14ac:dyDescent="0.3">
      <c r="A5629" t="s">
        <v>5644</v>
      </c>
      <c r="B5629" s="2">
        <v>46278.092361111114</v>
      </c>
      <c r="C5629" s="2">
        <v>46278.617361111108</v>
      </c>
      <c r="D5629" t="s">
        <v>6022</v>
      </c>
      <c r="E5629" t="s">
        <v>6030</v>
      </c>
      <c r="F5629" t="s">
        <v>6034</v>
      </c>
      <c r="G5629" t="s">
        <v>6060</v>
      </c>
      <c r="H5629" t="s">
        <v>6097</v>
      </c>
      <c r="I5629">
        <v>24</v>
      </c>
      <c r="J5629">
        <v>12.6</v>
      </c>
      <c r="K5629" t="s">
        <v>6099</v>
      </c>
      <c r="L5629" t="s">
        <v>6100</v>
      </c>
      <c r="M5629" t="s">
        <v>6100</v>
      </c>
      <c r="N5629">
        <v>4</v>
      </c>
      <c r="O5629" t="s">
        <v>6101</v>
      </c>
      <c r="P5629" t="s">
        <v>6115</v>
      </c>
      <c r="Q5629">
        <v>9</v>
      </c>
      <c r="R5629">
        <v>2026</v>
      </c>
      <c r="S5629" t="s">
        <v>6099</v>
      </c>
      <c r="T5629">
        <v>1</v>
      </c>
      <c r="U5629" t="s">
        <v>6021</v>
      </c>
      <c r="V5629">
        <v>1</v>
      </c>
    </row>
    <row r="5630" spans="1:22" x14ac:dyDescent="0.3">
      <c r="A5630" t="s">
        <v>5645</v>
      </c>
      <c r="B5630" s="2">
        <v>46278.220833333333</v>
      </c>
      <c r="C5630" s="2">
        <v>46278.512499999997</v>
      </c>
      <c r="D5630" t="s">
        <v>6027</v>
      </c>
      <c r="E5630" t="s">
        <v>6029</v>
      </c>
      <c r="F5630" t="s">
        <v>6034</v>
      </c>
      <c r="G5630" t="s">
        <v>6081</v>
      </c>
      <c r="H5630" t="s">
        <v>6098</v>
      </c>
      <c r="I5630">
        <v>24</v>
      </c>
      <c r="J5630">
        <v>7</v>
      </c>
      <c r="K5630" t="s">
        <v>6100</v>
      </c>
      <c r="L5630" t="s">
        <v>6099</v>
      </c>
      <c r="M5630" t="s">
        <v>6100</v>
      </c>
      <c r="O5630" t="s">
        <v>6101</v>
      </c>
      <c r="P5630" t="s">
        <v>6115</v>
      </c>
      <c r="Q5630">
        <v>9</v>
      </c>
      <c r="R5630">
        <v>2026</v>
      </c>
      <c r="S5630" t="s">
        <v>6099</v>
      </c>
      <c r="T5630">
        <v>1</v>
      </c>
      <c r="U5630" t="s">
        <v>6018</v>
      </c>
      <c r="V5630">
        <v>0</v>
      </c>
    </row>
    <row r="5631" spans="1:22" x14ac:dyDescent="0.3">
      <c r="A5631" t="s">
        <v>5646</v>
      </c>
      <c r="B5631" s="2">
        <v>46278.285416666666</v>
      </c>
      <c r="C5631" s="2">
        <v>46278.931250000001</v>
      </c>
      <c r="D5631" t="s">
        <v>6025</v>
      </c>
      <c r="E5631" t="s">
        <v>6030</v>
      </c>
      <c r="F5631" t="s">
        <v>6033</v>
      </c>
      <c r="G5631" t="s">
        <v>6080</v>
      </c>
      <c r="H5631" t="s">
        <v>6096</v>
      </c>
      <c r="I5631">
        <v>72</v>
      </c>
      <c r="J5631">
        <v>15.5</v>
      </c>
      <c r="K5631" t="s">
        <v>6100</v>
      </c>
      <c r="L5631" t="s">
        <v>6099</v>
      </c>
      <c r="M5631" t="s">
        <v>6100</v>
      </c>
      <c r="O5631" t="s">
        <v>6101</v>
      </c>
      <c r="P5631" t="s">
        <v>6115</v>
      </c>
      <c r="Q5631">
        <v>9</v>
      </c>
      <c r="R5631">
        <v>2026</v>
      </c>
      <c r="S5631" t="s">
        <v>6099</v>
      </c>
      <c r="T5631">
        <v>1</v>
      </c>
      <c r="U5631" t="s">
        <v>6018</v>
      </c>
      <c r="V5631">
        <v>0</v>
      </c>
    </row>
    <row r="5632" spans="1:22" x14ac:dyDescent="0.3">
      <c r="A5632" t="s">
        <v>5647</v>
      </c>
      <c r="B5632" s="2">
        <v>46278.339583333334</v>
      </c>
      <c r="C5632" s="2">
        <v>46278.98541666667</v>
      </c>
      <c r="D5632" t="s">
        <v>6023</v>
      </c>
      <c r="E5632" t="s">
        <v>6032</v>
      </c>
      <c r="F5632" t="s">
        <v>6034</v>
      </c>
      <c r="G5632" t="s">
        <v>6075</v>
      </c>
      <c r="H5632" t="s">
        <v>6097</v>
      </c>
      <c r="I5632">
        <v>24</v>
      </c>
      <c r="J5632">
        <v>15.5</v>
      </c>
      <c r="K5632" t="s">
        <v>6100</v>
      </c>
      <c r="L5632" t="s">
        <v>6099</v>
      </c>
      <c r="M5632" t="s">
        <v>6100</v>
      </c>
      <c r="N5632">
        <v>3</v>
      </c>
      <c r="O5632" t="s">
        <v>6101</v>
      </c>
      <c r="P5632" t="s">
        <v>6115</v>
      </c>
      <c r="Q5632">
        <v>9</v>
      </c>
      <c r="R5632">
        <v>2026</v>
      </c>
      <c r="S5632" t="s">
        <v>6099</v>
      </c>
      <c r="T5632">
        <v>1</v>
      </c>
      <c r="U5632" t="s">
        <v>6020</v>
      </c>
      <c r="V5632">
        <v>0</v>
      </c>
    </row>
    <row r="5633" spans="1:22" x14ac:dyDescent="0.3">
      <c r="A5633" t="s">
        <v>5648</v>
      </c>
      <c r="B5633" s="2">
        <v>46278.34375</v>
      </c>
      <c r="C5633" s="2">
        <v>46278.73541666667</v>
      </c>
      <c r="D5633" t="s">
        <v>6023</v>
      </c>
      <c r="E5633" t="s">
        <v>6029</v>
      </c>
      <c r="F5633" t="s">
        <v>6034</v>
      </c>
      <c r="G5633" t="s">
        <v>6085</v>
      </c>
      <c r="H5633" t="s">
        <v>6097</v>
      </c>
      <c r="I5633">
        <v>24</v>
      </c>
      <c r="J5633">
        <v>9.4</v>
      </c>
      <c r="K5633" t="s">
        <v>6099</v>
      </c>
      <c r="L5633" t="s">
        <v>6100</v>
      </c>
      <c r="M5633" t="s">
        <v>6099</v>
      </c>
      <c r="N5633">
        <v>4</v>
      </c>
      <c r="O5633" t="s">
        <v>6101</v>
      </c>
      <c r="P5633" t="s">
        <v>6115</v>
      </c>
      <c r="Q5633">
        <v>9</v>
      </c>
      <c r="R5633">
        <v>2026</v>
      </c>
      <c r="S5633" t="s">
        <v>6099</v>
      </c>
      <c r="T5633">
        <v>1</v>
      </c>
      <c r="U5633" t="s">
        <v>6019</v>
      </c>
      <c r="V5633">
        <v>1</v>
      </c>
    </row>
    <row r="5634" spans="1:22" x14ac:dyDescent="0.3">
      <c r="A5634" t="s">
        <v>5649</v>
      </c>
      <c r="B5634" s="2">
        <v>46278.34375</v>
      </c>
      <c r="C5634" s="2">
        <v>46279.052083333336</v>
      </c>
      <c r="D5634" t="s">
        <v>6022</v>
      </c>
      <c r="E5634" t="s">
        <v>6029</v>
      </c>
      <c r="F5634" t="s">
        <v>6035</v>
      </c>
      <c r="G5634" t="s">
        <v>6071</v>
      </c>
      <c r="H5634" t="s">
        <v>6098</v>
      </c>
      <c r="I5634">
        <v>4</v>
      </c>
      <c r="J5634">
        <v>17</v>
      </c>
      <c r="K5634" t="s">
        <v>6099</v>
      </c>
      <c r="L5634" t="s">
        <v>6100</v>
      </c>
      <c r="M5634" t="s">
        <v>6100</v>
      </c>
      <c r="O5634" t="s">
        <v>6101</v>
      </c>
      <c r="P5634" t="s">
        <v>6115</v>
      </c>
      <c r="Q5634">
        <v>9</v>
      </c>
      <c r="R5634">
        <v>2026</v>
      </c>
      <c r="S5634" t="s">
        <v>6100</v>
      </c>
      <c r="T5634">
        <v>0</v>
      </c>
      <c r="U5634" t="s">
        <v>6017</v>
      </c>
      <c r="V5634">
        <v>1</v>
      </c>
    </row>
    <row r="5635" spans="1:22" x14ac:dyDescent="0.3">
      <c r="A5635" t="s">
        <v>5650</v>
      </c>
      <c r="B5635" s="2">
        <v>46278.35</v>
      </c>
      <c r="C5635" s="2">
        <v>46279.808333333334</v>
      </c>
      <c r="D5635" t="s">
        <v>6027</v>
      </c>
      <c r="E5635" t="s">
        <v>6032</v>
      </c>
      <c r="F5635" t="s">
        <v>6034</v>
      </c>
      <c r="G5635" t="s">
        <v>6053</v>
      </c>
      <c r="H5635" t="s">
        <v>6097</v>
      </c>
      <c r="I5635">
        <v>24</v>
      </c>
      <c r="J5635">
        <v>35</v>
      </c>
      <c r="K5635" t="s">
        <v>6099</v>
      </c>
      <c r="L5635" t="s">
        <v>6100</v>
      </c>
      <c r="M5635" t="s">
        <v>6100</v>
      </c>
      <c r="N5635">
        <v>4</v>
      </c>
      <c r="O5635" t="s">
        <v>6101</v>
      </c>
      <c r="P5635" t="s">
        <v>6115</v>
      </c>
      <c r="Q5635">
        <v>9</v>
      </c>
      <c r="R5635">
        <v>2026</v>
      </c>
      <c r="S5635" t="s">
        <v>6100</v>
      </c>
      <c r="T5635">
        <v>0</v>
      </c>
      <c r="U5635" t="s">
        <v>6019</v>
      </c>
      <c r="V5635">
        <v>1</v>
      </c>
    </row>
    <row r="5636" spans="1:22" x14ac:dyDescent="0.3">
      <c r="A5636" t="s">
        <v>5651</v>
      </c>
      <c r="B5636" s="2">
        <v>46278.397222222222</v>
      </c>
      <c r="C5636" s="2">
        <v>46278.68472222222</v>
      </c>
      <c r="D5636" t="s">
        <v>6023</v>
      </c>
      <c r="E5636" t="s">
        <v>6030</v>
      </c>
      <c r="F5636" t="s">
        <v>6033</v>
      </c>
      <c r="G5636" t="s">
        <v>6049</v>
      </c>
      <c r="H5636" t="s">
        <v>6097</v>
      </c>
      <c r="I5636">
        <v>72</v>
      </c>
      <c r="J5636">
        <v>6.9</v>
      </c>
      <c r="K5636" t="s">
        <v>6100</v>
      </c>
      <c r="L5636" t="s">
        <v>6100</v>
      </c>
      <c r="M5636" t="s">
        <v>6100</v>
      </c>
      <c r="N5636">
        <v>5</v>
      </c>
      <c r="O5636" t="s">
        <v>6101</v>
      </c>
      <c r="P5636" t="s">
        <v>6115</v>
      </c>
      <c r="Q5636">
        <v>9</v>
      </c>
      <c r="R5636">
        <v>2026</v>
      </c>
      <c r="S5636" t="s">
        <v>6099</v>
      </c>
      <c r="T5636">
        <v>1</v>
      </c>
      <c r="U5636" t="s">
        <v>6018</v>
      </c>
      <c r="V5636">
        <v>0</v>
      </c>
    </row>
    <row r="5637" spans="1:22" x14ac:dyDescent="0.3">
      <c r="A5637" t="s">
        <v>5652</v>
      </c>
      <c r="B5637" s="2">
        <v>46278.429166666669</v>
      </c>
      <c r="C5637" s="2">
        <v>46278.79583333333</v>
      </c>
      <c r="D5637" t="s">
        <v>6028</v>
      </c>
      <c r="E5637" t="s">
        <v>6029</v>
      </c>
      <c r="F5637" t="s">
        <v>6033</v>
      </c>
      <c r="G5637" t="s">
        <v>6062</v>
      </c>
      <c r="H5637" t="s">
        <v>6096</v>
      </c>
      <c r="I5637">
        <v>72</v>
      </c>
      <c r="J5637">
        <v>8.8000000000000007</v>
      </c>
      <c r="K5637" t="s">
        <v>6099</v>
      </c>
      <c r="L5637" t="s">
        <v>6100</v>
      </c>
      <c r="M5637" t="s">
        <v>6100</v>
      </c>
      <c r="N5637">
        <v>5</v>
      </c>
      <c r="O5637" t="s">
        <v>6101</v>
      </c>
      <c r="P5637" t="s">
        <v>6115</v>
      </c>
      <c r="Q5637">
        <v>9</v>
      </c>
      <c r="R5637">
        <v>2026</v>
      </c>
      <c r="S5637" t="s">
        <v>6099</v>
      </c>
      <c r="T5637">
        <v>1</v>
      </c>
      <c r="U5637" t="s">
        <v>6018</v>
      </c>
      <c r="V5637">
        <v>1</v>
      </c>
    </row>
    <row r="5638" spans="1:22" x14ac:dyDescent="0.3">
      <c r="A5638" t="s">
        <v>5653</v>
      </c>
      <c r="B5638" s="2">
        <v>46278.445138888892</v>
      </c>
      <c r="C5638" s="2">
        <v>46279.115972222222</v>
      </c>
      <c r="D5638" t="s">
        <v>6028</v>
      </c>
      <c r="E5638" t="s">
        <v>6031</v>
      </c>
      <c r="F5638" t="s">
        <v>6035</v>
      </c>
      <c r="G5638" t="s">
        <v>6066</v>
      </c>
      <c r="H5638" t="s">
        <v>6096</v>
      </c>
      <c r="I5638">
        <v>4</v>
      </c>
      <c r="J5638">
        <v>16.100000000000001</v>
      </c>
      <c r="K5638" t="s">
        <v>6099</v>
      </c>
      <c r="L5638" t="s">
        <v>6100</v>
      </c>
      <c r="M5638" t="s">
        <v>6100</v>
      </c>
      <c r="N5638">
        <v>4</v>
      </c>
      <c r="O5638" t="s">
        <v>6101</v>
      </c>
      <c r="P5638" t="s">
        <v>6115</v>
      </c>
      <c r="Q5638">
        <v>9</v>
      </c>
      <c r="R5638">
        <v>2026</v>
      </c>
      <c r="S5638" t="s">
        <v>6100</v>
      </c>
      <c r="T5638">
        <v>0</v>
      </c>
      <c r="U5638" t="s">
        <v>6018</v>
      </c>
      <c r="V5638">
        <v>1</v>
      </c>
    </row>
    <row r="5639" spans="1:22" x14ac:dyDescent="0.3">
      <c r="A5639" t="s">
        <v>5654</v>
      </c>
      <c r="B5639" s="2">
        <v>46278.45208333333</v>
      </c>
      <c r="C5639" s="2">
        <v>46279.747916666667</v>
      </c>
      <c r="D5639" t="s">
        <v>6024</v>
      </c>
      <c r="E5639" t="s">
        <v>6029</v>
      </c>
      <c r="F5639" t="s">
        <v>6033</v>
      </c>
      <c r="G5639" t="s">
        <v>6058</v>
      </c>
      <c r="H5639" t="s">
        <v>6098</v>
      </c>
      <c r="I5639">
        <v>72</v>
      </c>
      <c r="J5639">
        <v>31.1</v>
      </c>
      <c r="K5639" t="s">
        <v>6099</v>
      </c>
      <c r="L5639" t="s">
        <v>6100</v>
      </c>
      <c r="M5639" t="s">
        <v>6100</v>
      </c>
      <c r="O5639" t="s">
        <v>6101</v>
      </c>
      <c r="P5639" t="s">
        <v>6115</v>
      </c>
      <c r="Q5639">
        <v>9</v>
      </c>
      <c r="R5639">
        <v>2026</v>
      </c>
      <c r="S5639" t="s">
        <v>6099</v>
      </c>
      <c r="T5639">
        <v>1</v>
      </c>
      <c r="U5639" t="s">
        <v>6020</v>
      </c>
      <c r="V5639">
        <v>1</v>
      </c>
    </row>
    <row r="5640" spans="1:22" x14ac:dyDescent="0.3">
      <c r="A5640" t="s">
        <v>5655</v>
      </c>
      <c r="B5640" s="2">
        <v>46278.480555555558</v>
      </c>
      <c r="C5640" s="2">
        <v>46281.426388888889</v>
      </c>
      <c r="D5640" t="s">
        <v>6024</v>
      </c>
      <c r="E5640" t="s">
        <v>6031</v>
      </c>
      <c r="F5640" t="s">
        <v>6035</v>
      </c>
      <c r="G5640" t="s">
        <v>6073</v>
      </c>
      <c r="H5640" t="s">
        <v>6096</v>
      </c>
      <c r="I5640">
        <v>4</v>
      </c>
      <c r="J5640">
        <v>70.7</v>
      </c>
      <c r="K5640" t="s">
        <v>6100</v>
      </c>
      <c r="L5640" t="s">
        <v>6099</v>
      </c>
      <c r="M5640" t="s">
        <v>6100</v>
      </c>
      <c r="O5640" t="s">
        <v>6101</v>
      </c>
      <c r="P5640" t="s">
        <v>6115</v>
      </c>
      <c r="Q5640">
        <v>9</v>
      </c>
      <c r="R5640">
        <v>2026</v>
      </c>
      <c r="S5640" t="s">
        <v>6100</v>
      </c>
      <c r="T5640">
        <v>0</v>
      </c>
      <c r="U5640" t="s">
        <v>6021</v>
      </c>
      <c r="V5640">
        <v>0</v>
      </c>
    </row>
    <row r="5641" spans="1:22" x14ac:dyDescent="0.3">
      <c r="A5641" t="s">
        <v>5656</v>
      </c>
      <c r="B5641" s="2">
        <v>46278.482638888891</v>
      </c>
      <c r="C5641" s="2">
        <v>46278.84097222222</v>
      </c>
      <c r="D5641" t="s">
        <v>6024</v>
      </c>
      <c r="E5641" t="s">
        <v>6030</v>
      </c>
      <c r="F5641" t="s">
        <v>6034</v>
      </c>
      <c r="G5641" t="s">
        <v>6071</v>
      </c>
      <c r="H5641" t="s">
        <v>6098</v>
      </c>
      <c r="I5641">
        <v>24</v>
      </c>
      <c r="J5641">
        <v>8.6</v>
      </c>
      <c r="K5641" t="s">
        <v>6099</v>
      </c>
      <c r="L5641" t="s">
        <v>6100</v>
      </c>
      <c r="M5641" t="s">
        <v>6099</v>
      </c>
      <c r="O5641" t="s">
        <v>6101</v>
      </c>
      <c r="P5641" t="s">
        <v>6115</v>
      </c>
      <c r="Q5641">
        <v>9</v>
      </c>
      <c r="R5641">
        <v>2026</v>
      </c>
      <c r="S5641" t="s">
        <v>6099</v>
      </c>
      <c r="T5641">
        <v>1</v>
      </c>
      <c r="U5641" t="s">
        <v>6021</v>
      </c>
      <c r="V5641">
        <v>1</v>
      </c>
    </row>
    <row r="5642" spans="1:22" x14ac:dyDescent="0.3">
      <c r="A5642" t="s">
        <v>5657</v>
      </c>
      <c r="B5642" s="2">
        <v>46278.487500000003</v>
      </c>
      <c r="C5642" s="2">
        <v>46279.041666666664</v>
      </c>
      <c r="D5642" t="s">
        <v>6022</v>
      </c>
      <c r="E5642" t="s">
        <v>6030</v>
      </c>
      <c r="F5642" t="s">
        <v>6035</v>
      </c>
      <c r="G5642" t="s">
        <v>6037</v>
      </c>
      <c r="H5642" t="s">
        <v>6096</v>
      </c>
      <c r="I5642">
        <v>4</v>
      </c>
      <c r="J5642">
        <v>13.3</v>
      </c>
      <c r="K5642" t="s">
        <v>6099</v>
      </c>
      <c r="L5642" t="s">
        <v>6100</v>
      </c>
      <c r="M5642" t="s">
        <v>6099</v>
      </c>
      <c r="N5642">
        <v>4</v>
      </c>
      <c r="O5642" t="s">
        <v>6101</v>
      </c>
      <c r="P5642" t="s">
        <v>6115</v>
      </c>
      <c r="Q5642">
        <v>9</v>
      </c>
      <c r="R5642">
        <v>2026</v>
      </c>
      <c r="S5642" t="s">
        <v>6100</v>
      </c>
      <c r="T5642">
        <v>0</v>
      </c>
      <c r="U5642" t="s">
        <v>6018</v>
      </c>
      <c r="V5642">
        <v>1</v>
      </c>
    </row>
    <row r="5643" spans="1:22" x14ac:dyDescent="0.3">
      <c r="A5643" t="s">
        <v>5658</v>
      </c>
      <c r="B5643" s="2">
        <v>46278.512499999997</v>
      </c>
      <c r="C5643" s="2">
        <v>46280.07916666667</v>
      </c>
      <c r="D5643" t="s">
        <v>6022</v>
      </c>
      <c r="E5643" t="s">
        <v>6029</v>
      </c>
      <c r="F5643" t="s">
        <v>6034</v>
      </c>
      <c r="G5643" t="s">
        <v>6068</v>
      </c>
      <c r="H5643" t="s">
        <v>6098</v>
      </c>
      <c r="I5643">
        <v>24</v>
      </c>
      <c r="J5643">
        <v>37.6</v>
      </c>
      <c r="K5643" t="s">
        <v>6100</v>
      </c>
      <c r="L5643" t="s">
        <v>6100</v>
      </c>
      <c r="M5643" t="s">
        <v>6100</v>
      </c>
      <c r="N5643">
        <v>5</v>
      </c>
      <c r="O5643" t="s">
        <v>6101</v>
      </c>
      <c r="P5643" t="s">
        <v>6115</v>
      </c>
      <c r="Q5643">
        <v>9</v>
      </c>
      <c r="R5643">
        <v>2026</v>
      </c>
      <c r="S5643" t="s">
        <v>6100</v>
      </c>
      <c r="T5643">
        <v>0</v>
      </c>
      <c r="U5643" t="s">
        <v>6020</v>
      </c>
      <c r="V5643">
        <v>0</v>
      </c>
    </row>
    <row r="5644" spans="1:22" x14ac:dyDescent="0.3">
      <c r="A5644" t="s">
        <v>5659</v>
      </c>
      <c r="B5644" s="2">
        <v>46278.540277777778</v>
      </c>
      <c r="C5644" s="2">
        <v>46279.036111111112</v>
      </c>
      <c r="D5644" t="s">
        <v>6022</v>
      </c>
      <c r="E5644" t="s">
        <v>6029</v>
      </c>
      <c r="F5644" t="s">
        <v>6035</v>
      </c>
      <c r="G5644" t="s">
        <v>6068</v>
      </c>
      <c r="H5644" t="s">
        <v>6098</v>
      </c>
      <c r="I5644">
        <v>4</v>
      </c>
      <c r="J5644">
        <v>11.9</v>
      </c>
      <c r="K5644" t="s">
        <v>6099</v>
      </c>
      <c r="L5644" t="s">
        <v>6100</v>
      </c>
      <c r="M5644" t="s">
        <v>6100</v>
      </c>
      <c r="O5644" t="s">
        <v>6101</v>
      </c>
      <c r="P5644" t="s">
        <v>6115</v>
      </c>
      <c r="Q5644">
        <v>9</v>
      </c>
      <c r="R5644">
        <v>2026</v>
      </c>
      <c r="S5644" t="s">
        <v>6100</v>
      </c>
      <c r="T5644">
        <v>0</v>
      </c>
      <c r="U5644" t="s">
        <v>6020</v>
      </c>
      <c r="V5644">
        <v>1</v>
      </c>
    </row>
    <row r="5645" spans="1:22" x14ac:dyDescent="0.3">
      <c r="A5645" t="s">
        <v>5660</v>
      </c>
      <c r="B5645" s="2">
        <v>46278.545138888891</v>
      </c>
      <c r="C5645" s="2">
        <v>46279.557638888888</v>
      </c>
      <c r="D5645" t="s">
        <v>6025</v>
      </c>
      <c r="E5645" t="s">
        <v>6029</v>
      </c>
      <c r="F5645" t="s">
        <v>6035</v>
      </c>
      <c r="G5645" t="s">
        <v>6082</v>
      </c>
      <c r="H5645" t="s">
        <v>6097</v>
      </c>
      <c r="I5645">
        <v>4</v>
      </c>
      <c r="J5645">
        <v>24.3</v>
      </c>
      <c r="K5645" t="s">
        <v>6099</v>
      </c>
      <c r="L5645" t="s">
        <v>6100</v>
      </c>
      <c r="M5645" t="s">
        <v>6099</v>
      </c>
      <c r="N5645">
        <v>4</v>
      </c>
      <c r="O5645" t="s">
        <v>6101</v>
      </c>
      <c r="P5645" t="s">
        <v>6115</v>
      </c>
      <c r="Q5645">
        <v>9</v>
      </c>
      <c r="R5645">
        <v>2026</v>
      </c>
      <c r="S5645" t="s">
        <v>6100</v>
      </c>
      <c r="T5645">
        <v>0</v>
      </c>
      <c r="U5645" t="s">
        <v>6018</v>
      </c>
      <c r="V5645">
        <v>1</v>
      </c>
    </row>
    <row r="5646" spans="1:22" x14ac:dyDescent="0.3">
      <c r="A5646" t="s">
        <v>5661</v>
      </c>
      <c r="B5646" s="2">
        <v>46278.54583333333</v>
      </c>
      <c r="C5646" s="2">
        <v>46279.083333333336</v>
      </c>
      <c r="D5646" t="s">
        <v>6028</v>
      </c>
      <c r="E5646" t="s">
        <v>6031</v>
      </c>
      <c r="F5646" t="s">
        <v>6035</v>
      </c>
      <c r="G5646" t="s">
        <v>6053</v>
      </c>
      <c r="H5646" t="s">
        <v>6097</v>
      </c>
      <c r="I5646">
        <v>4</v>
      </c>
      <c r="J5646">
        <v>12.9</v>
      </c>
      <c r="K5646" t="s">
        <v>6099</v>
      </c>
      <c r="L5646" t="s">
        <v>6100</v>
      </c>
      <c r="M5646" t="s">
        <v>6100</v>
      </c>
      <c r="N5646">
        <v>4</v>
      </c>
      <c r="O5646" t="s">
        <v>6101</v>
      </c>
      <c r="P5646" t="s">
        <v>6115</v>
      </c>
      <c r="Q5646">
        <v>9</v>
      </c>
      <c r="R5646">
        <v>2026</v>
      </c>
      <c r="S5646" t="s">
        <v>6100</v>
      </c>
      <c r="T5646">
        <v>0</v>
      </c>
      <c r="U5646" t="s">
        <v>6018</v>
      </c>
      <c r="V5646">
        <v>1</v>
      </c>
    </row>
    <row r="5647" spans="1:22" x14ac:dyDescent="0.3">
      <c r="A5647" t="s">
        <v>5662</v>
      </c>
      <c r="B5647" s="2">
        <v>46278.57708333333</v>
      </c>
      <c r="C5647" s="2">
        <v>46278.835416666669</v>
      </c>
      <c r="D5647" t="s">
        <v>6027</v>
      </c>
      <c r="E5647" t="s">
        <v>6031</v>
      </c>
      <c r="F5647" t="s">
        <v>6033</v>
      </c>
      <c r="G5647" t="s">
        <v>6088</v>
      </c>
      <c r="H5647" t="s">
        <v>6097</v>
      </c>
      <c r="I5647">
        <v>72</v>
      </c>
      <c r="J5647">
        <v>6.2</v>
      </c>
      <c r="K5647" t="s">
        <v>6099</v>
      </c>
      <c r="L5647" t="s">
        <v>6100</v>
      </c>
      <c r="M5647" t="s">
        <v>6100</v>
      </c>
      <c r="N5647">
        <v>4</v>
      </c>
      <c r="O5647" t="s">
        <v>6101</v>
      </c>
      <c r="P5647" t="s">
        <v>6115</v>
      </c>
      <c r="Q5647">
        <v>9</v>
      </c>
      <c r="R5647">
        <v>2026</v>
      </c>
      <c r="S5647" t="s">
        <v>6099</v>
      </c>
      <c r="T5647">
        <v>1</v>
      </c>
      <c r="U5647" t="s">
        <v>6020</v>
      </c>
      <c r="V5647">
        <v>1</v>
      </c>
    </row>
    <row r="5648" spans="1:22" x14ac:dyDescent="0.3">
      <c r="A5648" t="s">
        <v>5663</v>
      </c>
      <c r="B5648" s="2">
        <v>46278.591666666667</v>
      </c>
      <c r="C5648" s="2">
        <v>46280.6875</v>
      </c>
      <c r="D5648" t="s">
        <v>6027</v>
      </c>
      <c r="E5648" t="s">
        <v>6031</v>
      </c>
      <c r="F5648" t="s">
        <v>6035</v>
      </c>
      <c r="G5648" t="s">
        <v>6063</v>
      </c>
      <c r="H5648" t="s">
        <v>6097</v>
      </c>
      <c r="I5648">
        <v>4</v>
      </c>
      <c r="J5648">
        <v>50.3</v>
      </c>
      <c r="K5648" t="s">
        <v>6099</v>
      </c>
      <c r="L5648" t="s">
        <v>6100</v>
      </c>
      <c r="M5648" t="s">
        <v>6100</v>
      </c>
      <c r="N5648">
        <v>2</v>
      </c>
      <c r="O5648" t="s">
        <v>6101</v>
      </c>
      <c r="P5648" t="s">
        <v>6115</v>
      </c>
      <c r="Q5648">
        <v>9</v>
      </c>
      <c r="R5648">
        <v>2026</v>
      </c>
      <c r="S5648" t="s">
        <v>6100</v>
      </c>
      <c r="T5648">
        <v>0</v>
      </c>
      <c r="U5648" t="s">
        <v>6017</v>
      </c>
      <c r="V5648">
        <v>1</v>
      </c>
    </row>
    <row r="5649" spans="1:22" x14ac:dyDescent="0.3">
      <c r="A5649" t="s">
        <v>5664</v>
      </c>
      <c r="B5649" s="2">
        <v>46278.628472222219</v>
      </c>
      <c r="C5649" s="2">
        <v>46278.982638888891</v>
      </c>
      <c r="D5649" t="s">
        <v>6027</v>
      </c>
      <c r="E5649" t="s">
        <v>6029</v>
      </c>
      <c r="F5649" t="s">
        <v>6034</v>
      </c>
      <c r="G5649" t="s">
        <v>6067</v>
      </c>
      <c r="H5649" t="s">
        <v>6098</v>
      </c>
      <c r="I5649">
        <v>24</v>
      </c>
      <c r="J5649">
        <v>8.5</v>
      </c>
      <c r="K5649" t="s">
        <v>6099</v>
      </c>
      <c r="L5649" t="s">
        <v>6100</v>
      </c>
      <c r="M5649" t="s">
        <v>6100</v>
      </c>
      <c r="O5649" t="s">
        <v>6101</v>
      </c>
      <c r="P5649" t="s">
        <v>6115</v>
      </c>
      <c r="Q5649">
        <v>9</v>
      </c>
      <c r="R5649">
        <v>2026</v>
      </c>
      <c r="S5649" t="s">
        <v>6099</v>
      </c>
      <c r="T5649">
        <v>1</v>
      </c>
      <c r="U5649" t="s">
        <v>6021</v>
      </c>
      <c r="V5649">
        <v>1</v>
      </c>
    </row>
    <row r="5650" spans="1:22" x14ac:dyDescent="0.3">
      <c r="A5650" t="s">
        <v>5665</v>
      </c>
      <c r="B5650" s="2">
        <v>46278.632638888892</v>
      </c>
      <c r="C5650" s="2">
        <v>46278.807638888888</v>
      </c>
      <c r="D5650" t="s">
        <v>6028</v>
      </c>
      <c r="E5650" t="s">
        <v>6030</v>
      </c>
      <c r="F5650" t="s">
        <v>6034</v>
      </c>
      <c r="G5650" t="s">
        <v>6073</v>
      </c>
      <c r="H5650" t="s">
        <v>6096</v>
      </c>
      <c r="I5650">
        <v>24</v>
      </c>
      <c r="J5650">
        <v>4.2</v>
      </c>
      <c r="K5650" t="s">
        <v>6099</v>
      </c>
      <c r="L5650" t="s">
        <v>6100</v>
      </c>
      <c r="M5650" t="s">
        <v>6100</v>
      </c>
      <c r="O5650" t="s">
        <v>6101</v>
      </c>
      <c r="P5650" t="s">
        <v>6115</v>
      </c>
      <c r="Q5650">
        <v>9</v>
      </c>
      <c r="R5650">
        <v>2026</v>
      </c>
      <c r="S5650" t="s">
        <v>6099</v>
      </c>
      <c r="T5650">
        <v>1</v>
      </c>
      <c r="U5650" t="s">
        <v>6021</v>
      </c>
      <c r="V5650">
        <v>1</v>
      </c>
    </row>
    <row r="5651" spans="1:22" x14ac:dyDescent="0.3">
      <c r="A5651" t="s">
        <v>5666</v>
      </c>
      <c r="B5651" s="2">
        <v>46278.65347222222</v>
      </c>
      <c r="C5651" s="2">
        <v>46279.074305555558</v>
      </c>
      <c r="D5651" t="s">
        <v>6022</v>
      </c>
      <c r="E5651" t="s">
        <v>6030</v>
      </c>
      <c r="F5651" t="s">
        <v>6035</v>
      </c>
      <c r="G5651" t="s">
        <v>6037</v>
      </c>
      <c r="H5651" t="s">
        <v>6096</v>
      </c>
      <c r="I5651">
        <v>4</v>
      </c>
      <c r="J5651">
        <v>10.1</v>
      </c>
      <c r="K5651" t="s">
        <v>6100</v>
      </c>
      <c r="L5651" t="s">
        <v>6099</v>
      </c>
      <c r="M5651" t="s">
        <v>6100</v>
      </c>
      <c r="O5651" t="s">
        <v>6101</v>
      </c>
      <c r="P5651" t="s">
        <v>6115</v>
      </c>
      <c r="Q5651">
        <v>9</v>
      </c>
      <c r="R5651">
        <v>2026</v>
      </c>
      <c r="S5651" t="s">
        <v>6100</v>
      </c>
      <c r="T5651">
        <v>0</v>
      </c>
      <c r="U5651" t="s">
        <v>6019</v>
      </c>
      <c r="V5651">
        <v>0</v>
      </c>
    </row>
    <row r="5652" spans="1:22" x14ac:dyDescent="0.3">
      <c r="A5652" t="s">
        <v>5667</v>
      </c>
      <c r="B5652" s="2">
        <v>46278.739583333336</v>
      </c>
      <c r="C5652" s="2">
        <v>46279.677083333336</v>
      </c>
      <c r="D5652" t="s">
        <v>6022</v>
      </c>
      <c r="E5652" t="s">
        <v>6029</v>
      </c>
      <c r="F5652" t="s">
        <v>6034</v>
      </c>
      <c r="G5652" t="s">
        <v>6081</v>
      </c>
      <c r="H5652" t="s">
        <v>6098</v>
      </c>
      <c r="I5652">
        <v>24</v>
      </c>
      <c r="J5652">
        <v>22.5</v>
      </c>
      <c r="K5652" t="s">
        <v>6100</v>
      </c>
      <c r="L5652" t="s">
        <v>6099</v>
      </c>
      <c r="M5652" t="s">
        <v>6100</v>
      </c>
      <c r="O5652" t="s">
        <v>6101</v>
      </c>
      <c r="P5652" t="s">
        <v>6115</v>
      </c>
      <c r="Q5652">
        <v>9</v>
      </c>
      <c r="R5652">
        <v>2026</v>
      </c>
      <c r="S5652" t="s">
        <v>6099</v>
      </c>
      <c r="T5652">
        <v>1</v>
      </c>
      <c r="U5652" t="s">
        <v>6018</v>
      </c>
      <c r="V5652">
        <v>0</v>
      </c>
    </row>
    <row r="5653" spans="1:22" x14ac:dyDescent="0.3">
      <c r="A5653" t="s">
        <v>5668</v>
      </c>
      <c r="B5653" s="2">
        <v>46278.814583333333</v>
      </c>
      <c r="C5653" s="2">
        <v>46279.377083333333</v>
      </c>
      <c r="D5653" t="s">
        <v>6022</v>
      </c>
      <c r="E5653" t="s">
        <v>6029</v>
      </c>
      <c r="F5653" t="s">
        <v>6033</v>
      </c>
      <c r="G5653" t="s">
        <v>6050</v>
      </c>
      <c r="H5653" t="s">
        <v>6098</v>
      </c>
      <c r="I5653">
        <v>72</v>
      </c>
      <c r="J5653">
        <v>13.5</v>
      </c>
      <c r="K5653" t="s">
        <v>6099</v>
      </c>
      <c r="L5653" t="s">
        <v>6100</v>
      </c>
      <c r="M5653" t="s">
        <v>6100</v>
      </c>
      <c r="N5653">
        <v>5</v>
      </c>
      <c r="O5653" t="s">
        <v>6101</v>
      </c>
      <c r="P5653" t="s">
        <v>6115</v>
      </c>
      <c r="Q5653">
        <v>9</v>
      </c>
      <c r="R5653">
        <v>2026</v>
      </c>
      <c r="S5653" t="s">
        <v>6099</v>
      </c>
      <c r="T5653">
        <v>1</v>
      </c>
      <c r="U5653" t="s">
        <v>6018</v>
      </c>
      <c r="V5653">
        <v>1</v>
      </c>
    </row>
    <row r="5654" spans="1:22" x14ac:dyDescent="0.3">
      <c r="A5654" t="s">
        <v>5669</v>
      </c>
      <c r="B5654" s="2">
        <v>46279.061111111114</v>
      </c>
      <c r="C5654" s="2">
        <v>46280.62777777778</v>
      </c>
      <c r="D5654" t="s">
        <v>6026</v>
      </c>
      <c r="E5654" t="s">
        <v>6029</v>
      </c>
      <c r="F5654" t="s">
        <v>6035</v>
      </c>
      <c r="G5654" t="s">
        <v>6087</v>
      </c>
      <c r="H5654" t="s">
        <v>6098</v>
      </c>
      <c r="I5654">
        <v>4</v>
      </c>
      <c r="J5654">
        <v>37.6</v>
      </c>
      <c r="K5654" t="s">
        <v>6100</v>
      </c>
      <c r="L5654" t="s">
        <v>6100</v>
      </c>
      <c r="M5654" t="s">
        <v>6100</v>
      </c>
      <c r="O5654" t="s">
        <v>6101</v>
      </c>
      <c r="P5654" t="s">
        <v>6115</v>
      </c>
      <c r="Q5654">
        <v>9</v>
      </c>
      <c r="R5654">
        <v>2026</v>
      </c>
      <c r="S5654" t="s">
        <v>6100</v>
      </c>
      <c r="T5654">
        <v>0</v>
      </c>
      <c r="U5654" t="s">
        <v>6019</v>
      </c>
      <c r="V5654">
        <v>0</v>
      </c>
    </row>
    <row r="5655" spans="1:22" x14ac:dyDescent="0.3">
      <c r="A5655" t="s">
        <v>5670</v>
      </c>
      <c r="B5655" s="2">
        <v>46279.231249999997</v>
      </c>
      <c r="C5655" s="2">
        <v>46280.76458333333</v>
      </c>
      <c r="D5655" t="s">
        <v>6022</v>
      </c>
      <c r="E5655" t="s">
        <v>6032</v>
      </c>
      <c r="F5655" t="s">
        <v>6035</v>
      </c>
      <c r="G5655" t="s">
        <v>6085</v>
      </c>
      <c r="H5655" t="s">
        <v>6097</v>
      </c>
      <c r="I5655">
        <v>4</v>
      </c>
      <c r="J5655">
        <v>36.799999999999997</v>
      </c>
      <c r="K5655" t="s">
        <v>6099</v>
      </c>
      <c r="L5655" t="s">
        <v>6100</v>
      </c>
      <c r="M5655" t="s">
        <v>6100</v>
      </c>
      <c r="N5655">
        <v>4</v>
      </c>
      <c r="O5655" t="s">
        <v>6101</v>
      </c>
      <c r="P5655" t="s">
        <v>6115</v>
      </c>
      <c r="Q5655">
        <v>9</v>
      </c>
      <c r="R5655">
        <v>2026</v>
      </c>
      <c r="S5655" t="s">
        <v>6100</v>
      </c>
      <c r="T5655">
        <v>0</v>
      </c>
      <c r="U5655" t="s">
        <v>6020</v>
      </c>
      <c r="V5655">
        <v>1</v>
      </c>
    </row>
    <row r="5656" spans="1:22" x14ac:dyDescent="0.3">
      <c r="A5656" t="s">
        <v>5671</v>
      </c>
      <c r="B5656" s="2">
        <v>46279.23333333333</v>
      </c>
      <c r="C5656" s="2">
        <v>46279.5625</v>
      </c>
      <c r="D5656" t="s">
        <v>6025</v>
      </c>
      <c r="E5656" t="s">
        <v>6029</v>
      </c>
      <c r="F5656" t="s">
        <v>6033</v>
      </c>
      <c r="G5656" t="s">
        <v>6089</v>
      </c>
      <c r="H5656" t="s">
        <v>6098</v>
      </c>
      <c r="I5656">
        <v>72</v>
      </c>
      <c r="J5656">
        <v>7.9</v>
      </c>
      <c r="K5656" t="s">
        <v>6099</v>
      </c>
      <c r="L5656" t="s">
        <v>6100</v>
      </c>
      <c r="M5656" t="s">
        <v>6100</v>
      </c>
      <c r="N5656">
        <v>3</v>
      </c>
      <c r="O5656" t="s">
        <v>6101</v>
      </c>
      <c r="P5656" t="s">
        <v>6115</v>
      </c>
      <c r="Q5656">
        <v>9</v>
      </c>
      <c r="R5656">
        <v>2026</v>
      </c>
      <c r="S5656" t="s">
        <v>6099</v>
      </c>
      <c r="T5656">
        <v>1</v>
      </c>
      <c r="U5656" t="s">
        <v>6020</v>
      </c>
      <c r="V5656">
        <v>1</v>
      </c>
    </row>
    <row r="5657" spans="1:22" x14ac:dyDescent="0.3">
      <c r="A5657" t="s">
        <v>5672</v>
      </c>
      <c r="B5657" s="2">
        <v>46279.344444444447</v>
      </c>
      <c r="C5657" s="2">
        <v>46279.794444444444</v>
      </c>
      <c r="D5657" t="s">
        <v>6025</v>
      </c>
      <c r="E5657" t="s">
        <v>6029</v>
      </c>
      <c r="F5657" t="s">
        <v>6034</v>
      </c>
      <c r="G5657" t="s">
        <v>6080</v>
      </c>
      <c r="H5657" t="s">
        <v>6096</v>
      </c>
      <c r="I5657">
        <v>24</v>
      </c>
      <c r="J5657">
        <v>10.8</v>
      </c>
      <c r="K5657" t="s">
        <v>6099</v>
      </c>
      <c r="L5657" t="s">
        <v>6100</v>
      </c>
      <c r="M5657" t="s">
        <v>6100</v>
      </c>
      <c r="N5657">
        <v>5</v>
      </c>
      <c r="O5657" t="s">
        <v>6101</v>
      </c>
      <c r="P5657" t="s">
        <v>6115</v>
      </c>
      <c r="Q5657">
        <v>9</v>
      </c>
      <c r="R5657">
        <v>2026</v>
      </c>
      <c r="S5657" t="s">
        <v>6099</v>
      </c>
      <c r="T5657">
        <v>1</v>
      </c>
      <c r="U5657" t="s">
        <v>6019</v>
      </c>
      <c r="V5657">
        <v>1</v>
      </c>
    </row>
    <row r="5658" spans="1:22" x14ac:dyDescent="0.3">
      <c r="A5658" t="s">
        <v>5673</v>
      </c>
      <c r="B5658" s="2">
        <v>46279.368055555555</v>
      </c>
      <c r="C5658" s="2">
        <v>46279.647222222222</v>
      </c>
      <c r="D5658" t="s">
        <v>6023</v>
      </c>
      <c r="E5658" t="s">
        <v>6030</v>
      </c>
      <c r="F5658" t="s">
        <v>6035</v>
      </c>
      <c r="G5658" t="s">
        <v>6086</v>
      </c>
      <c r="H5658" t="s">
        <v>6098</v>
      </c>
      <c r="I5658">
        <v>4</v>
      </c>
      <c r="J5658">
        <v>6.7</v>
      </c>
      <c r="K5658" t="s">
        <v>6099</v>
      </c>
      <c r="L5658" t="s">
        <v>6100</v>
      </c>
      <c r="M5658" t="s">
        <v>6100</v>
      </c>
      <c r="O5658" t="s">
        <v>6101</v>
      </c>
      <c r="P5658" t="s">
        <v>6115</v>
      </c>
      <c r="Q5658">
        <v>9</v>
      </c>
      <c r="R5658">
        <v>2026</v>
      </c>
      <c r="S5658" t="s">
        <v>6100</v>
      </c>
      <c r="T5658">
        <v>0</v>
      </c>
      <c r="U5658" t="s">
        <v>6020</v>
      </c>
      <c r="V5658">
        <v>1</v>
      </c>
    </row>
    <row r="5659" spans="1:22" x14ac:dyDescent="0.3">
      <c r="A5659" t="s">
        <v>5674</v>
      </c>
      <c r="B5659" s="2">
        <v>46279.459722222222</v>
      </c>
      <c r="C5659" s="2">
        <v>46279.909722222219</v>
      </c>
      <c r="D5659" t="s">
        <v>6022</v>
      </c>
      <c r="E5659" t="s">
        <v>6030</v>
      </c>
      <c r="F5659" t="s">
        <v>6033</v>
      </c>
      <c r="G5659" t="s">
        <v>6074</v>
      </c>
      <c r="H5659" t="s">
        <v>6098</v>
      </c>
      <c r="I5659">
        <v>72</v>
      </c>
      <c r="J5659">
        <v>10.8</v>
      </c>
      <c r="K5659" t="s">
        <v>6100</v>
      </c>
      <c r="L5659" t="s">
        <v>6100</v>
      </c>
      <c r="M5659" t="s">
        <v>6100</v>
      </c>
      <c r="N5659">
        <v>5</v>
      </c>
      <c r="O5659" t="s">
        <v>6101</v>
      </c>
      <c r="P5659" t="s">
        <v>6115</v>
      </c>
      <c r="Q5659">
        <v>9</v>
      </c>
      <c r="R5659">
        <v>2026</v>
      </c>
      <c r="S5659" t="s">
        <v>6099</v>
      </c>
      <c r="T5659">
        <v>1</v>
      </c>
      <c r="U5659" t="s">
        <v>6021</v>
      </c>
      <c r="V5659">
        <v>0</v>
      </c>
    </row>
    <row r="5660" spans="1:22" x14ac:dyDescent="0.3">
      <c r="A5660" t="s">
        <v>5675</v>
      </c>
      <c r="B5660" s="2">
        <v>46279.463888888888</v>
      </c>
      <c r="C5660" s="2">
        <v>46282.047222222223</v>
      </c>
      <c r="D5660" t="s">
        <v>6025</v>
      </c>
      <c r="E5660" t="s">
        <v>6031</v>
      </c>
      <c r="F5660" t="s">
        <v>6033</v>
      </c>
      <c r="G5660" t="s">
        <v>6041</v>
      </c>
      <c r="H5660" t="s">
        <v>6096</v>
      </c>
      <c r="I5660">
        <v>72</v>
      </c>
      <c r="J5660">
        <v>62</v>
      </c>
      <c r="K5660" t="s">
        <v>6100</v>
      </c>
      <c r="L5660" t="s">
        <v>6100</v>
      </c>
      <c r="M5660" t="s">
        <v>6100</v>
      </c>
      <c r="N5660">
        <v>4</v>
      </c>
      <c r="O5660" t="s">
        <v>6101</v>
      </c>
      <c r="P5660" t="s">
        <v>6115</v>
      </c>
      <c r="Q5660">
        <v>9</v>
      </c>
      <c r="R5660">
        <v>2026</v>
      </c>
      <c r="S5660" t="s">
        <v>6099</v>
      </c>
      <c r="T5660">
        <v>1</v>
      </c>
      <c r="U5660" t="s">
        <v>6018</v>
      </c>
      <c r="V5660">
        <v>0</v>
      </c>
    </row>
    <row r="5661" spans="1:22" x14ac:dyDescent="0.3">
      <c r="A5661" t="s">
        <v>5676</v>
      </c>
      <c r="B5661" s="2">
        <v>46279.488194444442</v>
      </c>
      <c r="C5661" s="2">
        <v>46280.267361111109</v>
      </c>
      <c r="D5661" t="s">
        <v>6025</v>
      </c>
      <c r="E5661" t="s">
        <v>6029</v>
      </c>
      <c r="F5661" t="s">
        <v>6034</v>
      </c>
      <c r="G5661" t="s">
        <v>6082</v>
      </c>
      <c r="H5661" t="s">
        <v>6097</v>
      </c>
      <c r="I5661">
        <v>24</v>
      </c>
      <c r="J5661">
        <v>18.7</v>
      </c>
      <c r="K5661" t="s">
        <v>6099</v>
      </c>
      <c r="L5661" t="s">
        <v>6100</v>
      </c>
      <c r="M5661" t="s">
        <v>6100</v>
      </c>
      <c r="N5661">
        <v>5</v>
      </c>
      <c r="O5661" t="s">
        <v>6101</v>
      </c>
      <c r="P5661" t="s">
        <v>6115</v>
      </c>
      <c r="Q5661">
        <v>9</v>
      </c>
      <c r="R5661">
        <v>2026</v>
      </c>
      <c r="S5661" t="s">
        <v>6099</v>
      </c>
      <c r="T5661">
        <v>1</v>
      </c>
      <c r="U5661" t="s">
        <v>6019</v>
      </c>
      <c r="V5661">
        <v>1</v>
      </c>
    </row>
    <row r="5662" spans="1:22" x14ac:dyDescent="0.3">
      <c r="A5662" t="s">
        <v>5677</v>
      </c>
      <c r="B5662" s="2">
        <v>46279.541666666664</v>
      </c>
      <c r="C5662" s="2">
        <v>46281.133333333331</v>
      </c>
      <c r="D5662" t="s">
        <v>6025</v>
      </c>
      <c r="E5662" t="s">
        <v>6029</v>
      </c>
      <c r="F5662" t="s">
        <v>6033</v>
      </c>
      <c r="G5662" t="s">
        <v>6066</v>
      </c>
      <c r="H5662" t="s">
        <v>6096</v>
      </c>
      <c r="I5662">
        <v>72</v>
      </c>
      <c r="J5662">
        <v>38.200000000000003</v>
      </c>
      <c r="K5662" t="s">
        <v>6100</v>
      </c>
      <c r="L5662" t="s">
        <v>6100</v>
      </c>
      <c r="M5662" t="s">
        <v>6099</v>
      </c>
      <c r="O5662" t="s">
        <v>6101</v>
      </c>
      <c r="P5662" t="s">
        <v>6115</v>
      </c>
      <c r="Q5662">
        <v>9</v>
      </c>
      <c r="R5662">
        <v>2026</v>
      </c>
      <c r="S5662" t="s">
        <v>6099</v>
      </c>
      <c r="T5662">
        <v>1</v>
      </c>
      <c r="U5662" t="s">
        <v>6019</v>
      </c>
      <c r="V5662">
        <v>0</v>
      </c>
    </row>
    <row r="5663" spans="1:22" x14ac:dyDescent="0.3">
      <c r="A5663" t="s">
        <v>5678</v>
      </c>
      <c r="B5663" s="2">
        <v>46279.563888888886</v>
      </c>
      <c r="C5663" s="2">
        <v>46279.734722222223</v>
      </c>
      <c r="D5663" t="s">
        <v>6023</v>
      </c>
      <c r="E5663" t="s">
        <v>6030</v>
      </c>
      <c r="F5663" t="s">
        <v>6033</v>
      </c>
      <c r="G5663" t="s">
        <v>6094</v>
      </c>
      <c r="H5663" t="s">
        <v>6098</v>
      </c>
      <c r="I5663">
        <v>72</v>
      </c>
      <c r="J5663">
        <v>4.0999999999999996</v>
      </c>
      <c r="K5663" t="s">
        <v>6100</v>
      </c>
      <c r="L5663" t="s">
        <v>6099</v>
      </c>
      <c r="M5663" t="s">
        <v>6100</v>
      </c>
      <c r="O5663" t="s">
        <v>6101</v>
      </c>
      <c r="P5663" t="s">
        <v>6115</v>
      </c>
      <c r="Q5663">
        <v>9</v>
      </c>
      <c r="R5663">
        <v>2026</v>
      </c>
      <c r="S5663" t="s">
        <v>6099</v>
      </c>
      <c r="T5663">
        <v>1</v>
      </c>
      <c r="U5663" t="s">
        <v>6019</v>
      </c>
      <c r="V5663">
        <v>0</v>
      </c>
    </row>
    <row r="5664" spans="1:22" x14ac:dyDescent="0.3">
      <c r="A5664" t="s">
        <v>5679</v>
      </c>
      <c r="B5664" s="2">
        <v>46279.568749999999</v>
      </c>
      <c r="C5664" s="2">
        <v>46281.864583333336</v>
      </c>
      <c r="D5664" t="s">
        <v>6022</v>
      </c>
      <c r="E5664" t="s">
        <v>6032</v>
      </c>
      <c r="F5664" t="s">
        <v>6033</v>
      </c>
      <c r="G5664" t="s">
        <v>6047</v>
      </c>
      <c r="H5664" t="s">
        <v>6098</v>
      </c>
      <c r="I5664">
        <v>72</v>
      </c>
      <c r="J5664">
        <v>55.1</v>
      </c>
      <c r="K5664" t="s">
        <v>6100</v>
      </c>
      <c r="L5664" t="s">
        <v>6099</v>
      </c>
      <c r="M5664" t="s">
        <v>6100</v>
      </c>
      <c r="N5664">
        <v>2</v>
      </c>
      <c r="O5664" t="s">
        <v>6101</v>
      </c>
      <c r="P5664" t="s">
        <v>6115</v>
      </c>
      <c r="Q5664">
        <v>9</v>
      </c>
      <c r="R5664">
        <v>2026</v>
      </c>
      <c r="S5664" t="s">
        <v>6099</v>
      </c>
      <c r="T5664">
        <v>1</v>
      </c>
      <c r="U5664" t="s">
        <v>6019</v>
      </c>
      <c r="V5664">
        <v>0</v>
      </c>
    </row>
    <row r="5665" spans="1:22" x14ac:dyDescent="0.3">
      <c r="A5665" t="s">
        <v>5680</v>
      </c>
      <c r="B5665" s="2">
        <v>46279.583333333336</v>
      </c>
      <c r="C5665" s="2">
        <v>46279.9375</v>
      </c>
      <c r="D5665" t="s">
        <v>6027</v>
      </c>
      <c r="E5665" t="s">
        <v>6032</v>
      </c>
      <c r="F5665" t="s">
        <v>6034</v>
      </c>
      <c r="G5665" t="s">
        <v>6071</v>
      </c>
      <c r="H5665" t="s">
        <v>6098</v>
      </c>
      <c r="I5665">
        <v>24</v>
      </c>
      <c r="J5665">
        <v>8.5</v>
      </c>
      <c r="K5665" t="s">
        <v>6099</v>
      </c>
      <c r="L5665" t="s">
        <v>6100</v>
      </c>
      <c r="M5665" t="s">
        <v>6100</v>
      </c>
      <c r="O5665" t="s">
        <v>6101</v>
      </c>
      <c r="P5665" t="s">
        <v>6115</v>
      </c>
      <c r="Q5665">
        <v>9</v>
      </c>
      <c r="R5665">
        <v>2026</v>
      </c>
      <c r="S5665" t="s">
        <v>6099</v>
      </c>
      <c r="T5665">
        <v>1</v>
      </c>
      <c r="U5665" t="s">
        <v>6019</v>
      </c>
      <c r="V5665">
        <v>1</v>
      </c>
    </row>
    <row r="5666" spans="1:22" x14ac:dyDescent="0.3">
      <c r="A5666" t="s">
        <v>5681</v>
      </c>
      <c r="B5666" s="2">
        <v>46279.592361111114</v>
      </c>
      <c r="C5666" s="2">
        <v>46279.804861111108</v>
      </c>
      <c r="D5666" t="s">
        <v>6028</v>
      </c>
      <c r="E5666" t="s">
        <v>6030</v>
      </c>
      <c r="F5666" t="s">
        <v>6035</v>
      </c>
      <c r="G5666" t="s">
        <v>6083</v>
      </c>
      <c r="H5666" t="s">
        <v>6096</v>
      </c>
      <c r="I5666">
        <v>4</v>
      </c>
      <c r="J5666">
        <v>5.0999999999999996</v>
      </c>
      <c r="K5666" t="s">
        <v>6100</v>
      </c>
      <c r="L5666" t="s">
        <v>6100</v>
      </c>
      <c r="M5666" t="s">
        <v>6099</v>
      </c>
      <c r="N5666">
        <v>2</v>
      </c>
      <c r="O5666" t="s">
        <v>6101</v>
      </c>
      <c r="P5666" t="s">
        <v>6115</v>
      </c>
      <c r="Q5666">
        <v>9</v>
      </c>
      <c r="R5666">
        <v>2026</v>
      </c>
      <c r="S5666" t="s">
        <v>6100</v>
      </c>
      <c r="T5666">
        <v>0</v>
      </c>
      <c r="U5666" t="s">
        <v>6021</v>
      </c>
      <c r="V5666">
        <v>0</v>
      </c>
    </row>
    <row r="5667" spans="1:22" x14ac:dyDescent="0.3">
      <c r="A5667" t="s">
        <v>5682</v>
      </c>
      <c r="B5667" s="2">
        <v>46279.626388888886</v>
      </c>
      <c r="C5667" s="2">
        <v>46279.772222222222</v>
      </c>
      <c r="D5667" t="s">
        <v>6023</v>
      </c>
      <c r="E5667" t="s">
        <v>6029</v>
      </c>
      <c r="F5667" t="s">
        <v>6034</v>
      </c>
      <c r="G5667" t="s">
        <v>6058</v>
      </c>
      <c r="H5667" t="s">
        <v>6098</v>
      </c>
      <c r="I5667">
        <v>24</v>
      </c>
      <c r="J5667">
        <v>3.5</v>
      </c>
      <c r="K5667" t="s">
        <v>6099</v>
      </c>
      <c r="L5667" t="s">
        <v>6100</v>
      </c>
      <c r="M5667" t="s">
        <v>6100</v>
      </c>
      <c r="N5667">
        <v>5</v>
      </c>
      <c r="O5667" t="s">
        <v>6101</v>
      </c>
      <c r="P5667" t="s">
        <v>6115</v>
      </c>
      <c r="Q5667">
        <v>9</v>
      </c>
      <c r="R5667">
        <v>2026</v>
      </c>
      <c r="S5667" t="s">
        <v>6099</v>
      </c>
      <c r="T5667">
        <v>1</v>
      </c>
      <c r="U5667" t="s">
        <v>6021</v>
      </c>
      <c r="V5667">
        <v>1</v>
      </c>
    </row>
    <row r="5668" spans="1:22" x14ac:dyDescent="0.3">
      <c r="A5668" t="s">
        <v>5683</v>
      </c>
      <c r="B5668" s="2">
        <v>46279.695833333331</v>
      </c>
      <c r="C5668" s="2">
        <v>46282.64166666667</v>
      </c>
      <c r="D5668" t="s">
        <v>6026</v>
      </c>
      <c r="E5668" t="s">
        <v>6032</v>
      </c>
      <c r="F5668" t="s">
        <v>6034</v>
      </c>
      <c r="G5668" t="s">
        <v>6044</v>
      </c>
      <c r="H5668" t="s">
        <v>6097</v>
      </c>
      <c r="I5668">
        <v>24</v>
      </c>
      <c r="J5668">
        <v>70.7</v>
      </c>
      <c r="K5668" t="s">
        <v>6100</v>
      </c>
      <c r="L5668" t="s">
        <v>6100</v>
      </c>
      <c r="M5668" t="s">
        <v>6100</v>
      </c>
      <c r="N5668">
        <v>5</v>
      </c>
      <c r="O5668" t="s">
        <v>6101</v>
      </c>
      <c r="P5668" t="s">
        <v>6115</v>
      </c>
      <c r="Q5668">
        <v>9</v>
      </c>
      <c r="R5668">
        <v>2026</v>
      </c>
      <c r="S5668" t="s">
        <v>6100</v>
      </c>
      <c r="T5668">
        <v>0</v>
      </c>
      <c r="U5668" t="s">
        <v>6017</v>
      </c>
      <c r="V5668">
        <v>0</v>
      </c>
    </row>
    <row r="5669" spans="1:22" x14ac:dyDescent="0.3">
      <c r="A5669" t="s">
        <v>5684</v>
      </c>
      <c r="B5669" s="2">
        <v>46279.742361111108</v>
      </c>
      <c r="C5669" s="2">
        <v>46280.179861111108</v>
      </c>
      <c r="D5669" t="s">
        <v>6022</v>
      </c>
      <c r="E5669" t="s">
        <v>6029</v>
      </c>
      <c r="F5669" t="s">
        <v>6034</v>
      </c>
      <c r="G5669" t="s">
        <v>6048</v>
      </c>
      <c r="H5669" t="s">
        <v>6096</v>
      </c>
      <c r="I5669">
        <v>24</v>
      </c>
      <c r="J5669">
        <v>10.5</v>
      </c>
      <c r="K5669" t="s">
        <v>6099</v>
      </c>
      <c r="L5669" t="s">
        <v>6100</v>
      </c>
      <c r="M5669" t="s">
        <v>6100</v>
      </c>
      <c r="N5669">
        <v>5</v>
      </c>
      <c r="O5669" t="s">
        <v>6101</v>
      </c>
      <c r="P5669" t="s">
        <v>6115</v>
      </c>
      <c r="Q5669">
        <v>9</v>
      </c>
      <c r="R5669">
        <v>2026</v>
      </c>
      <c r="S5669" t="s">
        <v>6099</v>
      </c>
      <c r="T5669">
        <v>1</v>
      </c>
      <c r="U5669" t="s">
        <v>6019</v>
      </c>
      <c r="V5669">
        <v>1</v>
      </c>
    </row>
    <row r="5670" spans="1:22" x14ac:dyDescent="0.3">
      <c r="A5670" t="s">
        <v>5685</v>
      </c>
      <c r="B5670" s="2">
        <v>46279.968055555553</v>
      </c>
      <c r="C5670" s="2">
        <v>46281.113888888889</v>
      </c>
      <c r="D5670" t="s">
        <v>6025</v>
      </c>
      <c r="E5670" t="s">
        <v>6031</v>
      </c>
      <c r="F5670" t="s">
        <v>6034</v>
      </c>
      <c r="G5670" t="s">
        <v>6076</v>
      </c>
      <c r="H5670" t="s">
        <v>6097</v>
      </c>
      <c r="I5670">
        <v>24</v>
      </c>
      <c r="J5670">
        <v>27.5</v>
      </c>
      <c r="K5670" t="s">
        <v>6099</v>
      </c>
      <c r="L5670" t="s">
        <v>6100</v>
      </c>
      <c r="M5670" t="s">
        <v>6100</v>
      </c>
      <c r="O5670" t="s">
        <v>6101</v>
      </c>
      <c r="P5670" t="s">
        <v>6115</v>
      </c>
      <c r="Q5670">
        <v>9</v>
      </c>
      <c r="R5670">
        <v>2026</v>
      </c>
      <c r="S5670" t="s">
        <v>6100</v>
      </c>
      <c r="T5670">
        <v>0</v>
      </c>
      <c r="U5670" t="s">
        <v>6020</v>
      </c>
      <c r="V5670">
        <v>1</v>
      </c>
    </row>
    <row r="5671" spans="1:22" x14ac:dyDescent="0.3">
      <c r="A5671" t="s">
        <v>5686</v>
      </c>
      <c r="B5671" s="2">
        <v>46280.277777777781</v>
      </c>
      <c r="C5671" s="2">
        <v>46280.590277777781</v>
      </c>
      <c r="D5671" t="s">
        <v>6023</v>
      </c>
      <c r="E5671" t="s">
        <v>6032</v>
      </c>
      <c r="F5671" t="s">
        <v>6034</v>
      </c>
      <c r="G5671" t="s">
        <v>6079</v>
      </c>
      <c r="H5671" t="s">
        <v>6097</v>
      </c>
      <c r="I5671">
        <v>24</v>
      </c>
      <c r="J5671">
        <v>7.5</v>
      </c>
      <c r="K5671" t="s">
        <v>6100</v>
      </c>
      <c r="L5671" t="s">
        <v>6099</v>
      </c>
      <c r="M5671" t="s">
        <v>6100</v>
      </c>
      <c r="O5671" t="s">
        <v>6101</v>
      </c>
      <c r="P5671" t="s">
        <v>6115</v>
      </c>
      <c r="Q5671">
        <v>9</v>
      </c>
      <c r="R5671">
        <v>2026</v>
      </c>
      <c r="S5671" t="s">
        <v>6099</v>
      </c>
      <c r="T5671">
        <v>1</v>
      </c>
      <c r="U5671" t="s">
        <v>6018</v>
      </c>
      <c r="V5671">
        <v>0</v>
      </c>
    </row>
    <row r="5672" spans="1:22" x14ac:dyDescent="0.3">
      <c r="A5672" t="s">
        <v>5687</v>
      </c>
      <c r="B5672" s="2">
        <v>46280.378472222219</v>
      </c>
      <c r="C5672" s="2">
        <v>46280.870138888888</v>
      </c>
      <c r="D5672" t="s">
        <v>6028</v>
      </c>
      <c r="E5672" t="s">
        <v>6031</v>
      </c>
      <c r="F5672" t="s">
        <v>6035</v>
      </c>
      <c r="G5672" t="s">
        <v>6068</v>
      </c>
      <c r="H5672" t="s">
        <v>6098</v>
      </c>
      <c r="I5672">
        <v>4</v>
      </c>
      <c r="J5672">
        <v>11.8</v>
      </c>
      <c r="K5672" t="s">
        <v>6099</v>
      </c>
      <c r="L5672" t="s">
        <v>6100</v>
      </c>
      <c r="M5672" t="s">
        <v>6100</v>
      </c>
      <c r="N5672">
        <v>3</v>
      </c>
      <c r="O5672" t="s">
        <v>6101</v>
      </c>
      <c r="P5672" t="s">
        <v>6115</v>
      </c>
      <c r="Q5672">
        <v>9</v>
      </c>
      <c r="R5672">
        <v>2026</v>
      </c>
      <c r="S5672" t="s">
        <v>6100</v>
      </c>
      <c r="T5672">
        <v>0</v>
      </c>
      <c r="U5672" t="s">
        <v>6018</v>
      </c>
      <c r="V5672">
        <v>1</v>
      </c>
    </row>
    <row r="5673" spans="1:22" x14ac:dyDescent="0.3">
      <c r="A5673" t="s">
        <v>5688</v>
      </c>
      <c r="B5673" s="2">
        <v>46280.414583333331</v>
      </c>
      <c r="C5673" s="2">
        <v>46280.518750000003</v>
      </c>
      <c r="D5673" t="s">
        <v>6027</v>
      </c>
      <c r="E5673" t="s">
        <v>6030</v>
      </c>
      <c r="F5673" t="s">
        <v>6034</v>
      </c>
      <c r="G5673" t="s">
        <v>6081</v>
      </c>
      <c r="H5673" t="s">
        <v>6098</v>
      </c>
      <c r="I5673">
        <v>24</v>
      </c>
      <c r="J5673">
        <v>2.5</v>
      </c>
      <c r="K5673" t="s">
        <v>6099</v>
      </c>
      <c r="L5673" t="s">
        <v>6100</v>
      </c>
      <c r="M5673" t="s">
        <v>6100</v>
      </c>
      <c r="O5673" t="s">
        <v>6101</v>
      </c>
      <c r="P5673" t="s">
        <v>6115</v>
      </c>
      <c r="Q5673">
        <v>9</v>
      </c>
      <c r="R5673">
        <v>2026</v>
      </c>
      <c r="S5673" t="s">
        <v>6099</v>
      </c>
      <c r="T5673">
        <v>1</v>
      </c>
      <c r="U5673" t="s">
        <v>6021</v>
      </c>
      <c r="V5673">
        <v>1</v>
      </c>
    </row>
    <row r="5674" spans="1:22" x14ac:dyDescent="0.3">
      <c r="A5674" t="s">
        <v>5689</v>
      </c>
      <c r="B5674" s="2">
        <v>46280.416666666664</v>
      </c>
      <c r="C5674" s="2">
        <v>46283.258333333331</v>
      </c>
      <c r="D5674" t="s">
        <v>6026</v>
      </c>
      <c r="E5674" t="s">
        <v>6029</v>
      </c>
      <c r="F5674" t="s">
        <v>6035</v>
      </c>
      <c r="G5674" t="s">
        <v>6087</v>
      </c>
      <c r="H5674" t="s">
        <v>6098</v>
      </c>
      <c r="I5674">
        <v>4</v>
      </c>
      <c r="J5674">
        <v>68.2</v>
      </c>
      <c r="K5674" t="s">
        <v>6099</v>
      </c>
      <c r="L5674" t="s">
        <v>6100</v>
      </c>
      <c r="M5674" t="s">
        <v>6100</v>
      </c>
      <c r="N5674">
        <v>4</v>
      </c>
      <c r="O5674" t="s">
        <v>6101</v>
      </c>
      <c r="P5674" t="s">
        <v>6115</v>
      </c>
      <c r="Q5674">
        <v>9</v>
      </c>
      <c r="R5674">
        <v>2026</v>
      </c>
      <c r="S5674" t="s">
        <v>6100</v>
      </c>
      <c r="T5674">
        <v>0</v>
      </c>
      <c r="U5674" t="s">
        <v>6018</v>
      </c>
      <c r="V5674">
        <v>1</v>
      </c>
    </row>
    <row r="5675" spans="1:22" x14ac:dyDescent="0.3">
      <c r="A5675" t="s">
        <v>5690</v>
      </c>
      <c r="B5675" s="2">
        <v>46280.422222222223</v>
      </c>
      <c r="C5675" s="2">
        <v>46281.226388888892</v>
      </c>
      <c r="D5675" t="s">
        <v>6028</v>
      </c>
      <c r="E5675" t="s">
        <v>6029</v>
      </c>
      <c r="F5675" t="s">
        <v>6035</v>
      </c>
      <c r="G5675" t="s">
        <v>6055</v>
      </c>
      <c r="H5675" t="s">
        <v>6096</v>
      </c>
      <c r="I5675">
        <v>4</v>
      </c>
      <c r="J5675">
        <v>19.3</v>
      </c>
      <c r="K5675" t="s">
        <v>6099</v>
      </c>
      <c r="L5675" t="s">
        <v>6100</v>
      </c>
      <c r="M5675" t="s">
        <v>6100</v>
      </c>
      <c r="N5675">
        <v>4</v>
      </c>
      <c r="O5675" t="s">
        <v>6101</v>
      </c>
      <c r="P5675" t="s">
        <v>6115</v>
      </c>
      <c r="Q5675">
        <v>9</v>
      </c>
      <c r="R5675">
        <v>2026</v>
      </c>
      <c r="S5675" t="s">
        <v>6100</v>
      </c>
      <c r="T5675">
        <v>0</v>
      </c>
      <c r="U5675" t="s">
        <v>6017</v>
      </c>
      <c r="V5675">
        <v>1</v>
      </c>
    </row>
    <row r="5676" spans="1:22" x14ac:dyDescent="0.3">
      <c r="A5676" t="s">
        <v>5691</v>
      </c>
      <c r="B5676" s="2">
        <v>46280.438888888886</v>
      </c>
      <c r="C5676" s="2">
        <v>46281.926388888889</v>
      </c>
      <c r="D5676" t="s">
        <v>6027</v>
      </c>
      <c r="E5676" t="s">
        <v>6032</v>
      </c>
      <c r="F5676" t="s">
        <v>6034</v>
      </c>
      <c r="G5676" t="s">
        <v>6064</v>
      </c>
      <c r="H5676" t="s">
        <v>6096</v>
      </c>
      <c r="I5676">
        <v>24</v>
      </c>
      <c r="J5676">
        <v>35.700000000000003</v>
      </c>
      <c r="K5676" t="s">
        <v>6100</v>
      </c>
      <c r="L5676" t="s">
        <v>6100</v>
      </c>
      <c r="M5676" t="s">
        <v>6100</v>
      </c>
      <c r="N5676">
        <v>4</v>
      </c>
      <c r="O5676" t="s">
        <v>6101</v>
      </c>
      <c r="P5676" t="s">
        <v>6115</v>
      </c>
      <c r="Q5676">
        <v>9</v>
      </c>
      <c r="R5676">
        <v>2026</v>
      </c>
      <c r="S5676" t="s">
        <v>6100</v>
      </c>
      <c r="T5676">
        <v>0</v>
      </c>
      <c r="U5676" t="s">
        <v>6019</v>
      </c>
      <c r="V5676">
        <v>0</v>
      </c>
    </row>
    <row r="5677" spans="1:22" x14ac:dyDescent="0.3">
      <c r="A5677" t="s">
        <v>5692</v>
      </c>
      <c r="B5677" s="2">
        <v>46280.45208333333</v>
      </c>
      <c r="C5677" s="2">
        <v>46281.652083333334</v>
      </c>
      <c r="D5677" t="s">
        <v>6024</v>
      </c>
      <c r="E5677" t="s">
        <v>6031</v>
      </c>
      <c r="F5677" t="s">
        <v>6034</v>
      </c>
      <c r="G5677" t="s">
        <v>6081</v>
      </c>
      <c r="H5677" t="s">
        <v>6098</v>
      </c>
      <c r="I5677">
        <v>24</v>
      </c>
      <c r="J5677">
        <v>28.8</v>
      </c>
      <c r="K5677" t="s">
        <v>6100</v>
      </c>
      <c r="L5677" t="s">
        <v>6100</v>
      </c>
      <c r="M5677" t="s">
        <v>6100</v>
      </c>
      <c r="N5677">
        <v>3</v>
      </c>
      <c r="O5677" t="s">
        <v>6101</v>
      </c>
      <c r="P5677" t="s">
        <v>6115</v>
      </c>
      <c r="Q5677">
        <v>9</v>
      </c>
      <c r="R5677">
        <v>2026</v>
      </c>
      <c r="S5677" t="s">
        <v>6100</v>
      </c>
      <c r="T5677">
        <v>0</v>
      </c>
      <c r="U5677" t="s">
        <v>6020</v>
      </c>
      <c r="V5677">
        <v>0</v>
      </c>
    </row>
    <row r="5678" spans="1:22" x14ac:dyDescent="0.3">
      <c r="A5678" t="s">
        <v>5693</v>
      </c>
      <c r="B5678" s="2">
        <v>46280.486805555556</v>
      </c>
      <c r="C5678" s="2">
        <v>46281.236805555556</v>
      </c>
      <c r="D5678" t="s">
        <v>6028</v>
      </c>
      <c r="E5678" t="s">
        <v>6031</v>
      </c>
      <c r="F5678" t="s">
        <v>6035</v>
      </c>
      <c r="G5678" t="s">
        <v>6060</v>
      </c>
      <c r="H5678" t="s">
        <v>6097</v>
      </c>
      <c r="I5678">
        <v>4</v>
      </c>
      <c r="J5678">
        <v>18</v>
      </c>
      <c r="K5678" t="s">
        <v>6099</v>
      </c>
      <c r="L5678" t="s">
        <v>6100</v>
      </c>
      <c r="M5678" t="s">
        <v>6099</v>
      </c>
      <c r="N5678">
        <v>4</v>
      </c>
      <c r="O5678" t="s">
        <v>6101</v>
      </c>
      <c r="P5678" t="s">
        <v>6115</v>
      </c>
      <c r="Q5678">
        <v>9</v>
      </c>
      <c r="R5678">
        <v>2026</v>
      </c>
      <c r="S5678" t="s">
        <v>6100</v>
      </c>
      <c r="T5678">
        <v>0</v>
      </c>
      <c r="U5678" t="s">
        <v>6018</v>
      </c>
      <c r="V5678">
        <v>1</v>
      </c>
    </row>
    <row r="5679" spans="1:22" x14ac:dyDescent="0.3">
      <c r="A5679" t="s">
        <v>5694</v>
      </c>
      <c r="B5679" s="2">
        <v>46280.496527777781</v>
      </c>
      <c r="C5679" s="2">
        <v>46280.613194444442</v>
      </c>
      <c r="D5679" t="s">
        <v>6028</v>
      </c>
      <c r="E5679" t="s">
        <v>6029</v>
      </c>
      <c r="F5679" t="s">
        <v>6034</v>
      </c>
      <c r="G5679" t="s">
        <v>6079</v>
      </c>
      <c r="H5679" t="s">
        <v>6097</v>
      </c>
      <c r="I5679">
        <v>24</v>
      </c>
      <c r="J5679">
        <v>2.8</v>
      </c>
      <c r="K5679" t="s">
        <v>6099</v>
      </c>
      <c r="L5679" t="s">
        <v>6100</v>
      </c>
      <c r="M5679" t="s">
        <v>6100</v>
      </c>
      <c r="N5679">
        <v>5</v>
      </c>
      <c r="O5679" t="s">
        <v>6101</v>
      </c>
      <c r="P5679" t="s">
        <v>6115</v>
      </c>
      <c r="Q5679">
        <v>9</v>
      </c>
      <c r="R5679">
        <v>2026</v>
      </c>
      <c r="S5679" t="s">
        <v>6099</v>
      </c>
      <c r="T5679">
        <v>1</v>
      </c>
      <c r="U5679" t="s">
        <v>6020</v>
      </c>
      <c r="V5679">
        <v>1</v>
      </c>
    </row>
    <row r="5680" spans="1:22" x14ac:dyDescent="0.3">
      <c r="A5680" t="s">
        <v>5695</v>
      </c>
      <c r="B5680" s="2">
        <v>46280.498611111114</v>
      </c>
      <c r="C5680" s="2">
        <v>46281.152777777781</v>
      </c>
      <c r="D5680" t="s">
        <v>6028</v>
      </c>
      <c r="E5680" t="s">
        <v>6029</v>
      </c>
      <c r="F5680" t="s">
        <v>6034</v>
      </c>
      <c r="G5680" t="s">
        <v>6059</v>
      </c>
      <c r="H5680" t="s">
        <v>6097</v>
      </c>
      <c r="I5680">
        <v>24</v>
      </c>
      <c r="J5680">
        <v>15.7</v>
      </c>
      <c r="K5680" t="s">
        <v>6099</v>
      </c>
      <c r="L5680" t="s">
        <v>6100</v>
      </c>
      <c r="M5680" t="s">
        <v>6100</v>
      </c>
      <c r="N5680">
        <v>5</v>
      </c>
      <c r="O5680" t="s">
        <v>6101</v>
      </c>
      <c r="P5680" t="s">
        <v>6115</v>
      </c>
      <c r="Q5680">
        <v>9</v>
      </c>
      <c r="R5680">
        <v>2026</v>
      </c>
      <c r="S5680" t="s">
        <v>6099</v>
      </c>
      <c r="T5680">
        <v>1</v>
      </c>
      <c r="U5680" t="s">
        <v>6017</v>
      </c>
      <c r="V5680">
        <v>1</v>
      </c>
    </row>
    <row r="5681" spans="1:22" x14ac:dyDescent="0.3">
      <c r="A5681" t="s">
        <v>5696</v>
      </c>
      <c r="B5681" s="2">
        <v>46280.502083333333</v>
      </c>
      <c r="C5681" s="2">
        <v>46280.67291666667</v>
      </c>
      <c r="D5681" t="s">
        <v>6023</v>
      </c>
      <c r="E5681" t="s">
        <v>6030</v>
      </c>
      <c r="F5681" t="s">
        <v>6034</v>
      </c>
      <c r="G5681" t="s">
        <v>6064</v>
      </c>
      <c r="H5681" t="s">
        <v>6096</v>
      </c>
      <c r="I5681">
        <v>24</v>
      </c>
      <c r="J5681">
        <v>4.0999999999999996</v>
      </c>
      <c r="K5681" t="s">
        <v>6100</v>
      </c>
      <c r="L5681" t="s">
        <v>6100</v>
      </c>
      <c r="M5681" t="s">
        <v>6100</v>
      </c>
      <c r="O5681" t="s">
        <v>6101</v>
      </c>
      <c r="P5681" t="s">
        <v>6115</v>
      </c>
      <c r="Q5681">
        <v>9</v>
      </c>
      <c r="R5681">
        <v>2026</v>
      </c>
      <c r="S5681" t="s">
        <v>6099</v>
      </c>
      <c r="T5681">
        <v>1</v>
      </c>
      <c r="U5681" t="s">
        <v>6021</v>
      </c>
      <c r="V5681">
        <v>0</v>
      </c>
    </row>
    <row r="5682" spans="1:22" x14ac:dyDescent="0.3">
      <c r="A5682" t="s">
        <v>5697</v>
      </c>
      <c r="B5682" s="2">
        <v>46280.511111111111</v>
      </c>
      <c r="C5682" s="2">
        <v>46281.211111111108</v>
      </c>
      <c r="D5682" t="s">
        <v>6028</v>
      </c>
      <c r="E5682" t="s">
        <v>6029</v>
      </c>
      <c r="F5682" t="s">
        <v>6035</v>
      </c>
      <c r="G5682" t="s">
        <v>6072</v>
      </c>
      <c r="H5682" t="s">
        <v>6097</v>
      </c>
      <c r="I5682">
        <v>4</v>
      </c>
      <c r="J5682">
        <v>16.8</v>
      </c>
      <c r="K5682" t="s">
        <v>6099</v>
      </c>
      <c r="L5682" t="s">
        <v>6100</v>
      </c>
      <c r="M5682" t="s">
        <v>6100</v>
      </c>
      <c r="N5682">
        <v>3</v>
      </c>
      <c r="O5682" t="s">
        <v>6101</v>
      </c>
      <c r="P5682" t="s">
        <v>6115</v>
      </c>
      <c r="Q5682">
        <v>9</v>
      </c>
      <c r="R5682">
        <v>2026</v>
      </c>
      <c r="S5682" t="s">
        <v>6100</v>
      </c>
      <c r="T5682">
        <v>0</v>
      </c>
      <c r="U5682" t="s">
        <v>6021</v>
      </c>
      <c r="V5682">
        <v>1</v>
      </c>
    </row>
    <row r="5683" spans="1:22" x14ac:dyDescent="0.3">
      <c r="A5683" t="s">
        <v>5698</v>
      </c>
      <c r="B5683" s="2">
        <v>46280.520833333336</v>
      </c>
      <c r="C5683" s="2">
        <v>46280.9</v>
      </c>
      <c r="D5683" t="s">
        <v>6023</v>
      </c>
      <c r="E5683" t="s">
        <v>6029</v>
      </c>
      <c r="F5683" t="s">
        <v>6034</v>
      </c>
      <c r="G5683" t="s">
        <v>6074</v>
      </c>
      <c r="H5683" t="s">
        <v>6098</v>
      </c>
      <c r="I5683">
        <v>24</v>
      </c>
      <c r="J5683">
        <v>9.1</v>
      </c>
      <c r="K5683" t="s">
        <v>6100</v>
      </c>
      <c r="L5683" t="s">
        <v>6100</v>
      </c>
      <c r="M5683" t="s">
        <v>6099</v>
      </c>
      <c r="N5683">
        <v>5</v>
      </c>
      <c r="O5683" t="s">
        <v>6101</v>
      </c>
      <c r="P5683" t="s">
        <v>6115</v>
      </c>
      <c r="Q5683">
        <v>9</v>
      </c>
      <c r="R5683">
        <v>2026</v>
      </c>
      <c r="S5683" t="s">
        <v>6099</v>
      </c>
      <c r="T5683">
        <v>1</v>
      </c>
      <c r="U5683" t="s">
        <v>6017</v>
      </c>
      <c r="V5683">
        <v>0</v>
      </c>
    </row>
    <row r="5684" spans="1:22" x14ac:dyDescent="0.3">
      <c r="A5684" t="s">
        <v>5699</v>
      </c>
      <c r="B5684" s="2">
        <v>46280.522916666669</v>
      </c>
      <c r="C5684" s="2">
        <v>46280.960416666669</v>
      </c>
      <c r="D5684" t="s">
        <v>6027</v>
      </c>
      <c r="E5684" t="s">
        <v>6029</v>
      </c>
      <c r="F5684" t="s">
        <v>6034</v>
      </c>
      <c r="G5684" t="s">
        <v>6036</v>
      </c>
      <c r="H5684" t="s">
        <v>6096</v>
      </c>
      <c r="I5684">
        <v>24</v>
      </c>
      <c r="J5684">
        <v>10.5</v>
      </c>
      <c r="K5684" t="s">
        <v>6099</v>
      </c>
      <c r="L5684" t="s">
        <v>6100</v>
      </c>
      <c r="M5684" t="s">
        <v>6100</v>
      </c>
      <c r="N5684">
        <v>4</v>
      </c>
      <c r="O5684" t="s">
        <v>6101</v>
      </c>
      <c r="P5684" t="s">
        <v>6115</v>
      </c>
      <c r="Q5684">
        <v>9</v>
      </c>
      <c r="R5684">
        <v>2026</v>
      </c>
      <c r="S5684" t="s">
        <v>6099</v>
      </c>
      <c r="T5684">
        <v>1</v>
      </c>
      <c r="U5684" t="s">
        <v>6019</v>
      </c>
      <c r="V5684">
        <v>1</v>
      </c>
    </row>
    <row r="5685" spans="1:22" x14ac:dyDescent="0.3">
      <c r="A5685" t="s">
        <v>5700</v>
      </c>
      <c r="B5685" s="2">
        <v>46280.552083333336</v>
      </c>
      <c r="C5685" s="2">
        <v>46284.914583333331</v>
      </c>
      <c r="D5685" t="s">
        <v>6025</v>
      </c>
      <c r="E5685" t="s">
        <v>6031</v>
      </c>
      <c r="F5685" t="s">
        <v>6034</v>
      </c>
      <c r="G5685" t="s">
        <v>6064</v>
      </c>
      <c r="H5685" t="s">
        <v>6096</v>
      </c>
      <c r="I5685">
        <v>24</v>
      </c>
      <c r="J5685">
        <v>104.7</v>
      </c>
      <c r="K5685" t="s">
        <v>6100</v>
      </c>
      <c r="L5685" t="s">
        <v>6099</v>
      </c>
      <c r="M5685" t="s">
        <v>6100</v>
      </c>
      <c r="O5685" t="s">
        <v>6101</v>
      </c>
      <c r="P5685" t="s">
        <v>6115</v>
      </c>
      <c r="Q5685">
        <v>9</v>
      </c>
      <c r="R5685">
        <v>2026</v>
      </c>
      <c r="S5685" t="s">
        <v>6100</v>
      </c>
      <c r="T5685">
        <v>0</v>
      </c>
      <c r="U5685" t="s">
        <v>6021</v>
      </c>
      <c r="V5685">
        <v>0</v>
      </c>
    </row>
    <row r="5686" spans="1:22" x14ac:dyDescent="0.3">
      <c r="A5686" t="s">
        <v>5701</v>
      </c>
      <c r="B5686" s="2">
        <v>46280.552083333336</v>
      </c>
      <c r="C5686" s="2">
        <v>46281.09375</v>
      </c>
      <c r="D5686" t="s">
        <v>6023</v>
      </c>
      <c r="E5686" t="s">
        <v>6029</v>
      </c>
      <c r="F5686" t="s">
        <v>6033</v>
      </c>
      <c r="G5686" t="s">
        <v>6038</v>
      </c>
      <c r="H5686" t="s">
        <v>6096</v>
      </c>
      <c r="I5686">
        <v>72</v>
      </c>
      <c r="J5686">
        <v>13</v>
      </c>
      <c r="K5686" t="s">
        <v>6100</v>
      </c>
      <c r="L5686" t="s">
        <v>6100</v>
      </c>
      <c r="M5686" t="s">
        <v>6100</v>
      </c>
      <c r="N5686">
        <v>5</v>
      </c>
      <c r="O5686" t="s">
        <v>6101</v>
      </c>
      <c r="P5686" t="s">
        <v>6115</v>
      </c>
      <c r="Q5686">
        <v>9</v>
      </c>
      <c r="R5686">
        <v>2026</v>
      </c>
      <c r="S5686" t="s">
        <v>6099</v>
      </c>
      <c r="T5686">
        <v>1</v>
      </c>
      <c r="U5686" t="s">
        <v>6020</v>
      </c>
      <c r="V5686">
        <v>0</v>
      </c>
    </row>
    <row r="5687" spans="1:22" x14ac:dyDescent="0.3">
      <c r="A5687" t="s">
        <v>5702</v>
      </c>
      <c r="B5687" s="2">
        <v>46280.556944444441</v>
      </c>
      <c r="C5687" s="2">
        <v>46280.75277777778</v>
      </c>
      <c r="D5687" t="s">
        <v>6022</v>
      </c>
      <c r="E5687" t="s">
        <v>6029</v>
      </c>
      <c r="F5687" t="s">
        <v>6034</v>
      </c>
      <c r="G5687" t="s">
        <v>6093</v>
      </c>
      <c r="H5687" t="s">
        <v>6097</v>
      </c>
      <c r="I5687">
        <v>24</v>
      </c>
      <c r="J5687">
        <v>4.7</v>
      </c>
      <c r="K5687" t="s">
        <v>6100</v>
      </c>
      <c r="L5687" t="s">
        <v>6100</v>
      </c>
      <c r="M5687" t="s">
        <v>6100</v>
      </c>
      <c r="O5687" t="s">
        <v>6101</v>
      </c>
      <c r="P5687" t="s">
        <v>6115</v>
      </c>
      <c r="Q5687">
        <v>9</v>
      </c>
      <c r="R5687">
        <v>2026</v>
      </c>
      <c r="S5687" t="s">
        <v>6099</v>
      </c>
      <c r="T5687">
        <v>1</v>
      </c>
      <c r="U5687" t="s">
        <v>6019</v>
      </c>
      <c r="V5687">
        <v>0</v>
      </c>
    </row>
    <row r="5688" spans="1:22" x14ac:dyDescent="0.3">
      <c r="A5688" t="s">
        <v>5703</v>
      </c>
      <c r="B5688" s="2">
        <v>46280.580555555556</v>
      </c>
      <c r="C5688" s="2">
        <v>46281.751388888886</v>
      </c>
      <c r="D5688" t="s">
        <v>6022</v>
      </c>
      <c r="E5688" t="s">
        <v>6032</v>
      </c>
      <c r="F5688" t="s">
        <v>6034</v>
      </c>
      <c r="G5688" t="s">
        <v>6091</v>
      </c>
      <c r="H5688" t="s">
        <v>6097</v>
      </c>
      <c r="I5688">
        <v>24</v>
      </c>
      <c r="J5688">
        <v>28.1</v>
      </c>
      <c r="K5688" t="s">
        <v>6100</v>
      </c>
      <c r="L5688" t="s">
        <v>6099</v>
      </c>
      <c r="M5688" t="s">
        <v>6100</v>
      </c>
      <c r="O5688" t="s">
        <v>6101</v>
      </c>
      <c r="P5688" t="s">
        <v>6115</v>
      </c>
      <c r="Q5688">
        <v>9</v>
      </c>
      <c r="R5688">
        <v>2026</v>
      </c>
      <c r="S5688" t="s">
        <v>6100</v>
      </c>
      <c r="T5688">
        <v>0</v>
      </c>
      <c r="U5688" t="s">
        <v>6020</v>
      </c>
      <c r="V5688">
        <v>0</v>
      </c>
    </row>
    <row r="5689" spans="1:22" x14ac:dyDescent="0.3">
      <c r="A5689" t="s">
        <v>5704</v>
      </c>
      <c r="B5689" s="2">
        <v>46280.6</v>
      </c>
      <c r="C5689" s="2">
        <v>46280.854166666664</v>
      </c>
      <c r="D5689" t="s">
        <v>6024</v>
      </c>
      <c r="E5689" t="s">
        <v>6030</v>
      </c>
      <c r="F5689" t="s">
        <v>6034</v>
      </c>
      <c r="G5689" t="s">
        <v>6080</v>
      </c>
      <c r="H5689" t="s">
        <v>6096</v>
      </c>
      <c r="I5689">
        <v>24</v>
      </c>
      <c r="J5689">
        <v>6.1</v>
      </c>
      <c r="K5689" t="s">
        <v>6099</v>
      </c>
      <c r="L5689" t="s">
        <v>6100</v>
      </c>
      <c r="M5689" t="s">
        <v>6100</v>
      </c>
      <c r="O5689" t="s">
        <v>6101</v>
      </c>
      <c r="P5689" t="s">
        <v>6115</v>
      </c>
      <c r="Q5689">
        <v>9</v>
      </c>
      <c r="R5689">
        <v>2026</v>
      </c>
      <c r="S5689" t="s">
        <v>6099</v>
      </c>
      <c r="T5689">
        <v>1</v>
      </c>
      <c r="U5689" t="s">
        <v>6019</v>
      </c>
      <c r="V5689">
        <v>1</v>
      </c>
    </row>
    <row r="5690" spans="1:22" x14ac:dyDescent="0.3">
      <c r="A5690" t="s">
        <v>5705</v>
      </c>
      <c r="B5690" s="2">
        <v>46280.662499999999</v>
      </c>
      <c r="C5690" s="2">
        <v>46281.070833333331</v>
      </c>
      <c r="D5690" t="s">
        <v>6028</v>
      </c>
      <c r="E5690" t="s">
        <v>6030</v>
      </c>
      <c r="F5690" t="s">
        <v>6034</v>
      </c>
      <c r="G5690" t="s">
        <v>6061</v>
      </c>
      <c r="H5690" t="s">
        <v>6096</v>
      </c>
      <c r="I5690">
        <v>24</v>
      </c>
      <c r="J5690">
        <v>9.8000000000000007</v>
      </c>
      <c r="K5690" t="s">
        <v>6099</v>
      </c>
      <c r="L5690" t="s">
        <v>6100</v>
      </c>
      <c r="M5690" t="s">
        <v>6100</v>
      </c>
      <c r="N5690">
        <v>5</v>
      </c>
      <c r="O5690" t="s">
        <v>6101</v>
      </c>
      <c r="P5690" t="s">
        <v>6115</v>
      </c>
      <c r="Q5690">
        <v>9</v>
      </c>
      <c r="R5690">
        <v>2026</v>
      </c>
      <c r="S5690" t="s">
        <v>6099</v>
      </c>
      <c r="T5690">
        <v>1</v>
      </c>
      <c r="U5690" t="s">
        <v>6020</v>
      </c>
      <c r="V5690">
        <v>1</v>
      </c>
    </row>
    <row r="5691" spans="1:22" x14ac:dyDescent="0.3">
      <c r="A5691" t="s">
        <v>5706</v>
      </c>
      <c r="B5691" s="2">
        <v>46280.662499999999</v>
      </c>
      <c r="C5691" s="2">
        <v>46281.35833333333</v>
      </c>
      <c r="D5691" t="s">
        <v>6022</v>
      </c>
      <c r="E5691" t="s">
        <v>6029</v>
      </c>
      <c r="F5691" t="s">
        <v>6034</v>
      </c>
      <c r="G5691" t="s">
        <v>6049</v>
      </c>
      <c r="H5691" t="s">
        <v>6097</v>
      </c>
      <c r="I5691">
        <v>24</v>
      </c>
      <c r="J5691">
        <v>16.7</v>
      </c>
      <c r="K5691" t="s">
        <v>6099</v>
      </c>
      <c r="L5691" t="s">
        <v>6100</v>
      </c>
      <c r="M5691" t="s">
        <v>6100</v>
      </c>
      <c r="N5691">
        <v>4</v>
      </c>
      <c r="O5691" t="s">
        <v>6101</v>
      </c>
      <c r="P5691" t="s">
        <v>6115</v>
      </c>
      <c r="Q5691">
        <v>9</v>
      </c>
      <c r="R5691">
        <v>2026</v>
      </c>
      <c r="S5691" t="s">
        <v>6099</v>
      </c>
      <c r="T5691">
        <v>1</v>
      </c>
      <c r="U5691" t="s">
        <v>6017</v>
      </c>
      <c r="V5691">
        <v>1</v>
      </c>
    </row>
    <row r="5692" spans="1:22" x14ac:dyDescent="0.3">
      <c r="A5692" t="s">
        <v>5707</v>
      </c>
      <c r="B5692" s="2">
        <v>46280.663194444445</v>
      </c>
      <c r="C5692" s="2">
        <v>46281.542361111111</v>
      </c>
      <c r="D5692" t="s">
        <v>6026</v>
      </c>
      <c r="E5692" t="s">
        <v>6031</v>
      </c>
      <c r="F5692" t="s">
        <v>6033</v>
      </c>
      <c r="G5692" t="s">
        <v>6092</v>
      </c>
      <c r="H5692" t="s">
        <v>6097</v>
      </c>
      <c r="I5692">
        <v>72</v>
      </c>
      <c r="J5692">
        <v>21.1</v>
      </c>
      <c r="K5692" t="s">
        <v>6100</v>
      </c>
      <c r="L5692" t="s">
        <v>6100</v>
      </c>
      <c r="M5692" t="s">
        <v>6100</v>
      </c>
      <c r="O5692" t="s">
        <v>6101</v>
      </c>
      <c r="P5692" t="s">
        <v>6115</v>
      </c>
      <c r="Q5692">
        <v>9</v>
      </c>
      <c r="R5692">
        <v>2026</v>
      </c>
      <c r="S5692" t="s">
        <v>6099</v>
      </c>
      <c r="T5692">
        <v>1</v>
      </c>
      <c r="U5692" t="s">
        <v>6021</v>
      </c>
      <c r="V5692">
        <v>0</v>
      </c>
    </row>
    <row r="5693" spans="1:22" x14ac:dyDescent="0.3">
      <c r="A5693" t="s">
        <v>5708</v>
      </c>
      <c r="B5693" s="2">
        <v>46280.761111111111</v>
      </c>
      <c r="C5693" s="2">
        <v>46281.269444444442</v>
      </c>
      <c r="D5693" t="s">
        <v>6028</v>
      </c>
      <c r="E5693" t="s">
        <v>6031</v>
      </c>
      <c r="F5693" t="s">
        <v>6035</v>
      </c>
      <c r="G5693" t="s">
        <v>6039</v>
      </c>
      <c r="H5693" t="s">
        <v>6097</v>
      </c>
      <c r="I5693">
        <v>4</v>
      </c>
      <c r="J5693">
        <v>12.2</v>
      </c>
      <c r="K5693" t="s">
        <v>6099</v>
      </c>
      <c r="L5693" t="s">
        <v>6100</v>
      </c>
      <c r="M5693" t="s">
        <v>6100</v>
      </c>
      <c r="N5693">
        <v>5</v>
      </c>
      <c r="O5693" t="s">
        <v>6101</v>
      </c>
      <c r="P5693" t="s">
        <v>6115</v>
      </c>
      <c r="Q5693">
        <v>9</v>
      </c>
      <c r="R5693">
        <v>2026</v>
      </c>
      <c r="S5693" t="s">
        <v>6100</v>
      </c>
      <c r="T5693">
        <v>0</v>
      </c>
      <c r="U5693" t="s">
        <v>6021</v>
      </c>
      <c r="V5693">
        <v>1</v>
      </c>
    </row>
    <row r="5694" spans="1:22" x14ac:dyDescent="0.3">
      <c r="A5694" t="s">
        <v>5709</v>
      </c>
      <c r="B5694" s="2">
        <v>46280.774305555555</v>
      </c>
      <c r="C5694" s="2">
        <v>46281.165972222225</v>
      </c>
      <c r="D5694" t="s">
        <v>6022</v>
      </c>
      <c r="E5694" t="s">
        <v>6030</v>
      </c>
      <c r="F5694" t="s">
        <v>6034</v>
      </c>
      <c r="G5694" t="s">
        <v>6056</v>
      </c>
      <c r="H5694" t="s">
        <v>6098</v>
      </c>
      <c r="I5694">
        <v>24</v>
      </c>
      <c r="J5694">
        <v>9.4</v>
      </c>
      <c r="K5694" t="s">
        <v>6099</v>
      </c>
      <c r="L5694" t="s">
        <v>6100</v>
      </c>
      <c r="M5694" t="s">
        <v>6100</v>
      </c>
      <c r="N5694">
        <v>5</v>
      </c>
      <c r="O5694" t="s">
        <v>6101</v>
      </c>
      <c r="P5694" t="s">
        <v>6115</v>
      </c>
      <c r="Q5694">
        <v>9</v>
      </c>
      <c r="R5694">
        <v>2026</v>
      </c>
      <c r="S5694" t="s">
        <v>6099</v>
      </c>
      <c r="T5694">
        <v>1</v>
      </c>
      <c r="U5694" t="s">
        <v>6018</v>
      </c>
      <c r="V5694">
        <v>1</v>
      </c>
    </row>
    <row r="5695" spans="1:22" x14ac:dyDescent="0.3">
      <c r="A5695" t="s">
        <v>5710</v>
      </c>
      <c r="B5695" s="2">
        <v>46280.79583333333</v>
      </c>
      <c r="C5695" s="2">
        <v>46281</v>
      </c>
      <c r="D5695" t="s">
        <v>6023</v>
      </c>
      <c r="E5695" t="s">
        <v>6029</v>
      </c>
      <c r="F5695" t="s">
        <v>6035</v>
      </c>
      <c r="G5695" t="s">
        <v>6062</v>
      </c>
      <c r="H5695" t="s">
        <v>6096</v>
      </c>
      <c r="I5695">
        <v>4</v>
      </c>
      <c r="J5695">
        <v>4.9000000000000004</v>
      </c>
      <c r="K5695" t="s">
        <v>6099</v>
      </c>
      <c r="L5695" t="s">
        <v>6100</v>
      </c>
      <c r="M5695" t="s">
        <v>6100</v>
      </c>
      <c r="N5695">
        <v>2</v>
      </c>
      <c r="O5695" t="s">
        <v>6101</v>
      </c>
      <c r="P5695" t="s">
        <v>6115</v>
      </c>
      <c r="Q5695">
        <v>9</v>
      </c>
      <c r="R5695">
        <v>2026</v>
      </c>
      <c r="S5695" t="s">
        <v>6100</v>
      </c>
      <c r="T5695">
        <v>0</v>
      </c>
      <c r="U5695" t="s">
        <v>6019</v>
      </c>
      <c r="V5695">
        <v>1</v>
      </c>
    </row>
    <row r="5696" spans="1:22" x14ac:dyDescent="0.3">
      <c r="A5696" t="s">
        <v>5711</v>
      </c>
      <c r="B5696" s="2">
        <v>46280.843055555553</v>
      </c>
      <c r="C5696" s="2">
        <v>46281.37222222222</v>
      </c>
      <c r="D5696" t="s">
        <v>6023</v>
      </c>
      <c r="E5696" t="s">
        <v>6029</v>
      </c>
      <c r="F5696" t="s">
        <v>6034</v>
      </c>
      <c r="G5696" t="s">
        <v>6062</v>
      </c>
      <c r="H5696" t="s">
        <v>6096</v>
      </c>
      <c r="I5696">
        <v>24</v>
      </c>
      <c r="J5696">
        <v>12.7</v>
      </c>
      <c r="K5696" t="s">
        <v>6100</v>
      </c>
      <c r="L5696" t="s">
        <v>6099</v>
      </c>
      <c r="M5696" t="s">
        <v>6100</v>
      </c>
      <c r="N5696">
        <v>5</v>
      </c>
      <c r="O5696" t="s">
        <v>6101</v>
      </c>
      <c r="P5696" t="s">
        <v>6115</v>
      </c>
      <c r="Q5696">
        <v>9</v>
      </c>
      <c r="R5696">
        <v>2026</v>
      </c>
      <c r="S5696" t="s">
        <v>6099</v>
      </c>
      <c r="T5696">
        <v>1</v>
      </c>
      <c r="U5696" t="s">
        <v>6021</v>
      </c>
      <c r="V5696">
        <v>0</v>
      </c>
    </row>
    <row r="5697" spans="1:22" x14ac:dyDescent="0.3">
      <c r="A5697" t="s">
        <v>5712</v>
      </c>
      <c r="B5697" s="2">
        <v>46281.378472222219</v>
      </c>
      <c r="C5697" s="2">
        <v>46282.311805555553</v>
      </c>
      <c r="D5697" t="s">
        <v>6022</v>
      </c>
      <c r="E5697" t="s">
        <v>6032</v>
      </c>
      <c r="F5697" t="s">
        <v>6034</v>
      </c>
      <c r="G5697" t="s">
        <v>6043</v>
      </c>
      <c r="H5697" t="s">
        <v>6097</v>
      </c>
      <c r="I5697">
        <v>24</v>
      </c>
      <c r="J5697">
        <v>22.4</v>
      </c>
      <c r="K5697" t="s">
        <v>6099</v>
      </c>
      <c r="L5697" t="s">
        <v>6100</v>
      </c>
      <c r="M5697" t="s">
        <v>6100</v>
      </c>
      <c r="O5697" t="s">
        <v>6101</v>
      </c>
      <c r="P5697" t="s">
        <v>6115</v>
      </c>
      <c r="Q5697">
        <v>9</v>
      </c>
      <c r="R5697">
        <v>2026</v>
      </c>
      <c r="S5697" t="s">
        <v>6099</v>
      </c>
      <c r="T5697">
        <v>1</v>
      </c>
      <c r="U5697" t="s">
        <v>6019</v>
      </c>
      <c r="V5697">
        <v>1</v>
      </c>
    </row>
    <row r="5698" spans="1:22" x14ac:dyDescent="0.3">
      <c r="A5698" t="s">
        <v>5713</v>
      </c>
      <c r="B5698" s="2">
        <v>46281.395833333336</v>
      </c>
      <c r="C5698" s="2">
        <v>46281.716666666667</v>
      </c>
      <c r="D5698" t="s">
        <v>6023</v>
      </c>
      <c r="E5698" t="s">
        <v>6029</v>
      </c>
      <c r="F5698" t="s">
        <v>6033</v>
      </c>
      <c r="G5698" t="s">
        <v>6095</v>
      </c>
      <c r="H5698" t="s">
        <v>6098</v>
      </c>
      <c r="I5698">
        <v>72</v>
      </c>
      <c r="J5698">
        <v>7.7</v>
      </c>
      <c r="K5698" t="s">
        <v>6099</v>
      </c>
      <c r="L5698" t="s">
        <v>6100</v>
      </c>
      <c r="M5698" t="s">
        <v>6100</v>
      </c>
      <c r="N5698">
        <v>5</v>
      </c>
      <c r="O5698" t="s">
        <v>6101</v>
      </c>
      <c r="P5698" t="s">
        <v>6115</v>
      </c>
      <c r="Q5698">
        <v>9</v>
      </c>
      <c r="R5698">
        <v>2026</v>
      </c>
      <c r="S5698" t="s">
        <v>6099</v>
      </c>
      <c r="T5698">
        <v>1</v>
      </c>
      <c r="U5698" t="s">
        <v>6021</v>
      </c>
      <c r="V5698">
        <v>1</v>
      </c>
    </row>
    <row r="5699" spans="1:22" x14ac:dyDescent="0.3">
      <c r="A5699" t="s">
        <v>5714</v>
      </c>
      <c r="B5699" s="2">
        <v>46281.467361111114</v>
      </c>
      <c r="C5699" s="2">
        <v>46289.250694444447</v>
      </c>
      <c r="D5699" t="s">
        <v>6026</v>
      </c>
      <c r="E5699" t="s">
        <v>6031</v>
      </c>
      <c r="F5699" t="s">
        <v>6034</v>
      </c>
      <c r="G5699" t="s">
        <v>6072</v>
      </c>
      <c r="H5699" t="s">
        <v>6097</v>
      </c>
      <c r="I5699">
        <v>24</v>
      </c>
      <c r="J5699">
        <v>186.8</v>
      </c>
      <c r="K5699" t="s">
        <v>6099</v>
      </c>
      <c r="L5699" t="s">
        <v>6100</v>
      </c>
      <c r="M5699" t="s">
        <v>6100</v>
      </c>
      <c r="N5699">
        <v>4</v>
      </c>
      <c r="O5699" t="s">
        <v>6101</v>
      </c>
      <c r="P5699" t="s">
        <v>6115</v>
      </c>
      <c r="Q5699">
        <v>9</v>
      </c>
      <c r="R5699">
        <v>2026</v>
      </c>
      <c r="S5699" t="s">
        <v>6100</v>
      </c>
      <c r="T5699">
        <v>0</v>
      </c>
      <c r="U5699" t="s">
        <v>6020</v>
      </c>
      <c r="V5699">
        <v>1</v>
      </c>
    </row>
    <row r="5700" spans="1:22" x14ac:dyDescent="0.3">
      <c r="A5700" t="s">
        <v>5715</v>
      </c>
      <c r="B5700" s="2">
        <v>46281.47152777778</v>
      </c>
      <c r="C5700" s="2">
        <v>46281.954861111109</v>
      </c>
      <c r="D5700" t="s">
        <v>6024</v>
      </c>
      <c r="E5700" t="s">
        <v>6029</v>
      </c>
      <c r="F5700" t="s">
        <v>6034</v>
      </c>
      <c r="G5700" t="s">
        <v>6067</v>
      </c>
      <c r="H5700" t="s">
        <v>6098</v>
      </c>
      <c r="I5700">
        <v>24</v>
      </c>
      <c r="J5700">
        <v>11.6</v>
      </c>
      <c r="K5700" t="s">
        <v>6099</v>
      </c>
      <c r="L5700" t="s">
        <v>6100</v>
      </c>
      <c r="M5700" t="s">
        <v>6100</v>
      </c>
      <c r="N5700">
        <v>5</v>
      </c>
      <c r="O5700" t="s">
        <v>6101</v>
      </c>
      <c r="P5700" t="s">
        <v>6115</v>
      </c>
      <c r="Q5700">
        <v>9</v>
      </c>
      <c r="R5700">
        <v>2026</v>
      </c>
      <c r="S5700" t="s">
        <v>6099</v>
      </c>
      <c r="T5700">
        <v>1</v>
      </c>
      <c r="U5700" t="s">
        <v>6019</v>
      </c>
      <c r="V5700">
        <v>1</v>
      </c>
    </row>
    <row r="5701" spans="1:22" x14ac:dyDescent="0.3">
      <c r="A5701" t="s">
        <v>5716</v>
      </c>
      <c r="B5701" s="2">
        <v>46281.476388888892</v>
      </c>
      <c r="C5701" s="2">
        <v>46282.12222222222</v>
      </c>
      <c r="D5701" t="s">
        <v>6026</v>
      </c>
      <c r="E5701" t="s">
        <v>6029</v>
      </c>
      <c r="F5701" t="s">
        <v>6035</v>
      </c>
      <c r="G5701" t="s">
        <v>6053</v>
      </c>
      <c r="H5701" t="s">
        <v>6097</v>
      </c>
      <c r="I5701">
        <v>4</v>
      </c>
      <c r="J5701">
        <v>15.5</v>
      </c>
      <c r="K5701" t="s">
        <v>6099</v>
      </c>
      <c r="L5701" t="s">
        <v>6100</v>
      </c>
      <c r="M5701" t="s">
        <v>6100</v>
      </c>
      <c r="O5701" t="s">
        <v>6101</v>
      </c>
      <c r="P5701" t="s">
        <v>6115</v>
      </c>
      <c r="Q5701">
        <v>9</v>
      </c>
      <c r="R5701">
        <v>2026</v>
      </c>
      <c r="S5701" t="s">
        <v>6100</v>
      </c>
      <c r="T5701">
        <v>0</v>
      </c>
      <c r="U5701" t="s">
        <v>6020</v>
      </c>
      <c r="V5701">
        <v>1</v>
      </c>
    </row>
    <row r="5702" spans="1:22" x14ac:dyDescent="0.3">
      <c r="A5702" t="s">
        <v>5717</v>
      </c>
      <c r="B5702" s="2">
        <v>46281.534722222219</v>
      </c>
      <c r="C5702" s="2">
        <v>46281.755555555559</v>
      </c>
      <c r="D5702" t="s">
        <v>6028</v>
      </c>
      <c r="E5702" t="s">
        <v>6029</v>
      </c>
      <c r="F5702" t="s">
        <v>6035</v>
      </c>
      <c r="G5702" t="s">
        <v>6085</v>
      </c>
      <c r="H5702" t="s">
        <v>6097</v>
      </c>
      <c r="I5702">
        <v>4</v>
      </c>
      <c r="J5702">
        <v>5.3</v>
      </c>
      <c r="K5702" t="s">
        <v>6099</v>
      </c>
      <c r="L5702" t="s">
        <v>6100</v>
      </c>
      <c r="M5702" t="s">
        <v>6100</v>
      </c>
      <c r="O5702" t="s">
        <v>6101</v>
      </c>
      <c r="P5702" t="s">
        <v>6115</v>
      </c>
      <c r="Q5702">
        <v>9</v>
      </c>
      <c r="R5702">
        <v>2026</v>
      </c>
      <c r="S5702" t="s">
        <v>6100</v>
      </c>
      <c r="T5702">
        <v>0</v>
      </c>
      <c r="U5702" t="s">
        <v>6019</v>
      </c>
      <c r="V5702">
        <v>1</v>
      </c>
    </row>
    <row r="5703" spans="1:22" x14ac:dyDescent="0.3">
      <c r="A5703" t="s">
        <v>5718</v>
      </c>
      <c r="B5703" s="2">
        <v>46281.535416666666</v>
      </c>
      <c r="C5703" s="2">
        <v>46281.747916666667</v>
      </c>
      <c r="D5703" t="s">
        <v>6028</v>
      </c>
      <c r="E5703" t="s">
        <v>6030</v>
      </c>
      <c r="F5703" t="s">
        <v>6035</v>
      </c>
      <c r="G5703" t="s">
        <v>6067</v>
      </c>
      <c r="H5703" t="s">
        <v>6098</v>
      </c>
      <c r="I5703">
        <v>4</v>
      </c>
      <c r="J5703">
        <v>5.0999999999999996</v>
      </c>
      <c r="K5703" t="s">
        <v>6100</v>
      </c>
      <c r="L5703" t="s">
        <v>6099</v>
      </c>
      <c r="M5703" t="s">
        <v>6100</v>
      </c>
      <c r="O5703" t="s">
        <v>6101</v>
      </c>
      <c r="P5703" t="s">
        <v>6115</v>
      </c>
      <c r="Q5703">
        <v>9</v>
      </c>
      <c r="R5703">
        <v>2026</v>
      </c>
      <c r="S5703" t="s">
        <v>6100</v>
      </c>
      <c r="T5703">
        <v>0</v>
      </c>
      <c r="U5703" t="s">
        <v>6021</v>
      </c>
      <c r="V5703">
        <v>0</v>
      </c>
    </row>
    <row r="5704" spans="1:22" x14ac:dyDescent="0.3">
      <c r="A5704" t="s">
        <v>5719</v>
      </c>
      <c r="B5704" s="2">
        <v>46281.571527777778</v>
      </c>
      <c r="C5704" s="2">
        <v>46281.671527777777</v>
      </c>
      <c r="D5704" t="s">
        <v>6022</v>
      </c>
      <c r="E5704" t="s">
        <v>6030</v>
      </c>
      <c r="F5704" t="s">
        <v>6033</v>
      </c>
      <c r="G5704" t="s">
        <v>6062</v>
      </c>
      <c r="H5704" t="s">
        <v>6096</v>
      </c>
      <c r="I5704">
        <v>72</v>
      </c>
      <c r="J5704">
        <v>2.4</v>
      </c>
      <c r="K5704" t="s">
        <v>6100</v>
      </c>
      <c r="L5704" t="s">
        <v>6099</v>
      </c>
      <c r="M5704" t="s">
        <v>6100</v>
      </c>
      <c r="N5704">
        <v>4</v>
      </c>
      <c r="O5704" t="s">
        <v>6101</v>
      </c>
      <c r="P5704" t="s">
        <v>6115</v>
      </c>
      <c r="Q5704">
        <v>9</v>
      </c>
      <c r="R5704">
        <v>2026</v>
      </c>
      <c r="S5704" t="s">
        <v>6099</v>
      </c>
      <c r="T5704">
        <v>1</v>
      </c>
      <c r="U5704" t="s">
        <v>6020</v>
      </c>
      <c r="V5704">
        <v>0</v>
      </c>
    </row>
    <row r="5705" spans="1:22" x14ac:dyDescent="0.3">
      <c r="A5705" t="s">
        <v>5720</v>
      </c>
      <c r="B5705" s="2">
        <v>46281.587500000001</v>
      </c>
      <c r="C5705" s="2">
        <v>46291.89166666667</v>
      </c>
      <c r="D5705" t="s">
        <v>6025</v>
      </c>
      <c r="E5705" t="s">
        <v>6032</v>
      </c>
      <c r="F5705" t="s">
        <v>6034</v>
      </c>
      <c r="G5705" t="s">
        <v>6079</v>
      </c>
      <c r="H5705" t="s">
        <v>6097</v>
      </c>
      <c r="I5705">
        <v>24</v>
      </c>
      <c r="J5705">
        <v>247.3</v>
      </c>
      <c r="K5705" t="s">
        <v>6100</v>
      </c>
      <c r="L5705" t="s">
        <v>6099</v>
      </c>
      <c r="M5705" t="s">
        <v>6100</v>
      </c>
      <c r="O5705" t="s">
        <v>6101</v>
      </c>
      <c r="P5705" t="s">
        <v>6115</v>
      </c>
      <c r="Q5705">
        <v>9</v>
      </c>
      <c r="R5705">
        <v>2026</v>
      </c>
      <c r="S5705" t="s">
        <v>6100</v>
      </c>
      <c r="T5705">
        <v>0</v>
      </c>
      <c r="U5705" t="s">
        <v>6020</v>
      </c>
      <c r="V5705">
        <v>0</v>
      </c>
    </row>
    <row r="5706" spans="1:22" x14ac:dyDescent="0.3">
      <c r="A5706" t="s">
        <v>5721</v>
      </c>
      <c r="B5706" s="2">
        <v>46281.589583333334</v>
      </c>
      <c r="C5706" s="2">
        <v>46281.989583333336</v>
      </c>
      <c r="D5706" t="s">
        <v>6023</v>
      </c>
      <c r="E5706" t="s">
        <v>6029</v>
      </c>
      <c r="F5706" t="s">
        <v>6033</v>
      </c>
      <c r="G5706" t="s">
        <v>6036</v>
      </c>
      <c r="H5706" t="s">
        <v>6096</v>
      </c>
      <c r="I5706">
        <v>72</v>
      </c>
      <c r="J5706">
        <v>9.6</v>
      </c>
      <c r="K5706" t="s">
        <v>6100</v>
      </c>
      <c r="L5706" t="s">
        <v>6100</v>
      </c>
      <c r="M5706" t="s">
        <v>6099</v>
      </c>
      <c r="N5706">
        <v>3</v>
      </c>
      <c r="O5706" t="s">
        <v>6101</v>
      </c>
      <c r="P5706" t="s">
        <v>6115</v>
      </c>
      <c r="Q5706">
        <v>9</v>
      </c>
      <c r="R5706">
        <v>2026</v>
      </c>
      <c r="S5706" t="s">
        <v>6099</v>
      </c>
      <c r="T5706">
        <v>1</v>
      </c>
      <c r="U5706" t="s">
        <v>6019</v>
      </c>
      <c r="V5706">
        <v>0</v>
      </c>
    </row>
    <row r="5707" spans="1:22" x14ac:dyDescent="0.3">
      <c r="A5707" t="s">
        <v>5722</v>
      </c>
      <c r="B5707" s="2">
        <v>46281.590277777781</v>
      </c>
      <c r="C5707" s="2">
        <v>46284.256944444445</v>
      </c>
      <c r="D5707" t="s">
        <v>6024</v>
      </c>
      <c r="E5707" t="s">
        <v>6031</v>
      </c>
      <c r="F5707" t="s">
        <v>6035</v>
      </c>
      <c r="G5707" t="s">
        <v>6064</v>
      </c>
      <c r="H5707" t="s">
        <v>6096</v>
      </c>
      <c r="I5707">
        <v>4</v>
      </c>
      <c r="J5707">
        <v>64</v>
      </c>
      <c r="K5707" t="s">
        <v>6100</v>
      </c>
      <c r="L5707" t="s">
        <v>6099</v>
      </c>
      <c r="M5707" t="s">
        <v>6100</v>
      </c>
      <c r="N5707">
        <v>3</v>
      </c>
      <c r="O5707" t="s">
        <v>6101</v>
      </c>
      <c r="P5707" t="s">
        <v>6115</v>
      </c>
      <c r="Q5707">
        <v>9</v>
      </c>
      <c r="R5707">
        <v>2026</v>
      </c>
      <c r="S5707" t="s">
        <v>6100</v>
      </c>
      <c r="T5707">
        <v>0</v>
      </c>
      <c r="U5707" t="s">
        <v>6018</v>
      </c>
      <c r="V5707">
        <v>0</v>
      </c>
    </row>
    <row r="5708" spans="1:22" x14ac:dyDescent="0.3">
      <c r="A5708" t="s">
        <v>5723</v>
      </c>
      <c r="B5708" s="2">
        <v>46281.616666666669</v>
      </c>
      <c r="C5708" s="2">
        <v>46282.8125</v>
      </c>
      <c r="D5708" t="s">
        <v>6025</v>
      </c>
      <c r="E5708" t="s">
        <v>6029</v>
      </c>
      <c r="F5708" t="s">
        <v>6033</v>
      </c>
      <c r="G5708" t="s">
        <v>6062</v>
      </c>
      <c r="H5708" t="s">
        <v>6096</v>
      </c>
      <c r="I5708">
        <v>72</v>
      </c>
      <c r="J5708">
        <v>28.7</v>
      </c>
      <c r="K5708" t="s">
        <v>6100</v>
      </c>
      <c r="L5708" t="s">
        <v>6099</v>
      </c>
      <c r="M5708" t="s">
        <v>6100</v>
      </c>
      <c r="O5708" t="s">
        <v>6101</v>
      </c>
      <c r="P5708" t="s">
        <v>6115</v>
      </c>
      <c r="Q5708">
        <v>9</v>
      </c>
      <c r="R5708">
        <v>2026</v>
      </c>
      <c r="S5708" t="s">
        <v>6099</v>
      </c>
      <c r="T5708">
        <v>1</v>
      </c>
      <c r="U5708" t="s">
        <v>6021</v>
      </c>
      <c r="V5708">
        <v>0</v>
      </c>
    </row>
    <row r="5709" spans="1:22" x14ac:dyDescent="0.3">
      <c r="A5709" t="s">
        <v>5724</v>
      </c>
      <c r="B5709" s="2">
        <v>46281.665277777778</v>
      </c>
      <c r="C5709" s="2">
        <v>46281.781944444447</v>
      </c>
      <c r="D5709" t="s">
        <v>6028</v>
      </c>
      <c r="E5709" t="s">
        <v>6030</v>
      </c>
      <c r="F5709" t="s">
        <v>6035</v>
      </c>
      <c r="G5709" t="s">
        <v>6076</v>
      </c>
      <c r="H5709" t="s">
        <v>6097</v>
      </c>
      <c r="I5709">
        <v>4</v>
      </c>
      <c r="J5709">
        <v>2.8</v>
      </c>
      <c r="K5709" t="s">
        <v>6099</v>
      </c>
      <c r="L5709" t="s">
        <v>6100</v>
      </c>
      <c r="M5709" t="s">
        <v>6100</v>
      </c>
      <c r="N5709">
        <v>5</v>
      </c>
      <c r="O5709" t="s">
        <v>6101</v>
      </c>
      <c r="P5709" t="s">
        <v>6115</v>
      </c>
      <c r="Q5709">
        <v>9</v>
      </c>
      <c r="R5709">
        <v>2026</v>
      </c>
      <c r="S5709" t="s">
        <v>6099</v>
      </c>
      <c r="T5709">
        <v>1</v>
      </c>
      <c r="U5709" t="s">
        <v>6017</v>
      </c>
      <c r="V5709">
        <v>1</v>
      </c>
    </row>
    <row r="5710" spans="1:22" x14ac:dyDescent="0.3">
      <c r="A5710" t="s">
        <v>5725</v>
      </c>
      <c r="B5710" s="2">
        <v>46281.67083333333</v>
      </c>
      <c r="C5710" s="2">
        <v>46281.970833333333</v>
      </c>
      <c r="D5710" t="s">
        <v>6028</v>
      </c>
      <c r="E5710" t="s">
        <v>6031</v>
      </c>
      <c r="F5710" t="s">
        <v>6035</v>
      </c>
      <c r="G5710" t="s">
        <v>6079</v>
      </c>
      <c r="H5710" t="s">
        <v>6097</v>
      </c>
      <c r="I5710">
        <v>4</v>
      </c>
      <c r="J5710">
        <v>7.2</v>
      </c>
      <c r="K5710" t="s">
        <v>6100</v>
      </c>
      <c r="L5710" t="s">
        <v>6100</v>
      </c>
      <c r="M5710" t="s">
        <v>6099</v>
      </c>
      <c r="N5710">
        <v>5</v>
      </c>
      <c r="O5710" t="s">
        <v>6101</v>
      </c>
      <c r="P5710" t="s">
        <v>6115</v>
      </c>
      <c r="Q5710">
        <v>9</v>
      </c>
      <c r="R5710">
        <v>2026</v>
      </c>
      <c r="S5710" t="s">
        <v>6100</v>
      </c>
      <c r="T5710">
        <v>0</v>
      </c>
      <c r="U5710" t="s">
        <v>6019</v>
      </c>
      <c r="V5710">
        <v>0</v>
      </c>
    </row>
    <row r="5711" spans="1:22" x14ac:dyDescent="0.3">
      <c r="A5711" t="s">
        <v>5726</v>
      </c>
      <c r="B5711" s="2">
        <v>46281.691666666666</v>
      </c>
      <c r="C5711" s="2">
        <v>46282.258333333331</v>
      </c>
      <c r="D5711" t="s">
        <v>6023</v>
      </c>
      <c r="E5711" t="s">
        <v>6030</v>
      </c>
      <c r="F5711" t="s">
        <v>6033</v>
      </c>
      <c r="G5711" t="s">
        <v>6088</v>
      </c>
      <c r="H5711" t="s">
        <v>6097</v>
      </c>
      <c r="I5711">
        <v>72</v>
      </c>
      <c r="J5711">
        <v>13.6</v>
      </c>
      <c r="K5711" t="s">
        <v>6099</v>
      </c>
      <c r="L5711" t="s">
        <v>6100</v>
      </c>
      <c r="M5711" t="s">
        <v>6100</v>
      </c>
      <c r="N5711">
        <v>4</v>
      </c>
      <c r="O5711" t="s">
        <v>6101</v>
      </c>
      <c r="P5711" t="s">
        <v>6115</v>
      </c>
      <c r="Q5711">
        <v>9</v>
      </c>
      <c r="R5711">
        <v>2026</v>
      </c>
      <c r="S5711" t="s">
        <v>6099</v>
      </c>
      <c r="T5711">
        <v>1</v>
      </c>
      <c r="U5711" t="s">
        <v>6017</v>
      </c>
      <c r="V5711">
        <v>1</v>
      </c>
    </row>
    <row r="5712" spans="1:22" x14ac:dyDescent="0.3">
      <c r="A5712" t="s">
        <v>5727</v>
      </c>
      <c r="B5712" s="2">
        <v>46281.755555555559</v>
      </c>
      <c r="C5712" s="2">
        <v>46282.05972222222</v>
      </c>
      <c r="D5712" t="s">
        <v>6025</v>
      </c>
      <c r="E5712" t="s">
        <v>6030</v>
      </c>
      <c r="F5712" t="s">
        <v>6034</v>
      </c>
      <c r="G5712" t="s">
        <v>6069</v>
      </c>
      <c r="H5712" t="s">
        <v>6098</v>
      </c>
      <c r="I5712">
        <v>24</v>
      </c>
      <c r="J5712">
        <v>7.3</v>
      </c>
      <c r="K5712" t="s">
        <v>6099</v>
      </c>
      <c r="L5712" t="s">
        <v>6100</v>
      </c>
      <c r="M5712" t="s">
        <v>6100</v>
      </c>
      <c r="N5712">
        <v>4</v>
      </c>
      <c r="O5712" t="s">
        <v>6101</v>
      </c>
      <c r="P5712" t="s">
        <v>6115</v>
      </c>
      <c r="Q5712">
        <v>9</v>
      </c>
      <c r="R5712">
        <v>2026</v>
      </c>
      <c r="S5712" t="s">
        <v>6099</v>
      </c>
      <c r="T5712">
        <v>1</v>
      </c>
      <c r="U5712" t="s">
        <v>6017</v>
      </c>
      <c r="V5712">
        <v>1</v>
      </c>
    </row>
    <row r="5713" spans="1:22" x14ac:dyDescent="0.3">
      <c r="A5713" t="s">
        <v>5728</v>
      </c>
      <c r="B5713" s="2">
        <v>46281.772916666669</v>
      </c>
      <c r="C5713" s="2">
        <v>46281.864583333336</v>
      </c>
      <c r="D5713" t="s">
        <v>6028</v>
      </c>
      <c r="E5713" t="s">
        <v>6029</v>
      </c>
      <c r="F5713" t="s">
        <v>6034</v>
      </c>
      <c r="G5713" t="s">
        <v>6039</v>
      </c>
      <c r="H5713" t="s">
        <v>6097</v>
      </c>
      <c r="I5713">
        <v>24</v>
      </c>
      <c r="J5713">
        <v>2.2000000000000002</v>
      </c>
      <c r="K5713" t="s">
        <v>6099</v>
      </c>
      <c r="L5713" t="s">
        <v>6100</v>
      </c>
      <c r="M5713" t="s">
        <v>6100</v>
      </c>
      <c r="N5713">
        <v>5</v>
      </c>
      <c r="O5713" t="s">
        <v>6101</v>
      </c>
      <c r="P5713" t="s">
        <v>6115</v>
      </c>
      <c r="Q5713">
        <v>9</v>
      </c>
      <c r="R5713">
        <v>2026</v>
      </c>
      <c r="S5713" t="s">
        <v>6099</v>
      </c>
      <c r="T5713">
        <v>1</v>
      </c>
      <c r="U5713" t="s">
        <v>6018</v>
      </c>
      <c r="V5713">
        <v>1</v>
      </c>
    </row>
    <row r="5714" spans="1:22" x14ac:dyDescent="0.3">
      <c r="A5714" t="s">
        <v>5729</v>
      </c>
      <c r="B5714" s="2">
        <v>46281.852777777778</v>
      </c>
      <c r="C5714" s="2">
        <v>46282.861111111109</v>
      </c>
      <c r="D5714" t="s">
        <v>6024</v>
      </c>
      <c r="E5714" t="s">
        <v>6029</v>
      </c>
      <c r="F5714" t="s">
        <v>6034</v>
      </c>
      <c r="G5714" t="s">
        <v>6040</v>
      </c>
      <c r="H5714" t="s">
        <v>6097</v>
      </c>
      <c r="I5714">
        <v>24</v>
      </c>
      <c r="J5714">
        <v>24.2</v>
      </c>
      <c r="K5714" t="s">
        <v>6099</v>
      </c>
      <c r="L5714" t="s">
        <v>6100</v>
      </c>
      <c r="M5714" t="s">
        <v>6100</v>
      </c>
      <c r="O5714" t="s">
        <v>6101</v>
      </c>
      <c r="P5714" t="s">
        <v>6115</v>
      </c>
      <c r="Q5714">
        <v>9</v>
      </c>
      <c r="R5714">
        <v>2026</v>
      </c>
      <c r="S5714" t="s">
        <v>6100</v>
      </c>
      <c r="T5714">
        <v>0</v>
      </c>
      <c r="U5714" t="s">
        <v>6021</v>
      </c>
      <c r="V5714">
        <v>1</v>
      </c>
    </row>
    <row r="5715" spans="1:22" x14ac:dyDescent="0.3">
      <c r="A5715" t="s">
        <v>5730</v>
      </c>
      <c r="B5715" s="2">
        <v>46282.195138888892</v>
      </c>
      <c r="C5715" s="2">
        <v>46282.557638888888</v>
      </c>
      <c r="D5715" t="s">
        <v>6023</v>
      </c>
      <c r="E5715" t="s">
        <v>6029</v>
      </c>
      <c r="F5715" t="s">
        <v>6035</v>
      </c>
      <c r="G5715" t="s">
        <v>6076</v>
      </c>
      <c r="H5715" t="s">
        <v>6097</v>
      </c>
      <c r="I5715">
        <v>4</v>
      </c>
      <c r="J5715">
        <v>8.6999999999999993</v>
      </c>
      <c r="K5715" t="s">
        <v>6099</v>
      </c>
      <c r="L5715" t="s">
        <v>6100</v>
      </c>
      <c r="M5715" t="s">
        <v>6100</v>
      </c>
      <c r="N5715">
        <v>4</v>
      </c>
      <c r="O5715" t="s">
        <v>6101</v>
      </c>
      <c r="P5715" t="s">
        <v>6115</v>
      </c>
      <c r="Q5715">
        <v>9</v>
      </c>
      <c r="R5715">
        <v>2026</v>
      </c>
      <c r="S5715" t="s">
        <v>6100</v>
      </c>
      <c r="T5715">
        <v>0</v>
      </c>
      <c r="U5715" t="s">
        <v>6021</v>
      </c>
      <c r="V5715">
        <v>1</v>
      </c>
    </row>
    <row r="5716" spans="1:22" x14ac:dyDescent="0.3">
      <c r="A5716" t="s">
        <v>5731</v>
      </c>
      <c r="B5716" s="2">
        <v>46282.25</v>
      </c>
      <c r="C5716" s="2">
        <v>46291.616666666669</v>
      </c>
      <c r="D5716" t="s">
        <v>6026</v>
      </c>
      <c r="E5716" t="s">
        <v>6031</v>
      </c>
      <c r="F5716" t="s">
        <v>6034</v>
      </c>
      <c r="G5716" t="s">
        <v>6085</v>
      </c>
      <c r="H5716" t="s">
        <v>6097</v>
      </c>
      <c r="I5716">
        <v>24</v>
      </c>
      <c r="J5716">
        <v>224.8</v>
      </c>
      <c r="K5716" t="s">
        <v>6099</v>
      </c>
      <c r="L5716" t="s">
        <v>6100</v>
      </c>
      <c r="M5716" t="s">
        <v>6100</v>
      </c>
      <c r="N5716">
        <v>5</v>
      </c>
      <c r="O5716" t="s">
        <v>6101</v>
      </c>
      <c r="P5716" t="s">
        <v>6115</v>
      </c>
      <c r="Q5716">
        <v>9</v>
      </c>
      <c r="R5716">
        <v>2026</v>
      </c>
      <c r="S5716" t="s">
        <v>6100</v>
      </c>
      <c r="T5716">
        <v>0</v>
      </c>
      <c r="U5716" t="s">
        <v>6021</v>
      </c>
      <c r="V5716">
        <v>1</v>
      </c>
    </row>
    <row r="5717" spans="1:22" x14ac:dyDescent="0.3">
      <c r="A5717" t="s">
        <v>5732</v>
      </c>
      <c r="B5717" s="2">
        <v>46282.29791666667</v>
      </c>
      <c r="C5717" s="2">
        <v>46282.814583333333</v>
      </c>
      <c r="D5717" t="s">
        <v>6024</v>
      </c>
      <c r="E5717" t="s">
        <v>6031</v>
      </c>
      <c r="F5717" t="s">
        <v>6035</v>
      </c>
      <c r="G5717" t="s">
        <v>6076</v>
      </c>
      <c r="H5717" t="s">
        <v>6097</v>
      </c>
      <c r="I5717">
        <v>4</v>
      </c>
      <c r="J5717">
        <v>12.4</v>
      </c>
      <c r="K5717" t="s">
        <v>6099</v>
      </c>
      <c r="L5717" t="s">
        <v>6100</v>
      </c>
      <c r="M5717" t="s">
        <v>6100</v>
      </c>
      <c r="N5717">
        <v>3</v>
      </c>
      <c r="O5717" t="s">
        <v>6101</v>
      </c>
      <c r="P5717" t="s">
        <v>6115</v>
      </c>
      <c r="Q5717">
        <v>9</v>
      </c>
      <c r="R5717">
        <v>2026</v>
      </c>
      <c r="S5717" t="s">
        <v>6100</v>
      </c>
      <c r="T5717">
        <v>0</v>
      </c>
      <c r="U5717" t="s">
        <v>6021</v>
      </c>
      <c r="V5717">
        <v>1</v>
      </c>
    </row>
    <row r="5718" spans="1:22" x14ac:dyDescent="0.3">
      <c r="A5718" t="s">
        <v>5733</v>
      </c>
      <c r="B5718" s="2">
        <v>46282.368055555555</v>
      </c>
      <c r="C5718" s="2">
        <v>46282.547222222223</v>
      </c>
      <c r="D5718" t="s">
        <v>6024</v>
      </c>
      <c r="E5718" t="s">
        <v>6030</v>
      </c>
      <c r="F5718" t="s">
        <v>6034</v>
      </c>
      <c r="G5718" t="s">
        <v>6084</v>
      </c>
      <c r="H5718" t="s">
        <v>6098</v>
      </c>
      <c r="I5718">
        <v>24</v>
      </c>
      <c r="J5718">
        <v>4.3</v>
      </c>
      <c r="K5718" t="s">
        <v>6099</v>
      </c>
      <c r="L5718" t="s">
        <v>6100</v>
      </c>
      <c r="M5718" t="s">
        <v>6100</v>
      </c>
      <c r="N5718">
        <v>4</v>
      </c>
      <c r="O5718" t="s">
        <v>6101</v>
      </c>
      <c r="P5718" t="s">
        <v>6115</v>
      </c>
      <c r="Q5718">
        <v>9</v>
      </c>
      <c r="R5718">
        <v>2026</v>
      </c>
      <c r="S5718" t="s">
        <v>6099</v>
      </c>
      <c r="T5718">
        <v>1</v>
      </c>
      <c r="U5718" t="s">
        <v>6018</v>
      </c>
      <c r="V5718">
        <v>1</v>
      </c>
    </row>
    <row r="5719" spans="1:22" x14ac:dyDescent="0.3">
      <c r="A5719" t="s">
        <v>5734</v>
      </c>
      <c r="B5719" s="2">
        <v>46282.377083333333</v>
      </c>
      <c r="C5719" s="2">
        <v>46282.685416666667</v>
      </c>
      <c r="D5719" t="s">
        <v>6025</v>
      </c>
      <c r="E5719" t="s">
        <v>6029</v>
      </c>
      <c r="F5719" t="s">
        <v>6035</v>
      </c>
      <c r="G5719" t="s">
        <v>6086</v>
      </c>
      <c r="H5719" t="s">
        <v>6098</v>
      </c>
      <c r="I5719">
        <v>4</v>
      </c>
      <c r="J5719">
        <v>7.4</v>
      </c>
      <c r="K5719" t="s">
        <v>6100</v>
      </c>
      <c r="L5719" t="s">
        <v>6100</v>
      </c>
      <c r="M5719" t="s">
        <v>6100</v>
      </c>
      <c r="N5719">
        <v>3</v>
      </c>
      <c r="O5719" t="s">
        <v>6101</v>
      </c>
      <c r="P5719" t="s">
        <v>6115</v>
      </c>
      <c r="Q5719">
        <v>9</v>
      </c>
      <c r="R5719">
        <v>2026</v>
      </c>
      <c r="S5719" t="s">
        <v>6100</v>
      </c>
      <c r="T5719">
        <v>0</v>
      </c>
      <c r="U5719" t="s">
        <v>6021</v>
      </c>
      <c r="V5719">
        <v>0</v>
      </c>
    </row>
    <row r="5720" spans="1:22" x14ac:dyDescent="0.3">
      <c r="A5720" t="s">
        <v>5735</v>
      </c>
      <c r="B5720" s="2">
        <v>46282.378472222219</v>
      </c>
      <c r="C5720" s="2">
        <v>46284.65347222222</v>
      </c>
      <c r="D5720" t="s">
        <v>6025</v>
      </c>
      <c r="E5720" t="s">
        <v>6031</v>
      </c>
      <c r="F5720" t="s">
        <v>6034</v>
      </c>
      <c r="G5720" t="s">
        <v>6051</v>
      </c>
      <c r="H5720" t="s">
        <v>6097</v>
      </c>
      <c r="I5720">
        <v>24</v>
      </c>
      <c r="J5720">
        <v>54.6</v>
      </c>
      <c r="K5720" t="s">
        <v>6099</v>
      </c>
      <c r="L5720" t="s">
        <v>6100</v>
      </c>
      <c r="M5720" t="s">
        <v>6100</v>
      </c>
      <c r="N5720">
        <v>5</v>
      </c>
      <c r="O5720" t="s">
        <v>6101</v>
      </c>
      <c r="P5720" t="s">
        <v>6115</v>
      </c>
      <c r="Q5720">
        <v>9</v>
      </c>
      <c r="R5720">
        <v>2026</v>
      </c>
      <c r="S5720" t="s">
        <v>6100</v>
      </c>
      <c r="T5720">
        <v>0</v>
      </c>
      <c r="U5720" t="s">
        <v>6021</v>
      </c>
      <c r="V5720">
        <v>1</v>
      </c>
    </row>
    <row r="5721" spans="1:22" x14ac:dyDescent="0.3">
      <c r="A5721" t="s">
        <v>5736</v>
      </c>
      <c r="B5721" s="2">
        <v>46282.380555555559</v>
      </c>
      <c r="C5721" s="2">
        <v>46284.451388888891</v>
      </c>
      <c r="D5721" t="s">
        <v>6025</v>
      </c>
      <c r="E5721" t="s">
        <v>6031</v>
      </c>
      <c r="F5721" t="s">
        <v>6034</v>
      </c>
      <c r="G5721" t="s">
        <v>6092</v>
      </c>
      <c r="H5721" t="s">
        <v>6097</v>
      </c>
      <c r="I5721">
        <v>24</v>
      </c>
      <c r="J5721">
        <v>49.7</v>
      </c>
      <c r="K5721" t="s">
        <v>6099</v>
      </c>
      <c r="L5721" t="s">
        <v>6100</v>
      </c>
      <c r="M5721" t="s">
        <v>6100</v>
      </c>
      <c r="N5721">
        <v>3</v>
      </c>
      <c r="O5721" t="s">
        <v>6101</v>
      </c>
      <c r="P5721" t="s">
        <v>6115</v>
      </c>
      <c r="Q5721">
        <v>9</v>
      </c>
      <c r="R5721">
        <v>2026</v>
      </c>
      <c r="S5721" t="s">
        <v>6100</v>
      </c>
      <c r="T5721">
        <v>0</v>
      </c>
      <c r="U5721" t="s">
        <v>6021</v>
      </c>
      <c r="V5721">
        <v>1</v>
      </c>
    </row>
    <row r="5722" spans="1:22" x14ac:dyDescent="0.3">
      <c r="A5722" t="s">
        <v>5737</v>
      </c>
      <c r="B5722" s="2">
        <v>46282.40902777778</v>
      </c>
      <c r="C5722" s="2">
        <v>46283.171527777777</v>
      </c>
      <c r="D5722" t="s">
        <v>6026</v>
      </c>
      <c r="E5722" t="s">
        <v>6029</v>
      </c>
      <c r="F5722" t="s">
        <v>6034</v>
      </c>
      <c r="G5722" t="s">
        <v>6090</v>
      </c>
      <c r="H5722" t="s">
        <v>6097</v>
      </c>
      <c r="I5722">
        <v>24</v>
      </c>
      <c r="J5722">
        <v>18.3</v>
      </c>
      <c r="K5722" t="s">
        <v>6100</v>
      </c>
      <c r="L5722" t="s">
        <v>6099</v>
      </c>
      <c r="M5722" t="s">
        <v>6100</v>
      </c>
      <c r="O5722" t="s">
        <v>6101</v>
      </c>
      <c r="P5722" t="s">
        <v>6115</v>
      </c>
      <c r="Q5722">
        <v>9</v>
      </c>
      <c r="R5722">
        <v>2026</v>
      </c>
      <c r="S5722" t="s">
        <v>6099</v>
      </c>
      <c r="T5722">
        <v>1</v>
      </c>
      <c r="U5722" t="s">
        <v>6018</v>
      </c>
      <c r="V5722">
        <v>0</v>
      </c>
    </row>
    <row r="5723" spans="1:22" x14ac:dyDescent="0.3">
      <c r="A5723" t="s">
        <v>5738</v>
      </c>
      <c r="B5723" s="2">
        <v>46282.440972222219</v>
      </c>
      <c r="C5723" s="2">
        <v>46282.974305555559</v>
      </c>
      <c r="D5723" t="s">
        <v>6023</v>
      </c>
      <c r="E5723" t="s">
        <v>6029</v>
      </c>
      <c r="F5723" t="s">
        <v>6034</v>
      </c>
      <c r="G5723" t="s">
        <v>6090</v>
      </c>
      <c r="H5723" t="s">
        <v>6097</v>
      </c>
      <c r="I5723">
        <v>24</v>
      </c>
      <c r="J5723">
        <v>12.8</v>
      </c>
      <c r="K5723" t="s">
        <v>6100</v>
      </c>
      <c r="L5723" t="s">
        <v>6100</v>
      </c>
      <c r="M5723" t="s">
        <v>6100</v>
      </c>
      <c r="O5723" t="s">
        <v>6101</v>
      </c>
      <c r="P5723" t="s">
        <v>6115</v>
      </c>
      <c r="Q5723">
        <v>9</v>
      </c>
      <c r="R5723">
        <v>2026</v>
      </c>
      <c r="S5723" t="s">
        <v>6099</v>
      </c>
      <c r="T5723">
        <v>1</v>
      </c>
      <c r="U5723" t="s">
        <v>6021</v>
      </c>
      <c r="V5723">
        <v>0</v>
      </c>
    </row>
    <row r="5724" spans="1:22" x14ac:dyDescent="0.3">
      <c r="A5724" t="s">
        <v>5739</v>
      </c>
      <c r="B5724" s="2">
        <v>46282.451388888891</v>
      </c>
      <c r="C5724" s="2">
        <v>46282.759722222225</v>
      </c>
      <c r="D5724" t="s">
        <v>6024</v>
      </c>
      <c r="E5724" t="s">
        <v>6030</v>
      </c>
      <c r="F5724" t="s">
        <v>6033</v>
      </c>
      <c r="G5724" t="s">
        <v>6058</v>
      </c>
      <c r="H5724" t="s">
        <v>6098</v>
      </c>
      <c r="I5724">
        <v>72</v>
      </c>
      <c r="J5724">
        <v>7.4</v>
      </c>
      <c r="K5724" t="s">
        <v>6100</v>
      </c>
      <c r="L5724" t="s">
        <v>6100</v>
      </c>
      <c r="M5724" t="s">
        <v>6100</v>
      </c>
      <c r="N5724">
        <v>3</v>
      </c>
      <c r="O5724" t="s">
        <v>6101</v>
      </c>
      <c r="P5724" t="s">
        <v>6115</v>
      </c>
      <c r="Q5724">
        <v>9</v>
      </c>
      <c r="R5724">
        <v>2026</v>
      </c>
      <c r="S5724" t="s">
        <v>6099</v>
      </c>
      <c r="T5724">
        <v>1</v>
      </c>
      <c r="U5724" t="s">
        <v>6017</v>
      </c>
      <c r="V5724">
        <v>0</v>
      </c>
    </row>
    <row r="5725" spans="1:22" x14ac:dyDescent="0.3">
      <c r="A5725" t="s">
        <v>5740</v>
      </c>
      <c r="B5725" s="2">
        <v>46282.461111111108</v>
      </c>
      <c r="C5725" s="2">
        <v>46283.469444444447</v>
      </c>
      <c r="D5725" t="s">
        <v>6025</v>
      </c>
      <c r="E5725" t="s">
        <v>6031</v>
      </c>
      <c r="F5725" t="s">
        <v>6034</v>
      </c>
      <c r="G5725" t="s">
        <v>6092</v>
      </c>
      <c r="H5725" t="s">
        <v>6097</v>
      </c>
      <c r="I5725">
        <v>24</v>
      </c>
      <c r="J5725">
        <v>24.2</v>
      </c>
      <c r="K5725" t="s">
        <v>6099</v>
      </c>
      <c r="L5725" t="s">
        <v>6100</v>
      </c>
      <c r="M5725" t="s">
        <v>6100</v>
      </c>
      <c r="N5725">
        <v>4</v>
      </c>
      <c r="O5725" t="s">
        <v>6101</v>
      </c>
      <c r="P5725" t="s">
        <v>6115</v>
      </c>
      <c r="Q5725">
        <v>9</v>
      </c>
      <c r="R5725">
        <v>2026</v>
      </c>
      <c r="S5725" t="s">
        <v>6100</v>
      </c>
      <c r="T5725">
        <v>0</v>
      </c>
      <c r="U5725" t="s">
        <v>6019</v>
      </c>
      <c r="V5725">
        <v>1</v>
      </c>
    </row>
    <row r="5726" spans="1:22" x14ac:dyDescent="0.3">
      <c r="A5726" t="s">
        <v>5741</v>
      </c>
      <c r="B5726" s="2">
        <v>46282.469444444447</v>
      </c>
      <c r="C5726" s="2">
        <v>46282.677777777775</v>
      </c>
      <c r="D5726" t="s">
        <v>6028</v>
      </c>
      <c r="E5726" t="s">
        <v>6029</v>
      </c>
      <c r="F5726" t="s">
        <v>6035</v>
      </c>
      <c r="G5726" t="s">
        <v>6058</v>
      </c>
      <c r="H5726" t="s">
        <v>6098</v>
      </c>
      <c r="I5726">
        <v>4</v>
      </c>
      <c r="J5726">
        <v>5</v>
      </c>
      <c r="K5726" t="s">
        <v>6100</v>
      </c>
      <c r="L5726" t="s">
        <v>6099</v>
      </c>
      <c r="M5726" t="s">
        <v>6099</v>
      </c>
      <c r="O5726" t="s">
        <v>6101</v>
      </c>
      <c r="P5726" t="s">
        <v>6115</v>
      </c>
      <c r="Q5726">
        <v>9</v>
      </c>
      <c r="R5726">
        <v>2026</v>
      </c>
      <c r="S5726" t="s">
        <v>6100</v>
      </c>
      <c r="T5726">
        <v>0</v>
      </c>
      <c r="U5726" t="s">
        <v>6017</v>
      </c>
      <c r="V5726">
        <v>0</v>
      </c>
    </row>
    <row r="5727" spans="1:22" x14ac:dyDescent="0.3">
      <c r="A5727" t="s">
        <v>5742</v>
      </c>
      <c r="B5727" s="2">
        <v>46282.472916666666</v>
      </c>
      <c r="C5727" s="2">
        <v>46282.931250000001</v>
      </c>
      <c r="D5727" t="s">
        <v>6023</v>
      </c>
      <c r="E5727" t="s">
        <v>6029</v>
      </c>
      <c r="F5727" t="s">
        <v>6034</v>
      </c>
      <c r="G5727" t="s">
        <v>6082</v>
      </c>
      <c r="H5727" t="s">
        <v>6097</v>
      </c>
      <c r="I5727">
        <v>24</v>
      </c>
      <c r="J5727">
        <v>11</v>
      </c>
      <c r="K5727" t="s">
        <v>6099</v>
      </c>
      <c r="L5727" t="s">
        <v>6100</v>
      </c>
      <c r="M5727" t="s">
        <v>6100</v>
      </c>
      <c r="O5727" t="s">
        <v>6101</v>
      </c>
      <c r="P5727" t="s">
        <v>6115</v>
      </c>
      <c r="Q5727">
        <v>9</v>
      </c>
      <c r="R5727">
        <v>2026</v>
      </c>
      <c r="S5727" t="s">
        <v>6099</v>
      </c>
      <c r="T5727">
        <v>1</v>
      </c>
      <c r="U5727" t="s">
        <v>6017</v>
      </c>
      <c r="V5727">
        <v>1</v>
      </c>
    </row>
    <row r="5728" spans="1:22" x14ac:dyDescent="0.3">
      <c r="A5728" t="s">
        <v>5743</v>
      </c>
      <c r="B5728" s="2">
        <v>46282.474999999999</v>
      </c>
      <c r="C5728" s="2">
        <v>46282.57916666667</v>
      </c>
      <c r="D5728" t="s">
        <v>6028</v>
      </c>
      <c r="E5728" t="s">
        <v>6029</v>
      </c>
      <c r="F5728" t="s">
        <v>6034</v>
      </c>
      <c r="G5728" t="s">
        <v>6082</v>
      </c>
      <c r="H5728" t="s">
        <v>6097</v>
      </c>
      <c r="I5728">
        <v>24</v>
      </c>
      <c r="J5728">
        <v>2.5</v>
      </c>
      <c r="K5728" t="s">
        <v>6099</v>
      </c>
      <c r="L5728" t="s">
        <v>6100</v>
      </c>
      <c r="M5728" t="s">
        <v>6100</v>
      </c>
      <c r="N5728">
        <v>5</v>
      </c>
      <c r="O5728" t="s">
        <v>6101</v>
      </c>
      <c r="P5728" t="s">
        <v>6115</v>
      </c>
      <c r="Q5728">
        <v>9</v>
      </c>
      <c r="R5728">
        <v>2026</v>
      </c>
      <c r="S5728" t="s">
        <v>6099</v>
      </c>
      <c r="T5728">
        <v>1</v>
      </c>
      <c r="U5728" t="s">
        <v>6021</v>
      </c>
      <c r="V5728">
        <v>1</v>
      </c>
    </row>
    <row r="5729" spans="1:22" x14ac:dyDescent="0.3">
      <c r="A5729" t="s">
        <v>5744</v>
      </c>
      <c r="B5729" s="2">
        <v>46282.520833333336</v>
      </c>
      <c r="C5729" s="2">
        <v>46284.416666666664</v>
      </c>
      <c r="D5729" t="s">
        <v>6025</v>
      </c>
      <c r="E5729" t="s">
        <v>6029</v>
      </c>
      <c r="F5729" t="s">
        <v>6035</v>
      </c>
      <c r="G5729" t="s">
        <v>6082</v>
      </c>
      <c r="H5729" t="s">
        <v>6097</v>
      </c>
      <c r="I5729">
        <v>4</v>
      </c>
      <c r="J5729">
        <v>45.5</v>
      </c>
      <c r="K5729" t="s">
        <v>6099</v>
      </c>
      <c r="L5729" t="s">
        <v>6100</v>
      </c>
      <c r="M5729" t="s">
        <v>6100</v>
      </c>
      <c r="N5729">
        <v>3</v>
      </c>
      <c r="O5729" t="s">
        <v>6101</v>
      </c>
      <c r="P5729" t="s">
        <v>6115</v>
      </c>
      <c r="Q5729">
        <v>9</v>
      </c>
      <c r="R5729">
        <v>2026</v>
      </c>
      <c r="S5729" t="s">
        <v>6100</v>
      </c>
      <c r="T5729">
        <v>0</v>
      </c>
      <c r="U5729" t="s">
        <v>6019</v>
      </c>
      <c r="V5729">
        <v>1</v>
      </c>
    </row>
    <row r="5730" spans="1:22" x14ac:dyDescent="0.3">
      <c r="A5730" t="s">
        <v>5745</v>
      </c>
      <c r="B5730" s="2">
        <v>46282.532638888886</v>
      </c>
      <c r="C5730" s="2">
        <v>46283.015972222223</v>
      </c>
      <c r="D5730" t="s">
        <v>6022</v>
      </c>
      <c r="E5730" t="s">
        <v>6029</v>
      </c>
      <c r="F5730" t="s">
        <v>6033</v>
      </c>
      <c r="G5730" t="s">
        <v>6045</v>
      </c>
      <c r="H5730" t="s">
        <v>6096</v>
      </c>
      <c r="I5730">
        <v>72</v>
      </c>
      <c r="J5730">
        <v>11.6</v>
      </c>
      <c r="K5730" t="s">
        <v>6100</v>
      </c>
      <c r="L5730" t="s">
        <v>6099</v>
      </c>
      <c r="M5730" t="s">
        <v>6100</v>
      </c>
      <c r="O5730" t="s">
        <v>6101</v>
      </c>
      <c r="P5730" t="s">
        <v>6115</v>
      </c>
      <c r="Q5730">
        <v>9</v>
      </c>
      <c r="R5730">
        <v>2026</v>
      </c>
      <c r="S5730" t="s">
        <v>6099</v>
      </c>
      <c r="T5730">
        <v>1</v>
      </c>
      <c r="U5730" t="s">
        <v>6019</v>
      </c>
      <c r="V5730">
        <v>0</v>
      </c>
    </row>
    <row r="5731" spans="1:22" x14ac:dyDescent="0.3">
      <c r="A5731" t="s">
        <v>5746</v>
      </c>
      <c r="B5731" s="2">
        <v>46282.554861111108</v>
      </c>
      <c r="C5731" s="2">
        <v>46282.896527777775</v>
      </c>
      <c r="D5731" t="s">
        <v>6027</v>
      </c>
      <c r="E5731" t="s">
        <v>6029</v>
      </c>
      <c r="F5731" t="s">
        <v>6035</v>
      </c>
      <c r="G5731" t="s">
        <v>6083</v>
      </c>
      <c r="H5731" t="s">
        <v>6096</v>
      </c>
      <c r="I5731">
        <v>4</v>
      </c>
      <c r="J5731">
        <v>8.1999999999999993</v>
      </c>
      <c r="K5731" t="s">
        <v>6099</v>
      </c>
      <c r="L5731" t="s">
        <v>6100</v>
      </c>
      <c r="M5731" t="s">
        <v>6099</v>
      </c>
      <c r="O5731" t="s">
        <v>6101</v>
      </c>
      <c r="P5731" t="s">
        <v>6115</v>
      </c>
      <c r="Q5731">
        <v>9</v>
      </c>
      <c r="R5731">
        <v>2026</v>
      </c>
      <c r="S5731" t="s">
        <v>6100</v>
      </c>
      <c r="T5731">
        <v>0</v>
      </c>
      <c r="U5731" t="s">
        <v>6017</v>
      </c>
      <c r="V5731">
        <v>1</v>
      </c>
    </row>
    <row r="5732" spans="1:22" x14ac:dyDescent="0.3">
      <c r="A5732" t="s">
        <v>5747</v>
      </c>
      <c r="B5732" s="2">
        <v>46282.571527777778</v>
      </c>
      <c r="C5732" s="2">
        <v>46285.667361111111</v>
      </c>
      <c r="D5732" t="s">
        <v>6024</v>
      </c>
      <c r="E5732" t="s">
        <v>6029</v>
      </c>
      <c r="F5732" t="s">
        <v>6033</v>
      </c>
      <c r="G5732" t="s">
        <v>6038</v>
      </c>
      <c r="H5732" t="s">
        <v>6096</v>
      </c>
      <c r="I5732">
        <v>72</v>
      </c>
      <c r="J5732">
        <v>74.3</v>
      </c>
      <c r="K5732" t="s">
        <v>6099</v>
      </c>
      <c r="L5732" t="s">
        <v>6100</v>
      </c>
      <c r="M5732" t="s">
        <v>6100</v>
      </c>
      <c r="N5732">
        <v>3</v>
      </c>
      <c r="O5732" t="s">
        <v>6101</v>
      </c>
      <c r="P5732" t="s">
        <v>6115</v>
      </c>
      <c r="Q5732">
        <v>9</v>
      </c>
      <c r="R5732">
        <v>2026</v>
      </c>
      <c r="S5732" t="s">
        <v>6100</v>
      </c>
      <c r="T5732">
        <v>0</v>
      </c>
      <c r="U5732" t="s">
        <v>6018</v>
      </c>
      <c r="V5732">
        <v>1</v>
      </c>
    </row>
    <row r="5733" spans="1:22" x14ac:dyDescent="0.3">
      <c r="A5733" t="s">
        <v>5748</v>
      </c>
      <c r="B5733" s="2">
        <v>46282.572222222225</v>
      </c>
      <c r="C5733" s="2">
        <v>46283.209722222222</v>
      </c>
      <c r="D5733" t="s">
        <v>6024</v>
      </c>
      <c r="E5733" t="s">
        <v>6029</v>
      </c>
      <c r="F5733" t="s">
        <v>6033</v>
      </c>
      <c r="G5733" t="s">
        <v>6080</v>
      </c>
      <c r="H5733" t="s">
        <v>6096</v>
      </c>
      <c r="I5733">
        <v>72</v>
      </c>
      <c r="J5733">
        <v>15.3</v>
      </c>
      <c r="K5733" t="s">
        <v>6099</v>
      </c>
      <c r="L5733" t="s">
        <v>6100</v>
      </c>
      <c r="M5733" t="s">
        <v>6100</v>
      </c>
      <c r="O5733" t="s">
        <v>6101</v>
      </c>
      <c r="P5733" t="s">
        <v>6115</v>
      </c>
      <c r="Q5733">
        <v>9</v>
      </c>
      <c r="R5733">
        <v>2026</v>
      </c>
      <c r="S5733" t="s">
        <v>6099</v>
      </c>
      <c r="T5733">
        <v>1</v>
      </c>
      <c r="U5733" t="s">
        <v>6017</v>
      </c>
      <c r="V5733">
        <v>1</v>
      </c>
    </row>
    <row r="5734" spans="1:22" x14ac:dyDescent="0.3">
      <c r="A5734" t="s">
        <v>5749</v>
      </c>
      <c r="B5734" s="2">
        <v>46282.581944444442</v>
      </c>
      <c r="C5734" s="2">
        <v>46283.040277777778</v>
      </c>
      <c r="D5734" t="s">
        <v>6022</v>
      </c>
      <c r="E5734" t="s">
        <v>6029</v>
      </c>
      <c r="F5734" t="s">
        <v>6034</v>
      </c>
      <c r="G5734" t="s">
        <v>6076</v>
      </c>
      <c r="H5734" t="s">
        <v>6097</v>
      </c>
      <c r="I5734">
        <v>24</v>
      </c>
      <c r="J5734">
        <v>11</v>
      </c>
      <c r="K5734" t="s">
        <v>6099</v>
      </c>
      <c r="L5734" t="s">
        <v>6100</v>
      </c>
      <c r="M5734" t="s">
        <v>6100</v>
      </c>
      <c r="N5734">
        <v>4</v>
      </c>
      <c r="O5734" t="s">
        <v>6101</v>
      </c>
      <c r="P5734" t="s">
        <v>6115</v>
      </c>
      <c r="Q5734">
        <v>9</v>
      </c>
      <c r="R5734">
        <v>2026</v>
      </c>
      <c r="S5734" t="s">
        <v>6099</v>
      </c>
      <c r="T5734">
        <v>1</v>
      </c>
      <c r="U5734" t="s">
        <v>6021</v>
      </c>
      <c r="V5734">
        <v>1</v>
      </c>
    </row>
    <row r="5735" spans="1:22" x14ac:dyDescent="0.3">
      <c r="A5735" t="s">
        <v>5750</v>
      </c>
      <c r="B5735" s="2">
        <v>46282.592361111114</v>
      </c>
      <c r="C5735" s="2">
        <v>46281.467361111114</v>
      </c>
      <c r="D5735" t="s">
        <v>6028</v>
      </c>
      <c r="E5735" t="s">
        <v>6031</v>
      </c>
      <c r="F5735" t="s">
        <v>6034</v>
      </c>
      <c r="G5735" t="s">
        <v>6088</v>
      </c>
      <c r="H5735" t="s">
        <v>6097</v>
      </c>
      <c r="I5735">
        <v>24</v>
      </c>
      <c r="J5735">
        <v>18.3</v>
      </c>
      <c r="K5735" t="s">
        <v>6099</v>
      </c>
      <c r="L5735" t="s">
        <v>6100</v>
      </c>
      <c r="M5735" t="s">
        <v>6100</v>
      </c>
      <c r="O5735" t="s">
        <v>6101</v>
      </c>
      <c r="P5735" t="s">
        <v>6115</v>
      </c>
      <c r="Q5735">
        <v>9</v>
      </c>
      <c r="R5735">
        <v>2026</v>
      </c>
      <c r="S5735" t="s">
        <v>6099</v>
      </c>
      <c r="T5735">
        <v>1</v>
      </c>
      <c r="U5735" t="s">
        <v>6020</v>
      </c>
      <c r="V5735">
        <v>1</v>
      </c>
    </row>
    <row r="5736" spans="1:22" x14ac:dyDescent="0.3">
      <c r="A5736" t="s">
        <v>5751</v>
      </c>
      <c r="B5736" s="2">
        <v>46282.595138888886</v>
      </c>
      <c r="C5736" s="2">
        <v>46282.745138888888</v>
      </c>
      <c r="D5736" t="s">
        <v>6022</v>
      </c>
      <c r="E5736" t="s">
        <v>6029</v>
      </c>
      <c r="F5736" t="s">
        <v>6034</v>
      </c>
      <c r="G5736" t="s">
        <v>6079</v>
      </c>
      <c r="H5736" t="s">
        <v>6097</v>
      </c>
      <c r="I5736">
        <v>24</v>
      </c>
      <c r="J5736">
        <v>3.6</v>
      </c>
      <c r="K5736" t="s">
        <v>6099</v>
      </c>
      <c r="L5736" t="s">
        <v>6100</v>
      </c>
      <c r="M5736" t="s">
        <v>6100</v>
      </c>
      <c r="N5736">
        <v>5</v>
      </c>
      <c r="O5736" t="s">
        <v>6101</v>
      </c>
      <c r="P5736" t="s">
        <v>6115</v>
      </c>
      <c r="Q5736">
        <v>9</v>
      </c>
      <c r="R5736">
        <v>2026</v>
      </c>
      <c r="S5736" t="s">
        <v>6099</v>
      </c>
      <c r="T5736">
        <v>1</v>
      </c>
      <c r="U5736" t="s">
        <v>6020</v>
      </c>
      <c r="V5736">
        <v>1</v>
      </c>
    </row>
    <row r="5737" spans="1:22" x14ac:dyDescent="0.3">
      <c r="A5737" t="s">
        <v>5752</v>
      </c>
      <c r="B5737" s="2">
        <v>46282.597916666666</v>
      </c>
      <c r="C5737" s="2">
        <v>46282.71875</v>
      </c>
      <c r="D5737" t="s">
        <v>6027</v>
      </c>
      <c r="E5737" t="s">
        <v>6029</v>
      </c>
      <c r="F5737" t="s">
        <v>6033</v>
      </c>
      <c r="G5737" t="s">
        <v>6062</v>
      </c>
      <c r="H5737" t="s">
        <v>6096</v>
      </c>
      <c r="I5737">
        <v>72</v>
      </c>
      <c r="J5737">
        <v>2.9</v>
      </c>
      <c r="K5737" t="s">
        <v>6099</v>
      </c>
      <c r="L5737" t="s">
        <v>6100</v>
      </c>
      <c r="M5737" t="s">
        <v>6100</v>
      </c>
      <c r="O5737" t="s">
        <v>6101</v>
      </c>
      <c r="P5737" t="s">
        <v>6115</v>
      </c>
      <c r="Q5737">
        <v>9</v>
      </c>
      <c r="R5737">
        <v>2026</v>
      </c>
      <c r="S5737" t="s">
        <v>6099</v>
      </c>
      <c r="T5737">
        <v>1</v>
      </c>
      <c r="U5737" t="s">
        <v>6021</v>
      </c>
      <c r="V5737">
        <v>1</v>
      </c>
    </row>
    <row r="5738" spans="1:22" x14ac:dyDescent="0.3">
      <c r="A5738" t="s">
        <v>5753</v>
      </c>
      <c r="B5738" s="2">
        <v>46282.664583333331</v>
      </c>
      <c r="C5738" s="2">
        <v>46282.772916666669</v>
      </c>
      <c r="D5738" t="s">
        <v>6023</v>
      </c>
      <c r="E5738" t="s">
        <v>6030</v>
      </c>
      <c r="F5738" t="s">
        <v>6034</v>
      </c>
      <c r="G5738" t="s">
        <v>6091</v>
      </c>
      <c r="H5738" t="s">
        <v>6097</v>
      </c>
      <c r="I5738">
        <v>24</v>
      </c>
      <c r="J5738">
        <v>2.6</v>
      </c>
      <c r="K5738" t="s">
        <v>6099</v>
      </c>
      <c r="L5738" t="s">
        <v>6100</v>
      </c>
      <c r="M5738" t="s">
        <v>6100</v>
      </c>
      <c r="N5738">
        <v>5</v>
      </c>
      <c r="O5738" t="s">
        <v>6101</v>
      </c>
      <c r="P5738" t="s">
        <v>6115</v>
      </c>
      <c r="Q5738">
        <v>9</v>
      </c>
      <c r="R5738">
        <v>2026</v>
      </c>
      <c r="S5738" t="s">
        <v>6099</v>
      </c>
      <c r="T5738">
        <v>1</v>
      </c>
      <c r="U5738" t="s">
        <v>6020</v>
      </c>
      <c r="V5738">
        <v>1</v>
      </c>
    </row>
    <row r="5739" spans="1:22" x14ac:dyDescent="0.3">
      <c r="A5739" t="s">
        <v>5754</v>
      </c>
      <c r="B5739" s="2">
        <v>46282.71875</v>
      </c>
      <c r="C5739" s="2">
        <v>46283.28125</v>
      </c>
      <c r="D5739" t="s">
        <v>6023</v>
      </c>
      <c r="E5739" t="s">
        <v>6032</v>
      </c>
      <c r="F5739" t="s">
        <v>6034</v>
      </c>
      <c r="G5739" t="s">
        <v>6052</v>
      </c>
      <c r="H5739" t="s">
        <v>6098</v>
      </c>
      <c r="I5739">
        <v>24</v>
      </c>
      <c r="J5739">
        <v>13.5</v>
      </c>
      <c r="K5739" t="s">
        <v>6099</v>
      </c>
      <c r="L5739" t="s">
        <v>6100</v>
      </c>
      <c r="M5739" t="s">
        <v>6100</v>
      </c>
      <c r="N5739">
        <v>5</v>
      </c>
      <c r="O5739" t="s">
        <v>6101</v>
      </c>
      <c r="P5739" t="s">
        <v>6115</v>
      </c>
      <c r="Q5739">
        <v>9</v>
      </c>
      <c r="R5739">
        <v>2026</v>
      </c>
      <c r="S5739" t="s">
        <v>6099</v>
      </c>
      <c r="T5739">
        <v>1</v>
      </c>
      <c r="U5739" t="s">
        <v>6018</v>
      </c>
      <c r="V5739">
        <v>1</v>
      </c>
    </row>
    <row r="5740" spans="1:22" x14ac:dyDescent="0.3">
      <c r="A5740" t="s">
        <v>5755</v>
      </c>
      <c r="B5740" s="2">
        <v>46282.725694444445</v>
      </c>
      <c r="C5740" s="2">
        <v>46284.138194444444</v>
      </c>
      <c r="D5740" t="s">
        <v>6028</v>
      </c>
      <c r="E5740" t="s">
        <v>6031</v>
      </c>
      <c r="F5740" t="s">
        <v>6035</v>
      </c>
      <c r="G5740" t="s">
        <v>6055</v>
      </c>
      <c r="H5740" t="s">
        <v>6096</v>
      </c>
      <c r="I5740">
        <v>4</v>
      </c>
      <c r="J5740">
        <v>33.9</v>
      </c>
      <c r="K5740" t="s">
        <v>6100</v>
      </c>
      <c r="L5740" t="s">
        <v>6100</v>
      </c>
      <c r="M5740" t="s">
        <v>6100</v>
      </c>
      <c r="O5740" t="s">
        <v>6101</v>
      </c>
      <c r="P5740" t="s">
        <v>6115</v>
      </c>
      <c r="Q5740">
        <v>9</v>
      </c>
      <c r="R5740">
        <v>2026</v>
      </c>
      <c r="S5740" t="s">
        <v>6100</v>
      </c>
      <c r="T5740">
        <v>0</v>
      </c>
      <c r="U5740" t="s">
        <v>6020</v>
      </c>
      <c r="V5740">
        <v>0</v>
      </c>
    </row>
    <row r="5741" spans="1:22" x14ac:dyDescent="0.3">
      <c r="A5741" t="s">
        <v>5756</v>
      </c>
      <c r="B5741" s="2">
        <v>46282.725694444445</v>
      </c>
      <c r="C5741" s="2">
        <v>46283.113194444442</v>
      </c>
      <c r="D5741" t="s">
        <v>6023</v>
      </c>
      <c r="E5741" t="s">
        <v>6029</v>
      </c>
      <c r="F5741" t="s">
        <v>6034</v>
      </c>
      <c r="G5741" t="s">
        <v>6045</v>
      </c>
      <c r="H5741" t="s">
        <v>6096</v>
      </c>
      <c r="I5741">
        <v>24</v>
      </c>
      <c r="J5741">
        <v>9.3000000000000007</v>
      </c>
      <c r="K5741" t="s">
        <v>6099</v>
      </c>
      <c r="L5741" t="s">
        <v>6100</v>
      </c>
      <c r="M5741" t="s">
        <v>6100</v>
      </c>
      <c r="O5741" t="s">
        <v>6101</v>
      </c>
      <c r="P5741" t="s">
        <v>6115</v>
      </c>
      <c r="Q5741">
        <v>9</v>
      </c>
      <c r="R5741">
        <v>2026</v>
      </c>
      <c r="S5741" t="s">
        <v>6099</v>
      </c>
      <c r="T5741">
        <v>1</v>
      </c>
      <c r="U5741" t="s">
        <v>6018</v>
      </c>
      <c r="V5741">
        <v>1</v>
      </c>
    </row>
    <row r="5742" spans="1:22" x14ac:dyDescent="0.3">
      <c r="A5742" t="s">
        <v>5757</v>
      </c>
      <c r="B5742" s="2">
        <v>46282.726388888892</v>
      </c>
      <c r="C5742" s="2">
        <v>46283.418055555558</v>
      </c>
      <c r="D5742" t="s">
        <v>6025</v>
      </c>
      <c r="E5742" t="s">
        <v>6030</v>
      </c>
      <c r="F5742" t="s">
        <v>6035</v>
      </c>
      <c r="G5742" t="s">
        <v>6081</v>
      </c>
      <c r="H5742" t="s">
        <v>6098</v>
      </c>
      <c r="I5742">
        <v>4</v>
      </c>
      <c r="J5742">
        <v>16.600000000000001</v>
      </c>
      <c r="K5742" t="s">
        <v>6099</v>
      </c>
      <c r="L5742" t="s">
        <v>6100</v>
      </c>
      <c r="M5742" t="s">
        <v>6100</v>
      </c>
      <c r="N5742">
        <v>4</v>
      </c>
      <c r="O5742" t="s">
        <v>6101</v>
      </c>
      <c r="P5742" t="s">
        <v>6115</v>
      </c>
      <c r="Q5742">
        <v>9</v>
      </c>
      <c r="R5742">
        <v>2026</v>
      </c>
      <c r="S5742" t="s">
        <v>6100</v>
      </c>
      <c r="T5742">
        <v>0</v>
      </c>
      <c r="U5742" t="s">
        <v>6018</v>
      </c>
      <c r="V5742">
        <v>1</v>
      </c>
    </row>
    <row r="5743" spans="1:22" x14ac:dyDescent="0.3">
      <c r="A5743" t="s">
        <v>5758</v>
      </c>
      <c r="B5743" s="2">
        <v>46282.742361111108</v>
      </c>
      <c r="C5743" s="2">
        <v>46283.054861111108</v>
      </c>
      <c r="D5743" t="s">
        <v>6024</v>
      </c>
      <c r="E5743" t="s">
        <v>6029</v>
      </c>
      <c r="F5743" t="s">
        <v>6033</v>
      </c>
      <c r="G5743" t="s">
        <v>6068</v>
      </c>
      <c r="H5743" t="s">
        <v>6098</v>
      </c>
      <c r="I5743">
        <v>72</v>
      </c>
      <c r="J5743">
        <v>7.5</v>
      </c>
      <c r="K5743" t="s">
        <v>6100</v>
      </c>
      <c r="L5743" t="s">
        <v>6100</v>
      </c>
      <c r="M5743" t="s">
        <v>6100</v>
      </c>
      <c r="N5743">
        <v>3</v>
      </c>
      <c r="O5743" t="s">
        <v>6101</v>
      </c>
      <c r="P5743" t="s">
        <v>6115</v>
      </c>
      <c r="Q5743">
        <v>9</v>
      </c>
      <c r="R5743">
        <v>2026</v>
      </c>
      <c r="S5743" t="s">
        <v>6099</v>
      </c>
      <c r="T5743">
        <v>1</v>
      </c>
      <c r="U5743" t="s">
        <v>6021</v>
      </c>
      <c r="V5743">
        <v>0</v>
      </c>
    </row>
    <row r="5744" spans="1:22" x14ac:dyDescent="0.3">
      <c r="A5744" t="s">
        <v>5759</v>
      </c>
      <c r="B5744" s="2">
        <v>46283.29791666667</v>
      </c>
      <c r="C5744" s="2">
        <v>46283.40625</v>
      </c>
      <c r="D5744" t="s">
        <v>6028</v>
      </c>
      <c r="E5744" t="s">
        <v>6030</v>
      </c>
      <c r="F5744" t="s">
        <v>6035</v>
      </c>
      <c r="G5744" t="s">
        <v>6067</v>
      </c>
      <c r="H5744" t="s">
        <v>6098</v>
      </c>
      <c r="I5744">
        <v>4</v>
      </c>
      <c r="J5744">
        <v>2.6</v>
      </c>
      <c r="K5744" t="s">
        <v>6099</v>
      </c>
      <c r="L5744" t="s">
        <v>6100</v>
      </c>
      <c r="M5744" t="s">
        <v>6100</v>
      </c>
      <c r="O5744" t="s">
        <v>6101</v>
      </c>
      <c r="P5744" t="s">
        <v>6115</v>
      </c>
      <c r="Q5744">
        <v>9</v>
      </c>
      <c r="R5744">
        <v>2026</v>
      </c>
      <c r="S5744" t="s">
        <v>6099</v>
      </c>
      <c r="T5744">
        <v>1</v>
      </c>
      <c r="U5744" t="s">
        <v>6018</v>
      </c>
      <c r="V5744">
        <v>1</v>
      </c>
    </row>
    <row r="5745" spans="1:22" x14ac:dyDescent="0.3">
      <c r="A5745" t="s">
        <v>5760</v>
      </c>
      <c r="B5745" s="2">
        <v>46283.307638888888</v>
      </c>
      <c r="C5745" s="2">
        <v>46283.540972222225</v>
      </c>
      <c r="D5745" t="s">
        <v>6025</v>
      </c>
      <c r="E5745" t="s">
        <v>6030</v>
      </c>
      <c r="F5745" t="s">
        <v>6033</v>
      </c>
      <c r="G5745" t="s">
        <v>6042</v>
      </c>
      <c r="H5745" t="s">
        <v>6098</v>
      </c>
      <c r="I5745">
        <v>72</v>
      </c>
      <c r="J5745">
        <v>5.6</v>
      </c>
      <c r="K5745" t="s">
        <v>6099</v>
      </c>
      <c r="L5745" t="s">
        <v>6100</v>
      </c>
      <c r="M5745" t="s">
        <v>6100</v>
      </c>
      <c r="N5745">
        <v>5</v>
      </c>
      <c r="O5745" t="s">
        <v>6101</v>
      </c>
      <c r="P5745" t="s">
        <v>6115</v>
      </c>
      <c r="Q5745">
        <v>9</v>
      </c>
      <c r="R5745">
        <v>2026</v>
      </c>
      <c r="S5745" t="s">
        <v>6099</v>
      </c>
      <c r="T5745">
        <v>1</v>
      </c>
      <c r="U5745" t="s">
        <v>6018</v>
      </c>
      <c r="V5745">
        <v>1</v>
      </c>
    </row>
    <row r="5746" spans="1:22" x14ac:dyDescent="0.3">
      <c r="A5746" t="s">
        <v>5761</v>
      </c>
      <c r="B5746" s="2">
        <v>46283.461805555555</v>
      </c>
      <c r="C5746" s="2">
        <v>46283.632638888892</v>
      </c>
      <c r="D5746" t="s">
        <v>6028</v>
      </c>
      <c r="E5746" t="s">
        <v>6029</v>
      </c>
      <c r="F5746" t="s">
        <v>6034</v>
      </c>
      <c r="G5746" t="s">
        <v>6069</v>
      </c>
      <c r="H5746" t="s">
        <v>6098</v>
      </c>
      <c r="I5746">
        <v>24</v>
      </c>
      <c r="J5746">
        <v>4.0999999999999996</v>
      </c>
      <c r="K5746" t="s">
        <v>6099</v>
      </c>
      <c r="L5746" t="s">
        <v>6100</v>
      </c>
      <c r="M5746" t="s">
        <v>6099</v>
      </c>
      <c r="N5746">
        <v>4</v>
      </c>
      <c r="O5746" t="s">
        <v>6101</v>
      </c>
      <c r="P5746" t="s">
        <v>6115</v>
      </c>
      <c r="Q5746">
        <v>9</v>
      </c>
      <c r="R5746">
        <v>2026</v>
      </c>
      <c r="S5746" t="s">
        <v>6099</v>
      </c>
      <c r="T5746">
        <v>1</v>
      </c>
      <c r="U5746" t="s">
        <v>6021</v>
      </c>
      <c r="V5746">
        <v>1</v>
      </c>
    </row>
    <row r="5747" spans="1:22" x14ac:dyDescent="0.3">
      <c r="A5747" t="s">
        <v>5762</v>
      </c>
      <c r="B5747" s="2">
        <v>46283.462500000001</v>
      </c>
      <c r="C5747" s="2">
        <v>46283.654166666667</v>
      </c>
      <c r="D5747" t="s">
        <v>6022</v>
      </c>
      <c r="E5747" t="s">
        <v>6030</v>
      </c>
      <c r="F5747" t="s">
        <v>6033</v>
      </c>
      <c r="G5747" t="s">
        <v>6036</v>
      </c>
      <c r="H5747" t="s">
        <v>6096</v>
      </c>
      <c r="I5747">
        <v>72</v>
      </c>
      <c r="J5747">
        <v>4.5999999999999996</v>
      </c>
      <c r="K5747" t="s">
        <v>6100</v>
      </c>
      <c r="L5747" t="s">
        <v>6100</v>
      </c>
      <c r="M5747" t="s">
        <v>6100</v>
      </c>
      <c r="O5747" t="s">
        <v>6101</v>
      </c>
      <c r="P5747" t="s">
        <v>6115</v>
      </c>
      <c r="Q5747">
        <v>9</v>
      </c>
      <c r="R5747">
        <v>2026</v>
      </c>
      <c r="S5747" t="s">
        <v>6099</v>
      </c>
      <c r="T5747">
        <v>1</v>
      </c>
      <c r="U5747" t="s">
        <v>6017</v>
      </c>
      <c r="V5747">
        <v>0</v>
      </c>
    </row>
    <row r="5748" spans="1:22" x14ac:dyDescent="0.3">
      <c r="A5748" t="s">
        <v>5763</v>
      </c>
      <c r="B5748" s="2">
        <v>46283.479166666664</v>
      </c>
      <c r="C5748" s="2">
        <v>46283.8125</v>
      </c>
      <c r="D5748" t="s">
        <v>6022</v>
      </c>
      <c r="E5748" t="s">
        <v>6029</v>
      </c>
      <c r="F5748" t="s">
        <v>6034</v>
      </c>
      <c r="G5748" t="s">
        <v>6044</v>
      </c>
      <c r="H5748" t="s">
        <v>6097</v>
      </c>
      <c r="I5748">
        <v>24</v>
      </c>
      <c r="J5748">
        <v>8</v>
      </c>
      <c r="K5748" t="s">
        <v>6099</v>
      </c>
      <c r="L5748" t="s">
        <v>6100</v>
      </c>
      <c r="M5748" t="s">
        <v>6100</v>
      </c>
      <c r="N5748">
        <v>5</v>
      </c>
      <c r="O5748" t="s">
        <v>6101</v>
      </c>
      <c r="P5748" t="s">
        <v>6115</v>
      </c>
      <c r="Q5748">
        <v>9</v>
      </c>
      <c r="R5748">
        <v>2026</v>
      </c>
      <c r="S5748" t="s">
        <v>6099</v>
      </c>
      <c r="T5748">
        <v>1</v>
      </c>
      <c r="U5748" t="s">
        <v>6018</v>
      </c>
      <c r="V5748">
        <v>1</v>
      </c>
    </row>
    <row r="5749" spans="1:22" x14ac:dyDescent="0.3">
      <c r="A5749" t="s">
        <v>5764</v>
      </c>
      <c r="B5749" s="2">
        <v>46283.522222222222</v>
      </c>
      <c r="C5749" s="2">
        <v>46283.672222222223</v>
      </c>
      <c r="D5749" t="s">
        <v>6027</v>
      </c>
      <c r="E5749" t="s">
        <v>6029</v>
      </c>
      <c r="F5749" t="s">
        <v>6033</v>
      </c>
      <c r="G5749" t="s">
        <v>6057</v>
      </c>
      <c r="H5749" t="s">
        <v>6097</v>
      </c>
      <c r="I5749">
        <v>72</v>
      </c>
      <c r="J5749">
        <v>3.6</v>
      </c>
      <c r="K5749" t="s">
        <v>6099</v>
      </c>
      <c r="L5749" t="s">
        <v>6100</v>
      </c>
      <c r="M5749" t="s">
        <v>6100</v>
      </c>
      <c r="O5749" t="s">
        <v>6101</v>
      </c>
      <c r="P5749" t="s">
        <v>6115</v>
      </c>
      <c r="Q5749">
        <v>9</v>
      </c>
      <c r="R5749">
        <v>2026</v>
      </c>
      <c r="S5749" t="s">
        <v>6099</v>
      </c>
      <c r="T5749">
        <v>1</v>
      </c>
      <c r="U5749" t="s">
        <v>6018</v>
      </c>
      <c r="V5749">
        <v>1</v>
      </c>
    </row>
    <row r="5750" spans="1:22" x14ac:dyDescent="0.3">
      <c r="A5750" t="s">
        <v>5765</v>
      </c>
      <c r="B5750" s="2">
        <v>46283.533333333333</v>
      </c>
      <c r="C5750" s="2">
        <v>46286.51666666667</v>
      </c>
      <c r="D5750" t="s">
        <v>6025</v>
      </c>
      <c r="E5750" t="s">
        <v>6032</v>
      </c>
      <c r="F5750" t="s">
        <v>6033</v>
      </c>
      <c r="G5750" t="s">
        <v>6071</v>
      </c>
      <c r="H5750" t="s">
        <v>6098</v>
      </c>
      <c r="I5750">
        <v>72</v>
      </c>
      <c r="J5750">
        <v>71.599999999999994</v>
      </c>
      <c r="K5750" t="s">
        <v>6099</v>
      </c>
      <c r="L5750" t="s">
        <v>6100</v>
      </c>
      <c r="M5750" t="s">
        <v>6100</v>
      </c>
      <c r="N5750">
        <v>4</v>
      </c>
      <c r="O5750" t="s">
        <v>6101</v>
      </c>
      <c r="P5750" t="s">
        <v>6115</v>
      </c>
      <c r="Q5750">
        <v>9</v>
      </c>
      <c r="R5750">
        <v>2026</v>
      </c>
      <c r="S5750" t="s">
        <v>6099</v>
      </c>
      <c r="T5750">
        <v>1</v>
      </c>
      <c r="U5750" t="s">
        <v>6020</v>
      </c>
      <c r="V5750">
        <v>1</v>
      </c>
    </row>
    <row r="5751" spans="1:22" x14ac:dyDescent="0.3">
      <c r="A5751" t="s">
        <v>5766</v>
      </c>
      <c r="B5751" s="2">
        <v>46283.573611111111</v>
      </c>
      <c r="C5751" s="2">
        <v>46287.765277777777</v>
      </c>
      <c r="D5751" t="s">
        <v>6026</v>
      </c>
      <c r="E5751" t="s">
        <v>6032</v>
      </c>
      <c r="F5751" t="s">
        <v>6033</v>
      </c>
      <c r="G5751" t="s">
        <v>6071</v>
      </c>
      <c r="H5751" t="s">
        <v>6098</v>
      </c>
      <c r="I5751">
        <v>72</v>
      </c>
      <c r="J5751">
        <v>100.6</v>
      </c>
      <c r="K5751" t="s">
        <v>6100</v>
      </c>
      <c r="L5751" t="s">
        <v>6100</v>
      </c>
      <c r="M5751" t="s">
        <v>6100</v>
      </c>
      <c r="O5751" t="s">
        <v>6101</v>
      </c>
      <c r="P5751" t="s">
        <v>6115</v>
      </c>
      <c r="Q5751">
        <v>9</v>
      </c>
      <c r="R5751">
        <v>2026</v>
      </c>
      <c r="S5751" t="s">
        <v>6100</v>
      </c>
      <c r="T5751">
        <v>0</v>
      </c>
      <c r="U5751" t="s">
        <v>6020</v>
      </c>
      <c r="V5751">
        <v>0</v>
      </c>
    </row>
    <row r="5752" spans="1:22" x14ac:dyDescent="0.3">
      <c r="A5752" t="s">
        <v>5767</v>
      </c>
      <c r="B5752" s="2">
        <v>46283.648611111108</v>
      </c>
      <c r="C5752" s="2">
        <v>46283.786111111112</v>
      </c>
      <c r="D5752" t="s">
        <v>6023</v>
      </c>
      <c r="E5752" t="s">
        <v>6029</v>
      </c>
      <c r="F5752" t="s">
        <v>6033</v>
      </c>
      <c r="G5752" t="s">
        <v>6093</v>
      </c>
      <c r="H5752" t="s">
        <v>6097</v>
      </c>
      <c r="I5752">
        <v>72</v>
      </c>
      <c r="J5752">
        <v>3.3</v>
      </c>
      <c r="K5752" t="s">
        <v>6099</v>
      </c>
      <c r="L5752" t="s">
        <v>6100</v>
      </c>
      <c r="M5752" t="s">
        <v>6100</v>
      </c>
      <c r="N5752">
        <v>3</v>
      </c>
      <c r="O5752" t="s">
        <v>6101</v>
      </c>
      <c r="P5752" t="s">
        <v>6115</v>
      </c>
      <c r="Q5752">
        <v>9</v>
      </c>
      <c r="R5752">
        <v>2026</v>
      </c>
      <c r="S5752" t="s">
        <v>6099</v>
      </c>
      <c r="T5752">
        <v>1</v>
      </c>
      <c r="U5752" t="s">
        <v>6020</v>
      </c>
      <c r="V5752">
        <v>1</v>
      </c>
    </row>
    <row r="5753" spans="1:22" x14ac:dyDescent="0.3">
      <c r="A5753" t="s">
        <v>5768</v>
      </c>
      <c r="B5753" s="2">
        <v>46283.675000000003</v>
      </c>
      <c r="C5753" s="2">
        <v>46286.133333333331</v>
      </c>
      <c r="D5753" t="s">
        <v>6026</v>
      </c>
      <c r="E5753" t="s">
        <v>6032</v>
      </c>
      <c r="F5753" t="s">
        <v>6035</v>
      </c>
      <c r="G5753" t="s">
        <v>6067</v>
      </c>
      <c r="H5753" t="s">
        <v>6098</v>
      </c>
      <c r="I5753">
        <v>4</v>
      </c>
      <c r="J5753">
        <v>59</v>
      </c>
      <c r="K5753" t="s">
        <v>6099</v>
      </c>
      <c r="L5753" t="s">
        <v>6100</v>
      </c>
      <c r="M5753" t="s">
        <v>6100</v>
      </c>
      <c r="N5753">
        <v>4</v>
      </c>
      <c r="O5753" t="s">
        <v>6101</v>
      </c>
      <c r="P5753" t="s">
        <v>6115</v>
      </c>
      <c r="Q5753">
        <v>9</v>
      </c>
      <c r="R5753">
        <v>2026</v>
      </c>
      <c r="S5753" t="s">
        <v>6100</v>
      </c>
      <c r="T5753">
        <v>0</v>
      </c>
      <c r="U5753" t="s">
        <v>6019</v>
      </c>
      <c r="V5753">
        <v>1</v>
      </c>
    </row>
    <row r="5754" spans="1:22" x14ac:dyDescent="0.3">
      <c r="A5754" t="s">
        <v>5769</v>
      </c>
      <c r="B5754" s="2">
        <v>46283.679166666669</v>
      </c>
      <c r="C5754" s="2">
        <v>46284.183333333334</v>
      </c>
      <c r="D5754" t="s">
        <v>6024</v>
      </c>
      <c r="E5754" t="s">
        <v>6030</v>
      </c>
      <c r="F5754" t="s">
        <v>6034</v>
      </c>
      <c r="G5754" t="s">
        <v>6062</v>
      </c>
      <c r="H5754" t="s">
        <v>6096</v>
      </c>
      <c r="I5754">
        <v>24</v>
      </c>
      <c r="J5754">
        <v>12.1</v>
      </c>
      <c r="K5754" t="s">
        <v>6100</v>
      </c>
      <c r="L5754" t="s">
        <v>6099</v>
      </c>
      <c r="M5754" t="s">
        <v>6100</v>
      </c>
      <c r="N5754">
        <v>5</v>
      </c>
      <c r="O5754" t="s">
        <v>6101</v>
      </c>
      <c r="P5754" t="s">
        <v>6115</v>
      </c>
      <c r="Q5754">
        <v>9</v>
      </c>
      <c r="R5754">
        <v>2026</v>
      </c>
      <c r="S5754" t="s">
        <v>6099</v>
      </c>
      <c r="T5754">
        <v>1</v>
      </c>
      <c r="U5754" t="s">
        <v>6021</v>
      </c>
      <c r="V5754">
        <v>0</v>
      </c>
    </row>
    <row r="5755" spans="1:22" x14ac:dyDescent="0.3">
      <c r="A5755" t="s">
        <v>5770</v>
      </c>
      <c r="B5755" s="2">
        <v>46283.686111111114</v>
      </c>
      <c r="C5755" s="2">
        <v>46284.102777777778</v>
      </c>
      <c r="D5755" t="s">
        <v>6023</v>
      </c>
      <c r="E5755" t="s">
        <v>6030</v>
      </c>
      <c r="F5755" t="s">
        <v>6033</v>
      </c>
      <c r="G5755" t="s">
        <v>6057</v>
      </c>
      <c r="H5755" t="s">
        <v>6097</v>
      </c>
      <c r="I5755">
        <v>72</v>
      </c>
      <c r="J5755">
        <v>10</v>
      </c>
      <c r="K5755" t="s">
        <v>6100</v>
      </c>
      <c r="L5755" t="s">
        <v>6100</v>
      </c>
      <c r="M5755" t="s">
        <v>6100</v>
      </c>
      <c r="N5755">
        <v>5</v>
      </c>
      <c r="O5755" t="s">
        <v>6101</v>
      </c>
      <c r="P5755" t="s">
        <v>6115</v>
      </c>
      <c r="Q5755">
        <v>9</v>
      </c>
      <c r="R5755">
        <v>2026</v>
      </c>
      <c r="S5755" t="s">
        <v>6099</v>
      </c>
      <c r="T5755">
        <v>1</v>
      </c>
      <c r="U5755" t="s">
        <v>6017</v>
      </c>
      <c r="V5755">
        <v>0</v>
      </c>
    </row>
    <row r="5756" spans="1:22" x14ac:dyDescent="0.3">
      <c r="A5756" t="s">
        <v>5771</v>
      </c>
      <c r="B5756" s="2">
        <v>46284.063888888886</v>
      </c>
      <c r="C5756" s="2">
        <v>46285.163888888892</v>
      </c>
      <c r="D5756" t="s">
        <v>6022</v>
      </c>
      <c r="E5756" t="s">
        <v>6030</v>
      </c>
      <c r="F5756" t="s">
        <v>6033</v>
      </c>
      <c r="G5756" t="s">
        <v>6072</v>
      </c>
      <c r="H5756" t="s">
        <v>6097</v>
      </c>
      <c r="I5756">
        <v>72</v>
      </c>
      <c r="J5756">
        <v>26.4</v>
      </c>
      <c r="K5756" t="s">
        <v>6099</v>
      </c>
      <c r="L5756" t="s">
        <v>6100</v>
      </c>
      <c r="M5756" t="s">
        <v>6100</v>
      </c>
      <c r="O5756" t="s">
        <v>6101</v>
      </c>
      <c r="P5756" t="s">
        <v>6115</v>
      </c>
      <c r="Q5756">
        <v>9</v>
      </c>
      <c r="R5756">
        <v>2026</v>
      </c>
      <c r="S5756" t="s">
        <v>6099</v>
      </c>
      <c r="T5756">
        <v>1</v>
      </c>
      <c r="U5756" t="s">
        <v>6021</v>
      </c>
      <c r="V5756">
        <v>1</v>
      </c>
    </row>
    <row r="5757" spans="1:22" x14ac:dyDescent="0.3">
      <c r="A5757" t="s">
        <v>5772</v>
      </c>
      <c r="B5757" s="2">
        <v>46284.229166666664</v>
      </c>
      <c r="C5757" s="2">
        <v>46284.416666666664</v>
      </c>
      <c r="D5757" t="s">
        <v>6027</v>
      </c>
      <c r="E5757" t="s">
        <v>6029</v>
      </c>
      <c r="F5757" t="s">
        <v>6034</v>
      </c>
      <c r="G5757" t="s">
        <v>6072</v>
      </c>
      <c r="H5757" t="s">
        <v>6097</v>
      </c>
      <c r="I5757">
        <v>24</v>
      </c>
      <c r="J5757">
        <v>4.5</v>
      </c>
      <c r="K5757" t="s">
        <v>6099</v>
      </c>
      <c r="L5757" t="s">
        <v>6100</v>
      </c>
      <c r="M5757" t="s">
        <v>6100</v>
      </c>
      <c r="N5757">
        <v>5</v>
      </c>
      <c r="O5757" t="s">
        <v>6101</v>
      </c>
      <c r="P5757" t="s">
        <v>6115</v>
      </c>
      <c r="Q5757">
        <v>9</v>
      </c>
      <c r="R5757">
        <v>2026</v>
      </c>
      <c r="S5757" t="s">
        <v>6099</v>
      </c>
      <c r="T5757">
        <v>1</v>
      </c>
      <c r="U5757" t="s">
        <v>6017</v>
      </c>
      <c r="V5757">
        <v>1</v>
      </c>
    </row>
    <row r="5758" spans="1:22" x14ac:dyDescent="0.3">
      <c r="A5758" t="s">
        <v>5773</v>
      </c>
      <c r="B5758" s="2">
        <v>46284.299305555556</v>
      </c>
      <c r="C5758" s="2">
        <v>46287.77847222222</v>
      </c>
      <c r="D5758" t="s">
        <v>6025</v>
      </c>
      <c r="E5758" t="s">
        <v>6031</v>
      </c>
      <c r="F5758" t="s">
        <v>6033</v>
      </c>
      <c r="G5758" t="s">
        <v>6044</v>
      </c>
      <c r="H5758" t="s">
        <v>6097</v>
      </c>
      <c r="I5758">
        <v>72</v>
      </c>
      <c r="J5758">
        <v>83.5</v>
      </c>
      <c r="K5758" t="s">
        <v>6100</v>
      </c>
      <c r="L5758" t="s">
        <v>6099</v>
      </c>
      <c r="M5758" t="s">
        <v>6100</v>
      </c>
      <c r="O5758" t="s">
        <v>6101</v>
      </c>
      <c r="P5758" t="s">
        <v>6115</v>
      </c>
      <c r="Q5758">
        <v>9</v>
      </c>
      <c r="R5758">
        <v>2026</v>
      </c>
      <c r="S5758" t="s">
        <v>6100</v>
      </c>
      <c r="T5758">
        <v>0</v>
      </c>
      <c r="U5758" t="s">
        <v>6018</v>
      </c>
      <c r="V5758">
        <v>0</v>
      </c>
    </row>
    <row r="5759" spans="1:22" x14ac:dyDescent="0.3">
      <c r="A5759" t="s">
        <v>5774</v>
      </c>
      <c r="B5759" s="2">
        <v>46284.413888888892</v>
      </c>
      <c r="C5759" s="2">
        <v>46286.113888888889</v>
      </c>
      <c r="D5759" t="s">
        <v>6027</v>
      </c>
      <c r="E5759" t="s">
        <v>6031</v>
      </c>
      <c r="F5759" t="s">
        <v>6033</v>
      </c>
      <c r="G5759" t="s">
        <v>6088</v>
      </c>
      <c r="H5759" t="s">
        <v>6097</v>
      </c>
      <c r="I5759">
        <v>72</v>
      </c>
      <c r="J5759">
        <v>40.799999999999997</v>
      </c>
      <c r="K5759" t="s">
        <v>6099</v>
      </c>
      <c r="L5759" t="s">
        <v>6100</v>
      </c>
      <c r="M5759" t="s">
        <v>6100</v>
      </c>
      <c r="N5759">
        <v>5</v>
      </c>
      <c r="O5759" t="s">
        <v>6101</v>
      </c>
      <c r="P5759" t="s">
        <v>6115</v>
      </c>
      <c r="Q5759">
        <v>9</v>
      </c>
      <c r="R5759">
        <v>2026</v>
      </c>
      <c r="S5759" t="s">
        <v>6099</v>
      </c>
      <c r="T5759">
        <v>1</v>
      </c>
      <c r="U5759" t="s">
        <v>6020</v>
      </c>
      <c r="V5759">
        <v>1</v>
      </c>
    </row>
    <row r="5760" spans="1:22" x14ac:dyDescent="0.3">
      <c r="A5760" t="s">
        <v>5775</v>
      </c>
      <c r="B5760" s="2">
        <v>46284.475694444445</v>
      </c>
      <c r="C5760" s="2">
        <v>46284.792361111111</v>
      </c>
      <c r="D5760" t="s">
        <v>6028</v>
      </c>
      <c r="E5760" t="s">
        <v>6029</v>
      </c>
      <c r="F5760" t="s">
        <v>6035</v>
      </c>
      <c r="G5760" t="s">
        <v>6084</v>
      </c>
      <c r="H5760" t="s">
        <v>6098</v>
      </c>
      <c r="I5760">
        <v>4</v>
      </c>
      <c r="J5760">
        <v>7.6</v>
      </c>
      <c r="K5760" t="s">
        <v>6100</v>
      </c>
      <c r="L5760" t="s">
        <v>6099</v>
      </c>
      <c r="M5760" t="s">
        <v>6099</v>
      </c>
      <c r="N5760">
        <v>2</v>
      </c>
      <c r="O5760" t="s">
        <v>6101</v>
      </c>
      <c r="P5760" t="s">
        <v>6115</v>
      </c>
      <c r="Q5760">
        <v>9</v>
      </c>
      <c r="R5760">
        <v>2026</v>
      </c>
      <c r="S5760" t="s">
        <v>6100</v>
      </c>
      <c r="T5760">
        <v>0</v>
      </c>
      <c r="U5760" t="s">
        <v>6018</v>
      </c>
      <c r="V5760">
        <v>0</v>
      </c>
    </row>
    <row r="5761" spans="1:22" x14ac:dyDescent="0.3">
      <c r="A5761" t="s">
        <v>5776</v>
      </c>
      <c r="B5761" s="2">
        <v>46284.503472222219</v>
      </c>
      <c r="C5761" s="2">
        <v>46286.103472222225</v>
      </c>
      <c r="D5761" t="s">
        <v>6022</v>
      </c>
      <c r="E5761" t="s">
        <v>6032</v>
      </c>
      <c r="F5761" t="s">
        <v>6034</v>
      </c>
      <c r="G5761" t="s">
        <v>6058</v>
      </c>
      <c r="H5761" t="s">
        <v>6098</v>
      </c>
      <c r="I5761">
        <v>24</v>
      </c>
      <c r="J5761">
        <v>38.4</v>
      </c>
      <c r="K5761" t="s">
        <v>6099</v>
      </c>
      <c r="L5761" t="s">
        <v>6100</v>
      </c>
      <c r="M5761" t="s">
        <v>6100</v>
      </c>
      <c r="N5761">
        <v>3</v>
      </c>
      <c r="O5761" t="s">
        <v>6101</v>
      </c>
      <c r="P5761" t="s">
        <v>6115</v>
      </c>
      <c r="Q5761">
        <v>9</v>
      </c>
      <c r="R5761">
        <v>2026</v>
      </c>
      <c r="S5761" t="s">
        <v>6100</v>
      </c>
      <c r="T5761">
        <v>0</v>
      </c>
      <c r="U5761" t="s">
        <v>6020</v>
      </c>
      <c r="V5761">
        <v>1</v>
      </c>
    </row>
    <row r="5762" spans="1:22" x14ac:dyDescent="0.3">
      <c r="A5762" t="s">
        <v>5777</v>
      </c>
      <c r="B5762" s="2">
        <v>46284.526388888888</v>
      </c>
      <c r="C5762" s="2">
        <v>46285.655555555553</v>
      </c>
      <c r="D5762" t="s">
        <v>6027</v>
      </c>
      <c r="E5762" t="s">
        <v>6031</v>
      </c>
      <c r="F5762" t="s">
        <v>6034</v>
      </c>
      <c r="G5762" t="s">
        <v>6042</v>
      </c>
      <c r="H5762" t="s">
        <v>6098</v>
      </c>
      <c r="I5762">
        <v>24</v>
      </c>
      <c r="J5762">
        <v>27.1</v>
      </c>
      <c r="K5762" t="s">
        <v>6100</v>
      </c>
      <c r="L5762" t="s">
        <v>6099</v>
      </c>
      <c r="M5762" t="s">
        <v>6100</v>
      </c>
      <c r="O5762" t="s">
        <v>6101</v>
      </c>
      <c r="P5762" t="s">
        <v>6115</v>
      </c>
      <c r="Q5762">
        <v>9</v>
      </c>
      <c r="R5762">
        <v>2026</v>
      </c>
      <c r="S5762" t="s">
        <v>6100</v>
      </c>
      <c r="T5762">
        <v>0</v>
      </c>
      <c r="U5762" t="s">
        <v>6021</v>
      </c>
      <c r="V5762">
        <v>0</v>
      </c>
    </row>
    <row r="5763" spans="1:22" x14ac:dyDescent="0.3">
      <c r="A5763" t="s">
        <v>5778</v>
      </c>
      <c r="B5763" s="2">
        <v>46284.591666666667</v>
      </c>
      <c r="C5763" s="2">
        <v>46285.654166666667</v>
      </c>
      <c r="D5763" t="s">
        <v>6025</v>
      </c>
      <c r="E5763" t="s">
        <v>6029</v>
      </c>
      <c r="F5763" t="s">
        <v>6035</v>
      </c>
      <c r="G5763" t="s">
        <v>6051</v>
      </c>
      <c r="H5763" t="s">
        <v>6097</v>
      </c>
      <c r="I5763">
        <v>4</v>
      </c>
      <c r="J5763">
        <v>25.5</v>
      </c>
      <c r="K5763" t="s">
        <v>6100</v>
      </c>
      <c r="L5763" t="s">
        <v>6100</v>
      </c>
      <c r="M5763" t="s">
        <v>6100</v>
      </c>
      <c r="N5763">
        <v>3</v>
      </c>
      <c r="O5763" t="s">
        <v>6101</v>
      </c>
      <c r="P5763" t="s">
        <v>6115</v>
      </c>
      <c r="Q5763">
        <v>9</v>
      </c>
      <c r="R5763">
        <v>2026</v>
      </c>
      <c r="S5763" t="s">
        <v>6100</v>
      </c>
      <c r="T5763">
        <v>0</v>
      </c>
      <c r="U5763" t="s">
        <v>6019</v>
      </c>
      <c r="V5763">
        <v>0</v>
      </c>
    </row>
    <row r="5764" spans="1:22" x14ac:dyDescent="0.3">
      <c r="A5764" t="s">
        <v>5779</v>
      </c>
      <c r="B5764" s="2">
        <v>46284.631249999999</v>
      </c>
      <c r="C5764" s="2">
        <v>46285.760416666664</v>
      </c>
      <c r="D5764" t="s">
        <v>6025</v>
      </c>
      <c r="E5764" t="s">
        <v>6031</v>
      </c>
      <c r="F5764" t="s">
        <v>6034</v>
      </c>
      <c r="G5764" t="s">
        <v>6087</v>
      </c>
      <c r="H5764" t="s">
        <v>6098</v>
      </c>
      <c r="I5764">
        <v>24</v>
      </c>
      <c r="J5764">
        <v>27.1</v>
      </c>
      <c r="K5764" t="s">
        <v>6099</v>
      </c>
      <c r="L5764" t="s">
        <v>6100</v>
      </c>
      <c r="M5764" t="s">
        <v>6100</v>
      </c>
      <c r="N5764">
        <v>5</v>
      </c>
      <c r="O5764" t="s">
        <v>6101</v>
      </c>
      <c r="P5764" t="s">
        <v>6115</v>
      </c>
      <c r="Q5764">
        <v>9</v>
      </c>
      <c r="R5764">
        <v>2026</v>
      </c>
      <c r="S5764" t="s">
        <v>6100</v>
      </c>
      <c r="T5764">
        <v>0</v>
      </c>
      <c r="U5764" t="s">
        <v>6017</v>
      </c>
      <c r="V5764">
        <v>1</v>
      </c>
    </row>
    <row r="5765" spans="1:22" x14ac:dyDescent="0.3">
      <c r="A5765" t="s">
        <v>5780</v>
      </c>
      <c r="B5765" s="2">
        <v>46284.647222222222</v>
      </c>
      <c r="C5765" s="2">
        <v>46288.968055555553</v>
      </c>
      <c r="D5765" t="s">
        <v>6025</v>
      </c>
      <c r="E5765" t="s">
        <v>6032</v>
      </c>
      <c r="F5765" t="s">
        <v>6034</v>
      </c>
      <c r="G5765" t="s">
        <v>6070</v>
      </c>
      <c r="H5765" t="s">
        <v>6097</v>
      </c>
      <c r="I5765">
        <v>24</v>
      </c>
      <c r="J5765">
        <v>103.7</v>
      </c>
      <c r="K5765" t="s">
        <v>6099</v>
      </c>
      <c r="L5765" t="s">
        <v>6100</v>
      </c>
      <c r="M5765" t="s">
        <v>6100</v>
      </c>
      <c r="N5765">
        <v>4</v>
      </c>
      <c r="O5765" t="s">
        <v>6101</v>
      </c>
      <c r="P5765" t="s">
        <v>6115</v>
      </c>
      <c r="Q5765">
        <v>9</v>
      </c>
      <c r="R5765">
        <v>2026</v>
      </c>
      <c r="S5765" t="s">
        <v>6100</v>
      </c>
      <c r="T5765">
        <v>0</v>
      </c>
      <c r="U5765" t="s">
        <v>6018</v>
      </c>
      <c r="V5765">
        <v>1</v>
      </c>
    </row>
    <row r="5766" spans="1:22" x14ac:dyDescent="0.3">
      <c r="A5766" t="s">
        <v>5781</v>
      </c>
      <c r="B5766" s="2">
        <v>46284.661111111112</v>
      </c>
      <c r="C5766" s="2">
        <v>46284.87777777778</v>
      </c>
      <c r="D5766" t="s">
        <v>6022</v>
      </c>
      <c r="E5766" t="s">
        <v>6030</v>
      </c>
      <c r="F5766" t="s">
        <v>6033</v>
      </c>
      <c r="G5766" t="s">
        <v>6042</v>
      </c>
      <c r="H5766" t="s">
        <v>6098</v>
      </c>
      <c r="I5766">
        <v>72</v>
      </c>
      <c r="J5766">
        <v>5.2</v>
      </c>
      <c r="K5766" t="s">
        <v>6099</v>
      </c>
      <c r="L5766" t="s">
        <v>6100</v>
      </c>
      <c r="M5766" t="s">
        <v>6100</v>
      </c>
      <c r="N5766">
        <v>4</v>
      </c>
      <c r="O5766" t="s">
        <v>6101</v>
      </c>
      <c r="P5766" t="s">
        <v>6115</v>
      </c>
      <c r="Q5766">
        <v>9</v>
      </c>
      <c r="R5766">
        <v>2026</v>
      </c>
      <c r="S5766" t="s">
        <v>6099</v>
      </c>
      <c r="T5766">
        <v>1</v>
      </c>
      <c r="U5766" t="s">
        <v>6017</v>
      </c>
      <c r="V5766">
        <v>1</v>
      </c>
    </row>
    <row r="5767" spans="1:22" x14ac:dyDescent="0.3">
      <c r="A5767" t="s">
        <v>5782</v>
      </c>
      <c r="B5767" s="2">
        <v>46284.788194444445</v>
      </c>
      <c r="C5767" s="2">
        <v>46287.104861111111</v>
      </c>
      <c r="D5767" t="s">
        <v>6026</v>
      </c>
      <c r="E5767" t="s">
        <v>6029</v>
      </c>
      <c r="F5767" t="s">
        <v>6033</v>
      </c>
      <c r="G5767" t="s">
        <v>6089</v>
      </c>
      <c r="H5767" t="s">
        <v>6098</v>
      </c>
      <c r="I5767">
        <v>72</v>
      </c>
      <c r="J5767">
        <v>55.6</v>
      </c>
      <c r="K5767" t="s">
        <v>6099</v>
      </c>
      <c r="L5767" t="s">
        <v>6100</v>
      </c>
      <c r="M5767" t="s">
        <v>6100</v>
      </c>
      <c r="O5767" t="s">
        <v>6101</v>
      </c>
      <c r="P5767" t="s">
        <v>6115</v>
      </c>
      <c r="Q5767">
        <v>9</v>
      </c>
      <c r="R5767">
        <v>2026</v>
      </c>
      <c r="S5767" t="s">
        <v>6099</v>
      </c>
      <c r="T5767">
        <v>1</v>
      </c>
      <c r="U5767" t="s">
        <v>6018</v>
      </c>
      <c r="V5767">
        <v>1</v>
      </c>
    </row>
    <row r="5768" spans="1:22" x14ac:dyDescent="0.3">
      <c r="A5768" t="s">
        <v>5783</v>
      </c>
      <c r="B5768" s="2">
        <v>46284.878472222219</v>
      </c>
      <c r="C5768" s="2">
        <v>46284.503472222219</v>
      </c>
      <c r="D5768" t="s">
        <v>6027</v>
      </c>
      <c r="E5768" t="s">
        <v>6030</v>
      </c>
      <c r="F5768" t="s">
        <v>6033</v>
      </c>
      <c r="G5768" t="s">
        <v>6042</v>
      </c>
      <c r="H5768" t="s">
        <v>6098</v>
      </c>
      <c r="I5768">
        <v>72</v>
      </c>
      <c r="J5768">
        <v>6.5</v>
      </c>
      <c r="K5768" t="s">
        <v>6099</v>
      </c>
      <c r="L5768" t="s">
        <v>6100</v>
      </c>
      <c r="M5768" t="s">
        <v>6100</v>
      </c>
      <c r="N5768">
        <v>5</v>
      </c>
      <c r="O5768" t="s">
        <v>6101</v>
      </c>
      <c r="P5768" t="s">
        <v>6115</v>
      </c>
      <c r="Q5768">
        <v>9</v>
      </c>
      <c r="R5768">
        <v>2026</v>
      </c>
      <c r="S5768" t="s">
        <v>6099</v>
      </c>
      <c r="T5768">
        <v>1</v>
      </c>
      <c r="U5768" t="s">
        <v>6019</v>
      </c>
      <c r="V5768">
        <v>1</v>
      </c>
    </row>
    <row r="5769" spans="1:22" x14ac:dyDescent="0.3">
      <c r="A5769" t="s">
        <v>5784</v>
      </c>
      <c r="B5769" s="2">
        <v>46284.968055555553</v>
      </c>
      <c r="C5769" s="2">
        <v>46290.101388888892</v>
      </c>
      <c r="D5769" t="s">
        <v>6026</v>
      </c>
      <c r="E5769" t="s">
        <v>6031</v>
      </c>
      <c r="F5769" t="s">
        <v>6033</v>
      </c>
      <c r="G5769" t="s">
        <v>6090</v>
      </c>
      <c r="H5769" t="s">
        <v>6097</v>
      </c>
      <c r="I5769">
        <v>72</v>
      </c>
      <c r="J5769">
        <v>123.2</v>
      </c>
      <c r="K5769" t="s">
        <v>6099</v>
      </c>
      <c r="L5769" t="s">
        <v>6100</v>
      </c>
      <c r="M5769" t="s">
        <v>6100</v>
      </c>
      <c r="O5769" t="s">
        <v>6101</v>
      </c>
      <c r="P5769" t="s">
        <v>6115</v>
      </c>
      <c r="Q5769">
        <v>9</v>
      </c>
      <c r="R5769">
        <v>2026</v>
      </c>
      <c r="S5769" t="s">
        <v>6100</v>
      </c>
      <c r="T5769">
        <v>0</v>
      </c>
      <c r="U5769" t="s">
        <v>6021</v>
      </c>
      <c r="V5769">
        <v>1</v>
      </c>
    </row>
    <row r="5770" spans="1:22" x14ac:dyDescent="0.3">
      <c r="A5770" t="s">
        <v>5785</v>
      </c>
      <c r="B5770" s="2">
        <v>46285.210416666669</v>
      </c>
      <c r="C5770" s="2">
        <v>46286.193749999999</v>
      </c>
      <c r="D5770" t="s">
        <v>6023</v>
      </c>
      <c r="E5770" t="s">
        <v>6029</v>
      </c>
      <c r="F5770" t="s">
        <v>6033</v>
      </c>
      <c r="G5770" t="s">
        <v>6055</v>
      </c>
      <c r="H5770" t="s">
        <v>6096</v>
      </c>
      <c r="I5770">
        <v>72</v>
      </c>
      <c r="J5770">
        <v>23.6</v>
      </c>
      <c r="K5770" t="s">
        <v>6100</v>
      </c>
      <c r="L5770" t="s">
        <v>6099</v>
      </c>
      <c r="M5770" t="s">
        <v>6100</v>
      </c>
      <c r="N5770">
        <v>5</v>
      </c>
      <c r="O5770" t="s">
        <v>6101</v>
      </c>
      <c r="P5770" t="s">
        <v>6115</v>
      </c>
      <c r="Q5770">
        <v>9</v>
      </c>
      <c r="R5770">
        <v>2026</v>
      </c>
      <c r="S5770" t="s">
        <v>6099</v>
      </c>
      <c r="T5770">
        <v>1</v>
      </c>
      <c r="U5770" t="s">
        <v>6021</v>
      </c>
      <c r="V5770">
        <v>0</v>
      </c>
    </row>
    <row r="5771" spans="1:22" x14ac:dyDescent="0.3">
      <c r="A5771" t="s">
        <v>5786</v>
      </c>
      <c r="B5771" s="2">
        <v>46285.243750000001</v>
      </c>
      <c r="C5771" s="2">
        <v>46285.947916666664</v>
      </c>
      <c r="D5771" t="s">
        <v>6024</v>
      </c>
      <c r="E5771" t="s">
        <v>6030</v>
      </c>
      <c r="F5771" t="s">
        <v>6033</v>
      </c>
      <c r="G5771" t="s">
        <v>6089</v>
      </c>
      <c r="H5771" t="s">
        <v>6098</v>
      </c>
      <c r="I5771">
        <v>72</v>
      </c>
      <c r="J5771">
        <v>16.899999999999999</v>
      </c>
      <c r="K5771" t="s">
        <v>6099</v>
      </c>
      <c r="L5771" t="s">
        <v>6100</v>
      </c>
      <c r="M5771" t="s">
        <v>6100</v>
      </c>
      <c r="O5771" t="s">
        <v>6101</v>
      </c>
      <c r="P5771" t="s">
        <v>6115</v>
      </c>
      <c r="Q5771">
        <v>9</v>
      </c>
      <c r="R5771">
        <v>2026</v>
      </c>
      <c r="S5771" t="s">
        <v>6099</v>
      </c>
      <c r="T5771">
        <v>1</v>
      </c>
      <c r="U5771" t="s">
        <v>6021</v>
      </c>
      <c r="V5771">
        <v>1</v>
      </c>
    </row>
    <row r="5772" spans="1:22" x14ac:dyDescent="0.3">
      <c r="A5772" t="s">
        <v>5787</v>
      </c>
      <c r="B5772" s="2">
        <v>46285.257638888892</v>
      </c>
      <c r="C5772" s="2">
        <v>46286.745138888888</v>
      </c>
      <c r="D5772" t="s">
        <v>6022</v>
      </c>
      <c r="E5772" t="s">
        <v>6032</v>
      </c>
      <c r="F5772" t="s">
        <v>6034</v>
      </c>
      <c r="G5772" t="s">
        <v>6041</v>
      </c>
      <c r="H5772" t="s">
        <v>6096</v>
      </c>
      <c r="I5772">
        <v>24</v>
      </c>
      <c r="J5772">
        <v>35.700000000000003</v>
      </c>
      <c r="K5772" t="s">
        <v>6100</v>
      </c>
      <c r="L5772" t="s">
        <v>6099</v>
      </c>
      <c r="M5772" t="s">
        <v>6100</v>
      </c>
      <c r="N5772">
        <v>3</v>
      </c>
      <c r="O5772" t="s">
        <v>6101</v>
      </c>
      <c r="P5772" t="s">
        <v>6115</v>
      </c>
      <c r="Q5772">
        <v>9</v>
      </c>
      <c r="R5772">
        <v>2026</v>
      </c>
      <c r="S5772" t="s">
        <v>6100</v>
      </c>
      <c r="T5772">
        <v>0</v>
      </c>
      <c r="U5772" t="s">
        <v>6018</v>
      </c>
      <c r="V5772">
        <v>0</v>
      </c>
    </row>
    <row r="5773" spans="1:22" x14ac:dyDescent="0.3">
      <c r="A5773" t="s">
        <v>5788</v>
      </c>
      <c r="B5773" s="2">
        <v>46285.265277777777</v>
      </c>
      <c r="C5773" s="2">
        <v>46286.144444444442</v>
      </c>
      <c r="D5773" t="s">
        <v>6028</v>
      </c>
      <c r="E5773" t="s">
        <v>6031</v>
      </c>
      <c r="F5773" t="s">
        <v>6035</v>
      </c>
      <c r="G5773" t="s">
        <v>6047</v>
      </c>
      <c r="H5773" t="s">
        <v>6098</v>
      </c>
      <c r="I5773">
        <v>4</v>
      </c>
      <c r="K5773" t="s">
        <v>6099</v>
      </c>
      <c r="L5773" t="s">
        <v>6100</v>
      </c>
      <c r="M5773" t="s">
        <v>6100</v>
      </c>
      <c r="O5773" t="s">
        <v>6101</v>
      </c>
      <c r="P5773" t="s">
        <v>6115</v>
      </c>
      <c r="Q5773">
        <v>9</v>
      </c>
      <c r="R5773">
        <v>2026</v>
      </c>
      <c r="U5773" t="s">
        <v>6021</v>
      </c>
      <c r="V5773">
        <v>1</v>
      </c>
    </row>
    <row r="5774" spans="1:22" x14ac:dyDescent="0.3">
      <c r="A5774" t="s">
        <v>5789</v>
      </c>
      <c r="B5774" s="2">
        <v>46285.276388888888</v>
      </c>
      <c r="C5774" s="2">
        <v>46285.488888888889</v>
      </c>
      <c r="D5774" t="s">
        <v>6023</v>
      </c>
      <c r="E5774" t="s">
        <v>6029</v>
      </c>
      <c r="F5774" t="s">
        <v>6034</v>
      </c>
      <c r="G5774" t="s">
        <v>6094</v>
      </c>
      <c r="H5774" t="s">
        <v>6098</v>
      </c>
      <c r="I5774">
        <v>24</v>
      </c>
      <c r="J5774">
        <v>5.0999999999999996</v>
      </c>
      <c r="K5774" t="s">
        <v>6100</v>
      </c>
      <c r="L5774" t="s">
        <v>6099</v>
      </c>
      <c r="M5774" t="s">
        <v>6100</v>
      </c>
      <c r="O5774" t="s">
        <v>6101</v>
      </c>
      <c r="P5774" t="s">
        <v>6115</v>
      </c>
      <c r="Q5774">
        <v>9</v>
      </c>
      <c r="R5774">
        <v>2026</v>
      </c>
      <c r="S5774" t="s">
        <v>6099</v>
      </c>
      <c r="T5774">
        <v>1</v>
      </c>
      <c r="U5774" t="s">
        <v>6021</v>
      </c>
      <c r="V5774">
        <v>0</v>
      </c>
    </row>
    <row r="5775" spans="1:22" x14ac:dyDescent="0.3">
      <c r="A5775" t="s">
        <v>5790</v>
      </c>
      <c r="B5775" s="2">
        <v>46285.359722222223</v>
      </c>
      <c r="C5775" s="2">
        <v>46285.74722222222</v>
      </c>
      <c r="D5775" t="s">
        <v>6028</v>
      </c>
      <c r="E5775" t="s">
        <v>6029</v>
      </c>
      <c r="F5775" t="s">
        <v>6034</v>
      </c>
      <c r="G5775" t="s">
        <v>6056</v>
      </c>
      <c r="H5775" t="s">
        <v>6098</v>
      </c>
      <c r="I5775">
        <v>24</v>
      </c>
      <c r="J5775">
        <v>9.3000000000000007</v>
      </c>
      <c r="K5775" t="s">
        <v>6099</v>
      </c>
      <c r="L5775" t="s">
        <v>6100</v>
      </c>
      <c r="M5775" t="s">
        <v>6100</v>
      </c>
      <c r="N5775">
        <v>3</v>
      </c>
      <c r="O5775" t="s">
        <v>6101</v>
      </c>
      <c r="P5775" t="s">
        <v>6115</v>
      </c>
      <c r="Q5775">
        <v>9</v>
      </c>
      <c r="R5775">
        <v>2026</v>
      </c>
      <c r="S5775" t="s">
        <v>6099</v>
      </c>
      <c r="T5775">
        <v>1</v>
      </c>
      <c r="U5775" t="s">
        <v>6019</v>
      </c>
      <c r="V5775">
        <v>1</v>
      </c>
    </row>
    <row r="5776" spans="1:22" x14ac:dyDescent="0.3">
      <c r="A5776" t="s">
        <v>5791</v>
      </c>
      <c r="B5776" s="2">
        <v>46285.362500000003</v>
      </c>
      <c r="C5776" s="2">
        <v>46285.604166666664</v>
      </c>
      <c r="D5776" t="s">
        <v>6023</v>
      </c>
      <c r="E5776" t="s">
        <v>6029</v>
      </c>
      <c r="F5776" t="s">
        <v>6034</v>
      </c>
      <c r="G5776" t="s">
        <v>6090</v>
      </c>
      <c r="H5776" t="s">
        <v>6097</v>
      </c>
      <c r="I5776">
        <v>24</v>
      </c>
      <c r="J5776">
        <v>5.8</v>
      </c>
      <c r="K5776" t="s">
        <v>6099</v>
      </c>
      <c r="L5776" t="s">
        <v>6100</v>
      </c>
      <c r="M5776" t="s">
        <v>6100</v>
      </c>
      <c r="N5776">
        <v>4</v>
      </c>
      <c r="O5776" t="s">
        <v>6101</v>
      </c>
      <c r="P5776" t="s">
        <v>6115</v>
      </c>
      <c r="Q5776">
        <v>9</v>
      </c>
      <c r="R5776">
        <v>2026</v>
      </c>
      <c r="S5776" t="s">
        <v>6099</v>
      </c>
      <c r="T5776">
        <v>1</v>
      </c>
      <c r="U5776" t="s">
        <v>6020</v>
      </c>
      <c r="V5776">
        <v>1</v>
      </c>
    </row>
    <row r="5777" spans="1:22" x14ac:dyDescent="0.3">
      <c r="A5777" t="s">
        <v>5792</v>
      </c>
      <c r="B5777" s="2">
        <v>46285.368750000001</v>
      </c>
      <c r="C5777" s="2">
        <v>46286.143750000003</v>
      </c>
      <c r="D5777" t="s">
        <v>6028</v>
      </c>
      <c r="E5777" t="s">
        <v>6029</v>
      </c>
      <c r="F5777" t="s">
        <v>6034</v>
      </c>
      <c r="G5777" t="s">
        <v>6080</v>
      </c>
      <c r="H5777" t="s">
        <v>6096</v>
      </c>
      <c r="I5777">
        <v>24</v>
      </c>
      <c r="J5777">
        <v>18.600000000000001</v>
      </c>
      <c r="K5777" t="s">
        <v>6100</v>
      </c>
      <c r="L5777" t="s">
        <v>6100</v>
      </c>
      <c r="M5777" t="s">
        <v>6100</v>
      </c>
      <c r="O5777" t="s">
        <v>6101</v>
      </c>
      <c r="P5777" t="s">
        <v>6115</v>
      </c>
      <c r="Q5777">
        <v>9</v>
      </c>
      <c r="R5777">
        <v>2026</v>
      </c>
      <c r="S5777" t="s">
        <v>6099</v>
      </c>
      <c r="T5777">
        <v>1</v>
      </c>
      <c r="U5777" t="s">
        <v>6019</v>
      </c>
      <c r="V5777">
        <v>0</v>
      </c>
    </row>
    <row r="5778" spans="1:22" x14ac:dyDescent="0.3">
      <c r="A5778" t="s">
        <v>5793</v>
      </c>
      <c r="B5778" s="2">
        <v>46285.40902777778</v>
      </c>
      <c r="C5778" s="2">
        <v>46287.492361111108</v>
      </c>
      <c r="D5778" t="s">
        <v>6025</v>
      </c>
      <c r="E5778" t="s">
        <v>6031</v>
      </c>
      <c r="F5778" t="s">
        <v>6033</v>
      </c>
      <c r="G5778" t="s">
        <v>6078</v>
      </c>
      <c r="H5778" t="s">
        <v>6097</v>
      </c>
      <c r="I5778">
        <v>72</v>
      </c>
      <c r="J5778">
        <v>50</v>
      </c>
      <c r="K5778" t="s">
        <v>6099</v>
      </c>
      <c r="L5778" t="s">
        <v>6100</v>
      </c>
      <c r="M5778" t="s">
        <v>6100</v>
      </c>
      <c r="N5778">
        <v>5</v>
      </c>
      <c r="O5778" t="s">
        <v>6101</v>
      </c>
      <c r="P5778" t="s">
        <v>6115</v>
      </c>
      <c r="Q5778">
        <v>9</v>
      </c>
      <c r="R5778">
        <v>2026</v>
      </c>
      <c r="S5778" t="s">
        <v>6099</v>
      </c>
      <c r="T5778">
        <v>1</v>
      </c>
      <c r="U5778" t="s">
        <v>6019</v>
      </c>
      <c r="V5778">
        <v>1</v>
      </c>
    </row>
    <row r="5779" spans="1:22" x14ac:dyDescent="0.3">
      <c r="A5779" t="s">
        <v>5794</v>
      </c>
      <c r="B5779" s="2">
        <v>46285.424305555556</v>
      </c>
      <c r="C5779" s="2">
        <v>46287.570138888892</v>
      </c>
      <c r="D5779" t="s">
        <v>6022</v>
      </c>
      <c r="E5779" t="s">
        <v>6029</v>
      </c>
      <c r="F5779" t="s">
        <v>6035</v>
      </c>
      <c r="G5779" t="s">
        <v>6069</v>
      </c>
      <c r="H5779" t="s">
        <v>6098</v>
      </c>
      <c r="I5779">
        <v>4</v>
      </c>
      <c r="J5779">
        <v>51.5</v>
      </c>
      <c r="K5779" t="s">
        <v>6100</v>
      </c>
      <c r="L5779" t="s">
        <v>6100</v>
      </c>
      <c r="M5779" t="s">
        <v>6100</v>
      </c>
      <c r="N5779">
        <v>2</v>
      </c>
      <c r="O5779" t="s">
        <v>6101</v>
      </c>
      <c r="P5779" t="s">
        <v>6115</v>
      </c>
      <c r="Q5779">
        <v>9</v>
      </c>
      <c r="R5779">
        <v>2026</v>
      </c>
      <c r="S5779" t="s">
        <v>6100</v>
      </c>
      <c r="T5779">
        <v>0</v>
      </c>
      <c r="U5779" t="s">
        <v>6021</v>
      </c>
      <c r="V5779">
        <v>0</v>
      </c>
    </row>
    <row r="5780" spans="1:22" x14ac:dyDescent="0.3">
      <c r="A5780" t="s">
        <v>5795</v>
      </c>
      <c r="B5780" s="2">
        <v>46285.436111111114</v>
      </c>
      <c r="C5780" s="2">
        <v>46287.352777777778</v>
      </c>
      <c r="D5780" t="s">
        <v>6028</v>
      </c>
      <c r="E5780" t="s">
        <v>6031</v>
      </c>
      <c r="F5780" t="s">
        <v>6035</v>
      </c>
      <c r="G5780" t="s">
        <v>6077</v>
      </c>
      <c r="H5780" t="s">
        <v>6098</v>
      </c>
      <c r="I5780">
        <v>4</v>
      </c>
      <c r="J5780">
        <v>46</v>
      </c>
      <c r="K5780" t="s">
        <v>6100</v>
      </c>
      <c r="L5780" t="s">
        <v>6099</v>
      </c>
      <c r="M5780" t="s">
        <v>6100</v>
      </c>
      <c r="N5780">
        <v>3</v>
      </c>
      <c r="O5780" t="s">
        <v>6101</v>
      </c>
      <c r="P5780" t="s">
        <v>6115</v>
      </c>
      <c r="Q5780">
        <v>9</v>
      </c>
      <c r="R5780">
        <v>2026</v>
      </c>
      <c r="S5780" t="s">
        <v>6100</v>
      </c>
      <c r="T5780">
        <v>0</v>
      </c>
      <c r="U5780" t="s">
        <v>6020</v>
      </c>
      <c r="V5780">
        <v>0</v>
      </c>
    </row>
    <row r="5781" spans="1:22" x14ac:dyDescent="0.3">
      <c r="A5781" t="s">
        <v>5796</v>
      </c>
      <c r="B5781" s="2">
        <v>46285.46875</v>
      </c>
      <c r="C5781" s="2">
        <v>46292.506249999999</v>
      </c>
      <c r="D5781" t="s">
        <v>6026</v>
      </c>
      <c r="E5781" t="s">
        <v>6031</v>
      </c>
      <c r="F5781" t="s">
        <v>6033</v>
      </c>
      <c r="G5781" t="s">
        <v>6046</v>
      </c>
      <c r="H5781" t="s">
        <v>6098</v>
      </c>
      <c r="I5781">
        <v>72</v>
      </c>
      <c r="J5781">
        <v>168.9</v>
      </c>
      <c r="K5781" t="s">
        <v>6099</v>
      </c>
      <c r="L5781" t="s">
        <v>6100</v>
      </c>
      <c r="M5781" t="s">
        <v>6100</v>
      </c>
      <c r="N5781">
        <v>4</v>
      </c>
      <c r="O5781" t="s">
        <v>6101</v>
      </c>
      <c r="P5781" t="s">
        <v>6115</v>
      </c>
      <c r="Q5781">
        <v>9</v>
      </c>
      <c r="R5781">
        <v>2026</v>
      </c>
      <c r="S5781" t="s">
        <v>6100</v>
      </c>
      <c r="T5781">
        <v>0</v>
      </c>
      <c r="U5781" t="s">
        <v>6019</v>
      </c>
      <c r="V5781">
        <v>1</v>
      </c>
    </row>
    <row r="5782" spans="1:22" x14ac:dyDescent="0.3">
      <c r="A5782" t="s">
        <v>5797</v>
      </c>
      <c r="B5782" s="2">
        <v>46285.469444444447</v>
      </c>
      <c r="C5782" s="2">
        <v>46285.894444444442</v>
      </c>
      <c r="D5782" t="s">
        <v>6028</v>
      </c>
      <c r="E5782" t="s">
        <v>6029</v>
      </c>
      <c r="F5782" t="s">
        <v>6034</v>
      </c>
      <c r="G5782" t="s">
        <v>6053</v>
      </c>
      <c r="H5782" t="s">
        <v>6097</v>
      </c>
      <c r="I5782">
        <v>24</v>
      </c>
      <c r="J5782">
        <v>10.199999999999999</v>
      </c>
      <c r="K5782" t="s">
        <v>6099</v>
      </c>
      <c r="L5782" t="s">
        <v>6100</v>
      </c>
      <c r="M5782" t="s">
        <v>6100</v>
      </c>
      <c r="N5782">
        <v>5</v>
      </c>
      <c r="O5782" t="s">
        <v>6101</v>
      </c>
      <c r="P5782" t="s">
        <v>6115</v>
      </c>
      <c r="Q5782">
        <v>9</v>
      </c>
      <c r="R5782">
        <v>2026</v>
      </c>
      <c r="S5782" t="s">
        <v>6099</v>
      </c>
      <c r="T5782">
        <v>1</v>
      </c>
      <c r="U5782" t="s">
        <v>6018</v>
      </c>
      <c r="V5782">
        <v>1</v>
      </c>
    </row>
    <row r="5783" spans="1:22" x14ac:dyDescent="0.3">
      <c r="A5783" t="s">
        <v>5798</v>
      </c>
      <c r="B5783" s="2">
        <v>46285.478472222225</v>
      </c>
      <c r="C5783" s="2">
        <v>46285.753472222219</v>
      </c>
      <c r="D5783" t="s">
        <v>6027</v>
      </c>
      <c r="E5783" t="s">
        <v>6029</v>
      </c>
      <c r="F5783" t="s">
        <v>6034</v>
      </c>
      <c r="G5783" t="s">
        <v>6063</v>
      </c>
      <c r="H5783" t="s">
        <v>6097</v>
      </c>
      <c r="I5783">
        <v>24</v>
      </c>
      <c r="J5783">
        <v>6.6</v>
      </c>
      <c r="K5783" t="s">
        <v>6100</v>
      </c>
      <c r="L5783" t="s">
        <v>6099</v>
      </c>
      <c r="M5783" t="s">
        <v>6100</v>
      </c>
      <c r="O5783" t="s">
        <v>6101</v>
      </c>
      <c r="P5783" t="s">
        <v>6115</v>
      </c>
      <c r="Q5783">
        <v>9</v>
      </c>
      <c r="R5783">
        <v>2026</v>
      </c>
      <c r="S5783" t="s">
        <v>6099</v>
      </c>
      <c r="T5783">
        <v>1</v>
      </c>
      <c r="U5783" t="s">
        <v>6021</v>
      </c>
      <c r="V5783">
        <v>0</v>
      </c>
    </row>
    <row r="5784" spans="1:22" x14ac:dyDescent="0.3">
      <c r="A5784" t="s">
        <v>5799</v>
      </c>
      <c r="B5784" s="2">
        <v>46285.494444444441</v>
      </c>
      <c r="C5784" s="2">
        <v>46286.844444444447</v>
      </c>
      <c r="D5784" t="s">
        <v>6028</v>
      </c>
      <c r="E5784" t="s">
        <v>6031</v>
      </c>
      <c r="F5784" t="s">
        <v>6035</v>
      </c>
      <c r="G5784" t="s">
        <v>6054</v>
      </c>
      <c r="H5784" t="s">
        <v>6096</v>
      </c>
      <c r="I5784">
        <v>4</v>
      </c>
      <c r="J5784">
        <v>32.4</v>
      </c>
      <c r="K5784" t="s">
        <v>6100</v>
      </c>
      <c r="L5784" t="s">
        <v>6100</v>
      </c>
      <c r="M5784" t="s">
        <v>6100</v>
      </c>
      <c r="N5784">
        <v>4</v>
      </c>
      <c r="O5784" t="s">
        <v>6101</v>
      </c>
      <c r="P5784" t="s">
        <v>6115</v>
      </c>
      <c r="Q5784">
        <v>9</v>
      </c>
      <c r="R5784">
        <v>2026</v>
      </c>
      <c r="S5784" t="s">
        <v>6100</v>
      </c>
      <c r="T5784">
        <v>0</v>
      </c>
      <c r="U5784" t="s">
        <v>6021</v>
      </c>
      <c r="V5784">
        <v>0</v>
      </c>
    </row>
    <row r="5785" spans="1:22" x14ac:dyDescent="0.3">
      <c r="A5785" t="s">
        <v>5800</v>
      </c>
      <c r="B5785" s="2">
        <v>46285.538194444445</v>
      </c>
      <c r="C5785" s="2">
        <v>46287.142361111109</v>
      </c>
      <c r="D5785" t="s">
        <v>6028</v>
      </c>
      <c r="E5785" t="s">
        <v>6031</v>
      </c>
      <c r="F5785" t="s">
        <v>6034</v>
      </c>
      <c r="G5785" t="s">
        <v>6065</v>
      </c>
      <c r="H5785" t="s">
        <v>6097</v>
      </c>
      <c r="I5785">
        <v>24</v>
      </c>
      <c r="J5785">
        <v>38.5</v>
      </c>
      <c r="K5785" t="s">
        <v>6099</v>
      </c>
      <c r="L5785" t="s">
        <v>6100</v>
      </c>
      <c r="M5785" t="s">
        <v>6099</v>
      </c>
      <c r="N5785">
        <v>2</v>
      </c>
      <c r="O5785" t="s">
        <v>6101</v>
      </c>
      <c r="P5785" t="s">
        <v>6115</v>
      </c>
      <c r="Q5785">
        <v>9</v>
      </c>
      <c r="R5785">
        <v>2026</v>
      </c>
      <c r="S5785" t="s">
        <v>6100</v>
      </c>
      <c r="T5785">
        <v>0</v>
      </c>
      <c r="U5785" t="s">
        <v>6017</v>
      </c>
      <c r="V5785">
        <v>1</v>
      </c>
    </row>
    <row r="5786" spans="1:22" x14ac:dyDescent="0.3">
      <c r="A5786" t="s">
        <v>5801</v>
      </c>
      <c r="B5786" s="2">
        <v>46285.567361111112</v>
      </c>
      <c r="C5786" s="2">
        <v>46286.079861111109</v>
      </c>
      <c r="D5786" t="s">
        <v>6022</v>
      </c>
      <c r="E5786" t="s">
        <v>6029</v>
      </c>
      <c r="F5786" t="s">
        <v>6034</v>
      </c>
      <c r="G5786" t="s">
        <v>6049</v>
      </c>
      <c r="H5786" t="s">
        <v>6097</v>
      </c>
      <c r="I5786">
        <v>24</v>
      </c>
      <c r="J5786">
        <v>12.3</v>
      </c>
      <c r="K5786" t="s">
        <v>6099</v>
      </c>
      <c r="L5786" t="s">
        <v>6100</v>
      </c>
      <c r="M5786" t="s">
        <v>6100</v>
      </c>
      <c r="N5786">
        <v>5</v>
      </c>
      <c r="O5786" t="s">
        <v>6101</v>
      </c>
      <c r="P5786" t="s">
        <v>6115</v>
      </c>
      <c r="Q5786">
        <v>9</v>
      </c>
      <c r="R5786">
        <v>2026</v>
      </c>
      <c r="S5786" t="s">
        <v>6099</v>
      </c>
      <c r="T5786">
        <v>1</v>
      </c>
      <c r="U5786" t="s">
        <v>6018</v>
      </c>
      <c r="V5786">
        <v>1</v>
      </c>
    </row>
    <row r="5787" spans="1:22" x14ac:dyDescent="0.3">
      <c r="A5787" t="s">
        <v>5802</v>
      </c>
      <c r="B5787" s="2">
        <v>46285.581250000003</v>
      </c>
      <c r="C5787" s="2">
        <v>46285.98541666667</v>
      </c>
      <c r="D5787" t="s">
        <v>6027</v>
      </c>
      <c r="E5787" t="s">
        <v>6029</v>
      </c>
      <c r="F5787" t="s">
        <v>6033</v>
      </c>
      <c r="G5787" t="s">
        <v>6052</v>
      </c>
      <c r="H5787" t="s">
        <v>6098</v>
      </c>
      <c r="I5787">
        <v>72</v>
      </c>
      <c r="J5787">
        <v>9.6999999999999993</v>
      </c>
      <c r="K5787" t="s">
        <v>6099</v>
      </c>
      <c r="L5787" t="s">
        <v>6100</v>
      </c>
      <c r="M5787" t="s">
        <v>6099</v>
      </c>
      <c r="N5787">
        <v>5</v>
      </c>
      <c r="O5787" t="s">
        <v>6101</v>
      </c>
      <c r="P5787" t="s">
        <v>6115</v>
      </c>
      <c r="Q5787">
        <v>9</v>
      </c>
      <c r="R5787">
        <v>2026</v>
      </c>
      <c r="S5787" t="s">
        <v>6099</v>
      </c>
      <c r="T5787">
        <v>1</v>
      </c>
      <c r="U5787" t="s">
        <v>6021</v>
      </c>
      <c r="V5787">
        <v>1</v>
      </c>
    </row>
    <row r="5788" spans="1:22" x14ac:dyDescent="0.3">
      <c r="A5788" t="s">
        <v>5803</v>
      </c>
      <c r="B5788" s="2">
        <v>46285.581944444442</v>
      </c>
      <c r="C5788" s="2">
        <v>46286.75277777778</v>
      </c>
      <c r="D5788" t="s">
        <v>6025</v>
      </c>
      <c r="E5788" t="s">
        <v>6029</v>
      </c>
      <c r="F5788" t="s">
        <v>6034</v>
      </c>
      <c r="G5788" t="s">
        <v>6079</v>
      </c>
      <c r="H5788" t="s">
        <v>6097</v>
      </c>
      <c r="I5788">
        <v>24</v>
      </c>
      <c r="J5788">
        <v>28.1</v>
      </c>
      <c r="K5788" t="s">
        <v>6099</v>
      </c>
      <c r="L5788" t="s">
        <v>6100</v>
      </c>
      <c r="M5788" t="s">
        <v>6100</v>
      </c>
      <c r="O5788" t="s">
        <v>6101</v>
      </c>
      <c r="P5788" t="s">
        <v>6115</v>
      </c>
      <c r="Q5788">
        <v>9</v>
      </c>
      <c r="R5788">
        <v>2026</v>
      </c>
      <c r="S5788" t="s">
        <v>6100</v>
      </c>
      <c r="T5788">
        <v>0</v>
      </c>
      <c r="U5788" t="s">
        <v>6021</v>
      </c>
      <c r="V5788">
        <v>1</v>
      </c>
    </row>
    <row r="5789" spans="1:22" x14ac:dyDescent="0.3">
      <c r="A5789" t="s">
        <v>5804</v>
      </c>
      <c r="B5789" s="2">
        <v>46285.584027777775</v>
      </c>
      <c r="C5789" s="2">
        <v>46285.954861111109</v>
      </c>
      <c r="D5789" t="s">
        <v>6028</v>
      </c>
      <c r="E5789" t="s">
        <v>6029</v>
      </c>
      <c r="F5789" t="s">
        <v>6034</v>
      </c>
      <c r="G5789" t="s">
        <v>6089</v>
      </c>
      <c r="H5789" t="s">
        <v>6098</v>
      </c>
      <c r="I5789">
        <v>24</v>
      </c>
      <c r="J5789">
        <v>8.9</v>
      </c>
      <c r="K5789" t="s">
        <v>6100</v>
      </c>
      <c r="L5789" t="s">
        <v>6099</v>
      </c>
      <c r="M5789" t="s">
        <v>6100</v>
      </c>
      <c r="N5789">
        <v>4</v>
      </c>
      <c r="O5789" t="s">
        <v>6101</v>
      </c>
      <c r="P5789" t="s">
        <v>6115</v>
      </c>
      <c r="Q5789">
        <v>9</v>
      </c>
      <c r="R5789">
        <v>2026</v>
      </c>
      <c r="S5789" t="s">
        <v>6099</v>
      </c>
      <c r="T5789">
        <v>1</v>
      </c>
      <c r="U5789" t="s">
        <v>6021</v>
      </c>
      <c r="V5789">
        <v>0</v>
      </c>
    </row>
    <row r="5790" spans="1:22" x14ac:dyDescent="0.3">
      <c r="A5790" t="s">
        <v>5805</v>
      </c>
      <c r="B5790" s="2">
        <v>46285.664583333331</v>
      </c>
      <c r="C5790" s="2">
        <v>46286.42291666667</v>
      </c>
      <c r="D5790" t="s">
        <v>6028</v>
      </c>
      <c r="E5790" t="s">
        <v>6031</v>
      </c>
      <c r="F5790" t="s">
        <v>6033</v>
      </c>
      <c r="G5790" t="s">
        <v>6047</v>
      </c>
      <c r="H5790" t="s">
        <v>6098</v>
      </c>
      <c r="I5790">
        <v>72</v>
      </c>
      <c r="J5790">
        <v>18.2</v>
      </c>
      <c r="K5790" t="s">
        <v>6099</v>
      </c>
      <c r="L5790" t="s">
        <v>6100</v>
      </c>
      <c r="M5790" t="s">
        <v>6100</v>
      </c>
      <c r="N5790">
        <v>4</v>
      </c>
      <c r="O5790" t="s">
        <v>6101</v>
      </c>
      <c r="P5790" t="s">
        <v>6115</v>
      </c>
      <c r="Q5790">
        <v>9</v>
      </c>
      <c r="R5790">
        <v>2026</v>
      </c>
      <c r="S5790" t="s">
        <v>6099</v>
      </c>
      <c r="T5790">
        <v>1</v>
      </c>
      <c r="U5790" t="s">
        <v>6021</v>
      </c>
      <c r="V5790">
        <v>1</v>
      </c>
    </row>
    <row r="5791" spans="1:22" x14ac:dyDescent="0.3">
      <c r="A5791" t="s">
        <v>5806</v>
      </c>
      <c r="B5791" s="2">
        <v>46285.680555555555</v>
      </c>
      <c r="C5791" s="2">
        <v>46288.113888888889</v>
      </c>
      <c r="D5791" t="s">
        <v>6025</v>
      </c>
      <c r="E5791" t="s">
        <v>6031</v>
      </c>
      <c r="F5791" t="s">
        <v>6034</v>
      </c>
      <c r="G5791" t="s">
        <v>6057</v>
      </c>
      <c r="H5791" t="s">
        <v>6097</v>
      </c>
      <c r="I5791">
        <v>24</v>
      </c>
      <c r="J5791">
        <v>58.4</v>
      </c>
      <c r="K5791" t="s">
        <v>6099</v>
      </c>
      <c r="L5791" t="s">
        <v>6100</v>
      </c>
      <c r="M5791" t="s">
        <v>6100</v>
      </c>
      <c r="N5791">
        <v>5</v>
      </c>
      <c r="O5791" t="s">
        <v>6101</v>
      </c>
      <c r="P5791" t="s">
        <v>6115</v>
      </c>
      <c r="Q5791">
        <v>9</v>
      </c>
      <c r="R5791">
        <v>2026</v>
      </c>
      <c r="S5791" t="s">
        <v>6100</v>
      </c>
      <c r="T5791">
        <v>0</v>
      </c>
      <c r="U5791" t="s">
        <v>6017</v>
      </c>
      <c r="V5791">
        <v>1</v>
      </c>
    </row>
    <row r="5792" spans="1:22" x14ac:dyDescent="0.3">
      <c r="A5792" t="s">
        <v>5807</v>
      </c>
      <c r="B5792" s="2">
        <v>46285.705555555556</v>
      </c>
      <c r="C5792" s="2">
        <v>46286.726388888892</v>
      </c>
      <c r="D5792" t="s">
        <v>6027</v>
      </c>
      <c r="E5792" t="s">
        <v>6031</v>
      </c>
      <c r="F5792" t="s">
        <v>6035</v>
      </c>
      <c r="G5792" t="s">
        <v>6095</v>
      </c>
      <c r="H5792" t="s">
        <v>6098</v>
      </c>
      <c r="I5792">
        <v>4</v>
      </c>
      <c r="J5792">
        <v>24.5</v>
      </c>
      <c r="K5792" t="s">
        <v>6099</v>
      </c>
      <c r="L5792" t="s">
        <v>6100</v>
      </c>
      <c r="M5792" t="s">
        <v>6100</v>
      </c>
      <c r="N5792">
        <v>3</v>
      </c>
      <c r="O5792" t="s">
        <v>6101</v>
      </c>
      <c r="P5792" t="s">
        <v>6115</v>
      </c>
      <c r="Q5792">
        <v>9</v>
      </c>
      <c r="R5792">
        <v>2026</v>
      </c>
      <c r="S5792" t="s">
        <v>6100</v>
      </c>
      <c r="T5792">
        <v>0</v>
      </c>
      <c r="U5792" t="s">
        <v>6017</v>
      </c>
      <c r="V5792">
        <v>1</v>
      </c>
    </row>
    <row r="5793" spans="1:22" x14ac:dyDescent="0.3">
      <c r="A5793" t="s">
        <v>5808</v>
      </c>
      <c r="B5793" s="2">
        <v>46285.707638888889</v>
      </c>
      <c r="C5793" s="2">
        <v>46286.203472222223</v>
      </c>
      <c r="D5793" t="s">
        <v>6022</v>
      </c>
      <c r="E5793" t="s">
        <v>6029</v>
      </c>
      <c r="F5793" t="s">
        <v>6034</v>
      </c>
      <c r="G5793" t="s">
        <v>6052</v>
      </c>
      <c r="H5793" t="s">
        <v>6098</v>
      </c>
      <c r="I5793">
        <v>24</v>
      </c>
      <c r="J5793">
        <v>11.9</v>
      </c>
      <c r="K5793" t="s">
        <v>6099</v>
      </c>
      <c r="L5793" t="s">
        <v>6100</v>
      </c>
      <c r="M5793" t="s">
        <v>6100</v>
      </c>
      <c r="O5793" t="s">
        <v>6101</v>
      </c>
      <c r="P5793" t="s">
        <v>6115</v>
      </c>
      <c r="Q5793">
        <v>9</v>
      </c>
      <c r="R5793">
        <v>2026</v>
      </c>
      <c r="S5793" t="s">
        <v>6099</v>
      </c>
      <c r="T5793">
        <v>1</v>
      </c>
      <c r="U5793" t="s">
        <v>6021</v>
      </c>
      <c r="V5793">
        <v>1</v>
      </c>
    </row>
    <row r="5794" spans="1:22" x14ac:dyDescent="0.3">
      <c r="A5794" t="s">
        <v>5809</v>
      </c>
      <c r="B5794" s="2">
        <v>46285.742361111108</v>
      </c>
      <c r="C5794" s="2">
        <v>46286.213194444441</v>
      </c>
      <c r="D5794" t="s">
        <v>6022</v>
      </c>
      <c r="E5794" t="s">
        <v>6029</v>
      </c>
      <c r="F5794" t="s">
        <v>6033</v>
      </c>
      <c r="G5794" t="s">
        <v>6036</v>
      </c>
      <c r="H5794" t="s">
        <v>6096</v>
      </c>
      <c r="I5794">
        <v>72</v>
      </c>
      <c r="J5794">
        <v>11.3</v>
      </c>
      <c r="K5794" t="s">
        <v>6099</v>
      </c>
      <c r="L5794" t="s">
        <v>6100</v>
      </c>
      <c r="M5794" t="s">
        <v>6100</v>
      </c>
      <c r="N5794">
        <v>5</v>
      </c>
      <c r="O5794" t="s">
        <v>6101</v>
      </c>
      <c r="P5794" t="s">
        <v>6115</v>
      </c>
      <c r="Q5794">
        <v>9</v>
      </c>
      <c r="R5794">
        <v>2026</v>
      </c>
      <c r="S5794" t="s">
        <v>6099</v>
      </c>
      <c r="T5794">
        <v>1</v>
      </c>
      <c r="U5794" t="s">
        <v>6021</v>
      </c>
      <c r="V5794">
        <v>1</v>
      </c>
    </row>
    <row r="5795" spans="1:22" x14ac:dyDescent="0.3">
      <c r="A5795" t="s">
        <v>5810</v>
      </c>
      <c r="B5795" s="2">
        <v>46285.824305555558</v>
      </c>
      <c r="C5795" s="2">
        <v>46286.34097222222</v>
      </c>
      <c r="D5795" t="s">
        <v>6027</v>
      </c>
      <c r="E5795" t="s">
        <v>6032</v>
      </c>
      <c r="F5795" t="s">
        <v>6034</v>
      </c>
      <c r="G5795" t="s">
        <v>6069</v>
      </c>
      <c r="H5795" t="s">
        <v>6098</v>
      </c>
      <c r="I5795">
        <v>24</v>
      </c>
      <c r="J5795">
        <v>12.4</v>
      </c>
      <c r="K5795" t="s">
        <v>6099</v>
      </c>
      <c r="L5795" t="s">
        <v>6100</v>
      </c>
      <c r="M5795" t="s">
        <v>6100</v>
      </c>
      <c r="O5795" t="s">
        <v>6101</v>
      </c>
      <c r="P5795" t="s">
        <v>6115</v>
      </c>
      <c r="Q5795">
        <v>9</v>
      </c>
      <c r="R5795">
        <v>2026</v>
      </c>
      <c r="S5795" t="s">
        <v>6099</v>
      </c>
      <c r="T5795">
        <v>1</v>
      </c>
      <c r="U5795" t="s">
        <v>6020</v>
      </c>
      <c r="V5795">
        <v>1</v>
      </c>
    </row>
    <row r="5796" spans="1:22" x14ac:dyDescent="0.3">
      <c r="A5796" t="s">
        <v>5811</v>
      </c>
      <c r="B5796" s="2">
        <v>46286.220138888886</v>
      </c>
      <c r="C5796" s="2">
        <v>46287.161805555559</v>
      </c>
      <c r="D5796" t="s">
        <v>6022</v>
      </c>
      <c r="E5796" t="s">
        <v>6031</v>
      </c>
      <c r="F5796" t="s">
        <v>6034</v>
      </c>
      <c r="G5796" t="s">
        <v>6041</v>
      </c>
      <c r="H5796" t="s">
        <v>6096</v>
      </c>
      <c r="I5796">
        <v>24</v>
      </c>
      <c r="J5796">
        <v>22.6</v>
      </c>
      <c r="K5796" t="s">
        <v>6100</v>
      </c>
      <c r="L5796" t="s">
        <v>6100</v>
      </c>
      <c r="M5796" t="s">
        <v>6100</v>
      </c>
      <c r="O5796" t="s">
        <v>6101</v>
      </c>
      <c r="P5796" t="s">
        <v>6115</v>
      </c>
      <c r="Q5796">
        <v>9</v>
      </c>
      <c r="R5796">
        <v>2026</v>
      </c>
      <c r="S5796" t="s">
        <v>6099</v>
      </c>
      <c r="T5796">
        <v>1</v>
      </c>
      <c r="U5796" t="s">
        <v>6020</v>
      </c>
      <c r="V5796">
        <v>0</v>
      </c>
    </row>
    <row r="5797" spans="1:22" x14ac:dyDescent="0.3">
      <c r="A5797" t="s">
        <v>5812</v>
      </c>
      <c r="B5797" s="2">
        <v>46286.242361111108</v>
      </c>
      <c r="C5797" s="2">
        <v>46288.992361111108</v>
      </c>
      <c r="D5797" t="s">
        <v>6024</v>
      </c>
      <c r="E5797" t="s">
        <v>6031</v>
      </c>
      <c r="F5797" t="s">
        <v>6034</v>
      </c>
      <c r="G5797" t="s">
        <v>6071</v>
      </c>
      <c r="H5797" t="s">
        <v>6098</v>
      </c>
      <c r="I5797">
        <v>24</v>
      </c>
      <c r="J5797">
        <v>66</v>
      </c>
      <c r="K5797" t="s">
        <v>6099</v>
      </c>
      <c r="L5797" t="s">
        <v>6100</v>
      </c>
      <c r="M5797" t="s">
        <v>6099</v>
      </c>
      <c r="O5797" t="s">
        <v>6101</v>
      </c>
      <c r="P5797" t="s">
        <v>6115</v>
      </c>
      <c r="Q5797">
        <v>9</v>
      </c>
      <c r="R5797">
        <v>2026</v>
      </c>
      <c r="S5797" t="s">
        <v>6100</v>
      </c>
      <c r="T5797">
        <v>0</v>
      </c>
      <c r="U5797" t="s">
        <v>6020</v>
      </c>
      <c r="V5797">
        <v>1</v>
      </c>
    </row>
    <row r="5798" spans="1:22" x14ac:dyDescent="0.3">
      <c r="A5798" t="s">
        <v>5813</v>
      </c>
      <c r="B5798" s="2">
        <v>46286.377083333333</v>
      </c>
      <c r="C5798" s="2">
        <v>46287.039583333331</v>
      </c>
      <c r="D5798" t="s">
        <v>6022</v>
      </c>
      <c r="E5798" t="s">
        <v>6030</v>
      </c>
      <c r="F5798" t="s">
        <v>6035</v>
      </c>
      <c r="G5798" t="s">
        <v>6081</v>
      </c>
      <c r="H5798" t="s">
        <v>6098</v>
      </c>
      <c r="I5798">
        <v>4</v>
      </c>
      <c r="J5798">
        <v>15.9</v>
      </c>
      <c r="K5798" t="s">
        <v>6099</v>
      </c>
      <c r="L5798" t="s">
        <v>6100</v>
      </c>
      <c r="M5798" t="s">
        <v>6100</v>
      </c>
      <c r="N5798">
        <v>5</v>
      </c>
      <c r="O5798" t="s">
        <v>6101</v>
      </c>
      <c r="P5798" t="s">
        <v>6115</v>
      </c>
      <c r="Q5798">
        <v>9</v>
      </c>
      <c r="R5798">
        <v>2026</v>
      </c>
      <c r="S5798" t="s">
        <v>6100</v>
      </c>
      <c r="T5798">
        <v>0</v>
      </c>
      <c r="U5798" t="s">
        <v>6020</v>
      </c>
      <c r="V5798">
        <v>1</v>
      </c>
    </row>
    <row r="5799" spans="1:22" x14ac:dyDescent="0.3">
      <c r="A5799" t="s">
        <v>5814</v>
      </c>
      <c r="B5799" s="2">
        <v>46286.457638888889</v>
      </c>
      <c r="C5799" s="2">
        <v>46288.020138888889</v>
      </c>
      <c r="D5799" t="s">
        <v>6025</v>
      </c>
      <c r="E5799" t="s">
        <v>6031</v>
      </c>
      <c r="F5799" t="s">
        <v>6034</v>
      </c>
      <c r="G5799" t="s">
        <v>6050</v>
      </c>
      <c r="H5799" t="s">
        <v>6098</v>
      </c>
      <c r="I5799">
        <v>24</v>
      </c>
      <c r="J5799">
        <v>37.5</v>
      </c>
      <c r="K5799" t="s">
        <v>6100</v>
      </c>
      <c r="L5799" t="s">
        <v>6100</v>
      </c>
      <c r="M5799" t="s">
        <v>6100</v>
      </c>
      <c r="O5799" t="s">
        <v>6101</v>
      </c>
      <c r="P5799" t="s">
        <v>6115</v>
      </c>
      <c r="Q5799">
        <v>9</v>
      </c>
      <c r="R5799">
        <v>2026</v>
      </c>
      <c r="S5799" t="s">
        <v>6100</v>
      </c>
      <c r="T5799">
        <v>0</v>
      </c>
      <c r="U5799" t="s">
        <v>6019</v>
      </c>
      <c r="V5799">
        <v>0</v>
      </c>
    </row>
    <row r="5800" spans="1:22" x14ac:dyDescent="0.3">
      <c r="A5800" t="s">
        <v>5815</v>
      </c>
      <c r="B5800" s="2">
        <v>46286.48333333333</v>
      </c>
      <c r="C5800" s="2">
        <v>46287.070833333331</v>
      </c>
      <c r="D5800" t="s">
        <v>6026</v>
      </c>
      <c r="E5800" t="s">
        <v>6029</v>
      </c>
      <c r="F5800" t="s">
        <v>6034</v>
      </c>
      <c r="G5800" t="s">
        <v>6046</v>
      </c>
      <c r="H5800" t="s">
        <v>6098</v>
      </c>
      <c r="I5800">
        <v>24</v>
      </c>
      <c r="J5800">
        <v>14.1</v>
      </c>
      <c r="K5800" t="s">
        <v>6100</v>
      </c>
      <c r="L5800" t="s">
        <v>6100</v>
      </c>
      <c r="M5800" t="s">
        <v>6100</v>
      </c>
      <c r="O5800" t="s">
        <v>6101</v>
      </c>
      <c r="P5800" t="s">
        <v>6115</v>
      </c>
      <c r="Q5800">
        <v>9</v>
      </c>
      <c r="R5800">
        <v>2026</v>
      </c>
      <c r="S5800" t="s">
        <v>6099</v>
      </c>
      <c r="T5800">
        <v>1</v>
      </c>
      <c r="U5800" t="s">
        <v>6021</v>
      </c>
      <c r="V5800">
        <v>0</v>
      </c>
    </row>
    <row r="5801" spans="1:22" x14ac:dyDescent="0.3">
      <c r="A5801" t="s">
        <v>5816</v>
      </c>
      <c r="B5801" s="2">
        <v>46286.50277777778</v>
      </c>
      <c r="C5801" s="2">
        <v>46286.69027777778</v>
      </c>
      <c r="D5801" t="s">
        <v>6028</v>
      </c>
      <c r="E5801" t="s">
        <v>6029</v>
      </c>
      <c r="F5801" t="s">
        <v>6034</v>
      </c>
      <c r="G5801" t="s">
        <v>6063</v>
      </c>
      <c r="H5801" t="s">
        <v>6097</v>
      </c>
      <c r="I5801">
        <v>24</v>
      </c>
      <c r="J5801">
        <v>4.5</v>
      </c>
      <c r="K5801" t="s">
        <v>6099</v>
      </c>
      <c r="L5801" t="s">
        <v>6100</v>
      </c>
      <c r="M5801" t="s">
        <v>6100</v>
      </c>
      <c r="N5801">
        <v>3</v>
      </c>
      <c r="O5801" t="s">
        <v>6101</v>
      </c>
      <c r="P5801" t="s">
        <v>6115</v>
      </c>
      <c r="Q5801">
        <v>9</v>
      </c>
      <c r="R5801">
        <v>2026</v>
      </c>
      <c r="S5801" t="s">
        <v>6099</v>
      </c>
      <c r="T5801">
        <v>1</v>
      </c>
      <c r="U5801" t="s">
        <v>6019</v>
      </c>
      <c r="V5801">
        <v>1</v>
      </c>
    </row>
    <row r="5802" spans="1:22" x14ac:dyDescent="0.3">
      <c r="A5802" t="s">
        <v>5817</v>
      </c>
      <c r="B5802" s="2">
        <v>46286.531944444447</v>
      </c>
      <c r="C5802" s="2">
        <v>46286.956944444442</v>
      </c>
      <c r="D5802" t="s">
        <v>6023</v>
      </c>
      <c r="E5802" t="s">
        <v>6029</v>
      </c>
      <c r="F5802" t="s">
        <v>6033</v>
      </c>
      <c r="G5802" t="s">
        <v>6049</v>
      </c>
      <c r="H5802" t="s">
        <v>6097</v>
      </c>
      <c r="I5802">
        <v>72</v>
      </c>
      <c r="J5802">
        <v>10.199999999999999</v>
      </c>
      <c r="K5802" t="s">
        <v>6099</v>
      </c>
      <c r="L5802" t="s">
        <v>6100</v>
      </c>
      <c r="M5802" t="s">
        <v>6100</v>
      </c>
      <c r="O5802" t="s">
        <v>6101</v>
      </c>
      <c r="P5802" t="s">
        <v>6115</v>
      </c>
      <c r="Q5802">
        <v>9</v>
      </c>
      <c r="R5802">
        <v>2026</v>
      </c>
      <c r="S5802" t="s">
        <v>6099</v>
      </c>
      <c r="T5802">
        <v>1</v>
      </c>
      <c r="U5802" t="s">
        <v>6020</v>
      </c>
      <c r="V5802">
        <v>1</v>
      </c>
    </row>
    <row r="5803" spans="1:22" x14ac:dyDescent="0.3">
      <c r="A5803" t="s">
        <v>5818</v>
      </c>
      <c r="B5803" s="2">
        <v>46286.537499999999</v>
      </c>
      <c r="C5803" s="2">
        <v>46286.837500000001</v>
      </c>
      <c r="D5803" t="s">
        <v>6023</v>
      </c>
      <c r="E5803" t="s">
        <v>6030</v>
      </c>
      <c r="F5803" t="s">
        <v>6033</v>
      </c>
      <c r="G5803" t="s">
        <v>6094</v>
      </c>
      <c r="H5803" t="s">
        <v>6098</v>
      </c>
      <c r="I5803">
        <v>72</v>
      </c>
      <c r="J5803">
        <v>7.2</v>
      </c>
      <c r="K5803" t="s">
        <v>6099</v>
      </c>
      <c r="L5803" t="s">
        <v>6100</v>
      </c>
      <c r="M5803" t="s">
        <v>6100</v>
      </c>
      <c r="N5803">
        <v>5</v>
      </c>
      <c r="O5803" t="s">
        <v>6101</v>
      </c>
      <c r="P5803" t="s">
        <v>6115</v>
      </c>
      <c r="Q5803">
        <v>9</v>
      </c>
      <c r="R5803">
        <v>2026</v>
      </c>
      <c r="S5803" t="s">
        <v>6099</v>
      </c>
      <c r="T5803">
        <v>1</v>
      </c>
      <c r="U5803" t="s">
        <v>6020</v>
      </c>
      <c r="V5803">
        <v>1</v>
      </c>
    </row>
    <row r="5804" spans="1:22" x14ac:dyDescent="0.3">
      <c r="A5804" t="s">
        <v>5819</v>
      </c>
      <c r="B5804" s="2">
        <v>46286.568749999999</v>
      </c>
      <c r="C5804" s="2">
        <v>46288.385416666664</v>
      </c>
      <c r="D5804" t="s">
        <v>6025</v>
      </c>
      <c r="E5804" t="s">
        <v>6032</v>
      </c>
      <c r="F5804" t="s">
        <v>6034</v>
      </c>
      <c r="G5804" t="s">
        <v>6064</v>
      </c>
      <c r="H5804" t="s">
        <v>6096</v>
      </c>
      <c r="I5804">
        <v>24</v>
      </c>
      <c r="J5804">
        <v>43.6</v>
      </c>
      <c r="K5804" t="s">
        <v>6099</v>
      </c>
      <c r="L5804" t="s">
        <v>6100</v>
      </c>
      <c r="M5804" t="s">
        <v>6100</v>
      </c>
      <c r="N5804">
        <v>4</v>
      </c>
      <c r="O5804" t="s">
        <v>6101</v>
      </c>
      <c r="P5804" t="s">
        <v>6115</v>
      </c>
      <c r="Q5804">
        <v>9</v>
      </c>
      <c r="R5804">
        <v>2026</v>
      </c>
      <c r="S5804" t="s">
        <v>6100</v>
      </c>
      <c r="T5804">
        <v>0</v>
      </c>
      <c r="U5804" t="s">
        <v>6019</v>
      </c>
      <c r="V5804">
        <v>1</v>
      </c>
    </row>
    <row r="5805" spans="1:22" x14ac:dyDescent="0.3">
      <c r="A5805" t="s">
        <v>5820</v>
      </c>
      <c r="B5805" s="2">
        <v>46286.651388888888</v>
      </c>
      <c r="C5805" s="2">
        <v>46287.038888888892</v>
      </c>
      <c r="D5805" t="s">
        <v>6028</v>
      </c>
      <c r="E5805" t="s">
        <v>6032</v>
      </c>
      <c r="F5805" t="s">
        <v>6034</v>
      </c>
      <c r="G5805" t="s">
        <v>6044</v>
      </c>
      <c r="H5805" t="s">
        <v>6097</v>
      </c>
      <c r="I5805">
        <v>24</v>
      </c>
      <c r="J5805">
        <v>9.3000000000000007</v>
      </c>
      <c r="K5805" t="s">
        <v>6100</v>
      </c>
      <c r="L5805" t="s">
        <v>6100</v>
      </c>
      <c r="M5805" t="s">
        <v>6100</v>
      </c>
      <c r="O5805" t="s">
        <v>6101</v>
      </c>
      <c r="P5805" t="s">
        <v>6115</v>
      </c>
      <c r="Q5805">
        <v>9</v>
      </c>
      <c r="R5805">
        <v>2026</v>
      </c>
      <c r="S5805" t="s">
        <v>6099</v>
      </c>
      <c r="T5805">
        <v>1</v>
      </c>
      <c r="U5805" t="s">
        <v>6018</v>
      </c>
      <c r="V5805">
        <v>0</v>
      </c>
    </row>
    <row r="5806" spans="1:22" x14ac:dyDescent="0.3">
      <c r="A5806" t="s">
        <v>5821</v>
      </c>
      <c r="B5806" s="2">
        <v>46286.656944444447</v>
      </c>
      <c r="C5806" s="2">
        <v>46287.581944444442</v>
      </c>
      <c r="D5806" t="s">
        <v>6025</v>
      </c>
      <c r="E5806" t="s">
        <v>6031</v>
      </c>
      <c r="F5806" t="s">
        <v>6033</v>
      </c>
      <c r="G5806" t="s">
        <v>6052</v>
      </c>
      <c r="H5806" t="s">
        <v>6098</v>
      </c>
      <c r="I5806">
        <v>72</v>
      </c>
      <c r="J5806">
        <v>22.2</v>
      </c>
      <c r="K5806" t="s">
        <v>6099</v>
      </c>
      <c r="L5806" t="s">
        <v>6100</v>
      </c>
      <c r="M5806" t="s">
        <v>6100</v>
      </c>
      <c r="N5806">
        <v>3</v>
      </c>
      <c r="O5806" t="s">
        <v>6101</v>
      </c>
      <c r="P5806" t="s">
        <v>6115</v>
      </c>
      <c r="Q5806">
        <v>9</v>
      </c>
      <c r="R5806">
        <v>2026</v>
      </c>
      <c r="S5806" t="s">
        <v>6099</v>
      </c>
      <c r="T5806">
        <v>1</v>
      </c>
      <c r="U5806" t="s">
        <v>6018</v>
      </c>
      <c r="V5806">
        <v>1</v>
      </c>
    </row>
    <row r="5807" spans="1:22" x14ac:dyDescent="0.3">
      <c r="A5807" t="s">
        <v>5822</v>
      </c>
      <c r="B5807" s="2">
        <v>46286.724999999999</v>
      </c>
      <c r="C5807" s="2">
        <v>46287.066666666666</v>
      </c>
      <c r="D5807" t="s">
        <v>6028</v>
      </c>
      <c r="E5807" t="s">
        <v>6029</v>
      </c>
      <c r="F5807" t="s">
        <v>6034</v>
      </c>
      <c r="G5807" t="s">
        <v>6083</v>
      </c>
      <c r="H5807" t="s">
        <v>6096</v>
      </c>
      <c r="I5807">
        <v>24</v>
      </c>
      <c r="J5807">
        <v>8.1999999999999993</v>
      </c>
      <c r="K5807" t="s">
        <v>6100</v>
      </c>
      <c r="L5807" t="s">
        <v>6099</v>
      </c>
      <c r="M5807" t="s">
        <v>6100</v>
      </c>
      <c r="N5807">
        <v>4</v>
      </c>
      <c r="O5807" t="s">
        <v>6101</v>
      </c>
      <c r="P5807" t="s">
        <v>6115</v>
      </c>
      <c r="Q5807">
        <v>9</v>
      </c>
      <c r="R5807">
        <v>2026</v>
      </c>
      <c r="S5807" t="s">
        <v>6099</v>
      </c>
      <c r="T5807">
        <v>1</v>
      </c>
      <c r="U5807" t="s">
        <v>6020</v>
      </c>
      <c r="V5807">
        <v>0</v>
      </c>
    </row>
    <row r="5808" spans="1:22" x14ac:dyDescent="0.3">
      <c r="A5808" t="s">
        <v>5823</v>
      </c>
      <c r="B5808" s="2">
        <v>46286.726388888892</v>
      </c>
      <c r="C5808" s="2">
        <v>46286.893055555556</v>
      </c>
      <c r="D5808" t="s">
        <v>6022</v>
      </c>
      <c r="E5808" t="s">
        <v>6029</v>
      </c>
      <c r="F5808" t="s">
        <v>6033</v>
      </c>
      <c r="G5808" t="s">
        <v>6057</v>
      </c>
      <c r="H5808" t="s">
        <v>6097</v>
      </c>
      <c r="I5808">
        <v>72</v>
      </c>
      <c r="J5808">
        <v>4</v>
      </c>
      <c r="K5808" t="s">
        <v>6099</v>
      </c>
      <c r="L5808" t="s">
        <v>6100</v>
      </c>
      <c r="M5808" t="s">
        <v>6100</v>
      </c>
      <c r="N5808">
        <v>4</v>
      </c>
      <c r="O5808" t="s">
        <v>6101</v>
      </c>
      <c r="P5808" t="s">
        <v>6115</v>
      </c>
      <c r="Q5808">
        <v>9</v>
      </c>
      <c r="R5808">
        <v>2026</v>
      </c>
      <c r="S5808" t="s">
        <v>6099</v>
      </c>
      <c r="T5808">
        <v>1</v>
      </c>
      <c r="U5808" t="s">
        <v>6021</v>
      </c>
      <c r="V5808">
        <v>1</v>
      </c>
    </row>
    <row r="5809" spans="1:22" x14ac:dyDescent="0.3">
      <c r="A5809" t="s">
        <v>5824</v>
      </c>
      <c r="B5809" s="2">
        <v>46286.747916666667</v>
      </c>
      <c r="C5809" s="2">
        <v>46287.552083333336</v>
      </c>
      <c r="D5809" t="s">
        <v>6025</v>
      </c>
      <c r="E5809" t="s">
        <v>6029</v>
      </c>
      <c r="F5809" t="s">
        <v>6034</v>
      </c>
      <c r="G5809" t="s">
        <v>6088</v>
      </c>
      <c r="H5809" t="s">
        <v>6097</v>
      </c>
      <c r="I5809">
        <v>24</v>
      </c>
      <c r="J5809">
        <v>19.3</v>
      </c>
      <c r="K5809" t="s">
        <v>6099</v>
      </c>
      <c r="L5809" t="s">
        <v>6100</v>
      </c>
      <c r="M5809" t="s">
        <v>6100</v>
      </c>
      <c r="N5809">
        <v>5</v>
      </c>
      <c r="O5809" t="s">
        <v>6101</v>
      </c>
      <c r="P5809" t="s">
        <v>6115</v>
      </c>
      <c r="Q5809">
        <v>9</v>
      </c>
      <c r="R5809">
        <v>2026</v>
      </c>
      <c r="S5809" t="s">
        <v>6099</v>
      </c>
      <c r="T5809">
        <v>1</v>
      </c>
      <c r="U5809" t="s">
        <v>6021</v>
      </c>
      <c r="V5809">
        <v>1</v>
      </c>
    </row>
    <row r="5810" spans="1:22" x14ac:dyDescent="0.3">
      <c r="A5810" t="s">
        <v>5825</v>
      </c>
      <c r="B5810" s="2">
        <v>46286.854166666664</v>
      </c>
      <c r="C5810" s="2">
        <v>46287.683333333334</v>
      </c>
      <c r="D5810" t="s">
        <v>6028</v>
      </c>
      <c r="E5810" t="s">
        <v>6031</v>
      </c>
      <c r="F5810" t="s">
        <v>6034</v>
      </c>
      <c r="G5810" t="s">
        <v>6058</v>
      </c>
      <c r="H5810" t="s">
        <v>6098</v>
      </c>
      <c r="I5810">
        <v>24</v>
      </c>
      <c r="J5810">
        <v>19.899999999999999</v>
      </c>
      <c r="K5810" t="s">
        <v>6099</v>
      </c>
      <c r="L5810" t="s">
        <v>6100</v>
      </c>
      <c r="M5810" t="s">
        <v>6100</v>
      </c>
      <c r="N5810">
        <v>5</v>
      </c>
      <c r="O5810" t="s">
        <v>6101</v>
      </c>
      <c r="P5810" t="s">
        <v>6115</v>
      </c>
      <c r="Q5810">
        <v>9</v>
      </c>
      <c r="R5810">
        <v>2026</v>
      </c>
      <c r="S5810" t="s">
        <v>6099</v>
      </c>
      <c r="T5810">
        <v>1</v>
      </c>
      <c r="U5810" t="s">
        <v>6019</v>
      </c>
      <c r="V5810">
        <v>1</v>
      </c>
    </row>
    <row r="5811" spans="1:22" x14ac:dyDescent="0.3">
      <c r="A5811" t="s">
        <v>5826</v>
      </c>
      <c r="B5811" s="2">
        <v>46287.172222222223</v>
      </c>
      <c r="C5811" s="2">
        <v>46289.172222222223</v>
      </c>
      <c r="D5811" t="s">
        <v>6026</v>
      </c>
      <c r="E5811" t="s">
        <v>6032</v>
      </c>
      <c r="F5811" t="s">
        <v>6033</v>
      </c>
      <c r="G5811" t="s">
        <v>6046</v>
      </c>
      <c r="H5811" t="s">
        <v>6098</v>
      </c>
      <c r="I5811">
        <v>72</v>
      </c>
      <c r="J5811">
        <v>48</v>
      </c>
      <c r="K5811" t="s">
        <v>6100</v>
      </c>
      <c r="L5811" t="s">
        <v>6100</v>
      </c>
      <c r="M5811" t="s">
        <v>6100</v>
      </c>
      <c r="N5811">
        <v>4</v>
      </c>
      <c r="O5811" t="s">
        <v>6101</v>
      </c>
      <c r="P5811" t="s">
        <v>6115</v>
      </c>
      <c r="Q5811">
        <v>9</v>
      </c>
      <c r="R5811">
        <v>2026</v>
      </c>
      <c r="S5811" t="s">
        <v>6099</v>
      </c>
      <c r="T5811">
        <v>1</v>
      </c>
      <c r="U5811" t="s">
        <v>6019</v>
      </c>
      <c r="V5811">
        <v>0</v>
      </c>
    </row>
    <row r="5812" spans="1:22" x14ac:dyDescent="0.3">
      <c r="A5812" t="s">
        <v>5827</v>
      </c>
      <c r="B5812" s="2">
        <v>46287.236111111109</v>
      </c>
      <c r="C5812" s="2">
        <v>46287.681944444441</v>
      </c>
      <c r="D5812" t="s">
        <v>6028</v>
      </c>
      <c r="E5812" t="s">
        <v>6029</v>
      </c>
      <c r="F5812" t="s">
        <v>6035</v>
      </c>
      <c r="G5812" t="s">
        <v>6046</v>
      </c>
      <c r="H5812" t="s">
        <v>6098</v>
      </c>
      <c r="I5812">
        <v>4</v>
      </c>
      <c r="J5812">
        <v>10.7</v>
      </c>
      <c r="K5812" t="s">
        <v>6099</v>
      </c>
      <c r="L5812" t="s">
        <v>6100</v>
      </c>
      <c r="M5812" t="s">
        <v>6100</v>
      </c>
      <c r="N5812">
        <v>4</v>
      </c>
      <c r="O5812" t="s">
        <v>6101</v>
      </c>
      <c r="P5812" t="s">
        <v>6115</v>
      </c>
      <c r="Q5812">
        <v>9</v>
      </c>
      <c r="R5812">
        <v>2026</v>
      </c>
      <c r="S5812" t="s">
        <v>6100</v>
      </c>
      <c r="T5812">
        <v>0</v>
      </c>
      <c r="U5812" t="s">
        <v>6018</v>
      </c>
      <c r="V5812">
        <v>1</v>
      </c>
    </row>
    <row r="5813" spans="1:22" x14ac:dyDescent="0.3">
      <c r="A5813" t="s">
        <v>5828</v>
      </c>
      <c r="B5813" s="2">
        <v>46287.329861111109</v>
      </c>
      <c r="C5813" s="2">
        <v>46287.40902777778</v>
      </c>
      <c r="D5813" t="s">
        <v>6023</v>
      </c>
      <c r="E5813" t="s">
        <v>6029</v>
      </c>
      <c r="F5813" t="s">
        <v>6034</v>
      </c>
      <c r="G5813" t="s">
        <v>6085</v>
      </c>
      <c r="H5813" t="s">
        <v>6097</v>
      </c>
      <c r="I5813">
        <v>24</v>
      </c>
      <c r="J5813">
        <v>1.9</v>
      </c>
      <c r="K5813" t="s">
        <v>6099</v>
      </c>
      <c r="L5813" t="s">
        <v>6100</v>
      </c>
      <c r="M5813" t="s">
        <v>6100</v>
      </c>
      <c r="N5813">
        <v>5</v>
      </c>
      <c r="O5813" t="s">
        <v>6101</v>
      </c>
      <c r="P5813" t="s">
        <v>6115</v>
      </c>
      <c r="Q5813">
        <v>9</v>
      </c>
      <c r="R5813">
        <v>2026</v>
      </c>
      <c r="S5813" t="s">
        <v>6099</v>
      </c>
      <c r="T5813">
        <v>1</v>
      </c>
      <c r="U5813" t="s">
        <v>6019</v>
      </c>
      <c r="V5813">
        <v>1</v>
      </c>
    </row>
    <row r="5814" spans="1:22" x14ac:dyDescent="0.3">
      <c r="A5814" t="s">
        <v>5829</v>
      </c>
      <c r="B5814" s="2">
        <v>46287.341666666667</v>
      </c>
      <c r="C5814" s="2">
        <v>46287.866666666669</v>
      </c>
      <c r="D5814" t="s">
        <v>6024</v>
      </c>
      <c r="E5814" t="s">
        <v>6030</v>
      </c>
      <c r="F5814" t="s">
        <v>6033</v>
      </c>
      <c r="G5814" t="s">
        <v>6037</v>
      </c>
      <c r="H5814" t="s">
        <v>6096</v>
      </c>
      <c r="I5814">
        <v>72</v>
      </c>
      <c r="J5814">
        <v>12.6</v>
      </c>
      <c r="K5814" t="s">
        <v>6099</v>
      </c>
      <c r="L5814" t="s">
        <v>6100</v>
      </c>
      <c r="M5814" t="s">
        <v>6100</v>
      </c>
      <c r="N5814">
        <v>4</v>
      </c>
      <c r="O5814" t="s">
        <v>6101</v>
      </c>
      <c r="P5814" t="s">
        <v>6115</v>
      </c>
      <c r="Q5814">
        <v>9</v>
      </c>
      <c r="R5814">
        <v>2026</v>
      </c>
      <c r="S5814" t="s">
        <v>6099</v>
      </c>
      <c r="T5814">
        <v>1</v>
      </c>
      <c r="U5814" t="s">
        <v>6021</v>
      </c>
      <c r="V5814">
        <v>1</v>
      </c>
    </row>
    <row r="5815" spans="1:22" x14ac:dyDescent="0.3">
      <c r="A5815" t="s">
        <v>5830</v>
      </c>
      <c r="B5815" s="2">
        <v>46287.371527777781</v>
      </c>
      <c r="C5815" s="2">
        <v>46288.467361111114</v>
      </c>
      <c r="D5815" t="s">
        <v>6025</v>
      </c>
      <c r="E5815" t="s">
        <v>6031</v>
      </c>
      <c r="F5815" t="s">
        <v>6035</v>
      </c>
      <c r="G5815" t="s">
        <v>6080</v>
      </c>
      <c r="H5815" t="s">
        <v>6096</v>
      </c>
      <c r="I5815">
        <v>4</v>
      </c>
      <c r="J5815">
        <v>26.3</v>
      </c>
      <c r="K5815" t="s">
        <v>6100</v>
      </c>
      <c r="L5815" t="s">
        <v>6099</v>
      </c>
      <c r="M5815" t="s">
        <v>6099</v>
      </c>
      <c r="O5815" t="s">
        <v>6101</v>
      </c>
      <c r="P5815" t="s">
        <v>6115</v>
      </c>
      <c r="Q5815">
        <v>9</v>
      </c>
      <c r="R5815">
        <v>2026</v>
      </c>
      <c r="S5815" t="s">
        <v>6100</v>
      </c>
      <c r="T5815">
        <v>0</v>
      </c>
      <c r="U5815" t="s">
        <v>6019</v>
      </c>
      <c r="V5815">
        <v>0</v>
      </c>
    </row>
    <row r="5816" spans="1:22" x14ac:dyDescent="0.3">
      <c r="A5816" t="s">
        <v>5831</v>
      </c>
      <c r="B5816" s="2">
        <v>46287.40902777778</v>
      </c>
      <c r="C5816" s="2">
        <v>46289.204861111109</v>
      </c>
      <c r="D5816" t="s">
        <v>6025</v>
      </c>
      <c r="E5816" t="s">
        <v>6031</v>
      </c>
      <c r="F5816" t="s">
        <v>6033</v>
      </c>
      <c r="G5816" t="s">
        <v>6064</v>
      </c>
      <c r="H5816" t="s">
        <v>6096</v>
      </c>
      <c r="I5816">
        <v>72</v>
      </c>
      <c r="J5816">
        <v>43.1</v>
      </c>
      <c r="K5816" t="s">
        <v>6099</v>
      </c>
      <c r="L5816" t="s">
        <v>6100</v>
      </c>
      <c r="M5816" t="s">
        <v>6099</v>
      </c>
      <c r="N5816">
        <v>3</v>
      </c>
      <c r="O5816" t="s">
        <v>6101</v>
      </c>
      <c r="P5816" t="s">
        <v>6115</v>
      </c>
      <c r="Q5816">
        <v>9</v>
      </c>
      <c r="R5816">
        <v>2026</v>
      </c>
      <c r="S5816" t="s">
        <v>6099</v>
      </c>
      <c r="T5816">
        <v>1</v>
      </c>
      <c r="U5816" t="s">
        <v>6020</v>
      </c>
      <c r="V5816">
        <v>1</v>
      </c>
    </row>
    <row r="5817" spans="1:22" x14ac:dyDescent="0.3">
      <c r="A5817" t="s">
        <v>5832</v>
      </c>
      <c r="B5817" s="2">
        <v>46287.42291666667</v>
      </c>
      <c r="C5817" s="2">
        <v>46287.635416666664</v>
      </c>
      <c r="D5817" t="s">
        <v>6028</v>
      </c>
      <c r="E5817" t="s">
        <v>6029</v>
      </c>
      <c r="F5817" t="s">
        <v>6034</v>
      </c>
      <c r="G5817" t="s">
        <v>6039</v>
      </c>
      <c r="H5817" t="s">
        <v>6097</v>
      </c>
      <c r="I5817">
        <v>24</v>
      </c>
      <c r="J5817">
        <v>5.0999999999999996</v>
      </c>
      <c r="K5817" t="s">
        <v>6099</v>
      </c>
      <c r="L5817" t="s">
        <v>6100</v>
      </c>
      <c r="M5817" t="s">
        <v>6100</v>
      </c>
      <c r="O5817" t="s">
        <v>6101</v>
      </c>
      <c r="P5817" t="s">
        <v>6115</v>
      </c>
      <c r="Q5817">
        <v>9</v>
      </c>
      <c r="R5817">
        <v>2026</v>
      </c>
      <c r="S5817" t="s">
        <v>6099</v>
      </c>
      <c r="T5817">
        <v>1</v>
      </c>
      <c r="U5817" t="s">
        <v>6018</v>
      </c>
      <c r="V5817">
        <v>1</v>
      </c>
    </row>
    <row r="5818" spans="1:22" x14ac:dyDescent="0.3">
      <c r="A5818" t="s">
        <v>5833</v>
      </c>
      <c r="B5818" s="2">
        <v>46287.426388888889</v>
      </c>
      <c r="C5818" s="2">
        <v>46288.384722222225</v>
      </c>
      <c r="D5818" t="s">
        <v>6027</v>
      </c>
      <c r="E5818" t="s">
        <v>6031</v>
      </c>
      <c r="F5818" t="s">
        <v>6033</v>
      </c>
      <c r="G5818" t="s">
        <v>6091</v>
      </c>
      <c r="H5818" t="s">
        <v>6097</v>
      </c>
      <c r="I5818">
        <v>72</v>
      </c>
      <c r="J5818">
        <v>23</v>
      </c>
      <c r="K5818" t="s">
        <v>6099</v>
      </c>
      <c r="L5818" t="s">
        <v>6100</v>
      </c>
      <c r="M5818" t="s">
        <v>6099</v>
      </c>
      <c r="N5818">
        <v>4</v>
      </c>
      <c r="O5818" t="s">
        <v>6101</v>
      </c>
      <c r="P5818" t="s">
        <v>6115</v>
      </c>
      <c r="Q5818">
        <v>9</v>
      </c>
      <c r="R5818">
        <v>2026</v>
      </c>
      <c r="S5818" t="s">
        <v>6099</v>
      </c>
      <c r="T5818">
        <v>1</v>
      </c>
      <c r="U5818" t="s">
        <v>6017</v>
      </c>
      <c r="V5818">
        <v>1</v>
      </c>
    </row>
    <row r="5819" spans="1:22" x14ac:dyDescent="0.3">
      <c r="A5819" t="s">
        <v>5834</v>
      </c>
      <c r="B5819" s="2">
        <v>46287.429861111108</v>
      </c>
      <c r="C5819" s="2">
        <v>46287.946527777778</v>
      </c>
      <c r="D5819" t="s">
        <v>6028</v>
      </c>
      <c r="E5819" t="s">
        <v>6029</v>
      </c>
      <c r="F5819" t="s">
        <v>6035</v>
      </c>
      <c r="G5819" t="s">
        <v>6063</v>
      </c>
      <c r="H5819" t="s">
        <v>6097</v>
      </c>
      <c r="I5819">
        <v>4</v>
      </c>
      <c r="J5819">
        <v>12.4</v>
      </c>
      <c r="K5819" t="s">
        <v>6099</v>
      </c>
      <c r="L5819" t="s">
        <v>6100</v>
      </c>
      <c r="M5819" t="s">
        <v>6100</v>
      </c>
      <c r="O5819" t="s">
        <v>6101</v>
      </c>
      <c r="P5819" t="s">
        <v>6115</v>
      </c>
      <c r="Q5819">
        <v>9</v>
      </c>
      <c r="R5819">
        <v>2026</v>
      </c>
      <c r="S5819" t="s">
        <v>6100</v>
      </c>
      <c r="T5819">
        <v>0</v>
      </c>
      <c r="U5819" t="s">
        <v>6019</v>
      </c>
      <c r="V5819">
        <v>1</v>
      </c>
    </row>
    <row r="5820" spans="1:22" x14ac:dyDescent="0.3">
      <c r="A5820" t="s">
        <v>5835</v>
      </c>
      <c r="B5820" s="2">
        <v>46287.431944444441</v>
      </c>
      <c r="C5820" s="2">
        <v>46287.606944444444</v>
      </c>
      <c r="D5820" t="s">
        <v>6028</v>
      </c>
      <c r="E5820" t="s">
        <v>6029</v>
      </c>
      <c r="F5820" t="s">
        <v>6035</v>
      </c>
      <c r="G5820" t="s">
        <v>6060</v>
      </c>
      <c r="H5820" t="s">
        <v>6097</v>
      </c>
      <c r="I5820">
        <v>4</v>
      </c>
      <c r="J5820">
        <v>4.2</v>
      </c>
      <c r="K5820" t="s">
        <v>6099</v>
      </c>
      <c r="L5820" t="s">
        <v>6100</v>
      </c>
      <c r="M5820" t="s">
        <v>6100</v>
      </c>
      <c r="N5820">
        <v>4</v>
      </c>
      <c r="O5820" t="s">
        <v>6101</v>
      </c>
      <c r="P5820" t="s">
        <v>6115</v>
      </c>
      <c r="Q5820">
        <v>9</v>
      </c>
      <c r="R5820">
        <v>2026</v>
      </c>
      <c r="S5820" t="s">
        <v>6100</v>
      </c>
      <c r="T5820">
        <v>0</v>
      </c>
      <c r="U5820" t="s">
        <v>6019</v>
      </c>
      <c r="V5820">
        <v>1</v>
      </c>
    </row>
    <row r="5821" spans="1:22" x14ac:dyDescent="0.3">
      <c r="A5821" t="s">
        <v>5836</v>
      </c>
      <c r="B5821" s="2">
        <v>46287.451388888891</v>
      </c>
      <c r="C5821" s="2">
        <v>46287.597222222219</v>
      </c>
      <c r="D5821" t="s">
        <v>6022</v>
      </c>
      <c r="E5821" t="s">
        <v>6029</v>
      </c>
      <c r="F5821" t="s">
        <v>6033</v>
      </c>
      <c r="G5821" t="s">
        <v>6077</v>
      </c>
      <c r="H5821" t="s">
        <v>6098</v>
      </c>
      <c r="I5821">
        <v>72</v>
      </c>
      <c r="J5821">
        <v>3.5</v>
      </c>
      <c r="K5821" t="s">
        <v>6100</v>
      </c>
      <c r="L5821" t="s">
        <v>6100</v>
      </c>
      <c r="M5821" t="s">
        <v>6100</v>
      </c>
      <c r="O5821" t="s">
        <v>6101</v>
      </c>
      <c r="P5821" t="s">
        <v>6115</v>
      </c>
      <c r="Q5821">
        <v>9</v>
      </c>
      <c r="R5821">
        <v>2026</v>
      </c>
      <c r="S5821" t="s">
        <v>6099</v>
      </c>
      <c r="T5821">
        <v>1</v>
      </c>
      <c r="U5821" t="s">
        <v>6020</v>
      </c>
      <c r="V5821">
        <v>0</v>
      </c>
    </row>
    <row r="5822" spans="1:22" x14ac:dyDescent="0.3">
      <c r="A5822" t="s">
        <v>5837</v>
      </c>
      <c r="B5822" s="2">
        <v>46287.45416666667</v>
      </c>
      <c r="C5822" s="2">
        <v>46288.504166666666</v>
      </c>
      <c r="D5822" t="s">
        <v>6025</v>
      </c>
      <c r="E5822" t="s">
        <v>6030</v>
      </c>
      <c r="F5822" t="s">
        <v>6033</v>
      </c>
      <c r="G5822" t="s">
        <v>6090</v>
      </c>
      <c r="H5822" t="s">
        <v>6097</v>
      </c>
      <c r="I5822">
        <v>72</v>
      </c>
      <c r="J5822">
        <v>25.2</v>
      </c>
      <c r="K5822" t="s">
        <v>6099</v>
      </c>
      <c r="L5822" t="s">
        <v>6100</v>
      </c>
      <c r="M5822" t="s">
        <v>6100</v>
      </c>
      <c r="N5822">
        <v>3</v>
      </c>
      <c r="O5822" t="s">
        <v>6101</v>
      </c>
      <c r="P5822" t="s">
        <v>6115</v>
      </c>
      <c r="Q5822">
        <v>9</v>
      </c>
      <c r="R5822">
        <v>2026</v>
      </c>
      <c r="S5822" t="s">
        <v>6099</v>
      </c>
      <c r="T5822">
        <v>1</v>
      </c>
      <c r="U5822" t="s">
        <v>6017</v>
      </c>
      <c r="V5822">
        <v>1</v>
      </c>
    </row>
    <row r="5823" spans="1:22" x14ac:dyDescent="0.3">
      <c r="A5823" t="s">
        <v>5838</v>
      </c>
      <c r="B5823" s="2">
        <v>46287.459027777775</v>
      </c>
      <c r="C5823" s="2">
        <v>46287.754861111112</v>
      </c>
      <c r="D5823" t="s">
        <v>6022</v>
      </c>
      <c r="E5823" t="s">
        <v>6030</v>
      </c>
      <c r="F5823" t="s">
        <v>6033</v>
      </c>
      <c r="G5823" t="s">
        <v>6065</v>
      </c>
      <c r="H5823" t="s">
        <v>6097</v>
      </c>
      <c r="I5823">
        <v>72</v>
      </c>
      <c r="J5823">
        <v>7.1</v>
      </c>
      <c r="K5823" t="s">
        <v>6100</v>
      </c>
      <c r="L5823" t="s">
        <v>6099</v>
      </c>
      <c r="M5823" t="s">
        <v>6100</v>
      </c>
      <c r="O5823" t="s">
        <v>6101</v>
      </c>
      <c r="P5823" t="s">
        <v>6115</v>
      </c>
      <c r="Q5823">
        <v>9</v>
      </c>
      <c r="R5823">
        <v>2026</v>
      </c>
      <c r="S5823" t="s">
        <v>6099</v>
      </c>
      <c r="T5823">
        <v>1</v>
      </c>
      <c r="U5823" t="s">
        <v>6017</v>
      </c>
      <c r="V5823">
        <v>0</v>
      </c>
    </row>
    <row r="5824" spans="1:22" x14ac:dyDescent="0.3">
      <c r="A5824" t="s">
        <v>5839</v>
      </c>
      <c r="B5824" s="2">
        <v>46287.462500000001</v>
      </c>
      <c r="C5824" s="2">
        <v>46287.841666666667</v>
      </c>
      <c r="D5824" t="s">
        <v>6028</v>
      </c>
      <c r="E5824" t="s">
        <v>6029</v>
      </c>
      <c r="F5824" t="s">
        <v>6035</v>
      </c>
      <c r="G5824" t="s">
        <v>6089</v>
      </c>
      <c r="H5824" t="s">
        <v>6098</v>
      </c>
      <c r="I5824">
        <v>4</v>
      </c>
      <c r="J5824">
        <v>9.1</v>
      </c>
      <c r="K5824" t="s">
        <v>6099</v>
      </c>
      <c r="L5824" t="s">
        <v>6100</v>
      </c>
      <c r="M5824" t="s">
        <v>6099</v>
      </c>
      <c r="N5824">
        <v>3</v>
      </c>
      <c r="O5824" t="s">
        <v>6101</v>
      </c>
      <c r="P5824" t="s">
        <v>6115</v>
      </c>
      <c r="Q5824">
        <v>9</v>
      </c>
      <c r="R5824">
        <v>2026</v>
      </c>
      <c r="S5824" t="s">
        <v>6100</v>
      </c>
      <c r="T5824">
        <v>0</v>
      </c>
      <c r="U5824" t="s">
        <v>6020</v>
      </c>
      <c r="V5824">
        <v>1</v>
      </c>
    </row>
    <row r="5825" spans="1:22" x14ac:dyDescent="0.3">
      <c r="A5825" t="s">
        <v>5840</v>
      </c>
      <c r="B5825" s="2">
        <v>46287.476388888892</v>
      </c>
      <c r="C5825" s="2">
        <v>46288.447222222225</v>
      </c>
      <c r="D5825" t="s">
        <v>6027</v>
      </c>
      <c r="E5825" t="s">
        <v>6032</v>
      </c>
      <c r="F5825" t="s">
        <v>6034</v>
      </c>
      <c r="G5825" t="s">
        <v>6053</v>
      </c>
      <c r="H5825" t="s">
        <v>6097</v>
      </c>
      <c r="I5825">
        <v>24</v>
      </c>
      <c r="J5825">
        <v>23.3</v>
      </c>
      <c r="K5825" t="s">
        <v>6100</v>
      </c>
      <c r="L5825" t="s">
        <v>6100</v>
      </c>
      <c r="M5825" t="s">
        <v>6100</v>
      </c>
      <c r="N5825">
        <v>3</v>
      </c>
      <c r="O5825" t="s">
        <v>6101</v>
      </c>
      <c r="P5825" t="s">
        <v>6115</v>
      </c>
      <c r="Q5825">
        <v>9</v>
      </c>
      <c r="R5825">
        <v>2026</v>
      </c>
      <c r="S5825" t="s">
        <v>6099</v>
      </c>
      <c r="T5825">
        <v>1</v>
      </c>
      <c r="U5825" t="s">
        <v>6018</v>
      </c>
      <c r="V5825">
        <v>0</v>
      </c>
    </row>
    <row r="5826" spans="1:22" x14ac:dyDescent="0.3">
      <c r="A5826" t="s">
        <v>5841</v>
      </c>
      <c r="B5826" s="2">
        <v>46287.494444444441</v>
      </c>
      <c r="C5826" s="2">
        <v>46288.319444444445</v>
      </c>
      <c r="D5826" t="s">
        <v>6028</v>
      </c>
      <c r="E5826" t="s">
        <v>6031</v>
      </c>
      <c r="F5826" t="s">
        <v>6035</v>
      </c>
      <c r="G5826" t="s">
        <v>6051</v>
      </c>
      <c r="H5826" t="s">
        <v>6097</v>
      </c>
      <c r="I5826">
        <v>4</v>
      </c>
      <c r="J5826">
        <v>19.8</v>
      </c>
      <c r="K5826" t="s">
        <v>6100</v>
      </c>
      <c r="L5826" t="s">
        <v>6100</v>
      </c>
      <c r="M5826" t="s">
        <v>6100</v>
      </c>
      <c r="O5826" t="s">
        <v>6101</v>
      </c>
      <c r="P5826" t="s">
        <v>6115</v>
      </c>
      <c r="Q5826">
        <v>9</v>
      </c>
      <c r="R5826">
        <v>2026</v>
      </c>
      <c r="S5826" t="s">
        <v>6100</v>
      </c>
      <c r="T5826">
        <v>0</v>
      </c>
      <c r="U5826" t="s">
        <v>6020</v>
      </c>
      <c r="V5826">
        <v>0</v>
      </c>
    </row>
    <row r="5827" spans="1:22" x14ac:dyDescent="0.3">
      <c r="A5827" t="s">
        <v>5842</v>
      </c>
      <c r="B5827" s="2">
        <v>46287.556944444441</v>
      </c>
      <c r="C5827" s="2">
        <v>46288.544444444444</v>
      </c>
      <c r="D5827" t="s">
        <v>6026</v>
      </c>
      <c r="E5827" t="s">
        <v>6029</v>
      </c>
      <c r="F5827" t="s">
        <v>6035</v>
      </c>
      <c r="G5827" t="s">
        <v>6081</v>
      </c>
      <c r="H5827" t="s">
        <v>6098</v>
      </c>
      <c r="I5827">
        <v>4</v>
      </c>
      <c r="J5827">
        <v>23.7</v>
      </c>
      <c r="K5827" t="s">
        <v>6100</v>
      </c>
      <c r="L5827" t="s">
        <v>6100</v>
      </c>
      <c r="M5827" t="s">
        <v>6099</v>
      </c>
      <c r="N5827">
        <v>3</v>
      </c>
      <c r="O5827" t="s">
        <v>6101</v>
      </c>
      <c r="P5827" t="s">
        <v>6115</v>
      </c>
      <c r="Q5827">
        <v>9</v>
      </c>
      <c r="R5827">
        <v>2026</v>
      </c>
      <c r="S5827" t="s">
        <v>6100</v>
      </c>
      <c r="T5827">
        <v>0</v>
      </c>
      <c r="U5827" t="s">
        <v>6019</v>
      </c>
      <c r="V5827">
        <v>0</v>
      </c>
    </row>
    <row r="5828" spans="1:22" x14ac:dyDescent="0.3">
      <c r="A5828" t="s">
        <v>5843</v>
      </c>
      <c r="B5828" s="2">
        <v>46287.564583333333</v>
      </c>
      <c r="C5828" s="2">
        <v>46287.78125</v>
      </c>
      <c r="D5828" t="s">
        <v>6023</v>
      </c>
      <c r="E5828" t="s">
        <v>6029</v>
      </c>
      <c r="F5828" t="s">
        <v>6033</v>
      </c>
      <c r="G5828" t="s">
        <v>6049</v>
      </c>
      <c r="H5828" t="s">
        <v>6097</v>
      </c>
      <c r="I5828">
        <v>72</v>
      </c>
      <c r="J5828">
        <v>5.2</v>
      </c>
      <c r="K5828" t="s">
        <v>6100</v>
      </c>
      <c r="L5828" t="s">
        <v>6099</v>
      </c>
      <c r="M5828" t="s">
        <v>6100</v>
      </c>
      <c r="N5828">
        <v>3</v>
      </c>
      <c r="O5828" t="s">
        <v>6101</v>
      </c>
      <c r="P5828" t="s">
        <v>6115</v>
      </c>
      <c r="Q5828">
        <v>9</v>
      </c>
      <c r="R5828">
        <v>2026</v>
      </c>
      <c r="S5828" t="s">
        <v>6099</v>
      </c>
      <c r="T5828">
        <v>1</v>
      </c>
      <c r="U5828" t="s">
        <v>6019</v>
      </c>
      <c r="V5828">
        <v>0</v>
      </c>
    </row>
    <row r="5829" spans="1:22" x14ac:dyDescent="0.3">
      <c r="A5829" t="s">
        <v>5844</v>
      </c>
      <c r="B5829" s="2">
        <v>46287.576388888891</v>
      </c>
      <c r="C5829" s="2">
        <v>46288.347222222219</v>
      </c>
      <c r="D5829" t="s">
        <v>6028</v>
      </c>
      <c r="E5829" t="s">
        <v>6029</v>
      </c>
      <c r="F5829" t="s">
        <v>6035</v>
      </c>
      <c r="G5829" t="s">
        <v>6064</v>
      </c>
      <c r="H5829" t="s">
        <v>6096</v>
      </c>
      <c r="I5829">
        <v>4</v>
      </c>
      <c r="J5829">
        <v>18.5</v>
      </c>
      <c r="K5829" t="s">
        <v>6099</v>
      </c>
      <c r="L5829" t="s">
        <v>6100</v>
      </c>
      <c r="M5829" t="s">
        <v>6100</v>
      </c>
      <c r="N5829">
        <v>5</v>
      </c>
      <c r="O5829" t="s">
        <v>6101</v>
      </c>
      <c r="P5829" t="s">
        <v>6115</v>
      </c>
      <c r="Q5829">
        <v>9</v>
      </c>
      <c r="R5829">
        <v>2026</v>
      </c>
      <c r="S5829" t="s">
        <v>6100</v>
      </c>
      <c r="T5829">
        <v>0</v>
      </c>
      <c r="U5829" t="s">
        <v>6020</v>
      </c>
      <c r="V5829">
        <v>1</v>
      </c>
    </row>
    <row r="5830" spans="1:22" x14ac:dyDescent="0.3">
      <c r="A5830" t="s">
        <v>5845</v>
      </c>
      <c r="B5830" s="2">
        <v>46287.582638888889</v>
      </c>
      <c r="C5830" s="2">
        <v>46288.349305555559</v>
      </c>
      <c r="D5830" t="s">
        <v>6022</v>
      </c>
      <c r="E5830" t="s">
        <v>6032</v>
      </c>
      <c r="F5830" t="s">
        <v>6034</v>
      </c>
      <c r="G5830" t="s">
        <v>6041</v>
      </c>
      <c r="H5830" t="s">
        <v>6096</v>
      </c>
      <c r="I5830">
        <v>24</v>
      </c>
      <c r="J5830">
        <v>18.399999999999999</v>
      </c>
      <c r="K5830" t="s">
        <v>6100</v>
      </c>
      <c r="L5830" t="s">
        <v>6100</v>
      </c>
      <c r="M5830" t="s">
        <v>6100</v>
      </c>
      <c r="N5830">
        <v>5</v>
      </c>
      <c r="O5830" t="s">
        <v>6101</v>
      </c>
      <c r="P5830" t="s">
        <v>6115</v>
      </c>
      <c r="Q5830">
        <v>9</v>
      </c>
      <c r="R5830">
        <v>2026</v>
      </c>
      <c r="S5830" t="s">
        <v>6099</v>
      </c>
      <c r="T5830">
        <v>1</v>
      </c>
      <c r="U5830" t="s">
        <v>6019</v>
      </c>
      <c r="V5830">
        <v>0</v>
      </c>
    </row>
    <row r="5831" spans="1:22" x14ac:dyDescent="0.3">
      <c r="A5831" t="s">
        <v>5846</v>
      </c>
      <c r="B5831" s="2">
        <v>46287.651388888888</v>
      </c>
      <c r="C5831" s="2">
        <v>46288.605555555558</v>
      </c>
      <c r="D5831" t="s">
        <v>6026</v>
      </c>
      <c r="E5831" t="s">
        <v>6030</v>
      </c>
      <c r="F5831" t="s">
        <v>6033</v>
      </c>
      <c r="G5831" t="s">
        <v>6063</v>
      </c>
      <c r="H5831" t="s">
        <v>6097</v>
      </c>
      <c r="I5831">
        <v>72</v>
      </c>
      <c r="J5831">
        <v>22.9</v>
      </c>
      <c r="K5831" t="s">
        <v>6099</v>
      </c>
      <c r="L5831" t="s">
        <v>6100</v>
      </c>
      <c r="M5831" t="s">
        <v>6100</v>
      </c>
      <c r="N5831">
        <v>5</v>
      </c>
      <c r="O5831" t="s">
        <v>6101</v>
      </c>
      <c r="P5831" t="s">
        <v>6115</v>
      </c>
      <c r="Q5831">
        <v>9</v>
      </c>
      <c r="R5831">
        <v>2026</v>
      </c>
      <c r="S5831" t="s">
        <v>6099</v>
      </c>
      <c r="T5831">
        <v>1</v>
      </c>
      <c r="U5831" t="s">
        <v>6021</v>
      </c>
      <c r="V5831">
        <v>1</v>
      </c>
    </row>
    <row r="5832" spans="1:22" x14ac:dyDescent="0.3">
      <c r="A5832" t="s">
        <v>5847</v>
      </c>
      <c r="B5832" s="2">
        <v>46287.663888888892</v>
      </c>
      <c r="C5832" s="2">
        <v>46287.947222222225</v>
      </c>
      <c r="D5832" t="s">
        <v>6028</v>
      </c>
      <c r="E5832" t="s">
        <v>6029</v>
      </c>
      <c r="F5832" t="s">
        <v>6033</v>
      </c>
      <c r="G5832" t="s">
        <v>6075</v>
      </c>
      <c r="H5832" t="s">
        <v>6097</v>
      </c>
      <c r="I5832">
        <v>72</v>
      </c>
      <c r="J5832">
        <v>6.8</v>
      </c>
      <c r="K5832" t="s">
        <v>6100</v>
      </c>
      <c r="L5832" t="s">
        <v>6099</v>
      </c>
      <c r="M5832" t="s">
        <v>6100</v>
      </c>
      <c r="N5832">
        <v>4</v>
      </c>
      <c r="O5832" t="s">
        <v>6101</v>
      </c>
      <c r="P5832" t="s">
        <v>6115</v>
      </c>
      <c r="Q5832">
        <v>9</v>
      </c>
      <c r="R5832">
        <v>2026</v>
      </c>
      <c r="S5832" t="s">
        <v>6099</v>
      </c>
      <c r="T5832">
        <v>1</v>
      </c>
      <c r="U5832" t="s">
        <v>6020</v>
      </c>
      <c r="V5832">
        <v>0</v>
      </c>
    </row>
    <row r="5833" spans="1:22" x14ac:dyDescent="0.3">
      <c r="A5833" t="s">
        <v>5848</v>
      </c>
      <c r="B5833" s="2">
        <v>46287.693749999999</v>
      </c>
      <c r="C5833" s="2">
        <v>46288.064583333333</v>
      </c>
      <c r="D5833" t="s">
        <v>6022</v>
      </c>
      <c r="E5833" t="s">
        <v>6030</v>
      </c>
      <c r="F5833" t="s">
        <v>6034</v>
      </c>
      <c r="G5833" t="s">
        <v>6091</v>
      </c>
      <c r="H5833" t="s">
        <v>6097</v>
      </c>
      <c r="I5833">
        <v>24</v>
      </c>
      <c r="J5833">
        <v>8.9</v>
      </c>
      <c r="K5833" t="s">
        <v>6099</v>
      </c>
      <c r="L5833" t="s">
        <v>6100</v>
      </c>
      <c r="M5833" t="s">
        <v>6100</v>
      </c>
      <c r="N5833">
        <v>4</v>
      </c>
      <c r="O5833" t="s">
        <v>6101</v>
      </c>
      <c r="P5833" t="s">
        <v>6115</v>
      </c>
      <c r="Q5833">
        <v>9</v>
      </c>
      <c r="R5833">
        <v>2026</v>
      </c>
      <c r="S5833" t="s">
        <v>6099</v>
      </c>
      <c r="T5833">
        <v>1</v>
      </c>
      <c r="U5833" t="s">
        <v>6019</v>
      </c>
      <c r="V5833">
        <v>1</v>
      </c>
    </row>
    <row r="5834" spans="1:22" x14ac:dyDescent="0.3">
      <c r="A5834" t="s">
        <v>5849</v>
      </c>
      <c r="B5834" s="2">
        <v>46287.738194444442</v>
      </c>
      <c r="C5834" s="2">
        <v>46288.000694444447</v>
      </c>
      <c r="D5834" t="s">
        <v>6025</v>
      </c>
      <c r="E5834" t="s">
        <v>6029</v>
      </c>
      <c r="F5834" t="s">
        <v>6034</v>
      </c>
      <c r="G5834" t="s">
        <v>6060</v>
      </c>
      <c r="H5834" t="s">
        <v>6097</v>
      </c>
      <c r="I5834">
        <v>24</v>
      </c>
      <c r="J5834">
        <v>6.3</v>
      </c>
      <c r="K5834" t="s">
        <v>6099</v>
      </c>
      <c r="L5834" t="s">
        <v>6100</v>
      </c>
      <c r="M5834" t="s">
        <v>6100</v>
      </c>
      <c r="N5834">
        <v>5</v>
      </c>
      <c r="O5834" t="s">
        <v>6101</v>
      </c>
      <c r="P5834" t="s">
        <v>6115</v>
      </c>
      <c r="Q5834">
        <v>9</v>
      </c>
      <c r="R5834">
        <v>2026</v>
      </c>
      <c r="S5834" t="s">
        <v>6099</v>
      </c>
      <c r="T5834">
        <v>1</v>
      </c>
      <c r="U5834" t="s">
        <v>6018</v>
      </c>
      <c r="V5834">
        <v>1</v>
      </c>
    </row>
    <row r="5835" spans="1:22" x14ac:dyDescent="0.3">
      <c r="A5835" t="s">
        <v>5850</v>
      </c>
      <c r="B5835" s="2">
        <v>46287.742361111108</v>
      </c>
      <c r="C5835" s="2">
        <v>46288.367361111108</v>
      </c>
      <c r="D5835" t="s">
        <v>6028</v>
      </c>
      <c r="E5835" t="s">
        <v>6031</v>
      </c>
      <c r="F5835" t="s">
        <v>6035</v>
      </c>
      <c r="G5835" t="s">
        <v>6065</v>
      </c>
      <c r="H5835" t="s">
        <v>6097</v>
      </c>
      <c r="I5835">
        <v>4</v>
      </c>
      <c r="J5835">
        <v>15</v>
      </c>
      <c r="K5835" t="s">
        <v>6099</v>
      </c>
      <c r="L5835" t="s">
        <v>6100</v>
      </c>
      <c r="M5835" t="s">
        <v>6100</v>
      </c>
      <c r="N5835">
        <v>3</v>
      </c>
      <c r="O5835" t="s">
        <v>6101</v>
      </c>
      <c r="P5835" t="s">
        <v>6115</v>
      </c>
      <c r="Q5835">
        <v>9</v>
      </c>
      <c r="R5835">
        <v>2026</v>
      </c>
      <c r="S5835" t="s">
        <v>6100</v>
      </c>
      <c r="T5835">
        <v>0</v>
      </c>
      <c r="U5835" t="s">
        <v>6019</v>
      </c>
      <c r="V5835">
        <v>1</v>
      </c>
    </row>
    <row r="5836" spans="1:22" x14ac:dyDescent="0.3">
      <c r="A5836" t="s">
        <v>5851</v>
      </c>
      <c r="B5836" s="2">
        <v>46287.749305555553</v>
      </c>
      <c r="C5836" s="2">
        <v>46287.824305555558</v>
      </c>
      <c r="D5836" t="s">
        <v>6023</v>
      </c>
      <c r="E5836" t="s">
        <v>6029</v>
      </c>
      <c r="F5836" t="s">
        <v>6034</v>
      </c>
      <c r="G5836" t="s">
        <v>6091</v>
      </c>
      <c r="H5836" t="s">
        <v>6097</v>
      </c>
      <c r="I5836">
        <v>24</v>
      </c>
      <c r="J5836">
        <v>1.8</v>
      </c>
      <c r="K5836" t="s">
        <v>6099</v>
      </c>
      <c r="L5836" t="s">
        <v>6100</v>
      </c>
      <c r="M5836" t="s">
        <v>6100</v>
      </c>
      <c r="N5836">
        <v>5</v>
      </c>
      <c r="O5836" t="s">
        <v>6101</v>
      </c>
      <c r="P5836" t="s">
        <v>6115</v>
      </c>
      <c r="Q5836">
        <v>9</v>
      </c>
      <c r="R5836">
        <v>2026</v>
      </c>
      <c r="S5836" t="s">
        <v>6099</v>
      </c>
      <c r="T5836">
        <v>1</v>
      </c>
      <c r="U5836" t="s">
        <v>6018</v>
      </c>
      <c r="V5836">
        <v>1</v>
      </c>
    </row>
    <row r="5837" spans="1:22" x14ac:dyDescent="0.3">
      <c r="A5837" t="s">
        <v>5852</v>
      </c>
      <c r="B5837" s="2">
        <v>46287.759027777778</v>
      </c>
      <c r="C5837" s="2">
        <v>46288.121527777781</v>
      </c>
      <c r="D5837" t="s">
        <v>6024</v>
      </c>
      <c r="E5837" t="s">
        <v>6030</v>
      </c>
      <c r="F5837" t="s">
        <v>6033</v>
      </c>
      <c r="G5837" t="s">
        <v>6037</v>
      </c>
      <c r="H5837" t="s">
        <v>6096</v>
      </c>
      <c r="I5837">
        <v>72</v>
      </c>
      <c r="J5837">
        <v>8.6999999999999993</v>
      </c>
      <c r="K5837" t="s">
        <v>6099</v>
      </c>
      <c r="L5837" t="s">
        <v>6100</v>
      </c>
      <c r="M5837" t="s">
        <v>6100</v>
      </c>
      <c r="N5837">
        <v>5</v>
      </c>
      <c r="O5837" t="s">
        <v>6101</v>
      </c>
      <c r="P5837" t="s">
        <v>6115</v>
      </c>
      <c r="Q5837">
        <v>9</v>
      </c>
      <c r="R5837">
        <v>2026</v>
      </c>
      <c r="S5837" t="s">
        <v>6099</v>
      </c>
      <c r="T5837">
        <v>1</v>
      </c>
      <c r="U5837" t="s">
        <v>6018</v>
      </c>
      <c r="V5837">
        <v>1</v>
      </c>
    </row>
    <row r="5838" spans="1:22" x14ac:dyDescent="0.3">
      <c r="A5838" t="s">
        <v>5853</v>
      </c>
      <c r="B5838" s="2">
        <v>46287.799305555556</v>
      </c>
      <c r="C5838" s="2">
        <v>46289.270138888889</v>
      </c>
      <c r="D5838" t="s">
        <v>6026</v>
      </c>
      <c r="E5838" t="s">
        <v>6031</v>
      </c>
      <c r="F5838" t="s">
        <v>6033</v>
      </c>
      <c r="G5838" t="s">
        <v>6085</v>
      </c>
      <c r="H5838" t="s">
        <v>6097</v>
      </c>
      <c r="I5838">
        <v>72</v>
      </c>
      <c r="J5838">
        <v>35.299999999999997</v>
      </c>
      <c r="K5838" t="s">
        <v>6100</v>
      </c>
      <c r="L5838" t="s">
        <v>6100</v>
      </c>
      <c r="M5838" t="s">
        <v>6100</v>
      </c>
      <c r="N5838">
        <v>5</v>
      </c>
      <c r="O5838" t="s">
        <v>6101</v>
      </c>
      <c r="P5838" t="s">
        <v>6115</v>
      </c>
      <c r="Q5838">
        <v>9</v>
      </c>
      <c r="R5838">
        <v>2026</v>
      </c>
      <c r="S5838" t="s">
        <v>6099</v>
      </c>
      <c r="T5838">
        <v>1</v>
      </c>
      <c r="U5838" t="s">
        <v>6018</v>
      </c>
      <c r="V5838">
        <v>0</v>
      </c>
    </row>
    <row r="5839" spans="1:22" x14ac:dyDescent="0.3">
      <c r="A5839" t="s">
        <v>5854</v>
      </c>
      <c r="B5839" s="2">
        <v>46287.808333333334</v>
      </c>
      <c r="C5839" s="2">
        <v>46288.229166666664</v>
      </c>
      <c r="D5839" t="s">
        <v>6028</v>
      </c>
      <c r="E5839" t="s">
        <v>6031</v>
      </c>
      <c r="F5839" t="s">
        <v>6035</v>
      </c>
      <c r="G5839" t="s">
        <v>6092</v>
      </c>
      <c r="H5839" t="s">
        <v>6097</v>
      </c>
      <c r="I5839">
        <v>4</v>
      </c>
      <c r="J5839">
        <v>10.1</v>
      </c>
      <c r="K5839" t="s">
        <v>6100</v>
      </c>
      <c r="L5839" t="s">
        <v>6100</v>
      </c>
      <c r="M5839" t="s">
        <v>6100</v>
      </c>
      <c r="N5839">
        <v>5</v>
      </c>
      <c r="O5839" t="s">
        <v>6101</v>
      </c>
      <c r="P5839" t="s">
        <v>6115</v>
      </c>
      <c r="Q5839">
        <v>9</v>
      </c>
      <c r="R5839">
        <v>2026</v>
      </c>
      <c r="S5839" t="s">
        <v>6100</v>
      </c>
      <c r="T5839">
        <v>0</v>
      </c>
      <c r="U5839" t="s">
        <v>6021</v>
      </c>
      <c r="V5839">
        <v>0</v>
      </c>
    </row>
    <row r="5840" spans="1:22" x14ac:dyDescent="0.3">
      <c r="A5840" t="s">
        <v>5855</v>
      </c>
      <c r="B5840" s="2">
        <v>46287.918749999997</v>
      </c>
      <c r="C5840" s="2">
        <v>46288.135416666664</v>
      </c>
      <c r="D5840" t="s">
        <v>6024</v>
      </c>
      <c r="E5840" t="s">
        <v>6029</v>
      </c>
      <c r="F5840" t="s">
        <v>6033</v>
      </c>
      <c r="G5840" t="s">
        <v>6093</v>
      </c>
      <c r="H5840" t="s">
        <v>6097</v>
      </c>
      <c r="I5840">
        <v>72</v>
      </c>
      <c r="J5840">
        <v>5.2</v>
      </c>
      <c r="K5840" t="s">
        <v>6099</v>
      </c>
      <c r="L5840" t="s">
        <v>6100</v>
      </c>
      <c r="M5840" t="s">
        <v>6100</v>
      </c>
      <c r="O5840" t="s">
        <v>6101</v>
      </c>
      <c r="P5840" t="s">
        <v>6115</v>
      </c>
      <c r="Q5840">
        <v>9</v>
      </c>
      <c r="R5840">
        <v>2026</v>
      </c>
      <c r="S5840" t="s">
        <v>6099</v>
      </c>
      <c r="T5840">
        <v>1</v>
      </c>
      <c r="U5840" t="s">
        <v>6021</v>
      </c>
      <c r="V5840">
        <v>1</v>
      </c>
    </row>
    <row r="5841" spans="1:22" x14ac:dyDescent="0.3">
      <c r="A5841" t="s">
        <v>5856</v>
      </c>
      <c r="B5841" s="2">
        <v>46287.92083333333</v>
      </c>
      <c r="C5841" s="2">
        <v>46288.333333333336</v>
      </c>
      <c r="D5841" t="s">
        <v>6028</v>
      </c>
      <c r="E5841" t="s">
        <v>6029</v>
      </c>
      <c r="F5841" t="s">
        <v>6035</v>
      </c>
      <c r="G5841" t="s">
        <v>6066</v>
      </c>
      <c r="H5841" t="s">
        <v>6096</v>
      </c>
      <c r="I5841">
        <v>4</v>
      </c>
      <c r="J5841">
        <v>9.9</v>
      </c>
      <c r="K5841" t="s">
        <v>6100</v>
      </c>
      <c r="L5841" t="s">
        <v>6099</v>
      </c>
      <c r="M5841" t="s">
        <v>6100</v>
      </c>
      <c r="O5841" t="s">
        <v>6101</v>
      </c>
      <c r="P5841" t="s">
        <v>6115</v>
      </c>
      <c r="Q5841">
        <v>9</v>
      </c>
      <c r="R5841">
        <v>2026</v>
      </c>
      <c r="S5841" t="s">
        <v>6100</v>
      </c>
      <c r="T5841">
        <v>0</v>
      </c>
      <c r="U5841" t="s">
        <v>6020</v>
      </c>
      <c r="V5841">
        <v>0</v>
      </c>
    </row>
    <row r="5842" spans="1:22" x14ac:dyDescent="0.3">
      <c r="A5842" t="s">
        <v>5857</v>
      </c>
      <c r="B5842" s="2">
        <v>46288.131944444445</v>
      </c>
      <c r="C5842" s="2">
        <v>46288.561111111114</v>
      </c>
      <c r="D5842" t="s">
        <v>6027</v>
      </c>
      <c r="E5842" t="s">
        <v>6029</v>
      </c>
      <c r="F5842" t="s">
        <v>6034</v>
      </c>
      <c r="G5842" t="s">
        <v>6084</v>
      </c>
      <c r="H5842" t="s">
        <v>6098</v>
      </c>
      <c r="I5842">
        <v>24</v>
      </c>
      <c r="J5842">
        <v>10.3</v>
      </c>
      <c r="K5842" t="s">
        <v>6099</v>
      </c>
      <c r="L5842" t="s">
        <v>6100</v>
      </c>
      <c r="M5842" t="s">
        <v>6100</v>
      </c>
      <c r="N5842">
        <v>5</v>
      </c>
      <c r="O5842" t="s">
        <v>6101</v>
      </c>
      <c r="P5842" t="s">
        <v>6115</v>
      </c>
      <c r="Q5842">
        <v>9</v>
      </c>
      <c r="R5842">
        <v>2026</v>
      </c>
      <c r="S5842" t="s">
        <v>6099</v>
      </c>
      <c r="T5842">
        <v>1</v>
      </c>
      <c r="U5842" t="s">
        <v>6021</v>
      </c>
      <c r="V5842">
        <v>1</v>
      </c>
    </row>
    <row r="5843" spans="1:22" x14ac:dyDescent="0.3">
      <c r="A5843" t="s">
        <v>5858</v>
      </c>
      <c r="B5843" s="2">
        <v>46288.193749999999</v>
      </c>
      <c r="C5843" s="2">
        <v>46290.414583333331</v>
      </c>
      <c r="D5843" t="s">
        <v>6025</v>
      </c>
      <c r="E5843" t="s">
        <v>6031</v>
      </c>
      <c r="F5843" t="s">
        <v>6034</v>
      </c>
      <c r="G5843" t="s">
        <v>6051</v>
      </c>
      <c r="H5843" t="s">
        <v>6097</v>
      </c>
      <c r="I5843">
        <v>24</v>
      </c>
      <c r="J5843">
        <v>53.3</v>
      </c>
      <c r="K5843" t="s">
        <v>6099</v>
      </c>
      <c r="L5843" t="s">
        <v>6100</v>
      </c>
      <c r="M5843" t="s">
        <v>6100</v>
      </c>
      <c r="N5843">
        <v>4</v>
      </c>
      <c r="O5843" t="s">
        <v>6101</v>
      </c>
      <c r="P5843" t="s">
        <v>6115</v>
      </c>
      <c r="Q5843">
        <v>9</v>
      </c>
      <c r="R5843">
        <v>2026</v>
      </c>
      <c r="S5843" t="s">
        <v>6100</v>
      </c>
      <c r="T5843">
        <v>0</v>
      </c>
      <c r="U5843" t="s">
        <v>6018</v>
      </c>
      <c r="V5843">
        <v>1</v>
      </c>
    </row>
    <row r="5844" spans="1:22" x14ac:dyDescent="0.3">
      <c r="A5844" t="s">
        <v>5859</v>
      </c>
      <c r="B5844" s="2">
        <v>46288.318749999999</v>
      </c>
      <c r="C5844" s="2">
        <v>46289.07708333333</v>
      </c>
      <c r="D5844" t="s">
        <v>6025</v>
      </c>
      <c r="E5844" t="s">
        <v>6030</v>
      </c>
      <c r="F5844" t="s">
        <v>6033</v>
      </c>
      <c r="G5844" t="s">
        <v>6068</v>
      </c>
      <c r="H5844" t="s">
        <v>6098</v>
      </c>
      <c r="I5844">
        <v>72</v>
      </c>
      <c r="J5844">
        <v>18.2</v>
      </c>
      <c r="K5844" t="s">
        <v>6099</v>
      </c>
      <c r="L5844" t="s">
        <v>6100</v>
      </c>
      <c r="M5844" t="s">
        <v>6099</v>
      </c>
      <c r="O5844" t="s">
        <v>6101</v>
      </c>
      <c r="P5844" t="s">
        <v>6115</v>
      </c>
      <c r="Q5844">
        <v>9</v>
      </c>
      <c r="R5844">
        <v>2026</v>
      </c>
      <c r="S5844" t="s">
        <v>6099</v>
      </c>
      <c r="T5844">
        <v>1</v>
      </c>
      <c r="U5844" t="s">
        <v>6020</v>
      </c>
      <c r="V5844">
        <v>1</v>
      </c>
    </row>
    <row r="5845" spans="1:22" x14ac:dyDescent="0.3">
      <c r="A5845" t="s">
        <v>5860</v>
      </c>
      <c r="B5845" s="2">
        <v>46288.334722222222</v>
      </c>
      <c r="C5845" s="2">
        <v>46288.488888888889</v>
      </c>
      <c r="D5845" t="s">
        <v>6028</v>
      </c>
      <c r="E5845" t="s">
        <v>6030</v>
      </c>
      <c r="F5845" t="s">
        <v>6034</v>
      </c>
      <c r="G5845" t="s">
        <v>6049</v>
      </c>
      <c r="H5845" t="s">
        <v>6097</v>
      </c>
      <c r="I5845">
        <v>24</v>
      </c>
      <c r="J5845">
        <v>3.7</v>
      </c>
      <c r="K5845" t="s">
        <v>6099</v>
      </c>
      <c r="L5845" t="s">
        <v>6100</v>
      </c>
      <c r="M5845" t="s">
        <v>6100</v>
      </c>
      <c r="O5845" t="s">
        <v>6101</v>
      </c>
      <c r="P5845" t="s">
        <v>6115</v>
      </c>
      <c r="Q5845">
        <v>9</v>
      </c>
      <c r="R5845">
        <v>2026</v>
      </c>
      <c r="S5845" t="s">
        <v>6099</v>
      </c>
      <c r="T5845">
        <v>1</v>
      </c>
      <c r="U5845" t="s">
        <v>6021</v>
      </c>
      <c r="V5845">
        <v>1</v>
      </c>
    </row>
    <row r="5846" spans="1:22" x14ac:dyDescent="0.3">
      <c r="A5846" t="s">
        <v>5861</v>
      </c>
      <c r="B5846" s="2">
        <v>46288.339583333334</v>
      </c>
      <c r="C5846" s="2">
        <v>46288.76458333333</v>
      </c>
      <c r="D5846" t="s">
        <v>6022</v>
      </c>
      <c r="E5846" t="s">
        <v>6031</v>
      </c>
      <c r="F5846" t="s">
        <v>6034</v>
      </c>
      <c r="G5846" t="s">
        <v>6093</v>
      </c>
      <c r="H5846" t="s">
        <v>6097</v>
      </c>
      <c r="I5846">
        <v>24</v>
      </c>
      <c r="J5846">
        <v>10.199999999999999</v>
      </c>
      <c r="K5846" t="s">
        <v>6099</v>
      </c>
      <c r="L5846" t="s">
        <v>6100</v>
      </c>
      <c r="M5846" t="s">
        <v>6100</v>
      </c>
      <c r="O5846" t="s">
        <v>6101</v>
      </c>
      <c r="P5846" t="s">
        <v>6115</v>
      </c>
      <c r="Q5846">
        <v>9</v>
      </c>
      <c r="R5846">
        <v>2026</v>
      </c>
      <c r="S5846" t="s">
        <v>6099</v>
      </c>
      <c r="T5846">
        <v>1</v>
      </c>
      <c r="U5846" t="s">
        <v>6018</v>
      </c>
      <c r="V5846">
        <v>1</v>
      </c>
    </row>
    <row r="5847" spans="1:22" x14ac:dyDescent="0.3">
      <c r="A5847" t="s">
        <v>5862</v>
      </c>
      <c r="B5847" s="2">
        <v>46288.411111111112</v>
      </c>
      <c r="C5847" s="2">
        <v>46292.281944444447</v>
      </c>
      <c r="D5847" t="s">
        <v>6026</v>
      </c>
      <c r="E5847" t="s">
        <v>6032</v>
      </c>
      <c r="F5847" t="s">
        <v>6033</v>
      </c>
      <c r="G5847" t="s">
        <v>6086</v>
      </c>
      <c r="H5847" t="s">
        <v>6098</v>
      </c>
      <c r="I5847">
        <v>72</v>
      </c>
      <c r="J5847">
        <v>92.9</v>
      </c>
      <c r="K5847" t="s">
        <v>6099</v>
      </c>
      <c r="L5847" t="s">
        <v>6100</v>
      </c>
      <c r="M5847" t="s">
        <v>6100</v>
      </c>
      <c r="O5847" t="s">
        <v>6101</v>
      </c>
      <c r="P5847" t="s">
        <v>6115</v>
      </c>
      <c r="Q5847">
        <v>9</v>
      </c>
      <c r="R5847">
        <v>2026</v>
      </c>
      <c r="S5847" t="s">
        <v>6100</v>
      </c>
      <c r="T5847">
        <v>0</v>
      </c>
      <c r="U5847" t="s">
        <v>6019</v>
      </c>
      <c r="V5847">
        <v>1</v>
      </c>
    </row>
    <row r="5848" spans="1:22" x14ac:dyDescent="0.3">
      <c r="A5848" t="s">
        <v>5863</v>
      </c>
      <c r="B5848" s="2">
        <v>46288.45</v>
      </c>
      <c r="C5848" s="2">
        <v>46291.10833333333</v>
      </c>
      <c r="D5848" t="s">
        <v>6025</v>
      </c>
      <c r="E5848" t="s">
        <v>6032</v>
      </c>
      <c r="F5848" t="s">
        <v>6035</v>
      </c>
      <c r="G5848" t="s">
        <v>6041</v>
      </c>
      <c r="H5848" t="s">
        <v>6096</v>
      </c>
      <c r="I5848">
        <v>4</v>
      </c>
      <c r="J5848">
        <v>63.8</v>
      </c>
      <c r="K5848" t="s">
        <v>6100</v>
      </c>
      <c r="L5848" t="s">
        <v>6099</v>
      </c>
      <c r="M5848" t="s">
        <v>6099</v>
      </c>
      <c r="O5848" t="s">
        <v>6101</v>
      </c>
      <c r="P5848" t="s">
        <v>6115</v>
      </c>
      <c r="Q5848">
        <v>9</v>
      </c>
      <c r="R5848">
        <v>2026</v>
      </c>
      <c r="S5848" t="s">
        <v>6100</v>
      </c>
      <c r="T5848">
        <v>0</v>
      </c>
      <c r="U5848" t="s">
        <v>6017</v>
      </c>
      <c r="V5848">
        <v>0</v>
      </c>
    </row>
    <row r="5849" spans="1:22" x14ac:dyDescent="0.3">
      <c r="A5849" t="s">
        <v>5864</v>
      </c>
      <c r="B5849" s="2">
        <v>46288.453472222223</v>
      </c>
      <c r="C5849" s="2">
        <v>46289.490972222222</v>
      </c>
      <c r="D5849" t="s">
        <v>6025</v>
      </c>
      <c r="E5849" t="s">
        <v>6031</v>
      </c>
      <c r="F5849" t="s">
        <v>6033</v>
      </c>
      <c r="G5849" t="s">
        <v>6038</v>
      </c>
      <c r="H5849" t="s">
        <v>6096</v>
      </c>
      <c r="I5849">
        <v>72</v>
      </c>
      <c r="J5849">
        <v>24.9</v>
      </c>
      <c r="K5849" t="s">
        <v>6100</v>
      </c>
      <c r="L5849" t="s">
        <v>6100</v>
      </c>
      <c r="M5849" t="s">
        <v>6100</v>
      </c>
      <c r="O5849" t="s">
        <v>6101</v>
      </c>
      <c r="P5849" t="s">
        <v>6115</v>
      </c>
      <c r="Q5849">
        <v>9</v>
      </c>
      <c r="R5849">
        <v>2026</v>
      </c>
      <c r="S5849" t="s">
        <v>6099</v>
      </c>
      <c r="T5849">
        <v>1</v>
      </c>
      <c r="U5849" t="s">
        <v>6021</v>
      </c>
      <c r="V5849">
        <v>0</v>
      </c>
    </row>
    <row r="5850" spans="1:22" x14ac:dyDescent="0.3">
      <c r="A5850" t="s">
        <v>5865</v>
      </c>
      <c r="B5850" s="2">
        <v>46288.478472222225</v>
      </c>
      <c r="C5850" s="2"/>
      <c r="D5850" t="s">
        <v>6026</v>
      </c>
      <c r="E5850" t="s">
        <v>6031</v>
      </c>
      <c r="F5850" t="s">
        <v>6033</v>
      </c>
      <c r="G5850" t="s">
        <v>6038</v>
      </c>
      <c r="H5850" t="s">
        <v>6096</v>
      </c>
      <c r="I5850">
        <v>72</v>
      </c>
      <c r="K5850" t="s">
        <v>6099</v>
      </c>
      <c r="L5850" t="s">
        <v>6100</v>
      </c>
      <c r="M5850" t="s">
        <v>6100</v>
      </c>
      <c r="N5850">
        <v>5</v>
      </c>
      <c r="O5850" t="s">
        <v>6102</v>
      </c>
      <c r="P5850" t="s">
        <v>6115</v>
      </c>
      <c r="Q5850">
        <v>9</v>
      </c>
      <c r="R5850">
        <v>2026</v>
      </c>
      <c r="U5850" t="s">
        <v>6021</v>
      </c>
      <c r="V5850">
        <v>1</v>
      </c>
    </row>
    <row r="5851" spans="1:22" x14ac:dyDescent="0.3">
      <c r="A5851" t="s">
        <v>5866</v>
      </c>
      <c r="B5851" s="2">
        <v>46288.510416666664</v>
      </c>
      <c r="C5851" s="2">
        <v>46288.59375</v>
      </c>
      <c r="D5851" t="s">
        <v>6028</v>
      </c>
      <c r="E5851" t="s">
        <v>6030</v>
      </c>
      <c r="F5851" t="s">
        <v>6035</v>
      </c>
      <c r="G5851" t="s">
        <v>6093</v>
      </c>
      <c r="H5851" t="s">
        <v>6097</v>
      </c>
      <c r="I5851">
        <v>4</v>
      </c>
      <c r="J5851">
        <v>2</v>
      </c>
      <c r="K5851" t="s">
        <v>6099</v>
      </c>
      <c r="L5851" t="s">
        <v>6100</v>
      </c>
      <c r="M5851" t="s">
        <v>6100</v>
      </c>
      <c r="N5851">
        <v>5</v>
      </c>
      <c r="O5851" t="s">
        <v>6101</v>
      </c>
      <c r="P5851" t="s">
        <v>6115</v>
      </c>
      <c r="Q5851">
        <v>9</v>
      </c>
      <c r="R5851">
        <v>2026</v>
      </c>
      <c r="S5851" t="s">
        <v>6099</v>
      </c>
      <c r="T5851">
        <v>1</v>
      </c>
      <c r="U5851" t="s">
        <v>6018</v>
      </c>
      <c r="V5851">
        <v>1</v>
      </c>
    </row>
    <row r="5852" spans="1:22" x14ac:dyDescent="0.3">
      <c r="A5852" t="s">
        <v>5867</v>
      </c>
      <c r="B5852" s="2">
        <v>46288.586111111108</v>
      </c>
      <c r="C5852" s="2">
        <v>46288.781944444447</v>
      </c>
      <c r="D5852" t="s">
        <v>6023</v>
      </c>
      <c r="E5852" t="s">
        <v>6029</v>
      </c>
      <c r="F5852" t="s">
        <v>6033</v>
      </c>
      <c r="G5852" t="s">
        <v>6040</v>
      </c>
      <c r="H5852" t="s">
        <v>6097</v>
      </c>
      <c r="I5852">
        <v>72</v>
      </c>
      <c r="J5852">
        <v>4.7</v>
      </c>
      <c r="K5852" t="s">
        <v>6100</v>
      </c>
      <c r="L5852" t="s">
        <v>6100</v>
      </c>
      <c r="M5852" t="s">
        <v>6099</v>
      </c>
      <c r="N5852">
        <v>3</v>
      </c>
      <c r="O5852" t="s">
        <v>6101</v>
      </c>
      <c r="P5852" t="s">
        <v>6115</v>
      </c>
      <c r="Q5852">
        <v>9</v>
      </c>
      <c r="R5852">
        <v>2026</v>
      </c>
      <c r="S5852" t="s">
        <v>6099</v>
      </c>
      <c r="T5852">
        <v>1</v>
      </c>
      <c r="U5852" t="s">
        <v>6019</v>
      </c>
      <c r="V5852">
        <v>0</v>
      </c>
    </row>
    <row r="5853" spans="1:22" x14ac:dyDescent="0.3">
      <c r="A5853" t="s">
        <v>5868</v>
      </c>
      <c r="B5853" s="2">
        <v>46288.604861111111</v>
      </c>
      <c r="C5853" s="2">
        <v>46289.242361111108</v>
      </c>
      <c r="D5853" t="s">
        <v>6025</v>
      </c>
      <c r="E5853" t="s">
        <v>6031</v>
      </c>
      <c r="F5853" t="s">
        <v>6034</v>
      </c>
      <c r="G5853" t="s">
        <v>6042</v>
      </c>
      <c r="H5853" t="s">
        <v>6098</v>
      </c>
      <c r="I5853">
        <v>24</v>
      </c>
      <c r="J5853">
        <v>15.3</v>
      </c>
      <c r="K5853" t="s">
        <v>6099</v>
      </c>
      <c r="L5853" t="s">
        <v>6100</v>
      </c>
      <c r="M5853" t="s">
        <v>6100</v>
      </c>
      <c r="N5853">
        <v>4</v>
      </c>
      <c r="O5853" t="s">
        <v>6101</v>
      </c>
      <c r="P5853" t="s">
        <v>6115</v>
      </c>
      <c r="Q5853">
        <v>9</v>
      </c>
      <c r="R5853">
        <v>2026</v>
      </c>
      <c r="S5853" t="s">
        <v>6099</v>
      </c>
      <c r="T5853">
        <v>1</v>
      </c>
      <c r="U5853" t="s">
        <v>6018</v>
      </c>
      <c r="V5853">
        <v>1</v>
      </c>
    </row>
    <row r="5854" spans="1:22" x14ac:dyDescent="0.3">
      <c r="A5854" t="s">
        <v>5869</v>
      </c>
      <c r="B5854" s="2">
        <v>46288.647222222222</v>
      </c>
      <c r="C5854" s="2">
        <v>46288.859722222223</v>
      </c>
      <c r="D5854" t="s">
        <v>6025</v>
      </c>
      <c r="E5854" t="s">
        <v>6030</v>
      </c>
      <c r="F5854" t="s">
        <v>6034</v>
      </c>
      <c r="G5854" t="s">
        <v>6070</v>
      </c>
      <c r="H5854" t="s">
        <v>6097</v>
      </c>
      <c r="I5854">
        <v>24</v>
      </c>
      <c r="J5854">
        <v>5.0999999999999996</v>
      </c>
      <c r="K5854" t="s">
        <v>6099</v>
      </c>
      <c r="L5854" t="s">
        <v>6100</v>
      </c>
      <c r="M5854" t="s">
        <v>6100</v>
      </c>
      <c r="N5854">
        <v>5</v>
      </c>
      <c r="O5854" t="s">
        <v>6101</v>
      </c>
      <c r="P5854" t="s">
        <v>6115</v>
      </c>
      <c r="Q5854">
        <v>9</v>
      </c>
      <c r="R5854">
        <v>2026</v>
      </c>
      <c r="S5854" t="s">
        <v>6099</v>
      </c>
      <c r="T5854">
        <v>1</v>
      </c>
      <c r="U5854" t="s">
        <v>6017</v>
      </c>
      <c r="V5854">
        <v>1</v>
      </c>
    </row>
    <row r="5855" spans="1:22" x14ac:dyDescent="0.3">
      <c r="A5855" t="s">
        <v>5870</v>
      </c>
      <c r="B5855" s="2">
        <v>46288.663194444445</v>
      </c>
      <c r="C5855" s="2">
        <v>46290.90902777778</v>
      </c>
      <c r="D5855" t="s">
        <v>6025</v>
      </c>
      <c r="E5855" t="s">
        <v>6032</v>
      </c>
      <c r="F5855" t="s">
        <v>6033</v>
      </c>
      <c r="G5855" t="s">
        <v>6068</v>
      </c>
      <c r="H5855" t="s">
        <v>6098</v>
      </c>
      <c r="I5855">
        <v>72</v>
      </c>
      <c r="J5855">
        <v>53.9</v>
      </c>
      <c r="K5855" t="s">
        <v>6100</v>
      </c>
      <c r="L5855" t="s">
        <v>6100</v>
      </c>
      <c r="M5855" t="s">
        <v>6100</v>
      </c>
      <c r="N5855">
        <v>4</v>
      </c>
      <c r="O5855" t="s">
        <v>6101</v>
      </c>
      <c r="P5855" t="s">
        <v>6115</v>
      </c>
      <c r="Q5855">
        <v>9</v>
      </c>
      <c r="R5855">
        <v>2026</v>
      </c>
      <c r="S5855" t="s">
        <v>6099</v>
      </c>
      <c r="T5855">
        <v>1</v>
      </c>
      <c r="U5855" t="s">
        <v>6019</v>
      </c>
      <c r="V5855">
        <v>0</v>
      </c>
    </row>
    <row r="5856" spans="1:22" x14ac:dyDescent="0.3">
      <c r="A5856" t="s">
        <v>5871</v>
      </c>
      <c r="B5856" s="2">
        <v>46288.702777777777</v>
      </c>
      <c r="C5856" s="2">
        <v>46289.248611111114</v>
      </c>
      <c r="D5856" t="s">
        <v>6023</v>
      </c>
      <c r="E5856" t="s">
        <v>6032</v>
      </c>
      <c r="F5856" t="s">
        <v>6034</v>
      </c>
      <c r="G5856" t="s">
        <v>6071</v>
      </c>
      <c r="H5856" t="s">
        <v>6098</v>
      </c>
      <c r="I5856">
        <v>24</v>
      </c>
      <c r="J5856">
        <v>13.1</v>
      </c>
      <c r="K5856" t="s">
        <v>6099</v>
      </c>
      <c r="L5856" t="s">
        <v>6100</v>
      </c>
      <c r="M5856" t="s">
        <v>6100</v>
      </c>
      <c r="N5856">
        <v>5</v>
      </c>
      <c r="O5856" t="s">
        <v>6101</v>
      </c>
      <c r="P5856" t="s">
        <v>6115</v>
      </c>
      <c r="Q5856">
        <v>9</v>
      </c>
      <c r="R5856">
        <v>2026</v>
      </c>
      <c r="S5856" t="s">
        <v>6099</v>
      </c>
      <c r="T5856">
        <v>1</v>
      </c>
      <c r="U5856" t="s">
        <v>6019</v>
      </c>
      <c r="V5856">
        <v>1</v>
      </c>
    </row>
    <row r="5857" spans="1:22" x14ac:dyDescent="0.3">
      <c r="A5857" t="s">
        <v>5872</v>
      </c>
      <c r="B5857" s="2">
        <v>46288.765277777777</v>
      </c>
      <c r="C5857" s="2">
        <v>46289.344444444447</v>
      </c>
      <c r="D5857" t="s">
        <v>6022</v>
      </c>
      <c r="E5857" t="s">
        <v>6030</v>
      </c>
      <c r="F5857" t="s">
        <v>6033</v>
      </c>
      <c r="G5857" t="s">
        <v>6062</v>
      </c>
      <c r="H5857" t="s">
        <v>6096</v>
      </c>
      <c r="I5857">
        <v>72</v>
      </c>
      <c r="J5857">
        <v>13.9</v>
      </c>
      <c r="K5857" t="s">
        <v>6099</v>
      </c>
      <c r="L5857" t="s">
        <v>6100</v>
      </c>
      <c r="M5857" t="s">
        <v>6100</v>
      </c>
      <c r="N5857">
        <v>5</v>
      </c>
      <c r="O5857" t="s">
        <v>6101</v>
      </c>
      <c r="P5857" t="s">
        <v>6115</v>
      </c>
      <c r="Q5857">
        <v>9</v>
      </c>
      <c r="R5857">
        <v>2026</v>
      </c>
      <c r="S5857" t="s">
        <v>6099</v>
      </c>
      <c r="T5857">
        <v>1</v>
      </c>
      <c r="U5857" t="s">
        <v>6020</v>
      </c>
      <c r="V5857">
        <v>1</v>
      </c>
    </row>
    <row r="5858" spans="1:22" x14ac:dyDescent="0.3">
      <c r="A5858" t="s">
        <v>5873</v>
      </c>
      <c r="B5858" s="2">
        <v>46289.101388888892</v>
      </c>
      <c r="C5858" s="2">
        <v>46289.393055555556</v>
      </c>
      <c r="D5858" t="s">
        <v>6027</v>
      </c>
      <c r="E5858" t="s">
        <v>6030</v>
      </c>
      <c r="F5858" t="s">
        <v>6035</v>
      </c>
      <c r="G5858" t="s">
        <v>6088</v>
      </c>
      <c r="H5858" t="s">
        <v>6097</v>
      </c>
      <c r="I5858">
        <v>4</v>
      </c>
      <c r="J5858">
        <v>7</v>
      </c>
      <c r="K5858" t="s">
        <v>6099</v>
      </c>
      <c r="L5858" t="s">
        <v>6100</v>
      </c>
      <c r="M5858" t="s">
        <v>6100</v>
      </c>
      <c r="O5858" t="s">
        <v>6101</v>
      </c>
      <c r="P5858" t="s">
        <v>6115</v>
      </c>
      <c r="Q5858">
        <v>9</v>
      </c>
      <c r="R5858">
        <v>2026</v>
      </c>
      <c r="S5858" t="s">
        <v>6100</v>
      </c>
      <c r="T5858">
        <v>0</v>
      </c>
      <c r="U5858" t="s">
        <v>6021</v>
      </c>
      <c r="V5858">
        <v>1</v>
      </c>
    </row>
    <row r="5859" spans="1:22" x14ac:dyDescent="0.3">
      <c r="A5859" t="s">
        <v>5874</v>
      </c>
      <c r="B5859" s="2">
        <v>46289.288888888892</v>
      </c>
      <c r="C5859" s="2">
        <v>46289.976388888892</v>
      </c>
      <c r="D5859" t="s">
        <v>6025</v>
      </c>
      <c r="E5859" t="s">
        <v>6029</v>
      </c>
      <c r="F5859" t="s">
        <v>6034</v>
      </c>
      <c r="G5859" t="s">
        <v>6048</v>
      </c>
      <c r="H5859" t="s">
        <v>6096</v>
      </c>
      <c r="I5859">
        <v>24</v>
      </c>
      <c r="J5859">
        <v>16.5</v>
      </c>
      <c r="K5859" t="s">
        <v>6099</v>
      </c>
      <c r="L5859" t="s">
        <v>6100</v>
      </c>
      <c r="M5859" t="s">
        <v>6100</v>
      </c>
      <c r="O5859" t="s">
        <v>6101</v>
      </c>
      <c r="P5859" t="s">
        <v>6115</v>
      </c>
      <c r="Q5859">
        <v>9</v>
      </c>
      <c r="R5859">
        <v>2026</v>
      </c>
      <c r="S5859" t="s">
        <v>6099</v>
      </c>
      <c r="T5859">
        <v>1</v>
      </c>
      <c r="U5859" t="s">
        <v>6021</v>
      </c>
      <c r="V5859">
        <v>1</v>
      </c>
    </row>
    <row r="5860" spans="1:22" x14ac:dyDescent="0.3">
      <c r="A5860" t="s">
        <v>5875</v>
      </c>
      <c r="B5860" s="2">
        <v>46289.362500000003</v>
      </c>
      <c r="C5860" s="2">
        <v>46291.508333333331</v>
      </c>
      <c r="D5860" t="s">
        <v>6025</v>
      </c>
      <c r="E5860" t="s">
        <v>6031</v>
      </c>
      <c r="F5860" t="s">
        <v>6033</v>
      </c>
      <c r="G5860" t="s">
        <v>6038</v>
      </c>
      <c r="H5860" t="s">
        <v>6096</v>
      </c>
      <c r="I5860">
        <v>72</v>
      </c>
      <c r="J5860">
        <v>51.5</v>
      </c>
      <c r="K5860" t="s">
        <v>6100</v>
      </c>
      <c r="L5860" t="s">
        <v>6100</v>
      </c>
      <c r="M5860" t="s">
        <v>6100</v>
      </c>
      <c r="N5860">
        <v>5</v>
      </c>
      <c r="O5860" t="s">
        <v>6101</v>
      </c>
      <c r="P5860" t="s">
        <v>6115</v>
      </c>
      <c r="Q5860">
        <v>9</v>
      </c>
      <c r="R5860">
        <v>2026</v>
      </c>
      <c r="S5860" t="s">
        <v>6099</v>
      </c>
      <c r="T5860">
        <v>1</v>
      </c>
      <c r="U5860" t="s">
        <v>6018</v>
      </c>
      <c r="V5860">
        <v>0</v>
      </c>
    </row>
    <row r="5861" spans="1:22" x14ac:dyDescent="0.3">
      <c r="A5861" t="s">
        <v>5876</v>
      </c>
      <c r="B5861" s="2">
        <v>46289.379166666666</v>
      </c>
      <c r="C5861" s="2">
        <v>46290.137499999997</v>
      </c>
      <c r="D5861" t="s">
        <v>6028</v>
      </c>
      <c r="E5861" t="s">
        <v>6031</v>
      </c>
      <c r="F5861" t="s">
        <v>6035</v>
      </c>
      <c r="G5861" t="s">
        <v>6041</v>
      </c>
      <c r="H5861" t="s">
        <v>6096</v>
      </c>
      <c r="I5861">
        <v>4</v>
      </c>
      <c r="J5861">
        <v>18.2</v>
      </c>
      <c r="K5861" t="s">
        <v>6099</v>
      </c>
      <c r="L5861" t="s">
        <v>6100</v>
      </c>
      <c r="M5861" t="s">
        <v>6100</v>
      </c>
      <c r="N5861">
        <v>2</v>
      </c>
      <c r="O5861" t="s">
        <v>6101</v>
      </c>
      <c r="P5861" t="s">
        <v>6115</v>
      </c>
      <c r="Q5861">
        <v>9</v>
      </c>
      <c r="R5861">
        <v>2026</v>
      </c>
      <c r="S5861" t="s">
        <v>6100</v>
      </c>
      <c r="T5861">
        <v>0</v>
      </c>
      <c r="U5861" t="s">
        <v>6018</v>
      </c>
      <c r="V5861">
        <v>1</v>
      </c>
    </row>
    <row r="5862" spans="1:22" x14ac:dyDescent="0.3">
      <c r="A5862" t="s">
        <v>5877</v>
      </c>
      <c r="B5862" s="2">
        <v>46289.402777777781</v>
      </c>
      <c r="C5862" s="2">
        <v>46290.181944444441</v>
      </c>
      <c r="D5862" t="s">
        <v>6028</v>
      </c>
      <c r="E5862" t="s">
        <v>6029</v>
      </c>
      <c r="F5862" t="s">
        <v>6035</v>
      </c>
      <c r="G5862" t="s">
        <v>6059</v>
      </c>
      <c r="H5862" t="s">
        <v>6097</v>
      </c>
      <c r="I5862">
        <v>4</v>
      </c>
      <c r="J5862">
        <v>18.7</v>
      </c>
      <c r="K5862" t="s">
        <v>6099</v>
      </c>
      <c r="L5862" t="s">
        <v>6100</v>
      </c>
      <c r="M5862" t="s">
        <v>6099</v>
      </c>
      <c r="O5862" t="s">
        <v>6101</v>
      </c>
      <c r="P5862" t="s">
        <v>6115</v>
      </c>
      <c r="Q5862">
        <v>9</v>
      </c>
      <c r="R5862">
        <v>2026</v>
      </c>
      <c r="S5862" t="s">
        <v>6100</v>
      </c>
      <c r="T5862">
        <v>0</v>
      </c>
      <c r="U5862" t="s">
        <v>6017</v>
      </c>
      <c r="V5862">
        <v>1</v>
      </c>
    </row>
    <row r="5863" spans="1:22" x14ac:dyDescent="0.3">
      <c r="A5863" t="s">
        <v>5878</v>
      </c>
      <c r="B5863" s="2">
        <v>46289.421527777777</v>
      </c>
      <c r="C5863" s="2">
        <v>46289.684027777781</v>
      </c>
      <c r="D5863" t="s">
        <v>6024</v>
      </c>
      <c r="E5863" t="s">
        <v>6030</v>
      </c>
      <c r="F5863" t="s">
        <v>6033</v>
      </c>
      <c r="G5863" t="s">
        <v>6080</v>
      </c>
      <c r="H5863" t="s">
        <v>6096</v>
      </c>
      <c r="I5863">
        <v>72</v>
      </c>
      <c r="J5863">
        <v>6.3</v>
      </c>
      <c r="K5863" t="s">
        <v>6099</v>
      </c>
      <c r="L5863" t="s">
        <v>6100</v>
      </c>
      <c r="M5863" t="s">
        <v>6100</v>
      </c>
      <c r="N5863">
        <v>5</v>
      </c>
      <c r="O5863" t="s">
        <v>6101</v>
      </c>
      <c r="P5863" t="s">
        <v>6115</v>
      </c>
      <c r="Q5863">
        <v>9</v>
      </c>
      <c r="R5863">
        <v>2026</v>
      </c>
      <c r="S5863" t="s">
        <v>6099</v>
      </c>
      <c r="T5863">
        <v>1</v>
      </c>
      <c r="U5863" t="s">
        <v>6021</v>
      </c>
      <c r="V5863">
        <v>1</v>
      </c>
    </row>
    <row r="5864" spans="1:22" x14ac:dyDescent="0.3">
      <c r="A5864" t="s">
        <v>5879</v>
      </c>
      <c r="B5864" s="2">
        <v>46289.477083333331</v>
      </c>
      <c r="C5864" s="2">
        <v>46290.23541666667</v>
      </c>
      <c r="D5864" t="s">
        <v>6024</v>
      </c>
      <c r="E5864" t="s">
        <v>6029</v>
      </c>
      <c r="F5864" t="s">
        <v>6033</v>
      </c>
      <c r="G5864" t="s">
        <v>6095</v>
      </c>
      <c r="H5864" t="s">
        <v>6098</v>
      </c>
      <c r="I5864">
        <v>72</v>
      </c>
      <c r="J5864">
        <v>18.2</v>
      </c>
      <c r="K5864" t="s">
        <v>6099</v>
      </c>
      <c r="L5864" t="s">
        <v>6100</v>
      </c>
      <c r="M5864" t="s">
        <v>6100</v>
      </c>
      <c r="N5864">
        <v>5</v>
      </c>
      <c r="O5864" t="s">
        <v>6101</v>
      </c>
      <c r="P5864" t="s">
        <v>6115</v>
      </c>
      <c r="Q5864">
        <v>9</v>
      </c>
      <c r="R5864">
        <v>2026</v>
      </c>
      <c r="S5864" t="s">
        <v>6099</v>
      </c>
      <c r="T5864">
        <v>1</v>
      </c>
      <c r="U5864" t="s">
        <v>6017</v>
      </c>
      <c r="V5864">
        <v>1</v>
      </c>
    </row>
    <row r="5865" spans="1:22" x14ac:dyDescent="0.3">
      <c r="A5865" t="s">
        <v>5880</v>
      </c>
      <c r="B5865" s="2">
        <v>46289.477777777778</v>
      </c>
      <c r="C5865" s="2">
        <v>46289.902777777781</v>
      </c>
      <c r="D5865" t="s">
        <v>6025</v>
      </c>
      <c r="E5865" t="s">
        <v>6029</v>
      </c>
      <c r="F5865" t="s">
        <v>6035</v>
      </c>
      <c r="G5865" t="s">
        <v>6084</v>
      </c>
      <c r="H5865" t="s">
        <v>6098</v>
      </c>
      <c r="I5865">
        <v>4</v>
      </c>
      <c r="J5865">
        <v>10.199999999999999</v>
      </c>
      <c r="K5865" t="s">
        <v>6099</v>
      </c>
      <c r="L5865" t="s">
        <v>6100</v>
      </c>
      <c r="M5865" t="s">
        <v>6100</v>
      </c>
      <c r="O5865" t="s">
        <v>6101</v>
      </c>
      <c r="P5865" t="s">
        <v>6115</v>
      </c>
      <c r="Q5865">
        <v>9</v>
      </c>
      <c r="R5865">
        <v>2026</v>
      </c>
      <c r="S5865" t="s">
        <v>6100</v>
      </c>
      <c r="T5865">
        <v>0</v>
      </c>
      <c r="U5865" t="s">
        <v>6020</v>
      </c>
      <c r="V5865">
        <v>1</v>
      </c>
    </row>
    <row r="5866" spans="1:22" x14ac:dyDescent="0.3">
      <c r="A5866" t="s">
        <v>5881</v>
      </c>
      <c r="B5866" s="2">
        <v>46289.577777777777</v>
      </c>
      <c r="C5866" s="2">
        <v>46291.269444444442</v>
      </c>
      <c r="D5866" t="s">
        <v>6025</v>
      </c>
      <c r="E5866" t="s">
        <v>6031</v>
      </c>
      <c r="F5866" t="s">
        <v>6033</v>
      </c>
      <c r="G5866" t="s">
        <v>6070</v>
      </c>
      <c r="H5866" t="s">
        <v>6097</v>
      </c>
      <c r="I5866">
        <v>72</v>
      </c>
      <c r="J5866">
        <v>40.6</v>
      </c>
      <c r="K5866" t="s">
        <v>6100</v>
      </c>
      <c r="L5866" t="s">
        <v>6100</v>
      </c>
      <c r="M5866" t="s">
        <v>6100</v>
      </c>
      <c r="O5866" t="s">
        <v>6101</v>
      </c>
      <c r="P5866" t="s">
        <v>6115</v>
      </c>
      <c r="Q5866">
        <v>9</v>
      </c>
      <c r="R5866">
        <v>2026</v>
      </c>
      <c r="S5866" t="s">
        <v>6099</v>
      </c>
      <c r="T5866">
        <v>1</v>
      </c>
      <c r="U5866" t="s">
        <v>6020</v>
      </c>
      <c r="V5866">
        <v>0</v>
      </c>
    </row>
    <row r="5867" spans="1:22" x14ac:dyDescent="0.3">
      <c r="A5867" t="s">
        <v>5882</v>
      </c>
      <c r="B5867" s="2">
        <v>46289.59652777778</v>
      </c>
      <c r="C5867" s="2">
        <v>46289.884027777778</v>
      </c>
      <c r="D5867" t="s">
        <v>6024</v>
      </c>
      <c r="E5867" t="s">
        <v>6029</v>
      </c>
      <c r="F5867" t="s">
        <v>6034</v>
      </c>
      <c r="G5867" t="s">
        <v>6074</v>
      </c>
      <c r="H5867" t="s">
        <v>6098</v>
      </c>
      <c r="I5867">
        <v>24</v>
      </c>
      <c r="J5867">
        <v>6.9</v>
      </c>
      <c r="K5867" t="s">
        <v>6099</v>
      </c>
      <c r="L5867" t="s">
        <v>6100</v>
      </c>
      <c r="M5867" t="s">
        <v>6100</v>
      </c>
      <c r="O5867" t="s">
        <v>6101</v>
      </c>
      <c r="P5867" t="s">
        <v>6115</v>
      </c>
      <c r="Q5867">
        <v>9</v>
      </c>
      <c r="R5867">
        <v>2026</v>
      </c>
      <c r="S5867" t="s">
        <v>6099</v>
      </c>
      <c r="T5867">
        <v>1</v>
      </c>
      <c r="U5867" t="s">
        <v>6019</v>
      </c>
      <c r="V5867">
        <v>1</v>
      </c>
    </row>
    <row r="5868" spans="1:22" x14ac:dyDescent="0.3">
      <c r="A5868" t="s">
        <v>5883</v>
      </c>
      <c r="B5868" s="2">
        <v>46289.661805555559</v>
      </c>
      <c r="C5868" s="2">
        <v>46290.103472222225</v>
      </c>
      <c r="D5868" t="s">
        <v>6022</v>
      </c>
      <c r="E5868" t="s">
        <v>6029</v>
      </c>
      <c r="F5868" t="s">
        <v>6035</v>
      </c>
      <c r="G5868" t="s">
        <v>6088</v>
      </c>
      <c r="H5868" t="s">
        <v>6097</v>
      </c>
      <c r="I5868">
        <v>4</v>
      </c>
      <c r="J5868">
        <v>10.6</v>
      </c>
      <c r="K5868" t="s">
        <v>6100</v>
      </c>
      <c r="L5868" t="s">
        <v>6099</v>
      </c>
      <c r="M5868" t="s">
        <v>6100</v>
      </c>
      <c r="N5868">
        <v>4</v>
      </c>
      <c r="O5868" t="s">
        <v>6101</v>
      </c>
      <c r="P5868" t="s">
        <v>6115</v>
      </c>
      <c r="Q5868">
        <v>9</v>
      </c>
      <c r="R5868">
        <v>2026</v>
      </c>
      <c r="S5868" t="s">
        <v>6100</v>
      </c>
      <c r="T5868">
        <v>0</v>
      </c>
      <c r="U5868" t="s">
        <v>6021</v>
      </c>
      <c r="V5868">
        <v>0</v>
      </c>
    </row>
    <row r="5869" spans="1:22" x14ac:dyDescent="0.3">
      <c r="A5869" t="s">
        <v>5884</v>
      </c>
      <c r="B5869" s="2">
        <v>46289.696527777778</v>
      </c>
      <c r="C5869" s="2">
        <v>46290.113194444442</v>
      </c>
      <c r="D5869" t="s">
        <v>6027</v>
      </c>
      <c r="E5869" t="s">
        <v>6029</v>
      </c>
      <c r="F5869" t="s">
        <v>6035</v>
      </c>
      <c r="G5869" t="s">
        <v>6049</v>
      </c>
      <c r="H5869" t="s">
        <v>6097</v>
      </c>
      <c r="I5869">
        <v>4</v>
      </c>
      <c r="J5869">
        <v>10</v>
      </c>
      <c r="K5869" t="s">
        <v>6099</v>
      </c>
      <c r="L5869" t="s">
        <v>6100</v>
      </c>
      <c r="M5869" t="s">
        <v>6100</v>
      </c>
      <c r="N5869">
        <v>4</v>
      </c>
      <c r="O5869" t="s">
        <v>6101</v>
      </c>
      <c r="P5869" t="s">
        <v>6115</v>
      </c>
      <c r="Q5869">
        <v>9</v>
      </c>
      <c r="R5869">
        <v>2026</v>
      </c>
      <c r="S5869" t="s">
        <v>6100</v>
      </c>
      <c r="T5869">
        <v>0</v>
      </c>
      <c r="U5869" t="s">
        <v>6020</v>
      </c>
      <c r="V5869">
        <v>1</v>
      </c>
    </row>
    <row r="5870" spans="1:22" x14ac:dyDescent="0.3">
      <c r="A5870" t="s">
        <v>5885</v>
      </c>
      <c r="B5870" s="2">
        <v>46289.713888888888</v>
      </c>
      <c r="C5870" s="2">
        <v>46290.418055555558</v>
      </c>
      <c r="D5870" t="s">
        <v>6028</v>
      </c>
      <c r="E5870" t="s">
        <v>6031</v>
      </c>
      <c r="F5870" t="s">
        <v>6034</v>
      </c>
      <c r="G5870" t="s">
        <v>6040</v>
      </c>
      <c r="H5870" t="s">
        <v>6097</v>
      </c>
      <c r="I5870">
        <v>24</v>
      </c>
      <c r="J5870">
        <v>16.899999999999999</v>
      </c>
      <c r="K5870" t="s">
        <v>6099</v>
      </c>
      <c r="L5870" t="s">
        <v>6100</v>
      </c>
      <c r="M5870" t="s">
        <v>6100</v>
      </c>
      <c r="N5870">
        <v>4</v>
      </c>
      <c r="O5870" t="s">
        <v>6101</v>
      </c>
      <c r="P5870" t="s">
        <v>6115</v>
      </c>
      <c r="Q5870">
        <v>9</v>
      </c>
      <c r="R5870">
        <v>2026</v>
      </c>
      <c r="S5870" t="s">
        <v>6099</v>
      </c>
      <c r="T5870">
        <v>1</v>
      </c>
      <c r="U5870" t="s">
        <v>6018</v>
      </c>
      <c r="V5870">
        <v>1</v>
      </c>
    </row>
    <row r="5871" spans="1:22" x14ac:dyDescent="0.3">
      <c r="A5871" t="s">
        <v>5886</v>
      </c>
      <c r="B5871" s="2">
        <v>46289.813888888886</v>
      </c>
      <c r="C5871" s="2">
        <v>46290.143055555556</v>
      </c>
      <c r="D5871" t="s">
        <v>6025</v>
      </c>
      <c r="E5871" t="s">
        <v>6029</v>
      </c>
      <c r="F5871" t="s">
        <v>6034</v>
      </c>
      <c r="G5871" t="s">
        <v>6048</v>
      </c>
      <c r="H5871" t="s">
        <v>6096</v>
      </c>
      <c r="I5871">
        <v>24</v>
      </c>
      <c r="J5871">
        <v>7.9</v>
      </c>
      <c r="K5871" t="s">
        <v>6100</v>
      </c>
      <c r="L5871" t="s">
        <v>6100</v>
      </c>
      <c r="M5871" t="s">
        <v>6100</v>
      </c>
      <c r="N5871">
        <v>5</v>
      </c>
      <c r="O5871" t="s">
        <v>6101</v>
      </c>
      <c r="P5871" t="s">
        <v>6115</v>
      </c>
      <c r="Q5871">
        <v>9</v>
      </c>
      <c r="R5871">
        <v>2026</v>
      </c>
      <c r="S5871" t="s">
        <v>6099</v>
      </c>
      <c r="T5871">
        <v>1</v>
      </c>
      <c r="U5871" t="s">
        <v>6020</v>
      </c>
      <c r="V5871">
        <v>0</v>
      </c>
    </row>
    <row r="5872" spans="1:22" x14ac:dyDescent="0.3">
      <c r="A5872" t="s">
        <v>5887</v>
      </c>
      <c r="B5872" s="2">
        <v>46289.820833333331</v>
      </c>
      <c r="C5872" s="2"/>
      <c r="D5872" t="s">
        <v>6026</v>
      </c>
      <c r="E5872" t="s">
        <v>6032</v>
      </c>
      <c r="F5872" t="s">
        <v>6035</v>
      </c>
      <c r="G5872" t="s">
        <v>6058</v>
      </c>
      <c r="H5872" t="s">
        <v>6098</v>
      </c>
      <c r="I5872">
        <v>4</v>
      </c>
      <c r="K5872" t="s">
        <v>6099</v>
      </c>
      <c r="L5872" t="s">
        <v>6100</v>
      </c>
      <c r="M5872" t="s">
        <v>6100</v>
      </c>
      <c r="O5872" t="s">
        <v>6102</v>
      </c>
      <c r="P5872" t="s">
        <v>6115</v>
      </c>
      <c r="Q5872">
        <v>9</v>
      </c>
      <c r="R5872">
        <v>2026</v>
      </c>
      <c r="U5872" t="s">
        <v>6020</v>
      </c>
      <c r="V5872">
        <v>1</v>
      </c>
    </row>
    <row r="5873" spans="1:22" x14ac:dyDescent="0.3">
      <c r="A5873" t="s">
        <v>5888</v>
      </c>
      <c r="B5873" s="2">
        <v>46289.865277777775</v>
      </c>
      <c r="C5873" s="2">
        <v>46290.111111111109</v>
      </c>
      <c r="D5873" t="s">
        <v>6022</v>
      </c>
      <c r="E5873" t="s">
        <v>6029</v>
      </c>
      <c r="F5873" t="s">
        <v>6033</v>
      </c>
      <c r="G5873" t="s">
        <v>6048</v>
      </c>
      <c r="H5873" t="s">
        <v>6096</v>
      </c>
      <c r="I5873">
        <v>72</v>
      </c>
      <c r="J5873">
        <v>5.9</v>
      </c>
      <c r="K5873" t="s">
        <v>6099</v>
      </c>
      <c r="L5873" t="s">
        <v>6100</v>
      </c>
      <c r="M5873" t="s">
        <v>6100</v>
      </c>
      <c r="N5873">
        <v>3</v>
      </c>
      <c r="O5873" t="s">
        <v>6101</v>
      </c>
      <c r="P5873" t="s">
        <v>6115</v>
      </c>
      <c r="Q5873">
        <v>9</v>
      </c>
      <c r="R5873">
        <v>2026</v>
      </c>
      <c r="S5873" t="s">
        <v>6099</v>
      </c>
      <c r="T5873">
        <v>1</v>
      </c>
      <c r="U5873" t="s">
        <v>6017</v>
      </c>
      <c r="V5873">
        <v>1</v>
      </c>
    </row>
    <row r="5874" spans="1:22" x14ac:dyDescent="0.3">
      <c r="A5874" t="s">
        <v>5889</v>
      </c>
      <c r="B5874" s="2">
        <v>46289.928472222222</v>
      </c>
      <c r="C5874" s="2">
        <v>46290.21597222222</v>
      </c>
      <c r="D5874" t="s">
        <v>6023</v>
      </c>
      <c r="E5874" t="s">
        <v>6029</v>
      </c>
      <c r="F5874" t="s">
        <v>6033</v>
      </c>
      <c r="G5874" t="s">
        <v>6088</v>
      </c>
      <c r="H5874" t="s">
        <v>6097</v>
      </c>
      <c r="I5874">
        <v>72</v>
      </c>
      <c r="J5874">
        <v>6.9</v>
      </c>
      <c r="K5874" t="s">
        <v>6099</v>
      </c>
      <c r="L5874" t="s">
        <v>6100</v>
      </c>
      <c r="M5874" t="s">
        <v>6100</v>
      </c>
      <c r="O5874" t="s">
        <v>6101</v>
      </c>
      <c r="P5874" t="s">
        <v>6115</v>
      </c>
      <c r="Q5874">
        <v>9</v>
      </c>
      <c r="R5874">
        <v>2026</v>
      </c>
      <c r="S5874" t="s">
        <v>6099</v>
      </c>
      <c r="T5874">
        <v>1</v>
      </c>
      <c r="U5874" t="s">
        <v>6020</v>
      </c>
      <c r="V5874">
        <v>1</v>
      </c>
    </row>
    <row r="5875" spans="1:22" x14ac:dyDescent="0.3">
      <c r="A5875" t="s">
        <v>5890</v>
      </c>
      <c r="B5875" s="2">
        <v>46289.995833333334</v>
      </c>
      <c r="C5875" s="2">
        <v>46290.26666666667</v>
      </c>
      <c r="D5875" t="s">
        <v>6022</v>
      </c>
      <c r="E5875" t="s">
        <v>6030</v>
      </c>
      <c r="F5875" t="s">
        <v>6034</v>
      </c>
      <c r="G5875" t="s">
        <v>6044</v>
      </c>
      <c r="H5875" t="s">
        <v>6097</v>
      </c>
      <c r="I5875">
        <v>24</v>
      </c>
      <c r="J5875">
        <v>6.5</v>
      </c>
      <c r="K5875" t="s">
        <v>6100</v>
      </c>
      <c r="L5875" t="s">
        <v>6100</v>
      </c>
      <c r="M5875" t="s">
        <v>6100</v>
      </c>
      <c r="N5875">
        <v>5</v>
      </c>
      <c r="O5875" t="s">
        <v>6101</v>
      </c>
      <c r="P5875" t="s">
        <v>6115</v>
      </c>
      <c r="Q5875">
        <v>9</v>
      </c>
      <c r="R5875">
        <v>2026</v>
      </c>
      <c r="S5875" t="s">
        <v>6099</v>
      </c>
      <c r="T5875">
        <v>1</v>
      </c>
      <c r="U5875" t="s">
        <v>6018</v>
      </c>
      <c r="V5875">
        <v>0</v>
      </c>
    </row>
    <row r="5876" spans="1:22" x14ac:dyDescent="0.3">
      <c r="A5876" t="s">
        <v>5891</v>
      </c>
      <c r="B5876" s="2">
        <v>46290.375</v>
      </c>
      <c r="C5876" s="2">
        <v>46290.779166666667</v>
      </c>
      <c r="D5876" t="s">
        <v>6023</v>
      </c>
      <c r="E5876" t="s">
        <v>6029</v>
      </c>
      <c r="F5876" t="s">
        <v>6034</v>
      </c>
      <c r="G5876" t="s">
        <v>6085</v>
      </c>
      <c r="H5876" t="s">
        <v>6097</v>
      </c>
      <c r="I5876">
        <v>24</v>
      </c>
      <c r="J5876">
        <v>9.6999999999999993</v>
      </c>
      <c r="K5876" t="s">
        <v>6099</v>
      </c>
      <c r="L5876" t="s">
        <v>6100</v>
      </c>
      <c r="M5876" t="s">
        <v>6100</v>
      </c>
      <c r="O5876" t="s">
        <v>6101</v>
      </c>
      <c r="P5876" t="s">
        <v>6115</v>
      </c>
      <c r="Q5876">
        <v>9</v>
      </c>
      <c r="R5876">
        <v>2026</v>
      </c>
      <c r="S5876" t="s">
        <v>6099</v>
      </c>
      <c r="T5876">
        <v>1</v>
      </c>
      <c r="U5876" t="s">
        <v>6019</v>
      </c>
      <c r="V5876">
        <v>1</v>
      </c>
    </row>
    <row r="5877" spans="1:22" x14ac:dyDescent="0.3">
      <c r="A5877" t="s">
        <v>5892</v>
      </c>
      <c r="B5877" s="2">
        <v>46290.387499999997</v>
      </c>
      <c r="C5877" s="2">
        <v>46291.35</v>
      </c>
      <c r="D5877" t="s">
        <v>6024</v>
      </c>
      <c r="E5877" t="s">
        <v>6029</v>
      </c>
      <c r="F5877" t="s">
        <v>6033</v>
      </c>
      <c r="G5877" t="s">
        <v>6050</v>
      </c>
      <c r="H5877" t="s">
        <v>6098</v>
      </c>
      <c r="I5877">
        <v>72</v>
      </c>
      <c r="J5877">
        <v>23.1</v>
      </c>
      <c r="K5877" t="s">
        <v>6100</v>
      </c>
      <c r="L5877" t="s">
        <v>6100</v>
      </c>
      <c r="M5877" t="s">
        <v>6100</v>
      </c>
      <c r="N5877">
        <v>5</v>
      </c>
      <c r="O5877" t="s">
        <v>6101</v>
      </c>
      <c r="P5877" t="s">
        <v>6115</v>
      </c>
      <c r="Q5877">
        <v>9</v>
      </c>
      <c r="R5877">
        <v>2026</v>
      </c>
      <c r="S5877" t="s">
        <v>6099</v>
      </c>
      <c r="T5877">
        <v>1</v>
      </c>
      <c r="U5877" t="s">
        <v>6021</v>
      </c>
      <c r="V5877">
        <v>0</v>
      </c>
    </row>
    <row r="5878" spans="1:22" x14ac:dyDescent="0.3">
      <c r="A5878" t="s">
        <v>5893</v>
      </c>
      <c r="B5878" s="2">
        <v>46290.394444444442</v>
      </c>
      <c r="C5878" s="2">
        <v>46291.036111111112</v>
      </c>
      <c r="D5878" t="s">
        <v>6023</v>
      </c>
      <c r="E5878" t="s">
        <v>6032</v>
      </c>
      <c r="F5878" t="s">
        <v>6034</v>
      </c>
      <c r="G5878" t="s">
        <v>6083</v>
      </c>
      <c r="H5878" t="s">
        <v>6096</v>
      </c>
      <c r="I5878">
        <v>24</v>
      </c>
      <c r="J5878">
        <v>15.4</v>
      </c>
      <c r="K5878" t="s">
        <v>6100</v>
      </c>
      <c r="L5878" t="s">
        <v>6099</v>
      </c>
      <c r="M5878" t="s">
        <v>6100</v>
      </c>
      <c r="N5878">
        <v>3</v>
      </c>
      <c r="O5878" t="s">
        <v>6101</v>
      </c>
      <c r="P5878" t="s">
        <v>6115</v>
      </c>
      <c r="Q5878">
        <v>9</v>
      </c>
      <c r="R5878">
        <v>2026</v>
      </c>
      <c r="S5878" t="s">
        <v>6099</v>
      </c>
      <c r="T5878">
        <v>1</v>
      </c>
      <c r="U5878" t="s">
        <v>6020</v>
      </c>
      <c r="V5878">
        <v>0</v>
      </c>
    </row>
    <row r="5879" spans="1:22" x14ac:dyDescent="0.3">
      <c r="A5879" t="s">
        <v>5894</v>
      </c>
      <c r="B5879" s="2">
        <v>46290.473611111112</v>
      </c>
      <c r="C5879" s="2">
        <v>46290.873611111114</v>
      </c>
      <c r="D5879" t="s">
        <v>6023</v>
      </c>
      <c r="E5879" t="s">
        <v>6030</v>
      </c>
      <c r="F5879" t="s">
        <v>6033</v>
      </c>
      <c r="G5879" t="s">
        <v>6064</v>
      </c>
      <c r="H5879" t="s">
        <v>6096</v>
      </c>
      <c r="I5879">
        <v>72</v>
      </c>
      <c r="J5879">
        <v>9.6</v>
      </c>
      <c r="K5879" t="s">
        <v>6099</v>
      </c>
      <c r="L5879" t="s">
        <v>6100</v>
      </c>
      <c r="M5879" t="s">
        <v>6100</v>
      </c>
      <c r="N5879">
        <v>4</v>
      </c>
      <c r="O5879" t="s">
        <v>6101</v>
      </c>
      <c r="P5879" t="s">
        <v>6115</v>
      </c>
      <c r="Q5879">
        <v>9</v>
      </c>
      <c r="R5879">
        <v>2026</v>
      </c>
      <c r="S5879" t="s">
        <v>6099</v>
      </c>
      <c r="T5879">
        <v>1</v>
      </c>
      <c r="U5879" t="s">
        <v>6019</v>
      </c>
      <c r="V5879">
        <v>1</v>
      </c>
    </row>
    <row r="5880" spans="1:22" x14ac:dyDescent="0.3">
      <c r="A5880" t="s">
        <v>5895</v>
      </c>
      <c r="B5880" s="2">
        <v>46290.482638888891</v>
      </c>
      <c r="C5880" s="2">
        <v>46290.828472222223</v>
      </c>
      <c r="D5880" t="s">
        <v>6023</v>
      </c>
      <c r="E5880" t="s">
        <v>6029</v>
      </c>
      <c r="F5880" t="s">
        <v>6033</v>
      </c>
      <c r="G5880" t="s">
        <v>6080</v>
      </c>
      <c r="H5880" t="s">
        <v>6096</v>
      </c>
      <c r="I5880">
        <v>72</v>
      </c>
      <c r="J5880">
        <v>8.3000000000000007</v>
      </c>
      <c r="K5880" t="s">
        <v>6100</v>
      </c>
      <c r="L5880" t="s">
        <v>6099</v>
      </c>
      <c r="M5880" t="s">
        <v>6100</v>
      </c>
      <c r="O5880" t="s">
        <v>6101</v>
      </c>
      <c r="P5880" t="s">
        <v>6115</v>
      </c>
      <c r="Q5880">
        <v>9</v>
      </c>
      <c r="R5880">
        <v>2026</v>
      </c>
      <c r="S5880" t="s">
        <v>6099</v>
      </c>
      <c r="T5880">
        <v>1</v>
      </c>
      <c r="U5880" t="s">
        <v>6020</v>
      </c>
      <c r="V5880">
        <v>0</v>
      </c>
    </row>
    <row r="5881" spans="1:22" x14ac:dyDescent="0.3">
      <c r="A5881" t="s">
        <v>5896</v>
      </c>
      <c r="B5881" s="2">
        <v>46290.506249999999</v>
      </c>
      <c r="C5881" s="2">
        <v>46290.818749999999</v>
      </c>
      <c r="D5881" t="s">
        <v>6023</v>
      </c>
      <c r="E5881" t="s">
        <v>6032</v>
      </c>
      <c r="F5881" t="s">
        <v>6033</v>
      </c>
      <c r="G5881" t="s">
        <v>6055</v>
      </c>
      <c r="H5881" t="s">
        <v>6096</v>
      </c>
      <c r="I5881">
        <v>72</v>
      </c>
      <c r="J5881">
        <v>7.5</v>
      </c>
      <c r="K5881" t="s">
        <v>6100</v>
      </c>
      <c r="L5881" t="s">
        <v>6099</v>
      </c>
      <c r="M5881" t="s">
        <v>6100</v>
      </c>
      <c r="N5881">
        <v>4</v>
      </c>
      <c r="O5881" t="s">
        <v>6101</v>
      </c>
      <c r="P5881" t="s">
        <v>6115</v>
      </c>
      <c r="Q5881">
        <v>9</v>
      </c>
      <c r="R5881">
        <v>2026</v>
      </c>
      <c r="S5881" t="s">
        <v>6099</v>
      </c>
      <c r="T5881">
        <v>1</v>
      </c>
      <c r="U5881" t="s">
        <v>6021</v>
      </c>
      <c r="V5881">
        <v>0</v>
      </c>
    </row>
    <row r="5882" spans="1:22" x14ac:dyDescent="0.3">
      <c r="A5882" t="s">
        <v>5897</v>
      </c>
      <c r="B5882" s="2">
        <v>46290.520833333336</v>
      </c>
      <c r="C5882" s="2">
        <v>46290.820833333331</v>
      </c>
      <c r="D5882" t="s">
        <v>6023</v>
      </c>
      <c r="E5882" t="s">
        <v>6030</v>
      </c>
      <c r="F5882" t="s">
        <v>6033</v>
      </c>
      <c r="G5882" t="s">
        <v>6073</v>
      </c>
      <c r="H5882" t="s">
        <v>6096</v>
      </c>
      <c r="I5882">
        <v>72</v>
      </c>
      <c r="J5882">
        <v>7.2</v>
      </c>
      <c r="K5882" t="s">
        <v>6100</v>
      </c>
      <c r="L5882" t="s">
        <v>6100</v>
      </c>
      <c r="M5882" t="s">
        <v>6100</v>
      </c>
      <c r="N5882">
        <v>3</v>
      </c>
      <c r="O5882" t="s">
        <v>6101</v>
      </c>
      <c r="P5882" t="s">
        <v>6115</v>
      </c>
      <c r="Q5882">
        <v>9</v>
      </c>
      <c r="R5882">
        <v>2026</v>
      </c>
      <c r="S5882" t="s">
        <v>6099</v>
      </c>
      <c r="T5882">
        <v>1</v>
      </c>
      <c r="U5882" t="s">
        <v>6017</v>
      </c>
      <c r="V5882">
        <v>0</v>
      </c>
    </row>
    <row r="5883" spans="1:22" x14ac:dyDescent="0.3">
      <c r="A5883" t="s">
        <v>5898</v>
      </c>
      <c r="B5883" s="2">
        <v>46290.53125</v>
      </c>
      <c r="C5883" s="2">
        <v>46291.043749999997</v>
      </c>
      <c r="D5883" t="s">
        <v>6023</v>
      </c>
      <c r="E5883" t="s">
        <v>6032</v>
      </c>
      <c r="F5883" t="s">
        <v>6033</v>
      </c>
      <c r="G5883" t="s">
        <v>6057</v>
      </c>
      <c r="H5883" t="s">
        <v>6097</v>
      </c>
      <c r="I5883">
        <v>72</v>
      </c>
      <c r="J5883">
        <v>12.3</v>
      </c>
      <c r="K5883" t="s">
        <v>6099</v>
      </c>
      <c r="L5883" t="s">
        <v>6100</v>
      </c>
      <c r="M5883" t="s">
        <v>6100</v>
      </c>
      <c r="O5883" t="s">
        <v>6101</v>
      </c>
      <c r="P5883" t="s">
        <v>6115</v>
      </c>
      <c r="Q5883">
        <v>9</v>
      </c>
      <c r="R5883">
        <v>2026</v>
      </c>
      <c r="S5883" t="s">
        <v>6099</v>
      </c>
      <c r="T5883">
        <v>1</v>
      </c>
      <c r="U5883" t="s">
        <v>6020</v>
      </c>
      <c r="V5883">
        <v>1</v>
      </c>
    </row>
    <row r="5884" spans="1:22" x14ac:dyDescent="0.3">
      <c r="A5884" t="s">
        <v>5899</v>
      </c>
      <c r="B5884" s="2">
        <v>46290.53402777778</v>
      </c>
      <c r="C5884" s="2">
        <v>46292.779861111114</v>
      </c>
      <c r="D5884" t="s">
        <v>6024</v>
      </c>
      <c r="E5884" t="s">
        <v>6031</v>
      </c>
      <c r="F5884" t="s">
        <v>6033</v>
      </c>
      <c r="G5884" t="s">
        <v>6048</v>
      </c>
      <c r="H5884" t="s">
        <v>6096</v>
      </c>
      <c r="I5884">
        <v>72</v>
      </c>
      <c r="J5884">
        <v>53.9</v>
      </c>
      <c r="K5884" t="s">
        <v>6100</v>
      </c>
      <c r="L5884" t="s">
        <v>6099</v>
      </c>
      <c r="M5884" t="s">
        <v>6100</v>
      </c>
      <c r="O5884" t="s">
        <v>6101</v>
      </c>
      <c r="P5884" t="s">
        <v>6115</v>
      </c>
      <c r="Q5884">
        <v>9</v>
      </c>
      <c r="R5884">
        <v>2026</v>
      </c>
      <c r="S5884" t="s">
        <v>6099</v>
      </c>
      <c r="T5884">
        <v>1</v>
      </c>
      <c r="U5884" t="s">
        <v>6019</v>
      </c>
      <c r="V5884">
        <v>0</v>
      </c>
    </row>
    <row r="5885" spans="1:22" x14ac:dyDescent="0.3">
      <c r="A5885" t="s">
        <v>5900</v>
      </c>
      <c r="B5885" s="2">
        <v>46290.581250000003</v>
      </c>
      <c r="C5885" s="2">
        <v>46290.772916666669</v>
      </c>
      <c r="D5885" t="s">
        <v>6023</v>
      </c>
      <c r="E5885" t="s">
        <v>6029</v>
      </c>
      <c r="F5885" t="s">
        <v>6034</v>
      </c>
      <c r="G5885" t="s">
        <v>6062</v>
      </c>
      <c r="H5885" t="s">
        <v>6096</v>
      </c>
      <c r="I5885">
        <v>24</v>
      </c>
      <c r="J5885">
        <v>4.5999999999999996</v>
      </c>
      <c r="K5885" t="s">
        <v>6099</v>
      </c>
      <c r="L5885" t="s">
        <v>6100</v>
      </c>
      <c r="M5885" t="s">
        <v>6099</v>
      </c>
      <c r="N5885">
        <v>2</v>
      </c>
      <c r="O5885" t="s">
        <v>6101</v>
      </c>
      <c r="P5885" t="s">
        <v>6115</v>
      </c>
      <c r="Q5885">
        <v>9</v>
      </c>
      <c r="R5885">
        <v>2026</v>
      </c>
      <c r="S5885" t="s">
        <v>6099</v>
      </c>
      <c r="T5885">
        <v>1</v>
      </c>
      <c r="U5885" t="s">
        <v>6021</v>
      </c>
      <c r="V5885">
        <v>1</v>
      </c>
    </row>
    <row r="5886" spans="1:22" x14ac:dyDescent="0.3">
      <c r="A5886" t="s">
        <v>5901</v>
      </c>
      <c r="B5886" s="2">
        <v>46290.620833333334</v>
      </c>
      <c r="C5886" s="2">
        <v>46292.595833333333</v>
      </c>
      <c r="D5886" t="s">
        <v>6022</v>
      </c>
      <c r="E5886" t="s">
        <v>6031</v>
      </c>
      <c r="F5886" t="s">
        <v>6035</v>
      </c>
      <c r="G5886" t="s">
        <v>6080</v>
      </c>
      <c r="H5886" t="s">
        <v>6096</v>
      </c>
      <c r="I5886">
        <v>4</v>
      </c>
      <c r="J5886">
        <v>47.4</v>
      </c>
      <c r="K5886" t="s">
        <v>6099</v>
      </c>
      <c r="L5886" t="s">
        <v>6100</v>
      </c>
      <c r="M5886" t="s">
        <v>6100</v>
      </c>
      <c r="N5886">
        <v>4</v>
      </c>
      <c r="O5886" t="s">
        <v>6101</v>
      </c>
      <c r="P5886" t="s">
        <v>6115</v>
      </c>
      <c r="Q5886">
        <v>9</v>
      </c>
      <c r="R5886">
        <v>2026</v>
      </c>
      <c r="S5886" t="s">
        <v>6100</v>
      </c>
      <c r="T5886">
        <v>0</v>
      </c>
      <c r="U5886" t="s">
        <v>6021</v>
      </c>
      <c r="V5886">
        <v>1</v>
      </c>
    </row>
    <row r="5887" spans="1:22" x14ac:dyDescent="0.3">
      <c r="A5887" t="s">
        <v>5902</v>
      </c>
      <c r="B5887" s="2">
        <v>46290.634027777778</v>
      </c>
      <c r="C5887" s="2">
        <v>46290.921527777777</v>
      </c>
      <c r="D5887" t="s">
        <v>6025</v>
      </c>
      <c r="E5887" t="s">
        <v>6030</v>
      </c>
      <c r="F5887" t="s">
        <v>6034</v>
      </c>
      <c r="G5887" t="s">
        <v>6051</v>
      </c>
      <c r="H5887" t="s">
        <v>6097</v>
      </c>
      <c r="I5887">
        <v>24</v>
      </c>
      <c r="J5887">
        <v>6.9</v>
      </c>
      <c r="K5887" t="s">
        <v>6099</v>
      </c>
      <c r="L5887" t="s">
        <v>6100</v>
      </c>
      <c r="M5887" t="s">
        <v>6100</v>
      </c>
      <c r="N5887">
        <v>4</v>
      </c>
      <c r="O5887" t="s">
        <v>6101</v>
      </c>
      <c r="P5887" t="s">
        <v>6115</v>
      </c>
      <c r="Q5887">
        <v>9</v>
      </c>
      <c r="R5887">
        <v>2026</v>
      </c>
      <c r="S5887" t="s">
        <v>6099</v>
      </c>
      <c r="T5887">
        <v>1</v>
      </c>
      <c r="U5887" t="s">
        <v>6018</v>
      </c>
      <c r="V5887">
        <v>1</v>
      </c>
    </row>
    <row r="5888" spans="1:22" x14ac:dyDescent="0.3">
      <c r="A5888" t="s">
        <v>5903</v>
      </c>
      <c r="B5888" s="2">
        <v>46290.668749999997</v>
      </c>
      <c r="C5888" s="2">
        <v>46290.872916666667</v>
      </c>
      <c r="D5888" t="s">
        <v>6027</v>
      </c>
      <c r="E5888" t="s">
        <v>6029</v>
      </c>
      <c r="F5888" t="s">
        <v>6034</v>
      </c>
      <c r="G5888" t="s">
        <v>6080</v>
      </c>
      <c r="H5888" t="s">
        <v>6096</v>
      </c>
      <c r="I5888">
        <v>24</v>
      </c>
      <c r="J5888">
        <v>4.9000000000000004</v>
      </c>
      <c r="K5888" t="s">
        <v>6099</v>
      </c>
      <c r="L5888" t="s">
        <v>6100</v>
      </c>
      <c r="M5888" t="s">
        <v>6100</v>
      </c>
      <c r="O5888" t="s">
        <v>6101</v>
      </c>
      <c r="P5888" t="s">
        <v>6115</v>
      </c>
      <c r="Q5888">
        <v>9</v>
      </c>
      <c r="R5888">
        <v>2026</v>
      </c>
      <c r="S5888" t="s">
        <v>6099</v>
      </c>
      <c r="T5888">
        <v>1</v>
      </c>
      <c r="U5888" t="s">
        <v>6018</v>
      </c>
      <c r="V5888">
        <v>1</v>
      </c>
    </row>
    <row r="5889" spans="1:22" x14ac:dyDescent="0.3">
      <c r="A5889" t="s">
        <v>5904</v>
      </c>
      <c r="B5889" s="2">
        <v>46290.677083333336</v>
      </c>
      <c r="C5889" s="2">
        <v>46292.710416666669</v>
      </c>
      <c r="D5889" t="s">
        <v>6025</v>
      </c>
      <c r="E5889" t="s">
        <v>6031</v>
      </c>
      <c r="F5889" t="s">
        <v>6034</v>
      </c>
      <c r="G5889" t="s">
        <v>6084</v>
      </c>
      <c r="H5889" t="s">
        <v>6098</v>
      </c>
      <c r="I5889">
        <v>24</v>
      </c>
      <c r="J5889">
        <v>48.8</v>
      </c>
      <c r="K5889" t="s">
        <v>6100</v>
      </c>
      <c r="L5889" t="s">
        <v>6099</v>
      </c>
      <c r="M5889" t="s">
        <v>6100</v>
      </c>
      <c r="N5889">
        <v>4</v>
      </c>
      <c r="O5889" t="s">
        <v>6101</v>
      </c>
      <c r="P5889" t="s">
        <v>6115</v>
      </c>
      <c r="Q5889">
        <v>9</v>
      </c>
      <c r="R5889">
        <v>2026</v>
      </c>
      <c r="S5889" t="s">
        <v>6100</v>
      </c>
      <c r="T5889">
        <v>0</v>
      </c>
      <c r="U5889" t="s">
        <v>6020</v>
      </c>
      <c r="V5889">
        <v>0</v>
      </c>
    </row>
    <row r="5890" spans="1:22" x14ac:dyDescent="0.3">
      <c r="A5890" t="s">
        <v>5905</v>
      </c>
      <c r="B5890" s="2">
        <v>46290.752083333333</v>
      </c>
      <c r="C5890" s="2">
        <v>46289.418749999997</v>
      </c>
      <c r="D5890" t="s">
        <v>6026</v>
      </c>
      <c r="E5890" t="s">
        <v>6031</v>
      </c>
      <c r="F5890" t="s">
        <v>6034</v>
      </c>
      <c r="G5890" t="s">
        <v>6093</v>
      </c>
      <c r="H5890" t="s">
        <v>6097</v>
      </c>
      <c r="I5890">
        <v>24</v>
      </c>
      <c r="J5890">
        <v>35.1</v>
      </c>
      <c r="K5890" t="s">
        <v>6100</v>
      </c>
      <c r="L5890" t="s">
        <v>6100</v>
      </c>
      <c r="M5890" t="s">
        <v>6100</v>
      </c>
      <c r="N5890">
        <v>4</v>
      </c>
      <c r="O5890" t="s">
        <v>6101</v>
      </c>
      <c r="P5890" t="s">
        <v>6115</v>
      </c>
      <c r="Q5890">
        <v>9</v>
      </c>
      <c r="R5890">
        <v>2026</v>
      </c>
      <c r="S5890" t="s">
        <v>6100</v>
      </c>
      <c r="T5890">
        <v>0</v>
      </c>
      <c r="U5890" t="s">
        <v>6017</v>
      </c>
      <c r="V5890">
        <v>0</v>
      </c>
    </row>
    <row r="5891" spans="1:22" x14ac:dyDescent="0.3">
      <c r="A5891" t="s">
        <v>5906</v>
      </c>
      <c r="B5891" s="2">
        <v>46290.775694444441</v>
      </c>
      <c r="C5891" s="2">
        <v>46290.963194444441</v>
      </c>
      <c r="D5891" t="s">
        <v>6023</v>
      </c>
      <c r="E5891" t="s">
        <v>6029</v>
      </c>
      <c r="F5891" t="s">
        <v>6034</v>
      </c>
      <c r="G5891" t="s">
        <v>6070</v>
      </c>
      <c r="H5891" t="s">
        <v>6097</v>
      </c>
      <c r="I5891">
        <v>24</v>
      </c>
      <c r="J5891">
        <v>4.5</v>
      </c>
      <c r="K5891" t="s">
        <v>6099</v>
      </c>
      <c r="L5891" t="s">
        <v>6100</v>
      </c>
      <c r="M5891" t="s">
        <v>6100</v>
      </c>
      <c r="N5891">
        <v>5</v>
      </c>
      <c r="O5891" t="s">
        <v>6101</v>
      </c>
      <c r="P5891" t="s">
        <v>6115</v>
      </c>
      <c r="Q5891">
        <v>9</v>
      </c>
      <c r="R5891">
        <v>2026</v>
      </c>
      <c r="S5891" t="s">
        <v>6099</v>
      </c>
      <c r="T5891">
        <v>1</v>
      </c>
      <c r="U5891" t="s">
        <v>6021</v>
      </c>
      <c r="V5891">
        <v>1</v>
      </c>
    </row>
    <row r="5892" spans="1:22" x14ac:dyDescent="0.3">
      <c r="A5892" t="s">
        <v>5907</v>
      </c>
      <c r="B5892" s="2">
        <v>46290.948611111111</v>
      </c>
      <c r="C5892" s="2">
        <v>46291.536111111112</v>
      </c>
      <c r="D5892" t="s">
        <v>6025</v>
      </c>
      <c r="E5892" t="s">
        <v>6029</v>
      </c>
      <c r="F5892" t="s">
        <v>6033</v>
      </c>
      <c r="G5892" t="s">
        <v>6061</v>
      </c>
      <c r="H5892" t="s">
        <v>6096</v>
      </c>
      <c r="I5892">
        <v>72</v>
      </c>
      <c r="J5892">
        <v>14.1</v>
      </c>
      <c r="K5892" t="s">
        <v>6099</v>
      </c>
      <c r="L5892" t="s">
        <v>6100</v>
      </c>
      <c r="M5892" t="s">
        <v>6100</v>
      </c>
      <c r="N5892">
        <v>4</v>
      </c>
      <c r="O5892" t="s">
        <v>6101</v>
      </c>
      <c r="P5892" t="s">
        <v>6115</v>
      </c>
      <c r="Q5892">
        <v>9</v>
      </c>
      <c r="R5892">
        <v>2026</v>
      </c>
      <c r="S5892" t="s">
        <v>6099</v>
      </c>
      <c r="T5892">
        <v>1</v>
      </c>
      <c r="U5892" t="s">
        <v>6018</v>
      </c>
      <c r="V5892">
        <v>1</v>
      </c>
    </row>
    <row r="5893" spans="1:22" x14ac:dyDescent="0.3">
      <c r="A5893" t="s">
        <v>5908</v>
      </c>
      <c r="B5893" s="2">
        <v>46290.991666666669</v>
      </c>
      <c r="C5893" s="2">
        <v>46291.07916666667</v>
      </c>
      <c r="D5893" t="s">
        <v>6028</v>
      </c>
      <c r="E5893" t="s">
        <v>6029</v>
      </c>
      <c r="F5893" t="s">
        <v>6035</v>
      </c>
      <c r="G5893" t="s">
        <v>6042</v>
      </c>
      <c r="H5893" t="s">
        <v>6098</v>
      </c>
      <c r="I5893">
        <v>4</v>
      </c>
      <c r="J5893">
        <v>2.1</v>
      </c>
      <c r="K5893" t="s">
        <v>6099</v>
      </c>
      <c r="L5893" t="s">
        <v>6100</v>
      </c>
      <c r="M5893" t="s">
        <v>6100</v>
      </c>
      <c r="O5893" t="s">
        <v>6101</v>
      </c>
      <c r="P5893" t="s">
        <v>6115</v>
      </c>
      <c r="Q5893">
        <v>9</v>
      </c>
      <c r="R5893">
        <v>2026</v>
      </c>
      <c r="S5893" t="s">
        <v>6099</v>
      </c>
      <c r="T5893">
        <v>1</v>
      </c>
      <c r="U5893" t="s">
        <v>6021</v>
      </c>
      <c r="V5893">
        <v>1</v>
      </c>
    </row>
    <row r="5894" spans="1:22" x14ac:dyDescent="0.3">
      <c r="A5894" t="s">
        <v>5909</v>
      </c>
      <c r="B5894" s="2">
        <v>46290.995138888888</v>
      </c>
      <c r="C5894" s="2">
        <v>46291.232638888891</v>
      </c>
      <c r="D5894" t="s">
        <v>6025</v>
      </c>
      <c r="E5894" t="s">
        <v>6030</v>
      </c>
      <c r="F5894" t="s">
        <v>6033</v>
      </c>
      <c r="G5894" t="s">
        <v>6045</v>
      </c>
      <c r="H5894" t="s">
        <v>6096</v>
      </c>
      <c r="I5894">
        <v>72</v>
      </c>
      <c r="J5894">
        <v>5.7</v>
      </c>
      <c r="K5894" t="s">
        <v>6099</v>
      </c>
      <c r="L5894" t="s">
        <v>6100</v>
      </c>
      <c r="M5894" t="s">
        <v>6100</v>
      </c>
      <c r="N5894">
        <v>5</v>
      </c>
      <c r="O5894" t="s">
        <v>6101</v>
      </c>
      <c r="P5894" t="s">
        <v>6115</v>
      </c>
      <c r="Q5894">
        <v>9</v>
      </c>
      <c r="R5894">
        <v>2026</v>
      </c>
      <c r="S5894" t="s">
        <v>6099</v>
      </c>
      <c r="T5894">
        <v>1</v>
      </c>
      <c r="U5894" t="s">
        <v>6021</v>
      </c>
      <c r="V5894">
        <v>1</v>
      </c>
    </row>
    <row r="5895" spans="1:22" x14ac:dyDescent="0.3">
      <c r="A5895" t="s">
        <v>5910</v>
      </c>
      <c r="B5895" s="2">
        <v>46291.213888888888</v>
      </c>
      <c r="C5895" s="2">
        <v>46292.038888888892</v>
      </c>
      <c r="D5895" t="s">
        <v>6028</v>
      </c>
      <c r="E5895" t="s">
        <v>6031</v>
      </c>
      <c r="F5895" t="s">
        <v>6034</v>
      </c>
      <c r="G5895" t="s">
        <v>6069</v>
      </c>
      <c r="H5895" t="s">
        <v>6098</v>
      </c>
      <c r="I5895">
        <v>24</v>
      </c>
      <c r="J5895">
        <v>19.8</v>
      </c>
      <c r="K5895" t="s">
        <v>6099</v>
      </c>
      <c r="L5895" t="s">
        <v>6100</v>
      </c>
      <c r="M5895" t="s">
        <v>6100</v>
      </c>
      <c r="N5895">
        <v>4</v>
      </c>
      <c r="O5895" t="s">
        <v>6101</v>
      </c>
      <c r="P5895" t="s">
        <v>6115</v>
      </c>
      <c r="Q5895">
        <v>9</v>
      </c>
      <c r="R5895">
        <v>2026</v>
      </c>
      <c r="S5895" t="s">
        <v>6099</v>
      </c>
      <c r="T5895">
        <v>1</v>
      </c>
      <c r="U5895" t="s">
        <v>6017</v>
      </c>
      <c r="V5895">
        <v>1</v>
      </c>
    </row>
    <row r="5896" spans="1:22" x14ac:dyDescent="0.3">
      <c r="A5896" t="s">
        <v>5911</v>
      </c>
      <c r="B5896" s="2">
        <v>46291.245138888888</v>
      </c>
      <c r="C5896" s="2">
        <v>46291.536805555559</v>
      </c>
      <c r="D5896" t="s">
        <v>6028</v>
      </c>
      <c r="E5896" t="s">
        <v>6029</v>
      </c>
      <c r="F5896" t="s">
        <v>6035</v>
      </c>
      <c r="G5896" t="s">
        <v>6071</v>
      </c>
      <c r="H5896" t="s">
        <v>6098</v>
      </c>
      <c r="I5896">
        <v>4</v>
      </c>
      <c r="J5896">
        <v>7</v>
      </c>
      <c r="K5896" t="s">
        <v>6099</v>
      </c>
      <c r="L5896" t="s">
        <v>6100</v>
      </c>
      <c r="M5896" t="s">
        <v>6100</v>
      </c>
      <c r="O5896" t="s">
        <v>6101</v>
      </c>
      <c r="P5896" t="s">
        <v>6115</v>
      </c>
      <c r="Q5896">
        <v>9</v>
      </c>
      <c r="R5896">
        <v>2026</v>
      </c>
      <c r="S5896" t="s">
        <v>6100</v>
      </c>
      <c r="T5896">
        <v>0</v>
      </c>
      <c r="U5896" t="s">
        <v>6021</v>
      </c>
      <c r="V5896">
        <v>1</v>
      </c>
    </row>
    <row r="5897" spans="1:22" x14ac:dyDescent="0.3">
      <c r="A5897" t="s">
        <v>5912</v>
      </c>
      <c r="B5897" s="2">
        <v>46291.288194444445</v>
      </c>
      <c r="C5897" s="2">
        <v>46291.879861111112</v>
      </c>
      <c r="D5897" t="s">
        <v>6024</v>
      </c>
      <c r="E5897" t="s">
        <v>6029</v>
      </c>
      <c r="F5897" t="s">
        <v>6033</v>
      </c>
      <c r="G5897" t="s">
        <v>6061</v>
      </c>
      <c r="H5897" t="s">
        <v>6096</v>
      </c>
      <c r="I5897">
        <v>72</v>
      </c>
      <c r="J5897">
        <v>14.2</v>
      </c>
      <c r="K5897" t="s">
        <v>6099</v>
      </c>
      <c r="L5897" t="s">
        <v>6100</v>
      </c>
      <c r="M5897" t="s">
        <v>6100</v>
      </c>
      <c r="N5897">
        <v>5</v>
      </c>
      <c r="O5897" t="s">
        <v>6101</v>
      </c>
      <c r="P5897" t="s">
        <v>6115</v>
      </c>
      <c r="Q5897">
        <v>9</v>
      </c>
      <c r="R5897">
        <v>2026</v>
      </c>
      <c r="S5897" t="s">
        <v>6099</v>
      </c>
      <c r="T5897">
        <v>1</v>
      </c>
      <c r="U5897" t="s">
        <v>6020</v>
      </c>
      <c r="V5897">
        <v>1</v>
      </c>
    </row>
    <row r="5898" spans="1:22" x14ac:dyDescent="0.3">
      <c r="A5898" t="s">
        <v>5913</v>
      </c>
      <c r="B5898" s="2">
        <v>46291.321527777778</v>
      </c>
      <c r="C5898" s="2">
        <v>46291.588194444441</v>
      </c>
      <c r="D5898" t="s">
        <v>6027</v>
      </c>
      <c r="E5898" t="s">
        <v>6029</v>
      </c>
      <c r="F5898" t="s">
        <v>6033</v>
      </c>
      <c r="G5898" t="s">
        <v>6069</v>
      </c>
      <c r="H5898" t="s">
        <v>6098</v>
      </c>
      <c r="I5898">
        <v>72</v>
      </c>
      <c r="J5898">
        <v>6.4</v>
      </c>
      <c r="K5898" t="s">
        <v>6100</v>
      </c>
      <c r="L5898" t="s">
        <v>6099</v>
      </c>
      <c r="M5898" t="s">
        <v>6099</v>
      </c>
      <c r="N5898">
        <v>3</v>
      </c>
      <c r="O5898" t="s">
        <v>6101</v>
      </c>
      <c r="P5898" t="s">
        <v>6115</v>
      </c>
      <c r="Q5898">
        <v>9</v>
      </c>
      <c r="R5898">
        <v>2026</v>
      </c>
      <c r="S5898" t="s">
        <v>6099</v>
      </c>
      <c r="T5898">
        <v>1</v>
      </c>
      <c r="U5898" t="s">
        <v>6021</v>
      </c>
      <c r="V5898">
        <v>0</v>
      </c>
    </row>
    <row r="5899" spans="1:22" x14ac:dyDescent="0.3">
      <c r="A5899" t="s">
        <v>5914</v>
      </c>
      <c r="B5899" s="2">
        <v>46291.338888888888</v>
      </c>
      <c r="C5899" s="2">
        <v>46292.518055555556</v>
      </c>
      <c r="D5899" t="s">
        <v>6024</v>
      </c>
      <c r="E5899" t="s">
        <v>6031</v>
      </c>
      <c r="F5899" t="s">
        <v>6033</v>
      </c>
      <c r="G5899" t="s">
        <v>6072</v>
      </c>
      <c r="H5899" t="s">
        <v>6097</v>
      </c>
      <c r="I5899">
        <v>72</v>
      </c>
      <c r="J5899">
        <v>28.3</v>
      </c>
      <c r="K5899" t="s">
        <v>6099</v>
      </c>
      <c r="L5899" t="s">
        <v>6100</v>
      </c>
      <c r="M5899" t="s">
        <v>6100</v>
      </c>
      <c r="N5899">
        <v>4</v>
      </c>
      <c r="O5899" t="s">
        <v>6101</v>
      </c>
      <c r="P5899" t="s">
        <v>6115</v>
      </c>
      <c r="Q5899">
        <v>9</v>
      </c>
      <c r="R5899">
        <v>2026</v>
      </c>
      <c r="S5899" t="s">
        <v>6099</v>
      </c>
      <c r="T5899">
        <v>1</v>
      </c>
      <c r="U5899" t="s">
        <v>6020</v>
      </c>
      <c r="V5899">
        <v>1</v>
      </c>
    </row>
    <row r="5900" spans="1:22" x14ac:dyDescent="0.3">
      <c r="A5900" t="s">
        <v>5915</v>
      </c>
      <c r="B5900" s="2">
        <v>46291.376388888886</v>
      </c>
      <c r="C5900" s="2">
        <v>46292.218055555553</v>
      </c>
      <c r="D5900" t="s">
        <v>6022</v>
      </c>
      <c r="E5900" t="s">
        <v>6030</v>
      </c>
      <c r="F5900" t="s">
        <v>6034</v>
      </c>
      <c r="G5900" t="s">
        <v>6094</v>
      </c>
      <c r="H5900" t="s">
        <v>6098</v>
      </c>
      <c r="I5900">
        <v>24</v>
      </c>
      <c r="J5900">
        <v>20.2</v>
      </c>
      <c r="K5900" t="s">
        <v>6100</v>
      </c>
      <c r="L5900" t="s">
        <v>6099</v>
      </c>
      <c r="M5900" t="s">
        <v>6100</v>
      </c>
      <c r="O5900" t="s">
        <v>6101</v>
      </c>
      <c r="P5900" t="s">
        <v>6115</v>
      </c>
      <c r="Q5900">
        <v>9</v>
      </c>
      <c r="R5900">
        <v>2026</v>
      </c>
      <c r="S5900" t="s">
        <v>6099</v>
      </c>
      <c r="T5900">
        <v>1</v>
      </c>
      <c r="U5900" t="s">
        <v>6020</v>
      </c>
      <c r="V5900">
        <v>0</v>
      </c>
    </row>
    <row r="5901" spans="1:22" x14ac:dyDescent="0.3">
      <c r="A5901" t="s">
        <v>5916</v>
      </c>
      <c r="B5901" s="2">
        <v>46291.379861111112</v>
      </c>
      <c r="C5901" s="2">
        <v>46292.03402777778</v>
      </c>
      <c r="D5901" t="s">
        <v>6024</v>
      </c>
      <c r="E5901" t="s">
        <v>6029</v>
      </c>
      <c r="F5901" t="s">
        <v>6034</v>
      </c>
      <c r="G5901" t="s">
        <v>6080</v>
      </c>
      <c r="H5901" t="s">
        <v>6096</v>
      </c>
      <c r="I5901">
        <v>24</v>
      </c>
      <c r="J5901">
        <v>15.7</v>
      </c>
      <c r="K5901" t="s">
        <v>6100</v>
      </c>
      <c r="L5901" t="s">
        <v>6100</v>
      </c>
      <c r="M5901" t="s">
        <v>6100</v>
      </c>
      <c r="N5901">
        <v>4</v>
      </c>
      <c r="O5901" t="s">
        <v>6101</v>
      </c>
      <c r="P5901" t="s">
        <v>6115</v>
      </c>
      <c r="Q5901">
        <v>9</v>
      </c>
      <c r="R5901">
        <v>2026</v>
      </c>
      <c r="S5901" t="s">
        <v>6099</v>
      </c>
      <c r="T5901">
        <v>1</v>
      </c>
      <c r="U5901" t="s">
        <v>6019</v>
      </c>
      <c r="V5901">
        <v>0</v>
      </c>
    </row>
    <row r="5902" spans="1:22" x14ac:dyDescent="0.3">
      <c r="A5902" t="s">
        <v>5917</v>
      </c>
      <c r="B5902" s="2">
        <v>46291.448611111111</v>
      </c>
      <c r="C5902" s="2">
        <v>46291.636111111111</v>
      </c>
      <c r="D5902" t="s">
        <v>6023</v>
      </c>
      <c r="E5902" t="s">
        <v>6030</v>
      </c>
      <c r="F5902" t="s">
        <v>6033</v>
      </c>
      <c r="G5902" t="s">
        <v>6086</v>
      </c>
      <c r="H5902" t="s">
        <v>6098</v>
      </c>
      <c r="I5902">
        <v>72</v>
      </c>
      <c r="J5902">
        <v>4.5</v>
      </c>
      <c r="K5902" t="s">
        <v>6100</v>
      </c>
      <c r="L5902" t="s">
        <v>6099</v>
      </c>
      <c r="M5902" t="s">
        <v>6100</v>
      </c>
      <c r="N5902">
        <v>5</v>
      </c>
      <c r="O5902" t="s">
        <v>6101</v>
      </c>
      <c r="P5902" t="s">
        <v>6115</v>
      </c>
      <c r="Q5902">
        <v>9</v>
      </c>
      <c r="R5902">
        <v>2026</v>
      </c>
      <c r="S5902" t="s">
        <v>6099</v>
      </c>
      <c r="T5902">
        <v>1</v>
      </c>
      <c r="U5902" t="s">
        <v>6018</v>
      </c>
      <c r="V5902">
        <v>0</v>
      </c>
    </row>
    <row r="5903" spans="1:22" x14ac:dyDescent="0.3">
      <c r="A5903" t="s">
        <v>5918</v>
      </c>
      <c r="B5903" s="2">
        <v>46291.461111111108</v>
      </c>
      <c r="C5903" s="2">
        <v>46292.186111111114</v>
      </c>
      <c r="D5903" t="s">
        <v>6023</v>
      </c>
      <c r="E5903" t="s">
        <v>6032</v>
      </c>
      <c r="F5903" t="s">
        <v>6033</v>
      </c>
      <c r="G5903" t="s">
        <v>6066</v>
      </c>
      <c r="H5903" t="s">
        <v>6096</v>
      </c>
      <c r="I5903">
        <v>72</v>
      </c>
      <c r="J5903">
        <v>17.399999999999999</v>
      </c>
      <c r="K5903" t="s">
        <v>6099</v>
      </c>
      <c r="L5903" t="s">
        <v>6100</v>
      </c>
      <c r="M5903" t="s">
        <v>6100</v>
      </c>
      <c r="O5903" t="s">
        <v>6101</v>
      </c>
      <c r="P5903" t="s">
        <v>6115</v>
      </c>
      <c r="Q5903">
        <v>9</v>
      </c>
      <c r="R5903">
        <v>2026</v>
      </c>
      <c r="S5903" t="s">
        <v>6099</v>
      </c>
      <c r="T5903">
        <v>1</v>
      </c>
      <c r="U5903" t="s">
        <v>6021</v>
      </c>
      <c r="V5903">
        <v>1</v>
      </c>
    </row>
    <row r="5904" spans="1:22" x14ac:dyDescent="0.3">
      <c r="A5904" t="s">
        <v>5919</v>
      </c>
      <c r="B5904" s="2">
        <v>46291.509027777778</v>
      </c>
      <c r="C5904" s="2">
        <v>46292.100694444445</v>
      </c>
      <c r="D5904" t="s">
        <v>6025</v>
      </c>
      <c r="E5904" t="s">
        <v>6030</v>
      </c>
      <c r="F5904" t="s">
        <v>6034</v>
      </c>
      <c r="G5904" t="s">
        <v>6064</v>
      </c>
      <c r="H5904" t="s">
        <v>6096</v>
      </c>
      <c r="I5904">
        <v>24</v>
      </c>
      <c r="J5904">
        <v>14.2</v>
      </c>
      <c r="K5904" t="s">
        <v>6099</v>
      </c>
      <c r="L5904" t="s">
        <v>6100</v>
      </c>
      <c r="M5904" t="s">
        <v>6099</v>
      </c>
      <c r="N5904">
        <v>4</v>
      </c>
      <c r="O5904" t="s">
        <v>6101</v>
      </c>
      <c r="P5904" t="s">
        <v>6115</v>
      </c>
      <c r="Q5904">
        <v>9</v>
      </c>
      <c r="R5904">
        <v>2026</v>
      </c>
      <c r="S5904" t="s">
        <v>6099</v>
      </c>
      <c r="T5904">
        <v>1</v>
      </c>
      <c r="U5904" t="s">
        <v>6019</v>
      </c>
      <c r="V5904">
        <v>1</v>
      </c>
    </row>
    <row r="5905" spans="1:22" x14ac:dyDescent="0.3">
      <c r="A5905" t="s">
        <v>5920</v>
      </c>
      <c r="B5905" s="2">
        <v>46291.536805555559</v>
      </c>
      <c r="C5905" s="2">
        <v>46291.740972222222</v>
      </c>
      <c r="D5905" t="s">
        <v>6023</v>
      </c>
      <c r="E5905" t="s">
        <v>6029</v>
      </c>
      <c r="F5905" t="s">
        <v>6034</v>
      </c>
      <c r="G5905" t="s">
        <v>6059</v>
      </c>
      <c r="H5905" t="s">
        <v>6097</v>
      </c>
      <c r="I5905">
        <v>24</v>
      </c>
      <c r="J5905">
        <v>4.9000000000000004</v>
      </c>
      <c r="K5905" t="s">
        <v>6099</v>
      </c>
      <c r="L5905" t="s">
        <v>6100</v>
      </c>
      <c r="M5905" t="s">
        <v>6100</v>
      </c>
      <c r="O5905" t="s">
        <v>6101</v>
      </c>
      <c r="P5905" t="s">
        <v>6115</v>
      </c>
      <c r="Q5905">
        <v>9</v>
      </c>
      <c r="R5905">
        <v>2026</v>
      </c>
      <c r="S5905" t="s">
        <v>6099</v>
      </c>
      <c r="T5905">
        <v>1</v>
      </c>
      <c r="U5905" t="s">
        <v>6018</v>
      </c>
      <c r="V5905">
        <v>1</v>
      </c>
    </row>
    <row r="5906" spans="1:22" x14ac:dyDescent="0.3">
      <c r="A5906" t="s">
        <v>5921</v>
      </c>
      <c r="B5906" s="2">
        <v>46291.552777777775</v>
      </c>
      <c r="C5906" s="2">
        <v>46292.227777777778</v>
      </c>
      <c r="D5906" t="s">
        <v>6028</v>
      </c>
      <c r="E5906" t="s">
        <v>6029</v>
      </c>
      <c r="F5906" t="s">
        <v>6035</v>
      </c>
      <c r="G5906" t="s">
        <v>6089</v>
      </c>
      <c r="H5906" t="s">
        <v>6098</v>
      </c>
      <c r="I5906">
        <v>4</v>
      </c>
      <c r="J5906">
        <v>16.2</v>
      </c>
      <c r="K5906" t="s">
        <v>6100</v>
      </c>
      <c r="L5906" t="s">
        <v>6099</v>
      </c>
      <c r="M5906" t="s">
        <v>6100</v>
      </c>
      <c r="O5906" t="s">
        <v>6101</v>
      </c>
      <c r="P5906" t="s">
        <v>6115</v>
      </c>
      <c r="Q5906">
        <v>9</v>
      </c>
      <c r="R5906">
        <v>2026</v>
      </c>
      <c r="S5906" t="s">
        <v>6100</v>
      </c>
      <c r="T5906">
        <v>0</v>
      </c>
      <c r="U5906" t="s">
        <v>6021</v>
      </c>
      <c r="V5906">
        <v>0</v>
      </c>
    </row>
    <row r="5907" spans="1:22" x14ac:dyDescent="0.3">
      <c r="A5907" t="s">
        <v>5922</v>
      </c>
      <c r="B5907" s="2">
        <v>46291.554861111108</v>
      </c>
      <c r="C5907" s="2">
        <v>46291.950694444444</v>
      </c>
      <c r="D5907" t="s">
        <v>6028</v>
      </c>
      <c r="E5907" t="s">
        <v>6029</v>
      </c>
      <c r="F5907" t="s">
        <v>6034</v>
      </c>
      <c r="G5907" t="s">
        <v>6061</v>
      </c>
      <c r="H5907" t="s">
        <v>6096</v>
      </c>
      <c r="I5907">
        <v>24</v>
      </c>
      <c r="J5907">
        <v>9.5</v>
      </c>
      <c r="K5907" t="s">
        <v>6099</v>
      </c>
      <c r="L5907" t="s">
        <v>6100</v>
      </c>
      <c r="M5907" t="s">
        <v>6100</v>
      </c>
      <c r="O5907" t="s">
        <v>6101</v>
      </c>
      <c r="P5907" t="s">
        <v>6115</v>
      </c>
      <c r="Q5907">
        <v>9</v>
      </c>
      <c r="R5907">
        <v>2026</v>
      </c>
      <c r="S5907" t="s">
        <v>6099</v>
      </c>
      <c r="T5907">
        <v>1</v>
      </c>
      <c r="U5907" t="s">
        <v>6017</v>
      </c>
      <c r="V5907">
        <v>1</v>
      </c>
    </row>
    <row r="5908" spans="1:22" x14ac:dyDescent="0.3">
      <c r="A5908" t="s">
        <v>5923</v>
      </c>
      <c r="B5908" s="2">
        <v>46291.583333333336</v>
      </c>
      <c r="C5908" s="2">
        <v>46292.970833333333</v>
      </c>
      <c r="D5908" t="s">
        <v>6023</v>
      </c>
      <c r="E5908" t="s">
        <v>6032</v>
      </c>
      <c r="F5908" t="s">
        <v>6033</v>
      </c>
      <c r="G5908" t="s">
        <v>6070</v>
      </c>
      <c r="H5908" t="s">
        <v>6097</v>
      </c>
      <c r="I5908">
        <v>72</v>
      </c>
      <c r="J5908">
        <v>33.299999999999997</v>
      </c>
      <c r="K5908" t="s">
        <v>6099</v>
      </c>
      <c r="L5908" t="s">
        <v>6100</v>
      </c>
      <c r="M5908" t="s">
        <v>6100</v>
      </c>
      <c r="O5908" t="s">
        <v>6101</v>
      </c>
      <c r="P5908" t="s">
        <v>6115</v>
      </c>
      <c r="Q5908">
        <v>9</v>
      </c>
      <c r="R5908">
        <v>2026</v>
      </c>
      <c r="S5908" t="s">
        <v>6099</v>
      </c>
      <c r="T5908">
        <v>1</v>
      </c>
      <c r="U5908" t="s">
        <v>6021</v>
      </c>
      <c r="V5908">
        <v>1</v>
      </c>
    </row>
    <row r="5909" spans="1:22" x14ac:dyDescent="0.3">
      <c r="A5909" t="s">
        <v>5924</v>
      </c>
      <c r="B5909" s="2">
        <v>46291.660416666666</v>
      </c>
      <c r="C5909" s="2">
        <v>46294.07708333333</v>
      </c>
      <c r="D5909" t="s">
        <v>6026</v>
      </c>
      <c r="E5909" t="s">
        <v>6030</v>
      </c>
      <c r="F5909" t="s">
        <v>6033</v>
      </c>
      <c r="G5909" t="s">
        <v>6057</v>
      </c>
      <c r="H5909" t="s">
        <v>6097</v>
      </c>
      <c r="I5909">
        <v>72</v>
      </c>
      <c r="J5909">
        <v>58</v>
      </c>
      <c r="K5909" t="s">
        <v>6099</v>
      </c>
      <c r="L5909" t="s">
        <v>6100</v>
      </c>
      <c r="M5909" t="s">
        <v>6100</v>
      </c>
      <c r="O5909" t="s">
        <v>6101</v>
      </c>
      <c r="P5909" t="s">
        <v>6115</v>
      </c>
      <c r="Q5909">
        <v>9</v>
      </c>
      <c r="R5909">
        <v>2026</v>
      </c>
      <c r="S5909" t="s">
        <v>6099</v>
      </c>
      <c r="T5909">
        <v>1</v>
      </c>
      <c r="U5909" t="s">
        <v>6018</v>
      </c>
      <c r="V5909">
        <v>1</v>
      </c>
    </row>
    <row r="5910" spans="1:22" x14ac:dyDescent="0.3">
      <c r="A5910" t="s">
        <v>5925</v>
      </c>
      <c r="B5910" s="2">
        <v>46291.674305555556</v>
      </c>
      <c r="C5910" s="2">
        <v>46290.924305555556</v>
      </c>
      <c r="D5910" t="s">
        <v>6027</v>
      </c>
      <c r="E5910" t="s">
        <v>6029</v>
      </c>
      <c r="F5910" t="s">
        <v>6035</v>
      </c>
      <c r="G5910" t="s">
        <v>6070</v>
      </c>
      <c r="H5910" t="s">
        <v>6097</v>
      </c>
      <c r="I5910">
        <v>4</v>
      </c>
      <c r="J5910">
        <v>5.8</v>
      </c>
      <c r="K5910" t="s">
        <v>6100</v>
      </c>
      <c r="L5910" t="s">
        <v>6099</v>
      </c>
      <c r="M5910" t="s">
        <v>6100</v>
      </c>
      <c r="N5910">
        <v>4</v>
      </c>
      <c r="O5910" t="s">
        <v>6101</v>
      </c>
      <c r="P5910" t="s">
        <v>6115</v>
      </c>
      <c r="Q5910">
        <v>9</v>
      </c>
      <c r="R5910">
        <v>2026</v>
      </c>
      <c r="S5910" t="s">
        <v>6100</v>
      </c>
      <c r="T5910">
        <v>0</v>
      </c>
      <c r="U5910" t="s">
        <v>6020</v>
      </c>
      <c r="V5910">
        <v>0</v>
      </c>
    </row>
    <row r="5911" spans="1:22" x14ac:dyDescent="0.3">
      <c r="A5911" t="s">
        <v>5926</v>
      </c>
      <c r="B5911" s="2">
        <v>46291.690972222219</v>
      </c>
      <c r="C5911" s="2">
        <v>46292.682638888888</v>
      </c>
      <c r="D5911" t="s">
        <v>6024</v>
      </c>
      <c r="E5911" t="s">
        <v>6031</v>
      </c>
      <c r="F5911" t="s">
        <v>6034</v>
      </c>
      <c r="G5911" t="s">
        <v>6052</v>
      </c>
      <c r="H5911" t="s">
        <v>6098</v>
      </c>
      <c r="I5911">
        <v>24</v>
      </c>
      <c r="J5911">
        <v>23.8</v>
      </c>
      <c r="K5911" t="s">
        <v>6099</v>
      </c>
      <c r="L5911" t="s">
        <v>6100</v>
      </c>
      <c r="M5911" t="s">
        <v>6100</v>
      </c>
      <c r="O5911" t="s">
        <v>6101</v>
      </c>
      <c r="P5911" t="s">
        <v>6115</v>
      </c>
      <c r="Q5911">
        <v>9</v>
      </c>
      <c r="R5911">
        <v>2026</v>
      </c>
      <c r="S5911" t="s">
        <v>6099</v>
      </c>
      <c r="T5911">
        <v>1</v>
      </c>
      <c r="U5911" t="s">
        <v>6019</v>
      </c>
      <c r="V5911">
        <v>1</v>
      </c>
    </row>
    <row r="5912" spans="1:22" x14ac:dyDescent="0.3">
      <c r="A5912" t="s">
        <v>5927</v>
      </c>
      <c r="B5912" s="2">
        <v>46291.710416666669</v>
      </c>
      <c r="C5912" s="2"/>
      <c r="D5912" t="s">
        <v>6022</v>
      </c>
      <c r="E5912" t="s">
        <v>6032</v>
      </c>
      <c r="F5912" t="s">
        <v>6033</v>
      </c>
      <c r="G5912" t="s">
        <v>6080</v>
      </c>
      <c r="H5912" t="s">
        <v>6096</v>
      </c>
      <c r="I5912">
        <v>72</v>
      </c>
      <c r="K5912" t="s">
        <v>6099</v>
      </c>
      <c r="L5912" t="s">
        <v>6100</v>
      </c>
      <c r="M5912" t="s">
        <v>6100</v>
      </c>
      <c r="O5912" t="s">
        <v>6102</v>
      </c>
      <c r="P5912" t="s">
        <v>6115</v>
      </c>
      <c r="Q5912">
        <v>9</v>
      </c>
      <c r="R5912">
        <v>2026</v>
      </c>
      <c r="U5912" t="s">
        <v>6017</v>
      </c>
      <c r="V5912">
        <v>1</v>
      </c>
    </row>
    <row r="5913" spans="1:22" x14ac:dyDescent="0.3">
      <c r="A5913" t="s">
        <v>5928</v>
      </c>
      <c r="B5913" s="2">
        <v>46291.78125</v>
      </c>
      <c r="C5913" s="2">
        <v>46292.67291666667</v>
      </c>
      <c r="D5913" t="s">
        <v>6028</v>
      </c>
      <c r="E5913" t="s">
        <v>6029</v>
      </c>
      <c r="F5913" t="s">
        <v>6034</v>
      </c>
      <c r="G5913" t="s">
        <v>6048</v>
      </c>
      <c r="H5913" t="s">
        <v>6096</v>
      </c>
      <c r="I5913">
        <v>24</v>
      </c>
      <c r="J5913">
        <v>21.4</v>
      </c>
      <c r="K5913" t="s">
        <v>6100</v>
      </c>
      <c r="L5913" t="s">
        <v>6099</v>
      </c>
      <c r="M5913" t="s">
        <v>6100</v>
      </c>
      <c r="O5913" t="s">
        <v>6101</v>
      </c>
      <c r="P5913" t="s">
        <v>6115</v>
      </c>
      <c r="Q5913">
        <v>9</v>
      </c>
      <c r="R5913">
        <v>2026</v>
      </c>
      <c r="S5913" t="s">
        <v>6099</v>
      </c>
      <c r="T5913">
        <v>1</v>
      </c>
      <c r="U5913" t="s">
        <v>6020</v>
      </c>
      <c r="V5913">
        <v>0</v>
      </c>
    </row>
    <row r="5914" spans="1:22" x14ac:dyDescent="0.3">
      <c r="A5914" t="s">
        <v>5929</v>
      </c>
      <c r="B5914" s="2">
        <v>46292.276388888888</v>
      </c>
      <c r="C5914" s="2"/>
      <c r="D5914" t="s">
        <v>6026</v>
      </c>
      <c r="E5914" t="s">
        <v>6032</v>
      </c>
      <c r="F5914" t="s">
        <v>6035</v>
      </c>
      <c r="G5914" t="s">
        <v>6073</v>
      </c>
      <c r="H5914" t="s">
        <v>6096</v>
      </c>
      <c r="I5914">
        <v>4</v>
      </c>
      <c r="K5914" t="s">
        <v>6099</v>
      </c>
      <c r="L5914" t="s">
        <v>6100</v>
      </c>
      <c r="M5914" t="s">
        <v>6099</v>
      </c>
      <c r="N5914">
        <v>3</v>
      </c>
      <c r="O5914" t="s">
        <v>6102</v>
      </c>
      <c r="P5914" t="s">
        <v>6115</v>
      </c>
      <c r="Q5914">
        <v>9</v>
      </c>
      <c r="R5914">
        <v>2026</v>
      </c>
      <c r="U5914" t="s">
        <v>6019</v>
      </c>
      <c r="V5914">
        <v>1</v>
      </c>
    </row>
    <row r="5915" spans="1:22" x14ac:dyDescent="0.3">
      <c r="A5915" t="s">
        <v>5930</v>
      </c>
      <c r="B5915" s="2">
        <v>46292.375694444447</v>
      </c>
      <c r="C5915" s="2">
        <v>46292.554861111108</v>
      </c>
      <c r="D5915" t="s">
        <v>6028</v>
      </c>
      <c r="E5915" t="s">
        <v>6030</v>
      </c>
      <c r="F5915" t="s">
        <v>6035</v>
      </c>
      <c r="G5915" t="s">
        <v>6045</v>
      </c>
      <c r="H5915" t="s">
        <v>6096</v>
      </c>
      <c r="I5915">
        <v>4</v>
      </c>
      <c r="J5915">
        <v>4.3</v>
      </c>
      <c r="K5915" t="s">
        <v>6100</v>
      </c>
      <c r="L5915" t="s">
        <v>6100</v>
      </c>
      <c r="M5915" t="s">
        <v>6099</v>
      </c>
      <c r="N5915">
        <v>4</v>
      </c>
      <c r="O5915" t="s">
        <v>6101</v>
      </c>
      <c r="P5915" t="s">
        <v>6115</v>
      </c>
      <c r="Q5915">
        <v>9</v>
      </c>
      <c r="R5915">
        <v>2026</v>
      </c>
      <c r="S5915" t="s">
        <v>6100</v>
      </c>
      <c r="T5915">
        <v>0</v>
      </c>
      <c r="U5915" t="s">
        <v>6019</v>
      </c>
      <c r="V5915">
        <v>0</v>
      </c>
    </row>
    <row r="5916" spans="1:22" x14ac:dyDescent="0.3">
      <c r="A5916" t="s">
        <v>5931</v>
      </c>
      <c r="B5916" s="2">
        <v>46292.385416666664</v>
      </c>
      <c r="C5916" s="2">
        <v>46294.310416666667</v>
      </c>
      <c r="D5916" t="s">
        <v>6022</v>
      </c>
      <c r="E5916" t="s">
        <v>6032</v>
      </c>
      <c r="F5916" t="s">
        <v>6035</v>
      </c>
      <c r="G5916" t="s">
        <v>6044</v>
      </c>
      <c r="H5916" t="s">
        <v>6097</v>
      </c>
      <c r="I5916">
        <v>4</v>
      </c>
      <c r="J5916">
        <v>46.2</v>
      </c>
      <c r="K5916" t="s">
        <v>6100</v>
      </c>
      <c r="L5916" t="s">
        <v>6100</v>
      </c>
      <c r="M5916" t="s">
        <v>6100</v>
      </c>
      <c r="N5916">
        <v>4</v>
      </c>
      <c r="O5916" t="s">
        <v>6101</v>
      </c>
      <c r="P5916" t="s">
        <v>6115</v>
      </c>
      <c r="Q5916">
        <v>9</v>
      </c>
      <c r="R5916">
        <v>2026</v>
      </c>
      <c r="S5916" t="s">
        <v>6100</v>
      </c>
      <c r="T5916">
        <v>0</v>
      </c>
      <c r="U5916" t="s">
        <v>6019</v>
      </c>
      <c r="V5916">
        <v>0</v>
      </c>
    </row>
    <row r="5917" spans="1:22" x14ac:dyDescent="0.3">
      <c r="A5917" t="s">
        <v>5932</v>
      </c>
      <c r="B5917" s="2">
        <v>46292.431944444441</v>
      </c>
      <c r="C5917" s="2">
        <v>46294.594444444447</v>
      </c>
      <c r="D5917" t="s">
        <v>6026</v>
      </c>
      <c r="E5917" t="s">
        <v>6031</v>
      </c>
      <c r="F5917" t="s">
        <v>6034</v>
      </c>
      <c r="G5917" t="s">
        <v>6077</v>
      </c>
      <c r="H5917" t="s">
        <v>6098</v>
      </c>
      <c r="I5917">
        <v>24</v>
      </c>
      <c r="J5917">
        <v>51.9</v>
      </c>
      <c r="K5917" t="s">
        <v>6099</v>
      </c>
      <c r="L5917" t="s">
        <v>6100</v>
      </c>
      <c r="M5917" t="s">
        <v>6100</v>
      </c>
      <c r="N5917">
        <v>3</v>
      </c>
      <c r="O5917" t="s">
        <v>6101</v>
      </c>
      <c r="P5917" t="s">
        <v>6115</v>
      </c>
      <c r="Q5917">
        <v>9</v>
      </c>
      <c r="R5917">
        <v>2026</v>
      </c>
      <c r="S5917" t="s">
        <v>6100</v>
      </c>
      <c r="T5917">
        <v>0</v>
      </c>
      <c r="U5917" t="s">
        <v>6019</v>
      </c>
      <c r="V5917">
        <v>1</v>
      </c>
    </row>
    <row r="5918" spans="1:22" x14ac:dyDescent="0.3">
      <c r="A5918" t="s">
        <v>5933</v>
      </c>
      <c r="B5918" s="2">
        <v>46292.461111111108</v>
      </c>
      <c r="C5918" s="2">
        <v>46292.681944444441</v>
      </c>
      <c r="D5918" t="s">
        <v>6027</v>
      </c>
      <c r="E5918" t="s">
        <v>6029</v>
      </c>
      <c r="F5918" t="s">
        <v>6033</v>
      </c>
      <c r="G5918" t="s">
        <v>6094</v>
      </c>
      <c r="H5918" t="s">
        <v>6098</v>
      </c>
      <c r="I5918">
        <v>72</v>
      </c>
      <c r="J5918">
        <v>5.3</v>
      </c>
      <c r="K5918" t="s">
        <v>6099</v>
      </c>
      <c r="L5918" t="s">
        <v>6100</v>
      </c>
      <c r="M5918" t="s">
        <v>6100</v>
      </c>
      <c r="O5918" t="s">
        <v>6101</v>
      </c>
      <c r="P5918" t="s">
        <v>6115</v>
      </c>
      <c r="Q5918">
        <v>9</v>
      </c>
      <c r="R5918">
        <v>2026</v>
      </c>
      <c r="S5918" t="s">
        <v>6099</v>
      </c>
      <c r="T5918">
        <v>1</v>
      </c>
      <c r="U5918" t="s">
        <v>6017</v>
      </c>
      <c r="V5918">
        <v>1</v>
      </c>
    </row>
    <row r="5919" spans="1:22" x14ac:dyDescent="0.3">
      <c r="A5919" t="s">
        <v>5934</v>
      </c>
      <c r="B5919" s="2">
        <v>46292.53125</v>
      </c>
      <c r="C5919" s="2">
        <v>46293.081250000003</v>
      </c>
      <c r="D5919" t="s">
        <v>6027</v>
      </c>
      <c r="E5919" t="s">
        <v>6032</v>
      </c>
      <c r="F5919" t="s">
        <v>6034</v>
      </c>
      <c r="G5919" t="s">
        <v>6059</v>
      </c>
      <c r="H5919" t="s">
        <v>6097</v>
      </c>
      <c r="I5919">
        <v>24</v>
      </c>
      <c r="J5919">
        <v>13.2</v>
      </c>
      <c r="K5919" t="s">
        <v>6099</v>
      </c>
      <c r="L5919" t="s">
        <v>6100</v>
      </c>
      <c r="M5919" t="s">
        <v>6100</v>
      </c>
      <c r="N5919">
        <v>4</v>
      </c>
      <c r="O5919" t="s">
        <v>6101</v>
      </c>
      <c r="P5919" t="s">
        <v>6115</v>
      </c>
      <c r="Q5919">
        <v>9</v>
      </c>
      <c r="R5919">
        <v>2026</v>
      </c>
      <c r="S5919" t="s">
        <v>6099</v>
      </c>
      <c r="T5919">
        <v>1</v>
      </c>
      <c r="U5919" t="s">
        <v>6021</v>
      </c>
      <c r="V5919">
        <v>1</v>
      </c>
    </row>
    <row r="5920" spans="1:22" x14ac:dyDescent="0.3">
      <c r="A5920" t="s">
        <v>5935</v>
      </c>
      <c r="B5920" s="2">
        <v>46292.541666666664</v>
      </c>
      <c r="C5920" s="2">
        <v>46293.433333333334</v>
      </c>
      <c r="D5920" t="s">
        <v>6022</v>
      </c>
      <c r="E5920" t="s">
        <v>6032</v>
      </c>
      <c r="F5920" t="s">
        <v>6034</v>
      </c>
      <c r="G5920" t="s">
        <v>6082</v>
      </c>
      <c r="H5920" t="s">
        <v>6097</v>
      </c>
      <c r="I5920">
        <v>24</v>
      </c>
      <c r="J5920">
        <v>21.4</v>
      </c>
      <c r="K5920" t="s">
        <v>6099</v>
      </c>
      <c r="L5920" t="s">
        <v>6100</v>
      </c>
      <c r="M5920" t="s">
        <v>6100</v>
      </c>
      <c r="O5920" t="s">
        <v>6101</v>
      </c>
      <c r="P5920" t="s">
        <v>6115</v>
      </c>
      <c r="Q5920">
        <v>9</v>
      </c>
      <c r="R5920">
        <v>2026</v>
      </c>
      <c r="S5920" t="s">
        <v>6099</v>
      </c>
      <c r="T5920">
        <v>1</v>
      </c>
      <c r="U5920" t="s">
        <v>6021</v>
      </c>
      <c r="V5920">
        <v>1</v>
      </c>
    </row>
    <row r="5921" spans="1:22" x14ac:dyDescent="0.3">
      <c r="A5921" t="s">
        <v>5936</v>
      </c>
      <c r="B5921" s="2">
        <v>46292.574305555558</v>
      </c>
      <c r="C5921" s="2">
        <v>46292.911805555559</v>
      </c>
      <c r="D5921" t="s">
        <v>6022</v>
      </c>
      <c r="E5921" t="s">
        <v>6030</v>
      </c>
      <c r="F5921" t="s">
        <v>6034</v>
      </c>
      <c r="G5921" t="s">
        <v>6052</v>
      </c>
      <c r="H5921" t="s">
        <v>6098</v>
      </c>
      <c r="I5921">
        <v>24</v>
      </c>
      <c r="J5921">
        <v>8.1</v>
      </c>
      <c r="K5921" t="s">
        <v>6099</v>
      </c>
      <c r="L5921" t="s">
        <v>6100</v>
      </c>
      <c r="M5921" t="s">
        <v>6100</v>
      </c>
      <c r="N5921">
        <v>5</v>
      </c>
      <c r="O5921" t="s">
        <v>6101</v>
      </c>
      <c r="P5921" t="s">
        <v>6115</v>
      </c>
      <c r="Q5921">
        <v>9</v>
      </c>
      <c r="R5921">
        <v>2026</v>
      </c>
      <c r="S5921" t="s">
        <v>6099</v>
      </c>
      <c r="T5921">
        <v>1</v>
      </c>
      <c r="U5921" t="s">
        <v>6018</v>
      </c>
      <c r="V5921">
        <v>1</v>
      </c>
    </row>
    <row r="5922" spans="1:22" x14ac:dyDescent="0.3">
      <c r="A5922" t="s">
        <v>5937</v>
      </c>
      <c r="B5922" s="2">
        <v>46292.582638888889</v>
      </c>
      <c r="C5922" s="2">
        <v>46293.874305555553</v>
      </c>
      <c r="D5922" t="s">
        <v>6023</v>
      </c>
      <c r="E5922" t="s">
        <v>6032</v>
      </c>
      <c r="F5922" t="s">
        <v>6034</v>
      </c>
      <c r="G5922" t="s">
        <v>6038</v>
      </c>
      <c r="H5922" t="s">
        <v>6096</v>
      </c>
      <c r="I5922">
        <v>24</v>
      </c>
      <c r="J5922">
        <v>31</v>
      </c>
      <c r="K5922" t="s">
        <v>6100</v>
      </c>
      <c r="L5922" t="s">
        <v>6100</v>
      </c>
      <c r="M5922" t="s">
        <v>6100</v>
      </c>
      <c r="O5922" t="s">
        <v>6101</v>
      </c>
      <c r="P5922" t="s">
        <v>6115</v>
      </c>
      <c r="Q5922">
        <v>9</v>
      </c>
      <c r="R5922">
        <v>2026</v>
      </c>
      <c r="S5922" t="s">
        <v>6100</v>
      </c>
      <c r="T5922">
        <v>0</v>
      </c>
      <c r="U5922" t="s">
        <v>6018</v>
      </c>
      <c r="V5922">
        <v>0</v>
      </c>
    </row>
    <row r="5923" spans="1:22" x14ac:dyDescent="0.3">
      <c r="A5923" t="s">
        <v>5938</v>
      </c>
      <c r="B5923" s="2">
        <v>46292.601388888892</v>
      </c>
      <c r="C5923" s="2">
        <v>46293.297222222223</v>
      </c>
      <c r="D5923" t="s">
        <v>6023</v>
      </c>
      <c r="E5923" t="s">
        <v>6029</v>
      </c>
      <c r="F5923" t="s">
        <v>6034</v>
      </c>
      <c r="G5923" t="s">
        <v>6091</v>
      </c>
      <c r="H5923" t="s">
        <v>6097</v>
      </c>
      <c r="I5923">
        <v>24</v>
      </c>
      <c r="J5923">
        <v>16.7</v>
      </c>
      <c r="K5923" t="s">
        <v>6099</v>
      </c>
      <c r="L5923" t="s">
        <v>6100</v>
      </c>
      <c r="M5923" t="s">
        <v>6100</v>
      </c>
      <c r="O5923" t="s">
        <v>6101</v>
      </c>
      <c r="P5923" t="s">
        <v>6115</v>
      </c>
      <c r="Q5923">
        <v>9</v>
      </c>
      <c r="R5923">
        <v>2026</v>
      </c>
      <c r="S5923" t="s">
        <v>6099</v>
      </c>
      <c r="T5923">
        <v>1</v>
      </c>
      <c r="U5923" t="s">
        <v>6018</v>
      </c>
      <c r="V5923">
        <v>1</v>
      </c>
    </row>
    <row r="5924" spans="1:22" x14ac:dyDescent="0.3">
      <c r="A5924" t="s">
        <v>5939</v>
      </c>
      <c r="B5924" s="2">
        <v>46292.61041666667</v>
      </c>
      <c r="C5924" s="2">
        <v>46294.002083333333</v>
      </c>
      <c r="D5924" t="s">
        <v>6026</v>
      </c>
      <c r="E5924" t="s">
        <v>6029</v>
      </c>
      <c r="F5924" t="s">
        <v>6034</v>
      </c>
      <c r="G5924" t="s">
        <v>6089</v>
      </c>
      <c r="H5924" t="s">
        <v>6098</v>
      </c>
      <c r="I5924">
        <v>24</v>
      </c>
      <c r="J5924">
        <v>33.4</v>
      </c>
      <c r="K5924" t="s">
        <v>6099</v>
      </c>
      <c r="L5924" t="s">
        <v>6100</v>
      </c>
      <c r="M5924" t="s">
        <v>6100</v>
      </c>
      <c r="N5924">
        <v>3</v>
      </c>
      <c r="O5924" t="s">
        <v>6101</v>
      </c>
      <c r="P5924" t="s">
        <v>6115</v>
      </c>
      <c r="Q5924">
        <v>9</v>
      </c>
      <c r="R5924">
        <v>2026</v>
      </c>
      <c r="S5924" t="s">
        <v>6100</v>
      </c>
      <c r="T5924">
        <v>0</v>
      </c>
      <c r="U5924" t="s">
        <v>6018</v>
      </c>
      <c r="V5924">
        <v>1</v>
      </c>
    </row>
    <row r="5925" spans="1:22" x14ac:dyDescent="0.3">
      <c r="A5925" t="s">
        <v>5940</v>
      </c>
      <c r="B5925" s="2">
        <v>46292.620833333334</v>
      </c>
      <c r="C5925" s="2">
        <v>46292.8125</v>
      </c>
      <c r="D5925" t="s">
        <v>6023</v>
      </c>
      <c r="E5925" t="s">
        <v>6030</v>
      </c>
      <c r="F5925" t="s">
        <v>6033</v>
      </c>
      <c r="G5925" t="s">
        <v>6069</v>
      </c>
      <c r="H5925" t="s">
        <v>6098</v>
      </c>
      <c r="I5925">
        <v>72</v>
      </c>
      <c r="J5925">
        <v>4.5999999999999996</v>
      </c>
      <c r="K5925" t="s">
        <v>6099</v>
      </c>
      <c r="L5925" t="s">
        <v>6100</v>
      </c>
      <c r="M5925" t="s">
        <v>6100</v>
      </c>
      <c r="O5925" t="s">
        <v>6101</v>
      </c>
      <c r="P5925" t="s">
        <v>6115</v>
      </c>
      <c r="Q5925">
        <v>9</v>
      </c>
      <c r="R5925">
        <v>2026</v>
      </c>
      <c r="S5925" t="s">
        <v>6099</v>
      </c>
      <c r="T5925">
        <v>1</v>
      </c>
      <c r="U5925" t="s">
        <v>6018</v>
      </c>
      <c r="V5925">
        <v>1</v>
      </c>
    </row>
    <row r="5926" spans="1:22" x14ac:dyDescent="0.3">
      <c r="A5926" t="s">
        <v>5941</v>
      </c>
      <c r="B5926" s="2">
        <v>46292.638888888891</v>
      </c>
      <c r="C5926" s="2">
        <v>46292.826388888891</v>
      </c>
      <c r="D5926" t="s">
        <v>6023</v>
      </c>
      <c r="E5926" t="s">
        <v>6030</v>
      </c>
      <c r="F5926" t="s">
        <v>6034</v>
      </c>
      <c r="G5926" t="s">
        <v>6051</v>
      </c>
      <c r="H5926" t="s">
        <v>6097</v>
      </c>
      <c r="I5926">
        <v>24</v>
      </c>
      <c r="J5926">
        <v>4.5</v>
      </c>
      <c r="K5926" t="s">
        <v>6099</v>
      </c>
      <c r="L5926" t="s">
        <v>6100</v>
      </c>
      <c r="M5926" t="s">
        <v>6100</v>
      </c>
      <c r="N5926">
        <v>5</v>
      </c>
      <c r="O5926" t="s">
        <v>6101</v>
      </c>
      <c r="P5926" t="s">
        <v>6115</v>
      </c>
      <c r="Q5926">
        <v>9</v>
      </c>
      <c r="R5926">
        <v>2026</v>
      </c>
      <c r="S5926" t="s">
        <v>6099</v>
      </c>
      <c r="T5926">
        <v>1</v>
      </c>
      <c r="U5926" t="s">
        <v>6019</v>
      </c>
      <c r="V5926">
        <v>1</v>
      </c>
    </row>
    <row r="5927" spans="1:22" x14ac:dyDescent="0.3">
      <c r="A5927" t="s">
        <v>5942</v>
      </c>
      <c r="B5927" s="2">
        <v>46292.690972222219</v>
      </c>
      <c r="C5927" s="2">
        <v>46292.936805555553</v>
      </c>
      <c r="D5927" t="s">
        <v>6022</v>
      </c>
      <c r="E5927" t="s">
        <v>6029</v>
      </c>
      <c r="F5927" t="s">
        <v>6034</v>
      </c>
      <c r="G5927" t="s">
        <v>6074</v>
      </c>
      <c r="H5927" t="s">
        <v>6098</v>
      </c>
      <c r="I5927">
        <v>24</v>
      </c>
      <c r="J5927">
        <v>5.9</v>
      </c>
      <c r="K5927" t="s">
        <v>6100</v>
      </c>
      <c r="L5927" t="s">
        <v>6099</v>
      </c>
      <c r="M5927" t="s">
        <v>6100</v>
      </c>
      <c r="N5927">
        <v>5</v>
      </c>
      <c r="O5927" t="s">
        <v>6101</v>
      </c>
      <c r="P5927" t="s">
        <v>6115</v>
      </c>
      <c r="Q5927">
        <v>9</v>
      </c>
      <c r="R5927">
        <v>2026</v>
      </c>
      <c r="S5927" t="s">
        <v>6099</v>
      </c>
      <c r="T5927">
        <v>1</v>
      </c>
      <c r="U5927" t="s">
        <v>6018</v>
      </c>
      <c r="V5927">
        <v>0</v>
      </c>
    </row>
    <row r="5928" spans="1:22" x14ac:dyDescent="0.3">
      <c r="A5928" t="s">
        <v>5943</v>
      </c>
      <c r="B5928" s="2">
        <v>46292.77847222222</v>
      </c>
      <c r="C5928" s="2">
        <v>46295.007638888892</v>
      </c>
      <c r="D5928" t="s">
        <v>6024</v>
      </c>
      <c r="E5928" t="s">
        <v>6031</v>
      </c>
      <c r="F5928" t="s">
        <v>6035</v>
      </c>
      <c r="G5928" t="s">
        <v>6037</v>
      </c>
      <c r="H5928" t="s">
        <v>6096</v>
      </c>
      <c r="I5928">
        <v>4</v>
      </c>
      <c r="J5928">
        <v>53.5</v>
      </c>
      <c r="K5928" t="s">
        <v>6100</v>
      </c>
      <c r="L5928" t="s">
        <v>6100</v>
      </c>
      <c r="M5928" t="s">
        <v>6100</v>
      </c>
      <c r="N5928">
        <v>3</v>
      </c>
      <c r="O5928" t="s">
        <v>6101</v>
      </c>
      <c r="P5928" t="s">
        <v>6115</v>
      </c>
      <c r="Q5928">
        <v>9</v>
      </c>
      <c r="R5928">
        <v>2026</v>
      </c>
      <c r="S5928" t="s">
        <v>6100</v>
      </c>
      <c r="T5928">
        <v>0</v>
      </c>
      <c r="U5928" t="s">
        <v>6020</v>
      </c>
      <c r="V5928">
        <v>0</v>
      </c>
    </row>
    <row r="5929" spans="1:22" x14ac:dyDescent="0.3">
      <c r="A5929" t="s">
        <v>5944</v>
      </c>
      <c r="B5929" s="2">
        <v>46292.910416666666</v>
      </c>
      <c r="C5929" s="2">
        <v>46293.518750000003</v>
      </c>
      <c r="D5929" t="s">
        <v>6028</v>
      </c>
      <c r="E5929" t="s">
        <v>6031</v>
      </c>
      <c r="F5929" t="s">
        <v>6035</v>
      </c>
      <c r="G5929" t="s">
        <v>6048</v>
      </c>
      <c r="H5929" t="s">
        <v>6096</v>
      </c>
      <c r="I5929">
        <v>4</v>
      </c>
      <c r="J5929">
        <v>14.6</v>
      </c>
      <c r="K5929" t="s">
        <v>6099</v>
      </c>
      <c r="L5929" t="s">
        <v>6100</v>
      </c>
      <c r="M5929" t="s">
        <v>6099</v>
      </c>
      <c r="N5929">
        <v>4</v>
      </c>
      <c r="O5929" t="s">
        <v>6101</v>
      </c>
      <c r="P5929" t="s">
        <v>6115</v>
      </c>
      <c r="Q5929">
        <v>9</v>
      </c>
      <c r="R5929">
        <v>2026</v>
      </c>
      <c r="S5929" t="s">
        <v>6100</v>
      </c>
      <c r="T5929">
        <v>0</v>
      </c>
      <c r="U5929" t="s">
        <v>6018</v>
      </c>
      <c r="V5929">
        <v>1</v>
      </c>
    </row>
    <row r="5930" spans="1:22" x14ac:dyDescent="0.3">
      <c r="A5930" t="s">
        <v>5945</v>
      </c>
      <c r="B5930" s="2">
        <v>46292.947916666664</v>
      </c>
      <c r="C5930" s="2">
        <v>46293.70208333333</v>
      </c>
      <c r="D5930" t="s">
        <v>6022</v>
      </c>
      <c r="E5930" t="s">
        <v>6030</v>
      </c>
      <c r="F5930" t="s">
        <v>6034</v>
      </c>
      <c r="G5930" t="s">
        <v>6082</v>
      </c>
      <c r="H5930" t="s">
        <v>6097</v>
      </c>
      <c r="I5930">
        <v>24</v>
      </c>
      <c r="J5930">
        <v>18.100000000000001</v>
      </c>
      <c r="K5930" t="s">
        <v>6100</v>
      </c>
      <c r="L5930" t="s">
        <v>6099</v>
      </c>
      <c r="M5930" t="s">
        <v>6100</v>
      </c>
      <c r="N5930">
        <v>3</v>
      </c>
      <c r="O5930" t="s">
        <v>6101</v>
      </c>
      <c r="P5930" t="s">
        <v>6115</v>
      </c>
      <c r="Q5930">
        <v>9</v>
      </c>
      <c r="R5930">
        <v>2026</v>
      </c>
      <c r="S5930" t="s">
        <v>6099</v>
      </c>
      <c r="T5930">
        <v>1</v>
      </c>
      <c r="U5930" t="s">
        <v>6019</v>
      </c>
      <c r="V5930">
        <v>0</v>
      </c>
    </row>
    <row r="5931" spans="1:22" x14ac:dyDescent="0.3">
      <c r="A5931" t="s">
        <v>5946</v>
      </c>
      <c r="B5931" s="2">
        <v>46292.972916666666</v>
      </c>
      <c r="C5931" s="2">
        <v>46293.289583333331</v>
      </c>
      <c r="D5931" t="s">
        <v>6022</v>
      </c>
      <c r="E5931" t="s">
        <v>6029</v>
      </c>
      <c r="F5931" t="s">
        <v>6034</v>
      </c>
      <c r="G5931" t="s">
        <v>6044</v>
      </c>
      <c r="H5931" t="s">
        <v>6097</v>
      </c>
      <c r="I5931">
        <v>24</v>
      </c>
      <c r="J5931">
        <v>7.6</v>
      </c>
      <c r="K5931" t="s">
        <v>6099</v>
      </c>
      <c r="L5931" t="s">
        <v>6100</v>
      </c>
      <c r="M5931" t="s">
        <v>6100</v>
      </c>
      <c r="N5931">
        <v>4</v>
      </c>
      <c r="O5931" t="s">
        <v>6101</v>
      </c>
      <c r="P5931" t="s">
        <v>6115</v>
      </c>
      <c r="Q5931">
        <v>9</v>
      </c>
      <c r="R5931">
        <v>2026</v>
      </c>
      <c r="S5931" t="s">
        <v>6099</v>
      </c>
      <c r="T5931">
        <v>1</v>
      </c>
      <c r="U5931" t="s">
        <v>6017</v>
      </c>
      <c r="V5931">
        <v>1</v>
      </c>
    </row>
    <row r="5932" spans="1:22" x14ac:dyDescent="0.3">
      <c r="A5932" t="s">
        <v>5947</v>
      </c>
      <c r="B5932" s="2">
        <v>46293.054166666669</v>
      </c>
      <c r="C5932" s="2">
        <v>46295.458333333336</v>
      </c>
      <c r="D5932" t="s">
        <v>6026</v>
      </c>
      <c r="E5932" t="s">
        <v>6031</v>
      </c>
      <c r="F5932" t="s">
        <v>6033</v>
      </c>
      <c r="G5932" t="s">
        <v>6079</v>
      </c>
      <c r="H5932" t="s">
        <v>6097</v>
      </c>
      <c r="I5932">
        <v>72</v>
      </c>
      <c r="J5932">
        <v>57.7</v>
      </c>
      <c r="K5932" t="s">
        <v>6099</v>
      </c>
      <c r="L5932" t="s">
        <v>6100</v>
      </c>
      <c r="M5932" t="s">
        <v>6100</v>
      </c>
      <c r="O5932" t="s">
        <v>6101</v>
      </c>
      <c r="P5932" t="s">
        <v>6115</v>
      </c>
      <c r="Q5932">
        <v>9</v>
      </c>
      <c r="R5932">
        <v>2026</v>
      </c>
      <c r="S5932" t="s">
        <v>6099</v>
      </c>
      <c r="T5932">
        <v>1</v>
      </c>
      <c r="U5932" t="s">
        <v>6018</v>
      </c>
      <c r="V5932">
        <v>1</v>
      </c>
    </row>
    <row r="5933" spans="1:22" x14ac:dyDescent="0.3">
      <c r="A5933" t="s">
        <v>5948</v>
      </c>
      <c r="B5933" s="2">
        <v>46293.193055555559</v>
      </c>
      <c r="C5933" s="2">
        <v>46293.463888888888</v>
      </c>
      <c r="D5933" t="s">
        <v>6025</v>
      </c>
      <c r="E5933" t="s">
        <v>6029</v>
      </c>
      <c r="F5933" t="s">
        <v>6034</v>
      </c>
      <c r="G5933" t="s">
        <v>6065</v>
      </c>
      <c r="H5933" t="s">
        <v>6097</v>
      </c>
      <c r="I5933">
        <v>24</v>
      </c>
      <c r="J5933">
        <v>6.5</v>
      </c>
      <c r="K5933" t="s">
        <v>6099</v>
      </c>
      <c r="L5933" t="s">
        <v>6100</v>
      </c>
      <c r="M5933" t="s">
        <v>6100</v>
      </c>
      <c r="N5933">
        <v>4</v>
      </c>
      <c r="O5933" t="s">
        <v>6101</v>
      </c>
      <c r="P5933" t="s">
        <v>6115</v>
      </c>
      <c r="Q5933">
        <v>9</v>
      </c>
      <c r="R5933">
        <v>2026</v>
      </c>
      <c r="S5933" t="s">
        <v>6099</v>
      </c>
      <c r="T5933">
        <v>1</v>
      </c>
      <c r="U5933" t="s">
        <v>6019</v>
      </c>
      <c r="V5933">
        <v>1</v>
      </c>
    </row>
    <row r="5934" spans="1:22" x14ac:dyDescent="0.3">
      <c r="A5934" t="s">
        <v>5949</v>
      </c>
      <c r="B5934" s="2">
        <v>46293.251388888886</v>
      </c>
      <c r="C5934" s="2">
        <v>46293.43472222222</v>
      </c>
      <c r="D5934" t="s">
        <v>6027</v>
      </c>
      <c r="E5934" t="s">
        <v>6029</v>
      </c>
      <c r="F5934" t="s">
        <v>6034</v>
      </c>
      <c r="G5934" t="s">
        <v>6082</v>
      </c>
      <c r="H5934" t="s">
        <v>6097</v>
      </c>
      <c r="I5934">
        <v>24</v>
      </c>
      <c r="J5934">
        <v>4.4000000000000004</v>
      </c>
      <c r="K5934" t="s">
        <v>6099</v>
      </c>
      <c r="L5934" t="s">
        <v>6100</v>
      </c>
      <c r="M5934" t="s">
        <v>6100</v>
      </c>
      <c r="O5934" t="s">
        <v>6101</v>
      </c>
      <c r="P5934" t="s">
        <v>6115</v>
      </c>
      <c r="Q5934">
        <v>9</v>
      </c>
      <c r="R5934">
        <v>2026</v>
      </c>
      <c r="S5934" t="s">
        <v>6099</v>
      </c>
      <c r="T5934">
        <v>1</v>
      </c>
      <c r="U5934" t="s">
        <v>6018</v>
      </c>
      <c r="V5934">
        <v>1</v>
      </c>
    </row>
    <row r="5935" spans="1:22" x14ac:dyDescent="0.3">
      <c r="A5935" t="s">
        <v>5950</v>
      </c>
      <c r="B5935" s="2">
        <v>46293.303472222222</v>
      </c>
      <c r="C5935" s="2">
        <v>46293.578472222223</v>
      </c>
      <c r="D5935" t="s">
        <v>6028</v>
      </c>
      <c r="E5935" t="s">
        <v>6030</v>
      </c>
      <c r="F5935" t="s">
        <v>6035</v>
      </c>
      <c r="G5935" t="s">
        <v>6061</v>
      </c>
      <c r="H5935" t="s">
        <v>6096</v>
      </c>
      <c r="I5935">
        <v>4</v>
      </c>
      <c r="J5935">
        <v>6.6</v>
      </c>
      <c r="K5935" t="s">
        <v>6099</v>
      </c>
      <c r="L5935" t="s">
        <v>6100</v>
      </c>
      <c r="M5935" t="s">
        <v>6099</v>
      </c>
      <c r="N5935">
        <v>3</v>
      </c>
      <c r="O5935" t="s">
        <v>6101</v>
      </c>
      <c r="P5935" t="s">
        <v>6115</v>
      </c>
      <c r="Q5935">
        <v>9</v>
      </c>
      <c r="R5935">
        <v>2026</v>
      </c>
      <c r="S5935" t="s">
        <v>6100</v>
      </c>
      <c r="T5935">
        <v>0</v>
      </c>
      <c r="U5935" t="s">
        <v>6020</v>
      </c>
      <c r="V5935">
        <v>1</v>
      </c>
    </row>
    <row r="5936" spans="1:22" x14ac:dyDescent="0.3">
      <c r="A5936" t="s">
        <v>5951</v>
      </c>
      <c r="B5936" s="2">
        <v>46293.304166666669</v>
      </c>
      <c r="C5936" s="2">
        <v>46293.98333333333</v>
      </c>
      <c r="D5936" t="s">
        <v>6024</v>
      </c>
      <c r="E5936" t="s">
        <v>6032</v>
      </c>
      <c r="F5936" t="s">
        <v>6034</v>
      </c>
      <c r="G5936" t="s">
        <v>6045</v>
      </c>
      <c r="H5936" t="s">
        <v>6096</v>
      </c>
      <c r="I5936">
        <v>24</v>
      </c>
      <c r="J5936">
        <v>16.3</v>
      </c>
      <c r="K5936" t="s">
        <v>6100</v>
      </c>
      <c r="L5936" t="s">
        <v>6100</v>
      </c>
      <c r="M5936" t="s">
        <v>6100</v>
      </c>
      <c r="O5936" t="s">
        <v>6101</v>
      </c>
      <c r="P5936" t="s">
        <v>6115</v>
      </c>
      <c r="Q5936">
        <v>9</v>
      </c>
      <c r="R5936">
        <v>2026</v>
      </c>
      <c r="S5936" t="s">
        <v>6099</v>
      </c>
      <c r="T5936">
        <v>1</v>
      </c>
      <c r="U5936" t="s">
        <v>6021</v>
      </c>
      <c r="V5936">
        <v>0</v>
      </c>
    </row>
    <row r="5937" spans="1:22" x14ac:dyDescent="0.3">
      <c r="A5937" t="s">
        <v>5952</v>
      </c>
      <c r="B5937" s="2">
        <v>46293.310416666667</v>
      </c>
      <c r="C5937" s="2">
        <v>46293.727083333331</v>
      </c>
      <c r="D5937" t="s">
        <v>6026</v>
      </c>
      <c r="E5937" t="s">
        <v>6030</v>
      </c>
      <c r="F5937" t="s">
        <v>6035</v>
      </c>
      <c r="G5937" t="s">
        <v>6088</v>
      </c>
      <c r="H5937" t="s">
        <v>6097</v>
      </c>
      <c r="I5937">
        <v>4</v>
      </c>
      <c r="J5937">
        <v>10</v>
      </c>
      <c r="K5937" t="s">
        <v>6099</v>
      </c>
      <c r="L5937" t="s">
        <v>6100</v>
      </c>
      <c r="M5937" t="s">
        <v>6099</v>
      </c>
      <c r="N5937">
        <v>5</v>
      </c>
      <c r="O5937" t="s">
        <v>6101</v>
      </c>
      <c r="P5937" t="s">
        <v>6115</v>
      </c>
      <c r="Q5937">
        <v>9</v>
      </c>
      <c r="R5937">
        <v>2026</v>
      </c>
      <c r="S5937" t="s">
        <v>6100</v>
      </c>
      <c r="T5937">
        <v>0</v>
      </c>
      <c r="U5937" t="s">
        <v>6018</v>
      </c>
      <c r="V5937">
        <v>1</v>
      </c>
    </row>
    <row r="5938" spans="1:22" x14ac:dyDescent="0.3">
      <c r="A5938" t="s">
        <v>5953</v>
      </c>
      <c r="B5938" s="2">
        <v>46293.319444444445</v>
      </c>
      <c r="C5938" s="2">
        <v>46293.619444444441</v>
      </c>
      <c r="D5938" t="s">
        <v>6023</v>
      </c>
      <c r="E5938" t="s">
        <v>6030</v>
      </c>
      <c r="F5938" t="s">
        <v>6033</v>
      </c>
      <c r="G5938" t="s">
        <v>6049</v>
      </c>
      <c r="H5938" t="s">
        <v>6097</v>
      </c>
      <c r="I5938">
        <v>72</v>
      </c>
      <c r="J5938">
        <v>7.2</v>
      </c>
      <c r="K5938" t="s">
        <v>6099</v>
      </c>
      <c r="L5938" t="s">
        <v>6100</v>
      </c>
      <c r="M5938" t="s">
        <v>6100</v>
      </c>
      <c r="N5938">
        <v>5</v>
      </c>
      <c r="O5938" t="s">
        <v>6101</v>
      </c>
      <c r="P5938" t="s">
        <v>6115</v>
      </c>
      <c r="Q5938">
        <v>9</v>
      </c>
      <c r="R5938">
        <v>2026</v>
      </c>
      <c r="S5938" t="s">
        <v>6099</v>
      </c>
      <c r="T5938">
        <v>1</v>
      </c>
      <c r="U5938" t="s">
        <v>6019</v>
      </c>
      <c r="V5938">
        <v>1</v>
      </c>
    </row>
    <row r="5939" spans="1:22" x14ac:dyDescent="0.3">
      <c r="A5939" t="s">
        <v>5954</v>
      </c>
      <c r="B5939" s="2">
        <v>46293.321527777778</v>
      </c>
      <c r="C5939" s="2">
        <v>46294.500694444447</v>
      </c>
      <c r="D5939" t="s">
        <v>6022</v>
      </c>
      <c r="E5939" t="s">
        <v>6030</v>
      </c>
      <c r="F5939" t="s">
        <v>6035</v>
      </c>
      <c r="G5939" t="s">
        <v>6070</v>
      </c>
      <c r="H5939" t="s">
        <v>6097</v>
      </c>
      <c r="I5939">
        <v>4</v>
      </c>
      <c r="J5939">
        <v>28.3</v>
      </c>
      <c r="K5939" t="s">
        <v>6099</v>
      </c>
      <c r="L5939" t="s">
        <v>6100</v>
      </c>
      <c r="M5939" t="s">
        <v>6100</v>
      </c>
      <c r="N5939">
        <v>4</v>
      </c>
      <c r="O5939" t="s">
        <v>6101</v>
      </c>
      <c r="P5939" t="s">
        <v>6115</v>
      </c>
      <c r="Q5939">
        <v>9</v>
      </c>
      <c r="R5939">
        <v>2026</v>
      </c>
      <c r="S5939" t="s">
        <v>6100</v>
      </c>
      <c r="T5939">
        <v>0</v>
      </c>
      <c r="U5939" t="s">
        <v>6021</v>
      </c>
      <c r="V5939">
        <v>1</v>
      </c>
    </row>
    <row r="5940" spans="1:22" x14ac:dyDescent="0.3">
      <c r="A5940" t="s">
        <v>5955</v>
      </c>
      <c r="B5940" s="2">
        <v>46293.35833333333</v>
      </c>
      <c r="C5940" s="2">
        <v>46293.416666666664</v>
      </c>
      <c r="D5940" t="s">
        <v>6023</v>
      </c>
      <c r="E5940" t="s">
        <v>6030</v>
      </c>
      <c r="F5940" t="s">
        <v>6034</v>
      </c>
      <c r="G5940" t="s">
        <v>6077</v>
      </c>
      <c r="H5940" t="s">
        <v>6098</v>
      </c>
      <c r="I5940">
        <v>24</v>
      </c>
      <c r="J5940">
        <v>1.4</v>
      </c>
      <c r="K5940" t="s">
        <v>6099</v>
      </c>
      <c r="L5940" t="s">
        <v>6100</v>
      </c>
      <c r="M5940" t="s">
        <v>6100</v>
      </c>
      <c r="N5940">
        <v>5</v>
      </c>
      <c r="O5940" t="s">
        <v>6101</v>
      </c>
      <c r="P5940" t="s">
        <v>6115</v>
      </c>
      <c r="Q5940">
        <v>9</v>
      </c>
      <c r="R5940">
        <v>2026</v>
      </c>
      <c r="S5940" t="s">
        <v>6099</v>
      </c>
      <c r="T5940">
        <v>1</v>
      </c>
      <c r="U5940" t="s">
        <v>6020</v>
      </c>
      <c r="V5940">
        <v>1</v>
      </c>
    </row>
    <row r="5941" spans="1:22" x14ac:dyDescent="0.3">
      <c r="A5941" t="s">
        <v>5956</v>
      </c>
      <c r="B5941" s="2">
        <v>46293.383333333331</v>
      </c>
      <c r="C5941" s="2">
        <v>46293.758333333331</v>
      </c>
      <c r="D5941" t="s">
        <v>6023</v>
      </c>
      <c r="E5941" t="s">
        <v>6029</v>
      </c>
      <c r="F5941" t="s">
        <v>6033</v>
      </c>
      <c r="G5941" t="s">
        <v>6055</v>
      </c>
      <c r="H5941" t="s">
        <v>6096</v>
      </c>
      <c r="I5941">
        <v>72</v>
      </c>
      <c r="J5941">
        <v>9</v>
      </c>
      <c r="K5941" t="s">
        <v>6100</v>
      </c>
      <c r="L5941" t="s">
        <v>6099</v>
      </c>
      <c r="M5941" t="s">
        <v>6100</v>
      </c>
      <c r="N5941">
        <v>4</v>
      </c>
      <c r="O5941" t="s">
        <v>6101</v>
      </c>
      <c r="P5941" t="s">
        <v>6115</v>
      </c>
      <c r="Q5941">
        <v>9</v>
      </c>
      <c r="R5941">
        <v>2026</v>
      </c>
      <c r="S5941" t="s">
        <v>6099</v>
      </c>
      <c r="T5941">
        <v>1</v>
      </c>
      <c r="U5941" t="s">
        <v>6019</v>
      </c>
      <c r="V5941">
        <v>0</v>
      </c>
    </row>
    <row r="5942" spans="1:22" x14ac:dyDescent="0.3">
      <c r="A5942" t="s">
        <v>5957</v>
      </c>
      <c r="B5942" s="2">
        <v>46293.410416666666</v>
      </c>
      <c r="C5942" s="2"/>
      <c r="D5942" t="s">
        <v>6025</v>
      </c>
      <c r="E5942" t="s">
        <v>6031</v>
      </c>
      <c r="F5942" t="s">
        <v>6034</v>
      </c>
      <c r="G5942" t="s">
        <v>6079</v>
      </c>
      <c r="H5942" t="s">
        <v>6097</v>
      </c>
      <c r="I5942">
        <v>24</v>
      </c>
      <c r="K5942" t="s">
        <v>6100</v>
      </c>
      <c r="L5942" t="s">
        <v>6100</v>
      </c>
      <c r="M5942" t="s">
        <v>6100</v>
      </c>
      <c r="N5942">
        <v>4</v>
      </c>
      <c r="O5942" t="s">
        <v>6102</v>
      </c>
      <c r="P5942" t="s">
        <v>6115</v>
      </c>
      <c r="Q5942">
        <v>9</v>
      </c>
      <c r="R5942">
        <v>2026</v>
      </c>
      <c r="U5942" t="s">
        <v>6020</v>
      </c>
      <c r="V5942">
        <v>0</v>
      </c>
    </row>
    <row r="5943" spans="1:22" x14ac:dyDescent="0.3">
      <c r="A5943" t="s">
        <v>5958</v>
      </c>
      <c r="B5943" s="2">
        <v>46293.417361111111</v>
      </c>
      <c r="C5943" s="2"/>
      <c r="D5943" t="s">
        <v>6025</v>
      </c>
      <c r="E5943" t="s">
        <v>6031</v>
      </c>
      <c r="F5943" t="s">
        <v>6035</v>
      </c>
      <c r="G5943" t="s">
        <v>6037</v>
      </c>
      <c r="H5943" t="s">
        <v>6096</v>
      </c>
      <c r="I5943">
        <v>4</v>
      </c>
      <c r="K5943" t="s">
        <v>6099</v>
      </c>
      <c r="L5943" t="s">
        <v>6100</v>
      </c>
      <c r="M5943" t="s">
        <v>6100</v>
      </c>
      <c r="O5943" t="s">
        <v>6102</v>
      </c>
      <c r="P5943" t="s">
        <v>6115</v>
      </c>
      <c r="Q5943">
        <v>9</v>
      </c>
      <c r="R5943">
        <v>2026</v>
      </c>
      <c r="U5943" t="s">
        <v>6018</v>
      </c>
      <c r="V5943">
        <v>1</v>
      </c>
    </row>
    <row r="5944" spans="1:22" x14ac:dyDescent="0.3">
      <c r="A5944" t="s">
        <v>5959</v>
      </c>
      <c r="B5944" s="2">
        <v>46293.452777777777</v>
      </c>
      <c r="C5944" s="2"/>
      <c r="D5944" t="s">
        <v>6025</v>
      </c>
      <c r="E5944" t="s">
        <v>6031</v>
      </c>
      <c r="F5944" t="s">
        <v>6035</v>
      </c>
      <c r="G5944" t="s">
        <v>6045</v>
      </c>
      <c r="H5944" t="s">
        <v>6096</v>
      </c>
      <c r="I5944">
        <v>4</v>
      </c>
      <c r="K5944" t="s">
        <v>6099</v>
      </c>
      <c r="L5944" t="s">
        <v>6100</v>
      </c>
      <c r="M5944" t="s">
        <v>6100</v>
      </c>
      <c r="N5944">
        <v>5</v>
      </c>
      <c r="O5944" t="s">
        <v>6102</v>
      </c>
      <c r="P5944" t="s">
        <v>6115</v>
      </c>
      <c r="Q5944">
        <v>9</v>
      </c>
      <c r="R5944">
        <v>2026</v>
      </c>
      <c r="U5944" t="s">
        <v>6020</v>
      </c>
      <c r="V5944">
        <v>1</v>
      </c>
    </row>
    <row r="5945" spans="1:22" x14ac:dyDescent="0.3">
      <c r="A5945" t="s">
        <v>5960</v>
      </c>
      <c r="B5945" s="2">
        <v>46293.456944444442</v>
      </c>
      <c r="C5945" s="2">
        <v>46293.715277777781</v>
      </c>
      <c r="D5945" t="s">
        <v>6024</v>
      </c>
      <c r="E5945" t="s">
        <v>6029</v>
      </c>
      <c r="F5945" t="s">
        <v>6034</v>
      </c>
      <c r="G5945" t="s">
        <v>6054</v>
      </c>
      <c r="H5945" t="s">
        <v>6096</v>
      </c>
      <c r="I5945">
        <v>24</v>
      </c>
      <c r="J5945">
        <v>6.2</v>
      </c>
      <c r="K5945" t="s">
        <v>6100</v>
      </c>
      <c r="L5945" t="s">
        <v>6100</v>
      </c>
      <c r="M5945" t="s">
        <v>6100</v>
      </c>
      <c r="N5945">
        <v>4</v>
      </c>
      <c r="O5945" t="s">
        <v>6101</v>
      </c>
      <c r="P5945" t="s">
        <v>6115</v>
      </c>
      <c r="Q5945">
        <v>9</v>
      </c>
      <c r="R5945">
        <v>2026</v>
      </c>
      <c r="S5945" t="s">
        <v>6099</v>
      </c>
      <c r="T5945">
        <v>1</v>
      </c>
      <c r="U5945" t="s">
        <v>6018</v>
      </c>
      <c r="V5945">
        <v>0</v>
      </c>
    </row>
    <row r="5946" spans="1:22" x14ac:dyDescent="0.3">
      <c r="A5946" t="s">
        <v>5961</v>
      </c>
      <c r="B5946" s="2">
        <v>46293.461111111108</v>
      </c>
      <c r="C5946" s="2">
        <v>46294.027777777781</v>
      </c>
      <c r="D5946" t="s">
        <v>6025</v>
      </c>
      <c r="E5946" t="s">
        <v>6029</v>
      </c>
      <c r="F5946" t="s">
        <v>6033</v>
      </c>
      <c r="G5946" t="s">
        <v>6088</v>
      </c>
      <c r="H5946" t="s">
        <v>6097</v>
      </c>
      <c r="I5946">
        <v>72</v>
      </c>
      <c r="J5946">
        <v>13.6</v>
      </c>
      <c r="K5946" t="s">
        <v>6099</v>
      </c>
      <c r="L5946" t="s">
        <v>6100</v>
      </c>
      <c r="M5946" t="s">
        <v>6100</v>
      </c>
      <c r="O5946" t="s">
        <v>6101</v>
      </c>
      <c r="P5946" t="s">
        <v>6115</v>
      </c>
      <c r="Q5946">
        <v>9</v>
      </c>
      <c r="R5946">
        <v>2026</v>
      </c>
      <c r="S5946" t="s">
        <v>6099</v>
      </c>
      <c r="T5946">
        <v>1</v>
      </c>
      <c r="U5946" t="s">
        <v>6021</v>
      </c>
      <c r="V5946">
        <v>1</v>
      </c>
    </row>
    <row r="5947" spans="1:22" x14ac:dyDescent="0.3">
      <c r="A5947" t="s">
        <v>5962</v>
      </c>
      <c r="B5947" s="2">
        <v>46293.473611111112</v>
      </c>
      <c r="C5947" s="2">
        <v>46295.373611111114</v>
      </c>
      <c r="D5947" t="s">
        <v>6025</v>
      </c>
      <c r="E5947" t="s">
        <v>6032</v>
      </c>
      <c r="F5947" t="s">
        <v>6034</v>
      </c>
      <c r="G5947" t="s">
        <v>6061</v>
      </c>
      <c r="H5947" t="s">
        <v>6096</v>
      </c>
      <c r="I5947">
        <v>24</v>
      </c>
      <c r="J5947">
        <v>45.6</v>
      </c>
      <c r="K5947" t="s">
        <v>6099</v>
      </c>
      <c r="L5947" t="s">
        <v>6100</v>
      </c>
      <c r="M5947" t="s">
        <v>6100</v>
      </c>
      <c r="N5947">
        <v>5</v>
      </c>
      <c r="O5947" t="s">
        <v>6101</v>
      </c>
      <c r="P5947" t="s">
        <v>6115</v>
      </c>
      <c r="Q5947">
        <v>9</v>
      </c>
      <c r="R5947">
        <v>2026</v>
      </c>
      <c r="S5947" t="s">
        <v>6100</v>
      </c>
      <c r="T5947">
        <v>0</v>
      </c>
      <c r="U5947" t="s">
        <v>6021</v>
      </c>
      <c r="V5947">
        <v>1</v>
      </c>
    </row>
    <row r="5948" spans="1:22" x14ac:dyDescent="0.3">
      <c r="A5948" t="s">
        <v>5963</v>
      </c>
      <c r="B5948" s="2">
        <v>46293.493055555555</v>
      </c>
      <c r="C5948" s="2">
        <v>46293.555555555555</v>
      </c>
      <c r="D5948" t="s">
        <v>6023</v>
      </c>
      <c r="E5948" t="s">
        <v>6030</v>
      </c>
      <c r="F5948" t="s">
        <v>6034</v>
      </c>
      <c r="G5948" t="s">
        <v>6052</v>
      </c>
      <c r="H5948" t="s">
        <v>6098</v>
      </c>
      <c r="I5948">
        <v>24</v>
      </c>
      <c r="J5948">
        <v>1.5</v>
      </c>
      <c r="K5948" t="s">
        <v>6099</v>
      </c>
      <c r="L5948" t="s">
        <v>6100</v>
      </c>
      <c r="M5948" t="s">
        <v>6100</v>
      </c>
      <c r="O5948" t="s">
        <v>6101</v>
      </c>
      <c r="P5948" t="s">
        <v>6115</v>
      </c>
      <c r="Q5948">
        <v>9</v>
      </c>
      <c r="R5948">
        <v>2026</v>
      </c>
      <c r="S5948" t="s">
        <v>6099</v>
      </c>
      <c r="T5948">
        <v>1</v>
      </c>
      <c r="U5948" t="s">
        <v>6017</v>
      </c>
      <c r="V5948">
        <v>1</v>
      </c>
    </row>
    <row r="5949" spans="1:22" x14ac:dyDescent="0.3">
      <c r="A5949" t="s">
        <v>5964</v>
      </c>
      <c r="B5949" s="2">
        <v>46293.509027777778</v>
      </c>
      <c r="C5949" s="2">
        <v>46293.821527777778</v>
      </c>
      <c r="D5949" t="s">
        <v>6023</v>
      </c>
      <c r="E5949" t="s">
        <v>6032</v>
      </c>
      <c r="F5949" t="s">
        <v>6034</v>
      </c>
      <c r="G5949" t="s">
        <v>6066</v>
      </c>
      <c r="H5949" t="s">
        <v>6096</v>
      </c>
      <c r="I5949">
        <v>24</v>
      </c>
      <c r="J5949">
        <v>7.5</v>
      </c>
      <c r="K5949" t="s">
        <v>6100</v>
      </c>
      <c r="L5949" t="s">
        <v>6099</v>
      </c>
      <c r="M5949" t="s">
        <v>6100</v>
      </c>
      <c r="O5949" t="s">
        <v>6101</v>
      </c>
      <c r="P5949" t="s">
        <v>6115</v>
      </c>
      <c r="Q5949">
        <v>9</v>
      </c>
      <c r="R5949">
        <v>2026</v>
      </c>
      <c r="S5949" t="s">
        <v>6099</v>
      </c>
      <c r="T5949">
        <v>1</v>
      </c>
      <c r="U5949" t="s">
        <v>6017</v>
      </c>
      <c r="V5949">
        <v>0</v>
      </c>
    </row>
    <row r="5950" spans="1:22" x14ac:dyDescent="0.3">
      <c r="A5950" t="s">
        <v>5965</v>
      </c>
      <c r="B5950" s="2">
        <v>46293.543055555558</v>
      </c>
      <c r="C5950" s="2">
        <v>46294.022222222222</v>
      </c>
      <c r="D5950" t="s">
        <v>6028</v>
      </c>
      <c r="E5950" t="s">
        <v>6031</v>
      </c>
      <c r="F5950" t="s">
        <v>6035</v>
      </c>
      <c r="G5950" t="s">
        <v>6076</v>
      </c>
      <c r="H5950" t="s">
        <v>6097</v>
      </c>
      <c r="I5950">
        <v>4</v>
      </c>
      <c r="J5950">
        <v>11.5</v>
      </c>
      <c r="K5950" t="s">
        <v>6100</v>
      </c>
      <c r="L5950" t="s">
        <v>6099</v>
      </c>
      <c r="M5950" t="s">
        <v>6099</v>
      </c>
      <c r="N5950">
        <v>2</v>
      </c>
      <c r="O5950" t="s">
        <v>6101</v>
      </c>
      <c r="P5950" t="s">
        <v>6115</v>
      </c>
      <c r="Q5950">
        <v>9</v>
      </c>
      <c r="R5950">
        <v>2026</v>
      </c>
      <c r="S5950" t="s">
        <v>6100</v>
      </c>
      <c r="T5950">
        <v>0</v>
      </c>
      <c r="U5950" t="s">
        <v>6020</v>
      </c>
      <c r="V5950">
        <v>0</v>
      </c>
    </row>
    <row r="5951" spans="1:22" x14ac:dyDescent="0.3">
      <c r="A5951" t="s">
        <v>5966</v>
      </c>
      <c r="B5951" s="2">
        <v>46293.556944444441</v>
      </c>
      <c r="C5951" s="2">
        <v>46294.50277777778</v>
      </c>
      <c r="D5951" t="s">
        <v>6023</v>
      </c>
      <c r="E5951" t="s">
        <v>6032</v>
      </c>
      <c r="F5951" t="s">
        <v>6034</v>
      </c>
      <c r="G5951" t="s">
        <v>6057</v>
      </c>
      <c r="H5951" t="s">
        <v>6097</v>
      </c>
      <c r="I5951">
        <v>24</v>
      </c>
      <c r="J5951">
        <v>22.7</v>
      </c>
      <c r="K5951" t="s">
        <v>6099</v>
      </c>
      <c r="L5951" t="s">
        <v>6100</v>
      </c>
      <c r="M5951" t="s">
        <v>6100</v>
      </c>
      <c r="O5951" t="s">
        <v>6101</v>
      </c>
      <c r="P5951" t="s">
        <v>6115</v>
      </c>
      <c r="Q5951">
        <v>9</v>
      </c>
      <c r="R5951">
        <v>2026</v>
      </c>
      <c r="S5951" t="s">
        <v>6099</v>
      </c>
      <c r="T5951">
        <v>1</v>
      </c>
      <c r="U5951" t="s">
        <v>6017</v>
      </c>
      <c r="V5951">
        <v>1</v>
      </c>
    </row>
    <row r="5952" spans="1:22" x14ac:dyDescent="0.3">
      <c r="A5952" t="s">
        <v>5967</v>
      </c>
      <c r="B5952" s="2">
        <v>46293.558333333334</v>
      </c>
      <c r="C5952" s="2">
        <v>46294.066666666666</v>
      </c>
      <c r="D5952" t="s">
        <v>6024</v>
      </c>
      <c r="E5952" t="s">
        <v>6029</v>
      </c>
      <c r="F5952" t="s">
        <v>6033</v>
      </c>
      <c r="G5952" t="s">
        <v>6039</v>
      </c>
      <c r="H5952" t="s">
        <v>6097</v>
      </c>
      <c r="I5952">
        <v>72</v>
      </c>
      <c r="J5952">
        <v>12.2</v>
      </c>
      <c r="K5952" t="s">
        <v>6099</v>
      </c>
      <c r="L5952" t="s">
        <v>6100</v>
      </c>
      <c r="M5952" t="s">
        <v>6100</v>
      </c>
      <c r="N5952">
        <v>4</v>
      </c>
      <c r="O5952" t="s">
        <v>6101</v>
      </c>
      <c r="P5952" t="s">
        <v>6115</v>
      </c>
      <c r="Q5952">
        <v>9</v>
      </c>
      <c r="R5952">
        <v>2026</v>
      </c>
      <c r="S5952" t="s">
        <v>6099</v>
      </c>
      <c r="T5952">
        <v>1</v>
      </c>
      <c r="U5952" t="s">
        <v>6018</v>
      </c>
      <c r="V5952">
        <v>1</v>
      </c>
    </row>
    <row r="5953" spans="1:22" x14ac:dyDescent="0.3">
      <c r="A5953" t="s">
        <v>5968</v>
      </c>
      <c r="B5953" s="2">
        <v>46293.595833333333</v>
      </c>
      <c r="C5953" s="2">
        <v>46293.837500000001</v>
      </c>
      <c r="D5953" t="s">
        <v>6024</v>
      </c>
      <c r="E5953" t="s">
        <v>6029</v>
      </c>
      <c r="F5953" t="s">
        <v>6034</v>
      </c>
      <c r="G5953" t="s">
        <v>6083</v>
      </c>
      <c r="H5953" t="s">
        <v>6096</v>
      </c>
      <c r="I5953">
        <v>24</v>
      </c>
      <c r="J5953">
        <v>5.8</v>
      </c>
      <c r="K5953" t="s">
        <v>6099</v>
      </c>
      <c r="L5953" t="s">
        <v>6100</v>
      </c>
      <c r="M5953" t="s">
        <v>6100</v>
      </c>
      <c r="O5953" t="s">
        <v>6101</v>
      </c>
      <c r="P5953" t="s">
        <v>6115</v>
      </c>
      <c r="Q5953">
        <v>9</v>
      </c>
      <c r="R5953">
        <v>2026</v>
      </c>
      <c r="S5953" t="s">
        <v>6099</v>
      </c>
      <c r="T5953">
        <v>1</v>
      </c>
      <c r="U5953" t="s">
        <v>6017</v>
      </c>
      <c r="V5953">
        <v>1</v>
      </c>
    </row>
    <row r="5954" spans="1:22" x14ac:dyDescent="0.3">
      <c r="A5954" t="s">
        <v>5969</v>
      </c>
      <c r="B5954" s="2">
        <v>46293.606249999997</v>
      </c>
      <c r="C5954" s="2">
        <v>46293.756249999999</v>
      </c>
      <c r="D5954" t="s">
        <v>6023</v>
      </c>
      <c r="E5954" t="s">
        <v>6030</v>
      </c>
      <c r="F5954" t="s">
        <v>6035</v>
      </c>
      <c r="G5954" t="s">
        <v>6081</v>
      </c>
      <c r="H5954" t="s">
        <v>6098</v>
      </c>
      <c r="I5954">
        <v>4</v>
      </c>
      <c r="J5954">
        <v>3.6</v>
      </c>
      <c r="K5954" t="s">
        <v>6099</v>
      </c>
      <c r="L5954" t="s">
        <v>6100</v>
      </c>
      <c r="M5954" t="s">
        <v>6100</v>
      </c>
      <c r="N5954">
        <v>5</v>
      </c>
      <c r="O5954" t="s">
        <v>6101</v>
      </c>
      <c r="P5954" t="s">
        <v>6115</v>
      </c>
      <c r="Q5954">
        <v>9</v>
      </c>
      <c r="R5954">
        <v>2026</v>
      </c>
      <c r="S5954" t="s">
        <v>6099</v>
      </c>
      <c r="T5954">
        <v>1</v>
      </c>
      <c r="U5954" t="s">
        <v>6020</v>
      </c>
      <c r="V5954">
        <v>1</v>
      </c>
    </row>
    <row r="5955" spans="1:22" x14ac:dyDescent="0.3">
      <c r="A5955" t="s">
        <v>5970</v>
      </c>
      <c r="B5955" s="2">
        <v>46293.611111111109</v>
      </c>
      <c r="C5955" s="2">
        <v>46294.44027777778</v>
      </c>
      <c r="D5955" t="s">
        <v>6023</v>
      </c>
      <c r="E5955" t="s">
        <v>6032</v>
      </c>
      <c r="F5955" t="s">
        <v>6033</v>
      </c>
      <c r="G5955" t="s">
        <v>6036</v>
      </c>
      <c r="H5955" t="s">
        <v>6096</v>
      </c>
      <c r="I5955">
        <v>72</v>
      </c>
      <c r="J5955">
        <v>19.899999999999999</v>
      </c>
      <c r="K5955" t="s">
        <v>6100</v>
      </c>
      <c r="L5955" t="s">
        <v>6100</v>
      </c>
      <c r="M5955" t="s">
        <v>6100</v>
      </c>
      <c r="O5955" t="s">
        <v>6101</v>
      </c>
      <c r="P5955" t="s">
        <v>6115</v>
      </c>
      <c r="Q5955">
        <v>9</v>
      </c>
      <c r="R5955">
        <v>2026</v>
      </c>
      <c r="S5955" t="s">
        <v>6099</v>
      </c>
      <c r="T5955">
        <v>1</v>
      </c>
      <c r="U5955" t="s">
        <v>6019</v>
      </c>
      <c r="V5955">
        <v>0</v>
      </c>
    </row>
    <row r="5956" spans="1:22" x14ac:dyDescent="0.3">
      <c r="A5956" t="s">
        <v>5971</v>
      </c>
      <c r="B5956" s="2">
        <v>46293.675694444442</v>
      </c>
      <c r="C5956" s="2">
        <v>46293.979861111111</v>
      </c>
      <c r="D5956" t="s">
        <v>6027</v>
      </c>
      <c r="E5956" t="s">
        <v>6030</v>
      </c>
      <c r="F5956" t="s">
        <v>6033</v>
      </c>
      <c r="G5956" t="s">
        <v>6049</v>
      </c>
      <c r="H5956" t="s">
        <v>6097</v>
      </c>
      <c r="I5956">
        <v>72</v>
      </c>
      <c r="J5956">
        <v>7.3</v>
      </c>
      <c r="K5956" t="s">
        <v>6099</v>
      </c>
      <c r="L5956" t="s">
        <v>6100</v>
      </c>
      <c r="M5956" t="s">
        <v>6100</v>
      </c>
      <c r="O5956" t="s">
        <v>6101</v>
      </c>
      <c r="P5956" t="s">
        <v>6115</v>
      </c>
      <c r="Q5956">
        <v>9</v>
      </c>
      <c r="R5956">
        <v>2026</v>
      </c>
      <c r="S5956" t="s">
        <v>6099</v>
      </c>
      <c r="T5956">
        <v>1</v>
      </c>
      <c r="U5956" t="s">
        <v>6021</v>
      </c>
      <c r="V5956">
        <v>1</v>
      </c>
    </row>
    <row r="5957" spans="1:22" x14ac:dyDescent="0.3">
      <c r="A5957" t="s">
        <v>5972</v>
      </c>
      <c r="B5957" s="2">
        <v>46293.734027777777</v>
      </c>
      <c r="C5957" s="2">
        <v>46294.575694444444</v>
      </c>
      <c r="D5957" t="s">
        <v>6022</v>
      </c>
      <c r="E5957" t="s">
        <v>6029</v>
      </c>
      <c r="F5957" t="s">
        <v>6034</v>
      </c>
      <c r="G5957" t="s">
        <v>6086</v>
      </c>
      <c r="H5957" t="s">
        <v>6098</v>
      </c>
      <c r="I5957">
        <v>24</v>
      </c>
      <c r="J5957">
        <v>20.2</v>
      </c>
      <c r="K5957" t="s">
        <v>6099</v>
      </c>
      <c r="L5957" t="s">
        <v>6100</v>
      </c>
      <c r="M5957" t="s">
        <v>6099</v>
      </c>
      <c r="N5957">
        <v>5</v>
      </c>
      <c r="O5957" t="s">
        <v>6101</v>
      </c>
      <c r="P5957" t="s">
        <v>6115</v>
      </c>
      <c r="Q5957">
        <v>9</v>
      </c>
      <c r="R5957">
        <v>2026</v>
      </c>
      <c r="S5957" t="s">
        <v>6099</v>
      </c>
      <c r="T5957">
        <v>1</v>
      </c>
      <c r="U5957" t="s">
        <v>6019</v>
      </c>
      <c r="V5957">
        <v>1</v>
      </c>
    </row>
    <row r="5958" spans="1:22" x14ac:dyDescent="0.3">
      <c r="A5958" t="s">
        <v>5973</v>
      </c>
      <c r="B5958" s="2">
        <v>46293.752083333333</v>
      </c>
      <c r="C5958" s="2">
        <v>46293.943749999999</v>
      </c>
      <c r="D5958" t="s">
        <v>6023</v>
      </c>
      <c r="E5958" t="s">
        <v>6032</v>
      </c>
      <c r="F5958" t="s">
        <v>6033</v>
      </c>
      <c r="G5958" t="s">
        <v>6051</v>
      </c>
      <c r="H5958" t="s">
        <v>6097</v>
      </c>
      <c r="I5958">
        <v>72</v>
      </c>
      <c r="J5958">
        <v>4.5999999999999996</v>
      </c>
      <c r="K5958" t="s">
        <v>6099</v>
      </c>
      <c r="L5958" t="s">
        <v>6100</v>
      </c>
      <c r="M5958" t="s">
        <v>6099</v>
      </c>
      <c r="N5958">
        <v>4</v>
      </c>
      <c r="O5958" t="s">
        <v>6101</v>
      </c>
      <c r="P5958" t="s">
        <v>6115</v>
      </c>
      <c r="Q5958">
        <v>9</v>
      </c>
      <c r="R5958">
        <v>2026</v>
      </c>
      <c r="S5958" t="s">
        <v>6099</v>
      </c>
      <c r="T5958">
        <v>1</v>
      </c>
      <c r="U5958" t="s">
        <v>6019</v>
      </c>
      <c r="V5958">
        <v>1</v>
      </c>
    </row>
    <row r="5959" spans="1:22" x14ac:dyDescent="0.3">
      <c r="A5959" t="s">
        <v>5974</v>
      </c>
      <c r="B5959" s="2">
        <v>46293.775000000001</v>
      </c>
      <c r="C5959" s="2">
        <v>46294.324999999997</v>
      </c>
      <c r="D5959" t="s">
        <v>6022</v>
      </c>
      <c r="E5959" t="s">
        <v>6030</v>
      </c>
      <c r="F5959" t="s">
        <v>6033</v>
      </c>
      <c r="G5959" t="s">
        <v>6089</v>
      </c>
      <c r="H5959" t="s">
        <v>6098</v>
      </c>
      <c r="I5959">
        <v>72</v>
      </c>
      <c r="J5959">
        <v>13.2</v>
      </c>
      <c r="K5959" t="s">
        <v>6099</v>
      </c>
      <c r="L5959" t="s">
        <v>6100</v>
      </c>
      <c r="M5959" t="s">
        <v>6100</v>
      </c>
      <c r="O5959" t="s">
        <v>6101</v>
      </c>
      <c r="P5959" t="s">
        <v>6115</v>
      </c>
      <c r="Q5959">
        <v>9</v>
      </c>
      <c r="R5959">
        <v>2026</v>
      </c>
      <c r="S5959" t="s">
        <v>6099</v>
      </c>
      <c r="T5959">
        <v>1</v>
      </c>
      <c r="U5959" t="s">
        <v>6020</v>
      </c>
      <c r="V5959">
        <v>1</v>
      </c>
    </row>
    <row r="5960" spans="1:22" x14ac:dyDescent="0.3">
      <c r="A5960" t="s">
        <v>5975</v>
      </c>
      <c r="B5960" s="2">
        <v>46293.804166666669</v>
      </c>
      <c r="C5960" s="2"/>
      <c r="D5960" t="s">
        <v>6026</v>
      </c>
      <c r="E5960" t="s">
        <v>6031</v>
      </c>
      <c r="F5960" t="s">
        <v>6033</v>
      </c>
      <c r="G5960" t="s">
        <v>6087</v>
      </c>
      <c r="H5960" t="s">
        <v>6098</v>
      </c>
      <c r="I5960">
        <v>72</v>
      </c>
      <c r="K5960" t="s">
        <v>6099</v>
      </c>
      <c r="L5960" t="s">
        <v>6100</v>
      </c>
      <c r="M5960" t="s">
        <v>6100</v>
      </c>
      <c r="N5960">
        <v>3</v>
      </c>
      <c r="O5960" t="s">
        <v>6102</v>
      </c>
      <c r="P5960" t="s">
        <v>6115</v>
      </c>
      <c r="Q5960">
        <v>9</v>
      </c>
      <c r="R5960">
        <v>2026</v>
      </c>
      <c r="U5960" t="s">
        <v>6018</v>
      </c>
      <c r="V5960">
        <v>1</v>
      </c>
    </row>
    <row r="5961" spans="1:22" x14ac:dyDescent="0.3">
      <c r="A5961" t="s">
        <v>5976</v>
      </c>
      <c r="B5961" s="2">
        <v>46293.813194444447</v>
      </c>
      <c r="C5961" s="2">
        <v>46293.996527777781</v>
      </c>
      <c r="D5961" t="s">
        <v>6028</v>
      </c>
      <c r="E5961" t="s">
        <v>6029</v>
      </c>
      <c r="F5961" t="s">
        <v>6034</v>
      </c>
      <c r="G5961" t="s">
        <v>6067</v>
      </c>
      <c r="H5961" t="s">
        <v>6098</v>
      </c>
      <c r="I5961">
        <v>24</v>
      </c>
      <c r="J5961">
        <v>4.4000000000000004</v>
      </c>
      <c r="K5961" t="s">
        <v>6100</v>
      </c>
      <c r="L5961" t="s">
        <v>6100</v>
      </c>
      <c r="M5961" t="s">
        <v>6100</v>
      </c>
      <c r="O5961" t="s">
        <v>6101</v>
      </c>
      <c r="P5961" t="s">
        <v>6115</v>
      </c>
      <c r="Q5961">
        <v>9</v>
      </c>
      <c r="R5961">
        <v>2026</v>
      </c>
      <c r="S5961" t="s">
        <v>6099</v>
      </c>
      <c r="T5961">
        <v>1</v>
      </c>
      <c r="U5961" t="s">
        <v>6019</v>
      </c>
      <c r="V5961">
        <v>0</v>
      </c>
    </row>
    <row r="5962" spans="1:22" x14ac:dyDescent="0.3">
      <c r="A5962" t="s">
        <v>5977</v>
      </c>
      <c r="B5962" s="2">
        <v>46293.836805555555</v>
      </c>
      <c r="C5962" s="2">
        <v>46294.736805555556</v>
      </c>
      <c r="D5962" t="s">
        <v>6022</v>
      </c>
      <c r="E5962" t="s">
        <v>6032</v>
      </c>
      <c r="F5962" t="s">
        <v>6033</v>
      </c>
      <c r="G5962" t="s">
        <v>6039</v>
      </c>
      <c r="H5962" t="s">
        <v>6097</v>
      </c>
      <c r="I5962">
        <v>72</v>
      </c>
      <c r="J5962">
        <v>21.6</v>
      </c>
      <c r="K5962" t="s">
        <v>6099</v>
      </c>
      <c r="L5962" t="s">
        <v>6100</v>
      </c>
      <c r="M5962" t="s">
        <v>6100</v>
      </c>
      <c r="N5962">
        <v>5</v>
      </c>
      <c r="O5962" t="s">
        <v>6101</v>
      </c>
      <c r="P5962" t="s">
        <v>6115</v>
      </c>
      <c r="Q5962">
        <v>9</v>
      </c>
      <c r="R5962">
        <v>2026</v>
      </c>
      <c r="S5962" t="s">
        <v>6099</v>
      </c>
      <c r="T5962">
        <v>1</v>
      </c>
      <c r="U5962" t="s">
        <v>6017</v>
      </c>
      <c r="V5962">
        <v>1</v>
      </c>
    </row>
    <row r="5963" spans="1:22" x14ac:dyDescent="0.3">
      <c r="A5963" t="s">
        <v>5978</v>
      </c>
      <c r="B5963" s="2">
        <v>46294.070833333331</v>
      </c>
      <c r="C5963" s="2">
        <v>46294.675000000003</v>
      </c>
      <c r="D5963" t="s">
        <v>6023</v>
      </c>
      <c r="E5963" t="s">
        <v>6032</v>
      </c>
      <c r="F5963" t="s">
        <v>6033</v>
      </c>
      <c r="G5963" t="s">
        <v>6060</v>
      </c>
      <c r="H5963" t="s">
        <v>6097</v>
      </c>
      <c r="I5963">
        <v>72</v>
      </c>
      <c r="J5963">
        <v>14.5</v>
      </c>
      <c r="K5963" t="s">
        <v>6100</v>
      </c>
      <c r="L5963" t="s">
        <v>6099</v>
      </c>
      <c r="M5963" t="s">
        <v>6100</v>
      </c>
      <c r="N5963">
        <v>4</v>
      </c>
      <c r="O5963" t="s">
        <v>6101</v>
      </c>
      <c r="P5963" t="s">
        <v>6115</v>
      </c>
      <c r="Q5963">
        <v>9</v>
      </c>
      <c r="R5963">
        <v>2026</v>
      </c>
      <c r="S5963" t="s">
        <v>6099</v>
      </c>
      <c r="T5963">
        <v>1</v>
      </c>
      <c r="U5963" t="s">
        <v>6018</v>
      </c>
      <c r="V5963">
        <v>0</v>
      </c>
    </row>
    <row r="5964" spans="1:22" x14ac:dyDescent="0.3">
      <c r="A5964" t="s">
        <v>5979</v>
      </c>
      <c r="B5964" s="2">
        <v>46294.37222222222</v>
      </c>
      <c r="C5964" s="2">
        <v>46294.851388888892</v>
      </c>
      <c r="D5964" t="s">
        <v>6023</v>
      </c>
      <c r="E5964" t="s">
        <v>6030</v>
      </c>
      <c r="F5964" t="s">
        <v>6035</v>
      </c>
      <c r="G5964" t="s">
        <v>6038</v>
      </c>
      <c r="H5964" t="s">
        <v>6096</v>
      </c>
      <c r="I5964">
        <v>4</v>
      </c>
      <c r="J5964">
        <v>11.5</v>
      </c>
      <c r="K5964" t="s">
        <v>6100</v>
      </c>
      <c r="L5964" t="s">
        <v>6100</v>
      </c>
      <c r="M5964" t="s">
        <v>6099</v>
      </c>
      <c r="N5964">
        <v>3</v>
      </c>
      <c r="O5964" t="s">
        <v>6101</v>
      </c>
      <c r="P5964" t="s">
        <v>6115</v>
      </c>
      <c r="Q5964">
        <v>9</v>
      </c>
      <c r="R5964">
        <v>2026</v>
      </c>
      <c r="S5964" t="s">
        <v>6100</v>
      </c>
      <c r="T5964">
        <v>0</v>
      </c>
      <c r="U5964" t="s">
        <v>6018</v>
      </c>
      <c r="V5964">
        <v>0</v>
      </c>
    </row>
    <row r="5965" spans="1:22" x14ac:dyDescent="0.3">
      <c r="A5965" t="s">
        <v>5980</v>
      </c>
      <c r="B5965" s="2">
        <v>46294.459722222222</v>
      </c>
      <c r="C5965" s="2">
        <v>46294.876388888886</v>
      </c>
      <c r="D5965" t="s">
        <v>6027</v>
      </c>
      <c r="E5965" t="s">
        <v>6029</v>
      </c>
      <c r="F5965" t="s">
        <v>6033</v>
      </c>
      <c r="G5965" t="s">
        <v>6053</v>
      </c>
      <c r="H5965" t="s">
        <v>6097</v>
      </c>
      <c r="I5965">
        <v>72</v>
      </c>
      <c r="J5965">
        <v>10</v>
      </c>
      <c r="K5965" t="s">
        <v>6099</v>
      </c>
      <c r="L5965" t="s">
        <v>6100</v>
      </c>
      <c r="M5965" t="s">
        <v>6100</v>
      </c>
      <c r="O5965" t="s">
        <v>6101</v>
      </c>
      <c r="P5965" t="s">
        <v>6115</v>
      </c>
      <c r="Q5965">
        <v>9</v>
      </c>
      <c r="R5965">
        <v>2026</v>
      </c>
      <c r="S5965" t="s">
        <v>6099</v>
      </c>
      <c r="T5965">
        <v>1</v>
      </c>
      <c r="U5965" t="s">
        <v>6021</v>
      </c>
      <c r="V5965">
        <v>1</v>
      </c>
    </row>
    <row r="5966" spans="1:22" x14ac:dyDescent="0.3">
      <c r="A5966" t="s">
        <v>5981</v>
      </c>
      <c r="B5966" s="2">
        <v>46294.465277777781</v>
      </c>
      <c r="C5966" s="2">
        <v>46294.611111111109</v>
      </c>
      <c r="D5966" t="s">
        <v>6022</v>
      </c>
      <c r="E5966" t="s">
        <v>6030</v>
      </c>
      <c r="F5966" t="s">
        <v>6034</v>
      </c>
      <c r="G5966" t="s">
        <v>6042</v>
      </c>
      <c r="H5966" t="s">
        <v>6098</v>
      </c>
      <c r="I5966">
        <v>24</v>
      </c>
      <c r="J5966">
        <v>3.5</v>
      </c>
      <c r="K5966" t="s">
        <v>6100</v>
      </c>
      <c r="L5966" t="s">
        <v>6099</v>
      </c>
      <c r="M5966" t="s">
        <v>6100</v>
      </c>
      <c r="N5966">
        <v>5</v>
      </c>
      <c r="O5966" t="s">
        <v>6101</v>
      </c>
      <c r="P5966" t="s">
        <v>6115</v>
      </c>
      <c r="Q5966">
        <v>9</v>
      </c>
      <c r="R5966">
        <v>2026</v>
      </c>
      <c r="S5966" t="s">
        <v>6099</v>
      </c>
      <c r="T5966">
        <v>1</v>
      </c>
      <c r="U5966" t="s">
        <v>6020</v>
      </c>
      <c r="V5966">
        <v>0</v>
      </c>
    </row>
    <row r="5967" spans="1:22" x14ac:dyDescent="0.3">
      <c r="A5967" t="s">
        <v>5982</v>
      </c>
      <c r="B5967" s="2">
        <v>46294.481249999997</v>
      </c>
      <c r="C5967" s="2">
        <v>46294.53125</v>
      </c>
      <c r="D5967" t="s">
        <v>6028</v>
      </c>
      <c r="E5967" t="s">
        <v>6030</v>
      </c>
      <c r="F5967" t="s">
        <v>6035</v>
      </c>
      <c r="G5967" t="s">
        <v>6046</v>
      </c>
      <c r="H5967" t="s">
        <v>6098</v>
      </c>
      <c r="I5967">
        <v>4</v>
      </c>
      <c r="J5967">
        <v>1.2</v>
      </c>
      <c r="K5967" t="s">
        <v>6099</v>
      </c>
      <c r="L5967" t="s">
        <v>6100</v>
      </c>
      <c r="M5967" t="s">
        <v>6099</v>
      </c>
      <c r="N5967">
        <v>5</v>
      </c>
      <c r="O5967" t="s">
        <v>6101</v>
      </c>
      <c r="P5967" t="s">
        <v>6115</v>
      </c>
      <c r="Q5967">
        <v>9</v>
      </c>
      <c r="R5967">
        <v>2026</v>
      </c>
      <c r="S5967" t="s">
        <v>6099</v>
      </c>
      <c r="T5967">
        <v>1</v>
      </c>
      <c r="U5967" t="s">
        <v>6021</v>
      </c>
      <c r="V5967">
        <v>1</v>
      </c>
    </row>
    <row r="5968" spans="1:22" x14ac:dyDescent="0.3">
      <c r="A5968" t="s">
        <v>5983</v>
      </c>
      <c r="B5968" s="2">
        <v>46294.498611111114</v>
      </c>
      <c r="C5968" s="2">
        <v>46294.990277777775</v>
      </c>
      <c r="D5968" t="s">
        <v>6025</v>
      </c>
      <c r="E5968" t="s">
        <v>6029</v>
      </c>
      <c r="F5968" t="s">
        <v>6034</v>
      </c>
      <c r="G5968" t="s">
        <v>6045</v>
      </c>
      <c r="H5968" t="s">
        <v>6096</v>
      </c>
      <c r="I5968">
        <v>24</v>
      </c>
      <c r="J5968">
        <v>11.8</v>
      </c>
      <c r="K5968" t="s">
        <v>6099</v>
      </c>
      <c r="L5968" t="s">
        <v>6100</v>
      </c>
      <c r="M5968" t="s">
        <v>6100</v>
      </c>
      <c r="N5968">
        <v>3</v>
      </c>
      <c r="O5968" t="s">
        <v>6101</v>
      </c>
      <c r="P5968" t="s">
        <v>6115</v>
      </c>
      <c r="Q5968">
        <v>9</v>
      </c>
      <c r="R5968">
        <v>2026</v>
      </c>
      <c r="S5968" t="s">
        <v>6099</v>
      </c>
      <c r="T5968">
        <v>1</v>
      </c>
      <c r="U5968" t="s">
        <v>6019</v>
      </c>
      <c r="V5968">
        <v>1</v>
      </c>
    </row>
    <row r="5969" spans="1:22" x14ac:dyDescent="0.3">
      <c r="A5969" t="s">
        <v>5984</v>
      </c>
      <c r="B5969" s="2">
        <v>46294.522916666669</v>
      </c>
      <c r="C5969" s="2"/>
      <c r="D5969" t="s">
        <v>6025</v>
      </c>
      <c r="E5969" t="s">
        <v>6031</v>
      </c>
      <c r="F5969" t="s">
        <v>6034</v>
      </c>
      <c r="G5969" t="s">
        <v>6037</v>
      </c>
      <c r="H5969" t="s">
        <v>6096</v>
      </c>
      <c r="I5969">
        <v>24</v>
      </c>
      <c r="K5969" t="s">
        <v>6100</v>
      </c>
      <c r="L5969" t="s">
        <v>6099</v>
      </c>
      <c r="M5969" t="s">
        <v>6100</v>
      </c>
      <c r="N5969">
        <v>3</v>
      </c>
      <c r="O5969" t="s">
        <v>6102</v>
      </c>
      <c r="P5969" t="s">
        <v>6115</v>
      </c>
      <c r="Q5969">
        <v>9</v>
      </c>
      <c r="R5969">
        <v>2026</v>
      </c>
      <c r="U5969" t="s">
        <v>6020</v>
      </c>
      <c r="V5969">
        <v>0</v>
      </c>
    </row>
    <row r="5970" spans="1:22" x14ac:dyDescent="0.3">
      <c r="A5970" t="s">
        <v>5985</v>
      </c>
      <c r="B5970" s="2">
        <v>46294.532638888886</v>
      </c>
      <c r="C5970" s="2">
        <v>46295.474305555559</v>
      </c>
      <c r="D5970" t="s">
        <v>6023</v>
      </c>
      <c r="E5970" t="s">
        <v>6032</v>
      </c>
      <c r="F5970" t="s">
        <v>6034</v>
      </c>
      <c r="G5970" t="s">
        <v>6045</v>
      </c>
      <c r="H5970" t="s">
        <v>6096</v>
      </c>
      <c r="I5970">
        <v>24</v>
      </c>
      <c r="J5970">
        <v>22.6</v>
      </c>
      <c r="K5970" t="s">
        <v>6100</v>
      </c>
      <c r="L5970" t="s">
        <v>6100</v>
      </c>
      <c r="M5970" t="s">
        <v>6100</v>
      </c>
      <c r="O5970" t="s">
        <v>6101</v>
      </c>
      <c r="P5970" t="s">
        <v>6115</v>
      </c>
      <c r="Q5970">
        <v>9</v>
      </c>
      <c r="R5970">
        <v>2026</v>
      </c>
      <c r="S5970" t="s">
        <v>6099</v>
      </c>
      <c r="T5970">
        <v>1</v>
      </c>
      <c r="U5970" t="s">
        <v>6018</v>
      </c>
      <c r="V5970">
        <v>0</v>
      </c>
    </row>
    <row r="5971" spans="1:22" x14ac:dyDescent="0.3">
      <c r="A5971" t="s">
        <v>5986</v>
      </c>
      <c r="B5971" s="2">
        <v>46294.572222222225</v>
      </c>
      <c r="C5971" s="2"/>
      <c r="D5971" t="s">
        <v>6022</v>
      </c>
      <c r="E5971" t="s">
        <v>6031</v>
      </c>
      <c r="F5971" t="s">
        <v>6033</v>
      </c>
      <c r="G5971" t="s">
        <v>6059</v>
      </c>
      <c r="H5971" t="s">
        <v>6097</v>
      </c>
      <c r="I5971">
        <v>72</v>
      </c>
      <c r="K5971" t="s">
        <v>6099</v>
      </c>
      <c r="L5971" t="s">
        <v>6100</v>
      </c>
      <c r="M5971" t="s">
        <v>6100</v>
      </c>
      <c r="N5971">
        <v>4</v>
      </c>
      <c r="O5971" t="s">
        <v>6102</v>
      </c>
      <c r="P5971" t="s">
        <v>6115</v>
      </c>
      <c r="Q5971">
        <v>9</v>
      </c>
      <c r="R5971">
        <v>2026</v>
      </c>
      <c r="U5971" t="s">
        <v>6021</v>
      </c>
      <c r="V5971">
        <v>1</v>
      </c>
    </row>
    <row r="5972" spans="1:22" x14ac:dyDescent="0.3">
      <c r="A5972" t="s">
        <v>5987</v>
      </c>
      <c r="B5972" s="2">
        <v>46294.572916666664</v>
      </c>
      <c r="C5972" s="2">
        <v>46294.872916666667</v>
      </c>
      <c r="D5972" t="s">
        <v>6022</v>
      </c>
      <c r="E5972" t="s">
        <v>6030</v>
      </c>
      <c r="F5972" t="s">
        <v>6033</v>
      </c>
      <c r="G5972" t="s">
        <v>6066</v>
      </c>
      <c r="H5972" t="s">
        <v>6096</v>
      </c>
      <c r="I5972">
        <v>72</v>
      </c>
      <c r="J5972">
        <v>7.2</v>
      </c>
      <c r="K5972" t="s">
        <v>6100</v>
      </c>
      <c r="L5972" t="s">
        <v>6100</v>
      </c>
      <c r="M5972" t="s">
        <v>6100</v>
      </c>
      <c r="N5972">
        <v>4</v>
      </c>
      <c r="O5972" t="s">
        <v>6101</v>
      </c>
      <c r="P5972" t="s">
        <v>6115</v>
      </c>
      <c r="Q5972">
        <v>9</v>
      </c>
      <c r="R5972">
        <v>2026</v>
      </c>
      <c r="S5972" t="s">
        <v>6099</v>
      </c>
      <c r="T5972">
        <v>1</v>
      </c>
      <c r="U5972" t="s">
        <v>6017</v>
      </c>
      <c r="V5972">
        <v>0</v>
      </c>
    </row>
    <row r="5973" spans="1:22" x14ac:dyDescent="0.3">
      <c r="A5973" t="s">
        <v>5988</v>
      </c>
      <c r="B5973" s="2">
        <v>46294.616666666669</v>
      </c>
      <c r="C5973" s="2">
        <v>46294.974999999999</v>
      </c>
      <c r="D5973" t="s">
        <v>6023</v>
      </c>
      <c r="E5973" t="s">
        <v>6030</v>
      </c>
      <c r="F5973" t="s">
        <v>6034</v>
      </c>
      <c r="G5973" t="s">
        <v>6041</v>
      </c>
      <c r="H5973" t="s">
        <v>6096</v>
      </c>
      <c r="I5973">
        <v>24</v>
      </c>
      <c r="J5973">
        <v>8.6</v>
      </c>
      <c r="K5973" t="s">
        <v>6100</v>
      </c>
      <c r="L5973" t="s">
        <v>6099</v>
      </c>
      <c r="M5973" t="s">
        <v>6100</v>
      </c>
      <c r="O5973" t="s">
        <v>6101</v>
      </c>
      <c r="P5973" t="s">
        <v>6115</v>
      </c>
      <c r="Q5973">
        <v>9</v>
      </c>
      <c r="R5973">
        <v>2026</v>
      </c>
      <c r="S5973" t="s">
        <v>6099</v>
      </c>
      <c r="T5973">
        <v>1</v>
      </c>
      <c r="U5973" t="s">
        <v>6019</v>
      </c>
      <c r="V5973">
        <v>0</v>
      </c>
    </row>
    <row r="5974" spans="1:22" x14ac:dyDescent="0.3">
      <c r="A5974" t="s">
        <v>5989</v>
      </c>
      <c r="B5974" s="2">
        <v>46294.62222222222</v>
      </c>
      <c r="C5974" s="2">
        <v>46294.843055555553</v>
      </c>
      <c r="D5974" t="s">
        <v>6028</v>
      </c>
      <c r="E5974" t="s">
        <v>6030</v>
      </c>
      <c r="F5974" t="s">
        <v>6035</v>
      </c>
      <c r="G5974" t="s">
        <v>6050</v>
      </c>
      <c r="H5974" t="s">
        <v>6098</v>
      </c>
      <c r="I5974">
        <v>4</v>
      </c>
      <c r="J5974">
        <v>5.3</v>
      </c>
      <c r="K5974" t="s">
        <v>6099</v>
      </c>
      <c r="L5974" t="s">
        <v>6100</v>
      </c>
      <c r="M5974" t="s">
        <v>6100</v>
      </c>
      <c r="N5974">
        <v>5</v>
      </c>
      <c r="O5974" t="s">
        <v>6101</v>
      </c>
      <c r="P5974" t="s">
        <v>6115</v>
      </c>
      <c r="Q5974">
        <v>9</v>
      </c>
      <c r="R5974">
        <v>2026</v>
      </c>
      <c r="S5974" t="s">
        <v>6100</v>
      </c>
      <c r="T5974">
        <v>0</v>
      </c>
      <c r="U5974" t="s">
        <v>6018</v>
      </c>
      <c r="V5974">
        <v>1</v>
      </c>
    </row>
    <row r="5975" spans="1:22" x14ac:dyDescent="0.3">
      <c r="A5975" t="s">
        <v>5990</v>
      </c>
      <c r="B5975" s="2">
        <v>46294.630555555559</v>
      </c>
      <c r="C5975" s="2">
        <v>46294.74722222222</v>
      </c>
      <c r="D5975" t="s">
        <v>6028</v>
      </c>
      <c r="E5975" t="s">
        <v>6029</v>
      </c>
      <c r="F5975" t="s">
        <v>6034</v>
      </c>
      <c r="G5975" t="s">
        <v>6040</v>
      </c>
      <c r="H5975" t="s">
        <v>6097</v>
      </c>
      <c r="I5975">
        <v>24</v>
      </c>
      <c r="J5975">
        <v>2.8</v>
      </c>
      <c r="K5975" t="s">
        <v>6099</v>
      </c>
      <c r="L5975" t="s">
        <v>6100</v>
      </c>
      <c r="M5975" t="s">
        <v>6100</v>
      </c>
      <c r="O5975" t="s">
        <v>6101</v>
      </c>
      <c r="P5975" t="s">
        <v>6115</v>
      </c>
      <c r="Q5975">
        <v>9</v>
      </c>
      <c r="R5975">
        <v>2026</v>
      </c>
      <c r="S5975" t="s">
        <v>6099</v>
      </c>
      <c r="T5975">
        <v>1</v>
      </c>
      <c r="U5975" t="s">
        <v>6021</v>
      </c>
      <c r="V5975">
        <v>1</v>
      </c>
    </row>
    <row r="5976" spans="1:22" x14ac:dyDescent="0.3">
      <c r="A5976" t="s">
        <v>5991</v>
      </c>
      <c r="B5976" s="2">
        <v>46294.646527777775</v>
      </c>
      <c r="C5976" s="2">
        <v>46295.263194444444</v>
      </c>
      <c r="D5976" t="s">
        <v>6025</v>
      </c>
      <c r="E5976" t="s">
        <v>6029</v>
      </c>
      <c r="F5976" t="s">
        <v>6033</v>
      </c>
      <c r="G5976" t="s">
        <v>6080</v>
      </c>
      <c r="H5976" t="s">
        <v>6096</v>
      </c>
      <c r="I5976">
        <v>72</v>
      </c>
      <c r="J5976">
        <v>14.8</v>
      </c>
      <c r="K5976" t="s">
        <v>6100</v>
      </c>
      <c r="L5976" t="s">
        <v>6099</v>
      </c>
      <c r="M5976" t="s">
        <v>6100</v>
      </c>
      <c r="N5976">
        <v>4</v>
      </c>
      <c r="O5976" t="s">
        <v>6101</v>
      </c>
      <c r="P5976" t="s">
        <v>6115</v>
      </c>
      <c r="Q5976">
        <v>9</v>
      </c>
      <c r="R5976">
        <v>2026</v>
      </c>
      <c r="S5976" t="s">
        <v>6099</v>
      </c>
      <c r="T5976">
        <v>1</v>
      </c>
      <c r="U5976" t="s">
        <v>6017</v>
      </c>
      <c r="V5976">
        <v>0</v>
      </c>
    </row>
    <row r="5977" spans="1:22" x14ac:dyDescent="0.3">
      <c r="A5977" t="s">
        <v>5992</v>
      </c>
      <c r="B5977" s="2">
        <v>46294.647916666669</v>
      </c>
      <c r="C5977" s="2">
        <v>46294.82708333333</v>
      </c>
      <c r="D5977" t="s">
        <v>6023</v>
      </c>
      <c r="E5977" t="s">
        <v>6030</v>
      </c>
      <c r="F5977" t="s">
        <v>6033</v>
      </c>
      <c r="G5977" t="s">
        <v>6068</v>
      </c>
      <c r="H5977" t="s">
        <v>6098</v>
      </c>
      <c r="I5977">
        <v>72</v>
      </c>
      <c r="J5977">
        <v>4.3</v>
      </c>
      <c r="K5977" t="s">
        <v>6099</v>
      </c>
      <c r="L5977" t="s">
        <v>6100</v>
      </c>
      <c r="M5977" t="s">
        <v>6100</v>
      </c>
      <c r="N5977">
        <v>5</v>
      </c>
      <c r="O5977" t="s">
        <v>6101</v>
      </c>
      <c r="P5977" t="s">
        <v>6115</v>
      </c>
      <c r="Q5977">
        <v>9</v>
      </c>
      <c r="R5977">
        <v>2026</v>
      </c>
      <c r="S5977" t="s">
        <v>6099</v>
      </c>
      <c r="T5977">
        <v>1</v>
      </c>
      <c r="U5977" t="s">
        <v>6021</v>
      </c>
      <c r="V5977">
        <v>1</v>
      </c>
    </row>
    <row r="5978" spans="1:22" x14ac:dyDescent="0.3">
      <c r="A5978" t="s">
        <v>5993</v>
      </c>
      <c r="B5978" s="2">
        <v>46294.711805555555</v>
      </c>
      <c r="C5978" s="2">
        <v>46295.953472222223</v>
      </c>
      <c r="D5978" t="s">
        <v>6026</v>
      </c>
      <c r="E5978" t="s">
        <v>6031</v>
      </c>
      <c r="F5978" t="s">
        <v>6034</v>
      </c>
      <c r="G5978" t="s">
        <v>6077</v>
      </c>
      <c r="H5978" t="s">
        <v>6098</v>
      </c>
      <c r="I5978">
        <v>24</v>
      </c>
      <c r="J5978">
        <v>29.8</v>
      </c>
      <c r="K5978" t="s">
        <v>6099</v>
      </c>
      <c r="L5978" t="s">
        <v>6100</v>
      </c>
      <c r="M5978" t="s">
        <v>6100</v>
      </c>
      <c r="O5978" t="s">
        <v>6101</v>
      </c>
      <c r="P5978" t="s">
        <v>6115</v>
      </c>
      <c r="Q5978">
        <v>9</v>
      </c>
      <c r="R5978">
        <v>2026</v>
      </c>
      <c r="S5978" t="s">
        <v>6100</v>
      </c>
      <c r="T5978">
        <v>0</v>
      </c>
      <c r="U5978" t="s">
        <v>6021</v>
      </c>
      <c r="V5978">
        <v>1</v>
      </c>
    </row>
    <row r="5979" spans="1:22" x14ac:dyDescent="0.3">
      <c r="A5979" t="s">
        <v>5994</v>
      </c>
      <c r="B5979" s="2">
        <v>46294.716666666667</v>
      </c>
      <c r="C5979" s="2">
        <v>46294.854166666664</v>
      </c>
      <c r="D5979" t="s">
        <v>6023</v>
      </c>
      <c r="E5979" t="s">
        <v>6029</v>
      </c>
      <c r="F5979" t="s">
        <v>6034</v>
      </c>
      <c r="G5979" t="s">
        <v>6073</v>
      </c>
      <c r="H5979" t="s">
        <v>6096</v>
      </c>
      <c r="I5979">
        <v>24</v>
      </c>
      <c r="J5979">
        <v>3.3</v>
      </c>
      <c r="K5979" t="s">
        <v>6099</v>
      </c>
      <c r="L5979" t="s">
        <v>6100</v>
      </c>
      <c r="M5979" t="s">
        <v>6100</v>
      </c>
      <c r="O5979" t="s">
        <v>6101</v>
      </c>
      <c r="P5979" t="s">
        <v>6115</v>
      </c>
      <c r="Q5979">
        <v>9</v>
      </c>
      <c r="R5979">
        <v>2026</v>
      </c>
      <c r="S5979" t="s">
        <v>6099</v>
      </c>
      <c r="T5979">
        <v>1</v>
      </c>
      <c r="U5979" t="s">
        <v>6019</v>
      </c>
      <c r="V5979">
        <v>1</v>
      </c>
    </row>
    <row r="5980" spans="1:22" x14ac:dyDescent="0.3">
      <c r="A5980" t="s">
        <v>5995</v>
      </c>
      <c r="B5980" s="2">
        <v>46294.732638888891</v>
      </c>
      <c r="C5980" s="2">
        <v>46295.065972222219</v>
      </c>
      <c r="D5980" t="s">
        <v>6028</v>
      </c>
      <c r="E5980" t="s">
        <v>6029</v>
      </c>
      <c r="F5980" t="s">
        <v>6034</v>
      </c>
      <c r="G5980" t="s">
        <v>6071</v>
      </c>
      <c r="H5980" t="s">
        <v>6098</v>
      </c>
      <c r="I5980">
        <v>24</v>
      </c>
      <c r="J5980">
        <v>8</v>
      </c>
      <c r="K5980" t="s">
        <v>6100</v>
      </c>
      <c r="L5980" t="s">
        <v>6100</v>
      </c>
      <c r="M5980" t="s">
        <v>6100</v>
      </c>
      <c r="N5980">
        <v>4</v>
      </c>
      <c r="O5980" t="s">
        <v>6101</v>
      </c>
      <c r="P5980" t="s">
        <v>6115</v>
      </c>
      <c r="Q5980">
        <v>9</v>
      </c>
      <c r="R5980">
        <v>2026</v>
      </c>
      <c r="S5980" t="s">
        <v>6099</v>
      </c>
      <c r="T5980">
        <v>1</v>
      </c>
      <c r="U5980" t="s">
        <v>6021</v>
      </c>
      <c r="V5980">
        <v>0</v>
      </c>
    </row>
    <row r="5981" spans="1:22" x14ac:dyDescent="0.3">
      <c r="A5981" t="s">
        <v>5996</v>
      </c>
      <c r="B5981" s="2">
        <v>46294.744444444441</v>
      </c>
      <c r="C5981" s="2">
        <v>46294.915277777778</v>
      </c>
      <c r="D5981" t="s">
        <v>6028</v>
      </c>
      <c r="E5981" t="s">
        <v>6029</v>
      </c>
      <c r="F5981" t="s">
        <v>6035</v>
      </c>
      <c r="G5981" t="s">
        <v>6052</v>
      </c>
      <c r="H5981" t="s">
        <v>6098</v>
      </c>
      <c r="I5981">
        <v>4</v>
      </c>
      <c r="J5981">
        <v>4.0999999999999996</v>
      </c>
      <c r="K5981" t="s">
        <v>6099</v>
      </c>
      <c r="L5981" t="s">
        <v>6100</v>
      </c>
      <c r="M5981" t="s">
        <v>6100</v>
      </c>
      <c r="N5981">
        <v>4</v>
      </c>
      <c r="O5981" t="s">
        <v>6101</v>
      </c>
      <c r="P5981" t="s">
        <v>6115</v>
      </c>
      <c r="Q5981">
        <v>9</v>
      </c>
      <c r="R5981">
        <v>2026</v>
      </c>
      <c r="S5981" t="s">
        <v>6100</v>
      </c>
      <c r="T5981">
        <v>0</v>
      </c>
      <c r="U5981" t="s">
        <v>6017</v>
      </c>
      <c r="V5981">
        <v>1</v>
      </c>
    </row>
    <row r="5982" spans="1:22" x14ac:dyDescent="0.3">
      <c r="A5982" t="s">
        <v>5997</v>
      </c>
      <c r="B5982" s="2">
        <v>46294.882638888892</v>
      </c>
      <c r="C5982" s="2">
        <v>46295.02847222222</v>
      </c>
      <c r="D5982" t="s">
        <v>6023</v>
      </c>
      <c r="E5982" t="s">
        <v>6030</v>
      </c>
      <c r="F5982" t="s">
        <v>6034</v>
      </c>
      <c r="G5982" t="s">
        <v>6074</v>
      </c>
      <c r="H5982" t="s">
        <v>6098</v>
      </c>
      <c r="I5982">
        <v>24</v>
      </c>
      <c r="J5982">
        <v>3.5</v>
      </c>
      <c r="K5982" t="s">
        <v>6099</v>
      </c>
      <c r="L5982" t="s">
        <v>6100</v>
      </c>
      <c r="M5982" t="s">
        <v>6100</v>
      </c>
      <c r="O5982" t="s">
        <v>6101</v>
      </c>
      <c r="P5982" t="s">
        <v>6115</v>
      </c>
      <c r="Q5982">
        <v>9</v>
      </c>
      <c r="R5982">
        <v>2026</v>
      </c>
      <c r="S5982" t="s">
        <v>6099</v>
      </c>
      <c r="T5982">
        <v>1</v>
      </c>
      <c r="U5982" t="s">
        <v>6017</v>
      </c>
      <c r="V5982">
        <v>1</v>
      </c>
    </row>
    <row r="5983" spans="1:22" x14ac:dyDescent="0.3">
      <c r="A5983" t="s">
        <v>5998</v>
      </c>
      <c r="B5983" s="2">
        <v>46294.96597222222</v>
      </c>
      <c r="C5983" s="2"/>
      <c r="D5983" t="s">
        <v>6026</v>
      </c>
      <c r="E5983" t="s">
        <v>6031</v>
      </c>
      <c r="F5983" t="s">
        <v>6033</v>
      </c>
      <c r="G5983" t="s">
        <v>6061</v>
      </c>
      <c r="H5983" t="s">
        <v>6096</v>
      </c>
      <c r="I5983">
        <v>72</v>
      </c>
      <c r="K5983" t="s">
        <v>6099</v>
      </c>
      <c r="L5983" t="s">
        <v>6100</v>
      </c>
      <c r="M5983" t="s">
        <v>6100</v>
      </c>
      <c r="O5983" t="s">
        <v>6102</v>
      </c>
      <c r="P5983" t="s">
        <v>6115</v>
      </c>
      <c r="Q5983">
        <v>9</v>
      </c>
      <c r="R5983">
        <v>2026</v>
      </c>
      <c r="U5983" t="s">
        <v>6020</v>
      </c>
      <c r="V5983">
        <v>1</v>
      </c>
    </row>
    <row r="5984" spans="1:22" x14ac:dyDescent="0.3">
      <c r="A5984" t="s">
        <v>5999</v>
      </c>
      <c r="B5984" s="2">
        <v>46295.363888888889</v>
      </c>
      <c r="C5984" s="2">
        <v>46295.876388888886</v>
      </c>
      <c r="D5984" t="s">
        <v>6023</v>
      </c>
      <c r="E5984" t="s">
        <v>6032</v>
      </c>
      <c r="F5984" t="s">
        <v>6033</v>
      </c>
      <c r="G5984" t="s">
        <v>6092</v>
      </c>
      <c r="H5984" t="s">
        <v>6097</v>
      </c>
      <c r="I5984">
        <v>72</v>
      </c>
      <c r="J5984">
        <v>12.3</v>
      </c>
      <c r="K5984" t="s">
        <v>6099</v>
      </c>
      <c r="L5984" t="s">
        <v>6100</v>
      </c>
      <c r="M5984" t="s">
        <v>6100</v>
      </c>
      <c r="N5984">
        <v>5</v>
      </c>
      <c r="O5984" t="s">
        <v>6101</v>
      </c>
      <c r="P5984" t="s">
        <v>6115</v>
      </c>
      <c r="Q5984">
        <v>9</v>
      </c>
      <c r="R5984">
        <v>2026</v>
      </c>
      <c r="S5984" t="s">
        <v>6099</v>
      </c>
      <c r="T5984">
        <v>1</v>
      </c>
      <c r="U5984" t="s">
        <v>6020</v>
      </c>
      <c r="V5984">
        <v>1</v>
      </c>
    </row>
    <row r="5985" spans="1:22" x14ac:dyDescent="0.3">
      <c r="A5985" t="s">
        <v>6000</v>
      </c>
      <c r="B5985" s="2">
        <v>46295.378472222219</v>
      </c>
      <c r="C5985" s="2"/>
      <c r="D5985" t="s">
        <v>6025</v>
      </c>
      <c r="E5985" t="s">
        <v>6031</v>
      </c>
      <c r="F5985" t="s">
        <v>6033</v>
      </c>
      <c r="G5985" t="s">
        <v>6094</v>
      </c>
      <c r="H5985" t="s">
        <v>6098</v>
      </c>
      <c r="I5985">
        <v>72</v>
      </c>
      <c r="K5985" t="s">
        <v>6100</v>
      </c>
      <c r="L5985" t="s">
        <v>6100</v>
      </c>
      <c r="M5985" t="s">
        <v>6100</v>
      </c>
      <c r="N5985">
        <v>4</v>
      </c>
      <c r="O5985" t="s">
        <v>6102</v>
      </c>
      <c r="P5985" t="s">
        <v>6115</v>
      </c>
      <c r="Q5985">
        <v>9</v>
      </c>
      <c r="R5985">
        <v>2026</v>
      </c>
      <c r="U5985" t="s">
        <v>6018</v>
      </c>
      <c r="V5985">
        <v>0</v>
      </c>
    </row>
    <row r="5986" spans="1:22" x14ac:dyDescent="0.3">
      <c r="A5986" t="s">
        <v>6001</v>
      </c>
      <c r="B5986" s="2">
        <v>46295.406944444447</v>
      </c>
      <c r="C5986" s="2">
        <v>46295.623611111114</v>
      </c>
      <c r="D5986" t="s">
        <v>6023</v>
      </c>
      <c r="E5986" t="s">
        <v>6030</v>
      </c>
      <c r="F5986" t="s">
        <v>6033</v>
      </c>
      <c r="G5986" t="s">
        <v>6094</v>
      </c>
      <c r="H5986" t="s">
        <v>6098</v>
      </c>
      <c r="I5986">
        <v>72</v>
      </c>
      <c r="J5986">
        <v>5.2</v>
      </c>
      <c r="K5986" t="s">
        <v>6099</v>
      </c>
      <c r="L5986" t="s">
        <v>6100</v>
      </c>
      <c r="M5986" t="s">
        <v>6100</v>
      </c>
      <c r="O5986" t="s">
        <v>6101</v>
      </c>
      <c r="P5986" t="s">
        <v>6115</v>
      </c>
      <c r="Q5986">
        <v>9</v>
      </c>
      <c r="R5986">
        <v>2026</v>
      </c>
      <c r="S5986" t="s">
        <v>6099</v>
      </c>
      <c r="T5986">
        <v>1</v>
      </c>
      <c r="U5986" t="s">
        <v>6020</v>
      </c>
      <c r="V5986">
        <v>1</v>
      </c>
    </row>
    <row r="5987" spans="1:22" x14ac:dyDescent="0.3">
      <c r="A5987" t="s">
        <v>6002</v>
      </c>
      <c r="B5987" s="2">
        <v>46295.423611111109</v>
      </c>
      <c r="C5987" s="2">
        <v>46295.948611111111</v>
      </c>
      <c r="D5987" t="s">
        <v>6023</v>
      </c>
      <c r="E5987" t="s">
        <v>6032</v>
      </c>
      <c r="F5987" t="s">
        <v>6034</v>
      </c>
      <c r="G5987" t="s">
        <v>6090</v>
      </c>
      <c r="H5987" t="s">
        <v>6097</v>
      </c>
      <c r="I5987">
        <v>24</v>
      </c>
      <c r="J5987">
        <v>12.6</v>
      </c>
      <c r="K5987" t="s">
        <v>6099</v>
      </c>
      <c r="L5987" t="s">
        <v>6100</v>
      </c>
      <c r="M5987" t="s">
        <v>6100</v>
      </c>
      <c r="O5987" t="s">
        <v>6101</v>
      </c>
      <c r="P5987" t="s">
        <v>6115</v>
      </c>
      <c r="Q5987">
        <v>9</v>
      </c>
      <c r="R5987">
        <v>2026</v>
      </c>
      <c r="S5987" t="s">
        <v>6099</v>
      </c>
      <c r="T5987">
        <v>1</v>
      </c>
      <c r="U5987" t="s">
        <v>6018</v>
      </c>
      <c r="V5987">
        <v>1</v>
      </c>
    </row>
    <row r="5988" spans="1:22" x14ac:dyDescent="0.3">
      <c r="A5988" t="s">
        <v>6003</v>
      </c>
      <c r="B5988" s="2">
        <v>46295.432638888888</v>
      </c>
      <c r="C5988" s="2">
        <v>46295.940972222219</v>
      </c>
      <c r="D5988" t="s">
        <v>6027</v>
      </c>
      <c r="E5988" t="s">
        <v>6031</v>
      </c>
      <c r="F5988" t="s">
        <v>6033</v>
      </c>
      <c r="G5988" t="s">
        <v>6095</v>
      </c>
      <c r="H5988" t="s">
        <v>6098</v>
      </c>
      <c r="I5988">
        <v>72</v>
      </c>
      <c r="J5988">
        <v>12.2</v>
      </c>
      <c r="K5988" t="s">
        <v>6099</v>
      </c>
      <c r="L5988" t="s">
        <v>6100</v>
      </c>
      <c r="M5988" t="s">
        <v>6100</v>
      </c>
      <c r="N5988">
        <v>5</v>
      </c>
      <c r="O5988" t="s">
        <v>6101</v>
      </c>
      <c r="P5988" t="s">
        <v>6115</v>
      </c>
      <c r="Q5988">
        <v>9</v>
      </c>
      <c r="R5988">
        <v>2026</v>
      </c>
      <c r="S5988" t="s">
        <v>6099</v>
      </c>
      <c r="T5988">
        <v>1</v>
      </c>
      <c r="U5988" t="s">
        <v>6018</v>
      </c>
      <c r="V5988">
        <v>1</v>
      </c>
    </row>
    <row r="5989" spans="1:22" x14ac:dyDescent="0.3">
      <c r="A5989" t="s">
        <v>6004</v>
      </c>
      <c r="B5989" s="2">
        <v>46295.436111111114</v>
      </c>
      <c r="C5989" s="2"/>
      <c r="D5989" t="s">
        <v>6022</v>
      </c>
      <c r="E5989" t="s">
        <v>6029</v>
      </c>
      <c r="F5989" t="s">
        <v>6034</v>
      </c>
      <c r="G5989" t="s">
        <v>6059</v>
      </c>
      <c r="H5989" t="s">
        <v>6097</v>
      </c>
      <c r="I5989">
        <v>24</v>
      </c>
      <c r="K5989" t="s">
        <v>6099</v>
      </c>
      <c r="L5989" t="s">
        <v>6100</v>
      </c>
      <c r="M5989" t="s">
        <v>6100</v>
      </c>
      <c r="N5989">
        <v>4</v>
      </c>
      <c r="O5989" t="s">
        <v>6102</v>
      </c>
      <c r="P5989" t="s">
        <v>6115</v>
      </c>
      <c r="Q5989">
        <v>9</v>
      </c>
      <c r="R5989">
        <v>2026</v>
      </c>
      <c r="U5989" t="s">
        <v>6021</v>
      </c>
      <c r="V5989">
        <v>1</v>
      </c>
    </row>
    <row r="5990" spans="1:22" x14ac:dyDescent="0.3">
      <c r="A5990" t="s">
        <v>6005</v>
      </c>
      <c r="B5990" s="2">
        <v>46295.450694444444</v>
      </c>
      <c r="C5990" s="2">
        <v>46295.850694444445</v>
      </c>
      <c r="D5990" t="s">
        <v>6028</v>
      </c>
      <c r="E5990" t="s">
        <v>6029</v>
      </c>
      <c r="F5990" t="s">
        <v>6035</v>
      </c>
      <c r="G5990" t="s">
        <v>6082</v>
      </c>
      <c r="H5990" t="s">
        <v>6097</v>
      </c>
      <c r="I5990">
        <v>4</v>
      </c>
      <c r="J5990">
        <v>9.6</v>
      </c>
      <c r="K5990" t="s">
        <v>6099</v>
      </c>
      <c r="L5990" t="s">
        <v>6100</v>
      </c>
      <c r="M5990" t="s">
        <v>6099</v>
      </c>
      <c r="N5990">
        <v>3</v>
      </c>
      <c r="O5990" t="s">
        <v>6101</v>
      </c>
      <c r="P5990" t="s">
        <v>6115</v>
      </c>
      <c r="Q5990">
        <v>9</v>
      </c>
      <c r="R5990">
        <v>2026</v>
      </c>
      <c r="S5990" t="s">
        <v>6100</v>
      </c>
      <c r="T5990">
        <v>0</v>
      </c>
      <c r="U5990" t="s">
        <v>6018</v>
      </c>
      <c r="V5990">
        <v>1</v>
      </c>
    </row>
    <row r="5991" spans="1:22" x14ac:dyDescent="0.3">
      <c r="A5991" t="s">
        <v>6006</v>
      </c>
      <c r="B5991" s="2">
        <v>46295.462500000001</v>
      </c>
      <c r="C5991" s="2"/>
      <c r="D5991" t="s">
        <v>6022</v>
      </c>
      <c r="E5991" t="s">
        <v>6031</v>
      </c>
      <c r="F5991" t="s">
        <v>6034</v>
      </c>
      <c r="G5991" t="s">
        <v>6046</v>
      </c>
      <c r="H5991" t="s">
        <v>6098</v>
      </c>
      <c r="I5991">
        <v>24</v>
      </c>
      <c r="K5991" t="s">
        <v>6099</v>
      </c>
      <c r="L5991" t="s">
        <v>6100</v>
      </c>
      <c r="M5991" t="s">
        <v>6100</v>
      </c>
      <c r="N5991">
        <v>4</v>
      </c>
      <c r="O5991" t="s">
        <v>6102</v>
      </c>
      <c r="P5991" t="s">
        <v>6115</v>
      </c>
      <c r="Q5991">
        <v>9</v>
      </c>
      <c r="R5991">
        <v>2026</v>
      </c>
      <c r="U5991" t="s">
        <v>6018</v>
      </c>
      <c r="V5991">
        <v>1</v>
      </c>
    </row>
    <row r="5992" spans="1:22" x14ac:dyDescent="0.3">
      <c r="A5992" t="s">
        <v>6007</v>
      </c>
      <c r="B5992" s="2">
        <v>46295.470833333333</v>
      </c>
      <c r="C5992" s="2">
        <v>46295.85</v>
      </c>
      <c r="D5992" t="s">
        <v>6027</v>
      </c>
      <c r="E5992" t="s">
        <v>6029</v>
      </c>
      <c r="F5992" t="s">
        <v>6034</v>
      </c>
      <c r="G5992" t="s">
        <v>6084</v>
      </c>
      <c r="H5992" t="s">
        <v>6098</v>
      </c>
      <c r="I5992">
        <v>24</v>
      </c>
      <c r="J5992">
        <v>9.1</v>
      </c>
      <c r="K5992" t="s">
        <v>6099</v>
      </c>
      <c r="L5992" t="s">
        <v>6100</v>
      </c>
      <c r="M5992" t="s">
        <v>6100</v>
      </c>
      <c r="N5992">
        <v>5</v>
      </c>
      <c r="O5992" t="s">
        <v>6101</v>
      </c>
      <c r="P5992" t="s">
        <v>6115</v>
      </c>
      <c r="Q5992">
        <v>9</v>
      </c>
      <c r="R5992">
        <v>2026</v>
      </c>
      <c r="S5992" t="s">
        <v>6099</v>
      </c>
      <c r="T5992">
        <v>1</v>
      </c>
      <c r="U5992" t="s">
        <v>6018</v>
      </c>
      <c r="V5992">
        <v>1</v>
      </c>
    </row>
    <row r="5993" spans="1:22" x14ac:dyDescent="0.3">
      <c r="A5993" t="s">
        <v>6008</v>
      </c>
      <c r="B5993" s="2">
        <v>46295.554861111108</v>
      </c>
      <c r="C5993" s="2">
        <v>46295.729861111111</v>
      </c>
      <c r="D5993" t="s">
        <v>6028</v>
      </c>
      <c r="E5993" t="s">
        <v>6030</v>
      </c>
      <c r="F5993" t="s">
        <v>6035</v>
      </c>
      <c r="G5993" t="s">
        <v>6041</v>
      </c>
      <c r="H5993" t="s">
        <v>6096</v>
      </c>
      <c r="I5993">
        <v>4</v>
      </c>
      <c r="J5993">
        <v>4.2</v>
      </c>
      <c r="K5993" t="s">
        <v>6100</v>
      </c>
      <c r="L5993" t="s">
        <v>6100</v>
      </c>
      <c r="M5993" t="s">
        <v>6100</v>
      </c>
      <c r="O5993" t="s">
        <v>6101</v>
      </c>
      <c r="P5993" t="s">
        <v>6115</v>
      </c>
      <c r="Q5993">
        <v>9</v>
      </c>
      <c r="R5993">
        <v>2026</v>
      </c>
      <c r="S5993" t="s">
        <v>6100</v>
      </c>
      <c r="T5993">
        <v>0</v>
      </c>
      <c r="U5993" t="s">
        <v>6020</v>
      </c>
      <c r="V5993">
        <v>0</v>
      </c>
    </row>
    <row r="5994" spans="1:22" x14ac:dyDescent="0.3">
      <c r="A5994" t="s">
        <v>6009</v>
      </c>
      <c r="B5994" s="2">
        <v>46295.561805555553</v>
      </c>
      <c r="C5994" s="2"/>
      <c r="D5994" t="s">
        <v>6025</v>
      </c>
      <c r="E5994" t="s">
        <v>6030</v>
      </c>
      <c r="F5994" t="s">
        <v>6034</v>
      </c>
      <c r="G5994" t="s">
        <v>6059</v>
      </c>
      <c r="H5994" t="s">
        <v>6097</v>
      </c>
      <c r="I5994">
        <v>24</v>
      </c>
      <c r="K5994" t="s">
        <v>6099</v>
      </c>
      <c r="L5994" t="s">
        <v>6100</v>
      </c>
      <c r="M5994" t="s">
        <v>6100</v>
      </c>
      <c r="O5994" t="s">
        <v>6102</v>
      </c>
      <c r="P5994" t="s">
        <v>6115</v>
      </c>
      <c r="Q5994">
        <v>9</v>
      </c>
      <c r="R5994">
        <v>2026</v>
      </c>
      <c r="U5994" t="s">
        <v>6021</v>
      </c>
      <c r="V5994">
        <v>1</v>
      </c>
    </row>
    <row r="5995" spans="1:22" x14ac:dyDescent="0.3">
      <c r="A5995" t="s">
        <v>6010</v>
      </c>
      <c r="B5995" s="2">
        <v>46295.589583333334</v>
      </c>
      <c r="C5995" s="2"/>
      <c r="D5995" t="s">
        <v>6026</v>
      </c>
      <c r="E5995" t="s">
        <v>6031</v>
      </c>
      <c r="F5995" t="s">
        <v>6034</v>
      </c>
      <c r="G5995" t="s">
        <v>6090</v>
      </c>
      <c r="H5995" t="s">
        <v>6097</v>
      </c>
      <c r="I5995">
        <v>24</v>
      </c>
      <c r="K5995" t="s">
        <v>6099</v>
      </c>
      <c r="L5995" t="s">
        <v>6100</v>
      </c>
      <c r="M5995" t="s">
        <v>6100</v>
      </c>
      <c r="N5995">
        <v>4</v>
      </c>
      <c r="O5995" t="s">
        <v>6102</v>
      </c>
      <c r="P5995" t="s">
        <v>6115</v>
      </c>
      <c r="Q5995">
        <v>9</v>
      </c>
      <c r="R5995">
        <v>2026</v>
      </c>
      <c r="U5995" t="s">
        <v>6017</v>
      </c>
      <c r="V5995">
        <v>1</v>
      </c>
    </row>
    <row r="5996" spans="1:22" x14ac:dyDescent="0.3">
      <c r="A5996" t="s">
        <v>6011</v>
      </c>
      <c r="B5996" s="2">
        <v>46295.647916666669</v>
      </c>
      <c r="C5996" s="2"/>
      <c r="D5996" t="s">
        <v>6022</v>
      </c>
      <c r="E5996" t="s">
        <v>6029</v>
      </c>
      <c r="F5996" t="s">
        <v>6035</v>
      </c>
      <c r="G5996" t="s">
        <v>6069</v>
      </c>
      <c r="H5996" t="s">
        <v>6098</v>
      </c>
      <c r="I5996">
        <v>4</v>
      </c>
      <c r="K5996" t="s">
        <v>6099</v>
      </c>
      <c r="L5996" t="s">
        <v>6100</v>
      </c>
      <c r="M5996" t="s">
        <v>6100</v>
      </c>
      <c r="N5996">
        <v>4</v>
      </c>
      <c r="O5996" t="s">
        <v>6102</v>
      </c>
      <c r="P5996" t="s">
        <v>6115</v>
      </c>
      <c r="Q5996">
        <v>9</v>
      </c>
      <c r="R5996">
        <v>2026</v>
      </c>
      <c r="U5996" t="s">
        <v>6018</v>
      </c>
      <c r="V5996">
        <v>1</v>
      </c>
    </row>
    <row r="5997" spans="1:22" x14ac:dyDescent="0.3">
      <c r="A5997" t="s">
        <v>6012</v>
      </c>
      <c r="B5997" s="2">
        <v>46295.722916666666</v>
      </c>
      <c r="C5997" s="2"/>
      <c r="D5997" t="s">
        <v>6026</v>
      </c>
      <c r="E5997" t="s">
        <v>6031</v>
      </c>
      <c r="F5997" t="s">
        <v>6033</v>
      </c>
      <c r="G5997" t="s">
        <v>6051</v>
      </c>
      <c r="H5997" t="s">
        <v>6097</v>
      </c>
      <c r="I5997">
        <v>72</v>
      </c>
      <c r="K5997" t="s">
        <v>6100</v>
      </c>
      <c r="L5997" t="s">
        <v>6099</v>
      </c>
      <c r="M5997" t="s">
        <v>6100</v>
      </c>
      <c r="N5997">
        <v>2</v>
      </c>
      <c r="O5997" t="s">
        <v>6102</v>
      </c>
      <c r="P5997" t="s">
        <v>6115</v>
      </c>
      <c r="Q5997">
        <v>9</v>
      </c>
      <c r="R5997">
        <v>2026</v>
      </c>
      <c r="U5997" t="s">
        <v>6019</v>
      </c>
      <c r="V5997">
        <v>0</v>
      </c>
    </row>
    <row r="5998" spans="1:22" x14ac:dyDescent="0.3">
      <c r="A5998" t="s">
        <v>6013</v>
      </c>
      <c r="B5998" s="2">
        <v>46295.728472222225</v>
      </c>
      <c r="C5998" s="2"/>
      <c r="D5998" t="s">
        <v>6025</v>
      </c>
      <c r="E5998" t="s">
        <v>6031</v>
      </c>
      <c r="F5998" t="s">
        <v>6034</v>
      </c>
      <c r="G5998" t="s">
        <v>6084</v>
      </c>
      <c r="H5998" t="s">
        <v>6098</v>
      </c>
      <c r="I5998">
        <v>24</v>
      </c>
      <c r="K5998" t="s">
        <v>6099</v>
      </c>
      <c r="L5998" t="s">
        <v>6100</v>
      </c>
      <c r="M5998" t="s">
        <v>6100</v>
      </c>
      <c r="N5998">
        <v>5</v>
      </c>
      <c r="O5998" t="s">
        <v>6102</v>
      </c>
      <c r="P5998" t="s">
        <v>6115</v>
      </c>
      <c r="Q5998">
        <v>9</v>
      </c>
      <c r="R5998">
        <v>2026</v>
      </c>
      <c r="U5998" t="s">
        <v>6020</v>
      </c>
      <c r="V5998">
        <v>1</v>
      </c>
    </row>
    <row r="5999" spans="1:22" x14ac:dyDescent="0.3">
      <c r="A5999" t="s">
        <v>6014</v>
      </c>
      <c r="B5999" s="2">
        <v>46295.732638888891</v>
      </c>
      <c r="C5999" s="2">
        <v>46295.96597222222</v>
      </c>
      <c r="D5999" t="s">
        <v>6023</v>
      </c>
      <c r="E5999" t="s">
        <v>6029</v>
      </c>
      <c r="F5999" t="s">
        <v>6034</v>
      </c>
      <c r="G5999" t="s">
        <v>6036</v>
      </c>
      <c r="H5999" t="s">
        <v>6096</v>
      </c>
      <c r="I5999">
        <v>24</v>
      </c>
      <c r="J5999">
        <v>5.6</v>
      </c>
      <c r="K5999" t="s">
        <v>6099</v>
      </c>
      <c r="L5999" t="s">
        <v>6100</v>
      </c>
      <c r="M5999" t="s">
        <v>6100</v>
      </c>
      <c r="N5999">
        <v>5</v>
      </c>
      <c r="O5999" t="s">
        <v>6101</v>
      </c>
      <c r="P5999" t="s">
        <v>6115</v>
      </c>
      <c r="Q5999">
        <v>9</v>
      </c>
      <c r="R5999">
        <v>2026</v>
      </c>
      <c r="S5999" t="s">
        <v>6099</v>
      </c>
      <c r="T5999">
        <v>1</v>
      </c>
      <c r="U5999" t="s">
        <v>6020</v>
      </c>
      <c r="V5999">
        <v>1</v>
      </c>
    </row>
    <row r="6000" spans="1:22" x14ac:dyDescent="0.3">
      <c r="A6000" t="s">
        <v>6015</v>
      </c>
      <c r="B6000" s="2">
        <v>46295.806944444441</v>
      </c>
      <c r="C6000" s="2"/>
      <c r="D6000" t="s">
        <v>6023</v>
      </c>
      <c r="E6000" t="s">
        <v>6030</v>
      </c>
      <c r="F6000" t="s">
        <v>6033</v>
      </c>
      <c r="G6000" t="s">
        <v>6094</v>
      </c>
      <c r="H6000" t="s">
        <v>6098</v>
      </c>
      <c r="I6000">
        <v>72</v>
      </c>
      <c r="K6000" t="s">
        <v>6099</v>
      </c>
      <c r="L6000" t="s">
        <v>6100</v>
      </c>
      <c r="M6000" t="s">
        <v>6100</v>
      </c>
      <c r="N6000">
        <v>5</v>
      </c>
      <c r="O6000" t="s">
        <v>6102</v>
      </c>
      <c r="P6000" t="s">
        <v>6115</v>
      </c>
      <c r="Q6000">
        <v>9</v>
      </c>
      <c r="R6000">
        <v>2026</v>
      </c>
      <c r="U6000" t="s">
        <v>6020</v>
      </c>
      <c r="V6000">
        <v>1</v>
      </c>
    </row>
    <row r="6001" spans="1:22" x14ac:dyDescent="0.3">
      <c r="A6001" t="s">
        <v>6016</v>
      </c>
      <c r="B6001" s="2">
        <v>46295.835416666669</v>
      </c>
      <c r="C6001" s="2">
        <v>46295.989583333336</v>
      </c>
      <c r="D6001" t="s">
        <v>6028</v>
      </c>
      <c r="E6001" t="s">
        <v>6030</v>
      </c>
      <c r="F6001" t="s">
        <v>6034</v>
      </c>
      <c r="G6001" t="s">
        <v>6046</v>
      </c>
      <c r="H6001" t="s">
        <v>6098</v>
      </c>
      <c r="I6001">
        <v>24</v>
      </c>
      <c r="J6001">
        <v>3.7</v>
      </c>
      <c r="K6001" t="s">
        <v>6100</v>
      </c>
      <c r="L6001" t="s">
        <v>6100</v>
      </c>
      <c r="M6001" t="s">
        <v>6100</v>
      </c>
      <c r="O6001" t="s">
        <v>6101</v>
      </c>
      <c r="P6001" t="s">
        <v>6115</v>
      </c>
      <c r="Q6001">
        <v>9</v>
      </c>
      <c r="R6001">
        <v>2026</v>
      </c>
      <c r="S6001" t="s">
        <v>6099</v>
      </c>
      <c r="T6001">
        <v>1</v>
      </c>
      <c r="U6001" t="s">
        <v>6021</v>
      </c>
      <c r="V600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F8278C-ED3C-4D4B-9D9B-A19626CFEF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Dashboard</vt:lpstr>
      <vt:lpstr>KPI Definitons</vt:lpstr>
      <vt:lpstr>Data Quality Notes</vt:lpstr>
      <vt:lpstr>SLA Rate by Region</vt:lpstr>
      <vt:lpstr>Pivot - SLA by Priority</vt:lpstr>
      <vt:lpstr>Pivot -First Contact Resolution</vt:lpstr>
      <vt:lpstr>Pivot - Southeast Outages</vt:lpstr>
      <vt:lpstr>Power Query Tickets_Clean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Agha, Ahmad</cp:lastModifiedBy>
  <dcterms:created xsi:type="dcterms:W3CDTF">2026-10-07T20:26:48Z</dcterms:created>
  <dcterms:modified xsi:type="dcterms:W3CDTF">2026-10-16T14:17:06Z</dcterms:modified>
</cp:coreProperties>
</file>